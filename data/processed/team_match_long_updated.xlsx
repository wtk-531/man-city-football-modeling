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283c65086b4ef7" /></Relationships>
</file>

<file path=xl/workbook.xml><?xml version="1.0" encoding="utf-8"?>
<x:workbook xmlns:x="http://schemas.openxmlformats.org/spreadsheetml/2006/main">
  <x:sheets>
    <x:sheet xmlns:r="http://schemas.openxmlformats.org/officeDocument/2006/relationships" name="team_match_long" sheetId="1" r:id="R5cceb3b0b0b44c03"/>
    <x:sheet xmlns:r="http://schemas.openxmlformats.org/officeDocument/2006/relationships" name="Feature_Guide" sheetId="2" r:id="R5606901403d44bf7"/>
    <x:sheet xmlns:r="http://schemas.openxmlformats.org/officeDocument/2006/relationships" name="Methodology_Notes" sheetId="3" r:id="R91692542dcce4dd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000"/>
    <x:numFmt numFmtId="202" formatCode="0"/>
  </x:numFmts>
  <x:fonts count="5">
    <x:font>
      <x:sz val="11"/>
      <x:name val="Carlito"/>
    </x:font>
    <x:font>
      <x:sz val="10"/>
      <x:color rgb="FF000000"/>
      <x:name val="Carlito"/>
    </x:font>
    <x:font>
      <x:b/>
      <x:sz val="10"/>
      <x:color rgb="FF000000"/>
      <x:name val="Carlito"/>
    </x:font>
    <x:font>
      <x:b/>
      <x:sz val="14"/>
      <x:color rgb="FF000000"/>
      <x:name val="Carlito"/>
    </x:font>
    <x:font>
      <x:sz val="11"/>
      <x:color rgb="FF000000"/>
      <x:name val="Carlito"/>
    </x:font>
  </x:fonts>
  <x:fills count="2">
    <x:fill>
      <x:patternFill patternType="none"/>
    </x:fill>
    <x:fill>
      <x:patternFill patternType="gray125"/>
    </x:fill>
  </x:fills>
  <x:borders count="12">
    <x:border/>
    <x:border/>
    <x:border>
      <x:bottom style="thin">
        <x:color rgb="FF000000"/>
      </x:bottom>
    </x:border>
    <x:border>
      <x:bottom style="thin">
        <x:color rgb="FF000000"/>
      </x:bottom>
    </x:border>
    <x:border>
      <x:right style="hair">
        <x:color rgb="FFD9D9D9"/>
      </x:right>
      <x:bottom style="thin">
        <x:color rgb="FF000000"/>
      </x:bottom>
    </x:border>
    <x:border>
      <x:right style="hair">
        <x:color rgb="FFD9D9D9"/>
      </x:right>
    </x:border>
    <x:border>
      <x:bottom style="hair">
        <x:color rgb="FFBFBFBF"/>
      </x:bottom>
    </x:border>
    <x:border>
      <x:right style="hair">
        <x:color rgb="FFD9D9D9"/>
      </x:right>
      <x:bottom style="hair">
        <x:color rgb="FFBFBFBF"/>
      </x:bottom>
    </x:border>
    <x:border>
      <x:right style="hair">
        <x:color rgb="FFD9D9D9"/>
      </x:right>
      <x:bottom style="thin">
        <x:color rgb="FF000000"/>
      </x:bottom>
    </x:border>
    <x:border>
      <x:right style="hair">
        <x:color rgb="FFD9D9D9"/>
      </x:right>
    </x:border>
    <x:border>
      <x:bottom style="hair">
        <x:color rgb="FFBFBFBF"/>
      </x:bottom>
    </x:border>
    <x:border>
      <x:right style="hair">
        <x:color rgb="FFD9D9D9"/>
      </x:right>
      <x:bottom style="hair">
        <x:color rgb="FFBFBFBF"/>
      </x:bottom>
    </x:border>
  </x:borders>
  <x:cellStyleXfs count="1">
    <x:xf numFmtId="0" fontId="0" fillId="0" borderId="0"/>
  </x:cellStyleXfs>
  <x:cellXfs count="7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2" fillId="0" borderId="0" xfId="0" applyNumberFormat="1" applyFont="1" applyFill="1" applyBorder="1" applyAlignment="1">
      <x:alignment horizontal="center" vertical="center"/>
    </x:xf>
    <x:xf numFmtId="0" fontId="2" fillId="0" borderId="1" xfId="0" applyNumberFormat="1" applyFont="1" applyFill="1" applyBorder="1" applyAlignment="1">
      <x:alignment horizontal="center" vertical="center"/>
    </x:xf>
    <x:xf numFmtId="0" fontId="2" fillId="0" borderId="2" xfId="0" applyNumberFormat="1" applyFont="1" applyFill="1" applyBorder="1" applyAlignment="1">
      <x:alignment horizontal="center" vertical="center"/>
    </x:xf>
    <x:xf numFmtId="0" fontId="2" fillId="0" borderId="3" xfId="0" applyNumberFormat="1" applyFont="1" applyFill="1" applyBorder="1" applyAlignment="1">
      <x:alignment horizontal="center" vertical="center"/>
    </x:xf>
    <x:xf numFmtId="0" fontId="2" fillId="0" borderId="4" xfId="0" applyNumberFormat="1" applyFont="1" applyFill="1" applyBorder="1" applyAlignment="1">
      <x:alignment horizontal="center" vertical="center"/>
    </x:xf>
    <x:xf numFmtId="0" fontId="1" fillId="0" borderId="5" xfId="0" applyNumberFormat="1" applyFont="1" applyFill="1" applyBorder="1" applyAlignment="1">
      <x:alignment vertical="center"/>
    </x:xf>
    <x:xf numFmtId="0" fontId="1" fillId="0" borderId="6" xfId="0" applyNumberFormat="1" applyFont="1" applyFill="1" applyBorder="1" applyAlignment="1">
      <x:alignment vertical="center"/>
    </x:xf>
    <x:xf numFmtId="0" fontId="1" fillId="0" borderId="7" xfId="0" applyNumberFormat="1" applyFont="1" applyFill="1" applyBorder="1" applyAlignment="1">
      <x:alignment vertical="center"/>
    </x:xf>
    <x:xf numFmtId="0" fontId="2" fillId="0" borderId="8" xfId="0" applyNumberFormat="1" applyFont="1" applyFill="1" applyBorder="1" applyAlignment="1">
      <x:alignment horizontal="center" vertical="center"/>
    </x:xf>
    <x:xf numFmtId="0" fontId="1" fillId="0" borderId="9" xfId="0" applyNumberFormat="1" applyFont="1" applyFill="1" applyBorder="1" applyAlignment="1">
      <x:alignment vertical="center"/>
    </x:xf>
    <x:xf numFmtId="0" fontId="1" fillId="0" borderId="10" xfId="0" applyNumberFormat="1" applyFont="1" applyFill="1" applyBorder="1" applyAlignment="1">
      <x:alignment vertical="center"/>
    </x:xf>
    <x:xf numFmtId="0" fontId="1" fillId="0" borderId="11"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0" borderId="6" xfId="0" applyNumberFormat="1" applyFont="1" applyFill="1" applyBorder="1" applyAlignment="1">
      <x:alignment vertical="center"/>
    </x:xf>
    <x:xf numFmtId="200" fontId="1" fillId="0" borderId="1" xfId="0" applyNumberFormat="1" applyFont="1" applyFill="1" applyBorder="1" applyAlignment="1">
      <x:alignment vertical="center"/>
    </x:xf>
    <x:xf numFmtId="200" fontId="1" fillId="0" borderId="10" xfId="0" applyNumberFormat="1" applyFont="1" applyFill="1" applyBorder="1" applyAlignment="1">
      <x:alignment vertical="center"/>
    </x:xf>
    <x:xf numFmtId="201" fontId="1" fillId="0" borderId="0" xfId="0" applyNumberFormat="1" applyFont="1" applyFill="1" applyBorder="1" applyAlignment="1">
      <x:alignment vertical="center"/>
    </x:xf>
    <x:xf numFmtId="201" fontId="1" fillId="0" borderId="6" xfId="0" applyNumberFormat="1" applyFont="1" applyFill="1" applyBorder="1" applyAlignment="1">
      <x:alignment vertical="center"/>
    </x:xf>
    <x:xf numFmtId="201" fontId="1" fillId="0" borderId="1" xfId="0" applyNumberFormat="1" applyFont="1" applyFill="1" applyBorder="1" applyAlignment="1">
      <x:alignment vertical="center"/>
    </x:xf>
    <x:xf numFmtId="201" fontId="1" fillId="0" borderId="10" xfId="0" applyNumberFormat="1" applyFont="1" applyFill="1" applyBorder="1" applyAlignment="1">
      <x:alignment vertical="center"/>
    </x:xf>
    <x:xf numFmtId="202" fontId="1" fillId="0" borderId="0" xfId="0" applyNumberFormat="1" applyFont="1" applyFill="1" applyBorder="1" applyAlignment="1">
      <x:alignment vertical="center"/>
    </x:xf>
    <x:xf numFmtId="202" fontId="1" fillId="0" borderId="6" xfId="0" applyNumberFormat="1" applyFont="1" applyFill="1" applyBorder="1" applyAlignment="1">
      <x:alignment vertical="center"/>
    </x:xf>
    <x:xf numFmtId="202" fontId="1" fillId="0" borderId="1" xfId="0" applyNumberFormat="1" applyFont="1" applyFill="1" applyBorder="1" applyAlignment="1">
      <x:alignment vertical="center"/>
    </x:xf>
    <x:xf numFmtId="202" fontId="1" fillId="0" borderId="10" xfId="0" applyNumberFormat="1" applyFont="1" applyFill="1" applyBorder="1" applyAlignment="1">
      <x:alignment vertical="center"/>
    </x:xf>
    <x:xf numFmtId="202" fontId="1" fillId="0" borderId="5" xfId="0" applyNumberFormat="1" applyFont="1" applyFill="1" applyBorder="1" applyAlignment="1">
      <x:alignment vertical="center"/>
    </x:xf>
    <x:xf numFmtId="202" fontId="1" fillId="0" borderId="7" xfId="0" applyNumberFormat="1" applyFont="1" applyFill="1" applyBorder="1" applyAlignment="1">
      <x:alignment vertical="center"/>
    </x:xf>
    <x:xf numFmtId="202" fontId="1" fillId="0" borderId="9" xfId="0" applyNumberFormat="1" applyFont="1" applyFill="1" applyBorder="1" applyAlignment="1">
      <x:alignment vertical="center"/>
    </x:xf>
    <x:xf numFmtId="202" fontId="1" fillId="0" borderId="11" xfId="0" applyNumberFormat="1" applyFont="1" applyFill="1" applyBorder="1" applyAlignment="1">
      <x:alignment vertical="center"/>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1" fillId="0" borderId="1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2" fillId="0" borderId="5" xfId="0" applyNumberFormat="1" applyFont="1" applyFill="1" applyBorder="1" applyAlignment="1">
      <x:alignment horizontal="center" vertical="top" wrapText="1"/>
    </x:xf>
    <x:xf numFmtId="0" fontId="2" fillId="0" borderId="1" xfId="0" applyNumberFormat="1" applyFont="1" applyFill="1" applyBorder="1" applyAlignment="1">
      <x:alignment horizontal="center" vertical="top" wrapText="1"/>
    </x:xf>
    <x:xf numFmtId="0" fontId="2" fillId="0" borderId="9" xfId="0" applyNumberFormat="1" applyFont="1" applyFill="1" applyBorder="1" applyAlignment="1">
      <x:alignment horizontal="center" vertical="top" wrapText="1"/>
    </x:xf>
    <x:xf numFmtId="0" fontId="2" fillId="0" borderId="0" xfId="0" applyNumberFormat="1" applyFont="1" applyFill="1" applyBorder="1" applyAlignment="1">
      <x:alignment horizontal="center" vertical="center" wrapText="1"/>
    </x:xf>
    <x:xf numFmtId="0" fontId="2" fillId="0" borderId="5" xfId="0" applyNumberFormat="1" applyFont="1" applyFill="1" applyBorder="1" applyAlignment="1">
      <x:alignment horizontal="center" vertical="center" wrapText="1"/>
    </x:xf>
    <x:xf numFmtId="0" fontId="2" fillId="0" borderId="1" xfId="0" applyNumberFormat="1" applyFont="1" applyFill="1" applyBorder="1" applyAlignment="1">
      <x:alignment horizontal="center" vertical="center" wrapText="1"/>
    </x:xf>
    <x:xf numFmtId="0" fontId="2" fillId="0" borderId="9" xfId="0" applyNumberFormat="1" applyFont="1" applyFill="1" applyBorder="1" applyAlignment="1">
      <x:alignment horizontal="center" vertical="center" wrapText="1"/>
    </x:xf>
    <x:xf numFmtId="0" fontId="2" fillId="0" borderId="2" xfId="0" applyNumberFormat="1" applyFont="1" applyFill="1" applyBorder="1" applyAlignment="1">
      <x:alignment horizontal="center" vertical="center" wrapText="1"/>
    </x:xf>
    <x:xf numFmtId="0" fontId="2" fillId="0"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1" xfId="0" applyNumberFormat="1" applyFont="1" applyFill="1" applyBorder="1"/>
    <x:xf numFmtId="0" fontId="3" fillId="0" borderId="0" xfId="0" applyNumberFormat="1" applyFont="1" applyFill="1" applyBorder="1" applyAlignment="1">
      <x:alignment horizontal="left"/>
    </x:xf>
    <x:xf numFmtId="0" fontId="3" fillId="0" borderId="1" xfId="0" applyNumberFormat="1" applyFont="1" applyFill="1" applyBorder="1" applyAlignment="1">
      <x:alignment horizontal="left"/>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0403427a1f4142" /><Relationship Type="http://schemas.openxmlformats.org/officeDocument/2006/relationships/theme" Target="/xl/theme/theme1.xml" Id="Rad37382abac2439e" /><Relationship Type="http://schemas.openxmlformats.org/officeDocument/2006/relationships/sharedStrings" Target="/xl/sharedStrings.xml" Id="Rc69c1e87bd0e4dc4" /><Relationship Type="http://schemas.openxmlformats.org/officeDocument/2006/relationships/worksheet" Target="/xl/worksheets/sheet1.xml" Id="R5cceb3b0b0b44c03" /><Relationship Type="http://schemas.openxmlformats.org/officeDocument/2006/relationships/worksheet" Target="/xl/worksheets/sheet2.xml" Id="R5606901403d44bf7" /><Relationship Type="http://schemas.openxmlformats.org/officeDocument/2006/relationships/worksheet" Target="/xl/worksheets/sheet3.xml" Id="R91692542dcce4dd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 hidden="0" customWidth="1"/>
    <x:col min="2" max="2" width="12" hidden="0" customWidth="1"/>
    <x:col min="3" max="3" width="16" hidden="0" customWidth="1"/>
    <x:col min="4" max="4" width="16" hidden="0" customWidth="1"/>
    <x:col min="5" max="5" width="9" hidden="0" customWidth="1"/>
    <x:col min="6" max="6" width="7" hidden="0" customWidth="1"/>
    <x:col min="7" max="7" width="7" hidden="0" customWidth="1"/>
    <x:col min="8" max="8" width="12" hidden="0" customWidth="1"/>
    <x:col min="9" max="9" width="15" hidden="0" customWidth="1"/>
    <x:col min="10" max="10" width="10" hidden="0" customWidth="1"/>
    <x:col min="11" max="11" width="13" hidden="0" customWidth="1"/>
    <x:col min="12" max="12" width="13" hidden="0" customWidth="1"/>
    <x:col min="13" max="13" width="16" hidden="0" customWidth="1"/>
    <x:col min="14" max="14" width="8" hidden="0" customWidth="1"/>
    <x:col min="15" max="15" width="7" hidden="0" customWidth="1"/>
    <x:col min="16" max="16" width="8" hidden="0" customWidth="1"/>
    <x:col min="17" max="17" width="11" hidden="0" customWidth="1"/>
    <x:col min="18" max="18" width="14" hidden="0" customWidth="1"/>
    <x:col min="19" max="19" width="13" hidden="0" customWidth="1"/>
    <x:col min="20" max="20" width="11" hidden="0" customWidth="1"/>
    <x:col min="21" max="21" width="15" hidden="0" customWidth="1"/>
    <x:col min="22" max="22" width="14" hidden="0" customWidth="1"/>
    <x:col min="23" max="23" width="13" hidden="0" customWidth="1"/>
    <x:col min="24" max="24" width="17" hidden="0" customWidth="1"/>
    <x:col min="25" max="25" width="21" hidden="0" customWidth="1"/>
    <x:col min="26" max="26" width="19" hidden="0" customWidth="1"/>
    <x:col min="27" max="27" width="19" hidden="0" customWidth="1"/>
    <x:col min="28" max="28" width="10" hidden="0" customWidth="1"/>
    <x:col min="29" max="29" width="10" hidden="0" customWidth="1"/>
  </x:cols>
  <x:sheetData>
    <x:row r="1" ht="25" customHeight="1">
      <x:c r="A1" s="10" t="str">
        <x:v>Season</x:v>
      </x:c>
      <x:c r="B1" s="10" t="str">
        <x:v>Date</x:v>
      </x:c>
      <x:c r="C1" s="10" t="str">
        <x:v>Team</x:v>
      </x:c>
      <x:c r="D1" s="10" t="str">
        <x:v>Opponent</x:v>
      </x:c>
      <x:c r="E1" s="10" t="str">
        <x:v>Venue</x:v>
      </x:c>
      <x:c r="F1" s="10" t="str">
        <x:v>GF</x:v>
      </x:c>
      <x:c r="G1" s="10" t="str">
        <x:v>GA</x:v>
      </x:c>
      <x:c r="H1" s="10" t="str">
        <x:v>Shots_For</x:v>
      </x:c>
      <x:c r="I1" s="10" t="str">
        <x:v>Shots_Against</x:v>
      </x:c>
      <x:c r="J1" s="10" t="str">
        <x:v>SOT_For</x:v>
      </x:c>
      <x:c r="K1" s="10" t="str">
        <x:v>SOT_Against</x:v>
      </x:c>
      <x:c r="L1" s="10" t="str">
        <x:v>Corners_For</x:v>
      </x:c>
      <x:c r="M1" s="10" t="str">
        <x:v>Corners_Against</x:v>
      </x:c>
      <x:c r="N1" s="10" t="str">
        <x:v>Yellow</x:v>
      </x:c>
      <x:c r="O1" s="10" t="str">
        <x:v>Red</x:v>
      </x:c>
      <x:c r="P1" s="10" t="str">
        <x:v>Points</x:v>
      </x:c>
      <x:c r="Q1" s="10" t="str">
        <x:v>SOT_Rate</x:v>
      </x:c>
      <x:c r="R1" s="10" t="str">
        <x:v>Goal_per_Shot</x:v>
      </x:c>
      <x:c r="S1" s="10" t="str">
        <x:v>Goal_per_SOT</x:v>
      </x:c>
      <x:c r="T1" s="10" t="str">
        <x:v>Shot_Diff</x:v>
      </x:c>
      <x:c r="U1" s="10" t="str">
        <x:v>SOT_Rate_Diff</x:v>
      </x:c>
      <x:c r="V1" s="10" t="str">
        <x:v>Finishing_Diff</x:v>
      </x:c>
      <x:c r="W1" s="10" t="str">
        <x:v>Corners_Diff</x:v>
      </x:c>
      <x:c r="X1" s="10" t="str">
        <x:v>SOT_Rate_Against</x:v>
      </x:c>
      <x:c r="Y1" s="10" t="str">
        <x:v>Goal_per_Shot_Against</x:v>
      </x:c>
      <x:c r="Z1" s="10" t="str">
        <x:v>Goal_per_SOT_Against</x:v>
      </x:c>
      <x:c r="AA1" s="10" t="str">
        <x:v>Goal_per_Shot_Diff</x:v>
      </x:c>
      <x:c r="AB1" s="10" t="str">
        <x:v>SOT_Diff</x:v>
      </x:c>
      <x:c r="AC1" s="12" t="str">
        <x:v>Goal_Diff</x:v>
      </x:c>
    </x:row>
    <x:row r="2">
      <x:c r="A2" s="4" t="str">
        <x:v>2021-22</x:v>
      </x:c>
      <x:c r="B2" s="20" t="n">
        <x:v>44421</x:v>
      </x:c>
      <x:c r="C2" s="4" t="str">
        <x:v>Arsenal</x:v>
      </x:c>
      <x:c r="D2" s="4" t="str">
        <x:v>Brentford</x:v>
      </x:c>
      <x:c r="E2" s="4" t="str">
        <x:v>Away</x:v>
      </x:c>
      <x:c r="F2" s="28" t="n">
        <x:v>0</x:v>
      </x:c>
      <x:c r="G2" s="28" t="n">
        <x:v>2</x:v>
      </x:c>
      <x:c r="H2" s="28" t="n">
        <x:v>22</x:v>
      </x:c>
      <x:c r="I2" s="28" t="n">
        <x:v>8</x:v>
      </x:c>
      <x:c r="J2" s="28" t="n">
        <x:v>4</x:v>
      </x:c>
      <x:c r="K2" s="28" t="n">
        <x:v>3</x:v>
      </x:c>
      <x:c r="L2" s="28" t="n">
        <x:v>5</x:v>
      </x:c>
      <x:c r="M2" s="28" t="n">
        <x:v>2</x:v>
      </x:c>
      <x:c r="N2" s="28" t="n">
        <x:v>0</x:v>
      </x:c>
      <x:c r="O2" s="28" t="n">
        <x:v>0</x:v>
      </x:c>
      <x:c r="P2" s="28" t="n">
        <x:v>0</x:v>
      </x:c>
      <x:c r="Q2" s="24" t="n">
        <x:f>IFERROR(J2/H2,0)</x:f>
        <x:v>0.18181818181818182</x:v>
      </x:c>
      <x:c r="R2" s="24" t="n">
        <x:f>IFERROR(F2/H2,0)</x:f>
        <x:v>0</x:v>
      </x:c>
      <x:c r="S2" s="24" t="n">
        <x:f>IFERROR(F2/J2,0)</x:f>
        <x:v>0</x:v>
      </x:c>
      <x:c r="T2" s="28" t="n">
        <x:f>H2-I2</x:f>
        <x:v>14</x:v>
      </x:c>
      <x:c r="U2" s="24" t="n">
        <x:f>IFERROR(J2/H2,0)-IFERROR(K2/I2,0)</x:f>
        <x:v>-0.19318181818181818</x:v>
      </x:c>
      <x:c r="V2" s="24" t="n">
        <x:f>IFERROR(F2/J2,0)-IFERROR(G2/K2,0)</x:f>
        <x:v>-0.6666666666666666</x:v>
      </x:c>
      <x:c r="W2" s="28" t="n">
        <x:f>L2-M2</x:f>
        <x:v>3</x:v>
      </x:c>
      <x:c r="X2" s="24" t="n">
        <x:f>IFERROR(K2/I2,0)</x:f>
        <x:v>0.375</x:v>
      </x:c>
      <x:c r="Y2" s="24" t="n">
        <x:f>IFERROR(G2/I2,0)</x:f>
        <x:v>0.25</x:v>
      </x:c>
      <x:c r="Z2" s="24" t="n">
        <x:f>IFERROR(G2/K2,0)</x:f>
        <x:v>0.6666666666666666</x:v>
      </x:c>
      <x:c r="AA2" s="24" t="n">
        <x:f>IFERROR(F2/H2,0)-IFERROR(G2/I2,0)</x:f>
        <x:v>-0.25</x:v>
      </x:c>
      <x:c r="AB2" s="28" t="n">
        <x:f>J2-K2</x:f>
        <x:v>1</x:v>
      </x:c>
      <x:c r="AC2" s="32" t="n">
        <x:f>F2-G2</x:f>
        <x:v>-2</x:v>
      </x:c>
    </x:row>
    <x:row r="3">
      <x:c r="A3" s="4" t="str">
        <x:v>2021-22</x:v>
      </x:c>
      <x:c r="B3" s="20" t="n">
        <x:v>44421</x:v>
      </x:c>
      <x:c r="C3" s="4" t="str">
        <x:v>Brentford</x:v>
      </x:c>
      <x:c r="D3" s="4" t="str">
        <x:v>Arsenal</x:v>
      </x:c>
      <x:c r="E3" s="4" t="str">
        <x:v>Home</x:v>
      </x:c>
      <x:c r="F3" s="28" t="n">
        <x:v>2</x:v>
      </x:c>
      <x:c r="G3" s="28" t="n">
        <x:v>0</x:v>
      </x:c>
      <x:c r="H3" s="28" t="n">
        <x:v>8</x:v>
      </x:c>
      <x:c r="I3" s="28" t="n">
        <x:v>22</x:v>
      </x:c>
      <x:c r="J3" s="28" t="n">
        <x:v>3</x:v>
      </x:c>
      <x:c r="K3" s="28" t="n">
        <x:v>4</x:v>
      </x:c>
      <x:c r="L3" s="28" t="n">
        <x:v>2</x:v>
      </x:c>
      <x:c r="M3" s="28" t="n">
        <x:v>5</x:v>
      </x:c>
      <x:c r="N3" s="28" t="n">
        <x:v>0</x:v>
      </x:c>
      <x:c r="O3" s="28" t="n">
        <x:v>0</x:v>
      </x:c>
      <x:c r="P3" s="28" t="n">
        <x:v>3</x:v>
      </x:c>
      <x:c r="Q3" s="24" t="n">
        <x:f>IFERROR(J3/H3,0)</x:f>
        <x:v>0.375</x:v>
      </x:c>
      <x:c r="R3" s="24" t="n">
        <x:f>IFERROR(F3/H3,0)</x:f>
        <x:v>0.25</x:v>
      </x:c>
      <x:c r="S3" s="24" t="n">
        <x:f>IFERROR(F3/J3,0)</x:f>
        <x:v>0.6666666666666666</x:v>
      </x:c>
      <x:c r="T3" s="28" t="n">
        <x:f>H3-I3</x:f>
        <x:v>-14</x:v>
      </x:c>
      <x:c r="U3" s="24" t="n">
        <x:f>IFERROR(J3/H3,0)-IFERROR(K3/I3,0)</x:f>
        <x:v>0.19318181818181818</x:v>
      </x:c>
      <x:c r="V3" s="24" t="n">
        <x:f>IFERROR(F3/J3,0)-IFERROR(G3/K3,0)</x:f>
        <x:v>0.6666666666666666</x:v>
      </x:c>
      <x:c r="W3" s="28" t="n">
        <x:f>L3-M3</x:f>
        <x:v>-3</x:v>
      </x:c>
      <x:c r="X3" s="24" t="n">
        <x:f>IFERROR(K3/I3,0)</x:f>
        <x:v>0.18181818181818182</x:v>
      </x:c>
      <x:c r="Y3" s="24" t="n">
        <x:f>IFERROR(G3/I3,0)</x:f>
        <x:v>0</x:v>
      </x:c>
      <x:c r="Z3" s="24" t="n">
        <x:f>IFERROR(G3/K3,0)</x:f>
        <x:v>0</x:v>
      </x:c>
      <x:c r="AA3" s="24" t="n">
        <x:f>IFERROR(F3/H3,0)-IFERROR(G3/I3,0)</x:f>
        <x:v>0.25</x:v>
      </x:c>
      <x:c r="AB3" s="28" t="n">
        <x:f>J3-K3</x:f>
        <x:v>-1</x:v>
      </x:c>
      <x:c r="AC3" s="32" t="n">
        <x:f>F3-G3</x:f>
        <x:v>2</x:v>
      </x:c>
    </x:row>
    <x:row r="4">
      <x:c r="A4" s="4" t="str">
        <x:v>2021-22</x:v>
      </x:c>
      <x:c r="B4" s="20" t="n">
        <x:v>44422</x:v>
      </x:c>
      <x:c r="C4" s="4" t="str">
        <x:v>Aston Villa</x:v>
      </x:c>
      <x:c r="D4" s="4" t="str">
        <x:v>Watford</x:v>
      </x:c>
      <x:c r="E4" s="4" t="str">
        <x:v>Away</x:v>
      </x:c>
      <x:c r="F4" s="28" t="n">
        <x:v>2</x:v>
      </x:c>
      <x:c r="G4" s="28" t="n">
        <x:v>3</x:v>
      </x:c>
      <x:c r="H4" s="28" t="n">
        <x:v>11</x:v>
      </x:c>
      <x:c r="I4" s="28" t="n">
        <x:v>13</x:v>
      </x:c>
      <x:c r="J4" s="28" t="n">
        <x:v>2</x:v>
      </x:c>
      <x:c r="K4" s="28" t="n">
        <x:v>7</x:v>
      </x:c>
      <x:c r="L4" s="28" t="n">
        <x:v>4</x:v>
      </x:c>
      <x:c r="M4" s="28" t="n">
        <x:v>2</x:v>
      </x:c>
      <x:c r="N4" s="28" t="n">
        <x:v>1</x:v>
      </x:c>
      <x:c r="O4" s="28" t="n">
        <x:v>0</x:v>
      </x:c>
      <x:c r="P4" s="28" t="n">
        <x:v>0</x:v>
      </x:c>
      <x:c r="Q4" s="24" t="n">
        <x:f>IFERROR(J4/H4,0)</x:f>
        <x:v>0.18181818181818182</x:v>
      </x:c>
      <x:c r="R4" s="24" t="n">
        <x:f>IFERROR(F4/H4,0)</x:f>
        <x:v>0.18181818181818182</x:v>
      </x:c>
      <x:c r="S4" s="24" t="n">
        <x:f>IFERROR(F4/J4,0)</x:f>
        <x:v>1</x:v>
      </x:c>
      <x:c r="T4" s="28" t="n">
        <x:f>H4-I4</x:f>
        <x:v>-2</x:v>
      </x:c>
      <x:c r="U4" s="24" t="n">
        <x:f>IFERROR(J4/H4,0)-IFERROR(K4/I4,0)</x:f>
        <x:v>-0.3566433566433566</x:v>
      </x:c>
      <x:c r="V4" s="24" t="n">
        <x:f>IFERROR(F4/J4,0)-IFERROR(G4/K4,0)</x:f>
        <x:v>0.5714285714285714</x:v>
      </x:c>
      <x:c r="W4" s="28" t="n">
        <x:f>L4-M4</x:f>
        <x:v>2</x:v>
      </x:c>
      <x:c r="X4" s="24" t="n">
        <x:f>IFERROR(K4/I4,0)</x:f>
        <x:v>0.5384615384615384</x:v>
      </x:c>
      <x:c r="Y4" s="24" t="n">
        <x:f>IFERROR(G4/I4,0)</x:f>
        <x:v>0.23076923076923078</x:v>
      </x:c>
      <x:c r="Z4" s="24" t="n">
        <x:f>IFERROR(G4/K4,0)</x:f>
        <x:v>0.42857142857142855</x:v>
      </x:c>
      <x:c r="AA4" s="24" t="n">
        <x:f>IFERROR(F4/H4,0)-IFERROR(G4/I4,0)</x:f>
        <x:v>-0.04895104895104896</x:v>
      </x:c>
      <x:c r="AB4" s="28" t="n">
        <x:f>J4-K4</x:f>
        <x:v>-5</x:v>
      </x:c>
      <x:c r="AC4" s="32" t="n">
        <x:f>F4-G4</x:f>
        <x:v>-1</x:v>
      </x:c>
    </x:row>
    <x:row r="5">
      <x:c r="A5" s="4" t="str">
        <x:v>2021-22</x:v>
      </x:c>
      <x:c r="B5" s="20" t="n">
        <x:v>44422</x:v>
      </x:c>
      <x:c r="C5" s="4" t="str">
        <x:v>Brighton</x:v>
      </x:c>
      <x:c r="D5" s="4" t="str">
        <x:v>Burnley</x:v>
      </x:c>
      <x:c r="E5" s="4" t="str">
        <x:v>Away</x:v>
      </x:c>
      <x:c r="F5" s="28" t="n">
        <x:v>2</x:v>
      </x:c>
      <x:c r="G5" s="28" t="n">
        <x:v>1</x:v>
      </x:c>
      <x:c r="H5" s="28" t="n">
        <x:v>14</x:v>
      </x:c>
      <x:c r="I5" s="28" t="n">
        <x:v>14</x:v>
      </x:c>
      <x:c r="J5" s="28" t="n">
        <x:v>8</x:v>
      </x:c>
      <x:c r="K5" s="28" t="n">
        <x:v>3</x:v>
      </x:c>
      <x:c r="L5" s="28" t="n">
        <x:v>6</x:v>
      </x:c>
      <x:c r="M5" s="28" t="n">
        <x:v>7</x:v>
      </x:c>
      <x:c r="N5" s="28" t="n">
        <x:v>1</x:v>
      </x:c>
      <x:c r="O5" s="28" t="n">
        <x:v>0</x:v>
      </x:c>
      <x:c r="P5" s="28" t="n">
        <x:v>3</x:v>
      </x:c>
      <x:c r="Q5" s="24" t="n">
        <x:f>IFERROR(J5/H5,0)</x:f>
        <x:v>0.5714285714285714</x:v>
      </x:c>
      <x:c r="R5" s="24" t="n">
        <x:f>IFERROR(F5/H5,0)</x:f>
        <x:v>0.14285714285714285</x:v>
      </x:c>
      <x:c r="S5" s="24" t="n">
        <x:f>IFERROR(F5/J5,0)</x:f>
        <x:v>0.25</x:v>
      </x:c>
      <x:c r="T5" s="28" t="n">
        <x:f>H5-I5</x:f>
        <x:v>0</x:v>
      </x:c>
      <x:c r="U5" s="24" t="n">
        <x:f>IFERROR(J5/H5,0)-IFERROR(K5/I5,0)</x:f>
        <x:v>0.3571428571428571</x:v>
      </x:c>
      <x:c r="V5" s="24" t="n">
        <x:f>IFERROR(F5/J5,0)-IFERROR(G5/K5,0)</x:f>
        <x:v>-0.08333333333333331</x:v>
      </x:c>
      <x:c r="W5" s="28" t="n">
        <x:f>L5-M5</x:f>
        <x:v>-1</x:v>
      </x:c>
      <x:c r="X5" s="24" t="n">
        <x:f>IFERROR(K5/I5,0)</x:f>
        <x:v>0.21428571428571427</x:v>
      </x:c>
      <x:c r="Y5" s="24" t="n">
        <x:f>IFERROR(G5/I5,0)</x:f>
        <x:v>0.07142857142857142</x:v>
      </x:c>
      <x:c r="Z5" s="24" t="n">
        <x:f>IFERROR(G5/K5,0)</x:f>
        <x:v>0.3333333333333333</x:v>
      </x:c>
      <x:c r="AA5" s="24" t="n">
        <x:f>IFERROR(F5/H5,0)-IFERROR(G5/I5,0)</x:f>
        <x:v>0.07142857142857142</x:v>
      </x:c>
      <x:c r="AB5" s="28" t="n">
        <x:f>J5-K5</x:f>
        <x:v>5</x:v>
      </x:c>
      <x:c r="AC5" s="32" t="n">
        <x:f>F5-G5</x:f>
        <x:v>1</x:v>
      </x:c>
    </x:row>
    <x:row r="6">
      <x:c r="A6" s="4" t="str">
        <x:v>2021-22</x:v>
      </x:c>
      <x:c r="B6" s="20" t="n">
        <x:v>44422</x:v>
      </x:c>
      <x:c r="C6" s="4" t="str">
        <x:v>Burnley</x:v>
      </x:c>
      <x:c r="D6" s="4" t="str">
        <x:v>Brighton</x:v>
      </x:c>
      <x:c r="E6" s="4" t="str">
        <x:v>Home</x:v>
      </x:c>
      <x:c r="F6" s="28" t="n">
        <x:v>1</x:v>
      </x:c>
      <x:c r="G6" s="28" t="n">
        <x:v>2</x:v>
      </x:c>
      <x:c r="H6" s="28" t="n">
        <x:v>14</x:v>
      </x:c>
      <x:c r="I6" s="28" t="n">
        <x:v>14</x:v>
      </x:c>
      <x:c r="J6" s="28" t="n">
        <x:v>3</x:v>
      </x:c>
      <x:c r="K6" s="28" t="n">
        <x:v>8</x:v>
      </x:c>
      <x:c r="L6" s="28" t="n">
        <x:v>7</x:v>
      </x:c>
      <x:c r="M6" s="28" t="n">
        <x:v>6</x:v>
      </x:c>
      <x:c r="N6" s="28" t="n">
        <x:v>2</x:v>
      </x:c>
      <x:c r="O6" s="28" t="n">
        <x:v>0</x:v>
      </x:c>
      <x:c r="P6" s="28" t="n">
        <x:v>0</x:v>
      </x:c>
      <x:c r="Q6" s="24" t="n">
        <x:f>IFERROR(J6/H6,0)</x:f>
        <x:v>0.21428571428571427</x:v>
      </x:c>
      <x:c r="R6" s="24" t="n">
        <x:f>IFERROR(F6/H6,0)</x:f>
        <x:v>0.07142857142857142</x:v>
      </x:c>
      <x:c r="S6" s="24" t="n">
        <x:f>IFERROR(F6/J6,0)</x:f>
        <x:v>0.3333333333333333</x:v>
      </x:c>
      <x:c r="T6" s="28" t="n">
        <x:f>H6-I6</x:f>
        <x:v>0</x:v>
      </x:c>
      <x:c r="U6" s="24" t="n">
        <x:f>IFERROR(J6/H6,0)-IFERROR(K6/I6,0)</x:f>
        <x:v>-0.3571428571428571</x:v>
      </x:c>
      <x:c r="V6" s="24" t="n">
        <x:f>IFERROR(F6/J6,0)-IFERROR(G6/K6,0)</x:f>
        <x:v>0.08333333333333331</x:v>
      </x:c>
      <x:c r="W6" s="28" t="n">
        <x:f>L6-M6</x:f>
        <x:v>1</x:v>
      </x:c>
      <x:c r="X6" s="24" t="n">
        <x:f>IFERROR(K6/I6,0)</x:f>
        <x:v>0.5714285714285714</x:v>
      </x:c>
      <x:c r="Y6" s="24" t="n">
        <x:f>IFERROR(G6/I6,0)</x:f>
        <x:v>0.14285714285714285</x:v>
      </x:c>
      <x:c r="Z6" s="24" t="n">
        <x:f>IFERROR(G6/K6,0)</x:f>
        <x:v>0.25</x:v>
      </x:c>
      <x:c r="AA6" s="24" t="n">
        <x:f>IFERROR(F6/H6,0)-IFERROR(G6/I6,0)</x:f>
        <x:v>-0.07142857142857142</x:v>
      </x:c>
      <x:c r="AB6" s="28" t="n">
        <x:f>J6-K6</x:f>
        <x:v>-5</x:v>
      </x:c>
      <x:c r="AC6" s="32" t="n">
        <x:f>F6-G6</x:f>
        <x:v>-1</x:v>
      </x:c>
    </x:row>
    <x:row r="7">
      <x:c r="A7" s="4" t="str">
        <x:v>2021-22</x:v>
      </x:c>
      <x:c r="B7" s="20" t="n">
        <x:v>44422</x:v>
      </x:c>
      <x:c r="C7" s="4" t="str">
        <x:v>Chelsea</x:v>
      </x:c>
      <x:c r="D7" s="4" t="str">
        <x:v>Crystal Palace</x:v>
      </x:c>
      <x:c r="E7" s="4" t="str">
        <x:v>Home</x:v>
      </x:c>
      <x:c r="F7" s="28" t="n">
        <x:v>3</x:v>
      </x:c>
      <x:c r="G7" s="28" t="n">
        <x:v>0</x:v>
      </x:c>
      <x:c r="H7" s="28" t="n">
        <x:v>13</x:v>
      </x:c>
      <x:c r="I7" s="28" t="n">
        <x:v>4</x:v>
      </x:c>
      <x:c r="J7" s="28" t="n">
        <x:v>6</x:v>
      </x:c>
      <x:c r="K7" s="28" t="n">
        <x:v>1</x:v>
      </x:c>
      <x:c r="L7" s="28" t="n">
        <x:v>5</x:v>
      </x:c>
      <x:c r="M7" s="28" t="n">
        <x:v>2</x:v>
      </x:c>
      <x:c r="N7" s="28" t="n">
        <x:v>0</x:v>
      </x:c>
      <x:c r="O7" s="28" t="n">
        <x:v>0</x:v>
      </x:c>
      <x:c r="P7" s="28" t="n">
        <x:v>3</x:v>
      </x:c>
      <x:c r="Q7" s="24" t="n">
        <x:f>IFERROR(J7/H7,0)</x:f>
        <x:v>0.46153846153846156</x:v>
      </x:c>
      <x:c r="R7" s="24" t="n">
        <x:f>IFERROR(F7/H7,0)</x:f>
        <x:v>0.23076923076923078</x:v>
      </x:c>
      <x:c r="S7" s="24" t="n">
        <x:f>IFERROR(F7/J7,0)</x:f>
        <x:v>0.5</x:v>
      </x:c>
      <x:c r="T7" s="28" t="n">
        <x:f>H7-I7</x:f>
        <x:v>9</x:v>
      </x:c>
      <x:c r="U7" s="24" t="n">
        <x:f>IFERROR(J7/H7,0)-IFERROR(K7/I7,0)</x:f>
        <x:v>0.21153846153846156</x:v>
      </x:c>
      <x:c r="V7" s="24" t="n">
        <x:f>IFERROR(F7/J7,0)-IFERROR(G7/K7,0)</x:f>
        <x:v>0.5</x:v>
      </x:c>
      <x:c r="W7" s="28" t="n">
        <x:f>L7-M7</x:f>
        <x:v>3</x:v>
      </x:c>
      <x:c r="X7" s="24" t="n">
        <x:f>IFERROR(K7/I7,0)</x:f>
        <x:v>0.25</x:v>
      </x:c>
      <x:c r="Y7" s="24" t="n">
        <x:f>IFERROR(G7/I7,0)</x:f>
        <x:v>0</x:v>
      </x:c>
      <x:c r="Z7" s="24" t="n">
        <x:f>IFERROR(G7/K7,0)</x:f>
        <x:v>0</x:v>
      </x:c>
      <x:c r="AA7" s="24" t="n">
        <x:f>IFERROR(F7/H7,0)-IFERROR(G7/I7,0)</x:f>
        <x:v>0.23076923076923078</x:v>
      </x:c>
      <x:c r="AB7" s="28" t="n">
        <x:f>J7-K7</x:f>
        <x:v>5</x:v>
      </x:c>
      <x:c r="AC7" s="32" t="n">
        <x:f>F7-G7</x:f>
        <x:v>3</x:v>
      </x:c>
    </x:row>
    <x:row r="8">
      <x:c r="A8" s="4" t="str">
        <x:v>2021-22</x:v>
      </x:c>
      <x:c r="B8" s="20" t="n">
        <x:v>44422</x:v>
      </x:c>
      <x:c r="C8" s="4" t="str">
        <x:v>Crystal Palace</x:v>
      </x:c>
      <x:c r="D8" s="4" t="str">
        <x:v>Chelsea</x:v>
      </x:c>
      <x:c r="E8" s="4" t="str">
        <x:v>Away</x:v>
      </x:c>
      <x:c r="F8" s="28" t="n">
        <x:v>0</x:v>
      </x:c>
      <x:c r="G8" s="28" t="n">
        <x:v>3</x:v>
      </x:c>
      <x:c r="H8" s="28" t="n">
        <x:v>4</x:v>
      </x:c>
      <x:c r="I8" s="28" t="n">
        <x:v>13</x:v>
      </x:c>
      <x:c r="J8" s="28" t="n">
        <x:v>1</x:v>
      </x:c>
      <x:c r="K8" s="28" t="n">
        <x:v>6</x:v>
      </x:c>
      <x:c r="L8" s="28" t="n">
        <x:v>2</x:v>
      </x:c>
      <x:c r="M8" s="28" t="n">
        <x:v>5</x:v>
      </x:c>
      <x:c r="N8" s="28" t="n">
        <x:v>0</x:v>
      </x:c>
      <x:c r="O8" s="28" t="n">
        <x:v>0</x:v>
      </x:c>
      <x:c r="P8" s="28" t="n">
        <x:v>0</x:v>
      </x:c>
      <x:c r="Q8" s="24" t="n">
        <x:f>IFERROR(J8/H8,0)</x:f>
        <x:v>0.25</x:v>
      </x:c>
      <x:c r="R8" s="24" t="n">
        <x:f>IFERROR(F8/H8,0)</x:f>
        <x:v>0</x:v>
      </x:c>
      <x:c r="S8" s="24" t="n">
        <x:f>IFERROR(F8/J8,0)</x:f>
        <x:v>0</x:v>
      </x:c>
      <x:c r="T8" s="28" t="n">
        <x:f>H8-I8</x:f>
        <x:v>-9</x:v>
      </x:c>
      <x:c r="U8" s="24" t="n">
        <x:f>IFERROR(J8/H8,0)-IFERROR(K8/I8,0)</x:f>
        <x:v>-0.21153846153846156</x:v>
      </x:c>
      <x:c r="V8" s="24" t="n">
        <x:f>IFERROR(F8/J8,0)-IFERROR(G8/K8,0)</x:f>
        <x:v>-0.5</x:v>
      </x:c>
      <x:c r="W8" s="28" t="n">
        <x:f>L8-M8</x:f>
        <x:v>-3</x:v>
      </x:c>
      <x:c r="X8" s="24" t="n">
        <x:f>IFERROR(K8/I8,0)</x:f>
        <x:v>0.46153846153846156</x:v>
      </x:c>
      <x:c r="Y8" s="24" t="n">
        <x:f>IFERROR(G8/I8,0)</x:f>
        <x:v>0.23076923076923078</x:v>
      </x:c>
      <x:c r="Z8" s="24" t="n">
        <x:f>IFERROR(G8/K8,0)</x:f>
        <x:v>0.5</x:v>
      </x:c>
      <x:c r="AA8" s="24" t="n">
        <x:f>IFERROR(F8/H8,0)-IFERROR(G8/I8,0)</x:f>
        <x:v>-0.23076923076923078</x:v>
      </x:c>
      <x:c r="AB8" s="28" t="n">
        <x:f>J8-K8</x:f>
        <x:v>-5</x:v>
      </x:c>
      <x:c r="AC8" s="32" t="n">
        <x:f>F8-G8</x:f>
        <x:v>-3</x:v>
      </x:c>
    </x:row>
    <x:row r="9">
      <x:c r="A9" s="4" t="str">
        <x:v>2021-22</x:v>
      </x:c>
      <x:c r="B9" s="20" t="n">
        <x:v>44422</x:v>
      </x:c>
      <x:c r="C9" s="4" t="str">
        <x:v>Everton</x:v>
      </x:c>
      <x:c r="D9" s="4" t="str">
        <x:v>Southampton</x:v>
      </x:c>
      <x:c r="E9" s="4" t="str">
        <x:v>Home</x:v>
      </x:c>
      <x:c r="F9" s="28" t="n">
        <x:v>3</x:v>
      </x:c>
      <x:c r="G9" s="28" t="n">
        <x:v>1</x:v>
      </x:c>
      <x:c r="H9" s="28" t="n">
        <x:v>14</x:v>
      </x:c>
      <x:c r="I9" s="28" t="n">
        <x:v>6</x:v>
      </x:c>
      <x:c r="J9" s="28" t="n">
        <x:v>6</x:v>
      </x:c>
      <x:c r="K9" s="28" t="n">
        <x:v>3</x:v>
      </x:c>
      <x:c r="L9" s="28" t="n">
        <x:v>6</x:v>
      </x:c>
      <x:c r="M9" s="28" t="n">
        <x:v>8</x:v>
      </x:c>
      <x:c r="N9" s="28" t="n">
        <x:v>2</x:v>
      </x:c>
      <x:c r="O9" s="28" t="n">
        <x:v>0</x:v>
      </x:c>
      <x:c r="P9" s="28" t="n">
        <x:v>3</x:v>
      </x:c>
      <x:c r="Q9" s="24" t="n">
        <x:f>IFERROR(J9/H9,0)</x:f>
        <x:v>0.42857142857142855</x:v>
      </x:c>
      <x:c r="R9" s="24" t="n">
        <x:f>IFERROR(F9/H9,0)</x:f>
        <x:v>0.21428571428571427</x:v>
      </x:c>
      <x:c r="S9" s="24" t="n">
        <x:f>IFERROR(F9/J9,0)</x:f>
        <x:v>0.5</x:v>
      </x:c>
      <x:c r="T9" s="28" t="n">
        <x:f>H9-I9</x:f>
        <x:v>8</x:v>
      </x:c>
      <x:c r="U9" s="24" t="n">
        <x:f>IFERROR(J9/H9,0)-IFERROR(K9/I9,0)</x:f>
        <x:v>-0.07142857142857145</x:v>
      </x:c>
      <x:c r="V9" s="24" t="n">
        <x:f>IFERROR(F9/J9,0)-IFERROR(G9/K9,0)</x:f>
        <x:v>0.16666666666666669</x:v>
      </x:c>
      <x:c r="W9" s="28" t="n">
        <x:f>L9-M9</x:f>
        <x:v>-2</x:v>
      </x:c>
      <x:c r="X9" s="24" t="n">
        <x:f>IFERROR(K9/I9,0)</x:f>
        <x:v>0.5</x:v>
      </x:c>
      <x:c r="Y9" s="24" t="n">
        <x:f>IFERROR(G9/I9,0)</x:f>
        <x:v>0.16666666666666666</x:v>
      </x:c>
      <x:c r="Z9" s="24" t="n">
        <x:f>IFERROR(G9/K9,0)</x:f>
        <x:v>0.3333333333333333</x:v>
      </x:c>
      <x:c r="AA9" s="24" t="n">
        <x:f>IFERROR(F9/H9,0)-IFERROR(G9/I9,0)</x:f>
        <x:v>0.047619047619047616</x:v>
      </x:c>
      <x:c r="AB9" s="28" t="n">
        <x:f>J9-K9</x:f>
        <x:v>3</x:v>
      </x:c>
      <x:c r="AC9" s="32" t="n">
        <x:f>F9-G9</x:f>
        <x:v>2</x:v>
      </x:c>
    </x:row>
    <x:row r="10">
      <x:c r="A10" s="4" t="str">
        <x:v>2021-22</x:v>
      </x:c>
      <x:c r="B10" s="20" t="n">
        <x:v>44422</x:v>
      </x:c>
      <x:c r="C10" s="4" t="str">
        <x:v>Leeds</x:v>
      </x:c>
      <x:c r="D10" s="4" t="str">
        <x:v>Man United</x:v>
      </x:c>
      <x:c r="E10" s="4" t="str">
        <x:v>Away</x:v>
      </x:c>
      <x:c r="F10" s="28" t="n">
        <x:v>1</x:v>
      </x:c>
      <x:c r="G10" s="28" t="n">
        <x:v>5</x:v>
      </x:c>
      <x:c r="H10" s="28" t="n">
        <x:v>10</x:v>
      </x:c>
      <x:c r="I10" s="28" t="n">
        <x:v>16</x:v>
      </x:c>
      <x:c r="J10" s="28" t="n">
        <x:v>3</x:v>
      </x:c>
      <x:c r="K10" s="28" t="n">
        <x:v>8</x:v>
      </x:c>
      <x:c r="L10" s="28" t="n">
        <x:v>4</x:v>
      </x:c>
      <x:c r="M10" s="28" t="n">
        <x:v>5</x:v>
      </x:c>
      <x:c r="N10" s="28" t="n">
        <x:v>2</x:v>
      </x:c>
      <x:c r="O10" s="28" t="n">
        <x:v>0</x:v>
      </x:c>
      <x:c r="P10" s="28" t="n">
        <x:v>0</x:v>
      </x:c>
      <x:c r="Q10" s="24" t="n">
        <x:f>IFERROR(J10/H10,0)</x:f>
        <x:v>0.3</x:v>
      </x:c>
      <x:c r="R10" s="24" t="n">
        <x:f>IFERROR(F10/H10,0)</x:f>
        <x:v>0.1</x:v>
      </x:c>
      <x:c r="S10" s="24" t="n">
        <x:f>IFERROR(F10/J10,0)</x:f>
        <x:v>0.3333333333333333</x:v>
      </x:c>
      <x:c r="T10" s="28" t="n">
        <x:f>H10-I10</x:f>
        <x:v>-6</x:v>
      </x:c>
      <x:c r="U10" s="24" t="n">
        <x:f>IFERROR(J10/H10,0)-IFERROR(K10/I10,0)</x:f>
        <x:v>-0.2</x:v>
      </x:c>
      <x:c r="V10" s="24" t="n">
        <x:f>IFERROR(F10/J10,0)-IFERROR(G10/K10,0)</x:f>
        <x:v>-0.2916666666666667</x:v>
      </x:c>
      <x:c r="W10" s="28" t="n">
        <x:f>L10-M10</x:f>
        <x:v>-1</x:v>
      </x:c>
      <x:c r="X10" s="24" t="n">
        <x:f>IFERROR(K10/I10,0)</x:f>
        <x:v>0.5</x:v>
      </x:c>
      <x:c r="Y10" s="24" t="n">
        <x:f>IFERROR(G10/I10,0)</x:f>
        <x:v>0.3125</x:v>
      </x:c>
      <x:c r="Z10" s="24" t="n">
        <x:f>IFERROR(G10/K10,0)</x:f>
        <x:v>0.625</x:v>
      </x:c>
      <x:c r="AA10" s="24" t="n">
        <x:f>IFERROR(F10/H10,0)-IFERROR(G10/I10,0)</x:f>
        <x:v>-0.2125</x:v>
      </x:c>
      <x:c r="AB10" s="28" t="n">
        <x:f>J10-K10</x:f>
        <x:v>-5</x:v>
      </x:c>
      <x:c r="AC10" s="32" t="n">
        <x:f>F10-G10</x:f>
        <x:v>-4</x:v>
      </x:c>
    </x:row>
    <x:row r="11">
      <x:c r="A11" s="4" t="str">
        <x:v>2021-22</x:v>
      </x:c>
      <x:c r="B11" s="20" t="n">
        <x:v>44422</x:v>
      </x:c>
      <x:c r="C11" s="4" t="str">
        <x:v>Leicester</x:v>
      </x:c>
      <x:c r="D11" s="4" t="str">
        <x:v>Wolves</x:v>
      </x:c>
      <x:c r="E11" s="4" t="str">
        <x:v>Home</x:v>
      </x:c>
      <x:c r="F11" s="28" t="n">
        <x:v>1</x:v>
      </x:c>
      <x:c r="G11" s="28" t="n">
        <x:v>0</x:v>
      </x:c>
      <x:c r="H11" s="28" t="n">
        <x:v>9</x:v>
      </x:c>
      <x:c r="I11" s="28" t="n">
        <x:v>17</x:v>
      </x:c>
      <x:c r="J11" s="28" t="n">
        <x:v>5</x:v>
      </x:c>
      <x:c r="K11" s="28" t="n">
        <x:v>3</x:v>
      </x:c>
      <x:c r="L11" s="28" t="n">
        <x:v>5</x:v>
      </x:c>
      <x:c r="M11" s="28" t="n">
        <x:v>4</x:v>
      </x:c>
      <x:c r="N11" s="28" t="n">
        <x:v>1</x:v>
      </x:c>
      <x:c r="O11" s="28" t="n">
        <x:v>0</x:v>
      </x:c>
      <x:c r="P11" s="28" t="n">
        <x:v>3</x:v>
      </x:c>
      <x:c r="Q11" s="24" t="n">
        <x:f>IFERROR(J11/H11,0)</x:f>
        <x:v>0.5555555555555556</x:v>
      </x:c>
      <x:c r="R11" s="24" t="n">
        <x:f>IFERROR(F11/H11,0)</x:f>
        <x:v>0.1111111111111111</x:v>
      </x:c>
      <x:c r="S11" s="24" t="n">
        <x:f>IFERROR(F11/J11,0)</x:f>
        <x:v>0.2</x:v>
      </x:c>
      <x:c r="T11" s="28" t="n">
        <x:f>H11-I11</x:f>
        <x:v>-8</x:v>
      </x:c>
      <x:c r="U11" s="24" t="n">
        <x:f>IFERROR(J11/H11,0)-IFERROR(K11/I11,0)</x:f>
        <x:v>0.3790849673202614</x:v>
      </x:c>
      <x:c r="V11" s="24" t="n">
        <x:f>IFERROR(F11/J11,0)-IFERROR(G11/K11,0)</x:f>
        <x:v>0.2</x:v>
      </x:c>
      <x:c r="W11" s="28" t="n">
        <x:f>L11-M11</x:f>
        <x:v>1</x:v>
      </x:c>
      <x:c r="X11" s="24" t="n">
        <x:f>IFERROR(K11/I11,0)</x:f>
        <x:v>0.17647058823529413</x:v>
      </x:c>
      <x:c r="Y11" s="24" t="n">
        <x:f>IFERROR(G11/I11,0)</x:f>
        <x:v>0</x:v>
      </x:c>
      <x:c r="Z11" s="24" t="n">
        <x:f>IFERROR(G11/K11,0)</x:f>
        <x:v>0</x:v>
      </x:c>
      <x:c r="AA11" s="24" t="n">
        <x:f>IFERROR(F11/H11,0)-IFERROR(G11/I11,0)</x:f>
        <x:v>0.1111111111111111</x:v>
      </x:c>
      <x:c r="AB11" s="28" t="n">
        <x:f>J11-K11</x:f>
        <x:v>2</x:v>
      </x:c>
      <x:c r="AC11" s="32" t="n">
        <x:f>F11-G11</x:f>
        <x:v>1</x:v>
      </x:c>
    </x:row>
    <x:row r="12">
      <x:c r="A12" s="4" t="str">
        <x:v>2021-22</x:v>
      </x:c>
      <x:c r="B12" s="20" t="n">
        <x:v>44422</x:v>
      </x:c>
      <x:c r="C12" s="4" t="str">
        <x:v>Liverpool</x:v>
      </x:c>
      <x:c r="D12" s="4" t="str">
        <x:v>Norwich</x:v>
      </x:c>
      <x:c r="E12" s="4" t="str">
        <x:v>Away</x:v>
      </x:c>
      <x:c r="F12" s="28" t="n">
        <x:v>3</x:v>
      </x:c>
      <x:c r="G12" s="28" t="n">
        <x:v>0</x:v>
      </x:c>
      <x:c r="H12" s="28" t="n">
        <x:v>19</x:v>
      </x:c>
      <x:c r="I12" s="28" t="n">
        <x:v>14</x:v>
      </x:c>
      <x:c r="J12" s="28" t="n">
        <x:v>8</x:v>
      </x:c>
      <x:c r="K12" s="28" t="n">
        <x:v>3</x:v>
      </x:c>
      <x:c r="L12" s="28" t="n">
        <x:v>11</x:v>
      </x:c>
      <x:c r="M12" s="28" t="n">
        <x:v>3</x:v>
      </x:c>
      <x:c r="N12" s="28" t="n">
        <x:v>1</x:v>
      </x:c>
      <x:c r="O12" s="28" t="n">
        <x:v>0</x:v>
      </x:c>
      <x:c r="P12" s="28" t="n">
        <x:v>3</x:v>
      </x:c>
      <x:c r="Q12" s="24" t="n">
        <x:f>IFERROR(J12/H12,0)</x:f>
        <x:v>0.42105263157894735</x:v>
      </x:c>
      <x:c r="R12" s="24" t="n">
        <x:f>IFERROR(F12/H12,0)</x:f>
        <x:v>0.15789473684210525</x:v>
      </x:c>
      <x:c r="S12" s="24" t="n">
        <x:f>IFERROR(F12/J12,0)</x:f>
        <x:v>0.375</x:v>
      </x:c>
      <x:c r="T12" s="28" t="n">
        <x:f>H12-I12</x:f>
        <x:v>5</x:v>
      </x:c>
      <x:c r="U12" s="24" t="n">
        <x:f>IFERROR(J12/H12,0)-IFERROR(K12/I12,0)</x:f>
        <x:v>0.20676691729323307</x:v>
      </x:c>
      <x:c r="V12" s="24" t="n">
        <x:f>IFERROR(F12/J12,0)-IFERROR(G12/K12,0)</x:f>
        <x:v>0.375</x:v>
      </x:c>
      <x:c r="W12" s="28" t="n">
        <x:f>L12-M12</x:f>
        <x:v>8</x:v>
      </x:c>
      <x:c r="X12" s="24" t="n">
        <x:f>IFERROR(K12/I12,0)</x:f>
        <x:v>0.21428571428571427</x:v>
      </x:c>
      <x:c r="Y12" s="24" t="n">
        <x:f>IFERROR(G12/I12,0)</x:f>
        <x:v>0</x:v>
      </x:c>
      <x:c r="Z12" s="24" t="n">
        <x:f>IFERROR(G12/K12,0)</x:f>
        <x:v>0</x:v>
      </x:c>
      <x:c r="AA12" s="24" t="n">
        <x:f>IFERROR(F12/H12,0)-IFERROR(G12/I12,0)</x:f>
        <x:v>0.15789473684210525</x:v>
      </x:c>
      <x:c r="AB12" s="28" t="n">
        <x:f>J12-K12</x:f>
        <x:v>5</x:v>
      </x:c>
      <x:c r="AC12" s="32" t="n">
        <x:f>F12-G12</x:f>
        <x:v>3</x:v>
      </x:c>
    </x:row>
    <x:row r="13">
      <x:c r="A13" s="4" t="str">
        <x:v>2021-22</x:v>
      </x:c>
      <x:c r="B13" s="20" t="n">
        <x:v>44422</x:v>
      </x:c>
      <x:c r="C13" s="4" t="str">
        <x:v>Man United</x:v>
      </x:c>
      <x:c r="D13" s="4" t="str">
        <x:v>Leeds</x:v>
      </x:c>
      <x:c r="E13" s="4" t="str">
        <x:v>Home</x:v>
      </x:c>
      <x:c r="F13" s="28" t="n">
        <x:v>5</x:v>
      </x:c>
      <x:c r="G13" s="28" t="n">
        <x:v>1</x:v>
      </x:c>
      <x:c r="H13" s="28" t="n">
        <x:v>16</x:v>
      </x:c>
      <x:c r="I13" s="28" t="n">
        <x:v>10</x:v>
      </x:c>
      <x:c r="J13" s="28" t="n">
        <x:v>8</x:v>
      </x:c>
      <x:c r="K13" s="28" t="n">
        <x:v>3</x:v>
      </x:c>
      <x:c r="L13" s="28" t="n">
        <x:v>5</x:v>
      </x:c>
      <x:c r="M13" s="28" t="n">
        <x:v>4</x:v>
      </x:c>
      <x:c r="N13" s="28" t="n">
        <x:v>1</x:v>
      </x:c>
      <x:c r="O13" s="28" t="n">
        <x:v>0</x:v>
      </x:c>
      <x:c r="P13" s="28" t="n">
        <x:v>3</x:v>
      </x:c>
      <x:c r="Q13" s="24" t="n">
        <x:f>IFERROR(J13/H13,0)</x:f>
        <x:v>0.5</x:v>
      </x:c>
      <x:c r="R13" s="24" t="n">
        <x:f>IFERROR(F13/H13,0)</x:f>
        <x:v>0.3125</x:v>
      </x:c>
      <x:c r="S13" s="24" t="n">
        <x:f>IFERROR(F13/J13,0)</x:f>
        <x:v>0.625</x:v>
      </x:c>
      <x:c r="T13" s="28" t="n">
        <x:f>H13-I13</x:f>
        <x:v>6</x:v>
      </x:c>
      <x:c r="U13" s="24" t="n">
        <x:f>IFERROR(J13/H13,0)-IFERROR(K13/I13,0)</x:f>
        <x:v>0.2</x:v>
      </x:c>
      <x:c r="V13" s="24" t="n">
        <x:f>IFERROR(F13/J13,0)-IFERROR(G13/K13,0)</x:f>
        <x:v>0.2916666666666667</x:v>
      </x:c>
      <x:c r="W13" s="28" t="n">
        <x:f>L13-M13</x:f>
        <x:v>1</x:v>
      </x:c>
      <x:c r="X13" s="24" t="n">
        <x:f>IFERROR(K13/I13,0)</x:f>
        <x:v>0.3</x:v>
      </x:c>
      <x:c r="Y13" s="24" t="n">
        <x:f>IFERROR(G13/I13,0)</x:f>
        <x:v>0.1</x:v>
      </x:c>
      <x:c r="Z13" s="24" t="n">
        <x:f>IFERROR(G13/K13,0)</x:f>
        <x:v>0.3333333333333333</x:v>
      </x:c>
      <x:c r="AA13" s="24" t="n">
        <x:f>IFERROR(F13/H13,0)-IFERROR(G13/I13,0)</x:f>
        <x:v>0.2125</x:v>
      </x:c>
      <x:c r="AB13" s="28" t="n">
        <x:f>J13-K13</x:f>
        <x:v>5</x:v>
      </x:c>
      <x:c r="AC13" s="32" t="n">
        <x:f>F13-G13</x:f>
        <x:v>4</x:v>
      </x:c>
    </x:row>
    <x:row r="14">
      <x:c r="A14" s="4" t="str">
        <x:v>2021-22</x:v>
      </x:c>
      <x:c r="B14" s="20" t="n">
        <x:v>44422</x:v>
      </x:c>
      <x:c r="C14" s="4" t="str">
        <x:v>Norwich</x:v>
      </x:c>
      <x:c r="D14" s="4" t="str">
        <x:v>Liverpool</x:v>
      </x:c>
      <x:c r="E14" s="4" t="str">
        <x:v>Home</x:v>
      </x:c>
      <x:c r="F14" s="28" t="n">
        <x:v>0</x:v>
      </x:c>
      <x:c r="G14" s="28" t="n">
        <x:v>3</x:v>
      </x:c>
      <x:c r="H14" s="28" t="n">
        <x:v>14</x:v>
      </x:c>
      <x:c r="I14" s="28" t="n">
        <x:v>19</x:v>
      </x:c>
      <x:c r="J14" s="28" t="n">
        <x:v>3</x:v>
      </x:c>
      <x:c r="K14" s="28" t="n">
        <x:v>8</x:v>
      </x:c>
      <x:c r="L14" s="28" t="n">
        <x:v>3</x:v>
      </x:c>
      <x:c r="M14" s="28" t="n">
        <x:v>11</x:v>
      </x:c>
      <x:c r="N14" s="28" t="n">
        <x:v>1</x:v>
      </x:c>
      <x:c r="O14" s="28" t="n">
        <x:v>0</x:v>
      </x:c>
      <x:c r="P14" s="28" t="n">
        <x:v>0</x:v>
      </x:c>
      <x:c r="Q14" s="24" t="n">
        <x:f>IFERROR(J14/H14,0)</x:f>
        <x:v>0.21428571428571427</x:v>
      </x:c>
      <x:c r="R14" s="24" t="n">
        <x:f>IFERROR(F14/H14,0)</x:f>
        <x:v>0</x:v>
      </x:c>
      <x:c r="S14" s="24" t="n">
        <x:f>IFERROR(F14/J14,0)</x:f>
        <x:v>0</x:v>
      </x:c>
      <x:c r="T14" s="28" t="n">
        <x:f>H14-I14</x:f>
        <x:v>-5</x:v>
      </x:c>
      <x:c r="U14" s="24" t="n">
        <x:f>IFERROR(J14/H14,0)-IFERROR(K14/I14,0)</x:f>
        <x:v>-0.20676691729323307</x:v>
      </x:c>
      <x:c r="V14" s="24" t="n">
        <x:f>IFERROR(F14/J14,0)-IFERROR(G14/K14,0)</x:f>
        <x:v>-0.375</x:v>
      </x:c>
      <x:c r="W14" s="28" t="n">
        <x:f>L14-M14</x:f>
        <x:v>-8</x:v>
      </x:c>
      <x:c r="X14" s="24" t="n">
        <x:f>IFERROR(K14/I14,0)</x:f>
        <x:v>0.42105263157894735</x:v>
      </x:c>
      <x:c r="Y14" s="24" t="n">
        <x:f>IFERROR(G14/I14,0)</x:f>
        <x:v>0.15789473684210525</x:v>
      </x:c>
      <x:c r="Z14" s="24" t="n">
        <x:f>IFERROR(G14/K14,0)</x:f>
        <x:v>0.375</x:v>
      </x:c>
      <x:c r="AA14" s="24" t="n">
        <x:f>IFERROR(F14/H14,0)-IFERROR(G14/I14,0)</x:f>
        <x:v>-0.15789473684210525</x:v>
      </x:c>
      <x:c r="AB14" s="28" t="n">
        <x:f>J14-K14</x:f>
        <x:v>-5</x:v>
      </x:c>
      <x:c r="AC14" s="32" t="n">
        <x:f>F14-G14</x:f>
        <x:v>-3</x:v>
      </x:c>
    </x:row>
    <x:row r="15">
      <x:c r="A15" s="4" t="str">
        <x:v>2021-22</x:v>
      </x:c>
      <x:c r="B15" s="20" t="n">
        <x:v>44422</x:v>
      </x:c>
      <x:c r="C15" s="4" t="str">
        <x:v>Southampton</x:v>
      </x:c>
      <x:c r="D15" s="4" t="str">
        <x:v>Everton</x:v>
      </x:c>
      <x:c r="E15" s="4" t="str">
        <x:v>Away</x:v>
      </x:c>
      <x:c r="F15" s="28" t="n">
        <x:v>1</x:v>
      </x:c>
      <x:c r="G15" s="28" t="n">
        <x:v>3</x:v>
      </x:c>
      <x:c r="H15" s="28" t="n">
        <x:v>6</x:v>
      </x:c>
      <x:c r="I15" s="28" t="n">
        <x:v>14</x:v>
      </x:c>
      <x:c r="J15" s="28" t="n">
        <x:v>3</x:v>
      </x:c>
      <x:c r="K15" s="28" t="n">
        <x:v>6</x:v>
      </x:c>
      <x:c r="L15" s="28" t="n">
        <x:v>8</x:v>
      </x:c>
      <x:c r="M15" s="28" t="n">
        <x:v>6</x:v>
      </x:c>
      <x:c r="N15" s="28" t="n">
        <x:v>0</x:v>
      </x:c>
      <x:c r="O15" s="28" t="n">
        <x:v>0</x:v>
      </x:c>
      <x:c r="P15" s="28" t="n">
        <x:v>0</x:v>
      </x:c>
      <x:c r="Q15" s="24" t="n">
        <x:f>IFERROR(J15/H15,0)</x:f>
        <x:v>0.5</x:v>
      </x:c>
      <x:c r="R15" s="24" t="n">
        <x:f>IFERROR(F15/H15,0)</x:f>
        <x:v>0.16666666666666666</x:v>
      </x:c>
      <x:c r="S15" s="24" t="n">
        <x:f>IFERROR(F15/J15,0)</x:f>
        <x:v>0.3333333333333333</x:v>
      </x:c>
      <x:c r="T15" s="28" t="n">
        <x:f>H15-I15</x:f>
        <x:v>-8</x:v>
      </x:c>
      <x:c r="U15" s="24" t="n">
        <x:f>IFERROR(J15/H15,0)-IFERROR(K15/I15,0)</x:f>
        <x:v>0.07142857142857145</x:v>
      </x:c>
      <x:c r="V15" s="24" t="n">
        <x:f>IFERROR(F15/J15,0)-IFERROR(G15/K15,0)</x:f>
        <x:v>-0.16666666666666669</x:v>
      </x:c>
      <x:c r="W15" s="28" t="n">
        <x:f>L15-M15</x:f>
        <x:v>2</x:v>
      </x:c>
      <x:c r="X15" s="24" t="n">
        <x:f>IFERROR(K15/I15,0)</x:f>
        <x:v>0.42857142857142855</x:v>
      </x:c>
      <x:c r="Y15" s="24" t="n">
        <x:f>IFERROR(G15/I15,0)</x:f>
        <x:v>0.21428571428571427</x:v>
      </x:c>
      <x:c r="Z15" s="24" t="n">
        <x:f>IFERROR(G15/K15,0)</x:f>
        <x:v>0.5</x:v>
      </x:c>
      <x:c r="AA15" s="24" t="n">
        <x:f>IFERROR(F15/H15,0)-IFERROR(G15/I15,0)</x:f>
        <x:v>-0.047619047619047616</x:v>
      </x:c>
      <x:c r="AB15" s="28" t="n">
        <x:f>J15-K15</x:f>
        <x:v>-3</x:v>
      </x:c>
      <x:c r="AC15" s="32" t="n">
        <x:f>F15-G15</x:f>
        <x:v>-2</x:v>
      </x:c>
    </x:row>
    <x:row r="16">
      <x:c r="A16" s="4" t="str">
        <x:v>2021-22</x:v>
      </x:c>
      <x:c r="B16" s="20" t="n">
        <x:v>44422</x:v>
      </x:c>
      <x:c r="C16" s="4" t="str">
        <x:v>Watford</x:v>
      </x:c>
      <x:c r="D16" s="4" t="str">
        <x:v>Aston Villa</x:v>
      </x:c>
      <x:c r="E16" s="4" t="str">
        <x:v>Home</x:v>
      </x:c>
      <x:c r="F16" s="28" t="n">
        <x:v>3</x:v>
      </x:c>
      <x:c r="G16" s="28" t="n">
        <x:v>2</x:v>
      </x:c>
      <x:c r="H16" s="28" t="n">
        <x:v>13</x:v>
      </x:c>
      <x:c r="I16" s="28" t="n">
        <x:v>11</x:v>
      </x:c>
      <x:c r="J16" s="28" t="n">
        <x:v>7</x:v>
      </x:c>
      <x:c r="K16" s="28" t="n">
        <x:v>2</x:v>
      </x:c>
      <x:c r="L16" s="28" t="n">
        <x:v>2</x:v>
      </x:c>
      <x:c r="M16" s="28" t="n">
        <x:v>4</x:v>
      </x:c>
      <x:c r="N16" s="28" t="n">
        <x:v>3</x:v>
      </x:c>
      <x:c r="O16" s="28" t="n">
        <x:v>0</x:v>
      </x:c>
      <x:c r="P16" s="28" t="n">
        <x:v>3</x:v>
      </x:c>
      <x:c r="Q16" s="24" t="n">
        <x:f>IFERROR(J16/H16,0)</x:f>
        <x:v>0.5384615384615384</x:v>
      </x:c>
      <x:c r="R16" s="24" t="n">
        <x:f>IFERROR(F16/H16,0)</x:f>
        <x:v>0.23076923076923078</x:v>
      </x:c>
      <x:c r="S16" s="24" t="n">
        <x:f>IFERROR(F16/J16,0)</x:f>
        <x:v>0.42857142857142855</x:v>
      </x:c>
      <x:c r="T16" s="28" t="n">
        <x:f>H16-I16</x:f>
        <x:v>2</x:v>
      </x:c>
      <x:c r="U16" s="24" t="n">
        <x:f>IFERROR(J16/H16,0)-IFERROR(K16/I16,0)</x:f>
        <x:v>0.3566433566433566</x:v>
      </x:c>
      <x:c r="V16" s="24" t="n">
        <x:f>IFERROR(F16/J16,0)-IFERROR(G16/K16,0)</x:f>
        <x:v>-0.5714285714285714</x:v>
      </x:c>
      <x:c r="W16" s="28" t="n">
        <x:f>L16-M16</x:f>
        <x:v>-2</x:v>
      </x:c>
      <x:c r="X16" s="24" t="n">
        <x:f>IFERROR(K16/I16,0)</x:f>
        <x:v>0.18181818181818182</x:v>
      </x:c>
      <x:c r="Y16" s="24" t="n">
        <x:f>IFERROR(G16/I16,0)</x:f>
        <x:v>0.18181818181818182</x:v>
      </x:c>
      <x:c r="Z16" s="24" t="n">
        <x:f>IFERROR(G16/K16,0)</x:f>
        <x:v>1</x:v>
      </x:c>
      <x:c r="AA16" s="24" t="n">
        <x:f>IFERROR(F16/H16,0)-IFERROR(G16/I16,0)</x:f>
        <x:v>0.04895104895104896</x:v>
      </x:c>
      <x:c r="AB16" s="28" t="n">
        <x:f>J16-K16</x:f>
        <x:v>5</x:v>
      </x:c>
      <x:c r="AC16" s="32" t="n">
        <x:f>F16-G16</x:f>
        <x:v>1</x:v>
      </x:c>
    </x:row>
    <x:row r="17">
      <x:c r="A17" s="4" t="str">
        <x:v>2021-22</x:v>
      </x:c>
      <x:c r="B17" s="20" t="n">
        <x:v>44422</x:v>
      </x:c>
      <x:c r="C17" s="4" t="str">
        <x:v>Wolves</x:v>
      </x:c>
      <x:c r="D17" s="4" t="str">
        <x:v>Leicester</x:v>
      </x:c>
      <x:c r="E17" s="4" t="str">
        <x:v>Away</x:v>
      </x:c>
      <x:c r="F17" s="28" t="n">
        <x:v>0</x:v>
      </x:c>
      <x:c r="G17" s="28" t="n">
        <x:v>1</x:v>
      </x:c>
      <x:c r="H17" s="28" t="n">
        <x:v>17</x:v>
      </x:c>
      <x:c r="I17" s="28" t="n">
        <x:v>9</x:v>
      </x:c>
      <x:c r="J17" s="28" t="n">
        <x:v>3</x:v>
      </x:c>
      <x:c r="K17" s="28" t="n">
        <x:v>5</x:v>
      </x:c>
      <x:c r="L17" s="28" t="n">
        <x:v>4</x:v>
      </x:c>
      <x:c r="M17" s="28" t="n">
        <x:v>5</x:v>
      </x:c>
      <x:c r="N17" s="28" t="n">
        <x:v>2</x:v>
      </x:c>
      <x:c r="O17" s="28" t="n">
        <x:v>0</x:v>
      </x:c>
      <x:c r="P17" s="28" t="n">
        <x:v>0</x:v>
      </x:c>
      <x:c r="Q17" s="24" t="n">
        <x:f>IFERROR(J17/H17,0)</x:f>
        <x:v>0.17647058823529413</x:v>
      </x:c>
      <x:c r="R17" s="24" t="n">
        <x:f>IFERROR(F17/H17,0)</x:f>
        <x:v>0</x:v>
      </x:c>
      <x:c r="S17" s="24" t="n">
        <x:f>IFERROR(F17/J17,0)</x:f>
        <x:v>0</x:v>
      </x:c>
      <x:c r="T17" s="28" t="n">
        <x:f>H17-I17</x:f>
        <x:v>8</x:v>
      </x:c>
      <x:c r="U17" s="24" t="n">
        <x:f>IFERROR(J17/H17,0)-IFERROR(K17/I17,0)</x:f>
        <x:v>-0.3790849673202614</x:v>
      </x:c>
      <x:c r="V17" s="24" t="n">
        <x:f>IFERROR(F17/J17,0)-IFERROR(G17/K17,0)</x:f>
        <x:v>-0.2</x:v>
      </x:c>
      <x:c r="W17" s="28" t="n">
        <x:f>L17-M17</x:f>
        <x:v>-1</x:v>
      </x:c>
      <x:c r="X17" s="24" t="n">
        <x:f>IFERROR(K17/I17,0)</x:f>
        <x:v>0.5555555555555556</x:v>
      </x:c>
      <x:c r="Y17" s="24" t="n">
        <x:f>IFERROR(G17/I17,0)</x:f>
        <x:v>0.1111111111111111</x:v>
      </x:c>
      <x:c r="Z17" s="24" t="n">
        <x:f>IFERROR(G17/K17,0)</x:f>
        <x:v>0.2</x:v>
      </x:c>
      <x:c r="AA17" s="24" t="n">
        <x:f>IFERROR(F17/H17,0)-IFERROR(G17/I17,0)</x:f>
        <x:v>-0.1111111111111111</x:v>
      </x:c>
      <x:c r="AB17" s="28" t="n">
        <x:f>J17-K17</x:f>
        <x:v>-2</x:v>
      </x:c>
      <x:c r="AC17" s="32" t="n">
        <x:f>F17-G17</x:f>
        <x:v>-1</x:v>
      </x:c>
    </x:row>
    <x:row r="18">
      <x:c r="A18" s="4" t="str">
        <x:v>2021-22</x:v>
      </x:c>
      <x:c r="B18" s="20" t="n">
        <x:v>44423</x:v>
      </x:c>
      <x:c r="C18" s="4" t="str">
        <x:v>Man City</x:v>
      </x:c>
      <x:c r="D18" s="4" t="str">
        <x:v>Tottenham</x:v>
      </x:c>
      <x:c r="E18" s="4" t="str">
        <x:v>Away</x:v>
      </x:c>
      <x:c r="F18" s="28" t="n">
        <x:v>0</x:v>
      </x:c>
      <x:c r="G18" s="28" t="n">
        <x:v>1</x:v>
      </x:c>
      <x:c r="H18" s="28" t="n">
        <x:v>18</x:v>
      </x:c>
      <x:c r="I18" s="28" t="n">
        <x:v>13</x:v>
      </x:c>
      <x:c r="J18" s="28" t="n">
        <x:v>4</x:v>
      </x:c>
      <x:c r="K18" s="28" t="n">
        <x:v>3</x:v>
      </x:c>
      <x:c r="L18" s="28" t="n">
        <x:v>11</x:v>
      </x:c>
      <x:c r="M18" s="28" t="n">
        <x:v>3</x:v>
      </x:c>
      <x:c r="N18" s="28" t="n">
        <x:v>1</x:v>
      </x:c>
      <x:c r="O18" s="28" t="n">
        <x:v>0</x:v>
      </x:c>
      <x:c r="P18" s="28" t="n">
        <x:v>0</x:v>
      </x:c>
      <x:c r="Q18" s="24" t="n">
        <x:f>IFERROR(J18/H18,0)</x:f>
        <x:v>0.2222222222222222</x:v>
      </x:c>
      <x:c r="R18" s="24" t="n">
        <x:f>IFERROR(F18/H18,0)</x:f>
        <x:v>0</x:v>
      </x:c>
      <x:c r="S18" s="24" t="n">
        <x:f>IFERROR(F18/J18,0)</x:f>
        <x:v>0</x:v>
      </x:c>
      <x:c r="T18" s="28" t="n">
        <x:f>H18-I18</x:f>
        <x:v>5</x:v>
      </x:c>
      <x:c r="U18" s="24" t="n">
        <x:f>IFERROR(J18/H18,0)-IFERROR(K18/I18,0)</x:f>
        <x:v>-0.008547008547008572</x:v>
      </x:c>
      <x:c r="V18" s="24" t="n">
        <x:f>IFERROR(F18/J18,0)-IFERROR(G18/K18,0)</x:f>
        <x:v>-0.3333333333333333</x:v>
      </x:c>
      <x:c r="W18" s="28" t="n">
        <x:f>L18-M18</x:f>
        <x:v>8</x:v>
      </x:c>
      <x:c r="X18" s="24" t="n">
        <x:f>IFERROR(K18/I18,0)</x:f>
        <x:v>0.23076923076923078</x:v>
      </x:c>
      <x:c r="Y18" s="24" t="n">
        <x:f>IFERROR(G18/I18,0)</x:f>
        <x:v>0.07692307692307693</x:v>
      </x:c>
      <x:c r="Z18" s="24" t="n">
        <x:f>IFERROR(G18/K18,0)</x:f>
        <x:v>0.3333333333333333</x:v>
      </x:c>
      <x:c r="AA18" s="24" t="n">
        <x:f>IFERROR(F18/H18,0)-IFERROR(G18/I18,0)</x:f>
        <x:v>-0.07692307692307693</x:v>
      </x:c>
      <x:c r="AB18" s="28" t="n">
        <x:f>J18-K18</x:f>
        <x:v>1</x:v>
      </x:c>
      <x:c r="AC18" s="32" t="n">
        <x:f>F18-G18</x:f>
        <x:v>-1</x:v>
      </x:c>
    </x:row>
    <x:row r="19">
      <x:c r="A19" s="4" t="str">
        <x:v>2021-22</x:v>
      </x:c>
      <x:c r="B19" s="20" t="n">
        <x:v>44423</x:v>
      </x:c>
      <x:c r="C19" s="4" t="str">
        <x:v>Newcastle</x:v>
      </x:c>
      <x:c r="D19" s="4" t="str">
        <x:v>West Ham</x:v>
      </x:c>
      <x:c r="E19" s="4" t="str">
        <x:v>Home</x:v>
      </x:c>
      <x:c r="F19" s="28" t="n">
        <x:v>2</x:v>
      </x:c>
      <x:c r="G19" s="28" t="n">
        <x:v>4</x:v>
      </x:c>
      <x:c r="H19" s="28" t="n">
        <x:v>17</x:v>
      </x:c>
      <x:c r="I19" s="28" t="n">
        <x:v>8</x:v>
      </x:c>
      <x:c r="J19" s="28" t="n">
        <x:v>3</x:v>
      </x:c>
      <x:c r="K19" s="28" t="n">
        <x:v>9</x:v>
      </x:c>
      <x:c r="L19" s="28" t="n">
        <x:v>7</x:v>
      </x:c>
      <x:c r="M19" s="28" t="n">
        <x:v>6</x:v>
      </x:c>
      <x:c r="N19" s="28" t="n">
        <x:v>1</x:v>
      </x:c>
      <x:c r="O19" s="28" t="n">
        <x:v>0</x:v>
      </x:c>
      <x:c r="P19" s="28" t="n">
        <x:v>0</x:v>
      </x:c>
      <x:c r="Q19" s="24" t="n">
        <x:f>IFERROR(J19/H19,0)</x:f>
        <x:v>0.17647058823529413</x:v>
      </x:c>
      <x:c r="R19" s="24" t="n">
        <x:f>IFERROR(F19/H19,0)</x:f>
        <x:v>0.11764705882352941</x:v>
      </x:c>
      <x:c r="S19" s="24" t="n">
        <x:f>IFERROR(F19/J19,0)</x:f>
        <x:v>0.6666666666666666</x:v>
      </x:c>
      <x:c r="T19" s="28" t="n">
        <x:f>H19-I19</x:f>
        <x:v>9</x:v>
      </x:c>
      <x:c r="U19" s="24" t="n">
        <x:f>IFERROR(J19/H19,0)-IFERROR(K19/I19,0)</x:f>
        <x:v>-0.9485294117647058</x:v>
      </x:c>
      <x:c r="V19" s="24" t="n">
        <x:f>IFERROR(F19/J19,0)-IFERROR(G19/K19,0)</x:f>
        <x:v>0.2222222222222222</x:v>
      </x:c>
      <x:c r="W19" s="28" t="n">
        <x:f>L19-M19</x:f>
        <x:v>1</x:v>
      </x:c>
      <x:c r="X19" s="24" t="n">
        <x:f>IFERROR(K19/I19,0)</x:f>
        <x:v>1.125</x:v>
      </x:c>
      <x:c r="Y19" s="24" t="n">
        <x:f>IFERROR(G19/I19,0)</x:f>
        <x:v>0.5</x:v>
      </x:c>
      <x:c r="Z19" s="24" t="n">
        <x:f>IFERROR(G19/K19,0)</x:f>
        <x:v>0.4444444444444444</x:v>
      </x:c>
      <x:c r="AA19" s="24" t="n">
        <x:f>IFERROR(F19/H19,0)-IFERROR(G19/I19,0)</x:f>
        <x:v>-0.38235294117647056</x:v>
      </x:c>
      <x:c r="AB19" s="28" t="n">
        <x:f>J19-K19</x:f>
        <x:v>-6</x:v>
      </x:c>
      <x:c r="AC19" s="32" t="n">
        <x:f>F19-G19</x:f>
        <x:v>-2</x:v>
      </x:c>
    </x:row>
    <x:row r="20">
      <x:c r="A20" s="4" t="str">
        <x:v>2021-22</x:v>
      </x:c>
      <x:c r="B20" s="20" t="n">
        <x:v>44423</x:v>
      </x:c>
      <x:c r="C20" s="4" t="str">
        <x:v>Tottenham</x:v>
      </x:c>
      <x:c r="D20" s="4" t="str">
        <x:v>Man City</x:v>
      </x:c>
      <x:c r="E20" s="4" t="str">
        <x:v>Home</x:v>
      </x:c>
      <x:c r="F20" s="28" t="n">
        <x:v>1</x:v>
      </x:c>
      <x:c r="G20" s="28" t="n">
        <x:v>0</x:v>
      </x:c>
      <x:c r="H20" s="28" t="n">
        <x:v>13</x:v>
      </x:c>
      <x:c r="I20" s="28" t="n">
        <x:v>18</x:v>
      </x:c>
      <x:c r="J20" s="28" t="n">
        <x:v>3</x:v>
      </x:c>
      <x:c r="K20" s="28" t="n">
        <x:v>4</x:v>
      </x:c>
      <x:c r="L20" s="28" t="n">
        <x:v>3</x:v>
      </x:c>
      <x:c r="M20" s="28" t="n">
        <x:v>11</x:v>
      </x:c>
      <x:c r="N20" s="28" t="n">
        <x:v>2</x:v>
      </x:c>
      <x:c r="O20" s="28" t="n">
        <x:v>0</x:v>
      </x:c>
      <x:c r="P20" s="28" t="n">
        <x:v>3</x:v>
      </x:c>
      <x:c r="Q20" s="24" t="n">
        <x:f>IFERROR(J20/H20,0)</x:f>
        <x:v>0.23076923076923078</x:v>
      </x:c>
      <x:c r="R20" s="24" t="n">
        <x:f>IFERROR(F20/H20,0)</x:f>
        <x:v>0.07692307692307693</x:v>
      </x:c>
      <x:c r="S20" s="24" t="n">
        <x:f>IFERROR(F20/J20,0)</x:f>
        <x:v>0.3333333333333333</x:v>
      </x:c>
      <x:c r="T20" s="28" t="n">
        <x:f>H20-I20</x:f>
        <x:v>-5</x:v>
      </x:c>
      <x:c r="U20" s="24" t="n">
        <x:f>IFERROR(J20/H20,0)-IFERROR(K20/I20,0)</x:f>
        <x:v>0.008547008547008572</x:v>
      </x:c>
      <x:c r="V20" s="24" t="n">
        <x:f>IFERROR(F20/J20,0)-IFERROR(G20/K20,0)</x:f>
        <x:v>0.3333333333333333</x:v>
      </x:c>
      <x:c r="W20" s="28" t="n">
        <x:f>L20-M20</x:f>
        <x:v>-8</x:v>
      </x:c>
      <x:c r="X20" s="24" t="n">
        <x:f>IFERROR(K20/I20,0)</x:f>
        <x:v>0.2222222222222222</x:v>
      </x:c>
      <x:c r="Y20" s="24" t="n">
        <x:f>IFERROR(G20/I20,0)</x:f>
        <x:v>0</x:v>
      </x:c>
      <x:c r="Z20" s="24" t="n">
        <x:f>IFERROR(G20/K20,0)</x:f>
        <x:v>0</x:v>
      </x:c>
      <x:c r="AA20" s="24" t="n">
        <x:f>IFERROR(F20/H20,0)-IFERROR(G20/I20,0)</x:f>
        <x:v>0.07692307692307693</x:v>
      </x:c>
      <x:c r="AB20" s="28" t="n">
        <x:f>J20-K20</x:f>
        <x:v>-1</x:v>
      </x:c>
      <x:c r="AC20" s="32" t="n">
        <x:f>F20-G20</x:f>
        <x:v>1</x:v>
      </x:c>
    </x:row>
    <x:row r="21">
      <x:c r="A21" s="4" t="str">
        <x:v>2021-22</x:v>
      </x:c>
      <x:c r="B21" s="20" t="n">
        <x:v>44423</x:v>
      </x:c>
      <x:c r="C21" s="4" t="str">
        <x:v>West Ham</x:v>
      </x:c>
      <x:c r="D21" s="4" t="str">
        <x:v>Newcastle</x:v>
      </x:c>
      <x:c r="E21" s="4" t="str">
        <x:v>Away</x:v>
      </x:c>
      <x:c r="F21" s="28" t="n">
        <x:v>4</x:v>
      </x:c>
      <x:c r="G21" s="28" t="n">
        <x:v>2</x:v>
      </x:c>
      <x:c r="H21" s="28" t="n">
        <x:v>8</x:v>
      </x:c>
      <x:c r="I21" s="28" t="n">
        <x:v>17</x:v>
      </x:c>
      <x:c r="J21" s="28" t="n">
        <x:v>9</x:v>
      </x:c>
      <x:c r="K21" s="28" t="n">
        <x:v>3</x:v>
      </x:c>
      <x:c r="L21" s="28" t="n">
        <x:v>6</x:v>
      </x:c>
      <x:c r="M21" s="28" t="n">
        <x:v>7</x:v>
      </x:c>
      <x:c r="N21" s="28" t="n">
        <x:v>0</x:v>
      </x:c>
      <x:c r="O21" s="28" t="n">
        <x:v>0</x:v>
      </x:c>
      <x:c r="P21" s="28" t="n">
        <x:v>3</x:v>
      </x:c>
      <x:c r="Q21" s="24" t="n">
        <x:f>IFERROR(J21/H21,0)</x:f>
        <x:v>1.125</x:v>
      </x:c>
      <x:c r="R21" s="24" t="n">
        <x:f>IFERROR(F21/H21,0)</x:f>
        <x:v>0.5</x:v>
      </x:c>
      <x:c r="S21" s="24" t="n">
        <x:f>IFERROR(F21/J21,0)</x:f>
        <x:v>0.4444444444444444</x:v>
      </x:c>
      <x:c r="T21" s="28" t="n">
        <x:f>H21-I21</x:f>
        <x:v>-9</x:v>
      </x:c>
      <x:c r="U21" s="24" t="n">
        <x:f>IFERROR(J21/H21,0)-IFERROR(K21/I21,0)</x:f>
        <x:v>0.9485294117647058</x:v>
      </x:c>
      <x:c r="V21" s="24" t="n">
        <x:f>IFERROR(F21/J21,0)-IFERROR(G21/K21,0)</x:f>
        <x:v>-0.2222222222222222</x:v>
      </x:c>
      <x:c r="W21" s="28" t="n">
        <x:f>L21-M21</x:f>
        <x:v>-1</x:v>
      </x:c>
      <x:c r="X21" s="24" t="n">
        <x:f>IFERROR(K21/I21,0)</x:f>
        <x:v>0.17647058823529413</x:v>
      </x:c>
      <x:c r="Y21" s="24" t="n">
        <x:f>IFERROR(G21/I21,0)</x:f>
        <x:v>0.11764705882352941</x:v>
      </x:c>
      <x:c r="Z21" s="24" t="n">
        <x:f>IFERROR(G21/K21,0)</x:f>
        <x:v>0.6666666666666666</x:v>
      </x:c>
      <x:c r="AA21" s="24" t="n">
        <x:f>IFERROR(F21/H21,0)-IFERROR(G21/I21,0)</x:f>
        <x:v>0.38235294117647056</x:v>
      </x:c>
      <x:c r="AB21" s="28" t="n">
        <x:f>J21-K21</x:f>
        <x:v>6</x:v>
      </x:c>
      <x:c r="AC21" s="32" t="n">
        <x:f>F21-G21</x:f>
        <x:v>2</x:v>
      </x:c>
    </x:row>
    <x:row r="22">
      <x:c r="A22" s="4" t="str">
        <x:v>2021-22</x:v>
      </x:c>
      <x:c r="B22" s="20" t="n">
        <x:v>44429</x:v>
      </x:c>
      <x:c r="C22" s="4" t="str">
        <x:v>Aston Villa</x:v>
      </x:c>
      <x:c r="D22" s="4" t="str">
        <x:v>Newcastle</x:v>
      </x:c>
      <x:c r="E22" s="4" t="str">
        <x:v>Home</x:v>
      </x:c>
      <x:c r="F22" s="28" t="n">
        <x:v>2</x:v>
      </x:c>
      <x:c r="G22" s="28" t="n">
        <x:v>0</x:v>
      </x:c>
      <x:c r="H22" s="28" t="n">
        <x:v>10</x:v>
      </x:c>
      <x:c r="I22" s="28" t="n">
        <x:v>9</x:v>
      </x:c>
      <x:c r="J22" s="28" t="n">
        <x:v>2</x:v>
      </x:c>
      <x:c r="K22" s="28" t="n">
        <x:v>1</x:v>
      </x:c>
      <x:c r="L22" s="28" t="n">
        <x:v>3</x:v>
      </x:c>
      <x:c r="M22" s="28" t="n">
        <x:v>4</x:v>
      </x:c>
      <x:c r="N22" s="28" t="n">
        <x:v>3</x:v>
      </x:c>
      <x:c r="O22" s="28" t="n">
        <x:v>0</x:v>
      </x:c>
      <x:c r="P22" s="28" t="n">
        <x:v>3</x:v>
      </x:c>
      <x:c r="Q22" s="24" t="n">
        <x:f>IFERROR(J22/H22,0)</x:f>
        <x:v>0.2</x:v>
      </x:c>
      <x:c r="R22" s="24" t="n">
        <x:f>IFERROR(F22/H22,0)</x:f>
        <x:v>0.2</x:v>
      </x:c>
      <x:c r="S22" s="24" t="n">
        <x:f>IFERROR(F22/J22,0)</x:f>
        <x:v>1</x:v>
      </x:c>
      <x:c r="T22" s="28" t="n">
        <x:f>H22-I22</x:f>
        <x:v>1</x:v>
      </x:c>
      <x:c r="U22" s="24" t="n">
        <x:f>IFERROR(J22/H22,0)-IFERROR(K22/I22,0)</x:f>
        <x:v>0.0888888888888889</x:v>
      </x:c>
      <x:c r="V22" s="24" t="n">
        <x:f>IFERROR(F22/J22,0)-IFERROR(G22/K22,0)</x:f>
        <x:v>1</x:v>
      </x:c>
      <x:c r="W22" s="28" t="n">
        <x:f>L22-M22</x:f>
        <x:v>-1</x:v>
      </x:c>
      <x:c r="X22" s="24" t="n">
        <x:f>IFERROR(K22/I22,0)</x:f>
        <x:v>0.1111111111111111</x:v>
      </x:c>
      <x:c r="Y22" s="24" t="n">
        <x:f>IFERROR(G22/I22,0)</x:f>
        <x:v>0</x:v>
      </x:c>
      <x:c r="Z22" s="24" t="n">
        <x:f>IFERROR(G22/K22,0)</x:f>
        <x:v>0</x:v>
      </x:c>
      <x:c r="AA22" s="24" t="n">
        <x:f>IFERROR(F22/H22,0)-IFERROR(G22/I22,0)</x:f>
        <x:v>0.2</x:v>
      </x:c>
      <x:c r="AB22" s="28" t="n">
        <x:f>J22-K22</x:f>
        <x:v>1</x:v>
      </x:c>
      <x:c r="AC22" s="32" t="n">
        <x:f>F22-G22</x:f>
        <x:v>2</x:v>
      </x:c>
    </x:row>
    <x:row r="23">
      <x:c r="A23" s="4" t="str">
        <x:v>2021-22</x:v>
      </x:c>
      <x:c r="B23" s="20" t="n">
        <x:v>44429</x:v>
      </x:c>
      <x:c r="C23" s="4" t="str">
        <x:v>Brentford</x:v>
      </x:c>
      <x:c r="D23" s="4" t="str">
        <x:v>Crystal Palace</x:v>
      </x:c>
      <x:c r="E23" s="4" t="str">
        <x:v>Away</x:v>
      </x:c>
      <x:c r="F23" s="28" t="n">
        <x:v>0</x:v>
      </x:c>
      <x:c r="G23" s="28" t="n">
        <x:v>0</x:v>
      </x:c>
      <x:c r="H23" s="28" t="n">
        <x:v>14</x:v>
      </x:c>
      <x:c r="I23" s="28" t="n">
        <x:v>7</x:v>
      </x:c>
      <x:c r="J23" s="28" t="n">
        <x:v>3</x:v>
      </x:c>
      <x:c r="K23" s="28" t="n">
        <x:v>2</x:v>
      </x:c>
      <x:c r="L23" s="28" t="n">
        <x:v>5</x:v>
      </x:c>
      <x:c r="M23" s="28" t="n">
        <x:v>3</x:v>
      </x:c>
      <x:c r="N23" s="28" t="n">
        <x:v>1</x:v>
      </x:c>
      <x:c r="O23" s="28" t="n">
        <x:v>0</x:v>
      </x:c>
      <x:c r="P23" s="28" t="n">
        <x:v>1</x:v>
      </x:c>
      <x:c r="Q23" s="24" t="n">
        <x:f>IFERROR(J23/H23,0)</x:f>
        <x:v>0.21428571428571427</x:v>
      </x:c>
      <x:c r="R23" s="24" t="n">
        <x:f>IFERROR(F23/H23,0)</x:f>
        <x:v>0</x:v>
      </x:c>
      <x:c r="S23" s="24" t="n">
        <x:f>IFERROR(F23/J23,0)</x:f>
        <x:v>0</x:v>
      </x:c>
      <x:c r="T23" s="28" t="n">
        <x:f>H23-I23</x:f>
        <x:v>7</x:v>
      </x:c>
      <x:c r="U23" s="24" t="n">
        <x:f>IFERROR(J23/H23,0)-IFERROR(K23/I23,0)</x:f>
        <x:v>-0.07142857142857142</x:v>
      </x:c>
      <x:c r="V23" s="24" t="n">
        <x:f>IFERROR(F23/J23,0)-IFERROR(G23/K23,0)</x:f>
        <x:v>0</x:v>
      </x:c>
      <x:c r="W23" s="28" t="n">
        <x:f>L23-M23</x:f>
        <x:v>2</x:v>
      </x:c>
      <x:c r="X23" s="24" t="n">
        <x:f>IFERROR(K23/I23,0)</x:f>
        <x:v>0.2857142857142857</x:v>
      </x:c>
      <x:c r="Y23" s="24" t="n">
        <x:f>IFERROR(G23/I23,0)</x:f>
        <x:v>0</x:v>
      </x:c>
      <x:c r="Z23" s="24" t="n">
        <x:f>IFERROR(G23/K23,0)</x:f>
        <x:v>0</x:v>
      </x:c>
      <x:c r="AA23" s="24" t="n">
        <x:f>IFERROR(F23/H23,0)-IFERROR(G23/I23,0)</x:f>
        <x:v>0</x:v>
      </x:c>
      <x:c r="AB23" s="28" t="n">
        <x:f>J23-K23</x:f>
        <x:v>1</x:v>
      </x:c>
      <x:c r="AC23" s="32" t="n">
        <x:f>F23-G23</x:f>
        <x:v>0</x:v>
      </x:c>
    </x:row>
    <x:row r="24">
      <x:c r="A24" s="4" t="str">
        <x:v>2021-22</x:v>
      </x:c>
      <x:c r="B24" s="20" t="n">
        <x:v>44429</x:v>
      </x:c>
      <x:c r="C24" s="4" t="str">
        <x:v>Brighton</x:v>
      </x:c>
      <x:c r="D24" s="4" t="str">
        <x:v>Watford</x:v>
      </x:c>
      <x:c r="E24" s="4" t="str">
        <x:v>Home</x:v>
      </x:c>
      <x:c r="F24" s="28" t="n">
        <x:v>2</x:v>
      </x:c>
      <x:c r="G24" s="28" t="n">
        <x:v>0</x:v>
      </x:c>
      <x:c r="H24" s="28" t="n">
        <x:v>13</x:v>
      </x:c>
      <x:c r="I24" s="28" t="n">
        <x:v>10</x:v>
      </x:c>
      <x:c r="J24" s="28" t="n">
        <x:v>3</x:v>
      </x:c>
      <x:c r="K24" s="28" t="n">
        <x:v>1</x:v>
      </x:c>
      <x:c r="L24" s="28" t="n">
        <x:v>7</x:v>
      </x:c>
      <x:c r="M24" s="28" t="n">
        <x:v>2</x:v>
      </x:c>
      <x:c r="N24" s="28" t="n">
        <x:v>4</x:v>
      </x:c>
      <x:c r="O24" s="28" t="n">
        <x:v>0</x:v>
      </x:c>
      <x:c r="P24" s="28" t="n">
        <x:v>3</x:v>
      </x:c>
      <x:c r="Q24" s="24" t="n">
        <x:f>IFERROR(J24/H24,0)</x:f>
        <x:v>0.23076923076923078</x:v>
      </x:c>
      <x:c r="R24" s="24" t="n">
        <x:f>IFERROR(F24/H24,0)</x:f>
        <x:v>0.15384615384615385</x:v>
      </x:c>
      <x:c r="S24" s="24" t="n">
        <x:f>IFERROR(F24/J24,0)</x:f>
        <x:v>0.6666666666666666</x:v>
      </x:c>
      <x:c r="T24" s="28" t="n">
        <x:f>H24-I24</x:f>
        <x:v>3</x:v>
      </x:c>
      <x:c r="U24" s="24" t="n">
        <x:f>IFERROR(J24/H24,0)-IFERROR(K24/I24,0)</x:f>
        <x:v>0.13076923076923078</x:v>
      </x:c>
      <x:c r="V24" s="24" t="n">
        <x:f>IFERROR(F24/J24,0)-IFERROR(G24/K24,0)</x:f>
        <x:v>0.6666666666666666</x:v>
      </x:c>
      <x:c r="W24" s="28" t="n">
        <x:f>L24-M24</x:f>
        <x:v>5</x:v>
      </x:c>
      <x:c r="X24" s="24" t="n">
        <x:f>IFERROR(K24/I24,0)</x:f>
        <x:v>0.1</x:v>
      </x:c>
      <x:c r="Y24" s="24" t="n">
        <x:f>IFERROR(G24/I24,0)</x:f>
        <x:v>0</x:v>
      </x:c>
      <x:c r="Z24" s="24" t="n">
        <x:f>IFERROR(G24/K24,0)</x:f>
        <x:v>0</x:v>
      </x:c>
      <x:c r="AA24" s="24" t="n">
        <x:f>IFERROR(F24/H24,0)-IFERROR(G24/I24,0)</x:f>
        <x:v>0.15384615384615385</x:v>
      </x:c>
      <x:c r="AB24" s="28" t="n">
        <x:f>J24-K24</x:f>
        <x:v>2</x:v>
      </x:c>
      <x:c r="AC24" s="32" t="n">
        <x:f>F24-G24</x:f>
        <x:v>2</x:v>
      </x:c>
    </x:row>
    <x:row r="25">
      <x:c r="A25" s="4" t="str">
        <x:v>2021-22</x:v>
      </x:c>
      <x:c r="B25" s="20" t="n">
        <x:v>44429</x:v>
      </x:c>
      <x:c r="C25" s="4" t="str">
        <x:v>Burnley</x:v>
      </x:c>
      <x:c r="D25" s="4" t="str">
        <x:v>Liverpool</x:v>
      </x:c>
      <x:c r="E25" s="4" t="str">
        <x:v>Away</x:v>
      </x:c>
      <x:c r="F25" s="28" t="n">
        <x:v>0</x:v>
      </x:c>
      <x:c r="G25" s="28" t="n">
        <x:v>2</x:v>
      </x:c>
      <x:c r="H25" s="28" t="n">
        <x:v>9</x:v>
      </x:c>
      <x:c r="I25" s="28" t="n">
        <x:v>27</x:v>
      </x:c>
      <x:c r="J25" s="28" t="n">
        <x:v>3</x:v>
      </x:c>
      <x:c r="K25" s="28" t="n">
        <x:v>9</x:v>
      </x:c>
      <x:c r="L25" s="28" t="n">
        <x:v>4</x:v>
      </x:c>
      <x:c r="M25" s="28" t="n">
        <x:v>8</x:v>
      </x:c>
      <x:c r="N25" s="28" t="n">
        <x:v>0</x:v>
      </x:c>
      <x:c r="O25" s="28" t="n">
        <x:v>0</x:v>
      </x:c>
      <x:c r="P25" s="28" t="n">
        <x:v>0</x:v>
      </x:c>
      <x:c r="Q25" s="24" t="n">
        <x:f>IFERROR(J25/H25,0)</x:f>
        <x:v>0.3333333333333333</x:v>
      </x:c>
      <x:c r="R25" s="24" t="n">
        <x:f>IFERROR(F25/H25,0)</x:f>
        <x:v>0</x:v>
      </x:c>
      <x:c r="S25" s="24" t="n">
        <x:f>IFERROR(F25/J25,0)</x:f>
        <x:v>0</x:v>
      </x:c>
      <x:c r="T25" s="28" t="n">
        <x:f>H25-I25</x:f>
        <x:v>-18</x:v>
      </x:c>
      <x:c r="U25" s="24" t="n">
        <x:f>IFERROR(J25/H25,0)-IFERROR(K25/I25,0)</x:f>
        <x:v>0</x:v>
      </x:c>
      <x:c r="V25" s="24" t="n">
        <x:f>IFERROR(F25/J25,0)-IFERROR(G25/K25,0)</x:f>
        <x:v>-0.2222222222222222</x:v>
      </x:c>
      <x:c r="W25" s="28" t="n">
        <x:f>L25-M25</x:f>
        <x:v>-4</x:v>
      </x:c>
      <x:c r="X25" s="24" t="n">
        <x:f>IFERROR(K25/I25,0)</x:f>
        <x:v>0.3333333333333333</x:v>
      </x:c>
      <x:c r="Y25" s="24" t="n">
        <x:f>IFERROR(G25/I25,0)</x:f>
        <x:v>0.07407407407407407</x:v>
      </x:c>
      <x:c r="Z25" s="24" t="n">
        <x:f>IFERROR(G25/K25,0)</x:f>
        <x:v>0.2222222222222222</x:v>
      </x:c>
      <x:c r="AA25" s="24" t="n">
        <x:f>IFERROR(F25/H25,0)-IFERROR(G25/I25,0)</x:f>
        <x:v>-0.07407407407407407</x:v>
      </x:c>
      <x:c r="AB25" s="28" t="n">
        <x:f>J25-K25</x:f>
        <x:v>-6</x:v>
      </x:c>
      <x:c r="AC25" s="32" t="n">
        <x:f>F25-G25</x:f>
        <x:v>-2</x:v>
      </x:c>
    </x:row>
    <x:row r="26">
      <x:c r="A26" s="4" t="str">
        <x:v>2021-22</x:v>
      </x:c>
      <x:c r="B26" s="20" t="n">
        <x:v>44429</x:v>
      </x:c>
      <x:c r="C26" s="4" t="str">
        <x:v>Crystal Palace</x:v>
      </x:c>
      <x:c r="D26" s="4" t="str">
        <x:v>Brentford</x:v>
      </x:c>
      <x:c r="E26" s="4" t="str">
        <x:v>Home</x:v>
      </x:c>
      <x:c r="F26" s="28" t="n">
        <x:v>0</x:v>
      </x:c>
      <x:c r="G26" s="28" t="n">
        <x:v>0</x:v>
      </x:c>
      <x:c r="H26" s="28" t="n">
        <x:v>7</x:v>
      </x:c>
      <x:c r="I26" s="28" t="n">
        <x:v>14</x:v>
      </x:c>
      <x:c r="J26" s="28" t="n">
        <x:v>2</x:v>
      </x:c>
      <x:c r="K26" s="28" t="n">
        <x:v>3</x:v>
      </x:c>
      <x:c r="L26" s="28" t="n">
        <x:v>3</x:v>
      </x:c>
      <x:c r="M26" s="28" t="n">
        <x:v>5</x:v>
      </x:c>
      <x:c r="N26" s="28" t="n">
        <x:v>3</x:v>
      </x:c>
      <x:c r="O26" s="28" t="n">
        <x:v>0</x:v>
      </x:c>
      <x:c r="P26" s="28" t="n">
        <x:v>1</x:v>
      </x:c>
      <x:c r="Q26" s="24" t="n">
        <x:f>IFERROR(J26/H26,0)</x:f>
        <x:v>0.2857142857142857</x:v>
      </x:c>
      <x:c r="R26" s="24" t="n">
        <x:f>IFERROR(F26/H26,0)</x:f>
        <x:v>0</x:v>
      </x:c>
      <x:c r="S26" s="24" t="n">
        <x:f>IFERROR(F26/J26,0)</x:f>
        <x:v>0</x:v>
      </x:c>
      <x:c r="T26" s="28" t="n">
        <x:f>H26-I26</x:f>
        <x:v>-7</x:v>
      </x:c>
      <x:c r="U26" s="24" t="n">
        <x:f>IFERROR(J26/H26,0)-IFERROR(K26/I26,0)</x:f>
        <x:v>0.07142857142857142</x:v>
      </x:c>
      <x:c r="V26" s="24" t="n">
        <x:f>IFERROR(F26/J26,0)-IFERROR(G26/K26,0)</x:f>
        <x:v>0</x:v>
      </x:c>
      <x:c r="W26" s="28" t="n">
        <x:f>L26-M26</x:f>
        <x:v>-2</x:v>
      </x:c>
      <x:c r="X26" s="24" t="n">
        <x:f>IFERROR(K26/I26,0)</x:f>
        <x:v>0.21428571428571427</x:v>
      </x:c>
      <x:c r="Y26" s="24" t="n">
        <x:f>IFERROR(G26/I26,0)</x:f>
        <x:v>0</x:v>
      </x:c>
      <x:c r="Z26" s="24" t="n">
        <x:f>IFERROR(G26/K26,0)</x:f>
        <x:v>0</x:v>
      </x:c>
      <x:c r="AA26" s="24" t="n">
        <x:f>IFERROR(F26/H26,0)-IFERROR(G26/I26,0)</x:f>
        <x:v>0</x:v>
      </x:c>
      <x:c r="AB26" s="28" t="n">
        <x:f>J26-K26</x:f>
        <x:v>-1</x:v>
      </x:c>
      <x:c r="AC26" s="32" t="n">
        <x:f>F26-G26</x:f>
        <x:v>0</x:v>
      </x:c>
    </x:row>
    <x:row r="27">
      <x:c r="A27" s="4" t="str">
        <x:v>2021-22</x:v>
      </x:c>
      <x:c r="B27" s="20" t="n">
        <x:v>44429</x:v>
      </x:c>
      <x:c r="C27" s="4" t="str">
        <x:v>Everton</x:v>
      </x:c>
      <x:c r="D27" s="4" t="str">
        <x:v>Leeds</x:v>
      </x:c>
      <x:c r="E27" s="4" t="str">
        <x:v>Away</x:v>
      </x:c>
      <x:c r="F27" s="28" t="n">
        <x:v>2</x:v>
      </x:c>
      <x:c r="G27" s="28" t="n">
        <x:v>2</x:v>
      </x:c>
      <x:c r="H27" s="28" t="n">
        <x:v>17</x:v>
      </x:c>
      <x:c r="I27" s="28" t="n">
        <x:v>17</x:v>
      </x:c>
      <x:c r="J27" s="28" t="n">
        <x:v>8</x:v>
      </x:c>
      <x:c r="K27" s="28" t="n">
        <x:v>4</x:v>
      </x:c>
      <x:c r="L27" s="28" t="n">
        <x:v>5</x:v>
      </x:c>
      <x:c r="M27" s="28" t="n">
        <x:v>8</x:v>
      </x:c>
      <x:c r="N27" s="28" t="n">
        <x:v>4</x:v>
      </x:c>
      <x:c r="O27" s="28" t="n">
        <x:v>0</x:v>
      </x:c>
      <x:c r="P27" s="28" t="n">
        <x:v>1</x:v>
      </x:c>
      <x:c r="Q27" s="24" t="n">
        <x:f>IFERROR(J27/H27,0)</x:f>
        <x:v>0.47058823529411764</x:v>
      </x:c>
      <x:c r="R27" s="24" t="n">
        <x:f>IFERROR(F27/H27,0)</x:f>
        <x:v>0.11764705882352941</x:v>
      </x:c>
      <x:c r="S27" s="24" t="n">
        <x:f>IFERROR(F27/J27,0)</x:f>
        <x:v>0.25</x:v>
      </x:c>
      <x:c r="T27" s="28" t="n">
        <x:f>H27-I27</x:f>
        <x:v>0</x:v>
      </x:c>
      <x:c r="U27" s="24" t="n">
        <x:f>IFERROR(J27/H27,0)-IFERROR(K27/I27,0)</x:f>
        <x:v>0.23529411764705882</x:v>
      </x:c>
      <x:c r="V27" s="24" t="n">
        <x:f>IFERROR(F27/J27,0)-IFERROR(G27/K27,0)</x:f>
        <x:v>-0.25</x:v>
      </x:c>
      <x:c r="W27" s="28" t="n">
        <x:f>L27-M27</x:f>
        <x:v>-3</x:v>
      </x:c>
      <x:c r="X27" s="24" t="n">
        <x:f>IFERROR(K27/I27,0)</x:f>
        <x:v>0.23529411764705882</x:v>
      </x:c>
      <x:c r="Y27" s="24" t="n">
        <x:f>IFERROR(G27/I27,0)</x:f>
        <x:v>0.11764705882352941</x:v>
      </x:c>
      <x:c r="Z27" s="24" t="n">
        <x:f>IFERROR(G27/K27,0)</x:f>
        <x:v>0.5</x:v>
      </x:c>
      <x:c r="AA27" s="24" t="n">
        <x:f>IFERROR(F27/H27,0)-IFERROR(G27/I27,0)</x:f>
        <x:v>0</x:v>
      </x:c>
      <x:c r="AB27" s="28" t="n">
        <x:f>J27-K27</x:f>
        <x:v>4</x:v>
      </x:c>
      <x:c r="AC27" s="32" t="n">
        <x:f>F27-G27</x:f>
        <x:v>0</x:v>
      </x:c>
    </x:row>
    <x:row r="28">
      <x:c r="A28" s="4" t="str">
        <x:v>2021-22</x:v>
      </x:c>
      <x:c r="B28" s="20" t="n">
        <x:v>44429</x:v>
      </x:c>
      <x:c r="C28" s="4" t="str">
        <x:v>Leeds</x:v>
      </x:c>
      <x:c r="D28" s="4" t="str">
        <x:v>Everton</x:v>
      </x:c>
      <x:c r="E28" s="4" t="str">
        <x:v>Home</x:v>
      </x:c>
      <x:c r="F28" s="28" t="n">
        <x:v>2</x:v>
      </x:c>
      <x:c r="G28" s="28" t="n">
        <x:v>2</x:v>
      </x:c>
      <x:c r="H28" s="28" t="n">
        <x:v>17</x:v>
      </x:c>
      <x:c r="I28" s="28" t="n">
        <x:v>17</x:v>
      </x:c>
      <x:c r="J28" s="28" t="n">
        <x:v>4</x:v>
      </x:c>
      <x:c r="K28" s="28" t="n">
        <x:v>8</x:v>
      </x:c>
      <x:c r="L28" s="28" t="n">
        <x:v>8</x:v>
      </x:c>
      <x:c r="M28" s="28" t="n">
        <x:v>5</x:v>
      </x:c>
      <x:c r="N28" s="28" t="n">
        <x:v>2</x:v>
      </x:c>
      <x:c r="O28" s="28" t="n">
        <x:v>0</x:v>
      </x:c>
      <x:c r="P28" s="28" t="n">
        <x:v>1</x:v>
      </x:c>
      <x:c r="Q28" s="24" t="n">
        <x:f>IFERROR(J28/H28,0)</x:f>
        <x:v>0.23529411764705882</x:v>
      </x:c>
      <x:c r="R28" s="24" t="n">
        <x:f>IFERROR(F28/H28,0)</x:f>
        <x:v>0.11764705882352941</x:v>
      </x:c>
      <x:c r="S28" s="24" t="n">
        <x:f>IFERROR(F28/J28,0)</x:f>
        <x:v>0.5</x:v>
      </x:c>
      <x:c r="T28" s="28" t="n">
        <x:f>H28-I28</x:f>
        <x:v>0</x:v>
      </x:c>
      <x:c r="U28" s="24" t="n">
        <x:f>IFERROR(J28/H28,0)-IFERROR(K28/I28,0)</x:f>
        <x:v>-0.23529411764705882</x:v>
      </x:c>
      <x:c r="V28" s="24" t="n">
        <x:f>IFERROR(F28/J28,0)-IFERROR(G28/K28,0)</x:f>
        <x:v>0.25</x:v>
      </x:c>
      <x:c r="W28" s="28" t="n">
        <x:f>L28-M28</x:f>
        <x:v>3</x:v>
      </x:c>
      <x:c r="X28" s="24" t="n">
        <x:f>IFERROR(K28/I28,0)</x:f>
        <x:v>0.47058823529411764</x:v>
      </x:c>
      <x:c r="Y28" s="24" t="n">
        <x:f>IFERROR(G28/I28,0)</x:f>
        <x:v>0.11764705882352941</x:v>
      </x:c>
      <x:c r="Z28" s="24" t="n">
        <x:f>IFERROR(G28/K28,0)</x:f>
        <x:v>0.25</x:v>
      </x:c>
      <x:c r="AA28" s="24" t="n">
        <x:f>IFERROR(F28/H28,0)-IFERROR(G28/I28,0)</x:f>
        <x:v>0</x:v>
      </x:c>
      <x:c r="AB28" s="28" t="n">
        <x:f>J28-K28</x:f>
        <x:v>-4</x:v>
      </x:c>
      <x:c r="AC28" s="32" t="n">
        <x:f>F28-G28</x:f>
        <x:v>0</x:v>
      </x:c>
    </x:row>
    <x:row r="29">
      <x:c r="A29" s="4" t="str">
        <x:v>2021-22</x:v>
      </x:c>
      <x:c r="B29" s="20" t="n">
        <x:v>44429</x:v>
      </x:c>
      <x:c r="C29" s="4" t="str">
        <x:v>Liverpool</x:v>
      </x:c>
      <x:c r="D29" s="4" t="str">
        <x:v>Burnley</x:v>
      </x:c>
      <x:c r="E29" s="4" t="str">
        <x:v>Home</x:v>
      </x:c>
      <x:c r="F29" s="28" t="n">
        <x:v>2</x:v>
      </x:c>
      <x:c r="G29" s="28" t="n">
        <x:v>0</x:v>
      </x:c>
      <x:c r="H29" s="28" t="n">
        <x:v>27</x:v>
      </x:c>
      <x:c r="I29" s="28" t="n">
        <x:v>9</x:v>
      </x:c>
      <x:c r="J29" s="28" t="n">
        <x:v>9</x:v>
      </x:c>
      <x:c r="K29" s="28" t="n">
        <x:v>3</x:v>
      </x:c>
      <x:c r="L29" s="28" t="n">
        <x:v>8</x:v>
      </x:c>
      <x:c r="M29" s="28" t="n">
        <x:v>4</x:v>
      </x:c>
      <x:c r="N29" s="28" t="n">
        <x:v>0</x:v>
      </x:c>
      <x:c r="O29" s="28" t="n">
        <x:v>0</x:v>
      </x:c>
      <x:c r="P29" s="28" t="n">
        <x:v>3</x:v>
      </x:c>
      <x:c r="Q29" s="24" t="n">
        <x:f>IFERROR(J29/H29,0)</x:f>
        <x:v>0.3333333333333333</x:v>
      </x:c>
      <x:c r="R29" s="24" t="n">
        <x:f>IFERROR(F29/H29,0)</x:f>
        <x:v>0.07407407407407407</x:v>
      </x:c>
      <x:c r="S29" s="24" t="n">
        <x:f>IFERROR(F29/J29,0)</x:f>
        <x:v>0.2222222222222222</x:v>
      </x:c>
      <x:c r="T29" s="28" t="n">
        <x:f>H29-I29</x:f>
        <x:v>18</x:v>
      </x:c>
      <x:c r="U29" s="24" t="n">
        <x:f>IFERROR(J29/H29,0)-IFERROR(K29/I29,0)</x:f>
        <x:v>0</x:v>
      </x:c>
      <x:c r="V29" s="24" t="n">
        <x:f>IFERROR(F29/J29,0)-IFERROR(G29/K29,0)</x:f>
        <x:v>0.2222222222222222</x:v>
      </x:c>
      <x:c r="W29" s="28" t="n">
        <x:f>L29-M29</x:f>
        <x:v>4</x:v>
      </x:c>
      <x:c r="X29" s="24" t="n">
        <x:f>IFERROR(K29/I29,0)</x:f>
        <x:v>0.3333333333333333</x:v>
      </x:c>
      <x:c r="Y29" s="24" t="n">
        <x:f>IFERROR(G29/I29,0)</x:f>
        <x:v>0</x:v>
      </x:c>
      <x:c r="Z29" s="24" t="n">
        <x:f>IFERROR(G29/K29,0)</x:f>
        <x:v>0</x:v>
      </x:c>
      <x:c r="AA29" s="24" t="n">
        <x:f>IFERROR(F29/H29,0)-IFERROR(G29/I29,0)</x:f>
        <x:v>0.07407407407407407</x:v>
      </x:c>
      <x:c r="AB29" s="28" t="n">
        <x:f>J29-K29</x:f>
        <x:v>6</x:v>
      </x:c>
      <x:c r="AC29" s="32" t="n">
        <x:f>F29-G29</x:f>
        <x:v>2</x:v>
      </x:c>
    </x:row>
    <x:row r="30">
      <x:c r="A30" s="4" t="str">
        <x:v>2021-22</x:v>
      </x:c>
      <x:c r="B30" s="20" t="n">
        <x:v>44429</x:v>
      </x:c>
      <x:c r="C30" s="4" t="str">
        <x:v>Man City</x:v>
      </x:c>
      <x:c r="D30" s="4" t="str">
        <x:v>Norwich</x:v>
      </x:c>
      <x:c r="E30" s="4" t="str">
        <x:v>Home</x:v>
      </x:c>
      <x:c r="F30" s="28" t="n">
        <x:v>5</x:v>
      </x:c>
      <x:c r="G30" s="28" t="n">
        <x:v>0</x:v>
      </x:c>
      <x:c r="H30" s="28" t="n">
        <x:v>16</x:v>
      </x:c>
      <x:c r="I30" s="28" t="n">
        <x:v>1</x:v>
      </x:c>
      <x:c r="J30" s="28" t="n">
        <x:v>4</x:v>
      </x:c>
      <x:c r="K30" s="28" t="n">
        <x:v>0</x:v>
      </x:c>
      <x:c r="L30" s="28" t="n">
        <x:v>6</x:v>
      </x:c>
      <x:c r="M30" s="28" t="n">
        <x:v>1</x:v>
      </x:c>
      <x:c r="N30" s="28" t="n">
        <x:v>1</x:v>
      </x:c>
      <x:c r="O30" s="28" t="n">
        <x:v>0</x:v>
      </x:c>
      <x:c r="P30" s="28" t="n">
        <x:v>3</x:v>
      </x:c>
      <x:c r="Q30" s="24" t="n">
        <x:f>IFERROR(J30/H30,0)</x:f>
        <x:v>0.25</x:v>
      </x:c>
      <x:c r="R30" s="24" t="n">
        <x:f>IFERROR(F30/H30,0)</x:f>
        <x:v>0.3125</x:v>
      </x:c>
      <x:c r="S30" s="24" t="n">
        <x:f>IFERROR(F30/J30,0)</x:f>
        <x:v>1.25</x:v>
      </x:c>
      <x:c r="T30" s="28" t="n">
        <x:f>H30-I30</x:f>
        <x:v>15</x:v>
      </x:c>
      <x:c r="U30" s="24" t="n">
        <x:f>IFERROR(J30/H30,0)-IFERROR(K30/I30,0)</x:f>
        <x:v>0.25</x:v>
      </x:c>
      <x:c r="V30" s="24" t="n">
        <x:f>IFERROR(F30/J30,0)-IFERROR(G30/K30,0)</x:f>
        <x:v>1.25</x:v>
      </x:c>
      <x:c r="W30" s="28" t="n">
        <x:f>L30-M30</x:f>
        <x:v>5</x:v>
      </x:c>
      <x:c r="X30" s="24" t="n">
        <x:f>IFERROR(K30/I30,0)</x:f>
        <x:v>0</x:v>
      </x:c>
      <x:c r="Y30" s="24" t="n">
        <x:f>IFERROR(G30/I30,0)</x:f>
        <x:v>0</x:v>
      </x:c>
      <x:c r="Z30" s="24" t="n">
        <x:f>IFERROR(G30/K30,0)</x:f>
        <x:v>0</x:v>
      </x:c>
      <x:c r="AA30" s="24" t="n">
        <x:f>IFERROR(F30/H30,0)-IFERROR(G30/I30,0)</x:f>
        <x:v>0.3125</x:v>
      </x:c>
      <x:c r="AB30" s="28" t="n">
        <x:f>J30-K30</x:f>
        <x:v>4</x:v>
      </x:c>
      <x:c r="AC30" s="32" t="n">
        <x:f>F30-G30</x:f>
        <x:v>5</x:v>
      </x:c>
    </x:row>
    <x:row r="31">
      <x:c r="A31" s="4" t="str">
        <x:v>2021-22</x:v>
      </x:c>
      <x:c r="B31" s="20" t="n">
        <x:v>44429</x:v>
      </x:c>
      <x:c r="C31" s="4" t="str">
        <x:v>Newcastle</x:v>
      </x:c>
      <x:c r="D31" s="4" t="str">
        <x:v>Aston Villa</x:v>
      </x:c>
      <x:c r="E31" s="4" t="str">
        <x:v>Away</x:v>
      </x:c>
      <x:c r="F31" s="28" t="n">
        <x:v>0</x:v>
      </x:c>
      <x:c r="G31" s="28" t="n">
        <x:v>2</x:v>
      </x:c>
      <x:c r="H31" s="28" t="n">
        <x:v>9</x:v>
      </x:c>
      <x:c r="I31" s="28" t="n">
        <x:v>10</x:v>
      </x:c>
      <x:c r="J31" s="28" t="n">
        <x:v>1</x:v>
      </x:c>
      <x:c r="K31" s="28" t="n">
        <x:v>2</x:v>
      </x:c>
      <x:c r="L31" s="28" t="n">
        <x:v>4</x:v>
      </x:c>
      <x:c r="M31" s="28" t="n">
        <x:v>3</x:v>
      </x:c>
      <x:c r="N31" s="28" t="n">
        <x:v>4</x:v>
      </x:c>
      <x:c r="O31" s="28" t="n">
        <x:v>0</x:v>
      </x:c>
      <x:c r="P31" s="28" t="n">
        <x:v>0</x:v>
      </x:c>
      <x:c r="Q31" s="24" t="n">
        <x:f>IFERROR(J31/H31,0)</x:f>
        <x:v>0.1111111111111111</x:v>
      </x:c>
      <x:c r="R31" s="24" t="n">
        <x:f>IFERROR(F31/H31,0)</x:f>
        <x:v>0</x:v>
      </x:c>
      <x:c r="S31" s="24" t="n">
        <x:f>IFERROR(F31/J31,0)</x:f>
        <x:v>0</x:v>
      </x:c>
      <x:c r="T31" s="28" t="n">
        <x:f>H31-I31</x:f>
        <x:v>-1</x:v>
      </x:c>
      <x:c r="U31" s="24" t="n">
        <x:f>IFERROR(J31/H31,0)-IFERROR(K31/I31,0)</x:f>
        <x:v>-0.0888888888888889</x:v>
      </x:c>
      <x:c r="V31" s="24" t="n">
        <x:f>IFERROR(F31/J31,0)-IFERROR(G31/K31,0)</x:f>
        <x:v>-1</x:v>
      </x:c>
      <x:c r="W31" s="28" t="n">
        <x:f>L31-M31</x:f>
        <x:v>1</x:v>
      </x:c>
      <x:c r="X31" s="24" t="n">
        <x:f>IFERROR(K31/I31,0)</x:f>
        <x:v>0.2</x:v>
      </x:c>
      <x:c r="Y31" s="24" t="n">
        <x:f>IFERROR(G31/I31,0)</x:f>
        <x:v>0.2</x:v>
      </x:c>
      <x:c r="Z31" s="24" t="n">
        <x:f>IFERROR(G31/K31,0)</x:f>
        <x:v>1</x:v>
      </x:c>
      <x:c r="AA31" s="24" t="n">
        <x:f>IFERROR(F31/H31,0)-IFERROR(G31/I31,0)</x:f>
        <x:v>-0.2</x:v>
      </x:c>
      <x:c r="AB31" s="28" t="n">
        <x:f>J31-K31</x:f>
        <x:v>-1</x:v>
      </x:c>
      <x:c r="AC31" s="32" t="n">
        <x:f>F31-G31</x:f>
        <x:v>-2</x:v>
      </x:c>
    </x:row>
    <x:row r="32">
      <x:c r="A32" s="4" t="str">
        <x:v>2021-22</x:v>
      </x:c>
      <x:c r="B32" s="20" t="n">
        <x:v>44429</x:v>
      </x:c>
      <x:c r="C32" s="4" t="str">
        <x:v>Norwich</x:v>
      </x:c>
      <x:c r="D32" s="4" t="str">
        <x:v>Man City</x:v>
      </x:c>
      <x:c r="E32" s="4" t="str">
        <x:v>Away</x:v>
      </x:c>
      <x:c r="F32" s="28" t="n">
        <x:v>0</x:v>
      </x:c>
      <x:c r="G32" s="28" t="n">
        <x:v>5</x:v>
      </x:c>
      <x:c r="H32" s="28" t="n">
        <x:v>1</x:v>
      </x:c>
      <x:c r="I32" s="28" t="n">
        <x:v>16</x:v>
      </x:c>
      <x:c r="J32" s="28" t="n">
        <x:v>0</x:v>
      </x:c>
      <x:c r="K32" s="28" t="n">
        <x:v>4</x:v>
      </x:c>
      <x:c r="L32" s="28" t="n">
        <x:v>1</x:v>
      </x:c>
      <x:c r="M32" s="28" t="n">
        <x:v>6</x:v>
      </x:c>
      <x:c r="N32" s="28" t="n">
        <x:v>0</x:v>
      </x:c>
      <x:c r="O32" s="28" t="n">
        <x:v>0</x:v>
      </x:c>
      <x:c r="P32" s="28" t="n">
        <x:v>0</x:v>
      </x:c>
      <x:c r="Q32" s="24" t="n">
        <x:f>IFERROR(J32/H32,0)</x:f>
        <x:v>0</x:v>
      </x:c>
      <x:c r="R32" s="24" t="n">
        <x:f>IFERROR(F32/H32,0)</x:f>
        <x:v>0</x:v>
      </x:c>
      <x:c r="S32" s="24" t="n">
        <x:f>IFERROR(F32/J32,0)</x:f>
        <x:v>0</x:v>
      </x:c>
      <x:c r="T32" s="28" t="n">
        <x:f>H32-I32</x:f>
        <x:v>-15</x:v>
      </x:c>
      <x:c r="U32" s="24" t="n">
        <x:f>IFERROR(J32/H32,0)-IFERROR(K32/I32,0)</x:f>
        <x:v>-0.25</x:v>
      </x:c>
      <x:c r="V32" s="24" t="n">
        <x:f>IFERROR(F32/J32,0)-IFERROR(G32/K32,0)</x:f>
        <x:v>-1.25</x:v>
      </x:c>
      <x:c r="W32" s="28" t="n">
        <x:f>L32-M32</x:f>
        <x:v>-5</x:v>
      </x:c>
      <x:c r="X32" s="24" t="n">
        <x:f>IFERROR(K32/I32,0)</x:f>
        <x:v>0.25</x:v>
      </x:c>
      <x:c r="Y32" s="24" t="n">
        <x:f>IFERROR(G32/I32,0)</x:f>
        <x:v>0.3125</x:v>
      </x:c>
      <x:c r="Z32" s="24" t="n">
        <x:f>IFERROR(G32/K32,0)</x:f>
        <x:v>1.25</x:v>
      </x:c>
      <x:c r="AA32" s="24" t="n">
        <x:f>IFERROR(F32/H32,0)-IFERROR(G32/I32,0)</x:f>
        <x:v>-0.3125</x:v>
      </x:c>
      <x:c r="AB32" s="28" t="n">
        <x:f>J32-K32</x:f>
        <x:v>-4</x:v>
      </x:c>
      <x:c r="AC32" s="32" t="n">
        <x:f>F32-G32</x:f>
        <x:v>-5</x:v>
      </x:c>
    </x:row>
    <x:row r="33">
      <x:c r="A33" s="4" t="str">
        <x:v>2021-22</x:v>
      </x:c>
      <x:c r="B33" s="20" t="n">
        <x:v>44429</x:v>
      </x:c>
      <x:c r="C33" s="4" t="str">
        <x:v>Watford</x:v>
      </x:c>
      <x:c r="D33" s="4" t="str">
        <x:v>Brighton</x:v>
      </x:c>
      <x:c r="E33" s="4" t="str">
        <x:v>Away</x:v>
      </x:c>
      <x:c r="F33" s="28" t="n">
        <x:v>0</x:v>
      </x:c>
      <x:c r="G33" s="28" t="n">
        <x:v>2</x:v>
      </x:c>
      <x:c r="H33" s="28" t="n">
        <x:v>10</x:v>
      </x:c>
      <x:c r="I33" s="28" t="n">
        <x:v>13</x:v>
      </x:c>
      <x:c r="J33" s="28" t="n">
        <x:v>1</x:v>
      </x:c>
      <x:c r="K33" s="28" t="n">
        <x:v>3</x:v>
      </x:c>
      <x:c r="L33" s="28" t="n">
        <x:v>2</x:v>
      </x:c>
      <x:c r="M33" s="28" t="n">
        <x:v>7</x:v>
      </x:c>
      <x:c r="N33" s="28" t="n">
        <x:v>0</x:v>
      </x:c>
      <x:c r="O33" s="28" t="n">
        <x:v>0</x:v>
      </x:c>
      <x:c r="P33" s="28" t="n">
        <x:v>0</x:v>
      </x:c>
      <x:c r="Q33" s="24" t="n">
        <x:f>IFERROR(J33/H33,0)</x:f>
        <x:v>0.1</x:v>
      </x:c>
      <x:c r="R33" s="24" t="n">
        <x:f>IFERROR(F33/H33,0)</x:f>
        <x:v>0</x:v>
      </x:c>
      <x:c r="S33" s="24" t="n">
        <x:f>IFERROR(F33/J33,0)</x:f>
        <x:v>0</x:v>
      </x:c>
      <x:c r="T33" s="28" t="n">
        <x:f>H33-I33</x:f>
        <x:v>-3</x:v>
      </x:c>
      <x:c r="U33" s="24" t="n">
        <x:f>IFERROR(J33/H33,0)-IFERROR(K33/I33,0)</x:f>
        <x:v>-0.13076923076923078</x:v>
      </x:c>
      <x:c r="V33" s="24" t="n">
        <x:f>IFERROR(F33/J33,0)-IFERROR(G33/K33,0)</x:f>
        <x:v>-0.6666666666666666</x:v>
      </x:c>
      <x:c r="W33" s="28" t="n">
        <x:f>L33-M33</x:f>
        <x:v>-5</x:v>
      </x:c>
      <x:c r="X33" s="24" t="n">
        <x:f>IFERROR(K33/I33,0)</x:f>
        <x:v>0.23076923076923078</x:v>
      </x:c>
      <x:c r="Y33" s="24" t="n">
        <x:f>IFERROR(G33/I33,0)</x:f>
        <x:v>0.15384615384615385</x:v>
      </x:c>
      <x:c r="Z33" s="24" t="n">
        <x:f>IFERROR(G33/K33,0)</x:f>
        <x:v>0.6666666666666666</x:v>
      </x:c>
      <x:c r="AA33" s="24" t="n">
        <x:f>IFERROR(F33/H33,0)-IFERROR(G33/I33,0)</x:f>
        <x:v>-0.15384615384615385</x:v>
      </x:c>
      <x:c r="AB33" s="28" t="n">
        <x:f>J33-K33</x:f>
        <x:v>-2</x:v>
      </x:c>
      <x:c r="AC33" s="32" t="n">
        <x:f>F33-G33</x:f>
        <x:v>-2</x:v>
      </x:c>
    </x:row>
    <x:row r="34">
      <x:c r="A34" s="4" t="str">
        <x:v>2021-22</x:v>
      </x:c>
      <x:c r="B34" s="20" t="n">
        <x:v>44430</x:v>
      </x:c>
      <x:c r="C34" s="4" t="str">
        <x:v>Arsenal</x:v>
      </x:c>
      <x:c r="D34" s="4" t="str">
        <x:v>Chelsea</x:v>
      </x:c>
      <x:c r="E34" s="4" t="str">
        <x:v>Home</x:v>
      </x:c>
      <x:c r="F34" s="28" t="n">
        <x:v>0</x:v>
      </x:c>
      <x:c r="G34" s="28" t="n">
        <x:v>2</x:v>
      </x:c>
      <x:c r="H34" s="28" t="n">
        <x:v>6</x:v>
      </x:c>
      <x:c r="I34" s="28" t="n">
        <x:v>22</x:v>
      </x:c>
      <x:c r="J34" s="28" t="n">
        <x:v>3</x:v>
      </x:c>
      <x:c r="K34" s="28" t="n">
        <x:v>5</x:v>
      </x:c>
      <x:c r="L34" s="28" t="n">
        <x:v>9</x:v>
      </x:c>
      <x:c r="M34" s="28" t="n">
        <x:v>8</x:v>
      </x:c>
      <x:c r="N34" s="28" t="n">
        <x:v>3</x:v>
      </x:c>
      <x:c r="O34" s="28" t="n">
        <x:v>0</x:v>
      </x:c>
      <x:c r="P34" s="28" t="n">
        <x:v>0</x:v>
      </x:c>
      <x:c r="Q34" s="24" t="n">
        <x:f>IFERROR(J34/H34,0)</x:f>
        <x:v>0.5</x:v>
      </x:c>
      <x:c r="R34" s="24" t="n">
        <x:f>IFERROR(F34/H34,0)</x:f>
        <x:v>0</x:v>
      </x:c>
      <x:c r="S34" s="24" t="n">
        <x:f>IFERROR(F34/J34,0)</x:f>
        <x:v>0</x:v>
      </x:c>
      <x:c r="T34" s="28" t="n">
        <x:f>H34-I34</x:f>
        <x:v>-16</x:v>
      </x:c>
      <x:c r="U34" s="24" t="n">
        <x:f>IFERROR(J34/H34,0)-IFERROR(K34/I34,0)</x:f>
        <x:v>0.2727272727272727</x:v>
      </x:c>
      <x:c r="V34" s="24" t="n">
        <x:f>IFERROR(F34/J34,0)-IFERROR(G34/K34,0)</x:f>
        <x:v>-0.4</x:v>
      </x:c>
      <x:c r="W34" s="28" t="n">
        <x:f>L34-M34</x:f>
        <x:v>1</x:v>
      </x:c>
      <x:c r="X34" s="24" t="n">
        <x:f>IFERROR(K34/I34,0)</x:f>
        <x:v>0.22727272727272727</x:v>
      </x:c>
      <x:c r="Y34" s="24" t="n">
        <x:f>IFERROR(G34/I34,0)</x:f>
        <x:v>0.09090909090909091</x:v>
      </x:c>
      <x:c r="Z34" s="24" t="n">
        <x:f>IFERROR(G34/K34,0)</x:f>
        <x:v>0.4</x:v>
      </x:c>
      <x:c r="AA34" s="24" t="n">
        <x:f>IFERROR(F34/H34,0)-IFERROR(G34/I34,0)</x:f>
        <x:v>-0.09090909090909091</x:v>
      </x:c>
      <x:c r="AB34" s="28" t="n">
        <x:f>J34-K34</x:f>
        <x:v>-2</x:v>
      </x:c>
      <x:c r="AC34" s="32" t="n">
        <x:f>F34-G34</x:f>
        <x:v>-2</x:v>
      </x:c>
    </x:row>
    <x:row r="35">
      <x:c r="A35" s="4" t="str">
        <x:v>2021-22</x:v>
      </x:c>
      <x:c r="B35" s="20" t="n">
        <x:v>44430</x:v>
      </x:c>
      <x:c r="C35" s="4" t="str">
        <x:v>Chelsea</x:v>
      </x:c>
      <x:c r="D35" s="4" t="str">
        <x:v>Arsenal</x:v>
      </x:c>
      <x:c r="E35" s="4" t="str">
        <x:v>Away</x:v>
      </x:c>
      <x:c r="F35" s="28" t="n">
        <x:v>2</x:v>
      </x:c>
      <x:c r="G35" s="28" t="n">
        <x:v>0</x:v>
      </x:c>
      <x:c r="H35" s="28" t="n">
        <x:v>22</x:v>
      </x:c>
      <x:c r="I35" s="28" t="n">
        <x:v>6</x:v>
      </x:c>
      <x:c r="J35" s="28" t="n">
        <x:v>5</x:v>
      </x:c>
      <x:c r="K35" s="28" t="n">
        <x:v>3</x:v>
      </x:c>
      <x:c r="L35" s="28" t="n">
        <x:v>8</x:v>
      </x:c>
      <x:c r="M35" s="28" t="n">
        <x:v>9</x:v>
      </x:c>
      <x:c r="N35" s="28" t="n">
        <x:v>0</x:v>
      </x:c>
      <x:c r="O35" s="28" t="n">
        <x:v>0</x:v>
      </x:c>
      <x:c r="P35" s="28" t="n">
        <x:v>3</x:v>
      </x:c>
      <x:c r="Q35" s="24" t="n">
        <x:f>IFERROR(J35/H35,0)</x:f>
        <x:v>0.22727272727272727</x:v>
      </x:c>
      <x:c r="R35" s="24" t="n">
        <x:f>IFERROR(F35/H35,0)</x:f>
        <x:v>0.09090909090909091</x:v>
      </x:c>
      <x:c r="S35" s="24" t="n">
        <x:f>IFERROR(F35/J35,0)</x:f>
        <x:v>0.4</x:v>
      </x:c>
      <x:c r="T35" s="28" t="n">
        <x:f>H35-I35</x:f>
        <x:v>16</x:v>
      </x:c>
      <x:c r="U35" s="24" t="n">
        <x:f>IFERROR(J35/H35,0)-IFERROR(K35/I35,0)</x:f>
        <x:v>-0.2727272727272727</x:v>
      </x:c>
      <x:c r="V35" s="24" t="n">
        <x:f>IFERROR(F35/J35,0)-IFERROR(G35/K35,0)</x:f>
        <x:v>0.4</x:v>
      </x:c>
      <x:c r="W35" s="28" t="n">
        <x:f>L35-M35</x:f>
        <x:v>-1</x:v>
      </x:c>
      <x:c r="X35" s="24" t="n">
        <x:f>IFERROR(K35/I35,0)</x:f>
        <x:v>0.5</x:v>
      </x:c>
      <x:c r="Y35" s="24" t="n">
        <x:f>IFERROR(G35/I35,0)</x:f>
        <x:v>0</x:v>
      </x:c>
      <x:c r="Z35" s="24" t="n">
        <x:f>IFERROR(G35/K35,0)</x:f>
        <x:v>0</x:v>
      </x:c>
      <x:c r="AA35" s="24" t="n">
        <x:f>IFERROR(F35/H35,0)-IFERROR(G35/I35,0)</x:f>
        <x:v>0.09090909090909091</x:v>
      </x:c>
      <x:c r="AB35" s="28" t="n">
        <x:f>J35-K35</x:f>
        <x:v>2</x:v>
      </x:c>
      <x:c r="AC35" s="32" t="n">
        <x:f>F35-G35</x:f>
        <x:v>2</x:v>
      </x:c>
    </x:row>
    <x:row r="36">
      <x:c r="A36" s="4" t="str">
        <x:v>2021-22</x:v>
      </x:c>
      <x:c r="B36" s="20" t="n">
        <x:v>44430</x:v>
      </x:c>
      <x:c r="C36" s="4" t="str">
        <x:v>Man United</x:v>
      </x:c>
      <x:c r="D36" s="4" t="str">
        <x:v>Southampton</x:v>
      </x:c>
      <x:c r="E36" s="4" t="str">
        <x:v>Away</x:v>
      </x:c>
      <x:c r="F36" s="28" t="n">
        <x:v>1</x:v>
      </x:c>
      <x:c r="G36" s="28" t="n">
        <x:v>1</x:v>
      </x:c>
      <x:c r="H36" s="28" t="n">
        <x:v>15</x:v>
      </x:c>
      <x:c r="I36" s="28" t="n">
        <x:v>8</x:v>
      </x:c>
      <x:c r="J36" s="28" t="n">
        <x:v>4</x:v>
      </x:c>
      <x:c r="K36" s="28" t="n">
        <x:v>3</x:v>
      </x:c>
      <x:c r="L36" s="28" t="n">
        <x:v>7</x:v>
      </x:c>
      <x:c r="M36" s="28" t="n">
        <x:v>7</x:v>
      </x:c>
      <x:c r="N36" s="28" t="n">
        <x:v>3</x:v>
      </x:c>
      <x:c r="O36" s="28" t="n">
        <x:v>0</x:v>
      </x:c>
      <x:c r="P36" s="28" t="n">
        <x:v>1</x:v>
      </x:c>
      <x:c r="Q36" s="24" t="n">
        <x:f>IFERROR(J36/H36,0)</x:f>
        <x:v>0.26666666666666666</x:v>
      </x:c>
      <x:c r="R36" s="24" t="n">
        <x:f>IFERROR(F36/H36,0)</x:f>
        <x:v>0.06666666666666667</x:v>
      </x:c>
      <x:c r="S36" s="24" t="n">
        <x:f>IFERROR(F36/J36,0)</x:f>
        <x:v>0.25</x:v>
      </x:c>
      <x:c r="T36" s="28" t="n">
        <x:f>H36-I36</x:f>
        <x:v>7</x:v>
      </x:c>
      <x:c r="U36" s="24" t="n">
        <x:f>IFERROR(J36/H36,0)-IFERROR(K36/I36,0)</x:f>
        <x:v>-0.10833333333333334</x:v>
      </x:c>
      <x:c r="V36" s="24" t="n">
        <x:f>IFERROR(F36/J36,0)-IFERROR(G36/K36,0)</x:f>
        <x:v>-0.08333333333333331</x:v>
      </x:c>
      <x:c r="W36" s="28" t="n">
        <x:f>L36-M36</x:f>
        <x:v>0</x:v>
      </x:c>
      <x:c r="X36" s="24" t="n">
        <x:f>IFERROR(K36/I36,0)</x:f>
        <x:v>0.375</x:v>
      </x:c>
      <x:c r="Y36" s="24" t="n">
        <x:f>IFERROR(G36/I36,0)</x:f>
        <x:v>0.125</x:v>
      </x:c>
      <x:c r="Z36" s="24" t="n">
        <x:f>IFERROR(G36/K36,0)</x:f>
        <x:v>0.3333333333333333</x:v>
      </x:c>
      <x:c r="AA36" s="24" t="n">
        <x:f>IFERROR(F36/H36,0)-IFERROR(G36/I36,0)</x:f>
        <x:v>-0.058333333333333334</x:v>
      </x:c>
      <x:c r="AB36" s="28" t="n">
        <x:f>J36-K36</x:f>
        <x:v>1</x:v>
      </x:c>
      <x:c r="AC36" s="32" t="n">
        <x:f>F36-G36</x:f>
        <x:v>0</x:v>
      </x:c>
    </x:row>
    <x:row r="37">
      <x:c r="A37" s="4" t="str">
        <x:v>2021-22</x:v>
      </x:c>
      <x:c r="B37" s="20" t="n">
        <x:v>44430</x:v>
      </x:c>
      <x:c r="C37" s="4" t="str">
        <x:v>Southampton</x:v>
      </x:c>
      <x:c r="D37" s="4" t="str">
        <x:v>Man United</x:v>
      </x:c>
      <x:c r="E37" s="4" t="str">
        <x:v>Home</x:v>
      </x:c>
      <x:c r="F37" s="28" t="n">
        <x:v>1</x:v>
      </x:c>
      <x:c r="G37" s="28" t="n">
        <x:v>1</x:v>
      </x:c>
      <x:c r="H37" s="28" t="n">
        <x:v>8</x:v>
      </x:c>
      <x:c r="I37" s="28" t="n">
        <x:v>15</x:v>
      </x:c>
      <x:c r="J37" s="28" t="n">
        <x:v>3</x:v>
      </x:c>
      <x:c r="K37" s="28" t="n">
        <x:v>4</x:v>
      </x:c>
      <x:c r="L37" s="28" t="n">
        <x:v>7</x:v>
      </x:c>
      <x:c r="M37" s="28" t="n">
        <x:v>7</x:v>
      </x:c>
      <x:c r="N37" s="28" t="n">
        <x:v>2</x:v>
      </x:c>
      <x:c r="O37" s="28" t="n">
        <x:v>0</x:v>
      </x:c>
      <x:c r="P37" s="28" t="n">
        <x:v>1</x:v>
      </x:c>
      <x:c r="Q37" s="24" t="n">
        <x:f>IFERROR(J37/H37,0)</x:f>
        <x:v>0.375</x:v>
      </x:c>
      <x:c r="R37" s="24" t="n">
        <x:f>IFERROR(F37/H37,0)</x:f>
        <x:v>0.125</x:v>
      </x:c>
      <x:c r="S37" s="24" t="n">
        <x:f>IFERROR(F37/J37,0)</x:f>
        <x:v>0.3333333333333333</x:v>
      </x:c>
      <x:c r="T37" s="28" t="n">
        <x:f>H37-I37</x:f>
        <x:v>-7</x:v>
      </x:c>
      <x:c r="U37" s="24" t="n">
        <x:f>IFERROR(J37/H37,0)-IFERROR(K37/I37,0)</x:f>
        <x:v>0.10833333333333334</x:v>
      </x:c>
      <x:c r="V37" s="24" t="n">
        <x:f>IFERROR(F37/J37,0)-IFERROR(G37/K37,0)</x:f>
        <x:v>0.08333333333333331</x:v>
      </x:c>
      <x:c r="W37" s="28" t="n">
        <x:f>L37-M37</x:f>
        <x:v>0</x:v>
      </x:c>
      <x:c r="X37" s="24" t="n">
        <x:f>IFERROR(K37/I37,0)</x:f>
        <x:v>0.26666666666666666</x:v>
      </x:c>
      <x:c r="Y37" s="24" t="n">
        <x:f>IFERROR(G37/I37,0)</x:f>
        <x:v>0.06666666666666667</x:v>
      </x:c>
      <x:c r="Z37" s="24" t="n">
        <x:f>IFERROR(G37/K37,0)</x:f>
        <x:v>0.25</x:v>
      </x:c>
      <x:c r="AA37" s="24" t="n">
        <x:f>IFERROR(F37/H37,0)-IFERROR(G37/I37,0)</x:f>
        <x:v>0.058333333333333334</x:v>
      </x:c>
      <x:c r="AB37" s="28" t="n">
        <x:f>J37-K37</x:f>
        <x:v>-1</x:v>
      </x:c>
      <x:c r="AC37" s="32" t="n">
        <x:f>F37-G37</x:f>
        <x:v>0</x:v>
      </x:c>
    </x:row>
    <x:row r="38">
      <x:c r="A38" s="4" t="str">
        <x:v>2021-22</x:v>
      </x:c>
      <x:c r="B38" s="20" t="n">
        <x:v>44430</x:v>
      </x:c>
      <x:c r="C38" s="4" t="str">
        <x:v>Tottenham</x:v>
      </x:c>
      <x:c r="D38" s="4" t="str">
        <x:v>Wolves</x:v>
      </x:c>
      <x:c r="E38" s="4" t="str">
        <x:v>Away</x:v>
      </x:c>
      <x:c r="F38" s="28" t="n">
        <x:v>1</x:v>
      </x:c>
      <x:c r="G38" s="28" t="n">
        <x:v>0</x:v>
      </x:c>
      <x:c r="H38" s="28" t="n">
        <x:v>8</x:v>
      </x:c>
      <x:c r="I38" s="28" t="n">
        <x:v>25</x:v>
      </x:c>
      <x:c r="J38" s="28" t="n">
        <x:v>6</x:v>
      </x:c>
      <x:c r="K38" s="28" t="n">
        <x:v>6</x:v>
      </x:c>
      <x:c r="L38" s="28" t="n">
        <x:v>4</x:v>
      </x:c>
      <x:c r="M38" s="28" t="n">
        <x:v>5</x:v>
      </x:c>
      <x:c r="N38" s="28" t="n">
        <x:v>4</x:v>
      </x:c>
      <x:c r="O38" s="28" t="n">
        <x:v>0</x:v>
      </x:c>
      <x:c r="P38" s="28" t="n">
        <x:v>3</x:v>
      </x:c>
      <x:c r="Q38" s="24" t="n">
        <x:f>IFERROR(J38/H38,0)</x:f>
        <x:v>0.75</x:v>
      </x:c>
      <x:c r="R38" s="24" t="n">
        <x:f>IFERROR(F38/H38,0)</x:f>
        <x:v>0.125</x:v>
      </x:c>
      <x:c r="S38" s="24" t="n">
        <x:f>IFERROR(F38/J38,0)</x:f>
        <x:v>0.16666666666666666</x:v>
      </x:c>
      <x:c r="T38" s="28" t="n">
        <x:f>H38-I38</x:f>
        <x:v>-17</x:v>
      </x:c>
      <x:c r="U38" s="24" t="n">
        <x:f>IFERROR(J38/H38,0)-IFERROR(K38/I38,0)</x:f>
        <x:v>0.51</x:v>
      </x:c>
      <x:c r="V38" s="24" t="n">
        <x:f>IFERROR(F38/J38,0)-IFERROR(G38/K38,0)</x:f>
        <x:v>0.16666666666666666</x:v>
      </x:c>
      <x:c r="W38" s="28" t="n">
        <x:f>L38-M38</x:f>
        <x:v>-1</x:v>
      </x:c>
      <x:c r="X38" s="24" t="n">
        <x:f>IFERROR(K38/I38,0)</x:f>
        <x:v>0.24</x:v>
      </x:c>
      <x:c r="Y38" s="24" t="n">
        <x:f>IFERROR(G38/I38,0)</x:f>
        <x:v>0</x:v>
      </x:c>
      <x:c r="Z38" s="24" t="n">
        <x:f>IFERROR(G38/K38,0)</x:f>
        <x:v>0</x:v>
      </x:c>
      <x:c r="AA38" s="24" t="n">
        <x:f>IFERROR(F38/H38,0)-IFERROR(G38/I38,0)</x:f>
        <x:v>0.125</x:v>
      </x:c>
      <x:c r="AB38" s="28" t="n">
        <x:f>J38-K38</x:f>
        <x:v>0</x:v>
      </x:c>
      <x:c r="AC38" s="32" t="n">
        <x:f>F38-G38</x:f>
        <x:v>1</x:v>
      </x:c>
    </x:row>
    <x:row r="39">
      <x:c r="A39" s="4" t="str">
        <x:v>2021-22</x:v>
      </x:c>
      <x:c r="B39" s="20" t="n">
        <x:v>44430</x:v>
      </x:c>
      <x:c r="C39" s="4" t="str">
        <x:v>Wolves</x:v>
      </x:c>
      <x:c r="D39" s="4" t="str">
        <x:v>Tottenham</x:v>
      </x:c>
      <x:c r="E39" s="4" t="str">
        <x:v>Home</x:v>
      </x:c>
      <x:c r="F39" s="28" t="n">
        <x:v>0</x:v>
      </x:c>
      <x:c r="G39" s="28" t="n">
        <x:v>1</x:v>
      </x:c>
      <x:c r="H39" s="28" t="n">
        <x:v>25</x:v>
      </x:c>
      <x:c r="I39" s="28" t="n">
        <x:v>8</x:v>
      </x:c>
      <x:c r="J39" s="28" t="n">
        <x:v>6</x:v>
      </x:c>
      <x:c r="K39" s="28" t="n">
        <x:v>6</x:v>
      </x:c>
      <x:c r="L39" s="28" t="n">
        <x:v>5</x:v>
      </x:c>
      <x:c r="M39" s="28" t="n">
        <x:v>4</x:v>
      </x:c>
      <x:c r="N39" s="28" t="n">
        <x:v>1</x:v>
      </x:c>
      <x:c r="O39" s="28" t="n">
        <x:v>0</x:v>
      </x:c>
      <x:c r="P39" s="28" t="n">
        <x:v>0</x:v>
      </x:c>
      <x:c r="Q39" s="24" t="n">
        <x:f>IFERROR(J39/H39,0)</x:f>
        <x:v>0.24</x:v>
      </x:c>
      <x:c r="R39" s="24" t="n">
        <x:f>IFERROR(F39/H39,0)</x:f>
        <x:v>0</x:v>
      </x:c>
      <x:c r="S39" s="24" t="n">
        <x:f>IFERROR(F39/J39,0)</x:f>
        <x:v>0</x:v>
      </x:c>
      <x:c r="T39" s="28" t="n">
        <x:f>H39-I39</x:f>
        <x:v>17</x:v>
      </x:c>
      <x:c r="U39" s="24" t="n">
        <x:f>IFERROR(J39/H39,0)-IFERROR(K39/I39,0)</x:f>
        <x:v>-0.51</x:v>
      </x:c>
      <x:c r="V39" s="24" t="n">
        <x:f>IFERROR(F39/J39,0)-IFERROR(G39/K39,0)</x:f>
        <x:v>-0.16666666666666666</x:v>
      </x:c>
      <x:c r="W39" s="28" t="n">
        <x:f>L39-M39</x:f>
        <x:v>1</x:v>
      </x:c>
      <x:c r="X39" s="24" t="n">
        <x:f>IFERROR(K39/I39,0)</x:f>
        <x:v>0.75</x:v>
      </x:c>
      <x:c r="Y39" s="24" t="n">
        <x:f>IFERROR(G39/I39,0)</x:f>
        <x:v>0.125</x:v>
      </x:c>
      <x:c r="Z39" s="24" t="n">
        <x:f>IFERROR(G39/K39,0)</x:f>
        <x:v>0.16666666666666666</x:v>
      </x:c>
      <x:c r="AA39" s="24" t="n">
        <x:f>IFERROR(F39/H39,0)-IFERROR(G39/I39,0)</x:f>
        <x:v>-0.125</x:v>
      </x:c>
      <x:c r="AB39" s="28" t="n">
        <x:f>J39-K39</x:f>
        <x:v>0</x:v>
      </x:c>
      <x:c r="AC39" s="32" t="n">
        <x:f>F39-G39</x:f>
        <x:v>-1</x:v>
      </x:c>
    </x:row>
    <x:row r="40">
      <x:c r="A40" s="4" t="str">
        <x:v>2021-22</x:v>
      </x:c>
      <x:c r="B40" s="20" t="n">
        <x:v>44431</x:v>
      </x:c>
      <x:c r="C40" s="4" t="str">
        <x:v>Leicester</x:v>
      </x:c>
      <x:c r="D40" s="4" t="str">
        <x:v>West Ham</x:v>
      </x:c>
      <x:c r="E40" s="4" t="str">
        <x:v>Away</x:v>
      </x:c>
      <x:c r="F40" s="28" t="n">
        <x:v>1</x:v>
      </x:c>
      <x:c r="G40" s="28" t="n">
        <x:v>4</x:v>
      </x:c>
      <x:c r="H40" s="28" t="n">
        <x:v>5</x:v>
      </x:c>
      <x:c r="I40" s="28" t="n">
        <x:v>13</x:v>
      </x:c>
      <x:c r="J40" s="28" t="n">
        <x:v>1</x:v>
      </x:c>
      <x:c r="K40" s="28" t="n">
        <x:v>7</x:v>
      </x:c>
      <x:c r="L40" s="28" t="n">
        <x:v>0</x:v>
      </x:c>
      <x:c r="M40" s="28" t="n">
        <x:v>10</x:v>
      </x:c>
      <x:c r="N40" s="28" t="n">
        <x:v>1</x:v>
      </x:c>
      <x:c r="O40" s="28" t="n">
        <x:v>1</x:v>
      </x:c>
      <x:c r="P40" s="28" t="n">
        <x:v>0</x:v>
      </x:c>
      <x:c r="Q40" s="24" t="n">
        <x:f>IFERROR(J40/H40,0)</x:f>
        <x:v>0.2</x:v>
      </x:c>
      <x:c r="R40" s="24" t="n">
        <x:f>IFERROR(F40/H40,0)</x:f>
        <x:v>0.2</x:v>
      </x:c>
      <x:c r="S40" s="24" t="n">
        <x:f>IFERROR(F40/J40,0)</x:f>
        <x:v>1</x:v>
      </x:c>
      <x:c r="T40" s="28" t="n">
        <x:f>H40-I40</x:f>
        <x:v>-8</x:v>
      </x:c>
      <x:c r="U40" s="24" t="n">
        <x:f>IFERROR(J40/H40,0)-IFERROR(K40/I40,0)</x:f>
        <x:v>-0.3384615384615384</x:v>
      </x:c>
      <x:c r="V40" s="24" t="n">
        <x:f>IFERROR(F40/J40,0)-IFERROR(G40/K40,0)</x:f>
        <x:v>0.4285714285714286</x:v>
      </x:c>
      <x:c r="W40" s="28" t="n">
        <x:f>L40-M40</x:f>
        <x:v>-10</x:v>
      </x:c>
      <x:c r="X40" s="24" t="n">
        <x:f>IFERROR(K40/I40,0)</x:f>
        <x:v>0.5384615384615384</x:v>
      </x:c>
      <x:c r="Y40" s="24" t="n">
        <x:f>IFERROR(G40/I40,0)</x:f>
        <x:v>0.3076923076923077</x:v>
      </x:c>
      <x:c r="Z40" s="24" t="n">
        <x:f>IFERROR(G40/K40,0)</x:f>
        <x:v>0.5714285714285714</x:v>
      </x:c>
      <x:c r="AA40" s="24" t="n">
        <x:f>IFERROR(F40/H40,0)-IFERROR(G40/I40,0)</x:f>
        <x:v>-0.1076923076923077</x:v>
      </x:c>
      <x:c r="AB40" s="28" t="n">
        <x:f>J40-K40</x:f>
        <x:v>-6</x:v>
      </x:c>
      <x:c r="AC40" s="32" t="n">
        <x:f>F40-G40</x:f>
        <x:v>-3</x:v>
      </x:c>
    </x:row>
    <x:row r="41">
      <x:c r="A41" s="4" t="str">
        <x:v>2021-22</x:v>
      </x:c>
      <x:c r="B41" s="20" t="n">
        <x:v>44431</x:v>
      </x:c>
      <x:c r="C41" s="4" t="str">
        <x:v>West Ham</x:v>
      </x:c>
      <x:c r="D41" s="4" t="str">
        <x:v>Leicester</x:v>
      </x:c>
      <x:c r="E41" s="4" t="str">
        <x:v>Home</x:v>
      </x:c>
      <x:c r="F41" s="28" t="n">
        <x:v>4</x:v>
      </x:c>
      <x:c r="G41" s="28" t="n">
        <x:v>1</x:v>
      </x:c>
      <x:c r="H41" s="28" t="n">
        <x:v>13</x:v>
      </x:c>
      <x:c r="I41" s="28" t="n">
        <x:v>5</x:v>
      </x:c>
      <x:c r="J41" s="28" t="n">
        <x:v>7</x:v>
      </x:c>
      <x:c r="K41" s="28" t="n">
        <x:v>1</x:v>
      </x:c>
      <x:c r="L41" s="28" t="n">
        <x:v>10</x:v>
      </x:c>
      <x:c r="M41" s="28" t="n">
        <x:v>0</x:v>
      </x:c>
      <x:c r="N41" s="28" t="n">
        <x:v>0</x:v>
      </x:c>
      <x:c r="O41" s="28" t="n">
        <x:v>0</x:v>
      </x:c>
      <x:c r="P41" s="28" t="n">
        <x:v>3</x:v>
      </x:c>
      <x:c r="Q41" s="24" t="n">
        <x:f>IFERROR(J41/H41,0)</x:f>
        <x:v>0.5384615384615384</x:v>
      </x:c>
      <x:c r="R41" s="24" t="n">
        <x:f>IFERROR(F41/H41,0)</x:f>
        <x:v>0.3076923076923077</x:v>
      </x:c>
      <x:c r="S41" s="24" t="n">
        <x:f>IFERROR(F41/J41,0)</x:f>
        <x:v>0.5714285714285714</x:v>
      </x:c>
      <x:c r="T41" s="28" t="n">
        <x:f>H41-I41</x:f>
        <x:v>8</x:v>
      </x:c>
      <x:c r="U41" s="24" t="n">
        <x:f>IFERROR(J41/H41,0)-IFERROR(K41/I41,0)</x:f>
        <x:v>0.3384615384615384</x:v>
      </x:c>
      <x:c r="V41" s="24" t="n">
        <x:f>IFERROR(F41/J41,0)-IFERROR(G41/K41,0)</x:f>
        <x:v>-0.4285714285714286</x:v>
      </x:c>
      <x:c r="W41" s="28" t="n">
        <x:f>L41-M41</x:f>
        <x:v>10</x:v>
      </x:c>
      <x:c r="X41" s="24" t="n">
        <x:f>IFERROR(K41/I41,0)</x:f>
        <x:v>0.2</x:v>
      </x:c>
      <x:c r="Y41" s="24" t="n">
        <x:f>IFERROR(G41/I41,0)</x:f>
        <x:v>0.2</x:v>
      </x:c>
      <x:c r="Z41" s="24" t="n">
        <x:f>IFERROR(G41/K41,0)</x:f>
        <x:v>1</x:v>
      </x:c>
      <x:c r="AA41" s="24" t="n">
        <x:f>IFERROR(F41/H41,0)-IFERROR(G41/I41,0)</x:f>
        <x:v>0.1076923076923077</x:v>
      </x:c>
      <x:c r="AB41" s="28" t="n">
        <x:f>J41-K41</x:f>
        <x:v>6</x:v>
      </x:c>
      <x:c r="AC41" s="32" t="n">
        <x:f>F41-G41</x:f>
        <x:v>3</x:v>
      </x:c>
    </x:row>
    <x:row r="42">
      <x:c r="A42" s="4" t="str">
        <x:v>2021-22</x:v>
      </x:c>
      <x:c r="B42" s="20" t="n">
        <x:v>44436</x:v>
      </x:c>
      <x:c r="C42" s="4" t="str">
        <x:v>Arsenal</x:v>
      </x:c>
      <x:c r="D42" s="4" t="str">
        <x:v>Man City</x:v>
      </x:c>
      <x:c r="E42" s="4" t="str">
        <x:v>Away</x:v>
      </x:c>
      <x:c r="F42" s="28" t="n">
        <x:v>0</x:v>
      </x:c>
      <x:c r="G42" s="28" t="n">
        <x:v>5</x:v>
      </x:c>
      <x:c r="H42" s="28" t="n">
        <x:v>1</x:v>
      </x:c>
      <x:c r="I42" s="28" t="n">
        <x:v>25</x:v>
      </x:c>
      <x:c r="J42" s="28" t="n">
        <x:v>0</x:v>
      </x:c>
      <x:c r="K42" s="28" t="n">
        <x:v>10</x:v>
      </x:c>
      <x:c r="L42" s="28" t="n">
        <x:v>0</x:v>
      </x:c>
      <x:c r="M42" s="28" t="n">
        <x:v>14</x:v>
      </x:c>
      <x:c r="N42" s="28" t="n">
        <x:v>2</x:v>
      </x:c>
      <x:c r="O42" s="28" t="n">
        <x:v>1</x:v>
      </x:c>
      <x:c r="P42" s="28" t="n">
        <x:v>0</x:v>
      </x:c>
      <x:c r="Q42" s="24" t="n">
        <x:f>IFERROR(J42/H42,0)</x:f>
        <x:v>0</x:v>
      </x:c>
      <x:c r="R42" s="24" t="n">
        <x:f>IFERROR(F42/H42,0)</x:f>
        <x:v>0</x:v>
      </x:c>
      <x:c r="S42" s="24" t="n">
        <x:f>IFERROR(F42/J42,0)</x:f>
        <x:v>0</x:v>
      </x:c>
      <x:c r="T42" s="28" t="n">
        <x:f>H42-I42</x:f>
        <x:v>-24</x:v>
      </x:c>
      <x:c r="U42" s="24" t="n">
        <x:f>IFERROR(J42/H42,0)-IFERROR(K42/I42,0)</x:f>
        <x:v>-0.4</x:v>
      </x:c>
      <x:c r="V42" s="24" t="n">
        <x:f>IFERROR(F42/J42,0)-IFERROR(G42/K42,0)</x:f>
        <x:v>-0.5</x:v>
      </x:c>
      <x:c r="W42" s="28" t="n">
        <x:f>L42-M42</x:f>
        <x:v>-14</x:v>
      </x:c>
      <x:c r="X42" s="24" t="n">
        <x:f>IFERROR(K42/I42,0)</x:f>
        <x:v>0.4</x:v>
      </x:c>
      <x:c r="Y42" s="24" t="n">
        <x:f>IFERROR(G42/I42,0)</x:f>
        <x:v>0.2</x:v>
      </x:c>
      <x:c r="Z42" s="24" t="n">
        <x:f>IFERROR(G42/K42,0)</x:f>
        <x:v>0.5</x:v>
      </x:c>
      <x:c r="AA42" s="24" t="n">
        <x:f>IFERROR(F42/H42,0)-IFERROR(G42/I42,0)</x:f>
        <x:v>-0.2</x:v>
      </x:c>
      <x:c r="AB42" s="28" t="n">
        <x:f>J42-K42</x:f>
        <x:v>-10</x:v>
      </x:c>
      <x:c r="AC42" s="32" t="n">
        <x:f>F42-G42</x:f>
        <x:v>-5</x:v>
      </x:c>
    </x:row>
    <x:row r="43">
      <x:c r="A43" s="4" t="str">
        <x:v>2021-22</x:v>
      </x:c>
      <x:c r="B43" s="20" t="n">
        <x:v>44436</x:v>
      </x:c>
      <x:c r="C43" s="4" t="str">
        <x:v>Aston Villa</x:v>
      </x:c>
      <x:c r="D43" s="4" t="str">
        <x:v>Brentford</x:v>
      </x:c>
      <x:c r="E43" s="4" t="str">
        <x:v>Home</x:v>
      </x:c>
      <x:c r="F43" s="28" t="n">
        <x:v>1</x:v>
      </x:c>
      <x:c r="G43" s="28" t="n">
        <x:v>1</x:v>
      </x:c>
      <x:c r="H43" s="28" t="n">
        <x:v>7</x:v>
      </x:c>
      <x:c r="I43" s="28" t="n">
        <x:v>9</x:v>
      </x:c>
      <x:c r="J43" s="28" t="n">
        <x:v>5</x:v>
      </x:c>
      <x:c r="K43" s="28" t="n">
        <x:v>2</x:v>
      </x:c>
      <x:c r="L43" s="28" t="n">
        <x:v>3</x:v>
      </x:c>
      <x:c r="M43" s="28" t="n">
        <x:v>2</x:v>
      </x:c>
      <x:c r="N43" s="28" t="n">
        <x:v>3</x:v>
      </x:c>
      <x:c r="O43" s="28" t="n">
        <x:v>0</x:v>
      </x:c>
      <x:c r="P43" s="28" t="n">
        <x:v>1</x:v>
      </x:c>
      <x:c r="Q43" s="24" t="n">
        <x:f>IFERROR(J43/H43,0)</x:f>
        <x:v>0.7142857142857143</x:v>
      </x:c>
      <x:c r="R43" s="24" t="n">
        <x:f>IFERROR(F43/H43,0)</x:f>
        <x:v>0.14285714285714285</x:v>
      </x:c>
      <x:c r="S43" s="24" t="n">
        <x:f>IFERROR(F43/J43,0)</x:f>
        <x:v>0.2</x:v>
      </x:c>
      <x:c r="T43" s="28" t="n">
        <x:f>H43-I43</x:f>
        <x:v>-2</x:v>
      </x:c>
      <x:c r="U43" s="24" t="n">
        <x:f>IFERROR(J43/H43,0)-IFERROR(K43/I43,0)</x:f>
        <x:v>0.4920634920634921</x:v>
      </x:c>
      <x:c r="V43" s="24" t="n">
        <x:f>IFERROR(F43/J43,0)-IFERROR(G43/K43,0)</x:f>
        <x:v>-0.3</x:v>
      </x:c>
      <x:c r="W43" s="28" t="n">
        <x:f>L43-M43</x:f>
        <x:v>1</x:v>
      </x:c>
      <x:c r="X43" s="24" t="n">
        <x:f>IFERROR(K43/I43,0)</x:f>
        <x:v>0.2222222222222222</x:v>
      </x:c>
      <x:c r="Y43" s="24" t="n">
        <x:f>IFERROR(G43/I43,0)</x:f>
        <x:v>0.1111111111111111</x:v>
      </x:c>
      <x:c r="Z43" s="24" t="n">
        <x:f>IFERROR(G43/K43,0)</x:f>
        <x:v>0.5</x:v>
      </x:c>
      <x:c r="AA43" s="24" t="n">
        <x:f>IFERROR(F43/H43,0)-IFERROR(G43/I43,0)</x:f>
        <x:v>0.031746031746031744</x:v>
      </x:c>
      <x:c r="AB43" s="28" t="n">
        <x:f>J43-K43</x:f>
        <x:v>3</x:v>
      </x:c>
      <x:c r="AC43" s="32" t="n">
        <x:f>F43-G43</x:f>
        <x:v>0</x:v>
      </x:c>
    </x:row>
    <x:row r="44">
      <x:c r="A44" s="4" t="str">
        <x:v>2021-22</x:v>
      </x:c>
      <x:c r="B44" s="20" t="n">
        <x:v>44436</x:v>
      </x:c>
      <x:c r="C44" s="4" t="str">
        <x:v>Brentford</x:v>
      </x:c>
      <x:c r="D44" s="4" t="str">
        <x:v>Aston Villa</x:v>
      </x:c>
      <x:c r="E44" s="4" t="str">
        <x:v>Away</x:v>
      </x:c>
      <x:c r="F44" s="28" t="n">
        <x:v>1</x:v>
      </x:c>
      <x:c r="G44" s="28" t="n">
        <x:v>1</x:v>
      </x:c>
      <x:c r="H44" s="28" t="n">
        <x:v>9</x:v>
      </x:c>
      <x:c r="I44" s="28" t="n">
        <x:v>7</x:v>
      </x:c>
      <x:c r="J44" s="28" t="n">
        <x:v>2</x:v>
      </x:c>
      <x:c r="K44" s="28" t="n">
        <x:v>5</x:v>
      </x:c>
      <x:c r="L44" s="28" t="n">
        <x:v>2</x:v>
      </x:c>
      <x:c r="M44" s="28" t="n">
        <x:v>3</x:v>
      </x:c>
      <x:c r="N44" s="28" t="n">
        <x:v>3</x:v>
      </x:c>
      <x:c r="O44" s="28" t="n">
        <x:v>0</x:v>
      </x:c>
      <x:c r="P44" s="28" t="n">
        <x:v>1</x:v>
      </x:c>
      <x:c r="Q44" s="24" t="n">
        <x:f>IFERROR(J44/H44,0)</x:f>
        <x:v>0.2222222222222222</x:v>
      </x:c>
      <x:c r="R44" s="24" t="n">
        <x:f>IFERROR(F44/H44,0)</x:f>
        <x:v>0.1111111111111111</x:v>
      </x:c>
      <x:c r="S44" s="24" t="n">
        <x:f>IFERROR(F44/J44,0)</x:f>
        <x:v>0.5</x:v>
      </x:c>
      <x:c r="T44" s="28" t="n">
        <x:f>H44-I44</x:f>
        <x:v>2</x:v>
      </x:c>
      <x:c r="U44" s="24" t="n">
        <x:f>IFERROR(J44/H44,0)-IFERROR(K44/I44,0)</x:f>
        <x:v>-0.4920634920634921</x:v>
      </x:c>
      <x:c r="V44" s="24" t="n">
        <x:f>IFERROR(F44/J44,0)-IFERROR(G44/K44,0)</x:f>
        <x:v>0.3</x:v>
      </x:c>
      <x:c r="W44" s="28" t="n">
        <x:f>L44-M44</x:f>
        <x:v>-1</x:v>
      </x:c>
      <x:c r="X44" s="24" t="n">
        <x:f>IFERROR(K44/I44,0)</x:f>
        <x:v>0.7142857142857143</x:v>
      </x:c>
      <x:c r="Y44" s="24" t="n">
        <x:f>IFERROR(G44/I44,0)</x:f>
        <x:v>0.14285714285714285</x:v>
      </x:c>
      <x:c r="Z44" s="24" t="n">
        <x:f>IFERROR(G44/K44,0)</x:f>
        <x:v>0.2</x:v>
      </x:c>
      <x:c r="AA44" s="24" t="n">
        <x:f>IFERROR(F44/H44,0)-IFERROR(G44/I44,0)</x:f>
        <x:v>-0.031746031746031744</x:v>
      </x:c>
      <x:c r="AB44" s="28" t="n">
        <x:f>J44-K44</x:f>
        <x:v>-3</x:v>
      </x:c>
      <x:c r="AC44" s="32" t="n">
        <x:f>F44-G44</x:f>
        <x:v>0</x:v>
      </x:c>
    </x:row>
    <x:row r="45">
      <x:c r="A45" s="4" t="str">
        <x:v>2021-22</x:v>
      </x:c>
      <x:c r="B45" s="20" t="n">
        <x:v>44436</x:v>
      </x:c>
      <x:c r="C45" s="4" t="str">
        <x:v>Brighton</x:v>
      </x:c>
      <x:c r="D45" s="4" t="str">
        <x:v>Everton</x:v>
      </x:c>
      <x:c r="E45" s="4" t="str">
        <x:v>Home</x:v>
      </x:c>
      <x:c r="F45" s="28" t="n">
        <x:v>0</x:v>
      </x:c>
      <x:c r="G45" s="28" t="n">
        <x:v>2</x:v>
      </x:c>
      <x:c r="H45" s="28" t="n">
        <x:v>14</x:v>
      </x:c>
      <x:c r="I45" s="28" t="n">
        <x:v>14</x:v>
      </x:c>
      <x:c r="J45" s="28" t="n">
        <x:v>3</x:v>
      </x:c>
      <x:c r="K45" s="28" t="n">
        <x:v>5</x:v>
      </x:c>
      <x:c r="L45" s="28" t="n">
        <x:v>4</x:v>
      </x:c>
      <x:c r="M45" s="28" t="n">
        <x:v>5</x:v>
      </x:c>
      <x:c r="N45" s="28" t="n">
        <x:v>1</x:v>
      </x:c>
      <x:c r="O45" s="28" t="n">
        <x:v>0</x:v>
      </x:c>
      <x:c r="P45" s="28" t="n">
        <x:v>0</x:v>
      </x:c>
      <x:c r="Q45" s="24" t="n">
        <x:f>IFERROR(J45/H45,0)</x:f>
        <x:v>0.21428571428571427</x:v>
      </x:c>
      <x:c r="R45" s="24" t="n">
        <x:f>IFERROR(F45/H45,0)</x:f>
        <x:v>0</x:v>
      </x:c>
      <x:c r="S45" s="24" t="n">
        <x:f>IFERROR(F45/J45,0)</x:f>
        <x:v>0</x:v>
      </x:c>
      <x:c r="T45" s="28" t="n">
        <x:f>H45-I45</x:f>
        <x:v>0</x:v>
      </x:c>
      <x:c r="U45" s="24" t="n">
        <x:f>IFERROR(J45/H45,0)-IFERROR(K45/I45,0)</x:f>
        <x:v>-0.14285714285714288</x:v>
      </x:c>
      <x:c r="V45" s="24" t="n">
        <x:f>IFERROR(F45/J45,0)-IFERROR(G45/K45,0)</x:f>
        <x:v>-0.4</x:v>
      </x:c>
      <x:c r="W45" s="28" t="n">
        <x:f>L45-M45</x:f>
        <x:v>-1</x:v>
      </x:c>
      <x:c r="X45" s="24" t="n">
        <x:f>IFERROR(K45/I45,0)</x:f>
        <x:v>0.35714285714285715</x:v>
      </x:c>
      <x:c r="Y45" s="24" t="n">
        <x:f>IFERROR(G45/I45,0)</x:f>
        <x:v>0.14285714285714285</x:v>
      </x:c>
      <x:c r="Z45" s="24" t="n">
        <x:f>IFERROR(G45/K45,0)</x:f>
        <x:v>0.4</x:v>
      </x:c>
      <x:c r="AA45" s="24" t="n">
        <x:f>IFERROR(F45/H45,0)-IFERROR(G45/I45,0)</x:f>
        <x:v>-0.14285714285714285</x:v>
      </x:c>
      <x:c r="AB45" s="28" t="n">
        <x:f>J45-K45</x:f>
        <x:v>-2</x:v>
      </x:c>
      <x:c r="AC45" s="32" t="n">
        <x:f>F45-G45</x:f>
        <x:v>-2</x:v>
      </x:c>
    </x:row>
    <x:row r="46">
      <x:c r="A46" s="4" t="str">
        <x:v>2021-22</x:v>
      </x:c>
      <x:c r="B46" s="20" t="n">
        <x:v>44436</x:v>
      </x:c>
      <x:c r="C46" s="4" t="str">
        <x:v>Chelsea</x:v>
      </x:c>
      <x:c r="D46" s="4" t="str">
        <x:v>Liverpool</x:v>
      </x:c>
      <x:c r="E46" s="4" t="str">
        <x:v>Away</x:v>
      </x:c>
      <x:c r="F46" s="28" t="n">
        <x:v>1</x:v>
      </x:c>
      <x:c r="G46" s="28" t="n">
        <x:v>1</x:v>
      </x:c>
      <x:c r="H46" s="28" t="n">
        <x:v>6</x:v>
      </x:c>
      <x:c r="I46" s="28" t="n">
        <x:v>24</x:v>
      </x:c>
      <x:c r="J46" s="28" t="n">
        <x:v>3</x:v>
      </x:c>
      <x:c r="K46" s="28" t="n">
        <x:v>7</x:v>
      </x:c>
      <x:c r="L46" s="28" t="n">
        <x:v>3</x:v>
      </x:c>
      <x:c r="M46" s="28" t="n">
        <x:v>12</x:v>
      </x:c>
      <x:c r="N46" s="28" t="n">
        <x:v>2</x:v>
      </x:c>
      <x:c r="O46" s="28" t="n">
        <x:v>1</x:v>
      </x:c>
      <x:c r="P46" s="28" t="n">
        <x:v>1</x:v>
      </x:c>
      <x:c r="Q46" s="24" t="n">
        <x:f>IFERROR(J46/H46,0)</x:f>
        <x:v>0.5</x:v>
      </x:c>
      <x:c r="R46" s="24" t="n">
        <x:f>IFERROR(F46/H46,0)</x:f>
        <x:v>0.16666666666666666</x:v>
      </x:c>
      <x:c r="S46" s="24" t="n">
        <x:f>IFERROR(F46/J46,0)</x:f>
        <x:v>0.3333333333333333</x:v>
      </x:c>
      <x:c r="T46" s="28" t="n">
        <x:f>H46-I46</x:f>
        <x:v>-18</x:v>
      </x:c>
      <x:c r="U46" s="24" t="n">
        <x:f>IFERROR(J46/H46,0)-IFERROR(K46/I46,0)</x:f>
        <x:v>0.20833333333333331</x:v>
      </x:c>
      <x:c r="V46" s="24" t="n">
        <x:f>IFERROR(F46/J46,0)-IFERROR(G46/K46,0)</x:f>
        <x:v>0.19047619047619047</x:v>
      </x:c>
      <x:c r="W46" s="28" t="n">
        <x:f>L46-M46</x:f>
        <x:v>-9</x:v>
      </x:c>
      <x:c r="X46" s="24" t="n">
        <x:f>IFERROR(K46/I46,0)</x:f>
        <x:v>0.2916666666666667</x:v>
      </x:c>
      <x:c r="Y46" s="24" t="n">
        <x:f>IFERROR(G46/I46,0)</x:f>
        <x:v>0.041666666666666664</x:v>
      </x:c>
      <x:c r="Z46" s="24" t="n">
        <x:f>IFERROR(G46/K46,0)</x:f>
        <x:v>0.14285714285714285</x:v>
      </x:c>
      <x:c r="AA46" s="24" t="n">
        <x:f>IFERROR(F46/H46,0)-IFERROR(G46/I46,0)</x:f>
        <x:v>0.125</x:v>
      </x:c>
      <x:c r="AB46" s="28" t="n">
        <x:f>J46-K46</x:f>
        <x:v>-4</x:v>
      </x:c>
      <x:c r="AC46" s="32" t="n">
        <x:f>F46-G46</x:f>
        <x:v>0</x:v>
      </x:c>
    </x:row>
    <x:row r="47">
      <x:c r="A47" s="4" t="str">
        <x:v>2021-22</x:v>
      </x:c>
      <x:c r="B47" s="20" t="n">
        <x:v>44436</x:v>
      </x:c>
      <x:c r="C47" s="4" t="str">
        <x:v>Crystal Palace</x:v>
      </x:c>
      <x:c r="D47" s="4" t="str">
        <x:v>West Ham</x:v>
      </x:c>
      <x:c r="E47" s="4" t="str">
        <x:v>Away</x:v>
      </x:c>
      <x:c r="F47" s="28" t="n">
        <x:v>2</x:v>
      </x:c>
      <x:c r="G47" s="28" t="n">
        <x:v>2</x:v>
      </x:c>
      <x:c r="H47" s="28" t="n">
        <x:v>9</x:v>
      </x:c>
      <x:c r="I47" s="28" t="n">
        <x:v>14</x:v>
      </x:c>
      <x:c r="J47" s="28" t="n">
        <x:v>2</x:v>
      </x:c>
      <x:c r="K47" s="28" t="n">
        <x:v>4</x:v>
      </x:c>
      <x:c r="L47" s="28" t="n">
        <x:v>3</x:v>
      </x:c>
      <x:c r="M47" s="28" t="n">
        <x:v>5</x:v>
      </x:c>
      <x:c r="N47" s="28" t="n">
        <x:v>0</x:v>
      </x:c>
      <x:c r="O47" s="28" t="n">
        <x:v>0</x:v>
      </x:c>
      <x:c r="P47" s="28" t="n">
        <x:v>1</x:v>
      </x:c>
      <x:c r="Q47" s="24" t="n">
        <x:f>IFERROR(J47/H47,0)</x:f>
        <x:v>0.2222222222222222</x:v>
      </x:c>
      <x:c r="R47" s="24" t="n">
        <x:f>IFERROR(F47/H47,0)</x:f>
        <x:v>0.2222222222222222</x:v>
      </x:c>
      <x:c r="S47" s="24" t="n">
        <x:f>IFERROR(F47/J47,0)</x:f>
        <x:v>1</x:v>
      </x:c>
      <x:c r="T47" s="28" t="n">
        <x:f>H47-I47</x:f>
        <x:v>-5</x:v>
      </x:c>
      <x:c r="U47" s="24" t="n">
        <x:f>IFERROR(J47/H47,0)-IFERROR(K47/I47,0)</x:f>
        <x:v>-0.06349206349206349</x:v>
      </x:c>
      <x:c r="V47" s="24" t="n">
        <x:f>IFERROR(F47/J47,0)-IFERROR(G47/K47,0)</x:f>
        <x:v>0.5</x:v>
      </x:c>
      <x:c r="W47" s="28" t="n">
        <x:f>L47-M47</x:f>
        <x:v>-2</x:v>
      </x:c>
      <x:c r="X47" s="24" t="n">
        <x:f>IFERROR(K47/I47,0)</x:f>
        <x:v>0.2857142857142857</x:v>
      </x:c>
      <x:c r="Y47" s="24" t="n">
        <x:f>IFERROR(G47/I47,0)</x:f>
        <x:v>0.14285714285714285</x:v>
      </x:c>
      <x:c r="Z47" s="24" t="n">
        <x:f>IFERROR(G47/K47,0)</x:f>
        <x:v>0.5</x:v>
      </x:c>
      <x:c r="AA47" s="24" t="n">
        <x:f>IFERROR(F47/H47,0)-IFERROR(G47/I47,0)</x:f>
        <x:v>0.07936507936507936</x:v>
      </x:c>
      <x:c r="AB47" s="28" t="n">
        <x:f>J47-K47</x:f>
        <x:v>-2</x:v>
      </x:c>
      <x:c r="AC47" s="32" t="n">
        <x:f>F47-G47</x:f>
        <x:v>0</x:v>
      </x:c>
    </x:row>
    <x:row r="48">
      <x:c r="A48" s="4" t="str">
        <x:v>2021-22</x:v>
      </x:c>
      <x:c r="B48" s="20" t="n">
        <x:v>44436</x:v>
      </x:c>
      <x:c r="C48" s="4" t="str">
        <x:v>Everton</x:v>
      </x:c>
      <x:c r="D48" s="4" t="str">
        <x:v>Brighton</x:v>
      </x:c>
      <x:c r="E48" s="4" t="str">
        <x:v>Away</x:v>
      </x:c>
      <x:c r="F48" s="28" t="n">
        <x:v>2</x:v>
      </x:c>
      <x:c r="G48" s="28" t="n">
        <x:v>0</x:v>
      </x:c>
      <x:c r="H48" s="28" t="n">
        <x:v>14</x:v>
      </x:c>
      <x:c r="I48" s="28" t="n">
        <x:v>14</x:v>
      </x:c>
      <x:c r="J48" s="28" t="n">
        <x:v>5</x:v>
      </x:c>
      <x:c r="K48" s="28" t="n">
        <x:v>3</x:v>
      </x:c>
      <x:c r="L48" s="28" t="n">
        <x:v>5</x:v>
      </x:c>
      <x:c r="M48" s="28" t="n">
        <x:v>4</x:v>
      </x:c>
      <x:c r="N48" s="28" t="n">
        <x:v>2</x:v>
      </x:c>
      <x:c r="O48" s="28" t="n">
        <x:v>0</x:v>
      </x:c>
      <x:c r="P48" s="28" t="n">
        <x:v>3</x:v>
      </x:c>
      <x:c r="Q48" s="24" t="n">
        <x:f>IFERROR(J48/H48,0)</x:f>
        <x:v>0.35714285714285715</x:v>
      </x:c>
      <x:c r="R48" s="24" t="n">
        <x:f>IFERROR(F48/H48,0)</x:f>
        <x:v>0.14285714285714285</x:v>
      </x:c>
      <x:c r="S48" s="24" t="n">
        <x:f>IFERROR(F48/J48,0)</x:f>
        <x:v>0.4</x:v>
      </x:c>
      <x:c r="T48" s="28" t="n">
        <x:f>H48-I48</x:f>
        <x:v>0</x:v>
      </x:c>
      <x:c r="U48" s="24" t="n">
        <x:f>IFERROR(J48/H48,0)-IFERROR(K48/I48,0)</x:f>
        <x:v>0.14285714285714288</x:v>
      </x:c>
      <x:c r="V48" s="24" t="n">
        <x:f>IFERROR(F48/J48,0)-IFERROR(G48/K48,0)</x:f>
        <x:v>0.4</x:v>
      </x:c>
      <x:c r="W48" s="28" t="n">
        <x:f>L48-M48</x:f>
        <x:v>1</x:v>
      </x:c>
      <x:c r="X48" s="24" t="n">
        <x:f>IFERROR(K48/I48,0)</x:f>
        <x:v>0.21428571428571427</x:v>
      </x:c>
      <x:c r="Y48" s="24" t="n">
        <x:f>IFERROR(G48/I48,0)</x:f>
        <x:v>0</x:v>
      </x:c>
      <x:c r="Z48" s="24" t="n">
        <x:f>IFERROR(G48/K48,0)</x:f>
        <x:v>0</x:v>
      </x:c>
      <x:c r="AA48" s="24" t="n">
        <x:f>IFERROR(F48/H48,0)-IFERROR(G48/I48,0)</x:f>
        <x:v>0.14285714285714285</x:v>
      </x:c>
      <x:c r="AB48" s="28" t="n">
        <x:f>J48-K48</x:f>
        <x:v>2</x:v>
      </x:c>
      <x:c r="AC48" s="32" t="n">
        <x:f>F48-G48</x:f>
        <x:v>2</x:v>
      </x:c>
    </x:row>
    <x:row r="49">
      <x:c r="A49" s="4" t="str">
        <x:v>2021-22</x:v>
      </x:c>
      <x:c r="B49" s="20" t="n">
        <x:v>44436</x:v>
      </x:c>
      <x:c r="C49" s="4" t="str">
        <x:v>Leicester</x:v>
      </x:c>
      <x:c r="D49" s="4" t="str">
        <x:v>Norwich</x:v>
      </x:c>
      <x:c r="E49" s="4" t="str">
        <x:v>Away</x:v>
      </x:c>
      <x:c r="F49" s="28" t="n">
        <x:v>2</x:v>
      </x:c>
      <x:c r="G49" s="28" t="n">
        <x:v>1</x:v>
      </x:c>
      <x:c r="H49" s="28" t="n">
        <x:v>9</x:v>
      </x:c>
      <x:c r="I49" s="28" t="n">
        <x:v>14</x:v>
      </x:c>
      <x:c r="J49" s="28" t="n">
        <x:v>3</x:v>
      </x:c>
      <x:c r="K49" s="28" t="n">
        <x:v>4</x:v>
      </x:c>
      <x:c r="L49" s="28" t="n">
        <x:v>9</x:v>
      </x:c>
      <x:c r="M49" s="28" t="n">
        <x:v>9</x:v>
      </x:c>
      <x:c r="N49" s="28" t="n">
        <x:v>1</x:v>
      </x:c>
      <x:c r="O49" s="28" t="n">
        <x:v>0</x:v>
      </x:c>
      <x:c r="P49" s="28" t="n">
        <x:v>3</x:v>
      </x:c>
      <x:c r="Q49" s="24" t="n">
        <x:f>IFERROR(J49/H49,0)</x:f>
        <x:v>0.3333333333333333</x:v>
      </x:c>
      <x:c r="R49" s="24" t="n">
        <x:f>IFERROR(F49/H49,0)</x:f>
        <x:v>0.2222222222222222</x:v>
      </x:c>
      <x:c r="S49" s="24" t="n">
        <x:f>IFERROR(F49/J49,0)</x:f>
        <x:v>0.6666666666666666</x:v>
      </x:c>
      <x:c r="T49" s="28" t="n">
        <x:f>H49-I49</x:f>
        <x:v>-5</x:v>
      </x:c>
      <x:c r="U49" s="24" t="n">
        <x:f>IFERROR(J49/H49,0)-IFERROR(K49/I49,0)</x:f>
        <x:v>0.047619047619047616</x:v>
      </x:c>
      <x:c r="V49" s="24" t="n">
        <x:f>IFERROR(F49/J49,0)-IFERROR(G49/K49,0)</x:f>
        <x:v>0.41666666666666663</x:v>
      </x:c>
      <x:c r="W49" s="28" t="n">
        <x:f>L49-M49</x:f>
        <x:v>0</x:v>
      </x:c>
      <x:c r="X49" s="24" t="n">
        <x:f>IFERROR(K49/I49,0)</x:f>
        <x:v>0.2857142857142857</x:v>
      </x:c>
      <x:c r="Y49" s="24" t="n">
        <x:f>IFERROR(G49/I49,0)</x:f>
        <x:v>0.07142857142857142</x:v>
      </x:c>
      <x:c r="Z49" s="24" t="n">
        <x:f>IFERROR(G49/K49,0)</x:f>
        <x:v>0.25</x:v>
      </x:c>
      <x:c r="AA49" s="24" t="n">
        <x:f>IFERROR(F49/H49,0)-IFERROR(G49/I49,0)</x:f>
        <x:v>0.15079365079365079</x:v>
      </x:c>
      <x:c r="AB49" s="28" t="n">
        <x:f>J49-K49</x:f>
        <x:v>-1</x:v>
      </x:c>
      <x:c r="AC49" s="32" t="n">
        <x:f>F49-G49</x:f>
        <x:v>1</x:v>
      </x:c>
    </x:row>
    <x:row r="50">
      <x:c r="A50" s="4" t="str">
        <x:v>2021-22</x:v>
      </x:c>
      <x:c r="B50" s="20" t="n">
        <x:v>44436</x:v>
      </x:c>
      <x:c r="C50" s="4" t="str">
        <x:v>Liverpool</x:v>
      </x:c>
      <x:c r="D50" s="4" t="str">
        <x:v>Chelsea</x:v>
      </x:c>
      <x:c r="E50" s="4" t="str">
        <x:v>Home</x:v>
      </x:c>
      <x:c r="F50" s="28" t="n">
        <x:v>1</x:v>
      </x:c>
      <x:c r="G50" s="28" t="n">
        <x:v>1</x:v>
      </x:c>
      <x:c r="H50" s="28" t="n">
        <x:v>24</x:v>
      </x:c>
      <x:c r="I50" s="28" t="n">
        <x:v>6</x:v>
      </x:c>
      <x:c r="J50" s="28" t="n">
        <x:v>7</x:v>
      </x:c>
      <x:c r="K50" s="28" t="n">
        <x:v>3</x:v>
      </x:c>
      <x:c r="L50" s="28" t="n">
        <x:v>12</x:v>
      </x:c>
      <x:c r="M50" s="28" t="n">
        <x:v>3</x:v>
      </x:c>
      <x:c r="N50" s="28" t="n">
        <x:v>0</x:v>
      </x:c>
      <x:c r="O50" s="28" t="n">
        <x:v>0</x:v>
      </x:c>
      <x:c r="P50" s="28" t="n">
        <x:v>1</x:v>
      </x:c>
      <x:c r="Q50" s="24" t="n">
        <x:f>IFERROR(J50/H50,0)</x:f>
        <x:v>0.2916666666666667</x:v>
      </x:c>
      <x:c r="R50" s="24" t="n">
        <x:f>IFERROR(F50/H50,0)</x:f>
        <x:v>0.041666666666666664</x:v>
      </x:c>
      <x:c r="S50" s="24" t="n">
        <x:f>IFERROR(F50/J50,0)</x:f>
        <x:v>0.14285714285714285</x:v>
      </x:c>
      <x:c r="T50" s="28" t="n">
        <x:f>H50-I50</x:f>
        <x:v>18</x:v>
      </x:c>
      <x:c r="U50" s="24" t="n">
        <x:f>IFERROR(J50/H50,0)-IFERROR(K50/I50,0)</x:f>
        <x:v>-0.20833333333333331</x:v>
      </x:c>
      <x:c r="V50" s="24" t="n">
        <x:f>IFERROR(F50/J50,0)-IFERROR(G50/K50,0)</x:f>
        <x:v>-0.19047619047619047</x:v>
      </x:c>
      <x:c r="W50" s="28" t="n">
        <x:f>L50-M50</x:f>
        <x:v>9</x:v>
      </x:c>
      <x:c r="X50" s="24" t="n">
        <x:f>IFERROR(K50/I50,0)</x:f>
        <x:v>0.5</x:v>
      </x:c>
      <x:c r="Y50" s="24" t="n">
        <x:f>IFERROR(G50/I50,0)</x:f>
        <x:v>0.16666666666666666</x:v>
      </x:c>
      <x:c r="Z50" s="24" t="n">
        <x:f>IFERROR(G50/K50,0)</x:f>
        <x:v>0.3333333333333333</x:v>
      </x:c>
      <x:c r="AA50" s="24" t="n">
        <x:f>IFERROR(F50/H50,0)-IFERROR(G50/I50,0)</x:f>
        <x:v>-0.125</x:v>
      </x:c>
      <x:c r="AB50" s="28" t="n">
        <x:f>J50-K50</x:f>
        <x:v>4</x:v>
      </x:c>
      <x:c r="AC50" s="32" t="n">
        <x:f>F50-G50</x:f>
        <x:v>0</x:v>
      </x:c>
    </x:row>
    <x:row r="51">
      <x:c r="A51" s="4" t="str">
        <x:v>2021-22</x:v>
      </x:c>
      <x:c r="B51" s="20" t="n">
        <x:v>44436</x:v>
      </x:c>
      <x:c r="C51" s="4" t="str">
        <x:v>Man City</x:v>
      </x:c>
      <x:c r="D51" s="4" t="str">
        <x:v>Arsenal</x:v>
      </x:c>
      <x:c r="E51" s="4" t="str">
        <x:v>Home</x:v>
      </x:c>
      <x:c r="F51" s="28" t="n">
        <x:v>5</x:v>
      </x:c>
      <x:c r="G51" s="28" t="n">
        <x:v>0</x:v>
      </x:c>
      <x:c r="H51" s="28" t="n">
        <x:v>25</x:v>
      </x:c>
      <x:c r="I51" s="28" t="n">
        <x:v>1</x:v>
      </x:c>
      <x:c r="J51" s="28" t="n">
        <x:v>10</x:v>
      </x:c>
      <x:c r="K51" s="28" t="n">
        <x:v>0</x:v>
      </x:c>
      <x:c r="L51" s="28" t="n">
        <x:v>14</x:v>
      </x:c>
      <x:c r="M51" s="28" t="n">
        <x:v>0</x:v>
      </x:c>
      <x:c r="N51" s="28" t="n">
        <x:v>1</x:v>
      </x:c>
      <x:c r="O51" s="28" t="n">
        <x:v>0</x:v>
      </x:c>
      <x:c r="P51" s="28" t="n">
        <x:v>3</x:v>
      </x:c>
      <x:c r="Q51" s="24" t="n">
        <x:f>IFERROR(J51/H51,0)</x:f>
        <x:v>0.4</x:v>
      </x:c>
      <x:c r="R51" s="24" t="n">
        <x:f>IFERROR(F51/H51,0)</x:f>
        <x:v>0.2</x:v>
      </x:c>
      <x:c r="S51" s="24" t="n">
        <x:f>IFERROR(F51/J51,0)</x:f>
        <x:v>0.5</x:v>
      </x:c>
      <x:c r="T51" s="28" t="n">
        <x:f>H51-I51</x:f>
        <x:v>24</x:v>
      </x:c>
      <x:c r="U51" s="24" t="n">
        <x:f>IFERROR(J51/H51,0)-IFERROR(K51/I51,0)</x:f>
        <x:v>0.4</x:v>
      </x:c>
      <x:c r="V51" s="24" t="n">
        <x:f>IFERROR(F51/J51,0)-IFERROR(G51/K51,0)</x:f>
        <x:v>0.5</x:v>
      </x:c>
      <x:c r="W51" s="28" t="n">
        <x:f>L51-M51</x:f>
        <x:v>14</x:v>
      </x:c>
      <x:c r="X51" s="24" t="n">
        <x:f>IFERROR(K51/I51,0)</x:f>
        <x:v>0</x:v>
      </x:c>
      <x:c r="Y51" s="24" t="n">
        <x:f>IFERROR(G51/I51,0)</x:f>
        <x:v>0</x:v>
      </x:c>
      <x:c r="Z51" s="24" t="n">
        <x:f>IFERROR(G51/K51,0)</x:f>
        <x:v>0</x:v>
      </x:c>
      <x:c r="AA51" s="24" t="n">
        <x:f>IFERROR(F51/H51,0)-IFERROR(G51/I51,0)</x:f>
        <x:v>0.2</x:v>
      </x:c>
      <x:c r="AB51" s="28" t="n">
        <x:f>J51-K51</x:f>
        <x:v>10</x:v>
      </x:c>
      <x:c r="AC51" s="32" t="n">
        <x:f>F51-G51</x:f>
        <x:v>5</x:v>
      </x:c>
    </x:row>
    <x:row r="52">
      <x:c r="A52" s="4" t="str">
        <x:v>2021-22</x:v>
      </x:c>
      <x:c r="B52" s="20" t="n">
        <x:v>44436</x:v>
      </x:c>
      <x:c r="C52" s="4" t="str">
        <x:v>Newcastle</x:v>
      </x:c>
      <x:c r="D52" s="4" t="str">
        <x:v>Southampton</x:v>
      </x:c>
      <x:c r="E52" s="4" t="str">
        <x:v>Home</x:v>
      </x:c>
      <x:c r="F52" s="28" t="n">
        <x:v>2</x:v>
      </x:c>
      <x:c r="G52" s="28" t="n">
        <x:v>2</x:v>
      </x:c>
      <x:c r="H52" s="28" t="n">
        <x:v>10</x:v>
      </x:c>
      <x:c r="I52" s="28" t="n">
        <x:v>22</x:v>
      </x:c>
      <x:c r="J52" s="28" t="n">
        <x:v>5</x:v>
      </x:c>
      <x:c r="K52" s="28" t="n">
        <x:v>6</x:v>
      </x:c>
      <x:c r="L52" s="28" t="n">
        <x:v>4</x:v>
      </x:c>
      <x:c r="M52" s="28" t="n">
        <x:v>4</x:v>
      </x:c>
      <x:c r="N52" s="28" t="n">
        <x:v>3</x:v>
      </x:c>
      <x:c r="O52" s="28" t="n">
        <x:v>0</x:v>
      </x:c>
      <x:c r="P52" s="28" t="n">
        <x:v>1</x:v>
      </x:c>
      <x:c r="Q52" s="24" t="n">
        <x:f>IFERROR(J52/H52,0)</x:f>
        <x:v>0.5</x:v>
      </x:c>
      <x:c r="R52" s="24" t="n">
        <x:f>IFERROR(F52/H52,0)</x:f>
        <x:v>0.2</x:v>
      </x:c>
      <x:c r="S52" s="24" t="n">
        <x:f>IFERROR(F52/J52,0)</x:f>
        <x:v>0.4</x:v>
      </x:c>
      <x:c r="T52" s="28" t="n">
        <x:f>H52-I52</x:f>
        <x:v>-12</x:v>
      </x:c>
      <x:c r="U52" s="24" t="n">
        <x:f>IFERROR(J52/H52,0)-IFERROR(K52/I52,0)</x:f>
        <x:v>0.2272727272727273</x:v>
      </x:c>
      <x:c r="V52" s="24" t="n">
        <x:f>IFERROR(F52/J52,0)-IFERROR(G52/K52,0)</x:f>
        <x:v>0.06666666666666671</x:v>
      </x:c>
      <x:c r="W52" s="28" t="n">
        <x:f>L52-M52</x:f>
        <x:v>0</x:v>
      </x:c>
      <x:c r="X52" s="24" t="n">
        <x:f>IFERROR(K52/I52,0)</x:f>
        <x:v>0.2727272727272727</x:v>
      </x:c>
      <x:c r="Y52" s="24" t="n">
        <x:f>IFERROR(G52/I52,0)</x:f>
        <x:v>0.09090909090909091</x:v>
      </x:c>
      <x:c r="Z52" s="24" t="n">
        <x:f>IFERROR(G52/K52,0)</x:f>
        <x:v>0.3333333333333333</x:v>
      </x:c>
      <x:c r="AA52" s="24" t="n">
        <x:f>IFERROR(F52/H52,0)-IFERROR(G52/I52,0)</x:f>
        <x:v>0.1090909090909091</x:v>
      </x:c>
      <x:c r="AB52" s="28" t="n">
        <x:f>J52-K52</x:f>
        <x:v>-1</x:v>
      </x:c>
      <x:c r="AC52" s="32" t="n">
        <x:f>F52-G52</x:f>
        <x:v>0</x:v>
      </x:c>
    </x:row>
    <x:row r="53">
      <x:c r="A53" s="4" t="str">
        <x:v>2021-22</x:v>
      </x:c>
      <x:c r="B53" s="20" t="n">
        <x:v>44436</x:v>
      </x:c>
      <x:c r="C53" s="4" t="str">
        <x:v>Norwich</x:v>
      </x:c>
      <x:c r="D53" s="4" t="str">
        <x:v>Leicester</x:v>
      </x:c>
      <x:c r="E53" s="4" t="str">
        <x:v>Home</x:v>
      </x:c>
      <x:c r="F53" s="28" t="n">
        <x:v>1</x:v>
      </x:c>
      <x:c r="G53" s="28" t="n">
        <x:v>2</x:v>
      </x:c>
      <x:c r="H53" s="28" t="n">
        <x:v>14</x:v>
      </x:c>
      <x:c r="I53" s="28" t="n">
        <x:v>9</x:v>
      </x:c>
      <x:c r="J53" s="28" t="n">
        <x:v>4</x:v>
      </x:c>
      <x:c r="K53" s="28" t="n">
        <x:v>3</x:v>
      </x:c>
      <x:c r="L53" s="28" t="n">
        <x:v>9</x:v>
      </x:c>
      <x:c r="M53" s="28" t="n">
        <x:v>9</x:v>
      </x:c>
      <x:c r="N53" s="28" t="n">
        <x:v>2</x:v>
      </x:c>
      <x:c r="O53" s="28" t="n">
        <x:v>0</x:v>
      </x:c>
      <x:c r="P53" s="28" t="n">
        <x:v>0</x:v>
      </x:c>
      <x:c r="Q53" s="24" t="n">
        <x:f>IFERROR(J53/H53,0)</x:f>
        <x:v>0.2857142857142857</x:v>
      </x:c>
      <x:c r="R53" s="24" t="n">
        <x:f>IFERROR(F53/H53,0)</x:f>
        <x:v>0.07142857142857142</x:v>
      </x:c>
      <x:c r="S53" s="24" t="n">
        <x:f>IFERROR(F53/J53,0)</x:f>
        <x:v>0.25</x:v>
      </x:c>
      <x:c r="T53" s="28" t="n">
        <x:f>H53-I53</x:f>
        <x:v>5</x:v>
      </x:c>
      <x:c r="U53" s="24" t="n">
        <x:f>IFERROR(J53/H53,0)-IFERROR(K53/I53,0)</x:f>
        <x:v>-0.047619047619047616</x:v>
      </x:c>
      <x:c r="V53" s="24" t="n">
        <x:f>IFERROR(F53/J53,0)-IFERROR(G53/K53,0)</x:f>
        <x:v>-0.41666666666666663</x:v>
      </x:c>
      <x:c r="W53" s="28" t="n">
        <x:f>L53-M53</x:f>
        <x:v>0</x:v>
      </x:c>
      <x:c r="X53" s="24" t="n">
        <x:f>IFERROR(K53/I53,0)</x:f>
        <x:v>0.3333333333333333</x:v>
      </x:c>
      <x:c r="Y53" s="24" t="n">
        <x:f>IFERROR(G53/I53,0)</x:f>
        <x:v>0.2222222222222222</x:v>
      </x:c>
      <x:c r="Z53" s="24" t="n">
        <x:f>IFERROR(G53/K53,0)</x:f>
        <x:v>0.6666666666666666</x:v>
      </x:c>
      <x:c r="AA53" s="24" t="n">
        <x:f>IFERROR(F53/H53,0)-IFERROR(G53/I53,0)</x:f>
        <x:v>-0.15079365079365079</x:v>
      </x:c>
      <x:c r="AB53" s="28" t="n">
        <x:f>J53-K53</x:f>
        <x:v>1</x:v>
      </x:c>
      <x:c r="AC53" s="32" t="n">
        <x:f>F53-G53</x:f>
        <x:v>-1</x:v>
      </x:c>
    </x:row>
    <x:row r="54">
      <x:c r="A54" s="4" t="str">
        <x:v>2021-22</x:v>
      </x:c>
      <x:c r="B54" s="20" t="n">
        <x:v>44436</x:v>
      </x:c>
      <x:c r="C54" s="4" t="str">
        <x:v>Southampton</x:v>
      </x:c>
      <x:c r="D54" s="4" t="str">
        <x:v>Newcastle</x:v>
      </x:c>
      <x:c r="E54" s="4" t="str">
        <x:v>Away</x:v>
      </x:c>
      <x:c r="F54" s="28" t="n">
        <x:v>2</x:v>
      </x:c>
      <x:c r="G54" s="28" t="n">
        <x:v>2</x:v>
      </x:c>
      <x:c r="H54" s="28" t="n">
        <x:v>22</x:v>
      </x:c>
      <x:c r="I54" s="28" t="n">
        <x:v>10</x:v>
      </x:c>
      <x:c r="J54" s="28" t="n">
        <x:v>6</x:v>
      </x:c>
      <x:c r="K54" s="28" t="n">
        <x:v>5</x:v>
      </x:c>
      <x:c r="L54" s="28" t="n">
        <x:v>4</x:v>
      </x:c>
      <x:c r="M54" s="28" t="n">
        <x:v>4</x:v>
      </x:c>
      <x:c r="N54" s="28" t="n">
        <x:v>3</x:v>
      </x:c>
      <x:c r="O54" s="28" t="n">
        <x:v>0</x:v>
      </x:c>
      <x:c r="P54" s="28" t="n">
        <x:v>1</x:v>
      </x:c>
      <x:c r="Q54" s="24" t="n">
        <x:f>IFERROR(J54/H54,0)</x:f>
        <x:v>0.2727272727272727</x:v>
      </x:c>
      <x:c r="R54" s="24" t="n">
        <x:f>IFERROR(F54/H54,0)</x:f>
        <x:v>0.09090909090909091</x:v>
      </x:c>
      <x:c r="S54" s="24" t="n">
        <x:f>IFERROR(F54/J54,0)</x:f>
        <x:v>0.3333333333333333</x:v>
      </x:c>
      <x:c r="T54" s="28" t="n">
        <x:f>H54-I54</x:f>
        <x:v>12</x:v>
      </x:c>
      <x:c r="U54" s="24" t="n">
        <x:f>IFERROR(J54/H54,0)-IFERROR(K54/I54,0)</x:f>
        <x:v>-0.2272727272727273</x:v>
      </x:c>
      <x:c r="V54" s="24" t="n">
        <x:f>IFERROR(F54/J54,0)-IFERROR(G54/K54,0)</x:f>
        <x:v>-0.06666666666666671</x:v>
      </x:c>
      <x:c r="W54" s="28" t="n">
        <x:f>L54-M54</x:f>
        <x:v>0</x:v>
      </x:c>
      <x:c r="X54" s="24" t="n">
        <x:f>IFERROR(K54/I54,0)</x:f>
        <x:v>0.5</x:v>
      </x:c>
      <x:c r="Y54" s="24" t="n">
        <x:f>IFERROR(G54/I54,0)</x:f>
        <x:v>0.2</x:v>
      </x:c>
      <x:c r="Z54" s="24" t="n">
        <x:f>IFERROR(G54/K54,0)</x:f>
        <x:v>0.4</x:v>
      </x:c>
      <x:c r="AA54" s="24" t="n">
        <x:f>IFERROR(F54/H54,0)-IFERROR(G54/I54,0)</x:f>
        <x:v>-0.1090909090909091</x:v>
      </x:c>
      <x:c r="AB54" s="28" t="n">
        <x:f>J54-K54</x:f>
        <x:v>1</x:v>
      </x:c>
      <x:c r="AC54" s="32" t="n">
        <x:f>F54-G54</x:f>
        <x:v>0</x:v>
      </x:c>
    </x:row>
    <x:row r="55">
      <x:c r="A55" s="4" t="str">
        <x:v>2021-22</x:v>
      </x:c>
      <x:c r="B55" s="20" t="n">
        <x:v>44436</x:v>
      </x:c>
      <x:c r="C55" s="4" t="str">
        <x:v>West Ham</x:v>
      </x:c>
      <x:c r="D55" s="4" t="str">
        <x:v>Crystal Palace</x:v>
      </x:c>
      <x:c r="E55" s="4" t="str">
        <x:v>Home</x:v>
      </x:c>
      <x:c r="F55" s="28" t="n">
        <x:v>2</x:v>
      </x:c>
      <x:c r="G55" s="28" t="n">
        <x:v>2</x:v>
      </x:c>
      <x:c r="H55" s="28" t="n">
        <x:v>14</x:v>
      </x:c>
      <x:c r="I55" s="28" t="n">
        <x:v>9</x:v>
      </x:c>
      <x:c r="J55" s="28" t="n">
        <x:v>4</x:v>
      </x:c>
      <x:c r="K55" s="28" t="n">
        <x:v>2</x:v>
      </x:c>
      <x:c r="L55" s="28" t="n">
        <x:v>5</x:v>
      </x:c>
      <x:c r="M55" s="28" t="n">
        <x:v>3</x:v>
      </x:c>
      <x:c r="N55" s="28" t="n">
        <x:v>1</x:v>
      </x:c>
      <x:c r="O55" s="28" t="n">
        <x:v>0</x:v>
      </x:c>
      <x:c r="P55" s="28" t="n">
        <x:v>1</x:v>
      </x:c>
      <x:c r="Q55" s="24" t="n">
        <x:f>IFERROR(J55/H55,0)</x:f>
        <x:v>0.2857142857142857</x:v>
      </x:c>
      <x:c r="R55" s="24" t="n">
        <x:f>IFERROR(F55/H55,0)</x:f>
        <x:v>0.14285714285714285</x:v>
      </x:c>
      <x:c r="S55" s="24" t="n">
        <x:f>IFERROR(F55/J55,0)</x:f>
        <x:v>0.5</x:v>
      </x:c>
      <x:c r="T55" s="28" t="n">
        <x:f>H55-I55</x:f>
        <x:v>5</x:v>
      </x:c>
      <x:c r="U55" s="24" t="n">
        <x:f>IFERROR(J55/H55,0)-IFERROR(K55/I55,0)</x:f>
        <x:v>0.06349206349206349</x:v>
      </x:c>
      <x:c r="V55" s="24" t="n">
        <x:f>IFERROR(F55/J55,0)-IFERROR(G55/K55,0)</x:f>
        <x:v>-0.5</x:v>
      </x:c>
      <x:c r="W55" s="28" t="n">
        <x:f>L55-M55</x:f>
        <x:v>2</x:v>
      </x:c>
      <x:c r="X55" s="24" t="n">
        <x:f>IFERROR(K55/I55,0)</x:f>
        <x:v>0.2222222222222222</x:v>
      </x:c>
      <x:c r="Y55" s="24" t="n">
        <x:f>IFERROR(G55/I55,0)</x:f>
        <x:v>0.2222222222222222</x:v>
      </x:c>
      <x:c r="Z55" s="24" t="n">
        <x:f>IFERROR(G55/K55,0)</x:f>
        <x:v>1</x:v>
      </x:c>
      <x:c r="AA55" s="24" t="n">
        <x:f>IFERROR(F55/H55,0)-IFERROR(G55/I55,0)</x:f>
        <x:v>-0.07936507936507936</x:v>
      </x:c>
      <x:c r="AB55" s="28" t="n">
        <x:f>J55-K55</x:f>
        <x:v>2</x:v>
      </x:c>
      <x:c r="AC55" s="32" t="n">
        <x:f>F55-G55</x:f>
        <x:v>0</x:v>
      </x:c>
    </x:row>
    <x:row r="56">
      <x:c r="A56" s="4" t="str">
        <x:v>2021-22</x:v>
      </x:c>
      <x:c r="B56" s="20" t="n">
        <x:v>44437</x:v>
      </x:c>
      <x:c r="C56" s="4" t="str">
        <x:v>Burnley</x:v>
      </x:c>
      <x:c r="D56" s="4" t="str">
        <x:v>Leeds</x:v>
      </x:c>
      <x:c r="E56" s="4" t="str">
        <x:v>Home</x:v>
      </x:c>
      <x:c r="F56" s="28" t="n">
        <x:v>1</x:v>
      </x:c>
      <x:c r="G56" s="28" t="n">
        <x:v>1</x:v>
      </x:c>
      <x:c r="H56" s="28" t="n">
        <x:v>12</x:v>
      </x:c>
      <x:c r="I56" s="28" t="n">
        <x:v>12</x:v>
      </x:c>
      <x:c r="J56" s="28" t="n">
        <x:v>3</x:v>
      </x:c>
      <x:c r="K56" s="28" t="n">
        <x:v>2</x:v>
      </x:c>
      <x:c r="L56" s="28" t="n">
        <x:v>5</x:v>
      </x:c>
      <x:c r="M56" s="28" t="n">
        <x:v>5</x:v>
      </x:c>
      <x:c r="N56" s="28" t="n">
        <x:v>4</x:v>
      </x:c>
      <x:c r="O56" s="28" t="n">
        <x:v>0</x:v>
      </x:c>
      <x:c r="P56" s="28" t="n">
        <x:v>1</x:v>
      </x:c>
      <x:c r="Q56" s="24" t="n">
        <x:f>IFERROR(J56/H56,0)</x:f>
        <x:v>0.25</x:v>
      </x:c>
      <x:c r="R56" s="24" t="n">
        <x:f>IFERROR(F56/H56,0)</x:f>
        <x:v>0.08333333333333333</x:v>
      </x:c>
      <x:c r="S56" s="24" t="n">
        <x:f>IFERROR(F56/J56,0)</x:f>
        <x:v>0.3333333333333333</x:v>
      </x:c>
      <x:c r="T56" s="28" t="n">
        <x:f>H56-I56</x:f>
        <x:v>0</x:v>
      </x:c>
      <x:c r="U56" s="24" t="n">
        <x:f>IFERROR(J56/H56,0)-IFERROR(K56/I56,0)</x:f>
        <x:v>0.08333333333333334</x:v>
      </x:c>
      <x:c r="V56" s="24" t="n">
        <x:f>IFERROR(F56/J56,0)-IFERROR(G56/K56,0)</x:f>
        <x:v>-0.16666666666666669</x:v>
      </x:c>
      <x:c r="W56" s="28" t="n">
        <x:f>L56-M56</x:f>
        <x:v>0</x:v>
      </x:c>
      <x:c r="X56" s="24" t="n">
        <x:f>IFERROR(K56/I56,0)</x:f>
        <x:v>0.16666666666666666</x:v>
      </x:c>
      <x:c r="Y56" s="24" t="n">
        <x:f>IFERROR(G56/I56,0)</x:f>
        <x:v>0.08333333333333333</x:v>
      </x:c>
      <x:c r="Z56" s="24" t="n">
        <x:f>IFERROR(G56/K56,0)</x:f>
        <x:v>0.5</x:v>
      </x:c>
      <x:c r="AA56" s="24" t="n">
        <x:f>IFERROR(F56/H56,0)-IFERROR(G56/I56,0)</x:f>
        <x:v>0</x:v>
      </x:c>
      <x:c r="AB56" s="28" t="n">
        <x:f>J56-K56</x:f>
        <x:v>1</x:v>
      </x:c>
      <x:c r="AC56" s="32" t="n">
        <x:f>F56-G56</x:f>
        <x:v>0</x:v>
      </x:c>
    </x:row>
    <x:row r="57">
      <x:c r="A57" s="4" t="str">
        <x:v>2021-22</x:v>
      </x:c>
      <x:c r="B57" s="20" t="n">
        <x:v>44437</x:v>
      </x:c>
      <x:c r="C57" s="4" t="str">
        <x:v>Leeds</x:v>
      </x:c>
      <x:c r="D57" s="4" t="str">
        <x:v>Burnley</x:v>
      </x:c>
      <x:c r="E57" s="4" t="str">
        <x:v>Away</x:v>
      </x:c>
      <x:c r="F57" s="28" t="n">
        <x:v>1</x:v>
      </x:c>
      <x:c r="G57" s="28" t="n">
        <x:v>1</x:v>
      </x:c>
      <x:c r="H57" s="28" t="n">
        <x:v>12</x:v>
      </x:c>
      <x:c r="I57" s="28" t="n">
        <x:v>12</x:v>
      </x:c>
      <x:c r="J57" s="28" t="n">
        <x:v>2</x:v>
      </x:c>
      <x:c r="K57" s="28" t="n">
        <x:v>3</x:v>
      </x:c>
      <x:c r="L57" s="28" t="n">
        <x:v>5</x:v>
      </x:c>
      <x:c r="M57" s="28" t="n">
        <x:v>5</x:v>
      </x:c>
      <x:c r="N57" s="28" t="n">
        <x:v>3</x:v>
      </x:c>
      <x:c r="O57" s="28" t="n">
        <x:v>0</x:v>
      </x:c>
      <x:c r="P57" s="28" t="n">
        <x:v>1</x:v>
      </x:c>
      <x:c r="Q57" s="24" t="n">
        <x:f>IFERROR(J57/H57,0)</x:f>
        <x:v>0.16666666666666666</x:v>
      </x:c>
      <x:c r="R57" s="24" t="n">
        <x:f>IFERROR(F57/H57,0)</x:f>
        <x:v>0.08333333333333333</x:v>
      </x:c>
      <x:c r="S57" s="24" t="n">
        <x:f>IFERROR(F57/J57,0)</x:f>
        <x:v>0.5</x:v>
      </x:c>
      <x:c r="T57" s="28" t="n">
        <x:f>H57-I57</x:f>
        <x:v>0</x:v>
      </x:c>
      <x:c r="U57" s="24" t="n">
        <x:f>IFERROR(J57/H57,0)-IFERROR(K57/I57,0)</x:f>
        <x:v>-0.08333333333333334</x:v>
      </x:c>
      <x:c r="V57" s="24" t="n">
        <x:f>IFERROR(F57/J57,0)-IFERROR(G57/K57,0)</x:f>
        <x:v>0.16666666666666669</x:v>
      </x:c>
      <x:c r="W57" s="28" t="n">
        <x:f>L57-M57</x:f>
        <x:v>0</x:v>
      </x:c>
      <x:c r="X57" s="24" t="n">
        <x:f>IFERROR(K57/I57,0)</x:f>
        <x:v>0.25</x:v>
      </x:c>
      <x:c r="Y57" s="24" t="n">
        <x:f>IFERROR(G57/I57,0)</x:f>
        <x:v>0.08333333333333333</x:v>
      </x:c>
      <x:c r="Z57" s="24" t="n">
        <x:f>IFERROR(G57/K57,0)</x:f>
        <x:v>0.3333333333333333</x:v>
      </x:c>
      <x:c r="AA57" s="24" t="n">
        <x:f>IFERROR(F57/H57,0)-IFERROR(G57/I57,0)</x:f>
        <x:v>0</x:v>
      </x:c>
      <x:c r="AB57" s="28" t="n">
        <x:f>J57-K57</x:f>
        <x:v>-1</x:v>
      </x:c>
      <x:c r="AC57" s="32" t="n">
        <x:f>F57-G57</x:f>
        <x:v>0</x:v>
      </x:c>
    </x:row>
    <x:row r="58">
      <x:c r="A58" s="4" t="str">
        <x:v>2021-22</x:v>
      </x:c>
      <x:c r="B58" s="20" t="n">
        <x:v>44437</x:v>
      </x:c>
      <x:c r="C58" s="4" t="str">
        <x:v>Man United</x:v>
      </x:c>
      <x:c r="D58" s="4" t="str">
        <x:v>Wolves</x:v>
      </x:c>
      <x:c r="E58" s="4" t="str">
        <x:v>Away</x:v>
      </x:c>
      <x:c r="F58" s="28" t="n">
        <x:v>1</x:v>
      </x:c>
      <x:c r="G58" s="28" t="n">
        <x:v>0</x:v>
      </x:c>
      <x:c r="H58" s="28" t="n">
        <x:v>10</x:v>
      </x:c>
      <x:c r="I58" s="28" t="n">
        <x:v>15</x:v>
      </x:c>
      <x:c r="J58" s="28" t="n">
        <x:v>3</x:v>
      </x:c>
      <x:c r="K58" s="28" t="n">
        <x:v>6</x:v>
      </x:c>
      <x:c r="L58" s="28" t="n">
        <x:v>7</x:v>
      </x:c>
      <x:c r="M58" s="28" t="n">
        <x:v>5</x:v>
      </x:c>
      <x:c r="N58" s="28" t="n">
        <x:v>4</x:v>
      </x:c>
      <x:c r="O58" s="28" t="n">
        <x:v>0</x:v>
      </x:c>
      <x:c r="P58" s="28" t="n">
        <x:v>3</x:v>
      </x:c>
      <x:c r="Q58" s="24" t="n">
        <x:f>IFERROR(J58/H58,0)</x:f>
        <x:v>0.3</x:v>
      </x:c>
      <x:c r="R58" s="24" t="n">
        <x:f>IFERROR(F58/H58,0)</x:f>
        <x:v>0.1</x:v>
      </x:c>
      <x:c r="S58" s="24" t="n">
        <x:f>IFERROR(F58/J58,0)</x:f>
        <x:v>0.3333333333333333</x:v>
      </x:c>
      <x:c r="T58" s="28" t="n">
        <x:f>H58-I58</x:f>
        <x:v>-5</x:v>
      </x:c>
      <x:c r="U58" s="24" t="n">
        <x:f>IFERROR(J58/H58,0)-IFERROR(K58/I58,0)</x:f>
        <x:v>-0.10000000000000003</x:v>
      </x:c>
      <x:c r="V58" s="24" t="n">
        <x:f>IFERROR(F58/J58,0)-IFERROR(G58/K58,0)</x:f>
        <x:v>0.3333333333333333</x:v>
      </x:c>
      <x:c r="W58" s="28" t="n">
        <x:f>L58-M58</x:f>
        <x:v>2</x:v>
      </x:c>
      <x:c r="X58" s="24" t="n">
        <x:f>IFERROR(K58/I58,0)</x:f>
        <x:v>0.4</x:v>
      </x:c>
      <x:c r="Y58" s="24" t="n">
        <x:f>IFERROR(G58/I58,0)</x:f>
        <x:v>0</x:v>
      </x:c>
      <x:c r="Z58" s="24" t="n">
        <x:f>IFERROR(G58/K58,0)</x:f>
        <x:v>0</x:v>
      </x:c>
      <x:c r="AA58" s="24" t="n">
        <x:f>IFERROR(F58/H58,0)-IFERROR(G58/I58,0)</x:f>
        <x:v>0.1</x:v>
      </x:c>
      <x:c r="AB58" s="28" t="n">
        <x:f>J58-K58</x:f>
        <x:v>-3</x:v>
      </x:c>
      <x:c r="AC58" s="32" t="n">
        <x:f>F58-G58</x:f>
        <x:v>1</x:v>
      </x:c>
    </x:row>
    <x:row r="59">
      <x:c r="A59" s="4" t="str">
        <x:v>2021-22</x:v>
      </x:c>
      <x:c r="B59" s="20" t="n">
        <x:v>44437</x:v>
      </x:c>
      <x:c r="C59" s="4" t="str">
        <x:v>Tottenham</x:v>
      </x:c>
      <x:c r="D59" s="4" t="str">
        <x:v>Watford</x:v>
      </x:c>
      <x:c r="E59" s="4" t="str">
        <x:v>Home</x:v>
      </x:c>
      <x:c r="F59" s="28" t="n">
        <x:v>1</x:v>
      </x:c>
      <x:c r="G59" s="28" t="n">
        <x:v>0</x:v>
      </x:c>
      <x:c r="H59" s="28" t="n">
        <x:v>15</x:v>
      </x:c>
      <x:c r="I59" s="28" t="n">
        <x:v>9</x:v>
      </x:c>
      <x:c r="J59" s="28" t="n">
        <x:v>8</x:v>
      </x:c>
      <x:c r="K59" s="28" t="n">
        <x:v>2</x:v>
      </x:c>
      <x:c r="L59" s="28" t="n">
        <x:v>10</x:v>
      </x:c>
      <x:c r="M59" s="28" t="n">
        <x:v>3</x:v>
      </x:c>
      <x:c r="N59" s="28" t="n">
        <x:v>3</x:v>
      </x:c>
      <x:c r="O59" s="28" t="n">
        <x:v>0</x:v>
      </x:c>
      <x:c r="P59" s="28" t="n">
        <x:v>3</x:v>
      </x:c>
      <x:c r="Q59" s="24" t="n">
        <x:f>IFERROR(J59/H59,0)</x:f>
        <x:v>0.5333333333333333</x:v>
      </x:c>
      <x:c r="R59" s="24" t="n">
        <x:f>IFERROR(F59/H59,0)</x:f>
        <x:v>0.06666666666666667</x:v>
      </x:c>
      <x:c r="S59" s="24" t="n">
        <x:f>IFERROR(F59/J59,0)</x:f>
        <x:v>0.125</x:v>
      </x:c>
      <x:c r="T59" s="28" t="n">
        <x:f>H59-I59</x:f>
        <x:v>6</x:v>
      </x:c>
      <x:c r="U59" s="24" t="n">
        <x:f>IFERROR(J59/H59,0)-IFERROR(K59/I59,0)</x:f>
        <x:v>0.3111111111111111</x:v>
      </x:c>
      <x:c r="V59" s="24" t="n">
        <x:f>IFERROR(F59/J59,0)-IFERROR(G59/K59,0)</x:f>
        <x:v>0.125</x:v>
      </x:c>
      <x:c r="W59" s="28" t="n">
        <x:f>L59-M59</x:f>
        <x:v>7</x:v>
      </x:c>
      <x:c r="X59" s="24" t="n">
        <x:f>IFERROR(K59/I59,0)</x:f>
        <x:v>0.2222222222222222</x:v>
      </x:c>
      <x:c r="Y59" s="24" t="n">
        <x:f>IFERROR(G59/I59,0)</x:f>
        <x:v>0</x:v>
      </x:c>
      <x:c r="Z59" s="24" t="n">
        <x:f>IFERROR(G59/K59,0)</x:f>
        <x:v>0</x:v>
      </x:c>
      <x:c r="AA59" s="24" t="n">
        <x:f>IFERROR(F59/H59,0)-IFERROR(G59/I59,0)</x:f>
        <x:v>0.06666666666666667</x:v>
      </x:c>
      <x:c r="AB59" s="28" t="n">
        <x:f>J59-K59</x:f>
        <x:v>6</x:v>
      </x:c>
      <x:c r="AC59" s="32" t="n">
        <x:f>F59-G59</x:f>
        <x:v>1</x:v>
      </x:c>
    </x:row>
    <x:row r="60">
      <x:c r="A60" s="4" t="str">
        <x:v>2021-22</x:v>
      </x:c>
      <x:c r="B60" s="20" t="n">
        <x:v>44437</x:v>
      </x:c>
      <x:c r="C60" s="4" t="str">
        <x:v>Watford</x:v>
      </x:c>
      <x:c r="D60" s="4" t="str">
        <x:v>Tottenham</x:v>
      </x:c>
      <x:c r="E60" s="4" t="str">
        <x:v>Away</x:v>
      </x:c>
      <x:c r="F60" s="28" t="n">
        <x:v>0</x:v>
      </x:c>
      <x:c r="G60" s="28" t="n">
        <x:v>1</x:v>
      </x:c>
      <x:c r="H60" s="28" t="n">
        <x:v>9</x:v>
      </x:c>
      <x:c r="I60" s="28" t="n">
        <x:v>15</x:v>
      </x:c>
      <x:c r="J60" s="28" t="n">
        <x:v>2</x:v>
      </x:c>
      <x:c r="K60" s="28" t="n">
        <x:v>8</x:v>
      </x:c>
      <x:c r="L60" s="28" t="n">
        <x:v>3</x:v>
      </x:c>
      <x:c r="M60" s="28" t="n">
        <x:v>10</x:v>
      </x:c>
      <x:c r="N60" s="28" t="n">
        <x:v>3</x:v>
      </x:c>
      <x:c r="O60" s="28" t="n">
        <x:v>0</x:v>
      </x:c>
      <x:c r="P60" s="28" t="n">
        <x:v>0</x:v>
      </x:c>
      <x:c r="Q60" s="24" t="n">
        <x:f>IFERROR(J60/H60,0)</x:f>
        <x:v>0.2222222222222222</x:v>
      </x:c>
      <x:c r="R60" s="24" t="n">
        <x:f>IFERROR(F60/H60,0)</x:f>
        <x:v>0</x:v>
      </x:c>
      <x:c r="S60" s="24" t="n">
        <x:f>IFERROR(F60/J60,0)</x:f>
        <x:v>0</x:v>
      </x:c>
      <x:c r="T60" s="28" t="n">
        <x:f>H60-I60</x:f>
        <x:v>-6</x:v>
      </x:c>
      <x:c r="U60" s="24" t="n">
        <x:f>IFERROR(J60/H60,0)-IFERROR(K60/I60,0)</x:f>
        <x:v>-0.3111111111111111</x:v>
      </x:c>
      <x:c r="V60" s="24" t="n">
        <x:f>IFERROR(F60/J60,0)-IFERROR(G60/K60,0)</x:f>
        <x:v>-0.125</x:v>
      </x:c>
      <x:c r="W60" s="28" t="n">
        <x:f>L60-M60</x:f>
        <x:v>-7</x:v>
      </x:c>
      <x:c r="X60" s="24" t="n">
        <x:f>IFERROR(K60/I60,0)</x:f>
        <x:v>0.5333333333333333</x:v>
      </x:c>
      <x:c r="Y60" s="24" t="n">
        <x:f>IFERROR(G60/I60,0)</x:f>
        <x:v>0.06666666666666667</x:v>
      </x:c>
      <x:c r="Z60" s="24" t="n">
        <x:f>IFERROR(G60/K60,0)</x:f>
        <x:v>0.125</x:v>
      </x:c>
      <x:c r="AA60" s="24" t="n">
        <x:f>IFERROR(F60/H60,0)-IFERROR(G60/I60,0)</x:f>
        <x:v>-0.06666666666666667</x:v>
      </x:c>
      <x:c r="AB60" s="28" t="n">
        <x:f>J60-K60</x:f>
        <x:v>-6</x:v>
      </x:c>
      <x:c r="AC60" s="32" t="n">
        <x:f>F60-G60</x:f>
        <x:v>-1</x:v>
      </x:c>
    </x:row>
    <x:row r="61">
      <x:c r="A61" s="4" t="str">
        <x:v>2021-22</x:v>
      </x:c>
      <x:c r="B61" s="20" t="n">
        <x:v>44437</x:v>
      </x:c>
      <x:c r="C61" s="4" t="str">
        <x:v>Wolves</x:v>
      </x:c>
      <x:c r="D61" s="4" t="str">
        <x:v>Man United</x:v>
      </x:c>
      <x:c r="E61" s="4" t="str">
        <x:v>Home</x:v>
      </x:c>
      <x:c r="F61" s="28" t="n">
        <x:v>0</x:v>
      </x:c>
      <x:c r="G61" s="28" t="n">
        <x:v>1</x:v>
      </x:c>
      <x:c r="H61" s="28" t="n">
        <x:v>15</x:v>
      </x:c>
      <x:c r="I61" s="28" t="n">
        <x:v>10</x:v>
      </x:c>
      <x:c r="J61" s="28" t="n">
        <x:v>6</x:v>
      </x:c>
      <x:c r="K61" s="28" t="n">
        <x:v>3</x:v>
      </x:c>
      <x:c r="L61" s="28" t="n">
        <x:v>5</x:v>
      </x:c>
      <x:c r="M61" s="28" t="n">
        <x:v>7</x:v>
      </x:c>
      <x:c r="N61" s="28" t="n">
        <x:v>3</x:v>
      </x:c>
      <x:c r="O61" s="28" t="n">
        <x:v>0</x:v>
      </x:c>
      <x:c r="P61" s="28" t="n">
        <x:v>0</x:v>
      </x:c>
      <x:c r="Q61" s="24" t="n">
        <x:f>IFERROR(J61/H61,0)</x:f>
        <x:v>0.4</x:v>
      </x:c>
      <x:c r="R61" s="24" t="n">
        <x:f>IFERROR(F61/H61,0)</x:f>
        <x:v>0</x:v>
      </x:c>
      <x:c r="S61" s="24" t="n">
        <x:f>IFERROR(F61/J61,0)</x:f>
        <x:v>0</x:v>
      </x:c>
      <x:c r="T61" s="28" t="n">
        <x:f>H61-I61</x:f>
        <x:v>5</x:v>
      </x:c>
      <x:c r="U61" s="24" t="n">
        <x:f>IFERROR(J61/H61,0)-IFERROR(K61/I61,0)</x:f>
        <x:v>0.10000000000000003</x:v>
      </x:c>
      <x:c r="V61" s="24" t="n">
        <x:f>IFERROR(F61/J61,0)-IFERROR(G61/K61,0)</x:f>
        <x:v>-0.3333333333333333</x:v>
      </x:c>
      <x:c r="W61" s="28" t="n">
        <x:f>L61-M61</x:f>
        <x:v>-2</x:v>
      </x:c>
      <x:c r="X61" s="24" t="n">
        <x:f>IFERROR(K61/I61,0)</x:f>
        <x:v>0.3</x:v>
      </x:c>
      <x:c r="Y61" s="24" t="n">
        <x:f>IFERROR(G61/I61,0)</x:f>
        <x:v>0.1</x:v>
      </x:c>
      <x:c r="Z61" s="24" t="n">
        <x:f>IFERROR(G61/K61,0)</x:f>
        <x:v>0.3333333333333333</x:v>
      </x:c>
      <x:c r="AA61" s="24" t="n">
        <x:f>IFERROR(F61/H61,0)-IFERROR(G61/I61,0)</x:f>
        <x:v>-0.1</x:v>
      </x:c>
      <x:c r="AB61" s="28" t="n">
        <x:f>J61-K61</x:f>
        <x:v>3</x:v>
      </x:c>
      <x:c r="AC61" s="32" t="n">
        <x:f>F61-G61</x:f>
        <x:v>-1</x:v>
      </x:c>
    </x:row>
    <x:row r="62">
      <x:c r="A62" s="4" t="str">
        <x:v>2021-22</x:v>
      </x:c>
      <x:c r="B62" s="20" t="n">
        <x:v>44450</x:v>
      </x:c>
      <x:c r="C62" s="4" t="str">
        <x:v>Arsenal</x:v>
      </x:c>
      <x:c r="D62" s="4" t="str">
        <x:v>Norwich</x:v>
      </x:c>
      <x:c r="E62" s="4" t="str">
        <x:v>Home</x:v>
      </x:c>
      <x:c r="F62" s="28" t="n">
        <x:v>1</x:v>
      </x:c>
      <x:c r="G62" s="28" t="n">
        <x:v>0</x:v>
      </x:c>
      <x:c r="H62" s="28" t="n">
        <x:v>30</x:v>
      </x:c>
      <x:c r="I62" s="28" t="n">
        <x:v>10</x:v>
      </x:c>
      <x:c r="J62" s="28" t="n">
        <x:v>7</x:v>
      </x:c>
      <x:c r="K62" s="28" t="n">
        <x:v>1</x:v>
      </x:c>
      <x:c r="L62" s="28" t="n">
        <x:v>8</x:v>
      </x:c>
      <x:c r="M62" s="28" t="n">
        <x:v>4</x:v>
      </x:c>
      <x:c r="N62" s="28" t="n">
        <x:v>1</x:v>
      </x:c>
      <x:c r="O62" s="28" t="n">
        <x:v>0</x:v>
      </x:c>
      <x:c r="P62" s="28" t="n">
        <x:v>3</x:v>
      </x:c>
      <x:c r="Q62" s="24" t="n">
        <x:f>IFERROR(J62/H62,0)</x:f>
        <x:v>0.23333333333333334</x:v>
      </x:c>
      <x:c r="R62" s="24" t="n">
        <x:f>IFERROR(F62/H62,0)</x:f>
        <x:v>0.03333333333333333</x:v>
      </x:c>
      <x:c r="S62" s="24" t="n">
        <x:f>IFERROR(F62/J62,0)</x:f>
        <x:v>0.14285714285714285</x:v>
      </x:c>
      <x:c r="T62" s="28" t="n">
        <x:f>H62-I62</x:f>
        <x:v>20</x:v>
      </x:c>
      <x:c r="U62" s="24" t="n">
        <x:f>IFERROR(J62/H62,0)-IFERROR(K62/I62,0)</x:f>
        <x:v>0.13333333333333333</x:v>
      </x:c>
      <x:c r="V62" s="24" t="n">
        <x:f>IFERROR(F62/J62,0)-IFERROR(G62/K62,0)</x:f>
        <x:v>0.14285714285714285</x:v>
      </x:c>
      <x:c r="W62" s="28" t="n">
        <x:f>L62-M62</x:f>
        <x:v>4</x:v>
      </x:c>
      <x:c r="X62" s="24" t="n">
        <x:f>IFERROR(K62/I62,0)</x:f>
        <x:v>0.1</x:v>
      </x:c>
      <x:c r="Y62" s="24" t="n">
        <x:f>IFERROR(G62/I62,0)</x:f>
        <x:v>0</x:v>
      </x:c>
      <x:c r="Z62" s="24" t="n">
        <x:f>IFERROR(G62/K62,0)</x:f>
        <x:v>0</x:v>
      </x:c>
      <x:c r="AA62" s="24" t="n">
        <x:f>IFERROR(F62/H62,0)-IFERROR(G62/I62,0)</x:f>
        <x:v>0.03333333333333333</x:v>
      </x:c>
      <x:c r="AB62" s="28" t="n">
        <x:f>J62-K62</x:f>
        <x:v>6</x:v>
      </x:c>
      <x:c r="AC62" s="32" t="n">
        <x:f>F62-G62</x:f>
        <x:v>1</x:v>
      </x:c>
    </x:row>
    <x:row r="63">
      <x:c r="A63" s="4" t="str">
        <x:v>2021-22</x:v>
      </x:c>
      <x:c r="B63" s="20" t="n">
        <x:v>44450</x:v>
      </x:c>
      <x:c r="C63" s="4" t="str">
        <x:v>Aston Villa</x:v>
      </x:c>
      <x:c r="D63" s="4" t="str">
        <x:v>Chelsea</x:v>
      </x:c>
      <x:c r="E63" s="4" t="str">
        <x:v>Away</x:v>
      </x:c>
      <x:c r="F63" s="28" t="n">
        <x:v>0</x:v>
      </x:c>
      <x:c r="G63" s="28" t="n">
        <x:v>3</x:v>
      </x:c>
      <x:c r="H63" s="28" t="n">
        <x:v>18</x:v>
      </x:c>
      <x:c r="I63" s="28" t="n">
        <x:v>12</x:v>
      </x:c>
      <x:c r="J63" s="28" t="n">
        <x:v>6</x:v>
      </x:c>
      <x:c r="K63" s="28" t="n">
        <x:v>4</x:v>
      </x:c>
      <x:c r="L63" s="28" t="n">
        <x:v>11</x:v>
      </x:c>
      <x:c r="M63" s="28" t="n">
        <x:v>4</x:v>
      </x:c>
      <x:c r="N63" s="28" t="n">
        <x:v>4</x:v>
      </x:c>
      <x:c r="O63" s="28" t="n">
        <x:v>0</x:v>
      </x:c>
      <x:c r="P63" s="28" t="n">
        <x:v>0</x:v>
      </x:c>
      <x:c r="Q63" s="24" t="n">
        <x:f>IFERROR(J63/H63,0)</x:f>
        <x:v>0.3333333333333333</x:v>
      </x:c>
      <x:c r="R63" s="24" t="n">
        <x:f>IFERROR(F63/H63,0)</x:f>
        <x:v>0</x:v>
      </x:c>
      <x:c r="S63" s="24" t="n">
        <x:f>IFERROR(F63/J63,0)</x:f>
        <x:v>0</x:v>
      </x:c>
      <x:c r="T63" s="28" t="n">
        <x:f>H63-I63</x:f>
        <x:v>6</x:v>
      </x:c>
      <x:c r="U63" s="24" t="n">
        <x:f>IFERROR(J63/H63,0)-IFERROR(K63/I63,0)</x:f>
        <x:v>0</x:v>
      </x:c>
      <x:c r="V63" s="24" t="n">
        <x:f>IFERROR(F63/J63,0)-IFERROR(G63/K63,0)</x:f>
        <x:v>-0.75</x:v>
      </x:c>
      <x:c r="W63" s="28" t="n">
        <x:f>L63-M63</x:f>
        <x:v>7</x:v>
      </x:c>
      <x:c r="X63" s="24" t="n">
        <x:f>IFERROR(K63/I63,0)</x:f>
        <x:v>0.3333333333333333</x:v>
      </x:c>
      <x:c r="Y63" s="24" t="n">
        <x:f>IFERROR(G63/I63,0)</x:f>
        <x:v>0.25</x:v>
      </x:c>
      <x:c r="Z63" s="24" t="n">
        <x:f>IFERROR(G63/K63,0)</x:f>
        <x:v>0.75</x:v>
      </x:c>
      <x:c r="AA63" s="24" t="n">
        <x:f>IFERROR(F63/H63,0)-IFERROR(G63/I63,0)</x:f>
        <x:v>-0.25</x:v>
      </x:c>
      <x:c r="AB63" s="28" t="n">
        <x:f>J63-K63</x:f>
        <x:v>2</x:v>
      </x:c>
      <x:c r="AC63" s="32" t="n">
        <x:f>F63-G63</x:f>
        <x:v>-3</x:v>
      </x:c>
    </x:row>
    <x:row r="64">
      <x:c r="A64" s="4" t="str">
        <x:v>2021-22</x:v>
      </x:c>
      <x:c r="B64" s="20" t="n">
        <x:v>44450</x:v>
      </x:c>
      <x:c r="C64" s="4" t="str">
        <x:v>Brentford</x:v>
      </x:c>
      <x:c r="D64" s="4" t="str">
        <x:v>Brighton</x:v>
      </x:c>
      <x:c r="E64" s="4" t="str">
        <x:v>Home</x:v>
      </x:c>
      <x:c r="F64" s="28" t="n">
        <x:v>0</x:v>
      </x:c>
      <x:c r="G64" s="28" t="n">
        <x:v>1</x:v>
      </x:c>
      <x:c r="H64" s="28" t="n">
        <x:v>7</x:v>
      </x:c>
      <x:c r="I64" s="28" t="n">
        <x:v>4</x:v>
      </x:c>
      <x:c r="J64" s="28" t="n">
        <x:v>1</x:v>
      </x:c>
      <x:c r="K64" s="28" t="n">
        <x:v>2</x:v>
      </x:c>
      <x:c r="L64" s="28" t="n">
        <x:v>1</x:v>
      </x:c>
      <x:c r="M64" s="28" t="n">
        <x:v>6</x:v>
      </x:c>
      <x:c r="N64" s="28" t="n">
        <x:v>3</x:v>
      </x:c>
      <x:c r="O64" s="28" t="n">
        <x:v>0</x:v>
      </x:c>
      <x:c r="P64" s="28" t="n">
        <x:v>0</x:v>
      </x:c>
      <x:c r="Q64" s="24" t="n">
        <x:f>IFERROR(J64/H64,0)</x:f>
        <x:v>0.14285714285714285</x:v>
      </x:c>
      <x:c r="R64" s="24" t="n">
        <x:f>IFERROR(F64/H64,0)</x:f>
        <x:v>0</x:v>
      </x:c>
      <x:c r="S64" s="24" t="n">
        <x:f>IFERROR(F64/J64,0)</x:f>
        <x:v>0</x:v>
      </x:c>
      <x:c r="T64" s="28" t="n">
        <x:f>H64-I64</x:f>
        <x:v>3</x:v>
      </x:c>
      <x:c r="U64" s="24" t="n">
        <x:f>IFERROR(J64/H64,0)-IFERROR(K64/I64,0)</x:f>
        <x:v>-0.35714285714285715</x:v>
      </x:c>
      <x:c r="V64" s="24" t="n">
        <x:f>IFERROR(F64/J64,0)-IFERROR(G64/K64,0)</x:f>
        <x:v>-0.5</x:v>
      </x:c>
      <x:c r="W64" s="28" t="n">
        <x:f>L64-M64</x:f>
        <x:v>-5</x:v>
      </x:c>
      <x:c r="X64" s="24" t="n">
        <x:f>IFERROR(K64/I64,0)</x:f>
        <x:v>0.5</x:v>
      </x:c>
      <x:c r="Y64" s="24" t="n">
        <x:f>IFERROR(G64/I64,0)</x:f>
        <x:v>0.25</x:v>
      </x:c>
      <x:c r="Z64" s="24" t="n">
        <x:f>IFERROR(G64/K64,0)</x:f>
        <x:v>0.5</x:v>
      </x:c>
      <x:c r="AA64" s="24" t="n">
        <x:f>IFERROR(F64/H64,0)-IFERROR(G64/I64,0)</x:f>
        <x:v>-0.25</x:v>
      </x:c>
      <x:c r="AB64" s="28" t="n">
        <x:f>J64-K64</x:f>
        <x:v>-1</x:v>
      </x:c>
      <x:c r="AC64" s="32" t="n">
        <x:f>F64-G64</x:f>
        <x:v>-1</x:v>
      </x:c>
    </x:row>
    <x:row r="65">
      <x:c r="A65" s="4" t="str">
        <x:v>2021-22</x:v>
      </x:c>
      <x:c r="B65" s="20" t="n">
        <x:v>44450</x:v>
      </x:c>
      <x:c r="C65" s="4" t="str">
        <x:v>Brighton</x:v>
      </x:c>
      <x:c r="D65" s="4" t="str">
        <x:v>Brentford</x:v>
      </x:c>
      <x:c r="E65" s="4" t="str">
        <x:v>Away</x:v>
      </x:c>
      <x:c r="F65" s="28" t="n">
        <x:v>1</x:v>
      </x:c>
      <x:c r="G65" s="28" t="n">
        <x:v>0</x:v>
      </x:c>
      <x:c r="H65" s="28" t="n">
        <x:v>4</x:v>
      </x:c>
      <x:c r="I65" s="28" t="n">
        <x:v>7</x:v>
      </x:c>
      <x:c r="J65" s="28" t="n">
        <x:v>2</x:v>
      </x:c>
      <x:c r="K65" s="28" t="n">
        <x:v>1</x:v>
      </x:c>
      <x:c r="L65" s="28" t="n">
        <x:v>6</x:v>
      </x:c>
      <x:c r="M65" s="28" t="n">
        <x:v>1</x:v>
      </x:c>
      <x:c r="N65" s="28" t="n">
        <x:v>2</x:v>
      </x:c>
      <x:c r="O65" s="28" t="n">
        <x:v>0</x:v>
      </x:c>
      <x:c r="P65" s="28" t="n">
        <x:v>3</x:v>
      </x:c>
      <x:c r="Q65" s="24" t="n">
        <x:f>IFERROR(J65/H65,0)</x:f>
        <x:v>0.5</x:v>
      </x:c>
      <x:c r="R65" s="24" t="n">
        <x:f>IFERROR(F65/H65,0)</x:f>
        <x:v>0.25</x:v>
      </x:c>
      <x:c r="S65" s="24" t="n">
        <x:f>IFERROR(F65/J65,0)</x:f>
        <x:v>0.5</x:v>
      </x:c>
      <x:c r="T65" s="28" t="n">
        <x:f>H65-I65</x:f>
        <x:v>-3</x:v>
      </x:c>
      <x:c r="U65" s="24" t="n">
        <x:f>IFERROR(J65/H65,0)-IFERROR(K65/I65,0)</x:f>
        <x:v>0.35714285714285715</x:v>
      </x:c>
      <x:c r="V65" s="24" t="n">
        <x:f>IFERROR(F65/J65,0)-IFERROR(G65/K65,0)</x:f>
        <x:v>0.5</x:v>
      </x:c>
      <x:c r="W65" s="28" t="n">
        <x:f>L65-M65</x:f>
        <x:v>5</x:v>
      </x:c>
      <x:c r="X65" s="24" t="n">
        <x:f>IFERROR(K65/I65,0)</x:f>
        <x:v>0.14285714285714285</x:v>
      </x:c>
      <x:c r="Y65" s="24" t="n">
        <x:f>IFERROR(G65/I65,0)</x:f>
        <x:v>0</x:v>
      </x:c>
      <x:c r="Z65" s="24" t="n">
        <x:f>IFERROR(G65/K65,0)</x:f>
        <x:v>0</x:v>
      </x:c>
      <x:c r="AA65" s="24" t="n">
        <x:f>IFERROR(F65/H65,0)-IFERROR(G65/I65,0)</x:f>
        <x:v>0.25</x:v>
      </x:c>
      <x:c r="AB65" s="28" t="n">
        <x:f>J65-K65</x:f>
        <x:v>1</x:v>
      </x:c>
      <x:c r="AC65" s="32" t="n">
        <x:f>F65-G65</x:f>
        <x:v>1</x:v>
      </x:c>
    </x:row>
    <x:row r="66">
      <x:c r="A66" s="4" t="str">
        <x:v>2021-22</x:v>
      </x:c>
      <x:c r="B66" s="20" t="n">
        <x:v>44450</x:v>
      </x:c>
      <x:c r="C66" s="4" t="str">
        <x:v>Chelsea</x:v>
      </x:c>
      <x:c r="D66" s="4" t="str">
        <x:v>Aston Villa</x:v>
      </x:c>
      <x:c r="E66" s="4" t="str">
        <x:v>Home</x:v>
      </x:c>
      <x:c r="F66" s="28" t="n">
        <x:v>3</x:v>
      </x:c>
      <x:c r="G66" s="28" t="n">
        <x:v>0</x:v>
      </x:c>
      <x:c r="H66" s="28" t="n">
        <x:v>12</x:v>
      </x:c>
      <x:c r="I66" s="28" t="n">
        <x:v>18</x:v>
      </x:c>
      <x:c r="J66" s="28" t="n">
        <x:v>4</x:v>
      </x:c>
      <x:c r="K66" s="28" t="n">
        <x:v>6</x:v>
      </x:c>
      <x:c r="L66" s="28" t="n">
        <x:v>4</x:v>
      </x:c>
      <x:c r="M66" s="28" t="n">
        <x:v>11</x:v>
      </x:c>
      <x:c r="N66" s="28" t="n">
        <x:v>1</x:v>
      </x:c>
      <x:c r="O66" s="28" t="n">
        <x:v>0</x:v>
      </x:c>
      <x:c r="P66" s="28" t="n">
        <x:v>3</x:v>
      </x:c>
      <x:c r="Q66" s="24" t="n">
        <x:f>IFERROR(J66/H66,0)</x:f>
        <x:v>0.3333333333333333</x:v>
      </x:c>
      <x:c r="R66" s="24" t="n">
        <x:f>IFERROR(F66/H66,0)</x:f>
        <x:v>0.25</x:v>
      </x:c>
      <x:c r="S66" s="24" t="n">
        <x:f>IFERROR(F66/J66,0)</x:f>
        <x:v>0.75</x:v>
      </x:c>
      <x:c r="T66" s="28" t="n">
        <x:f>H66-I66</x:f>
        <x:v>-6</x:v>
      </x:c>
      <x:c r="U66" s="24" t="n">
        <x:f>IFERROR(J66/H66,0)-IFERROR(K66/I66,0)</x:f>
        <x:v>0</x:v>
      </x:c>
      <x:c r="V66" s="24" t="n">
        <x:f>IFERROR(F66/J66,0)-IFERROR(G66/K66,0)</x:f>
        <x:v>0.75</x:v>
      </x:c>
      <x:c r="W66" s="28" t="n">
        <x:f>L66-M66</x:f>
        <x:v>-7</x:v>
      </x:c>
      <x:c r="X66" s="24" t="n">
        <x:f>IFERROR(K66/I66,0)</x:f>
        <x:v>0.3333333333333333</x:v>
      </x:c>
      <x:c r="Y66" s="24" t="n">
        <x:f>IFERROR(G66/I66,0)</x:f>
        <x:v>0</x:v>
      </x:c>
      <x:c r="Z66" s="24" t="n">
        <x:f>IFERROR(G66/K66,0)</x:f>
        <x:v>0</x:v>
      </x:c>
      <x:c r="AA66" s="24" t="n">
        <x:f>IFERROR(F66/H66,0)-IFERROR(G66/I66,0)</x:f>
        <x:v>0.25</x:v>
      </x:c>
      <x:c r="AB66" s="28" t="n">
        <x:f>J66-K66</x:f>
        <x:v>-2</x:v>
      </x:c>
      <x:c r="AC66" s="32" t="n">
        <x:f>F66-G66</x:f>
        <x:v>3</x:v>
      </x:c>
    </x:row>
    <x:row r="67">
      <x:c r="A67" s="4" t="str">
        <x:v>2021-22</x:v>
      </x:c>
      <x:c r="B67" s="20" t="n">
        <x:v>44450</x:v>
      </x:c>
      <x:c r="C67" s="4" t="str">
        <x:v>Crystal Palace</x:v>
      </x:c>
      <x:c r="D67" s="4" t="str">
        <x:v>Tottenham</x:v>
      </x:c>
      <x:c r="E67" s="4" t="str">
        <x:v>Home</x:v>
      </x:c>
      <x:c r="F67" s="28" t="n">
        <x:v>3</x:v>
      </x:c>
      <x:c r="G67" s="28" t="n">
        <x:v>0</x:v>
      </x:c>
      <x:c r="H67" s="28" t="n">
        <x:v>18</x:v>
      </x:c>
      <x:c r="I67" s="28" t="n">
        <x:v>2</x:v>
      </x:c>
      <x:c r="J67" s="28" t="n">
        <x:v>4</x:v>
      </x:c>
      <x:c r="K67" s="28" t="n">
        <x:v>1</x:v>
      </x:c>
      <x:c r="L67" s="28" t="n">
        <x:v>8</x:v>
      </x:c>
      <x:c r="M67" s="28" t="n">
        <x:v>2</x:v>
      </x:c>
      <x:c r="N67" s="28" t="n">
        <x:v>2</x:v>
      </x:c>
      <x:c r="O67" s="28" t="n">
        <x:v>0</x:v>
      </x:c>
      <x:c r="P67" s="28" t="n">
        <x:v>3</x:v>
      </x:c>
      <x:c r="Q67" s="24" t="n">
        <x:f>IFERROR(J67/H67,0)</x:f>
        <x:v>0.2222222222222222</x:v>
      </x:c>
      <x:c r="R67" s="24" t="n">
        <x:f>IFERROR(F67/H67,0)</x:f>
        <x:v>0.16666666666666666</x:v>
      </x:c>
      <x:c r="S67" s="24" t="n">
        <x:f>IFERROR(F67/J67,0)</x:f>
        <x:v>0.75</x:v>
      </x:c>
      <x:c r="T67" s="28" t="n">
        <x:f>H67-I67</x:f>
        <x:v>16</x:v>
      </x:c>
      <x:c r="U67" s="24" t="n">
        <x:f>IFERROR(J67/H67,0)-IFERROR(K67/I67,0)</x:f>
        <x:v>-0.2777777777777778</x:v>
      </x:c>
      <x:c r="V67" s="24" t="n">
        <x:f>IFERROR(F67/J67,0)-IFERROR(G67/K67,0)</x:f>
        <x:v>0.75</x:v>
      </x:c>
      <x:c r="W67" s="28" t="n">
        <x:f>L67-M67</x:f>
        <x:v>6</x:v>
      </x:c>
      <x:c r="X67" s="24" t="n">
        <x:f>IFERROR(K67/I67,0)</x:f>
        <x:v>0.5</x:v>
      </x:c>
      <x:c r="Y67" s="24" t="n">
        <x:f>IFERROR(G67/I67,0)</x:f>
        <x:v>0</x:v>
      </x:c>
      <x:c r="Z67" s="24" t="n">
        <x:f>IFERROR(G67/K67,0)</x:f>
        <x:v>0</x:v>
      </x:c>
      <x:c r="AA67" s="24" t="n">
        <x:f>IFERROR(F67/H67,0)-IFERROR(G67/I67,0)</x:f>
        <x:v>0.16666666666666666</x:v>
      </x:c>
      <x:c r="AB67" s="28" t="n">
        <x:f>J67-K67</x:f>
        <x:v>3</x:v>
      </x:c>
      <x:c r="AC67" s="32" t="n">
        <x:f>F67-G67</x:f>
        <x:v>3</x:v>
      </x:c>
    </x:row>
    <x:row r="68">
      <x:c r="A68" s="4" t="str">
        <x:v>2021-22</x:v>
      </x:c>
      <x:c r="B68" s="20" t="n">
        <x:v>44450</x:v>
      </x:c>
      <x:c r="C68" s="4" t="str">
        <x:v>Leicester</x:v>
      </x:c>
      <x:c r="D68" s="4" t="str">
        <x:v>Man City</x:v>
      </x:c>
      <x:c r="E68" s="4" t="str">
        <x:v>Home</x:v>
      </x:c>
      <x:c r="F68" s="28" t="n">
        <x:v>0</x:v>
      </x:c>
      <x:c r="G68" s="28" t="n">
        <x:v>1</x:v>
      </x:c>
      <x:c r="H68" s="28" t="n">
        <x:v>6</x:v>
      </x:c>
      <x:c r="I68" s="28" t="n">
        <x:v>25</x:v>
      </x:c>
      <x:c r="J68" s="28" t="n">
        <x:v>1</x:v>
      </x:c>
      <x:c r="K68" s="28" t="n">
        <x:v>8</x:v>
      </x:c>
      <x:c r="L68" s="28" t="n">
        <x:v>5</x:v>
      </x:c>
      <x:c r="M68" s="28" t="n">
        <x:v>8</x:v>
      </x:c>
      <x:c r="N68" s="28" t="n">
        <x:v>1</x:v>
      </x:c>
      <x:c r="O68" s="28" t="n">
        <x:v>0</x:v>
      </x:c>
      <x:c r="P68" s="28" t="n">
        <x:v>0</x:v>
      </x:c>
      <x:c r="Q68" s="24" t="n">
        <x:f>IFERROR(J68/H68,0)</x:f>
        <x:v>0.16666666666666666</x:v>
      </x:c>
      <x:c r="R68" s="24" t="n">
        <x:f>IFERROR(F68/H68,0)</x:f>
        <x:v>0</x:v>
      </x:c>
      <x:c r="S68" s="24" t="n">
        <x:f>IFERROR(F68/J68,0)</x:f>
        <x:v>0</x:v>
      </x:c>
      <x:c r="T68" s="28" t="n">
        <x:f>H68-I68</x:f>
        <x:v>-19</x:v>
      </x:c>
      <x:c r="U68" s="24" t="n">
        <x:f>IFERROR(J68/H68,0)-IFERROR(K68/I68,0)</x:f>
        <x:v>-0.15333333333333335</x:v>
      </x:c>
      <x:c r="V68" s="24" t="n">
        <x:f>IFERROR(F68/J68,0)-IFERROR(G68/K68,0)</x:f>
        <x:v>-0.125</x:v>
      </x:c>
      <x:c r="W68" s="28" t="n">
        <x:f>L68-M68</x:f>
        <x:v>-3</x:v>
      </x:c>
      <x:c r="X68" s="24" t="n">
        <x:f>IFERROR(K68/I68,0)</x:f>
        <x:v>0.32</x:v>
      </x:c>
      <x:c r="Y68" s="24" t="n">
        <x:f>IFERROR(G68/I68,0)</x:f>
        <x:v>0.04</x:v>
      </x:c>
      <x:c r="Z68" s="24" t="n">
        <x:f>IFERROR(G68/K68,0)</x:f>
        <x:v>0.125</x:v>
      </x:c>
      <x:c r="AA68" s="24" t="n">
        <x:f>IFERROR(F68/H68,0)-IFERROR(G68/I68,0)</x:f>
        <x:v>-0.04</x:v>
      </x:c>
      <x:c r="AB68" s="28" t="n">
        <x:f>J68-K68</x:f>
        <x:v>-7</x:v>
      </x:c>
      <x:c r="AC68" s="32" t="n">
        <x:f>F68-G68</x:f>
        <x:v>-1</x:v>
      </x:c>
    </x:row>
    <x:row r="69">
      <x:c r="A69" s="4" t="str">
        <x:v>2021-22</x:v>
      </x:c>
      <x:c r="B69" s="20" t="n">
        <x:v>44450</x:v>
      </x:c>
      <x:c r="C69" s="4" t="str">
        <x:v>Man City</x:v>
      </x:c>
      <x:c r="D69" s="4" t="str">
        <x:v>Leicester</x:v>
      </x:c>
      <x:c r="E69" s="4" t="str">
        <x:v>Away</x:v>
      </x:c>
      <x:c r="F69" s="28" t="n">
        <x:v>1</x:v>
      </x:c>
      <x:c r="G69" s="28" t="n">
        <x:v>0</x:v>
      </x:c>
      <x:c r="H69" s="28" t="n">
        <x:v>25</x:v>
      </x:c>
      <x:c r="I69" s="28" t="n">
        <x:v>6</x:v>
      </x:c>
      <x:c r="J69" s="28" t="n">
        <x:v>8</x:v>
      </x:c>
      <x:c r="K69" s="28" t="n">
        <x:v>1</x:v>
      </x:c>
      <x:c r="L69" s="28" t="n">
        <x:v>8</x:v>
      </x:c>
      <x:c r="M69" s="28" t="n">
        <x:v>5</x:v>
      </x:c>
      <x:c r="N69" s="28" t="n">
        <x:v>2</x:v>
      </x:c>
      <x:c r="O69" s="28" t="n">
        <x:v>0</x:v>
      </x:c>
      <x:c r="P69" s="28" t="n">
        <x:v>3</x:v>
      </x:c>
      <x:c r="Q69" s="24" t="n">
        <x:f>IFERROR(J69/H69,0)</x:f>
        <x:v>0.32</x:v>
      </x:c>
      <x:c r="R69" s="24" t="n">
        <x:f>IFERROR(F69/H69,0)</x:f>
        <x:v>0.04</x:v>
      </x:c>
      <x:c r="S69" s="24" t="n">
        <x:f>IFERROR(F69/J69,0)</x:f>
        <x:v>0.125</x:v>
      </x:c>
      <x:c r="T69" s="28" t="n">
        <x:f>H69-I69</x:f>
        <x:v>19</x:v>
      </x:c>
      <x:c r="U69" s="24" t="n">
        <x:f>IFERROR(J69/H69,0)-IFERROR(K69/I69,0)</x:f>
        <x:v>0.15333333333333335</x:v>
      </x:c>
      <x:c r="V69" s="24" t="n">
        <x:f>IFERROR(F69/J69,0)-IFERROR(G69/K69,0)</x:f>
        <x:v>0.125</x:v>
      </x:c>
      <x:c r="W69" s="28" t="n">
        <x:f>L69-M69</x:f>
        <x:v>3</x:v>
      </x:c>
      <x:c r="X69" s="24" t="n">
        <x:f>IFERROR(K69/I69,0)</x:f>
        <x:v>0.16666666666666666</x:v>
      </x:c>
      <x:c r="Y69" s="24" t="n">
        <x:f>IFERROR(G69/I69,0)</x:f>
        <x:v>0</x:v>
      </x:c>
      <x:c r="Z69" s="24" t="n">
        <x:f>IFERROR(G69/K69,0)</x:f>
        <x:v>0</x:v>
      </x:c>
      <x:c r="AA69" s="24" t="n">
        <x:f>IFERROR(F69/H69,0)-IFERROR(G69/I69,0)</x:f>
        <x:v>0.04</x:v>
      </x:c>
      <x:c r="AB69" s="28" t="n">
        <x:f>J69-K69</x:f>
        <x:v>7</x:v>
      </x:c>
      <x:c r="AC69" s="32" t="n">
        <x:f>F69-G69</x:f>
        <x:v>1</x:v>
      </x:c>
    </x:row>
    <x:row r="70">
      <x:c r="A70" s="4" t="str">
        <x:v>2021-22</x:v>
      </x:c>
      <x:c r="B70" s="20" t="n">
        <x:v>44450</x:v>
      </x:c>
      <x:c r="C70" s="4" t="str">
        <x:v>Man United</x:v>
      </x:c>
      <x:c r="D70" s="4" t="str">
        <x:v>Newcastle</x:v>
      </x:c>
      <x:c r="E70" s="4" t="str">
        <x:v>Home</x:v>
      </x:c>
      <x:c r="F70" s="28" t="n">
        <x:v>4</x:v>
      </x:c>
      <x:c r="G70" s="28" t="n">
        <x:v>1</x:v>
      </x:c>
      <x:c r="H70" s="28" t="n">
        <x:v>21</x:v>
      </x:c>
      <x:c r="I70" s="28" t="n">
        <x:v>12</x:v>
      </x:c>
      <x:c r="J70" s="28" t="n">
        <x:v>7</x:v>
      </x:c>
      <x:c r="K70" s="28" t="n">
        <x:v>3</x:v>
      </x:c>
      <x:c r="L70" s="28" t="n">
        <x:v>7</x:v>
      </x:c>
      <x:c r="M70" s="28" t="n">
        <x:v>3</x:v>
      </x:c>
      <x:c r="N70" s="28" t="n">
        <x:v>1</x:v>
      </x:c>
      <x:c r="O70" s="28" t="n">
        <x:v>0</x:v>
      </x:c>
      <x:c r="P70" s="28" t="n">
        <x:v>3</x:v>
      </x:c>
      <x:c r="Q70" s="24" t="n">
        <x:f>IFERROR(J70/H70,0)</x:f>
        <x:v>0.3333333333333333</x:v>
      </x:c>
      <x:c r="R70" s="24" t="n">
        <x:f>IFERROR(F70/H70,0)</x:f>
        <x:v>0.19047619047619047</x:v>
      </x:c>
      <x:c r="S70" s="24" t="n">
        <x:f>IFERROR(F70/J70,0)</x:f>
        <x:v>0.5714285714285714</x:v>
      </x:c>
      <x:c r="T70" s="28" t="n">
        <x:f>H70-I70</x:f>
        <x:v>9</x:v>
      </x:c>
      <x:c r="U70" s="24" t="n">
        <x:f>IFERROR(J70/H70,0)-IFERROR(K70/I70,0)</x:f>
        <x:v>0.08333333333333331</x:v>
      </x:c>
      <x:c r="V70" s="24" t="n">
        <x:f>IFERROR(F70/J70,0)-IFERROR(G70/K70,0)</x:f>
        <x:v>0.23809523809523808</x:v>
      </x:c>
      <x:c r="W70" s="28" t="n">
        <x:f>L70-M70</x:f>
        <x:v>4</x:v>
      </x:c>
      <x:c r="X70" s="24" t="n">
        <x:f>IFERROR(K70/I70,0)</x:f>
        <x:v>0.25</x:v>
      </x:c>
      <x:c r="Y70" s="24" t="n">
        <x:f>IFERROR(G70/I70,0)</x:f>
        <x:v>0.08333333333333333</x:v>
      </x:c>
      <x:c r="Z70" s="24" t="n">
        <x:f>IFERROR(G70/K70,0)</x:f>
        <x:v>0.3333333333333333</x:v>
      </x:c>
      <x:c r="AA70" s="24" t="n">
        <x:f>IFERROR(F70/H70,0)-IFERROR(G70/I70,0)</x:f>
        <x:v>0.10714285714285714</x:v>
      </x:c>
      <x:c r="AB70" s="28" t="n">
        <x:f>J70-K70</x:f>
        <x:v>4</x:v>
      </x:c>
      <x:c r="AC70" s="32" t="n">
        <x:f>F70-G70</x:f>
        <x:v>3</x:v>
      </x:c>
    </x:row>
    <x:row r="71">
      <x:c r="A71" s="4" t="str">
        <x:v>2021-22</x:v>
      </x:c>
      <x:c r="B71" s="20" t="n">
        <x:v>44450</x:v>
      </x:c>
      <x:c r="C71" s="4" t="str">
        <x:v>Newcastle</x:v>
      </x:c>
      <x:c r="D71" s="4" t="str">
        <x:v>Man United</x:v>
      </x:c>
      <x:c r="E71" s="4" t="str">
        <x:v>Away</x:v>
      </x:c>
      <x:c r="F71" s="28" t="n">
        <x:v>1</x:v>
      </x:c>
      <x:c r="G71" s="28" t="n">
        <x:v>4</x:v>
      </x:c>
      <x:c r="H71" s="28" t="n">
        <x:v>12</x:v>
      </x:c>
      <x:c r="I71" s="28" t="n">
        <x:v>21</x:v>
      </x:c>
      <x:c r="J71" s="28" t="n">
        <x:v>3</x:v>
      </x:c>
      <x:c r="K71" s="28" t="n">
        <x:v>7</x:v>
      </x:c>
      <x:c r="L71" s="28" t="n">
        <x:v>3</x:v>
      </x:c>
      <x:c r="M71" s="28" t="n">
        <x:v>7</x:v>
      </x:c>
      <x:c r="N71" s="28" t="n">
        <x:v>0</x:v>
      </x:c>
      <x:c r="O71" s="28" t="n">
        <x:v>0</x:v>
      </x:c>
      <x:c r="P71" s="28" t="n">
        <x:v>0</x:v>
      </x:c>
      <x:c r="Q71" s="24" t="n">
        <x:f>IFERROR(J71/H71,0)</x:f>
        <x:v>0.25</x:v>
      </x:c>
      <x:c r="R71" s="24" t="n">
        <x:f>IFERROR(F71/H71,0)</x:f>
        <x:v>0.08333333333333333</x:v>
      </x:c>
      <x:c r="S71" s="24" t="n">
        <x:f>IFERROR(F71/J71,0)</x:f>
        <x:v>0.3333333333333333</x:v>
      </x:c>
      <x:c r="T71" s="28" t="n">
        <x:f>H71-I71</x:f>
        <x:v>-9</x:v>
      </x:c>
      <x:c r="U71" s="24" t="n">
        <x:f>IFERROR(J71/H71,0)-IFERROR(K71/I71,0)</x:f>
        <x:v>-0.08333333333333331</x:v>
      </x:c>
      <x:c r="V71" s="24" t="n">
        <x:f>IFERROR(F71/J71,0)-IFERROR(G71/K71,0)</x:f>
        <x:v>-0.23809523809523808</x:v>
      </x:c>
      <x:c r="W71" s="28" t="n">
        <x:f>L71-M71</x:f>
        <x:v>-4</x:v>
      </x:c>
      <x:c r="X71" s="24" t="n">
        <x:f>IFERROR(K71/I71,0)</x:f>
        <x:v>0.3333333333333333</x:v>
      </x:c>
      <x:c r="Y71" s="24" t="n">
        <x:f>IFERROR(G71/I71,0)</x:f>
        <x:v>0.19047619047619047</x:v>
      </x:c>
      <x:c r="Z71" s="24" t="n">
        <x:f>IFERROR(G71/K71,0)</x:f>
        <x:v>0.5714285714285714</x:v>
      </x:c>
      <x:c r="AA71" s="24" t="n">
        <x:f>IFERROR(F71/H71,0)-IFERROR(G71/I71,0)</x:f>
        <x:v>-0.10714285714285714</x:v>
      </x:c>
      <x:c r="AB71" s="28" t="n">
        <x:f>J71-K71</x:f>
        <x:v>-4</x:v>
      </x:c>
      <x:c r="AC71" s="32" t="n">
        <x:f>F71-G71</x:f>
        <x:v>-3</x:v>
      </x:c>
    </x:row>
    <x:row r="72">
      <x:c r="A72" s="4" t="str">
        <x:v>2021-22</x:v>
      </x:c>
      <x:c r="B72" s="20" t="n">
        <x:v>44450</x:v>
      </x:c>
      <x:c r="C72" s="4" t="str">
        <x:v>Norwich</x:v>
      </x:c>
      <x:c r="D72" s="4" t="str">
        <x:v>Arsenal</x:v>
      </x:c>
      <x:c r="E72" s="4" t="str">
        <x:v>Away</x:v>
      </x:c>
      <x:c r="F72" s="28" t="n">
        <x:v>0</x:v>
      </x:c>
      <x:c r="G72" s="28" t="n">
        <x:v>1</x:v>
      </x:c>
      <x:c r="H72" s="28" t="n">
        <x:v>10</x:v>
      </x:c>
      <x:c r="I72" s="28" t="n">
        <x:v>30</x:v>
      </x:c>
      <x:c r="J72" s="28" t="n">
        <x:v>1</x:v>
      </x:c>
      <x:c r="K72" s="28" t="n">
        <x:v>7</x:v>
      </x:c>
      <x:c r="L72" s="28" t="n">
        <x:v>4</x:v>
      </x:c>
      <x:c r="M72" s="28" t="n">
        <x:v>8</x:v>
      </x:c>
      <x:c r="N72" s="28" t="n">
        <x:v>2</x:v>
      </x:c>
      <x:c r="O72" s="28" t="n">
        <x:v>0</x:v>
      </x:c>
      <x:c r="P72" s="28" t="n">
        <x:v>0</x:v>
      </x:c>
      <x:c r="Q72" s="24" t="n">
        <x:f>IFERROR(J72/H72,0)</x:f>
        <x:v>0.1</x:v>
      </x:c>
      <x:c r="R72" s="24" t="n">
        <x:f>IFERROR(F72/H72,0)</x:f>
        <x:v>0</x:v>
      </x:c>
      <x:c r="S72" s="24" t="n">
        <x:f>IFERROR(F72/J72,0)</x:f>
        <x:v>0</x:v>
      </x:c>
      <x:c r="T72" s="28" t="n">
        <x:f>H72-I72</x:f>
        <x:v>-20</x:v>
      </x:c>
      <x:c r="U72" s="24" t="n">
        <x:f>IFERROR(J72/H72,0)-IFERROR(K72/I72,0)</x:f>
        <x:v>-0.13333333333333333</x:v>
      </x:c>
      <x:c r="V72" s="24" t="n">
        <x:f>IFERROR(F72/J72,0)-IFERROR(G72/K72,0)</x:f>
        <x:v>-0.14285714285714285</x:v>
      </x:c>
      <x:c r="W72" s="28" t="n">
        <x:f>L72-M72</x:f>
        <x:v>-4</x:v>
      </x:c>
      <x:c r="X72" s="24" t="n">
        <x:f>IFERROR(K72/I72,0)</x:f>
        <x:v>0.23333333333333334</x:v>
      </x:c>
      <x:c r="Y72" s="24" t="n">
        <x:f>IFERROR(G72/I72,0)</x:f>
        <x:v>0.03333333333333333</x:v>
      </x:c>
      <x:c r="Z72" s="24" t="n">
        <x:f>IFERROR(G72/K72,0)</x:f>
        <x:v>0.14285714285714285</x:v>
      </x:c>
      <x:c r="AA72" s="24" t="n">
        <x:f>IFERROR(F72/H72,0)-IFERROR(G72/I72,0)</x:f>
        <x:v>-0.03333333333333333</x:v>
      </x:c>
      <x:c r="AB72" s="28" t="n">
        <x:f>J72-K72</x:f>
        <x:v>-6</x:v>
      </x:c>
      <x:c r="AC72" s="32" t="n">
        <x:f>F72-G72</x:f>
        <x:v>-1</x:v>
      </x:c>
    </x:row>
    <x:row r="73">
      <x:c r="A73" s="4" t="str">
        <x:v>2021-22</x:v>
      </x:c>
      <x:c r="B73" s="20" t="n">
        <x:v>44450</x:v>
      </x:c>
      <x:c r="C73" s="4" t="str">
        <x:v>Southampton</x:v>
      </x:c>
      <x:c r="D73" s="4" t="str">
        <x:v>West Ham</x:v>
      </x:c>
      <x:c r="E73" s="4" t="str">
        <x:v>Home</x:v>
      </x:c>
      <x:c r="F73" s="28" t="n">
        <x:v>0</x:v>
      </x:c>
      <x:c r="G73" s="28" t="n">
        <x:v>0</x:v>
      </x:c>
      <x:c r="H73" s="28" t="n">
        <x:v>11</x:v>
      </x:c>
      <x:c r="I73" s="28" t="n">
        <x:v>13</x:v>
      </x:c>
      <x:c r="J73" s="28" t="n">
        <x:v>3</x:v>
      </x:c>
      <x:c r="K73" s="28" t="n">
        <x:v>3</x:v>
      </x:c>
      <x:c r="L73" s="28" t="n">
        <x:v>5</x:v>
      </x:c>
      <x:c r="M73" s="28" t="n">
        <x:v>4</x:v>
      </x:c>
      <x:c r="N73" s="28" t="n">
        <x:v>3</x:v>
      </x:c>
      <x:c r="O73" s="28" t="n">
        <x:v>0</x:v>
      </x:c>
      <x:c r="P73" s="28" t="n">
        <x:v>1</x:v>
      </x:c>
      <x:c r="Q73" s="24" t="n">
        <x:f>IFERROR(J73/H73,0)</x:f>
        <x:v>0.2727272727272727</x:v>
      </x:c>
      <x:c r="R73" s="24" t="n">
        <x:f>IFERROR(F73/H73,0)</x:f>
        <x:v>0</x:v>
      </x:c>
      <x:c r="S73" s="24" t="n">
        <x:f>IFERROR(F73/J73,0)</x:f>
        <x:v>0</x:v>
      </x:c>
      <x:c r="T73" s="28" t="n">
        <x:f>H73-I73</x:f>
        <x:v>-2</x:v>
      </x:c>
      <x:c r="U73" s="24" t="n">
        <x:f>IFERROR(J73/H73,0)-IFERROR(K73/I73,0)</x:f>
        <x:v>0.041958041958041925</x:v>
      </x:c>
      <x:c r="V73" s="24" t="n">
        <x:f>IFERROR(F73/J73,0)-IFERROR(G73/K73,0)</x:f>
        <x:v>0</x:v>
      </x:c>
      <x:c r="W73" s="28" t="n">
        <x:f>L73-M73</x:f>
        <x:v>1</x:v>
      </x:c>
      <x:c r="X73" s="24" t="n">
        <x:f>IFERROR(K73/I73,0)</x:f>
        <x:v>0.23076923076923078</x:v>
      </x:c>
      <x:c r="Y73" s="24" t="n">
        <x:f>IFERROR(G73/I73,0)</x:f>
        <x:v>0</x:v>
      </x:c>
      <x:c r="Z73" s="24" t="n">
        <x:f>IFERROR(G73/K73,0)</x:f>
        <x:v>0</x:v>
      </x:c>
      <x:c r="AA73" s="24" t="n">
        <x:f>IFERROR(F73/H73,0)-IFERROR(G73/I73,0)</x:f>
        <x:v>0</x:v>
      </x:c>
      <x:c r="AB73" s="28" t="n">
        <x:f>J73-K73</x:f>
        <x:v>0</x:v>
      </x:c>
      <x:c r="AC73" s="32" t="n">
        <x:f>F73-G73</x:f>
        <x:v>0</x:v>
      </x:c>
    </x:row>
    <x:row r="74">
      <x:c r="A74" s="4" t="str">
        <x:v>2021-22</x:v>
      </x:c>
      <x:c r="B74" s="20" t="n">
        <x:v>44450</x:v>
      </x:c>
      <x:c r="C74" s="4" t="str">
        <x:v>Tottenham</x:v>
      </x:c>
      <x:c r="D74" s="4" t="str">
        <x:v>Crystal Palace</x:v>
      </x:c>
      <x:c r="E74" s="4" t="str">
        <x:v>Away</x:v>
      </x:c>
      <x:c r="F74" s="28" t="n">
        <x:v>0</x:v>
      </x:c>
      <x:c r="G74" s="28" t="n">
        <x:v>3</x:v>
      </x:c>
      <x:c r="H74" s="28" t="n">
        <x:v>2</x:v>
      </x:c>
      <x:c r="I74" s="28" t="n">
        <x:v>18</x:v>
      </x:c>
      <x:c r="J74" s="28" t="n">
        <x:v>1</x:v>
      </x:c>
      <x:c r="K74" s="28" t="n">
        <x:v>4</x:v>
      </x:c>
      <x:c r="L74" s="28" t="n">
        <x:v>2</x:v>
      </x:c>
      <x:c r="M74" s="28" t="n">
        <x:v>8</x:v>
      </x:c>
      <x:c r="N74" s="28" t="n">
        <x:v>1</x:v>
      </x:c>
      <x:c r="O74" s="28" t="n">
        <x:v>1</x:v>
      </x:c>
      <x:c r="P74" s="28" t="n">
        <x:v>0</x:v>
      </x:c>
      <x:c r="Q74" s="24" t="n">
        <x:f>IFERROR(J74/H74,0)</x:f>
        <x:v>0.5</x:v>
      </x:c>
      <x:c r="R74" s="24" t="n">
        <x:f>IFERROR(F74/H74,0)</x:f>
        <x:v>0</x:v>
      </x:c>
      <x:c r="S74" s="24" t="n">
        <x:f>IFERROR(F74/J74,0)</x:f>
        <x:v>0</x:v>
      </x:c>
      <x:c r="T74" s="28" t="n">
        <x:f>H74-I74</x:f>
        <x:v>-16</x:v>
      </x:c>
      <x:c r="U74" s="24" t="n">
        <x:f>IFERROR(J74/H74,0)-IFERROR(K74/I74,0)</x:f>
        <x:v>0.2777777777777778</x:v>
      </x:c>
      <x:c r="V74" s="24" t="n">
        <x:f>IFERROR(F74/J74,0)-IFERROR(G74/K74,0)</x:f>
        <x:v>-0.75</x:v>
      </x:c>
      <x:c r="W74" s="28" t="n">
        <x:f>L74-M74</x:f>
        <x:v>-6</x:v>
      </x:c>
      <x:c r="X74" s="24" t="n">
        <x:f>IFERROR(K74/I74,0)</x:f>
        <x:v>0.2222222222222222</x:v>
      </x:c>
      <x:c r="Y74" s="24" t="n">
        <x:f>IFERROR(G74/I74,0)</x:f>
        <x:v>0.16666666666666666</x:v>
      </x:c>
      <x:c r="Z74" s="24" t="n">
        <x:f>IFERROR(G74/K74,0)</x:f>
        <x:v>0.75</x:v>
      </x:c>
      <x:c r="AA74" s="24" t="n">
        <x:f>IFERROR(F74/H74,0)-IFERROR(G74/I74,0)</x:f>
        <x:v>-0.16666666666666666</x:v>
      </x:c>
      <x:c r="AB74" s="28" t="n">
        <x:f>J74-K74</x:f>
        <x:v>-3</x:v>
      </x:c>
      <x:c r="AC74" s="32" t="n">
        <x:f>F74-G74</x:f>
        <x:v>-3</x:v>
      </x:c>
    </x:row>
    <x:row r="75">
      <x:c r="A75" s="4" t="str">
        <x:v>2021-22</x:v>
      </x:c>
      <x:c r="B75" s="20" t="n">
        <x:v>44450</x:v>
      </x:c>
      <x:c r="C75" s="4" t="str">
        <x:v>Watford</x:v>
      </x:c>
      <x:c r="D75" s="4" t="str">
        <x:v>Wolves</x:v>
      </x:c>
      <x:c r="E75" s="4" t="str">
        <x:v>Home</x:v>
      </x:c>
      <x:c r="F75" s="28" t="n">
        <x:v>0</x:v>
      </x:c>
      <x:c r="G75" s="28" t="n">
        <x:v>2</x:v>
      </x:c>
      <x:c r="H75" s="28" t="n">
        <x:v>6</x:v>
      </x:c>
      <x:c r="I75" s="28" t="n">
        <x:v>14</x:v>
      </x:c>
      <x:c r="J75" s="28" t="n">
        <x:v>2</x:v>
      </x:c>
      <x:c r="K75" s="28" t="n">
        <x:v>5</x:v>
      </x:c>
      <x:c r="L75" s="28" t="n">
        <x:v>6</x:v>
      </x:c>
      <x:c r="M75" s="28" t="n">
        <x:v>8</x:v>
      </x:c>
      <x:c r="N75" s="28" t="n">
        <x:v>3</x:v>
      </x:c>
      <x:c r="O75" s="28" t="n">
        <x:v>0</x:v>
      </x:c>
      <x:c r="P75" s="28" t="n">
        <x:v>0</x:v>
      </x:c>
      <x:c r="Q75" s="24" t="n">
        <x:f>IFERROR(J75/H75,0)</x:f>
        <x:v>0.3333333333333333</x:v>
      </x:c>
      <x:c r="R75" s="24" t="n">
        <x:f>IFERROR(F75/H75,0)</x:f>
        <x:v>0</x:v>
      </x:c>
      <x:c r="S75" s="24" t="n">
        <x:f>IFERROR(F75/J75,0)</x:f>
        <x:v>0</x:v>
      </x:c>
      <x:c r="T75" s="28" t="n">
        <x:f>H75-I75</x:f>
        <x:v>-8</x:v>
      </x:c>
      <x:c r="U75" s="24" t="n">
        <x:f>IFERROR(J75/H75,0)-IFERROR(K75/I75,0)</x:f>
        <x:v>-0.023809523809523836</x:v>
      </x:c>
      <x:c r="V75" s="24" t="n">
        <x:f>IFERROR(F75/J75,0)-IFERROR(G75/K75,0)</x:f>
        <x:v>-0.4</x:v>
      </x:c>
      <x:c r="W75" s="28" t="n">
        <x:f>L75-M75</x:f>
        <x:v>-2</x:v>
      </x:c>
      <x:c r="X75" s="24" t="n">
        <x:f>IFERROR(K75/I75,0)</x:f>
        <x:v>0.35714285714285715</x:v>
      </x:c>
      <x:c r="Y75" s="24" t="n">
        <x:f>IFERROR(G75/I75,0)</x:f>
        <x:v>0.14285714285714285</x:v>
      </x:c>
      <x:c r="Z75" s="24" t="n">
        <x:f>IFERROR(G75/K75,0)</x:f>
        <x:v>0.4</x:v>
      </x:c>
      <x:c r="AA75" s="24" t="n">
        <x:f>IFERROR(F75/H75,0)-IFERROR(G75/I75,0)</x:f>
        <x:v>-0.14285714285714285</x:v>
      </x:c>
      <x:c r="AB75" s="28" t="n">
        <x:f>J75-K75</x:f>
        <x:v>-3</x:v>
      </x:c>
      <x:c r="AC75" s="32" t="n">
        <x:f>F75-G75</x:f>
        <x:v>-2</x:v>
      </x:c>
    </x:row>
    <x:row r="76">
      <x:c r="A76" s="4" t="str">
        <x:v>2021-22</x:v>
      </x:c>
      <x:c r="B76" s="20" t="n">
        <x:v>44450</x:v>
      </x:c>
      <x:c r="C76" s="4" t="str">
        <x:v>West Ham</x:v>
      </x:c>
      <x:c r="D76" s="4" t="str">
        <x:v>Southampton</x:v>
      </x:c>
      <x:c r="E76" s="4" t="str">
        <x:v>Away</x:v>
      </x:c>
      <x:c r="F76" s="28" t="n">
        <x:v>0</x:v>
      </x:c>
      <x:c r="G76" s="28" t="n">
        <x:v>0</x:v>
      </x:c>
      <x:c r="H76" s="28" t="n">
        <x:v>13</x:v>
      </x:c>
      <x:c r="I76" s="28" t="n">
        <x:v>11</x:v>
      </x:c>
      <x:c r="J76" s="28" t="n">
        <x:v>3</x:v>
      </x:c>
      <x:c r="K76" s="28" t="n">
        <x:v>3</x:v>
      </x:c>
      <x:c r="L76" s="28" t="n">
        <x:v>4</x:v>
      </x:c>
      <x:c r="M76" s="28" t="n">
        <x:v>5</x:v>
      </x:c>
      <x:c r="N76" s="28" t="n">
        <x:v>1</x:v>
      </x:c>
      <x:c r="O76" s="28" t="n">
        <x:v>1</x:v>
      </x:c>
      <x:c r="P76" s="28" t="n">
        <x:v>1</x:v>
      </x:c>
      <x:c r="Q76" s="24" t="n">
        <x:f>IFERROR(J76/H76,0)</x:f>
        <x:v>0.23076923076923078</x:v>
      </x:c>
      <x:c r="R76" s="24" t="n">
        <x:f>IFERROR(F76/H76,0)</x:f>
        <x:v>0</x:v>
      </x:c>
      <x:c r="S76" s="24" t="n">
        <x:f>IFERROR(F76/J76,0)</x:f>
        <x:v>0</x:v>
      </x:c>
      <x:c r="T76" s="28" t="n">
        <x:f>H76-I76</x:f>
        <x:v>2</x:v>
      </x:c>
      <x:c r="U76" s="24" t="n">
        <x:f>IFERROR(J76/H76,0)-IFERROR(K76/I76,0)</x:f>
        <x:v>-0.041958041958041925</x:v>
      </x:c>
      <x:c r="V76" s="24" t="n">
        <x:f>IFERROR(F76/J76,0)-IFERROR(G76/K76,0)</x:f>
        <x:v>0</x:v>
      </x:c>
      <x:c r="W76" s="28" t="n">
        <x:f>L76-M76</x:f>
        <x:v>-1</x:v>
      </x:c>
      <x:c r="X76" s="24" t="n">
        <x:f>IFERROR(K76/I76,0)</x:f>
        <x:v>0.2727272727272727</x:v>
      </x:c>
      <x:c r="Y76" s="24" t="n">
        <x:f>IFERROR(G76/I76,0)</x:f>
        <x:v>0</x:v>
      </x:c>
      <x:c r="Z76" s="24" t="n">
        <x:f>IFERROR(G76/K76,0)</x:f>
        <x:v>0</x:v>
      </x:c>
      <x:c r="AA76" s="24" t="n">
        <x:f>IFERROR(F76/H76,0)-IFERROR(G76/I76,0)</x:f>
        <x:v>0</x:v>
      </x:c>
      <x:c r="AB76" s="28" t="n">
        <x:f>J76-K76</x:f>
        <x:v>0</x:v>
      </x:c>
      <x:c r="AC76" s="32" t="n">
        <x:f>F76-G76</x:f>
        <x:v>0</x:v>
      </x:c>
    </x:row>
    <x:row r="77">
      <x:c r="A77" s="4" t="str">
        <x:v>2021-22</x:v>
      </x:c>
      <x:c r="B77" s="20" t="n">
        <x:v>44450</x:v>
      </x:c>
      <x:c r="C77" s="4" t="str">
        <x:v>Wolves</x:v>
      </x:c>
      <x:c r="D77" s="4" t="str">
        <x:v>Watford</x:v>
      </x:c>
      <x:c r="E77" s="4" t="str">
        <x:v>Away</x:v>
      </x:c>
      <x:c r="F77" s="28" t="n">
        <x:v>2</x:v>
      </x:c>
      <x:c r="G77" s="28" t="n">
        <x:v>0</x:v>
      </x:c>
      <x:c r="H77" s="28" t="n">
        <x:v>14</x:v>
      </x:c>
      <x:c r="I77" s="28" t="n">
        <x:v>6</x:v>
      </x:c>
      <x:c r="J77" s="28" t="n">
        <x:v>5</x:v>
      </x:c>
      <x:c r="K77" s="28" t="n">
        <x:v>2</x:v>
      </x:c>
      <x:c r="L77" s="28" t="n">
        <x:v>8</x:v>
      </x:c>
      <x:c r="M77" s="28" t="n">
        <x:v>6</x:v>
      </x:c>
      <x:c r="N77" s="28" t="n">
        <x:v>3</x:v>
      </x:c>
      <x:c r="O77" s="28" t="n">
        <x:v>0</x:v>
      </x:c>
      <x:c r="P77" s="28" t="n">
        <x:v>3</x:v>
      </x:c>
      <x:c r="Q77" s="24" t="n">
        <x:f>IFERROR(J77/H77,0)</x:f>
        <x:v>0.35714285714285715</x:v>
      </x:c>
      <x:c r="R77" s="24" t="n">
        <x:f>IFERROR(F77/H77,0)</x:f>
        <x:v>0.14285714285714285</x:v>
      </x:c>
      <x:c r="S77" s="24" t="n">
        <x:f>IFERROR(F77/J77,0)</x:f>
        <x:v>0.4</x:v>
      </x:c>
      <x:c r="T77" s="28" t="n">
        <x:f>H77-I77</x:f>
        <x:v>8</x:v>
      </x:c>
      <x:c r="U77" s="24" t="n">
        <x:f>IFERROR(J77/H77,0)-IFERROR(K77/I77,0)</x:f>
        <x:v>0.023809523809523836</x:v>
      </x:c>
      <x:c r="V77" s="24" t="n">
        <x:f>IFERROR(F77/J77,0)-IFERROR(G77/K77,0)</x:f>
        <x:v>0.4</x:v>
      </x:c>
      <x:c r="W77" s="28" t="n">
        <x:f>L77-M77</x:f>
        <x:v>2</x:v>
      </x:c>
      <x:c r="X77" s="24" t="n">
        <x:f>IFERROR(K77/I77,0)</x:f>
        <x:v>0.3333333333333333</x:v>
      </x:c>
      <x:c r="Y77" s="24" t="n">
        <x:f>IFERROR(G77/I77,0)</x:f>
        <x:v>0</x:v>
      </x:c>
      <x:c r="Z77" s="24" t="n">
        <x:f>IFERROR(G77/K77,0)</x:f>
        <x:v>0</x:v>
      </x:c>
      <x:c r="AA77" s="24" t="n">
        <x:f>IFERROR(F77/H77,0)-IFERROR(G77/I77,0)</x:f>
        <x:v>0.14285714285714285</x:v>
      </x:c>
      <x:c r="AB77" s="28" t="n">
        <x:f>J77-K77</x:f>
        <x:v>3</x:v>
      </x:c>
      <x:c r="AC77" s="32" t="n">
        <x:f>F77-G77</x:f>
        <x:v>2</x:v>
      </x:c>
    </x:row>
    <x:row r="78">
      <x:c r="A78" s="4" t="str">
        <x:v>2021-22</x:v>
      </x:c>
      <x:c r="B78" s="20" t="n">
        <x:v>44451</x:v>
      </x:c>
      <x:c r="C78" s="4" t="str">
        <x:v>Leeds</x:v>
      </x:c>
      <x:c r="D78" s="4" t="str">
        <x:v>Liverpool</x:v>
      </x:c>
      <x:c r="E78" s="4" t="str">
        <x:v>Home</x:v>
      </x:c>
      <x:c r="F78" s="28" t="n">
        <x:v>0</x:v>
      </x:c>
      <x:c r="G78" s="28" t="n">
        <x:v>3</x:v>
      </x:c>
      <x:c r="H78" s="28" t="n">
        <x:v>9</x:v>
      </x:c>
      <x:c r="I78" s="28" t="n">
        <x:v>30</x:v>
      </x:c>
      <x:c r="J78" s="28" t="n">
        <x:v>4</x:v>
      </x:c>
      <x:c r="K78" s="28" t="n">
        <x:v>9</x:v>
      </x:c>
      <x:c r="L78" s="28" t="n">
        <x:v>2</x:v>
      </x:c>
      <x:c r="M78" s="28" t="n">
        <x:v>11</x:v>
      </x:c>
      <x:c r="N78" s="28" t="n">
        <x:v>2</x:v>
      </x:c>
      <x:c r="O78" s="28" t="n">
        <x:v>1</x:v>
      </x:c>
      <x:c r="P78" s="28" t="n">
        <x:v>0</x:v>
      </x:c>
      <x:c r="Q78" s="24" t="n">
        <x:f>IFERROR(J78/H78,0)</x:f>
        <x:v>0.4444444444444444</x:v>
      </x:c>
      <x:c r="R78" s="24" t="n">
        <x:f>IFERROR(F78/H78,0)</x:f>
        <x:v>0</x:v>
      </x:c>
      <x:c r="S78" s="24" t="n">
        <x:f>IFERROR(F78/J78,0)</x:f>
        <x:v>0</x:v>
      </x:c>
      <x:c r="T78" s="28" t="n">
        <x:f>H78-I78</x:f>
        <x:v>-21</x:v>
      </x:c>
      <x:c r="U78" s="24" t="n">
        <x:f>IFERROR(J78/H78,0)-IFERROR(K78/I78,0)</x:f>
        <x:v>0.14444444444444443</x:v>
      </x:c>
      <x:c r="V78" s="24" t="n">
        <x:f>IFERROR(F78/J78,0)-IFERROR(G78/K78,0)</x:f>
        <x:v>-0.3333333333333333</x:v>
      </x:c>
      <x:c r="W78" s="28" t="n">
        <x:f>L78-M78</x:f>
        <x:v>-9</x:v>
      </x:c>
      <x:c r="X78" s="24" t="n">
        <x:f>IFERROR(K78/I78,0)</x:f>
        <x:v>0.3</x:v>
      </x:c>
      <x:c r="Y78" s="24" t="n">
        <x:f>IFERROR(G78/I78,0)</x:f>
        <x:v>0.1</x:v>
      </x:c>
      <x:c r="Z78" s="24" t="n">
        <x:f>IFERROR(G78/K78,0)</x:f>
        <x:v>0.3333333333333333</x:v>
      </x:c>
      <x:c r="AA78" s="24" t="n">
        <x:f>IFERROR(F78/H78,0)-IFERROR(G78/I78,0)</x:f>
        <x:v>-0.1</x:v>
      </x:c>
      <x:c r="AB78" s="28" t="n">
        <x:f>J78-K78</x:f>
        <x:v>-5</x:v>
      </x:c>
      <x:c r="AC78" s="32" t="n">
        <x:f>F78-G78</x:f>
        <x:v>-3</x:v>
      </x:c>
    </x:row>
    <x:row r="79">
      <x:c r="A79" s="4" t="str">
        <x:v>2021-22</x:v>
      </x:c>
      <x:c r="B79" s="20" t="n">
        <x:v>44451</x:v>
      </x:c>
      <x:c r="C79" s="4" t="str">
        <x:v>Liverpool</x:v>
      </x:c>
      <x:c r="D79" s="4" t="str">
        <x:v>Leeds</x:v>
      </x:c>
      <x:c r="E79" s="4" t="str">
        <x:v>Away</x:v>
      </x:c>
      <x:c r="F79" s="28" t="n">
        <x:v>3</x:v>
      </x:c>
      <x:c r="G79" s="28" t="n">
        <x:v>0</x:v>
      </x:c>
      <x:c r="H79" s="28" t="n">
        <x:v>30</x:v>
      </x:c>
      <x:c r="I79" s="28" t="n">
        <x:v>9</x:v>
      </x:c>
      <x:c r="J79" s="28" t="n">
        <x:v>9</x:v>
      </x:c>
      <x:c r="K79" s="28" t="n">
        <x:v>4</x:v>
      </x:c>
      <x:c r="L79" s="28" t="n">
        <x:v>11</x:v>
      </x:c>
      <x:c r="M79" s="28" t="n">
        <x:v>2</x:v>
      </x:c>
      <x:c r="N79" s="28" t="n">
        <x:v>1</x:v>
      </x:c>
      <x:c r="O79" s="28" t="n">
        <x:v>0</x:v>
      </x:c>
      <x:c r="P79" s="28" t="n">
        <x:v>3</x:v>
      </x:c>
      <x:c r="Q79" s="24" t="n">
        <x:f>IFERROR(J79/H79,0)</x:f>
        <x:v>0.3</x:v>
      </x:c>
      <x:c r="R79" s="24" t="n">
        <x:f>IFERROR(F79/H79,0)</x:f>
        <x:v>0.1</x:v>
      </x:c>
      <x:c r="S79" s="24" t="n">
        <x:f>IFERROR(F79/J79,0)</x:f>
        <x:v>0.3333333333333333</x:v>
      </x:c>
      <x:c r="T79" s="28" t="n">
        <x:f>H79-I79</x:f>
        <x:v>21</x:v>
      </x:c>
      <x:c r="U79" s="24" t="n">
        <x:f>IFERROR(J79/H79,0)-IFERROR(K79/I79,0)</x:f>
        <x:v>-0.14444444444444443</x:v>
      </x:c>
      <x:c r="V79" s="24" t="n">
        <x:f>IFERROR(F79/J79,0)-IFERROR(G79/K79,0)</x:f>
        <x:v>0.3333333333333333</x:v>
      </x:c>
      <x:c r="W79" s="28" t="n">
        <x:f>L79-M79</x:f>
        <x:v>9</x:v>
      </x:c>
      <x:c r="X79" s="24" t="n">
        <x:f>IFERROR(K79/I79,0)</x:f>
        <x:v>0.4444444444444444</x:v>
      </x:c>
      <x:c r="Y79" s="24" t="n">
        <x:f>IFERROR(G79/I79,0)</x:f>
        <x:v>0</x:v>
      </x:c>
      <x:c r="Z79" s="24" t="n">
        <x:f>IFERROR(G79/K79,0)</x:f>
        <x:v>0</x:v>
      </x:c>
      <x:c r="AA79" s="24" t="n">
        <x:f>IFERROR(F79/H79,0)-IFERROR(G79/I79,0)</x:f>
        <x:v>0.1</x:v>
      </x:c>
      <x:c r="AB79" s="28" t="n">
        <x:f>J79-K79</x:f>
        <x:v>5</x:v>
      </x:c>
      <x:c r="AC79" s="32" t="n">
        <x:f>F79-G79</x:f>
        <x:v>3</x:v>
      </x:c>
    </x:row>
    <x:row r="80">
      <x:c r="A80" s="4" t="str">
        <x:v>2021-22</x:v>
      </x:c>
      <x:c r="B80" s="20" t="n">
        <x:v>44452</x:v>
      </x:c>
      <x:c r="C80" s="4" t="str">
        <x:v>Burnley</x:v>
      </x:c>
      <x:c r="D80" s="4" t="str">
        <x:v>Everton</x:v>
      </x:c>
      <x:c r="E80" s="4" t="str">
        <x:v>Away</x:v>
      </x:c>
      <x:c r="F80" s="28" t="n">
        <x:v>1</x:v>
      </x:c>
      <x:c r="G80" s="28" t="n">
        <x:v>3</x:v>
      </x:c>
      <x:c r="H80" s="28" t="n">
        <x:v>11</x:v>
      </x:c>
      <x:c r="I80" s="28" t="n">
        <x:v>14</x:v>
      </x:c>
      <x:c r="J80" s="28" t="n">
        <x:v>6</x:v>
      </x:c>
      <x:c r="K80" s="28" t="n">
        <x:v>6</x:v>
      </x:c>
      <x:c r="L80" s="28" t="n">
        <x:v>6</x:v>
      </x:c>
      <x:c r="M80" s="28" t="n">
        <x:v>4</x:v>
      </x:c>
      <x:c r="N80" s="28" t="n">
        <x:v>1</x:v>
      </x:c>
      <x:c r="O80" s="28" t="n">
        <x:v>0</x:v>
      </x:c>
      <x:c r="P80" s="28" t="n">
        <x:v>0</x:v>
      </x:c>
      <x:c r="Q80" s="24" t="n">
        <x:f>IFERROR(J80/H80,0)</x:f>
        <x:v>0.5454545454545454</x:v>
      </x:c>
      <x:c r="R80" s="24" t="n">
        <x:f>IFERROR(F80/H80,0)</x:f>
        <x:v>0.09090909090909091</x:v>
      </x:c>
      <x:c r="S80" s="24" t="n">
        <x:f>IFERROR(F80/J80,0)</x:f>
        <x:v>0.16666666666666666</x:v>
      </x:c>
      <x:c r="T80" s="28" t="n">
        <x:f>H80-I80</x:f>
        <x:v>-3</x:v>
      </x:c>
      <x:c r="U80" s="24" t="n">
        <x:f>IFERROR(J80/H80,0)-IFERROR(K80/I80,0)</x:f>
        <x:v>0.11688311688311687</x:v>
      </x:c>
      <x:c r="V80" s="24" t="n">
        <x:f>IFERROR(F80/J80,0)-IFERROR(G80/K80,0)</x:f>
        <x:v>-0.33333333333333337</x:v>
      </x:c>
      <x:c r="W80" s="28" t="n">
        <x:f>L80-M80</x:f>
        <x:v>2</x:v>
      </x:c>
      <x:c r="X80" s="24" t="n">
        <x:f>IFERROR(K80/I80,0)</x:f>
        <x:v>0.42857142857142855</x:v>
      </x:c>
      <x:c r="Y80" s="24" t="n">
        <x:f>IFERROR(G80/I80,0)</x:f>
        <x:v>0.21428571428571427</x:v>
      </x:c>
      <x:c r="Z80" s="24" t="n">
        <x:f>IFERROR(G80/K80,0)</x:f>
        <x:v>0.5</x:v>
      </x:c>
      <x:c r="AA80" s="24" t="n">
        <x:f>IFERROR(F80/H80,0)-IFERROR(G80/I80,0)</x:f>
        <x:v>-0.12337662337662336</x:v>
      </x:c>
      <x:c r="AB80" s="28" t="n">
        <x:f>J80-K80</x:f>
        <x:v>0</x:v>
      </x:c>
      <x:c r="AC80" s="32" t="n">
        <x:f>F80-G80</x:f>
        <x:v>-2</x:v>
      </x:c>
    </x:row>
    <x:row r="81">
      <x:c r="A81" s="4" t="str">
        <x:v>2021-22</x:v>
      </x:c>
      <x:c r="B81" s="20" t="n">
        <x:v>44452</x:v>
      </x:c>
      <x:c r="C81" s="4" t="str">
        <x:v>Everton</x:v>
      </x:c>
      <x:c r="D81" s="4" t="str">
        <x:v>Burnley</x:v>
      </x:c>
      <x:c r="E81" s="4" t="str">
        <x:v>Home</x:v>
      </x:c>
      <x:c r="F81" s="28" t="n">
        <x:v>3</x:v>
      </x:c>
      <x:c r="G81" s="28" t="n">
        <x:v>1</x:v>
      </x:c>
      <x:c r="H81" s="28" t="n">
        <x:v>14</x:v>
      </x:c>
      <x:c r="I81" s="28" t="n">
        <x:v>11</x:v>
      </x:c>
      <x:c r="J81" s="28" t="n">
        <x:v>6</x:v>
      </x:c>
      <x:c r="K81" s="28" t="n">
        <x:v>6</x:v>
      </x:c>
      <x:c r="L81" s="28" t="n">
        <x:v>4</x:v>
      </x:c>
      <x:c r="M81" s="28" t="n">
        <x:v>6</x:v>
      </x:c>
      <x:c r="N81" s="28" t="n">
        <x:v>1</x:v>
      </x:c>
      <x:c r="O81" s="28" t="n">
        <x:v>0</x:v>
      </x:c>
      <x:c r="P81" s="28" t="n">
        <x:v>3</x:v>
      </x:c>
      <x:c r="Q81" s="24" t="n">
        <x:f>IFERROR(J81/H81,0)</x:f>
        <x:v>0.42857142857142855</x:v>
      </x:c>
      <x:c r="R81" s="24" t="n">
        <x:f>IFERROR(F81/H81,0)</x:f>
        <x:v>0.21428571428571427</x:v>
      </x:c>
      <x:c r="S81" s="24" t="n">
        <x:f>IFERROR(F81/J81,0)</x:f>
        <x:v>0.5</x:v>
      </x:c>
      <x:c r="T81" s="28" t="n">
        <x:f>H81-I81</x:f>
        <x:v>3</x:v>
      </x:c>
      <x:c r="U81" s="24" t="n">
        <x:f>IFERROR(J81/H81,0)-IFERROR(K81/I81,0)</x:f>
        <x:v>-0.11688311688311687</x:v>
      </x:c>
      <x:c r="V81" s="24" t="n">
        <x:f>IFERROR(F81/J81,0)-IFERROR(G81/K81,0)</x:f>
        <x:v>0.33333333333333337</x:v>
      </x:c>
      <x:c r="W81" s="28" t="n">
        <x:f>L81-M81</x:f>
        <x:v>-2</x:v>
      </x:c>
      <x:c r="X81" s="24" t="n">
        <x:f>IFERROR(K81/I81,0)</x:f>
        <x:v>0.5454545454545454</x:v>
      </x:c>
      <x:c r="Y81" s="24" t="n">
        <x:f>IFERROR(G81/I81,0)</x:f>
        <x:v>0.09090909090909091</x:v>
      </x:c>
      <x:c r="Z81" s="24" t="n">
        <x:f>IFERROR(G81/K81,0)</x:f>
        <x:v>0.16666666666666666</x:v>
      </x:c>
      <x:c r="AA81" s="24" t="n">
        <x:f>IFERROR(F81/H81,0)-IFERROR(G81/I81,0)</x:f>
        <x:v>0.12337662337662336</x:v>
      </x:c>
      <x:c r="AB81" s="28" t="n">
        <x:f>J81-K81</x:f>
        <x:v>0</x:v>
      </x:c>
      <x:c r="AC81" s="32" t="n">
        <x:f>F81-G81</x:f>
        <x:v>2</x:v>
      </x:c>
    </x:row>
    <x:row r="82">
      <x:c r="A82" s="4" t="str">
        <x:v>2021-22</x:v>
      </x:c>
      <x:c r="B82" s="20" t="n">
        <x:v>44456</x:v>
      </x:c>
      <x:c r="C82" s="4" t="str">
        <x:v>Leeds</x:v>
      </x:c>
      <x:c r="D82" s="4" t="str">
        <x:v>Newcastle</x:v>
      </x:c>
      <x:c r="E82" s="4" t="str">
        <x:v>Away</x:v>
      </x:c>
      <x:c r="F82" s="28" t="n">
        <x:v>1</x:v>
      </x:c>
      <x:c r="G82" s="28" t="n">
        <x:v>1</x:v>
      </x:c>
      <x:c r="H82" s="28" t="n">
        <x:v>22</x:v>
      </x:c>
      <x:c r="I82" s="28" t="n">
        <x:v>17</x:v>
      </x:c>
      <x:c r="J82" s="28" t="n">
        <x:v>9</x:v>
      </x:c>
      <x:c r="K82" s="28" t="n">
        <x:v>7</x:v>
      </x:c>
      <x:c r="L82" s="28" t="n">
        <x:v>5</x:v>
      </x:c>
      <x:c r="M82" s="28" t="n">
        <x:v>4</x:v>
      </x:c>
      <x:c r="N82" s="28" t="n">
        <x:v>2</x:v>
      </x:c>
      <x:c r="O82" s="28" t="n">
        <x:v>0</x:v>
      </x:c>
      <x:c r="P82" s="28" t="n">
        <x:v>1</x:v>
      </x:c>
      <x:c r="Q82" s="24" t="n">
        <x:f>IFERROR(J82/H82,0)</x:f>
        <x:v>0.4090909090909091</x:v>
      </x:c>
      <x:c r="R82" s="24" t="n">
        <x:f>IFERROR(F82/H82,0)</x:f>
        <x:v>0.045454545454545456</x:v>
      </x:c>
      <x:c r="S82" s="24" t="n">
        <x:f>IFERROR(F82/J82,0)</x:f>
        <x:v>0.1111111111111111</x:v>
      </x:c>
      <x:c r="T82" s="28" t="n">
        <x:f>H82-I82</x:f>
        <x:v>5</x:v>
      </x:c>
      <x:c r="U82" s="24" t="n">
        <x:f>IFERROR(J82/H82,0)-IFERROR(K82/I82,0)</x:f>
        <x:v>-0.0026737967914438054</x:v>
      </x:c>
      <x:c r="V82" s="24" t="n">
        <x:f>IFERROR(F82/J82,0)-IFERROR(G82/K82,0)</x:f>
        <x:v>-0.031746031746031744</x:v>
      </x:c>
      <x:c r="W82" s="28" t="n">
        <x:f>L82-M82</x:f>
        <x:v>1</x:v>
      </x:c>
      <x:c r="X82" s="24" t="n">
        <x:f>IFERROR(K82/I82,0)</x:f>
        <x:v>0.4117647058823529</x:v>
      </x:c>
      <x:c r="Y82" s="24" t="n">
        <x:f>IFERROR(G82/I82,0)</x:f>
        <x:v>0.058823529411764705</x:v>
      </x:c>
      <x:c r="Z82" s="24" t="n">
        <x:f>IFERROR(G82/K82,0)</x:f>
        <x:v>0.14285714285714285</x:v>
      </x:c>
      <x:c r="AA82" s="24" t="n">
        <x:f>IFERROR(F82/H82,0)-IFERROR(G82/I82,0)</x:f>
        <x:v>-0.01336898395721925</x:v>
      </x:c>
      <x:c r="AB82" s="28" t="n">
        <x:f>J82-K82</x:f>
        <x:v>2</x:v>
      </x:c>
      <x:c r="AC82" s="32" t="n">
        <x:f>F82-G82</x:f>
        <x:v>0</x:v>
      </x:c>
    </x:row>
    <x:row r="83">
      <x:c r="A83" s="4" t="str">
        <x:v>2021-22</x:v>
      </x:c>
      <x:c r="B83" s="20" t="n">
        <x:v>44456</x:v>
      </x:c>
      <x:c r="C83" s="4" t="str">
        <x:v>Newcastle</x:v>
      </x:c>
      <x:c r="D83" s="4" t="str">
        <x:v>Leeds</x:v>
      </x:c>
      <x:c r="E83" s="4" t="str">
        <x:v>Home</x:v>
      </x:c>
      <x:c r="F83" s="28" t="n">
        <x:v>1</x:v>
      </x:c>
      <x:c r="G83" s="28" t="n">
        <x:v>1</x:v>
      </x:c>
      <x:c r="H83" s="28" t="n">
        <x:v>17</x:v>
      </x:c>
      <x:c r="I83" s="28" t="n">
        <x:v>22</x:v>
      </x:c>
      <x:c r="J83" s="28" t="n">
        <x:v>7</x:v>
      </x:c>
      <x:c r="K83" s="28" t="n">
        <x:v>9</x:v>
      </x:c>
      <x:c r="L83" s="28" t="n">
        <x:v>4</x:v>
      </x:c>
      <x:c r="M83" s="28" t="n">
        <x:v>5</x:v>
      </x:c>
      <x:c r="N83" s="28" t="n">
        <x:v>2</x:v>
      </x:c>
      <x:c r="O83" s="28" t="n">
        <x:v>0</x:v>
      </x:c>
      <x:c r="P83" s="28" t="n">
        <x:v>1</x:v>
      </x:c>
      <x:c r="Q83" s="24" t="n">
        <x:f>IFERROR(J83/H83,0)</x:f>
        <x:v>0.4117647058823529</x:v>
      </x:c>
      <x:c r="R83" s="24" t="n">
        <x:f>IFERROR(F83/H83,0)</x:f>
        <x:v>0.058823529411764705</x:v>
      </x:c>
      <x:c r="S83" s="24" t="n">
        <x:f>IFERROR(F83/J83,0)</x:f>
        <x:v>0.14285714285714285</x:v>
      </x:c>
      <x:c r="T83" s="28" t="n">
        <x:f>H83-I83</x:f>
        <x:v>-5</x:v>
      </x:c>
      <x:c r="U83" s="24" t="n">
        <x:f>IFERROR(J83/H83,0)-IFERROR(K83/I83,0)</x:f>
        <x:v>0.0026737967914438054</x:v>
      </x:c>
      <x:c r="V83" s="24" t="n">
        <x:f>IFERROR(F83/J83,0)-IFERROR(G83/K83,0)</x:f>
        <x:v>0.031746031746031744</x:v>
      </x:c>
      <x:c r="W83" s="28" t="n">
        <x:f>L83-M83</x:f>
        <x:v>-1</x:v>
      </x:c>
      <x:c r="X83" s="24" t="n">
        <x:f>IFERROR(K83/I83,0)</x:f>
        <x:v>0.4090909090909091</x:v>
      </x:c>
      <x:c r="Y83" s="24" t="n">
        <x:f>IFERROR(G83/I83,0)</x:f>
        <x:v>0.045454545454545456</x:v>
      </x:c>
      <x:c r="Z83" s="24" t="n">
        <x:f>IFERROR(G83/K83,0)</x:f>
        <x:v>0.1111111111111111</x:v>
      </x:c>
      <x:c r="AA83" s="24" t="n">
        <x:f>IFERROR(F83/H83,0)-IFERROR(G83/I83,0)</x:f>
        <x:v>0.01336898395721925</x:v>
      </x:c>
      <x:c r="AB83" s="28" t="n">
        <x:f>J83-K83</x:f>
        <x:v>-2</x:v>
      </x:c>
      <x:c r="AC83" s="32" t="n">
        <x:f>F83-G83</x:f>
        <x:v>0</x:v>
      </x:c>
    </x:row>
    <x:row r="84">
      <x:c r="A84" s="4" t="str">
        <x:v>2021-22</x:v>
      </x:c>
      <x:c r="B84" s="20" t="n">
        <x:v>44457</x:v>
      </x:c>
      <x:c r="C84" s="4" t="str">
        <x:v>Arsenal</x:v>
      </x:c>
      <x:c r="D84" s="4" t="str">
        <x:v>Burnley</x:v>
      </x:c>
      <x:c r="E84" s="4" t="str">
        <x:v>Away</x:v>
      </x:c>
      <x:c r="F84" s="28" t="n">
        <x:v>1</x:v>
      </x:c>
      <x:c r="G84" s="28" t="n">
        <x:v>0</x:v>
      </x:c>
      <x:c r="H84" s="28" t="n">
        <x:v>13</x:v>
      </x:c>
      <x:c r="I84" s="28" t="n">
        <x:v>18</x:v>
      </x:c>
      <x:c r="J84" s="28" t="n">
        <x:v>3</x:v>
      </x:c>
      <x:c r="K84" s="28" t="n">
        <x:v>3</x:v>
      </x:c>
      <x:c r="L84" s="28" t="n">
        <x:v>3</x:v>
      </x:c>
      <x:c r="M84" s="28" t="n">
        <x:v>8</x:v>
      </x:c>
      <x:c r="N84" s="28" t="n">
        <x:v>1</x:v>
      </x:c>
      <x:c r="O84" s="28" t="n">
        <x:v>0</x:v>
      </x:c>
      <x:c r="P84" s="28" t="n">
        <x:v>3</x:v>
      </x:c>
      <x:c r="Q84" s="24" t="n">
        <x:f>IFERROR(J84/H84,0)</x:f>
        <x:v>0.23076923076923078</x:v>
      </x:c>
      <x:c r="R84" s="24" t="n">
        <x:f>IFERROR(F84/H84,0)</x:f>
        <x:v>0.07692307692307693</x:v>
      </x:c>
      <x:c r="S84" s="24" t="n">
        <x:f>IFERROR(F84/J84,0)</x:f>
        <x:v>0.3333333333333333</x:v>
      </x:c>
      <x:c r="T84" s="28" t="n">
        <x:f>H84-I84</x:f>
        <x:v>-5</x:v>
      </x:c>
      <x:c r="U84" s="24" t="n">
        <x:f>IFERROR(J84/H84,0)-IFERROR(K84/I84,0)</x:f>
        <x:v>0.06410256410256412</x:v>
      </x:c>
      <x:c r="V84" s="24" t="n">
        <x:f>IFERROR(F84/J84,0)-IFERROR(G84/K84,0)</x:f>
        <x:v>0.3333333333333333</x:v>
      </x:c>
      <x:c r="W84" s="28" t="n">
        <x:f>L84-M84</x:f>
        <x:v>-5</x:v>
      </x:c>
      <x:c r="X84" s="24" t="n">
        <x:f>IFERROR(K84/I84,0)</x:f>
        <x:v>0.16666666666666666</x:v>
      </x:c>
      <x:c r="Y84" s="24" t="n">
        <x:f>IFERROR(G84/I84,0)</x:f>
        <x:v>0</x:v>
      </x:c>
      <x:c r="Z84" s="24" t="n">
        <x:f>IFERROR(G84/K84,0)</x:f>
        <x:v>0</x:v>
      </x:c>
      <x:c r="AA84" s="24" t="n">
        <x:f>IFERROR(F84/H84,0)-IFERROR(G84/I84,0)</x:f>
        <x:v>0.07692307692307693</x:v>
      </x:c>
      <x:c r="AB84" s="28" t="n">
        <x:f>J84-K84</x:f>
        <x:v>0</x:v>
      </x:c>
      <x:c r="AC84" s="32" t="n">
        <x:f>F84-G84</x:f>
        <x:v>1</x:v>
      </x:c>
    </x:row>
    <x:row r="85">
      <x:c r="A85" s="4" t="str">
        <x:v>2021-22</x:v>
      </x:c>
      <x:c r="B85" s="20" t="n">
        <x:v>44457</x:v>
      </x:c>
      <x:c r="C85" s="4" t="str">
        <x:v>Aston Villa</x:v>
      </x:c>
      <x:c r="D85" s="4" t="str">
        <x:v>Everton</x:v>
      </x:c>
      <x:c r="E85" s="4" t="str">
        <x:v>Home</x:v>
      </x:c>
      <x:c r="F85" s="28" t="n">
        <x:v>3</x:v>
      </x:c>
      <x:c r="G85" s="28" t="n">
        <x:v>0</x:v>
      </x:c>
      <x:c r="H85" s="28" t="n">
        <x:v>15</x:v>
      </x:c>
      <x:c r="I85" s="28" t="n">
        <x:v>11</x:v>
      </x:c>
      <x:c r="J85" s="28" t="n">
        <x:v>3</x:v>
      </x:c>
      <x:c r="K85" s="28" t="n">
        <x:v>1</x:v>
      </x:c>
      <x:c r="L85" s="28" t="n">
        <x:v>5</x:v>
      </x:c>
      <x:c r="M85" s="28" t="n">
        <x:v>4</x:v>
      </x:c>
      <x:c r="N85" s="28" t="n">
        <x:v>1</x:v>
      </x:c>
      <x:c r="O85" s="28" t="n">
        <x:v>0</x:v>
      </x:c>
      <x:c r="P85" s="28" t="n">
        <x:v>3</x:v>
      </x:c>
      <x:c r="Q85" s="24" t="n">
        <x:f>IFERROR(J85/H85,0)</x:f>
        <x:v>0.2</x:v>
      </x:c>
      <x:c r="R85" s="24" t="n">
        <x:f>IFERROR(F85/H85,0)</x:f>
        <x:v>0.2</x:v>
      </x:c>
      <x:c r="S85" s="24" t="n">
        <x:f>IFERROR(F85/J85,0)</x:f>
        <x:v>1</x:v>
      </x:c>
      <x:c r="T85" s="28" t="n">
        <x:f>H85-I85</x:f>
        <x:v>4</x:v>
      </x:c>
      <x:c r="U85" s="24" t="n">
        <x:f>IFERROR(J85/H85,0)-IFERROR(K85/I85,0)</x:f>
        <x:v>0.1090909090909091</x:v>
      </x:c>
      <x:c r="V85" s="24" t="n">
        <x:f>IFERROR(F85/J85,0)-IFERROR(G85/K85,0)</x:f>
        <x:v>1</x:v>
      </x:c>
      <x:c r="W85" s="28" t="n">
        <x:f>L85-M85</x:f>
        <x:v>1</x:v>
      </x:c>
      <x:c r="X85" s="24" t="n">
        <x:f>IFERROR(K85/I85,0)</x:f>
        <x:v>0.09090909090909091</x:v>
      </x:c>
      <x:c r="Y85" s="24" t="n">
        <x:f>IFERROR(G85/I85,0)</x:f>
        <x:v>0</x:v>
      </x:c>
      <x:c r="Z85" s="24" t="n">
        <x:f>IFERROR(G85/K85,0)</x:f>
        <x:v>0</x:v>
      </x:c>
      <x:c r="AA85" s="24" t="n">
        <x:f>IFERROR(F85/H85,0)-IFERROR(G85/I85,0)</x:f>
        <x:v>0.2</x:v>
      </x:c>
      <x:c r="AB85" s="28" t="n">
        <x:f>J85-K85</x:f>
        <x:v>2</x:v>
      </x:c>
      <x:c r="AC85" s="32" t="n">
        <x:f>F85-G85</x:f>
        <x:v>3</x:v>
      </x:c>
    </x:row>
    <x:row r="86">
      <x:c r="A86" s="4" t="str">
        <x:v>2021-22</x:v>
      </x:c>
      <x:c r="B86" s="20" t="n">
        <x:v>44457</x:v>
      </x:c>
      <x:c r="C86" s="4" t="str">
        <x:v>Brentford</x:v>
      </x:c>
      <x:c r="D86" s="4" t="str">
        <x:v>Wolves</x:v>
      </x:c>
      <x:c r="E86" s="4" t="str">
        <x:v>Away</x:v>
      </x:c>
      <x:c r="F86" s="28" t="n">
        <x:v>2</x:v>
      </x:c>
      <x:c r="G86" s="28" t="n">
        <x:v>0</x:v>
      </x:c>
      <x:c r="H86" s="28" t="n">
        <x:v>9</x:v>
      </x:c>
      <x:c r="I86" s="28" t="n">
        <x:v>11</x:v>
      </x:c>
      <x:c r="J86" s="28" t="n">
        <x:v>3</x:v>
      </x:c>
      <x:c r="K86" s="28" t="n">
        <x:v>0</x:v>
      </x:c>
      <x:c r="L86" s="28" t="n">
        <x:v>2</x:v>
      </x:c>
      <x:c r="M86" s="28" t="n">
        <x:v>4</x:v>
      </x:c>
      <x:c r="N86" s="28" t="n">
        <x:v>2</x:v>
      </x:c>
      <x:c r="O86" s="28" t="n">
        <x:v>1</x:v>
      </x:c>
      <x:c r="P86" s="28" t="n">
        <x:v>3</x:v>
      </x:c>
      <x:c r="Q86" s="24" t="n">
        <x:f>IFERROR(J86/H86,0)</x:f>
        <x:v>0.3333333333333333</x:v>
      </x:c>
      <x:c r="R86" s="24" t="n">
        <x:f>IFERROR(F86/H86,0)</x:f>
        <x:v>0.2222222222222222</x:v>
      </x:c>
      <x:c r="S86" s="24" t="n">
        <x:f>IFERROR(F86/J86,0)</x:f>
        <x:v>0.6666666666666666</x:v>
      </x:c>
      <x:c r="T86" s="28" t="n">
        <x:f>H86-I86</x:f>
        <x:v>-2</x:v>
      </x:c>
      <x:c r="U86" s="24" t="n">
        <x:f>IFERROR(J86/H86,0)-IFERROR(K86/I86,0)</x:f>
        <x:v>0.3333333333333333</x:v>
      </x:c>
      <x:c r="V86" s="24" t="n">
        <x:f>IFERROR(F86/J86,0)-IFERROR(G86/K86,0)</x:f>
        <x:v>0.6666666666666666</x:v>
      </x:c>
      <x:c r="W86" s="28" t="n">
        <x:f>L86-M86</x:f>
        <x:v>-2</x:v>
      </x:c>
      <x:c r="X86" s="24" t="n">
        <x:f>IFERROR(K86/I86,0)</x:f>
        <x:v>0</x:v>
      </x:c>
      <x:c r="Y86" s="24" t="n">
        <x:f>IFERROR(G86/I86,0)</x:f>
        <x:v>0</x:v>
      </x:c>
      <x:c r="Z86" s="24" t="n">
        <x:f>IFERROR(G86/K86,0)</x:f>
        <x:v>0</x:v>
      </x:c>
      <x:c r="AA86" s="24" t="n">
        <x:f>IFERROR(F86/H86,0)-IFERROR(G86/I86,0)</x:f>
        <x:v>0.2222222222222222</x:v>
      </x:c>
      <x:c r="AB86" s="28" t="n">
        <x:f>J86-K86</x:f>
        <x:v>3</x:v>
      </x:c>
      <x:c r="AC86" s="32" t="n">
        <x:f>F86-G86</x:f>
        <x:v>2</x:v>
      </x:c>
    </x:row>
    <x:row r="87">
      <x:c r="A87" s="4" t="str">
        <x:v>2021-22</x:v>
      </x:c>
      <x:c r="B87" s="20" t="n">
        <x:v>44457</x:v>
      </x:c>
      <x:c r="C87" s="4" t="str">
        <x:v>Burnley</x:v>
      </x:c>
      <x:c r="D87" s="4" t="str">
        <x:v>Arsenal</x:v>
      </x:c>
      <x:c r="E87" s="4" t="str">
        <x:v>Home</x:v>
      </x:c>
      <x:c r="F87" s="28" t="n">
        <x:v>0</x:v>
      </x:c>
      <x:c r="G87" s="28" t="n">
        <x:v>1</x:v>
      </x:c>
      <x:c r="H87" s="28" t="n">
        <x:v>18</x:v>
      </x:c>
      <x:c r="I87" s="28" t="n">
        <x:v>13</x:v>
      </x:c>
      <x:c r="J87" s="28" t="n">
        <x:v>3</x:v>
      </x:c>
      <x:c r="K87" s="28" t="n">
        <x:v>3</x:v>
      </x:c>
      <x:c r="L87" s="28" t="n">
        <x:v>8</x:v>
      </x:c>
      <x:c r="M87" s="28" t="n">
        <x:v>3</x:v>
      </x:c>
      <x:c r="N87" s="28" t="n">
        <x:v>2</x:v>
      </x:c>
      <x:c r="O87" s="28" t="n">
        <x:v>0</x:v>
      </x:c>
      <x:c r="P87" s="28" t="n">
        <x:v>0</x:v>
      </x:c>
      <x:c r="Q87" s="24" t="n">
        <x:f>IFERROR(J87/H87,0)</x:f>
        <x:v>0.16666666666666666</x:v>
      </x:c>
      <x:c r="R87" s="24" t="n">
        <x:f>IFERROR(F87/H87,0)</x:f>
        <x:v>0</x:v>
      </x:c>
      <x:c r="S87" s="24" t="n">
        <x:f>IFERROR(F87/J87,0)</x:f>
        <x:v>0</x:v>
      </x:c>
      <x:c r="T87" s="28" t="n">
        <x:f>H87-I87</x:f>
        <x:v>5</x:v>
      </x:c>
      <x:c r="U87" s="24" t="n">
        <x:f>IFERROR(J87/H87,0)-IFERROR(K87/I87,0)</x:f>
        <x:v>-0.06410256410256412</x:v>
      </x:c>
      <x:c r="V87" s="24" t="n">
        <x:f>IFERROR(F87/J87,0)-IFERROR(G87/K87,0)</x:f>
        <x:v>-0.3333333333333333</x:v>
      </x:c>
      <x:c r="W87" s="28" t="n">
        <x:f>L87-M87</x:f>
        <x:v>5</x:v>
      </x:c>
      <x:c r="X87" s="24" t="n">
        <x:f>IFERROR(K87/I87,0)</x:f>
        <x:v>0.23076923076923078</x:v>
      </x:c>
      <x:c r="Y87" s="24" t="n">
        <x:f>IFERROR(G87/I87,0)</x:f>
        <x:v>0.07692307692307693</x:v>
      </x:c>
      <x:c r="Z87" s="24" t="n">
        <x:f>IFERROR(G87/K87,0)</x:f>
        <x:v>0.3333333333333333</x:v>
      </x:c>
      <x:c r="AA87" s="24" t="n">
        <x:f>IFERROR(F87/H87,0)-IFERROR(G87/I87,0)</x:f>
        <x:v>-0.07692307692307693</x:v>
      </x:c>
      <x:c r="AB87" s="28" t="n">
        <x:f>J87-K87</x:f>
        <x:v>0</x:v>
      </x:c>
      <x:c r="AC87" s="32" t="n">
        <x:f>F87-G87</x:f>
        <x:v>-1</x:v>
      </x:c>
    </x:row>
    <x:row r="88">
      <x:c r="A88" s="4" t="str">
        <x:v>2021-22</x:v>
      </x:c>
      <x:c r="B88" s="20" t="n">
        <x:v>44457</x:v>
      </x:c>
      <x:c r="C88" s="4" t="str">
        <x:v>Crystal Palace</x:v>
      </x:c>
      <x:c r="D88" s="4" t="str">
        <x:v>Liverpool</x:v>
      </x:c>
      <x:c r="E88" s="4" t="str">
        <x:v>Away</x:v>
      </x:c>
      <x:c r="F88" s="28" t="n">
        <x:v>0</x:v>
      </x:c>
      <x:c r="G88" s="28" t="n">
        <x:v>3</x:v>
      </x:c>
      <x:c r="H88" s="28" t="n">
        <x:v>13</x:v>
      </x:c>
      <x:c r="I88" s="28" t="n">
        <x:v>25</x:v>
      </x:c>
      <x:c r="J88" s="28" t="n">
        <x:v>2</x:v>
      </x:c>
      <x:c r="K88" s="28" t="n">
        <x:v>10</x:v>
      </x:c>
      <x:c r="L88" s="28" t="n">
        <x:v>5</x:v>
      </x:c>
      <x:c r="M88" s="28" t="n">
        <x:v>10</x:v>
      </x:c>
      <x:c r="N88" s="28" t="n">
        <x:v>1</x:v>
      </x:c>
      <x:c r="O88" s="28" t="n">
        <x:v>0</x:v>
      </x:c>
      <x:c r="P88" s="28" t="n">
        <x:v>0</x:v>
      </x:c>
      <x:c r="Q88" s="24" t="n">
        <x:f>IFERROR(J88/H88,0)</x:f>
        <x:v>0.15384615384615385</x:v>
      </x:c>
      <x:c r="R88" s="24" t="n">
        <x:f>IFERROR(F88/H88,0)</x:f>
        <x:v>0</x:v>
      </x:c>
      <x:c r="S88" s="24" t="n">
        <x:f>IFERROR(F88/J88,0)</x:f>
        <x:v>0</x:v>
      </x:c>
      <x:c r="T88" s="28" t="n">
        <x:f>H88-I88</x:f>
        <x:v>-12</x:v>
      </x:c>
      <x:c r="U88" s="24" t="n">
        <x:f>IFERROR(J88/H88,0)-IFERROR(K88/I88,0)</x:f>
        <x:v>-0.24615384615384617</x:v>
      </x:c>
      <x:c r="V88" s="24" t="n">
        <x:f>IFERROR(F88/J88,0)-IFERROR(G88/K88,0)</x:f>
        <x:v>-0.3</x:v>
      </x:c>
      <x:c r="W88" s="28" t="n">
        <x:f>L88-M88</x:f>
        <x:v>-5</x:v>
      </x:c>
      <x:c r="X88" s="24" t="n">
        <x:f>IFERROR(K88/I88,0)</x:f>
        <x:v>0.4</x:v>
      </x:c>
      <x:c r="Y88" s="24" t="n">
        <x:f>IFERROR(G88/I88,0)</x:f>
        <x:v>0.12</x:v>
      </x:c>
      <x:c r="Z88" s="24" t="n">
        <x:f>IFERROR(G88/K88,0)</x:f>
        <x:v>0.3</x:v>
      </x:c>
      <x:c r="AA88" s="24" t="n">
        <x:f>IFERROR(F88/H88,0)-IFERROR(G88/I88,0)</x:f>
        <x:v>-0.12</x:v>
      </x:c>
      <x:c r="AB88" s="28" t="n">
        <x:f>J88-K88</x:f>
        <x:v>-8</x:v>
      </x:c>
      <x:c r="AC88" s="32" t="n">
        <x:f>F88-G88</x:f>
        <x:v>-3</x:v>
      </x:c>
    </x:row>
    <x:row r="89">
      <x:c r="A89" s="4" t="str">
        <x:v>2021-22</x:v>
      </x:c>
      <x:c r="B89" s="20" t="n">
        <x:v>44457</x:v>
      </x:c>
      <x:c r="C89" s="4" t="str">
        <x:v>Everton</x:v>
      </x:c>
      <x:c r="D89" s="4" t="str">
        <x:v>Aston Villa</x:v>
      </x:c>
      <x:c r="E89" s="4" t="str">
        <x:v>Away</x:v>
      </x:c>
      <x:c r="F89" s="28" t="n">
        <x:v>0</x:v>
      </x:c>
      <x:c r="G89" s="28" t="n">
        <x:v>3</x:v>
      </x:c>
      <x:c r="H89" s="28" t="n">
        <x:v>11</x:v>
      </x:c>
      <x:c r="I89" s="28" t="n">
        <x:v>15</x:v>
      </x:c>
      <x:c r="J89" s="28" t="n">
        <x:v>1</x:v>
      </x:c>
      <x:c r="K89" s="28" t="n">
        <x:v>3</x:v>
      </x:c>
      <x:c r="L89" s="28" t="n">
        <x:v>4</x:v>
      </x:c>
      <x:c r="M89" s="28" t="n">
        <x:v>5</x:v>
      </x:c>
      <x:c r="N89" s="28" t="n">
        <x:v>1</x:v>
      </x:c>
      <x:c r="O89" s="28" t="n">
        <x:v>0</x:v>
      </x:c>
      <x:c r="P89" s="28" t="n">
        <x:v>0</x:v>
      </x:c>
      <x:c r="Q89" s="24" t="n">
        <x:f>IFERROR(J89/H89,0)</x:f>
        <x:v>0.09090909090909091</x:v>
      </x:c>
      <x:c r="R89" s="24" t="n">
        <x:f>IFERROR(F89/H89,0)</x:f>
        <x:v>0</x:v>
      </x:c>
      <x:c r="S89" s="24" t="n">
        <x:f>IFERROR(F89/J89,0)</x:f>
        <x:v>0</x:v>
      </x:c>
      <x:c r="T89" s="28" t="n">
        <x:f>H89-I89</x:f>
        <x:v>-4</x:v>
      </x:c>
      <x:c r="U89" s="24" t="n">
        <x:f>IFERROR(J89/H89,0)-IFERROR(K89/I89,0)</x:f>
        <x:v>-0.1090909090909091</x:v>
      </x:c>
      <x:c r="V89" s="24" t="n">
        <x:f>IFERROR(F89/J89,0)-IFERROR(G89/K89,0)</x:f>
        <x:v>-1</x:v>
      </x:c>
      <x:c r="W89" s="28" t="n">
        <x:f>L89-M89</x:f>
        <x:v>-1</x:v>
      </x:c>
      <x:c r="X89" s="24" t="n">
        <x:f>IFERROR(K89/I89,0)</x:f>
        <x:v>0.2</x:v>
      </x:c>
      <x:c r="Y89" s="24" t="n">
        <x:f>IFERROR(G89/I89,0)</x:f>
        <x:v>0.2</x:v>
      </x:c>
      <x:c r="Z89" s="24" t="n">
        <x:f>IFERROR(G89/K89,0)</x:f>
        <x:v>1</x:v>
      </x:c>
      <x:c r="AA89" s="24" t="n">
        <x:f>IFERROR(F89/H89,0)-IFERROR(G89/I89,0)</x:f>
        <x:v>-0.2</x:v>
      </x:c>
      <x:c r="AB89" s="28" t="n">
        <x:f>J89-K89</x:f>
        <x:v>-2</x:v>
      </x:c>
      <x:c r="AC89" s="32" t="n">
        <x:f>F89-G89</x:f>
        <x:v>-3</x:v>
      </x:c>
    </x:row>
    <x:row r="90">
      <x:c r="A90" s="4" t="str">
        <x:v>2021-22</x:v>
      </x:c>
      <x:c r="B90" s="20" t="n">
        <x:v>44457</x:v>
      </x:c>
      <x:c r="C90" s="4" t="str">
        <x:v>Liverpool</x:v>
      </x:c>
      <x:c r="D90" s="4" t="str">
        <x:v>Crystal Palace</x:v>
      </x:c>
      <x:c r="E90" s="4" t="str">
        <x:v>Home</x:v>
      </x:c>
      <x:c r="F90" s="28" t="n">
        <x:v>3</x:v>
      </x:c>
      <x:c r="G90" s="28" t="n">
        <x:v>0</x:v>
      </x:c>
      <x:c r="H90" s="28" t="n">
        <x:v>25</x:v>
      </x:c>
      <x:c r="I90" s="28" t="n">
        <x:v>13</x:v>
      </x:c>
      <x:c r="J90" s="28" t="n">
        <x:v>10</x:v>
      </x:c>
      <x:c r="K90" s="28" t="n">
        <x:v>2</x:v>
      </x:c>
      <x:c r="L90" s="28" t="n">
        <x:v>10</x:v>
      </x:c>
      <x:c r="M90" s="28" t="n">
        <x:v>5</x:v>
      </x:c>
      <x:c r="N90" s="28" t="n">
        <x:v>3</x:v>
      </x:c>
      <x:c r="O90" s="28" t="n">
        <x:v>0</x:v>
      </x:c>
      <x:c r="P90" s="28" t="n">
        <x:v>3</x:v>
      </x:c>
      <x:c r="Q90" s="24" t="n">
        <x:f>IFERROR(J90/H90,0)</x:f>
        <x:v>0.4</x:v>
      </x:c>
      <x:c r="R90" s="24" t="n">
        <x:f>IFERROR(F90/H90,0)</x:f>
        <x:v>0.12</x:v>
      </x:c>
      <x:c r="S90" s="24" t="n">
        <x:f>IFERROR(F90/J90,0)</x:f>
        <x:v>0.3</x:v>
      </x:c>
      <x:c r="T90" s="28" t="n">
        <x:f>H90-I90</x:f>
        <x:v>12</x:v>
      </x:c>
      <x:c r="U90" s="24" t="n">
        <x:f>IFERROR(J90/H90,0)-IFERROR(K90/I90,0)</x:f>
        <x:v>0.24615384615384617</x:v>
      </x:c>
      <x:c r="V90" s="24" t="n">
        <x:f>IFERROR(F90/J90,0)-IFERROR(G90/K90,0)</x:f>
        <x:v>0.3</x:v>
      </x:c>
      <x:c r="W90" s="28" t="n">
        <x:f>L90-M90</x:f>
        <x:v>5</x:v>
      </x:c>
      <x:c r="X90" s="24" t="n">
        <x:f>IFERROR(K90/I90,0)</x:f>
        <x:v>0.15384615384615385</x:v>
      </x:c>
      <x:c r="Y90" s="24" t="n">
        <x:f>IFERROR(G90/I90,0)</x:f>
        <x:v>0</x:v>
      </x:c>
      <x:c r="Z90" s="24" t="n">
        <x:f>IFERROR(G90/K90,0)</x:f>
        <x:v>0</x:v>
      </x:c>
      <x:c r="AA90" s="24" t="n">
        <x:f>IFERROR(F90/H90,0)-IFERROR(G90/I90,0)</x:f>
        <x:v>0.12</x:v>
      </x:c>
      <x:c r="AB90" s="28" t="n">
        <x:f>J90-K90</x:f>
        <x:v>8</x:v>
      </x:c>
      <x:c r="AC90" s="32" t="n">
        <x:f>F90-G90</x:f>
        <x:v>3</x:v>
      </x:c>
    </x:row>
    <x:row r="91">
      <x:c r="A91" s="4" t="str">
        <x:v>2021-22</x:v>
      </x:c>
      <x:c r="B91" s="20" t="n">
        <x:v>44457</x:v>
      </x:c>
      <x:c r="C91" s="4" t="str">
        <x:v>Man City</x:v>
      </x:c>
      <x:c r="D91" s="4" t="str">
        <x:v>Southampton</x:v>
      </x:c>
      <x:c r="E91" s="4" t="str">
        <x:v>Home</x:v>
      </x:c>
      <x:c r="F91" s="28" t="n">
        <x:v>0</x:v>
      </x:c>
      <x:c r="G91" s="28" t="n">
        <x:v>0</x:v>
      </x:c>
      <x:c r="H91" s="28" t="n">
        <x:v>18</x:v>
      </x:c>
      <x:c r="I91" s="28" t="n">
        <x:v>10</x:v>
      </x:c>
      <x:c r="J91" s="28" t="n">
        <x:v>1</x:v>
      </x:c>
      <x:c r="K91" s="28" t="n">
        <x:v>2</x:v>
      </x:c>
      <x:c r="L91" s="28" t="n">
        <x:v>8</x:v>
      </x:c>
      <x:c r="M91" s="28" t="n">
        <x:v>5</x:v>
      </x:c>
      <x:c r="N91" s="28" t="n">
        <x:v>0</x:v>
      </x:c>
      <x:c r="O91" s="28" t="n">
        <x:v>0</x:v>
      </x:c>
      <x:c r="P91" s="28" t="n">
        <x:v>1</x:v>
      </x:c>
      <x:c r="Q91" s="24" t="n">
        <x:f>IFERROR(J91/H91,0)</x:f>
        <x:v>0.05555555555555555</x:v>
      </x:c>
      <x:c r="R91" s="24" t="n">
        <x:f>IFERROR(F91/H91,0)</x:f>
        <x:v>0</x:v>
      </x:c>
      <x:c r="S91" s="24" t="n">
        <x:f>IFERROR(F91/J91,0)</x:f>
        <x:v>0</x:v>
      </x:c>
      <x:c r="T91" s="28" t="n">
        <x:f>H91-I91</x:f>
        <x:v>8</x:v>
      </x:c>
      <x:c r="U91" s="24" t="n">
        <x:f>IFERROR(J91/H91,0)-IFERROR(K91/I91,0)</x:f>
        <x:v>-0.14444444444444446</x:v>
      </x:c>
      <x:c r="V91" s="24" t="n">
        <x:f>IFERROR(F91/J91,0)-IFERROR(G91/K91,0)</x:f>
        <x:v>0</x:v>
      </x:c>
      <x:c r="W91" s="28" t="n">
        <x:f>L91-M91</x:f>
        <x:v>3</x:v>
      </x:c>
      <x:c r="X91" s="24" t="n">
        <x:f>IFERROR(K91/I91,0)</x:f>
        <x:v>0.2</x:v>
      </x:c>
      <x:c r="Y91" s="24" t="n">
        <x:f>IFERROR(G91/I91,0)</x:f>
        <x:v>0</x:v>
      </x:c>
      <x:c r="Z91" s="24" t="n">
        <x:f>IFERROR(G91/K91,0)</x:f>
        <x:v>0</x:v>
      </x:c>
      <x:c r="AA91" s="24" t="n">
        <x:f>IFERROR(F91/H91,0)-IFERROR(G91/I91,0)</x:f>
        <x:v>0</x:v>
      </x:c>
      <x:c r="AB91" s="28" t="n">
        <x:f>J91-K91</x:f>
        <x:v>-1</x:v>
      </x:c>
      <x:c r="AC91" s="32" t="n">
        <x:f>F91-G91</x:f>
        <x:v>0</x:v>
      </x:c>
    </x:row>
    <x:row r="92">
      <x:c r="A92" s="4" t="str">
        <x:v>2021-22</x:v>
      </x:c>
      <x:c r="B92" s="20" t="n">
        <x:v>44457</x:v>
      </x:c>
      <x:c r="C92" s="4" t="str">
        <x:v>Norwich</x:v>
      </x:c>
      <x:c r="D92" s="4" t="str">
        <x:v>Watford</x:v>
      </x:c>
      <x:c r="E92" s="4" t="str">
        <x:v>Home</x:v>
      </x:c>
      <x:c r="F92" s="28" t="n">
        <x:v>1</x:v>
      </x:c>
      <x:c r="G92" s="28" t="n">
        <x:v>3</x:v>
      </x:c>
      <x:c r="H92" s="28" t="n">
        <x:v>12</x:v>
      </x:c>
      <x:c r="I92" s="28" t="n">
        <x:v>12</x:v>
      </x:c>
      <x:c r="J92" s="28" t="n">
        <x:v>5</x:v>
      </x:c>
      <x:c r="K92" s="28" t="n">
        <x:v>8</x:v>
      </x:c>
      <x:c r="L92" s="28" t="n">
        <x:v>4</x:v>
      </x:c>
      <x:c r="M92" s="28" t="n">
        <x:v>8</x:v>
      </x:c>
      <x:c r="N92" s="28" t="n">
        <x:v>1</x:v>
      </x:c>
      <x:c r="O92" s="28" t="n">
        <x:v>0</x:v>
      </x:c>
      <x:c r="P92" s="28" t="n">
        <x:v>0</x:v>
      </x:c>
      <x:c r="Q92" s="24" t="n">
        <x:f>IFERROR(J92/H92,0)</x:f>
        <x:v>0.4166666666666667</x:v>
      </x:c>
      <x:c r="R92" s="24" t="n">
        <x:f>IFERROR(F92/H92,0)</x:f>
        <x:v>0.08333333333333333</x:v>
      </x:c>
      <x:c r="S92" s="24" t="n">
        <x:f>IFERROR(F92/J92,0)</x:f>
        <x:v>0.2</x:v>
      </x:c>
      <x:c r="T92" s="28" t="n">
        <x:f>H92-I92</x:f>
        <x:v>0</x:v>
      </x:c>
      <x:c r="U92" s="24" t="n">
        <x:f>IFERROR(J92/H92,0)-IFERROR(K92/I92,0)</x:f>
        <x:v>-0.24999999999999994</x:v>
      </x:c>
      <x:c r="V92" s="24" t="n">
        <x:f>IFERROR(F92/J92,0)-IFERROR(G92/K92,0)</x:f>
        <x:v>-0.175</x:v>
      </x:c>
      <x:c r="W92" s="28" t="n">
        <x:f>L92-M92</x:f>
        <x:v>-4</x:v>
      </x:c>
      <x:c r="X92" s="24" t="n">
        <x:f>IFERROR(K92/I92,0)</x:f>
        <x:v>0.6666666666666666</x:v>
      </x:c>
      <x:c r="Y92" s="24" t="n">
        <x:f>IFERROR(G92/I92,0)</x:f>
        <x:v>0.25</x:v>
      </x:c>
      <x:c r="Z92" s="24" t="n">
        <x:f>IFERROR(G92/K92,0)</x:f>
        <x:v>0.375</x:v>
      </x:c>
      <x:c r="AA92" s="24" t="n">
        <x:f>IFERROR(F92/H92,0)-IFERROR(G92/I92,0)</x:f>
        <x:v>-0.16666666666666669</x:v>
      </x:c>
      <x:c r="AB92" s="28" t="n">
        <x:f>J92-K92</x:f>
        <x:v>-3</x:v>
      </x:c>
      <x:c r="AC92" s="32" t="n">
        <x:f>F92-G92</x:f>
        <x:v>-2</x:v>
      </x:c>
    </x:row>
    <x:row r="93">
      <x:c r="A93" s="4" t="str">
        <x:v>2021-22</x:v>
      </x:c>
      <x:c r="B93" s="20" t="n">
        <x:v>44457</x:v>
      </x:c>
      <x:c r="C93" s="4" t="str">
        <x:v>Southampton</x:v>
      </x:c>
      <x:c r="D93" s="4" t="str">
        <x:v>Man City</x:v>
      </x:c>
      <x:c r="E93" s="4" t="str">
        <x:v>Away</x:v>
      </x:c>
      <x:c r="F93" s="28" t="n">
        <x:v>0</x:v>
      </x:c>
      <x:c r="G93" s="28" t="n">
        <x:v>0</x:v>
      </x:c>
      <x:c r="H93" s="28" t="n">
        <x:v>10</x:v>
      </x:c>
      <x:c r="I93" s="28" t="n">
        <x:v>18</x:v>
      </x:c>
      <x:c r="J93" s="28" t="n">
        <x:v>2</x:v>
      </x:c>
      <x:c r="K93" s="28" t="n">
        <x:v>1</x:v>
      </x:c>
      <x:c r="L93" s="28" t="n">
        <x:v>5</x:v>
      </x:c>
      <x:c r="M93" s="28" t="n">
        <x:v>8</x:v>
      </x:c>
      <x:c r="N93" s="28" t="n">
        <x:v>2</x:v>
      </x:c>
      <x:c r="O93" s="28" t="n">
        <x:v>0</x:v>
      </x:c>
      <x:c r="P93" s="28" t="n">
        <x:v>1</x:v>
      </x:c>
      <x:c r="Q93" s="24" t="n">
        <x:f>IFERROR(J93/H93,0)</x:f>
        <x:v>0.2</x:v>
      </x:c>
      <x:c r="R93" s="24" t="n">
        <x:f>IFERROR(F93/H93,0)</x:f>
        <x:v>0</x:v>
      </x:c>
      <x:c r="S93" s="24" t="n">
        <x:f>IFERROR(F93/J93,0)</x:f>
        <x:v>0</x:v>
      </x:c>
      <x:c r="T93" s="28" t="n">
        <x:f>H93-I93</x:f>
        <x:v>-8</x:v>
      </x:c>
      <x:c r="U93" s="24" t="n">
        <x:f>IFERROR(J93/H93,0)-IFERROR(K93/I93,0)</x:f>
        <x:v>0.14444444444444446</x:v>
      </x:c>
      <x:c r="V93" s="24" t="n">
        <x:f>IFERROR(F93/J93,0)-IFERROR(G93/K93,0)</x:f>
        <x:v>0</x:v>
      </x:c>
      <x:c r="W93" s="28" t="n">
        <x:f>L93-M93</x:f>
        <x:v>-3</x:v>
      </x:c>
      <x:c r="X93" s="24" t="n">
        <x:f>IFERROR(K93/I93,0)</x:f>
        <x:v>0.05555555555555555</x:v>
      </x:c>
      <x:c r="Y93" s="24" t="n">
        <x:f>IFERROR(G93/I93,0)</x:f>
        <x:v>0</x:v>
      </x:c>
      <x:c r="Z93" s="24" t="n">
        <x:f>IFERROR(G93/K93,0)</x:f>
        <x:v>0</x:v>
      </x:c>
      <x:c r="AA93" s="24" t="n">
        <x:f>IFERROR(F93/H93,0)-IFERROR(G93/I93,0)</x:f>
        <x:v>0</x:v>
      </x:c>
      <x:c r="AB93" s="28" t="n">
        <x:f>J93-K93</x:f>
        <x:v>1</x:v>
      </x:c>
      <x:c r="AC93" s="32" t="n">
        <x:f>F93-G93</x:f>
        <x:v>0</x:v>
      </x:c>
    </x:row>
    <x:row r="94">
      <x:c r="A94" s="4" t="str">
        <x:v>2021-22</x:v>
      </x:c>
      <x:c r="B94" s="20" t="n">
        <x:v>44457</x:v>
      </x:c>
      <x:c r="C94" s="4" t="str">
        <x:v>Watford</x:v>
      </x:c>
      <x:c r="D94" s="4" t="str">
        <x:v>Norwich</x:v>
      </x:c>
      <x:c r="E94" s="4" t="str">
        <x:v>Away</x:v>
      </x:c>
      <x:c r="F94" s="28" t="n">
        <x:v>3</x:v>
      </x:c>
      <x:c r="G94" s="28" t="n">
        <x:v>1</x:v>
      </x:c>
      <x:c r="H94" s="28" t="n">
        <x:v>12</x:v>
      </x:c>
      <x:c r="I94" s="28" t="n">
        <x:v>12</x:v>
      </x:c>
      <x:c r="J94" s="28" t="n">
        <x:v>8</x:v>
      </x:c>
      <x:c r="K94" s="28" t="n">
        <x:v>5</x:v>
      </x:c>
      <x:c r="L94" s="28" t="n">
        <x:v>8</x:v>
      </x:c>
      <x:c r="M94" s="28" t="n">
        <x:v>4</x:v>
      </x:c>
      <x:c r="N94" s="28" t="n">
        <x:v>1</x:v>
      </x:c>
      <x:c r="O94" s="28" t="n">
        <x:v>0</x:v>
      </x:c>
      <x:c r="P94" s="28" t="n">
        <x:v>3</x:v>
      </x:c>
      <x:c r="Q94" s="24" t="n">
        <x:f>IFERROR(J94/H94,0)</x:f>
        <x:v>0.6666666666666666</x:v>
      </x:c>
      <x:c r="R94" s="24" t="n">
        <x:f>IFERROR(F94/H94,0)</x:f>
        <x:v>0.25</x:v>
      </x:c>
      <x:c r="S94" s="24" t="n">
        <x:f>IFERROR(F94/J94,0)</x:f>
        <x:v>0.375</x:v>
      </x:c>
      <x:c r="T94" s="28" t="n">
        <x:f>H94-I94</x:f>
        <x:v>0</x:v>
      </x:c>
      <x:c r="U94" s="24" t="n">
        <x:f>IFERROR(J94/H94,0)-IFERROR(K94/I94,0)</x:f>
        <x:v>0.24999999999999994</x:v>
      </x:c>
      <x:c r="V94" s="24" t="n">
        <x:f>IFERROR(F94/J94,0)-IFERROR(G94/K94,0)</x:f>
        <x:v>0.175</x:v>
      </x:c>
      <x:c r="W94" s="28" t="n">
        <x:f>L94-M94</x:f>
        <x:v>4</x:v>
      </x:c>
      <x:c r="X94" s="24" t="n">
        <x:f>IFERROR(K94/I94,0)</x:f>
        <x:v>0.4166666666666667</x:v>
      </x:c>
      <x:c r="Y94" s="24" t="n">
        <x:f>IFERROR(G94/I94,0)</x:f>
        <x:v>0.08333333333333333</x:v>
      </x:c>
      <x:c r="Z94" s="24" t="n">
        <x:f>IFERROR(G94/K94,0)</x:f>
        <x:v>0.2</x:v>
      </x:c>
      <x:c r="AA94" s="24" t="n">
        <x:f>IFERROR(F94/H94,0)-IFERROR(G94/I94,0)</x:f>
        <x:v>0.16666666666666669</x:v>
      </x:c>
      <x:c r="AB94" s="28" t="n">
        <x:f>J94-K94</x:f>
        <x:v>3</x:v>
      </x:c>
      <x:c r="AC94" s="32" t="n">
        <x:f>F94-G94</x:f>
        <x:v>2</x:v>
      </x:c>
    </x:row>
    <x:row r="95">
      <x:c r="A95" s="4" t="str">
        <x:v>2021-22</x:v>
      </x:c>
      <x:c r="B95" s="20" t="n">
        <x:v>44457</x:v>
      </x:c>
      <x:c r="C95" s="4" t="str">
        <x:v>Wolves</x:v>
      </x:c>
      <x:c r="D95" s="4" t="str">
        <x:v>Brentford</x:v>
      </x:c>
      <x:c r="E95" s="4" t="str">
        <x:v>Home</x:v>
      </x:c>
      <x:c r="F95" s="28" t="n">
        <x:v>0</x:v>
      </x:c>
      <x:c r="G95" s="28" t="n">
        <x:v>2</x:v>
      </x:c>
      <x:c r="H95" s="28" t="n">
        <x:v>11</x:v>
      </x:c>
      <x:c r="I95" s="28" t="n">
        <x:v>9</x:v>
      </x:c>
      <x:c r="J95" s="28" t="n">
        <x:v>0</x:v>
      </x:c>
      <x:c r="K95" s="28" t="n">
        <x:v>3</x:v>
      </x:c>
      <x:c r="L95" s="28" t="n">
        <x:v>4</x:v>
      </x:c>
      <x:c r="M95" s="28" t="n">
        <x:v>2</x:v>
      </x:c>
      <x:c r="N95" s="28" t="n">
        <x:v>4</x:v>
      </x:c>
      <x:c r="O95" s="28" t="n">
        <x:v>0</x:v>
      </x:c>
      <x:c r="P95" s="28" t="n">
        <x:v>0</x:v>
      </x:c>
      <x:c r="Q95" s="24" t="n">
        <x:f>IFERROR(J95/H95,0)</x:f>
        <x:v>0</x:v>
      </x:c>
      <x:c r="R95" s="24" t="n">
        <x:f>IFERROR(F95/H95,0)</x:f>
        <x:v>0</x:v>
      </x:c>
      <x:c r="S95" s="24" t="n">
        <x:f>IFERROR(F95/J95,0)</x:f>
        <x:v>0</x:v>
      </x:c>
      <x:c r="T95" s="28" t="n">
        <x:f>H95-I95</x:f>
        <x:v>2</x:v>
      </x:c>
      <x:c r="U95" s="24" t="n">
        <x:f>IFERROR(J95/H95,0)-IFERROR(K95/I95,0)</x:f>
        <x:v>-0.3333333333333333</x:v>
      </x:c>
      <x:c r="V95" s="24" t="n">
        <x:f>IFERROR(F95/J95,0)-IFERROR(G95/K95,0)</x:f>
        <x:v>-0.6666666666666666</x:v>
      </x:c>
      <x:c r="W95" s="28" t="n">
        <x:f>L95-M95</x:f>
        <x:v>2</x:v>
      </x:c>
      <x:c r="X95" s="24" t="n">
        <x:f>IFERROR(K95/I95,0)</x:f>
        <x:v>0.3333333333333333</x:v>
      </x:c>
      <x:c r="Y95" s="24" t="n">
        <x:f>IFERROR(G95/I95,0)</x:f>
        <x:v>0.2222222222222222</x:v>
      </x:c>
      <x:c r="Z95" s="24" t="n">
        <x:f>IFERROR(G95/K95,0)</x:f>
        <x:v>0.6666666666666666</x:v>
      </x:c>
      <x:c r="AA95" s="24" t="n">
        <x:f>IFERROR(F95/H95,0)-IFERROR(G95/I95,0)</x:f>
        <x:v>-0.2222222222222222</x:v>
      </x:c>
      <x:c r="AB95" s="28" t="n">
        <x:f>J95-K95</x:f>
        <x:v>-3</x:v>
      </x:c>
      <x:c r="AC95" s="32" t="n">
        <x:f>F95-G95</x:f>
        <x:v>-2</x:v>
      </x:c>
    </x:row>
    <x:row r="96">
      <x:c r="A96" s="4" t="str">
        <x:v>2021-22</x:v>
      </x:c>
      <x:c r="B96" s="20" t="n">
        <x:v>44458</x:v>
      </x:c>
      <x:c r="C96" s="4" t="str">
        <x:v>Brighton</x:v>
      </x:c>
      <x:c r="D96" s="4" t="str">
        <x:v>Leicester</x:v>
      </x:c>
      <x:c r="E96" s="4" t="str">
        <x:v>Home</x:v>
      </x:c>
      <x:c r="F96" s="28" t="n">
        <x:v>2</x:v>
      </x:c>
      <x:c r="G96" s="28" t="n">
        <x:v>1</x:v>
      </x:c>
      <x:c r="H96" s="28" t="n">
        <x:v>12</x:v>
      </x:c>
      <x:c r="I96" s="28" t="n">
        <x:v>14</x:v>
      </x:c>
      <x:c r="J96" s="28" t="n">
        <x:v>5</x:v>
      </x:c>
      <x:c r="K96" s="28" t="n">
        <x:v>3</x:v>
      </x:c>
      <x:c r="L96" s="28" t="n">
        <x:v>4</x:v>
      </x:c>
      <x:c r="M96" s="28" t="n">
        <x:v>9</x:v>
      </x:c>
      <x:c r="N96" s="28" t="n">
        <x:v>2</x:v>
      </x:c>
      <x:c r="O96" s="28" t="n">
        <x:v>0</x:v>
      </x:c>
      <x:c r="P96" s="28" t="n">
        <x:v>3</x:v>
      </x:c>
      <x:c r="Q96" s="24" t="n">
        <x:f>IFERROR(J96/H96,0)</x:f>
        <x:v>0.4166666666666667</x:v>
      </x:c>
      <x:c r="R96" s="24" t="n">
        <x:f>IFERROR(F96/H96,0)</x:f>
        <x:v>0.16666666666666666</x:v>
      </x:c>
      <x:c r="S96" s="24" t="n">
        <x:f>IFERROR(F96/J96,0)</x:f>
        <x:v>0.4</x:v>
      </x:c>
      <x:c r="T96" s="28" t="n">
        <x:f>H96-I96</x:f>
        <x:v>-2</x:v>
      </x:c>
      <x:c r="U96" s="24" t="n">
        <x:f>IFERROR(J96/H96,0)-IFERROR(K96/I96,0)</x:f>
        <x:v>0.2023809523809524</x:v>
      </x:c>
      <x:c r="V96" s="24" t="n">
        <x:f>IFERROR(F96/J96,0)-IFERROR(G96/K96,0)</x:f>
        <x:v>0.06666666666666671</x:v>
      </x:c>
      <x:c r="W96" s="28" t="n">
        <x:f>L96-M96</x:f>
        <x:v>-5</x:v>
      </x:c>
      <x:c r="X96" s="24" t="n">
        <x:f>IFERROR(K96/I96,0)</x:f>
        <x:v>0.21428571428571427</x:v>
      </x:c>
      <x:c r="Y96" s="24" t="n">
        <x:f>IFERROR(G96/I96,0)</x:f>
        <x:v>0.07142857142857142</x:v>
      </x:c>
      <x:c r="Z96" s="24" t="n">
        <x:f>IFERROR(G96/K96,0)</x:f>
        <x:v>0.3333333333333333</x:v>
      </x:c>
      <x:c r="AA96" s="24" t="n">
        <x:f>IFERROR(F96/H96,0)-IFERROR(G96/I96,0)</x:f>
        <x:v>0.09523809523809523</x:v>
      </x:c>
      <x:c r="AB96" s="28" t="n">
        <x:f>J96-K96</x:f>
        <x:v>2</x:v>
      </x:c>
      <x:c r="AC96" s="32" t="n">
        <x:f>F96-G96</x:f>
        <x:v>1</x:v>
      </x:c>
    </x:row>
    <x:row r="97">
      <x:c r="A97" s="4" t="str">
        <x:v>2021-22</x:v>
      </x:c>
      <x:c r="B97" s="20" t="n">
        <x:v>44458</x:v>
      </x:c>
      <x:c r="C97" s="4" t="str">
        <x:v>Chelsea</x:v>
      </x:c>
      <x:c r="D97" s="4" t="str">
        <x:v>Tottenham</x:v>
      </x:c>
      <x:c r="E97" s="4" t="str">
        <x:v>Away</x:v>
      </x:c>
      <x:c r="F97" s="28" t="n">
        <x:v>3</x:v>
      </x:c>
      <x:c r="G97" s="28" t="n">
        <x:v>0</x:v>
      </x:c>
      <x:c r="H97" s="28" t="n">
        <x:v>20</x:v>
      </x:c>
      <x:c r="I97" s="28" t="n">
        <x:v>8</x:v>
      </x:c>
      <x:c r="J97" s="28" t="n">
        <x:v>10</x:v>
      </x:c>
      <x:c r="K97" s="28" t="n">
        <x:v>2</x:v>
      </x:c>
      <x:c r="L97" s="28" t="n">
        <x:v>11</x:v>
      </x:c>
      <x:c r="M97" s="28" t="n">
        <x:v>5</x:v>
      </x:c>
      <x:c r="N97" s="28" t="n">
        <x:v>1</x:v>
      </x:c>
      <x:c r="O97" s="28" t="n">
        <x:v>0</x:v>
      </x:c>
      <x:c r="P97" s="28" t="n">
        <x:v>3</x:v>
      </x:c>
      <x:c r="Q97" s="24" t="n">
        <x:f>IFERROR(J97/H97,0)</x:f>
        <x:v>0.5</x:v>
      </x:c>
      <x:c r="R97" s="24" t="n">
        <x:f>IFERROR(F97/H97,0)</x:f>
        <x:v>0.15</x:v>
      </x:c>
      <x:c r="S97" s="24" t="n">
        <x:f>IFERROR(F97/J97,0)</x:f>
        <x:v>0.3</x:v>
      </x:c>
      <x:c r="T97" s="28" t="n">
        <x:f>H97-I97</x:f>
        <x:v>12</x:v>
      </x:c>
      <x:c r="U97" s="24" t="n">
        <x:f>IFERROR(J97/H97,0)-IFERROR(K97/I97,0)</x:f>
        <x:v>0.25</x:v>
      </x:c>
      <x:c r="V97" s="24" t="n">
        <x:f>IFERROR(F97/J97,0)-IFERROR(G97/K97,0)</x:f>
        <x:v>0.3</x:v>
      </x:c>
      <x:c r="W97" s="28" t="n">
        <x:f>L97-M97</x:f>
        <x:v>6</x:v>
      </x:c>
      <x:c r="X97" s="24" t="n">
        <x:f>IFERROR(K97/I97,0)</x:f>
        <x:v>0.25</x:v>
      </x:c>
      <x:c r="Y97" s="24" t="n">
        <x:f>IFERROR(G97/I97,0)</x:f>
        <x:v>0</x:v>
      </x:c>
      <x:c r="Z97" s="24" t="n">
        <x:f>IFERROR(G97/K97,0)</x:f>
        <x:v>0</x:v>
      </x:c>
      <x:c r="AA97" s="24" t="n">
        <x:f>IFERROR(F97/H97,0)-IFERROR(G97/I97,0)</x:f>
        <x:v>0.15</x:v>
      </x:c>
      <x:c r="AB97" s="28" t="n">
        <x:f>J97-K97</x:f>
        <x:v>8</x:v>
      </x:c>
      <x:c r="AC97" s="32" t="n">
        <x:f>F97-G97</x:f>
        <x:v>3</x:v>
      </x:c>
    </x:row>
    <x:row r="98">
      <x:c r="A98" s="4" t="str">
        <x:v>2021-22</x:v>
      </x:c>
      <x:c r="B98" s="20" t="n">
        <x:v>44458</x:v>
      </x:c>
      <x:c r="C98" s="4" t="str">
        <x:v>Leicester</x:v>
      </x:c>
      <x:c r="D98" s="4" t="str">
        <x:v>Brighton</x:v>
      </x:c>
      <x:c r="E98" s="4" t="str">
        <x:v>Away</x:v>
      </x:c>
      <x:c r="F98" s="28" t="n">
        <x:v>1</x:v>
      </x:c>
      <x:c r="G98" s="28" t="n">
        <x:v>2</x:v>
      </x:c>
      <x:c r="H98" s="28" t="n">
        <x:v>14</x:v>
      </x:c>
      <x:c r="I98" s="28" t="n">
        <x:v>12</x:v>
      </x:c>
      <x:c r="J98" s="28" t="n">
        <x:v>3</x:v>
      </x:c>
      <x:c r="K98" s="28" t="n">
        <x:v>5</x:v>
      </x:c>
      <x:c r="L98" s="28" t="n">
        <x:v>9</x:v>
      </x:c>
      <x:c r="M98" s="28" t="n">
        <x:v>4</x:v>
      </x:c>
      <x:c r="N98" s="28" t="n">
        <x:v>1</x:v>
      </x:c>
      <x:c r="O98" s="28" t="n">
        <x:v>0</x:v>
      </x:c>
      <x:c r="P98" s="28" t="n">
        <x:v>0</x:v>
      </x:c>
      <x:c r="Q98" s="24" t="n">
        <x:f>IFERROR(J98/H98,0)</x:f>
        <x:v>0.21428571428571427</x:v>
      </x:c>
      <x:c r="R98" s="24" t="n">
        <x:f>IFERROR(F98/H98,0)</x:f>
        <x:v>0.07142857142857142</x:v>
      </x:c>
      <x:c r="S98" s="24" t="n">
        <x:f>IFERROR(F98/J98,0)</x:f>
        <x:v>0.3333333333333333</x:v>
      </x:c>
      <x:c r="T98" s="28" t="n">
        <x:f>H98-I98</x:f>
        <x:v>2</x:v>
      </x:c>
      <x:c r="U98" s="24" t="n">
        <x:f>IFERROR(J98/H98,0)-IFERROR(K98/I98,0)</x:f>
        <x:v>-0.2023809523809524</x:v>
      </x:c>
      <x:c r="V98" s="24" t="n">
        <x:f>IFERROR(F98/J98,0)-IFERROR(G98/K98,0)</x:f>
        <x:v>-0.06666666666666671</x:v>
      </x:c>
      <x:c r="W98" s="28" t="n">
        <x:f>L98-M98</x:f>
        <x:v>5</x:v>
      </x:c>
      <x:c r="X98" s="24" t="n">
        <x:f>IFERROR(K98/I98,0)</x:f>
        <x:v>0.4166666666666667</x:v>
      </x:c>
      <x:c r="Y98" s="24" t="n">
        <x:f>IFERROR(G98/I98,0)</x:f>
        <x:v>0.16666666666666666</x:v>
      </x:c>
      <x:c r="Z98" s="24" t="n">
        <x:f>IFERROR(G98/K98,0)</x:f>
        <x:v>0.4</x:v>
      </x:c>
      <x:c r="AA98" s="24" t="n">
        <x:f>IFERROR(F98/H98,0)-IFERROR(G98/I98,0)</x:f>
        <x:v>-0.09523809523809523</x:v>
      </x:c>
      <x:c r="AB98" s="28" t="n">
        <x:f>J98-K98</x:f>
        <x:v>-2</x:v>
      </x:c>
      <x:c r="AC98" s="32" t="n">
        <x:f>F98-G98</x:f>
        <x:v>-1</x:v>
      </x:c>
    </x:row>
    <x:row r="99">
      <x:c r="A99" s="4" t="str">
        <x:v>2021-22</x:v>
      </x:c>
      <x:c r="B99" s="20" t="n">
        <x:v>44458</x:v>
      </x:c>
      <x:c r="C99" s="4" t="str">
        <x:v>Man United</x:v>
      </x:c>
      <x:c r="D99" s="4" t="str">
        <x:v>West Ham</x:v>
      </x:c>
      <x:c r="E99" s="4" t="str">
        <x:v>Away</x:v>
      </x:c>
      <x:c r="F99" s="28" t="n">
        <x:v>2</x:v>
      </x:c>
      <x:c r="G99" s="28" t="n">
        <x:v>1</x:v>
      </x:c>
      <x:c r="H99" s="28" t="n">
        <x:v>17</x:v>
      </x:c>
      <x:c r="I99" s="28" t="n">
        <x:v>13</x:v>
      </x:c>
      <x:c r="J99" s="28" t="n">
        <x:v>10</x:v>
      </x:c>
      <x:c r="K99" s="28" t="n">
        <x:v>4</x:v>
      </x:c>
      <x:c r="L99" s="28" t="n">
        <x:v>11</x:v>
      </x:c>
      <x:c r="M99" s="28" t="n">
        <x:v>2</x:v>
      </x:c>
      <x:c r="N99" s="28" t="n">
        <x:v>0</x:v>
      </x:c>
      <x:c r="O99" s="28" t="n">
        <x:v>0</x:v>
      </x:c>
      <x:c r="P99" s="28" t="n">
        <x:v>3</x:v>
      </x:c>
      <x:c r="Q99" s="24" t="n">
        <x:f>IFERROR(J99/H99,0)</x:f>
        <x:v>0.5882352941176471</x:v>
      </x:c>
      <x:c r="R99" s="24" t="n">
        <x:f>IFERROR(F99/H99,0)</x:f>
        <x:v>0.11764705882352941</x:v>
      </x:c>
      <x:c r="S99" s="24" t="n">
        <x:f>IFERROR(F99/J99,0)</x:f>
        <x:v>0.2</x:v>
      </x:c>
      <x:c r="T99" s="28" t="n">
        <x:f>H99-I99</x:f>
        <x:v>4</x:v>
      </x:c>
      <x:c r="U99" s="24" t="n">
        <x:f>IFERROR(J99/H99,0)-IFERROR(K99/I99,0)</x:f>
        <x:v>0.28054298642533937</x:v>
      </x:c>
      <x:c r="V99" s="24" t="n">
        <x:f>IFERROR(F99/J99,0)-IFERROR(G99/K99,0)</x:f>
        <x:v>-0.04999999999999999</x:v>
      </x:c>
      <x:c r="W99" s="28" t="n">
        <x:f>L99-M99</x:f>
        <x:v>9</x:v>
      </x:c>
      <x:c r="X99" s="24" t="n">
        <x:f>IFERROR(K99/I99,0)</x:f>
        <x:v>0.3076923076923077</x:v>
      </x:c>
      <x:c r="Y99" s="24" t="n">
        <x:f>IFERROR(G99/I99,0)</x:f>
        <x:v>0.07692307692307693</x:v>
      </x:c>
      <x:c r="Z99" s="24" t="n">
        <x:f>IFERROR(G99/K99,0)</x:f>
        <x:v>0.25</x:v>
      </x:c>
      <x:c r="AA99" s="24" t="n">
        <x:f>IFERROR(F99/H99,0)-IFERROR(G99/I99,0)</x:f>
        <x:v>0.04072398190045248</x:v>
      </x:c>
      <x:c r="AB99" s="28" t="n">
        <x:f>J99-K99</x:f>
        <x:v>6</x:v>
      </x:c>
      <x:c r="AC99" s="32" t="n">
        <x:f>F99-G99</x:f>
        <x:v>1</x:v>
      </x:c>
    </x:row>
    <x:row r="100">
      <x:c r="A100" s="4" t="str">
        <x:v>2021-22</x:v>
      </x:c>
      <x:c r="B100" s="20" t="n">
        <x:v>44458</x:v>
      </x:c>
      <x:c r="C100" s="4" t="str">
        <x:v>Tottenham</x:v>
      </x:c>
      <x:c r="D100" s="4" t="str">
        <x:v>Chelsea</x:v>
      </x:c>
      <x:c r="E100" s="4" t="str">
        <x:v>Home</x:v>
      </x:c>
      <x:c r="F100" s="28" t="n">
        <x:v>0</x:v>
      </x:c>
      <x:c r="G100" s="28" t="n">
        <x:v>3</x:v>
      </x:c>
      <x:c r="H100" s="28" t="n">
        <x:v>8</x:v>
      </x:c>
      <x:c r="I100" s="28" t="n">
        <x:v>20</x:v>
      </x:c>
      <x:c r="J100" s="28" t="n">
        <x:v>2</x:v>
      </x:c>
      <x:c r="K100" s="28" t="n">
        <x:v>10</x:v>
      </x:c>
      <x:c r="L100" s="28" t="n">
        <x:v>5</x:v>
      </x:c>
      <x:c r="M100" s="28" t="n">
        <x:v>11</x:v>
      </x:c>
      <x:c r="N100" s="28" t="n">
        <x:v>0</x:v>
      </x:c>
      <x:c r="O100" s="28" t="n">
        <x:v>0</x:v>
      </x:c>
      <x:c r="P100" s="28" t="n">
        <x:v>0</x:v>
      </x:c>
      <x:c r="Q100" s="24" t="n">
        <x:f>IFERROR(J100/H100,0)</x:f>
        <x:v>0.25</x:v>
      </x:c>
      <x:c r="R100" s="24" t="n">
        <x:f>IFERROR(F100/H100,0)</x:f>
        <x:v>0</x:v>
      </x:c>
      <x:c r="S100" s="24" t="n">
        <x:f>IFERROR(F100/J100,0)</x:f>
        <x:v>0</x:v>
      </x:c>
      <x:c r="T100" s="28" t="n">
        <x:f>H100-I100</x:f>
        <x:v>-12</x:v>
      </x:c>
      <x:c r="U100" s="24" t="n">
        <x:f>IFERROR(J100/H100,0)-IFERROR(K100/I100,0)</x:f>
        <x:v>-0.25</x:v>
      </x:c>
      <x:c r="V100" s="24" t="n">
        <x:f>IFERROR(F100/J100,0)-IFERROR(G100/K100,0)</x:f>
        <x:v>-0.3</x:v>
      </x:c>
      <x:c r="W100" s="28" t="n">
        <x:f>L100-M100</x:f>
        <x:v>-6</x:v>
      </x:c>
      <x:c r="X100" s="24" t="n">
        <x:f>IFERROR(K100/I100,0)</x:f>
        <x:v>0.5</x:v>
      </x:c>
      <x:c r="Y100" s="24" t="n">
        <x:f>IFERROR(G100/I100,0)</x:f>
        <x:v>0.15</x:v>
      </x:c>
      <x:c r="Z100" s="24" t="n">
        <x:f>IFERROR(G100/K100,0)</x:f>
        <x:v>0.3</x:v>
      </x:c>
      <x:c r="AA100" s="24" t="n">
        <x:f>IFERROR(F100/H100,0)-IFERROR(G100/I100,0)</x:f>
        <x:v>-0.15</x:v>
      </x:c>
      <x:c r="AB100" s="28" t="n">
        <x:f>J100-K100</x:f>
        <x:v>-8</x:v>
      </x:c>
      <x:c r="AC100" s="32" t="n">
        <x:f>F100-G100</x:f>
        <x:v>-3</x:v>
      </x:c>
    </x:row>
    <x:row r="101">
      <x:c r="A101" s="4" t="str">
        <x:v>2021-22</x:v>
      </x:c>
      <x:c r="B101" s="20" t="n">
        <x:v>44458</x:v>
      </x:c>
      <x:c r="C101" s="4" t="str">
        <x:v>West Ham</x:v>
      </x:c>
      <x:c r="D101" s="4" t="str">
        <x:v>Man United</x:v>
      </x:c>
      <x:c r="E101" s="4" t="str">
        <x:v>Home</x:v>
      </x:c>
      <x:c r="F101" s="28" t="n">
        <x:v>1</x:v>
      </x:c>
      <x:c r="G101" s="28" t="n">
        <x:v>2</x:v>
      </x:c>
      <x:c r="H101" s="28" t="n">
        <x:v>13</x:v>
      </x:c>
      <x:c r="I101" s="28" t="n">
        <x:v>17</x:v>
      </x:c>
      <x:c r="J101" s="28" t="n">
        <x:v>4</x:v>
      </x:c>
      <x:c r="K101" s="28" t="n">
        <x:v>10</x:v>
      </x:c>
      <x:c r="L101" s="28" t="n">
        <x:v>2</x:v>
      </x:c>
      <x:c r="M101" s="28" t="n">
        <x:v>11</x:v>
      </x:c>
      <x:c r="N101" s="28" t="n">
        <x:v>0</x:v>
      </x:c>
      <x:c r="O101" s="28" t="n">
        <x:v>0</x:v>
      </x:c>
      <x:c r="P101" s="28" t="n">
        <x:v>0</x:v>
      </x:c>
      <x:c r="Q101" s="24" t="n">
        <x:f>IFERROR(J101/H101,0)</x:f>
        <x:v>0.3076923076923077</x:v>
      </x:c>
      <x:c r="R101" s="24" t="n">
        <x:f>IFERROR(F101/H101,0)</x:f>
        <x:v>0.07692307692307693</x:v>
      </x:c>
      <x:c r="S101" s="24" t="n">
        <x:f>IFERROR(F101/J101,0)</x:f>
        <x:v>0.25</x:v>
      </x:c>
      <x:c r="T101" s="28" t="n">
        <x:f>H101-I101</x:f>
        <x:v>-4</x:v>
      </x:c>
      <x:c r="U101" s="24" t="n">
        <x:f>IFERROR(J101/H101,0)-IFERROR(K101/I101,0)</x:f>
        <x:v>-0.28054298642533937</x:v>
      </x:c>
      <x:c r="V101" s="24" t="n">
        <x:f>IFERROR(F101/J101,0)-IFERROR(G101/K101,0)</x:f>
        <x:v>0.04999999999999999</x:v>
      </x:c>
      <x:c r="W101" s="28" t="n">
        <x:f>L101-M101</x:f>
        <x:v>-9</x:v>
      </x:c>
      <x:c r="X101" s="24" t="n">
        <x:f>IFERROR(K101/I101,0)</x:f>
        <x:v>0.5882352941176471</x:v>
      </x:c>
      <x:c r="Y101" s="24" t="n">
        <x:f>IFERROR(G101/I101,0)</x:f>
        <x:v>0.11764705882352941</x:v>
      </x:c>
      <x:c r="Z101" s="24" t="n">
        <x:f>IFERROR(G101/K101,0)</x:f>
        <x:v>0.2</x:v>
      </x:c>
      <x:c r="AA101" s="24" t="n">
        <x:f>IFERROR(F101/H101,0)-IFERROR(G101/I101,0)</x:f>
        <x:v>-0.04072398190045248</x:v>
      </x:c>
      <x:c r="AB101" s="28" t="n">
        <x:f>J101-K101</x:f>
        <x:v>-6</x:v>
      </x:c>
      <x:c r="AC101" s="32" t="n">
        <x:f>F101-G101</x:f>
        <x:v>-1</x:v>
      </x:c>
    </x:row>
    <x:row r="102">
      <x:c r="A102" s="4" t="str">
        <x:v>2021-22</x:v>
      </x:c>
      <x:c r="B102" s="20" t="n">
        <x:v>44464</x:v>
      </x:c>
      <x:c r="C102" s="4" t="str">
        <x:v>Aston Villa</x:v>
      </x:c>
      <x:c r="D102" s="4" t="str">
        <x:v>Man United</x:v>
      </x:c>
      <x:c r="E102" s="4" t="str">
        <x:v>Away</x:v>
      </x:c>
      <x:c r="F102" s="28" t="n">
        <x:v>1</x:v>
      </x:c>
      <x:c r="G102" s="28" t="n">
        <x:v>0</x:v>
      </x:c>
      <x:c r="H102" s="28" t="n">
        <x:v>7</x:v>
      </x:c>
      <x:c r="I102" s="28" t="n">
        <x:v>28</x:v>
      </x:c>
      <x:c r="J102" s="28" t="n">
        <x:v>3</x:v>
      </x:c>
      <x:c r="K102" s="28" t="n">
        <x:v>4</x:v>
      </x:c>
      <x:c r="L102" s="28" t="n">
        <x:v>5</x:v>
      </x:c>
      <x:c r="M102" s="28" t="n">
        <x:v>5</x:v>
      </x:c>
      <x:c r="N102" s="28" t="n">
        <x:v>2</x:v>
      </x:c>
      <x:c r="O102" s="28" t="n">
        <x:v>0</x:v>
      </x:c>
      <x:c r="P102" s="28" t="n">
        <x:v>3</x:v>
      </x:c>
      <x:c r="Q102" s="24" t="n">
        <x:f>IFERROR(J102/H102,0)</x:f>
        <x:v>0.42857142857142855</x:v>
      </x:c>
      <x:c r="R102" s="24" t="n">
        <x:f>IFERROR(F102/H102,0)</x:f>
        <x:v>0.14285714285714285</x:v>
      </x:c>
      <x:c r="S102" s="24" t="n">
        <x:f>IFERROR(F102/J102,0)</x:f>
        <x:v>0.3333333333333333</x:v>
      </x:c>
      <x:c r="T102" s="28" t="n">
        <x:f>H102-I102</x:f>
        <x:v>-21</x:v>
      </x:c>
      <x:c r="U102" s="24" t="n">
        <x:f>IFERROR(J102/H102,0)-IFERROR(K102/I102,0)</x:f>
        <x:v>0.2857142857142857</x:v>
      </x:c>
      <x:c r="V102" s="24" t="n">
        <x:f>IFERROR(F102/J102,0)-IFERROR(G102/K102,0)</x:f>
        <x:v>0.3333333333333333</x:v>
      </x:c>
      <x:c r="W102" s="28" t="n">
        <x:f>L102-M102</x:f>
        <x:v>0</x:v>
      </x:c>
      <x:c r="X102" s="24" t="n">
        <x:f>IFERROR(K102/I102,0)</x:f>
        <x:v>0.14285714285714285</x:v>
      </x:c>
      <x:c r="Y102" s="24" t="n">
        <x:f>IFERROR(G102/I102,0)</x:f>
        <x:v>0</x:v>
      </x:c>
      <x:c r="Z102" s="24" t="n">
        <x:f>IFERROR(G102/K102,0)</x:f>
        <x:v>0</x:v>
      </x:c>
      <x:c r="AA102" s="24" t="n">
        <x:f>IFERROR(F102/H102,0)-IFERROR(G102/I102,0)</x:f>
        <x:v>0.14285714285714285</x:v>
      </x:c>
      <x:c r="AB102" s="28" t="n">
        <x:f>J102-K102</x:f>
        <x:v>-1</x:v>
      </x:c>
      <x:c r="AC102" s="32" t="n">
        <x:f>F102-G102</x:f>
        <x:v>1</x:v>
      </x:c>
    </x:row>
    <x:row r="103">
      <x:c r="A103" s="4" t="str">
        <x:v>2021-22</x:v>
      </x:c>
      <x:c r="B103" s="20" t="n">
        <x:v>44464</x:v>
      </x:c>
      <x:c r="C103" s="4" t="str">
        <x:v>Brentford</x:v>
      </x:c>
      <x:c r="D103" s="4" t="str">
        <x:v>Liverpool</x:v>
      </x:c>
      <x:c r="E103" s="4" t="str">
        <x:v>Home</x:v>
      </x:c>
      <x:c r="F103" s="28" t="n">
        <x:v>3</x:v>
      </x:c>
      <x:c r="G103" s="28" t="n">
        <x:v>3</x:v>
      </x:c>
      <x:c r="H103" s="28" t="n">
        <x:v>12</x:v>
      </x:c>
      <x:c r="I103" s="28" t="n">
        <x:v>16</x:v>
      </x:c>
      <x:c r="J103" s="28" t="n">
        <x:v>4</x:v>
      </x:c>
      <x:c r="K103" s="28" t="n">
        <x:v>6</x:v>
      </x:c>
      <x:c r="L103" s="28" t="n">
        <x:v>2</x:v>
      </x:c>
      <x:c r="M103" s="28" t="n">
        <x:v>11</x:v>
      </x:c>
      <x:c r="N103" s="28" t="n">
        <x:v>1</x:v>
      </x:c>
      <x:c r="O103" s="28" t="n">
        <x:v>0</x:v>
      </x:c>
      <x:c r="P103" s="28" t="n">
        <x:v>1</x:v>
      </x:c>
      <x:c r="Q103" s="24" t="n">
        <x:f>IFERROR(J103/H103,0)</x:f>
        <x:v>0.3333333333333333</x:v>
      </x:c>
      <x:c r="R103" s="24" t="n">
        <x:f>IFERROR(F103/H103,0)</x:f>
        <x:v>0.25</x:v>
      </x:c>
      <x:c r="S103" s="24" t="n">
        <x:f>IFERROR(F103/J103,0)</x:f>
        <x:v>0.75</x:v>
      </x:c>
      <x:c r="T103" s="28" t="n">
        <x:f>H103-I103</x:f>
        <x:v>-4</x:v>
      </x:c>
      <x:c r="U103" s="24" t="n">
        <x:f>IFERROR(J103/H103,0)-IFERROR(K103/I103,0)</x:f>
        <x:v>-0.041666666666666685</x:v>
      </x:c>
      <x:c r="V103" s="24" t="n">
        <x:f>IFERROR(F103/J103,0)-IFERROR(G103/K103,0)</x:f>
        <x:v>0.25</x:v>
      </x:c>
      <x:c r="W103" s="28" t="n">
        <x:f>L103-M103</x:f>
        <x:v>-9</x:v>
      </x:c>
      <x:c r="X103" s="24" t="n">
        <x:f>IFERROR(K103/I103,0)</x:f>
        <x:v>0.375</x:v>
      </x:c>
      <x:c r="Y103" s="24" t="n">
        <x:f>IFERROR(G103/I103,0)</x:f>
        <x:v>0.1875</x:v>
      </x:c>
      <x:c r="Z103" s="24" t="n">
        <x:f>IFERROR(G103/K103,0)</x:f>
        <x:v>0.5</x:v>
      </x:c>
      <x:c r="AA103" s="24" t="n">
        <x:f>IFERROR(F103/H103,0)-IFERROR(G103/I103,0)</x:f>
        <x:v>0.0625</x:v>
      </x:c>
      <x:c r="AB103" s="28" t="n">
        <x:f>J103-K103</x:f>
        <x:v>-2</x:v>
      </x:c>
      <x:c r="AC103" s="32" t="n">
        <x:f>F103-G103</x:f>
        <x:v>0</x:v>
      </x:c>
    </x:row>
    <x:row r="104">
      <x:c r="A104" s="4" t="str">
        <x:v>2021-22</x:v>
      </x:c>
      <x:c r="B104" s="20" t="n">
        <x:v>44464</x:v>
      </x:c>
      <x:c r="C104" s="4" t="str">
        <x:v>Burnley</x:v>
      </x:c>
      <x:c r="D104" s="4" t="str">
        <x:v>Leicester</x:v>
      </x:c>
      <x:c r="E104" s="4" t="str">
        <x:v>Away</x:v>
      </x:c>
      <x:c r="F104" s="28" t="n">
        <x:v>2</x:v>
      </x:c>
      <x:c r="G104" s="28" t="n">
        <x:v>2</x:v>
      </x:c>
      <x:c r="H104" s="28" t="n">
        <x:v>9</x:v>
      </x:c>
      <x:c r="I104" s="28" t="n">
        <x:v>22</x:v>
      </x:c>
      <x:c r="J104" s="28" t="n">
        <x:v>3</x:v>
      </x:c>
      <x:c r="K104" s="28" t="n">
        <x:v>5</x:v>
      </x:c>
      <x:c r="L104" s="28" t="n">
        <x:v>4</x:v>
      </x:c>
      <x:c r="M104" s="28" t="n">
        <x:v>8</x:v>
      </x:c>
      <x:c r="N104" s="28" t="n">
        <x:v>4</x:v>
      </x:c>
      <x:c r="O104" s="28" t="n">
        <x:v>0</x:v>
      </x:c>
      <x:c r="P104" s="28" t="n">
        <x:v>1</x:v>
      </x:c>
      <x:c r="Q104" s="24" t="n">
        <x:f>IFERROR(J104/H104,0)</x:f>
        <x:v>0.3333333333333333</x:v>
      </x:c>
      <x:c r="R104" s="24" t="n">
        <x:f>IFERROR(F104/H104,0)</x:f>
        <x:v>0.2222222222222222</x:v>
      </x:c>
      <x:c r="S104" s="24" t="n">
        <x:f>IFERROR(F104/J104,0)</x:f>
        <x:v>0.6666666666666666</x:v>
      </x:c>
      <x:c r="T104" s="28" t="n">
        <x:f>H104-I104</x:f>
        <x:v>-13</x:v>
      </x:c>
      <x:c r="U104" s="24" t="n">
        <x:f>IFERROR(J104/H104,0)-IFERROR(K104/I104,0)</x:f>
        <x:v>0.10606060606060605</x:v>
      </x:c>
      <x:c r="V104" s="24" t="n">
        <x:f>IFERROR(F104/J104,0)-IFERROR(G104/K104,0)</x:f>
        <x:v>0.2666666666666666</x:v>
      </x:c>
      <x:c r="W104" s="28" t="n">
        <x:f>L104-M104</x:f>
        <x:v>-4</x:v>
      </x:c>
      <x:c r="X104" s="24" t="n">
        <x:f>IFERROR(K104/I104,0)</x:f>
        <x:v>0.22727272727272727</x:v>
      </x:c>
      <x:c r="Y104" s="24" t="n">
        <x:f>IFERROR(G104/I104,0)</x:f>
        <x:v>0.09090909090909091</x:v>
      </x:c>
      <x:c r="Z104" s="24" t="n">
        <x:f>IFERROR(G104/K104,0)</x:f>
        <x:v>0.4</x:v>
      </x:c>
      <x:c r="AA104" s="24" t="n">
        <x:f>IFERROR(F104/H104,0)-IFERROR(G104/I104,0)</x:f>
        <x:v>0.1313131313131313</x:v>
      </x:c>
      <x:c r="AB104" s="28" t="n">
        <x:f>J104-K104</x:f>
        <x:v>-2</x:v>
      </x:c>
      <x:c r="AC104" s="32" t="n">
        <x:f>F104-G104</x:f>
        <x:v>0</x:v>
      </x:c>
    </x:row>
    <x:row r="105">
      <x:c r="A105" s="4" t="str">
        <x:v>2021-22</x:v>
      </x:c>
      <x:c r="B105" s="20" t="n">
        <x:v>44464</x:v>
      </x:c>
      <x:c r="C105" s="4" t="str">
        <x:v>Chelsea</x:v>
      </x:c>
      <x:c r="D105" s="4" t="str">
        <x:v>Man City</x:v>
      </x:c>
      <x:c r="E105" s="4" t="str">
        <x:v>Home</x:v>
      </x:c>
      <x:c r="F105" s="28" t="n">
        <x:v>0</x:v>
      </x:c>
      <x:c r="G105" s="28" t="n">
        <x:v>1</x:v>
      </x:c>
      <x:c r="H105" s="28" t="n">
        <x:v>5</x:v>
      </x:c>
      <x:c r="I105" s="28" t="n">
        <x:v>15</x:v>
      </x:c>
      <x:c r="J105" s="28" t="n">
        <x:v>0</x:v>
      </x:c>
      <x:c r="K105" s="28" t="n">
        <x:v>4</x:v>
      </x:c>
      <x:c r="L105" s="28" t="n">
        <x:v>4</x:v>
      </x:c>
      <x:c r="M105" s="28" t="n">
        <x:v>13</x:v>
      </x:c>
      <x:c r="N105" s="28" t="n">
        <x:v>3</x:v>
      </x:c>
      <x:c r="O105" s="28" t="n">
        <x:v>0</x:v>
      </x:c>
      <x:c r="P105" s="28" t="n">
        <x:v>0</x:v>
      </x:c>
      <x:c r="Q105" s="24" t="n">
        <x:f>IFERROR(J105/H105,0)</x:f>
        <x:v>0</x:v>
      </x:c>
      <x:c r="R105" s="24" t="n">
        <x:f>IFERROR(F105/H105,0)</x:f>
        <x:v>0</x:v>
      </x:c>
      <x:c r="S105" s="24" t="n">
        <x:f>IFERROR(F105/J105,0)</x:f>
        <x:v>0</x:v>
      </x:c>
      <x:c r="T105" s="28" t="n">
        <x:f>H105-I105</x:f>
        <x:v>-10</x:v>
      </x:c>
      <x:c r="U105" s="24" t="n">
        <x:f>IFERROR(J105/H105,0)-IFERROR(K105/I105,0)</x:f>
        <x:v>-0.26666666666666666</x:v>
      </x:c>
      <x:c r="V105" s="24" t="n">
        <x:f>IFERROR(F105/J105,0)-IFERROR(G105/K105,0)</x:f>
        <x:v>-0.25</x:v>
      </x:c>
      <x:c r="W105" s="28" t="n">
        <x:f>L105-M105</x:f>
        <x:v>-9</x:v>
      </x:c>
      <x:c r="X105" s="24" t="n">
        <x:f>IFERROR(K105/I105,0)</x:f>
        <x:v>0.26666666666666666</x:v>
      </x:c>
      <x:c r="Y105" s="24" t="n">
        <x:f>IFERROR(G105/I105,0)</x:f>
        <x:v>0.06666666666666667</x:v>
      </x:c>
      <x:c r="Z105" s="24" t="n">
        <x:f>IFERROR(G105/K105,0)</x:f>
        <x:v>0.25</x:v>
      </x:c>
      <x:c r="AA105" s="24" t="n">
        <x:f>IFERROR(F105/H105,0)-IFERROR(G105/I105,0)</x:f>
        <x:v>-0.06666666666666667</x:v>
      </x:c>
      <x:c r="AB105" s="28" t="n">
        <x:f>J105-K105</x:f>
        <x:v>-4</x:v>
      </x:c>
      <x:c r="AC105" s="32" t="n">
        <x:f>F105-G105</x:f>
        <x:v>-1</x:v>
      </x:c>
    </x:row>
    <x:row r="106">
      <x:c r="A106" s="4" t="str">
        <x:v>2021-22</x:v>
      </x:c>
      <x:c r="B106" s="20" t="n">
        <x:v>44464</x:v>
      </x:c>
      <x:c r="C106" s="4" t="str">
        <x:v>Everton</x:v>
      </x:c>
      <x:c r="D106" s="4" t="str">
        <x:v>Norwich</x:v>
      </x:c>
      <x:c r="E106" s="4" t="str">
        <x:v>Home</x:v>
      </x:c>
      <x:c r="F106" s="28" t="n">
        <x:v>2</x:v>
      </x:c>
      <x:c r="G106" s="28" t="n">
        <x:v>0</x:v>
      </x:c>
      <x:c r="H106" s="28" t="n">
        <x:v>11</x:v>
      </x:c>
      <x:c r="I106" s="28" t="n">
        <x:v>10</x:v>
      </x:c>
      <x:c r="J106" s="28" t="n">
        <x:v>4</x:v>
      </x:c>
      <x:c r="K106" s="28" t="n">
        <x:v>2</x:v>
      </x:c>
      <x:c r="L106" s="28" t="n">
        <x:v>6</x:v>
      </x:c>
      <x:c r="M106" s="28" t="n">
        <x:v>4</x:v>
      </x:c>
      <x:c r="N106" s="28" t="n">
        <x:v>2</x:v>
      </x:c>
      <x:c r="O106" s="28" t="n">
        <x:v>0</x:v>
      </x:c>
      <x:c r="P106" s="28" t="n">
        <x:v>3</x:v>
      </x:c>
      <x:c r="Q106" s="24" t="n">
        <x:f>IFERROR(J106/H106,0)</x:f>
        <x:v>0.36363636363636365</x:v>
      </x:c>
      <x:c r="R106" s="24" t="n">
        <x:f>IFERROR(F106/H106,0)</x:f>
        <x:v>0.18181818181818182</x:v>
      </x:c>
      <x:c r="S106" s="24" t="n">
        <x:f>IFERROR(F106/J106,0)</x:f>
        <x:v>0.5</x:v>
      </x:c>
      <x:c r="T106" s="28" t="n">
        <x:f>H106-I106</x:f>
        <x:v>1</x:v>
      </x:c>
      <x:c r="U106" s="24" t="n">
        <x:f>IFERROR(J106/H106,0)-IFERROR(K106/I106,0)</x:f>
        <x:v>0.16363636363636364</x:v>
      </x:c>
      <x:c r="V106" s="24" t="n">
        <x:f>IFERROR(F106/J106,0)-IFERROR(G106/K106,0)</x:f>
        <x:v>0.5</x:v>
      </x:c>
      <x:c r="W106" s="28" t="n">
        <x:f>L106-M106</x:f>
        <x:v>2</x:v>
      </x:c>
      <x:c r="X106" s="24" t="n">
        <x:f>IFERROR(K106/I106,0)</x:f>
        <x:v>0.2</x:v>
      </x:c>
      <x:c r="Y106" s="24" t="n">
        <x:f>IFERROR(G106/I106,0)</x:f>
        <x:v>0</x:v>
      </x:c>
      <x:c r="Z106" s="24" t="n">
        <x:f>IFERROR(G106/K106,0)</x:f>
        <x:v>0</x:v>
      </x:c>
      <x:c r="AA106" s="24" t="n">
        <x:f>IFERROR(F106/H106,0)-IFERROR(G106/I106,0)</x:f>
        <x:v>0.18181818181818182</x:v>
      </x:c>
      <x:c r="AB106" s="28" t="n">
        <x:f>J106-K106</x:f>
        <x:v>2</x:v>
      </x:c>
      <x:c r="AC106" s="32" t="n">
        <x:f>F106-G106</x:f>
        <x:v>2</x:v>
      </x:c>
    </x:row>
    <x:row r="107">
      <x:c r="A107" s="4" t="str">
        <x:v>2021-22</x:v>
      </x:c>
      <x:c r="B107" s="20" t="n">
        <x:v>44464</x:v>
      </x:c>
      <x:c r="C107" s="4" t="str">
        <x:v>Leeds</x:v>
      </x:c>
      <x:c r="D107" s="4" t="str">
        <x:v>West Ham</x:v>
      </x:c>
      <x:c r="E107" s="4" t="str">
        <x:v>Home</x:v>
      </x:c>
      <x:c r="F107" s="28" t="n">
        <x:v>1</x:v>
      </x:c>
      <x:c r="G107" s="28" t="n">
        <x:v>2</x:v>
      </x:c>
      <x:c r="H107" s="28" t="n">
        <x:v>15</x:v>
      </x:c>
      <x:c r="I107" s="28" t="n">
        <x:v>20</x:v>
      </x:c>
      <x:c r="J107" s="28" t="n">
        <x:v>5</x:v>
      </x:c>
      <x:c r="K107" s="28" t="n">
        <x:v>7</x:v>
      </x:c>
      <x:c r="L107" s="28" t="n">
        <x:v>5</x:v>
      </x:c>
      <x:c r="M107" s="28" t="n">
        <x:v>7</x:v>
      </x:c>
      <x:c r="N107" s="28" t="n">
        <x:v>3</x:v>
      </x:c>
      <x:c r="O107" s="28" t="n">
        <x:v>0</x:v>
      </x:c>
      <x:c r="P107" s="28" t="n">
        <x:v>0</x:v>
      </x:c>
      <x:c r="Q107" s="24" t="n">
        <x:f>IFERROR(J107/H107,0)</x:f>
        <x:v>0.3333333333333333</x:v>
      </x:c>
      <x:c r="R107" s="24" t="n">
        <x:f>IFERROR(F107/H107,0)</x:f>
        <x:v>0.06666666666666667</x:v>
      </x:c>
      <x:c r="S107" s="24" t="n">
        <x:f>IFERROR(F107/J107,0)</x:f>
        <x:v>0.2</x:v>
      </x:c>
      <x:c r="T107" s="28" t="n">
        <x:f>H107-I107</x:f>
        <x:v>-5</x:v>
      </x:c>
      <x:c r="U107" s="24" t="n">
        <x:f>IFERROR(J107/H107,0)-IFERROR(K107/I107,0)</x:f>
        <x:v>-0.016666666666666663</x:v>
      </x:c>
      <x:c r="V107" s="24" t="n">
        <x:f>IFERROR(F107/J107,0)-IFERROR(G107/K107,0)</x:f>
        <x:v>-0.08571428571428569</x:v>
      </x:c>
      <x:c r="W107" s="28" t="n">
        <x:f>L107-M107</x:f>
        <x:v>-2</x:v>
      </x:c>
      <x:c r="X107" s="24" t="n">
        <x:f>IFERROR(K107/I107,0)</x:f>
        <x:v>0.35</x:v>
      </x:c>
      <x:c r="Y107" s="24" t="n">
        <x:f>IFERROR(G107/I107,0)</x:f>
        <x:v>0.1</x:v>
      </x:c>
      <x:c r="Z107" s="24" t="n">
        <x:f>IFERROR(G107/K107,0)</x:f>
        <x:v>0.2857142857142857</x:v>
      </x:c>
      <x:c r="AA107" s="24" t="n">
        <x:f>IFERROR(F107/H107,0)-IFERROR(G107/I107,0)</x:f>
        <x:v>-0.03333333333333334</x:v>
      </x:c>
      <x:c r="AB107" s="28" t="n">
        <x:f>J107-K107</x:f>
        <x:v>-2</x:v>
      </x:c>
      <x:c r="AC107" s="32" t="n">
        <x:f>F107-G107</x:f>
        <x:v>-1</x:v>
      </x:c>
    </x:row>
    <x:row r="108">
      <x:c r="A108" s="4" t="str">
        <x:v>2021-22</x:v>
      </x:c>
      <x:c r="B108" s="20" t="n">
        <x:v>44464</x:v>
      </x:c>
      <x:c r="C108" s="4" t="str">
        <x:v>Leicester</x:v>
      </x:c>
      <x:c r="D108" s="4" t="str">
        <x:v>Burnley</x:v>
      </x:c>
      <x:c r="E108" s="4" t="str">
        <x:v>Home</x:v>
      </x:c>
      <x:c r="F108" s="28" t="n">
        <x:v>2</x:v>
      </x:c>
      <x:c r="G108" s="28" t="n">
        <x:v>2</x:v>
      </x:c>
      <x:c r="H108" s="28" t="n">
        <x:v>22</x:v>
      </x:c>
      <x:c r="I108" s="28" t="n">
        <x:v>9</x:v>
      </x:c>
      <x:c r="J108" s="28" t="n">
        <x:v>5</x:v>
      </x:c>
      <x:c r="K108" s="28" t="n">
        <x:v>3</x:v>
      </x:c>
      <x:c r="L108" s="28" t="n">
        <x:v>8</x:v>
      </x:c>
      <x:c r="M108" s="28" t="n">
        <x:v>4</x:v>
      </x:c>
      <x:c r="N108" s="28" t="n">
        <x:v>2</x:v>
      </x:c>
      <x:c r="O108" s="28" t="n">
        <x:v>0</x:v>
      </x:c>
      <x:c r="P108" s="28" t="n">
        <x:v>1</x:v>
      </x:c>
      <x:c r="Q108" s="24" t="n">
        <x:f>IFERROR(J108/H108,0)</x:f>
        <x:v>0.22727272727272727</x:v>
      </x:c>
      <x:c r="R108" s="24" t="n">
        <x:f>IFERROR(F108/H108,0)</x:f>
        <x:v>0.09090909090909091</x:v>
      </x:c>
      <x:c r="S108" s="24" t="n">
        <x:f>IFERROR(F108/J108,0)</x:f>
        <x:v>0.4</x:v>
      </x:c>
      <x:c r="T108" s="28" t="n">
        <x:f>H108-I108</x:f>
        <x:v>13</x:v>
      </x:c>
      <x:c r="U108" s="24" t="n">
        <x:f>IFERROR(J108/H108,0)-IFERROR(K108/I108,0)</x:f>
        <x:v>-0.10606060606060605</x:v>
      </x:c>
      <x:c r="V108" s="24" t="n">
        <x:f>IFERROR(F108/J108,0)-IFERROR(G108/K108,0)</x:f>
        <x:v>-0.2666666666666666</x:v>
      </x:c>
      <x:c r="W108" s="28" t="n">
        <x:f>L108-M108</x:f>
        <x:v>4</x:v>
      </x:c>
      <x:c r="X108" s="24" t="n">
        <x:f>IFERROR(K108/I108,0)</x:f>
        <x:v>0.3333333333333333</x:v>
      </x:c>
      <x:c r="Y108" s="24" t="n">
        <x:f>IFERROR(G108/I108,0)</x:f>
        <x:v>0.2222222222222222</x:v>
      </x:c>
      <x:c r="Z108" s="24" t="n">
        <x:f>IFERROR(G108/K108,0)</x:f>
        <x:v>0.6666666666666666</x:v>
      </x:c>
      <x:c r="AA108" s="24" t="n">
        <x:f>IFERROR(F108/H108,0)-IFERROR(G108/I108,0)</x:f>
        <x:v>-0.1313131313131313</x:v>
      </x:c>
      <x:c r="AB108" s="28" t="n">
        <x:f>J108-K108</x:f>
        <x:v>2</x:v>
      </x:c>
      <x:c r="AC108" s="32" t="n">
        <x:f>F108-G108</x:f>
        <x:v>0</x:v>
      </x:c>
    </x:row>
    <x:row r="109">
      <x:c r="A109" s="4" t="str">
        <x:v>2021-22</x:v>
      </x:c>
      <x:c r="B109" s="20" t="n">
        <x:v>44464</x:v>
      </x:c>
      <x:c r="C109" s="4" t="str">
        <x:v>Liverpool</x:v>
      </x:c>
      <x:c r="D109" s="4" t="str">
        <x:v>Brentford</x:v>
      </x:c>
      <x:c r="E109" s="4" t="str">
        <x:v>Away</x:v>
      </x:c>
      <x:c r="F109" s="28" t="n">
        <x:v>3</x:v>
      </x:c>
      <x:c r="G109" s="28" t="n">
        <x:v>3</x:v>
      </x:c>
      <x:c r="H109" s="28" t="n">
        <x:v>16</x:v>
      </x:c>
      <x:c r="I109" s="28" t="n">
        <x:v>12</x:v>
      </x:c>
      <x:c r="J109" s="28" t="n">
        <x:v>6</x:v>
      </x:c>
      <x:c r="K109" s="28" t="n">
        <x:v>4</x:v>
      </x:c>
      <x:c r="L109" s="28" t="n">
        <x:v>11</x:v>
      </x:c>
      <x:c r="M109" s="28" t="n">
        <x:v>2</x:v>
      </x:c>
      <x:c r="N109" s="28" t="n">
        <x:v>1</x:v>
      </x:c>
      <x:c r="O109" s="28" t="n">
        <x:v>0</x:v>
      </x:c>
      <x:c r="P109" s="28" t="n">
        <x:v>1</x:v>
      </x:c>
      <x:c r="Q109" s="24" t="n">
        <x:f>IFERROR(J109/H109,0)</x:f>
        <x:v>0.375</x:v>
      </x:c>
      <x:c r="R109" s="24" t="n">
        <x:f>IFERROR(F109/H109,0)</x:f>
        <x:v>0.1875</x:v>
      </x:c>
      <x:c r="S109" s="24" t="n">
        <x:f>IFERROR(F109/J109,0)</x:f>
        <x:v>0.5</x:v>
      </x:c>
      <x:c r="T109" s="28" t="n">
        <x:f>H109-I109</x:f>
        <x:v>4</x:v>
      </x:c>
      <x:c r="U109" s="24" t="n">
        <x:f>IFERROR(J109/H109,0)-IFERROR(K109/I109,0)</x:f>
        <x:v>0.041666666666666685</x:v>
      </x:c>
      <x:c r="V109" s="24" t="n">
        <x:f>IFERROR(F109/J109,0)-IFERROR(G109/K109,0)</x:f>
        <x:v>-0.25</x:v>
      </x:c>
      <x:c r="W109" s="28" t="n">
        <x:f>L109-M109</x:f>
        <x:v>9</x:v>
      </x:c>
      <x:c r="X109" s="24" t="n">
        <x:f>IFERROR(K109/I109,0)</x:f>
        <x:v>0.3333333333333333</x:v>
      </x:c>
      <x:c r="Y109" s="24" t="n">
        <x:f>IFERROR(G109/I109,0)</x:f>
        <x:v>0.25</x:v>
      </x:c>
      <x:c r="Z109" s="24" t="n">
        <x:f>IFERROR(G109/K109,0)</x:f>
        <x:v>0.75</x:v>
      </x:c>
      <x:c r="AA109" s="24" t="n">
        <x:f>IFERROR(F109/H109,0)-IFERROR(G109/I109,0)</x:f>
        <x:v>-0.0625</x:v>
      </x:c>
      <x:c r="AB109" s="28" t="n">
        <x:f>J109-K109</x:f>
        <x:v>2</x:v>
      </x:c>
      <x:c r="AC109" s="32" t="n">
        <x:f>F109-G109</x:f>
        <x:v>0</x:v>
      </x:c>
    </x:row>
    <x:row r="110">
      <x:c r="A110" s="4" t="str">
        <x:v>2021-22</x:v>
      </x:c>
      <x:c r="B110" s="20" t="n">
        <x:v>44464</x:v>
      </x:c>
      <x:c r="C110" s="4" t="str">
        <x:v>Man City</x:v>
      </x:c>
      <x:c r="D110" s="4" t="str">
        <x:v>Chelsea</x:v>
      </x:c>
      <x:c r="E110" s="4" t="str">
        <x:v>Away</x:v>
      </x:c>
      <x:c r="F110" s="28" t="n">
        <x:v>1</x:v>
      </x:c>
      <x:c r="G110" s="28" t="n">
        <x:v>0</x:v>
      </x:c>
      <x:c r="H110" s="28" t="n">
        <x:v>15</x:v>
      </x:c>
      <x:c r="I110" s="28" t="n">
        <x:v>5</x:v>
      </x:c>
      <x:c r="J110" s="28" t="n">
        <x:v>4</x:v>
      </x:c>
      <x:c r="K110" s="28" t="n">
        <x:v>0</x:v>
      </x:c>
      <x:c r="L110" s="28" t="n">
        <x:v>13</x:v>
      </x:c>
      <x:c r="M110" s="28" t="n">
        <x:v>4</x:v>
      </x:c>
      <x:c r="N110" s="28" t="n">
        <x:v>2</x:v>
      </x:c>
      <x:c r="O110" s="28" t="n">
        <x:v>0</x:v>
      </x:c>
      <x:c r="P110" s="28" t="n">
        <x:v>3</x:v>
      </x:c>
      <x:c r="Q110" s="24" t="n">
        <x:f>IFERROR(J110/H110,0)</x:f>
        <x:v>0.26666666666666666</x:v>
      </x:c>
      <x:c r="R110" s="24" t="n">
        <x:f>IFERROR(F110/H110,0)</x:f>
        <x:v>0.06666666666666667</x:v>
      </x:c>
      <x:c r="S110" s="24" t="n">
        <x:f>IFERROR(F110/J110,0)</x:f>
        <x:v>0.25</x:v>
      </x:c>
      <x:c r="T110" s="28" t="n">
        <x:f>H110-I110</x:f>
        <x:v>10</x:v>
      </x:c>
      <x:c r="U110" s="24" t="n">
        <x:f>IFERROR(J110/H110,0)-IFERROR(K110/I110,0)</x:f>
        <x:v>0.26666666666666666</x:v>
      </x:c>
      <x:c r="V110" s="24" t="n">
        <x:f>IFERROR(F110/J110,0)-IFERROR(G110/K110,0)</x:f>
        <x:v>0.25</x:v>
      </x:c>
      <x:c r="W110" s="28" t="n">
        <x:f>L110-M110</x:f>
        <x:v>9</x:v>
      </x:c>
      <x:c r="X110" s="24" t="n">
        <x:f>IFERROR(K110/I110,0)</x:f>
        <x:v>0</x:v>
      </x:c>
      <x:c r="Y110" s="24" t="n">
        <x:f>IFERROR(G110/I110,0)</x:f>
        <x:v>0</x:v>
      </x:c>
      <x:c r="Z110" s="24" t="n">
        <x:f>IFERROR(G110/K110,0)</x:f>
        <x:v>0</x:v>
      </x:c>
      <x:c r="AA110" s="24" t="n">
        <x:f>IFERROR(F110/H110,0)-IFERROR(G110/I110,0)</x:f>
        <x:v>0.06666666666666667</x:v>
      </x:c>
      <x:c r="AB110" s="28" t="n">
        <x:f>J110-K110</x:f>
        <x:v>4</x:v>
      </x:c>
      <x:c r="AC110" s="32" t="n">
        <x:f>F110-G110</x:f>
        <x:v>1</x:v>
      </x:c>
    </x:row>
    <x:row r="111">
      <x:c r="A111" s="4" t="str">
        <x:v>2021-22</x:v>
      </x:c>
      <x:c r="B111" s="20" t="n">
        <x:v>44464</x:v>
      </x:c>
      <x:c r="C111" s="4" t="str">
        <x:v>Man United</x:v>
      </x:c>
      <x:c r="D111" s="4" t="str">
        <x:v>Aston Villa</x:v>
      </x:c>
      <x:c r="E111" s="4" t="str">
        <x:v>Home</x:v>
      </x:c>
      <x:c r="F111" s="28" t="n">
        <x:v>0</x:v>
      </x:c>
      <x:c r="G111" s="28" t="n">
        <x:v>1</x:v>
      </x:c>
      <x:c r="H111" s="28" t="n">
        <x:v>28</x:v>
      </x:c>
      <x:c r="I111" s="28" t="n">
        <x:v>7</x:v>
      </x:c>
      <x:c r="J111" s="28" t="n">
        <x:v>4</x:v>
      </x:c>
      <x:c r="K111" s="28" t="n">
        <x:v>3</x:v>
      </x:c>
      <x:c r="L111" s="28" t="n">
        <x:v>5</x:v>
      </x:c>
      <x:c r="M111" s="28" t="n">
        <x:v>5</x:v>
      </x:c>
      <x:c r="N111" s="28" t="n">
        <x:v>2</x:v>
      </x:c>
      <x:c r="O111" s="28" t="n">
        <x:v>0</x:v>
      </x:c>
      <x:c r="P111" s="28" t="n">
        <x:v>0</x:v>
      </x:c>
      <x:c r="Q111" s="24" t="n">
        <x:f>IFERROR(J111/H111,0)</x:f>
        <x:v>0.14285714285714285</x:v>
      </x:c>
      <x:c r="R111" s="24" t="n">
        <x:f>IFERROR(F111/H111,0)</x:f>
        <x:v>0</x:v>
      </x:c>
      <x:c r="S111" s="24" t="n">
        <x:f>IFERROR(F111/J111,0)</x:f>
        <x:v>0</x:v>
      </x:c>
      <x:c r="T111" s="28" t="n">
        <x:f>H111-I111</x:f>
        <x:v>21</x:v>
      </x:c>
      <x:c r="U111" s="24" t="n">
        <x:f>IFERROR(J111/H111,0)-IFERROR(K111/I111,0)</x:f>
        <x:v>-0.2857142857142857</x:v>
      </x:c>
      <x:c r="V111" s="24" t="n">
        <x:f>IFERROR(F111/J111,0)-IFERROR(G111/K111,0)</x:f>
        <x:v>-0.3333333333333333</x:v>
      </x:c>
      <x:c r="W111" s="28" t="n">
        <x:f>L111-M111</x:f>
        <x:v>0</x:v>
      </x:c>
      <x:c r="X111" s="24" t="n">
        <x:f>IFERROR(K111/I111,0)</x:f>
        <x:v>0.42857142857142855</x:v>
      </x:c>
      <x:c r="Y111" s="24" t="n">
        <x:f>IFERROR(G111/I111,0)</x:f>
        <x:v>0.14285714285714285</x:v>
      </x:c>
      <x:c r="Z111" s="24" t="n">
        <x:f>IFERROR(G111/K111,0)</x:f>
        <x:v>0.3333333333333333</x:v>
      </x:c>
      <x:c r="AA111" s="24" t="n">
        <x:f>IFERROR(F111/H111,0)-IFERROR(G111/I111,0)</x:f>
        <x:v>-0.14285714285714285</x:v>
      </x:c>
      <x:c r="AB111" s="28" t="n">
        <x:f>J111-K111</x:f>
        <x:v>1</x:v>
      </x:c>
      <x:c r="AC111" s="32" t="n">
        <x:f>F111-G111</x:f>
        <x:v>-1</x:v>
      </x:c>
    </x:row>
    <x:row r="112">
      <x:c r="A112" s="4" t="str">
        <x:v>2021-22</x:v>
      </x:c>
      <x:c r="B112" s="20" t="n">
        <x:v>44464</x:v>
      </x:c>
      <x:c r="C112" s="4" t="str">
        <x:v>Newcastle</x:v>
      </x:c>
      <x:c r="D112" s="4" t="str">
        <x:v>Watford</x:v>
      </x:c>
      <x:c r="E112" s="4" t="str">
        <x:v>Away</x:v>
      </x:c>
      <x:c r="F112" s="28" t="n">
        <x:v>1</x:v>
      </x:c>
      <x:c r="G112" s="28" t="n">
        <x:v>1</x:v>
      </x:c>
      <x:c r="H112" s="28" t="n">
        <x:v>20</x:v>
      </x:c>
      <x:c r="I112" s="28" t="n">
        <x:v>15</x:v>
      </x:c>
      <x:c r="J112" s="28" t="n">
        <x:v>6</x:v>
      </x:c>
      <x:c r="K112" s="28" t="n">
        <x:v>4</x:v>
      </x:c>
      <x:c r="L112" s="28" t="n">
        <x:v>6</x:v>
      </x:c>
      <x:c r="M112" s="28" t="n">
        <x:v>5</x:v>
      </x:c>
      <x:c r="N112" s="28" t="n">
        <x:v>3</x:v>
      </x:c>
      <x:c r="O112" s="28" t="n">
        <x:v>0</x:v>
      </x:c>
      <x:c r="P112" s="28" t="n">
        <x:v>1</x:v>
      </x:c>
      <x:c r="Q112" s="24" t="n">
        <x:f>IFERROR(J112/H112,0)</x:f>
        <x:v>0.3</x:v>
      </x:c>
      <x:c r="R112" s="24" t="n">
        <x:f>IFERROR(F112/H112,0)</x:f>
        <x:v>0.05</x:v>
      </x:c>
      <x:c r="S112" s="24" t="n">
        <x:f>IFERROR(F112/J112,0)</x:f>
        <x:v>0.16666666666666666</x:v>
      </x:c>
      <x:c r="T112" s="28" t="n">
        <x:f>H112-I112</x:f>
        <x:v>5</x:v>
      </x:c>
      <x:c r="U112" s="24" t="n">
        <x:f>IFERROR(J112/H112,0)-IFERROR(K112/I112,0)</x:f>
        <x:v>0.033333333333333326</x:v>
      </x:c>
      <x:c r="V112" s="24" t="n">
        <x:f>IFERROR(F112/J112,0)-IFERROR(G112/K112,0)</x:f>
        <x:v>-0.08333333333333334</x:v>
      </x:c>
      <x:c r="W112" s="28" t="n">
        <x:f>L112-M112</x:f>
        <x:v>1</x:v>
      </x:c>
      <x:c r="X112" s="24" t="n">
        <x:f>IFERROR(K112/I112,0)</x:f>
        <x:v>0.26666666666666666</x:v>
      </x:c>
      <x:c r="Y112" s="24" t="n">
        <x:f>IFERROR(G112/I112,0)</x:f>
        <x:v>0.06666666666666667</x:v>
      </x:c>
      <x:c r="Z112" s="24" t="n">
        <x:f>IFERROR(G112/K112,0)</x:f>
        <x:v>0.25</x:v>
      </x:c>
      <x:c r="AA112" s="24" t="n">
        <x:f>IFERROR(F112/H112,0)-IFERROR(G112/I112,0)</x:f>
        <x:v>-0.016666666666666663</x:v>
      </x:c>
      <x:c r="AB112" s="28" t="n">
        <x:f>J112-K112</x:f>
        <x:v>2</x:v>
      </x:c>
      <x:c r="AC112" s="32" t="n">
        <x:f>F112-G112</x:f>
        <x:v>0</x:v>
      </x:c>
    </x:row>
    <x:row r="113">
      <x:c r="A113" s="4" t="str">
        <x:v>2021-22</x:v>
      </x:c>
      <x:c r="B113" s="20" t="n">
        <x:v>44464</x:v>
      </x:c>
      <x:c r="C113" s="4" t="str">
        <x:v>Norwich</x:v>
      </x:c>
      <x:c r="D113" s="4" t="str">
        <x:v>Everton</x:v>
      </x:c>
      <x:c r="E113" s="4" t="str">
        <x:v>Away</x:v>
      </x:c>
      <x:c r="F113" s="28" t="n">
        <x:v>0</x:v>
      </x:c>
      <x:c r="G113" s="28" t="n">
        <x:v>2</x:v>
      </x:c>
      <x:c r="H113" s="28" t="n">
        <x:v>10</x:v>
      </x:c>
      <x:c r="I113" s="28" t="n">
        <x:v>11</x:v>
      </x:c>
      <x:c r="J113" s="28" t="n">
        <x:v>2</x:v>
      </x:c>
      <x:c r="K113" s="28" t="n">
        <x:v>4</x:v>
      </x:c>
      <x:c r="L113" s="28" t="n">
        <x:v>4</x:v>
      </x:c>
      <x:c r="M113" s="28" t="n">
        <x:v>6</x:v>
      </x:c>
      <x:c r="N113" s="28" t="n">
        <x:v>3</x:v>
      </x:c>
      <x:c r="O113" s="28" t="n">
        <x:v>0</x:v>
      </x:c>
      <x:c r="P113" s="28" t="n">
        <x:v>0</x:v>
      </x:c>
      <x:c r="Q113" s="24" t="n">
        <x:f>IFERROR(J113/H113,0)</x:f>
        <x:v>0.2</x:v>
      </x:c>
      <x:c r="R113" s="24" t="n">
        <x:f>IFERROR(F113/H113,0)</x:f>
        <x:v>0</x:v>
      </x:c>
      <x:c r="S113" s="24" t="n">
        <x:f>IFERROR(F113/J113,0)</x:f>
        <x:v>0</x:v>
      </x:c>
      <x:c r="T113" s="28" t="n">
        <x:f>H113-I113</x:f>
        <x:v>-1</x:v>
      </x:c>
      <x:c r="U113" s="24" t="n">
        <x:f>IFERROR(J113/H113,0)-IFERROR(K113/I113,0)</x:f>
        <x:v>-0.16363636363636364</x:v>
      </x:c>
      <x:c r="V113" s="24" t="n">
        <x:f>IFERROR(F113/J113,0)-IFERROR(G113/K113,0)</x:f>
        <x:v>-0.5</x:v>
      </x:c>
      <x:c r="W113" s="28" t="n">
        <x:f>L113-M113</x:f>
        <x:v>-2</x:v>
      </x:c>
      <x:c r="X113" s="24" t="n">
        <x:f>IFERROR(K113/I113,0)</x:f>
        <x:v>0.36363636363636365</x:v>
      </x:c>
      <x:c r="Y113" s="24" t="n">
        <x:f>IFERROR(G113/I113,0)</x:f>
        <x:v>0.18181818181818182</x:v>
      </x:c>
      <x:c r="Z113" s="24" t="n">
        <x:f>IFERROR(G113/K113,0)</x:f>
        <x:v>0.5</x:v>
      </x:c>
      <x:c r="AA113" s="24" t="n">
        <x:f>IFERROR(F113/H113,0)-IFERROR(G113/I113,0)</x:f>
        <x:v>-0.18181818181818182</x:v>
      </x:c>
      <x:c r="AB113" s="28" t="n">
        <x:f>J113-K113</x:f>
        <x:v>-2</x:v>
      </x:c>
      <x:c r="AC113" s="32" t="n">
        <x:f>F113-G113</x:f>
        <x:v>-2</x:v>
      </x:c>
    </x:row>
    <x:row r="114">
      <x:c r="A114" s="4" t="str">
        <x:v>2021-22</x:v>
      </x:c>
      <x:c r="B114" s="20" t="n">
        <x:v>44464</x:v>
      </x:c>
      <x:c r="C114" s="4" t="str">
        <x:v>Watford</x:v>
      </x:c>
      <x:c r="D114" s="4" t="str">
        <x:v>Newcastle</x:v>
      </x:c>
      <x:c r="E114" s="4" t="str">
        <x:v>Home</x:v>
      </x:c>
      <x:c r="F114" s="28" t="n">
        <x:v>1</x:v>
      </x:c>
      <x:c r="G114" s="28" t="n">
        <x:v>1</x:v>
      </x:c>
      <x:c r="H114" s="28" t="n">
        <x:v>15</x:v>
      </x:c>
      <x:c r="I114" s="28" t="n">
        <x:v>20</x:v>
      </x:c>
      <x:c r="J114" s="28" t="n">
        <x:v>4</x:v>
      </x:c>
      <x:c r="K114" s="28" t="n">
        <x:v>6</x:v>
      </x:c>
      <x:c r="L114" s="28" t="n">
        <x:v>5</x:v>
      </x:c>
      <x:c r="M114" s="28" t="n">
        <x:v>6</x:v>
      </x:c>
      <x:c r="N114" s="28" t="n">
        <x:v>4</x:v>
      </x:c>
      <x:c r="O114" s="28" t="n">
        <x:v>0</x:v>
      </x:c>
      <x:c r="P114" s="28" t="n">
        <x:v>1</x:v>
      </x:c>
      <x:c r="Q114" s="24" t="n">
        <x:f>IFERROR(J114/H114,0)</x:f>
        <x:v>0.26666666666666666</x:v>
      </x:c>
      <x:c r="R114" s="24" t="n">
        <x:f>IFERROR(F114/H114,0)</x:f>
        <x:v>0.06666666666666667</x:v>
      </x:c>
      <x:c r="S114" s="24" t="n">
        <x:f>IFERROR(F114/J114,0)</x:f>
        <x:v>0.25</x:v>
      </x:c>
      <x:c r="T114" s="28" t="n">
        <x:f>H114-I114</x:f>
        <x:v>-5</x:v>
      </x:c>
      <x:c r="U114" s="24" t="n">
        <x:f>IFERROR(J114/H114,0)-IFERROR(K114/I114,0)</x:f>
        <x:v>-0.033333333333333326</x:v>
      </x:c>
      <x:c r="V114" s="24" t="n">
        <x:f>IFERROR(F114/J114,0)-IFERROR(G114/K114,0)</x:f>
        <x:v>0.08333333333333334</x:v>
      </x:c>
      <x:c r="W114" s="28" t="n">
        <x:f>L114-M114</x:f>
        <x:v>-1</x:v>
      </x:c>
      <x:c r="X114" s="24" t="n">
        <x:f>IFERROR(K114/I114,0)</x:f>
        <x:v>0.3</x:v>
      </x:c>
      <x:c r="Y114" s="24" t="n">
        <x:f>IFERROR(G114/I114,0)</x:f>
        <x:v>0.05</x:v>
      </x:c>
      <x:c r="Z114" s="24" t="n">
        <x:f>IFERROR(G114/K114,0)</x:f>
        <x:v>0.16666666666666666</x:v>
      </x:c>
      <x:c r="AA114" s="24" t="n">
        <x:f>IFERROR(F114/H114,0)-IFERROR(G114/I114,0)</x:f>
        <x:v>0.016666666666666663</x:v>
      </x:c>
      <x:c r="AB114" s="28" t="n">
        <x:f>J114-K114</x:f>
        <x:v>-2</x:v>
      </x:c>
      <x:c r="AC114" s="32" t="n">
        <x:f>F114-G114</x:f>
        <x:v>0</x:v>
      </x:c>
    </x:row>
    <x:row r="115">
      <x:c r="A115" s="4" t="str">
        <x:v>2021-22</x:v>
      </x:c>
      <x:c r="B115" s="20" t="n">
        <x:v>44464</x:v>
      </x:c>
      <x:c r="C115" s="4" t="str">
        <x:v>West Ham</x:v>
      </x:c>
      <x:c r="D115" s="4" t="str">
        <x:v>Leeds</x:v>
      </x:c>
      <x:c r="E115" s="4" t="str">
        <x:v>Away</x:v>
      </x:c>
      <x:c r="F115" s="28" t="n">
        <x:v>2</x:v>
      </x:c>
      <x:c r="G115" s="28" t="n">
        <x:v>1</x:v>
      </x:c>
      <x:c r="H115" s="28" t="n">
        <x:v>20</x:v>
      </x:c>
      <x:c r="I115" s="28" t="n">
        <x:v>15</x:v>
      </x:c>
      <x:c r="J115" s="28" t="n">
        <x:v>7</x:v>
      </x:c>
      <x:c r="K115" s="28" t="n">
        <x:v>5</x:v>
      </x:c>
      <x:c r="L115" s="28" t="n">
        <x:v>7</x:v>
      </x:c>
      <x:c r="M115" s="28" t="n">
        <x:v>5</x:v>
      </x:c>
      <x:c r="N115" s="28" t="n">
        <x:v>2</x:v>
      </x:c>
      <x:c r="O115" s="28" t="n">
        <x:v>0</x:v>
      </x:c>
      <x:c r="P115" s="28" t="n">
        <x:v>3</x:v>
      </x:c>
      <x:c r="Q115" s="24" t="n">
        <x:f>IFERROR(J115/H115,0)</x:f>
        <x:v>0.35</x:v>
      </x:c>
      <x:c r="R115" s="24" t="n">
        <x:f>IFERROR(F115/H115,0)</x:f>
        <x:v>0.1</x:v>
      </x:c>
      <x:c r="S115" s="24" t="n">
        <x:f>IFERROR(F115/J115,0)</x:f>
        <x:v>0.2857142857142857</x:v>
      </x:c>
      <x:c r="T115" s="28" t="n">
        <x:f>H115-I115</x:f>
        <x:v>5</x:v>
      </x:c>
      <x:c r="U115" s="24" t="n">
        <x:f>IFERROR(J115/H115,0)-IFERROR(K115/I115,0)</x:f>
        <x:v>0.016666666666666663</x:v>
      </x:c>
      <x:c r="V115" s="24" t="n">
        <x:f>IFERROR(F115/J115,0)-IFERROR(G115/K115,0)</x:f>
        <x:v>0.08571428571428569</x:v>
      </x:c>
      <x:c r="W115" s="28" t="n">
        <x:f>L115-M115</x:f>
        <x:v>2</x:v>
      </x:c>
      <x:c r="X115" s="24" t="n">
        <x:f>IFERROR(K115/I115,0)</x:f>
        <x:v>0.3333333333333333</x:v>
      </x:c>
      <x:c r="Y115" s="24" t="n">
        <x:f>IFERROR(G115/I115,0)</x:f>
        <x:v>0.06666666666666667</x:v>
      </x:c>
      <x:c r="Z115" s="24" t="n">
        <x:f>IFERROR(G115/K115,0)</x:f>
        <x:v>0.2</x:v>
      </x:c>
      <x:c r="AA115" s="24" t="n">
        <x:f>IFERROR(F115/H115,0)-IFERROR(G115/I115,0)</x:f>
        <x:v>0.03333333333333334</x:v>
      </x:c>
      <x:c r="AB115" s="28" t="n">
        <x:f>J115-K115</x:f>
        <x:v>2</x:v>
      </x:c>
      <x:c r="AC115" s="32" t="n">
        <x:f>F115-G115</x:f>
        <x:v>1</x:v>
      </x:c>
    </x:row>
    <x:row r="116">
      <x:c r="A116" s="4" t="str">
        <x:v>2021-22</x:v>
      </x:c>
      <x:c r="B116" s="20" t="n">
        <x:v>44465</x:v>
      </x:c>
      <x:c r="C116" s="4" t="str">
        <x:v>Arsenal</x:v>
      </x:c>
      <x:c r="D116" s="4" t="str">
        <x:v>Tottenham</x:v>
      </x:c>
      <x:c r="E116" s="4" t="str">
        <x:v>Home</x:v>
      </x:c>
      <x:c r="F116" s="28" t="n">
        <x:v>3</x:v>
      </x:c>
      <x:c r="G116" s="28" t="n">
        <x:v>1</x:v>
      </x:c>
      <x:c r="H116" s="28" t="n">
        <x:v>12</x:v>
      </x:c>
      <x:c r="I116" s="28" t="n">
        <x:v>10</x:v>
      </x:c>
      <x:c r="J116" s="28" t="n">
        <x:v>7</x:v>
      </x:c>
      <x:c r="K116" s="28" t="n">
        <x:v>4</x:v>
      </x:c>
      <x:c r="L116" s="28" t="n">
        <x:v>4</x:v>
      </x:c>
      <x:c r="M116" s="28" t="n">
        <x:v>4</x:v>
      </x:c>
      <x:c r="N116" s="28" t="n">
        <x:v>2</x:v>
      </x:c>
      <x:c r="O116" s="28" t="n">
        <x:v>0</x:v>
      </x:c>
      <x:c r="P116" s="28" t="n">
        <x:v>3</x:v>
      </x:c>
      <x:c r="Q116" s="24" t="n">
        <x:f>IFERROR(J116/H116,0)</x:f>
        <x:v>0.5833333333333334</x:v>
      </x:c>
      <x:c r="R116" s="24" t="n">
        <x:f>IFERROR(F116/H116,0)</x:f>
        <x:v>0.25</x:v>
      </x:c>
      <x:c r="S116" s="24" t="n">
        <x:f>IFERROR(F116/J116,0)</x:f>
        <x:v>0.42857142857142855</x:v>
      </x:c>
      <x:c r="T116" s="28" t="n">
        <x:f>H116-I116</x:f>
        <x:v>2</x:v>
      </x:c>
      <x:c r="U116" s="24" t="n">
        <x:f>IFERROR(J116/H116,0)-IFERROR(K116/I116,0)</x:f>
        <x:v>0.18333333333333335</x:v>
      </x:c>
      <x:c r="V116" s="24" t="n">
        <x:f>IFERROR(F116/J116,0)-IFERROR(G116/K116,0)</x:f>
        <x:v>0.17857142857142855</x:v>
      </x:c>
      <x:c r="W116" s="28" t="n">
        <x:f>L116-M116</x:f>
        <x:v>0</x:v>
      </x:c>
      <x:c r="X116" s="24" t="n">
        <x:f>IFERROR(K116/I116,0)</x:f>
        <x:v>0.4</x:v>
      </x:c>
      <x:c r="Y116" s="24" t="n">
        <x:f>IFERROR(G116/I116,0)</x:f>
        <x:v>0.1</x:v>
      </x:c>
      <x:c r="Z116" s="24" t="n">
        <x:f>IFERROR(G116/K116,0)</x:f>
        <x:v>0.25</x:v>
      </x:c>
      <x:c r="AA116" s="24" t="n">
        <x:f>IFERROR(F116/H116,0)-IFERROR(G116/I116,0)</x:f>
        <x:v>0.15</x:v>
      </x:c>
      <x:c r="AB116" s="28" t="n">
        <x:f>J116-K116</x:f>
        <x:v>3</x:v>
      </x:c>
      <x:c r="AC116" s="32" t="n">
        <x:f>F116-G116</x:f>
        <x:v>2</x:v>
      </x:c>
    </x:row>
    <x:row r="117">
      <x:c r="A117" s="4" t="str">
        <x:v>2021-22</x:v>
      </x:c>
      <x:c r="B117" s="20" t="n">
        <x:v>44465</x:v>
      </x:c>
      <x:c r="C117" s="4" t="str">
        <x:v>Southampton</x:v>
      </x:c>
      <x:c r="D117" s="4" t="str">
        <x:v>Wolves</x:v>
      </x:c>
      <x:c r="E117" s="4" t="str">
        <x:v>Home</x:v>
      </x:c>
      <x:c r="F117" s="28" t="n">
        <x:v>0</x:v>
      </x:c>
      <x:c r="G117" s="28" t="n">
        <x:v>1</x:v>
      </x:c>
      <x:c r="H117" s="28" t="n">
        <x:v>18</x:v>
      </x:c>
      <x:c r="I117" s="28" t="n">
        <x:v>5</x:v>
      </x:c>
      <x:c r="J117" s="28" t="n">
        <x:v>6</x:v>
      </x:c>
      <x:c r="K117" s="28" t="n">
        <x:v>3</x:v>
      </x:c>
      <x:c r="L117" s="28" t="n">
        <x:v>5</x:v>
      </x:c>
      <x:c r="M117" s="28" t="n">
        <x:v>5</x:v>
      </x:c>
      <x:c r="N117" s="28" t="n">
        <x:v>0</x:v>
      </x:c>
      <x:c r="O117" s="28" t="n">
        <x:v>0</x:v>
      </x:c>
      <x:c r="P117" s="28" t="n">
        <x:v>0</x:v>
      </x:c>
      <x:c r="Q117" s="24" t="n">
        <x:f>IFERROR(J117/H117,0)</x:f>
        <x:v>0.3333333333333333</x:v>
      </x:c>
      <x:c r="R117" s="24" t="n">
        <x:f>IFERROR(F117/H117,0)</x:f>
        <x:v>0</x:v>
      </x:c>
      <x:c r="S117" s="24" t="n">
        <x:f>IFERROR(F117/J117,0)</x:f>
        <x:v>0</x:v>
      </x:c>
      <x:c r="T117" s="28" t="n">
        <x:f>H117-I117</x:f>
        <x:v>13</x:v>
      </x:c>
      <x:c r="U117" s="24" t="n">
        <x:f>IFERROR(J117/H117,0)-IFERROR(K117/I117,0)</x:f>
        <x:v>-0.26666666666666666</x:v>
      </x:c>
      <x:c r="V117" s="24" t="n">
        <x:f>IFERROR(F117/J117,0)-IFERROR(G117/K117,0)</x:f>
        <x:v>-0.3333333333333333</x:v>
      </x:c>
      <x:c r="W117" s="28" t="n">
        <x:f>L117-M117</x:f>
        <x:v>0</x:v>
      </x:c>
      <x:c r="X117" s="24" t="n">
        <x:f>IFERROR(K117/I117,0)</x:f>
        <x:v>0.6</x:v>
      </x:c>
      <x:c r="Y117" s="24" t="n">
        <x:f>IFERROR(G117/I117,0)</x:f>
        <x:v>0.2</x:v>
      </x:c>
      <x:c r="Z117" s="24" t="n">
        <x:f>IFERROR(G117/K117,0)</x:f>
        <x:v>0.3333333333333333</x:v>
      </x:c>
      <x:c r="AA117" s="24" t="n">
        <x:f>IFERROR(F117/H117,0)-IFERROR(G117/I117,0)</x:f>
        <x:v>-0.2</x:v>
      </x:c>
      <x:c r="AB117" s="28" t="n">
        <x:f>J117-K117</x:f>
        <x:v>3</x:v>
      </x:c>
      <x:c r="AC117" s="32" t="n">
        <x:f>F117-G117</x:f>
        <x:v>-1</x:v>
      </x:c>
    </x:row>
    <x:row r="118">
      <x:c r="A118" s="4" t="str">
        <x:v>2021-22</x:v>
      </x:c>
      <x:c r="B118" s="20" t="n">
        <x:v>44465</x:v>
      </x:c>
      <x:c r="C118" s="4" t="str">
        <x:v>Tottenham</x:v>
      </x:c>
      <x:c r="D118" s="4" t="str">
        <x:v>Arsenal</x:v>
      </x:c>
      <x:c r="E118" s="4" t="str">
        <x:v>Away</x:v>
      </x:c>
      <x:c r="F118" s="28" t="n">
        <x:v>1</x:v>
      </x:c>
      <x:c r="G118" s="28" t="n">
        <x:v>3</x:v>
      </x:c>
      <x:c r="H118" s="28" t="n">
        <x:v>10</x:v>
      </x:c>
      <x:c r="I118" s="28" t="n">
        <x:v>12</x:v>
      </x:c>
      <x:c r="J118" s="28" t="n">
        <x:v>4</x:v>
      </x:c>
      <x:c r="K118" s="28" t="n">
        <x:v>7</x:v>
      </x:c>
      <x:c r="L118" s="28" t="n">
        <x:v>4</x:v>
      </x:c>
      <x:c r="M118" s="28" t="n">
        <x:v>4</x:v>
      </x:c>
      <x:c r="N118" s="28" t="n">
        <x:v>1</x:v>
      </x:c>
      <x:c r="O118" s="28" t="n">
        <x:v>0</x:v>
      </x:c>
      <x:c r="P118" s="28" t="n">
        <x:v>0</x:v>
      </x:c>
      <x:c r="Q118" s="24" t="n">
        <x:f>IFERROR(J118/H118,0)</x:f>
        <x:v>0.4</x:v>
      </x:c>
      <x:c r="R118" s="24" t="n">
        <x:f>IFERROR(F118/H118,0)</x:f>
        <x:v>0.1</x:v>
      </x:c>
      <x:c r="S118" s="24" t="n">
        <x:f>IFERROR(F118/J118,0)</x:f>
        <x:v>0.25</x:v>
      </x:c>
      <x:c r="T118" s="28" t="n">
        <x:f>H118-I118</x:f>
        <x:v>-2</x:v>
      </x:c>
      <x:c r="U118" s="24" t="n">
        <x:f>IFERROR(J118/H118,0)-IFERROR(K118/I118,0)</x:f>
        <x:v>-0.18333333333333335</x:v>
      </x:c>
      <x:c r="V118" s="24" t="n">
        <x:f>IFERROR(F118/J118,0)-IFERROR(G118/K118,0)</x:f>
        <x:v>-0.17857142857142855</x:v>
      </x:c>
      <x:c r="W118" s="28" t="n">
        <x:f>L118-M118</x:f>
        <x:v>0</x:v>
      </x:c>
      <x:c r="X118" s="24" t="n">
        <x:f>IFERROR(K118/I118,0)</x:f>
        <x:v>0.5833333333333334</x:v>
      </x:c>
      <x:c r="Y118" s="24" t="n">
        <x:f>IFERROR(G118/I118,0)</x:f>
        <x:v>0.25</x:v>
      </x:c>
      <x:c r="Z118" s="24" t="n">
        <x:f>IFERROR(G118/K118,0)</x:f>
        <x:v>0.42857142857142855</x:v>
      </x:c>
      <x:c r="AA118" s="24" t="n">
        <x:f>IFERROR(F118/H118,0)-IFERROR(G118/I118,0)</x:f>
        <x:v>-0.15</x:v>
      </x:c>
      <x:c r="AB118" s="28" t="n">
        <x:f>J118-K118</x:f>
        <x:v>-3</x:v>
      </x:c>
      <x:c r="AC118" s="32" t="n">
        <x:f>F118-G118</x:f>
        <x:v>-2</x:v>
      </x:c>
    </x:row>
    <x:row r="119">
      <x:c r="A119" s="4" t="str">
        <x:v>2021-22</x:v>
      </x:c>
      <x:c r="B119" s="20" t="n">
        <x:v>44465</x:v>
      </x:c>
      <x:c r="C119" s="4" t="str">
        <x:v>Wolves</x:v>
      </x:c>
      <x:c r="D119" s="4" t="str">
        <x:v>Southampton</x:v>
      </x:c>
      <x:c r="E119" s="4" t="str">
        <x:v>Away</x:v>
      </x:c>
      <x:c r="F119" s="28" t="n">
        <x:v>1</x:v>
      </x:c>
      <x:c r="G119" s="28" t="n">
        <x:v>0</x:v>
      </x:c>
      <x:c r="H119" s="28" t="n">
        <x:v>5</x:v>
      </x:c>
      <x:c r="I119" s="28" t="n">
        <x:v>18</x:v>
      </x:c>
      <x:c r="J119" s="28" t="n">
        <x:v>3</x:v>
      </x:c>
      <x:c r="K119" s="28" t="n">
        <x:v>6</x:v>
      </x:c>
      <x:c r="L119" s="28" t="n">
        <x:v>5</x:v>
      </x:c>
      <x:c r="M119" s="28" t="n">
        <x:v>5</x:v>
      </x:c>
      <x:c r="N119" s="28" t="n">
        <x:v>0</x:v>
      </x:c>
      <x:c r="O119" s="28" t="n">
        <x:v>0</x:v>
      </x:c>
      <x:c r="P119" s="28" t="n">
        <x:v>3</x:v>
      </x:c>
      <x:c r="Q119" s="24" t="n">
        <x:f>IFERROR(J119/H119,0)</x:f>
        <x:v>0.6</x:v>
      </x:c>
      <x:c r="R119" s="24" t="n">
        <x:f>IFERROR(F119/H119,0)</x:f>
        <x:v>0.2</x:v>
      </x:c>
      <x:c r="S119" s="24" t="n">
        <x:f>IFERROR(F119/J119,0)</x:f>
        <x:v>0.3333333333333333</x:v>
      </x:c>
      <x:c r="T119" s="28" t="n">
        <x:f>H119-I119</x:f>
        <x:v>-13</x:v>
      </x:c>
      <x:c r="U119" s="24" t="n">
        <x:f>IFERROR(J119/H119,0)-IFERROR(K119/I119,0)</x:f>
        <x:v>0.26666666666666666</x:v>
      </x:c>
      <x:c r="V119" s="24" t="n">
        <x:f>IFERROR(F119/J119,0)-IFERROR(G119/K119,0)</x:f>
        <x:v>0.3333333333333333</x:v>
      </x:c>
      <x:c r="W119" s="28" t="n">
        <x:f>L119-M119</x:f>
        <x:v>0</x:v>
      </x:c>
      <x:c r="X119" s="24" t="n">
        <x:f>IFERROR(K119/I119,0)</x:f>
        <x:v>0.3333333333333333</x:v>
      </x:c>
      <x:c r="Y119" s="24" t="n">
        <x:f>IFERROR(G119/I119,0)</x:f>
        <x:v>0</x:v>
      </x:c>
      <x:c r="Z119" s="24" t="n">
        <x:f>IFERROR(G119/K119,0)</x:f>
        <x:v>0</x:v>
      </x:c>
      <x:c r="AA119" s="24" t="n">
        <x:f>IFERROR(F119/H119,0)-IFERROR(G119/I119,0)</x:f>
        <x:v>0.2</x:v>
      </x:c>
      <x:c r="AB119" s="28" t="n">
        <x:f>J119-K119</x:f>
        <x:v>-3</x:v>
      </x:c>
      <x:c r="AC119" s="32" t="n">
        <x:f>F119-G119</x:f>
        <x:v>1</x:v>
      </x:c>
    </x:row>
    <x:row r="120">
      <x:c r="A120" s="4" t="str">
        <x:v>2021-22</x:v>
      </x:c>
      <x:c r="B120" s="20" t="n">
        <x:v>44466</x:v>
      </x:c>
      <x:c r="C120" s="4" t="str">
        <x:v>Brighton</x:v>
      </x:c>
      <x:c r="D120" s="4" t="str">
        <x:v>Crystal Palace</x:v>
      </x:c>
      <x:c r="E120" s="4" t="str">
        <x:v>Away</x:v>
      </x:c>
      <x:c r="F120" s="28" t="n">
        <x:v>1</x:v>
      </x:c>
      <x:c r="G120" s="28" t="n">
        <x:v>1</x:v>
      </x:c>
      <x:c r="H120" s="28" t="n">
        <x:v>8</x:v>
      </x:c>
      <x:c r="I120" s="28" t="n">
        <x:v>8</x:v>
      </x:c>
      <x:c r="J120" s="28" t="n">
        <x:v>4</x:v>
      </x:c>
      <x:c r="K120" s="28" t="n">
        <x:v>3</x:v>
      </x:c>
      <x:c r="L120" s="28" t="n">
        <x:v>5</x:v>
      </x:c>
      <x:c r="M120" s="28" t="n">
        <x:v>6</x:v>
      </x:c>
      <x:c r="N120" s="28" t="n">
        <x:v>3</x:v>
      </x:c>
      <x:c r="O120" s="28" t="n">
        <x:v>0</x:v>
      </x:c>
      <x:c r="P120" s="28" t="n">
        <x:v>1</x:v>
      </x:c>
      <x:c r="Q120" s="24" t="n">
        <x:f>IFERROR(J120/H120,0)</x:f>
        <x:v>0.5</x:v>
      </x:c>
      <x:c r="R120" s="24" t="n">
        <x:f>IFERROR(F120/H120,0)</x:f>
        <x:v>0.125</x:v>
      </x:c>
      <x:c r="S120" s="24" t="n">
        <x:f>IFERROR(F120/J120,0)</x:f>
        <x:v>0.25</x:v>
      </x:c>
      <x:c r="T120" s="28" t="n">
        <x:f>H120-I120</x:f>
        <x:v>0</x:v>
      </x:c>
      <x:c r="U120" s="24" t="n">
        <x:f>IFERROR(J120/H120,0)-IFERROR(K120/I120,0)</x:f>
        <x:v>0.125</x:v>
      </x:c>
      <x:c r="V120" s="24" t="n">
        <x:f>IFERROR(F120/J120,0)-IFERROR(G120/K120,0)</x:f>
        <x:v>-0.08333333333333331</x:v>
      </x:c>
      <x:c r="W120" s="28" t="n">
        <x:f>L120-M120</x:f>
        <x:v>-1</x:v>
      </x:c>
      <x:c r="X120" s="24" t="n">
        <x:f>IFERROR(K120/I120,0)</x:f>
        <x:v>0.375</x:v>
      </x:c>
      <x:c r="Y120" s="24" t="n">
        <x:f>IFERROR(G120/I120,0)</x:f>
        <x:v>0.125</x:v>
      </x:c>
      <x:c r="Z120" s="24" t="n">
        <x:f>IFERROR(G120/K120,0)</x:f>
        <x:v>0.3333333333333333</x:v>
      </x:c>
      <x:c r="AA120" s="24" t="n">
        <x:f>IFERROR(F120/H120,0)-IFERROR(G120/I120,0)</x:f>
        <x:v>0</x:v>
      </x:c>
      <x:c r="AB120" s="28" t="n">
        <x:f>J120-K120</x:f>
        <x:v>1</x:v>
      </x:c>
      <x:c r="AC120" s="32" t="n">
        <x:f>F120-G120</x:f>
        <x:v>0</x:v>
      </x:c>
    </x:row>
    <x:row r="121">
      <x:c r="A121" s="4" t="str">
        <x:v>2021-22</x:v>
      </x:c>
      <x:c r="B121" s="20" t="n">
        <x:v>44466</x:v>
      </x:c>
      <x:c r="C121" s="4" t="str">
        <x:v>Crystal Palace</x:v>
      </x:c>
      <x:c r="D121" s="4" t="str">
        <x:v>Brighton</x:v>
      </x:c>
      <x:c r="E121" s="4" t="str">
        <x:v>Home</x:v>
      </x:c>
      <x:c r="F121" s="28" t="n">
        <x:v>1</x:v>
      </x:c>
      <x:c r="G121" s="28" t="n">
        <x:v>1</x:v>
      </x:c>
      <x:c r="H121" s="28" t="n">
        <x:v>8</x:v>
      </x:c>
      <x:c r="I121" s="28" t="n">
        <x:v>8</x:v>
      </x:c>
      <x:c r="J121" s="28" t="n">
        <x:v>3</x:v>
      </x:c>
      <x:c r="K121" s="28" t="n">
        <x:v>4</x:v>
      </x:c>
      <x:c r="L121" s="28" t="n">
        <x:v>6</x:v>
      </x:c>
      <x:c r="M121" s="28" t="n">
        <x:v>5</x:v>
      </x:c>
      <x:c r="N121" s="28" t="n">
        <x:v>2</x:v>
      </x:c>
      <x:c r="O121" s="28" t="n">
        <x:v>0</x:v>
      </x:c>
      <x:c r="P121" s="28" t="n">
        <x:v>1</x:v>
      </x:c>
      <x:c r="Q121" s="24" t="n">
        <x:f>IFERROR(J121/H121,0)</x:f>
        <x:v>0.375</x:v>
      </x:c>
      <x:c r="R121" s="24" t="n">
        <x:f>IFERROR(F121/H121,0)</x:f>
        <x:v>0.125</x:v>
      </x:c>
      <x:c r="S121" s="24" t="n">
        <x:f>IFERROR(F121/J121,0)</x:f>
        <x:v>0.3333333333333333</x:v>
      </x:c>
      <x:c r="T121" s="28" t="n">
        <x:f>H121-I121</x:f>
        <x:v>0</x:v>
      </x:c>
      <x:c r="U121" s="24" t="n">
        <x:f>IFERROR(J121/H121,0)-IFERROR(K121/I121,0)</x:f>
        <x:v>-0.125</x:v>
      </x:c>
      <x:c r="V121" s="24" t="n">
        <x:f>IFERROR(F121/J121,0)-IFERROR(G121/K121,0)</x:f>
        <x:v>0.08333333333333331</x:v>
      </x:c>
      <x:c r="W121" s="28" t="n">
        <x:f>L121-M121</x:f>
        <x:v>1</x:v>
      </x:c>
      <x:c r="X121" s="24" t="n">
        <x:f>IFERROR(K121/I121,0)</x:f>
        <x:v>0.5</x:v>
      </x:c>
      <x:c r="Y121" s="24" t="n">
        <x:f>IFERROR(G121/I121,0)</x:f>
        <x:v>0.125</x:v>
      </x:c>
      <x:c r="Z121" s="24" t="n">
        <x:f>IFERROR(G121/K121,0)</x:f>
        <x:v>0.25</x:v>
      </x:c>
      <x:c r="AA121" s="24" t="n">
        <x:f>IFERROR(F121/H121,0)-IFERROR(G121/I121,0)</x:f>
        <x:v>0</x:v>
      </x:c>
      <x:c r="AB121" s="28" t="n">
        <x:f>J121-K121</x:f>
        <x:v>-1</x:v>
      </x:c>
      <x:c r="AC121" s="32" t="n">
        <x:f>F121-G121</x:f>
        <x:v>0</x:v>
      </x:c>
    </x:row>
    <x:row r="122">
      <x:c r="A122" s="4" t="str">
        <x:v>2021-22</x:v>
      </x:c>
      <x:c r="B122" s="20" t="n">
        <x:v>44471</x:v>
      </x:c>
      <x:c r="C122" s="4" t="str">
        <x:v>Arsenal</x:v>
      </x:c>
      <x:c r="D122" s="4" t="str">
        <x:v>Brighton</x:v>
      </x:c>
      <x:c r="E122" s="4" t="str">
        <x:v>Away</x:v>
      </x:c>
      <x:c r="F122" s="28" t="n">
        <x:v>0</x:v>
      </x:c>
      <x:c r="G122" s="28" t="n">
        <x:v>0</x:v>
      </x:c>
      <x:c r="H122" s="28" t="n">
        <x:v>8</x:v>
      </x:c>
      <x:c r="I122" s="28" t="n">
        <x:v>21</x:v>
      </x:c>
      <x:c r="J122" s="28" t="n">
        <x:v>2</x:v>
      </x:c>
      <x:c r="K122" s="28" t="n">
        <x:v>2</x:v>
      </x:c>
      <x:c r="L122" s="28" t="n">
        <x:v>5</x:v>
      </x:c>
      <x:c r="M122" s="28" t="n">
        <x:v>8</x:v>
      </x:c>
      <x:c r="N122" s="28" t="n">
        <x:v>1</x:v>
      </x:c>
      <x:c r="O122" s="28" t="n">
        <x:v>0</x:v>
      </x:c>
      <x:c r="P122" s="28" t="n">
        <x:v>1</x:v>
      </x:c>
      <x:c r="Q122" s="24" t="n">
        <x:f>IFERROR(J122/H122,0)</x:f>
        <x:v>0.25</x:v>
      </x:c>
      <x:c r="R122" s="24" t="n">
        <x:f>IFERROR(F122/H122,0)</x:f>
        <x:v>0</x:v>
      </x:c>
      <x:c r="S122" s="24" t="n">
        <x:f>IFERROR(F122/J122,0)</x:f>
        <x:v>0</x:v>
      </x:c>
      <x:c r="T122" s="28" t="n">
        <x:f>H122-I122</x:f>
        <x:v>-13</x:v>
      </x:c>
      <x:c r="U122" s="24" t="n">
        <x:f>IFERROR(J122/H122,0)-IFERROR(K122/I122,0)</x:f>
        <x:v>0.15476190476190477</x:v>
      </x:c>
      <x:c r="V122" s="24" t="n">
        <x:f>IFERROR(F122/J122,0)-IFERROR(G122/K122,0)</x:f>
        <x:v>0</x:v>
      </x:c>
      <x:c r="W122" s="28" t="n">
        <x:f>L122-M122</x:f>
        <x:v>-3</x:v>
      </x:c>
      <x:c r="X122" s="24" t="n">
        <x:f>IFERROR(K122/I122,0)</x:f>
        <x:v>0.09523809523809523</x:v>
      </x:c>
      <x:c r="Y122" s="24" t="n">
        <x:f>IFERROR(G122/I122,0)</x:f>
        <x:v>0</x:v>
      </x:c>
      <x:c r="Z122" s="24" t="n">
        <x:f>IFERROR(G122/K122,0)</x:f>
        <x:v>0</x:v>
      </x:c>
      <x:c r="AA122" s="24" t="n">
        <x:f>IFERROR(F122/H122,0)-IFERROR(G122/I122,0)</x:f>
        <x:v>0</x:v>
      </x:c>
      <x:c r="AB122" s="28" t="n">
        <x:f>J122-K122</x:f>
        <x:v>0</x:v>
      </x:c>
      <x:c r="AC122" s="32" t="n">
        <x:f>F122-G122</x:f>
        <x:v>0</x:v>
      </x:c>
    </x:row>
    <x:row r="123">
      <x:c r="A123" s="4" t="str">
        <x:v>2021-22</x:v>
      </x:c>
      <x:c r="B123" s="20" t="n">
        <x:v>44471</x:v>
      </x:c>
      <x:c r="C123" s="4" t="str">
        <x:v>Brighton</x:v>
      </x:c>
      <x:c r="D123" s="4" t="str">
        <x:v>Arsenal</x:v>
      </x:c>
      <x:c r="E123" s="4" t="str">
        <x:v>Home</x:v>
      </x:c>
      <x:c r="F123" s="28" t="n">
        <x:v>0</x:v>
      </x:c>
      <x:c r="G123" s="28" t="n">
        <x:v>0</x:v>
      </x:c>
      <x:c r="H123" s="28" t="n">
        <x:v>21</x:v>
      </x:c>
      <x:c r="I123" s="28" t="n">
        <x:v>8</x:v>
      </x:c>
      <x:c r="J123" s="28" t="n">
        <x:v>2</x:v>
      </x:c>
      <x:c r="K123" s="28" t="n">
        <x:v>2</x:v>
      </x:c>
      <x:c r="L123" s="28" t="n">
        <x:v>8</x:v>
      </x:c>
      <x:c r="M123" s="28" t="n">
        <x:v>5</x:v>
      </x:c>
      <x:c r="N123" s="28" t="n">
        <x:v>2</x:v>
      </x:c>
      <x:c r="O123" s="28" t="n">
        <x:v>0</x:v>
      </x:c>
      <x:c r="P123" s="28" t="n">
        <x:v>1</x:v>
      </x:c>
      <x:c r="Q123" s="24" t="n">
        <x:f>IFERROR(J123/H123,0)</x:f>
        <x:v>0.09523809523809523</x:v>
      </x:c>
      <x:c r="R123" s="24" t="n">
        <x:f>IFERROR(F123/H123,0)</x:f>
        <x:v>0</x:v>
      </x:c>
      <x:c r="S123" s="24" t="n">
        <x:f>IFERROR(F123/J123,0)</x:f>
        <x:v>0</x:v>
      </x:c>
      <x:c r="T123" s="28" t="n">
        <x:f>H123-I123</x:f>
        <x:v>13</x:v>
      </x:c>
      <x:c r="U123" s="24" t="n">
        <x:f>IFERROR(J123/H123,0)-IFERROR(K123/I123,0)</x:f>
        <x:v>-0.15476190476190477</x:v>
      </x:c>
      <x:c r="V123" s="24" t="n">
        <x:f>IFERROR(F123/J123,0)-IFERROR(G123/K123,0)</x:f>
        <x:v>0</x:v>
      </x:c>
      <x:c r="W123" s="28" t="n">
        <x:f>L123-M123</x:f>
        <x:v>3</x:v>
      </x:c>
      <x:c r="X123" s="24" t="n">
        <x:f>IFERROR(K123/I123,0)</x:f>
        <x:v>0.25</x:v>
      </x:c>
      <x:c r="Y123" s="24" t="n">
        <x:f>IFERROR(G123/I123,0)</x:f>
        <x:v>0</x:v>
      </x:c>
      <x:c r="Z123" s="24" t="n">
        <x:f>IFERROR(G123/K123,0)</x:f>
        <x:v>0</x:v>
      </x:c>
      <x:c r="AA123" s="24" t="n">
        <x:f>IFERROR(F123/H123,0)-IFERROR(G123/I123,0)</x:f>
        <x:v>0</x:v>
      </x:c>
      <x:c r="AB123" s="28" t="n">
        <x:f>J123-K123</x:f>
        <x:v>0</x:v>
      </x:c>
      <x:c r="AC123" s="32" t="n">
        <x:f>F123-G123</x:f>
        <x:v>0</x:v>
      </x:c>
    </x:row>
    <x:row r="124">
      <x:c r="A124" s="4" t="str">
        <x:v>2021-22</x:v>
      </x:c>
      <x:c r="B124" s="20" t="n">
        <x:v>44471</x:v>
      </x:c>
      <x:c r="C124" s="4" t="str">
        <x:v>Burnley</x:v>
      </x:c>
      <x:c r="D124" s="4" t="str">
        <x:v>Norwich</x:v>
      </x:c>
      <x:c r="E124" s="4" t="str">
        <x:v>Home</x:v>
      </x:c>
      <x:c r="F124" s="28" t="n">
        <x:v>0</x:v>
      </x:c>
      <x:c r="G124" s="28" t="n">
        <x:v>0</x:v>
      </x:c>
      <x:c r="H124" s="28" t="n">
        <x:v>14</x:v>
      </x:c>
      <x:c r="I124" s="28" t="n">
        <x:v>10</x:v>
      </x:c>
      <x:c r="J124" s="28" t="n">
        <x:v>4</x:v>
      </x:c>
      <x:c r="K124" s="28" t="n">
        <x:v>2</x:v>
      </x:c>
      <x:c r="L124" s="28" t="n">
        <x:v>9</x:v>
      </x:c>
      <x:c r="M124" s="28" t="n">
        <x:v>5</x:v>
      </x:c>
      <x:c r="N124" s="28" t="n">
        <x:v>5</x:v>
      </x:c>
      <x:c r="O124" s="28" t="n">
        <x:v>0</x:v>
      </x:c>
      <x:c r="P124" s="28" t="n">
        <x:v>1</x:v>
      </x:c>
      <x:c r="Q124" s="24" t="n">
        <x:f>IFERROR(J124/H124,0)</x:f>
        <x:v>0.2857142857142857</x:v>
      </x:c>
      <x:c r="R124" s="24" t="n">
        <x:f>IFERROR(F124/H124,0)</x:f>
        <x:v>0</x:v>
      </x:c>
      <x:c r="S124" s="24" t="n">
        <x:f>IFERROR(F124/J124,0)</x:f>
        <x:v>0</x:v>
      </x:c>
      <x:c r="T124" s="28" t="n">
        <x:f>H124-I124</x:f>
        <x:v>4</x:v>
      </x:c>
      <x:c r="U124" s="24" t="n">
        <x:f>IFERROR(J124/H124,0)-IFERROR(K124/I124,0)</x:f>
        <x:v>0.08571428571428569</x:v>
      </x:c>
      <x:c r="V124" s="24" t="n">
        <x:f>IFERROR(F124/J124,0)-IFERROR(G124/K124,0)</x:f>
        <x:v>0</x:v>
      </x:c>
      <x:c r="W124" s="28" t="n">
        <x:f>L124-M124</x:f>
        <x:v>4</x:v>
      </x:c>
      <x:c r="X124" s="24" t="n">
        <x:f>IFERROR(K124/I124,0)</x:f>
        <x:v>0.2</x:v>
      </x:c>
      <x:c r="Y124" s="24" t="n">
        <x:f>IFERROR(G124/I124,0)</x:f>
        <x:v>0</x:v>
      </x:c>
      <x:c r="Z124" s="24" t="n">
        <x:f>IFERROR(G124/K124,0)</x:f>
        <x:v>0</x:v>
      </x:c>
      <x:c r="AA124" s="24" t="n">
        <x:f>IFERROR(F124/H124,0)-IFERROR(G124/I124,0)</x:f>
        <x:v>0</x:v>
      </x:c>
      <x:c r="AB124" s="28" t="n">
        <x:f>J124-K124</x:f>
        <x:v>2</x:v>
      </x:c>
      <x:c r="AC124" s="32" t="n">
        <x:f>F124-G124</x:f>
        <x:v>0</x:v>
      </x:c>
    </x:row>
    <x:row r="125">
      <x:c r="A125" s="4" t="str">
        <x:v>2021-22</x:v>
      </x:c>
      <x:c r="B125" s="20" t="n">
        <x:v>44471</x:v>
      </x:c>
      <x:c r="C125" s="4" t="str">
        <x:v>Chelsea</x:v>
      </x:c>
      <x:c r="D125" s="4" t="str">
        <x:v>Southampton</x:v>
      </x:c>
      <x:c r="E125" s="4" t="str">
        <x:v>Home</x:v>
      </x:c>
      <x:c r="F125" s="28" t="n">
        <x:v>3</x:v>
      </x:c>
      <x:c r="G125" s="28" t="n">
        <x:v>1</x:v>
      </x:c>
      <x:c r="H125" s="28" t="n">
        <x:v>20</x:v>
      </x:c>
      <x:c r="I125" s="28" t="n">
        <x:v>6</x:v>
      </x:c>
      <x:c r="J125" s="28" t="n">
        <x:v>9</x:v>
      </x:c>
      <x:c r="K125" s="28" t="n">
        <x:v>2</x:v>
      </x:c>
      <x:c r="L125" s="28" t="n">
        <x:v>7</x:v>
      </x:c>
      <x:c r="M125" s="28" t="n">
        <x:v>2</x:v>
      </x:c>
      <x:c r="N125" s="28" t="n">
        <x:v>1</x:v>
      </x:c>
      <x:c r="O125" s="28" t="n">
        <x:v>0</x:v>
      </x:c>
      <x:c r="P125" s="28" t="n">
        <x:v>3</x:v>
      </x:c>
      <x:c r="Q125" s="24" t="n">
        <x:f>IFERROR(J125/H125,0)</x:f>
        <x:v>0.45</x:v>
      </x:c>
      <x:c r="R125" s="24" t="n">
        <x:f>IFERROR(F125/H125,0)</x:f>
        <x:v>0.15</x:v>
      </x:c>
      <x:c r="S125" s="24" t="n">
        <x:f>IFERROR(F125/J125,0)</x:f>
        <x:v>0.3333333333333333</x:v>
      </x:c>
      <x:c r="T125" s="28" t="n">
        <x:f>H125-I125</x:f>
        <x:v>14</x:v>
      </x:c>
      <x:c r="U125" s="24" t="n">
        <x:f>IFERROR(J125/H125,0)-IFERROR(K125/I125,0)</x:f>
        <x:v>0.1166666666666667</x:v>
      </x:c>
      <x:c r="V125" s="24" t="n">
        <x:f>IFERROR(F125/J125,0)-IFERROR(G125/K125,0)</x:f>
        <x:v>-0.16666666666666669</x:v>
      </x:c>
      <x:c r="W125" s="28" t="n">
        <x:f>L125-M125</x:f>
        <x:v>5</x:v>
      </x:c>
      <x:c r="X125" s="24" t="n">
        <x:f>IFERROR(K125/I125,0)</x:f>
        <x:v>0.3333333333333333</x:v>
      </x:c>
      <x:c r="Y125" s="24" t="n">
        <x:f>IFERROR(G125/I125,0)</x:f>
        <x:v>0.16666666666666666</x:v>
      </x:c>
      <x:c r="Z125" s="24" t="n">
        <x:f>IFERROR(G125/K125,0)</x:f>
        <x:v>0.5</x:v>
      </x:c>
      <x:c r="AA125" s="24" t="n">
        <x:f>IFERROR(F125/H125,0)-IFERROR(G125/I125,0)</x:f>
        <x:v>-0.016666666666666663</x:v>
      </x:c>
      <x:c r="AB125" s="28" t="n">
        <x:f>J125-K125</x:f>
        <x:v>7</x:v>
      </x:c>
      <x:c r="AC125" s="32" t="n">
        <x:f>F125-G125</x:f>
        <x:v>2</x:v>
      </x:c>
    </x:row>
    <x:row r="126">
      <x:c r="A126" s="4" t="str">
        <x:v>2021-22</x:v>
      </x:c>
      <x:c r="B126" s="20" t="n">
        <x:v>44471</x:v>
      </x:c>
      <x:c r="C126" s="4" t="str">
        <x:v>Everton</x:v>
      </x:c>
      <x:c r="D126" s="4" t="str">
        <x:v>Man United</x:v>
      </x:c>
      <x:c r="E126" s="4" t="str">
        <x:v>Away</x:v>
      </x:c>
      <x:c r="F126" s="28" t="n">
        <x:v>1</x:v>
      </x:c>
      <x:c r="G126" s="28" t="n">
        <x:v>1</x:v>
      </x:c>
      <x:c r="H126" s="28" t="n">
        <x:v>12</x:v>
      </x:c>
      <x:c r="I126" s="28" t="n">
        <x:v>13</x:v>
      </x:c>
      <x:c r="J126" s="28" t="n">
        <x:v>2</x:v>
      </x:c>
      <x:c r="K126" s="28" t="n">
        <x:v>6</x:v>
      </x:c>
      <x:c r="L126" s="28" t="n">
        <x:v>1</x:v>
      </x:c>
      <x:c r="M126" s="28" t="n">
        <x:v>10</x:v>
      </x:c>
      <x:c r="N126" s="28" t="n">
        <x:v>1</x:v>
      </x:c>
      <x:c r="O126" s="28" t="n">
        <x:v>0</x:v>
      </x:c>
      <x:c r="P126" s="28" t="n">
        <x:v>1</x:v>
      </x:c>
      <x:c r="Q126" s="24" t="n">
        <x:f>IFERROR(J126/H126,0)</x:f>
        <x:v>0.16666666666666666</x:v>
      </x:c>
      <x:c r="R126" s="24" t="n">
        <x:f>IFERROR(F126/H126,0)</x:f>
        <x:v>0.08333333333333333</x:v>
      </x:c>
      <x:c r="S126" s="24" t="n">
        <x:f>IFERROR(F126/J126,0)</x:f>
        <x:v>0.5</x:v>
      </x:c>
      <x:c r="T126" s="28" t="n">
        <x:f>H126-I126</x:f>
        <x:v>-1</x:v>
      </x:c>
      <x:c r="U126" s="24" t="n">
        <x:f>IFERROR(J126/H126,0)-IFERROR(K126/I126,0)</x:f>
        <x:v>-0.29487179487179493</x:v>
      </x:c>
      <x:c r="V126" s="24" t="n">
        <x:f>IFERROR(F126/J126,0)-IFERROR(G126/K126,0)</x:f>
        <x:v>0.33333333333333337</x:v>
      </x:c>
      <x:c r="W126" s="28" t="n">
        <x:f>L126-M126</x:f>
        <x:v>-9</x:v>
      </x:c>
      <x:c r="X126" s="24" t="n">
        <x:f>IFERROR(K126/I126,0)</x:f>
        <x:v>0.46153846153846156</x:v>
      </x:c>
      <x:c r="Y126" s="24" t="n">
        <x:f>IFERROR(G126/I126,0)</x:f>
        <x:v>0.07692307692307693</x:v>
      </x:c>
      <x:c r="Z126" s="24" t="n">
        <x:f>IFERROR(G126/K126,0)</x:f>
        <x:v>0.16666666666666666</x:v>
      </x:c>
      <x:c r="AA126" s="24" t="n">
        <x:f>IFERROR(F126/H126,0)-IFERROR(G126/I126,0)</x:f>
        <x:v>0.006410256410256401</x:v>
      </x:c>
      <x:c r="AB126" s="28" t="n">
        <x:f>J126-K126</x:f>
        <x:v>-4</x:v>
      </x:c>
      <x:c r="AC126" s="32" t="n">
        <x:f>F126-G126</x:f>
        <x:v>0</x:v>
      </x:c>
    </x:row>
    <x:row r="127">
      <x:c r="A127" s="4" t="str">
        <x:v>2021-22</x:v>
      </x:c>
      <x:c r="B127" s="20" t="n">
        <x:v>44471</x:v>
      </x:c>
      <x:c r="C127" s="4" t="str">
        <x:v>Leeds</x:v>
      </x:c>
      <x:c r="D127" s="4" t="str">
        <x:v>Watford</x:v>
      </x:c>
      <x:c r="E127" s="4" t="str">
        <x:v>Home</x:v>
      </x:c>
      <x:c r="F127" s="28" t="n">
        <x:v>1</x:v>
      </x:c>
      <x:c r="G127" s="28" t="n">
        <x:v>0</x:v>
      </x:c>
      <x:c r="H127" s="28" t="n">
        <x:v>20</x:v>
      </x:c>
      <x:c r="I127" s="28" t="n">
        <x:v>5</x:v>
      </x:c>
      <x:c r="J127" s="28" t="n">
        <x:v>4</x:v>
      </x:c>
      <x:c r="K127" s="28" t="n">
        <x:v>1</x:v>
      </x:c>
      <x:c r="L127" s="28" t="n">
        <x:v>6</x:v>
      </x:c>
      <x:c r="M127" s="28" t="n">
        <x:v>3</x:v>
      </x:c>
      <x:c r="N127" s="28" t="n">
        <x:v>0</x:v>
      </x:c>
      <x:c r="O127" s="28" t="n">
        <x:v>0</x:v>
      </x:c>
      <x:c r="P127" s="28" t="n">
        <x:v>3</x:v>
      </x:c>
      <x:c r="Q127" s="24" t="n">
        <x:f>IFERROR(J127/H127,0)</x:f>
        <x:v>0.2</x:v>
      </x:c>
      <x:c r="R127" s="24" t="n">
        <x:f>IFERROR(F127/H127,0)</x:f>
        <x:v>0.05</x:v>
      </x:c>
      <x:c r="S127" s="24" t="n">
        <x:f>IFERROR(F127/J127,0)</x:f>
        <x:v>0.25</x:v>
      </x:c>
      <x:c r="T127" s="28" t="n">
        <x:f>H127-I127</x:f>
        <x:v>15</x:v>
      </x:c>
      <x:c r="U127" s="24" t="n">
        <x:f>IFERROR(J127/H127,0)-IFERROR(K127/I127,0)</x:f>
        <x:v>0</x:v>
      </x:c>
      <x:c r="V127" s="24" t="n">
        <x:f>IFERROR(F127/J127,0)-IFERROR(G127/K127,0)</x:f>
        <x:v>0.25</x:v>
      </x:c>
      <x:c r="W127" s="28" t="n">
        <x:f>L127-M127</x:f>
        <x:v>3</x:v>
      </x:c>
      <x:c r="X127" s="24" t="n">
        <x:f>IFERROR(K127/I127,0)</x:f>
        <x:v>0.2</x:v>
      </x:c>
      <x:c r="Y127" s="24" t="n">
        <x:f>IFERROR(G127/I127,0)</x:f>
        <x:v>0</x:v>
      </x:c>
      <x:c r="Z127" s="24" t="n">
        <x:f>IFERROR(G127/K127,0)</x:f>
        <x:v>0</x:v>
      </x:c>
      <x:c r="AA127" s="24" t="n">
        <x:f>IFERROR(F127/H127,0)-IFERROR(G127/I127,0)</x:f>
        <x:v>0.05</x:v>
      </x:c>
      <x:c r="AB127" s="28" t="n">
        <x:f>J127-K127</x:f>
        <x:v>3</x:v>
      </x:c>
      <x:c r="AC127" s="32" t="n">
        <x:f>F127-G127</x:f>
        <x:v>1</x:v>
      </x:c>
    </x:row>
    <x:row r="128">
      <x:c r="A128" s="4" t="str">
        <x:v>2021-22</x:v>
      </x:c>
      <x:c r="B128" s="20" t="n">
        <x:v>44471</x:v>
      </x:c>
      <x:c r="C128" s="4" t="str">
        <x:v>Man United</x:v>
      </x:c>
      <x:c r="D128" s="4" t="str">
        <x:v>Everton</x:v>
      </x:c>
      <x:c r="E128" s="4" t="str">
        <x:v>Home</x:v>
      </x:c>
      <x:c r="F128" s="28" t="n">
        <x:v>1</x:v>
      </x:c>
      <x:c r="G128" s="28" t="n">
        <x:v>1</x:v>
      </x:c>
      <x:c r="H128" s="28" t="n">
        <x:v>13</x:v>
      </x:c>
      <x:c r="I128" s="28" t="n">
        <x:v>12</x:v>
      </x:c>
      <x:c r="J128" s="28" t="n">
        <x:v>6</x:v>
      </x:c>
      <x:c r="K128" s="28" t="n">
        <x:v>2</x:v>
      </x:c>
      <x:c r="L128" s="28" t="n">
        <x:v>10</x:v>
      </x:c>
      <x:c r="M128" s="28" t="n">
        <x:v>1</x:v>
      </x:c>
      <x:c r="N128" s="28" t="n">
        <x:v>1</x:v>
      </x:c>
      <x:c r="O128" s="28" t="n">
        <x:v>0</x:v>
      </x:c>
      <x:c r="P128" s="28" t="n">
        <x:v>1</x:v>
      </x:c>
      <x:c r="Q128" s="24" t="n">
        <x:f>IFERROR(J128/H128,0)</x:f>
        <x:v>0.46153846153846156</x:v>
      </x:c>
      <x:c r="R128" s="24" t="n">
        <x:f>IFERROR(F128/H128,0)</x:f>
        <x:v>0.07692307692307693</x:v>
      </x:c>
      <x:c r="S128" s="24" t="n">
        <x:f>IFERROR(F128/J128,0)</x:f>
        <x:v>0.16666666666666666</x:v>
      </x:c>
      <x:c r="T128" s="28" t="n">
        <x:f>H128-I128</x:f>
        <x:v>1</x:v>
      </x:c>
      <x:c r="U128" s="24" t="n">
        <x:f>IFERROR(J128/H128,0)-IFERROR(K128/I128,0)</x:f>
        <x:v>0.29487179487179493</x:v>
      </x:c>
      <x:c r="V128" s="24" t="n">
        <x:f>IFERROR(F128/J128,0)-IFERROR(G128/K128,0)</x:f>
        <x:v>-0.33333333333333337</x:v>
      </x:c>
      <x:c r="W128" s="28" t="n">
        <x:f>L128-M128</x:f>
        <x:v>9</x:v>
      </x:c>
      <x:c r="X128" s="24" t="n">
        <x:f>IFERROR(K128/I128,0)</x:f>
        <x:v>0.16666666666666666</x:v>
      </x:c>
      <x:c r="Y128" s="24" t="n">
        <x:f>IFERROR(G128/I128,0)</x:f>
        <x:v>0.08333333333333333</x:v>
      </x:c>
      <x:c r="Z128" s="24" t="n">
        <x:f>IFERROR(G128/K128,0)</x:f>
        <x:v>0.5</x:v>
      </x:c>
      <x:c r="AA128" s="24" t="n">
        <x:f>IFERROR(F128/H128,0)-IFERROR(G128/I128,0)</x:f>
        <x:v>-0.006410256410256401</x:v>
      </x:c>
      <x:c r="AB128" s="28" t="n">
        <x:f>J128-K128</x:f>
        <x:v>4</x:v>
      </x:c>
      <x:c r="AC128" s="32" t="n">
        <x:f>F128-G128</x:f>
        <x:v>0</x:v>
      </x:c>
    </x:row>
    <x:row r="129">
      <x:c r="A129" s="4" t="str">
        <x:v>2021-22</x:v>
      </x:c>
      <x:c r="B129" s="20" t="n">
        <x:v>44471</x:v>
      </x:c>
      <x:c r="C129" s="4" t="str">
        <x:v>Newcastle</x:v>
      </x:c>
      <x:c r="D129" s="4" t="str">
        <x:v>Wolves</x:v>
      </x:c>
      <x:c r="E129" s="4" t="str">
        <x:v>Away</x:v>
      </x:c>
      <x:c r="F129" s="28" t="n">
        <x:v>1</x:v>
      </x:c>
      <x:c r="G129" s="28" t="n">
        <x:v>2</x:v>
      </x:c>
      <x:c r="H129" s="28" t="n">
        <x:v>8</x:v>
      </x:c>
      <x:c r="I129" s="28" t="n">
        <x:v>7</x:v>
      </x:c>
      <x:c r="J129" s="28" t="n">
        <x:v>2</x:v>
      </x:c>
      <x:c r="K129" s="28" t="n">
        <x:v>3</x:v>
      </x:c>
      <x:c r="L129" s="28" t="n">
        <x:v>4</x:v>
      </x:c>
      <x:c r="M129" s="28" t="n">
        <x:v>0</x:v>
      </x:c>
      <x:c r="N129" s="28" t="n">
        <x:v>2</x:v>
      </x:c>
      <x:c r="O129" s="28" t="n">
        <x:v>0</x:v>
      </x:c>
      <x:c r="P129" s="28" t="n">
        <x:v>0</x:v>
      </x:c>
      <x:c r="Q129" s="24" t="n">
        <x:f>IFERROR(J129/H129,0)</x:f>
        <x:v>0.25</x:v>
      </x:c>
      <x:c r="R129" s="24" t="n">
        <x:f>IFERROR(F129/H129,0)</x:f>
        <x:v>0.125</x:v>
      </x:c>
      <x:c r="S129" s="24" t="n">
        <x:f>IFERROR(F129/J129,0)</x:f>
        <x:v>0.5</x:v>
      </x:c>
      <x:c r="T129" s="28" t="n">
        <x:f>H129-I129</x:f>
        <x:v>1</x:v>
      </x:c>
      <x:c r="U129" s="24" t="n">
        <x:f>IFERROR(J129/H129,0)-IFERROR(K129/I129,0)</x:f>
        <x:v>-0.17857142857142855</x:v>
      </x:c>
      <x:c r="V129" s="24" t="n">
        <x:f>IFERROR(F129/J129,0)-IFERROR(G129/K129,0)</x:f>
        <x:v>-0.16666666666666663</x:v>
      </x:c>
      <x:c r="W129" s="28" t="n">
        <x:f>L129-M129</x:f>
        <x:v>4</x:v>
      </x:c>
      <x:c r="X129" s="24" t="n">
        <x:f>IFERROR(K129/I129,0)</x:f>
        <x:v>0.42857142857142855</x:v>
      </x:c>
      <x:c r="Y129" s="24" t="n">
        <x:f>IFERROR(G129/I129,0)</x:f>
        <x:v>0.2857142857142857</x:v>
      </x:c>
      <x:c r="Z129" s="24" t="n">
        <x:f>IFERROR(G129/K129,0)</x:f>
        <x:v>0.6666666666666666</x:v>
      </x:c>
      <x:c r="AA129" s="24" t="n">
        <x:f>IFERROR(F129/H129,0)-IFERROR(G129/I129,0)</x:f>
        <x:v>-0.1607142857142857</x:v>
      </x:c>
      <x:c r="AB129" s="28" t="n">
        <x:f>J129-K129</x:f>
        <x:v>-1</x:v>
      </x:c>
      <x:c r="AC129" s="32" t="n">
        <x:f>F129-G129</x:f>
        <x:v>-1</x:v>
      </x:c>
    </x:row>
    <x:row r="130">
      <x:c r="A130" s="4" t="str">
        <x:v>2021-22</x:v>
      </x:c>
      <x:c r="B130" s="20" t="n">
        <x:v>44471</x:v>
      </x:c>
      <x:c r="C130" s="4" t="str">
        <x:v>Norwich</x:v>
      </x:c>
      <x:c r="D130" s="4" t="str">
        <x:v>Burnley</x:v>
      </x:c>
      <x:c r="E130" s="4" t="str">
        <x:v>Away</x:v>
      </x:c>
      <x:c r="F130" s="28" t="n">
        <x:v>0</x:v>
      </x:c>
      <x:c r="G130" s="28" t="n">
        <x:v>0</x:v>
      </x:c>
      <x:c r="H130" s="28" t="n">
        <x:v>10</x:v>
      </x:c>
      <x:c r="I130" s="28" t="n">
        <x:v>14</x:v>
      </x:c>
      <x:c r="J130" s="28" t="n">
        <x:v>2</x:v>
      </x:c>
      <x:c r="K130" s="28" t="n">
        <x:v>4</x:v>
      </x:c>
      <x:c r="L130" s="28" t="n">
        <x:v>5</x:v>
      </x:c>
      <x:c r="M130" s="28" t="n">
        <x:v>9</x:v>
      </x:c>
      <x:c r="N130" s="28" t="n">
        <x:v>2</x:v>
      </x:c>
      <x:c r="O130" s="28" t="n">
        <x:v>0</x:v>
      </x:c>
      <x:c r="P130" s="28" t="n">
        <x:v>1</x:v>
      </x:c>
      <x:c r="Q130" s="24" t="n">
        <x:f>IFERROR(J130/H130,0)</x:f>
        <x:v>0.2</x:v>
      </x:c>
      <x:c r="R130" s="24" t="n">
        <x:f>IFERROR(F130/H130,0)</x:f>
        <x:v>0</x:v>
      </x:c>
      <x:c r="S130" s="24" t="n">
        <x:f>IFERROR(F130/J130,0)</x:f>
        <x:v>0</x:v>
      </x:c>
      <x:c r="T130" s="28" t="n">
        <x:f>H130-I130</x:f>
        <x:v>-4</x:v>
      </x:c>
      <x:c r="U130" s="24" t="n">
        <x:f>IFERROR(J130/H130,0)-IFERROR(K130/I130,0)</x:f>
        <x:v>-0.08571428571428569</x:v>
      </x:c>
      <x:c r="V130" s="24" t="n">
        <x:f>IFERROR(F130/J130,0)-IFERROR(G130/K130,0)</x:f>
        <x:v>0</x:v>
      </x:c>
      <x:c r="W130" s="28" t="n">
        <x:f>L130-M130</x:f>
        <x:v>-4</x:v>
      </x:c>
      <x:c r="X130" s="24" t="n">
        <x:f>IFERROR(K130/I130,0)</x:f>
        <x:v>0.2857142857142857</x:v>
      </x:c>
      <x:c r="Y130" s="24" t="n">
        <x:f>IFERROR(G130/I130,0)</x:f>
        <x:v>0</x:v>
      </x:c>
      <x:c r="Z130" s="24" t="n">
        <x:f>IFERROR(G130/K130,0)</x:f>
        <x:v>0</x:v>
      </x:c>
      <x:c r="AA130" s="24" t="n">
        <x:f>IFERROR(F130/H130,0)-IFERROR(G130/I130,0)</x:f>
        <x:v>0</x:v>
      </x:c>
      <x:c r="AB130" s="28" t="n">
        <x:f>J130-K130</x:f>
        <x:v>-2</x:v>
      </x:c>
      <x:c r="AC130" s="32" t="n">
        <x:f>F130-G130</x:f>
        <x:v>0</x:v>
      </x:c>
    </x:row>
    <x:row r="131">
      <x:c r="A131" s="4" t="str">
        <x:v>2021-22</x:v>
      </x:c>
      <x:c r="B131" s="20" t="n">
        <x:v>44471</x:v>
      </x:c>
      <x:c r="C131" s="4" t="str">
        <x:v>Southampton</x:v>
      </x:c>
      <x:c r="D131" s="4" t="str">
        <x:v>Chelsea</x:v>
      </x:c>
      <x:c r="E131" s="4" t="str">
        <x:v>Away</x:v>
      </x:c>
      <x:c r="F131" s="28" t="n">
        <x:v>1</x:v>
      </x:c>
      <x:c r="G131" s="28" t="n">
        <x:v>3</x:v>
      </x:c>
      <x:c r="H131" s="28" t="n">
        <x:v>6</x:v>
      </x:c>
      <x:c r="I131" s="28" t="n">
        <x:v>20</x:v>
      </x:c>
      <x:c r="J131" s="28" t="n">
        <x:v>2</x:v>
      </x:c>
      <x:c r="K131" s="28" t="n">
        <x:v>9</x:v>
      </x:c>
      <x:c r="L131" s="28" t="n">
        <x:v>2</x:v>
      </x:c>
      <x:c r="M131" s="28" t="n">
        <x:v>7</x:v>
      </x:c>
      <x:c r="N131" s="28" t="n">
        <x:v>3</x:v>
      </x:c>
      <x:c r="O131" s="28" t="n">
        <x:v>1</x:v>
      </x:c>
      <x:c r="P131" s="28" t="n">
        <x:v>0</x:v>
      </x:c>
      <x:c r="Q131" s="24" t="n">
        <x:f>IFERROR(J131/H131,0)</x:f>
        <x:v>0.3333333333333333</x:v>
      </x:c>
      <x:c r="R131" s="24" t="n">
        <x:f>IFERROR(F131/H131,0)</x:f>
        <x:v>0.16666666666666666</x:v>
      </x:c>
      <x:c r="S131" s="24" t="n">
        <x:f>IFERROR(F131/J131,0)</x:f>
        <x:v>0.5</x:v>
      </x:c>
      <x:c r="T131" s="28" t="n">
        <x:f>H131-I131</x:f>
        <x:v>-14</x:v>
      </x:c>
      <x:c r="U131" s="24" t="n">
        <x:f>IFERROR(J131/H131,0)-IFERROR(K131/I131,0)</x:f>
        <x:v>-0.1166666666666667</x:v>
      </x:c>
      <x:c r="V131" s="24" t="n">
        <x:f>IFERROR(F131/J131,0)-IFERROR(G131/K131,0)</x:f>
        <x:v>0.16666666666666669</x:v>
      </x:c>
      <x:c r="W131" s="28" t="n">
        <x:f>L131-M131</x:f>
        <x:v>-5</x:v>
      </x:c>
      <x:c r="X131" s="24" t="n">
        <x:f>IFERROR(K131/I131,0)</x:f>
        <x:v>0.45</x:v>
      </x:c>
      <x:c r="Y131" s="24" t="n">
        <x:f>IFERROR(G131/I131,0)</x:f>
        <x:v>0.15</x:v>
      </x:c>
      <x:c r="Z131" s="24" t="n">
        <x:f>IFERROR(G131/K131,0)</x:f>
        <x:v>0.3333333333333333</x:v>
      </x:c>
      <x:c r="AA131" s="24" t="n">
        <x:f>IFERROR(F131/H131,0)-IFERROR(G131/I131,0)</x:f>
        <x:v>0.016666666666666663</x:v>
      </x:c>
      <x:c r="AB131" s="28" t="n">
        <x:f>J131-K131</x:f>
        <x:v>-7</x:v>
      </x:c>
      <x:c r="AC131" s="32" t="n">
        <x:f>F131-G131</x:f>
        <x:v>-2</x:v>
      </x:c>
    </x:row>
    <x:row r="132">
      <x:c r="A132" s="4" t="str">
        <x:v>2021-22</x:v>
      </x:c>
      <x:c r="B132" s="20" t="n">
        <x:v>44471</x:v>
      </x:c>
      <x:c r="C132" s="4" t="str">
        <x:v>Watford</x:v>
      </x:c>
      <x:c r="D132" s="4" t="str">
        <x:v>Leeds</x:v>
      </x:c>
      <x:c r="E132" s="4" t="str">
        <x:v>Away</x:v>
      </x:c>
      <x:c r="F132" s="28" t="n">
        <x:v>0</x:v>
      </x:c>
      <x:c r="G132" s="28" t="n">
        <x:v>1</x:v>
      </x:c>
      <x:c r="H132" s="28" t="n">
        <x:v>5</x:v>
      </x:c>
      <x:c r="I132" s="28" t="n">
        <x:v>20</x:v>
      </x:c>
      <x:c r="J132" s="28" t="n">
        <x:v>1</x:v>
      </x:c>
      <x:c r="K132" s="28" t="n">
        <x:v>4</x:v>
      </x:c>
      <x:c r="L132" s="28" t="n">
        <x:v>3</x:v>
      </x:c>
      <x:c r="M132" s="28" t="n">
        <x:v>6</x:v>
      </x:c>
      <x:c r="N132" s="28" t="n">
        <x:v>3</x:v>
      </x:c>
      <x:c r="O132" s="28" t="n">
        <x:v>0</x:v>
      </x:c>
      <x:c r="P132" s="28" t="n">
        <x:v>0</x:v>
      </x:c>
      <x:c r="Q132" s="24" t="n">
        <x:f>IFERROR(J132/H132,0)</x:f>
        <x:v>0.2</x:v>
      </x:c>
      <x:c r="R132" s="24" t="n">
        <x:f>IFERROR(F132/H132,0)</x:f>
        <x:v>0</x:v>
      </x:c>
      <x:c r="S132" s="24" t="n">
        <x:f>IFERROR(F132/J132,0)</x:f>
        <x:v>0</x:v>
      </x:c>
      <x:c r="T132" s="28" t="n">
        <x:f>H132-I132</x:f>
        <x:v>-15</x:v>
      </x:c>
      <x:c r="U132" s="24" t="n">
        <x:f>IFERROR(J132/H132,0)-IFERROR(K132/I132,0)</x:f>
        <x:v>0</x:v>
      </x:c>
      <x:c r="V132" s="24" t="n">
        <x:f>IFERROR(F132/J132,0)-IFERROR(G132/K132,0)</x:f>
        <x:v>-0.25</x:v>
      </x:c>
      <x:c r="W132" s="28" t="n">
        <x:f>L132-M132</x:f>
        <x:v>-3</x:v>
      </x:c>
      <x:c r="X132" s="24" t="n">
        <x:f>IFERROR(K132/I132,0)</x:f>
        <x:v>0.2</x:v>
      </x:c>
      <x:c r="Y132" s="24" t="n">
        <x:f>IFERROR(G132/I132,0)</x:f>
        <x:v>0.05</x:v>
      </x:c>
      <x:c r="Z132" s="24" t="n">
        <x:f>IFERROR(G132/K132,0)</x:f>
        <x:v>0.25</x:v>
      </x:c>
      <x:c r="AA132" s="24" t="n">
        <x:f>IFERROR(F132/H132,0)-IFERROR(G132/I132,0)</x:f>
        <x:v>-0.05</x:v>
      </x:c>
      <x:c r="AB132" s="28" t="n">
        <x:f>J132-K132</x:f>
        <x:v>-3</x:v>
      </x:c>
      <x:c r="AC132" s="32" t="n">
        <x:f>F132-G132</x:f>
        <x:v>-1</x:v>
      </x:c>
    </x:row>
    <x:row r="133">
      <x:c r="A133" s="4" t="str">
        <x:v>2021-22</x:v>
      </x:c>
      <x:c r="B133" s="20" t="n">
        <x:v>44471</x:v>
      </x:c>
      <x:c r="C133" s="4" t="str">
        <x:v>Wolves</x:v>
      </x:c>
      <x:c r="D133" s="4" t="str">
        <x:v>Newcastle</x:v>
      </x:c>
      <x:c r="E133" s="4" t="str">
        <x:v>Home</x:v>
      </x:c>
      <x:c r="F133" s="28" t="n">
        <x:v>2</x:v>
      </x:c>
      <x:c r="G133" s="28" t="n">
        <x:v>1</x:v>
      </x:c>
      <x:c r="H133" s="28" t="n">
        <x:v>7</x:v>
      </x:c>
      <x:c r="I133" s="28" t="n">
        <x:v>8</x:v>
      </x:c>
      <x:c r="J133" s="28" t="n">
        <x:v>3</x:v>
      </x:c>
      <x:c r="K133" s="28" t="n">
        <x:v>2</x:v>
      </x:c>
      <x:c r="L133" s="28" t="n">
        <x:v>0</x:v>
      </x:c>
      <x:c r="M133" s="28" t="n">
        <x:v>4</x:v>
      </x:c>
      <x:c r="N133" s="28" t="n">
        <x:v>0</x:v>
      </x:c>
      <x:c r="O133" s="28" t="n">
        <x:v>0</x:v>
      </x:c>
      <x:c r="P133" s="28" t="n">
        <x:v>3</x:v>
      </x:c>
      <x:c r="Q133" s="24" t="n">
        <x:f>IFERROR(J133/H133,0)</x:f>
        <x:v>0.42857142857142855</x:v>
      </x:c>
      <x:c r="R133" s="24" t="n">
        <x:f>IFERROR(F133/H133,0)</x:f>
        <x:v>0.2857142857142857</x:v>
      </x:c>
      <x:c r="S133" s="24" t="n">
        <x:f>IFERROR(F133/J133,0)</x:f>
        <x:v>0.6666666666666666</x:v>
      </x:c>
      <x:c r="T133" s="28" t="n">
        <x:f>H133-I133</x:f>
        <x:v>-1</x:v>
      </x:c>
      <x:c r="U133" s="24" t="n">
        <x:f>IFERROR(J133/H133,0)-IFERROR(K133/I133,0)</x:f>
        <x:v>0.17857142857142855</x:v>
      </x:c>
      <x:c r="V133" s="24" t="n">
        <x:f>IFERROR(F133/J133,0)-IFERROR(G133/K133,0)</x:f>
        <x:v>0.16666666666666663</x:v>
      </x:c>
      <x:c r="W133" s="28" t="n">
        <x:f>L133-M133</x:f>
        <x:v>-4</x:v>
      </x:c>
      <x:c r="X133" s="24" t="n">
        <x:f>IFERROR(K133/I133,0)</x:f>
        <x:v>0.25</x:v>
      </x:c>
      <x:c r="Y133" s="24" t="n">
        <x:f>IFERROR(G133/I133,0)</x:f>
        <x:v>0.125</x:v>
      </x:c>
      <x:c r="Z133" s="24" t="n">
        <x:f>IFERROR(G133/K133,0)</x:f>
        <x:v>0.5</x:v>
      </x:c>
      <x:c r="AA133" s="24" t="n">
        <x:f>IFERROR(F133/H133,0)-IFERROR(G133/I133,0)</x:f>
        <x:v>0.1607142857142857</x:v>
      </x:c>
      <x:c r="AB133" s="28" t="n">
        <x:f>J133-K133</x:f>
        <x:v>1</x:v>
      </x:c>
      <x:c r="AC133" s="32" t="n">
        <x:f>F133-G133</x:f>
        <x:v>1</x:v>
      </x:c>
    </x:row>
    <x:row r="134">
      <x:c r="A134" s="4" t="str">
        <x:v>2021-22</x:v>
      </x:c>
      <x:c r="B134" s="20" t="n">
        <x:v>44472</x:v>
      </x:c>
      <x:c r="C134" s="4" t="str">
        <x:v>Aston Villa</x:v>
      </x:c>
      <x:c r="D134" s="4" t="str">
        <x:v>Tottenham</x:v>
      </x:c>
      <x:c r="E134" s="4" t="str">
        <x:v>Away</x:v>
      </x:c>
      <x:c r="F134" s="28" t="n">
        <x:v>1</x:v>
      </x:c>
      <x:c r="G134" s="28" t="n">
        <x:v>2</x:v>
      </x:c>
      <x:c r="H134" s="28" t="n">
        <x:v>14</x:v>
      </x:c>
      <x:c r="I134" s="28" t="n">
        <x:v>17</x:v>
      </x:c>
      <x:c r="J134" s="28" t="n">
        <x:v>3</x:v>
      </x:c>
      <x:c r="K134" s="28" t="n">
        <x:v>8</x:v>
      </x:c>
      <x:c r="L134" s="28" t="n">
        <x:v>8</x:v>
      </x:c>
      <x:c r="M134" s="28" t="n">
        <x:v>5</x:v>
      </x:c>
      <x:c r="N134" s="28" t="n">
        <x:v>1</x:v>
      </x:c>
      <x:c r="O134" s="28" t="n">
        <x:v>0</x:v>
      </x:c>
      <x:c r="P134" s="28" t="n">
        <x:v>0</x:v>
      </x:c>
      <x:c r="Q134" s="24" t="n">
        <x:f>IFERROR(J134/H134,0)</x:f>
        <x:v>0.21428571428571427</x:v>
      </x:c>
      <x:c r="R134" s="24" t="n">
        <x:f>IFERROR(F134/H134,0)</x:f>
        <x:v>0.07142857142857142</x:v>
      </x:c>
      <x:c r="S134" s="24" t="n">
        <x:f>IFERROR(F134/J134,0)</x:f>
        <x:v>0.3333333333333333</x:v>
      </x:c>
      <x:c r="T134" s="28" t="n">
        <x:f>H134-I134</x:f>
        <x:v>-3</x:v>
      </x:c>
      <x:c r="U134" s="24" t="n">
        <x:f>IFERROR(J134/H134,0)-IFERROR(K134/I134,0)</x:f>
        <x:v>-0.25630252100840334</x:v>
      </x:c>
      <x:c r="V134" s="24" t="n">
        <x:f>IFERROR(F134/J134,0)-IFERROR(G134/K134,0)</x:f>
        <x:v>0.08333333333333331</x:v>
      </x:c>
      <x:c r="W134" s="28" t="n">
        <x:f>L134-M134</x:f>
        <x:v>3</x:v>
      </x:c>
      <x:c r="X134" s="24" t="n">
        <x:f>IFERROR(K134/I134,0)</x:f>
        <x:v>0.47058823529411764</x:v>
      </x:c>
      <x:c r="Y134" s="24" t="n">
        <x:f>IFERROR(G134/I134,0)</x:f>
        <x:v>0.11764705882352941</x:v>
      </x:c>
      <x:c r="Z134" s="24" t="n">
        <x:f>IFERROR(G134/K134,0)</x:f>
        <x:v>0.25</x:v>
      </x:c>
      <x:c r="AA134" s="24" t="n">
        <x:f>IFERROR(F134/H134,0)-IFERROR(G134/I134,0)</x:f>
        <x:v>-0.046218487394957986</x:v>
      </x:c>
      <x:c r="AB134" s="28" t="n">
        <x:f>J134-K134</x:f>
        <x:v>-5</x:v>
      </x:c>
      <x:c r="AC134" s="32" t="n">
        <x:f>F134-G134</x:f>
        <x:v>-1</x:v>
      </x:c>
    </x:row>
    <x:row r="135">
      <x:c r="A135" s="4" t="str">
        <x:v>2021-22</x:v>
      </x:c>
      <x:c r="B135" s="20" t="n">
        <x:v>44472</x:v>
      </x:c>
      <x:c r="C135" s="4" t="str">
        <x:v>Brentford</x:v>
      </x:c>
      <x:c r="D135" s="4" t="str">
        <x:v>West Ham</x:v>
      </x:c>
      <x:c r="E135" s="4" t="str">
        <x:v>Away</x:v>
      </x:c>
      <x:c r="F135" s="28" t="n">
        <x:v>2</x:v>
      </x:c>
      <x:c r="G135" s="28" t="n">
        <x:v>1</x:v>
      </x:c>
      <x:c r="H135" s="28" t="n">
        <x:v>13</x:v>
      </x:c>
      <x:c r="I135" s="28" t="n">
        <x:v>18</x:v>
      </x:c>
      <x:c r="J135" s="28" t="n">
        <x:v>6</x:v>
      </x:c>
      <x:c r="K135" s="28" t="n">
        <x:v>5</x:v>
      </x:c>
      <x:c r="L135" s="28" t="n">
        <x:v>6</x:v>
      </x:c>
      <x:c r="M135" s="28" t="n">
        <x:v>11</x:v>
      </x:c>
      <x:c r="N135" s="28" t="n">
        <x:v>3</x:v>
      </x:c>
      <x:c r="O135" s="28" t="n">
        <x:v>0</x:v>
      </x:c>
      <x:c r="P135" s="28" t="n">
        <x:v>3</x:v>
      </x:c>
      <x:c r="Q135" s="24" t="n">
        <x:f>IFERROR(J135/H135,0)</x:f>
        <x:v>0.46153846153846156</x:v>
      </x:c>
      <x:c r="R135" s="24" t="n">
        <x:f>IFERROR(F135/H135,0)</x:f>
        <x:v>0.15384615384615385</x:v>
      </x:c>
      <x:c r="S135" s="24" t="n">
        <x:f>IFERROR(F135/J135,0)</x:f>
        <x:v>0.3333333333333333</x:v>
      </x:c>
      <x:c r="T135" s="28" t="n">
        <x:f>H135-I135</x:f>
        <x:v>-5</x:v>
      </x:c>
      <x:c r="U135" s="24" t="n">
        <x:f>IFERROR(J135/H135,0)-IFERROR(K135/I135,0)</x:f>
        <x:v>0.18376068376068377</x:v>
      </x:c>
      <x:c r="V135" s="24" t="n">
        <x:f>IFERROR(F135/J135,0)-IFERROR(G135/K135,0)</x:f>
        <x:v>0.1333333333333333</x:v>
      </x:c>
      <x:c r="W135" s="28" t="n">
        <x:f>L135-M135</x:f>
        <x:v>-5</x:v>
      </x:c>
      <x:c r="X135" s="24" t="n">
        <x:f>IFERROR(K135/I135,0)</x:f>
        <x:v>0.2777777777777778</x:v>
      </x:c>
      <x:c r="Y135" s="24" t="n">
        <x:f>IFERROR(G135/I135,0)</x:f>
        <x:v>0.05555555555555555</x:v>
      </x:c>
      <x:c r="Z135" s="24" t="n">
        <x:f>IFERROR(G135/K135,0)</x:f>
        <x:v>0.2</x:v>
      </x:c>
      <x:c r="AA135" s="24" t="n">
        <x:f>IFERROR(F135/H135,0)-IFERROR(G135/I135,0)</x:f>
        <x:v>0.0982905982905983</x:v>
      </x:c>
      <x:c r="AB135" s="28" t="n">
        <x:f>J135-K135</x:f>
        <x:v>1</x:v>
      </x:c>
      <x:c r="AC135" s="32" t="n">
        <x:f>F135-G135</x:f>
        <x:v>1</x:v>
      </x:c>
    </x:row>
    <x:row r="136">
      <x:c r="A136" s="4" t="str">
        <x:v>2021-22</x:v>
      </x:c>
      <x:c r="B136" s="20" t="n">
        <x:v>44472</x:v>
      </x:c>
      <x:c r="C136" s="4" t="str">
        <x:v>Crystal Palace</x:v>
      </x:c>
      <x:c r="D136" s="4" t="str">
        <x:v>Leicester</x:v>
      </x:c>
      <x:c r="E136" s="4" t="str">
        <x:v>Home</x:v>
      </x:c>
      <x:c r="F136" s="28" t="n">
        <x:v>2</x:v>
      </x:c>
      <x:c r="G136" s="28" t="n">
        <x:v>2</x:v>
      </x:c>
      <x:c r="H136" s="28" t="n">
        <x:v>18</x:v>
      </x:c>
      <x:c r="I136" s="28" t="n">
        <x:v>9</x:v>
      </x:c>
      <x:c r="J136" s="28" t="n">
        <x:v>4</x:v>
      </x:c>
      <x:c r="K136" s="28" t="n">
        <x:v>5</x:v>
      </x:c>
      <x:c r="L136" s="28" t="n">
        <x:v>1</x:v>
      </x:c>
      <x:c r="M136" s="28" t="n">
        <x:v>3</x:v>
      </x:c>
      <x:c r="N136" s="28" t="n">
        <x:v>2</x:v>
      </x:c>
      <x:c r="O136" s="28" t="n">
        <x:v>0</x:v>
      </x:c>
      <x:c r="P136" s="28" t="n">
        <x:v>1</x:v>
      </x:c>
      <x:c r="Q136" s="24" t="n">
        <x:f>IFERROR(J136/H136,0)</x:f>
        <x:v>0.2222222222222222</x:v>
      </x:c>
      <x:c r="R136" s="24" t="n">
        <x:f>IFERROR(F136/H136,0)</x:f>
        <x:v>0.1111111111111111</x:v>
      </x:c>
      <x:c r="S136" s="24" t="n">
        <x:f>IFERROR(F136/J136,0)</x:f>
        <x:v>0.5</x:v>
      </x:c>
      <x:c r="T136" s="28" t="n">
        <x:f>H136-I136</x:f>
        <x:v>9</x:v>
      </x:c>
      <x:c r="U136" s="24" t="n">
        <x:f>IFERROR(J136/H136,0)-IFERROR(K136/I136,0)</x:f>
        <x:v>-0.33333333333333337</x:v>
      </x:c>
      <x:c r="V136" s="24" t="n">
        <x:f>IFERROR(F136/J136,0)-IFERROR(G136/K136,0)</x:f>
        <x:v>0.09999999999999998</x:v>
      </x:c>
      <x:c r="W136" s="28" t="n">
        <x:f>L136-M136</x:f>
        <x:v>-2</x:v>
      </x:c>
      <x:c r="X136" s="24" t="n">
        <x:f>IFERROR(K136/I136,0)</x:f>
        <x:v>0.5555555555555556</x:v>
      </x:c>
      <x:c r="Y136" s="24" t="n">
        <x:f>IFERROR(G136/I136,0)</x:f>
        <x:v>0.2222222222222222</x:v>
      </x:c>
      <x:c r="Z136" s="24" t="n">
        <x:f>IFERROR(G136/K136,0)</x:f>
        <x:v>0.4</x:v>
      </x:c>
      <x:c r="AA136" s="24" t="n">
        <x:f>IFERROR(F136/H136,0)-IFERROR(G136/I136,0)</x:f>
        <x:v>-0.1111111111111111</x:v>
      </x:c>
      <x:c r="AB136" s="28" t="n">
        <x:f>J136-K136</x:f>
        <x:v>-1</x:v>
      </x:c>
      <x:c r="AC136" s="32" t="n">
        <x:f>F136-G136</x:f>
        <x:v>0</x:v>
      </x:c>
    </x:row>
    <x:row r="137">
      <x:c r="A137" s="4" t="str">
        <x:v>2021-22</x:v>
      </x:c>
      <x:c r="B137" s="20" t="n">
        <x:v>44472</x:v>
      </x:c>
      <x:c r="C137" s="4" t="str">
        <x:v>Leicester</x:v>
      </x:c>
      <x:c r="D137" s="4" t="str">
        <x:v>Crystal Palace</x:v>
      </x:c>
      <x:c r="E137" s="4" t="str">
        <x:v>Away</x:v>
      </x:c>
      <x:c r="F137" s="28" t="n">
        <x:v>2</x:v>
      </x:c>
      <x:c r="G137" s="28" t="n">
        <x:v>2</x:v>
      </x:c>
      <x:c r="H137" s="28" t="n">
        <x:v>9</x:v>
      </x:c>
      <x:c r="I137" s="28" t="n">
        <x:v>18</x:v>
      </x:c>
      <x:c r="J137" s="28" t="n">
        <x:v>5</x:v>
      </x:c>
      <x:c r="K137" s="28" t="n">
        <x:v>4</x:v>
      </x:c>
      <x:c r="L137" s="28" t="n">
        <x:v>3</x:v>
      </x:c>
      <x:c r="M137" s="28" t="n">
        <x:v>1</x:v>
      </x:c>
      <x:c r="N137" s="28" t="n">
        <x:v>3</x:v>
      </x:c>
      <x:c r="O137" s="28" t="n">
        <x:v>0</x:v>
      </x:c>
      <x:c r="P137" s="28" t="n">
        <x:v>1</x:v>
      </x:c>
      <x:c r="Q137" s="24" t="n">
        <x:f>IFERROR(J137/H137,0)</x:f>
        <x:v>0.5555555555555556</x:v>
      </x:c>
      <x:c r="R137" s="24" t="n">
        <x:f>IFERROR(F137/H137,0)</x:f>
        <x:v>0.2222222222222222</x:v>
      </x:c>
      <x:c r="S137" s="24" t="n">
        <x:f>IFERROR(F137/J137,0)</x:f>
        <x:v>0.4</x:v>
      </x:c>
      <x:c r="T137" s="28" t="n">
        <x:f>H137-I137</x:f>
        <x:v>-9</x:v>
      </x:c>
      <x:c r="U137" s="24" t="n">
        <x:f>IFERROR(J137/H137,0)-IFERROR(K137/I137,0)</x:f>
        <x:v>0.33333333333333337</x:v>
      </x:c>
      <x:c r="V137" s="24" t="n">
        <x:f>IFERROR(F137/J137,0)-IFERROR(G137/K137,0)</x:f>
        <x:v>-0.09999999999999998</x:v>
      </x:c>
      <x:c r="W137" s="28" t="n">
        <x:f>L137-M137</x:f>
        <x:v>2</x:v>
      </x:c>
      <x:c r="X137" s="24" t="n">
        <x:f>IFERROR(K137/I137,0)</x:f>
        <x:v>0.2222222222222222</x:v>
      </x:c>
      <x:c r="Y137" s="24" t="n">
        <x:f>IFERROR(G137/I137,0)</x:f>
        <x:v>0.1111111111111111</x:v>
      </x:c>
      <x:c r="Z137" s="24" t="n">
        <x:f>IFERROR(G137/K137,0)</x:f>
        <x:v>0.5</x:v>
      </x:c>
      <x:c r="AA137" s="24" t="n">
        <x:f>IFERROR(F137/H137,0)-IFERROR(G137/I137,0)</x:f>
        <x:v>0.1111111111111111</x:v>
      </x:c>
      <x:c r="AB137" s="28" t="n">
        <x:f>J137-K137</x:f>
        <x:v>1</x:v>
      </x:c>
      <x:c r="AC137" s="32" t="n">
        <x:f>F137-G137</x:f>
        <x:v>0</x:v>
      </x:c>
    </x:row>
    <x:row r="138">
      <x:c r="A138" s="4" t="str">
        <x:v>2021-22</x:v>
      </x:c>
      <x:c r="B138" s="20" t="n">
        <x:v>44472</x:v>
      </x:c>
      <x:c r="C138" s="4" t="str">
        <x:v>Liverpool</x:v>
      </x:c>
      <x:c r="D138" s="4" t="str">
        <x:v>Man City</x:v>
      </x:c>
      <x:c r="E138" s="4" t="str">
        <x:v>Home</x:v>
      </x:c>
      <x:c r="F138" s="28" t="n">
        <x:v>2</x:v>
      </x:c>
      <x:c r="G138" s="28" t="n">
        <x:v>2</x:v>
      </x:c>
      <x:c r="H138" s="28" t="n">
        <x:v>6</x:v>
      </x:c>
      <x:c r="I138" s="28" t="n">
        <x:v>12</x:v>
      </x:c>
      <x:c r="J138" s="28" t="n">
        <x:v>4</x:v>
      </x:c>
      <x:c r="K138" s="28" t="n">
        <x:v>3</x:v>
      </x:c>
      <x:c r="L138" s="28" t="n">
        <x:v>3</x:v>
      </x:c>
      <x:c r="M138" s="28" t="n">
        <x:v>4</x:v>
      </x:c>
      <x:c r="N138" s="28" t="n">
        <x:v>3</x:v>
      </x:c>
      <x:c r="O138" s="28" t="n">
        <x:v>0</x:v>
      </x:c>
      <x:c r="P138" s="28" t="n">
        <x:v>1</x:v>
      </x:c>
      <x:c r="Q138" s="24" t="n">
        <x:f>IFERROR(J138/H138,0)</x:f>
        <x:v>0.6666666666666666</x:v>
      </x:c>
      <x:c r="R138" s="24" t="n">
        <x:f>IFERROR(F138/H138,0)</x:f>
        <x:v>0.3333333333333333</x:v>
      </x:c>
      <x:c r="S138" s="24" t="n">
        <x:f>IFERROR(F138/J138,0)</x:f>
        <x:v>0.5</x:v>
      </x:c>
      <x:c r="T138" s="28" t="n">
        <x:f>H138-I138</x:f>
        <x:v>-6</x:v>
      </x:c>
      <x:c r="U138" s="24" t="n">
        <x:f>IFERROR(J138/H138,0)-IFERROR(K138/I138,0)</x:f>
        <x:v>0.41666666666666663</x:v>
      </x:c>
      <x:c r="V138" s="24" t="n">
        <x:f>IFERROR(F138/J138,0)-IFERROR(G138/K138,0)</x:f>
        <x:v>-0.16666666666666663</x:v>
      </x:c>
      <x:c r="W138" s="28" t="n">
        <x:f>L138-M138</x:f>
        <x:v>-1</x:v>
      </x:c>
      <x:c r="X138" s="24" t="n">
        <x:f>IFERROR(K138/I138,0)</x:f>
        <x:v>0.25</x:v>
      </x:c>
      <x:c r="Y138" s="24" t="n">
        <x:f>IFERROR(G138/I138,0)</x:f>
        <x:v>0.16666666666666666</x:v>
      </x:c>
      <x:c r="Z138" s="24" t="n">
        <x:f>IFERROR(G138/K138,0)</x:f>
        <x:v>0.6666666666666666</x:v>
      </x:c>
      <x:c r="AA138" s="24" t="n">
        <x:f>IFERROR(F138/H138,0)-IFERROR(G138/I138,0)</x:f>
        <x:v>0.16666666666666666</x:v>
      </x:c>
      <x:c r="AB138" s="28" t="n">
        <x:f>J138-K138</x:f>
        <x:v>1</x:v>
      </x:c>
      <x:c r="AC138" s="32" t="n">
        <x:f>F138-G138</x:f>
        <x:v>0</x:v>
      </x:c>
    </x:row>
    <x:row r="139">
      <x:c r="A139" s="4" t="str">
        <x:v>2021-22</x:v>
      </x:c>
      <x:c r="B139" s="20" t="n">
        <x:v>44472</x:v>
      </x:c>
      <x:c r="C139" s="4" t="str">
        <x:v>Man City</x:v>
      </x:c>
      <x:c r="D139" s="4" t="str">
        <x:v>Liverpool</x:v>
      </x:c>
      <x:c r="E139" s="4" t="str">
        <x:v>Away</x:v>
      </x:c>
      <x:c r="F139" s="28" t="n">
        <x:v>2</x:v>
      </x:c>
      <x:c r="G139" s="28" t="n">
        <x:v>2</x:v>
      </x:c>
      <x:c r="H139" s="28" t="n">
        <x:v>12</x:v>
      </x:c>
      <x:c r="I139" s="28" t="n">
        <x:v>6</x:v>
      </x:c>
      <x:c r="J139" s="28" t="n">
        <x:v>3</x:v>
      </x:c>
      <x:c r="K139" s="28" t="n">
        <x:v>4</x:v>
      </x:c>
      <x:c r="L139" s="28" t="n">
        <x:v>4</x:v>
      </x:c>
      <x:c r="M139" s="28" t="n">
        <x:v>3</x:v>
      </x:c>
      <x:c r="N139" s="28" t="n">
        <x:v>3</x:v>
      </x:c>
      <x:c r="O139" s="28" t="n">
        <x:v>0</x:v>
      </x:c>
      <x:c r="P139" s="28" t="n">
        <x:v>1</x:v>
      </x:c>
      <x:c r="Q139" s="24" t="n">
        <x:f>IFERROR(J139/H139,0)</x:f>
        <x:v>0.25</x:v>
      </x:c>
      <x:c r="R139" s="24" t="n">
        <x:f>IFERROR(F139/H139,0)</x:f>
        <x:v>0.16666666666666666</x:v>
      </x:c>
      <x:c r="S139" s="24" t="n">
        <x:f>IFERROR(F139/J139,0)</x:f>
        <x:v>0.6666666666666666</x:v>
      </x:c>
      <x:c r="T139" s="28" t="n">
        <x:f>H139-I139</x:f>
        <x:v>6</x:v>
      </x:c>
      <x:c r="U139" s="24" t="n">
        <x:f>IFERROR(J139/H139,0)-IFERROR(K139/I139,0)</x:f>
        <x:v>-0.41666666666666663</x:v>
      </x:c>
      <x:c r="V139" s="24" t="n">
        <x:f>IFERROR(F139/J139,0)-IFERROR(G139/K139,0)</x:f>
        <x:v>0.16666666666666663</x:v>
      </x:c>
      <x:c r="W139" s="28" t="n">
        <x:f>L139-M139</x:f>
        <x:v>1</x:v>
      </x:c>
      <x:c r="X139" s="24" t="n">
        <x:f>IFERROR(K139/I139,0)</x:f>
        <x:v>0.6666666666666666</x:v>
      </x:c>
      <x:c r="Y139" s="24" t="n">
        <x:f>IFERROR(G139/I139,0)</x:f>
        <x:v>0.3333333333333333</x:v>
      </x:c>
      <x:c r="Z139" s="24" t="n">
        <x:f>IFERROR(G139/K139,0)</x:f>
        <x:v>0.5</x:v>
      </x:c>
      <x:c r="AA139" s="24" t="n">
        <x:f>IFERROR(F139/H139,0)-IFERROR(G139/I139,0)</x:f>
        <x:v>-0.16666666666666666</x:v>
      </x:c>
      <x:c r="AB139" s="28" t="n">
        <x:f>J139-K139</x:f>
        <x:v>-1</x:v>
      </x:c>
      <x:c r="AC139" s="32" t="n">
        <x:f>F139-G139</x:f>
        <x:v>0</x:v>
      </x:c>
    </x:row>
    <x:row r="140">
      <x:c r="A140" s="4" t="str">
        <x:v>2021-22</x:v>
      </x:c>
      <x:c r="B140" s="20" t="n">
        <x:v>44472</x:v>
      </x:c>
      <x:c r="C140" s="4" t="str">
        <x:v>Tottenham</x:v>
      </x:c>
      <x:c r="D140" s="4" t="str">
        <x:v>Aston Villa</x:v>
      </x:c>
      <x:c r="E140" s="4" t="str">
        <x:v>Home</x:v>
      </x:c>
      <x:c r="F140" s="28" t="n">
        <x:v>2</x:v>
      </x:c>
      <x:c r="G140" s="28" t="n">
        <x:v>1</x:v>
      </x:c>
      <x:c r="H140" s="28" t="n">
        <x:v>17</x:v>
      </x:c>
      <x:c r="I140" s="28" t="n">
        <x:v>14</x:v>
      </x:c>
      <x:c r="J140" s="28" t="n">
        <x:v>8</x:v>
      </x:c>
      <x:c r="K140" s="28" t="n">
        <x:v>3</x:v>
      </x:c>
      <x:c r="L140" s="28" t="n">
        <x:v>5</x:v>
      </x:c>
      <x:c r="M140" s="28" t="n">
        <x:v>8</x:v>
      </x:c>
      <x:c r="N140" s="28" t="n">
        <x:v>2</x:v>
      </x:c>
      <x:c r="O140" s="28" t="n">
        <x:v>0</x:v>
      </x:c>
      <x:c r="P140" s="28" t="n">
        <x:v>3</x:v>
      </x:c>
      <x:c r="Q140" s="24" t="n">
        <x:f>IFERROR(J140/H140,0)</x:f>
        <x:v>0.47058823529411764</x:v>
      </x:c>
      <x:c r="R140" s="24" t="n">
        <x:f>IFERROR(F140/H140,0)</x:f>
        <x:v>0.11764705882352941</x:v>
      </x:c>
      <x:c r="S140" s="24" t="n">
        <x:f>IFERROR(F140/J140,0)</x:f>
        <x:v>0.25</x:v>
      </x:c>
      <x:c r="T140" s="28" t="n">
        <x:f>H140-I140</x:f>
        <x:v>3</x:v>
      </x:c>
      <x:c r="U140" s="24" t="n">
        <x:f>IFERROR(J140/H140,0)-IFERROR(K140/I140,0)</x:f>
        <x:v>0.25630252100840334</x:v>
      </x:c>
      <x:c r="V140" s="24" t="n">
        <x:f>IFERROR(F140/J140,0)-IFERROR(G140/K140,0)</x:f>
        <x:v>-0.08333333333333331</x:v>
      </x:c>
      <x:c r="W140" s="28" t="n">
        <x:f>L140-M140</x:f>
        <x:v>-3</x:v>
      </x:c>
      <x:c r="X140" s="24" t="n">
        <x:f>IFERROR(K140/I140,0)</x:f>
        <x:v>0.21428571428571427</x:v>
      </x:c>
      <x:c r="Y140" s="24" t="n">
        <x:f>IFERROR(G140/I140,0)</x:f>
        <x:v>0.07142857142857142</x:v>
      </x:c>
      <x:c r="Z140" s="24" t="n">
        <x:f>IFERROR(G140/K140,0)</x:f>
        <x:v>0.3333333333333333</x:v>
      </x:c>
      <x:c r="AA140" s="24" t="n">
        <x:f>IFERROR(F140/H140,0)-IFERROR(G140/I140,0)</x:f>
        <x:v>0.046218487394957986</x:v>
      </x:c>
      <x:c r="AB140" s="28" t="n">
        <x:f>J140-K140</x:f>
        <x:v>5</x:v>
      </x:c>
      <x:c r="AC140" s="32" t="n">
        <x:f>F140-G140</x:f>
        <x:v>1</x:v>
      </x:c>
    </x:row>
    <x:row r="141">
      <x:c r="A141" s="4" t="str">
        <x:v>2021-22</x:v>
      </x:c>
      <x:c r="B141" s="20" t="n">
        <x:v>44472</x:v>
      </x:c>
      <x:c r="C141" s="4" t="str">
        <x:v>West Ham</x:v>
      </x:c>
      <x:c r="D141" s="4" t="str">
        <x:v>Brentford</x:v>
      </x:c>
      <x:c r="E141" s="4" t="str">
        <x:v>Home</x:v>
      </x:c>
      <x:c r="F141" s="28" t="n">
        <x:v>1</x:v>
      </x:c>
      <x:c r="G141" s="28" t="n">
        <x:v>2</x:v>
      </x:c>
      <x:c r="H141" s="28" t="n">
        <x:v>18</x:v>
      </x:c>
      <x:c r="I141" s="28" t="n">
        <x:v>13</x:v>
      </x:c>
      <x:c r="J141" s="28" t="n">
        <x:v>5</x:v>
      </x:c>
      <x:c r="K141" s="28" t="n">
        <x:v>6</x:v>
      </x:c>
      <x:c r="L141" s="28" t="n">
        <x:v>11</x:v>
      </x:c>
      <x:c r="M141" s="28" t="n">
        <x:v>6</x:v>
      </x:c>
      <x:c r="N141" s="28" t="n">
        <x:v>2</x:v>
      </x:c>
      <x:c r="O141" s="28" t="n">
        <x:v>0</x:v>
      </x:c>
      <x:c r="P141" s="28" t="n">
        <x:v>0</x:v>
      </x:c>
      <x:c r="Q141" s="24" t="n">
        <x:f>IFERROR(J141/H141,0)</x:f>
        <x:v>0.2777777777777778</x:v>
      </x:c>
      <x:c r="R141" s="24" t="n">
        <x:f>IFERROR(F141/H141,0)</x:f>
        <x:v>0.05555555555555555</x:v>
      </x:c>
      <x:c r="S141" s="24" t="n">
        <x:f>IFERROR(F141/J141,0)</x:f>
        <x:v>0.2</x:v>
      </x:c>
      <x:c r="T141" s="28" t="n">
        <x:f>H141-I141</x:f>
        <x:v>5</x:v>
      </x:c>
      <x:c r="U141" s="24" t="n">
        <x:f>IFERROR(J141/H141,0)-IFERROR(K141/I141,0)</x:f>
        <x:v>-0.18376068376068377</x:v>
      </x:c>
      <x:c r="V141" s="24" t="n">
        <x:f>IFERROR(F141/J141,0)-IFERROR(G141/K141,0)</x:f>
        <x:v>-0.1333333333333333</x:v>
      </x:c>
      <x:c r="W141" s="28" t="n">
        <x:f>L141-M141</x:f>
        <x:v>5</x:v>
      </x:c>
      <x:c r="X141" s="24" t="n">
        <x:f>IFERROR(K141/I141,0)</x:f>
        <x:v>0.46153846153846156</x:v>
      </x:c>
      <x:c r="Y141" s="24" t="n">
        <x:f>IFERROR(G141/I141,0)</x:f>
        <x:v>0.15384615384615385</x:v>
      </x:c>
      <x:c r="Z141" s="24" t="n">
        <x:f>IFERROR(G141/K141,0)</x:f>
        <x:v>0.3333333333333333</x:v>
      </x:c>
      <x:c r="AA141" s="24" t="n">
        <x:f>IFERROR(F141/H141,0)-IFERROR(G141/I141,0)</x:f>
        <x:v>-0.0982905982905983</x:v>
      </x:c>
      <x:c r="AB141" s="28" t="n">
        <x:f>J141-K141</x:f>
        <x:v>-1</x:v>
      </x:c>
      <x:c r="AC141" s="32" t="n">
        <x:f>F141-G141</x:f>
        <x:v>-1</x:v>
      </x:c>
    </x:row>
    <x:row r="142">
      <x:c r="A142" s="4" t="str">
        <x:v>2021-22</x:v>
      </x:c>
      <x:c r="B142" s="20" t="n">
        <x:v>44485</x:v>
      </x:c>
      <x:c r="C142" s="4" t="str">
        <x:v>Aston Villa</x:v>
      </x:c>
      <x:c r="D142" s="4" t="str">
        <x:v>Wolves</x:v>
      </x:c>
      <x:c r="E142" s="4" t="str">
        <x:v>Home</x:v>
      </x:c>
      <x:c r="F142" s="28" t="n">
        <x:v>2</x:v>
      </x:c>
      <x:c r="G142" s="28" t="n">
        <x:v>3</x:v>
      </x:c>
      <x:c r="H142" s="28" t="n">
        <x:v>14</x:v>
      </x:c>
      <x:c r="I142" s="28" t="n">
        <x:v>9</x:v>
      </x:c>
      <x:c r="J142" s="28" t="n">
        <x:v>5</x:v>
      </x:c>
      <x:c r="K142" s="28" t="n">
        <x:v>4</x:v>
      </x:c>
      <x:c r="L142" s="28" t="n">
        <x:v>6</x:v>
      </x:c>
      <x:c r="M142" s="28" t="n">
        <x:v>7</x:v>
      </x:c>
      <x:c r="N142" s="28" t="n">
        <x:v>2</x:v>
      </x:c>
      <x:c r="O142" s="28" t="n">
        <x:v>0</x:v>
      </x:c>
      <x:c r="P142" s="28" t="n">
        <x:v>0</x:v>
      </x:c>
      <x:c r="Q142" s="24" t="n">
        <x:f>IFERROR(J142/H142,0)</x:f>
        <x:v>0.35714285714285715</x:v>
      </x:c>
      <x:c r="R142" s="24" t="n">
        <x:f>IFERROR(F142/H142,0)</x:f>
        <x:v>0.14285714285714285</x:v>
      </x:c>
      <x:c r="S142" s="24" t="n">
        <x:f>IFERROR(F142/J142,0)</x:f>
        <x:v>0.4</x:v>
      </x:c>
      <x:c r="T142" s="28" t="n">
        <x:f>H142-I142</x:f>
        <x:v>5</x:v>
      </x:c>
      <x:c r="U142" s="24" t="n">
        <x:f>IFERROR(J142/H142,0)-IFERROR(K142/I142,0)</x:f>
        <x:v>-0.08730158730158727</x:v>
      </x:c>
      <x:c r="V142" s="24" t="n">
        <x:f>IFERROR(F142/J142,0)-IFERROR(G142/K142,0)</x:f>
        <x:v>-0.35</x:v>
      </x:c>
      <x:c r="W142" s="28" t="n">
        <x:f>L142-M142</x:f>
        <x:v>-1</x:v>
      </x:c>
      <x:c r="X142" s="24" t="n">
        <x:f>IFERROR(K142/I142,0)</x:f>
        <x:v>0.4444444444444444</x:v>
      </x:c>
      <x:c r="Y142" s="24" t="n">
        <x:f>IFERROR(G142/I142,0)</x:f>
        <x:v>0.3333333333333333</x:v>
      </x:c>
      <x:c r="Z142" s="24" t="n">
        <x:f>IFERROR(G142/K142,0)</x:f>
        <x:v>0.75</x:v>
      </x:c>
      <x:c r="AA142" s="24" t="n">
        <x:f>IFERROR(F142/H142,0)-IFERROR(G142/I142,0)</x:f>
        <x:v>-0.19047619047619047</x:v>
      </x:c>
      <x:c r="AB142" s="28" t="n">
        <x:f>J142-K142</x:f>
        <x:v>1</x:v>
      </x:c>
      <x:c r="AC142" s="32" t="n">
        <x:f>F142-G142</x:f>
        <x:v>-1</x:v>
      </x:c>
    </x:row>
    <x:row r="143">
      <x:c r="A143" s="4" t="str">
        <x:v>2021-22</x:v>
      </x:c>
      <x:c r="B143" s="20" t="n">
        <x:v>44485</x:v>
      </x:c>
      <x:c r="C143" s="4" t="str">
        <x:v>Brentford</x:v>
      </x:c>
      <x:c r="D143" s="4" t="str">
        <x:v>Chelsea</x:v>
      </x:c>
      <x:c r="E143" s="4" t="str">
        <x:v>Home</x:v>
      </x:c>
      <x:c r="F143" s="28" t="n">
        <x:v>0</x:v>
      </x:c>
      <x:c r="G143" s="28" t="n">
        <x:v>1</x:v>
      </x:c>
      <x:c r="H143" s="28" t="n">
        <x:v>17</x:v>
      </x:c>
      <x:c r="I143" s="28" t="n">
        <x:v>5</x:v>
      </x:c>
      <x:c r="J143" s="28" t="n">
        <x:v>7</x:v>
      </x:c>
      <x:c r="K143" s="28" t="n">
        <x:v>1</x:v>
      </x:c>
      <x:c r="L143" s="28" t="n">
        <x:v>5</x:v>
      </x:c>
      <x:c r="M143" s="28" t="n">
        <x:v>5</x:v>
      </x:c>
      <x:c r="N143" s="28" t="n">
        <x:v>1</x:v>
      </x:c>
      <x:c r="O143" s="28" t="n">
        <x:v>0</x:v>
      </x:c>
      <x:c r="P143" s="28" t="n">
        <x:v>0</x:v>
      </x:c>
      <x:c r="Q143" s="24" t="n">
        <x:f>IFERROR(J143/H143,0)</x:f>
        <x:v>0.4117647058823529</x:v>
      </x:c>
      <x:c r="R143" s="24" t="n">
        <x:f>IFERROR(F143/H143,0)</x:f>
        <x:v>0</x:v>
      </x:c>
      <x:c r="S143" s="24" t="n">
        <x:f>IFERROR(F143/J143,0)</x:f>
        <x:v>0</x:v>
      </x:c>
      <x:c r="T143" s="28" t="n">
        <x:f>H143-I143</x:f>
        <x:v>12</x:v>
      </x:c>
      <x:c r="U143" s="24" t="n">
        <x:f>IFERROR(J143/H143,0)-IFERROR(K143/I143,0)</x:f>
        <x:v>0.2117647058823529</x:v>
      </x:c>
      <x:c r="V143" s="24" t="n">
        <x:f>IFERROR(F143/J143,0)-IFERROR(G143/K143,0)</x:f>
        <x:v>-1</x:v>
      </x:c>
      <x:c r="W143" s="28" t="n">
        <x:f>L143-M143</x:f>
        <x:v>0</x:v>
      </x:c>
      <x:c r="X143" s="24" t="n">
        <x:f>IFERROR(K143/I143,0)</x:f>
        <x:v>0.2</x:v>
      </x:c>
      <x:c r="Y143" s="24" t="n">
        <x:f>IFERROR(G143/I143,0)</x:f>
        <x:v>0.2</x:v>
      </x:c>
      <x:c r="Z143" s="24" t="n">
        <x:f>IFERROR(G143/K143,0)</x:f>
        <x:v>1</x:v>
      </x:c>
      <x:c r="AA143" s="24" t="n">
        <x:f>IFERROR(F143/H143,0)-IFERROR(G143/I143,0)</x:f>
        <x:v>-0.2</x:v>
      </x:c>
      <x:c r="AB143" s="28" t="n">
        <x:f>J143-K143</x:f>
        <x:v>6</x:v>
      </x:c>
      <x:c r="AC143" s="32" t="n">
        <x:f>F143-G143</x:f>
        <x:v>-1</x:v>
      </x:c>
    </x:row>
    <x:row r="144">
      <x:c r="A144" s="4" t="str">
        <x:v>2021-22</x:v>
      </x:c>
      <x:c r="B144" s="20" t="n">
        <x:v>44485</x:v>
      </x:c>
      <x:c r="C144" s="4" t="str">
        <x:v>Brighton</x:v>
      </x:c>
      <x:c r="D144" s="4" t="str">
        <x:v>Norwich</x:v>
      </x:c>
      <x:c r="E144" s="4" t="str">
        <x:v>Away</x:v>
      </x:c>
      <x:c r="F144" s="28" t="n">
        <x:v>0</x:v>
      </x:c>
      <x:c r="G144" s="28" t="n">
        <x:v>0</x:v>
      </x:c>
      <x:c r="H144" s="28" t="n">
        <x:v>11</x:v>
      </x:c>
      <x:c r="I144" s="28" t="n">
        <x:v>15</x:v>
      </x:c>
      <x:c r="J144" s="28" t="n">
        <x:v>3</x:v>
      </x:c>
      <x:c r="K144" s="28" t="n">
        <x:v>3</x:v>
      </x:c>
      <x:c r="L144" s="28" t="n">
        <x:v>4</x:v>
      </x:c>
      <x:c r="M144" s="28" t="n">
        <x:v>8</x:v>
      </x:c>
      <x:c r="N144" s="28" t="n">
        <x:v>5</x:v>
      </x:c>
      <x:c r="O144" s="28" t="n">
        <x:v>0</x:v>
      </x:c>
      <x:c r="P144" s="28" t="n">
        <x:v>1</x:v>
      </x:c>
      <x:c r="Q144" s="24" t="n">
        <x:f>IFERROR(J144/H144,0)</x:f>
        <x:v>0.2727272727272727</x:v>
      </x:c>
      <x:c r="R144" s="24" t="n">
        <x:f>IFERROR(F144/H144,0)</x:f>
        <x:v>0</x:v>
      </x:c>
      <x:c r="S144" s="24" t="n">
        <x:f>IFERROR(F144/J144,0)</x:f>
        <x:v>0</x:v>
      </x:c>
      <x:c r="T144" s="28" t="n">
        <x:f>H144-I144</x:f>
        <x:v>-4</x:v>
      </x:c>
      <x:c r="U144" s="24" t="n">
        <x:f>IFERROR(J144/H144,0)-IFERROR(K144/I144,0)</x:f>
        <x:v>0.0727272727272727</x:v>
      </x:c>
      <x:c r="V144" s="24" t="n">
        <x:f>IFERROR(F144/J144,0)-IFERROR(G144/K144,0)</x:f>
        <x:v>0</x:v>
      </x:c>
      <x:c r="W144" s="28" t="n">
        <x:f>L144-M144</x:f>
        <x:v>-4</x:v>
      </x:c>
      <x:c r="X144" s="24" t="n">
        <x:f>IFERROR(K144/I144,0)</x:f>
        <x:v>0.2</x:v>
      </x:c>
      <x:c r="Y144" s="24" t="n">
        <x:f>IFERROR(G144/I144,0)</x:f>
        <x:v>0</x:v>
      </x:c>
      <x:c r="Z144" s="24" t="n">
        <x:f>IFERROR(G144/K144,0)</x:f>
        <x:v>0</x:v>
      </x:c>
      <x:c r="AA144" s="24" t="n">
        <x:f>IFERROR(F144/H144,0)-IFERROR(G144/I144,0)</x:f>
        <x:v>0</x:v>
      </x:c>
      <x:c r="AB144" s="28" t="n">
        <x:f>J144-K144</x:f>
        <x:v>0</x:v>
      </x:c>
      <x:c r="AC144" s="32" t="n">
        <x:f>F144-G144</x:f>
        <x:v>0</x:v>
      </x:c>
    </x:row>
    <x:row r="145">
      <x:c r="A145" s="4" t="str">
        <x:v>2021-22</x:v>
      </x:c>
      <x:c r="B145" s="20" t="n">
        <x:v>44485</x:v>
      </x:c>
      <x:c r="C145" s="4" t="str">
        <x:v>Burnley</x:v>
      </x:c>
      <x:c r="D145" s="4" t="str">
        <x:v>Man City</x:v>
      </x:c>
      <x:c r="E145" s="4" t="str">
        <x:v>Away</x:v>
      </x:c>
      <x:c r="F145" s="28" t="n">
        <x:v>0</x:v>
      </x:c>
      <x:c r="G145" s="28" t="n">
        <x:v>2</x:v>
      </x:c>
      <x:c r="H145" s="28" t="n">
        <x:v>7</x:v>
      </x:c>
      <x:c r="I145" s="28" t="n">
        <x:v>15</x:v>
      </x:c>
      <x:c r="J145" s="28" t="n">
        <x:v>2</x:v>
      </x:c>
      <x:c r="K145" s="28" t="n">
        <x:v>6</x:v>
      </x:c>
      <x:c r="L145" s="28" t="n">
        <x:v>2</x:v>
      </x:c>
      <x:c r="M145" s="28" t="n">
        <x:v>6</x:v>
      </x:c>
      <x:c r="N145" s="28" t="n">
        <x:v>0</x:v>
      </x:c>
      <x:c r="O145" s="28" t="n">
        <x:v>0</x:v>
      </x:c>
      <x:c r="P145" s="28" t="n">
        <x:v>0</x:v>
      </x:c>
      <x:c r="Q145" s="24" t="n">
        <x:f>IFERROR(J145/H145,0)</x:f>
        <x:v>0.2857142857142857</x:v>
      </x:c>
      <x:c r="R145" s="24" t="n">
        <x:f>IFERROR(F145/H145,0)</x:f>
        <x:v>0</x:v>
      </x:c>
      <x:c r="S145" s="24" t="n">
        <x:f>IFERROR(F145/J145,0)</x:f>
        <x:v>0</x:v>
      </x:c>
      <x:c r="T145" s="28" t="n">
        <x:f>H145-I145</x:f>
        <x:v>-8</x:v>
      </x:c>
      <x:c r="U145" s="24" t="n">
        <x:f>IFERROR(J145/H145,0)-IFERROR(K145/I145,0)</x:f>
        <x:v>-0.11428571428571432</x:v>
      </x:c>
      <x:c r="V145" s="24" t="n">
        <x:f>IFERROR(F145/J145,0)-IFERROR(G145/K145,0)</x:f>
        <x:v>-0.3333333333333333</x:v>
      </x:c>
      <x:c r="W145" s="28" t="n">
        <x:f>L145-M145</x:f>
        <x:v>-4</x:v>
      </x:c>
      <x:c r="X145" s="24" t="n">
        <x:f>IFERROR(K145/I145,0)</x:f>
        <x:v>0.4</x:v>
      </x:c>
      <x:c r="Y145" s="24" t="n">
        <x:f>IFERROR(G145/I145,0)</x:f>
        <x:v>0.13333333333333333</x:v>
      </x:c>
      <x:c r="Z145" s="24" t="n">
        <x:f>IFERROR(G145/K145,0)</x:f>
        <x:v>0.3333333333333333</x:v>
      </x:c>
      <x:c r="AA145" s="24" t="n">
        <x:f>IFERROR(F145/H145,0)-IFERROR(G145/I145,0)</x:f>
        <x:v>-0.13333333333333333</x:v>
      </x:c>
      <x:c r="AB145" s="28" t="n">
        <x:f>J145-K145</x:f>
        <x:v>-4</x:v>
      </x:c>
      <x:c r="AC145" s="32" t="n">
        <x:f>F145-G145</x:f>
        <x:v>-2</x:v>
      </x:c>
    </x:row>
    <x:row r="146">
      <x:c r="A146" s="4" t="str">
        <x:v>2021-22</x:v>
      </x:c>
      <x:c r="B146" s="20" t="n">
        <x:v>44485</x:v>
      </x:c>
      <x:c r="C146" s="4" t="str">
        <x:v>Chelsea</x:v>
      </x:c>
      <x:c r="D146" s="4" t="str">
        <x:v>Brentford</x:v>
      </x:c>
      <x:c r="E146" s="4" t="str">
        <x:v>Away</x:v>
      </x:c>
      <x:c r="F146" s="28" t="n">
        <x:v>1</x:v>
      </x:c>
      <x:c r="G146" s="28" t="n">
        <x:v>0</x:v>
      </x:c>
      <x:c r="H146" s="28" t="n">
        <x:v>5</x:v>
      </x:c>
      <x:c r="I146" s="28" t="n">
        <x:v>17</x:v>
      </x:c>
      <x:c r="J146" s="28" t="n">
        <x:v>1</x:v>
      </x:c>
      <x:c r="K146" s="28" t="n">
        <x:v>7</x:v>
      </x:c>
      <x:c r="L146" s="28" t="n">
        <x:v>5</x:v>
      </x:c>
      <x:c r="M146" s="28" t="n">
        <x:v>5</x:v>
      </x:c>
      <x:c r="N146" s="28" t="n">
        <x:v>1</x:v>
      </x:c>
      <x:c r="O146" s="28" t="n">
        <x:v>0</x:v>
      </x:c>
      <x:c r="P146" s="28" t="n">
        <x:v>3</x:v>
      </x:c>
      <x:c r="Q146" s="24" t="n">
        <x:f>IFERROR(J146/H146,0)</x:f>
        <x:v>0.2</x:v>
      </x:c>
      <x:c r="R146" s="24" t="n">
        <x:f>IFERROR(F146/H146,0)</x:f>
        <x:v>0.2</x:v>
      </x:c>
      <x:c r="S146" s="24" t="n">
        <x:f>IFERROR(F146/J146,0)</x:f>
        <x:v>1</x:v>
      </x:c>
      <x:c r="T146" s="28" t="n">
        <x:f>H146-I146</x:f>
        <x:v>-12</x:v>
      </x:c>
      <x:c r="U146" s="24" t="n">
        <x:f>IFERROR(J146/H146,0)-IFERROR(K146/I146,0)</x:f>
        <x:v>-0.2117647058823529</x:v>
      </x:c>
      <x:c r="V146" s="24" t="n">
        <x:f>IFERROR(F146/J146,0)-IFERROR(G146/K146,0)</x:f>
        <x:v>1</x:v>
      </x:c>
      <x:c r="W146" s="28" t="n">
        <x:f>L146-M146</x:f>
        <x:v>0</x:v>
      </x:c>
      <x:c r="X146" s="24" t="n">
        <x:f>IFERROR(K146/I146,0)</x:f>
        <x:v>0.4117647058823529</x:v>
      </x:c>
      <x:c r="Y146" s="24" t="n">
        <x:f>IFERROR(G146/I146,0)</x:f>
        <x:v>0</x:v>
      </x:c>
      <x:c r="Z146" s="24" t="n">
        <x:f>IFERROR(G146/K146,0)</x:f>
        <x:v>0</x:v>
      </x:c>
      <x:c r="AA146" s="24" t="n">
        <x:f>IFERROR(F146/H146,0)-IFERROR(G146/I146,0)</x:f>
        <x:v>0.2</x:v>
      </x:c>
      <x:c r="AB146" s="28" t="n">
        <x:f>J146-K146</x:f>
        <x:v>-6</x:v>
      </x:c>
      <x:c r="AC146" s="32" t="n">
        <x:f>F146-G146</x:f>
        <x:v>1</x:v>
      </x:c>
    </x:row>
    <x:row r="147">
      <x:c r="A147" s="4" t="str">
        <x:v>2021-22</x:v>
      </x:c>
      <x:c r="B147" s="20" t="n">
        <x:v>44485</x:v>
      </x:c>
      <x:c r="C147" s="4" t="str">
        <x:v>Leeds</x:v>
      </x:c>
      <x:c r="D147" s="4" t="str">
        <x:v>Southampton</x:v>
      </x:c>
      <x:c r="E147" s="4" t="str">
        <x:v>Away</x:v>
      </x:c>
      <x:c r="F147" s="28" t="n">
        <x:v>0</x:v>
      </x:c>
      <x:c r="G147" s="28" t="n">
        <x:v>1</x:v>
      </x:c>
      <x:c r="H147" s="28" t="n">
        <x:v>3</x:v>
      </x:c>
      <x:c r="I147" s="28" t="n">
        <x:v>19</x:v>
      </x:c>
      <x:c r="J147" s="28" t="n">
        <x:v>0</x:v>
      </x:c>
      <x:c r="K147" s="28" t="n">
        <x:v>5</x:v>
      </x:c>
      <x:c r="L147" s="28" t="n">
        <x:v>1</x:v>
      </x:c>
      <x:c r="M147" s="28" t="n">
        <x:v>8</x:v>
      </x:c>
      <x:c r="N147" s="28" t="n">
        <x:v>3</x:v>
      </x:c>
      <x:c r="O147" s="28" t="n">
        <x:v>0</x:v>
      </x:c>
      <x:c r="P147" s="28" t="n">
        <x:v>0</x:v>
      </x:c>
      <x:c r="Q147" s="24" t="n">
        <x:f>IFERROR(J147/H147,0)</x:f>
        <x:v>0</x:v>
      </x:c>
      <x:c r="R147" s="24" t="n">
        <x:f>IFERROR(F147/H147,0)</x:f>
        <x:v>0</x:v>
      </x:c>
      <x:c r="S147" s="24" t="n">
        <x:f>IFERROR(F147/J147,0)</x:f>
        <x:v>0</x:v>
      </x:c>
      <x:c r="T147" s="28" t="n">
        <x:f>H147-I147</x:f>
        <x:v>-16</x:v>
      </x:c>
      <x:c r="U147" s="24" t="n">
        <x:f>IFERROR(J147/H147,0)-IFERROR(K147/I147,0)</x:f>
        <x:v>-0.2631578947368421</x:v>
      </x:c>
      <x:c r="V147" s="24" t="n">
        <x:f>IFERROR(F147/J147,0)-IFERROR(G147/K147,0)</x:f>
        <x:v>-0.2</x:v>
      </x:c>
      <x:c r="W147" s="28" t="n">
        <x:f>L147-M147</x:f>
        <x:v>-7</x:v>
      </x:c>
      <x:c r="X147" s="24" t="n">
        <x:f>IFERROR(K147/I147,0)</x:f>
        <x:v>0.2631578947368421</x:v>
      </x:c>
      <x:c r="Y147" s="24" t="n">
        <x:f>IFERROR(G147/I147,0)</x:f>
        <x:v>0.05263157894736842</x:v>
      </x:c>
      <x:c r="Z147" s="24" t="n">
        <x:f>IFERROR(G147/K147,0)</x:f>
        <x:v>0.2</x:v>
      </x:c>
      <x:c r="AA147" s="24" t="n">
        <x:f>IFERROR(F147/H147,0)-IFERROR(G147/I147,0)</x:f>
        <x:v>-0.05263157894736842</x:v>
      </x:c>
      <x:c r="AB147" s="28" t="n">
        <x:f>J147-K147</x:f>
        <x:v>-5</x:v>
      </x:c>
      <x:c r="AC147" s="32" t="n">
        <x:f>F147-G147</x:f>
        <x:v>-1</x:v>
      </x:c>
    </x:row>
    <x:row r="148">
      <x:c r="A148" s="4" t="str">
        <x:v>2021-22</x:v>
      </x:c>
      <x:c r="B148" s="20" t="n">
        <x:v>44485</x:v>
      </x:c>
      <x:c r="C148" s="4" t="str">
        <x:v>Leicester</x:v>
      </x:c>
      <x:c r="D148" s="4" t="str">
        <x:v>Man United</x:v>
      </x:c>
      <x:c r="E148" s="4" t="str">
        <x:v>Home</x:v>
      </x:c>
      <x:c r="F148" s="28" t="n">
        <x:v>4</x:v>
      </x:c>
      <x:c r="G148" s="28" t="n">
        <x:v>2</x:v>
      </x:c>
      <x:c r="H148" s="28" t="n">
        <x:v>22</x:v>
      </x:c>
      <x:c r="I148" s="28" t="n">
        <x:v>18</x:v>
      </x:c>
      <x:c r="J148" s="28" t="n">
        <x:v>11</x:v>
      </x:c>
      <x:c r="K148" s="28" t="n">
        <x:v>6</x:v>
      </x:c>
      <x:c r="L148" s="28" t="n">
        <x:v>4</x:v>
      </x:c>
      <x:c r="M148" s="28" t="n">
        <x:v>3</x:v>
      </x:c>
      <x:c r="N148" s="28" t="n">
        <x:v>0</x:v>
      </x:c>
      <x:c r="O148" s="28" t="n">
        <x:v>0</x:v>
      </x:c>
      <x:c r="P148" s="28" t="n">
        <x:v>3</x:v>
      </x:c>
      <x:c r="Q148" s="24" t="n">
        <x:f>IFERROR(J148/H148,0)</x:f>
        <x:v>0.5</x:v>
      </x:c>
      <x:c r="R148" s="24" t="n">
        <x:f>IFERROR(F148/H148,0)</x:f>
        <x:v>0.18181818181818182</x:v>
      </x:c>
      <x:c r="S148" s="24" t="n">
        <x:f>IFERROR(F148/J148,0)</x:f>
        <x:v>0.36363636363636365</x:v>
      </x:c>
      <x:c r="T148" s="28" t="n">
        <x:f>H148-I148</x:f>
        <x:v>4</x:v>
      </x:c>
      <x:c r="U148" s="24" t="n">
        <x:f>IFERROR(J148/H148,0)-IFERROR(K148/I148,0)</x:f>
        <x:v>0.16666666666666669</x:v>
      </x:c>
      <x:c r="V148" s="24" t="n">
        <x:f>IFERROR(F148/J148,0)-IFERROR(G148/K148,0)</x:f>
        <x:v>0.03030303030303033</x:v>
      </x:c>
      <x:c r="W148" s="28" t="n">
        <x:f>L148-M148</x:f>
        <x:v>1</x:v>
      </x:c>
      <x:c r="X148" s="24" t="n">
        <x:f>IFERROR(K148/I148,0)</x:f>
        <x:v>0.3333333333333333</x:v>
      </x:c>
      <x:c r="Y148" s="24" t="n">
        <x:f>IFERROR(G148/I148,0)</x:f>
        <x:v>0.1111111111111111</x:v>
      </x:c>
      <x:c r="Z148" s="24" t="n">
        <x:f>IFERROR(G148/K148,0)</x:f>
        <x:v>0.3333333333333333</x:v>
      </x:c>
      <x:c r="AA148" s="24" t="n">
        <x:f>IFERROR(F148/H148,0)-IFERROR(G148/I148,0)</x:f>
        <x:v>0.07070707070707072</x:v>
      </x:c>
      <x:c r="AB148" s="28" t="n">
        <x:f>J148-K148</x:f>
        <x:v>5</x:v>
      </x:c>
      <x:c r="AC148" s="32" t="n">
        <x:f>F148-G148</x:f>
        <x:v>2</x:v>
      </x:c>
    </x:row>
    <x:row r="149">
      <x:c r="A149" s="4" t="str">
        <x:v>2021-22</x:v>
      </x:c>
      <x:c r="B149" s="20" t="n">
        <x:v>44485</x:v>
      </x:c>
      <x:c r="C149" s="4" t="str">
        <x:v>Liverpool</x:v>
      </x:c>
      <x:c r="D149" s="4" t="str">
        <x:v>Watford</x:v>
      </x:c>
      <x:c r="E149" s="4" t="str">
        <x:v>Away</x:v>
      </x:c>
      <x:c r="F149" s="28" t="n">
        <x:v>5</x:v>
      </x:c>
      <x:c r="G149" s="28" t="n">
        <x:v>0</x:v>
      </x:c>
      <x:c r="H149" s="28" t="n">
        <x:v>19</x:v>
      </x:c>
      <x:c r="I149" s="28" t="n">
        <x:v>6</x:v>
      </x:c>
      <x:c r="J149" s="28" t="n">
        <x:v>8</x:v>
      </x:c>
      <x:c r="K149" s="28" t="n">
        <x:v>2</x:v>
      </x:c>
      <x:c r="L149" s="28" t="n">
        <x:v>9</x:v>
      </x:c>
      <x:c r="M149" s="28" t="n">
        <x:v>1</x:v>
      </x:c>
      <x:c r="N149" s="28" t="n">
        <x:v>0</x:v>
      </x:c>
      <x:c r="O149" s="28" t="n">
        <x:v>0</x:v>
      </x:c>
      <x:c r="P149" s="28" t="n">
        <x:v>3</x:v>
      </x:c>
      <x:c r="Q149" s="24" t="n">
        <x:f>IFERROR(J149/H149,0)</x:f>
        <x:v>0.42105263157894735</x:v>
      </x:c>
      <x:c r="R149" s="24" t="n">
        <x:f>IFERROR(F149/H149,0)</x:f>
        <x:v>0.2631578947368421</x:v>
      </x:c>
      <x:c r="S149" s="24" t="n">
        <x:f>IFERROR(F149/J149,0)</x:f>
        <x:v>0.625</x:v>
      </x:c>
      <x:c r="T149" s="28" t="n">
        <x:f>H149-I149</x:f>
        <x:v>13</x:v>
      </x:c>
      <x:c r="U149" s="24" t="n">
        <x:f>IFERROR(J149/H149,0)-IFERROR(K149/I149,0)</x:f>
        <x:v>0.08771929824561403</x:v>
      </x:c>
      <x:c r="V149" s="24" t="n">
        <x:f>IFERROR(F149/J149,0)-IFERROR(G149/K149,0)</x:f>
        <x:v>0.625</x:v>
      </x:c>
      <x:c r="W149" s="28" t="n">
        <x:f>L149-M149</x:f>
        <x:v>8</x:v>
      </x:c>
      <x:c r="X149" s="24" t="n">
        <x:f>IFERROR(K149/I149,0)</x:f>
        <x:v>0.3333333333333333</x:v>
      </x:c>
      <x:c r="Y149" s="24" t="n">
        <x:f>IFERROR(G149/I149,0)</x:f>
        <x:v>0</x:v>
      </x:c>
      <x:c r="Z149" s="24" t="n">
        <x:f>IFERROR(G149/K149,0)</x:f>
        <x:v>0</x:v>
      </x:c>
      <x:c r="AA149" s="24" t="n">
        <x:f>IFERROR(F149/H149,0)-IFERROR(G149/I149,0)</x:f>
        <x:v>0.2631578947368421</x:v>
      </x:c>
      <x:c r="AB149" s="28" t="n">
        <x:f>J149-K149</x:f>
        <x:v>6</x:v>
      </x:c>
      <x:c r="AC149" s="32" t="n">
        <x:f>F149-G149</x:f>
        <x:v>5</x:v>
      </x:c>
    </x:row>
    <x:row r="150">
      <x:c r="A150" s="4" t="str">
        <x:v>2021-22</x:v>
      </x:c>
      <x:c r="B150" s="20" t="n">
        <x:v>44485</x:v>
      </x:c>
      <x:c r="C150" s="4" t="str">
        <x:v>Man City</x:v>
      </x:c>
      <x:c r="D150" s="4" t="str">
        <x:v>Burnley</x:v>
      </x:c>
      <x:c r="E150" s="4" t="str">
        <x:v>Home</x:v>
      </x:c>
      <x:c r="F150" s="28" t="n">
        <x:v>2</x:v>
      </x:c>
      <x:c r="G150" s="28" t="n">
        <x:v>0</x:v>
      </x:c>
      <x:c r="H150" s="28" t="n">
        <x:v>15</x:v>
      </x:c>
      <x:c r="I150" s="28" t="n">
        <x:v>7</x:v>
      </x:c>
      <x:c r="J150" s="28" t="n">
        <x:v>6</x:v>
      </x:c>
      <x:c r="K150" s="28" t="n">
        <x:v>2</x:v>
      </x:c>
      <x:c r="L150" s="28" t="n">
        <x:v>6</x:v>
      </x:c>
      <x:c r="M150" s="28" t="n">
        <x:v>2</x:v>
      </x:c>
      <x:c r="N150" s="28" t="n">
        <x:v>1</x:v>
      </x:c>
      <x:c r="O150" s="28" t="n">
        <x:v>0</x:v>
      </x:c>
      <x:c r="P150" s="28" t="n">
        <x:v>3</x:v>
      </x:c>
      <x:c r="Q150" s="24" t="n">
        <x:f>IFERROR(J150/H150,0)</x:f>
        <x:v>0.4</x:v>
      </x:c>
      <x:c r="R150" s="24" t="n">
        <x:f>IFERROR(F150/H150,0)</x:f>
        <x:v>0.13333333333333333</x:v>
      </x:c>
      <x:c r="S150" s="24" t="n">
        <x:f>IFERROR(F150/J150,0)</x:f>
        <x:v>0.3333333333333333</x:v>
      </x:c>
      <x:c r="T150" s="28" t="n">
        <x:f>H150-I150</x:f>
        <x:v>8</x:v>
      </x:c>
      <x:c r="U150" s="24" t="n">
        <x:f>IFERROR(J150/H150,0)-IFERROR(K150/I150,0)</x:f>
        <x:v>0.11428571428571432</x:v>
      </x:c>
      <x:c r="V150" s="24" t="n">
        <x:f>IFERROR(F150/J150,0)-IFERROR(G150/K150,0)</x:f>
        <x:v>0.3333333333333333</x:v>
      </x:c>
      <x:c r="W150" s="28" t="n">
        <x:f>L150-M150</x:f>
        <x:v>4</x:v>
      </x:c>
      <x:c r="X150" s="24" t="n">
        <x:f>IFERROR(K150/I150,0)</x:f>
        <x:v>0.2857142857142857</x:v>
      </x:c>
      <x:c r="Y150" s="24" t="n">
        <x:f>IFERROR(G150/I150,0)</x:f>
        <x:v>0</x:v>
      </x:c>
      <x:c r="Z150" s="24" t="n">
        <x:f>IFERROR(G150/K150,0)</x:f>
        <x:v>0</x:v>
      </x:c>
      <x:c r="AA150" s="24" t="n">
        <x:f>IFERROR(F150/H150,0)-IFERROR(G150/I150,0)</x:f>
        <x:v>0.13333333333333333</x:v>
      </x:c>
      <x:c r="AB150" s="28" t="n">
        <x:f>J150-K150</x:f>
        <x:v>4</x:v>
      </x:c>
      <x:c r="AC150" s="32" t="n">
        <x:f>F150-G150</x:f>
        <x:v>2</x:v>
      </x:c>
    </x:row>
    <x:row r="151">
      <x:c r="A151" s="4" t="str">
        <x:v>2021-22</x:v>
      </x:c>
      <x:c r="B151" s="20" t="n">
        <x:v>44485</x:v>
      </x:c>
      <x:c r="C151" s="4" t="str">
        <x:v>Man United</x:v>
      </x:c>
      <x:c r="D151" s="4" t="str">
        <x:v>Leicester</x:v>
      </x:c>
      <x:c r="E151" s="4" t="str">
        <x:v>Away</x:v>
      </x:c>
      <x:c r="F151" s="28" t="n">
        <x:v>2</x:v>
      </x:c>
      <x:c r="G151" s="28" t="n">
        <x:v>4</x:v>
      </x:c>
      <x:c r="H151" s="28" t="n">
        <x:v>18</x:v>
      </x:c>
      <x:c r="I151" s="28" t="n">
        <x:v>22</x:v>
      </x:c>
      <x:c r="J151" s="28" t="n">
        <x:v>6</x:v>
      </x:c>
      <x:c r="K151" s="28" t="n">
        <x:v>11</x:v>
      </x:c>
      <x:c r="L151" s="28" t="n">
        <x:v>3</x:v>
      </x:c>
      <x:c r="M151" s="28" t="n">
        <x:v>4</x:v>
      </x:c>
      <x:c r="N151" s="28" t="n">
        <x:v>3</x:v>
      </x:c>
      <x:c r="O151" s="28" t="n">
        <x:v>0</x:v>
      </x:c>
      <x:c r="P151" s="28" t="n">
        <x:v>0</x:v>
      </x:c>
      <x:c r="Q151" s="24" t="n">
        <x:f>IFERROR(J151/H151,0)</x:f>
        <x:v>0.3333333333333333</x:v>
      </x:c>
      <x:c r="R151" s="24" t="n">
        <x:f>IFERROR(F151/H151,0)</x:f>
        <x:v>0.1111111111111111</x:v>
      </x:c>
      <x:c r="S151" s="24" t="n">
        <x:f>IFERROR(F151/J151,0)</x:f>
        <x:v>0.3333333333333333</x:v>
      </x:c>
      <x:c r="T151" s="28" t="n">
        <x:f>H151-I151</x:f>
        <x:v>-4</x:v>
      </x:c>
      <x:c r="U151" s="24" t="n">
        <x:f>IFERROR(J151/H151,0)-IFERROR(K151/I151,0)</x:f>
        <x:v>-0.16666666666666669</x:v>
      </x:c>
      <x:c r="V151" s="24" t="n">
        <x:f>IFERROR(F151/J151,0)-IFERROR(G151/K151,0)</x:f>
        <x:v>-0.03030303030303033</x:v>
      </x:c>
      <x:c r="W151" s="28" t="n">
        <x:f>L151-M151</x:f>
        <x:v>-1</x:v>
      </x:c>
      <x:c r="X151" s="24" t="n">
        <x:f>IFERROR(K151/I151,0)</x:f>
        <x:v>0.5</x:v>
      </x:c>
      <x:c r="Y151" s="24" t="n">
        <x:f>IFERROR(G151/I151,0)</x:f>
        <x:v>0.18181818181818182</x:v>
      </x:c>
      <x:c r="Z151" s="24" t="n">
        <x:f>IFERROR(G151/K151,0)</x:f>
        <x:v>0.36363636363636365</x:v>
      </x:c>
      <x:c r="AA151" s="24" t="n">
        <x:f>IFERROR(F151/H151,0)-IFERROR(G151/I151,0)</x:f>
        <x:v>-0.07070707070707072</x:v>
      </x:c>
      <x:c r="AB151" s="28" t="n">
        <x:f>J151-K151</x:f>
        <x:v>-5</x:v>
      </x:c>
      <x:c r="AC151" s="32" t="n">
        <x:f>F151-G151</x:f>
        <x:v>-2</x:v>
      </x:c>
    </x:row>
    <x:row r="152">
      <x:c r="A152" s="4" t="str">
        <x:v>2021-22</x:v>
      </x:c>
      <x:c r="B152" s="20" t="n">
        <x:v>44485</x:v>
      </x:c>
      <x:c r="C152" s="4" t="str">
        <x:v>Norwich</x:v>
      </x:c>
      <x:c r="D152" s="4" t="str">
        <x:v>Brighton</x:v>
      </x:c>
      <x:c r="E152" s="4" t="str">
        <x:v>Home</x:v>
      </x:c>
      <x:c r="F152" s="28" t="n">
        <x:v>0</x:v>
      </x:c>
      <x:c r="G152" s="28" t="n">
        <x:v>0</x:v>
      </x:c>
      <x:c r="H152" s="28" t="n">
        <x:v>15</x:v>
      </x:c>
      <x:c r="I152" s="28" t="n">
        <x:v>11</x:v>
      </x:c>
      <x:c r="J152" s="28" t="n">
        <x:v>3</x:v>
      </x:c>
      <x:c r="K152" s="28" t="n">
        <x:v>3</x:v>
      </x:c>
      <x:c r="L152" s="28" t="n">
        <x:v>8</x:v>
      </x:c>
      <x:c r="M152" s="28" t="n">
        <x:v>4</x:v>
      </x:c>
      <x:c r="N152" s="28" t="n">
        <x:v>3</x:v>
      </x:c>
      <x:c r="O152" s="28" t="n">
        <x:v>0</x:v>
      </x:c>
      <x:c r="P152" s="28" t="n">
        <x:v>1</x:v>
      </x:c>
      <x:c r="Q152" s="24" t="n">
        <x:f>IFERROR(J152/H152,0)</x:f>
        <x:v>0.2</x:v>
      </x:c>
      <x:c r="R152" s="24" t="n">
        <x:f>IFERROR(F152/H152,0)</x:f>
        <x:v>0</x:v>
      </x:c>
      <x:c r="S152" s="24" t="n">
        <x:f>IFERROR(F152/J152,0)</x:f>
        <x:v>0</x:v>
      </x:c>
      <x:c r="T152" s="28" t="n">
        <x:f>H152-I152</x:f>
        <x:v>4</x:v>
      </x:c>
      <x:c r="U152" s="24" t="n">
        <x:f>IFERROR(J152/H152,0)-IFERROR(K152/I152,0)</x:f>
        <x:v>-0.0727272727272727</x:v>
      </x:c>
      <x:c r="V152" s="24" t="n">
        <x:f>IFERROR(F152/J152,0)-IFERROR(G152/K152,0)</x:f>
        <x:v>0</x:v>
      </x:c>
      <x:c r="W152" s="28" t="n">
        <x:f>L152-M152</x:f>
        <x:v>4</x:v>
      </x:c>
      <x:c r="X152" s="24" t="n">
        <x:f>IFERROR(K152/I152,0)</x:f>
        <x:v>0.2727272727272727</x:v>
      </x:c>
      <x:c r="Y152" s="24" t="n">
        <x:f>IFERROR(G152/I152,0)</x:f>
        <x:v>0</x:v>
      </x:c>
      <x:c r="Z152" s="24" t="n">
        <x:f>IFERROR(G152/K152,0)</x:f>
        <x:v>0</x:v>
      </x:c>
      <x:c r="AA152" s="24" t="n">
        <x:f>IFERROR(F152/H152,0)-IFERROR(G152/I152,0)</x:f>
        <x:v>0</x:v>
      </x:c>
      <x:c r="AB152" s="28" t="n">
        <x:f>J152-K152</x:f>
        <x:v>0</x:v>
      </x:c>
      <x:c r="AC152" s="32" t="n">
        <x:f>F152-G152</x:f>
        <x:v>0</x:v>
      </x:c>
    </x:row>
    <x:row r="153">
      <x:c r="A153" s="4" t="str">
        <x:v>2021-22</x:v>
      </x:c>
      <x:c r="B153" s="20" t="n">
        <x:v>44485</x:v>
      </x:c>
      <x:c r="C153" s="4" t="str">
        <x:v>Southampton</x:v>
      </x:c>
      <x:c r="D153" s="4" t="str">
        <x:v>Leeds</x:v>
      </x:c>
      <x:c r="E153" s="4" t="str">
        <x:v>Home</x:v>
      </x:c>
      <x:c r="F153" s="28" t="n">
        <x:v>1</x:v>
      </x:c>
      <x:c r="G153" s="28" t="n">
        <x:v>0</x:v>
      </x:c>
      <x:c r="H153" s="28" t="n">
        <x:v>19</x:v>
      </x:c>
      <x:c r="I153" s="28" t="n">
        <x:v>3</x:v>
      </x:c>
      <x:c r="J153" s="28" t="n">
        <x:v>5</x:v>
      </x:c>
      <x:c r="K153" s="28" t="n">
        <x:v>0</x:v>
      </x:c>
      <x:c r="L153" s="28" t="n">
        <x:v>8</x:v>
      </x:c>
      <x:c r="M153" s="28" t="n">
        <x:v>1</x:v>
      </x:c>
      <x:c r="N153" s="28" t="n">
        <x:v>2</x:v>
      </x:c>
      <x:c r="O153" s="28" t="n">
        <x:v>0</x:v>
      </x:c>
      <x:c r="P153" s="28" t="n">
        <x:v>3</x:v>
      </x:c>
      <x:c r="Q153" s="24" t="n">
        <x:f>IFERROR(J153/H153,0)</x:f>
        <x:v>0.2631578947368421</x:v>
      </x:c>
      <x:c r="R153" s="24" t="n">
        <x:f>IFERROR(F153/H153,0)</x:f>
        <x:v>0.05263157894736842</x:v>
      </x:c>
      <x:c r="S153" s="24" t="n">
        <x:f>IFERROR(F153/J153,0)</x:f>
        <x:v>0.2</x:v>
      </x:c>
      <x:c r="T153" s="28" t="n">
        <x:f>H153-I153</x:f>
        <x:v>16</x:v>
      </x:c>
      <x:c r="U153" s="24" t="n">
        <x:f>IFERROR(J153/H153,0)-IFERROR(K153/I153,0)</x:f>
        <x:v>0.2631578947368421</x:v>
      </x:c>
      <x:c r="V153" s="24" t="n">
        <x:f>IFERROR(F153/J153,0)-IFERROR(G153/K153,0)</x:f>
        <x:v>0.2</x:v>
      </x:c>
      <x:c r="W153" s="28" t="n">
        <x:f>L153-M153</x:f>
        <x:v>7</x:v>
      </x:c>
      <x:c r="X153" s="24" t="n">
        <x:f>IFERROR(K153/I153,0)</x:f>
        <x:v>0</x:v>
      </x:c>
      <x:c r="Y153" s="24" t="n">
        <x:f>IFERROR(G153/I153,0)</x:f>
        <x:v>0</x:v>
      </x:c>
      <x:c r="Z153" s="24" t="n">
        <x:f>IFERROR(G153/K153,0)</x:f>
        <x:v>0</x:v>
      </x:c>
      <x:c r="AA153" s="24" t="n">
        <x:f>IFERROR(F153/H153,0)-IFERROR(G153/I153,0)</x:f>
        <x:v>0.05263157894736842</x:v>
      </x:c>
      <x:c r="AB153" s="28" t="n">
        <x:f>J153-K153</x:f>
        <x:v>5</x:v>
      </x:c>
      <x:c r="AC153" s="32" t="n">
        <x:f>F153-G153</x:f>
        <x:v>1</x:v>
      </x:c>
    </x:row>
    <x:row r="154">
      <x:c r="A154" s="4" t="str">
        <x:v>2021-22</x:v>
      </x:c>
      <x:c r="B154" s="20" t="n">
        <x:v>44485</x:v>
      </x:c>
      <x:c r="C154" s="4" t="str">
        <x:v>Watford</x:v>
      </x:c>
      <x:c r="D154" s="4" t="str">
        <x:v>Liverpool</x:v>
      </x:c>
      <x:c r="E154" s="4" t="str">
        <x:v>Home</x:v>
      </x:c>
      <x:c r="F154" s="28" t="n">
        <x:v>0</x:v>
      </x:c>
      <x:c r="G154" s="28" t="n">
        <x:v>5</x:v>
      </x:c>
      <x:c r="H154" s="28" t="n">
        <x:v>6</x:v>
      </x:c>
      <x:c r="I154" s="28" t="n">
        <x:v>19</x:v>
      </x:c>
      <x:c r="J154" s="28" t="n">
        <x:v>2</x:v>
      </x:c>
      <x:c r="K154" s="28" t="n">
        <x:v>8</x:v>
      </x:c>
      <x:c r="L154" s="28" t="n">
        <x:v>1</x:v>
      </x:c>
      <x:c r="M154" s="28" t="n">
        <x:v>9</x:v>
      </x:c>
      <x:c r="N154" s="28" t="n">
        <x:v>0</x:v>
      </x:c>
      <x:c r="O154" s="28" t="n">
        <x:v>0</x:v>
      </x:c>
      <x:c r="P154" s="28" t="n">
        <x:v>0</x:v>
      </x:c>
      <x:c r="Q154" s="24" t="n">
        <x:f>IFERROR(J154/H154,0)</x:f>
        <x:v>0.3333333333333333</x:v>
      </x:c>
      <x:c r="R154" s="24" t="n">
        <x:f>IFERROR(F154/H154,0)</x:f>
        <x:v>0</x:v>
      </x:c>
      <x:c r="S154" s="24" t="n">
        <x:f>IFERROR(F154/J154,0)</x:f>
        <x:v>0</x:v>
      </x:c>
      <x:c r="T154" s="28" t="n">
        <x:f>H154-I154</x:f>
        <x:v>-13</x:v>
      </x:c>
      <x:c r="U154" s="24" t="n">
        <x:f>IFERROR(J154/H154,0)-IFERROR(K154/I154,0)</x:f>
        <x:v>-0.08771929824561403</x:v>
      </x:c>
      <x:c r="V154" s="24" t="n">
        <x:f>IFERROR(F154/J154,0)-IFERROR(G154/K154,0)</x:f>
        <x:v>-0.625</x:v>
      </x:c>
      <x:c r="W154" s="28" t="n">
        <x:f>L154-M154</x:f>
        <x:v>-8</x:v>
      </x:c>
      <x:c r="X154" s="24" t="n">
        <x:f>IFERROR(K154/I154,0)</x:f>
        <x:v>0.42105263157894735</x:v>
      </x:c>
      <x:c r="Y154" s="24" t="n">
        <x:f>IFERROR(G154/I154,0)</x:f>
        <x:v>0.2631578947368421</x:v>
      </x:c>
      <x:c r="Z154" s="24" t="n">
        <x:f>IFERROR(G154/K154,0)</x:f>
        <x:v>0.625</x:v>
      </x:c>
      <x:c r="AA154" s="24" t="n">
        <x:f>IFERROR(F154/H154,0)-IFERROR(G154/I154,0)</x:f>
        <x:v>-0.2631578947368421</x:v>
      </x:c>
      <x:c r="AB154" s="28" t="n">
        <x:f>J154-K154</x:f>
        <x:v>-6</x:v>
      </x:c>
      <x:c r="AC154" s="32" t="n">
        <x:f>F154-G154</x:f>
        <x:v>-5</x:v>
      </x:c>
    </x:row>
    <x:row r="155">
      <x:c r="A155" s="4" t="str">
        <x:v>2021-22</x:v>
      </x:c>
      <x:c r="B155" s="20" t="n">
        <x:v>44485</x:v>
      </x:c>
      <x:c r="C155" s="4" t="str">
        <x:v>Wolves</x:v>
      </x:c>
      <x:c r="D155" s="4" t="str">
        <x:v>Aston Villa</x:v>
      </x:c>
      <x:c r="E155" s="4" t="str">
        <x:v>Away</x:v>
      </x:c>
      <x:c r="F155" s="28" t="n">
        <x:v>3</x:v>
      </x:c>
      <x:c r="G155" s="28" t="n">
        <x:v>2</x:v>
      </x:c>
      <x:c r="H155" s="28" t="n">
        <x:v>9</x:v>
      </x:c>
      <x:c r="I155" s="28" t="n">
        <x:v>14</x:v>
      </x:c>
      <x:c r="J155" s="28" t="n">
        <x:v>4</x:v>
      </x:c>
      <x:c r="K155" s="28" t="n">
        <x:v>5</x:v>
      </x:c>
      <x:c r="L155" s="28" t="n">
        <x:v>7</x:v>
      </x:c>
      <x:c r="M155" s="28" t="n">
        <x:v>6</x:v>
      </x:c>
      <x:c r="N155" s="28" t="n">
        <x:v>3</x:v>
      </x:c>
      <x:c r="O155" s="28" t="n">
        <x:v>0</x:v>
      </x:c>
      <x:c r="P155" s="28" t="n">
        <x:v>3</x:v>
      </x:c>
      <x:c r="Q155" s="24" t="n">
        <x:f>IFERROR(J155/H155,0)</x:f>
        <x:v>0.4444444444444444</x:v>
      </x:c>
      <x:c r="R155" s="24" t="n">
        <x:f>IFERROR(F155/H155,0)</x:f>
        <x:v>0.3333333333333333</x:v>
      </x:c>
      <x:c r="S155" s="24" t="n">
        <x:f>IFERROR(F155/J155,0)</x:f>
        <x:v>0.75</x:v>
      </x:c>
      <x:c r="T155" s="28" t="n">
        <x:f>H155-I155</x:f>
        <x:v>-5</x:v>
      </x:c>
      <x:c r="U155" s="24" t="n">
        <x:f>IFERROR(J155/H155,0)-IFERROR(K155/I155,0)</x:f>
        <x:v>0.08730158730158727</x:v>
      </x:c>
      <x:c r="V155" s="24" t="n">
        <x:f>IFERROR(F155/J155,0)-IFERROR(G155/K155,0)</x:f>
        <x:v>0.35</x:v>
      </x:c>
      <x:c r="W155" s="28" t="n">
        <x:f>L155-M155</x:f>
        <x:v>1</x:v>
      </x:c>
      <x:c r="X155" s="24" t="n">
        <x:f>IFERROR(K155/I155,0)</x:f>
        <x:v>0.35714285714285715</x:v>
      </x:c>
      <x:c r="Y155" s="24" t="n">
        <x:f>IFERROR(G155/I155,0)</x:f>
        <x:v>0.14285714285714285</x:v>
      </x:c>
      <x:c r="Z155" s="24" t="n">
        <x:f>IFERROR(G155/K155,0)</x:f>
        <x:v>0.4</x:v>
      </x:c>
      <x:c r="AA155" s="24" t="n">
        <x:f>IFERROR(F155/H155,0)-IFERROR(G155/I155,0)</x:f>
        <x:v>0.19047619047619047</x:v>
      </x:c>
      <x:c r="AB155" s="28" t="n">
        <x:f>J155-K155</x:f>
        <x:v>-1</x:v>
      </x:c>
      <x:c r="AC155" s="32" t="n">
        <x:f>F155-G155</x:f>
        <x:v>1</x:v>
      </x:c>
    </x:row>
    <x:row r="156">
      <x:c r="A156" s="4" t="str">
        <x:v>2021-22</x:v>
      </x:c>
      <x:c r="B156" s="20" t="n">
        <x:v>44486</x:v>
      </x:c>
      <x:c r="C156" s="4" t="str">
        <x:v>Everton</x:v>
      </x:c>
      <x:c r="D156" s="4" t="str">
        <x:v>West Ham</x:v>
      </x:c>
      <x:c r="E156" s="4" t="str">
        <x:v>Home</x:v>
      </x:c>
      <x:c r="F156" s="28" t="n">
        <x:v>0</x:v>
      </x:c>
      <x:c r="G156" s="28" t="n">
        <x:v>1</x:v>
      </x:c>
      <x:c r="H156" s="28" t="n">
        <x:v>15</x:v>
      </x:c>
      <x:c r="I156" s="28" t="n">
        <x:v>16</x:v>
      </x:c>
      <x:c r="J156" s="28" t="n">
        <x:v>2</x:v>
      </x:c>
      <x:c r="K156" s="28" t="n">
        <x:v>4</x:v>
      </x:c>
      <x:c r="L156" s="28" t="n">
        <x:v>7</x:v>
      </x:c>
      <x:c r="M156" s="28" t="n">
        <x:v>9</x:v>
      </x:c>
      <x:c r="N156" s="28" t="n">
        <x:v>0</x:v>
      </x:c>
      <x:c r="O156" s="28" t="n">
        <x:v>0</x:v>
      </x:c>
      <x:c r="P156" s="28" t="n">
        <x:v>0</x:v>
      </x:c>
      <x:c r="Q156" s="24" t="n">
        <x:f>IFERROR(J156/H156,0)</x:f>
        <x:v>0.13333333333333333</x:v>
      </x:c>
      <x:c r="R156" s="24" t="n">
        <x:f>IFERROR(F156/H156,0)</x:f>
        <x:v>0</x:v>
      </x:c>
      <x:c r="S156" s="24" t="n">
        <x:f>IFERROR(F156/J156,0)</x:f>
        <x:v>0</x:v>
      </x:c>
      <x:c r="T156" s="28" t="n">
        <x:f>H156-I156</x:f>
        <x:v>-1</x:v>
      </x:c>
      <x:c r="U156" s="24" t="n">
        <x:f>IFERROR(J156/H156,0)-IFERROR(K156/I156,0)</x:f>
        <x:v>-0.11666666666666667</x:v>
      </x:c>
      <x:c r="V156" s="24" t="n">
        <x:f>IFERROR(F156/J156,0)-IFERROR(G156/K156,0)</x:f>
        <x:v>-0.25</x:v>
      </x:c>
      <x:c r="W156" s="28" t="n">
        <x:f>L156-M156</x:f>
        <x:v>-2</x:v>
      </x:c>
      <x:c r="X156" s="24" t="n">
        <x:f>IFERROR(K156/I156,0)</x:f>
        <x:v>0.25</x:v>
      </x:c>
      <x:c r="Y156" s="24" t="n">
        <x:f>IFERROR(G156/I156,0)</x:f>
        <x:v>0.0625</x:v>
      </x:c>
      <x:c r="Z156" s="24" t="n">
        <x:f>IFERROR(G156/K156,0)</x:f>
        <x:v>0.25</x:v>
      </x:c>
      <x:c r="AA156" s="24" t="n">
        <x:f>IFERROR(F156/H156,0)-IFERROR(G156/I156,0)</x:f>
        <x:v>-0.0625</x:v>
      </x:c>
      <x:c r="AB156" s="28" t="n">
        <x:f>J156-K156</x:f>
        <x:v>-2</x:v>
      </x:c>
      <x:c r="AC156" s="32" t="n">
        <x:f>F156-G156</x:f>
        <x:v>-1</x:v>
      </x:c>
    </x:row>
    <x:row r="157">
      <x:c r="A157" s="4" t="str">
        <x:v>2021-22</x:v>
      </x:c>
      <x:c r="B157" s="20" t="n">
        <x:v>44486</x:v>
      </x:c>
      <x:c r="C157" s="4" t="str">
        <x:v>Newcastle</x:v>
      </x:c>
      <x:c r="D157" s="4" t="str">
        <x:v>Tottenham</x:v>
      </x:c>
      <x:c r="E157" s="4" t="str">
        <x:v>Home</x:v>
      </x:c>
      <x:c r="F157" s="28" t="n">
        <x:v>2</x:v>
      </x:c>
      <x:c r="G157" s="28" t="n">
        <x:v>3</x:v>
      </x:c>
      <x:c r="H157" s="28" t="n">
        <x:v>7</x:v>
      </x:c>
      <x:c r="I157" s="28" t="n">
        <x:v>14</x:v>
      </x:c>
      <x:c r="J157" s="28" t="n">
        <x:v>1</x:v>
      </x:c>
      <x:c r="K157" s="28" t="n">
        <x:v>4</x:v>
      </x:c>
      <x:c r="L157" s="28" t="n">
        <x:v>2</x:v>
      </x:c>
      <x:c r="M157" s="28" t="n">
        <x:v>9</x:v>
      </x:c>
      <x:c r="N157" s="28" t="n">
        <x:v>4</x:v>
      </x:c>
      <x:c r="O157" s="28" t="n">
        <x:v>1</x:v>
      </x:c>
      <x:c r="P157" s="28" t="n">
        <x:v>0</x:v>
      </x:c>
      <x:c r="Q157" s="24" t="n">
        <x:f>IFERROR(J157/H157,0)</x:f>
        <x:v>0.14285714285714285</x:v>
      </x:c>
      <x:c r="R157" s="24" t="n">
        <x:f>IFERROR(F157/H157,0)</x:f>
        <x:v>0.2857142857142857</x:v>
      </x:c>
      <x:c r="S157" s="24" t="n">
        <x:f>IFERROR(F157/J157,0)</x:f>
        <x:v>2</x:v>
      </x:c>
      <x:c r="T157" s="28" t="n">
        <x:f>H157-I157</x:f>
        <x:v>-7</x:v>
      </x:c>
      <x:c r="U157" s="24" t="n">
        <x:f>IFERROR(J157/H157,0)-IFERROR(K157/I157,0)</x:f>
        <x:v>-0.14285714285714285</x:v>
      </x:c>
      <x:c r="V157" s="24" t="n">
        <x:f>IFERROR(F157/J157,0)-IFERROR(G157/K157,0)</x:f>
        <x:v>1.25</x:v>
      </x:c>
      <x:c r="W157" s="28" t="n">
        <x:f>L157-M157</x:f>
        <x:v>-7</x:v>
      </x:c>
      <x:c r="X157" s="24" t="n">
        <x:f>IFERROR(K157/I157,0)</x:f>
        <x:v>0.2857142857142857</x:v>
      </x:c>
      <x:c r="Y157" s="24" t="n">
        <x:f>IFERROR(G157/I157,0)</x:f>
        <x:v>0.21428571428571427</x:v>
      </x:c>
      <x:c r="Z157" s="24" t="n">
        <x:f>IFERROR(G157/K157,0)</x:f>
        <x:v>0.75</x:v>
      </x:c>
      <x:c r="AA157" s="24" t="n">
        <x:f>IFERROR(F157/H157,0)-IFERROR(G157/I157,0)</x:f>
        <x:v>0.07142857142857142</x:v>
      </x:c>
      <x:c r="AB157" s="28" t="n">
        <x:f>J157-K157</x:f>
        <x:v>-3</x:v>
      </x:c>
      <x:c r="AC157" s="32" t="n">
        <x:f>F157-G157</x:f>
        <x:v>-1</x:v>
      </x:c>
    </x:row>
    <x:row r="158">
      <x:c r="A158" s="4" t="str">
        <x:v>2021-22</x:v>
      </x:c>
      <x:c r="B158" s="20" t="n">
        <x:v>44486</x:v>
      </x:c>
      <x:c r="C158" s="4" t="str">
        <x:v>Tottenham</x:v>
      </x:c>
      <x:c r="D158" s="4" t="str">
        <x:v>Newcastle</x:v>
      </x:c>
      <x:c r="E158" s="4" t="str">
        <x:v>Away</x:v>
      </x:c>
      <x:c r="F158" s="28" t="n">
        <x:v>3</x:v>
      </x:c>
      <x:c r="G158" s="28" t="n">
        <x:v>2</x:v>
      </x:c>
      <x:c r="H158" s="28" t="n">
        <x:v>14</x:v>
      </x:c>
      <x:c r="I158" s="28" t="n">
        <x:v>7</x:v>
      </x:c>
      <x:c r="J158" s="28" t="n">
        <x:v>4</x:v>
      </x:c>
      <x:c r="K158" s="28" t="n">
        <x:v>1</x:v>
      </x:c>
      <x:c r="L158" s="28" t="n">
        <x:v>9</x:v>
      </x:c>
      <x:c r="M158" s="28" t="n">
        <x:v>2</x:v>
      </x:c>
      <x:c r="N158" s="28" t="n">
        <x:v>1</x:v>
      </x:c>
      <x:c r="O158" s="28" t="n">
        <x:v>0</x:v>
      </x:c>
      <x:c r="P158" s="28" t="n">
        <x:v>3</x:v>
      </x:c>
      <x:c r="Q158" s="24" t="n">
        <x:f>IFERROR(J158/H158,0)</x:f>
        <x:v>0.2857142857142857</x:v>
      </x:c>
      <x:c r="R158" s="24" t="n">
        <x:f>IFERROR(F158/H158,0)</x:f>
        <x:v>0.21428571428571427</x:v>
      </x:c>
      <x:c r="S158" s="24" t="n">
        <x:f>IFERROR(F158/J158,0)</x:f>
        <x:v>0.75</x:v>
      </x:c>
      <x:c r="T158" s="28" t="n">
        <x:f>H158-I158</x:f>
        <x:v>7</x:v>
      </x:c>
      <x:c r="U158" s="24" t="n">
        <x:f>IFERROR(J158/H158,0)-IFERROR(K158/I158,0)</x:f>
        <x:v>0.14285714285714285</x:v>
      </x:c>
      <x:c r="V158" s="24" t="n">
        <x:f>IFERROR(F158/J158,0)-IFERROR(G158/K158,0)</x:f>
        <x:v>-1.25</x:v>
      </x:c>
      <x:c r="W158" s="28" t="n">
        <x:f>L158-M158</x:f>
        <x:v>7</x:v>
      </x:c>
      <x:c r="X158" s="24" t="n">
        <x:f>IFERROR(K158/I158,0)</x:f>
        <x:v>0.14285714285714285</x:v>
      </x:c>
      <x:c r="Y158" s="24" t="n">
        <x:f>IFERROR(G158/I158,0)</x:f>
        <x:v>0.2857142857142857</x:v>
      </x:c>
      <x:c r="Z158" s="24" t="n">
        <x:f>IFERROR(G158/K158,0)</x:f>
        <x:v>2</x:v>
      </x:c>
      <x:c r="AA158" s="24" t="n">
        <x:f>IFERROR(F158/H158,0)-IFERROR(G158/I158,0)</x:f>
        <x:v>-0.07142857142857142</x:v>
      </x:c>
      <x:c r="AB158" s="28" t="n">
        <x:f>J158-K158</x:f>
        <x:v>3</x:v>
      </x:c>
      <x:c r="AC158" s="32" t="n">
        <x:f>F158-G158</x:f>
        <x:v>1</x:v>
      </x:c>
    </x:row>
    <x:row r="159">
      <x:c r="A159" s="4" t="str">
        <x:v>2021-22</x:v>
      </x:c>
      <x:c r="B159" s="20" t="n">
        <x:v>44486</x:v>
      </x:c>
      <x:c r="C159" s="4" t="str">
        <x:v>West Ham</x:v>
      </x:c>
      <x:c r="D159" s="4" t="str">
        <x:v>Everton</x:v>
      </x:c>
      <x:c r="E159" s="4" t="str">
        <x:v>Away</x:v>
      </x:c>
      <x:c r="F159" s="28" t="n">
        <x:v>1</x:v>
      </x:c>
      <x:c r="G159" s="28" t="n">
        <x:v>0</x:v>
      </x:c>
      <x:c r="H159" s="28" t="n">
        <x:v>16</x:v>
      </x:c>
      <x:c r="I159" s="28" t="n">
        <x:v>15</x:v>
      </x:c>
      <x:c r="J159" s="28" t="n">
        <x:v>4</x:v>
      </x:c>
      <x:c r="K159" s="28" t="n">
        <x:v>2</x:v>
      </x:c>
      <x:c r="L159" s="28" t="n">
        <x:v>9</x:v>
      </x:c>
      <x:c r="M159" s="28" t="n">
        <x:v>7</x:v>
      </x:c>
      <x:c r="N159" s="28" t="n">
        <x:v>2</x:v>
      </x:c>
      <x:c r="O159" s="28" t="n">
        <x:v>0</x:v>
      </x:c>
      <x:c r="P159" s="28" t="n">
        <x:v>3</x:v>
      </x:c>
      <x:c r="Q159" s="24" t="n">
        <x:f>IFERROR(J159/H159,0)</x:f>
        <x:v>0.25</x:v>
      </x:c>
      <x:c r="R159" s="24" t="n">
        <x:f>IFERROR(F159/H159,0)</x:f>
        <x:v>0.0625</x:v>
      </x:c>
      <x:c r="S159" s="24" t="n">
        <x:f>IFERROR(F159/J159,0)</x:f>
        <x:v>0.25</x:v>
      </x:c>
      <x:c r="T159" s="28" t="n">
        <x:f>H159-I159</x:f>
        <x:v>1</x:v>
      </x:c>
      <x:c r="U159" s="24" t="n">
        <x:f>IFERROR(J159/H159,0)-IFERROR(K159/I159,0)</x:f>
        <x:v>0.11666666666666667</x:v>
      </x:c>
      <x:c r="V159" s="24" t="n">
        <x:f>IFERROR(F159/J159,0)-IFERROR(G159/K159,0)</x:f>
        <x:v>0.25</x:v>
      </x:c>
      <x:c r="W159" s="28" t="n">
        <x:f>L159-M159</x:f>
        <x:v>2</x:v>
      </x:c>
      <x:c r="X159" s="24" t="n">
        <x:f>IFERROR(K159/I159,0)</x:f>
        <x:v>0.13333333333333333</x:v>
      </x:c>
      <x:c r="Y159" s="24" t="n">
        <x:f>IFERROR(G159/I159,0)</x:f>
        <x:v>0</x:v>
      </x:c>
      <x:c r="Z159" s="24" t="n">
        <x:f>IFERROR(G159/K159,0)</x:f>
        <x:v>0</x:v>
      </x:c>
      <x:c r="AA159" s="24" t="n">
        <x:f>IFERROR(F159/H159,0)-IFERROR(G159/I159,0)</x:f>
        <x:v>0.0625</x:v>
      </x:c>
      <x:c r="AB159" s="28" t="n">
        <x:f>J159-K159</x:f>
        <x:v>2</x:v>
      </x:c>
      <x:c r="AC159" s="32" t="n">
        <x:f>F159-G159</x:f>
        <x:v>1</x:v>
      </x:c>
    </x:row>
    <x:row r="160">
      <x:c r="A160" s="4" t="str">
        <x:v>2021-22</x:v>
      </x:c>
      <x:c r="B160" s="20" t="n">
        <x:v>44487</x:v>
      </x:c>
      <x:c r="C160" s="4" t="str">
        <x:v>Arsenal</x:v>
      </x:c>
      <x:c r="D160" s="4" t="str">
        <x:v>Crystal Palace</x:v>
      </x:c>
      <x:c r="E160" s="4" t="str">
        <x:v>Home</x:v>
      </x:c>
      <x:c r="F160" s="28" t="n">
        <x:v>2</x:v>
      </x:c>
      <x:c r="G160" s="28" t="n">
        <x:v>2</x:v>
      </x:c>
      <x:c r="H160" s="28" t="n">
        <x:v>17</x:v>
      </x:c>
      <x:c r="I160" s="28" t="n">
        <x:v>9</x:v>
      </x:c>
      <x:c r="J160" s="28" t="n">
        <x:v>6</x:v>
      </x:c>
      <x:c r="K160" s="28" t="n">
        <x:v>6</x:v>
      </x:c>
      <x:c r="L160" s="28" t="n">
        <x:v>6</x:v>
      </x:c>
      <x:c r="M160" s="28" t="n">
        <x:v>4</x:v>
      </x:c>
      <x:c r="N160" s="28" t="n">
        <x:v>1</x:v>
      </x:c>
      <x:c r="O160" s="28" t="n">
        <x:v>0</x:v>
      </x:c>
      <x:c r="P160" s="28" t="n">
        <x:v>1</x:v>
      </x:c>
      <x:c r="Q160" s="24" t="n">
        <x:f>IFERROR(J160/H160,0)</x:f>
        <x:v>0.35294117647058826</x:v>
      </x:c>
      <x:c r="R160" s="24" t="n">
        <x:f>IFERROR(F160/H160,0)</x:f>
        <x:v>0.11764705882352941</x:v>
      </x:c>
      <x:c r="S160" s="24" t="n">
        <x:f>IFERROR(F160/J160,0)</x:f>
        <x:v>0.3333333333333333</x:v>
      </x:c>
      <x:c r="T160" s="28" t="n">
        <x:f>H160-I160</x:f>
        <x:v>8</x:v>
      </x:c>
      <x:c r="U160" s="24" t="n">
        <x:f>IFERROR(J160/H160,0)-IFERROR(K160/I160,0)</x:f>
        <x:v>-0.31372549019607837</x:v>
      </x:c>
      <x:c r="V160" s="24" t="n">
        <x:f>IFERROR(F160/J160,0)-IFERROR(G160/K160,0)</x:f>
        <x:v>0</x:v>
      </x:c>
      <x:c r="W160" s="28" t="n">
        <x:f>L160-M160</x:f>
        <x:v>2</x:v>
      </x:c>
      <x:c r="X160" s="24" t="n">
        <x:f>IFERROR(K160/I160,0)</x:f>
        <x:v>0.6666666666666666</x:v>
      </x:c>
      <x:c r="Y160" s="24" t="n">
        <x:f>IFERROR(G160/I160,0)</x:f>
        <x:v>0.2222222222222222</x:v>
      </x:c>
      <x:c r="Z160" s="24" t="n">
        <x:f>IFERROR(G160/K160,0)</x:f>
        <x:v>0.3333333333333333</x:v>
      </x:c>
      <x:c r="AA160" s="24" t="n">
        <x:f>IFERROR(F160/H160,0)-IFERROR(G160/I160,0)</x:f>
        <x:v>-0.1045751633986928</x:v>
      </x:c>
      <x:c r="AB160" s="28" t="n">
        <x:f>J160-K160</x:f>
        <x:v>0</x:v>
      </x:c>
      <x:c r="AC160" s="32" t="n">
        <x:f>F160-G160</x:f>
        <x:v>0</x:v>
      </x:c>
    </x:row>
    <x:row r="161">
      <x:c r="A161" s="4" t="str">
        <x:v>2021-22</x:v>
      </x:c>
      <x:c r="B161" s="20" t="n">
        <x:v>44487</x:v>
      </x:c>
      <x:c r="C161" s="4" t="str">
        <x:v>Crystal Palace</x:v>
      </x:c>
      <x:c r="D161" s="4" t="str">
        <x:v>Arsenal</x:v>
      </x:c>
      <x:c r="E161" s="4" t="str">
        <x:v>Away</x:v>
      </x:c>
      <x:c r="F161" s="28" t="n">
        <x:v>2</x:v>
      </x:c>
      <x:c r="G161" s="28" t="n">
        <x:v>2</x:v>
      </x:c>
      <x:c r="H161" s="28" t="n">
        <x:v>9</x:v>
      </x:c>
      <x:c r="I161" s="28" t="n">
        <x:v>17</x:v>
      </x:c>
      <x:c r="J161" s="28" t="n">
        <x:v>6</x:v>
      </x:c>
      <x:c r="K161" s="28" t="n">
        <x:v>6</x:v>
      </x:c>
      <x:c r="L161" s="28" t="n">
        <x:v>4</x:v>
      </x:c>
      <x:c r="M161" s="28" t="n">
        <x:v>6</x:v>
      </x:c>
      <x:c r="N161" s="28" t="n">
        <x:v>1</x:v>
      </x:c>
      <x:c r="O161" s="28" t="n">
        <x:v>0</x:v>
      </x:c>
      <x:c r="P161" s="28" t="n">
        <x:v>1</x:v>
      </x:c>
      <x:c r="Q161" s="24" t="n">
        <x:f>IFERROR(J161/H161,0)</x:f>
        <x:v>0.6666666666666666</x:v>
      </x:c>
      <x:c r="R161" s="24" t="n">
        <x:f>IFERROR(F161/H161,0)</x:f>
        <x:v>0.2222222222222222</x:v>
      </x:c>
      <x:c r="S161" s="24" t="n">
        <x:f>IFERROR(F161/J161,0)</x:f>
        <x:v>0.3333333333333333</x:v>
      </x:c>
      <x:c r="T161" s="28" t="n">
        <x:f>H161-I161</x:f>
        <x:v>-8</x:v>
      </x:c>
      <x:c r="U161" s="24" t="n">
        <x:f>IFERROR(J161/H161,0)-IFERROR(K161/I161,0)</x:f>
        <x:v>0.31372549019607837</x:v>
      </x:c>
      <x:c r="V161" s="24" t="n">
        <x:f>IFERROR(F161/J161,0)-IFERROR(G161/K161,0)</x:f>
        <x:v>0</x:v>
      </x:c>
      <x:c r="W161" s="28" t="n">
        <x:f>L161-M161</x:f>
        <x:v>-2</x:v>
      </x:c>
      <x:c r="X161" s="24" t="n">
        <x:f>IFERROR(K161/I161,0)</x:f>
        <x:v>0.35294117647058826</x:v>
      </x:c>
      <x:c r="Y161" s="24" t="n">
        <x:f>IFERROR(G161/I161,0)</x:f>
        <x:v>0.11764705882352941</x:v>
      </x:c>
      <x:c r="Z161" s="24" t="n">
        <x:f>IFERROR(G161/K161,0)</x:f>
        <x:v>0.3333333333333333</x:v>
      </x:c>
      <x:c r="AA161" s="24" t="n">
        <x:f>IFERROR(F161/H161,0)-IFERROR(G161/I161,0)</x:f>
        <x:v>0.1045751633986928</x:v>
      </x:c>
      <x:c r="AB161" s="28" t="n">
        <x:f>J161-K161</x:f>
        <x:v>0</x:v>
      </x:c>
      <x:c r="AC161" s="32" t="n">
        <x:f>F161-G161</x:f>
        <x:v>0</x:v>
      </x:c>
    </x:row>
    <x:row r="162">
      <x:c r="A162" s="4" t="str">
        <x:v>2021-22</x:v>
      </x:c>
      <x:c r="B162" s="20" t="n">
        <x:v>44491</x:v>
      </x:c>
      <x:c r="C162" s="4" t="str">
        <x:v>Arsenal</x:v>
      </x:c>
      <x:c r="D162" s="4" t="str">
        <x:v>Aston Villa</x:v>
      </x:c>
      <x:c r="E162" s="4" t="str">
        <x:v>Home</x:v>
      </x:c>
      <x:c r="F162" s="28" t="n">
        <x:v>3</x:v>
      </x:c>
      <x:c r="G162" s="28" t="n">
        <x:v>1</x:v>
      </x:c>
      <x:c r="H162" s="28" t="n">
        <x:v>22</x:v>
      </x:c>
      <x:c r="I162" s="28" t="n">
        <x:v>10</x:v>
      </x:c>
      <x:c r="J162" s="28" t="n">
        <x:v>9</x:v>
      </x:c>
      <x:c r="K162" s="28" t="n">
        <x:v>4</x:v>
      </x:c>
      <x:c r="L162" s="28" t="n">
        <x:v>7</x:v>
      </x:c>
      <x:c r="M162" s="28" t="n">
        <x:v>4</x:v>
      </x:c>
      <x:c r="N162" s="28" t="n">
        <x:v>2</x:v>
      </x:c>
      <x:c r="O162" s="28" t="n">
        <x:v>0</x:v>
      </x:c>
      <x:c r="P162" s="28" t="n">
        <x:v>3</x:v>
      </x:c>
      <x:c r="Q162" s="24" t="n">
        <x:f>IFERROR(J162/H162,0)</x:f>
        <x:v>0.4090909090909091</x:v>
      </x:c>
      <x:c r="R162" s="24" t="n">
        <x:f>IFERROR(F162/H162,0)</x:f>
        <x:v>0.13636363636363635</x:v>
      </x:c>
      <x:c r="S162" s="24" t="n">
        <x:f>IFERROR(F162/J162,0)</x:f>
        <x:v>0.3333333333333333</x:v>
      </x:c>
      <x:c r="T162" s="28" t="n">
        <x:f>H162-I162</x:f>
        <x:v>12</x:v>
      </x:c>
      <x:c r="U162" s="24" t="n">
        <x:f>IFERROR(J162/H162,0)-IFERROR(K162/I162,0)</x:f>
        <x:v>0.009090909090909094</x:v>
      </x:c>
      <x:c r="V162" s="24" t="n">
        <x:f>IFERROR(F162/J162,0)-IFERROR(G162/K162,0)</x:f>
        <x:v>0.08333333333333331</x:v>
      </x:c>
      <x:c r="W162" s="28" t="n">
        <x:f>L162-M162</x:f>
        <x:v>3</x:v>
      </x:c>
      <x:c r="X162" s="24" t="n">
        <x:f>IFERROR(K162/I162,0)</x:f>
        <x:v>0.4</x:v>
      </x:c>
      <x:c r="Y162" s="24" t="n">
        <x:f>IFERROR(G162/I162,0)</x:f>
        <x:v>0.1</x:v>
      </x:c>
      <x:c r="Z162" s="24" t="n">
        <x:f>IFERROR(G162/K162,0)</x:f>
        <x:v>0.25</x:v>
      </x:c>
      <x:c r="AA162" s="24" t="n">
        <x:f>IFERROR(F162/H162,0)-IFERROR(G162/I162,0)</x:f>
        <x:v>0.03636363636363635</x:v>
      </x:c>
      <x:c r="AB162" s="28" t="n">
        <x:f>J162-K162</x:f>
        <x:v>5</x:v>
      </x:c>
      <x:c r="AC162" s="32" t="n">
        <x:f>F162-G162</x:f>
        <x:v>2</x:v>
      </x:c>
    </x:row>
    <x:row r="163">
      <x:c r="A163" s="4" t="str">
        <x:v>2021-22</x:v>
      </x:c>
      <x:c r="B163" s="20" t="n">
        <x:v>44491</x:v>
      </x:c>
      <x:c r="C163" s="4" t="str">
        <x:v>Aston Villa</x:v>
      </x:c>
      <x:c r="D163" s="4" t="str">
        <x:v>Arsenal</x:v>
      </x:c>
      <x:c r="E163" s="4" t="str">
        <x:v>Away</x:v>
      </x:c>
      <x:c r="F163" s="28" t="n">
        <x:v>1</x:v>
      </x:c>
      <x:c r="G163" s="28" t="n">
        <x:v>3</x:v>
      </x:c>
      <x:c r="H163" s="28" t="n">
        <x:v>10</x:v>
      </x:c>
      <x:c r="I163" s="28" t="n">
        <x:v>22</x:v>
      </x:c>
      <x:c r="J163" s="28" t="n">
        <x:v>4</x:v>
      </x:c>
      <x:c r="K163" s="28" t="n">
        <x:v>9</x:v>
      </x:c>
      <x:c r="L163" s="28" t="n">
        <x:v>4</x:v>
      </x:c>
      <x:c r="M163" s="28" t="n">
        <x:v>7</x:v>
      </x:c>
      <x:c r="N163" s="28" t="n">
        <x:v>5</x:v>
      </x:c>
      <x:c r="O163" s="28" t="n">
        <x:v>0</x:v>
      </x:c>
      <x:c r="P163" s="28" t="n">
        <x:v>0</x:v>
      </x:c>
      <x:c r="Q163" s="24" t="n">
        <x:f>IFERROR(J163/H163,0)</x:f>
        <x:v>0.4</x:v>
      </x:c>
      <x:c r="R163" s="24" t="n">
        <x:f>IFERROR(F163/H163,0)</x:f>
        <x:v>0.1</x:v>
      </x:c>
      <x:c r="S163" s="24" t="n">
        <x:f>IFERROR(F163/J163,0)</x:f>
        <x:v>0.25</x:v>
      </x:c>
      <x:c r="T163" s="28" t="n">
        <x:f>H163-I163</x:f>
        <x:v>-12</x:v>
      </x:c>
      <x:c r="U163" s="24" t="n">
        <x:f>IFERROR(J163/H163,0)-IFERROR(K163/I163,0)</x:f>
        <x:v>-0.009090909090909094</x:v>
      </x:c>
      <x:c r="V163" s="24" t="n">
        <x:f>IFERROR(F163/J163,0)-IFERROR(G163/K163,0)</x:f>
        <x:v>-0.08333333333333331</x:v>
      </x:c>
      <x:c r="W163" s="28" t="n">
        <x:f>L163-M163</x:f>
        <x:v>-3</x:v>
      </x:c>
      <x:c r="X163" s="24" t="n">
        <x:f>IFERROR(K163/I163,0)</x:f>
        <x:v>0.4090909090909091</x:v>
      </x:c>
      <x:c r="Y163" s="24" t="n">
        <x:f>IFERROR(G163/I163,0)</x:f>
        <x:v>0.13636363636363635</x:v>
      </x:c>
      <x:c r="Z163" s="24" t="n">
        <x:f>IFERROR(G163/K163,0)</x:f>
        <x:v>0.3333333333333333</x:v>
      </x:c>
      <x:c r="AA163" s="24" t="n">
        <x:f>IFERROR(F163/H163,0)-IFERROR(G163/I163,0)</x:f>
        <x:v>-0.03636363636363635</x:v>
      </x:c>
      <x:c r="AB163" s="28" t="n">
        <x:f>J163-K163</x:f>
        <x:v>-5</x:v>
      </x:c>
      <x:c r="AC163" s="32" t="n">
        <x:f>F163-G163</x:f>
        <x:v>-2</x:v>
      </x:c>
    </x:row>
    <x:row r="164">
      <x:c r="A164" s="4" t="str">
        <x:v>2021-22</x:v>
      </x:c>
      <x:c r="B164" s="20" t="n">
        <x:v>44492</x:v>
      </x:c>
      <x:c r="C164" s="4" t="str">
        <x:v>Brighton</x:v>
      </x:c>
      <x:c r="D164" s="4" t="str">
        <x:v>Man City</x:v>
      </x:c>
      <x:c r="E164" s="4" t="str">
        <x:v>Home</x:v>
      </x:c>
      <x:c r="F164" s="28" t="n">
        <x:v>1</x:v>
      </x:c>
      <x:c r="G164" s="28" t="n">
        <x:v>4</x:v>
      </x:c>
      <x:c r="H164" s="28" t="n">
        <x:v>10</x:v>
      </x:c>
      <x:c r="I164" s="28" t="n">
        <x:v>23</x:v>
      </x:c>
      <x:c r="J164" s="28" t="n">
        <x:v>5</x:v>
      </x:c>
      <x:c r="K164" s="28" t="n">
        <x:v>14</x:v>
      </x:c>
      <x:c r="L164" s="28" t="n">
        <x:v>7</x:v>
      </x:c>
      <x:c r="M164" s="28" t="n">
        <x:v>6</x:v>
      </x:c>
      <x:c r="N164" s="28" t="n">
        <x:v>2</x:v>
      </x:c>
      <x:c r="O164" s="28" t="n">
        <x:v>0</x:v>
      </x:c>
      <x:c r="P164" s="28" t="n">
        <x:v>0</x:v>
      </x:c>
      <x:c r="Q164" s="24" t="n">
        <x:f>IFERROR(J164/H164,0)</x:f>
        <x:v>0.5</x:v>
      </x:c>
      <x:c r="R164" s="24" t="n">
        <x:f>IFERROR(F164/H164,0)</x:f>
        <x:v>0.1</x:v>
      </x:c>
      <x:c r="S164" s="24" t="n">
        <x:f>IFERROR(F164/J164,0)</x:f>
        <x:v>0.2</x:v>
      </x:c>
      <x:c r="T164" s="28" t="n">
        <x:f>H164-I164</x:f>
        <x:v>-13</x:v>
      </x:c>
      <x:c r="U164" s="24" t="n">
        <x:f>IFERROR(J164/H164,0)-IFERROR(K164/I164,0)</x:f>
        <x:v>-0.10869565217391308</x:v>
      </x:c>
      <x:c r="V164" s="24" t="n">
        <x:f>IFERROR(F164/J164,0)-IFERROR(G164/K164,0)</x:f>
        <x:v>-0.08571428571428569</x:v>
      </x:c>
      <x:c r="W164" s="28" t="n">
        <x:f>L164-M164</x:f>
        <x:v>1</x:v>
      </x:c>
      <x:c r="X164" s="24" t="n">
        <x:f>IFERROR(K164/I164,0)</x:f>
        <x:v>0.6086956521739131</x:v>
      </x:c>
      <x:c r="Y164" s="24" t="n">
        <x:f>IFERROR(G164/I164,0)</x:f>
        <x:v>0.17391304347826086</x:v>
      </x:c>
      <x:c r="Z164" s="24" t="n">
        <x:f>IFERROR(G164/K164,0)</x:f>
        <x:v>0.2857142857142857</x:v>
      </x:c>
      <x:c r="AA164" s="24" t="n">
        <x:f>IFERROR(F164/H164,0)-IFERROR(G164/I164,0)</x:f>
        <x:v>-0.07391304347826086</x:v>
      </x:c>
      <x:c r="AB164" s="28" t="n">
        <x:f>J164-K164</x:f>
        <x:v>-9</x:v>
      </x:c>
      <x:c r="AC164" s="32" t="n">
        <x:f>F164-G164</x:f>
        <x:v>-3</x:v>
      </x:c>
    </x:row>
    <x:row r="165">
      <x:c r="A165" s="4" t="str">
        <x:v>2021-22</x:v>
      </x:c>
      <x:c r="B165" s="20" t="n">
        <x:v>44492</x:v>
      </x:c>
      <x:c r="C165" s="4" t="str">
        <x:v>Burnley</x:v>
      </x:c>
      <x:c r="D165" s="4" t="str">
        <x:v>Southampton</x:v>
      </x:c>
      <x:c r="E165" s="4" t="str">
        <x:v>Away</x:v>
      </x:c>
      <x:c r="F165" s="28" t="n">
        <x:v>2</x:v>
      </x:c>
      <x:c r="G165" s="28" t="n">
        <x:v>2</x:v>
      </x:c>
      <x:c r="H165" s="28" t="n">
        <x:v>9</x:v>
      </x:c>
      <x:c r="I165" s="28" t="n">
        <x:v>16</x:v>
      </x:c>
      <x:c r="J165" s="28" t="n">
        <x:v>5</x:v>
      </x:c>
      <x:c r="K165" s="28" t="n">
        <x:v>4</x:v>
      </x:c>
      <x:c r="L165" s="28" t="n">
        <x:v>2</x:v>
      </x:c>
      <x:c r="M165" s="28" t="n">
        <x:v>6</x:v>
      </x:c>
      <x:c r="N165" s="28" t="n">
        <x:v>3</x:v>
      </x:c>
      <x:c r="O165" s="28" t="n">
        <x:v>0</x:v>
      </x:c>
      <x:c r="P165" s="28" t="n">
        <x:v>1</x:v>
      </x:c>
      <x:c r="Q165" s="24" t="n">
        <x:f>IFERROR(J165/H165,0)</x:f>
        <x:v>0.5555555555555556</x:v>
      </x:c>
      <x:c r="R165" s="24" t="n">
        <x:f>IFERROR(F165/H165,0)</x:f>
        <x:v>0.2222222222222222</x:v>
      </x:c>
      <x:c r="S165" s="24" t="n">
        <x:f>IFERROR(F165/J165,0)</x:f>
        <x:v>0.4</x:v>
      </x:c>
      <x:c r="T165" s="28" t="n">
        <x:f>H165-I165</x:f>
        <x:v>-7</x:v>
      </x:c>
      <x:c r="U165" s="24" t="n">
        <x:f>IFERROR(J165/H165,0)-IFERROR(K165/I165,0)</x:f>
        <x:v>0.3055555555555556</x:v>
      </x:c>
      <x:c r="V165" s="24" t="n">
        <x:f>IFERROR(F165/J165,0)-IFERROR(G165/K165,0)</x:f>
        <x:v>-0.09999999999999998</x:v>
      </x:c>
      <x:c r="W165" s="28" t="n">
        <x:f>L165-M165</x:f>
        <x:v>-4</x:v>
      </x:c>
      <x:c r="X165" s="24" t="n">
        <x:f>IFERROR(K165/I165,0)</x:f>
        <x:v>0.25</x:v>
      </x:c>
      <x:c r="Y165" s="24" t="n">
        <x:f>IFERROR(G165/I165,0)</x:f>
        <x:v>0.125</x:v>
      </x:c>
      <x:c r="Z165" s="24" t="n">
        <x:f>IFERROR(G165/K165,0)</x:f>
        <x:v>0.5</x:v>
      </x:c>
      <x:c r="AA165" s="24" t="n">
        <x:f>IFERROR(F165/H165,0)-IFERROR(G165/I165,0)</x:f>
        <x:v>0.09722222222222221</x:v>
      </x:c>
      <x:c r="AB165" s="28" t="n">
        <x:f>J165-K165</x:f>
        <x:v>1</x:v>
      </x:c>
      <x:c r="AC165" s="32" t="n">
        <x:f>F165-G165</x:f>
        <x:v>0</x:v>
      </x:c>
    </x:row>
    <x:row r="166">
      <x:c r="A166" s="4" t="str">
        <x:v>2021-22</x:v>
      </x:c>
      <x:c r="B166" s="20" t="n">
        <x:v>44492</x:v>
      </x:c>
      <x:c r="C166" s="4" t="str">
        <x:v>Chelsea</x:v>
      </x:c>
      <x:c r="D166" s="4" t="str">
        <x:v>Norwich</x:v>
      </x:c>
      <x:c r="E166" s="4" t="str">
        <x:v>Home</x:v>
      </x:c>
      <x:c r="F166" s="28" t="n">
        <x:v>7</x:v>
      </x:c>
      <x:c r="G166" s="28" t="n">
        <x:v>0</x:v>
      </x:c>
      <x:c r="H166" s="28" t="n">
        <x:v>23</x:v>
      </x:c>
      <x:c r="I166" s="28" t="n">
        <x:v>3</x:v>
      </x:c>
      <x:c r="J166" s="28" t="n">
        <x:v>13</x:v>
      </x:c>
      <x:c r="K166" s="28" t="n">
        <x:v>1</x:v>
      </x:c>
      <x:c r="L166" s="28" t="n">
        <x:v>5</x:v>
      </x:c>
      <x:c r="M166" s="28" t="n">
        <x:v>0</x:v>
      </x:c>
      <x:c r="N166" s="28" t="n">
        <x:v>0</x:v>
      </x:c>
      <x:c r="O166" s="28" t="n">
        <x:v>0</x:v>
      </x:c>
      <x:c r="P166" s="28" t="n">
        <x:v>3</x:v>
      </x:c>
      <x:c r="Q166" s="24" t="n">
        <x:f>IFERROR(J166/H166,0)</x:f>
        <x:v>0.5652173913043478</x:v>
      </x:c>
      <x:c r="R166" s="24" t="n">
        <x:f>IFERROR(F166/H166,0)</x:f>
        <x:v>0.30434782608695654</x:v>
      </x:c>
      <x:c r="S166" s="24" t="n">
        <x:f>IFERROR(F166/J166,0)</x:f>
        <x:v>0.5384615384615384</x:v>
      </x:c>
      <x:c r="T166" s="28" t="n">
        <x:f>H166-I166</x:f>
        <x:v>20</x:v>
      </x:c>
      <x:c r="U166" s="24" t="n">
        <x:f>IFERROR(J166/H166,0)-IFERROR(K166/I166,0)</x:f>
        <x:v>0.23188405797101447</x:v>
      </x:c>
      <x:c r="V166" s="24" t="n">
        <x:f>IFERROR(F166/J166,0)-IFERROR(G166/K166,0)</x:f>
        <x:v>0.5384615384615384</x:v>
      </x:c>
      <x:c r="W166" s="28" t="n">
        <x:f>L166-M166</x:f>
        <x:v>5</x:v>
      </x:c>
      <x:c r="X166" s="24" t="n">
        <x:f>IFERROR(K166/I166,0)</x:f>
        <x:v>0.3333333333333333</x:v>
      </x:c>
      <x:c r="Y166" s="24" t="n">
        <x:f>IFERROR(G166/I166,0)</x:f>
        <x:v>0</x:v>
      </x:c>
      <x:c r="Z166" s="24" t="n">
        <x:f>IFERROR(G166/K166,0)</x:f>
        <x:v>0</x:v>
      </x:c>
      <x:c r="AA166" s="24" t="n">
        <x:f>IFERROR(F166/H166,0)-IFERROR(G166/I166,0)</x:f>
        <x:v>0.30434782608695654</x:v>
      </x:c>
      <x:c r="AB166" s="28" t="n">
        <x:f>J166-K166</x:f>
        <x:v>12</x:v>
      </x:c>
      <x:c r="AC166" s="32" t="n">
        <x:f>F166-G166</x:f>
        <x:v>7</x:v>
      </x:c>
    </x:row>
    <x:row r="167">
      <x:c r="A167" s="4" t="str">
        <x:v>2021-22</x:v>
      </x:c>
      <x:c r="B167" s="20" t="n">
        <x:v>44492</x:v>
      </x:c>
      <x:c r="C167" s="4" t="str">
        <x:v>Crystal Palace</x:v>
      </x:c>
      <x:c r="D167" s="4" t="str">
        <x:v>Newcastle</x:v>
      </x:c>
      <x:c r="E167" s="4" t="str">
        <x:v>Home</x:v>
      </x:c>
      <x:c r="F167" s="28" t="n">
        <x:v>1</x:v>
      </x:c>
      <x:c r="G167" s="28" t="n">
        <x:v>1</x:v>
      </x:c>
      <x:c r="H167" s="28" t="n">
        <x:v>15</x:v>
      </x:c>
      <x:c r="I167" s="28" t="n">
        <x:v>6</x:v>
      </x:c>
      <x:c r="J167" s="28" t="n">
        <x:v>3</x:v>
      </x:c>
      <x:c r="K167" s="28" t="n">
        <x:v>2</x:v>
      </x:c>
      <x:c r="L167" s="28" t="n">
        <x:v>3</x:v>
      </x:c>
      <x:c r="M167" s="28" t="n">
        <x:v>7</x:v>
      </x:c>
      <x:c r="N167" s="28" t="n">
        <x:v>3</x:v>
      </x:c>
      <x:c r="O167" s="28" t="n">
        <x:v>0</x:v>
      </x:c>
      <x:c r="P167" s="28" t="n">
        <x:v>1</x:v>
      </x:c>
      <x:c r="Q167" s="24" t="n">
        <x:f>IFERROR(J167/H167,0)</x:f>
        <x:v>0.2</x:v>
      </x:c>
      <x:c r="R167" s="24" t="n">
        <x:f>IFERROR(F167/H167,0)</x:f>
        <x:v>0.06666666666666667</x:v>
      </x:c>
      <x:c r="S167" s="24" t="n">
        <x:f>IFERROR(F167/J167,0)</x:f>
        <x:v>0.3333333333333333</x:v>
      </x:c>
      <x:c r="T167" s="28" t="n">
        <x:f>H167-I167</x:f>
        <x:v>9</x:v>
      </x:c>
      <x:c r="U167" s="24" t="n">
        <x:f>IFERROR(J167/H167,0)-IFERROR(K167/I167,0)</x:f>
        <x:v>-0.1333333333333333</x:v>
      </x:c>
      <x:c r="V167" s="24" t="n">
        <x:f>IFERROR(F167/J167,0)-IFERROR(G167/K167,0)</x:f>
        <x:v>-0.16666666666666669</x:v>
      </x:c>
      <x:c r="W167" s="28" t="n">
        <x:f>L167-M167</x:f>
        <x:v>-4</x:v>
      </x:c>
      <x:c r="X167" s="24" t="n">
        <x:f>IFERROR(K167/I167,0)</x:f>
        <x:v>0.3333333333333333</x:v>
      </x:c>
      <x:c r="Y167" s="24" t="n">
        <x:f>IFERROR(G167/I167,0)</x:f>
        <x:v>0.16666666666666666</x:v>
      </x:c>
      <x:c r="Z167" s="24" t="n">
        <x:f>IFERROR(G167/K167,0)</x:f>
        <x:v>0.5</x:v>
      </x:c>
      <x:c r="AA167" s="24" t="n">
        <x:f>IFERROR(F167/H167,0)-IFERROR(G167/I167,0)</x:f>
        <x:v>-0.09999999999999999</x:v>
      </x:c>
      <x:c r="AB167" s="28" t="n">
        <x:f>J167-K167</x:f>
        <x:v>1</x:v>
      </x:c>
      <x:c r="AC167" s="32" t="n">
        <x:f>F167-G167</x:f>
        <x:v>0</x:v>
      </x:c>
    </x:row>
    <x:row r="168">
      <x:c r="A168" s="4" t="str">
        <x:v>2021-22</x:v>
      </x:c>
      <x:c r="B168" s="20" t="n">
        <x:v>44492</x:v>
      </x:c>
      <x:c r="C168" s="4" t="str">
        <x:v>Everton</x:v>
      </x:c>
      <x:c r="D168" s="4" t="str">
        <x:v>Watford</x:v>
      </x:c>
      <x:c r="E168" s="4" t="str">
        <x:v>Home</x:v>
      </x:c>
      <x:c r="F168" s="28" t="n">
        <x:v>2</x:v>
      </x:c>
      <x:c r="G168" s="28" t="n">
        <x:v>5</x:v>
      </x:c>
      <x:c r="H168" s="28" t="n">
        <x:v>15</x:v>
      </x:c>
      <x:c r="I168" s="28" t="n">
        <x:v>20</x:v>
      </x:c>
      <x:c r="J168" s="28" t="n">
        <x:v>4</x:v>
      </x:c>
      <x:c r="K168" s="28" t="n">
        <x:v>8</x:v>
      </x:c>
      <x:c r="L168" s="28" t="n">
        <x:v>3</x:v>
      </x:c>
      <x:c r="M168" s="28" t="n">
        <x:v>5</x:v>
      </x:c>
      <x:c r="N168" s="28" t="n">
        <x:v>4</x:v>
      </x:c>
      <x:c r="O168" s="28" t="n">
        <x:v>0</x:v>
      </x:c>
      <x:c r="P168" s="28" t="n">
        <x:v>0</x:v>
      </x:c>
      <x:c r="Q168" s="24" t="n">
        <x:f>IFERROR(J168/H168,0)</x:f>
        <x:v>0.26666666666666666</x:v>
      </x:c>
      <x:c r="R168" s="24" t="n">
        <x:f>IFERROR(F168/H168,0)</x:f>
        <x:v>0.13333333333333333</x:v>
      </x:c>
      <x:c r="S168" s="24" t="n">
        <x:f>IFERROR(F168/J168,0)</x:f>
        <x:v>0.5</x:v>
      </x:c>
      <x:c r="T168" s="28" t="n">
        <x:f>H168-I168</x:f>
        <x:v>-5</x:v>
      </x:c>
      <x:c r="U168" s="24" t="n">
        <x:f>IFERROR(J168/H168,0)-IFERROR(K168/I168,0)</x:f>
        <x:v>-0.13333333333333336</x:v>
      </x:c>
      <x:c r="V168" s="24" t="n">
        <x:f>IFERROR(F168/J168,0)-IFERROR(G168/K168,0)</x:f>
        <x:v>-0.125</x:v>
      </x:c>
      <x:c r="W168" s="28" t="n">
        <x:f>L168-M168</x:f>
        <x:v>-2</x:v>
      </x:c>
      <x:c r="X168" s="24" t="n">
        <x:f>IFERROR(K168/I168,0)</x:f>
        <x:v>0.4</x:v>
      </x:c>
      <x:c r="Y168" s="24" t="n">
        <x:f>IFERROR(G168/I168,0)</x:f>
        <x:v>0.25</x:v>
      </x:c>
      <x:c r="Z168" s="24" t="n">
        <x:f>IFERROR(G168/K168,0)</x:f>
        <x:v>0.625</x:v>
      </x:c>
      <x:c r="AA168" s="24" t="n">
        <x:f>IFERROR(F168/H168,0)-IFERROR(G168/I168,0)</x:f>
        <x:v>-0.11666666666666667</x:v>
      </x:c>
      <x:c r="AB168" s="28" t="n">
        <x:f>J168-K168</x:f>
        <x:v>-4</x:v>
      </x:c>
      <x:c r="AC168" s="32" t="n">
        <x:f>F168-G168</x:f>
        <x:v>-3</x:v>
      </x:c>
    </x:row>
    <x:row r="169">
      <x:c r="A169" s="4" t="str">
        <x:v>2021-22</x:v>
      </x:c>
      <x:c r="B169" s="20" t="n">
        <x:v>44492</x:v>
      </x:c>
      <x:c r="C169" s="4" t="str">
        <x:v>Leeds</x:v>
      </x:c>
      <x:c r="D169" s="4" t="str">
        <x:v>Wolves</x:v>
      </x:c>
      <x:c r="E169" s="4" t="str">
        <x:v>Home</x:v>
      </x:c>
      <x:c r="F169" s="28" t="n">
        <x:v>1</x:v>
      </x:c>
      <x:c r="G169" s="28" t="n">
        <x:v>1</x:v>
      </x:c>
      <x:c r="H169" s="28" t="n">
        <x:v>18</x:v>
      </x:c>
      <x:c r="I169" s="28" t="n">
        <x:v>8</x:v>
      </x:c>
      <x:c r="J169" s="28" t="n">
        <x:v>4</x:v>
      </x:c>
      <x:c r="K169" s="28" t="n">
        <x:v>4</x:v>
      </x:c>
      <x:c r="L169" s="28" t="n">
        <x:v>6</x:v>
      </x:c>
      <x:c r="M169" s="28" t="n">
        <x:v>3</x:v>
      </x:c>
      <x:c r="N169" s="28" t="n">
        <x:v>2</x:v>
      </x:c>
      <x:c r="O169" s="28" t="n">
        <x:v>0</x:v>
      </x:c>
      <x:c r="P169" s="28" t="n">
        <x:v>1</x:v>
      </x:c>
      <x:c r="Q169" s="24" t="n">
        <x:f>IFERROR(J169/H169,0)</x:f>
        <x:v>0.2222222222222222</x:v>
      </x:c>
      <x:c r="R169" s="24" t="n">
        <x:f>IFERROR(F169/H169,0)</x:f>
        <x:v>0.05555555555555555</x:v>
      </x:c>
      <x:c r="S169" s="24" t="n">
        <x:f>IFERROR(F169/J169,0)</x:f>
        <x:v>0.25</x:v>
      </x:c>
      <x:c r="T169" s="28" t="n">
        <x:f>H169-I169</x:f>
        <x:v>10</x:v>
      </x:c>
      <x:c r="U169" s="24" t="n">
        <x:f>IFERROR(J169/H169,0)-IFERROR(K169/I169,0)</x:f>
        <x:v>-0.2777777777777778</x:v>
      </x:c>
      <x:c r="V169" s="24" t="n">
        <x:f>IFERROR(F169/J169,0)-IFERROR(G169/K169,0)</x:f>
        <x:v>0</x:v>
      </x:c>
      <x:c r="W169" s="28" t="n">
        <x:f>L169-M169</x:f>
        <x:v>3</x:v>
      </x:c>
      <x:c r="X169" s="24" t="n">
        <x:f>IFERROR(K169/I169,0)</x:f>
        <x:v>0.5</x:v>
      </x:c>
      <x:c r="Y169" s="24" t="n">
        <x:f>IFERROR(G169/I169,0)</x:f>
        <x:v>0.125</x:v>
      </x:c>
      <x:c r="Z169" s="24" t="n">
        <x:f>IFERROR(G169/K169,0)</x:f>
        <x:v>0.25</x:v>
      </x:c>
      <x:c r="AA169" s="24" t="n">
        <x:f>IFERROR(F169/H169,0)-IFERROR(G169/I169,0)</x:f>
        <x:v>-0.06944444444444445</x:v>
      </x:c>
      <x:c r="AB169" s="28" t="n">
        <x:f>J169-K169</x:f>
        <x:v>0</x:v>
      </x:c>
      <x:c r="AC169" s="32" t="n">
        <x:f>F169-G169</x:f>
        <x:v>0</x:v>
      </x:c>
    </x:row>
    <x:row r="170">
      <x:c r="A170" s="4" t="str">
        <x:v>2021-22</x:v>
      </x:c>
      <x:c r="B170" s="20" t="n">
        <x:v>44492</x:v>
      </x:c>
      <x:c r="C170" s="4" t="str">
        <x:v>Man City</x:v>
      </x:c>
      <x:c r="D170" s="4" t="str">
        <x:v>Brighton</x:v>
      </x:c>
      <x:c r="E170" s="4" t="str">
        <x:v>Away</x:v>
      </x:c>
      <x:c r="F170" s="28" t="n">
        <x:v>4</x:v>
      </x:c>
      <x:c r="G170" s="28" t="n">
        <x:v>1</x:v>
      </x:c>
      <x:c r="H170" s="28" t="n">
        <x:v>23</x:v>
      </x:c>
      <x:c r="I170" s="28" t="n">
        <x:v>10</x:v>
      </x:c>
      <x:c r="J170" s="28" t="n">
        <x:v>14</x:v>
      </x:c>
      <x:c r="K170" s="28" t="n">
        <x:v>5</x:v>
      </x:c>
      <x:c r="L170" s="28" t="n">
        <x:v>6</x:v>
      </x:c>
      <x:c r="M170" s="28" t="n">
        <x:v>7</x:v>
      </x:c>
      <x:c r="N170" s="28" t="n">
        <x:v>3</x:v>
      </x:c>
      <x:c r="O170" s="28" t="n">
        <x:v>0</x:v>
      </x:c>
      <x:c r="P170" s="28" t="n">
        <x:v>3</x:v>
      </x:c>
      <x:c r="Q170" s="24" t="n">
        <x:f>IFERROR(J170/H170,0)</x:f>
        <x:v>0.6086956521739131</x:v>
      </x:c>
      <x:c r="R170" s="24" t="n">
        <x:f>IFERROR(F170/H170,0)</x:f>
        <x:v>0.17391304347826086</x:v>
      </x:c>
      <x:c r="S170" s="24" t="n">
        <x:f>IFERROR(F170/J170,0)</x:f>
        <x:v>0.2857142857142857</x:v>
      </x:c>
      <x:c r="T170" s="28" t="n">
        <x:f>H170-I170</x:f>
        <x:v>13</x:v>
      </x:c>
      <x:c r="U170" s="24" t="n">
        <x:f>IFERROR(J170/H170,0)-IFERROR(K170/I170,0)</x:f>
        <x:v>0.10869565217391308</x:v>
      </x:c>
      <x:c r="V170" s="24" t="n">
        <x:f>IFERROR(F170/J170,0)-IFERROR(G170/K170,0)</x:f>
        <x:v>0.08571428571428569</x:v>
      </x:c>
      <x:c r="W170" s="28" t="n">
        <x:f>L170-M170</x:f>
        <x:v>-1</x:v>
      </x:c>
      <x:c r="X170" s="24" t="n">
        <x:f>IFERROR(K170/I170,0)</x:f>
        <x:v>0.5</x:v>
      </x:c>
      <x:c r="Y170" s="24" t="n">
        <x:f>IFERROR(G170/I170,0)</x:f>
        <x:v>0.1</x:v>
      </x:c>
      <x:c r="Z170" s="24" t="n">
        <x:f>IFERROR(G170/K170,0)</x:f>
        <x:v>0.2</x:v>
      </x:c>
      <x:c r="AA170" s="24" t="n">
        <x:f>IFERROR(F170/H170,0)-IFERROR(G170/I170,0)</x:f>
        <x:v>0.07391304347826086</x:v>
      </x:c>
      <x:c r="AB170" s="28" t="n">
        <x:f>J170-K170</x:f>
        <x:v>9</x:v>
      </x:c>
      <x:c r="AC170" s="32" t="n">
        <x:f>F170-G170</x:f>
        <x:v>3</x:v>
      </x:c>
    </x:row>
    <x:row r="171">
      <x:c r="A171" s="4" t="str">
        <x:v>2021-22</x:v>
      </x:c>
      <x:c r="B171" s="20" t="n">
        <x:v>44492</x:v>
      </x:c>
      <x:c r="C171" s="4" t="str">
        <x:v>Newcastle</x:v>
      </x:c>
      <x:c r="D171" s="4" t="str">
        <x:v>Crystal Palace</x:v>
      </x:c>
      <x:c r="E171" s="4" t="str">
        <x:v>Away</x:v>
      </x:c>
      <x:c r="F171" s="28" t="n">
        <x:v>1</x:v>
      </x:c>
      <x:c r="G171" s="28" t="n">
        <x:v>1</x:v>
      </x:c>
      <x:c r="H171" s="28" t="n">
        <x:v>6</x:v>
      </x:c>
      <x:c r="I171" s="28" t="n">
        <x:v>15</x:v>
      </x:c>
      <x:c r="J171" s="28" t="n">
        <x:v>2</x:v>
      </x:c>
      <x:c r="K171" s="28" t="n">
        <x:v>3</x:v>
      </x:c>
      <x:c r="L171" s="28" t="n">
        <x:v>7</x:v>
      </x:c>
      <x:c r="M171" s="28" t="n">
        <x:v>3</x:v>
      </x:c>
      <x:c r="N171" s="28" t="n">
        <x:v>4</x:v>
      </x:c>
      <x:c r="O171" s="28" t="n">
        <x:v>0</x:v>
      </x:c>
      <x:c r="P171" s="28" t="n">
        <x:v>1</x:v>
      </x:c>
      <x:c r="Q171" s="24" t="n">
        <x:f>IFERROR(J171/H171,0)</x:f>
        <x:v>0.3333333333333333</x:v>
      </x:c>
      <x:c r="R171" s="24" t="n">
        <x:f>IFERROR(F171/H171,0)</x:f>
        <x:v>0.16666666666666666</x:v>
      </x:c>
      <x:c r="S171" s="24" t="n">
        <x:f>IFERROR(F171/J171,0)</x:f>
        <x:v>0.5</x:v>
      </x:c>
      <x:c r="T171" s="28" t="n">
        <x:f>H171-I171</x:f>
        <x:v>-9</x:v>
      </x:c>
      <x:c r="U171" s="24" t="n">
        <x:f>IFERROR(J171/H171,0)-IFERROR(K171/I171,0)</x:f>
        <x:v>0.1333333333333333</x:v>
      </x:c>
      <x:c r="V171" s="24" t="n">
        <x:f>IFERROR(F171/J171,0)-IFERROR(G171/K171,0)</x:f>
        <x:v>0.16666666666666669</x:v>
      </x:c>
      <x:c r="W171" s="28" t="n">
        <x:f>L171-M171</x:f>
        <x:v>4</x:v>
      </x:c>
      <x:c r="X171" s="24" t="n">
        <x:f>IFERROR(K171/I171,0)</x:f>
        <x:v>0.2</x:v>
      </x:c>
      <x:c r="Y171" s="24" t="n">
        <x:f>IFERROR(G171/I171,0)</x:f>
        <x:v>0.06666666666666667</x:v>
      </x:c>
      <x:c r="Z171" s="24" t="n">
        <x:f>IFERROR(G171/K171,0)</x:f>
        <x:v>0.3333333333333333</x:v>
      </x:c>
      <x:c r="AA171" s="24" t="n">
        <x:f>IFERROR(F171/H171,0)-IFERROR(G171/I171,0)</x:f>
        <x:v>0.09999999999999999</x:v>
      </x:c>
      <x:c r="AB171" s="28" t="n">
        <x:f>J171-K171</x:f>
        <x:v>-1</x:v>
      </x:c>
      <x:c r="AC171" s="32" t="n">
        <x:f>F171-G171</x:f>
        <x:v>0</x:v>
      </x:c>
    </x:row>
    <x:row r="172">
      <x:c r="A172" s="4" t="str">
        <x:v>2021-22</x:v>
      </x:c>
      <x:c r="B172" s="20" t="n">
        <x:v>44492</x:v>
      </x:c>
      <x:c r="C172" s="4" t="str">
        <x:v>Norwich</x:v>
      </x:c>
      <x:c r="D172" s="4" t="str">
        <x:v>Chelsea</x:v>
      </x:c>
      <x:c r="E172" s="4" t="str">
        <x:v>Away</x:v>
      </x:c>
      <x:c r="F172" s="28" t="n">
        <x:v>0</x:v>
      </x:c>
      <x:c r="G172" s="28" t="n">
        <x:v>7</x:v>
      </x:c>
      <x:c r="H172" s="28" t="n">
        <x:v>3</x:v>
      </x:c>
      <x:c r="I172" s="28" t="n">
        <x:v>23</x:v>
      </x:c>
      <x:c r="J172" s="28" t="n">
        <x:v>1</x:v>
      </x:c>
      <x:c r="K172" s="28" t="n">
        <x:v>13</x:v>
      </x:c>
      <x:c r="L172" s="28" t="n">
        <x:v>0</x:v>
      </x:c>
      <x:c r="M172" s="28" t="n">
        <x:v>5</x:v>
      </x:c>
      <x:c r="N172" s="28" t="n">
        <x:v>2</x:v>
      </x:c>
      <x:c r="O172" s="28" t="n">
        <x:v>1</x:v>
      </x:c>
      <x:c r="P172" s="28" t="n">
        <x:v>0</x:v>
      </x:c>
      <x:c r="Q172" s="24" t="n">
        <x:f>IFERROR(J172/H172,0)</x:f>
        <x:v>0.3333333333333333</x:v>
      </x:c>
      <x:c r="R172" s="24" t="n">
        <x:f>IFERROR(F172/H172,0)</x:f>
        <x:v>0</x:v>
      </x:c>
      <x:c r="S172" s="24" t="n">
        <x:f>IFERROR(F172/J172,0)</x:f>
        <x:v>0</x:v>
      </x:c>
      <x:c r="T172" s="28" t="n">
        <x:f>H172-I172</x:f>
        <x:v>-20</x:v>
      </x:c>
      <x:c r="U172" s="24" t="n">
        <x:f>IFERROR(J172/H172,0)-IFERROR(K172/I172,0)</x:f>
        <x:v>-0.23188405797101447</x:v>
      </x:c>
      <x:c r="V172" s="24" t="n">
        <x:f>IFERROR(F172/J172,0)-IFERROR(G172/K172,0)</x:f>
        <x:v>-0.5384615384615384</x:v>
      </x:c>
      <x:c r="W172" s="28" t="n">
        <x:f>L172-M172</x:f>
        <x:v>-5</x:v>
      </x:c>
      <x:c r="X172" s="24" t="n">
        <x:f>IFERROR(K172/I172,0)</x:f>
        <x:v>0.5652173913043478</x:v>
      </x:c>
      <x:c r="Y172" s="24" t="n">
        <x:f>IFERROR(G172/I172,0)</x:f>
        <x:v>0.30434782608695654</x:v>
      </x:c>
      <x:c r="Z172" s="24" t="n">
        <x:f>IFERROR(G172/K172,0)</x:f>
        <x:v>0.5384615384615384</x:v>
      </x:c>
      <x:c r="AA172" s="24" t="n">
        <x:f>IFERROR(F172/H172,0)-IFERROR(G172/I172,0)</x:f>
        <x:v>-0.30434782608695654</x:v>
      </x:c>
      <x:c r="AB172" s="28" t="n">
        <x:f>J172-K172</x:f>
        <x:v>-12</x:v>
      </x:c>
      <x:c r="AC172" s="32" t="n">
        <x:f>F172-G172</x:f>
        <x:v>-7</x:v>
      </x:c>
    </x:row>
    <x:row r="173">
      <x:c r="A173" s="4" t="str">
        <x:v>2021-22</x:v>
      </x:c>
      <x:c r="B173" s="20" t="n">
        <x:v>44492</x:v>
      </x:c>
      <x:c r="C173" s="4" t="str">
        <x:v>Southampton</x:v>
      </x:c>
      <x:c r="D173" s="4" t="str">
        <x:v>Burnley</x:v>
      </x:c>
      <x:c r="E173" s="4" t="str">
        <x:v>Home</x:v>
      </x:c>
      <x:c r="F173" s="28" t="n">
        <x:v>2</x:v>
      </x:c>
      <x:c r="G173" s="28" t="n">
        <x:v>2</x:v>
      </x:c>
      <x:c r="H173" s="28" t="n">
        <x:v>16</x:v>
      </x:c>
      <x:c r="I173" s="28" t="n">
        <x:v>9</x:v>
      </x:c>
      <x:c r="J173" s="28" t="n">
        <x:v>4</x:v>
      </x:c>
      <x:c r="K173" s="28" t="n">
        <x:v>5</x:v>
      </x:c>
      <x:c r="L173" s="28" t="n">
        <x:v>6</x:v>
      </x:c>
      <x:c r="M173" s="28" t="n">
        <x:v>2</x:v>
      </x:c>
      <x:c r="N173" s="28" t="n">
        <x:v>1</x:v>
      </x:c>
      <x:c r="O173" s="28" t="n">
        <x:v>0</x:v>
      </x:c>
      <x:c r="P173" s="28" t="n">
        <x:v>1</x:v>
      </x:c>
      <x:c r="Q173" s="24" t="n">
        <x:f>IFERROR(J173/H173,0)</x:f>
        <x:v>0.25</x:v>
      </x:c>
      <x:c r="R173" s="24" t="n">
        <x:f>IFERROR(F173/H173,0)</x:f>
        <x:v>0.125</x:v>
      </x:c>
      <x:c r="S173" s="24" t="n">
        <x:f>IFERROR(F173/J173,0)</x:f>
        <x:v>0.5</x:v>
      </x:c>
      <x:c r="T173" s="28" t="n">
        <x:f>H173-I173</x:f>
        <x:v>7</x:v>
      </x:c>
      <x:c r="U173" s="24" t="n">
        <x:f>IFERROR(J173/H173,0)-IFERROR(K173/I173,0)</x:f>
        <x:v>-0.3055555555555556</x:v>
      </x:c>
      <x:c r="V173" s="24" t="n">
        <x:f>IFERROR(F173/J173,0)-IFERROR(G173/K173,0)</x:f>
        <x:v>0.09999999999999998</x:v>
      </x:c>
      <x:c r="W173" s="28" t="n">
        <x:f>L173-M173</x:f>
        <x:v>4</x:v>
      </x:c>
      <x:c r="X173" s="24" t="n">
        <x:f>IFERROR(K173/I173,0)</x:f>
        <x:v>0.5555555555555556</x:v>
      </x:c>
      <x:c r="Y173" s="24" t="n">
        <x:f>IFERROR(G173/I173,0)</x:f>
        <x:v>0.2222222222222222</x:v>
      </x:c>
      <x:c r="Z173" s="24" t="n">
        <x:f>IFERROR(G173/K173,0)</x:f>
        <x:v>0.4</x:v>
      </x:c>
      <x:c r="AA173" s="24" t="n">
        <x:f>IFERROR(F173/H173,0)-IFERROR(G173/I173,0)</x:f>
        <x:v>-0.09722222222222221</x:v>
      </x:c>
      <x:c r="AB173" s="28" t="n">
        <x:f>J173-K173</x:f>
        <x:v>-1</x:v>
      </x:c>
      <x:c r="AC173" s="32" t="n">
        <x:f>F173-G173</x:f>
        <x:v>0</x:v>
      </x:c>
    </x:row>
    <x:row r="174">
      <x:c r="A174" s="4" t="str">
        <x:v>2021-22</x:v>
      </x:c>
      <x:c r="B174" s="20" t="n">
        <x:v>44492</x:v>
      </x:c>
      <x:c r="C174" s="4" t="str">
        <x:v>Watford</x:v>
      </x:c>
      <x:c r="D174" s="4" t="str">
        <x:v>Everton</x:v>
      </x:c>
      <x:c r="E174" s="4" t="str">
        <x:v>Away</x:v>
      </x:c>
      <x:c r="F174" s="28" t="n">
        <x:v>5</x:v>
      </x:c>
      <x:c r="G174" s="28" t="n">
        <x:v>2</x:v>
      </x:c>
      <x:c r="H174" s="28" t="n">
        <x:v>20</x:v>
      </x:c>
      <x:c r="I174" s="28" t="n">
        <x:v>15</x:v>
      </x:c>
      <x:c r="J174" s="28" t="n">
        <x:v>8</x:v>
      </x:c>
      <x:c r="K174" s="28" t="n">
        <x:v>4</x:v>
      </x:c>
      <x:c r="L174" s="28" t="n">
        <x:v>5</x:v>
      </x:c>
      <x:c r="M174" s="28" t="n">
        <x:v>3</x:v>
      </x:c>
      <x:c r="N174" s="28" t="n">
        <x:v>3</x:v>
      </x:c>
      <x:c r="O174" s="28" t="n">
        <x:v>0</x:v>
      </x:c>
      <x:c r="P174" s="28" t="n">
        <x:v>3</x:v>
      </x:c>
      <x:c r="Q174" s="24" t="n">
        <x:f>IFERROR(J174/H174,0)</x:f>
        <x:v>0.4</x:v>
      </x:c>
      <x:c r="R174" s="24" t="n">
        <x:f>IFERROR(F174/H174,0)</x:f>
        <x:v>0.25</x:v>
      </x:c>
      <x:c r="S174" s="24" t="n">
        <x:f>IFERROR(F174/J174,0)</x:f>
        <x:v>0.625</x:v>
      </x:c>
      <x:c r="T174" s="28" t="n">
        <x:f>H174-I174</x:f>
        <x:v>5</x:v>
      </x:c>
      <x:c r="U174" s="24" t="n">
        <x:f>IFERROR(J174/H174,0)-IFERROR(K174/I174,0)</x:f>
        <x:v>0.13333333333333336</x:v>
      </x:c>
      <x:c r="V174" s="24" t="n">
        <x:f>IFERROR(F174/J174,0)-IFERROR(G174/K174,0)</x:f>
        <x:v>0.125</x:v>
      </x:c>
      <x:c r="W174" s="28" t="n">
        <x:f>L174-M174</x:f>
        <x:v>2</x:v>
      </x:c>
      <x:c r="X174" s="24" t="n">
        <x:f>IFERROR(K174/I174,0)</x:f>
        <x:v>0.26666666666666666</x:v>
      </x:c>
      <x:c r="Y174" s="24" t="n">
        <x:f>IFERROR(G174/I174,0)</x:f>
        <x:v>0.13333333333333333</x:v>
      </x:c>
      <x:c r="Z174" s="24" t="n">
        <x:f>IFERROR(G174/K174,0)</x:f>
        <x:v>0.5</x:v>
      </x:c>
      <x:c r="AA174" s="24" t="n">
        <x:f>IFERROR(F174/H174,0)-IFERROR(G174/I174,0)</x:f>
        <x:v>0.11666666666666667</x:v>
      </x:c>
      <x:c r="AB174" s="28" t="n">
        <x:f>J174-K174</x:f>
        <x:v>4</x:v>
      </x:c>
      <x:c r="AC174" s="32" t="n">
        <x:f>F174-G174</x:f>
        <x:v>3</x:v>
      </x:c>
    </x:row>
    <x:row r="175">
      <x:c r="A175" s="4" t="str">
        <x:v>2021-22</x:v>
      </x:c>
      <x:c r="B175" s="20" t="n">
        <x:v>44492</x:v>
      </x:c>
      <x:c r="C175" s="4" t="str">
        <x:v>Wolves</x:v>
      </x:c>
      <x:c r="D175" s="4" t="str">
        <x:v>Leeds</x:v>
      </x:c>
      <x:c r="E175" s="4" t="str">
        <x:v>Away</x:v>
      </x:c>
      <x:c r="F175" s="28" t="n">
        <x:v>1</x:v>
      </x:c>
      <x:c r="G175" s="28" t="n">
        <x:v>1</x:v>
      </x:c>
      <x:c r="H175" s="28" t="n">
        <x:v>8</x:v>
      </x:c>
      <x:c r="I175" s="28" t="n">
        <x:v>18</x:v>
      </x:c>
      <x:c r="J175" s="28" t="n">
        <x:v>4</x:v>
      </x:c>
      <x:c r="K175" s="28" t="n">
        <x:v>4</x:v>
      </x:c>
      <x:c r="L175" s="28" t="n">
        <x:v>3</x:v>
      </x:c>
      <x:c r="M175" s="28" t="n">
        <x:v>6</x:v>
      </x:c>
      <x:c r="N175" s="28" t="n">
        <x:v>3</x:v>
      </x:c>
      <x:c r="O175" s="28" t="n">
        <x:v>0</x:v>
      </x:c>
      <x:c r="P175" s="28" t="n">
        <x:v>1</x:v>
      </x:c>
      <x:c r="Q175" s="24" t="n">
        <x:f>IFERROR(J175/H175,0)</x:f>
        <x:v>0.5</x:v>
      </x:c>
      <x:c r="R175" s="24" t="n">
        <x:f>IFERROR(F175/H175,0)</x:f>
        <x:v>0.125</x:v>
      </x:c>
      <x:c r="S175" s="24" t="n">
        <x:f>IFERROR(F175/J175,0)</x:f>
        <x:v>0.25</x:v>
      </x:c>
      <x:c r="T175" s="28" t="n">
        <x:f>H175-I175</x:f>
        <x:v>-10</x:v>
      </x:c>
      <x:c r="U175" s="24" t="n">
        <x:f>IFERROR(J175/H175,0)-IFERROR(K175/I175,0)</x:f>
        <x:v>0.2777777777777778</x:v>
      </x:c>
      <x:c r="V175" s="24" t="n">
        <x:f>IFERROR(F175/J175,0)-IFERROR(G175/K175,0)</x:f>
        <x:v>0</x:v>
      </x:c>
      <x:c r="W175" s="28" t="n">
        <x:f>L175-M175</x:f>
        <x:v>-3</x:v>
      </x:c>
      <x:c r="X175" s="24" t="n">
        <x:f>IFERROR(K175/I175,0)</x:f>
        <x:v>0.2222222222222222</x:v>
      </x:c>
      <x:c r="Y175" s="24" t="n">
        <x:f>IFERROR(G175/I175,0)</x:f>
        <x:v>0.05555555555555555</x:v>
      </x:c>
      <x:c r="Z175" s="24" t="n">
        <x:f>IFERROR(G175/K175,0)</x:f>
        <x:v>0.25</x:v>
      </x:c>
      <x:c r="AA175" s="24" t="n">
        <x:f>IFERROR(F175/H175,0)-IFERROR(G175/I175,0)</x:f>
        <x:v>0.06944444444444445</x:v>
      </x:c>
      <x:c r="AB175" s="28" t="n">
        <x:f>J175-K175</x:f>
        <x:v>0</x:v>
      </x:c>
      <x:c r="AC175" s="32" t="n">
        <x:f>F175-G175</x:f>
        <x:v>0</x:v>
      </x:c>
    </x:row>
    <x:row r="176">
      <x:c r="A176" s="4" t="str">
        <x:v>2021-22</x:v>
      </x:c>
      <x:c r="B176" s="20" t="n">
        <x:v>44493</x:v>
      </x:c>
      <x:c r="C176" s="4" t="str">
        <x:v>Brentford</x:v>
      </x:c>
      <x:c r="D176" s="4" t="str">
        <x:v>Leicester</x:v>
      </x:c>
      <x:c r="E176" s="4" t="str">
        <x:v>Home</x:v>
      </x:c>
      <x:c r="F176" s="28" t="n">
        <x:v>1</x:v>
      </x:c>
      <x:c r="G176" s="28" t="n">
        <x:v>2</x:v>
      </x:c>
      <x:c r="H176" s="28" t="n">
        <x:v>15</x:v>
      </x:c>
      <x:c r="I176" s="28" t="n">
        <x:v>10</x:v>
      </x:c>
      <x:c r="J176" s="28" t="n">
        <x:v>5</x:v>
      </x:c>
      <x:c r="K176" s="28" t="n">
        <x:v>6</x:v>
      </x:c>
      <x:c r="L176" s="28" t="n">
        <x:v>9</x:v>
      </x:c>
      <x:c r="M176" s="28" t="n">
        <x:v>2</x:v>
      </x:c>
      <x:c r="N176" s="28" t="n">
        <x:v>1</x:v>
      </x:c>
      <x:c r="O176" s="28" t="n">
        <x:v>0</x:v>
      </x:c>
      <x:c r="P176" s="28" t="n">
        <x:v>0</x:v>
      </x:c>
      <x:c r="Q176" s="24" t="n">
        <x:f>IFERROR(J176/H176,0)</x:f>
        <x:v>0.3333333333333333</x:v>
      </x:c>
      <x:c r="R176" s="24" t="n">
        <x:f>IFERROR(F176/H176,0)</x:f>
        <x:v>0.06666666666666667</x:v>
      </x:c>
      <x:c r="S176" s="24" t="n">
        <x:f>IFERROR(F176/J176,0)</x:f>
        <x:v>0.2</x:v>
      </x:c>
      <x:c r="T176" s="28" t="n">
        <x:f>H176-I176</x:f>
        <x:v>5</x:v>
      </x:c>
      <x:c r="U176" s="24" t="n">
        <x:f>IFERROR(J176/H176,0)-IFERROR(K176/I176,0)</x:f>
        <x:v>-0.26666666666666666</x:v>
      </x:c>
      <x:c r="V176" s="24" t="n">
        <x:f>IFERROR(F176/J176,0)-IFERROR(G176/K176,0)</x:f>
        <x:v>-0.1333333333333333</x:v>
      </x:c>
      <x:c r="W176" s="28" t="n">
        <x:f>L176-M176</x:f>
        <x:v>7</x:v>
      </x:c>
      <x:c r="X176" s="24" t="n">
        <x:f>IFERROR(K176/I176,0)</x:f>
        <x:v>0.6</x:v>
      </x:c>
      <x:c r="Y176" s="24" t="n">
        <x:f>IFERROR(G176/I176,0)</x:f>
        <x:v>0.2</x:v>
      </x:c>
      <x:c r="Z176" s="24" t="n">
        <x:f>IFERROR(G176/K176,0)</x:f>
        <x:v>0.3333333333333333</x:v>
      </x:c>
      <x:c r="AA176" s="24" t="n">
        <x:f>IFERROR(F176/H176,0)-IFERROR(G176/I176,0)</x:f>
        <x:v>-0.13333333333333336</x:v>
      </x:c>
      <x:c r="AB176" s="28" t="n">
        <x:f>J176-K176</x:f>
        <x:v>-1</x:v>
      </x:c>
      <x:c r="AC176" s="32" t="n">
        <x:f>F176-G176</x:f>
        <x:v>-1</x:v>
      </x:c>
    </x:row>
    <x:row r="177">
      <x:c r="A177" s="4" t="str">
        <x:v>2021-22</x:v>
      </x:c>
      <x:c r="B177" s="20" t="n">
        <x:v>44493</x:v>
      </x:c>
      <x:c r="C177" s="4" t="str">
        <x:v>Leicester</x:v>
      </x:c>
      <x:c r="D177" s="4" t="str">
        <x:v>Brentford</x:v>
      </x:c>
      <x:c r="E177" s="4" t="str">
        <x:v>Away</x:v>
      </x:c>
      <x:c r="F177" s="28" t="n">
        <x:v>2</x:v>
      </x:c>
      <x:c r="G177" s="28" t="n">
        <x:v>1</x:v>
      </x:c>
      <x:c r="H177" s="28" t="n">
        <x:v>10</x:v>
      </x:c>
      <x:c r="I177" s="28" t="n">
        <x:v>15</x:v>
      </x:c>
      <x:c r="J177" s="28" t="n">
        <x:v>6</x:v>
      </x:c>
      <x:c r="K177" s="28" t="n">
        <x:v>5</x:v>
      </x:c>
      <x:c r="L177" s="28" t="n">
        <x:v>2</x:v>
      </x:c>
      <x:c r="M177" s="28" t="n">
        <x:v>9</x:v>
      </x:c>
      <x:c r="N177" s="28" t="n">
        <x:v>1</x:v>
      </x:c>
      <x:c r="O177" s="28" t="n">
        <x:v>0</x:v>
      </x:c>
      <x:c r="P177" s="28" t="n">
        <x:v>3</x:v>
      </x:c>
      <x:c r="Q177" s="24" t="n">
        <x:f>IFERROR(J177/H177,0)</x:f>
        <x:v>0.6</x:v>
      </x:c>
      <x:c r="R177" s="24" t="n">
        <x:f>IFERROR(F177/H177,0)</x:f>
        <x:v>0.2</x:v>
      </x:c>
      <x:c r="S177" s="24" t="n">
        <x:f>IFERROR(F177/J177,0)</x:f>
        <x:v>0.3333333333333333</x:v>
      </x:c>
      <x:c r="T177" s="28" t="n">
        <x:f>H177-I177</x:f>
        <x:v>-5</x:v>
      </x:c>
      <x:c r="U177" s="24" t="n">
        <x:f>IFERROR(J177/H177,0)-IFERROR(K177/I177,0)</x:f>
        <x:v>0.26666666666666666</x:v>
      </x:c>
      <x:c r="V177" s="24" t="n">
        <x:f>IFERROR(F177/J177,0)-IFERROR(G177/K177,0)</x:f>
        <x:v>0.1333333333333333</x:v>
      </x:c>
      <x:c r="W177" s="28" t="n">
        <x:f>L177-M177</x:f>
        <x:v>-7</x:v>
      </x:c>
      <x:c r="X177" s="24" t="n">
        <x:f>IFERROR(K177/I177,0)</x:f>
        <x:v>0.3333333333333333</x:v>
      </x:c>
      <x:c r="Y177" s="24" t="n">
        <x:f>IFERROR(G177/I177,0)</x:f>
        <x:v>0.06666666666666667</x:v>
      </x:c>
      <x:c r="Z177" s="24" t="n">
        <x:f>IFERROR(G177/K177,0)</x:f>
        <x:v>0.2</x:v>
      </x:c>
      <x:c r="AA177" s="24" t="n">
        <x:f>IFERROR(F177/H177,0)-IFERROR(G177/I177,0)</x:f>
        <x:v>0.13333333333333336</x:v>
      </x:c>
      <x:c r="AB177" s="28" t="n">
        <x:f>J177-K177</x:f>
        <x:v>1</x:v>
      </x:c>
      <x:c r="AC177" s="32" t="n">
        <x:f>F177-G177</x:f>
        <x:v>1</x:v>
      </x:c>
    </x:row>
    <x:row r="178">
      <x:c r="A178" s="4" t="str">
        <x:v>2021-22</x:v>
      </x:c>
      <x:c r="B178" s="20" t="n">
        <x:v>44493</x:v>
      </x:c>
      <x:c r="C178" s="4" t="str">
        <x:v>Liverpool</x:v>
      </x:c>
      <x:c r="D178" s="4" t="str">
        <x:v>Man United</x:v>
      </x:c>
      <x:c r="E178" s="4" t="str">
        <x:v>Away</x:v>
      </x:c>
      <x:c r="F178" s="28" t="n">
        <x:v>5</x:v>
      </x:c>
      <x:c r="G178" s="28" t="n">
        <x:v>0</x:v>
      </x:c>
      <x:c r="H178" s="28" t="n">
        <x:v>19</x:v>
      </x:c>
      <x:c r="I178" s="28" t="n">
        <x:v>12</x:v>
      </x:c>
      <x:c r="J178" s="28" t="n">
        <x:v>8</x:v>
      </x:c>
      <x:c r="K178" s="28" t="n">
        <x:v>4</x:v>
      </x:c>
      <x:c r="L178" s="28" t="n">
        <x:v>3</x:v>
      </x:c>
      <x:c r="M178" s="28" t="n">
        <x:v>6</x:v>
      </x:c>
      <x:c r="N178" s="28" t="n">
        <x:v>0</x:v>
      </x:c>
      <x:c r="O178" s="28" t="n">
        <x:v>0</x:v>
      </x:c>
      <x:c r="P178" s="28" t="n">
        <x:v>3</x:v>
      </x:c>
      <x:c r="Q178" s="24" t="n">
        <x:f>IFERROR(J178/H178,0)</x:f>
        <x:v>0.42105263157894735</x:v>
      </x:c>
      <x:c r="R178" s="24" t="n">
        <x:f>IFERROR(F178/H178,0)</x:f>
        <x:v>0.2631578947368421</x:v>
      </x:c>
      <x:c r="S178" s="24" t="n">
        <x:f>IFERROR(F178/J178,0)</x:f>
        <x:v>0.625</x:v>
      </x:c>
      <x:c r="T178" s="28" t="n">
        <x:f>H178-I178</x:f>
        <x:v>7</x:v>
      </x:c>
      <x:c r="U178" s="24" t="n">
        <x:f>IFERROR(J178/H178,0)-IFERROR(K178/I178,0)</x:f>
        <x:v>0.08771929824561403</x:v>
      </x:c>
      <x:c r="V178" s="24" t="n">
        <x:f>IFERROR(F178/J178,0)-IFERROR(G178/K178,0)</x:f>
        <x:v>0.625</x:v>
      </x:c>
      <x:c r="W178" s="28" t="n">
        <x:f>L178-M178</x:f>
        <x:v>-3</x:v>
      </x:c>
      <x:c r="X178" s="24" t="n">
        <x:f>IFERROR(K178/I178,0)</x:f>
        <x:v>0.3333333333333333</x:v>
      </x:c>
      <x:c r="Y178" s="24" t="n">
        <x:f>IFERROR(G178/I178,0)</x:f>
        <x:v>0</x:v>
      </x:c>
      <x:c r="Z178" s="24" t="n">
        <x:f>IFERROR(G178/K178,0)</x:f>
        <x:v>0</x:v>
      </x:c>
      <x:c r="AA178" s="24" t="n">
        <x:f>IFERROR(F178/H178,0)-IFERROR(G178/I178,0)</x:f>
        <x:v>0.2631578947368421</x:v>
      </x:c>
      <x:c r="AB178" s="28" t="n">
        <x:f>J178-K178</x:f>
        <x:v>4</x:v>
      </x:c>
      <x:c r="AC178" s="32" t="n">
        <x:f>F178-G178</x:f>
        <x:v>5</x:v>
      </x:c>
    </x:row>
    <x:row r="179">
      <x:c r="A179" s="4" t="str">
        <x:v>2021-22</x:v>
      </x:c>
      <x:c r="B179" s="20" t="n">
        <x:v>44493</x:v>
      </x:c>
      <x:c r="C179" s="4" t="str">
        <x:v>Man United</x:v>
      </x:c>
      <x:c r="D179" s="4" t="str">
        <x:v>Liverpool</x:v>
      </x:c>
      <x:c r="E179" s="4" t="str">
        <x:v>Home</x:v>
      </x:c>
      <x:c r="F179" s="28" t="n">
        <x:v>0</x:v>
      </x:c>
      <x:c r="G179" s="28" t="n">
        <x:v>5</x:v>
      </x:c>
      <x:c r="H179" s="28" t="n">
        <x:v>12</x:v>
      </x:c>
      <x:c r="I179" s="28" t="n">
        <x:v>19</x:v>
      </x:c>
      <x:c r="J179" s="28" t="n">
        <x:v>4</x:v>
      </x:c>
      <x:c r="K179" s="28" t="n">
        <x:v>8</x:v>
      </x:c>
      <x:c r="L179" s="28" t="n">
        <x:v>6</x:v>
      </x:c>
      <x:c r="M179" s="28" t="n">
        <x:v>3</x:v>
      </x:c>
      <x:c r="N179" s="28" t="n">
        <x:v>6</x:v>
      </x:c>
      <x:c r="O179" s="28" t="n">
        <x:v>1</x:v>
      </x:c>
      <x:c r="P179" s="28" t="n">
        <x:v>0</x:v>
      </x:c>
      <x:c r="Q179" s="24" t="n">
        <x:f>IFERROR(J179/H179,0)</x:f>
        <x:v>0.3333333333333333</x:v>
      </x:c>
      <x:c r="R179" s="24" t="n">
        <x:f>IFERROR(F179/H179,0)</x:f>
        <x:v>0</x:v>
      </x:c>
      <x:c r="S179" s="24" t="n">
        <x:f>IFERROR(F179/J179,0)</x:f>
        <x:v>0</x:v>
      </x:c>
      <x:c r="T179" s="28" t="n">
        <x:f>H179-I179</x:f>
        <x:v>-7</x:v>
      </x:c>
      <x:c r="U179" s="24" t="n">
        <x:f>IFERROR(J179/H179,0)-IFERROR(K179/I179,0)</x:f>
        <x:v>-0.08771929824561403</x:v>
      </x:c>
      <x:c r="V179" s="24" t="n">
        <x:f>IFERROR(F179/J179,0)-IFERROR(G179/K179,0)</x:f>
        <x:v>-0.625</x:v>
      </x:c>
      <x:c r="W179" s="28" t="n">
        <x:f>L179-M179</x:f>
        <x:v>3</x:v>
      </x:c>
      <x:c r="X179" s="24" t="n">
        <x:f>IFERROR(K179/I179,0)</x:f>
        <x:v>0.42105263157894735</x:v>
      </x:c>
      <x:c r="Y179" s="24" t="n">
        <x:f>IFERROR(G179/I179,0)</x:f>
        <x:v>0.2631578947368421</x:v>
      </x:c>
      <x:c r="Z179" s="24" t="n">
        <x:f>IFERROR(G179/K179,0)</x:f>
        <x:v>0.625</x:v>
      </x:c>
      <x:c r="AA179" s="24" t="n">
        <x:f>IFERROR(F179/H179,0)-IFERROR(G179/I179,0)</x:f>
        <x:v>-0.2631578947368421</x:v>
      </x:c>
      <x:c r="AB179" s="28" t="n">
        <x:f>J179-K179</x:f>
        <x:v>-4</x:v>
      </x:c>
      <x:c r="AC179" s="32" t="n">
        <x:f>F179-G179</x:f>
        <x:v>-5</x:v>
      </x:c>
    </x:row>
    <x:row r="180">
      <x:c r="A180" s="4" t="str">
        <x:v>2021-22</x:v>
      </x:c>
      <x:c r="B180" s="20" t="n">
        <x:v>44493</x:v>
      </x:c>
      <x:c r="C180" s="4" t="str">
        <x:v>Tottenham</x:v>
      </x:c>
      <x:c r="D180" s="4" t="str">
        <x:v>West Ham</x:v>
      </x:c>
      <x:c r="E180" s="4" t="str">
        <x:v>Away</x:v>
      </x:c>
      <x:c r="F180" s="28" t="n">
        <x:v>0</x:v>
      </x:c>
      <x:c r="G180" s="28" t="n">
        <x:v>1</x:v>
      </x:c>
      <x:c r="H180" s="28" t="n">
        <x:v>7</x:v>
      </x:c>
      <x:c r="I180" s="28" t="n">
        <x:v>13</x:v>
      </x:c>
      <x:c r="J180" s="28" t="n">
        <x:v>4</x:v>
      </x:c>
      <x:c r="K180" s="28" t="n">
        <x:v>4</x:v>
      </x:c>
      <x:c r="L180" s="28" t="n">
        <x:v>4</x:v>
      </x:c>
      <x:c r="M180" s="28" t="n">
        <x:v>2</x:v>
      </x:c>
      <x:c r="N180" s="28" t="n">
        <x:v>1</x:v>
      </x:c>
      <x:c r="O180" s="28" t="n">
        <x:v>0</x:v>
      </x:c>
      <x:c r="P180" s="28" t="n">
        <x:v>0</x:v>
      </x:c>
      <x:c r="Q180" s="24" t="n">
        <x:f>IFERROR(J180/H180,0)</x:f>
        <x:v>0.5714285714285714</x:v>
      </x:c>
      <x:c r="R180" s="24" t="n">
        <x:f>IFERROR(F180/H180,0)</x:f>
        <x:v>0</x:v>
      </x:c>
      <x:c r="S180" s="24" t="n">
        <x:f>IFERROR(F180/J180,0)</x:f>
        <x:v>0</x:v>
      </x:c>
      <x:c r="T180" s="28" t="n">
        <x:f>H180-I180</x:f>
        <x:v>-6</x:v>
      </x:c>
      <x:c r="U180" s="24" t="n">
        <x:f>IFERROR(J180/H180,0)-IFERROR(K180/I180,0)</x:f>
        <x:v>0.2637362637362637</x:v>
      </x:c>
      <x:c r="V180" s="24" t="n">
        <x:f>IFERROR(F180/J180,0)-IFERROR(G180/K180,0)</x:f>
        <x:v>-0.25</x:v>
      </x:c>
      <x:c r="W180" s="28" t="n">
        <x:f>L180-M180</x:f>
        <x:v>2</x:v>
      </x:c>
      <x:c r="X180" s="24" t="n">
        <x:f>IFERROR(K180/I180,0)</x:f>
        <x:v>0.3076923076923077</x:v>
      </x:c>
      <x:c r="Y180" s="24" t="n">
        <x:f>IFERROR(G180/I180,0)</x:f>
        <x:v>0.07692307692307693</x:v>
      </x:c>
      <x:c r="Z180" s="24" t="n">
        <x:f>IFERROR(G180/K180,0)</x:f>
        <x:v>0.25</x:v>
      </x:c>
      <x:c r="AA180" s="24" t="n">
        <x:f>IFERROR(F180/H180,0)-IFERROR(G180/I180,0)</x:f>
        <x:v>-0.07692307692307693</x:v>
      </x:c>
      <x:c r="AB180" s="28" t="n">
        <x:f>J180-K180</x:f>
        <x:v>0</x:v>
      </x:c>
      <x:c r="AC180" s="32" t="n">
        <x:f>F180-G180</x:f>
        <x:v>-1</x:v>
      </x:c>
    </x:row>
    <x:row r="181">
      <x:c r="A181" s="4" t="str">
        <x:v>2021-22</x:v>
      </x:c>
      <x:c r="B181" s="20" t="n">
        <x:v>44493</x:v>
      </x:c>
      <x:c r="C181" s="4" t="str">
        <x:v>West Ham</x:v>
      </x:c>
      <x:c r="D181" s="4" t="str">
        <x:v>Tottenham</x:v>
      </x:c>
      <x:c r="E181" s="4" t="str">
        <x:v>Home</x:v>
      </x:c>
      <x:c r="F181" s="28" t="n">
        <x:v>1</x:v>
      </x:c>
      <x:c r="G181" s="28" t="n">
        <x:v>0</x:v>
      </x:c>
      <x:c r="H181" s="28" t="n">
        <x:v>13</x:v>
      </x:c>
      <x:c r="I181" s="28" t="n">
        <x:v>7</x:v>
      </x:c>
      <x:c r="J181" s="28" t="n">
        <x:v>4</x:v>
      </x:c>
      <x:c r="K181" s="28" t="n">
        <x:v>4</x:v>
      </x:c>
      <x:c r="L181" s="28" t="n">
        <x:v>2</x:v>
      </x:c>
      <x:c r="M181" s="28" t="n">
        <x:v>4</x:v>
      </x:c>
      <x:c r="N181" s="28" t="n">
        <x:v>2</x:v>
      </x:c>
      <x:c r="O181" s="28" t="n">
        <x:v>0</x:v>
      </x:c>
      <x:c r="P181" s="28" t="n">
        <x:v>3</x:v>
      </x:c>
      <x:c r="Q181" s="24" t="n">
        <x:f>IFERROR(J181/H181,0)</x:f>
        <x:v>0.3076923076923077</x:v>
      </x:c>
      <x:c r="R181" s="24" t="n">
        <x:f>IFERROR(F181/H181,0)</x:f>
        <x:v>0.07692307692307693</x:v>
      </x:c>
      <x:c r="S181" s="24" t="n">
        <x:f>IFERROR(F181/J181,0)</x:f>
        <x:v>0.25</x:v>
      </x:c>
      <x:c r="T181" s="28" t="n">
        <x:f>H181-I181</x:f>
        <x:v>6</x:v>
      </x:c>
      <x:c r="U181" s="24" t="n">
        <x:f>IFERROR(J181/H181,0)-IFERROR(K181/I181,0)</x:f>
        <x:v>-0.2637362637362637</x:v>
      </x:c>
      <x:c r="V181" s="24" t="n">
        <x:f>IFERROR(F181/J181,0)-IFERROR(G181/K181,0)</x:f>
        <x:v>0.25</x:v>
      </x:c>
      <x:c r="W181" s="28" t="n">
        <x:f>L181-M181</x:f>
        <x:v>-2</x:v>
      </x:c>
      <x:c r="X181" s="24" t="n">
        <x:f>IFERROR(K181/I181,0)</x:f>
        <x:v>0.5714285714285714</x:v>
      </x:c>
      <x:c r="Y181" s="24" t="n">
        <x:f>IFERROR(G181/I181,0)</x:f>
        <x:v>0</x:v>
      </x:c>
      <x:c r="Z181" s="24" t="n">
        <x:f>IFERROR(G181/K181,0)</x:f>
        <x:v>0</x:v>
      </x:c>
      <x:c r="AA181" s="24" t="n">
        <x:f>IFERROR(F181/H181,0)-IFERROR(G181/I181,0)</x:f>
        <x:v>0.07692307692307693</x:v>
      </x:c>
      <x:c r="AB181" s="28" t="n">
        <x:f>J181-K181</x:f>
        <x:v>0</x:v>
      </x:c>
      <x:c r="AC181" s="32" t="n">
        <x:f>F181-G181</x:f>
        <x:v>1</x:v>
      </x:c>
    </x:row>
    <x:row r="182">
      <x:c r="A182" s="4" t="str">
        <x:v>2021-22</x:v>
      </x:c>
      <x:c r="B182" s="20" t="n">
        <x:v>44499</x:v>
      </x:c>
      <x:c r="C182" s="4" t="str">
        <x:v>Arsenal</x:v>
      </x:c>
      <x:c r="D182" s="4" t="str">
        <x:v>Leicester</x:v>
      </x:c>
      <x:c r="E182" s="4" t="str">
        <x:v>Away</x:v>
      </x:c>
      <x:c r="F182" s="28" t="n">
        <x:v>2</x:v>
      </x:c>
      <x:c r="G182" s="28" t="n">
        <x:v>0</x:v>
      </x:c>
      <x:c r="H182" s="28" t="n">
        <x:v>9</x:v>
      </x:c>
      <x:c r="I182" s="28" t="n">
        <x:v>16</x:v>
      </x:c>
      <x:c r="J182" s="28" t="n">
        <x:v>5</x:v>
      </x:c>
      <x:c r="K182" s="28" t="n">
        <x:v>8</x:v>
      </x:c>
      <x:c r="L182" s="28" t="n">
        <x:v>6</x:v>
      </x:c>
      <x:c r="M182" s="28" t="n">
        <x:v>7</x:v>
      </x:c>
      <x:c r="N182" s="28" t="n">
        <x:v>0</x:v>
      </x:c>
      <x:c r="O182" s="28" t="n">
        <x:v>0</x:v>
      </x:c>
      <x:c r="P182" s="28" t="n">
        <x:v>3</x:v>
      </x:c>
      <x:c r="Q182" s="24" t="n">
        <x:f>IFERROR(J182/H182,0)</x:f>
        <x:v>0.5555555555555556</x:v>
      </x:c>
      <x:c r="R182" s="24" t="n">
        <x:f>IFERROR(F182/H182,0)</x:f>
        <x:v>0.2222222222222222</x:v>
      </x:c>
      <x:c r="S182" s="24" t="n">
        <x:f>IFERROR(F182/J182,0)</x:f>
        <x:v>0.4</x:v>
      </x:c>
      <x:c r="T182" s="28" t="n">
        <x:f>H182-I182</x:f>
        <x:v>-7</x:v>
      </x:c>
      <x:c r="U182" s="24" t="n">
        <x:f>IFERROR(J182/H182,0)-IFERROR(K182/I182,0)</x:f>
        <x:v>0.05555555555555558</x:v>
      </x:c>
      <x:c r="V182" s="24" t="n">
        <x:f>IFERROR(F182/J182,0)-IFERROR(G182/K182,0)</x:f>
        <x:v>0.4</x:v>
      </x:c>
      <x:c r="W182" s="28" t="n">
        <x:f>L182-M182</x:f>
        <x:v>-1</x:v>
      </x:c>
      <x:c r="X182" s="24" t="n">
        <x:f>IFERROR(K182/I182,0)</x:f>
        <x:v>0.5</x:v>
      </x:c>
      <x:c r="Y182" s="24" t="n">
        <x:f>IFERROR(G182/I182,0)</x:f>
        <x:v>0</x:v>
      </x:c>
      <x:c r="Z182" s="24" t="n">
        <x:f>IFERROR(G182/K182,0)</x:f>
        <x:v>0</x:v>
      </x:c>
      <x:c r="AA182" s="24" t="n">
        <x:f>IFERROR(F182/H182,0)-IFERROR(G182/I182,0)</x:f>
        <x:v>0.2222222222222222</x:v>
      </x:c>
      <x:c r="AB182" s="28" t="n">
        <x:f>J182-K182</x:f>
        <x:v>-3</x:v>
      </x:c>
      <x:c r="AC182" s="32" t="n">
        <x:f>F182-G182</x:f>
        <x:v>2</x:v>
      </x:c>
    </x:row>
    <x:row r="183">
      <x:c r="A183" s="4" t="str">
        <x:v>2021-22</x:v>
      </x:c>
      <x:c r="B183" s="20" t="n">
        <x:v>44499</x:v>
      </x:c>
      <x:c r="C183" s="4" t="str">
        <x:v>Brentford</x:v>
      </x:c>
      <x:c r="D183" s="4" t="str">
        <x:v>Burnley</x:v>
      </x:c>
      <x:c r="E183" s="4" t="str">
        <x:v>Away</x:v>
      </x:c>
      <x:c r="F183" s="28" t="n">
        <x:v>1</x:v>
      </x:c>
      <x:c r="G183" s="28" t="n">
        <x:v>3</x:v>
      </x:c>
      <x:c r="H183" s="28" t="n">
        <x:v>12</x:v>
      </x:c>
      <x:c r="I183" s="28" t="n">
        <x:v>15</x:v>
      </x:c>
      <x:c r="J183" s="28" t="n">
        <x:v>5</x:v>
      </x:c>
      <x:c r="K183" s="28" t="n">
        <x:v>6</x:v>
      </x:c>
      <x:c r="L183" s="28" t="n">
        <x:v>2</x:v>
      </x:c>
      <x:c r="M183" s="28" t="n">
        <x:v>4</x:v>
      </x:c>
      <x:c r="N183" s="28" t="n">
        <x:v>1</x:v>
      </x:c>
      <x:c r="O183" s="28" t="n">
        <x:v>0</x:v>
      </x:c>
      <x:c r="P183" s="28" t="n">
        <x:v>0</x:v>
      </x:c>
      <x:c r="Q183" s="24" t="n">
        <x:f>IFERROR(J183/H183,0)</x:f>
        <x:v>0.4166666666666667</x:v>
      </x:c>
      <x:c r="R183" s="24" t="n">
        <x:f>IFERROR(F183/H183,0)</x:f>
        <x:v>0.08333333333333333</x:v>
      </x:c>
      <x:c r="S183" s="24" t="n">
        <x:f>IFERROR(F183/J183,0)</x:f>
        <x:v>0.2</x:v>
      </x:c>
      <x:c r="T183" s="28" t="n">
        <x:f>H183-I183</x:f>
        <x:v>-3</x:v>
      </x:c>
      <x:c r="U183" s="24" t="n">
        <x:f>IFERROR(J183/H183,0)-IFERROR(K183/I183,0)</x:f>
        <x:v>0.016666666666666663</x:v>
      </x:c>
      <x:c r="V183" s="24" t="n">
        <x:f>IFERROR(F183/J183,0)-IFERROR(G183/K183,0)</x:f>
        <x:v>-0.3</x:v>
      </x:c>
      <x:c r="W183" s="28" t="n">
        <x:f>L183-M183</x:f>
        <x:v>-2</x:v>
      </x:c>
      <x:c r="X183" s="24" t="n">
        <x:f>IFERROR(K183/I183,0)</x:f>
        <x:v>0.4</x:v>
      </x:c>
      <x:c r="Y183" s="24" t="n">
        <x:f>IFERROR(G183/I183,0)</x:f>
        <x:v>0.2</x:v>
      </x:c>
      <x:c r="Z183" s="24" t="n">
        <x:f>IFERROR(G183/K183,0)</x:f>
        <x:v>0.5</x:v>
      </x:c>
      <x:c r="AA183" s="24" t="n">
        <x:f>IFERROR(F183/H183,0)-IFERROR(G183/I183,0)</x:f>
        <x:v>-0.11666666666666668</x:v>
      </x:c>
      <x:c r="AB183" s="28" t="n">
        <x:f>J183-K183</x:f>
        <x:v>-1</x:v>
      </x:c>
      <x:c r="AC183" s="32" t="n">
        <x:f>F183-G183</x:f>
        <x:v>-2</x:v>
      </x:c>
    </x:row>
    <x:row r="184">
      <x:c r="A184" s="4" t="str">
        <x:v>2021-22</x:v>
      </x:c>
      <x:c r="B184" s="20" t="n">
        <x:v>44499</x:v>
      </x:c>
      <x:c r="C184" s="4" t="str">
        <x:v>Brighton</x:v>
      </x:c>
      <x:c r="D184" s="4" t="str">
        <x:v>Liverpool</x:v>
      </x:c>
      <x:c r="E184" s="4" t="str">
        <x:v>Away</x:v>
      </x:c>
      <x:c r="F184" s="28" t="n">
        <x:v>2</x:v>
      </x:c>
      <x:c r="G184" s="28" t="n">
        <x:v>2</x:v>
      </x:c>
      <x:c r="H184" s="28" t="n">
        <x:v>9</x:v>
      </x:c>
      <x:c r="I184" s="28" t="n">
        <x:v>14</x:v>
      </x:c>
      <x:c r="J184" s="28" t="n">
        <x:v>6</x:v>
      </x:c>
      <x:c r="K184" s="28" t="n">
        <x:v>3</x:v>
      </x:c>
      <x:c r="L184" s="28" t="n">
        <x:v>3</x:v>
      </x:c>
      <x:c r="M184" s="28" t="n">
        <x:v>5</x:v>
      </x:c>
      <x:c r="N184" s="28" t="n">
        <x:v>2</x:v>
      </x:c>
      <x:c r="O184" s="28" t="n">
        <x:v>0</x:v>
      </x:c>
      <x:c r="P184" s="28" t="n">
        <x:v>1</x:v>
      </x:c>
      <x:c r="Q184" s="24" t="n">
        <x:f>IFERROR(J184/H184,0)</x:f>
        <x:v>0.6666666666666666</x:v>
      </x:c>
      <x:c r="R184" s="24" t="n">
        <x:f>IFERROR(F184/H184,0)</x:f>
        <x:v>0.2222222222222222</x:v>
      </x:c>
      <x:c r="S184" s="24" t="n">
        <x:f>IFERROR(F184/J184,0)</x:f>
        <x:v>0.3333333333333333</x:v>
      </x:c>
      <x:c r="T184" s="28" t="n">
        <x:f>H184-I184</x:f>
        <x:v>-5</x:v>
      </x:c>
      <x:c r="U184" s="24" t="n">
        <x:f>IFERROR(J184/H184,0)-IFERROR(K184/I184,0)</x:f>
        <x:v>0.45238095238095233</x:v>
      </x:c>
      <x:c r="V184" s="24" t="n">
        <x:f>IFERROR(F184/J184,0)-IFERROR(G184/K184,0)</x:f>
        <x:v>-0.3333333333333333</x:v>
      </x:c>
      <x:c r="W184" s="28" t="n">
        <x:f>L184-M184</x:f>
        <x:v>-2</x:v>
      </x:c>
      <x:c r="X184" s="24" t="n">
        <x:f>IFERROR(K184/I184,0)</x:f>
        <x:v>0.21428571428571427</x:v>
      </x:c>
      <x:c r="Y184" s="24" t="n">
        <x:f>IFERROR(G184/I184,0)</x:f>
        <x:v>0.14285714285714285</x:v>
      </x:c>
      <x:c r="Z184" s="24" t="n">
        <x:f>IFERROR(G184/K184,0)</x:f>
        <x:v>0.6666666666666666</x:v>
      </x:c>
      <x:c r="AA184" s="24" t="n">
        <x:f>IFERROR(F184/H184,0)-IFERROR(G184/I184,0)</x:f>
        <x:v>0.07936507936507936</x:v>
      </x:c>
      <x:c r="AB184" s="28" t="n">
        <x:f>J184-K184</x:f>
        <x:v>3</x:v>
      </x:c>
      <x:c r="AC184" s="32" t="n">
        <x:f>F184-G184</x:f>
        <x:v>0</x:v>
      </x:c>
    </x:row>
    <x:row r="185">
      <x:c r="A185" s="4" t="str">
        <x:v>2021-22</x:v>
      </x:c>
      <x:c r="B185" s="20" t="n">
        <x:v>44499</x:v>
      </x:c>
      <x:c r="C185" s="4" t="str">
        <x:v>Burnley</x:v>
      </x:c>
      <x:c r="D185" s="4" t="str">
        <x:v>Brentford</x:v>
      </x:c>
      <x:c r="E185" s="4" t="str">
        <x:v>Home</x:v>
      </x:c>
      <x:c r="F185" s="28" t="n">
        <x:v>3</x:v>
      </x:c>
      <x:c r="G185" s="28" t="n">
        <x:v>1</x:v>
      </x:c>
      <x:c r="H185" s="28" t="n">
        <x:v>15</x:v>
      </x:c>
      <x:c r="I185" s="28" t="n">
        <x:v>12</x:v>
      </x:c>
      <x:c r="J185" s="28" t="n">
        <x:v>6</x:v>
      </x:c>
      <x:c r="K185" s="28" t="n">
        <x:v>5</x:v>
      </x:c>
      <x:c r="L185" s="28" t="n">
        <x:v>4</x:v>
      </x:c>
      <x:c r="M185" s="28" t="n">
        <x:v>2</x:v>
      </x:c>
      <x:c r="N185" s="28" t="n">
        <x:v>1</x:v>
      </x:c>
      <x:c r="O185" s="28" t="n">
        <x:v>0</x:v>
      </x:c>
      <x:c r="P185" s="28" t="n">
        <x:v>3</x:v>
      </x:c>
      <x:c r="Q185" s="24" t="n">
        <x:f>IFERROR(J185/H185,0)</x:f>
        <x:v>0.4</x:v>
      </x:c>
      <x:c r="R185" s="24" t="n">
        <x:f>IFERROR(F185/H185,0)</x:f>
        <x:v>0.2</x:v>
      </x:c>
      <x:c r="S185" s="24" t="n">
        <x:f>IFERROR(F185/J185,0)</x:f>
        <x:v>0.5</x:v>
      </x:c>
      <x:c r="T185" s="28" t="n">
        <x:f>H185-I185</x:f>
        <x:v>3</x:v>
      </x:c>
      <x:c r="U185" s="24" t="n">
        <x:f>IFERROR(J185/H185,0)-IFERROR(K185/I185,0)</x:f>
        <x:v>-0.016666666666666663</x:v>
      </x:c>
      <x:c r="V185" s="24" t="n">
        <x:f>IFERROR(F185/J185,0)-IFERROR(G185/K185,0)</x:f>
        <x:v>0.3</x:v>
      </x:c>
      <x:c r="W185" s="28" t="n">
        <x:f>L185-M185</x:f>
        <x:v>2</x:v>
      </x:c>
      <x:c r="X185" s="24" t="n">
        <x:f>IFERROR(K185/I185,0)</x:f>
        <x:v>0.4166666666666667</x:v>
      </x:c>
      <x:c r="Y185" s="24" t="n">
        <x:f>IFERROR(G185/I185,0)</x:f>
        <x:v>0.08333333333333333</x:v>
      </x:c>
      <x:c r="Z185" s="24" t="n">
        <x:f>IFERROR(G185/K185,0)</x:f>
        <x:v>0.2</x:v>
      </x:c>
      <x:c r="AA185" s="24" t="n">
        <x:f>IFERROR(F185/H185,0)-IFERROR(G185/I185,0)</x:f>
        <x:v>0.11666666666666668</x:v>
      </x:c>
      <x:c r="AB185" s="28" t="n">
        <x:f>J185-K185</x:f>
        <x:v>1</x:v>
      </x:c>
      <x:c r="AC185" s="32" t="n">
        <x:f>F185-G185</x:f>
        <x:v>2</x:v>
      </x:c>
    </x:row>
    <x:row r="186">
      <x:c r="A186" s="4" t="str">
        <x:v>2021-22</x:v>
      </x:c>
      <x:c r="B186" s="20" t="n">
        <x:v>44499</x:v>
      </x:c>
      <x:c r="C186" s="4" t="str">
        <x:v>Chelsea</x:v>
      </x:c>
      <x:c r="D186" s="4" t="str">
        <x:v>Newcastle</x:v>
      </x:c>
      <x:c r="E186" s="4" t="str">
        <x:v>Away</x:v>
      </x:c>
      <x:c r="F186" s="28" t="n">
        <x:v>3</x:v>
      </x:c>
      <x:c r="G186" s="28" t="n">
        <x:v>0</x:v>
      </x:c>
      <x:c r="H186" s="28" t="n">
        <x:v>19</x:v>
      </x:c>
      <x:c r="I186" s="28" t="n">
        <x:v>6</x:v>
      </x:c>
      <x:c r="J186" s="28" t="n">
        <x:v>6</x:v>
      </x:c>
      <x:c r="K186" s="28" t="n">
        <x:v>1</x:v>
      </x:c>
      <x:c r="L186" s="28" t="n">
        <x:v>2</x:v>
      </x:c>
      <x:c r="M186" s="28" t="n">
        <x:v>0</x:v>
      </x:c>
      <x:c r="N186" s="28" t="n">
        <x:v>2</x:v>
      </x:c>
      <x:c r="O186" s="28" t="n">
        <x:v>0</x:v>
      </x:c>
      <x:c r="P186" s="28" t="n">
        <x:v>3</x:v>
      </x:c>
      <x:c r="Q186" s="24" t="n">
        <x:f>IFERROR(J186/H186,0)</x:f>
        <x:v>0.3157894736842105</x:v>
      </x:c>
      <x:c r="R186" s="24" t="n">
        <x:f>IFERROR(F186/H186,0)</x:f>
        <x:v>0.15789473684210525</x:v>
      </x:c>
      <x:c r="S186" s="24" t="n">
        <x:f>IFERROR(F186/J186,0)</x:f>
        <x:v>0.5</x:v>
      </x:c>
      <x:c r="T186" s="28" t="n">
        <x:f>H186-I186</x:f>
        <x:v>13</x:v>
      </x:c>
      <x:c r="U186" s="24" t="n">
        <x:f>IFERROR(J186/H186,0)-IFERROR(K186/I186,0)</x:f>
        <x:v>0.14912280701754385</x:v>
      </x:c>
      <x:c r="V186" s="24" t="n">
        <x:f>IFERROR(F186/J186,0)-IFERROR(G186/K186,0)</x:f>
        <x:v>0.5</x:v>
      </x:c>
      <x:c r="W186" s="28" t="n">
        <x:f>L186-M186</x:f>
        <x:v>2</x:v>
      </x:c>
      <x:c r="X186" s="24" t="n">
        <x:f>IFERROR(K186/I186,0)</x:f>
        <x:v>0.16666666666666666</x:v>
      </x:c>
      <x:c r="Y186" s="24" t="n">
        <x:f>IFERROR(G186/I186,0)</x:f>
        <x:v>0</x:v>
      </x:c>
      <x:c r="Z186" s="24" t="n">
        <x:f>IFERROR(G186/K186,0)</x:f>
        <x:v>0</x:v>
      </x:c>
      <x:c r="AA186" s="24" t="n">
        <x:f>IFERROR(F186/H186,0)-IFERROR(G186/I186,0)</x:f>
        <x:v>0.15789473684210525</x:v>
      </x:c>
      <x:c r="AB186" s="28" t="n">
        <x:f>J186-K186</x:f>
        <x:v>5</x:v>
      </x:c>
      <x:c r="AC186" s="32" t="n">
        <x:f>F186-G186</x:f>
        <x:v>3</x:v>
      </x:c>
    </x:row>
    <x:row r="187">
      <x:c r="A187" s="4" t="str">
        <x:v>2021-22</x:v>
      </x:c>
      <x:c r="B187" s="20" t="n">
        <x:v>44499</x:v>
      </x:c>
      <x:c r="C187" s="4" t="str">
        <x:v>Crystal Palace</x:v>
      </x:c>
      <x:c r="D187" s="4" t="str">
        <x:v>Man City</x:v>
      </x:c>
      <x:c r="E187" s="4" t="str">
        <x:v>Away</x:v>
      </x:c>
      <x:c r="F187" s="28" t="n">
        <x:v>2</x:v>
      </x:c>
      <x:c r="G187" s="28" t="n">
        <x:v>0</x:v>
      </x:c>
      <x:c r="H187" s="28" t="n">
        <x:v>8</x:v>
      </x:c>
      <x:c r="I187" s="28" t="n">
        <x:v>14</x:v>
      </x:c>
      <x:c r="J187" s="28" t="n">
        <x:v>3</x:v>
      </x:c>
      <x:c r="K187" s="28" t="n">
        <x:v>3</x:v>
      </x:c>
      <x:c r="L187" s="28" t="n">
        <x:v>1</x:v>
      </x:c>
      <x:c r="M187" s="28" t="n">
        <x:v>7</x:v>
      </x:c>
      <x:c r="N187" s="28" t="n">
        <x:v>3</x:v>
      </x:c>
      <x:c r="O187" s="28" t="n">
        <x:v>0</x:v>
      </x:c>
      <x:c r="P187" s="28" t="n">
        <x:v>3</x:v>
      </x:c>
      <x:c r="Q187" s="24" t="n">
        <x:f>IFERROR(J187/H187,0)</x:f>
        <x:v>0.375</x:v>
      </x:c>
      <x:c r="R187" s="24" t="n">
        <x:f>IFERROR(F187/H187,0)</x:f>
        <x:v>0.25</x:v>
      </x:c>
      <x:c r="S187" s="24" t="n">
        <x:f>IFERROR(F187/J187,0)</x:f>
        <x:v>0.6666666666666666</x:v>
      </x:c>
      <x:c r="T187" s="28" t="n">
        <x:f>H187-I187</x:f>
        <x:v>-6</x:v>
      </x:c>
      <x:c r="U187" s="24" t="n">
        <x:f>IFERROR(J187/H187,0)-IFERROR(K187/I187,0)</x:f>
        <x:v>0.16071428571428573</x:v>
      </x:c>
      <x:c r="V187" s="24" t="n">
        <x:f>IFERROR(F187/J187,0)-IFERROR(G187/K187,0)</x:f>
        <x:v>0.6666666666666666</x:v>
      </x:c>
      <x:c r="W187" s="28" t="n">
        <x:f>L187-M187</x:f>
        <x:v>-6</x:v>
      </x:c>
      <x:c r="X187" s="24" t="n">
        <x:f>IFERROR(K187/I187,0)</x:f>
        <x:v>0.21428571428571427</x:v>
      </x:c>
      <x:c r="Y187" s="24" t="n">
        <x:f>IFERROR(G187/I187,0)</x:f>
        <x:v>0</x:v>
      </x:c>
      <x:c r="Z187" s="24" t="n">
        <x:f>IFERROR(G187/K187,0)</x:f>
        <x:v>0</x:v>
      </x:c>
      <x:c r="AA187" s="24" t="n">
        <x:f>IFERROR(F187/H187,0)-IFERROR(G187/I187,0)</x:f>
        <x:v>0.25</x:v>
      </x:c>
      <x:c r="AB187" s="28" t="n">
        <x:f>J187-K187</x:f>
        <x:v>0</x:v>
      </x:c>
      <x:c r="AC187" s="32" t="n">
        <x:f>F187-G187</x:f>
        <x:v>2</x:v>
      </x:c>
    </x:row>
    <x:row r="188">
      <x:c r="A188" s="4" t="str">
        <x:v>2021-22</x:v>
      </x:c>
      <x:c r="B188" s="20" t="n">
        <x:v>44499</x:v>
      </x:c>
      <x:c r="C188" s="4" t="str">
        <x:v>Leicester</x:v>
      </x:c>
      <x:c r="D188" s="4" t="str">
        <x:v>Arsenal</x:v>
      </x:c>
      <x:c r="E188" s="4" t="str">
        <x:v>Home</x:v>
      </x:c>
      <x:c r="F188" s="28" t="n">
        <x:v>0</x:v>
      </x:c>
      <x:c r="G188" s="28" t="n">
        <x:v>2</x:v>
      </x:c>
      <x:c r="H188" s="28" t="n">
        <x:v>16</x:v>
      </x:c>
      <x:c r="I188" s="28" t="n">
        <x:v>9</x:v>
      </x:c>
      <x:c r="J188" s="28" t="n">
        <x:v>8</x:v>
      </x:c>
      <x:c r="K188" s="28" t="n">
        <x:v>5</x:v>
      </x:c>
      <x:c r="L188" s="28" t="n">
        <x:v>7</x:v>
      </x:c>
      <x:c r="M188" s="28" t="n">
        <x:v>6</x:v>
      </x:c>
      <x:c r="N188" s="28" t="n">
        <x:v>2</x:v>
      </x:c>
      <x:c r="O188" s="28" t="n">
        <x:v>0</x:v>
      </x:c>
      <x:c r="P188" s="28" t="n">
        <x:v>0</x:v>
      </x:c>
      <x:c r="Q188" s="24" t="n">
        <x:f>IFERROR(J188/H188,0)</x:f>
        <x:v>0.5</x:v>
      </x:c>
      <x:c r="R188" s="24" t="n">
        <x:f>IFERROR(F188/H188,0)</x:f>
        <x:v>0</x:v>
      </x:c>
      <x:c r="S188" s="24" t="n">
        <x:f>IFERROR(F188/J188,0)</x:f>
        <x:v>0</x:v>
      </x:c>
      <x:c r="T188" s="28" t="n">
        <x:f>H188-I188</x:f>
        <x:v>7</x:v>
      </x:c>
      <x:c r="U188" s="24" t="n">
        <x:f>IFERROR(J188/H188,0)-IFERROR(K188/I188,0)</x:f>
        <x:v>-0.05555555555555558</x:v>
      </x:c>
      <x:c r="V188" s="24" t="n">
        <x:f>IFERROR(F188/J188,0)-IFERROR(G188/K188,0)</x:f>
        <x:v>-0.4</x:v>
      </x:c>
      <x:c r="W188" s="28" t="n">
        <x:f>L188-M188</x:f>
        <x:v>1</x:v>
      </x:c>
      <x:c r="X188" s="24" t="n">
        <x:f>IFERROR(K188/I188,0)</x:f>
        <x:v>0.5555555555555556</x:v>
      </x:c>
      <x:c r="Y188" s="24" t="n">
        <x:f>IFERROR(G188/I188,0)</x:f>
        <x:v>0.2222222222222222</x:v>
      </x:c>
      <x:c r="Z188" s="24" t="n">
        <x:f>IFERROR(G188/K188,0)</x:f>
        <x:v>0.4</x:v>
      </x:c>
      <x:c r="AA188" s="24" t="n">
        <x:f>IFERROR(F188/H188,0)-IFERROR(G188/I188,0)</x:f>
        <x:v>-0.2222222222222222</x:v>
      </x:c>
      <x:c r="AB188" s="28" t="n">
        <x:f>J188-K188</x:f>
        <x:v>3</x:v>
      </x:c>
      <x:c r="AC188" s="32" t="n">
        <x:f>F188-G188</x:f>
        <x:v>-2</x:v>
      </x:c>
    </x:row>
    <x:row r="189">
      <x:c r="A189" s="4" t="str">
        <x:v>2021-22</x:v>
      </x:c>
      <x:c r="B189" s="20" t="n">
        <x:v>44499</x:v>
      </x:c>
      <x:c r="C189" s="4" t="str">
        <x:v>Liverpool</x:v>
      </x:c>
      <x:c r="D189" s="4" t="str">
        <x:v>Brighton</x:v>
      </x:c>
      <x:c r="E189" s="4" t="str">
        <x:v>Home</x:v>
      </x:c>
      <x:c r="F189" s="28" t="n">
        <x:v>2</x:v>
      </x:c>
      <x:c r="G189" s="28" t="n">
        <x:v>2</x:v>
      </x:c>
      <x:c r="H189" s="28" t="n">
        <x:v>14</x:v>
      </x:c>
      <x:c r="I189" s="28" t="n">
        <x:v>9</x:v>
      </x:c>
      <x:c r="J189" s="28" t="n">
        <x:v>3</x:v>
      </x:c>
      <x:c r="K189" s="28" t="n">
        <x:v>6</x:v>
      </x:c>
      <x:c r="L189" s="28" t="n">
        <x:v>5</x:v>
      </x:c>
      <x:c r="M189" s="28" t="n">
        <x:v>3</x:v>
      </x:c>
      <x:c r="N189" s="28" t="n">
        <x:v>2</x:v>
      </x:c>
      <x:c r="O189" s="28" t="n">
        <x:v>0</x:v>
      </x:c>
      <x:c r="P189" s="28" t="n">
        <x:v>1</x:v>
      </x:c>
      <x:c r="Q189" s="24" t="n">
        <x:f>IFERROR(J189/H189,0)</x:f>
        <x:v>0.21428571428571427</x:v>
      </x:c>
      <x:c r="R189" s="24" t="n">
        <x:f>IFERROR(F189/H189,0)</x:f>
        <x:v>0.14285714285714285</x:v>
      </x:c>
      <x:c r="S189" s="24" t="n">
        <x:f>IFERROR(F189/J189,0)</x:f>
        <x:v>0.6666666666666666</x:v>
      </x:c>
      <x:c r="T189" s="28" t="n">
        <x:f>H189-I189</x:f>
        <x:v>5</x:v>
      </x:c>
      <x:c r="U189" s="24" t="n">
        <x:f>IFERROR(J189/H189,0)-IFERROR(K189/I189,0)</x:f>
        <x:v>-0.45238095238095233</x:v>
      </x:c>
      <x:c r="V189" s="24" t="n">
        <x:f>IFERROR(F189/J189,0)-IFERROR(G189/K189,0)</x:f>
        <x:v>0.3333333333333333</x:v>
      </x:c>
      <x:c r="W189" s="28" t="n">
        <x:f>L189-M189</x:f>
        <x:v>2</x:v>
      </x:c>
      <x:c r="X189" s="24" t="n">
        <x:f>IFERROR(K189/I189,0)</x:f>
        <x:v>0.6666666666666666</x:v>
      </x:c>
      <x:c r="Y189" s="24" t="n">
        <x:f>IFERROR(G189/I189,0)</x:f>
        <x:v>0.2222222222222222</x:v>
      </x:c>
      <x:c r="Z189" s="24" t="n">
        <x:f>IFERROR(G189/K189,0)</x:f>
        <x:v>0.3333333333333333</x:v>
      </x:c>
      <x:c r="AA189" s="24" t="n">
        <x:f>IFERROR(F189/H189,0)-IFERROR(G189/I189,0)</x:f>
        <x:v>-0.07936507936507936</x:v>
      </x:c>
      <x:c r="AB189" s="28" t="n">
        <x:f>J189-K189</x:f>
        <x:v>-3</x:v>
      </x:c>
      <x:c r="AC189" s="32" t="n">
        <x:f>F189-G189</x:f>
        <x:v>0</x:v>
      </x:c>
    </x:row>
    <x:row r="190">
      <x:c r="A190" s="4" t="str">
        <x:v>2021-22</x:v>
      </x:c>
      <x:c r="B190" s="20" t="n">
        <x:v>44499</x:v>
      </x:c>
      <x:c r="C190" s="4" t="str">
        <x:v>Man City</x:v>
      </x:c>
      <x:c r="D190" s="4" t="str">
        <x:v>Crystal Palace</x:v>
      </x:c>
      <x:c r="E190" s="4" t="str">
        <x:v>Home</x:v>
      </x:c>
      <x:c r="F190" s="28" t="n">
        <x:v>0</x:v>
      </x:c>
      <x:c r="G190" s="28" t="n">
        <x:v>2</x:v>
      </x:c>
      <x:c r="H190" s="28" t="n">
        <x:v>14</x:v>
      </x:c>
      <x:c r="I190" s="28" t="n">
        <x:v>8</x:v>
      </x:c>
      <x:c r="J190" s="28" t="n">
        <x:v>3</x:v>
      </x:c>
      <x:c r="K190" s="28" t="n">
        <x:v>3</x:v>
      </x:c>
      <x:c r="L190" s="28" t="n">
        <x:v>7</x:v>
      </x:c>
      <x:c r="M190" s="28" t="n">
        <x:v>1</x:v>
      </x:c>
      <x:c r="N190" s="28" t="n">
        <x:v>2</x:v>
      </x:c>
      <x:c r="O190" s="28" t="n">
        <x:v>1</x:v>
      </x:c>
      <x:c r="P190" s="28" t="n">
        <x:v>0</x:v>
      </x:c>
      <x:c r="Q190" s="24" t="n">
        <x:f>IFERROR(J190/H190,0)</x:f>
        <x:v>0.21428571428571427</x:v>
      </x:c>
      <x:c r="R190" s="24" t="n">
        <x:f>IFERROR(F190/H190,0)</x:f>
        <x:v>0</x:v>
      </x:c>
      <x:c r="S190" s="24" t="n">
        <x:f>IFERROR(F190/J190,0)</x:f>
        <x:v>0</x:v>
      </x:c>
      <x:c r="T190" s="28" t="n">
        <x:f>H190-I190</x:f>
        <x:v>6</x:v>
      </x:c>
      <x:c r="U190" s="24" t="n">
        <x:f>IFERROR(J190/H190,0)-IFERROR(K190/I190,0)</x:f>
        <x:v>-0.16071428571428573</x:v>
      </x:c>
      <x:c r="V190" s="24" t="n">
        <x:f>IFERROR(F190/J190,0)-IFERROR(G190/K190,0)</x:f>
        <x:v>-0.6666666666666666</x:v>
      </x:c>
      <x:c r="W190" s="28" t="n">
        <x:f>L190-M190</x:f>
        <x:v>6</x:v>
      </x:c>
      <x:c r="X190" s="24" t="n">
        <x:f>IFERROR(K190/I190,0)</x:f>
        <x:v>0.375</x:v>
      </x:c>
      <x:c r="Y190" s="24" t="n">
        <x:f>IFERROR(G190/I190,0)</x:f>
        <x:v>0.25</x:v>
      </x:c>
      <x:c r="Z190" s="24" t="n">
        <x:f>IFERROR(G190/K190,0)</x:f>
        <x:v>0.6666666666666666</x:v>
      </x:c>
      <x:c r="AA190" s="24" t="n">
        <x:f>IFERROR(F190/H190,0)-IFERROR(G190/I190,0)</x:f>
        <x:v>-0.25</x:v>
      </x:c>
      <x:c r="AB190" s="28" t="n">
        <x:f>J190-K190</x:f>
        <x:v>0</x:v>
      </x:c>
      <x:c r="AC190" s="32" t="n">
        <x:f>F190-G190</x:f>
        <x:v>-2</x:v>
      </x:c>
    </x:row>
    <x:row r="191">
      <x:c r="A191" s="4" t="str">
        <x:v>2021-22</x:v>
      </x:c>
      <x:c r="B191" s="20" t="n">
        <x:v>44499</x:v>
      </x:c>
      <x:c r="C191" s="4" t="str">
        <x:v>Man United</x:v>
      </x:c>
      <x:c r="D191" s="4" t="str">
        <x:v>Tottenham</x:v>
      </x:c>
      <x:c r="E191" s="4" t="str">
        <x:v>Away</x:v>
      </x:c>
      <x:c r="F191" s="28" t="n">
        <x:v>3</x:v>
      </x:c>
      <x:c r="G191" s="28" t="n">
        <x:v>0</x:v>
      </x:c>
      <x:c r="H191" s="28" t="n">
        <x:v>10</x:v>
      </x:c>
      <x:c r="I191" s="28" t="n">
        <x:v>9</x:v>
      </x:c>
      <x:c r="J191" s="28" t="n">
        <x:v>4</x:v>
      </x:c>
      <x:c r="K191" s="28" t="n">
        <x:v>0</x:v>
      </x:c>
      <x:c r="L191" s="28" t="n">
        <x:v>2</x:v>
      </x:c>
      <x:c r="M191" s="28" t="n">
        <x:v>10</x:v>
      </x:c>
      <x:c r="N191" s="28" t="n">
        <x:v>3</x:v>
      </x:c>
      <x:c r="O191" s="28" t="n">
        <x:v>0</x:v>
      </x:c>
      <x:c r="P191" s="28" t="n">
        <x:v>3</x:v>
      </x:c>
      <x:c r="Q191" s="24" t="n">
        <x:f>IFERROR(J191/H191,0)</x:f>
        <x:v>0.4</x:v>
      </x:c>
      <x:c r="R191" s="24" t="n">
        <x:f>IFERROR(F191/H191,0)</x:f>
        <x:v>0.3</x:v>
      </x:c>
      <x:c r="S191" s="24" t="n">
        <x:f>IFERROR(F191/J191,0)</x:f>
        <x:v>0.75</x:v>
      </x:c>
      <x:c r="T191" s="28" t="n">
        <x:f>H191-I191</x:f>
        <x:v>1</x:v>
      </x:c>
      <x:c r="U191" s="24" t="n">
        <x:f>IFERROR(J191/H191,0)-IFERROR(K191/I191,0)</x:f>
        <x:v>0.4</x:v>
      </x:c>
      <x:c r="V191" s="24" t="n">
        <x:f>IFERROR(F191/J191,0)-IFERROR(G191/K191,0)</x:f>
        <x:v>0.75</x:v>
      </x:c>
      <x:c r="W191" s="28" t="n">
        <x:f>L191-M191</x:f>
        <x:v>-8</x:v>
      </x:c>
      <x:c r="X191" s="24" t="n">
        <x:f>IFERROR(K191/I191,0)</x:f>
        <x:v>0</x:v>
      </x:c>
      <x:c r="Y191" s="24" t="n">
        <x:f>IFERROR(G191/I191,0)</x:f>
        <x:v>0</x:v>
      </x:c>
      <x:c r="Z191" s="24" t="n">
        <x:f>IFERROR(G191/K191,0)</x:f>
        <x:v>0</x:v>
      </x:c>
      <x:c r="AA191" s="24" t="n">
        <x:f>IFERROR(F191/H191,0)-IFERROR(G191/I191,0)</x:f>
        <x:v>0.3</x:v>
      </x:c>
      <x:c r="AB191" s="28" t="n">
        <x:f>J191-K191</x:f>
        <x:v>4</x:v>
      </x:c>
      <x:c r="AC191" s="32" t="n">
        <x:f>F191-G191</x:f>
        <x:v>3</x:v>
      </x:c>
    </x:row>
    <x:row r="192">
      <x:c r="A192" s="4" t="str">
        <x:v>2021-22</x:v>
      </x:c>
      <x:c r="B192" s="20" t="n">
        <x:v>44499</x:v>
      </x:c>
      <x:c r="C192" s="4" t="str">
        <x:v>Newcastle</x:v>
      </x:c>
      <x:c r="D192" s="4" t="str">
        <x:v>Chelsea</x:v>
      </x:c>
      <x:c r="E192" s="4" t="str">
        <x:v>Home</x:v>
      </x:c>
      <x:c r="F192" s="28" t="n">
        <x:v>0</x:v>
      </x:c>
      <x:c r="G192" s="28" t="n">
        <x:v>3</x:v>
      </x:c>
      <x:c r="H192" s="28" t="n">
        <x:v>6</x:v>
      </x:c>
      <x:c r="I192" s="28" t="n">
        <x:v>19</x:v>
      </x:c>
      <x:c r="J192" s="28" t="n">
        <x:v>1</x:v>
      </x:c>
      <x:c r="K192" s="28" t="n">
        <x:v>6</x:v>
      </x:c>
      <x:c r="L192" s="28" t="n">
        <x:v>0</x:v>
      </x:c>
      <x:c r="M192" s="28" t="n">
        <x:v>2</x:v>
      </x:c>
      <x:c r="N192" s="28" t="n">
        <x:v>3</x:v>
      </x:c>
      <x:c r="O192" s="28" t="n">
        <x:v>0</x:v>
      </x:c>
      <x:c r="P192" s="28" t="n">
        <x:v>0</x:v>
      </x:c>
      <x:c r="Q192" s="24" t="n">
        <x:f>IFERROR(J192/H192,0)</x:f>
        <x:v>0.16666666666666666</x:v>
      </x:c>
      <x:c r="R192" s="24" t="n">
        <x:f>IFERROR(F192/H192,0)</x:f>
        <x:v>0</x:v>
      </x:c>
      <x:c r="S192" s="24" t="n">
        <x:f>IFERROR(F192/J192,0)</x:f>
        <x:v>0</x:v>
      </x:c>
      <x:c r="T192" s="28" t="n">
        <x:f>H192-I192</x:f>
        <x:v>-13</x:v>
      </x:c>
      <x:c r="U192" s="24" t="n">
        <x:f>IFERROR(J192/H192,0)-IFERROR(K192/I192,0)</x:f>
        <x:v>-0.14912280701754385</x:v>
      </x:c>
      <x:c r="V192" s="24" t="n">
        <x:f>IFERROR(F192/J192,0)-IFERROR(G192/K192,0)</x:f>
        <x:v>-0.5</x:v>
      </x:c>
      <x:c r="W192" s="28" t="n">
        <x:f>L192-M192</x:f>
        <x:v>-2</x:v>
      </x:c>
      <x:c r="X192" s="24" t="n">
        <x:f>IFERROR(K192/I192,0)</x:f>
        <x:v>0.3157894736842105</x:v>
      </x:c>
      <x:c r="Y192" s="24" t="n">
        <x:f>IFERROR(G192/I192,0)</x:f>
        <x:v>0.15789473684210525</x:v>
      </x:c>
      <x:c r="Z192" s="24" t="n">
        <x:f>IFERROR(G192/K192,0)</x:f>
        <x:v>0.5</x:v>
      </x:c>
      <x:c r="AA192" s="24" t="n">
        <x:f>IFERROR(F192/H192,0)-IFERROR(G192/I192,0)</x:f>
        <x:v>-0.15789473684210525</x:v>
      </x:c>
      <x:c r="AB192" s="28" t="n">
        <x:f>J192-K192</x:f>
        <x:v>-5</x:v>
      </x:c>
      <x:c r="AC192" s="32" t="n">
        <x:f>F192-G192</x:f>
        <x:v>-3</x:v>
      </x:c>
    </x:row>
    <x:row r="193">
      <x:c r="A193" s="4" t="str">
        <x:v>2021-22</x:v>
      </x:c>
      <x:c r="B193" s="20" t="n">
        <x:v>44499</x:v>
      </x:c>
      <x:c r="C193" s="4" t="str">
        <x:v>Southampton</x:v>
      </x:c>
      <x:c r="D193" s="4" t="str">
        <x:v>Watford</x:v>
      </x:c>
      <x:c r="E193" s="4" t="str">
        <x:v>Away</x:v>
      </x:c>
      <x:c r="F193" s="28" t="n">
        <x:v>1</x:v>
      </x:c>
      <x:c r="G193" s="28" t="n">
        <x:v>0</x:v>
      </x:c>
      <x:c r="H193" s="28" t="n">
        <x:v>12</x:v>
      </x:c>
      <x:c r="I193" s="28" t="n">
        <x:v>10</x:v>
      </x:c>
      <x:c r="J193" s="28" t="n">
        <x:v>1</x:v>
      </x:c>
      <x:c r="K193" s="28" t="n">
        <x:v>4</x:v>
      </x:c>
      <x:c r="L193" s="28" t="n">
        <x:v>8</x:v>
      </x:c>
      <x:c r="M193" s="28" t="n">
        <x:v>5</x:v>
      </x:c>
      <x:c r="N193" s="28" t="n">
        <x:v>2</x:v>
      </x:c>
      <x:c r="O193" s="28" t="n">
        <x:v>0</x:v>
      </x:c>
      <x:c r="P193" s="28" t="n">
        <x:v>3</x:v>
      </x:c>
      <x:c r="Q193" s="24" t="n">
        <x:f>IFERROR(J193/H193,0)</x:f>
        <x:v>0.08333333333333333</x:v>
      </x:c>
      <x:c r="R193" s="24" t="n">
        <x:f>IFERROR(F193/H193,0)</x:f>
        <x:v>0.08333333333333333</x:v>
      </x:c>
      <x:c r="S193" s="24" t="n">
        <x:f>IFERROR(F193/J193,0)</x:f>
        <x:v>1</x:v>
      </x:c>
      <x:c r="T193" s="28" t="n">
        <x:f>H193-I193</x:f>
        <x:v>2</x:v>
      </x:c>
      <x:c r="U193" s="24" t="n">
        <x:f>IFERROR(J193/H193,0)-IFERROR(K193/I193,0)</x:f>
        <x:v>-0.3166666666666667</x:v>
      </x:c>
      <x:c r="V193" s="24" t="n">
        <x:f>IFERROR(F193/J193,0)-IFERROR(G193/K193,0)</x:f>
        <x:v>1</x:v>
      </x:c>
      <x:c r="W193" s="28" t="n">
        <x:f>L193-M193</x:f>
        <x:v>3</x:v>
      </x:c>
      <x:c r="X193" s="24" t="n">
        <x:f>IFERROR(K193/I193,0)</x:f>
        <x:v>0.4</x:v>
      </x:c>
      <x:c r="Y193" s="24" t="n">
        <x:f>IFERROR(G193/I193,0)</x:f>
        <x:v>0</x:v>
      </x:c>
      <x:c r="Z193" s="24" t="n">
        <x:f>IFERROR(G193/K193,0)</x:f>
        <x:v>0</x:v>
      </x:c>
      <x:c r="AA193" s="24" t="n">
        <x:f>IFERROR(F193/H193,0)-IFERROR(G193/I193,0)</x:f>
        <x:v>0.08333333333333333</x:v>
      </x:c>
      <x:c r="AB193" s="28" t="n">
        <x:f>J193-K193</x:f>
        <x:v>-3</x:v>
      </x:c>
      <x:c r="AC193" s="32" t="n">
        <x:f>F193-G193</x:f>
        <x:v>1</x:v>
      </x:c>
    </x:row>
    <x:row r="194">
      <x:c r="A194" s="4" t="str">
        <x:v>2021-22</x:v>
      </x:c>
      <x:c r="B194" s="20" t="n">
        <x:v>44499</x:v>
      </x:c>
      <x:c r="C194" s="4" t="str">
        <x:v>Tottenham</x:v>
      </x:c>
      <x:c r="D194" s="4" t="str">
        <x:v>Man United</x:v>
      </x:c>
      <x:c r="E194" s="4" t="str">
        <x:v>Home</x:v>
      </x:c>
      <x:c r="F194" s="28" t="n">
        <x:v>0</x:v>
      </x:c>
      <x:c r="G194" s="28" t="n">
        <x:v>3</x:v>
      </x:c>
      <x:c r="H194" s="28" t="n">
        <x:v>9</x:v>
      </x:c>
      <x:c r="I194" s="28" t="n">
        <x:v>10</x:v>
      </x:c>
      <x:c r="J194" s="28" t="n">
        <x:v>0</x:v>
      </x:c>
      <x:c r="K194" s="28" t="n">
        <x:v>4</x:v>
      </x:c>
      <x:c r="L194" s="28" t="n">
        <x:v>10</x:v>
      </x:c>
      <x:c r="M194" s="28" t="n">
        <x:v>2</x:v>
      </x:c>
      <x:c r="N194" s="28" t="n">
        <x:v>2</x:v>
      </x:c>
      <x:c r="O194" s="28" t="n">
        <x:v>0</x:v>
      </x:c>
      <x:c r="P194" s="28" t="n">
        <x:v>0</x:v>
      </x:c>
      <x:c r="Q194" s="24" t="n">
        <x:f>IFERROR(J194/H194,0)</x:f>
        <x:v>0</x:v>
      </x:c>
      <x:c r="R194" s="24" t="n">
        <x:f>IFERROR(F194/H194,0)</x:f>
        <x:v>0</x:v>
      </x:c>
      <x:c r="S194" s="24" t="n">
        <x:f>IFERROR(F194/J194,0)</x:f>
        <x:v>0</x:v>
      </x:c>
      <x:c r="T194" s="28" t="n">
        <x:f>H194-I194</x:f>
        <x:v>-1</x:v>
      </x:c>
      <x:c r="U194" s="24" t="n">
        <x:f>IFERROR(J194/H194,0)-IFERROR(K194/I194,0)</x:f>
        <x:v>-0.4</x:v>
      </x:c>
      <x:c r="V194" s="24" t="n">
        <x:f>IFERROR(F194/J194,0)-IFERROR(G194/K194,0)</x:f>
        <x:v>-0.75</x:v>
      </x:c>
      <x:c r="W194" s="28" t="n">
        <x:f>L194-M194</x:f>
        <x:v>8</x:v>
      </x:c>
      <x:c r="X194" s="24" t="n">
        <x:f>IFERROR(K194/I194,0)</x:f>
        <x:v>0.4</x:v>
      </x:c>
      <x:c r="Y194" s="24" t="n">
        <x:f>IFERROR(G194/I194,0)</x:f>
        <x:v>0.3</x:v>
      </x:c>
      <x:c r="Z194" s="24" t="n">
        <x:f>IFERROR(G194/K194,0)</x:f>
        <x:v>0.75</x:v>
      </x:c>
      <x:c r="AA194" s="24" t="n">
        <x:f>IFERROR(F194/H194,0)-IFERROR(G194/I194,0)</x:f>
        <x:v>-0.3</x:v>
      </x:c>
      <x:c r="AB194" s="28" t="n">
        <x:f>J194-K194</x:f>
        <x:v>-4</x:v>
      </x:c>
      <x:c r="AC194" s="32" t="n">
        <x:f>F194-G194</x:f>
        <x:v>-3</x:v>
      </x:c>
    </x:row>
    <x:row r="195">
      <x:c r="A195" s="4" t="str">
        <x:v>2021-22</x:v>
      </x:c>
      <x:c r="B195" s="20" t="n">
        <x:v>44499</x:v>
      </x:c>
      <x:c r="C195" s="4" t="str">
        <x:v>Watford</x:v>
      </x:c>
      <x:c r="D195" s="4" t="str">
        <x:v>Southampton</x:v>
      </x:c>
      <x:c r="E195" s="4" t="str">
        <x:v>Home</x:v>
      </x:c>
      <x:c r="F195" s="28" t="n">
        <x:v>0</x:v>
      </x:c>
      <x:c r="G195" s="28" t="n">
        <x:v>1</x:v>
      </x:c>
      <x:c r="H195" s="28" t="n">
        <x:v>10</x:v>
      </x:c>
      <x:c r="I195" s="28" t="n">
        <x:v>12</x:v>
      </x:c>
      <x:c r="J195" s="28" t="n">
        <x:v>4</x:v>
      </x:c>
      <x:c r="K195" s="28" t="n">
        <x:v>1</x:v>
      </x:c>
      <x:c r="L195" s="28" t="n">
        <x:v>5</x:v>
      </x:c>
      <x:c r="M195" s="28" t="n">
        <x:v>8</x:v>
      </x:c>
      <x:c r="N195" s="28" t="n">
        <x:v>2</x:v>
      </x:c>
      <x:c r="O195" s="28" t="n">
        <x:v>0</x:v>
      </x:c>
      <x:c r="P195" s="28" t="n">
        <x:v>0</x:v>
      </x:c>
      <x:c r="Q195" s="24" t="n">
        <x:f>IFERROR(J195/H195,0)</x:f>
        <x:v>0.4</x:v>
      </x:c>
      <x:c r="R195" s="24" t="n">
        <x:f>IFERROR(F195/H195,0)</x:f>
        <x:v>0</x:v>
      </x:c>
      <x:c r="S195" s="24" t="n">
        <x:f>IFERROR(F195/J195,0)</x:f>
        <x:v>0</x:v>
      </x:c>
      <x:c r="T195" s="28" t="n">
        <x:f>H195-I195</x:f>
        <x:v>-2</x:v>
      </x:c>
      <x:c r="U195" s="24" t="n">
        <x:f>IFERROR(J195/H195,0)-IFERROR(K195/I195,0)</x:f>
        <x:v>0.3166666666666667</x:v>
      </x:c>
      <x:c r="V195" s="24" t="n">
        <x:f>IFERROR(F195/J195,0)-IFERROR(G195/K195,0)</x:f>
        <x:v>-1</x:v>
      </x:c>
      <x:c r="W195" s="28" t="n">
        <x:f>L195-M195</x:f>
        <x:v>-3</x:v>
      </x:c>
      <x:c r="X195" s="24" t="n">
        <x:f>IFERROR(K195/I195,0)</x:f>
        <x:v>0.08333333333333333</x:v>
      </x:c>
      <x:c r="Y195" s="24" t="n">
        <x:f>IFERROR(G195/I195,0)</x:f>
        <x:v>0.08333333333333333</x:v>
      </x:c>
      <x:c r="Z195" s="24" t="n">
        <x:f>IFERROR(G195/K195,0)</x:f>
        <x:v>1</x:v>
      </x:c>
      <x:c r="AA195" s="24" t="n">
        <x:f>IFERROR(F195/H195,0)-IFERROR(G195/I195,0)</x:f>
        <x:v>-0.08333333333333333</x:v>
      </x:c>
      <x:c r="AB195" s="28" t="n">
        <x:f>J195-K195</x:f>
        <x:v>3</x:v>
      </x:c>
      <x:c r="AC195" s="32" t="n">
        <x:f>F195-G195</x:f>
        <x:v>-1</x:v>
      </x:c>
    </x:row>
    <x:row r="196">
      <x:c r="A196" s="4" t="str">
        <x:v>2021-22</x:v>
      </x:c>
      <x:c r="B196" s="20" t="n">
        <x:v>44500</x:v>
      </x:c>
      <x:c r="C196" s="4" t="str">
        <x:v>Aston Villa</x:v>
      </x:c>
      <x:c r="D196" s="4" t="str">
        <x:v>West Ham</x:v>
      </x:c>
      <x:c r="E196" s="4" t="str">
        <x:v>Home</x:v>
      </x:c>
      <x:c r="F196" s="28" t="n">
        <x:v>1</x:v>
      </x:c>
      <x:c r="G196" s="28" t="n">
        <x:v>4</x:v>
      </x:c>
      <x:c r="H196" s="28" t="n">
        <x:v>9</x:v>
      </x:c>
      <x:c r="I196" s="28" t="n">
        <x:v>21</x:v>
      </x:c>
      <x:c r="J196" s="28" t="n">
        <x:v>3</x:v>
      </x:c>
      <x:c r="K196" s="28" t="n">
        <x:v>9</x:v>
      </x:c>
      <x:c r="L196" s="28" t="n">
        <x:v>3</x:v>
      </x:c>
      <x:c r="M196" s="28" t="n">
        <x:v>6</x:v>
      </x:c>
      <x:c r="N196" s="28" t="n">
        <x:v>1</x:v>
      </x:c>
      <x:c r="O196" s="28" t="n">
        <x:v>1</x:v>
      </x:c>
      <x:c r="P196" s="28" t="n">
        <x:v>0</x:v>
      </x:c>
      <x:c r="Q196" s="24" t="n">
        <x:f>IFERROR(J196/H196,0)</x:f>
        <x:v>0.3333333333333333</x:v>
      </x:c>
      <x:c r="R196" s="24" t="n">
        <x:f>IFERROR(F196/H196,0)</x:f>
        <x:v>0.1111111111111111</x:v>
      </x:c>
      <x:c r="S196" s="24" t="n">
        <x:f>IFERROR(F196/J196,0)</x:f>
        <x:v>0.3333333333333333</x:v>
      </x:c>
      <x:c r="T196" s="28" t="n">
        <x:f>H196-I196</x:f>
        <x:v>-12</x:v>
      </x:c>
      <x:c r="U196" s="24" t="n">
        <x:f>IFERROR(J196/H196,0)-IFERROR(K196/I196,0)</x:f>
        <x:v>-0.09523809523809523</x:v>
      </x:c>
      <x:c r="V196" s="24" t="n">
        <x:f>IFERROR(F196/J196,0)-IFERROR(G196/K196,0)</x:f>
        <x:v>-0.1111111111111111</x:v>
      </x:c>
      <x:c r="W196" s="28" t="n">
        <x:f>L196-M196</x:f>
        <x:v>-3</x:v>
      </x:c>
      <x:c r="X196" s="24" t="n">
        <x:f>IFERROR(K196/I196,0)</x:f>
        <x:v>0.42857142857142855</x:v>
      </x:c>
      <x:c r="Y196" s="24" t="n">
        <x:f>IFERROR(G196/I196,0)</x:f>
        <x:v>0.19047619047619047</x:v>
      </x:c>
      <x:c r="Z196" s="24" t="n">
        <x:f>IFERROR(G196/K196,0)</x:f>
        <x:v>0.4444444444444444</x:v>
      </x:c>
      <x:c r="AA196" s="24" t="n">
        <x:f>IFERROR(F196/H196,0)-IFERROR(G196/I196,0)</x:f>
        <x:v>-0.07936507936507936</x:v>
      </x:c>
      <x:c r="AB196" s="28" t="n">
        <x:f>J196-K196</x:f>
        <x:v>-6</x:v>
      </x:c>
      <x:c r="AC196" s="32" t="n">
        <x:f>F196-G196</x:f>
        <x:v>-3</x:v>
      </x:c>
    </x:row>
    <x:row r="197">
      <x:c r="A197" s="4" t="str">
        <x:v>2021-22</x:v>
      </x:c>
      <x:c r="B197" s="20" t="n">
        <x:v>44500</x:v>
      </x:c>
      <x:c r="C197" s="4" t="str">
        <x:v>Leeds</x:v>
      </x:c>
      <x:c r="D197" s="4" t="str">
        <x:v>Norwich</x:v>
      </x:c>
      <x:c r="E197" s="4" t="str">
        <x:v>Away</x:v>
      </x:c>
      <x:c r="F197" s="28" t="n">
        <x:v>2</x:v>
      </x:c>
      <x:c r="G197" s="28" t="n">
        <x:v>1</x:v>
      </x:c>
      <x:c r="H197" s="28" t="n">
        <x:v>13</x:v>
      </x:c>
      <x:c r="I197" s="28" t="n">
        <x:v>14</x:v>
      </x:c>
      <x:c r="J197" s="28" t="n">
        <x:v>6</x:v>
      </x:c>
      <x:c r="K197" s="28" t="n">
        <x:v>3</x:v>
      </x:c>
      <x:c r="L197" s="28" t="n">
        <x:v>0</x:v>
      </x:c>
      <x:c r="M197" s="28" t="n">
        <x:v>5</x:v>
      </x:c>
      <x:c r="N197" s="28" t="n">
        <x:v>4</x:v>
      </x:c>
      <x:c r="O197" s="28" t="n">
        <x:v>0</x:v>
      </x:c>
      <x:c r="P197" s="28" t="n">
        <x:v>3</x:v>
      </x:c>
      <x:c r="Q197" s="24" t="n">
        <x:f>IFERROR(J197/H197,0)</x:f>
        <x:v>0.46153846153846156</x:v>
      </x:c>
      <x:c r="R197" s="24" t="n">
        <x:f>IFERROR(F197/H197,0)</x:f>
        <x:v>0.15384615384615385</x:v>
      </x:c>
      <x:c r="S197" s="24" t="n">
        <x:f>IFERROR(F197/J197,0)</x:f>
        <x:v>0.3333333333333333</x:v>
      </x:c>
      <x:c r="T197" s="28" t="n">
        <x:f>H197-I197</x:f>
        <x:v>-1</x:v>
      </x:c>
      <x:c r="U197" s="24" t="n">
        <x:f>IFERROR(J197/H197,0)-IFERROR(K197/I197,0)</x:f>
        <x:v>0.2472527472527473</x:v>
      </x:c>
      <x:c r="V197" s="24" t="n">
        <x:f>IFERROR(F197/J197,0)-IFERROR(G197/K197,0)</x:f>
        <x:v>0</x:v>
      </x:c>
      <x:c r="W197" s="28" t="n">
        <x:f>L197-M197</x:f>
        <x:v>-5</x:v>
      </x:c>
      <x:c r="X197" s="24" t="n">
        <x:f>IFERROR(K197/I197,0)</x:f>
        <x:v>0.21428571428571427</x:v>
      </x:c>
      <x:c r="Y197" s="24" t="n">
        <x:f>IFERROR(G197/I197,0)</x:f>
        <x:v>0.07142857142857142</x:v>
      </x:c>
      <x:c r="Z197" s="24" t="n">
        <x:f>IFERROR(G197/K197,0)</x:f>
        <x:v>0.3333333333333333</x:v>
      </x:c>
      <x:c r="AA197" s="24" t="n">
        <x:f>IFERROR(F197/H197,0)-IFERROR(G197/I197,0)</x:f>
        <x:v>0.08241758241758243</x:v>
      </x:c>
      <x:c r="AB197" s="28" t="n">
        <x:f>J197-K197</x:f>
        <x:v>3</x:v>
      </x:c>
      <x:c r="AC197" s="32" t="n">
        <x:f>F197-G197</x:f>
        <x:v>1</x:v>
      </x:c>
    </x:row>
    <x:row r="198">
      <x:c r="A198" s="4" t="str">
        <x:v>2021-22</x:v>
      </x:c>
      <x:c r="B198" s="20" t="n">
        <x:v>44500</x:v>
      </x:c>
      <x:c r="C198" s="4" t="str">
        <x:v>Norwich</x:v>
      </x:c>
      <x:c r="D198" s="4" t="str">
        <x:v>Leeds</x:v>
      </x:c>
      <x:c r="E198" s="4" t="str">
        <x:v>Home</x:v>
      </x:c>
      <x:c r="F198" s="28" t="n">
        <x:v>1</x:v>
      </x:c>
      <x:c r="G198" s="28" t="n">
        <x:v>2</x:v>
      </x:c>
      <x:c r="H198" s="28" t="n">
        <x:v>14</x:v>
      </x:c>
      <x:c r="I198" s="28" t="n">
        <x:v>13</x:v>
      </x:c>
      <x:c r="J198" s="28" t="n">
        <x:v>3</x:v>
      </x:c>
      <x:c r="K198" s="28" t="n">
        <x:v>6</x:v>
      </x:c>
      <x:c r="L198" s="28" t="n">
        <x:v>5</x:v>
      </x:c>
      <x:c r="M198" s="28" t="n">
        <x:v>0</x:v>
      </x:c>
      <x:c r="N198" s="28" t="n">
        <x:v>1</x:v>
      </x:c>
      <x:c r="O198" s="28" t="n">
        <x:v>0</x:v>
      </x:c>
      <x:c r="P198" s="28" t="n">
        <x:v>0</x:v>
      </x:c>
      <x:c r="Q198" s="24" t="n">
        <x:f>IFERROR(J198/H198,0)</x:f>
        <x:v>0.21428571428571427</x:v>
      </x:c>
      <x:c r="R198" s="24" t="n">
        <x:f>IFERROR(F198/H198,0)</x:f>
        <x:v>0.07142857142857142</x:v>
      </x:c>
      <x:c r="S198" s="24" t="n">
        <x:f>IFERROR(F198/J198,0)</x:f>
        <x:v>0.3333333333333333</x:v>
      </x:c>
      <x:c r="T198" s="28" t="n">
        <x:f>H198-I198</x:f>
        <x:v>1</x:v>
      </x:c>
      <x:c r="U198" s="24" t="n">
        <x:f>IFERROR(J198/H198,0)-IFERROR(K198/I198,0)</x:f>
        <x:v>-0.2472527472527473</x:v>
      </x:c>
      <x:c r="V198" s="24" t="n">
        <x:f>IFERROR(F198/J198,0)-IFERROR(G198/K198,0)</x:f>
        <x:v>0</x:v>
      </x:c>
      <x:c r="W198" s="28" t="n">
        <x:f>L198-M198</x:f>
        <x:v>5</x:v>
      </x:c>
      <x:c r="X198" s="24" t="n">
        <x:f>IFERROR(K198/I198,0)</x:f>
        <x:v>0.46153846153846156</x:v>
      </x:c>
      <x:c r="Y198" s="24" t="n">
        <x:f>IFERROR(G198/I198,0)</x:f>
        <x:v>0.15384615384615385</x:v>
      </x:c>
      <x:c r="Z198" s="24" t="n">
        <x:f>IFERROR(G198/K198,0)</x:f>
        <x:v>0.3333333333333333</x:v>
      </x:c>
      <x:c r="AA198" s="24" t="n">
        <x:f>IFERROR(F198/H198,0)-IFERROR(G198/I198,0)</x:f>
        <x:v>-0.08241758241758243</x:v>
      </x:c>
      <x:c r="AB198" s="28" t="n">
        <x:f>J198-K198</x:f>
        <x:v>-3</x:v>
      </x:c>
      <x:c r="AC198" s="32" t="n">
        <x:f>F198-G198</x:f>
        <x:v>-1</x:v>
      </x:c>
    </x:row>
    <x:row r="199">
      <x:c r="A199" s="4" t="str">
        <x:v>2021-22</x:v>
      </x:c>
      <x:c r="B199" s="20" t="n">
        <x:v>44500</x:v>
      </x:c>
      <x:c r="C199" s="4" t="str">
        <x:v>West Ham</x:v>
      </x:c>
      <x:c r="D199" s="4" t="str">
        <x:v>Aston Villa</x:v>
      </x:c>
      <x:c r="E199" s="4" t="str">
        <x:v>Away</x:v>
      </x:c>
      <x:c r="F199" s="28" t="n">
        <x:v>4</x:v>
      </x:c>
      <x:c r="G199" s="28" t="n">
        <x:v>1</x:v>
      </x:c>
      <x:c r="H199" s="28" t="n">
        <x:v>21</x:v>
      </x:c>
      <x:c r="I199" s="28" t="n">
        <x:v>9</x:v>
      </x:c>
      <x:c r="J199" s="28" t="n">
        <x:v>9</x:v>
      </x:c>
      <x:c r="K199" s="28" t="n">
        <x:v>3</x:v>
      </x:c>
      <x:c r="L199" s="28" t="n">
        <x:v>6</x:v>
      </x:c>
      <x:c r="M199" s="28" t="n">
        <x:v>3</x:v>
      </x:c>
      <x:c r="N199" s="28" t="n">
        <x:v>2</x:v>
      </x:c>
      <x:c r="O199" s="28" t="n">
        <x:v>0</x:v>
      </x:c>
      <x:c r="P199" s="28" t="n">
        <x:v>3</x:v>
      </x:c>
      <x:c r="Q199" s="24" t="n">
        <x:f>IFERROR(J199/H199,0)</x:f>
        <x:v>0.42857142857142855</x:v>
      </x:c>
      <x:c r="R199" s="24" t="n">
        <x:f>IFERROR(F199/H199,0)</x:f>
        <x:v>0.19047619047619047</x:v>
      </x:c>
      <x:c r="S199" s="24" t="n">
        <x:f>IFERROR(F199/J199,0)</x:f>
        <x:v>0.4444444444444444</x:v>
      </x:c>
      <x:c r="T199" s="28" t="n">
        <x:f>H199-I199</x:f>
        <x:v>12</x:v>
      </x:c>
      <x:c r="U199" s="24" t="n">
        <x:f>IFERROR(J199/H199,0)-IFERROR(K199/I199,0)</x:f>
        <x:v>0.09523809523809523</x:v>
      </x:c>
      <x:c r="V199" s="24" t="n">
        <x:f>IFERROR(F199/J199,0)-IFERROR(G199/K199,0)</x:f>
        <x:v>0.1111111111111111</x:v>
      </x:c>
      <x:c r="W199" s="28" t="n">
        <x:f>L199-M199</x:f>
        <x:v>3</x:v>
      </x:c>
      <x:c r="X199" s="24" t="n">
        <x:f>IFERROR(K199/I199,0)</x:f>
        <x:v>0.3333333333333333</x:v>
      </x:c>
      <x:c r="Y199" s="24" t="n">
        <x:f>IFERROR(G199/I199,0)</x:f>
        <x:v>0.1111111111111111</x:v>
      </x:c>
      <x:c r="Z199" s="24" t="n">
        <x:f>IFERROR(G199/K199,0)</x:f>
        <x:v>0.3333333333333333</x:v>
      </x:c>
      <x:c r="AA199" s="24" t="n">
        <x:f>IFERROR(F199/H199,0)-IFERROR(G199/I199,0)</x:f>
        <x:v>0.07936507936507936</x:v>
      </x:c>
      <x:c r="AB199" s="28" t="n">
        <x:f>J199-K199</x:f>
        <x:v>6</x:v>
      </x:c>
      <x:c r="AC199" s="32" t="n">
        <x:f>F199-G199</x:f>
        <x:v>3</x:v>
      </x:c>
    </x:row>
    <x:row r="200">
      <x:c r="A200" s="4" t="str">
        <x:v>2021-22</x:v>
      </x:c>
      <x:c r="B200" s="20" t="n">
        <x:v>44501</x:v>
      </x:c>
      <x:c r="C200" s="4" t="str">
        <x:v>Everton</x:v>
      </x:c>
      <x:c r="D200" s="4" t="str">
        <x:v>Wolves</x:v>
      </x:c>
      <x:c r="E200" s="4" t="str">
        <x:v>Away</x:v>
      </x:c>
      <x:c r="F200" s="28" t="n">
        <x:v>1</x:v>
      </x:c>
      <x:c r="G200" s="28" t="n">
        <x:v>2</x:v>
      </x:c>
      <x:c r="H200" s="28" t="n">
        <x:v>14</x:v>
      </x:c>
      <x:c r="I200" s="28" t="n">
        <x:v>10</x:v>
      </x:c>
      <x:c r="J200" s="28" t="n">
        <x:v>5</x:v>
      </x:c>
      <x:c r="K200" s="28" t="n">
        <x:v>4</x:v>
      </x:c>
      <x:c r="L200" s="28" t="n">
        <x:v>3</x:v>
      </x:c>
      <x:c r="M200" s="28" t="n">
        <x:v>4</x:v>
      </x:c>
      <x:c r="N200" s="28" t="n">
        <x:v>1</x:v>
      </x:c>
      <x:c r="O200" s="28" t="n">
        <x:v>0</x:v>
      </x:c>
      <x:c r="P200" s="28" t="n">
        <x:v>0</x:v>
      </x:c>
      <x:c r="Q200" s="24" t="n">
        <x:f>IFERROR(J200/H200,0)</x:f>
        <x:v>0.35714285714285715</x:v>
      </x:c>
      <x:c r="R200" s="24" t="n">
        <x:f>IFERROR(F200/H200,0)</x:f>
        <x:v>0.07142857142857142</x:v>
      </x:c>
      <x:c r="S200" s="24" t="n">
        <x:f>IFERROR(F200/J200,0)</x:f>
        <x:v>0.2</x:v>
      </x:c>
      <x:c r="T200" s="28" t="n">
        <x:f>H200-I200</x:f>
        <x:v>4</x:v>
      </x:c>
      <x:c r="U200" s="24" t="n">
        <x:f>IFERROR(J200/H200,0)-IFERROR(K200/I200,0)</x:f>
        <x:v>-0.04285714285714287</x:v>
      </x:c>
      <x:c r="V200" s="24" t="n">
        <x:f>IFERROR(F200/J200,0)-IFERROR(G200/K200,0)</x:f>
        <x:v>-0.3</x:v>
      </x:c>
      <x:c r="W200" s="28" t="n">
        <x:f>L200-M200</x:f>
        <x:v>-1</x:v>
      </x:c>
      <x:c r="X200" s="24" t="n">
        <x:f>IFERROR(K200/I200,0)</x:f>
        <x:v>0.4</x:v>
      </x:c>
      <x:c r="Y200" s="24" t="n">
        <x:f>IFERROR(G200/I200,0)</x:f>
        <x:v>0.2</x:v>
      </x:c>
      <x:c r="Z200" s="24" t="n">
        <x:f>IFERROR(G200/K200,0)</x:f>
        <x:v>0.5</x:v>
      </x:c>
      <x:c r="AA200" s="24" t="n">
        <x:f>IFERROR(F200/H200,0)-IFERROR(G200/I200,0)</x:f>
        <x:v>-0.1285714285714286</x:v>
      </x:c>
      <x:c r="AB200" s="28" t="n">
        <x:f>J200-K200</x:f>
        <x:v>1</x:v>
      </x:c>
      <x:c r="AC200" s="32" t="n">
        <x:f>F200-G200</x:f>
        <x:v>-1</x:v>
      </x:c>
    </x:row>
    <x:row r="201">
      <x:c r="A201" s="4" t="str">
        <x:v>2021-22</x:v>
      </x:c>
      <x:c r="B201" s="20" t="n">
        <x:v>44501</x:v>
      </x:c>
      <x:c r="C201" s="4" t="str">
        <x:v>Wolves</x:v>
      </x:c>
      <x:c r="D201" s="4" t="str">
        <x:v>Everton</x:v>
      </x:c>
      <x:c r="E201" s="4" t="str">
        <x:v>Home</x:v>
      </x:c>
      <x:c r="F201" s="28" t="n">
        <x:v>2</x:v>
      </x:c>
      <x:c r="G201" s="28" t="n">
        <x:v>1</x:v>
      </x:c>
      <x:c r="H201" s="28" t="n">
        <x:v>10</x:v>
      </x:c>
      <x:c r="I201" s="28" t="n">
        <x:v>14</x:v>
      </x:c>
      <x:c r="J201" s="28" t="n">
        <x:v>4</x:v>
      </x:c>
      <x:c r="K201" s="28" t="n">
        <x:v>5</x:v>
      </x:c>
      <x:c r="L201" s="28" t="n">
        <x:v>4</x:v>
      </x:c>
      <x:c r="M201" s="28" t="n">
        <x:v>3</x:v>
      </x:c>
      <x:c r="N201" s="28" t="n">
        <x:v>1</x:v>
      </x:c>
      <x:c r="O201" s="28" t="n">
        <x:v>0</x:v>
      </x:c>
      <x:c r="P201" s="28" t="n">
        <x:v>3</x:v>
      </x:c>
      <x:c r="Q201" s="24" t="n">
        <x:f>IFERROR(J201/H201,0)</x:f>
        <x:v>0.4</x:v>
      </x:c>
      <x:c r="R201" s="24" t="n">
        <x:f>IFERROR(F201/H201,0)</x:f>
        <x:v>0.2</x:v>
      </x:c>
      <x:c r="S201" s="24" t="n">
        <x:f>IFERROR(F201/J201,0)</x:f>
        <x:v>0.5</x:v>
      </x:c>
      <x:c r="T201" s="28" t="n">
        <x:f>H201-I201</x:f>
        <x:v>-4</x:v>
      </x:c>
      <x:c r="U201" s="24" t="n">
        <x:f>IFERROR(J201/H201,0)-IFERROR(K201/I201,0)</x:f>
        <x:v>0.04285714285714287</x:v>
      </x:c>
      <x:c r="V201" s="24" t="n">
        <x:f>IFERROR(F201/J201,0)-IFERROR(G201/K201,0)</x:f>
        <x:v>0.3</x:v>
      </x:c>
      <x:c r="W201" s="28" t="n">
        <x:f>L201-M201</x:f>
        <x:v>1</x:v>
      </x:c>
      <x:c r="X201" s="24" t="n">
        <x:f>IFERROR(K201/I201,0)</x:f>
        <x:v>0.35714285714285715</x:v>
      </x:c>
      <x:c r="Y201" s="24" t="n">
        <x:f>IFERROR(G201/I201,0)</x:f>
        <x:v>0.07142857142857142</x:v>
      </x:c>
      <x:c r="Z201" s="24" t="n">
        <x:f>IFERROR(G201/K201,0)</x:f>
        <x:v>0.2</x:v>
      </x:c>
      <x:c r="AA201" s="24" t="n">
        <x:f>IFERROR(F201/H201,0)-IFERROR(G201/I201,0)</x:f>
        <x:v>0.1285714285714286</x:v>
      </x:c>
      <x:c r="AB201" s="28" t="n">
        <x:f>J201-K201</x:f>
        <x:v>-1</x:v>
      </x:c>
      <x:c r="AC201" s="32" t="n">
        <x:f>F201-G201</x:f>
        <x:v>1</x:v>
      </x:c>
    </x:row>
    <x:row r="202">
      <x:c r="A202" s="4" t="str">
        <x:v>2021-22</x:v>
      </x:c>
      <x:c r="B202" s="20" t="n">
        <x:v>44505</x:v>
      </x:c>
      <x:c r="C202" s="4" t="str">
        <x:v>Aston Villa</x:v>
      </x:c>
      <x:c r="D202" s="4" t="str">
        <x:v>Southampton</x:v>
      </x:c>
      <x:c r="E202" s="4" t="str">
        <x:v>Away</x:v>
      </x:c>
      <x:c r="F202" s="28" t="n">
        <x:v>0</x:v>
      </x:c>
      <x:c r="G202" s="28" t="n">
        <x:v>1</x:v>
      </x:c>
      <x:c r="H202" s="28" t="n">
        <x:v>14</x:v>
      </x:c>
      <x:c r="I202" s="28" t="n">
        <x:v>9</x:v>
      </x:c>
      <x:c r="J202" s="28" t="n">
        <x:v>3</x:v>
      </x:c>
      <x:c r="K202" s="28" t="n">
        <x:v>3</x:v>
      </x:c>
      <x:c r="L202" s="28" t="n">
        <x:v>8</x:v>
      </x:c>
      <x:c r="M202" s="28" t="n">
        <x:v>10</x:v>
      </x:c>
      <x:c r="N202" s="28" t="n">
        <x:v>2</x:v>
      </x:c>
      <x:c r="O202" s="28" t="n">
        <x:v>0</x:v>
      </x:c>
      <x:c r="P202" s="28" t="n">
        <x:v>0</x:v>
      </x:c>
      <x:c r="Q202" s="24" t="n">
        <x:f>IFERROR(J202/H202,0)</x:f>
        <x:v>0.21428571428571427</x:v>
      </x:c>
      <x:c r="R202" s="24" t="n">
        <x:f>IFERROR(F202/H202,0)</x:f>
        <x:v>0</x:v>
      </x:c>
      <x:c r="S202" s="24" t="n">
        <x:f>IFERROR(F202/J202,0)</x:f>
        <x:v>0</x:v>
      </x:c>
      <x:c r="T202" s="28" t="n">
        <x:f>H202-I202</x:f>
        <x:v>5</x:v>
      </x:c>
      <x:c r="U202" s="24" t="n">
        <x:f>IFERROR(J202/H202,0)-IFERROR(K202/I202,0)</x:f>
        <x:v>-0.11904761904761904</x:v>
      </x:c>
      <x:c r="V202" s="24" t="n">
        <x:f>IFERROR(F202/J202,0)-IFERROR(G202/K202,0)</x:f>
        <x:v>-0.3333333333333333</x:v>
      </x:c>
      <x:c r="W202" s="28" t="n">
        <x:f>L202-M202</x:f>
        <x:v>-2</x:v>
      </x:c>
      <x:c r="X202" s="24" t="n">
        <x:f>IFERROR(K202/I202,0)</x:f>
        <x:v>0.3333333333333333</x:v>
      </x:c>
      <x:c r="Y202" s="24" t="n">
        <x:f>IFERROR(G202/I202,0)</x:f>
        <x:v>0.1111111111111111</x:v>
      </x:c>
      <x:c r="Z202" s="24" t="n">
        <x:f>IFERROR(G202/K202,0)</x:f>
        <x:v>0.3333333333333333</x:v>
      </x:c>
      <x:c r="AA202" s="24" t="n">
        <x:f>IFERROR(F202/H202,0)-IFERROR(G202/I202,0)</x:f>
        <x:v>-0.1111111111111111</x:v>
      </x:c>
      <x:c r="AB202" s="28" t="n">
        <x:f>J202-K202</x:f>
        <x:v>0</x:v>
      </x:c>
      <x:c r="AC202" s="32" t="n">
        <x:f>F202-G202</x:f>
        <x:v>-1</x:v>
      </x:c>
    </x:row>
    <x:row r="203">
      <x:c r="A203" s="4" t="str">
        <x:v>2021-22</x:v>
      </x:c>
      <x:c r="B203" s="20" t="n">
        <x:v>44505</x:v>
      </x:c>
      <x:c r="C203" s="4" t="str">
        <x:v>Southampton</x:v>
      </x:c>
      <x:c r="D203" s="4" t="str">
        <x:v>Aston Villa</x:v>
      </x:c>
      <x:c r="E203" s="4" t="str">
        <x:v>Home</x:v>
      </x:c>
      <x:c r="F203" s="28" t="n">
        <x:v>1</x:v>
      </x:c>
      <x:c r="G203" s="28" t="n">
        <x:v>0</x:v>
      </x:c>
      <x:c r="H203" s="28" t="n">
        <x:v>9</x:v>
      </x:c>
      <x:c r="I203" s="28" t="n">
        <x:v>14</x:v>
      </x:c>
      <x:c r="J203" s="28" t="n">
        <x:v>3</x:v>
      </x:c>
      <x:c r="K203" s="28" t="n">
        <x:v>3</x:v>
      </x:c>
      <x:c r="L203" s="28" t="n">
        <x:v>10</x:v>
      </x:c>
      <x:c r="M203" s="28" t="n">
        <x:v>8</x:v>
      </x:c>
      <x:c r="N203" s="28" t="n">
        <x:v>2</x:v>
      </x:c>
      <x:c r="O203" s="28" t="n">
        <x:v>0</x:v>
      </x:c>
      <x:c r="P203" s="28" t="n">
        <x:v>3</x:v>
      </x:c>
      <x:c r="Q203" s="24" t="n">
        <x:f>IFERROR(J203/H203,0)</x:f>
        <x:v>0.3333333333333333</x:v>
      </x:c>
      <x:c r="R203" s="24" t="n">
        <x:f>IFERROR(F203/H203,0)</x:f>
        <x:v>0.1111111111111111</x:v>
      </x:c>
      <x:c r="S203" s="24" t="n">
        <x:f>IFERROR(F203/J203,0)</x:f>
        <x:v>0.3333333333333333</x:v>
      </x:c>
      <x:c r="T203" s="28" t="n">
        <x:f>H203-I203</x:f>
        <x:v>-5</x:v>
      </x:c>
      <x:c r="U203" s="24" t="n">
        <x:f>IFERROR(J203/H203,0)-IFERROR(K203/I203,0)</x:f>
        <x:v>0.11904761904761904</x:v>
      </x:c>
      <x:c r="V203" s="24" t="n">
        <x:f>IFERROR(F203/J203,0)-IFERROR(G203/K203,0)</x:f>
        <x:v>0.3333333333333333</x:v>
      </x:c>
      <x:c r="W203" s="28" t="n">
        <x:f>L203-M203</x:f>
        <x:v>2</x:v>
      </x:c>
      <x:c r="X203" s="24" t="n">
        <x:f>IFERROR(K203/I203,0)</x:f>
        <x:v>0.21428571428571427</x:v>
      </x:c>
      <x:c r="Y203" s="24" t="n">
        <x:f>IFERROR(G203/I203,0)</x:f>
        <x:v>0</x:v>
      </x:c>
      <x:c r="Z203" s="24" t="n">
        <x:f>IFERROR(G203/K203,0)</x:f>
        <x:v>0</x:v>
      </x:c>
      <x:c r="AA203" s="24" t="n">
        <x:f>IFERROR(F203/H203,0)-IFERROR(G203/I203,0)</x:f>
        <x:v>0.1111111111111111</x:v>
      </x:c>
      <x:c r="AB203" s="28" t="n">
        <x:f>J203-K203</x:f>
        <x:v>0</x:v>
      </x:c>
      <x:c r="AC203" s="32" t="n">
        <x:f>F203-G203</x:f>
        <x:v>1</x:v>
      </x:c>
    </x:row>
    <x:row r="204">
      <x:c r="A204" s="4" t="str">
        <x:v>2021-22</x:v>
      </x:c>
      <x:c r="B204" s="20" t="n">
        <x:v>44506</x:v>
      </x:c>
      <x:c r="C204" s="4" t="str">
        <x:v>Brentford</x:v>
      </x:c>
      <x:c r="D204" s="4" t="str">
        <x:v>Norwich</x:v>
      </x:c>
      <x:c r="E204" s="4" t="str">
        <x:v>Home</x:v>
      </x:c>
      <x:c r="F204" s="28" t="n">
        <x:v>1</x:v>
      </x:c>
      <x:c r="G204" s="28" t="n">
        <x:v>2</x:v>
      </x:c>
      <x:c r="H204" s="28" t="n">
        <x:v>19</x:v>
      </x:c>
      <x:c r="I204" s="28" t="n">
        <x:v>9</x:v>
      </x:c>
      <x:c r="J204" s="28" t="n">
        <x:v>7</x:v>
      </x:c>
      <x:c r="K204" s="28" t="n">
        <x:v>5</x:v>
      </x:c>
      <x:c r="L204" s="28" t="n">
        <x:v>6</x:v>
      </x:c>
      <x:c r="M204" s="28" t="n">
        <x:v>2</x:v>
      </x:c>
      <x:c r="N204" s="28" t="n">
        <x:v>2</x:v>
      </x:c>
      <x:c r="O204" s="28" t="n">
        <x:v>0</x:v>
      </x:c>
      <x:c r="P204" s="28" t="n">
        <x:v>0</x:v>
      </x:c>
      <x:c r="Q204" s="24" t="n">
        <x:f>IFERROR(J204/H204,0)</x:f>
        <x:v>0.3684210526315789</x:v>
      </x:c>
      <x:c r="R204" s="24" t="n">
        <x:f>IFERROR(F204/H204,0)</x:f>
        <x:v>0.05263157894736842</x:v>
      </x:c>
      <x:c r="S204" s="24" t="n">
        <x:f>IFERROR(F204/J204,0)</x:f>
        <x:v>0.14285714285714285</x:v>
      </x:c>
      <x:c r="T204" s="28" t="n">
        <x:f>H204-I204</x:f>
        <x:v>10</x:v>
      </x:c>
      <x:c r="U204" s="24" t="n">
        <x:f>IFERROR(J204/H204,0)-IFERROR(K204/I204,0)</x:f>
        <x:v>-0.18713450292397665</x:v>
      </x:c>
      <x:c r="V204" s="24" t="n">
        <x:f>IFERROR(F204/J204,0)-IFERROR(G204/K204,0)</x:f>
        <x:v>-0.2571428571428572</x:v>
      </x:c>
      <x:c r="W204" s="28" t="n">
        <x:f>L204-M204</x:f>
        <x:v>4</x:v>
      </x:c>
      <x:c r="X204" s="24" t="n">
        <x:f>IFERROR(K204/I204,0)</x:f>
        <x:v>0.5555555555555556</x:v>
      </x:c>
      <x:c r="Y204" s="24" t="n">
        <x:f>IFERROR(G204/I204,0)</x:f>
        <x:v>0.2222222222222222</x:v>
      </x:c>
      <x:c r="Z204" s="24" t="n">
        <x:f>IFERROR(G204/K204,0)</x:f>
        <x:v>0.4</x:v>
      </x:c>
      <x:c r="AA204" s="24" t="n">
        <x:f>IFERROR(F204/H204,0)-IFERROR(G204/I204,0)</x:f>
        <x:v>-0.1695906432748538</x:v>
      </x:c>
      <x:c r="AB204" s="28" t="n">
        <x:f>J204-K204</x:f>
        <x:v>2</x:v>
      </x:c>
      <x:c r="AC204" s="32" t="n">
        <x:f>F204-G204</x:f>
        <x:v>-1</x:v>
      </x:c>
    </x:row>
    <x:row r="205">
      <x:c r="A205" s="4" t="str">
        <x:v>2021-22</x:v>
      </x:c>
      <x:c r="B205" s="20" t="n">
        <x:v>44506</x:v>
      </x:c>
      <x:c r="C205" s="4" t="str">
        <x:v>Brighton</x:v>
      </x:c>
      <x:c r="D205" s="4" t="str">
        <x:v>Newcastle</x:v>
      </x:c>
      <x:c r="E205" s="4" t="str">
        <x:v>Home</x:v>
      </x:c>
      <x:c r="F205" s="28" t="n">
        <x:v>1</x:v>
      </x:c>
      <x:c r="G205" s="28" t="n">
        <x:v>1</x:v>
      </x:c>
      <x:c r="H205" s="28" t="n">
        <x:v>14</x:v>
      </x:c>
      <x:c r="I205" s="28" t="n">
        <x:v>6</x:v>
      </x:c>
      <x:c r="J205" s="28" t="n">
        <x:v>5</x:v>
      </x:c>
      <x:c r="K205" s="28" t="n">
        <x:v>1</x:v>
      </x:c>
      <x:c r="L205" s="28" t="n">
        <x:v>2</x:v>
      </x:c>
      <x:c r="M205" s="28" t="n">
        <x:v>5</x:v>
      </x:c>
      <x:c r="N205" s="28" t="n">
        <x:v>3</x:v>
      </x:c>
      <x:c r="O205" s="28" t="n">
        <x:v>1</x:v>
      </x:c>
      <x:c r="P205" s="28" t="n">
        <x:v>1</x:v>
      </x:c>
      <x:c r="Q205" s="24" t="n">
        <x:f>IFERROR(J205/H205,0)</x:f>
        <x:v>0.35714285714285715</x:v>
      </x:c>
      <x:c r="R205" s="24" t="n">
        <x:f>IFERROR(F205/H205,0)</x:f>
        <x:v>0.07142857142857142</x:v>
      </x:c>
      <x:c r="S205" s="24" t="n">
        <x:f>IFERROR(F205/J205,0)</x:f>
        <x:v>0.2</x:v>
      </x:c>
      <x:c r="T205" s="28" t="n">
        <x:f>H205-I205</x:f>
        <x:v>8</x:v>
      </x:c>
      <x:c r="U205" s="24" t="n">
        <x:f>IFERROR(J205/H205,0)-IFERROR(K205/I205,0)</x:f>
        <x:v>0.1904761904761905</x:v>
      </x:c>
      <x:c r="V205" s="24" t="n">
        <x:f>IFERROR(F205/J205,0)-IFERROR(G205/K205,0)</x:f>
        <x:v>-0.8</x:v>
      </x:c>
      <x:c r="W205" s="28" t="n">
        <x:f>L205-M205</x:f>
        <x:v>-3</x:v>
      </x:c>
      <x:c r="X205" s="24" t="n">
        <x:f>IFERROR(K205/I205,0)</x:f>
        <x:v>0.16666666666666666</x:v>
      </x:c>
      <x:c r="Y205" s="24" t="n">
        <x:f>IFERROR(G205/I205,0)</x:f>
        <x:v>0.16666666666666666</x:v>
      </x:c>
      <x:c r="Z205" s="24" t="n">
        <x:f>IFERROR(G205/K205,0)</x:f>
        <x:v>1</x:v>
      </x:c>
      <x:c r="AA205" s="24" t="n">
        <x:f>IFERROR(F205/H205,0)-IFERROR(G205/I205,0)</x:f>
        <x:v>-0.09523809523809523</x:v>
      </x:c>
      <x:c r="AB205" s="28" t="n">
        <x:f>J205-K205</x:f>
        <x:v>4</x:v>
      </x:c>
      <x:c r="AC205" s="32" t="n">
        <x:f>F205-G205</x:f>
        <x:v>0</x:v>
      </x:c>
    </x:row>
    <x:row r="206">
      <x:c r="A206" s="4" t="str">
        <x:v>2021-22</x:v>
      </x:c>
      <x:c r="B206" s="20" t="n">
        <x:v>44506</x:v>
      </x:c>
      <x:c r="C206" s="4" t="str">
        <x:v>Burnley</x:v>
      </x:c>
      <x:c r="D206" s="4" t="str">
        <x:v>Chelsea</x:v>
      </x:c>
      <x:c r="E206" s="4" t="str">
        <x:v>Away</x:v>
      </x:c>
      <x:c r="F206" s="28" t="n">
        <x:v>1</x:v>
      </x:c>
      <x:c r="G206" s="28" t="n">
        <x:v>1</x:v>
      </x:c>
      <x:c r="H206" s="28" t="n">
        <x:v>5</x:v>
      </x:c>
      <x:c r="I206" s="28" t="n">
        <x:v>25</x:v>
      </x:c>
      <x:c r="J206" s="28" t="n">
        <x:v>2</x:v>
      </x:c>
      <x:c r="K206" s="28" t="n">
        <x:v>4</x:v>
      </x:c>
      <x:c r="L206" s="28" t="n">
        <x:v>2</x:v>
      </x:c>
      <x:c r="M206" s="28" t="n">
        <x:v>14</x:v>
      </x:c>
      <x:c r="N206" s="28" t="n">
        <x:v>4</x:v>
      </x:c>
      <x:c r="O206" s="28" t="n">
        <x:v>0</x:v>
      </x:c>
      <x:c r="P206" s="28" t="n">
        <x:v>1</x:v>
      </x:c>
      <x:c r="Q206" s="24" t="n">
        <x:f>IFERROR(J206/H206,0)</x:f>
        <x:v>0.4</x:v>
      </x:c>
      <x:c r="R206" s="24" t="n">
        <x:f>IFERROR(F206/H206,0)</x:f>
        <x:v>0.2</x:v>
      </x:c>
      <x:c r="S206" s="24" t="n">
        <x:f>IFERROR(F206/J206,0)</x:f>
        <x:v>0.5</x:v>
      </x:c>
      <x:c r="T206" s="28" t="n">
        <x:f>H206-I206</x:f>
        <x:v>-20</x:v>
      </x:c>
      <x:c r="U206" s="24" t="n">
        <x:f>IFERROR(J206/H206,0)-IFERROR(K206/I206,0)</x:f>
        <x:v>0.24000000000000002</x:v>
      </x:c>
      <x:c r="V206" s="24" t="n">
        <x:f>IFERROR(F206/J206,0)-IFERROR(G206/K206,0)</x:f>
        <x:v>0.25</x:v>
      </x:c>
      <x:c r="W206" s="28" t="n">
        <x:f>L206-M206</x:f>
        <x:v>-12</x:v>
      </x:c>
      <x:c r="X206" s="24" t="n">
        <x:f>IFERROR(K206/I206,0)</x:f>
        <x:v>0.16</x:v>
      </x:c>
      <x:c r="Y206" s="24" t="n">
        <x:f>IFERROR(G206/I206,0)</x:f>
        <x:v>0.04</x:v>
      </x:c>
      <x:c r="Z206" s="24" t="n">
        <x:f>IFERROR(G206/K206,0)</x:f>
        <x:v>0.25</x:v>
      </x:c>
      <x:c r="AA206" s="24" t="n">
        <x:f>IFERROR(F206/H206,0)-IFERROR(G206/I206,0)</x:f>
        <x:v>0.16</x:v>
      </x:c>
      <x:c r="AB206" s="28" t="n">
        <x:f>J206-K206</x:f>
        <x:v>-2</x:v>
      </x:c>
      <x:c r="AC206" s="32" t="n">
        <x:f>F206-G206</x:f>
        <x:v>0</x:v>
      </x:c>
    </x:row>
    <x:row r="207">
      <x:c r="A207" s="4" t="str">
        <x:v>2021-22</x:v>
      </x:c>
      <x:c r="B207" s="20" t="n">
        <x:v>44506</x:v>
      </x:c>
      <x:c r="C207" s="4" t="str">
        <x:v>Chelsea</x:v>
      </x:c>
      <x:c r="D207" s="4" t="str">
        <x:v>Burnley</x:v>
      </x:c>
      <x:c r="E207" s="4" t="str">
        <x:v>Home</x:v>
      </x:c>
      <x:c r="F207" s="28" t="n">
        <x:v>1</x:v>
      </x:c>
      <x:c r="G207" s="28" t="n">
        <x:v>1</x:v>
      </x:c>
      <x:c r="H207" s="28" t="n">
        <x:v>25</x:v>
      </x:c>
      <x:c r="I207" s="28" t="n">
        <x:v>5</x:v>
      </x:c>
      <x:c r="J207" s="28" t="n">
        <x:v>4</x:v>
      </x:c>
      <x:c r="K207" s="28" t="n">
        <x:v>2</x:v>
      </x:c>
      <x:c r="L207" s="28" t="n">
        <x:v>14</x:v>
      </x:c>
      <x:c r="M207" s="28" t="n">
        <x:v>2</x:v>
      </x:c>
      <x:c r="N207" s="28" t="n">
        <x:v>1</x:v>
      </x:c>
      <x:c r="O207" s="28" t="n">
        <x:v>0</x:v>
      </x:c>
      <x:c r="P207" s="28" t="n">
        <x:v>1</x:v>
      </x:c>
      <x:c r="Q207" s="24" t="n">
        <x:f>IFERROR(J207/H207,0)</x:f>
        <x:v>0.16</x:v>
      </x:c>
      <x:c r="R207" s="24" t="n">
        <x:f>IFERROR(F207/H207,0)</x:f>
        <x:v>0.04</x:v>
      </x:c>
      <x:c r="S207" s="24" t="n">
        <x:f>IFERROR(F207/J207,0)</x:f>
        <x:v>0.25</x:v>
      </x:c>
      <x:c r="T207" s="28" t="n">
        <x:f>H207-I207</x:f>
        <x:v>20</x:v>
      </x:c>
      <x:c r="U207" s="24" t="n">
        <x:f>IFERROR(J207/H207,0)-IFERROR(K207/I207,0)</x:f>
        <x:v>-0.24000000000000002</x:v>
      </x:c>
      <x:c r="V207" s="24" t="n">
        <x:f>IFERROR(F207/J207,0)-IFERROR(G207/K207,0)</x:f>
        <x:v>-0.25</x:v>
      </x:c>
      <x:c r="W207" s="28" t="n">
        <x:f>L207-M207</x:f>
        <x:v>12</x:v>
      </x:c>
      <x:c r="X207" s="24" t="n">
        <x:f>IFERROR(K207/I207,0)</x:f>
        <x:v>0.4</x:v>
      </x:c>
      <x:c r="Y207" s="24" t="n">
        <x:f>IFERROR(G207/I207,0)</x:f>
        <x:v>0.2</x:v>
      </x:c>
      <x:c r="Z207" s="24" t="n">
        <x:f>IFERROR(G207/K207,0)</x:f>
        <x:v>0.5</x:v>
      </x:c>
      <x:c r="AA207" s="24" t="n">
        <x:f>IFERROR(F207/H207,0)-IFERROR(G207/I207,0)</x:f>
        <x:v>-0.16</x:v>
      </x:c>
      <x:c r="AB207" s="28" t="n">
        <x:f>J207-K207</x:f>
        <x:v>2</x:v>
      </x:c>
      <x:c r="AC207" s="32" t="n">
        <x:f>F207-G207</x:f>
        <x:v>0</x:v>
      </x:c>
    </x:row>
    <x:row r="208">
      <x:c r="A208" s="4" t="str">
        <x:v>2021-22</x:v>
      </x:c>
      <x:c r="B208" s="20" t="n">
        <x:v>44506</x:v>
      </x:c>
      <x:c r="C208" s="4" t="str">
        <x:v>Crystal Palace</x:v>
      </x:c>
      <x:c r="D208" s="4" t="str">
        <x:v>Wolves</x:v>
      </x:c>
      <x:c r="E208" s="4" t="str">
        <x:v>Home</x:v>
      </x:c>
      <x:c r="F208" s="28" t="n">
        <x:v>2</x:v>
      </x:c>
      <x:c r="G208" s="28" t="n">
        <x:v>0</x:v>
      </x:c>
      <x:c r="H208" s="28" t="n">
        <x:v>13</x:v>
      </x:c>
      <x:c r="I208" s="28" t="n">
        <x:v>4</x:v>
      </x:c>
      <x:c r="J208" s="28" t="n">
        <x:v>6</x:v>
      </x:c>
      <x:c r="K208" s="28" t="n">
        <x:v>2</x:v>
      </x:c>
      <x:c r="L208" s="28" t="n">
        <x:v>4</x:v>
      </x:c>
      <x:c r="M208" s="28" t="n">
        <x:v>6</x:v>
      </x:c>
      <x:c r="N208" s="28" t="n">
        <x:v>2</x:v>
      </x:c>
      <x:c r="O208" s="28" t="n">
        <x:v>0</x:v>
      </x:c>
      <x:c r="P208" s="28" t="n">
        <x:v>3</x:v>
      </x:c>
      <x:c r="Q208" s="24" t="n">
        <x:f>IFERROR(J208/H208,0)</x:f>
        <x:v>0.46153846153846156</x:v>
      </x:c>
      <x:c r="R208" s="24" t="n">
        <x:f>IFERROR(F208/H208,0)</x:f>
        <x:v>0.15384615384615385</x:v>
      </x:c>
      <x:c r="S208" s="24" t="n">
        <x:f>IFERROR(F208/J208,0)</x:f>
        <x:v>0.3333333333333333</x:v>
      </x:c>
      <x:c r="T208" s="28" t="n">
        <x:f>H208-I208</x:f>
        <x:v>9</x:v>
      </x:c>
      <x:c r="U208" s="24" t="n">
        <x:f>IFERROR(J208/H208,0)-IFERROR(K208/I208,0)</x:f>
        <x:v>-0.038461538461538436</x:v>
      </x:c>
      <x:c r="V208" s="24" t="n">
        <x:f>IFERROR(F208/J208,0)-IFERROR(G208/K208,0)</x:f>
        <x:v>0.3333333333333333</x:v>
      </x:c>
      <x:c r="W208" s="28" t="n">
        <x:f>L208-M208</x:f>
        <x:v>-2</x:v>
      </x:c>
      <x:c r="X208" s="24" t="n">
        <x:f>IFERROR(K208/I208,0)</x:f>
        <x:v>0.5</x:v>
      </x:c>
      <x:c r="Y208" s="24" t="n">
        <x:f>IFERROR(G208/I208,0)</x:f>
        <x:v>0</x:v>
      </x:c>
      <x:c r="Z208" s="24" t="n">
        <x:f>IFERROR(G208/K208,0)</x:f>
        <x:v>0</x:v>
      </x:c>
      <x:c r="AA208" s="24" t="n">
        <x:f>IFERROR(F208/H208,0)-IFERROR(G208/I208,0)</x:f>
        <x:v>0.15384615384615385</x:v>
      </x:c>
      <x:c r="AB208" s="28" t="n">
        <x:f>J208-K208</x:f>
        <x:v>4</x:v>
      </x:c>
      <x:c r="AC208" s="32" t="n">
        <x:f>F208-G208</x:f>
        <x:v>2</x:v>
      </x:c>
    </x:row>
    <x:row r="209">
      <x:c r="A209" s="4" t="str">
        <x:v>2021-22</x:v>
      </x:c>
      <x:c r="B209" s="20" t="n">
        <x:v>44506</x:v>
      </x:c>
      <x:c r="C209" s="4" t="str">
        <x:v>Man City</x:v>
      </x:c>
      <x:c r="D209" s="4" t="str">
        <x:v>Man United</x:v>
      </x:c>
      <x:c r="E209" s="4" t="str">
        <x:v>Away</x:v>
      </x:c>
      <x:c r="F209" s="28" t="n">
        <x:v>2</x:v>
      </x:c>
      <x:c r="G209" s="28" t="n">
        <x:v>0</x:v>
      </x:c>
      <x:c r="H209" s="28" t="n">
        <x:v>16</x:v>
      </x:c>
      <x:c r="I209" s="28" t="n">
        <x:v>5</x:v>
      </x:c>
      <x:c r="J209" s="28" t="n">
        <x:v>5</x:v>
      </x:c>
      <x:c r="K209" s="28" t="n">
        <x:v>1</x:v>
      </x:c>
      <x:c r="L209" s="28" t="n">
        <x:v>9</x:v>
      </x:c>
      <x:c r="M209" s="28" t="n">
        <x:v>1</x:v>
      </x:c>
      <x:c r="N209" s="28" t="n">
        <x:v>2</x:v>
      </x:c>
      <x:c r="O209" s="28" t="n">
        <x:v>0</x:v>
      </x:c>
      <x:c r="P209" s="28" t="n">
        <x:v>3</x:v>
      </x:c>
      <x:c r="Q209" s="24" t="n">
        <x:f>IFERROR(J209/H209,0)</x:f>
        <x:v>0.3125</x:v>
      </x:c>
      <x:c r="R209" s="24" t="n">
        <x:f>IFERROR(F209/H209,0)</x:f>
        <x:v>0.125</x:v>
      </x:c>
      <x:c r="S209" s="24" t="n">
        <x:f>IFERROR(F209/J209,0)</x:f>
        <x:v>0.4</x:v>
      </x:c>
      <x:c r="T209" s="28" t="n">
        <x:f>H209-I209</x:f>
        <x:v>11</x:v>
      </x:c>
      <x:c r="U209" s="24" t="n">
        <x:f>IFERROR(J209/H209,0)-IFERROR(K209/I209,0)</x:f>
        <x:v>0.11249999999999999</x:v>
      </x:c>
      <x:c r="V209" s="24" t="n">
        <x:f>IFERROR(F209/J209,0)-IFERROR(G209/K209,0)</x:f>
        <x:v>0.4</x:v>
      </x:c>
      <x:c r="W209" s="28" t="n">
        <x:f>L209-M209</x:f>
        <x:v>8</x:v>
      </x:c>
      <x:c r="X209" s="24" t="n">
        <x:f>IFERROR(K209/I209,0)</x:f>
        <x:v>0.2</x:v>
      </x:c>
      <x:c r="Y209" s="24" t="n">
        <x:f>IFERROR(G209/I209,0)</x:f>
        <x:v>0</x:v>
      </x:c>
      <x:c r="Z209" s="24" t="n">
        <x:f>IFERROR(G209/K209,0)</x:f>
        <x:v>0</x:v>
      </x:c>
      <x:c r="AA209" s="24" t="n">
        <x:f>IFERROR(F209/H209,0)-IFERROR(G209/I209,0)</x:f>
        <x:v>0.125</x:v>
      </x:c>
      <x:c r="AB209" s="28" t="n">
        <x:f>J209-K209</x:f>
        <x:v>4</x:v>
      </x:c>
      <x:c r="AC209" s="32" t="n">
        <x:f>F209-G209</x:f>
        <x:v>2</x:v>
      </x:c>
    </x:row>
    <x:row r="210">
      <x:c r="A210" s="4" t="str">
        <x:v>2021-22</x:v>
      </x:c>
      <x:c r="B210" s="20" t="n">
        <x:v>44506</x:v>
      </x:c>
      <x:c r="C210" s="4" t="str">
        <x:v>Man United</x:v>
      </x:c>
      <x:c r="D210" s="4" t="str">
        <x:v>Man City</x:v>
      </x:c>
      <x:c r="E210" s="4" t="str">
        <x:v>Home</x:v>
      </x:c>
      <x:c r="F210" s="28" t="n">
        <x:v>0</x:v>
      </x:c>
      <x:c r="G210" s="28" t="n">
        <x:v>2</x:v>
      </x:c>
      <x:c r="H210" s="28" t="n">
        <x:v>5</x:v>
      </x:c>
      <x:c r="I210" s="28" t="n">
        <x:v>16</x:v>
      </x:c>
      <x:c r="J210" s="28" t="n">
        <x:v>1</x:v>
      </x:c>
      <x:c r="K210" s="28" t="n">
        <x:v>5</x:v>
      </x:c>
      <x:c r="L210" s="28" t="n">
        <x:v>1</x:v>
      </x:c>
      <x:c r="M210" s="28" t="n">
        <x:v>9</x:v>
      </x:c>
      <x:c r="N210" s="28" t="n">
        <x:v>1</x:v>
      </x:c>
      <x:c r="O210" s="28" t="n">
        <x:v>0</x:v>
      </x:c>
      <x:c r="P210" s="28" t="n">
        <x:v>0</x:v>
      </x:c>
      <x:c r="Q210" s="24" t="n">
        <x:f>IFERROR(J210/H210,0)</x:f>
        <x:v>0.2</x:v>
      </x:c>
      <x:c r="R210" s="24" t="n">
        <x:f>IFERROR(F210/H210,0)</x:f>
        <x:v>0</x:v>
      </x:c>
      <x:c r="S210" s="24" t="n">
        <x:f>IFERROR(F210/J210,0)</x:f>
        <x:v>0</x:v>
      </x:c>
      <x:c r="T210" s="28" t="n">
        <x:f>H210-I210</x:f>
        <x:v>-11</x:v>
      </x:c>
      <x:c r="U210" s="24" t="n">
        <x:f>IFERROR(J210/H210,0)-IFERROR(K210/I210,0)</x:f>
        <x:v>-0.11249999999999999</x:v>
      </x:c>
      <x:c r="V210" s="24" t="n">
        <x:f>IFERROR(F210/J210,0)-IFERROR(G210/K210,0)</x:f>
        <x:v>-0.4</x:v>
      </x:c>
      <x:c r="W210" s="28" t="n">
        <x:f>L210-M210</x:f>
        <x:v>-8</x:v>
      </x:c>
      <x:c r="X210" s="24" t="n">
        <x:f>IFERROR(K210/I210,0)</x:f>
        <x:v>0.3125</x:v>
      </x:c>
      <x:c r="Y210" s="24" t="n">
        <x:f>IFERROR(G210/I210,0)</x:f>
        <x:v>0.125</x:v>
      </x:c>
      <x:c r="Z210" s="24" t="n">
        <x:f>IFERROR(G210/K210,0)</x:f>
        <x:v>0.4</x:v>
      </x:c>
      <x:c r="AA210" s="24" t="n">
        <x:f>IFERROR(F210/H210,0)-IFERROR(G210/I210,0)</x:f>
        <x:v>-0.125</x:v>
      </x:c>
      <x:c r="AB210" s="28" t="n">
        <x:f>J210-K210</x:f>
        <x:v>-4</x:v>
      </x:c>
      <x:c r="AC210" s="32" t="n">
        <x:f>F210-G210</x:f>
        <x:v>-2</x:v>
      </x:c>
    </x:row>
    <x:row r="211">
      <x:c r="A211" s="4" t="str">
        <x:v>2021-22</x:v>
      </x:c>
      <x:c r="B211" s="20" t="n">
        <x:v>44506</x:v>
      </x:c>
      <x:c r="C211" s="4" t="str">
        <x:v>Newcastle</x:v>
      </x:c>
      <x:c r="D211" s="4" t="str">
        <x:v>Brighton</x:v>
      </x:c>
      <x:c r="E211" s="4" t="str">
        <x:v>Away</x:v>
      </x:c>
      <x:c r="F211" s="28" t="n">
        <x:v>1</x:v>
      </x:c>
      <x:c r="G211" s="28" t="n">
        <x:v>1</x:v>
      </x:c>
      <x:c r="H211" s="28" t="n">
        <x:v>6</x:v>
      </x:c>
      <x:c r="I211" s="28" t="n">
        <x:v>14</x:v>
      </x:c>
      <x:c r="J211" s="28" t="n">
        <x:v>1</x:v>
      </x:c>
      <x:c r="K211" s="28" t="n">
        <x:v>5</x:v>
      </x:c>
      <x:c r="L211" s="28" t="n">
        <x:v>5</x:v>
      </x:c>
      <x:c r="M211" s="28" t="n">
        <x:v>2</x:v>
      </x:c>
      <x:c r="N211" s="28" t="n">
        <x:v>4</x:v>
      </x:c>
      <x:c r="O211" s="28" t="n">
        <x:v>0</x:v>
      </x:c>
      <x:c r="P211" s="28" t="n">
        <x:v>1</x:v>
      </x:c>
      <x:c r="Q211" s="24" t="n">
        <x:f>IFERROR(J211/H211,0)</x:f>
        <x:v>0.16666666666666666</x:v>
      </x:c>
      <x:c r="R211" s="24" t="n">
        <x:f>IFERROR(F211/H211,0)</x:f>
        <x:v>0.16666666666666666</x:v>
      </x:c>
      <x:c r="S211" s="24" t="n">
        <x:f>IFERROR(F211/J211,0)</x:f>
        <x:v>1</x:v>
      </x:c>
      <x:c r="T211" s="28" t="n">
        <x:f>H211-I211</x:f>
        <x:v>-8</x:v>
      </x:c>
      <x:c r="U211" s="24" t="n">
        <x:f>IFERROR(J211/H211,0)-IFERROR(K211/I211,0)</x:f>
        <x:v>-0.1904761904761905</x:v>
      </x:c>
      <x:c r="V211" s="24" t="n">
        <x:f>IFERROR(F211/J211,0)-IFERROR(G211/K211,0)</x:f>
        <x:v>0.8</x:v>
      </x:c>
      <x:c r="W211" s="28" t="n">
        <x:f>L211-M211</x:f>
        <x:v>3</x:v>
      </x:c>
      <x:c r="X211" s="24" t="n">
        <x:f>IFERROR(K211/I211,0)</x:f>
        <x:v>0.35714285714285715</x:v>
      </x:c>
      <x:c r="Y211" s="24" t="n">
        <x:f>IFERROR(G211/I211,0)</x:f>
        <x:v>0.07142857142857142</x:v>
      </x:c>
      <x:c r="Z211" s="24" t="n">
        <x:f>IFERROR(G211/K211,0)</x:f>
        <x:v>0.2</x:v>
      </x:c>
      <x:c r="AA211" s="24" t="n">
        <x:f>IFERROR(F211/H211,0)-IFERROR(G211/I211,0)</x:f>
        <x:v>0.09523809523809523</x:v>
      </x:c>
      <x:c r="AB211" s="28" t="n">
        <x:f>J211-K211</x:f>
        <x:v>-4</x:v>
      </x:c>
      <x:c r="AC211" s="32" t="n">
        <x:f>F211-G211</x:f>
        <x:v>0</x:v>
      </x:c>
    </x:row>
    <x:row r="212">
      <x:c r="A212" s="4" t="str">
        <x:v>2021-22</x:v>
      </x:c>
      <x:c r="B212" s="20" t="n">
        <x:v>44506</x:v>
      </x:c>
      <x:c r="C212" s="4" t="str">
        <x:v>Norwich</x:v>
      </x:c>
      <x:c r="D212" s="4" t="str">
        <x:v>Brentford</x:v>
      </x:c>
      <x:c r="E212" s="4" t="str">
        <x:v>Away</x:v>
      </x:c>
      <x:c r="F212" s="28" t="n">
        <x:v>2</x:v>
      </x:c>
      <x:c r="G212" s="28" t="n">
        <x:v>1</x:v>
      </x:c>
      <x:c r="H212" s="28" t="n">
        <x:v>9</x:v>
      </x:c>
      <x:c r="I212" s="28" t="n">
        <x:v>19</x:v>
      </x:c>
      <x:c r="J212" s="28" t="n">
        <x:v>5</x:v>
      </x:c>
      <x:c r="K212" s="28" t="n">
        <x:v>7</x:v>
      </x:c>
      <x:c r="L212" s="28" t="n">
        <x:v>2</x:v>
      </x:c>
      <x:c r="M212" s="28" t="n">
        <x:v>6</x:v>
      </x:c>
      <x:c r="N212" s="28" t="n">
        <x:v>3</x:v>
      </x:c>
      <x:c r="O212" s="28" t="n">
        <x:v>0</x:v>
      </x:c>
      <x:c r="P212" s="28" t="n">
        <x:v>3</x:v>
      </x:c>
      <x:c r="Q212" s="24" t="n">
        <x:f>IFERROR(J212/H212,0)</x:f>
        <x:v>0.5555555555555556</x:v>
      </x:c>
      <x:c r="R212" s="24" t="n">
        <x:f>IFERROR(F212/H212,0)</x:f>
        <x:v>0.2222222222222222</x:v>
      </x:c>
      <x:c r="S212" s="24" t="n">
        <x:f>IFERROR(F212/J212,0)</x:f>
        <x:v>0.4</x:v>
      </x:c>
      <x:c r="T212" s="28" t="n">
        <x:f>H212-I212</x:f>
        <x:v>-10</x:v>
      </x:c>
      <x:c r="U212" s="24" t="n">
        <x:f>IFERROR(J212/H212,0)-IFERROR(K212/I212,0)</x:f>
        <x:v>0.18713450292397665</x:v>
      </x:c>
      <x:c r="V212" s="24" t="n">
        <x:f>IFERROR(F212/J212,0)-IFERROR(G212/K212,0)</x:f>
        <x:v>0.2571428571428572</x:v>
      </x:c>
      <x:c r="W212" s="28" t="n">
        <x:f>L212-M212</x:f>
        <x:v>-4</x:v>
      </x:c>
      <x:c r="X212" s="24" t="n">
        <x:f>IFERROR(K212/I212,0)</x:f>
        <x:v>0.3684210526315789</x:v>
      </x:c>
      <x:c r="Y212" s="24" t="n">
        <x:f>IFERROR(G212/I212,0)</x:f>
        <x:v>0.05263157894736842</x:v>
      </x:c>
      <x:c r="Z212" s="24" t="n">
        <x:f>IFERROR(G212/K212,0)</x:f>
        <x:v>0.14285714285714285</x:v>
      </x:c>
      <x:c r="AA212" s="24" t="n">
        <x:f>IFERROR(F212/H212,0)-IFERROR(G212/I212,0)</x:f>
        <x:v>0.1695906432748538</x:v>
      </x:c>
      <x:c r="AB212" s="28" t="n">
        <x:f>J212-K212</x:f>
        <x:v>-2</x:v>
      </x:c>
      <x:c r="AC212" s="32" t="n">
        <x:f>F212-G212</x:f>
        <x:v>1</x:v>
      </x:c>
    </x:row>
    <x:row r="213">
      <x:c r="A213" s="4" t="str">
        <x:v>2021-22</x:v>
      </x:c>
      <x:c r="B213" s="20" t="n">
        <x:v>44506</x:v>
      </x:c>
      <x:c r="C213" s="4" t="str">
        <x:v>Wolves</x:v>
      </x:c>
      <x:c r="D213" s="4" t="str">
        <x:v>Crystal Palace</x:v>
      </x:c>
      <x:c r="E213" s="4" t="str">
        <x:v>Away</x:v>
      </x:c>
      <x:c r="F213" s="28" t="n">
        <x:v>0</x:v>
      </x:c>
      <x:c r="G213" s="28" t="n">
        <x:v>2</x:v>
      </x:c>
      <x:c r="H213" s="28" t="n">
        <x:v>4</x:v>
      </x:c>
      <x:c r="I213" s="28" t="n">
        <x:v>13</x:v>
      </x:c>
      <x:c r="J213" s="28" t="n">
        <x:v>2</x:v>
      </x:c>
      <x:c r="K213" s="28" t="n">
        <x:v>6</x:v>
      </x:c>
      <x:c r="L213" s="28" t="n">
        <x:v>6</x:v>
      </x:c>
      <x:c r="M213" s="28" t="n">
        <x:v>4</x:v>
      </x:c>
      <x:c r="N213" s="28" t="n">
        <x:v>1</x:v>
      </x:c>
      <x:c r="O213" s="28" t="n">
        <x:v>0</x:v>
      </x:c>
      <x:c r="P213" s="28" t="n">
        <x:v>0</x:v>
      </x:c>
      <x:c r="Q213" s="24" t="n">
        <x:f>IFERROR(J213/H213,0)</x:f>
        <x:v>0.5</x:v>
      </x:c>
      <x:c r="R213" s="24" t="n">
        <x:f>IFERROR(F213/H213,0)</x:f>
        <x:v>0</x:v>
      </x:c>
      <x:c r="S213" s="24" t="n">
        <x:f>IFERROR(F213/J213,0)</x:f>
        <x:v>0</x:v>
      </x:c>
      <x:c r="T213" s="28" t="n">
        <x:f>H213-I213</x:f>
        <x:v>-9</x:v>
      </x:c>
      <x:c r="U213" s="24" t="n">
        <x:f>IFERROR(J213/H213,0)-IFERROR(K213/I213,0)</x:f>
        <x:v>0.038461538461538436</x:v>
      </x:c>
      <x:c r="V213" s="24" t="n">
        <x:f>IFERROR(F213/J213,0)-IFERROR(G213/K213,0)</x:f>
        <x:v>-0.3333333333333333</x:v>
      </x:c>
      <x:c r="W213" s="28" t="n">
        <x:f>L213-M213</x:f>
        <x:v>2</x:v>
      </x:c>
      <x:c r="X213" s="24" t="n">
        <x:f>IFERROR(K213/I213,0)</x:f>
        <x:v>0.46153846153846156</x:v>
      </x:c>
      <x:c r="Y213" s="24" t="n">
        <x:f>IFERROR(G213/I213,0)</x:f>
        <x:v>0.15384615384615385</x:v>
      </x:c>
      <x:c r="Z213" s="24" t="n">
        <x:f>IFERROR(G213/K213,0)</x:f>
        <x:v>0.3333333333333333</x:v>
      </x:c>
      <x:c r="AA213" s="24" t="n">
        <x:f>IFERROR(F213/H213,0)-IFERROR(G213/I213,0)</x:f>
        <x:v>-0.15384615384615385</x:v>
      </x:c>
      <x:c r="AB213" s="28" t="n">
        <x:f>J213-K213</x:f>
        <x:v>-4</x:v>
      </x:c>
      <x:c r="AC213" s="32" t="n">
        <x:f>F213-G213</x:f>
        <x:v>-2</x:v>
      </x:c>
    </x:row>
    <x:row r="214">
      <x:c r="A214" s="4" t="str">
        <x:v>2021-22</x:v>
      </x:c>
      <x:c r="B214" s="20" t="n">
        <x:v>44507</x:v>
      </x:c>
      <x:c r="C214" s="4" t="str">
        <x:v>Arsenal</x:v>
      </x:c>
      <x:c r="D214" s="4" t="str">
        <x:v>Watford</x:v>
      </x:c>
      <x:c r="E214" s="4" t="str">
        <x:v>Home</x:v>
      </x:c>
      <x:c r="F214" s="28" t="n">
        <x:v>1</x:v>
      </x:c>
      <x:c r="G214" s="28" t="n">
        <x:v>0</x:v>
      </x:c>
      <x:c r="H214" s="28" t="n">
        <x:v>14</x:v>
      </x:c>
      <x:c r="I214" s="28" t="n">
        <x:v>7</x:v>
      </x:c>
      <x:c r="J214" s="28" t="n">
        <x:v>6</x:v>
      </x:c>
      <x:c r="K214" s="28" t="n">
        <x:v>1</x:v>
      </x:c>
      <x:c r="L214" s="28" t="n">
        <x:v>4</x:v>
      </x:c>
      <x:c r="M214" s="28" t="n">
        <x:v>2</x:v>
      </x:c>
      <x:c r="N214" s="28" t="n">
        <x:v>4</x:v>
      </x:c>
      <x:c r="O214" s="28" t="n">
        <x:v>0</x:v>
      </x:c>
      <x:c r="P214" s="28" t="n">
        <x:v>3</x:v>
      </x:c>
      <x:c r="Q214" s="24" t="n">
        <x:f>IFERROR(J214/H214,0)</x:f>
        <x:v>0.42857142857142855</x:v>
      </x:c>
      <x:c r="R214" s="24" t="n">
        <x:f>IFERROR(F214/H214,0)</x:f>
        <x:v>0.07142857142857142</x:v>
      </x:c>
      <x:c r="S214" s="24" t="n">
        <x:f>IFERROR(F214/J214,0)</x:f>
        <x:v>0.16666666666666666</x:v>
      </x:c>
      <x:c r="T214" s="28" t="n">
        <x:f>H214-I214</x:f>
        <x:v>7</x:v>
      </x:c>
      <x:c r="U214" s="24" t="n">
        <x:f>IFERROR(J214/H214,0)-IFERROR(K214/I214,0)</x:f>
        <x:v>0.2857142857142857</x:v>
      </x:c>
      <x:c r="V214" s="24" t="n">
        <x:f>IFERROR(F214/J214,0)-IFERROR(G214/K214,0)</x:f>
        <x:v>0.16666666666666666</x:v>
      </x:c>
      <x:c r="W214" s="28" t="n">
        <x:f>L214-M214</x:f>
        <x:v>2</x:v>
      </x:c>
      <x:c r="X214" s="24" t="n">
        <x:f>IFERROR(K214/I214,0)</x:f>
        <x:v>0.14285714285714285</x:v>
      </x:c>
      <x:c r="Y214" s="24" t="n">
        <x:f>IFERROR(G214/I214,0)</x:f>
        <x:v>0</x:v>
      </x:c>
      <x:c r="Z214" s="24" t="n">
        <x:f>IFERROR(G214/K214,0)</x:f>
        <x:v>0</x:v>
      </x:c>
      <x:c r="AA214" s="24" t="n">
        <x:f>IFERROR(F214/H214,0)-IFERROR(G214/I214,0)</x:f>
        <x:v>0.07142857142857142</x:v>
      </x:c>
      <x:c r="AB214" s="28" t="n">
        <x:f>J214-K214</x:f>
        <x:v>5</x:v>
      </x:c>
      <x:c r="AC214" s="32" t="n">
        <x:f>F214-G214</x:f>
        <x:v>1</x:v>
      </x:c>
    </x:row>
    <x:row r="215">
      <x:c r="A215" s="4" t="str">
        <x:v>2021-22</x:v>
      </x:c>
      <x:c r="B215" s="20" t="n">
        <x:v>44507</x:v>
      </x:c>
      <x:c r="C215" s="4" t="str">
        <x:v>Everton</x:v>
      </x:c>
      <x:c r="D215" s="4" t="str">
        <x:v>Tottenham</x:v>
      </x:c>
      <x:c r="E215" s="4" t="str">
        <x:v>Home</x:v>
      </x:c>
      <x:c r="F215" s="28" t="n">
        <x:v>0</x:v>
      </x:c>
      <x:c r="G215" s="28" t="n">
        <x:v>0</x:v>
      </x:c>
      <x:c r="H215" s="28" t="n">
        <x:v>12</x:v>
      </x:c>
      <x:c r="I215" s="28" t="n">
        <x:v>8</x:v>
      </x:c>
      <x:c r="J215" s="28" t="n">
        <x:v>2</x:v>
      </x:c>
      <x:c r="K215" s="28" t="n">
        <x:v>0</x:v>
      </x:c>
      <x:c r="L215" s="28" t="n">
        <x:v>4</x:v>
      </x:c>
      <x:c r="M215" s="28" t="n">
        <x:v>2</x:v>
      </x:c>
      <x:c r="N215" s="28" t="n">
        <x:v>2</x:v>
      </x:c>
      <x:c r="O215" s="28" t="n">
        <x:v>1</x:v>
      </x:c>
      <x:c r="P215" s="28" t="n">
        <x:v>1</x:v>
      </x:c>
      <x:c r="Q215" s="24" t="n">
        <x:f>IFERROR(J215/H215,0)</x:f>
        <x:v>0.16666666666666666</x:v>
      </x:c>
      <x:c r="R215" s="24" t="n">
        <x:f>IFERROR(F215/H215,0)</x:f>
        <x:v>0</x:v>
      </x:c>
      <x:c r="S215" s="24" t="n">
        <x:f>IFERROR(F215/J215,0)</x:f>
        <x:v>0</x:v>
      </x:c>
      <x:c r="T215" s="28" t="n">
        <x:f>H215-I215</x:f>
        <x:v>4</x:v>
      </x:c>
      <x:c r="U215" s="24" t="n">
        <x:f>IFERROR(J215/H215,0)-IFERROR(K215/I215,0)</x:f>
        <x:v>0.16666666666666666</x:v>
      </x:c>
      <x:c r="V215" s="24" t="n">
        <x:f>IFERROR(F215/J215,0)-IFERROR(G215/K215,0)</x:f>
        <x:v>0</x:v>
      </x:c>
      <x:c r="W215" s="28" t="n">
        <x:f>L215-M215</x:f>
        <x:v>2</x:v>
      </x:c>
      <x:c r="X215" s="24" t="n">
        <x:f>IFERROR(K215/I215,0)</x:f>
        <x:v>0</x:v>
      </x:c>
      <x:c r="Y215" s="24" t="n">
        <x:f>IFERROR(G215/I215,0)</x:f>
        <x:v>0</x:v>
      </x:c>
      <x:c r="Z215" s="24" t="n">
        <x:f>IFERROR(G215/K215,0)</x:f>
        <x:v>0</x:v>
      </x:c>
      <x:c r="AA215" s="24" t="n">
        <x:f>IFERROR(F215/H215,0)-IFERROR(G215/I215,0)</x:f>
        <x:v>0</x:v>
      </x:c>
      <x:c r="AB215" s="28" t="n">
        <x:f>J215-K215</x:f>
        <x:v>2</x:v>
      </x:c>
      <x:c r="AC215" s="32" t="n">
        <x:f>F215-G215</x:f>
        <x:v>0</x:v>
      </x:c>
    </x:row>
    <x:row r="216">
      <x:c r="A216" s="4" t="str">
        <x:v>2021-22</x:v>
      </x:c>
      <x:c r="B216" s="20" t="n">
        <x:v>44507</x:v>
      </x:c>
      <x:c r="C216" s="4" t="str">
        <x:v>Leeds</x:v>
      </x:c>
      <x:c r="D216" s="4" t="str">
        <x:v>Leicester</x:v>
      </x:c>
      <x:c r="E216" s="4" t="str">
        <x:v>Home</x:v>
      </x:c>
      <x:c r="F216" s="28" t="n">
        <x:v>1</x:v>
      </x:c>
      <x:c r="G216" s="28" t="n">
        <x:v>1</x:v>
      </x:c>
      <x:c r="H216" s="28" t="n">
        <x:v>18</x:v>
      </x:c>
      <x:c r="I216" s="28" t="n">
        <x:v>9</x:v>
      </x:c>
      <x:c r="J216" s="28" t="n">
        <x:v>5</x:v>
      </x:c>
      <x:c r="K216" s="28" t="n">
        <x:v>3</x:v>
      </x:c>
      <x:c r="L216" s="28" t="n">
        <x:v>10</x:v>
      </x:c>
      <x:c r="M216" s="28" t="n">
        <x:v>5</x:v>
      </x:c>
      <x:c r="N216" s="28" t="n">
        <x:v>1</x:v>
      </x:c>
      <x:c r="O216" s="28" t="n">
        <x:v>0</x:v>
      </x:c>
      <x:c r="P216" s="28" t="n">
        <x:v>1</x:v>
      </x:c>
      <x:c r="Q216" s="24" t="n">
        <x:f>IFERROR(J216/H216,0)</x:f>
        <x:v>0.2777777777777778</x:v>
      </x:c>
      <x:c r="R216" s="24" t="n">
        <x:f>IFERROR(F216/H216,0)</x:f>
        <x:v>0.05555555555555555</x:v>
      </x:c>
      <x:c r="S216" s="24" t="n">
        <x:f>IFERROR(F216/J216,0)</x:f>
        <x:v>0.2</x:v>
      </x:c>
      <x:c r="T216" s="28" t="n">
        <x:f>H216-I216</x:f>
        <x:v>9</x:v>
      </x:c>
      <x:c r="U216" s="24" t="n">
        <x:f>IFERROR(J216/H216,0)-IFERROR(K216/I216,0)</x:f>
        <x:v>-0.055555555555555525</x:v>
      </x:c>
      <x:c r="V216" s="24" t="n">
        <x:f>IFERROR(F216/J216,0)-IFERROR(G216/K216,0)</x:f>
        <x:v>-0.1333333333333333</x:v>
      </x:c>
      <x:c r="W216" s="28" t="n">
        <x:f>L216-M216</x:f>
        <x:v>5</x:v>
      </x:c>
      <x:c r="X216" s="24" t="n">
        <x:f>IFERROR(K216/I216,0)</x:f>
        <x:v>0.3333333333333333</x:v>
      </x:c>
      <x:c r="Y216" s="24" t="n">
        <x:f>IFERROR(G216/I216,0)</x:f>
        <x:v>0.1111111111111111</x:v>
      </x:c>
      <x:c r="Z216" s="24" t="n">
        <x:f>IFERROR(G216/K216,0)</x:f>
        <x:v>0.3333333333333333</x:v>
      </x:c>
      <x:c r="AA216" s="24" t="n">
        <x:f>IFERROR(F216/H216,0)-IFERROR(G216/I216,0)</x:f>
        <x:v>-0.05555555555555555</x:v>
      </x:c>
      <x:c r="AB216" s="28" t="n">
        <x:f>J216-K216</x:f>
        <x:v>2</x:v>
      </x:c>
      <x:c r="AC216" s="32" t="n">
        <x:f>F216-G216</x:f>
        <x:v>0</x:v>
      </x:c>
    </x:row>
    <x:row r="217">
      <x:c r="A217" s="4" t="str">
        <x:v>2021-22</x:v>
      </x:c>
      <x:c r="B217" s="20" t="n">
        <x:v>44507</x:v>
      </x:c>
      <x:c r="C217" s="4" t="str">
        <x:v>Leicester</x:v>
      </x:c>
      <x:c r="D217" s="4" t="str">
        <x:v>Leeds</x:v>
      </x:c>
      <x:c r="E217" s="4" t="str">
        <x:v>Away</x:v>
      </x:c>
      <x:c r="F217" s="28" t="n">
        <x:v>1</x:v>
      </x:c>
      <x:c r="G217" s="28" t="n">
        <x:v>1</x:v>
      </x:c>
      <x:c r="H217" s="28" t="n">
        <x:v>9</x:v>
      </x:c>
      <x:c r="I217" s="28" t="n">
        <x:v>18</x:v>
      </x:c>
      <x:c r="J217" s="28" t="n">
        <x:v>3</x:v>
      </x:c>
      <x:c r="K217" s="28" t="n">
        <x:v>5</x:v>
      </x:c>
      <x:c r="L217" s="28" t="n">
        <x:v>5</x:v>
      </x:c>
      <x:c r="M217" s="28" t="n">
        <x:v>10</x:v>
      </x:c>
      <x:c r="N217" s="28" t="n">
        <x:v>1</x:v>
      </x:c>
      <x:c r="O217" s="28" t="n">
        <x:v>0</x:v>
      </x:c>
      <x:c r="P217" s="28" t="n">
        <x:v>1</x:v>
      </x:c>
      <x:c r="Q217" s="24" t="n">
        <x:f>IFERROR(J217/H217,0)</x:f>
        <x:v>0.3333333333333333</x:v>
      </x:c>
      <x:c r="R217" s="24" t="n">
        <x:f>IFERROR(F217/H217,0)</x:f>
        <x:v>0.1111111111111111</x:v>
      </x:c>
      <x:c r="S217" s="24" t="n">
        <x:f>IFERROR(F217/J217,0)</x:f>
        <x:v>0.3333333333333333</x:v>
      </x:c>
      <x:c r="T217" s="28" t="n">
        <x:f>H217-I217</x:f>
        <x:v>-9</x:v>
      </x:c>
      <x:c r="U217" s="24" t="n">
        <x:f>IFERROR(J217/H217,0)-IFERROR(K217/I217,0)</x:f>
        <x:v>0.055555555555555525</x:v>
      </x:c>
      <x:c r="V217" s="24" t="n">
        <x:f>IFERROR(F217/J217,0)-IFERROR(G217/K217,0)</x:f>
        <x:v>0.1333333333333333</x:v>
      </x:c>
      <x:c r="W217" s="28" t="n">
        <x:f>L217-M217</x:f>
        <x:v>-5</x:v>
      </x:c>
      <x:c r="X217" s="24" t="n">
        <x:f>IFERROR(K217/I217,0)</x:f>
        <x:v>0.2777777777777778</x:v>
      </x:c>
      <x:c r="Y217" s="24" t="n">
        <x:f>IFERROR(G217/I217,0)</x:f>
        <x:v>0.05555555555555555</x:v>
      </x:c>
      <x:c r="Z217" s="24" t="n">
        <x:f>IFERROR(G217/K217,0)</x:f>
        <x:v>0.2</x:v>
      </x:c>
      <x:c r="AA217" s="24" t="n">
        <x:f>IFERROR(F217/H217,0)-IFERROR(G217/I217,0)</x:f>
        <x:v>0.05555555555555555</x:v>
      </x:c>
      <x:c r="AB217" s="28" t="n">
        <x:f>J217-K217</x:f>
        <x:v>-2</x:v>
      </x:c>
      <x:c r="AC217" s="32" t="n">
        <x:f>F217-G217</x:f>
        <x:v>0</x:v>
      </x:c>
    </x:row>
    <x:row r="218">
      <x:c r="A218" s="4" t="str">
        <x:v>2021-22</x:v>
      </x:c>
      <x:c r="B218" s="20" t="n">
        <x:v>44507</x:v>
      </x:c>
      <x:c r="C218" s="4" t="str">
        <x:v>Liverpool</x:v>
      </x:c>
      <x:c r="D218" s="4" t="str">
        <x:v>West Ham</x:v>
      </x:c>
      <x:c r="E218" s="4" t="str">
        <x:v>Away</x:v>
      </x:c>
      <x:c r="F218" s="28" t="n">
        <x:v>2</x:v>
      </x:c>
      <x:c r="G218" s="28" t="n">
        <x:v>3</x:v>
      </x:c>
      <x:c r="H218" s="28" t="n">
        <x:v>16</x:v>
      </x:c>
      <x:c r="I218" s="28" t="n">
        <x:v>7</x:v>
      </x:c>
      <x:c r="J218" s="28" t="n">
        <x:v>5</x:v>
      </x:c>
      <x:c r="K218" s="28" t="n">
        <x:v>3</x:v>
      </x:c>
      <x:c r="L218" s="28" t="n">
        <x:v>2</x:v>
      </x:c>
      <x:c r="M218" s="28" t="n">
        <x:v>3</x:v>
      </x:c>
      <x:c r="N218" s="28" t="n">
        <x:v>1</x:v>
      </x:c>
      <x:c r="O218" s="28" t="n">
        <x:v>0</x:v>
      </x:c>
      <x:c r="P218" s="28" t="n">
        <x:v>0</x:v>
      </x:c>
      <x:c r="Q218" s="24" t="n">
        <x:f>IFERROR(J218/H218,0)</x:f>
        <x:v>0.3125</x:v>
      </x:c>
      <x:c r="R218" s="24" t="n">
        <x:f>IFERROR(F218/H218,0)</x:f>
        <x:v>0.125</x:v>
      </x:c>
      <x:c r="S218" s="24" t="n">
        <x:f>IFERROR(F218/J218,0)</x:f>
        <x:v>0.4</x:v>
      </x:c>
      <x:c r="T218" s="28" t="n">
        <x:f>H218-I218</x:f>
        <x:v>9</x:v>
      </x:c>
      <x:c r="U218" s="24" t="n">
        <x:f>IFERROR(J218/H218,0)-IFERROR(K218/I218,0)</x:f>
        <x:v>-0.11607142857142855</x:v>
      </x:c>
      <x:c r="V218" s="24" t="n">
        <x:f>IFERROR(F218/J218,0)-IFERROR(G218/K218,0)</x:f>
        <x:v>-0.6</x:v>
      </x:c>
      <x:c r="W218" s="28" t="n">
        <x:f>L218-M218</x:f>
        <x:v>-1</x:v>
      </x:c>
      <x:c r="X218" s="24" t="n">
        <x:f>IFERROR(K218/I218,0)</x:f>
        <x:v>0.42857142857142855</x:v>
      </x:c>
      <x:c r="Y218" s="24" t="n">
        <x:f>IFERROR(G218/I218,0)</x:f>
        <x:v>0.42857142857142855</x:v>
      </x:c>
      <x:c r="Z218" s="24" t="n">
        <x:f>IFERROR(G218/K218,0)</x:f>
        <x:v>1</x:v>
      </x:c>
      <x:c r="AA218" s="24" t="n">
        <x:f>IFERROR(F218/H218,0)-IFERROR(G218/I218,0)</x:f>
        <x:v>-0.30357142857142855</x:v>
      </x:c>
      <x:c r="AB218" s="28" t="n">
        <x:f>J218-K218</x:f>
        <x:v>2</x:v>
      </x:c>
      <x:c r="AC218" s="32" t="n">
        <x:f>F218-G218</x:f>
        <x:v>-1</x:v>
      </x:c>
    </x:row>
    <x:row r="219">
      <x:c r="A219" s="4" t="str">
        <x:v>2021-22</x:v>
      </x:c>
      <x:c r="B219" s="20" t="n">
        <x:v>44507</x:v>
      </x:c>
      <x:c r="C219" s="4" t="str">
        <x:v>Tottenham</x:v>
      </x:c>
      <x:c r="D219" s="4" t="str">
        <x:v>Everton</x:v>
      </x:c>
      <x:c r="E219" s="4" t="str">
        <x:v>Away</x:v>
      </x:c>
      <x:c r="F219" s="28" t="n">
        <x:v>0</x:v>
      </x:c>
      <x:c r="G219" s="28" t="n">
        <x:v>0</x:v>
      </x:c>
      <x:c r="H219" s="28" t="n">
        <x:v>8</x:v>
      </x:c>
      <x:c r="I219" s="28" t="n">
        <x:v>12</x:v>
      </x:c>
      <x:c r="J219" s="28" t="n">
        <x:v>0</x:v>
      </x:c>
      <x:c r="K219" s="28" t="n">
        <x:v>2</x:v>
      </x:c>
      <x:c r="L219" s="28" t="n">
        <x:v>2</x:v>
      </x:c>
      <x:c r="M219" s="28" t="n">
        <x:v>4</x:v>
      </x:c>
      <x:c r="N219" s="28" t="n">
        <x:v>4</x:v>
      </x:c>
      <x:c r="O219" s="28" t="n">
        <x:v>0</x:v>
      </x:c>
      <x:c r="P219" s="28" t="n">
        <x:v>1</x:v>
      </x:c>
      <x:c r="Q219" s="24" t="n">
        <x:f>IFERROR(J219/H219,0)</x:f>
        <x:v>0</x:v>
      </x:c>
      <x:c r="R219" s="24" t="n">
        <x:f>IFERROR(F219/H219,0)</x:f>
        <x:v>0</x:v>
      </x:c>
      <x:c r="S219" s="24" t="n">
        <x:f>IFERROR(F219/J219,0)</x:f>
        <x:v>0</x:v>
      </x:c>
      <x:c r="T219" s="28" t="n">
        <x:f>H219-I219</x:f>
        <x:v>-4</x:v>
      </x:c>
      <x:c r="U219" s="24" t="n">
        <x:f>IFERROR(J219/H219,0)-IFERROR(K219/I219,0)</x:f>
        <x:v>-0.16666666666666666</x:v>
      </x:c>
      <x:c r="V219" s="24" t="n">
        <x:f>IFERROR(F219/J219,0)-IFERROR(G219/K219,0)</x:f>
        <x:v>0</x:v>
      </x:c>
      <x:c r="W219" s="28" t="n">
        <x:f>L219-M219</x:f>
        <x:v>-2</x:v>
      </x:c>
      <x:c r="X219" s="24" t="n">
        <x:f>IFERROR(K219/I219,0)</x:f>
        <x:v>0.16666666666666666</x:v>
      </x:c>
      <x:c r="Y219" s="24" t="n">
        <x:f>IFERROR(G219/I219,0)</x:f>
        <x:v>0</x:v>
      </x:c>
      <x:c r="Z219" s="24" t="n">
        <x:f>IFERROR(G219/K219,0)</x:f>
        <x:v>0</x:v>
      </x:c>
      <x:c r="AA219" s="24" t="n">
        <x:f>IFERROR(F219/H219,0)-IFERROR(G219/I219,0)</x:f>
        <x:v>0</x:v>
      </x:c>
      <x:c r="AB219" s="28" t="n">
        <x:f>J219-K219</x:f>
        <x:v>-2</x:v>
      </x:c>
      <x:c r="AC219" s="32" t="n">
        <x:f>F219-G219</x:f>
        <x:v>0</x:v>
      </x:c>
    </x:row>
    <x:row r="220">
      <x:c r="A220" s="4" t="str">
        <x:v>2021-22</x:v>
      </x:c>
      <x:c r="B220" s="20" t="n">
        <x:v>44507</x:v>
      </x:c>
      <x:c r="C220" s="4" t="str">
        <x:v>Watford</x:v>
      </x:c>
      <x:c r="D220" s="4" t="str">
        <x:v>Arsenal</x:v>
      </x:c>
      <x:c r="E220" s="4" t="str">
        <x:v>Away</x:v>
      </x:c>
      <x:c r="F220" s="28" t="n">
        <x:v>0</x:v>
      </x:c>
      <x:c r="G220" s="28" t="n">
        <x:v>1</x:v>
      </x:c>
      <x:c r="H220" s="28" t="n">
        <x:v>7</x:v>
      </x:c>
      <x:c r="I220" s="28" t="n">
        <x:v>14</x:v>
      </x:c>
      <x:c r="J220" s="28" t="n">
        <x:v>1</x:v>
      </x:c>
      <x:c r="K220" s="28" t="n">
        <x:v>6</x:v>
      </x:c>
      <x:c r="L220" s="28" t="n">
        <x:v>2</x:v>
      </x:c>
      <x:c r="M220" s="28" t="n">
        <x:v>4</x:v>
      </x:c>
      <x:c r="N220" s="28" t="n">
        <x:v>2</x:v>
      </x:c>
      <x:c r="O220" s="28" t="n">
        <x:v>1</x:v>
      </x:c>
      <x:c r="P220" s="28" t="n">
        <x:v>0</x:v>
      </x:c>
      <x:c r="Q220" s="24" t="n">
        <x:f>IFERROR(J220/H220,0)</x:f>
        <x:v>0.14285714285714285</x:v>
      </x:c>
      <x:c r="R220" s="24" t="n">
        <x:f>IFERROR(F220/H220,0)</x:f>
        <x:v>0</x:v>
      </x:c>
      <x:c r="S220" s="24" t="n">
        <x:f>IFERROR(F220/J220,0)</x:f>
        <x:v>0</x:v>
      </x:c>
      <x:c r="T220" s="28" t="n">
        <x:f>H220-I220</x:f>
        <x:v>-7</x:v>
      </x:c>
      <x:c r="U220" s="24" t="n">
        <x:f>IFERROR(J220/H220,0)-IFERROR(K220/I220,0)</x:f>
        <x:v>-0.2857142857142857</x:v>
      </x:c>
      <x:c r="V220" s="24" t="n">
        <x:f>IFERROR(F220/J220,0)-IFERROR(G220/K220,0)</x:f>
        <x:v>-0.16666666666666666</x:v>
      </x:c>
      <x:c r="W220" s="28" t="n">
        <x:f>L220-M220</x:f>
        <x:v>-2</x:v>
      </x:c>
      <x:c r="X220" s="24" t="n">
        <x:f>IFERROR(K220/I220,0)</x:f>
        <x:v>0.42857142857142855</x:v>
      </x:c>
      <x:c r="Y220" s="24" t="n">
        <x:f>IFERROR(G220/I220,0)</x:f>
        <x:v>0.07142857142857142</x:v>
      </x:c>
      <x:c r="Z220" s="24" t="n">
        <x:f>IFERROR(G220/K220,0)</x:f>
        <x:v>0.16666666666666666</x:v>
      </x:c>
      <x:c r="AA220" s="24" t="n">
        <x:f>IFERROR(F220/H220,0)-IFERROR(G220/I220,0)</x:f>
        <x:v>-0.07142857142857142</x:v>
      </x:c>
      <x:c r="AB220" s="28" t="n">
        <x:f>J220-K220</x:f>
        <x:v>-5</x:v>
      </x:c>
      <x:c r="AC220" s="32" t="n">
        <x:f>F220-G220</x:f>
        <x:v>-1</x:v>
      </x:c>
    </x:row>
    <x:row r="221">
      <x:c r="A221" s="4" t="str">
        <x:v>2021-22</x:v>
      </x:c>
      <x:c r="B221" s="20" t="n">
        <x:v>44507</x:v>
      </x:c>
      <x:c r="C221" s="4" t="str">
        <x:v>West Ham</x:v>
      </x:c>
      <x:c r="D221" s="4" t="str">
        <x:v>Liverpool</x:v>
      </x:c>
      <x:c r="E221" s="4" t="str">
        <x:v>Home</x:v>
      </x:c>
      <x:c r="F221" s="28" t="n">
        <x:v>3</x:v>
      </x:c>
      <x:c r="G221" s="28" t="n">
        <x:v>2</x:v>
      </x:c>
      <x:c r="H221" s="28" t="n">
        <x:v>7</x:v>
      </x:c>
      <x:c r="I221" s="28" t="n">
        <x:v>16</x:v>
      </x:c>
      <x:c r="J221" s="28" t="n">
        <x:v>3</x:v>
      </x:c>
      <x:c r="K221" s="28" t="n">
        <x:v>5</x:v>
      </x:c>
      <x:c r="L221" s="28" t="n">
        <x:v>3</x:v>
      </x:c>
      <x:c r="M221" s="28" t="n">
        <x:v>2</x:v>
      </x:c>
      <x:c r="N221" s="28" t="n">
        <x:v>1</x:v>
      </x:c>
      <x:c r="O221" s="28" t="n">
        <x:v>0</x:v>
      </x:c>
      <x:c r="P221" s="28" t="n">
        <x:v>3</x:v>
      </x:c>
      <x:c r="Q221" s="24" t="n">
        <x:f>IFERROR(J221/H221,0)</x:f>
        <x:v>0.42857142857142855</x:v>
      </x:c>
      <x:c r="R221" s="24" t="n">
        <x:f>IFERROR(F221/H221,0)</x:f>
        <x:v>0.42857142857142855</x:v>
      </x:c>
      <x:c r="S221" s="24" t="n">
        <x:f>IFERROR(F221/J221,0)</x:f>
        <x:v>1</x:v>
      </x:c>
      <x:c r="T221" s="28" t="n">
        <x:f>H221-I221</x:f>
        <x:v>-9</x:v>
      </x:c>
      <x:c r="U221" s="24" t="n">
        <x:f>IFERROR(J221/H221,0)-IFERROR(K221/I221,0)</x:f>
        <x:v>0.11607142857142855</x:v>
      </x:c>
      <x:c r="V221" s="24" t="n">
        <x:f>IFERROR(F221/J221,0)-IFERROR(G221/K221,0)</x:f>
        <x:v>0.6</x:v>
      </x:c>
      <x:c r="W221" s="28" t="n">
        <x:f>L221-M221</x:f>
        <x:v>1</x:v>
      </x:c>
      <x:c r="X221" s="24" t="n">
        <x:f>IFERROR(K221/I221,0)</x:f>
        <x:v>0.3125</x:v>
      </x:c>
      <x:c r="Y221" s="24" t="n">
        <x:f>IFERROR(G221/I221,0)</x:f>
        <x:v>0.125</x:v>
      </x:c>
      <x:c r="Z221" s="24" t="n">
        <x:f>IFERROR(G221/K221,0)</x:f>
        <x:v>0.4</x:v>
      </x:c>
      <x:c r="AA221" s="24" t="n">
        <x:f>IFERROR(F221/H221,0)-IFERROR(G221/I221,0)</x:f>
        <x:v>0.30357142857142855</x:v>
      </x:c>
      <x:c r="AB221" s="28" t="n">
        <x:f>J221-K221</x:f>
        <x:v>-2</x:v>
      </x:c>
      <x:c r="AC221" s="32" t="n">
        <x:f>F221-G221</x:f>
        <x:v>1</x:v>
      </x:c>
    </x:row>
    <x:row r="222">
      <x:c r="A222" s="4" t="str">
        <x:v>2021-22</x:v>
      </x:c>
      <x:c r="B222" s="20" t="n">
        <x:v>44520</x:v>
      </x:c>
      <x:c r="C222" s="4" t="str">
        <x:v>Arsenal</x:v>
      </x:c>
      <x:c r="D222" s="4" t="str">
        <x:v>Liverpool</x:v>
      </x:c>
      <x:c r="E222" s="4" t="str">
        <x:v>Away</x:v>
      </x:c>
      <x:c r="F222" s="28" t="n">
        <x:v>0</x:v>
      </x:c>
      <x:c r="G222" s="28" t="n">
        <x:v>4</x:v>
      </x:c>
      <x:c r="H222" s="28" t="n">
        <x:v>5</x:v>
      </x:c>
      <x:c r="I222" s="28" t="n">
        <x:v>19</x:v>
      </x:c>
      <x:c r="J222" s="28" t="n">
        <x:v>3</x:v>
      </x:c>
      <x:c r="K222" s="28" t="n">
        <x:v>9</x:v>
      </x:c>
      <x:c r="L222" s="28" t="n">
        <x:v>1</x:v>
      </x:c>
      <x:c r="M222" s="28" t="n">
        <x:v>6</x:v>
      </x:c>
      <x:c r="N222" s="28" t="n">
        <x:v>0</x:v>
      </x:c>
      <x:c r="O222" s="28" t="n">
        <x:v>0</x:v>
      </x:c>
      <x:c r="P222" s="28" t="n">
        <x:v>0</x:v>
      </x:c>
      <x:c r="Q222" s="24" t="n">
        <x:f>IFERROR(J222/H222,0)</x:f>
        <x:v>0.6</x:v>
      </x:c>
      <x:c r="R222" s="24" t="n">
        <x:f>IFERROR(F222/H222,0)</x:f>
        <x:v>0</x:v>
      </x:c>
      <x:c r="S222" s="24" t="n">
        <x:f>IFERROR(F222/J222,0)</x:f>
        <x:v>0</x:v>
      </x:c>
      <x:c r="T222" s="28" t="n">
        <x:f>H222-I222</x:f>
        <x:v>-14</x:v>
      </x:c>
      <x:c r="U222" s="24" t="n">
        <x:f>IFERROR(J222/H222,0)-IFERROR(K222/I222,0)</x:f>
        <x:v>0.12631578947368421</x:v>
      </x:c>
      <x:c r="V222" s="24" t="n">
        <x:f>IFERROR(F222/J222,0)-IFERROR(G222/K222,0)</x:f>
        <x:v>-0.4444444444444444</x:v>
      </x:c>
      <x:c r="W222" s="28" t="n">
        <x:f>L222-M222</x:f>
        <x:v>-5</x:v>
      </x:c>
      <x:c r="X222" s="24" t="n">
        <x:f>IFERROR(K222/I222,0)</x:f>
        <x:v>0.47368421052631576</x:v>
      </x:c>
      <x:c r="Y222" s="24" t="n">
        <x:f>IFERROR(G222/I222,0)</x:f>
        <x:v>0.21052631578947367</x:v>
      </x:c>
      <x:c r="Z222" s="24" t="n">
        <x:f>IFERROR(G222/K222,0)</x:f>
        <x:v>0.4444444444444444</x:v>
      </x:c>
      <x:c r="AA222" s="24" t="n">
        <x:f>IFERROR(F222/H222,0)-IFERROR(G222/I222,0)</x:f>
        <x:v>-0.21052631578947367</x:v>
      </x:c>
      <x:c r="AB222" s="28" t="n">
        <x:f>J222-K222</x:f>
        <x:v>-6</x:v>
      </x:c>
      <x:c r="AC222" s="32" t="n">
        <x:f>F222-G222</x:f>
        <x:v>-4</x:v>
      </x:c>
    </x:row>
    <x:row r="223">
      <x:c r="A223" s="4" t="str">
        <x:v>2021-22</x:v>
      </x:c>
      <x:c r="B223" s="20" t="n">
        <x:v>44520</x:v>
      </x:c>
      <x:c r="C223" s="4" t="str">
        <x:v>Aston Villa</x:v>
      </x:c>
      <x:c r="D223" s="4" t="str">
        <x:v>Brighton</x:v>
      </x:c>
      <x:c r="E223" s="4" t="str">
        <x:v>Home</x:v>
      </x:c>
      <x:c r="F223" s="28" t="n">
        <x:v>2</x:v>
      </x:c>
      <x:c r="G223" s="28" t="n">
        <x:v>0</x:v>
      </x:c>
      <x:c r="H223" s="28" t="n">
        <x:v>9</x:v>
      </x:c>
      <x:c r="I223" s="28" t="n">
        <x:v>6</x:v>
      </x:c>
      <x:c r="J223" s="28" t="n">
        <x:v>5</x:v>
      </x:c>
      <x:c r="K223" s="28" t="n">
        <x:v>2</x:v>
      </x:c>
      <x:c r="L223" s="28" t="n">
        <x:v>5</x:v>
      </x:c>
      <x:c r="M223" s="28" t="n">
        <x:v>7</x:v>
      </x:c>
      <x:c r="N223" s="28" t="n">
        <x:v>3</x:v>
      </x:c>
      <x:c r="O223" s="28" t="n">
        <x:v>0</x:v>
      </x:c>
      <x:c r="P223" s="28" t="n">
        <x:v>3</x:v>
      </x:c>
      <x:c r="Q223" s="24" t="n">
        <x:f>IFERROR(J223/H223,0)</x:f>
        <x:v>0.5555555555555556</x:v>
      </x:c>
      <x:c r="R223" s="24" t="n">
        <x:f>IFERROR(F223/H223,0)</x:f>
        <x:v>0.2222222222222222</x:v>
      </x:c>
      <x:c r="S223" s="24" t="n">
        <x:f>IFERROR(F223/J223,0)</x:f>
        <x:v>0.4</x:v>
      </x:c>
      <x:c r="T223" s="28" t="n">
        <x:f>H223-I223</x:f>
        <x:v>3</x:v>
      </x:c>
      <x:c r="U223" s="24" t="n">
        <x:f>IFERROR(J223/H223,0)-IFERROR(K223/I223,0)</x:f>
        <x:v>0.22222222222222227</x:v>
      </x:c>
      <x:c r="V223" s="24" t="n">
        <x:f>IFERROR(F223/J223,0)-IFERROR(G223/K223,0)</x:f>
        <x:v>0.4</x:v>
      </x:c>
      <x:c r="W223" s="28" t="n">
        <x:f>L223-M223</x:f>
        <x:v>-2</x:v>
      </x:c>
      <x:c r="X223" s="24" t="n">
        <x:f>IFERROR(K223/I223,0)</x:f>
        <x:v>0.3333333333333333</x:v>
      </x:c>
      <x:c r="Y223" s="24" t="n">
        <x:f>IFERROR(G223/I223,0)</x:f>
        <x:v>0</x:v>
      </x:c>
      <x:c r="Z223" s="24" t="n">
        <x:f>IFERROR(G223/K223,0)</x:f>
        <x:v>0</x:v>
      </x:c>
      <x:c r="AA223" s="24" t="n">
        <x:f>IFERROR(F223/H223,0)-IFERROR(G223/I223,0)</x:f>
        <x:v>0.2222222222222222</x:v>
      </x:c>
      <x:c r="AB223" s="28" t="n">
        <x:f>J223-K223</x:f>
        <x:v>3</x:v>
      </x:c>
      <x:c r="AC223" s="32" t="n">
        <x:f>F223-G223</x:f>
        <x:v>2</x:v>
      </x:c>
    </x:row>
    <x:row r="224">
      <x:c r="A224" s="4" t="str">
        <x:v>2021-22</x:v>
      </x:c>
      <x:c r="B224" s="20" t="n">
        <x:v>44520</x:v>
      </x:c>
      <x:c r="C224" s="4" t="str">
        <x:v>Brentford</x:v>
      </x:c>
      <x:c r="D224" s="4" t="str">
        <x:v>Newcastle</x:v>
      </x:c>
      <x:c r="E224" s="4" t="str">
        <x:v>Away</x:v>
      </x:c>
      <x:c r="F224" s="28" t="n">
        <x:v>3</x:v>
      </x:c>
      <x:c r="G224" s="28" t="n">
        <x:v>3</x:v>
      </x:c>
      <x:c r="H224" s="28" t="n">
        <x:v>10</x:v>
      </x:c>
      <x:c r="I224" s="28" t="n">
        <x:v>23</x:v>
      </x:c>
      <x:c r="J224" s="28" t="n">
        <x:v>4</x:v>
      </x:c>
      <x:c r="K224" s="28" t="n">
        <x:v>9</x:v>
      </x:c>
      <x:c r="L224" s="28" t="n">
        <x:v>2</x:v>
      </x:c>
      <x:c r="M224" s="28" t="n">
        <x:v>8</x:v>
      </x:c>
      <x:c r="N224" s="28" t="n">
        <x:v>2</x:v>
      </x:c>
      <x:c r="O224" s="28" t="n">
        <x:v>0</x:v>
      </x:c>
      <x:c r="P224" s="28" t="n">
        <x:v>1</x:v>
      </x:c>
      <x:c r="Q224" s="24" t="n">
        <x:f>IFERROR(J224/H224,0)</x:f>
        <x:v>0.4</x:v>
      </x:c>
      <x:c r="R224" s="24" t="n">
        <x:f>IFERROR(F224/H224,0)</x:f>
        <x:v>0.3</x:v>
      </x:c>
      <x:c r="S224" s="24" t="n">
        <x:f>IFERROR(F224/J224,0)</x:f>
        <x:v>0.75</x:v>
      </x:c>
      <x:c r="T224" s="28" t="n">
        <x:f>H224-I224</x:f>
        <x:v>-13</x:v>
      </x:c>
      <x:c r="U224" s="24" t="n">
        <x:f>IFERROR(J224/H224,0)-IFERROR(K224/I224,0)</x:f>
        <x:v>0.008695652173913049</x:v>
      </x:c>
      <x:c r="V224" s="24" t="n">
        <x:f>IFERROR(F224/J224,0)-IFERROR(G224/K224,0)</x:f>
        <x:v>0.4166666666666667</x:v>
      </x:c>
      <x:c r="W224" s="28" t="n">
        <x:f>L224-M224</x:f>
        <x:v>-6</x:v>
      </x:c>
      <x:c r="X224" s="24" t="n">
        <x:f>IFERROR(K224/I224,0)</x:f>
        <x:v>0.391304347826087</x:v>
      </x:c>
      <x:c r="Y224" s="24" t="n">
        <x:f>IFERROR(G224/I224,0)</x:f>
        <x:v>0.13043478260869565</x:v>
      </x:c>
      <x:c r="Z224" s="24" t="n">
        <x:f>IFERROR(G224/K224,0)</x:f>
        <x:v>0.3333333333333333</x:v>
      </x:c>
      <x:c r="AA224" s="24" t="n">
        <x:f>IFERROR(F224/H224,0)-IFERROR(G224/I224,0)</x:f>
        <x:v>0.16956521739130434</x:v>
      </x:c>
      <x:c r="AB224" s="28" t="n">
        <x:f>J224-K224</x:f>
        <x:v>-5</x:v>
      </x:c>
      <x:c r="AC224" s="32" t="n">
        <x:f>F224-G224</x:f>
        <x:v>0</x:v>
      </x:c>
    </x:row>
    <x:row r="225">
      <x:c r="A225" s="4" t="str">
        <x:v>2021-22</x:v>
      </x:c>
      <x:c r="B225" s="20" t="n">
        <x:v>44520</x:v>
      </x:c>
      <x:c r="C225" s="4" t="str">
        <x:v>Brighton</x:v>
      </x:c>
      <x:c r="D225" s="4" t="str">
        <x:v>Aston Villa</x:v>
      </x:c>
      <x:c r="E225" s="4" t="str">
        <x:v>Away</x:v>
      </x:c>
      <x:c r="F225" s="28" t="n">
        <x:v>0</x:v>
      </x:c>
      <x:c r="G225" s="28" t="n">
        <x:v>2</x:v>
      </x:c>
      <x:c r="H225" s="28" t="n">
        <x:v>6</x:v>
      </x:c>
      <x:c r="I225" s="28" t="n">
        <x:v>9</x:v>
      </x:c>
      <x:c r="J225" s="28" t="n">
        <x:v>2</x:v>
      </x:c>
      <x:c r="K225" s="28" t="n">
        <x:v>5</x:v>
      </x:c>
      <x:c r="L225" s="28" t="n">
        <x:v>7</x:v>
      </x:c>
      <x:c r="M225" s="28" t="n">
        <x:v>5</x:v>
      </x:c>
      <x:c r="N225" s="28" t="n">
        <x:v>3</x:v>
      </x:c>
      <x:c r="O225" s="28" t="n">
        <x:v>0</x:v>
      </x:c>
      <x:c r="P225" s="28" t="n">
        <x:v>0</x:v>
      </x:c>
      <x:c r="Q225" s="24" t="n">
        <x:f>IFERROR(J225/H225,0)</x:f>
        <x:v>0.3333333333333333</x:v>
      </x:c>
      <x:c r="R225" s="24" t="n">
        <x:f>IFERROR(F225/H225,0)</x:f>
        <x:v>0</x:v>
      </x:c>
      <x:c r="S225" s="24" t="n">
        <x:f>IFERROR(F225/J225,0)</x:f>
        <x:v>0</x:v>
      </x:c>
      <x:c r="T225" s="28" t="n">
        <x:f>H225-I225</x:f>
        <x:v>-3</x:v>
      </x:c>
      <x:c r="U225" s="24" t="n">
        <x:f>IFERROR(J225/H225,0)-IFERROR(K225/I225,0)</x:f>
        <x:v>-0.22222222222222227</x:v>
      </x:c>
      <x:c r="V225" s="24" t="n">
        <x:f>IFERROR(F225/J225,0)-IFERROR(G225/K225,0)</x:f>
        <x:v>-0.4</x:v>
      </x:c>
      <x:c r="W225" s="28" t="n">
        <x:f>L225-M225</x:f>
        <x:v>2</x:v>
      </x:c>
      <x:c r="X225" s="24" t="n">
        <x:f>IFERROR(K225/I225,0)</x:f>
        <x:v>0.5555555555555556</x:v>
      </x:c>
      <x:c r="Y225" s="24" t="n">
        <x:f>IFERROR(G225/I225,0)</x:f>
        <x:v>0.2222222222222222</x:v>
      </x:c>
      <x:c r="Z225" s="24" t="n">
        <x:f>IFERROR(G225/K225,0)</x:f>
        <x:v>0.4</x:v>
      </x:c>
      <x:c r="AA225" s="24" t="n">
        <x:f>IFERROR(F225/H225,0)-IFERROR(G225/I225,0)</x:f>
        <x:v>-0.2222222222222222</x:v>
      </x:c>
      <x:c r="AB225" s="28" t="n">
        <x:f>J225-K225</x:f>
        <x:v>-3</x:v>
      </x:c>
      <x:c r="AC225" s="32" t="n">
        <x:f>F225-G225</x:f>
        <x:v>-2</x:v>
      </x:c>
    </x:row>
    <x:row r="226">
      <x:c r="A226" s="4" t="str">
        <x:v>2021-22</x:v>
      </x:c>
      <x:c r="B226" s="20" t="n">
        <x:v>44520</x:v>
      </x:c>
      <x:c r="C226" s="4" t="str">
        <x:v>Burnley</x:v>
      </x:c>
      <x:c r="D226" s="4" t="str">
        <x:v>Crystal Palace</x:v>
      </x:c>
      <x:c r="E226" s="4" t="str">
        <x:v>Home</x:v>
      </x:c>
      <x:c r="F226" s="28" t="n">
        <x:v>3</x:v>
      </x:c>
      <x:c r="G226" s="28" t="n">
        <x:v>3</x:v>
      </x:c>
      <x:c r="H226" s="28" t="n">
        <x:v>15</x:v>
      </x:c>
      <x:c r="I226" s="28" t="n">
        <x:v>18</x:v>
      </x:c>
      <x:c r="J226" s="28" t="n">
        <x:v>9</x:v>
      </x:c>
      <x:c r="K226" s="28" t="n">
        <x:v>8</x:v>
      </x:c>
      <x:c r="L226" s="28" t="n">
        <x:v>3</x:v>
      </x:c>
      <x:c r="M226" s="28" t="n">
        <x:v>6</x:v>
      </x:c>
      <x:c r="N226" s="28" t="n">
        <x:v>2</x:v>
      </x:c>
      <x:c r="O226" s="28" t="n">
        <x:v>0</x:v>
      </x:c>
      <x:c r="P226" s="28" t="n">
        <x:v>1</x:v>
      </x:c>
      <x:c r="Q226" s="24" t="n">
        <x:f>IFERROR(J226/H226,0)</x:f>
        <x:v>0.6</x:v>
      </x:c>
      <x:c r="R226" s="24" t="n">
        <x:f>IFERROR(F226/H226,0)</x:f>
        <x:v>0.2</x:v>
      </x:c>
      <x:c r="S226" s="24" t="n">
        <x:f>IFERROR(F226/J226,0)</x:f>
        <x:v>0.3333333333333333</x:v>
      </x:c>
      <x:c r="T226" s="28" t="n">
        <x:f>H226-I226</x:f>
        <x:v>-3</x:v>
      </x:c>
      <x:c r="U226" s="24" t="n">
        <x:f>IFERROR(J226/H226,0)-IFERROR(K226/I226,0)</x:f>
        <x:v>0.15555555555555556</x:v>
      </x:c>
      <x:c r="V226" s="24" t="n">
        <x:f>IFERROR(F226/J226,0)-IFERROR(G226/K226,0)</x:f>
        <x:v>-0.041666666666666685</x:v>
      </x:c>
      <x:c r="W226" s="28" t="n">
        <x:f>L226-M226</x:f>
        <x:v>-3</x:v>
      </x:c>
      <x:c r="X226" s="24" t="n">
        <x:f>IFERROR(K226/I226,0)</x:f>
        <x:v>0.4444444444444444</x:v>
      </x:c>
      <x:c r="Y226" s="24" t="n">
        <x:f>IFERROR(G226/I226,0)</x:f>
        <x:v>0.16666666666666666</x:v>
      </x:c>
      <x:c r="Z226" s="24" t="n">
        <x:f>IFERROR(G226/K226,0)</x:f>
        <x:v>0.375</x:v>
      </x:c>
      <x:c r="AA226" s="24" t="n">
        <x:f>IFERROR(F226/H226,0)-IFERROR(G226/I226,0)</x:f>
        <x:v>0.033333333333333354</x:v>
      </x:c>
      <x:c r="AB226" s="28" t="n">
        <x:f>J226-K226</x:f>
        <x:v>1</x:v>
      </x:c>
      <x:c r="AC226" s="32" t="n">
        <x:f>F226-G226</x:f>
        <x:v>0</x:v>
      </x:c>
    </x:row>
    <x:row r="227">
      <x:c r="A227" s="4" t="str">
        <x:v>2021-22</x:v>
      </x:c>
      <x:c r="B227" s="20" t="n">
        <x:v>44520</x:v>
      </x:c>
      <x:c r="C227" s="4" t="str">
        <x:v>Chelsea</x:v>
      </x:c>
      <x:c r="D227" s="4" t="str">
        <x:v>Leicester</x:v>
      </x:c>
      <x:c r="E227" s="4" t="str">
        <x:v>Away</x:v>
      </x:c>
      <x:c r="F227" s="28" t="n">
        <x:v>3</x:v>
      </x:c>
      <x:c r="G227" s="28" t="n">
        <x:v>0</x:v>
      </x:c>
      <x:c r="H227" s="28" t="n">
        <x:v>16</x:v>
      </x:c>
      <x:c r="I227" s="28" t="n">
        <x:v>4</x:v>
      </x:c>
      <x:c r="J227" s="28" t="n">
        <x:v>7</x:v>
      </x:c>
      <x:c r="K227" s="28" t="n">
        <x:v>3</x:v>
      </x:c>
      <x:c r="L227" s="28" t="n">
        <x:v>5</x:v>
      </x:c>
      <x:c r="M227" s="28" t="n">
        <x:v>3</x:v>
      </x:c>
      <x:c r="N227" s="28" t="n">
        <x:v>1</x:v>
      </x:c>
      <x:c r="O227" s="28" t="n">
        <x:v>0</x:v>
      </x:c>
      <x:c r="P227" s="28" t="n">
        <x:v>3</x:v>
      </x:c>
      <x:c r="Q227" s="24" t="n">
        <x:f>IFERROR(J227/H227,0)</x:f>
        <x:v>0.4375</x:v>
      </x:c>
      <x:c r="R227" s="24" t="n">
        <x:f>IFERROR(F227/H227,0)</x:f>
        <x:v>0.1875</x:v>
      </x:c>
      <x:c r="S227" s="24" t="n">
        <x:f>IFERROR(F227/J227,0)</x:f>
        <x:v>0.42857142857142855</x:v>
      </x:c>
      <x:c r="T227" s="28" t="n">
        <x:f>H227-I227</x:f>
        <x:v>12</x:v>
      </x:c>
      <x:c r="U227" s="24" t="n">
        <x:f>IFERROR(J227/H227,0)-IFERROR(K227/I227,0)</x:f>
        <x:v>-0.3125</x:v>
      </x:c>
      <x:c r="V227" s="24" t="n">
        <x:f>IFERROR(F227/J227,0)-IFERROR(G227/K227,0)</x:f>
        <x:v>0.42857142857142855</x:v>
      </x:c>
      <x:c r="W227" s="28" t="n">
        <x:f>L227-M227</x:f>
        <x:v>2</x:v>
      </x:c>
      <x:c r="X227" s="24" t="n">
        <x:f>IFERROR(K227/I227,0)</x:f>
        <x:v>0.75</x:v>
      </x:c>
      <x:c r="Y227" s="24" t="n">
        <x:f>IFERROR(G227/I227,0)</x:f>
        <x:v>0</x:v>
      </x:c>
      <x:c r="Z227" s="24" t="n">
        <x:f>IFERROR(G227/K227,0)</x:f>
        <x:v>0</x:v>
      </x:c>
      <x:c r="AA227" s="24" t="n">
        <x:f>IFERROR(F227/H227,0)-IFERROR(G227/I227,0)</x:f>
        <x:v>0.1875</x:v>
      </x:c>
      <x:c r="AB227" s="28" t="n">
        <x:f>J227-K227</x:f>
        <x:v>4</x:v>
      </x:c>
      <x:c r="AC227" s="32" t="n">
        <x:f>F227-G227</x:f>
        <x:v>3</x:v>
      </x:c>
    </x:row>
    <x:row r="228">
      <x:c r="A228" s="4" t="str">
        <x:v>2021-22</x:v>
      </x:c>
      <x:c r="B228" s="20" t="n">
        <x:v>44520</x:v>
      </x:c>
      <x:c r="C228" s="4" t="str">
        <x:v>Crystal Palace</x:v>
      </x:c>
      <x:c r="D228" s="4" t="str">
        <x:v>Burnley</x:v>
      </x:c>
      <x:c r="E228" s="4" t="str">
        <x:v>Away</x:v>
      </x:c>
      <x:c r="F228" s="28" t="n">
        <x:v>3</x:v>
      </x:c>
      <x:c r="G228" s="28" t="n">
        <x:v>3</x:v>
      </x:c>
      <x:c r="H228" s="28" t="n">
        <x:v>18</x:v>
      </x:c>
      <x:c r="I228" s="28" t="n">
        <x:v>15</x:v>
      </x:c>
      <x:c r="J228" s="28" t="n">
        <x:v>8</x:v>
      </x:c>
      <x:c r="K228" s="28" t="n">
        <x:v>9</x:v>
      </x:c>
      <x:c r="L228" s="28" t="n">
        <x:v>6</x:v>
      </x:c>
      <x:c r="M228" s="28" t="n">
        <x:v>3</x:v>
      </x:c>
      <x:c r="N228" s="28" t="n">
        <x:v>3</x:v>
      </x:c>
      <x:c r="O228" s="28" t="n">
        <x:v>0</x:v>
      </x:c>
      <x:c r="P228" s="28" t="n">
        <x:v>1</x:v>
      </x:c>
      <x:c r="Q228" s="24" t="n">
        <x:f>IFERROR(J228/H228,0)</x:f>
        <x:v>0.4444444444444444</x:v>
      </x:c>
      <x:c r="R228" s="24" t="n">
        <x:f>IFERROR(F228/H228,0)</x:f>
        <x:v>0.16666666666666666</x:v>
      </x:c>
      <x:c r="S228" s="24" t="n">
        <x:f>IFERROR(F228/J228,0)</x:f>
        <x:v>0.375</x:v>
      </x:c>
      <x:c r="T228" s="28" t="n">
        <x:f>H228-I228</x:f>
        <x:v>3</x:v>
      </x:c>
      <x:c r="U228" s="24" t="n">
        <x:f>IFERROR(J228/H228,0)-IFERROR(K228/I228,0)</x:f>
        <x:v>-0.15555555555555556</x:v>
      </x:c>
      <x:c r="V228" s="24" t="n">
        <x:f>IFERROR(F228/J228,0)-IFERROR(G228/K228,0)</x:f>
        <x:v>0.041666666666666685</x:v>
      </x:c>
      <x:c r="W228" s="28" t="n">
        <x:f>L228-M228</x:f>
        <x:v>3</x:v>
      </x:c>
      <x:c r="X228" s="24" t="n">
        <x:f>IFERROR(K228/I228,0)</x:f>
        <x:v>0.6</x:v>
      </x:c>
      <x:c r="Y228" s="24" t="n">
        <x:f>IFERROR(G228/I228,0)</x:f>
        <x:v>0.2</x:v>
      </x:c>
      <x:c r="Z228" s="24" t="n">
        <x:f>IFERROR(G228/K228,0)</x:f>
        <x:v>0.3333333333333333</x:v>
      </x:c>
      <x:c r="AA228" s="24" t="n">
        <x:f>IFERROR(F228/H228,0)-IFERROR(G228/I228,0)</x:f>
        <x:v>-0.033333333333333354</x:v>
      </x:c>
      <x:c r="AB228" s="28" t="n">
        <x:f>J228-K228</x:f>
        <x:v>-1</x:v>
      </x:c>
      <x:c r="AC228" s="32" t="n">
        <x:f>F228-G228</x:f>
        <x:v>0</x:v>
      </x:c>
    </x:row>
    <x:row r="229">
      <x:c r="A229" s="4" t="str">
        <x:v>2021-22</x:v>
      </x:c>
      <x:c r="B229" s="20" t="n">
        <x:v>44520</x:v>
      </x:c>
      <x:c r="C229" s="4" t="str">
        <x:v>Leicester</x:v>
      </x:c>
      <x:c r="D229" s="4" t="str">
        <x:v>Chelsea</x:v>
      </x:c>
      <x:c r="E229" s="4" t="str">
        <x:v>Home</x:v>
      </x:c>
      <x:c r="F229" s="28" t="n">
        <x:v>0</x:v>
      </x:c>
      <x:c r="G229" s="28" t="n">
        <x:v>3</x:v>
      </x:c>
      <x:c r="H229" s="28" t="n">
        <x:v>4</x:v>
      </x:c>
      <x:c r="I229" s="28" t="n">
        <x:v>16</x:v>
      </x:c>
      <x:c r="J229" s="28" t="n">
        <x:v>3</x:v>
      </x:c>
      <x:c r="K229" s="28" t="n">
        <x:v>7</x:v>
      </x:c>
      <x:c r="L229" s="28" t="n">
        <x:v>3</x:v>
      </x:c>
      <x:c r="M229" s="28" t="n">
        <x:v>5</x:v>
      </x:c>
      <x:c r="N229" s="28" t="n">
        <x:v>3</x:v>
      </x:c>
      <x:c r="O229" s="28" t="n">
        <x:v>0</x:v>
      </x:c>
      <x:c r="P229" s="28" t="n">
        <x:v>0</x:v>
      </x:c>
      <x:c r="Q229" s="24" t="n">
        <x:f>IFERROR(J229/H229,0)</x:f>
        <x:v>0.75</x:v>
      </x:c>
      <x:c r="R229" s="24" t="n">
        <x:f>IFERROR(F229/H229,0)</x:f>
        <x:v>0</x:v>
      </x:c>
      <x:c r="S229" s="24" t="n">
        <x:f>IFERROR(F229/J229,0)</x:f>
        <x:v>0</x:v>
      </x:c>
      <x:c r="T229" s="28" t="n">
        <x:f>H229-I229</x:f>
        <x:v>-12</x:v>
      </x:c>
      <x:c r="U229" s="24" t="n">
        <x:f>IFERROR(J229/H229,0)-IFERROR(K229/I229,0)</x:f>
        <x:v>0.3125</x:v>
      </x:c>
      <x:c r="V229" s="24" t="n">
        <x:f>IFERROR(F229/J229,0)-IFERROR(G229/K229,0)</x:f>
        <x:v>-0.42857142857142855</x:v>
      </x:c>
      <x:c r="W229" s="28" t="n">
        <x:f>L229-M229</x:f>
        <x:v>-2</x:v>
      </x:c>
      <x:c r="X229" s="24" t="n">
        <x:f>IFERROR(K229/I229,0)</x:f>
        <x:v>0.4375</x:v>
      </x:c>
      <x:c r="Y229" s="24" t="n">
        <x:f>IFERROR(G229/I229,0)</x:f>
        <x:v>0.1875</x:v>
      </x:c>
      <x:c r="Z229" s="24" t="n">
        <x:f>IFERROR(G229/K229,0)</x:f>
        <x:v>0.42857142857142855</x:v>
      </x:c>
      <x:c r="AA229" s="24" t="n">
        <x:f>IFERROR(F229/H229,0)-IFERROR(G229/I229,0)</x:f>
        <x:v>-0.1875</x:v>
      </x:c>
      <x:c r="AB229" s="28" t="n">
        <x:f>J229-K229</x:f>
        <x:v>-4</x:v>
      </x:c>
      <x:c r="AC229" s="32" t="n">
        <x:f>F229-G229</x:f>
        <x:v>-3</x:v>
      </x:c>
    </x:row>
    <x:row r="230">
      <x:c r="A230" s="4" t="str">
        <x:v>2021-22</x:v>
      </x:c>
      <x:c r="B230" s="20" t="n">
        <x:v>44520</x:v>
      </x:c>
      <x:c r="C230" s="4" t="str">
        <x:v>Liverpool</x:v>
      </x:c>
      <x:c r="D230" s="4" t="str">
        <x:v>Arsenal</x:v>
      </x:c>
      <x:c r="E230" s="4" t="str">
        <x:v>Home</x:v>
      </x:c>
      <x:c r="F230" s="28" t="n">
        <x:v>4</x:v>
      </x:c>
      <x:c r="G230" s="28" t="n">
        <x:v>0</x:v>
      </x:c>
      <x:c r="H230" s="28" t="n">
        <x:v>19</x:v>
      </x:c>
      <x:c r="I230" s="28" t="n">
        <x:v>5</x:v>
      </x:c>
      <x:c r="J230" s="28" t="n">
        <x:v>9</x:v>
      </x:c>
      <x:c r="K230" s="28" t="n">
        <x:v>3</x:v>
      </x:c>
      <x:c r="L230" s="28" t="n">
        <x:v>6</x:v>
      </x:c>
      <x:c r="M230" s="28" t="n">
        <x:v>1</x:v>
      </x:c>
      <x:c r="N230" s="28" t="n">
        <x:v>2</x:v>
      </x:c>
      <x:c r="O230" s="28" t="n">
        <x:v>0</x:v>
      </x:c>
      <x:c r="P230" s="28" t="n">
        <x:v>3</x:v>
      </x:c>
      <x:c r="Q230" s="24" t="n">
        <x:f>IFERROR(J230/H230,0)</x:f>
        <x:v>0.47368421052631576</x:v>
      </x:c>
      <x:c r="R230" s="24" t="n">
        <x:f>IFERROR(F230/H230,0)</x:f>
        <x:v>0.21052631578947367</x:v>
      </x:c>
      <x:c r="S230" s="24" t="n">
        <x:f>IFERROR(F230/J230,0)</x:f>
        <x:v>0.4444444444444444</x:v>
      </x:c>
      <x:c r="T230" s="28" t="n">
        <x:f>H230-I230</x:f>
        <x:v>14</x:v>
      </x:c>
      <x:c r="U230" s="24" t="n">
        <x:f>IFERROR(J230/H230,0)-IFERROR(K230/I230,0)</x:f>
        <x:v>-0.12631578947368421</x:v>
      </x:c>
      <x:c r="V230" s="24" t="n">
        <x:f>IFERROR(F230/J230,0)-IFERROR(G230/K230,0)</x:f>
        <x:v>0.4444444444444444</x:v>
      </x:c>
      <x:c r="W230" s="28" t="n">
        <x:f>L230-M230</x:f>
        <x:v>5</x:v>
      </x:c>
      <x:c r="X230" s="24" t="n">
        <x:f>IFERROR(K230/I230,0)</x:f>
        <x:v>0.6</x:v>
      </x:c>
      <x:c r="Y230" s="24" t="n">
        <x:f>IFERROR(G230/I230,0)</x:f>
        <x:v>0</x:v>
      </x:c>
      <x:c r="Z230" s="24" t="n">
        <x:f>IFERROR(G230/K230,0)</x:f>
        <x:v>0</x:v>
      </x:c>
      <x:c r="AA230" s="24" t="n">
        <x:f>IFERROR(F230/H230,0)-IFERROR(G230/I230,0)</x:f>
        <x:v>0.21052631578947367</x:v>
      </x:c>
      <x:c r="AB230" s="28" t="n">
        <x:f>J230-K230</x:f>
        <x:v>6</x:v>
      </x:c>
      <x:c r="AC230" s="32" t="n">
        <x:f>F230-G230</x:f>
        <x:v>4</x:v>
      </x:c>
    </x:row>
    <x:row r="231">
      <x:c r="A231" s="4" t="str">
        <x:v>2021-22</x:v>
      </x:c>
      <x:c r="B231" s="20" t="n">
        <x:v>44520</x:v>
      </x:c>
      <x:c r="C231" s="4" t="str">
        <x:v>Man United</x:v>
      </x:c>
      <x:c r="D231" s="4" t="str">
        <x:v>Watford</x:v>
      </x:c>
      <x:c r="E231" s="4" t="str">
        <x:v>Away</x:v>
      </x:c>
      <x:c r="F231" s="28" t="n">
        <x:v>1</x:v>
      </x:c>
      <x:c r="G231" s="28" t="n">
        <x:v>4</x:v>
      </x:c>
      <x:c r="H231" s="28" t="n">
        <x:v>9</x:v>
      </x:c>
      <x:c r="I231" s="28" t="n">
        <x:v>20</x:v>
      </x:c>
      <x:c r="J231" s="28" t="n">
        <x:v>3</x:v>
      </x:c>
      <x:c r="K231" s="28" t="n">
        <x:v>7</x:v>
      </x:c>
      <x:c r="L231" s="28" t="n">
        <x:v>3</x:v>
      </x:c>
      <x:c r="M231" s="28" t="n">
        <x:v>9</x:v>
      </x:c>
      <x:c r="N231" s="28" t="n">
        <x:v>1</x:v>
      </x:c>
      <x:c r="O231" s="28" t="n">
        <x:v>1</x:v>
      </x:c>
      <x:c r="P231" s="28" t="n">
        <x:v>0</x:v>
      </x:c>
      <x:c r="Q231" s="24" t="n">
        <x:f>IFERROR(J231/H231,0)</x:f>
        <x:v>0.3333333333333333</x:v>
      </x:c>
      <x:c r="R231" s="24" t="n">
        <x:f>IFERROR(F231/H231,0)</x:f>
        <x:v>0.1111111111111111</x:v>
      </x:c>
      <x:c r="S231" s="24" t="n">
        <x:f>IFERROR(F231/J231,0)</x:f>
        <x:v>0.3333333333333333</x:v>
      </x:c>
      <x:c r="T231" s="28" t="n">
        <x:f>H231-I231</x:f>
        <x:v>-11</x:v>
      </x:c>
      <x:c r="U231" s="24" t="n">
        <x:f>IFERROR(J231/H231,0)-IFERROR(K231/I231,0)</x:f>
        <x:v>-0.016666666666666663</x:v>
      </x:c>
      <x:c r="V231" s="24" t="n">
        <x:f>IFERROR(F231/J231,0)-IFERROR(G231/K231,0)</x:f>
        <x:v>-0.23809523809523808</x:v>
      </x:c>
      <x:c r="W231" s="28" t="n">
        <x:f>L231-M231</x:f>
        <x:v>-6</x:v>
      </x:c>
      <x:c r="X231" s="24" t="n">
        <x:f>IFERROR(K231/I231,0)</x:f>
        <x:v>0.35</x:v>
      </x:c>
      <x:c r="Y231" s="24" t="n">
        <x:f>IFERROR(G231/I231,0)</x:f>
        <x:v>0.2</x:v>
      </x:c>
      <x:c r="Z231" s="24" t="n">
        <x:f>IFERROR(G231/K231,0)</x:f>
        <x:v>0.5714285714285714</x:v>
      </x:c>
      <x:c r="AA231" s="24" t="n">
        <x:f>IFERROR(F231/H231,0)-IFERROR(G231/I231,0)</x:f>
        <x:v>-0.0888888888888889</x:v>
      </x:c>
      <x:c r="AB231" s="28" t="n">
        <x:f>J231-K231</x:f>
        <x:v>-4</x:v>
      </x:c>
      <x:c r="AC231" s="32" t="n">
        <x:f>F231-G231</x:f>
        <x:v>-3</x:v>
      </x:c>
    </x:row>
    <x:row r="232">
      <x:c r="A232" s="4" t="str">
        <x:v>2021-22</x:v>
      </x:c>
      <x:c r="B232" s="20" t="n">
        <x:v>44520</x:v>
      </x:c>
      <x:c r="C232" s="4" t="str">
        <x:v>Newcastle</x:v>
      </x:c>
      <x:c r="D232" s="4" t="str">
        <x:v>Brentford</x:v>
      </x:c>
      <x:c r="E232" s="4" t="str">
        <x:v>Home</x:v>
      </x:c>
      <x:c r="F232" s="28" t="n">
        <x:v>3</x:v>
      </x:c>
      <x:c r="G232" s="28" t="n">
        <x:v>3</x:v>
      </x:c>
      <x:c r="H232" s="28" t="n">
        <x:v>23</x:v>
      </x:c>
      <x:c r="I232" s="28" t="n">
        <x:v>10</x:v>
      </x:c>
      <x:c r="J232" s="28" t="n">
        <x:v>9</x:v>
      </x:c>
      <x:c r="K232" s="28" t="n">
        <x:v>4</x:v>
      </x:c>
      <x:c r="L232" s="28" t="n">
        <x:v>8</x:v>
      </x:c>
      <x:c r="M232" s="28" t="n">
        <x:v>2</x:v>
      </x:c>
      <x:c r="N232" s="28" t="n">
        <x:v>2</x:v>
      </x:c>
      <x:c r="O232" s="28" t="n">
        <x:v>0</x:v>
      </x:c>
      <x:c r="P232" s="28" t="n">
        <x:v>1</x:v>
      </x:c>
      <x:c r="Q232" s="24" t="n">
        <x:f>IFERROR(J232/H232,0)</x:f>
        <x:v>0.391304347826087</x:v>
      </x:c>
      <x:c r="R232" s="24" t="n">
        <x:f>IFERROR(F232/H232,0)</x:f>
        <x:v>0.13043478260869565</x:v>
      </x:c>
      <x:c r="S232" s="24" t="n">
        <x:f>IFERROR(F232/J232,0)</x:f>
        <x:v>0.3333333333333333</x:v>
      </x:c>
      <x:c r="T232" s="28" t="n">
        <x:f>H232-I232</x:f>
        <x:v>13</x:v>
      </x:c>
      <x:c r="U232" s="24" t="n">
        <x:f>IFERROR(J232/H232,0)-IFERROR(K232/I232,0)</x:f>
        <x:v>-0.008695652173913049</x:v>
      </x:c>
      <x:c r="V232" s="24" t="n">
        <x:f>IFERROR(F232/J232,0)-IFERROR(G232/K232,0)</x:f>
        <x:v>-0.4166666666666667</x:v>
      </x:c>
      <x:c r="W232" s="28" t="n">
        <x:f>L232-M232</x:f>
        <x:v>6</x:v>
      </x:c>
      <x:c r="X232" s="24" t="n">
        <x:f>IFERROR(K232/I232,0)</x:f>
        <x:v>0.4</x:v>
      </x:c>
      <x:c r="Y232" s="24" t="n">
        <x:f>IFERROR(G232/I232,0)</x:f>
        <x:v>0.3</x:v>
      </x:c>
      <x:c r="Z232" s="24" t="n">
        <x:f>IFERROR(G232/K232,0)</x:f>
        <x:v>0.75</x:v>
      </x:c>
      <x:c r="AA232" s="24" t="n">
        <x:f>IFERROR(F232/H232,0)-IFERROR(G232/I232,0)</x:f>
        <x:v>-0.16956521739130434</x:v>
      </x:c>
      <x:c r="AB232" s="28" t="n">
        <x:f>J232-K232</x:f>
        <x:v>5</x:v>
      </x:c>
      <x:c r="AC232" s="32" t="n">
        <x:f>F232-G232</x:f>
        <x:v>0</x:v>
      </x:c>
    </x:row>
    <x:row r="233">
      <x:c r="A233" s="4" t="str">
        <x:v>2021-22</x:v>
      </x:c>
      <x:c r="B233" s="20" t="n">
        <x:v>44520</x:v>
      </x:c>
      <x:c r="C233" s="4" t="str">
        <x:v>Norwich</x:v>
      </x:c>
      <x:c r="D233" s="4" t="str">
        <x:v>Southampton</x:v>
      </x:c>
      <x:c r="E233" s="4" t="str">
        <x:v>Home</x:v>
      </x:c>
      <x:c r="F233" s="28" t="n">
        <x:v>2</x:v>
      </x:c>
      <x:c r="G233" s="28" t="n">
        <x:v>1</x:v>
      </x:c>
      <x:c r="H233" s="28" t="n">
        <x:v>8</x:v>
      </x:c>
      <x:c r="I233" s="28" t="n">
        <x:v>17</x:v>
      </x:c>
      <x:c r="J233" s="28" t="n">
        <x:v>4</x:v>
      </x:c>
      <x:c r="K233" s="28" t="n">
        <x:v>5</x:v>
      </x:c>
      <x:c r="L233" s="28" t="n">
        <x:v>5</x:v>
      </x:c>
      <x:c r="M233" s="28" t="n">
        <x:v>7</x:v>
      </x:c>
      <x:c r="N233" s="28" t="n">
        <x:v>3</x:v>
      </x:c>
      <x:c r="O233" s="28" t="n">
        <x:v>0</x:v>
      </x:c>
      <x:c r="P233" s="28" t="n">
        <x:v>3</x:v>
      </x:c>
      <x:c r="Q233" s="24" t="n">
        <x:f>IFERROR(J233/H233,0)</x:f>
        <x:v>0.5</x:v>
      </x:c>
      <x:c r="R233" s="24" t="n">
        <x:f>IFERROR(F233/H233,0)</x:f>
        <x:v>0.25</x:v>
      </x:c>
      <x:c r="S233" s="24" t="n">
        <x:f>IFERROR(F233/J233,0)</x:f>
        <x:v>0.5</x:v>
      </x:c>
      <x:c r="T233" s="28" t="n">
        <x:f>H233-I233</x:f>
        <x:v>-9</x:v>
      </x:c>
      <x:c r="U233" s="24" t="n">
        <x:f>IFERROR(J233/H233,0)-IFERROR(K233/I233,0)</x:f>
        <x:v>0.20588235294117646</x:v>
      </x:c>
      <x:c r="V233" s="24" t="n">
        <x:f>IFERROR(F233/J233,0)-IFERROR(G233/K233,0)</x:f>
        <x:v>0.3</x:v>
      </x:c>
      <x:c r="W233" s="28" t="n">
        <x:f>L233-M233</x:f>
        <x:v>-2</x:v>
      </x:c>
      <x:c r="X233" s="24" t="n">
        <x:f>IFERROR(K233/I233,0)</x:f>
        <x:v>0.29411764705882354</x:v>
      </x:c>
      <x:c r="Y233" s="24" t="n">
        <x:f>IFERROR(G233/I233,0)</x:f>
        <x:v>0.058823529411764705</x:v>
      </x:c>
      <x:c r="Z233" s="24" t="n">
        <x:f>IFERROR(G233/K233,0)</x:f>
        <x:v>0.2</x:v>
      </x:c>
      <x:c r="AA233" s="24" t="n">
        <x:f>IFERROR(F233/H233,0)-IFERROR(G233/I233,0)</x:f>
        <x:v>0.19117647058823528</x:v>
      </x:c>
      <x:c r="AB233" s="28" t="n">
        <x:f>J233-K233</x:f>
        <x:v>-1</x:v>
      </x:c>
      <x:c r="AC233" s="32" t="n">
        <x:f>F233-G233</x:f>
        <x:v>1</x:v>
      </x:c>
    </x:row>
    <x:row r="234">
      <x:c r="A234" s="4" t="str">
        <x:v>2021-22</x:v>
      </x:c>
      <x:c r="B234" s="20" t="n">
        <x:v>44520</x:v>
      </x:c>
      <x:c r="C234" s="4" t="str">
        <x:v>Southampton</x:v>
      </x:c>
      <x:c r="D234" s="4" t="str">
        <x:v>Norwich</x:v>
      </x:c>
      <x:c r="E234" s="4" t="str">
        <x:v>Away</x:v>
      </x:c>
      <x:c r="F234" s="28" t="n">
        <x:v>1</x:v>
      </x:c>
      <x:c r="G234" s="28" t="n">
        <x:v>2</x:v>
      </x:c>
      <x:c r="H234" s="28" t="n">
        <x:v>17</x:v>
      </x:c>
      <x:c r="I234" s="28" t="n">
        <x:v>8</x:v>
      </x:c>
      <x:c r="J234" s="28" t="n">
        <x:v>5</x:v>
      </x:c>
      <x:c r="K234" s="28" t="n">
        <x:v>4</x:v>
      </x:c>
      <x:c r="L234" s="28" t="n">
        <x:v>7</x:v>
      </x:c>
      <x:c r="M234" s="28" t="n">
        <x:v>5</x:v>
      </x:c>
      <x:c r="N234" s="28" t="n">
        <x:v>2</x:v>
      </x:c>
      <x:c r="O234" s="28" t="n">
        <x:v>0</x:v>
      </x:c>
      <x:c r="P234" s="28" t="n">
        <x:v>0</x:v>
      </x:c>
      <x:c r="Q234" s="24" t="n">
        <x:f>IFERROR(J234/H234,0)</x:f>
        <x:v>0.29411764705882354</x:v>
      </x:c>
      <x:c r="R234" s="24" t="n">
        <x:f>IFERROR(F234/H234,0)</x:f>
        <x:v>0.058823529411764705</x:v>
      </x:c>
      <x:c r="S234" s="24" t="n">
        <x:f>IFERROR(F234/J234,0)</x:f>
        <x:v>0.2</x:v>
      </x:c>
      <x:c r="T234" s="28" t="n">
        <x:f>H234-I234</x:f>
        <x:v>9</x:v>
      </x:c>
      <x:c r="U234" s="24" t="n">
        <x:f>IFERROR(J234/H234,0)-IFERROR(K234/I234,0)</x:f>
        <x:v>-0.20588235294117646</x:v>
      </x:c>
      <x:c r="V234" s="24" t="n">
        <x:f>IFERROR(F234/J234,0)-IFERROR(G234/K234,0)</x:f>
        <x:v>-0.3</x:v>
      </x:c>
      <x:c r="W234" s="28" t="n">
        <x:f>L234-M234</x:f>
        <x:v>2</x:v>
      </x:c>
      <x:c r="X234" s="24" t="n">
        <x:f>IFERROR(K234/I234,0)</x:f>
        <x:v>0.5</x:v>
      </x:c>
      <x:c r="Y234" s="24" t="n">
        <x:f>IFERROR(G234/I234,0)</x:f>
        <x:v>0.25</x:v>
      </x:c>
      <x:c r="Z234" s="24" t="n">
        <x:f>IFERROR(G234/K234,0)</x:f>
        <x:v>0.5</x:v>
      </x:c>
      <x:c r="AA234" s="24" t="n">
        <x:f>IFERROR(F234/H234,0)-IFERROR(G234/I234,0)</x:f>
        <x:v>-0.19117647058823528</x:v>
      </x:c>
      <x:c r="AB234" s="28" t="n">
        <x:f>J234-K234</x:f>
        <x:v>1</x:v>
      </x:c>
      <x:c r="AC234" s="32" t="n">
        <x:f>F234-G234</x:f>
        <x:v>-1</x:v>
      </x:c>
    </x:row>
    <x:row r="235">
      <x:c r="A235" s="4" t="str">
        <x:v>2021-22</x:v>
      </x:c>
      <x:c r="B235" s="20" t="n">
        <x:v>44520</x:v>
      </x:c>
      <x:c r="C235" s="4" t="str">
        <x:v>Watford</x:v>
      </x:c>
      <x:c r="D235" s="4" t="str">
        <x:v>Man United</x:v>
      </x:c>
      <x:c r="E235" s="4" t="str">
        <x:v>Home</x:v>
      </x:c>
      <x:c r="F235" s="28" t="n">
        <x:v>4</x:v>
      </x:c>
      <x:c r="G235" s="28" t="n">
        <x:v>1</x:v>
      </x:c>
      <x:c r="H235" s="28" t="n">
        <x:v>20</x:v>
      </x:c>
      <x:c r="I235" s="28" t="n">
        <x:v>9</x:v>
      </x:c>
      <x:c r="J235" s="28" t="n">
        <x:v>7</x:v>
      </x:c>
      <x:c r="K235" s="28" t="n">
        <x:v>3</x:v>
      </x:c>
      <x:c r="L235" s="28" t="n">
        <x:v>9</x:v>
      </x:c>
      <x:c r="M235" s="28" t="n">
        <x:v>3</x:v>
      </x:c>
      <x:c r="N235" s="28" t="n">
        <x:v>2</x:v>
      </x:c>
      <x:c r="O235" s="28" t="n">
        <x:v>0</x:v>
      </x:c>
      <x:c r="P235" s="28" t="n">
        <x:v>3</x:v>
      </x:c>
      <x:c r="Q235" s="24" t="n">
        <x:f>IFERROR(J235/H235,0)</x:f>
        <x:v>0.35</x:v>
      </x:c>
      <x:c r="R235" s="24" t="n">
        <x:f>IFERROR(F235/H235,0)</x:f>
        <x:v>0.2</x:v>
      </x:c>
      <x:c r="S235" s="24" t="n">
        <x:f>IFERROR(F235/J235,0)</x:f>
        <x:v>0.5714285714285714</x:v>
      </x:c>
      <x:c r="T235" s="28" t="n">
        <x:f>H235-I235</x:f>
        <x:v>11</x:v>
      </x:c>
      <x:c r="U235" s="24" t="n">
        <x:f>IFERROR(J235/H235,0)-IFERROR(K235/I235,0)</x:f>
        <x:v>0.016666666666666663</x:v>
      </x:c>
      <x:c r="V235" s="24" t="n">
        <x:f>IFERROR(F235/J235,0)-IFERROR(G235/K235,0)</x:f>
        <x:v>0.23809523809523808</x:v>
      </x:c>
      <x:c r="W235" s="28" t="n">
        <x:f>L235-M235</x:f>
        <x:v>6</x:v>
      </x:c>
      <x:c r="X235" s="24" t="n">
        <x:f>IFERROR(K235/I235,0)</x:f>
        <x:v>0.3333333333333333</x:v>
      </x:c>
      <x:c r="Y235" s="24" t="n">
        <x:f>IFERROR(G235/I235,0)</x:f>
        <x:v>0.1111111111111111</x:v>
      </x:c>
      <x:c r="Z235" s="24" t="n">
        <x:f>IFERROR(G235/K235,0)</x:f>
        <x:v>0.3333333333333333</x:v>
      </x:c>
      <x:c r="AA235" s="24" t="n">
        <x:f>IFERROR(F235/H235,0)-IFERROR(G235/I235,0)</x:f>
        <x:v>0.0888888888888889</x:v>
      </x:c>
      <x:c r="AB235" s="28" t="n">
        <x:f>J235-K235</x:f>
        <x:v>4</x:v>
      </x:c>
      <x:c r="AC235" s="32" t="n">
        <x:f>F235-G235</x:f>
        <x:v>3</x:v>
      </x:c>
    </x:row>
    <x:row r="236">
      <x:c r="A236" s="4" t="str">
        <x:v>2021-22</x:v>
      </x:c>
      <x:c r="B236" s="20" t="n">
        <x:v>44520</x:v>
      </x:c>
      <x:c r="C236" s="4" t="str">
        <x:v>West Ham</x:v>
      </x:c>
      <x:c r="D236" s="4" t="str">
        <x:v>Wolves</x:v>
      </x:c>
      <x:c r="E236" s="4" t="str">
        <x:v>Away</x:v>
      </x:c>
      <x:c r="F236" s="28" t="n">
        <x:v>0</x:v>
      </x:c>
      <x:c r="G236" s="28" t="n">
        <x:v>1</x:v>
      </x:c>
      <x:c r="H236" s="28" t="n">
        <x:v>8</x:v>
      </x:c>
      <x:c r="I236" s="28" t="n">
        <x:v>15</x:v>
      </x:c>
      <x:c r="J236" s="28" t="n">
        <x:v>3</x:v>
      </x:c>
      <x:c r="K236" s="28" t="n">
        <x:v>5</x:v>
      </x:c>
      <x:c r="L236" s="28" t="n">
        <x:v>3</x:v>
      </x:c>
      <x:c r="M236" s="28" t="n">
        <x:v>7</x:v>
      </x:c>
      <x:c r="N236" s="28" t="n">
        <x:v>1</x:v>
      </x:c>
      <x:c r="O236" s="28" t="n">
        <x:v>0</x:v>
      </x:c>
      <x:c r="P236" s="28" t="n">
        <x:v>0</x:v>
      </x:c>
      <x:c r="Q236" s="24" t="n">
        <x:f>IFERROR(J236/H236,0)</x:f>
        <x:v>0.375</x:v>
      </x:c>
      <x:c r="R236" s="24" t="n">
        <x:f>IFERROR(F236/H236,0)</x:f>
        <x:v>0</x:v>
      </x:c>
      <x:c r="S236" s="24" t="n">
        <x:f>IFERROR(F236/J236,0)</x:f>
        <x:v>0</x:v>
      </x:c>
      <x:c r="T236" s="28" t="n">
        <x:f>H236-I236</x:f>
        <x:v>-7</x:v>
      </x:c>
      <x:c r="U236" s="24" t="n">
        <x:f>IFERROR(J236/H236,0)-IFERROR(K236/I236,0)</x:f>
        <x:v>0.041666666666666685</x:v>
      </x:c>
      <x:c r="V236" s="24" t="n">
        <x:f>IFERROR(F236/J236,0)-IFERROR(G236/K236,0)</x:f>
        <x:v>-0.2</x:v>
      </x:c>
      <x:c r="W236" s="28" t="n">
        <x:f>L236-M236</x:f>
        <x:v>-4</x:v>
      </x:c>
      <x:c r="X236" s="24" t="n">
        <x:f>IFERROR(K236/I236,0)</x:f>
        <x:v>0.3333333333333333</x:v>
      </x:c>
      <x:c r="Y236" s="24" t="n">
        <x:f>IFERROR(G236/I236,0)</x:f>
        <x:v>0.06666666666666667</x:v>
      </x:c>
      <x:c r="Z236" s="24" t="n">
        <x:f>IFERROR(G236/K236,0)</x:f>
        <x:v>0.2</x:v>
      </x:c>
      <x:c r="AA236" s="24" t="n">
        <x:f>IFERROR(F236/H236,0)-IFERROR(G236/I236,0)</x:f>
        <x:v>-0.06666666666666667</x:v>
      </x:c>
      <x:c r="AB236" s="28" t="n">
        <x:f>J236-K236</x:f>
        <x:v>-2</x:v>
      </x:c>
      <x:c r="AC236" s="32" t="n">
        <x:f>F236-G236</x:f>
        <x:v>-1</x:v>
      </x:c>
    </x:row>
    <x:row r="237">
      <x:c r="A237" s="4" t="str">
        <x:v>2021-22</x:v>
      </x:c>
      <x:c r="B237" s="20" t="n">
        <x:v>44520</x:v>
      </x:c>
      <x:c r="C237" s="4" t="str">
        <x:v>Wolves</x:v>
      </x:c>
      <x:c r="D237" s="4" t="str">
        <x:v>West Ham</x:v>
      </x:c>
      <x:c r="E237" s="4" t="str">
        <x:v>Home</x:v>
      </x:c>
      <x:c r="F237" s="28" t="n">
        <x:v>1</x:v>
      </x:c>
      <x:c r="G237" s="28" t="n">
        <x:v>0</x:v>
      </x:c>
      <x:c r="H237" s="28" t="n">
        <x:v>15</x:v>
      </x:c>
      <x:c r="I237" s="28" t="n">
        <x:v>8</x:v>
      </x:c>
      <x:c r="J237" s="28" t="n">
        <x:v>5</x:v>
      </x:c>
      <x:c r="K237" s="28" t="n">
        <x:v>3</x:v>
      </x:c>
      <x:c r="L237" s="28" t="n">
        <x:v>7</x:v>
      </x:c>
      <x:c r="M237" s="28" t="n">
        <x:v>3</x:v>
      </x:c>
      <x:c r="N237" s="28" t="n">
        <x:v>1</x:v>
      </x:c>
      <x:c r="O237" s="28" t="n">
        <x:v>0</x:v>
      </x:c>
      <x:c r="P237" s="28" t="n">
        <x:v>3</x:v>
      </x:c>
      <x:c r="Q237" s="24" t="n">
        <x:f>IFERROR(J237/H237,0)</x:f>
        <x:v>0.3333333333333333</x:v>
      </x:c>
      <x:c r="R237" s="24" t="n">
        <x:f>IFERROR(F237/H237,0)</x:f>
        <x:v>0.06666666666666667</x:v>
      </x:c>
      <x:c r="S237" s="24" t="n">
        <x:f>IFERROR(F237/J237,0)</x:f>
        <x:v>0.2</x:v>
      </x:c>
      <x:c r="T237" s="28" t="n">
        <x:f>H237-I237</x:f>
        <x:v>7</x:v>
      </x:c>
      <x:c r="U237" s="24" t="n">
        <x:f>IFERROR(J237/H237,0)-IFERROR(K237/I237,0)</x:f>
        <x:v>-0.041666666666666685</x:v>
      </x:c>
      <x:c r="V237" s="24" t="n">
        <x:f>IFERROR(F237/J237,0)-IFERROR(G237/K237,0)</x:f>
        <x:v>0.2</x:v>
      </x:c>
      <x:c r="W237" s="28" t="n">
        <x:f>L237-M237</x:f>
        <x:v>4</x:v>
      </x:c>
      <x:c r="X237" s="24" t="n">
        <x:f>IFERROR(K237/I237,0)</x:f>
        <x:v>0.375</x:v>
      </x:c>
      <x:c r="Y237" s="24" t="n">
        <x:f>IFERROR(G237/I237,0)</x:f>
        <x:v>0</x:v>
      </x:c>
      <x:c r="Z237" s="24" t="n">
        <x:f>IFERROR(G237/K237,0)</x:f>
        <x:v>0</x:v>
      </x:c>
      <x:c r="AA237" s="24" t="n">
        <x:f>IFERROR(F237/H237,0)-IFERROR(G237/I237,0)</x:f>
        <x:v>0.06666666666666667</x:v>
      </x:c>
      <x:c r="AB237" s="28" t="n">
        <x:f>J237-K237</x:f>
        <x:v>2</x:v>
      </x:c>
      <x:c r="AC237" s="32" t="n">
        <x:f>F237-G237</x:f>
        <x:v>1</x:v>
      </x:c>
    </x:row>
    <x:row r="238">
      <x:c r="A238" s="4" t="str">
        <x:v>2021-22</x:v>
      </x:c>
      <x:c r="B238" s="20" t="n">
        <x:v>44521</x:v>
      </x:c>
      <x:c r="C238" s="4" t="str">
        <x:v>Everton</x:v>
      </x:c>
      <x:c r="D238" s="4" t="str">
        <x:v>Man City</x:v>
      </x:c>
      <x:c r="E238" s="4" t="str">
        <x:v>Away</x:v>
      </x:c>
      <x:c r="F238" s="28" t="n">
        <x:v>0</x:v>
      </x:c>
      <x:c r="G238" s="28" t="n">
        <x:v>3</x:v>
      </x:c>
      <x:c r="H238" s="28" t="n">
        <x:v>4</x:v>
      </x:c>
      <x:c r="I238" s="28" t="n">
        <x:v>17</x:v>
      </x:c>
      <x:c r="J238" s="28" t="n">
        <x:v>1</x:v>
      </x:c>
      <x:c r="K238" s="28" t="n">
        <x:v>7</x:v>
      </x:c>
      <x:c r="L238" s="28" t="n">
        <x:v>1</x:v>
      </x:c>
      <x:c r="M238" s="28" t="n">
        <x:v>7</x:v>
      </x:c>
      <x:c r="N238" s="28" t="n">
        <x:v>1</x:v>
      </x:c>
      <x:c r="O238" s="28" t="n">
        <x:v>0</x:v>
      </x:c>
      <x:c r="P238" s="28" t="n">
        <x:v>0</x:v>
      </x:c>
      <x:c r="Q238" s="24" t="n">
        <x:f>IFERROR(J238/H238,0)</x:f>
        <x:v>0.25</x:v>
      </x:c>
      <x:c r="R238" s="24" t="n">
        <x:f>IFERROR(F238/H238,0)</x:f>
        <x:v>0</x:v>
      </x:c>
      <x:c r="S238" s="24" t="n">
        <x:f>IFERROR(F238/J238,0)</x:f>
        <x:v>0</x:v>
      </x:c>
      <x:c r="T238" s="28" t="n">
        <x:f>H238-I238</x:f>
        <x:v>-13</x:v>
      </x:c>
      <x:c r="U238" s="24" t="n">
        <x:f>IFERROR(J238/H238,0)-IFERROR(K238/I238,0)</x:f>
        <x:v>-0.16176470588235292</x:v>
      </x:c>
      <x:c r="V238" s="24" t="n">
        <x:f>IFERROR(F238/J238,0)-IFERROR(G238/K238,0)</x:f>
        <x:v>-0.42857142857142855</x:v>
      </x:c>
      <x:c r="W238" s="28" t="n">
        <x:f>L238-M238</x:f>
        <x:v>-6</x:v>
      </x:c>
      <x:c r="X238" s="24" t="n">
        <x:f>IFERROR(K238/I238,0)</x:f>
        <x:v>0.4117647058823529</x:v>
      </x:c>
      <x:c r="Y238" s="24" t="n">
        <x:f>IFERROR(G238/I238,0)</x:f>
        <x:v>0.17647058823529413</x:v>
      </x:c>
      <x:c r="Z238" s="24" t="n">
        <x:f>IFERROR(G238/K238,0)</x:f>
        <x:v>0.42857142857142855</x:v>
      </x:c>
      <x:c r="AA238" s="24" t="n">
        <x:f>IFERROR(F238/H238,0)-IFERROR(G238/I238,0)</x:f>
        <x:v>-0.17647058823529413</x:v>
      </x:c>
      <x:c r="AB238" s="28" t="n">
        <x:f>J238-K238</x:f>
        <x:v>-6</x:v>
      </x:c>
      <x:c r="AC238" s="32" t="n">
        <x:f>F238-G238</x:f>
        <x:v>-3</x:v>
      </x:c>
    </x:row>
    <x:row r="239">
      <x:c r="A239" s="4" t="str">
        <x:v>2021-22</x:v>
      </x:c>
      <x:c r="B239" s="20" t="n">
        <x:v>44521</x:v>
      </x:c>
      <x:c r="C239" s="4" t="str">
        <x:v>Leeds</x:v>
      </x:c>
      <x:c r="D239" s="4" t="str">
        <x:v>Tottenham</x:v>
      </x:c>
      <x:c r="E239" s="4" t="str">
        <x:v>Away</x:v>
      </x:c>
      <x:c r="F239" s="28" t="n">
        <x:v>1</x:v>
      </x:c>
      <x:c r="G239" s="28" t="n">
        <x:v>2</x:v>
      </x:c>
      <x:c r="H239" s="28" t="n">
        <x:v>18</x:v>
      </x:c>
      <x:c r="I239" s="28" t="n">
        <x:v>13</x:v>
      </x:c>
      <x:c r="J239" s="28" t="n">
        <x:v>7</x:v>
      </x:c>
      <x:c r="K239" s="28" t="n">
        <x:v>4</x:v>
      </x:c>
      <x:c r="L239" s="28" t="n">
        <x:v>8</x:v>
      </x:c>
      <x:c r="M239" s="28" t="n">
        <x:v>4</x:v>
      </x:c>
      <x:c r="N239" s="28" t="n">
        <x:v>4</x:v>
      </x:c>
      <x:c r="O239" s="28" t="n">
        <x:v>0</x:v>
      </x:c>
      <x:c r="P239" s="28" t="n">
        <x:v>0</x:v>
      </x:c>
      <x:c r="Q239" s="24" t="n">
        <x:f>IFERROR(J239/H239,0)</x:f>
        <x:v>0.3888888888888889</x:v>
      </x:c>
      <x:c r="R239" s="24" t="n">
        <x:f>IFERROR(F239/H239,0)</x:f>
        <x:v>0.05555555555555555</x:v>
      </x:c>
      <x:c r="S239" s="24" t="n">
        <x:f>IFERROR(F239/J239,0)</x:f>
        <x:v>0.14285714285714285</x:v>
      </x:c>
      <x:c r="T239" s="28" t="n">
        <x:f>H239-I239</x:f>
        <x:v>5</x:v>
      </x:c>
      <x:c r="U239" s="24" t="n">
        <x:f>IFERROR(J239/H239,0)-IFERROR(K239/I239,0)</x:f>
        <x:v>0.08119658119658119</x:v>
      </x:c>
      <x:c r="V239" s="24" t="n">
        <x:f>IFERROR(F239/J239,0)-IFERROR(G239/K239,0)</x:f>
        <x:v>-0.35714285714285715</x:v>
      </x:c>
      <x:c r="W239" s="28" t="n">
        <x:f>L239-M239</x:f>
        <x:v>4</x:v>
      </x:c>
      <x:c r="X239" s="24" t="n">
        <x:f>IFERROR(K239/I239,0)</x:f>
        <x:v>0.3076923076923077</x:v>
      </x:c>
      <x:c r="Y239" s="24" t="n">
        <x:f>IFERROR(G239/I239,0)</x:f>
        <x:v>0.15384615384615385</x:v>
      </x:c>
      <x:c r="Z239" s="24" t="n">
        <x:f>IFERROR(G239/K239,0)</x:f>
        <x:v>0.5</x:v>
      </x:c>
      <x:c r="AA239" s="24" t="n">
        <x:f>IFERROR(F239/H239,0)-IFERROR(G239/I239,0)</x:f>
        <x:v>-0.0982905982905983</x:v>
      </x:c>
      <x:c r="AB239" s="28" t="n">
        <x:f>J239-K239</x:f>
        <x:v>3</x:v>
      </x:c>
      <x:c r="AC239" s="32" t="n">
        <x:f>F239-G239</x:f>
        <x:v>-1</x:v>
      </x:c>
    </x:row>
    <x:row r="240">
      <x:c r="A240" s="4" t="str">
        <x:v>2021-22</x:v>
      </x:c>
      <x:c r="B240" s="20" t="n">
        <x:v>44521</x:v>
      </x:c>
      <x:c r="C240" s="4" t="str">
        <x:v>Man City</x:v>
      </x:c>
      <x:c r="D240" s="4" t="str">
        <x:v>Everton</x:v>
      </x:c>
      <x:c r="E240" s="4" t="str">
        <x:v>Home</x:v>
      </x:c>
      <x:c r="F240" s="28" t="n">
        <x:v>3</x:v>
      </x:c>
      <x:c r="G240" s="28" t="n">
        <x:v>0</x:v>
      </x:c>
      <x:c r="H240" s="28" t="n">
        <x:v>17</x:v>
      </x:c>
      <x:c r="I240" s="28" t="n">
        <x:v>4</x:v>
      </x:c>
      <x:c r="J240" s="28" t="n">
        <x:v>7</x:v>
      </x:c>
      <x:c r="K240" s="28" t="n">
        <x:v>1</x:v>
      </x:c>
      <x:c r="L240" s="28" t="n">
        <x:v>7</x:v>
      </x:c>
      <x:c r="M240" s="28" t="n">
        <x:v>1</x:v>
      </x:c>
      <x:c r="N240" s="28" t="n">
        <x:v>1</x:v>
      </x:c>
      <x:c r="O240" s="28" t="n">
        <x:v>0</x:v>
      </x:c>
      <x:c r="P240" s="28" t="n">
        <x:v>3</x:v>
      </x:c>
      <x:c r="Q240" s="24" t="n">
        <x:f>IFERROR(J240/H240,0)</x:f>
        <x:v>0.4117647058823529</x:v>
      </x:c>
      <x:c r="R240" s="24" t="n">
        <x:f>IFERROR(F240/H240,0)</x:f>
        <x:v>0.17647058823529413</x:v>
      </x:c>
      <x:c r="S240" s="24" t="n">
        <x:f>IFERROR(F240/J240,0)</x:f>
        <x:v>0.42857142857142855</x:v>
      </x:c>
      <x:c r="T240" s="28" t="n">
        <x:f>H240-I240</x:f>
        <x:v>13</x:v>
      </x:c>
      <x:c r="U240" s="24" t="n">
        <x:f>IFERROR(J240/H240,0)-IFERROR(K240/I240,0)</x:f>
        <x:v>0.16176470588235292</x:v>
      </x:c>
      <x:c r="V240" s="24" t="n">
        <x:f>IFERROR(F240/J240,0)-IFERROR(G240/K240,0)</x:f>
        <x:v>0.42857142857142855</x:v>
      </x:c>
      <x:c r="W240" s="28" t="n">
        <x:f>L240-M240</x:f>
        <x:v>6</x:v>
      </x:c>
      <x:c r="X240" s="24" t="n">
        <x:f>IFERROR(K240/I240,0)</x:f>
        <x:v>0.25</x:v>
      </x:c>
      <x:c r="Y240" s="24" t="n">
        <x:f>IFERROR(G240/I240,0)</x:f>
        <x:v>0</x:v>
      </x:c>
      <x:c r="Z240" s="24" t="n">
        <x:f>IFERROR(G240/K240,0)</x:f>
        <x:v>0</x:v>
      </x:c>
      <x:c r="AA240" s="24" t="n">
        <x:f>IFERROR(F240/H240,0)-IFERROR(G240/I240,0)</x:f>
        <x:v>0.17647058823529413</x:v>
      </x:c>
      <x:c r="AB240" s="28" t="n">
        <x:f>J240-K240</x:f>
        <x:v>6</x:v>
      </x:c>
      <x:c r="AC240" s="32" t="n">
        <x:f>F240-G240</x:f>
        <x:v>3</x:v>
      </x:c>
    </x:row>
    <x:row r="241">
      <x:c r="A241" s="4" t="str">
        <x:v>2021-22</x:v>
      </x:c>
      <x:c r="B241" s="20" t="n">
        <x:v>44521</x:v>
      </x:c>
      <x:c r="C241" s="4" t="str">
        <x:v>Tottenham</x:v>
      </x:c>
      <x:c r="D241" s="4" t="str">
        <x:v>Leeds</x:v>
      </x:c>
      <x:c r="E241" s="4" t="str">
        <x:v>Home</x:v>
      </x:c>
      <x:c r="F241" s="28" t="n">
        <x:v>2</x:v>
      </x:c>
      <x:c r="G241" s="28" t="n">
        <x:v>1</x:v>
      </x:c>
      <x:c r="H241" s="28" t="n">
        <x:v>13</x:v>
      </x:c>
      <x:c r="I241" s="28" t="n">
        <x:v>18</x:v>
      </x:c>
      <x:c r="J241" s="28" t="n">
        <x:v>4</x:v>
      </x:c>
      <x:c r="K241" s="28" t="n">
        <x:v>7</x:v>
      </x:c>
      <x:c r="L241" s="28" t="n">
        <x:v>4</x:v>
      </x:c>
      <x:c r="M241" s="28" t="n">
        <x:v>8</x:v>
      </x:c>
      <x:c r="N241" s="28" t="n">
        <x:v>1</x:v>
      </x:c>
      <x:c r="O241" s="28" t="n">
        <x:v>0</x:v>
      </x:c>
      <x:c r="P241" s="28" t="n">
        <x:v>3</x:v>
      </x:c>
      <x:c r="Q241" s="24" t="n">
        <x:f>IFERROR(J241/H241,0)</x:f>
        <x:v>0.3076923076923077</x:v>
      </x:c>
      <x:c r="R241" s="24" t="n">
        <x:f>IFERROR(F241/H241,0)</x:f>
        <x:v>0.15384615384615385</x:v>
      </x:c>
      <x:c r="S241" s="24" t="n">
        <x:f>IFERROR(F241/J241,0)</x:f>
        <x:v>0.5</x:v>
      </x:c>
      <x:c r="T241" s="28" t="n">
        <x:f>H241-I241</x:f>
        <x:v>-5</x:v>
      </x:c>
      <x:c r="U241" s="24" t="n">
        <x:f>IFERROR(J241/H241,0)-IFERROR(K241/I241,0)</x:f>
        <x:v>-0.08119658119658119</x:v>
      </x:c>
      <x:c r="V241" s="24" t="n">
        <x:f>IFERROR(F241/J241,0)-IFERROR(G241/K241,0)</x:f>
        <x:v>0.35714285714285715</x:v>
      </x:c>
      <x:c r="W241" s="28" t="n">
        <x:f>L241-M241</x:f>
        <x:v>-4</x:v>
      </x:c>
      <x:c r="X241" s="24" t="n">
        <x:f>IFERROR(K241/I241,0)</x:f>
        <x:v>0.3888888888888889</x:v>
      </x:c>
      <x:c r="Y241" s="24" t="n">
        <x:f>IFERROR(G241/I241,0)</x:f>
        <x:v>0.05555555555555555</x:v>
      </x:c>
      <x:c r="Z241" s="24" t="n">
        <x:f>IFERROR(G241/K241,0)</x:f>
        <x:v>0.14285714285714285</x:v>
      </x:c>
      <x:c r="AA241" s="24" t="n">
        <x:f>IFERROR(F241/H241,0)-IFERROR(G241/I241,0)</x:f>
        <x:v>0.0982905982905983</x:v>
      </x:c>
      <x:c r="AB241" s="28" t="n">
        <x:f>J241-K241</x:f>
        <x:v>-3</x:v>
      </x:c>
      <x:c r="AC241" s="32" t="n">
        <x:f>F241-G241</x:f>
        <x:v>1</x:v>
      </x:c>
    </x:row>
    <x:row r="242">
      <x:c r="A242" s="4" t="str">
        <x:v>2021-22</x:v>
      </x:c>
      <x:c r="B242" s="20" t="n">
        <x:v>44527</x:v>
      </x:c>
      <x:c r="C242" s="4" t="str">
        <x:v>Arsenal</x:v>
      </x:c>
      <x:c r="D242" s="4" t="str">
        <x:v>Newcastle</x:v>
      </x:c>
      <x:c r="E242" s="4" t="str">
        <x:v>Home</x:v>
      </x:c>
      <x:c r="F242" s="28" t="n">
        <x:v>2</x:v>
      </x:c>
      <x:c r="G242" s="28" t="n">
        <x:v>0</x:v>
      </x:c>
      <x:c r="H242" s="28" t="n">
        <x:v>24</x:v>
      </x:c>
      <x:c r="I242" s="28" t="n">
        <x:v>9</x:v>
      </x:c>
      <x:c r="J242" s="28" t="n">
        <x:v>6</x:v>
      </x:c>
      <x:c r="K242" s="28" t="n">
        <x:v>5</x:v>
      </x:c>
      <x:c r="L242" s="28" t="n">
        <x:v>4</x:v>
      </x:c>
      <x:c r="M242" s="28" t="n">
        <x:v>4</x:v>
      </x:c>
      <x:c r="N242" s="28" t="n">
        <x:v>1</x:v>
      </x:c>
      <x:c r="O242" s="28" t="n">
        <x:v>0</x:v>
      </x:c>
      <x:c r="P242" s="28" t="n">
        <x:v>3</x:v>
      </x:c>
      <x:c r="Q242" s="24" t="n">
        <x:f>IFERROR(J242/H242,0)</x:f>
        <x:v>0.25</x:v>
      </x:c>
      <x:c r="R242" s="24" t="n">
        <x:f>IFERROR(F242/H242,0)</x:f>
        <x:v>0.08333333333333333</x:v>
      </x:c>
      <x:c r="S242" s="24" t="n">
        <x:f>IFERROR(F242/J242,0)</x:f>
        <x:v>0.3333333333333333</x:v>
      </x:c>
      <x:c r="T242" s="28" t="n">
        <x:f>H242-I242</x:f>
        <x:v>15</x:v>
      </x:c>
      <x:c r="U242" s="24" t="n">
        <x:f>IFERROR(J242/H242,0)-IFERROR(K242/I242,0)</x:f>
        <x:v>-0.3055555555555556</x:v>
      </x:c>
      <x:c r="V242" s="24" t="n">
        <x:f>IFERROR(F242/J242,0)-IFERROR(G242/K242,0)</x:f>
        <x:v>0.3333333333333333</x:v>
      </x:c>
      <x:c r="W242" s="28" t="n">
        <x:f>L242-M242</x:f>
        <x:v>0</x:v>
      </x:c>
      <x:c r="X242" s="24" t="n">
        <x:f>IFERROR(K242/I242,0)</x:f>
        <x:v>0.5555555555555556</x:v>
      </x:c>
      <x:c r="Y242" s="24" t="n">
        <x:f>IFERROR(G242/I242,0)</x:f>
        <x:v>0</x:v>
      </x:c>
      <x:c r="Z242" s="24" t="n">
        <x:f>IFERROR(G242/K242,0)</x:f>
        <x:v>0</x:v>
      </x:c>
      <x:c r="AA242" s="24" t="n">
        <x:f>IFERROR(F242/H242,0)-IFERROR(G242/I242,0)</x:f>
        <x:v>0.08333333333333333</x:v>
      </x:c>
      <x:c r="AB242" s="28" t="n">
        <x:f>J242-K242</x:f>
        <x:v>1</x:v>
      </x:c>
      <x:c r="AC242" s="32" t="n">
        <x:f>F242-G242</x:f>
        <x:v>2</x:v>
      </x:c>
    </x:row>
    <x:row r="243">
      <x:c r="A243" s="4" t="str">
        <x:v>2021-22</x:v>
      </x:c>
      <x:c r="B243" s="20" t="n">
        <x:v>44527</x:v>
      </x:c>
      <x:c r="C243" s="4" t="str">
        <x:v>Aston Villa</x:v>
      </x:c>
      <x:c r="D243" s="4" t="str">
        <x:v>Crystal Palace</x:v>
      </x:c>
      <x:c r="E243" s="4" t="str">
        <x:v>Away</x:v>
      </x:c>
      <x:c r="F243" s="28" t="n">
        <x:v>2</x:v>
      </x:c>
      <x:c r="G243" s="28" t="n">
        <x:v>1</x:v>
      </x:c>
      <x:c r="H243" s="28" t="n">
        <x:v>10</x:v>
      </x:c>
      <x:c r="I243" s="28" t="n">
        <x:v>8</x:v>
      </x:c>
      <x:c r="J243" s="28" t="n">
        <x:v>3</x:v>
      </x:c>
      <x:c r="K243" s="28" t="n">
        <x:v>3</x:v>
      </x:c>
      <x:c r="L243" s="28" t="n">
        <x:v>3</x:v>
      </x:c>
      <x:c r="M243" s="28" t="n">
        <x:v>7</x:v>
      </x:c>
      <x:c r="N243" s="28" t="n">
        <x:v>3</x:v>
      </x:c>
      <x:c r="O243" s="28" t="n">
        <x:v>0</x:v>
      </x:c>
      <x:c r="P243" s="28" t="n">
        <x:v>3</x:v>
      </x:c>
      <x:c r="Q243" s="24" t="n">
        <x:f>IFERROR(J243/H243,0)</x:f>
        <x:v>0.3</x:v>
      </x:c>
      <x:c r="R243" s="24" t="n">
        <x:f>IFERROR(F243/H243,0)</x:f>
        <x:v>0.2</x:v>
      </x:c>
      <x:c r="S243" s="24" t="n">
        <x:f>IFERROR(F243/J243,0)</x:f>
        <x:v>0.6666666666666666</x:v>
      </x:c>
      <x:c r="T243" s="28" t="n">
        <x:f>H243-I243</x:f>
        <x:v>2</x:v>
      </x:c>
      <x:c r="U243" s="24" t="n">
        <x:f>IFERROR(J243/H243,0)-IFERROR(K243/I243,0)</x:f>
        <x:v>-0.07500000000000001</x:v>
      </x:c>
      <x:c r="V243" s="24" t="n">
        <x:f>IFERROR(F243/J243,0)-IFERROR(G243/K243,0)</x:f>
        <x:v>0.3333333333333333</x:v>
      </x:c>
      <x:c r="W243" s="28" t="n">
        <x:f>L243-M243</x:f>
        <x:v>-4</x:v>
      </x:c>
      <x:c r="X243" s="24" t="n">
        <x:f>IFERROR(K243/I243,0)</x:f>
        <x:v>0.375</x:v>
      </x:c>
      <x:c r="Y243" s="24" t="n">
        <x:f>IFERROR(G243/I243,0)</x:f>
        <x:v>0.125</x:v>
      </x:c>
      <x:c r="Z243" s="24" t="n">
        <x:f>IFERROR(G243/K243,0)</x:f>
        <x:v>0.3333333333333333</x:v>
      </x:c>
      <x:c r="AA243" s="24" t="n">
        <x:f>IFERROR(F243/H243,0)-IFERROR(G243/I243,0)</x:f>
        <x:v>0.07500000000000001</x:v>
      </x:c>
      <x:c r="AB243" s="28" t="n">
        <x:f>J243-K243</x:f>
        <x:v>0</x:v>
      </x:c>
      <x:c r="AC243" s="32" t="n">
        <x:f>F243-G243</x:f>
        <x:v>1</x:v>
      </x:c>
    </x:row>
    <x:row r="244">
      <x:c r="A244" s="4" t="str">
        <x:v>2021-22</x:v>
      </x:c>
      <x:c r="B244" s="20" t="n">
        <x:v>44527</x:v>
      </x:c>
      <x:c r="C244" s="4" t="str">
        <x:v>Brighton</x:v>
      </x:c>
      <x:c r="D244" s="4" t="str">
        <x:v>Leeds</x:v>
      </x:c>
      <x:c r="E244" s="4" t="str">
        <x:v>Home</x:v>
      </x:c>
      <x:c r="F244" s="28" t="n">
        <x:v>0</x:v>
      </x:c>
      <x:c r="G244" s="28" t="n">
        <x:v>0</x:v>
      </x:c>
      <x:c r="H244" s="28" t="n">
        <x:v>20</x:v>
      </x:c>
      <x:c r="I244" s="28" t="n">
        <x:v>11</x:v>
      </x:c>
      <x:c r="J244" s="28" t="n">
        <x:v>4</x:v>
      </x:c>
      <x:c r="K244" s="28" t="n">
        <x:v>4</x:v>
      </x:c>
      <x:c r="L244" s="28" t="n">
        <x:v>6</x:v>
      </x:c>
      <x:c r="M244" s="28" t="n">
        <x:v>1</x:v>
      </x:c>
      <x:c r="N244" s="28" t="n">
        <x:v>1</x:v>
      </x:c>
      <x:c r="O244" s="28" t="n">
        <x:v>0</x:v>
      </x:c>
      <x:c r="P244" s="28" t="n">
        <x:v>1</x:v>
      </x:c>
      <x:c r="Q244" s="24" t="n">
        <x:f>IFERROR(J244/H244,0)</x:f>
        <x:v>0.2</x:v>
      </x:c>
      <x:c r="R244" s="24" t="n">
        <x:f>IFERROR(F244/H244,0)</x:f>
        <x:v>0</x:v>
      </x:c>
      <x:c r="S244" s="24" t="n">
        <x:f>IFERROR(F244/J244,0)</x:f>
        <x:v>0</x:v>
      </x:c>
      <x:c r="T244" s="28" t="n">
        <x:f>H244-I244</x:f>
        <x:v>9</x:v>
      </x:c>
      <x:c r="U244" s="24" t="n">
        <x:f>IFERROR(J244/H244,0)-IFERROR(K244/I244,0)</x:f>
        <x:v>-0.16363636363636364</x:v>
      </x:c>
      <x:c r="V244" s="24" t="n">
        <x:f>IFERROR(F244/J244,0)-IFERROR(G244/K244,0)</x:f>
        <x:v>0</x:v>
      </x:c>
      <x:c r="W244" s="28" t="n">
        <x:f>L244-M244</x:f>
        <x:v>5</x:v>
      </x:c>
      <x:c r="X244" s="24" t="n">
        <x:f>IFERROR(K244/I244,0)</x:f>
        <x:v>0.36363636363636365</x:v>
      </x:c>
      <x:c r="Y244" s="24" t="n">
        <x:f>IFERROR(G244/I244,0)</x:f>
        <x:v>0</x:v>
      </x:c>
      <x:c r="Z244" s="24" t="n">
        <x:f>IFERROR(G244/K244,0)</x:f>
        <x:v>0</x:v>
      </x:c>
      <x:c r="AA244" s="24" t="n">
        <x:f>IFERROR(F244/H244,0)-IFERROR(G244/I244,0)</x:f>
        <x:v>0</x:v>
      </x:c>
      <x:c r="AB244" s="28" t="n">
        <x:f>J244-K244</x:f>
        <x:v>0</x:v>
      </x:c>
      <x:c r="AC244" s="32" t="n">
        <x:f>F244-G244</x:f>
        <x:v>0</x:v>
      </x:c>
    </x:row>
    <x:row r="245">
      <x:c r="A245" s="4" t="str">
        <x:v>2021-22</x:v>
      </x:c>
      <x:c r="B245" s="20" t="n">
        <x:v>44527</x:v>
      </x:c>
      <x:c r="C245" s="4" t="str">
        <x:v>Crystal Palace</x:v>
      </x:c>
      <x:c r="D245" s="4" t="str">
        <x:v>Aston Villa</x:v>
      </x:c>
      <x:c r="E245" s="4" t="str">
        <x:v>Home</x:v>
      </x:c>
      <x:c r="F245" s="28" t="n">
        <x:v>1</x:v>
      </x:c>
      <x:c r="G245" s="28" t="n">
        <x:v>2</x:v>
      </x:c>
      <x:c r="H245" s="28" t="n">
        <x:v>8</x:v>
      </x:c>
      <x:c r="I245" s="28" t="n">
        <x:v>10</x:v>
      </x:c>
      <x:c r="J245" s="28" t="n">
        <x:v>3</x:v>
      </x:c>
      <x:c r="K245" s="28" t="n">
        <x:v>3</x:v>
      </x:c>
      <x:c r="L245" s="28" t="n">
        <x:v>7</x:v>
      </x:c>
      <x:c r="M245" s="28" t="n">
        <x:v>3</x:v>
      </x:c>
      <x:c r="N245" s="28" t="n">
        <x:v>3</x:v>
      </x:c>
      <x:c r="O245" s="28" t="n">
        <x:v>0</x:v>
      </x:c>
      <x:c r="P245" s="28" t="n">
        <x:v>0</x:v>
      </x:c>
      <x:c r="Q245" s="24" t="n">
        <x:f>IFERROR(J245/H245,0)</x:f>
        <x:v>0.375</x:v>
      </x:c>
      <x:c r="R245" s="24" t="n">
        <x:f>IFERROR(F245/H245,0)</x:f>
        <x:v>0.125</x:v>
      </x:c>
      <x:c r="S245" s="24" t="n">
        <x:f>IFERROR(F245/J245,0)</x:f>
        <x:v>0.3333333333333333</x:v>
      </x:c>
      <x:c r="T245" s="28" t="n">
        <x:f>H245-I245</x:f>
        <x:v>-2</x:v>
      </x:c>
      <x:c r="U245" s="24" t="n">
        <x:f>IFERROR(J245/H245,0)-IFERROR(K245/I245,0)</x:f>
        <x:v>0.07500000000000001</x:v>
      </x:c>
      <x:c r="V245" s="24" t="n">
        <x:f>IFERROR(F245/J245,0)-IFERROR(G245/K245,0)</x:f>
        <x:v>-0.3333333333333333</x:v>
      </x:c>
      <x:c r="W245" s="28" t="n">
        <x:f>L245-M245</x:f>
        <x:v>4</x:v>
      </x:c>
      <x:c r="X245" s="24" t="n">
        <x:f>IFERROR(K245/I245,0)</x:f>
        <x:v>0.3</x:v>
      </x:c>
      <x:c r="Y245" s="24" t="n">
        <x:f>IFERROR(G245/I245,0)</x:f>
        <x:v>0.2</x:v>
      </x:c>
      <x:c r="Z245" s="24" t="n">
        <x:f>IFERROR(G245/K245,0)</x:f>
        <x:v>0.6666666666666666</x:v>
      </x:c>
      <x:c r="AA245" s="24" t="n">
        <x:f>IFERROR(F245/H245,0)-IFERROR(G245/I245,0)</x:f>
        <x:v>-0.07500000000000001</x:v>
      </x:c>
      <x:c r="AB245" s="28" t="n">
        <x:f>J245-K245</x:f>
        <x:v>0</x:v>
      </x:c>
      <x:c r="AC245" s="32" t="n">
        <x:f>F245-G245</x:f>
        <x:v>-1</x:v>
      </x:c>
    </x:row>
    <x:row r="246">
      <x:c r="A246" s="4" t="str">
        <x:v>2021-22</x:v>
      </x:c>
      <x:c r="B246" s="20" t="n">
        <x:v>44527</x:v>
      </x:c>
      <x:c r="C246" s="4" t="str">
        <x:v>Leeds</x:v>
      </x:c>
      <x:c r="D246" s="4" t="str">
        <x:v>Brighton</x:v>
      </x:c>
      <x:c r="E246" s="4" t="str">
        <x:v>Away</x:v>
      </x:c>
      <x:c r="F246" s="28" t="n">
        <x:v>0</x:v>
      </x:c>
      <x:c r="G246" s="28" t="n">
        <x:v>0</x:v>
      </x:c>
      <x:c r="H246" s="28" t="n">
        <x:v>11</x:v>
      </x:c>
      <x:c r="I246" s="28" t="n">
        <x:v>20</x:v>
      </x:c>
      <x:c r="J246" s="28" t="n">
        <x:v>4</x:v>
      </x:c>
      <x:c r="K246" s="28" t="n">
        <x:v>4</x:v>
      </x:c>
      <x:c r="L246" s="28" t="n">
        <x:v>1</x:v>
      </x:c>
      <x:c r="M246" s="28" t="n">
        <x:v>6</x:v>
      </x:c>
      <x:c r="N246" s="28" t="n">
        <x:v>3</x:v>
      </x:c>
      <x:c r="O246" s="28" t="n">
        <x:v>0</x:v>
      </x:c>
      <x:c r="P246" s="28" t="n">
        <x:v>1</x:v>
      </x:c>
      <x:c r="Q246" s="24" t="n">
        <x:f>IFERROR(J246/H246,0)</x:f>
        <x:v>0.36363636363636365</x:v>
      </x:c>
      <x:c r="R246" s="24" t="n">
        <x:f>IFERROR(F246/H246,0)</x:f>
        <x:v>0</x:v>
      </x:c>
      <x:c r="S246" s="24" t="n">
        <x:f>IFERROR(F246/J246,0)</x:f>
        <x:v>0</x:v>
      </x:c>
      <x:c r="T246" s="28" t="n">
        <x:f>H246-I246</x:f>
        <x:v>-9</x:v>
      </x:c>
      <x:c r="U246" s="24" t="n">
        <x:f>IFERROR(J246/H246,0)-IFERROR(K246/I246,0)</x:f>
        <x:v>0.16363636363636364</x:v>
      </x:c>
      <x:c r="V246" s="24" t="n">
        <x:f>IFERROR(F246/J246,0)-IFERROR(G246/K246,0)</x:f>
        <x:v>0</x:v>
      </x:c>
      <x:c r="W246" s="28" t="n">
        <x:f>L246-M246</x:f>
        <x:v>-5</x:v>
      </x:c>
      <x:c r="X246" s="24" t="n">
        <x:f>IFERROR(K246/I246,0)</x:f>
        <x:v>0.2</x:v>
      </x:c>
      <x:c r="Y246" s="24" t="n">
        <x:f>IFERROR(G246/I246,0)</x:f>
        <x:v>0</x:v>
      </x:c>
      <x:c r="Z246" s="24" t="n">
        <x:f>IFERROR(G246/K246,0)</x:f>
        <x:v>0</x:v>
      </x:c>
      <x:c r="AA246" s="24" t="n">
        <x:f>IFERROR(F246/H246,0)-IFERROR(G246/I246,0)</x:f>
        <x:v>0</x:v>
      </x:c>
      <x:c r="AB246" s="28" t="n">
        <x:f>J246-K246</x:f>
        <x:v>0</x:v>
      </x:c>
      <x:c r="AC246" s="32" t="n">
        <x:f>F246-G246</x:f>
        <x:v>0</x:v>
      </x:c>
    </x:row>
    <x:row r="247">
      <x:c r="A247" s="4" t="str">
        <x:v>2021-22</x:v>
      </x:c>
      <x:c r="B247" s="20" t="n">
        <x:v>44527</x:v>
      </x:c>
      <x:c r="C247" s="4" t="str">
        <x:v>Liverpool</x:v>
      </x:c>
      <x:c r="D247" s="4" t="str">
        <x:v>Southampton</x:v>
      </x:c>
      <x:c r="E247" s="4" t="str">
        <x:v>Home</x:v>
      </x:c>
      <x:c r="F247" s="28" t="n">
        <x:v>4</x:v>
      </x:c>
      <x:c r="G247" s="28" t="n">
        <x:v>0</x:v>
      </x:c>
      <x:c r="H247" s="28" t="n">
        <x:v>20</x:v>
      </x:c>
      <x:c r="I247" s="28" t="n">
        <x:v>7</x:v>
      </x:c>
      <x:c r="J247" s="28" t="n">
        <x:v>6</x:v>
      </x:c>
      <x:c r="K247" s="28" t="n">
        <x:v>3</x:v>
      </x:c>
      <x:c r="L247" s="28" t="n">
        <x:v>5</x:v>
      </x:c>
      <x:c r="M247" s="28" t="n">
        <x:v>7</x:v>
      </x:c>
      <x:c r="N247" s="28" t="n">
        <x:v>0</x:v>
      </x:c>
      <x:c r="O247" s="28" t="n">
        <x:v>0</x:v>
      </x:c>
      <x:c r="P247" s="28" t="n">
        <x:v>3</x:v>
      </x:c>
      <x:c r="Q247" s="24" t="n">
        <x:f>IFERROR(J247/H247,0)</x:f>
        <x:v>0.3</x:v>
      </x:c>
      <x:c r="R247" s="24" t="n">
        <x:f>IFERROR(F247/H247,0)</x:f>
        <x:v>0.2</x:v>
      </x:c>
      <x:c r="S247" s="24" t="n">
        <x:f>IFERROR(F247/J247,0)</x:f>
        <x:v>0.6666666666666666</x:v>
      </x:c>
      <x:c r="T247" s="28" t="n">
        <x:f>H247-I247</x:f>
        <x:v>13</x:v>
      </x:c>
      <x:c r="U247" s="24" t="n">
        <x:f>IFERROR(J247/H247,0)-IFERROR(K247/I247,0)</x:f>
        <x:v>-0.12857142857142856</x:v>
      </x:c>
      <x:c r="V247" s="24" t="n">
        <x:f>IFERROR(F247/J247,0)-IFERROR(G247/K247,0)</x:f>
        <x:v>0.6666666666666666</x:v>
      </x:c>
      <x:c r="W247" s="28" t="n">
        <x:f>L247-M247</x:f>
        <x:v>-2</x:v>
      </x:c>
      <x:c r="X247" s="24" t="n">
        <x:f>IFERROR(K247/I247,0)</x:f>
        <x:v>0.42857142857142855</x:v>
      </x:c>
      <x:c r="Y247" s="24" t="n">
        <x:f>IFERROR(G247/I247,0)</x:f>
        <x:v>0</x:v>
      </x:c>
      <x:c r="Z247" s="24" t="n">
        <x:f>IFERROR(G247/K247,0)</x:f>
        <x:v>0</x:v>
      </x:c>
      <x:c r="AA247" s="24" t="n">
        <x:f>IFERROR(F247/H247,0)-IFERROR(G247/I247,0)</x:f>
        <x:v>0.2</x:v>
      </x:c>
      <x:c r="AB247" s="28" t="n">
        <x:f>J247-K247</x:f>
        <x:v>3</x:v>
      </x:c>
      <x:c r="AC247" s="32" t="n">
        <x:f>F247-G247</x:f>
        <x:v>4</x:v>
      </x:c>
    </x:row>
    <x:row r="248">
      <x:c r="A248" s="4" t="str">
        <x:v>2021-22</x:v>
      </x:c>
      <x:c r="B248" s="20" t="n">
        <x:v>44527</x:v>
      </x:c>
      <x:c r="C248" s="4" t="str">
        <x:v>Newcastle</x:v>
      </x:c>
      <x:c r="D248" s="4" t="str">
        <x:v>Arsenal</x:v>
      </x:c>
      <x:c r="E248" s="4" t="str">
        <x:v>Away</x:v>
      </x:c>
      <x:c r="F248" s="28" t="n">
        <x:v>0</x:v>
      </x:c>
      <x:c r="G248" s="28" t="n">
        <x:v>2</x:v>
      </x:c>
      <x:c r="H248" s="28" t="n">
        <x:v>9</x:v>
      </x:c>
      <x:c r="I248" s="28" t="n">
        <x:v>24</x:v>
      </x:c>
      <x:c r="J248" s="28" t="n">
        <x:v>5</x:v>
      </x:c>
      <x:c r="K248" s="28" t="n">
        <x:v>6</x:v>
      </x:c>
      <x:c r="L248" s="28" t="n">
        <x:v>4</x:v>
      </x:c>
      <x:c r="M248" s="28" t="n">
        <x:v>4</x:v>
      </x:c>
      <x:c r="N248" s="28" t="n">
        <x:v>3</x:v>
      </x:c>
      <x:c r="O248" s="28" t="n">
        <x:v>0</x:v>
      </x:c>
      <x:c r="P248" s="28" t="n">
        <x:v>0</x:v>
      </x:c>
      <x:c r="Q248" s="24" t="n">
        <x:f>IFERROR(J248/H248,0)</x:f>
        <x:v>0.5555555555555556</x:v>
      </x:c>
      <x:c r="R248" s="24" t="n">
        <x:f>IFERROR(F248/H248,0)</x:f>
        <x:v>0</x:v>
      </x:c>
      <x:c r="S248" s="24" t="n">
        <x:f>IFERROR(F248/J248,0)</x:f>
        <x:v>0</x:v>
      </x:c>
      <x:c r="T248" s="28" t="n">
        <x:f>H248-I248</x:f>
        <x:v>-15</x:v>
      </x:c>
      <x:c r="U248" s="24" t="n">
        <x:f>IFERROR(J248/H248,0)-IFERROR(K248/I248,0)</x:f>
        <x:v>0.3055555555555556</x:v>
      </x:c>
      <x:c r="V248" s="24" t="n">
        <x:f>IFERROR(F248/J248,0)-IFERROR(G248/K248,0)</x:f>
        <x:v>-0.3333333333333333</x:v>
      </x:c>
      <x:c r="W248" s="28" t="n">
        <x:f>L248-M248</x:f>
        <x:v>0</x:v>
      </x:c>
      <x:c r="X248" s="24" t="n">
        <x:f>IFERROR(K248/I248,0)</x:f>
        <x:v>0.25</x:v>
      </x:c>
      <x:c r="Y248" s="24" t="n">
        <x:f>IFERROR(G248/I248,0)</x:f>
        <x:v>0.08333333333333333</x:v>
      </x:c>
      <x:c r="Z248" s="24" t="n">
        <x:f>IFERROR(G248/K248,0)</x:f>
        <x:v>0.3333333333333333</x:v>
      </x:c>
      <x:c r="AA248" s="24" t="n">
        <x:f>IFERROR(F248/H248,0)-IFERROR(G248/I248,0)</x:f>
        <x:v>-0.08333333333333333</x:v>
      </x:c>
      <x:c r="AB248" s="28" t="n">
        <x:f>J248-K248</x:f>
        <x:v>-1</x:v>
      </x:c>
      <x:c r="AC248" s="32" t="n">
        <x:f>F248-G248</x:f>
        <x:v>-2</x:v>
      </x:c>
    </x:row>
    <x:row r="249">
      <x:c r="A249" s="4" t="str">
        <x:v>2021-22</x:v>
      </x:c>
      <x:c r="B249" s="20" t="n">
        <x:v>44527</x:v>
      </x:c>
      <x:c r="C249" s="4" t="str">
        <x:v>Norwich</x:v>
      </x:c>
      <x:c r="D249" s="4" t="str">
        <x:v>Wolves</x:v>
      </x:c>
      <x:c r="E249" s="4" t="str">
        <x:v>Home</x:v>
      </x:c>
      <x:c r="F249" s="28" t="n">
        <x:v>0</x:v>
      </x:c>
      <x:c r="G249" s="28" t="n">
        <x:v>0</x:v>
      </x:c>
      <x:c r="H249" s="28" t="n">
        <x:v>14</x:v>
      </x:c>
      <x:c r="I249" s="28" t="n">
        <x:v>5</x:v>
      </x:c>
      <x:c r="J249" s="28" t="n">
        <x:v>4</x:v>
      </x:c>
      <x:c r="K249" s="28" t="n">
        <x:v>2</x:v>
      </x:c>
      <x:c r="L249" s="28" t="n">
        <x:v>4</x:v>
      </x:c>
      <x:c r="M249" s="28" t="n">
        <x:v>3</x:v>
      </x:c>
      <x:c r="N249" s="28" t="n">
        <x:v>2</x:v>
      </x:c>
      <x:c r="O249" s="28" t="n">
        <x:v>0</x:v>
      </x:c>
      <x:c r="P249" s="28" t="n">
        <x:v>1</x:v>
      </x:c>
      <x:c r="Q249" s="24" t="n">
        <x:f>IFERROR(J249/H249,0)</x:f>
        <x:v>0.2857142857142857</x:v>
      </x:c>
      <x:c r="R249" s="24" t="n">
        <x:f>IFERROR(F249/H249,0)</x:f>
        <x:v>0</x:v>
      </x:c>
      <x:c r="S249" s="24" t="n">
        <x:f>IFERROR(F249/J249,0)</x:f>
        <x:v>0</x:v>
      </x:c>
      <x:c r="T249" s="28" t="n">
        <x:f>H249-I249</x:f>
        <x:v>9</x:v>
      </x:c>
      <x:c r="U249" s="24" t="n">
        <x:f>IFERROR(J249/H249,0)-IFERROR(K249/I249,0)</x:f>
        <x:v>-0.11428571428571432</x:v>
      </x:c>
      <x:c r="V249" s="24" t="n">
        <x:f>IFERROR(F249/J249,0)-IFERROR(G249/K249,0)</x:f>
        <x:v>0</x:v>
      </x:c>
      <x:c r="W249" s="28" t="n">
        <x:f>L249-M249</x:f>
        <x:v>1</x:v>
      </x:c>
      <x:c r="X249" s="24" t="n">
        <x:f>IFERROR(K249/I249,0)</x:f>
        <x:v>0.4</x:v>
      </x:c>
      <x:c r="Y249" s="24" t="n">
        <x:f>IFERROR(G249/I249,0)</x:f>
        <x:v>0</x:v>
      </x:c>
      <x:c r="Z249" s="24" t="n">
        <x:f>IFERROR(G249/K249,0)</x:f>
        <x:v>0</x:v>
      </x:c>
      <x:c r="AA249" s="24" t="n">
        <x:f>IFERROR(F249/H249,0)-IFERROR(G249/I249,0)</x:f>
        <x:v>0</x:v>
      </x:c>
      <x:c r="AB249" s="28" t="n">
        <x:f>J249-K249</x:f>
        <x:v>2</x:v>
      </x:c>
      <x:c r="AC249" s="32" t="n">
        <x:f>F249-G249</x:f>
        <x:v>0</x:v>
      </x:c>
    </x:row>
    <x:row r="250">
      <x:c r="A250" s="4" t="str">
        <x:v>2021-22</x:v>
      </x:c>
      <x:c r="B250" s="20" t="n">
        <x:v>44527</x:v>
      </x:c>
      <x:c r="C250" s="4" t="str">
        <x:v>Southampton</x:v>
      </x:c>
      <x:c r="D250" s="4" t="str">
        <x:v>Liverpool</x:v>
      </x:c>
      <x:c r="E250" s="4" t="str">
        <x:v>Away</x:v>
      </x:c>
      <x:c r="F250" s="28" t="n">
        <x:v>0</x:v>
      </x:c>
      <x:c r="G250" s="28" t="n">
        <x:v>4</x:v>
      </x:c>
      <x:c r="H250" s="28" t="n">
        <x:v>7</x:v>
      </x:c>
      <x:c r="I250" s="28" t="n">
        <x:v>20</x:v>
      </x:c>
      <x:c r="J250" s="28" t="n">
        <x:v>3</x:v>
      </x:c>
      <x:c r="K250" s="28" t="n">
        <x:v>6</x:v>
      </x:c>
      <x:c r="L250" s="28" t="n">
        <x:v>7</x:v>
      </x:c>
      <x:c r="M250" s="28" t="n">
        <x:v>5</x:v>
      </x:c>
      <x:c r="N250" s="28" t="n">
        <x:v>1</x:v>
      </x:c>
      <x:c r="O250" s="28" t="n">
        <x:v>0</x:v>
      </x:c>
      <x:c r="P250" s="28" t="n">
        <x:v>0</x:v>
      </x:c>
      <x:c r="Q250" s="24" t="n">
        <x:f>IFERROR(J250/H250,0)</x:f>
        <x:v>0.42857142857142855</x:v>
      </x:c>
      <x:c r="R250" s="24" t="n">
        <x:f>IFERROR(F250/H250,0)</x:f>
        <x:v>0</x:v>
      </x:c>
      <x:c r="S250" s="24" t="n">
        <x:f>IFERROR(F250/J250,0)</x:f>
        <x:v>0</x:v>
      </x:c>
      <x:c r="T250" s="28" t="n">
        <x:f>H250-I250</x:f>
        <x:v>-13</x:v>
      </x:c>
      <x:c r="U250" s="24" t="n">
        <x:f>IFERROR(J250/H250,0)-IFERROR(K250/I250,0)</x:f>
        <x:v>0.12857142857142856</x:v>
      </x:c>
      <x:c r="V250" s="24" t="n">
        <x:f>IFERROR(F250/J250,0)-IFERROR(G250/K250,0)</x:f>
        <x:v>-0.6666666666666666</x:v>
      </x:c>
      <x:c r="W250" s="28" t="n">
        <x:f>L250-M250</x:f>
        <x:v>2</x:v>
      </x:c>
      <x:c r="X250" s="24" t="n">
        <x:f>IFERROR(K250/I250,0)</x:f>
        <x:v>0.3</x:v>
      </x:c>
      <x:c r="Y250" s="24" t="n">
        <x:f>IFERROR(G250/I250,0)</x:f>
        <x:v>0.2</x:v>
      </x:c>
      <x:c r="Z250" s="24" t="n">
        <x:f>IFERROR(G250/K250,0)</x:f>
        <x:v>0.6666666666666666</x:v>
      </x:c>
      <x:c r="AA250" s="24" t="n">
        <x:f>IFERROR(F250/H250,0)-IFERROR(G250/I250,0)</x:f>
        <x:v>-0.2</x:v>
      </x:c>
      <x:c r="AB250" s="28" t="n">
        <x:f>J250-K250</x:f>
        <x:v>-3</x:v>
      </x:c>
      <x:c r="AC250" s="32" t="n">
        <x:f>F250-G250</x:f>
        <x:v>-4</x:v>
      </x:c>
    </x:row>
    <x:row r="251">
      <x:c r="A251" s="4" t="str">
        <x:v>2021-22</x:v>
      </x:c>
      <x:c r="B251" s="20" t="n">
        <x:v>44527</x:v>
      </x:c>
      <x:c r="C251" s="4" t="str">
        <x:v>Wolves</x:v>
      </x:c>
      <x:c r="D251" s="4" t="str">
        <x:v>Norwich</x:v>
      </x:c>
      <x:c r="E251" s="4" t="str">
        <x:v>Away</x:v>
      </x:c>
      <x:c r="F251" s="28" t="n">
        <x:v>0</x:v>
      </x:c>
      <x:c r="G251" s="28" t="n">
        <x:v>0</x:v>
      </x:c>
      <x:c r="H251" s="28" t="n">
        <x:v>5</x:v>
      </x:c>
      <x:c r="I251" s="28" t="n">
        <x:v>14</x:v>
      </x:c>
      <x:c r="J251" s="28" t="n">
        <x:v>2</x:v>
      </x:c>
      <x:c r="K251" s="28" t="n">
        <x:v>4</x:v>
      </x:c>
      <x:c r="L251" s="28" t="n">
        <x:v>3</x:v>
      </x:c>
      <x:c r="M251" s="28" t="n">
        <x:v>4</x:v>
      </x:c>
      <x:c r="N251" s="28" t="n">
        <x:v>2</x:v>
      </x:c>
      <x:c r="O251" s="28" t="n">
        <x:v>0</x:v>
      </x:c>
      <x:c r="P251" s="28" t="n">
        <x:v>1</x:v>
      </x:c>
      <x:c r="Q251" s="24" t="n">
        <x:f>IFERROR(J251/H251,0)</x:f>
        <x:v>0.4</x:v>
      </x:c>
      <x:c r="R251" s="24" t="n">
        <x:f>IFERROR(F251/H251,0)</x:f>
        <x:v>0</x:v>
      </x:c>
      <x:c r="S251" s="24" t="n">
        <x:f>IFERROR(F251/J251,0)</x:f>
        <x:v>0</x:v>
      </x:c>
      <x:c r="T251" s="28" t="n">
        <x:f>H251-I251</x:f>
        <x:v>-9</x:v>
      </x:c>
      <x:c r="U251" s="24" t="n">
        <x:f>IFERROR(J251/H251,0)-IFERROR(K251/I251,0)</x:f>
        <x:v>0.11428571428571432</x:v>
      </x:c>
      <x:c r="V251" s="24" t="n">
        <x:f>IFERROR(F251/J251,0)-IFERROR(G251/K251,0)</x:f>
        <x:v>0</x:v>
      </x:c>
      <x:c r="W251" s="28" t="n">
        <x:f>L251-M251</x:f>
        <x:v>-1</x:v>
      </x:c>
      <x:c r="X251" s="24" t="n">
        <x:f>IFERROR(K251/I251,0)</x:f>
        <x:v>0.2857142857142857</x:v>
      </x:c>
      <x:c r="Y251" s="24" t="n">
        <x:f>IFERROR(G251/I251,0)</x:f>
        <x:v>0</x:v>
      </x:c>
      <x:c r="Z251" s="24" t="n">
        <x:f>IFERROR(G251/K251,0)</x:f>
        <x:v>0</x:v>
      </x:c>
      <x:c r="AA251" s="24" t="n">
        <x:f>IFERROR(F251/H251,0)-IFERROR(G251/I251,0)</x:f>
        <x:v>0</x:v>
      </x:c>
      <x:c r="AB251" s="28" t="n">
        <x:f>J251-K251</x:f>
        <x:v>-2</x:v>
      </x:c>
      <x:c r="AC251" s="32" t="n">
        <x:f>F251-G251</x:f>
        <x:v>0</x:v>
      </x:c>
    </x:row>
    <x:row r="252">
      <x:c r="A252" s="4" t="str">
        <x:v>2021-22</x:v>
      </x:c>
      <x:c r="B252" s="20" t="n">
        <x:v>44528</x:v>
      </x:c>
      <x:c r="C252" s="4" t="str">
        <x:v>Brentford</x:v>
      </x:c>
      <x:c r="D252" s="4" t="str">
        <x:v>Everton</x:v>
      </x:c>
      <x:c r="E252" s="4" t="str">
        <x:v>Home</x:v>
      </x:c>
      <x:c r="F252" s="28" t="n">
        <x:v>1</x:v>
      </x:c>
      <x:c r="G252" s="28" t="n">
        <x:v>0</x:v>
      </x:c>
      <x:c r="H252" s="28" t="n">
        <x:v>6</x:v>
      </x:c>
      <x:c r="I252" s="28" t="n">
        <x:v>14</x:v>
      </x:c>
      <x:c r="J252" s="28" t="n">
        <x:v>4</x:v>
      </x:c>
      <x:c r="K252" s="28" t="n">
        <x:v>5</x:v>
      </x:c>
      <x:c r="L252" s="28" t="n">
        <x:v>3</x:v>
      </x:c>
      <x:c r="M252" s="28" t="n">
        <x:v>3</x:v>
      </x:c>
      <x:c r="N252" s="28" t="n">
        <x:v>4</x:v>
      </x:c>
      <x:c r="O252" s="28" t="n">
        <x:v>0</x:v>
      </x:c>
      <x:c r="P252" s="28" t="n">
        <x:v>3</x:v>
      </x:c>
      <x:c r="Q252" s="24" t="n">
        <x:f>IFERROR(J252/H252,0)</x:f>
        <x:v>0.6666666666666666</x:v>
      </x:c>
      <x:c r="R252" s="24" t="n">
        <x:f>IFERROR(F252/H252,0)</x:f>
        <x:v>0.16666666666666666</x:v>
      </x:c>
      <x:c r="S252" s="24" t="n">
        <x:f>IFERROR(F252/J252,0)</x:f>
        <x:v>0.25</x:v>
      </x:c>
      <x:c r="T252" s="28" t="n">
        <x:f>H252-I252</x:f>
        <x:v>-8</x:v>
      </x:c>
      <x:c r="U252" s="24" t="n">
        <x:f>IFERROR(J252/H252,0)-IFERROR(K252/I252,0)</x:f>
        <x:v>0.3095238095238095</x:v>
      </x:c>
      <x:c r="V252" s="24" t="n">
        <x:f>IFERROR(F252/J252,0)-IFERROR(G252/K252,0)</x:f>
        <x:v>0.25</x:v>
      </x:c>
      <x:c r="W252" s="28" t="n">
        <x:f>L252-M252</x:f>
        <x:v>0</x:v>
      </x:c>
      <x:c r="X252" s="24" t="n">
        <x:f>IFERROR(K252/I252,0)</x:f>
        <x:v>0.35714285714285715</x:v>
      </x:c>
      <x:c r="Y252" s="24" t="n">
        <x:f>IFERROR(G252/I252,0)</x:f>
        <x:v>0</x:v>
      </x:c>
      <x:c r="Z252" s="24" t="n">
        <x:f>IFERROR(G252/K252,0)</x:f>
        <x:v>0</x:v>
      </x:c>
      <x:c r="AA252" s="24" t="n">
        <x:f>IFERROR(F252/H252,0)-IFERROR(G252/I252,0)</x:f>
        <x:v>0.16666666666666666</x:v>
      </x:c>
      <x:c r="AB252" s="28" t="n">
        <x:f>J252-K252</x:f>
        <x:v>-1</x:v>
      </x:c>
      <x:c r="AC252" s="32" t="n">
        <x:f>F252-G252</x:f>
        <x:v>1</x:v>
      </x:c>
    </x:row>
    <x:row r="253">
      <x:c r="A253" s="4" t="str">
        <x:v>2021-22</x:v>
      </x:c>
      <x:c r="B253" s="20" t="n">
        <x:v>44528</x:v>
      </x:c>
      <x:c r="C253" s="4" t="str">
        <x:v>Chelsea</x:v>
      </x:c>
      <x:c r="D253" s="4" t="str">
        <x:v>Man United</x:v>
      </x:c>
      <x:c r="E253" s="4" t="str">
        <x:v>Home</x:v>
      </x:c>
      <x:c r="F253" s="28" t="n">
        <x:v>1</x:v>
      </x:c>
      <x:c r="G253" s="28" t="n">
        <x:v>1</x:v>
      </x:c>
      <x:c r="H253" s="28" t="n">
        <x:v>24</x:v>
      </x:c>
      <x:c r="I253" s="28" t="n">
        <x:v>3</x:v>
      </x:c>
      <x:c r="J253" s="28" t="n">
        <x:v>6</x:v>
      </x:c>
      <x:c r="K253" s="28" t="n">
        <x:v>2</x:v>
      </x:c>
      <x:c r="L253" s="28" t="n">
        <x:v>15</x:v>
      </x:c>
      <x:c r="M253" s="28" t="n">
        <x:v>2</x:v>
      </x:c>
      <x:c r="N253" s="28" t="n">
        <x:v>2</x:v>
      </x:c>
      <x:c r="O253" s="28" t="n">
        <x:v>0</x:v>
      </x:c>
      <x:c r="P253" s="28" t="n">
        <x:v>1</x:v>
      </x:c>
      <x:c r="Q253" s="24" t="n">
        <x:f>IFERROR(J253/H253,0)</x:f>
        <x:v>0.25</x:v>
      </x:c>
      <x:c r="R253" s="24" t="n">
        <x:f>IFERROR(F253/H253,0)</x:f>
        <x:v>0.041666666666666664</x:v>
      </x:c>
      <x:c r="S253" s="24" t="n">
        <x:f>IFERROR(F253/J253,0)</x:f>
        <x:v>0.16666666666666666</x:v>
      </x:c>
      <x:c r="T253" s="28" t="n">
        <x:f>H253-I253</x:f>
        <x:v>21</x:v>
      </x:c>
      <x:c r="U253" s="24" t="n">
        <x:f>IFERROR(J253/H253,0)-IFERROR(K253/I253,0)</x:f>
        <x:v>-0.41666666666666663</x:v>
      </x:c>
      <x:c r="V253" s="24" t="n">
        <x:f>IFERROR(F253/J253,0)-IFERROR(G253/K253,0)</x:f>
        <x:v>-0.33333333333333337</x:v>
      </x:c>
      <x:c r="W253" s="28" t="n">
        <x:f>L253-M253</x:f>
        <x:v>13</x:v>
      </x:c>
      <x:c r="X253" s="24" t="n">
        <x:f>IFERROR(K253/I253,0)</x:f>
        <x:v>0.6666666666666666</x:v>
      </x:c>
      <x:c r="Y253" s="24" t="n">
        <x:f>IFERROR(G253/I253,0)</x:f>
        <x:v>0.3333333333333333</x:v>
      </x:c>
      <x:c r="Z253" s="24" t="n">
        <x:f>IFERROR(G253/K253,0)</x:f>
        <x:v>0.5</x:v>
      </x:c>
      <x:c r="AA253" s="24" t="n">
        <x:f>IFERROR(F253/H253,0)-IFERROR(G253/I253,0)</x:f>
        <x:v>-0.29166666666666663</x:v>
      </x:c>
      <x:c r="AB253" s="28" t="n">
        <x:f>J253-K253</x:f>
        <x:v>4</x:v>
      </x:c>
      <x:c r="AC253" s="32" t="n">
        <x:f>F253-G253</x:f>
        <x:v>0</x:v>
      </x:c>
    </x:row>
    <x:row r="254">
      <x:c r="A254" s="4" t="str">
        <x:v>2021-22</x:v>
      </x:c>
      <x:c r="B254" s="20" t="n">
        <x:v>44528</x:v>
      </x:c>
      <x:c r="C254" s="4" t="str">
        <x:v>Everton</x:v>
      </x:c>
      <x:c r="D254" s="4" t="str">
        <x:v>Brentford</x:v>
      </x:c>
      <x:c r="E254" s="4" t="str">
        <x:v>Away</x:v>
      </x:c>
      <x:c r="F254" s="28" t="n">
        <x:v>0</x:v>
      </x:c>
      <x:c r="G254" s="28" t="n">
        <x:v>1</x:v>
      </x:c>
      <x:c r="H254" s="28" t="n">
        <x:v>14</x:v>
      </x:c>
      <x:c r="I254" s="28" t="n">
        <x:v>6</x:v>
      </x:c>
      <x:c r="J254" s="28" t="n">
        <x:v>5</x:v>
      </x:c>
      <x:c r="K254" s="28" t="n">
        <x:v>4</x:v>
      </x:c>
      <x:c r="L254" s="28" t="n">
        <x:v>3</x:v>
      </x:c>
      <x:c r="M254" s="28" t="n">
        <x:v>3</x:v>
      </x:c>
      <x:c r="N254" s="28" t="n">
        <x:v>3</x:v>
      </x:c>
      <x:c r="O254" s="28" t="n">
        <x:v>0</x:v>
      </x:c>
      <x:c r="P254" s="28" t="n">
        <x:v>0</x:v>
      </x:c>
      <x:c r="Q254" s="24" t="n">
        <x:f>IFERROR(J254/H254,0)</x:f>
        <x:v>0.35714285714285715</x:v>
      </x:c>
      <x:c r="R254" s="24" t="n">
        <x:f>IFERROR(F254/H254,0)</x:f>
        <x:v>0</x:v>
      </x:c>
      <x:c r="S254" s="24" t="n">
        <x:f>IFERROR(F254/J254,0)</x:f>
        <x:v>0</x:v>
      </x:c>
      <x:c r="T254" s="28" t="n">
        <x:f>H254-I254</x:f>
        <x:v>8</x:v>
      </x:c>
      <x:c r="U254" s="24" t="n">
        <x:f>IFERROR(J254/H254,0)-IFERROR(K254/I254,0)</x:f>
        <x:v>-0.3095238095238095</x:v>
      </x:c>
      <x:c r="V254" s="24" t="n">
        <x:f>IFERROR(F254/J254,0)-IFERROR(G254/K254,0)</x:f>
        <x:v>-0.25</x:v>
      </x:c>
      <x:c r="W254" s="28" t="n">
        <x:f>L254-M254</x:f>
        <x:v>0</x:v>
      </x:c>
      <x:c r="X254" s="24" t="n">
        <x:f>IFERROR(K254/I254,0)</x:f>
        <x:v>0.6666666666666666</x:v>
      </x:c>
      <x:c r="Y254" s="24" t="n">
        <x:f>IFERROR(G254/I254,0)</x:f>
        <x:v>0.16666666666666666</x:v>
      </x:c>
      <x:c r="Z254" s="24" t="n">
        <x:f>IFERROR(G254/K254,0)</x:f>
        <x:v>0.25</x:v>
      </x:c>
      <x:c r="AA254" s="24" t="n">
        <x:f>IFERROR(F254/H254,0)-IFERROR(G254/I254,0)</x:f>
        <x:v>-0.16666666666666666</x:v>
      </x:c>
      <x:c r="AB254" s="28" t="n">
        <x:f>J254-K254</x:f>
        <x:v>1</x:v>
      </x:c>
      <x:c r="AC254" s="32" t="n">
        <x:f>F254-G254</x:f>
        <x:v>-1</x:v>
      </x:c>
    </x:row>
    <x:row r="255">
      <x:c r="A255" s="4" t="str">
        <x:v>2021-22</x:v>
      </x:c>
      <x:c r="B255" s="20" t="n">
        <x:v>44528</x:v>
      </x:c>
      <x:c r="C255" s="4" t="str">
        <x:v>Leicester</x:v>
      </x:c>
      <x:c r="D255" s="4" t="str">
        <x:v>Watford</x:v>
      </x:c>
      <x:c r="E255" s="4" t="str">
        <x:v>Home</x:v>
      </x:c>
      <x:c r="F255" s="28" t="n">
        <x:v>4</x:v>
      </x:c>
      <x:c r="G255" s="28" t="n">
        <x:v>2</x:v>
      </x:c>
      <x:c r="H255" s="28" t="n">
        <x:v>18</x:v>
      </x:c>
      <x:c r="I255" s="28" t="n">
        <x:v>16</x:v>
      </x:c>
      <x:c r="J255" s="28" t="n">
        <x:v>8</x:v>
      </x:c>
      <x:c r="K255" s="28" t="n">
        <x:v>5</x:v>
      </x:c>
      <x:c r="L255" s="28" t="n">
        <x:v>8</x:v>
      </x:c>
      <x:c r="M255" s="28" t="n">
        <x:v>6</x:v>
      </x:c>
      <x:c r="N255" s="28" t="n">
        <x:v>0</x:v>
      </x:c>
      <x:c r="O255" s="28" t="n">
        <x:v>0</x:v>
      </x:c>
      <x:c r="P255" s="28" t="n">
        <x:v>3</x:v>
      </x:c>
      <x:c r="Q255" s="24" t="n">
        <x:f>IFERROR(J255/H255,0)</x:f>
        <x:v>0.4444444444444444</x:v>
      </x:c>
      <x:c r="R255" s="24" t="n">
        <x:f>IFERROR(F255/H255,0)</x:f>
        <x:v>0.2222222222222222</x:v>
      </x:c>
      <x:c r="S255" s="24" t="n">
        <x:f>IFERROR(F255/J255,0)</x:f>
        <x:v>0.5</x:v>
      </x:c>
      <x:c r="T255" s="28" t="n">
        <x:f>H255-I255</x:f>
        <x:v>2</x:v>
      </x:c>
      <x:c r="U255" s="24" t="n">
        <x:f>IFERROR(J255/H255,0)-IFERROR(K255/I255,0)</x:f>
        <x:v>0.13194444444444442</x:v>
      </x:c>
      <x:c r="V255" s="24" t="n">
        <x:f>IFERROR(F255/J255,0)-IFERROR(G255/K255,0)</x:f>
        <x:v>0.09999999999999998</x:v>
      </x:c>
      <x:c r="W255" s="28" t="n">
        <x:f>L255-M255</x:f>
        <x:v>2</x:v>
      </x:c>
      <x:c r="X255" s="24" t="n">
        <x:f>IFERROR(K255/I255,0)</x:f>
        <x:v>0.3125</x:v>
      </x:c>
      <x:c r="Y255" s="24" t="n">
        <x:f>IFERROR(G255/I255,0)</x:f>
        <x:v>0.125</x:v>
      </x:c>
      <x:c r="Z255" s="24" t="n">
        <x:f>IFERROR(G255/K255,0)</x:f>
        <x:v>0.4</x:v>
      </x:c>
      <x:c r="AA255" s="24" t="n">
        <x:f>IFERROR(F255/H255,0)-IFERROR(G255/I255,0)</x:f>
        <x:v>0.09722222222222221</x:v>
      </x:c>
      <x:c r="AB255" s="28" t="n">
        <x:f>J255-K255</x:f>
        <x:v>3</x:v>
      </x:c>
      <x:c r="AC255" s="32" t="n">
        <x:f>F255-G255</x:f>
        <x:v>2</x:v>
      </x:c>
    </x:row>
    <x:row r="256">
      <x:c r="A256" s="4" t="str">
        <x:v>2021-22</x:v>
      </x:c>
      <x:c r="B256" s="20" t="n">
        <x:v>44528</x:v>
      </x:c>
      <x:c r="C256" s="4" t="str">
        <x:v>Man City</x:v>
      </x:c>
      <x:c r="D256" s="4" t="str">
        <x:v>West Ham</x:v>
      </x:c>
      <x:c r="E256" s="4" t="str">
        <x:v>Home</x:v>
      </x:c>
      <x:c r="F256" s="28" t="n">
        <x:v>2</x:v>
      </x:c>
      <x:c r="G256" s="28" t="n">
        <x:v>1</x:v>
      </x:c>
      <x:c r="H256" s="28" t="n">
        <x:v>19</x:v>
      </x:c>
      <x:c r="I256" s="28" t="n">
        <x:v>5</x:v>
      </x:c>
      <x:c r="J256" s="28" t="n">
        <x:v>9</x:v>
      </x:c>
      <x:c r="K256" s="28" t="n">
        <x:v>3</x:v>
      </x:c>
      <x:c r="L256" s="28" t="n">
        <x:v>8</x:v>
      </x:c>
      <x:c r="M256" s="28" t="n">
        <x:v>4</x:v>
      </x:c>
      <x:c r="N256" s="28" t="n">
        <x:v>2</x:v>
      </x:c>
      <x:c r="O256" s="28" t="n">
        <x:v>0</x:v>
      </x:c>
      <x:c r="P256" s="28" t="n">
        <x:v>3</x:v>
      </x:c>
      <x:c r="Q256" s="24" t="n">
        <x:f>IFERROR(J256/H256,0)</x:f>
        <x:v>0.47368421052631576</x:v>
      </x:c>
      <x:c r="R256" s="24" t="n">
        <x:f>IFERROR(F256/H256,0)</x:f>
        <x:v>0.10526315789473684</x:v>
      </x:c>
      <x:c r="S256" s="24" t="n">
        <x:f>IFERROR(F256/J256,0)</x:f>
        <x:v>0.2222222222222222</x:v>
      </x:c>
      <x:c r="T256" s="28" t="n">
        <x:f>H256-I256</x:f>
        <x:v>14</x:v>
      </x:c>
      <x:c r="U256" s="24" t="n">
        <x:f>IFERROR(J256/H256,0)-IFERROR(K256/I256,0)</x:f>
        <x:v>-0.12631578947368421</x:v>
      </x:c>
      <x:c r="V256" s="24" t="n">
        <x:f>IFERROR(F256/J256,0)-IFERROR(G256/K256,0)</x:f>
        <x:v>-0.1111111111111111</x:v>
      </x:c>
      <x:c r="W256" s="28" t="n">
        <x:f>L256-M256</x:f>
        <x:v>4</x:v>
      </x:c>
      <x:c r="X256" s="24" t="n">
        <x:f>IFERROR(K256/I256,0)</x:f>
        <x:v>0.6</x:v>
      </x:c>
      <x:c r="Y256" s="24" t="n">
        <x:f>IFERROR(G256/I256,0)</x:f>
        <x:v>0.2</x:v>
      </x:c>
      <x:c r="Z256" s="24" t="n">
        <x:f>IFERROR(G256/K256,0)</x:f>
        <x:v>0.3333333333333333</x:v>
      </x:c>
      <x:c r="AA256" s="24" t="n">
        <x:f>IFERROR(F256/H256,0)-IFERROR(G256/I256,0)</x:f>
        <x:v>-0.09473684210526317</x:v>
      </x:c>
      <x:c r="AB256" s="28" t="n">
        <x:f>J256-K256</x:f>
        <x:v>6</x:v>
      </x:c>
      <x:c r="AC256" s="32" t="n">
        <x:f>F256-G256</x:f>
        <x:v>1</x:v>
      </x:c>
    </x:row>
    <x:row r="257">
      <x:c r="A257" s="4" t="str">
        <x:v>2021-22</x:v>
      </x:c>
      <x:c r="B257" s="20" t="n">
        <x:v>44528</x:v>
      </x:c>
      <x:c r="C257" s="4" t="str">
        <x:v>Man United</x:v>
      </x:c>
      <x:c r="D257" s="4" t="str">
        <x:v>Chelsea</x:v>
      </x:c>
      <x:c r="E257" s="4" t="str">
        <x:v>Away</x:v>
      </x:c>
      <x:c r="F257" s="28" t="n">
        <x:v>1</x:v>
      </x:c>
      <x:c r="G257" s="28" t="n">
        <x:v>1</x:v>
      </x:c>
      <x:c r="H257" s="28" t="n">
        <x:v>3</x:v>
      </x:c>
      <x:c r="I257" s="28" t="n">
        <x:v>24</x:v>
      </x:c>
      <x:c r="J257" s="28" t="n">
        <x:v>2</x:v>
      </x:c>
      <x:c r="K257" s="28" t="n">
        <x:v>6</x:v>
      </x:c>
      <x:c r="L257" s="28" t="n">
        <x:v>2</x:v>
      </x:c>
      <x:c r="M257" s="28" t="n">
        <x:v>15</x:v>
      </x:c>
      <x:c r="N257" s="28" t="n">
        <x:v>5</x:v>
      </x:c>
      <x:c r="O257" s="28" t="n">
        <x:v>0</x:v>
      </x:c>
      <x:c r="P257" s="28" t="n">
        <x:v>1</x:v>
      </x:c>
      <x:c r="Q257" s="24" t="n">
        <x:f>IFERROR(J257/H257,0)</x:f>
        <x:v>0.6666666666666666</x:v>
      </x:c>
      <x:c r="R257" s="24" t="n">
        <x:f>IFERROR(F257/H257,0)</x:f>
        <x:v>0.3333333333333333</x:v>
      </x:c>
      <x:c r="S257" s="24" t="n">
        <x:f>IFERROR(F257/J257,0)</x:f>
        <x:v>0.5</x:v>
      </x:c>
      <x:c r="T257" s="28" t="n">
        <x:f>H257-I257</x:f>
        <x:v>-21</x:v>
      </x:c>
      <x:c r="U257" s="24" t="n">
        <x:f>IFERROR(J257/H257,0)-IFERROR(K257/I257,0)</x:f>
        <x:v>0.41666666666666663</x:v>
      </x:c>
      <x:c r="V257" s="24" t="n">
        <x:f>IFERROR(F257/J257,0)-IFERROR(G257/K257,0)</x:f>
        <x:v>0.33333333333333337</x:v>
      </x:c>
      <x:c r="W257" s="28" t="n">
        <x:f>L257-M257</x:f>
        <x:v>-13</x:v>
      </x:c>
      <x:c r="X257" s="24" t="n">
        <x:f>IFERROR(K257/I257,0)</x:f>
        <x:v>0.25</x:v>
      </x:c>
      <x:c r="Y257" s="24" t="n">
        <x:f>IFERROR(G257/I257,0)</x:f>
        <x:v>0.041666666666666664</x:v>
      </x:c>
      <x:c r="Z257" s="24" t="n">
        <x:f>IFERROR(G257/K257,0)</x:f>
        <x:v>0.16666666666666666</x:v>
      </x:c>
      <x:c r="AA257" s="24" t="n">
        <x:f>IFERROR(F257/H257,0)-IFERROR(G257/I257,0)</x:f>
        <x:v>0.29166666666666663</x:v>
      </x:c>
      <x:c r="AB257" s="28" t="n">
        <x:f>J257-K257</x:f>
        <x:v>-4</x:v>
      </x:c>
      <x:c r="AC257" s="32" t="n">
        <x:f>F257-G257</x:f>
        <x:v>0</x:v>
      </x:c>
    </x:row>
    <x:row r="258">
      <x:c r="A258" s="4" t="str">
        <x:v>2021-22</x:v>
      </x:c>
      <x:c r="B258" s="20" t="n">
        <x:v>44528</x:v>
      </x:c>
      <x:c r="C258" s="4" t="str">
        <x:v>Watford</x:v>
      </x:c>
      <x:c r="D258" s="4" t="str">
        <x:v>Leicester</x:v>
      </x:c>
      <x:c r="E258" s="4" t="str">
        <x:v>Away</x:v>
      </x:c>
      <x:c r="F258" s="28" t="n">
        <x:v>2</x:v>
      </x:c>
      <x:c r="G258" s="28" t="n">
        <x:v>4</x:v>
      </x:c>
      <x:c r="H258" s="28" t="n">
        <x:v>16</x:v>
      </x:c>
      <x:c r="I258" s="28" t="n">
        <x:v>18</x:v>
      </x:c>
      <x:c r="J258" s="28" t="n">
        <x:v>5</x:v>
      </x:c>
      <x:c r="K258" s="28" t="n">
        <x:v>8</x:v>
      </x:c>
      <x:c r="L258" s="28" t="n">
        <x:v>6</x:v>
      </x:c>
      <x:c r="M258" s="28" t="n">
        <x:v>8</x:v>
      </x:c>
      <x:c r="N258" s="28" t="n">
        <x:v>0</x:v>
      </x:c>
      <x:c r="O258" s="28" t="n">
        <x:v>0</x:v>
      </x:c>
      <x:c r="P258" s="28" t="n">
        <x:v>0</x:v>
      </x:c>
      <x:c r="Q258" s="24" t="n">
        <x:f>IFERROR(J258/H258,0)</x:f>
        <x:v>0.3125</x:v>
      </x:c>
      <x:c r="R258" s="24" t="n">
        <x:f>IFERROR(F258/H258,0)</x:f>
        <x:v>0.125</x:v>
      </x:c>
      <x:c r="S258" s="24" t="n">
        <x:f>IFERROR(F258/J258,0)</x:f>
        <x:v>0.4</x:v>
      </x:c>
      <x:c r="T258" s="28" t="n">
        <x:f>H258-I258</x:f>
        <x:v>-2</x:v>
      </x:c>
      <x:c r="U258" s="24" t="n">
        <x:f>IFERROR(J258/H258,0)-IFERROR(K258/I258,0)</x:f>
        <x:v>-0.13194444444444442</x:v>
      </x:c>
      <x:c r="V258" s="24" t="n">
        <x:f>IFERROR(F258/J258,0)-IFERROR(G258/K258,0)</x:f>
        <x:v>-0.09999999999999998</x:v>
      </x:c>
      <x:c r="W258" s="28" t="n">
        <x:f>L258-M258</x:f>
        <x:v>-2</x:v>
      </x:c>
      <x:c r="X258" s="24" t="n">
        <x:f>IFERROR(K258/I258,0)</x:f>
        <x:v>0.4444444444444444</x:v>
      </x:c>
      <x:c r="Y258" s="24" t="n">
        <x:f>IFERROR(G258/I258,0)</x:f>
        <x:v>0.2222222222222222</x:v>
      </x:c>
      <x:c r="Z258" s="24" t="n">
        <x:f>IFERROR(G258/K258,0)</x:f>
        <x:v>0.5</x:v>
      </x:c>
      <x:c r="AA258" s="24" t="n">
        <x:f>IFERROR(F258/H258,0)-IFERROR(G258/I258,0)</x:f>
        <x:v>-0.09722222222222221</x:v>
      </x:c>
      <x:c r="AB258" s="28" t="n">
        <x:f>J258-K258</x:f>
        <x:v>-3</x:v>
      </x:c>
      <x:c r="AC258" s="32" t="n">
        <x:f>F258-G258</x:f>
        <x:v>-2</x:v>
      </x:c>
    </x:row>
    <x:row r="259">
      <x:c r="A259" s="4" t="str">
        <x:v>2021-22</x:v>
      </x:c>
      <x:c r="B259" s="20" t="n">
        <x:v>44528</x:v>
      </x:c>
      <x:c r="C259" s="4" t="str">
        <x:v>West Ham</x:v>
      </x:c>
      <x:c r="D259" s="4" t="str">
        <x:v>Man City</x:v>
      </x:c>
      <x:c r="E259" s="4" t="str">
        <x:v>Away</x:v>
      </x:c>
      <x:c r="F259" s="28" t="n">
        <x:v>1</x:v>
      </x:c>
      <x:c r="G259" s="28" t="n">
        <x:v>2</x:v>
      </x:c>
      <x:c r="H259" s="28" t="n">
        <x:v>5</x:v>
      </x:c>
      <x:c r="I259" s="28" t="n">
        <x:v>19</x:v>
      </x:c>
      <x:c r="J259" s="28" t="n">
        <x:v>3</x:v>
      </x:c>
      <x:c r="K259" s="28" t="n">
        <x:v>9</x:v>
      </x:c>
      <x:c r="L259" s="28" t="n">
        <x:v>4</x:v>
      </x:c>
      <x:c r="M259" s="28" t="n">
        <x:v>8</x:v>
      </x:c>
      <x:c r="N259" s="28" t="n">
        <x:v>0</x:v>
      </x:c>
      <x:c r="O259" s="28" t="n">
        <x:v>0</x:v>
      </x:c>
      <x:c r="P259" s="28" t="n">
        <x:v>0</x:v>
      </x:c>
      <x:c r="Q259" s="24" t="n">
        <x:f>IFERROR(J259/H259,0)</x:f>
        <x:v>0.6</x:v>
      </x:c>
      <x:c r="R259" s="24" t="n">
        <x:f>IFERROR(F259/H259,0)</x:f>
        <x:v>0.2</x:v>
      </x:c>
      <x:c r="S259" s="24" t="n">
        <x:f>IFERROR(F259/J259,0)</x:f>
        <x:v>0.3333333333333333</x:v>
      </x:c>
      <x:c r="T259" s="28" t="n">
        <x:f>H259-I259</x:f>
        <x:v>-14</x:v>
      </x:c>
      <x:c r="U259" s="24" t="n">
        <x:f>IFERROR(J259/H259,0)-IFERROR(K259/I259,0)</x:f>
        <x:v>0.12631578947368421</x:v>
      </x:c>
      <x:c r="V259" s="24" t="n">
        <x:f>IFERROR(F259/J259,0)-IFERROR(G259/K259,0)</x:f>
        <x:v>0.1111111111111111</x:v>
      </x:c>
      <x:c r="W259" s="28" t="n">
        <x:f>L259-M259</x:f>
        <x:v>-4</x:v>
      </x:c>
      <x:c r="X259" s="24" t="n">
        <x:f>IFERROR(K259/I259,0)</x:f>
        <x:v>0.47368421052631576</x:v>
      </x:c>
      <x:c r="Y259" s="24" t="n">
        <x:f>IFERROR(G259/I259,0)</x:f>
        <x:v>0.10526315789473684</x:v>
      </x:c>
      <x:c r="Z259" s="24" t="n">
        <x:f>IFERROR(G259/K259,0)</x:f>
        <x:v>0.2222222222222222</x:v>
      </x:c>
      <x:c r="AA259" s="24" t="n">
        <x:f>IFERROR(F259/H259,0)-IFERROR(G259/I259,0)</x:f>
        <x:v>0.09473684210526317</x:v>
      </x:c>
      <x:c r="AB259" s="28" t="n">
        <x:f>J259-K259</x:f>
        <x:v>-6</x:v>
      </x:c>
      <x:c r="AC259" s="32" t="n">
        <x:f>F259-G259</x:f>
        <x:v>-1</x:v>
      </x:c>
    </x:row>
    <x:row r="260">
      <x:c r="A260" s="4" t="str">
        <x:v>2021-22</x:v>
      </x:c>
      <x:c r="B260" s="20" t="n">
        <x:v>44530</x:v>
      </x:c>
      <x:c r="C260" s="4" t="str">
        <x:v>Crystal Palace</x:v>
      </x:c>
      <x:c r="D260" s="4" t="str">
        <x:v>Leeds</x:v>
      </x:c>
      <x:c r="E260" s="4" t="str">
        <x:v>Away</x:v>
      </x:c>
      <x:c r="F260" s="28" t="n">
        <x:v>0</x:v>
      </x:c>
      <x:c r="G260" s="28" t="n">
        <x:v>1</x:v>
      </x:c>
      <x:c r="H260" s="28" t="n">
        <x:v>9</x:v>
      </x:c>
      <x:c r="I260" s="28" t="n">
        <x:v>15</x:v>
      </x:c>
      <x:c r="J260" s="28" t="n">
        <x:v>1</x:v>
      </x:c>
      <x:c r="K260" s="28" t="n">
        <x:v>3</x:v>
      </x:c>
      <x:c r="L260" s="28" t="n">
        <x:v>4</x:v>
      </x:c>
      <x:c r="M260" s="28" t="n">
        <x:v>7</x:v>
      </x:c>
      <x:c r="N260" s="28" t="n">
        <x:v>3</x:v>
      </x:c>
      <x:c r="O260" s="28" t="n">
        <x:v>0</x:v>
      </x:c>
      <x:c r="P260" s="28" t="n">
        <x:v>0</x:v>
      </x:c>
      <x:c r="Q260" s="24" t="n">
        <x:f>IFERROR(J260/H260,0)</x:f>
        <x:v>0.1111111111111111</x:v>
      </x:c>
      <x:c r="R260" s="24" t="n">
        <x:f>IFERROR(F260/H260,0)</x:f>
        <x:v>0</x:v>
      </x:c>
      <x:c r="S260" s="24" t="n">
        <x:f>IFERROR(F260/J260,0)</x:f>
        <x:v>0</x:v>
      </x:c>
      <x:c r="T260" s="28" t="n">
        <x:f>H260-I260</x:f>
        <x:v>-6</x:v>
      </x:c>
      <x:c r="U260" s="24" t="n">
        <x:f>IFERROR(J260/H260,0)-IFERROR(K260/I260,0)</x:f>
        <x:v>-0.0888888888888889</x:v>
      </x:c>
      <x:c r="V260" s="24" t="n">
        <x:f>IFERROR(F260/J260,0)-IFERROR(G260/K260,0)</x:f>
        <x:v>-0.3333333333333333</x:v>
      </x:c>
      <x:c r="W260" s="28" t="n">
        <x:f>L260-M260</x:f>
        <x:v>-3</x:v>
      </x:c>
      <x:c r="X260" s="24" t="n">
        <x:f>IFERROR(K260/I260,0)</x:f>
        <x:v>0.2</x:v>
      </x:c>
      <x:c r="Y260" s="24" t="n">
        <x:f>IFERROR(G260/I260,0)</x:f>
        <x:v>0.06666666666666667</x:v>
      </x:c>
      <x:c r="Z260" s="24" t="n">
        <x:f>IFERROR(G260/K260,0)</x:f>
        <x:v>0.3333333333333333</x:v>
      </x:c>
      <x:c r="AA260" s="24" t="n">
        <x:f>IFERROR(F260/H260,0)-IFERROR(G260/I260,0)</x:f>
        <x:v>-0.06666666666666667</x:v>
      </x:c>
      <x:c r="AB260" s="28" t="n">
        <x:f>J260-K260</x:f>
        <x:v>-2</x:v>
      </x:c>
      <x:c r="AC260" s="32" t="n">
        <x:f>F260-G260</x:f>
        <x:v>-1</x:v>
      </x:c>
    </x:row>
    <x:row r="261">
      <x:c r="A261" s="4" t="str">
        <x:v>2021-22</x:v>
      </x:c>
      <x:c r="B261" s="20" t="n">
        <x:v>44530</x:v>
      </x:c>
      <x:c r="C261" s="4" t="str">
        <x:v>Leeds</x:v>
      </x:c>
      <x:c r="D261" s="4" t="str">
        <x:v>Crystal Palace</x:v>
      </x:c>
      <x:c r="E261" s="4" t="str">
        <x:v>Home</x:v>
      </x:c>
      <x:c r="F261" s="28" t="n">
        <x:v>1</x:v>
      </x:c>
      <x:c r="G261" s="28" t="n">
        <x:v>0</x:v>
      </x:c>
      <x:c r="H261" s="28" t="n">
        <x:v>15</x:v>
      </x:c>
      <x:c r="I261" s="28" t="n">
        <x:v>9</x:v>
      </x:c>
      <x:c r="J261" s="28" t="n">
        <x:v>3</x:v>
      </x:c>
      <x:c r="K261" s="28" t="n">
        <x:v>1</x:v>
      </x:c>
      <x:c r="L261" s="28" t="n">
        <x:v>7</x:v>
      </x:c>
      <x:c r="M261" s="28" t="n">
        <x:v>4</x:v>
      </x:c>
      <x:c r="N261" s="28" t="n">
        <x:v>5</x:v>
      </x:c>
      <x:c r="O261" s="28" t="n">
        <x:v>0</x:v>
      </x:c>
      <x:c r="P261" s="28" t="n">
        <x:v>3</x:v>
      </x:c>
      <x:c r="Q261" s="24" t="n">
        <x:f>IFERROR(J261/H261,0)</x:f>
        <x:v>0.2</x:v>
      </x:c>
      <x:c r="R261" s="24" t="n">
        <x:f>IFERROR(F261/H261,0)</x:f>
        <x:v>0.06666666666666667</x:v>
      </x:c>
      <x:c r="S261" s="24" t="n">
        <x:f>IFERROR(F261/J261,0)</x:f>
        <x:v>0.3333333333333333</x:v>
      </x:c>
      <x:c r="T261" s="28" t="n">
        <x:f>H261-I261</x:f>
        <x:v>6</x:v>
      </x:c>
      <x:c r="U261" s="24" t="n">
        <x:f>IFERROR(J261/H261,0)-IFERROR(K261/I261,0)</x:f>
        <x:v>0.0888888888888889</x:v>
      </x:c>
      <x:c r="V261" s="24" t="n">
        <x:f>IFERROR(F261/J261,0)-IFERROR(G261/K261,0)</x:f>
        <x:v>0.3333333333333333</x:v>
      </x:c>
      <x:c r="W261" s="28" t="n">
        <x:f>L261-M261</x:f>
        <x:v>3</x:v>
      </x:c>
      <x:c r="X261" s="24" t="n">
        <x:f>IFERROR(K261/I261,0)</x:f>
        <x:v>0.1111111111111111</x:v>
      </x:c>
      <x:c r="Y261" s="24" t="n">
        <x:f>IFERROR(G261/I261,0)</x:f>
        <x:v>0</x:v>
      </x:c>
      <x:c r="Z261" s="24" t="n">
        <x:f>IFERROR(G261/K261,0)</x:f>
        <x:v>0</x:v>
      </x:c>
      <x:c r="AA261" s="24" t="n">
        <x:f>IFERROR(F261/H261,0)-IFERROR(G261/I261,0)</x:f>
        <x:v>0.06666666666666667</x:v>
      </x:c>
      <x:c r="AB261" s="28" t="n">
        <x:f>J261-K261</x:f>
        <x:v>2</x:v>
      </x:c>
      <x:c r="AC261" s="32" t="n">
        <x:f>F261-G261</x:f>
        <x:v>1</x:v>
      </x:c>
    </x:row>
    <x:row r="262">
      <x:c r="A262" s="4" t="str">
        <x:v>2021-22</x:v>
      </x:c>
      <x:c r="B262" s="20" t="n">
        <x:v>44530</x:v>
      </x:c>
      <x:c r="C262" s="4" t="str">
        <x:v>Newcastle</x:v>
      </x:c>
      <x:c r="D262" s="4" t="str">
        <x:v>Norwich</x:v>
      </x:c>
      <x:c r="E262" s="4" t="str">
        <x:v>Home</x:v>
      </x:c>
      <x:c r="F262" s="28" t="n">
        <x:v>1</x:v>
      </x:c>
      <x:c r="G262" s="28" t="n">
        <x:v>1</x:v>
      </x:c>
      <x:c r="H262" s="28" t="n">
        <x:v>9</x:v>
      </x:c>
      <x:c r="I262" s="28" t="n">
        <x:v>16</x:v>
      </x:c>
      <x:c r="J262" s="28" t="n">
        <x:v>1</x:v>
      </x:c>
      <x:c r="K262" s="28" t="n">
        <x:v>6</x:v>
      </x:c>
      <x:c r="L262" s="28" t="n">
        <x:v>2</x:v>
      </x:c>
      <x:c r="M262" s="28" t="n">
        <x:v>5</x:v>
      </x:c>
      <x:c r="N262" s="28" t="n">
        <x:v>0</x:v>
      </x:c>
      <x:c r="O262" s="28" t="n">
        <x:v>0</x:v>
      </x:c>
      <x:c r="P262" s="28" t="n">
        <x:v>1</x:v>
      </x:c>
      <x:c r="Q262" s="24" t="n">
        <x:f>IFERROR(J262/H262,0)</x:f>
        <x:v>0.1111111111111111</x:v>
      </x:c>
      <x:c r="R262" s="24" t="n">
        <x:f>IFERROR(F262/H262,0)</x:f>
        <x:v>0.1111111111111111</x:v>
      </x:c>
      <x:c r="S262" s="24" t="n">
        <x:f>IFERROR(F262/J262,0)</x:f>
        <x:v>1</x:v>
      </x:c>
      <x:c r="T262" s="28" t="n">
        <x:f>H262-I262</x:f>
        <x:v>-7</x:v>
      </x:c>
      <x:c r="U262" s="24" t="n">
        <x:f>IFERROR(J262/H262,0)-IFERROR(K262/I262,0)</x:f>
        <x:v>-0.2638888888888889</x:v>
      </x:c>
      <x:c r="V262" s="24" t="n">
        <x:f>IFERROR(F262/J262,0)-IFERROR(G262/K262,0)</x:f>
        <x:v>0.8333333333333334</x:v>
      </x:c>
      <x:c r="W262" s="28" t="n">
        <x:f>L262-M262</x:f>
        <x:v>-3</x:v>
      </x:c>
      <x:c r="X262" s="24" t="n">
        <x:f>IFERROR(K262/I262,0)</x:f>
        <x:v>0.375</x:v>
      </x:c>
      <x:c r="Y262" s="24" t="n">
        <x:f>IFERROR(G262/I262,0)</x:f>
        <x:v>0.0625</x:v>
      </x:c>
      <x:c r="Z262" s="24" t="n">
        <x:f>IFERROR(G262/K262,0)</x:f>
        <x:v>0.16666666666666666</x:v>
      </x:c>
      <x:c r="AA262" s="24" t="n">
        <x:f>IFERROR(F262/H262,0)-IFERROR(G262/I262,0)</x:f>
        <x:v>0.048611111111111105</x:v>
      </x:c>
      <x:c r="AB262" s="28" t="n">
        <x:f>J262-K262</x:f>
        <x:v>-5</x:v>
      </x:c>
      <x:c r="AC262" s="32" t="n">
        <x:f>F262-G262</x:f>
        <x:v>0</x:v>
      </x:c>
    </x:row>
    <x:row r="263">
      <x:c r="A263" s="4" t="str">
        <x:v>2021-22</x:v>
      </x:c>
      <x:c r="B263" s="20" t="n">
        <x:v>44530</x:v>
      </x:c>
      <x:c r="C263" s="4" t="str">
        <x:v>Norwich</x:v>
      </x:c>
      <x:c r="D263" s="4" t="str">
        <x:v>Newcastle</x:v>
      </x:c>
      <x:c r="E263" s="4" t="str">
        <x:v>Away</x:v>
      </x:c>
      <x:c r="F263" s="28" t="n">
        <x:v>1</x:v>
      </x:c>
      <x:c r="G263" s="28" t="n">
        <x:v>1</x:v>
      </x:c>
      <x:c r="H263" s="28" t="n">
        <x:v>16</x:v>
      </x:c>
      <x:c r="I263" s="28" t="n">
        <x:v>9</x:v>
      </x:c>
      <x:c r="J263" s="28" t="n">
        <x:v>6</x:v>
      </x:c>
      <x:c r="K263" s="28" t="n">
        <x:v>1</x:v>
      </x:c>
      <x:c r="L263" s="28" t="n">
        <x:v>5</x:v>
      </x:c>
      <x:c r="M263" s="28" t="n">
        <x:v>2</x:v>
      </x:c>
      <x:c r="N263" s="28" t="n">
        <x:v>0</x:v>
      </x:c>
      <x:c r="O263" s="28" t="n">
        <x:v>1</x:v>
      </x:c>
      <x:c r="P263" s="28" t="n">
        <x:v>1</x:v>
      </x:c>
      <x:c r="Q263" s="24" t="n">
        <x:f>IFERROR(J263/H263,0)</x:f>
        <x:v>0.375</x:v>
      </x:c>
      <x:c r="R263" s="24" t="n">
        <x:f>IFERROR(F263/H263,0)</x:f>
        <x:v>0.0625</x:v>
      </x:c>
      <x:c r="S263" s="24" t="n">
        <x:f>IFERROR(F263/J263,0)</x:f>
        <x:v>0.16666666666666666</x:v>
      </x:c>
      <x:c r="T263" s="28" t="n">
        <x:f>H263-I263</x:f>
        <x:v>7</x:v>
      </x:c>
      <x:c r="U263" s="24" t="n">
        <x:f>IFERROR(J263/H263,0)-IFERROR(K263/I263,0)</x:f>
        <x:v>0.2638888888888889</x:v>
      </x:c>
      <x:c r="V263" s="24" t="n">
        <x:f>IFERROR(F263/J263,0)-IFERROR(G263/K263,0)</x:f>
        <x:v>-0.8333333333333334</x:v>
      </x:c>
      <x:c r="W263" s="28" t="n">
        <x:f>L263-M263</x:f>
        <x:v>3</x:v>
      </x:c>
      <x:c r="X263" s="24" t="n">
        <x:f>IFERROR(K263/I263,0)</x:f>
        <x:v>0.1111111111111111</x:v>
      </x:c>
      <x:c r="Y263" s="24" t="n">
        <x:f>IFERROR(G263/I263,0)</x:f>
        <x:v>0.1111111111111111</x:v>
      </x:c>
      <x:c r="Z263" s="24" t="n">
        <x:f>IFERROR(G263/K263,0)</x:f>
        <x:v>1</x:v>
      </x:c>
      <x:c r="AA263" s="24" t="n">
        <x:f>IFERROR(F263/H263,0)-IFERROR(G263/I263,0)</x:f>
        <x:v>-0.048611111111111105</x:v>
      </x:c>
      <x:c r="AB263" s="28" t="n">
        <x:f>J263-K263</x:f>
        <x:v>5</x:v>
      </x:c>
      <x:c r="AC263" s="32" t="n">
        <x:f>F263-G263</x:f>
        <x:v>0</x:v>
      </x:c>
    </x:row>
    <x:row r="264">
      <x:c r="A264" s="4" t="str">
        <x:v>2021-22</x:v>
      </x:c>
      <x:c r="B264" s="20" t="n">
        <x:v>44531</x:v>
      </x:c>
      <x:c r="C264" s="4" t="str">
        <x:v>Aston Villa</x:v>
      </x:c>
      <x:c r="D264" s="4" t="str">
        <x:v>Man City</x:v>
      </x:c>
      <x:c r="E264" s="4" t="str">
        <x:v>Home</x:v>
      </x:c>
      <x:c r="F264" s="28" t="n">
        <x:v>1</x:v>
      </x:c>
      <x:c r="G264" s="28" t="n">
        <x:v>2</x:v>
      </x:c>
      <x:c r="H264" s="28" t="n">
        <x:v>9</x:v>
      </x:c>
      <x:c r="I264" s="28" t="n">
        <x:v>17</x:v>
      </x:c>
      <x:c r="J264" s="28" t="n">
        <x:v>3</x:v>
      </x:c>
      <x:c r="K264" s="28" t="n">
        <x:v>7</x:v>
      </x:c>
      <x:c r="L264" s="28" t="n">
        <x:v>4</x:v>
      </x:c>
      <x:c r="M264" s="28" t="n">
        <x:v>11</x:v>
      </x:c>
      <x:c r="N264" s="28" t="n">
        <x:v>0</x:v>
      </x:c>
      <x:c r="O264" s="28" t="n">
        <x:v>0</x:v>
      </x:c>
      <x:c r="P264" s="28" t="n">
        <x:v>0</x:v>
      </x:c>
      <x:c r="Q264" s="24" t="n">
        <x:f>IFERROR(J264/H264,0)</x:f>
        <x:v>0.3333333333333333</x:v>
      </x:c>
      <x:c r="R264" s="24" t="n">
        <x:f>IFERROR(F264/H264,0)</x:f>
        <x:v>0.1111111111111111</x:v>
      </x:c>
      <x:c r="S264" s="24" t="n">
        <x:f>IFERROR(F264/J264,0)</x:f>
        <x:v>0.3333333333333333</x:v>
      </x:c>
      <x:c r="T264" s="28" t="n">
        <x:f>H264-I264</x:f>
        <x:v>-8</x:v>
      </x:c>
      <x:c r="U264" s="24" t="n">
        <x:f>IFERROR(J264/H264,0)-IFERROR(K264/I264,0)</x:f>
        <x:v>-0.0784313725490196</x:v>
      </x:c>
      <x:c r="V264" s="24" t="n">
        <x:f>IFERROR(F264/J264,0)-IFERROR(G264/K264,0)</x:f>
        <x:v>0.047619047619047616</x:v>
      </x:c>
      <x:c r="W264" s="28" t="n">
        <x:f>L264-M264</x:f>
        <x:v>-7</x:v>
      </x:c>
      <x:c r="X264" s="24" t="n">
        <x:f>IFERROR(K264/I264,0)</x:f>
        <x:v>0.4117647058823529</x:v>
      </x:c>
      <x:c r="Y264" s="24" t="n">
        <x:f>IFERROR(G264/I264,0)</x:f>
        <x:v>0.11764705882352941</x:v>
      </x:c>
      <x:c r="Z264" s="24" t="n">
        <x:f>IFERROR(G264/K264,0)</x:f>
        <x:v>0.2857142857142857</x:v>
      </x:c>
      <x:c r="AA264" s="24" t="n">
        <x:f>IFERROR(F264/H264,0)-IFERROR(G264/I264,0)</x:f>
        <x:v>-0.006535947712418305</x:v>
      </x:c>
      <x:c r="AB264" s="28" t="n">
        <x:f>J264-K264</x:f>
        <x:v>-4</x:v>
      </x:c>
      <x:c r="AC264" s="32" t="n">
        <x:f>F264-G264</x:f>
        <x:v>-1</x:v>
      </x:c>
    </x:row>
    <x:row r="265">
      <x:c r="A265" s="4" t="str">
        <x:v>2021-22</x:v>
      </x:c>
      <x:c r="B265" s="20" t="n">
        <x:v>44531</x:v>
      </x:c>
      <x:c r="C265" s="4" t="str">
        <x:v>Brighton</x:v>
      </x:c>
      <x:c r="D265" s="4" t="str">
        <x:v>West Ham</x:v>
      </x:c>
      <x:c r="E265" s="4" t="str">
        <x:v>Away</x:v>
      </x:c>
      <x:c r="F265" s="28" t="n">
        <x:v>1</x:v>
      </x:c>
      <x:c r="G265" s="28" t="n">
        <x:v>1</x:v>
      </x:c>
      <x:c r="H265" s="28" t="n">
        <x:v>9</x:v>
      </x:c>
      <x:c r="I265" s="28" t="n">
        <x:v>14</x:v>
      </x:c>
      <x:c r="J265" s="28" t="n">
        <x:v>3</x:v>
      </x:c>
      <x:c r="K265" s="28" t="n">
        <x:v>6</x:v>
      </x:c>
      <x:c r="L265" s="28" t="n">
        <x:v>5</x:v>
      </x:c>
      <x:c r="M265" s="28" t="n">
        <x:v>9</x:v>
      </x:c>
      <x:c r="N265" s="28" t="n">
        <x:v>1</x:v>
      </x:c>
      <x:c r="O265" s="28" t="n">
        <x:v>0</x:v>
      </x:c>
      <x:c r="P265" s="28" t="n">
        <x:v>1</x:v>
      </x:c>
      <x:c r="Q265" s="24" t="n">
        <x:f>IFERROR(J265/H265,0)</x:f>
        <x:v>0.3333333333333333</x:v>
      </x:c>
      <x:c r="R265" s="24" t="n">
        <x:f>IFERROR(F265/H265,0)</x:f>
        <x:v>0.1111111111111111</x:v>
      </x:c>
      <x:c r="S265" s="24" t="n">
        <x:f>IFERROR(F265/J265,0)</x:f>
        <x:v>0.3333333333333333</x:v>
      </x:c>
      <x:c r="T265" s="28" t="n">
        <x:f>H265-I265</x:f>
        <x:v>-5</x:v>
      </x:c>
      <x:c r="U265" s="24" t="n">
        <x:f>IFERROR(J265/H265,0)-IFERROR(K265/I265,0)</x:f>
        <x:v>-0.09523809523809523</x:v>
      </x:c>
      <x:c r="V265" s="24" t="n">
        <x:f>IFERROR(F265/J265,0)-IFERROR(G265/K265,0)</x:f>
        <x:v>0.16666666666666666</x:v>
      </x:c>
      <x:c r="W265" s="28" t="n">
        <x:f>L265-M265</x:f>
        <x:v>-4</x:v>
      </x:c>
      <x:c r="X265" s="24" t="n">
        <x:f>IFERROR(K265/I265,0)</x:f>
        <x:v>0.42857142857142855</x:v>
      </x:c>
      <x:c r="Y265" s="24" t="n">
        <x:f>IFERROR(G265/I265,0)</x:f>
        <x:v>0.07142857142857142</x:v>
      </x:c>
      <x:c r="Z265" s="24" t="n">
        <x:f>IFERROR(G265/K265,0)</x:f>
        <x:v>0.16666666666666666</x:v>
      </x:c>
      <x:c r="AA265" s="24" t="n">
        <x:f>IFERROR(F265/H265,0)-IFERROR(G265/I265,0)</x:f>
        <x:v>0.03968253968253968</x:v>
      </x:c>
      <x:c r="AB265" s="28" t="n">
        <x:f>J265-K265</x:f>
        <x:v>-3</x:v>
      </x:c>
      <x:c r="AC265" s="32" t="n">
        <x:f>F265-G265</x:f>
        <x:v>0</x:v>
      </x:c>
    </x:row>
    <x:row r="266">
      <x:c r="A266" s="4" t="str">
        <x:v>2021-22</x:v>
      </x:c>
      <x:c r="B266" s="20" t="n">
        <x:v>44531</x:v>
      </x:c>
      <x:c r="C266" s="4" t="str">
        <x:v>Burnley</x:v>
      </x:c>
      <x:c r="D266" s="4" t="str">
        <x:v>Wolves</x:v>
      </x:c>
      <x:c r="E266" s="4" t="str">
        <x:v>Away</x:v>
      </x:c>
      <x:c r="F266" s="28" t="n">
        <x:v>0</x:v>
      </x:c>
      <x:c r="G266" s="28" t="n">
        <x:v>0</x:v>
      </x:c>
      <x:c r="H266" s="28" t="n">
        <x:v>6</x:v>
      </x:c>
      <x:c r="I266" s="28" t="n">
        <x:v>16</x:v>
      </x:c>
      <x:c r="J266" s="28" t="n">
        <x:v>1</x:v>
      </x:c>
      <x:c r="K266" s="28" t="n">
        <x:v>2</x:v>
      </x:c>
      <x:c r="L266" s="28" t="n">
        <x:v>5</x:v>
      </x:c>
      <x:c r="M266" s="28" t="n">
        <x:v>5</x:v>
      </x:c>
      <x:c r="N266" s="28" t="n">
        <x:v>3</x:v>
      </x:c>
      <x:c r="O266" s="28" t="n">
        <x:v>0</x:v>
      </x:c>
      <x:c r="P266" s="28" t="n">
        <x:v>1</x:v>
      </x:c>
      <x:c r="Q266" s="24" t="n">
        <x:f>IFERROR(J266/H266,0)</x:f>
        <x:v>0.16666666666666666</x:v>
      </x:c>
      <x:c r="R266" s="24" t="n">
        <x:f>IFERROR(F266/H266,0)</x:f>
        <x:v>0</x:v>
      </x:c>
      <x:c r="S266" s="24" t="n">
        <x:f>IFERROR(F266/J266,0)</x:f>
        <x:v>0</x:v>
      </x:c>
      <x:c r="T266" s="28" t="n">
        <x:f>H266-I266</x:f>
        <x:v>-10</x:v>
      </x:c>
      <x:c r="U266" s="24" t="n">
        <x:f>IFERROR(J266/H266,0)-IFERROR(K266/I266,0)</x:f>
        <x:v>0.04166666666666666</x:v>
      </x:c>
      <x:c r="V266" s="24" t="n">
        <x:f>IFERROR(F266/J266,0)-IFERROR(G266/K266,0)</x:f>
        <x:v>0</x:v>
      </x:c>
      <x:c r="W266" s="28" t="n">
        <x:f>L266-M266</x:f>
        <x:v>0</x:v>
      </x:c>
      <x:c r="X266" s="24" t="n">
        <x:f>IFERROR(K266/I266,0)</x:f>
        <x:v>0.125</x:v>
      </x:c>
      <x:c r="Y266" s="24" t="n">
        <x:f>IFERROR(G266/I266,0)</x:f>
        <x:v>0</x:v>
      </x:c>
      <x:c r="Z266" s="24" t="n">
        <x:f>IFERROR(G266/K266,0)</x:f>
        <x:v>0</x:v>
      </x:c>
      <x:c r="AA266" s="24" t="n">
        <x:f>IFERROR(F266/H266,0)-IFERROR(G266/I266,0)</x:f>
        <x:v>0</x:v>
      </x:c>
      <x:c r="AB266" s="28" t="n">
        <x:f>J266-K266</x:f>
        <x:v>-1</x:v>
      </x:c>
      <x:c r="AC266" s="32" t="n">
        <x:f>F266-G266</x:f>
        <x:v>0</x:v>
      </x:c>
    </x:row>
    <x:row r="267">
      <x:c r="A267" s="4" t="str">
        <x:v>2021-22</x:v>
      </x:c>
      <x:c r="B267" s="20" t="n">
        <x:v>44531</x:v>
      </x:c>
      <x:c r="C267" s="4" t="str">
        <x:v>Chelsea</x:v>
      </x:c>
      <x:c r="D267" s="4" t="str">
        <x:v>Watford</x:v>
      </x:c>
      <x:c r="E267" s="4" t="str">
        <x:v>Away</x:v>
      </x:c>
      <x:c r="F267" s="28" t="n">
        <x:v>2</x:v>
      </x:c>
      <x:c r="G267" s="28" t="n">
        <x:v>1</x:v>
      </x:c>
      <x:c r="H267" s="28" t="n">
        <x:v>8</x:v>
      </x:c>
      <x:c r="I267" s="28" t="n">
        <x:v>13</x:v>
      </x:c>
      <x:c r="J267" s="28" t="n">
        <x:v>4</x:v>
      </x:c>
      <x:c r="K267" s="28" t="n">
        <x:v>6</x:v>
      </x:c>
      <x:c r="L267" s="28" t="n">
        <x:v>0</x:v>
      </x:c>
      <x:c r="M267" s="28" t="n">
        <x:v>6</x:v>
      </x:c>
      <x:c r="N267" s="28" t="n">
        <x:v>3</x:v>
      </x:c>
      <x:c r="O267" s="28" t="n">
        <x:v>0</x:v>
      </x:c>
      <x:c r="P267" s="28" t="n">
        <x:v>3</x:v>
      </x:c>
      <x:c r="Q267" s="24" t="n">
        <x:f>IFERROR(J267/H267,0)</x:f>
        <x:v>0.5</x:v>
      </x:c>
      <x:c r="R267" s="24" t="n">
        <x:f>IFERROR(F267/H267,0)</x:f>
        <x:v>0.25</x:v>
      </x:c>
      <x:c r="S267" s="24" t="n">
        <x:f>IFERROR(F267/J267,0)</x:f>
        <x:v>0.5</x:v>
      </x:c>
      <x:c r="T267" s="28" t="n">
        <x:f>H267-I267</x:f>
        <x:v>-5</x:v>
      </x:c>
      <x:c r="U267" s="24" t="n">
        <x:f>IFERROR(J267/H267,0)-IFERROR(K267/I267,0)</x:f>
        <x:v>0.038461538461538436</x:v>
      </x:c>
      <x:c r="V267" s="24" t="n">
        <x:f>IFERROR(F267/J267,0)-IFERROR(G267/K267,0)</x:f>
        <x:v>0.33333333333333337</x:v>
      </x:c>
      <x:c r="W267" s="28" t="n">
        <x:f>L267-M267</x:f>
        <x:v>-6</x:v>
      </x:c>
      <x:c r="X267" s="24" t="n">
        <x:f>IFERROR(K267/I267,0)</x:f>
        <x:v>0.46153846153846156</x:v>
      </x:c>
      <x:c r="Y267" s="24" t="n">
        <x:f>IFERROR(G267/I267,0)</x:f>
        <x:v>0.07692307692307693</x:v>
      </x:c>
      <x:c r="Z267" s="24" t="n">
        <x:f>IFERROR(G267/K267,0)</x:f>
        <x:v>0.16666666666666666</x:v>
      </x:c>
      <x:c r="AA267" s="24" t="n">
        <x:f>IFERROR(F267/H267,0)-IFERROR(G267/I267,0)</x:f>
        <x:v>0.17307692307692307</x:v>
      </x:c>
      <x:c r="AB267" s="28" t="n">
        <x:f>J267-K267</x:f>
        <x:v>-2</x:v>
      </x:c>
      <x:c r="AC267" s="32" t="n">
        <x:f>F267-G267</x:f>
        <x:v>1</x:v>
      </x:c>
    </x:row>
    <x:row r="268">
      <x:c r="A268" s="4" t="str">
        <x:v>2021-22</x:v>
      </x:c>
      <x:c r="B268" s="20" t="n">
        <x:v>44531</x:v>
      </x:c>
      <x:c r="C268" s="4" t="str">
        <x:v>Everton</x:v>
      </x:c>
      <x:c r="D268" s="4" t="str">
        <x:v>Liverpool</x:v>
      </x:c>
      <x:c r="E268" s="4" t="str">
        <x:v>Home</x:v>
      </x:c>
      <x:c r="F268" s="28" t="n">
        <x:v>1</x:v>
      </x:c>
      <x:c r="G268" s="28" t="n">
        <x:v>4</x:v>
      </x:c>
      <x:c r="H268" s="28" t="n">
        <x:v>8</x:v>
      </x:c>
      <x:c r="I268" s="28" t="n">
        <x:v>16</x:v>
      </x:c>
      <x:c r="J268" s="28" t="n">
        <x:v>2</x:v>
      </x:c>
      <x:c r="K268" s="28" t="n">
        <x:v>7</x:v>
      </x:c>
      <x:c r="L268" s="28" t="n">
        <x:v>3</x:v>
      </x:c>
      <x:c r="M268" s="28" t="n">
        <x:v>11</x:v>
      </x:c>
      <x:c r="N268" s="28" t="n">
        <x:v>4</x:v>
      </x:c>
      <x:c r="O268" s="28" t="n">
        <x:v>0</x:v>
      </x:c>
      <x:c r="P268" s="28" t="n">
        <x:v>0</x:v>
      </x:c>
      <x:c r="Q268" s="24" t="n">
        <x:f>IFERROR(J268/H268,0)</x:f>
        <x:v>0.25</x:v>
      </x:c>
      <x:c r="R268" s="24" t="n">
        <x:f>IFERROR(F268/H268,0)</x:f>
        <x:v>0.125</x:v>
      </x:c>
      <x:c r="S268" s="24" t="n">
        <x:f>IFERROR(F268/J268,0)</x:f>
        <x:v>0.5</x:v>
      </x:c>
      <x:c r="T268" s="28" t="n">
        <x:f>H268-I268</x:f>
        <x:v>-8</x:v>
      </x:c>
      <x:c r="U268" s="24" t="n">
        <x:f>IFERROR(J268/H268,0)-IFERROR(K268/I268,0)</x:f>
        <x:v>-0.1875</x:v>
      </x:c>
      <x:c r="V268" s="24" t="n">
        <x:f>IFERROR(F268/J268,0)-IFERROR(G268/K268,0)</x:f>
        <x:v>-0.0714285714285714</x:v>
      </x:c>
      <x:c r="W268" s="28" t="n">
        <x:f>L268-M268</x:f>
        <x:v>-8</x:v>
      </x:c>
      <x:c r="X268" s="24" t="n">
        <x:f>IFERROR(K268/I268,0)</x:f>
        <x:v>0.4375</x:v>
      </x:c>
      <x:c r="Y268" s="24" t="n">
        <x:f>IFERROR(G268/I268,0)</x:f>
        <x:v>0.25</x:v>
      </x:c>
      <x:c r="Z268" s="24" t="n">
        <x:f>IFERROR(G268/K268,0)</x:f>
        <x:v>0.5714285714285714</x:v>
      </x:c>
      <x:c r="AA268" s="24" t="n">
        <x:f>IFERROR(F268/H268,0)-IFERROR(G268/I268,0)</x:f>
        <x:v>-0.125</x:v>
      </x:c>
      <x:c r="AB268" s="28" t="n">
        <x:f>J268-K268</x:f>
        <x:v>-5</x:v>
      </x:c>
      <x:c r="AC268" s="32" t="n">
        <x:f>F268-G268</x:f>
        <x:v>-3</x:v>
      </x:c>
    </x:row>
    <x:row r="269">
      <x:c r="A269" s="4" t="str">
        <x:v>2021-22</x:v>
      </x:c>
      <x:c r="B269" s="20" t="n">
        <x:v>44531</x:v>
      </x:c>
      <x:c r="C269" s="4" t="str">
        <x:v>Leicester</x:v>
      </x:c>
      <x:c r="D269" s="4" t="str">
        <x:v>Southampton</x:v>
      </x:c>
      <x:c r="E269" s="4" t="str">
        <x:v>Away</x:v>
      </x:c>
      <x:c r="F269" s="28" t="n">
        <x:v>2</x:v>
      </x:c>
      <x:c r="G269" s="28" t="n">
        <x:v>2</x:v>
      </x:c>
      <x:c r="H269" s="28" t="n">
        <x:v>15</x:v>
      </x:c>
      <x:c r="I269" s="28" t="n">
        <x:v>15</x:v>
      </x:c>
      <x:c r="J269" s="28" t="n">
        <x:v>6</x:v>
      </x:c>
      <x:c r="K269" s="28" t="n">
        <x:v>7</x:v>
      </x:c>
      <x:c r="L269" s="28" t="n">
        <x:v>4</x:v>
      </x:c>
      <x:c r="M269" s="28" t="n">
        <x:v>2</x:v>
      </x:c>
      <x:c r="N269" s="28" t="n">
        <x:v>3</x:v>
      </x:c>
      <x:c r="O269" s="28" t="n">
        <x:v>0</x:v>
      </x:c>
      <x:c r="P269" s="28" t="n">
        <x:v>1</x:v>
      </x:c>
      <x:c r="Q269" s="24" t="n">
        <x:f>IFERROR(J269/H269,0)</x:f>
        <x:v>0.4</x:v>
      </x:c>
      <x:c r="R269" s="24" t="n">
        <x:f>IFERROR(F269/H269,0)</x:f>
        <x:v>0.13333333333333333</x:v>
      </x:c>
      <x:c r="S269" s="24" t="n">
        <x:f>IFERROR(F269/J269,0)</x:f>
        <x:v>0.3333333333333333</x:v>
      </x:c>
      <x:c r="T269" s="28" t="n">
        <x:f>H269-I269</x:f>
        <x:v>0</x:v>
      </x:c>
      <x:c r="U269" s="24" t="n">
        <x:f>IFERROR(J269/H269,0)-IFERROR(K269/I269,0)</x:f>
        <x:v>-0.06666666666666665</x:v>
      </x:c>
      <x:c r="V269" s="24" t="n">
        <x:f>IFERROR(F269/J269,0)-IFERROR(G269/K269,0)</x:f>
        <x:v>0.047619047619047616</x:v>
      </x:c>
      <x:c r="W269" s="28" t="n">
        <x:f>L269-M269</x:f>
        <x:v>2</x:v>
      </x:c>
      <x:c r="X269" s="24" t="n">
        <x:f>IFERROR(K269/I269,0)</x:f>
        <x:v>0.4666666666666667</x:v>
      </x:c>
      <x:c r="Y269" s="24" t="n">
        <x:f>IFERROR(G269/I269,0)</x:f>
        <x:v>0.13333333333333333</x:v>
      </x:c>
      <x:c r="Z269" s="24" t="n">
        <x:f>IFERROR(G269/K269,0)</x:f>
        <x:v>0.2857142857142857</x:v>
      </x:c>
      <x:c r="AA269" s="24" t="n">
        <x:f>IFERROR(F269/H269,0)-IFERROR(G269/I269,0)</x:f>
        <x:v>0</x:v>
      </x:c>
      <x:c r="AB269" s="28" t="n">
        <x:f>J269-K269</x:f>
        <x:v>-1</x:v>
      </x:c>
      <x:c r="AC269" s="32" t="n">
        <x:f>F269-G269</x:f>
        <x:v>0</x:v>
      </x:c>
    </x:row>
    <x:row r="270">
      <x:c r="A270" s="4" t="str">
        <x:v>2021-22</x:v>
      </x:c>
      <x:c r="B270" s="20" t="n">
        <x:v>44531</x:v>
      </x:c>
      <x:c r="C270" s="4" t="str">
        <x:v>Liverpool</x:v>
      </x:c>
      <x:c r="D270" s="4" t="str">
        <x:v>Everton</x:v>
      </x:c>
      <x:c r="E270" s="4" t="str">
        <x:v>Away</x:v>
      </x:c>
      <x:c r="F270" s="28" t="n">
        <x:v>4</x:v>
      </x:c>
      <x:c r="G270" s="28" t="n">
        <x:v>1</x:v>
      </x:c>
      <x:c r="H270" s="28" t="n">
        <x:v>16</x:v>
      </x:c>
      <x:c r="I270" s="28" t="n">
        <x:v>8</x:v>
      </x:c>
      <x:c r="J270" s="28" t="n">
        <x:v>7</x:v>
      </x:c>
      <x:c r="K270" s="28" t="n">
        <x:v>2</x:v>
      </x:c>
      <x:c r="L270" s="28" t="n">
        <x:v>11</x:v>
      </x:c>
      <x:c r="M270" s="28" t="n">
        <x:v>3</x:v>
      </x:c>
      <x:c r="N270" s="28" t="n">
        <x:v>3</x:v>
      </x:c>
      <x:c r="O270" s="28" t="n">
        <x:v>0</x:v>
      </x:c>
      <x:c r="P270" s="28" t="n">
        <x:v>3</x:v>
      </x:c>
      <x:c r="Q270" s="24" t="n">
        <x:f>IFERROR(J270/H270,0)</x:f>
        <x:v>0.4375</x:v>
      </x:c>
      <x:c r="R270" s="24" t="n">
        <x:f>IFERROR(F270/H270,0)</x:f>
        <x:v>0.25</x:v>
      </x:c>
      <x:c r="S270" s="24" t="n">
        <x:f>IFERROR(F270/J270,0)</x:f>
        <x:v>0.5714285714285714</x:v>
      </x:c>
      <x:c r="T270" s="28" t="n">
        <x:f>H270-I270</x:f>
        <x:v>8</x:v>
      </x:c>
      <x:c r="U270" s="24" t="n">
        <x:f>IFERROR(J270/H270,0)-IFERROR(K270/I270,0)</x:f>
        <x:v>0.1875</x:v>
      </x:c>
      <x:c r="V270" s="24" t="n">
        <x:f>IFERROR(F270/J270,0)-IFERROR(G270/K270,0)</x:f>
        <x:v>0.0714285714285714</x:v>
      </x:c>
      <x:c r="W270" s="28" t="n">
        <x:f>L270-M270</x:f>
        <x:v>8</x:v>
      </x:c>
      <x:c r="X270" s="24" t="n">
        <x:f>IFERROR(K270/I270,0)</x:f>
        <x:v>0.25</x:v>
      </x:c>
      <x:c r="Y270" s="24" t="n">
        <x:f>IFERROR(G270/I270,0)</x:f>
        <x:v>0.125</x:v>
      </x:c>
      <x:c r="Z270" s="24" t="n">
        <x:f>IFERROR(G270/K270,0)</x:f>
        <x:v>0.5</x:v>
      </x:c>
      <x:c r="AA270" s="24" t="n">
        <x:f>IFERROR(F270/H270,0)-IFERROR(G270/I270,0)</x:f>
        <x:v>0.125</x:v>
      </x:c>
      <x:c r="AB270" s="28" t="n">
        <x:f>J270-K270</x:f>
        <x:v>5</x:v>
      </x:c>
      <x:c r="AC270" s="32" t="n">
        <x:f>F270-G270</x:f>
        <x:v>3</x:v>
      </x:c>
    </x:row>
    <x:row r="271">
      <x:c r="A271" s="4" t="str">
        <x:v>2021-22</x:v>
      </x:c>
      <x:c r="B271" s="20" t="n">
        <x:v>44531</x:v>
      </x:c>
      <x:c r="C271" s="4" t="str">
        <x:v>Man City</x:v>
      </x:c>
      <x:c r="D271" s="4" t="str">
        <x:v>Aston Villa</x:v>
      </x:c>
      <x:c r="E271" s="4" t="str">
        <x:v>Away</x:v>
      </x:c>
      <x:c r="F271" s="28" t="n">
        <x:v>2</x:v>
      </x:c>
      <x:c r="G271" s="28" t="n">
        <x:v>1</x:v>
      </x:c>
      <x:c r="H271" s="28" t="n">
        <x:v>17</x:v>
      </x:c>
      <x:c r="I271" s="28" t="n">
        <x:v>9</x:v>
      </x:c>
      <x:c r="J271" s="28" t="n">
        <x:v>7</x:v>
      </x:c>
      <x:c r="K271" s="28" t="n">
        <x:v>3</x:v>
      </x:c>
      <x:c r="L271" s="28" t="n">
        <x:v>11</x:v>
      </x:c>
      <x:c r="M271" s="28" t="n">
        <x:v>4</x:v>
      </x:c>
      <x:c r="N271" s="28" t="n">
        <x:v>0</x:v>
      </x:c>
      <x:c r="O271" s="28" t="n">
        <x:v>0</x:v>
      </x:c>
      <x:c r="P271" s="28" t="n">
        <x:v>3</x:v>
      </x:c>
      <x:c r="Q271" s="24" t="n">
        <x:f>IFERROR(J271/H271,0)</x:f>
        <x:v>0.4117647058823529</x:v>
      </x:c>
      <x:c r="R271" s="24" t="n">
        <x:f>IFERROR(F271/H271,0)</x:f>
        <x:v>0.11764705882352941</x:v>
      </x:c>
      <x:c r="S271" s="24" t="n">
        <x:f>IFERROR(F271/J271,0)</x:f>
        <x:v>0.2857142857142857</x:v>
      </x:c>
      <x:c r="T271" s="28" t="n">
        <x:f>H271-I271</x:f>
        <x:v>8</x:v>
      </x:c>
      <x:c r="U271" s="24" t="n">
        <x:f>IFERROR(J271/H271,0)-IFERROR(K271/I271,0)</x:f>
        <x:v>0.0784313725490196</x:v>
      </x:c>
      <x:c r="V271" s="24" t="n">
        <x:f>IFERROR(F271/J271,0)-IFERROR(G271/K271,0)</x:f>
        <x:v>-0.047619047619047616</x:v>
      </x:c>
      <x:c r="W271" s="28" t="n">
        <x:f>L271-M271</x:f>
        <x:v>7</x:v>
      </x:c>
      <x:c r="X271" s="24" t="n">
        <x:f>IFERROR(K271/I271,0)</x:f>
        <x:v>0.3333333333333333</x:v>
      </x:c>
      <x:c r="Y271" s="24" t="n">
        <x:f>IFERROR(G271/I271,0)</x:f>
        <x:v>0.1111111111111111</x:v>
      </x:c>
      <x:c r="Z271" s="24" t="n">
        <x:f>IFERROR(G271/K271,0)</x:f>
        <x:v>0.3333333333333333</x:v>
      </x:c>
      <x:c r="AA271" s="24" t="n">
        <x:f>IFERROR(F271/H271,0)-IFERROR(G271/I271,0)</x:f>
        <x:v>0.006535947712418305</x:v>
      </x:c>
      <x:c r="AB271" s="28" t="n">
        <x:f>J271-K271</x:f>
        <x:v>4</x:v>
      </x:c>
      <x:c r="AC271" s="32" t="n">
        <x:f>F271-G271</x:f>
        <x:v>1</x:v>
      </x:c>
    </x:row>
    <x:row r="272">
      <x:c r="A272" s="4" t="str">
        <x:v>2021-22</x:v>
      </x:c>
      <x:c r="B272" s="20" t="n">
        <x:v>44531</x:v>
      </x:c>
      <x:c r="C272" s="4" t="str">
        <x:v>Southampton</x:v>
      </x:c>
      <x:c r="D272" s="4" t="str">
        <x:v>Leicester</x:v>
      </x:c>
      <x:c r="E272" s="4" t="str">
        <x:v>Home</x:v>
      </x:c>
      <x:c r="F272" s="28" t="n">
        <x:v>2</x:v>
      </x:c>
      <x:c r="G272" s="28" t="n">
        <x:v>2</x:v>
      </x:c>
      <x:c r="H272" s="28" t="n">
        <x:v>15</x:v>
      </x:c>
      <x:c r="I272" s="28" t="n">
        <x:v>15</x:v>
      </x:c>
      <x:c r="J272" s="28" t="n">
        <x:v>7</x:v>
      </x:c>
      <x:c r="K272" s="28" t="n">
        <x:v>6</x:v>
      </x:c>
      <x:c r="L272" s="28" t="n">
        <x:v>2</x:v>
      </x:c>
      <x:c r="M272" s="28" t="n">
        <x:v>4</x:v>
      </x:c>
      <x:c r="N272" s="28" t="n">
        <x:v>1</x:v>
      </x:c>
      <x:c r="O272" s="28" t="n">
        <x:v>0</x:v>
      </x:c>
      <x:c r="P272" s="28" t="n">
        <x:v>1</x:v>
      </x:c>
      <x:c r="Q272" s="24" t="n">
        <x:f>IFERROR(J272/H272,0)</x:f>
        <x:v>0.4666666666666667</x:v>
      </x:c>
      <x:c r="R272" s="24" t="n">
        <x:f>IFERROR(F272/H272,0)</x:f>
        <x:v>0.13333333333333333</x:v>
      </x:c>
      <x:c r="S272" s="24" t="n">
        <x:f>IFERROR(F272/J272,0)</x:f>
        <x:v>0.2857142857142857</x:v>
      </x:c>
      <x:c r="T272" s="28" t="n">
        <x:f>H272-I272</x:f>
        <x:v>0</x:v>
      </x:c>
      <x:c r="U272" s="24" t="n">
        <x:f>IFERROR(J272/H272,0)-IFERROR(K272/I272,0)</x:f>
        <x:v>0.06666666666666665</x:v>
      </x:c>
      <x:c r="V272" s="24" t="n">
        <x:f>IFERROR(F272/J272,0)-IFERROR(G272/K272,0)</x:f>
        <x:v>-0.047619047619047616</x:v>
      </x:c>
      <x:c r="W272" s="28" t="n">
        <x:f>L272-M272</x:f>
        <x:v>-2</x:v>
      </x:c>
      <x:c r="X272" s="24" t="n">
        <x:f>IFERROR(K272/I272,0)</x:f>
        <x:v>0.4</x:v>
      </x:c>
      <x:c r="Y272" s="24" t="n">
        <x:f>IFERROR(G272/I272,0)</x:f>
        <x:v>0.13333333333333333</x:v>
      </x:c>
      <x:c r="Z272" s="24" t="n">
        <x:f>IFERROR(G272/K272,0)</x:f>
        <x:v>0.3333333333333333</x:v>
      </x:c>
      <x:c r="AA272" s="24" t="n">
        <x:f>IFERROR(F272/H272,0)-IFERROR(G272/I272,0)</x:f>
        <x:v>0</x:v>
      </x:c>
      <x:c r="AB272" s="28" t="n">
        <x:f>J272-K272</x:f>
        <x:v>1</x:v>
      </x:c>
      <x:c r="AC272" s="32" t="n">
        <x:f>F272-G272</x:f>
        <x:v>0</x:v>
      </x:c>
    </x:row>
    <x:row r="273">
      <x:c r="A273" s="4" t="str">
        <x:v>2021-22</x:v>
      </x:c>
      <x:c r="B273" s="20" t="n">
        <x:v>44531</x:v>
      </x:c>
      <x:c r="C273" s="4" t="str">
        <x:v>Watford</x:v>
      </x:c>
      <x:c r="D273" s="4" t="str">
        <x:v>Chelsea</x:v>
      </x:c>
      <x:c r="E273" s="4" t="str">
        <x:v>Home</x:v>
      </x:c>
      <x:c r="F273" s="28" t="n">
        <x:v>1</x:v>
      </x:c>
      <x:c r="G273" s="28" t="n">
        <x:v>2</x:v>
      </x:c>
      <x:c r="H273" s="28" t="n">
        <x:v>13</x:v>
      </x:c>
      <x:c r="I273" s="28" t="n">
        <x:v>8</x:v>
      </x:c>
      <x:c r="J273" s="28" t="n">
        <x:v>6</x:v>
      </x:c>
      <x:c r="K273" s="28" t="n">
        <x:v>4</x:v>
      </x:c>
      <x:c r="L273" s="28" t="n">
        <x:v>6</x:v>
      </x:c>
      <x:c r="M273" s="28" t="n">
        <x:v>0</x:v>
      </x:c>
      <x:c r="N273" s="28" t="n">
        <x:v>4</x:v>
      </x:c>
      <x:c r="O273" s="28" t="n">
        <x:v>0</x:v>
      </x:c>
      <x:c r="P273" s="28" t="n">
        <x:v>0</x:v>
      </x:c>
      <x:c r="Q273" s="24" t="n">
        <x:f>IFERROR(J273/H273,0)</x:f>
        <x:v>0.46153846153846156</x:v>
      </x:c>
      <x:c r="R273" s="24" t="n">
        <x:f>IFERROR(F273/H273,0)</x:f>
        <x:v>0.07692307692307693</x:v>
      </x:c>
      <x:c r="S273" s="24" t="n">
        <x:f>IFERROR(F273/J273,0)</x:f>
        <x:v>0.16666666666666666</x:v>
      </x:c>
      <x:c r="T273" s="28" t="n">
        <x:f>H273-I273</x:f>
        <x:v>5</x:v>
      </x:c>
      <x:c r="U273" s="24" t="n">
        <x:f>IFERROR(J273/H273,0)-IFERROR(K273/I273,0)</x:f>
        <x:v>-0.038461538461538436</x:v>
      </x:c>
      <x:c r="V273" s="24" t="n">
        <x:f>IFERROR(F273/J273,0)-IFERROR(G273/K273,0)</x:f>
        <x:v>-0.33333333333333337</x:v>
      </x:c>
      <x:c r="W273" s="28" t="n">
        <x:f>L273-M273</x:f>
        <x:v>6</x:v>
      </x:c>
      <x:c r="X273" s="24" t="n">
        <x:f>IFERROR(K273/I273,0)</x:f>
        <x:v>0.5</x:v>
      </x:c>
      <x:c r="Y273" s="24" t="n">
        <x:f>IFERROR(G273/I273,0)</x:f>
        <x:v>0.25</x:v>
      </x:c>
      <x:c r="Z273" s="24" t="n">
        <x:f>IFERROR(G273/K273,0)</x:f>
        <x:v>0.5</x:v>
      </x:c>
      <x:c r="AA273" s="24" t="n">
        <x:f>IFERROR(F273/H273,0)-IFERROR(G273/I273,0)</x:f>
        <x:v>-0.17307692307692307</x:v>
      </x:c>
      <x:c r="AB273" s="28" t="n">
        <x:f>J273-K273</x:f>
        <x:v>2</x:v>
      </x:c>
      <x:c r="AC273" s="32" t="n">
        <x:f>F273-G273</x:f>
        <x:v>-1</x:v>
      </x:c>
    </x:row>
    <x:row r="274">
      <x:c r="A274" s="4" t="str">
        <x:v>2021-22</x:v>
      </x:c>
      <x:c r="B274" s="20" t="n">
        <x:v>44531</x:v>
      </x:c>
      <x:c r="C274" s="4" t="str">
        <x:v>West Ham</x:v>
      </x:c>
      <x:c r="D274" s="4" t="str">
        <x:v>Brighton</x:v>
      </x:c>
      <x:c r="E274" s="4" t="str">
        <x:v>Home</x:v>
      </x:c>
      <x:c r="F274" s="28" t="n">
        <x:v>1</x:v>
      </x:c>
      <x:c r="G274" s="28" t="n">
        <x:v>1</x:v>
      </x:c>
      <x:c r="H274" s="28" t="n">
        <x:v>14</x:v>
      </x:c>
      <x:c r="I274" s="28" t="n">
        <x:v>9</x:v>
      </x:c>
      <x:c r="J274" s="28" t="n">
        <x:v>6</x:v>
      </x:c>
      <x:c r="K274" s="28" t="n">
        <x:v>3</x:v>
      </x:c>
      <x:c r="L274" s="28" t="n">
        <x:v>9</x:v>
      </x:c>
      <x:c r="M274" s="28" t="n">
        <x:v>5</x:v>
      </x:c>
      <x:c r="N274" s="28" t="n">
        <x:v>1</x:v>
      </x:c>
      <x:c r="O274" s="28" t="n">
        <x:v>0</x:v>
      </x:c>
      <x:c r="P274" s="28" t="n">
        <x:v>1</x:v>
      </x:c>
      <x:c r="Q274" s="24" t="n">
        <x:f>IFERROR(J274/H274,0)</x:f>
        <x:v>0.42857142857142855</x:v>
      </x:c>
      <x:c r="R274" s="24" t="n">
        <x:f>IFERROR(F274/H274,0)</x:f>
        <x:v>0.07142857142857142</x:v>
      </x:c>
      <x:c r="S274" s="24" t="n">
        <x:f>IFERROR(F274/J274,0)</x:f>
        <x:v>0.16666666666666666</x:v>
      </x:c>
      <x:c r="T274" s="28" t="n">
        <x:f>H274-I274</x:f>
        <x:v>5</x:v>
      </x:c>
      <x:c r="U274" s="24" t="n">
        <x:f>IFERROR(J274/H274,0)-IFERROR(K274/I274,0)</x:f>
        <x:v>0.09523809523809523</x:v>
      </x:c>
      <x:c r="V274" s="24" t="n">
        <x:f>IFERROR(F274/J274,0)-IFERROR(G274/K274,0)</x:f>
        <x:v>-0.16666666666666666</x:v>
      </x:c>
      <x:c r="W274" s="28" t="n">
        <x:f>L274-M274</x:f>
        <x:v>4</x:v>
      </x:c>
      <x:c r="X274" s="24" t="n">
        <x:f>IFERROR(K274/I274,0)</x:f>
        <x:v>0.3333333333333333</x:v>
      </x:c>
      <x:c r="Y274" s="24" t="n">
        <x:f>IFERROR(G274/I274,0)</x:f>
        <x:v>0.1111111111111111</x:v>
      </x:c>
      <x:c r="Z274" s="24" t="n">
        <x:f>IFERROR(G274/K274,0)</x:f>
        <x:v>0.3333333333333333</x:v>
      </x:c>
      <x:c r="AA274" s="24" t="n">
        <x:f>IFERROR(F274/H274,0)-IFERROR(G274/I274,0)</x:f>
        <x:v>-0.03968253968253968</x:v>
      </x:c>
      <x:c r="AB274" s="28" t="n">
        <x:f>J274-K274</x:f>
        <x:v>3</x:v>
      </x:c>
      <x:c r="AC274" s="32" t="n">
        <x:f>F274-G274</x:f>
        <x:v>0</x:v>
      </x:c>
    </x:row>
    <x:row r="275">
      <x:c r="A275" s="4" t="str">
        <x:v>2021-22</x:v>
      </x:c>
      <x:c r="B275" s="20" t="n">
        <x:v>44531</x:v>
      </x:c>
      <x:c r="C275" s="4" t="str">
        <x:v>Wolves</x:v>
      </x:c>
      <x:c r="D275" s="4" t="str">
        <x:v>Burnley</x:v>
      </x:c>
      <x:c r="E275" s="4" t="str">
        <x:v>Home</x:v>
      </x:c>
      <x:c r="F275" s="28" t="n">
        <x:v>0</x:v>
      </x:c>
      <x:c r="G275" s="28" t="n">
        <x:v>0</x:v>
      </x:c>
      <x:c r="H275" s="28" t="n">
        <x:v>16</x:v>
      </x:c>
      <x:c r="I275" s="28" t="n">
        <x:v>6</x:v>
      </x:c>
      <x:c r="J275" s="28" t="n">
        <x:v>2</x:v>
      </x:c>
      <x:c r="K275" s="28" t="n">
        <x:v>1</x:v>
      </x:c>
      <x:c r="L275" s="28" t="n">
        <x:v>5</x:v>
      </x:c>
      <x:c r="M275" s="28" t="n">
        <x:v>5</x:v>
      </x:c>
      <x:c r="N275" s="28" t="n">
        <x:v>2</x:v>
      </x:c>
      <x:c r="O275" s="28" t="n">
        <x:v>0</x:v>
      </x:c>
      <x:c r="P275" s="28" t="n">
        <x:v>1</x:v>
      </x:c>
      <x:c r="Q275" s="24" t="n">
        <x:f>IFERROR(J275/H275,0)</x:f>
        <x:v>0.125</x:v>
      </x:c>
      <x:c r="R275" s="24" t="n">
        <x:f>IFERROR(F275/H275,0)</x:f>
        <x:v>0</x:v>
      </x:c>
      <x:c r="S275" s="24" t="n">
        <x:f>IFERROR(F275/J275,0)</x:f>
        <x:v>0</x:v>
      </x:c>
      <x:c r="T275" s="28" t="n">
        <x:f>H275-I275</x:f>
        <x:v>10</x:v>
      </x:c>
      <x:c r="U275" s="24" t="n">
        <x:f>IFERROR(J275/H275,0)-IFERROR(K275/I275,0)</x:f>
        <x:v>-0.04166666666666666</x:v>
      </x:c>
      <x:c r="V275" s="24" t="n">
        <x:f>IFERROR(F275/J275,0)-IFERROR(G275/K275,0)</x:f>
        <x:v>0</x:v>
      </x:c>
      <x:c r="W275" s="28" t="n">
        <x:f>L275-M275</x:f>
        <x:v>0</x:v>
      </x:c>
      <x:c r="X275" s="24" t="n">
        <x:f>IFERROR(K275/I275,0)</x:f>
        <x:v>0.16666666666666666</x:v>
      </x:c>
      <x:c r="Y275" s="24" t="n">
        <x:f>IFERROR(G275/I275,0)</x:f>
        <x:v>0</x:v>
      </x:c>
      <x:c r="Z275" s="24" t="n">
        <x:f>IFERROR(G275/K275,0)</x:f>
        <x:v>0</x:v>
      </x:c>
      <x:c r="AA275" s="24" t="n">
        <x:f>IFERROR(F275/H275,0)-IFERROR(G275/I275,0)</x:f>
        <x:v>0</x:v>
      </x:c>
      <x:c r="AB275" s="28" t="n">
        <x:f>J275-K275</x:f>
        <x:v>1</x:v>
      </x:c>
      <x:c r="AC275" s="32" t="n">
        <x:f>F275-G275</x:f>
        <x:v>0</x:v>
      </x:c>
    </x:row>
    <x:row r="276">
      <x:c r="A276" s="4" t="str">
        <x:v>2021-22</x:v>
      </x:c>
      <x:c r="B276" s="20" t="n">
        <x:v>44532</x:v>
      </x:c>
      <x:c r="C276" s="4" t="str">
        <x:v>Arsenal</x:v>
      </x:c>
      <x:c r="D276" s="4" t="str">
        <x:v>Man United</x:v>
      </x:c>
      <x:c r="E276" s="4" t="str">
        <x:v>Away</x:v>
      </x:c>
      <x:c r="F276" s="28" t="n">
        <x:v>2</x:v>
      </x:c>
      <x:c r="G276" s="28" t="n">
        <x:v>3</x:v>
      </x:c>
      <x:c r="H276" s="28" t="n">
        <x:v>17</x:v>
      </x:c>
      <x:c r="I276" s="28" t="n">
        <x:v>14</x:v>
      </x:c>
      <x:c r="J276" s="28" t="n">
        <x:v>8</x:v>
      </x:c>
      <x:c r="K276" s="28" t="n">
        <x:v>10</x:v>
      </x:c>
      <x:c r="L276" s="28" t="n">
        <x:v>8</x:v>
      </x:c>
      <x:c r="M276" s="28" t="n">
        <x:v>3</x:v>
      </x:c>
      <x:c r="N276" s="28" t="n">
        <x:v>0</x:v>
      </x:c>
      <x:c r="O276" s="28" t="n">
        <x:v>0</x:v>
      </x:c>
      <x:c r="P276" s="28" t="n">
        <x:v>0</x:v>
      </x:c>
      <x:c r="Q276" s="24" t="n">
        <x:f>IFERROR(J276/H276,0)</x:f>
        <x:v>0.47058823529411764</x:v>
      </x:c>
      <x:c r="R276" s="24" t="n">
        <x:f>IFERROR(F276/H276,0)</x:f>
        <x:v>0.11764705882352941</x:v>
      </x:c>
      <x:c r="S276" s="24" t="n">
        <x:f>IFERROR(F276/J276,0)</x:f>
        <x:v>0.25</x:v>
      </x:c>
      <x:c r="T276" s="28" t="n">
        <x:f>H276-I276</x:f>
        <x:v>3</x:v>
      </x:c>
      <x:c r="U276" s="24" t="n">
        <x:f>IFERROR(J276/H276,0)-IFERROR(K276/I276,0)</x:f>
        <x:v>-0.24369747899159666</x:v>
      </x:c>
      <x:c r="V276" s="24" t="n">
        <x:f>IFERROR(F276/J276,0)-IFERROR(G276/K276,0)</x:f>
        <x:v>-0.04999999999999999</x:v>
      </x:c>
      <x:c r="W276" s="28" t="n">
        <x:f>L276-M276</x:f>
        <x:v>5</x:v>
      </x:c>
      <x:c r="X276" s="24" t="n">
        <x:f>IFERROR(K276/I276,0)</x:f>
        <x:v>0.7142857142857143</x:v>
      </x:c>
      <x:c r="Y276" s="24" t="n">
        <x:f>IFERROR(G276/I276,0)</x:f>
        <x:v>0.21428571428571427</x:v>
      </x:c>
      <x:c r="Z276" s="24" t="n">
        <x:f>IFERROR(G276/K276,0)</x:f>
        <x:v>0.3</x:v>
      </x:c>
      <x:c r="AA276" s="24" t="n">
        <x:f>IFERROR(F276/H276,0)-IFERROR(G276/I276,0)</x:f>
        <x:v>-0.09663865546218486</x:v>
      </x:c>
      <x:c r="AB276" s="28" t="n">
        <x:f>J276-K276</x:f>
        <x:v>-2</x:v>
      </x:c>
      <x:c r="AC276" s="32" t="n">
        <x:f>F276-G276</x:f>
        <x:v>-1</x:v>
      </x:c>
    </x:row>
    <x:row r="277">
      <x:c r="A277" s="4" t="str">
        <x:v>2021-22</x:v>
      </x:c>
      <x:c r="B277" s="20" t="n">
        <x:v>44532</x:v>
      </x:c>
      <x:c r="C277" s="4" t="str">
        <x:v>Brentford</x:v>
      </x:c>
      <x:c r="D277" s="4" t="str">
        <x:v>Tottenham</x:v>
      </x:c>
      <x:c r="E277" s="4" t="str">
        <x:v>Away</x:v>
      </x:c>
      <x:c r="F277" s="28" t="n">
        <x:v>0</x:v>
      </x:c>
      <x:c r="G277" s="28" t="n">
        <x:v>2</x:v>
      </x:c>
      <x:c r="H277" s="28" t="n">
        <x:v>6</x:v>
      </x:c>
      <x:c r="I277" s="28" t="n">
        <x:v>11</x:v>
      </x:c>
      <x:c r="J277" s="28" t="n">
        <x:v>2</x:v>
      </x:c>
      <x:c r="K277" s="28" t="n">
        <x:v>6</x:v>
      </x:c>
      <x:c r="L277" s="28" t="n">
        <x:v>5</x:v>
      </x:c>
      <x:c r="M277" s="28" t="n">
        <x:v>11</x:v>
      </x:c>
      <x:c r="N277" s="28" t="n">
        <x:v>0</x:v>
      </x:c>
      <x:c r="O277" s="28" t="n">
        <x:v>0</x:v>
      </x:c>
      <x:c r="P277" s="28" t="n">
        <x:v>0</x:v>
      </x:c>
      <x:c r="Q277" s="24" t="n">
        <x:f>IFERROR(J277/H277,0)</x:f>
        <x:v>0.3333333333333333</x:v>
      </x:c>
      <x:c r="R277" s="24" t="n">
        <x:f>IFERROR(F277/H277,0)</x:f>
        <x:v>0</x:v>
      </x:c>
      <x:c r="S277" s="24" t="n">
        <x:f>IFERROR(F277/J277,0)</x:f>
        <x:v>0</x:v>
      </x:c>
      <x:c r="T277" s="28" t="n">
        <x:f>H277-I277</x:f>
        <x:v>-5</x:v>
      </x:c>
      <x:c r="U277" s="24" t="n">
        <x:f>IFERROR(J277/H277,0)-IFERROR(K277/I277,0)</x:f>
        <x:v>-0.2121212121212121</x:v>
      </x:c>
      <x:c r="V277" s="24" t="n">
        <x:f>IFERROR(F277/J277,0)-IFERROR(G277/K277,0)</x:f>
        <x:v>-0.3333333333333333</x:v>
      </x:c>
      <x:c r="W277" s="28" t="n">
        <x:f>L277-M277</x:f>
        <x:v>-6</x:v>
      </x:c>
      <x:c r="X277" s="24" t="n">
        <x:f>IFERROR(K277/I277,0)</x:f>
        <x:v>0.5454545454545454</x:v>
      </x:c>
      <x:c r="Y277" s="24" t="n">
        <x:f>IFERROR(G277/I277,0)</x:f>
        <x:v>0.18181818181818182</x:v>
      </x:c>
      <x:c r="Z277" s="24" t="n">
        <x:f>IFERROR(G277/K277,0)</x:f>
        <x:v>0.3333333333333333</x:v>
      </x:c>
      <x:c r="AA277" s="24" t="n">
        <x:f>IFERROR(F277/H277,0)-IFERROR(G277/I277,0)</x:f>
        <x:v>-0.18181818181818182</x:v>
      </x:c>
      <x:c r="AB277" s="28" t="n">
        <x:f>J277-K277</x:f>
        <x:v>-4</x:v>
      </x:c>
      <x:c r="AC277" s="32" t="n">
        <x:f>F277-G277</x:f>
        <x:v>-2</x:v>
      </x:c>
    </x:row>
    <x:row r="278">
      <x:c r="A278" s="4" t="str">
        <x:v>2021-22</x:v>
      </x:c>
      <x:c r="B278" s="20" t="n">
        <x:v>44532</x:v>
      </x:c>
      <x:c r="C278" s="4" t="str">
        <x:v>Man United</x:v>
      </x:c>
      <x:c r="D278" s="4" t="str">
        <x:v>Arsenal</x:v>
      </x:c>
      <x:c r="E278" s="4" t="str">
        <x:v>Home</x:v>
      </x:c>
      <x:c r="F278" s="28" t="n">
        <x:v>3</x:v>
      </x:c>
      <x:c r="G278" s="28" t="n">
        <x:v>2</x:v>
      </x:c>
      <x:c r="H278" s="28" t="n">
        <x:v>14</x:v>
      </x:c>
      <x:c r="I278" s="28" t="n">
        <x:v>17</x:v>
      </x:c>
      <x:c r="J278" s="28" t="n">
        <x:v>10</x:v>
      </x:c>
      <x:c r="K278" s="28" t="n">
        <x:v>8</x:v>
      </x:c>
      <x:c r="L278" s="28" t="n">
        <x:v>3</x:v>
      </x:c>
      <x:c r="M278" s="28" t="n">
        <x:v>8</x:v>
      </x:c>
      <x:c r="N278" s="28" t="n">
        <x:v>1</x:v>
      </x:c>
      <x:c r="O278" s="28" t="n">
        <x:v>0</x:v>
      </x:c>
      <x:c r="P278" s="28" t="n">
        <x:v>3</x:v>
      </x:c>
      <x:c r="Q278" s="24" t="n">
        <x:f>IFERROR(J278/H278,0)</x:f>
        <x:v>0.7142857142857143</x:v>
      </x:c>
      <x:c r="R278" s="24" t="n">
        <x:f>IFERROR(F278/H278,0)</x:f>
        <x:v>0.21428571428571427</x:v>
      </x:c>
      <x:c r="S278" s="24" t="n">
        <x:f>IFERROR(F278/J278,0)</x:f>
        <x:v>0.3</x:v>
      </x:c>
      <x:c r="T278" s="28" t="n">
        <x:f>H278-I278</x:f>
        <x:v>-3</x:v>
      </x:c>
      <x:c r="U278" s="24" t="n">
        <x:f>IFERROR(J278/H278,0)-IFERROR(K278/I278,0)</x:f>
        <x:v>0.24369747899159666</x:v>
      </x:c>
      <x:c r="V278" s="24" t="n">
        <x:f>IFERROR(F278/J278,0)-IFERROR(G278/K278,0)</x:f>
        <x:v>0.04999999999999999</x:v>
      </x:c>
      <x:c r="W278" s="28" t="n">
        <x:f>L278-M278</x:f>
        <x:v>-5</x:v>
      </x:c>
      <x:c r="X278" s="24" t="n">
        <x:f>IFERROR(K278/I278,0)</x:f>
        <x:v>0.47058823529411764</x:v>
      </x:c>
      <x:c r="Y278" s="24" t="n">
        <x:f>IFERROR(G278/I278,0)</x:f>
        <x:v>0.11764705882352941</x:v>
      </x:c>
      <x:c r="Z278" s="24" t="n">
        <x:f>IFERROR(G278/K278,0)</x:f>
        <x:v>0.25</x:v>
      </x:c>
      <x:c r="AA278" s="24" t="n">
        <x:f>IFERROR(F278/H278,0)-IFERROR(G278/I278,0)</x:f>
        <x:v>0.09663865546218486</x:v>
      </x:c>
      <x:c r="AB278" s="28" t="n">
        <x:f>J278-K278</x:f>
        <x:v>2</x:v>
      </x:c>
      <x:c r="AC278" s="32" t="n">
        <x:f>F278-G278</x:f>
        <x:v>1</x:v>
      </x:c>
    </x:row>
    <x:row r="279">
      <x:c r="A279" s="4" t="str">
        <x:v>2021-22</x:v>
      </x:c>
      <x:c r="B279" s="20" t="n">
        <x:v>44532</x:v>
      </x:c>
      <x:c r="C279" s="4" t="str">
        <x:v>Tottenham</x:v>
      </x:c>
      <x:c r="D279" s="4" t="str">
        <x:v>Brentford</x:v>
      </x:c>
      <x:c r="E279" s="4" t="str">
        <x:v>Home</x:v>
      </x:c>
      <x:c r="F279" s="28" t="n">
        <x:v>2</x:v>
      </x:c>
      <x:c r="G279" s="28" t="n">
        <x:v>0</x:v>
      </x:c>
      <x:c r="H279" s="28" t="n">
        <x:v>11</x:v>
      </x:c>
      <x:c r="I279" s="28" t="n">
        <x:v>6</x:v>
      </x:c>
      <x:c r="J279" s="28" t="n">
        <x:v>6</x:v>
      </x:c>
      <x:c r="K279" s="28" t="n">
        <x:v>2</x:v>
      </x:c>
      <x:c r="L279" s="28" t="n">
        <x:v>11</x:v>
      </x:c>
      <x:c r="M279" s="28" t="n">
        <x:v>5</x:v>
      </x:c>
      <x:c r="N279" s="28" t="n">
        <x:v>0</x:v>
      </x:c>
      <x:c r="O279" s="28" t="n">
        <x:v>0</x:v>
      </x:c>
      <x:c r="P279" s="28" t="n">
        <x:v>3</x:v>
      </x:c>
      <x:c r="Q279" s="24" t="n">
        <x:f>IFERROR(J279/H279,0)</x:f>
        <x:v>0.5454545454545454</x:v>
      </x:c>
      <x:c r="R279" s="24" t="n">
        <x:f>IFERROR(F279/H279,0)</x:f>
        <x:v>0.18181818181818182</x:v>
      </x:c>
      <x:c r="S279" s="24" t="n">
        <x:f>IFERROR(F279/J279,0)</x:f>
        <x:v>0.3333333333333333</x:v>
      </x:c>
      <x:c r="T279" s="28" t="n">
        <x:f>H279-I279</x:f>
        <x:v>5</x:v>
      </x:c>
      <x:c r="U279" s="24" t="n">
        <x:f>IFERROR(J279/H279,0)-IFERROR(K279/I279,0)</x:f>
        <x:v>0.2121212121212121</x:v>
      </x:c>
      <x:c r="V279" s="24" t="n">
        <x:f>IFERROR(F279/J279,0)-IFERROR(G279/K279,0)</x:f>
        <x:v>0.3333333333333333</x:v>
      </x:c>
      <x:c r="W279" s="28" t="n">
        <x:f>L279-M279</x:f>
        <x:v>6</x:v>
      </x:c>
      <x:c r="X279" s="24" t="n">
        <x:f>IFERROR(K279/I279,0)</x:f>
        <x:v>0.3333333333333333</x:v>
      </x:c>
      <x:c r="Y279" s="24" t="n">
        <x:f>IFERROR(G279/I279,0)</x:f>
        <x:v>0</x:v>
      </x:c>
      <x:c r="Z279" s="24" t="n">
        <x:f>IFERROR(G279/K279,0)</x:f>
        <x:v>0</x:v>
      </x:c>
      <x:c r="AA279" s="24" t="n">
        <x:f>IFERROR(F279/H279,0)-IFERROR(G279/I279,0)</x:f>
        <x:v>0.18181818181818182</x:v>
      </x:c>
      <x:c r="AB279" s="28" t="n">
        <x:f>J279-K279</x:f>
        <x:v>4</x:v>
      </x:c>
      <x:c r="AC279" s="32" t="n">
        <x:f>F279-G279</x:f>
        <x:v>2</x:v>
      </x:c>
    </x:row>
    <x:row r="280">
      <x:c r="A280" s="4" t="str">
        <x:v>2021-22</x:v>
      </x:c>
      <x:c r="B280" s="20" t="n">
        <x:v>44534</x:v>
      </x:c>
      <x:c r="C280" s="4" t="str">
        <x:v>Brighton</x:v>
      </x:c>
      <x:c r="D280" s="4" t="str">
        <x:v>Southampton</x:v>
      </x:c>
      <x:c r="E280" s="4" t="str">
        <x:v>Away</x:v>
      </x:c>
      <x:c r="F280" s="28" t="n">
        <x:v>1</x:v>
      </x:c>
      <x:c r="G280" s="28" t="n">
        <x:v>1</x:v>
      </x:c>
      <x:c r="H280" s="28" t="n">
        <x:v>14</x:v>
      </x:c>
      <x:c r="I280" s="28" t="n">
        <x:v>14</x:v>
      </x:c>
      <x:c r="J280" s="28" t="n">
        <x:v>4</x:v>
      </x:c>
      <x:c r="K280" s="28" t="n">
        <x:v>4</x:v>
      </x:c>
      <x:c r="L280" s="28" t="n">
        <x:v>2</x:v>
      </x:c>
      <x:c r="M280" s="28" t="n">
        <x:v>6</x:v>
      </x:c>
      <x:c r="N280" s="28" t="n">
        <x:v>2</x:v>
      </x:c>
      <x:c r="O280" s="28" t="n">
        <x:v>0</x:v>
      </x:c>
      <x:c r="P280" s="28" t="n">
        <x:v>1</x:v>
      </x:c>
      <x:c r="Q280" s="24" t="n">
        <x:f>IFERROR(J280/H280,0)</x:f>
        <x:v>0.2857142857142857</x:v>
      </x:c>
      <x:c r="R280" s="24" t="n">
        <x:f>IFERROR(F280/H280,0)</x:f>
        <x:v>0.07142857142857142</x:v>
      </x:c>
      <x:c r="S280" s="24" t="n">
        <x:f>IFERROR(F280/J280,0)</x:f>
        <x:v>0.25</x:v>
      </x:c>
      <x:c r="T280" s="28" t="n">
        <x:f>H280-I280</x:f>
        <x:v>0</x:v>
      </x:c>
      <x:c r="U280" s="24" t="n">
        <x:f>IFERROR(J280/H280,0)-IFERROR(K280/I280,0)</x:f>
        <x:v>0</x:v>
      </x:c>
      <x:c r="V280" s="24" t="n">
        <x:f>IFERROR(F280/J280,0)-IFERROR(G280/K280,0)</x:f>
        <x:v>0</x:v>
      </x:c>
      <x:c r="W280" s="28" t="n">
        <x:f>L280-M280</x:f>
        <x:v>-4</x:v>
      </x:c>
      <x:c r="X280" s="24" t="n">
        <x:f>IFERROR(K280/I280,0)</x:f>
        <x:v>0.2857142857142857</x:v>
      </x:c>
      <x:c r="Y280" s="24" t="n">
        <x:f>IFERROR(G280/I280,0)</x:f>
        <x:v>0.07142857142857142</x:v>
      </x:c>
      <x:c r="Z280" s="24" t="n">
        <x:f>IFERROR(G280/K280,0)</x:f>
        <x:v>0.25</x:v>
      </x:c>
      <x:c r="AA280" s="24" t="n">
        <x:f>IFERROR(F280/H280,0)-IFERROR(G280/I280,0)</x:f>
        <x:v>0</x:v>
      </x:c>
      <x:c r="AB280" s="28" t="n">
        <x:f>J280-K280</x:f>
        <x:v>0</x:v>
      </x:c>
      <x:c r="AC280" s="32" t="n">
        <x:f>F280-G280</x:f>
        <x:v>0</x:v>
      </x:c>
    </x:row>
    <x:row r="281">
      <x:c r="A281" s="4" t="str">
        <x:v>2021-22</x:v>
      </x:c>
      <x:c r="B281" s="20" t="n">
        <x:v>44534</x:v>
      </x:c>
      <x:c r="C281" s="4" t="str">
        <x:v>Burnley</x:v>
      </x:c>
      <x:c r="D281" s="4" t="str">
        <x:v>Newcastle</x:v>
      </x:c>
      <x:c r="E281" s="4" t="str">
        <x:v>Away</x:v>
      </x:c>
      <x:c r="F281" s="28" t="n">
        <x:v>0</x:v>
      </x:c>
      <x:c r="G281" s="28" t="n">
        <x:v>1</x:v>
      </x:c>
      <x:c r="H281" s="28" t="n">
        <x:v>10</x:v>
      </x:c>
      <x:c r="I281" s="28" t="n">
        <x:v>19</x:v>
      </x:c>
      <x:c r="J281" s="28" t="n">
        <x:v>1</x:v>
      </x:c>
      <x:c r="K281" s="28" t="n">
        <x:v>4</x:v>
      </x:c>
      <x:c r="L281" s="28" t="n">
        <x:v>3</x:v>
      </x:c>
      <x:c r="M281" s="28" t="n">
        <x:v>10</x:v>
      </x:c>
      <x:c r="N281" s="28" t="n">
        <x:v>1</x:v>
      </x:c>
      <x:c r="O281" s="28" t="n">
        <x:v>0</x:v>
      </x:c>
      <x:c r="P281" s="28" t="n">
        <x:v>0</x:v>
      </x:c>
      <x:c r="Q281" s="24" t="n">
        <x:f>IFERROR(J281/H281,0)</x:f>
        <x:v>0.1</x:v>
      </x:c>
      <x:c r="R281" s="24" t="n">
        <x:f>IFERROR(F281/H281,0)</x:f>
        <x:v>0</x:v>
      </x:c>
      <x:c r="S281" s="24" t="n">
        <x:f>IFERROR(F281/J281,0)</x:f>
        <x:v>0</x:v>
      </x:c>
      <x:c r="T281" s="28" t="n">
        <x:f>H281-I281</x:f>
        <x:v>-9</x:v>
      </x:c>
      <x:c r="U281" s="24" t="n">
        <x:f>IFERROR(J281/H281,0)-IFERROR(K281/I281,0)</x:f>
        <x:v>-0.11052631578947367</x:v>
      </x:c>
      <x:c r="V281" s="24" t="n">
        <x:f>IFERROR(F281/J281,0)-IFERROR(G281/K281,0)</x:f>
        <x:v>-0.25</x:v>
      </x:c>
      <x:c r="W281" s="28" t="n">
        <x:f>L281-M281</x:f>
        <x:v>-7</x:v>
      </x:c>
      <x:c r="X281" s="24" t="n">
        <x:f>IFERROR(K281/I281,0)</x:f>
        <x:v>0.21052631578947367</x:v>
      </x:c>
      <x:c r="Y281" s="24" t="n">
        <x:f>IFERROR(G281/I281,0)</x:f>
        <x:v>0.05263157894736842</x:v>
      </x:c>
      <x:c r="Z281" s="24" t="n">
        <x:f>IFERROR(G281/K281,0)</x:f>
        <x:v>0.25</x:v>
      </x:c>
      <x:c r="AA281" s="24" t="n">
        <x:f>IFERROR(F281/H281,0)-IFERROR(G281/I281,0)</x:f>
        <x:v>-0.05263157894736842</x:v>
      </x:c>
      <x:c r="AB281" s="28" t="n">
        <x:f>J281-K281</x:f>
        <x:v>-3</x:v>
      </x:c>
      <x:c r="AC281" s="32" t="n">
        <x:f>F281-G281</x:f>
        <x:v>-1</x:v>
      </x:c>
    </x:row>
    <x:row r="282">
      <x:c r="A282" s="4" t="str">
        <x:v>2021-22</x:v>
      </x:c>
      <x:c r="B282" s="20" t="n">
        <x:v>44534</x:v>
      </x:c>
      <x:c r="C282" s="4" t="str">
        <x:v>Chelsea</x:v>
      </x:c>
      <x:c r="D282" s="4" t="str">
        <x:v>West Ham</x:v>
      </x:c>
      <x:c r="E282" s="4" t="str">
        <x:v>Away</x:v>
      </x:c>
      <x:c r="F282" s="28" t="n">
        <x:v>2</x:v>
      </x:c>
      <x:c r="G282" s="28" t="n">
        <x:v>3</x:v>
      </x:c>
      <x:c r="H282" s="28" t="n">
        <x:v>19</x:v>
      </x:c>
      <x:c r="I282" s="28" t="n">
        <x:v>11</x:v>
      </x:c>
      <x:c r="J282" s="28" t="n">
        <x:v>7</x:v>
      </x:c>
      <x:c r="K282" s="28" t="n">
        <x:v>5</x:v>
      </x:c>
      <x:c r="L282" s="28" t="n">
        <x:v>9</x:v>
      </x:c>
      <x:c r="M282" s="28" t="n">
        <x:v>1</x:v>
      </x:c>
      <x:c r="N282" s="28" t="n">
        <x:v>3</x:v>
      </x:c>
      <x:c r="O282" s="28" t="n">
        <x:v>0</x:v>
      </x:c>
      <x:c r="P282" s="28" t="n">
        <x:v>0</x:v>
      </x:c>
      <x:c r="Q282" s="24" t="n">
        <x:f>IFERROR(J282/H282,0)</x:f>
        <x:v>0.3684210526315789</x:v>
      </x:c>
      <x:c r="R282" s="24" t="n">
        <x:f>IFERROR(F282/H282,0)</x:f>
        <x:v>0.10526315789473684</x:v>
      </x:c>
      <x:c r="S282" s="24" t="n">
        <x:f>IFERROR(F282/J282,0)</x:f>
        <x:v>0.2857142857142857</x:v>
      </x:c>
      <x:c r="T282" s="28" t="n">
        <x:f>H282-I282</x:f>
        <x:v>8</x:v>
      </x:c>
      <x:c r="U282" s="24" t="n">
        <x:f>IFERROR(J282/H282,0)-IFERROR(K282/I282,0)</x:f>
        <x:v>-0.0861244019138756</x:v>
      </x:c>
      <x:c r="V282" s="24" t="n">
        <x:f>IFERROR(F282/J282,0)-IFERROR(G282/K282,0)</x:f>
        <x:v>-0.3142857142857143</x:v>
      </x:c>
      <x:c r="W282" s="28" t="n">
        <x:f>L282-M282</x:f>
        <x:v>8</x:v>
      </x:c>
      <x:c r="X282" s="24" t="n">
        <x:f>IFERROR(K282/I282,0)</x:f>
        <x:v>0.45454545454545453</x:v>
      </x:c>
      <x:c r="Y282" s="24" t="n">
        <x:f>IFERROR(G282/I282,0)</x:f>
        <x:v>0.2727272727272727</x:v>
      </x:c>
      <x:c r="Z282" s="24" t="n">
        <x:f>IFERROR(G282/K282,0)</x:f>
        <x:v>0.6</x:v>
      </x:c>
      <x:c r="AA282" s="24" t="n">
        <x:f>IFERROR(F282/H282,0)-IFERROR(G282/I282,0)</x:f>
        <x:v>-0.16746411483253587</x:v>
      </x:c>
      <x:c r="AB282" s="28" t="n">
        <x:f>J282-K282</x:f>
        <x:v>2</x:v>
      </x:c>
      <x:c r="AC282" s="32" t="n">
        <x:f>F282-G282</x:f>
        <x:v>-1</x:v>
      </x:c>
    </x:row>
    <x:row r="283">
      <x:c r="A283" s="4" t="str">
        <x:v>2021-22</x:v>
      </x:c>
      <x:c r="B283" s="20" t="n">
        <x:v>44534</x:v>
      </x:c>
      <x:c r="C283" s="4" t="str">
        <x:v>Liverpool</x:v>
      </x:c>
      <x:c r="D283" s="4" t="str">
        <x:v>Wolves</x:v>
      </x:c>
      <x:c r="E283" s="4" t="str">
        <x:v>Away</x:v>
      </x:c>
      <x:c r="F283" s="28" t="n">
        <x:v>1</x:v>
      </x:c>
      <x:c r="G283" s="28" t="n">
        <x:v>0</x:v>
      </x:c>
      <x:c r="H283" s="28" t="n">
        <x:v>17</x:v>
      </x:c>
      <x:c r="I283" s="28" t="n">
        <x:v>3</x:v>
      </x:c>
      <x:c r="J283" s="28" t="n">
        <x:v>5</x:v>
      </x:c>
      <x:c r="K283" s="28" t="n">
        <x:v>1</x:v>
      </x:c>
      <x:c r="L283" s="28" t="n">
        <x:v>8</x:v>
      </x:c>
      <x:c r="M283" s="28" t="n">
        <x:v>2</x:v>
      </x:c>
      <x:c r="N283" s="28" t="n">
        <x:v>2</x:v>
      </x:c>
      <x:c r="O283" s="28" t="n">
        <x:v>0</x:v>
      </x:c>
      <x:c r="P283" s="28" t="n">
        <x:v>3</x:v>
      </x:c>
      <x:c r="Q283" s="24" t="n">
        <x:f>IFERROR(J283/H283,0)</x:f>
        <x:v>0.29411764705882354</x:v>
      </x:c>
      <x:c r="R283" s="24" t="n">
        <x:f>IFERROR(F283/H283,0)</x:f>
        <x:v>0.058823529411764705</x:v>
      </x:c>
      <x:c r="S283" s="24" t="n">
        <x:f>IFERROR(F283/J283,0)</x:f>
        <x:v>0.2</x:v>
      </x:c>
      <x:c r="T283" s="28" t="n">
        <x:f>H283-I283</x:f>
        <x:v>14</x:v>
      </x:c>
      <x:c r="U283" s="24" t="n">
        <x:f>IFERROR(J283/H283,0)-IFERROR(K283/I283,0)</x:f>
        <x:v>-0.039215686274509776</x:v>
      </x:c>
      <x:c r="V283" s="24" t="n">
        <x:f>IFERROR(F283/J283,0)-IFERROR(G283/K283,0)</x:f>
        <x:v>0.2</x:v>
      </x:c>
      <x:c r="W283" s="28" t="n">
        <x:f>L283-M283</x:f>
        <x:v>6</x:v>
      </x:c>
      <x:c r="X283" s="24" t="n">
        <x:f>IFERROR(K283/I283,0)</x:f>
        <x:v>0.3333333333333333</x:v>
      </x:c>
      <x:c r="Y283" s="24" t="n">
        <x:f>IFERROR(G283/I283,0)</x:f>
        <x:v>0</x:v>
      </x:c>
      <x:c r="Z283" s="24" t="n">
        <x:f>IFERROR(G283/K283,0)</x:f>
        <x:v>0</x:v>
      </x:c>
      <x:c r="AA283" s="24" t="n">
        <x:f>IFERROR(F283/H283,0)-IFERROR(G283/I283,0)</x:f>
        <x:v>0.058823529411764705</x:v>
      </x:c>
      <x:c r="AB283" s="28" t="n">
        <x:f>J283-K283</x:f>
        <x:v>4</x:v>
      </x:c>
      <x:c r="AC283" s="32" t="n">
        <x:f>F283-G283</x:f>
        <x:v>1</x:v>
      </x:c>
    </x:row>
    <x:row r="284">
      <x:c r="A284" s="4" t="str">
        <x:v>2021-22</x:v>
      </x:c>
      <x:c r="B284" s="20" t="n">
        <x:v>44534</x:v>
      </x:c>
      <x:c r="C284" s="4" t="str">
        <x:v>Man City</x:v>
      </x:c>
      <x:c r="D284" s="4" t="str">
        <x:v>Watford</x:v>
      </x:c>
      <x:c r="E284" s="4" t="str">
        <x:v>Away</x:v>
      </x:c>
      <x:c r="F284" s="28" t="n">
        <x:v>3</x:v>
      </x:c>
      <x:c r="G284" s="28" t="n">
        <x:v>1</x:v>
      </x:c>
      <x:c r="H284" s="28" t="n">
        <x:v>26</x:v>
      </x:c>
      <x:c r="I284" s="28" t="n">
        <x:v>11</x:v>
      </x:c>
      <x:c r="J284" s="28" t="n">
        <x:v>13</x:v>
      </x:c>
      <x:c r="K284" s="28" t="n">
        <x:v>4</x:v>
      </x:c>
      <x:c r="L284" s="28" t="n">
        <x:v>11</x:v>
      </x:c>
      <x:c r="M284" s="28" t="n">
        <x:v>5</x:v>
      </x:c>
      <x:c r="N284" s="28" t="n">
        <x:v>0</x:v>
      </x:c>
      <x:c r="O284" s="28" t="n">
        <x:v>0</x:v>
      </x:c>
      <x:c r="P284" s="28" t="n">
        <x:v>3</x:v>
      </x:c>
      <x:c r="Q284" s="24" t="n">
        <x:f>IFERROR(J284/H284,0)</x:f>
        <x:v>0.5</x:v>
      </x:c>
      <x:c r="R284" s="24" t="n">
        <x:f>IFERROR(F284/H284,0)</x:f>
        <x:v>0.11538461538461539</x:v>
      </x:c>
      <x:c r="S284" s="24" t="n">
        <x:f>IFERROR(F284/J284,0)</x:f>
        <x:v>0.23076923076923078</x:v>
      </x:c>
      <x:c r="T284" s="28" t="n">
        <x:f>H284-I284</x:f>
        <x:v>15</x:v>
      </x:c>
      <x:c r="U284" s="24" t="n">
        <x:f>IFERROR(J284/H284,0)-IFERROR(K284/I284,0)</x:f>
        <x:v>0.13636363636363635</x:v>
      </x:c>
      <x:c r="V284" s="24" t="n">
        <x:f>IFERROR(F284/J284,0)-IFERROR(G284/K284,0)</x:f>
        <x:v>-0.019230769230769218</x:v>
      </x:c>
      <x:c r="W284" s="28" t="n">
        <x:f>L284-M284</x:f>
        <x:v>6</x:v>
      </x:c>
      <x:c r="X284" s="24" t="n">
        <x:f>IFERROR(K284/I284,0)</x:f>
        <x:v>0.36363636363636365</x:v>
      </x:c>
      <x:c r="Y284" s="24" t="n">
        <x:f>IFERROR(G284/I284,0)</x:f>
        <x:v>0.09090909090909091</x:v>
      </x:c>
      <x:c r="Z284" s="24" t="n">
        <x:f>IFERROR(G284/K284,0)</x:f>
        <x:v>0.25</x:v>
      </x:c>
      <x:c r="AA284" s="24" t="n">
        <x:f>IFERROR(F284/H284,0)-IFERROR(G284/I284,0)</x:f>
        <x:v>0.02447552447552448</x:v>
      </x:c>
      <x:c r="AB284" s="28" t="n">
        <x:f>J284-K284</x:f>
        <x:v>9</x:v>
      </x:c>
      <x:c r="AC284" s="32" t="n">
        <x:f>F284-G284</x:f>
        <x:v>2</x:v>
      </x:c>
    </x:row>
    <x:row r="285">
      <x:c r="A285" s="4" t="str">
        <x:v>2021-22</x:v>
      </x:c>
      <x:c r="B285" s="20" t="n">
        <x:v>44534</x:v>
      </x:c>
      <x:c r="C285" s="4" t="str">
        <x:v>Newcastle</x:v>
      </x:c>
      <x:c r="D285" s="4" t="str">
        <x:v>Burnley</x:v>
      </x:c>
      <x:c r="E285" s="4" t="str">
        <x:v>Home</x:v>
      </x:c>
      <x:c r="F285" s="28" t="n">
        <x:v>1</x:v>
      </x:c>
      <x:c r="G285" s="28" t="n">
        <x:v>0</x:v>
      </x:c>
      <x:c r="H285" s="28" t="n">
        <x:v>19</x:v>
      </x:c>
      <x:c r="I285" s="28" t="n">
        <x:v>10</x:v>
      </x:c>
      <x:c r="J285" s="28" t="n">
        <x:v>4</x:v>
      </x:c>
      <x:c r="K285" s="28" t="n">
        <x:v>1</x:v>
      </x:c>
      <x:c r="L285" s="28" t="n">
        <x:v>10</x:v>
      </x:c>
      <x:c r="M285" s="28" t="n">
        <x:v>3</x:v>
      </x:c>
      <x:c r="N285" s="28" t="n">
        <x:v>1</x:v>
      </x:c>
      <x:c r="O285" s="28" t="n">
        <x:v>0</x:v>
      </x:c>
      <x:c r="P285" s="28" t="n">
        <x:v>3</x:v>
      </x:c>
      <x:c r="Q285" s="24" t="n">
        <x:f>IFERROR(J285/H285,0)</x:f>
        <x:v>0.21052631578947367</x:v>
      </x:c>
      <x:c r="R285" s="24" t="n">
        <x:f>IFERROR(F285/H285,0)</x:f>
        <x:v>0.05263157894736842</x:v>
      </x:c>
      <x:c r="S285" s="24" t="n">
        <x:f>IFERROR(F285/J285,0)</x:f>
        <x:v>0.25</x:v>
      </x:c>
      <x:c r="T285" s="28" t="n">
        <x:f>H285-I285</x:f>
        <x:v>9</x:v>
      </x:c>
      <x:c r="U285" s="24" t="n">
        <x:f>IFERROR(J285/H285,0)-IFERROR(K285/I285,0)</x:f>
        <x:v>0.11052631578947367</x:v>
      </x:c>
      <x:c r="V285" s="24" t="n">
        <x:f>IFERROR(F285/J285,0)-IFERROR(G285/K285,0)</x:f>
        <x:v>0.25</x:v>
      </x:c>
      <x:c r="W285" s="28" t="n">
        <x:f>L285-M285</x:f>
        <x:v>7</x:v>
      </x:c>
      <x:c r="X285" s="24" t="n">
        <x:f>IFERROR(K285/I285,0)</x:f>
        <x:v>0.1</x:v>
      </x:c>
      <x:c r="Y285" s="24" t="n">
        <x:f>IFERROR(G285/I285,0)</x:f>
        <x:v>0</x:v>
      </x:c>
      <x:c r="Z285" s="24" t="n">
        <x:f>IFERROR(G285/K285,0)</x:f>
        <x:v>0</x:v>
      </x:c>
      <x:c r="AA285" s="24" t="n">
        <x:f>IFERROR(F285/H285,0)-IFERROR(G285/I285,0)</x:f>
        <x:v>0.05263157894736842</x:v>
      </x:c>
      <x:c r="AB285" s="28" t="n">
        <x:f>J285-K285</x:f>
        <x:v>3</x:v>
      </x:c>
      <x:c r="AC285" s="32" t="n">
        <x:f>F285-G285</x:f>
        <x:v>1</x:v>
      </x:c>
    </x:row>
    <x:row r="286">
      <x:c r="A286" s="4" t="str">
        <x:v>2021-22</x:v>
      </x:c>
      <x:c r="B286" s="20" t="n">
        <x:v>44534</x:v>
      </x:c>
      <x:c r="C286" s="4" t="str">
        <x:v>Southampton</x:v>
      </x:c>
      <x:c r="D286" s="4" t="str">
        <x:v>Brighton</x:v>
      </x:c>
      <x:c r="E286" s="4" t="str">
        <x:v>Home</x:v>
      </x:c>
      <x:c r="F286" s="28" t="n">
        <x:v>1</x:v>
      </x:c>
      <x:c r="G286" s="28" t="n">
        <x:v>1</x:v>
      </x:c>
      <x:c r="H286" s="28" t="n">
        <x:v>14</x:v>
      </x:c>
      <x:c r="I286" s="28" t="n">
        <x:v>14</x:v>
      </x:c>
      <x:c r="J286" s="28" t="n">
        <x:v>4</x:v>
      </x:c>
      <x:c r="K286" s="28" t="n">
        <x:v>4</x:v>
      </x:c>
      <x:c r="L286" s="28" t="n">
        <x:v>6</x:v>
      </x:c>
      <x:c r="M286" s="28" t="n">
        <x:v>2</x:v>
      </x:c>
      <x:c r="N286" s="28" t="n">
        <x:v>4</x:v>
      </x:c>
      <x:c r="O286" s="28" t="n">
        <x:v>0</x:v>
      </x:c>
      <x:c r="P286" s="28" t="n">
        <x:v>1</x:v>
      </x:c>
      <x:c r="Q286" s="24" t="n">
        <x:f>IFERROR(J286/H286,0)</x:f>
        <x:v>0.2857142857142857</x:v>
      </x:c>
      <x:c r="R286" s="24" t="n">
        <x:f>IFERROR(F286/H286,0)</x:f>
        <x:v>0.07142857142857142</x:v>
      </x:c>
      <x:c r="S286" s="24" t="n">
        <x:f>IFERROR(F286/J286,0)</x:f>
        <x:v>0.25</x:v>
      </x:c>
      <x:c r="T286" s="28" t="n">
        <x:f>H286-I286</x:f>
        <x:v>0</x:v>
      </x:c>
      <x:c r="U286" s="24" t="n">
        <x:f>IFERROR(J286/H286,0)-IFERROR(K286/I286,0)</x:f>
        <x:v>0</x:v>
      </x:c>
      <x:c r="V286" s="24" t="n">
        <x:f>IFERROR(F286/J286,0)-IFERROR(G286/K286,0)</x:f>
        <x:v>0</x:v>
      </x:c>
      <x:c r="W286" s="28" t="n">
        <x:f>L286-M286</x:f>
        <x:v>4</x:v>
      </x:c>
      <x:c r="X286" s="24" t="n">
        <x:f>IFERROR(K286/I286,0)</x:f>
        <x:v>0.2857142857142857</x:v>
      </x:c>
      <x:c r="Y286" s="24" t="n">
        <x:f>IFERROR(G286/I286,0)</x:f>
        <x:v>0.07142857142857142</x:v>
      </x:c>
      <x:c r="Z286" s="24" t="n">
        <x:f>IFERROR(G286/K286,0)</x:f>
        <x:v>0.25</x:v>
      </x:c>
      <x:c r="AA286" s="24" t="n">
        <x:f>IFERROR(F286/H286,0)-IFERROR(G286/I286,0)</x:f>
        <x:v>0</x:v>
      </x:c>
      <x:c r="AB286" s="28" t="n">
        <x:f>J286-K286</x:f>
        <x:v>0</x:v>
      </x:c>
      <x:c r="AC286" s="32" t="n">
        <x:f>F286-G286</x:f>
        <x:v>0</x:v>
      </x:c>
    </x:row>
    <x:row r="287">
      <x:c r="A287" s="4" t="str">
        <x:v>2021-22</x:v>
      </x:c>
      <x:c r="B287" s="20" t="n">
        <x:v>44534</x:v>
      </x:c>
      <x:c r="C287" s="4" t="str">
        <x:v>Watford</x:v>
      </x:c>
      <x:c r="D287" s="4" t="str">
        <x:v>Man City</x:v>
      </x:c>
      <x:c r="E287" s="4" t="str">
        <x:v>Home</x:v>
      </x:c>
      <x:c r="F287" s="28" t="n">
        <x:v>1</x:v>
      </x:c>
      <x:c r="G287" s="28" t="n">
        <x:v>3</x:v>
      </x:c>
      <x:c r="H287" s="28" t="n">
        <x:v>11</x:v>
      </x:c>
      <x:c r="I287" s="28" t="n">
        <x:v>26</x:v>
      </x:c>
      <x:c r="J287" s="28" t="n">
        <x:v>4</x:v>
      </x:c>
      <x:c r="K287" s="28" t="n">
        <x:v>13</x:v>
      </x:c>
      <x:c r="L287" s="28" t="n">
        <x:v>5</x:v>
      </x:c>
      <x:c r="M287" s="28" t="n">
        <x:v>11</x:v>
      </x:c>
      <x:c r="N287" s="28" t="n">
        <x:v>3</x:v>
      </x:c>
      <x:c r="O287" s="28" t="n">
        <x:v>0</x:v>
      </x:c>
      <x:c r="P287" s="28" t="n">
        <x:v>0</x:v>
      </x:c>
      <x:c r="Q287" s="24" t="n">
        <x:f>IFERROR(J287/H287,0)</x:f>
        <x:v>0.36363636363636365</x:v>
      </x:c>
      <x:c r="R287" s="24" t="n">
        <x:f>IFERROR(F287/H287,0)</x:f>
        <x:v>0.09090909090909091</x:v>
      </x:c>
      <x:c r="S287" s="24" t="n">
        <x:f>IFERROR(F287/J287,0)</x:f>
        <x:v>0.25</x:v>
      </x:c>
      <x:c r="T287" s="28" t="n">
        <x:f>H287-I287</x:f>
        <x:v>-15</x:v>
      </x:c>
      <x:c r="U287" s="24" t="n">
        <x:f>IFERROR(J287/H287,0)-IFERROR(K287/I287,0)</x:f>
        <x:v>-0.13636363636363635</x:v>
      </x:c>
      <x:c r="V287" s="24" t="n">
        <x:f>IFERROR(F287/J287,0)-IFERROR(G287/K287,0)</x:f>
        <x:v>0.019230769230769218</x:v>
      </x:c>
      <x:c r="W287" s="28" t="n">
        <x:f>L287-M287</x:f>
        <x:v>-6</x:v>
      </x:c>
      <x:c r="X287" s="24" t="n">
        <x:f>IFERROR(K287/I287,0)</x:f>
        <x:v>0.5</x:v>
      </x:c>
      <x:c r="Y287" s="24" t="n">
        <x:f>IFERROR(G287/I287,0)</x:f>
        <x:v>0.11538461538461539</x:v>
      </x:c>
      <x:c r="Z287" s="24" t="n">
        <x:f>IFERROR(G287/K287,0)</x:f>
        <x:v>0.23076923076923078</x:v>
      </x:c>
      <x:c r="AA287" s="24" t="n">
        <x:f>IFERROR(F287/H287,0)-IFERROR(G287/I287,0)</x:f>
        <x:v>-0.02447552447552448</x:v>
      </x:c>
      <x:c r="AB287" s="28" t="n">
        <x:f>J287-K287</x:f>
        <x:v>-9</x:v>
      </x:c>
      <x:c r="AC287" s="32" t="n">
        <x:f>F287-G287</x:f>
        <x:v>-2</x:v>
      </x:c>
    </x:row>
    <x:row r="288">
      <x:c r="A288" s="4" t="str">
        <x:v>2021-22</x:v>
      </x:c>
      <x:c r="B288" s="20" t="n">
        <x:v>44534</x:v>
      </x:c>
      <x:c r="C288" s="4" t="str">
        <x:v>West Ham</x:v>
      </x:c>
      <x:c r="D288" s="4" t="str">
        <x:v>Chelsea</x:v>
      </x:c>
      <x:c r="E288" s="4" t="str">
        <x:v>Home</x:v>
      </x:c>
      <x:c r="F288" s="28" t="n">
        <x:v>3</x:v>
      </x:c>
      <x:c r="G288" s="28" t="n">
        <x:v>2</x:v>
      </x:c>
      <x:c r="H288" s="28" t="n">
        <x:v>11</x:v>
      </x:c>
      <x:c r="I288" s="28" t="n">
        <x:v>19</x:v>
      </x:c>
      <x:c r="J288" s="28" t="n">
        <x:v>5</x:v>
      </x:c>
      <x:c r="K288" s="28" t="n">
        <x:v>7</x:v>
      </x:c>
      <x:c r="L288" s="28" t="n">
        <x:v>1</x:v>
      </x:c>
      <x:c r="M288" s="28" t="n">
        <x:v>9</x:v>
      </x:c>
      <x:c r="N288" s="28" t="n">
        <x:v>1</x:v>
      </x:c>
      <x:c r="O288" s="28" t="n">
        <x:v>0</x:v>
      </x:c>
      <x:c r="P288" s="28" t="n">
        <x:v>3</x:v>
      </x:c>
      <x:c r="Q288" s="24" t="n">
        <x:f>IFERROR(J288/H288,0)</x:f>
        <x:v>0.45454545454545453</x:v>
      </x:c>
      <x:c r="R288" s="24" t="n">
        <x:f>IFERROR(F288/H288,0)</x:f>
        <x:v>0.2727272727272727</x:v>
      </x:c>
      <x:c r="S288" s="24" t="n">
        <x:f>IFERROR(F288/J288,0)</x:f>
        <x:v>0.6</x:v>
      </x:c>
      <x:c r="T288" s="28" t="n">
        <x:f>H288-I288</x:f>
        <x:v>-8</x:v>
      </x:c>
      <x:c r="U288" s="24" t="n">
        <x:f>IFERROR(J288/H288,0)-IFERROR(K288/I288,0)</x:f>
        <x:v>0.0861244019138756</x:v>
      </x:c>
      <x:c r="V288" s="24" t="n">
        <x:f>IFERROR(F288/J288,0)-IFERROR(G288/K288,0)</x:f>
        <x:v>0.3142857142857143</x:v>
      </x:c>
      <x:c r="W288" s="28" t="n">
        <x:f>L288-M288</x:f>
        <x:v>-8</x:v>
      </x:c>
      <x:c r="X288" s="24" t="n">
        <x:f>IFERROR(K288/I288,0)</x:f>
        <x:v>0.3684210526315789</x:v>
      </x:c>
      <x:c r="Y288" s="24" t="n">
        <x:f>IFERROR(G288/I288,0)</x:f>
        <x:v>0.10526315789473684</x:v>
      </x:c>
      <x:c r="Z288" s="24" t="n">
        <x:f>IFERROR(G288/K288,0)</x:f>
        <x:v>0.2857142857142857</x:v>
      </x:c>
      <x:c r="AA288" s="24" t="n">
        <x:f>IFERROR(F288/H288,0)-IFERROR(G288/I288,0)</x:f>
        <x:v>0.16746411483253587</x:v>
      </x:c>
      <x:c r="AB288" s="28" t="n">
        <x:f>J288-K288</x:f>
        <x:v>-2</x:v>
      </x:c>
      <x:c r="AC288" s="32" t="n">
        <x:f>F288-G288</x:f>
        <x:v>1</x:v>
      </x:c>
    </x:row>
    <x:row r="289">
      <x:c r="A289" s="4" t="str">
        <x:v>2021-22</x:v>
      </x:c>
      <x:c r="B289" s="20" t="n">
        <x:v>44534</x:v>
      </x:c>
      <x:c r="C289" s="4" t="str">
        <x:v>Wolves</x:v>
      </x:c>
      <x:c r="D289" s="4" t="str">
        <x:v>Liverpool</x:v>
      </x:c>
      <x:c r="E289" s="4" t="str">
        <x:v>Home</x:v>
      </x:c>
      <x:c r="F289" s="28" t="n">
        <x:v>0</x:v>
      </x:c>
      <x:c r="G289" s="28" t="n">
        <x:v>1</x:v>
      </x:c>
      <x:c r="H289" s="28" t="n">
        <x:v>3</x:v>
      </x:c>
      <x:c r="I289" s="28" t="n">
        <x:v>17</x:v>
      </x:c>
      <x:c r="J289" s="28" t="n">
        <x:v>1</x:v>
      </x:c>
      <x:c r="K289" s="28" t="n">
        <x:v>5</x:v>
      </x:c>
      <x:c r="L289" s="28" t="n">
        <x:v>2</x:v>
      </x:c>
      <x:c r="M289" s="28" t="n">
        <x:v>8</x:v>
      </x:c>
      <x:c r="N289" s="28" t="n">
        <x:v>2</x:v>
      </x:c>
      <x:c r="O289" s="28" t="n">
        <x:v>0</x:v>
      </x:c>
      <x:c r="P289" s="28" t="n">
        <x:v>0</x:v>
      </x:c>
      <x:c r="Q289" s="24" t="n">
        <x:f>IFERROR(J289/H289,0)</x:f>
        <x:v>0.3333333333333333</x:v>
      </x:c>
      <x:c r="R289" s="24" t="n">
        <x:f>IFERROR(F289/H289,0)</x:f>
        <x:v>0</x:v>
      </x:c>
      <x:c r="S289" s="24" t="n">
        <x:f>IFERROR(F289/J289,0)</x:f>
        <x:v>0</x:v>
      </x:c>
      <x:c r="T289" s="28" t="n">
        <x:f>H289-I289</x:f>
        <x:v>-14</x:v>
      </x:c>
      <x:c r="U289" s="24" t="n">
        <x:f>IFERROR(J289/H289,0)-IFERROR(K289/I289,0)</x:f>
        <x:v>0.039215686274509776</x:v>
      </x:c>
      <x:c r="V289" s="24" t="n">
        <x:f>IFERROR(F289/J289,0)-IFERROR(G289/K289,0)</x:f>
        <x:v>-0.2</x:v>
      </x:c>
      <x:c r="W289" s="28" t="n">
        <x:f>L289-M289</x:f>
        <x:v>-6</x:v>
      </x:c>
      <x:c r="X289" s="24" t="n">
        <x:f>IFERROR(K289/I289,0)</x:f>
        <x:v>0.29411764705882354</x:v>
      </x:c>
      <x:c r="Y289" s="24" t="n">
        <x:f>IFERROR(G289/I289,0)</x:f>
        <x:v>0.058823529411764705</x:v>
      </x:c>
      <x:c r="Z289" s="24" t="n">
        <x:f>IFERROR(G289/K289,0)</x:f>
        <x:v>0.2</x:v>
      </x:c>
      <x:c r="AA289" s="24" t="n">
        <x:f>IFERROR(F289/H289,0)-IFERROR(G289/I289,0)</x:f>
        <x:v>-0.058823529411764705</x:v>
      </x:c>
      <x:c r="AB289" s="28" t="n">
        <x:f>J289-K289</x:f>
        <x:v>-4</x:v>
      </x:c>
      <x:c r="AC289" s="32" t="n">
        <x:f>F289-G289</x:f>
        <x:v>-1</x:v>
      </x:c>
    </x:row>
    <x:row r="290">
      <x:c r="A290" s="4" t="str">
        <x:v>2021-22</x:v>
      </x:c>
      <x:c r="B290" s="20" t="n">
        <x:v>44535</x:v>
      </x:c>
      <x:c r="C290" s="4" t="str">
        <x:v>Aston Villa</x:v>
      </x:c>
      <x:c r="D290" s="4" t="str">
        <x:v>Leicester</x:v>
      </x:c>
      <x:c r="E290" s="4" t="str">
        <x:v>Home</x:v>
      </x:c>
      <x:c r="F290" s="28" t="n">
        <x:v>2</x:v>
      </x:c>
      <x:c r="G290" s="28" t="n">
        <x:v>1</x:v>
      </x:c>
      <x:c r="H290" s="28" t="n">
        <x:v>13</x:v>
      </x:c>
      <x:c r="I290" s="28" t="n">
        <x:v>12</x:v>
      </x:c>
      <x:c r="J290" s="28" t="n">
        <x:v>4</x:v>
      </x:c>
      <x:c r="K290" s="28" t="n">
        <x:v>5</x:v>
      </x:c>
      <x:c r="L290" s="28" t="n">
        <x:v>3</x:v>
      </x:c>
      <x:c r="M290" s="28" t="n">
        <x:v>6</x:v>
      </x:c>
      <x:c r="N290" s="28" t="n">
        <x:v>1</x:v>
      </x:c>
      <x:c r="O290" s="28" t="n">
        <x:v>0</x:v>
      </x:c>
      <x:c r="P290" s="28" t="n">
        <x:v>3</x:v>
      </x:c>
      <x:c r="Q290" s="24" t="n">
        <x:f>IFERROR(J290/H290,0)</x:f>
        <x:v>0.3076923076923077</x:v>
      </x:c>
      <x:c r="R290" s="24" t="n">
        <x:f>IFERROR(F290/H290,0)</x:f>
        <x:v>0.15384615384615385</x:v>
      </x:c>
      <x:c r="S290" s="24" t="n">
        <x:f>IFERROR(F290/J290,0)</x:f>
        <x:v>0.5</x:v>
      </x:c>
      <x:c r="T290" s="28" t="n">
        <x:f>H290-I290</x:f>
        <x:v>1</x:v>
      </x:c>
      <x:c r="U290" s="24" t="n">
        <x:f>IFERROR(J290/H290,0)-IFERROR(K290/I290,0)</x:f>
        <x:v>-0.10897435897435898</x:v>
      </x:c>
      <x:c r="V290" s="24" t="n">
        <x:f>IFERROR(F290/J290,0)-IFERROR(G290/K290,0)</x:f>
        <x:v>0.3</x:v>
      </x:c>
      <x:c r="W290" s="28" t="n">
        <x:f>L290-M290</x:f>
        <x:v>-3</x:v>
      </x:c>
      <x:c r="X290" s="24" t="n">
        <x:f>IFERROR(K290/I290,0)</x:f>
        <x:v>0.4166666666666667</x:v>
      </x:c>
      <x:c r="Y290" s="24" t="n">
        <x:f>IFERROR(G290/I290,0)</x:f>
        <x:v>0.08333333333333333</x:v>
      </x:c>
      <x:c r="Z290" s="24" t="n">
        <x:f>IFERROR(G290/K290,0)</x:f>
        <x:v>0.2</x:v>
      </x:c>
      <x:c r="AA290" s="24" t="n">
        <x:f>IFERROR(F290/H290,0)-IFERROR(G290/I290,0)</x:f>
        <x:v>0.07051282051282053</x:v>
      </x:c>
      <x:c r="AB290" s="28" t="n">
        <x:f>J290-K290</x:f>
        <x:v>-1</x:v>
      </x:c>
      <x:c r="AC290" s="32" t="n">
        <x:f>F290-G290</x:f>
        <x:v>1</x:v>
      </x:c>
    </x:row>
    <x:row r="291">
      <x:c r="A291" s="4" t="str">
        <x:v>2021-22</x:v>
      </x:c>
      <x:c r="B291" s="20" t="n">
        <x:v>44535</x:v>
      </x:c>
      <x:c r="C291" s="4" t="str">
        <x:v>Brentford</x:v>
      </x:c>
      <x:c r="D291" s="4" t="str">
        <x:v>Leeds</x:v>
      </x:c>
      <x:c r="E291" s="4" t="str">
        <x:v>Away</x:v>
      </x:c>
      <x:c r="F291" s="28" t="n">
        <x:v>2</x:v>
      </x:c>
      <x:c r="G291" s="28" t="n">
        <x:v>2</x:v>
      </x:c>
      <x:c r="H291" s="28" t="n">
        <x:v>9</x:v>
      </x:c>
      <x:c r="I291" s="28" t="n">
        <x:v>13</x:v>
      </x:c>
      <x:c r="J291" s="28" t="n">
        <x:v>3</x:v>
      </x:c>
      <x:c r="K291" s="28" t="n">
        <x:v>6</x:v>
      </x:c>
      <x:c r="L291" s="28" t="n">
        <x:v>1</x:v>
      </x:c>
      <x:c r="M291" s="28" t="n">
        <x:v>5</x:v>
      </x:c>
      <x:c r="N291" s="28" t="n">
        <x:v>3</x:v>
      </x:c>
      <x:c r="O291" s="28" t="n">
        <x:v>0</x:v>
      </x:c>
      <x:c r="P291" s="28" t="n">
        <x:v>1</x:v>
      </x:c>
      <x:c r="Q291" s="24" t="n">
        <x:f>IFERROR(J291/H291,0)</x:f>
        <x:v>0.3333333333333333</x:v>
      </x:c>
      <x:c r="R291" s="24" t="n">
        <x:f>IFERROR(F291/H291,0)</x:f>
        <x:v>0.2222222222222222</x:v>
      </x:c>
      <x:c r="S291" s="24" t="n">
        <x:f>IFERROR(F291/J291,0)</x:f>
        <x:v>0.6666666666666666</x:v>
      </x:c>
      <x:c r="T291" s="28" t="n">
        <x:f>H291-I291</x:f>
        <x:v>-4</x:v>
      </x:c>
      <x:c r="U291" s="24" t="n">
        <x:f>IFERROR(J291/H291,0)-IFERROR(K291/I291,0)</x:f>
        <x:v>-0.12820512820512825</x:v>
      </x:c>
      <x:c r="V291" s="24" t="n">
        <x:f>IFERROR(F291/J291,0)-IFERROR(G291/K291,0)</x:f>
        <x:v>0.3333333333333333</x:v>
      </x:c>
      <x:c r="W291" s="28" t="n">
        <x:f>L291-M291</x:f>
        <x:v>-4</x:v>
      </x:c>
      <x:c r="X291" s="24" t="n">
        <x:f>IFERROR(K291/I291,0)</x:f>
        <x:v>0.46153846153846156</x:v>
      </x:c>
      <x:c r="Y291" s="24" t="n">
        <x:f>IFERROR(G291/I291,0)</x:f>
        <x:v>0.15384615384615385</x:v>
      </x:c>
      <x:c r="Z291" s="24" t="n">
        <x:f>IFERROR(G291/K291,0)</x:f>
        <x:v>0.3333333333333333</x:v>
      </x:c>
      <x:c r="AA291" s="24" t="n">
        <x:f>IFERROR(F291/H291,0)-IFERROR(G291/I291,0)</x:f>
        <x:v>0.06837606837606836</x:v>
      </x:c>
      <x:c r="AB291" s="28" t="n">
        <x:f>J291-K291</x:f>
        <x:v>-3</x:v>
      </x:c>
      <x:c r="AC291" s="32" t="n">
        <x:f>F291-G291</x:f>
        <x:v>0</x:v>
      </x:c>
    </x:row>
    <x:row r="292">
      <x:c r="A292" s="4" t="str">
        <x:v>2021-22</x:v>
      </x:c>
      <x:c r="B292" s="20" t="n">
        <x:v>44535</x:v>
      </x:c>
      <x:c r="C292" s="4" t="str">
        <x:v>Crystal Palace</x:v>
      </x:c>
      <x:c r="D292" s="4" t="str">
        <x:v>Man United</x:v>
      </x:c>
      <x:c r="E292" s="4" t="str">
        <x:v>Away</x:v>
      </x:c>
      <x:c r="F292" s="28" t="n">
        <x:v>0</x:v>
      </x:c>
      <x:c r="G292" s="28" t="n">
        <x:v>1</x:v>
      </x:c>
      <x:c r="H292" s="28" t="n">
        <x:v>8</x:v>
      </x:c>
      <x:c r="I292" s="28" t="n">
        <x:v>16</x:v>
      </x:c>
      <x:c r="J292" s="28" t="n">
        <x:v>2</x:v>
      </x:c>
      <x:c r="K292" s="28" t="n">
        <x:v>3</x:v>
      </x:c>
      <x:c r="L292" s="28" t="n">
        <x:v>6</x:v>
      </x:c>
      <x:c r="M292" s="28" t="n">
        <x:v>9</x:v>
      </x:c>
      <x:c r="N292" s="28" t="n">
        <x:v>2</x:v>
      </x:c>
      <x:c r="O292" s="28" t="n">
        <x:v>0</x:v>
      </x:c>
      <x:c r="P292" s="28" t="n">
        <x:v>0</x:v>
      </x:c>
      <x:c r="Q292" s="24" t="n">
        <x:f>IFERROR(J292/H292,0)</x:f>
        <x:v>0.25</x:v>
      </x:c>
      <x:c r="R292" s="24" t="n">
        <x:f>IFERROR(F292/H292,0)</x:f>
        <x:v>0</x:v>
      </x:c>
      <x:c r="S292" s="24" t="n">
        <x:f>IFERROR(F292/J292,0)</x:f>
        <x:v>0</x:v>
      </x:c>
      <x:c r="T292" s="28" t="n">
        <x:f>H292-I292</x:f>
        <x:v>-8</x:v>
      </x:c>
      <x:c r="U292" s="24" t="n">
        <x:f>IFERROR(J292/H292,0)-IFERROR(K292/I292,0)</x:f>
        <x:v>0.0625</x:v>
      </x:c>
      <x:c r="V292" s="24" t="n">
        <x:f>IFERROR(F292/J292,0)-IFERROR(G292/K292,0)</x:f>
        <x:v>-0.3333333333333333</x:v>
      </x:c>
      <x:c r="W292" s="28" t="n">
        <x:f>L292-M292</x:f>
        <x:v>-3</x:v>
      </x:c>
      <x:c r="X292" s="24" t="n">
        <x:f>IFERROR(K292/I292,0)</x:f>
        <x:v>0.1875</x:v>
      </x:c>
      <x:c r="Y292" s="24" t="n">
        <x:f>IFERROR(G292/I292,0)</x:f>
        <x:v>0.0625</x:v>
      </x:c>
      <x:c r="Z292" s="24" t="n">
        <x:f>IFERROR(G292/K292,0)</x:f>
        <x:v>0.3333333333333333</x:v>
      </x:c>
      <x:c r="AA292" s="24" t="n">
        <x:f>IFERROR(F292/H292,0)-IFERROR(G292/I292,0)</x:f>
        <x:v>-0.0625</x:v>
      </x:c>
      <x:c r="AB292" s="28" t="n">
        <x:f>J292-K292</x:f>
        <x:v>-1</x:v>
      </x:c>
      <x:c r="AC292" s="32" t="n">
        <x:f>F292-G292</x:f>
        <x:v>-1</x:v>
      </x:c>
    </x:row>
    <x:row r="293">
      <x:c r="A293" s="4" t="str">
        <x:v>2021-22</x:v>
      </x:c>
      <x:c r="B293" s="20" t="n">
        <x:v>44535</x:v>
      </x:c>
      <x:c r="C293" s="4" t="str">
        <x:v>Leeds</x:v>
      </x:c>
      <x:c r="D293" s="4" t="str">
        <x:v>Brentford</x:v>
      </x:c>
      <x:c r="E293" s="4" t="str">
        <x:v>Home</x:v>
      </x:c>
      <x:c r="F293" s="28" t="n">
        <x:v>2</x:v>
      </x:c>
      <x:c r="G293" s="28" t="n">
        <x:v>2</x:v>
      </x:c>
      <x:c r="H293" s="28" t="n">
        <x:v>13</x:v>
      </x:c>
      <x:c r="I293" s="28" t="n">
        <x:v>9</x:v>
      </x:c>
      <x:c r="J293" s="28" t="n">
        <x:v>6</x:v>
      </x:c>
      <x:c r="K293" s="28" t="n">
        <x:v>3</x:v>
      </x:c>
      <x:c r="L293" s="28" t="n">
        <x:v>5</x:v>
      </x:c>
      <x:c r="M293" s="28" t="n">
        <x:v>1</x:v>
      </x:c>
      <x:c r="N293" s="28" t="n">
        <x:v>5</x:v>
      </x:c>
      <x:c r="O293" s="28" t="n">
        <x:v>0</x:v>
      </x:c>
      <x:c r="P293" s="28" t="n">
        <x:v>1</x:v>
      </x:c>
      <x:c r="Q293" s="24" t="n">
        <x:f>IFERROR(J293/H293,0)</x:f>
        <x:v>0.46153846153846156</x:v>
      </x:c>
      <x:c r="R293" s="24" t="n">
        <x:f>IFERROR(F293/H293,0)</x:f>
        <x:v>0.15384615384615385</x:v>
      </x:c>
      <x:c r="S293" s="24" t="n">
        <x:f>IFERROR(F293/J293,0)</x:f>
        <x:v>0.3333333333333333</x:v>
      </x:c>
      <x:c r="T293" s="28" t="n">
        <x:f>H293-I293</x:f>
        <x:v>4</x:v>
      </x:c>
      <x:c r="U293" s="24" t="n">
        <x:f>IFERROR(J293/H293,0)-IFERROR(K293/I293,0)</x:f>
        <x:v>0.12820512820512825</x:v>
      </x:c>
      <x:c r="V293" s="24" t="n">
        <x:f>IFERROR(F293/J293,0)-IFERROR(G293/K293,0)</x:f>
        <x:v>-0.3333333333333333</x:v>
      </x:c>
      <x:c r="W293" s="28" t="n">
        <x:f>L293-M293</x:f>
        <x:v>4</x:v>
      </x:c>
      <x:c r="X293" s="24" t="n">
        <x:f>IFERROR(K293/I293,0)</x:f>
        <x:v>0.3333333333333333</x:v>
      </x:c>
      <x:c r="Y293" s="24" t="n">
        <x:f>IFERROR(G293/I293,0)</x:f>
        <x:v>0.2222222222222222</x:v>
      </x:c>
      <x:c r="Z293" s="24" t="n">
        <x:f>IFERROR(G293/K293,0)</x:f>
        <x:v>0.6666666666666666</x:v>
      </x:c>
      <x:c r="AA293" s="24" t="n">
        <x:f>IFERROR(F293/H293,0)-IFERROR(G293/I293,0)</x:f>
        <x:v>-0.06837606837606836</x:v>
      </x:c>
      <x:c r="AB293" s="28" t="n">
        <x:f>J293-K293</x:f>
        <x:v>3</x:v>
      </x:c>
      <x:c r="AC293" s="32" t="n">
        <x:f>F293-G293</x:f>
        <x:v>0</x:v>
      </x:c>
    </x:row>
    <x:row r="294">
      <x:c r="A294" s="4" t="str">
        <x:v>2021-22</x:v>
      </x:c>
      <x:c r="B294" s="20" t="n">
        <x:v>44535</x:v>
      </x:c>
      <x:c r="C294" s="4" t="str">
        <x:v>Leicester</x:v>
      </x:c>
      <x:c r="D294" s="4" t="str">
        <x:v>Aston Villa</x:v>
      </x:c>
      <x:c r="E294" s="4" t="str">
        <x:v>Away</x:v>
      </x:c>
      <x:c r="F294" s="28" t="n">
        <x:v>1</x:v>
      </x:c>
      <x:c r="G294" s="28" t="n">
        <x:v>2</x:v>
      </x:c>
      <x:c r="H294" s="28" t="n">
        <x:v>12</x:v>
      </x:c>
      <x:c r="I294" s="28" t="n">
        <x:v>13</x:v>
      </x:c>
      <x:c r="J294" s="28" t="n">
        <x:v>5</x:v>
      </x:c>
      <x:c r="K294" s="28" t="n">
        <x:v>4</x:v>
      </x:c>
      <x:c r="L294" s="28" t="n">
        <x:v>6</x:v>
      </x:c>
      <x:c r="M294" s="28" t="n">
        <x:v>3</x:v>
      </x:c>
      <x:c r="N294" s="28" t="n">
        <x:v>1</x:v>
      </x:c>
      <x:c r="O294" s="28" t="n">
        <x:v>0</x:v>
      </x:c>
      <x:c r="P294" s="28" t="n">
        <x:v>0</x:v>
      </x:c>
      <x:c r="Q294" s="24" t="n">
        <x:f>IFERROR(J294/H294,0)</x:f>
        <x:v>0.4166666666666667</x:v>
      </x:c>
      <x:c r="R294" s="24" t="n">
        <x:f>IFERROR(F294/H294,0)</x:f>
        <x:v>0.08333333333333333</x:v>
      </x:c>
      <x:c r="S294" s="24" t="n">
        <x:f>IFERROR(F294/J294,0)</x:f>
        <x:v>0.2</x:v>
      </x:c>
      <x:c r="T294" s="28" t="n">
        <x:f>H294-I294</x:f>
        <x:v>-1</x:v>
      </x:c>
      <x:c r="U294" s="24" t="n">
        <x:f>IFERROR(J294/H294,0)-IFERROR(K294/I294,0)</x:f>
        <x:v>0.10897435897435898</x:v>
      </x:c>
      <x:c r="V294" s="24" t="n">
        <x:f>IFERROR(F294/J294,0)-IFERROR(G294/K294,0)</x:f>
        <x:v>-0.3</x:v>
      </x:c>
      <x:c r="W294" s="28" t="n">
        <x:f>L294-M294</x:f>
        <x:v>3</x:v>
      </x:c>
      <x:c r="X294" s="24" t="n">
        <x:f>IFERROR(K294/I294,0)</x:f>
        <x:v>0.3076923076923077</x:v>
      </x:c>
      <x:c r="Y294" s="24" t="n">
        <x:f>IFERROR(G294/I294,0)</x:f>
        <x:v>0.15384615384615385</x:v>
      </x:c>
      <x:c r="Z294" s="24" t="n">
        <x:f>IFERROR(G294/K294,0)</x:f>
        <x:v>0.5</x:v>
      </x:c>
      <x:c r="AA294" s="24" t="n">
        <x:f>IFERROR(F294/H294,0)-IFERROR(G294/I294,0)</x:f>
        <x:v>-0.07051282051282053</x:v>
      </x:c>
      <x:c r="AB294" s="28" t="n">
        <x:f>J294-K294</x:f>
        <x:v>1</x:v>
      </x:c>
      <x:c r="AC294" s="32" t="n">
        <x:f>F294-G294</x:f>
        <x:v>-1</x:v>
      </x:c>
    </x:row>
    <x:row r="295">
      <x:c r="A295" s="4" t="str">
        <x:v>2021-22</x:v>
      </x:c>
      <x:c r="B295" s="20" t="n">
        <x:v>44535</x:v>
      </x:c>
      <x:c r="C295" s="4" t="str">
        <x:v>Man United</x:v>
      </x:c>
      <x:c r="D295" s="4" t="str">
        <x:v>Crystal Palace</x:v>
      </x:c>
      <x:c r="E295" s="4" t="str">
        <x:v>Home</x:v>
      </x:c>
      <x:c r="F295" s="28" t="n">
        <x:v>1</x:v>
      </x:c>
      <x:c r="G295" s="28" t="n">
        <x:v>0</x:v>
      </x:c>
      <x:c r="H295" s="28" t="n">
        <x:v>16</x:v>
      </x:c>
      <x:c r="I295" s="28" t="n">
        <x:v>8</x:v>
      </x:c>
      <x:c r="J295" s="28" t="n">
        <x:v>3</x:v>
      </x:c>
      <x:c r="K295" s="28" t="n">
        <x:v>2</x:v>
      </x:c>
      <x:c r="L295" s="28" t="n">
        <x:v>9</x:v>
      </x:c>
      <x:c r="M295" s="28" t="n">
        <x:v>6</x:v>
      </x:c>
      <x:c r="N295" s="28" t="n">
        <x:v>2</x:v>
      </x:c>
      <x:c r="O295" s="28" t="n">
        <x:v>0</x:v>
      </x:c>
      <x:c r="P295" s="28" t="n">
        <x:v>3</x:v>
      </x:c>
      <x:c r="Q295" s="24" t="n">
        <x:f>IFERROR(J295/H295,0)</x:f>
        <x:v>0.1875</x:v>
      </x:c>
      <x:c r="R295" s="24" t="n">
        <x:f>IFERROR(F295/H295,0)</x:f>
        <x:v>0.0625</x:v>
      </x:c>
      <x:c r="S295" s="24" t="n">
        <x:f>IFERROR(F295/J295,0)</x:f>
        <x:v>0.3333333333333333</x:v>
      </x:c>
      <x:c r="T295" s="28" t="n">
        <x:f>H295-I295</x:f>
        <x:v>8</x:v>
      </x:c>
      <x:c r="U295" s="24" t="n">
        <x:f>IFERROR(J295/H295,0)-IFERROR(K295/I295,0)</x:f>
        <x:v>-0.0625</x:v>
      </x:c>
      <x:c r="V295" s="24" t="n">
        <x:f>IFERROR(F295/J295,0)-IFERROR(G295/K295,0)</x:f>
        <x:v>0.3333333333333333</x:v>
      </x:c>
      <x:c r="W295" s="28" t="n">
        <x:f>L295-M295</x:f>
        <x:v>3</x:v>
      </x:c>
      <x:c r="X295" s="24" t="n">
        <x:f>IFERROR(K295/I295,0)</x:f>
        <x:v>0.25</x:v>
      </x:c>
      <x:c r="Y295" s="24" t="n">
        <x:f>IFERROR(G295/I295,0)</x:f>
        <x:v>0</x:v>
      </x:c>
      <x:c r="Z295" s="24" t="n">
        <x:f>IFERROR(G295/K295,0)</x:f>
        <x:v>0</x:v>
      </x:c>
      <x:c r="AA295" s="24" t="n">
        <x:f>IFERROR(F295/H295,0)-IFERROR(G295/I295,0)</x:f>
        <x:v>0.0625</x:v>
      </x:c>
      <x:c r="AB295" s="28" t="n">
        <x:f>J295-K295</x:f>
        <x:v>1</x:v>
      </x:c>
      <x:c r="AC295" s="32" t="n">
        <x:f>F295-G295</x:f>
        <x:v>1</x:v>
      </x:c>
    </x:row>
    <x:row r="296">
      <x:c r="A296" s="4" t="str">
        <x:v>2021-22</x:v>
      </x:c>
      <x:c r="B296" s="20" t="n">
        <x:v>44535</x:v>
      </x:c>
      <x:c r="C296" s="4" t="str">
        <x:v>Norwich</x:v>
      </x:c>
      <x:c r="D296" s="4" t="str">
        <x:v>Tottenham</x:v>
      </x:c>
      <x:c r="E296" s="4" t="str">
        <x:v>Away</x:v>
      </x:c>
      <x:c r="F296" s="28" t="n">
        <x:v>0</x:v>
      </x:c>
      <x:c r="G296" s="28" t="n">
        <x:v>3</x:v>
      </x:c>
      <x:c r="H296" s="28" t="n">
        <x:v>10</x:v>
      </x:c>
      <x:c r="I296" s="28" t="n">
        <x:v>17</x:v>
      </x:c>
      <x:c r="J296" s="28" t="n">
        <x:v>1</x:v>
      </x:c>
      <x:c r="K296" s="28" t="n">
        <x:v>7</x:v>
      </x:c>
      <x:c r="L296" s="28" t="n">
        <x:v>4</x:v>
      </x:c>
      <x:c r="M296" s="28" t="n">
        <x:v>6</x:v>
      </x:c>
      <x:c r="N296" s="28" t="n">
        <x:v>2</x:v>
      </x:c>
      <x:c r="O296" s="28" t="n">
        <x:v>0</x:v>
      </x:c>
      <x:c r="P296" s="28" t="n">
        <x:v>0</x:v>
      </x:c>
      <x:c r="Q296" s="24" t="n">
        <x:f>IFERROR(J296/H296,0)</x:f>
        <x:v>0.1</x:v>
      </x:c>
      <x:c r="R296" s="24" t="n">
        <x:f>IFERROR(F296/H296,0)</x:f>
        <x:v>0</x:v>
      </x:c>
      <x:c r="S296" s="24" t="n">
        <x:f>IFERROR(F296/J296,0)</x:f>
        <x:v>0</x:v>
      </x:c>
      <x:c r="T296" s="28" t="n">
        <x:f>H296-I296</x:f>
        <x:v>-7</x:v>
      </x:c>
      <x:c r="U296" s="24" t="n">
        <x:f>IFERROR(J296/H296,0)-IFERROR(K296/I296,0)</x:f>
        <x:v>-0.31176470588235294</x:v>
      </x:c>
      <x:c r="V296" s="24" t="n">
        <x:f>IFERROR(F296/J296,0)-IFERROR(G296/K296,0)</x:f>
        <x:v>-0.42857142857142855</x:v>
      </x:c>
      <x:c r="W296" s="28" t="n">
        <x:f>L296-M296</x:f>
        <x:v>-2</x:v>
      </x:c>
      <x:c r="X296" s="24" t="n">
        <x:f>IFERROR(K296/I296,0)</x:f>
        <x:v>0.4117647058823529</x:v>
      </x:c>
      <x:c r="Y296" s="24" t="n">
        <x:f>IFERROR(G296/I296,0)</x:f>
        <x:v>0.17647058823529413</x:v>
      </x:c>
      <x:c r="Z296" s="24" t="n">
        <x:f>IFERROR(G296/K296,0)</x:f>
        <x:v>0.42857142857142855</x:v>
      </x:c>
      <x:c r="AA296" s="24" t="n">
        <x:f>IFERROR(F296/H296,0)-IFERROR(G296/I296,0)</x:f>
        <x:v>-0.17647058823529413</x:v>
      </x:c>
      <x:c r="AB296" s="28" t="n">
        <x:f>J296-K296</x:f>
        <x:v>-6</x:v>
      </x:c>
      <x:c r="AC296" s="32" t="n">
        <x:f>F296-G296</x:f>
        <x:v>-3</x:v>
      </x:c>
    </x:row>
    <x:row r="297">
      <x:c r="A297" s="4" t="str">
        <x:v>2021-22</x:v>
      </x:c>
      <x:c r="B297" s="20" t="n">
        <x:v>44535</x:v>
      </x:c>
      <x:c r="C297" s="4" t="str">
        <x:v>Tottenham</x:v>
      </x:c>
      <x:c r="D297" s="4" t="str">
        <x:v>Norwich</x:v>
      </x:c>
      <x:c r="E297" s="4" t="str">
        <x:v>Home</x:v>
      </x:c>
      <x:c r="F297" s="28" t="n">
        <x:v>3</x:v>
      </x:c>
      <x:c r="G297" s="28" t="n">
        <x:v>0</x:v>
      </x:c>
      <x:c r="H297" s="28" t="n">
        <x:v>17</x:v>
      </x:c>
      <x:c r="I297" s="28" t="n">
        <x:v>10</x:v>
      </x:c>
      <x:c r="J297" s="28" t="n">
        <x:v>7</x:v>
      </x:c>
      <x:c r="K297" s="28" t="n">
        <x:v>1</x:v>
      </x:c>
      <x:c r="L297" s="28" t="n">
        <x:v>6</x:v>
      </x:c>
      <x:c r="M297" s="28" t="n">
        <x:v>4</x:v>
      </x:c>
      <x:c r="N297" s="28" t="n">
        <x:v>1</x:v>
      </x:c>
      <x:c r="O297" s="28" t="n">
        <x:v>0</x:v>
      </x:c>
      <x:c r="P297" s="28" t="n">
        <x:v>3</x:v>
      </x:c>
      <x:c r="Q297" s="24" t="n">
        <x:f>IFERROR(J297/H297,0)</x:f>
        <x:v>0.4117647058823529</x:v>
      </x:c>
      <x:c r="R297" s="24" t="n">
        <x:f>IFERROR(F297/H297,0)</x:f>
        <x:v>0.17647058823529413</x:v>
      </x:c>
      <x:c r="S297" s="24" t="n">
        <x:f>IFERROR(F297/J297,0)</x:f>
        <x:v>0.42857142857142855</x:v>
      </x:c>
      <x:c r="T297" s="28" t="n">
        <x:f>H297-I297</x:f>
        <x:v>7</x:v>
      </x:c>
      <x:c r="U297" s="24" t="n">
        <x:f>IFERROR(J297/H297,0)-IFERROR(K297/I297,0)</x:f>
        <x:v>0.31176470588235294</x:v>
      </x:c>
      <x:c r="V297" s="24" t="n">
        <x:f>IFERROR(F297/J297,0)-IFERROR(G297/K297,0)</x:f>
        <x:v>0.42857142857142855</x:v>
      </x:c>
      <x:c r="W297" s="28" t="n">
        <x:f>L297-M297</x:f>
        <x:v>2</x:v>
      </x:c>
      <x:c r="X297" s="24" t="n">
        <x:f>IFERROR(K297/I297,0)</x:f>
        <x:v>0.1</x:v>
      </x:c>
      <x:c r="Y297" s="24" t="n">
        <x:f>IFERROR(G297/I297,0)</x:f>
        <x:v>0</x:v>
      </x:c>
      <x:c r="Z297" s="24" t="n">
        <x:f>IFERROR(G297/K297,0)</x:f>
        <x:v>0</x:v>
      </x:c>
      <x:c r="AA297" s="24" t="n">
        <x:f>IFERROR(F297/H297,0)-IFERROR(G297/I297,0)</x:f>
        <x:v>0.17647058823529413</x:v>
      </x:c>
      <x:c r="AB297" s="28" t="n">
        <x:f>J297-K297</x:f>
        <x:v>6</x:v>
      </x:c>
      <x:c r="AC297" s="32" t="n">
        <x:f>F297-G297</x:f>
        <x:v>3</x:v>
      </x:c>
    </x:row>
    <x:row r="298">
      <x:c r="A298" s="4" t="str">
        <x:v>2021-22</x:v>
      </x:c>
      <x:c r="B298" s="20" t="n">
        <x:v>44536</x:v>
      </x:c>
      <x:c r="C298" s="4" t="str">
        <x:v>Arsenal</x:v>
      </x:c>
      <x:c r="D298" s="4" t="str">
        <x:v>Everton</x:v>
      </x:c>
      <x:c r="E298" s="4" t="str">
        <x:v>Away</x:v>
      </x:c>
      <x:c r="F298" s="28" t="n">
        <x:v>1</x:v>
      </x:c>
      <x:c r="G298" s="28" t="n">
        <x:v>2</x:v>
      </x:c>
      <x:c r="H298" s="28" t="n">
        <x:v>10</x:v>
      </x:c>
      <x:c r="I298" s="28" t="n">
        <x:v>11</x:v>
      </x:c>
      <x:c r="J298" s="28" t="n">
        <x:v>3</x:v>
      </x:c>
      <x:c r="K298" s="28" t="n">
        <x:v>5</x:v>
      </x:c>
      <x:c r="L298" s="28" t="n">
        <x:v>3</x:v>
      </x:c>
      <x:c r="M298" s="28" t="n">
        <x:v>3</x:v>
      </x:c>
      <x:c r="N298" s="28" t="n">
        <x:v>2</x:v>
      </x:c>
      <x:c r="O298" s="28" t="n">
        <x:v>0</x:v>
      </x:c>
      <x:c r="P298" s="28" t="n">
        <x:v>0</x:v>
      </x:c>
      <x:c r="Q298" s="24" t="n">
        <x:f>IFERROR(J298/H298,0)</x:f>
        <x:v>0.3</x:v>
      </x:c>
      <x:c r="R298" s="24" t="n">
        <x:f>IFERROR(F298/H298,0)</x:f>
        <x:v>0.1</x:v>
      </x:c>
      <x:c r="S298" s="24" t="n">
        <x:f>IFERROR(F298/J298,0)</x:f>
        <x:v>0.3333333333333333</x:v>
      </x:c>
      <x:c r="T298" s="28" t="n">
        <x:f>H298-I298</x:f>
        <x:v>-1</x:v>
      </x:c>
      <x:c r="U298" s="24" t="n">
        <x:f>IFERROR(J298/H298,0)-IFERROR(K298/I298,0)</x:f>
        <x:v>-0.15454545454545454</x:v>
      </x:c>
      <x:c r="V298" s="24" t="n">
        <x:f>IFERROR(F298/J298,0)-IFERROR(G298/K298,0)</x:f>
        <x:v>-0.06666666666666671</x:v>
      </x:c>
      <x:c r="W298" s="28" t="n">
        <x:f>L298-M298</x:f>
        <x:v>0</x:v>
      </x:c>
      <x:c r="X298" s="24" t="n">
        <x:f>IFERROR(K298/I298,0)</x:f>
        <x:v>0.45454545454545453</x:v>
      </x:c>
      <x:c r="Y298" s="24" t="n">
        <x:f>IFERROR(G298/I298,0)</x:f>
        <x:v>0.18181818181818182</x:v>
      </x:c>
      <x:c r="Z298" s="24" t="n">
        <x:f>IFERROR(G298/K298,0)</x:f>
        <x:v>0.4</x:v>
      </x:c>
      <x:c r="AA298" s="24" t="n">
        <x:f>IFERROR(F298/H298,0)-IFERROR(G298/I298,0)</x:f>
        <x:v>-0.08181818181818182</x:v>
      </x:c>
      <x:c r="AB298" s="28" t="n">
        <x:f>J298-K298</x:f>
        <x:v>-2</x:v>
      </x:c>
      <x:c r="AC298" s="32" t="n">
        <x:f>F298-G298</x:f>
        <x:v>-1</x:v>
      </x:c>
    </x:row>
    <x:row r="299">
      <x:c r="A299" s="4" t="str">
        <x:v>2021-22</x:v>
      </x:c>
      <x:c r="B299" s="20" t="n">
        <x:v>44536</x:v>
      </x:c>
      <x:c r="C299" s="4" t="str">
        <x:v>Everton</x:v>
      </x:c>
      <x:c r="D299" s="4" t="str">
        <x:v>Arsenal</x:v>
      </x:c>
      <x:c r="E299" s="4" t="str">
        <x:v>Home</x:v>
      </x:c>
      <x:c r="F299" s="28" t="n">
        <x:v>2</x:v>
      </x:c>
      <x:c r="G299" s="28" t="n">
        <x:v>1</x:v>
      </x:c>
      <x:c r="H299" s="28" t="n">
        <x:v>11</x:v>
      </x:c>
      <x:c r="I299" s="28" t="n">
        <x:v>10</x:v>
      </x:c>
      <x:c r="J299" s="28" t="n">
        <x:v>5</x:v>
      </x:c>
      <x:c r="K299" s="28" t="n">
        <x:v>3</x:v>
      </x:c>
      <x:c r="L299" s="28" t="n">
        <x:v>3</x:v>
      </x:c>
      <x:c r="M299" s="28" t="n">
        <x:v>3</x:v>
      </x:c>
      <x:c r="N299" s="28" t="n">
        <x:v>2</x:v>
      </x:c>
      <x:c r="O299" s="28" t="n">
        <x:v>0</x:v>
      </x:c>
      <x:c r="P299" s="28" t="n">
        <x:v>3</x:v>
      </x:c>
      <x:c r="Q299" s="24" t="n">
        <x:f>IFERROR(J299/H299,0)</x:f>
        <x:v>0.45454545454545453</x:v>
      </x:c>
      <x:c r="R299" s="24" t="n">
        <x:f>IFERROR(F299/H299,0)</x:f>
        <x:v>0.18181818181818182</x:v>
      </x:c>
      <x:c r="S299" s="24" t="n">
        <x:f>IFERROR(F299/J299,0)</x:f>
        <x:v>0.4</x:v>
      </x:c>
      <x:c r="T299" s="28" t="n">
        <x:f>H299-I299</x:f>
        <x:v>1</x:v>
      </x:c>
      <x:c r="U299" s="24" t="n">
        <x:f>IFERROR(J299/H299,0)-IFERROR(K299/I299,0)</x:f>
        <x:v>0.15454545454545454</x:v>
      </x:c>
      <x:c r="V299" s="24" t="n">
        <x:f>IFERROR(F299/J299,0)-IFERROR(G299/K299,0)</x:f>
        <x:v>0.06666666666666671</x:v>
      </x:c>
      <x:c r="W299" s="28" t="n">
        <x:f>L299-M299</x:f>
        <x:v>0</x:v>
      </x:c>
      <x:c r="X299" s="24" t="n">
        <x:f>IFERROR(K299/I299,0)</x:f>
        <x:v>0.3</x:v>
      </x:c>
      <x:c r="Y299" s="24" t="n">
        <x:f>IFERROR(G299/I299,0)</x:f>
        <x:v>0.1</x:v>
      </x:c>
      <x:c r="Z299" s="24" t="n">
        <x:f>IFERROR(G299/K299,0)</x:f>
        <x:v>0.3333333333333333</x:v>
      </x:c>
      <x:c r="AA299" s="24" t="n">
        <x:f>IFERROR(F299/H299,0)-IFERROR(G299/I299,0)</x:f>
        <x:v>0.08181818181818182</x:v>
      </x:c>
      <x:c r="AB299" s="28" t="n">
        <x:f>J299-K299</x:f>
        <x:v>2</x:v>
      </x:c>
      <x:c r="AC299" s="32" t="n">
        <x:f>F299-G299</x:f>
        <x:v>1</x:v>
      </x:c>
    </x:row>
    <x:row r="300">
      <x:c r="A300" s="4" t="str">
        <x:v>2021-22</x:v>
      </x:c>
      <x:c r="B300" s="20" t="n">
        <x:v>44540</x:v>
      </x:c>
      <x:c r="C300" s="4" t="str">
        <x:v>Brentford</x:v>
      </x:c>
      <x:c r="D300" s="4" t="str">
        <x:v>Watford</x:v>
      </x:c>
      <x:c r="E300" s="4" t="str">
        <x:v>Home</x:v>
      </x:c>
      <x:c r="F300" s="28" t="n">
        <x:v>2</x:v>
      </x:c>
      <x:c r="G300" s="28" t="n">
        <x:v>1</x:v>
      </x:c>
      <x:c r="H300" s="28" t="n">
        <x:v>14</x:v>
      </x:c>
      <x:c r="I300" s="28" t="n">
        <x:v>6</x:v>
      </x:c>
      <x:c r="J300" s="28" t="n">
        <x:v>5</x:v>
      </x:c>
      <x:c r="K300" s="28" t="n">
        <x:v>2</x:v>
      </x:c>
      <x:c r="L300" s="28" t="n">
        <x:v>8</x:v>
      </x:c>
      <x:c r="M300" s="28" t="n">
        <x:v>2</x:v>
      </x:c>
      <x:c r="N300" s="28" t="n">
        <x:v>4</x:v>
      </x:c>
      <x:c r="O300" s="28" t="n">
        <x:v>0</x:v>
      </x:c>
      <x:c r="P300" s="28" t="n">
        <x:v>3</x:v>
      </x:c>
      <x:c r="Q300" s="24" t="n">
        <x:f>IFERROR(J300/H300,0)</x:f>
        <x:v>0.35714285714285715</x:v>
      </x:c>
      <x:c r="R300" s="24" t="n">
        <x:f>IFERROR(F300/H300,0)</x:f>
        <x:v>0.14285714285714285</x:v>
      </x:c>
      <x:c r="S300" s="24" t="n">
        <x:f>IFERROR(F300/J300,0)</x:f>
        <x:v>0.4</x:v>
      </x:c>
      <x:c r="T300" s="28" t="n">
        <x:f>H300-I300</x:f>
        <x:v>8</x:v>
      </x:c>
      <x:c r="U300" s="24" t="n">
        <x:f>IFERROR(J300/H300,0)-IFERROR(K300/I300,0)</x:f>
        <x:v>0.023809523809523836</x:v>
      </x:c>
      <x:c r="V300" s="24" t="n">
        <x:f>IFERROR(F300/J300,0)-IFERROR(G300/K300,0)</x:f>
        <x:v>-0.09999999999999998</x:v>
      </x:c>
      <x:c r="W300" s="28" t="n">
        <x:f>L300-M300</x:f>
        <x:v>6</x:v>
      </x:c>
      <x:c r="X300" s="24" t="n">
        <x:f>IFERROR(K300/I300,0)</x:f>
        <x:v>0.3333333333333333</x:v>
      </x:c>
      <x:c r="Y300" s="24" t="n">
        <x:f>IFERROR(G300/I300,0)</x:f>
        <x:v>0.16666666666666666</x:v>
      </x:c>
      <x:c r="Z300" s="24" t="n">
        <x:f>IFERROR(G300/K300,0)</x:f>
        <x:v>0.5</x:v>
      </x:c>
      <x:c r="AA300" s="24" t="n">
        <x:f>IFERROR(F300/H300,0)-IFERROR(G300/I300,0)</x:f>
        <x:v>-0.023809523809523808</x:v>
      </x:c>
      <x:c r="AB300" s="28" t="n">
        <x:f>J300-K300</x:f>
        <x:v>3</x:v>
      </x:c>
      <x:c r="AC300" s="32" t="n">
        <x:f>F300-G300</x:f>
        <x:v>1</x:v>
      </x:c>
    </x:row>
    <x:row r="301">
      <x:c r="A301" s="4" t="str">
        <x:v>2021-22</x:v>
      </x:c>
      <x:c r="B301" s="20" t="n">
        <x:v>44540</x:v>
      </x:c>
      <x:c r="C301" s="4" t="str">
        <x:v>Watford</x:v>
      </x:c>
      <x:c r="D301" s="4" t="str">
        <x:v>Brentford</x:v>
      </x:c>
      <x:c r="E301" s="4" t="str">
        <x:v>Away</x:v>
      </x:c>
      <x:c r="F301" s="28" t="n">
        <x:v>1</x:v>
      </x:c>
      <x:c r="G301" s="28" t="n">
        <x:v>2</x:v>
      </x:c>
      <x:c r="H301" s="28" t="n">
        <x:v>6</x:v>
      </x:c>
      <x:c r="I301" s="28" t="n">
        <x:v>14</x:v>
      </x:c>
      <x:c r="J301" s="28" t="n">
        <x:v>2</x:v>
      </x:c>
      <x:c r="K301" s="28" t="n">
        <x:v>5</x:v>
      </x:c>
      <x:c r="L301" s="28" t="n">
        <x:v>2</x:v>
      </x:c>
      <x:c r="M301" s="28" t="n">
        <x:v>8</x:v>
      </x:c>
      <x:c r="N301" s="28" t="n">
        <x:v>0</x:v>
      </x:c>
      <x:c r="O301" s="28" t="n">
        <x:v>0</x:v>
      </x:c>
      <x:c r="P301" s="28" t="n">
        <x:v>0</x:v>
      </x:c>
      <x:c r="Q301" s="24" t="n">
        <x:f>IFERROR(J301/H301,0)</x:f>
        <x:v>0.3333333333333333</x:v>
      </x:c>
      <x:c r="R301" s="24" t="n">
        <x:f>IFERROR(F301/H301,0)</x:f>
        <x:v>0.16666666666666666</x:v>
      </x:c>
      <x:c r="S301" s="24" t="n">
        <x:f>IFERROR(F301/J301,0)</x:f>
        <x:v>0.5</x:v>
      </x:c>
      <x:c r="T301" s="28" t="n">
        <x:f>H301-I301</x:f>
        <x:v>-8</x:v>
      </x:c>
      <x:c r="U301" s="24" t="n">
        <x:f>IFERROR(J301/H301,0)-IFERROR(K301/I301,0)</x:f>
        <x:v>-0.023809523809523836</x:v>
      </x:c>
      <x:c r="V301" s="24" t="n">
        <x:f>IFERROR(F301/J301,0)-IFERROR(G301/K301,0)</x:f>
        <x:v>0.09999999999999998</x:v>
      </x:c>
      <x:c r="W301" s="28" t="n">
        <x:f>L301-M301</x:f>
        <x:v>-6</x:v>
      </x:c>
      <x:c r="X301" s="24" t="n">
        <x:f>IFERROR(K301/I301,0)</x:f>
        <x:v>0.35714285714285715</x:v>
      </x:c>
      <x:c r="Y301" s="24" t="n">
        <x:f>IFERROR(G301/I301,0)</x:f>
        <x:v>0.14285714285714285</x:v>
      </x:c>
      <x:c r="Z301" s="24" t="n">
        <x:f>IFERROR(G301/K301,0)</x:f>
        <x:v>0.4</x:v>
      </x:c>
      <x:c r="AA301" s="24" t="n">
        <x:f>IFERROR(F301/H301,0)-IFERROR(G301/I301,0)</x:f>
        <x:v>0.023809523809523808</x:v>
      </x:c>
      <x:c r="AB301" s="28" t="n">
        <x:f>J301-K301</x:f>
        <x:v>-3</x:v>
      </x:c>
      <x:c r="AC301" s="32" t="n">
        <x:f>F301-G301</x:f>
        <x:v>-1</x:v>
      </x:c>
    </x:row>
    <x:row r="302">
      <x:c r="A302" s="4" t="str">
        <x:v>2021-22</x:v>
      </x:c>
      <x:c r="B302" s="20" t="n">
        <x:v>44541</x:v>
      </x:c>
      <x:c r="C302" s="4" t="str">
        <x:v>Arsenal</x:v>
      </x:c>
      <x:c r="D302" s="4" t="str">
        <x:v>Southampton</x:v>
      </x:c>
      <x:c r="E302" s="4" t="str">
        <x:v>Home</x:v>
      </x:c>
      <x:c r="F302" s="28" t="n">
        <x:v>3</x:v>
      </x:c>
      <x:c r="G302" s="28" t="n">
        <x:v>0</x:v>
      </x:c>
      <x:c r="H302" s="28" t="n">
        <x:v>15</x:v>
      </x:c>
      <x:c r="I302" s="28" t="n">
        <x:v>11</x:v>
      </x:c>
      <x:c r="J302" s="28" t="n">
        <x:v>5</x:v>
      </x:c>
      <x:c r="K302" s="28" t="n">
        <x:v>6</x:v>
      </x:c>
      <x:c r="L302" s="28" t="n">
        <x:v>9</x:v>
      </x:c>
      <x:c r="M302" s="28" t="n">
        <x:v>8</x:v>
      </x:c>
      <x:c r="N302" s="28" t="n">
        <x:v>2</x:v>
      </x:c>
      <x:c r="O302" s="28" t="n">
        <x:v>0</x:v>
      </x:c>
      <x:c r="P302" s="28" t="n">
        <x:v>3</x:v>
      </x:c>
      <x:c r="Q302" s="24" t="n">
        <x:f>IFERROR(J302/H302,0)</x:f>
        <x:v>0.3333333333333333</x:v>
      </x:c>
      <x:c r="R302" s="24" t="n">
        <x:f>IFERROR(F302/H302,0)</x:f>
        <x:v>0.2</x:v>
      </x:c>
      <x:c r="S302" s="24" t="n">
        <x:f>IFERROR(F302/J302,0)</x:f>
        <x:v>0.6</x:v>
      </x:c>
      <x:c r="T302" s="28" t="n">
        <x:f>H302-I302</x:f>
        <x:v>4</x:v>
      </x:c>
      <x:c r="U302" s="24" t="n">
        <x:f>IFERROR(J302/H302,0)-IFERROR(K302/I302,0)</x:f>
        <x:v>-0.2121212121212121</x:v>
      </x:c>
      <x:c r="V302" s="24" t="n">
        <x:f>IFERROR(F302/J302,0)-IFERROR(G302/K302,0)</x:f>
        <x:v>0.6</x:v>
      </x:c>
      <x:c r="W302" s="28" t="n">
        <x:f>L302-M302</x:f>
        <x:v>1</x:v>
      </x:c>
      <x:c r="X302" s="24" t="n">
        <x:f>IFERROR(K302/I302,0)</x:f>
        <x:v>0.5454545454545454</x:v>
      </x:c>
      <x:c r="Y302" s="24" t="n">
        <x:f>IFERROR(G302/I302,0)</x:f>
        <x:v>0</x:v>
      </x:c>
      <x:c r="Z302" s="24" t="n">
        <x:f>IFERROR(G302/K302,0)</x:f>
        <x:v>0</x:v>
      </x:c>
      <x:c r="AA302" s="24" t="n">
        <x:f>IFERROR(F302/H302,0)-IFERROR(G302/I302,0)</x:f>
        <x:v>0.2</x:v>
      </x:c>
      <x:c r="AB302" s="28" t="n">
        <x:f>J302-K302</x:f>
        <x:v>-1</x:v>
      </x:c>
      <x:c r="AC302" s="32" t="n">
        <x:f>F302-G302</x:f>
        <x:v>3</x:v>
      </x:c>
    </x:row>
    <x:row r="303">
      <x:c r="A303" s="4" t="str">
        <x:v>2021-22</x:v>
      </x:c>
      <x:c r="B303" s="20" t="n">
        <x:v>44541</x:v>
      </x:c>
      <x:c r="C303" s="4" t="str">
        <x:v>Aston Villa</x:v>
      </x:c>
      <x:c r="D303" s="4" t="str">
        <x:v>Liverpool</x:v>
      </x:c>
      <x:c r="E303" s="4" t="str">
        <x:v>Away</x:v>
      </x:c>
      <x:c r="F303" s="28" t="n">
        <x:v>0</x:v>
      </x:c>
      <x:c r="G303" s="28" t="n">
        <x:v>1</x:v>
      </x:c>
      <x:c r="H303" s="28" t="n">
        <x:v>4</x:v>
      </x:c>
      <x:c r="I303" s="28" t="n">
        <x:v>20</x:v>
      </x:c>
      <x:c r="J303" s="28" t="n">
        <x:v>0</x:v>
      </x:c>
      <x:c r="K303" s="28" t="n">
        <x:v>5</x:v>
      </x:c>
      <x:c r="L303" s="28" t="n">
        <x:v>3</x:v>
      </x:c>
      <x:c r="M303" s="28" t="n">
        <x:v>11</x:v>
      </x:c>
      <x:c r="N303" s="28" t="n">
        <x:v>2</x:v>
      </x:c>
      <x:c r="O303" s="28" t="n">
        <x:v>0</x:v>
      </x:c>
      <x:c r="P303" s="28" t="n">
        <x:v>0</x:v>
      </x:c>
      <x:c r="Q303" s="24" t="n">
        <x:f>IFERROR(J303/H303,0)</x:f>
        <x:v>0</x:v>
      </x:c>
      <x:c r="R303" s="24" t="n">
        <x:f>IFERROR(F303/H303,0)</x:f>
        <x:v>0</x:v>
      </x:c>
      <x:c r="S303" s="24" t="n">
        <x:f>IFERROR(F303/J303,0)</x:f>
        <x:v>0</x:v>
      </x:c>
      <x:c r="T303" s="28" t="n">
        <x:f>H303-I303</x:f>
        <x:v>-16</x:v>
      </x:c>
      <x:c r="U303" s="24" t="n">
        <x:f>IFERROR(J303/H303,0)-IFERROR(K303/I303,0)</x:f>
        <x:v>-0.25</x:v>
      </x:c>
      <x:c r="V303" s="24" t="n">
        <x:f>IFERROR(F303/J303,0)-IFERROR(G303/K303,0)</x:f>
        <x:v>-0.2</x:v>
      </x:c>
      <x:c r="W303" s="28" t="n">
        <x:f>L303-M303</x:f>
        <x:v>-8</x:v>
      </x:c>
      <x:c r="X303" s="24" t="n">
        <x:f>IFERROR(K303/I303,0)</x:f>
        <x:v>0.25</x:v>
      </x:c>
      <x:c r="Y303" s="24" t="n">
        <x:f>IFERROR(G303/I303,0)</x:f>
        <x:v>0.05</x:v>
      </x:c>
      <x:c r="Z303" s="24" t="n">
        <x:f>IFERROR(G303/K303,0)</x:f>
        <x:v>0.2</x:v>
      </x:c>
      <x:c r="AA303" s="24" t="n">
        <x:f>IFERROR(F303/H303,0)-IFERROR(G303/I303,0)</x:f>
        <x:v>-0.05</x:v>
      </x:c>
      <x:c r="AB303" s="28" t="n">
        <x:f>J303-K303</x:f>
        <x:v>-5</x:v>
      </x:c>
      <x:c r="AC303" s="32" t="n">
        <x:f>F303-G303</x:f>
        <x:v>-1</x:v>
      </x:c>
    </x:row>
    <x:row r="304">
      <x:c r="A304" s="4" t="str">
        <x:v>2021-22</x:v>
      </x:c>
      <x:c r="B304" s="20" t="n">
        <x:v>44541</x:v>
      </x:c>
      <x:c r="C304" s="4" t="str">
        <x:v>Chelsea</x:v>
      </x:c>
      <x:c r="D304" s="4" t="str">
        <x:v>Leeds</x:v>
      </x:c>
      <x:c r="E304" s="4" t="str">
        <x:v>Home</x:v>
      </x:c>
      <x:c r="F304" s="28" t="n">
        <x:v>3</x:v>
      </x:c>
      <x:c r="G304" s="28" t="n">
        <x:v>2</x:v>
      </x:c>
      <x:c r="H304" s="28" t="n">
        <x:v>16</x:v>
      </x:c>
      <x:c r="I304" s="28" t="n">
        <x:v>12</x:v>
      </x:c>
      <x:c r="J304" s="28" t="n">
        <x:v>6</x:v>
      </x:c>
      <x:c r="K304" s="28" t="n">
        <x:v>5</x:v>
      </x:c>
      <x:c r="L304" s="28" t="n">
        <x:v>5</x:v>
      </x:c>
      <x:c r="M304" s="28" t="n">
        <x:v>2</x:v>
      </x:c>
      <x:c r="N304" s="28" t="n">
        <x:v>2</x:v>
      </x:c>
      <x:c r="O304" s="28" t="n">
        <x:v>0</x:v>
      </x:c>
      <x:c r="P304" s="28" t="n">
        <x:v>3</x:v>
      </x:c>
      <x:c r="Q304" s="24" t="n">
        <x:f>IFERROR(J304/H304,0)</x:f>
        <x:v>0.375</x:v>
      </x:c>
      <x:c r="R304" s="24" t="n">
        <x:f>IFERROR(F304/H304,0)</x:f>
        <x:v>0.1875</x:v>
      </x:c>
      <x:c r="S304" s="24" t="n">
        <x:f>IFERROR(F304/J304,0)</x:f>
        <x:v>0.5</x:v>
      </x:c>
      <x:c r="T304" s="28" t="n">
        <x:f>H304-I304</x:f>
        <x:v>4</x:v>
      </x:c>
      <x:c r="U304" s="24" t="n">
        <x:f>IFERROR(J304/H304,0)-IFERROR(K304/I304,0)</x:f>
        <x:v>-0.041666666666666685</x:v>
      </x:c>
      <x:c r="V304" s="24" t="n">
        <x:f>IFERROR(F304/J304,0)-IFERROR(G304/K304,0)</x:f>
        <x:v>0.09999999999999998</x:v>
      </x:c>
      <x:c r="W304" s="28" t="n">
        <x:f>L304-M304</x:f>
        <x:v>3</x:v>
      </x:c>
      <x:c r="X304" s="24" t="n">
        <x:f>IFERROR(K304/I304,0)</x:f>
        <x:v>0.4166666666666667</x:v>
      </x:c>
      <x:c r="Y304" s="24" t="n">
        <x:f>IFERROR(G304/I304,0)</x:f>
        <x:v>0.16666666666666666</x:v>
      </x:c>
      <x:c r="Z304" s="24" t="n">
        <x:f>IFERROR(G304/K304,0)</x:f>
        <x:v>0.4</x:v>
      </x:c>
      <x:c r="AA304" s="24" t="n">
        <x:f>IFERROR(F304/H304,0)-IFERROR(G304/I304,0)</x:f>
        <x:v>0.020833333333333343</x:v>
      </x:c>
      <x:c r="AB304" s="28" t="n">
        <x:f>J304-K304</x:f>
        <x:v>1</x:v>
      </x:c>
      <x:c r="AC304" s="32" t="n">
        <x:f>F304-G304</x:f>
        <x:v>1</x:v>
      </x:c>
    </x:row>
    <x:row r="305">
      <x:c r="A305" s="4" t="str">
        <x:v>2021-22</x:v>
      </x:c>
      <x:c r="B305" s="20" t="n">
        <x:v>44541</x:v>
      </x:c>
      <x:c r="C305" s="4" t="str">
        <x:v>Leeds</x:v>
      </x:c>
      <x:c r="D305" s="4" t="str">
        <x:v>Chelsea</x:v>
      </x:c>
      <x:c r="E305" s="4" t="str">
        <x:v>Away</x:v>
      </x:c>
      <x:c r="F305" s="28" t="n">
        <x:v>2</x:v>
      </x:c>
      <x:c r="G305" s="28" t="n">
        <x:v>3</x:v>
      </x:c>
      <x:c r="H305" s="28" t="n">
        <x:v>12</x:v>
      </x:c>
      <x:c r="I305" s="28" t="n">
        <x:v>16</x:v>
      </x:c>
      <x:c r="J305" s="28" t="n">
        <x:v>5</x:v>
      </x:c>
      <x:c r="K305" s="28" t="n">
        <x:v>6</x:v>
      </x:c>
      <x:c r="L305" s="28" t="n">
        <x:v>2</x:v>
      </x:c>
      <x:c r="M305" s="28" t="n">
        <x:v>5</x:v>
      </x:c>
      <x:c r="N305" s="28" t="n">
        <x:v>5</x:v>
      </x:c>
      <x:c r="O305" s="28" t="n">
        <x:v>0</x:v>
      </x:c>
      <x:c r="P305" s="28" t="n">
        <x:v>0</x:v>
      </x:c>
      <x:c r="Q305" s="24" t="n">
        <x:f>IFERROR(J305/H305,0)</x:f>
        <x:v>0.4166666666666667</x:v>
      </x:c>
      <x:c r="R305" s="24" t="n">
        <x:f>IFERROR(F305/H305,0)</x:f>
        <x:v>0.16666666666666666</x:v>
      </x:c>
      <x:c r="S305" s="24" t="n">
        <x:f>IFERROR(F305/J305,0)</x:f>
        <x:v>0.4</x:v>
      </x:c>
      <x:c r="T305" s="28" t="n">
        <x:f>H305-I305</x:f>
        <x:v>-4</x:v>
      </x:c>
      <x:c r="U305" s="24" t="n">
        <x:f>IFERROR(J305/H305,0)-IFERROR(K305/I305,0)</x:f>
        <x:v>0.041666666666666685</x:v>
      </x:c>
      <x:c r="V305" s="24" t="n">
        <x:f>IFERROR(F305/J305,0)-IFERROR(G305/K305,0)</x:f>
        <x:v>-0.09999999999999998</x:v>
      </x:c>
      <x:c r="W305" s="28" t="n">
        <x:f>L305-M305</x:f>
        <x:v>-3</x:v>
      </x:c>
      <x:c r="X305" s="24" t="n">
        <x:f>IFERROR(K305/I305,0)</x:f>
        <x:v>0.375</x:v>
      </x:c>
      <x:c r="Y305" s="24" t="n">
        <x:f>IFERROR(G305/I305,0)</x:f>
        <x:v>0.1875</x:v>
      </x:c>
      <x:c r="Z305" s="24" t="n">
        <x:f>IFERROR(G305/K305,0)</x:f>
        <x:v>0.5</x:v>
      </x:c>
      <x:c r="AA305" s="24" t="n">
        <x:f>IFERROR(F305/H305,0)-IFERROR(G305/I305,0)</x:f>
        <x:v>-0.020833333333333343</x:v>
      </x:c>
      <x:c r="AB305" s="28" t="n">
        <x:f>J305-K305</x:f>
        <x:v>-1</x:v>
      </x:c>
      <x:c r="AC305" s="32" t="n">
        <x:f>F305-G305</x:f>
        <x:v>-1</x:v>
      </x:c>
    </x:row>
    <x:row r="306">
      <x:c r="A306" s="4" t="str">
        <x:v>2021-22</x:v>
      </x:c>
      <x:c r="B306" s="20" t="n">
        <x:v>44541</x:v>
      </x:c>
      <x:c r="C306" s="4" t="str">
        <x:v>Liverpool</x:v>
      </x:c>
      <x:c r="D306" s="4" t="str">
        <x:v>Aston Villa</x:v>
      </x:c>
      <x:c r="E306" s="4" t="str">
        <x:v>Home</x:v>
      </x:c>
      <x:c r="F306" s="28" t="n">
        <x:v>1</x:v>
      </x:c>
      <x:c r="G306" s="28" t="n">
        <x:v>0</x:v>
      </x:c>
      <x:c r="H306" s="28" t="n">
        <x:v>20</x:v>
      </x:c>
      <x:c r="I306" s="28" t="n">
        <x:v>4</x:v>
      </x:c>
      <x:c r="J306" s="28" t="n">
        <x:v>5</x:v>
      </x:c>
      <x:c r="K306" s="28" t="n">
        <x:v>0</x:v>
      </x:c>
      <x:c r="L306" s="28" t="n">
        <x:v>11</x:v>
      </x:c>
      <x:c r="M306" s="28" t="n">
        <x:v>3</x:v>
      </x:c>
      <x:c r="N306" s="28" t="n">
        <x:v>1</x:v>
      </x:c>
      <x:c r="O306" s="28" t="n">
        <x:v>0</x:v>
      </x:c>
      <x:c r="P306" s="28" t="n">
        <x:v>3</x:v>
      </x:c>
      <x:c r="Q306" s="24" t="n">
        <x:f>IFERROR(J306/H306,0)</x:f>
        <x:v>0.25</x:v>
      </x:c>
      <x:c r="R306" s="24" t="n">
        <x:f>IFERROR(F306/H306,0)</x:f>
        <x:v>0.05</x:v>
      </x:c>
      <x:c r="S306" s="24" t="n">
        <x:f>IFERROR(F306/J306,0)</x:f>
        <x:v>0.2</x:v>
      </x:c>
      <x:c r="T306" s="28" t="n">
        <x:f>H306-I306</x:f>
        <x:v>16</x:v>
      </x:c>
      <x:c r="U306" s="24" t="n">
        <x:f>IFERROR(J306/H306,0)-IFERROR(K306/I306,0)</x:f>
        <x:v>0.25</x:v>
      </x:c>
      <x:c r="V306" s="24" t="n">
        <x:f>IFERROR(F306/J306,0)-IFERROR(G306/K306,0)</x:f>
        <x:v>0.2</x:v>
      </x:c>
      <x:c r="W306" s="28" t="n">
        <x:f>L306-M306</x:f>
        <x:v>8</x:v>
      </x:c>
      <x:c r="X306" s="24" t="n">
        <x:f>IFERROR(K306/I306,0)</x:f>
        <x:v>0</x:v>
      </x:c>
      <x:c r="Y306" s="24" t="n">
        <x:f>IFERROR(G306/I306,0)</x:f>
        <x:v>0</x:v>
      </x:c>
      <x:c r="Z306" s="24" t="n">
        <x:f>IFERROR(G306/K306,0)</x:f>
        <x:v>0</x:v>
      </x:c>
      <x:c r="AA306" s="24" t="n">
        <x:f>IFERROR(F306/H306,0)-IFERROR(G306/I306,0)</x:f>
        <x:v>0.05</x:v>
      </x:c>
      <x:c r="AB306" s="28" t="n">
        <x:f>J306-K306</x:f>
        <x:v>5</x:v>
      </x:c>
      <x:c r="AC306" s="32" t="n">
        <x:f>F306-G306</x:f>
        <x:v>1</x:v>
      </x:c>
    </x:row>
    <x:row r="307">
      <x:c r="A307" s="4" t="str">
        <x:v>2021-22</x:v>
      </x:c>
      <x:c r="B307" s="20" t="n">
        <x:v>44541</x:v>
      </x:c>
      <x:c r="C307" s="4" t="str">
        <x:v>Man City</x:v>
      </x:c>
      <x:c r="D307" s="4" t="str">
        <x:v>Wolves</x:v>
      </x:c>
      <x:c r="E307" s="4" t="str">
        <x:v>Home</x:v>
      </x:c>
      <x:c r="F307" s="28" t="n">
        <x:v>1</x:v>
      </x:c>
      <x:c r="G307" s="28" t="n">
        <x:v>0</x:v>
      </x:c>
      <x:c r="H307" s="28" t="n">
        <x:v>24</x:v>
      </x:c>
      <x:c r="I307" s="28" t="n">
        <x:v>2</x:v>
      </x:c>
      <x:c r="J307" s="28" t="n">
        <x:v>10</x:v>
      </x:c>
      <x:c r="K307" s="28" t="n">
        <x:v>1</x:v>
      </x:c>
      <x:c r="L307" s="28" t="n">
        <x:v>14</x:v>
      </x:c>
      <x:c r="M307" s="28" t="n">
        <x:v>1</x:v>
      </x:c>
      <x:c r="N307" s="28" t="n">
        <x:v>3</x:v>
      </x:c>
      <x:c r="O307" s="28" t="n">
        <x:v>0</x:v>
      </x:c>
      <x:c r="P307" s="28" t="n">
        <x:v>3</x:v>
      </x:c>
      <x:c r="Q307" s="24" t="n">
        <x:f>IFERROR(J307/H307,0)</x:f>
        <x:v>0.4166666666666667</x:v>
      </x:c>
      <x:c r="R307" s="24" t="n">
        <x:f>IFERROR(F307/H307,0)</x:f>
        <x:v>0.041666666666666664</x:v>
      </x:c>
      <x:c r="S307" s="24" t="n">
        <x:f>IFERROR(F307/J307,0)</x:f>
        <x:v>0.1</x:v>
      </x:c>
      <x:c r="T307" s="28" t="n">
        <x:f>H307-I307</x:f>
        <x:v>22</x:v>
      </x:c>
      <x:c r="U307" s="24" t="n">
        <x:f>IFERROR(J307/H307,0)-IFERROR(K307/I307,0)</x:f>
        <x:v>-0.08333333333333331</x:v>
      </x:c>
      <x:c r="V307" s="24" t="n">
        <x:f>IFERROR(F307/J307,0)-IFERROR(G307/K307,0)</x:f>
        <x:v>0.1</x:v>
      </x:c>
      <x:c r="W307" s="28" t="n">
        <x:f>L307-M307</x:f>
        <x:v>13</x:v>
      </x:c>
      <x:c r="X307" s="24" t="n">
        <x:f>IFERROR(K307/I307,0)</x:f>
        <x:v>0.5</x:v>
      </x:c>
      <x:c r="Y307" s="24" t="n">
        <x:f>IFERROR(G307/I307,0)</x:f>
        <x:v>0</x:v>
      </x:c>
      <x:c r="Z307" s="24" t="n">
        <x:f>IFERROR(G307/K307,0)</x:f>
        <x:v>0</x:v>
      </x:c>
      <x:c r="AA307" s="24" t="n">
        <x:f>IFERROR(F307/H307,0)-IFERROR(G307/I307,0)</x:f>
        <x:v>0.041666666666666664</x:v>
      </x:c>
      <x:c r="AB307" s="28" t="n">
        <x:f>J307-K307</x:f>
        <x:v>9</x:v>
      </x:c>
      <x:c r="AC307" s="32" t="n">
        <x:f>F307-G307</x:f>
        <x:v>1</x:v>
      </x:c>
    </x:row>
    <x:row r="308">
      <x:c r="A308" s="4" t="str">
        <x:v>2021-22</x:v>
      </x:c>
      <x:c r="B308" s="20" t="n">
        <x:v>44541</x:v>
      </x:c>
      <x:c r="C308" s="4" t="str">
        <x:v>Man United</x:v>
      </x:c>
      <x:c r="D308" s="4" t="str">
        <x:v>Norwich</x:v>
      </x:c>
      <x:c r="E308" s="4" t="str">
        <x:v>Away</x:v>
      </x:c>
      <x:c r="F308" s="28" t="n">
        <x:v>1</x:v>
      </x:c>
      <x:c r="G308" s="28" t="n">
        <x:v>0</x:v>
      </x:c>
      <x:c r="H308" s="28" t="n">
        <x:v>13</x:v>
      </x:c>
      <x:c r="I308" s="28" t="n">
        <x:v>11</x:v>
      </x:c>
      <x:c r="J308" s="28" t="n">
        <x:v>5</x:v>
      </x:c>
      <x:c r="K308" s="28" t="n">
        <x:v>5</x:v>
      </x:c>
      <x:c r="L308" s="28" t="n">
        <x:v>6</x:v>
      </x:c>
      <x:c r="M308" s="28" t="n">
        <x:v>8</x:v>
      </x:c>
      <x:c r="N308" s="28" t="n">
        <x:v>1</x:v>
      </x:c>
      <x:c r="O308" s="28" t="n">
        <x:v>0</x:v>
      </x:c>
      <x:c r="P308" s="28" t="n">
        <x:v>3</x:v>
      </x:c>
      <x:c r="Q308" s="24" t="n">
        <x:f>IFERROR(J308/H308,0)</x:f>
        <x:v>0.38461538461538464</x:v>
      </x:c>
      <x:c r="R308" s="24" t="n">
        <x:f>IFERROR(F308/H308,0)</x:f>
        <x:v>0.07692307692307693</x:v>
      </x:c>
      <x:c r="S308" s="24" t="n">
        <x:f>IFERROR(F308/J308,0)</x:f>
        <x:v>0.2</x:v>
      </x:c>
      <x:c r="T308" s="28" t="n">
        <x:f>H308-I308</x:f>
        <x:v>2</x:v>
      </x:c>
      <x:c r="U308" s="24" t="n">
        <x:f>IFERROR(J308/H308,0)-IFERROR(K308/I308,0)</x:f>
        <x:v>-0.0699300699300699</x:v>
      </x:c>
      <x:c r="V308" s="24" t="n">
        <x:f>IFERROR(F308/J308,0)-IFERROR(G308/K308,0)</x:f>
        <x:v>0.2</x:v>
      </x:c>
      <x:c r="W308" s="28" t="n">
        <x:f>L308-M308</x:f>
        <x:v>-2</x:v>
      </x:c>
      <x:c r="X308" s="24" t="n">
        <x:f>IFERROR(K308/I308,0)</x:f>
        <x:v>0.45454545454545453</x:v>
      </x:c>
      <x:c r="Y308" s="24" t="n">
        <x:f>IFERROR(G308/I308,0)</x:f>
        <x:v>0</x:v>
      </x:c>
      <x:c r="Z308" s="24" t="n">
        <x:f>IFERROR(G308/K308,0)</x:f>
        <x:v>0</x:v>
      </x:c>
      <x:c r="AA308" s="24" t="n">
        <x:f>IFERROR(F308/H308,0)-IFERROR(G308/I308,0)</x:f>
        <x:v>0.07692307692307693</x:v>
      </x:c>
      <x:c r="AB308" s="28" t="n">
        <x:f>J308-K308</x:f>
        <x:v>0</x:v>
      </x:c>
      <x:c r="AC308" s="32" t="n">
        <x:f>F308-G308</x:f>
        <x:v>1</x:v>
      </x:c>
    </x:row>
    <x:row r="309">
      <x:c r="A309" s="4" t="str">
        <x:v>2021-22</x:v>
      </x:c>
      <x:c r="B309" s="20" t="n">
        <x:v>44541</x:v>
      </x:c>
      <x:c r="C309" s="4" t="str">
        <x:v>Norwich</x:v>
      </x:c>
      <x:c r="D309" s="4" t="str">
        <x:v>Man United</x:v>
      </x:c>
      <x:c r="E309" s="4" t="str">
        <x:v>Home</x:v>
      </x:c>
      <x:c r="F309" s="28" t="n">
        <x:v>0</x:v>
      </x:c>
      <x:c r="G309" s="28" t="n">
        <x:v>1</x:v>
      </x:c>
      <x:c r="H309" s="28" t="n">
        <x:v>11</x:v>
      </x:c>
      <x:c r="I309" s="28" t="n">
        <x:v>13</x:v>
      </x:c>
      <x:c r="J309" s="28" t="n">
        <x:v>5</x:v>
      </x:c>
      <x:c r="K309" s="28" t="n">
        <x:v>5</x:v>
      </x:c>
      <x:c r="L309" s="28" t="n">
        <x:v>8</x:v>
      </x:c>
      <x:c r="M309" s="28" t="n">
        <x:v>6</x:v>
      </x:c>
      <x:c r="N309" s="28" t="n">
        <x:v>1</x:v>
      </x:c>
      <x:c r="O309" s="28" t="n">
        <x:v>0</x:v>
      </x:c>
      <x:c r="P309" s="28" t="n">
        <x:v>0</x:v>
      </x:c>
      <x:c r="Q309" s="24" t="n">
        <x:f>IFERROR(J309/H309,0)</x:f>
        <x:v>0.45454545454545453</x:v>
      </x:c>
      <x:c r="R309" s="24" t="n">
        <x:f>IFERROR(F309/H309,0)</x:f>
        <x:v>0</x:v>
      </x:c>
      <x:c r="S309" s="24" t="n">
        <x:f>IFERROR(F309/J309,0)</x:f>
        <x:v>0</x:v>
      </x:c>
      <x:c r="T309" s="28" t="n">
        <x:f>H309-I309</x:f>
        <x:v>-2</x:v>
      </x:c>
      <x:c r="U309" s="24" t="n">
        <x:f>IFERROR(J309/H309,0)-IFERROR(K309/I309,0)</x:f>
        <x:v>0.0699300699300699</x:v>
      </x:c>
      <x:c r="V309" s="24" t="n">
        <x:f>IFERROR(F309/J309,0)-IFERROR(G309/K309,0)</x:f>
        <x:v>-0.2</x:v>
      </x:c>
      <x:c r="W309" s="28" t="n">
        <x:f>L309-M309</x:f>
        <x:v>2</x:v>
      </x:c>
      <x:c r="X309" s="24" t="n">
        <x:f>IFERROR(K309/I309,0)</x:f>
        <x:v>0.38461538461538464</x:v>
      </x:c>
      <x:c r="Y309" s="24" t="n">
        <x:f>IFERROR(G309/I309,0)</x:f>
        <x:v>0.07692307692307693</x:v>
      </x:c>
      <x:c r="Z309" s="24" t="n">
        <x:f>IFERROR(G309/K309,0)</x:f>
        <x:v>0.2</x:v>
      </x:c>
      <x:c r="AA309" s="24" t="n">
        <x:f>IFERROR(F309/H309,0)-IFERROR(G309/I309,0)</x:f>
        <x:v>-0.07692307692307693</x:v>
      </x:c>
      <x:c r="AB309" s="28" t="n">
        <x:f>J309-K309</x:f>
        <x:v>0</x:v>
      </x:c>
      <x:c r="AC309" s="32" t="n">
        <x:f>F309-G309</x:f>
        <x:v>-1</x:v>
      </x:c>
    </x:row>
    <x:row r="310">
      <x:c r="A310" s="4" t="str">
        <x:v>2021-22</x:v>
      </x:c>
      <x:c r="B310" s="20" t="n">
        <x:v>44541</x:v>
      </x:c>
      <x:c r="C310" s="4" t="str">
        <x:v>Southampton</x:v>
      </x:c>
      <x:c r="D310" s="4" t="str">
        <x:v>Arsenal</x:v>
      </x:c>
      <x:c r="E310" s="4" t="str">
        <x:v>Away</x:v>
      </x:c>
      <x:c r="F310" s="28" t="n">
        <x:v>0</x:v>
      </x:c>
      <x:c r="G310" s="28" t="n">
        <x:v>3</x:v>
      </x:c>
      <x:c r="H310" s="28" t="n">
        <x:v>11</x:v>
      </x:c>
      <x:c r="I310" s="28" t="n">
        <x:v>15</x:v>
      </x:c>
      <x:c r="J310" s="28" t="n">
        <x:v>6</x:v>
      </x:c>
      <x:c r="K310" s="28" t="n">
        <x:v>5</x:v>
      </x:c>
      <x:c r="L310" s="28" t="n">
        <x:v>8</x:v>
      </x:c>
      <x:c r="M310" s="28" t="n">
        <x:v>9</x:v>
      </x:c>
      <x:c r="N310" s="28" t="n">
        <x:v>0</x:v>
      </x:c>
      <x:c r="O310" s="28" t="n">
        <x:v>0</x:v>
      </x:c>
      <x:c r="P310" s="28" t="n">
        <x:v>0</x:v>
      </x:c>
      <x:c r="Q310" s="24" t="n">
        <x:f>IFERROR(J310/H310,0)</x:f>
        <x:v>0.5454545454545454</x:v>
      </x:c>
      <x:c r="R310" s="24" t="n">
        <x:f>IFERROR(F310/H310,0)</x:f>
        <x:v>0</x:v>
      </x:c>
      <x:c r="S310" s="24" t="n">
        <x:f>IFERROR(F310/J310,0)</x:f>
        <x:v>0</x:v>
      </x:c>
      <x:c r="T310" s="28" t="n">
        <x:f>H310-I310</x:f>
        <x:v>-4</x:v>
      </x:c>
      <x:c r="U310" s="24" t="n">
        <x:f>IFERROR(J310/H310,0)-IFERROR(K310/I310,0)</x:f>
        <x:v>0.2121212121212121</x:v>
      </x:c>
      <x:c r="V310" s="24" t="n">
        <x:f>IFERROR(F310/J310,0)-IFERROR(G310/K310,0)</x:f>
        <x:v>-0.6</x:v>
      </x:c>
      <x:c r="W310" s="28" t="n">
        <x:f>L310-M310</x:f>
        <x:v>-1</x:v>
      </x:c>
      <x:c r="X310" s="24" t="n">
        <x:f>IFERROR(K310/I310,0)</x:f>
        <x:v>0.3333333333333333</x:v>
      </x:c>
      <x:c r="Y310" s="24" t="n">
        <x:f>IFERROR(G310/I310,0)</x:f>
        <x:v>0.2</x:v>
      </x:c>
      <x:c r="Z310" s="24" t="n">
        <x:f>IFERROR(G310/K310,0)</x:f>
        <x:v>0.6</x:v>
      </x:c>
      <x:c r="AA310" s="24" t="n">
        <x:f>IFERROR(F310/H310,0)-IFERROR(G310/I310,0)</x:f>
        <x:v>-0.2</x:v>
      </x:c>
      <x:c r="AB310" s="28" t="n">
        <x:f>J310-K310</x:f>
        <x:v>1</x:v>
      </x:c>
      <x:c r="AC310" s="32" t="n">
        <x:f>F310-G310</x:f>
        <x:v>-3</x:v>
      </x:c>
    </x:row>
    <x:row r="311">
      <x:c r="A311" s="4" t="str">
        <x:v>2021-22</x:v>
      </x:c>
      <x:c r="B311" s="20" t="n">
        <x:v>44541</x:v>
      </x:c>
      <x:c r="C311" s="4" t="str">
        <x:v>Wolves</x:v>
      </x:c>
      <x:c r="D311" s="4" t="str">
        <x:v>Man City</x:v>
      </x:c>
      <x:c r="E311" s="4" t="str">
        <x:v>Away</x:v>
      </x:c>
      <x:c r="F311" s="28" t="n">
        <x:v>0</x:v>
      </x:c>
      <x:c r="G311" s="28" t="n">
        <x:v>1</x:v>
      </x:c>
      <x:c r="H311" s="28" t="n">
        <x:v>2</x:v>
      </x:c>
      <x:c r="I311" s="28" t="n">
        <x:v>24</x:v>
      </x:c>
      <x:c r="J311" s="28" t="n">
        <x:v>1</x:v>
      </x:c>
      <x:c r="K311" s="28" t="n">
        <x:v>10</x:v>
      </x:c>
      <x:c r="L311" s="28" t="n">
        <x:v>1</x:v>
      </x:c>
      <x:c r="M311" s="28" t="n">
        <x:v>14</x:v>
      </x:c>
      <x:c r="N311" s="28" t="n">
        <x:v>2</x:v>
      </x:c>
      <x:c r="O311" s="28" t="n">
        <x:v>1</x:v>
      </x:c>
      <x:c r="P311" s="28" t="n">
        <x:v>0</x:v>
      </x:c>
      <x:c r="Q311" s="24" t="n">
        <x:f>IFERROR(J311/H311,0)</x:f>
        <x:v>0.5</x:v>
      </x:c>
      <x:c r="R311" s="24" t="n">
        <x:f>IFERROR(F311/H311,0)</x:f>
        <x:v>0</x:v>
      </x:c>
      <x:c r="S311" s="24" t="n">
        <x:f>IFERROR(F311/J311,0)</x:f>
        <x:v>0</x:v>
      </x:c>
      <x:c r="T311" s="28" t="n">
        <x:f>H311-I311</x:f>
        <x:v>-22</x:v>
      </x:c>
      <x:c r="U311" s="24" t="n">
        <x:f>IFERROR(J311/H311,0)-IFERROR(K311/I311,0)</x:f>
        <x:v>0.08333333333333331</x:v>
      </x:c>
      <x:c r="V311" s="24" t="n">
        <x:f>IFERROR(F311/J311,0)-IFERROR(G311/K311,0)</x:f>
        <x:v>-0.1</x:v>
      </x:c>
      <x:c r="W311" s="28" t="n">
        <x:f>L311-M311</x:f>
        <x:v>-13</x:v>
      </x:c>
      <x:c r="X311" s="24" t="n">
        <x:f>IFERROR(K311/I311,0)</x:f>
        <x:v>0.4166666666666667</x:v>
      </x:c>
      <x:c r="Y311" s="24" t="n">
        <x:f>IFERROR(G311/I311,0)</x:f>
        <x:v>0.041666666666666664</x:v>
      </x:c>
      <x:c r="Z311" s="24" t="n">
        <x:f>IFERROR(G311/K311,0)</x:f>
        <x:v>0.1</x:v>
      </x:c>
      <x:c r="AA311" s="24" t="n">
        <x:f>IFERROR(F311/H311,0)-IFERROR(G311/I311,0)</x:f>
        <x:v>-0.041666666666666664</x:v>
      </x:c>
      <x:c r="AB311" s="28" t="n">
        <x:f>J311-K311</x:f>
        <x:v>-9</x:v>
      </x:c>
      <x:c r="AC311" s="32" t="n">
        <x:f>F311-G311</x:f>
        <x:v>-1</x:v>
      </x:c>
    </x:row>
    <x:row r="312">
      <x:c r="A312" s="4" t="str">
        <x:v>2021-22</x:v>
      </x:c>
      <x:c r="B312" s="20" t="n">
        <x:v>44542</x:v>
      </x:c>
      <x:c r="C312" s="4" t="str">
        <x:v>Burnley</x:v>
      </x:c>
      <x:c r="D312" s="4" t="str">
        <x:v>West Ham</x:v>
      </x:c>
      <x:c r="E312" s="4" t="str">
        <x:v>Home</x:v>
      </x:c>
      <x:c r="F312" s="28" t="n">
        <x:v>0</x:v>
      </x:c>
      <x:c r="G312" s="28" t="n">
        <x:v>0</x:v>
      </x:c>
      <x:c r="H312" s="28" t="n">
        <x:v>9</x:v>
      </x:c>
      <x:c r="I312" s="28" t="n">
        <x:v>16</x:v>
      </x:c>
      <x:c r="J312" s="28" t="n">
        <x:v>1</x:v>
      </x:c>
      <x:c r="K312" s="28" t="n">
        <x:v>3</x:v>
      </x:c>
      <x:c r="L312" s="28" t="n">
        <x:v>6</x:v>
      </x:c>
      <x:c r="M312" s="28" t="n">
        <x:v>4</x:v>
      </x:c>
      <x:c r="N312" s="28" t="n">
        <x:v>2</x:v>
      </x:c>
      <x:c r="O312" s="28" t="n">
        <x:v>0</x:v>
      </x:c>
      <x:c r="P312" s="28" t="n">
        <x:v>1</x:v>
      </x:c>
      <x:c r="Q312" s="24" t="n">
        <x:f>IFERROR(J312/H312,0)</x:f>
        <x:v>0.1111111111111111</x:v>
      </x:c>
      <x:c r="R312" s="24" t="n">
        <x:f>IFERROR(F312/H312,0)</x:f>
        <x:v>0</x:v>
      </x:c>
      <x:c r="S312" s="24" t="n">
        <x:f>IFERROR(F312/J312,0)</x:f>
        <x:v>0</x:v>
      </x:c>
      <x:c r="T312" s="28" t="n">
        <x:f>H312-I312</x:f>
        <x:v>-7</x:v>
      </x:c>
      <x:c r="U312" s="24" t="n">
        <x:f>IFERROR(J312/H312,0)-IFERROR(K312/I312,0)</x:f>
        <x:v>-0.0763888888888889</x:v>
      </x:c>
      <x:c r="V312" s="24" t="n">
        <x:f>IFERROR(F312/J312,0)-IFERROR(G312/K312,0)</x:f>
        <x:v>0</x:v>
      </x:c>
      <x:c r="W312" s="28" t="n">
        <x:f>L312-M312</x:f>
        <x:v>2</x:v>
      </x:c>
      <x:c r="X312" s="24" t="n">
        <x:f>IFERROR(K312/I312,0)</x:f>
        <x:v>0.1875</x:v>
      </x:c>
      <x:c r="Y312" s="24" t="n">
        <x:f>IFERROR(G312/I312,0)</x:f>
        <x:v>0</x:v>
      </x:c>
      <x:c r="Z312" s="24" t="n">
        <x:f>IFERROR(G312/K312,0)</x:f>
        <x:v>0</x:v>
      </x:c>
      <x:c r="AA312" s="24" t="n">
        <x:f>IFERROR(F312/H312,0)-IFERROR(G312/I312,0)</x:f>
        <x:v>0</x:v>
      </x:c>
      <x:c r="AB312" s="28" t="n">
        <x:f>J312-K312</x:f>
        <x:v>-2</x:v>
      </x:c>
      <x:c r="AC312" s="32" t="n">
        <x:f>F312-G312</x:f>
        <x:v>0</x:v>
      </x:c>
    </x:row>
    <x:row r="313">
      <x:c r="A313" s="4" t="str">
        <x:v>2021-22</x:v>
      </x:c>
      <x:c r="B313" s="20" t="n">
        <x:v>44542</x:v>
      </x:c>
      <x:c r="C313" s="4" t="str">
        <x:v>Crystal Palace</x:v>
      </x:c>
      <x:c r="D313" s="4" t="str">
        <x:v>Everton</x:v>
      </x:c>
      <x:c r="E313" s="4" t="str">
        <x:v>Home</x:v>
      </x:c>
      <x:c r="F313" s="28" t="n">
        <x:v>3</x:v>
      </x:c>
      <x:c r="G313" s="28" t="n">
        <x:v>1</x:v>
      </x:c>
      <x:c r="H313" s="28" t="n">
        <x:v>17</x:v>
      </x:c>
      <x:c r="I313" s="28" t="n">
        <x:v>12</x:v>
      </x:c>
      <x:c r="J313" s="28" t="n">
        <x:v>6</x:v>
      </x:c>
      <x:c r="K313" s="28" t="n">
        <x:v>6</x:v>
      </x:c>
      <x:c r="L313" s="28" t="n">
        <x:v>8</x:v>
      </x:c>
      <x:c r="M313" s="28" t="n">
        <x:v>2</x:v>
      </x:c>
      <x:c r="N313" s="28" t="n">
        <x:v>0</x:v>
      </x:c>
      <x:c r="O313" s="28" t="n">
        <x:v>0</x:v>
      </x:c>
      <x:c r="P313" s="28" t="n">
        <x:v>3</x:v>
      </x:c>
      <x:c r="Q313" s="24" t="n">
        <x:f>IFERROR(J313/H313,0)</x:f>
        <x:v>0.35294117647058826</x:v>
      </x:c>
      <x:c r="R313" s="24" t="n">
        <x:f>IFERROR(F313/H313,0)</x:f>
        <x:v>0.17647058823529413</x:v>
      </x:c>
      <x:c r="S313" s="24" t="n">
        <x:f>IFERROR(F313/J313,0)</x:f>
        <x:v>0.5</x:v>
      </x:c>
      <x:c r="T313" s="28" t="n">
        <x:f>H313-I313</x:f>
        <x:v>5</x:v>
      </x:c>
      <x:c r="U313" s="24" t="n">
        <x:f>IFERROR(J313/H313,0)-IFERROR(K313/I313,0)</x:f>
        <x:v>-0.14705882352941174</x:v>
      </x:c>
      <x:c r="V313" s="24" t="n">
        <x:f>IFERROR(F313/J313,0)-IFERROR(G313/K313,0)</x:f>
        <x:v>0.33333333333333337</x:v>
      </x:c>
      <x:c r="W313" s="28" t="n">
        <x:f>L313-M313</x:f>
        <x:v>6</x:v>
      </x:c>
      <x:c r="X313" s="24" t="n">
        <x:f>IFERROR(K313/I313,0)</x:f>
        <x:v>0.5</x:v>
      </x:c>
      <x:c r="Y313" s="24" t="n">
        <x:f>IFERROR(G313/I313,0)</x:f>
        <x:v>0.08333333333333333</x:v>
      </x:c>
      <x:c r="Z313" s="24" t="n">
        <x:f>IFERROR(G313/K313,0)</x:f>
        <x:v>0.16666666666666666</x:v>
      </x:c>
      <x:c r="AA313" s="24" t="n">
        <x:f>IFERROR(F313/H313,0)-IFERROR(G313/I313,0)</x:f>
        <x:v>0.0931372549019608</x:v>
      </x:c>
      <x:c r="AB313" s="28" t="n">
        <x:f>J313-K313</x:f>
        <x:v>0</x:v>
      </x:c>
      <x:c r="AC313" s="32" t="n">
        <x:f>F313-G313</x:f>
        <x:v>2</x:v>
      </x:c>
    </x:row>
    <x:row r="314">
      <x:c r="A314" s="4" t="str">
        <x:v>2021-22</x:v>
      </x:c>
      <x:c r="B314" s="20" t="n">
        <x:v>44542</x:v>
      </x:c>
      <x:c r="C314" s="4" t="str">
        <x:v>Everton</x:v>
      </x:c>
      <x:c r="D314" s="4" t="str">
        <x:v>Crystal Palace</x:v>
      </x:c>
      <x:c r="E314" s="4" t="str">
        <x:v>Away</x:v>
      </x:c>
      <x:c r="F314" s="28" t="n">
        <x:v>1</x:v>
      </x:c>
      <x:c r="G314" s="28" t="n">
        <x:v>3</x:v>
      </x:c>
      <x:c r="H314" s="28" t="n">
        <x:v>12</x:v>
      </x:c>
      <x:c r="I314" s="28" t="n">
        <x:v>17</x:v>
      </x:c>
      <x:c r="J314" s="28" t="n">
        <x:v>6</x:v>
      </x:c>
      <x:c r="K314" s="28" t="n">
        <x:v>6</x:v>
      </x:c>
      <x:c r="L314" s="28" t="n">
        <x:v>2</x:v>
      </x:c>
      <x:c r="M314" s="28" t="n">
        <x:v>8</x:v>
      </x:c>
      <x:c r="N314" s="28" t="n">
        <x:v>2</x:v>
      </x:c>
      <x:c r="O314" s="28" t="n">
        <x:v>0</x:v>
      </x:c>
      <x:c r="P314" s="28" t="n">
        <x:v>0</x:v>
      </x:c>
      <x:c r="Q314" s="24" t="n">
        <x:f>IFERROR(J314/H314,0)</x:f>
        <x:v>0.5</x:v>
      </x:c>
      <x:c r="R314" s="24" t="n">
        <x:f>IFERROR(F314/H314,0)</x:f>
        <x:v>0.08333333333333333</x:v>
      </x:c>
      <x:c r="S314" s="24" t="n">
        <x:f>IFERROR(F314/J314,0)</x:f>
        <x:v>0.16666666666666666</x:v>
      </x:c>
      <x:c r="T314" s="28" t="n">
        <x:f>H314-I314</x:f>
        <x:v>-5</x:v>
      </x:c>
      <x:c r="U314" s="24" t="n">
        <x:f>IFERROR(J314/H314,0)-IFERROR(K314/I314,0)</x:f>
        <x:v>0.14705882352941174</x:v>
      </x:c>
      <x:c r="V314" s="24" t="n">
        <x:f>IFERROR(F314/J314,0)-IFERROR(G314/K314,0)</x:f>
        <x:v>-0.33333333333333337</x:v>
      </x:c>
      <x:c r="W314" s="28" t="n">
        <x:f>L314-M314</x:f>
        <x:v>-6</x:v>
      </x:c>
      <x:c r="X314" s="24" t="n">
        <x:f>IFERROR(K314/I314,0)</x:f>
        <x:v>0.35294117647058826</x:v>
      </x:c>
      <x:c r="Y314" s="24" t="n">
        <x:f>IFERROR(G314/I314,0)</x:f>
        <x:v>0.17647058823529413</x:v>
      </x:c>
      <x:c r="Z314" s="24" t="n">
        <x:f>IFERROR(G314/K314,0)</x:f>
        <x:v>0.5</x:v>
      </x:c>
      <x:c r="AA314" s="24" t="n">
        <x:f>IFERROR(F314/H314,0)-IFERROR(G314/I314,0)</x:f>
        <x:v>-0.0931372549019608</x:v>
      </x:c>
      <x:c r="AB314" s="28" t="n">
        <x:f>J314-K314</x:f>
        <x:v>0</x:v>
      </x:c>
      <x:c r="AC314" s="32" t="n">
        <x:f>F314-G314</x:f>
        <x:v>-2</x:v>
      </x:c>
    </x:row>
    <x:row r="315">
      <x:c r="A315" s="4" t="str">
        <x:v>2021-22</x:v>
      </x:c>
      <x:c r="B315" s="20" t="n">
        <x:v>44542</x:v>
      </x:c>
      <x:c r="C315" s="4" t="str">
        <x:v>Leicester</x:v>
      </x:c>
      <x:c r="D315" s="4" t="str">
        <x:v>Newcastle</x:v>
      </x:c>
      <x:c r="E315" s="4" t="str">
        <x:v>Home</x:v>
      </x:c>
      <x:c r="F315" s="28" t="n">
        <x:v>4</x:v>
      </x:c>
      <x:c r="G315" s="28" t="n">
        <x:v>0</x:v>
      </x:c>
      <x:c r="H315" s="28" t="n">
        <x:v>8</x:v>
      </x:c>
      <x:c r="I315" s="28" t="n">
        <x:v>12</x:v>
      </x:c>
      <x:c r="J315" s="28" t="n">
        <x:v>5</x:v>
      </x:c>
      <x:c r="K315" s="28" t="n">
        <x:v>3</x:v>
      </x:c>
      <x:c r="L315" s="28" t="n">
        <x:v>4</x:v>
      </x:c>
      <x:c r="M315" s="28" t="n">
        <x:v>6</x:v>
      </x:c>
      <x:c r="N315" s="28" t="n">
        <x:v>2</x:v>
      </x:c>
      <x:c r="O315" s="28" t="n">
        <x:v>0</x:v>
      </x:c>
      <x:c r="P315" s="28" t="n">
        <x:v>3</x:v>
      </x:c>
      <x:c r="Q315" s="24" t="n">
        <x:f>IFERROR(J315/H315,0)</x:f>
        <x:v>0.625</x:v>
      </x:c>
      <x:c r="R315" s="24" t="n">
        <x:f>IFERROR(F315/H315,0)</x:f>
        <x:v>0.5</x:v>
      </x:c>
      <x:c r="S315" s="24" t="n">
        <x:f>IFERROR(F315/J315,0)</x:f>
        <x:v>0.8</x:v>
      </x:c>
      <x:c r="T315" s="28" t="n">
        <x:f>H315-I315</x:f>
        <x:v>-4</x:v>
      </x:c>
      <x:c r="U315" s="24" t="n">
        <x:f>IFERROR(J315/H315,0)-IFERROR(K315/I315,0)</x:f>
        <x:v>0.375</x:v>
      </x:c>
      <x:c r="V315" s="24" t="n">
        <x:f>IFERROR(F315/J315,0)-IFERROR(G315/K315,0)</x:f>
        <x:v>0.8</x:v>
      </x:c>
      <x:c r="W315" s="28" t="n">
        <x:f>L315-M315</x:f>
        <x:v>-2</x:v>
      </x:c>
      <x:c r="X315" s="24" t="n">
        <x:f>IFERROR(K315/I315,0)</x:f>
        <x:v>0.25</x:v>
      </x:c>
      <x:c r="Y315" s="24" t="n">
        <x:f>IFERROR(G315/I315,0)</x:f>
        <x:v>0</x:v>
      </x:c>
      <x:c r="Z315" s="24" t="n">
        <x:f>IFERROR(G315/K315,0)</x:f>
        <x:v>0</x:v>
      </x:c>
      <x:c r="AA315" s="24" t="n">
        <x:f>IFERROR(F315/H315,0)-IFERROR(G315/I315,0)</x:f>
        <x:v>0.5</x:v>
      </x:c>
      <x:c r="AB315" s="28" t="n">
        <x:f>J315-K315</x:f>
        <x:v>2</x:v>
      </x:c>
      <x:c r="AC315" s="32" t="n">
        <x:f>F315-G315</x:f>
        <x:v>4</x:v>
      </x:c>
    </x:row>
    <x:row r="316">
      <x:c r="A316" s="4" t="str">
        <x:v>2021-22</x:v>
      </x:c>
      <x:c r="B316" s="20" t="n">
        <x:v>44542</x:v>
      </x:c>
      <x:c r="C316" s="4" t="str">
        <x:v>Newcastle</x:v>
      </x:c>
      <x:c r="D316" s="4" t="str">
        <x:v>Leicester</x:v>
      </x:c>
      <x:c r="E316" s="4" t="str">
        <x:v>Away</x:v>
      </x:c>
      <x:c r="F316" s="28" t="n">
        <x:v>0</x:v>
      </x:c>
      <x:c r="G316" s="28" t="n">
        <x:v>4</x:v>
      </x:c>
      <x:c r="H316" s="28" t="n">
        <x:v>12</x:v>
      </x:c>
      <x:c r="I316" s="28" t="n">
        <x:v>8</x:v>
      </x:c>
      <x:c r="J316" s="28" t="n">
        <x:v>3</x:v>
      </x:c>
      <x:c r="K316" s="28" t="n">
        <x:v>5</x:v>
      </x:c>
      <x:c r="L316" s="28" t="n">
        <x:v>6</x:v>
      </x:c>
      <x:c r="M316" s="28" t="n">
        <x:v>4</x:v>
      </x:c>
      <x:c r="N316" s="28" t="n">
        <x:v>3</x:v>
      </x:c>
      <x:c r="O316" s="28" t="n">
        <x:v>0</x:v>
      </x:c>
      <x:c r="P316" s="28" t="n">
        <x:v>0</x:v>
      </x:c>
      <x:c r="Q316" s="24" t="n">
        <x:f>IFERROR(J316/H316,0)</x:f>
        <x:v>0.25</x:v>
      </x:c>
      <x:c r="R316" s="24" t="n">
        <x:f>IFERROR(F316/H316,0)</x:f>
        <x:v>0</x:v>
      </x:c>
      <x:c r="S316" s="24" t="n">
        <x:f>IFERROR(F316/J316,0)</x:f>
        <x:v>0</x:v>
      </x:c>
      <x:c r="T316" s="28" t="n">
        <x:f>H316-I316</x:f>
        <x:v>4</x:v>
      </x:c>
      <x:c r="U316" s="24" t="n">
        <x:f>IFERROR(J316/H316,0)-IFERROR(K316/I316,0)</x:f>
        <x:v>-0.375</x:v>
      </x:c>
      <x:c r="V316" s="24" t="n">
        <x:f>IFERROR(F316/J316,0)-IFERROR(G316/K316,0)</x:f>
        <x:v>-0.8</x:v>
      </x:c>
      <x:c r="W316" s="28" t="n">
        <x:f>L316-M316</x:f>
        <x:v>2</x:v>
      </x:c>
      <x:c r="X316" s="24" t="n">
        <x:f>IFERROR(K316/I316,0)</x:f>
        <x:v>0.625</x:v>
      </x:c>
      <x:c r="Y316" s="24" t="n">
        <x:f>IFERROR(G316/I316,0)</x:f>
        <x:v>0.5</x:v>
      </x:c>
      <x:c r="Z316" s="24" t="n">
        <x:f>IFERROR(G316/K316,0)</x:f>
        <x:v>0.8</x:v>
      </x:c>
      <x:c r="AA316" s="24" t="n">
        <x:f>IFERROR(F316/H316,0)-IFERROR(G316/I316,0)</x:f>
        <x:v>-0.5</x:v>
      </x:c>
      <x:c r="AB316" s="28" t="n">
        <x:f>J316-K316</x:f>
        <x:v>-2</x:v>
      </x:c>
      <x:c r="AC316" s="32" t="n">
        <x:f>F316-G316</x:f>
        <x:v>-4</x:v>
      </x:c>
    </x:row>
    <x:row r="317">
      <x:c r="A317" s="4" t="str">
        <x:v>2021-22</x:v>
      </x:c>
      <x:c r="B317" s="20" t="n">
        <x:v>44542</x:v>
      </x:c>
      <x:c r="C317" s="4" t="str">
        <x:v>West Ham</x:v>
      </x:c>
      <x:c r="D317" s="4" t="str">
        <x:v>Burnley</x:v>
      </x:c>
      <x:c r="E317" s="4" t="str">
        <x:v>Away</x:v>
      </x:c>
      <x:c r="F317" s="28" t="n">
        <x:v>0</x:v>
      </x:c>
      <x:c r="G317" s="28" t="n">
        <x:v>0</x:v>
      </x:c>
      <x:c r="H317" s="28" t="n">
        <x:v>16</x:v>
      </x:c>
      <x:c r="I317" s="28" t="n">
        <x:v>9</x:v>
      </x:c>
      <x:c r="J317" s="28" t="n">
        <x:v>3</x:v>
      </x:c>
      <x:c r="K317" s="28" t="n">
        <x:v>1</x:v>
      </x:c>
      <x:c r="L317" s="28" t="n">
        <x:v>4</x:v>
      </x:c>
      <x:c r="M317" s="28" t="n">
        <x:v>6</x:v>
      </x:c>
      <x:c r="N317" s="28" t="n">
        <x:v>1</x:v>
      </x:c>
      <x:c r="O317" s="28" t="n">
        <x:v>0</x:v>
      </x:c>
      <x:c r="P317" s="28" t="n">
        <x:v>1</x:v>
      </x:c>
      <x:c r="Q317" s="24" t="n">
        <x:f>IFERROR(J317/H317,0)</x:f>
        <x:v>0.1875</x:v>
      </x:c>
      <x:c r="R317" s="24" t="n">
        <x:f>IFERROR(F317/H317,0)</x:f>
        <x:v>0</x:v>
      </x:c>
      <x:c r="S317" s="24" t="n">
        <x:f>IFERROR(F317/J317,0)</x:f>
        <x:v>0</x:v>
      </x:c>
      <x:c r="T317" s="28" t="n">
        <x:f>H317-I317</x:f>
        <x:v>7</x:v>
      </x:c>
      <x:c r="U317" s="24" t="n">
        <x:f>IFERROR(J317/H317,0)-IFERROR(K317/I317,0)</x:f>
        <x:v>0.0763888888888889</x:v>
      </x:c>
      <x:c r="V317" s="24" t="n">
        <x:f>IFERROR(F317/J317,0)-IFERROR(G317/K317,0)</x:f>
        <x:v>0</x:v>
      </x:c>
      <x:c r="W317" s="28" t="n">
        <x:f>L317-M317</x:f>
        <x:v>-2</x:v>
      </x:c>
      <x:c r="X317" s="24" t="n">
        <x:f>IFERROR(K317/I317,0)</x:f>
        <x:v>0.1111111111111111</x:v>
      </x:c>
      <x:c r="Y317" s="24" t="n">
        <x:f>IFERROR(G317/I317,0)</x:f>
        <x:v>0</x:v>
      </x:c>
      <x:c r="Z317" s="24" t="n">
        <x:f>IFERROR(G317/K317,0)</x:f>
        <x:v>0</x:v>
      </x:c>
      <x:c r="AA317" s="24" t="n">
        <x:f>IFERROR(F317/H317,0)-IFERROR(G317/I317,0)</x:f>
        <x:v>0</x:v>
      </x:c>
      <x:c r="AB317" s="28" t="n">
        <x:f>J317-K317</x:f>
        <x:v>2</x:v>
      </x:c>
      <x:c r="AC317" s="32" t="n">
        <x:f>F317-G317</x:f>
        <x:v>0</x:v>
      </x:c>
    </x:row>
    <x:row r="318">
      <x:c r="A318" s="4" t="str">
        <x:v>2021-22</x:v>
      </x:c>
      <x:c r="B318" s="20" t="n">
        <x:v>44544</x:v>
      </x:c>
      <x:c r="C318" s="4" t="str">
        <x:v>Aston Villa</x:v>
      </x:c>
      <x:c r="D318" s="4" t="str">
        <x:v>Norwich</x:v>
      </x:c>
      <x:c r="E318" s="4" t="str">
        <x:v>Away</x:v>
      </x:c>
      <x:c r="F318" s="28" t="n">
        <x:v>2</x:v>
      </x:c>
      <x:c r="G318" s="28" t="n">
        <x:v>0</x:v>
      </x:c>
      <x:c r="H318" s="28" t="n">
        <x:v>17</x:v>
      </x:c>
      <x:c r="I318" s="28" t="n">
        <x:v>7</x:v>
      </x:c>
      <x:c r="J318" s="28" t="n">
        <x:v>6</x:v>
      </x:c>
      <x:c r="K318" s="28" t="n">
        <x:v>3</x:v>
      </x:c>
      <x:c r="L318" s="28" t="n">
        <x:v>10</x:v>
      </x:c>
      <x:c r="M318" s="28" t="n">
        <x:v>7</x:v>
      </x:c>
      <x:c r="N318" s="28" t="n">
        <x:v>1</x:v>
      </x:c>
      <x:c r="O318" s="28" t="n">
        <x:v>0</x:v>
      </x:c>
      <x:c r="P318" s="28" t="n">
        <x:v>3</x:v>
      </x:c>
      <x:c r="Q318" s="24" t="n">
        <x:f>IFERROR(J318/H318,0)</x:f>
        <x:v>0.35294117647058826</x:v>
      </x:c>
      <x:c r="R318" s="24" t="n">
        <x:f>IFERROR(F318/H318,0)</x:f>
        <x:v>0.11764705882352941</x:v>
      </x:c>
      <x:c r="S318" s="24" t="n">
        <x:f>IFERROR(F318/J318,0)</x:f>
        <x:v>0.3333333333333333</x:v>
      </x:c>
      <x:c r="T318" s="28" t="n">
        <x:f>H318-I318</x:f>
        <x:v>10</x:v>
      </x:c>
      <x:c r="U318" s="24" t="n">
        <x:f>IFERROR(J318/H318,0)-IFERROR(K318/I318,0)</x:f>
        <x:v>-0.07563025210084029</x:v>
      </x:c>
      <x:c r="V318" s="24" t="n">
        <x:f>IFERROR(F318/J318,0)-IFERROR(G318/K318,0)</x:f>
        <x:v>0.3333333333333333</x:v>
      </x:c>
      <x:c r="W318" s="28" t="n">
        <x:f>L318-M318</x:f>
        <x:v>3</x:v>
      </x:c>
      <x:c r="X318" s="24" t="n">
        <x:f>IFERROR(K318/I318,0)</x:f>
        <x:v>0.42857142857142855</x:v>
      </x:c>
      <x:c r="Y318" s="24" t="n">
        <x:f>IFERROR(G318/I318,0)</x:f>
        <x:v>0</x:v>
      </x:c>
      <x:c r="Z318" s="24" t="n">
        <x:f>IFERROR(G318/K318,0)</x:f>
        <x:v>0</x:v>
      </x:c>
      <x:c r="AA318" s="24" t="n">
        <x:f>IFERROR(F318/H318,0)-IFERROR(G318/I318,0)</x:f>
        <x:v>0.11764705882352941</x:v>
      </x:c>
      <x:c r="AB318" s="28" t="n">
        <x:f>J318-K318</x:f>
        <x:v>3</x:v>
      </x:c>
      <x:c r="AC318" s="32" t="n">
        <x:f>F318-G318</x:f>
        <x:v>2</x:v>
      </x:c>
    </x:row>
    <x:row r="319">
      <x:c r="A319" s="4" t="str">
        <x:v>2021-22</x:v>
      </x:c>
      <x:c r="B319" s="20" t="n">
        <x:v>44544</x:v>
      </x:c>
      <x:c r="C319" s="4" t="str">
        <x:v>Leeds</x:v>
      </x:c>
      <x:c r="D319" s="4" t="str">
        <x:v>Man City</x:v>
      </x:c>
      <x:c r="E319" s="4" t="str">
        <x:v>Away</x:v>
      </x:c>
      <x:c r="F319" s="28" t="n">
        <x:v>0</x:v>
      </x:c>
      <x:c r="G319" s="28" t="n">
        <x:v>7</x:v>
      </x:c>
      <x:c r="H319" s="28" t="n">
        <x:v>6</x:v>
      </x:c>
      <x:c r="I319" s="28" t="n">
        <x:v>31</x:v>
      </x:c>
      <x:c r="J319" s="28" t="n">
        <x:v>3</x:v>
      </x:c>
      <x:c r="K319" s="28" t="n">
        <x:v>15</x:v>
      </x:c>
      <x:c r="L319" s="28" t="n">
        <x:v>2</x:v>
      </x:c>
      <x:c r="M319" s="28" t="n">
        <x:v>6</x:v>
      </x:c>
      <x:c r="N319" s="28" t="n">
        <x:v>1</x:v>
      </x:c>
      <x:c r="O319" s="28" t="n">
        <x:v>0</x:v>
      </x:c>
      <x:c r="P319" s="28" t="n">
        <x:v>0</x:v>
      </x:c>
      <x:c r="Q319" s="24" t="n">
        <x:f>IFERROR(J319/H319,0)</x:f>
        <x:v>0.5</x:v>
      </x:c>
      <x:c r="R319" s="24" t="n">
        <x:f>IFERROR(F319/H319,0)</x:f>
        <x:v>0</x:v>
      </x:c>
      <x:c r="S319" s="24" t="n">
        <x:f>IFERROR(F319/J319,0)</x:f>
        <x:v>0</x:v>
      </x:c>
      <x:c r="T319" s="28" t="n">
        <x:f>H319-I319</x:f>
        <x:v>-25</x:v>
      </x:c>
      <x:c r="U319" s="24" t="n">
        <x:f>IFERROR(J319/H319,0)-IFERROR(K319/I319,0)</x:f>
        <x:v>0.016129032258064502</x:v>
      </x:c>
      <x:c r="V319" s="24" t="n">
        <x:f>IFERROR(F319/J319,0)-IFERROR(G319/K319,0)</x:f>
        <x:v>-0.4666666666666667</x:v>
      </x:c>
      <x:c r="W319" s="28" t="n">
        <x:f>L319-M319</x:f>
        <x:v>-4</x:v>
      </x:c>
      <x:c r="X319" s="24" t="n">
        <x:f>IFERROR(K319/I319,0)</x:f>
        <x:v>0.4838709677419355</x:v>
      </x:c>
      <x:c r="Y319" s="24" t="n">
        <x:f>IFERROR(G319/I319,0)</x:f>
        <x:v>0.22580645161290322</x:v>
      </x:c>
      <x:c r="Z319" s="24" t="n">
        <x:f>IFERROR(G319/K319,0)</x:f>
        <x:v>0.4666666666666667</x:v>
      </x:c>
      <x:c r="AA319" s="24" t="n">
        <x:f>IFERROR(F319/H319,0)-IFERROR(G319/I319,0)</x:f>
        <x:v>-0.22580645161290322</x:v>
      </x:c>
      <x:c r="AB319" s="28" t="n">
        <x:f>J319-K319</x:f>
        <x:v>-12</x:v>
      </x:c>
      <x:c r="AC319" s="32" t="n">
        <x:f>F319-G319</x:f>
        <x:v>-7</x:v>
      </x:c>
    </x:row>
    <x:row r="320">
      <x:c r="A320" s="4" t="str">
        <x:v>2021-22</x:v>
      </x:c>
      <x:c r="B320" s="20" t="n">
        <x:v>44544</x:v>
      </x:c>
      <x:c r="C320" s="4" t="str">
        <x:v>Man City</x:v>
      </x:c>
      <x:c r="D320" s="4" t="str">
        <x:v>Leeds</x:v>
      </x:c>
      <x:c r="E320" s="4" t="str">
        <x:v>Home</x:v>
      </x:c>
      <x:c r="F320" s="28" t="n">
        <x:v>7</x:v>
      </x:c>
      <x:c r="G320" s="28" t="n">
        <x:v>0</x:v>
      </x:c>
      <x:c r="H320" s="28" t="n">
        <x:v>31</x:v>
      </x:c>
      <x:c r="I320" s="28" t="n">
        <x:v>6</x:v>
      </x:c>
      <x:c r="J320" s="28" t="n">
        <x:v>15</x:v>
      </x:c>
      <x:c r="K320" s="28" t="n">
        <x:v>3</x:v>
      </x:c>
      <x:c r="L320" s="28" t="n">
        <x:v>6</x:v>
      </x:c>
      <x:c r="M320" s="28" t="n">
        <x:v>2</x:v>
      </x:c>
      <x:c r="N320" s="28" t="n">
        <x:v>1</x:v>
      </x:c>
      <x:c r="O320" s="28" t="n">
        <x:v>0</x:v>
      </x:c>
      <x:c r="P320" s="28" t="n">
        <x:v>3</x:v>
      </x:c>
      <x:c r="Q320" s="24" t="n">
        <x:f>IFERROR(J320/H320,0)</x:f>
        <x:v>0.4838709677419355</x:v>
      </x:c>
      <x:c r="R320" s="24" t="n">
        <x:f>IFERROR(F320/H320,0)</x:f>
        <x:v>0.22580645161290322</x:v>
      </x:c>
      <x:c r="S320" s="24" t="n">
        <x:f>IFERROR(F320/J320,0)</x:f>
        <x:v>0.4666666666666667</x:v>
      </x:c>
      <x:c r="T320" s="28" t="n">
        <x:f>H320-I320</x:f>
        <x:v>25</x:v>
      </x:c>
      <x:c r="U320" s="24" t="n">
        <x:f>IFERROR(J320/H320,0)-IFERROR(K320/I320,0)</x:f>
        <x:v>-0.016129032258064502</x:v>
      </x:c>
      <x:c r="V320" s="24" t="n">
        <x:f>IFERROR(F320/J320,0)-IFERROR(G320/K320,0)</x:f>
        <x:v>0.4666666666666667</x:v>
      </x:c>
      <x:c r="W320" s="28" t="n">
        <x:f>L320-M320</x:f>
        <x:v>4</x:v>
      </x:c>
      <x:c r="X320" s="24" t="n">
        <x:f>IFERROR(K320/I320,0)</x:f>
        <x:v>0.5</x:v>
      </x:c>
      <x:c r="Y320" s="24" t="n">
        <x:f>IFERROR(G320/I320,0)</x:f>
        <x:v>0</x:v>
      </x:c>
      <x:c r="Z320" s="24" t="n">
        <x:f>IFERROR(G320/K320,0)</x:f>
        <x:v>0</x:v>
      </x:c>
      <x:c r="AA320" s="24" t="n">
        <x:f>IFERROR(F320/H320,0)-IFERROR(G320/I320,0)</x:f>
        <x:v>0.22580645161290322</x:v>
      </x:c>
      <x:c r="AB320" s="28" t="n">
        <x:f>J320-K320</x:f>
        <x:v>12</x:v>
      </x:c>
      <x:c r="AC320" s="32" t="n">
        <x:f>F320-G320</x:f>
        <x:v>7</x:v>
      </x:c>
    </x:row>
    <x:row r="321">
      <x:c r="A321" s="4" t="str">
        <x:v>2021-22</x:v>
      </x:c>
      <x:c r="B321" s="20" t="n">
        <x:v>44544</x:v>
      </x:c>
      <x:c r="C321" s="4" t="str">
        <x:v>Norwich</x:v>
      </x:c>
      <x:c r="D321" s="4" t="str">
        <x:v>Aston Villa</x:v>
      </x:c>
      <x:c r="E321" s="4" t="str">
        <x:v>Home</x:v>
      </x:c>
      <x:c r="F321" s="28" t="n">
        <x:v>0</x:v>
      </x:c>
      <x:c r="G321" s="28" t="n">
        <x:v>2</x:v>
      </x:c>
      <x:c r="H321" s="28" t="n">
        <x:v>7</x:v>
      </x:c>
      <x:c r="I321" s="28" t="n">
        <x:v>17</x:v>
      </x:c>
      <x:c r="J321" s="28" t="n">
        <x:v>3</x:v>
      </x:c>
      <x:c r="K321" s="28" t="n">
        <x:v>6</x:v>
      </x:c>
      <x:c r="L321" s="28" t="n">
        <x:v>7</x:v>
      </x:c>
      <x:c r="M321" s="28" t="n">
        <x:v>10</x:v>
      </x:c>
      <x:c r="N321" s="28" t="n">
        <x:v>3</x:v>
      </x:c>
      <x:c r="O321" s="28" t="n">
        <x:v>0</x:v>
      </x:c>
      <x:c r="P321" s="28" t="n">
        <x:v>0</x:v>
      </x:c>
      <x:c r="Q321" s="24" t="n">
        <x:f>IFERROR(J321/H321,0)</x:f>
        <x:v>0.42857142857142855</x:v>
      </x:c>
      <x:c r="R321" s="24" t="n">
        <x:f>IFERROR(F321/H321,0)</x:f>
        <x:v>0</x:v>
      </x:c>
      <x:c r="S321" s="24" t="n">
        <x:f>IFERROR(F321/J321,0)</x:f>
        <x:v>0</x:v>
      </x:c>
      <x:c r="T321" s="28" t="n">
        <x:f>H321-I321</x:f>
        <x:v>-10</x:v>
      </x:c>
      <x:c r="U321" s="24" t="n">
        <x:f>IFERROR(J321/H321,0)-IFERROR(K321/I321,0)</x:f>
        <x:v>0.07563025210084029</x:v>
      </x:c>
      <x:c r="V321" s="24" t="n">
        <x:f>IFERROR(F321/J321,0)-IFERROR(G321/K321,0)</x:f>
        <x:v>-0.3333333333333333</x:v>
      </x:c>
      <x:c r="W321" s="28" t="n">
        <x:f>L321-M321</x:f>
        <x:v>-3</x:v>
      </x:c>
      <x:c r="X321" s="24" t="n">
        <x:f>IFERROR(K321/I321,0)</x:f>
        <x:v>0.35294117647058826</x:v>
      </x:c>
      <x:c r="Y321" s="24" t="n">
        <x:f>IFERROR(G321/I321,0)</x:f>
        <x:v>0.11764705882352941</x:v>
      </x:c>
      <x:c r="Z321" s="24" t="n">
        <x:f>IFERROR(G321/K321,0)</x:f>
        <x:v>0.3333333333333333</x:v>
      </x:c>
      <x:c r="AA321" s="24" t="n">
        <x:f>IFERROR(F321/H321,0)-IFERROR(G321/I321,0)</x:f>
        <x:v>-0.11764705882352941</x:v>
      </x:c>
      <x:c r="AB321" s="28" t="n">
        <x:f>J321-K321</x:f>
        <x:v>-3</x:v>
      </x:c>
      <x:c r="AC321" s="32" t="n">
        <x:f>F321-G321</x:f>
        <x:v>-2</x:v>
      </x:c>
    </x:row>
    <x:row r="322">
      <x:c r="A322" s="4" t="str">
        <x:v>2021-22</x:v>
      </x:c>
      <x:c r="B322" s="20" t="n">
        <x:v>44545</x:v>
      </x:c>
      <x:c r="C322" s="4" t="str">
        <x:v>Arsenal</x:v>
      </x:c>
      <x:c r="D322" s="4" t="str">
        <x:v>West Ham</x:v>
      </x:c>
      <x:c r="E322" s="4" t="str">
        <x:v>Home</x:v>
      </x:c>
      <x:c r="F322" s="28" t="n">
        <x:v>2</x:v>
      </x:c>
      <x:c r="G322" s="28" t="n">
        <x:v>0</x:v>
      </x:c>
      <x:c r="H322" s="28" t="n">
        <x:v>21</x:v>
      </x:c>
      <x:c r="I322" s="28" t="n">
        <x:v>7</x:v>
      </x:c>
      <x:c r="J322" s="28" t="n">
        <x:v>8</x:v>
      </x:c>
      <x:c r="K322" s="28" t="n">
        <x:v>1</x:v>
      </x:c>
      <x:c r="L322" s="28" t="n">
        <x:v>5</x:v>
      </x:c>
      <x:c r="M322" s="28" t="n">
        <x:v>2</x:v>
      </x:c>
      <x:c r="N322" s="28" t="n">
        <x:v>2</x:v>
      </x:c>
      <x:c r="O322" s="28" t="n">
        <x:v>0</x:v>
      </x:c>
      <x:c r="P322" s="28" t="n">
        <x:v>3</x:v>
      </x:c>
      <x:c r="Q322" s="24" t="n">
        <x:f>IFERROR(J322/H322,0)</x:f>
        <x:v>0.38095238095238093</x:v>
      </x:c>
      <x:c r="R322" s="24" t="n">
        <x:f>IFERROR(F322/H322,0)</x:f>
        <x:v>0.09523809523809523</x:v>
      </x:c>
      <x:c r="S322" s="24" t="n">
        <x:f>IFERROR(F322/J322,0)</x:f>
        <x:v>0.25</x:v>
      </x:c>
      <x:c r="T322" s="28" t="n">
        <x:f>H322-I322</x:f>
        <x:v>14</x:v>
      </x:c>
      <x:c r="U322" s="24" t="n">
        <x:f>IFERROR(J322/H322,0)-IFERROR(K322/I322,0)</x:f>
        <x:v>0.23809523809523808</x:v>
      </x:c>
      <x:c r="V322" s="24" t="n">
        <x:f>IFERROR(F322/J322,0)-IFERROR(G322/K322,0)</x:f>
        <x:v>0.25</x:v>
      </x:c>
      <x:c r="W322" s="28" t="n">
        <x:f>L322-M322</x:f>
        <x:v>3</x:v>
      </x:c>
      <x:c r="X322" s="24" t="n">
        <x:f>IFERROR(K322/I322,0)</x:f>
        <x:v>0.14285714285714285</x:v>
      </x:c>
      <x:c r="Y322" s="24" t="n">
        <x:f>IFERROR(G322/I322,0)</x:f>
        <x:v>0</x:v>
      </x:c>
      <x:c r="Z322" s="24" t="n">
        <x:f>IFERROR(G322/K322,0)</x:f>
        <x:v>0</x:v>
      </x:c>
      <x:c r="AA322" s="24" t="n">
        <x:f>IFERROR(F322/H322,0)-IFERROR(G322/I322,0)</x:f>
        <x:v>0.09523809523809523</x:v>
      </x:c>
      <x:c r="AB322" s="28" t="n">
        <x:f>J322-K322</x:f>
        <x:v>7</x:v>
      </x:c>
      <x:c r="AC322" s="32" t="n">
        <x:f>F322-G322</x:f>
        <x:v>2</x:v>
      </x:c>
    </x:row>
    <x:row r="323">
      <x:c r="A323" s="4" t="str">
        <x:v>2021-22</x:v>
      </x:c>
      <x:c r="B323" s="20" t="n">
        <x:v>44545</x:v>
      </x:c>
      <x:c r="C323" s="4" t="str">
        <x:v>Brighton</x:v>
      </x:c>
      <x:c r="D323" s="4" t="str">
        <x:v>Wolves</x:v>
      </x:c>
      <x:c r="E323" s="4" t="str">
        <x:v>Home</x:v>
      </x:c>
      <x:c r="F323" s="28" t="n">
        <x:v>0</x:v>
      </x:c>
      <x:c r="G323" s="28" t="n">
        <x:v>1</x:v>
      </x:c>
      <x:c r="H323" s="28" t="n">
        <x:v>12</x:v>
      </x:c>
      <x:c r="I323" s="28" t="n">
        <x:v>8</x:v>
      </x:c>
      <x:c r="J323" s="28" t="n">
        <x:v>2</x:v>
      </x:c>
      <x:c r="K323" s="28" t="n">
        <x:v>5</x:v>
      </x:c>
      <x:c r="L323" s="28" t="n">
        <x:v>7</x:v>
      </x:c>
      <x:c r="M323" s="28" t="n">
        <x:v>4</x:v>
      </x:c>
      <x:c r="N323" s="28" t="n">
        <x:v>2</x:v>
      </x:c>
      <x:c r="O323" s="28" t="n">
        <x:v>0</x:v>
      </x:c>
      <x:c r="P323" s="28" t="n">
        <x:v>0</x:v>
      </x:c>
      <x:c r="Q323" s="24" t="n">
        <x:f>IFERROR(J323/H323,0)</x:f>
        <x:v>0.16666666666666666</x:v>
      </x:c>
      <x:c r="R323" s="24" t="n">
        <x:f>IFERROR(F323/H323,0)</x:f>
        <x:v>0</x:v>
      </x:c>
      <x:c r="S323" s="24" t="n">
        <x:f>IFERROR(F323/J323,0)</x:f>
        <x:v>0</x:v>
      </x:c>
      <x:c r="T323" s="28" t="n">
        <x:f>H323-I323</x:f>
        <x:v>4</x:v>
      </x:c>
      <x:c r="U323" s="24" t="n">
        <x:f>IFERROR(J323/H323,0)-IFERROR(K323/I323,0)</x:f>
        <x:v>-0.45833333333333337</x:v>
      </x:c>
      <x:c r="V323" s="24" t="n">
        <x:f>IFERROR(F323/J323,0)-IFERROR(G323/K323,0)</x:f>
        <x:v>-0.2</x:v>
      </x:c>
      <x:c r="W323" s="28" t="n">
        <x:f>L323-M323</x:f>
        <x:v>3</x:v>
      </x:c>
      <x:c r="X323" s="24" t="n">
        <x:f>IFERROR(K323/I323,0)</x:f>
        <x:v>0.625</x:v>
      </x:c>
      <x:c r="Y323" s="24" t="n">
        <x:f>IFERROR(G323/I323,0)</x:f>
        <x:v>0.125</x:v>
      </x:c>
      <x:c r="Z323" s="24" t="n">
        <x:f>IFERROR(G323/K323,0)</x:f>
        <x:v>0.2</x:v>
      </x:c>
      <x:c r="AA323" s="24" t="n">
        <x:f>IFERROR(F323/H323,0)-IFERROR(G323/I323,0)</x:f>
        <x:v>-0.125</x:v>
      </x:c>
      <x:c r="AB323" s="28" t="n">
        <x:f>J323-K323</x:f>
        <x:v>-3</x:v>
      </x:c>
      <x:c r="AC323" s="32" t="n">
        <x:f>F323-G323</x:f>
        <x:v>-1</x:v>
      </x:c>
    </x:row>
    <x:row r="324">
      <x:c r="A324" s="4" t="str">
        <x:v>2021-22</x:v>
      </x:c>
      <x:c r="B324" s="20" t="n">
        <x:v>44545</x:v>
      </x:c>
      <x:c r="C324" s="4" t="str">
        <x:v>Crystal Palace</x:v>
      </x:c>
      <x:c r="D324" s="4" t="str">
        <x:v>Southampton</x:v>
      </x:c>
      <x:c r="E324" s="4" t="str">
        <x:v>Home</x:v>
      </x:c>
      <x:c r="F324" s="28" t="n">
        <x:v>2</x:v>
      </x:c>
      <x:c r="G324" s="28" t="n">
        <x:v>2</x:v>
      </x:c>
      <x:c r="H324" s="28" t="n">
        <x:v>9</x:v>
      </x:c>
      <x:c r="I324" s="28" t="n">
        <x:v>15</x:v>
      </x:c>
      <x:c r="J324" s="28" t="n">
        <x:v>6</x:v>
      </x:c>
      <x:c r="K324" s="28" t="n">
        <x:v>4</x:v>
      </x:c>
      <x:c r="L324" s="28" t="n">
        <x:v>4</x:v>
      </x:c>
      <x:c r="M324" s="28" t="n">
        <x:v>6</x:v>
      </x:c>
      <x:c r="N324" s="28" t="n">
        <x:v>2</x:v>
      </x:c>
      <x:c r="O324" s="28" t="n">
        <x:v>0</x:v>
      </x:c>
      <x:c r="P324" s="28" t="n">
        <x:v>1</x:v>
      </x:c>
      <x:c r="Q324" s="24" t="n">
        <x:f>IFERROR(J324/H324,0)</x:f>
        <x:v>0.6666666666666666</x:v>
      </x:c>
      <x:c r="R324" s="24" t="n">
        <x:f>IFERROR(F324/H324,0)</x:f>
        <x:v>0.2222222222222222</x:v>
      </x:c>
      <x:c r="S324" s="24" t="n">
        <x:f>IFERROR(F324/J324,0)</x:f>
        <x:v>0.3333333333333333</x:v>
      </x:c>
      <x:c r="T324" s="28" t="n">
        <x:f>H324-I324</x:f>
        <x:v>-6</x:v>
      </x:c>
      <x:c r="U324" s="24" t="n">
        <x:f>IFERROR(J324/H324,0)-IFERROR(K324/I324,0)</x:f>
        <x:v>0.39999999999999997</x:v>
      </x:c>
      <x:c r="V324" s="24" t="n">
        <x:f>IFERROR(F324/J324,0)-IFERROR(G324/K324,0)</x:f>
        <x:v>-0.16666666666666669</x:v>
      </x:c>
      <x:c r="W324" s="28" t="n">
        <x:f>L324-M324</x:f>
        <x:v>-2</x:v>
      </x:c>
      <x:c r="X324" s="24" t="n">
        <x:f>IFERROR(K324/I324,0)</x:f>
        <x:v>0.26666666666666666</x:v>
      </x:c>
      <x:c r="Y324" s="24" t="n">
        <x:f>IFERROR(G324/I324,0)</x:f>
        <x:v>0.13333333333333333</x:v>
      </x:c>
      <x:c r="Z324" s="24" t="n">
        <x:f>IFERROR(G324/K324,0)</x:f>
        <x:v>0.5</x:v>
      </x:c>
      <x:c r="AA324" s="24" t="n">
        <x:f>IFERROR(F324/H324,0)-IFERROR(G324/I324,0)</x:f>
        <x:v>0.08888888888888888</x:v>
      </x:c>
      <x:c r="AB324" s="28" t="n">
        <x:f>J324-K324</x:f>
        <x:v>2</x:v>
      </x:c>
      <x:c r="AC324" s="32" t="n">
        <x:f>F324-G324</x:f>
        <x:v>0</x:v>
      </x:c>
    </x:row>
    <x:row r="325">
      <x:c r="A325" s="4" t="str">
        <x:v>2021-22</x:v>
      </x:c>
      <x:c r="B325" s="20" t="n">
        <x:v>44545</x:v>
      </x:c>
      <x:c r="C325" s="4" t="str">
        <x:v>Southampton</x:v>
      </x:c>
      <x:c r="D325" s="4" t="str">
        <x:v>Crystal Palace</x:v>
      </x:c>
      <x:c r="E325" s="4" t="str">
        <x:v>Away</x:v>
      </x:c>
      <x:c r="F325" s="28" t="n">
        <x:v>2</x:v>
      </x:c>
      <x:c r="G325" s="28" t="n">
        <x:v>2</x:v>
      </x:c>
      <x:c r="H325" s="28" t="n">
        <x:v>15</x:v>
      </x:c>
      <x:c r="I325" s="28" t="n">
        <x:v>9</x:v>
      </x:c>
      <x:c r="J325" s="28" t="n">
        <x:v>4</x:v>
      </x:c>
      <x:c r="K325" s="28" t="n">
        <x:v>6</x:v>
      </x:c>
      <x:c r="L325" s="28" t="n">
        <x:v>6</x:v>
      </x:c>
      <x:c r="M325" s="28" t="n">
        <x:v>4</x:v>
      </x:c>
      <x:c r="N325" s="28" t="n">
        <x:v>4</x:v>
      </x:c>
      <x:c r="O325" s="28" t="n">
        <x:v>0</x:v>
      </x:c>
      <x:c r="P325" s="28" t="n">
        <x:v>1</x:v>
      </x:c>
      <x:c r="Q325" s="24" t="n">
        <x:f>IFERROR(J325/H325,0)</x:f>
        <x:v>0.26666666666666666</x:v>
      </x:c>
      <x:c r="R325" s="24" t="n">
        <x:f>IFERROR(F325/H325,0)</x:f>
        <x:v>0.13333333333333333</x:v>
      </x:c>
      <x:c r="S325" s="24" t="n">
        <x:f>IFERROR(F325/J325,0)</x:f>
        <x:v>0.5</x:v>
      </x:c>
      <x:c r="T325" s="28" t="n">
        <x:f>H325-I325</x:f>
        <x:v>6</x:v>
      </x:c>
      <x:c r="U325" s="24" t="n">
        <x:f>IFERROR(J325/H325,0)-IFERROR(K325/I325,0)</x:f>
        <x:v>-0.39999999999999997</x:v>
      </x:c>
      <x:c r="V325" s="24" t="n">
        <x:f>IFERROR(F325/J325,0)-IFERROR(G325/K325,0)</x:f>
        <x:v>0.16666666666666669</x:v>
      </x:c>
      <x:c r="W325" s="28" t="n">
        <x:f>L325-M325</x:f>
        <x:v>2</x:v>
      </x:c>
      <x:c r="X325" s="24" t="n">
        <x:f>IFERROR(K325/I325,0)</x:f>
        <x:v>0.6666666666666666</x:v>
      </x:c>
      <x:c r="Y325" s="24" t="n">
        <x:f>IFERROR(G325/I325,0)</x:f>
        <x:v>0.2222222222222222</x:v>
      </x:c>
      <x:c r="Z325" s="24" t="n">
        <x:f>IFERROR(G325/K325,0)</x:f>
        <x:v>0.3333333333333333</x:v>
      </x:c>
      <x:c r="AA325" s="24" t="n">
        <x:f>IFERROR(F325/H325,0)-IFERROR(G325/I325,0)</x:f>
        <x:v>-0.08888888888888888</x:v>
      </x:c>
      <x:c r="AB325" s="28" t="n">
        <x:f>J325-K325</x:f>
        <x:v>-2</x:v>
      </x:c>
      <x:c r="AC325" s="32" t="n">
        <x:f>F325-G325</x:f>
        <x:v>0</x:v>
      </x:c>
    </x:row>
    <x:row r="326">
      <x:c r="A326" s="4" t="str">
        <x:v>2021-22</x:v>
      </x:c>
      <x:c r="B326" s="20" t="n">
        <x:v>44545</x:v>
      </x:c>
      <x:c r="C326" s="4" t="str">
        <x:v>West Ham</x:v>
      </x:c>
      <x:c r="D326" s="4" t="str">
        <x:v>Arsenal</x:v>
      </x:c>
      <x:c r="E326" s="4" t="str">
        <x:v>Away</x:v>
      </x:c>
      <x:c r="F326" s="28" t="n">
        <x:v>0</x:v>
      </x:c>
      <x:c r="G326" s="28" t="n">
        <x:v>2</x:v>
      </x:c>
      <x:c r="H326" s="28" t="n">
        <x:v>7</x:v>
      </x:c>
      <x:c r="I326" s="28" t="n">
        <x:v>21</x:v>
      </x:c>
      <x:c r="J326" s="28" t="n">
        <x:v>1</x:v>
      </x:c>
      <x:c r="K326" s="28" t="n">
        <x:v>8</x:v>
      </x:c>
      <x:c r="L326" s="28" t="n">
        <x:v>2</x:v>
      </x:c>
      <x:c r="M326" s="28" t="n">
        <x:v>5</x:v>
      </x:c>
      <x:c r="N326" s="28" t="n">
        <x:v>0</x:v>
      </x:c>
      <x:c r="O326" s="28" t="n">
        <x:v>1</x:v>
      </x:c>
      <x:c r="P326" s="28" t="n">
        <x:v>0</x:v>
      </x:c>
      <x:c r="Q326" s="24" t="n">
        <x:f>IFERROR(J326/H326,0)</x:f>
        <x:v>0.14285714285714285</x:v>
      </x:c>
      <x:c r="R326" s="24" t="n">
        <x:f>IFERROR(F326/H326,0)</x:f>
        <x:v>0</x:v>
      </x:c>
      <x:c r="S326" s="24" t="n">
        <x:f>IFERROR(F326/J326,0)</x:f>
        <x:v>0</x:v>
      </x:c>
      <x:c r="T326" s="28" t="n">
        <x:f>H326-I326</x:f>
        <x:v>-14</x:v>
      </x:c>
      <x:c r="U326" s="24" t="n">
        <x:f>IFERROR(J326/H326,0)-IFERROR(K326/I326,0)</x:f>
        <x:v>-0.23809523809523808</x:v>
      </x:c>
      <x:c r="V326" s="24" t="n">
        <x:f>IFERROR(F326/J326,0)-IFERROR(G326/K326,0)</x:f>
        <x:v>-0.25</x:v>
      </x:c>
      <x:c r="W326" s="28" t="n">
        <x:f>L326-M326</x:f>
        <x:v>-3</x:v>
      </x:c>
      <x:c r="X326" s="24" t="n">
        <x:f>IFERROR(K326/I326,0)</x:f>
        <x:v>0.38095238095238093</x:v>
      </x:c>
      <x:c r="Y326" s="24" t="n">
        <x:f>IFERROR(G326/I326,0)</x:f>
        <x:v>0.09523809523809523</x:v>
      </x:c>
      <x:c r="Z326" s="24" t="n">
        <x:f>IFERROR(G326/K326,0)</x:f>
        <x:v>0.25</x:v>
      </x:c>
      <x:c r="AA326" s="24" t="n">
        <x:f>IFERROR(F326/H326,0)-IFERROR(G326/I326,0)</x:f>
        <x:v>-0.09523809523809523</x:v>
      </x:c>
      <x:c r="AB326" s="28" t="n">
        <x:f>J326-K326</x:f>
        <x:v>-7</x:v>
      </x:c>
      <x:c r="AC326" s="32" t="n">
        <x:f>F326-G326</x:f>
        <x:v>-2</x:v>
      </x:c>
    </x:row>
    <x:row r="327">
      <x:c r="A327" s="4" t="str">
        <x:v>2021-22</x:v>
      </x:c>
      <x:c r="B327" s="20" t="n">
        <x:v>44545</x:v>
      </x:c>
      <x:c r="C327" s="4" t="str">
        <x:v>Wolves</x:v>
      </x:c>
      <x:c r="D327" s="4" t="str">
        <x:v>Brighton</x:v>
      </x:c>
      <x:c r="E327" s="4" t="str">
        <x:v>Away</x:v>
      </x:c>
      <x:c r="F327" s="28" t="n">
        <x:v>1</x:v>
      </x:c>
      <x:c r="G327" s="28" t="n">
        <x:v>0</x:v>
      </x:c>
      <x:c r="H327" s="28" t="n">
        <x:v>8</x:v>
      </x:c>
      <x:c r="I327" s="28" t="n">
        <x:v>12</x:v>
      </x:c>
      <x:c r="J327" s="28" t="n">
        <x:v>5</x:v>
      </x:c>
      <x:c r="K327" s="28" t="n">
        <x:v>2</x:v>
      </x:c>
      <x:c r="L327" s="28" t="n">
        <x:v>4</x:v>
      </x:c>
      <x:c r="M327" s="28" t="n">
        <x:v>7</x:v>
      </x:c>
      <x:c r="N327" s="28" t="n">
        <x:v>0</x:v>
      </x:c>
      <x:c r="O327" s="28" t="n">
        <x:v>0</x:v>
      </x:c>
      <x:c r="P327" s="28" t="n">
        <x:v>3</x:v>
      </x:c>
      <x:c r="Q327" s="24" t="n">
        <x:f>IFERROR(J327/H327,0)</x:f>
        <x:v>0.625</x:v>
      </x:c>
      <x:c r="R327" s="24" t="n">
        <x:f>IFERROR(F327/H327,0)</x:f>
        <x:v>0.125</x:v>
      </x:c>
      <x:c r="S327" s="24" t="n">
        <x:f>IFERROR(F327/J327,0)</x:f>
        <x:v>0.2</x:v>
      </x:c>
      <x:c r="T327" s="28" t="n">
        <x:f>H327-I327</x:f>
        <x:v>-4</x:v>
      </x:c>
      <x:c r="U327" s="24" t="n">
        <x:f>IFERROR(J327/H327,0)-IFERROR(K327/I327,0)</x:f>
        <x:v>0.45833333333333337</x:v>
      </x:c>
      <x:c r="V327" s="24" t="n">
        <x:f>IFERROR(F327/J327,0)-IFERROR(G327/K327,0)</x:f>
        <x:v>0.2</x:v>
      </x:c>
      <x:c r="W327" s="28" t="n">
        <x:f>L327-M327</x:f>
        <x:v>-3</x:v>
      </x:c>
      <x:c r="X327" s="24" t="n">
        <x:f>IFERROR(K327/I327,0)</x:f>
        <x:v>0.16666666666666666</x:v>
      </x:c>
      <x:c r="Y327" s="24" t="n">
        <x:f>IFERROR(G327/I327,0)</x:f>
        <x:v>0</x:v>
      </x:c>
      <x:c r="Z327" s="24" t="n">
        <x:f>IFERROR(G327/K327,0)</x:f>
        <x:v>0</x:v>
      </x:c>
      <x:c r="AA327" s="24" t="n">
        <x:f>IFERROR(F327/H327,0)-IFERROR(G327/I327,0)</x:f>
        <x:v>0.125</x:v>
      </x:c>
      <x:c r="AB327" s="28" t="n">
        <x:f>J327-K327</x:f>
        <x:v>3</x:v>
      </x:c>
      <x:c r="AC327" s="32" t="n">
        <x:f>F327-G327</x:f>
        <x:v>1</x:v>
      </x:c>
    </x:row>
    <x:row r="328">
      <x:c r="A328" s="4" t="str">
        <x:v>2021-22</x:v>
      </x:c>
      <x:c r="B328" s="20" t="n">
        <x:v>44546</x:v>
      </x:c>
      <x:c r="C328" s="4" t="str">
        <x:v>Chelsea</x:v>
      </x:c>
      <x:c r="D328" s="4" t="str">
        <x:v>Everton</x:v>
      </x:c>
      <x:c r="E328" s="4" t="str">
        <x:v>Home</x:v>
      </x:c>
      <x:c r="F328" s="28" t="n">
        <x:v>1</x:v>
      </x:c>
      <x:c r="G328" s="28" t="n">
        <x:v>1</x:v>
      </x:c>
      <x:c r="H328" s="28" t="n">
        <x:v>23</x:v>
      </x:c>
      <x:c r="I328" s="28" t="n">
        <x:v>5</x:v>
      </x:c>
      <x:c r="J328" s="28" t="n">
        <x:v>10</x:v>
      </x:c>
      <x:c r="K328" s="28" t="n">
        <x:v>3</x:v>
      </x:c>
      <x:c r="L328" s="28" t="n">
        <x:v>7</x:v>
      </x:c>
      <x:c r="M328" s="28" t="n">
        <x:v>1</x:v>
      </x:c>
      <x:c r="N328" s="28" t="n">
        <x:v>2</x:v>
      </x:c>
      <x:c r="O328" s="28" t="n">
        <x:v>0</x:v>
      </x:c>
      <x:c r="P328" s="28" t="n">
        <x:v>1</x:v>
      </x:c>
      <x:c r="Q328" s="24" t="n">
        <x:f>IFERROR(J328/H328,0)</x:f>
        <x:v>0.43478260869565216</x:v>
      </x:c>
      <x:c r="R328" s="24" t="n">
        <x:f>IFERROR(F328/H328,0)</x:f>
        <x:v>0.043478260869565216</x:v>
      </x:c>
      <x:c r="S328" s="24" t="n">
        <x:f>IFERROR(F328/J328,0)</x:f>
        <x:v>0.1</x:v>
      </x:c>
      <x:c r="T328" s="28" t="n">
        <x:f>H328-I328</x:f>
        <x:v>18</x:v>
      </x:c>
      <x:c r="U328" s="24" t="n">
        <x:f>IFERROR(J328/H328,0)-IFERROR(K328/I328,0)</x:f>
        <x:v>-0.16521739130434782</x:v>
      </x:c>
      <x:c r="V328" s="24" t="n">
        <x:f>IFERROR(F328/J328,0)-IFERROR(G328/K328,0)</x:f>
        <x:v>-0.2333333333333333</x:v>
      </x:c>
      <x:c r="W328" s="28" t="n">
        <x:f>L328-M328</x:f>
        <x:v>6</x:v>
      </x:c>
      <x:c r="X328" s="24" t="n">
        <x:f>IFERROR(K328/I328,0)</x:f>
        <x:v>0.6</x:v>
      </x:c>
      <x:c r="Y328" s="24" t="n">
        <x:f>IFERROR(G328/I328,0)</x:f>
        <x:v>0.2</x:v>
      </x:c>
      <x:c r="Z328" s="24" t="n">
        <x:f>IFERROR(G328/K328,0)</x:f>
        <x:v>0.3333333333333333</x:v>
      </x:c>
      <x:c r="AA328" s="24" t="n">
        <x:f>IFERROR(F328/H328,0)-IFERROR(G328/I328,0)</x:f>
        <x:v>-0.1565217391304348</x:v>
      </x:c>
      <x:c r="AB328" s="28" t="n">
        <x:f>J328-K328</x:f>
        <x:v>7</x:v>
      </x:c>
      <x:c r="AC328" s="32" t="n">
        <x:f>F328-G328</x:f>
        <x:v>0</x:v>
      </x:c>
    </x:row>
    <x:row r="329">
      <x:c r="A329" s="4" t="str">
        <x:v>2021-22</x:v>
      </x:c>
      <x:c r="B329" s="20" t="n">
        <x:v>44546</x:v>
      </x:c>
      <x:c r="C329" s="4" t="str">
        <x:v>Everton</x:v>
      </x:c>
      <x:c r="D329" s="4" t="str">
        <x:v>Chelsea</x:v>
      </x:c>
      <x:c r="E329" s="4" t="str">
        <x:v>Away</x:v>
      </x:c>
      <x:c r="F329" s="28" t="n">
        <x:v>1</x:v>
      </x:c>
      <x:c r="G329" s="28" t="n">
        <x:v>1</x:v>
      </x:c>
      <x:c r="H329" s="28" t="n">
        <x:v>5</x:v>
      </x:c>
      <x:c r="I329" s="28" t="n">
        <x:v>23</x:v>
      </x:c>
      <x:c r="J329" s="28" t="n">
        <x:v>3</x:v>
      </x:c>
      <x:c r="K329" s="28" t="n">
        <x:v>10</x:v>
      </x:c>
      <x:c r="L329" s="28" t="n">
        <x:v>1</x:v>
      </x:c>
      <x:c r="M329" s="28" t="n">
        <x:v>7</x:v>
      </x:c>
      <x:c r="N329" s="28" t="n">
        <x:v>3</x:v>
      </x:c>
      <x:c r="O329" s="28" t="n">
        <x:v>0</x:v>
      </x:c>
      <x:c r="P329" s="28" t="n">
        <x:v>1</x:v>
      </x:c>
      <x:c r="Q329" s="24" t="n">
        <x:f>IFERROR(J329/H329,0)</x:f>
        <x:v>0.6</x:v>
      </x:c>
      <x:c r="R329" s="24" t="n">
        <x:f>IFERROR(F329/H329,0)</x:f>
        <x:v>0.2</x:v>
      </x:c>
      <x:c r="S329" s="24" t="n">
        <x:f>IFERROR(F329/J329,0)</x:f>
        <x:v>0.3333333333333333</x:v>
      </x:c>
      <x:c r="T329" s="28" t="n">
        <x:f>H329-I329</x:f>
        <x:v>-18</x:v>
      </x:c>
      <x:c r="U329" s="24" t="n">
        <x:f>IFERROR(J329/H329,0)-IFERROR(K329/I329,0)</x:f>
        <x:v>0.16521739130434782</x:v>
      </x:c>
      <x:c r="V329" s="24" t="n">
        <x:f>IFERROR(F329/J329,0)-IFERROR(G329/K329,0)</x:f>
        <x:v>0.2333333333333333</x:v>
      </x:c>
      <x:c r="W329" s="28" t="n">
        <x:f>L329-M329</x:f>
        <x:v>-6</x:v>
      </x:c>
      <x:c r="X329" s="24" t="n">
        <x:f>IFERROR(K329/I329,0)</x:f>
        <x:v>0.43478260869565216</x:v>
      </x:c>
      <x:c r="Y329" s="24" t="n">
        <x:f>IFERROR(G329/I329,0)</x:f>
        <x:v>0.043478260869565216</x:v>
      </x:c>
      <x:c r="Z329" s="24" t="n">
        <x:f>IFERROR(G329/K329,0)</x:f>
        <x:v>0.1</x:v>
      </x:c>
      <x:c r="AA329" s="24" t="n">
        <x:f>IFERROR(F329/H329,0)-IFERROR(G329/I329,0)</x:f>
        <x:v>0.1565217391304348</x:v>
      </x:c>
      <x:c r="AB329" s="28" t="n">
        <x:f>J329-K329</x:f>
        <x:v>-7</x:v>
      </x:c>
      <x:c r="AC329" s="32" t="n">
        <x:f>F329-G329</x:f>
        <x:v>0</x:v>
      </x:c>
    </x:row>
    <x:row r="330">
      <x:c r="A330" s="4" t="str">
        <x:v>2021-22</x:v>
      </x:c>
      <x:c r="B330" s="20" t="n">
        <x:v>44546</x:v>
      </x:c>
      <x:c r="C330" s="4" t="str">
        <x:v>Liverpool</x:v>
      </x:c>
      <x:c r="D330" s="4" t="str">
        <x:v>Newcastle</x:v>
      </x:c>
      <x:c r="E330" s="4" t="str">
        <x:v>Home</x:v>
      </x:c>
      <x:c r="F330" s="28" t="n">
        <x:v>3</x:v>
      </x:c>
      <x:c r="G330" s="28" t="n">
        <x:v>1</x:v>
      </x:c>
      <x:c r="H330" s="28" t="n">
        <x:v>23</x:v>
      </x:c>
      <x:c r="I330" s="28" t="n">
        <x:v>4</x:v>
      </x:c>
      <x:c r="J330" s="28" t="n">
        <x:v>8</x:v>
      </x:c>
      <x:c r="K330" s="28" t="n">
        <x:v>2</x:v>
      </x:c>
      <x:c r="L330" s="28" t="n">
        <x:v>11</x:v>
      </x:c>
      <x:c r="M330" s="28" t="n">
        <x:v>0</x:v>
      </x:c>
      <x:c r="N330" s="28" t="n">
        <x:v>1</x:v>
      </x:c>
      <x:c r="O330" s="28" t="n">
        <x:v>0</x:v>
      </x:c>
      <x:c r="P330" s="28" t="n">
        <x:v>3</x:v>
      </x:c>
      <x:c r="Q330" s="24" t="n">
        <x:f>IFERROR(J330/H330,0)</x:f>
        <x:v>0.34782608695652173</x:v>
      </x:c>
      <x:c r="R330" s="24" t="n">
        <x:f>IFERROR(F330/H330,0)</x:f>
        <x:v>0.13043478260869565</x:v>
      </x:c>
      <x:c r="S330" s="24" t="n">
        <x:f>IFERROR(F330/J330,0)</x:f>
        <x:v>0.375</x:v>
      </x:c>
      <x:c r="T330" s="28" t="n">
        <x:f>H330-I330</x:f>
        <x:v>19</x:v>
      </x:c>
      <x:c r="U330" s="24" t="n">
        <x:f>IFERROR(J330/H330,0)-IFERROR(K330/I330,0)</x:f>
        <x:v>-0.15217391304347827</x:v>
      </x:c>
      <x:c r="V330" s="24" t="n">
        <x:f>IFERROR(F330/J330,0)-IFERROR(G330/K330,0)</x:f>
        <x:v>-0.125</x:v>
      </x:c>
      <x:c r="W330" s="28" t="n">
        <x:f>L330-M330</x:f>
        <x:v>11</x:v>
      </x:c>
      <x:c r="X330" s="24" t="n">
        <x:f>IFERROR(K330/I330,0)</x:f>
        <x:v>0.5</x:v>
      </x:c>
      <x:c r="Y330" s="24" t="n">
        <x:f>IFERROR(G330/I330,0)</x:f>
        <x:v>0.25</x:v>
      </x:c>
      <x:c r="Z330" s="24" t="n">
        <x:f>IFERROR(G330/K330,0)</x:f>
        <x:v>0.5</x:v>
      </x:c>
      <x:c r="AA330" s="24" t="n">
        <x:f>IFERROR(F330/H330,0)-IFERROR(G330/I330,0)</x:f>
        <x:v>-0.11956521739130435</x:v>
      </x:c>
      <x:c r="AB330" s="28" t="n">
        <x:f>J330-K330</x:f>
        <x:v>6</x:v>
      </x:c>
      <x:c r="AC330" s="32" t="n">
        <x:f>F330-G330</x:f>
        <x:v>2</x:v>
      </x:c>
    </x:row>
    <x:row r="331">
      <x:c r="A331" s="4" t="str">
        <x:v>2021-22</x:v>
      </x:c>
      <x:c r="B331" s="20" t="n">
        <x:v>44546</x:v>
      </x:c>
      <x:c r="C331" s="4" t="str">
        <x:v>Newcastle</x:v>
      </x:c>
      <x:c r="D331" s="4" t="str">
        <x:v>Liverpool</x:v>
      </x:c>
      <x:c r="E331" s="4" t="str">
        <x:v>Away</x:v>
      </x:c>
      <x:c r="F331" s="28" t="n">
        <x:v>1</x:v>
      </x:c>
      <x:c r="G331" s="28" t="n">
        <x:v>3</x:v>
      </x:c>
      <x:c r="H331" s="28" t="n">
        <x:v>4</x:v>
      </x:c>
      <x:c r="I331" s="28" t="n">
        <x:v>23</x:v>
      </x:c>
      <x:c r="J331" s="28" t="n">
        <x:v>2</x:v>
      </x:c>
      <x:c r="K331" s="28" t="n">
        <x:v>8</x:v>
      </x:c>
      <x:c r="L331" s="28" t="n">
        <x:v>0</x:v>
      </x:c>
      <x:c r="M331" s="28" t="n">
        <x:v>11</x:v>
      </x:c>
      <x:c r="N331" s="28" t="n">
        <x:v>3</x:v>
      </x:c>
      <x:c r="O331" s="28" t="n">
        <x:v>0</x:v>
      </x:c>
      <x:c r="P331" s="28" t="n">
        <x:v>0</x:v>
      </x:c>
      <x:c r="Q331" s="24" t="n">
        <x:f>IFERROR(J331/H331,0)</x:f>
        <x:v>0.5</x:v>
      </x:c>
      <x:c r="R331" s="24" t="n">
        <x:f>IFERROR(F331/H331,0)</x:f>
        <x:v>0.25</x:v>
      </x:c>
      <x:c r="S331" s="24" t="n">
        <x:f>IFERROR(F331/J331,0)</x:f>
        <x:v>0.5</x:v>
      </x:c>
      <x:c r="T331" s="28" t="n">
        <x:f>H331-I331</x:f>
        <x:v>-19</x:v>
      </x:c>
      <x:c r="U331" s="24" t="n">
        <x:f>IFERROR(J331/H331,0)-IFERROR(K331/I331,0)</x:f>
        <x:v>0.15217391304347827</x:v>
      </x:c>
      <x:c r="V331" s="24" t="n">
        <x:f>IFERROR(F331/J331,0)-IFERROR(G331/K331,0)</x:f>
        <x:v>0.125</x:v>
      </x:c>
      <x:c r="W331" s="28" t="n">
        <x:f>L331-M331</x:f>
        <x:v>-11</x:v>
      </x:c>
      <x:c r="X331" s="24" t="n">
        <x:f>IFERROR(K331/I331,0)</x:f>
        <x:v>0.34782608695652173</x:v>
      </x:c>
      <x:c r="Y331" s="24" t="n">
        <x:f>IFERROR(G331/I331,0)</x:f>
        <x:v>0.13043478260869565</x:v>
      </x:c>
      <x:c r="Z331" s="24" t="n">
        <x:f>IFERROR(G331/K331,0)</x:f>
        <x:v>0.375</x:v>
      </x:c>
      <x:c r="AA331" s="24" t="n">
        <x:f>IFERROR(F331/H331,0)-IFERROR(G331/I331,0)</x:f>
        <x:v>0.11956521739130435</x:v>
      </x:c>
      <x:c r="AB331" s="28" t="n">
        <x:f>J331-K331</x:f>
        <x:v>-6</x:v>
      </x:c>
      <x:c r="AC331" s="32" t="n">
        <x:f>F331-G331</x:f>
        <x:v>-2</x:v>
      </x:c>
    </x:row>
    <x:row r="332">
      <x:c r="A332" s="4" t="str">
        <x:v>2021-22</x:v>
      </x:c>
      <x:c r="B332" s="20" t="n">
        <x:v>44548</x:v>
      </x:c>
      <x:c r="C332" s="4" t="str">
        <x:v>Arsenal</x:v>
      </x:c>
      <x:c r="D332" s="4" t="str">
        <x:v>Leeds</x:v>
      </x:c>
      <x:c r="E332" s="4" t="str">
        <x:v>Away</x:v>
      </x:c>
      <x:c r="F332" s="28" t="n">
        <x:v>4</x:v>
      </x:c>
      <x:c r="G332" s="28" t="n">
        <x:v>1</x:v>
      </x:c>
      <x:c r="H332" s="28" t="n">
        <x:v>21</x:v>
      </x:c>
      <x:c r="I332" s="28" t="n">
        <x:v>9</x:v>
      </x:c>
      <x:c r="J332" s="28" t="n">
        <x:v>12</x:v>
      </x:c>
      <x:c r="K332" s="28" t="n">
        <x:v>2</x:v>
      </x:c>
      <x:c r="L332" s="28" t="n">
        <x:v>4</x:v>
      </x:c>
      <x:c r="M332" s="28" t="n">
        <x:v>1</x:v>
      </x:c>
      <x:c r="N332" s="28" t="n">
        <x:v>1</x:v>
      </x:c>
      <x:c r="O332" s="28" t="n">
        <x:v>0</x:v>
      </x:c>
      <x:c r="P332" s="28" t="n">
        <x:v>3</x:v>
      </x:c>
      <x:c r="Q332" s="24" t="n">
        <x:f>IFERROR(J332/H332,0)</x:f>
        <x:v>0.5714285714285714</x:v>
      </x:c>
      <x:c r="R332" s="24" t="n">
        <x:f>IFERROR(F332/H332,0)</x:f>
        <x:v>0.19047619047619047</x:v>
      </x:c>
      <x:c r="S332" s="24" t="n">
        <x:f>IFERROR(F332/J332,0)</x:f>
        <x:v>0.3333333333333333</x:v>
      </x:c>
      <x:c r="T332" s="28" t="n">
        <x:f>H332-I332</x:f>
        <x:v>12</x:v>
      </x:c>
      <x:c r="U332" s="24" t="n">
        <x:f>IFERROR(J332/H332,0)-IFERROR(K332/I332,0)</x:f>
        <x:v>0.3492063492063492</x:v>
      </x:c>
      <x:c r="V332" s="24" t="n">
        <x:f>IFERROR(F332/J332,0)-IFERROR(G332/K332,0)</x:f>
        <x:v>-0.16666666666666669</x:v>
      </x:c>
      <x:c r="W332" s="28" t="n">
        <x:f>L332-M332</x:f>
        <x:v>3</x:v>
      </x:c>
      <x:c r="X332" s="24" t="n">
        <x:f>IFERROR(K332/I332,0)</x:f>
        <x:v>0.2222222222222222</x:v>
      </x:c>
      <x:c r="Y332" s="24" t="n">
        <x:f>IFERROR(G332/I332,0)</x:f>
        <x:v>0.1111111111111111</x:v>
      </x:c>
      <x:c r="Z332" s="24" t="n">
        <x:f>IFERROR(G332/K332,0)</x:f>
        <x:v>0.5</x:v>
      </x:c>
      <x:c r="AA332" s="24" t="n">
        <x:f>IFERROR(F332/H332,0)-IFERROR(G332/I332,0)</x:f>
        <x:v>0.07936507936507936</x:v>
      </x:c>
      <x:c r="AB332" s="28" t="n">
        <x:f>J332-K332</x:f>
        <x:v>10</x:v>
      </x:c>
      <x:c r="AC332" s="32" t="n">
        <x:f>F332-G332</x:f>
        <x:v>3</x:v>
      </x:c>
    </x:row>
    <x:row r="333">
      <x:c r="A333" s="4" t="str">
        <x:v>2021-22</x:v>
      </x:c>
      <x:c r="B333" s="20" t="n">
        <x:v>44548</x:v>
      </x:c>
      <x:c r="C333" s="4" t="str">
        <x:v>Leeds</x:v>
      </x:c>
      <x:c r="D333" s="4" t="str">
        <x:v>Arsenal</x:v>
      </x:c>
      <x:c r="E333" s="4" t="str">
        <x:v>Home</x:v>
      </x:c>
      <x:c r="F333" s="28" t="n">
        <x:v>1</x:v>
      </x:c>
      <x:c r="G333" s="28" t="n">
        <x:v>4</x:v>
      </x:c>
      <x:c r="H333" s="28" t="n">
        <x:v>9</x:v>
      </x:c>
      <x:c r="I333" s="28" t="n">
        <x:v>21</x:v>
      </x:c>
      <x:c r="J333" s="28" t="n">
        <x:v>2</x:v>
      </x:c>
      <x:c r="K333" s="28" t="n">
        <x:v>12</x:v>
      </x:c>
      <x:c r="L333" s="28" t="n">
        <x:v>1</x:v>
      </x:c>
      <x:c r="M333" s="28" t="n">
        <x:v>4</x:v>
      </x:c>
      <x:c r="N333" s="28" t="n">
        <x:v>3</x:v>
      </x:c>
      <x:c r="O333" s="28" t="n">
        <x:v>0</x:v>
      </x:c>
      <x:c r="P333" s="28" t="n">
        <x:v>0</x:v>
      </x:c>
      <x:c r="Q333" s="24" t="n">
        <x:f>IFERROR(J333/H333,0)</x:f>
        <x:v>0.2222222222222222</x:v>
      </x:c>
      <x:c r="R333" s="24" t="n">
        <x:f>IFERROR(F333/H333,0)</x:f>
        <x:v>0.1111111111111111</x:v>
      </x:c>
      <x:c r="S333" s="24" t="n">
        <x:f>IFERROR(F333/J333,0)</x:f>
        <x:v>0.5</x:v>
      </x:c>
      <x:c r="T333" s="28" t="n">
        <x:f>H333-I333</x:f>
        <x:v>-12</x:v>
      </x:c>
      <x:c r="U333" s="24" t="n">
        <x:f>IFERROR(J333/H333,0)-IFERROR(K333/I333,0)</x:f>
        <x:v>-0.3492063492063492</x:v>
      </x:c>
      <x:c r="V333" s="24" t="n">
        <x:f>IFERROR(F333/J333,0)-IFERROR(G333/K333,0)</x:f>
        <x:v>0.16666666666666669</x:v>
      </x:c>
      <x:c r="W333" s="28" t="n">
        <x:f>L333-M333</x:f>
        <x:v>-3</x:v>
      </x:c>
      <x:c r="X333" s="24" t="n">
        <x:f>IFERROR(K333/I333,0)</x:f>
        <x:v>0.5714285714285714</x:v>
      </x:c>
      <x:c r="Y333" s="24" t="n">
        <x:f>IFERROR(G333/I333,0)</x:f>
        <x:v>0.19047619047619047</x:v>
      </x:c>
      <x:c r="Z333" s="24" t="n">
        <x:f>IFERROR(G333/K333,0)</x:f>
        <x:v>0.3333333333333333</x:v>
      </x:c>
      <x:c r="AA333" s="24" t="n">
        <x:f>IFERROR(F333/H333,0)-IFERROR(G333/I333,0)</x:f>
        <x:v>-0.07936507936507936</x:v>
      </x:c>
      <x:c r="AB333" s="28" t="n">
        <x:f>J333-K333</x:f>
        <x:v>-10</x:v>
      </x:c>
      <x:c r="AC333" s="32" t="n">
        <x:f>F333-G333</x:f>
        <x:v>-3</x:v>
      </x:c>
    </x:row>
    <x:row r="334">
      <x:c r="A334" s="4" t="str">
        <x:v>2021-22</x:v>
      </x:c>
      <x:c r="B334" s="20" t="n">
        <x:v>44549</x:v>
      </x:c>
      <x:c r="C334" s="4" t="str">
        <x:v>Chelsea</x:v>
      </x:c>
      <x:c r="D334" s="4" t="str">
        <x:v>Wolves</x:v>
      </x:c>
      <x:c r="E334" s="4" t="str">
        <x:v>Away</x:v>
      </x:c>
      <x:c r="F334" s="28" t="n">
        <x:v>0</x:v>
      </x:c>
      <x:c r="G334" s="28" t="n">
        <x:v>0</x:v>
      </x:c>
      <x:c r="H334" s="28" t="n">
        <x:v>8</x:v>
      </x:c>
      <x:c r="I334" s="28" t="n">
        <x:v>4</x:v>
      </x:c>
      <x:c r="J334" s="28" t="n">
        <x:v>1</x:v>
      </x:c>
      <x:c r="K334" s="28" t="n">
        <x:v>1</x:v>
      </x:c>
      <x:c r="L334" s="28" t="n">
        <x:v>9</x:v>
      </x:c>
      <x:c r="M334" s="28" t="n">
        <x:v>4</x:v>
      </x:c>
      <x:c r="N334" s="28" t="n">
        <x:v>2</x:v>
      </x:c>
      <x:c r="O334" s="28" t="n">
        <x:v>0</x:v>
      </x:c>
      <x:c r="P334" s="28" t="n">
        <x:v>1</x:v>
      </x:c>
      <x:c r="Q334" s="24" t="n">
        <x:f>IFERROR(J334/H334,0)</x:f>
        <x:v>0.125</x:v>
      </x:c>
      <x:c r="R334" s="24" t="n">
        <x:f>IFERROR(F334/H334,0)</x:f>
        <x:v>0</x:v>
      </x:c>
      <x:c r="S334" s="24" t="n">
        <x:f>IFERROR(F334/J334,0)</x:f>
        <x:v>0</x:v>
      </x:c>
      <x:c r="T334" s="28" t="n">
        <x:f>H334-I334</x:f>
        <x:v>4</x:v>
      </x:c>
      <x:c r="U334" s="24" t="n">
        <x:f>IFERROR(J334/H334,0)-IFERROR(K334/I334,0)</x:f>
        <x:v>-0.125</x:v>
      </x:c>
      <x:c r="V334" s="24" t="n">
        <x:f>IFERROR(F334/J334,0)-IFERROR(G334/K334,0)</x:f>
        <x:v>0</x:v>
      </x:c>
      <x:c r="W334" s="28" t="n">
        <x:f>L334-M334</x:f>
        <x:v>5</x:v>
      </x:c>
      <x:c r="X334" s="24" t="n">
        <x:f>IFERROR(K334/I334,0)</x:f>
        <x:v>0.25</x:v>
      </x:c>
      <x:c r="Y334" s="24" t="n">
        <x:f>IFERROR(G334/I334,0)</x:f>
        <x:v>0</x:v>
      </x:c>
      <x:c r="Z334" s="24" t="n">
        <x:f>IFERROR(G334/K334,0)</x:f>
        <x:v>0</x:v>
      </x:c>
      <x:c r="AA334" s="24" t="n">
        <x:f>IFERROR(F334/H334,0)-IFERROR(G334/I334,0)</x:f>
        <x:v>0</x:v>
      </x:c>
      <x:c r="AB334" s="28" t="n">
        <x:f>J334-K334</x:f>
        <x:v>0</x:v>
      </x:c>
      <x:c r="AC334" s="32" t="n">
        <x:f>F334-G334</x:f>
        <x:v>0</x:v>
      </x:c>
    </x:row>
    <x:row r="335">
      <x:c r="A335" s="4" t="str">
        <x:v>2021-22</x:v>
      </x:c>
      <x:c r="B335" s="20" t="n">
        <x:v>44549</x:v>
      </x:c>
      <x:c r="C335" s="4" t="str">
        <x:v>Liverpool</x:v>
      </x:c>
      <x:c r="D335" s="4" t="str">
        <x:v>Tottenham</x:v>
      </x:c>
      <x:c r="E335" s="4" t="str">
        <x:v>Away</x:v>
      </x:c>
      <x:c r="F335" s="28" t="n">
        <x:v>2</x:v>
      </x:c>
      <x:c r="G335" s="28" t="n">
        <x:v>2</x:v>
      </x:c>
      <x:c r="H335" s="28" t="n">
        <x:v>18</x:v>
      </x:c>
      <x:c r="I335" s="28" t="n">
        <x:v>10</x:v>
      </x:c>
      <x:c r="J335" s="28" t="n">
        <x:v>6</x:v>
      </x:c>
      <x:c r="K335" s="28" t="n">
        <x:v>5</x:v>
      </x:c>
      <x:c r="L335" s="28" t="n">
        <x:v>4</x:v>
      </x:c>
      <x:c r="M335" s="28" t="n">
        <x:v>6</x:v>
      </x:c>
      <x:c r="N335" s="28" t="n">
        <x:v>4</x:v>
      </x:c>
      <x:c r="O335" s="28" t="n">
        <x:v>1</x:v>
      </x:c>
      <x:c r="P335" s="28" t="n">
        <x:v>1</x:v>
      </x:c>
      <x:c r="Q335" s="24" t="n">
        <x:f>IFERROR(J335/H335,0)</x:f>
        <x:v>0.3333333333333333</x:v>
      </x:c>
      <x:c r="R335" s="24" t="n">
        <x:f>IFERROR(F335/H335,0)</x:f>
        <x:v>0.1111111111111111</x:v>
      </x:c>
      <x:c r="S335" s="24" t="n">
        <x:f>IFERROR(F335/J335,0)</x:f>
        <x:v>0.3333333333333333</x:v>
      </x:c>
      <x:c r="T335" s="28" t="n">
        <x:f>H335-I335</x:f>
        <x:v>8</x:v>
      </x:c>
      <x:c r="U335" s="24" t="n">
        <x:f>IFERROR(J335/H335,0)-IFERROR(K335/I335,0)</x:f>
        <x:v>-0.16666666666666669</x:v>
      </x:c>
      <x:c r="V335" s="24" t="n">
        <x:f>IFERROR(F335/J335,0)-IFERROR(G335/K335,0)</x:f>
        <x:v>-0.06666666666666671</x:v>
      </x:c>
      <x:c r="W335" s="28" t="n">
        <x:f>L335-M335</x:f>
        <x:v>-2</x:v>
      </x:c>
      <x:c r="X335" s="24" t="n">
        <x:f>IFERROR(K335/I335,0)</x:f>
        <x:v>0.5</x:v>
      </x:c>
      <x:c r="Y335" s="24" t="n">
        <x:f>IFERROR(G335/I335,0)</x:f>
        <x:v>0.2</x:v>
      </x:c>
      <x:c r="Z335" s="24" t="n">
        <x:f>IFERROR(G335/K335,0)</x:f>
        <x:v>0.4</x:v>
      </x:c>
      <x:c r="AA335" s="24" t="n">
        <x:f>IFERROR(F335/H335,0)-IFERROR(G335/I335,0)</x:f>
        <x:v>-0.0888888888888889</x:v>
      </x:c>
      <x:c r="AB335" s="28" t="n">
        <x:f>J335-K335</x:f>
        <x:v>1</x:v>
      </x:c>
      <x:c r="AC335" s="32" t="n">
        <x:f>F335-G335</x:f>
        <x:v>0</x:v>
      </x:c>
    </x:row>
    <x:row r="336">
      <x:c r="A336" s="4" t="str">
        <x:v>2021-22</x:v>
      </x:c>
      <x:c r="B336" s="20" t="n">
        <x:v>44549</x:v>
      </x:c>
      <x:c r="C336" s="4" t="str">
        <x:v>Man City</x:v>
      </x:c>
      <x:c r="D336" s="4" t="str">
        <x:v>Newcastle</x:v>
      </x:c>
      <x:c r="E336" s="4" t="str">
        <x:v>Away</x:v>
      </x:c>
      <x:c r="F336" s="28" t="n">
        <x:v>4</x:v>
      </x:c>
      <x:c r="G336" s="28" t="n">
        <x:v>0</x:v>
      </x:c>
      <x:c r="H336" s="28" t="n">
        <x:v>18</x:v>
      </x:c>
      <x:c r="I336" s="28" t="n">
        <x:v>5</x:v>
      </x:c>
      <x:c r="J336" s="28" t="n">
        <x:v>7</x:v>
      </x:c>
      <x:c r="K336" s="28" t="n">
        <x:v>1</x:v>
      </x:c>
      <x:c r="L336" s="28" t="n">
        <x:v>6</x:v>
      </x:c>
      <x:c r="M336" s="28" t="n">
        <x:v>3</x:v>
      </x:c>
      <x:c r="N336" s="28" t="n">
        <x:v>2</x:v>
      </x:c>
      <x:c r="O336" s="28" t="n">
        <x:v>0</x:v>
      </x:c>
      <x:c r="P336" s="28" t="n">
        <x:v>3</x:v>
      </x:c>
      <x:c r="Q336" s="24" t="n">
        <x:f>IFERROR(J336/H336,0)</x:f>
        <x:v>0.3888888888888889</x:v>
      </x:c>
      <x:c r="R336" s="24" t="n">
        <x:f>IFERROR(F336/H336,0)</x:f>
        <x:v>0.2222222222222222</x:v>
      </x:c>
      <x:c r="S336" s="24" t="n">
        <x:f>IFERROR(F336/J336,0)</x:f>
        <x:v>0.5714285714285714</x:v>
      </x:c>
      <x:c r="T336" s="28" t="n">
        <x:f>H336-I336</x:f>
        <x:v>13</x:v>
      </x:c>
      <x:c r="U336" s="24" t="n">
        <x:f>IFERROR(J336/H336,0)-IFERROR(K336/I336,0)</x:f>
        <x:v>0.18888888888888888</x:v>
      </x:c>
      <x:c r="V336" s="24" t="n">
        <x:f>IFERROR(F336/J336,0)-IFERROR(G336/K336,0)</x:f>
        <x:v>0.5714285714285714</x:v>
      </x:c>
      <x:c r="W336" s="28" t="n">
        <x:f>L336-M336</x:f>
        <x:v>3</x:v>
      </x:c>
      <x:c r="X336" s="24" t="n">
        <x:f>IFERROR(K336/I336,0)</x:f>
        <x:v>0.2</x:v>
      </x:c>
      <x:c r="Y336" s="24" t="n">
        <x:f>IFERROR(G336/I336,0)</x:f>
        <x:v>0</x:v>
      </x:c>
      <x:c r="Z336" s="24" t="n">
        <x:f>IFERROR(G336/K336,0)</x:f>
        <x:v>0</x:v>
      </x:c>
      <x:c r="AA336" s="24" t="n">
        <x:f>IFERROR(F336/H336,0)-IFERROR(G336/I336,0)</x:f>
        <x:v>0.2222222222222222</x:v>
      </x:c>
      <x:c r="AB336" s="28" t="n">
        <x:f>J336-K336</x:f>
        <x:v>6</x:v>
      </x:c>
      <x:c r="AC336" s="32" t="n">
        <x:f>F336-G336</x:f>
        <x:v>4</x:v>
      </x:c>
    </x:row>
    <x:row r="337">
      <x:c r="A337" s="4" t="str">
        <x:v>2021-22</x:v>
      </x:c>
      <x:c r="B337" s="20" t="n">
        <x:v>44549</x:v>
      </x:c>
      <x:c r="C337" s="4" t="str">
        <x:v>Newcastle</x:v>
      </x:c>
      <x:c r="D337" s="4" t="str">
        <x:v>Man City</x:v>
      </x:c>
      <x:c r="E337" s="4" t="str">
        <x:v>Home</x:v>
      </x:c>
      <x:c r="F337" s="28" t="n">
        <x:v>0</x:v>
      </x:c>
      <x:c r="G337" s="28" t="n">
        <x:v>4</x:v>
      </x:c>
      <x:c r="H337" s="28" t="n">
        <x:v>5</x:v>
      </x:c>
      <x:c r="I337" s="28" t="n">
        <x:v>18</x:v>
      </x:c>
      <x:c r="J337" s="28" t="n">
        <x:v>1</x:v>
      </x:c>
      <x:c r="K337" s="28" t="n">
        <x:v>7</x:v>
      </x:c>
      <x:c r="L337" s="28" t="n">
        <x:v>3</x:v>
      </x:c>
      <x:c r="M337" s="28" t="n">
        <x:v>6</x:v>
      </x:c>
      <x:c r="N337" s="28" t="n">
        <x:v>1</x:v>
      </x:c>
      <x:c r="O337" s="28" t="n">
        <x:v>0</x:v>
      </x:c>
      <x:c r="P337" s="28" t="n">
        <x:v>0</x:v>
      </x:c>
      <x:c r="Q337" s="24" t="n">
        <x:f>IFERROR(J337/H337,0)</x:f>
        <x:v>0.2</x:v>
      </x:c>
      <x:c r="R337" s="24" t="n">
        <x:f>IFERROR(F337/H337,0)</x:f>
        <x:v>0</x:v>
      </x:c>
      <x:c r="S337" s="24" t="n">
        <x:f>IFERROR(F337/J337,0)</x:f>
        <x:v>0</x:v>
      </x:c>
      <x:c r="T337" s="28" t="n">
        <x:f>H337-I337</x:f>
        <x:v>-13</x:v>
      </x:c>
      <x:c r="U337" s="24" t="n">
        <x:f>IFERROR(J337/H337,0)-IFERROR(K337/I337,0)</x:f>
        <x:v>-0.18888888888888888</x:v>
      </x:c>
      <x:c r="V337" s="24" t="n">
        <x:f>IFERROR(F337/J337,0)-IFERROR(G337/K337,0)</x:f>
        <x:v>-0.5714285714285714</x:v>
      </x:c>
      <x:c r="W337" s="28" t="n">
        <x:f>L337-M337</x:f>
        <x:v>-3</x:v>
      </x:c>
      <x:c r="X337" s="24" t="n">
        <x:f>IFERROR(K337/I337,0)</x:f>
        <x:v>0.3888888888888889</x:v>
      </x:c>
      <x:c r="Y337" s="24" t="n">
        <x:f>IFERROR(G337/I337,0)</x:f>
        <x:v>0.2222222222222222</x:v>
      </x:c>
      <x:c r="Z337" s="24" t="n">
        <x:f>IFERROR(G337/K337,0)</x:f>
        <x:v>0.5714285714285714</x:v>
      </x:c>
      <x:c r="AA337" s="24" t="n">
        <x:f>IFERROR(F337/H337,0)-IFERROR(G337/I337,0)</x:f>
        <x:v>-0.2222222222222222</x:v>
      </x:c>
      <x:c r="AB337" s="28" t="n">
        <x:f>J337-K337</x:f>
        <x:v>-6</x:v>
      </x:c>
      <x:c r="AC337" s="32" t="n">
        <x:f>F337-G337</x:f>
        <x:v>-4</x:v>
      </x:c>
    </x:row>
    <x:row r="338">
      <x:c r="A338" s="4" t="str">
        <x:v>2021-22</x:v>
      </x:c>
      <x:c r="B338" s="20" t="n">
        <x:v>44549</x:v>
      </x:c>
      <x:c r="C338" s="4" t="str">
        <x:v>Tottenham</x:v>
      </x:c>
      <x:c r="D338" s="4" t="str">
        <x:v>Liverpool</x:v>
      </x:c>
      <x:c r="E338" s="4" t="str">
        <x:v>Home</x:v>
      </x:c>
      <x:c r="F338" s="28" t="n">
        <x:v>2</x:v>
      </x:c>
      <x:c r="G338" s="28" t="n">
        <x:v>2</x:v>
      </x:c>
      <x:c r="H338" s="28" t="n">
        <x:v>10</x:v>
      </x:c>
      <x:c r="I338" s="28" t="n">
        <x:v>18</x:v>
      </x:c>
      <x:c r="J338" s="28" t="n">
        <x:v>5</x:v>
      </x:c>
      <x:c r="K338" s="28" t="n">
        <x:v>6</x:v>
      </x:c>
      <x:c r="L338" s="28" t="n">
        <x:v>6</x:v>
      </x:c>
      <x:c r="M338" s="28" t="n">
        <x:v>4</x:v>
      </x:c>
      <x:c r="N338" s="28" t="n">
        <x:v>4</x:v>
      </x:c>
      <x:c r="O338" s="28" t="n">
        <x:v>0</x:v>
      </x:c>
      <x:c r="P338" s="28" t="n">
        <x:v>1</x:v>
      </x:c>
      <x:c r="Q338" s="24" t="n">
        <x:f>IFERROR(J338/H338,0)</x:f>
        <x:v>0.5</x:v>
      </x:c>
      <x:c r="R338" s="24" t="n">
        <x:f>IFERROR(F338/H338,0)</x:f>
        <x:v>0.2</x:v>
      </x:c>
      <x:c r="S338" s="24" t="n">
        <x:f>IFERROR(F338/J338,0)</x:f>
        <x:v>0.4</x:v>
      </x:c>
      <x:c r="T338" s="28" t="n">
        <x:f>H338-I338</x:f>
        <x:v>-8</x:v>
      </x:c>
      <x:c r="U338" s="24" t="n">
        <x:f>IFERROR(J338/H338,0)-IFERROR(K338/I338,0)</x:f>
        <x:v>0.16666666666666669</x:v>
      </x:c>
      <x:c r="V338" s="24" t="n">
        <x:f>IFERROR(F338/J338,0)-IFERROR(G338/K338,0)</x:f>
        <x:v>0.06666666666666671</x:v>
      </x:c>
      <x:c r="W338" s="28" t="n">
        <x:f>L338-M338</x:f>
        <x:v>2</x:v>
      </x:c>
      <x:c r="X338" s="24" t="n">
        <x:f>IFERROR(K338/I338,0)</x:f>
        <x:v>0.3333333333333333</x:v>
      </x:c>
      <x:c r="Y338" s="24" t="n">
        <x:f>IFERROR(G338/I338,0)</x:f>
        <x:v>0.1111111111111111</x:v>
      </x:c>
      <x:c r="Z338" s="24" t="n">
        <x:f>IFERROR(G338/K338,0)</x:f>
        <x:v>0.3333333333333333</x:v>
      </x:c>
      <x:c r="AA338" s="24" t="n">
        <x:f>IFERROR(F338/H338,0)-IFERROR(G338/I338,0)</x:f>
        <x:v>0.0888888888888889</x:v>
      </x:c>
      <x:c r="AB338" s="28" t="n">
        <x:f>J338-K338</x:f>
        <x:v>-1</x:v>
      </x:c>
      <x:c r="AC338" s="32" t="n">
        <x:f>F338-G338</x:f>
        <x:v>0</x:v>
      </x:c>
    </x:row>
    <x:row r="339">
      <x:c r="A339" s="4" t="str">
        <x:v>2021-22</x:v>
      </x:c>
      <x:c r="B339" s="20" t="n">
        <x:v>44549</x:v>
      </x:c>
      <x:c r="C339" s="4" t="str">
        <x:v>Wolves</x:v>
      </x:c>
      <x:c r="D339" s="4" t="str">
        <x:v>Chelsea</x:v>
      </x:c>
      <x:c r="E339" s="4" t="str">
        <x:v>Home</x:v>
      </x:c>
      <x:c r="F339" s="28" t="n">
        <x:v>0</x:v>
      </x:c>
      <x:c r="G339" s="28" t="n">
        <x:v>0</x:v>
      </x:c>
      <x:c r="H339" s="28" t="n">
        <x:v>4</x:v>
      </x:c>
      <x:c r="I339" s="28" t="n">
        <x:v>8</x:v>
      </x:c>
      <x:c r="J339" s="28" t="n">
        <x:v>1</x:v>
      </x:c>
      <x:c r="K339" s="28" t="n">
        <x:v>1</x:v>
      </x:c>
      <x:c r="L339" s="28" t="n">
        <x:v>4</x:v>
      </x:c>
      <x:c r="M339" s="28" t="n">
        <x:v>9</x:v>
      </x:c>
      <x:c r="N339" s="28" t="n">
        <x:v>0</x:v>
      </x:c>
      <x:c r="O339" s="28" t="n">
        <x:v>0</x:v>
      </x:c>
      <x:c r="P339" s="28" t="n">
        <x:v>1</x:v>
      </x:c>
      <x:c r="Q339" s="24" t="n">
        <x:f>IFERROR(J339/H339,0)</x:f>
        <x:v>0.25</x:v>
      </x:c>
      <x:c r="R339" s="24" t="n">
        <x:f>IFERROR(F339/H339,0)</x:f>
        <x:v>0</x:v>
      </x:c>
      <x:c r="S339" s="24" t="n">
        <x:f>IFERROR(F339/J339,0)</x:f>
        <x:v>0</x:v>
      </x:c>
      <x:c r="T339" s="28" t="n">
        <x:f>H339-I339</x:f>
        <x:v>-4</x:v>
      </x:c>
      <x:c r="U339" s="24" t="n">
        <x:f>IFERROR(J339/H339,0)-IFERROR(K339/I339,0)</x:f>
        <x:v>0.125</x:v>
      </x:c>
      <x:c r="V339" s="24" t="n">
        <x:f>IFERROR(F339/J339,0)-IFERROR(G339/K339,0)</x:f>
        <x:v>0</x:v>
      </x:c>
      <x:c r="W339" s="28" t="n">
        <x:f>L339-M339</x:f>
        <x:v>-5</x:v>
      </x:c>
      <x:c r="X339" s="24" t="n">
        <x:f>IFERROR(K339/I339,0)</x:f>
        <x:v>0.125</x:v>
      </x:c>
      <x:c r="Y339" s="24" t="n">
        <x:f>IFERROR(G339/I339,0)</x:f>
        <x:v>0</x:v>
      </x:c>
      <x:c r="Z339" s="24" t="n">
        <x:f>IFERROR(G339/K339,0)</x:f>
        <x:v>0</x:v>
      </x:c>
      <x:c r="AA339" s="24" t="n">
        <x:f>IFERROR(F339/H339,0)-IFERROR(G339/I339,0)</x:f>
        <x:v>0</x:v>
      </x:c>
      <x:c r="AB339" s="28" t="n">
        <x:f>J339-K339</x:f>
        <x:v>0</x:v>
      </x:c>
      <x:c r="AC339" s="32" t="n">
        <x:f>F339-G339</x:f>
        <x:v>0</x:v>
      </x:c>
    </x:row>
    <x:row r="340">
      <x:c r="A340" s="4" t="str">
        <x:v>2021-22</x:v>
      </x:c>
      <x:c r="B340" s="20" t="n">
        <x:v>44556</x:v>
      </x:c>
      <x:c r="C340" s="4" t="str">
        <x:v>Arsenal</x:v>
      </x:c>
      <x:c r="D340" s="4" t="str">
        <x:v>Norwich</x:v>
      </x:c>
      <x:c r="E340" s="4" t="str">
        <x:v>Away</x:v>
      </x:c>
      <x:c r="F340" s="28" t="n">
        <x:v>5</x:v>
      </x:c>
      <x:c r="G340" s="28" t="n">
        <x:v>0</x:v>
      </x:c>
      <x:c r="H340" s="28" t="n">
        <x:v>16</x:v>
      </x:c>
      <x:c r="I340" s="28" t="n">
        <x:v>4</x:v>
      </x:c>
      <x:c r="J340" s="28" t="n">
        <x:v>6</x:v>
      </x:c>
      <x:c r="K340" s="28" t="n">
        <x:v>2</x:v>
      </x:c>
      <x:c r="L340" s="28" t="n">
        <x:v>5</x:v>
      </x:c>
      <x:c r="M340" s="28" t="n">
        <x:v>3</x:v>
      </x:c>
      <x:c r="N340" s="28" t="n">
        <x:v>2</x:v>
      </x:c>
      <x:c r="O340" s="28" t="n">
        <x:v>0</x:v>
      </x:c>
      <x:c r="P340" s="28" t="n">
        <x:v>3</x:v>
      </x:c>
      <x:c r="Q340" s="24" t="n">
        <x:f>IFERROR(J340/H340,0)</x:f>
        <x:v>0.375</x:v>
      </x:c>
      <x:c r="R340" s="24" t="n">
        <x:f>IFERROR(F340/H340,0)</x:f>
        <x:v>0.3125</x:v>
      </x:c>
      <x:c r="S340" s="24" t="n">
        <x:f>IFERROR(F340/J340,0)</x:f>
        <x:v>0.8333333333333334</x:v>
      </x:c>
      <x:c r="T340" s="28" t="n">
        <x:f>H340-I340</x:f>
        <x:v>12</x:v>
      </x:c>
      <x:c r="U340" s="24" t="n">
        <x:f>IFERROR(J340/H340,0)-IFERROR(K340/I340,0)</x:f>
        <x:v>-0.125</x:v>
      </x:c>
      <x:c r="V340" s="24" t="n">
        <x:f>IFERROR(F340/J340,0)-IFERROR(G340/K340,0)</x:f>
        <x:v>0.8333333333333334</x:v>
      </x:c>
      <x:c r="W340" s="28" t="n">
        <x:f>L340-M340</x:f>
        <x:v>2</x:v>
      </x:c>
      <x:c r="X340" s="24" t="n">
        <x:f>IFERROR(K340/I340,0)</x:f>
        <x:v>0.5</x:v>
      </x:c>
      <x:c r="Y340" s="24" t="n">
        <x:f>IFERROR(G340/I340,0)</x:f>
        <x:v>0</x:v>
      </x:c>
      <x:c r="Z340" s="24" t="n">
        <x:f>IFERROR(G340/K340,0)</x:f>
        <x:v>0</x:v>
      </x:c>
      <x:c r="AA340" s="24" t="n">
        <x:f>IFERROR(F340/H340,0)-IFERROR(G340/I340,0)</x:f>
        <x:v>0.3125</x:v>
      </x:c>
      <x:c r="AB340" s="28" t="n">
        <x:f>J340-K340</x:f>
        <x:v>4</x:v>
      </x:c>
      <x:c r="AC340" s="32" t="n">
        <x:f>F340-G340</x:f>
        <x:v>5</x:v>
      </x:c>
    </x:row>
    <x:row r="341">
      <x:c r="A341" s="4" t="str">
        <x:v>2021-22</x:v>
      </x:c>
      <x:c r="B341" s="20" t="n">
        <x:v>44556</x:v>
      </x:c>
      <x:c r="C341" s="4" t="str">
        <x:v>Aston Villa</x:v>
      </x:c>
      <x:c r="D341" s="4" t="str">
        <x:v>Chelsea</x:v>
      </x:c>
      <x:c r="E341" s="4" t="str">
        <x:v>Home</x:v>
      </x:c>
      <x:c r="F341" s="28" t="n">
        <x:v>1</x:v>
      </x:c>
      <x:c r="G341" s="28" t="n">
        <x:v>3</x:v>
      </x:c>
      <x:c r="H341" s="28" t="n">
        <x:v>8</x:v>
      </x:c>
      <x:c r="I341" s="28" t="n">
        <x:v>10</x:v>
      </x:c>
      <x:c r="J341" s="28" t="n">
        <x:v>1</x:v>
      </x:c>
      <x:c r="K341" s="28" t="n">
        <x:v>4</x:v>
      </x:c>
      <x:c r="L341" s="28" t="n">
        <x:v>2</x:v>
      </x:c>
      <x:c r="M341" s="28" t="n">
        <x:v>5</x:v>
      </x:c>
      <x:c r="N341" s="28" t="n">
        <x:v>3</x:v>
      </x:c>
      <x:c r="O341" s="28" t="n">
        <x:v>0</x:v>
      </x:c>
      <x:c r="P341" s="28" t="n">
        <x:v>0</x:v>
      </x:c>
      <x:c r="Q341" s="24" t="n">
        <x:f>IFERROR(J341/H341,0)</x:f>
        <x:v>0.125</x:v>
      </x:c>
      <x:c r="R341" s="24" t="n">
        <x:f>IFERROR(F341/H341,0)</x:f>
        <x:v>0.125</x:v>
      </x:c>
      <x:c r="S341" s="24" t="n">
        <x:f>IFERROR(F341/J341,0)</x:f>
        <x:v>1</x:v>
      </x:c>
      <x:c r="T341" s="28" t="n">
        <x:f>H341-I341</x:f>
        <x:v>-2</x:v>
      </x:c>
      <x:c r="U341" s="24" t="n">
        <x:f>IFERROR(J341/H341,0)-IFERROR(K341/I341,0)</x:f>
        <x:v>-0.275</x:v>
      </x:c>
      <x:c r="V341" s="24" t="n">
        <x:f>IFERROR(F341/J341,0)-IFERROR(G341/K341,0)</x:f>
        <x:v>0.25</x:v>
      </x:c>
      <x:c r="W341" s="28" t="n">
        <x:f>L341-M341</x:f>
        <x:v>-3</x:v>
      </x:c>
      <x:c r="X341" s="24" t="n">
        <x:f>IFERROR(K341/I341,0)</x:f>
        <x:v>0.4</x:v>
      </x:c>
      <x:c r="Y341" s="24" t="n">
        <x:f>IFERROR(G341/I341,0)</x:f>
        <x:v>0.3</x:v>
      </x:c>
      <x:c r="Z341" s="24" t="n">
        <x:f>IFERROR(G341/K341,0)</x:f>
        <x:v>0.75</x:v>
      </x:c>
      <x:c r="AA341" s="24" t="n">
        <x:f>IFERROR(F341/H341,0)-IFERROR(G341/I341,0)</x:f>
        <x:v>-0.175</x:v>
      </x:c>
      <x:c r="AB341" s="28" t="n">
        <x:f>J341-K341</x:f>
        <x:v>-3</x:v>
      </x:c>
      <x:c r="AC341" s="32" t="n">
        <x:f>F341-G341</x:f>
        <x:v>-2</x:v>
      </x:c>
    </x:row>
    <x:row r="342">
      <x:c r="A342" s="4" t="str">
        <x:v>2021-22</x:v>
      </x:c>
      <x:c r="B342" s="20" t="n">
        <x:v>44556</x:v>
      </x:c>
      <x:c r="C342" s="4" t="str">
        <x:v>Brentford</x:v>
      </x:c>
      <x:c r="D342" s="4" t="str">
        <x:v>Brighton</x:v>
      </x:c>
      <x:c r="E342" s="4" t="str">
        <x:v>Away</x:v>
      </x:c>
      <x:c r="F342" s="28" t="n">
        <x:v>0</x:v>
      </x:c>
      <x:c r="G342" s="28" t="n">
        <x:v>2</x:v>
      </x:c>
      <x:c r="H342" s="28" t="n">
        <x:v>16</x:v>
      </x:c>
      <x:c r="I342" s="28" t="n">
        <x:v>15</x:v>
      </x:c>
      <x:c r="J342" s="28" t="n">
        <x:v>6</x:v>
      </x:c>
      <x:c r="K342" s="28" t="n">
        <x:v>5</x:v>
      </x:c>
      <x:c r="L342" s="28" t="n">
        <x:v>9</x:v>
      </x:c>
      <x:c r="M342" s="28" t="n">
        <x:v>6</x:v>
      </x:c>
      <x:c r="N342" s="28" t="n">
        <x:v>3</x:v>
      </x:c>
      <x:c r="O342" s="28" t="n">
        <x:v>0</x:v>
      </x:c>
      <x:c r="P342" s="28" t="n">
        <x:v>0</x:v>
      </x:c>
      <x:c r="Q342" s="24" t="n">
        <x:f>IFERROR(J342/H342,0)</x:f>
        <x:v>0.375</x:v>
      </x:c>
      <x:c r="R342" s="24" t="n">
        <x:f>IFERROR(F342/H342,0)</x:f>
        <x:v>0</x:v>
      </x:c>
      <x:c r="S342" s="24" t="n">
        <x:f>IFERROR(F342/J342,0)</x:f>
        <x:v>0</x:v>
      </x:c>
      <x:c r="T342" s="28" t="n">
        <x:f>H342-I342</x:f>
        <x:v>1</x:v>
      </x:c>
      <x:c r="U342" s="24" t="n">
        <x:f>IFERROR(J342/H342,0)-IFERROR(K342/I342,0)</x:f>
        <x:v>0.041666666666666685</x:v>
      </x:c>
      <x:c r="V342" s="24" t="n">
        <x:f>IFERROR(F342/J342,0)-IFERROR(G342/K342,0)</x:f>
        <x:v>-0.4</x:v>
      </x:c>
      <x:c r="W342" s="28" t="n">
        <x:f>L342-M342</x:f>
        <x:v>3</x:v>
      </x:c>
      <x:c r="X342" s="24" t="n">
        <x:f>IFERROR(K342/I342,0)</x:f>
        <x:v>0.3333333333333333</x:v>
      </x:c>
      <x:c r="Y342" s="24" t="n">
        <x:f>IFERROR(G342/I342,0)</x:f>
        <x:v>0.13333333333333333</x:v>
      </x:c>
      <x:c r="Z342" s="24" t="n">
        <x:f>IFERROR(G342/K342,0)</x:f>
        <x:v>0.4</x:v>
      </x:c>
      <x:c r="AA342" s="24" t="n">
        <x:f>IFERROR(F342/H342,0)-IFERROR(G342/I342,0)</x:f>
        <x:v>-0.13333333333333333</x:v>
      </x:c>
      <x:c r="AB342" s="28" t="n">
        <x:f>J342-K342</x:f>
        <x:v>1</x:v>
      </x:c>
      <x:c r="AC342" s="32" t="n">
        <x:f>F342-G342</x:f>
        <x:v>-2</x:v>
      </x:c>
    </x:row>
    <x:row r="343">
      <x:c r="A343" s="4" t="str">
        <x:v>2021-22</x:v>
      </x:c>
      <x:c r="B343" s="20" t="n">
        <x:v>44556</x:v>
      </x:c>
      <x:c r="C343" s="4" t="str">
        <x:v>Brighton</x:v>
      </x:c>
      <x:c r="D343" s="4" t="str">
        <x:v>Brentford</x:v>
      </x:c>
      <x:c r="E343" s="4" t="str">
        <x:v>Home</x:v>
      </x:c>
      <x:c r="F343" s="28" t="n">
        <x:v>2</x:v>
      </x:c>
      <x:c r="G343" s="28" t="n">
        <x:v>0</x:v>
      </x:c>
      <x:c r="H343" s="28" t="n">
        <x:v>15</x:v>
      </x:c>
      <x:c r="I343" s="28" t="n">
        <x:v>16</x:v>
      </x:c>
      <x:c r="J343" s="28" t="n">
        <x:v>5</x:v>
      </x:c>
      <x:c r="K343" s="28" t="n">
        <x:v>6</x:v>
      </x:c>
      <x:c r="L343" s="28" t="n">
        <x:v>6</x:v>
      </x:c>
      <x:c r="M343" s="28" t="n">
        <x:v>9</x:v>
      </x:c>
      <x:c r="N343" s="28" t="n">
        <x:v>1</x:v>
      </x:c>
      <x:c r="O343" s="28" t="n">
        <x:v>0</x:v>
      </x:c>
      <x:c r="P343" s="28" t="n">
        <x:v>3</x:v>
      </x:c>
      <x:c r="Q343" s="24" t="n">
        <x:f>IFERROR(J343/H343,0)</x:f>
        <x:v>0.3333333333333333</x:v>
      </x:c>
      <x:c r="R343" s="24" t="n">
        <x:f>IFERROR(F343/H343,0)</x:f>
        <x:v>0.13333333333333333</x:v>
      </x:c>
      <x:c r="S343" s="24" t="n">
        <x:f>IFERROR(F343/J343,0)</x:f>
        <x:v>0.4</x:v>
      </x:c>
      <x:c r="T343" s="28" t="n">
        <x:f>H343-I343</x:f>
        <x:v>-1</x:v>
      </x:c>
      <x:c r="U343" s="24" t="n">
        <x:f>IFERROR(J343/H343,0)-IFERROR(K343/I343,0)</x:f>
        <x:v>-0.041666666666666685</x:v>
      </x:c>
      <x:c r="V343" s="24" t="n">
        <x:f>IFERROR(F343/J343,0)-IFERROR(G343/K343,0)</x:f>
        <x:v>0.4</x:v>
      </x:c>
      <x:c r="W343" s="28" t="n">
        <x:f>L343-M343</x:f>
        <x:v>-3</x:v>
      </x:c>
      <x:c r="X343" s="24" t="n">
        <x:f>IFERROR(K343/I343,0)</x:f>
        <x:v>0.375</x:v>
      </x:c>
      <x:c r="Y343" s="24" t="n">
        <x:f>IFERROR(G343/I343,0)</x:f>
        <x:v>0</x:v>
      </x:c>
      <x:c r="Z343" s="24" t="n">
        <x:f>IFERROR(G343/K343,0)</x:f>
        <x:v>0</x:v>
      </x:c>
      <x:c r="AA343" s="24" t="n">
        <x:f>IFERROR(F343/H343,0)-IFERROR(G343/I343,0)</x:f>
        <x:v>0.13333333333333333</x:v>
      </x:c>
      <x:c r="AB343" s="28" t="n">
        <x:f>J343-K343</x:f>
        <x:v>-1</x:v>
      </x:c>
      <x:c r="AC343" s="32" t="n">
        <x:f>F343-G343</x:f>
        <x:v>2</x:v>
      </x:c>
    </x:row>
    <x:row r="344">
      <x:c r="A344" s="4" t="str">
        <x:v>2021-22</x:v>
      </x:c>
      <x:c r="B344" s="20" t="n">
        <x:v>44556</x:v>
      </x:c>
      <x:c r="C344" s="4" t="str">
        <x:v>Chelsea</x:v>
      </x:c>
      <x:c r="D344" s="4" t="str">
        <x:v>Aston Villa</x:v>
      </x:c>
      <x:c r="E344" s="4" t="str">
        <x:v>Away</x:v>
      </x:c>
      <x:c r="F344" s="28" t="n">
        <x:v>3</x:v>
      </x:c>
      <x:c r="G344" s="28" t="n">
        <x:v>1</x:v>
      </x:c>
      <x:c r="H344" s="28" t="n">
        <x:v>10</x:v>
      </x:c>
      <x:c r="I344" s="28" t="n">
        <x:v>8</x:v>
      </x:c>
      <x:c r="J344" s="28" t="n">
        <x:v>4</x:v>
      </x:c>
      <x:c r="K344" s="28" t="n">
        <x:v>1</x:v>
      </x:c>
      <x:c r="L344" s="28" t="n">
        <x:v>5</x:v>
      </x:c>
      <x:c r="M344" s="28" t="n">
        <x:v>2</x:v>
      </x:c>
      <x:c r="N344" s="28" t="n">
        <x:v>1</x:v>
      </x:c>
      <x:c r="O344" s="28" t="n">
        <x:v>0</x:v>
      </x:c>
      <x:c r="P344" s="28" t="n">
        <x:v>3</x:v>
      </x:c>
      <x:c r="Q344" s="24" t="n">
        <x:f>IFERROR(J344/H344,0)</x:f>
        <x:v>0.4</x:v>
      </x:c>
      <x:c r="R344" s="24" t="n">
        <x:f>IFERROR(F344/H344,0)</x:f>
        <x:v>0.3</x:v>
      </x:c>
      <x:c r="S344" s="24" t="n">
        <x:f>IFERROR(F344/J344,0)</x:f>
        <x:v>0.75</x:v>
      </x:c>
      <x:c r="T344" s="28" t="n">
        <x:f>H344-I344</x:f>
        <x:v>2</x:v>
      </x:c>
      <x:c r="U344" s="24" t="n">
        <x:f>IFERROR(J344/H344,0)-IFERROR(K344/I344,0)</x:f>
        <x:v>0.275</x:v>
      </x:c>
      <x:c r="V344" s="24" t="n">
        <x:f>IFERROR(F344/J344,0)-IFERROR(G344/K344,0)</x:f>
        <x:v>-0.25</x:v>
      </x:c>
      <x:c r="W344" s="28" t="n">
        <x:f>L344-M344</x:f>
        <x:v>3</x:v>
      </x:c>
      <x:c r="X344" s="24" t="n">
        <x:f>IFERROR(K344/I344,0)</x:f>
        <x:v>0.125</x:v>
      </x:c>
      <x:c r="Y344" s="24" t="n">
        <x:f>IFERROR(G344/I344,0)</x:f>
        <x:v>0.125</x:v>
      </x:c>
      <x:c r="Z344" s="24" t="n">
        <x:f>IFERROR(G344/K344,0)</x:f>
        <x:v>1</x:v>
      </x:c>
      <x:c r="AA344" s="24" t="n">
        <x:f>IFERROR(F344/H344,0)-IFERROR(G344/I344,0)</x:f>
        <x:v>0.175</x:v>
      </x:c>
      <x:c r="AB344" s="28" t="n">
        <x:f>J344-K344</x:f>
        <x:v>3</x:v>
      </x:c>
      <x:c r="AC344" s="32" t="n">
        <x:f>F344-G344</x:f>
        <x:v>2</x:v>
      </x:c>
    </x:row>
    <x:row r="345">
      <x:c r="A345" s="4" t="str">
        <x:v>2021-22</x:v>
      </x:c>
      <x:c r="B345" s="20" t="n">
        <x:v>44556</x:v>
      </x:c>
      <x:c r="C345" s="4" t="str">
        <x:v>Crystal Palace</x:v>
      </x:c>
      <x:c r="D345" s="4" t="str">
        <x:v>Tottenham</x:v>
      </x:c>
      <x:c r="E345" s="4" t="str">
        <x:v>Away</x:v>
      </x:c>
      <x:c r="F345" s="28" t="n">
        <x:v>0</x:v>
      </x:c>
      <x:c r="G345" s="28" t="n">
        <x:v>3</x:v>
      </x:c>
      <x:c r="H345" s="28" t="n">
        <x:v>4</x:v>
      </x:c>
      <x:c r="I345" s="28" t="n">
        <x:v>17</x:v>
      </x:c>
      <x:c r="J345" s="28" t="n">
        <x:v>0</x:v>
      </x:c>
      <x:c r="K345" s="28" t="n">
        <x:v>6</x:v>
      </x:c>
      <x:c r="L345" s="28" t="n">
        <x:v>2</x:v>
      </x:c>
      <x:c r="M345" s="28" t="n">
        <x:v>4</x:v>
      </x:c>
      <x:c r="N345" s="28" t="n">
        <x:v>1</x:v>
      </x:c>
      <x:c r="O345" s="28" t="n">
        <x:v>1</x:v>
      </x:c>
      <x:c r="P345" s="28" t="n">
        <x:v>0</x:v>
      </x:c>
      <x:c r="Q345" s="24" t="n">
        <x:f>IFERROR(J345/H345,0)</x:f>
        <x:v>0</x:v>
      </x:c>
      <x:c r="R345" s="24" t="n">
        <x:f>IFERROR(F345/H345,0)</x:f>
        <x:v>0</x:v>
      </x:c>
      <x:c r="S345" s="24" t="n">
        <x:f>IFERROR(F345/J345,0)</x:f>
        <x:v>0</x:v>
      </x:c>
      <x:c r="T345" s="28" t="n">
        <x:f>H345-I345</x:f>
        <x:v>-13</x:v>
      </x:c>
      <x:c r="U345" s="24" t="n">
        <x:f>IFERROR(J345/H345,0)-IFERROR(K345/I345,0)</x:f>
        <x:v>-0.35294117647058826</x:v>
      </x:c>
      <x:c r="V345" s="24" t="n">
        <x:f>IFERROR(F345/J345,0)-IFERROR(G345/K345,0)</x:f>
        <x:v>-0.5</x:v>
      </x:c>
      <x:c r="W345" s="28" t="n">
        <x:f>L345-M345</x:f>
        <x:v>-2</x:v>
      </x:c>
      <x:c r="X345" s="24" t="n">
        <x:f>IFERROR(K345/I345,0)</x:f>
        <x:v>0.35294117647058826</x:v>
      </x:c>
      <x:c r="Y345" s="24" t="n">
        <x:f>IFERROR(G345/I345,0)</x:f>
        <x:v>0.17647058823529413</x:v>
      </x:c>
      <x:c r="Z345" s="24" t="n">
        <x:f>IFERROR(G345/K345,0)</x:f>
        <x:v>0.5</x:v>
      </x:c>
      <x:c r="AA345" s="24" t="n">
        <x:f>IFERROR(F345/H345,0)-IFERROR(G345/I345,0)</x:f>
        <x:v>-0.17647058823529413</x:v>
      </x:c>
      <x:c r="AB345" s="28" t="n">
        <x:f>J345-K345</x:f>
        <x:v>-6</x:v>
      </x:c>
      <x:c r="AC345" s="32" t="n">
        <x:f>F345-G345</x:f>
        <x:v>-3</x:v>
      </x:c>
    </x:row>
    <x:row r="346">
      <x:c r="A346" s="4" t="str">
        <x:v>2021-22</x:v>
      </x:c>
      <x:c r="B346" s="20" t="n">
        <x:v>44556</x:v>
      </x:c>
      <x:c r="C346" s="4" t="str">
        <x:v>Leicester</x:v>
      </x:c>
      <x:c r="D346" s="4" t="str">
        <x:v>Man City</x:v>
      </x:c>
      <x:c r="E346" s="4" t="str">
        <x:v>Away</x:v>
      </x:c>
      <x:c r="F346" s="28" t="n">
        <x:v>3</x:v>
      </x:c>
      <x:c r="G346" s="28" t="n">
        <x:v>6</x:v>
      </x:c>
      <x:c r="H346" s="28" t="n">
        <x:v>14</x:v>
      </x:c>
      <x:c r="I346" s="28" t="n">
        <x:v>17</x:v>
      </x:c>
      <x:c r="J346" s="28" t="n">
        <x:v>8</x:v>
      </x:c>
      <x:c r="K346" s="28" t="n">
        <x:v>9</x:v>
      </x:c>
      <x:c r="L346" s="28" t="n">
        <x:v>4</x:v>
      </x:c>
      <x:c r="M346" s="28" t="n">
        <x:v>14</x:v>
      </x:c>
      <x:c r="N346" s="28" t="n">
        <x:v>2</x:v>
      </x:c>
      <x:c r="O346" s="28" t="n">
        <x:v>0</x:v>
      </x:c>
      <x:c r="P346" s="28" t="n">
        <x:v>0</x:v>
      </x:c>
      <x:c r="Q346" s="24" t="n">
        <x:f>IFERROR(J346/H346,0)</x:f>
        <x:v>0.5714285714285714</x:v>
      </x:c>
      <x:c r="R346" s="24" t="n">
        <x:f>IFERROR(F346/H346,0)</x:f>
        <x:v>0.21428571428571427</x:v>
      </x:c>
      <x:c r="S346" s="24" t="n">
        <x:f>IFERROR(F346/J346,0)</x:f>
        <x:v>0.375</x:v>
      </x:c>
      <x:c r="T346" s="28" t="n">
        <x:f>H346-I346</x:f>
        <x:v>-3</x:v>
      </x:c>
      <x:c r="U346" s="24" t="n">
        <x:f>IFERROR(J346/H346,0)-IFERROR(K346/I346,0)</x:f>
        <x:v>0.04201680672268904</x:v>
      </x:c>
      <x:c r="V346" s="24" t="n">
        <x:f>IFERROR(F346/J346,0)-IFERROR(G346/K346,0)</x:f>
        <x:v>-0.29166666666666663</x:v>
      </x:c>
      <x:c r="W346" s="28" t="n">
        <x:f>L346-M346</x:f>
        <x:v>-10</x:v>
      </x:c>
      <x:c r="X346" s="24" t="n">
        <x:f>IFERROR(K346/I346,0)</x:f>
        <x:v>0.5294117647058824</x:v>
      </x:c>
      <x:c r="Y346" s="24" t="n">
        <x:f>IFERROR(G346/I346,0)</x:f>
        <x:v>0.35294117647058826</x:v>
      </x:c>
      <x:c r="Z346" s="24" t="n">
        <x:f>IFERROR(G346/K346,0)</x:f>
        <x:v>0.6666666666666666</x:v>
      </x:c>
      <x:c r="AA346" s="24" t="n">
        <x:f>IFERROR(F346/H346,0)-IFERROR(G346/I346,0)</x:f>
        <x:v>-0.13865546218487398</x:v>
      </x:c>
      <x:c r="AB346" s="28" t="n">
        <x:f>J346-K346</x:f>
        <x:v>-1</x:v>
      </x:c>
      <x:c r="AC346" s="32" t="n">
        <x:f>F346-G346</x:f>
        <x:v>-3</x:v>
      </x:c>
    </x:row>
    <x:row r="347">
      <x:c r="A347" s="4" t="str">
        <x:v>2021-22</x:v>
      </x:c>
      <x:c r="B347" s="20" t="n">
        <x:v>44556</x:v>
      </x:c>
      <x:c r="C347" s="4" t="str">
        <x:v>Man City</x:v>
      </x:c>
      <x:c r="D347" s="4" t="str">
        <x:v>Leicester</x:v>
      </x:c>
      <x:c r="E347" s="4" t="str">
        <x:v>Home</x:v>
      </x:c>
      <x:c r="F347" s="28" t="n">
        <x:v>6</x:v>
      </x:c>
      <x:c r="G347" s="28" t="n">
        <x:v>3</x:v>
      </x:c>
      <x:c r="H347" s="28" t="n">
        <x:v>17</x:v>
      </x:c>
      <x:c r="I347" s="28" t="n">
        <x:v>14</x:v>
      </x:c>
      <x:c r="J347" s="28" t="n">
        <x:v>9</x:v>
      </x:c>
      <x:c r="K347" s="28" t="n">
        <x:v>8</x:v>
      </x:c>
      <x:c r="L347" s="28" t="n">
        <x:v>14</x:v>
      </x:c>
      <x:c r="M347" s="28" t="n">
        <x:v>4</x:v>
      </x:c>
      <x:c r="N347" s="28" t="n">
        <x:v>1</x:v>
      </x:c>
      <x:c r="O347" s="28" t="n">
        <x:v>0</x:v>
      </x:c>
      <x:c r="P347" s="28" t="n">
        <x:v>3</x:v>
      </x:c>
      <x:c r="Q347" s="24" t="n">
        <x:f>IFERROR(J347/H347,0)</x:f>
        <x:v>0.5294117647058824</x:v>
      </x:c>
      <x:c r="R347" s="24" t="n">
        <x:f>IFERROR(F347/H347,0)</x:f>
        <x:v>0.35294117647058826</x:v>
      </x:c>
      <x:c r="S347" s="24" t="n">
        <x:f>IFERROR(F347/J347,0)</x:f>
        <x:v>0.6666666666666666</x:v>
      </x:c>
      <x:c r="T347" s="28" t="n">
        <x:f>H347-I347</x:f>
        <x:v>3</x:v>
      </x:c>
      <x:c r="U347" s="24" t="n">
        <x:f>IFERROR(J347/H347,0)-IFERROR(K347/I347,0)</x:f>
        <x:v>-0.04201680672268904</x:v>
      </x:c>
      <x:c r="V347" s="24" t="n">
        <x:f>IFERROR(F347/J347,0)-IFERROR(G347/K347,0)</x:f>
        <x:v>0.29166666666666663</x:v>
      </x:c>
      <x:c r="W347" s="28" t="n">
        <x:f>L347-M347</x:f>
        <x:v>10</x:v>
      </x:c>
      <x:c r="X347" s="24" t="n">
        <x:f>IFERROR(K347/I347,0)</x:f>
        <x:v>0.5714285714285714</x:v>
      </x:c>
      <x:c r="Y347" s="24" t="n">
        <x:f>IFERROR(G347/I347,0)</x:f>
        <x:v>0.21428571428571427</x:v>
      </x:c>
      <x:c r="Z347" s="24" t="n">
        <x:f>IFERROR(G347/K347,0)</x:f>
        <x:v>0.375</x:v>
      </x:c>
      <x:c r="AA347" s="24" t="n">
        <x:f>IFERROR(F347/H347,0)-IFERROR(G347/I347,0)</x:f>
        <x:v>0.13865546218487398</x:v>
      </x:c>
      <x:c r="AB347" s="28" t="n">
        <x:f>J347-K347</x:f>
        <x:v>1</x:v>
      </x:c>
      <x:c r="AC347" s="32" t="n">
        <x:f>F347-G347</x:f>
        <x:v>3</x:v>
      </x:c>
    </x:row>
    <x:row r="348">
      <x:c r="A348" s="4" t="str">
        <x:v>2021-22</x:v>
      </x:c>
      <x:c r="B348" s="20" t="n">
        <x:v>44556</x:v>
      </x:c>
      <x:c r="C348" s="4" t="str">
        <x:v>Norwich</x:v>
      </x:c>
      <x:c r="D348" s="4" t="str">
        <x:v>Arsenal</x:v>
      </x:c>
      <x:c r="E348" s="4" t="str">
        <x:v>Home</x:v>
      </x:c>
      <x:c r="F348" s="28" t="n">
        <x:v>0</x:v>
      </x:c>
      <x:c r="G348" s="28" t="n">
        <x:v>5</x:v>
      </x:c>
      <x:c r="H348" s="28" t="n">
        <x:v>4</x:v>
      </x:c>
      <x:c r="I348" s="28" t="n">
        <x:v>16</x:v>
      </x:c>
      <x:c r="J348" s="28" t="n">
        <x:v>2</x:v>
      </x:c>
      <x:c r="K348" s="28" t="n">
        <x:v>6</x:v>
      </x:c>
      <x:c r="L348" s="28" t="n">
        <x:v>3</x:v>
      </x:c>
      <x:c r="M348" s="28" t="n">
        <x:v>5</x:v>
      </x:c>
      <x:c r="N348" s="28" t="n">
        <x:v>1</x:v>
      </x:c>
      <x:c r="O348" s="28" t="n">
        <x:v>0</x:v>
      </x:c>
      <x:c r="P348" s="28" t="n">
        <x:v>0</x:v>
      </x:c>
      <x:c r="Q348" s="24" t="n">
        <x:f>IFERROR(J348/H348,0)</x:f>
        <x:v>0.5</x:v>
      </x:c>
      <x:c r="R348" s="24" t="n">
        <x:f>IFERROR(F348/H348,0)</x:f>
        <x:v>0</x:v>
      </x:c>
      <x:c r="S348" s="24" t="n">
        <x:f>IFERROR(F348/J348,0)</x:f>
        <x:v>0</x:v>
      </x:c>
      <x:c r="T348" s="28" t="n">
        <x:f>H348-I348</x:f>
        <x:v>-12</x:v>
      </x:c>
      <x:c r="U348" s="24" t="n">
        <x:f>IFERROR(J348/H348,0)-IFERROR(K348/I348,0)</x:f>
        <x:v>0.125</x:v>
      </x:c>
      <x:c r="V348" s="24" t="n">
        <x:f>IFERROR(F348/J348,0)-IFERROR(G348/K348,0)</x:f>
        <x:v>-0.8333333333333334</x:v>
      </x:c>
      <x:c r="W348" s="28" t="n">
        <x:f>L348-M348</x:f>
        <x:v>-2</x:v>
      </x:c>
      <x:c r="X348" s="24" t="n">
        <x:f>IFERROR(K348/I348,0)</x:f>
        <x:v>0.375</x:v>
      </x:c>
      <x:c r="Y348" s="24" t="n">
        <x:f>IFERROR(G348/I348,0)</x:f>
        <x:v>0.3125</x:v>
      </x:c>
      <x:c r="Z348" s="24" t="n">
        <x:f>IFERROR(G348/K348,0)</x:f>
        <x:v>0.8333333333333334</x:v>
      </x:c>
      <x:c r="AA348" s="24" t="n">
        <x:f>IFERROR(F348/H348,0)-IFERROR(G348/I348,0)</x:f>
        <x:v>-0.3125</x:v>
      </x:c>
      <x:c r="AB348" s="28" t="n">
        <x:f>J348-K348</x:f>
        <x:v>-4</x:v>
      </x:c>
      <x:c r="AC348" s="32" t="n">
        <x:f>F348-G348</x:f>
        <x:v>-5</x:v>
      </x:c>
    </x:row>
    <x:row r="349">
      <x:c r="A349" s="4" t="str">
        <x:v>2021-22</x:v>
      </x:c>
      <x:c r="B349" s="20" t="n">
        <x:v>44556</x:v>
      </x:c>
      <x:c r="C349" s="4" t="str">
        <x:v>Southampton</x:v>
      </x:c>
      <x:c r="D349" s="4" t="str">
        <x:v>West Ham</x:v>
      </x:c>
      <x:c r="E349" s="4" t="str">
        <x:v>Away</x:v>
      </x:c>
      <x:c r="F349" s="28" t="n">
        <x:v>3</x:v>
      </x:c>
      <x:c r="G349" s="28" t="n">
        <x:v>2</x:v>
      </x:c>
      <x:c r="H349" s="28" t="n">
        <x:v>11</x:v>
      </x:c>
      <x:c r="I349" s="28" t="n">
        <x:v>11</x:v>
      </x:c>
      <x:c r="J349" s="28" t="n">
        <x:v>6</x:v>
      </x:c>
      <x:c r="K349" s="28" t="n">
        <x:v>5</x:v>
      </x:c>
      <x:c r="L349" s="28" t="n">
        <x:v>2</x:v>
      </x:c>
      <x:c r="M349" s="28" t="n">
        <x:v>10</x:v>
      </x:c>
      <x:c r="N349" s="28" t="n">
        <x:v>3</x:v>
      </x:c>
      <x:c r="O349" s="28" t="n">
        <x:v>0</x:v>
      </x:c>
      <x:c r="P349" s="28" t="n">
        <x:v>3</x:v>
      </x:c>
      <x:c r="Q349" s="24" t="n">
        <x:f>IFERROR(J349/H349,0)</x:f>
        <x:v>0.5454545454545454</x:v>
      </x:c>
      <x:c r="R349" s="24" t="n">
        <x:f>IFERROR(F349/H349,0)</x:f>
        <x:v>0.2727272727272727</x:v>
      </x:c>
      <x:c r="S349" s="24" t="n">
        <x:f>IFERROR(F349/J349,0)</x:f>
        <x:v>0.5</x:v>
      </x:c>
      <x:c r="T349" s="28" t="n">
        <x:f>H349-I349</x:f>
        <x:v>0</x:v>
      </x:c>
      <x:c r="U349" s="24" t="n">
        <x:f>IFERROR(J349/H349,0)-IFERROR(K349/I349,0)</x:f>
        <x:v>0.09090909090909088</x:v>
      </x:c>
      <x:c r="V349" s="24" t="n">
        <x:f>IFERROR(F349/J349,0)-IFERROR(G349/K349,0)</x:f>
        <x:v>0.09999999999999998</x:v>
      </x:c>
      <x:c r="W349" s="28" t="n">
        <x:f>L349-M349</x:f>
        <x:v>-8</x:v>
      </x:c>
      <x:c r="X349" s="24" t="n">
        <x:f>IFERROR(K349/I349,0)</x:f>
        <x:v>0.45454545454545453</x:v>
      </x:c>
      <x:c r="Y349" s="24" t="n">
        <x:f>IFERROR(G349/I349,0)</x:f>
        <x:v>0.18181818181818182</x:v>
      </x:c>
      <x:c r="Z349" s="24" t="n">
        <x:f>IFERROR(G349/K349,0)</x:f>
        <x:v>0.4</x:v>
      </x:c>
      <x:c r="AA349" s="24" t="n">
        <x:f>IFERROR(F349/H349,0)-IFERROR(G349/I349,0)</x:f>
        <x:v>0.09090909090909088</x:v>
      </x:c>
      <x:c r="AB349" s="28" t="n">
        <x:f>J349-K349</x:f>
        <x:v>1</x:v>
      </x:c>
      <x:c r="AC349" s="32" t="n">
        <x:f>F349-G349</x:f>
        <x:v>1</x:v>
      </x:c>
    </x:row>
    <x:row r="350">
      <x:c r="A350" s="4" t="str">
        <x:v>2021-22</x:v>
      </x:c>
      <x:c r="B350" s="20" t="n">
        <x:v>44556</x:v>
      </x:c>
      <x:c r="C350" s="4" t="str">
        <x:v>Tottenham</x:v>
      </x:c>
      <x:c r="D350" s="4" t="str">
        <x:v>Crystal Palace</x:v>
      </x:c>
      <x:c r="E350" s="4" t="str">
        <x:v>Home</x:v>
      </x:c>
      <x:c r="F350" s="28" t="n">
        <x:v>3</x:v>
      </x:c>
      <x:c r="G350" s="28" t="n">
        <x:v>0</x:v>
      </x:c>
      <x:c r="H350" s="28" t="n">
        <x:v>17</x:v>
      </x:c>
      <x:c r="I350" s="28" t="n">
        <x:v>4</x:v>
      </x:c>
      <x:c r="J350" s="28" t="n">
        <x:v>6</x:v>
      </x:c>
      <x:c r="K350" s="28" t="n">
        <x:v>0</x:v>
      </x:c>
      <x:c r="L350" s="28" t="n">
        <x:v>4</x:v>
      </x:c>
      <x:c r="M350" s="28" t="n">
        <x:v>2</x:v>
      </x:c>
      <x:c r="N350" s="28" t="n">
        <x:v>1</x:v>
      </x:c>
      <x:c r="O350" s="28" t="n">
        <x:v>0</x:v>
      </x:c>
      <x:c r="P350" s="28" t="n">
        <x:v>3</x:v>
      </x:c>
      <x:c r="Q350" s="24" t="n">
        <x:f>IFERROR(J350/H350,0)</x:f>
        <x:v>0.35294117647058826</x:v>
      </x:c>
      <x:c r="R350" s="24" t="n">
        <x:f>IFERROR(F350/H350,0)</x:f>
        <x:v>0.17647058823529413</x:v>
      </x:c>
      <x:c r="S350" s="24" t="n">
        <x:f>IFERROR(F350/J350,0)</x:f>
        <x:v>0.5</x:v>
      </x:c>
      <x:c r="T350" s="28" t="n">
        <x:f>H350-I350</x:f>
        <x:v>13</x:v>
      </x:c>
      <x:c r="U350" s="24" t="n">
        <x:f>IFERROR(J350/H350,0)-IFERROR(K350/I350,0)</x:f>
        <x:v>0.35294117647058826</x:v>
      </x:c>
      <x:c r="V350" s="24" t="n">
        <x:f>IFERROR(F350/J350,0)-IFERROR(G350/K350,0)</x:f>
        <x:v>0.5</x:v>
      </x:c>
      <x:c r="W350" s="28" t="n">
        <x:f>L350-M350</x:f>
        <x:v>2</x:v>
      </x:c>
      <x:c r="X350" s="24" t="n">
        <x:f>IFERROR(K350/I350,0)</x:f>
        <x:v>0</x:v>
      </x:c>
      <x:c r="Y350" s="24" t="n">
        <x:f>IFERROR(G350/I350,0)</x:f>
        <x:v>0</x:v>
      </x:c>
      <x:c r="Z350" s="24" t="n">
        <x:f>IFERROR(G350/K350,0)</x:f>
        <x:v>0</x:v>
      </x:c>
      <x:c r="AA350" s="24" t="n">
        <x:f>IFERROR(F350/H350,0)-IFERROR(G350/I350,0)</x:f>
        <x:v>0.17647058823529413</x:v>
      </x:c>
      <x:c r="AB350" s="28" t="n">
        <x:f>J350-K350</x:f>
        <x:v>6</x:v>
      </x:c>
      <x:c r="AC350" s="32" t="n">
        <x:f>F350-G350</x:f>
        <x:v>3</x:v>
      </x:c>
    </x:row>
    <x:row r="351">
      <x:c r="A351" s="4" t="str">
        <x:v>2021-22</x:v>
      </x:c>
      <x:c r="B351" s="20" t="n">
        <x:v>44556</x:v>
      </x:c>
      <x:c r="C351" s="4" t="str">
        <x:v>West Ham</x:v>
      </x:c>
      <x:c r="D351" s="4" t="str">
        <x:v>Southampton</x:v>
      </x:c>
      <x:c r="E351" s="4" t="str">
        <x:v>Home</x:v>
      </x:c>
      <x:c r="F351" s="28" t="n">
        <x:v>2</x:v>
      </x:c>
      <x:c r="G351" s="28" t="n">
        <x:v>3</x:v>
      </x:c>
      <x:c r="H351" s="28" t="n">
        <x:v>11</x:v>
      </x:c>
      <x:c r="I351" s="28" t="n">
        <x:v>11</x:v>
      </x:c>
      <x:c r="J351" s="28" t="n">
        <x:v>5</x:v>
      </x:c>
      <x:c r="K351" s="28" t="n">
        <x:v>6</x:v>
      </x:c>
      <x:c r="L351" s="28" t="n">
        <x:v>10</x:v>
      </x:c>
      <x:c r="M351" s="28" t="n">
        <x:v>2</x:v>
      </x:c>
      <x:c r="N351" s="28" t="n">
        <x:v>2</x:v>
      </x:c>
      <x:c r="O351" s="28" t="n">
        <x:v>0</x:v>
      </x:c>
      <x:c r="P351" s="28" t="n">
        <x:v>0</x:v>
      </x:c>
      <x:c r="Q351" s="24" t="n">
        <x:f>IFERROR(J351/H351,0)</x:f>
        <x:v>0.45454545454545453</x:v>
      </x:c>
      <x:c r="R351" s="24" t="n">
        <x:f>IFERROR(F351/H351,0)</x:f>
        <x:v>0.18181818181818182</x:v>
      </x:c>
      <x:c r="S351" s="24" t="n">
        <x:f>IFERROR(F351/J351,0)</x:f>
        <x:v>0.4</x:v>
      </x:c>
      <x:c r="T351" s="28" t="n">
        <x:f>H351-I351</x:f>
        <x:v>0</x:v>
      </x:c>
      <x:c r="U351" s="24" t="n">
        <x:f>IFERROR(J351/H351,0)-IFERROR(K351/I351,0)</x:f>
        <x:v>-0.09090909090909088</x:v>
      </x:c>
      <x:c r="V351" s="24" t="n">
        <x:f>IFERROR(F351/J351,0)-IFERROR(G351/K351,0)</x:f>
        <x:v>-0.09999999999999998</x:v>
      </x:c>
      <x:c r="W351" s="28" t="n">
        <x:f>L351-M351</x:f>
        <x:v>8</x:v>
      </x:c>
      <x:c r="X351" s="24" t="n">
        <x:f>IFERROR(K351/I351,0)</x:f>
        <x:v>0.5454545454545454</x:v>
      </x:c>
      <x:c r="Y351" s="24" t="n">
        <x:f>IFERROR(G351/I351,0)</x:f>
        <x:v>0.2727272727272727</x:v>
      </x:c>
      <x:c r="Z351" s="24" t="n">
        <x:f>IFERROR(G351/K351,0)</x:f>
        <x:v>0.5</x:v>
      </x:c>
      <x:c r="AA351" s="24" t="n">
        <x:f>IFERROR(F351/H351,0)-IFERROR(G351/I351,0)</x:f>
        <x:v>-0.09090909090909088</x:v>
      </x:c>
      <x:c r="AB351" s="28" t="n">
        <x:f>J351-K351</x:f>
        <x:v>-1</x:v>
      </x:c>
      <x:c r="AC351" s="32" t="n">
        <x:f>F351-G351</x:f>
        <x:v>-1</x:v>
      </x:c>
    </x:row>
    <x:row r="352">
      <x:c r="A352" s="4" t="str">
        <x:v>2021-22</x:v>
      </x:c>
      <x:c r="B352" s="20" t="n">
        <x:v>44557</x:v>
      </x:c>
      <x:c r="C352" s="4" t="str">
        <x:v>Man United</x:v>
      </x:c>
      <x:c r="D352" s="4" t="str">
        <x:v>Newcastle</x:v>
      </x:c>
      <x:c r="E352" s="4" t="str">
        <x:v>Away</x:v>
      </x:c>
      <x:c r="F352" s="28" t="n">
        <x:v>1</x:v>
      </x:c>
      <x:c r="G352" s="28" t="n">
        <x:v>1</x:v>
      </x:c>
      <x:c r="H352" s="28" t="n">
        <x:v>13</x:v>
      </x:c>
      <x:c r="I352" s="28" t="n">
        <x:v>13</x:v>
      </x:c>
      <x:c r="J352" s="28" t="n">
        <x:v>4</x:v>
      </x:c>
      <x:c r="K352" s="28" t="n">
        <x:v>8</x:v>
      </x:c>
      <x:c r="L352" s="28" t="n">
        <x:v>4</x:v>
      </x:c>
      <x:c r="M352" s="28" t="n">
        <x:v>2</x:v>
      </x:c>
      <x:c r="N352" s="28" t="n">
        <x:v>3</x:v>
      </x:c>
      <x:c r="O352" s="28" t="n">
        <x:v>0</x:v>
      </x:c>
      <x:c r="P352" s="28" t="n">
        <x:v>1</x:v>
      </x:c>
      <x:c r="Q352" s="24" t="n">
        <x:f>IFERROR(J352/H352,0)</x:f>
        <x:v>0.3076923076923077</x:v>
      </x:c>
      <x:c r="R352" s="24" t="n">
        <x:f>IFERROR(F352/H352,0)</x:f>
        <x:v>0.07692307692307693</x:v>
      </x:c>
      <x:c r="S352" s="24" t="n">
        <x:f>IFERROR(F352/J352,0)</x:f>
        <x:v>0.25</x:v>
      </x:c>
      <x:c r="T352" s="28" t="n">
        <x:f>H352-I352</x:f>
        <x:v>0</x:v>
      </x:c>
      <x:c r="U352" s="24" t="n">
        <x:f>IFERROR(J352/H352,0)-IFERROR(K352/I352,0)</x:f>
        <x:v>-0.3076923076923077</x:v>
      </x:c>
      <x:c r="V352" s="24" t="n">
        <x:f>IFERROR(F352/J352,0)-IFERROR(G352/K352,0)</x:f>
        <x:v>0.125</x:v>
      </x:c>
      <x:c r="W352" s="28" t="n">
        <x:f>L352-M352</x:f>
        <x:v>2</x:v>
      </x:c>
      <x:c r="X352" s="24" t="n">
        <x:f>IFERROR(K352/I352,0)</x:f>
        <x:v>0.6153846153846154</x:v>
      </x:c>
      <x:c r="Y352" s="24" t="n">
        <x:f>IFERROR(G352/I352,0)</x:f>
        <x:v>0.07692307692307693</x:v>
      </x:c>
      <x:c r="Z352" s="24" t="n">
        <x:f>IFERROR(G352/K352,0)</x:f>
        <x:v>0.125</x:v>
      </x:c>
      <x:c r="AA352" s="24" t="n">
        <x:f>IFERROR(F352/H352,0)-IFERROR(G352/I352,0)</x:f>
        <x:v>0</x:v>
      </x:c>
      <x:c r="AB352" s="28" t="n">
        <x:f>J352-K352</x:f>
        <x:v>-4</x:v>
      </x:c>
      <x:c r="AC352" s="32" t="n">
        <x:f>F352-G352</x:f>
        <x:v>0</x:v>
      </x:c>
    </x:row>
    <x:row r="353">
      <x:c r="A353" s="4" t="str">
        <x:v>2021-22</x:v>
      </x:c>
      <x:c r="B353" s="20" t="n">
        <x:v>44557</x:v>
      </x:c>
      <x:c r="C353" s="4" t="str">
        <x:v>Newcastle</x:v>
      </x:c>
      <x:c r="D353" s="4" t="str">
        <x:v>Man United</x:v>
      </x:c>
      <x:c r="E353" s="4" t="str">
        <x:v>Home</x:v>
      </x:c>
      <x:c r="F353" s="28" t="n">
        <x:v>1</x:v>
      </x:c>
      <x:c r="G353" s="28" t="n">
        <x:v>1</x:v>
      </x:c>
      <x:c r="H353" s="28" t="n">
        <x:v>13</x:v>
      </x:c>
      <x:c r="I353" s="28" t="n">
        <x:v>13</x:v>
      </x:c>
      <x:c r="J353" s="28" t="n">
        <x:v>8</x:v>
      </x:c>
      <x:c r="K353" s="28" t="n">
        <x:v>4</x:v>
      </x:c>
      <x:c r="L353" s="28" t="n">
        <x:v>2</x:v>
      </x:c>
      <x:c r="M353" s="28" t="n">
        <x:v>4</x:v>
      </x:c>
      <x:c r="N353" s="28" t="n">
        <x:v>3</x:v>
      </x:c>
      <x:c r="O353" s="28" t="n">
        <x:v>0</x:v>
      </x:c>
      <x:c r="P353" s="28" t="n">
        <x:v>1</x:v>
      </x:c>
      <x:c r="Q353" s="24" t="n">
        <x:f>IFERROR(J353/H353,0)</x:f>
        <x:v>0.6153846153846154</x:v>
      </x:c>
      <x:c r="R353" s="24" t="n">
        <x:f>IFERROR(F353/H353,0)</x:f>
        <x:v>0.07692307692307693</x:v>
      </x:c>
      <x:c r="S353" s="24" t="n">
        <x:f>IFERROR(F353/J353,0)</x:f>
        <x:v>0.125</x:v>
      </x:c>
      <x:c r="T353" s="28" t="n">
        <x:f>H353-I353</x:f>
        <x:v>0</x:v>
      </x:c>
      <x:c r="U353" s="24" t="n">
        <x:f>IFERROR(J353/H353,0)-IFERROR(K353/I353,0)</x:f>
        <x:v>0.3076923076923077</x:v>
      </x:c>
      <x:c r="V353" s="24" t="n">
        <x:f>IFERROR(F353/J353,0)-IFERROR(G353/K353,0)</x:f>
        <x:v>-0.125</x:v>
      </x:c>
      <x:c r="W353" s="28" t="n">
        <x:f>L353-M353</x:f>
        <x:v>-2</x:v>
      </x:c>
      <x:c r="X353" s="24" t="n">
        <x:f>IFERROR(K353/I353,0)</x:f>
        <x:v>0.3076923076923077</x:v>
      </x:c>
      <x:c r="Y353" s="24" t="n">
        <x:f>IFERROR(G353/I353,0)</x:f>
        <x:v>0.07692307692307693</x:v>
      </x:c>
      <x:c r="Z353" s="24" t="n">
        <x:f>IFERROR(G353/K353,0)</x:f>
        <x:v>0.25</x:v>
      </x:c>
      <x:c r="AA353" s="24" t="n">
        <x:f>IFERROR(F353/H353,0)-IFERROR(G353/I353,0)</x:f>
        <x:v>0</x:v>
      </x:c>
      <x:c r="AB353" s="28" t="n">
        <x:f>J353-K353</x:f>
        <x:v>4</x:v>
      </x:c>
      <x:c r="AC353" s="32" t="n">
        <x:f>F353-G353</x:f>
        <x:v>0</x:v>
      </x:c>
    </x:row>
    <x:row r="354">
      <x:c r="A354" s="4" t="str">
        <x:v>2021-22</x:v>
      </x:c>
      <x:c r="B354" s="20" t="n">
        <x:v>44558</x:v>
      </x:c>
      <x:c r="C354" s="4" t="str">
        <x:v>Crystal Palace</x:v>
      </x:c>
      <x:c r="D354" s="4" t="str">
        <x:v>Norwich</x:v>
      </x:c>
      <x:c r="E354" s="4" t="str">
        <x:v>Home</x:v>
      </x:c>
      <x:c r="F354" s="28" t="n">
        <x:v>3</x:v>
      </x:c>
      <x:c r="G354" s="28" t="n">
        <x:v>0</x:v>
      </x:c>
      <x:c r="H354" s="28" t="n">
        <x:v>19</x:v>
      </x:c>
      <x:c r="I354" s="28" t="n">
        <x:v>12</x:v>
      </x:c>
      <x:c r="J354" s="28" t="n">
        <x:v>6</x:v>
      </x:c>
      <x:c r="K354" s="28" t="n">
        <x:v>3</x:v>
      </x:c>
      <x:c r="L354" s="28" t="n">
        <x:v>8</x:v>
      </x:c>
      <x:c r="M354" s="28" t="n">
        <x:v>8</x:v>
      </x:c>
      <x:c r="N354" s="28" t="n">
        <x:v>1</x:v>
      </x:c>
      <x:c r="O354" s="28" t="n">
        <x:v>0</x:v>
      </x:c>
      <x:c r="P354" s="28" t="n">
        <x:v>3</x:v>
      </x:c>
      <x:c r="Q354" s="24" t="n">
        <x:f>IFERROR(J354/H354,0)</x:f>
        <x:v>0.3157894736842105</x:v>
      </x:c>
      <x:c r="R354" s="24" t="n">
        <x:f>IFERROR(F354/H354,0)</x:f>
        <x:v>0.15789473684210525</x:v>
      </x:c>
      <x:c r="S354" s="24" t="n">
        <x:f>IFERROR(F354/J354,0)</x:f>
        <x:v>0.5</x:v>
      </x:c>
      <x:c r="T354" s="28" t="n">
        <x:f>H354-I354</x:f>
        <x:v>7</x:v>
      </x:c>
      <x:c r="U354" s="24" t="n">
        <x:f>IFERROR(J354/H354,0)-IFERROR(K354/I354,0)</x:f>
        <x:v>0.06578947368421051</x:v>
      </x:c>
      <x:c r="V354" s="24" t="n">
        <x:f>IFERROR(F354/J354,0)-IFERROR(G354/K354,0)</x:f>
        <x:v>0.5</x:v>
      </x:c>
      <x:c r="W354" s="28" t="n">
        <x:f>L354-M354</x:f>
        <x:v>0</x:v>
      </x:c>
      <x:c r="X354" s="24" t="n">
        <x:f>IFERROR(K354/I354,0)</x:f>
        <x:v>0.25</x:v>
      </x:c>
      <x:c r="Y354" s="24" t="n">
        <x:f>IFERROR(G354/I354,0)</x:f>
        <x:v>0</x:v>
      </x:c>
      <x:c r="Z354" s="24" t="n">
        <x:f>IFERROR(G354/K354,0)</x:f>
        <x:v>0</x:v>
      </x:c>
      <x:c r="AA354" s="24" t="n">
        <x:f>IFERROR(F354/H354,0)-IFERROR(G354/I354,0)</x:f>
        <x:v>0.15789473684210525</x:v>
      </x:c>
      <x:c r="AB354" s="28" t="n">
        <x:f>J354-K354</x:f>
        <x:v>3</x:v>
      </x:c>
      <x:c r="AC354" s="32" t="n">
        <x:f>F354-G354</x:f>
        <x:v>3</x:v>
      </x:c>
    </x:row>
    <x:row r="355">
      <x:c r="A355" s="4" t="str">
        <x:v>2021-22</x:v>
      </x:c>
      <x:c r="B355" s="20" t="n">
        <x:v>44558</x:v>
      </x:c>
      <x:c r="C355" s="4" t="str">
        <x:v>Leicester</x:v>
      </x:c>
      <x:c r="D355" s="4" t="str">
        <x:v>Liverpool</x:v>
      </x:c>
      <x:c r="E355" s="4" t="str">
        <x:v>Home</x:v>
      </x:c>
      <x:c r="F355" s="28" t="n">
        <x:v>1</x:v>
      </x:c>
      <x:c r="G355" s="28" t="n">
        <x:v>0</x:v>
      </x:c>
      <x:c r="H355" s="28" t="n">
        <x:v>6</x:v>
      </x:c>
      <x:c r="I355" s="28" t="n">
        <x:v>21</x:v>
      </x:c>
      <x:c r="J355" s="28" t="n">
        <x:v>1</x:v>
      </x:c>
      <x:c r="K355" s="28" t="n">
        <x:v>4</x:v>
      </x:c>
      <x:c r="L355" s="28" t="n">
        <x:v>1</x:v>
      </x:c>
      <x:c r="M355" s="28" t="n">
        <x:v>12</x:v>
      </x:c>
      <x:c r="N355" s="28" t="n">
        <x:v>0</x:v>
      </x:c>
      <x:c r="O355" s="28" t="n">
        <x:v>0</x:v>
      </x:c>
      <x:c r="P355" s="28" t="n">
        <x:v>3</x:v>
      </x:c>
      <x:c r="Q355" s="24" t="n">
        <x:f>IFERROR(J355/H355,0)</x:f>
        <x:v>0.16666666666666666</x:v>
      </x:c>
      <x:c r="R355" s="24" t="n">
        <x:f>IFERROR(F355/H355,0)</x:f>
        <x:v>0.16666666666666666</x:v>
      </x:c>
      <x:c r="S355" s="24" t="n">
        <x:f>IFERROR(F355/J355,0)</x:f>
        <x:v>1</x:v>
      </x:c>
      <x:c r="T355" s="28" t="n">
        <x:f>H355-I355</x:f>
        <x:v>-15</x:v>
      </x:c>
      <x:c r="U355" s="24" t="n">
        <x:f>IFERROR(J355/H355,0)-IFERROR(K355/I355,0)</x:f>
        <x:v>-0.023809523809523808</x:v>
      </x:c>
      <x:c r="V355" s="24" t="n">
        <x:f>IFERROR(F355/J355,0)-IFERROR(G355/K355,0)</x:f>
        <x:v>1</x:v>
      </x:c>
      <x:c r="W355" s="28" t="n">
        <x:f>L355-M355</x:f>
        <x:v>-11</x:v>
      </x:c>
      <x:c r="X355" s="24" t="n">
        <x:f>IFERROR(K355/I355,0)</x:f>
        <x:v>0.19047619047619047</x:v>
      </x:c>
      <x:c r="Y355" s="24" t="n">
        <x:f>IFERROR(G355/I355,0)</x:f>
        <x:v>0</x:v>
      </x:c>
      <x:c r="Z355" s="24" t="n">
        <x:f>IFERROR(G355/K355,0)</x:f>
        <x:v>0</x:v>
      </x:c>
      <x:c r="AA355" s="24" t="n">
        <x:f>IFERROR(F355/H355,0)-IFERROR(G355/I355,0)</x:f>
        <x:v>0.16666666666666666</x:v>
      </x:c>
      <x:c r="AB355" s="28" t="n">
        <x:f>J355-K355</x:f>
        <x:v>-3</x:v>
      </x:c>
      <x:c r="AC355" s="32" t="n">
        <x:f>F355-G355</x:f>
        <x:v>1</x:v>
      </x:c>
    </x:row>
    <x:row r="356">
      <x:c r="A356" s="4" t="str">
        <x:v>2021-22</x:v>
      </x:c>
      <x:c r="B356" s="20" t="n">
        <x:v>44558</x:v>
      </x:c>
      <x:c r="C356" s="4" t="str">
        <x:v>Liverpool</x:v>
      </x:c>
      <x:c r="D356" s="4" t="str">
        <x:v>Leicester</x:v>
      </x:c>
      <x:c r="E356" s="4" t="str">
        <x:v>Away</x:v>
      </x:c>
      <x:c r="F356" s="28" t="n">
        <x:v>0</x:v>
      </x:c>
      <x:c r="G356" s="28" t="n">
        <x:v>1</x:v>
      </x:c>
      <x:c r="H356" s="28" t="n">
        <x:v>21</x:v>
      </x:c>
      <x:c r="I356" s="28" t="n">
        <x:v>6</x:v>
      </x:c>
      <x:c r="J356" s="28" t="n">
        <x:v>4</x:v>
      </x:c>
      <x:c r="K356" s="28" t="n">
        <x:v>1</x:v>
      </x:c>
      <x:c r="L356" s="28" t="n">
        <x:v>12</x:v>
      </x:c>
      <x:c r="M356" s="28" t="n">
        <x:v>1</x:v>
      </x:c>
      <x:c r="N356" s="28" t="n">
        <x:v>1</x:v>
      </x:c>
      <x:c r="O356" s="28" t="n">
        <x:v>0</x:v>
      </x:c>
      <x:c r="P356" s="28" t="n">
        <x:v>0</x:v>
      </x:c>
      <x:c r="Q356" s="24" t="n">
        <x:f>IFERROR(J356/H356,0)</x:f>
        <x:v>0.19047619047619047</x:v>
      </x:c>
      <x:c r="R356" s="24" t="n">
        <x:f>IFERROR(F356/H356,0)</x:f>
        <x:v>0</x:v>
      </x:c>
      <x:c r="S356" s="24" t="n">
        <x:f>IFERROR(F356/J356,0)</x:f>
        <x:v>0</x:v>
      </x:c>
      <x:c r="T356" s="28" t="n">
        <x:f>H356-I356</x:f>
        <x:v>15</x:v>
      </x:c>
      <x:c r="U356" s="24" t="n">
        <x:f>IFERROR(J356/H356,0)-IFERROR(K356/I356,0)</x:f>
        <x:v>0.023809523809523808</x:v>
      </x:c>
      <x:c r="V356" s="24" t="n">
        <x:f>IFERROR(F356/J356,0)-IFERROR(G356/K356,0)</x:f>
        <x:v>-1</x:v>
      </x:c>
      <x:c r="W356" s="28" t="n">
        <x:f>L356-M356</x:f>
        <x:v>11</x:v>
      </x:c>
      <x:c r="X356" s="24" t="n">
        <x:f>IFERROR(K356/I356,0)</x:f>
        <x:v>0.16666666666666666</x:v>
      </x:c>
      <x:c r="Y356" s="24" t="n">
        <x:f>IFERROR(G356/I356,0)</x:f>
        <x:v>0.16666666666666666</x:v>
      </x:c>
      <x:c r="Z356" s="24" t="n">
        <x:f>IFERROR(G356/K356,0)</x:f>
        <x:v>1</x:v>
      </x:c>
      <x:c r="AA356" s="24" t="n">
        <x:f>IFERROR(F356/H356,0)-IFERROR(G356/I356,0)</x:f>
        <x:v>-0.16666666666666666</x:v>
      </x:c>
      <x:c r="AB356" s="28" t="n">
        <x:f>J356-K356</x:f>
        <x:v>3</x:v>
      </x:c>
      <x:c r="AC356" s="32" t="n">
        <x:f>F356-G356</x:f>
        <x:v>-1</x:v>
      </x:c>
    </x:row>
    <x:row r="357">
      <x:c r="A357" s="4" t="str">
        <x:v>2021-22</x:v>
      </x:c>
      <x:c r="B357" s="20" t="n">
        <x:v>44558</x:v>
      </x:c>
      <x:c r="C357" s="4" t="str">
        <x:v>Norwich</x:v>
      </x:c>
      <x:c r="D357" s="4" t="str">
        <x:v>Crystal Palace</x:v>
      </x:c>
      <x:c r="E357" s="4" t="str">
        <x:v>Away</x:v>
      </x:c>
      <x:c r="F357" s="28" t="n">
        <x:v>0</x:v>
      </x:c>
      <x:c r="G357" s="28" t="n">
        <x:v>3</x:v>
      </x:c>
      <x:c r="H357" s="28" t="n">
        <x:v>12</x:v>
      </x:c>
      <x:c r="I357" s="28" t="n">
        <x:v>19</x:v>
      </x:c>
      <x:c r="J357" s="28" t="n">
        <x:v>3</x:v>
      </x:c>
      <x:c r="K357" s="28" t="n">
        <x:v>6</x:v>
      </x:c>
      <x:c r="L357" s="28" t="n">
        <x:v>8</x:v>
      </x:c>
      <x:c r="M357" s="28" t="n">
        <x:v>8</x:v>
      </x:c>
      <x:c r="N357" s="28" t="n">
        <x:v>2</x:v>
      </x:c>
      <x:c r="O357" s="28" t="n">
        <x:v>0</x:v>
      </x:c>
      <x:c r="P357" s="28" t="n">
        <x:v>0</x:v>
      </x:c>
      <x:c r="Q357" s="24" t="n">
        <x:f>IFERROR(J357/H357,0)</x:f>
        <x:v>0.25</x:v>
      </x:c>
      <x:c r="R357" s="24" t="n">
        <x:f>IFERROR(F357/H357,0)</x:f>
        <x:v>0</x:v>
      </x:c>
      <x:c r="S357" s="24" t="n">
        <x:f>IFERROR(F357/J357,0)</x:f>
        <x:v>0</x:v>
      </x:c>
      <x:c r="T357" s="28" t="n">
        <x:f>H357-I357</x:f>
        <x:v>-7</x:v>
      </x:c>
      <x:c r="U357" s="24" t="n">
        <x:f>IFERROR(J357/H357,0)-IFERROR(K357/I357,0)</x:f>
        <x:v>-0.06578947368421051</x:v>
      </x:c>
      <x:c r="V357" s="24" t="n">
        <x:f>IFERROR(F357/J357,0)-IFERROR(G357/K357,0)</x:f>
        <x:v>-0.5</x:v>
      </x:c>
      <x:c r="W357" s="28" t="n">
        <x:f>L357-M357</x:f>
        <x:v>0</x:v>
      </x:c>
      <x:c r="X357" s="24" t="n">
        <x:f>IFERROR(K357/I357,0)</x:f>
        <x:v>0.3157894736842105</x:v>
      </x:c>
      <x:c r="Y357" s="24" t="n">
        <x:f>IFERROR(G357/I357,0)</x:f>
        <x:v>0.15789473684210525</x:v>
      </x:c>
      <x:c r="Z357" s="24" t="n">
        <x:f>IFERROR(G357/K357,0)</x:f>
        <x:v>0.5</x:v>
      </x:c>
      <x:c r="AA357" s="24" t="n">
        <x:f>IFERROR(F357/H357,0)-IFERROR(G357/I357,0)</x:f>
        <x:v>-0.15789473684210525</x:v>
      </x:c>
      <x:c r="AB357" s="28" t="n">
        <x:f>J357-K357</x:f>
        <x:v>-3</x:v>
      </x:c>
      <x:c r="AC357" s="32" t="n">
        <x:f>F357-G357</x:f>
        <x:v>-3</x:v>
      </x:c>
    </x:row>
    <x:row r="358">
      <x:c r="A358" s="4" t="str">
        <x:v>2021-22</x:v>
      </x:c>
      <x:c r="B358" s="20" t="n">
        <x:v>44558</x:v>
      </x:c>
      <x:c r="C358" s="4" t="str">
        <x:v>Southampton</x:v>
      </x:c>
      <x:c r="D358" s="4" t="str">
        <x:v>Tottenham</x:v>
      </x:c>
      <x:c r="E358" s="4" t="str">
        <x:v>Home</x:v>
      </x:c>
      <x:c r="F358" s="28" t="n">
        <x:v>1</x:v>
      </x:c>
      <x:c r="G358" s="28" t="n">
        <x:v>1</x:v>
      </x:c>
      <x:c r="H358" s="28" t="n">
        <x:v>9</x:v>
      </x:c>
      <x:c r="I358" s="28" t="n">
        <x:v>21</x:v>
      </x:c>
      <x:c r="J358" s="28" t="n">
        <x:v>2</x:v>
      </x:c>
      <x:c r="K358" s="28" t="n">
        <x:v>11</x:v>
      </x:c>
      <x:c r="L358" s="28" t="n">
        <x:v>3</x:v>
      </x:c>
      <x:c r="M358" s="28" t="n">
        <x:v>7</x:v>
      </x:c>
      <x:c r="N358" s="28" t="n">
        <x:v>2</x:v>
      </x:c>
      <x:c r="O358" s="28" t="n">
        <x:v>1</x:v>
      </x:c>
      <x:c r="P358" s="28" t="n">
        <x:v>1</x:v>
      </x:c>
      <x:c r="Q358" s="24" t="n">
        <x:f>IFERROR(J358/H358,0)</x:f>
        <x:v>0.2222222222222222</x:v>
      </x:c>
      <x:c r="R358" s="24" t="n">
        <x:f>IFERROR(F358/H358,0)</x:f>
        <x:v>0.1111111111111111</x:v>
      </x:c>
      <x:c r="S358" s="24" t="n">
        <x:f>IFERROR(F358/J358,0)</x:f>
        <x:v>0.5</x:v>
      </x:c>
      <x:c r="T358" s="28" t="n">
        <x:f>H358-I358</x:f>
        <x:v>-12</x:v>
      </x:c>
      <x:c r="U358" s="24" t="n">
        <x:f>IFERROR(J358/H358,0)-IFERROR(K358/I358,0)</x:f>
        <x:v>-0.3015873015873016</x:v>
      </x:c>
      <x:c r="V358" s="24" t="n">
        <x:f>IFERROR(F358/J358,0)-IFERROR(G358/K358,0)</x:f>
        <x:v>0.40909090909090906</x:v>
      </x:c>
      <x:c r="W358" s="28" t="n">
        <x:f>L358-M358</x:f>
        <x:v>-4</x:v>
      </x:c>
      <x:c r="X358" s="24" t="n">
        <x:f>IFERROR(K358/I358,0)</x:f>
        <x:v>0.5238095238095238</x:v>
      </x:c>
      <x:c r="Y358" s="24" t="n">
        <x:f>IFERROR(G358/I358,0)</x:f>
        <x:v>0.047619047619047616</x:v>
      </x:c>
      <x:c r="Z358" s="24" t="n">
        <x:f>IFERROR(G358/K358,0)</x:f>
        <x:v>0.09090909090909091</x:v>
      </x:c>
      <x:c r="AA358" s="24" t="n">
        <x:f>IFERROR(F358/H358,0)-IFERROR(G358/I358,0)</x:f>
        <x:v>0.06349206349206349</x:v>
      </x:c>
      <x:c r="AB358" s="28" t="n">
        <x:f>J358-K358</x:f>
        <x:v>-9</x:v>
      </x:c>
      <x:c r="AC358" s="32" t="n">
        <x:f>F358-G358</x:f>
        <x:v>0</x:v>
      </x:c>
    </x:row>
    <x:row r="359">
      <x:c r="A359" s="4" t="str">
        <x:v>2021-22</x:v>
      </x:c>
      <x:c r="B359" s="20" t="n">
        <x:v>44558</x:v>
      </x:c>
      <x:c r="C359" s="4" t="str">
        <x:v>Tottenham</x:v>
      </x:c>
      <x:c r="D359" s="4" t="str">
        <x:v>Southampton</x:v>
      </x:c>
      <x:c r="E359" s="4" t="str">
        <x:v>Away</x:v>
      </x:c>
      <x:c r="F359" s="28" t="n">
        <x:v>1</x:v>
      </x:c>
      <x:c r="G359" s="28" t="n">
        <x:v>1</x:v>
      </x:c>
      <x:c r="H359" s="28" t="n">
        <x:v>21</x:v>
      </x:c>
      <x:c r="I359" s="28" t="n">
        <x:v>9</x:v>
      </x:c>
      <x:c r="J359" s="28" t="n">
        <x:v>11</x:v>
      </x:c>
      <x:c r="K359" s="28" t="n">
        <x:v>2</x:v>
      </x:c>
      <x:c r="L359" s="28" t="n">
        <x:v>7</x:v>
      </x:c>
      <x:c r="M359" s="28" t="n">
        <x:v>3</x:v>
      </x:c>
      <x:c r="N359" s="28" t="n">
        <x:v>2</x:v>
      </x:c>
      <x:c r="O359" s="28" t="n">
        <x:v>0</x:v>
      </x:c>
      <x:c r="P359" s="28" t="n">
        <x:v>1</x:v>
      </x:c>
      <x:c r="Q359" s="24" t="n">
        <x:f>IFERROR(J359/H359,0)</x:f>
        <x:v>0.5238095238095238</x:v>
      </x:c>
      <x:c r="R359" s="24" t="n">
        <x:f>IFERROR(F359/H359,0)</x:f>
        <x:v>0.047619047619047616</x:v>
      </x:c>
      <x:c r="S359" s="24" t="n">
        <x:f>IFERROR(F359/J359,0)</x:f>
        <x:v>0.09090909090909091</x:v>
      </x:c>
      <x:c r="T359" s="28" t="n">
        <x:f>H359-I359</x:f>
        <x:v>12</x:v>
      </x:c>
      <x:c r="U359" s="24" t="n">
        <x:f>IFERROR(J359/H359,0)-IFERROR(K359/I359,0)</x:f>
        <x:v>0.3015873015873016</x:v>
      </x:c>
      <x:c r="V359" s="24" t="n">
        <x:f>IFERROR(F359/J359,0)-IFERROR(G359/K359,0)</x:f>
        <x:v>-0.40909090909090906</x:v>
      </x:c>
      <x:c r="W359" s="28" t="n">
        <x:f>L359-M359</x:f>
        <x:v>4</x:v>
      </x:c>
      <x:c r="X359" s="24" t="n">
        <x:f>IFERROR(K359/I359,0)</x:f>
        <x:v>0.2222222222222222</x:v>
      </x:c>
      <x:c r="Y359" s="24" t="n">
        <x:f>IFERROR(G359/I359,0)</x:f>
        <x:v>0.1111111111111111</x:v>
      </x:c>
      <x:c r="Z359" s="24" t="n">
        <x:f>IFERROR(G359/K359,0)</x:f>
        <x:v>0.5</x:v>
      </x:c>
      <x:c r="AA359" s="24" t="n">
        <x:f>IFERROR(F359/H359,0)-IFERROR(G359/I359,0)</x:f>
        <x:v>-0.06349206349206349</x:v>
      </x:c>
      <x:c r="AB359" s="28" t="n">
        <x:f>J359-K359</x:f>
        <x:v>9</x:v>
      </x:c>
      <x:c r="AC359" s="32" t="n">
        <x:f>F359-G359</x:f>
        <x:v>0</x:v>
      </x:c>
    </x:row>
    <x:row r="360">
      <x:c r="A360" s="4" t="str">
        <x:v>2021-22</x:v>
      </x:c>
      <x:c r="B360" s="20" t="n">
        <x:v>44558</x:v>
      </x:c>
      <x:c r="C360" s="4" t="str">
        <x:v>Watford</x:v>
      </x:c>
      <x:c r="D360" s="4" t="str">
        <x:v>West Ham</x:v>
      </x:c>
      <x:c r="E360" s="4" t="str">
        <x:v>Home</x:v>
      </x:c>
      <x:c r="F360" s="28" t="n">
        <x:v>1</x:v>
      </x:c>
      <x:c r="G360" s="28" t="n">
        <x:v>4</x:v>
      </x:c>
      <x:c r="H360" s="28" t="n">
        <x:v>14</x:v>
      </x:c>
      <x:c r="I360" s="28" t="n">
        <x:v>13</x:v>
      </x:c>
      <x:c r="J360" s="28" t="n">
        <x:v>5</x:v>
      </x:c>
      <x:c r="K360" s="28" t="n">
        <x:v>6</x:v>
      </x:c>
      <x:c r="L360" s="28" t="n">
        <x:v>4</x:v>
      </x:c>
      <x:c r="M360" s="28" t="n">
        <x:v>5</x:v>
      </x:c>
      <x:c r="N360" s="28" t="n">
        <x:v>0</x:v>
      </x:c>
      <x:c r="O360" s="28" t="n">
        <x:v>0</x:v>
      </x:c>
      <x:c r="P360" s="28" t="n">
        <x:v>0</x:v>
      </x:c>
      <x:c r="Q360" s="24" t="n">
        <x:f>IFERROR(J360/H360,0)</x:f>
        <x:v>0.35714285714285715</x:v>
      </x:c>
      <x:c r="R360" s="24" t="n">
        <x:f>IFERROR(F360/H360,0)</x:f>
        <x:v>0.07142857142857142</x:v>
      </x:c>
      <x:c r="S360" s="24" t="n">
        <x:f>IFERROR(F360/J360,0)</x:f>
        <x:v>0.2</x:v>
      </x:c>
      <x:c r="T360" s="28" t="n">
        <x:f>H360-I360</x:f>
        <x:v>1</x:v>
      </x:c>
      <x:c r="U360" s="24" t="n">
        <x:f>IFERROR(J360/H360,0)-IFERROR(K360/I360,0)</x:f>
        <x:v>-0.10439560439560441</x:v>
      </x:c>
      <x:c r="V360" s="24" t="n">
        <x:f>IFERROR(F360/J360,0)-IFERROR(G360/K360,0)</x:f>
        <x:v>-0.4666666666666666</x:v>
      </x:c>
      <x:c r="W360" s="28" t="n">
        <x:f>L360-M360</x:f>
        <x:v>-1</x:v>
      </x:c>
      <x:c r="X360" s="24" t="n">
        <x:f>IFERROR(K360/I360,0)</x:f>
        <x:v>0.46153846153846156</x:v>
      </x:c>
      <x:c r="Y360" s="24" t="n">
        <x:f>IFERROR(G360/I360,0)</x:f>
        <x:v>0.3076923076923077</x:v>
      </x:c>
      <x:c r="Z360" s="24" t="n">
        <x:f>IFERROR(G360/K360,0)</x:f>
        <x:v>0.6666666666666666</x:v>
      </x:c>
      <x:c r="AA360" s="24" t="n">
        <x:f>IFERROR(F360/H360,0)-IFERROR(G360/I360,0)</x:f>
        <x:v>-0.23626373626373628</x:v>
      </x:c>
      <x:c r="AB360" s="28" t="n">
        <x:f>J360-K360</x:f>
        <x:v>-1</x:v>
      </x:c>
      <x:c r="AC360" s="32" t="n">
        <x:f>F360-G360</x:f>
        <x:v>-3</x:v>
      </x:c>
    </x:row>
    <x:row r="361">
      <x:c r="A361" s="4" t="str">
        <x:v>2021-22</x:v>
      </x:c>
      <x:c r="B361" s="20" t="n">
        <x:v>44558</x:v>
      </x:c>
      <x:c r="C361" s="4" t="str">
        <x:v>West Ham</x:v>
      </x:c>
      <x:c r="D361" s="4" t="str">
        <x:v>Watford</x:v>
      </x:c>
      <x:c r="E361" s="4" t="str">
        <x:v>Away</x:v>
      </x:c>
      <x:c r="F361" s="28" t="n">
        <x:v>4</x:v>
      </x:c>
      <x:c r="G361" s="28" t="n">
        <x:v>1</x:v>
      </x:c>
      <x:c r="H361" s="28" t="n">
        <x:v>13</x:v>
      </x:c>
      <x:c r="I361" s="28" t="n">
        <x:v>14</x:v>
      </x:c>
      <x:c r="J361" s="28" t="n">
        <x:v>6</x:v>
      </x:c>
      <x:c r="K361" s="28" t="n">
        <x:v>5</x:v>
      </x:c>
      <x:c r="L361" s="28" t="n">
        <x:v>5</x:v>
      </x:c>
      <x:c r="M361" s="28" t="n">
        <x:v>4</x:v>
      </x:c>
      <x:c r="N361" s="28" t="n">
        <x:v>1</x:v>
      </x:c>
      <x:c r="O361" s="28" t="n">
        <x:v>0</x:v>
      </x:c>
      <x:c r="P361" s="28" t="n">
        <x:v>3</x:v>
      </x:c>
      <x:c r="Q361" s="24" t="n">
        <x:f>IFERROR(J361/H361,0)</x:f>
        <x:v>0.46153846153846156</x:v>
      </x:c>
      <x:c r="R361" s="24" t="n">
        <x:f>IFERROR(F361/H361,0)</x:f>
        <x:v>0.3076923076923077</x:v>
      </x:c>
      <x:c r="S361" s="24" t="n">
        <x:f>IFERROR(F361/J361,0)</x:f>
        <x:v>0.6666666666666666</x:v>
      </x:c>
      <x:c r="T361" s="28" t="n">
        <x:f>H361-I361</x:f>
        <x:v>-1</x:v>
      </x:c>
      <x:c r="U361" s="24" t="n">
        <x:f>IFERROR(J361/H361,0)-IFERROR(K361/I361,0)</x:f>
        <x:v>0.10439560439560441</x:v>
      </x:c>
      <x:c r="V361" s="24" t="n">
        <x:f>IFERROR(F361/J361,0)-IFERROR(G361/K361,0)</x:f>
        <x:v>0.4666666666666666</x:v>
      </x:c>
      <x:c r="W361" s="28" t="n">
        <x:f>L361-M361</x:f>
        <x:v>1</x:v>
      </x:c>
      <x:c r="X361" s="24" t="n">
        <x:f>IFERROR(K361/I361,0)</x:f>
        <x:v>0.35714285714285715</x:v>
      </x:c>
      <x:c r="Y361" s="24" t="n">
        <x:f>IFERROR(G361/I361,0)</x:f>
        <x:v>0.07142857142857142</x:v>
      </x:c>
      <x:c r="Z361" s="24" t="n">
        <x:f>IFERROR(G361/K361,0)</x:f>
        <x:v>0.2</x:v>
      </x:c>
      <x:c r="AA361" s="24" t="n">
        <x:f>IFERROR(F361/H361,0)-IFERROR(G361/I361,0)</x:f>
        <x:v>0.23626373626373628</x:v>
      </x:c>
      <x:c r="AB361" s="28" t="n">
        <x:f>J361-K361</x:f>
        <x:v>1</x:v>
      </x:c>
      <x:c r="AC361" s="32" t="n">
        <x:f>F361-G361</x:f>
        <x:v>3</x:v>
      </x:c>
    </x:row>
    <x:row r="362">
      <x:c r="A362" s="4" t="str">
        <x:v>2021-22</x:v>
      </x:c>
      <x:c r="B362" s="20" t="n">
        <x:v>44559</x:v>
      </x:c>
      <x:c r="C362" s="4" t="str">
        <x:v>Brentford</x:v>
      </x:c>
      <x:c r="D362" s="4" t="str">
        <x:v>Man City</x:v>
      </x:c>
      <x:c r="E362" s="4" t="str">
        <x:v>Home</x:v>
      </x:c>
      <x:c r="F362" s="28" t="n">
        <x:v>0</x:v>
      </x:c>
      <x:c r="G362" s="28" t="n">
        <x:v>1</x:v>
      </x:c>
      <x:c r="H362" s="28" t="n">
        <x:v>6</x:v>
      </x:c>
      <x:c r="I362" s="28" t="n">
        <x:v>12</x:v>
      </x:c>
      <x:c r="J362" s="28" t="n">
        <x:v>2</x:v>
      </x:c>
      <x:c r="K362" s="28" t="n">
        <x:v>3</x:v>
      </x:c>
      <x:c r="L362" s="28" t="n">
        <x:v>3</x:v>
      </x:c>
      <x:c r="M362" s="28" t="n">
        <x:v>5</x:v>
      </x:c>
      <x:c r="N362" s="28" t="n">
        <x:v>0</x:v>
      </x:c>
      <x:c r="O362" s="28" t="n">
        <x:v>0</x:v>
      </x:c>
      <x:c r="P362" s="28" t="n">
        <x:v>0</x:v>
      </x:c>
      <x:c r="Q362" s="24" t="n">
        <x:f>IFERROR(J362/H362,0)</x:f>
        <x:v>0.3333333333333333</x:v>
      </x:c>
      <x:c r="R362" s="24" t="n">
        <x:f>IFERROR(F362/H362,0)</x:f>
        <x:v>0</x:v>
      </x:c>
      <x:c r="S362" s="24" t="n">
        <x:f>IFERROR(F362/J362,0)</x:f>
        <x:v>0</x:v>
      </x:c>
      <x:c r="T362" s="28" t="n">
        <x:f>H362-I362</x:f>
        <x:v>-6</x:v>
      </x:c>
      <x:c r="U362" s="24" t="n">
        <x:f>IFERROR(J362/H362,0)-IFERROR(K362/I362,0)</x:f>
        <x:v>0.08333333333333331</x:v>
      </x:c>
      <x:c r="V362" s="24" t="n">
        <x:f>IFERROR(F362/J362,0)-IFERROR(G362/K362,0)</x:f>
        <x:v>-0.3333333333333333</x:v>
      </x:c>
      <x:c r="W362" s="28" t="n">
        <x:f>L362-M362</x:f>
        <x:v>-2</x:v>
      </x:c>
      <x:c r="X362" s="24" t="n">
        <x:f>IFERROR(K362/I362,0)</x:f>
        <x:v>0.25</x:v>
      </x:c>
      <x:c r="Y362" s="24" t="n">
        <x:f>IFERROR(G362/I362,0)</x:f>
        <x:v>0.08333333333333333</x:v>
      </x:c>
      <x:c r="Z362" s="24" t="n">
        <x:f>IFERROR(G362/K362,0)</x:f>
        <x:v>0.3333333333333333</x:v>
      </x:c>
      <x:c r="AA362" s="24" t="n">
        <x:f>IFERROR(F362/H362,0)-IFERROR(G362/I362,0)</x:f>
        <x:v>-0.08333333333333333</x:v>
      </x:c>
      <x:c r="AB362" s="28" t="n">
        <x:f>J362-K362</x:f>
        <x:v>-1</x:v>
      </x:c>
      <x:c r="AC362" s="32" t="n">
        <x:f>F362-G362</x:f>
        <x:v>-1</x:v>
      </x:c>
    </x:row>
    <x:row r="363">
      <x:c r="A363" s="4" t="str">
        <x:v>2021-22</x:v>
      </x:c>
      <x:c r="B363" s="20" t="n">
        <x:v>44559</x:v>
      </x:c>
      <x:c r="C363" s="4" t="str">
        <x:v>Brighton</x:v>
      </x:c>
      <x:c r="D363" s="4" t="str">
        <x:v>Chelsea</x:v>
      </x:c>
      <x:c r="E363" s="4" t="str">
        <x:v>Away</x:v>
      </x:c>
      <x:c r="F363" s="28" t="n">
        <x:v>1</x:v>
      </x:c>
      <x:c r="G363" s="28" t="n">
        <x:v>1</x:v>
      </x:c>
      <x:c r="H363" s="28" t="n">
        <x:v>18</x:v>
      </x:c>
      <x:c r="I363" s="28" t="n">
        <x:v>11</x:v>
      </x:c>
      <x:c r="J363" s="28" t="n">
        <x:v>6</x:v>
      </x:c>
      <x:c r="K363" s="28" t="n">
        <x:v>5</x:v>
      </x:c>
      <x:c r="L363" s="28" t="n">
        <x:v>8</x:v>
      </x:c>
      <x:c r="M363" s="28" t="n">
        <x:v>10</x:v>
      </x:c>
      <x:c r="N363" s="28" t="n">
        <x:v>1</x:v>
      </x:c>
      <x:c r="O363" s="28" t="n">
        <x:v>0</x:v>
      </x:c>
      <x:c r="P363" s="28" t="n">
        <x:v>1</x:v>
      </x:c>
      <x:c r="Q363" s="24" t="n">
        <x:f>IFERROR(J363/H363,0)</x:f>
        <x:v>0.3333333333333333</x:v>
      </x:c>
      <x:c r="R363" s="24" t="n">
        <x:f>IFERROR(F363/H363,0)</x:f>
        <x:v>0.05555555555555555</x:v>
      </x:c>
      <x:c r="S363" s="24" t="n">
        <x:f>IFERROR(F363/J363,0)</x:f>
        <x:v>0.16666666666666666</x:v>
      </x:c>
      <x:c r="T363" s="28" t="n">
        <x:f>H363-I363</x:f>
        <x:v>7</x:v>
      </x:c>
      <x:c r="U363" s="24" t="n">
        <x:f>IFERROR(J363/H363,0)-IFERROR(K363/I363,0)</x:f>
        <x:v>-0.12121212121212122</x:v>
      </x:c>
      <x:c r="V363" s="24" t="n">
        <x:f>IFERROR(F363/J363,0)-IFERROR(G363/K363,0)</x:f>
        <x:v>-0.033333333333333354</x:v>
      </x:c>
      <x:c r="W363" s="28" t="n">
        <x:f>L363-M363</x:f>
        <x:v>-2</x:v>
      </x:c>
      <x:c r="X363" s="24" t="n">
        <x:f>IFERROR(K363/I363,0)</x:f>
        <x:v>0.45454545454545453</x:v>
      </x:c>
      <x:c r="Y363" s="24" t="n">
        <x:f>IFERROR(G363/I363,0)</x:f>
        <x:v>0.09090909090909091</x:v>
      </x:c>
      <x:c r="Z363" s="24" t="n">
        <x:f>IFERROR(G363/K363,0)</x:f>
        <x:v>0.2</x:v>
      </x:c>
      <x:c r="AA363" s="24" t="n">
        <x:f>IFERROR(F363/H363,0)-IFERROR(G363/I363,0)</x:f>
        <x:v>-0.03535353535353536</x:v>
      </x:c>
      <x:c r="AB363" s="28" t="n">
        <x:f>J363-K363</x:f>
        <x:v>1</x:v>
      </x:c>
      <x:c r="AC363" s="32" t="n">
        <x:f>F363-G363</x:f>
        <x:v>0</x:v>
      </x:c>
    </x:row>
    <x:row r="364">
      <x:c r="A364" s="4" t="str">
        <x:v>2021-22</x:v>
      </x:c>
      <x:c r="B364" s="20" t="n">
        <x:v>44559</x:v>
      </x:c>
      <x:c r="C364" s="4" t="str">
        <x:v>Chelsea</x:v>
      </x:c>
      <x:c r="D364" s="4" t="str">
        <x:v>Brighton</x:v>
      </x:c>
      <x:c r="E364" s="4" t="str">
        <x:v>Home</x:v>
      </x:c>
      <x:c r="F364" s="28" t="n">
        <x:v>1</x:v>
      </x:c>
      <x:c r="G364" s="28" t="n">
        <x:v>1</x:v>
      </x:c>
      <x:c r="H364" s="28" t="n">
        <x:v>11</x:v>
      </x:c>
      <x:c r="I364" s="28" t="n">
        <x:v>18</x:v>
      </x:c>
      <x:c r="J364" s="28" t="n">
        <x:v>5</x:v>
      </x:c>
      <x:c r="K364" s="28" t="n">
        <x:v>6</x:v>
      </x:c>
      <x:c r="L364" s="28" t="n">
        <x:v>10</x:v>
      </x:c>
      <x:c r="M364" s="28" t="n">
        <x:v>8</x:v>
      </x:c>
      <x:c r="N364" s="28" t="n">
        <x:v>4</x:v>
      </x:c>
      <x:c r="O364" s="28" t="n">
        <x:v>0</x:v>
      </x:c>
      <x:c r="P364" s="28" t="n">
        <x:v>1</x:v>
      </x:c>
      <x:c r="Q364" s="24" t="n">
        <x:f>IFERROR(J364/H364,0)</x:f>
        <x:v>0.45454545454545453</x:v>
      </x:c>
      <x:c r="R364" s="24" t="n">
        <x:f>IFERROR(F364/H364,0)</x:f>
        <x:v>0.09090909090909091</x:v>
      </x:c>
      <x:c r="S364" s="24" t="n">
        <x:f>IFERROR(F364/J364,0)</x:f>
        <x:v>0.2</x:v>
      </x:c>
      <x:c r="T364" s="28" t="n">
        <x:f>H364-I364</x:f>
        <x:v>-7</x:v>
      </x:c>
      <x:c r="U364" s="24" t="n">
        <x:f>IFERROR(J364/H364,0)-IFERROR(K364/I364,0)</x:f>
        <x:v>0.12121212121212122</x:v>
      </x:c>
      <x:c r="V364" s="24" t="n">
        <x:f>IFERROR(F364/J364,0)-IFERROR(G364/K364,0)</x:f>
        <x:v>0.033333333333333354</x:v>
      </x:c>
      <x:c r="W364" s="28" t="n">
        <x:f>L364-M364</x:f>
        <x:v>2</x:v>
      </x:c>
      <x:c r="X364" s="24" t="n">
        <x:f>IFERROR(K364/I364,0)</x:f>
        <x:v>0.3333333333333333</x:v>
      </x:c>
      <x:c r="Y364" s="24" t="n">
        <x:f>IFERROR(G364/I364,0)</x:f>
        <x:v>0.05555555555555555</x:v>
      </x:c>
      <x:c r="Z364" s="24" t="n">
        <x:f>IFERROR(G364/K364,0)</x:f>
        <x:v>0.16666666666666666</x:v>
      </x:c>
      <x:c r="AA364" s="24" t="n">
        <x:f>IFERROR(F364/H364,0)-IFERROR(G364/I364,0)</x:f>
        <x:v>0.03535353535353536</x:v>
      </x:c>
      <x:c r="AB364" s="28" t="n">
        <x:f>J364-K364</x:f>
        <x:v>-1</x:v>
      </x:c>
      <x:c r="AC364" s="32" t="n">
        <x:f>F364-G364</x:f>
        <x:v>0</x:v>
      </x:c>
    </x:row>
    <x:row r="365">
      <x:c r="A365" s="4" t="str">
        <x:v>2021-22</x:v>
      </x:c>
      <x:c r="B365" s="20" t="n">
        <x:v>44559</x:v>
      </x:c>
      <x:c r="C365" s="4" t="str">
        <x:v>Man City</x:v>
      </x:c>
      <x:c r="D365" s="4" t="str">
        <x:v>Brentford</x:v>
      </x:c>
      <x:c r="E365" s="4" t="str">
        <x:v>Away</x:v>
      </x:c>
      <x:c r="F365" s="28" t="n">
        <x:v>1</x:v>
      </x:c>
      <x:c r="G365" s="28" t="n">
        <x:v>0</x:v>
      </x:c>
      <x:c r="H365" s="28" t="n">
        <x:v>12</x:v>
      </x:c>
      <x:c r="I365" s="28" t="n">
        <x:v>6</x:v>
      </x:c>
      <x:c r="J365" s="28" t="n">
        <x:v>3</x:v>
      </x:c>
      <x:c r="K365" s="28" t="n">
        <x:v>2</x:v>
      </x:c>
      <x:c r="L365" s="28" t="n">
        <x:v>5</x:v>
      </x:c>
      <x:c r="M365" s="28" t="n">
        <x:v>3</x:v>
      </x:c>
      <x:c r="N365" s="28" t="n">
        <x:v>0</x:v>
      </x:c>
      <x:c r="O365" s="28" t="n">
        <x:v>0</x:v>
      </x:c>
      <x:c r="P365" s="28" t="n">
        <x:v>3</x:v>
      </x:c>
      <x:c r="Q365" s="24" t="n">
        <x:f>IFERROR(J365/H365,0)</x:f>
        <x:v>0.25</x:v>
      </x:c>
      <x:c r="R365" s="24" t="n">
        <x:f>IFERROR(F365/H365,0)</x:f>
        <x:v>0.08333333333333333</x:v>
      </x:c>
      <x:c r="S365" s="24" t="n">
        <x:f>IFERROR(F365/J365,0)</x:f>
        <x:v>0.3333333333333333</x:v>
      </x:c>
      <x:c r="T365" s="28" t="n">
        <x:f>H365-I365</x:f>
        <x:v>6</x:v>
      </x:c>
      <x:c r="U365" s="24" t="n">
        <x:f>IFERROR(J365/H365,0)-IFERROR(K365/I365,0)</x:f>
        <x:v>-0.08333333333333331</x:v>
      </x:c>
      <x:c r="V365" s="24" t="n">
        <x:f>IFERROR(F365/J365,0)-IFERROR(G365/K365,0)</x:f>
        <x:v>0.3333333333333333</x:v>
      </x:c>
      <x:c r="W365" s="28" t="n">
        <x:f>L365-M365</x:f>
        <x:v>2</x:v>
      </x:c>
      <x:c r="X365" s="24" t="n">
        <x:f>IFERROR(K365/I365,0)</x:f>
        <x:v>0.3333333333333333</x:v>
      </x:c>
      <x:c r="Y365" s="24" t="n">
        <x:f>IFERROR(G365/I365,0)</x:f>
        <x:v>0</x:v>
      </x:c>
      <x:c r="Z365" s="24" t="n">
        <x:f>IFERROR(G365/K365,0)</x:f>
        <x:v>0</x:v>
      </x:c>
      <x:c r="AA365" s="24" t="n">
        <x:f>IFERROR(F365/H365,0)-IFERROR(G365/I365,0)</x:f>
        <x:v>0.08333333333333333</x:v>
      </x:c>
      <x:c r="AB365" s="28" t="n">
        <x:f>J365-K365</x:f>
        <x:v>1</x:v>
      </x:c>
      <x:c r="AC365" s="32" t="n">
        <x:f>F365-G365</x:f>
        <x:v>1</x:v>
      </x:c>
    </x:row>
    <x:row r="366">
      <x:c r="A366" s="4" t="str">
        <x:v>2021-22</x:v>
      </x:c>
      <x:c r="B366" s="20" t="n">
        <x:v>44560</x:v>
      </x:c>
      <x:c r="C366" s="4" t="str">
        <x:v>Burnley</x:v>
      </x:c>
      <x:c r="D366" s="4" t="str">
        <x:v>Man United</x:v>
      </x:c>
      <x:c r="E366" s="4" t="str">
        <x:v>Away</x:v>
      </x:c>
      <x:c r="F366" s="28" t="n">
        <x:v>1</x:v>
      </x:c>
      <x:c r="G366" s="28" t="n">
        <x:v>3</x:v>
      </x:c>
      <x:c r="H366" s="28" t="n">
        <x:v>10</x:v>
      </x:c>
      <x:c r="I366" s="28" t="n">
        <x:v>18</x:v>
      </x:c>
      <x:c r="J366" s="28" t="n">
        <x:v>3</x:v>
      </x:c>
      <x:c r="K366" s="28" t="n">
        <x:v>6</x:v>
      </x:c>
      <x:c r="L366" s="28" t="n">
        <x:v>5</x:v>
      </x:c>
      <x:c r="M366" s="28" t="n">
        <x:v>7</x:v>
      </x:c>
      <x:c r="N366" s="28" t="n">
        <x:v>0</x:v>
      </x:c>
      <x:c r="O366" s="28" t="n">
        <x:v>0</x:v>
      </x:c>
      <x:c r="P366" s="28" t="n">
        <x:v>0</x:v>
      </x:c>
      <x:c r="Q366" s="24" t="n">
        <x:f>IFERROR(J366/H366,0)</x:f>
        <x:v>0.3</x:v>
      </x:c>
      <x:c r="R366" s="24" t="n">
        <x:f>IFERROR(F366/H366,0)</x:f>
        <x:v>0.1</x:v>
      </x:c>
      <x:c r="S366" s="24" t="n">
        <x:f>IFERROR(F366/J366,0)</x:f>
        <x:v>0.3333333333333333</x:v>
      </x:c>
      <x:c r="T366" s="28" t="n">
        <x:f>H366-I366</x:f>
        <x:v>-8</x:v>
      </x:c>
      <x:c r="U366" s="24" t="n">
        <x:f>IFERROR(J366/H366,0)-IFERROR(K366/I366,0)</x:f>
        <x:v>-0.033333333333333326</x:v>
      </x:c>
      <x:c r="V366" s="24" t="n">
        <x:f>IFERROR(F366/J366,0)-IFERROR(G366/K366,0)</x:f>
        <x:v>-0.16666666666666669</x:v>
      </x:c>
      <x:c r="W366" s="28" t="n">
        <x:f>L366-M366</x:f>
        <x:v>-2</x:v>
      </x:c>
      <x:c r="X366" s="24" t="n">
        <x:f>IFERROR(K366/I366,0)</x:f>
        <x:v>0.3333333333333333</x:v>
      </x:c>
      <x:c r="Y366" s="24" t="n">
        <x:f>IFERROR(G366/I366,0)</x:f>
        <x:v>0.16666666666666666</x:v>
      </x:c>
      <x:c r="Z366" s="24" t="n">
        <x:f>IFERROR(G366/K366,0)</x:f>
        <x:v>0.5</x:v>
      </x:c>
      <x:c r="AA366" s="24" t="n">
        <x:f>IFERROR(F366/H366,0)-IFERROR(G366/I366,0)</x:f>
        <x:v>-0.06666666666666665</x:v>
      </x:c>
      <x:c r="AB366" s="28" t="n">
        <x:f>J366-K366</x:f>
        <x:v>-3</x:v>
      </x:c>
      <x:c r="AC366" s="32" t="n">
        <x:f>F366-G366</x:f>
        <x:v>-2</x:v>
      </x:c>
    </x:row>
    <x:row r="367">
      <x:c r="A367" s="4" t="str">
        <x:v>2021-22</x:v>
      </x:c>
      <x:c r="B367" s="20" t="n">
        <x:v>44560</x:v>
      </x:c>
      <x:c r="C367" s="4" t="str">
        <x:v>Man United</x:v>
      </x:c>
      <x:c r="D367" s="4" t="str">
        <x:v>Burnley</x:v>
      </x:c>
      <x:c r="E367" s="4" t="str">
        <x:v>Home</x:v>
      </x:c>
      <x:c r="F367" s="28" t="n">
        <x:v>3</x:v>
      </x:c>
      <x:c r="G367" s="28" t="n">
        <x:v>1</x:v>
      </x:c>
      <x:c r="H367" s="28" t="n">
        <x:v>18</x:v>
      </x:c>
      <x:c r="I367" s="28" t="n">
        <x:v>10</x:v>
      </x:c>
      <x:c r="J367" s="28" t="n">
        <x:v>6</x:v>
      </x:c>
      <x:c r="K367" s="28" t="n">
        <x:v>3</x:v>
      </x:c>
      <x:c r="L367" s="28" t="n">
        <x:v>7</x:v>
      </x:c>
      <x:c r="M367" s="28" t="n">
        <x:v>5</x:v>
      </x:c>
      <x:c r="N367" s="28" t="n">
        <x:v>0</x:v>
      </x:c>
      <x:c r="O367" s="28" t="n">
        <x:v>0</x:v>
      </x:c>
      <x:c r="P367" s="28" t="n">
        <x:v>3</x:v>
      </x:c>
      <x:c r="Q367" s="24" t="n">
        <x:f>IFERROR(J367/H367,0)</x:f>
        <x:v>0.3333333333333333</x:v>
      </x:c>
      <x:c r="R367" s="24" t="n">
        <x:f>IFERROR(F367/H367,0)</x:f>
        <x:v>0.16666666666666666</x:v>
      </x:c>
      <x:c r="S367" s="24" t="n">
        <x:f>IFERROR(F367/J367,0)</x:f>
        <x:v>0.5</x:v>
      </x:c>
      <x:c r="T367" s="28" t="n">
        <x:f>H367-I367</x:f>
        <x:v>8</x:v>
      </x:c>
      <x:c r="U367" s="24" t="n">
        <x:f>IFERROR(J367/H367,0)-IFERROR(K367/I367,0)</x:f>
        <x:v>0.033333333333333326</x:v>
      </x:c>
      <x:c r="V367" s="24" t="n">
        <x:f>IFERROR(F367/J367,0)-IFERROR(G367/K367,0)</x:f>
        <x:v>0.16666666666666669</x:v>
      </x:c>
      <x:c r="W367" s="28" t="n">
        <x:f>L367-M367</x:f>
        <x:v>2</x:v>
      </x:c>
      <x:c r="X367" s="24" t="n">
        <x:f>IFERROR(K367/I367,0)</x:f>
        <x:v>0.3</x:v>
      </x:c>
      <x:c r="Y367" s="24" t="n">
        <x:f>IFERROR(G367/I367,0)</x:f>
        <x:v>0.1</x:v>
      </x:c>
      <x:c r="Z367" s="24" t="n">
        <x:f>IFERROR(G367/K367,0)</x:f>
        <x:v>0.3333333333333333</x:v>
      </x:c>
      <x:c r="AA367" s="24" t="n">
        <x:f>IFERROR(F367/H367,0)-IFERROR(G367/I367,0)</x:f>
        <x:v>0.06666666666666665</x:v>
      </x:c>
      <x:c r="AB367" s="28" t="n">
        <x:f>J367-K367</x:f>
        <x:v>3</x:v>
      </x:c>
      <x:c r="AC367" s="32" t="n">
        <x:f>F367-G367</x:f>
        <x:v>2</x:v>
      </x:c>
    </x:row>
    <x:row r="368">
      <x:c r="A368" s="4" t="str">
        <x:v>2021-22</x:v>
      </x:c>
      <x:c r="B368" s="20" t="n">
        <x:v>44562</x:v>
      </x:c>
      <x:c r="C368" s="4" t="str">
        <x:v>Arsenal</x:v>
      </x:c>
      <x:c r="D368" s="4" t="str">
        <x:v>Man City</x:v>
      </x:c>
      <x:c r="E368" s="4" t="str">
        <x:v>Home</x:v>
      </x:c>
      <x:c r="F368" s="28" t="n">
        <x:v>1</x:v>
      </x:c>
      <x:c r="G368" s="28" t="n">
        <x:v>2</x:v>
      </x:c>
      <x:c r="H368" s="28" t="n">
        <x:v>7</x:v>
      </x:c>
      <x:c r="I368" s="28" t="n">
        <x:v>15</x:v>
      </x:c>
      <x:c r="J368" s="28" t="n">
        <x:v>2</x:v>
      </x:c>
      <x:c r="K368" s="28" t="n">
        <x:v>2</x:v>
      </x:c>
      <x:c r="L368" s="28" t="n">
        <x:v>5</x:v>
      </x:c>
      <x:c r="M368" s="28" t="n">
        <x:v>5</x:v>
      </x:c>
      <x:c r="N368" s="28" t="n">
        <x:v>3</x:v>
      </x:c>
      <x:c r="O368" s="28" t="n">
        <x:v>1</x:v>
      </x:c>
      <x:c r="P368" s="28" t="n">
        <x:v>0</x:v>
      </x:c>
      <x:c r="Q368" s="24" t="n">
        <x:f>IFERROR(J368/H368,0)</x:f>
        <x:v>0.2857142857142857</x:v>
      </x:c>
      <x:c r="R368" s="24" t="n">
        <x:f>IFERROR(F368/H368,0)</x:f>
        <x:v>0.14285714285714285</x:v>
      </x:c>
      <x:c r="S368" s="24" t="n">
        <x:f>IFERROR(F368/J368,0)</x:f>
        <x:v>0.5</x:v>
      </x:c>
      <x:c r="T368" s="28" t="n">
        <x:f>H368-I368</x:f>
        <x:v>-8</x:v>
      </x:c>
      <x:c r="U368" s="24" t="n">
        <x:f>IFERROR(J368/H368,0)-IFERROR(K368/I368,0)</x:f>
        <x:v>0.15238095238095237</x:v>
      </x:c>
      <x:c r="V368" s="24" t="n">
        <x:f>IFERROR(F368/J368,0)-IFERROR(G368/K368,0)</x:f>
        <x:v>-0.5</x:v>
      </x:c>
      <x:c r="W368" s="28" t="n">
        <x:f>L368-M368</x:f>
        <x:v>0</x:v>
      </x:c>
      <x:c r="X368" s="24" t="n">
        <x:f>IFERROR(K368/I368,0)</x:f>
        <x:v>0.13333333333333333</x:v>
      </x:c>
      <x:c r="Y368" s="24" t="n">
        <x:f>IFERROR(G368/I368,0)</x:f>
        <x:v>0.13333333333333333</x:v>
      </x:c>
      <x:c r="Z368" s="24" t="n">
        <x:f>IFERROR(G368/K368,0)</x:f>
        <x:v>1</x:v>
      </x:c>
      <x:c r="AA368" s="24" t="n">
        <x:f>IFERROR(F368/H368,0)-IFERROR(G368/I368,0)</x:f>
        <x:v>0.009523809523809518</x:v>
      </x:c>
      <x:c r="AB368" s="28" t="n">
        <x:f>J368-K368</x:f>
        <x:v>0</x:v>
      </x:c>
      <x:c r="AC368" s="32" t="n">
        <x:f>F368-G368</x:f>
        <x:v>-1</x:v>
      </x:c>
    </x:row>
    <x:row r="369">
      <x:c r="A369" s="4" t="str">
        <x:v>2021-22</x:v>
      </x:c>
      <x:c r="B369" s="20" t="n">
        <x:v>44562</x:v>
      </x:c>
      <x:c r="C369" s="4" t="str">
        <x:v>Crystal Palace</x:v>
      </x:c>
      <x:c r="D369" s="4" t="str">
        <x:v>West Ham</x:v>
      </x:c>
      <x:c r="E369" s="4" t="str">
        <x:v>Home</x:v>
      </x:c>
      <x:c r="F369" s="28" t="n">
        <x:v>2</x:v>
      </x:c>
      <x:c r="G369" s="28" t="n">
        <x:v>3</x:v>
      </x:c>
      <x:c r="H369" s="28" t="n">
        <x:v>22</x:v>
      </x:c>
      <x:c r="I369" s="28" t="n">
        <x:v>10</x:v>
      </x:c>
      <x:c r="J369" s="28" t="n">
        <x:v>6</x:v>
      </x:c>
      <x:c r="K369" s="28" t="n">
        <x:v>5</x:v>
      </x:c>
      <x:c r="L369" s="28" t="n">
        <x:v>9</x:v>
      </x:c>
      <x:c r="M369" s="28" t="n">
        <x:v>1</x:v>
      </x:c>
      <x:c r="N369" s="28" t="n">
        <x:v>0</x:v>
      </x:c>
      <x:c r="O369" s="28" t="n">
        <x:v>0</x:v>
      </x:c>
      <x:c r="P369" s="28" t="n">
        <x:v>0</x:v>
      </x:c>
      <x:c r="Q369" s="24" t="n">
        <x:f>IFERROR(J369/H369,0)</x:f>
        <x:v>0.2727272727272727</x:v>
      </x:c>
      <x:c r="R369" s="24" t="n">
        <x:f>IFERROR(F369/H369,0)</x:f>
        <x:v>0.09090909090909091</x:v>
      </x:c>
      <x:c r="S369" s="24" t="n">
        <x:f>IFERROR(F369/J369,0)</x:f>
        <x:v>0.3333333333333333</x:v>
      </x:c>
      <x:c r="T369" s="28" t="n">
        <x:f>H369-I369</x:f>
        <x:v>12</x:v>
      </x:c>
      <x:c r="U369" s="24" t="n">
        <x:f>IFERROR(J369/H369,0)-IFERROR(K369/I369,0)</x:f>
        <x:v>-0.2272727272727273</x:v>
      </x:c>
      <x:c r="V369" s="24" t="n">
        <x:f>IFERROR(F369/J369,0)-IFERROR(G369/K369,0)</x:f>
        <x:v>-0.26666666666666666</x:v>
      </x:c>
      <x:c r="W369" s="28" t="n">
        <x:f>L369-M369</x:f>
        <x:v>8</x:v>
      </x:c>
      <x:c r="X369" s="24" t="n">
        <x:f>IFERROR(K369/I369,0)</x:f>
        <x:v>0.5</x:v>
      </x:c>
      <x:c r="Y369" s="24" t="n">
        <x:f>IFERROR(G369/I369,0)</x:f>
        <x:v>0.3</x:v>
      </x:c>
      <x:c r="Z369" s="24" t="n">
        <x:f>IFERROR(G369/K369,0)</x:f>
        <x:v>0.6</x:v>
      </x:c>
      <x:c r="AA369" s="24" t="n">
        <x:f>IFERROR(F369/H369,0)-IFERROR(G369/I369,0)</x:f>
        <x:v>-0.20909090909090908</x:v>
      </x:c>
      <x:c r="AB369" s="28" t="n">
        <x:f>J369-K369</x:f>
        <x:v>1</x:v>
      </x:c>
      <x:c r="AC369" s="32" t="n">
        <x:f>F369-G369</x:f>
        <x:v>-1</x:v>
      </x:c>
    </x:row>
    <x:row r="370">
      <x:c r="A370" s="4" t="str">
        <x:v>2021-22</x:v>
      </x:c>
      <x:c r="B370" s="20" t="n">
        <x:v>44562</x:v>
      </x:c>
      <x:c r="C370" s="4" t="str">
        <x:v>Man City</x:v>
      </x:c>
      <x:c r="D370" s="4" t="str">
        <x:v>Arsenal</x:v>
      </x:c>
      <x:c r="E370" s="4" t="str">
        <x:v>Away</x:v>
      </x:c>
      <x:c r="F370" s="28" t="n">
        <x:v>2</x:v>
      </x:c>
      <x:c r="G370" s="28" t="n">
        <x:v>1</x:v>
      </x:c>
      <x:c r="H370" s="28" t="n">
        <x:v>15</x:v>
      </x:c>
      <x:c r="I370" s="28" t="n">
        <x:v>7</x:v>
      </x:c>
      <x:c r="J370" s="28" t="n">
        <x:v>2</x:v>
      </x:c>
      <x:c r="K370" s="28" t="n">
        <x:v>2</x:v>
      </x:c>
      <x:c r="L370" s="28" t="n">
        <x:v>5</x:v>
      </x:c>
      <x:c r="M370" s="28" t="n">
        <x:v>5</x:v>
      </x:c>
      <x:c r="N370" s="28" t="n">
        <x:v>2</x:v>
      </x:c>
      <x:c r="O370" s="28" t="n">
        <x:v>0</x:v>
      </x:c>
      <x:c r="P370" s="28" t="n">
        <x:v>3</x:v>
      </x:c>
      <x:c r="Q370" s="24" t="n">
        <x:f>IFERROR(J370/H370,0)</x:f>
        <x:v>0.13333333333333333</x:v>
      </x:c>
      <x:c r="R370" s="24" t="n">
        <x:f>IFERROR(F370/H370,0)</x:f>
        <x:v>0.13333333333333333</x:v>
      </x:c>
      <x:c r="S370" s="24" t="n">
        <x:f>IFERROR(F370/J370,0)</x:f>
        <x:v>1</x:v>
      </x:c>
      <x:c r="T370" s="28" t="n">
        <x:f>H370-I370</x:f>
        <x:v>8</x:v>
      </x:c>
      <x:c r="U370" s="24" t="n">
        <x:f>IFERROR(J370/H370,0)-IFERROR(K370/I370,0)</x:f>
        <x:v>-0.15238095238095237</x:v>
      </x:c>
      <x:c r="V370" s="24" t="n">
        <x:f>IFERROR(F370/J370,0)-IFERROR(G370/K370,0)</x:f>
        <x:v>0.5</x:v>
      </x:c>
      <x:c r="W370" s="28" t="n">
        <x:f>L370-M370</x:f>
        <x:v>0</x:v>
      </x:c>
      <x:c r="X370" s="24" t="n">
        <x:f>IFERROR(K370/I370,0)</x:f>
        <x:v>0.2857142857142857</x:v>
      </x:c>
      <x:c r="Y370" s="24" t="n">
        <x:f>IFERROR(G370/I370,0)</x:f>
        <x:v>0.14285714285714285</x:v>
      </x:c>
      <x:c r="Z370" s="24" t="n">
        <x:f>IFERROR(G370/K370,0)</x:f>
        <x:v>0.5</x:v>
      </x:c>
      <x:c r="AA370" s="24" t="n">
        <x:f>IFERROR(F370/H370,0)-IFERROR(G370/I370,0)</x:f>
        <x:v>-0.009523809523809518</x:v>
      </x:c>
      <x:c r="AB370" s="28" t="n">
        <x:f>J370-K370</x:f>
        <x:v>0</x:v>
      </x:c>
      <x:c r="AC370" s="32" t="n">
        <x:f>F370-G370</x:f>
        <x:v>1</x:v>
      </x:c>
    </x:row>
    <x:row r="371">
      <x:c r="A371" s="4" t="str">
        <x:v>2021-22</x:v>
      </x:c>
      <x:c r="B371" s="20" t="n">
        <x:v>44562</x:v>
      </x:c>
      <x:c r="C371" s="4" t="str">
        <x:v>Tottenham</x:v>
      </x:c>
      <x:c r="D371" s="4" t="str">
        <x:v>Watford</x:v>
      </x:c>
      <x:c r="E371" s="4" t="str">
        <x:v>Away</x:v>
      </x:c>
      <x:c r="F371" s="28" t="n">
        <x:v>1</x:v>
      </x:c>
      <x:c r="G371" s="28" t="n">
        <x:v>0</x:v>
      </x:c>
      <x:c r="H371" s="28" t="n">
        <x:v>21</x:v>
      </x:c>
      <x:c r="I371" s="28" t="n">
        <x:v>6</x:v>
      </x:c>
      <x:c r="J371" s="28" t="n">
        <x:v>9</x:v>
      </x:c>
      <x:c r="K371" s="28" t="n">
        <x:v>4</x:v>
      </x:c>
      <x:c r="L371" s="28" t="n">
        <x:v>7</x:v>
      </x:c>
      <x:c r="M371" s="28" t="n">
        <x:v>3</x:v>
      </x:c>
      <x:c r="N371" s="28" t="n">
        <x:v>1</x:v>
      </x:c>
      <x:c r="O371" s="28" t="n">
        <x:v>0</x:v>
      </x:c>
      <x:c r="P371" s="28" t="n">
        <x:v>3</x:v>
      </x:c>
      <x:c r="Q371" s="24" t="n">
        <x:f>IFERROR(J371/H371,0)</x:f>
        <x:v>0.42857142857142855</x:v>
      </x:c>
      <x:c r="R371" s="24" t="n">
        <x:f>IFERROR(F371/H371,0)</x:f>
        <x:v>0.047619047619047616</x:v>
      </x:c>
      <x:c r="S371" s="24" t="n">
        <x:f>IFERROR(F371/J371,0)</x:f>
        <x:v>0.1111111111111111</x:v>
      </x:c>
      <x:c r="T371" s="28" t="n">
        <x:f>H371-I371</x:f>
        <x:v>15</x:v>
      </x:c>
      <x:c r="U371" s="24" t="n">
        <x:f>IFERROR(J371/H371,0)-IFERROR(K371/I371,0)</x:f>
        <x:v>-0.23809523809523808</x:v>
      </x:c>
      <x:c r="V371" s="24" t="n">
        <x:f>IFERROR(F371/J371,0)-IFERROR(G371/K371,0)</x:f>
        <x:v>0.1111111111111111</x:v>
      </x:c>
      <x:c r="W371" s="28" t="n">
        <x:f>L371-M371</x:f>
        <x:v>4</x:v>
      </x:c>
      <x:c r="X371" s="24" t="n">
        <x:f>IFERROR(K371/I371,0)</x:f>
        <x:v>0.6666666666666666</x:v>
      </x:c>
      <x:c r="Y371" s="24" t="n">
        <x:f>IFERROR(G371/I371,0)</x:f>
        <x:v>0</x:v>
      </x:c>
      <x:c r="Z371" s="24" t="n">
        <x:f>IFERROR(G371/K371,0)</x:f>
        <x:v>0</x:v>
      </x:c>
      <x:c r="AA371" s="24" t="n">
        <x:f>IFERROR(F371/H371,0)-IFERROR(G371/I371,0)</x:f>
        <x:v>0.047619047619047616</x:v>
      </x:c>
      <x:c r="AB371" s="28" t="n">
        <x:f>J371-K371</x:f>
        <x:v>5</x:v>
      </x:c>
      <x:c r="AC371" s="32" t="n">
        <x:f>F371-G371</x:f>
        <x:v>1</x:v>
      </x:c>
    </x:row>
    <x:row r="372">
      <x:c r="A372" s="4" t="str">
        <x:v>2021-22</x:v>
      </x:c>
      <x:c r="B372" s="20" t="n">
        <x:v>44562</x:v>
      </x:c>
      <x:c r="C372" s="4" t="str">
        <x:v>Watford</x:v>
      </x:c>
      <x:c r="D372" s="4" t="str">
        <x:v>Tottenham</x:v>
      </x:c>
      <x:c r="E372" s="4" t="str">
        <x:v>Home</x:v>
      </x:c>
      <x:c r="F372" s="28" t="n">
        <x:v>0</x:v>
      </x:c>
      <x:c r="G372" s="28" t="n">
        <x:v>1</x:v>
      </x:c>
      <x:c r="H372" s="28" t="n">
        <x:v>6</x:v>
      </x:c>
      <x:c r="I372" s="28" t="n">
        <x:v>21</x:v>
      </x:c>
      <x:c r="J372" s="28" t="n">
        <x:v>4</x:v>
      </x:c>
      <x:c r="K372" s="28" t="n">
        <x:v>9</x:v>
      </x:c>
      <x:c r="L372" s="28" t="n">
        <x:v>3</x:v>
      </x:c>
      <x:c r="M372" s="28" t="n">
        <x:v>7</x:v>
      </x:c>
      <x:c r="N372" s="28" t="n">
        <x:v>0</x:v>
      </x:c>
      <x:c r="O372" s="28" t="n">
        <x:v>0</x:v>
      </x:c>
      <x:c r="P372" s="28" t="n">
        <x:v>0</x:v>
      </x:c>
      <x:c r="Q372" s="24" t="n">
        <x:f>IFERROR(J372/H372,0)</x:f>
        <x:v>0.6666666666666666</x:v>
      </x:c>
      <x:c r="R372" s="24" t="n">
        <x:f>IFERROR(F372/H372,0)</x:f>
        <x:v>0</x:v>
      </x:c>
      <x:c r="S372" s="24" t="n">
        <x:f>IFERROR(F372/J372,0)</x:f>
        <x:v>0</x:v>
      </x:c>
      <x:c r="T372" s="28" t="n">
        <x:f>H372-I372</x:f>
        <x:v>-15</x:v>
      </x:c>
      <x:c r="U372" s="24" t="n">
        <x:f>IFERROR(J372/H372,0)-IFERROR(K372/I372,0)</x:f>
        <x:v>0.23809523809523808</x:v>
      </x:c>
      <x:c r="V372" s="24" t="n">
        <x:f>IFERROR(F372/J372,0)-IFERROR(G372/K372,0)</x:f>
        <x:v>-0.1111111111111111</x:v>
      </x:c>
      <x:c r="W372" s="28" t="n">
        <x:f>L372-M372</x:f>
        <x:v>-4</x:v>
      </x:c>
      <x:c r="X372" s="24" t="n">
        <x:f>IFERROR(K372/I372,0)</x:f>
        <x:v>0.42857142857142855</x:v>
      </x:c>
      <x:c r="Y372" s="24" t="n">
        <x:f>IFERROR(G372/I372,0)</x:f>
        <x:v>0.047619047619047616</x:v>
      </x:c>
      <x:c r="Z372" s="24" t="n">
        <x:f>IFERROR(G372/K372,0)</x:f>
        <x:v>0.1111111111111111</x:v>
      </x:c>
      <x:c r="AA372" s="24" t="n">
        <x:f>IFERROR(F372/H372,0)-IFERROR(G372/I372,0)</x:f>
        <x:v>-0.047619047619047616</x:v>
      </x:c>
      <x:c r="AB372" s="28" t="n">
        <x:f>J372-K372</x:f>
        <x:v>-5</x:v>
      </x:c>
      <x:c r="AC372" s="32" t="n">
        <x:f>F372-G372</x:f>
        <x:v>-1</x:v>
      </x:c>
    </x:row>
    <x:row r="373">
      <x:c r="A373" s="4" t="str">
        <x:v>2021-22</x:v>
      </x:c>
      <x:c r="B373" s="20" t="n">
        <x:v>44562</x:v>
      </x:c>
      <x:c r="C373" s="4" t="str">
        <x:v>West Ham</x:v>
      </x:c>
      <x:c r="D373" s="4" t="str">
        <x:v>Crystal Palace</x:v>
      </x:c>
      <x:c r="E373" s="4" t="str">
        <x:v>Away</x:v>
      </x:c>
      <x:c r="F373" s="28" t="n">
        <x:v>3</x:v>
      </x:c>
      <x:c r="G373" s="28" t="n">
        <x:v>2</x:v>
      </x:c>
      <x:c r="H373" s="28" t="n">
        <x:v>10</x:v>
      </x:c>
      <x:c r="I373" s="28" t="n">
        <x:v>22</x:v>
      </x:c>
      <x:c r="J373" s="28" t="n">
        <x:v>5</x:v>
      </x:c>
      <x:c r="K373" s="28" t="n">
        <x:v>6</x:v>
      </x:c>
      <x:c r="L373" s="28" t="n">
        <x:v>1</x:v>
      </x:c>
      <x:c r="M373" s="28" t="n">
        <x:v>9</x:v>
      </x:c>
      <x:c r="N373" s="28" t="n">
        <x:v>2</x:v>
      </x:c>
      <x:c r="O373" s="28" t="n">
        <x:v>0</x:v>
      </x:c>
      <x:c r="P373" s="28" t="n">
        <x:v>3</x:v>
      </x:c>
      <x:c r="Q373" s="24" t="n">
        <x:f>IFERROR(J373/H373,0)</x:f>
        <x:v>0.5</x:v>
      </x:c>
      <x:c r="R373" s="24" t="n">
        <x:f>IFERROR(F373/H373,0)</x:f>
        <x:v>0.3</x:v>
      </x:c>
      <x:c r="S373" s="24" t="n">
        <x:f>IFERROR(F373/J373,0)</x:f>
        <x:v>0.6</x:v>
      </x:c>
      <x:c r="T373" s="28" t="n">
        <x:f>H373-I373</x:f>
        <x:v>-12</x:v>
      </x:c>
      <x:c r="U373" s="24" t="n">
        <x:f>IFERROR(J373/H373,0)-IFERROR(K373/I373,0)</x:f>
        <x:v>0.2272727272727273</x:v>
      </x:c>
      <x:c r="V373" s="24" t="n">
        <x:f>IFERROR(F373/J373,0)-IFERROR(G373/K373,0)</x:f>
        <x:v>0.26666666666666666</x:v>
      </x:c>
      <x:c r="W373" s="28" t="n">
        <x:f>L373-M373</x:f>
        <x:v>-8</x:v>
      </x:c>
      <x:c r="X373" s="24" t="n">
        <x:f>IFERROR(K373/I373,0)</x:f>
        <x:v>0.2727272727272727</x:v>
      </x:c>
      <x:c r="Y373" s="24" t="n">
        <x:f>IFERROR(G373/I373,0)</x:f>
        <x:v>0.09090909090909091</x:v>
      </x:c>
      <x:c r="Z373" s="24" t="n">
        <x:f>IFERROR(G373/K373,0)</x:f>
        <x:v>0.3333333333333333</x:v>
      </x:c>
      <x:c r="AA373" s="24" t="n">
        <x:f>IFERROR(F373/H373,0)-IFERROR(G373/I373,0)</x:f>
        <x:v>0.20909090909090908</x:v>
      </x:c>
      <x:c r="AB373" s="28" t="n">
        <x:f>J373-K373</x:f>
        <x:v>-1</x:v>
      </x:c>
      <x:c r="AC373" s="32" t="n">
        <x:f>F373-G373</x:f>
        <x:v>1</x:v>
      </x:c>
    </x:row>
    <x:row r="374">
      <x:c r="A374" s="4" t="str">
        <x:v>2021-22</x:v>
      </x:c>
      <x:c r="B374" s="20" t="n">
        <x:v>44563</x:v>
      </x:c>
      <x:c r="C374" s="4" t="str">
        <x:v>Aston Villa</x:v>
      </x:c>
      <x:c r="D374" s="4" t="str">
        <x:v>Brentford</x:v>
      </x:c>
      <x:c r="E374" s="4" t="str">
        <x:v>Away</x:v>
      </x:c>
      <x:c r="F374" s="28" t="n">
        <x:v>1</x:v>
      </x:c>
      <x:c r="G374" s="28" t="n">
        <x:v>2</x:v>
      </x:c>
      <x:c r="H374" s="28" t="n">
        <x:v>16</x:v>
      </x:c>
      <x:c r="I374" s="28" t="n">
        <x:v>10</x:v>
      </x:c>
      <x:c r="J374" s="28" t="n">
        <x:v>5</x:v>
      </x:c>
      <x:c r="K374" s="28" t="n">
        <x:v>4</x:v>
      </x:c>
      <x:c r="L374" s="28" t="n">
        <x:v>7</x:v>
      </x:c>
      <x:c r="M374" s="28" t="n">
        <x:v>3</x:v>
      </x:c>
      <x:c r="N374" s="28" t="n">
        <x:v>2</x:v>
      </x:c>
      <x:c r="O374" s="28" t="n">
        <x:v>0</x:v>
      </x:c>
      <x:c r="P374" s="28" t="n">
        <x:v>0</x:v>
      </x:c>
      <x:c r="Q374" s="24" t="n">
        <x:f>IFERROR(J374/H374,0)</x:f>
        <x:v>0.3125</x:v>
      </x:c>
      <x:c r="R374" s="24" t="n">
        <x:f>IFERROR(F374/H374,0)</x:f>
        <x:v>0.0625</x:v>
      </x:c>
      <x:c r="S374" s="24" t="n">
        <x:f>IFERROR(F374/J374,0)</x:f>
        <x:v>0.2</x:v>
      </x:c>
      <x:c r="T374" s="28" t="n">
        <x:f>H374-I374</x:f>
        <x:v>6</x:v>
      </x:c>
      <x:c r="U374" s="24" t="n">
        <x:f>IFERROR(J374/H374,0)-IFERROR(K374/I374,0)</x:f>
        <x:v>-0.08750000000000002</x:v>
      </x:c>
      <x:c r="V374" s="24" t="n">
        <x:f>IFERROR(F374/J374,0)-IFERROR(G374/K374,0)</x:f>
        <x:v>-0.3</x:v>
      </x:c>
      <x:c r="W374" s="28" t="n">
        <x:f>L374-M374</x:f>
        <x:v>4</x:v>
      </x:c>
      <x:c r="X374" s="24" t="n">
        <x:f>IFERROR(K374/I374,0)</x:f>
        <x:v>0.4</x:v>
      </x:c>
      <x:c r="Y374" s="24" t="n">
        <x:f>IFERROR(G374/I374,0)</x:f>
        <x:v>0.2</x:v>
      </x:c>
      <x:c r="Z374" s="24" t="n">
        <x:f>IFERROR(G374/K374,0)</x:f>
        <x:v>0.5</x:v>
      </x:c>
      <x:c r="AA374" s="24" t="n">
        <x:f>IFERROR(F374/H374,0)-IFERROR(G374/I374,0)</x:f>
        <x:v>-0.1375</x:v>
      </x:c>
      <x:c r="AB374" s="28" t="n">
        <x:f>J374-K374</x:f>
        <x:v>1</x:v>
      </x:c>
      <x:c r="AC374" s="32" t="n">
        <x:f>F374-G374</x:f>
        <x:v>-1</x:v>
      </x:c>
    </x:row>
    <x:row r="375">
      <x:c r="A375" s="4" t="str">
        <x:v>2021-22</x:v>
      </x:c>
      <x:c r="B375" s="20" t="n">
        <x:v>44563</x:v>
      </x:c>
      <x:c r="C375" s="4" t="str">
        <x:v>Brentford</x:v>
      </x:c>
      <x:c r="D375" s="4" t="str">
        <x:v>Aston Villa</x:v>
      </x:c>
      <x:c r="E375" s="4" t="str">
        <x:v>Home</x:v>
      </x:c>
      <x:c r="F375" s="28" t="n">
        <x:v>2</x:v>
      </x:c>
      <x:c r="G375" s="28" t="n">
        <x:v>1</x:v>
      </x:c>
      <x:c r="H375" s="28" t="n">
        <x:v>10</x:v>
      </x:c>
      <x:c r="I375" s="28" t="n">
        <x:v>16</x:v>
      </x:c>
      <x:c r="J375" s="28" t="n">
        <x:v>4</x:v>
      </x:c>
      <x:c r="K375" s="28" t="n">
        <x:v>5</x:v>
      </x:c>
      <x:c r="L375" s="28" t="n">
        <x:v>3</x:v>
      </x:c>
      <x:c r="M375" s="28" t="n">
        <x:v>7</x:v>
      </x:c>
      <x:c r="N375" s="28" t="n">
        <x:v>2</x:v>
      </x:c>
      <x:c r="O375" s="28" t="n">
        <x:v>0</x:v>
      </x:c>
      <x:c r="P375" s="28" t="n">
        <x:v>3</x:v>
      </x:c>
      <x:c r="Q375" s="24" t="n">
        <x:f>IFERROR(J375/H375,0)</x:f>
        <x:v>0.4</x:v>
      </x:c>
      <x:c r="R375" s="24" t="n">
        <x:f>IFERROR(F375/H375,0)</x:f>
        <x:v>0.2</x:v>
      </x:c>
      <x:c r="S375" s="24" t="n">
        <x:f>IFERROR(F375/J375,0)</x:f>
        <x:v>0.5</x:v>
      </x:c>
      <x:c r="T375" s="28" t="n">
        <x:f>H375-I375</x:f>
        <x:v>-6</x:v>
      </x:c>
      <x:c r="U375" s="24" t="n">
        <x:f>IFERROR(J375/H375,0)-IFERROR(K375/I375,0)</x:f>
        <x:v>0.08750000000000002</x:v>
      </x:c>
      <x:c r="V375" s="24" t="n">
        <x:f>IFERROR(F375/J375,0)-IFERROR(G375/K375,0)</x:f>
        <x:v>0.3</x:v>
      </x:c>
      <x:c r="W375" s="28" t="n">
        <x:f>L375-M375</x:f>
        <x:v>-4</x:v>
      </x:c>
      <x:c r="X375" s="24" t="n">
        <x:f>IFERROR(K375/I375,0)</x:f>
        <x:v>0.3125</x:v>
      </x:c>
      <x:c r="Y375" s="24" t="n">
        <x:f>IFERROR(G375/I375,0)</x:f>
        <x:v>0.0625</x:v>
      </x:c>
      <x:c r="Z375" s="24" t="n">
        <x:f>IFERROR(G375/K375,0)</x:f>
        <x:v>0.2</x:v>
      </x:c>
      <x:c r="AA375" s="24" t="n">
        <x:f>IFERROR(F375/H375,0)-IFERROR(G375/I375,0)</x:f>
        <x:v>0.1375</x:v>
      </x:c>
      <x:c r="AB375" s="28" t="n">
        <x:f>J375-K375</x:f>
        <x:v>-1</x:v>
      </x:c>
      <x:c r="AC375" s="32" t="n">
        <x:f>F375-G375</x:f>
        <x:v>1</x:v>
      </x:c>
    </x:row>
    <x:row r="376">
      <x:c r="A376" s="4" t="str">
        <x:v>2021-22</x:v>
      </x:c>
      <x:c r="B376" s="20" t="n">
        <x:v>44563</x:v>
      </x:c>
      <x:c r="C376" s="4" t="str">
        <x:v>Brighton</x:v>
      </x:c>
      <x:c r="D376" s="4" t="str">
        <x:v>Everton</x:v>
      </x:c>
      <x:c r="E376" s="4" t="str">
        <x:v>Away</x:v>
      </x:c>
      <x:c r="F376" s="28" t="n">
        <x:v>3</x:v>
      </x:c>
      <x:c r="G376" s="28" t="n">
        <x:v>2</x:v>
      </x:c>
      <x:c r="H376" s="28" t="n">
        <x:v>12</x:v>
      </x:c>
      <x:c r="I376" s="28" t="n">
        <x:v>17</x:v>
      </x:c>
      <x:c r="J376" s="28" t="n">
        <x:v>5</x:v>
      </x:c>
      <x:c r="K376" s="28" t="n">
        <x:v>6</x:v>
      </x:c>
      <x:c r="L376" s="28" t="n">
        <x:v>5</x:v>
      </x:c>
      <x:c r="M376" s="28" t="n">
        <x:v>8</x:v>
      </x:c>
      <x:c r="N376" s="28" t="n">
        <x:v>1</x:v>
      </x:c>
      <x:c r="O376" s="28" t="n">
        <x:v>0</x:v>
      </x:c>
      <x:c r="P376" s="28" t="n">
        <x:v>3</x:v>
      </x:c>
      <x:c r="Q376" s="24" t="n">
        <x:f>IFERROR(J376/H376,0)</x:f>
        <x:v>0.4166666666666667</x:v>
      </x:c>
      <x:c r="R376" s="24" t="n">
        <x:f>IFERROR(F376/H376,0)</x:f>
        <x:v>0.25</x:v>
      </x:c>
      <x:c r="S376" s="24" t="n">
        <x:f>IFERROR(F376/J376,0)</x:f>
        <x:v>0.6</x:v>
      </x:c>
      <x:c r="T376" s="28" t="n">
        <x:f>H376-I376</x:f>
        <x:v>-5</x:v>
      </x:c>
      <x:c r="U376" s="24" t="n">
        <x:f>IFERROR(J376/H376,0)-IFERROR(K376/I376,0)</x:f>
        <x:v>0.06372549019607843</x:v>
      </x:c>
      <x:c r="V376" s="24" t="n">
        <x:f>IFERROR(F376/J376,0)-IFERROR(G376/K376,0)</x:f>
        <x:v>0.26666666666666666</x:v>
      </x:c>
      <x:c r="W376" s="28" t="n">
        <x:f>L376-M376</x:f>
        <x:v>-3</x:v>
      </x:c>
      <x:c r="X376" s="24" t="n">
        <x:f>IFERROR(K376/I376,0)</x:f>
        <x:v>0.35294117647058826</x:v>
      </x:c>
      <x:c r="Y376" s="24" t="n">
        <x:f>IFERROR(G376/I376,0)</x:f>
        <x:v>0.11764705882352941</x:v>
      </x:c>
      <x:c r="Z376" s="24" t="n">
        <x:f>IFERROR(G376/K376,0)</x:f>
        <x:v>0.3333333333333333</x:v>
      </x:c>
      <x:c r="AA376" s="24" t="n">
        <x:f>IFERROR(F376/H376,0)-IFERROR(G376/I376,0)</x:f>
        <x:v>0.1323529411764706</x:v>
      </x:c>
      <x:c r="AB376" s="28" t="n">
        <x:f>J376-K376</x:f>
        <x:v>-1</x:v>
      </x:c>
      <x:c r="AC376" s="32" t="n">
        <x:f>F376-G376</x:f>
        <x:v>1</x:v>
      </x:c>
    </x:row>
    <x:row r="377">
      <x:c r="A377" s="4" t="str">
        <x:v>2021-22</x:v>
      </x:c>
      <x:c r="B377" s="20" t="n">
        <x:v>44563</x:v>
      </x:c>
      <x:c r="C377" s="4" t="str">
        <x:v>Burnley</x:v>
      </x:c>
      <x:c r="D377" s="4" t="str">
        <x:v>Leeds</x:v>
      </x:c>
      <x:c r="E377" s="4" t="str">
        <x:v>Away</x:v>
      </x:c>
      <x:c r="F377" s="28" t="n">
        <x:v>1</x:v>
      </x:c>
      <x:c r="G377" s="28" t="n">
        <x:v>3</x:v>
      </x:c>
      <x:c r="H377" s="28" t="n">
        <x:v>8</x:v>
      </x:c>
      <x:c r="I377" s="28" t="n">
        <x:v>22</x:v>
      </x:c>
      <x:c r="J377" s="28" t="n">
        <x:v>2</x:v>
      </x:c>
      <x:c r="K377" s="28" t="n">
        <x:v>7</x:v>
      </x:c>
      <x:c r="L377" s="28" t="n">
        <x:v>3</x:v>
      </x:c>
      <x:c r="M377" s="28" t="n">
        <x:v>9</x:v>
      </x:c>
      <x:c r="N377" s="28" t="n">
        <x:v>1</x:v>
      </x:c>
      <x:c r="O377" s="28" t="n">
        <x:v>0</x:v>
      </x:c>
      <x:c r="P377" s="28" t="n">
        <x:v>0</x:v>
      </x:c>
      <x:c r="Q377" s="24" t="n">
        <x:f>IFERROR(J377/H377,0)</x:f>
        <x:v>0.25</x:v>
      </x:c>
      <x:c r="R377" s="24" t="n">
        <x:f>IFERROR(F377/H377,0)</x:f>
        <x:v>0.125</x:v>
      </x:c>
      <x:c r="S377" s="24" t="n">
        <x:f>IFERROR(F377/J377,0)</x:f>
        <x:v>0.5</x:v>
      </x:c>
      <x:c r="T377" s="28" t="n">
        <x:f>H377-I377</x:f>
        <x:v>-14</x:v>
      </x:c>
      <x:c r="U377" s="24" t="n">
        <x:f>IFERROR(J377/H377,0)-IFERROR(K377/I377,0)</x:f>
        <x:v>-0.06818181818181818</x:v>
      </x:c>
      <x:c r="V377" s="24" t="n">
        <x:f>IFERROR(F377/J377,0)-IFERROR(G377/K377,0)</x:f>
        <x:v>0.07142857142857145</x:v>
      </x:c>
      <x:c r="W377" s="28" t="n">
        <x:f>L377-M377</x:f>
        <x:v>-6</x:v>
      </x:c>
      <x:c r="X377" s="24" t="n">
        <x:f>IFERROR(K377/I377,0)</x:f>
        <x:v>0.3181818181818182</x:v>
      </x:c>
      <x:c r="Y377" s="24" t="n">
        <x:f>IFERROR(G377/I377,0)</x:f>
        <x:v>0.13636363636363635</x:v>
      </x:c>
      <x:c r="Z377" s="24" t="n">
        <x:f>IFERROR(G377/K377,0)</x:f>
        <x:v>0.42857142857142855</x:v>
      </x:c>
      <x:c r="AA377" s="24" t="n">
        <x:f>IFERROR(F377/H377,0)-IFERROR(G377/I377,0)</x:f>
        <x:v>-0.011363636363636354</x:v>
      </x:c>
      <x:c r="AB377" s="28" t="n">
        <x:f>J377-K377</x:f>
        <x:v>-5</x:v>
      </x:c>
      <x:c r="AC377" s="32" t="n">
        <x:f>F377-G377</x:f>
        <x:v>-2</x:v>
      </x:c>
    </x:row>
    <x:row r="378">
      <x:c r="A378" s="4" t="str">
        <x:v>2021-22</x:v>
      </x:c>
      <x:c r="B378" s="20" t="n">
        <x:v>44563</x:v>
      </x:c>
      <x:c r="C378" s="4" t="str">
        <x:v>Chelsea</x:v>
      </x:c>
      <x:c r="D378" s="4" t="str">
        <x:v>Liverpool</x:v>
      </x:c>
      <x:c r="E378" s="4" t="str">
        <x:v>Home</x:v>
      </x:c>
      <x:c r="F378" s="28" t="n">
        <x:v>2</x:v>
      </x:c>
      <x:c r="G378" s="28" t="n">
        <x:v>2</x:v>
      </x:c>
      <x:c r="H378" s="28" t="n">
        <x:v>15</x:v>
      </x:c>
      <x:c r="I378" s="28" t="n">
        <x:v>10</x:v>
      </x:c>
      <x:c r="J378" s="28" t="n">
        <x:v>6</x:v>
      </x:c>
      <x:c r="K378" s="28" t="n">
        <x:v>6</x:v>
      </x:c>
      <x:c r="L378" s="28" t="n">
        <x:v>6</x:v>
      </x:c>
      <x:c r="M378" s="28" t="n">
        <x:v>7</x:v>
      </x:c>
      <x:c r="N378" s="28" t="n">
        <x:v>1</x:v>
      </x:c>
      <x:c r="O378" s="28" t="n">
        <x:v>0</x:v>
      </x:c>
      <x:c r="P378" s="28" t="n">
        <x:v>1</x:v>
      </x:c>
      <x:c r="Q378" s="24" t="n">
        <x:f>IFERROR(J378/H378,0)</x:f>
        <x:v>0.4</x:v>
      </x:c>
      <x:c r="R378" s="24" t="n">
        <x:f>IFERROR(F378/H378,0)</x:f>
        <x:v>0.13333333333333333</x:v>
      </x:c>
      <x:c r="S378" s="24" t="n">
        <x:f>IFERROR(F378/J378,0)</x:f>
        <x:v>0.3333333333333333</x:v>
      </x:c>
      <x:c r="T378" s="28" t="n">
        <x:f>H378-I378</x:f>
        <x:v>5</x:v>
      </x:c>
      <x:c r="U378" s="24" t="n">
        <x:f>IFERROR(J378/H378,0)-IFERROR(K378/I378,0)</x:f>
        <x:v>-0.19999999999999996</x:v>
      </x:c>
      <x:c r="V378" s="24" t="n">
        <x:f>IFERROR(F378/J378,0)-IFERROR(G378/K378,0)</x:f>
        <x:v>0</x:v>
      </x:c>
      <x:c r="W378" s="28" t="n">
        <x:f>L378-M378</x:f>
        <x:v>-1</x:v>
      </x:c>
      <x:c r="X378" s="24" t="n">
        <x:f>IFERROR(K378/I378,0)</x:f>
        <x:v>0.6</x:v>
      </x:c>
      <x:c r="Y378" s="24" t="n">
        <x:f>IFERROR(G378/I378,0)</x:f>
        <x:v>0.2</x:v>
      </x:c>
      <x:c r="Z378" s="24" t="n">
        <x:f>IFERROR(G378/K378,0)</x:f>
        <x:v>0.3333333333333333</x:v>
      </x:c>
      <x:c r="AA378" s="24" t="n">
        <x:f>IFERROR(F378/H378,0)-IFERROR(G378/I378,0)</x:f>
        <x:v>-0.06666666666666668</x:v>
      </x:c>
      <x:c r="AB378" s="28" t="n">
        <x:f>J378-K378</x:f>
        <x:v>0</x:v>
      </x:c>
      <x:c r="AC378" s="32" t="n">
        <x:f>F378-G378</x:f>
        <x:v>0</x:v>
      </x:c>
    </x:row>
    <x:row r="379">
      <x:c r="A379" s="4" t="str">
        <x:v>2021-22</x:v>
      </x:c>
      <x:c r="B379" s="20" t="n">
        <x:v>44563</x:v>
      </x:c>
      <x:c r="C379" s="4" t="str">
        <x:v>Everton</x:v>
      </x:c>
      <x:c r="D379" s="4" t="str">
        <x:v>Brighton</x:v>
      </x:c>
      <x:c r="E379" s="4" t="str">
        <x:v>Home</x:v>
      </x:c>
      <x:c r="F379" s="28" t="n">
        <x:v>2</x:v>
      </x:c>
      <x:c r="G379" s="28" t="n">
        <x:v>3</x:v>
      </x:c>
      <x:c r="H379" s="28" t="n">
        <x:v>17</x:v>
      </x:c>
      <x:c r="I379" s="28" t="n">
        <x:v>12</x:v>
      </x:c>
      <x:c r="J379" s="28" t="n">
        <x:v>6</x:v>
      </x:c>
      <x:c r="K379" s="28" t="n">
        <x:v>5</x:v>
      </x:c>
      <x:c r="L379" s="28" t="n">
        <x:v>8</x:v>
      </x:c>
      <x:c r="M379" s="28" t="n">
        <x:v>5</x:v>
      </x:c>
      <x:c r="N379" s="28" t="n">
        <x:v>1</x:v>
      </x:c>
      <x:c r="O379" s="28" t="n">
        <x:v>0</x:v>
      </x:c>
      <x:c r="P379" s="28" t="n">
        <x:v>0</x:v>
      </x:c>
      <x:c r="Q379" s="24" t="n">
        <x:f>IFERROR(J379/H379,0)</x:f>
        <x:v>0.35294117647058826</x:v>
      </x:c>
      <x:c r="R379" s="24" t="n">
        <x:f>IFERROR(F379/H379,0)</x:f>
        <x:v>0.11764705882352941</x:v>
      </x:c>
      <x:c r="S379" s="24" t="n">
        <x:f>IFERROR(F379/J379,0)</x:f>
        <x:v>0.3333333333333333</x:v>
      </x:c>
      <x:c r="T379" s="28" t="n">
        <x:f>H379-I379</x:f>
        <x:v>5</x:v>
      </x:c>
      <x:c r="U379" s="24" t="n">
        <x:f>IFERROR(J379/H379,0)-IFERROR(K379/I379,0)</x:f>
        <x:v>-0.06372549019607843</x:v>
      </x:c>
      <x:c r="V379" s="24" t="n">
        <x:f>IFERROR(F379/J379,0)-IFERROR(G379/K379,0)</x:f>
        <x:v>-0.26666666666666666</x:v>
      </x:c>
      <x:c r="W379" s="28" t="n">
        <x:f>L379-M379</x:f>
        <x:v>3</x:v>
      </x:c>
      <x:c r="X379" s="24" t="n">
        <x:f>IFERROR(K379/I379,0)</x:f>
        <x:v>0.4166666666666667</x:v>
      </x:c>
      <x:c r="Y379" s="24" t="n">
        <x:f>IFERROR(G379/I379,0)</x:f>
        <x:v>0.25</x:v>
      </x:c>
      <x:c r="Z379" s="24" t="n">
        <x:f>IFERROR(G379/K379,0)</x:f>
        <x:v>0.6</x:v>
      </x:c>
      <x:c r="AA379" s="24" t="n">
        <x:f>IFERROR(F379/H379,0)-IFERROR(G379/I379,0)</x:f>
        <x:v>-0.1323529411764706</x:v>
      </x:c>
      <x:c r="AB379" s="28" t="n">
        <x:f>J379-K379</x:f>
        <x:v>1</x:v>
      </x:c>
      <x:c r="AC379" s="32" t="n">
        <x:f>F379-G379</x:f>
        <x:v>-1</x:v>
      </x:c>
    </x:row>
    <x:row r="380">
      <x:c r="A380" s="4" t="str">
        <x:v>2021-22</x:v>
      </x:c>
      <x:c r="B380" s="20" t="n">
        <x:v>44563</x:v>
      </x:c>
      <x:c r="C380" s="4" t="str">
        <x:v>Leeds</x:v>
      </x:c>
      <x:c r="D380" s="4" t="str">
        <x:v>Burnley</x:v>
      </x:c>
      <x:c r="E380" s="4" t="str">
        <x:v>Home</x:v>
      </x:c>
      <x:c r="F380" s="28" t="n">
        <x:v>3</x:v>
      </x:c>
      <x:c r="G380" s="28" t="n">
        <x:v>1</x:v>
      </x:c>
      <x:c r="H380" s="28" t="n">
        <x:v>22</x:v>
      </x:c>
      <x:c r="I380" s="28" t="n">
        <x:v>8</x:v>
      </x:c>
      <x:c r="J380" s="28" t="n">
        <x:v>7</x:v>
      </x:c>
      <x:c r="K380" s="28" t="n">
        <x:v>2</x:v>
      </x:c>
      <x:c r="L380" s="28" t="n">
        <x:v>9</x:v>
      </x:c>
      <x:c r="M380" s="28" t="n">
        <x:v>3</x:v>
      </x:c>
      <x:c r="N380" s="28" t="n">
        <x:v>2</x:v>
      </x:c>
      <x:c r="O380" s="28" t="n">
        <x:v>0</x:v>
      </x:c>
      <x:c r="P380" s="28" t="n">
        <x:v>3</x:v>
      </x:c>
      <x:c r="Q380" s="24" t="n">
        <x:f>IFERROR(J380/H380,0)</x:f>
        <x:v>0.3181818181818182</x:v>
      </x:c>
      <x:c r="R380" s="24" t="n">
        <x:f>IFERROR(F380/H380,0)</x:f>
        <x:v>0.13636363636363635</x:v>
      </x:c>
      <x:c r="S380" s="24" t="n">
        <x:f>IFERROR(F380/J380,0)</x:f>
        <x:v>0.42857142857142855</x:v>
      </x:c>
      <x:c r="T380" s="28" t="n">
        <x:f>H380-I380</x:f>
        <x:v>14</x:v>
      </x:c>
      <x:c r="U380" s="24" t="n">
        <x:f>IFERROR(J380/H380,0)-IFERROR(K380/I380,0)</x:f>
        <x:v>0.06818181818181818</x:v>
      </x:c>
      <x:c r="V380" s="24" t="n">
        <x:f>IFERROR(F380/J380,0)-IFERROR(G380/K380,0)</x:f>
        <x:v>-0.07142857142857145</x:v>
      </x:c>
      <x:c r="W380" s="28" t="n">
        <x:f>L380-M380</x:f>
        <x:v>6</x:v>
      </x:c>
      <x:c r="X380" s="24" t="n">
        <x:f>IFERROR(K380/I380,0)</x:f>
        <x:v>0.25</x:v>
      </x:c>
      <x:c r="Y380" s="24" t="n">
        <x:f>IFERROR(G380/I380,0)</x:f>
        <x:v>0.125</x:v>
      </x:c>
      <x:c r="Z380" s="24" t="n">
        <x:f>IFERROR(G380/K380,0)</x:f>
        <x:v>0.5</x:v>
      </x:c>
      <x:c r="AA380" s="24" t="n">
        <x:f>IFERROR(F380/H380,0)-IFERROR(G380/I380,0)</x:f>
        <x:v>0.011363636363636354</x:v>
      </x:c>
      <x:c r="AB380" s="28" t="n">
        <x:f>J380-K380</x:f>
        <x:v>5</x:v>
      </x:c>
      <x:c r="AC380" s="32" t="n">
        <x:f>F380-G380</x:f>
        <x:v>2</x:v>
      </x:c>
    </x:row>
    <x:row r="381">
      <x:c r="A381" s="4" t="str">
        <x:v>2021-22</x:v>
      </x:c>
      <x:c r="B381" s="20" t="n">
        <x:v>44563</x:v>
      </x:c>
      <x:c r="C381" s="4" t="str">
        <x:v>Liverpool</x:v>
      </x:c>
      <x:c r="D381" s="4" t="str">
        <x:v>Chelsea</x:v>
      </x:c>
      <x:c r="E381" s="4" t="str">
        <x:v>Away</x:v>
      </x:c>
      <x:c r="F381" s="28" t="n">
        <x:v>2</x:v>
      </x:c>
      <x:c r="G381" s="28" t="n">
        <x:v>2</x:v>
      </x:c>
      <x:c r="H381" s="28" t="n">
        <x:v>10</x:v>
      </x:c>
      <x:c r="I381" s="28" t="n">
        <x:v>15</x:v>
      </x:c>
      <x:c r="J381" s="28" t="n">
        <x:v>6</x:v>
      </x:c>
      <x:c r="K381" s="28" t="n">
        <x:v>6</x:v>
      </x:c>
      <x:c r="L381" s="28" t="n">
        <x:v>7</x:v>
      </x:c>
      <x:c r="M381" s="28" t="n">
        <x:v>6</x:v>
      </x:c>
      <x:c r="N381" s="28" t="n">
        <x:v>2</x:v>
      </x:c>
      <x:c r="O381" s="28" t="n">
        <x:v>0</x:v>
      </x:c>
      <x:c r="P381" s="28" t="n">
        <x:v>1</x:v>
      </x:c>
      <x:c r="Q381" s="24" t="n">
        <x:f>IFERROR(J381/H381,0)</x:f>
        <x:v>0.6</x:v>
      </x:c>
      <x:c r="R381" s="24" t="n">
        <x:f>IFERROR(F381/H381,0)</x:f>
        <x:v>0.2</x:v>
      </x:c>
      <x:c r="S381" s="24" t="n">
        <x:f>IFERROR(F381/J381,0)</x:f>
        <x:v>0.3333333333333333</x:v>
      </x:c>
      <x:c r="T381" s="28" t="n">
        <x:f>H381-I381</x:f>
        <x:v>-5</x:v>
      </x:c>
      <x:c r="U381" s="24" t="n">
        <x:f>IFERROR(J381/H381,0)-IFERROR(K381/I381,0)</x:f>
        <x:v>0.19999999999999996</x:v>
      </x:c>
      <x:c r="V381" s="24" t="n">
        <x:f>IFERROR(F381/J381,0)-IFERROR(G381/K381,0)</x:f>
        <x:v>0</x:v>
      </x:c>
      <x:c r="W381" s="28" t="n">
        <x:f>L381-M381</x:f>
        <x:v>1</x:v>
      </x:c>
      <x:c r="X381" s="24" t="n">
        <x:f>IFERROR(K381/I381,0)</x:f>
        <x:v>0.4</x:v>
      </x:c>
      <x:c r="Y381" s="24" t="n">
        <x:f>IFERROR(G381/I381,0)</x:f>
        <x:v>0.13333333333333333</x:v>
      </x:c>
      <x:c r="Z381" s="24" t="n">
        <x:f>IFERROR(G381/K381,0)</x:f>
        <x:v>0.3333333333333333</x:v>
      </x:c>
      <x:c r="AA381" s="24" t="n">
        <x:f>IFERROR(F381/H381,0)-IFERROR(G381/I381,0)</x:f>
        <x:v>0.06666666666666668</x:v>
      </x:c>
      <x:c r="AB381" s="28" t="n">
        <x:f>J381-K381</x:f>
        <x:v>0</x:v>
      </x:c>
      <x:c r="AC381" s="32" t="n">
        <x:f>F381-G381</x:f>
        <x:v>0</x:v>
      </x:c>
    </x:row>
    <x:row r="382">
      <x:c r="A382" s="4" t="str">
        <x:v>2021-22</x:v>
      </x:c>
      <x:c r="B382" s="20" t="n">
        <x:v>44564</x:v>
      </x:c>
      <x:c r="C382" s="4" t="str">
        <x:v>Man United</x:v>
      </x:c>
      <x:c r="D382" s="4" t="str">
        <x:v>Wolves</x:v>
      </x:c>
      <x:c r="E382" s="4" t="str">
        <x:v>Home</x:v>
      </x:c>
      <x:c r="F382" s="28" t="n">
        <x:v>0</x:v>
      </x:c>
      <x:c r="G382" s="28" t="n">
        <x:v>1</x:v>
      </x:c>
      <x:c r="H382" s="28" t="n">
        <x:v>9</x:v>
      </x:c>
      <x:c r="I382" s="28" t="n">
        <x:v>19</x:v>
      </x:c>
      <x:c r="J382" s="28" t="n">
        <x:v>2</x:v>
      </x:c>
      <x:c r="K382" s="28" t="n">
        <x:v>6</x:v>
      </x:c>
      <x:c r="L382" s="28" t="n">
        <x:v>3</x:v>
      </x:c>
      <x:c r="M382" s="28" t="n">
        <x:v>8</x:v>
      </x:c>
      <x:c r="N382" s="28" t="n">
        <x:v>3</x:v>
      </x:c>
      <x:c r="O382" s="28" t="n">
        <x:v>0</x:v>
      </x:c>
      <x:c r="P382" s="28" t="n">
        <x:v>0</x:v>
      </x:c>
      <x:c r="Q382" s="24" t="n">
        <x:f>IFERROR(J382/H382,0)</x:f>
        <x:v>0.2222222222222222</x:v>
      </x:c>
      <x:c r="R382" s="24" t="n">
        <x:f>IFERROR(F382/H382,0)</x:f>
        <x:v>0</x:v>
      </x:c>
      <x:c r="S382" s="24" t="n">
        <x:f>IFERROR(F382/J382,0)</x:f>
        <x:v>0</x:v>
      </x:c>
      <x:c r="T382" s="28" t="n">
        <x:f>H382-I382</x:f>
        <x:v>-10</x:v>
      </x:c>
      <x:c r="U382" s="24" t="n">
        <x:f>IFERROR(J382/H382,0)-IFERROR(K382/I382,0)</x:f>
        <x:v>-0.0935672514619883</x:v>
      </x:c>
      <x:c r="V382" s="24" t="n">
        <x:f>IFERROR(F382/J382,0)-IFERROR(G382/K382,0)</x:f>
        <x:v>-0.16666666666666666</x:v>
      </x:c>
      <x:c r="W382" s="28" t="n">
        <x:f>L382-M382</x:f>
        <x:v>-5</x:v>
      </x:c>
      <x:c r="X382" s="24" t="n">
        <x:f>IFERROR(K382/I382,0)</x:f>
        <x:v>0.3157894736842105</x:v>
      </x:c>
      <x:c r="Y382" s="24" t="n">
        <x:f>IFERROR(G382/I382,0)</x:f>
        <x:v>0.05263157894736842</x:v>
      </x:c>
      <x:c r="Z382" s="24" t="n">
        <x:f>IFERROR(G382/K382,0)</x:f>
        <x:v>0.16666666666666666</x:v>
      </x:c>
      <x:c r="AA382" s="24" t="n">
        <x:f>IFERROR(F382/H382,0)-IFERROR(G382/I382,0)</x:f>
        <x:v>-0.05263157894736842</x:v>
      </x:c>
      <x:c r="AB382" s="28" t="n">
        <x:f>J382-K382</x:f>
        <x:v>-4</x:v>
      </x:c>
      <x:c r="AC382" s="32" t="n">
        <x:f>F382-G382</x:f>
        <x:v>-1</x:v>
      </x:c>
    </x:row>
    <x:row r="383">
      <x:c r="A383" s="4" t="str">
        <x:v>2021-22</x:v>
      </x:c>
      <x:c r="B383" s="20" t="n">
        <x:v>44564</x:v>
      </x:c>
      <x:c r="C383" s="4" t="str">
        <x:v>Wolves</x:v>
      </x:c>
      <x:c r="D383" s="4" t="str">
        <x:v>Man United</x:v>
      </x:c>
      <x:c r="E383" s="4" t="str">
        <x:v>Away</x:v>
      </x:c>
      <x:c r="F383" s="28" t="n">
        <x:v>1</x:v>
      </x:c>
      <x:c r="G383" s="28" t="n">
        <x:v>0</x:v>
      </x:c>
      <x:c r="H383" s="28" t="n">
        <x:v>19</x:v>
      </x:c>
      <x:c r="I383" s="28" t="n">
        <x:v>9</x:v>
      </x:c>
      <x:c r="J383" s="28" t="n">
        <x:v>6</x:v>
      </x:c>
      <x:c r="K383" s="28" t="n">
        <x:v>2</x:v>
      </x:c>
      <x:c r="L383" s="28" t="n">
        <x:v>8</x:v>
      </x:c>
      <x:c r="M383" s="28" t="n">
        <x:v>3</x:v>
      </x:c>
      <x:c r="N383" s="28" t="n">
        <x:v>1</x:v>
      </x:c>
      <x:c r="O383" s="28" t="n">
        <x:v>0</x:v>
      </x:c>
      <x:c r="P383" s="28" t="n">
        <x:v>3</x:v>
      </x:c>
      <x:c r="Q383" s="24" t="n">
        <x:f>IFERROR(J383/H383,0)</x:f>
        <x:v>0.3157894736842105</x:v>
      </x:c>
      <x:c r="R383" s="24" t="n">
        <x:f>IFERROR(F383/H383,0)</x:f>
        <x:v>0.05263157894736842</x:v>
      </x:c>
      <x:c r="S383" s="24" t="n">
        <x:f>IFERROR(F383/J383,0)</x:f>
        <x:v>0.16666666666666666</x:v>
      </x:c>
      <x:c r="T383" s="28" t="n">
        <x:f>H383-I383</x:f>
        <x:v>10</x:v>
      </x:c>
      <x:c r="U383" s="24" t="n">
        <x:f>IFERROR(J383/H383,0)-IFERROR(K383/I383,0)</x:f>
        <x:v>0.0935672514619883</x:v>
      </x:c>
      <x:c r="V383" s="24" t="n">
        <x:f>IFERROR(F383/J383,0)-IFERROR(G383/K383,0)</x:f>
        <x:v>0.16666666666666666</x:v>
      </x:c>
      <x:c r="W383" s="28" t="n">
        <x:f>L383-M383</x:f>
        <x:v>5</x:v>
      </x:c>
      <x:c r="X383" s="24" t="n">
        <x:f>IFERROR(K383/I383,0)</x:f>
        <x:v>0.2222222222222222</x:v>
      </x:c>
      <x:c r="Y383" s="24" t="n">
        <x:f>IFERROR(G383/I383,0)</x:f>
        <x:v>0</x:v>
      </x:c>
      <x:c r="Z383" s="24" t="n">
        <x:f>IFERROR(G383/K383,0)</x:f>
        <x:v>0</x:v>
      </x:c>
      <x:c r="AA383" s="24" t="n">
        <x:f>IFERROR(F383/H383,0)-IFERROR(G383/I383,0)</x:f>
        <x:v>0.05263157894736842</x:v>
      </x:c>
      <x:c r="AB383" s="28" t="n">
        <x:f>J383-K383</x:f>
        <x:v>4</x:v>
      </x:c>
      <x:c r="AC383" s="32" t="n">
        <x:f>F383-G383</x:f>
        <x:v>1</x:v>
      </x:c>
    </x:row>
    <x:row r="384">
      <x:c r="A384" s="4" t="str">
        <x:v>2021-22</x:v>
      </x:c>
      <x:c r="B384" s="20" t="n">
        <x:v>44572</x:v>
      </x:c>
      <x:c r="C384" s="4" t="str">
        <x:v>Brentford</x:v>
      </x:c>
      <x:c r="D384" s="4" t="str">
        <x:v>Southampton</x:v>
      </x:c>
      <x:c r="E384" s="4" t="str">
        <x:v>Away</x:v>
      </x:c>
      <x:c r="F384" s="28" t="n">
        <x:v>1</x:v>
      </x:c>
      <x:c r="G384" s="28" t="n">
        <x:v>4</x:v>
      </x:c>
      <x:c r="H384" s="28" t="n">
        <x:v>5</x:v>
      </x:c>
      <x:c r="I384" s="28" t="n">
        <x:v>12</x:v>
      </x:c>
      <x:c r="J384" s="28" t="n">
        <x:v>4</x:v>
      </x:c>
      <x:c r="K384" s="28" t="n">
        <x:v>6</x:v>
      </x:c>
      <x:c r="L384" s="28" t="n">
        <x:v>2</x:v>
      </x:c>
      <x:c r="M384" s="28" t="n">
        <x:v>5</x:v>
      </x:c>
      <x:c r="N384" s="28" t="n">
        <x:v>1</x:v>
      </x:c>
      <x:c r="O384" s="28" t="n">
        <x:v>0</x:v>
      </x:c>
      <x:c r="P384" s="28" t="n">
        <x:v>0</x:v>
      </x:c>
      <x:c r="Q384" s="24" t="n">
        <x:f>IFERROR(J384/H384,0)</x:f>
        <x:v>0.8</x:v>
      </x:c>
      <x:c r="R384" s="24" t="n">
        <x:f>IFERROR(F384/H384,0)</x:f>
        <x:v>0.2</x:v>
      </x:c>
      <x:c r="S384" s="24" t="n">
        <x:f>IFERROR(F384/J384,0)</x:f>
        <x:v>0.25</x:v>
      </x:c>
      <x:c r="T384" s="28" t="n">
        <x:f>H384-I384</x:f>
        <x:v>-7</x:v>
      </x:c>
      <x:c r="U384" s="24" t="n">
        <x:f>IFERROR(J384/H384,0)-IFERROR(K384/I384,0)</x:f>
        <x:v>0.30000000000000004</x:v>
      </x:c>
      <x:c r="V384" s="24" t="n">
        <x:f>IFERROR(F384/J384,0)-IFERROR(G384/K384,0)</x:f>
        <x:v>-0.41666666666666663</x:v>
      </x:c>
      <x:c r="W384" s="28" t="n">
        <x:f>L384-M384</x:f>
        <x:v>-3</x:v>
      </x:c>
      <x:c r="X384" s="24" t="n">
        <x:f>IFERROR(K384/I384,0)</x:f>
        <x:v>0.5</x:v>
      </x:c>
      <x:c r="Y384" s="24" t="n">
        <x:f>IFERROR(G384/I384,0)</x:f>
        <x:v>0.3333333333333333</x:v>
      </x:c>
      <x:c r="Z384" s="24" t="n">
        <x:f>IFERROR(G384/K384,0)</x:f>
        <x:v>0.6666666666666666</x:v>
      </x:c>
      <x:c r="AA384" s="24" t="n">
        <x:f>IFERROR(F384/H384,0)-IFERROR(G384/I384,0)</x:f>
        <x:v>-0.1333333333333333</x:v>
      </x:c>
      <x:c r="AB384" s="28" t="n">
        <x:f>J384-K384</x:f>
        <x:v>-2</x:v>
      </x:c>
      <x:c r="AC384" s="32" t="n">
        <x:f>F384-G384</x:f>
        <x:v>-3</x:v>
      </x:c>
    </x:row>
    <x:row r="385">
      <x:c r="A385" s="4" t="str">
        <x:v>2021-22</x:v>
      </x:c>
      <x:c r="B385" s="20" t="n">
        <x:v>44572</x:v>
      </x:c>
      <x:c r="C385" s="4" t="str">
        <x:v>Southampton</x:v>
      </x:c>
      <x:c r="D385" s="4" t="str">
        <x:v>Brentford</x:v>
      </x:c>
      <x:c r="E385" s="4" t="str">
        <x:v>Home</x:v>
      </x:c>
      <x:c r="F385" s="28" t="n">
        <x:v>4</x:v>
      </x:c>
      <x:c r="G385" s="28" t="n">
        <x:v>1</x:v>
      </x:c>
      <x:c r="H385" s="28" t="n">
        <x:v>12</x:v>
      </x:c>
      <x:c r="I385" s="28" t="n">
        <x:v>5</x:v>
      </x:c>
      <x:c r="J385" s="28" t="n">
        <x:v>6</x:v>
      </x:c>
      <x:c r="K385" s="28" t="n">
        <x:v>4</x:v>
      </x:c>
      <x:c r="L385" s="28" t="n">
        <x:v>5</x:v>
      </x:c>
      <x:c r="M385" s="28" t="n">
        <x:v>2</x:v>
      </x:c>
      <x:c r="N385" s="28" t="n">
        <x:v>0</x:v>
      </x:c>
      <x:c r="O385" s="28" t="n">
        <x:v>0</x:v>
      </x:c>
      <x:c r="P385" s="28" t="n">
        <x:v>3</x:v>
      </x:c>
      <x:c r="Q385" s="24" t="n">
        <x:f>IFERROR(J385/H385,0)</x:f>
        <x:v>0.5</x:v>
      </x:c>
      <x:c r="R385" s="24" t="n">
        <x:f>IFERROR(F385/H385,0)</x:f>
        <x:v>0.3333333333333333</x:v>
      </x:c>
      <x:c r="S385" s="24" t="n">
        <x:f>IFERROR(F385/J385,0)</x:f>
        <x:v>0.6666666666666666</x:v>
      </x:c>
      <x:c r="T385" s="28" t="n">
        <x:f>H385-I385</x:f>
        <x:v>7</x:v>
      </x:c>
      <x:c r="U385" s="24" t="n">
        <x:f>IFERROR(J385/H385,0)-IFERROR(K385/I385,0)</x:f>
        <x:v>-0.30000000000000004</x:v>
      </x:c>
      <x:c r="V385" s="24" t="n">
        <x:f>IFERROR(F385/J385,0)-IFERROR(G385/K385,0)</x:f>
        <x:v>0.41666666666666663</x:v>
      </x:c>
      <x:c r="W385" s="28" t="n">
        <x:f>L385-M385</x:f>
        <x:v>3</x:v>
      </x:c>
      <x:c r="X385" s="24" t="n">
        <x:f>IFERROR(K385/I385,0)</x:f>
        <x:v>0.8</x:v>
      </x:c>
      <x:c r="Y385" s="24" t="n">
        <x:f>IFERROR(G385/I385,0)</x:f>
        <x:v>0.2</x:v>
      </x:c>
      <x:c r="Z385" s="24" t="n">
        <x:f>IFERROR(G385/K385,0)</x:f>
        <x:v>0.25</x:v>
      </x:c>
      <x:c r="AA385" s="24" t="n">
        <x:f>IFERROR(F385/H385,0)-IFERROR(G385/I385,0)</x:f>
        <x:v>0.1333333333333333</x:v>
      </x:c>
      <x:c r="AB385" s="28" t="n">
        <x:f>J385-K385</x:f>
        <x:v>2</x:v>
      </x:c>
      <x:c r="AC385" s="32" t="n">
        <x:f>F385-G385</x:f>
        <x:v>3</x:v>
      </x:c>
    </x:row>
    <x:row r="386">
      <x:c r="A386" s="4" t="str">
        <x:v>2021-22</x:v>
      </x:c>
      <x:c r="B386" s="20" t="n">
        <x:v>44573</x:v>
      </x:c>
      <x:c r="C386" s="4" t="str">
        <x:v>Norwich</x:v>
      </x:c>
      <x:c r="D386" s="4" t="str">
        <x:v>West Ham</x:v>
      </x:c>
      <x:c r="E386" s="4" t="str">
        <x:v>Away</x:v>
      </x:c>
      <x:c r="F386" s="28" t="n">
        <x:v>0</x:v>
      </x:c>
      <x:c r="G386" s="28" t="n">
        <x:v>2</x:v>
      </x:c>
      <x:c r="H386" s="28" t="n">
        <x:v>7</x:v>
      </x:c>
      <x:c r="I386" s="28" t="n">
        <x:v>13</x:v>
      </x:c>
      <x:c r="J386" s="28" t="n">
        <x:v>3</x:v>
      </x:c>
      <x:c r="K386" s="28" t="n">
        <x:v>5</x:v>
      </x:c>
      <x:c r="L386" s="28" t="n">
        <x:v>2</x:v>
      </x:c>
      <x:c r="M386" s="28" t="n">
        <x:v>11</x:v>
      </x:c>
      <x:c r="N386" s="28" t="n">
        <x:v>0</x:v>
      </x:c>
      <x:c r="O386" s="28" t="n">
        <x:v>0</x:v>
      </x:c>
      <x:c r="P386" s="28" t="n">
        <x:v>0</x:v>
      </x:c>
      <x:c r="Q386" s="24" t="n">
        <x:f>IFERROR(J386/H386,0)</x:f>
        <x:v>0.42857142857142855</x:v>
      </x:c>
      <x:c r="R386" s="24" t="n">
        <x:f>IFERROR(F386/H386,0)</x:f>
        <x:v>0</x:v>
      </x:c>
      <x:c r="S386" s="24" t="n">
        <x:f>IFERROR(F386/J386,0)</x:f>
        <x:v>0</x:v>
      </x:c>
      <x:c r="T386" s="28" t="n">
        <x:f>H386-I386</x:f>
        <x:v>-6</x:v>
      </x:c>
      <x:c r="U386" s="24" t="n">
        <x:f>IFERROR(J386/H386,0)-IFERROR(K386/I386,0)</x:f>
        <x:v>0.04395604395604391</x:v>
      </x:c>
      <x:c r="V386" s="24" t="n">
        <x:f>IFERROR(F386/J386,0)-IFERROR(G386/K386,0)</x:f>
        <x:v>-0.4</x:v>
      </x:c>
      <x:c r="W386" s="28" t="n">
        <x:f>L386-M386</x:f>
        <x:v>-9</x:v>
      </x:c>
      <x:c r="X386" s="24" t="n">
        <x:f>IFERROR(K386/I386,0)</x:f>
        <x:v>0.38461538461538464</x:v>
      </x:c>
      <x:c r="Y386" s="24" t="n">
        <x:f>IFERROR(G386/I386,0)</x:f>
        <x:v>0.15384615384615385</x:v>
      </x:c>
      <x:c r="Z386" s="24" t="n">
        <x:f>IFERROR(G386/K386,0)</x:f>
        <x:v>0.4</x:v>
      </x:c>
      <x:c r="AA386" s="24" t="n">
        <x:f>IFERROR(F386/H386,0)-IFERROR(G386/I386,0)</x:f>
        <x:v>-0.15384615384615385</x:v>
      </x:c>
      <x:c r="AB386" s="28" t="n">
        <x:f>J386-K386</x:f>
        <x:v>-2</x:v>
      </x:c>
      <x:c r="AC386" s="32" t="n">
        <x:f>F386-G386</x:f>
        <x:v>-2</x:v>
      </x:c>
    </x:row>
    <x:row r="387">
      <x:c r="A387" s="4" t="str">
        <x:v>2021-22</x:v>
      </x:c>
      <x:c r="B387" s="20" t="n">
        <x:v>44573</x:v>
      </x:c>
      <x:c r="C387" s="4" t="str">
        <x:v>West Ham</x:v>
      </x:c>
      <x:c r="D387" s="4" t="str">
        <x:v>Norwich</x:v>
      </x:c>
      <x:c r="E387" s="4" t="str">
        <x:v>Home</x:v>
      </x:c>
      <x:c r="F387" s="28" t="n">
        <x:v>2</x:v>
      </x:c>
      <x:c r="G387" s="28" t="n">
        <x:v>0</x:v>
      </x:c>
      <x:c r="H387" s="28" t="n">
        <x:v>13</x:v>
      </x:c>
      <x:c r="I387" s="28" t="n">
        <x:v>7</x:v>
      </x:c>
      <x:c r="J387" s="28" t="n">
        <x:v>5</x:v>
      </x:c>
      <x:c r="K387" s="28" t="n">
        <x:v>3</x:v>
      </x:c>
      <x:c r="L387" s="28" t="n">
        <x:v>11</x:v>
      </x:c>
      <x:c r="M387" s="28" t="n">
        <x:v>2</x:v>
      </x:c>
      <x:c r="N387" s="28" t="n">
        <x:v>0</x:v>
      </x:c>
      <x:c r="O387" s="28" t="n">
        <x:v>0</x:v>
      </x:c>
      <x:c r="P387" s="28" t="n">
        <x:v>3</x:v>
      </x:c>
      <x:c r="Q387" s="24" t="n">
        <x:f>IFERROR(J387/H387,0)</x:f>
        <x:v>0.38461538461538464</x:v>
      </x:c>
      <x:c r="R387" s="24" t="n">
        <x:f>IFERROR(F387/H387,0)</x:f>
        <x:v>0.15384615384615385</x:v>
      </x:c>
      <x:c r="S387" s="24" t="n">
        <x:f>IFERROR(F387/J387,0)</x:f>
        <x:v>0.4</x:v>
      </x:c>
      <x:c r="T387" s="28" t="n">
        <x:f>H387-I387</x:f>
        <x:v>6</x:v>
      </x:c>
      <x:c r="U387" s="24" t="n">
        <x:f>IFERROR(J387/H387,0)-IFERROR(K387/I387,0)</x:f>
        <x:v>-0.04395604395604391</x:v>
      </x:c>
      <x:c r="V387" s="24" t="n">
        <x:f>IFERROR(F387/J387,0)-IFERROR(G387/K387,0)</x:f>
        <x:v>0.4</x:v>
      </x:c>
      <x:c r="W387" s="28" t="n">
        <x:f>L387-M387</x:f>
        <x:v>9</x:v>
      </x:c>
      <x:c r="X387" s="24" t="n">
        <x:f>IFERROR(K387/I387,0)</x:f>
        <x:v>0.42857142857142855</x:v>
      </x:c>
      <x:c r="Y387" s="24" t="n">
        <x:f>IFERROR(G387/I387,0)</x:f>
        <x:v>0</x:v>
      </x:c>
      <x:c r="Z387" s="24" t="n">
        <x:f>IFERROR(G387/K387,0)</x:f>
        <x:v>0</x:v>
      </x:c>
      <x:c r="AA387" s="24" t="n">
        <x:f>IFERROR(F387/H387,0)-IFERROR(G387/I387,0)</x:f>
        <x:v>0.15384615384615385</x:v>
      </x:c>
      <x:c r="AB387" s="28" t="n">
        <x:f>J387-K387</x:f>
        <x:v>2</x:v>
      </x:c>
      <x:c r="AC387" s="32" t="n">
        <x:f>F387-G387</x:f>
        <x:v>2</x:v>
      </x:c>
    </x:row>
    <x:row r="388">
      <x:c r="A388" s="4" t="str">
        <x:v>2021-22</x:v>
      </x:c>
      <x:c r="B388" s="20" t="n">
        <x:v>44575</x:v>
      </x:c>
      <x:c r="C388" s="4" t="str">
        <x:v>Brighton</x:v>
      </x:c>
      <x:c r="D388" s="4" t="str">
        <x:v>Crystal Palace</x:v>
      </x:c>
      <x:c r="E388" s="4" t="str">
        <x:v>Home</x:v>
      </x:c>
      <x:c r="F388" s="28" t="n">
        <x:v>1</x:v>
      </x:c>
      <x:c r="G388" s="28" t="n">
        <x:v>1</x:v>
      </x:c>
      <x:c r="H388" s="28" t="n">
        <x:v>19</x:v>
      </x:c>
      <x:c r="I388" s="28" t="n">
        <x:v>3</x:v>
      </x:c>
      <x:c r="J388" s="28" t="n">
        <x:v>4</x:v>
      </x:c>
      <x:c r="K388" s="28" t="n">
        <x:v>1</x:v>
      </x:c>
      <x:c r="L388" s="28" t="n">
        <x:v>9</x:v>
      </x:c>
      <x:c r="M388" s="28" t="n">
        <x:v>0</x:v>
      </x:c>
      <x:c r="N388" s="28" t="n">
        <x:v>0</x:v>
      </x:c>
      <x:c r="O388" s="28" t="n">
        <x:v>0</x:v>
      </x:c>
      <x:c r="P388" s="28" t="n">
        <x:v>1</x:v>
      </x:c>
      <x:c r="Q388" s="24" t="n">
        <x:f>IFERROR(J388/H388,0)</x:f>
        <x:v>0.21052631578947367</x:v>
      </x:c>
      <x:c r="R388" s="24" t="n">
        <x:f>IFERROR(F388/H388,0)</x:f>
        <x:v>0.05263157894736842</x:v>
      </x:c>
      <x:c r="S388" s="24" t="n">
        <x:f>IFERROR(F388/J388,0)</x:f>
        <x:v>0.25</x:v>
      </x:c>
      <x:c r="T388" s="28" t="n">
        <x:f>H388-I388</x:f>
        <x:v>16</x:v>
      </x:c>
      <x:c r="U388" s="24" t="n">
        <x:f>IFERROR(J388/H388,0)-IFERROR(K388/I388,0)</x:f>
        <x:v>-0.12280701754385964</x:v>
      </x:c>
      <x:c r="V388" s="24" t="n">
        <x:f>IFERROR(F388/J388,0)-IFERROR(G388/K388,0)</x:f>
        <x:v>-0.75</x:v>
      </x:c>
      <x:c r="W388" s="28" t="n">
        <x:f>L388-M388</x:f>
        <x:v>9</x:v>
      </x:c>
      <x:c r="X388" s="24" t="n">
        <x:f>IFERROR(K388/I388,0)</x:f>
        <x:v>0.3333333333333333</x:v>
      </x:c>
      <x:c r="Y388" s="24" t="n">
        <x:f>IFERROR(G388/I388,0)</x:f>
        <x:v>0.3333333333333333</x:v>
      </x:c>
      <x:c r="Z388" s="24" t="n">
        <x:f>IFERROR(G388/K388,0)</x:f>
        <x:v>1</x:v>
      </x:c>
      <x:c r="AA388" s="24" t="n">
        <x:f>IFERROR(F388/H388,0)-IFERROR(G388/I388,0)</x:f>
        <x:v>-0.2807017543859649</x:v>
      </x:c>
      <x:c r="AB388" s="28" t="n">
        <x:f>J388-K388</x:f>
        <x:v>3</x:v>
      </x:c>
      <x:c r="AC388" s="32" t="n">
        <x:f>F388-G388</x:f>
        <x:v>0</x:v>
      </x:c>
    </x:row>
    <x:row r="389">
      <x:c r="A389" s="4" t="str">
        <x:v>2021-22</x:v>
      </x:c>
      <x:c r="B389" s="20" t="n">
        <x:v>44575</x:v>
      </x:c>
      <x:c r="C389" s="4" t="str">
        <x:v>Crystal Palace</x:v>
      </x:c>
      <x:c r="D389" s="4" t="str">
        <x:v>Brighton</x:v>
      </x:c>
      <x:c r="E389" s="4" t="str">
        <x:v>Away</x:v>
      </x:c>
      <x:c r="F389" s="28" t="n">
        <x:v>1</x:v>
      </x:c>
      <x:c r="G389" s="28" t="n">
        <x:v>1</x:v>
      </x:c>
      <x:c r="H389" s="28" t="n">
        <x:v>3</x:v>
      </x:c>
      <x:c r="I389" s="28" t="n">
        <x:v>19</x:v>
      </x:c>
      <x:c r="J389" s="28" t="n">
        <x:v>1</x:v>
      </x:c>
      <x:c r="K389" s="28" t="n">
        <x:v>4</x:v>
      </x:c>
      <x:c r="L389" s="28" t="n">
        <x:v>0</x:v>
      </x:c>
      <x:c r="M389" s="28" t="n">
        <x:v>9</x:v>
      </x:c>
      <x:c r="N389" s="28" t="n">
        <x:v>2</x:v>
      </x:c>
      <x:c r="O389" s="28" t="n">
        <x:v>0</x:v>
      </x:c>
      <x:c r="P389" s="28" t="n">
        <x:v>1</x:v>
      </x:c>
      <x:c r="Q389" s="24" t="n">
        <x:f>IFERROR(J389/H389,0)</x:f>
        <x:v>0.3333333333333333</x:v>
      </x:c>
      <x:c r="R389" s="24" t="n">
        <x:f>IFERROR(F389/H389,0)</x:f>
        <x:v>0.3333333333333333</x:v>
      </x:c>
      <x:c r="S389" s="24" t="n">
        <x:f>IFERROR(F389/J389,0)</x:f>
        <x:v>1</x:v>
      </x:c>
      <x:c r="T389" s="28" t="n">
        <x:f>H389-I389</x:f>
        <x:v>-16</x:v>
      </x:c>
      <x:c r="U389" s="24" t="n">
        <x:f>IFERROR(J389/H389,0)-IFERROR(K389/I389,0)</x:f>
        <x:v>0.12280701754385964</x:v>
      </x:c>
      <x:c r="V389" s="24" t="n">
        <x:f>IFERROR(F389/J389,0)-IFERROR(G389/K389,0)</x:f>
        <x:v>0.75</x:v>
      </x:c>
      <x:c r="W389" s="28" t="n">
        <x:f>L389-M389</x:f>
        <x:v>-9</x:v>
      </x:c>
      <x:c r="X389" s="24" t="n">
        <x:f>IFERROR(K389/I389,0)</x:f>
        <x:v>0.21052631578947367</x:v>
      </x:c>
      <x:c r="Y389" s="24" t="n">
        <x:f>IFERROR(G389/I389,0)</x:f>
        <x:v>0.05263157894736842</x:v>
      </x:c>
      <x:c r="Z389" s="24" t="n">
        <x:f>IFERROR(G389/K389,0)</x:f>
        <x:v>0.25</x:v>
      </x:c>
      <x:c r="AA389" s="24" t="n">
        <x:f>IFERROR(F389/H389,0)-IFERROR(G389/I389,0)</x:f>
        <x:v>0.2807017543859649</x:v>
      </x:c>
      <x:c r="AB389" s="28" t="n">
        <x:f>J389-K389</x:f>
        <x:v>-3</x:v>
      </x:c>
      <x:c r="AC389" s="32" t="n">
        <x:f>F389-G389</x:f>
        <x:v>0</x:v>
      </x:c>
    </x:row>
    <x:row r="390">
      <x:c r="A390" s="4" t="str">
        <x:v>2021-22</x:v>
      </x:c>
      <x:c r="B390" s="20" t="n">
        <x:v>44576</x:v>
      </x:c>
      <x:c r="C390" s="4" t="str">
        <x:v>Aston Villa</x:v>
      </x:c>
      <x:c r="D390" s="4" t="str">
        <x:v>Man United</x:v>
      </x:c>
      <x:c r="E390" s="4" t="str">
        <x:v>Home</x:v>
      </x:c>
      <x:c r="F390" s="28" t="n">
        <x:v>2</x:v>
      </x:c>
      <x:c r="G390" s="28" t="n">
        <x:v>2</x:v>
      </x:c>
      <x:c r="H390" s="28" t="n">
        <x:v>13</x:v>
      </x:c>
      <x:c r="I390" s="28" t="n">
        <x:v>13</x:v>
      </x:c>
      <x:c r="J390" s="28" t="n">
        <x:v>9</x:v>
      </x:c>
      <x:c r="K390" s="28" t="n">
        <x:v>6</x:v>
      </x:c>
      <x:c r="L390" s="28" t="n">
        <x:v>3</x:v>
      </x:c>
      <x:c r="M390" s="28" t="n">
        <x:v>6</x:v>
      </x:c>
      <x:c r="N390" s="28" t="n">
        <x:v>1</x:v>
      </x:c>
      <x:c r="O390" s="28" t="n">
        <x:v>0</x:v>
      </x:c>
      <x:c r="P390" s="28" t="n">
        <x:v>1</x:v>
      </x:c>
      <x:c r="Q390" s="24" t="n">
        <x:f>IFERROR(J390/H390,0)</x:f>
        <x:v>0.6923076923076923</x:v>
      </x:c>
      <x:c r="R390" s="24" t="n">
        <x:f>IFERROR(F390/H390,0)</x:f>
        <x:v>0.15384615384615385</x:v>
      </x:c>
      <x:c r="S390" s="24" t="n">
        <x:f>IFERROR(F390/J390,0)</x:f>
        <x:v>0.2222222222222222</x:v>
      </x:c>
      <x:c r="T390" s="28" t="n">
        <x:f>H390-I390</x:f>
        <x:v>0</x:v>
      </x:c>
      <x:c r="U390" s="24" t="n">
        <x:f>IFERROR(J390/H390,0)-IFERROR(K390/I390,0)</x:f>
        <x:v>0.23076923076923073</x:v>
      </x:c>
      <x:c r="V390" s="24" t="n">
        <x:f>IFERROR(F390/J390,0)-IFERROR(G390/K390,0)</x:f>
        <x:v>-0.1111111111111111</x:v>
      </x:c>
      <x:c r="W390" s="28" t="n">
        <x:f>L390-M390</x:f>
        <x:v>-3</x:v>
      </x:c>
      <x:c r="X390" s="24" t="n">
        <x:f>IFERROR(K390/I390,0)</x:f>
        <x:v>0.46153846153846156</x:v>
      </x:c>
      <x:c r="Y390" s="24" t="n">
        <x:f>IFERROR(G390/I390,0)</x:f>
        <x:v>0.15384615384615385</x:v>
      </x:c>
      <x:c r="Z390" s="24" t="n">
        <x:f>IFERROR(G390/K390,0)</x:f>
        <x:v>0.3333333333333333</x:v>
      </x:c>
      <x:c r="AA390" s="24" t="n">
        <x:f>IFERROR(F390/H390,0)-IFERROR(G390/I390,0)</x:f>
        <x:v>0</x:v>
      </x:c>
      <x:c r="AB390" s="28" t="n">
        <x:f>J390-K390</x:f>
        <x:v>3</x:v>
      </x:c>
      <x:c r="AC390" s="32" t="n">
        <x:f>F390-G390</x:f>
        <x:v>0</x:v>
      </x:c>
    </x:row>
    <x:row r="391">
      <x:c r="A391" s="4" t="str">
        <x:v>2021-22</x:v>
      </x:c>
      <x:c r="B391" s="20" t="n">
        <x:v>44576</x:v>
      </x:c>
      <x:c r="C391" s="4" t="str">
        <x:v>Chelsea</x:v>
      </x:c>
      <x:c r="D391" s="4" t="str">
        <x:v>Man City</x:v>
      </x:c>
      <x:c r="E391" s="4" t="str">
        <x:v>Away</x:v>
      </x:c>
      <x:c r="F391" s="28" t="n">
        <x:v>0</x:v>
      </x:c>
      <x:c r="G391" s="28" t="n">
        <x:v>1</x:v>
      </x:c>
      <x:c r="H391" s="28" t="n">
        <x:v>4</x:v>
      </x:c>
      <x:c r="I391" s="28" t="n">
        <x:v>11</x:v>
      </x:c>
      <x:c r="J391" s="28" t="n">
        <x:v>1</x:v>
      </x:c>
      <x:c r="K391" s="28" t="n">
        <x:v>6</x:v>
      </x:c>
      <x:c r="L391" s="28" t="n">
        <x:v>1</x:v>
      </x:c>
      <x:c r="M391" s="28" t="n">
        <x:v>9</x:v>
      </x:c>
      <x:c r="N391" s="28" t="n">
        <x:v>2</x:v>
      </x:c>
      <x:c r="O391" s="28" t="n">
        <x:v>0</x:v>
      </x:c>
      <x:c r="P391" s="28" t="n">
        <x:v>0</x:v>
      </x:c>
      <x:c r="Q391" s="24" t="n">
        <x:f>IFERROR(J391/H391,0)</x:f>
        <x:v>0.25</x:v>
      </x:c>
      <x:c r="R391" s="24" t="n">
        <x:f>IFERROR(F391/H391,0)</x:f>
        <x:v>0</x:v>
      </x:c>
      <x:c r="S391" s="24" t="n">
        <x:f>IFERROR(F391/J391,0)</x:f>
        <x:v>0</x:v>
      </x:c>
      <x:c r="T391" s="28" t="n">
        <x:f>H391-I391</x:f>
        <x:v>-7</x:v>
      </x:c>
      <x:c r="U391" s="24" t="n">
        <x:f>IFERROR(J391/H391,0)-IFERROR(K391/I391,0)</x:f>
        <x:v>-0.2954545454545454</x:v>
      </x:c>
      <x:c r="V391" s="24" t="n">
        <x:f>IFERROR(F391/J391,0)-IFERROR(G391/K391,0)</x:f>
        <x:v>-0.16666666666666666</x:v>
      </x:c>
      <x:c r="W391" s="28" t="n">
        <x:f>L391-M391</x:f>
        <x:v>-8</x:v>
      </x:c>
      <x:c r="X391" s="24" t="n">
        <x:f>IFERROR(K391/I391,0)</x:f>
        <x:v>0.5454545454545454</x:v>
      </x:c>
      <x:c r="Y391" s="24" t="n">
        <x:f>IFERROR(G391/I391,0)</x:f>
        <x:v>0.09090909090909091</x:v>
      </x:c>
      <x:c r="Z391" s="24" t="n">
        <x:f>IFERROR(G391/K391,0)</x:f>
        <x:v>0.16666666666666666</x:v>
      </x:c>
      <x:c r="AA391" s="24" t="n">
        <x:f>IFERROR(F391/H391,0)-IFERROR(G391/I391,0)</x:f>
        <x:v>-0.09090909090909091</x:v>
      </x:c>
      <x:c r="AB391" s="28" t="n">
        <x:f>J391-K391</x:f>
        <x:v>-5</x:v>
      </x:c>
      <x:c r="AC391" s="32" t="n">
        <x:f>F391-G391</x:f>
        <x:v>-1</x:v>
      </x:c>
    </x:row>
    <x:row r="392">
      <x:c r="A392" s="4" t="str">
        <x:v>2021-22</x:v>
      </x:c>
      <x:c r="B392" s="20" t="n">
        <x:v>44576</x:v>
      </x:c>
      <x:c r="C392" s="4" t="str">
        <x:v>Everton</x:v>
      </x:c>
      <x:c r="D392" s="4" t="str">
        <x:v>Norwich</x:v>
      </x:c>
      <x:c r="E392" s="4" t="str">
        <x:v>Away</x:v>
      </x:c>
      <x:c r="F392" s="28" t="n">
        <x:v>1</x:v>
      </x:c>
      <x:c r="G392" s="28" t="n">
        <x:v>2</x:v>
      </x:c>
      <x:c r="H392" s="28" t="n">
        <x:v>12</x:v>
      </x:c>
      <x:c r="I392" s="28" t="n">
        <x:v>14</x:v>
      </x:c>
      <x:c r="J392" s="28" t="n">
        <x:v>5</x:v>
      </x:c>
      <x:c r="K392" s="28" t="n">
        <x:v>3</x:v>
      </x:c>
      <x:c r="L392" s="28" t="n">
        <x:v>8</x:v>
      </x:c>
      <x:c r="M392" s="28" t="n">
        <x:v>8</x:v>
      </x:c>
      <x:c r="N392" s="28" t="n">
        <x:v>1</x:v>
      </x:c>
      <x:c r="O392" s="28" t="n">
        <x:v>0</x:v>
      </x:c>
      <x:c r="P392" s="28" t="n">
        <x:v>0</x:v>
      </x:c>
      <x:c r="Q392" s="24" t="n">
        <x:f>IFERROR(J392/H392,0)</x:f>
        <x:v>0.4166666666666667</x:v>
      </x:c>
      <x:c r="R392" s="24" t="n">
        <x:f>IFERROR(F392/H392,0)</x:f>
        <x:v>0.08333333333333333</x:v>
      </x:c>
      <x:c r="S392" s="24" t="n">
        <x:f>IFERROR(F392/J392,0)</x:f>
        <x:v>0.2</x:v>
      </x:c>
      <x:c r="T392" s="28" t="n">
        <x:f>H392-I392</x:f>
        <x:v>-2</x:v>
      </x:c>
      <x:c r="U392" s="24" t="n">
        <x:f>IFERROR(J392/H392,0)-IFERROR(K392/I392,0)</x:f>
        <x:v>0.2023809523809524</x:v>
      </x:c>
      <x:c r="V392" s="24" t="n">
        <x:f>IFERROR(F392/J392,0)-IFERROR(G392/K392,0)</x:f>
        <x:v>-0.4666666666666666</x:v>
      </x:c>
      <x:c r="W392" s="28" t="n">
        <x:f>L392-M392</x:f>
        <x:v>0</x:v>
      </x:c>
      <x:c r="X392" s="24" t="n">
        <x:f>IFERROR(K392/I392,0)</x:f>
        <x:v>0.21428571428571427</x:v>
      </x:c>
      <x:c r="Y392" s="24" t="n">
        <x:f>IFERROR(G392/I392,0)</x:f>
        <x:v>0.14285714285714285</x:v>
      </x:c>
      <x:c r="Z392" s="24" t="n">
        <x:f>IFERROR(G392/K392,0)</x:f>
        <x:v>0.6666666666666666</x:v>
      </x:c>
      <x:c r="AA392" s="24" t="n">
        <x:f>IFERROR(F392/H392,0)-IFERROR(G392/I392,0)</x:f>
        <x:v>-0.05952380952380952</x:v>
      </x:c>
      <x:c r="AB392" s="28" t="n">
        <x:f>J392-K392</x:f>
        <x:v>2</x:v>
      </x:c>
      <x:c r="AC392" s="32" t="n">
        <x:f>F392-G392</x:f>
        <x:v>-1</x:v>
      </x:c>
    </x:row>
    <x:row r="393">
      <x:c r="A393" s="4" t="str">
        <x:v>2021-22</x:v>
      </x:c>
      <x:c r="B393" s="20" t="n">
        <x:v>44576</x:v>
      </x:c>
      <x:c r="C393" s="4" t="str">
        <x:v>Man City</x:v>
      </x:c>
      <x:c r="D393" s="4" t="str">
        <x:v>Chelsea</x:v>
      </x:c>
      <x:c r="E393" s="4" t="str">
        <x:v>Home</x:v>
      </x:c>
      <x:c r="F393" s="28" t="n">
        <x:v>1</x:v>
      </x:c>
      <x:c r="G393" s="28" t="n">
        <x:v>0</x:v>
      </x:c>
      <x:c r="H393" s="28" t="n">
        <x:v>11</x:v>
      </x:c>
      <x:c r="I393" s="28" t="n">
        <x:v>4</x:v>
      </x:c>
      <x:c r="J393" s="28" t="n">
        <x:v>6</x:v>
      </x:c>
      <x:c r="K393" s="28" t="n">
        <x:v>1</x:v>
      </x:c>
      <x:c r="L393" s="28" t="n">
        <x:v>9</x:v>
      </x:c>
      <x:c r="M393" s="28" t="n">
        <x:v>1</x:v>
      </x:c>
      <x:c r="N393" s="28" t="n">
        <x:v>0</x:v>
      </x:c>
      <x:c r="O393" s="28" t="n">
        <x:v>0</x:v>
      </x:c>
      <x:c r="P393" s="28" t="n">
        <x:v>3</x:v>
      </x:c>
      <x:c r="Q393" s="24" t="n">
        <x:f>IFERROR(J393/H393,0)</x:f>
        <x:v>0.5454545454545454</x:v>
      </x:c>
      <x:c r="R393" s="24" t="n">
        <x:f>IFERROR(F393/H393,0)</x:f>
        <x:v>0.09090909090909091</x:v>
      </x:c>
      <x:c r="S393" s="24" t="n">
        <x:f>IFERROR(F393/J393,0)</x:f>
        <x:v>0.16666666666666666</x:v>
      </x:c>
      <x:c r="T393" s="28" t="n">
        <x:f>H393-I393</x:f>
        <x:v>7</x:v>
      </x:c>
      <x:c r="U393" s="24" t="n">
        <x:f>IFERROR(J393/H393,0)-IFERROR(K393/I393,0)</x:f>
        <x:v>0.2954545454545454</x:v>
      </x:c>
      <x:c r="V393" s="24" t="n">
        <x:f>IFERROR(F393/J393,0)-IFERROR(G393/K393,0)</x:f>
        <x:v>0.16666666666666666</x:v>
      </x:c>
      <x:c r="W393" s="28" t="n">
        <x:f>L393-M393</x:f>
        <x:v>8</x:v>
      </x:c>
      <x:c r="X393" s="24" t="n">
        <x:f>IFERROR(K393/I393,0)</x:f>
        <x:v>0.25</x:v>
      </x:c>
      <x:c r="Y393" s="24" t="n">
        <x:f>IFERROR(G393/I393,0)</x:f>
        <x:v>0</x:v>
      </x:c>
      <x:c r="Z393" s="24" t="n">
        <x:f>IFERROR(G393/K393,0)</x:f>
        <x:v>0</x:v>
      </x:c>
      <x:c r="AA393" s="24" t="n">
        <x:f>IFERROR(F393/H393,0)-IFERROR(G393/I393,0)</x:f>
        <x:v>0.09090909090909091</x:v>
      </x:c>
      <x:c r="AB393" s="28" t="n">
        <x:f>J393-K393</x:f>
        <x:v>5</x:v>
      </x:c>
      <x:c r="AC393" s="32" t="n">
        <x:f>F393-G393</x:f>
        <x:v>1</x:v>
      </x:c>
    </x:row>
    <x:row r="394">
      <x:c r="A394" s="4" t="str">
        <x:v>2021-22</x:v>
      </x:c>
      <x:c r="B394" s="20" t="n">
        <x:v>44576</x:v>
      </x:c>
      <x:c r="C394" s="4" t="str">
        <x:v>Man United</x:v>
      </x:c>
      <x:c r="D394" s="4" t="str">
        <x:v>Aston Villa</x:v>
      </x:c>
      <x:c r="E394" s="4" t="str">
        <x:v>Away</x:v>
      </x:c>
      <x:c r="F394" s="28" t="n">
        <x:v>2</x:v>
      </x:c>
      <x:c r="G394" s="28" t="n">
        <x:v>2</x:v>
      </x:c>
      <x:c r="H394" s="28" t="n">
        <x:v>13</x:v>
      </x:c>
      <x:c r="I394" s="28" t="n">
        <x:v>13</x:v>
      </x:c>
      <x:c r="J394" s="28" t="n">
        <x:v>6</x:v>
      </x:c>
      <x:c r="K394" s="28" t="n">
        <x:v>9</x:v>
      </x:c>
      <x:c r="L394" s="28" t="n">
        <x:v>6</x:v>
      </x:c>
      <x:c r="M394" s="28" t="n">
        <x:v>3</x:v>
      </x:c>
      <x:c r="N394" s="28" t="n">
        <x:v>2</x:v>
      </x:c>
      <x:c r="O394" s="28" t="n">
        <x:v>0</x:v>
      </x:c>
      <x:c r="P394" s="28" t="n">
        <x:v>1</x:v>
      </x:c>
      <x:c r="Q394" s="24" t="n">
        <x:f>IFERROR(J394/H394,0)</x:f>
        <x:v>0.46153846153846156</x:v>
      </x:c>
      <x:c r="R394" s="24" t="n">
        <x:f>IFERROR(F394/H394,0)</x:f>
        <x:v>0.15384615384615385</x:v>
      </x:c>
      <x:c r="S394" s="24" t="n">
        <x:f>IFERROR(F394/J394,0)</x:f>
        <x:v>0.3333333333333333</x:v>
      </x:c>
      <x:c r="T394" s="28" t="n">
        <x:f>H394-I394</x:f>
        <x:v>0</x:v>
      </x:c>
      <x:c r="U394" s="24" t="n">
        <x:f>IFERROR(J394/H394,0)-IFERROR(K394/I394,0)</x:f>
        <x:v>-0.23076923076923073</x:v>
      </x:c>
      <x:c r="V394" s="24" t="n">
        <x:f>IFERROR(F394/J394,0)-IFERROR(G394/K394,0)</x:f>
        <x:v>0.1111111111111111</x:v>
      </x:c>
      <x:c r="W394" s="28" t="n">
        <x:f>L394-M394</x:f>
        <x:v>3</x:v>
      </x:c>
      <x:c r="X394" s="24" t="n">
        <x:f>IFERROR(K394/I394,0)</x:f>
        <x:v>0.6923076923076923</x:v>
      </x:c>
      <x:c r="Y394" s="24" t="n">
        <x:f>IFERROR(G394/I394,0)</x:f>
        <x:v>0.15384615384615385</x:v>
      </x:c>
      <x:c r="Z394" s="24" t="n">
        <x:f>IFERROR(G394/K394,0)</x:f>
        <x:v>0.2222222222222222</x:v>
      </x:c>
      <x:c r="AA394" s="24" t="n">
        <x:f>IFERROR(F394/H394,0)-IFERROR(G394/I394,0)</x:f>
        <x:v>0</x:v>
      </x:c>
      <x:c r="AB394" s="28" t="n">
        <x:f>J394-K394</x:f>
        <x:v>-3</x:v>
      </x:c>
      <x:c r="AC394" s="32" t="n">
        <x:f>F394-G394</x:f>
        <x:v>0</x:v>
      </x:c>
    </x:row>
    <x:row r="395">
      <x:c r="A395" s="4" t="str">
        <x:v>2021-22</x:v>
      </x:c>
      <x:c r="B395" s="20" t="n">
        <x:v>44576</x:v>
      </x:c>
      <x:c r="C395" s="4" t="str">
        <x:v>Newcastle</x:v>
      </x:c>
      <x:c r="D395" s="4" t="str">
        <x:v>Watford</x:v>
      </x:c>
      <x:c r="E395" s="4" t="str">
        <x:v>Home</x:v>
      </x:c>
      <x:c r="F395" s="28" t="n">
        <x:v>1</x:v>
      </x:c>
      <x:c r="G395" s="28" t="n">
        <x:v>1</x:v>
      </x:c>
      <x:c r="H395" s="28" t="n">
        <x:v>12</x:v>
      </x:c>
      <x:c r="I395" s="28" t="n">
        <x:v>18</x:v>
      </x:c>
      <x:c r="J395" s="28" t="n">
        <x:v>1</x:v>
      </x:c>
      <x:c r="K395" s="28" t="n">
        <x:v>5</x:v>
      </x:c>
      <x:c r="L395" s="28" t="n">
        <x:v>4</x:v>
      </x:c>
      <x:c r="M395" s="28" t="n">
        <x:v>6</x:v>
      </x:c>
      <x:c r="N395" s="28" t="n">
        <x:v>3</x:v>
      </x:c>
      <x:c r="O395" s="28" t="n">
        <x:v>0</x:v>
      </x:c>
      <x:c r="P395" s="28" t="n">
        <x:v>1</x:v>
      </x:c>
      <x:c r="Q395" s="24" t="n">
        <x:f>IFERROR(J395/H395,0)</x:f>
        <x:v>0.08333333333333333</x:v>
      </x:c>
      <x:c r="R395" s="24" t="n">
        <x:f>IFERROR(F395/H395,0)</x:f>
        <x:v>0.08333333333333333</x:v>
      </x:c>
      <x:c r="S395" s="24" t="n">
        <x:f>IFERROR(F395/J395,0)</x:f>
        <x:v>1</x:v>
      </x:c>
      <x:c r="T395" s="28" t="n">
        <x:f>H395-I395</x:f>
        <x:v>-6</x:v>
      </x:c>
      <x:c r="U395" s="24" t="n">
        <x:f>IFERROR(J395/H395,0)-IFERROR(K395/I395,0)</x:f>
        <x:v>-0.19444444444444448</x:v>
      </x:c>
      <x:c r="V395" s="24" t="n">
        <x:f>IFERROR(F395/J395,0)-IFERROR(G395/K395,0)</x:f>
        <x:v>0.8</x:v>
      </x:c>
      <x:c r="W395" s="28" t="n">
        <x:f>L395-M395</x:f>
        <x:v>-2</x:v>
      </x:c>
      <x:c r="X395" s="24" t="n">
        <x:f>IFERROR(K395/I395,0)</x:f>
        <x:v>0.2777777777777778</x:v>
      </x:c>
      <x:c r="Y395" s="24" t="n">
        <x:f>IFERROR(G395/I395,0)</x:f>
        <x:v>0.05555555555555555</x:v>
      </x:c>
      <x:c r="Z395" s="24" t="n">
        <x:f>IFERROR(G395/K395,0)</x:f>
        <x:v>0.2</x:v>
      </x:c>
      <x:c r="AA395" s="24" t="n">
        <x:f>IFERROR(F395/H395,0)-IFERROR(G395/I395,0)</x:f>
        <x:v>0.027777777777777776</x:v>
      </x:c>
      <x:c r="AB395" s="28" t="n">
        <x:f>J395-K395</x:f>
        <x:v>-4</x:v>
      </x:c>
      <x:c r="AC395" s="32" t="n">
        <x:f>F395-G395</x:f>
        <x:v>0</x:v>
      </x:c>
    </x:row>
    <x:row r="396">
      <x:c r="A396" s="4" t="str">
        <x:v>2021-22</x:v>
      </x:c>
      <x:c r="B396" s="20" t="n">
        <x:v>44576</x:v>
      </x:c>
      <x:c r="C396" s="4" t="str">
        <x:v>Norwich</x:v>
      </x:c>
      <x:c r="D396" s="4" t="str">
        <x:v>Everton</x:v>
      </x:c>
      <x:c r="E396" s="4" t="str">
        <x:v>Home</x:v>
      </x:c>
      <x:c r="F396" s="28" t="n">
        <x:v>2</x:v>
      </x:c>
      <x:c r="G396" s="28" t="n">
        <x:v>1</x:v>
      </x:c>
      <x:c r="H396" s="28" t="n">
        <x:v>14</x:v>
      </x:c>
      <x:c r="I396" s="28" t="n">
        <x:v>12</x:v>
      </x:c>
      <x:c r="J396" s="28" t="n">
        <x:v>3</x:v>
      </x:c>
      <x:c r="K396" s="28" t="n">
        <x:v>5</x:v>
      </x:c>
      <x:c r="L396" s="28" t="n">
        <x:v>8</x:v>
      </x:c>
      <x:c r="M396" s="28" t="n">
        <x:v>8</x:v>
      </x:c>
      <x:c r="N396" s="28" t="n">
        <x:v>3</x:v>
      </x:c>
      <x:c r="O396" s="28" t="n">
        <x:v>0</x:v>
      </x:c>
      <x:c r="P396" s="28" t="n">
        <x:v>3</x:v>
      </x:c>
      <x:c r="Q396" s="24" t="n">
        <x:f>IFERROR(J396/H396,0)</x:f>
        <x:v>0.21428571428571427</x:v>
      </x:c>
      <x:c r="R396" s="24" t="n">
        <x:f>IFERROR(F396/H396,0)</x:f>
        <x:v>0.14285714285714285</x:v>
      </x:c>
      <x:c r="S396" s="24" t="n">
        <x:f>IFERROR(F396/J396,0)</x:f>
        <x:v>0.6666666666666666</x:v>
      </x:c>
      <x:c r="T396" s="28" t="n">
        <x:f>H396-I396</x:f>
        <x:v>2</x:v>
      </x:c>
      <x:c r="U396" s="24" t="n">
        <x:f>IFERROR(J396/H396,0)-IFERROR(K396/I396,0)</x:f>
        <x:v>-0.2023809523809524</x:v>
      </x:c>
      <x:c r="V396" s="24" t="n">
        <x:f>IFERROR(F396/J396,0)-IFERROR(G396/K396,0)</x:f>
        <x:v>0.4666666666666666</x:v>
      </x:c>
      <x:c r="W396" s="28" t="n">
        <x:f>L396-M396</x:f>
        <x:v>0</x:v>
      </x:c>
      <x:c r="X396" s="24" t="n">
        <x:f>IFERROR(K396/I396,0)</x:f>
        <x:v>0.4166666666666667</x:v>
      </x:c>
      <x:c r="Y396" s="24" t="n">
        <x:f>IFERROR(G396/I396,0)</x:f>
        <x:v>0.08333333333333333</x:v>
      </x:c>
      <x:c r="Z396" s="24" t="n">
        <x:f>IFERROR(G396/K396,0)</x:f>
        <x:v>0.2</x:v>
      </x:c>
      <x:c r="AA396" s="24" t="n">
        <x:f>IFERROR(F396/H396,0)-IFERROR(G396/I396,0)</x:f>
        <x:v>0.05952380952380952</x:v>
      </x:c>
      <x:c r="AB396" s="28" t="n">
        <x:f>J396-K396</x:f>
        <x:v>-2</x:v>
      </x:c>
      <x:c r="AC396" s="32" t="n">
        <x:f>F396-G396</x:f>
        <x:v>1</x:v>
      </x:c>
    </x:row>
    <x:row r="397">
      <x:c r="A397" s="4" t="str">
        <x:v>2021-22</x:v>
      </x:c>
      <x:c r="B397" s="20" t="n">
        <x:v>44576</x:v>
      </x:c>
      <x:c r="C397" s="4" t="str">
        <x:v>Southampton</x:v>
      </x:c>
      <x:c r="D397" s="4" t="str">
        <x:v>Wolves</x:v>
      </x:c>
      <x:c r="E397" s="4" t="str">
        <x:v>Away</x:v>
      </x:c>
      <x:c r="F397" s="28" t="n">
        <x:v>1</x:v>
      </x:c>
      <x:c r="G397" s="28" t="n">
        <x:v>3</x:v>
      </x:c>
      <x:c r="H397" s="28" t="n">
        <x:v>13</x:v>
      </x:c>
      <x:c r="I397" s="28" t="n">
        <x:v>9</x:v>
      </x:c>
      <x:c r="J397" s="28" t="n">
        <x:v>10</x:v>
      </x:c>
      <x:c r="K397" s="28" t="n">
        <x:v>5</x:v>
      </x:c>
      <x:c r="L397" s="28" t="n">
        <x:v>10</x:v>
      </x:c>
      <x:c r="M397" s="28" t="n">
        <x:v>2</x:v>
      </x:c>
      <x:c r="N397" s="28" t="n">
        <x:v>3</x:v>
      </x:c>
      <x:c r="O397" s="28" t="n">
        <x:v>0</x:v>
      </x:c>
      <x:c r="P397" s="28" t="n">
        <x:v>0</x:v>
      </x:c>
      <x:c r="Q397" s="24" t="n">
        <x:f>IFERROR(J397/H397,0)</x:f>
        <x:v>0.7692307692307693</x:v>
      </x:c>
      <x:c r="R397" s="24" t="n">
        <x:f>IFERROR(F397/H397,0)</x:f>
        <x:v>0.07692307692307693</x:v>
      </x:c>
      <x:c r="S397" s="24" t="n">
        <x:f>IFERROR(F397/J397,0)</x:f>
        <x:v>0.1</x:v>
      </x:c>
      <x:c r="T397" s="28" t="n">
        <x:f>H397-I397</x:f>
        <x:v>4</x:v>
      </x:c>
      <x:c r="U397" s="24" t="n">
        <x:f>IFERROR(J397/H397,0)-IFERROR(K397/I397,0)</x:f>
        <x:v>0.2136752136752137</x:v>
      </x:c>
      <x:c r="V397" s="24" t="n">
        <x:f>IFERROR(F397/J397,0)-IFERROR(G397/K397,0)</x:f>
        <x:v>-0.5</x:v>
      </x:c>
      <x:c r="W397" s="28" t="n">
        <x:f>L397-M397</x:f>
        <x:v>8</x:v>
      </x:c>
      <x:c r="X397" s="24" t="n">
        <x:f>IFERROR(K397/I397,0)</x:f>
        <x:v>0.5555555555555556</x:v>
      </x:c>
      <x:c r="Y397" s="24" t="n">
        <x:f>IFERROR(G397/I397,0)</x:f>
        <x:v>0.3333333333333333</x:v>
      </x:c>
      <x:c r="Z397" s="24" t="n">
        <x:f>IFERROR(G397/K397,0)</x:f>
        <x:v>0.6</x:v>
      </x:c>
      <x:c r="AA397" s="24" t="n">
        <x:f>IFERROR(F397/H397,0)-IFERROR(G397/I397,0)</x:f>
        <x:v>-0.2564102564102564</x:v>
      </x:c>
      <x:c r="AB397" s="28" t="n">
        <x:f>J397-K397</x:f>
        <x:v>5</x:v>
      </x:c>
      <x:c r="AC397" s="32" t="n">
        <x:f>F397-G397</x:f>
        <x:v>-2</x:v>
      </x:c>
    </x:row>
    <x:row r="398">
      <x:c r="A398" s="4" t="str">
        <x:v>2021-22</x:v>
      </x:c>
      <x:c r="B398" s="20" t="n">
        <x:v>44576</x:v>
      </x:c>
      <x:c r="C398" s="4" t="str">
        <x:v>Watford</x:v>
      </x:c>
      <x:c r="D398" s="4" t="str">
        <x:v>Newcastle</x:v>
      </x:c>
      <x:c r="E398" s="4" t="str">
        <x:v>Away</x:v>
      </x:c>
      <x:c r="F398" s="28" t="n">
        <x:v>1</x:v>
      </x:c>
      <x:c r="G398" s="28" t="n">
        <x:v>1</x:v>
      </x:c>
      <x:c r="H398" s="28" t="n">
        <x:v>18</x:v>
      </x:c>
      <x:c r="I398" s="28" t="n">
        <x:v>12</x:v>
      </x:c>
      <x:c r="J398" s="28" t="n">
        <x:v>5</x:v>
      </x:c>
      <x:c r="K398" s="28" t="n">
        <x:v>1</x:v>
      </x:c>
      <x:c r="L398" s="28" t="n">
        <x:v>6</x:v>
      </x:c>
      <x:c r="M398" s="28" t="n">
        <x:v>4</x:v>
      </x:c>
      <x:c r="N398" s="28" t="n">
        <x:v>2</x:v>
      </x:c>
      <x:c r="O398" s="28" t="n">
        <x:v>0</x:v>
      </x:c>
      <x:c r="P398" s="28" t="n">
        <x:v>1</x:v>
      </x:c>
      <x:c r="Q398" s="24" t="n">
        <x:f>IFERROR(J398/H398,0)</x:f>
        <x:v>0.2777777777777778</x:v>
      </x:c>
      <x:c r="R398" s="24" t="n">
        <x:f>IFERROR(F398/H398,0)</x:f>
        <x:v>0.05555555555555555</x:v>
      </x:c>
      <x:c r="S398" s="24" t="n">
        <x:f>IFERROR(F398/J398,0)</x:f>
        <x:v>0.2</x:v>
      </x:c>
      <x:c r="T398" s="28" t="n">
        <x:f>H398-I398</x:f>
        <x:v>6</x:v>
      </x:c>
      <x:c r="U398" s="24" t="n">
        <x:f>IFERROR(J398/H398,0)-IFERROR(K398/I398,0)</x:f>
        <x:v>0.19444444444444448</x:v>
      </x:c>
      <x:c r="V398" s="24" t="n">
        <x:f>IFERROR(F398/J398,0)-IFERROR(G398/K398,0)</x:f>
        <x:v>-0.8</x:v>
      </x:c>
      <x:c r="W398" s="28" t="n">
        <x:f>L398-M398</x:f>
        <x:v>2</x:v>
      </x:c>
      <x:c r="X398" s="24" t="n">
        <x:f>IFERROR(K398/I398,0)</x:f>
        <x:v>0.08333333333333333</x:v>
      </x:c>
      <x:c r="Y398" s="24" t="n">
        <x:f>IFERROR(G398/I398,0)</x:f>
        <x:v>0.08333333333333333</x:v>
      </x:c>
      <x:c r="Z398" s="24" t="n">
        <x:f>IFERROR(G398/K398,0)</x:f>
        <x:v>1</x:v>
      </x:c>
      <x:c r="AA398" s="24" t="n">
        <x:f>IFERROR(F398/H398,0)-IFERROR(G398/I398,0)</x:f>
        <x:v>-0.027777777777777776</x:v>
      </x:c>
      <x:c r="AB398" s="28" t="n">
        <x:f>J398-K398</x:f>
        <x:v>4</x:v>
      </x:c>
      <x:c r="AC398" s="32" t="n">
        <x:f>F398-G398</x:f>
        <x:v>0</x:v>
      </x:c>
    </x:row>
    <x:row r="399">
      <x:c r="A399" s="4" t="str">
        <x:v>2021-22</x:v>
      </x:c>
      <x:c r="B399" s="20" t="n">
        <x:v>44576</x:v>
      </x:c>
      <x:c r="C399" s="4" t="str">
        <x:v>Wolves</x:v>
      </x:c>
      <x:c r="D399" s="4" t="str">
        <x:v>Southampton</x:v>
      </x:c>
      <x:c r="E399" s="4" t="str">
        <x:v>Home</x:v>
      </x:c>
      <x:c r="F399" s="28" t="n">
        <x:v>3</x:v>
      </x:c>
      <x:c r="G399" s="28" t="n">
        <x:v>1</x:v>
      </x:c>
      <x:c r="H399" s="28" t="n">
        <x:v>9</x:v>
      </x:c>
      <x:c r="I399" s="28" t="n">
        <x:v>13</x:v>
      </x:c>
      <x:c r="J399" s="28" t="n">
        <x:v>5</x:v>
      </x:c>
      <x:c r="K399" s="28" t="n">
        <x:v>10</x:v>
      </x:c>
      <x:c r="L399" s="28" t="n">
        <x:v>2</x:v>
      </x:c>
      <x:c r="M399" s="28" t="n">
        <x:v>10</x:v>
      </x:c>
      <x:c r="N399" s="28" t="n">
        <x:v>2</x:v>
      </x:c>
      <x:c r="O399" s="28" t="n">
        <x:v>0</x:v>
      </x:c>
      <x:c r="P399" s="28" t="n">
        <x:v>3</x:v>
      </x:c>
      <x:c r="Q399" s="24" t="n">
        <x:f>IFERROR(J399/H399,0)</x:f>
        <x:v>0.5555555555555556</x:v>
      </x:c>
      <x:c r="R399" s="24" t="n">
        <x:f>IFERROR(F399/H399,0)</x:f>
        <x:v>0.3333333333333333</x:v>
      </x:c>
      <x:c r="S399" s="24" t="n">
        <x:f>IFERROR(F399/J399,0)</x:f>
        <x:v>0.6</x:v>
      </x:c>
      <x:c r="T399" s="28" t="n">
        <x:f>H399-I399</x:f>
        <x:v>-4</x:v>
      </x:c>
      <x:c r="U399" s="24" t="n">
        <x:f>IFERROR(J399/H399,0)-IFERROR(K399/I399,0)</x:f>
        <x:v>-0.2136752136752137</x:v>
      </x:c>
      <x:c r="V399" s="24" t="n">
        <x:f>IFERROR(F399/J399,0)-IFERROR(G399/K399,0)</x:f>
        <x:v>0.5</x:v>
      </x:c>
      <x:c r="W399" s="28" t="n">
        <x:f>L399-M399</x:f>
        <x:v>-8</x:v>
      </x:c>
      <x:c r="X399" s="24" t="n">
        <x:f>IFERROR(K399/I399,0)</x:f>
        <x:v>0.7692307692307693</x:v>
      </x:c>
      <x:c r="Y399" s="24" t="n">
        <x:f>IFERROR(G399/I399,0)</x:f>
        <x:v>0.07692307692307693</x:v>
      </x:c>
      <x:c r="Z399" s="24" t="n">
        <x:f>IFERROR(G399/K399,0)</x:f>
        <x:v>0.1</x:v>
      </x:c>
      <x:c r="AA399" s="24" t="n">
        <x:f>IFERROR(F399/H399,0)-IFERROR(G399/I399,0)</x:f>
        <x:v>0.2564102564102564</x:v>
      </x:c>
      <x:c r="AB399" s="28" t="n">
        <x:f>J399-K399</x:f>
        <x:v>-5</x:v>
      </x:c>
      <x:c r="AC399" s="32" t="n">
        <x:f>F399-G399</x:f>
        <x:v>2</x:v>
      </x:c>
    </x:row>
    <x:row r="400">
      <x:c r="A400" s="4" t="str">
        <x:v>2021-22</x:v>
      </x:c>
      <x:c r="B400" s="20" t="n">
        <x:v>44577</x:v>
      </x:c>
      <x:c r="C400" s="4" t="str">
        <x:v>Brentford</x:v>
      </x:c>
      <x:c r="D400" s="4" t="str">
        <x:v>Liverpool</x:v>
      </x:c>
      <x:c r="E400" s="4" t="str">
        <x:v>Away</x:v>
      </x:c>
      <x:c r="F400" s="28" t="n">
        <x:v>0</x:v>
      </x:c>
      <x:c r="G400" s="28" t="n">
        <x:v>3</x:v>
      </x:c>
      <x:c r="H400" s="28" t="n">
        <x:v>6</x:v>
      </x:c>
      <x:c r="I400" s="28" t="n">
        <x:v>27</x:v>
      </x:c>
      <x:c r="J400" s="28" t="n">
        <x:v>1</x:v>
      </x:c>
      <x:c r="K400" s="28" t="n">
        <x:v>13</x:v>
      </x:c>
      <x:c r="L400" s="28" t="n">
        <x:v>0</x:v>
      </x:c>
      <x:c r="M400" s="28" t="n">
        <x:v>9</x:v>
      </x:c>
      <x:c r="N400" s="28" t="n">
        <x:v>1</x:v>
      </x:c>
      <x:c r="O400" s="28" t="n">
        <x:v>0</x:v>
      </x:c>
      <x:c r="P400" s="28" t="n">
        <x:v>0</x:v>
      </x:c>
      <x:c r="Q400" s="24" t="n">
        <x:f>IFERROR(J400/H400,0)</x:f>
        <x:v>0.16666666666666666</x:v>
      </x:c>
      <x:c r="R400" s="24" t="n">
        <x:f>IFERROR(F400/H400,0)</x:f>
        <x:v>0</x:v>
      </x:c>
      <x:c r="S400" s="24" t="n">
        <x:f>IFERROR(F400/J400,0)</x:f>
        <x:v>0</x:v>
      </x:c>
      <x:c r="T400" s="28" t="n">
        <x:f>H400-I400</x:f>
        <x:v>-21</x:v>
      </x:c>
      <x:c r="U400" s="24" t="n">
        <x:f>IFERROR(J400/H400,0)-IFERROR(K400/I400,0)</x:f>
        <x:v>-0.31481481481481477</x:v>
      </x:c>
      <x:c r="V400" s="24" t="n">
        <x:f>IFERROR(F400/J400,0)-IFERROR(G400/K400,0)</x:f>
        <x:v>-0.23076923076923078</x:v>
      </x:c>
      <x:c r="W400" s="28" t="n">
        <x:f>L400-M400</x:f>
        <x:v>-9</x:v>
      </x:c>
      <x:c r="X400" s="24" t="n">
        <x:f>IFERROR(K400/I400,0)</x:f>
        <x:v>0.48148148148148145</x:v>
      </x:c>
      <x:c r="Y400" s="24" t="n">
        <x:f>IFERROR(G400/I400,0)</x:f>
        <x:v>0.1111111111111111</x:v>
      </x:c>
      <x:c r="Z400" s="24" t="n">
        <x:f>IFERROR(G400/K400,0)</x:f>
        <x:v>0.23076923076923078</x:v>
      </x:c>
      <x:c r="AA400" s="24" t="n">
        <x:f>IFERROR(F400/H400,0)-IFERROR(G400/I400,0)</x:f>
        <x:v>-0.1111111111111111</x:v>
      </x:c>
      <x:c r="AB400" s="28" t="n">
        <x:f>J400-K400</x:f>
        <x:v>-12</x:v>
      </x:c>
      <x:c r="AC400" s="32" t="n">
        <x:f>F400-G400</x:f>
        <x:v>-3</x:v>
      </x:c>
    </x:row>
    <x:row r="401">
      <x:c r="A401" s="4" t="str">
        <x:v>2021-22</x:v>
      </x:c>
      <x:c r="B401" s="20" t="n">
        <x:v>44577</x:v>
      </x:c>
      <x:c r="C401" s="4" t="str">
        <x:v>Leeds</x:v>
      </x:c>
      <x:c r="D401" s="4" t="str">
        <x:v>West Ham</x:v>
      </x:c>
      <x:c r="E401" s="4" t="str">
        <x:v>Away</x:v>
      </x:c>
      <x:c r="F401" s="28" t="n">
        <x:v>3</x:v>
      </x:c>
      <x:c r="G401" s="28" t="n">
        <x:v>2</x:v>
      </x:c>
      <x:c r="H401" s="28" t="n">
        <x:v>18</x:v>
      </x:c>
      <x:c r="I401" s="28" t="n">
        <x:v>15</x:v>
      </x:c>
      <x:c r="J401" s="28" t="n">
        <x:v>5</x:v>
      </x:c>
      <x:c r="K401" s="28" t="n">
        <x:v>5</x:v>
      </x:c>
      <x:c r="L401" s="28" t="n">
        <x:v>3</x:v>
      </x:c>
      <x:c r="M401" s="28" t="n">
        <x:v>4</x:v>
      </x:c>
      <x:c r="N401" s="28" t="n">
        <x:v>2</x:v>
      </x:c>
      <x:c r="O401" s="28" t="n">
        <x:v>0</x:v>
      </x:c>
      <x:c r="P401" s="28" t="n">
        <x:v>3</x:v>
      </x:c>
      <x:c r="Q401" s="24" t="n">
        <x:f>IFERROR(J401/H401,0)</x:f>
        <x:v>0.2777777777777778</x:v>
      </x:c>
      <x:c r="R401" s="24" t="n">
        <x:f>IFERROR(F401/H401,0)</x:f>
        <x:v>0.16666666666666666</x:v>
      </x:c>
      <x:c r="S401" s="24" t="n">
        <x:f>IFERROR(F401/J401,0)</x:f>
        <x:v>0.6</x:v>
      </x:c>
      <x:c r="T401" s="28" t="n">
        <x:f>H401-I401</x:f>
        <x:v>3</x:v>
      </x:c>
      <x:c r="U401" s="24" t="n">
        <x:f>IFERROR(J401/H401,0)-IFERROR(K401/I401,0)</x:f>
        <x:v>-0.055555555555555525</x:v>
      </x:c>
      <x:c r="V401" s="24" t="n">
        <x:f>IFERROR(F401/J401,0)-IFERROR(G401/K401,0)</x:f>
        <x:v>0.19999999999999996</x:v>
      </x:c>
      <x:c r="W401" s="28" t="n">
        <x:f>L401-M401</x:f>
        <x:v>-1</x:v>
      </x:c>
      <x:c r="X401" s="24" t="n">
        <x:f>IFERROR(K401/I401,0)</x:f>
        <x:v>0.3333333333333333</x:v>
      </x:c>
      <x:c r="Y401" s="24" t="n">
        <x:f>IFERROR(G401/I401,0)</x:f>
        <x:v>0.13333333333333333</x:v>
      </x:c>
      <x:c r="Z401" s="24" t="n">
        <x:f>IFERROR(G401/K401,0)</x:f>
        <x:v>0.4</x:v>
      </x:c>
      <x:c r="AA401" s="24" t="n">
        <x:f>IFERROR(F401/H401,0)-IFERROR(G401/I401,0)</x:f>
        <x:v>0.033333333333333326</x:v>
      </x:c>
      <x:c r="AB401" s="28" t="n">
        <x:f>J401-K401</x:f>
        <x:v>0</x:v>
      </x:c>
      <x:c r="AC401" s="32" t="n">
        <x:f>F401-G401</x:f>
        <x:v>1</x:v>
      </x:c>
    </x:row>
    <x:row r="402">
      <x:c r="A402" s="4" t="str">
        <x:v>2021-22</x:v>
      </x:c>
      <x:c r="B402" s="20" t="n">
        <x:v>44577</x:v>
      </x:c>
      <x:c r="C402" s="4" t="str">
        <x:v>Liverpool</x:v>
      </x:c>
      <x:c r="D402" s="4" t="str">
        <x:v>Brentford</x:v>
      </x:c>
      <x:c r="E402" s="4" t="str">
        <x:v>Home</x:v>
      </x:c>
      <x:c r="F402" s="28" t="n">
        <x:v>3</x:v>
      </x:c>
      <x:c r="G402" s="28" t="n">
        <x:v>0</x:v>
      </x:c>
      <x:c r="H402" s="28" t="n">
        <x:v>27</x:v>
      </x:c>
      <x:c r="I402" s="28" t="n">
        <x:v>6</x:v>
      </x:c>
      <x:c r="J402" s="28" t="n">
        <x:v>13</x:v>
      </x:c>
      <x:c r="K402" s="28" t="n">
        <x:v>1</x:v>
      </x:c>
      <x:c r="L402" s="28" t="n">
        <x:v>9</x:v>
      </x:c>
      <x:c r="M402" s="28" t="n">
        <x:v>0</x:v>
      </x:c>
      <x:c r="N402" s="28" t="n">
        <x:v>0</x:v>
      </x:c>
      <x:c r="O402" s="28" t="n">
        <x:v>0</x:v>
      </x:c>
      <x:c r="P402" s="28" t="n">
        <x:v>3</x:v>
      </x:c>
      <x:c r="Q402" s="24" t="n">
        <x:f>IFERROR(J402/H402,0)</x:f>
        <x:v>0.48148148148148145</x:v>
      </x:c>
      <x:c r="R402" s="24" t="n">
        <x:f>IFERROR(F402/H402,0)</x:f>
        <x:v>0.1111111111111111</x:v>
      </x:c>
      <x:c r="S402" s="24" t="n">
        <x:f>IFERROR(F402/J402,0)</x:f>
        <x:v>0.23076923076923078</x:v>
      </x:c>
      <x:c r="T402" s="28" t="n">
        <x:f>H402-I402</x:f>
        <x:v>21</x:v>
      </x:c>
      <x:c r="U402" s="24" t="n">
        <x:f>IFERROR(J402/H402,0)-IFERROR(K402/I402,0)</x:f>
        <x:v>0.31481481481481477</x:v>
      </x:c>
      <x:c r="V402" s="24" t="n">
        <x:f>IFERROR(F402/J402,0)-IFERROR(G402/K402,0)</x:f>
        <x:v>0.23076923076923078</x:v>
      </x:c>
      <x:c r="W402" s="28" t="n">
        <x:f>L402-M402</x:f>
        <x:v>9</x:v>
      </x:c>
      <x:c r="X402" s="24" t="n">
        <x:f>IFERROR(K402/I402,0)</x:f>
        <x:v>0.16666666666666666</x:v>
      </x:c>
      <x:c r="Y402" s="24" t="n">
        <x:f>IFERROR(G402/I402,0)</x:f>
        <x:v>0</x:v>
      </x:c>
      <x:c r="Z402" s="24" t="n">
        <x:f>IFERROR(G402/K402,0)</x:f>
        <x:v>0</x:v>
      </x:c>
      <x:c r="AA402" s="24" t="n">
        <x:f>IFERROR(F402/H402,0)-IFERROR(G402/I402,0)</x:f>
        <x:v>0.1111111111111111</x:v>
      </x:c>
      <x:c r="AB402" s="28" t="n">
        <x:f>J402-K402</x:f>
        <x:v>12</x:v>
      </x:c>
      <x:c r="AC402" s="32" t="n">
        <x:f>F402-G402</x:f>
        <x:v>3</x:v>
      </x:c>
    </x:row>
    <x:row r="403">
      <x:c r="A403" s="4" t="str">
        <x:v>2021-22</x:v>
      </x:c>
      <x:c r="B403" s="20" t="n">
        <x:v>44577</x:v>
      </x:c>
      <x:c r="C403" s="4" t="str">
        <x:v>West Ham</x:v>
      </x:c>
      <x:c r="D403" s="4" t="str">
        <x:v>Leeds</x:v>
      </x:c>
      <x:c r="E403" s="4" t="str">
        <x:v>Home</x:v>
      </x:c>
      <x:c r="F403" s="28" t="n">
        <x:v>2</x:v>
      </x:c>
      <x:c r="G403" s="28" t="n">
        <x:v>3</x:v>
      </x:c>
      <x:c r="H403" s="28" t="n">
        <x:v>15</x:v>
      </x:c>
      <x:c r="I403" s="28" t="n">
        <x:v>18</x:v>
      </x:c>
      <x:c r="J403" s="28" t="n">
        <x:v>5</x:v>
      </x:c>
      <x:c r="K403" s="28" t="n">
        <x:v>5</x:v>
      </x:c>
      <x:c r="L403" s="28" t="n">
        <x:v>4</x:v>
      </x:c>
      <x:c r="M403" s="28" t="n">
        <x:v>3</x:v>
      </x:c>
      <x:c r="N403" s="28" t="n">
        <x:v>3</x:v>
      </x:c>
      <x:c r="O403" s="28" t="n">
        <x:v>0</x:v>
      </x:c>
      <x:c r="P403" s="28" t="n">
        <x:v>0</x:v>
      </x:c>
      <x:c r="Q403" s="24" t="n">
        <x:f>IFERROR(J403/H403,0)</x:f>
        <x:v>0.3333333333333333</x:v>
      </x:c>
      <x:c r="R403" s="24" t="n">
        <x:f>IFERROR(F403/H403,0)</x:f>
        <x:v>0.13333333333333333</x:v>
      </x:c>
      <x:c r="S403" s="24" t="n">
        <x:f>IFERROR(F403/J403,0)</x:f>
        <x:v>0.4</x:v>
      </x:c>
      <x:c r="T403" s="28" t="n">
        <x:f>H403-I403</x:f>
        <x:v>-3</x:v>
      </x:c>
      <x:c r="U403" s="24" t="n">
        <x:f>IFERROR(J403/H403,0)-IFERROR(K403/I403,0)</x:f>
        <x:v>0.055555555555555525</x:v>
      </x:c>
      <x:c r="V403" s="24" t="n">
        <x:f>IFERROR(F403/J403,0)-IFERROR(G403/K403,0)</x:f>
        <x:v>-0.19999999999999996</x:v>
      </x:c>
      <x:c r="W403" s="28" t="n">
        <x:f>L403-M403</x:f>
        <x:v>1</x:v>
      </x:c>
      <x:c r="X403" s="24" t="n">
        <x:f>IFERROR(K403/I403,0)</x:f>
        <x:v>0.2777777777777778</x:v>
      </x:c>
      <x:c r="Y403" s="24" t="n">
        <x:f>IFERROR(G403/I403,0)</x:f>
        <x:v>0.16666666666666666</x:v>
      </x:c>
      <x:c r="Z403" s="24" t="n">
        <x:f>IFERROR(G403/K403,0)</x:f>
        <x:v>0.6</x:v>
      </x:c>
      <x:c r="AA403" s="24" t="n">
        <x:f>IFERROR(F403/H403,0)-IFERROR(G403/I403,0)</x:f>
        <x:v>-0.033333333333333326</x:v>
      </x:c>
      <x:c r="AB403" s="28" t="n">
        <x:f>J403-K403</x:f>
        <x:v>0</x:v>
      </x:c>
      <x:c r="AC403" s="32" t="n">
        <x:f>F403-G403</x:f>
        <x:v>-1</x:v>
      </x:c>
    </x:row>
    <x:row r="404">
      <x:c r="A404" s="4" t="str">
        <x:v>2021-22</x:v>
      </x:c>
      <x:c r="B404" s="20" t="n">
        <x:v>44579</x:v>
      </x:c>
      <x:c r="C404" s="4" t="str">
        <x:v>Brighton</x:v>
      </x:c>
      <x:c r="D404" s="4" t="str">
        <x:v>Chelsea</x:v>
      </x:c>
      <x:c r="E404" s="4" t="str">
        <x:v>Home</x:v>
      </x:c>
      <x:c r="F404" s="28" t="n">
        <x:v>1</x:v>
      </x:c>
      <x:c r="G404" s="28" t="n">
        <x:v>1</x:v>
      </x:c>
      <x:c r="H404" s="28" t="n">
        <x:v>10</x:v>
      </x:c>
      <x:c r="I404" s="28" t="n">
        <x:v>15</x:v>
      </x:c>
      <x:c r="J404" s="28" t="n">
        <x:v>2</x:v>
      </x:c>
      <x:c r="K404" s="28" t="n">
        <x:v>3</x:v>
      </x:c>
      <x:c r="L404" s="28" t="n">
        <x:v>5</x:v>
      </x:c>
      <x:c r="M404" s="28" t="n">
        <x:v>7</x:v>
      </x:c>
      <x:c r="N404" s="28" t="n">
        <x:v>1</x:v>
      </x:c>
      <x:c r="O404" s="28" t="n">
        <x:v>0</x:v>
      </x:c>
      <x:c r="P404" s="28" t="n">
        <x:v>1</x:v>
      </x:c>
      <x:c r="Q404" s="24" t="n">
        <x:f>IFERROR(J404/H404,0)</x:f>
        <x:v>0.2</x:v>
      </x:c>
      <x:c r="R404" s="24" t="n">
        <x:f>IFERROR(F404/H404,0)</x:f>
        <x:v>0.1</x:v>
      </x:c>
      <x:c r="S404" s="24" t="n">
        <x:f>IFERROR(F404/J404,0)</x:f>
        <x:v>0.5</x:v>
      </x:c>
      <x:c r="T404" s="28" t="n">
        <x:f>H404-I404</x:f>
        <x:v>-5</x:v>
      </x:c>
      <x:c r="U404" s="24" t="n">
        <x:f>IFERROR(J404/H404,0)-IFERROR(K404/I404,0)</x:f>
        <x:v>0</x:v>
      </x:c>
      <x:c r="V404" s="24" t="n">
        <x:f>IFERROR(F404/J404,0)-IFERROR(G404/K404,0)</x:f>
        <x:v>0.16666666666666669</x:v>
      </x:c>
      <x:c r="W404" s="28" t="n">
        <x:f>L404-M404</x:f>
        <x:v>-2</x:v>
      </x:c>
      <x:c r="X404" s="24" t="n">
        <x:f>IFERROR(K404/I404,0)</x:f>
        <x:v>0.2</x:v>
      </x:c>
      <x:c r="Y404" s="24" t="n">
        <x:f>IFERROR(G404/I404,0)</x:f>
        <x:v>0.06666666666666667</x:v>
      </x:c>
      <x:c r="Z404" s="24" t="n">
        <x:f>IFERROR(G404/K404,0)</x:f>
        <x:v>0.3333333333333333</x:v>
      </x:c>
      <x:c r="AA404" s="24" t="n">
        <x:f>IFERROR(F404/H404,0)-IFERROR(G404/I404,0)</x:f>
        <x:v>0.03333333333333334</x:v>
      </x:c>
      <x:c r="AB404" s="28" t="n">
        <x:f>J404-K404</x:f>
        <x:v>-1</x:v>
      </x:c>
      <x:c r="AC404" s="32" t="n">
        <x:f>F404-G404</x:f>
        <x:v>0</x:v>
      </x:c>
    </x:row>
    <x:row r="405">
      <x:c r="A405" s="4" t="str">
        <x:v>2021-22</x:v>
      </x:c>
      <x:c r="B405" s="20" t="n">
        <x:v>44579</x:v>
      </x:c>
      <x:c r="C405" s="4" t="str">
        <x:v>Chelsea</x:v>
      </x:c>
      <x:c r="D405" s="4" t="str">
        <x:v>Brighton</x:v>
      </x:c>
      <x:c r="E405" s="4" t="str">
        <x:v>Away</x:v>
      </x:c>
      <x:c r="F405" s="28" t="n">
        <x:v>1</x:v>
      </x:c>
      <x:c r="G405" s="28" t="n">
        <x:v>1</x:v>
      </x:c>
      <x:c r="H405" s="28" t="n">
        <x:v>15</x:v>
      </x:c>
      <x:c r="I405" s="28" t="n">
        <x:v>10</x:v>
      </x:c>
      <x:c r="J405" s="28" t="n">
        <x:v>3</x:v>
      </x:c>
      <x:c r="K405" s="28" t="n">
        <x:v>2</x:v>
      </x:c>
      <x:c r="L405" s="28" t="n">
        <x:v>7</x:v>
      </x:c>
      <x:c r="M405" s="28" t="n">
        <x:v>5</x:v>
      </x:c>
      <x:c r="N405" s="28" t="n">
        <x:v>2</x:v>
      </x:c>
      <x:c r="O405" s="28" t="n">
        <x:v>0</x:v>
      </x:c>
      <x:c r="P405" s="28" t="n">
        <x:v>1</x:v>
      </x:c>
      <x:c r="Q405" s="24" t="n">
        <x:f>IFERROR(J405/H405,0)</x:f>
        <x:v>0.2</x:v>
      </x:c>
      <x:c r="R405" s="24" t="n">
        <x:f>IFERROR(F405/H405,0)</x:f>
        <x:v>0.06666666666666667</x:v>
      </x:c>
      <x:c r="S405" s="24" t="n">
        <x:f>IFERROR(F405/J405,0)</x:f>
        <x:v>0.3333333333333333</x:v>
      </x:c>
      <x:c r="T405" s="28" t="n">
        <x:f>H405-I405</x:f>
        <x:v>5</x:v>
      </x:c>
      <x:c r="U405" s="24" t="n">
        <x:f>IFERROR(J405/H405,0)-IFERROR(K405/I405,0)</x:f>
        <x:v>0</x:v>
      </x:c>
      <x:c r="V405" s="24" t="n">
        <x:f>IFERROR(F405/J405,0)-IFERROR(G405/K405,0)</x:f>
        <x:v>-0.16666666666666669</x:v>
      </x:c>
      <x:c r="W405" s="28" t="n">
        <x:f>L405-M405</x:f>
        <x:v>2</x:v>
      </x:c>
      <x:c r="X405" s="24" t="n">
        <x:f>IFERROR(K405/I405,0)</x:f>
        <x:v>0.2</x:v>
      </x:c>
      <x:c r="Y405" s="24" t="n">
        <x:f>IFERROR(G405/I405,0)</x:f>
        <x:v>0.1</x:v>
      </x:c>
      <x:c r="Z405" s="24" t="n">
        <x:f>IFERROR(G405/K405,0)</x:f>
        <x:v>0.5</x:v>
      </x:c>
      <x:c r="AA405" s="24" t="n">
        <x:f>IFERROR(F405/H405,0)-IFERROR(G405/I405,0)</x:f>
        <x:v>-0.03333333333333334</x:v>
      </x:c>
      <x:c r="AB405" s="28" t="n">
        <x:f>J405-K405</x:f>
        <x:v>1</x:v>
      </x:c>
      <x:c r="AC405" s="32" t="n">
        <x:f>F405-G405</x:f>
        <x:v>0</x:v>
      </x:c>
    </x:row>
    <x:row r="406">
      <x:c r="A406" s="4" t="str">
        <x:v>2021-22</x:v>
      </x:c>
      <x:c r="B406" s="20" t="n">
        <x:v>44580</x:v>
      </x:c>
      <x:c r="C406" s="4" t="str">
        <x:v>Brentford</x:v>
      </x:c>
      <x:c r="D406" s="4" t="str">
        <x:v>Man United</x:v>
      </x:c>
      <x:c r="E406" s="4" t="str">
        <x:v>Home</x:v>
      </x:c>
      <x:c r="F406" s="28" t="n">
        <x:v>1</x:v>
      </x:c>
      <x:c r="G406" s="28" t="n">
        <x:v>3</x:v>
      </x:c>
      <x:c r="H406" s="28" t="n">
        <x:v>18</x:v>
      </x:c>
      <x:c r="I406" s="28" t="n">
        <x:v>13</x:v>
      </x:c>
      <x:c r="J406" s="28" t="n">
        <x:v>8</x:v>
      </x:c>
      <x:c r="K406" s="28" t="n">
        <x:v>5</x:v>
      </x:c>
      <x:c r="L406" s="28" t="n">
        <x:v>6</x:v>
      </x:c>
      <x:c r="M406" s="28" t="n">
        <x:v>9</x:v>
      </x:c>
      <x:c r="N406" s="28" t="n">
        <x:v>0</x:v>
      </x:c>
      <x:c r="O406" s="28" t="n">
        <x:v>0</x:v>
      </x:c>
      <x:c r="P406" s="28" t="n">
        <x:v>0</x:v>
      </x:c>
      <x:c r="Q406" s="24" t="n">
        <x:f>IFERROR(J406/H406,0)</x:f>
        <x:v>0.4444444444444444</x:v>
      </x:c>
      <x:c r="R406" s="24" t="n">
        <x:f>IFERROR(F406/H406,0)</x:f>
        <x:v>0.05555555555555555</x:v>
      </x:c>
      <x:c r="S406" s="24" t="n">
        <x:f>IFERROR(F406/J406,0)</x:f>
        <x:v>0.125</x:v>
      </x:c>
      <x:c r="T406" s="28" t="n">
        <x:f>H406-I406</x:f>
        <x:v>5</x:v>
      </x:c>
      <x:c r="U406" s="24" t="n">
        <x:f>IFERROR(J406/H406,0)-IFERROR(K406/I406,0)</x:f>
        <x:v>0.05982905982905978</x:v>
      </x:c>
      <x:c r="V406" s="24" t="n">
        <x:f>IFERROR(F406/J406,0)-IFERROR(G406/K406,0)</x:f>
        <x:v>-0.475</x:v>
      </x:c>
      <x:c r="W406" s="28" t="n">
        <x:f>L406-M406</x:f>
        <x:v>-3</x:v>
      </x:c>
      <x:c r="X406" s="24" t="n">
        <x:f>IFERROR(K406/I406,0)</x:f>
        <x:v>0.38461538461538464</x:v>
      </x:c>
      <x:c r="Y406" s="24" t="n">
        <x:f>IFERROR(G406/I406,0)</x:f>
        <x:v>0.23076923076923078</x:v>
      </x:c>
      <x:c r="Z406" s="24" t="n">
        <x:f>IFERROR(G406/K406,0)</x:f>
        <x:v>0.6</x:v>
      </x:c>
      <x:c r="AA406" s="24" t="n">
        <x:f>IFERROR(F406/H406,0)-IFERROR(G406/I406,0)</x:f>
        <x:v>-0.17521367521367523</x:v>
      </x:c>
      <x:c r="AB406" s="28" t="n">
        <x:f>J406-K406</x:f>
        <x:v>3</x:v>
      </x:c>
      <x:c r="AC406" s="32" t="n">
        <x:f>F406-G406</x:f>
        <x:v>-2</x:v>
      </x:c>
    </x:row>
    <x:row r="407">
      <x:c r="A407" s="4" t="str">
        <x:v>2021-22</x:v>
      </x:c>
      <x:c r="B407" s="20" t="n">
        <x:v>44580</x:v>
      </x:c>
      <x:c r="C407" s="4" t="str">
        <x:v>Leicester</x:v>
      </x:c>
      <x:c r="D407" s="4" t="str">
        <x:v>Tottenham</x:v>
      </x:c>
      <x:c r="E407" s="4" t="str">
        <x:v>Home</x:v>
      </x:c>
      <x:c r="F407" s="28" t="n">
        <x:v>2</x:v>
      </x:c>
      <x:c r="G407" s="28" t="n">
        <x:v>3</x:v>
      </x:c>
      <x:c r="H407" s="28" t="n">
        <x:v>14</x:v>
      </x:c>
      <x:c r="I407" s="28" t="n">
        <x:v>27</x:v>
      </x:c>
      <x:c r="J407" s="28" t="n">
        <x:v>4</x:v>
      </x:c>
      <x:c r="K407" s="28" t="n">
        <x:v>10</x:v>
      </x:c>
      <x:c r="L407" s="28" t="n">
        <x:v>3</x:v>
      </x:c>
      <x:c r="M407" s="28" t="n">
        <x:v>8</x:v>
      </x:c>
      <x:c r="N407" s="28" t="n">
        <x:v>1</x:v>
      </x:c>
      <x:c r="O407" s="28" t="n">
        <x:v>0</x:v>
      </x:c>
      <x:c r="P407" s="28" t="n">
        <x:v>0</x:v>
      </x:c>
      <x:c r="Q407" s="24" t="n">
        <x:f>IFERROR(J407/H407,0)</x:f>
        <x:v>0.2857142857142857</x:v>
      </x:c>
      <x:c r="R407" s="24" t="n">
        <x:f>IFERROR(F407/H407,0)</x:f>
        <x:v>0.14285714285714285</x:v>
      </x:c>
      <x:c r="S407" s="24" t="n">
        <x:f>IFERROR(F407/J407,0)</x:f>
        <x:v>0.5</x:v>
      </x:c>
      <x:c r="T407" s="28" t="n">
        <x:f>H407-I407</x:f>
        <x:v>-13</x:v>
      </x:c>
      <x:c r="U407" s="24" t="n">
        <x:f>IFERROR(J407/H407,0)-IFERROR(K407/I407,0)</x:f>
        <x:v>-0.08465608465608465</x:v>
      </x:c>
      <x:c r="V407" s="24" t="n">
        <x:f>IFERROR(F407/J407,0)-IFERROR(G407/K407,0)</x:f>
        <x:v>0.2</x:v>
      </x:c>
      <x:c r="W407" s="28" t="n">
        <x:f>L407-M407</x:f>
        <x:v>-5</x:v>
      </x:c>
      <x:c r="X407" s="24" t="n">
        <x:f>IFERROR(K407/I407,0)</x:f>
        <x:v>0.37037037037037035</x:v>
      </x:c>
      <x:c r="Y407" s="24" t="n">
        <x:f>IFERROR(G407/I407,0)</x:f>
        <x:v>0.1111111111111111</x:v>
      </x:c>
      <x:c r="Z407" s="24" t="n">
        <x:f>IFERROR(G407/K407,0)</x:f>
        <x:v>0.3</x:v>
      </x:c>
      <x:c r="AA407" s="24" t="n">
        <x:f>IFERROR(F407/H407,0)-IFERROR(G407/I407,0)</x:f>
        <x:v>0.031746031746031744</x:v>
      </x:c>
      <x:c r="AB407" s="28" t="n">
        <x:f>J407-K407</x:f>
        <x:v>-6</x:v>
      </x:c>
      <x:c r="AC407" s="32" t="n">
        <x:f>F407-G407</x:f>
        <x:v>-1</x:v>
      </x:c>
    </x:row>
    <x:row r="408">
      <x:c r="A408" s="4" t="str">
        <x:v>2021-22</x:v>
      </x:c>
      <x:c r="B408" s="20" t="n">
        <x:v>44580</x:v>
      </x:c>
      <x:c r="C408" s="4" t="str">
        <x:v>Man United</x:v>
      </x:c>
      <x:c r="D408" s="4" t="str">
        <x:v>Brentford</x:v>
      </x:c>
      <x:c r="E408" s="4" t="str">
        <x:v>Away</x:v>
      </x:c>
      <x:c r="F408" s="28" t="n">
        <x:v>3</x:v>
      </x:c>
      <x:c r="G408" s="28" t="n">
        <x:v>1</x:v>
      </x:c>
      <x:c r="H408" s="28" t="n">
        <x:v>13</x:v>
      </x:c>
      <x:c r="I408" s="28" t="n">
        <x:v>18</x:v>
      </x:c>
      <x:c r="J408" s="28" t="n">
        <x:v>5</x:v>
      </x:c>
      <x:c r="K408" s="28" t="n">
        <x:v>8</x:v>
      </x:c>
      <x:c r="L408" s="28" t="n">
        <x:v>9</x:v>
      </x:c>
      <x:c r="M408" s="28" t="n">
        <x:v>6</x:v>
      </x:c>
      <x:c r="N408" s="28" t="n">
        <x:v>0</x:v>
      </x:c>
      <x:c r="O408" s="28" t="n">
        <x:v>0</x:v>
      </x:c>
      <x:c r="P408" s="28" t="n">
        <x:v>3</x:v>
      </x:c>
      <x:c r="Q408" s="24" t="n">
        <x:f>IFERROR(J408/H408,0)</x:f>
        <x:v>0.38461538461538464</x:v>
      </x:c>
      <x:c r="R408" s="24" t="n">
        <x:f>IFERROR(F408/H408,0)</x:f>
        <x:v>0.23076923076923078</x:v>
      </x:c>
      <x:c r="S408" s="24" t="n">
        <x:f>IFERROR(F408/J408,0)</x:f>
        <x:v>0.6</x:v>
      </x:c>
      <x:c r="T408" s="28" t="n">
        <x:f>H408-I408</x:f>
        <x:v>-5</x:v>
      </x:c>
      <x:c r="U408" s="24" t="n">
        <x:f>IFERROR(J408/H408,0)-IFERROR(K408/I408,0)</x:f>
        <x:v>-0.05982905982905978</x:v>
      </x:c>
      <x:c r="V408" s="24" t="n">
        <x:f>IFERROR(F408/J408,0)-IFERROR(G408/K408,0)</x:f>
        <x:v>0.475</x:v>
      </x:c>
      <x:c r="W408" s="28" t="n">
        <x:f>L408-M408</x:f>
        <x:v>3</x:v>
      </x:c>
      <x:c r="X408" s="24" t="n">
        <x:f>IFERROR(K408/I408,0)</x:f>
        <x:v>0.4444444444444444</x:v>
      </x:c>
      <x:c r="Y408" s="24" t="n">
        <x:f>IFERROR(G408/I408,0)</x:f>
        <x:v>0.05555555555555555</x:v>
      </x:c>
      <x:c r="Z408" s="24" t="n">
        <x:f>IFERROR(G408/K408,0)</x:f>
        <x:v>0.125</x:v>
      </x:c>
      <x:c r="AA408" s="24" t="n">
        <x:f>IFERROR(F408/H408,0)-IFERROR(G408/I408,0)</x:f>
        <x:v>0.17521367521367523</x:v>
      </x:c>
      <x:c r="AB408" s="28" t="n">
        <x:f>J408-K408</x:f>
        <x:v>-3</x:v>
      </x:c>
      <x:c r="AC408" s="32" t="n">
        <x:f>F408-G408</x:f>
        <x:v>2</x:v>
      </x:c>
    </x:row>
    <x:row r="409">
      <x:c r="A409" s="4" t="str">
        <x:v>2021-22</x:v>
      </x:c>
      <x:c r="B409" s="20" t="n">
        <x:v>44580</x:v>
      </x:c>
      <x:c r="C409" s="4" t="str">
        <x:v>Tottenham</x:v>
      </x:c>
      <x:c r="D409" s="4" t="str">
        <x:v>Leicester</x:v>
      </x:c>
      <x:c r="E409" s="4" t="str">
        <x:v>Away</x:v>
      </x:c>
      <x:c r="F409" s="28" t="n">
        <x:v>3</x:v>
      </x:c>
      <x:c r="G409" s="28" t="n">
        <x:v>2</x:v>
      </x:c>
      <x:c r="H409" s="28" t="n">
        <x:v>27</x:v>
      </x:c>
      <x:c r="I409" s="28" t="n">
        <x:v>14</x:v>
      </x:c>
      <x:c r="J409" s="28" t="n">
        <x:v>10</x:v>
      </x:c>
      <x:c r="K409" s="28" t="n">
        <x:v>4</x:v>
      </x:c>
      <x:c r="L409" s="28" t="n">
        <x:v>8</x:v>
      </x:c>
      <x:c r="M409" s="28" t="n">
        <x:v>3</x:v>
      </x:c>
      <x:c r="N409" s="28" t="n">
        <x:v>2</x:v>
      </x:c>
      <x:c r="O409" s="28" t="n">
        <x:v>0</x:v>
      </x:c>
      <x:c r="P409" s="28" t="n">
        <x:v>3</x:v>
      </x:c>
      <x:c r="Q409" s="24" t="n">
        <x:f>IFERROR(J409/H409,0)</x:f>
        <x:v>0.37037037037037035</x:v>
      </x:c>
      <x:c r="R409" s="24" t="n">
        <x:f>IFERROR(F409/H409,0)</x:f>
        <x:v>0.1111111111111111</x:v>
      </x:c>
      <x:c r="S409" s="24" t="n">
        <x:f>IFERROR(F409/J409,0)</x:f>
        <x:v>0.3</x:v>
      </x:c>
      <x:c r="T409" s="28" t="n">
        <x:f>H409-I409</x:f>
        <x:v>13</x:v>
      </x:c>
      <x:c r="U409" s="24" t="n">
        <x:f>IFERROR(J409/H409,0)-IFERROR(K409/I409,0)</x:f>
        <x:v>0.08465608465608465</x:v>
      </x:c>
      <x:c r="V409" s="24" t="n">
        <x:f>IFERROR(F409/J409,0)-IFERROR(G409/K409,0)</x:f>
        <x:v>-0.2</x:v>
      </x:c>
      <x:c r="W409" s="28" t="n">
        <x:f>L409-M409</x:f>
        <x:v>5</x:v>
      </x:c>
      <x:c r="X409" s="24" t="n">
        <x:f>IFERROR(K409/I409,0)</x:f>
        <x:v>0.2857142857142857</x:v>
      </x:c>
      <x:c r="Y409" s="24" t="n">
        <x:f>IFERROR(G409/I409,0)</x:f>
        <x:v>0.14285714285714285</x:v>
      </x:c>
      <x:c r="Z409" s="24" t="n">
        <x:f>IFERROR(G409/K409,0)</x:f>
        <x:v>0.5</x:v>
      </x:c>
      <x:c r="AA409" s="24" t="n">
        <x:f>IFERROR(F409/H409,0)-IFERROR(G409/I409,0)</x:f>
        <x:v>-0.031746031746031744</x:v>
      </x:c>
      <x:c r="AB409" s="28" t="n">
        <x:f>J409-K409</x:f>
        <x:v>6</x:v>
      </x:c>
      <x:c r="AC409" s="32" t="n">
        <x:f>F409-G409</x:f>
        <x:v>1</x:v>
      </x:c>
    </x:row>
    <x:row r="410">
      <x:c r="A410" s="4" t="str">
        <x:v>2021-22</x:v>
      </x:c>
      <x:c r="B410" s="20" t="n">
        <x:v>44582</x:v>
      </x:c>
      <x:c r="C410" s="4" t="str">
        <x:v>Norwich</x:v>
      </x:c>
      <x:c r="D410" s="4" t="str">
        <x:v>Watford</x:v>
      </x:c>
      <x:c r="E410" s="4" t="str">
        <x:v>Away</x:v>
      </x:c>
      <x:c r="F410" s="28" t="n">
        <x:v>3</x:v>
      </x:c>
      <x:c r="G410" s="28" t="n">
        <x:v>0</x:v>
      </x:c>
      <x:c r="H410" s="28" t="n">
        <x:v>7</x:v>
      </x:c>
      <x:c r="I410" s="28" t="n">
        <x:v>15</x:v>
      </x:c>
      <x:c r="J410" s="28" t="n">
        <x:v>2</x:v>
      </x:c>
      <x:c r="K410" s="28" t="n">
        <x:v>4</x:v>
      </x:c>
      <x:c r="L410" s="28" t="n">
        <x:v>1</x:v>
      </x:c>
      <x:c r="M410" s="28" t="n">
        <x:v>5</x:v>
      </x:c>
      <x:c r="N410" s="28" t="n">
        <x:v>1</x:v>
      </x:c>
      <x:c r="O410" s="28" t="n">
        <x:v>0</x:v>
      </x:c>
      <x:c r="P410" s="28" t="n">
        <x:v>3</x:v>
      </x:c>
      <x:c r="Q410" s="24" t="n">
        <x:f>IFERROR(J410/H410,0)</x:f>
        <x:v>0.2857142857142857</x:v>
      </x:c>
      <x:c r="R410" s="24" t="n">
        <x:f>IFERROR(F410/H410,0)</x:f>
        <x:v>0.42857142857142855</x:v>
      </x:c>
      <x:c r="S410" s="24" t="n">
        <x:f>IFERROR(F410/J410,0)</x:f>
        <x:v>1.5</x:v>
      </x:c>
      <x:c r="T410" s="28" t="n">
        <x:f>H410-I410</x:f>
        <x:v>-8</x:v>
      </x:c>
      <x:c r="U410" s="24" t="n">
        <x:f>IFERROR(J410/H410,0)-IFERROR(K410/I410,0)</x:f>
        <x:v>0.019047619047619035</x:v>
      </x:c>
      <x:c r="V410" s="24" t="n">
        <x:f>IFERROR(F410/J410,0)-IFERROR(G410/K410,0)</x:f>
        <x:v>1.5</x:v>
      </x:c>
      <x:c r="W410" s="28" t="n">
        <x:f>L410-M410</x:f>
        <x:v>-4</x:v>
      </x:c>
      <x:c r="X410" s="24" t="n">
        <x:f>IFERROR(K410/I410,0)</x:f>
        <x:v>0.26666666666666666</x:v>
      </x:c>
      <x:c r="Y410" s="24" t="n">
        <x:f>IFERROR(G410/I410,0)</x:f>
        <x:v>0</x:v>
      </x:c>
      <x:c r="Z410" s="24" t="n">
        <x:f>IFERROR(G410/K410,0)</x:f>
        <x:v>0</x:v>
      </x:c>
      <x:c r="AA410" s="24" t="n">
        <x:f>IFERROR(F410/H410,0)-IFERROR(G410/I410,0)</x:f>
        <x:v>0.42857142857142855</x:v>
      </x:c>
      <x:c r="AB410" s="28" t="n">
        <x:f>J410-K410</x:f>
        <x:v>-2</x:v>
      </x:c>
      <x:c r="AC410" s="32" t="n">
        <x:f>F410-G410</x:f>
        <x:v>3</x:v>
      </x:c>
    </x:row>
    <x:row r="411">
      <x:c r="A411" s="4" t="str">
        <x:v>2021-22</x:v>
      </x:c>
      <x:c r="B411" s="20" t="n">
        <x:v>44582</x:v>
      </x:c>
      <x:c r="C411" s="4" t="str">
        <x:v>Watford</x:v>
      </x:c>
      <x:c r="D411" s="4" t="str">
        <x:v>Norwich</x:v>
      </x:c>
      <x:c r="E411" s="4" t="str">
        <x:v>Home</x:v>
      </x:c>
      <x:c r="F411" s="28" t="n">
        <x:v>0</x:v>
      </x:c>
      <x:c r="G411" s="28" t="n">
        <x:v>3</x:v>
      </x:c>
      <x:c r="H411" s="28" t="n">
        <x:v>15</x:v>
      </x:c>
      <x:c r="I411" s="28" t="n">
        <x:v>7</x:v>
      </x:c>
      <x:c r="J411" s="28" t="n">
        <x:v>4</x:v>
      </x:c>
      <x:c r="K411" s="28" t="n">
        <x:v>2</x:v>
      </x:c>
      <x:c r="L411" s="28" t="n">
        <x:v>5</x:v>
      </x:c>
      <x:c r="M411" s="28" t="n">
        <x:v>1</x:v>
      </x:c>
      <x:c r="N411" s="28" t="n">
        <x:v>0</x:v>
      </x:c>
      <x:c r="O411" s="28" t="n">
        <x:v>1</x:v>
      </x:c>
      <x:c r="P411" s="28" t="n">
        <x:v>0</x:v>
      </x:c>
      <x:c r="Q411" s="24" t="n">
        <x:f>IFERROR(J411/H411,0)</x:f>
        <x:v>0.26666666666666666</x:v>
      </x:c>
      <x:c r="R411" s="24" t="n">
        <x:f>IFERROR(F411/H411,0)</x:f>
        <x:v>0</x:v>
      </x:c>
      <x:c r="S411" s="24" t="n">
        <x:f>IFERROR(F411/J411,0)</x:f>
        <x:v>0</x:v>
      </x:c>
      <x:c r="T411" s="28" t="n">
        <x:f>H411-I411</x:f>
        <x:v>8</x:v>
      </x:c>
      <x:c r="U411" s="24" t="n">
        <x:f>IFERROR(J411/H411,0)-IFERROR(K411/I411,0)</x:f>
        <x:v>-0.019047619047619035</x:v>
      </x:c>
      <x:c r="V411" s="24" t="n">
        <x:f>IFERROR(F411/J411,0)-IFERROR(G411/K411,0)</x:f>
        <x:v>-1.5</x:v>
      </x:c>
      <x:c r="W411" s="28" t="n">
        <x:f>L411-M411</x:f>
        <x:v>4</x:v>
      </x:c>
      <x:c r="X411" s="24" t="n">
        <x:f>IFERROR(K411/I411,0)</x:f>
        <x:v>0.2857142857142857</x:v>
      </x:c>
      <x:c r="Y411" s="24" t="n">
        <x:f>IFERROR(G411/I411,0)</x:f>
        <x:v>0.42857142857142855</x:v>
      </x:c>
      <x:c r="Z411" s="24" t="n">
        <x:f>IFERROR(G411/K411,0)</x:f>
        <x:v>1.5</x:v>
      </x:c>
      <x:c r="AA411" s="24" t="n">
        <x:f>IFERROR(F411/H411,0)-IFERROR(G411/I411,0)</x:f>
        <x:v>-0.42857142857142855</x:v>
      </x:c>
      <x:c r="AB411" s="28" t="n">
        <x:f>J411-K411</x:f>
        <x:v>2</x:v>
      </x:c>
      <x:c r="AC411" s="32" t="n">
        <x:f>F411-G411</x:f>
        <x:v>-3</x:v>
      </x:c>
    </x:row>
    <x:row r="412">
      <x:c r="A412" s="4" t="str">
        <x:v>2021-22</x:v>
      </x:c>
      <x:c r="B412" s="20" t="n">
        <x:v>44583</x:v>
      </x:c>
      <x:c r="C412" s="4" t="str">
        <x:v>Aston Villa</x:v>
      </x:c>
      <x:c r="D412" s="4" t="str">
        <x:v>Everton</x:v>
      </x:c>
      <x:c r="E412" s="4" t="str">
        <x:v>Away</x:v>
      </x:c>
      <x:c r="F412" s="28" t="n">
        <x:v>1</x:v>
      </x:c>
      <x:c r="G412" s="28" t="n">
        <x:v>0</x:v>
      </x:c>
      <x:c r="H412" s="28" t="n">
        <x:v>8</x:v>
      </x:c>
      <x:c r="I412" s="28" t="n">
        <x:v>15</x:v>
      </x:c>
      <x:c r="J412" s="28" t="n">
        <x:v>3</x:v>
      </x:c>
      <x:c r="K412" s="28" t="n">
        <x:v>1</x:v>
      </x:c>
      <x:c r="L412" s="28" t="n">
        <x:v>2</x:v>
      </x:c>
      <x:c r="M412" s="28" t="n">
        <x:v>9</x:v>
      </x:c>
      <x:c r="N412" s="28" t="n">
        <x:v>3</x:v>
      </x:c>
      <x:c r="O412" s="28" t="n">
        <x:v>0</x:v>
      </x:c>
      <x:c r="P412" s="28" t="n">
        <x:v>3</x:v>
      </x:c>
      <x:c r="Q412" s="24" t="n">
        <x:f>IFERROR(J412/H412,0)</x:f>
        <x:v>0.375</x:v>
      </x:c>
      <x:c r="R412" s="24" t="n">
        <x:f>IFERROR(F412/H412,0)</x:f>
        <x:v>0.125</x:v>
      </x:c>
      <x:c r="S412" s="24" t="n">
        <x:f>IFERROR(F412/J412,0)</x:f>
        <x:v>0.3333333333333333</x:v>
      </x:c>
      <x:c r="T412" s="28" t="n">
        <x:f>H412-I412</x:f>
        <x:v>-7</x:v>
      </x:c>
      <x:c r="U412" s="24" t="n">
        <x:f>IFERROR(J412/H412,0)-IFERROR(K412/I412,0)</x:f>
        <x:v>0.30833333333333335</x:v>
      </x:c>
      <x:c r="V412" s="24" t="n">
        <x:f>IFERROR(F412/J412,0)-IFERROR(G412/K412,0)</x:f>
        <x:v>0.3333333333333333</x:v>
      </x:c>
      <x:c r="W412" s="28" t="n">
        <x:f>L412-M412</x:f>
        <x:v>-7</x:v>
      </x:c>
      <x:c r="X412" s="24" t="n">
        <x:f>IFERROR(K412/I412,0)</x:f>
        <x:v>0.06666666666666667</x:v>
      </x:c>
      <x:c r="Y412" s="24" t="n">
        <x:f>IFERROR(G412/I412,0)</x:f>
        <x:v>0</x:v>
      </x:c>
      <x:c r="Z412" s="24" t="n">
        <x:f>IFERROR(G412/K412,0)</x:f>
        <x:v>0</x:v>
      </x:c>
      <x:c r="AA412" s="24" t="n">
        <x:f>IFERROR(F412/H412,0)-IFERROR(G412/I412,0)</x:f>
        <x:v>0.125</x:v>
      </x:c>
      <x:c r="AB412" s="28" t="n">
        <x:f>J412-K412</x:f>
        <x:v>2</x:v>
      </x:c>
      <x:c r="AC412" s="32" t="n">
        <x:f>F412-G412</x:f>
        <x:v>1</x:v>
      </x:c>
    </x:row>
    <x:row r="413">
      <x:c r="A413" s="4" t="str">
        <x:v>2021-22</x:v>
      </x:c>
      <x:c r="B413" s="20" t="n">
        <x:v>44583</x:v>
      </x:c>
      <x:c r="C413" s="4" t="str">
        <x:v>Brentford</x:v>
      </x:c>
      <x:c r="D413" s="4" t="str">
        <x:v>Wolves</x:v>
      </x:c>
      <x:c r="E413" s="4" t="str">
        <x:v>Home</x:v>
      </x:c>
      <x:c r="F413" s="28" t="n">
        <x:v>1</x:v>
      </x:c>
      <x:c r="G413" s="28" t="n">
        <x:v>2</x:v>
      </x:c>
      <x:c r="H413" s="28" t="n">
        <x:v>11</x:v>
      </x:c>
      <x:c r="I413" s="28" t="n">
        <x:v>7</x:v>
      </x:c>
      <x:c r="J413" s="28" t="n">
        <x:v>1</x:v>
      </x:c>
      <x:c r="K413" s="28" t="n">
        <x:v>2</x:v>
      </x:c>
      <x:c r="L413" s="28" t="n">
        <x:v>6</x:v>
      </x:c>
      <x:c r="M413" s="28" t="n">
        <x:v>3</x:v>
      </x:c>
      <x:c r="N413" s="28" t="n">
        <x:v>2</x:v>
      </x:c>
      <x:c r="O413" s="28" t="n">
        <x:v>0</x:v>
      </x:c>
      <x:c r="P413" s="28" t="n">
        <x:v>0</x:v>
      </x:c>
      <x:c r="Q413" s="24" t="n">
        <x:f>IFERROR(J413/H413,0)</x:f>
        <x:v>0.09090909090909091</x:v>
      </x:c>
      <x:c r="R413" s="24" t="n">
        <x:f>IFERROR(F413/H413,0)</x:f>
        <x:v>0.09090909090909091</x:v>
      </x:c>
      <x:c r="S413" s="24" t="n">
        <x:f>IFERROR(F413/J413,0)</x:f>
        <x:v>1</x:v>
      </x:c>
      <x:c r="T413" s="28" t="n">
        <x:f>H413-I413</x:f>
        <x:v>4</x:v>
      </x:c>
      <x:c r="U413" s="24" t="n">
        <x:f>IFERROR(J413/H413,0)-IFERROR(K413/I413,0)</x:f>
        <x:v>-0.1948051948051948</x:v>
      </x:c>
      <x:c r="V413" s="24" t="n">
        <x:f>IFERROR(F413/J413,0)-IFERROR(G413/K413,0)</x:f>
        <x:v>0</x:v>
      </x:c>
      <x:c r="W413" s="28" t="n">
        <x:f>L413-M413</x:f>
        <x:v>3</x:v>
      </x:c>
      <x:c r="X413" s="24" t="n">
        <x:f>IFERROR(K413/I413,0)</x:f>
        <x:v>0.2857142857142857</x:v>
      </x:c>
      <x:c r="Y413" s="24" t="n">
        <x:f>IFERROR(G413/I413,0)</x:f>
        <x:v>0.2857142857142857</x:v>
      </x:c>
      <x:c r="Z413" s="24" t="n">
        <x:f>IFERROR(G413/K413,0)</x:f>
        <x:v>1</x:v>
      </x:c>
      <x:c r="AA413" s="24" t="n">
        <x:f>IFERROR(F413/H413,0)-IFERROR(G413/I413,0)</x:f>
        <x:v>-0.1948051948051948</x:v>
      </x:c>
      <x:c r="AB413" s="28" t="n">
        <x:f>J413-K413</x:f>
        <x:v>-1</x:v>
      </x:c>
      <x:c r="AC413" s="32" t="n">
        <x:f>F413-G413</x:f>
        <x:v>-1</x:v>
      </x:c>
    </x:row>
    <x:row r="414">
      <x:c r="A414" s="4" t="str">
        <x:v>2021-22</x:v>
      </x:c>
      <x:c r="B414" s="20" t="n">
        <x:v>44583</x:v>
      </x:c>
      <x:c r="C414" s="4" t="str">
        <x:v>Everton</x:v>
      </x:c>
      <x:c r="D414" s="4" t="str">
        <x:v>Aston Villa</x:v>
      </x:c>
      <x:c r="E414" s="4" t="str">
        <x:v>Home</x:v>
      </x:c>
      <x:c r="F414" s="28" t="n">
        <x:v>0</x:v>
      </x:c>
      <x:c r="G414" s="28" t="n">
        <x:v>1</x:v>
      </x:c>
      <x:c r="H414" s="28" t="n">
        <x:v>15</x:v>
      </x:c>
      <x:c r="I414" s="28" t="n">
        <x:v>8</x:v>
      </x:c>
      <x:c r="J414" s="28" t="n">
        <x:v>1</x:v>
      </x:c>
      <x:c r="K414" s="28" t="n">
        <x:v>3</x:v>
      </x:c>
      <x:c r="L414" s="28" t="n">
        <x:v>9</x:v>
      </x:c>
      <x:c r="M414" s="28" t="n">
        <x:v>2</x:v>
      </x:c>
      <x:c r="N414" s="28" t="n">
        <x:v>5</x:v>
      </x:c>
      <x:c r="O414" s="28" t="n">
        <x:v>0</x:v>
      </x:c>
      <x:c r="P414" s="28" t="n">
        <x:v>0</x:v>
      </x:c>
      <x:c r="Q414" s="24" t="n">
        <x:f>IFERROR(J414/H414,0)</x:f>
        <x:v>0.06666666666666667</x:v>
      </x:c>
      <x:c r="R414" s="24" t="n">
        <x:f>IFERROR(F414/H414,0)</x:f>
        <x:v>0</x:v>
      </x:c>
      <x:c r="S414" s="24" t="n">
        <x:f>IFERROR(F414/J414,0)</x:f>
        <x:v>0</x:v>
      </x:c>
      <x:c r="T414" s="28" t="n">
        <x:f>H414-I414</x:f>
        <x:v>7</x:v>
      </x:c>
      <x:c r="U414" s="24" t="n">
        <x:f>IFERROR(J414/H414,0)-IFERROR(K414/I414,0)</x:f>
        <x:v>-0.30833333333333335</x:v>
      </x:c>
      <x:c r="V414" s="24" t="n">
        <x:f>IFERROR(F414/J414,0)-IFERROR(G414/K414,0)</x:f>
        <x:v>-0.3333333333333333</x:v>
      </x:c>
      <x:c r="W414" s="28" t="n">
        <x:f>L414-M414</x:f>
        <x:v>7</x:v>
      </x:c>
      <x:c r="X414" s="24" t="n">
        <x:f>IFERROR(K414/I414,0)</x:f>
        <x:v>0.375</x:v>
      </x:c>
      <x:c r="Y414" s="24" t="n">
        <x:f>IFERROR(G414/I414,0)</x:f>
        <x:v>0.125</x:v>
      </x:c>
      <x:c r="Z414" s="24" t="n">
        <x:f>IFERROR(G414/K414,0)</x:f>
        <x:v>0.3333333333333333</x:v>
      </x:c>
      <x:c r="AA414" s="24" t="n">
        <x:f>IFERROR(F414/H414,0)-IFERROR(G414/I414,0)</x:f>
        <x:v>-0.125</x:v>
      </x:c>
      <x:c r="AB414" s="28" t="n">
        <x:f>J414-K414</x:f>
        <x:v>-2</x:v>
      </x:c>
      <x:c r="AC414" s="32" t="n">
        <x:f>F414-G414</x:f>
        <x:v>-1</x:v>
      </x:c>
    </x:row>
    <x:row r="415">
      <x:c r="A415" s="4" t="str">
        <x:v>2021-22</x:v>
      </x:c>
      <x:c r="B415" s="20" t="n">
        <x:v>44583</x:v>
      </x:c>
      <x:c r="C415" s="4" t="str">
        <x:v>Leeds</x:v>
      </x:c>
      <x:c r="D415" s="4" t="str">
        <x:v>Newcastle</x:v>
      </x:c>
      <x:c r="E415" s="4" t="str">
        <x:v>Home</x:v>
      </x:c>
      <x:c r="F415" s="28" t="n">
        <x:v>0</x:v>
      </x:c>
      <x:c r="G415" s="28" t="n">
        <x:v>1</x:v>
      </x:c>
      <x:c r="H415" s="28" t="n">
        <x:v>13</x:v>
      </x:c>
      <x:c r="I415" s="28" t="n">
        <x:v>15</x:v>
      </x:c>
      <x:c r="J415" s="28" t="n">
        <x:v>4</x:v>
      </x:c>
      <x:c r="K415" s="28" t="n">
        <x:v>3</x:v>
      </x:c>
      <x:c r="L415" s="28" t="n">
        <x:v>6</x:v>
      </x:c>
      <x:c r="M415" s="28" t="n">
        <x:v>7</x:v>
      </x:c>
      <x:c r="N415" s="28" t="n">
        <x:v>4</x:v>
      </x:c>
      <x:c r="O415" s="28" t="n">
        <x:v>0</x:v>
      </x:c>
      <x:c r="P415" s="28" t="n">
        <x:v>0</x:v>
      </x:c>
      <x:c r="Q415" s="24" t="n">
        <x:f>IFERROR(J415/H415,0)</x:f>
        <x:v>0.3076923076923077</x:v>
      </x:c>
      <x:c r="R415" s="24" t="n">
        <x:f>IFERROR(F415/H415,0)</x:f>
        <x:v>0</x:v>
      </x:c>
      <x:c r="S415" s="24" t="n">
        <x:f>IFERROR(F415/J415,0)</x:f>
        <x:v>0</x:v>
      </x:c>
      <x:c r="T415" s="28" t="n">
        <x:f>H415-I415</x:f>
        <x:v>-2</x:v>
      </x:c>
      <x:c r="U415" s="24" t="n">
        <x:f>IFERROR(J415/H415,0)-IFERROR(K415/I415,0)</x:f>
        <x:v>0.1076923076923077</x:v>
      </x:c>
      <x:c r="V415" s="24" t="n">
        <x:f>IFERROR(F415/J415,0)-IFERROR(G415/K415,0)</x:f>
        <x:v>-0.3333333333333333</x:v>
      </x:c>
      <x:c r="W415" s="28" t="n">
        <x:f>L415-M415</x:f>
        <x:v>-1</x:v>
      </x:c>
      <x:c r="X415" s="24" t="n">
        <x:f>IFERROR(K415/I415,0)</x:f>
        <x:v>0.2</x:v>
      </x:c>
      <x:c r="Y415" s="24" t="n">
        <x:f>IFERROR(G415/I415,0)</x:f>
        <x:v>0.06666666666666667</x:v>
      </x:c>
      <x:c r="Z415" s="24" t="n">
        <x:f>IFERROR(G415/K415,0)</x:f>
        <x:v>0.3333333333333333</x:v>
      </x:c>
      <x:c r="AA415" s="24" t="n">
        <x:f>IFERROR(F415/H415,0)-IFERROR(G415/I415,0)</x:f>
        <x:v>-0.06666666666666667</x:v>
      </x:c>
      <x:c r="AB415" s="28" t="n">
        <x:f>J415-K415</x:f>
        <x:v>1</x:v>
      </x:c>
      <x:c r="AC415" s="32" t="n">
        <x:f>F415-G415</x:f>
        <x:v>-1</x:v>
      </x:c>
    </x:row>
    <x:row r="416">
      <x:c r="A416" s="4" t="str">
        <x:v>2021-22</x:v>
      </x:c>
      <x:c r="B416" s="20" t="n">
        <x:v>44583</x:v>
      </x:c>
      <x:c r="C416" s="4" t="str">
        <x:v>Man City</x:v>
      </x:c>
      <x:c r="D416" s="4" t="str">
        <x:v>Southampton</x:v>
      </x:c>
      <x:c r="E416" s="4" t="str">
        <x:v>Away</x:v>
      </x:c>
      <x:c r="F416" s="28" t="n">
        <x:v>1</x:v>
      </x:c>
      <x:c r="G416" s="28" t="n">
        <x:v>1</x:v>
      </x:c>
      <x:c r="H416" s="28" t="n">
        <x:v>20</x:v>
      </x:c>
      <x:c r="I416" s="28" t="n">
        <x:v>7</x:v>
      </x:c>
      <x:c r="J416" s="28" t="n">
        <x:v>5</x:v>
      </x:c>
      <x:c r="K416" s="28" t="n">
        <x:v>3</x:v>
      </x:c>
      <x:c r="L416" s="28" t="n">
        <x:v>11</x:v>
      </x:c>
      <x:c r="M416" s="28" t="n">
        <x:v>2</x:v>
      </x:c>
      <x:c r="N416" s="28" t="n">
        <x:v>0</x:v>
      </x:c>
      <x:c r="O416" s="28" t="n">
        <x:v>0</x:v>
      </x:c>
      <x:c r="P416" s="28" t="n">
        <x:v>1</x:v>
      </x:c>
      <x:c r="Q416" s="24" t="n">
        <x:f>IFERROR(J416/H416,0)</x:f>
        <x:v>0.25</x:v>
      </x:c>
      <x:c r="R416" s="24" t="n">
        <x:f>IFERROR(F416/H416,0)</x:f>
        <x:v>0.05</x:v>
      </x:c>
      <x:c r="S416" s="24" t="n">
        <x:f>IFERROR(F416/J416,0)</x:f>
        <x:v>0.2</x:v>
      </x:c>
      <x:c r="T416" s="28" t="n">
        <x:f>H416-I416</x:f>
        <x:v>13</x:v>
      </x:c>
      <x:c r="U416" s="24" t="n">
        <x:f>IFERROR(J416/H416,0)-IFERROR(K416/I416,0)</x:f>
        <x:v>-0.17857142857142855</x:v>
      </x:c>
      <x:c r="V416" s="24" t="n">
        <x:f>IFERROR(F416/J416,0)-IFERROR(G416/K416,0)</x:f>
        <x:v>-0.1333333333333333</x:v>
      </x:c>
      <x:c r="W416" s="28" t="n">
        <x:f>L416-M416</x:f>
        <x:v>9</x:v>
      </x:c>
      <x:c r="X416" s="24" t="n">
        <x:f>IFERROR(K416/I416,0)</x:f>
        <x:v>0.42857142857142855</x:v>
      </x:c>
      <x:c r="Y416" s="24" t="n">
        <x:f>IFERROR(G416/I416,0)</x:f>
        <x:v>0.14285714285714285</x:v>
      </x:c>
      <x:c r="Z416" s="24" t="n">
        <x:f>IFERROR(G416/K416,0)</x:f>
        <x:v>0.3333333333333333</x:v>
      </x:c>
      <x:c r="AA416" s="24" t="n">
        <x:f>IFERROR(F416/H416,0)-IFERROR(G416/I416,0)</x:f>
        <x:v>-0.09285714285714285</x:v>
      </x:c>
      <x:c r="AB416" s="28" t="n">
        <x:f>J416-K416</x:f>
        <x:v>2</x:v>
      </x:c>
      <x:c r="AC416" s="32" t="n">
        <x:f>F416-G416</x:f>
        <x:v>0</x:v>
      </x:c>
    </x:row>
    <x:row r="417">
      <x:c r="A417" s="4" t="str">
        <x:v>2021-22</x:v>
      </x:c>
      <x:c r="B417" s="20" t="n">
        <x:v>44583</x:v>
      </x:c>
      <x:c r="C417" s="4" t="str">
        <x:v>Man United</x:v>
      </x:c>
      <x:c r="D417" s="4" t="str">
        <x:v>West Ham</x:v>
      </x:c>
      <x:c r="E417" s="4" t="str">
        <x:v>Home</x:v>
      </x:c>
      <x:c r="F417" s="28" t="n">
        <x:v>1</x:v>
      </x:c>
      <x:c r="G417" s="28" t="n">
        <x:v>0</x:v>
      </x:c>
      <x:c r="H417" s="28" t="n">
        <x:v>18</x:v>
      </x:c>
      <x:c r="I417" s="28" t="n">
        <x:v>6</x:v>
      </x:c>
      <x:c r="J417" s="28" t="n">
        <x:v>3</x:v>
      </x:c>
      <x:c r="K417" s="28" t="n">
        <x:v>1</x:v>
      </x:c>
      <x:c r="L417" s="28" t="n">
        <x:v>3</x:v>
      </x:c>
      <x:c r="M417" s="28" t="n">
        <x:v>3</x:v>
      </x:c>
      <x:c r="N417" s="28" t="n">
        <x:v>1</x:v>
      </x:c>
      <x:c r="O417" s="28" t="n">
        <x:v>0</x:v>
      </x:c>
      <x:c r="P417" s="28" t="n">
        <x:v>3</x:v>
      </x:c>
      <x:c r="Q417" s="24" t="n">
        <x:f>IFERROR(J417/H417,0)</x:f>
        <x:v>0.16666666666666666</x:v>
      </x:c>
      <x:c r="R417" s="24" t="n">
        <x:f>IFERROR(F417/H417,0)</x:f>
        <x:v>0.05555555555555555</x:v>
      </x:c>
      <x:c r="S417" s="24" t="n">
        <x:f>IFERROR(F417/J417,0)</x:f>
        <x:v>0.3333333333333333</x:v>
      </x:c>
      <x:c r="T417" s="28" t="n">
        <x:f>H417-I417</x:f>
        <x:v>12</x:v>
      </x:c>
      <x:c r="U417" s="24" t="n">
        <x:f>IFERROR(J417/H417,0)-IFERROR(K417/I417,0)</x:f>
        <x:v>0</x:v>
      </x:c>
      <x:c r="V417" s="24" t="n">
        <x:f>IFERROR(F417/J417,0)-IFERROR(G417/K417,0)</x:f>
        <x:v>0.3333333333333333</x:v>
      </x:c>
      <x:c r="W417" s="28" t="n">
        <x:f>L417-M417</x:f>
        <x:v>0</x:v>
      </x:c>
      <x:c r="X417" s="24" t="n">
        <x:f>IFERROR(K417/I417,0)</x:f>
        <x:v>0.16666666666666666</x:v>
      </x:c>
      <x:c r="Y417" s="24" t="n">
        <x:f>IFERROR(G417/I417,0)</x:f>
        <x:v>0</x:v>
      </x:c>
      <x:c r="Z417" s="24" t="n">
        <x:f>IFERROR(G417/K417,0)</x:f>
        <x:v>0</x:v>
      </x:c>
      <x:c r="AA417" s="24" t="n">
        <x:f>IFERROR(F417/H417,0)-IFERROR(G417/I417,0)</x:f>
        <x:v>0.05555555555555555</x:v>
      </x:c>
      <x:c r="AB417" s="28" t="n">
        <x:f>J417-K417</x:f>
        <x:v>2</x:v>
      </x:c>
      <x:c r="AC417" s="32" t="n">
        <x:f>F417-G417</x:f>
        <x:v>1</x:v>
      </x:c>
    </x:row>
    <x:row r="418">
      <x:c r="A418" s="4" t="str">
        <x:v>2021-22</x:v>
      </x:c>
      <x:c r="B418" s="20" t="n">
        <x:v>44583</x:v>
      </x:c>
      <x:c r="C418" s="4" t="str">
        <x:v>Newcastle</x:v>
      </x:c>
      <x:c r="D418" s="4" t="str">
        <x:v>Leeds</x:v>
      </x:c>
      <x:c r="E418" s="4" t="str">
        <x:v>Away</x:v>
      </x:c>
      <x:c r="F418" s="28" t="n">
        <x:v>1</x:v>
      </x:c>
      <x:c r="G418" s="28" t="n">
        <x:v>0</x:v>
      </x:c>
      <x:c r="H418" s="28" t="n">
        <x:v>15</x:v>
      </x:c>
      <x:c r="I418" s="28" t="n">
        <x:v>13</x:v>
      </x:c>
      <x:c r="J418" s="28" t="n">
        <x:v>3</x:v>
      </x:c>
      <x:c r="K418" s="28" t="n">
        <x:v>4</x:v>
      </x:c>
      <x:c r="L418" s="28" t="n">
        <x:v>7</x:v>
      </x:c>
      <x:c r="M418" s="28" t="n">
        <x:v>6</x:v>
      </x:c>
      <x:c r="N418" s="28" t="n">
        <x:v>2</x:v>
      </x:c>
      <x:c r="O418" s="28" t="n">
        <x:v>0</x:v>
      </x:c>
      <x:c r="P418" s="28" t="n">
        <x:v>3</x:v>
      </x:c>
      <x:c r="Q418" s="24" t="n">
        <x:f>IFERROR(J418/H418,0)</x:f>
        <x:v>0.2</x:v>
      </x:c>
      <x:c r="R418" s="24" t="n">
        <x:f>IFERROR(F418/H418,0)</x:f>
        <x:v>0.06666666666666667</x:v>
      </x:c>
      <x:c r="S418" s="24" t="n">
        <x:f>IFERROR(F418/J418,0)</x:f>
        <x:v>0.3333333333333333</x:v>
      </x:c>
      <x:c r="T418" s="28" t="n">
        <x:f>H418-I418</x:f>
        <x:v>2</x:v>
      </x:c>
      <x:c r="U418" s="24" t="n">
        <x:f>IFERROR(J418/H418,0)-IFERROR(K418/I418,0)</x:f>
        <x:v>-0.1076923076923077</x:v>
      </x:c>
      <x:c r="V418" s="24" t="n">
        <x:f>IFERROR(F418/J418,0)-IFERROR(G418/K418,0)</x:f>
        <x:v>0.3333333333333333</x:v>
      </x:c>
      <x:c r="W418" s="28" t="n">
        <x:f>L418-M418</x:f>
        <x:v>1</x:v>
      </x:c>
      <x:c r="X418" s="24" t="n">
        <x:f>IFERROR(K418/I418,0)</x:f>
        <x:v>0.3076923076923077</x:v>
      </x:c>
      <x:c r="Y418" s="24" t="n">
        <x:f>IFERROR(G418/I418,0)</x:f>
        <x:v>0</x:v>
      </x:c>
      <x:c r="Z418" s="24" t="n">
        <x:f>IFERROR(G418/K418,0)</x:f>
        <x:v>0</x:v>
      </x:c>
      <x:c r="AA418" s="24" t="n">
        <x:f>IFERROR(F418/H418,0)-IFERROR(G418/I418,0)</x:f>
        <x:v>0.06666666666666667</x:v>
      </x:c>
      <x:c r="AB418" s="28" t="n">
        <x:f>J418-K418</x:f>
        <x:v>-1</x:v>
      </x:c>
      <x:c r="AC418" s="32" t="n">
        <x:f>F418-G418</x:f>
        <x:v>1</x:v>
      </x:c>
    </x:row>
    <x:row r="419">
      <x:c r="A419" s="4" t="str">
        <x:v>2021-22</x:v>
      </x:c>
      <x:c r="B419" s="20" t="n">
        <x:v>44583</x:v>
      </x:c>
      <x:c r="C419" s="4" t="str">
        <x:v>Southampton</x:v>
      </x:c>
      <x:c r="D419" s="4" t="str">
        <x:v>Man City</x:v>
      </x:c>
      <x:c r="E419" s="4" t="str">
        <x:v>Home</x:v>
      </x:c>
      <x:c r="F419" s="28" t="n">
        <x:v>1</x:v>
      </x:c>
      <x:c r="G419" s="28" t="n">
        <x:v>1</x:v>
      </x:c>
      <x:c r="H419" s="28" t="n">
        <x:v>7</x:v>
      </x:c>
      <x:c r="I419" s="28" t="n">
        <x:v>20</x:v>
      </x:c>
      <x:c r="J419" s="28" t="n">
        <x:v>3</x:v>
      </x:c>
      <x:c r="K419" s="28" t="n">
        <x:v>5</x:v>
      </x:c>
      <x:c r="L419" s="28" t="n">
        <x:v>2</x:v>
      </x:c>
      <x:c r="M419" s="28" t="n">
        <x:v>11</x:v>
      </x:c>
      <x:c r="N419" s="28" t="n">
        <x:v>3</x:v>
      </x:c>
      <x:c r="O419" s="28" t="n">
        <x:v>0</x:v>
      </x:c>
      <x:c r="P419" s="28" t="n">
        <x:v>1</x:v>
      </x:c>
      <x:c r="Q419" s="24" t="n">
        <x:f>IFERROR(J419/H419,0)</x:f>
        <x:v>0.42857142857142855</x:v>
      </x:c>
      <x:c r="R419" s="24" t="n">
        <x:f>IFERROR(F419/H419,0)</x:f>
        <x:v>0.14285714285714285</x:v>
      </x:c>
      <x:c r="S419" s="24" t="n">
        <x:f>IFERROR(F419/J419,0)</x:f>
        <x:v>0.3333333333333333</x:v>
      </x:c>
      <x:c r="T419" s="28" t="n">
        <x:f>H419-I419</x:f>
        <x:v>-13</x:v>
      </x:c>
      <x:c r="U419" s="24" t="n">
        <x:f>IFERROR(J419/H419,0)-IFERROR(K419/I419,0)</x:f>
        <x:v>0.17857142857142855</x:v>
      </x:c>
      <x:c r="V419" s="24" t="n">
        <x:f>IFERROR(F419/J419,0)-IFERROR(G419/K419,0)</x:f>
        <x:v>0.1333333333333333</x:v>
      </x:c>
      <x:c r="W419" s="28" t="n">
        <x:f>L419-M419</x:f>
        <x:v>-9</x:v>
      </x:c>
      <x:c r="X419" s="24" t="n">
        <x:f>IFERROR(K419/I419,0)</x:f>
        <x:v>0.25</x:v>
      </x:c>
      <x:c r="Y419" s="24" t="n">
        <x:f>IFERROR(G419/I419,0)</x:f>
        <x:v>0.05</x:v>
      </x:c>
      <x:c r="Z419" s="24" t="n">
        <x:f>IFERROR(G419/K419,0)</x:f>
        <x:v>0.2</x:v>
      </x:c>
      <x:c r="AA419" s="24" t="n">
        <x:f>IFERROR(F419/H419,0)-IFERROR(G419/I419,0)</x:f>
        <x:v>0.09285714285714285</x:v>
      </x:c>
      <x:c r="AB419" s="28" t="n">
        <x:f>J419-K419</x:f>
        <x:v>-2</x:v>
      </x:c>
      <x:c r="AC419" s="32" t="n">
        <x:f>F419-G419</x:f>
        <x:v>0</x:v>
      </x:c>
    </x:row>
    <x:row r="420">
      <x:c r="A420" s="4" t="str">
        <x:v>2021-22</x:v>
      </x:c>
      <x:c r="B420" s="20" t="n">
        <x:v>44583</x:v>
      </x:c>
      <x:c r="C420" s="4" t="str">
        <x:v>West Ham</x:v>
      </x:c>
      <x:c r="D420" s="4" t="str">
        <x:v>Man United</x:v>
      </x:c>
      <x:c r="E420" s="4" t="str">
        <x:v>Away</x:v>
      </x:c>
      <x:c r="F420" s="28" t="n">
        <x:v>0</x:v>
      </x:c>
      <x:c r="G420" s="28" t="n">
        <x:v>1</x:v>
      </x:c>
      <x:c r="H420" s="28" t="n">
        <x:v>6</x:v>
      </x:c>
      <x:c r="I420" s="28" t="n">
        <x:v>18</x:v>
      </x:c>
      <x:c r="J420" s="28" t="n">
        <x:v>1</x:v>
      </x:c>
      <x:c r="K420" s="28" t="n">
        <x:v>3</x:v>
      </x:c>
      <x:c r="L420" s="28" t="n">
        <x:v>3</x:v>
      </x:c>
      <x:c r="M420" s="28" t="n">
        <x:v>3</x:v>
      </x:c>
      <x:c r="N420" s="28" t="n">
        <x:v>1</x:v>
      </x:c>
      <x:c r="O420" s="28" t="n">
        <x:v>0</x:v>
      </x:c>
      <x:c r="P420" s="28" t="n">
        <x:v>0</x:v>
      </x:c>
      <x:c r="Q420" s="24" t="n">
        <x:f>IFERROR(J420/H420,0)</x:f>
        <x:v>0.16666666666666666</x:v>
      </x:c>
      <x:c r="R420" s="24" t="n">
        <x:f>IFERROR(F420/H420,0)</x:f>
        <x:v>0</x:v>
      </x:c>
      <x:c r="S420" s="24" t="n">
        <x:f>IFERROR(F420/J420,0)</x:f>
        <x:v>0</x:v>
      </x:c>
      <x:c r="T420" s="28" t="n">
        <x:f>H420-I420</x:f>
        <x:v>-12</x:v>
      </x:c>
      <x:c r="U420" s="24" t="n">
        <x:f>IFERROR(J420/H420,0)-IFERROR(K420/I420,0)</x:f>
        <x:v>0</x:v>
      </x:c>
      <x:c r="V420" s="24" t="n">
        <x:f>IFERROR(F420/J420,0)-IFERROR(G420/K420,0)</x:f>
        <x:v>-0.3333333333333333</x:v>
      </x:c>
      <x:c r="W420" s="28" t="n">
        <x:f>L420-M420</x:f>
        <x:v>0</x:v>
      </x:c>
      <x:c r="X420" s="24" t="n">
        <x:f>IFERROR(K420/I420,0)</x:f>
        <x:v>0.16666666666666666</x:v>
      </x:c>
      <x:c r="Y420" s="24" t="n">
        <x:f>IFERROR(G420/I420,0)</x:f>
        <x:v>0.05555555555555555</x:v>
      </x:c>
      <x:c r="Z420" s="24" t="n">
        <x:f>IFERROR(G420/K420,0)</x:f>
        <x:v>0.3333333333333333</x:v>
      </x:c>
      <x:c r="AA420" s="24" t="n">
        <x:f>IFERROR(F420/H420,0)-IFERROR(G420/I420,0)</x:f>
        <x:v>-0.05555555555555555</x:v>
      </x:c>
      <x:c r="AB420" s="28" t="n">
        <x:f>J420-K420</x:f>
        <x:v>-2</x:v>
      </x:c>
      <x:c r="AC420" s="32" t="n">
        <x:f>F420-G420</x:f>
        <x:v>-1</x:v>
      </x:c>
    </x:row>
    <x:row r="421">
      <x:c r="A421" s="4" t="str">
        <x:v>2021-22</x:v>
      </x:c>
      <x:c r="B421" s="20" t="n">
        <x:v>44583</x:v>
      </x:c>
      <x:c r="C421" s="4" t="str">
        <x:v>Wolves</x:v>
      </x:c>
      <x:c r="D421" s="4" t="str">
        <x:v>Brentford</x:v>
      </x:c>
      <x:c r="E421" s="4" t="str">
        <x:v>Away</x:v>
      </x:c>
      <x:c r="F421" s="28" t="n">
        <x:v>2</x:v>
      </x:c>
      <x:c r="G421" s="28" t="n">
        <x:v>1</x:v>
      </x:c>
      <x:c r="H421" s="28" t="n">
        <x:v>7</x:v>
      </x:c>
      <x:c r="I421" s="28" t="n">
        <x:v>11</x:v>
      </x:c>
      <x:c r="J421" s="28" t="n">
        <x:v>2</x:v>
      </x:c>
      <x:c r="K421" s="28" t="n">
        <x:v>1</x:v>
      </x:c>
      <x:c r="L421" s="28" t="n">
        <x:v>3</x:v>
      </x:c>
      <x:c r="M421" s="28" t="n">
        <x:v>6</x:v>
      </x:c>
      <x:c r="N421" s="28" t="n">
        <x:v>3</x:v>
      </x:c>
      <x:c r="O421" s="28" t="n">
        <x:v>0</x:v>
      </x:c>
      <x:c r="P421" s="28" t="n">
        <x:v>3</x:v>
      </x:c>
      <x:c r="Q421" s="24" t="n">
        <x:f>IFERROR(J421/H421,0)</x:f>
        <x:v>0.2857142857142857</x:v>
      </x:c>
      <x:c r="R421" s="24" t="n">
        <x:f>IFERROR(F421/H421,0)</x:f>
        <x:v>0.2857142857142857</x:v>
      </x:c>
      <x:c r="S421" s="24" t="n">
        <x:f>IFERROR(F421/J421,0)</x:f>
        <x:v>1</x:v>
      </x:c>
      <x:c r="T421" s="28" t="n">
        <x:f>H421-I421</x:f>
        <x:v>-4</x:v>
      </x:c>
      <x:c r="U421" s="24" t="n">
        <x:f>IFERROR(J421/H421,0)-IFERROR(K421/I421,0)</x:f>
        <x:v>0.1948051948051948</x:v>
      </x:c>
      <x:c r="V421" s="24" t="n">
        <x:f>IFERROR(F421/J421,0)-IFERROR(G421/K421,0)</x:f>
        <x:v>0</x:v>
      </x:c>
      <x:c r="W421" s="28" t="n">
        <x:f>L421-M421</x:f>
        <x:v>-3</x:v>
      </x:c>
      <x:c r="X421" s="24" t="n">
        <x:f>IFERROR(K421/I421,0)</x:f>
        <x:v>0.09090909090909091</x:v>
      </x:c>
      <x:c r="Y421" s="24" t="n">
        <x:f>IFERROR(G421/I421,0)</x:f>
        <x:v>0.09090909090909091</x:v>
      </x:c>
      <x:c r="Z421" s="24" t="n">
        <x:f>IFERROR(G421/K421,0)</x:f>
        <x:v>1</x:v>
      </x:c>
      <x:c r="AA421" s="24" t="n">
        <x:f>IFERROR(F421/H421,0)-IFERROR(G421/I421,0)</x:f>
        <x:v>0.1948051948051948</x:v>
      </x:c>
      <x:c r="AB421" s="28" t="n">
        <x:f>J421-K421</x:f>
        <x:v>1</x:v>
      </x:c>
      <x:c r="AC421" s="32" t="n">
        <x:f>F421-G421</x:f>
        <x:v>1</x:v>
      </x:c>
    </x:row>
    <x:row r="422">
      <x:c r="A422" s="4" t="str">
        <x:v>2021-22</x:v>
      </x:c>
      <x:c r="B422" s="20" t="n">
        <x:v>44584</x:v>
      </x:c>
      <x:c r="C422" s="4" t="str">
        <x:v>Arsenal</x:v>
      </x:c>
      <x:c r="D422" s="4" t="str">
        <x:v>Burnley</x:v>
      </x:c>
      <x:c r="E422" s="4" t="str">
        <x:v>Home</x:v>
      </x:c>
      <x:c r="F422" s="28" t="n">
        <x:v>0</x:v>
      </x:c>
      <x:c r="G422" s="28" t="n">
        <x:v>0</x:v>
      </x:c>
      <x:c r="H422" s="28" t="n">
        <x:v>20</x:v>
      </x:c>
      <x:c r="I422" s="28" t="n">
        <x:v>10</x:v>
      </x:c>
      <x:c r="J422" s="28" t="n">
        <x:v>5</x:v>
      </x:c>
      <x:c r="K422" s="28" t="n">
        <x:v>1</x:v>
      </x:c>
      <x:c r="L422" s="28" t="n">
        <x:v>12</x:v>
      </x:c>
      <x:c r="M422" s="28" t="n">
        <x:v>4</x:v>
      </x:c>
      <x:c r="N422" s="28" t="n">
        <x:v>0</x:v>
      </x:c>
      <x:c r="O422" s="28" t="n">
        <x:v>0</x:v>
      </x:c>
      <x:c r="P422" s="28" t="n">
        <x:v>1</x:v>
      </x:c>
      <x:c r="Q422" s="24" t="n">
        <x:f>IFERROR(J422/H422,0)</x:f>
        <x:v>0.25</x:v>
      </x:c>
      <x:c r="R422" s="24" t="n">
        <x:f>IFERROR(F422/H422,0)</x:f>
        <x:v>0</x:v>
      </x:c>
      <x:c r="S422" s="24" t="n">
        <x:f>IFERROR(F422/J422,0)</x:f>
        <x:v>0</x:v>
      </x:c>
      <x:c r="T422" s="28" t="n">
        <x:f>H422-I422</x:f>
        <x:v>10</x:v>
      </x:c>
      <x:c r="U422" s="24" t="n">
        <x:f>IFERROR(J422/H422,0)-IFERROR(K422/I422,0)</x:f>
        <x:v>0.15</x:v>
      </x:c>
      <x:c r="V422" s="24" t="n">
        <x:f>IFERROR(F422/J422,0)-IFERROR(G422/K422,0)</x:f>
        <x:v>0</x:v>
      </x:c>
      <x:c r="W422" s="28" t="n">
        <x:f>L422-M422</x:f>
        <x:v>8</x:v>
      </x:c>
      <x:c r="X422" s="24" t="n">
        <x:f>IFERROR(K422/I422,0)</x:f>
        <x:v>0.1</x:v>
      </x:c>
      <x:c r="Y422" s="24" t="n">
        <x:f>IFERROR(G422/I422,0)</x:f>
        <x:v>0</x:v>
      </x:c>
      <x:c r="Z422" s="24" t="n">
        <x:f>IFERROR(G422/K422,0)</x:f>
        <x:v>0</x:v>
      </x:c>
      <x:c r="AA422" s="24" t="n">
        <x:f>IFERROR(F422/H422,0)-IFERROR(G422/I422,0)</x:f>
        <x:v>0</x:v>
      </x:c>
      <x:c r="AB422" s="28" t="n">
        <x:f>J422-K422</x:f>
        <x:v>4</x:v>
      </x:c>
      <x:c r="AC422" s="32" t="n">
        <x:f>F422-G422</x:f>
        <x:v>0</x:v>
      </x:c>
    </x:row>
    <x:row r="423">
      <x:c r="A423" s="4" t="str">
        <x:v>2021-22</x:v>
      </x:c>
      <x:c r="B423" s="20" t="n">
        <x:v>44584</x:v>
      </x:c>
      <x:c r="C423" s="4" t="str">
        <x:v>Brighton</x:v>
      </x:c>
      <x:c r="D423" s="4" t="str">
        <x:v>Leicester</x:v>
      </x:c>
      <x:c r="E423" s="4" t="str">
        <x:v>Away</x:v>
      </x:c>
      <x:c r="F423" s="28" t="n">
        <x:v>1</x:v>
      </x:c>
      <x:c r="G423" s="28" t="n">
        <x:v>1</x:v>
      </x:c>
      <x:c r="H423" s="28" t="n">
        <x:v>14</x:v>
      </x:c>
      <x:c r="I423" s="28" t="n">
        <x:v>15</x:v>
      </x:c>
      <x:c r="J423" s="28" t="n">
        <x:v>5</x:v>
      </x:c>
      <x:c r="K423" s="28" t="n">
        <x:v>5</x:v>
      </x:c>
      <x:c r="L423" s="28" t="n">
        <x:v>5</x:v>
      </x:c>
      <x:c r="M423" s="28" t="n">
        <x:v>4</x:v>
      </x:c>
      <x:c r="N423" s="28" t="n">
        <x:v>1</x:v>
      </x:c>
      <x:c r="O423" s="28" t="n">
        <x:v>0</x:v>
      </x:c>
      <x:c r="P423" s="28" t="n">
        <x:v>1</x:v>
      </x:c>
      <x:c r="Q423" s="24" t="n">
        <x:f>IFERROR(J423/H423,0)</x:f>
        <x:v>0.35714285714285715</x:v>
      </x:c>
      <x:c r="R423" s="24" t="n">
        <x:f>IFERROR(F423/H423,0)</x:f>
        <x:v>0.07142857142857142</x:v>
      </x:c>
      <x:c r="S423" s="24" t="n">
        <x:f>IFERROR(F423/J423,0)</x:f>
        <x:v>0.2</x:v>
      </x:c>
      <x:c r="T423" s="28" t="n">
        <x:f>H423-I423</x:f>
        <x:v>-1</x:v>
      </x:c>
      <x:c r="U423" s="24" t="n">
        <x:f>IFERROR(J423/H423,0)-IFERROR(K423/I423,0)</x:f>
        <x:v>0.023809523809523836</x:v>
      </x:c>
      <x:c r="V423" s="24" t="n">
        <x:f>IFERROR(F423/J423,0)-IFERROR(G423/K423,0)</x:f>
        <x:v>0</x:v>
      </x:c>
      <x:c r="W423" s="28" t="n">
        <x:f>L423-M423</x:f>
        <x:v>1</x:v>
      </x:c>
      <x:c r="X423" s="24" t="n">
        <x:f>IFERROR(K423/I423,0)</x:f>
        <x:v>0.3333333333333333</x:v>
      </x:c>
      <x:c r="Y423" s="24" t="n">
        <x:f>IFERROR(G423/I423,0)</x:f>
        <x:v>0.06666666666666667</x:v>
      </x:c>
      <x:c r="Z423" s="24" t="n">
        <x:f>IFERROR(G423/K423,0)</x:f>
        <x:v>0.2</x:v>
      </x:c>
      <x:c r="AA423" s="24" t="n">
        <x:f>IFERROR(F423/H423,0)-IFERROR(G423/I423,0)</x:f>
        <x:v>0.004761904761904759</x:v>
      </x:c>
      <x:c r="AB423" s="28" t="n">
        <x:f>J423-K423</x:f>
        <x:v>0</x:v>
      </x:c>
      <x:c r="AC423" s="32" t="n">
        <x:f>F423-G423</x:f>
        <x:v>0</x:v>
      </x:c>
    </x:row>
    <x:row r="424">
      <x:c r="A424" s="4" t="str">
        <x:v>2021-22</x:v>
      </x:c>
      <x:c r="B424" s="20" t="n">
        <x:v>44584</x:v>
      </x:c>
      <x:c r="C424" s="4" t="str">
        <x:v>Burnley</x:v>
      </x:c>
      <x:c r="D424" s="4" t="str">
        <x:v>Arsenal</x:v>
      </x:c>
      <x:c r="E424" s="4" t="str">
        <x:v>Away</x:v>
      </x:c>
      <x:c r="F424" s="28" t="n">
        <x:v>0</x:v>
      </x:c>
      <x:c r="G424" s="28" t="n">
        <x:v>0</x:v>
      </x:c>
      <x:c r="H424" s="28" t="n">
        <x:v>10</x:v>
      </x:c>
      <x:c r="I424" s="28" t="n">
        <x:v>20</x:v>
      </x:c>
      <x:c r="J424" s="28" t="n">
        <x:v>1</x:v>
      </x:c>
      <x:c r="K424" s="28" t="n">
        <x:v>5</x:v>
      </x:c>
      <x:c r="L424" s="28" t="n">
        <x:v>4</x:v>
      </x:c>
      <x:c r="M424" s="28" t="n">
        <x:v>12</x:v>
      </x:c>
      <x:c r="N424" s="28" t="n">
        <x:v>2</x:v>
      </x:c>
      <x:c r="O424" s="28" t="n">
        <x:v>0</x:v>
      </x:c>
      <x:c r="P424" s="28" t="n">
        <x:v>1</x:v>
      </x:c>
      <x:c r="Q424" s="24" t="n">
        <x:f>IFERROR(J424/H424,0)</x:f>
        <x:v>0.1</x:v>
      </x:c>
      <x:c r="R424" s="24" t="n">
        <x:f>IFERROR(F424/H424,0)</x:f>
        <x:v>0</x:v>
      </x:c>
      <x:c r="S424" s="24" t="n">
        <x:f>IFERROR(F424/J424,0)</x:f>
        <x:v>0</x:v>
      </x:c>
      <x:c r="T424" s="28" t="n">
        <x:f>H424-I424</x:f>
        <x:v>-10</x:v>
      </x:c>
      <x:c r="U424" s="24" t="n">
        <x:f>IFERROR(J424/H424,0)-IFERROR(K424/I424,0)</x:f>
        <x:v>-0.15</x:v>
      </x:c>
      <x:c r="V424" s="24" t="n">
        <x:f>IFERROR(F424/J424,0)-IFERROR(G424/K424,0)</x:f>
        <x:v>0</x:v>
      </x:c>
      <x:c r="W424" s="28" t="n">
        <x:f>L424-M424</x:f>
        <x:v>-8</x:v>
      </x:c>
      <x:c r="X424" s="24" t="n">
        <x:f>IFERROR(K424/I424,0)</x:f>
        <x:v>0.25</x:v>
      </x:c>
      <x:c r="Y424" s="24" t="n">
        <x:f>IFERROR(G424/I424,0)</x:f>
        <x:v>0</x:v>
      </x:c>
      <x:c r="Z424" s="24" t="n">
        <x:f>IFERROR(G424/K424,0)</x:f>
        <x:v>0</x:v>
      </x:c>
      <x:c r="AA424" s="24" t="n">
        <x:f>IFERROR(F424/H424,0)-IFERROR(G424/I424,0)</x:f>
        <x:v>0</x:v>
      </x:c>
      <x:c r="AB424" s="28" t="n">
        <x:f>J424-K424</x:f>
        <x:v>-4</x:v>
      </x:c>
      <x:c r="AC424" s="32" t="n">
        <x:f>F424-G424</x:f>
        <x:v>0</x:v>
      </x:c>
    </x:row>
    <x:row r="425">
      <x:c r="A425" s="4" t="str">
        <x:v>2021-22</x:v>
      </x:c>
      <x:c r="B425" s="20" t="n">
        <x:v>44584</x:v>
      </x:c>
      <x:c r="C425" s="4" t="str">
        <x:v>Chelsea</x:v>
      </x:c>
      <x:c r="D425" s="4" t="str">
        <x:v>Tottenham</x:v>
      </x:c>
      <x:c r="E425" s="4" t="str">
        <x:v>Home</x:v>
      </x:c>
      <x:c r="F425" s="28" t="n">
        <x:v>2</x:v>
      </x:c>
      <x:c r="G425" s="28" t="n">
        <x:v>0</x:v>
      </x:c>
      <x:c r="H425" s="28" t="n">
        <x:v>15</x:v>
      </x:c>
      <x:c r="I425" s="28" t="n">
        <x:v>6</x:v>
      </x:c>
      <x:c r="J425" s="28" t="n">
        <x:v>7</x:v>
      </x:c>
      <x:c r="K425" s="28" t="n">
        <x:v>3</x:v>
      </x:c>
      <x:c r="L425" s="28" t="n">
        <x:v>10</x:v>
      </x:c>
      <x:c r="M425" s="28" t="n">
        <x:v>3</x:v>
      </x:c>
      <x:c r="N425" s="28" t="n">
        <x:v>2</x:v>
      </x:c>
      <x:c r="O425" s="28" t="n">
        <x:v>0</x:v>
      </x:c>
      <x:c r="P425" s="28" t="n">
        <x:v>3</x:v>
      </x:c>
      <x:c r="Q425" s="24" t="n">
        <x:f>IFERROR(J425/H425,0)</x:f>
        <x:v>0.4666666666666667</x:v>
      </x:c>
      <x:c r="R425" s="24" t="n">
        <x:f>IFERROR(F425/H425,0)</x:f>
        <x:v>0.13333333333333333</x:v>
      </x:c>
      <x:c r="S425" s="24" t="n">
        <x:f>IFERROR(F425/J425,0)</x:f>
        <x:v>0.2857142857142857</x:v>
      </x:c>
      <x:c r="T425" s="28" t="n">
        <x:f>H425-I425</x:f>
        <x:v>9</x:v>
      </x:c>
      <x:c r="U425" s="24" t="n">
        <x:f>IFERROR(J425/H425,0)-IFERROR(K425/I425,0)</x:f>
        <x:v>-0.033333333333333326</x:v>
      </x:c>
      <x:c r="V425" s="24" t="n">
        <x:f>IFERROR(F425/J425,0)-IFERROR(G425/K425,0)</x:f>
        <x:v>0.2857142857142857</x:v>
      </x:c>
      <x:c r="W425" s="28" t="n">
        <x:f>L425-M425</x:f>
        <x:v>7</x:v>
      </x:c>
      <x:c r="X425" s="24" t="n">
        <x:f>IFERROR(K425/I425,0)</x:f>
        <x:v>0.5</x:v>
      </x:c>
      <x:c r="Y425" s="24" t="n">
        <x:f>IFERROR(G425/I425,0)</x:f>
        <x:v>0</x:v>
      </x:c>
      <x:c r="Z425" s="24" t="n">
        <x:f>IFERROR(G425/K425,0)</x:f>
        <x:v>0</x:v>
      </x:c>
      <x:c r="AA425" s="24" t="n">
        <x:f>IFERROR(F425/H425,0)-IFERROR(G425/I425,0)</x:f>
        <x:v>0.13333333333333333</x:v>
      </x:c>
      <x:c r="AB425" s="28" t="n">
        <x:f>J425-K425</x:f>
        <x:v>4</x:v>
      </x:c>
      <x:c r="AC425" s="32" t="n">
        <x:f>F425-G425</x:f>
        <x:v>2</x:v>
      </x:c>
    </x:row>
    <x:row r="426">
      <x:c r="A426" s="4" t="str">
        <x:v>2021-22</x:v>
      </x:c>
      <x:c r="B426" s="20" t="n">
        <x:v>44584</x:v>
      </x:c>
      <x:c r="C426" s="4" t="str">
        <x:v>Crystal Palace</x:v>
      </x:c>
      <x:c r="D426" s="4" t="str">
        <x:v>Liverpool</x:v>
      </x:c>
      <x:c r="E426" s="4" t="str">
        <x:v>Home</x:v>
      </x:c>
      <x:c r="F426" s="28" t="n">
        <x:v>1</x:v>
      </x:c>
      <x:c r="G426" s="28" t="n">
        <x:v>3</x:v>
      </x:c>
      <x:c r="H426" s="28" t="n">
        <x:v>8</x:v>
      </x:c>
      <x:c r="I426" s="28" t="n">
        <x:v>15</x:v>
      </x:c>
      <x:c r="J426" s="28" t="n">
        <x:v>5</x:v>
      </x:c>
      <x:c r="K426" s="28" t="n">
        <x:v>7</x:v>
      </x:c>
      <x:c r="L426" s="28" t="n">
        <x:v>2</x:v>
      </x:c>
      <x:c r="M426" s="28" t="n">
        <x:v>5</x:v>
      </x:c>
      <x:c r="N426" s="28" t="n">
        <x:v>4</x:v>
      </x:c>
      <x:c r="O426" s="28" t="n">
        <x:v>0</x:v>
      </x:c>
      <x:c r="P426" s="28" t="n">
        <x:v>0</x:v>
      </x:c>
      <x:c r="Q426" s="24" t="n">
        <x:f>IFERROR(J426/H426,0)</x:f>
        <x:v>0.625</x:v>
      </x:c>
      <x:c r="R426" s="24" t="n">
        <x:f>IFERROR(F426/H426,0)</x:f>
        <x:v>0.125</x:v>
      </x:c>
      <x:c r="S426" s="24" t="n">
        <x:f>IFERROR(F426/J426,0)</x:f>
        <x:v>0.2</x:v>
      </x:c>
      <x:c r="T426" s="28" t="n">
        <x:f>H426-I426</x:f>
        <x:v>-7</x:v>
      </x:c>
      <x:c r="U426" s="24" t="n">
        <x:f>IFERROR(J426/H426,0)-IFERROR(K426/I426,0)</x:f>
        <x:v>0.15833333333333333</x:v>
      </x:c>
      <x:c r="V426" s="24" t="n">
        <x:f>IFERROR(F426/J426,0)-IFERROR(G426/K426,0)</x:f>
        <x:v>-0.22857142857142854</x:v>
      </x:c>
      <x:c r="W426" s="28" t="n">
        <x:f>L426-M426</x:f>
        <x:v>-3</x:v>
      </x:c>
      <x:c r="X426" s="24" t="n">
        <x:f>IFERROR(K426/I426,0)</x:f>
        <x:v>0.4666666666666667</x:v>
      </x:c>
      <x:c r="Y426" s="24" t="n">
        <x:f>IFERROR(G426/I426,0)</x:f>
        <x:v>0.2</x:v>
      </x:c>
      <x:c r="Z426" s="24" t="n">
        <x:f>IFERROR(G426/K426,0)</x:f>
        <x:v>0.42857142857142855</x:v>
      </x:c>
      <x:c r="AA426" s="24" t="n">
        <x:f>IFERROR(F426/H426,0)-IFERROR(G426/I426,0)</x:f>
        <x:v>-0.07500000000000001</x:v>
      </x:c>
      <x:c r="AB426" s="28" t="n">
        <x:f>J426-K426</x:f>
        <x:v>-2</x:v>
      </x:c>
      <x:c r="AC426" s="32" t="n">
        <x:f>F426-G426</x:f>
        <x:v>-2</x:v>
      </x:c>
    </x:row>
    <x:row r="427">
      <x:c r="A427" s="4" t="str">
        <x:v>2021-22</x:v>
      </x:c>
      <x:c r="B427" s="20" t="n">
        <x:v>44584</x:v>
      </x:c>
      <x:c r="C427" s="4" t="str">
        <x:v>Leicester</x:v>
      </x:c>
      <x:c r="D427" s="4" t="str">
        <x:v>Brighton</x:v>
      </x:c>
      <x:c r="E427" s="4" t="str">
        <x:v>Home</x:v>
      </x:c>
      <x:c r="F427" s="28" t="n">
        <x:v>1</x:v>
      </x:c>
      <x:c r="G427" s="28" t="n">
        <x:v>1</x:v>
      </x:c>
      <x:c r="H427" s="28" t="n">
        <x:v>15</x:v>
      </x:c>
      <x:c r="I427" s="28" t="n">
        <x:v>14</x:v>
      </x:c>
      <x:c r="J427" s="28" t="n">
        <x:v>5</x:v>
      </x:c>
      <x:c r="K427" s="28" t="n">
        <x:v>5</x:v>
      </x:c>
      <x:c r="L427" s="28" t="n">
        <x:v>4</x:v>
      </x:c>
      <x:c r="M427" s="28" t="n">
        <x:v>5</x:v>
      </x:c>
      <x:c r="N427" s="28" t="n">
        <x:v>0</x:v>
      </x:c>
      <x:c r="O427" s="28" t="n">
        <x:v>0</x:v>
      </x:c>
      <x:c r="P427" s="28" t="n">
        <x:v>1</x:v>
      </x:c>
      <x:c r="Q427" s="24" t="n">
        <x:f>IFERROR(J427/H427,0)</x:f>
        <x:v>0.3333333333333333</x:v>
      </x:c>
      <x:c r="R427" s="24" t="n">
        <x:f>IFERROR(F427/H427,0)</x:f>
        <x:v>0.06666666666666667</x:v>
      </x:c>
      <x:c r="S427" s="24" t="n">
        <x:f>IFERROR(F427/J427,0)</x:f>
        <x:v>0.2</x:v>
      </x:c>
      <x:c r="T427" s="28" t="n">
        <x:f>H427-I427</x:f>
        <x:v>1</x:v>
      </x:c>
      <x:c r="U427" s="24" t="n">
        <x:f>IFERROR(J427/H427,0)-IFERROR(K427/I427,0)</x:f>
        <x:v>-0.023809523809523836</x:v>
      </x:c>
      <x:c r="V427" s="24" t="n">
        <x:f>IFERROR(F427/J427,0)-IFERROR(G427/K427,0)</x:f>
        <x:v>0</x:v>
      </x:c>
      <x:c r="W427" s="28" t="n">
        <x:f>L427-M427</x:f>
        <x:v>-1</x:v>
      </x:c>
      <x:c r="X427" s="24" t="n">
        <x:f>IFERROR(K427/I427,0)</x:f>
        <x:v>0.35714285714285715</x:v>
      </x:c>
      <x:c r="Y427" s="24" t="n">
        <x:f>IFERROR(G427/I427,0)</x:f>
        <x:v>0.07142857142857142</x:v>
      </x:c>
      <x:c r="Z427" s="24" t="n">
        <x:f>IFERROR(G427/K427,0)</x:f>
        <x:v>0.2</x:v>
      </x:c>
      <x:c r="AA427" s="24" t="n">
        <x:f>IFERROR(F427/H427,0)-IFERROR(G427/I427,0)</x:f>
        <x:v>-0.004761904761904759</x:v>
      </x:c>
      <x:c r="AB427" s="28" t="n">
        <x:f>J427-K427</x:f>
        <x:v>0</x:v>
      </x:c>
      <x:c r="AC427" s="32" t="n">
        <x:f>F427-G427</x:f>
        <x:v>0</x:v>
      </x:c>
    </x:row>
    <x:row r="428">
      <x:c r="A428" s="4" t="str">
        <x:v>2021-22</x:v>
      </x:c>
      <x:c r="B428" s="20" t="n">
        <x:v>44584</x:v>
      </x:c>
      <x:c r="C428" s="4" t="str">
        <x:v>Liverpool</x:v>
      </x:c>
      <x:c r="D428" s="4" t="str">
        <x:v>Crystal Palace</x:v>
      </x:c>
      <x:c r="E428" s="4" t="str">
        <x:v>Away</x:v>
      </x:c>
      <x:c r="F428" s="28" t="n">
        <x:v>3</x:v>
      </x:c>
      <x:c r="G428" s="28" t="n">
        <x:v>1</x:v>
      </x:c>
      <x:c r="H428" s="28" t="n">
        <x:v>15</x:v>
      </x:c>
      <x:c r="I428" s="28" t="n">
        <x:v>8</x:v>
      </x:c>
      <x:c r="J428" s="28" t="n">
        <x:v>7</x:v>
      </x:c>
      <x:c r="K428" s="28" t="n">
        <x:v>5</x:v>
      </x:c>
      <x:c r="L428" s="28" t="n">
        <x:v>5</x:v>
      </x:c>
      <x:c r="M428" s="28" t="n">
        <x:v>2</x:v>
      </x:c>
      <x:c r="N428" s="28" t="n">
        <x:v>1</x:v>
      </x:c>
      <x:c r="O428" s="28" t="n">
        <x:v>0</x:v>
      </x:c>
      <x:c r="P428" s="28" t="n">
        <x:v>3</x:v>
      </x:c>
      <x:c r="Q428" s="24" t="n">
        <x:f>IFERROR(J428/H428,0)</x:f>
        <x:v>0.4666666666666667</x:v>
      </x:c>
      <x:c r="R428" s="24" t="n">
        <x:f>IFERROR(F428/H428,0)</x:f>
        <x:v>0.2</x:v>
      </x:c>
      <x:c r="S428" s="24" t="n">
        <x:f>IFERROR(F428/J428,0)</x:f>
        <x:v>0.42857142857142855</x:v>
      </x:c>
      <x:c r="T428" s="28" t="n">
        <x:f>H428-I428</x:f>
        <x:v>7</x:v>
      </x:c>
      <x:c r="U428" s="24" t="n">
        <x:f>IFERROR(J428/H428,0)-IFERROR(K428/I428,0)</x:f>
        <x:v>-0.15833333333333333</x:v>
      </x:c>
      <x:c r="V428" s="24" t="n">
        <x:f>IFERROR(F428/J428,0)-IFERROR(G428/K428,0)</x:f>
        <x:v>0.22857142857142854</x:v>
      </x:c>
      <x:c r="W428" s="28" t="n">
        <x:f>L428-M428</x:f>
        <x:v>3</x:v>
      </x:c>
      <x:c r="X428" s="24" t="n">
        <x:f>IFERROR(K428/I428,0)</x:f>
        <x:v>0.625</x:v>
      </x:c>
      <x:c r="Y428" s="24" t="n">
        <x:f>IFERROR(G428/I428,0)</x:f>
        <x:v>0.125</x:v>
      </x:c>
      <x:c r="Z428" s="24" t="n">
        <x:f>IFERROR(G428/K428,0)</x:f>
        <x:v>0.2</x:v>
      </x:c>
      <x:c r="AA428" s="24" t="n">
        <x:f>IFERROR(F428/H428,0)-IFERROR(G428/I428,0)</x:f>
        <x:v>0.07500000000000001</x:v>
      </x:c>
      <x:c r="AB428" s="28" t="n">
        <x:f>J428-K428</x:f>
        <x:v>2</x:v>
      </x:c>
      <x:c r="AC428" s="32" t="n">
        <x:f>F428-G428</x:f>
        <x:v>2</x:v>
      </x:c>
    </x:row>
    <x:row r="429">
      <x:c r="A429" s="4" t="str">
        <x:v>2021-22</x:v>
      </x:c>
      <x:c r="B429" s="20" t="n">
        <x:v>44584</x:v>
      </x:c>
      <x:c r="C429" s="4" t="str">
        <x:v>Tottenham</x:v>
      </x:c>
      <x:c r="D429" s="4" t="str">
        <x:v>Chelsea</x:v>
      </x:c>
      <x:c r="E429" s="4" t="str">
        <x:v>Away</x:v>
      </x:c>
      <x:c r="F429" s="28" t="n">
        <x:v>0</x:v>
      </x:c>
      <x:c r="G429" s="28" t="n">
        <x:v>2</x:v>
      </x:c>
      <x:c r="H429" s="28" t="n">
        <x:v>6</x:v>
      </x:c>
      <x:c r="I429" s="28" t="n">
        <x:v>15</x:v>
      </x:c>
      <x:c r="J429" s="28" t="n">
        <x:v>3</x:v>
      </x:c>
      <x:c r="K429" s="28" t="n">
        <x:v>7</x:v>
      </x:c>
      <x:c r="L429" s="28" t="n">
        <x:v>3</x:v>
      </x:c>
      <x:c r="M429" s="28" t="n">
        <x:v>10</x:v>
      </x:c>
      <x:c r="N429" s="28" t="n">
        <x:v>1</x:v>
      </x:c>
      <x:c r="O429" s="28" t="n">
        <x:v>0</x:v>
      </x:c>
      <x:c r="P429" s="28" t="n">
        <x:v>0</x:v>
      </x:c>
      <x:c r="Q429" s="24" t="n">
        <x:f>IFERROR(J429/H429,0)</x:f>
        <x:v>0.5</x:v>
      </x:c>
      <x:c r="R429" s="24" t="n">
        <x:f>IFERROR(F429/H429,0)</x:f>
        <x:v>0</x:v>
      </x:c>
      <x:c r="S429" s="24" t="n">
        <x:f>IFERROR(F429/J429,0)</x:f>
        <x:v>0</x:v>
      </x:c>
      <x:c r="T429" s="28" t="n">
        <x:f>H429-I429</x:f>
        <x:v>-9</x:v>
      </x:c>
      <x:c r="U429" s="24" t="n">
        <x:f>IFERROR(J429/H429,0)-IFERROR(K429/I429,0)</x:f>
        <x:v>0.033333333333333326</x:v>
      </x:c>
      <x:c r="V429" s="24" t="n">
        <x:f>IFERROR(F429/J429,0)-IFERROR(G429/K429,0)</x:f>
        <x:v>-0.2857142857142857</x:v>
      </x:c>
      <x:c r="W429" s="28" t="n">
        <x:f>L429-M429</x:f>
        <x:v>-7</x:v>
      </x:c>
      <x:c r="X429" s="24" t="n">
        <x:f>IFERROR(K429/I429,0)</x:f>
        <x:v>0.4666666666666667</x:v>
      </x:c>
      <x:c r="Y429" s="24" t="n">
        <x:f>IFERROR(G429/I429,0)</x:f>
        <x:v>0.13333333333333333</x:v>
      </x:c>
      <x:c r="Z429" s="24" t="n">
        <x:f>IFERROR(G429/K429,0)</x:f>
        <x:v>0.2857142857142857</x:v>
      </x:c>
      <x:c r="AA429" s="24" t="n">
        <x:f>IFERROR(F429/H429,0)-IFERROR(G429/I429,0)</x:f>
        <x:v>-0.13333333333333333</x:v>
      </x:c>
      <x:c r="AB429" s="28" t="n">
        <x:f>J429-K429</x:f>
        <x:v>-4</x:v>
      </x:c>
      <x:c r="AC429" s="32" t="n">
        <x:f>F429-G429</x:f>
        <x:v>-2</x:v>
      </x:c>
    </x:row>
    <x:row r="430">
      <x:c r="A430" s="4" t="str">
        <x:v>2021-22</x:v>
      </x:c>
      <x:c r="B430" s="20" t="n">
        <x:v>44597</x:v>
      </x:c>
      <x:c r="C430" s="4" t="str">
        <x:v>Burnley</x:v>
      </x:c>
      <x:c r="D430" s="4" t="str">
        <x:v>Watford</x:v>
      </x:c>
      <x:c r="E430" s="4" t="str">
        <x:v>Home</x:v>
      </x:c>
      <x:c r="F430" s="28" t="n">
        <x:v>0</x:v>
      </x:c>
      <x:c r="G430" s="28" t="n">
        <x:v>0</x:v>
      </x:c>
      <x:c r="H430" s="28" t="n">
        <x:v>13</x:v>
      </x:c>
      <x:c r="I430" s="28" t="n">
        <x:v>11</x:v>
      </x:c>
      <x:c r="J430" s="28" t="n">
        <x:v>2</x:v>
      </x:c>
      <x:c r="K430" s="28" t="n">
        <x:v>5</x:v>
      </x:c>
      <x:c r="L430" s="28" t="n">
        <x:v>4</x:v>
      </x:c>
      <x:c r="M430" s="28" t="n">
        <x:v>7</x:v>
      </x:c>
      <x:c r="N430" s="28" t="n">
        <x:v>1</x:v>
      </x:c>
      <x:c r="O430" s="28" t="n">
        <x:v>0</x:v>
      </x:c>
      <x:c r="P430" s="28" t="n">
        <x:v>1</x:v>
      </x:c>
      <x:c r="Q430" s="24" t="n">
        <x:f>IFERROR(J430/H430,0)</x:f>
        <x:v>0.15384615384615385</x:v>
      </x:c>
      <x:c r="R430" s="24" t="n">
        <x:f>IFERROR(F430/H430,0)</x:f>
        <x:v>0</x:v>
      </x:c>
      <x:c r="S430" s="24" t="n">
        <x:f>IFERROR(F430/J430,0)</x:f>
        <x:v>0</x:v>
      </x:c>
      <x:c r="T430" s="28" t="n">
        <x:f>H430-I430</x:f>
        <x:v>2</x:v>
      </x:c>
      <x:c r="U430" s="24" t="n">
        <x:f>IFERROR(J430/H430,0)-IFERROR(K430/I430,0)</x:f>
        <x:v>-0.3006993006993007</x:v>
      </x:c>
      <x:c r="V430" s="24" t="n">
        <x:f>IFERROR(F430/J430,0)-IFERROR(G430/K430,0)</x:f>
        <x:v>0</x:v>
      </x:c>
      <x:c r="W430" s="28" t="n">
        <x:f>L430-M430</x:f>
        <x:v>-3</x:v>
      </x:c>
      <x:c r="X430" s="24" t="n">
        <x:f>IFERROR(K430/I430,0)</x:f>
        <x:v>0.45454545454545453</x:v>
      </x:c>
      <x:c r="Y430" s="24" t="n">
        <x:f>IFERROR(G430/I430,0)</x:f>
        <x:v>0</x:v>
      </x:c>
      <x:c r="Z430" s="24" t="n">
        <x:f>IFERROR(G430/K430,0)</x:f>
        <x:v>0</x:v>
      </x:c>
      <x:c r="AA430" s="24" t="n">
        <x:f>IFERROR(F430/H430,0)-IFERROR(G430/I430,0)</x:f>
        <x:v>0</x:v>
      </x:c>
      <x:c r="AB430" s="28" t="n">
        <x:f>J430-K430</x:f>
        <x:v>-3</x:v>
      </x:c>
      <x:c r="AC430" s="32" t="n">
        <x:f>F430-G430</x:f>
        <x:v>0</x:v>
      </x:c>
    </x:row>
    <x:row r="431">
      <x:c r="A431" s="4" t="str">
        <x:v>2021-22</x:v>
      </x:c>
      <x:c r="B431" s="20" t="n">
        <x:v>44597</x:v>
      </x:c>
      <x:c r="C431" s="4" t="str">
        <x:v>Watford</x:v>
      </x:c>
      <x:c r="D431" s="4" t="str">
        <x:v>Burnley</x:v>
      </x:c>
      <x:c r="E431" s="4" t="str">
        <x:v>Away</x:v>
      </x:c>
      <x:c r="F431" s="28" t="n">
        <x:v>0</x:v>
      </x:c>
      <x:c r="G431" s="28" t="n">
        <x:v>0</x:v>
      </x:c>
      <x:c r="H431" s="28" t="n">
        <x:v>11</x:v>
      </x:c>
      <x:c r="I431" s="28" t="n">
        <x:v>13</x:v>
      </x:c>
      <x:c r="J431" s="28" t="n">
        <x:v>5</x:v>
      </x:c>
      <x:c r="K431" s="28" t="n">
        <x:v>2</x:v>
      </x:c>
      <x:c r="L431" s="28" t="n">
        <x:v>7</x:v>
      </x:c>
      <x:c r="M431" s="28" t="n">
        <x:v>4</x:v>
      </x:c>
      <x:c r="N431" s="28" t="n">
        <x:v>2</x:v>
      </x:c>
      <x:c r="O431" s="28" t="n">
        <x:v>0</x:v>
      </x:c>
      <x:c r="P431" s="28" t="n">
        <x:v>1</x:v>
      </x:c>
      <x:c r="Q431" s="24" t="n">
        <x:f>IFERROR(J431/H431,0)</x:f>
        <x:v>0.45454545454545453</x:v>
      </x:c>
      <x:c r="R431" s="24" t="n">
        <x:f>IFERROR(F431/H431,0)</x:f>
        <x:v>0</x:v>
      </x:c>
      <x:c r="S431" s="24" t="n">
        <x:f>IFERROR(F431/J431,0)</x:f>
        <x:v>0</x:v>
      </x:c>
      <x:c r="T431" s="28" t="n">
        <x:f>H431-I431</x:f>
        <x:v>-2</x:v>
      </x:c>
      <x:c r="U431" s="24" t="n">
        <x:f>IFERROR(J431/H431,0)-IFERROR(K431/I431,0)</x:f>
        <x:v>0.3006993006993007</x:v>
      </x:c>
      <x:c r="V431" s="24" t="n">
        <x:f>IFERROR(F431/J431,0)-IFERROR(G431/K431,0)</x:f>
        <x:v>0</x:v>
      </x:c>
      <x:c r="W431" s="28" t="n">
        <x:f>L431-M431</x:f>
        <x:v>3</x:v>
      </x:c>
      <x:c r="X431" s="24" t="n">
        <x:f>IFERROR(K431/I431,0)</x:f>
        <x:v>0.15384615384615385</x:v>
      </x:c>
      <x:c r="Y431" s="24" t="n">
        <x:f>IFERROR(G431/I431,0)</x:f>
        <x:v>0</x:v>
      </x:c>
      <x:c r="Z431" s="24" t="n">
        <x:f>IFERROR(G431/K431,0)</x:f>
        <x:v>0</x:v>
      </x:c>
      <x:c r="AA431" s="24" t="n">
        <x:f>IFERROR(F431/H431,0)-IFERROR(G431/I431,0)</x:f>
        <x:v>0</x:v>
      </x:c>
      <x:c r="AB431" s="28" t="n">
        <x:f>J431-K431</x:f>
        <x:v>3</x:v>
      </x:c>
      <x:c r="AC431" s="32" t="n">
        <x:f>F431-G431</x:f>
        <x:v>0</x:v>
      </x:c>
    </x:row>
    <x:row r="432">
      <x:c r="A432" s="4" t="str">
        <x:v>2021-22</x:v>
      </x:c>
      <x:c r="B432" s="20" t="n">
        <x:v>44600</x:v>
      </x:c>
      <x:c r="C432" s="4" t="str">
        <x:v>Burnley</x:v>
      </x:c>
      <x:c r="D432" s="4" t="str">
        <x:v>Man United</x:v>
      </x:c>
      <x:c r="E432" s="4" t="str">
        <x:v>Home</x:v>
      </x:c>
      <x:c r="F432" s="28" t="n">
        <x:v>1</x:v>
      </x:c>
      <x:c r="G432" s="28" t="n">
        <x:v>1</x:v>
      </x:c>
      <x:c r="H432" s="28" t="n">
        <x:v>9</x:v>
      </x:c>
      <x:c r="I432" s="28" t="n">
        <x:v>22</x:v>
      </x:c>
      <x:c r="J432" s="28" t="n">
        <x:v>3</x:v>
      </x:c>
      <x:c r="K432" s="28" t="n">
        <x:v>5</x:v>
      </x:c>
      <x:c r="L432" s="28" t="n">
        <x:v>2</x:v>
      </x:c>
      <x:c r="M432" s="28" t="n">
        <x:v>10</x:v>
      </x:c>
      <x:c r="N432" s="28" t="n">
        <x:v>2</x:v>
      </x:c>
      <x:c r="O432" s="28" t="n">
        <x:v>0</x:v>
      </x:c>
      <x:c r="P432" s="28" t="n">
        <x:v>1</x:v>
      </x:c>
      <x:c r="Q432" s="24" t="n">
        <x:f>IFERROR(J432/H432,0)</x:f>
        <x:v>0.3333333333333333</x:v>
      </x:c>
      <x:c r="R432" s="24" t="n">
        <x:f>IFERROR(F432/H432,0)</x:f>
        <x:v>0.1111111111111111</x:v>
      </x:c>
      <x:c r="S432" s="24" t="n">
        <x:f>IFERROR(F432/J432,0)</x:f>
        <x:v>0.3333333333333333</x:v>
      </x:c>
      <x:c r="T432" s="28" t="n">
        <x:f>H432-I432</x:f>
        <x:v>-13</x:v>
      </x:c>
      <x:c r="U432" s="24" t="n">
        <x:f>IFERROR(J432/H432,0)-IFERROR(K432/I432,0)</x:f>
        <x:v>0.10606060606060605</x:v>
      </x:c>
      <x:c r="V432" s="24" t="n">
        <x:f>IFERROR(F432/J432,0)-IFERROR(G432/K432,0)</x:f>
        <x:v>0.1333333333333333</x:v>
      </x:c>
      <x:c r="W432" s="28" t="n">
        <x:f>L432-M432</x:f>
        <x:v>-8</x:v>
      </x:c>
      <x:c r="X432" s="24" t="n">
        <x:f>IFERROR(K432/I432,0)</x:f>
        <x:v>0.22727272727272727</x:v>
      </x:c>
      <x:c r="Y432" s="24" t="n">
        <x:f>IFERROR(G432/I432,0)</x:f>
        <x:v>0.045454545454545456</x:v>
      </x:c>
      <x:c r="Z432" s="24" t="n">
        <x:f>IFERROR(G432/K432,0)</x:f>
        <x:v>0.2</x:v>
      </x:c>
      <x:c r="AA432" s="24" t="n">
        <x:f>IFERROR(F432/H432,0)-IFERROR(G432/I432,0)</x:f>
        <x:v>0.06565656565656565</x:v>
      </x:c>
      <x:c r="AB432" s="28" t="n">
        <x:f>J432-K432</x:f>
        <x:v>-2</x:v>
      </x:c>
      <x:c r="AC432" s="32" t="n">
        <x:f>F432-G432</x:f>
        <x:v>0</x:v>
      </x:c>
    </x:row>
    <x:row r="433">
      <x:c r="A433" s="4" t="str">
        <x:v>2021-22</x:v>
      </x:c>
      <x:c r="B433" s="20" t="n">
        <x:v>44600</x:v>
      </x:c>
      <x:c r="C433" s="4" t="str">
        <x:v>Everton</x:v>
      </x:c>
      <x:c r="D433" s="4" t="str">
        <x:v>Newcastle</x:v>
      </x:c>
      <x:c r="E433" s="4" t="str">
        <x:v>Away</x:v>
      </x:c>
      <x:c r="F433" s="28" t="n">
        <x:v>1</x:v>
      </x:c>
      <x:c r="G433" s="28" t="n">
        <x:v>3</x:v>
      </x:c>
      <x:c r="H433" s="28" t="n">
        <x:v>11</x:v>
      </x:c>
      <x:c r="I433" s="28" t="n">
        <x:v>20</x:v>
      </x:c>
      <x:c r="J433" s="28" t="n">
        <x:v>3</x:v>
      </x:c>
      <x:c r="K433" s="28" t="n">
        <x:v>9</x:v>
      </x:c>
      <x:c r="L433" s="28" t="n">
        <x:v>2</x:v>
      </x:c>
      <x:c r="M433" s="28" t="n">
        <x:v>6</x:v>
      </x:c>
      <x:c r="N433" s="28" t="n">
        <x:v>3</x:v>
      </x:c>
      <x:c r="O433" s="28" t="n">
        <x:v>0</x:v>
      </x:c>
      <x:c r="P433" s="28" t="n">
        <x:v>0</x:v>
      </x:c>
      <x:c r="Q433" s="24" t="n">
        <x:f>IFERROR(J433/H433,0)</x:f>
        <x:v>0.2727272727272727</x:v>
      </x:c>
      <x:c r="R433" s="24" t="n">
        <x:f>IFERROR(F433/H433,0)</x:f>
        <x:v>0.09090909090909091</x:v>
      </x:c>
      <x:c r="S433" s="24" t="n">
        <x:f>IFERROR(F433/J433,0)</x:f>
        <x:v>0.3333333333333333</x:v>
      </x:c>
      <x:c r="T433" s="28" t="n">
        <x:f>H433-I433</x:f>
        <x:v>-9</x:v>
      </x:c>
      <x:c r="U433" s="24" t="n">
        <x:f>IFERROR(J433/H433,0)-IFERROR(K433/I433,0)</x:f>
        <x:v>-0.1772727272727273</x:v>
      </x:c>
      <x:c r="V433" s="24" t="n">
        <x:f>IFERROR(F433/J433,0)-IFERROR(G433/K433,0)</x:f>
        <x:v>0</x:v>
      </x:c>
      <x:c r="W433" s="28" t="n">
        <x:f>L433-M433</x:f>
        <x:v>-4</x:v>
      </x:c>
      <x:c r="X433" s="24" t="n">
        <x:f>IFERROR(K433/I433,0)</x:f>
        <x:v>0.45</x:v>
      </x:c>
      <x:c r="Y433" s="24" t="n">
        <x:f>IFERROR(G433/I433,0)</x:f>
        <x:v>0.15</x:v>
      </x:c>
      <x:c r="Z433" s="24" t="n">
        <x:f>IFERROR(G433/K433,0)</x:f>
        <x:v>0.3333333333333333</x:v>
      </x:c>
      <x:c r="AA433" s="24" t="n">
        <x:f>IFERROR(F433/H433,0)-IFERROR(G433/I433,0)</x:f>
        <x:v>-0.05909090909090908</x:v>
      </x:c>
      <x:c r="AB433" s="28" t="n">
        <x:f>J433-K433</x:f>
        <x:v>-6</x:v>
      </x:c>
      <x:c r="AC433" s="32" t="n">
        <x:f>F433-G433</x:f>
        <x:v>-2</x:v>
      </x:c>
    </x:row>
    <x:row r="434">
      <x:c r="A434" s="4" t="str">
        <x:v>2021-22</x:v>
      </x:c>
      <x:c r="B434" s="20" t="n">
        <x:v>44600</x:v>
      </x:c>
      <x:c r="C434" s="4" t="str">
        <x:v>Man United</x:v>
      </x:c>
      <x:c r="D434" s="4" t="str">
        <x:v>Burnley</x:v>
      </x:c>
      <x:c r="E434" s="4" t="str">
        <x:v>Away</x:v>
      </x:c>
      <x:c r="F434" s="28" t="n">
        <x:v>1</x:v>
      </x:c>
      <x:c r="G434" s="28" t="n">
        <x:v>1</x:v>
      </x:c>
      <x:c r="H434" s="28" t="n">
        <x:v>22</x:v>
      </x:c>
      <x:c r="I434" s="28" t="n">
        <x:v>9</x:v>
      </x:c>
      <x:c r="J434" s="28" t="n">
        <x:v>5</x:v>
      </x:c>
      <x:c r="K434" s="28" t="n">
        <x:v>3</x:v>
      </x:c>
      <x:c r="L434" s="28" t="n">
        <x:v>10</x:v>
      </x:c>
      <x:c r="M434" s="28" t="n">
        <x:v>2</x:v>
      </x:c>
      <x:c r="N434" s="28" t="n">
        <x:v>1</x:v>
      </x:c>
      <x:c r="O434" s="28" t="n">
        <x:v>0</x:v>
      </x:c>
      <x:c r="P434" s="28" t="n">
        <x:v>1</x:v>
      </x:c>
      <x:c r="Q434" s="24" t="n">
        <x:f>IFERROR(J434/H434,0)</x:f>
        <x:v>0.22727272727272727</x:v>
      </x:c>
      <x:c r="R434" s="24" t="n">
        <x:f>IFERROR(F434/H434,0)</x:f>
        <x:v>0.045454545454545456</x:v>
      </x:c>
      <x:c r="S434" s="24" t="n">
        <x:f>IFERROR(F434/J434,0)</x:f>
        <x:v>0.2</x:v>
      </x:c>
      <x:c r="T434" s="28" t="n">
        <x:f>H434-I434</x:f>
        <x:v>13</x:v>
      </x:c>
      <x:c r="U434" s="24" t="n">
        <x:f>IFERROR(J434/H434,0)-IFERROR(K434/I434,0)</x:f>
        <x:v>-0.10606060606060605</x:v>
      </x:c>
      <x:c r="V434" s="24" t="n">
        <x:f>IFERROR(F434/J434,0)-IFERROR(G434/K434,0)</x:f>
        <x:v>-0.1333333333333333</x:v>
      </x:c>
      <x:c r="W434" s="28" t="n">
        <x:f>L434-M434</x:f>
        <x:v>8</x:v>
      </x:c>
      <x:c r="X434" s="24" t="n">
        <x:f>IFERROR(K434/I434,0)</x:f>
        <x:v>0.3333333333333333</x:v>
      </x:c>
      <x:c r="Y434" s="24" t="n">
        <x:f>IFERROR(G434/I434,0)</x:f>
        <x:v>0.1111111111111111</x:v>
      </x:c>
      <x:c r="Z434" s="24" t="n">
        <x:f>IFERROR(G434/K434,0)</x:f>
        <x:v>0.3333333333333333</x:v>
      </x:c>
      <x:c r="AA434" s="24" t="n">
        <x:f>IFERROR(F434/H434,0)-IFERROR(G434/I434,0)</x:f>
        <x:v>-0.06565656565656565</x:v>
      </x:c>
      <x:c r="AB434" s="28" t="n">
        <x:f>J434-K434</x:f>
        <x:v>2</x:v>
      </x:c>
      <x:c r="AC434" s="32" t="n">
        <x:f>F434-G434</x:f>
        <x:v>0</x:v>
      </x:c>
    </x:row>
    <x:row r="435">
      <x:c r="A435" s="4" t="str">
        <x:v>2021-22</x:v>
      </x:c>
      <x:c r="B435" s="20" t="n">
        <x:v>44600</x:v>
      </x:c>
      <x:c r="C435" s="4" t="str">
        <x:v>Newcastle</x:v>
      </x:c>
      <x:c r="D435" s="4" t="str">
        <x:v>Everton</x:v>
      </x:c>
      <x:c r="E435" s="4" t="str">
        <x:v>Home</x:v>
      </x:c>
      <x:c r="F435" s="28" t="n">
        <x:v>3</x:v>
      </x:c>
      <x:c r="G435" s="28" t="n">
        <x:v>1</x:v>
      </x:c>
      <x:c r="H435" s="28" t="n">
        <x:v>20</x:v>
      </x:c>
      <x:c r="I435" s="28" t="n">
        <x:v>11</x:v>
      </x:c>
      <x:c r="J435" s="28" t="n">
        <x:v>9</x:v>
      </x:c>
      <x:c r="K435" s="28" t="n">
        <x:v>3</x:v>
      </x:c>
      <x:c r="L435" s="28" t="n">
        <x:v>6</x:v>
      </x:c>
      <x:c r="M435" s="28" t="n">
        <x:v>2</x:v>
      </x:c>
      <x:c r="N435" s="28" t="n">
        <x:v>2</x:v>
      </x:c>
      <x:c r="O435" s="28" t="n">
        <x:v>0</x:v>
      </x:c>
      <x:c r="P435" s="28" t="n">
        <x:v>3</x:v>
      </x:c>
      <x:c r="Q435" s="24" t="n">
        <x:f>IFERROR(J435/H435,0)</x:f>
        <x:v>0.45</x:v>
      </x:c>
      <x:c r="R435" s="24" t="n">
        <x:f>IFERROR(F435/H435,0)</x:f>
        <x:v>0.15</x:v>
      </x:c>
      <x:c r="S435" s="24" t="n">
        <x:f>IFERROR(F435/J435,0)</x:f>
        <x:v>0.3333333333333333</x:v>
      </x:c>
      <x:c r="T435" s="28" t="n">
        <x:f>H435-I435</x:f>
        <x:v>9</x:v>
      </x:c>
      <x:c r="U435" s="24" t="n">
        <x:f>IFERROR(J435/H435,0)-IFERROR(K435/I435,0)</x:f>
        <x:v>0.1772727272727273</x:v>
      </x:c>
      <x:c r="V435" s="24" t="n">
        <x:f>IFERROR(F435/J435,0)-IFERROR(G435/K435,0)</x:f>
        <x:v>0</x:v>
      </x:c>
      <x:c r="W435" s="28" t="n">
        <x:f>L435-M435</x:f>
        <x:v>4</x:v>
      </x:c>
      <x:c r="X435" s="24" t="n">
        <x:f>IFERROR(K435/I435,0)</x:f>
        <x:v>0.2727272727272727</x:v>
      </x:c>
      <x:c r="Y435" s="24" t="n">
        <x:f>IFERROR(G435/I435,0)</x:f>
        <x:v>0.09090909090909091</x:v>
      </x:c>
      <x:c r="Z435" s="24" t="n">
        <x:f>IFERROR(G435/K435,0)</x:f>
        <x:v>0.3333333333333333</x:v>
      </x:c>
      <x:c r="AA435" s="24" t="n">
        <x:f>IFERROR(F435/H435,0)-IFERROR(G435/I435,0)</x:f>
        <x:v>0.05909090909090908</x:v>
      </x:c>
      <x:c r="AB435" s="28" t="n">
        <x:f>J435-K435</x:f>
        <x:v>6</x:v>
      </x:c>
      <x:c r="AC435" s="32" t="n">
        <x:f>F435-G435</x:f>
        <x:v>2</x:v>
      </x:c>
    </x:row>
    <x:row r="436">
      <x:c r="A436" s="4" t="str">
        <x:v>2021-22</x:v>
      </x:c>
      <x:c r="B436" s="20" t="n">
        <x:v>44600</x:v>
      </x:c>
      <x:c r="C436" s="4" t="str">
        <x:v>Watford</x:v>
      </x:c>
      <x:c r="D436" s="4" t="str">
        <x:v>West Ham</x:v>
      </x:c>
      <x:c r="E436" s="4" t="str">
        <x:v>Away</x:v>
      </x:c>
      <x:c r="F436" s="28" t="n">
        <x:v>0</x:v>
      </x:c>
      <x:c r="G436" s="28" t="n">
        <x:v>1</x:v>
      </x:c>
      <x:c r="H436" s="28" t="n">
        <x:v>6</x:v>
      </x:c>
      <x:c r="I436" s="28" t="n">
        <x:v>9</x:v>
      </x:c>
      <x:c r="J436" s="28" t="n">
        <x:v>1</x:v>
      </x:c>
      <x:c r="K436" s="28" t="n">
        <x:v>3</x:v>
      </x:c>
      <x:c r="L436" s="28" t="n">
        <x:v>6</x:v>
      </x:c>
      <x:c r="M436" s="28" t="n">
        <x:v>5</x:v>
      </x:c>
      <x:c r="N436" s="28" t="n">
        <x:v>0</x:v>
      </x:c>
      <x:c r="O436" s="28" t="n">
        <x:v>0</x:v>
      </x:c>
      <x:c r="P436" s="28" t="n">
        <x:v>0</x:v>
      </x:c>
      <x:c r="Q436" s="24" t="n">
        <x:f>IFERROR(J436/H436,0)</x:f>
        <x:v>0.16666666666666666</x:v>
      </x:c>
      <x:c r="R436" s="24" t="n">
        <x:f>IFERROR(F436/H436,0)</x:f>
        <x:v>0</x:v>
      </x:c>
      <x:c r="S436" s="24" t="n">
        <x:f>IFERROR(F436/J436,0)</x:f>
        <x:v>0</x:v>
      </x:c>
      <x:c r="T436" s="28" t="n">
        <x:f>H436-I436</x:f>
        <x:v>-3</x:v>
      </x:c>
      <x:c r="U436" s="24" t="n">
        <x:f>IFERROR(J436/H436,0)-IFERROR(K436/I436,0)</x:f>
        <x:v>-0.16666666666666666</x:v>
      </x:c>
      <x:c r="V436" s="24" t="n">
        <x:f>IFERROR(F436/J436,0)-IFERROR(G436/K436,0)</x:f>
        <x:v>-0.3333333333333333</x:v>
      </x:c>
      <x:c r="W436" s="28" t="n">
        <x:f>L436-M436</x:f>
        <x:v>1</x:v>
      </x:c>
      <x:c r="X436" s="24" t="n">
        <x:f>IFERROR(K436/I436,0)</x:f>
        <x:v>0.3333333333333333</x:v>
      </x:c>
      <x:c r="Y436" s="24" t="n">
        <x:f>IFERROR(G436/I436,0)</x:f>
        <x:v>0.1111111111111111</x:v>
      </x:c>
      <x:c r="Z436" s="24" t="n">
        <x:f>IFERROR(G436/K436,0)</x:f>
        <x:v>0.3333333333333333</x:v>
      </x:c>
      <x:c r="AA436" s="24" t="n">
        <x:f>IFERROR(F436/H436,0)-IFERROR(G436/I436,0)</x:f>
        <x:v>-0.1111111111111111</x:v>
      </x:c>
      <x:c r="AB436" s="28" t="n">
        <x:f>J436-K436</x:f>
        <x:v>-2</x:v>
      </x:c>
      <x:c r="AC436" s="32" t="n">
        <x:f>F436-G436</x:f>
        <x:v>-1</x:v>
      </x:c>
    </x:row>
    <x:row r="437">
      <x:c r="A437" s="4" t="str">
        <x:v>2021-22</x:v>
      </x:c>
      <x:c r="B437" s="20" t="n">
        <x:v>44600</x:v>
      </x:c>
      <x:c r="C437" s="4" t="str">
        <x:v>West Ham</x:v>
      </x:c>
      <x:c r="D437" s="4" t="str">
        <x:v>Watford</x:v>
      </x:c>
      <x:c r="E437" s="4" t="str">
        <x:v>Home</x:v>
      </x:c>
      <x:c r="F437" s="28" t="n">
        <x:v>1</x:v>
      </x:c>
      <x:c r="G437" s="28" t="n">
        <x:v>0</x:v>
      </x:c>
      <x:c r="H437" s="28" t="n">
        <x:v>9</x:v>
      </x:c>
      <x:c r="I437" s="28" t="n">
        <x:v>6</x:v>
      </x:c>
      <x:c r="J437" s="28" t="n">
        <x:v>3</x:v>
      </x:c>
      <x:c r="K437" s="28" t="n">
        <x:v>1</x:v>
      </x:c>
      <x:c r="L437" s="28" t="n">
        <x:v>5</x:v>
      </x:c>
      <x:c r="M437" s="28" t="n">
        <x:v>6</x:v>
      </x:c>
      <x:c r="N437" s="28" t="n">
        <x:v>1</x:v>
      </x:c>
      <x:c r="O437" s="28" t="n">
        <x:v>0</x:v>
      </x:c>
      <x:c r="P437" s="28" t="n">
        <x:v>3</x:v>
      </x:c>
      <x:c r="Q437" s="24" t="n">
        <x:f>IFERROR(J437/H437,0)</x:f>
        <x:v>0.3333333333333333</x:v>
      </x:c>
      <x:c r="R437" s="24" t="n">
        <x:f>IFERROR(F437/H437,0)</x:f>
        <x:v>0.1111111111111111</x:v>
      </x:c>
      <x:c r="S437" s="24" t="n">
        <x:f>IFERROR(F437/J437,0)</x:f>
        <x:v>0.3333333333333333</x:v>
      </x:c>
      <x:c r="T437" s="28" t="n">
        <x:f>H437-I437</x:f>
        <x:v>3</x:v>
      </x:c>
      <x:c r="U437" s="24" t="n">
        <x:f>IFERROR(J437/H437,0)-IFERROR(K437/I437,0)</x:f>
        <x:v>0.16666666666666666</x:v>
      </x:c>
      <x:c r="V437" s="24" t="n">
        <x:f>IFERROR(F437/J437,0)-IFERROR(G437/K437,0)</x:f>
        <x:v>0.3333333333333333</x:v>
      </x:c>
      <x:c r="W437" s="28" t="n">
        <x:f>L437-M437</x:f>
        <x:v>-1</x:v>
      </x:c>
      <x:c r="X437" s="24" t="n">
        <x:f>IFERROR(K437/I437,0)</x:f>
        <x:v>0.16666666666666666</x:v>
      </x:c>
      <x:c r="Y437" s="24" t="n">
        <x:f>IFERROR(G437/I437,0)</x:f>
        <x:v>0</x:v>
      </x:c>
      <x:c r="Z437" s="24" t="n">
        <x:f>IFERROR(G437/K437,0)</x:f>
        <x:v>0</x:v>
      </x:c>
      <x:c r="AA437" s="24" t="n">
        <x:f>IFERROR(F437/H437,0)-IFERROR(G437/I437,0)</x:f>
        <x:v>0.1111111111111111</x:v>
      </x:c>
      <x:c r="AB437" s="28" t="n">
        <x:f>J437-K437</x:f>
        <x:v>2</x:v>
      </x:c>
      <x:c r="AC437" s="32" t="n">
        <x:f>F437-G437</x:f>
        <x:v>1</x:v>
      </x:c>
    </x:row>
    <x:row r="438">
      <x:c r="A438" s="4" t="str">
        <x:v>2021-22</x:v>
      </x:c>
      <x:c r="B438" s="20" t="n">
        <x:v>44601</x:v>
      </x:c>
      <x:c r="C438" s="4" t="str">
        <x:v>Aston Villa</x:v>
      </x:c>
      <x:c r="D438" s="4" t="str">
        <x:v>Leeds</x:v>
      </x:c>
      <x:c r="E438" s="4" t="str">
        <x:v>Home</x:v>
      </x:c>
      <x:c r="F438" s="28" t="n">
        <x:v>3</x:v>
      </x:c>
      <x:c r="G438" s="28" t="n">
        <x:v>3</x:v>
      </x:c>
      <x:c r="H438" s="28" t="n">
        <x:v>12</x:v>
      </x:c>
      <x:c r="I438" s="28" t="n">
        <x:v>16</x:v>
      </x:c>
      <x:c r="J438" s="28" t="n">
        <x:v>4</x:v>
      </x:c>
      <x:c r="K438" s="28" t="n">
        <x:v>8</x:v>
      </x:c>
      <x:c r="L438" s="28" t="n">
        <x:v>6</x:v>
      </x:c>
      <x:c r="M438" s="28" t="n">
        <x:v>11</x:v>
      </x:c>
      <x:c r="N438" s="28" t="n">
        <x:v>1</x:v>
      </x:c>
      <x:c r="O438" s="28" t="n">
        <x:v>1</x:v>
      </x:c>
      <x:c r="P438" s="28" t="n">
        <x:v>1</x:v>
      </x:c>
      <x:c r="Q438" s="24" t="n">
        <x:f>IFERROR(J438/H438,0)</x:f>
        <x:v>0.3333333333333333</x:v>
      </x:c>
      <x:c r="R438" s="24" t="n">
        <x:f>IFERROR(F438/H438,0)</x:f>
        <x:v>0.25</x:v>
      </x:c>
      <x:c r="S438" s="24" t="n">
        <x:f>IFERROR(F438/J438,0)</x:f>
        <x:v>0.75</x:v>
      </x:c>
      <x:c r="T438" s="28" t="n">
        <x:f>H438-I438</x:f>
        <x:v>-4</x:v>
      </x:c>
      <x:c r="U438" s="24" t="n">
        <x:f>IFERROR(J438/H438,0)-IFERROR(K438/I438,0)</x:f>
        <x:v>-0.16666666666666669</x:v>
      </x:c>
      <x:c r="V438" s="24" t="n">
        <x:f>IFERROR(F438/J438,0)-IFERROR(G438/K438,0)</x:f>
        <x:v>0.375</x:v>
      </x:c>
      <x:c r="W438" s="28" t="n">
        <x:f>L438-M438</x:f>
        <x:v>-5</x:v>
      </x:c>
      <x:c r="X438" s="24" t="n">
        <x:f>IFERROR(K438/I438,0)</x:f>
        <x:v>0.5</x:v>
      </x:c>
      <x:c r="Y438" s="24" t="n">
        <x:f>IFERROR(G438/I438,0)</x:f>
        <x:v>0.1875</x:v>
      </x:c>
      <x:c r="Z438" s="24" t="n">
        <x:f>IFERROR(G438/K438,0)</x:f>
        <x:v>0.375</x:v>
      </x:c>
      <x:c r="AA438" s="24" t="n">
        <x:f>IFERROR(F438/H438,0)-IFERROR(G438/I438,0)</x:f>
        <x:v>0.0625</x:v>
      </x:c>
      <x:c r="AB438" s="28" t="n">
        <x:f>J438-K438</x:f>
        <x:v>-4</x:v>
      </x:c>
      <x:c r="AC438" s="32" t="n">
        <x:f>F438-G438</x:f>
        <x:v>0</x:v>
      </x:c>
    </x:row>
    <x:row r="439">
      <x:c r="A439" s="4" t="str">
        <x:v>2021-22</x:v>
      </x:c>
      <x:c r="B439" s="20" t="n">
        <x:v>44601</x:v>
      </x:c>
      <x:c r="C439" s="4" t="str">
        <x:v>Brentford</x:v>
      </x:c>
      <x:c r="D439" s="4" t="str">
        <x:v>Man City</x:v>
      </x:c>
      <x:c r="E439" s="4" t="str">
        <x:v>Away</x:v>
      </x:c>
      <x:c r="F439" s="28" t="n">
        <x:v>0</x:v>
      </x:c>
      <x:c r="G439" s="28" t="n">
        <x:v>2</x:v>
      </x:c>
      <x:c r="H439" s="28" t="n">
        <x:v>6</x:v>
      </x:c>
      <x:c r="I439" s="28" t="n">
        <x:v>15</x:v>
      </x:c>
      <x:c r="J439" s="28" t="n">
        <x:v>2</x:v>
      </x:c>
      <x:c r="K439" s="28" t="n">
        <x:v>7</x:v>
      </x:c>
      <x:c r="L439" s="28" t="n">
        <x:v>3</x:v>
      </x:c>
      <x:c r="M439" s="28" t="n">
        <x:v>9</x:v>
      </x:c>
      <x:c r="N439" s="28" t="n">
        <x:v>0</x:v>
      </x:c>
      <x:c r="O439" s="28" t="n">
        <x:v>0</x:v>
      </x:c>
      <x:c r="P439" s="28" t="n">
        <x:v>0</x:v>
      </x:c>
      <x:c r="Q439" s="24" t="n">
        <x:f>IFERROR(J439/H439,0)</x:f>
        <x:v>0.3333333333333333</x:v>
      </x:c>
      <x:c r="R439" s="24" t="n">
        <x:f>IFERROR(F439/H439,0)</x:f>
        <x:v>0</x:v>
      </x:c>
      <x:c r="S439" s="24" t="n">
        <x:f>IFERROR(F439/J439,0)</x:f>
        <x:v>0</x:v>
      </x:c>
      <x:c r="T439" s="28" t="n">
        <x:f>H439-I439</x:f>
        <x:v>-9</x:v>
      </x:c>
      <x:c r="U439" s="24" t="n">
        <x:f>IFERROR(J439/H439,0)-IFERROR(K439/I439,0)</x:f>
        <x:v>-0.13333333333333336</x:v>
      </x:c>
      <x:c r="V439" s="24" t="n">
        <x:f>IFERROR(F439/J439,0)-IFERROR(G439/K439,0)</x:f>
        <x:v>-0.2857142857142857</x:v>
      </x:c>
      <x:c r="W439" s="28" t="n">
        <x:f>L439-M439</x:f>
        <x:v>-6</x:v>
      </x:c>
      <x:c r="X439" s="24" t="n">
        <x:f>IFERROR(K439/I439,0)</x:f>
        <x:v>0.4666666666666667</x:v>
      </x:c>
      <x:c r="Y439" s="24" t="n">
        <x:f>IFERROR(G439/I439,0)</x:f>
        <x:v>0.13333333333333333</x:v>
      </x:c>
      <x:c r="Z439" s="24" t="n">
        <x:f>IFERROR(G439/K439,0)</x:f>
        <x:v>0.2857142857142857</x:v>
      </x:c>
      <x:c r="AA439" s="24" t="n">
        <x:f>IFERROR(F439/H439,0)-IFERROR(G439/I439,0)</x:f>
        <x:v>-0.13333333333333333</x:v>
      </x:c>
      <x:c r="AB439" s="28" t="n">
        <x:f>J439-K439</x:f>
        <x:v>-5</x:v>
      </x:c>
      <x:c r="AC439" s="32" t="n">
        <x:f>F439-G439</x:f>
        <x:v>-2</x:v>
      </x:c>
    </x:row>
    <x:row r="440">
      <x:c r="A440" s="4" t="str">
        <x:v>2021-22</x:v>
      </x:c>
      <x:c r="B440" s="20" t="n">
        <x:v>44601</x:v>
      </x:c>
      <x:c r="C440" s="4" t="str">
        <x:v>Crystal Palace</x:v>
      </x:c>
      <x:c r="D440" s="4" t="str">
        <x:v>Norwich</x:v>
      </x:c>
      <x:c r="E440" s="4" t="str">
        <x:v>Away</x:v>
      </x:c>
      <x:c r="F440" s="28" t="n">
        <x:v>1</x:v>
      </x:c>
      <x:c r="G440" s="28" t="n">
        <x:v>1</x:v>
      </x:c>
      <x:c r="H440" s="28" t="n">
        <x:v>13</x:v>
      </x:c>
      <x:c r="I440" s="28" t="n">
        <x:v>5</x:v>
      </x:c>
      <x:c r="J440" s="28" t="n">
        <x:v>5</x:v>
      </x:c>
      <x:c r="K440" s="28" t="n">
        <x:v>1</x:v>
      </x:c>
      <x:c r="L440" s="28" t="n">
        <x:v>6</x:v>
      </x:c>
      <x:c r="M440" s="28" t="n">
        <x:v>4</x:v>
      </x:c>
      <x:c r="N440" s="28" t="n">
        <x:v>2</x:v>
      </x:c>
      <x:c r="O440" s="28" t="n">
        <x:v>0</x:v>
      </x:c>
      <x:c r="P440" s="28" t="n">
        <x:v>1</x:v>
      </x:c>
      <x:c r="Q440" s="24" t="n">
        <x:f>IFERROR(J440/H440,0)</x:f>
        <x:v>0.38461538461538464</x:v>
      </x:c>
      <x:c r="R440" s="24" t="n">
        <x:f>IFERROR(F440/H440,0)</x:f>
        <x:v>0.07692307692307693</x:v>
      </x:c>
      <x:c r="S440" s="24" t="n">
        <x:f>IFERROR(F440/J440,0)</x:f>
        <x:v>0.2</x:v>
      </x:c>
      <x:c r="T440" s="28" t="n">
        <x:f>H440-I440</x:f>
        <x:v>8</x:v>
      </x:c>
      <x:c r="U440" s="24" t="n">
        <x:f>IFERROR(J440/H440,0)-IFERROR(K440/I440,0)</x:f>
        <x:v>0.18461538461538463</x:v>
      </x:c>
      <x:c r="V440" s="24" t="n">
        <x:f>IFERROR(F440/J440,0)-IFERROR(G440/K440,0)</x:f>
        <x:v>-0.8</x:v>
      </x:c>
      <x:c r="W440" s="28" t="n">
        <x:f>L440-M440</x:f>
        <x:v>2</x:v>
      </x:c>
      <x:c r="X440" s="24" t="n">
        <x:f>IFERROR(K440/I440,0)</x:f>
        <x:v>0.2</x:v>
      </x:c>
      <x:c r="Y440" s="24" t="n">
        <x:f>IFERROR(G440/I440,0)</x:f>
        <x:v>0.2</x:v>
      </x:c>
      <x:c r="Z440" s="24" t="n">
        <x:f>IFERROR(G440/K440,0)</x:f>
        <x:v>1</x:v>
      </x:c>
      <x:c r="AA440" s="24" t="n">
        <x:f>IFERROR(F440/H440,0)-IFERROR(G440/I440,0)</x:f>
        <x:v>-0.12307692307692308</x:v>
      </x:c>
      <x:c r="AB440" s="28" t="n">
        <x:f>J440-K440</x:f>
        <x:v>4</x:v>
      </x:c>
      <x:c r="AC440" s="32" t="n">
        <x:f>F440-G440</x:f>
        <x:v>0</x:v>
      </x:c>
    </x:row>
    <x:row r="441">
      <x:c r="A441" s="4" t="str">
        <x:v>2021-22</x:v>
      </x:c>
      <x:c r="B441" s="20" t="n">
        <x:v>44601</x:v>
      </x:c>
      <x:c r="C441" s="4" t="str">
        <x:v>Leeds</x:v>
      </x:c>
      <x:c r="D441" s="4" t="str">
        <x:v>Aston Villa</x:v>
      </x:c>
      <x:c r="E441" s="4" t="str">
        <x:v>Away</x:v>
      </x:c>
      <x:c r="F441" s="28" t="n">
        <x:v>3</x:v>
      </x:c>
      <x:c r="G441" s="28" t="n">
        <x:v>3</x:v>
      </x:c>
      <x:c r="H441" s="28" t="n">
        <x:v>16</x:v>
      </x:c>
      <x:c r="I441" s="28" t="n">
        <x:v>12</x:v>
      </x:c>
      <x:c r="J441" s="28" t="n">
        <x:v>8</x:v>
      </x:c>
      <x:c r="K441" s="28" t="n">
        <x:v>4</x:v>
      </x:c>
      <x:c r="L441" s="28" t="n">
        <x:v>11</x:v>
      </x:c>
      <x:c r="M441" s="28" t="n">
        <x:v>6</x:v>
      </x:c>
      <x:c r="N441" s="28" t="n">
        <x:v>3</x:v>
      </x:c>
      <x:c r="O441" s="28" t="n">
        <x:v>0</x:v>
      </x:c>
      <x:c r="P441" s="28" t="n">
        <x:v>1</x:v>
      </x:c>
      <x:c r="Q441" s="24" t="n">
        <x:f>IFERROR(J441/H441,0)</x:f>
        <x:v>0.5</x:v>
      </x:c>
      <x:c r="R441" s="24" t="n">
        <x:f>IFERROR(F441/H441,0)</x:f>
        <x:v>0.1875</x:v>
      </x:c>
      <x:c r="S441" s="24" t="n">
        <x:f>IFERROR(F441/J441,0)</x:f>
        <x:v>0.375</x:v>
      </x:c>
      <x:c r="T441" s="28" t="n">
        <x:f>H441-I441</x:f>
        <x:v>4</x:v>
      </x:c>
      <x:c r="U441" s="24" t="n">
        <x:f>IFERROR(J441/H441,0)-IFERROR(K441/I441,0)</x:f>
        <x:v>0.16666666666666669</x:v>
      </x:c>
      <x:c r="V441" s="24" t="n">
        <x:f>IFERROR(F441/J441,0)-IFERROR(G441/K441,0)</x:f>
        <x:v>-0.375</x:v>
      </x:c>
      <x:c r="W441" s="28" t="n">
        <x:f>L441-M441</x:f>
        <x:v>5</x:v>
      </x:c>
      <x:c r="X441" s="24" t="n">
        <x:f>IFERROR(K441/I441,0)</x:f>
        <x:v>0.3333333333333333</x:v>
      </x:c>
      <x:c r="Y441" s="24" t="n">
        <x:f>IFERROR(G441/I441,0)</x:f>
        <x:v>0.25</x:v>
      </x:c>
      <x:c r="Z441" s="24" t="n">
        <x:f>IFERROR(G441/K441,0)</x:f>
        <x:v>0.75</x:v>
      </x:c>
      <x:c r="AA441" s="24" t="n">
        <x:f>IFERROR(F441/H441,0)-IFERROR(G441/I441,0)</x:f>
        <x:v>-0.0625</x:v>
      </x:c>
      <x:c r="AB441" s="28" t="n">
        <x:f>J441-K441</x:f>
        <x:v>4</x:v>
      </x:c>
      <x:c r="AC441" s="32" t="n">
        <x:f>F441-G441</x:f>
        <x:v>0</x:v>
      </x:c>
    </x:row>
    <x:row r="442">
      <x:c r="A442" s="4" t="str">
        <x:v>2021-22</x:v>
      </x:c>
      <x:c r="B442" s="20" t="n">
        <x:v>44601</x:v>
      </x:c>
      <x:c r="C442" s="4" t="str">
        <x:v>Man City</x:v>
      </x:c>
      <x:c r="D442" s="4" t="str">
        <x:v>Brentford</x:v>
      </x:c>
      <x:c r="E442" s="4" t="str">
        <x:v>Home</x:v>
      </x:c>
      <x:c r="F442" s="28" t="n">
        <x:v>2</x:v>
      </x:c>
      <x:c r="G442" s="28" t="n">
        <x:v>0</x:v>
      </x:c>
      <x:c r="H442" s="28" t="n">
        <x:v>15</x:v>
      </x:c>
      <x:c r="I442" s="28" t="n">
        <x:v>6</x:v>
      </x:c>
      <x:c r="J442" s="28" t="n">
        <x:v>7</x:v>
      </x:c>
      <x:c r="K442" s="28" t="n">
        <x:v>2</x:v>
      </x:c>
      <x:c r="L442" s="28" t="n">
        <x:v>9</x:v>
      </x:c>
      <x:c r="M442" s="28" t="n">
        <x:v>3</x:v>
      </x:c>
      <x:c r="N442" s="28" t="n">
        <x:v>0</x:v>
      </x:c>
      <x:c r="O442" s="28" t="n">
        <x:v>0</x:v>
      </x:c>
      <x:c r="P442" s="28" t="n">
        <x:v>3</x:v>
      </x:c>
      <x:c r="Q442" s="24" t="n">
        <x:f>IFERROR(J442/H442,0)</x:f>
        <x:v>0.4666666666666667</x:v>
      </x:c>
      <x:c r="R442" s="24" t="n">
        <x:f>IFERROR(F442/H442,0)</x:f>
        <x:v>0.13333333333333333</x:v>
      </x:c>
      <x:c r="S442" s="24" t="n">
        <x:f>IFERROR(F442/J442,0)</x:f>
        <x:v>0.2857142857142857</x:v>
      </x:c>
      <x:c r="T442" s="28" t="n">
        <x:f>H442-I442</x:f>
        <x:v>9</x:v>
      </x:c>
      <x:c r="U442" s="24" t="n">
        <x:f>IFERROR(J442/H442,0)-IFERROR(K442/I442,0)</x:f>
        <x:v>0.13333333333333336</x:v>
      </x:c>
      <x:c r="V442" s="24" t="n">
        <x:f>IFERROR(F442/J442,0)-IFERROR(G442/K442,0)</x:f>
        <x:v>0.2857142857142857</x:v>
      </x:c>
      <x:c r="W442" s="28" t="n">
        <x:f>L442-M442</x:f>
        <x:v>6</x:v>
      </x:c>
      <x:c r="X442" s="24" t="n">
        <x:f>IFERROR(K442/I442,0)</x:f>
        <x:v>0.3333333333333333</x:v>
      </x:c>
      <x:c r="Y442" s="24" t="n">
        <x:f>IFERROR(G442/I442,0)</x:f>
        <x:v>0</x:v>
      </x:c>
      <x:c r="Z442" s="24" t="n">
        <x:f>IFERROR(G442/K442,0)</x:f>
        <x:v>0</x:v>
      </x:c>
      <x:c r="AA442" s="24" t="n">
        <x:f>IFERROR(F442/H442,0)-IFERROR(G442/I442,0)</x:f>
        <x:v>0.13333333333333333</x:v>
      </x:c>
      <x:c r="AB442" s="28" t="n">
        <x:f>J442-K442</x:f>
        <x:v>5</x:v>
      </x:c>
      <x:c r="AC442" s="32" t="n">
        <x:f>F442-G442</x:f>
        <x:v>2</x:v>
      </x:c>
    </x:row>
    <x:row r="443">
      <x:c r="A443" s="4" t="str">
        <x:v>2021-22</x:v>
      </x:c>
      <x:c r="B443" s="20" t="n">
        <x:v>44601</x:v>
      </x:c>
      <x:c r="C443" s="4" t="str">
        <x:v>Norwich</x:v>
      </x:c>
      <x:c r="D443" s="4" t="str">
        <x:v>Crystal Palace</x:v>
      </x:c>
      <x:c r="E443" s="4" t="str">
        <x:v>Home</x:v>
      </x:c>
      <x:c r="F443" s="28" t="n">
        <x:v>1</x:v>
      </x:c>
      <x:c r="G443" s="28" t="n">
        <x:v>1</x:v>
      </x:c>
      <x:c r="H443" s="28" t="n">
        <x:v>5</x:v>
      </x:c>
      <x:c r="I443" s="28" t="n">
        <x:v>13</x:v>
      </x:c>
      <x:c r="J443" s="28" t="n">
        <x:v>1</x:v>
      </x:c>
      <x:c r="K443" s="28" t="n">
        <x:v>5</x:v>
      </x:c>
      <x:c r="L443" s="28" t="n">
        <x:v>4</x:v>
      </x:c>
      <x:c r="M443" s="28" t="n">
        <x:v>6</x:v>
      </x:c>
      <x:c r="N443" s="28" t="n">
        <x:v>1</x:v>
      </x:c>
      <x:c r="O443" s="28" t="n">
        <x:v>0</x:v>
      </x:c>
      <x:c r="P443" s="28" t="n">
        <x:v>1</x:v>
      </x:c>
      <x:c r="Q443" s="24" t="n">
        <x:f>IFERROR(J443/H443,0)</x:f>
        <x:v>0.2</x:v>
      </x:c>
      <x:c r="R443" s="24" t="n">
        <x:f>IFERROR(F443/H443,0)</x:f>
        <x:v>0.2</x:v>
      </x:c>
      <x:c r="S443" s="24" t="n">
        <x:f>IFERROR(F443/J443,0)</x:f>
        <x:v>1</x:v>
      </x:c>
      <x:c r="T443" s="28" t="n">
        <x:f>H443-I443</x:f>
        <x:v>-8</x:v>
      </x:c>
      <x:c r="U443" s="24" t="n">
        <x:f>IFERROR(J443/H443,0)-IFERROR(K443/I443,0)</x:f>
        <x:v>-0.18461538461538463</x:v>
      </x:c>
      <x:c r="V443" s="24" t="n">
        <x:f>IFERROR(F443/J443,0)-IFERROR(G443/K443,0)</x:f>
        <x:v>0.8</x:v>
      </x:c>
      <x:c r="W443" s="28" t="n">
        <x:f>L443-M443</x:f>
        <x:v>-2</x:v>
      </x:c>
      <x:c r="X443" s="24" t="n">
        <x:f>IFERROR(K443/I443,0)</x:f>
        <x:v>0.38461538461538464</x:v>
      </x:c>
      <x:c r="Y443" s="24" t="n">
        <x:f>IFERROR(G443/I443,0)</x:f>
        <x:v>0.07692307692307693</x:v>
      </x:c>
      <x:c r="Z443" s="24" t="n">
        <x:f>IFERROR(G443/K443,0)</x:f>
        <x:v>0.2</x:v>
      </x:c>
      <x:c r="AA443" s="24" t="n">
        <x:f>IFERROR(F443/H443,0)-IFERROR(G443/I443,0)</x:f>
        <x:v>0.12307692307692308</x:v>
      </x:c>
      <x:c r="AB443" s="28" t="n">
        <x:f>J443-K443</x:f>
        <x:v>-4</x:v>
      </x:c>
      <x:c r="AC443" s="32" t="n">
        <x:f>F443-G443</x:f>
        <x:v>0</x:v>
      </x:c>
    </x:row>
    <x:row r="444">
      <x:c r="A444" s="4" t="str">
        <x:v>2021-22</x:v>
      </x:c>
      <x:c r="B444" s="20" t="n">
        <x:v>44601</x:v>
      </x:c>
      <x:c r="C444" s="4" t="str">
        <x:v>Southampton</x:v>
      </x:c>
      <x:c r="D444" s="4" t="str">
        <x:v>Tottenham</x:v>
      </x:c>
      <x:c r="E444" s="4" t="str">
        <x:v>Away</x:v>
      </x:c>
      <x:c r="F444" s="28" t="n">
        <x:v>3</x:v>
      </x:c>
      <x:c r="G444" s="28" t="n">
        <x:v>2</x:v>
      </x:c>
      <x:c r="H444" s="28" t="n">
        <x:v>23</x:v>
      </x:c>
      <x:c r="I444" s="28" t="n">
        <x:v>8</x:v>
      </x:c>
      <x:c r="J444" s="28" t="n">
        <x:v>10</x:v>
      </x:c>
      <x:c r="K444" s="28" t="n">
        <x:v>3</x:v>
      </x:c>
      <x:c r="L444" s="28" t="n">
        <x:v>8</x:v>
      </x:c>
      <x:c r="M444" s="28" t="n">
        <x:v>2</x:v>
      </x:c>
      <x:c r="N444" s="28" t="n">
        <x:v>3</x:v>
      </x:c>
      <x:c r="O444" s="28" t="n">
        <x:v>0</x:v>
      </x:c>
      <x:c r="P444" s="28" t="n">
        <x:v>3</x:v>
      </x:c>
      <x:c r="Q444" s="24" t="n">
        <x:f>IFERROR(J444/H444,0)</x:f>
        <x:v>0.43478260869565216</x:v>
      </x:c>
      <x:c r="R444" s="24" t="n">
        <x:f>IFERROR(F444/H444,0)</x:f>
        <x:v>0.13043478260869565</x:v>
      </x:c>
      <x:c r="S444" s="24" t="n">
        <x:f>IFERROR(F444/J444,0)</x:f>
        <x:v>0.3</x:v>
      </x:c>
      <x:c r="T444" s="28" t="n">
        <x:f>H444-I444</x:f>
        <x:v>15</x:v>
      </x:c>
      <x:c r="U444" s="24" t="n">
        <x:f>IFERROR(J444/H444,0)-IFERROR(K444/I444,0)</x:f>
        <x:v>0.05978260869565216</x:v>
      </x:c>
      <x:c r="V444" s="24" t="n">
        <x:f>IFERROR(F444/J444,0)-IFERROR(G444/K444,0)</x:f>
        <x:v>-0.36666666666666664</x:v>
      </x:c>
      <x:c r="W444" s="28" t="n">
        <x:f>L444-M444</x:f>
        <x:v>6</x:v>
      </x:c>
      <x:c r="X444" s="24" t="n">
        <x:f>IFERROR(K444/I444,0)</x:f>
        <x:v>0.375</x:v>
      </x:c>
      <x:c r="Y444" s="24" t="n">
        <x:f>IFERROR(G444/I444,0)</x:f>
        <x:v>0.25</x:v>
      </x:c>
      <x:c r="Z444" s="24" t="n">
        <x:f>IFERROR(G444/K444,0)</x:f>
        <x:v>0.6666666666666666</x:v>
      </x:c>
      <x:c r="AA444" s="24" t="n">
        <x:f>IFERROR(F444/H444,0)-IFERROR(G444/I444,0)</x:f>
        <x:v>-0.11956521739130435</x:v>
      </x:c>
      <x:c r="AB444" s="28" t="n">
        <x:f>J444-K444</x:f>
        <x:v>7</x:v>
      </x:c>
      <x:c r="AC444" s="32" t="n">
        <x:f>F444-G444</x:f>
        <x:v>1</x:v>
      </x:c>
    </x:row>
    <x:row r="445">
      <x:c r="A445" s="4" t="str">
        <x:v>2021-22</x:v>
      </x:c>
      <x:c r="B445" s="20" t="n">
        <x:v>44601</x:v>
      </x:c>
      <x:c r="C445" s="4" t="str">
        <x:v>Tottenham</x:v>
      </x:c>
      <x:c r="D445" s="4" t="str">
        <x:v>Southampton</x:v>
      </x:c>
      <x:c r="E445" s="4" t="str">
        <x:v>Home</x:v>
      </x:c>
      <x:c r="F445" s="28" t="n">
        <x:v>2</x:v>
      </x:c>
      <x:c r="G445" s="28" t="n">
        <x:v>3</x:v>
      </x:c>
      <x:c r="H445" s="28" t="n">
        <x:v>8</x:v>
      </x:c>
      <x:c r="I445" s="28" t="n">
        <x:v>23</x:v>
      </x:c>
      <x:c r="J445" s="28" t="n">
        <x:v>3</x:v>
      </x:c>
      <x:c r="K445" s="28" t="n">
        <x:v>10</x:v>
      </x:c>
      <x:c r="L445" s="28" t="n">
        <x:v>2</x:v>
      </x:c>
      <x:c r="M445" s="28" t="n">
        <x:v>8</x:v>
      </x:c>
      <x:c r="N445" s="28" t="n">
        <x:v>2</x:v>
      </x:c>
      <x:c r="O445" s="28" t="n">
        <x:v>0</x:v>
      </x:c>
      <x:c r="P445" s="28" t="n">
        <x:v>0</x:v>
      </x:c>
      <x:c r="Q445" s="24" t="n">
        <x:f>IFERROR(J445/H445,0)</x:f>
        <x:v>0.375</x:v>
      </x:c>
      <x:c r="R445" s="24" t="n">
        <x:f>IFERROR(F445/H445,0)</x:f>
        <x:v>0.25</x:v>
      </x:c>
      <x:c r="S445" s="24" t="n">
        <x:f>IFERROR(F445/J445,0)</x:f>
        <x:v>0.6666666666666666</x:v>
      </x:c>
      <x:c r="T445" s="28" t="n">
        <x:f>H445-I445</x:f>
        <x:v>-15</x:v>
      </x:c>
      <x:c r="U445" s="24" t="n">
        <x:f>IFERROR(J445/H445,0)-IFERROR(K445/I445,0)</x:f>
        <x:v>-0.05978260869565216</x:v>
      </x:c>
      <x:c r="V445" s="24" t="n">
        <x:f>IFERROR(F445/J445,0)-IFERROR(G445/K445,0)</x:f>
        <x:v>0.36666666666666664</x:v>
      </x:c>
      <x:c r="W445" s="28" t="n">
        <x:f>L445-M445</x:f>
        <x:v>-6</x:v>
      </x:c>
      <x:c r="X445" s="24" t="n">
        <x:f>IFERROR(K445/I445,0)</x:f>
        <x:v>0.43478260869565216</x:v>
      </x:c>
      <x:c r="Y445" s="24" t="n">
        <x:f>IFERROR(G445/I445,0)</x:f>
        <x:v>0.13043478260869565</x:v>
      </x:c>
      <x:c r="Z445" s="24" t="n">
        <x:f>IFERROR(G445/K445,0)</x:f>
        <x:v>0.3</x:v>
      </x:c>
      <x:c r="AA445" s="24" t="n">
        <x:f>IFERROR(F445/H445,0)-IFERROR(G445/I445,0)</x:f>
        <x:v>0.11956521739130435</x:v>
      </x:c>
      <x:c r="AB445" s="28" t="n">
        <x:f>J445-K445</x:f>
        <x:v>-7</x:v>
      </x:c>
      <x:c r="AC445" s="32" t="n">
        <x:f>F445-G445</x:f>
        <x:v>-1</x:v>
      </x:c>
    </x:row>
    <x:row r="446">
      <x:c r="A446" s="4" t="str">
        <x:v>2021-22</x:v>
      </x:c>
      <x:c r="B446" s="20" t="n">
        <x:v>44602</x:v>
      </x:c>
      <x:c r="C446" s="4" t="str">
        <x:v>Arsenal</x:v>
      </x:c>
      <x:c r="D446" s="4" t="str">
        <x:v>Wolves</x:v>
      </x:c>
      <x:c r="E446" s="4" t="str">
        <x:v>Away</x:v>
      </x:c>
      <x:c r="F446" s="28" t="n">
        <x:v>1</x:v>
      </x:c>
      <x:c r="G446" s="28" t="n">
        <x:v>0</x:v>
      </x:c>
      <x:c r="H446" s="28" t="n">
        <x:v>12</x:v>
      </x:c>
      <x:c r="I446" s="28" t="n">
        <x:v>15</x:v>
      </x:c>
      <x:c r="J446" s="28" t="n">
        <x:v>2</x:v>
      </x:c>
      <x:c r="K446" s="28" t="n">
        <x:v>4</x:v>
      </x:c>
      <x:c r="L446" s="28" t="n">
        <x:v>4</x:v>
      </x:c>
      <x:c r="M446" s="28" t="n">
        <x:v>7</x:v>
      </x:c>
      <x:c r="N446" s="28" t="n">
        <x:v>3</x:v>
      </x:c>
      <x:c r="O446" s="28" t="n">
        <x:v>1</x:v>
      </x:c>
      <x:c r="P446" s="28" t="n">
        <x:v>3</x:v>
      </x:c>
      <x:c r="Q446" s="24" t="n">
        <x:f>IFERROR(J446/H446,0)</x:f>
        <x:v>0.16666666666666666</x:v>
      </x:c>
      <x:c r="R446" s="24" t="n">
        <x:f>IFERROR(F446/H446,0)</x:f>
        <x:v>0.08333333333333333</x:v>
      </x:c>
      <x:c r="S446" s="24" t="n">
        <x:f>IFERROR(F446/J446,0)</x:f>
        <x:v>0.5</x:v>
      </x:c>
      <x:c r="T446" s="28" t="n">
        <x:f>H446-I446</x:f>
        <x:v>-3</x:v>
      </x:c>
      <x:c r="U446" s="24" t="n">
        <x:f>IFERROR(J446/H446,0)-IFERROR(K446/I446,0)</x:f>
        <x:v>-0.1</x:v>
      </x:c>
      <x:c r="V446" s="24" t="n">
        <x:f>IFERROR(F446/J446,0)-IFERROR(G446/K446,0)</x:f>
        <x:v>0.5</x:v>
      </x:c>
      <x:c r="W446" s="28" t="n">
        <x:f>L446-M446</x:f>
        <x:v>-3</x:v>
      </x:c>
      <x:c r="X446" s="24" t="n">
        <x:f>IFERROR(K446/I446,0)</x:f>
        <x:v>0.26666666666666666</x:v>
      </x:c>
      <x:c r="Y446" s="24" t="n">
        <x:f>IFERROR(G446/I446,0)</x:f>
        <x:v>0</x:v>
      </x:c>
      <x:c r="Z446" s="24" t="n">
        <x:f>IFERROR(G446/K446,0)</x:f>
        <x:v>0</x:v>
      </x:c>
      <x:c r="AA446" s="24" t="n">
        <x:f>IFERROR(F446/H446,0)-IFERROR(G446/I446,0)</x:f>
        <x:v>0.08333333333333333</x:v>
      </x:c>
      <x:c r="AB446" s="28" t="n">
        <x:f>J446-K446</x:f>
        <x:v>-2</x:v>
      </x:c>
      <x:c r="AC446" s="32" t="n">
        <x:f>F446-G446</x:f>
        <x:v>1</x:v>
      </x:c>
    </x:row>
    <x:row r="447">
      <x:c r="A447" s="4" t="str">
        <x:v>2021-22</x:v>
      </x:c>
      <x:c r="B447" s="20" t="n">
        <x:v>44602</x:v>
      </x:c>
      <x:c r="C447" s="4" t="str">
        <x:v>Leicester</x:v>
      </x:c>
      <x:c r="D447" s="4" t="str">
        <x:v>Liverpool</x:v>
      </x:c>
      <x:c r="E447" s="4" t="str">
        <x:v>Away</x:v>
      </x:c>
      <x:c r="F447" s="28" t="n">
        <x:v>0</x:v>
      </x:c>
      <x:c r="G447" s="28" t="n">
        <x:v>2</x:v>
      </x:c>
      <x:c r="H447" s="28" t="n">
        <x:v>5</x:v>
      </x:c>
      <x:c r="I447" s="28" t="n">
        <x:v>22</x:v>
      </x:c>
      <x:c r="J447" s="28" t="n">
        <x:v>1</x:v>
      </x:c>
      <x:c r="K447" s="28" t="n">
        <x:v>11</x:v>
      </x:c>
      <x:c r="L447" s="28" t="n">
        <x:v>6</x:v>
      </x:c>
      <x:c r="M447" s="28" t="n">
        <x:v>7</x:v>
      </x:c>
      <x:c r="N447" s="28" t="n">
        <x:v>0</x:v>
      </x:c>
      <x:c r="O447" s="28" t="n">
        <x:v>0</x:v>
      </x:c>
      <x:c r="P447" s="28" t="n">
        <x:v>0</x:v>
      </x:c>
      <x:c r="Q447" s="24" t="n">
        <x:f>IFERROR(J447/H447,0)</x:f>
        <x:v>0.2</x:v>
      </x:c>
      <x:c r="R447" s="24" t="n">
        <x:f>IFERROR(F447/H447,0)</x:f>
        <x:v>0</x:v>
      </x:c>
      <x:c r="S447" s="24" t="n">
        <x:f>IFERROR(F447/J447,0)</x:f>
        <x:v>0</x:v>
      </x:c>
      <x:c r="T447" s="28" t="n">
        <x:f>H447-I447</x:f>
        <x:v>-17</x:v>
      </x:c>
      <x:c r="U447" s="24" t="n">
        <x:f>IFERROR(J447/H447,0)-IFERROR(K447/I447,0)</x:f>
        <x:v>-0.3</x:v>
      </x:c>
      <x:c r="V447" s="24" t="n">
        <x:f>IFERROR(F447/J447,0)-IFERROR(G447/K447,0)</x:f>
        <x:v>-0.18181818181818182</x:v>
      </x:c>
      <x:c r="W447" s="28" t="n">
        <x:f>L447-M447</x:f>
        <x:v>-1</x:v>
      </x:c>
      <x:c r="X447" s="24" t="n">
        <x:f>IFERROR(K447/I447,0)</x:f>
        <x:v>0.5</x:v>
      </x:c>
      <x:c r="Y447" s="24" t="n">
        <x:f>IFERROR(G447/I447,0)</x:f>
        <x:v>0.09090909090909091</x:v>
      </x:c>
      <x:c r="Z447" s="24" t="n">
        <x:f>IFERROR(G447/K447,0)</x:f>
        <x:v>0.18181818181818182</x:v>
      </x:c>
      <x:c r="AA447" s="24" t="n">
        <x:f>IFERROR(F447/H447,0)-IFERROR(G447/I447,0)</x:f>
        <x:v>-0.09090909090909091</x:v>
      </x:c>
      <x:c r="AB447" s="28" t="n">
        <x:f>J447-K447</x:f>
        <x:v>-10</x:v>
      </x:c>
      <x:c r="AC447" s="32" t="n">
        <x:f>F447-G447</x:f>
        <x:v>-2</x:v>
      </x:c>
    </x:row>
    <x:row r="448">
      <x:c r="A448" s="4" t="str">
        <x:v>2021-22</x:v>
      </x:c>
      <x:c r="B448" s="20" t="n">
        <x:v>44602</x:v>
      </x:c>
      <x:c r="C448" s="4" t="str">
        <x:v>Liverpool</x:v>
      </x:c>
      <x:c r="D448" s="4" t="str">
        <x:v>Leicester</x:v>
      </x:c>
      <x:c r="E448" s="4" t="str">
        <x:v>Home</x:v>
      </x:c>
      <x:c r="F448" s="28" t="n">
        <x:v>2</x:v>
      </x:c>
      <x:c r="G448" s="28" t="n">
        <x:v>0</x:v>
      </x:c>
      <x:c r="H448" s="28" t="n">
        <x:v>22</x:v>
      </x:c>
      <x:c r="I448" s="28" t="n">
        <x:v>5</x:v>
      </x:c>
      <x:c r="J448" s="28" t="n">
        <x:v>11</x:v>
      </x:c>
      <x:c r="K448" s="28" t="n">
        <x:v>1</x:v>
      </x:c>
      <x:c r="L448" s="28" t="n">
        <x:v>7</x:v>
      </x:c>
      <x:c r="M448" s="28" t="n">
        <x:v>6</x:v>
      </x:c>
      <x:c r="N448" s="28" t="n">
        <x:v>1</x:v>
      </x:c>
      <x:c r="O448" s="28" t="n">
        <x:v>0</x:v>
      </x:c>
      <x:c r="P448" s="28" t="n">
        <x:v>3</x:v>
      </x:c>
      <x:c r="Q448" s="24" t="n">
        <x:f>IFERROR(J448/H448,0)</x:f>
        <x:v>0.5</x:v>
      </x:c>
      <x:c r="R448" s="24" t="n">
        <x:f>IFERROR(F448/H448,0)</x:f>
        <x:v>0.09090909090909091</x:v>
      </x:c>
      <x:c r="S448" s="24" t="n">
        <x:f>IFERROR(F448/J448,0)</x:f>
        <x:v>0.18181818181818182</x:v>
      </x:c>
      <x:c r="T448" s="28" t="n">
        <x:f>H448-I448</x:f>
        <x:v>17</x:v>
      </x:c>
      <x:c r="U448" s="24" t="n">
        <x:f>IFERROR(J448/H448,0)-IFERROR(K448/I448,0)</x:f>
        <x:v>0.3</x:v>
      </x:c>
      <x:c r="V448" s="24" t="n">
        <x:f>IFERROR(F448/J448,0)-IFERROR(G448/K448,0)</x:f>
        <x:v>0.18181818181818182</x:v>
      </x:c>
      <x:c r="W448" s="28" t="n">
        <x:f>L448-M448</x:f>
        <x:v>1</x:v>
      </x:c>
      <x:c r="X448" s="24" t="n">
        <x:f>IFERROR(K448/I448,0)</x:f>
        <x:v>0.2</x:v>
      </x:c>
      <x:c r="Y448" s="24" t="n">
        <x:f>IFERROR(G448/I448,0)</x:f>
        <x:v>0</x:v>
      </x:c>
      <x:c r="Z448" s="24" t="n">
        <x:f>IFERROR(G448/K448,0)</x:f>
        <x:v>0</x:v>
      </x:c>
      <x:c r="AA448" s="24" t="n">
        <x:f>IFERROR(F448/H448,0)-IFERROR(G448/I448,0)</x:f>
        <x:v>0.09090909090909091</x:v>
      </x:c>
      <x:c r="AB448" s="28" t="n">
        <x:f>J448-K448</x:f>
        <x:v>10</x:v>
      </x:c>
      <x:c r="AC448" s="32" t="n">
        <x:f>F448-G448</x:f>
        <x:v>2</x:v>
      </x:c>
    </x:row>
    <x:row r="449">
      <x:c r="A449" s="4" t="str">
        <x:v>2021-22</x:v>
      </x:c>
      <x:c r="B449" s="20" t="n">
        <x:v>44602</x:v>
      </x:c>
      <x:c r="C449" s="4" t="str">
        <x:v>Wolves</x:v>
      </x:c>
      <x:c r="D449" s="4" t="str">
        <x:v>Arsenal</x:v>
      </x:c>
      <x:c r="E449" s="4" t="str">
        <x:v>Home</x:v>
      </x:c>
      <x:c r="F449" s="28" t="n">
        <x:v>0</x:v>
      </x:c>
      <x:c r="G449" s="28" t="n">
        <x:v>1</x:v>
      </x:c>
      <x:c r="H449" s="28" t="n">
        <x:v>15</x:v>
      </x:c>
      <x:c r="I449" s="28" t="n">
        <x:v>12</x:v>
      </x:c>
      <x:c r="J449" s="28" t="n">
        <x:v>4</x:v>
      </x:c>
      <x:c r="K449" s="28" t="n">
        <x:v>2</x:v>
      </x:c>
      <x:c r="L449" s="28" t="n">
        <x:v>7</x:v>
      </x:c>
      <x:c r="M449" s="28" t="n">
        <x:v>4</x:v>
      </x:c>
      <x:c r="N449" s="28" t="n">
        <x:v>2</x:v>
      </x:c>
      <x:c r="O449" s="28" t="n">
        <x:v>0</x:v>
      </x:c>
      <x:c r="P449" s="28" t="n">
        <x:v>0</x:v>
      </x:c>
      <x:c r="Q449" s="24" t="n">
        <x:f>IFERROR(J449/H449,0)</x:f>
        <x:v>0.26666666666666666</x:v>
      </x:c>
      <x:c r="R449" s="24" t="n">
        <x:f>IFERROR(F449/H449,0)</x:f>
        <x:v>0</x:v>
      </x:c>
      <x:c r="S449" s="24" t="n">
        <x:f>IFERROR(F449/J449,0)</x:f>
        <x:v>0</x:v>
      </x:c>
      <x:c r="T449" s="28" t="n">
        <x:f>H449-I449</x:f>
        <x:v>3</x:v>
      </x:c>
      <x:c r="U449" s="24" t="n">
        <x:f>IFERROR(J449/H449,0)-IFERROR(K449/I449,0)</x:f>
        <x:v>0.1</x:v>
      </x:c>
      <x:c r="V449" s="24" t="n">
        <x:f>IFERROR(F449/J449,0)-IFERROR(G449/K449,0)</x:f>
        <x:v>-0.5</x:v>
      </x:c>
      <x:c r="W449" s="28" t="n">
        <x:f>L449-M449</x:f>
        <x:v>3</x:v>
      </x:c>
      <x:c r="X449" s="24" t="n">
        <x:f>IFERROR(K449/I449,0)</x:f>
        <x:v>0.16666666666666666</x:v>
      </x:c>
      <x:c r="Y449" s="24" t="n">
        <x:f>IFERROR(G449/I449,0)</x:f>
        <x:v>0.08333333333333333</x:v>
      </x:c>
      <x:c r="Z449" s="24" t="n">
        <x:f>IFERROR(G449/K449,0)</x:f>
        <x:v>0.5</x:v>
      </x:c>
      <x:c r="AA449" s="24" t="n">
        <x:f>IFERROR(F449/H449,0)-IFERROR(G449/I449,0)</x:f>
        <x:v>-0.08333333333333333</x:v>
      </x:c>
      <x:c r="AB449" s="28" t="n">
        <x:f>J449-K449</x:f>
        <x:v>2</x:v>
      </x:c>
      <x:c r="AC449" s="32" t="n">
        <x:f>F449-G449</x:f>
        <x:v>-1</x:v>
      </x:c>
    </x:row>
    <x:row r="450">
      <x:c r="A450" s="4" t="str">
        <x:v>2021-22</x:v>
      </x:c>
      <x:c r="B450" s="20" t="n">
        <x:v>44604</x:v>
      </x:c>
      <x:c r="C450" s="4" t="str">
        <x:v>Brentford</x:v>
      </x:c>
      <x:c r="D450" s="4" t="str">
        <x:v>Crystal Palace</x:v>
      </x:c>
      <x:c r="E450" s="4" t="str">
        <x:v>Home</x:v>
      </x:c>
      <x:c r="F450" s="28" t="n">
        <x:v>0</x:v>
      </x:c>
      <x:c r="G450" s="28" t="n">
        <x:v>0</x:v>
      </x:c>
      <x:c r="H450" s="28" t="n">
        <x:v>9</x:v>
      </x:c>
      <x:c r="I450" s="28" t="n">
        <x:v>6</x:v>
      </x:c>
      <x:c r="J450" s="28" t="n">
        <x:v>2</x:v>
      </x:c>
      <x:c r="K450" s="28" t="n">
        <x:v>3</x:v>
      </x:c>
      <x:c r="L450" s="28" t="n">
        <x:v>3</x:v>
      </x:c>
      <x:c r="M450" s="28" t="n">
        <x:v>9</x:v>
      </x:c>
      <x:c r="N450" s="28" t="n">
        <x:v>1</x:v>
      </x:c>
      <x:c r="O450" s="28" t="n">
        <x:v>0</x:v>
      </x:c>
      <x:c r="P450" s="28" t="n">
        <x:v>1</x:v>
      </x:c>
      <x:c r="Q450" s="24" t="n">
        <x:f>IFERROR(J450/H450,0)</x:f>
        <x:v>0.2222222222222222</x:v>
      </x:c>
      <x:c r="R450" s="24" t="n">
        <x:f>IFERROR(F450/H450,0)</x:f>
        <x:v>0</x:v>
      </x:c>
      <x:c r="S450" s="24" t="n">
        <x:f>IFERROR(F450/J450,0)</x:f>
        <x:v>0</x:v>
      </x:c>
      <x:c r="T450" s="28" t="n">
        <x:f>H450-I450</x:f>
        <x:v>3</x:v>
      </x:c>
      <x:c r="U450" s="24" t="n">
        <x:f>IFERROR(J450/H450,0)-IFERROR(K450/I450,0)</x:f>
        <x:v>-0.2777777777777778</x:v>
      </x:c>
      <x:c r="V450" s="24" t="n">
        <x:f>IFERROR(F450/J450,0)-IFERROR(G450/K450,0)</x:f>
        <x:v>0</x:v>
      </x:c>
      <x:c r="W450" s="28" t="n">
        <x:f>L450-M450</x:f>
        <x:v>-6</x:v>
      </x:c>
      <x:c r="X450" s="24" t="n">
        <x:f>IFERROR(K450/I450,0)</x:f>
        <x:v>0.5</x:v>
      </x:c>
      <x:c r="Y450" s="24" t="n">
        <x:f>IFERROR(G450/I450,0)</x:f>
        <x:v>0</x:v>
      </x:c>
      <x:c r="Z450" s="24" t="n">
        <x:f>IFERROR(G450/K450,0)</x:f>
        <x:v>0</x:v>
      </x:c>
      <x:c r="AA450" s="24" t="n">
        <x:f>IFERROR(F450/H450,0)-IFERROR(G450/I450,0)</x:f>
        <x:v>0</x:v>
      </x:c>
      <x:c r="AB450" s="28" t="n">
        <x:f>J450-K450</x:f>
        <x:v>-1</x:v>
      </x:c>
      <x:c r="AC450" s="32" t="n">
        <x:f>F450-G450</x:f>
        <x:v>0</x:v>
      </x:c>
    </x:row>
    <x:row r="451">
      <x:c r="A451" s="4" t="str">
        <x:v>2021-22</x:v>
      </x:c>
      <x:c r="B451" s="20" t="n">
        <x:v>44604</x:v>
      </x:c>
      <x:c r="C451" s="4" t="str">
        <x:v>Brighton</x:v>
      </x:c>
      <x:c r="D451" s="4" t="str">
        <x:v>Watford</x:v>
      </x:c>
      <x:c r="E451" s="4" t="str">
        <x:v>Away</x:v>
      </x:c>
      <x:c r="F451" s="28" t="n">
        <x:v>2</x:v>
      </x:c>
      <x:c r="G451" s="28" t="n">
        <x:v>0</x:v>
      </x:c>
      <x:c r="H451" s="28" t="n">
        <x:v>11</x:v>
      </x:c>
      <x:c r="I451" s="28" t="n">
        <x:v>9</x:v>
      </x:c>
      <x:c r="J451" s="28" t="n">
        <x:v>6</x:v>
      </x:c>
      <x:c r="K451" s="28" t="n">
        <x:v>1</x:v>
      </x:c>
      <x:c r="L451" s="28" t="n">
        <x:v>5</x:v>
      </x:c>
      <x:c r="M451" s="28" t="n">
        <x:v>4</x:v>
      </x:c>
      <x:c r="N451" s="28" t="n">
        <x:v>2</x:v>
      </x:c>
      <x:c r="O451" s="28" t="n">
        <x:v>0</x:v>
      </x:c>
      <x:c r="P451" s="28" t="n">
        <x:v>3</x:v>
      </x:c>
      <x:c r="Q451" s="24" t="n">
        <x:f>IFERROR(J451/H451,0)</x:f>
        <x:v>0.5454545454545454</x:v>
      </x:c>
      <x:c r="R451" s="24" t="n">
        <x:f>IFERROR(F451/H451,0)</x:f>
        <x:v>0.18181818181818182</x:v>
      </x:c>
      <x:c r="S451" s="24" t="n">
        <x:f>IFERROR(F451/J451,0)</x:f>
        <x:v>0.3333333333333333</x:v>
      </x:c>
      <x:c r="T451" s="28" t="n">
        <x:f>H451-I451</x:f>
        <x:v>2</x:v>
      </x:c>
      <x:c r="U451" s="24" t="n">
        <x:f>IFERROR(J451/H451,0)-IFERROR(K451/I451,0)</x:f>
        <x:v>0.4343434343434343</x:v>
      </x:c>
      <x:c r="V451" s="24" t="n">
        <x:f>IFERROR(F451/J451,0)-IFERROR(G451/K451,0)</x:f>
        <x:v>0.3333333333333333</x:v>
      </x:c>
      <x:c r="W451" s="28" t="n">
        <x:f>L451-M451</x:f>
        <x:v>1</x:v>
      </x:c>
      <x:c r="X451" s="24" t="n">
        <x:f>IFERROR(K451/I451,0)</x:f>
        <x:v>0.1111111111111111</x:v>
      </x:c>
      <x:c r="Y451" s="24" t="n">
        <x:f>IFERROR(G451/I451,0)</x:f>
        <x:v>0</x:v>
      </x:c>
      <x:c r="Z451" s="24" t="n">
        <x:f>IFERROR(G451/K451,0)</x:f>
        <x:v>0</x:v>
      </x:c>
      <x:c r="AA451" s="24" t="n">
        <x:f>IFERROR(F451/H451,0)-IFERROR(G451/I451,0)</x:f>
        <x:v>0.18181818181818182</x:v>
      </x:c>
      <x:c r="AB451" s="28" t="n">
        <x:f>J451-K451</x:f>
        <x:v>5</x:v>
      </x:c>
      <x:c r="AC451" s="32" t="n">
        <x:f>F451-G451</x:f>
        <x:v>2</x:v>
      </x:c>
    </x:row>
    <x:row r="452">
      <x:c r="A452" s="4" t="str">
        <x:v>2021-22</x:v>
      </x:c>
      <x:c r="B452" s="20" t="n">
        <x:v>44604</x:v>
      </x:c>
      <x:c r="C452" s="4" t="str">
        <x:v>Crystal Palace</x:v>
      </x:c>
      <x:c r="D452" s="4" t="str">
        <x:v>Brentford</x:v>
      </x:c>
      <x:c r="E452" s="4" t="str">
        <x:v>Away</x:v>
      </x:c>
      <x:c r="F452" s="28" t="n">
        <x:v>0</x:v>
      </x:c>
      <x:c r="G452" s="28" t="n">
        <x:v>0</x:v>
      </x:c>
      <x:c r="H452" s="28" t="n">
        <x:v>6</x:v>
      </x:c>
      <x:c r="I452" s="28" t="n">
        <x:v>9</x:v>
      </x:c>
      <x:c r="J452" s="28" t="n">
        <x:v>3</x:v>
      </x:c>
      <x:c r="K452" s="28" t="n">
        <x:v>2</x:v>
      </x:c>
      <x:c r="L452" s="28" t="n">
        <x:v>9</x:v>
      </x:c>
      <x:c r="M452" s="28" t="n">
        <x:v>3</x:v>
      </x:c>
      <x:c r="N452" s="28" t="n">
        <x:v>0</x:v>
      </x:c>
      <x:c r="O452" s="28" t="n">
        <x:v>0</x:v>
      </x:c>
      <x:c r="P452" s="28" t="n">
        <x:v>1</x:v>
      </x:c>
      <x:c r="Q452" s="24" t="n">
        <x:f>IFERROR(J452/H452,0)</x:f>
        <x:v>0.5</x:v>
      </x:c>
      <x:c r="R452" s="24" t="n">
        <x:f>IFERROR(F452/H452,0)</x:f>
        <x:v>0</x:v>
      </x:c>
      <x:c r="S452" s="24" t="n">
        <x:f>IFERROR(F452/J452,0)</x:f>
        <x:v>0</x:v>
      </x:c>
      <x:c r="T452" s="28" t="n">
        <x:f>H452-I452</x:f>
        <x:v>-3</x:v>
      </x:c>
      <x:c r="U452" s="24" t="n">
        <x:f>IFERROR(J452/H452,0)-IFERROR(K452/I452,0)</x:f>
        <x:v>0.2777777777777778</x:v>
      </x:c>
      <x:c r="V452" s="24" t="n">
        <x:f>IFERROR(F452/J452,0)-IFERROR(G452/K452,0)</x:f>
        <x:v>0</x:v>
      </x:c>
      <x:c r="W452" s="28" t="n">
        <x:f>L452-M452</x:f>
        <x:v>6</x:v>
      </x:c>
      <x:c r="X452" s="24" t="n">
        <x:f>IFERROR(K452/I452,0)</x:f>
        <x:v>0.2222222222222222</x:v>
      </x:c>
      <x:c r="Y452" s="24" t="n">
        <x:f>IFERROR(G452/I452,0)</x:f>
        <x:v>0</x:v>
      </x:c>
      <x:c r="Z452" s="24" t="n">
        <x:f>IFERROR(G452/K452,0)</x:f>
        <x:v>0</x:v>
      </x:c>
      <x:c r="AA452" s="24" t="n">
        <x:f>IFERROR(F452/H452,0)-IFERROR(G452/I452,0)</x:f>
        <x:v>0</x:v>
      </x:c>
      <x:c r="AB452" s="28" t="n">
        <x:f>J452-K452</x:f>
        <x:v>1</x:v>
      </x:c>
      <x:c r="AC452" s="32" t="n">
        <x:f>F452-G452</x:f>
        <x:v>0</x:v>
      </x:c>
    </x:row>
    <x:row r="453">
      <x:c r="A453" s="4" t="str">
        <x:v>2021-22</x:v>
      </x:c>
      <x:c r="B453" s="20" t="n">
        <x:v>44604</x:v>
      </x:c>
      <x:c r="C453" s="4" t="str">
        <x:v>Everton</x:v>
      </x:c>
      <x:c r="D453" s="4" t="str">
        <x:v>Leeds</x:v>
      </x:c>
      <x:c r="E453" s="4" t="str">
        <x:v>Home</x:v>
      </x:c>
      <x:c r="F453" s="28" t="n">
        <x:v>3</x:v>
      </x:c>
      <x:c r="G453" s="28" t="n">
        <x:v>0</x:v>
      </x:c>
      <x:c r="H453" s="28" t="n">
        <x:v>21</x:v>
      </x:c>
      <x:c r="I453" s="28" t="n">
        <x:v>7</x:v>
      </x:c>
      <x:c r="J453" s="28" t="n">
        <x:v>10</x:v>
      </x:c>
      <x:c r="K453" s="28" t="n">
        <x:v>0</x:v>
      </x:c>
      <x:c r="L453" s="28" t="n">
        <x:v>5</x:v>
      </x:c>
      <x:c r="M453" s="28" t="n">
        <x:v>3</x:v>
      </x:c>
      <x:c r="N453" s="28" t="n">
        <x:v>1</x:v>
      </x:c>
      <x:c r="O453" s="28" t="n">
        <x:v>0</x:v>
      </x:c>
      <x:c r="P453" s="28" t="n">
        <x:v>3</x:v>
      </x:c>
      <x:c r="Q453" s="24" t="n">
        <x:f>IFERROR(J453/H453,0)</x:f>
        <x:v>0.47619047619047616</x:v>
      </x:c>
      <x:c r="R453" s="24" t="n">
        <x:f>IFERROR(F453/H453,0)</x:f>
        <x:v>0.14285714285714285</x:v>
      </x:c>
      <x:c r="S453" s="24" t="n">
        <x:f>IFERROR(F453/J453,0)</x:f>
        <x:v>0.3</x:v>
      </x:c>
      <x:c r="T453" s="28" t="n">
        <x:f>H453-I453</x:f>
        <x:v>14</x:v>
      </x:c>
      <x:c r="U453" s="24" t="n">
        <x:f>IFERROR(J453/H453,0)-IFERROR(K453/I453,0)</x:f>
        <x:v>0.47619047619047616</x:v>
      </x:c>
      <x:c r="V453" s="24" t="n">
        <x:f>IFERROR(F453/J453,0)-IFERROR(G453/K453,0)</x:f>
        <x:v>0.3</x:v>
      </x:c>
      <x:c r="W453" s="28" t="n">
        <x:f>L453-M453</x:f>
        <x:v>2</x:v>
      </x:c>
      <x:c r="X453" s="24" t="n">
        <x:f>IFERROR(K453/I453,0)</x:f>
        <x:v>0</x:v>
      </x:c>
      <x:c r="Y453" s="24" t="n">
        <x:f>IFERROR(G453/I453,0)</x:f>
        <x:v>0</x:v>
      </x:c>
      <x:c r="Z453" s="24" t="n">
        <x:f>IFERROR(G453/K453,0)</x:f>
        <x:v>0</x:v>
      </x:c>
      <x:c r="AA453" s="24" t="n">
        <x:f>IFERROR(F453/H453,0)-IFERROR(G453/I453,0)</x:f>
        <x:v>0.14285714285714285</x:v>
      </x:c>
      <x:c r="AB453" s="28" t="n">
        <x:f>J453-K453</x:f>
        <x:v>10</x:v>
      </x:c>
      <x:c r="AC453" s="32" t="n">
        <x:f>F453-G453</x:f>
        <x:v>3</x:v>
      </x:c>
    </x:row>
    <x:row r="454">
      <x:c r="A454" s="4" t="str">
        <x:v>2021-22</x:v>
      </x:c>
      <x:c r="B454" s="20" t="n">
        <x:v>44604</x:v>
      </x:c>
      <x:c r="C454" s="4" t="str">
        <x:v>Leeds</x:v>
      </x:c>
      <x:c r="D454" s="4" t="str">
        <x:v>Everton</x:v>
      </x:c>
      <x:c r="E454" s="4" t="str">
        <x:v>Away</x:v>
      </x:c>
      <x:c r="F454" s="28" t="n">
        <x:v>0</x:v>
      </x:c>
      <x:c r="G454" s="28" t="n">
        <x:v>3</x:v>
      </x:c>
      <x:c r="H454" s="28" t="n">
        <x:v>7</x:v>
      </x:c>
      <x:c r="I454" s="28" t="n">
        <x:v>21</x:v>
      </x:c>
      <x:c r="J454" s="28" t="n">
        <x:v>0</x:v>
      </x:c>
      <x:c r="K454" s="28" t="n">
        <x:v>10</x:v>
      </x:c>
      <x:c r="L454" s="28" t="n">
        <x:v>3</x:v>
      </x:c>
      <x:c r="M454" s="28" t="n">
        <x:v>5</x:v>
      </x:c>
      <x:c r="N454" s="28" t="n">
        <x:v>1</x:v>
      </x:c>
      <x:c r="O454" s="28" t="n">
        <x:v>0</x:v>
      </x:c>
      <x:c r="P454" s="28" t="n">
        <x:v>0</x:v>
      </x:c>
      <x:c r="Q454" s="24" t="n">
        <x:f>IFERROR(J454/H454,0)</x:f>
        <x:v>0</x:v>
      </x:c>
      <x:c r="R454" s="24" t="n">
        <x:f>IFERROR(F454/H454,0)</x:f>
        <x:v>0</x:v>
      </x:c>
      <x:c r="S454" s="24" t="n">
        <x:f>IFERROR(F454/J454,0)</x:f>
        <x:v>0</x:v>
      </x:c>
      <x:c r="T454" s="28" t="n">
        <x:f>H454-I454</x:f>
        <x:v>-14</x:v>
      </x:c>
      <x:c r="U454" s="24" t="n">
        <x:f>IFERROR(J454/H454,0)-IFERROR(K454/I454,0)</x:f>
        <x:v>-0.47619047619047616</x:v>
      </x:c>
      <x:c r="V454" s="24" t="n">
        <x:f>IFERROR(F454/J454,0)-IFERROR(G454/K454,0)</x:f>
        <x:v>-0.3</x:v>
      </x:c>
      <x:c r="W454" s="28" t="n">
        <x:f>L454-M454</x:f>
        <x:v>-2</x:v>
      </x:c>
      <x:c r="X454" s="24" t="n">
        <x:f>IFERROR(K454/I454,0)</x:f>
        <x:v>0.47619047619047616</x:v>
      </x:c>
      <x:c r="Y454" s="24" t="n">
        <x:f>IFERROR(G454/I454,0)</x:f>
        <x:v>0.14285714285714285</x:v>
      </x:c>
      <x:c r="Z454" s="24" t="n">
        <x:f>IFERROR(G454/K454,0)</x:f>
        <x:v>0.3</x:v>
      </x:c>
      <x:c r="AA454" s="24" t="n">
        <x:f>IFERROR(F454/H454,0)-IFERROR(G454/I454,0)</x:f>
        <x:v>-0.14285714285714285</x:v>
      </x:c>
      <x:c r="AB454" s="28" t="n">
        <x:f>J454-K454</x:f>
        <x:v>-10</x:v>
      </x:c>
      <x:c r="AC454" s="32" t="n">
        <x:f>F454-G454</x:f>
        <x:v>-3</x:v>
      </x:c>
    </x:row>
    <x:row r="455">
      <x:c r="A455" s="4" t="str">
        <x:v>2021-22</x:v>
      </x:c>
      <x:c r="B455" s="20" t="n">
        <x:v>44604</x:v>
      </x:c>
      <x:c r="C455" s="4" t="str">
        <x:v>Man City</x:v>
      </x:c>
      <x:c r="D455" s="4" t="str">
        <x:v>Norwich</x:v>
      </x:c>
      <x:c r="E455" s="4" t="str">
        <x:v>Away</x:v>
      </x:c>
      <x:c r="F455" s="28" t="n">
        <x:v>4</x:v>
      </x:c>
      <x:c r="G455" s="28" t="n">
        <x:v>0</x:v>
      </x:c>
      <x:c r="H455" s="28" t="n">
        <x:v>22</x:v>
      </x:c>
      <x:c r="I455" s="28" t="n">
        <x:v>8</x:v>
      </x:c>
      <x:c r="J455" s="28" t="n">
        <x:v>9</x:v>
      </x:c>
      <x:c r="K455" s="28" t="n">
        <x:v>3</x:v>
      </x:c>
      <x:c r="L455" s="28" t="n">
        <x:v>12</x:v>
      </x:c>
      <x:c r="M455" s="28" t="n">
        <x:v>4</x:v>
      </x:c>
      <x:c r="N455" s="28" t="n">
        <x:v>2</x:v>
      </x:c>
      <x:c r="O455" s="28" t="n">
        <x:v>0</x:v>
      </x:c>
      <x:c r="P455" s="28" t="n">
        <x:v>3</x:v>
      </x:c>
      <x:c r="Q455" s="24" t="n">
        <x:f>IFERROR(J455/H455,0)</x:f>
        <x:v>0.4090909090909091</x:v>
      </x:c>
      <x:c r="R455" s="24" t="n">
        <x:f>IFERROR(F455/H455,0)</x:f>
        <x:v>0.18181818181818182</x:v>
      </x:c>
      <x:c r="S455" s="24" t="n">
        <x:f>IFERROR(F455/J455,0)</x:f>
        <x:v>0.4444444444444444</x:v>
      </x:c>
      <x:c r="T455" s="28" t="n">
        <x:f>H455-I455</x:f>
        <x:v>14</x:v>
      </x:c>
      <x:c r="U455" s="24" t="n">
        <x:f>IFERROR(J455/H455,0)-IFERROR(K455/I455,0)</x:f>
        <x:v>0.034090909090909116</x:v>
      </x:c>
      <x:c r="V455" s="24" t="n">
        <x:f>IFERROR(F455/J455,0)-IFERROR(G455/K455,0)</x:f>
        <x:v>0.4444444444444444</x:v>
      </x:c>
      <x:c r="W455" s="28" t="n">
        <x:f>L455-M455</x:f>
        <x:v>8</x:v>
      </x:c>
      <x:c r="X455" s="24" t="n">
        <x:f>IFERROR(K455/I455,0)</x:f>
        <x:v>0.375</x:v>
      </x:c>
      <x:c r="Y455" s="24" t="n">
        <x:f>IFERROR(G455/I455,0)</x:f>
        <x:v>0</x:v>
      </x:c>
      <x:c r="Z455" s="24" t="n">
        <x:f>IFERROR(G455/K455,0)</x:f>
        <x:v>0</x:v>
      </x:c>
      <x:c r="AA455" s="24" t="n">
        <x:f>IFERROR(F455/H455,0)-IFERROR(G455/I455,0)</x:f>
        <x:v>0.18181818181818182</x:v>
      </x:c>
      <x:c r="AB455" s="28" t="n">
        <x:f>J455-K455</x:f>
        <x:v>6</x:v>
      </x:c>
      <x:c r="AC455" s="32" t="n">
        <x:f>F455-G455</x:f>
        <x:v>4</x:v>
      </x:c>
    </x:row>
    <x:row r="456">
      <x:c r="A456" s="4" t="str">
        <x:v>2021-22</x:v>
      </x:c>
      <x:c r="B456" s="20" t="n">
        <x:v>44604</x:v>
      </x:c>
      <x:c r="C456" s="4" t="str">
        <x:v>Man United</x:v>
      </x:c>
      <x:c r="D456" s="4" t="str">
        <x:v>Southampton</x:v>
      </x:c>
      <x:c r="E456" s="4" t="str">
        <x:v>Home</x:v>
      </x:c>
      <x:c r="F456" s="28" t="n">
        <x:v>1</x:v>
      </x:c>
      <x:c r="G456" s="28" t="n">
        <x:v>1</x:v>
      </x:c>
      <x:c r="H456" s="28" t="n">
        <x:v>12</x:v>
      </x:c>
      <x:c r="I456" s="28" t="n">
        <x:v>13</x:v>
      </x:c>
      <x:c r="J456" s="28" t="n">
        <x:v>8</x:v>
      </x:c>
      <x:c r="K456" s="28" t="n">
        <x:v>4</x:v>
      </x:c>
      <x:c r="L456" s="28" t="n">
        <x:v>1</x:v>
      </x:c>
      <x:c r="M456" s="28" t="n">
        <x:v>4</x:v>
      </x:c>
      <x:c r="N456" s="28" t="n">
        <x:v>4</x:v>
      </x:c>
      <x:c r="O456" s="28" t="n">
        <x:v>0</x:v>
      </x:c>
      <x:c r="P456" s="28" t="n">
        <x:v>1</x:v>
      </x:c>
      <x:c r="Q456" s="24" t="n">
        <x:f>IFERROR(J456/H456,0)</x:f>
        <x:v>0.6666666666666666</x:v>
      </x:c>
      <x:c r="R456" s="24" t="n">
        <x:f>IFERROR(F456/H456,0)</x:f>
        <x:v>0.08333333333333333</x:v>
      </x:c>
      <x:c r="S456" s="24" t="n">
        <x:f>IFERROR(F456/J456,0)</x:f>
        <x:v>0.125</x:v>
      </x:c>
      <x:c r="T456" s="28" t="n">
        <x:f>H456-I456</x:f>
        <x:v>-1</x:v>
      </x:c>
      <x:c r="U456" s="24" t="n">
        <x:f>IFERROR(J456/H456,0)-IFERROR(K456/I456,0)</x:f>
        <x:v>0.3589743589743589</x:v>
      </x:c>
      <x:c r="V456" s="24" t="n">
        <x:f>IFERROR(F456/J456,0)-IFERROR(G456/K456,0)</x:f>
        <x:v>-0.125</x:v>
      </x:c>
      <x:c r="W456" s="28" t="n">
        <x:f>L456-M456</x:f>
        <x:v>-3</x:v>
      </x:c>
      <x:c r="X456" s="24" t="n">
        <x:f>IFERROR(K456/I456,0)</x:f>
        <x:v>0.3076923076923077</x:v>
      </x:c>
      <x:c r="Y456" s="24" t="n">
        <x:f>IFERROR(G456/I456,0)</x:f>
        <x:v>0.07692307692307693</x:v>
      </x:c>
      <x:c r="Z456" s="24" t="n">
        <x:f>IFERROR(G456/K456,0)</x:f>
        <x:v>0.25</x:v>
      </x:c>
      <x:c r="AA456" s="24" t="n">
        <x:f>IFERROR(F456/H456,0)-IFERROR(G456/I456,0)</x:f>
        <x:v>0.006410256410256401</x:v>
      </x:c>
      <x:c r="AB456" s="28" t="n">
        <x:f>J456-K456</x:f>
        <x:v>4</x:v>
      </x:c>
      <x:c r="AC456" s="32" t="n">
        <x:f>F456-G456</x:f>
        <x:v>0</x:v>
      </x:c>
    </x:row>
    <x:row r="457">
      <x:c r="A457" s="4" t="str">
        <x:v>2021-22</x:v>
      </x:c>
      <x:c r="B457" s="20" t="n">
        <x:v>44604</x:v>
      </x:c>
      <x:c r="C457" s="4" t="str">
        <x:v>Norwich</x:v>
      </x:c>
      <x:c r="D457" s="4" t="str">
        <x:v>Man City</x:v>
      </x:c>
      <x:c r="E457" s="4" t="str">
        <x:v>Home</x:v>
      </x:c>
      <x:c r="F457" s="28" t="n">
        <x:v>0</x:v>
      </x:c>
      <x:c r="G457" s="28" t="n">
        <x:v>4</x:v>
      </x:c>
      <x:c r="H457" s="28" t="n">
        <x:v>8</x:v>
      </x:c>
      <x:c r="I457" s="28" t="n">
        <x:v>22</x:v>
      </x:c>
      <x:c r="J457" s="28" t="n">
        <x:v>3</x:v>
      </x:c>
      <x:c r="K457" s="28" t="n">
        <x:v>9</x:v>
      </x:c>
      <x:c r="L457" s="28" t="n">
        <x:v>4</x:v>
      </x:c>
      <x:c r="M457" s="28" t="n">
        <x:v>12</x:v>
      </x:c>
      <x:c r="N457" s="28" t="n">
        <x:v>0</x:v>
      </x:c>
      <x:c r="O457" s="28" t="n">
        <x:v>0</x:v>
      </x:c>
      <x:c r="P457" s="28" t="n">
        <x:v>0</x:v>
      </x:c>
      <x:c r="Q457" s="24" t="n">
        <x:f>IFERROR(J457/H457,0)</x:f>
        <x:v>0.375</x:v>
      </x:c>
      <x:c r="R457" s="24" t="n">
        <x:f>IFERROR(F457/H457,0)</x:f>
        <x:v>0</x:v>
      </x:c>
      <x:c r="S457" s="24" t="n">
        <x:f>IFERROR(F457/J457,0)</x:f>
        <x:v>0</x:v>
      </x:c>
      <x:c r="T457" s="28" t="n">
        <x:f>H457-I457</x:f>
        <x:v>-14</x:v>
      </x:c>
      <x:c r="U457" s="24" t="n">
        <x:f>IFERROR(J457/H457,0)-IFERROR(K457/I457,0)</x:f>
        <x:v>-0.034090909090909116</x:v>
      </x:c>
      <x:c r="V457" s="24" t="n">
        <x:f>IFERROR(F457/J457,0)-IFERROR(G457/K457,0)</x:f>
        <x:v>-0.4444444444444444</x:v>
      </x:c>
      <x:c r="W457" s="28" t="n">
        <x:f>L457-M457</x:f>
        <x:v>-8</x:v>
      </x:c>
      <x:c r="X457" s="24" t="n">
        <x:f>IFERROR(K457/I457,0)</x:f>
        <x:v>0.4090909090909091</x:v>
      </x:c>
      <x:c r="Y457" s="24" t="n">
        <x:f>IFERROR(G457/I457,0)</x:f>
        <x:v>0.18181818181818182</x:v>
      </x:c>
      <x:c r="Z457" s="24" t="n">
        <x:f>IFERROR(G457/K457,0)</x:f>
        <x:v>0.4444444444444444</x:v>
      </x:c>
      <x:c r="AA457" s="24" t="n">
        <x:f>IFERROR(F457/H457,0)-IFERROR(G457/I457,0)</x:f>
        <x:v>-0.18181818181818182</x:v>
      </x:c>
      <x:c r="AB457" s="28" t="n">
        <x:f>J457-K457</x:f>
        <x:v>-6</x:v>
      </x:c>
      <x:c r="AC457" s="32" t="n">
        <x:f>F457-G457</x:f>
        <x:v>-4</x:v>
      </x:c>
    </x:row>
    <x:row r="458">
      <x:c r="A458" s="4" t="str">
        <x:v>2021-22</x:v>
      </x:c>
      <x:c r="B458" s="20" t="n">
        <x:v>44604</x:v>
      </x:c>
      <x:c r="C458" s="4" t="str">
        <x:v>Southampton</x:v>
      </x:c>
      <x:c r="D458" s="4" t="str">
        <x:v>Man United</x:v>
      </x:c>
      <x:c r="E458" s="4" t="str">
        <x:v>Away</x:v>
      </x:c>
      <x:c r="F458" s="28" t="n">
        <x:v>1</x:v>
      </x:c>
      <x:c r="G458" s="28" t="n">
        <x:v>1</x:v>
      </x:c>
      <x:c r="H458" s="28" t="n">
        <x:v>13</x:v>
      </x:c>
      <x:c r="I458" s="28" t="n">
        <x:v>12</x:v>
      </x:c>
      <x:c r="J458" s="28" t="n">
        <x:v>4</x:v>
      </x:c>
      <x:c r="K458" s="28" t="n">
        <x:v>8</x:v>
      </x:c>
      <x:c r="L458" s="28" t="n">
        <x:v>4</x:v>
      </x:c>
      <x:c r="M458" s="28" t="n">
        <x:v>1</x:v>
      </x:c>
      <x:c r="N458" s="28" t="n">
        <x:v>0</x:v>
      </x:c>
      <x:c r="O458" s="28" t="n">
        <x:v>0</x:v>
      </x:c>
      <x:c r="P458" s="28" t="n">
        <x:v>1</x:v>
      </x:c>
      <x:c r="Q458" s="24" t="n">
        <x:f>IFERROR(J458/H458,0)</x:f>
        <x:v>0.3076923076923077</x:v>
      </x:c>
      <x:c r="R458" s="24" t="n">
        <x:f>IFERROR(F458/H458,0)</x:f>
        <x:v>0.07692307692307693</x:v>
      </x:c>
      <x:c r="S458" s="24" t="n">
        <x:f>IFERROR(F458/J458,0)</x:f>
        <x:v>0.25</x:v>
      </x:c>
      <x:c r="T458" s="28" t="n">
        <x:f>H458-I458</x:f>
        <x:v>1</x:v>
      </x:c>
      <x:c r="U458" s="24" t="n">
        <x:f>IFERROR(J458/H458,0)-IFERROR(K458/I458,0)</x:f>
        <x:v>-0.3589743589743589</x:v>
      </x:c>
      <x:c r="V458" s="24" t="n">
        <x:f>IFERROR(F458/J458,0)-IFERROR(G458/K458,0)</x:f>
        <x:v>0.125</x:v>
      </x:c>
      <x:c r="W458" s="28" t="n">
        <x:f>L458-M458</x:f>
        <x:v>3</x:v>
      </x:c>
      <x:c r="X458" s="24" t="n">
        <x:f>IFERROR(K458/I458,0)</x:f>
        <x:v>0.6666666666666666</x:v>
      </x:c>
      <x:c r="Y458" s="24" t="n">
        <x:f>IFERROR(G458/I458,0)</x:f>
        <x:v>0.08333333333333333</x:v>
      </x:c>
      <x:c r="Z458" s="24" t="n">
        <x:f>IFERROR(G458/K458,0)</x:f>
        <x:v>0.125</x:v>
      </x:c>
      <x:c r="AA458" s="24" t="n">
        <x:f>IFERROR(F458/H458,0)-IFERROR(G458/I458,0)</x:f>
        <x:v>-0.006410256410256401</x:v>
      </x:c>
      <x:c r="AB458" s="28" t="n">
        <x:f>J458-K458</x:f>
        <x:v>-4</x:v>
      </x:c>
      <x:c r="AC458" s="32" t="n">
        <x:f>F458-G458</x:f>
        <x:v>0</x:v>
      </x:c>
    </x:row>
    <x:row r="459">
      <x:c r="A459" s="4" t="str">
        <x:v>2021-22</x:v>
      </x:c>
      <x:c r="B459" s="20" t="n">
        <x:v>44604</x:v>
      </x:c>
      <x:c r="C459" s="4" t="str">
        <x:v>Watford</x:v>
      </x:c>
      <x:c r="D459" s="4" t="str">
        <x:v>Brighton</x:v>
      </x:c>
      <x:c r="E459" s="4" t="str">
        <x:v>Home</x:v>
      </x:c>
      <x:c r="F459" s="28" t="n">
        <x:v>0</x:v>
      </x:c>
      <x:c r="G459" s="28" t="n">
        <x:v>2</x:v>
      </x:c>
      <x:c r="H459" s="28" t="n">
        <x:v>9</x:v>
      </x:c>
      <x:c r="I459" s="28" t="n">
        <x:v>11</x:v>
      </x:c>
      <x:c r="J459" s="28" t="n">
        <x:v>1</x:v>
      </x:c>
      <x:c r="K459" s="28" t="n">
        <x:v>6</x:v>
      </x:c>
      <x:c r="L459" s="28" t="n">
        <x:v>4</x:v>
      </x:c>
      <x:c r="M459" s="28" t="n">
        <x:v>5</x:v>
      </x:c>
      <x:c r="N459" s="28" t="n">
        <x:v>3</x:v>
      </x:c>
      <x:c r="O459" s="28" t="n">
        <x:v>0</x:v>
      </x:c>
      <x:c r="P459" s="28" t="n">
        <x:v>0</x:v>
      </x:c>
      <x:c r="Q459" s="24" t="n">
        <x:f>IFERROR(J459/H459,0)</x:f>
        <x:v>0.1111111111111111</x:v>
      </x:c>
      <x:c r="R459" s="24" t="n">
        <x:f>IFERROR(F459/H459,0)</x:f>
        <x:v>0</x:v>
      </x:c>
      <x:c r="S459" s="24" t="n">
        <x:f>IFERROR(F459/J459,0)</x:f>
        <x:v>0</x:v>
      </x:c>
      <x:c r="T459" s="28" t="n">
        <x:f>H459-I459</x:f>
        <x:v>-2</x:v>
      </x:c>
      <x:c r="U459" s="24" t="n">
        <x:f>IFERROR(J459/H459,0)-IFERROR(K459/I459,0)</x:f>
        <x:v>-0.4343434343434343</x:v>
      </x:c>
      <x:c r="V459" s="24" t="n">
        <x:f>IFERROR(F459/J459,0)-IFERROR(G459/K459,0)</x:f>
        <x:v>-0.3333333333333333</x:v>
      </x:c>
      <x:c r="W459" s="28" t="n">
        <x:f>L459-M459</x:f>
        <x:v>-1</x:v>
      </x:c>
      <x:c r="X459" s="24" t="n">
        <x:f>IFERROR(K459/I459,0)</x:f>
        <x:v>0.5454545454545454</x:v>
      </x:c>
      <x:c r="Y459" s="24" t="n">
        <x:f>IFERROR(G459/I459,0)</x:f>
        <x:v>0.18181818181818182</x:v>
      </x:c>
      <x:c r="Z459" s="24" t="n">
        <x:f>IFERROR(G459/K459,0)</x:f>
        <x:v>0.3333333333333333</x:v>
      </x:c>
      <x:c r="AA459" s="24" t="n">
        <x:f>IFERROR(F459/H459,0)-IFERROR(G459/I459,0)</x:f>
        <x:v>-0.18181818181818182</x:v>
      </x:c>
      <x:c r="AB459" s="28" t="n">
        <x:f>J459-K459</x:f>
        <x:v>-5</x:v>
      </x:c>
      <x:c r="AC459" s="32" t="n">
        <x:f>F459-G459</x:f>
        <x:v>-2</x:v>
      </x:c>
    </x:row>
    <x:row r="460">
      <x:c r="A460" s="4" t="str">
        <x:v>2021-22</x:v>
      </x:c>
      <x:c r="B460" s="20" t="n">
        <x:v>44605</x:v>
      </x:c>
      <x:c r="C460" s="4" t="str">
        <x:v>Aston Villa</x:v>
      </x:c>
      <x:c r="D460" s="4" t="str">
        <x:v>Newcastle</x:v>
      </x:c>
      <x:c r="E460" s="4" t="str">
        <x:v>Away</x:v>
      </x:c>
      <x:c r="F460" s="28" t="n">
        <x:v>0</x:v>
      </x:c>
      <x:c r="G460" s="28" t="n">
        <x:v>1</x:v>
      </x:c>
      <x:c r="H460" s="28" t="n">
        <x:v>11</x:v>
      </x:c>
      <x:c r="I460" s="28" t="n">
        <x:v>10</x:v>
      </x:c>
      <x:c r="J460" s="28" t="n">
        <x:v>1</x:v>
      </x:c>
      <x:c r="K460" s="28" t="n">
        <x:v>2</x:v>
      </x:c>
      <x:c r="L460" s="28" t="n">
        <x:v>6</x:v>
      </x:c>
      <x:c r="M460" s="28" t="n">
        <x:v>3</x:v>
      </x:c>
      <x:c r="N460" s="28" t="n">
        <x:v>4</x:v>
      </x:c>
      <x:c r="O460" s="28" t="n">
        <x:v>0</x:v>
      </x:c>
      <x:c r="P460" s="28" t="n">
        <x:v>0</x:v>
      </x:c>
      <x:c r="Q460" s="24" t="n">
        <x:f>IFERROR(J460/H460,0)</x:f>
        <x:v>0.09090909090909091</x:v>
      </x:c>
      <x:c r="R460" s="24" t="n">
        <x:f>IFERROR(F460/H460,0)</x:f>
        <x:v>0</x:v>
      </x:c>
      <x:c r="S460" s="24" t="n">
        <x:f>IFERROR(F460/J460,0)</x:f>
        <x:v>0</x:v>
      </x:c>
      <x:c r="T460" s="28" t="n">
        <x:f>H460-I460</x:f>
        <x:v>1</x:v>
      </x:c>
      <x:c r="U460" s="24" t="n">
        <x:f>IFERROR(J460/H460,0)-IFERROR(K460/I460,0)</x:f>
        <x:v>-0.1090909090909091</x:v>
      </x:c>
      <x:c r="V460" s="24" t="n">
        <x:f>IFERROR(F460/J460,0)-IFERROR(G460/K460,0)</x:f>
        <x:v>-0.5</x:v>
      </x:c>
      <x:c r="W460" s="28" t="n">
        <x:f>L460-M460</x:f>
        <x:v>3</x:v>
      </x:c>
      <x:c r="X460" s="24" t="n">
        <x:f>IFERROR(K460/I460,0)</x:f>
        <x:v>0.2</x:v>
      </x:c>
      <x:c r="Y460" s="24" t="n">
        <x:f>IFERROR(G460/I460,0)</x:f>
        <x:v>0.1</x:v>
      </x:c>
      <x:c r="Z460" s="24" t="n">
        <x:f>IFERROR(G460/K460,0)</x:f>
        <x:v>0.5</x:v>
      </x:c>
      <x:c r="AA460" s="24" t="n">
        <x:f>IFERROR(F460/H460,0)-IFERROR(G460/I460,0)</x:f>
        <x:v>-0.1</x:v>
      </x:c>
      <x:c r="AB460" s="28" t="n">
        <x:f>J460-K460</x:f>
        <x:v>-1</x:v>
      </x:c>
      <x:c r="AC460" s="32" t="n">
        <x:f>F460-G460</x:f>
        <x:v>-1</x:v>
      </x:c>
    </x:row>
    <x:row r="461">
      <x:c r="A461" s="4" t="str">
        <x:v>2021-22</x:v>
      </x:c>
      <x:c r="B461" s="20" t="n">
        <x:v>44605</x:v>
      </x:c>
      <x:c r="C461" s="4" t="str">
        <x:v>Burnley</x:v>
      </x:c>
      <x:c r="D461" s="4" t="str">
        <x:v>Liverpool</x:v>
      </x:c>
      <x:c r="E461" s="4" t="str">
        <x:v>Home</x:v>
      </x:c>
      <x:c r="F461" s="28" t="n">
        <x:v>0</x:v>
      </x:c>
      <x:c r="G461" s="28" t="n">
        <x:v>1</x:v>
      </x:c>
      <x:c r="H461" s="28" t="n">
        <x:v>8</x:v>
      </x:c>
      <x:c r="I461" s="28" t="n">
        <x:v>12</x:v>
      </x:c>
      <x:c r="J461" s="28" t="n">
        <x:v>5</x:v>
      </x:c>
      <x:c r="K461" s="28" t="n">
        <x:v>4</x:v>
      </x:c>
      <x:c r="L461" s="28" t="n">
        <x:v>5</x:v>
      </x:c>
      <x:c r="M461" s="28" t="n">
        <x:v>8</x:v>
      </x:c>
      <x:c r="N461" s="28" t="n">
        <x:v>0</x:v>
      </x:c>
      <x:c r="O461" s="28" t="n">
        <x:v>0</x:v>
      </x:c>
      <x:c r="P461" s="28" t="n">
        <x:v>0</x:v>
      </x:c>
      <x:c r="Q461" s="24" t="n">
        <x:f>IFERROR(J461/H461,0)</x:f>
        <x:v>0.625</x:v>
      </x:c>
      <x:c r="R461" s="24" t="n">
        <x:f>IFERROR(F461/H461,0)</x:f>
        <x:v>0</x:v>
      </x:c>
      <x:c r="S461" s="24" t="n">
        <x:f>IFERROR(F461/J461,0)</x:f>
        <x:v>0</x:v>
      </x:c>
      <x:c r="T461" s="28" t="n">
        <x:f>H461-I461</x:f>
        <x:v>-4</x:v>
      </x:c>
      <x:c r="U461" s="24" t="n">
        <x:f>IFERROR(J461/H461,0)-IFERROR(K461/I461,0)</x:f>
        <x:v>0.2916666666666667</x:v>
      </x:c>
      <x:c r="V461" s="24" t="n">
        <x:f>IFERROR(F461/J461,0)-IFERROR(G461/K461,0)</x:f>
        <x:v>-0.25</x:v>
      </x:c>
      <x:c r="W461" s="28" t="n">
        <x:f>L461-M461</x:f>
        <x:v>-3</x:v>
      </x:c>
      <x:c r="X461" s="24" t="n">
        <x:f>IFERROR(K461/I461,0)</x:f>
        <x:v>0.3333333333333333</x:v>
      </x:c>
      <x:c r="Y461" s="24" t="n">
        <x:f>IFERROR(G461/I461,0)</x:f>
        <x:v>0.08333333333333333</x:v>
      </x:c>
      <x:c r="Z461" s="24" t="n">
        <x:f>IFERROR(G461/K461,0)</x:f>
        <x:v>0.25</x:v>
      </x:c>
      <x:c r="AA461" s="24" t="n">
        <x:f>IFERROR(F461/H461,0)-IFERROR(G461/I461,0)</x:f>
        <x:v>-0.08333333333333333</x:v>
      </x:c>
      <x:c r="AB461" s="28" t="n">
        <x:f>J461-K461</x:f>
        <x:v>1</x:v>
      </x:c>
      <x:c r="AC461" s="32" t="n">
        <x:f>F461-G461</x:f>
        <x:v>-1</x:v>
      </x:c>
    </x:row>
    <x:row r="462">
      <x:c r="A462" s="4" t="str">
        <x:v>2021-22</x:v>
      </x:c>
      <x:c r="B462" s="20" t="n">
        <x:v>44605</x:v>
      </x:c>
      <x:c r="C462" s="4" t="str">
        <x:v>Leicester</x:v>
      </x:c>
      <x:c r="D462" s="4" t="str">
        <x:v>West Ham</x:v>
      </x:c>
      <x:c r="E462" s="4" t="str">
        <x:v>Home</x:v>
      </x:c>
      <x:c r="F462" s="28" t="n">
        <x:v>2</x:v>
      </x:c>
      <x:c r="G462" s="28" t="n">
        <x:v>2</x:v>
      </x:c>
      <x:c r="H462" s="28" t="n">
        <x:v>13</x:v>
      </x:c>
      <x:c r="I462" s="28" t="n">
        <x:v>8</x:v>
      </x:c>
      <x:c r="J462" s="28" t="n">
        <x:v>2</x:v>
      </x:c>
      <x:c r="K462" s="28" t="n">
        <x:v>3</x:v>
      </x:c>
      <x:c r="L462" s="28" t="n">
        <x:v>5</x:v>
      </x:c>
      <x:c r="M462" s="28" t="n">
        <x:v>4</x:v>
      </x:c>
      <x:c r="N462" s="28" t="n">
        <x:v>1</x:v>
      </x:c>
      <x:c r="O462" s="28" t="n">
        <x:v>0</x:v>
      </x:c>
      <x:c r="P462" s="28" t="n">
        <x:v>1</x:v>
      </x:c>
      <x:c r="Q462" s="24" t="n">
        <x:f>IFERROR(J462/H462,0)</x:f>
        <x:v>0.15384615384615385</x:v>
      </x:c>
      <x:c r="R462" s="24" t="n">
        <x:f>IFERROR(F462/H462,0)</x:f>
        <x:v>0.15384615384615385</x:v>
      </x:c>
      <x:c r="S462" s="24" t="n">
        <x:f>IFERROR(F462/J462,0)</x:f>
        <x:v>1</x:v>
      </x:c>
      <x:c r="T462" s="28" t="n">
        <x:f>H462-I462</x:f>
        <x:v>5</x:v>
      </x:c>
      <x:c r="U462" s="24" t="n">
        <x:f>IFERROR(J462/H462,0)-IFERROR(K462/I462,0)</x:f>
        <x:v>-0.22115384615384615</x:v>
      </x:c>
      <x:c r="V462" s="24" t="n">
        <x:f>IFERROR(F462/J462,0)-IFERROR(G462/K462,0)</x:f>
        <x:v>0.33333333333333337</x:v>
      </x:c>
      <x:c r="W462" s="28" t="n">
        <x:f>L462-M462</x:f>
        <x:v>1</x:v>
      </x:c>
      <x:c r="X462" s="24" t="n">
        <x:f>IFERROR(K462/I462,0)</x:f>
        <x:v>0.375</x:v>
      </x:c>
      <x:c r="Y462" s="24" t="n">
        <x:f>IFERROR(G462/I462,0)</x:f>
        <x:v>0.25</x:v>
      </x:c>
      <x:c r="Z462" s="24" t="n">
        <x:f>IFERROR(G462/K462,0)</x:f>
        <x:v>0.6666666666666666</x:v>
      </x:c>
      <x:c r="AA462" s="24" t="n">
        <x:f>IFERROR(F462/H462,0)-IFERROR(G462/I462,0)</x:f>
        <x:v>-0.09615384615384615</x:v>
      </x:c>
      <x:c r="AB462" s="28" t="n">
        <x:f>J462-K462</x:f>
        <x:v>-1</x:v>
      </x:c>
      <x:c r="AC462" s="32" t="n">
        <x:f>F462-G462</x:f>
        <x:v>0</x:v>
      </x:c>
    </x:row>
    <x:row r="463">
      <x:c r="A463" s="4" t="str">
        <x:v>2021-22</x:v>
      </x:c>
      <x:c r="B463" s="20" t="n">
        <x:v>44605</x:v>
      </x:c>
      <x:c r="C463" s="4" t="str">
        <x:v>Liverpool</x:v>
      </x:c>
      <x:c r="D463" s="4" t="str">
        <x:v>Burnley</x:v>
      </x:c>
      <x:c r="E463" s="4" t="str">
        <x:v>Away</x:v>
      </x:c>
      <x:c r="F463" s="28" t="n">
        <x:v>1</x:v>
      </x:c>
      <x:c r="G463" s="28" t="n">
        <x:v>0</x:v>
      </x:c>
      <x:c r="H463" s="28" t="n">
        <x:v>12</x:v>
      </x:c>
      <x:c r="I463" s="28" t="n">
        <x:v>8</x:v>
      </x:c>
      <x:c r="J463" s="28" t="n">
        <x:v>4</x:v>
      </x:c>
      <x:c r="K463" s="28" t="n">
        <x:v>5</x:v>
      </x:c>
      <x:c r="L463" s="28" t="n">
        <x:v>8</x:v>
      </x:c>
      <x:c r="M463" s="28" t="n">
        <x:v>5</x:v>
      </x:c>
      <x:c r="N463" s="28" t="n">
        <x:v>1</x:v>
      </x:c>
      <x:c r="O463" s="28" t="n">
        <x:v>0</x:v>
      </x:c>
      <x:c r="P463" s="28" t="n">
        <x:v>3</x:v>
      </x:c>
      <x:c r="Q463" s="24" t="n">
        <x:f>IFERROR(J463/H463,0)</x:f>
        <x:v>0.3333333333333333</x:v>
      </x:c>
      <x:c r="R463" s="24" t="n">
        <x:f>IFERROR(F463/H463,0)</x:f>
        <x:v>0.08333333333333333</x:v>
      </x:c>
      <x:c r="S463" s="24" t="n">
        <x:f>IFERROR(F463/J463,0)</x:f>
        <x:v>0.25</x:v>
      </x:c>
      <x:c r="T463" s="28" t="n">
        <x:f>H463-I463</x:f>
        <x:v>4</x:v>
      </x:c>
      <x:c r="U463" s="24" t="n">
        <x:f>IFERROR(J463/H463,0)-IFERROR(K463/I463,0)</x:f>
        <x:v>-0.2916666666666667</x:v>
      </x:c>
      <x:c r="V463" s="24" t="n">
        <x:f>IFERROR(F463/J463,0)-IFERROR(G463/K463,0)</x:f>
        <x:v>0.25</x:v>
      </x:c>
      <x:c r="W463" s="28" t="n">
        <x:f>L463-M463</x:f>
        <x:v>3</x:v>
      </x:c>
      <x:c r="X463" s="24" t="n">
        <x:f>IFERROR(K463/I463,0)</x:f>
        <x:v>0.625</x:v>
      </x:c>
      <x:c r="Y463" s="24" t="n">
        <x:f>IFERROR(G463/I463,0)</x:f>
        <x:v>0</x:v>
      </x:c>
      <x:c r="Z463" s="24" t="n">
        <x:f>IFERROR(G463/K463,0)</x:f>
        <x:v>0</x:v>
      </x:c>
      <x:c r="AA463" s="24" t="n">
        <x:f>IFERROR(F463/H463,0)-IFERROR(G463/I463,0)</x:f>
        <x:v>0.08333333333333333</x:v>
      </x:c>
      <x:c r="AB463" s="28" t="n">
        <x:f>J463-K463</x:f>
        <x:v>-1</x:v>
      </x:c>
      <x:c r="AC463" s="32" t="n">
        <x:f>F463-G463</x:f>
        <x:v>1</x:v>
      </x:c>
    </x:row>
    <x:row r="464">
      <x:c r="A464" s="4" t="str">
        <x:v>2021-22</x:v>
      </x:c>
      <x:c r="B464" s="20" t="n">
        <x:v>44605</x:v>
      </x:c>
      <x:c r="C464" s="4" t="str">
        <x:v>Newcastle</x:v>
      </x:c>
      <x:c r="D464" s="4" t="str">
        <x:v>Aston Villa</x:v>
      </x:c>
      <x:c r="E464" s="4" t="str">
        <x:v>Home</x:v>
      </x:c>
      <x:c r="F464" s="28" t="n">
        <x:v>1</x:v>
      </x:c>
      <x:c r="G464" s="28" t="n">
        <x:v>0</x:v>
      </x:c>
      <x:c r="H464" s="28" t="n">
        <x:v>10</x:v>
      </x:c>
      <x:c r="I464" s="28" t="n">
        <x:v>11</x:v>
      </x:c>
      <x:c r="J464" s="28" t="n">
        <x:v>2</x:v>
      </x:c>
      <x:c r="K464" s="28" t="n">
        <x:v>1</x:v>
      </x:c>
      <x:c r="L464" s="28" t="n">
        <x:v>3</x:v>
      </x:c>
      <x:c r="M464" s="28" t="n">
        <x:v>6</x:v>
      </x:c>
      <x:c r="N464" s="28" t="n">
        <x:v>3</x:v>
      </x:c>
      <x:c r="O464" s="28" t="n">
        <x:v>0</x:v>
      </x:c>
      <x:c r="P464" s="28" t="n">
        <x:v>3</x:v>
      </x:c>
      <x:c r="Q464" s="24" t="n">
        <x:f>IFERROR(J464/H464,0)</x:f>
        <x:v>0.2</x:v>
      </x:c>
      <x:c r="R464" s="24" t="n">
        <x:f>IFERROR(F464/H464,0)</x:f>
        <x:v>0.1</x:v>
      </x:c>
      <x:c r="S464" s="24" t="n">
        <x:f>IFERROR(F464/J464,0)</x:f>
        <x:v>0.5</x:v>
      </x:c>
      <x:c r="T464" s="28" t="n">
        <x:f>H464-I464</x:f>
        <x:v>-1</x:v>
      </x:c>
      <x:c r="U464" s="24" t="n">
        <x:f>IFERROR(J464/H464,0)-IFERROR(K464/I464,0)</x:f>
        <x:v>0.1090909090909091</x:v>
      </x:c>
      <x:c r="V464" s="24" t="n">
        <x:f>IFERROR(F464/J464,0)-IFERROR(G464/K464,0)</x:f>
        <x:v>0.5</x:v>
      </x:c>
      <x:c r="W464" s="28" t="n">
        <x:f>L464-M464</x:f>
        <x:v>-3</x:v>
      </x:c>
      <x:c r="X464" s="24" t="n">
        <x:f>IFERROR(K464/I464,0)</x:f>
        <x:v>0.09090909090909091</x:v>
      </x:c>
      <x:c r="Y464" s="24" t="n">
        <x:f>IFERROR(G464/I464,0)</x:f>
        <x:v>0</x:v>
      </x:c>
      <x:c r="Z464" s="24" t="n">
        <x:f>IFERROR(G464/K464,0)</x:f>
        <x:v>0</x:v>
      </x:c>
      <x:c r="AA464" s="24" t="n">
        <x:f>IFERROR(F464/H464,0)-IFERROR(G464/I464,0)</x:f>
        <x:v>0.1</x:v>
      </x:c>
      <x:c r="AB464" s="28" t="n">
        <x:f>J464-K464</x:f>
        <x:v>1</x:v>
      </x:c>
      <x:c r="AC464" s="32" t="n">
        <x:f>F464-G464</x:f>
        <x:v>1</x:v>
      </x:c>
    </x:row>
    <x:row r="465">
      <x:c r="A465" s="4" t="str">
        <x:v>2021-22</x:v>
      </x:c>
      <x:c r="B465" s="20" t="n">
        <x:v>44605</x:v>
      </x:c>
      <x:c r="C465" s="4" t="str">
        <x:v>Tottenham</x:v>
      </x:c>
      <x:c r="D465" s="4" t="str">
        <x:v>Wolves</x:v>
      </x:c>
      <x:c r="E465" s="4" t="str">
        <x:v>Home</x:v>
      </x:c>
      <x:c r="F465" s="28" t="n">
        <x:v>0</x:v>
      </x:c>
      <x:c r="G465" s="28" t="n">
        <x:v>2</x:v>
      </x:c>
      <x:c r="H465" s="28" t="n">
        <x:v>17</x:v>
      </x:c>
      <x:c r="I465" s="28" t="n">
        <x:v>11</x:v>
      </x:c>
      <x:c r="J465" s="28" t="n">
        <x:v>7</x:v>
      </x:c>
      <x:c r="K465" s="28" t="n">
        <x:v>7</x:v>
      </x:c>
      <x:c r="L465" s="28" t="n">
        <x:v>7</x:v>
      </x:c>
      <x:c r="M465" s="28" t="n">
        <x:v>3</x:v>
      </x:c>
      <x:c r="N465" s="28" t="n">
        <x:v>3</x:v>
      </x:c>
      <x:c r="O465" s="28" t="n">
        <x:v>0</x:v>
      </x:c>
      <x:c r="P465" s="28" t="n">
        <x:v>0</x:v>
      </x:c>
      <x:c r="Q465" s="24" t="n">
        <x:f>IFERROR(J465/H465,0)</x:f>
        <x:v>0.4117647058823529</x:v>
      </x:c>
      <x:c r="R465" s="24" t="n">
        <x:f>IFERROR(F465/H465,0)</x:f>
        <x:v>0</x:v>
      </x:c>
      <x:c r="S465" s="24" t="n">
        <x:f>IFERROR(F465/J465,0)</x:f>
        <x:v>0</x:v>
      </x:c>
      <x:c r="T465" s="28" t="n">
        <x:f>H465-I465</x:f>
        <x:v>6</x:v>
      </x:c>
      <x:c r="U465" s="24" t="n">
        <x:f>IFERROR(J465/H465,0)-IFERROR(K465/I465,0)</x:f>
        <x:v>-0.22459893048128343</x:v>
      </x:c>
      <x:c r="V465" s="24" t="n">
        <x:f>IFERROR(F465/J465,0)-IFERROR(G465/K465,0)</x:f>
        <x:v>-0.2857142857142857</x:v>
      </x:c>
      <x:c r="W465" s="28" t="n">
        <x:f>L465-M465</x:f>
        <x:v>4</x:v>
      </x:c>
      <x:c r="X465" s="24" t="n">
        <x:f>IFERROR(K465/I465,0)</x:f>
        <x:v>0.6363636363636364</x:v>
      </x:c>
      <x:c r="Y465" s="24" t="n">
        <x:f>IFERROR(G465/I465,0)</x:f>
        <x:v>0.18181818181818182</x:v>
      </x:c>
      <x:c r="Z465" s="24" t="n">
        <x:f>IFERROR(G465/K465,0)</x:f>
        <x:v>0.2857142857142857</x:v>
      </x:c>
      <x:c r="AA465" s="24" t="n">
        <x:f>IFERROR(F465/H465,0)-IFERROR(G465/I465,0)</x:f>
        <x:v>-0.18181818181818182</x:v>
      </x:c>
      <x:c r="AB465" s="28" t="n">
        <x:f>J465-K465</x:f>
        <x:v>0</x:v>
      </x:c>
      <x:c r="AC465" s="32" t="n">
        <x:f>F465-G465</x:f>
        <x:v>-2</x:v>
      </x:c>
    </x:row>
    <x:row r="466">
      <x:c r="A466" s="4" t="str">
        <x:v>2021-22</x:v>
      </x:c>
      <x:c r="B466" s="20" t="n">
        <x:v>44605</x:v>
      </x:c>
      <x:c r="C466" s="4" t="str">
        <x:v>West Ham</x:v>
      </x:c>
      <x:c r="D466" s="4" t="str">
        <x:v>Leicester</x:v>
      </x:c>
      <x:c r="E466" s="4" t="str">
        <x:v>Away</x:v>
      </x:c>
      <x:c r="F466" s="28" t="n">
        <x:v>2</x:v>
      </x:c>
      <x:c r="G466" s="28" t="n">
        <x:v>2</x:v>
      </x:c>
      <x:c r="H466" s="28" t="n">
        <x:v>8</x:v>
      </x:c>
      <x:c r="I466" s="28" t="n">
        <x:v>13</x:v>
      </x:c>
      <x:c r="J466" s="28" t="n">
        <x:v>3</x:v>
      </x:c>
      <x:c r="K466" s="28" t="n">
        <x:v>2</x:v>
      </x:c>
      <x:c r="L466" s="28" t="n">
        <x:v>4</x:v>
      </x:c>
      <x:c r="M466" s="28" t="n">
        <x:v>5</x:v>
      </x:c>
      <x:c r="N466" s="28" t="n">
        <x:v>2</x:v>
      </x:c>
      <x:c r="O466" s="28" t="n">
        <x:v>0</x:v>
      </x:c>
      <x:c r="P466" s="28" t="n">
        <x:v>1</x:v>
      </x:c>
      <x:c r="Q466" s="24" t="n">
        <x:f>IFERROR(J466/H466,0)</x:f>
        <x:v>0.375</x:v>
      </x:c>
      <x:c r="R466" s="24" t="n">
        <x:f>IFERROR(F466/H466,0)</x:f>
        <x:v>0.25</x:v>
      </x:c>
      <x:c r="S466" s="24" t="n">
        <x:f>IFERROR(F466/J466,0)</x:f>
        <x:v>0.6666666666666666</x:v>
      </x:c>
      <x:c r="T466" s="28" t="n">
        <x:f>H466-I466</x:f>
        <x:v>-5</x:v>
      </x:c>
      <x:c r="U466" s="24" t="n">
        <x:f>IFERROR(J466/H466,0)-IFERROR(K466/I466,0)</x:f>
        <x:v>0.22115384615384615</x:v>
      </x:c>
      <x:c r="V466" s="24" t="n">
        <x:f>IFERROR(F466/J466,0)-IFERROR(G466/K466,0)</x:f>
        <x:v>-0.33333333333333337</x:v>
      </x:c>
      <x:c r="W466" s="28" t="n">
        <x:f>L466-M466</x:f>
        <x:v>-1</x:v>
      </x:c>
      <x:c r="X466" s="24" t="n">
        <x:f>IFERROR(K466/I466,0)</x:f>
        <x:v>0.15384615384615385</x:v>
      </x:c>
      <x:c r="Y466" s="24" t="n">
        <x:f>IFERROR(G466/I466,0)</x:f>
        <x:v>0.15384615384615385</x:v>
      </x:c>
      <x:c r="Z466" s="24" t="n">
        <x:f>IFERROR(G466/K466,0)</x:f>
        <x:v>1</x:v>
      </x:c>
      <x:c r="AA466" s="24" t="n">
        <x:f>IFERROR(F466/H466,0)-IFERROR(G466/I466,0)</x:f>
        <x:v>0.09615384615384615</x:v>
      </x:c>
      <x:c r="AB466" s="28" t="n">
        <x:f>J466-K466</x:f>
        <x:v>1</x:v>
      </x:c>
      <x:c r="AC466" s="32" t="n">
        <x:f>F466-G466</x:f>
        <x:v>0</x:v>
      </x:c>
    </x:row>
    <x:row r="467">
      <x:c r="A467" s="4" t="str">
        <x:v>2021-22</x:v>
      </x:c>
      <x:c r="B467" s="20" t="n">
        <x:v>44605</x:v>
      </x:c>
      <x:c r="C467" s="4" t="str">
        <x:v>Wolves</x:v>
      </x:c>
      <x:c r="D467" s="4" t="str">
        <x:v>Tottenham</x:v>
      </x:c>
      <x:c r="E467" s="4" t="str">
        <x:v>Away</x:v>
      </x:c>
      <x:c r="F467" s="28" t="n">
        <x:v>2</x:v>
      </x:c>
      <x:c r="G467" s="28" t="n">
        <x:v>0</x:v>
      </x:c>
      <x:c r="H467" s="28" t="n">
        <x:v>11</x:v>
      </x:c>
      <x:c r="I467" s="28" t="n">
        <x:v>17</x:v>
      </x:c>
      <x:c r="J467" s="28" t="n">
        <x:v>7</x:v>
      </x:c>
      <x:c r="K467" s="28" t="n">
        <x:v>7</x:v>
      </x:c>
      <x:c r="L467" s="28" t="n">
        <x:v>3</x:v>
      </x:c>
      <x:c r="M467" s="28" t="n">
        <x:v>7</x:v>
      </x:c>
      <x:c r="N467" s="28" t="n">
        <x:v>1</x:v>
      </x:c>
      <x:c r="O467" s="28" t="n">
        <x:v>0</x:v>
      </x:c>
      <x:c r="P467" s="28" t="n">
        <x:v>3</x:v>
      </x:c>
      <x:c r="Q467" s="24" t="n">
        <x:f>IFERROR(J467/H467,0)</x:f>
        <x:v>0.6363636363636364</x:v>
      </x:c>
      <x:c r="R467" s="24" t="n">
        <x:f>IFERROR(F467/H467,0)</x:f>
        <x:v>0.18181818181818182</x:v>
      </x:c>
      <x:c r="S467" s="24" t="n">
        <x:f>IFERROR(F467/J467,0)</x:f>
        <x:v>0.2857142857142857</x:v>
      </x:c>
      <x:c r="T467" s="28" t="n">
        <x:f>H467-I467</x:f>
        <x:v>-6</x:v>
      </x:c>
      <x:c r="U467" s="24" t="n">
        <x:f>IFERROR(J467/H467,0)-IFERROR(K467/I467,0)</x:f>
        <x:v>0.22459893048128343</x:v>
      </x:c>
      <x:c r="V467" s="24" t="n">
        <x:f>IFERROR(F467/J467,0)-IFERROR(G467/K467,0)</x:f>
        <x:v>0.2857142857142857</x:v>
      </x:c>
      <x:c r="W467" s="28" t="n">
        <x:f>L467-M467</x:f>
        <x:v>-4</x:v>
      </x:c>
      <x:c r="X467" s="24" t="n">
        <x:f>IFERROR(K467/I467,0)</x:f>
        <x:v>0.4117647058823529</x:v>
      </x:c>
      <x:c r="Y467" s="24" t="n">
        <x:f>IFERROR(G467/I467,0)</x:f>
        <x:v>0</x:v>
      </x:c>
      <x:c r="Z467" s="24" t="n">
        <x:f>IFERROR(G467/K467,0)</x:f>
        <x:v>0</x:v>
      </x:c>
      <x:c r="AA467" s="24" t="n">
        <x:f>IFERROR(F467/H467,0)-IFERROR(G467/I467,0)</x:f>
        <x:v>0.18181818181818182</x:v>
      </x:c>
      <x:c r="AB467" s="28" t="n">
        <x:f>J467-K467</x:f>
        <x:v>0</x:v>
      </x:c>
      <x:c r="AC467" s="32" t="n">
        <x:f>F467-G467</x:f>
        <x:v>2</x:v>
      </x:c>
    </x:row>
    <x:row r="468">
      <x:c r="A468" s="4" t="str">
        <x:v>2021-22</x:v>
      </x:c>
      <x:c r="B468" s="20" t="n">
        <x:v>44607</x:v>
      </x:c>
      <x:c r="C468" s="4" t="str">
        <x:v>Brighton</x:v>
      </x:c>
      <x:c r="D468" s="4" t="str">
        <x:v>Man United</x:v>
      </x:c>
      <x:c r="E468" s="4" t="str">
        <x:v>Away</x:v>
      </x:c>
      <x:c r="F468" s="28" t="n">
        <x:v>0</x:v>
      </x:c>
      <x:c r="G468" s="28" t="n">
        <x:v>2</x:v>
      </x:c>
      <x:c r="H468" s="28" t="n">
        <x:v>10</x:v>
      </x:c>
      <x:c r="I468" s="28" t="n">
        <x:v>19</x:v>
      </x:c>
      <x:c r="J468" s="28" t="n">
        <x:v>3</x:v>
      </x:c>
      <x:c r="K468" s="28" t="n">
        <x:v>7</x:v>
      </x:c>
      <x:c r="L468" s="28" t="n">
        <x:v>2</x:v>
      </x:c>
      <x:c r="M468" s="28" t="n">
        <x:v>10</x:v>
      </x:c>
      <x:c r="N468" s="28" t="n">
        <x:v>1</x:v>
      </x:c>
      <x:c r="O468" s="28" t="n">
        <x:v>1</x:v>
      </x:c>
      <x:c r="P468" s="28" t="n">
        <x:v>0</x:v>
      </x:c>
      <x:c r="Q468" s="24" t="n">
        <x:f>IFERROR(J468/H468,0)</x:f>
        <x:v>0.3</x:v>
      </x:c>
      <x:c r="R468" s="24" t="n">
        <x:f>IFERROR(F468/H468,0)</x:f>
        <x:v>0</x:v>
      </x:c>
      <x:c r="S468" s="24" t="n">
        <x:f>IFERROR(F468/J468,0)</x:f>
        <x:v>0</x:v>
      </x:c>
      <x:c r="T468" s="28" t="n">
        <x:f>H468-I468</x:f>
        <x:v>-9</x:v>
      </x:c>
      <x:c r="U468" s="24" t="n">
        <x:f>IFERROR(J468/H468,0)-IFERROR(K468/I468,0)</x:f>
        <x:v>-0.06842105263157894</x:v>
      </x:c>
      <x:c r="V468" s="24" t="n">
        <x:f>IFERROR(F468/J468,0)-IFERROR(G468/K468,0)</x:f>
        <x:v>-0.2857142857142857</x:v>
      </x:c>
      <x:c r="W468" s="28" t="n">
        <x:f>L468-M468</x:f>
        <x:v>-8</x:v>
      </x:c>
      <x:c r="X468" s="24" t="n">
        <x:f>IFERROR(K468/I468,0)</x:f>
        <x:v>0.3684210526315789</x:v>
      </x:c>
      <x:c r="Y468" s="24" t="n">
        <x:f>IFERROR(G468/I468,0)</x:f>
        <x:v>0.10526315789473684</x:v>
      </x:c>
      <x:c r="Z468" s="24" t="n">
        <x:f>IFERROR(G468/K468,0)</x:f>
        <x:v>0.2857142857142857</x:v>
      </x:c>
      <x:c r="AA468" s="24" t="n">
        <x:f>IFERROR(F468/H468,0)-IFERROR(G468/I468,0)</x:f>
        <x:v>-0.10526315789473684</x:v>
      </x:c>
      <x:c r="AB468" s="28" t="n">
        <x:f>J468-K468</x:f>
        <x:v>-4</x:v>
      </x:c>
      <x:c r="AC468" s="32" t="n">
        <x:f>F468-G468</x:f>
        <x:v>-2</x:v>
      </x:c>
    </x:row>
    <x:row r="469">
      <x:c r="A469" s="4" t="str">
        <x:v>2021-22</x:v>
      </x:c>
      <x:c r="B469" s="20" t="n">
        <x:v>44607</x:v>
      </x:c>
      <x:c r="C469" s="4" t="str">
        <x:v>Man United</x:v>
      </x:c>
      <x:c r="D469" s="4" t="str">
        <x:v>Brighton</x:v>
      </x:c>
      <x:c r="E469" s="4" t="str">
        <x:v>Home</x:v>
      </x:c>
      <x:c r="F469" s="28" t="n">
        <x:v>2</x:v>
      </x:c>
      <x:c r="G469" s="28" t="n">
        <x:v>0</x:v>
      </x:c>
      <x:c r="H469" s="28" t="n">
        <x:v>19</x:v>
      </x:c>
      <x:c r="I469" s="28" t="n">
        <x:v>10</x:v>
      </x:c>
      <x:c r="J469" s="28" t="n">
        <x:v>7</x:v>
      </x:c>
      <x:c r="K469" s="28" t="n">
        <x:v>3</x:v>
      </x:c>
      <x:c r="L469" s="28" t="n">
        <x:v>10</x:v>
      </x:c>
      <x:c r="M469" s="28" t="n">
        <x:v>2</x:v>
      </x:c>
      <x:c r="N469" s="28" t="n">
        <x:v>3</x:v>
      </x:c>
      <x:c r="O469" s="28" t="n">
        <x:v>0</x:v>
      </x:c>
      <x:c r="P469" s="28" t="n">
        <x:v>3</x:v>
      </x:c>
      <x:c r="Q469" s="24" t="n">
        <x:f>IFERROR(J469/H469,0)</x:f>
        <x:v>0.3684210526315789</x:v>
      </x:c>
      <x:c r="R469" s="24" t="n">
        <x:f>IFERROR(F469/H469,0)</x:f>
        <x:v>0.10526315789473684</x:v>
      </x:c>
      <x:c r="S469" s="24" t="n">
        <x:f>IFERROR(F469/J469,0)</x:f>
        <x:v>0.2857142857142857</x:v>
      </x:c>
      <x:c r="T469" s="28" t="n">
        <x:f>H469-I469</x:f>
        <x:v>9</x:v>
      </x:c>
      <x:c r="U469" s="24" t="n">
        <x:f>IFERROR(J469/H469,0)-IFERROR(K469/I469,0)</x:f>
        <x:v>0.06842105263157894</x:v>
      </x:c>
      <x:c r="V469" s="24" t="n">
        <x:f>IFERROR(F469/J469,0)-IFERROR(G469/K469,0)</x:f>
        <x:v>0.2857142857142857</x:v>
      </x:c>
      <x:c r="W469" s="28" t="n">
        <x:f>L469-M469</x:f>
        <x:v>8</x:v>
      </x:c>
      <x:c r="X469" s="24" t="n">
        <x:f>IFERROR(K469/I469,0)</x:f>
        <x:v>0.3</x:v>
      </x:c>
      <x:c r="Y469" s="24" t="n">
        <x:f>IFERROR(G469/I469,0)</x:f>
        <x:v>0</x:v>
      </x:c>
      <x:c r="Z469" s="24" t="n">
        <x:f>IFERROR(G469/K469,0)</x:f>
        <x:v>0</x:v>
      </x:c>
      <x:c r="AA469" s="24" t="n">
        <x:f>IFERROR(F469/H469,0)-IFERROR(G469/I469,0)</x:f>
        <x:v>0.10526315789473684</x:v>
      </x:c>
      <x:c r="AB469" s="28" t="n">
        <x:f>J469-K469</x:f>
        <x:v>4</x:v>
      </x:c>
      <x:c r="AC469" s="32" t="n">
        <x:f>F469-G469</x:f>
        <x:v>2</x:v>
      </x:c>
    </x:row>
    <x:row r="470">
      <x:c r="A470" s="4" t="str">
        <x:v>2021-22</x:v>
      </x:c>
      <x:c r="B470" s="20" t="n">
        <x:v>44611</x:v>
      </x:c>
      <x:c r="C470" s="4" t="str">
        <x:v>Arsenal</x:v>
      </x:c>
      <x:c r="D470" s="4" t="str">
        <x:v>Brentford</x:v>
      </x:c>
      <x:c r="E470" s="4" t="str">
        <x:v>Home</x:v>
      </x:c>
      <x:c r="F470" s="28" t="n">
        <x:v>2</x:v>
      </x:c>
      <x:c r="G470" s="28" t="n">
        <x:v>1</x:v>
      </x:c>
      <x:c r="H470" s="28" t="n">
        <x:v>24</x:v>
      </x:c>
      <x:c r="I470" s="28" t="n">
        <x:v>6</x:v>
      </x:c>
      <x:c r="J470" s="28" t="n">
        <x:v>8</x:v>
      </x:c>
      <x:c r="K470" s="28" t="n">
        <x:v>2</x:v>
      </x:c>
      <x:c r="L470" s="28" t="n">
        <x:v>14</x:v>
      </x:c>
      <x:c r="M470" s="28" t="n">
        <x:v>0</x:v>
      </x:c>
      <x:c r="N470" s="28" t="n">
        <x:v>1</x:v>
      </x:c>
      <x:c r="O470" s="28" t="n">
        <x:v>0</x:v>
      </x:c>
      <x:c r="P470" s="28" t="n">
        <x:v>3</x:v>
      </x:c>
      <x:c r="Q470" s="24" t="n">
        <x:f>IFERROR(J470/H470,0)</x:f>
        <x:v>0.3333333333333333</x:v>
      </x:c>
      <x:c r="R470" s="24" t="n">
        <x:f>IFERROR(F470/H470,0)</x:f>
        <x:v>0.08333333333333333</x:v>
      </x:c>
      <x:c r="S470" s="24" t="n">
        <x:f>IFERROR(F470/J470,0)</x:f>
        <x:v>0.25</x:v>
      </x:c>
      <x:c r="T470" s="28" t="n">
        <x:f>H470-I470</x:f>
        <x:v>18</x:v>
      </x:c>
      <x:c r="U470" s="24" t="n">
        <x:f>IFERROR(J470/H470,0)-IFERROR(K470/I470,0)</x:f>
        <x:v>0</x:v>
      </x:c>
      <x:c r="V470" s="24" t="n">
        <x:f>IFERROR(F470/J470,0)-IFERROR(G470/K470,0)</x:f>
        <x:v>-0.25</x:v>
      </x:c>
      <x:c r="W470" s="28" t="n">
        <x:f>L470-M470</x:f>
        <x:v>14</x:v>
      </x:c>
      <x:c r="X470" s="24" t="n">
        <x:f>IFERROR(K470/I470,0)</x:f>
        <x:v>0.3333333333333333</x:v>
      </x:c>
      <x:c r="Y470" s="24" t="n">
        <x:f>IFERROR(G470/I470,0)</x:f>
        <x:v>0.16666666666666666</x:v>
      </x:c>
      <x:c r="Z470" s="24" t="n">
        <x:f>IFERROR(G470/K470,0)</x:f>
        <x:v>0.5</x:v>
      </x:c>
      <x:c r="AA470" s="24" t="n">
        <x:f>IFERROR(F470/H470,0)-IFERROR(G470/I470,0)</x:f>
        <x:v>-0.08333333333333333</x:v>
      </x:c>
      <x:c r="AB470" s="28" t="n">
        <x:f>J470-K470</x:f>
        <x:v>6</x:v>
      </x:c>
      <x:c r="AC470" s="32" t="n">
        <x:f>F470-G470</x:f>
        <x:v>1</x:v>
      </x:c>
    </x:row>
    <x:row r="471">
      <x:c r="A471" s="4" t="str">
        <x:v>2021-22</x:v>
      </x:c>
      <x:c r="B471" s="20" t="n">
        <x:v>44611</x:v>
      </x:c>
      <x:c r="C471" s="4" t="str">
        <x:v>Aston Villa</x:v>
      </x:c>
      <x:c r="D471" s="4" t="str">
        <x:v>Watford</x:v>
      </x:c>
      <x:c r="E471" s="4" t="str">
        <x:v>Home</x:v>
      </x:c>
      <x:c r="F471" s="28" t="n">
        <x:v>0</x:v>
      </x:c>
      <x:c r="G471" s="28" t="n">
        <x:v>1</x:v>
      </x:c>
      <x:c r="H471" s="28" t="n">
        <x:v>20</x:v>
      </x:c>
      <x:c r="I471" s="28" t="n">
        <x:v>8</x:v>
      </x:c>
      <x:c r="J471" s="28" t="n">
        <x:v>1</x:v>
      </x:c>
      <x:c r="K471" s="28" t="n">
        <x:v>4</x:v>
      </x:c>
      <x:c r="L471" s="28" t="n">
        <x:v>10</x:v>
      </x:c>
      <x:c r="M471" s="28" t="n">
        <x:v>5</x:v>
      </x:c>
      <x:c r="N471" s="28" t="n">
        <x:v>1</x:v>
      </x:c>
      <x:c r="O471" s="28" t="n">
        <x:v>0</x:v>
      </x:c>
      <x:c r="P471" s="28" t="n">
        <x:v>0</x:v>
      </x:c>
      <x:c r="Q471" s="24" t="n">
        <x:f>IFERROR(J471/H471,0)</x:f>
        <x:v>0.05</x:v>
      </x:c>
      <x:c r="R471" s="24" t="n">
        <x:f>IFERROR(F471/H471,0)</x:f>
        <x:v>0</x:v>
      </x:c>
      <x:c r="S471" s="24" t="n">
        <x:f>IFERROR(F471/J471,0)</x:f>
        <x:v>0</x:v>
      </x:c>
      <x:c r="T471" s="28" t="n">
        <x:f>H471-I471</x:f>
        <x:v>12</x:v>
      </x:c>
      <x:c r="U471" s="24" t="n">
        <x:f>IFERROR(J471/H471,0)-IFERROR(K471/I471,0)</x:f>
        <x:v>-0.45</x:v>
      </x:c>
      <x:c r="V471" s="24" t="n">
        <x:f>IFERROR(F471/J471,0)-IFERROR(G471/K471,0)</x:f>
        <x:v>-0.25</x:v>
      </x:c>
      <x:c r="W471" s="28" t="n">
        <x:f>L471-M471</x:f>
        <x:v>5</x:v>
      </x:c>
      <x:c r="X471" s="24" t="n">
        <x:f>IFERROR(K471/I471,0)</x:f>
        <x:v>0.5</x:v>
      </x:c>
      <x:c r="Y471" s="24" t="n">
        <x:f>IFERROR(G471/I471,0)</x:f>
        <x:v>0.125</x:v>
      </x:c>
      <x:c r="Z471" s="24" t="n">
        <x:f>IFERROR(G471/K471,0)</x:f>
        <x:v>0.25</x:v>
      </x:c>
      <x:c r="AA471" s="24" t="n">
        <x:f>IFERROR(F471/H471,0)-IFERROR(G471/I471,0)</x:f>
        <x:v>-0.125</x:v>
      </x:c>
      <x:c r="AB471" s="28" t="n">
        <x:f>J471-K471</x:f>
        <x:v>-3</x:v>
      </x:c>
      <x:c r="AC471" s="32" t="n">
        <x:f>F471-G471</x:f>
        <x:v>-1</x:v>
      </x:c>
    </x:row>
    <x:row r="472">
      <x:c r="A472" s="4" t="str">
        <x:v>2021-22</x:v>
      </x:c>
      <x:c r="B472" s="20" t="n">
        <x:v>44611</x:v>
      </x:c>
      <x:c r="C472" s="4" t="str">
        <x:v>Brentford</x:v>
      </x:c>
      <x:c r="D472" s="4" t="str">
        <x:v>Arsenal</x:v>
      </x:c>
      <x:c r="E472" s="4" t="str">
        <x:v>Away</x:v>
      </x:c>
      <x:c r="F472" s="28" t="n">
        <x:v>1</x:v>
      </x:c>
      <x:c r="G472" s="28" t="n">
        <x:v>2</x:v>
      </x:c>
      <x:c r="H472" s="28" t="n">
        <x:v>6</x:v>
      </x:c>
      <x:c r="I472" s="28" t="n">
        <x:v>24</x:v>
      </x:c>
      <x:c r="J472" s="28" t="n">
        <x:v>2</x:v>
      </x:c>
      <x:c r="K472" s="28" t="n">
        <x:v>8</x:v>
      </x:c>
      <x:c r="L472" s="28" t="n">
        <x:v>0</x:v>
      </x:c>
      <x:c r="M472" s="28" t="n">
        <x:v>14</x:v>
      </x:c>
      <x:c r="N472" s="28" t="n">
        <x:v>1</x:v>
      </x:c>
      <x:c r="O472" s="28" t="n">
        <x:v>0</x:v>
      </x:c>
      <x:c r="P472" s="28" t="n">
        <x:v>0</x:v>
      </x:c>
      <x:c r="Q472" s="24" t="n">
        <x:f>IFERROR(J472/H472,0)</x:f>
        <x:v>0.3333333333333333</x:v>
      </x:c>
      <x:c r="R472" s="24" t="n">
        <x:f>IFERROR(F472/H472,0)</x:f>
        <x:v>0.16666666666666666</x:v>
      </x:c>
      <x:c r="S472" s="24" t="n">
        <x:f>IFERROR(F472/J472,0)</x:f>
        <x:v>0.5</x:v>
      </x:c>
      <x:c r="T472" s="28" t="n">
        <x:f>H472-I472</x:f>
        <x:v>-18</x:v>
      </x:c>
      <x:c r="U472" s="24" t="n">
        <x:f>IFERROR(J472/H472,0)-IFERROR(K472/I472,0)</x:f>
        <x:v>0</x:v>
      </x:c>
      <x:c r="V472" s="24" t="n">
        <x:f>IFERROR(F472/J472,0)-IFERROR(G472/K472,0)</x:f>
        <x:v>0.25</x:v>
      </x:c>
      <x:c r="W472" s="28" t="n">
        <x:f>L472-M472</x:f>
        <x:v>-14</x:v>
      </x:c>
      <x:c r="X472" s="24" t="n">
        <x:f>IFERROR(K472/I472,0)</x:f>
        <x:v>0.3333333333333333</x:v>
      </x:c>
      <x:c r="Y472" s="24" t="n">
        <x:f>IFERROR(G472/I472,0)</x:f>
        <x:v>0.08333333333333333</x:v>
      </x:c>
      <x:c r="Z472" s="24" t="n">
        <x:f>IFERROR(G472/K472,0)</x:f>
        <x:v>0.25</x:v>
      </x:c>
      <x:c r="AA472" s="24" t="n">
        <x:f>IFERROR(F472/H472,0)-IFERROR(G472/I472,0)</x:f>
        <x:v>0.08333333333333333</x:v>
      </x:c>
      <x:c r="AB472" s="28" t="n">
        <x:f>J472-K472</x:f>
        <x:v>-6</x:v>
      </x:c>
      <x:c r="AC472" s="32" t="n">
        <x:f>F472-G472</x:f>
        <x:v>-1</x:v>
      </x:c>
    </x:row>
    <x:row r="473">
      <x:c r="A473" s="4" t="str">
        <x:v>2021-22</x:v>
      </x:c>
      <x:c r="B473" s="20" t="n">
        <x:v>44611</x:v>
      </x:c>
      <x:c r="C473" s="4" t="str">
        <x:v>Brighton</x:v>
      </x:c>
      <x:c r="D473" s="4" t="str">
        <x:v>Burnley</x:v>
      </x:c>
      <x:c r="E473" s="4" t="str">
        <x:v>Home</x:v>
      </x:c>
      <x:c r="F473" s="28" t="n">
        <x:v>0</x:v>
      </x:c>
      <x:c r="G473" s="28" t="n">
        <x:v>3</x:v>
      </x:c>
      <x:c r="H473" s="28" t="n">
        <x:v>11</x:v>
      </x:c>
      <x:c r="I473" s="28" t="n">
        <x:v>10</x:v>
      </x:c>
      <x:c r="J473" s="28" t="n">
        <x:v>1</x:v>
      </x:c>
      <x:c r="K473" s="28" t="n">
        <x:v>4</x:v>
      </x:c>
      <x:c r="L473" s="28" t="n">
        <x:v>4</x:v>
      </x:c>
      <x:c r="M473" s="28" t="n">
        <x:v>4</x:v>
      </x:c>
      <x:c r="N473" s="28" t="n">
        <x:v>1</x:v>
      </x:c>
      <x:c r="O473" s="28" t="n">
        <x:v>0</x:v>
      </x:c>
      <x:c r="P473" s="28" t="n">
        <x:v>0</x:v>
      </x:c>
      <x:c r="Q473" s="24" t="n">
        <x:f>IFERROR(J473/H473,0)</x:f>
        <x:v>0.09090909090909091</x:v>
      </x:c>
      <x:c r="R473" s="24" t="n">
        <x:f>IFERROR(F473/H473,0)</x:f>
        <x:v>0</x:v>
      </x:c>
      <x:c r="S473" s="24" t="n">
        <x:f>IFERROR(F473/J473,0)</x:f>
        <x:v>0</x:v>
      </x:c>
      <x:c r="T473" s="28" t="n">
        <x:f>H473-I473</x:f>
        <x:v>1</x:v>
      </x:c>
      <x:c r="U473" s="24" t="n">
        <x:f>IFERROR(J473/H473,0)-IFERROR(K473/I473,0)</x:f>
        <x:v>-0.3090909090909091</x:v>
      </x:c>
      <x:c r="V473" s="24" t="n">
        <x:f>IFERROR(F473/J473,0)-IFERROR(G473/K473,0)</x:f>
        <x:v>-0.75</x:v>
      </x:c>
      <x:c r="W473" s="28" t="n">
        <x:f>L473-M473</x:f>
        <x:v>0</x:v>
      </x:c>
      <x:c r="X473" s="24" t="n">
        <x:f>IFERROR(K473/I473,0)</x:f>
        <x:v>0.4</x:v>
      </x:c>
      <x:c r="Y473" s="24" t="n">
        <x:f>IFERROR(G473/I473,0)</x:f>
        <x:v>0.3</x:v>
      </x:c>
      <x:c r="Z473" s="24" t="n">
        <x:f>IFERROR(G473/K473,0)</x:f>
        <x:v>0.75</x:v>
      </x:c>
      <x:c r="AA473" s="24" t="n">
        <x:f>IFERROR(F473/H473,0)-IFERROR(G473/I473,0)</x:f>
        <x:v>-0.3</x:v>
      </x:c>
      <x:c r="AB473" s="28" t="n">
        <x:f>J473-K473</x:f>
        <x:v>-3</x:v>
      </x:c>
      <x:c r="AC473" s="32" t="n">
        <x:f>F473-G473</x:f>
        <x:v>-3</x:v>
      </x:c>
    </x:row>
    <x:row r="474">
      <x:c r="A474" s="4" t="str">
        <x:v>2021-22</x:v>
      </x:c>
      <x:c r="B474" s="20" t="n">
        <x:v>44611</x:v>
      </x:c>
      <x:c r="C474" s="4" t="str">
        <x:v>Burnley</x:v>
      </x:c>
      <x:c r="D474" s="4" t="str">
        <x:v>Brighton</x:v>
      </x:c>
      <x:c r="E474" s="4" t="str">
        <x:v>Away</x:v>
      </x:c>
      <x:c r="F474" s="28" t="n">
        <x:v>3</x:v>
      </x:c>
      <x:c r="G474" s="28" t="n">
        <x:v>0</x:v>
      </x:c>
      <x:c r="H474" s="28" t="n">
        <x:v>10</x:v>
      </x:c>
      <x:c r="I474" s="28" t="n">
        <x:v>11</x:v>
      </x:c>
      <x:c r="J474" s="28" t="n">
        <x:v>4</x:v>
      </x:c>
      <x:c r="K474" s="28" t="n">
        <x:v>1</x:v>
      </x:c>
      <x:c r="L474" s="28" t="n">
        <x:v>4</x:v>
      </x:c>
      <x:c r="M474" s="28" t="n">
        <x:v>4</x:v>
      </x:c>
      <x:c r="N474" s="28" t="n">
        <x:v>4</x:v>
      </x:c>
      <x:c r="O474" s="28" t="n">
        <x:v>0</x:v>
      </x:c>
      <x:c r="P474" s="28" t="n">
        <x:v>3</x:v>
      </x:c>
      <x:c r="Q474" s="24" t="n">
        <x:f>IFERROR(J474/H474,0)</x:f>
        <x:v>0.4</x:v>
      </x:c>
      <x:c r="R474" s="24" t="n">
        <x:f>IFERROR(F474/H474,0)</x:f>
        <x:v>0.3</x:v>
      </x:c>
      <x:c r="S474" s="24" t="n">
        <x:f>IFERROR(F474/J474,0)</x:f>
        <x:v>0.75</x:v>
      </x:c>
      <x:c r="T474" s="28" t="n">
        <x:f>H474-I474</x:f>
        <x:v>-1</x:v>
      </x:c>
      <x:c r="U474" s="24" t="n">
        <x:f>IFERROR(J474/H474,0)-IFERROR(K474/I474,0)</x:f>
        <x:v>0.3090909090909091</x:v>
      </x:c>
      <x:c r="V474" s="24" t="n">
        <x:f>IFERROR(F474/J474,0)-IFERROR(G474/K474,0)</x:f>
        <x:v>0.75</x:v>
      </x:c>
      <x:c r="W474" s="28" t="n">
        <x:f>L474-M474</x:f>
        <x:v>0</x:v>
      </x:c>
      <x:c r="X474" s="24" t="n">
        <x:f>IFERROR(K474/I474,0)</x:f>
        <x:v>0.09090909090909091</x:v>
      </x:c>
      <x:c r="Y474" s="24" t="n">
        <x:f>IFERROR(G474/I474,0)</x:f>
        <x:v>0</x:v>
      </x:c>
      <x:c r="Z474" s="24" t="n">
        <x:f>IFERROR(G474/K474,0)</x:f>
        <x:v>0</x:v>
      </x:c>
      <x:c r="AA474" s="24" t="n">
        <x:f>IFERROR(F474/H474,0)-IFERROR(G474/I474,0)</x:f>
        <x:v>0.3</x:v>
      </x:c>
      <x:c r="AB474" s="28" t="n">
        <x:f>J474-K474</x:f>
        <x:v>3</x:v>
      </x:c>
      <x:c r="AC474" s="32" t="n">
        <x:f>F474-G474</x:f>
        <x:v>3</x:v>
      </x:c>
    </x:row>
    <x:row r="475">
      <x:c r="A475" s="4" t="str">
        <x:v>2021-22</x:v>
      </x:c>
      <x:c r="B475" s="20" t="n">
        <x:v>44611</x:v>
      </x:c>
      <x:c r="C475" s="4" t="str">
        <x:v>Chelsea</x:v>
      </x:c>
      <x:c r="D475" s="4" t="str">
        <x:v>Crystal Palace</x:v>
      </x:c>
      <x:c r="E475" s="4" t="str">
        <x:v>Away</x:v>
      </x:c>
      <x:c r="F475" s="28" t="n">
        <x:v>1</x:v>
      </x:c>
      <x:c r="G475" s="28" t="n">
        <x:v>0</x:v>
      </x:c>
      <x:c r="H475" s="28" t="n">
        <x:v>9</x:v>
      </x:c>
      <x:c r="I475" s="28" t="n">
        <x:v>7</x:v>
      </x:c>
      <x:c r="J475" s="28" t="n">
        <x:v>3</x:v>
      </x:c>
      <x:c r="K475" s="28" t="n">
        <x:v>0</x:v>
      </x:c>
      <x:c r="L475" s="28" t="n">
        <x:v>4</x:v>
      </x:c>
      <x:c r="M475" s="28" t="n">
        <x:v>4</x:v>
      </x:c>
      <x:c r="N475" s="28" t="n">
        <x:v>3</x:v>
      </x:c>
      <x:c r="O475" s="28" t="n">
        <x:v>0</x:v>
      </x:c>
      <x:c r="P475" s="28" t="n">
        <x:v>3</x:v>
      </x:c>
      <x:c r="Q475" s="24" t="n">
        <x:f>IFERROR(J475/H475,0)</x:f>
        <x:v>0.3333333333333333</x:v>
      </x:c>
      <x:c r="R475" s="24" t="n">
        <x:f>IFERROR(F475/H475,0)</x:f>
        <x:v>0.1111111111111111</x:v>
      </x:c>
      <x:c r="S475" s="24" t="n">
        <x:f>IFERROR(F475/J475,0)</x:f>
        <x:v>0.3333333333333333</x:v>
      </x:c>
      <x:c r="T475" s="28" t="n">
        <x:f>H475-I475</x:f>
        <x:v>2</x:v>
      </x:c>
      <x:c r="U475" s="24" t="n">
        <x:f>IFERROR(J475/H475,0)-IFERROR(K475/I475,0)</x:f>
        <x:v>0.3333333333333333</x:v>
      </x:c>
      <x:c r="V475" s="24" t="n">
        <x:f>IFERROR(F475/J475,0)-IFERROR(G475/K475,0)</x:f>
        <x:v>0.3333333333333333</x:v>
      </x:c>
      <x:c r="W475" s="28" t="n">
        <x:f>L475-M475</x:f>
        <x:v>0</x:v>
      </x:c>
      <x:c r="X475" s="24" t="n">
        <x:f>IFERROR(K475/I475,0)</x:f>
        <x:v>0</x:v>
      </x:c>
      <x:c r="Y475" s="24" t="n">
        <x:f>IFERROR(G475/I475,0)</x:f>
        <x:v>0</x:v>
      </x:c>
      <x:c r="Z475" s="24" t="n">
        <x:f>IFERROR(G475/K475,0)</x:f>
        <x:v>0</x:v>
      </x:c>
      <x:c r="AA475" s="24" t="n">
        <x:f>IFERROR(F475/H475,0)-IFERROR(G475/I475,0)</x:f>
        <x:v>0.1111111111111111</x:v>
      </x:c>
      <x:c r="AB475" s="28" t="n">
        <x:f>J475-K475</x:f>
        <x:v>3</x:v>
      </x:c>
      <x:c r="AC475" s="32" t="n">
        <x:f>F475-G475</x:f>
        <x:v>1</x:v>
      </x:c>
    </x:row>
    <x:row r="476">
      <x:c r="A476" s="4" t="str">
        <x:v>2021-22</x:v>
      </x:c>
      <x:c r="B476" s="20" t="n">
        <x:v>44611</x:v>
      </x:c>
      <x:c r="C476" s="4" t="str">
        <x:v>Crystal Palace</x:v>
      </x:c>
      <x:c r="D476" s="4" t="str">
        <x:v>Chelsea</x:v>
      </x:c>
      <x:c r="E476" s="4" t="str">
        <x:v>Home</x:v>
      </x:c>
      <x:c r="F476" s="28" t="n">
        <x:v>0</x:v>
      </x:c>
      <x:c r="G476" s="28" t="n">
        <x:v>1</x:v>
      </x:c>
      <x:c r="H476" s="28" t="n">
        <x:v>7</x:v>
      </x:c>
      <x:c r="I476" s="28" t="n">
        <x:v>9</x:v>
      </x:c>
      <x:c r="J476" s="28" t="n">
        <x:v>0</x:v>
      </x:c>
      <x:c r="K476" s="28" t="n">
        <x:v>3</x:v>
      </x:c>
      <x:c r="L476" s="28" t="n">
        <x:v>4</x:v>
      </x:c>
      <x:c r="M476" s="28" t="n">
        <x:v>4</x:v>
      </x:c>
      <x:c r="N476" s="28" t="n">
        <x:v>1</x:v>
      </x:c>
      <x:c r="O476" s="28" t="n">
        <x:v>0</x:v>
      </x:c>
      <x:c r="P476" s="28" t="n">
        <x:v>0</x:v>
      </x:c>
      <x:c r="Q476" s="24" t="n">
        <x:f>IFERROR(J476/H476,0)</x:f>
        <x:v>0</x:v>
      </x:c>
      <x:c r="R476" s="24" t="n">
        <x:f>IFERROR(F476/H476,0)</x:f>
        <x:v>0</x:v>
      </x:c>
      <x:c r="S476" s="24" t="n">
        <x:f>IFERROR(F476/J476,0)</x:f>
        <x:v>0</x:v>
      </x:c>
      <x:c r="T476" s="28" t="n">
        <x:f>H476-I476</x:f>
        <x:v>-2</x:v>
      </x:c>
      <x:c r="U476" s="24" t="n">
        <x:f>IFERROR(J476/H476,0)-IFERROR(K476/I476,0)</x:f>
        <x:v>-0.3333333333333333</x:v>
      </x:c>
      <x:c r="V476" s="24" t="n">
        <x:f>IFERROR(F476/J476,0)-IFERROR(G476/K476,0)</x:f>
        <x:v>-0.3333333333333333</x:v>
      </x:c>
      <x:c r="W476" s="28" t="n">
        <x:f>L476-M476</x:f>
        <x:v>0</x:v>
      </x:c>
      <x:c r="X476" s="24" t="n">
        <x:f>IFERROR(K476/I476,0)</x:f>
        <x:v>0.3333333333333333</x:v>
      </x:c>
      <x:c r="Y476" s="24" t="n">
        <x:f>IFERROR(G476/I476,0)</x:f>
        <x:v>0.1111111111111111</x:v>
      </x:c>
      <x:c r="Z476" s="24" t="n">
        <x:f>IFERROR(G476/K476,0)</x:f>
        <x:v>0.3333333333333333</x:v>
      </x:c>
      <x:c r="AA476" s="24" t="n">
        <x:f>IFERROR(F476/H476,0)-IFERROR(G476/I476,0)</x:f>
        <x:v>-0.1111111111111111</x:v>
      </x:c>
      <x:c r="AB476" s="28" t="n">
        <x:f>J476-K476</x:f>
        <x:v>-3</x:v>
      </x:c>
      <x:c r="AC476" s="32" t="n">
        <x:f>F476-G476</x:f>
        <x:v>-1</x:v>
      </x:c>
    </x:row>
    <x:row r="477">
      <x:c r="A477" s="4" t="str">
        <x:v>2021-22</x:v>
      </x:c>
      <x:c r="B477" s="20" t="n">
        <x:v>44611</x:v>
      </x:c>
      <x:c r="C477" s="4" t="str">
        <x:v>Everton</x:v>
      </x:c>
      <x:c r="D477" s="4" t="str">
        <x:v>Southampton</x:v>
      </x:c>
      <x:c r="E477" s="4" t="str">
        <x:v>Away</x:v>
      </x:c>
      <x:c r="F477" s="28" t="n">
        <x:v>0</x:v>
      </x:c>
      <x:c r="G477" s="28" t="n">
        <x:v>2</x:v>
      </x:c>
      <x:c r="H477" s="28" t="n">
        <x:v>9</x:v>
      </x:c>
      <x:c r="I477" s="28" t="n">
        <x:v>19</x:v>
      </x:c>
      <x:c r="J477" s="28" t="n">
        <x:v>0</x:v>
      </x:c>
      <x:c r="K477" s="28" t="n">
        <x:v>11</x:v>
      </x:c>
      <x:c r="L477" s="28" t="n">
        <x:v>4</x:v>
      </x:c>
      <x:c r="M477" s="28" t="n">
        <x:v>4</x:v>
      </x:c>
      <x:c r="N477" s="28" t="n">
        <x:v>2</x:v>
      </x:c>
      <x:c r="O477" s="28" t="n">
        <x:v>0</x:v>
      </x:c>
      <x:c r="P477" s="28" t="n">
        <x:v>0</x:v>
      </x:c>
      <x:c r="Q477" s="24" t="n">
        <x:f>IFERROR(J477/H477,0)</x:f>
        <x:v>0</x:v>
      </x:c>
      <x:c r="R477" s="24" t="n">
        <x:f>IFERROR(F477/H477,0)</x:f>
        <x:v>0</x:v>
      </x:c>
      <x:c r="S477" s="24" t="n">
        <x:f>IFERROR(F477/J477,0)</x:f>
        <x:v>0</x:v>
      </x:c>
      <x:c r="T477" s="28" t="n">
        <x:f>H477-I477</x:f>
        <x:v>-10</x:v>
      </x:c>
      <x:c r="U477" s="24" t="n">
        <x:f>IFERROR(J477/H477,0)-IFERROR(K477/I477,0)</x:f>
        <x:v>-0.5789473684210527</x:v>
      </x:c>
      <x:c r="V477" s="24" t="n">
        <x:f>IFERROR(F477/J477,0)-IFERROR(G477/K477,0)</x:f>
        <x:v>-0.18181818181818182</x:v>
      </x:c>
      <x:c r="W477" s="28" t="n">
        <x:f>L477-M477</x:f>
        <x:v>0</x:v>
      </x:c>
      <x:c r="X477" s="24" t="n">
        <x:f>IFERROR(K477/I477,0)</x:f>
        <x:v>0.5789473684210527</x:v>
      </x:c>
      <x:c r="Y477" s="24" t="n">
        <x:f>IFERROR(G477/I477,0)</x:f>
        <x:v>0.10526315789473684</x:v>
      </x:c>
      <x:c r="Z477" s="24" t="n">
        <x:f>IFERROR(G477/K477,0)</x:f>
        <x:v>0.18181818181818182</x:v>
      </x:c>
      <x:c r="AA477" s="24" t="n">
        <x:f>IFERROR(F477/H477,0)-IFERROR(G477/I477,0)</x:f>
        <x:v>-0.10526315789473684</x:v>
      </x:c>
      <x:c r="AB477" s="28" t="n">
        <x:f>J477-K477</x:f>
        <x:v>-11</x:v>
      </x:c>
      <x:c r="AC477" s="32" t="n">
        <x:f>F477-G477</x:f>
        <x:v>-2</x:v>
      </x:c>
    </x:row>
    <x:row r="478">
      <x:c r="A478" s="4" t="str">
        <x:v>2021-22</x:v>
      </x:c>
      <x:c r="B478" s="20" t="n">
        <x:v>44611</x:v>
      </x:c>
      <x:c r="C478" s="4" t="str">
        <x:v>Liverpool</x:v>
      </x:c>
      <x:c r="D478" s="4" t="str">
        <x:v>Norwich</x:v>
      </x:c>
      <x:c r="E478" s="4" t="str">
        <x:v>Home</x:v>
      </x:c>
      <x:c r="F478" s="28" t="n">
        <x:v>3</x:v>
      </x:c>
      <x:c r="G478" s="28" t="n">
        <x:v>1</x:v>
      </x:c>
      <x:c r="H478" s="28" t="n">
        <x:v>29</x:v>
      </x:c>
      <x:c r="I478" s="28" t="n">
        <x:v>6</x:v>
      </x:c>
      <x:c r="J478" s="28" t="n">
        <x:v>8</x:v>
      </x:c>
      <x:c r="K478" s="28" t="n">
        <x:v>1</x:v>
      </x:c>
      <x:c r="L478" s="28" t="n">
        <x:v>9</x:v>
      </x:c>
      <x:c r="M478" s="28" t="n">
        <x:v>4</x:v>
      </x:c>
      <x:c r="N478" s="28" t="n">
        <x:v>0</x:v>
      </x:c>
      <x:c r="O478" s="28" t="n">
        <x:v>0</x:v>
      </x:c>
      <x:c r="P478" s="28" t="n">
        <x:v>3</x:v>
      </x:c>
      <x:c r="Q478" s="24" t="n">
        <x:f>IFERROR(J478/H478,0)</x:f>
        <x:v>0.27586206896551724</x:v>
      </x:c>
      <x:c r="R478" s="24" t="n">
        <x:f>IFERROR(F478/H478,0)</x:f>
        <x:v>0.10344827586206896</x:v>
      </x:c>
      <x:c r="S478" s="24" t="n">
        <x:f>IFERROR(F478/J478,0)</x:f>
        <x:v>0.375</x:v>
      </x:c>
      <x:c r="T478" s="28" t="n">
        <x:f>H478-I478</x:f>
        <x:v>23</x:v>
      </x:c>
      <x:c r="U478" s="24" t="n">
        <x:f>IFERROR(J478/H478,0)-IFERROR(K478/I478,0)</x:f>
        <x:v>0.10919540229885058</x:v>
      </x:c>
      <x:c r="V478" s="24" t="n">
        <x:f>IFERROR(F478/J478,0)-IFERROR(G478/K478,0)</x:f>
        <x:v>-0.625</x:v>
      </x:c>
      <x:c r="W478" s="28" t="n">
        <x:f>L478-M478</x:f>
        <x:v>5</x:v>
      </x:c>
      <x:c r="X478" s="24" t="n">
        <x:f>IFERROR(K478/I478,0)</x:f>
        <x:v>0.16666666666666666</x:v>
      </x:c>
      <x:c r="Y478" s="24" t="n">
        <x:f>IFERROR(G478/I478,0)</x:f>
        <x:v>0.16666666666666666</x:v>
      </x:c>
      <x:c r="Z478" s="24" t="n">
        <x:f>IFERROR(G478/K478,0)</x:f>
        <x:v>1</x:v>
      </x:c>
      <x:c r="AA478" s="24" t="n">
        <x:f>IFERROR(F478/H478,0)-IFERROR(G478/I478,0)</x:f>
        <x:v>-0.0632183908045977</x:v>
      </x:c>
      <x:c r="AB478" s="28" t="n">
        <x:f>J478-K478</x:f>
        <x:v>7</x:v>
      </x:c>
      <x:c r="AC478" s="32" t="n">
        <x:f>F478-G478</x:f>
        <x:v>2</x:v>
      </x:c>
    </x:row>
    <x:row r="479">
      <x:c r="A479" s="4" t="str">
        <x:v>2021-22</x:v>
      </x:c>
      <x:c r="B479" s="20" t="n">
        <x:v>44611</x:v>
      </x:c>
      <x:c r="C479" s="4" t="str">
        <x:v>Man City</x:v>
      </x:c>
      <x:c r="D479" s="4" t="str">
        <x:v>Tottenham</x:v>
      </x:c>
      <x:c r="E479" s="4" t="str">
        <x:v>Home</x:v>
      </x:c>
      <x:c r="F479" s="28" t="n">
        <x:v>2</x:v>
      </x:c>
      <x:c r="G479" s="28" t="n">
        <x:v>3</x:v>
      </x:c>
      <x:c r="H479" s="28" t="n">
        <x:v>21</x:v>
      </x:c>
      <x:c r="I479" s="28" t="n">
        <x:v>6</x:v>
      </x:c>
      <x:c r="J479" s="28" t="n">
        <x:v>4</x:v>
      </x:c>
      <x:c r="K479" s="28" t="n">
        <x:v>5</x:v>
      </x:c>
      <x:c r="L479" s="28" t="n">
        <x:v>10</x:v>
      </x:c>
      <x:c r="M479" s="28" t="n">
        <x:v>0</x:v>
      </x:c>
      <x:c r="N479" s="28" t="n">
        <x:v>0</x:v>
      </x:c>
      <x:c r="O479" s="28" t="n">
        <x:v>0</x:v>
      </x:c>
      <x:c r="P479" s="28" t="n">
        <x:v>0</x:v>
      </x:c>
      <x:c r="Q479" s="24" t="n">
        <x:f>IFERROR(J479/H479,0)</x:f>
        <x:v>0.19047619047619047</x:v>
      </x:c>
      <x:c r="R479" s="24" t="n">
        <x:f>IFERROR(F479/H479,0)</x:f>
        <x:v>0.09523809523809523</x:v>
      </x:c>
      <x:c r="S479" s="24" t="n">
        <x:f>IFERROR(F479/J479,0)</x:f>
        <x:v>0.5</x:v>
      </x:c>
      <x:c r="T479" s="28" t="n">
        <x:f>H479-I479</x:f>
        <x:v>15</x:v>
      </x:c>
      <x:c r="U479" s="24" t="n">
        <x:f>IFERROR(J479/H479,0)-IFERROR(K479/I479,0)</x:f>
        <x:v>-0.6428571428571429</x:v>
      </x:c>
      <x:c r="V479" s="24" t="n">
        <x:f>IFERROR(F479/J479,0)-IFERROR(G479/K479,0)</x:f>
        <x:v>-0.09999999999999998</x:v>
      </x:c>
      <x:c r="W479" s="28" t="n">
        <x:f>L479-M479</x:f>
        <x:v>10</x:v>
      </x:c>
      <x:c r="X479" s="24" t="n">
        <x:f>IFERROR(K479/I479,0)</x:f>
        <x:v>0.8333333333333334</x:v>
      </x:c>
      <x:c r="Y479" s="24" t="n">
        <x:f>IFERROR(G479/I479,0)</x:f>
        <x:v>0.5</x:v>
      </x:c>
      <x:c r="Z479" s="24" t="n">
        <x:f>IFERROR(G479/K479,0)</x:f>
        <x:v>0.6</x:v>
      </x:c>
      <x:c r="AA479" s="24" t="n">
        <x:f>IFERROR(F479/H479,0)-IFERROR(G479/I479,0)</x:f>
        <x:v>-0.40476190476190477</x:v>
      </x:c>
      <x:c r="AB479" s="28" t="n">
        <x:f>J479-K479</x:f>
        <x:v>-1</x:v>
      </x:c>
      <x:c r="AC479" s="32" t="n">
        <x:f>F479-G479</x:f>
        <x:v>-1</x:v>
      </x:c>
    </x:row>
    <x:row r="480">
      <x:c r="A480" s="4" t="str">
        <x:v>2021-22</x:v>
      </x:c>
      <x:c r="B480" s="20" t="n">
        <x:v>44611</x:v>
      </x:c>
      <x:c r="C480" s="4" t="str">
        <x:v>Newcastle</x:v>
      </x:c>
      <x:c r="D480" s="4" t="str">
        <x:v>West Ham</x:v>
      </x:c>
      <x:c r="E480" s="4" t="str">
        <x:v>Away</x:v>
      </x:c>
      <x:c r="F480" s="28" t="n">
        <x:v>1</x:v>
      </x:c>
      <x:c r="G480" s="28" t="n">
        <x:v>1</x:v>
      </x:c>
      <x:c r="H480" s="28" t="n">
        <x:v>14</x:v>
      </x:c>
      <x:c r="I480" s="28" t="n">
        <x:v>11</x:v>
      </x:c>
      <x:c r="J480" s="28" t="n">
        <x:v>3</x:v>
      </x:c>
      <x:c r="K480" s="28" t="n">
        <x:v>3</x:v>
      </x:c>
      <x:c r="L480" s="28" t="n">
        <x:v>7</x:v>
      </x:c>
      <x:c r="M480" s="28" t="n">
        <x:v>3</x:v>
      </x:c>
      <x:c r="N480" s="28" t="n">
        <x:v>3</x:v>
      </x:c>
      <x:c r="O480" s="28" t="n">
        <x:v>0</x:v>
      </x:c>
      <x:c r="P480" s="28" t="n">
        <x:v>1</x:v>
      </x:c>
      <x:c r="Q480" s="24" t="n">
        <x:f>IFERROR(J480/H480,0)</x:f>
        <x:v>0.21428571428571427</x:v>
      </x:c>
      <x:c r="R480" s="24" t="n">
        <x:f>IFERROR(F480/H480,0)</x:f>
        <x:v>0.07142857142857142</x:v>
      </x:c>
      <x:c r="S480" s="24" t="n">
        <x:f>IFERROR(F480/J480,0)</x:f>
        <x:v>0.3333333333333333</x:v>
      </x:c>
      <x:c r="T480" s="28" t="n">
        <x:f>H480-I480</x:f>
        <x:v>3</x:v>
      </x:c>
      <x:c r="U480" s="24" t="n">
        <x:f>IFERROR(J480/H480,0)-IFERROR(K480/I480,0)</x:f>
        <x:v>-0.05844155844155843</x:v>
      </x:c>
      <x:c r="V480" s="24" t="n">
        <x:f>IFERROR(F480/J480,0)-IFERROR(G480/K480,0)</x:f>
        <x:v>0</x:v>
      </x:c>
      <x:c r="W480" s="28" t="n">
        <x:f>L480-M480</x:f>
        <x:v>4</x:v>
      </x:c>
      <x:c r="X480" s="24" t="n">
        <x:f>IFERROR(K480/I480,0)</x:f>
        <x:v>0.2727272727272727</x:v>
      </x:c>
      <x:c r="Y480" s="24" t="n">
        <x:f>IFERROR(G480/I480,0)</x:f>
        <x:v>0.09090909090909091</x:v>
      </x:c>
      <x:c r="Z480" s="24" t="n">
        <x:f>IFERROR(G480/K480,0)</x:f>
        <x:v>0.3333333333333333</x:v>
      </x:c>
      <x:c r="AA480" s="24" t="n">
        <x:f>IFERROR(F480/H480,0)-IFERROR(G480/I480,0)</x:f>
        <x:v>-0.019480519480519487</x:v>
      </x:c>
      <x:c r="AB480" s="28" t="n">
        <x:f>J480-K480</x:f>
        <x:v>0</x:v>
      </x:c>
      <x:c r="AC480" s="32" t="n">
        <x:f>F480-G480</x:f>
        <x:v>0</x:v>
      </x:c>
    </x:row>
    <x:row r="481">
      <x:c r="A481" s="4" t="str">
        <x:v>2021-22</x:v>
      </x:c>
      <x:c r="B481" s="20" t="n">
        <x:v>44611</x:v>
      </x:c>
      <x:c r="C481" s="4" t="str">
        <x:v>Norwich</x:v>
      </x:c>
      <x:c r="D481" s="4" t="str">
        <x:v>Liverpool</x:v>
      </x:c>
      <x:c r="E481" s="4" t="str">
        <x:v>Away</x:v>
      </x:c>
      <x:c r="F481" s="28" t="n">
        <x:v>1</x:v>
      </x:c>
      <x:c r="G481" s="28" t="n">
        <x:v>3</x:v>
      </x:c>
      <x:c r="H481" s="28" t="n">
        <x:v>6</x:v>
      </x:c>
      <x:c r="I481" s="28" t="n">
        <x:v>29</x:v>
      </x:c>
      <x:c r="J481" s="28" t="n">
        <x:v>1</x:v>
      </x:c>
      <x:c r="K481" s="28" t="n">
        <x:v>8</x:v>
      </x:c>
      <x:c r="L481" s="28" t="n">
        <x:v>4</x:v>
      </x:c>
      <x:c r="M481" s="28" t="n">
        <x:v>9</x:v>
      </x:c>
      <x:c r="N481" s="28" t="n">
        <x:v>1</x:v>
      </x:c>
      <x:c r="O481" s="28" t="n">
        <x:v>0</x:v>
      </x:c>
      <x:c r="P481" s="28" t="n">
        <x:v>0</x:v>
      </x:c>
      <x:c r="Q481" s="24" t="n">
        <x:f>IFERROR(J481/H481,0)</x:f>
        <x:v>0.16666666666666666</x:v>
      </x:c>
      <x:c r="R481" s="24" t="n">
        <x:f>IFERROR(F481/H481,0)</x:f>
        <x:v>0.16666666666666666</x:v>
      </x:c>
      <x:c r="S481" s="24" t="n">
        <x:f>IFERROR(F481/J481,0)</x:f>
        <x:v>1</x:v>
      </x:c>
      <x:c r="T481" s="28" t="n">
        <x:f>H481-I481</x:f>
        <x:v>-23</x:v>
      </x:c>
      <x:c r="U481" s="24" t="n">
        <x:f>IFERROR(J481/H481,0)-IFERROR(K481/I481,0)</x:f>
        <x:v>-0.10919540229885058</x:v>
      </x:c>
      <x:c r="V481" s="24" t="n">
        <x:f>IFERROR(F481/J481,0)-IFERROR(G481/K481,0)</x:f>
        <x:v>0.625</x:v>
      </x:c>
      <x:c r="W481" s="28" t="n">
        <x:f>L481-M481</x:f>
        <x:v>-5</x:v>
      </x:c>
      <x:c r="X481" s="24" t="n">
        <x:f>IFERROR(K481/I481,0)</x:f>
        <x:v>0.27586206896551724</x:v>
      </x:c>
      <x:c r="Y481" s="24" t="n">
        <x:f>IFERROR(G481/I481,0)</x:f>
        <x:v>0.10344827586206896</x:v>
      </x:c>
      <x:c r="Z481" s="24" t="n">
        <x:f>IFERROR(G481/K481,0)</x:f>
        <x:v>0.375</x:v>
      </x:c>
      <x:c r="AA481" s="24" t="n">
        <x:f>IFERROR(F481/H481,0)-IFERROR(G481/I481,0)</x:f>
        <x:v>0.0632183908045977</x:v>
      </x:c>
      <x:c r="AB481" s="28" t="n">
        <x:f>J481-K481</x:f>
        <x:v>-7</x:v>
      </x:c>
      <x:c r="AC481" s="32" t="n">
        <x:f>F481-G481</x:f>
        <x:v>-2</x:v>
      </x:c>
    </x:row>
    <x:row r="482">
      <x:c r="A482" s="4" t="str">
        <x:v>2021-22</x:v>
      </x:c>
      <x:c r="B482" s="20" t="n">
        <x:v>44611</x:v>
      </x:c>
      <x:c r="C482" s="4" t="str">
        <x:v>Southampton</x:v>
      </x:c>
      <x:c r="D482" s="4" t="str">
        <x:v>Everton</x:v>
      </x:c>
      <x:c r="E482" s="4" t="str">
        <x:v>Home</x:v>
      </x:c>
      <x:c r="F482" s="28" t="n">
        <x:v>2</x:v>
      </x:c>
      <x:c r="G482" s="28" t="n">
        <x:v>0</x:v>
      </x:c>
      <x:c r="H482" s="28" t="n">
        <x:v>19</x:v>
      </x:c>
      <x:c r="I482" s="28" t="n">
        <x:v>9</x:v>
      </x:c>
      <x:c r="J482" s="28" t="n">
        <x:v>11</x:v>
      </x:c>
      <x:c r="K482" s="28" t="n">
        <x:v>0</x:v>
      </x:c>
      <x:c r="L482" s="28" t="n">
        <x:v>4</x:v>
      </x:c>
      <x:c r="M482" s="28" t="n">
        <x:v>4</x:v>
      </x:c>
      <x:c r="N482" s="28" t="n">
        <x:v>0</x:v>
      </x:c>
      <x:c r="O482" s="28" t="n">
        <x:v>0</x:v>
      </x:c>
      <x:c r="P482" s="28" t="n">
        <x:v>3</x:v>
      </x:c>
      <x:c r="Q482" s="24" t="n">
        <x:f>IFERROR(J482/H482,0)</x:f>
        <x:v>0.5789473684210527</x:v>
      </x:c>
      <x:c r="R482" s="24" t="n">
        <x:f>IFERROR(F482/H482,0)</x:f>
        <x:v>0.10526315789473684</x:v>
      </x:c>
      <x:c r="S482" s="24" t="n">
        <x:f>IFERROR(F482/J482,0)</x:f>
        <x:v>0.18181818181818182</x:v>
      </x:c>
      <x:c r="T482" s="28" t="n">
        <x:f>H482-I482</x:f>
        <x:v>10</x:v>
      </x:c>
      <x:c r="U482" s="24" t="n">
        <x:f>IFERROR(J482/H482,0)-IFERROR(K482/I482,0)</x:f>
        <x:v>0.5789473684210527</x:v>
      </x:c>
      <x:c r="V482" s="24" t="n">
        <x:f>IFERROR(F482/J482,0)-IFERROR(G482/K482,0)</x:f>
        <x:v>0.18181818181818182</x:v>
      </x:c>
      <x:c r="W482" s="28" t="n">
        <x:f>L482-M482</x:f>
        <x:v>0</x:v>
      </x:c>
      <x:c r="X482" s="24" t="n">
        <x:f>IFERROR(K482/I482,0)</x:f>
        <x:v>0</x:v>
      </x:c>
      <x:c r="Y482" s="24" t="n">
        <x:f>IFERROR(G482/I482,0)</x:f>
        <x:v>0</x:v>
      </x:c>
      <x:c r="Z482" s="24" t="n">
        <x:f>IFERROR(G482/K482,0)</x:f>
        <x:v>0</x:v>
      </x:c>
      <x:c r="AA482" s="24" t="n">
        <x:f>IFERROR(F482/H482,0)-IFERROR(G482/I482,0)</x:f>
        <x:v>0.10526315789473684</x:v>
      </x:c>
      <x:c r="AB482" s="28" t="n">
        <x:f>J482-K482</x:f>
        <x:v>11</x:v>
      </x:c>
      <x:c r="AC482" s="32" t="n">
        <x:f>F482-G482</x:f>
        <x:v>2</x:v>
      </x:c>
    </x:row>
    <x:row r="483">
      <x:c r="A483" s="4" t="str">
        <x:v>2021-22</x:v>
      </x:c>
      <x:c r="B483" s="20" t="n">
        <x:v>44611</x:v>
      </x:c>
      <x:c r="C483" s="4" t="str">
        <x:v>Tottenham</x:v>
      </x:c>
      <x:c r="D483" s="4" t="str">
        <x:v>Man City</x:v>
      </x:c>
      <x:c r="E483" s="4" t="str">
        <x:v>Away</x:v>
      </x:c>
      <x:c r="F483" s="28" t="n">
        <x:v>3</x:v>
      </x:c>
      <x:c r="G483" s="28" t="n">
        <x:v>2</x:v>
      </x:c>
      <x:c r="H483" s="28" t="n">
        <x:v>6</x:v>
      </x:c>
      <x:c r="I483" s="28" t="n">
        <x:v>21</x:v>
      </x:c>
      <x:c r="J483" s="28" t="n">
        <x:v>5</x:v>
      </x:c>
      <x:c r="K483" s="28" t="n">
        <x:v>4</x:v>
      </x:c>
      <x:c r="L483" s="28" t="n">
        <x:v>0</x:v>
      </x:c>
      <x:c r="M483" s="28" t="n">
        <x:v>10</x:v>
      </x:c>
      <x:c r="N483" s="28" t="n">
        <x:v>3</x:v>
      </x:c>
      <x:c r="O483" s="28" t="n">
        <x:v>0</x:v>
      </x:c>
      <x:c r="P483" s="28" t="n">
        <x:v>3</x:v>
      </x:c>
      <x:c r="Q483" s="24" t="n">
        <x:f>IFERROR(J483/H483,0)</x:f>
        <x:v>0.8333333333333334</x:v>
      </x:c>
      <x:c r="R483" s="24" t="n">
        <x:f>IFERROR(F483/H483,0)</x:f>
        <x:v>0.5</x:v>
      </x:c>
      <x:c r="S483" s="24" t="n">
        <x:f>IFERROR(F483/J483,0)</x:f>
        <x:v>0.6</x:v>
      </x:c>
      <x:c r="T483" s="28" t="n">
        <x:f>H483-I483</x:f>
        <x:v>-15</x:v>
      </x:c>
      <x:c r="U483" s="24" t="n">
        <x:f>IFERROR(J483/H483,0)-IFERROR(K483/I483,0)</x:f>
        <x:v>0.6428571428571429</x:v>
      </x:c>
      <x:c r="V483" s="24" t="n">
        <x:f>IFERROR(F483/J483,0)-IFERROR(G483/K483,0)</x:f>
        <x:v>0.09999999999999998</x:v>
      </x:c>
      <x:c r="W483" s="28" t="n">
        <x:f>L483-M483</x:f>
        <x:v>-10</x:v>
      </x:c>
      <x:c r="X483" s="24" t="n">
        <x:f>IFERROR(K483/I483,0)</x:f>
        <x:v>0.19047619047619047</x:v>
      </x:c>
      <x:c r="Y483" s="24" t="n">
        <x:f>IFERROR(G483/I483,0)</x:f>
        <x:v>0.09523809523809523</x:v>
      </x:c>
      <x:c r="Z483" s="24" t="n">
        <x:f>IFERROR(G483/K483,0)</x:f>
        <x:v>0.5</x:v>
      </x:c>
      <x:c r="AA483" s="24" t="n">
        <x:f>IFERROR(F483/H483,0)-IFERROR(G483/I483,0)</x:f>
        <x:v>0.40476190476190477</x:v>
      </x:c>
      <x:c r="AB483" s="28" t="n">
        <x:f>J483-K483</x:f>
        <x:v>1</x:v>
      </x:c>
      <x:c r="AC483" s="32" t="n">
        <x:f>F483-G483</x:f>
        <x:v>1</x:v>
      </x:c>
    </x:row>
    <x:row r="484">
      <x:c r="A484" s="4" t="str">
        <x:v>2021-22</x:v>
      </x:c>
      <x:c r="B484" s="20" t="n">
        <x:v>44611</x:v>
      </x:c>
      <x:c r="C484" s="4" t="str">
        <x:v>Watford</x:v>
      </x:c>
      <x:c r="D484" s="4" t="str">
        <x:v>Aston Villa</x:v>
      </x:c>
      <x:c r="E484" s="4" t="str">
        <x:v>Away</x:v>
      </x:c>
      <x:c r="F484" s="28" t="n">
        <x:v>1</x:v>
      </x:c>
      <x:c r="G484" s="28" t="n">
        <x:v>0</x:v>
      </x:c>
      <x:c r="H484" s="28" t="n">
        <x:v>8</x:v>
      </x:c>
      <x:c r="I484" s="28" t="n">
        <x:v>20</x:v>
      </x:c>
      <x:c r="J484" s="28" t="n">
        <x:v>4</x:v>
      </x:c>
      <x:c r="K484" s="28" t="n">
        <x:v>1</x:v>
      </x:c>
      <x:c r="L484" s="28" t="n">
        <x:v>5</x:v>
      </x:c>
      <x:c r="M484" s="28" t="n">
        <x:v>10</x:v>
      </x:c>
      <x:c r="N484" s="28" t="n">
        <x:v>2</x:v>
      </x:c>
      <x:c r="O484" s="28" t="n">
        <x:v>0</x:v>
      </x:c>
      <x:c r="P484" s="28" t="n">
        <x:v>3</x:v>
      </x:c>
      <x:c r="Q484" s="24" t="n">
        <x:f>IFERROR(J484/H484,0)</x:f>
        <x:v>0.5</x:v>
      </x:c>
      <x:c r="R484" s="24" t="n">
        <x:f>IFERROR(F484/H484,0)</x:f>
        <x:v>0.125</x:v>
      </x:c>
      <x:c r="S484" s="24" t="n">
        <x:f>IFERROR(F484/J484,0)</x:f>
        <x:v>0.25</x:v>
      </x:c>
      <x:c r="T484" s="28" t="n">
        <x:f>H484-I484</x:f>
        <x:v>-12</x:v>
      </x:c>
      <x:c r="U484" s="24" t="n">
        <x:f>IFERROR(J484/H484,0)-IFERROR(K484/I484,0)</x:f>
        <x:v>0.45</x:v>
      </x:c>
      <x:c r="V484" s="24" t="n">
        <x:f>IFERROR(F484/J484,0)-IFERROR(G484/K484,0)</x:f>
        <x:v>0.25</x:v>
      </x:c>
      <x:c r="W484" s="28" t="n">
        <x:f>L484-M484</x:f>
        <x:v>-5</x:v>
      </x:c>
      <x:c r="X484" s="24" t="n">
        <x:f>IFERROR(K484/I484,0)</x:f>
        <x:v>0.05</x:v>
      </x:c>
      <x:c r="Y484" s="24" t="n">
        <x:f>IFERROR(G484/I484,0)</x:f>
        <x:v>0</x:v>
      </x:c>
      <x:c r="Z484" s="24" t="n">
        <x:f>IFERROR(G484/K484,0)</x:f>
        <x:v>0</x:v>
      </x:c>
      <x:c r="AA484" s="24" t="n">
        <x:f>IFERROR(F484/H484,0)-IFERROR(G484/I484,0)</x:f>
        <x:v>0.125</x:v>
      </x:c>
      <x:c r="AB484" s="28" t="n">
        <x:f>J484-K484</x:f>
        <x:v>3</x:v>
      </x:c>
      <x:c r="AC484" s="32" t="n">
        <x:f>F484-G484</x:f>
        <x:v>1</x:v>
      </x:c>
    </x:row>
    <x:row r="485">
      <x:c r="A485" s="4" t="str">
        <x:v>2021-22</x:v>
      </x:c>
      <x:c r="B485" s="20" t="n">
        <x:v>44611</x:v>
      </x:c>
      <x:c r="C485" s="4" t="str">
        <x:v>West Ham</x:v>
      </x:c>
      <x:c r="D485" s="4" t="str">
        <x:v>Newcastle</x:v>
      </x:c>
      <x:c r="E485" s="4" t="str">
        <x:v>Home</x:v>
      </x:c>
      <x:c r="F485" s="28" t="n">
        <x:v>1</x:v>
      </x:c>
      <x:c r="G485" s="28" t="n">
        <x:v>1</x:v>
      </x:c>
      <x:c r="H485" s="28" t="n">
        <x:v>11</x:v>
      </x:c>
      <x:c r="I485" s="28" t="n">
        <x:v>14</x:v>
      </x:c>
      <x:c r="J485" s="28" t="n">
        <x:v>3</x:v>
      </x:c>
      <x:c r="K485" s="28" t="n">
        <x:v>3</x:v>
      </x:c>
      <x:c r="L485" s="28" t="n">
        <x:v>3</x:v>
      </x:c>
      <x:c r="M485" s="28" t="n">
        <x:v>7</x:v>
      </x:c>
      <x:c r="N485" s="28" t="n">
        <x:v>3</x:v>
      </x:c>
      <x:c r="O485" s="28" t="n">
        <x:v>0</x:v>
      </x:c>
      <x:c r="P485" s="28" t="n">
        <x:v>1</x:v>
      </x:c>
      <x:c r="Q485" s="24" t="n">
        <x:f>IFERROR(J485/H485,0)</x:f>
        <x:v>0.2727272727272727</x:v>
      </x:c>
      <x:c r="R485" s="24" t="n">
        <x:f>IFERROR(F485/H485,0)</x:f>
        <x:v>0.09090909090909091</x:v>
      </x:c>
      <x:c r="S485" s="24" t="n">
        <x:f>IFERROR(F485/J485,0)</x:f>
        <x:v>0.3333333333333333</x:v>
      </x:c>
      <x:c r="T485" s="28" t="n">
        <x:f>H485-I485</x:f>
        <x:v>-3</x:v>
      </x:c>
      <x:c r="U485" s="24" t="n">
        <x:f>IFERROR(J485/H485,0)-IFERROR(K485/I485,0)</x:f>
        <x:v>0.05844155844155843</x:v>
      </x:c>
      <x:c r="V485" s="24" t="n">
        <x:f>IFERROR(F485/J485,0)-IFERROR(G485/K485,0)</x:f>
        <x:v>0</x:v>
      </x:c>
      <x:c r="W485" s="28" t="n">
        <x:f>L485-M485</x:f>
        <x:v>-4</x:v>
      </x:c>
      <x:c r="X485" s="24" t="n">
        <x:f>IFERROR(K485/I485,0)</x:f>
        <x:v>0.21428571428571427</x:v>
      </x:c>
      <x:c r="Y485" s="24" t="n">
        <x:f>IFERROR(G485/I485,0)</x:f>
        <x:v>0.07142857142857142</x:v>
      </x:c>
      <x:c r="Z485" s="24" t="n">
        <x:f>IFERROR(G485/K485,0)</x:f>
        <x:v>0.3333333333333333</x:v>
      </x:c>
      <x:c r="AA485" s="24" t="n">
        <x:f>IFERROR(F485/H485,0)-IFERROR(G485/I485,0)</x:f>
        <x:v>0.019480519480519487</x:v>
      </x:c>
      <x:c r="AB485" s="28" t="n">
        <x:f>J485-K485</x:f>
        <x:v>0</x:v>
      </x:c>
      <x:c r="AC485" s="32" t="n">
        <x:f>F485-G485</x:f>
        <x:v>0</x:v>
      </x:c>
    </x:row>
    <x:row r="486">
      <x:c r="A486" s="4" t="str">
        <x:v>2021-22</x:v>
      </x:c>
      <x:c r="B486" s="20" t="n">
        <x:v>44612</x:v>
      </x:c>
      <x:c r="C486" s="4" t="str">
        <x:v>Leeds</x:v>
      </x:c>
      <x:c r="D486" s="4" t="str">
        <x:v>Man United</x:v>
      </x:c>
      <x:c r="E486" s="4" t="str">
        <x:v>Home</x:v>
      </x:c>
      <x:c r="F486" s="28" t="n">
        <x:v>2</x:v>
      </x:c>
      <x:c r="G486" s="28" t="n">
        <x:v>4</x:v>
      </x:c>
      <x:c r="H486" s="28" t="n">
        <x:v>16</x:v>
      </x:c>
      <x:c r="I486" s="28" t="n">
        <x:v>15</x:v>
      </x:c>
      <x:c r="J486" s="28" t="n">
        <x:v>6</x:v>
      </x:c>
      <x:c r="K486" s="28" t="n">
        <x:v>9</x:v>
      </x:c>
      <x:c r="L486" s="28" t="n">
        <x:v>3</x:v>
      </x:c>
      <x:c r="M486" s="28" t="n">
        <x:v>3</x:v>
      </x:c>
      <x:c r="N486" s="28" t="n">
        <x:v>6</x:v>
      </x:c>
      <x:c r="O486" s="28" t="n">
        <x:v>0</x:v>
      </x:c>
      <x:c r="P486" s="28" t="n">
        <x:v>0</x:v>
      </x:c>
      <x:c r="Q486" s="24" t="n">
        <x:f>IFERROR(J486/H486,0)</x:f>
        <x:v>0.375</x:v>
      </x:c>
      <x:c r="R486" s="24" t="n">
        <x:f>IFERROR(F486/H486,0)</x:f>
        <x:v>0.125</x:v>
      </x:c>
      <x:c r="S486" s="24" t="n">
        <x:f>IFERROR(F486/J486,0)</x:f>
        <x:v>0.3333333333333333</x:v>
      </x:c>
      <x:c r="T486" s="28" t="n">
        <x:f>H486-I486</x:f>
        <x:v>1</x:v>
      </x:c>
      <x:c r="U486" s="24" t="n">
        <x:f>IFERROR(J486/H486,0)-IFERROR(K486/I486,0)</x:f>
        <x:v>-0.22499999999999998</x:v>
      </x:c>
      <x:c r="V486" s="24" t="n">
        <x:f>IFERROR(F486/J486,0)-IFERROR(G486/K486,0)</x:f>
        <x:v>-0.1111111111111111</x:v>
      </x:c>
      <x:c r="W486" s="28" t="n">
        <x:f>L486-M486</x:f>
        <x:v>0</x:v>
      </x:c>
      <x:c r="X486" s="24" t="n">
        <x:f>IFERROR(K486/I486,0)</x:f>
        <x:v>0.6</x:v>
      </x:c>
      <x:c r="Y486" s="24" t="n">
        <x:f>IFERROR(G486/I486,0)</x:f>
        <x:v>0.26666666666666666</x:v>
      </x:c>
      <x:c r="Z486" s="24" t="n">
        <x:f>IFERROR(G486/K486,0)</x:f>
        <x:v>0.4444444444444444</x:v>
      </x:c>
      <x:c r="AA486" s="24" t="n">
        <x:f>IFERROR(F486/H486,0)-IFERROR(G486/I486,0)</x:f>
        <x:v>-0.14166666666666666</x:v>
      </x:c>
      <x:c r="AB486" s="28" t="n">
        <x:f>J486-K486</x:f>
        <x:v>-3</x:v>
      </x:c>
      <x:c r="AC486" s="32" t="n">
        <x:f>F486-G486</x:f>
        <x:v>-2</x:v>
      </x:c>
    </x:row>
    <x:row r="487">
      <x:c r="A487" s="4" t="str">
        <x:v>2021-22</x:v>
      </x:c>
      <x:c r="B487" s="20" t="n">
        <x:v>44612</x:v>
      </x:c>
      <x:c r="C487" s="4" t="str">
        <x:v>Leicester</x:v>
      </x:c>
      <x:c r="D487" s="4" t="str">
        <x:v>Wolves</x:v>
      </x:c>
      <x:c r="E487" s="4" t="str">
        <x:v>Away</x:v>
      </x:c>
      <x:c r="F487" s="28" t="n">
        <x:v>1</x:v>
      </x:c>
      <x:c r="G487" s="28" t="n">
        <x:v>2</x:v>
      </x:c>
      <x:c r="H487" s="28" t="n">
        <x:v>17</x:v>
      </x:c>
      <x:c r="I487" s="28" t="n">
        <x:v>11</x:v>
      </x:c>
      <x:c r="J487" s="28" t="n">
        <x:v>7</x:v>
      </x:c>
      <x:c r="K487" s="28" t="n">
        <x:v>3</x:v>
      </x:c>
      <x:c r="L487" s="28" t="n">
        <x:v>10</x:v>
      </x:c>
      <x:c r="M487" s="28" t="n">
        <x:v>7</x:v>
      </x:c>
      <x:c r="N487" s="28" t="n">
        <x:v>4</x:v>
      </x:c>
      <x:c r="O487" s="28" t="n">
        <x:v>0</x:v>
      </x:c>
      <x:c r="P487" s="28" t="n">
        <x:v>0</x:v>
      </x:c>
      <x:c r="Q487" s="24" t="n">
        <x:f>IFERROR(J487/H487,0)</x:f>
        <x:v>0.4117647058823529</x:v>
      </x:c>
      <x:c r="R487" s="24" t="n">
        <x:f>IFERROR(F487/H487,0)</x:f>
        <x:v>0.058823529411764705</x:v>
      </x:c>
      <x:c r="S487" s="24" t="n">
        <x:f>IFERROR(F487/J487,0)</x:f>
        <x:v>0.14285714285714285</x:v>
      </x:c>
      <x:c r="T487" s="28" t="n">
        <x:f>H487-I487</x:f>
        <x:v>6</x:v>
      </x:c>
      <x:c r="U487" s="24" t="n">
        <x:f>IFERROR(J487/H487,0)-IFERROR(K487/I487,0)</x:f>
        <x:v>0.13903743315508021</x:v>
      </x:c>
      <x:c r="V487" s="24" t="n">
        <x:f>IFERROR(F487/J487,0)-IFERROR(G487/K487,0)</x:f>
        <x:v>-0.5238095238095237</x:v>
      </x:c>
      <x:c r="W487" s="28" t="n">
        <x:f>L487-M487</x:f>
        <x:v>3</x:v>
      </x:c>
      <x:c r="X487" s="24" t="n">
        <x:f>IFERROR(K487/I487,0)</x:f>
        <x:v>0.2727272727272727</x:v>
      </x:c>
      <x:c r="Y487" s="24" t="n">
        <x:f>IFERROR(G487/I487,0)</x:f>
        <x:v>0.18181818181818182</x:v>
      </x:c>
      <x:c r="Z487" s="24" t="n">
        <x:f>IFERROR(G487/K487,0)</x:f>
        <x:v>0.6666666666666666</x:v>
      </x:c>
      <x:c r="AA487" s="24" t="n">
        <x:f>IFERROR(F487/H487,0)-IFERROR(G487/I487,0)</x:f>
        <x:v>-0.12299465240641712</x:v>
      </x:c>
      <x:c r="AB487" s="28" t="n">
        <x:f>J487-K487</x:f>
        <x:v>4</x:v>
      </x:c>
      <x:c r="AC487" s="32" t="n">
        <x:f>F487-G487</x:f>
        <x:v>-1</x:v>
      </x:c>
    </x:row>
    <x:row r="488">
      <x:c r="A488" s="4" t="str">
        <x:v>2021-22</x:v>
      </x:c>
      <x:c r="B488" s="20" t="n">
        <x:v>44612</x:v>
      </x:c>
      <x:c r="C488" s="4" t="str">
        <x:v>Man United</x:v>
      </x:c>
      <x:c r="D488" s="4" t="str">
        <x:v>Leeds</x:v>
      </x:c>
      <x:c r="E488" s="4" t="str">
        <x:v>Away</x:v>
      </x:c>
      <x:c r="F488" s="28" t="n">
        <x:v>4</x:v>
      </x:c>
      <x:c r="G488" s="28" t="n">
        <x:v>2</x:v>
      </x:c>
      <x:c r="H488" s="28" t="n">
        <x:v>15</x:v>
      </x:c>
      <x:c r="I488" s="28" t="n">
        <x:v>16</x:v>
      </x:c>
      <x:c r="J488" s="28" t="n">
        <x:v>9</x:v>
      </x:c>
      <x:c r="K488" s="28" t="n">
        <x:v>6</x:v>
      </x:c>
      <x:c r="L488" s="28" t="n">
        <x:v>3</x:v>
      </x:c>
      <x:c r="M488" s="28" t="n">
        <x:v>3</x:v>
      </x:c>
      <x:c r="N488" s="28" t="n">
        <x:v>3</x:v>
      </x:c>
      <x:c r="O488" s="28" t="n">
        <x:v>0</x:v>
      </x:c>
      <x:c r="P488" s="28" t="n">
        <x:v>3</x:v>
      </x:c>
      <x:c r="Q488" s="24" t="n">
        <x:f>IFERROR(J488/H488,0)</x:f>
        <x:v>0.6</x:v>
      </x:c>
      <x:c r="R488" s="24" t="n">
        <x:f>IFERROR(F488/H488,0)</x:f>
        <x:v>0.26666666666666666</x:v>
      </x:c>
      <x:c r="S488" s="24" t="n">
        <x:f>IFERROR(F488/J488,0)</x:f>
        <x:v>0.4444444444444444</x:v>
      </x:c>
      <x:c r="T488" s="28" t="n">
        <x:f>H488-I488</x:f>
        <x:v>-1</x:v>
      </x:c>
      <x:c r="U488" s="24" t="n">
        <x:f>IFERROR(J488/H488,0)-IFERROR(K488/I488,0)</x:f>
        <x:v>0.22499999999999998</x:v>
      </x:c>
      <x:c r="V488" s="24" t="n">
        <x:f>IFERROR(F488/J488,0)-IFERROR(G488/K488,0)</x:f>
        <x:v>0.1111111111111111</x:v>
      </x:c>
      <x:c r="W488" s="28" t="n">
        <x:f>L488-M488</x:f>
        <x:v>0</x:v>
      </x:c>
      <x:c r="X488" s="24" t="n">
        <x:f>IFERROR(K488/I488,0)</x:f>
        <x:v>0.375</x:v>
      </x:c>
      <x:c r="Y488" s="24" t="n">
        <x:f>IFERROR(G488/I488,0)</x:f>
        <x:v>0.125</x:v>
      </x:c>
      <x:c r="Z488" s="24" t="n">
        <x:f>IFERROR(G488/K488,0)</x:f>
        <x:v>0.3333333333333333</x:v>
      </x:c>
      <x:c r="AA488" s="24" t="n">
        <x:f>IFERROR(F488/H488,0)-IFERROR(G488/I488,0)</x:f>
        <x:v>0.14166666666666666</x:v>
      </x:c>
      <x:c r="AB488" s="28" t="n">
        <x:f>J488-K488</x:f>
        <x:v>3</x:v>
      </x:c>
      <x:c r="AC488" s="32" t="n">
        <x:f>F488-G488</x:f>
        <x:v>2</x:v>
      </x:c>
    </x:row>
    <x:row r="489">
      <x:c r="A489" s="4" t="str">
        <x:v>2021-22</x:v>
      </x:c>
      <x:c r="B489" s="20" t="n">
        <x:v>44612</x:v>
      </x:c>
      <x:c r="C489" s="4" t="str">
        <x:v>Wolves</x:v>
      </x:c>
      <x:c r="D489" s="4" t="str">
        <x:v>Leicester</x:v>
      </x:c>
      <x:c r="E489" s="4" t="str">
        <x:v>Home</x:v>
      </x:c>
      <x:c r="F489" s="28" t="n">
        <x:v>2</x:v>
      </x:c>
      <x:c r="G489" s="28" t="n">
        <x:v>1</x:v>
      </x:c>
      <x:c r="H489" s="28" t="n">
        <x:v>11</x:v>
      </x:c>
      <x:c r="I489" s="28" t="n">
        <x:v>17</x:v>
      </x:c>
      <x:c r="J489" s="28" t="n">
        <x:v>3</x:v>
      </x:c>
      <x:c r="K489" s="28" t="n">
        <x:v>7</x:v>
      </x:c>
      <x:c r="L489" s="28" t="n">
        <x:v>7</x:v>
      </x:c>
      <x:c r="M489" s="28" t="n">
        <x:v>10</x:v>
      </x:c>
      <x:c r="N489" s="28" t="n">
        <x:v>4</x:v>
      </x:c>
      <x:c r="O489" s="28" t="n">
        <x:v>0</x:v>
      </x:c>
      <x:c r="P489" s="28" t="n">
        <x:v>3</x:v>
      </x:c>
      <x:c r="Q489" s="24" t="n">
        <x:f>IFERROR(J489/H489,0)</x:f>
        <x:v>0.2727272727272727</x:v>
      </x:c>
      <x:c r="R489" s="24" t="n">
        <x:f>IFERROR(F489/H489,0)</x:f>
        <x:v>0.18181818181818182</x:v>
      </x:c>
      <x:c r="S489" s="24" t="n">
        <x:f>IFERROR(F489/J489,0)</x:f>
        <x:v>0.6666666666666666</x:v>
      </x:c>
      <x:c r="T489" s="28" t="n">
        <x:f>H489-I489</x:f>
        <x:v>-6</x:v>
      </x:c>
      <x:c r="U489" s="24" t="n">
        <x:f>IFERROR(J489/H489,0)-IFERROR(K489/I489,0)</x:f>
        <x:v>-0.13903743315508021</x:v>
      </x:c>
      <x:c r="V489" s="24" t="n">
        <x:f>IFERROR(F489/J489,0)-IFERROR(G489/K489,0)</x:f>
        <x:v>0.5238095238095237</x:v>
      </x:c>
      <x:c r="W489" s="28" t="n">
        <x:f>L489-M489</x:f>
        <x:v>-3</x:v>
      </x:c>
      <x:c r="X489" s="24" t="n">
        <x:f>IFERROR(K489/I489,0)</x:f>
        <x:v>0.4117647058823529</x:v>
      </x:c>
      <x:c r="Y489" s="24" t="n">
        <x:f>IFERROR(G489/I489,0)</x:f>
        <x:v>0.058823529411764705</x:v>
      </x:c>
      <x:c r="Z489" s="24" t="n">
        <x:f>IFERROR(G489/K489,0)</x:f>
        <x:v>0.14285714285714285</x:v>
      </x:c>
      <x:c r="AA489" s="24" t="n">
        <x:f>IFERROR(F489/H489,0)-IFERROR(G489/I489,0)</x:f>
        <x:v>0.12299465240641712</x:v>
      </x:c>
      <x:c r="AB489" s="28" t="n">
        <x:f>J489-K489</x:f>
        <x:v>-4</x:v>
      </x:c>
      <x:c r="AC489" s="32" t="n">
        <x:f>F489-G489</x:f>
        <x:v>1</x:v>
      </x:c>
    </x:row>
    <x:row r="490">
      <x:c r="A490" s="4" t="str">
        <x:v>2021-22</x:v>
      </x:c>
      <x:c r="B490" s="20" t="n">
        <x:v>44615</x:v>
      </x:c>
      <x:c r="C490" s="4" t="str">
        <x:v>Burnley</x:v>
      </x:c>
      <x:c r="D490" s="4" t="str">
        <x:v>Tottenham</x:v>
      </x:c>
      <x:c r="E490" s="4" t="str">
        <x:v>Home</x:v>
      </x:c>
      <x:c r="F490" s="28" t="n">
        <x:v>1</x:v>
      </x:c>
      <x:c r="G490" s="28" t="n">
        <x:v>0</x:v>
      </x:c>
      <x:c r="H490" s="28" t="n">
        <x:v>15</x:v>
      </x:c>
      <x:c r="I490" s="28" t="n">
        <x:v>12</x:v>
      </x:c>
      <x:c r="J490" s="28" t="n">
        <x:v>4</x:v>
      </x:c>
      <x:c r="K490" s="28" t="n">
        <x:v>2</x:v>
      </x:c>
      <x:c r="L490" s="28" t="n">
        <x:v>3</x:v>
      </x:c>
      <x:c r="M490" s="28" t="n">
        <x:v>7</x:v>
      </x:c>
      <x:c r="N490" s="28" t="n">
        <x:v>0</x:v>
      </x:c>
      <x:c r="O490" s="28" t="n">
        <x:v>0</x:v>
      </x:c>
      <x:c r="P490" s="28" t="n">
        <x:v>3</x:v>
      </x:c>
      <x:c r="Q490" s="24" t="n">
        <x:f>IFERROR(J490/H490,0)</x:f>
        <x:v>0.26666666666666666</x:v>
      </x:c>
      <x:c r="R490" s="24" t="n">
        <x:f>IFERROR(F490/H490,0)</x:f>
        <x:v>0.06666666666666667</x:v>
      </x:c>
      <x:c r="S490" s="24" t="n">
        <x:f>IFERROR(F490/J490,0)</x:f>
        <x:v>0.25</x:v>
      </x:c>
      <x:c r="T490" s="28" t="n">
        <x:f>H490-I490</x:f>
        <x:v>3</x:v>
      </x:c>
      <x:c r="U490" s="24" t="n">
        <x:f>IFERROR(J490/H490,0)-IFERROR(K490/I490,0)</x:f>
        <x:v>0.1</x:v>
      </x:c>
      <x:c r="V490" s="24" t="n">
        <x:f>IFERROR(F490/J490,0)-IFERROR(G490/K490,0)</x:f>
        <x:v>0.25</x:v>
      </x:c>
      <x:c r="W490" s="28" t="n">
        <x:f>L490-M490</x:f>
        <x:v>-4</x:v>
      </x:c>
      <x:c r="X490" s="24" t="n">
        <x:f>IFERROR(K490/I490,0)</x:f>
        <x:v>0.16666666666666666</x:v>
      </x:c>
      <x:c r="Y490" s="24" t="n">
        <x:f>IFERROR(G490/I490,0)</x:f>
        <x:v>0</x:v>
      </x:c>
      <x:c r="Z490" s="24" t="n">
        <x:f>IFERROR(G490/K490,0)</x:f>
        <x:v>0</x:v>
      </x:c>
      <x:c r="AA490" s="24" t="n">
        <x:f>IFERROR(F490/H490,0)-IFERROR(G490/I490,0)</x:f>
        <x:v>0.06666666666666667</x:v>
      </x:c>
      <x:c r="AB490" s="28" t="n">
        <x:f>J490-K490</x:f>
        <x:v>2</x:v>
      </x:c>
      <x:c r="AC490" s="32" t="n">
        <x:f>F490-G490</x:f>
        <x:v>1</x:v>
      </x:c>
    </x:row>
    <x:row r="491">
      <x:c r="A491" s="4" t="str">
        <x:v>2021-22</x:v>
      </x:c>
      <x:c r="B491" s="20" t="n">
        <x:v>44615</x:v>
      </x:c>
      <x:c r="C491" s="4" t="str">
        <x:v>Crystal Palace</x:v>
      </x:c>
      <x:c r="D491" s="4" t="str">
        <x:v>Watford</x:v>
      </x:c>
      <x:c r="E491" s="4" t="str">
        <x:v>Away</x:v>
      </x:c>
      <x:c r="F491" s="28" t="n">
        <x:v>4</x:v>
      </x:c>
      <x:c r="G491" s="28" t="n">
        <x:v>1</x:v>
      </x:c>
      <x:c r="H491" s="28" t="n">
        <x:v>7</x:v>
      </x:c>
      <x:c r="I491" s="28" t="n">
        <x:v>8</x:v>
      </x:c>
      <x:c r="J491" s="28" t="n">
        <x:v>5</x:v>
      </x:c>
      <x:c r="K491" s="28" t="n">
        <x:v>1</x:v>
      </x:c>
      <x:c r="L491" s="28" t="n">
        <x:v>4</x:v>
      </x:c>
      <x:c r="M491" s="28" t="n">
        <x:v>6</x:v>
      </x:c>
      <x:c r="N491" s="28" t="n">
        <x:v>1</x:v>
      </x:c>
      <x:c r="O491" s="28" t="n">
        <x:v>0</x:v>
      </x:c>
      <x:c r="P491" s="28" t="n">
        <x:v>3</x:v>
      </x:c>
      <x:c r="Q491" s="24" t="n">
        <x:f>IFERROR(J491/H491,0)</x:f>
        <x:v>0.7142857142857143</x:v>
      </x:c>
      <x:c r="R491" s="24" t="n">
        <x:f>IFERROR(F491/H491,0)</x:f>
        <x:v>0.5714285714285714</x:v>
      </x:c>
      <x:c r="S491" s="24" t="n">
        <x:f>IFERROR(F491/J491,0)</x:f>
        <x:v>0.8</x:v>
      </x:c>
      <x:c r="T491" s="28" t="n">
        <x:f>H491-I491</x:f>
        <x:v>-1</x:v>
      </x:c>
      <x:c r="U491" s="24" t="n">
        <x:f>IFERROR(J491/H491,0)-IFERROR(K491/I491,0)</x:f>
        <x:v>0.5892857142857143</x:v>
      </x:c>
      <x:c r="V491" s="24" t="n">
        <x:f>IFERROR(F491/J491,0)-IFERROR(G491/K491,0)</x:f>
        <x:v>-0.19999999999999996</x:v>
      </x:c>
      <x:c r="W491" s="28" t="n">
        <x:f>L491-M491</x:f>
        <x:v>-2</x:v>
      </x:c>
      <x:c r="X491" s="24" t="n">
        <x:f>IFERROR(K491/I491,0)</x:f>
        <x:v>0.125</x:v>
      </x:c>
      <x:c r="Y491" s="24" t="n">
        <x:f>IFERROR(G491/I491,0)</x:f>
        <x:v>0.125</x:v>
      </x:c>
      <x:c r="Z491" s="24" t="n">
        <x:f>IFERROR(G491/K491,0)</x:f>
        <x:v>1</x:v>
      </x:c>
      <x:c r="AA491" s="24" t="n">
        <x:f>IFERROR(F491/H491,0)-IFERROR(G491/I491,0)</x:f>
        <x:v>0.4464285714285714</x:v>
      </x:c>
      <x:c r="AB491" s="28" t="n">
        <x:f>J491-K491</x:f>
        <x:v>4</x:v>
      </x:c>
      <x:c r="AC491" s="32" t="n">
        <x:f>F491-G491</x:f>
        <x:v>3</x:v>
      </x:c>
    </x:row>
    <x:row r="492">
      <x:c r="A492" s="4" t="str">
        <x:v>2021-22</x:v>
      </x:c>
      <x:c r="B492" s="20" t="n">
        <x:v>44615</x:v>
      </x:c>
      <x:c r="C492" s="4" t="str">
        <x:v>Leeds</x:v>
      </x:c>
      <x:c r="D492" s="4" t="str">
        <x:v>Liverpool</x:v>
      </x:c>
      <x:c r="E492" s="4" t="str">
        <x:v>Away</x:v>
      </x:c>
      <x:c r="F492" s="28" t="n">
        <x:v>0</x:v>
      </x:c>
      <x:c r="G492" s="28" t="n">
        <x:v>6</x:v>
      </x:c>
      <x:c r="H492" s="28" t="n">
        <x:v>3</x:v>
      </x:c>
      <x:c r="I492" s="28" t="n">
        <x:v>23</x:v>
      </x:c>
      <x:c r="J492" s="28" t="n">
        <x:v>2</x:v>
      </x:c>
      <x:c r="K492" s="28" t="n">
        <x:v>15</x:v>
      </x:c>
      <x:c r="L492" s="28" t="n">
        <x:v>0</x:v>
      </x:c>
      <x:c r="M492" s="28" t="n">
        <x:v>4</x:v>
      </x:c>
      <x:c r="N492" s="28" t="n">
        <x:v>3</x:v>
      </x:c>
      <x:c r="O492" s="28" t="n">
        <x:v>0</x:v>
      </x:c>
      <x:c r="P492" s="28" t="n">
        <x:v>0</x:v>
      </x:c>
      <x:c r="Q492" s="24" t="n">
        <x:f>IFERROR(J492/H492,0)</x:f>
        <x:v>0.6666666666666666</x:v>
      </x:c>
      <x:c r="R492" s="24" t="n">
        <x:f>IFERROR(F492/H492,0)</x:f>
        <x:v>0</x:v>
      </x:c>
      <x:c r="S492" s="24" t="n">
        <x:f>IFERROR(F492/J492,0)</x:f>
        <x:v>0</x:v>
      </x:c>
      <x:c r="T492" s="28" t="n">
        <x:f>H492-I492</x:f>
        <x:v>-20</x:v>
      </x:c>
      <x:c r="U492" s="24" t="n">
        <x:f>IFERROR(J492/H492,0)-IFERROR(K492/I492,0)</x:f>
        <x:v>0.01449275362318836</x:v>
      </x:c>
      <x:c r="V492" s="24" t="n">
        <x:f>IFERROR(F492/J492,0)-IFERROR(G492/K492,0)</x:f>
        <x:v>-0.4</x:v>
      </x:c>
      <x:c r="W492" s="28" t="n">
        <x:f>L492-M492</x:f>
        <x:v>-4</x:v>
      </x:c>
      <x:c r="X492" s="24" t="n">
        <x:f>IFERROR(K492/I492,0)</x:f>
        <x:v>0.6521739130434783</x:v>
      </x:c>
      <x:c r="Y492" s="24" t="n">
        <x:f>IFERROR(G492/I492,0)</x:f>
        <x:v>0.2608695652173913</x:v>
      </x:c>
      <x:c r="Z492" s="24" t="n">
        <x:f>IFERROR(G492/K492,0)</x:f>
        <x:v>0.4</x:v>
      </x:c>
      <x:c r="AA492" s="24" t="n">
        <x:f>IFERROR(F492/H492,0)-IFERROR(G492/I492,0)</x:f>
        <x:v>-0.2608695652173913</x:v>
      </x:c>
      <x:c r="AB492" s="28" t="n">
        <x:f>J492-K492</x:f>
        <x:v>-13</x:v>
      </x:c>
      <x:c r="AC492" s="32" t="n">
        <x:f>F492-G492</x:f>
        <x:v>-6</x:v>
      </x:c>
    </x:row>
    <x:row r="493">
      <x:c r="A493" s="4" t="str">
        <x:v>2021-22</x:v>
      </x:c>
      <x:c r="B493" s="20" t="n">
        <x:v>44615</x:v>
      </x:c>
      <x:c r="C493" s="4" t="str">
        <x:v>Liverpool</x:v>
      </x:c>
      <x:c r="D493" s="4" t="str">
        <x:v>Leeds</x:v>
      </x:c>
      <x:c r="E493" s="4" t="str">
        <x:v>Home</x:v>
      </x:c>
      <x:c r="F493" s="28" t="n">
        <x:v>6</x:v>
      </x:c>
      <x:c r="G493" s="28" t="n">
        <x:v>0</x:v>
      </x:c>
      <x:c r="H493" s="28" t="n">
        <x:v>23</x:v>
      </x:c>
      <x:c r="I493" s="28" t="n">
        <x:v>3</x:v>
      </x:c>
      <x:c r="J493" s="28" t="n">
        <x:v>15</x:v>
      </x:c>
      <x:c r="K493" s="28" t="n">
        <x:v>2</x:v>
      </x:c>
      <x:c r="L493" s="28" t="n">
        <x:v>4</x:v>
      </x:c>
      <x:c r="M493" s="28" t="n">
        <x:v>0</x:v>
      </x:c>
      <x:c r="N493" s="28" t="n">
        <x:v>0</x:v>
      </x:c>
      <x:c r="O493" s="28" t="n">
        <x:v>0</x:v>
      </x:c>
      <x:c r="P493" s="28" t="n">
        <x:v>3</x:v>
      </x:c>
      <x:c r="Q493" s="24" t="n">
        <x:f>IFERROR(J493/H493,0)</x:f>
        <x:v>0.6521739130434783</x:v>
      </x:c>
      <x:c r="R493" s="24" t="n">
        <x:f>IFERROR(F493/H493,0)</x:f>
        <x:v>0.2608695652173913</x:v>
      </x:c>
      <x:c r="S493" s="24" t="n">
        <x:f>IFERROR(F493/J493,0)</x:f>
        <x:v>0.4</x:v>
      </x:c>
      <x:c r="T493" s="28" t="n">
        <x:f>H493-I493</x:f>
        <x:v>20</x:v>
      </x:c>
      <x:c r="U493" s="24" t="n">
        <x:f>IFERROR(J493/H493,0)-IFERROR(K493/I493,0)</x:f>
        <x:v>-0.01449275362318836</x:v>
      </x:c>
      <x:c r="V493" s="24" t="n">
        <x:f>IFERROR(F493/J493,0)-IFERROR(G493/K493,0)</x:f>
        <x:v>0.4</x:v>
      </x:c>
      <x:c r="W493" s="28" t="n">
        <x:f>L493-M493</x:f>
        <x:v>4</x:v>
      </x:c>
      <x:c r="X493" s="24" t="n">
        <x:f>IFERROR(K493/I493,0)</x:f>
        <x:v>0.6666666666666666</x:v>
      </x:c>
      <x:c r="Y493" s="24" t="n">
        <x:f>IFERROR(G493/I493,0)</x:f>
        <x:v>0</x:v>
      </x:c>
      <x:c r="Z493" s="24" t="n">
        <x:f>IFERROR(G493/K493,0)</x:f>
        <x:v>0</x:v>
      </x:c>
      <x:c r="AA493" s="24" t="n">
        <x:f>IFERROR(F493/H493,0)-IFERROR(G493/I493,0)</x:f>
        <x:v>0.2608695652173913</x:v>
      </x:c>
      <x:c r="AB493" s="28" t="n">
        <x:f>J493-K493</x:f>
        <x:v>13</x:v>
      </x:c>
      <x:c r="AC493" s="32" t="n">
        <x:f>F493-G493</x:f>
        <x:v>6</x:v>
      </x:c>
    </x:row>
    <x:row r="494">
      <x:c r="A494" s="4" t="str">
        <x:v>2021-22</x:v>
      </x:c>
      <x:c r="B494" s="20" t="n">
        <x:v>44615</x:v>
      </x:c>
      <x:c r="C494" s="4" t="str">
        <x:v>Tottenham</x:v>
      </x:c>
      <x:c r="D494" s="4" t="str">
        <x:v>Burnley</x:v>
      </x:c>
      <x:c r="E494" s="4" t="str">
        <x:v>Away</x:v>
      </x:c>
      <x:c r="F494" s="28" t="n">
        <x:v>0</x:v>
      </x:c>
      <x:c r="G494" s="28" t="n">
        <x:v>1</x:v>
      </x:c>
      <x:c r="H494" s="28" t="n">
        <x:v>12</x:v>
      </x:c>
      <x:c r="I494" s="28" t="n">
        <x:v>15</x:v>
      </x:c>
      <x:c r="J494" s="28" t="n">
        <x:v>2</x:v>
      </x:c>
      <x:c r="K494" s="28" t="n">
        <x:v>4</x:v>
      </x:c>
      <x:c r="L494" s="28" t="n">
        <x:v>7</x:v>
      </x:c>
      <x:c r="M494" s="28" t="n">
        <x:v>3</x:v>
      </x:c>
      <x:c r="N494" s="28" t="n">
        <x:v>0</x:v>
      </x:c>
      <x:c r="O494" s="28" t="n">
        <x:v>0</x:v>
      </x:c>
      <x:c r="P494" s="28" t="n">
        <x:v>0</x:v>
      </x:c>
      <x:c r="Q494" s="24" t="n">
        <x:f>IFERROR(J494/H494,0)</x:f>
        <x:v>0.16666666666666666</x:v>
      </x:c>
      <x:c r="R494" s="24" t="n">
        <x:f>IFERROR(F494/H494,0)</x:f>
        <x:v>0</x:v>
      </x:c>
      <x:c r="S494" s="24" t="n">
        <x:f>IFERROR(F494/J494,0)</x:f>
        <x:v>0</x:v>
      </x:c>
      <x:c r="T494" s="28" t="n">
        <x:f>H494-I494</x:f>
        <x:v>-3</x:v>
      </x:c>
      <x:c r="U494" s="24" t="n">
        <x:f>IFERROR(J494/H494,0)-IFERROR(K494/I494,0)</x:f>
        <x:v>-0.1</x:v>
      </x:c>
      <x:c r="V494" s="24" t="n">
        <x:f>IFERROR(F494/J494,0)-IFERROR(G494/K494,0)</x:f>
        <x:v>-0.25</x:v>
      </x:c>
      <x:c r="W494" s="28" t="n">
        <x:f>L494-M494</x:f>
        <x:v>4</x:v>
      </x:c>
      <x:c r="X494" s="24" t="n">
        <x:f>IFERROR(K494/I494,0)</x:f>
        <x:v>0.26666666666666666</x:v>
      </x:c>
      <x:c r="Y494" s="24" t="n">
        <x:f>IFERROR(G494/I494,0)</x:f>
        <x:v>0.06666666666666667</x:v>
      </x:c>
      <x:c r="Z494" s="24" t="n">
        <x:f>IFERROR(G494/K494,0)</x:f>
        <x:v>0.25</x:v>
      </x:c>
      <x:c r="AA494" s="24" t="n">
        <x:f>IFERROR(F494/H494,0)-IFERROR(G494/I494,0)</x:f>
        <x:v>-0.06666666666666667</x:v>
      </x:c>
      <x:c r="AB494" s="28" t="n">
        <x:f>J494-K494</x:f>
        <x:v>-2</x:v>
      </x:c>
      <x:c r="AC494" s="32" t="n">
        <x:f>F494-G494</x:f>
        <x:v>-1</x:v>
      </x:c>
    </x:row>
    <x:row r="495">
      <x:c r="A495" s="4" t="str">
        <x:v>2021-22</x:v>
      </x:c>
      <x:c r="B495" s="20" t="n">
        <x:v>44615</x:v>
      </x:c>
      <x:c r="C495" s="4" t="str">
        <x:v>Watford</x:v>
      </x:c>
      <x:c r="D495" s="4" t="str">
        <x:v>Crystal Palace</x:v>
      </x:c>
      <x:c r="E495" s="4" t="str">
        <x:v>Home</x:v>
      </x:c>
      <x:c r="F495" s="28" t="n">
        <x:v>1</x:v>
      </x:c>
      <x:c r="G495" s="28" t="n">
        <x:v>4</x:v>
      </x:c>
      <x:c r="H495" s="28" t="n">
        <x:v>8</x:v>
      </x:c>
      <x:c r="I495" s="28" t="n">
        <x:v>7</x:v>
      </x:c>
      <x:c r="J495" s="28" t="n">
        <x:v>1</x:v>
      </x:c>
      <x:c r="K495" s="28" t="n">
        <x:v>5</x:v>
      </x:c>
      <x:c r="L495" s="28" t="n">
        <x:v>6</x:v>
      </x:c>
      <x:c r="M495" s="28" t="n">
        <x:v>4</x:v>
      </x:c>
      <x:c r="N495" s="28" t="n">
        <x:v>2</x:v>
      </x:c>
      <x:c r="O495" s="28" t="n">
        <x:v>0</x:v>
      </x:c>
      <x:c r="P495" s="28" t="n">
        <x:v>0</x:v>
      </x:c>
      <x:c r="Q495" s="24" t="n">
        <x:f>IFERROR(J495/H495,0)</x:f>
        <x:v>0.125</x:v>
      </x:c>
      <x:c r="R495" s="24" t="n">
        <x:f>IFERROR(F495/H495,0)</x:f>
        <x:v>0.125</x:v>
      </x:c>
      <x:c r="S495" s="24" t="n">
        <x:f>IFERROR(F495/J495,0)</x:f>
        <x:v>1</x:v>
      </x:c>
      <x:c r="T495" s="28" t="n">
        <x:f>H495-I495</x:f>
        <x:v>1</x:v>
      </x:c>
      <x:c r="U495" s="24" t="n">
        <x:f>IFERROR(J495/H495,0)-IFERROR(K495/I495,0)</x:f>
        <x:v>-0.5892857142857143</x:v>
      </x:c>
      <x:c r="V495" s="24" t="n">
        <x:f>IFERROR(F495/J495,0)-IFERROR(G495/K495,0)</x:f>
        <x:v>0.19999999999999996</x:v>
      </x:c>
      <x:c r="W495" s="28" t="n">
        <x:f>L495-M495</x:f>
        <x:v>2</x:v>
      </x:c>
      <x:c r="X495" s="24" t="n">
        <x:f>IFERROR(K495/I495,0)</x:f>
        <x:v>0.7142857142857143</x:v>
      </x:c>
      <x:c r="Y495" s="24" t="n">
        <x:f>IFERROR(G495/I495,0)</x:f>
        <x:v>0.5714285714285714</x:v>
      </x:c>
      <x:c r="Z495" s="24" t="n">
        <x:f>IFERROR(G495/K495,0)</x:f>
        <x:v>0.8</x:v>
      </x:c>
      <x:c r="AA495" s="24" t="n">
        <x:f>IFERROR(F495/H495,0)-IFERROR(G495/I495,0)</x:f>
        <x:v>-0.4464285714285714</x:v>
      </x:c>
      <x:c r="AB495" s="28" t="n">
        <x:f>J495-K495</x:f>
        <x:v>-4</x:v>
      </x:c>
      <x:c r="AC495" s="32" t="n">
        <x:f>F495-G495</x:f>
        <x:v>-3</x:v>
      </x:c>
    </x:row>
    <x:row r="496">
      <x:c r="A496" s="4" t="str">
        <x:v>2021-22</x:v>
      </x:c>
      <x:c r="B496" s="20" t="n">
        <x:v>44616</x:v>
      </x:c>
      <x:c r="C496" s="4" t="str">
        <x:v>Arsenal</x:v>
      </x:c>
      <x:c r="D496" s="4" t="str">
        <x:v>Wolves</x:v>
      </x:c>
      <x:c r="E496" s="4" t="str">
        <x:v>Home</x:v>
      </x:c>
      <x:c r="F496" s="28" t="n">
        <x:v>2</x:v>
      </x:c>
      <x:c r="G496" s="28" t="n">
        <x:v>1</x:v>
      </x:c>
      <x:c r="H496" s="28" t="n">
        <x:v>26</x:v>
      </x:c>
      <x:c r="I496" s="28" t="n">
        <x:v>6</x:v>
      </x:c>
      <x:c r="J496" s="28" t="n">
        <x:v>5</x:v>
      </x:c>
      <x:c r="K496" s="28" t="n">
        <x:v>2</x:v>
      </x:c>
      <x:c r="L496" s="28" t="n">
        <x:v>5</x:v>
      </x:c>
      <x:c r="M496" s="28" t="n">
        <x:v>4</x:v>
      </x:c>
      <x:c r="N496" s="28" t="n">
        <x:v>1</x:v>
      </x:c>
      <x:c r="O496" s="28" t="n">
        <x:v>0</x:v>
      </x:c>
      <x:c r="P496" s="28" t="n">
        <x:v>3</x:v>
      </x:c>
      <x:c r="Q496" s="24" t="n">
        <x:f>IFERROR(J496/H496,0)</x:f>
        <x:v>0.19230769230769232</x:v>
      </x:c>
      <x:c r="R496" s="24" t="n">
        <x:f>IFERROR(F496/H496,0)</x:f>
        <x:v>0.07692307692307693</x:v>
      </x:c>
      <x:c r="S496" s="24" t="n">
        <x:f>IFERROR(F496/J496,0)</x:f>
        <x:v>0.4</x:v>
      </x:c>
      <x:c r="T496" s="28" t="n">
        <x:f>H496-I496</x:f>
        <x:v>20</x:v>
      </x:c>
      <x:c r="U496" s="24" t="n">
        <x:f>IFERROR(J496/H496,0)-IFERROR(K496/I496,0)</x:f>
        <x:v>-0.141025641025641</x:v>
      </x:c>
      <x:c r="V496" s="24" t="n">
        <x:f>IFERROR(F496/J496,0)-IFERROR(G496/K496,0)</x:f>
        <x:v>-0.09999999999999998</x:v>
      </x:c>
      <x:c r="W496" s="28" t="n">
        <x:f>L496-M496</x:f>
        <x:v>1</x:v>
      </x:c>
      <x:c r="X496" s="24" t="n">
        <x:f>IFERROR(K496/I496,0)</x:f>
        <x:v>0.3333333333333333</x:v>
      </x:c>
      <x:c r="Y496" s="24" t="n">
        <x:f>IFERROR(G496/I496,0)</x:f>
        <x:v>0.16666666666666666</x:v>
      </x:c>
      <x:c r="Z496" s="24" t="n">
        <x:f>IFERROR(G496/K496,0)</x:f>
        <x:v>0.5</x:v>
      </x:c>
      <x:c r="AA496" s="24" t="n">
        <x:f>IFERROR(F496/H496,0)-IFERROR(G496/I496,0)</x:f>
        <x:v>-0.08974358974358973</x:v>
      </x:c>
      <x:c r="AB496" s="28" t="n">
        <x:f>J496-K496</x:f>
        <x:v>3</x:v>
      </x:c>
      <x:c r="AC496" s="32" t="n">
        <x:f>F496-G496</x:f>
        <x:v>1</x:v>
      </x:c>
    </x:row>
    <x:row r="497">
      <x:c r="A497" s="4" t="str">
        <x:v>2021-22</x:v>
      </x:c>
      <x:c r="B497" s="20" t="n">
        <x:v>44616</x:v>
      </x:c>
      <x:c r="C497" s="4" t="str">
        <x:v>Wolves</x:v>
      </x:c>
      <x:c r="D497" s="4" t="str">
        <x:v>Arsenal</x:v>
      </x:c>
      <x:c r="E497" s="4" t="str">
        <x:v>Away</x:v>
      </x:c>
      <x:c r="F497" s="28" t="n">
        <x:v>1</x:v>
      </x:c>
      <x:c r="G497" s="28" t="n">
        <x:v>2</x:v>
      </x:c>
      <x:c r="H497" s="28" t="n">
        <x:v>6</x:v>
      </x:c>
      <x:c r="I497" s="28" t="n">
        <x:v>26</x:v>
      </x:c>
      <x:c r="J497" s="28" t="n">
        <x:v>2</x:v>
      </x:c>
      <x:c r="K497" s="28" t="n">
        <x:v>5</x:v>
      </x:c>
      <x:c r="L497" s="28" t="n">
        <x:v>4</x:v>
      </x:c>
      <x:c r="M497" s="28" t="n">
        <x:v>5</x:v>
      </x:c>
      <x:c r="N497" s="28" t="n">
        <x:v>1</x:v>
      </x:c>
      <x:c r="O497" s="28" t="n">
        <x:v>0</x:v>
      </x:c>
      <x:c r="P497" s="28" t="n">
        <x:v>0</x:v>
      </x:c>
      <x:c r="Q497" s="24" t="n">
        <x:f>IFERROR(J497/H497,0)</x:f>
        <x:v>0.3333333333333333</x:v>
      </x:c>
      <x:c r="R497" s="24" t="n">
        <x:f>IFERROR(F497/H497,0)</x:f>
        <x:v>0.16666666666666666</x:v>
      </x:c>
      <x:c r="S497" s="24" t="n">
        <x:f>IFERROR(F497/J497,0)</x:f>
        <x:v>0.5</x:v>
      </x:c>
      <x:c r="T497" s="28" t="n">
        <x:f>H497-I497</x:f>
        <x:v>-20</x:v>
      </x:c>
      <x:c r="U497" s="24" t="n">
        <x:f>IFERROR(J497/H497,0)-IFERROR(K497/I497,0)</x:f>
        <x:v>0.141025641025641</x:v>
      </x:c>
      <x:c r="V497" s="24" t="n">
        <x:f>IFERROR(F497/J497,0)-IFERROR(G497/K497,0)</x:f>
        <x:v>0.09999999999999998</x:v>
      </x:c>
      <x:c r="W497" s="28" t="n">
        <x:f>L497-M497</x:f>
        <x:v>-1</x:v>
      </x:c>
      <x:c r="X497" s="24" t="n">
        <x:f>IFERROR(K497/I497,0)</x:f>
        <x:v>0.19230769230769232</x:v>
      </x:c>
      <x:c r="Y497" s="24" t="n">
        <x:f>IFERROR(G497/I497,0)</x:f>
        <x:v>0.07692307692307693</x:v>
      </x:c>
      <x:c r="Z497" s="24" t="n">
        <x:f>IFERROR(G497/K497,0)</x:f>
        <x:v>0.4</x:v>
      </x:c>
      <x:c r="AA497" s="24" t="n">
        <x:f>IFERROR(F497/H497,0)-IFERROR(G497/I497,0)</x:f>
        <x:v>0.08974358974358973</x:v>
      </x:c>
      <x:c r="AB497" s="28" t="n">
        <x:f>J497-K497</x:f>
        <x:v>-3</x:v>
      </x:c>
      <x:c r="AC497" s="32" t="n">
        <x:f>F497-G497</x:f>
        <x:v>-1</x:v>
      </x:c>
    </x:row>
    <x:row r="498">
      <x:c r="A498" s="4" t="str">
        <x:v>2021-22</x:v>
      </x:c>
      <x:c r="B498" s="20" t="n">
        <x:v>44617</x:v>
      </x:c>
      <x:c r="C498" s="4" t="str">
        <x:v>Norwich</x:v>
      </x:c>
      <x:c r="D498" s="4" t="str">
        <x:v>Southampton</x:v>
      </x:c>
      <x:c r="E498" s="4" t="str">
        <x:v>Away</x:v>
      </x:c>
      <x:c r="F498" s="28" t="n">
        <x:v>0</x:v>
      </x:c>
      <x:c r="G498" s="28" t="n">
        <x:v>2</x:v>
      </x:c>
      <x:c r="H498" s="28" t="n">
        <x:v>8</x:v>
      </x:c>
      <x:c r="I498" s="28" t="n">
        <x:v>27</x:v>
      </x:c>
      <x:c r="J498" s="28" t="n">
        <x:v>1</x:v>
      </x:c>
      <x:c r="K498" s="28" t="n">
        <x:v>9</x:v>
      </x:c>
      <x:c r="L498" s="28" t="n">
        <x:v>6</x:v>
      </x:c>
      <x:c r="M498" s="28" t="n">
        <x:v>13</x:v>
      </x:c>
      <x:c r="N498" s="28" t="n">
        <x:v>2</x:v>
      </x:c>
      <x:c r="O498" s="28" t="n">
        <x:v>0</x:v>
      </x:c>
      <x:c r="P498" s="28" t="n">
        <x:v>0</x:v>
      </x:c>
      <x:c r="Q498" s="24" t="n">
        <x:f>IFERROR(J498/H498,0)</x:f>
        <x:v>0.125</x:v>
      </x:c>
      <x:c r="R498" s="24" t="n">
        <x:f>IFERROR(F498/H498,0)</x:f>
        <x:v>0</x:v>
      </x:c>
      <x:c r="S498" s="24" t="n">
        <x:f>IFERROR(F498/J498,0)</x:f>
        <x:v>0</x:v>
      </x:c>
      <x:c r="T498" s="28" t="n">
        <x:f>H498-I498</x:f>
        <x:v>-19</x:v>
      </x:c>
      <x:c r="U498" s="24" t="n">
        <x:f>IFERROR(J498/H498,0)-IFERROR(K498/I498,0)</x:f>
        <x:v>-0.20833333333333331</x:v>
      </x:c>
      <x:c r="V498" s="24" t="n">
        <x:f>IFERROR(F498/J498,0)-IFERROR(G498/K498,0)</x:f>
        <x:v>-0.2222222222222222</x:v>
      </x:c>
      <x:c r="W498" s="28" t="n">
        <x:f>L498-M498</x:f>
        <x:v>-7</x:v>
      </x:c>
      <x:c r="X498" s="24" t="n">
        <x:f>IFERROR(K498/I498,0)</x:f>
        <x:v>0.3333333333333333</x:v>
      </x:c>
      <x:c r="Y498" s="24" t="n">
        <x:f>IFERROR(G498/I498,0)</x:f>
        <x:v>0.07407407407407407</x:v>
      </x:c>
      <x:c r="Z498" s="24" t="n">
        <x:f>IFERROR(G498/K498,0)</x:f>
        <x:v>0.2222222222222222</x:v>
      </x:c>
      <x:c r="AA498" s="24" t="n">
        <x:f>IFERROR(F498/H498,0)-IFERROR(G498/I498,0)</x:f>
        <x:v>-0.07407407407407407</x:v>
      </x:c>
      <x:c r="AB498" s="28" t="n">
        <x:f>J498-K498</x:f>
        <x:v>-8</x:v>
      </x:c>
      <x:c r="AC498" s="32" t="n">
        <x:f>F498-G498</x:f>
        <x:v>-2</x:v>
      </x:c>
    </x:row>
    <x:row r="499">
      <x:c r="A499" s="4" t="str">
        <x:v>2021-22</x:v>
      </x:c>
      <x:c r="B499" s="20" t="n">
        <x:v>44617</x:v>
      </x:c>
      <x:c r="C499" s="4" t="str">
        <x:v>Southampton</x:v>
      </x:c>
      <x:c r="D499" s="4" t="str">
        <x:v>Norwich</x:v>
      </x:c>
      <x:c r="E499" s="4" t="str">
        <x:v>Home</x:v>
      </x:c>
      <x:c r="F499" s="28" t="n">
        <x:v>2</x:v>
      </x:c>
      <x:c r="G499" s="28" t="n">
        <x:v>0</x:v>
      </x:c>
      <x:c r="H499" s="28" t="n">
        <x:v>27</x:v>
      </x:c>
      <x:c r="I499" s="28" t="n">
        <x:v>8</x:v>
      </x:c>
      <x:c r="J499" s="28" t="n">
        <x:v>9</x:v>
      </x:c>
      <x:c r="K499" s="28" t="n">
        <x:v>1</x:v>
      </x:c>
      <x:c r="L499" s="28" t="n">
        <x:v>13</x:v>
      </x:c>
      <x:c r="M499" s="28" t="n">
        <x:v>6</x:v>
      </x:c>
      <x:c r="N499" s="28" t="n">
        <x:v>1</x:v>
      </x:c>
      <x:c r="O499" s="28" t="n">
        <x:v>0</x:v>
      </x:c>
      <x:c r="P499" s="28" t="n">
        <x:v>3</x:v>
      </x:c>
      <x:c r="Q499" s="24" t="n">
        <x:f>IFERROR(J499/H499,0)</x:f>
        <x:v>0.3333333333333333</x:v>
      </x:c>
      <x:c r="R499" s="24" t="n">
        <x:f>IFERROR(F499/H499,0)</x:f>
        <x:v>0.07407407407407407</x:v>
      </x:c>
      <x:c r="S499" s="24" t="n">
        <x:f>IFERROR(F499/J499,0)</x:f>
        <x:v>0.2222222222222222</x:v>
      </x:c>
      <x:c r="T499" s="28" t="n">
        <x:f>H499-I499</x:f>
        <x:v>19</x:v>
      </x:c>
      <x:c r="U499" s="24" t="n">
        <x:f>IFERROR(J499/H499,0)-IFERROR(K499/I499,0)</x:f>
        <x:v>0.20833333333333331</x:v>
      </x:c>
      <x:c r="V499" s="24" t="n">
        <x:f>IFERROR(F499/J499,0)-IFERROR(G499/K499,0)</x:f>
        <x:v>0.2222222222222222</x:v>
      </x:c>
      <x:c r="W499" s="28" t="n">
        <x:f>L499-M499</x:f>
        <x:v>7</x:v>
      </x:c>
      <x:c r="X499" s="24" t="n">
        <x:f>IFERROR(K499/I499,0)</x:f>
        <x:v>0.125</x:v>
      </x:c>
      <x:c r="Y499" s="24" t="n">
        <x:f>IFERROR(G499/I499,0)</x:f>
        <x:v>0</x:v>
      </x:c>
      <x:c r="Z499" s="24" t="n">
        <x:f>IFERROR(G499/K499,0)</x:f>
        <x:v>0</x:v>
      </x:c>
      <x:c r="AA499" s="24" t="n">
        <x:f>IFERROR(F499/H499,0)-IFERROR(G499/I499,0)</x:f>
        <x:v>0.07407407407407407</x:v>
      </x:c>
      <x:c r="AB499" s="28" t="n">
        <x:f>J499-K499</x:f>
        <x:v>8</x:v>
      </x:c>
      <x:c r="AC499" s="32" t="n">
        <x:f>F499-G499</x:f>
        <x:v>2</x:v>
      </x:c>
    </x:row>
    <x:row r="500">
      <x:c r="A500" s="4" t="str">
        <x:v>2021-22</x:v>
      </x:c>
      <x:c r="B500" s="20" t="n">
        <x:v>44618</x:v>
      </x:c>
      <x:c r="C500" s="4" t="str">
        <x:v>Aston Villa</x:v>
      </x:c>
      <x:c r="D500" s="4" t="str">
        <x:v>Brighton</x:v>
      </x:c>
      <x:c r="E500" s="4" t="str">
        <x:v>Away</x:v>
      </x:c>
      <x:c r="F500" s="28" t="n">
        <x:v>2</x:v>
      </x:c>
      <x:c r="G500" s="28" t="n">
        <x:v>0</x:v>
      </x:c>
      <x:c r="H500" s="28" t="n">
        <x:v>9</x:v>
      </x:c>
      <x:c r="I500" s="28" t="n">
        <x:v>12</x:v>
      </x:c>
      <x:c r="J500" s="28" t="n">
        <x:v>4</x:v>
      </x:c>
      <x:c r="K500" s="28" t="n">
        <x:v>1</x:v>
      </x:c>
      <x:c r="L500" s="28" t="n">
        <x:v>2</x:v>
      </x:c>
      <x:c r="M500" s="28" t="n">
        <x:v>7</x:v>
      </x:c>
      <x:c r="N500" s="28" t="n">
        <x:v>5</x:v>
      </x:c>
      <x:c r="O500" s="28" t="n">
        <x:v>0</x:v>
      </x:c>
      <x:c r="P500" s="28" t="n">
        <x:v>3</x:v>
      </x:c>
      <x:c r="Q500" s="24" t="n">
        <x:f>IFERROR(J500/H500,0)</x:f>
        <x:v>0.4444444444444444</x:v>
      </x:c>
      <x:c r="R500" s="24" t="n">
        <x:f>IFERROR(F500/H500,0)</x:f>
        <x:v>0.2222222222222222</x:v>
      </x:c>
      <x:c r="S500" s="24" t="n">
        <x:f>IFERROR(F500/J500,0)</x:f>
        <x:v>0.5</x:v>
      </x:c>
      <x:c r="T500" s="28" t="n">
        <x:f>H500-I500</x:f>
        <x:v>-3</x:v>
      </x:c>
      <x:c r="U500" s="24" t="n">
        <x:f>IFERROR(J500/H500,0)-IFERROR(K500/I500,0)</x:f>
        <x:v>0.3611111111111111</x:v>
      </x:c>
      <x:c r="V500" s="24" t="n">
        <x:f>IFERROR(F500/J500,0)-IFERROR(G500/K500,0)</x:f>
        <x:v>0.5</x:v>
      </x:c>
      <x:c r="W500" s="28" t="n">
        <x:f>L500-M500</x:f>
        <x:v>-5</x:v>
      </x:c>
      <x:c r="X500" s="24" t="n">
        <x:f>IFERROR(K500/I500,0)</x:f>
        <x:v>0.08333333333333333</x:v>
      </x:c>
      <x:c r="Y500" s="24" t="n">
        <x:f>IFERROR(G500/I500,0)</x:f>
        <x:v>0</x:v>
      </x:c>
      <x:c r="Z500" s="24" t="n">
        <x:f>IFERROR(G500/K500,0)</x:f>
        <x:v>0</x:v>
      </x:c>
      <x:c r="AA500" s="24" t="n">
        <x:f>IFERROR(F500/H500,0)-IFERROR(G500/I500,0)</x:f>
        <x:v>0.2222222222222222</x:v>
      </x:c>
      <x:c r="AB500" s="28" t="n">
        <x:f>J500-K500</x:f>
        <x:v>3</x:v>
      </x:c>
      <x:c r="AC500" s="32" t="n">
        <x:f>F500-G500</x:f>
        <x:v>2</x:v>
      </x:c>
    </x:row>
    <x:row r="501">
      <x:c r="A501" s="4" t="str">
        <x:v>2021-22</x:v>
      </x:c>
      <x:c r="B501" s="20" t="n">
        <x:v>44618</x:v>
      </x:c>
      <x:c r="C501" s="4" t="str">
        <x:v>Brentford</x:v>
      </x:c>
      <x:c r="D501" s="4" t="str">
        <x:v>Newcastle</x:v>
      </x:c>
      <x:c r="E501" s="4" t="str">
        <x:v>Home</x:v>
      </x:c>
      <x:c r="F501" s="28" t="n">
        <x:v>0</x:v>
      </x:c>
      <x:c r="G501" s="28" t="n">
        <x:v>2</x:v>
      </x:c>
      <x:c r="H501" s="28" t="n">
        <x:v>6</x:v>
      </x:c>
      <x:c r="I501" s="28" t="n">
        <x:v>26</x:v>
      </x:c>
      <x:c r="J501" s="28" t="n">
        <x:v>1</x:v>
      </x:c>
      <x:c r="K501" s="28" t="n">
        <x:v>11</x:v>
      </x:c>
      <x:c r="L501" s="28" t="n">
        <x:v>6</x:v>
      </x:c>
      <x:c r="M501" s="28" t="n">
        <x:v>6</x:v>
      </x:c>
      <x:c r="N501" s="28" t="n">
        <x:v>3</x:v>
      </x:c>
      <x:c r="O501" s="28" t="n">
        <x:v>1</x:v>
      </x:c>
      <x:c r="P501" s="28" t="n">
        <x:v>0</x:v>
      </x:c>
      <x:c r="Q501" s="24" t="n">
        <x:f>IFERROR(J501/H501,0)</x:f>
        <x:v>0.16666666666666666</x:v>
      </x:c>
      <x:c r="R501" s="24" t="n">
        <x:f>IFERROR(F501/H501,0)</x:f>
        <x:v>0</x:v>
      </x:c>
      <x:c r="S501" s="24" t="n">
        <x:f>IFERROR(F501/J501,0)</x:f>
        <x:v>0</x:v>
      </x:c>
      <x:c r="T501" s="28" t="n">
        <x:f>H501-I501</x:f>
        <x:v>-20</x:v>
      </x:c>
      <x:c r="U501" s="24" t="n">
        <x:f>IFERROR(J501/H501,0)-IFERROR(K501/I501,0)</x:f>
        <x:v>-0.2564102564102564</x:v>
      </x:c>
      <x:c r="V501" s="24" t="n">
        <x:f>IFERROR(F501/J501,0)-IFERROR(G501/K501,0)</x:f>
        <x:v>-0.18181818181818182</x:v>
      </x:c>
      <x:c r="W501" s="28" t="n">
        <x:f>L501-M501</x:f>
        <x:v>0</x:v>
      </x:c>
      <x:c r="X501" s="24" t="n">
        <x:f>IFERROR(K501/I501,0)</x:f>
        <x:v>0.4230769230769231</x:v>
      </x:c>
      <x:c r="Y501" s="24" t="n">
        <x:f>IFERROR(G501/I501,0)</x:f>
        <x:v>0.07692307692307693</x:v>
      </x:c>
      <x:c r="Z501" s="24" t="n">
        <x:f>IFERROR(G501/K501,0)</x:f>
        <x:v>0.18181818181818182</x:v>
      </x:c>
      <x:c r="AA501" s="24" t="n">
        <x:f>IFERROR(F501/H501,0)-IFERROR(G501/I501,0)</x:f>
        <x:v>-0.07692307692307693</x:v>
      </x:c>
      <x:c r="AB501" s="28" t="n">
        <x:f>J501-K501</x:f>
        <x:v>-10</x:v>
      </x:c>
      <x:c r="AC501" s="32" t="n">
        <x:f>F501-G501</x:f>
        <x:v>-2</x:v>
      </x:c>
    </x:row>
    <x:row r="502">
      <x:c r="A502" s="4" t="str">
        <x:v>2021-22</x:v>
      </x:c>
      <x:c r="B502" s="20" t="n">
        <x:v>44618</x:v>
      </x:c>
      <x:c r="C502" s="4" t="str">
        <x:v>Brighton</x:v>
      </x:c>
      <x:c r="D502" s="4" t="str">
        <x:v>Aston Villa</x:v>
      </x:c>
      <x:c r="E502" s="4" t="str">
        <x:v>Home</x:v>
      </x:c>
      <x:c r="F502" s="28" t="n">
        <x:v>0</x:v>
      </x:c>
      <x:c r="G502" s="28" t="n">
        <x:v>2</x:v>
      </x:c>
      <x:c r="H502" s="28" t="n">
        <x:v>12</x:v>
      </x:c>
      <x:c r="I502" s="28" t="n">
        <x:v>9</x:v>
      </x:c>
      <x:c r="J502" s="28" t="n">
        <x:v>1</x:v>
      </x:c>
      <x:c r="K502" s="28" t="n">
        <x:v>4</x:v>
      </x:c>
      <x:c r="L502" s="28" t="n">
        <x:v>7</x:v>
      </x:c>
      <x:c r="M502" s="28" t="n">
        <x:v>2</x:v>
      </x:c>
      <x:c r="N502" s="28" t="n">
        <x:v>4</x:v>
      </x:c>
      <x:c r="O502" s="28" t="n">
        <x:v>0</x:v>
      </x:c>
      <x:c r="P502" s="28" t="n">
        <x:v>0</x:v>
      </x:c>
      <x:c r="Q502" s="24" t="n">
        <x:f>IFERROR(J502/H502,0)</x:f>
        <x:v>0.08333333333333333</x:v>
      </x:c>
      <x:c r="R502" s="24" t="n">
        <x:f>IFERROR(F502/H502,0)</x:f>
        <x:v>0</x:v>
      </x:c>
      <x:c r="S502" s="24" t="n">
        <x:f>IFERROR(F502/J502,0)</x:f>
        <x:v>0</x:v>
      </x:c>
      <x:c r="T502" s="28" t="n">
        <x:f>H502-I502</x:f>
        <x:v>3</x:v>
      </x:c>
      <x:c r="U502" s="24" t="n">
        <x:f>IFERROR(J502/H502,0)-IFERROR(K502/I502,0)</x:f>
        <x:v>-0.3611111111111111</x:v>
      </x:c>
      <x:c r="V502" s="24" t="n">
        <x:f>IFERROR(F502/J502,0)-IFERROR(G502/K502,0)</x:f>
        <x:v>-0.5</x:v>
      </x:c>
      <x:c r="W502" s="28" t="n">
        <x:f>L502-M502</x:f>
        <x:v>5</x:v>
      </x:c>
      <x:c r="X502" s="24" t="n">
        <x:f>IFERROR(K502/I502,0)</x:f>
        <x:v>0.4444444444444444</x:v>
      </x:c>
      <x:c r="Y502" s="24" t="n">
        <x:f>IFERROR(G502/I502,0)</x:f>
        <x:v>0.2222222222222222</x:v>
      </x:c>
      <x:c r="Z502" s="24" t="n">
        <x:f>IFERROR(G502/K502,0)</x:f>
        <x:v>0.5</x:v>
      </x:c>
      <x:c r="AA502" s="24" t="n">
        <x:f>IFERROR(F502/H502,0)-IFERROR(G502/I502,0)</x:f>
        <x:v>-0.2222222222222222</x:v>
      </x:c>
      <x:c r="AB502" s="28" t="n">
        <x:f>J502-K502</x:f>
        <x:v>-3</x:v>
      </x:c>
      <x:c r="AC502" s="32" t="n">
        <x:f>F502-G502</x:f>
        <x:v>-2</x:v>
      </x:c>
    </x:row>
    <x:row r="503">
      <x:c r="A503" s="4" t="str">
        <x:v>2021-22</x:v>
      </x:c>
      <x:c r="B503" s="20" t="n">
        <x:v>44618</x:v>
      </x:c>
      <x:c r="C503" s="4" t="str">
        <x:v>Burnley</x:v>
      </x:c>
      <x:c r="D503" s="4" t="str">
        <x:v>Crystal Palace</x:v>
      </x:c>
      <x:c r="E503" s="4" t="str">
        <x:v>Away</x:v>
      </x:c>
      <x:c r="F503" s="28" t="n">
        <x:v>1</x:v>
      </x:c>
      <x:c r="G503" s="28" t="n">
        <x:v>1</x:v>
      </x:c>
      <x:c r="H503" s="28" t="n">
        <x:v>5</x:v>
      </x:c>
      <x:c r="I503" s="28" t="n">
        <x:v>11</x:v>
      </x:c>
      <x:c r="J503" s="28" t="n">
        <x:v>1</x:v>
      </x:c>
      <x:c r="K503" s="28" t="n">
        <x:v>4</x:v>
      </x:c>
      <x:c r="L503" s="28" t="n">
        <x:v>4</x:v>
      </x:c>
      <x:c r="M503" s="28" t="n">
        <x:v>5</x:v>
      </x:c>
      <x:c r="N503" s="28" t="n">
        <x:v>2</x:v>
      </x:c>
      <x:c r="O503" s="28" t="n">
        <x:v>0</x:v>
      </x:c>
      <x:c r="P503" s="28" t="n">
        <x:v>1</x:v>
      </x:c>
      <x:c r="Q503" s="24" t="n">
        <x:f>IFERROR(J503/H503,0)</x:f>
        <x:v>0.2</x:v>
      </x:c>
      <x:c r="R503" s="24" t="n">
        <x:f>IFERROR(F503/H503,0)</x:f>
        <x:v>0.2</x:v>
      </x:c>
      <x:c r="S503" s="24" t="n">
        <x:f>IFERROR(F503/J503,0)</x:f>
        <x:v>1</x:v>
      </x:c>
      <x:c r="T503" s="28" t="n">
        <x:f>H503-I503</x:f>
        <x:v>-6</x:v>
      </x:c>
      <x:c r="U503" s="24" t="n">
        <x:f>IFERROR(J503/H503,0)-IFERROR(K503/I503,0)</x:f>
        <x:v>-0.16363636363636364</x:v>
      </x:c>
      <x:c r="V503" s="24" t="n">
        <x:f>IFERROR(F503/J503,0)-IFERROR(G503/K503,0)</x:f>
        <x:v>0.75</x:v>
      </x:c>
      <x:c r="W503" s="28" t="n">
        <x:f>L503-M503</x:f>
        <x:v>-1</x:v>
      </x:c>
      <x:c r="X503" s="24" t="n">
        <x:f>IFERROR(K503/I503,0)</x:f>
        <x:v>0.36363636363636365</x:v>
      </x:c>
      <x:c r="Y503" s="24" t="n">
        <x:f>IFERROR(G503/I503,0)</x:f>
        <x:v>0.09090909090909091</x:v>
      </x:c>
      <x:c r="Z503" s="24" t="n">
        <x:f>IFERROR(G503/K503,0)</x:f>
        <x:v>0.25</x:v>
      </x:c>
      <x:c r="AA503" s="24" t="n">
        <x:f>IFERROR(F503/H503,0)-IFERROR(G503/I503,0)</x:f>
        <x:v>0.1090909090909091</x:v>
      </x:c>
      <x:c r="AB503" s="28" t="n">
        <x:f>J503-K503</x:f>
        <x:v>-3</x:v>
      </x:c>
      <x:c r="AC503" s="32" t="n">
        <x:f>F503-G503</x:f>
        <x:v>0</x:v>
      </x:c>
    </x:row>
    <x:row r="504">
      <x:c r="A504" s="4" t="str">
        <x:v>2021-22</x:v>
      </x:c>
      <x:c r="B504" s="20" t="n">
        <x:v>44618</x:v>
      </x:c>
      <x:c r="C504" s="4" t="str">
        <x:v>Crystal Palace</x:v>
      </x:c>
      <x:c r="D504" s="4" t="str">
        <x:v>Burnley</x:v>
      </x:c>
      <x:c r="E504" s="4" t="str">
        <x:v>Home</x:v>
      </x:c>
      <x:c r="F504" s="28" t="n">
        <x:v>1</x:v>
      </x:c>
      <x:c r="G504" s="28" t="n">
        <x:v>1</x:v>
      </x:c>
      <x:c r="H504" s="28" t="n">
        <x:v>11</x:v>
      </x:c>
      <x:c r="I504" s="28" t="n">
        <x:v>5</x:v>
      </x:c>
      <x:c r="J504" s="28" t="n">
        <x:v>4</x:v>
      </x:c>
      <x:c r="K504" s="28" t="n">
        <x:v>1</x:v>
      </x:c>
      <x:c r="L504" s="28" t="n">
        <x:v>5</x:v>
      </x:c>
      <x:c r="M504" s="28" t="n">
        <x:v>4</x:v>
      </x:c>
      <x:c r="N504" s="28" t="n">
        <x:v>0</x:v>
      </x:c>
      <x:c r="O504" s="28" t="n">
        <x:v>0</x:v>
      </x:c>
      <x:c r="P504" s="28" t="n">
        <x:v>1</x:v>
      </x:c>
      <x:c r="Q504" s="24" t="n">
        <x:f>IFERROR(J504/H504,0)</x:f>
        <x:v>0.36363636363636365</x:v>
      </x:c>
      <x:c r="R504" s="24" t="n">
        <x:f>IFERROR(F504/H504,0)</x:f>
        <x:v>0.09090909090909091</x:v>
      </x:c>
      <x:c r="S504" s="24" t="n">
        <x:f>IFERROR(F504/J504,0)</x:f>
        <x:v>0.25</x:v>
      </x:c>
      <x:c r="T504" s="28" t="n">
        <x:f>H504-I504</x:f>
        <x:v>6</x:v>
      </x:c>
      <x:c r="U504" s="24" t="n">
        <x:f>IFERROR(J504/H504,0)-IFERROR(K504/I504,0)</x:f>
        <x:v>0.16363636363636364</x:v>
      </x:c>
      <x:c r="V504" s="24" t="n">
        <x:f>IFERROR(F504/J504,0)-IFERROR(G504/K504,0)</x:f>
        <x:v>-0.75</x:v>
      </x:c>
      <x:c r="W504" s="28" t="n">
        <x:f>L504-M504</x:f>
        <x:v>1</x:v>
      </x:c>
      <x:c r="X504" s="24" t="n">
        <x:f>IFERROR(K504/I504,0)</x:f>
        <x:v>0.2</x:v>
      </x:c>
      <x:c r="Y504" s="24" t="n">
        <x:f>IFERROR(G504/I504,0)</x:f>
        <x:v>0.2</x:v>
      </x:c>
      <x:c r="Z504" s="24" t="n">
        <x:f>IFERROR(G504/K504,0)</x:f>
        <x:v>1</x:v>
      </x:c>
      <x:c r="AA504" s="24" t="n">
        <x:f>IFERROR(F504/H504,0)-IFERROR(G504/I504,0)</x:f>
        <x:v>-0.1090909090909091</x:v>
      </x:c>
      <x:c r="AB504" s="28" t="n">
        <x:f>J504-K504</x:f>
        <x:v>3</x:v>
      </x:c>
      <x:c r="AC504" s="32" t="n">
        <x:f>F504-G504</x:f>
        <x:v>0</x:v>
      </x:c>
    </x:row>
    <x:row r="505">
      <x:c r="A505" s="4" t="str">
        <x:v>2021-22</x:v>
      </x:c>
      <x:c r="B505" s="20" t="n">
        <x:v>44618</x:v>
      </x:c>
      <x:c r="C505" s="4" t="str">
        <x:v>Everton</x:v>
      </x:c>
      <x:c r="D505" s="4" t="str">
        <x:v>Man City</x:v>
      </x:c>
      <x:c r="E505" s="4" t="str">
        <x:v>Home</x:v>
      </x:c>
      <x:c r="F505" s="28" t="n">
        <x:v>0</x:v>
      </x:c>
      <x:c r="G505" s="28" t="n">
        <x:v>1</x:v>
      </x:c>
      <x:c r="H505" s="28" t="n">
        <x:v>6</x:v>
      </x:c>
      <x:c r="I505" s="28" t="n">
        <x:v>13</x:v>
      </x:c>
      <x:c r="J505" s="28" t="n">
        <x:v>2</x:v>
      </x:c>
      <x:c r="K505" s="28" t="n">
        <x:v>8</x:v>
      </x:c>
      <x:c r="L505" s="28" t="n">
        <x:v>3</x:v>
      </x:c>
      <x:c r="M505" s="28" t="n">
        <x:v>4</x:v>
      </x:c>
      <x:c r="N505" s="28" t="n">
        <x:v>3</x:v>
      </x:c>
      <x:c r="O505" s="28" t="n">
        <x:v>0</x:v>
      </x:c>
      <x:c r="P505" s="28" t="n">
        <x:v>0</x:v>
      </x:c>
      <x:c r="Q505" s="24" t="n">
        <x:f>IFERROR(J505/H505,0)</x:f>
        <x:v>0.3333333333333333</x:v>
      </x:c>
      <x:c r="R505" s="24" t="n">
        <x:f>IFERROR(F505/H505,0)</x:f>
        <x:v>0</x:v>
      </x:c>
      <x:c r="S505" s="24" t="n">
        <x:f>IFERROR(F505/J505,0)</x:f>
        <x:v>0</x:v>
      </x:c>
      <x:c r="T505" s="28" t="n">
        <x:f>H505-I505</x:f>
        <x:v>-7</x:v>
      </x:c>
      <x:c r="U505" s="24" t="n">
        <x:f>IFERROR(J505/H505,0)-IFERROR(K505/I505,0)</x:f>
        <x:v>-0.2820512820512821</x:v>
      </x:c>
      <x:c r="V505" s="24" t="n">
        <x:f>IFERROR(F505/J505,0)-IFERROR(G505/K505,0)</x:f>
        <x:v>-0.125</x:v>
      </x:c>
      <x:c r="W505" s="28" t="n">
        <x:f>L505-M505</x:f>
        <x:v>-1</x:v>
      </x:c>
      <x:c r="X505" s="24" t="n">
        <x:f>IFERROR(K505/I505,0)</x:f>
        <x:v>0.6153846153846154</x:v>
      </x:c>
      <x:c r="Y505" s="24" t="n">
        <x:f>IFERROR(G505/I505,0)</x:f>
        <x:v>0.07692307692307693</x:v>
      </x:c>
      <x:c r="Z505" s="24" t="n">
        <x:f>IFERROR(G505/K505,0)</x:f>
        <x:v>0.125</x:v>
      </x:c>
      <x:c r="AA505" s="24" t="n">
        <x:f>IFERROR(F505/H505,0)-IFERROR(G505/I505,0)</x:f>
        <x:v>-0.07692307692307693</x:v>
      </x:c>
      <x:c r="AB505" s="28" t="n">
        <x:f>J505-K505</x:f>
        <x:v>-6</x:v>
      </x:c>
      <x:c r="AC505" s="32" t="n">
        <x:f>F505-G505</x:f>
        <x:v>-1</x:v>
      </x:c>
    </x:row>
    <x:row r="506">
      <x:c r="A506" s="4" t="str">
        <x:v>2021-22</x:v>
      </x:c>
      <x:c r="B506" s="20" t="n">
        <x:v>44618</x:v>
      </x:c>
      <x:c r="C506" s="4" t="str">
        <x:v>Leeds</x:v>
      </x:c>
      <x:c r="D506" s="4" t="str">
        <x:v>Tottenham</x:v>
      </x:c>
      <x:c r="E506" s="4" t="str">
        <x:v>Home</x:v>
      </x:c>
      <x:c r="F506" s="28" t="n">
        <x:v>0</x:v>
      </x:c>
      <x:c r="G506" s="28" t="n">
        <x:v>4</x:v>
      </x:c>
      <x:c r="H506" s="28" t="n">
        <x:v>19</x:v>
      </x:c>
      <x:c r="I506" s="28" t="n">
        <x:v>15</x:v>
      </x:c>
      <x:c r="J506" s="28" t="n">
        <x:v>3</x:v>
      </x:c>
      <x:c r="K506" s="28" t="n">
        <x:v>11</x:v>
      </x:c>
      <x:c r="L506" s="28" t="n">
        <x:v>3</x:v>
      </x:c>
      <x:c r="M506" s="28" t="n">
        <x:v>6</x:v>
      </x:c>
      <x:c r="N506" s="28" t="n">
        <x:v>4</x:v>
      </x:c>
      <x:c r="O506" s="28" t="n">
        <x:v>0</x:v>
      </x:c>
      <x:c r="P506" s="28" t="n">
        <x:v>0</x:v>
      </x:c>
      <x:c r="Q506" s="24" t="n">
        <x:f>IFERROR(J506/H506,0)</x:f>
        <x:v>0.15789473684210525</x:v>
      </x:c>
      <x:c r="R506" s="24" t="n">
        <x:f>IFERROR(F506/H506,0)</x:f>
        <x:v>0</x:v>
      </x:c>
      <x:c r="S506" s="24" t="n">
        <x:f>IFERROR(F506/J506,0)</x:f>
        <x:v>0</x:v>
      </x:c>
      <x:c r="T506" s="28" t="n">
        <x:f>H506-I506</x:f>
        <x:v>4</x:v>
      </x:c>
      <x:c r="U506" s="24" t="n">
        <x:f>IFERROR(J506/H506,0)-IFERROR(K506/I506,0)</x:f>
        <x:v>-0.5754385964912281</x:v>
      </x:c>
      <x:c r="V506" s="24" t="n">
        <x:f>IFERROR(F506/J506,0)-IFERROR(G506/K506,0)</x:f>
        <x:v>-0.36363636363636365</x:v>
      </x:c>
      <x:c r="W506" s="28" t="n">
        <x:f>L506-M506</x:f>
        <x:v>-3</x:v>
      </x:c>
      <x:c r="X506" s="24" t="n">
        <x:f>IFERROR(K506/I506,0)</x:f>
        <x:v>0.7333333333333333</x:v>
      </x:c>
      <x:c r="Y506" s="24" t="n">
        <x:f>IFERROR(G506/I506,0)</x:f>
        <x:v>0.26666666666666666</x:v>
      </x:c>
      <x:c r="Z506" s="24" t="n">
        <x:f>IFERROR(G506/K506,0)</x:f>
        <x:v>0.36363636363636365</x:v>
      </x:c>
      <x:c r="AA506" s="24" t="n">
        <x:f>IFERROR(F506/H506,0)-IFERROR(G506/I506,0)</x:f>
        <x:v>-0.26666666666666666</x:v>
      </x:c>
      <x:c r="AB506" s="28" t="n">
        <x:f>J506-K506</x:f>
        <x:v>-8</x:v>
      </x:c>
      <x:c r="AC506" s="32" t="n">
        <x:f>F506-G506</x:f>
        <x:v>-4</x:v>
      </x:c>
    </x:row>
    <x:row r="507">
      <x:c r="A507" s="4" t="str">
        <x:v>2021-22</x:v>
      </x:c>
      <x:c r="B507" s="20" t="n">
        <x:v>44618</x:v>
      </x:c>
      <x:c r="C507" s="4" t="str">
        <x:v>Man City</x:v>
      </x:c>
      <x:c r="D507" s="4" t="str">
        <x:v>Everton</x:v>
      </x:c>
      <x:c r="E507" s="4" t="str">
        <x:v>Away</x:v>
      </x:c>
      <x:c r="F507" s="28" t="n">
        <x:v>1</x:v>
      </x:c>
      <x:c r="G507" s="28" t="n">
        <x:v>0</x:v>
      </x:c>
      <x:c r="H507" s="28" t="n">
        <x:v>13</x:v>
      </x:c>
      <x:c r="I507" s="28" t="n">
        <x:v>6</x:v>
      </x:c>
      <x:c r="J507" s="28" t="n">
        <x:v>8</x:v>
      </x:c>
      <x:c r="K507" s="28" t="n">
        <x:v>2</x:v>
      </x:c>
      <x:c r="L507" s="28" t="n">
        <x:v>4</x:v>
      </x:c>
      <x:c r="M507" s="28" t="n">
        <x:v>3</x:v>
      </x:c>
      <x:c r="N507" s="28" t="n">
        <x:v>2</x:v>
      </x:c>
      <x:c r="O507" s="28" t="n">
        <x:v>0</x:v>
      </x:c>
      <x:c r="P507" s="28" t="n">
        <x:v>3</x:v>
      </x:c>
      <x:c r="Q507" s="24" t="n">
        <x:f>IFERROR(J507/H507,0)</x:f>
        <x:v>0.6153846153846154</x:v>
      </x:c>
      <x:c r="R507" s="24" t="n">
        <x:f>IFERROR(F507/H507,0)</x:f>
        <x:v>0.07692307692307693</x:v>
      </x:c>
      <x:c r="S507" s="24" t="n">
        <x:f>IFERROR(F507/J507,0)</x:f>
        <x:v>0.125</x:v>
      </x:c>
      <x:c r="T507" s="28" t="n">
        <x:f>H507-I507</x:f>
        <x:v>7</x:v>
      </x:c>
      <x:c r="U507" s="24" t="n">
        <x:f>IFERROR(J507/H507,0)-IFERROR(K507/I507,0)</x:f>
        <x:v>0.2820512820512821</x:v>
      </x:c>
      <x:c r="V507" s="24" t="n">
        <x:f>IFERROR(F507/J507,0)-IFERROR(G507/K507,0)</x:f>
        <x:v>0.125</x:v>
      </x:c>
      <x:c r="W507" s="28" t="n">
        <x:f>L507-M507</x:f>
        <x:v>1</x:v>
      </x:c>
      <x:c r="X507" s="24" t="n">
        <x:f>IFERROR(K507/I507,0)</x:f>
        <x:v>0.3333333333333333</x:v>
      </x:c>
      <x:c r="Y507" s="24" t="n">
        <x:f>IFERROR(G507/I507,0)</x:f>
        <x:v>0</x:v>
      </x:c>
      <x:c r="Z507" s="24" t="n">
        <x:f>IFERROR(G507/K507,0)</x:f>
        <x:v>0</x:v>
      </x:c>
      <x:c r="AA507" s="24" t="n">
        <x:f>IFERROR(F507/H507,0)-IFERROR(G507/I507,0)</x:f>
        <x:v>0.07692307692307693</x:v>
      </x:c>
      <x:c r="AB507" s="28" t="n">
        <x:f>J507-K507</x:f>
        <x:v>6</x:v>
      </x:c>
      <x:c r="AC507" s="32" t="n">
        <x:f>F507-G507</x:f>
        <x:v>1</x:v>
      </x:c>
    </x:row>
    <x:row r="508">
      <x:c r="A508" s="4" t="str">
        <x:v>2021-22</x:v>
      </x:c>
      <x:c r="B508" s="20" t="n">
        <x:v>44618</x:v>
      </x:c>
      <x:c r="C508" s="4" t="str">
        <x:v>Man United</x:v>
      </x:c>
      <x:c r="D508" s="4" t="str">
        <x:v>Watford</x:v>
      </x:c>
      <x:c r="E508" s="4" t="str">
        <x:v>Home</x:v>
      </x:c>
      <x:c r="F508" s="28" t="n">
        <x:v>0</x:v>
      </x:c>
      <x:c r="G508" s="28" t="n">
        <x:v>0</x:v>
      </x:c>
      <x:c r="H508" s="28" t="n">
        <x:v>22</x:v>
      </x:c>
      <x:c r="I508" s="28" t="n">
        <x:v>10</x:v>
      </x:c>
      <x:c r="J508" s="28" t="n">
        <x:v>3</x:v>
      </x:c>
      <x:c r="K508" s="28" t="n">
        <x:v>2</x:v>
      </x:c>
      <x:c r="L508" s="28" t="n">
        <x:v>4</x:v>
      </x:c>
      <x:c r="M508" s="28" t="n">
        <x:v>3</x:v>
      </x:c>
      <x:c r="N508" s="28" t="n">
        <x:v>0</x:v>
      </x:c>
      <x:c r="O508" s="28" t="n">
        <x:v>0</x:v>
      </x:c>
      <x:c r="P508" s="28" t="n">
        <x:v>1</x:v>
      </x:c>
      <x:c r="Q508" s="24" t="n">
        <x:f>IFERROR(J508/H508,0)</x:f>
        <x:v>0.13636363636363635</x:v>
      </x:c>
      <x:c r="R508" s="24" t="n">
        <x:f>IFERROR(F508/H508,0)</x:f>
        <x:v>0</x:v>
      </x:c>
      <x:c r="S508" s="24" t="n">
        <x:f>IFERROR(F508/J508,0)</x:f>
        <x:v>0</x:v>
      </x:c>
      <x:c r="T508" s="28" t="n">
        <x:f>H508-I508</x:f>
        <x:v>12</x:v>
      </x:c>
      <x:c r="U508" s="24" t="n">
        <x:f>IFERROR(J508/H508,0)-IFERROR(K508/I508,0)</x:f>
        <x:v>-0.06363636363636366</x:v>
      </x:c>
      <x:c r="V508" s="24" t="n">
        <x:f>IFERROR(F508/J508,0)-IFERROR(G508/K508,0)</x:f>
        <x:v>0</x:v>
      </x:c>
      <x:c r="W508" s="28" t="n">
        <x:f>L508-M508</x:f>
        <x:v>1</x:v>
      </x:c>
      <x:c r="X508" s="24" t="n">
        <x:f>IFERROR(K508/I508,0)</x:f>
        <x:v>0.2</x:v>
      </x:c>
      <x:c r="Y508" s="24" t="n">
        <x:f>IFERROR(G508/I508,0)</x:f>
        <x:v>0</x:v>
      </x:c>
      <x:c r="Z508" s="24" t="n">
        <x:f>IFERROR(G508/K508,0)</x:f>
        <x:v>0</x:v>
      </x:c>
      <x:c r="AA508" s="24" t="n">
        <x:f>IFERROR(F508/H508,0)-IFERROR(G508/I508,0)</x:f>
        <x:v>0</x:v>
      </x:c>
      <x:c r="AB508" s="28" t="n">
        <x:f>J508-K508</x:f>
        <x:v>1</x:v>
      </x:c>
      <x:c r="AC508" s="32" t="n">
        <x:f>F508-G508</x:f>
        <x:v>0</x:v>
      </x:c>
    </x:row>
    <x:row r="509">
      <x:c r="A509" s="4" t="str">
        <x:v>2021-22</x:v>
      </x:c>
      <x:c r="B509" s="20" t="n">
        <x:v>44618</x:v>
      </x:c>
      <x:c r="C509" s="4" t="str">
        <x:v>Newcastle</x:v>
      </x:c>
      <x:c r="D509" s="4" t="str">
        <x:v>Brentford</x:v>
      </x:c>
      <x:c r="E509" s="4" t="str">
        <x:v>Away</x:v>
      </x:c>
      <x:c r="F509" s="28" t="n">
        <x:v>2</x:v>
      </x:c>
      <x:c r="G509" s="28" t="n">
        <x:v>0</x:v>
      </x:c>
      <x:c r="H509" s="28" t="n">
        <x:v>26</x:v>
      </x:c>
      <x:c r="I509" s="28" t="n">
        <x:v>6</x:v>
      </x:c>
      <x:c r="J509" s="28" t="n">
        <x:v>11</x:v>
      </x:c>
      <x:c r="K509" s="28" t="n">
        <x:v>1</x:v>
      </x:c>
      <x:c r="L509" s="28" t="n">
        <x:v>6</x:v>
      </x:c>
      <x:c r="M509" s="28" t="n">
        <x:v>6</x:v>
      </x:c>
      <x:c r="N509" s="28" t="n">
        <x:v>1</x:v>
      </x:c>
      <x:c r="O509" s="28" t="n">
        <x:v>0</x:v>
      </x:c>
      <x:c r="P509" s="28" t="n">
        <x:v>3</x:v>
      </x:c>
      <x:c r="Q509" s="24" t="n">
        <x:f>IFERROR(J509/H509,0)</x:f>
        <x:v>0.4230769230769231</x:v>
      </x:c>
      <x:c r="R509" s="24" t="n">
        <x:f>IFERROR(F509/H509,0)</x:f>
        <x:v>0.07692307692307693</x:v>
      </x:c>
      <x:c r="S509" s="24" t="n">
        <x:f>IFERROR(F509/J509,0)</x:f>
        <x:v>0.18181818181818182</x:v>
      </x:c>
      <x:c r="T509" s="28" t="n">
        <x:f>H509-I509</x:f>
        <x:v>20</x:v>
      </x:c>
      <x:c r="U509" s="24" t="n">
        <x:f>IFERROR(J509/H509,0)-IFERROR(K509/I509,0)</x:f>
        <x:v>0.2564102564102564</x:v>
      </x:c>
      <x:c r="V509" s="24" t="n">
        <x:f>IFERROR(F509/J509,0)-IFERROR(G509/K509,0)</x:f>
        <x:v>0.18181818181818182</x:v>
      </x:c>
      <x:c r="W509" s="28" t="n">
        <x:f>L509-M509</x:f>
        <x:v>0</x:v>
      </x:c>
      <x:c r="X509" s="24" t="n">
        <x:f>IFERROR(K509/I509,0)</x:f>
        <x:v>0.16666666666666666</x:v>
      </x:c>
      <x:c r="Y509" s="24" t="n">
        <x:f>IFERROR(G509/I509,0)</x:f>
        <x:v>0</x:v>
      </x:c>
      <x:c r="Z509" s="24" t="n">
        <x:f>IFERROR(G509/K509,0)</x:f>
        <x:v>0</x:v>
      </x:c>
      <x:c r="AA509" s="24" t="n">
        <x:f>IFERROR(F509/H509,0)-IFERROR(G509/I509,0)</x:f>
        <x:v>0.07692307692307693</x:v>
      </x:c>
      <x:c r="AB509" s="28" t="n">
        <x:f>J509-K509</x:f>
        <x:v>10</x:v>
      </x:c>
      <x:c r="AC509" s="32" t="n">
        <x:f>F509-G509</x:f>
        <x:v>2</x:v>
      </x:c>
    </x:row>
    <x:row r="510">
      <x:c r="A510" s="4" t="str">
        <x:v>2021-22</x:v>
      </x:c>
      <x:c r="B510" s="20" t="n">
        <x:v>44618</x:v>
      </x:c>
      <x:c r="C510" s="4" t="str">
        <x:v>Tottenham</x:v>
      </x:c>
      <x:c r="D510" s="4" t="str">
        <x:v>Leeds</x:v>
      </x:c>
      <x:c r="E510" s="4" t="str">
        <x:v>Away</x:v>
      </x:c>
      <x:c r="F510" s="28" t="n">
        <x:v>4</x:v>
      </x:c>
      <x:c r="G510" s="28" t="n">
        <x:v>0</x:v>
      </x:c>
      <x:c r="H510" s="28" t="n">
        <x:v>15</x:v>
      </x:c>
      <x:c r="I510" s="28" t="n">
        <x:v>19</x:v>
      </x:c>
      <x:c r="J510" s="28" t="n">
        <x:v>11</x:v>
      </x:c>
      <x:c r="K510" s="28" t="n">
        <x:v>3</x:v>
      </x:c>
      <x:c r="L510" s="28" t="n">
        <x:v>6</x:v>
      </x:c>
      <x:c r="M510" s="28" t="n">
        <x:v>3</x:v>
      </x:c>
      <x:c r="N510" s="28" t="n">
        <x:v>2</x:v>
      </x:c>
      <x:c r="O510" s="28" t="n">
        <x:v>0</x:v>
      </x:c>
      <x:c r="P510" s="28" t="n">
        <x:v>3</x:v>
      </x:c>
      <x:c r="Q510" s="24" t="n">
        <x:f>IFERROR(J510/H510,0)</x:f>
        <x:v>0.7333333333333333</x:v>
      </x:c>
      <x:c r="R510" s="24" t="n">
        <x:f>IFERROR(F510/H510,0)</x:f>
        <x:v>0.26666666666666666</x:v>
      </x:c>
      <x:c r="S510" s="24" t="n">
        <x:f>IFERROR(F510/J510,0)</x:f>
        <x:v>0.36363636363636365</x:v>
      </x:c>
      <x:c r="T510" s="28" t="n">
        <x:f>H510-I510</x:f>
        <x:v>-4</x:v>
      </x:c>
      <x:c r="U510" s="24" t="n">
        <x:f>IFERROR(J510/H510,0)-IFERROR(K510/I510,0)</x:f>
        <x:v>0.5754385964912281</x:v>
      </x:c>
      <x:c r="V510" s="24" t="n">
        <x:f>IFERROR(F510/J510,0)-IFERROR(G510/K510,0)</x:f>
        <x:v>0.36363636363636365</x:v>
      </x:c>
      <x:c r="W510" s="28" t="n">
        <x:f>L510-M510</x:f>
        <x:v>3</x:v>
      </x:c>
      <x:c r="X510" s="24" t="n">
        <x:f>IFERROR(K510/I510,0)</x:f>
        <x:v>0.15789473684210525</x:v>
      </x:c>
      <x:c r="Y510" s="24" t="n">
        <x:f>IFERROR(G510/I510,0)</x:f>
        <x:v>0</x:v>
      </x:c>
      <x:c r="Z510" s="24" t="n">
        <x:f>IFERROR(G510/K510,0)</x:f>
        <x:v>0</x:v>
      </x:c>
      <x:c r="AA510" s="24" t="n">
        <x:f>IFERROR(F510/H510,0)-IFERROR(G510/I510,0)</x:f>
        <x:v>0.26666666666666666</x:v>
      </x:c>
      <x:c r="AB510" s="28" t="n">
        <x:f>J510-K510</x:f>
        <x:v>8</x:v>
      </x:c>
      <x:c r="AC510" s="32" t="n">
        <x:f>F510-G510</x:f>
        <x:v>4</x:v>
      </x:c>
    </x:row>
    <x:row r="511">
      <x:c r="A511" s="4" t="str">
        <x:v>2021-22</x:v>
      </x:c>
      <x:c r="B511" s="20" t="n">
        <x:v>44618</x:v>
      </x:c>
      <x:c r="C511" s="4" t="str">
        <x:v>Watford</x:v>
      </x:c>
      <x:c r="D511" s="4" t="str">
        <x:v>Man United</x:v>
      </x:c>
      <x:c r="E511" s="4" t="str">
        <x:v>Away</x:v>
      </x:c>
      <x:c r="F511" s="28" t="n">
        <x:v>0</x:v>
      </x:c>
      <x:c r="G511" s="28" t="n">
        <x:v>0</x:v>
      </x:c>
      <x:c r="H511" s="28" t="n">
        <x:v>10</x:v>
      </x:c>
      <x:c r="I511" s="28" t="n">
        <x:v>22</x:v>
      </x:c>
      <x:c r="J511" s="28" t="n">
        <x:v>2</x:v>
      </x:c>
      <x:c r="K511" s="28" t="n">
        <x:v>3</x:v>
      </x:c>
      <x:c r="L511" s="28" t="n">
        <x:v>3</x:v>
      </x:c>
      <x:c r="M511" s="28" t="n">
        <x:v>4</x:v>
      </x:c>
      <x:c r="N511" s="28" t="n">
        <x:v>0</x:v>
      </x:c>
      <x:c r="O511" s="28" t="n">
        <x:v>0</x:v>
      </x:c>
      <x:c r="P511" s="28" t="n">
        <x:v>1</x:v>
      </x:c>
      <x:c r="Q511" s="24" t="n">
        <x:f>IFERROR(J511/H511,0)</x:f>
        <x:v>0.2</x:v>
      </x:c>
      <x:c r="R511" s="24" t="n">
        <x:f>IFERROR(F511/H511,0)</x:f>
        <x:v>0</x:v>
      </x:c>
      <x:c r="S511" s="24" t="n">
        <x:f>IFERROR(F511/J511,0)</x:f>
        <x:v>0</x:v>
      </x:c>
      <x:c r="T511" s="28" t="n">
        <x:f>H511-I511</x:f>
        <x:v>-12</x:v>
      </x:c>
      <x:c r="U511" s="24" t="n">
        <x:f>IFERROR(J511/H511,0)-IFERROR(K511/I511,0)</x:f>
        <x:v>0.06363636363636366</x:v>
      </x:c>
      <x:c r="V511" s="24" t="n">
        <x:f>IFERROR(F511/J511,0)-IFERROR(G511/K511,0)</x:f>
        <x:v>0</x:v>
      </x:c>
      <x:c r="W511" s="28" t="n">
        <x:f>L511-M511</x:f>
        <x:v>-1</x:v>
      </x:c>
      <x:c r="X511" s="24" t="n">
        <x:f>IFERROR(K511/I511,0)</x:f>
        <x:v>0.13636363636363635</x:v>
      </x:c>
      <x:c r="Y511" s="24" t="n">
        <x:f>IFERROR(G511/I511,0)</x:f>
        <x:v>0</x:v>
      </x:c>
      <x:c r="Z511" s="24" t="n">
        <x:f>IFERROR(G511/K511,0)</x:f>
        <x:v>0</x:v>
      </x:c>
      <x:c r="AA511" s="24" t="n">
        <x:f>IFERROR(F511/H511,0)-IFERROR(G511/I511,0)</x:f>
        <x:v>0</x:v>
      </x:c>
      <x:c r="AB511" s="28" t="n">
        <x:f>J511-K511</x:f>
        <x:v>-1</x:v>
      </x:c>
      <x:c r="AC511" s="32" t="n">
        <x:f>F511-G511</x:f>
        <x:v>0</x:v>
      </x:c>
    </x:row>
    <x:row r="512">
      <x:c r="A512" s="4" t="str">
        <x:v>2021-22</x:v>
      </x:c>
      <x:c r="B512" s="20" t="n">
        <x:v>44619</x:v>
      </x:c>
      <x:c r="C512" s="4" t="str">
        <x:v>West Ham</x:v>
      </x:c>
      <x:c r="D512" s="4" t="str">
        <x:v>Wolves</x:v>
      </x:c>
      <x:c r="E512" s="4" t="str">
        <x:v>Home</x:v>
      </x:c>
      <x:c r="F512" s="28" t="n">
        <x:v>1</x:v>
      </x:c>
      <x:c r="G512" s="28" t="n">
        <x:v>0</x:v>
      </x:c>
      <x:c r="H512" s="28" t="n">
        <x:v>13</x:v>
      </x:c>
      <x:c r="I512" s="28" t="n">
        <x:v>14</x:v>
      </x:c>
      <x:c r="J512" s="28" t="n">
        <x:v>4</x:v>
      </x:c>
      <x:c r="K512" s="28" t="n">
        <x:v>1</x:v>
      </x:c>
      <x:c r="L512" s="28" t="n">
        <x:v>3</x:v>
      </x:c>
      <x:c r="M512" s="28" t="n">
        <x:v>5</x:v>
      </x:c>
      <x:c r="N512" s="28" t="n">
        <x:v>1</x:v>
      </x:c>
      <x:c r="O512" s="28" t="n">
        <x:v>0</x:v>
      </x:c>
      <x:c r="P512" s="28" t="n">
        <x:v>3</x:v>
      </x:c>
      <x:c r="Q512" s="24" t="n">
        <x:f>IFERROR(J512/H512,0)</x:f>
        <x:v>0.3076923076923077</x:v>
      </x:c>
      <x:c r="R512" s="24" t="n">
        <x:f>IFERROR(F512/H512,0)</x:f>
        <x:v>0.07692307692307693</x:v>
      </x:c>
      <x:c r="S512" s="24" t="n">
        <x:f>IFERROR(F512/J512,0)</x:f>
        <x:v>0.25</x:v>
      </x:c>
      <x:c r="T512" s="28" t="n">
        <x:f>H512-I512</x:f>
        <x:v>-1</x:v>
      </x:c>
      <x:c r="U512" s="24" t="n">
        <x:f>IFERROR(J512/H512,0)-IFERROR(K512/I512,0)</x:f>
        <x:v>0.23626373626373628</x:v>
      </x:c>
      <x:c r="V512" s="24" t="n">
        <x:f>IFERROR(F512/J512,0)-IFERROR(G512/K512,0)</x:f>
        <x:v>0.25</x:v>
      </x:c>
      <x:c r="W512" s="28" t="n">
        <x:f>L512-M512</x:f>
        <x:v>-2</x:v>
      </x:c>
      <x:c r="X512" s="24" t="n">
        <x:f>IFERROR(K512/I512,0)</x:f>
        <x:v>0.07142857142857142</x:v>
      </x:c>
      <x:c r="Y512" s="24" t="n">
        <x:f>IFERROR(G512/I512,0)</x:f>
        <x:v>0</x:v>
      </x:c>
      <x:c r="Z512" s="24" t="n">
        <x:f>IFERROR(G512/K512,0)</x:f>
        <x:v>0</x:v>
      </x:c>
      <x:c r="AA512" s="24" t="n">
        <x:f>IFERROR(F512/H512,0)-IFERROR(G512/I512,0)</x:f>
        <x:v>0.07692307692307693</x:v>
      </x:c>
      <x:c r="AB512" s="28" t="n">
        <x:f>J512-K512</x:f>
        <x:v>3</x:v>
      </x:c>
      <x:c r="AC512" s="32" t="n">
        <x:f>F512-G512</x:f>
        <x:v>1</x:v>
      </x:c>
    </x:row>
    <x:row r="513">
      <x:c r="A513" s="4" t="str">
        <x:v>2021-22</x:v>
      </x:c>
      <x:c r="B513" s="20" t="n">
        <x:v>44619</x:v>
      </x:c>
      <x:c r="C513" s="4" t="str">
        <x:v>Wolves</x:v>
      </x:c>
      <x:c r="D513" s="4" t="str">
        <x:v>West Ham</x:v>
      </x:c>
      <x:c r="E513" s="4" t="str">
        <x:v>Away</x:v>
      </x:c>
      <x:c r="F513" s="28" t="n">
        <x:v>0</x:v>
      </x:c>
      <x:c r="G513" s="28" t="n">
        <x:v>1</x:v>
      </x:c>
      <x:c r="H513" s="28" t="n">
        <x:v>14</x:v>
      </x:c>
      <x:c r="I513" s="28" t="n">
        <x:v>13</x:v>
      </x:c>
      <x:c r="J513" s="28" t="n">
        <x:v>1</x:v>
      </x:c>
      <x:c r="K513" s="28" t="n">
        <x:v>4</x:v>
      </x:c>
      <x:c r="L513" s="28" t="n">
        <x:v>5</x:v>
      </x:c>
      <x:c r="M513" s="28" t="n">
        <x:v>3</x:v>
      </x:c>
      <x:c r="N513" s="28" t="n">
        <x:v>0</x:v>
      </x:c>
      <x:c r="O513" s="28" t="n">
        <x:v>0</x:v>
      </x:c>
      <x:c r="P513" s="28" t="n">
        <x:v>0</x:v>
      </x:c>
      <x:c r="Q513" s="24" t="n">
        <x:f>IFERROR(J513/H513,0)</x:f>
        <x:v>0.07142857142857142</x:v>
      </x:c>
      <x:c r="R513" s="24" t="n">
        <x:f>IFERROR(F513/H513,0)</x:f>
        <x:v>0</x:v>
      </x:c>
      <x:c r="S513" s="24" t="n">
        <x:f>IFERROR(F513/J513,0)</x:f>
        <x:v>0</x:v>
      </x:c>
      <x:c r="T513" s="28" t="n">
        <x:f>H513-I513</x:f>
        <x:v>1</x:v>
      </x:c>
      <x:c r="U513" s="24" t="n">
        <x:f>IFERROR(J513/H513,0)-IFERROR(K513/I513,0)</x:f>
        <x:v>-0.23626373626373628</x:v>
      </x:c>
      <x:c r="V513" s="24" t="n">
        <x:f>IFERROR(F513/J513,0)-IFERROR(G513/K513,0)</x:f>
        <x:v>-0.25</x:v>
      </x:c>
      <x:c r="W513" s="28" t="n">
        <x:f>L513-M513</x:f>
        <x:v>2</x:v>
      </x:c>
      <x:c r="X513" s="24" t="n">
        <x:f>IFERROR(K513/I513,0)</x:f>
        <x:v>0.3076923076923077</x:v>
      </x:c>
      <x:c r="Y513" s="24" t="n">
        <x:f>IFERROR(G513/I513,0)</x:f>
        <x:v>0.07692307692307693</x:v>
      </x:c>
      <x:c r="Z513" s="24" t="n">
        <x:f>IFERROR(G513/K513,0)</x:f>
        <x:v>0.25</x:v>
      </x:c>
      <x:c r="AA513" s="24" t="n">
        <x:f>IFERROR(F513/H513,0)-IFERROR(G513/I513,0)</x:f>
        <x:v>-0.07692307692307693</x:v>
      </x:c>
      <x:c r="AB513" s="28" t="n">
        <x:f>J513-K513</x:f>
        <x:v>-3</x:v>
      </x:c>
      <x:c r="AC513" s="32" t="n">
        <x:f>F513-G513</x:f>
        <x:v>-1</x:v>
      </x:c>
    </x:row>
    <x:row r="514">
      <x:c r="A514" s="4" t="str">
        <x:v>2021-22</x:v>
      </x:c>
      <x:c r="B514" s="20" t="n">
        <x:v>44621</x:v>
      </x:c>
      <x:c r="C514" s="4" t="str">
        <x:v>Burnley</x:v>
      </x:c>
      <x:c r="D514" s="4" t="str">
        <x:v>Leicester</x:v>
      </x:c>
      <x:c r="E514" s="4" t="str">
        <x:v>Home</x:v>
      </x:c>
      <x:c r="F514" s="28" t="n">
        <x:v>0</x:v>
      </x:c>
      <x:c r="G514" s="28" t="n">
        <x:v>2</x:v>
      </x:c>
      <x:c r="H514" s="28" t="n">
        <x:v>9</x:v>
      </x:c>
      <x:c r="I514" s="28" t="n">
        <x:v>22</x:v>
      </x:c>
      <x:c r="J514" s="28" t="n">
        <x:v>2</x:v>
      </x:c>
      <x:c r="K514" s="28" t="n">
        <x:v>6</x:v>
      </x:c>
      <x:c r="L514" s="28" t="n">
        <x:v>6</x:v>
      </x:c>
      <x:c r="M514" s="28" t="n">
        <x:v>8</x:v>
      </x:c>
      <x:c r="N514" s="28" t="n">
        <x:v>1</x:v>
      </x:c>
      <x:c r="O514" s="28" t="n">
        <x:v>0</x:v>
      </x:c>
      <x:c r="P514" s="28" t="n">
        <x:v>0</x:v>
      </x:c>
      <x:c r="Q514" s="24" t="n">
        <x:f>IFERROR(J514/H514,0)</x:f>
        <x:v>0.2222222222222222</x:v>
      </x:c>
      <x:c r="R514" s="24" t="n">
        <x:f>IFERROR(F514/H514,0)</x:f>
        <x:v>0</x:v>
      </x:c>
      <x:c r="S514" s="24" t="n">
        <x:f>IFERROR(F514/J514,0)</x:f>
        <x:v>0</x:v>
      </x:c>
      <x:c r="T514" s="28" t="n">
        <x:f>H514-I514</x:f>
        <x:v>-13</x:v>
      </x:c>
      <x:c r="U514" s="24" t="n">
        <x:f>IFERROR(J514/H514,0)-IFERROR(K514/I514,0)</x:f>
        <x:v>-0.0505050505050505</x:v>
      </x:c>
      <x:c r="V514" s="24" t="n">
        <x:f>IFERROR(F514/J514,0)-IFERROR(G514/K514,0)</x:f>
        <x:v>-0.3333333333333333</x:v>
      </x:c>
      <x:c r="W514" s="28" t="n">
        <x:f>L514-M514</x:f>
        <x:v>-2</x:v>
      </x:c>
      <x:c r="X514" s="24" t="n">
        <x:f>IFERROR(K514/I514,0)</x:f>
        <x:v>0.2727272727272727</x:v>
      </x:c>
      <x:c r="Y514" s="24" t="n">
        <x:f>IFERROR(G514/I514,0)</x:f>
        <x:v>0.09090909090909091</x:v>
      </x:c>
      <x:c r="Z514" s="24" t="n">
        <x:f>IFERROR(G514/K514,0)</x:f>
        <x:v>0.3333333333333333</x:v>
      </x:c>
      <x:c r="AA514" s="24" t="n">
        <x:f>IFERROR(F514/H514,0)-IFERROR(G514/I514,0)</x:f>
        <x:v>-0.09090909090909091</x:v>
      </x:c>
      <x:c r="AB514" s="28" t="n">
        <x:f>J514-K514</x:f>
        <x:v>-4</x:v>
      </x:c>
      <x:c r="AC514" s="32" t="n">
        <x:f>F514-G514</x:f>
        <x:v>-2</x:v>
      </x:c>
    </x:row>
    <x:row r="515">
      <x:c r="A515" s="4" t="str">
        <x:v>2021-22</x:v>
      </x:c>
      <x:c r="B515" s="20" t="n">
        <x:v>44621</x:v>
      </x:c>
      <x:c r="C515" s="4" t="str">
        <x:v>Leicester</x:v>
      </x:c>
      <x:c r="D515" s="4" t="str">
        <x:v>Burnley</x:v>
      </x:c>
      <x:c r="E515" s="4" t="str">
        <x:v>Away</x:v>
      </x:c>
      <x:c r="F515" s="28" t="n">
        <x:v>2</x:v>
      </x:c>
      <x:c r="G515" s="28" t="n">
        <x:v>0</x:v>
      </x:c>
      <x:c r="H515" s="28" t="n">
        <x:v>22</x:v>
      </x:c>
      <x:c r="I515" s="28" t="n">
        <x:v>9</x:v>
      </x:c>
      <x:c r="J515" s="28" t="n">
        <x:v>6</x:v>
      </x:c>
      <x:c r="K515" s="28" t="n">
        <x:v>2</x:v>
      </x:c>
      <x:c r="L515" s="28" t="n">
        <x:v>8</x:v>
      </x:c>
      <x:c r="M515" s="28" t="n">
        <x:v>6</x:v>
      </x:c>
      <x:c r="N515" s="28" t="n">
        <x:v>1</x:v>
      </x:c>
      <x:c r="O515" s="28" t="n">
        <x:v>0</x:v>
      </x:c>
      <x:c r="P515" s="28" t="n">
        <x:v>3</x:v>
      </x:c>
      <x:c r="Q515" s="24" t="n">
        <x:f>IFERROR(J515/H515,0)</x:f>
        <x:v>0.2727272727272727</x:v>
      </x:c>
      <x:c r="R515" s="24" t="n">
        <x:f>IFERROR(F515/H515,0)</x:f>
        <x:v>0.09090909090909091</x:v>
      </x:c>
      <x:c r="S515" s="24" t="n">
        <x:f>IFERROR(F515/J515,0)</x:f>
        <x:v>0.3333333333333333</x:v>
      </x:c>
      <x:c r="T515" s="28" t="n">
        <x:f>H515-I515</x:f>
        <x:v>13</x:v>
      </x:c>
      <x:c r="U515" s="24" t="n">
        <x:f>IFERROR(J515/H515,0)-IFERROR(K515/I515,0)</x:f>
        <x:v>0.0505050505050505</x:v>
      </x:c>
      <x:c r="V515" s="24" t="n">
        <x:f>IFERROR(F515/J515,0)-IFERROR(G515/K515,0)</x:f>
        <x:v>0.3333333333333333</x:v>
      </x:c>
      <x:c r="W515" s="28" t="n">
        <x:f>L515-M515</x:f>
        <x:v>2</x:v>
      </x:c>
      <x:c r="X515" s="24" t="n">
        <x:f>IFERROR(K515/I515,0)</x:f>
        <x:v>0.2222222222222222</x:v>
      </x:c>
      <x:c r="Y515" s="24" t="n">
        <x:f>IFERROR(G515/I515,0)</x:f>
        <x:v>0</x:v>
      </x:c>
      <x:c r="Z515" s="24" t="n">
        <x:f>IFERROR(G515/K515,0)</x:f>
        <x:v>0</x:v>
      </x:c>
      <x:c r="AA515" s="24" t="n">
        <x:f>IFERROR(F515/H515,0)-IFERROR(G515/I515,0)</x:f>
        <x:v>0.09090909090909091</x:v>
      </x:c>
      <x:c r="AB515" s="28" t="n">
        <x:f>J515-K515</x:f>
        <x:v>4</x:v>
      </x:c>
      <x:c r="AC515" s="32" t="n">
        <x:f>F515-G515</x:f>
        <x:v>2</x:v>
      </x:c>
    </x:row>
    <x:row r="516">
      <x:c r="A516" s="4" t="str">
        <x:v>2021-22</x:v>
      </x:c>
      <x:c r="B516" s="20" t="n">
        <x:v>44625</x:v>
      </x:c>
      <x:c r="C516" s="4" t="str">
        <x:v>Aston Villa</x:v>
      </x:c>
      <x:c r="D516" s="4" t="str">
        <x:v>Southampton</x:v>
      </x:c>
      <x:c r="E516" s="4" t="str">
        <x:v>Home</x:v>
      </x:c>
      <x:c r="F516" s="28" t="n">
        <x:v>4</x:v>
      </x:c>
      <x:c r="G516" s="28" t="n">
        <x:v>0</x:v>
      </x:c>
      <x:c r="H516" s="28" t="n">
        <x:v>14</x:v>
      </x:c>
      <x:c r="I516" s="28" t="n">
        <x:v>11</x:v>
      </x:c>
      <x:c r="J516" s="28" t="n">
        <x:v>9</x:v>
      </x:c>
      <x:c r="K516" s="28" t="n">
        <x:v>1</x:v>
      </x:c>
      <x:c r="L516" s="28" t="n">
        <x:v>4</x:v>
      </x:c>
      <x:c r="M516" s="28" t="n">
        <x:v>7</x:v>
      </x:c>
      <x:c r="N516" s="28" t="n">
        <x:v>1</x:v>
      </x:c>
      <x:c r="O516" s="28" t="n">
        <x:v>0</x:v>
      </x:c>
      <x:c r="P516" s="28" t="n">
        <x:v>3</x:v>
      </x:c>
      <x:c r="Q516" s="24" t="n">
        <x:f>IFERROR(J516/H516,0)</x:f>
        <x:v>0.6428571428571429</x:v>
      </x:c>
      <x:c r="R516" s="24" t="n">
        <x:f>IFERROR(F516/H516,0)</x:f>
        <x:v>0.2857142857142857</x:v>
      </x:c>
      <x:c r="S516" s="24" t="n">
        <x:f>IFERROR(F516/J516,0)</x:f>
        <x:v>0.4444444444444444</x:v>
      </x:c>
      <x:c r="T516" s="28" t="n">
        <x:f>H516-I516</x:f>
        <x:v>3</x:v>
      </x:c>
      <x:c r="U516" s="24" t="n">
        <x:f>IFERROR(J516/H516,0)-IFERROR(K516/I516,0)</x:f>
        <x:v>0.551948051948052</x:v>
      </x:c>
      <x:c r="V516" s="24" t="n">
        <x:f>IFERROR(F516/J516,0)-IFERROR(G516/K516,0)</x:f>
        <x:v>0.4444444444444444</x:v>
      </x:c>
      <x:c r="W516" s="28" t="n">
        <x:f>L516-M516</x:f>
        <x:v>-3</x:v>
      </x:c>
      <x:c r="X516" s="24" t="n">
        <x:f>IFERROR(K516/I516,0)</x:f>
        <x:v>0.09090909090909091</x:v>
      </x:c>
      <x:c r="Y516" s="24" t="n">
        <x:f>IFERROR(G516/I516,0)</x:f>
        <x:v>0</x:v>
      </x:c>
      <x:c r="Z516" s="24" t="n">
        <x:f>IFERROR(G516/K516,0)</x:f>
        <x:v>0</x:v>
      </x:c>
      <x:c r="AA516" s="24" t="n">
        <x:f>IFERROR(F516/H516,0)-IFERROR(G516/I516,0)</x:f>
        <x:v>0.2857142857142857</x:v>
      </x:c>
      <x:c r="AB516" s="28" t="n">
        <x:f>J516-K516</x:f>
        <x:v>8</x:v>
      </x:c>
      <x:c r="AC516" s="32" t="n">
        <x:f>F516-G516</x:f>
        <x:v>4</x:v>
      </x:c>
    </x:row>
    <x:row r="517">
      <x:c r="A517" s="4" t="str">
        <x:v>2021-22</x:v>
      </x:c>
      <x:c r="B517" s="20" t="n">
        <x:v>44625</x:v>
      </x:c>
      <x:c r="C517" s="4" t="str">
        <x:v>Brentford</x:v>
      </x:c>
      <x:c r="D517" s="4" t="str">
        <x:v>Norwich</x:v>
      </x:c>
      <x:c r="E517" s="4" t="str">
        <x:v>Away</x:v>
      </x:c>
      <x:c r="F517" s="28" t="n">
        <x:v>3</x:v>
      </x:c>
      <x:c r="G517" s="28" t="n">
        <x:v>1</x:v>
      </x:c>
      <x:c r="H517" s="28" t="n">
        <x:v>10</x:v>
      </x:c>
      <x:c r="I517" s="28" t="n">
        <x:v>15</x:v>
      </x:c>
      <x:c r="J517" s="28" t="n">
        <x:v>6</x:v>
      </x:c>
      <x:c r="K517" s="28" t="n">
        <x:v>7</x:v>
      </x:c>
      <x:c r="L517" s="28" t="n">
        <x:v>5</x:v>
      </x:c>
      <x:c r="M517" s="28" t="n">
        <x:v>5</x:v>
      </x:c>
      <x:c r="N517" s="28" t="n">
        <x:v>5</x:v>
      </x:c>
      <x:c r="O517" s="28" t="n">
        <x:v>0</x:v>
      </x:c>
      <x:c r="P517" s="28" t="n">
        <x:v>3</x:v>
      </x:c>
      <x:c r="Q517" s="24" t="n">
        <x:f>IFERROR(J517/H517,0)</x:f>
        <x:v>0.6</x:v>
      </x:c>
      <x:c r="R517" s="24" t="n">
        <x:f>IFERROR(F517/H517,0)</x:f>
        <x:v>0.3</x:v>
      </x:c>
      <x:c r="S517" s="24" t="n">
        <x:f>IFERROR(F517/J517,0)</x:f>
        <x:v>0.5</x:v>
      </x:c>
      <x:c r="T517" s="28" t="n">
        <x:f>H517-I517</x:f>
        <x:v>-5</x:v>
      </x:c>
      <x:c r="U517" s="24" t="n">
        <x:f>IFERROR(J517/H517,0)-IFERROR(K517/I517,0)</x:f>
        <x:v>0.1333333333333333</x:v>
      </x:c>
      <x:c r="V517" s="24" t="n">
        <x:f>IFERROR(F517/J517,0)-IFERROR(G517/K517,0)</x:f>
        <x:v>0.35714285714285715</x:v>
      </x:c>
      <x:c r="W517" s="28" t="n">
        <x:f>L517-M517</x:f>
        <x:v>0</x:v>
      </x:c>
      <x:c r="X517" s="24" t="n">
        <x:f>IFERROR(K517/I517,0)</x:f>
        <x:v>0.4666666666666667</x:v>
      </x:c>
      <x:c r="Y517" s="24" t="n">
        <x:f>IFERROR(G517/I517,0)</x:f>
        <x:v>0.06666666666666667</x:v>
      </x:c>
      <x:c r="Z517" s="24" t="n">
        <x:f>IFERROR(G517/K517,0)</x:f>
        <x:v>0.14285714285714285</x:v>
      </x:c>
      <x:c r="AA517" s="24" t="n">
        <x:f>IFERROR(F517/H517,0)-IFERROR(G517/I517,0)</x:f>
        <x:v>0.23333333333333334</x:v>
      </x:c>
      <x:c r="AB517" s="28" t="n">
        <x:f>J517-K517</x:f>
        <x:v>-1</x:v>
      </x:c>
      <x:c r="AC517" s="32" t="n">
        <x:f>F517-G517</x:f>
        <x:v>2</x:v>
      </x:c>
    </x:row>
    <x:row r="518">
      <x:c r="A518" s="4" t="str">
        <x:v>2021-22</x:v>
      </x:c>
      <x:c r="B518" s="20" t="n">
        <x:v>44625</x:v>
      </x:c>
      <x:c r="C518" s="4" t="str">
        <x:v>Brighton</x:v>
      </x:c>
      <x:c r="D518" s="4" t="str">
        <x:v>Newcastle</x:v>
      </x:c>
      <x:c r="E518" s="4" t="str">
        <x:v>Away</x:v>
      </x:c>
      <x:c r="F518" s="28" t="n">
        <x:v>1</x:v>
      </x:c>
      <x:c r="G518" s="28" t="n">
        <x:v>2</x:v>
      </x:c>
      <x:c r="H518" s="28" t="n">
        <x:v>15</x:v>
      </x:c>
      <x:c r="I518" s="28" t="n">
        <x:v>10</x:v>
      </x:c>
      <x:c r="J518" s="28" t="n">
        <x:v>4</x:v>
      </x:c>
      <x:c r="K518" s="28" t="n">
        <x:v>4</x:v>
      </x:c>
      <x:c r="L518" s="28" t="n">
        <x:v>7</x:v>
      </x:c>
      <x:c r="M518" s="28" t="n">
        <x:v>4</x:v>
      </x:c>
      <x:c r="N518" s="28" t="n">
        <x:v>1</x:v>
      </x:c>
      <x:c r="O518" s="28" t="n">
        <x:v>0</x:v>
      </x:c>
      <x:c r="P518" s="28" t="n">
        <x:v>0</x:v>
      </x:c>
      <x:c r="Q518" s="24" t="n">
        <x:f>IFERROR(J518/H518,0)</x:f>
        <x:v>0.26666666666666666</x:v>
      </x:c>
      <x:c r="R518" s="24" t="n">
        <x:f>IFERROR(F518/H518,0)</x:f>
        <x:v>0.06666666666666667</x:v>
      </x:c>
      <x:c r="S518" s="24" t="n">
        <x:f>IFERROR(F518/J518,0)</x:f>
        <x:v>0.25</x:v>
      </x:c>
      <x:c r="T518" s="28" t="n">
        <x:f>H518-I518</x:f>
        <x:v>5</x:v>
      </x:c>
      <x:c r="U518" s="24" t="n">
        <x:f>IFERROR(J518/H518,0)-IFERROR(K518/I518,0)</x:f>
        <x:v>-0.13333333333333336</x:v>
      </x:c>
      <x:c r="V518" s="24" t="n">
        <x:f>IFERROR(F518/J518,0)-IFERROR(G518/K518,0)</x:f>
        <x:v>-0.25</x:v>
      </x:c>
      <x:c r="W518" s="28" t="n">
        <x:f>L518-M518</x:f>
        <x:v>3</x:v>
      </x:c>
      <x:c r="X518" s="24" t="n">
        <x:f>IFERROR(K518/I518,0)</x:f>
        <x:v>0.4</x:v>
      </x:c>
      <x:c r="Y518" s="24" t="n">
        <x:f>IFERROR(G518/I518,0)</x:f>
        <x:v>0.2</x:v>
      </x:c>
      <x:c r="Z518" s="24" t="n">
        <x:f>IFERROR(G518/K518,0)</x:f>
        <x:v>0.5</x:v>
      </x:c>
      <x:c r="AA518" s="24" t="n">
        <x:f>IFERROR(F518/H518,0)-IFERROR(G518/I518,0)</x:f>
        <x:v>-0.13333333333333336</x:v>
      </x:c>
      <x:c r="AB518" s="28" t="n">
        <x:f>J518-K518</x:f>
        <x:v>0</x:v>
      </x:c>
      <x:c r="AC518" s="32" t="n">
        <x:f>F518-G518</x:f>
        <x:v>-1</x:v>
      </x:c>
    </x:row>
    <x:row r="519">
      <x:c r="A519" s="4" t="str">
        <x:v>2021-22</x:v>
      </x:c>
      <x:c r="B519" s="20" t="n">
        <x:v>44625</x:v>
      </x:c>
      <x:c r="C519" s="4" t="str">
        <x:v>Burnley</x:v>
      </x:c>
      <x:c r="D519" s="4" t="str">
        <x:v>Chelsea</x:v>
      </x:c>
      <x:c r="E519" s="4" t="str">
        <x:v>Home</x:v>
      </x:c>
      <x:c r="F519" s="28" t="n">
        <x:v>0</x:v>
      </x:c>
      <x:c r="G519" s="28" t="n">
        <x:v>4</x:v>
      </x:c>
      <x:c r="H519" s="28" t="n">
        <x:v>6</x:v>
      </x:c>
      <x:c r="I519" s="28" t="n">
        <x:v>11</x:v>
      </x:c>
      <x:c r="J519" s="28" t="n">
        <x:v>1</x:v>
      </x:c>
      <x:c r="K519" s="28" t="n">
        <x:v>5</x:v>
      </x:c>
      <x:c r="L519" s="28" t="n">
        <x:v>5</x:v>
      </x:c>
      <x:c r="M519" s="28" t="n">
        <x:v>2</x:v>
      </x:c>
      <x:c r="N519" s="28" t="n">
        <x:v>2</x:v>
      </x:c>
      <x:c r="O519" s="28" t="n">
        <x:v>0</x:v>
      </x:c>
      <x:c r="P519" s="28" t="n">
        <x:v>0</x:v>
      </x:c>
      <x:c r="Q519" s="24" t="n">
        <x:f>IFERROR(J519/H519,0)</x:f>
        <x:v>0.16666666666666666</x:v>
      </x:c>
      <x:c r="R519" s="24" t="n">
        <x:f>IFERROR(F519/H519,0)</x:f>
        <x:v>0</x:v>
      </x:c>
      <x:c r="S519" s="24" t="n">
        <x:f>IFERROR(F519/J519,0)</x:f>
        <x:v>0</x:v>
      </x:c>
      <x:c r="T519" s="28" t="n">
        <x:f>H519-I519</x:f>
        <x:v>-5</x:v>
      </x:c>
      <x:c r="U519" s="24" t="n">
        <x:f>IFERROR(J519/H519,0)-IFERROR(K519/I519,0)</x:f>
        <x:v>-0.28787878787878785</x:v>
      </x:c>
      <x:c r="V519" s="24" t="n">
        <x:f>IFERROR(F519/J519,0)-IFERROR(G519/K519,0)</x:f>
        <x:v>-0.8</x:v>
      </x:c>
      <x:c r="W519" s="28" t="n">
        <x:f>L519-M519</x:f>
        <x:v>3</x:v>
      </x:c>
      <x:c r="X519" s="24" t="n">
        <x:f>IFERROR(K519/I519,0)</x:f>
        <x:v>0.45454545454545453</x:v>
      </x:c>
      <x:c r="Y519" s="24" t="n">
        <x:f>IFERROR(G519/I519,0)</x:f>
        <x:v>0.36363636363636365</x:v>
      </x:c>
      <x:c r="Z519" s="24" t="n">
        <x:f>IFERROR(G519/K519,0)</x:f>
        <x:v>0.8</x:v>
      </x:c>
      <x:c r="AA519" s="24" t="n">
        <x:f>IFERROR(F519/H519,0)-IFERROR(G519/I519,0)</x:f>
        <x:v>-0.36363636363636365</x:v>
      </x:c>
      <x:c r="AB519" s="28" t="n">
        <x:f>J519-K519</x:f>
        <x:v>-4</x:v>
      </x:c>
      <x:c r="AC519" s="32" t="n">
        <x:f>F519-G519</x:f>
        <x:v>-4</x:v>
      </x:c>
    </x:row>
    <x:row r="520">
      <x:c r="A520" s="4" t="str">
        <x:v>2021-22</x:v>
      </x:c>
      <x:c r="B520" s="20" t="n">
        <x:v>44625</x:v>
      </x:c>
      <x:c r="C520" s="4" t="str">
        <x:v>Chelsea</x:v>
      </x:c>
      <x:c r="D520" s="4" t="str">
        <x:v>Burnley</x:v>
      </x:c>
      <x:c r="E520" s="4" t="str">
        <x:v>Away</x:v>
      </x:c>
      <x:c r="F520" s="28" t="n">
        <x:v>4</x:v>
      </x:c>
      <x:c r="G520" s="28" t="n">
        <x:v>0</x:v>
      </x:c>
      <x:c r="H520" s="28" t="n">
        <x:v>11</x:v>
      </x:c>
      <x:c r="I520" s="28" t="n">
        <x:v>6</x:v>
      </x:c>
      <x:c r="J520" s="28" t="n">
        <x:v>5</x:v>
      </x:c>
      <x:c r="K520" s="28" t="n">
        <x:v>1</x:v>
      </x:c>
      <x:c r="L520" s="28" t="n">
        <x:v>2</x:v>
      </x:c>
      <x:c r="M520" s="28" t="n">
        <x:v>5</x:v>
      </x:c>
      <x:c r="N520" s="28" t="n">
        <x:v>0</x:v>
      </x:c>
      <x:c r="O520" s="28" t="n">
        <x:v>0</x:v>
      </x:c>
      <x:c r="P520" s="28" t="n">
        <x:v>3</x:v>
      </x:c>
      <x:c r="Q520" s="24" t="n">
        <x:f>IFERROR(J520/H520,0)</x:f>
        <x:v>0.45454545454545453</x:v>
      </x:c>
      <x:c r="R520" s="24" t="n">
        <x:f>IFERROR(F520/H520,0)</x:f>
        <x:v>0.36363636363636365</x:v>
      </x:c>
      <x:c r="S520" s="24" t="n">
        <x:f>IFERROR(F520/J520,0)</x:f>
        <x:v>0.8</x:v>
      </x:c>
      <x:c r="T520" s="28" t="n">
        <x:f>H520-I520</x:f>
        <x:v>5</x:v>
      </x:c>
      <x:c r="U520" s="24" t="n">
        <x:f>IFERROR(J520/H520,0)-IFERROR(K520/I520,0)</x:f>
        <x:v>0.28787878787878785</x:v>
      </x:c>
      <x:c r="V520" s="24" t="n">
        <x:f>IFERROR(F520/J520,0)-IFERROR(G520/K520,0)</x:f>
        <x:v>0.8</x:v>
      </x:c>
      <x:c r="W520" s="28" t="n">
        <x:f>L520-M520</x:f>
        <x:v>-3</x:v>
      </x:c>
      <x:c r="X520" s="24" t="n">
        <x:f>IFERROR(K520/I520,0)</x:f>
        <x:v>0.16666666666666666</x:v>
      </x:c>
      <x:c r="Y520" s="24" t="n">
        <x:f>IFERROR(G520/I520,0)</x:f>
        <x:v>0</x:v>
      </x:c>
      <x:c r="Z520" s="24" t="n">
        <x:f>IFERROR(G520/K520,0)</x:f>
        <x:v>0</x:v>
      </x:c>
      <x:c r="AA520" s="24" t="n">
        <x:f>IFERROR(F520/H520,0)-IFERROR(G520/I520,0)</x:f>
        <x:v>0.36363636363636365</x:v>
      </x:c>
      <x:c r="AB520" s="28" t="n">
        <x:f>J520-K520</x:f>
        <x:v>4</x:v>
      </x:c>
      <x:c r="AC520" s="32" t="n">
        <x:f>F520-G520</x:f>
        <x:v>4</x:v>
      </x:c>
    </x:row>
    <x:row r="521">
      <x:c r="A521" s="4" t="str">
        <x:v>2021-22</x:v>
      </x:c>
      <x:c r="B521" s="20" t="n">
        <x:v>44625</x:v>
      </x:c>
      <x:c r="C521" s="4" t="str">
        <x:v>Crystal Palace</x:v>
      </x:c>
      <x:c r="D521" s="4" t="str">
        <x:v>Wolves</x:v>
      </x:c>
      <x:c r="E521" s="4" t="str">
        <x:v>Away</x:v>
      </x:c>
      <x:c r="F521" s="28" t="n">
        <x:v>2</x:v>
      </x:c>
      <x:c r="G521" s="28" t="n">
        <x:v>0</x:v>
      </x:c>
      <x:c r="H521" s="28" t="n">
        <x:v>12</x:v>
      </x:c>
      <x:c r="I521" s="28" t="n">
        <x:v>12</x:v>
      </x:c>
      <x:c r="J521" s="28" t="n">
        <x:v>8</x:v>
      </x:c>
      <x:c r="K521" s="28" t="n">
        <x:v>5</x:v>
      </x:c>
      <x:c r="L521" s="28" t="n">
        <x:v>7</x:v>
      </x:c>
      <x:c r="M521" s="28" t="n">
        <x:v>7</x:v>
      </x:c>
      <x:c r="N521" s="28" t="n">
        <x:v>3</x:v>
      </x:c>
      <x:c r="O521" s="28" t="n">
        <x:v>0</x:v>
      </x:c>
      <x:c r="P521" s="28" t="n">
        <x:v>3</x:v>
      </x:c>
      <x:c r="Q521" s="24" t="n">
        <x:f>IFERROR(J521/H521,0)</x:f>
        <x:v>0.6666666666666666</x:v>
      </x:c>
      <x:c r="R521" s="24" t="n">
        <x:f>IFERROR(F521/H521,0)</x:f>
        <x:v>0.16666666666666666</x:v>
      </x:c>
      <x:c r="S521" s="24" t="n">
        <x:f>IFERROR(F521/J521,0)</x:f>
        <x:v>0.25</x:v>
      </x:c>
      <x:c r="T521" s="28" t="n">
        <x:f>H521-I521</x:f>
        <x:v>0</x:v>
      </x:c>
      <x:c r="U521" s="24" t="n">
        <x:f>IFERROR(J521/H521,0)-IFERROR(K521/I521,0)</x:f>
        <x:v>0.24999999999999994</x:v>
      </x:c>
      <x:c r="V521" s="24" t="n">
        <x:f>IFERROR(F521/J521,0)-IFERROR(G521/K521,0)</x:f>
        <x:v>0.25</x:v>
      </x:c>
      <x:c r="W521" s="28" t="n">
        <x:f>L521-M521</x:f>
        <x:v>0</x:v>
      </x:c>
      <x:c r="X521" s="24" t="n">
        <x:f>IFERROR(K521/I521,0)</x:f>
        <x:v>0.4166666666666667</x:v>
      </x:c>
      <x:c r="Y521" s="24" t="n">
        <x:f>IFERROR(G521/I521,0)</x:f>
        <x:v>0</x:v>
      </x:c>
      <x:c r="Z521" s="24" t="n">
        <x:f>IFERROR(G521/K521,0)</x:f>
        <x:v>0</x:v>
      </x:c>
      <x:c r="AA521" s="24" t="n">
        <x:f>IFERROR(F521/H521,0)-IFERROR(G521/I521,0)</x:f>
        <x:v>0.16666666666666666</x:v>
      </x:c>
      <x:c r="AB521" s="28" t="n">
        <x:f>J521-K521</x:f>
        <x:v>3</x:v>
      </x:c>
      <x:c r="AC521" s="32" t="n">
        <x:f>F521-G521</x:f>
        <x:v>2</x:v>
      </x:c>
    </x:row>
    <x:row r="522">
      <x:c r="A522" s="4" t="str">
        <x:v>2021-22</x:v>
      </x:c>
      <x:c r="B522" s="20" t="n">
        <x:v>44625</x:v>
      </x:c>
      <x:c r="C522" s="4" t="str">
        <x:v>Leeds</x:v>
      </x:c>
      <x:c r="D522" s="4" t="str">
        <x:v>Leicester</x:v>
      </x:c>
      <x:c r="E522" s="4" t="str">
        <x:v>Away</x:v>
      </x:c>
      <x:c r="F522" s="28" t="n">
        <x:v>0</x:v>
      </x:c>
      <x:c r="G522" s="28" t="n">
        <x:v>1</x:v>
      </x:c>
      <x:c r="H522" s="28" t="n">
        <x:v>19</x:v>
      </x:c>
      <x:c r="I522" s="28" t="n">
        <x:v>7</x:v>
      </x:c>
      <x:c r="J522" s="28" t="n">
        <x:v>4</x:v>
      </x:c>
      <x:c r="K522" s="28" t="n">
        <x:v>4</x:v>
      </x:c>
      <x:c r="L522" s="28" t="n">
        <x:v>10</x:v>
      </x:c>
      <x:c r="M522" s="28" t="n">
        <x:v>5</x:v>
      </x:c>
      <x:c r="N522" s="28" t="n">
        <x:v>2</x:v>
      </x:c>
      <x:c r="O522" s="28" t="n">
        <x:v>0</x:v>
      </x:c>
      <x:c r="P522" s="28" t="n">
        <x:v>0</x:v>
      </x:c>
      <x:c r="Q522" s="24" t="n">
        <x:f>IFERROR(J522/H522,0)</x:f>
        <x:v>0.21052631578947367</x:v>
      </x:c>
      <x:c r="R522" s="24" t="n">
        <x:f>IFERROR(F522/H522,0)</x:f>
        <x:v>0</x:v>
      </x:c>
      <x:c r="S522" s="24" t="n">
        <x:f>IFERROR(F522/J522,0)</x:f>
        <x:v>0</x:v>
      </x:c>
      <x:c r="T522" s="28" t="n">
        <x:f>H522-I522</x:f>
        <x:v>12</x:v>
      </x:c>
      <x:c r="U522" s="24" t="n">
        <x:f>IFERROR(J522/H522,0)-IFERROR(K522/I522,0)</x:f>
        <x:v>-0.3609022556390977</x:v>
      </x:c>
      <x:c r="V522" s="24" t="n">
        <x:f>IFERROR(F522/J522,0)-IFERROR(G522/K522,0)</x:f>
        <x:v>-0.25</x:v>
      </x:c>
      <x:c r="W522" s="28" t="n">
        <x:f>L522-M522</x:f>
        <x:v>5</x:v>
      </x:c>
      <x:c r="X522" s="24" t="n">
        <x:f>IFERROR(K522/I522,0)</x:f>
        <x:v>0.5714285714285714</x:v>
      </x:c>
      <x:c r="Y522" s="24" t="n">
        <x:f>IFERROR(G522/I522,0)</x:f>
        <x:v>0.14285714285714285</x:v>
      </x:c>
      <x:c r="Z522" s="24" t="n">
        <x:f>IFERROR(G522/K522,0)</x:f>
        <x:v>0.25</x:v>
      </x:c>
      <x:c r="AA522" s="24" t="n">
        <x:f>IFERROR(F522/H522,0)-IFERROR(G522/I522,0)</x:f>
        <x:v>-0.14285714285714285</x:v>
      </x:c>
      <x:c r="AB522" s="28" t="n">
        <x:f>J522-K522</x:f>
        <x:v>0</x:v>
      </x:c>
      <x:c r="AC522" s="32" t="n">
        <x:f>F522-G522</x:f>
        <x:v>-1</x:v>
      </x:c>
    </x:row>
    <x:row r="523">
      <x:c r="A523" s="4" t="str">
        <x:v>2021-22</x:v>
      </x:c>
      <x:c r="B523" s="20" t="n">
        <x:v>44625</x:v>
      </x:c>
      <x:c r="C523" s="4" t="str">
        <x:v>Leicester</x:v>
      </x:c>
      <x:c r="D523" s="4" t="str">
        <x:v>Leeds</x:v>
      </x:c>
      <x:c r="E523" s="4" t="str">
        <x:v>Home</x:v>
      </x:c>
      <x:c r="F523" s="28" t="n">
        <x:v>1</x:v>
      </x:c>
      <x:c r="G523" s="28" t="n">
        <x:v>0</x:v>
      </x:c>
      <x:c r="H523" s="28" t="n">
        <x:v>7</x:v>
      </x:c>
      <x:c r="I523" s="28" t="n">
        <x:v>19</x:v>
      </x:c>
      <x:c r="J523" s="28" t="n">
        <x:v>4</x:v>
      </x:c>
      <x:c r="K523" s="28" t="n">
        <x:v>4</x:v>
      </x:c>
      <x:c r="L523" s="28" t="n">
        <x:v>5</x:v>
      </x:c>
      <x:c r="M523" s="28" t="n">
        <x:v>10</x:v>
      </x:c>
      <x:c r="N523" s="28" t="n">
        <x:v>1</x:v>
      </x:c>
      <x:c r="O523" s="28" t="n">
        <x:v>0</x:v>
      </x:c>
      <x:c r="P523" s="28" t="n">
        <x:v>3</x:v>
      </x:c>
      <x:c r="Q523" s="24" t="n">
        <x:f>IFERROR(J523/H523,0)</x:f>
        <x:v>0.5714285714285714</x:v>
      </x:c>
      <x:c r="R523" s="24" t="n">
        <x:f>IFERROR(F523/H523,0)</x:f>
        <x:v>0.14285714285714285</x:v>
      </x:c>
      <x:c r="S523" s="24" t="n">
        <x:f>IFERROR(F523/J523,0)</x:f>
        <x:v>0.25</x:v>
      </x:c>
      <x:c r="T523" s="28" t="n">
        <x:f>H523-I523</x:f>
        <x:v>-12</x:v>
      </x:c>
      <x:c r="U523" s="24" t="n">
        <x:f>IFERROR(J523/H523,0)-IFERROR(K523/I523,0)</x:f>
        <x:v>0.3609022556390977</x:v>
      </x:c>
      <x:c r="V523" s="24" t="n">
        <x:f>IFERROR(F523/J523,0)-IFERROR(G523/K523,0)</x:f>
        <x:v>0.25</x:v>
      </x:c>
      <x:c r="W523" s="28" t="n">
        <x:f>L523-M523</x:f>
        <x:v>-5</x:v>
      </x:c>
      <x:c r="X523" s="24" t="n">
        <x:f>IFERROR(K523/I523,0)</x:f>
        <x:v>0.21052631578947367</x:v>
      </x:c>
      <x:c r="Y523" s="24" t="n">
        <x:f>IFERROR(G523/I523,0)</x:f>
        <x:v>0</x:v>
      </x:c>
      <x:c r="Z523" s="24" t="n">
        <x:f>IFERROR(G523/K523,0)</x:f>
        <x:v>0</x:v>
      </x:c>
      <x:c r="AA523" s="24" t="n">
        <x:f>IFERROR(F523/H523,0)-IFERROR(G523/I523,0)</x:f>
        <x:v>0.14285714285714285</x:v>
      </x:c>
      <x:c r="AB523" s="28" t="n">
        <x:f>J523-K523</x:f>
        <x:v>0</x:v>
      </x:c>
      <x:c r="AC523" s="32" t="n">
        <x:f>F523-G523</x:f>
        <x:v>1</x:v>
      </x:c>
    </x:row>
    <x:row r="524">
      <x:c r="A524" s="4" t="str">
        <x:v>2021-22</x:v>
      </x:c>
      <x:c r="B524" s="20" t="n">
        <x:v>44625</x:v>
      </x:c>
      <x:c r="C524" s="4" t="str">
        <x:v>Liverpool</x:v>
      </x:c>
      <x:c r="D524" s="4" t="str">
        <x:v>West Ham</x:v>
      </x:c>
      <x:c r="E524" s="4" t="str">
        <x:v>Home</x:v>
      </x:c>
      <x:c r="F524" s="28" t="n">
        <x:v>1</x:v>
      </x:c>
      <x:c r="G524" s="28" t="n">
        <x:v>0</x:v>
      </x:c>
      <x:c r="H524" s="28" t="n">
        <x:v>22</x:v>
      </x:c>
      <x:c r="I524" s="28" t="n">
        <x:v>13</x:v>
      </x:c>
      <x:c r="J524" s="28" t="n">
        <x:v>5</x:v>
      </x:c>
      <x:c r="K524" s="28" t="n">
        <x:v>5</x:v>
      </x:c>
      <x:c r="L524" s="28" t="n">
        <x:v>4</x:v>
      </x:c>
      <x:c r="M524" s="28" t="n">
        <x:v>6</x:v>
      </x:c>
      <x:c r="N524" s="28" t="n">
        <x:v>2</x:v>
      </x:c>
      <x:c r="O524" s="28" t="n">
        <x:v>0</x:v>
      </x:c>
      <x:c r="P524" s="28" t="n">
        <x:v>3</x:v>
      </x:c>
      <x:c r="Q524" s="24" t="n">
        <x:f>IFERROR(J524/H524,0)</x:f>
        <x:v>0.22727272727272727</x:v>
      </x:c>
      <x:c r="R524" s="24" t="n">
        <x:f>IFERROR(F524/H524,0)</x:f>
        <x:v>0.045454545454545456</x:v>
      </x:c>
      <x:c r="S524" s="24" t="n">
        <x:f>IFERROR(F524/J524,0)</x:f>
        <x:v>0.2</x:v>
      </x:c>
      <x:c r="T524" s="28" t="n">
        <x:f>H524-I524</x:f>
        <x:v>9</x:v>
      </x:c>
      <x:c r="U524" s="24" t="n">
        <x:f>IFERROR(J524/H524,0)-IFERROR(K524/I524,0)</x:f>
        <x:v>-0.15734265734265737</x:v>
      </x:c>
      <x:c r="V524" s="24" t="n">
        <x:f>IFERROR(F524/J524,0)-IFERROR(G524/K524,0)</x:f>
        <x:v>0.2</x:v>
      </x:c>
      <x:c r="W524" s="28" t="n">
        <x:f>L524-M524</x:f>
        <x:v>-2</x:v>
      </x:c>
      <x:c r="X524" s="24" t="n">
        <x:f>IFERROR(K524/I524,0)</x:f>
        <x:v>0.38461538461538464</x:v>
      </x:c>
      <x:c r="Y524" s="24" t="n">
        <x:f>IFERROR(G524/I524,0)</x:f>
        <x:v>0</x:v>
      </x:c>
      <x:c r="Z524" s="24" t="n">
        <x:f>IFERROR(G524/K524,0)</x:f>
        <x:v>0</x:v>
      </x:c>
      <x:c r="AA524" s="24" t="n">
        <x:f>IFERROR(F524/H524,0)-IFERROR(G524/I524,0)</x:f>
        <x:v>0.045454545454545456</x:v>
      </x:c>
      <x:c r="AB524" s="28" t="n">
        <x:f>J524-K524</x:f>
        <x:v>0</x:v>
      </x:c>
      <x:c r="AC524" s="32" t="n">
        <x:f>F524-G524</x:f>
        <x:v>1</x:v>
      </x:c>
    </x:row>
    <x:row r="525">
      <x:c r="A525" s="4" t="str">
        <x:v>2021-22</x:v>
      </x:c>
      <x:c r="B525" s="20" t="n">
        <x:v>44625</x:v>
      </x:c>
      <x:c r="C525" s="4" t="str">
        <x:v>Newcastle</x:v>
      </x:c>
      <x:c r="D525" s="4" t="str">
        <x:v>Brighton</x:v>
      </x:c>
      <x:c r="E525" s="4" t="str">
        <x:v>Home</x:v>
      </x:c>
      <x:c r="F525" s="28" t="n">
        <x:v>2</x:v>
      </x:c>
      <x:c r="G525" s="28" t="n">
        <x:v>1</x:v>
      </x:c>
      <x:c r="H525" s="28" t="n">
        <x:v>10</x:v>
      </x:c>
      <x:c r="I525" s="28" t="n">
        <x:v>15</x:v>
      </x:c>
      <x:c r="J525" s="28" t="n">
        <x:v>4</x:v>
      </x:c>
      <x:c r="K525" s="28" t="n">
        <x:v>4</x:v>
      </x:c>
      <x:c r="L525" s="28" t="n">
        <x:v>4</x:v>
      </x:c>
      <x:c r="M525" s="28" t="n">
        <x:v>7</x:v>
      </x:c>
      <x:c r="N525" s="28" t="n">
        <x:v>1</x:v>
      </x:c>
      <x:c r="O525" s="28" t="n">
        <x:v>0</x:v>
      </x:c>
      <x:c r="P525" s="28" t="n">
        <x:v>3</x:v>
      </x:c>
      <x:c r="Q525" s="24" t="n">
        <x:f>IFERROR(J525/H525,0)</x:f>
        <x:v>0.4</x:v>
      </x:c>
      <x:c r="R525" s="24" t="n">
        <x:f>IFERROR(F525/H525,0)</x:f>
        <x:v>0.2</x:v>
      </x:c>
      <x:c r="S525" s="24" t="n">
        <x:f>IFERROR(F525/J525,0)</x:f>
        <x:v>0.5</x:v>
      </x:c>
      <x:c r="T525" s="28" t="n">
        <x:f>H525-I525</x:f>
        <x:v>-5</x:v>
      </x:c>
      <x:c r="U525" s="24" t="n">
        <x:f>IFERROR(J525/H525,0)-IFERROR(K525/I525,0)</x:f>
        <x:v>0.13333333333333336</x:v>
      </x:c>
      <x:c r="V525" s="24" t="n">
        <x:f>IFERROR(F525/J525,0)-IFERROR(G525/K525,0)</x:f>
        <x:v>0.25</x:v>
      </x:c>
      <x:c r="W525" s="28" t="n">
        <x:f>L525-M525</x:f>
        <x:v>-3</x:v>
      </x:c>
      <x:c r="X525" s="24" t="n">
        <x:f>IFERROR(K525/I525,0)</x:f>
        <x:v>0.26666666666666666</x:v>
      </x:c>
      <x:c r="Y525" s="24" t="n">
        <x:f>IFERROR(G525/I525,0)</x:f>
        <x:v>0.06666666666666667</x:v>
      </x:c>
      <x:c r="Z525" s="24" t="n">
        <x:f>IFERROR(G525/K525,0)</x:f>
        <x:v>0.25</x:v>
      </x:c>
      <x:c r="AA525" s="24" t="n">
        <x:f>IFERROR(F525/H525,0)-IFERROR(G525/I525,0)</x:f>
        <x:v>0.13333333333333336</x:v>
      </x:c>
      <x:c r="AB525" s="28" t="n">
        <x:f>J525-K525</x:f>
        <x:v>0</x:v>
      </x:c>
      <x:c r="AC525" s="32" t="n">
        <x:f>F525-G525</x:f>
        <x:v>1</x:v>
      </x:c>
    </x:row>
    <x:row r="526">
      <x:c r="A526" s="4" t="str">
        <x:v>2021-22</x:v>
      </x:c>
      <x:c r="B526" s="20" t="n">
        <x:v>44625</x:v>
      </x:c>
      <x:c r="C526" s="4" t="str">
        <x:v>Norwich</x:v>
      </x:c>
      <x:c r="D526" s="4" t="str">
        <x:v>Brentford</x:v>
      </x:c>
      <x:c r="E526" s="4" t="str">
        <x:v>Home</x:v>
      </x:c>
      <x:c r="F526" s="28" t="n">
        <x:v>1</x:v>
      </x:c>
      <x:c r="G526" s="28" t="n">
        <x:v>3</x:v>
      </x:c>
      <x:c r="H526" s="28" t="n">
        <x:v>15</x:v>
      </x:c>
      <x:c r="I526" s="28" t="n">
        <x:v>10</x:v>
      </x:c>
      <x:c r="J526" s="28" t="n">
        <x:v>7</x:v>
      </x:c>
      <x:c r="K526" s="28" t="n">
        <x:v>6</x:v>
      </x:c>
      <x:c r="L526" s="28" t="n">
        <x:v>5</x:v>
      </x:c>
      <x:c r="M526" s="28" t="n">
        <x:v>5</x:v>
      </x:c>
      <x:c r="N526" s="28" t="n">
        <x:v>2</x:v>
      </x:c>
      <x:c r="O526" s="28" t="n">
        <x:v>0</x:v>
      </x:c>
      <x:c r="P526" s="28" t="n">
        <x:v>0</x:v>
      </x:c>
      <x:c r="Q526" s="24" t="n">
        <x:f>IFERROR(J526/H526,0)</x:f>
        <x:v>0.4666666666666667</x:v>
      </x:c>
      <x:c r="R526" s="24" t="n">
        <x:f>IFERROR(F526/H526,0)</x:f>
        <x:v>0.06666666666666667</x:v>
      </x:c>
      <x:c r="S526" s="24" t="n">
        <x:f>IFERROR(F526/J526,0)</x:f>
        <x:v>0.14285714285714285</x:v>
      </x:c>
      <x:c r="T526" s="28" t="n">
        <x:f>H526-I526</x:f>
        <x:v>5</x:v>
      </x:c>
      <x:c r="U526" s="24" t="n">
        <x:f>IFERROR(J526/H526,0)-IFERROR(K526/I526,0)</x:f>
        <x:v>-0.1333333333333333</x:v>
      </x:c>
      <x:c r="V526" s="24" t="n">
        <x:f>IFERROR(F526/J526,0)-IFERROR(G526/K526,0)</x:f>
        <x:v>-0.35714285714285715</x:v>
      </x:c>
      <x:c r="W526" s="28" t="n">
        <x:f>L526-M526</x:f>
        <x:v>0</x:v>
      </x:c>
      <x:c r="X526" s="24" t="n">
        <x:f>IFERROR(K526/I526,0)</x:f>
        <x:v>0.6</x:v>
      </x:c>
      <x:c r="Y526" s="24" t="n">
        <x:f>IFERROR(G526/I526,0)</x:f>
        <x:v>0.3</x:v>
      </x:c>
      <x:c r="Z526" s="24" t="n">
        <x:f>IFERROR(G526/K526,0)</x:f>
        <x:v>0.5</x:v>
      </x:c>
      <x:c r="AA526" s="24" t="n">
        <x:f>IFERROR(F526/H526,0)-IFERROR(G526/I526,0)</x:f>
        <x:v>-0.23333333333333334</x:v>
      </x:c>
      <x:c r="AB526" s="28" t="n">
        <x:f>J526-K526</x:f>
        <x:v>1</x:v>
      </x:c>
      <x:c r="AC526" s="32" t="n">
        <x:f>F526-G526</x:f>
        <x:v>-2</x:v>
      </x:c>
    </x:row>
    <x:row r="527">
      <x:c r="A527" s="4" t="str">
        <x:v>2021-22</x:v>
      </x:c>
      <x:c r="B527" s="20" t="n">
        <x:v>44625</x:v>
      </x:c>
      <x:c r="C527" s="4" t="str">
        <x:v>Southampton</x:v>
      </x:c>
      <x:c r="D527" s="4" t="str">
        <x:v>Aston Villa</x:v>
      </x:c>
      <x:c r="E527" s="4" t="str">
        <x:v>Away</x:v>
      </x:c>
      <x:c r="F527" s="28" t="n">
        <x:v>0</x:v>
      </x:c>
      <x:c r="G527" s="28" t="n">
        <x:v>4</x:v>
      </x:c>
      <x:c r="H527" s="28" t="n">
        <x:v>11</x:v>
      </x:c>
      <x:c r="I527" s="28" t="n">
        <x:v>14</x:v>
      </x:c>
      <x:c r="J527" s="28" t="n">
        <x:v>1</x:v>
      </x:c>
      <x:c r="K527" s="28" t="n">
        <x:v>9</x:v>
      </x:c>
      <x:c r="L527" s="28" t="n">
        <x:v>7</x:v>
      </x:c>
      <x:c r="M527" s="28" t="n">
        <x:v>4</x:v>
      </x:c>
      <x:c r="N527" s="28" t="n">
        <x:v>1</x:v>
      </x:c>
      <x:c r="O527" s="28" t="n">
        <x:v>0</x:v>
      </x:c>
      <x:c r="P527" s="28" t="n">
        <x:v>0</x:v>
      </x:c>
      <x:c r="Q527" s="24" t="n">
        <x:f>IFERROR(J527/H527,0)</x:f>
        <x:v>0.09090909090909091</x:v>
      </x:c>
      <x:c r="R527" s="24" t="n">
        <x:f>IFERROR(F527/H527,0)</x:f>
        <x:v>0</x:v>
      </x:c>
      <x:c r="S527" s="24" t="n">
        <x:f>IFERROR(F527/J527,0)</x:f>
        <x:v>0</x:v>
      </x:c>
      <x:c r="T527" s="28" t="n">
        <x:f>H527-I527</x:f>
        <x:v>-3</x:v>
      </x:c>
      <x:c r="U527" s="24" t="n">
        <x:f>IFERROR(J527/H527,0)-IFERROR(K527/I527,0)</x:f>
        <x:v>-0.551948051948052</x:v>
      </x:c>
      <x:c r="V527" s="24" t="n">
        <x:f>IFERROR(F527/J527,0)-IFERROR(G527/K527,0)</x:f>
        <x:v>-0.4444444444444444</x:v>
      </x:c>
      <x:c r="W527" s="28" t="n">
        <x:f>L527-M527</x:f>
        <x:v>3</x:v>
      </x:c>
      <x:c r="X527" s="24" t="n">
        <x:f>IFERROR(K527/I527,0)</x:f>
        <x:v>0.6428571428571429</x:v>
      </x:c>
      <x:c r="Y527" s="24" t="n">
        <x:f>IFERROR(G527/I527,0)</x:f>
        <x:v>0.2857142857142857</x:v>
      </x:c>
      <x:c r="Z527" s="24" t="n">
        <x:f>IFERROR(G527/K527,0)</x:f>
        <x:v>0.4444444444444444</x:v>
      </x:c>
      <x:c r="AA527" s="24" t="n">
        <x:f>IFERROR(F527/H527,0)-IFERROR(G527/I527,0)</x:f>
        <x:v>-0.2857142857142857</x:v>
      </x:c>
      <x:c r="AB527" s="28" t="n">
        <x:f>J527-K527</x:f>
        <x:v>-8</x:v>
      </x:c>
      <x:c r="AC527" s="32" t="n">
        <x:f>F527-G527</x:f>
        <x:v>-4</x:v>
      </x:c>
    </x:row>
    <x:row r="528">
      <x:c r="A528" s="4" t="str">
        <x:v>2021-22</x:v>
      </x:c>
      <x:c r="B528" s="20" t="n">
        <x:v>44625</x:v>
      </x:c>
      <x:c r="C528" s="4" t="str">
        <x:v>West Ham</x:v>
      </x:c>
      <x:c r="D528" s="4" t="str">
        <x:v>Liverpool</x:v>
      </x:c>
      <x:c r="E528" s="4" t="str">
        <x:v>Away</x:v>
      </x:c>
      <x:c r="F528" s="28" t="n">
        <x:v>0</x:v>
      </x:c>
      <x:c r="G528" s="28" t="n">
        <x:v>1</x:v>
      </x:c>
      <x:c r="H528" s="28" t="n">
        <x:v>13</x:v>
      </x:c>
      <x:c r="I528" s="28" t="n">
        <x:v>22</x:v>
      </x:c>
      <x:c r="J528" s="28" t="n">
        <x:v>5</x:v>
      </x:c>
      <x:c r="K528" s="28" t="n">
        <x:v>5</x:v>
      </x:c>
      <x:c r="L528" s="28" t="n">
        <x:v>6</x:v>
      </x:c>
      <x:c r="M528" s="28" t="n">
        <x:v>4</x:v>
      </x:c>
      <x:c r="N528" s="28" t="n">
        <x:v>1</x:v>
      </x:c>
      <x:c r="O528" s="28" t="n">
        <x:v>0</x:v>
      </x:c>
      <x:c r="P528" s="28" t="n">
        <x:v>0</x:v>
      </x:c>
      <x:c r="Q528" s="24" t="n">
        <x:f>IFERROR(J528/H528,0)</x:f>
        <x:v>0.38461538461538464</x:v>
      </x:c>
      <x:c r="R528" s="24" t="n">
        <x:f>IFERROR(F528/H528,0)</x:f>
        <x:v>0</x:v>
      </x:c>
      <x:c r="S528" s="24" t="n">
        <x:f>IFERROR(F528/J528,0)</x:f>
        <x:v>0</x:v>
      </x:c>
      <x:c r="T528" s="28" t="n">
        <x:f>H528-I528</x:f>
        <x:v>-9</x:v>
      </x:c>
      <x:c r="U528" s="24" t="n">
        <x:f>IFERROR(J528/H528,0)-IFERROR(K528/I528,0)</x:f>
        <x:v>0.15734265734265737</x:v>
      </x:c>
      <x:c r="V528" s="24" t="n">
        <x:f>IFERROR(F528/J528,0)-IFERROR(G528/K528,0)</x:f>
        <x:v>-0.2</x:v>
      </x:c>
      <x:c r="W528" s="28" t="n">
        <x:f>L528-M528</x:f>
        <x:v>2</x:v>
      </x:c>
      <x:c r="X528" s="24" t="n">
        <x:f>IFERROR(K528/I528,0)</x:f>
        <x:v>0.22727272727272727</x:v>
      </x:c>
      <x:c r="Y528" s="24" t="n">
        <x:f>IFERROR(G528/I528,0)</x:f>
        <x:v>0.045454545454545456</x:v>
      </x:c>
      <x:c r="Z528" s="24" t="n">
        <x:f>IFERROR(G528/K528,0)</x:f>
        <x:v>0.2</x:v>
      </x:c>
      <x:c r="AA528" s="24" t="n">
        <x:f>IFERROR(F528/H528,0)-IFERROR(G528/I528,0)</x:f>
        <x:v>-0.045454545454545456</x:v>
      </x:c>
      <x:c r="AB528" s="28" t="n">
        <x:f>J528-K528</x:f>
        <x:v>0</x:v>
      </x:c>
      <x:c r="AC528" s="32" t="n">
        <x:f>F528-G528</x:f>
        <x:v>-1</x:v>
      </x:c>
    </x:row>
    <x:row r="529">
      <x:c r="A529" s="4" t="str">
        <x:v>2021-22</x:v>
      </x:c>
      <x:c r="B529" s="20" t="n">
        <x:v>44625</x:v>
      </x:c>
      <x:c r="C529" s="4" t="str">
        <x:v>Wolves</x:v>
      </x:c>
      <x:c r="D529" s="4" t="str">
        <x:v>Crystal Palace</x:v>
      </x:c>
      <x:c r="E529" s="4" t="str">
        <x:v>Home</x:v>
      </x:c>
      <x:c r="F529" s="28" t="n">
        <x:v>0</x:v>
      </x:c>
      <x:c r="G529" s="28" t="n">
        <x:v>2</x:v>
      </x:c>
      <x:c r="H529" s="28" t="n">
        <x:v>12</x:v>
      </x:c>
      <x:c r="I529" s="28" t="n">
        <x:v>12</x:v>
      </x:c>
      <x:c r="J529" s="28" t="n">
        <x:v>5</x:v>
      </x:c>
      <x:c r="K529" s="28" t="n">
        <x:v>8</x:v>
      </x:c>
      <x:c r="L529" s="28" t="n">
        <x:v>7</x:v>
      </x:c>
      <x:c r="M529" s="28" t="n">
        <x:v>7</x:v>
      </x:c>
      <x:c r="N529" s="28" t="n">
        <x:v>0</x:v>
      </x:c>
      <x:c r="O529" s="28" t="n">
        <x:v>0</x:v>
      </x:c>
      <x:c r="P529" s="28" t="n">
        <x:v>0</x:v>
      </x:c>
      <x:c r="Q529" s="24" t="n">
        <x:f>IFERROR(J529/H529,0)</x:f>
        <x:v>0.4166666666666667</x:v>
      </x:c>
      <x:c r="R529" s="24" t="n">
        <x:f>IFERROR(F529/H529,0)</x:f>
        <x:v>0</x:v>
      </x:c>
      <x:c r="S529" s="24" t="n">
        <x:f>IFERROR(F529/J529,0)</x:f>
        <x:v>0</x:v>
      </x:c>
      <x:c r="T529" s="28" t="n">
        <x:f>H529-I529</x:f>
        <x:v>0</x:v>
      </x:c>
      <x:c r="U529" s="24" t="n">
        <x:f>IFERROR(J529/H529,0)-IFERROR(K529/I529,0)</x:f>
        <x:v>-0.24999999999999994</x:v>
      </x:c>
      <x:c r="V529" s="24" t="n">
        <x:f>IFERROR(F529/J529,0)-IFERROR(G529/K529,0)</x:f>
        <x:v>-0.25</x:v>
      </x:c>
      <x:c r="W529" s="28" t="n">
        <x:f>L529-M529</x:f>
        <x:v>0</x:v>
      </x:c>
      <x:c r="X529" s="24" t="n">
        <x:f>IFERROR(K529/I529,0)</x:f>
        <x:v>0.6666666666666666</x:v>
      </x:c>
      <x:c r="Y529" s="24" t="n">
        <x:f>IFERROR(G529/I529,0)</x:f>
        <x:v>0.16666666666666666</x:v>
      </x:c>
      <x:c r="Z529" s="24" t="n">
        <x:f>IFERROR(G529/K529,0)</x:f>
        <x:v>0.25</x:v>
      </x:c>
      <x:c r="AA529" s="24" t="n">
        <x:f>IFERROR(F529/H529,0)-IFERROR(G529/I529,0)</x:f>
        <x:v>-0.16666666666666666</x:v>
      </x:c>
      <x:c r="AB529" s="28" t="n">
        <x:f>J529-K529</x:f>
        <x:v>-3</x:v>
      </x:c>
      <x:c r="AC529" s="32" t="n">
        <x:f>F529-G529</x:f>
        <x:v>-2</x:v>
      </x:c>
    </x:row>
    <x:row r="530">
      <x:c r="A530" s="4" t="str">
        <x:v>2021-22</x:v>
      </x:c>
      <x:c r="B530" s="20" t="n">
        <x:v>44626</x:v>
      </x:c>
      <x:c r="C530" s="4" t="str">
        <x:v>Arsenal</x:v>
      </x:c>
      <x:c r="D530" s="4" t="str">
        <x:v>Watford</x:v>
      </x:c>
      <x:c r="E530" s="4" t="str">
        <x:v>Away</x:v>
      </x:c>
      <x:c r="F530" s="28" t="n">
        <x:v>3</x:v>
      </x:c>
      <x:c r="G530" s="28" t="n">
        <x:v>2</x:v>
      </x:c>
      <x:c r="H530" s="28" t="n">
        <x:v>16</x:v>
      </x:c>
      <x:c r="I530" s="28" t="n">
        <x:v>13</x:v>
      </x:c>
      <x:c r="J530" s="28" t="n">
        <x:v>4</x:v>
      </x:c>
      <x:c r="K530" s="28" t="n">
        <x:v>7</x:v>
      </x:c>
      <x:c r="L530" s="28" t="n">
        <x:v>5</x:v>
      </x:c>
      <x:c r="M530" s="28" t="n">
        <x:v>1</x:v>
      </x:c>
      <x:c r="N530" s="28" t="n">
        <x:v>2</x:v>
      </x:c>
      <x:c r="O530" s="28" t="n">
        <x:v>0</x:v>
      </x:c>
      <x:c r="P530" s="28" t="n">
        <x:v>3</x:v>
      </x:c>
      <x:c r="Q530" s="24" t="n">
        <x:f>IFERROR(J530/H530,0)</x:f>
        <x:v>0.25</x:v>
      </x:c>
      <x:c r="R530" s="24" t="n">
        <x:f>IFERROR(F530/H530,0)</x:f>
        <x:v>0.1875</x:v>
      </x:c>
      <x:c r="S530" s="24" t="n">
        <x:f>IFERROR(F530/J530,0)</x:f>
        <x:v>0.75</x:v>
      </x:c>
      <x:c r="T530" s="28" t="n">
        <x:f>H530-I530</x:f>
        <x:v>3</x:v>
      </x:c>
      <x:c r="U530" s="24" t="n">
        <x:f>IFERROR(J530/H530,0)-IFERROR(K530/I530,0)</x:f>
        <x:v>-0.28846153846153844</x:v>
      </x:c>
      <x:c r="V530" s="24" t="n">
        <x:f>IFERROR(F530/J530,0)-IFERROR(G530/K530,0)</x:f>
        <x:v>0.4642857142857143</x:v>
      </x:c>
      <x:c r="W530" s="28" t="n">
        <x:f>L530-M530</x:f>
        <x:v>4</x:v>
      </x:c>
      <x:c r="X530" s="24" t="n">
        <x:f>IFERROR(K530/I530,0)</x:f>
        <x:v>0.5384615384615384</x:v>
      </x:c>
      <x:c r="Y530" s="24" t="n">
        <x:f>IFERROR(G530/I530,0)</x:f>
        <x:v>0.15384615384615385</x:v>
      </x:c>
      <x:c r="Z530" s="24" t="n">
        <x:f>IFERROR(G530/K530,0)</x:f>
        <x:v>0.2857142857142857</x:v>
      </x:c>
      <x:c r="AA530" s="24" t="n">
        <x:f>IFERROR(F530/H530,0)-IFERROR(G530/I530,0)</x:f>
        <x:v>0.033653846153846145</x:v>
      </x:c>
      <x:c r="AB530" s="28" t="n">
        <x:f>J530-K530</x:f>
        <x:v>-3</x:v>
      </x:c>
      <x:c r="AC530" s="32" t="n">
        <x:f>F530-G530</x:f>
        <x:v>1</x:v>
      </x:c>
    </x:row>
    <x:row r="531">
      <x:c r="A531" s="4" t="str">
        <x:v>2021-22</x:v>
      </x:c>
      <x:c r="B531" s="20" t="n">
        <x:v>44626</x:v>
      </x:c>
      <x:c r="C531" s="4" t="str">
        <x:v>Man City</x:v>
      </x:c>
      <x:c r="D531" s="4" t="str">
        <x:v>Man United</x:v>
      </x:c>
      <x:c r="E531" s="4" t="str">
        <x:v>Home</x:v>
      </x:c>
      <x:c r="F531" s="28" t="n">
        <x:v>4</x:v>
      </x:c>
      <x:c r="G531" s="28" t="n">
        <x:v>1</x:v>
      </x:c>
      <x:c r="H531" s="28" t="n">
        <x:v>24</x:v>
      </x:c>
      <x:c r="I531" s="28" t="n">
        <x:v>5</x:v>
      </x:c>
      <x:c r="J531" s="28" t="n">
        <x:v>10</x:v>
      </x:c>
      <x:c r="K531" s="28" t="n">
        <x:v>2</x:v>
      </x:c>
      <x:c r="L531" s="28" t="n">
        <x:v>9</x:v>
      </x:c>
      <x:c r="M531" s="28" t="n">
        <x:v>3</x:v>
      </x:c>
      <x:c r="N531" s="28" t="n">
        <x:v>0</x:v>
      </x:c>
      <x:c r="O531" s="28" t="n">
        <x:v>0</x:v>
      </x:c>
      <x:c r="P531" s="28" t="n">
        <x:v>3</x:v>
      </x:c>
      <x:c r="Q531" s="24" t="n">
        <x:f>IFERROR(J531/H531,0)</x:f>
        <x:v>0.4166666666666667</x:v>
      </x:c>
      <x:c r="R531" s="24" t="n">
        <x:f>IFERROR(F531/H531,0)</x:f>
        <x:v>0.16666666666666666</x:v>
      </x:c>
      <x:c r="S531" s="24" t="n">
        <x:f>IFERROR(F531/J531,0)</x:f>
        <x:v>0.4</x:v>
      </x:c>
      <x:c r="T531" s="28" t="n">
        <x:f>H531-I531</x:f>
        <x:v>19</x:v>
      </x:c>
      <x:c r="U531" s="24" t="n">
        <x:f>IFERROR(J531/H531,0)-IFERROR(K531/I531,0)</x:f>
        <x:v>0.016666666666666663</x:v>
      </x:c>
      <x:c r="V531" s="24" t="n">
        <x:f>IFERROR(F531/J531,0)-IFERROR(G531/K531,0)</x:f>
        <x:v>-0.09999999999999998</x:v>
      </x:c>
      <x:c r="W531" s="28" t="n">
        <x:f>L531-M531</x:f>
        <x:v>6</x:v>
      </x:c>
      <x:c r="X531" s="24" t="n">
        <x:f>IFERROR(K531/I531,0)</x:f>
        <x:v>0.4</x:v>
      </x:c>
      <x:c r="Y531" s="24" t="n">
        <x:f>IFERROR(G531/I531,0)</x:f>
        <x:v>0.2</x:v>
      </x:c>
      <x:c r="Z531" s="24" t="n">
        <x:f>IFERROR(G531/K531,0)</x:f>
        <x:v>0.5</x:v>
      </x:c>
      <x:c r="AA531" s="24" t="n">
        <x:f>IFERROR(F531/H531,0)-IFERROR(G531/I531,0)</x:f>
        <x:v>-0.033333333333333354</x:v>
      </x:c>
      <x:c r="AB531" s="28" t="n">
        <x:f>J531-K531</x:f>
        <x:v>8</x:v>
      </x:c>
      <x:c r="AC531" s="32" t="n">
        <x:f>F531-G531</x:f>
        <x:v>3</x:v>
      </x:c>
    </x:row>
    <x:row r="532">
      <x:c r="A532" s="4" t="str">
        <x:v>2021-22</x:v>
      </x:c>
      <x:c r="B532" s="20" t="n">
        <x:v>44626</x:v>
      </x:c>
      <x:c r="C532" s="4" t="str">
        <x:v>Man United</x:v>
      </x:c>
      <x:c r="D532" s="4" t="str">
        <x:v>Man City</x:v>
      </x:c>
      <x:c r="E532" s="4" t="str">
        <x:v>Away</x:v>
      </x:c>
      <x:c r="F532" s="28" t="n">
        <x:v>1</x:v>
      </x:c>
      <x:c r="G532" s="28" t="n">
        <x:v>4</x:v>
      </x:c>
      <x:c r="H532" s="28" t="n">
        <x:v>5</x:v>
      </x:c>
      <x:c r="I532" s="28" t="n">
        <x:v>24</x:v>
      </x:c>
      <x:c r="J532" s="28" t="n">
        <x:v>2</x:v>
      </x:c>
      <x:c r="K532" s="28" t="n">
        <x:v>10</x:v>
      </x:c>
      <x:c r="L532" s="28" t="n">
        <x:v>3</x:v>
      </x:c>
      <x:c r="M532" s="28" t="n">
        <x:v>9</x:v>
      </x:c>
      <x:c r="N532" s="28" t="n">
        <x:v>1</x:v>
      </x:c>
      <x:c r="O532" s="28" t="n">
        <x:v>0</x:v>
      </x:c>
      <x:c r="P532" s="28" t="n">
        <x:v>0</x:v>
      </x:c>
      <x:c r="Q532" s="24" t="n">
        <x:f>IFERROR(J532/H532,0)</x:f>
        <x:v>0.4</x:v>
      </x:c>
      <x:c r="R532" s="24" t="n">
        <x:f>IFERROR(F532/H532,0)</x:f>
        <x:v>0.2</x:v>
      </x:c>
      <x:c r="S532" s="24" t="n">
        <x:f>IFERROR(F532/J532,0)</x:f>
        <x:v>0.5</x:v>
      </x:c>
      <x:c r="T532" s="28" t="n">
        <x:f>H532-I532</x:f>
        <x:v>-19</x:v>
      </x:c>
      <x:c r="U532" s="24" t="n">
        <x:f>IFERROR(J532/H532,0)-IFERROR(K532/I532,0)</x:f>
        <x:v>-0.016666666666666663</x:v>
      </x:c>
      <x:c r="V532" s="24" t="n">
        <x:f>IFERROR(F532/J532,0)-IFERROR(G532/K532,0)</x:f>
        <x:v>0.09999999999999998</x:v>
      </x:c>
      <x:c r="W532" s="28" t="n">
        <x:f>L532-M532</x:f>
        <x:v>-6</x:v>
      </x:c>
      <x:c r="X532" s="24" t="n">
        <x:f>IFERROR(K532/I532,0)</x:f>
        <x:v>0.4166666666666667</x:v>
      </x:c>
      <x:c r="Y532" s="24" t="n">
        <x:f>IFERROR(G532/I532,0)</x:f>
        <x:v>0.16666666666666666</x:v>
      </x:c>
      <x:c r="Z532" s="24" t="n">
        <x:f>IFERROR(G532/K532,0)</x:f>
        <x:v>0.4</x:v>
      </x:c>
      <x:c r="AA532" s="24" t="n">
        <x:f>IFERROR(F532/H532,0)-IFERROR(G532/I532,0)</x:f>
        <x:v>0.033333333333333354</x:v>
      </x:c>
      <x:c r="AB532" s="28" t="n">
        <x:f>J532-K532</x:f>
        <x:v>-8</x:v>
      </x:c>
      <x:c r="AC532" s="32" t="n">
        <x:f>F532-G532</x:f>
        <x:v>-3</x:v>
      </x:c>
    </x:row>
    <x:row r="533">
      <x:c r="A533" s="4" t="str">
        <x:v>2021-22</x:v>
      </x:c>
      <x:c r="B533" s="20" t="n">
        <x:v>44626</x:v>
      </x:c>
      <x:c r="C533" s="4" t="str">
        <x:v>Watford</x:v>
      </x:c>
      <x:c r="D533" s="4" t="str">
        <x:v>Arsenal</x:v>
      </x:c>
      <x:c r="E533" s="4" t="str">
        <x:v>Home</x:v>
      </x:c>
      <x:c r="F533" s="28" t="n">
        <x:v>2</x:v>
      </x:c>
      <x:c r="G533" s="28" t="n">
        <x:v>3</x:v>
      </x:c>
      <x:c r="H533" s="28" t="n">
        <x:v>13</x:v>
      </x:c>
      <x:c r="I533" s="28" t="n">
        <x:v>16</x:v>
      </x:c>
      <x:c r="J533" s="28" t="n">
        <x:v>7</x:v>
      </x:c>
      <x:c r="K533" s="28" t="n">
        <x:v>4</x:v>
      </x:c>
      <x:c r="L533" s="28" t="n">
        <x:v>1</x:v>
      </x:c>
      <x:c r="M533" s="28" t="n">
        <x:v>5</x:v>
      </x:c>
      <x:c r="N533" s="28" t="n">
        <x:v>1</x:v>
      </x:c>
      <x:c r="O533" s="28" t="n">
        <x:v>0</x:v>
      </x:c>
      <x:c r="P533" s="28" t="n">
        <x:v>0</x:v>
      </x:c>
      <x:c r="Q533" s="24" t="n">
        <x:f>IFERROR(J533/H533,0)</x:f>
        <x:v>0.5384615384615384</x:v>
      </x:c>
      <x:c r="R533" s="24" t="n">
        <x:f>IFERROR(F533/H533,0)</x:f>
        <x:v>0.15384615384615385</x:v>
      </x:c>
      <x:c r="S533" s="24" t="n">
        <x:f>IFERROR(F533/J533,0)</x:f>
        <x:v>0.2857142857142857</x:v>
      </x:c>
      <x:c r="T533" s="28" t="n">
        <x:f>H533-I533</x:f>
        <x:v>-3</x:v>
      </x:c>
      <x:c r="U533" s="24" t="n">
        <x:f>IFERROR(J533/H533,0)-IFERROR(K533/I533,0)</x:f>
        <x:v>0.28846153846153844</x:v>
      </x:c>
      <x:c r="V533" s="24" t="n">
        <x:f>IFERROR(F533/J533,0)-IFERROR(G533/K533,0)</x:f>
        <x:v>-0.4642857142857143</x:v>
      </x:c>
      <x:c r="W533" s="28" t="n">
        <x:f>L533-M533</x:f>
        <x:v>-4</x:v>
      </x:c>
      <x:c r="X533" s="24" t="n">
        <x:f>IFERROR(K533/I533,0)</x:f>
        <x:v>0.25</x:v>
      </x:c>
      <x:c r="Y533" s="24" t="n">
        <x:f>IFERROR(G533/I533,0)</x:f>
        <x:v>0.1875</x:v>
      </x:c>
      <x:c r="Z533" s="24" t="n">
        <x:f>IFERROR(G533/K533,0)</x:f>
        <x:v>0.75</x:v>
      </x:c>
      <x:c r="AA533" s="24" t="n">
        <x:f>IFERROR(F533/H533,0)-IFERROR(G533/I533,0)</x:f>
        <x:v>-0.033653846153846145</x:v>
      </x:c>
      <x:c r="AB533" s="28" t="n">
        <x:f>J533-K533</x:f>
        <x:v>3</x:v>
      </x:c>
      <x:c r="AC533" s="32" t="n">
        <x:f>F533-G533</x:f>
        <x:v>-1</x:v>
      </x:c>
    </x:row>
    <x:row r="534">
      <x:c r="A534" s="4" t="str">
        <x:v>2021-22</x:v>
      </x:c>
      <x:c r="B534" s="20" t="n">
        <x:v>44627</x:v>
      </x:c>
      <x:c r="C534" s="4" t="str">
        <x:v>Everton</x:v>
      </x:c>
      <x:c r="D534" s="4" t="str">
        <x:v>Tottenham</x:v>
      </x:c>
      <x:c r="E534" s="4" t="str">
        <x:v>Away</x:v>
      </x:c>
      <x:c r="F534" s="28" t="n">
        <x:v>0</x:v>
      </x:c>
      <x:c r="G534" s="28" t="n">
        <x:v>5</x:v>
      </x:c>
      <x:c r="H534" s="28" t="n">
        <x:v>6</x:v>
      </x:c>
      <x:c r="I534" s="28" t="n">
        <x:v>14</x:v>
      </x:c>
      <x:c r="J534" s="28" t="n">
        <x:v>0</x:v>
      </x:c>
      <x:c r="K534" s="28" t="n">
        <x:v>7</x:v>
      </x:c>
      <x:c r="L534" s="28" t="n">
        <x:v>2</x:v>
      </x:c>
      <x:c r="M534" s="28" t="n">
        <x:v>5</x:v>
      </x:c>
      <x:c r="N534" s="28" t="n">
        <x:v>0</x:v>
      </x:c>
      <x:c r="O534" s="28" t="n">
        <x:v>0</x:v>
      </x:c>
      <x:c r="P534" s="28" t="n">
        <x:v>0</x:v>
      </x:c>
      <x:c r="Q534" s="24" t="n">
        <x:f>IFERROR(J534/H534,0)</x:f>
        <x:v>0</x:v>
      </x:c>
      <x:c r="R534" s="24" t="n">
        <x:f>IFERROR(F534/H534,0)</x:f>
        <x:v>0</x:v>
      </x:c>
      <x:c r="S534" s="24" t="n">
        <x:f>IFERROR(F534/J534,0)</x:f>
        <x:v>0</x:v>
      </x:c>
      <x:c r="T534" s="28" t="n">
        <x:f>H534-I534</x:f>
        <x:v>-8</x:v>
      </x:c>
      <x:c r="U534" s="24" t="n">
        <x:f>IFERROR(J534/H534,0)-IFERROR(K534/I534,0)</x:f>
        <x:v>-0.5</x:v>
      </x:c>
      <x:c r="V534" s="24" t="n">
        <x:f>IFERROR(F534/J534,0)-IFERROR(G534/K534,0)</x:f>
        <x:v>-0.7142857142857143</x:v>
      </x:c>
      <x:c r="W534" s="28" t="n">
        <x:f>L534-M534</x:f>
        <x:v>-3</x:v>
      </x:c>
      <x:c r="X534" s="24" t="n">
        <x:f>IFERROR(K534/I534,0)</x:f>
        <x:v>0.5</x:v>
      </x:c>
      <x:c r="Y534" s="24" t="n">
        <x:f>IFERROR(G534/I534,0)</x:f>
        <x:v>0.35714285714285715</x:v>
      </x:c>
      <x:c r="Z534" s="24" t="n">
        <x:f>IFERROR(G534/K534,0)</x:f>
        <x:v>0.7142857142857143</x:v>
      </x:c>
      <x:c r="AA534" s="24" t="n">
        <x:f>IFERROR(F534/H534,0)-IFERROR(G534/I534,0)</x:f>
        <x:v>-0.35714285714285715</x:v>
      </x:c>
      <x:c r="AB534" s="28" t="n">
        <x:f>J534-K534</x:f>
        <x:v>-7</x:v>
      </x:c>
      <x:c r="AC534" s="32" t="n">
        <x:f>F534-G534</x:f>
        <x:v>-5</x:v>
      </x:c>
    </x:row>
    <x:row r="535">
      <x:c r="A535" s="4" t="str">
        <x:v>2021-22</x:v>
      </x:c>
      <x:c r="B535" s="20" t="n">
        <x:v>44627</x:v>
      </x:c>
      <x:c r="C535" s="4" t="str">
        <x:v>Tottenham</x:v>
      </x:c>
      <x:c r="D535" s="4" t="str">
        <x:v>Everton</x:v>
      </x:c>
      <x:c r="E535" s="4" t="str">
        <x:v>Home</x:v>
      </x:c>
      <x:c r="F535" s="28" t="n">
        <x:v>5</x:v>
      </x:c>
      <x:c r="G535" s="28" t="n">
        <x:v>0</x:v>
      </x:c>
      <x:c r="H535" s="28" t="n">
        <x:v>14</x:v>
      </x:c>
      <x:c r="I535" s="28" t="n">
        <x:v>6</x:v>
      </x:c>
      <x:c r="J535" s="28" t="n">
        <x:v>7</x:v>
      </x:c>
      <x:c r="K535" s="28" t="n">
        <x:v>0</x:v>
      </x:c>
      <x:c r="L535" s="28" t="n">
        <x:v>5</x:v>
      </x:c>
      <x:c r="M535" s="28" t="n">
        <x:v>2</x:v>
      </x:c>
      <x:c r="N535" s="28" t="n">
        <x:v>2</x:v>
      </x:c>
      <x:c r="O535" s="28" t="n">
        <x:v>0</x:v>
      </x:c>
      <x:c r="P535" s="28" t="n">
        <x:v>3</x:v>
      </x:c>
      <x:c r="Q535" s="24" t="n">
        <x:f>IFERROR(J535/H535,0)</x:f>
        <x:v>0.5</x:v>
      </x:c>
      <x:c r="R535" s="24" t="n">
        <x:f>IFERROR(F535/H535,0)</x:f>
        <x:v>0.35714285714285715</x:v>
      </x:c>
      <x:c r="S535" s="24" t="n">
        <x:f>IFERROR(F535/J535,0)</x:f>
        <x:v>0.7142857142857143</x:v>
      </x:c>
      <x:c r="T535" s="28" t="n">
        <x:f>H535-I535</x:f>
        <x:v>8</x:v>
      </x:c>
      <x:c r="U535" s="24" t="n">
        <x:f>IFERROR(J535/H535,0)-IFERROR(K535/I535,0)</x:f>
        <x:v>0.5</x:v>
      </x:c>
      <x:c r="V535" s="24" t="n">
        <x:f>IFERROR(F535/J535,0)-IFERROR(G535/K535,0)</x:f>
        <x:v>0.7142857142857143</x:v>
      </x:c>
      <x:c r="W535" s="28" t="n">
        <x:f>L535-M535</x:f>
        <x:v>3</x:v>
      </x:c>
      <x:c r="X535" s="24" t="n">
        <x:f>IFERROR(K535/I535,0)</x:f>
        <x:v>0</x:v>
      </x:c>
      <x:c r="Y535" s="24" t="n">
        <x:f>IFERROR(G535/I535,0)</x:f>
        <x:v>0</x:v>
      </x:c>
      <x:c r="Z535" s="24" t="n">
        <x:f>IFERROR(G535/K535,0)</x:f>
        <x:v>0</x:v>
      </x:c>
      <x:c r="AA535" s="24" t="n">
        <x:f>IFERROR(F535/H535,0)-IFERROR(G535/I535,0)</x:f>
        <x:v>0.35714285714285715</x:v>
      </x:c>
      <x:c r="AB535" s="28" t="n">
        <x:f>J535-K535</x:f>
        <x:v>7</x:v>
      </x:c>
      <x:c r="AC535" s="32" t="n">
        <x:f>F535-G535</x:f>
        <x:v>5</x:v>
      </x:c>
    </x:row>
    <x:row r="536">
      <x:c r="A536" s="4" t="str">
        <x:v>2021-22</x:v>
      </x:c>
      <x:c r="B536" s="20" t="n">
        <x:v>44630</x:v>
      </x:c>
      <x:c r="C536" s="4" t="str">
        <x:v>Aston Villa</x:v>
      </x:c>
      <x:c r="D536" s="4" t="str">
        <x:v>Leeds</x:v>
      </x:c>
      <x:c r="E536" s="4" t="str">
        <x:v>Away</x:v>
      </x:c>
      <x:c r="F536" s="28" t="n">
        <x:v>3</x:v>
      </x:c>
      <x:c r="G536" s="28" t="n">
        <x:v>0</x:v>
      </x:c>
      <x:c r="H536" s="28" t="n">
        <x:v>15</x:v>
      </x:c>
      <x:c r="I536" s="28" t="n">
        <x:v>4</x:v>
      </x:c>
      <x:c r="J536" s="28" t="n">
        <x:v>9</x:v>
      </x:c>
      <x:c r="K536" s="28" t="n">
        <x:v>1</x:v>
      </x:c>
      <x:c r="L536" s="28" t="n">
        <x:v>5</x:v>
      </x:c>
      <x:c r="M536" s="28" t="n">
        <x:v>3</x:v>
      </x:c>
      <x:c r="N536" s="28" t="n">
        <x:v>3</x:v>
      </x:c>
      <x:c r="O536" s="28" t="n">
        <x:v>0</x:v>
      </x:c>
      <x:c r="P536" s="28" t="n">
        <x:v>3</x:v>
      </x:c>
      <x:c r="Q536" s="24" t="n">
        <x:f>IFERROR(J536/H536,0)</x:f>
        <x:v>0.6</x:v>
      </x:c>
      <x:c r="R536" s="24" t="n">
        <x:f>IFERROR(F536/H536,0)</x:f>
        <x:v>0.2</x:v>
      </x:c>
      <x:c r="S536" s="24" t="n">
        <x:f>IFERROR(F536/J536,0)</x:f>
        <x:v>0.3333333333333333</x:v>
      </x:c>
      <x:c r="T536" s="28" t="n">
        <x:f>H536-I536</x:f>
        <x:v>11</x:v>
      </x:c>
      <x:c r="U536" s="24" t="n">
        <x:f>IFERROR(J536/H536,0)-IFERROR(K536/I536,0)</x:f>
        <x:v>0.35</x:v>
      </x:c>
      <x:c r="V536" s="24" t="n">
        <x:f>IFERROR(F536/J536,0)-IFERROR(G536/K536,0)</x:f>
        <x:v>0.3333333333333333</x:v>
      </x:c>
      <x:c r="W536" s="28" t="n">
        <x:f>L536-M536</x:f>
        <x:v>2</x:v>
      </x:c>
      <x:c r="X536" s="24" t="n">
        <x:f>IFERROR(K536/I536,0)</x:f>
        <x:v>0.25</x:v>
      </x:c>
      <x:c r="Y536" s="24" t="n">
        <x:f>IFERROR(G536/I536,0)</x:f>
        <x:v>0</x:v>
      </x:c>
      <x:c r="Z536" s="24" t="n">
        <x:f>IFERROR(G536/K536,0)</x:f>
        <x:v>0</x:v>
      </x:c>
      <x:c r="AA536" s="24" t="n">
        <x:f>IFERROR(F536/H536,0)-IFERROR(G536/I536,0)</x:f>
        <x:v>0.2</x:v>
      </x:c>
      <x:c r="AB536" s="28" t="n">
        <x:f>J536-K536</x:f>
        <x:v>8</x:v>
      </x:c>
      <x:c r="AC536" s="32" t="n">
        <x:f>F536-G536</x:f>
        <x:v>3</x:v>
      </x:c>
    </x:row>
    <x:row r="537">
      <x:c r="A537" s="4" t="str">
        <x:v>2021-22</x:v>
      </x:c>
      <x:c r="B537" s="20" t="n">
        <x:v>44630</x:v>
      </x:c>
      <x:c r="C537" s="4" t="str">
        <x:v>Chelsea</x:v>
      </x:c>
      <x:c r="D537" s="4" t="str">
        <x:v>Norwich</x:v>
      </x:c>
      <x:c r="E537" s="4" t="str">
        <x:v>Away</x:v>
      </x:c>
      <x:c r="F537" s="28" t="n">
        <x:v>3</x:v>
      </x:c>
      <x:c r="G537" s="28" t="n">
        <x:v>1</x:v>
      </x:c>
      <x:c r="H537" s="28" t="n">
        <x:v>15</x:v>
      </x:c>
      <x:c r="I537" s="28" t="n">
        <x:v>9</x:v>
      </x:c>
      <x:c r="J537" s="28" t="n">
        <x:v>7</x:v>
      </x:c>
      <x:c r="K537" s="28" t="n">
        <x:v>3</x:v>
      </x:c>
      <x:c r="L537" s="28" t="n">
        <x:v>8</x:v>
      </x:c>
      <x:c r="M537" s="28" t="n">
        <x:v>3</x:v>
      </x:c>
      <x:c r="N537" s="28" t="n">
        <x:v>2</x:v>
      </x:c>
      <x:c r="O537" s="28" t="n">
        <x:v>0</x:v>
      </x:c>
      <x:c r="P537" s="28" t="n">
        <x:v>3</x:v>
      </x:c>
      <x:c r="Q537" s="24" t="n">
        <x:f>IFERROR(J537/H537,0)</x:f>
        <x:v>0.4666666666666667</x:v>
      </x:c>
      <x:c r="R537" s="24" t="n">
        <x:f>IFERROR(F537/H537,0)</x:f>
        <x:v>0.2</x:v>
      </x:c>
      <x:c r="S537" s="24" t="n">
        <x:f>IFERROR(F537/J537,0)</x:f>
        <x:v>0.42857142857142855</x:v>
      </x:c>
      <x:c r="T537" s="28" t="n">
        <x:f>H537-I537</x:f>
        <x:v>6</x:v>
      </x:c>
      <x:c r="U537" s="24" t="n">
        <x:f>IFERROR(J537/H537,0)-IFERROR(K537/I537,0)</x:f>
        <x:v>0.13333333333333336</x:v>
      </x:c>
      <x:c r="V537" s="24" t="n">
        <x:f>IFERROR(F537/J537,0)-IFERROR(G537/K537,0)</x:f>
        <x:v>0.09523809523809523</x:v>
      </x:c>
      <x:c r="W537" s="28" t="n">
        <x:f>L537-M537</x:f>
        <x:v>5</x:v>
      </x:c>
      <x:c r="X537" s="24" t="n">
        <x:f>IFERROR(K537/I537,0)</x:f>
        <x:v>0.3333333333333333</x:v>
      </x:c>
      <x:c r="Y537" s="24" t="n">
        <x:f>IFERROR(G537/I537,0)</x:f>
        <x:v>0.1111111111111111</x:v>
      </x:c>
      <x:c r="Z537" s="24" t="n">
        <x:f>IFERROR(G537/K537,0)</x:f>
        <x:v>0.3333333333333333</x:v>
      </x:c>
      <x:c r="AA537" s="24" t="n">
        <x:f>IFERROR(F537/H537,0)-IFERROR(G537/I537,0)</x:f>
        <x:v>0.0888888888888889</x:v>
      </x:c>
      <x:c r="AB537" s="28" t="n">
        <x:f>J537-K537</x:f>
        <x:v>4</x:v>
      </x:c>
      <x:c r="AC537" s="32" t="n">
        <x:f>F537-G537</x:f>
        <x:v>2</x:v>
      </x:c>
    </x:row>
    <x:row r="538">
      <x:c r="A538" s="4" t="str">
        <x:v>2021-22</x:v>
      </x:c>
      <x:c r="B538" s="20" t="n">
        <x:v>44630</x:v>
      </x:c>
      <x:c r="C538" s="4" t="str">
        <x:v>Leeds</x:v>
      </x:c>
      <x:c r="D538" s="4" t="str">
        <x:v>Aston Villa</x:v>
      </x:c>
      <x:c r="E538" s="4" t="str">
        <x:v>Home</x:v>
      </x:c>
      <x:c r="F538" s="28" t="n">
        <x:v>0</x:v>
      </x:c>
      <x:c r="G538" s="28" t="n">
        <x:v>3</x:v>
      </x:c>
      <x:c r="H538" s="28" t="n">
        <x:v>4</x:v>
      </x:c>
      <x:c r="I538" s="28" t="n">
        <x:v>15</x:v>
      </x:c>
      <x:c r="J538" s="28" t="n">
        <x:v>1</x:v>
      </x:c>
      <x:c r="K538" s="28" t="n">
        <x:v>9</x:v>
      </x:c>
      <x:c r="L538" s="28" t="n">
        <x:v>3</x:v>
      </x:c>
      <x:c r="M538" s="28" t="n">
        <x:v>5</x:v>
      </x:c>
      <x:c r="N538" s="28" t="n">
        <x:v>5</x:v>
      </x:c>
      <x:c r="O538" s="28" t="n">
        <x:v>0</x:v>
      </x:c>
      <x:c r="P538" s="28" t="n">
        <x:v>0</x:v>
      </x:c>
      <x:c r="Q538" s="24" t="n">
        <x:f>IFERROR(J538/H538,0)</x:f>
        <x:v>0.25</x:v>
      </x:c>
      <x:c r="R538" s="24" t="n">
        <x:f>IFERROR(F538/H538,0)</x:f>
        <x:v>0</x:v>
      </x:c>
      <x:c r="S538" s="24" t="n">
        <x:f>IFERROR(F538/J538,0)</x:f>
        <x:v>0</x:v>
      </x:c>
      <x:c r="T538" s="28" t="n">
        <x:f>H538-I538</x:f>
        <x:v>-11</x:v>
      </x:c>
      <x:c r="U538" s="24" t="n">
        <x:f>IFERROR(J538/H538,0)-IFERROR(K538/I538,0)</x:f>
        <x:v>-0.35</x:v>
      </x:c>
      <x:c r="V538" s="24" t="n">
        <x:f>IFERROR(F538/J538,0)-IFERROR(G538/K538,0)</x:f>
        <x:v>-0.3333333333333333</x:v>
      </x:c>
      <x:c r="W538" s="28" t="n">
        <x:f>L538-M538</x:f>
        <x:v>-2</x:v>
      </x:c>
      <x:c r="X538" s="24" t="n">
        <x:f>IFERROR(K538/I538,0)</x:f>
        <x:v>0.6</x:v>
      </x:c>
      <x:c r="Y538" s="24" t="n">
        <x:f>IFERROR(G538/I538,0)</x:f>
        <x:v>0.2</x:v>
      </x:c>
      <x:c r="Z538" s="24" t="n">
        <x:f>IFERROR(G538/K538,0)</x:f>
        <x:v>0.3333333333333333</x:v>
      </x:c>
      <x:c r="AA538" s="24" t="n">
        <x:f>IFERROR(F538/H538,0)-IFERROR(G538/I538,0)</x:f>
        <x:v>-0.2</x:v>
      </x:c>
      <x:c r="AB538" s="28" t="n">
        <x:f>J538-K538</x:f>
        <x:v>-8</x:v>
      </x:c>
      <x:c r="AC538" s="32" t="n">
        <x:f>F538-G538</x:f>
        <x:v>-3</x:v>
      </x:c>
    </x:row>
    <x:row r="539">
      <x:c r="A539" s="4" t="str">
        <x:v>2021-22</x:v>
      </x:c>
      <x:c r="B539" s="20" t="n">
        <x:v>44630</x:v>
      </x:c>
      <x:c r="C539" s="4" t="str">
        <x:v>Newcastle</x:v>
      </x:c>
      <x:c r="D539" s="4" t="str">
        <x:v>Southampton</x:v>
      </x:c>
      <x:c r="E539" s="4" t="str">
        <x:v>Away</x:v>
      </x:c>
      <x:c r="F539" s="28" t="n">
        <x:v>2</x:v>
      </x:c>
      <x:c r="G539" s="28" t="n">
        <x:v>1</x:v>
      </x:c>
      <x:c r="H539" s="28" t="n">
        <x:v>8</x:v>
      </x:c>
      <x:c r="I539" s="28" t="n">
        <x:v>14</x:v>
      </x:c>
      <x:c r="J539" s="28" t="n">
        <x:v>4</x:v>
      </x:c>
      <x:c r="K539" s="28" t="n">
        <x:v>5</x:v>
      </x:c>
      <x:c r="L539" s="28" t="n">
        <x:v>5</x:v>
      </x:c>
      <x:c r="M539" s="28" t="n">
        <x:v>12</x:v>
      </x:c>
      <x:c r="N539" s="28" t="n">
        <x:v>1</x:v>
      </x:c>
      <x:c r="O539" s="28" t="n">
        <x:v>0</x:v>
      </x:c>
      <x:c r="P539" s="28" t="n">
        <x:v>3</x:v>
      </x:c>
      <x:c r="Q539" s="24" t="n">
        <x:f>IFERROR(J539/H539,0)</x:f>
        <x:v>0.5</x:v>
      </x:c>
      <x:c r="R539" s="24" t="n">
        <x:f>IFERROR(F539/H539,0)</x:f>
        <x:v>0.25</x:v>
      </x:c>
      <x:c r="S539" s="24" t="n">
        <x:f>IFERROR(F539/J539,0)</x:f>
        <x:v>0.5</x:v>
      </x:c>
      <x:c r="T539" s="28" t="n">
        <x:f>H539-I539</x:f>
        <x:v>-6</x:v>
      </x:c>
      <x:c r="U539" s="24" t="n">
        <x:f>IFERROR(J539/H539,0)-IFERROR(K539/I539,0)</x:f>
        <x:v>0.14285714285714285</x:v>
      </x:c>
      <x:c r="V539" s="24" t="n">
        <x:f>IFERROR(F539/J539,0)-IFERROR(G539/K539,0)</x:f>
        <x:v>0.3</x:v>
      </x:c>
      <x:c r="W539" s="28" t="n">
        <x:f>L539-M539</x:f>
        <x:v>-7</x:v>
      </x:c>
      <x:c r="X539" s="24" t="n">
        <x:f>IFERROR(K539/I539,0)</x:f>
        <x:v>0.35714285714285715</x:v>
      </x:c>
      <x:c r="Y539" s="24" t="n">
        <x:f>IFERROR(G539/I539,0)</x:f>
        <x:v>0.07142857142857142</x:v>
      </x:c>
      <x:c r="Z539" s="24" t="n">
        <x:f>IFERROR(G539/K539,0)</x:f>
        <x:v>0.2</x:v>
      </x:c>
      <x:c r="AA539" s="24" t="n">
        <x:f>IFERROR(F539/H539,0)-IFERROR(G539/I539,0)</x:f>
        <x:v>0.17857142857142858</x:v>
      </x:c>
      <x:c r="AB539" s="28" t="n">
        <x:f>J539-K539</x:f>
        <x:v>-1</x:v>
      </x:c>
      <x:c r="AC539" s="32" t="n">
        <x:f>F539-G539</x:f>
        <x:v>1</x:v>
      </x:c>
    </x:row>
    <x:row r="540">
      <x:c r="A540" s="4" t="str">
        <x:v>2021-22</x:v>
      </x:c>
      <x:c r="B540" s="20" t="n">
        <x:v>44630</x:v>
      </x:c>
      <x:c r="C540" s="4" t="str">
        <x:v>Norwich</x:v>
      </x:c>
      <x:c r="D540" s="4" t="str">
        <x:v>Chelsea</x:v>
      </x:c>
      <x:c r="E540" s="4" t="str">
        <x:v>Home</x:v>
      </x:c>
      <x:c r="F540" s="28" t="n">
        <x:v>1</x:v>
      </x:c>
      <x:c r="G540" s="28" t="n">
        <x:v>3</x:v>
      </x:c>
      <x:c r="H540" s="28" t="n">
        <x:v>9</x:v>
      </x:c>
      <x:c r="I540" s="28" t="n">
        <x:v>15</x:v>
      </x:c>
      <x:c r="J540" s="28" t="n">
        <x:v>3</x:v>
      </x:c>
      <x:c r="K540" s="28" t="n">
        <x:v>7</x:v>
      </x:c>
      <x:c r="L540" s="28" t="n">
        <x:v>3</x:v>
      </x:c>
      <x:c r="M540" s="28" t="n">
        <x:v>8</x:v>
      </x:c>
      <x:c r="N540" s="28" t="n">
        <x:v>0</x:v>
      </x:c>
      <x:c r="O540" s="28" t="n">
        <x:v>0</x:v>
      </x:c>
      <x:c r="P540" s="28" t="n">
        <x:v>0</x:v>
      </x:c>
      <x:c r="Q540" s="24" t="n">
        <x:f>IFERROR(J540/H540,0)</x:f>
        <x:v>0.3333333333333333</x:v>
      </x:c>
      <x:c r="R540" s="24" t="n">
        <x:f>IFERROR(F540/H540,0)</x:f>
        <x:v>0.1111111111111111</x:v>
      </x:c>
      <x:c r="S540" s="24" t="n">
        <x:f>IFERROR(F540/J540,0)</x:f>
        <x:v>0.3333333333333333</x:v>
      </x:c>
      <x:c r="T540" s="28" t="n">
        <x:f>H540-I540</x:f>
        <x:v>-6</x:v>
      </x:c>
      <x:c r="U540" s="24" t="n">
        <x:f>IFERROR(J540/H540,0)-IFERROR(K540/I540,0)</x:f>
        <x:v>-0.13333333333333336</x:v>
      </x:c>
      <x:c r="V540" s="24" t="n">
        <x:f>IFERROR(F540/J540,0)-IFERROR(G540/K540,0)</x:f>
        <x:v>-0.09523809523809523</x:v>
      </x:c>
      <x:c r="W540" s="28" t="n">
        <x:f>L540-M540</x:f>
        <x:v>-5</x:v>
      </x:c>
      <x:c r="X540" s="24" t="n">
        <x:f>IFERROR(K540/I540,0)</x:f>
        <x:v>0.4666666666666667</x:v>
      </x:c>
      <x:c r="Y540" s="24" t="n">
        <x:f>IFERROR(G540/I540,0)</x:f>
        <x:v>0.2</x:v>
      </x:c>
      <x:c r="Z540" s="24" t="n">
        <x:f>IFERROR(G540/K540,0)</x:f>
        <x:v>0.42857142857142855</x:v>
      </x:c>
      <x:c r="AA540" s="24" t="n">
        <x:f>IFERROR(F540/H540,0)-IFERROR(G540/I540,0)</x:f>
        <x:v>-0.0888888888888889</x:v>
      </x:c>
      <x:c r="AB540" s="28" t="n">
        <x:f>J540-K540</x:f>
        <x:v>-4</x:v>
      </x:c>
      <x:c r="AC540" s="32" t="n">
        <x:f>F540-G540</x:f>
        <x:v>-2</x:v>
      </x:c>
    </x:row>
    <x:row r="541">
      <x:c r="A541" s="4" t="str">
        <x:v>2021-22</x:v>
      </x:c>
      <x:c r="B541" s="20" t="n">
        <x:v>44630</x:v>
      </x:c>
      <x:c r="C541" s="4" t="str">
        <x:v>Southampton</x:v>
      </x:c>
      <x:c r="D541" s="4" t="str">
        <x:v>Newcastle</x:v>
      </x:c>
      <x:c r="E541" s="4" t="str">
        <x:v>Home</x:v>
      </x:c>
      <x:c r="F541" s="28" t="n">
        <x:v>1</x:v>
      </x:c>
      <x:c r="G541" s="28" t="n">
        <x:v>2</x:v>
      </x:c>
      <x:c r="H541" s="28" t="n">
        <x:v>14</x:v>
      </x:c>
      <x:c r="I541" s="28" t="n">
        <x:v>8</x:v>
      </x:c>
      <x:c r="J541" s="28" t="n">
        <x:v>5</x:v>
      </x:c>
      <x:c r="K541" s="28" t="n">
        <x:v>4</x:v>
      </x:c>
      <x:c r="L541" s="28" t="n">
        <x:v>12</x:v>
      </x:c>
      <x:c r="M541" s="28" t="n">
        <x:v>5</x:v>
      </x:c>
      <x:c r="N541" s="28" t="n">
        <x:v>1</x:v>
      </x:c>
      <x:c r="O541" s="28" t="n">
        <x:v>0</x:v>
      </x:c>
      <x:c r="P541" s="28" t="n">
        <x:v>0</x:v>
      </x:c>
      <x:c r="Q541" s="24" t="n">
        <x:f>IFERROR(J541/H541,0)</x:f>
        <x:v>0.35714285714285715</x:v>
      </x:c>
      <x:c r="R541" s="24" t="n">
        <x:f>IFERROR(F541/H541,0)</x:f>
        <x:v>0.07142857142857142</x:v>
      </x:c>
      <x:c r="S541" s="24" t="n">
        <x:f>IFERROR(F541/J541,0)</x:f>
        <x:v>0.2</x:v>
      </x:c>
      <x:c r="T541" s="28" t="n">
        <x:f>H541-I541</x:f>
        <x:v>6</x:v>
      </x:c>
      <x:c r="U541" s="24" t="n">
        <x:f>IFERROR(J541/H541,0)-IFERROR(K541/I541,0)</x:f>
        <x:v>-0.14285714285714285</x:v>
      </x:c>
      <x:c r="V541" s="24" t="n">
        <x:f>IFERROR(F541/J541,0)-IFERROR(G541/K541,0)</x:f>
        <x:v>-0.3</x:v>
      </x:c>
      <x:c r="W541" s="28" t="n">
        <x:f>L541-M541</x:f>
        <x:v>7</x:v>
      </x:c>
      <x:c r="X541" s="24" t="n">
        <x:f>IFERROR(K541/I541,0)</x:f>
        <x:v>0.5</x:v>
      </x:c>
      <x:c r="Y541" s="24" t="n">
        <x:f>IFERROR(G541/I541,0)</x:f>
        <x:v>0.25</x:v>
      </x:c>
      <x:c r="Z541" s="24" t="n">
        <x:f>IFERROR(G541/K541,0)</x:f>
        <x:v>0.5</x:v>
      </x:c>
      <x:c r="AA541" s="24" t="n">
        <x:f>IFERROR(F541/H541,0)-IFERROR(G541/I541,0)</x:f>
        <x:v>-0.17857142857142858</x:v>
      </x:c>
      <x:c r="AB541" s="28" t="n">
        <x:f>J541-K541</x:f>
        <x:v>1</x:v>
      </x:c>
      <x:c r="AC541" s="32" t="n">
        <x:f>F541-G541</x:f>
        <x:v>-1</x:v>
      </x:c>
    </x:row>
    <x:row r="542">
      <x:c r="A542" s="4" t="str">
        <x:v>2021-22</x:v>
      </x:c>
      <x:c r="B542" s="20" t="n">
        <x:v>44630</x:v>
      </x:c>
      <x:c r="C542" s="4" t="str">
        <x:v>Watford</x:v>
      </x:c>
      <x:c r="D542" s="4" t="str">
        <x:v>Wolves</x:v>
      </x:c>
      <x:c r="E542" s="4" t="str">
        <x:v>Away</x:v>
      </x:c>
      <x:c r="F542" s="28" t="n">
        <x:v>0</x:v>
      </x:c>
      <x:c r="G542" s="28" t="n">
        <x:v>4</x:v>
      </x:c>
      <x:c r="H542" s="28" t="n">
        <x:v>9</x:v>
      </x:c>
      <x:c r="I542" s="28" t="n">
        <x:v>10</x:v>
      </x:c>
      <x:c r="J542" s="28" t="n">
        <x:v>0</x:v>
      </x:c>
      <x:c r="K542" s="28" t="n">
        <x:v>5</x:v>
      </x:c>
      <x:c r="L542" s="28" t="n">
        <x:v>2</x:v>
      </x:c>
      <x:c r="M542" s="28" t="n">
        <x:v>5</x:v>
      </x:c>
      <x:c r="N542" s="28" t="n">
        <x:v>2</x:v>
      </x:c>
      <x:c r="O542" s="28" t="n">
        <x:v>0</x:v>
      </x:c>
      <x:c r="P542" s="28" t="n">
        <x:v>0</x:v>
      </x:c>
      <x:c r="Q542" s="24" t="n">
        <x:f>IFERROR(J542/H542,0)</x:f>
        <x:v>0</x:v>
      </x:c>
      <x:c r="R542" s="24" t="n">
        <x:f>IFERROR(F542/H542,0)</x:f>
        <x:v>0</x:v>
      </x:c>
      <x:c r="S542" s="24" t="n">
        <x:f>IFERROR(F542/J542,0)</x:f>
        <x:v>0</x:v>
      </x:c>
      <x:c r="T542" s="28" t="n">
        <x:f>H542-I542</x:f>
        <x:v>-1</x:v>
      </x:c>
      <x:c r="U542" s="24" t="n">
        <x:f>IFERROR(J542/H542,0)-IFERROR(K542/I542,0)</x:f>
        <x:v>-0.5</x:v>
      </x:c>
      <x:c r="V542" s="24" t="n">
        <x:f>IFERROR(F542/J542,0)-IFERROR(G542/K542,0)</x:f>
        <x:v>-0.8</x:v>
      </x:c>
      <x:c r="W542" s="28" t="n">
        <x:f>L542-M542</x:f>
        <x:v>-3</x:v>
      </x:c>
      <x:c r="X542" s="24" t="n">
        <x:f>IFERROR(K542/I542,0)</x:f>
        <x:v>0.5</x:v>
      </x:c>
      <x:c r="Y542" s="24" t="n">
        <x:f>IFERROR(G542/I542,0)</x:f>
        <x:v>0.4</x:v>
      </x:c>
      <x:c r="Z542" s="24" t="n">
        <x:f>IFERROR(G542/K542,0)</x:f>
        <x:v>0.8</x:v>
      </x:c>
      <x:c r="AA542" s="24" t="n">
        <x:f>IFERROR(F542/H542,0)-IFERROR(G542/I542,0)</x:f>
        <x:v>-0.4</x:v>
      </x:c>
      <x:c r="AB542" s="28" t="n">
        <x:f>J542-K542</x:f>
        <x:v>-5</x:v>
      </x:c>
      <x:c r="AC542" s="32" t="n">
        <x:f>F542-G542</x:f>
        <x:v>-4</x:v>
      </x:c>
    </x:row>
    <x:row r="543">
      <x:c r="A543" s="4" t="str">
        <x:v>2021-22</x:v>
      </x:c>
      <x:c r="B543" s="20" t="n">
        <x:v>44630</x:v>
      </x:c>
      <x:c r="C543" s="4" t="str">
        <x:v>Wolves</x:v>
      </x:c>
      <x:c r="D543" s="4" t="str">
        <x:v>Watford</x:v>
      </x:c>
      <x:c r="E543" s="4" t="str">
        <x:v>Home</x:v>
      </x:c>
      <x:c r="F543" s="28" t="n">
        <x:v>4</x:v>
      </x:c>
      <x:c r="G543" s="28" t="n">
        <x:v>0</x:v>
      </x:c>
      <x:c r="H543" s="28" t="n">
        <x:v>10</x:v>
      </x:c>
      <x:c r="I543" s="28" t="n">
        <x:v>9</x:v>
      </x:c>
      <x:c r="J543" s="28" t="n">
        <x:v>5</x:v>
      </x:c>
      <x:c r="K543" s="28" t="n">
        <x:v>0</x:v>
      </x:c>
      <x:c r="L543" s="28" t="n">
        <x:v>5</x:v>
      </x:c>
      <x:c r="M543" s="28" t="n">
        <x:v>2</x:v>
      </x:c>
      <x:c r="N543" s="28" t="n">
        <x:v>2</x:v>
      </x:c>
      <x:c r="O543" s="28" t="n">
        <x:v>0</x:v>
      </x:c>
      <x:c r="P543" s="28" t="n">
        <x:v>3</x:v>
      </x:c>
      <x:c r="Q543" s="24" t="n">
        <x:f>IFERROR(J543/H543,0)</x:f>
        <x:v>0.5</x:v>
      </x:c>
      <x:c r="R543" s="24" t="n">
        <x:f>IFERROR(F543/H543,0)</x:f>
        <x:v>0.4</x:v>
      </x:c>
      <x:c r="S543" s="24" t="n">
        <x:f>IFERROR(F543/J543,0)</x:f>
        <x:v>0.8</x:v>
      </x:c>
      <x:c r="T543" s="28" t="n">
        <x:f>H543-I543</x:f>
        <x:v>1</x:v>
      </x:c>
      <x:c r="U543" s="24" t="n">
        <x:f>IFERROR(J543/H543,0)-IFERROR(K543/I543,0)</x:f>
        <x:v>0.5</x:v>
      </x:c>
      <x:c r="V543" s="24" t="n">
        <x:f>IFERROR(F543/J543,0)-IFERROR(G543/K543,0)</x:f>
        <x:v>0.8</x:v>
      </x:c>
      <x:c r="W543" s="28" t="n">
        <x:f>L543-M543</x:f>
        <x:v>3</x:v>
      </x:c>
      <x:c r="X543" s="24" t="n">
        <x:f>IFERROR(K543/I543,0)</x:f>
        <x:v>0</x:v>
      </x:c>
      <x:c r="Y543" s="24" t="n">
        <x:f>IFERROR(G543/I543,0)</x:f>
        <x:v>0</x:v>
      </x:c>
      <x:c r="Z543" s="24" t="n">
        <x:f>IFERROR(G543/K543,0)</x:f>
        <x:v>0</x:v>
      </x:c>
      <x:c r="AA543" s="24" t="n">
        <x:f>IFERROR(F543/H543,0)-IFERROR(G543/I543,0)</x:f>
        <x:v>0.4</x:v>
      </x:c>
      <x:c r="AB543" s="28" t="n">
        <x:f>J543-K543</x:f>
        <x:v>5</x:v>
      </x:c>
      <x:c r="AC543" s="32" t="n">
        <x:f>F543-G543</x:f>
        <x:v>4</x:v>
      </x:c>
    </x:row>
    <x:row r="544">
      <x:c r="A544" s="4" t="str">
        <x:v>2021-22</x:v>
      </x:c>
      <x:c r="B544" s="20" t="n">
        <x:v>44632</x:v>
      </x:c>
      <x:c r="C544" s="4" t="str">
        <x:v>Brentford</x:v>
      </x:c>
      <x:c r="D544" s="4" t="str">
        <x:v>Burnley</x:v>
      </x:c>
      <x:c r="E544" s="4" t="str">
        <x:v>Home</x:v>
      </x:c>
      <x:c r="F544" s="28" t="n">
        <x:v>2</x:v>
      </x:c>
      <x:c r="G544" s="28" t="n">
        <x:v>0</x:v>
      </x:c>
      <x:c r="H544" s="28" t="n">
        <x:v>13</x:v>
      </x:c>
      <x:c r="I544" s="28" t="n">
        <x:v>7</x:v>
      </x:c>
      <x:c r="J544" s="28" t="n">
        <x:v>4</x:v>
      </x:c>
      <x:c r="K544" s="28" t="n">
        <x:v>1</x:v>
      </x:c>
      <x:c r="L544" s="28" t="n">
        <x:v>2</x:v>
      </x:c>
      <x:c r="M544" s="28" t="n">
        <x:v>9</x:v>
      </x:c>
      <x:c r="N544" s="28" t="n">
        <x:v>1</x:v>
      </x:c>
      <x:c r="O544" s="28" t="n">
        <x:v>0</x:v>
      </x:c>
      <x:c r="P544" s="28" t="n">
        <x:v>3</x:v>
      </x:c>
      <x:c r="Q544" s="24" t="n">
        <x:f>IFERROR(J544/H544,0)</x:f>
        <x:v>0.3076923076923077</x:v>
      </x:c>
      <x:c r="R544" s="24" t="n">
        <x:f>IFERROR(F544/H544,0)</x:f>
        <x:v>0.15384615384615385</x:v>
      </x:c>
      <x:c r="S544" s="24" t="n">
        <x:f>IFERROR(F544/J544,0)</x:f>
        <x:v>0.5</x:v>
      </x:c>
      <x:c r="T544" s="28" t="n">
        <x:f>H544-I544</x:f>
        <x:v>6</x:v>
      </x:c>
      <x:c r="U544" s="24" t="n">
        <x:f>IFERROR(J544/H544,0)-IFERROR(K544/I544,0)</x:f>
        <x:v>0.16483516483516486</x:v>
      </x:c>
      <x:c r="V544" s="24" t="n">
        <x:f>IFERROR(F544/J544,0)-IFERROR(G544/K544,0)</x:f>
        <x:v>0.5</x:v>
      </x:c>
      <x:c r="W544" s="28" t="n">
        <x:f>L544-M544</x:f>
        <x:v>-7</x:v>
      </x:c>
      <x:c r="X544" s="24" t="n">
        <x:f>IFERROR(K544/I544,0)</x:f>
        <x:v>0.14285714285714285</x:v>
      </x:c>
      <x:c r="Y544" s="24" t="n">
        <x:f>IFERROR(G544/I544,0)</x:f>
        <x:v>0</x:v>
      </x:c>
      <x:c r="Z544" s="24" t="n">
        <x:f>IFERROR(G544/K544,0)</x:f>
        <x:v>0</x:v>
      </x:c>
      <x:c r="AA544" s="24" t="n">
        <x:f>IFERROR(F544/H544,0)-IFERROR(G544/I544,0)</x:f>
        <x:v>0.15384615384615385</x:v>
      </x:c>
      <x:c r="AB544" s="28" t="n">
        <x:f>J544-K544</x:f>
        <x:v>3</x:v>
      </x:c>
      <x:c r="AC544" s="32" t="n">
        <x:f>F544-G544</x:f>
        <x:v>2</x:v>
      </x:c>
    </x:row>
    <x:row r="545">
      <x:c r="A545" s="4" t="str">
        <x:v>2021-22</x:v>
      </x:c>
      <x:c r="B545" s="20" t="n">
        <x:v>44632</x:v>
      </x:c>
      <x:c r="C545" s="4" t="str">
        <x:v>Brighton</x:v>
      </x:c>
      <x:c r="D545" s="4" t="str">
        <x:v>Liverpool</x:v>
      </x:c>
      <x:c r="E545" s="4" t="str">
        <x:v>Home</x:v>
      </x:c>
      <x:c r="F545" s="28" t="n">
        <x:v>0</x:v>
      </x:c>
      <x:c r="G545" s="28" t="n">
        <x:v>2</x:v>
      </x:c>
      <x:c r="H545" s="28" t="n">
        <x:v>8</x:v>
      </x:c>
      <x:c r="I545" s="28" t="n">
        <x:v>18</x:v>
      </x:c>
      <x:c r="J545" s="28" t="n">
        <x:v>3</x:v>
      </x:c>
      <x:c r="K545" s="28" t="n">
        <x:v>9</x:v>
      </x:c>
      <x:c r="L545" s="28" t="n">
        <x:v>7</x:v>
      </x:c>
      <x:c r="M545" s="28" t="n">
        <x:v>6</x:v>
      </x:c>
      <x:c r="N545" s="28" t="n">
        <x:v>3</x:v>
      </x:c>
      <x:c r="O545" s="28" t="n">
        <x:v>0</x:v>
      </x:c>
      <x:c r="P545" s="28" t="n">
        <x:v>0</x:v>
      </x:c>
      <x:c r="Q545" s="24" t="n">
        <x:f>IFERROR(J545/H545,0)</x:f>
        <x:v>0.375</x:v>
      </x:c>
      <x:c r="R545" s="24" t="n">
        <x:f>IFERROR(F545/H545,0)</x:f>
        <x:v>0</x:v>
      </x:c>
      <x:c r="S545" s="24" t="n">
        <x:f>IFERROR(F545/J545,0)</x:f>
        <x:v>0</x:v>
      </x:c>
      <x:c r="T545" s="28" t="n">
        <x:f>H545-I545</x:f>
        <x:v>-10</x:v>
      </x:c>
      <x:c r="U545" s="24" t="n">
        <x:f>IFERROR(J545/H545,0)-IFERROR(K545/I545,0)</x:f>
        <x:v>-0.125</x:v>
      </x:c>
      <x:c r="V545" s="24" t="n">
        <x:f>IFERROR(F545/J545,0)-IFERROR(G545/K545,0)</x:f>
        <x:v>-0.2222222222222222</x:v>
      </x:c>
      <x:c r="W545" s="28" t="n">
        <x:f>L545-M545</x:f>
        <x:v>1</x:v>
      </x:c>
      <x:c r="X545" s="24" t="n">
        <x:f>IFERROR(K545/I545,0)</x:f>
        <x:v>0.5</x:v>
      </x:c>
      <x:c r="Y545" s="24" t="n">
        <x:f>IFERROR(G545/I545,0)</x:f>
        <x:v>0.1111111111111111</x:v>
      </x:c>
      <x:c r="Z545" s="24" t="n">
        <x:f>IFERROR(G545/K545,0)</x:f>
        <x:v>0.2222222222222222</x:v>
      </x:c>
      <x:c r="AA545" s="24" t="n">
        <x:f>IFERROR(F545/H545,0)-IFERROR(G545/I545,0)</x:f>
        <x:v>-0.1111111111111111</x:v>
      </x:c>
      <x:c r="AB545" s="28" t="n">
        <x:f>J545-K545</x:f>
        <x:v>-6</x:v>
      </x:c>
      <x:c r="AC545" s="32" t="n">
        <x:f>F545-G545</x:f>
        <x:v>-2</x:v>
      </x:c>
    </x:row>
    <x:row r="546">
      <x:c r="A546" s="4" t="str">
        <x:v>2021-22</x:v>
      </x:c>
      <x:c r="B546" s="20" t="n">
        <x:v>44632</x:v>
      </x:c>
      <x:c r="C546" s="4" t="str">
        <x:v>Burnley</x:v>
      </x:c>
      <x:c r="D546" s="4" t="str">
        <x:v>Brentford</x:v>
      </x:c>
      <x:c r="E546" s="4" t="str">
        <x:v>Away</x:v>
      </x:c>
      <x:c r="F546" s="28" t="n">
        <x:v>0</x:v>
      </x:c>
      <x:c r="G546" s="28" t="n">
        <x:v>2</x:v>
      </x:c>
      <x:c r="H546" s="28" t="n">
        <x:v>7</x:v>
      </x:c>
      <x:c r="I546" s="28" t="n">
        <x:v>13</x:v>
      </x:c>
      <x:c r="J546" s="28" t="n">
        <x:v>1</x:v>
      </x:c>
      <x:c r="K546" s="28" t="n">
        <x:v>4</x:v>
      </x:c>
      <x:c r="L546" s="28" t="n">
        <x:v>9</x:v>
      </x:c>
      <x:c r="M546" s="28" t="n">
        <x:v>2</x:v>
      </x:c>
      <x:c r="N546" s="28" t="n">
        <x:v>1</x:v>
      </x:c>
      <x:c r="O546" s="28" t="n">
        <x:v>1</x:v>
      </x:c>
      <x:c r="P546" s="28" t="n">
        <x:v>0</x:v>
      </x:c>
      <x:c r="Q546" s="24" t="n">
        <x:f>IFERROR(J546/H546,0)</x:f>
        <x:v>0.14285714285714285</x:v>
      </x:c>
      <x:c r="R546" s="24" t="n">
        <x:f>IFERROR(F546/H546,0)</x:f>
        <x:v>0</x:v>
      </x:c>
      <x:c r="S546" s="24" t="n">
        <x:f>IFERROR(F546/J546,0)</x:f>
        <x:v>0</x:v>
      </x:c>
      <x:c r="T546" s="28" t="n">
        <x:f>H546-I546</x:f>
        <x:v>-6</x:v>
      </x:c>
      <x:c r="U546" s="24" t="n">
        <x:f>IFERROR(J546/H546,0)-IFERROR(K546/I546,0)</x:f>
        <x:v>-0.16483516483516486</x:v>
      </x:c>
      <x:c r="V546" s="24" t="n">
        <x:f>IFERROR(F546/J546,0)-IFERROR(G546/K546,0)</x:f>
        <x:v>-0.5</x:v>
      </x:c>
      <x:c r="W546" s="28" t="n">
        <x:f>L546-M546</x:f>
        <x:v>7</x:v>
      </x:c>
      <x:c r="X546" s="24" t="n">
        <x:f>IFERROR(K546/I546,0)</x:f>
        <x:v>0.3076923076923077</x:v>
      </x:c>
      <x:c r="Y546" s="24" t="n">
        <x:f>IFERROR(G546/I546,0)</x:f>
        <x:v>0.15384615384615385</x:v>
      </x:c>
      <x:c r="Z546" s="24" t="n">
        <x:f>IFERROR(G546/K546,0)</x:f>
        <x:v>0.5</x:v>
      </x:c>
      <x:c r="AA546" s="24" t="n">
        <x:f>IFERROR(F546/H546,0)-IFERROR(G546/I546,0)</x:f>
        <x:v>-0.15384615384615385</x:v>
      </x:c>
      <x:c r="AB546" s="28" t="n">
        <x:f>J546-K546</x:f>
        <x:v>-3</x:v>
      </x:c>
      <x:c r="AC546" s="32" t="n">
        <x:f>F546-G546</x:f>
        <x:v>-2</x:v>
      </x:c>
    </x:row>
    <x:row r="547">
      <x:c r="A547" s="4" t="str">
        <x:v>2021-22</x:v>
      </x:c>
      <x:c r="B547" s="20" t="n">
        <x:v>44632</x:v>
      </x:c>
      <x:c r="C547" s="4" t="str">
        <x:v>Liverpool</x:v>
      </x:c>
      <x:c r="D547" s="4" t="str">
        <x:v>Brighton</x:v>
      </x:c>
      <x:c r="E547" s="4" t="str">
        <x:v>Away</x:v>
      </x:c>
      <x:c r="F547" s="28" t="n">
        <x:v>2</x:v>
      </x:c>
      <x:c r="G547" s="28" t="n">
        <x:v>0</x:v>
      </x:c>
      <x:c r="H547" s="28" t="n">
        <x:v>18</x:v>
      </x:c>
      <x:c r="I547" s="28" t="n">
        <x:v>8</x:v>
      </x:c>
      <x:c r="J547" s="28" t="n">
        <x:v>9</x:v>
      </x:c>
      <x:c r="K547" s="28" t="n">
        <x:v>3</x:v>
      </x:c>
      <x:c r="L547" s="28" t="n">
        <x:v>6</x:v>
      </x:c>
      <x:c r="M547" s="28" t="n">
        <x:v>7</x:v>
      </x:c>
      <x:c r="N547" s="28" t="n">
        <x:v>1</x:v>
      </x:c>
      <x:c r="O547" s="28" t="n">
        <x:v>0</x:v>
      </x:c>
      <x:c r="P547" s="28" t="n">
        <x:v>3</x:v>
      </x:c>
      <x:c r="Q547" s="24" t="n">
        <x:f>IFERROR(J547/H547,0)</x:f>
        <x:v>0.5</x:v>
      </x:c>
      <x:c r="R547" s="24" t="n">
        <x:f>IFERROR(F547/H547,0)</x:f>
        <x:v>0.1111111111111111</x:v>
      </x:c>
      <x:c r="S547" s="24" t="n">
        <x:f>IFERROR(F547/J547,0)</x:f>
        <x:v>0.2222222222222222</x:v>
      </x:c>
      <x:c r="T547" s="28" t="n">
        <x:f>H547-I547</x:f>
        <x:v>10</x:v>
      </x:c>
      <x:c r="U547" s="24" t="n">
        <x:f>IFERROR(J547/H547,0)-IFERROR(K547/I547,0)</x:f>
        <x:v>0.125</x:v>
      </x:c>
      <x:c r="V547" s="24" t="n">
        <x:f>IFERROR(F547/J547,0)-IFERROR(G547/K547,0)</x:f>
        <x:v>0.2222222222222222</x:v>
      </x:c>
      <x:c r="W547" s="28" t="n">
        <x:f>L547-M547</x:f>
        <x:v>-1</x:v>
      </x:c>
      <x:c r="X547" s="24" t="n">
        <x:f>IFERROR(K547/I547,0)</x:f>
        <x:v>0.375</x:v>
      </x:c>
      <x:c r="Y547" s="24" t="n">
        <x:f>IFERROR(G547/I547,0)</x:f>
        <x:v>0</x:v>
      </x:c>
      <x:c r="Z547" s="24" t="n">
        <x:f>IFERROR(G547/K547,0)</x:f>
        <x:v>0</x:v>
      </x:c>
      <x:c r="AA547" s="24" t="n">
        <x:f>IFERROR(F547/H547,0)-IFERROR(G547/I547,0)</x:f>
        <x:v>0.1111111111111111</x:v>
      </x:c>
      <x:c r="AB547" s="28" t="n">
        <x:f>J547-K547</x:f>
        <x:v>6</x:v>
      </x:c>
      <x:c r="AC547" s="32" t="n">
        <x:f>F547-G547</x:f>
        <x:v>2</x:v>
      </x:c>
    </x:row>
    <x:row r="548">
      <x:c r="A548" s="4" t="str">
        <x:v>2021-22</x:v>
      </x:c>
      <x:c r="B548" s="20" t="n">
        <x:v>44632</x:v>
      </x:c>
      <x:c r="C548" s="4" t="str">
        <x:v>Man United</x:v>
      </x:c>
      <x:c r="D548" s="4" t="str">
        <x:v>Tottenham</x:v>
      </x:c>
      <x:c r="E548" s="4" t="str">
        <x:v>Home</x:v>
      </x:c>
      <x:c r="F548" s="28" t="n">
        <x:v>3</x:v>
      </x:c>
      <x:c r="G548" s="28" t="n">
        <x:v>2</x:v>
      </x:c>
      <x:c r="H548" s="28" t="n">
        <x:v>10</x:v>
      </x:c>
      <x:c r="I548" s="28" t="n">
        <x:v>10</x:v>
      </x:c>
      <x:c r="J548" s="28" t="n">
        <x:v>6</x:v>
      </x:c>
      <x:c r="K548" s="28" t="n">
        <x:v>3</x:v>
      </x:c>
      <x:c r="L548" s="28" t="n">
        <x:v>4</x:v>
      </x:c>
      <x:c r="M548" s="28" t="n">
        <x:v>5</x:v>
      </x:c>
      <x:c r="N548" s="28" t="n">
        <x:v>2</x:v>
      </x:c>
      <x:c r="O548" s="28" t="n">
        <x:v>0</x:v>
      </x:c>
      <x:c r="P548" s="28" t="n">
        <x:v>3</x:v>
      </x:c>
      <x:c r="Q548" s="24" t="n">
        <x:f>IFERROR(J548/H548,0)</x:f>
        <x:v>0.6</x:v>
      </x:c>
      <x:c r="R548" s="24" t="n">
        <x:f>IFERROR(F548/H548,0)</x:f>
        <x:v>0.3</x:v>
      </x:c>
      <x:c r="S548" s="24" t="n">
        <x:f>IFERROR(F548/J548,0)</x:f>
        <x:v>0.5</x:v>
      </x:c>
      <x:c r="T548" s="28" t="n">
        <x:f>H548-I548</x:f>
        <x:v>0</x:v>
      </x:c>
      <x:c r="U548" s="24" t="n">
        <x:f>IFERROR(J548/H548,0)-IFERROR(K548/I548,0)</x:f>
        <x:v>0.3</x:v>
      </x:c>
      <x:c r="V548" s="24" t="n">
        <x:f>IFERROR(F548/J548,0)-IFERROR(G548/K548,0)</x:f>
        <x:v>-0.16666666666666663</x:v>
      </x:c>
      <x:c r="W548" s="28" t="n">
        <x:f>L548-M548</x:f>
        <x:v>-1</x:v>
      </x:c>
      <x:c r="X548" s="24" t="n">
        <x:f>IFERROR(K548/I548,0)</x:f>
        <x:v>0.3</x:v>
      </x:c>
      <x:c r="Y548" s="24" t="n">
        <x:f>IFERROR(G548/I548,0)</x:f>
        <x:v>0.2</x:v>
      </x:c>
      <x:c r="Z548" s="24" t="n">
        <x:f>IFERROR(G548/K548,0)</x:f>
        <x:v>0.6666666666666666</x:v>
      </x:c>
      <x:c r="AA548" s="24" t="n">
        <x:f>IFERROR(F548/H548,0)-IFERROR(G548/I548,0)</x:f>
        <x:v>0.09999999999999998</x:v>
      </x:c>
      <x:c r="AB548" s="28" t="n">
        <x:f>J548-K548</x:f>
        <x:v>3</x:v>
      </x:c>
      <x:c r="AC548" s="32" t="n">
        <x:f>F548-G548</x:f>
        <x:v>1</x:v>
      </x:c>
    </x:row>
    <x:row r="549">
      <x:c r="A549" s="4" t="str">
        <x:v>2021-22</x:v>
      </x:c>
      <x:c r="B549" s="20" t="n">
        <x:v>44632</x:v>
      </x:c>
      <x:c r="C549" s="4" t="str">
        <x:v>Tottenham</x:v>
      </x:c>
      <x:c r="D549" s="4" t="str">
        <x:v>Man United</x:v>
      </x:c>
      <x:c r="E549" s="4" t="str">
        <x:v>Away</x:v>
      </x:c>
      <x:c r="F549" s="28" t="n">
        <x:v>2</x:v>
      </x:c>
      <x:c r="G549" s="28" t="n">
        <x:v>3</x:v>
      </x:c>
      <x:c r="H549" s="28" t="n">
        <x:v>10</x:v>
      </x:c>
      <x:c r="I549" s="28" t="n">
        <x:v>10</x:v>
      </x:c>
      <x:c r="J549" s="28" t="n">
        <x:v>3</x:v>
      </x:c>
      <x:c r="K549" s="28" t="n">
        <x:v>6</x:v>
      </x:c>
      <x:c r="L549" s="28" t="n">
        <x:v>5</x:v>
      </x:c>
      <x:c r="M549" s="28" t="n">
        <x:v>4</x:v>
      </x:c>
      <x:c r="N549" s="28" t="n">
        <x:v>1</x:v>
      </x:c>
      <x:c r="O549" s="28" t="n">
        <x:v>0</x:v>
      </x:c>
      <x:c r="P549" s="28" t="n">
        <x:v>0</x:v>
      </x:c>
      <x:c r="Q549" s="24" t="n">
        <x:f>IFERROR(J549/H549,0)</x:f>
        <x:v>0.3</x:v>
      </x:c>
      <x:c r="R549" s="24" t="n">
        <x:f>IFERROR(F549/H549,0)</x:f>
        <x:v>0.2</x:v>
      </x:c>
      <x:c r="S549" s="24" t="n">
        <x:f>IFERROR(F549/J549,0)</x:f>
        <x:v>0.6666666666666666</x:v>
      </x:c>
      <x:c r="T549" s="28" t="n">
        <x:f>H549-I549</x:f>
        <x:v>0</x:v>
      </x:c>
      <x:c r="U549" s="24" t="n">
        <x:f>IFERROR(J549/H549,0)-IFERROR(K549/I549,0)</x:f>
        <x:v>-0.3</x:v>
      </x:c>
      <x:c r="V549" s="24" t="n">
        <x:f>IFERROR(F549/J549,0)-IFERROR(G549/K549,0)</x:f>
        <x:v>0.16666666666666663</x:v>
      </x:c>
      <x:c r="W549" s="28" t="n">
        <x:f>L549-M549</x:f>
        <x:v>1</x:v>
      </x:c>
      <x:c r="X549" s="24" t="n">
        <x:f>IFERROR(K549/I549,0)</x:f>
        <x:v>0.6</x:v>
      </x:c>
      <x:c r="Y549" s="24" t="n">
        <x:f>IFERROR(G549/I549,0)</x:f>
        <x:v>0.3</x:v>
      </x:c>
      <x:c r="Z549" s="24" t="n">
        <x:f>IFERROR(G549/K549,0)</x:f>
        <x:v>0.5</x:v>
      </x:c>
      <x:c r="AA549" s="24" t="n">
        <x:f>IFERROR(F549/H549,0)-IFERROR(G549/I549,0)</x:f>
        <x:v>-0.09999999999999998</x:v>
      </x:c>
      <x:c r="AB549" s="28" t="n">
        <x:f>J549-K549</x:f>
        <x:v>-3</x:v>
      </x:c>
      <x:c r="AC549" s="32" t="n">
        <x:f>F549-G549</x:f>
        <x:v>-1</x:v>
      </x:c>
    </x:row>
    <x:row r="550">
      <x:c r="A550" s="4" t="str">
        <x:v>2021-22</x:v>
      </x:c>
      <x:c r="B550" s="20" t="n">
        <x:v>44633</x:v>
      </x:c>
      <x:c r="C550" s="4" t="str">
        <x:v>Arsenal</x:v>
      </x:c>
      <x:c r="D550" s="4" t="str">
        <x:v>Leicester</x:v>
      </x:c>
      <x:c r="E550" s="4" t="str">
        <x:v>Home</x:v>
      </x:c>
      <x:c r="F550" s="28" t="n">
        <x:v>2</x:v>
      </x:c>
      <x:c r="G550" s="28" t="n">
        <x:v>0</x:v>
      </x:c>
      <x:c r="H550" s="28" t="n">
        <x:v>21</x:v>
      </x:c>
      <x:c r="I550" s="28" t="n">
        <x:v>6</x:v>
      </x:c>
      <x:c r="J550" s="28" t="n">
        <x:v>8</x:v>
      </x:c>
      <x:c r="K550" s="28" t="n">
        <x:v>3</x:v>
      </x:c>
      <x:c r="L550" s="28" t="n">
        <x:v>2</x:v>
      </x:c>
      <x:c r="M550" s="28" t="n">
        <x:v>6</x:v>
      </x:c>
      <x:c r="N550" s="28" t="n">
        <x:v>0</x:v>
      </x:c>
      <x:c r="O550" s="28" t="n">
        <x:v>0</x:v>
      </x:c>
      <x:c r="P550" s="28" t="n">
        <x:v>3</x:v>
      </x:c>
      <x:c r="Q550" s="24" t="n">
        <x:f>IFERROR(J550/H550,0)</x:f>
        <x:v>0.38095238095238093</x:v>
      </x:c>
      <x:c r="R550" s="24" t="n">
        <x:f>IFERROR(F550/H550,0)</x:f>
        <x:v>0.09523809523809523</x:v>
      </x:c>
      <x:c r="S550" s="24" t="n">
        <x:f>IFERROR(F550/J550,0)</x:f>
        <x:v>0.25</x:v>
      </x:c>
      <x:c r="T550" s="28" t="n">
        <x:f>H550-I550</x:f>
        <x:v>15</x:v>
      </x:c>
      <x:c r="U550" s="24" t="n">
        <x:f>IFERROR(J550/H550,0)-IFERROR(K550/I550,0)</x:f>
        <x:v>-0.11904761904761907</x:v>
      </x:c>
      <x:c r="V550" s="24" t="n">
        <x:f>IFERROR(F550/J550,0)-IFERROR(G550/K550,0)</x:f>
        <x:v>0.25</x:v>
      </x:c>
      <x:c r="W550" s="28" t="n">
        <x:f>L550-M550</x:f>
        <x:v>-4</x:v>
      </x:c>
      <x:c r="X550" s="24" t="n">
        <x:f>IFERROR(K550/I550,0)</x:f>
        <x:v>0.5</x:v>
      </x:c>
      <x:c r="Y550" s="24" t="n">
        <x:f>IFERROR(G550/I550,0)</x:f>
        <x:v>0</x:v>
      </x:c>
      <x:c r="Z550" s="24" t="n">
        <x:f>IFERROR(G550/K550,0)</x:f>
        <x:v>0</x:v>
      </x:c>
      <x:c r="AA550" s="24" t="n">
        <x:f>IFERROR(F550/H550,0)-IFERROR(G550/I550,0)</x:f>
        <x:v>0.09523809523809523</x:v>
      </x:c>
      <x:c r="AB550" s="28" t="n">
        <x:f>J550-K550</x:f>
        <x:v>5</x:v>
      </x:c>
      <x:c r="AC550" s="32" t="n">
        <x:f>F550-G550</x:f>
        <x:v>2</x:v>
      </x:c>
    </x:row>
    <x:row r="551">
      <x:c r="A551" s="4" t="str">
        <x:v>2021-22</x:v>
      </x:c>
      <x:c r="B551" s="20" t="n">
        <x:v>44633</x:v>
      </x:c>
      <x:c r="C551" s="4" t="str">
        <x:v>Aston Villa</x:v>
      </x:c>
      <x:c r="D551" s="4" t="str">
        <x:v>West Ham</x:v>
      </x:c>
      <x:c r="E551" s="4" t="str">
        <x:v>Away</x:v>
      </x:c>
      <x:c r="F551" s="28" t="n">
        <x:v>1</x:v>
      </x:c>
      <x:c r="G551" s="28" t="n">
        <x:v>2</x:v>
      </x:c>
      <x:c r="H551" s="28" t="n">
        <x:v>13</x:v>
      </x:c>
      <x:c r="I551" s="28" t="n">
        <x:v>11</x:v>
      </x:c>
      <x:c r="J551" s="28" t="n">
        <x:v>7</x:v>
      </x:c>
      <x:c r="K551" s="28" t="n">
        <x:v>4</x:v>
      </x:c>
      <x:c r="L551" s="28" t="n">
        <x:v>7</x:v>
      </x:c>
      <x:c r="M551" s="28" t="n">
        <x:v>5</x:v>
      </x:c>
      <x:c r="N551" s="28" t="n">
        <x:v>0</x:v>
      </x:c>
      <x:c r="O551" s="28" t="n">
        <x:v>0</x:v>
      </x:c>
      <x:c r="P551" s="28" t="n">
        <x:v>0</x:v>
      </x:c>
      <x:c r="Q551" s="24" t="n">
        <x:f>IFERROR(J551/H551,0)</x:f>
        <x:v>0.5384615384615384</x:v>
      </x:c>
      <x:c r="R551" s="24" t="n">
        <x:f>IFERROR(F551/H551,0)</x:f>
        <x:v>0.07692307692307693</x:v>
      </x:c>
      <x:c r="S551" s="24" t="n">
        <x:f>IFERROR(F551/J551,0)</x:f>
        <x:v>0.14285714285714285</x:v>
      </x:c>
      <x:c r="T551" s="28" t="n">
        <x:f>H551-I551</x:f>
        <x:v>2</x:v>
      </x:c>
      <x:c r="U551" s="24" t="n">
        <x:f>IFERROR(J551/H551,0)-IFERROR(K551/I551,0)</x:f>
        <x:v>0.1748251748251748</x:v>
      </x:c>
      <x:c r="V551" s="24" t="n">
        <x:f>IFERROR(F551/J551,0)-IFERROR(G551/K551,0)</x:f>
        <x:v>-0.35714285714285715</x:v>
      </x:c>
      <x:c r="W551" s="28" t="n">
        <x:f>L551-M551</x:f>
        <x:v>2</x:v>
      </x:c>
      <x:c r="X551" s="24" t="n">
        <x:f>IFERROR(K551/I551,0)</x:f>
        <x:v>0.36363636363636365</x:v>
      </x:c>
      <x:c r="Y551" s="24" t="n">
        <x:f>IFERROR(G551/I551,0)</x:f>
        <x:v>0.18181818181818182</x:v>
      </x:c>
      <x:c r="Z551" s="24" t="n">
        <x:f>IFERROR(G551/K551,0)</x:f>
        <x:v>0.5</x:v>
      </x:c>
      <x:c r="AA551" s="24" t="n">
        <x:f>IFERROR(F551/H551,0)-IFERROR(G551/I551,0)</x:f>
        <x:v>-0.1048951048951049</x:v>
      </x:c>
      <x:c r="AB551" s="28" t="n">
        <x:f>J551-K551</x:f>
        <x:v>3</x:v>
      </x:c>
      <x:c r="AC551" s="32" t="n">
        <x:f>F551-G551</x:f>
        <x:v>-1</x:v>
      </x:c>
    </x:row>
    <x:row r="552">
      <x:c r="A552" s="4" t="str">
        <x:v>2021-22</x:v>
      </x:c>
      <x:c r="B552" s="20" t="n">
        <x:v>44633</x:v>
      </x:c>
      <x:c r="C552" s="4" t="str">
        <x:v>Chelsea</x:v>
      </x:c>
      <x:c r="D552" s="4" t="str">
        <x:v>Newcastle</x:v>
      </x:c>
      <x:c r="E552" s="4" t="str">
        <x:v>Home</x:v>
      </x:c>
      <x:c r="F552" s="28" t="n">
        <x:v>1</x:v>
      </x:c>
      <x:c r="G552" s="28" t="n">
        <x:v>0</x:v>
      </x:c>
      <x:c r="H552" s="28" t="n">
        <x:v>8</x:v>
      </x:c>
      <x:c r="I552" s="28" t="n">
        <x:v>7</x:v>
      </x:c>
      <x:c r="J552" s="28" t="n">
        <x:v>3</x:v>
      </x:c>
      <x:c r="K552" s="28" t="n">
        <x:v>2</x:v>
      </x:c>
      <x:c r="L552" s="28" t="n">
        <x:v>7</x:v>
      </x:c>
      <x:c r="M552" s="28" t="n">
        <x:v>2</x:v>
      </x:c>
      <x:c r="N552" s="28" t="n">
        <x:v>4</x:v>
      </x:c>
      <x:c r="O552" s="28" t="n">
        <x:v>0</x:v>
      </x:c>
      <x:c r="P552" s="28" t="n">
        <x:v>3</x:v>
      </x:c>
      <x:c r="Q552" s="24" t="n">
        <x:f>IFERROR(J552/H552,0)</x:f>
        <x:v>0.375</x:v>
      </x:c>
      <x:c r="R552" s="24" t="n">
        <x:f>IFERROR(F552/H552,0)</x:f>
        <x:v>0.125</x:v>
      </x:c>
      <x:c r="S552" s="24" t="n">
        <x:f>IFERROR(F552/J552,0)</x:f>
        <x:v>0.3333333333333333</x:v>
      </x:c>
      <x:c r="T552" s="28" t="n">
        <x:f>H552-I552</x:f>
        <x:v>1</x:v>
      </x:c>
      <x:c r="U552" s="24" t="n">
        <x:f>IFERROR(J552/H552,0)-IFERROR(K552/I552,0)</x:f>
        <x:v>0.0892857142857143</x:v>
      </x:c>
      <x:c r="V552" s="24" t="n">
        <x:f>IFERROR(F552/J552,0)-IFERROR(G552/K552,0)</x:f>
        <x:v>0.3333333333333333</x:v>
      </x:c>
      <x:c r="W552" s="28" t="n">
        <x:f>L552-M552</x:f>
        <x:v>5</x:v>
      </x:c>
      <x:c r="X552" s="24" t="n">
        <x:f>IFERROR(K552/I552,0)</x:f>
        <x:v>0.2857142857142857</x:v>
      </x:c>
      <x:c r="Y552" s="24" t="n">
        <x:f>IFERROR(G552/I552,0)</x:f>
        <x:v>0</x:v>
      </x:c>
      <x:c r="Z552" s="24" t="n">
        <x:f>IFERROR(G552/K552,0)</x:f>
        <x:v>0</x:v>
      </x:c>
      <x:c r="AA552" s="24" t="n">
        <x:f>IFERROR(F552/H552,0)-IFERROR(G552/I552,0)</x:f>
        <x:v>0.125</x:v>
      </x:c>
      <x:c r="AB552" s="28" t="n">
        <x:f>J552-K552</x:f>
        <x:v>1</x:v>
      </x:c>
      <x:c r="AC552" s="32" t="n">
        <x:f>F552-G552</x:f>
        <x:v>1</x:v>
      </x:c>
    </x:row>
    <x:row r="553">
      <x:c r="A553" s="4" t="str">
        <x:v>2021-22</x:v>
      </x:c>
      <x:c r="B553" s="20" t="n">
        <x:v>44633</x:v>
      </x:c>
      <x:c r="C553" s="4" t="str">
        <x:v>Everton</x:v>
      </x:c>
      <x:c r="D553" s="4" t="str">
        <x:v>Wolves</x:v>
      </x:c>
      <x:c r="E553" s="4" t="str">
        <x:v>Home</x:v>
      </x:c>
      <x:c r="F553" s="28" t="n">
        <x:v>0</x:v>
      </x:c>
      <x:c r="G553" s="28" t="n">
        <x:v>1</x:v>
      </x:c>
      <x:c r="H553" s="28" t="n">
        <x:v>8</x:v>
      </x:c>
      <x:c r="I553" s="28" t="n">
        <x:v>14</x:v>
      </x:c>
      <x:c r="J553" s="28" t="n">
        <x:v>2</x:v>
      </x:c>
      <x:c r="K553" s="28" t="n">
        <x:v>3</x:v>
      </x:c>
      <x:c r="L553" s="28" t="n">
        <x:v>5</x:v>
      </x:c>
      <x:c r="M553" s="28" t="n">
        <x:v>2</x:v>
      </x:c>
      <x:c r="N553" s="28" t="n">
        <x:v>2</x:v>
      </x:c>
      <x:c r="O553" s="28" t="n">
        <x:v>1</x:v>
      </x:c>
      <x:c r="P553" s="28" t="n">
        <x:v>0</x:v>
      </x:c>
      <x:c r="Q553" s="24" t="n">
        <x:f>IFERROR(J553/H553,0)</x:f>
        <x:v>0.25</x:v>
      </x:c>
      <x:c r="R553" s="24" t="n">
        <x:f>IFERROR(F553/H553,0)</x:f>
        <x:v>0</x:v>
      </x:c>
      <x:c r="S553" s="24" t="n">
        <x:f>IFERROR(F553/J553,0)</x:f>
        <x:v>0</x:v>
      </x:c>
      <x:c r="T553" s="28" t="n">
        <x:f>H553-I553</x:f>
        <x:v>-6</x:v>
      </x:c>
      <x:c r="U553" s="24" t="n">
        <x:f>IFERROR(J553/H553,0)-IFERROR(K553/I553,0)</x:f>
        <x:v>0.035714285714285726</x:v>
      </x:c>
      <x:c r="V553" s="24" t="n">
        <x:f>IFERROR(F553/J553,0)-IFERROR(G553/K553,0)</x:f>
        <x:v>-0.3333333333333333</x:v>
      </x:c>
      <x:c r="W553" s="28" t="n">
        <x:f>L553-M553</x:f>
        <x:v>3</x:v>
      </x:c>
      <x:c r="X553" s="24" t="n">
        <x:f>IFERROR(K553/I553,0)</x:f>
        <x:v>0.21428571428571427</x:v>
      </x:c>
      <x:c r="Y553" s="24" t="n">
        <x:f>IFERROR(G553/I553,0)</x:f>
        <x:v>0.07142857142857142</x:v>
      </x:c>
      <x:c r="Z553" s="24" t="n">
        <x:f>IFERROR(G553/K553,0)</x:f>
        <x:v>0.3333333333333333</x:v>
      </x:c>
      <x:c r="AA553" s="24" t="n">
        <x:f>IFERROR(F553/H553,0)-IFERROR(G553/I553,0)</x:f>
        <x:v>-0.07142857142857142</x:v>
      </x:c>
      <x:c r="AB553" s="28" t="n">
        <x:f>J553-K553</x:f>
        <x:v>-1</x:v>
      </x:c>
      <x:c r="AC553" s="32" t="n">
        <x:f>F553-G553</x:f>
        <x:v>-1</x:v>
      </x:c>
    </x:row>
    <x:row r="554">
      <x:c r="A554" s="4" t="str">
        <x:v>2021-22</x:v>
      </x:c>
      <x:c r="B554" s="20" t="n">
        <x:v>44633</x:v>
      </x:c>
      <x:c r="C554" s="4" t="str">
        <x:v>Leeds</x:v>
      </x:c>
      <x:c r="D554" s="4" t="str">
        <x:v>Norwich</x:v>
      </x:c>
      <x:c r="E554" s="4" t="str">
        <x:v>Home</x:v>
      </x:c>
      <x:c r="F554" s="28" t="n">
        <x:v>2</x:v>
      </x:c>
      <x:c r="G554" s="28" t="n">
        <x:v>1</x:v>
      </x:c>
      <x:c r="H554" s="28" t="n">
        <x:v>13</x:v>
      </x:c>
      <x:c r="I554" s="28" t="n">
        <x:v>12</x:v>
      </x:c>
      <x:c r="J554" s="28" t="n">
        <x:v>7</x:v>
      </x:c>
      <x:c r="K554" s="28" t="n">
        <x:v>4</x:v>
      </x:c>
      <x:c r="L554" s="28" t="n">
        <x:v>6</x:v>
      </x:c>
      <x:c r="M554" s="28" t="n">
        <x:v>2</x:v>
      </x:c>
      <x:c r="N554" s="28" t="n">
        <x:v>3</x:v>
      </x:c>
      <x:c r="O554" s="28" t="n">
        <x:v>0</x:v>
      </x:c>
      <x:c r="P554" s="28" t="n">
        <x:v>3</x:v>
      </x:c>
      <x:c r="Q554" s="24" t="n">
        <x:f>IFERROR(J554/H554,0)</x:f>
        <x:v>0.5384615384615384</x:v>
      </x:c>
      <x:c r="R554" s="24" t="n">
        <x:f>IFERROR(F554/H554,0)</x:f>
        <x:v>0.15384615384615385</x:v>
      </x:c>
      <x:c r="S554" s="24" t="n">
        <x:f>IFERROR(F554/J554,0)</x:f>
        <x:v>0.2857142857142857</x:v>
      </x:c>
      <x:c r="T554" s="28" t="n">
        <x:f>H554-I554</x:f>
        <x:v>1</x:v>
      </x:c>
      <x:c r="U554" s="24" t="n">
        <x:f>IFERROR(J554/H554,0)-IFERROR(K554/I554,0)</x:f>
        <x:v>0.20512820512820512</x:v>
      </x:c>
      <x:c r="V554" s="24" t="n">
        <x:f>IFERROR(F554/J554,0)-IFERROR(G554/K554,0)</x:f>
        <x:v>0.0357142857142857</x:v>
      </x:c>
      <x:c r="W554" s="28" t="n">
        <x:f>L554-M554</x:f>
        <x:v>4</x:v>
      </x:c>
      <x:c r="X554" s="24" t="n">
        <x:f>IFERROR(K554/I554,0)</x:f>
        <x:v>0.3333333333333333</x:v>
      </x:c>
      <x:c r="Y554" s="24" t="n">
        <x:f>IFERROR(G554/I554,0)</x:f>
        <x:v>0.08333333333333333</x:v>
      </x:c>
      <x:c r="Z554" s="24" t="n">
        <x:f>IFERROR(G554/K554,0)</x:f>
        <x:v>0.25</x:v>
      </x:c>
      <x:c r="AA554" s="24" t="n">
        <x:f>IFERROR(F554/H554,0)-IFERROR(G554/I554,0)</x:f>
        <x:v>0.07051282051282053</x:v>
      </x:c>
      <x:c r="AB554" s="28" t="n">
        <x:f>J554-K554</x:f>
        <x:v>3</x:v>
      </x:c>
      <x:c r="AC554" s="32" t="n">
        <x:f>F554-G554</x:f>
        <x:v>1</x:v>
      </x:c>
    </x:row>
    <x:row r="555">
      <x:c r="A555" s="4" t="str">
        <x:v>2021-22</x:v>
      </x:c>
      <x:c r="B555" s="20" t="n">
        <x:v>44633</x:v>
      </x:c>
      <x:c r="C555" s="4" t="str">
        <x:v>Leicester</x:v>
      </x:c>
      <x:c r="D555" s="4" t="str">
        <x:v>Arsenal</x:v>
      </x:c>
      <x:c r="E555" s="4" t="str">
        <x:v>Away</x:v>
      </x:c>
      <x:c r="F555" s="28" t="n">
        <x:v>0</x:v>
      </x:c>
      <x:c r="G555" s="28" t="n">
        <x:v>2</x:v>
      </x:c>
      <x:c r="H555" s="28" t="n">
        <x:v>6</x:v>
      </x:c>
      <x:c r="I555" s="28" t="n">
        <x:v>21</x:v>
      </x:c>
      <x:c r="J555" s="28" t="n">
        <x:v>3</x:v>
      </x:c>
      <x:c r="K555" s="28" t="n">
        <x:v>8</x:v>
      </x:c>
      <x:c r="L555" s="28" t="n">
        <x:v>6</x:v>
      </x:c>
      <x:c r="M555" s="28" t="n">
        <x:v>2</x:v>
      </x:c>
      <x:c r="N555" s="28" t="n">
        <x:v>3</x:v>
      </x:c>
      <x:c r="O555" s="28" t="n">
        <x:v>0</x:v>
      </x:c>
      <x:c r="P555" s="28" t="n">
        <x:v>0</x:v>
      </x:c>
      <x:c r="Q555" s="24" t="n">
        <x:f>IFERROR(J555/H555,0)</x:f>
        <x:v>0.5</x:v>
      </x:c>
      <x:c r="R555" s="24" t="n">
        <x:f>IFERROR(F555/H555,0)</x:f>
        <x:v>0</x:v>
      </x:c>
      <x:c r="S555" s="24" t="n">
        <x:f>IFERROR(F555/J555,0)</x:f>
        <x:v>0</x:v>
      </x:c>
      <x:c r="T555" s="28" t="n">
        <x:f>H555-I555</x:f>
        <x:v>-15</x:v>
      </x:c>
      <x:c r="U555" s="24" t="n">
        <x:f>IFERROR(J555/H555,0)-IFERROR(K555/I555,0)</x:f>
        <x:v>0.11904761904761907</x:v>
      </x:c>
      <x:c r="V555" s="24" t="n">
        <x:f>IFERROR(F555/J555,0)-IFERROR(G555/K555,0)</x:f>
        <x:v>-0.25</x:v>
      </x:c>
      <x:c r="W555" s="28" t="n">
        <x:f>L555-M555</x:f>
        <x:v>4</x:v>
      </x:c>
      <x:c r="X555" s="24" t="n">
        <x:f>IFERROR(K555/I555,0)</x:f>
        <x:v>0.38095238095238093</x:v>
      </x:c>
      <x:c r="Y555" s="24" t="n">
        <x:f>IFERROR(G555/I555,0)</x:f>
        <x:v>0.09523809523809523</x:v>
      </x:c>
      <x:c r="Z555" s="24" t="n">
        <x:f>IFERROR(G555/K555,0)</x:f>
        <x:v>0.25</x:v>
      </x:c>
      <x:c r="AA555" s="24" t="n">
        <x:f>IFERROR(F555/H555,0)-IFERROR(G555/I555,0)</x:f>
        <x:v>-0.09523809523809523</x:v>
      </x:c>
      <x:c r="AB555" s="28" t="n">
        <x:f>J555-K555</x:f>
        <x:v>-5</x:v>
      </x:c>
      <x:c r="AC555" s="32" t="n">
        <x:f>F555-G555</x:f>
        <x:v>-2</x:v>
      </x:c>
    </x:row>
    <x:row r="556">
      <x:c r="A556" s="4" t="str">
        <x:v>2021-22</x:v>
      </x:c>
      <x:c r="B556" s="20" t="n">
        <x:v>44633</x:v>
      </x:c>
      <x:c r="C556" s="4" t="str">
        <x:v>Newcastle</x:v>
      </x:c>
      <x:c r="D556" s="4" t="str">
        <x:v>Chelsea</x:v>
      </x:c>
      <x:c r="E556" s="4" t="str">
        <x:v>Away</x:v>
      </x:c>
      <x:c r="F556" s="28" t="n">
        <x:v>0</x:v>
      </x:c>
      <x:c r="G556" s="28" t="n">
        <x:v>1</x:v>
      </x:c>
      <x:c r="H556" s="28" t="n">
        <x:v>7</x:v>
      </x:c>
      <x:c r="I556" s="28" t="n">
        <x:v>8</x:v>
      </x:c>
      <x:c r="J556" s="28" t="n">
        <x:v>2</x:v>
      </x:c>
      <x:c r="K556" s="28" t="n">
        <x:v>3</x:v>
      </x:c>
      <x:c r="L556" s="28" t="n">
        <x:v>2</x:v>
      </x:c>
      <x:c r="M556" s="28" t="n">
        <x:v>7</x:v>
      </x:c>
      <x:c r="N556" s="28" t="n">
        <x:v>3</x:v>
      </x:c>
      <x:c r="O556" s="28" t="n">
        <x:v>0</x:v>
      </x:c>
      <x:c r="P556" s="28" t="n">
        <x:v>0</x:v>
      </x:c>
      <x:c r="Q556" s="24" t="n">
        <x:f>IFERROR(J556/H556,0)</x:f>
        <x:v>0.2857142857142857</x:v>
      </x:c>
      <x:c r="R556" s="24" t="n">
        <x:f>IFERROR(F556/H556,0)</x:f>
        <x:v>0</x:v>
      </x:c>
      <x:c r="S556" s="24" t="n">
        <x:f>IFERROR(F556/J556,0)</x:f>
        <x:v>0</x:v>
      </x:c>
      <x:c r="T556" s="28" t="n">
        <x:f>H556-I556</x:f>
        <x:v>-1</x:v>
      </x:c>
      <x:c r="U556" s="24" t="n">
        <x:f>IFERROR(J556/H556,0)-IFERROR(K556/I556,0)</x:f>
        <x:v>-0.0892857142857143</x:v>
      </x:c>
      <x:c r="V556" s="24" t="n">
        <x:f>IFERROR(F556/J556,0)-IFERROR(G556/K556,0)</x:f>
        <x:v>-0.3333333333333333</x:v>
      </x:c>
      <x:c r="W556" s="28" t="n">
        <x:f>L556-M556</x:f>
        <x:v>-5</x:v>
      </x:c>
      <x:c r="X556" s="24" t="n">
        <x:f>IFERROR(K556/I556,0)</x:f>
        <x:v>0.375</x:v>
      </x:c>
      <x:c r="Y556" s="24" t="n">
        <x:f>IFERROR(G556/I556,0)</x:f>
        <x:v>0.125</x:v>
      </x:c>
      <x:c r="Z556" s="24" t="n">
        <x:f>IFERROR(G556/K556,0)</x:f>
        <x:v>0.3333333333333333</x:v>
      </x:c>
      <x:c r="AA556" s="24" t="n">
        <x:f>IFERROR(F556/H556,0)-IFERROR(G556/I556,0)</x:f>
        <x:v>-0.125</x:v>
      </x:c>
      <x:c r="AB556" s="28" t="n">
        <x:f>J556-K556</x:f>
        <x:v>-1</x:v>
      </x:c>
      <x:c r="AC556" s="32" t="n">
        <x:f>F556-G556</x:f>
        <x:v>-1</x:v>
      </x:c>
    </x:row>
    <x:row r="557">
      <x:c r="A557" s="4" t="str">
        <x:v>2021-22</x:v>
      </x:c>
      <x:c r="B557" s="20" t="n">
        <x:v>44633</x:v>
      </x:c>
      <x:c r="C557" s="4" t="str">
        <x:v>Norwich</x:v>
      </x:c>
      <x:c r="D557" s="4" t="str">
        <x:v>Leeds</x:v>
      </x:c>
      <x:c r="E557" s="4" t="str">
        <x:v>Away</x:v>
      </x:c>
      <x:c r="F557" s="28" t="n">
        <x:v>1</x:v>
      </x:c>
      <x:c r="G557" s="28" t="n">
        <x:v>2</x:v>
      </x:c>
      <x:c r="H557" s="28" t="n">
        <x:v>12</x:v>
      </x:c>
      <x:c r="I557" s="28" t="n">
        <x:v>13</x:v>
      </x:c>
      <x:c r="J557" s="28" t="n">
        <x:v>4</x:v>
      </x:c>
      <x:c r="K557" s="28" t="n">
        <x:v>7</x:v>
      </x:c>
      <x:c r="L557" s="28" t="n">
        <x:v>2</x:v>
      </x:c>
      <x:c r="M557" s="28" t="n">
        <x:v>6</x:v>
      </x:c>
      <x:c r="N557" s="28" t="n">
        <x:v>1</x:v>
      </x:c>
      <x:c r="O557" s="28" t="n">
        <x:v>0</x:v>
      </x:c>
      <x:c r="P557" s="28" t="n">
        <x:v>0</x:v>
      </x:c>
      <x:c r="Q557" s="24" t="n">
        <x:f>IFERROR(J557/H557,0)</x:f>
        <x:v>0.3333333333333333</x:v>
      </x:c>
      <x:c r="R557" s="24" t="n">
        <x:f>IFERROR(F557/H557,0)</x:f>
        <x:v>0.08333333333333333</x:v>
      </x:c>
      <x:c r="S557" s="24" t="n">
        <x:f>IFERROR(F557/J557,0)</x:f>
        <x:v>0.25</x:v>
      </x:c>
      <x:c r="T557" s="28" t="n">
        <x:f>H557-I557</x:f>
        <x:v>-1</x:v>
      </x:c>
      <x:c r="U557" s="24" t="n">
        <x:f>IFERROR(J557/H557,0)-IFERROR(K557/I557,0)</x:f>
        <x:v>-0.20512820512820512</x:v>
      </x:c>
      <x:c r="V557" s="24" t="n">
        <x:f>IFERROR(F557/J557,0)-IFERROR(G557/K557,0)</x:f>
        <x:v>-0.0357142857142857</x:v>
      </x:c>
      <x:c r="W557" s="28" t="n">
        <x:f>L557-M557</x:f>
        <x:v>-4</x:v>
      </x:c>
      <x:c r="X557" s="24" t="n">
        <x:f>IFERROR(K557/I557,0)</x:f>
        <x:v>0.5384615384615384</x:v>
      </x:c>
      <x:c r="Y557" s="24" t="n">
        <x:f>IFERROR(G557/I557,0)</x:f>
        <x:v>0.15384615384615385</x:v>
      </x:c>
      <x:c r="Z557" s="24" t="n">
        <x:f>IFERROR(G557/K557,0)</x:f>
        <x:v>0.2857142857142857</x:v>
      </x:c>
      <x:c r="AA557" s="24" t="n">
        <x:f>IFERROR(F557/H557,0)-IFERROR(G557/I557,0)</x:f>
        <x:v>-0.07051282051282053</x:v>
      </x:c>
      <x:c r="AB557" s="28" t="n">
        <x:f>J557-K557</x:f>
        <x:v>-3</x:v>
      </x:c>
      <x:c r="AC557" s="32" t="n">
        <x:f>F557-G557</x:f>
        <x:v>-1</x:v>
      </x:c>
    </x:row>
    <x:row r="558">
      <x:c r="A558" s="4" t="str">
        <x:v>2021-22</x:v>
      </x:c>
      <x:c r="B558" s="20" t="n">
        <x:v>44633</x:v>
      </x:c>
      <x:c r="C558" s="4" t="str">
        <x:v>Southampton</x:v>
      </x:c>
      <x:c r="D558" s="4" t="str">
        <x:v>Watford</x:v>
      </x:c>
      <x:c r="E558" s="4" t="str">
        <x:v>Home</x:v>
      </x:c>
      <x:c r="F558" s="28" t="n">
        <x:v>1</x:v>
      </x:c>
      <x:c r="G558" s="28" t="n">
        <x:v>2</x:v>
      </x:c>
      <x:c r="H558" s="28" t="n">
        <x:v>13</x:v>
      </x:c>
      <x:c r="I558" s="28" t="n">
        <x:v>9</x:v>
      </x:c>
      <x:c r="J558" s="28" t="n">
        <x:v>7</x:v>
      </x:c>
      <x:c r="K558" s="28" t="n">
        <x:v>5</x:v>
      </x:c>
      <x:c r="L558" s="28" t="n">
        <x:v>11</x:v>
      </x:c>
      <x:c r="M558" s="28" t="n">
        <x:v>3</x:v>
      </x:c>
      <x:c r="N558" s="28" t="n">
        <x:v>3</x:v>
      </x:c>
      <x:c r="O558" s="28" t="n">
        <x:v>0</x:v>
      </x:c>
      <x:c r="P558" s="28" t="n">
        <x:v>0</x:v>
      </x:c>
      <x:c r="Q558" s="24" t="n">
        <x:f>IFERROR(J558/H558,0)</x:f>
        <x:v>0.5384615384615384</x:v>
      </x:c>
      <x:c r="R558" s="24" t="n">
        <x:f>IFERROR(F558/H558,0)</x:f>
        <x:v>0.07692307692307693</x:v>
      </x:c>
      <x:c r="S558" s="24" t="n">
        <x:f>IFERROR(F558/J558,0)</x:f>
        <x:v>0.14285714285714285</x:v>
      </x:c>
      <x:c r="T558" s="28" t="n">
        <x:f>H558-I558</x:f>
        <x:v>4</x:v>
      </x:c>
      <x:c r="U558" s="24" t="n">
        <x:f>IFERROR(J558/H558,0)-IFERROR(K558/I558,0)</x:f>
        <x:v>-0.017094017094017144</x:v>
      </x:c>
      <x:c r="V558" s="24" t="n">
        <x:f>IFERROR(F558/J558,0)-IFERROR(G558/K558,0)</x:f>
        <x:v>-0.2571428571428572</x:v>
      </x:c>
      <x:c r="W558" s="28" t="n">
        <x:f>L558-M558</x:f>
        <x:v>8</x:v>
      </x:c>
      <x:c r="X558" s="24" t="n">
        <x:f>IFERROR(K558/I558,0)</x:f>
        <x:v>0.5555555555555556</x:v>
      </x:c>
      <x:c r="Y558" s="24" t="n">
        <x:f>IFERROR(G558/I558,0)</x:f>
        <x:v>0.2222222222222222</x:v>
      </x:c>
      <x:c r="Z558" s="24" t="n">
        <x:f>IFERROR(G558/K558,0)</x:f>
        <x:v>0.4</x:v>
      </x:c>
      <x:c r="AA558" s="24" t="n">
        <x:f>IFERROR(F558/H558,0)-IFERROR(G558/I558,0)</x:f>
        <x:v>-0.14529914529914528</x:v>
      </x:c>
      <x:c r="AB558" s="28" t="n">
        <x:f>J558-K558</x:f>
        <x:v>2</x:v>
      </x:c>
      <x:c r="AC558" s="32" t="n">
        <x:f>F558-G558</x:f>
        <x:v>-1</x:v>
      </x:c>
    </x:row>
    <x:row r="559">
      <x:c r="A559" s="4" t="str">
        <x:v>2021-22</x:v>
      </x:c>
      <x:c r="B559" s="20" t="n">
        <x:v>44633</x:v>
      </x:c>
      <x:c r="C559" s="4" t="str">
        <x:v>Watford</x:v>
      </x:c>
      <x:c r="D559" s="4" t="str">
        <x:v>Southampton</x:v>
      </x:c>
      <x:c r="E559" s="4" t="str">
        <x:v>Away</x:v>
      </x:c>
      <x:c r="F559" s="28" t="n">
        <x:v>2</x:v>
      </x:c>
      <x:c r="G559" s="28" t="n">
        <x:v>1</x:v>
      </x:c>
      <x:c r="H559" s="28" t="n">
        <x:v>9</x:v>
      </x:c>
      <x:c r="I559" s="28" t="n">
        <x:v>13</x:v>
      </x:c>
      <x:c r="J559" s="28" t="n">
        <x:v>5</x:v>
      </x:c>
      <x:c r="K559" s="28" t="n">
        <x:v>7</x:v>
      </x:c>
      <x:c r="L559" s="28" t="n">
        <x:v>3</x:v>
      </x:c>
      <x:c r="M559" s="28" t="n">
        <x:v>11</x:v>
      </x:c>
      <x:c r="N559" s="28" t="n">
        <x:v>2</x:v>
      </x:c>
      <x:c r="O559" s="28" t="n">
        <x:v>0</x:v>
      </x:c>
      <x:c r="P559" s="28" t="n">
        <x:v>3</x:v>
      </x:c>
      <x:c r="Q559" s="24" t="n">
        <x:f>IFERROR(J559/H559,0)</x:f>
        <x:v>0.5555555555555556</x:v>
      </x:c>
      <x:c r="R559" s="24" t="n">
        <x:f>IFERROR(F559/H559,0)</x:f>
        <x:v>0.2222222222222222</x:v>
      </x:c>
      <x:c r="S559" s="24" t="n">
        <x:f>IFERROR(F559/J559,0)</x:f>
        <x:v>0.4</x:v>
      </x:c>
      <x:c r="T559" s="28" t="n">
        <x:f>H559-I559</x:f>
        <x:v>-4</x:v>
      </x:c>
      <x:c r="U559" s="24" t="n">
        <x:f>IFERROR(J559/H559,0)-IFERROR(K559/I559,0)</x:f>
        <x:v>0.017094017094017144</x:v>
      </x:c>
      <x:c r="V559" s="24" t="n">
        <x:f>IFERROR(F559/J559,0)-IFERROR(G559/K559,0)</x:f>
        <x:v>0.2571428571428572</x:v>
      </x:c>
      <x:c r="W559" s="28" t="n">
        <x:f>L559-M559</x:f>
        <x:v>-8</x:v>
      </x:c>
      <x:c r="X559" s="24" t="n">
        <x:f>IFERROR(K559/I559,0)</x:f>
        <x:v>0.5384615384615384</x:v>
      </x:c>
      <x:c r="Y559" s="24" t="n">
        <x:f>IFERROR(G559/I559,0)</x:f>
        <x:v>0.07692307692307693</x:v>
      </x:c>
      <x:c r="Z559" s="24" t="n">
        <x:f>IFERROR(G559/K559,0)</x:f>
        <x:v>0.14285714285714285</x:v>
      </x:c>
      <x:c r="AA559" s="24" t="n">
        <x:f>IFERROR(F559/H559,0)-IFERROR(G559/I559,0)</x:f>
        <x:v>0.14529914529914528</x:v>
      </x:c>
      <x:c r="AB559" s="28" t="n">
        <x:f>J559-K559</x:f>
        <x:v>-2</x:v>
      </x:c>
      <x:c r="AC559" s="32" t="n">
        <x:f>F559-G559</x:f>
        <x:v>1</x:v>
      </x:c>
    </x:row>
    <x:row r="560">
      <x:c r="A560" s="4" t="str">
        <x:v>2021-22</x:v>
      </x:c>
      <x:c r="B560" s="20" t="n">
        <x:v>44633</x:v>
      </x:c>
      <x:c r="C560" s="4" t="str">
        <x:v>West Ham</x:v>
      </x:c>
      <x:c r="D560" s="4" t="str">
        <x:v>Aston Villa</x:v>
      </x:c>
      <x:c r="E560" s="4" t="str">
        <x:v>Home</x:v>
      </x:c>
      <x:c r="F560" s="28" t="n">
        <x:v>2</x:v>
      </x:c>
      <x:c r="G560" s="28" t="n">
        <x:v>1</x:v>
      </x:c>
      <x:c r="H560" s="28" t="n">
        <x:v>11</x:v>
      </x:c>
      <x:c r="I560" s="28" t="n">
        <x:v>13</x:v>
      </x:c>
      <x:c r="J560" s="28" t="n">
        <x:v>4</x:v>
      </x:c>
      <x:c r="K560" s="28" t="n">
        <x:v>7</x:v>
      </x:c>
      <x:c r="L560" s="28" t="n">
        <x:v>5</x:v>
      </x:c>
      <x:c r="M560" s="28" t="n">
        <x:v>7</x:v>
      </x:c>
      <x:c r="N560" s="28" t="n">
        <x:v>1</x:v>
      </x:c>
      <x:c r="O560" s="28" t="n">
        <x:v>0</x:v>
      </x:c>
      <x:c r="P560" s="28" t="n">
        <x:v>3</x:v>
      </x:c>
      <x:c r="Q560" s="24" t="n">
        <x:f>IFERROR(J560/H560,0)</x:f>
        <x:v>0.36363636363636365</x:v>
      </x:c>
      <x:c r="R560" s="24" t="n">
        <x:f>IFERROR(F560/H560,0)</x:f>
        <x:v>0.18181818181818182</x:v>
      </x:c>
      <x:c r="S560" s="24" t="n">
        <x:f>IFERROR(F560/J560,0)</x:f>
        <x:v>0.5</x:v>
      </x:c>
      <x:c r="T560" s="28" t="n">
        <x:f>H560-I560</x:f>
        <x:v>-2</x:v>
      </x:c>
      <x:c r="U560" s="24" t="n">
        <x:f>IFERROR(J560/H560,0)-IFERROR(K560/I560,0)</x:f>
        <x:v>-0.1748251748251748</x:v>
      </x:c>
      <x:c r="V560" s="24" t="n">
        <x:f>IFERROR(F560/J560,0)-IFERROR(G560/K560,0)</x:f>
        <x:v>0.35714285714285715</x:v>
      </x:c>
      <x:c r="W560" s="28" t="n">
        <x:f>L560-M560</x:f>
        <x:v>-2</x:v>
      </x:c>
      <x:c r="X560" s="24" t="n">
        <x:f>IFERROR(K560/I560,0)</x:f>
        <x:v>0.5384615384615384</x:v>
      </x:c>
      <x:c r="Y560" s="24" t="n">
        <x:f>IFERROR(G560/I560,0)</x:f>
        <x:v>0.07692307692307693</x:v>
      </x:c>
      <x:c r="Z560" s="24" t="n">
        <x:f>IFERROR(G560/K560,0)</x:f>
        <x:v>0.14285714285714285</x:v>
      </x:c>
      <x:c r="AA560" s="24" t="n">
        <x:f>IFERROR(F560/H560,0)-IFERROR(G560/I560,0)</x:f>
        <x:v>0.1048951048951049</x:v>
      </x:c>
      <x:c r="AB560" s="28" t="n">
        <x:f>J560-K560</x:f>
        <x:v>-3</x:v>
      </x:c>
      <x:c r="AC560" s="32" t="n">
        <x:f>F560-G560</x:f>
        <x:v>1</x:v>
      </x:c>
    </x:row>
    <x:row r="561">
      <x:c r="A561" s="4" t="str">
        <x:v>2021-22</x:v>
      </x:c>
      <x:c r="B561" s="20" t="n">
        <x:v>44633</x:v>
      </x:c>
      <x:c r="C561" s="4" t="str">
        <x:v>Wolves</x:v>
      </x:c>
      <x:c r="D561" s="4" t="str">
        <x:v>Everton</x:v>
      </x:c>
      <x:c r="E561" s="4" t="str">
        <x:v>Away</x:v>
      </x:c>
      <x:c r="F561" s="28" t="n">
        <x:v>1</x:v>
      </x:c>
      <x:c r="G561" s="28" t="n">
        <x:v>0</x:v>
      </x:c>
      <x:c r="H561" s="28" t="n">
        <x:v>14</x:v>
      </x:c>
      <x:c r="I561" s="28" t="n">
        <x:v>8</x:v>
      </x:c>
      <x:c r="J561" s="28" t="n">
        <x:v>3</x:v>
      </x:c>
      <x:c r="K561" s="28" t="n">
        <x:v>2</x:v>
      </x:c>
      <x:c r="L561" s="28" t="n">
        <x:v>2</x:v>
      </x:c>
      <x:c r="M561" s="28" t="n">
        <x:v>5</x:v>
      </x:c>
      <x:c r="N561" s="28" t="n">
        <x:v>1</x:v>
      </x:c>
      <x:c r="O561" s="28" t="n">
        <x:v>0</x:v>
      </x:c>
      <x:c r="P561" s="28" t="n">
        <x:v>3</x:v>
      </x:c>
      <x:c r="Q561" s="24" t="n">
        <x:f>IFERROR(J561/H561,0)</x:f>
        <x:v>0.21428571428571427</x:v>
      </x:c>
      <x:c r="R561" s="24" t="n">
        <x:f>IFERROR(F561/H561,0)</x:f>
        <x:v>0.07142857142857142</x:v>
      </x:c>
      <x:c r="S561" s="24" t="n">
        <x:f>IFERROR(F561/J561,0)</x:f>
        <x:v>0.3333333333333333</x:v>
      </x:c>
      <x:c r="T561" s="28" t="n">
        <x:f>H561-I561</x:f>
        <x:v>6</x:v>
      </x:c>
      <x:c r="U561" s="24" t="n">
        <x:f>IFERROR(J561/H561,0)-IFERROR(K561/I561,0)</x:f>
        <x:v>-0.035714285714285726</x:v>
      </x:c>
      <x:c r="V561" s="24" t="n">
        <x:f>IFERROR(F561/J561,0)-IFERROR(G561/K561,0)</x:f>
        <x:v>0.3333333333333333</x:v>
      </x:c>
      <x:c r="W561" s="28" t="n">
        <x:f>L561-M561</x:f>
        <x:v>-3</x:v>
      </x:c>
      <x:c r="X561" s="24" t="n">
        <x:f>IFERROR(K561/I561,0)</x:f>
        <x:v>0.25</x:v>
      </x:c>
      <x:c r="Y561" s="24" t="n">
        <x:f>IFERROR(G561/I561,0)</x:f>
        <x:v>0</x:v>
      </x:c>
      <x:c r="Z561" s="24" t="n">
        <x:f>IFERROR(G561/K561,0)</x:f>
        <x:v>0</x:v>
      </x:c>
      <x:c r="AA561" s="24" t="n">
        <x:f>IFERROR(F561/H561,0)-IFERROR(G561/I561,0)</x:f>
        <x:v>0.07142857142857142</x:v>
      </x:c>
      <x:c r="AB561" s="28" t="n">
        <x:f>J561-K561</x:f>
        <x:v>1</x:v>
      </x:c>
      <x:c r="AC561" s="32" t="n">
        <x:f>F561-G561</x:f>
        <x:v>1</x:v>
      </x:c>
    </x:row>
    <x:row r="562">
      <x:c r="A562" s="4" t="str">
        <x:v>2021-22</x:v>
      </x:c>
      <x:c r="B562" s="20" t="n">
        <x:v>44634</x:v>
      </x:c>
      <x:c r="C562" s="4" t="str">
        <x:v>Crystal Palace</x:v>
      </x:c>
      <x:c r="D562" s="4" t="str">
        <x:v>Man City</x:v>
      </x:c>
      <x:c r="E562" s="4" t="str">
        <x:v>Home</x:v>
      </x:c>
      <x:c r="F562" s="28" t="n">
        <x:v>0</x:v>
      </x:c>
      <x:c r="G562" s="28" t="n">
        <x:v>0</x:v>
      </x:c>
      <x:c r="H562" s="28" t="n">
        <x:v>7</x:v>
      </x:c>
      <x:c r="I562" s="28" t="n">
        <x:v>18</x:v>
      </x:c>
      <x:c r="J562" s="28" t="n">
        <x:v>1</x:v>
      </x:c>
      <x:c r="K562" s="28" t="n">
        <x:v>4</x:v>
      </x:c>
      <x:c r="L562" s="28" t="n">
        <x:v>2</x:v>
      </x:c>
      <x:c r="M562" s="28" t="n">
        <x:v>6</x:v>
      </x:c>
      <x:c r="N562" s="28" t="n">
        <x:v>3</x:v>
      </x:c>
      <x:c r="O562" s="28" t="n">
        <x:v>0</x:v>
      </x:c>
      <x:c r="P562" s="28" t="n">
        <x:v>1</x:v>
      </x:c>
      <x:c r="Q562" s="24" t="n">
        <x:f>IFERROR(J562/H562,0)</x:f>
        <x:v>0.14285714285714285</x:v>
      </x:c>
      <x:c r="R562" s="24" t="n">
        <x:f>IFERROR(F562/H562,0)</x:f>
        <x:v>0</x:v>
      </x:c>
      <x:c r="S562" s="24" t="n">
        <x:f>IFERROR(F562/J562,0)</x:f>
        <x:v>0</x:v>
      </x:c>
      <x:c r="T562" s="28" t="n">
        <x:f>H562-I562</x:f>
        <x:v>-11</x:v>
      </x:c>
      <x:c r="U562" s="24" t="n">
        <x:f>IFERROR(J562/H562,0)-IFERROR(K562/I562,0)</x:f>
        <x:v>-0.07936507936507936</x:v>
      </x:c>
      <x:c r="V562" s="24" t="n">
        <x:f>IFERROR(F562/J562,0)-IFERROR(G562/K562,0)</x:f>
        <x:v>0</x:v>
      </x:c>
      <x:c r="W562" s="28" t="n">
        <x:f>L562-M562</x:f>
        <x:v>-4</x:v>
      </x:c>
      <x:c r="X562" s="24" t="n">
        <x:f>IFERROR(K562/I562,0)</x:f>
        <x:v>0.2222222222222222</x:v>
      </x:c>
      <x:c r="Y562" s="24" t="n">
        <x:f>IFERROR(G562/I562,0)</x:f>
        <x:v>0</x:v>
      </x:c>
      <x:c r="Z562" s="24" t="n">
        <x:f>IFERROR(G562/K562,0)</x:f>
        <x:v>0</x:v>
      </x:c>
      <x:c r="AA562" s="24" t="n">
        <x:f>IFERROR(F562/H562,0)-IFERROR(G562/I562,0)</x:f>
        <x:v>0</x:v>
      </x:c>
      <x:c r="AB562" s="28" t="n">
        <x:f>J562-K562</x:f>
        <x:v>-3</x:v>
      </x:c>
      <x:c r="AC562" s="32" t="n">
        <x:f>F562-G562</x:f>
        <x:v>0</x:v>
      </x:c>
    </x:row>
    <x:row r="563">
      <x:c r="A563" s="4" t="str">
        <x:v>2021-22</x:v>
      </x:c>
      <x:c r="B563" s="20" t="n">
        <x:v>44634</x:v>
      </x:c>
      <x:c r="C563" s="4" t="str">
        <x:v>Man City</x:v>
      </x:c>
      <x:c r="D563" s="4" t="str">
        <x:v>Crystal Palace</x:v>
      </x:c>
      <x:c r="E563" s="4" t="str">
        <x:v>Away</x:v>
      </x:c>
      <x:c r="F563" s="28" t="n">
        <x:v>0</x:v>
      </x:c>
      <x:c r="G563" s="28" t="n">
        <x:v>0</x:v>
      </x:c>
      <x:c r="H563" s="28" t="n">
        <x:v>18</x:v>
      </x:c>
      <x:c r="I563" s="28" t="n">
        <x:v>7</x:v>
      </x:c>
      <x:c r="J563" s="28" t="n">
        <x:v>4</x:v>
      </x:c>
      <x:c r="K563" s="28" t="n">
        <x:v>1</x:v>
      </x:c>
      <x:c r="L563" s="28" t="n">
        <x:v>6</x:v>
      </x:c>
      <x:c r="M563" s="28" t="n">
        <x:v>2</x:v>
      </x:c>
      <x:c r="N563" s="28" t="n">
        <x:v>1</x:v>
      </x:c>
      <x:c r="O563" s="28" t="n">
        <x:v>0</x:v>
      </x:c>
      <x:c r="P563" s="28" t="n">
        <x:v>1</x:v>
      </x:c>
      <x:c r="Q563" s="24" t="n">
        <x:f>IFERROR(J563/H563,0)</x:f>
        <x:v>0.2222222222222222</x:v>
      </x:c>
      <x:c r="R563" s="24" t="n">
        <x:f>IFERROR(F563/H563,0)</x:f>
        <x:v>0</x:v>
      </x:c>
      <x:c r="S563" s="24" t="n">
        <x:f>IFERROR(F563/J563,0)</x:f>
        <x:v>0</x:v>
      </x:c>
      <x:c r="T563" s="28" t="n">
        <x:f>H563-I563</x:f>
        <x:v>11</x:v>
      </x:c>
      <x:c r="U563" s="24" t="n">
        <x:f>IFERROR(J563/H563,0)-IFERROR(K563/I563,0)</x:f>
        <x:v>0.07936507936507936</x:v>
      </x:c>
      <x:c r="V563" s="24" t="n">
        <x:f>IFERROR(F563/J563,0)-IFERROR(G563/K563,0)</x:f>
        <x:v>0</x:v>
      </x:c>
      <x:c r="W563" s="28" t="n">
        <x:f>L563-M563</x:f>
        <x:v>4</x:v>
      </x:c>
      <x:c r="X563" s="24" t="n">
        <x:f>IFERROR(K563/I563,0)</x:f>
        <x:v>0.14285714285714285</x:v>
      </x:c>
      <x:c r="Y563" s="24" t="n">
        <x:f>IFERROR(G563/I563,0)</x:f>
        <x:v>0</x:v>
      </x:c>
      <x:c r="Z563" s="24" t="n">
        <x:f>IFERROR(G563/K563,0)</x:f>
        <x:v>0</x:v>
      </x:c>
      <x:c r="AA563" s="24" t="n">
        <x:f>IFERROR(F563/H563,0)-IFERROR(G563/I563,0)</x:f>
        <x:v>0</x:v>
      </x:c>
      <x:c r="AB563" s="28" t="n">
        <x:f>J563-K563</x:f>
        <x:v>3</x:v>
      </x:c>
      <x:c r="AC563" s="32" t="n">
        <x:f>F563-G563</x:f>
        <x:v>0</x:v>
      </x:c>
    </x:row>
    <x:row r="564">
      <x:c r="A564" s="4" t="str">
        <x:v>2021-22</x:v>
      </x:c>
      <x:c r="B564" s="20" t="n">
        <x:v>44636</x:v>
      </x:c>
      <x:c r="C564" s="4" t="str">
        <x:v>Arsenal</x:v>
      </x:c>
      <x:c r="D564" s="4" t="str">
        <x:v>Liverpool</x:v>
      </x:c>
      <x:c r="E564" s="4" t="str">
        <x:v>Home</x:v>
      </x:c>
      <x:c r="F564" s="28" t="n">
        <x:v>0</x:v>
      </x:c>
      <x:c r="G564" s="28" t="n">
        <x:v>2</x:v>
      </x:c>
      <x:c r="H564" s="28" t="n">
        <x:v>9</x:v>
      </x:c>
      <x:c r="I564" s="28" t="n">
        <x:v>9</x:v>
      </x:c>
      <x:c r="J564" s="28" t="n">
        <x:v>2</x:v>
      </x:c>
      <x:c r="K564" s="28" t="n">
        <x:v>3</x:v>
      </x:c>
      <x:c r="L564" s="28" t="n">
        <x:v>1</x:v>
      </x:c>
      <x:c r="M564" s="28" t="n">
        <x:v>6</x:v>
      </x:c>
      <x:c r="N564" s="28" t="n">
        <x:v>0</x:v>
      </x:c>
      <x:c r="O564" s="28" t="n">
        <x:v>0</x:v>
      </x:c>
      <x:c r="P564" s="28" t="n">
        <x:v>0</x:v>
      </x:c>
      <x:c r="Q564" s="24" t="n">
        <x:f>IFERROR(J564/H564,0)</x:f>
        <x:v>0.2222222222222222</x:v>
      </x:c>
      <x:c r="R564" s="24" t="n">
        <x:f>IFERROR(F564/H564,0)</x:f>
        <x:v>0</x:v>
      </x:c>
      <x:c r="S564" s="24" t="n">
        <x:f>IFERROR(F564/J564,0)</x:f>
        <x:v>0</x:v>
      </x:c>
      <x:c r="T564" s="28" t="n">
        <x:f>H564-I564</x:f>
        <x:v>0</x:v>
      </x:c>
      <x:c r="U564" s="24" t="n">
        <x:f>IFERROR(J564/H564,0)-IFERROR(K564/I564,0)</x:f>
        <x:v>-0.1111111111111111</x:v>
      </x:c>
      <x:c r="V564" s="24" t="n">
        <x:f>IFERROR(F564/J564,0)-IFERROR(G564/K564,0)</x:f>
        <x:v>-0.6666666666666666</x:v>
      </x:c>
      <x:c r="W564" s="28" t="n">
        <x:f>L564-M564</x:f>
        <x:v>-5</x:v>
      </x:c>
      <x:c r="X564" s="24" t="n">
        <x:f>IFERROR(K564/I564,0)</x:f>
        <x:v>0.3333333333333333</x:v>
      </x:c>
      <x:c r="Y564" s="24" t="n">
        <x:f>IFERROR(G564/I564,0)</x:f>
        <x:v>0.2222222222222222</x:v>
      </x:c>
      <x:c r="Z564" s="24" t="n">
        <x:f>IFERROR(G564/K564,0)</x:f>
        <x:v>0.6666666666666666</x:v>
      </x:c>
      <x:c r="AA564" s="24" t="n">
        <x:f>IFERROR(F564/H564,0)-IFERROR(G564/I564,0)</x:f>
        <x:v>-0.2222222222222222</x:v>
      </x:c>
      <x:c r="AB564" s="28" t="n">
        <x:f>J564-K564</x:f>
        <x:v>-1</x:v>
      </x:c>
      <x:c r="AC564" s="32" t="n">
        <x:f>F564-G564</x:f>
        <x:v>-2</x:v>
      </x:c>
    </x:row>
    <x:row r="565">
      <x:c r="A565" s="4" t="str">
        <x:v>2021-22</x:v>
      </x:c>
      <x:c r="B565" s="20" t="n">
        <x:v>44636</x:v>
      </x:c>
      <x:c r="C565" s="4" t="str">
        <x:v>Brighton</x:v>
      </x:c>
      <x:c r="D565" s="4" t="str">
        <x:v>Tottenham</x:v>
      </x:c>
      <x:c r="E565" s="4" t="str">
        <x:v>Home</x:v>
      </x:c>
      <x:c r="F565" s="28" t="n">
        <x:v>0</x:v>
      </x:c>
      <x:c r="G565" s="28" t="n">
        <x:v>2</x:v>
      </x:c>
      <x:c r="H565" s="28" t="n">
        <x:v>15</x:v>
      </x:c>
      <x:c r="I565" s="28" t="n">
        <x:v>17</x:v>
      </x:c>
      <x:c r="J565" s="28" t="n">
        <x:v>0</x:v>
      </x:c>
      <x:c r="K565" s="28" t="n">
        <x:v>7</x:v>
      </x:c>
      <x:c r="L565" s="28" t="n">
        <x:v>6</x:v>
      </x:c>
      <x:c r="M565" s="28" t="n">
        <x:v>3</x:v>
      </x:c>
      <x:c r="N565" s="28" t="n">
        <x:v>2</x:v>
      </x:c>
      <x:c r="O565" s="28" t="n">
        <x:v>0</x:v>
      </x:c>
      <x:c r="P565" s="28" t="n">
        <x:v>0</x:v>
      </x:c>
      <x:c r="Q565" s="24" t="n">
        <x:f>IFERROR(J565/H565,0)</x:f>
        <x:v>0</x:v>
      </x:c>
      <x:c r="R565" s="24" t="n">
        <x:f>IFERROR(F565/H565,0)</x:f>
        <x:v>0</x:v>
      </x:c>
      <x:c r="S565" s="24" t="n">
        <x:f>IFERROR(F565/J565,0)</x:f>
        <x:v>0</x:v>
      </x:c>
      <x:c r="T565" s="28" t="n">
        <x:f>H565-I565</x:f>
        <x:v>-2</x:v>
      </x:c>
      <x:c r="U565" s="24" t="n">
        <x:f>IFERROR(J565/H565,0)-IFERROR(K565/I565,0)</x:f>
        <x:v>-0.4117647058823529</x:v>
      </x:c>
      <x:c r="V565" s="24" t="n">
        <x:f>IFERROR(F565/J565,0)-IFERROR(G565/K565,0)</x:f>
        <x:v>-0.2857142857142857</x:v>
      </x:c>
      <x:c r="W565" s="28" t="n">
        <x:f>L565-M565</x:f>
        <x:v>3</x:v>
      </x:c>
      <x:c r="X565" s="24" t="n">
        <x:f>IFERROR(K565/I565,0)</x:f>
        <x:v>0.4117647058823529</x:v>
      </x:c>
      <x:c r="Y565" s="24" t="n">
        <x:f>IFERROR(G565/I565,0)</x:f>
        <x:v>0.11764705882352941</x:v>
      </x:c>
      <x:c r="Z565" s="24" t="n">
        <x:f>IFERROR(G565/K565,0)</x:f>
        <x:v>0.2857142857142857</x:v>
      </x:c>
      <x:c r="AA565" s="24" t="n">
        <x:f>IFERROR(F565/H565,0)-IFERROR(G565/I565,0)</x:f>
        <x:v>-0.11764705882352941</x:v>
      </x:c>
      <x:c r="AB565" s="28" t="n">
        <x:f>J565-K565</x:f>
        <x:v>-7</x:v>
      </x:c>
      <x:c r="AC565" s="32" t="n">
        <x:f>F565-G565</x:f>
        <x:v>-2</x:v>
      </x:c>
    </x:row>
    <x:row r="566">
      <x:c r="A566" s="4" t="str">
        <x:v>2021-22</x:v>
      </x:c>
      <x:c r="B566" s="20" t="n">
        <x:v>44636</x:v>
      </x:c>
      <x:c r="C566" s="4" t="str">
        <x:v>Liverpool</x:v>
      </x:c>
      <x:c r="D566" s="4" t="str">
        <x:v>Arsenal</x:v>
      </x:c>
      <x:c r="E566" s="4" t="str">
        <x:v>Away</x:v>
      </x:c>
      <x:c r="F566" s="28" t="n">
        <x:v>2</x:v>
      </x:c>
      <x:c r="G566" s="28" t="n">
        <x:v>0</x:v>
      </x:c>
      <x:c r="H566" s="28" t="n">
        <x:v>9</x:v>
      </x:c>
      <x:c r="I566" s="28" t="n">
        <x:v>9</x:v>
      </x:c>
      <x:c r="J566" s="28" t="n">
        <x:v>3</x:v>
      </x:c>
      <x:c r="K566" s="28" t="n">
        <x:v>2</x:v>
      </x:c>
      <x:c r="L566" s="28" t="n">
        <x:v>6</x:v>
      </x:c>
      <x:c r="M566" s="28" t="n">
        <x:v>1</x:v>
      </x:c>
      <x:c r="N566" s="28" t="n">
        <x:v>1</x:v>
      </x:c>
      <x:c r="O566" s="28" t="n">
        <x:v>0</x:v>
      </x:c>
      <x:c r="P566" s="28" t="n">
        <x:v>3</x:v>
      </x:c>
      <x:c r="Q566" s="24" t="n">
        <x:f>IFERROR(J566/H566,0)</x:f>
        <x:v>0.3333333333333333</x:v>
      </x:c>
      <x:c r="R566" s="24" t="n">
        <x:f>IFERROR(F566/H566,0)</x:f>
        <x:v>0.2222222222222222</x:v>
      </x:c>
      <x:c r="S566" s="24" t="n">
        <x:f>IFERROR(F566/J566,0)</x:f>
        <x:v>0.6666666666666666</x:v>
      </x:c>
      <x:c r="T566" s="28" t="n">
        <x:f>H566-I566</x:f>
        <x:v>0</x:v>
      </x:c>
      <x:c r="U566" s="24" t="n">
        <x:f>IFERROR(J566/H566,0)-IFERROR(K566/I566,0)</x:f>
        <x:v>0.1111111111111111</x:v>
      </x:c>
      <x:c r="V566" s="24" t="n">
        <x:f>IFERROR(F566/J566,0)-IFERROR(G566/K566,0)</x:f>
        <x:v>0.6666666666666666</x:v>
      </x:c>
      <x:c r="W566" s="28" t="n">
        <x:f>L566-M566</x:f>
        <x:v>5</x:v>
      </x:c>
      <x:c r="X566" s="24" t="n">
        <x:f>IFERROR(K566/I566,0)</x:f>
        <x:v>0.2222222222222222</x:v>
      </x:c>
      <x:c r="Y566" s="24" t="n">
        <x:f>IFERROR(G566/I566,0)</x:f>
        <x:v>0</x:v>
      </x:c>
      <x:c r="Z566" s="24" t="n">
        <x:f>IFERROR(G566/K566,0)</x:f>
        <x:v>0</x:v>
      </x:c>
      <x:c r="AA566" s="24" t="n">
        <x:f>IFERROR(F566/H566,0)-IFERROR(G566/I566,0)</x:f>
        <x:v>0.2222222222222222</x:v>
      </x:c>
      <x:c r="AB566" s="28" t="n">
        <x:f>J566-K566</x:f>
        <x:v>1</x:v>
      </x:c>
      <x:c r="AC566" s="32" t="n">
        <x:f>F566-G566</x:f>
        <x:v>2</x:v>
      </x:c>
    </x:row>
    <x:row r="567">
      <x:c r="A567" s="4" t="str">
        <x:v>2021-22</x:v>
      </x:c>
      <x:c r="B567" s="20" t="n">
        <x:v>44636</x:v>
      </x:c>
      <x:c r="C567" s="4" t="str">
        <x:v>Tottenham</x:v>
      </x:c>
      <x:c r="D567" s="4" t="str">
        <x:v>Brighton</x:v>
      </x:c>
      <x:c r="E567" s="4" t="str">
        <x:v>Away</x:v>
      </x:c>
      <x:c r="F567" s="28" t="n">
        <x:v>2</x:v>
      </x:c>
      <x:c r="G567" s="28" t="n">
        <x:v>0</x:v>
      </x:c>
      <x:c r="H567" s="28" t="n">
        <x:v>17</x:v>
      </x:c>
      <x:c r="I567" s="28" t="n">
        <x:v>15</x:v>
      </x:c>
      <x:c r="J567" s="28" t="n">
        <x:v>7</x:v>
      </x:c>
      <x:c r="K567" s="28" t="n">
        <x:v>0</x:v>
      </x:c>
      <x:c r="L567" s="28" t="n">
        <x:v>3</x:v>
      </x:c>
      <x:c r="M567" s="28" t="n">
        <x:v>6</x:v>
      </x:c>
      <x:c r="N567" s="28" t="n">
        <x:v>2</x:v>
      </x:c>
      <x:c r="O567" s="28" t="n">
        <x:v>0</x:v>
      </x:c>
      <x:c r="P567" s="28" t="n">
        <x:v>3</x:v>
      </x:c>
      <x:c r="Q567" s="24" t="n">
        <x:f>IFERROR(J567/H567,0)</x:f>
        <x:v>0.4117647058823529</x:v>
      </x:c>
      <x:c r="R567" s="24" t="n">
        <x:f>IFERROR(F567/H567,0)</x:f>
        <x:v>0.11764705882352941</x:v>
      </x:c>
      <x:c r="S567" s="24" t="n">
        <x:f>IFERROR(F567/J567,0)</x:f>
        <x:v>0.2857142857142857</x:v>
      </x:c>
      <x:c r="T567" s="28" t="n">
        <x:f>H567-I567</x:f>
        <x:v>2</x:v>
      </x:c>
      <x:c r="U567" s="24" t="n">
        <x:f>IFERROR(J567/H567,0)-IFERROR(K567/I567,0)</x:f>
        <x:v>0.4117647058823529</x:v>
      </x:c>
      <x:c r="V567" s="24" t="n">
        <x:f>IFERROR(F567/J567,0)-IFERROR(G567/K567,0)</x:f>
        <x:v>0.2857142857142857</x:v>
      </x:c>
      <x:c r="W567" s="28" t="n">
        <x:f>L567-M567</x:f>
        <x:v>-3</x:v>
      </x:c>
      <x:c r="X567" s="24" t="n">
        <x:f>IFERROR(K567/I567,0)</x:f>
        <x:v>0</x:v>
      </x:c>
      <x:c r="Y567" s="24" t="n">
        <x:f>IFERROR(G567/I567,0)</x:f>
        <x:v>0</x:v>
      </x:c>
      <x:c r="Z567" s="24" t="n">
        <x:f>IFERROR(G567/K567,0)</x:f>
        <x:v>0</x:v>
      </x:c>
      <x:c r="AA567" s="24" t="n">
        <x:f>IFERROR(F567/H567,0)-IFERROR(G567/I567,0)</x:f>
        <x:v>0.11764705882352941</x:v>
      </x:c>
      <x:c r="AB567" s="28" t="n">
        <x:f>J567-K567</x:f>
        <x:v>7</x:v>
      </x:c>
      <x:c r="AC567" s="32" t="n">
        <x:f>F567-G567</x:f>
        <x:v>2</x:v>
      </x:c>
    </x:row>
    <x:row r="568">
      <x:c r="A568" s="4" t="str">
        <x:v>2021-22</x:v>
      </x:c>
      <x:c r="B568" s="20" t="n">
        <x:v>44637</x:v>
      </x:c>
      <x:c r="C568" s="4" t="str">
        <x:v>Everton</x:v>
      </x:c>
      <x:c r="D568" s="4" t="str">
        <x:v>Newcastle</x:v>
      </x:c>
      <x:c r="E568" s="4" t="str">
        <x:v>Home</x:v>
      </x:c>
      <x:c r="F568" s="28" t="n">
        <x:v>1</x:v>
      </x:c>
      <x:c r="G568" s="28" t="n">
        <x:v>0</x:v>
      </x:c>
      <x:c r="H568" s="28" t="n">
        <x:v>9</x:v>
      </x:c>
      <x:c r="I568" s="28" t="n">
        <x:v>17</x:v>
      </x:c>
      <x:c r="J568" s="28" t="n">
        <x:v>3</x:v>
      </x:c>
      <x:c r="K568" s="28" t="n">
        <x:v>6</x:v>
      </x:c>
      <x:c r="L568" s="28" t="n">
        <x:v>5</x:v>
      </x:c>
      <x:c r="M568" s="28" t="n">
        <x:v>7</x:v>
      </x:c>
      <x:c r="N568" s="28" t="n">
        <x:v>2</x:v>
      </x:c>
      <x:c r="O568" s="28" t="n">
        <x:v>1</x:v>
      </x:c>
      <x:c r="P568" s="28" t="n">
        <x:v>3</x:v>
      </x:c>
      <x:c r="Q568" s="24" t="n">
        <x:f>IFERROR(J568/H568,0)</x:f>
        <x:v>0.3333333333333333</x:v>
      </x:c>
      <x:c r="R568" s="24" t="n">
        <x:f>IFERROR(F568/H568,0)</x:f>
        <x:v>0.1111111111111111</x:v>
      </x:c>
      <x:c r="S568" s="24" t="n">
        <x:f>IFERROR(F568/J568,0)</x:f>
        <x:v>0.3333333333333333</x:v>
      </x:c>
      <x:c r="T568" s="28" t="n">
        <x:f>H568-I568</x:f>
        <x:v>-8</x:v>
      </x:c>
      <x:c r="U568" s="24" t="n">
        <x:f>IFERROR(J568/H568,0)-IFERROR(K568/I568,0)</x:f>
        <x:v>-0.019607843137254943</x:v>
      </x:c>
      <x:c r="V568" s="24" t="n">
        <x:f>IFERROR(F568/J568,0)-IFERROR(G568/K568,0)</x:f>
        <x:v>0.3333333333333333</x:v>
      </x:c>
      <x:c r="W568" s="28" t="n">
        <x:f>L568-M568</x:f>
        <x:v>-2</x:v>
      </x:c>
      <x:c r="X568" s="24" t="n">
        <x:f>IFERROR(K568/I568,0)</x:f>
        <x:v>0.35294117647058826</x:v>
      </x:c>
      <x:c r="Y568" s="24" t="n">
        <x:f>IFERROR(G568/I568,0)</x:f>
        <x:v>0</x:v>
      </x:c>
      <x:c r="Z568" s="24" t="n">
        <x:f>IFERROR(G568/K568,0)</x:f>
        <x:v>0</x:v>
      </x:c>
      <x:c r="AA568" s="24" t="n">
        <x:f>IFERROR(F568/H568,0)-IFERROR(G568/I568,0)</x:f>
        <x:v>0.1111111111111111</x:v>
      </x:c>
      <x:c r="AB568" s="28" t="n">
        <x:f>J568-K568</x:f>
        <x:v>-3</x:v>
      </x:c>
      <x:c r="AC568" s="32" t="n">
        <x:f>F568-G568</x:f>
        <x:v>1</x:v>
      </x:c>
    </x:row>
    <x:row r="569">
      <x:c r="A569" s="4" t="str">
        <x:v>2021-22</x:v>
      </x:c>
      <x:c r="B569" s="20" t="n">
        <x:v>44637</x:v>
      </x:c>
      <x:c r="C569" s="4" t="str">
        <x:v>Newcastle</x:v>
      </x:c>
      <x:c r="D569" s="4" t="str">
        <x:v>Everton</x:v>
      </x:c>
      <x:c r="E569" s="4" t="str">
        <x:v>Away</x:v>
      </x:c>
      <x:c r="F569" s="28" t="n">
        <x:v>0</x:v>
      </x:c>
      <x:c r="G569" s="28" t="n">
        <x:v>1</x:v>
      </x:c>
      <x:c r="H569" s="28" t="n">
        <x:v>17</x:v>
      </x:c>
      <x:c r="I569" s="28" t="n">
        <x:v>9</x:v>
      </x:c>
      <x:c r="J569" s="28" t="n">
        <x:v>6</x:v>
      </x:c>
      <x:c r="K569" s="28" t="n">
        <x:v>3</x:v>
      </x:c>
      <x:c r="L569" s="28" t="n">
        <x:v>7</x:v>
      </x:c>
      <x:c r="M569" s="28" t="n">
        <x:v>5</x:v>
      </x:c>
      <x:c r="N569" s="28" t="n">
        <x:v>1</x:v>
      </x:c>
      <x:c r="O569" s="28" t="n">
        <x:v>0</x:v>
      </x:c>
      <x:c r="P569" s="28" t="n">
        <x:v>0</x:v>
      </x:c>
      <x:c r="Q569" s="24" t="n">
        <x:f>IFERROR(J569/H569,0)</x:f>
        <x:v>0.35294117647058826</x:v>
      </x:c>
      <x:c r="R569" s="24" t="n">
        <x:f>IFERROR(F569/H569,0)</x:f>
        <x:v>0</x:v>
      </x:c>
      <x:c r="S569" s="24" t="n">
        <x:f>IFERROR(F569/J569,0)</x:f>
        <x:v>0</x:v>
      </x:c>
      <x:c r="T569" s="28" t="n">
        <x:f>H569-I569</x:f>
        <x:v>8</x:v>
      </x:c>
      <x:c r="U569" s="24" t="n">
        <x:f>IFERROR(J569/H569,0)-IFERROR(K569/I569,0)</x:f>
        <x:v>0.019607843137254943</x:v>
      </x:c>
      <x:c r="V569" s="24" t="n">
        <x:f>IFERROR(F569/J569,0)-IFERROR(G569/K569,0)</x:f>
        <x:v>-0.3333333333333333</x:v>
      </x:c>
      <x:c r="W569" s="28" t="n">
        <x:f>L569-M569</x:f>
        <x:v>2</x:v>
      </x:c>
      <x:c r="X569" s="24" t="n">
        <x:f>IFERROR(K569/I569,0)</x:f>
        <x:v>0.3333333333333333</x:v>
      </x:c>
      <x:c r="Y569" s="24" t="n">
        <x:f>IFERROR(G569/I569,0)</x:f>
        <x:v>0.1111111111111111</x:v>
      </x:c>
      <x:c r="Z569" s="24" t="n">
        <x:f>IFERROR(G569/K569,0)</x:f>
        <x:v>0.3333333333333333</x:v>
      </x:c>
      <x:c r="AA569" s="24" t="n">
        <x:f>IFERROR(F569/H569,0)-IFERROR(G569/I569,0)</x:f>
        <x:v>-0.1111111111111111</x:v>
      </x:c>
      <x:c r="AB569" s="28" t="n">
        <x:f>J569-K569</x:f>
        <x:v>3</x:v>
      </x:c>
      <x:c r="AC569" s="32" t="n">
        <x:f>F569-G569</x:f>
        <x:v>-1</x:v>
      </x:c>
    </x:row>
    <x:row r="570">
      <x:c r="A570" s="4" t="str">
        <x:v>2021-22</x:v>
      </x:c>
      <x:c r="B570" s="20" t="n">
        <x:v>44638</x:v>
      </x:c>
      <x:c r="C570" s="4" t="str">
        <x:v>Leeds</x:v>
      </x:c>
      <x:c r="D570" s="4" t="str">
        <x:v>Wolves</x:v>
      </x:c>
      <x:c r="E570" s="4" t="str">
        <x:v>Away</x:v>
      </x:c>
      <x:c r="F570" s="28" t="n">
        <x:v>3</x:v>
      </x:c>
      <x:c r="G570" s="28" t="n">
        <x:v>2</x:v>
      </x:c>
      <x:c r="H570" s="28" t="n">
        <x:v>15</x:v>
      </x:c>
      <x:c r="I570" s="28" t="n">
        <x:v>14</x:v>
      </x:c>
      <x:c r="J570" s="28" t="n">
        <x:v>6</x:v>
      </x:c>
      <x:c r="K570" s="28" t="n">
        <x:v>8</x:v>
      </x:c>
      <x:c r="L570" s="28" t="n">
        <x:v>5</x:v>
      </x:c>
      <x:c r="M570" s="28" t="n">
        <x:v>2</x:v>
      </x:c>
      <x:c r="N570" s="28" t="n">
        <x:v>4</x:v>
      </x:c>
      <x:c r="O570" s="28" t="n">
        <x:v>0</x:v>
      </x:c>
      <x:c r="P570" s="28" t="n">
        <x:v>3</x:v>
      </x:c>
      <x:c r="Q570" s="24" t="n">
        <x:f>IFERROR(J570/H570,0)</x:f>
        <x:v>0.4</x:v>
      </x:c>
      <x:c r="R570" s="24" t="n">
        <x:f>IFERROR(F570/H570,0)</x:f>
        <x:v>0.2</x:v>
      </x:c>
      <x:c r="S570" s="24" t="n">
        <x:f>IFERROR(F570/J570,0)</x:f>
        <x:v>0.5</x:v>
      </x:c>
      <x:c r="T570" s="28" t="n">
        <x:f>H570-I570</x:f>
        <x:v>1</x:v>
      </x:c>
      <x:c r="U570" s="24" t="n">
        <x:f>IFERROR(J570/H570,0)-IFERROR(K570/I570,0)</x:f>
        <x:v>-0.17142857142857137</x:v>
      </x:c>
      <x:c r="V570" s="24" t="n">
        <x:f>IFERROR(F570/J570,0)-IFERROR(G570/K570,0)</x:f>
        <x:v>0.25</x:v>
      </x:c>
      <x:c r="W570" s="28" t="n">
        <x:f>L570-M570</x:f>
        <x:v>3</x:v>
      </x:c>
      <x:c r="X570" s="24" t="n">
        <x:f>IFERROR(K570/I570,0)</x:f>
        <x:v>0.5714285714285714</x:v>
      </x:c>
      <x:c r="Y570" s="24" t="n">
        <x:f>IFERROR(G570/I570,0)</x:f>
        <x:v>0.14285714285714285</x:v>
      </x:c>
      <x:c r="Z570" s="24" t="n">
        <x:f>IFERROR(G570/K570,0)</x:f>
        <x:v>0.25</x:v>
      </x:c>
      <x:c r="AA570" s="24" t="n">
        <x:f>IFERROR(F570/H570,0)-IFERROR(G570/I570,0)</x:f>
        <x:v>0.05714285714285716</x:v>
      </x:c>
      <x:c r="AB570" s="28" t="n">
        <x:f>J570-K570</x:f>
        <x:v>-2</x:v>
      </x:c>
      <x:c r="AC570" s="32" t="n">
        <x:f>F570-G570</x:f>
        <x:v>1</x:v>
      </x:c>
    </x:row>
    <x:row r="571">
      <x:c r="A571" s="4" t="str">
        <x:v>2021-22</x:v>
      </x:c>
      <x:c r="B571" s="20" t="n">
        <x:v>44638</x:v>
      </x:c>
      <x:c r="C571" s="4" t="str">
        <x:v>Wolves</x:v>
      </x:c>
      <x:c r="D571" s="4" t="str">
        <x:v>Leeds</x:v>
      </x:c>
      <x:c r="E571" s="4" t="str">
        <x:v>Home</x:v>
      </x:c>
      <x:c r="F571" s="28" t="n">
        <x:v>2</x:v>
      </x:c>
      <x:c r="G571" s="28" t="n">
        <x:v>3</x:v>
      </x:c>
      <x:c r="H571" s="28" t="n">
        <x:v>14</x:v>
      </x:c>
      <x:c r="I571" s="28" t="n">
        <x:v>15</x:v>
      </x:c>
      <x:c r="J571" s="28" t="n">
        <x:v>8</x:v>
      </x:c>
      <x:c r="K571" s="28" t="n">
        <x:v>6</x:v>
      </x:c>
      <x:c r="L571" s="28" t="n">
        <x:v>2</x:v>
      </x:c>
      <x:c r="M571" s="28" t="n">
        <x:v>5</x:v>
      </x:c>
      <x:c r="N571" s="28" t="n">
        <x:v>1</x:v>
      </x:c>
      <x:c r="O571" s="28" t="n">
        <x:v>1</x:v>
      </x:c>
      <x:c r="P571" s="28" t="n">
        <x:v>0</x:v>
      </x:c>
      <x:c r="Q571" s="24" t="n">
        <x:f>IFERROR(J571/H571,0)</x:f>
        <x:v>0.5714285714285714</x:v>
      </x:c>
      <x:c r="R571" s="24" t="n">
        <x:f>IFERROR(F571/H571,0)</x:f>
        <x:v>0.14285714285714285</x:v>
      </x:c>
      <x:c r="S571" s="24" t="n">
        <x:f>IFERROR(F571/J571,0)</x:f>
        <x:v>0.25</x:v>
      </x:c>
      <x:c r="T571" s="28" t="n">
        <x:f>H571-I571</x:f>
        <x:v>-1</x:v>
      </x:c>
      <x:c r="U571" s="24" t="n">
        <x:f>IFERROR(J571/H571,0)-IFERROR(K571/I571,0)</x:f>
        <x:v>0.17142857142857137</x:v>
      </x:c>
      <x:c r="V571" s="24" t="n">
        <x:f>IFERROR(F571/J571,0)-IFERROR(G571/K571,0)</x:f>
        <x:v>-0.25</x:v>
      </x:c>
      <x:c r="W571" s="28" t="n">
        <x:f>L571-M571</x:f>
        <x:v>-3</x:v>
      </x:c>
      <x:c r="X571" s="24" t="n">
        <x:f>IFERROR(K571/I571,0)</x:f>
        <x:v>0.4</x:v>
      </x:c>
      <x:c r="Y571" s="24" t="n">
        <x:f>IFERROR(G571/I571,0)</x:f>
        <x:v>0.2</x:v>
      </x:c>
      <x:c r="Z571" s="24" t="n">
        <x:f>IFERROR(G571/K571,0)</x:f>
        <x:v>0.5</x:v>
      </x:c>
      <x:c r="AA571" s="24" t="n">
        <x:f>IFERROR(F571/H571,0)-IFERROR(G571/I571,0)</x:f>
        <x:v>-0.05714285714285716</x:v>
      </x:c>
      <x:c r="AB571" s="28" t="n">
        <x:f>J571-K571</x:f>
        <x:v>2</x:v>
      </x:c>
      <x:c r="AC571" s="32" t="n">
        <x:f>F571-G571</x:f>
        <x:v>-1</x:v>
      </x:c>
    </x:row>
    <x:row r="572">
      <x:c r="A572" s="4" t="str">
        <x:v>2021-22</x:v>
      </x:c>
      <x:c r="B572" s="20" t="n">
        <x:v>44639</x:v>
      </x:c>
      <x:c r="C572" s="4" t="str">
        <x:v>Arsenal</x:v>
      </x:c>
      <x:c r="D572" s="4" t="str">
        <x:v>Aston Villa</x:v>
      </x:c>
      <x:c r="E572" s="4" t="str">
        <x:v>Away</x:v>
      </x:c>
      <x:c r="F572" s="28" t="n">
        <x:v>1</x:v>
      </x:c>
      <x:c r="G572" s="28" t="n">
        <x:v>0</x:v>
      </x:c>
      <x:c r="H572" s="28" t="n">
        <x:v>10</x:v>
      </x:c>
      <x:c r="I572" s="28" t="n">
        <x:v>8</x:v>
      </x:c>
      <x:c r="J572" s="28" t="n">
        <x:v>3</x:v>
      </x:c>
      <x:c r="K572" s="28" t="n">
        <x:v>1</x:v>
      </x:c>
      <x:c r="L572" s="28" t="n">
        <x:v>5</x:v>
      </x:c>
      <x:c r="M572" s="28" t="n">
        <x:v>6</x:v>
      </x:c>
      <x:c r="N572" s="28" t="n">
        <x:v>3</x:v>
      </x:c>
      <x:c r="O572" s="28" t="n">
        <x:v>0</x:v>
      </x:c>
      <x:c r="P572" s="28" t="n">
        <x:v>3</x:v>
      </x:c>
      <x:c r="Q572" s="24" t="n">
        <x:f>IFERROR(J572/H572,0)</x:f>
        <x:v>0.3</x:v>
      </x:c>
      <x:c r="R572" s="24" t="n">
        <x:f>IFERROR(F572/H572,0)</x:f>
        <x:v>0.1</x:v>
      </x:c>
      <x:c r="S572" s="24" t="n">
        <x:f>IFERROR(F572/J572,0)</x:f>
        <x:v>0.3333333333333333</x:v>
      </x:c>
      <x:c r="T572" s="28" t="n">
        <x:f>H572-I572</x:f>
        <x:v>2</x:v>
      </x:c>
      <x:c r="U572" s="24" t="n">
        <x:f>IFERROR(J572/H572,0)-IFERROR(K572/I572,0)</x:f>
        <x:v>0.175</x:v>
      </x:c>
      <x:c r="V572" s="24" t="n">
        <x:f>IFERROR(F572/J572,0)-IFERROR(G572/K572,0)</x:f>
        <x:v>0.3333333333333333</x:v>
      </x:c>
      <x:c r="W572" s="28" t="n">
        <x:f>L572-M572</x:f>
        <x:v>-1</x:v>
      </x:c>
      <x:c r="X572" s="24" t="n">
        <x:f>IFERROR(K572/I572,0)</x:f>
        <x:v>0.125</x:v>
      </x:c>
      <x:c r="Y572" s="24" t="n">
        <x:f>IFERROR(G572/I572,0)</x:f>
        <x:v>0</x:v>
      </x:c>
      <x:c r="Z572" s="24" t="n">
        <x:f>IFERROR(G572/K572,0)</x:f>
        <x:v>0</x:v>
      </x:c>
      <x:c r="AA572" s="24" t="n">
        <x:f>IFERROR(F572/H572,0)-IFERROR(G572/I572,0)</x:f>
        <x:v>0.1</x:v>
      </x:c>
      <x:c r="AB572" s="28" t="n">
        <x:f>J572-K572</x:f>
        <x:v>2</x:v>
      </x:c>
      <x:c r="AC572" s="32" t="n">
        <x:f>F572-G572</x:f>
        <x:v>1</x:v>
      </x:c>
    </x:row>
    <x:row r="573">
      <x:c r="A573" s="4" t="str">
        <x:v>2021-22</x:v>
      </x:c>
      <x:c r="B573" s="20" t="n">
        <x:v>44639</x:v>
      </x:c>
      <x:c r="C573" s="4" t="str">
        <x:v>Aston Villa</x:v>
      </x:c>
      <x:c r="D573" s="4" t="str">
        <x:v>Arsenal</x:v>
      </x:c>
      <x:c r="E573" s="4" t="str">
        <x:v>Home</x:v>
      </x:c>
      <x:c r="F573" s="28" t="n">
        <x:v>0</x:v>
      </x:c>
      <x:c r="G573" s="28" t="n">
        <x:v>1</x:v>
      </x:c>
      <x:c r="H573" s="28" t="n">
        <x:v>8</x:v>
      </x:c>
      <x:c r="I573" s="28" t="n">
        <x:v>10</x:v>
      </x:c>
      <x:c r="J573" s="28" t="n">
        <x:v>1</x:v>
      </x:c>
      <x:c r="K573" s="28" t="n">
        <x:v>3</x:v>
      </x:c>
      <x:c r="L573" s="28" t="n">
        <x:v>6</x:v>
      </x:c>
      <x:c r="M573" s="28" t="n">
        <x:v>5</x:v>
      </x:c>
      <x:c r="N573" s="28" t="n">
        <x:v>3</x:v>
      </x:c>
      <x:c r="O573" s="28" t="n">
        <x:v>0</x:v>
      </x:c>
      <x:c r="P573" s="28" t="n">
        <x:v>0</x:v>
      </x:c>
      <x:c r="Q573" s="24" t="n">
        <x:f>IFERROR(J573/H573,0)</x:f>
        <x:v>0.125</x:v>
      </x:c>
      <x:c r="R573" s="24" t="n">
        <x:f>IFERROR(F573/H573,0)</x:f>
        <x:v>0</x:v>
      </x:c>
      <x:c r="S573" s="24" t="n">
        <x:f>IFERROR(F573/J573,0)</x:f>
        <x:v>0</x:v>
      </x:c>
      <x:c r="T573" s="28" t="n">
        <x:f>H573-I573</x:f>
        <x:v>-2</x:v>
      </x:c>
      <x:c r="U573" s="24" t="n">
        <x:f>IFERROR(J573/H573,0)-IFERROR(K573/I573,0)</x:f>
        <x:v>-0.175</x:v>
      </x:c>
      <x:c r="V573" s="24" t="n">
        <x:f>IFERROR(F573/J573,0)-IFERROR(G573/K573,0)</x:f>
        <x:v>-0.3333333333333333</x:v>
      </x:c>
      <x:c r="W573" s="28" t="n">
        <x:f>L573-M573</x:f>
        <x:v>1</x:v>
      </x:c>
      <x:c r="X573" s="24" t="n">
        <x:f>IFERROR(K573/I573,0)</x:f>
        <x:v>0.3</x:v>
      </x:c>
      <x:c r="Y573" s="24" t="n">
        <x:f>IFERROR(G573/I573,0)</x:f>
        <x:v>0.1</x:v>
      </x:c>
      <x:c r="Z573" s="24" t="n">
        <x:f>IFERROR(G573/K573,0)</x:f>
        <x:v>0.3333333333333333</x:v>
      </x:c>
      <x:c r="AA573" s="24" t="n">
        <x:f>IFERROR(F573/H573,0)-IFERROR(G573/I573,0)</x:f>
        <x:v>-0.1</x:v>
      </x:c>
      <x:c r="AB573" s="28" t="n">
        <x:f>J573-K573</x:f>
        <x:v>-2</x:v>
      </x:c>
      <x:c r="AC573" s="32" t="n">
        <x:f>F573-G573</x:f>
        <x:v>-1</x:v>
      </x:c>
    </x:row>
    <x:row r="574">
      <x:c r="A574" s="4" t="str">
        <x:v>2021-22</x:v>
      </x:c>
      <x:c r="B574" s="20" t="n">
        <x:v>44640</x:v>
      </x:c>
      <x:c r="C574" s="4" t="str">
        <x:v>Brentford</x:v>
      </x:c>
      <x:c r="D574" s="4" t="str">
        <x:v>Leicester</x:v>
      </x:c>
      <x:c r="E574" s="4" t="str">
        <x:v>Away</x:v>
      </x:c>
      <x:c r="F574" s="28" t="n">
        <x:v>1</x:v>
      </x:c>
      <x:c r="G574" s="28" t="n">
        <x:v>2</x:v>
      </x:c>
      <x:c r="H574" s="28" t="n">
        <x:v>15</x:v>
      </x:c>
      <x:c r="I574" s="28" t="n">
        <x:v>12</x:v>
      </x:c>
      <x:c r="J574" s="28" t="n">
        <x:v>6</x:v>
      </x:c>
      <x:c r="K574" s="28" t="n">
        <x:v>4</x:v>
      </x:c>
      <x:c r="L574" s="28" t="n">
        <x:v>5</x:v>
      </x:c>
      <x:c r="M574" s="28" t="n">
        <x:v>2</x:v>
      </x:c>
      <x:c r="N574" s="28" t="n">
        <x:v>2</x:v>
      </x:c>
      <x:c r="O574" s="28" t="n">
        <x:v>0</x:v>
      </x:c>
      <x:c r="P574" s="28" t="n">
        <x:v>0</x:v>
      </x:c>
      <x:c r="Q574" s="24" t="n">
        <x:f>IFERROR(J574/H574,0)</x:f>
        <x:v>0.4</x:v>
      </x:c>
      <x:c r="R574" s="24" t="n">
        <x:f>IFERROR(F574/H574,0)</x:f>
        <x:v>0.06666666666666667</x:v>
      </x:c>
      <x:c r="S574" s="24" t="n">
        <x:f>IFERROR(F574/J574,0)</x:f>
        <x:v>0.16666666666666666</x:v>
      </x:c>
      <x:c r="T574" s="28" t="n">
        <x:f>H574-I574</x:f>
        <x:v>3</x:v>
      </x:c>
      <x:c r="U574" s="24" t="n">
        <x:f>IFERROR(J574/H574,0)-IFERROR(K574/I574,0)</x:f>
        <x:v>0.06666666666666671</x:v>
      </x:c>
      <x:c r="V574" s="24" t="n">
        <x:f>IFERROR(F574/J574,0)-IFERROR(G574/K574,0)</x:f>
        <x:v>-0.33333333333333337</x:v>
      </x:c>
      <x:c r="W574" s="28" t="n">
        <x:f>L574-M574</x:f>
        <x:v>3</x:v>
      </x:c>
      <x:c r="X574" s="24" t="n">
        <x:f>IFERROR(K574/I574,0)</x:f>
        <x:v>0.3333333333333333</x:v>
      </x:c>
      <x:c r="Y574" s="24" t="n">
        <x:f>IFERROR(G574/I574,0)</x:f>
        <x:v>0.16666666666666666</x:v>
      </x:c>
      <x:c r="Z574" s="24" t="n">
        <x:f>IFERROR(G574/K574,0)</x:f>
        <x:v>0.5</x:v>
      </x:c>
      <x:c r="AA574" s="24" t="n">
        <x:f>IFERROR(F574/H574,0)-IFERROR(G574/I574,0)</x:f>
        <x:v>-0.09999999999999999</x:v>
      </x:c>
      <x:c r="AB574" s="28" t="n">
        <x:f>J574-K574</x:f>
        <x:v>2</x:v>
      </x:c>
      <x:c r="AC574" s="32" t="n">
        <x:f>F574-G574</x:f>
        <x:v>-1</x:v>
      </x:c>
    </x:row>
    <x:row r="575">
      <x:c r="A575" s="4" t="str">
        <x:v>2021-22</x:v>
      </x:c>
      <x:c r="B575" s="20" t="n">
        <x:v>44640</x:v>
      </x:c>
      <x:c r="C575" s="4" t="str">
        <x:v>Leicester</x:v>
      </x:c>
      <x:c r="D575" s="4" t="str">
        <x:v>Brentford</x:v>
      </x:c>
      <x:c r="E575" s="4" t="str">
        <x:v>Home</x:v>
      </x:c>
      <x:c r="F575" s="28" t="n">
        <x:v>2</x:v>
      </x:c>
      <x:c r="G575" s="28" t="n">
        <x:v>1</x:v>
      </x:c>
      <x:c r="H575" s="28" t="n">
        <x:v>12</x:v>
      </x:c>
      <x:c r="I575" s="28" t="n">
        <x:v>15</x:v>
      </x:c>
      <x:c r="J575" s="28" t="n">
        <x:v>4</x:v>
      </x:c>
      <x:c r="K575" s="28" t="n">
        <x:v>6</x:v>
      </x:c>
      <x:c r="L575" s="28" t="n">
        <x:v>2</x:v>
      </x:c>
      <x:c r="M575" s="28" t="n">
        <x:v>5</x:v>
      </x:c>
      <x:c r="N575" s="28" t="n">
        <x:v>1</x:v>
      </x:c>
      <x:c r="O575" s="28" t="n">
        <x:v>0</x:v>
      </x:c>
      <x:c r="P575" s="28" t="n">
        <x:v>3</x:v>
      </x:c>
      <x:c r="Q575" s="24" t="n">
        <x:f>IFERROR(J575/H575,0)</x:f>
        <x:v>0.3333333333333333</x:v>
      </x:c>
      <x:c r="R575" s="24" t="n">
        <x:f>IFERROR(F575/H575,0)</x:f>
        <x:v>0.16666666666666666</x:v>
      </x:c>
      <x:c r="S575" s="24" t="n">
        <x:f>IFERROR(F575/J575,0)</x:f>
        <x:v>0.5</x:v>
      </x:c>
      <x:c r="T575" s="28" t="n">
        <x:f>H575-I575</x:f>
        <x:v>-3</x:v>
      </x:c>
      <x:c r="U575" s="24" t="n">
        <x:f>IFERROR(J575/H575,0)-IFERROR(K575/I575,0)</x:f>
        <x:v>-0.06666666666666671</x:v>
      </x:c>
      <x:c r="V575" s="24" t="n">
        <x:f>IFERROR(F575/J575,0)-IFERROR(G575/K575,0)</x:f>
        <x:v>0.33333333333333337</x:v>
      </x:c>
      <x:c r="W575" s="28" t="n">
        <x:f>L575-M575</x:f>
        <x:v>-3</x:v>
      </x:c>
      <x:c r="X575" s="24" t="n">
        <x:f>IFERROR(K575/I575,0)</x:f>
        <x:v>0.4</x:v>
      </x:c>
      <x:c r="Y575" s="24" t="n">
        <x:f>IFERROR(G575/I575,0)</x:f>
        <x:v>0.06666666666666667</x:v>
      </x:c>
      <x:c r="Z575" s="24" t="n">
        <x:f>IFERROR(G575/K575,0)</x:f>
        <x:v>0.16666666666666666</x:v>
      </x:c>
      <x:c r="AA575" s="24" t="n">
        <x:f>IFERROR(F575/H575,0)-IFERROR(G575/I575,0)</x:f>
        <x:v>0.09999999999999999</x:v>
      </x:c>
      <x:c r="AB575" s="28" t="n">
        <x:f>J575-K575</x:f>
        <x:v>-2</x:v>
      </x:c>
      <x:c r="AC575" s="32" t="n">
        <x:f>F575-G575</x:f>
        <x:v>1</x:v>
      </x:c>
    </x:row>
    <x:row r="576">
      <x:c r="A576" s="4" t="str">
        <x:v>2021-22</x:v>
      </x:c>
      <x:c r="B576" s="20" t="n">
        <x:v>44640</x:v>
      </x:c>
      <x:c r="C576" s="4" t="str">
        <x:v>Tottenham</x:v>
      </x:c>
      <x:c r="D576" s="4" t="str">
        <x:v>West Ham</x:v>
      </x:c>
      <x:c r="E576" s="4" t="str">
        <x:v>Home</x:v>
      </x:c>
      <x:c r="F576" s="28" t="n">
        <x:v>3</x:v>
      </x:c>
      <x:c r="G576" s="28" t="n">
        <x:v>1</x:v>
      </x:c>
      <x:c r="H576" s="28" t="n">
        <x:v>17</x:v>
      </x:c>
      <x:c r="I576" s="28" t="n">
        <x:v>6</x:v>
      </x:c>
      <x:c r="J576" s="28" t="n">
        <x:v>4</x:v>
      </x:c>
      <x:c r="K576" s="28" t="n">
        <x:v>1</x:v>
      </x:c>
      <x:c r="L576" s="28" t="n">
        <x:v>5</x:v>
      </x:c>
      <x:c r="M576" s="28" t="n">
        <x:v>3</x:v>
      </x:c>
      <x:c r="N576" s="28" t="n">
        <x:v>0</x:v>
      </x:c>
      <x:c r="O576" s="28" t="n">
        <x:v>0</x:v>
      </x:c>
      <x:c r="P576" s="28" t="n">
        <x:v>3</x:v>
      </x:c>
      <x:c r="Q576" s="24" t="n">
        <x:f>IFERROR(J576/H576,0)</x:f>
        <x:v>0.23529411764705882</x:v>
      </x:c>
      <x:c r="R576" s="24" t="n">
        <x:f>IFERROR(F576/H576,0)</x:f>
        <x:v>0.17647058823529413</x:v>
      </x:c>
      <x:c r="S576" s="24" t="n">
        <x:f>IFERROR(F576/J576,0)</x:f>
        <x:v>0.75</x:v>
      </x:c>
      <x:c r="T576" s="28" t="n">
        <x:f>H576-I576</x:f>
        <x:v>11</x:v>
      </x:c>
      <x:c r="U576" s="24" t="n">
        <x:f>IFERROR(J576/H576,0)-IFERROR(K576/I576,0)</x:f>
        <x:v>0.06862745098039216</x:v>
      </x:c>
      <x:c r="V576" s="24" t="n">
        <x:f>IFERROR(F576/J576,0)-IFERROR(G576/K576,0)</x:f>
        <x:v>-0.25</x:v>
      </x:c>
      <x:c r="W576" s="28" t="n">
        <x:f>L576-M576</x:f>
        <x:v>2</x:v>
      </x:c>
      <x:c r="X576" s="24" t="n">
        <x:f>IFERROR(K576/I576,0)</x:f>
        <x:v>0.16666666666666666</x:v>
      </x:c>
      <x:c r="Y576" s="24" t="n">
        <x:f>IFERROR(G576/I576,0)</x:f>
        <x:v>0.16666666666666666</x:v>
      </x:c>
      <x:c r="Z576" s="24" t="n">
        <x:f>IFERROR(G576/K576,0)</x:f>
        <x:v>1</x:v>
      </x:c>
      <x:c r="AA576" s="24" t="n">
        <x:f>IFERROR(F576/H576,0)-IFERROR(G576/I576,0)</x:f>
        <x:v>0.009803921568627472</x:v>
      </x:c>
      <x:c r="AB576" s="28" t="n">
        <x:f>J576-K576</x:f>
        <x:v>3</x:v>
      </x:c>
      <x:c r="AC576" s="32" t="n">
        <x:f>F576-G576</x:f>
        <x:v>2</x:v>
      </x:c>
    </x:row>
    <x:row r="577">
      <x:c r="A577" s="4" t="str">
        <x:v>2021-22</x:v>
      </x:c>
      <x:c r="B577" s="20" t="n">
        <x:v>44640</x:v>
      </x:c>
      <x:c r="C577" s="4" t="str">
        <x:v>West Ham</x:v>
      </x:c>
      <x:c r="D577" s="4" t="str">
        <x:v>Tottenham</x:v>
      </x:c>
      <x:c r="E577" s="4" t="str">
        <x:v>Away</x:v>
      </x:c>
      <x:c r="F577" s="28" t="n">
        <x:v>1</x:v>
      </x:c>
      <x:c r="G577" s="28" t="n">
        <x:v>3</x:v>
      </x:c>
      <x:c r="H577" s="28" t="n">
        <x:v>6</x:v>
      </x:c>
      <x:c r="I577" s="28" t="n">
        <x:v>17</x:v>
      </x:c>
      <x:c r="J577" s="28" t="n">
        <x:v>1</x:v>
      </x:c>
      <x:c r="K577" s="28" t="n">
        <x:v>4</x:v>
      </x:c>
      <x:c r="L577" s="28" t="n">
        <x:v>3</x:v>
      </x:c>
      <x:c r="M577" s="28" t="n">
        <x:v>5</x:v>
      </x:c>
      <x:c r="N577" s="28" t="n">
        <x:v>1</x:v>
      </x:c>
      <x:c r="O577" s="28" t="n">
        <x:v>0</x:v>
      </x:c>
      <x:c r="P577" s="28" t="n">
        <x:v>0</x:v>
      </x:c>
      <x:c r="Q577" s="24" t="n">
        <x:f>IFERROR(J577/H577,0)</x:f>
        <x:v>0.16666666666666666</x:v>
      </x:c>
      <x:c r="R577" s="24" t="n">
        <x:f>IFERROR(F577/H577,0)</x:f>
        <x:v>0.16666666666666666</x:v>
      </x:c>
      <x:c r="S577" s="24" t="n">
        <x:f>IFERROR(F577/J577,0)</x:f>
        <x:v>1</x:v>
      </x:c>
      <x:c r="T577" s="28" t="n">
        <x:f>H577-I577</x:f>
        <x:v>-11</x:v>
      </x:c>
      <x:c r="U577" s="24" t="n">
        <x:f>IFERROR(J577/H577,0)-IFERROR(K577/I577,0)</x:f>
        <x:v>-0.06862745098039216</x:v>
      </x:c>
      <x:c r="V577" s="24" t="n">
        <x:f>IFERROR(F577/J577,0)-IFERROR(G577/K577,0)</x:f>
        <x:v>0.25</x:v>
      </x:c>
      <x:c r="W577" s="28" t="n">
        <x:f>L577-M577</x:f>
        <x:v>-2</x:v>
      </x:c>
      <x:c r="X577" s="24" t="n">
        <x:f>IFERROR(K577/I577,0)</x:f>
        <x:v>0.23529411764705882</x:v>
      </x:c>
      <x:c r="Y577" s="24" t="n">
        <x:f>IFERROR(G577/I577,0)</x:f>
        <x:v>0.17647058823529413</x:v>
      </x:c>
      <x:c r="Z577" s="24" t="n">
        <x:f>IFERROR(G577/K577,0)</x:f>
        <x:v>0.75</x:v>
      </x:c>
      <x:c r="AA577" s="24" t="n">
        <x:f>IFERROR(F577/H577,0)-IFERROR(G577/I577,0)</x:f>
        <x:v>-0.009803921568627472</x:v>
      </x:c>
      <x:c r="AB577" s="28" t="n">
        <x:f>J577-K577</x:f>
        <x:v>-3</x:v>
      </x:c>
      <x:c r="AC577" s="32" t="n">
        <x:f>F577-G577</x:f>
        <x:v>-2</x:v>
      </x:c>
    </x:row>
    <x:row r="578">
      <x:c r="A578" s="4" t="str">
        <x:v>2021-22</x:v>
      </x:c>
      <x:c r="B578" s="20" t="n">
        <x:v>44653</x:v>
      </x:c>
      <x:c r="C578" s="4" t="str">
        <x:v>Aston Villa</x:v>
      </x:c>
      <x:c r="D578" s="4" t="str">
        <x:v>Wolves</x:v>
      </x:c>
      <x:c r="E578" s="4" t="str">
        <x:v>Away</x:v>
      </x:c>
      <x:c r="F578" s="28" t="n">
        <x:v>1</x:v>
      </x:c>
      <x:c r="G578" s="28" t="n">
        <x:v>2</x:v>
      </x:c>
      <x:c r="H578" s="28" t="n">
        <x:v>15</x:v>
      </x:c>
      <x:c r="I578" s="28" t="n">
        <x:v>11</x:v>
      </x:c>
      <x:c r="J578" s="28" t="n">
        <x:v>5</x:v>
      </x:c>
      <x:c r="K578" s="28" t="n">
        <x:v>5</x:v>
      </x:c>
      <x:c r="L578" s="28" t="n">
        <x:v>9</x:v>
      </x:c>
      <x:c r="M578" s="28" t="n">
        <x:v>4</x:v>
      </x:c>
      <x:c r="N578" s="28" t="n">
        <x:v>3</x:v>
      </x:c>
      <x:c r="O578" s="28" t="n">
        <x:v>0</x:v>
      </x:c>
      <x:c r="P578" s="28" t="n">
        <x:v>0</x:v>
      </x:c>
      <x:c r="Q578" s="24" t="n">
        <x:f>IFERROR(J578/H578,0)</x:f>
        <x:v>0.3333333333333333</x:v>
      </x:c>
      <x:c r="R578" s="24" t="n">
        <x:f>IFERROR(F578/H578,0)</x:f>
        <x:v>0.06666666666666667</x:v>
      </x:c>
      <x:c r="S578" s="24" t="n">
        <x:f>IFERROR(F578/J578,0)</x:f>
        <x:v>0.2</x:v>
      </x:c>
      <x:c r="T578" s="28" t="n">
        <x:f>H578-I578</x:f>
        <x:v>4</x:v>
      </x:c>
      <x:c r="U578" s="24" t="n">
        <x:f>IFERROR(J578/H578,0)-IFERROR(K578/I578,0)</x:f>
        <x:v>-0.12121212121212122</x:v>
      </x:c>
      <x:c r="V578" s="24" t="n">
        <x:f>IFERROR(F578/J578,0)-IFERROR(G578/K578,0)</x:f>
        <x:v>-0.2</x:v>
      </x:c>
      <x:c r="W578" s="28" t="n">
        <x:f>L578-M578</x:f>
        <x:v>5</x:v>
      </x:c>
      <x:c r="X578" s="24" t="n">
        <x:f>IFERROR(K578/I578,0)</x:f>
        <x:v>0.45454545454545453</x:v>
      </x:c>
      <x:c r="Y578" s="24" t="n">
        <x:f>IFERROR(G578/I578,0)</x:f>
        <x:v>0.18181818181818182</x:v>
      </x:c>
      <x:c r="Z578" s="24" t="n">
        <x:f>IFERROR(G578/K578,0)</x:f>
        <x:v>0.4</x:v>
      </x:c>
      <x:c r="AA578" s="24" t="n">
        <x:f>IFERROR(F578/H578,0)-IFERROR(G578/I578,0)</x:f>
        <x:v>-0.11515151515151516</x:v>
      </x:c>
      <x:c r="AB578" s="28" t="n">
        <x:f>J578-K578</x:f>
        <x:v>0</x:v>
      </x:c>
      <x:c r="AC578" s="32" t="n">
        <x:f>F578-G578</x:f>
        <x:v>-1</x:v>
      </x:c>
    </x:row>
    <x:row r="579">
      <x:c r="A579" s="4" t="str">
        <x:v>2021-22</x:v>
      </x:c>
      <x:c r="B579" s="20" t="n">
        <x:v>44653</x:v>
      </x:c>
      <x:c r="C579" s="4" t="str">
        <x:v>Brentford</x:v>
      </x:c>
      <x:c r="D579" s="4" t="str">
        <x:v>Chelsea</x:v>
      </x:c>
      <x:c r="E579" s="4" t="str">
        <x:v>Away</x:v>
      </x:c>
      <x:c r="F579" s="28" t="n">
        <x:v>4</x:v>
      </x:c>
      <x:c r="G579" s="28" t="n">
        <x:v>1</x:v>
      </x:c>
      <x:c r="H579" s="28" t="n">
        <x:v>17</x:v>
      </x:c>
      <x:c r="I579" s="28" t="n">
        <x:v>21</x:v>
      </x:c>
      <x:c r="J579" s="28" t="n">
        <x:v>6</x:v>
      </x:c>
      <x:c r="K579" s="28" t="n">
        <x:v>8</x:v>
      </x:c>
      <x:c r="L579" s="28" t="n">
        <x:v>7</x:v>
      </x:c>
      <x:c r="M579" s="28" t="n">
        <x:v>12</x:v>
      </x:c>
      <x:c r="N579" s="28" t="n">
        <x:v>0</x:v>
      </x:c>
      <x:c r="O579" s="28" t="n">
        <x:v>0</x:v>
      </x:c>
      <x:c r="P579" s="28" t="n">
        <x:v>3</x:v>
      </x:c>
      <x:c r="Q579" s="24" t="n">
        <x:f>IFERROR(J579/H579,0)</x:f>
        <x:v>0.35294117647058826</x:v>
      </x:c>
      <x:c r="R579" s="24" t="n">
        <x:f>IFERROR(F579/H579,0)</x:f>
        <x:v>0.23529411764705882</x:v>
      </x:c>
      <x:c r="S579" s="24" t="n">
        <x:f>IFERROR(F579/J579,0)</x:f>
        <x:v>0.6666666666666666</x:v>
      </x:c>
      <x:c r="T579" s="28" t="n">
        <x:f>H579-I579</x:f>
        <x:v>-4</x:v>
      </x:c>
      <x:c r="U579" s="24" t="n">
        <x:f>IFERROR(J579/H579,0)-IFERROR(K579/I579,0)</x:f>
        <x:v>-0.028011204481792673</x:v>
      </x:c>
      <x:c r="V579" s="24" t="n">
        <x:f>IFERROR(F579/J579,0)-IFERROR(G579/K579,0)</x:f>
        <x:v>0.5416666666666666</x:v>
      </x:c>
      <x:c r="W579" s="28" t="n">
        <x:f>L579-M579</x:f>
        <x:v>-5</x:v>
      </x:c>
      <x:c r="X579" s="24" t="n">
        <x:f>IFERROR(K579/I579,0)</x:f>
        <x:v>0.38095238095238093</x:v>
      </x:c>
      <x:c r="Y579" s="24" t="n">
        <x:f>IFERROR(G579/I579,0)</x:f>
        <x:v>0.047619047619047616</x:v>
      </x:c>
      <x:c r="Z579" s="24" t="n">
        <x:f>IFERROR(G579/K579,0)</x:f>
        <x:v>0.125</x:v>
      </x:c>
      <x:c r="AA579" s="24" t="n">
        <x:f>IFERROR(F579/H579,0)-IFERROR(G579/I579,0)</x:f>
        <x:v>0.1876750700280112</x:v>
      </x:c>
      <x:c r="AB579" s="28" t="n">
        <x:f>J579-K579</x:f>
        <x:v>-2</x:v>
      </x:c>
      <x:c r="AC579" s="32" t="n">
        <x:f>F579-G579</x:f>
        <x:v>3</x:v>
      </x:c>
    </x:row>
    <x:row r="580">
      <x:c r="A580" s="4" t="str">
        <x:v>2021-22</x:v>
      </x:c>
      <x:c r="B580" s="20" t="n">
        <x:v>44653</x:v>
      </x:c>
      <x:c r="C580" s="4" t="str">
        <x:v>Brighton</x:v>
      </x:c>
      <x:c r="D580" s="4" t="str">
        <x:v>Norwich</x:v>
      </x:c>
      <x:c r="E580" s="4" t="str">
        <x:v>Home</x:v>
      </x:c>
      <x:c r="F580" s="28" t="n">
        <x:v>0</x:v>
      </x:c>
      <x:c r="G580" s="28" t="n">
        <x:v>0</x:v>
      </x:c>
      <x:c r="H580" s="28" t="n">
        <x:v>31</x:v>
      </x:c>
      <x:c r="I580" s="28" t="n">
        <x:v>6</x:v>
      </x:c>
      <x:c r="J580" s="28" t="n">
        <x:v>4</x:v>
      </x:c>
      <x:c r="K580" s="28" t="n">
        <x:v>0</x:v>
      </x:c>
      <x:c r="L580" s="28" t="n">
        <x:v>11</x:v>
      </x:c>
      <x:c r="M580" s="28" t="n">
        <x:v>2</x:v>
      </x:c>
      <x:c r="N580" s="28" t="n">
        <x:v>1</x:v>
      </x:c>
      <x:c r="O580" s="28" t="n">
        <x:v>0</x:v>
      </x:c>
      <x:c r="P580" s="28" t="n">
        <x:v>1</x:v>
      </x:c>
      <x:c r="Q580" s="24" t="n">
        <x:f>IFERROR(J580/H580,0)</x:f>
        <x:v>0.12903225806451613</x:v>
      </x:c>
      <x:c r="R580" s="24" t="n">
        <x:f>IFERROR(F580/H580,0)</x:f>
        <x:v>0</x:v>
      </x:c>
      <x:c r="S580" s="24" t="n">
        <x:f>IFERROR(F580/J580,0)</x:f>
        <x:v>0</x:v>
      </x:c>
      <x:c r="T580" s="28" t="n">
        <x:f>H580-I580</x:f>
        <x:v>25</x:v>
      </x:c>
      <x:c r="U580" s="24" t="n">
        <x:f>IFERROR(J580/H580,0)-IFERROR(K580/I580,0)</x:f>
        <x:v>0.12903225806451613</x:v>
      </x:c>
      <x:c r="V580" s="24" t="n">
        <x:f>IFERROR(F580/J580,0)-IFERROR(G580/K580,0)</x:f>
        <x:v>0</x:v>
      </x:c>
      <x:c r="W580" s="28" t="n">
        <x:f>L580-M580</x:f>
        <x:v>9</x:v>
      </x:c>
      <x:c r="X580" s="24" t="n">
        <x:f>IFERROR(K580/I580,0)</x:f>
        <x:v>0</x:v>
      </x:c>
      <x:c r="Y580" s="24" t="n">
        <x:f>IFERROR(G580/I580,0)</x:f>
        <x:v>0</x:v>
      </x:c>
      <x:c r="Z580" s="24" t="n">
        <x:f>IFERROR(G580/K580,0)</x:f>
        <x:v>0</x:v>
      </x:c>
      <x:c r="AA580" s="24" t="n">
        <x:f>IFERROR(F580/H580,0)-IFERROR(G580/I580,0)</x:f>
        <x:v>0</x:v>
      </x:c>
      <x:c r="AB580" s="28" t="n">
        <x:f>J580-K580</x:f>
        <x:v>4</x:v>
      </x:c>
      <x:c r="AC580" s="32" t="n">
        <x:f>F580-G580</x:f>
        <x:v>0</x:v>
      </x:c>
    </x:row>
    <x:row r="581">
      <x:c r="A581" s="4" t="str">
        <x:v>2021-22</x:v>
      </x:c>
      <x:c r="B581" s="20" t="n">
        <x:v>44653</x:v>
      </x:c>
      <x:c r="C581" s="4" t="str">
        <x:v>Burnley</x:v>
      </x:c>
      <x:c r="D581" s="4" t="str">
        <x:v>Man City</x:v>
      </x:c>
      <x:c r="E581" s="4" t="str">
        <x:v>Home</x:v>
      </x:c>
      <x:c r="F581" s="28" t="n">
        <x:v>0</x:v>
      </x:c>
      <x:c r="G581" s="28" t="n">
        <x:v>2</x:v>
      </x:c>
      <x:c r="H581" s="28" t="n">
        <x:v>3</x:v>
      </x:c>
      <x:c r="I581" s="28" t="n">
        <x:v>18</x:v>
      </x:c>
      <x:c r="J581" s="28" t="n">
        <x:v>1</x:v>
      </x:c>
      <x:c r="K581" s="28" t="n">
        <x:v>6</x:v>
      </x:c>
      <x:c r="L581" s="28" t="n">
        <x:v>1</x:v>
      </x:c>
      <x:c r="M581" s="28" t="n">
        <x:v>8</x:v>
      </x:c>
      <x:c r="N581" s="28" t="n">
        <x:v>1</x:v>
      </x:c>
      <x:c r="O581" s="28" t="n">
        <x:v>0</x:v>
      </x:c>
      <x:c r="P581" s="28" t="n">
        <x:v>0</x:v>
      </x:c>
      <x:c r="Q581" s="24" t="n">
        <x:f>IFERROR(J581/H581,0)</x:f>
        <x:v>0.3333333333333333</x:v>
      </x:c>
      <x:c r="R581" s="24" t="n">
        <x:f>IFERROR(F581/H581,0)</x:f>
        <x:v>0</x:v>
      </x:c>
      <x:c r="S581" s="24" t="n">
        <x:f>IFERROR(F581/J581,0)</x:f>
        <x:v>0</x:v>
      </x:c>
      <x:c r="T581" s="28" t="n">
        <x:f>H581-I581</x:f>
        <x:v>-15</x:v>
      </x:c>
      <x:c r="U581" s="24" t="n">
        <x:f>IFERROR(J581/H581,0)-IFERROR(K581/I581,0)</x:f>
        <x:v>0</x:v>
      </x:c>
      <x:c r="V581" s="24" t="n">
        <x:f>IFERROR(F581/J581,0)-IFERROR(G581/K581,0)</x:f>
        <x:v>-0.3333333333333333</x:v>
      </x:c>
      <x:c r="W581" s="28" t="n">
        <x:f>L581-M581</x:f>
        <x:v>-7</x:v>
      </x:c>
      <x:c r="X581" s="24" t="n">
        <x:f>IFERROR(K581/I581,0)</x:f>
        <x:v>0.3333333333333333</x:v>
      </x:c>
      <x:c r="Y581" s="24" t="n">
        <x:f>IFERROR(G581/I581,0)</x:f>
        <x:v>0.1111111111111111</x:v>
      </x:c>
      <x:c r="Z581" s="24" t="n">
        <x:f>IFERROR(G581/K581,0)</x:f>
        <x:v>0.3333333333333333</x:v>
      </x:c>
      <x:c r="AA581" s="24" t="n">
        <x:f>IFERROR(F581/H581,0)-IFERROR(G581/I581,0)</x:f>
        <x:v>-0.1111111111111111</x:v>
      </x:c>
      <x:c r="AB581" s="28" t="n">
        <x:f>J581-K581</x:f>
        <x:v>-5</x:v>
      </x:c>
      <x:c r="AC581" s="32" t="n">
        <x:f>F581-G581</x:f>
        <x:v>-2</x:v>
      </x:c>
    </x:row>
    <x:row r="582">
      <x:c r="A582" s="4" t="str">
        <x:v>2021-22</x:v>
      </x:c>
      <x:c r="B582" s="20" t="n">
        <x:v>44653</x:v>
      </x:c>
      <x:c r="C582" s="4" t="str">
        <x:v>Chelsea</x:v>
      </x:c>
      <x:c r="D582" s="4" t="str">
        <x:v>Brentford</x:v>
      </x:c>
      <x:c r="E582" s="4" t="str">
        <x:v>Home</x:v>
      </x:c>
      <x:c r="F582" s="28" t="n">
        <x:v>1</x:v>
      </x:c>
      <x:c r="G582" s="28" t="n">
        <x:v>4</x:v>
      </x:c>
      <x:c r="H582" s="28" t="n">
        <x:v>21</x:v>
      </x:c>
      <x:c r="I582" s="28" t="n">
        <x:v>17</x:v>
      </x:c>
      <x:c r="J582" s="28" t="n">
        <x:v>8</x:v>
      </x:c>
      <x:c r="K582" s="28" t="n">
        <x:v>6</x:v>
      </x:c>
      <x:c r="L582" s="28" t="n">
        <x:v>12</x:v>
      </x:c>
      <x:c r="M582" s="28" t="n">
        <x:v>7</x:v>
      </x:c>
      <x:c r="N582" s="28" t="n">
        <x:v>0</x:v>
      </x:c>
      <x:c r="O582" s="28" t="n">
        <x:v>0</x:v>
      </x:c>
      <x:c r="P582" s="28" t="n">
        <x:v>0</x:v>
      </x:c>
      <x:c r="Q582" s="24" t="n">
        <x:f>IFERROR(J582/H582,0)</x:f>
        <x:v>0.38095238095238093</x:v>
      </x:c>
      <x:c r="R582" s="24" t="n">
        <x:f>IFERROR(F582/H582,0)</x:f>
        <x:v>0.047619047619047616</x:v>
      </x:c>
      <x:c r="S582" s="24" t="n">
        <x:f>IFERROR(F582/J582,0)</x:f>
        <x:v>0.125</x:v>
      </x:c>
      <x:c r="T582" s="28" t="n">
        <x:f>H582-I582</x:f>
        <x:v>4</x:v>
      </x:c>
      <x:c r="U582" s="24" t="n">
        <x:f>IFERROR(J582/H582,0)-IFERROR(K582/I582,0)</x:f>
        <x:v>0.028011204481792673</x:v>
      </x:c>
      <x:c r="V582" s="24" t="n">
        <x:f>IFERROR(F582/J582,0)-IFERROR(G582/K582,0)</x:f>
        <x:v>-0.5416666666666666</x:v>
      </x:c>
      <x:c r="W582" s="28" t="n">
        <x:f>L582-M582</x:f>
        <x:v>5</x:v>
      </x:c>
      <x:c r="X582" s="24" t="n">
        <x:f>IFERROR(K582/I582,0)</x:f>
        <x:v>0.35294117647058826</x:v>
      </x:c>
      <x:c r="Y582" s="24" t="n">
        <x:f>IFERROR(G582/I582,0)</x:f>
        <x:v>0.23529411764705882</x:v>
      </x:c>
      <x:c r="Z582" s="24" t="n">
        <x:f>IFERROR(G582/K582,0)</x:f>
        <x:v>0.6666666666666666</x:v>
      </x:c>
      <x:c r="AA582" s="24" t="n">
        <x:f>IFERROR(F582/H582,0)-IFERROR(G582/I582,0)</x:f>
        <x:v>-0.1876750700280112</x:v>
      </x:c>
      <x:c r="AB582" s="28" t="n">
        <x:f>J582-K582</x:f>
        <x:v>2</x:v>
      </x:c>
      <x:c r="AC582" s="32" t="n">
        <x:f>F582-G582</x:f>
        <x:v>-3</x:v>
      </x:c>
    </x:row>
    <x:row r="583">
      <x:c r="A583" s="4" t="str">
        <x:v>2021-22</x:v>
      </x:c>
      <x:c r="B583" s="20" t="n">
        <x:v>44653</x:v>
      </x:c>
      <x:c r="C583" s="4" t="str">
        <x:v>Leeds</x:v>
      </x:c>
      <x:c r="D583" s="4" t="str">
        <x:v>Southampton</x:v>
      </x:c>
      <x:c r="E583" s="4" t="str">
        <x:v>Home</x:v>
      </x:c>
      <x:c r="F583" s="28" t="n">
        <x:v>1</x:v>
      </x:c>
      <x:c r="G583" s="28" t="n">
        <x:v>1</x:v>
      </x:c>
      <x:c r="H583" s="28" t="n">
        <x:v>12</x:v>
      </x:c>
      <x:c r="I583" s="28" t="n">
        <x:v>14</x:v>
      </x:c>
      <x:c r="J583" s="28" t="n">
        <x:v>3</x:v>
      </x:c>
      <x:c r="K583" s="28" t="n">
        <x:v>6</x:v>
      </x:c>
      <x:c r="L583" s="28" t="n">
        <x:v>4</x:v>
      </x:c>
      <x:c r="M583" s="28" t="n">
        <x:v>7</x:v>
      </x:c>
      <x:c r="N583" s="28" t="n">
        <x:v>1</x:v>
      </x:c>
      <x:c r="O583" s="28" t="n">
        <x:v>0</x:v>
      </x:c>
      <x:c r="P583" s="28" t="n">
        <x:v>1</x:v>
      </x:c>
      <x:c r="Q583" s="24" t="n">
        <x:f>IFERROR(J583/H583,0)</x:f>
        <x:v>0.25</x:v>
      </x:c>
      <x:c r="R583" s="24" t="n">
        <x:f>IFERROR(F583/H583,0)</x:f>
        <x:v>0.08333333333333333</x:v>
      </x:c>
      <x:c r="S583" s="24" t="n">
        <x:f>IFERROR(F583/J583,0)</x:f>
        <x:v>0.3333333333333333</x:v>
      </x:c>
      <x:c r="T583" s="28" t="n">
        <x:f>H583-I583</x:f>
        <x:v>-2</x:v>
      </x:c>
      <x:c r="U583" s="24" t="n">
        <x:f>IFERROR(J583/H583,0)-IFERROR(K583/I583,0)</x:f>
        <x:v>-0.17857142857142855</x:v>
      </x:c>
      <x:c r="V583" s="24" t="n">
        <x:f>IFERROR(F583/J583,0)-IFERROR(G583/K583,0)</x:f>
        <x:v>0.16666666666666666</x:v>
      </x:c>
      <x:c r="W583" s="28" t="n">
        <x:f>L583-M583</x:f>
        <x:v>-3</x:v>
      </x:c>
      <x:c r="X583" s="24" t="n">
        <x:f>IFERROR(K583/I583,0)</x:f>
        <x:v>0.42857142857142855</x:v>
      </x:c>
      <x:c r="Y583" s="24" t="n">
        <x:f>IFERROR(G583/I583,0)</x:f>
        <x:v>0.07142857142857142</x:v>
      </x:c>
      <x:c r="Z583" s="24" t="n">
        <x:f>IFERROR(G583/K583,0)</x:f>
        <x:v>0.16666666666666666</x:v>
      </x:c>
      <x:c r="AA583" s="24" t="n">
        <x:f>IFERROR(F583/H583,0)-IFERROR(G583/I583,0)</x:f>
        <x:v>0.011904761904761904</x:v>
      </x:c>
      <x:c r="AB583" s="28" t="n">
        <x:f>J583-K583</x:f>
        <x:v>-3</x:v>
      </x:c>
      <x:c r="AC583" s="32" t="n">
        <x:f>F583-G583</x:f>
        <x:v>0</x:v>
      </x:c>
    </x:row>
    <x:row r="584">
      <x:c r="A584" s="4" t="str">
        <x:v>2021-22</x:v>
      </x:c>
      <x:c r="B584" s="20" t="n">
        <x:v>44653</x:v>
      </x:c>
      <x:c r="C584" s="4" t="str">
        <x:v>Leicester</x:v>
      </x:c>
      <x:c r="D584" s="4" t="str">
        <x:v>Man United</x:v>
      </x:c>
      <x:c r="E584" s="4" t="str">
        <x:v>Away</x:v>
      </x:c>
      <x:c r="F584" s="28" t="n">
        <x:v>1</x:v>
      </x:c>
      <x:c r="G584" s="28" t="n">
        <x:v>1</x:v>
      </x:c>
      <x:c r="H584" s="28" t="n">
        <x:v>11</x:v>
      </x:c>
      <x:c r="I584" s="28" t="n">
        <x:v>11</x:v>
      </x:c>
      <x:c r="J584" s="28" t="n">
        <x:v>3</x:v>
      </x:c>
      <x:c r="K584" s="28" t="n">
        <x:v>5</x:v>
      </x:c>
      <x:c r="L584" s="28" t="n">
        <x:v>5</x:v>
      </x:c>
      <x:c r="M584" s="28" t="n">
        <x:v>6</x:v>
      </x:c>
      <x:c r="N584" s="28" t="n">
        <x:v>2</x:v>
      </x:c>
      <x:c r="O584" s="28" t="n">
        <x:v>0</x:v>
      </x:c>
      <x:c r="P584" s="28" t="n">
        <x:v>1</x:v>
      </x:c>
      <x:c r="Q584" s="24" t="n">
        <x:f>IFERROR(J584/H584,0)</x:f>
        <x:v>0.2727272727272727</x:v>
      </x:c>
      <x:c r="R584" s="24" t="n">
        <x:f>IFERROR(F584/H584,0)</x:f>
        <x:v>0.09090909090909091</x:v>
      </x:c>
      <x:c r="S584" s="24" t="n">
        <x:f>IFERROR(F584/J584,0)</x:f>
        <x:v>0.3333333333333333</x:v>
      </x:c>
      <x:c r="T584" s="28" t="n">
        <x:f>H584-I584</x:f>
        <x:v>0</x:v>
      </x:c>
      <x:c r="U584" s="24" t="n">
        <x:f>IFERROR(J584/H584,0)-IFERROR(K584/I584,0)</x:f>
        <x:v>-0.18181818181818182</x:v>
      </x:c>
      <x:c r="V584" s="24" t="n">
        <x:f>IFERROR(F584/J584,0)-IFERROR(G584/K584,0)</x:f>
        <x:v>0.1333333333333333</x:v>
      </x:c>
      <x:c r="W584" s="28" t="n">
        <x:f>L584-M584</x:f>
        <x:v>-1</x:v>
      </x:c>
      <x:c r="X584" s="24" t="n">
        <x:f>IFERROR(K584/I584,0)</x:f>
        <x:v>0.45454545454545453</x:v>
      </x:c>
      <x:c r="Y584" s="24" t="n">
        <x:f>IFERROR(G584/I584,0)</x:f>
        <x:v>0.09090909090909091</x:v>
      </x:c>
      <x:c r="Z584" s="24" t="n">
        <x:f>IFERROR(G584/K584,0)</x:f>
        <x:v>0.2</x:v>
      </x:c>
      <x:c r="AA584" s="24" t="n">
        <x:f>IFERROR(F584/H584,0)-IFERROR(G584/I584,0)</x:f>
        <x:v>0</x:v>
      </x:c>
      <x:c r="AB584" s="28" t="n">
        <x:f>J584-K584</x:f>
        <x:v>-2</x:v>
      </x:c>
      <x:c r="AC584" s="32" t="n">
        <x:f>F584-G584</x:f>
        <x:v>0</x:v>
      </x:c>
    </x:row>
    <x:row r="585">
      <x:c r="A585" s="4" t="str">
        <x:v>2021-22</x:v>
      </x:c>
      <x:c r="B585" s="20" t="n">
        <x:v>44653</x:v>
      </x:c>
      <x:c r="C585" s="4" t="str">
        <x:v>Liverpool</x:v>
      </x:c>
      <x:c r="D585" s="4" t="str">
        <x:v>Watford</x:v>
      </x:c>
      <x:c r="E585" s="4" t="str">
        <x:v>Home</x:v>
      </x:c>
      <x:c r="F585" s="28" t="n">
        <x:v>2</x:v>
      </x:c>
      <x:c r="G585" s="28" t="n">
        <x:v>0</x:v>
      </x:c>
      <x:c r="H585" s="28" t="n">
        <x:v>20</x:v>
      </x:c>
      <x:c r="I585" s="28" t="n">
        <x:v>5</x:v>
      </x:c>
      <x:c r="J585" s="28" t="n">
        <x:v>3</x:v>
      </x:c>
      <x:c r="K585" s="28" t="n">
        <x:v>2</x:v>
      </x:c>
      <x:c r="L585" s="28" t="n">
        <x:v>9</x:v>
      </x:c>
      <x:c r="M585" s="28" t="n">
        <x:v>3</x:v>
      </x:c>
      <x:c r="N585" s="28" t="n">
        <x:v>1</x:v>
      </x:c>
      <x:c r="O585" s="28" t="n">
        <x:v>0</x:v>
      </x:c>
      <x:c r="P585" s="28" t="n">
        <x:v>3</x:v>
      </x:c>
      <x:c r="Q585" s="24" t="n">
        <x:f>IFERROR(J585/H585,0)</x:f>
        <x:v>0.15</x:v>
      </x:c>
      <x:c r="R585" s="24" t="n">
        <x:f>IFERROR(F585/H585,0)</x:f>
        <x:v>0.1</x:v>
      </x:c>
      <x:c r="S585" s="24" t="n">
        <x:f>IFERROR(F585/J585,0)</x:f>
        <x:v>0.6666666666666666</x:v>
      </x:c>
      <x:c r="T585" s="28" t="n">
        <x:f>H585-I585</x:f>
        <x:v>15</x:v>
      </x:c>
      <x:c r="U585" s="24" t="n">
        <x:f>IFERROR(J585/H585,0)-IFERROR(K585/I585,0)</x:f>
        <x:v>-0.25</x:v>
      </x:c>
      <x:c r="V585" s="24" t="n">
        <x:f>IFERROR(F585/J585,0)-IFERROR(G585/K585,0)</x:f>
        <x:v>0.6666666666666666</x:v>
      </x:c>
      <x:c r="W585" s="28" t="n">
        <x:f>L585-M585</x:f>
        <x:v>6</x:v>
      </x:c>
      <x:c r="X585" s="24" t="n">
        <x:f>IFERROR(K585/I585,0)</x:f>
        <x:v>0.4</x:v>
      </x:c>
      <x:c r="Y585" s="24" t="n">
        <x:f>IFERROR(G585/I585,0)</x:f>
        <x:v>0</x:v>
      </x:c>
      <x:c r="Z585" s="24" t="n">
        <x:f>IFERROR(G585/K585,0)</x:f>
        <x:v>0</x:v>
      </x:c>
      <x:c r="AA585" s="24" t="n">
        <x:f>IFERROR(F585/H585,0)-IFERROR(G585/I585,0)</x:f>
        <x:v>0.1</x:v>
      </x:c>
      <x:c r="AB585" s="28" t="n">
        <x:f>J585-K585</x:f>
        <x:v>1</x:v>
      </x:c>
      <x:c r="AC585" s="32" t="n">
        <x:f>F585-G585</x:f>
        <x:v>2</x:v>
      </x:c>
    </x:row>
    <x:row r="586">
      <x:c r="A586" s="4" t="str">
        <x:v>2021-22</x:v>
      </x:c>
      <x:c r="B586" s="20" t="n">
        <x:v>44653</x:v>
      </x:c>
      <x:c r="C586" s="4" t="str">
        <x:v>Man City</x:v>
      </x:c>
      <x:c r="D586" s="4" t="str">
        <x:v>Burnley</x:v>
      </x:c>
      <x:c r="E586" s="4" t="str">
        <x:v>Away</x:v>
      </x:c>
      <x:c r="F586" s="28" t="n">
        <x:v>2</x:v>
      </x:c>
      <x:c r="G586" s="28" t="n">
        <x:v>0</x:v>
      </x:c>
      <x:c r="H586" s="28" t="n">
        <x:v>18</x:v>
      </x:c>
      <x:c r="I586" s="28" t="n">
        <x:v>3</x:v>
      </x:c>
      <x:c r="J586" s="28" t="n">
        <x:v>6</x:v>
      </x:c>
      <x:c r="K586" s="28" t="n">
        <x:v>1</x:v>
      </x:c>
      <x:c r="L586" s="28" t="n">
        <x:v>8</x:v>
      </x:c>
      <x:c r="M586" s="28" t="n">
        <x:v>1</x:v>
      </x:c>
      <x:c r="N586" s="28" t="n">
        <x:v>0</x:v>
      </x:c>
      <x:c r="O586" s="28" t="n">
        <x:v>0</x:v>
      </x:c>
      <x:c r="P586" s="28" t="n">
        <x:v>3</x:v>
      </x:c>
      <x:c r="Q586" s="24" t="n">
        <x:f>IFERROR(J586/H586,0)</x:f>
        <x:v>0.3333333333333333</x:v>
      </x:c>
      <x:c r="R586" s="24" t="n">
        <x:f>IFERROR(F586/H586,0)</x:f>
        <x:v>0.1111111111111111</x:v>
      </x:c>
      <x:c r="S586" s="24" t="n">
        <x:f>IFERROR(F586/J586,0)</x:f>
        <x:v>0.3333333333333333</x:v>
      </x:c>
      <x:c r="T586" s="28" t="n">
        <x:f>H586-I586</x:f>
        <x:v>15</x:v>
      </x:c>
      <x:c r="U586" s="24" t="n">
        <x:f>IFERROR(J586/H586,0)-IFERROR(K586/I586,0)</x:f>
        <x:v>0</x:v>
      </x:c>
      <x:c r="V586" s="24" t="n">
        <x:f>IFERROR(F586/J586,0)-IFERROR(G586/K586,0)</x:f>
        <x:v>0.3333333333333333</x:v>
      </x:c>
      <x:c r="W586" s="28" t="n">
        <x:f>L586-M586</x:f>
        <x:v>7</x:v>
      </x:c>
      <x:c r="X586" s="24" t="n">
        <x:f>IFERROR(K586/I586,0)</x:f>
        <x:v>0.3333333333333333</x:v>
      </x:c>
      <x:c r="Y586" s="24" t="n">
        <x:f>IFERROR(G586/I586,0)</x:f>
        <x:v>0</x:v>
      </x:c>
      <x:c r="Z586" s="24" t="n">
        <x:f>IFERROR(G586/K586,0)</x:f>
        <x:v>0</x:v>
      </x:c>
      <x:c r="AA586" s="24" t="n">
        <x:f>IFERROR(F586/H586,0)-IFERROR(G586/I586,0)</x:f>
        <x:v>0.1111111111111111</x:v>
      </x:c>
      <x:c r="AB586" s="28" t="n">
        <x:f>J586-K586</x:f>
        <x:v>5</x:v>
      </x:c>
      <x:c r="AC586" s="32" t="n">
        <x:f>F586-G586</x:f>
        <x:v>2</x:v>
      </x:c>
    </x:row>
    <x:row r="587">
      <x:c r="A587" s="4" t="str">
        <x:v>2021-22</x:v>
      </x:c>
      <x:c r="B587" s="20" t="n">
        <x:v>44653</x:v>
      </x:c>
      <x:c r="C587" s="4" t="str">
        <x:v>Man United</x:v>
      </x:c>
      <x:c r="D587" s="4" t="str">
        <x:v>Leicester</x:v>
      </x:c>
      <x:c r="E587" s="4" t="str">
        <x:v>Home</x:v>
      </x:c>
      <x:c r="F587" s="28" t="n">
        <x:v>1</x:v>
      </x:c>
      <x:c r="G587" s="28" t="n">
        <x:v>1</x:v>
      </x:c>
      <x:c r="H587" s="28" t="n">
        <x:v>11</x:v>
      </x:c>
      <x:c r="I587" s="28" t="n">
        <x:v>11</x:v>
      </x:c>
      <x:c r="J587" s="28" t="n">
        <x:v>5</x:v>
      </x:c>
      <x:c r="K587" s="28" t="n">
        <x:v>3</x:v>
      </x:c>
      <x:c r="L587" s="28" t="n">
        <x:v>6</x:v>
      </x:c>
      <x:c r="M587" s="28" t="n">
        <x:v>5</x:v>
      </x:c>
      <x:c r="N587" s="28" t="n">
        <x:v>2</x:v>
      </x:c>
      <x:c r="O587" s="28" t="n">
        <x:v>0</x:v>
      </x:c>
      <x:c r="P587" s="28" t="n">
        <x:v>1</x:v>
      </x:c>
      <x:c r="Q587" s="24" t="n">
        <x:f>IFERROR(J587/H587,0)</x:f>
        <x:v>0.45454545454545453</x:v>
      </x:c>
      <x:c r="R587" s="24" t="n">
        <x:f>IFERROR(F587/H587,0)</x:f>
        <x:v>0.09090909090909091</x:v>
      </x:c>
      <x:c r="S587" s="24" t="n">
        <x:f>IFERROR(F587/J587,0)</x:f>
        <x:v>0.2</x:v>
      </x:c>
      <x:c r="T587" s="28" t="n">
        <x:f>H587-I587</x:f>
        <x:v>0</x:v>
      </x:c>
      <x:c r="U587" s="24" t="n">
        <x:f>IFERROR(J587/H587,0)-IFERROR(K587/I587,0)</x:f>
        <x:v>0.18181818181818182</x:v>
      </x:c>
      <x:c r="V587" s="24" t="n">
        <x:f>IFERROR(F587/J587,0)-IFERROR(G587/K587,0)</x:f>
        <x:v>-0.1333333333333333</x:v>
      </x:c>
      <x:c r="W587" s="28" t="n">
        <x:f>L587-M587</x:f>
        <x:v>1</x:v>
      </x:c>
      <x:c r="X587" s="24" t="n">
        <x:f>IFERROR(K587/I587,0)</x:f>
        <x:v>0.2727272727272727</x:v>
      </x:c>
      <x:c r="Y587" s="24" t="n">
        <x:f>IFERROR(G587/I587,0)</x:f>
        <x:v>0.09090909090909091</x:v>
      </x:c>
      <x:c r="Z587" s="24" t="n">
        <x:f>IFERROR(G587/K587,0)</x:f>
        <x:v>0.3333333333333333</x:v>
      </x:c>
      <x:c r="AA587" s="24" t="n">
        <x:f>IFERROR(F587/H587,0)-IFERROR(G587/I587,0)</x:f>
        <x:v>0</x:v>
      </x:c>
      <x:c r="AB587" s="28" t="n">
        <x:f>J587-K587</x:f>
        <x:v>2</x:v>
      </x:c>
      <x:c r="AC587" s="32" t="n">
        <x:f>F587-G587</x:f>
        <x:v>0</x:v>
      </x:c>
    </x:row>
    <x:row r="588">
      <x:c r="A588" s="4" t="str">
        <x:v>2021-22</x:v>
      </x:c>
      <x:c r="B588" s="20" t="n">
        <x:v>44653</x:v>
      </x:c>
      <x:c r="C588" s="4" t="str">
        <x:v>Norwich</x:v>
      </x:c>
      <x:c r="D588" s="4" t="str">
        <x:v>Brighton</x:v>
      </x:c>
      <x:c r="E588" s="4" t="str">
        <x:v>Away</x:v>
      </x:c>
      <x:c r="F588" s="28" t="n">
        <x:v>0</x:v>
      </x:c>
      <x:c r="G588" s="28" t="n">
        <x:v>0</x:v>
      </x:c>
      <x:c r="H588" s="28" t="n">
        <x:v>6</x:v>
      </x:c>
      <x:c r="I588" s="28" t="n">
        <x:v>31</x:v>
      </x:c>
      <x:c r="J588" s="28" t="n">
        <x:v>0</x:v>
      </x:c>
      <x:c r="K588" s="28" t="n">
        <x:v>4</x:v>
      </x:c>
      <x:c r="L588" s="28" t="n">
        <x:v>2</x:v>
      </x:c>
      <x:c r="M588" s="28" t="n">
        <x:v>11</x:v>
      </x:c>
      <x:c r="N588" s="28" t="n">
        <x:v>1</x:v>
      </x:c>
      <x:c r="O588" s="28" t="n">
        <x:v>0</x:v>
      </x:c>
      <x:c r="P588" s="28" t="n">
        <x:v>1</x:v>
      </x:c>
      <x:c r="Q588" s="24" t="n">
        <x:f>IFERROR(J588/H588,0)</x:f>
        <x:v>0</x:v>
      </x:c>
      <x:c r="R588" s="24" t="n">
        <x:f>IFERROR(F588/H588,0)</x:f>
        <x:v>0</x:v>
      </x:c>
      <x:c r="S588" s="24" t="n">
        <x:f>IFERROR(F588/J588,0)</x:f>
        <x:v>0</x:v>
      </x:c>
      <x:c r="T588" s="28" t="n">
        <x:f>H588-I588</x:f>
        <x:v>-25</x:v>
      </x:c>
      <x:c r="U588" s="24" t="n">
        <x:f>IFERROR(J588/H588,0)-IFERROR(K588/I588,0)</x:f>
        <x:v>-0.12903225806451613</x:v>
      </x:c>
      <x:c r="V588" s="24" t="n">
        <x:f>IFERROR(F588/J588,0)-IFERROR(G588/K588,0)</x:f>
        <x:v>0</x:v>
      </x:c>
      <x:c r="W588" s="28" t="n">
        <x:f>L588-M588</x:f>
        <x:v>-9</x:v>
      </x:c>
      <x:c r="X588" s="24" t="n">
        <x:f>IFERROR(K588/I588,0)</x:f>
        <x:v>0.12903225806451613</x:v>
      </x:c>
      <x:c r="Y588" s="24" t="n">
        <x:f>IFERROR(G588/I588,0)</x:f>
        <x:v>0</x:v>
      </x:c>
      <x:c r="Z588" s="24" t="n">
        <x:f>IFERROR(G588/K588,0)</x:f>
        <x:v>0</x:v>
      </x:c>
      <x:c r="AA588" s="24" t="n">
        <x:f>IFERROR(F588/H588,0)-IFERROR(G588/I588,0)</x:f>
        <x:v>0</x:v>
      </x:c>
      <x:c r="AB588" s="28" t="n">
        <x:f>J588-K588</x:f>
        <x:v>-4</x:v>
      </x:c>
      <x:c r="AC588" s="32" t="n">
        <x:f>F588-G588</x:f>
        <x:v>0</x:v>
      </x:c>
    </x:row>
    <x:row r="589">
      <x:c r="A589" s="4" t="str">
        <x:v>2021-22</x:v>
      </x:c>
      <x:c r="B589" s="20" t="n">
        <x:v>44653</x:v>
      </x:c>
      <x:c r="C589" s="4" t="str">
        <x:v>Southampton</x:v>
      </x:c>
      <x:c r="D589" s="4" t="str">
        <x:v>Leeds</x:v>
      </x:c>
      <x:c r="E589" s="4" t="str">
        <x:v>Away</x:v>
      </x:c>
      <x:c r="F589" s="28" t="n">
        <x:v>1</x:v>
      </x:c>
      <x:c r="G589" s="28" t="n">
        <x:v>1</x:v>
      </x:c>
      <x:c r="H589" s="28" t="n">
        <x:v>14</x:v>
      </x:c>
      <x:c r="I589" s="28" t="n">
        <x:v>12</x:v>
      </x:c>
      <x:c r="J589" s="28" t="n">
        <x:v>6</x:v>
      </x:c>
      <x:c r="K589" s="28" t="n">
        <x:v>3</x:v>
      </x:c>
      <x:c r="L589" s="28" t="n">
        <x:v>7</x:v>
      </x:c>
      <x:c r="M589" s="28" t="n">
        <x:v>4</x:v>
      </x:c>
      <x:c r="N589" s="28" t="n">
        <x:v>1</x:v>
      </x:c>
      <x:c r="O589" s="28" t="n">
        <x:v>0</x:v>
      </x:c>
      <x:c r="P589" s="28" t="n">
        <x:v>1</x:v>
      </x:c>
      <x:c r="Q589" s="24" t="n">
        <x:f>IFERROR(J589/H589,0)</x:f>
        <x:v>0.42857142857142855</x:v>
      </x:c>
      <x:c r="R589" s="24" t="n">
        <x:f>IFERROR(F589/H589,0)</x:f>
        <x:v>0.07142857142857142</x:v>
      </x:c>
      <x:c r="S589" s="24" t="n">
        <x:f>IFERROR(F589/J589,0)</x:f>
        <x:v>0.16666666666666666</x:v>
      </x:c>
      <x:c r="T589" s="28" t="n">
        <x:f>H589-I589</x:f>
        <x:v>2</x:v>
      </x:c>
      <x:c r="U589" s="24" t="n">
        <x:f>IFERROR(J589/H589,0)-IFERROR(K589/I589,0)</x:f>
        <x:v>0.17857142857142855</x:v>
      </x:c>
      <x:c r="V589" s="24" t="n">
        <x:f>IFERROR(F589/J589,0)-IFERROR(G589/K589,0)</x:f>
        <x:v>-0.16666666666666666</x:v>
      </x:c>
      <x:c r="W589" s="28" t="n">
        <x:f>L589-M589</x:f>
        <x:v>3</x:v>
      </x:c>
      <x:c r="X589" s="24" t="n">
        <x:f>IFERROR(K589/I589,0)</x:f>
        <x:v>0.25</x:v>
      </x:c>
      <x:c r="Y589" s="24" t="n">
        <x:f>IFERROR(G589/I589,0)</x:f>
        <x:v>0.08333333333333333</x:v>
      </x:c>
      <x:c r="Z589" s="24" t="n">
        <x:f>IFERROR(G589/K589,0)</x:f>
        <x:v>0.3333333333333333</x:v>
      </x:c>
      <x:c r="AA589" s="24" t="n">
        <x:f>IFERROR(F589/H589,0)-IFERROR(G589/I589,0)</x:f>
        <x:v>-0.011904761904761904</x:v>
      </x:c>
      <x:c r="AB589" s="28" t="n">
        <x:f>J589-K589</x:f>
        <x:v>3</x:v>
      </x:c>
      <x:c r="AC589" s="32" t="n">
        <x:f>F589-G589</x:f>
        <x:v>0</x:v>
      </x:c>
    </x:row>
    <x:row r="590">
      <x:c r="A590" s="4" t="str">
        <x:v>2021-22</x:v>
      </x:c>
      <x:c r="B590" s="20" t="n">
        <x:v>44653</x:v>
      </x:c>
      <x:c r="C590" s="4" t="str">
        <x:v>Watford</x:v>
      </x:c>
      <x:c r="D590" s="4" t="str">
        <x:v>Liverpool</x:v>
      </x:c>
      <x:c r="E590" s="4" t="str">
        <x:v>Away</x:v>
      </x:c>
      <x:c r="F590" s="28" t="n">
        <x:v>0</x:v>
      </x:c>
      <x:c r="G590" s="28" t="n">
        <x:v>2</x:v>
      </x:c>
      <x:c r="H590" s="28" t="n">
        <x:v>5</x:v>
      </x:c>
      <x:c r="I590" s="28" t="n">
        <x:v>20</x:v>
      </x:c>
      <x:c r="J590" s="28" t="n">
        <x:v>2</x:v>
      </x:c>
      <x:c r="K590" s="28" t="n">
        <x:v>3</x:v>
      </x:c>
      <x:c r="L590" s="28" t="n">
        <x:v>3</x:v>
      </x:c>
      <x:c r="M590" s="28" t="n">
        <x:v>9</x:v>
      </x:c>
      <x:c r="N590" s="28" t="n">
        <x:v>1</x:v>
      </x:c>
      <x:c r="O590" s="28" t="n">
        <x:v>0</x:v>
      </x:c>
      <x:c r="P590" s="28" t="n">
        <x:v>0</x:v>
      </x:c>
      <x:c r="Q590" s="24" t="n">
        <x:f>IFERROR(J590/H590,0)</x:f>
        <x:v>0.4</x:v>
      </x:c>
      <x:c r="R590" s="24" t="n">
        <x:f>IFERROR(F590/H590,0)</x:f>
        <x:v>0</x:v>
      </x:c>
      <x:c r="S590" s="24" t="n">
        <x:f>IFERROR(F590/J590,0)</x:f>
        <x:v>0</x:v>
      </x:c>
      <x:c r="T590" s="28" t="n">
        <x:f>H590-I590</x:f>
        <x:v>-15</x:v>
      </x:c>
      <x:c r="U590" s="24" t="n">
        <x:f>IFERROR(J590/H590,0)-IFERROR(K590/I590,0)</x:f>
        <x:v>0.25</x:v>
      </x:c>
      <x:c r="V590" s="24" t="n">
        <x:f>IFERROR(F590/J590,0)-IFERROR(G590/K590,0)</x:f>
        <x:v>-0.6666666666666666</x:v>
      </x:c>
      <x:c r="W590" s="28" t="n">
        <x:f>L590-M590</x:f>
        <x:v>-6</x:v>
      </x:c>
      <x:c r="X590" s="24" t="n">
        <x:f>IFERROR(K590/I590,0)</x:f>
        <x:v>0.15</x:v>
      </x:c>
      <x:c r="Y590" s="24" t="n">
        <x:f>IFERROR(G590/I590,0)</x:f>
        <x:v>0.1</x:v>
      </x:c>
      <x:c r="Z590" s="24" t="n">
        <x:f>IFERROR(G590/K590,0)</x:f>
        <x:v>0.6666666666666666</x:v>
      </x:c>
      <x:c r="AA590" s="24" t="n">
        <x:f>IFERROR(F590/H590,0)-IFERROR(G590/I590,0)</x:f>
        <x:v>-0.1</x:v>
      </x:c>
      <x:c r="AB590" s="28" t="n">
        <x:f>J590-K590</x:f>
        <x:v>-1</x:v>
      </x:c>
      <x:c r="AC590" s="32" t="n">
        <x:f>F590-G590</x:f>
        <x:v>-2</x:v>
      </x:c>
    </x:row>
    <x:row r="591">
      <x:c r="A591" s="4" t="str">
        <x:v>2021-22</x:v>
      </x:c>
      <x:c r="B591" s="20" t="n">
        <x:v>44653</x:v>
      </x:c>
      <x:c r="C591" s="4" t="str">
        <x:v>Wolves</x:v>
      </x:c>
      <x:c r="D591" s="4" t="str">
        <x:v>Aston Villa</x:v>
      </x:c>
      <x:c r="E591" s="4" t="str">
        <x:v>Home</x:v>
      </x:c>
      <x:c r="F591" s="28" t="n">
        <x:v>2</x:v>
      </x:c>
      <x:c r="G591" s="28" t="n">
        <x:v>1</x:v>
      </x:c>
      <x:c r="H591" s="28" t="n">
        <x:v>11</x:v>
      </x:c>
      <x:c r="I591" s="28" t="n">
        <x:v>15</x:v>
      </x:c>
      <x:c r="J591" s="28" t="n">
        <x:v>5</x:v>
      </x:c>
      <x:c r="K591" s="28" t="n">
        <x:v>5</x:v>
      </x:c>
      <x:c r="L591" s="28" t="n">
        <x:v>4</x:v>
      </x:c>
      <x:c r="M591" s="28" t="n">
        <x:v>9</x:v>
      </x:c>
      <x:c r="N591" s="28" t="n">
        <x:v>4</x:v>
      </x:c>
      <x:c r="O591" s="28" t="n">
        <x:v>0</x:v>
      </x:c>
      <x:c r="P591" s="28" t="n">
        <x:v>3</x:v>
      </x:c>
      <x:c r="Q591" s="24" t="n">
        <x:f>IFERROR(J591/H591,0)</x:f>
        <x:v>0.45454545454545453</x:v>
      </x:c>
      <x:c r="R591" s="24" t="n">
        <x:f>IFERROR(F591/H591,0)</x:f>
        <x:v>0.18181818181818182</x:v>
      </x:c>
      <x:c r="S591" s="24" t="n">
        <x:f>IFERROR(F591/J591,0)</x:f>
        <x:v>0.4</x:v>
      </x:c>
      <x:c r="T591" s="28" t="n">
        <x:f>H591-I591</x:f>
        <x:v>-4</x:v>
      </x:c>
      <x:c r="U591" s="24" t="n">
        <x:f>IFERROR(J591/H591,0)-IFERROR(K591/I591,0)</x:f>
        <x:v>0.12121212121212122</x:v>
      </x:c>
      <x:c r="V591" s="24" t="n">
        <x:f>IFERROR(F591/J591,0)-IFERROR(G591/K591,0)</x:f>
        <x:v>0.2</x:v>
      </x:c>
      <x:c r="W591" s="28" t="n">
        <x:f>L591-M591</x:f>
        <x:v>-5</x:v>
      </x:c>
      <x:c r="X591" s="24" t="n">
        <x:f>IFERROR(K591/I591,0)</x:f>
        <x:v>0.3333333333333333</x:v>
      </x:c>
      <x:c r="Y591" s="24" t="n">
        <x:f>IFERROR(G591/I591,0)</x:f>
        <x:v>0.06666666666666667</x:v>
      </x:c>
      <x:c r="Z591" s="24" t="n">
        <x:f>IFERROR(G591/K591,0)</x:f>
        <x:v>0.2</x:v>
      </x:c>
      <x:c r="AA591" s="24" t="n">
        <x:f>IFERROR(F591/H591,0)-IFERROR(G591/I591,0)</x:f>
        <x:v>0.11515151515151516</x:v>
      </x:c>
      <x:c r="AB591" s="28" t="n">
        <x:f>J591-K591</x:f>
        <x:v>0</x:v>
      </x:c>
      <x:c r="AC591" s="32" t="n">
        <x:f>F591-G591</x:f>
        <x:v>1</x:v>
      </x:c>
    </x:row>
    <x:row r="592">
      <x:c r="A592" s="4" t="str">
        <x:v>2021-22</x:v>
      </x:c>
      <x:c r="B592" s="20" t="n">
        <x:v>44654</x:v>
      </x:c>
      <x:c r="C592" s="4" t="str">
        <x:v>Everton</x:v>
      </x:c>
      <x:c r="D592" s="4" t="str">
        <x:v>West Ham</x:v>
      </x:c>
      <x:c r="E592" s="4" t="str">
        <x:v>Away</x:v>
      </x:c>
      <x:c r="F592" s="28" t="n">
        <x:v>1</x:v>
      </x:c>
      <x:c r="G592" s="28" t="n">
        <x:v>2</x:v>
      </x:c>
      <x:c r="H592" s="28" t="n">
        <x:v>13</x:v>
      </x:c>
      <x:c r="I592" s="28" t="n">
        <x:v>11</x:v>
      </x:c>
      <x:c r="J592" s="28" t="n">
        <x:v>2</x:v>
      </x:c>
      <x:c r="K592" s="28" t="n">
        <x:v>5</x:v>
      </x:c>
      <x:c r="L592" s="28" t="n">
        <x:v>4</x:v>
      </x:c>
      <x:c r="M592" s="28" t="n">
        <x:v>2</x:v>
      </x:c>
      <x:c r="N592" s="28" t="n">
        <x:v>1</x:v>
      </x:c>
      <x:c r="O592" s="28" t="n">
        <x:v>1</x:v>
      </x:c>
      <x:c r="P592" s="28" t="n">
        <x:v>0</x:v>
      </x:c>
      <x:c r="Q592" s="24" t="n">
        <x:f>IFERROR(J592/H592,0)</x:f>
        <x:v>0.15384615384615385</x:v>
      </x:c>
      <x:c r="R592" s="24" t="n">
        <x:f>IFERROR(F592/H592,0)</x:f>
        <x:v>0.07692307692307693</x:v>
      </x:c>
      <x:c r="S592" s="24" t="n">
        <x:f>IFERROR(F592/J592,0)</x:f>
        <x:v>0.5</x:v>
      </x:c>
      <x:c r="T592" s="28" t="n">
        <x:f>H592-I592</x:f>
        <x:v>2</x:v>
      </x:c>
      <x:c r="U592" s="24" t="n">
        <x:f>IFERROR(J592/H592,0)-IFERROR(K592/I592,0)</x:f>
        <x:v>-0.3006993006993007</x:v>
      </x:c>
      <x:c r="V592" s="24" t="n">
        <x:f>IFERROR(F592/J592,0)-IFERROR(G592/K592,0)</x:f>
        <x:v>0.09999999999999998</x:v>
      </x:c>
      <x:c r="W592" s="28" t="n">
        <x:f>L592-M592</x:f>
        <x:v>2</x:v>
      </x:c>
      <x:c r="X592" s="24" t="n">
        <x:f>IFERROR(K592/I592,0)</x:f>
        <x:v>0.45454545454545453</x:v>
      </x:c>
      <x:c r="Y592" s="24" t="n">
        <x:f>IFERROR(G592/I592,0)</x:f>
        <x:v>0.18181818181818182</x:v>
      </x:c>
      <x:c r="Z592" s="24" t="n">
        <x:f>IFERROR(G592/K592,0)</x:f>
        <x:v>0.4</x:v>
      </x:c>
      <x:c r="AA592" s="24" t="n">
        <x:f>IFERROR(F592/H592,0)-IFERROR(G592/I592,0)</x:f>
        <x:v>-0.1048951048951049</x:v>
      </x:c>
      <x:c r="AB592" s="28" t="n">
        <x:f>J592-K592</x:f>
        <x:v>-3</x:v>
      </x:c>
      <x:c r="AC592" s="32" t="n">
        <x:f>F592-G592</x:f>
        <x:v>-1</x:v>
      </x:c>
    </x:row>
    <x:row r="593">
      <x:c r="A593" s="4" t="str">
        <x:v>2021-22</x:v>
      </x:c>
      <x:c r="B593" s="20" t="n">
        <x:v>44654</x:v>
      </x:c>
      <x:c r="C593" s="4" t="str">
        <x:v>Newcastle</x:v>
      </x:c>
      <x:c r="D593" s="4" t="str">
        <x:v>Tottenham</x:v>
      </x:c>
      <x:c r="E593" s="4" t="str">
        <x:v>Away</x:v>
      </x:c>
      <x:c r="F593" s="28" t="n">
        <x:v>1</x:v>
      </x:c>
      <x:c r="G593" s="28" t="n">
        <x:v>5</x:v>
      </x:c>
      <x:c r="H593" s="28" t="n">
        <x:v>8</x:v>
      </x:c>
      <x:c r="I593" s="28" t="n">
        <x:v>19</x:v>
      </x:c>
      <x:c r="J593" s="28" t="n">
        <x:v>1</x:v>
      </x:c>
      <x:c r="K593" s="28" t="n">
        <x:v>6</x:v>
      </x:c>
      <x:c r="L593" s="28" t="n">
        <x:v>3</x:v>
      </x:c>
      <x:c r="M593" s="28" t="n">
        <x:v>2</x:v>
      </x:c>
      <x:c r="N593" s="28" t="n">
        <x:v>3</x:v>
      </x:c>
      <x:c r="O593" s="28" t="n">
        <x:v>0</x:v>
      </x:c>
      <x:c r="P593" s="28" t="n">
        <x:v>0</x:v>
      </x:c>
      <x:c r="Q593" s="24" t="n">
        <x:f>IFERROR(J593/H593,0)</x:f>
        <x:v>0.125</x:v>
      </x:c>
      <x:c r="R593" s="24" t="n">
        <x:f>IFERROR(F593/H593,0)</x:f>
        <x:v>0.125</x:v>
      </x:c>
      <x:c r="S593" s="24" t="n">
        <x:f>IFERROR(F593/J593,0)</x:f>
        <x:v>1</x:v>
      </x:c>
      <x:c r="T593" s="28" t="n">
        <x:f>H593-I593</x:f>
        <x:v>-11</x:v>
      </x:c>
      <x:c r="U593" s="24" t="n">
        <x:f>IFERROR(J593/H593,0)-IFERROR(K593/I593,0)</x:f>
        <x:v>-0.1907894736842105</x:v>
      </x:c>
      <x:c r="V593" s="24" t="n">
        <x:f>IFERROR(F593/J593,0)-IFERROR(G593/K593,0)</x:f>
        <x:v>0.16666666666666663</x:v>
      </x:c>
      <x:c r="W593" s="28" t="n">
        <x:f>L593-M593</x:f>
        <x:v>1</x:v>
      </x:c>
      <x:c r="X593" s="24" t="n">
        <x:f>IFERROR(K593/I593,0)</x:f>
        <x:v>0.3157894736842105</x:v>
      </x:c>
      <x:c r="Y593" s="24" t="n">
        <x:f>IFERROR(G593/I593,0)</x:f>
        <x:v>0.2631578947368421</x:v>
      </x:c>
      <x:c r="Z593" s="24" t="n">
        <x:f>IFERROR(G593/K593,0)</x:f>
        <x:v>0.8333333333333334</x:v>
      </x:c>
      <x:c r="AA593" s="24" t="n">
        <x:f>IFERROR(F593/H593,0)-IFERROR(G593/I593,0)</x:f>
        <x:v>-0.1381578947368421</x:v>
      </x:c>
      <x:c r="AB593" s="28" t="n">
        <x:f>J593-K593</x:f>
        <x:v>-5</x:v>
      </x:c>
      <x:c r="AC593" s="32" t="n">
        <x:f>F593-G593</x:f>
        <x:v>-4</x:v>
      </x:c>
    </x:row>
    <x:row r="594">
      <x:c r="A594" s="4" t="str">
        <x:v>2021-22</x:v>
      </x:c>
      <x:c r="B594" s="20" t="n">
        <x:v>44654</x:v>
      </x:c>
      <x:c r="C594" s="4" t="str">
        <x:v>Tottenham</x:v>
      </x:c>
      <x:c r="D594" s="4" t="str">
        <x:v>Newcastle</x:v>
      </x:c>
      <x:c r="E594" s="4" t="str">
        <x:v>Home</x:v>
      </x:c>
      <x:c r="F594" s="28" t="n">
        <x:v>5</x:v>
      </x:c>
      <x:c r="G594" s="28" t="n">
        <x:v>1</x:v>
      </x:c>
      <x:c r="H594" s="28" t="n">
        <x:v>19</x:v>
      </x:c>
      <x:c r="I594" s="28" t="n">
        <x:v>8</x:v>
      </x:c>
      <x:c r="J594" s="28" t="n">
        <x:v>6</x:v>
      </x:c>
      <x:c r="K594" s="28" t="n">
        <x:v>1</x:v>
      </x:c>
      <x:c r="L594" s="28" t="n">
        <x:v>2</x:v>
      </x:c>
      <x:c r="M594" s="28" t="n">
        <x:v>3</x:v>
      </x:c>
      <x:c r="N594" s="28" t="n">
        <x:v>2</x:v>
      </x:c>
      <x:c r="O594" s="28" t="n">
        <x:v>0</x:v>
      </x:c>
      <x:c r="P594" s="28" t="n">
        <x:v>3</x:v>
      </x:c>
      <x:c r="Q594" s="24" t="n">
        <x:f>IFERROR(J594/H594,0)</x:f>
        <x:v>0.3157894736842105</x:v>
      </x:c>
      <x:c r="R594" s="24" t="n">
        <x:f>IFERROR(F594/H594,0)</x:f>
        <x:v>0.2631578947368421</x:v>
      </x:c>
      <x:c r="S594" s="24" t="n">
        <x:f>IFERROR(F594/J594,0)</x:f>
        <x:v>0.8333333333333334</x:v>
      </x:c>
      <x:c r="T594" s="28" t="n">
        <x:f>H594-I594</x:f>
        <x:v>11</x:v>
      </x:c>
      <x:c r="U594" s="24" t="n">
        <x:f>IFERROR(J594/H594,0)-IFERROR(K594/I594,0)</x:f>
        <x:v>0.1907894736842105</x:v>
      </x:c>
      <x:c r="V594" s="24" t="n">
        <x:f>IFERROR(F594/J594,0)-IFERROR(G594/K594,0)</x:f>
        <x:v>-0.16666666666666663</x:v>
      </x:c>
      <x:c r="W594" s="28" t="n">
        <x:f>L594-M594</x:f>
        <x:v>-1</x:v>
      </x:c>
      <x:c r="X594" s="24" t="n">
        <x:f>IFERROR(K594/I594,0)</x:f>
        <x:v>0.125</x:v>
      </x:c>
      <x:c r="Y594" s="24" t="n">
        <x:f>IFERROR(G594/I594,0)</x:f>
        <x:v>0.125</x:v>
      </x:c>
      <x:c r="Z594" s="24" t="n">
        <x:f>IFERROR(G594/K594,0)</x:f>
        <x:v>1</x:v>
      </x:c>
      <x:c r="AA594" s="24" t="n">
        <x:f>IFERROR(F594/H594,0)-IFERROR(G594/I594,0)</x:f>
        <x:v>0.1381578947368421</x:v>
      </x:c>
      <x:c r="AB594" s="28" t="n">
        <x:f>J594-K594</x:f>
        <x:v>5</x:v>
      </x:c>
      <x:c r="AC594" s="32" t="n">
        <x:f>F594-G594</x:f>
        <x:v>4</x:v>
      </x:c>
    </x:row>
    <x:row r="595">
      <x:c r="A595" s="4" t="str">
        <x:v>2021-22</x:v>
      </x:c>
      <x:c r="B595" s="20" t="n">
        <x:v>44654</x:v>
      </x:c>
      <x:c r="C595" s="4" t="str">
        <x:v>West Ham</x:v>
      </x:c>
      <x:c r="D595" s="4" t="str">
        <x:v>Everton</x:v>
      </x:c>
      <x:c r="E595" s="4" t="str">
        <x:v>Home</x:v>
      </x:c>
      <x:c r="F595" s="28" t="n">
        <x:v>2</x:v>
      </x:c>
      <x:c r="G595" s="28" t="n">
        <x:v>1</x:v>
      </x:c>
      <x:c r="H595" s="28" t="n">
        <x:v>11</x:v>
      </x:c>
      <x:c r="I595" s="28" t="n">
        <x:v>13</x:v>
      </x:c>
      <x:c r="J595" s="28" t="n">
        <x:v>5</x:v>
      </x:c>
      <x:c r="K595" s="28" t="n">
        <x:v>2</x:v>
      </x:c>
      <x:c r="L595" s="28" t="n">
        <x:v>2</x:v>
      </x:c>
      <x:c r="M595" s="28" t="n">
        <x:v>4</x:v>
      </x:c>
      <x:c r="N595" s="28" t="n">
        <x:v>1</x:v>
      </x:c>
      <x:c r="O595" s="28" t="n">
        <x:v>0</x:v>
      </x:c>
      <x:c r="P595" s="28" t="n">
        <x:v>3</x:v>
      </x:c>
      <x:c r="Q595" s="24" t="n">
        <x:f>IFERROR(J595/H595,0)</x:f>
        <x:v>0.45454545454545453</x:v>
      </x:c>
      <x:c r="R595" s="24" t="n">
        <x:f>IFERROR(F595/H595,0)</x:f>
        <x:v>0.18181818181818182</x:v>
      </x:c>
      <x:c r="S595" s="24" t="n">
        <x:f>IFERROR(F595/J595,0)</x:f>
        <x:v>0.4</x:v>
      </x:c>
      <x:c r="T595" s="28" t="n">
        <x:f>H595-I595</x:f>
        <x:v>-2</x:v>
      </x:c>
      <x:c r="U595" s="24" t="n">
        <x:f>IFERROR(J595/H595,0)-IFERROR(K595/I595,0)</x:f>
        <x:v>0.3006993006993007</x:v>
      </x:c>
      <x:c r="V595" s="24" t="n">
        <x:f>IFERROR(F595/J595,0)-IFERROR(G595/K595,0)</x:f>
        <x:v>-0.09999999999999998</x:v>
      </x:c>
      <x:c r="W595" s="28" t="n">
        <x:f>L595-M595</x:f>
        <x:v>-2</x:v>
      </x:c>
      <x:c r="X595" s="24" t="n">
        <x:f>IFERROR(K595/I595,0)</x:f>
        <x:v>0.15384615384615385</x:v>
      </x:c>
      <x:c r="Y595" s="24" t="n">
        <x:f>IFERROR(G595/I595,0)</x:f>
        <x:v>0.07692307692307693</x:v>
      </x:c>
      <x:c r="Z595" s="24" t="n">
        <x:f>IFERROR(G595/K595,0)</x:f>
        <x:v>0.5</x:v>
      </x:c>
      <x:c r="AA595" s="24" t="n">
        <x:f>IFERROR(F595/H595,0)-IFERROR(G595/I595,0)</x:f>
        <x:v>0.1048951048951049</x:v>
      </x:c>
      <x:c r="AB595" s="28" t="n">
        <x:f>J595-K595</x:f>
        <x:v>3</x:v>
      </x:c>
      <x:c r="AC595" s="32" t="n">
        <x:f>F595-G595</x:f>
        <x:v>1</x:v>
      </x:c>
    </x:row>
    <x:row r="596">
      <x:c r="A596" s="4" t="str">
        <x:v>2021-22</x:v>
      </x:c>
      <x:c r="B596" s="20" t="n">
        <x:v>44655</x:v>
      </x:c>
      <x:c r="C596" s="4" t="str">
        <x:v>Arsenal</x:v>
      </x:c>
      <x:c r="D596" s="4" t="str">
        <x:v>Crystal Palace</x:v>
      </x:c>
      <x:c r="E596" s="4" t="str">
        <x:v>Away</x:v>
      </x:c>
      <x:c r="F596" s="28" t="n">
        <x:v>0</x:v>
      </x:c>
      <x:c r="G596" s="28" t="n">
        <x:v>3</x:v>
      </x:c>
      <x:c r="H596" s="28" t="n">
        <x:v>12</x:v>
      </x:c>
      <x:c r="I596" s="28" t="n">
        <x:v>6</x:v>
      </x:c>
      <x:c r="J596" s="28" t="n">
        <x:v>3</x:v>
      </x:c>
      <x:c r="K596" s="28" t="n">
        <x:v>5</x:v>
      </x:c>
      <x:c r="L596" s="28" t="n">
        <x:v>2</x:v>
      </x:c>
      <x:c r="M596" s="28" t="n">
        <x:v>0</x:v>
      </x:c>
      <x:c r="N596" s="28" t="n">
        <x:v>2</x:v>
      </x:c>
      <x:c r="O596" s="28" t="n">
        <x:v>0</x:v>
      </x:c>
      <x:c r="P596" s="28" t="n">
        <x:v>0</x:v>
      </x:c>
      <x:c r="Q596" s="24" t="n">
        <x:f>IFERROR(J596/H596,0)</x:f>
        <x:v>0.25</x:v>
      </x:c>
      <x:c r="R596" s="24" t="n">
        <x:f>IFERROR(F596/H596,0)</x:f>
        <x:v>0</x:v>
      </x:c>
      <x:c r="S596" s="24" t="n">
        <x:f>IFERROR(F596/J596,0)</x:f>
        <x:v>0</x:v>
      </x:c>
      <x:c r="T596" s="28" t="n">
        <x:f>H596-I596</x:f>
        <x:v>6</x:v>
      </x:c>
      <x:c r="U596" s="24" t="n">
        <x:f>IFERROR(J596/H596,0)-IFERROR(K596/I596,0)</x:f>
        <x:v>-0.5833333333333334</x:v>
      </x:c>
      <x:c r="V596" s="24" t="n">
        <x:f>IFERROR(F596/J596,0)-IFERROR(G596/K596,0)</x:f>
        <x:v>-0.6</x:v>
      </x:c>
      <x:c r="W596" s="28" t="n">
        <x:f>L596-M596</x:f>
        <x:v>2</x:v>
      </x:c>
      <x:c r="X596" s="24" t="n">
        <x:f>IFERROR(K596/I596,0)</x:f>
        <x:v>0.8333333333333334</x:v>
      </x:c>
      <x:c r="Y596" s="24" t="n">
        <x:f>IFERROR(G596/I596,0)</x:f>
        <x:v>0.5</x:v>
      </x:c>
      <x:c r="Z596" s="24" t="n">
        <x:f>IFERROR(G596/K596,0)</x:f>
        <x:v>0.6</x:v>
      </x:c>
      <x:c r="AA596" s="24" t="n">
        <x:f>IFERROR(F596/H596,0)-IFERROR(G596/I596,0)</x:f>
        <x:v>-0.5</x:v>
      </x:c>
      <x:c r="AB596" s="28" t="n">
        <x:f>J596-K596</x:f>
        <x:v>-2</x:v>
      </x:c>
      <x:c r="AC596" s="32" t="n">
        <x:f>F596-G596</x:f>
        <x:v>-3</x:v>
      </x:c>
    </x:row>
    <x:row r="597">
      <x:c r="A597" s="4" t="str">
        <x:v>2021-22</x:v>
      </x:c>
      <x:c r="B597" s="20" t="n">
        <x:v>44655</x:v>
      </x:c>
      <x:c r="C597" s="4" t="str">
        <x:v>Crystal Palace</x:v>
      </x:c>
      <x:c r="D597" s="4" t="str">
        <x:v>Arsenal</x:v>
      </x:c>
      <x:c r="E597" s="4" t="str">
        <x:v>Home</x:v>
      </x:c>
      <x:c r="F597" s="28" t="n">
        <x:v>3</x:v>
      </x:c>
      <x:c r="G597" s="28" t="n">
        <x:v>0</x:v>
      </x:c>
      <x:c r="H597" s="28" t="n">
        <x:v>6</x:v>
      </x:c>
      <x:c r="I597" s="28" t="n">
        <x:v>12</x:v>
      </x:c>
      <x:c r="J597" s="28" t="n">
        <x:v>5</x:v>
      </x:c>
      <x:c r="K597" s="28" t="n">
        <x:v>3</x:v>
      </x:c>
      <x:c r="L597" s="28" t="n">
        <x:v>0</x:v>
      </x:c>
      <x:c r="M597" s="28" t="n">
        <x:v>2</x:v>
      </x:c>
      <x:c r="N597" s="28" t="n">
        <x:v>0</x:v>
      </x:c>
      <x:c r="O597" s="28" t="n">
        <x:v>0</x:v>
      </x:c>
      <x:c r="P597" s="28" t="n">
        <x:v>3</x:v>
      </x:c>
      <x:c r="Q597" s="24" t="n">
        <x:f>IFERROR(J597/H597,0)</x:f>
        <x:v>0.8333333333333334</x:v>
      </x:c>
      <x:c r="R597" s="24" t="n">
        <x:f>IFERROR(F597/H597,0)</x:f>
        <x:v>0.5</x:v>
      </x:c>
      <x:c r="S597" s="24" t="n">
        <x:f>IFERROR(F597/J597,0)</x:f>
        <x:v>0.6</x:v>
      </x:c>
      <x:c r="T597" s="28" t="n">
        <x:f>H597-I597</x:f>
        <x:v>-6</x:v>
      </x:c>
      <x:c r="U597" s="24" t="n">
        <x:f>IFERROR(J597/H597,0)-IFERROR(K597/I597,0)</x:f>
        <x:v>0.5833333333333334</x:v>
      </x:c>
      <x:c r="V597" s="24" t="n">
        <x:f>IFERROR(F597/J597,0)-IFERROR(G597/K597,0)</x:f>
        <x:v>0.6</x:v>
      </x:c>
      <x:c r="W597" s="28" t="n">
        <x:f>L597-M597</x:f>
        <x:v>-2</x:v>
      </x:c>
      <x:c r="X597" s="24" t="n">
        <x:f>IFERROR(K597/I597,0)</x:f>
        <x:v>0.25</x:v>
      </x:c>
      <x:c r="Y597" s="24" t="n">
        <x:f>IFERROR(G597/I597,0)</x:f>
        <x:v>0</x:v>
      </x:c>
      <x:c r="Z597" s="24" t="n">
        <x:f>IFERROR(G597/K597,0)</x:f>
        <x:v>0</x:v>
      </x:c>
      <x:c r="AA597" s="24" t="n">
        <x:f>IFERROR(F597/H597,0)-IFERROR(G597/I597,0)</x:f>
        <x:v>0.5</x:v>
      </x:c>
      <x:c r="AB597" s="28" t="n">
        <x:f>J597-K597</x:f>
        <x:v>2</x:v>
      </x:c>
      <x:c r="AC597" s="32" t="n">
        <x:f>F597-G597</x:f>
        <x:v>3</x:v>
      </x:c>
    </x:row>
    <x:row r="598">
      <x:c r="A598" s="4" t="str">
        <x:v>2021-22</x:v>
      </x:c>
      <x:c r="B598" s="20" t="n">
        <x:v>44657</x:v>
      </x:c>
      <x:c r="C598" s="4" t="str">
        <x:v>Burnley</x:v>
      </x:c>
      <x:c r="D598" s="4" t="str">
        <x:v>Everton</x:v>
      </x:c>
      <x:c r="E598" s="4" t="str">
        <x:v>Home</x:v>
      </x:c>
      <x:c r="F598" s="28" t="n">
        <x:v>3</x:v>
      </x:c>
      <x:c r="G598" s="28" t="n">
        <x:v>2</x:v>
      </x:c>
      <x:c r="H598" s="28" t="n">
        <x:v>13</x:v>
      </x:c>
      <x:c r="I598" s="28" t="n">
        <x:v>16</x:v>
      </x:c>
      <x:c r="J598" s="28" t="n">
        <x:v>4</x:v>
      </x:c>
      <x:c r="K598" s="28" t="n">
        <x:v>4</x:v>
      </x:c>
      <x:c r="L598" s="28" t="n">
        <x:v>9</x:v>
      </x:c>
      <x:c r="M598" s="28" t="n">
        <x:v>6</x:v>
      </x:c>
      <x:c r="N598" s="28" t="n">
        <x:v>2</x:v>
      </x:c>
      <x:c r="O598" s="28" t="n">
        <x:v>0</x:v>
      </x:c>
      <x:c r="P598" s="28" t="n">
        <x:v>3</x:v>
      </x:c>
      <x:c r="Q598" s="24" t="n">
        <x:f>IFERROR(J598/H598,0)</x:f>
        <x:v>0.3076923076923077</x:v>
      </x:c>
      <x:c r="R598" s="24" t="n">
        <x:f>IFERROR(F598/H598,0)</x:f>
        <x:v>0.23076923076923078</x:v>
      </x:c>
      <x:c r="S598" s="24" t="n">
        <x:f>IFERROR(F598/J598,0)</x:f>
        <x:v>0.75</x:v>
      </x:c>
      <x:c r="T598" s="28" t="n">
        <x:f>H598-I598</x:f>
        <x:v>-3</x:v>
      </x:c>
      <x:c r="U598" s="24" t="n">
        <x:f>IFERROR(J598/H598,0)-IFERROR(K598/I598,0)</x:f>
        <x:v>0.05769230769230771</x:v>
      </x:c>
      <x:c r="V598" s="24" t="n">
        <x:f>IFERROR(F598/J598,0)-IFERROR(G598/K598,0)</x:f>
        <x:v>0.25</x:v>
      </x:c>
      <x:c r="W598" s="28" t="n">
        <x:f>L598-M598</x:f>
        <x:v>3</x:v>
      </x:c>
      <x:c r="X598" s="24" t="n">
        <x:f>IFERROR(K598/I598,0)</x:f>
        <x:v>0.25</x:v>
      </x:c>
      <x:c r="Y598" s="24" t="n">
        <x:f>IFERROR(G598/I598,0)</x:f>
        <x:v>0.125</x:v>
      </x:c>
      <x:c r="Z598" s="24" t="n">
        <x:f>IFERROR(G598/K598,0)</x:f>
        <x:v>0.5</x:v>
      </x:c>
      <x:c r="AA598" s="24" t="n">
        <x:f>IFERROR(F598/H598,0)-IFERROR(G598/I598,0)</x:f>
        <x:v>0.10576923076923078</x:v>
      </x:c>
      <x:c r="AB598" s="28" t="n">
        <x:f>J598-K598</x:f>
        <x:v>0</x:v>
      </x:c>
      <x:c r="AC598" s="32" t="n">
        <x:f>F598-G598</x:f>
        <x:v>1</x:v>
      </x:c>
    </x:row>
    <x:row r="599">
      <x:c r="A599" s="4" t="str">
        <x:v>2021-22</x:v>
      </x:c>
      <x:c r="B599" s="20" t="n">
        <x:v>44657</x:v>
      </x:c>
      <x:c r="C599" s="4" t="str">
        <x:v>Everton</x:v>
      </x:c>
      <x:c r="D599" s="4" t="str">
        <x:v>Burnley</x:v>
      </x:c>
      <x:c r="E599" s="4" t="str">
        <x:v>Away</x:v>
      </x:c>
      <x:c r="F599" s="28" t="n">
        <x:v>2</x:v>
      </x:c>
      <x:c r="G599" s="28" t="n">
        <x:v>3</x:v>
      </x:c>
      <x:c r="H599" s="28" t="n">
        <x:v>16</x:v>
      </x:c>
      <x:c r="I599" s="28" t="n">
        <x:v>13</x:v>
      </x:c>
      <x:c r="J599" s="28" t="n">
        <x:v>4</x:v>
      </x:c>
      <x:c r="K599" s="28" t="n">
        <x:v>4</x:v>
      </x:c>
      <x:c r="L599" s="28" t="n">
        <x:v>6</x:v>
      </x:c>
      <x:c r="M599" s="28" t="n">
        <x:v>9</x:v>
      </x:c>
      <x:c r="N599" s="28" t="n">
        <x:v>2</x:v>
      </x:c>
      <x:c r="O599" s="28" t="n">
        <x:v>0</x:v>
      </x:c>
      <x:c r="P599" s="28" t="n">
        <x:v>0</x:v>
      </x:c>
      <x:c r="Q599" s="24" t="n">
        <x:f>IFERROR(J599/H599,0)</x:f>
        <x:v>0.25</x:v>
      </x:c>
      <x:c r="R599" s="24" t="n">
        <x:f>IFERROR(F599/H599,0)</x:f>
        <x:v>0.125</x:v>
      </x:c>
      <x:c r="S599" s="24" t="n">
        <x:f>IFERROR(F599/J599,0)</x:f>
        <x:v>0.5</x:v>
      </x:c>
      <x:c r="T599" s="28" t="n">
        <x:f>H599-I599</x:f>
        <x:v>3</x:v>
      </x:c>
      <x:c r="U599" s="24" t="n">
        <x:f>IFERROR(J599/H599,0)-IFERROR(K599/I599,0)</x:f>
        <x:v>-0.05769230769230771</x:v>
      </x:c>
      <x:c r="V599" s="24" t="n">
        <x:f>IFERROR(F599/J599,0)-IFERROR(G599/K599,0)</x:f>
        <x:v>-0.25</x:v>
      </x:c>
      <x:c r="W599" s="28" t="n">
        <x:f>L599-M599</x:f>
        <x:v>-3</x:v>
      </x:c>
      <x:c r="X599" s="24" t="n">
        <x:f>IFERROR(K599/I599,0)</x:f>
        <x:v>0.3076923076923077</x:v>
      </x:c>
      <x:c r="Y599" s="24" t="n">
        <x:f>IFERROR(G599/I599,0)</x:f>
        <x:v>0.23076923076923078</x:v>
      </x:c>
      <x:c r="Z599" s="24" t="n">
        <x:f>IFERROR(G599/K599,0)</x:f>
        <x:v>0.75</x:v>
      </x:c>
      <x:c r="AA599" s="24" t="n">
        <x:f>IFERROR(F599/H599,0)-IFERROR(G599/I599,0)</x:f>
        <x:v>-0.10576923076923078</x:v>
      </x:c>
      <x:c r="AB599" s="28" t="n">
        <x:f>J599-K599</x:f>
        <x:v>0</x:v>
      </x:c>
      <x:c r="AC599" s="32" t="n">
        <x:f>F599-G599</x:f>
        <x:v>-1</x:v>
      </x:c>
    </x:row>
    <x:row r="600">
      <x:c r="A600" s="4" t="str">
        <x:v>2021-22</x:v>
      </x:c>
      <x:c r="B600" s="20" t="n">
        <x:v>44659</x:v>
      </x:c>
      <x:c r="C600" s="4" t="str">
        <x:v>Newcastle</x:v>
      </x:c>
      <x:c r="D600" s="4" t="str">
        <x:v>Wolves</x:v>
      </x:c>
      <x:c r="E600" s="4" t="str">
        <x:v>Home</x:v>
      </x:c>
      <x:c r="F600" s="28" t="n">
        <x:v>1</x:v>
      </x:c>
      <x:c r="G600" s="28" t="n">
        <x:v>0</x:v>
      </x:c>
      <x:c r="H600" s="28" t="n">
        <x:v>12</x:v>
      </x:c>
      <x:c r="I600" s="28" t="n">
        <x:v>5</x:v>
      </x:c>
      <x:c r="J600" s="28" t="n">
        <x:v>4</x:v>
      </x:c>
      <x:c r="K600" s="28" t="n">
        <x:v>2</x:v>
      </x:c>
      <x:c r="L600" s="28" t="n">
        <x:v>1</x:v>
      </x:c>
      <x:c r="M600" s="28" t="n">
        <x:v>2</x:v>
      </x:c>
      <x:c r="N600" s="28" t="n">
        <x:v>1</x:v>
      </x:c>
      <x:c r="O600" s="28" t="n">
        <x:v>0</x:v>
      </x:c>
      <x:c r="P600" s="28" t="n">
        <x:v>3</x:v>
      </x:c>
      <x:c r="Q600" s="24" t="n">
        <x:f>IFERROR(J600/H600,0)</x:f>
        <x:v>0.3333333333333333</x:v>
      </x:c>
      <x:c r="R600" s="24" t="n">
        <x:f>IFERROR(F600/H600,0)</x:f>
        <x:v>0.08333333333333333</x:v>
      </x:c>
      <x:c r="S600" s="24" t="n">
        <x:f>IFERROR(F600/J600,0)</x:f>
        <x:v>0.25</x:v>
      </x:c>
      <x:c r="T600" s="28" t="n">
        <x:f>H600-I600</x:f>
        <x:v>7</x:v>
      </x:c>
      <x:c r="U600" s="24" t="n">
        <x:f>IFERROR(J600/H600,0)-IFERROR(K600/I600,0)</x:f>
        <x:v>-0.06666666666666671</x:v>
      </x:c>
      <x:c r="V600" s="24" t="n">
        <x:f>IFERROR(F600/J600,0)-IFERROR(G600/K600,0)</x:f>
        <x:v>0.25</x:v>
      </x:c>
      <x:c r="W600" s="28" t="n">
        <x:f>L600-M600</x:f>
        <x:v>-1</x:v>
      </x:c>
      <x:c r="X600" s="24" t="n">
        <x:f>IFERROR(K600/I600,0)</x:f>
        <x:v>0.4</x:v>
      </x:c>
      <x:c r="Y600" s="24" t="n">
        <x:f>IFERROR(G600/I600,0)</x:f>
        <x:v>0</x:v>
      </x:c>
      <x:c r="Z600" s="24" t="n">
        <x:f>IFERROR(G600/K600,0)</x:f>
        <x:v>0</x:v>
      </x:c>
      <x:c r="AA600" s="24" t="n">
        <x:f>IFERROR(F600/H600,0)-IFERROR(G600/I600,0)</x:f>
        <x:v>0.08333333333333333</x:v>
      </x:c>
      <x:c r="AB600" s="28" t="n">
        <x:f>J600-K600</x:f>
        <x:v>2</x:v>
      </x:c>
      <x:c r="AC600" s="32" t="n">
        <x:f>F600-G600</x:f>
        <x:v>1</x:v>
      </x:c>
    </x:row>
    <x:row r="601">
      <x:c r="A601" s="4" t="str">
        <x:v>2021-22</x:v>
      </x:c>
      <x:c r="B601" s="20" t="n">
        <x:v>44659</x:v>
      </x:c>
      <x:c r="C601" s="4" t="str">
        <x:v>Wolves</x:v>
      </x:c>
      <x:c r="D601" s="4" t="str">
        <x:v>Newcastle</x:v>
      </x:c>
      <x:c r="E601" s="4" t="str">
        <x:v>Away</x:v>
      </x:c>
      <x:c r="F601" s="28" t="n">
        <x:v>0</x:v>
      </x:c>
      <x:c r="G601" s="28" t="n">
        <x:v>1</x:v>
      </x:c>
      <x:c r="H601" s="28" t="n">
        <x:v>5</x:v>
      </x:c>
      <x:c r="I601" s="28" t="n">
        <x:v>12</x:v>
      </x:c>
      <x:c r="J601" s="28" t="n">
        <x:v>2</x:v>
      </x:c>
      <x:c r="K601" s="28" t="n">
        <x:v>4</x:v>
      </x:c>
      <x:c r="L601" s="28" t="n">
        <x:v>2</x:v>
      </x:c>
      <x:c r="M601" s="28" t="n">
        <x:v>1</x:v>
      </x:c>
      <x:c r="N601" s="28" t="n">
        <x:v>1</x:v>
      </x:c>
      <x:c r="O601" s="28" t="n">
        <x:v>0</x:v>
      </x:c>
      <x:c r="P601" s="28" t="n">
        <x:v>0</x:v>
      </x:c>
      <x:c r="Q601" s="24" t="n">
        <x:f>IFERROR(J601/H601,0)</x:f>
        <x:v>0.4</x:v>
      </x:c>
      <x:c r="R601" s="24" t="n">
        <x:f>IFERROR(F601/H601,0)</x:f>
        <x:v>0</x:v>
      </x:c>
      <x:c r="S601" s="24" t="n">
        <x:f>IFERROR(F601/J601,0)</x:f>
        <x:v>0</x:v>
      </x:c>
      <x:c r="T601" s="28" t="n">
        <x:f>H601-I601</x:f>
        <x:v>-7</x:v>
      </x:c>
      <x:c r="U601" s="24" t="n">
        <x:f>IFERROR(J601/H601,0)-IFERROR(K601/I601,0)</x:f>
        <x:v>0.06666666666666671</x:v>
      </x:c>
      <x:c r="V601" s="24" t="n">
        <x:f>IFERROR(F601/J601,0)-IFERROR(G601/K601,0)</x:f>
        <x:v>-0.25</x:v>
      </x:c>
      <x:c r="W601" s="28" t="n">
        <x:f>L601-M601</x:f>
        <x:v>1</x:v>
      </x:c>
      <x:c r="X601" s="24" t="n">
        <x:f>IFERROR(K601/I601,0)</x:f>
        <x:v>0.3333333333333333</x:v>
      </x:c>
      <x:c r="Y601" s="24" t="n">
        <x:f>IFERROR(G601/I601,0)</x:f>
        <x:v>0.08333333333333333</x:v>
      </x:c>
      <x:c r="Z601" s="24" t="n">
        <x:f>IFERROR(G601/K601,0)</x:f>
        <x:v>0.25</x:v>
      </x:c>
      <x:c r="AA601" s="24" t="n">
        <x:f>IFERROR(F601/H601,0)-IFERROR(G601/I601,0)</x:f>
        <x:v>-0.08333333333333333</x:v>
      </x:c>
      <x:c r="AB601" s="28" t="n">
        <x:f>J601-K601</x:f>
        <x:v>-2</x:v>
      </x:c>
      <x:c r="AC601" s="32" t="n">
        <x:f>F601-G601</x:f>
        <x:v>-1</x:v>
      </x:c>
    </x:row>
    <x:row r="602">
      <x:c r="A602" s="4" t="str">
        <x:v>2021-22</x:v>
      </x:c>
      <x:c r="B602" s="20" t="n">
        <x:v>44660</x:v>
      </x:c>
      <x:c r="C602" s="4" t="str">
        <x:v>Arsenal</x:v>
      </x:c>
      <x:c r="D602" s="4" t="str">
        <x:v>Brighton</x:v>
      </x:c>
      <x:c r="E602" s="4" t="str">
        <x:v>Home</x:v>
      </x:c>
      <x:c r="F602" s="28" t="n">
        <x:v>1</x:v>
      </x:c>
      <x:c r="G602" s="28" t="n">
        <x:v>2</x:v>
      </x:c>
      <x:c r="H602" s="28" t="n">
        <x:v>20</x:v>
      </x:c>
      <x:c r="I602" s="28" t="n">
        <x:v>8</x:v>
      </x:c>
      <x:c r="J602" s="28" t="n">
        <x:v>4</x:v>
      </x:c>
      <x:c r="K602" s="28" t="n">
        <x:v>3</x:v>
      </x:c>
      <x:c r="L602" s="28" t="n">
        <x:v>11</x:v>
      </x:c>
      <x:c r="M602" s="28" t="n">
        <x:v>2</x:v>
      </x:c>
      <x:c r="N602" s="28" t="n">
        <x:v>3</x:v>
      </x:c>
      <x:c r="O602" s="28" t="n">
        <x:v>0</x:v>
      </x:c>
      <x:c r="P602" s="28" t="n">
        <x:v>0</x:v>
      </x:c>
      <x:c r="Q602" s="24" t="n">
        <x:f>IFERROR(J602/H602,0)</x:f>
        <x:v>0.2</x:v>
      </x:c>
      <x:c r="R602" s="24" t="n">
        <x:f>IFERROR(F602/H602,0)</x:f>
        <x:v>0.05</x:v>
      </x:c>
      <x:c r="S602" s="24" t="n">
        <x:f>IFERROR(F602/J602,0)</x:f>
        <x:v>0.25</x:v>
      </x:c>
      <x:c r="T602" s="28" t="n">
        <x:f>H602-I602</x:f>
        <x:v>12</x:v>
      </x:c>
      <x:c r="U602" s="24" t="n">
        <x:f>IFERROR(J602/H602,0)-IFERROR(K602/I602,0)</x:f>
        <x:v>-0.175</x:v>
      </x:c>
      <x:c r="V602" s="24" t="n">
        <x:f>IFERROR(F602/J602,0)-IFERROR(G602/K602,0)</x:f>
        <x:v>-0.41666666666666663</x:v>
      </x:c>
      <x:c r="W602" s="28" t="n">
        <x:f>L602-M602</x:f>
        <x:v>9</x:v>
      </x:c>
      <x:c r="X602" s="24" t="n">
        <x:f>IFERROR(K602/I602,0)</x:f>
        <x:v>0.375</x:v>
      </x:c>
      <x:c r="Y602" s="24" t="n">
        <x:f>IFERROR(G602/I602,0)</x:f>
        <x:v>0.25</x:v>
      </x:c>
      <x:c r="Z602" s="24" t="n">
        <x:f>IFERROR(G602/K602,0)</x:f>
        <x:v>0.6666666666666666</x:v>
      </x:c>
      <x:c r="AA602" s="24" t="n">
        <x:f>IFERROR(F602/H602,0)-IFERROR(G602/I602,0)</x:f>
        <x:v>-0.2</x:v>
      </x:c>
      <x:c r="AB602" s="28" t="n">
        <x:f>J602-K602</x:f>
        <x:v>1</x:v>
      </x:c>
      <x:c r="AC602" s="32" t="n">
        <x:f>F602-G602</x:f>
        <x:v>-1</x:v>
      </x:c>
    </x:row>
    <x:row r="603">
      <x:c r="A603" s="4" t="str">
        <x:v>2021-22</x:v>
      </x:c>
      <x:c r="B603" s="20" t="n">
        <x:v>44660</x:v>
      </x:c>
      <x:c r="C603" s="4" t="str">
        <x:v>Aston Villa</x:v>
      </x:c>
      <x:c r="D603" s="4" t="str">
        <x:v>Tottenham</x:v>
      </x:c>
      <x:c r="E603" s="4" t="str">
        <x:v>Home</x:v>
      </x:c>
      <x:c r="F603" s="28" t="n">
        <x:v>0</x:v>
      </x:c>
      <x:c r="G603" s="28" t="n">
        <x:v>4</x:v>
      </x:c>
      <x:c r="H603" s="28" t="n">
        <x:v>9</x:v>
      </x:c>
      <x:c r="I603" s="28" t="n">
        <x:v>11</x:v>
      </x:c>
      <x:c r="J603" s="28" t="n">
        <x:v>8</x:v>
      </x:c>
      <x:c r="K603" s="28" t="n">
        <x:v>5</x:v>
      </x:c>
      <x:c r="L603" s="28" t="n">
        <x:v>9</x:v>
      </x:c>
      <x:c r="M603" s="28" t="n">
        <x:v>3</x:v>
      </x:c>
      <x:c r="N603" s="28" t="n">
        <x:v>2</x:v>
      </x:c>
      <x:c r="O603" s="28" t="n">
        <x:v>0</x:v>
      </x:c>
      <x:c r="P603" s="28" t="n">
        <x:v>0</x:v>
      </x:c>
      <x:c r="Q603" s="24" t="n">
        <x:f>IFERROR(J603/H603,0)</x:f>
        <x:v>0.8888888888888888</x:v>
      </x:c>
      <x:c r="R603" s="24" t="n">
        <x:f>IFERROR(F603/H603,0)</x:f>
        <x:v>0</x:v>
      </x:c>
      <x:c r="S603" s="24" t="n">
        <x:f>IFERROR(F603/J603,0)</x:f>
        <x:v>0</x:v>
      </x:c>
      <x:c r="T603" s="28" t="n">
        <x:f>H603-I603</x:f>
        <x:v>-2</x:v>
      </x:c>
      <x:c r="U603" s="24" t="n">
        <x:f>IFERROR(J603/H603,0)-IFERROR(K603/I603,0)</x:f>
        <x:v>0.4343434343434343</x:v>
      </x:c>
      <x:c r="V603" s="24" t="n">
        <x:f>IFERROR(F603/J603,0)-IFERROR(G603/K603,0)</x:f>
        <x:v>-0.8</x:v>
      </x:c>
      <x:c r="W603" s="28" t="n">
        <x:f>L603-M603</x:f>
        <x:v>6</x:v>
      </x:c>
      <x:c r="X603" s="24" t="n">
        <x:f>IFERROR(K603/I603,0)</x:f>
        <x:v>0.45454545454545453</x:v>
      </x:c>
      <x:c r="Y603" s="24" t="n">
        <x:f>IFERROR(G603/I603,0)</x:f>
        <x:v>0.36363636363636365</x:v>
      </x:c>
      <x:c r="Z603" s="24" t="n">
        <x:f>IFERROR(G603/K603,0)</x:f>
        <x:v>0.8</x:v>
      </x:c>
      <x:c r="AA603" s="24" t="n">
        <x:f>IFERROR(F603/H603,0)-IFERROR(G603/I603,0)</x:f>
        <x:v>-0.36363636363636365</x:v>
      </x:c>
      <x:c r="AB603" s="28" t="n">
        <x:f>J603-K603</x:f>
        <x:v>3</x:v>
      </x:c>
      <x:c r="AC603" s="32" t="n">
        <x:f>F603-G603</x:f>
        <x:v>-4</x:v>
      </x:c>
    </x:row>
    <x:row r="604">
      <x:c r="A604" s="4" t="str">
        <x:v>2021-22</x:v>
      </x:c>
      <x:c r="B604" s="20" t="n">
        <x:v>44660</x:v>
      </x:c>
      <x:c r="C604" s="4" t="str">
        <x:v>Brighton</x:v>
      </x:c>
      <x:c r="D604" s="4" t="str">
        <x:v>Arsenal</x:v>
      </x:c>
      <x:c r="E604" s="4" t="str">
        <x:v>Away</x:v>
      </x:c>
      <x:c r="F604" s="28" t="n">
        <x:v>2</x:v>
      </x:c>
      <x:c r="G604" s="28" t="n">
        <x:v>1</x:v>
      </x:c>
      <x:c r="H604" s="28" t="n">
        <x:v>8</x:v>
      </x:c>
      <x:c r="I604" s="28" t="n">
        <x:v>20</x:v>
      </x:c>
      <x:c r="J604" s="28" t="n">
        <x:v>3</x:v>
      </x:c>
      <x:c r="K604" s="28" t="n">
        <x:v>4</x:v>
      </x:c>
      <x:c r="L604" s="28" t="n">
        <x:v>2</x:v>
      </x:c>
      <x:c r="M604" s="28" t="n">
        <x:v>11</x:v>
      </x:c>
      <x:c r="N604" s="28" t="n">
        <x:v>4</x:v>
      </x:c>
      <x:c r="O604" s="28" t="n">
        <x:v>0</x:v>
      </x:c>
      <x:c r="P604" s="28" t="n">
        <x:v>3</x:v>
      </x:c>
      <x:c r="Q604" s="24" t="n">
        <x:f>IFERROR(J604/H604,0)</x:f>
        <x:v>0.375</x:v>
      </x:c>
      <x:c r="R604" s="24" t="n">
        <x:f>IFERROR(F604/H604,0)</x:f>
        <x:v>0.25</x:v>
      </x:c>
      <x:c r="S604" s="24" t="n">
        <x:f>IFERROR(F604/J604,0)</x:f>
        <x:v>0.6666666666666666</x:v>
      </x:c>
      <x:c r="T604" s="28" t="n">
        <x:f>H604-I604</x:f>
        <x:v>-12</x:v>
      </x:c>
      <x:c r="U604" s="24" t="n">
        <x:f>IFERROR(J604/H604,0)-IFERROR(K604/I604,0)</x:f>
        <x:v>0.175</x:v>
      </x:c>
      <x:c r="V604" s="24" t="n">
        <x:f>IFERROR(F604/J604,0)-IFERROR(G604/K604,0)</x:f>
        <x:v>0.41666666666666663</x:v>
      </x:c>
      <x:c r="W604" s="28" t="n">
        <x:f>L604-M604</x:f>
        <x:v>-9</x:v>
      </x:c>
      <x:c r="X604" s="24" t="n">
        <x:f>IFERROR(K604/I604,0)</x:f>
        <x:v>0.2</x:v>
      </x:c>
      <x:c r="Y604" s="24" t="n">
        <x:f>IFERROR(G604/I604,0)</x:f>
        <x:v>0.05</x:v>
      </x:c>
      <x:c r="Z604" s="24" t="n">
        <x:f>IFERROR(G604/K604,0)</x:f>
        <x:v>0.25</x:v>
      </x:c>
      <x:c r="AA604" s="24" t="n">
        <x:f>IFERROR(F604/H604,0)-IFERROR(G604/I604,0)</x:f>
        <x:v>0.2</x:v>
      </x:c>
      <x:c r="AB604" s="28" t="n">
        <x:f>J604-K604</x:f>
        <x:v>-1</x:v>
      </x:c>
      <x:c r="AC604" s="32" t="n">
        <x:f>F604-G604</x:f>
        <x:v>1</x:v>
      </x:c>
    </x:row>
    <x:row r="605">
      <x:c r="A605" s="4" t="str">
        <x:v>2021-22</x:v>
      </x:c>
      <x:c r="B605" s="20" t="n">
        <x:v>44660</x:v>
      </x:c>
      <x:c r="C605" s="4" t="str">
        <x:v>Chelsea</x:v>
      </x:c>
      <x:c r="D605" s="4" t="str">
        <x:v>Southampton</x:v>
      </x:c>
      <x:c r="E605" s="4" t="str">
        <x:v>Away</x:v>
      </x:c>
      <x:c r="F605" s="28" t="n">
        <x:v>6</x:v>
      </x:c>
      <x:c r="G605" s="28" t="n">
        <x:v>0</x:v>
      </x:c>
      <x:c r="H605" s="28" t="n">
        <x:v>24</x:v>
      </x:c>
      <x:c r="I605" s="28" t="n">
        <x:v>4</x:v>
      </x:c>
      <x:c r="J605" s="28" t="n">
        <x:v>14</x:v>
      </x:c>
      <x:c r="K605" s="28" t="n">
        <x:v>1</x:v>
      </x:c>
      <x:c r="L605" s="28" t="n">
        <x:v>3</x:v>
      </x:c>
      <x:c r="M605" s="28" t="n">
        <x:v>3</x:v>
      </x:c>
      <x:c r="N605" s="28" t="n">
        <x:v>0</x:v>
      </x:c>
      <x:c r="O605" s="28" t="n">
        <x:v>0</x:v>
      </x:c>
      <x:c r="P605" s="28" t="n">
        <x:v>3</x:v>
      </x:c>
      <x:c r="Q605" s="24" t="n">
        <x:f>IFERROR(J605/H605,0)</x:f>
        <x:v>0.5833333333333334</x:v>
      </x:c>
      <x:c r="R605" s="24" t="n">
        <x:f>IFERROR(F605/H605,0)</x:f>
        <x:v>0.25</x:v>
      </x:c>
      <x:c r="S605" s="24" t="n">
        <x:f>IFERROR(F605/J605,0)</x:f>
        <x:v>0.42857142857142855</x:v>
      </x:c>
      <x:c r="T605" s="28" t="n">
        <x:f>H605-I605</x:f>
        <x:v>20</x:v>
      </x:c>
      <x:c r="U605" s="24" t="n">
        <x:f>IFERROR(J605/H605,0)-IFERROR(K605/I605,0)</x:f>
        <x:v>0.33333333333333337</x:v>
      </x:c>
      <x:c r="V605" s="24" t="n">
        <x:f>IFERROR(F605/J605,0)-IFERROR(G605/K605,0)</x:f>
        <x:v>0.42857142857142855</x:v>
      </x:c>
      <x:c r="W605" s="28" t="n">
        <x:f>L605-M605</x:f>
        <x:v>0</x:v>
      </x:c>
      <x:c r="X605" s="24" t="n">
        <x:f>IFERROR(K605/I605,0)</x:f>
        <x:v>0.25</x:v>
      </x:c>
      <x:c r="Y605" s="24" t="n">
        <x:f>IFERROR(G605/I605,0)</x:f>
        <x:v>0</x:v>
      </x:c>
      <x:c r="Z605" s="24" t="n">
        <x:f>IFERROR(G605/K605,0)</x:f>
        <x:v>0</x:v>
      </x:c>
      <x:c r="AA605" s="24" t="n">
        <x:f>IFERROR(F605/H605,0)-IFERROR(G605/I605,0)</x:f>
        <x:v>0.25</x:v>
      </x:c>
      <x:c r="AB605" s="28" t="n">
        <x:f>J605-K605</x:f>
        <x:v>13</x:v>
      </x:c>
      <x:c r="AC605" s="32" t="n">
        <x:f>F605-G605</x:f>
        <x:v>6</x:v>
      </x:c>
    </x:row>
    <x:row r="606">
      <x:c r="A606" s="4" t="str">
        <x:v>2021-22</x:v>
      </x:c>
      <x:c r="B606" s="20" t="n">
        <x:v>44660</x:v>
      </x:c>
      <x:c r="C606" s="4" t="str">
        <x:v>Everton</x:v>
      </x:c>
      <x:c r="D606" s="4" t="str">
        <x:v>Man United</x:v>
      </x:c>
      <x:c r="E606" s="4" t="str">
        <x:v>Home</x:v>
      </x:c>
      <x:c r="F606" s="28" t="n">
        <x:v>1</x:v>
      </x:c>
      <x:c r="G606" s="28" t="n">
        <x:v>0</x:v>
      </x:c>
      <x:c r="H606" s="28" t="n">
        <x:v>7</x:v>
      </x:c>
      <x:c r="I606" s="28" t="n">
        <x:v>12</x:v>
      </x:c>
      <x:c r="J606" s="28" t="n">
        <x:v>3</x:v>
      </x:c>
      <x:c r="K606" s="28" t="n">
        <x:v>4</x:v>
      </x:c>
      <x:c r="L606" s="28" t="n">
        <x:v>5</x:v>
      </x:c>
      <x:c r="M606" s="28" t="n">
        <x:v>7</x:v>
      </x:c>
      <x:c r="N606" s="28" t="n">
        <x:v>2</x:v>
      </x:c>
      <x:c r="O606" s="28" t="n">
        <x:v>0</x:v>
      </x:c>
      <x:c r="P606" s="28" t="n">
        <x:v>3</x:v>
      </x:c>
      <x:c r="Q606" s="24" t="n">
        <x:f>IFERROR(J606/H606,0)</x:f>
        <x:v>0.42857142857142855</x:v>
      </x:c>
      <x:c r="R606" s="24" t="n">
        <x:f>IFERROR(F606/H606,0)</x:f>
        <x:v>0.14285714285714285</x:v>
      </x:c>
      <x:c r="S606" s="24" t="n">
        <x:f>IFERROR(F606/J606,0)</x:f>
        <x:v>0.3333333333333333</x:v>
      </x:c>
      <x:c r="T606" s="28" t="n">
        <x:f>H606-I606</x:f>
        <x:v>-5</x:v>
      </x:c>
      <x:c r="U606" s="24" t="n">
        <x:f>IFERROR(J606/H606,0)-IFERROR(K606/I606,0)</x:f>
        <x:v>0.09523809523809523</x:v>
      </x:c>
      <x:c r="V606" s="24" t="n">
        <x:f>IFERROR(F606/J606,0)-IFERROR(G606/K606,0)</x:f>
        <x:v>0.3333333333333333</x:v>
      </x:c>
      <x:c r="W606" s="28" t="n">
        <x:f>L606-M606</x:f>
        <x:v>-2</x:v>
      </x:c>
      <x:c r="X606" s="24" t="n">
        <x:f>IFERROR(K606/I606,0)</x:f>
        <x:v>0.3333333333333333</x:v>
      </x:c>
      <x:c r="Y606" s="24" t="n">
        <x:f>IFERROR(G606/I606,0)</x:f>
        <x:v>0</x:v>
      </x:c>
      <x:c r="Z606" s="24" t="n">
        <x:f>IFERROR(G606/K606,0)</x:f>
        <x:v>0</x:v>
      </x:c>
      <x:c r="AA606" s="24" t="n">
        <x:f>IFERROR(F606/H606,0)-IFERROR(G606/I606,0)</x:f>
        <x:v>0.14285714285714285</x:v>
      </x:c>
      <x:c r="AB606" s="28" t="n">
        <x:f>J606-K606</x:f>
        <x:v>-1</x:v>
      </x:c>
      <x:c r="AC606" s="32" t="n">
        <x:f>F606-G606</x:f>
        <x:v>1</x:v>
      </x:c>
    </x:row>
    <x:row r="607">
      <x:c r="A607" s="4" t="str">
        <x:v>2021-22</x:v>
      </x:c>
      <x:c r="B607" s="20" t="n">
        <x:v>44660</x:v>
      </x:c>
      <x:c r="C607" s="4" t="str">
        <x:v>Leeds</x:v>
      </x:c>
      <x:c r="D607" s="4" t="str">
        <x:v>Watford</x:v>
      </x:c>
      <x:c r="E607" s="4" t="str">
        <x:v>Away</x:v>
      </x:c>
      <x:c r="F607" s="28" t="n">
        <x:v>3</x:v>
      </x:c>
      <x:c r="G607" s="28" t="n">
        <x:v>0</x:v>
      </x:c>
      <x:c r="H607" s="28" t="n">
        <x:v>10</x:v>
      </x:c>
      <x:c r="I607" s="28" t="n">
        <x:v>8</x:v>
      </x:c>
      <x:c r="J607" s="28" t="n">
        <x:v>5</x:v>
      </x:c>
      <x:c r="K607" s="28" t="n">
        <x:v>1</x:v>
      </x:c>
      <x:c r="L607" s="28" t="n">
        <x:v>8</x:v>
      </x:c>
      <x:c r="M607" s="28" t="n">
        <x:v>3</x:v>
      </x:c>
      <x:c r="N607" s="28" t="n">
        <x:v>0</x:v>
      </x:c>
      <x:c r="O607" s="28" t="n">
        <x:v>0</x:v>
      </x:c>
      <x:c r="P607" s="28" t="n">
        <x:v>3</x:v>
      </x:c>
      <x:c r="Q607" s="24" t="n">
        <x:f>IFERROR(J607/H607,0)</x:f>
        <x:v>0.5</x:v>
      </x:c>
      <x:c r="R607" s="24" t="n">
        <x:f>IFERROR(F607/H607,0)</x:f>
        <x:v>0.3</x:v>
      </x:c>
      <x:c r="S607" s="24" t="n">
        <x:f>IFERROR(F607/J607,0)</x:f>
        <x:v>0.6</x:v>
      </x:c>
      <x:c r="T607" s="28" t="n">
        <x:f>H607-I607</x:f>
        <x:v>2</x:v>
      </x:c>
      <x:c r="U607" s="24" t="n">
        <x:f>IFERROR(J607/H607,0)-IFERROR(K607/I607,0)</x:f>
        <x:v>0.375</x:v>
      </x:c>
      <x:c r="V607" s="24" t="n">
        <x:f>IFERROR(F607/J607,0)-IFERROR(G607/K607,0)</x:f>
        <x:v>0.6</x:v>
      </x:c>
      <x:c r="W607" s="28" t="n">
        <x:f>L607-M607</x:f>
        <x:v>5</x:v>
      </x:c>
      <x:c r="X607" s="24" t="n">
        <x:f>IFERROR(K607/I607,0)</x:f>
        <x:v>0.125</x:v>
      </x:c>
      <x:c r="Y607" s="24" t="n">
        <x:f>IFERROR(G607/I607,0)</x:f>
        <x:v>0</x:v>
      </x:c>
      <x:c r="Z607" s="24" t="n">
        <x:f>IFERROR(G607/K607,0)</x:f>
        <x:v>0</x:v>
      </x:c>
      <x:c r="AA607" s="24" t="n">
        <x:f>IFERROR(F607/H607,0)-IFERROR(G607/I607,0)</x:f>
        <x:v>0.3</x:v>
      </x:c>
      <x:c r="AB607" s="28" t="n">
        <x:f>J607-K607</x:f>
        <x:v>4</x:v>
      </x:c>
      <x:c r="AC607" s="32" t="n">
        <x:f>F607-G607</x:f>
        <x:v>3</x:v>
      </x:c>
    </x:row>
    <x:row r="608">
      <x:c r="A608" s="4" t="str">
        <x:v>2021-22</x:v>
      </x:c>
      <x:c r="B608" s="20" t="n">
        <x:v>44660</x:v>
      </x:c>
      <x:c r="C608" s="4" t="str">
        <x:v>Man United</x:v>
      </x:c>
      <x:c r="D608" s="4" t="str">
        <x:v>Everton</x:v>
      </x:c>
      <x:c r="E608" s="4" t="str">
        <x:v>Away</x:v>
      </x:c>
      <x:c r="F608" s="28" t="n">
        <x:v>0</x:v>
      </x:c>
      <x:c r="G608" s="28" t="n">
        <x:v>1</x:v>
      </x:c>
      <x:c r="H608" s="28" t="n">
        <x:v>12</x:v>
      </x:c>
      <x:c r="I608" s="28" t="n">
        <x:v>7</x:v>
      </x:c>
      <x:c r="J608" s="28" t="n">
        <x:v>4</x:v>
      </x:c>
      <x:c r="K608" s="28" t="n">
        <x:v>3</x:v>
      </x:c>
      <x:c r="L608" s="28" t="n">
        <x:v>7</x:v>
      </x:c>
      <x:c r="M608" s="28" t="n">
        <x:v>5</x:v>
      </x:c>
      <x:c r="N608" s="28" t="n">
        <x:v>2</x:v>
      </x:c>
      <x:c r="O608" s="28" t="n">
        <x:v>0</x:v>
      </x:c>
      <x:c r="P608" s="28" t="n">
        <x:v>0</x:v>
      </x:c>
      <x:c r="Q608" s="24" t="n">
        <x:f>IFERROR(J608/H608,0)</x:f>
        <x:v>0.3333333333333333</x:v>
      </x:c>
      <x:c r="R608" s="24" t="n">
        <x:f>IFERROR(F608/H608,0)</x:f>
        <x:v>0</x:v>
      </x:c>
      <x:c r="S608" s="24" t="n">
        <x:f>IFERROR(F608/J608,0)</x:f>
        <x:v>0</x:v>
      </x:c>
      <x:c r="T608" s="28" t="n">
        <x:f>H608-I608</x:f>
        <x:v>5</x:v>
      </x:c>
      <x:c r="U608" s="24" t="n">
        <x:f>IFERROR(J608/H608,0)-IFERROR(K608/I608,0)</x:f>
        <x:v>-0.09523809523809523</x:v>
      </x:c>
      <x:c r="V608" s="24" t="n">
        <x:f>IFERROR(F608/J608,0)-IFERROR(G608/K608,0)</x:f>
        <x:v>-0.3333333333333333</x:v>
      </x:c>
      <x:c r="W608" s="28" t="n">
        <x:f>L608-M608</x:f>
        <x:v>2</x:v>
      </x:c>
      <x:c r="X608" s="24" t="n">
        <x:f>IFERROR(K608/I608,0)</x:f>
        <x:v>0.42857142857142855</x:v>
      </x:c>
      <x:c r="Y608" s="24" t="n">
        <x:f>IFERROR(G608/I608,0)</x:f>
        <x:v>0.14285714285714285</x:v>
      </x:c>
      <x:c r="Z608" s="24" t="n">
        <x:f>IFERROR(G608/K608,0)</x:f>
        <x:v>0.3333333333333333</x:v>
      </x:c>
      <x:c r="AA608" s="24" t="n">
        <x:f>IFERROR(F608/H608,0)-IFERROR(G608/I608,0)</x:f>
        <x:v>-0.14285714285714285</x:v>
      </x:c>
      <x:c r="AB608" s="28" t="n">
        <x:f>J608-K608</x:f>
        <x:v>1</x:v>
      </x:c>
      <x:c r="AC608" s="32" t="n">
        <x:f>F608-G608</x:f>
        <x:v>-1</x:v>
      </x:c>
    </x:row>
    <x:row r="609">
      <x:c r="A609" s="4" t="str">
        <x:v>2021-22</x:v>
      </x:c>
      <x:c r="B609" s="20" t="n">
        <x:v>44660</x:v>
      </x:c>
      <x:c r="C609" s="4" t="str">
        <x:v>Southampton</x:v>
      </x:c>
      <x:c r="D609" s="4" t="str">
        <x:v>Chelsea</x:v>
      </x:c>
      <x:c r="E609" s="4" t="str">
        <x:v>Home</x:v>
      </x:c>
      <x:c r="F609" s="28" t="n">
        <x:v>0</x:v>
      </x:c>
      <x:c r="G609" s="28" t="n">
        <x:v>6</x:v>
      </x:c>
      <x:c r="H609" s="28" t="n">
        <x:v>4</x:v>
      </x:c>
      <x:c r="I609" s="28" t="n">
        <x:v>24</x:v>
      </x:c>
      <x:c r="J609" s="28" t="n">
        <x:v>1</x:v>
      </x:c>
      <x:c r="K609" s="28" t="n">
        <x:v>14</x:v>
      </x:c>
      <x:c r="L609" s="28" t="n">
        <x:v>3</x:v>
      </x:c>
      <x:c r="M609" s="28" t="n">
        <x:v>3</x:v>
      </x:c>
      <x:c r="N609" s="28" t="n">
        <x:v>1</x:v>
      </x:c>
      <x:c r="O609" s="28" t="n">
        <x:v>0</x:v>
      </x:c>
      <x:c r="P609" s="28" t="n">
        <x:v>0</x:v>
      </x:c>
      <x:c r="Q609" s="24" t="n">
        <x:f>IFERROR(J609/H609,0)</x:f>
        <x:v>0.25</x:v>
      </x:c>
      <x:c r="R609" s="24" t="n">
        <x:f>IFERROR(F609/H609,0)</x:f>
        <x:v>0</x:v>
      </x:c>
      <x:c r="S609" s="24" t="n">
        <x:f>IFERROR(F609/J609,0)</x:f>
        <x:v>0</x:v>
      </x:c>
      <x:c r="T609" s="28" t="n">
        <x:f>H609-I609</x:f>
        <x:v>-20</x:v>
      </x:c>
      <x:c r="U609" s="24" t="n">
        <x:f>IFERROR(J609/H609,0)-IFERROR(K609/I609,0)</x:f>
        <x:v>-0.33333333333333337</x:v>
      </x:c>
      <x:c r="V609" s="24" t="n">
        <x:f>IFERROR(F609/J609,0)-IFERROR(G609/K609,0)</x:f>
        <x:v>-0.42857142857142855</x:v>
      </x:c>
      <x:c r="W609" s="28" t="n">
        <x:f>L609-M609</x:f>
        <x:v>0</x:v>
      </x:c>
      <x:c r="X609" s="24" t="n">
        <x:f>IFERROR(K609/I609,0)</x:f>
        <x:v>0.5833333333333334</x:v>
      </x:c>
      <x:c r="Y609" s="24" t="n">
        <x:f>IFERROR(G609/I609,0)</x:f>
        <x:v>0.25</x:v>
      </x:c>
      <x:c r="Z609" s="24" t="n">
        <x:f>IFERROR(G609/K609,0)</x:f>
        <x:v>0.42857142857142855</x:v>
      </x:c>
      <x:c r="AA609" s="24" t="n">
        <x:f>IFERROR(F609/H609,0)-IFERROR(G609/I609,0)</x:f>
        <x:v>-0.25</x:v>
      </x:c>
      <x:c r="AB609" s="28" t="n">
        <x:f>J609-K609</x:f>
        <x:v>-13</x:v>
      </x:c>
      <x:c r="AC609" s="32" t="n">
        <x:f>F609-G609</x:f>
        <x:v>-6</x:v>
      </x:c>
    </x:row>
    <x:row r="610">
      <x:c r="A610" s="4" t="str">
        <x:v>2021-22</x:v>
      </x:c>
      <x:c r="B610" s="20" t="n">
        <x:v>44660</x:v>
      </x:c>
      <x:c r="C610" s="4" t="str">
        <x:v>Tottenham</x:v>
      </x:c>
      <x:c r="D610" s="4" t="str">
        <x:v>Aston Villa</x:v>
      </x:c>
      <x:c r="E610" s="4" t="str">
        <x:v>Away</x:v>
      </x:c>
      <x:c r="F610" s="28" t="n">
        <x:v>4</x:v>
      </x:c>
      <x:c r="G610" s="28" t="n">
        <x:v>0</x:v>
      </x:c>
      <x:c r="H610" s="28" t="n">
        <x:v>11</x:v>
      </x:c>
      <x:c r="I610" s="28" t="n">
        <x:v>9</x:v>
      </x:c>
      <x:c r="J610" s="28" t="n">
        <x:v>5</x:v>
      </x:c>
      <x:c r="K610" s="28" t="n">
        <x:v>8</x:v>
      </x:c>
      <x:c r="L610" s="28" t="n">
        <x:v>3</x:v>
      </x:c>
      <x:c r="M610" s="28" t="n">
        <x:v>9</x:v>
      </x:c>
      <x:c r="N610" s="28" t="n">
        <x:v>3</x:v>
      </x:c>
      <x:c r="O610" s="28" t="n">
        <x:v>0</x:v>
      </x:c>
      <x:c r="P610" s="28" t="n">
        <x:v>3</x:v>
      </x:c>
      <x:c r="Q610" s="24" t="n">
        <x:f>IFERROR(J610/H610,0)</x:f>
        <x:v>0.45454545454545453</x:v>
      </x:c>
      <x:c r="R610" s="24" t="n">
        <x:f>IFERROR(F610/H610,0)</x:f>
        <x:v>0.36363636363636365</x:v>
      </x:c>
      <x:c r="S610" s="24" t="n">
        <x:f>IFERROR(F610/J610,0)</x:f>
        <x:v>0.8</x:v>
      </x:c>
      <x:c r="T610" s="28" t="n">
        <x:f>H610-I610</x:f>
        <x:v>2</x:v>
      </x:c>
      <x:c r="U610" s="24" t="n">
        <x:f>IFERROR(J610/H610,0)-IFERROR(K610/I610,0)</x:f>
        <x:v>-0.4343434343434343</x:v>
      </x:c>
      <x:c r="V610" s="24" t="n">
        <x:f>IFERROR(F610/J610,0)-IFERROR(G610/K610,0)</x:f>
        <x:v>0.8</x:v>
      </x:c>
      <x:c r="W610" s="28" t="n">
        <x:f>L610-M610</x:f>
        <x:v>-6</x:v>
      </x:c>
      <x:c r="X610" s="24" t="n">
        <x:f>IFERROR(K610/I610,0)</x:f>
        <x:v>0.8888888888888888</x:v>
      </x:c>
      <x:c r="Y610" s="24" t="n">
        <x:f>IFERROR(G610/I610,0)</x:f>
        <x:v>0</x:v>
      </x:c>
      <x:c r="Z610" s="24" t="n">
        <x:f>IFERROR(G610/K610,0)</x:f>
        <x:v>0</x:v>
      </x:c>
      <x:c r="AA610" s="24" t="n">
        <x:f>IFERROR(F610/H610,0)-IFERROR(G610/I610,0)</x:f>
        <x:v>0.36363636363636365</x:v>
      </x:c>
      <x:c r="AB610" s="28" t="n">
        <x:f>J610-K610</x:f>
        <x:v>-3</x:v>
      </x:c>
      <x:c r="AC610" s="32" t="n">
        <x:f>F610-G610</x:f>
        <x:v>4</x:v>
      </x:c>
    </x:row>
    <x:row r="611">
      <x:c r="A611" s="4" t="str">
        <x:v>2021-22</x:v>
      </x:c>
      <x:c r="B611" s="20" t="n">
        <x:v>44660</x:v>
      </x:c>
      <x:c r="C611" s="4" t="str">
        <x:v>Watford</x:v>
      </x:c>
      <x:c r="D611" s="4" t="str">
        <x:v>Leeds</x:v>
      </x:c>
      <x:c r="E611" s="4" t="str">
        <x:v>Home</x:v>
      </x:c>
      <x:c r="F611" s="28" t="n">
        <x:v>0</x:v>
      </x:c>
      <x:c r="G611" s="28" t="n">
        <x:v>3</x:v>
      </x:c>
      <x:c r="H611" s="28" t="n">
        <x:v>8</x:v>
      </x:c>
      <x:c r="I611" s="28" t="n">
        <x:v>10</x:v>
      </x:c>
      <x:c r="J611" s="28" t="n">
        <x:v>1</x:v>
      </x:c>
      <x:c r="K611" s="28" t="n">
        <x:v>5</x:v>
      </x:c>
      <x:c r="L611" s="28" t="n">
        <x:v>3</x:v>
      </x:c>
      <x:c r="M611" s="28" t="n">
        <x:v>8</x:v>
      </x:c>
      <x:c r="N611" s="28" t="n">
        <x:v>2</x:v>
      </x:c>
      <x:c r="O611" s="28" t="n">
        <x:v>0</x:v>
      </x:c>
      <x:c r="P611" s="28" t="n">
        <x:v>0</x:v>
      </x:c>
      <x:c r="Q611" s="24" t="n">
        <x:f>IFERROR(J611/H611,0)</x:f>
        <x:v>0.125</x:v>
      </x:c>
      <x:c r="R611" s="24" t="n">
        <x:f>IFERROR(F611/H611,0)</x:f>
        <x:v>0</x:v>
      </x:c>
      <x:c r="S611" s="24" t="n">
        <x:f>IFERROR(F611/J611,0)</x:f>
        <x:v>0</x:v>
      </x:c>
      <x:c r="T611" s="28" t="n">
        <x:f>H611-I611</x:f>
        <x:v>-2</x:v>
      </x:c>
      <x:c r="U611" s="24" t="n">
        <x:f>IFERROR(J611/H611,0)-IFERROR(K611/I611,0)</x:f>
        <x:v>-0.375</x:v>
      </x:c>
      <x:c r="V611" s="24" t="n">
        <x:f>IFERROR(F611/J611,0)-IFERROR(G611/K611,0)</x:f>
        <x:v>-0.6</x:v>
      </x:c>
      <x:c r="W611" s="28" t="n">
        <x:f>L611-M611</x:f>
        <x:v>-5</x:v>
      </x:c>
      <x:c r="X611" s="24" t="n">
        <x:f>IFERROR(K611/I611,0)</x:f>
        <x:v>0.5</x:v>
      </x:c>
      <x:c r="Y611" s="24" t="n">
        <x:f>IFERROR(G611/I611,0)</x:f>
        <x:v>0.3</x:v>
      </x:c>
      <x:c r="Z611" s="24" t="n">
        <x:f>IFERROR(G611/K611,0)</x:f>
        <x:v>0.6</x:v>
      </x:c>
      <x:c r="AA611" s="24" t="n">
        <x:f>IFERROR(F611/H611,0)-IFERROR(G611/I611,0)</x:f>
        <x:v>-0.3</x:v>
      </x:c>
      <x:c r="AB611" s="28" t="n">
        <x:f>J611-K611</x:f>
        <x:v>-4</x:v>
      </x:c>
      <x:c r="AC611" s="32" t="n">
        <x:f>F611-G611</x:f>
        <x:v>-3</x:v>
      </x:c>
    </x:row>
    <x:row r="612">
      <x:c r="A612" s="4" t="str">
        <x:v>2021-22</x:v>
      </x:c>
      <x:c r="B612" s="20" t="n">
        <x:v>44661</x:v>
      </x:c>
      <x:c r="C612" s="4" t="str">
        <x:v>Brentford</x:v>
      </x:c>
      <x:c r="D612" s="4" t="str">
        <x:v>West Ham</x:v>
      </x:c>
      <x:c r="E612" s="4" t="str">
        <x:v>Home</x:v>
      </x:c>
      <x:c r="F612" s="28" t="n">
        <x:v>2</x:v>
      </x:c>
      <x:c r="G612" s="28" t="n">
        <x:v>0</x:v>
      </x:c>
      <x:c r="H612" s="28" t="n">
        <x:v>15</x:v>
      </x:c>
      <x:c r="I612" s="28" t="n">
        <x:v>5</x:v>
      </x:c>
      <x:c r="J612" s="28" t="n">
        <x:v>7</x:v>
      </x:c>
      <x:c r="K612" s="28" t="n">
        <x:v>1</x:v>
      </x:c>
      <x:c r="L612" s="28" t="n">
        <x:v>4</x:v>
      </x:c>
      <x:c r="M612" s="28" t="n">
        <x:v>6</x:v>
      </x:c>
      <x:c r="N612" s="28" t="n">
        <x:v>0</x:v>
      </x:c>
      <x:c r="O612" s="28" t="n">
        <x:v>0</x:v>
      </x:c>
      <x:c r="P612" s="28" t="n">
        <x:v>3</x:v>
      </x:c>
      <x:c r="Q612" s="24" t="n">
        <x:f>IFERROR(J612/H612,0)</x:f>
        <x:v>0.4666666666666667</x:v>
      </x:c>
      <x:c r="R612" s="24" t="n">
        <x:f>IFERROR(F612/H612,0)</x:f>
        <x:v>0.13333333333333333</x:v>
      </x:c>
      <x:c r="S612" s="24" t="n">
        <x:f>IFERROR(F612/J612,0)</x:f>
        <x:v>0.2857142857142857</x:v>
      </x:c>
      <x:c r="T612" s="28" t="n">
        <x:f>H612-I612</x:f>
        <x:v>10</x:v>
      </x:c>
      <x:c r="U612" s="24" t="n">
        <x:f>IFERROR(J612/H612,0)-IFERROR(K612/I612,0)</x:f>
        <x:v>0.26666666666666666</x:v>
      </x:c>
      <x:c r="V612" s="24" t="n">
        <x:f>IFERROR(F612/J612,0)-IFERROR(G612/K612,0)</x:f>
        <x:v>0.2857142857142857</x:v>
      </x:c>
      <x:c r="W612" s="28" t="n">
        <x:f>L612-M612</x:f>
        <x:v>-2</x:v>
      </x:c>
      <x:c r="X612" s="24" t="n">
        <x:f>IFERROR(K612/I612,0)</x:f>
        <x:v>0.2</x:v>
      </x:c>
      <x:c r="Y612" s="24" t="n">
        <x:f>IFERROR(G612/I612,0)</x:f>
        <x:v>0</x:v>
      </x:c>
      <x:c r="Z612" s="24" t="n">
        <x:f>IFERROR(G612/K612,0)</x:f>
        <x:v>0</x:v>
      </x:c>
      <x:c r="AA612" s="24" t="n">
        <x:f>IFERROR(F612/H612,0)-IFERROR(G612/I612,0)</x:f>
        <x:v>0.13333333333333333</x:v>
      </x:c>
      <x:c r="AB612" s="28" t="n">
        <x:f>J612-K612</x:f>
        <x:v>6</x:v>
      </x:c>
      <x:c r="AC612" s="32" t="n">
        <x:f>F612-G612</x:f>
        <x:v>2</x:v>
      </x:c>
    </x:row>
    <x:row r="613">
      <x:c r="A613" s="4" t="str">
        <x:v>2021-22</x:v>
      </x:c>
      <x:c r="B613" s="20" t="n">
        <x:v>44661</x:v>
      </x:c>
      <x:c r="C613" s="4" t="str">
        <x:v>Burnley</x:v>
      </x:c>
      <x:c r="D613" s="4" t="str">
        <x:v>Norwich</x:v>
      </x:c>
      <x:c r="E613" s="4" t="str">
        <x:v>Away</x:v>
      </x:c>
      <x:c r="F613" s="28" t="n">
        <x:v>0</x:v>
      </x:c>
      <x:c r="G613" s="28" t="n">
        <x:v>2</x:v>
      </x:c>
      <x:c r="H613" s="28" t="n">
        <x:v>18</x:v>
      </x:c>
      <x:c r="I613" s="28" t="n">
        <x:v>17</x:v>
      </x:c>
      <x:c r="J613" s="28" t="n">
        <x:v>4</x:v>
      </x:c>
      <x:c r="K613" s="28" t="n">
        <x:v>6</x:v>
      </x:c>
      <x:c r="L613" s="28" t="n">
        <x:v>7</x:v>
      </x:c>
      <x:c r="M613" s="28" t="n">
        <x:v>6</x:v>
      </x:c>
      <x:c r="N613" s="28" t="n">
        <x:v>1</x:v>
      </x:c>
      <x:c r="O613" s="28" t="n">
        <x:v>0</x:v>
      </x:c>
      <x:c r="P613" s="28" t="n">
        <x:v>0</x:v>
      </x:c>
      <x:c r="Q613" s="24" t="n">
        <x:f>IFERROR(J613/H613,0)</x:f>
        <x:v>0.2222222222222222</x:v>
      </x:c>
      <x:c r="R613" s="24" t="n">
        <x:f>IFERROR(F613/H613,0)</x:f>
        <x:v>0</x:v>
      </x:c>
      <x:c r="S613" s="24" t="n">
        <x:f>IFERROR(F613/J613,0)</x:f>
        <x:v>0</x:v>
      </x:c>
      <x:c r="T613" s="28" t="n">
        <x:f>H613-I613</x:f>
        <x:v>1</x:v>
      </x:c>
      <x:c r="U613" s="24" t="n">
        <x:f>IFERROR(J613/H613,0)-IFERROR(K613/I613,0)</x:f>
        <x:v>-0.13071895424836605</x:v>
      </x:c>
      <x:c r="V613" s="24" t="n">
        <x:f>IFERROR(F613/J613,0)-IFERROR(G613/K613,0)</x:f>
        <x:v>-0.3333333333333333</x:v>
      </x:c>
      <x:c r="W613" s="28" t="n">
        <x:f>L613-M613</x:f>
        <x:v>1</x:v>
      </x:c>
      <x:c r="X613" s="24" t="n">
        <x:f>IFERROR(K613/I613,0)</x:f>
        <x:v>0.35294117647058826</x:v>
      </x:c>
      <x:c r="Y613" s="24" t="n">
        <x:f>IFERROR(G613/I613,0)</x:f>
        <x:v>0.11764705882352941</x:v>
      </x:c>
      <x:c r="Z613" s="24" t="n">
        <x:f>IFERROR(G613/K613,0)</x:f>
        <x:v>0.3333333333333333</x:v>
      </x:c>
      <x:c r="AA613" s="24" t="n">
        <x:f>IFERROR(F613/H613,0)-IFERROR(G613/I613,0)</x:f>
        <x:v>-0.11764705882352941</x:v>
      </x:c>
      <x:c r="AB613" s="28" t="n">
        <x:f>J613-K613</x:f>
        <x:v>-2</x:v>
      </x:c>
      <x:c r="AC613" s="32" t="n">
        <x:f>F613-G613</x:f>
        <x:v>-2</x:v>
      </x:c>
    </x:row>
    <x:row r="614">
      <x:c r="A614" s="4" t="str">
        <x:v>2021-22</x:v>
      </x:c>
      <x:c r="B614" s="20" t="n">
        <x:v>44661</x:v>
      </x:c>
      <x:c r="C614" s="4" t="str">
        <x:v>Crystal Palace</x:v>
      </x:c>
      <x:c r="D614" s="4" t="str">
        <x:v>Leicester</x:v>
      </x:c>
      <x:c r="E614" s="4" t="str">
        <x:v>Away</x:v>
      </x:c>
      <x:c r="F614" s="28" t="n">
        <x:v>1</x:v>
      </x:c>
      <x:c r="G614" s="28" t="n">
        <x:v>2</x:v>
      </x:c>
      <x:c r="H614" s="28" t="n">
        <x:v>11</x:v>
      </x:c>
      <x:c r="I614" s="28" t="n">
        <x:v>12</x:v>
      </x:c>
      <x:c r="J614" s="28" t="n">
        <x:v>3</x:v>
      </x:c>
      <x:c r="K614" s="28" t="n">
        <x:v>3</x:v>
      </x:c>
      <x:c r="L614" s="28" t="n">
        <x:v>4</x:v>
      </x:c>
      <x:c r="M614" s="28" t="n">
        <x:v>3</x:v>
      </x:c>
      <x:c r="N614" s="28" t="n">
        <x:v>1</x:v>
      </x:c>
      <x:c r="O614" s="28" t="n">
        <x:v>0</x:v>
      </x:c>
      <x:c r="P614" s="28" t="n">
        <x:v>0</x:v>
      </x:c>
      <x:c r="Q614" s="24" t="n">
        <x:f>IFERROR(J614/H614,0)</x:f>
        <x:v>0.2727272727272727</x:v>
      </x:c>
      <x:c r="R614" s="24" t="n">
        <x:f>IFERROR(F614/H614,0)</x:f>
        <x:v>0.09090909090909091</x:v>
      </x:c>
      <x:c r="S614" s="24" t="n">
        <x:f>IFERROR(F614/J614,0)</x:f>
        <x:v>0.3333333333333333</x:v>
      </x:c>
      <x:c r="T614" s="28" t="n">
        <x:f>H614-I614</x:f>
        <x:v>-1</x:v>
      </x:c>
      <x:c r="U614" s="24" t="n">
        <x:f>IFERROR(J614/H614,0)-IFERROR(K614/I614,0)</x:f>
        <x:v>0.022727272727272707</x:v>
      </x:c>
      <x:c r="V614" s="24" t="n">
        <x:f>IFERROR(F614/J614,0)-IFERROR(G614/K614,0)</x:f>
        <x:v>-0.3333333333333333</x:v>
      </x:c>
      <x:c r="W614" s="28" t="n">
        <x:f>L614-M614</x:f>
        <x:v>1</x:v>
      </x:c>
      <x:c r="X614" s="24" t="n">
        <x:f>IFERROR(K614/I614,0)</x:f>
        <x:v>0.25</x:v>
      </x:c>
      <x:c r="Y614" s="24" t="n">
        <x:f>IFERROR(G614/I614,0)</x:f>
        <x:v>0.16666666666666666</x:v>
      </x:c>
      <x:c r="Z614" s="24" t="n">
        <x:f>IFERROR(G614/K614,0)</x:f>
        <x:v>0.6666666666666666</x:v>
      </x:c>
      <x:c r="AA614" s="24" t="n">
        <x:f>IFERROR(F614/H614,0)-IFERROR(G614/I614,0)</x:f>
        <x:v>-0.07575757575757575</x:v>
      </x:c>
      <x:c r="AB614" s="28" t="n">
        <x:f>J614-K614</x:f>
        <x:v>0</x:v>
      </x:c>
      <x:c r="AC614" s="32" t="n">
        <x:f>F614-G614</x:f>
        <x:v>-1</x:v>
      </x:c>
    </x:row>
    <x:row r="615">
      <x:c r="A615" s="4" t="str">
        <x:v>2021-22</x:v>
      </x:c>
      <x:c r="B615" s="20" t="n">
        <x:v>44661</x:v>
      </x:c>
      <x:c r="C615" s="4" t="str">
        <x:v>Leicester</x:v>
      </x:c>
      <x:c r="D615" s="4" t="str">
        <x:v>Crystal Palace</x:v>
      </x:c>
      <x:c r="E615" s="4" t="str">
        <x:v>Home</x:v>
      </x:c>
      <x:c r="F615" s="28" t="n">
        <x:v>2</x:v>
      </x:c>
      <x:c r="G615" s="28" t="n">
        <x:v>1</x:v>
      </x:c>
      <x:c r="H615" s="28" t="n">
        <x:v>12</x:v>
      </x:c>
      <x:c r="I615" s="28" t="n">
        <x:v>11</x:v>
      </x:c>
      <x:c r="J615" s="28" t="n">
        <x:v>3</x:v>
      </x:c>
      <x:c r="K615" s="28" t="n">
        <x:v>3</x:v>
      </x:c>
      <x:c r="L615" s="28" t="n">
        <x:v>3</x:v>
      </x:c>
      <x:c r="M615" s="28" t="n">
        <x:v>4</x:v>
      </x:c>
      <x:c r="N615" s="28" t="n">
        <x:v>1</x:v>
      </x:c>
      <x:c r="O615" s="28" t="n">
        <x:v>0</x:v>
      </x:c>
      <x:c r="P615" s="28" t="n">
        <x:v>3</x:v>
      </x:c>
      <x:c r="Q615" s="24" t="n">
        <x:f>IFERROR(J615/H615,0)</x:f>
        <x:v>0.25</x:v>
      </x:c>
      <x:c r="R615" s="24" t="n">
        <x:f>IFERROR(F615/H615,0)</x:f>
        <x:v>0.16666666666666666</x:v>
      </x:c>
      <x:c r="S615" s="24" t="n">
        <x:f>IFERROR(F615/J615,0)</x:f>
        <x:v>0.6666666666666666</x:v>
      </x:c>
      <x:c r="T615" s="28" t="n">
        <x:f>H615-I615</x:f>
        <x:v>1</x:v>
      </x:c>
      <x:c r="U615" s="24" t="n">
        <x:f>IFERROR(J615/H615,0)-IFERROR(K615/I615,0)</x:f>
        <x:v>-0.022727272727272707</x:v>
      </x:c>
      <x:c r="V615" s="24" t="n">
        <x:f>IFERROR(F615/J615,0)-IFERROR(G615/K615,0)</x:f>
        <x:v>0.3333333333333333</x:v>
      </x:c>
      <x:c r="W615" s="28" t="n">
        <x:f>L615-M615</x:f>
        <x:v>-1</x:v>
      </x:c>
      <x:c r="X615" s="24" t="n">
        <x:f>IFERROR(K615/I615,0)</x:f>
        <x:v>0.2727272727272727</x:v>
      </x:c>
      <x:c r="Y615" s="24" t="n">
        <x:f>IFERROR(G615/I615,0)</x:f>
        <x:v>0.09090909090909091</x:v>
      </x:c>
      <x:c r="Z615" s="24" t="n">
        <x:f>IFERROR(G615/K615,0)</x:f>
        <x:v>0.3333333333333333</x:v>
      </x:c>
      <x:c r="AA615" s="24" t="n">
        <x:f>IFERROR(F615/H615,0)-IFERROR(G615/I615,0)</x:f>
        <x:v>0.07575757575757575</x:v>
      </x:c>
      <x:c r="AB615" s="28" t="n">
        <x:f>J615-K615</x:f>
        <x:v>0</x:v>
      </x:c>
      <x:c r="AC615" s="32" t="n">
        <x:f>F615-G615</x:f>
        <x:v>1</x:v>
      </x:c>
    </x:row>
    <x:row r="616">
      <x:c r="A616" s="4" t="str">
        <x:v>2021-22</x:v>
      </x:c>
      <x:c r="B616" s="20" t="n">
        <x:v>44661</x:v>
      </x:c>
      <x:c r="C616" s="4" t="str">
        <x:v>Liverpool</x:v>
      </x:c>
      <x:c r="D616" s="4" t="str">
        <x:v>Man City</x:v>
      </x:c>
      <x:c r="E616" s="4" t="str">
        <x:v>Away</x:v>
      </x:c>
      <x:c r="F616" s="28" t="n">
        <x:v>2</x:v>
      </x:c>
      <x:c r="G616" s="28" t="n">
        <x:v>2</x:v>
      </x:c>
      <x:c r="H616" s="28" t="n">
        <x:v>6</x:v>
      </x:c>
      <x:c r="I616" s="28" t="n">
        <x:v>11</x:v>
      </x:c>
      <x:c r="J616" s="28" t="n">
        <x:v>4</x:v>
      </x:c>
      <x:c r="K616" s="28" t="n">
        <x:v>5</x:v>
      </x:c>
      <x:c r="L616" s="28" t="n">
        <x:v>1</x:v>
      </x:c>
      <x:c r="M616" s="28" t="n">
        <x:v>4</x:v>
      </x:c>
      <x:c r="N616" s="28" t="n">
        <x:v>4</x:v>
      </x:c>
      <x:c r="O616" s="28" t="n">
        <x:v>0</x:v>
      </x:c>
      <x:c r="P616" s="28" t="n">
        <x:v>1</x:v>
      </x:c>
      <x:c r="Q616" s="24" t="n">
        <x:f>IFERROR(J616/H616,0)</x:f>
        <x:v>0.6666666666666666</x:v>
      </x:c>
      <x:c r="R616" s="24" t="n">
        <x:f>IFERROR(F616/H616,0)</x:f>
        <x:v>0.3333333333333333</x:v>
      </x:c>
      <x:c r="S616" s="24" t="n">
        <x:f>IFERROR(F616/J616,0)</x:f>
        <x:v>0.5</x:v>
      </x:c>
      <x:c r="T616" s="28" t="n">
        <x:f>H616-I616</x:f>
        <x:v>-5</x:v>
      </x:c>
      <x:c r="U616" s="24" t="n">
        <x:f>IFERROR(J616/H616,0)-IFERROR(K616/I616,0)</x:f>
        <x:v>0.2121212121212121</x:v>
      </x:c>
      <x:c r="V616" s="24" t="n">
        <x:f>IFERROR(F616/J616,0)-IFERROR(G616/K616,0)</x:f>
        <x:v>0.09999999999999998</x:v>
      </x:c>
      <x:c r="W616" s="28" t="n">
        <x:f>L616-M616</x:f>
        <x:v>-3</x:v>
      </x:c>
      <x:c r="X616" s="24" t="n">
        <x:f>IFERROR(K616/I616,0)</x:f>
        <x:v>0.45454545454545453</x:v>
      </x:c>
      <x:c r="Y616" s="24" t="n">
        <x:f>IFERROR(G616/I616,0)</x:f>
        <x:v>0.18181818181818182</x:v>
      </x:c>
      <x:c r="Z616" s="24" t="n">
        <x:f>IFERROR(G616/K616,0)</x:f>
        <x:v>0.4</x:v>
      </x:c>
      <x:c r="AA616" s="24" t="n">
        <x:f>IFERROR(F616/H616,0)-IFERROR(G616/I616,0)</x:f>
        <x:v>0.1515151515151515</x:v>
      </x:c>
      <x:c r="AB616" s="28" t="n">
        <x:f>J616-K616</x:f>
        <x:v>-1</x:v>
      </x:c>
      <x:c r="AC616" s="32" t="n">
        <x:f>F616-G616</x:f>
        <x:v>0</x:v>
      </x:c>
    </x:row>
    <x:row r="617">
      <x:c r="A617" s="4" t="str">
        <x:v>2021-22</x:v>
      </x:c>
      <x:c r="B617" s="20" t="n">
        <x:v>44661</x:v>
      </x:c>
      <x:c r="C617" s="4" t="str">
        <x:v>Man City</x:v>
      </x:c>
      <x:c r="D617" s="4" t="str">
        <x:v>Liverpool</x:v>
      </x:c>
      <x:c r="E617" s="4" t="str">
        <x:v>Home</x:v>
      </x:c>
      <x:c r="F617" s="28" t="n">
        <x:v>2</x:v>
      </x:c>
      <x:c r="G617" s="28" t="n">
        <x:v>2</x:v>
      </x:c>
      <x:c r="H617" s="28" t="n">
        <x:v>11</x:v>
      </x:c>
      <x:c r="I617" s="28" t="n">
        <x:v>6</x:v>
      </x:c>
      <x:c r="J617" s="28" t="n">
        <x:v>5</x:v>
      </x:c>
      <x:c r="K617" s="28" t="n">
        <x:v>4</x:v>
      </x:c>
      <x:c r="L617" s="28" t="n">
        <x:v>4</x:v>
      </x:c>
      <x:c r="M617" s="28" t="n">
        <x:v>1</x:v>
      </x:c>
      <x:c r="N617" s="28" t="n">
        <x:v>1</x:v>
      </x:c>
      <x:c r="O617" s="28" t="n">
        <x:v>0</x:v>
      </x:c>
      <x:c r="P617" s="28" t="n">
        <x:v>1</x:v>
      </x:c>
      <x:c r="Q617" s="24" t="n">
        <x:f>IFERROR(J617/H617,0)</x:f>
        <x:v>0.45454545454545453</x:v>
      </x:c>
      <x:c r="R617" s="24" t="n">
        <x:f>IFERROR(F617/H617,0)</x:f>
        <x:v>0.18181818181818182</x:v>
      </x:c>
      <x:c r="S617" s="24" t="n">
        <x:f>IFERROR(F617/J617,0)</x:f>
        <x:v>0.4</x:v>
      </x:c>
      <x:c r="T617" s="28" t="n">
        <x:f>H617-I617</x:f>
        <x:v>5</x:v>
      </x:c>
      <x:c r="U617" s="24" t="n">
        <x:f>IFERROR(J617/H617,0)-IFERROR(K617/I617,0)</x:f>
        <x:v>-0.2121212121212121</x:v>
      </x:c>
      <x:c r="V617" s="24" t="n">
        <x:f>IFERROR(F617/J617,0)-IFERROR(G617/K617,0)</x:f>
        <x:v>-0.09999999999999998</x:v>
      </x:c>
      <x:c r="W617" s="28" t="n">
        <x:f>L617-M617</x:f>
        <x:v>3</x:v>
      </x:c>
      <x:c r="X617" s="24" t="n">
        <x:f>IFERROR(K617/I617,0)</x:f>
        <x:v>0.6666666666666666</x:v>
      </x:c>
      <x:c r="Y617" s="24" t="n">
        <x:f>IFERROR(G617/I617,0)</x:f>
        <x:v>0.3333333333333333</x:v>
      </x:c>
      <x:c r="Z617" s="24" t="n">
        <x:f>IFERROR(G617/K617,0)</x:f>
        <x:v>0.5</x:v>
      </x:c>
      <x:c r="AA617" s="24" t="n">
        <x:f>IFERROR(F617/H617,0)-IFERROR(G617/I617,0)</x:f>
        <x:v>-0.1515151515151515</x:v>
      </x:c>
      <x:c r="AB617" s="28" t="n">
        <x:f>J617-K617</x:f>
        <x:v>1</x:v>
      </x:c>
      <x:c r="AC617" s="32" t="n">
        <x:f>F617-G617</x:f>
        <x:v>0</x:v>
      </x:c>
    </x:row>
    <x:row r="618">
      <x:c r="A618" s="4" t="str">
        <x:v>2021-22</x:v>
      </x:c>
      <x:c r="B618" s="20" t="n">
        <x:v>44661</x:v>
      </x:c>
      <x:c r="C618" s="4" t="str">
        <x:v>Norwich</x:v>
      </x:c>
      <x:c r="D618" s="4" t="str">
        <x:v>Burnley</x:v>
      </x:c>
      <x:c r="E618" s="4" t="str">
        <x:v>Home</x:v>
      </x:c>
      <x:c r="F618" s="28" t="n">
        <x:v>2</x:v>
      </x:c>
      <x:c r="G618" s="28" t="n">
        <x:v>0</x:v>
      </x:c>
      <x:c r="H618" s="28" t="n">
        <x:v>17</x:v>
      </x:c>
      <x:c r="I618" s="28" t="n">
        <x:v>18</x:v>
      </x:c>
      <x:c r="J618" s="28" t="n">
        <x:v>6</x:v>
      </x:c>
      <x:c r="K618" s="28" t="n">
        <x:v>4</x:v>
      </x:c>
      <x:c r="L618" s="28" t="n">
        <x:v>6</x:v>
      </x:c>
      <x:c r="M618" s="28" t="n">
        <x:v>7</x:v>
      </x:c>
      <x:c r="N618" s="28" t="n">
        <x:v>1</x:v>
      </x:c>
      <x:c r="O618" s="28" t="n">
        <x:v>0</x:v>
      </x:c>
      <x:c r="P618" s="28" t="n">
        <x:v>3</x:v>
      </x:c>
      <x:c r="Q618" s="24" t="n">
        <x:f>IFERROR(J618/H618,0)</x:f>
        <x:v>0.35294117647058826</x:v>
      </x:c>
      <x:c r="R618" s="24" t="n">
        <x:f>IFERROR(F618/H618,0)</x:f>
        <x:v>0.11764705882352941</x:v>
      </x:c>
      <x:c r="S618" s="24" t="n">
        <x:f>IFERROR(F618/J618,0)</x:f>
        <x:v>0.3333333333333333</x:v>
      </x:c>
      <x:c r="T618" s="28" t="n">
        <x:f>H618-I618</x:f>
        <x:v>-1</x:v>
      </x:c>
      <x:c r="U618" s="24" t="n">
        <x:f>IFERROR(J618/H618,0)-IFERROR(K618/I618,0)</x:f>
        <x:v>0.13071895424836605</x:v>
      </x:c>
      <x:c r="V618" s="24" t="n">
        <x:f>IFERROR(F618/J618,0)-IFERROR(G618/K618,0)</x:f>
        <x:v>0.3333333333333333</x:v>
      </x:c>
      <x:c r="W618" s="28" t="n">
        <x:f>L618-M618</x:f>
        <x:v>-1</x:v>
      </x:c>
      <x:c r="X618" s="24" t="n">
        <x:f>IFERROR(K618/I618,0)</x:f>
        <x:v>0.2222222222222222</x:v>
      </x:c>
      <x:c r="Y618" s="24" t="n">
        <x:f>IFERROR(G618/I618,0)</x:f>
        <x:v>0</x:v>
      </x:c>
      <x:c r="Z618" s="24" t="n">
        <x:f>IFERROR(G618/K618,0)</x:f>
        <x:v>0</x:v>
      </x:c>
      <x:c r="AA618" s="24" t="n">
        <x:f>IFERROR(F618/H618,0)-IFERROR(G618/I618,0)</x:f>
        <x:v>0.11764705882352941</x:v>
      </x:c>
      <x:c r="AB618" s="28" t="n">
        <x:f>J618-K618</x:f>
        <x:v>2</x:v>
      </x:c>
      <x:c r="AC618" s="32" t="n">
        <x:f>F618-G618</x:f>
        <x:v>2</x:v>
      </x:c>
    </x:row>
    <x:row r="619">
      <x:c r="A619" s="4" t="str">
        <x:v>2021-22</x:v>
      </x:c>
      <x:c r="B619" s="20" t="n">
        <x:v>44661</x:v>
      </x:c>
      <x:c r="C619" s="4" t="str">
        <x:v>West Ham</x:v>
      </x:c>
      <x:c r="D619" s="4" t="str">
        <x:v>Brentford</x:v>
      </x:c>
      <x:c r="E619" s="4" t="str">
        <x:v>Away</x:v>
      </x:c>
      <x:c r="F619" s="28" t="n">
        <x:v>0</x:v>
      </x:c>
      <x:c r="G619" s="28" t="n">
        <x:v>2</x:v>
      </x:c>
      <x:c r="H619" s="28" t="n">
        <x:v>5</x:v>
      </x:c>
      <x:c r="I619" s="28" t="n">
        <x:v>15</x:v>
      </x:c>
      <x:c r="J619" s="28" t="n">
        <x:v>1</x:v>
      </x:c>
      <x:c r="K619" s="28" t="n">
        <x:v>7</x:v>
      </x:c>
      <x:c r="L619" s="28" t="n">
        <x:v>6</x:v>
      </x:c>
      <x:c r="M619" s="28" t="n">
        <x:v>4</x:v>
      </x:c>
      <x:c r="N619" s="28" t="n">
        <x:v>1</x:v>
      </x:c>
      <x:c r="O619" s="28" t="n">
        <x:v>0</x:v>
      </x:c>
      <x:c r="P619" s="28" t="n">
        <x:v>0</x:v>
      </x:c>
      <x:c r="Q619" s="24" t="n">
        <x:f>IFERROR(J619/H619,0)</x:f>
        <x:v>0.2</x:v>
      </x:c>
      <x:c r="R619" s="24" t="n">
        <x:f>IFERROR(F619/H619,0)</x:f>
        <x:v>0</x:v>
      </x:c>
      <x:c r="S619" s="24" t="n">
        <x:f>IFERROR(F619/J619,0)</x:f>
        <x:v>0</x:v>
      </x:c>
      <x:c r="T619" s="28" t="n">
        <x:f>H619-I619</x:f>
        <x:v>-10</x:v>
      </x:c>
      <x:c r="U619" s="24" t="n">
        <x:f>IFERROR(J619/H619,0)-IFERROR(K619/I619,0)</x:f>
        <x:v>-0.26666666666666666</x:v>
      </x:c>
      <x:c r="V619" s="24" t="n">
        <x:f>IFERROR(F619/J619,0)-IFERROR(G619/K619,0)</x:f>
        <x:v>-0.2857142857142857</x:v>
      </x:c>
      <x:c r="W619" s="28" t="n">
        <x:f>L619-M619</x:f>
        <x:v>2</x:v>
      </x:c>
      <x:c r="X619" s="24" t="n">
        <x:f>IFERROR(K619/I619,0)</x:f>
        <x:v>0.4666666666666667</x:v>
      </x:c>
      <x:c r="Y619" s="24" t="n">
        <x:f>IFERROR(G619/I619,0)</x:f>
        <x:v>0.13333333333333333</x:v>
      </x:c>
      <x:c r="Z619" s="24" t="n">
        <x:f>IFERROR(G619/K619,0)</x:f>
        <x:v>0.2857142857142857</x:v>
      </x:c>
      <x:c r="AA619" s="24" t="n">
        <x:f>IFERROR(F619/H619,0)-IFERROR(G619/I619,0)</x:f>
        <x:v>-0.13333333333333333</x:v>
      </x:c>
      <x:c r="AB619" s="28" t="n">
        <x:f>J619-K619</x:f>
        <x:v>-6</x:v>
      </x:c>
      <x:c r="AC619" s="32" t="n">
        <x:f>F619-G619</x:f>
        <x:v>-2</x:v>
      </x:c>
    </x:row>
    <x:row r="620">
      <x:c r="A620" s="4" t="str">
        <x:v>2021-22</x:v>
      </x:c>
      <x:c r="B620" s="20" t="n">
        <x:v>44667</x:v>
      </x:c>
      <x:c r="C620" s="4" t="str">
        <x:v>Arsenal</x:v>
      </x:c>
      <x:c r="D620" s="4" t="str">
        <x:v>Southampton</x:v>
      </x:c>
      <x:c r="E620" s="4" t="str">
        <x:v>Away</x:v>
      </x:c>
      <x:c r="F620" s="28" t="n">
        <x:v>0</x:v>
      </x:c>
      <x:c r="G620" s="28" t="n">
        <x:v>1</x:v>
      </x:c>
      <x:c r="H620" s="28" t="n">
        <x:v>23</x:v>
      </x:c>
      <x:c r="I620" s="28" t="n">
        <x:v>9</x:v>
      </x:c>
      <x:c r="J620" s="28" t="n">
        <x:v>6</x:v>
      </x:c>
      <x:c r="K620" s="28" t="n">
        <x:v>3</x:v>
      </x:c>
      <x:c r="L620" s="28" t="n">
        <x:v>8</x:v>
      </x:c>
      <x:c r="M620" s="28" t="n">
        <x:v>6</x:v>
      </x:c>
      <x:c r="N620" s="28" t="n">
        <x:v>1</x:v>
      </x:c>
      <x:c r="O620" s="28" t="n">
        <x:v>0</x:v>
      </x:c>
      <x:c r="P620" s="28" t="n">
        <x:v>0</x:v>
      </x:c>
      <x:c r="Q620" s="24" t="n">
        <x:f>IFERROR(J620/H620,0)</x:f>
        <x:v>0.2608695652173913</x:v>
      </x:c>
      <x:c r="R620" s="24" t="n">
        <x:f>IFERROR(F620/H620,0)</x:f>
        <x:v>0</x:v>
      </x:c>
      <x:c r="S620" s="24" t="n">
        <x:f>IFERROR(F620/J620,0)</x:f>
        <x:v>0</x:v>
      </x:c>
      <x:c r="T620" s="28" t="n">
        <x:f>H620-I620</x:f>
        <x:v>14</x:v>
      </x:c>
      <x:c r="U620" s="24" t="n">
        <x:f>IFERROR(J620/H620,0)-IFERROR(K620/I620,0)</x:f>
        <x:v>-0.07246376811594202</x:v>
      </x:c>
      <x:c r="V620" s="24" t="n">
        <x:f>IFERROR(F620/J620,0)-IFERROR(G620/K620,0)</x:f>
        <x:v>-0.3333333333333333</x:v>
      </x:c>
      <x:c r="W620" s="28" t="n">
        <x:f>L620-M620</x:f>
        <x:v>2</x:v>
      </x:c>
      <x:c r="X620" s="24" t="n">
        <x:f>IFERROR(K620/I620,0)</x:f>
        <x:v>0.3333333333333333</x:v>
      </x:c>
      <x:c r="Y620" s="24" t="n">
        <x:f>IFERROR(G620/I620,0)</x:f>
        <x:v>0.1111111111111111</x:v>
      </x:c>
      <x:c r="Z620" s="24" t="n">
        <x:f>IFERROR(G620/K620,0)</x:f>
        <x:v>0.3333333333333333</x:v>
      </x:c>
      <x:c r="AA620" s="24" t="n">
        <x:f>IFERROR(F620/H620,0)-IFERROR(G620/I620,0)</x:f>
        <x:v>-0.1111111111111111</x:v>
      </x:c>
      <x:c r="AB620" s="28" t="n">
        <x:f>J620-K620</x:f>
        <x:v>3</x:v>
      </x:c>
      <x:c r="AC620" s="32" t="n">
        <x:f>F620-G620</x:f>
        <x:v>-1</x:v>
      </x:c>
    </x:row>
    <x:row r="621">
      <x:c r="A621" s="4" t="str">
        <x:v>2021-22</x:v>
      </x:c>
      <x:c r="B621" s="20" t="n">
        <x:v>44667</x:v>
      </x:c>
      <x:c r="C621" s="4" t="str">
        <x:v>Brentford</x:v>
      </x:c>
      <x:c r="D621" s="4" t="str">
        <x:v>Watford</x:v>
      </x:c>
      <x:c r="E621" s="4" t="str">
        <x:v>Away</x:v>
      </x:c>
      <x:c r="F621" s="28" t="n">
        <x:v>2</x:v>
      </x:c>
      <x:c r="G621" s="28" t="n">
        <x:v>1</x:v>
      </x:c>
      <x:c r="H621" s="28" t="n">
        <x:v>16</x:v>
      </x:c>
      <x:c r="I621" s="28" t="n">
        <x:v>17</x:v>
      </x:c>
      <x:c r="J621" s="28" t="n">
        <x:v>5</x:v>
      </x:c>
      <x:c r="K621" s="28" t="n">
        <x:v>4</x:v>
      </x:c>
      <x:c r="L621" s="28" t="n">
        <x:v>5</x:v>
      </x:c>
      <x:c r="M621" s="28" t="n">
        <x:v>6</x:v>
      </x:c>
      <x:c r="N621" s="28" t="n">
        <x:v>1</x:v>
      </x:c>
      <x:c r="O621" s="28" t="n">
        <x:v>0</x:v>
      </x:c>
      <x:c r="P621" s="28" t="n">
        <x:v>3</x:v>
      </x:c>
      <x:c r="Q621" s="24" t="n">
        <x:f>IFERROR(J621/H621,0)</x:f>
        <x:v>0.3125</x:v>
      </x:c>
      <x:c r="R621" s="24" t="n">
        <x:f>IFERROR(F621/H621,0)</x:f>
        <x:v>0.125</x:v>
      </x:c>
      <x:c r="S621" s="24" t="n">
        <x:f>IFERROR(F621/J621,0)</x:f>
        <x:v>0.4</x:v>
      </x:c>
      <x:c r="T621" s="28" t="n">
        <x:f>H621-I621</x:f>
        <x:v>-1</x:v>
      </x:c>
      <x:c r="U621" s="24" t="n">
        <x:f>IFERROR(J621/H621,0)-IFERROR(K621/I621,0)</x:f>
        <x:v>0.07720588235294118</x:v>
      </x:c>
      <x:c r="V621" s="24" t="n">
        <x:f>IFERROR(F621/J621,0)-IFERROR(G621/K621,0)</x:f>
        <x:v>0.15000000000000002</x:v>
      </x:c>
      <x:c r="W621" s="28" t="n">
        <x:f>L621-M621</x:f>
        <x:v>-1</x:v>
      </x:c>
      <x:c r="X621" s="24" t="n">
        <x:f>IFERROR(K621/I621,0)</x:f>
        <x:v>0.23529411764705882</x:v>
      </x:c>
      <x:c r="Y621" s="24" t="n">
        <x:f>IFERROR(G621/I621,0)</x:f>
        <x:v>0.058823529411764705</x:v>
      </x:c>
      <x:c r="Z621" s="24" t="n">
        <x:f>IFERROR(G621/K621,0)</x:f>
        <x:v>0.25</x:v>
      </x:c>
      <x:c r="AA621" s="24" t="n">
        <x:f>IFERROR(F621/H621,0)-IFERROR(G621/I621,0)</x:f>
        <x:v>0.0661764705882353</x:v>
      </x:c>
      <x:c r="AB621" s="28" t="n">
        <x:f>J621-K621</x:f>
        <x:v>1</x:v>
      </x:c>
      <x:c r="AC621" s="32" t="n">
        <x:f>F621-G621</x:f>
        <x:v>1</x:v>
      </x:c>
    </x:row>
    <x:row r="622">
      <x:c r="A622" s="4" t="str">
        <x:v>2021-22</x:v>
      </x:c>
      <x:c r="B622" s="20" t="n">
        <x:v>44667</x:v>
      </x:c>
      <x:c r="C622" s="4" t="str">
        <x:v>Brighton</x:v>
      </x:c>
      <x:c r="D622" s="4" t="str">
        <x:v>Tottenham</x:v>
      </x:c>
      <x:c r="E622" s="4" t="str">
        <x:v>Away</x:v>
      </x:c>
      <x:c r="F622" s="28" t="n">
        <x:v>1</x:v>
      </x:c>
      <x:c r="G622" s="28" t="n">
        <x:v>0</x:v>
      </x:c>
      <x:c r="H622" s="28" t="n">
        <x:v>12</x:v>
      </x:c>
      <x:c r="I622" s="28" t="n">
        <x:v>5</x:v>
      </x:c>
      <x:c r="J622" s="28" t="n">
        <x:v>5</x:v>
      </x:c>
      <x:c r="K622" s="28" t="n">
        <x:v>0</x:v>
      </x:c>
      <x:c r="L622" s="28" t="n">
        <x:v>4</x:v>
      </x:c>
      <x:c r="M622" s="28" t="n">
        <x:v>4</x:v>
      </x:c>
      <x:c r="N622" s="28" t="n">
        <x:v>3</x:v>
      </x:c>
      <x:c r="O622" s="28" t="n">
        <x:v>0</x:v>
      </x:c>
      <x:c r="P622" s="28" t="n">
        <x:v>3</x:v>
      </x:c>
      <x:c r="Q622" s="24" t="n">
        <x:f>IFERROR(J622/H622,0)</x:f>
        <x:v>0.4166666666666667</x:v>
      </x:c>
      <x:c r="R622" s="24" t="n">
        <x:f>IFERROR(F622/H622,0)</x:f>
        <x:v>0.08333333333333333</x:v>
      </x:c>
      <x:c r="S622" s="24" t="n">
        <x:f>IFERROR(F622/J622,0)</x:f>
        <x:v>0.2</x:v>
      </x:c>
      <x:c r="T622" s="28" t="n">
        <x:f>H622-I622</x:f>
        <x:v>7</x:v>
      </x:c>
      <x:c r="U622" s="24" t="n">
        <x:f>IFERROR(J622/H622,0)-IFERROR(K622/I622,0)</x:f>
        <x:v>0.4166666666666667</x:v>
      </x:c>
      <x:c r="V622" s="24" t="n">
        <x:f>IFERROR(F622/J622,0)-IFERROR(G622/K622,0)</x:f>
        <x:v>0.2</x:v>
      </x:c>
      <x:c r="W622" s="28" t="n">
        <x:f>L622-M622</x:f>
        <x:v>0</x:v>
      </x:c>
      <x:c r="X622" s="24" t="n">
        <x:f>IFERROR(K622/I622,0)</x:f>
        <x:v>0</x:v>
      </x:c>
      <x:c r="Y622" s="24" t="n">
        <x:f>IFERROR(G622/I622,0)</x:f>
        <x:v>0</x:v>
      </x:c>
      <x:c r="Z622" s="24" t="n">
        <x:f>IFERROR(G622/K622,0)</x:f>
        <x:v>0</x:v>
      </x:c>
      <x:c r="AA622" s="24" t="n">
        <x:f>IFERROR(F622/H622,0)-IFERROR(G622/I622,0)</x:f>
        <x:v>0.08333333333333333</x:v>
      </x:c>
      <x:c r="AB622" s="28" t="n">
        <x:f>J622-K622</x:f>
        <x:v>5</x:v>
      </x:c>
      <x:c r="AC622" s="32" t="n">
        <x:f>F622-G622</x:f>
        <x:v>1</x:v>
      </x:c>
    </x:row>
    <x:row r="623">
      <x:c r="A623" s="4" t="str">
        <x:v>2021-22</x:v>
      </x:c>
      <x:c r="B623" s="20" t="n">
        <x:v>44667</x:v>
      </x:c>
      <x:c r="C623" s="4" t="str">
        <x:v>Man United</x:v>
      </x:c>
      <x:c r="D623" s="4" t="str">
        <x:v>Norwich</x:v>
      </x:c>
      <x:c r="E623" s="4" t="str">
        <x:v>Home</x:v>
      </x:c>
      <x:c r="F623" s="28" t="n">
        <x:v>3</x:v>
      </x:c>
      <x:c r="G623" s="28" t="n">
        <x:v>2</x:v>
      </x:c>
      <x:c r="H623" s="28" t="n">
        <x:v>20</x:v>
      </x:c>
      <x:c r="I623" s="28" t="n">
        <x:v>15</x:v>
      </x:c>
      <x:c r="J623" s="28" t="n">
        <x:v>9</x:v>
      </x:c>
      <x:c r="K623" s="28" t="n">
        <x:v>4</x:v>
      </x:c>
      <x:c r="L623" s="28" t="n">
        <x:v>6</x:v>
      </x:c>
      <x:c r="M623" s="28" t="n">
        <x:v>7</x:v>
      </x:c>
      <x:c r="N623" s="28" t="n">
        <x:v>0</x:v>
      </x:c>
      <x:c r="O623" s="28" t="n">
        <x:v>0</x:v>
      </x:c>
      <x:c r="P623" s="28" t="n">
        <x:v>3</x:v>
      </x:c>
      <x:c r="Q623" s="24" t="n">
        <x:f>IFERROR(J623/H623,0)</x:f>
        <x:v>0.45</x:v>
      </x:c>
      <x:c r="R623" s="24" t="n">
        <x:f>IFERROR(F623/H623,0)</x:f>
        <x:v>0.15</x:v>
      </x:c>
      <x:c r="S623" s="24" t="n">
        <x:f>IFERROR(F623/J623,0)</x:f>
        <x:v>0.3333333333333333</x:v>
      </x:c>
      <x:c r="T623" s="28" t="n">
        <x:f>H623-I623</x:f>
        <x:v>5</x:v>
      </x:c>
      <x:c r="U623" s="24" t="n">
        <x:f>IFERROR(J623/H623,0)-IFERROR(K623/I623,0)</x:f>
        <x:v>0.18333333333333335</x:v>
      </x:c>
      <x:c r="V623" s="24" t="n">
        <x:f>IFERROR(F623/J623,0)-IFERROR(G623/K623,0)</x:f>
        <x:v>-0.16666666666666669</x:v>
      </x:c>
      <x:c r="W623" s="28" t="n">
        <x:f>L623-M623</x:f>
        <x:v>-1</x:v>
      </x:c>
      <x:c r="X623" s="24" t="n">
        <x:f>IFERROR(K623/I623,0)</x:f>
        <x:v>0.26666666666666666</x:v>
      </x:c>
      <x:c r="Y623" s="24" t="n">
        <x:f>IFERROR(G623/I623,0)</x:f>
        <x:v>0.13333333333333333</x:v>
      </x:c>
      <x:c r="Z623" s="24" t="n">
        <x:f>IFERROR(G623/K623,0)</x:f>
        <x:v>0.5</x:v>
      </x:c>
      <x:c r="AA623" s="24" t="n">
        <x:f>IFERROR(F623/H623,0)-IFERROR(G623/I623,0)</x:f>
        <x:v>0.016666666666666663</x:v>
      </x:c>
      <x:c r="AB623" s="28" t="n">
        <x:f>J623-K623</x:f>
        <x:v>5</x:v>
      </x:c>
      <x:c r="AC623" s="32" t="n">
        <x:f>F623-G623</x:f>
        <x:v>1</x:v>
      </x:c>
    </x:row>
    <x:row r="624">
      <x:c r="A624" s="4" t="str">
        <x:v>2021-22</x:v>
      </x:c>
      <x:c r="B624" s="20" t="n">
        <x:v>44667</x:v>
      </x:c>
      <x:c r="C624" s="4" t="str">
        <x:v>Norwich</x:v>
      </x:c>
      <x:c r="D624" s="4" t="str">
        <x:v>Man United</x:v>
      </x:c>
      <x:c r="E624" s="4" t="str">
        <x:v>Away</x:v>
      </x:c>
      <x:c r="F624" s="28" t="n">
        <x:v>2</x:v>
      </x:c>
      <x:c r="G624" s="28" t="n">
        <x:v>3</x:v>
      </x:c>
      <x:c r="H624" s="28" t="n">
        <x:v>15</x:v>
      </x:c>
      <x:c r="I624" s="28" t="n">
        <x:v>20</x:v>
      </x:c>
      <x:c r="J624" s="28" t="n">
        <x:v>4</x:v>
      </x:c>
      <x:c r="K624" s="28" t="n">
        <x:v>9</x:v>
      </x:c>
      <x:c r="L624" s="28" t="n">
        <x:v>7</x:v>
      </x:c>
      <x:c r="M624" s="28" t="n">
        <x:v>6</x:v>
      </x:c>
      <x:c r="N624" s="28" t="n">
        <x:v>0</x:v>
      </x:c>
      <x:c r="O624" s="28" t="n">
        <x:v>0</x:v>
      </x:c>
      <x:c r="P624" s="28" t="n">
        <x:v>0</x:v>
      </x:c>
      <x:c r="Q624" s="24" t="n">
        <x:f>IFERROR(J624/H624,0)</x:f>
        <x:v>0.26666666666666666</x:v>
      </x:c>
      <x:c r="R624" s="24" t="n">
        <x:f>IFERROR(F624/H624,0)</x:f>
        <x:v>0.13333333333333333</x:v>
      </x:c>
      <x:c r="S624" s="24" t="n">
        <x:f>IFERROR(F624/J624,0)</x:f>
        <x:v>0.5</x:v>
      </x:c>
      <x:c r="T624" s="28" t="n">
        <x:f>H624-I624</x:f>
        <x:v>-5</x:v>
      </x:c>
      <x:c r="U624" s="24" t="n">
        <x:f>IFERROR(J624/H624,0)-IFERROR(K624/I624,0)</x:f>
        <x:v>-0.18333333333333335</x:v>
      </x:c>
      <x:c r="V624" s="24" t="n">
        <x:f>IFERROR(F624/J624,0)-IFERROR(G624/K624,0)</x:f>
        <x:v>0.16666666666666669</x:v>
      </x:c>
      <x:c r="W624" s="28" t="n">
        <x:f>L624-M624</x:f>
        <x:v>1</x:v>
      </x:c>
      <x:c r="X624" s="24" t="n">
        <x:f>IFERROR(K624/I624,0)</x:f>
        <x:v>0.45</x:v>
      </x:c>
      <x:c r="Y624" s="24" t="n">
        <x:f>IFERROR(G624/I624,0)</x:f>
        <x:v>0.15</x:v>
      </x:c>
      <x:c r="Z624" s="24" t="n">
        <x:f>IFERROR(G624/K624,0)</x:f>
        <x:v>0.3333333333333333</x:v>
      </x:c>
      <x:c r="AA624" s="24" t="n">
        <x:f>IFERROR(F624/H624,0)-IFERROR(G624/I624,0)</x:f>
        <x:v>-0.016666666666666663</x:v>
      </x:c>
      <x:c r="AB624" s="28" t="n">
        <x:f>J624-K624</x:f>
        <x:v>-5</x:v>
      </x:c>
      <x:c r="AC624" s="32" t="n">
        <x:f>F624-G624</x:f>
        <x:v>-1</x:v>
      </x:c>
    </x:row>
    <x:row r="625">
      <x:c r="A625" s="4" t="str">
        <x:v>2021-22</x:v>
      </x:c>
      <x:c r="B625" s="20" t="n">
        <x:v>44667</x:v>
      </x:c>
      <x:c r="C625" s="4" t="str">
        <x:v>Southampton</x:v>
      </x:c>
      <x:c r="D625" s="4" t="str">
        <x:v>Arsenal</x:v>
      </x:c>
      <x:c r="E625" s="4" t="str">
        <x:v>Home</x:v>
      </x:c>
      <x:c r="F625" s="28" t="n">
        <x:v>1</x:v>
      </x:c>
      <x:c r="G625" s="28" t="n">
        <x:v>0</x:v>
      </x:c>
      <x:c r="H625" s="28" t="n">
        <x:v>9</x:v>
      </x:c>
      <x:c r="I625" s="28" t="n">
        <x:v>23</x:v>
      </x:c>
      <x:c r="J625" s="28" t="n">
        <x:v>3</x:v>
      </x:c>
      <x:c r="K625" s="28" t="n">
        <x:v>6</x:v>
      </x:c>
      <x:c r="L625" s="28" t="n">
        <x:v>6</x:v>
      </x:c>
      <x:c r="M625" s="28" t="n">
        <x:v>8</x:v>
      </x:c>
      <x:c r="N625" s="28" t="n">
        <x:v>2</x:v>
      </x:c>
      <x:c r="O625" s="28" t="n">
        <x:v>0</x:v>
      </x:c>
      <x:c r="P625" s="28" t="n">
        <x:v>3</x:v>
      </x:c>
      <x:c r="Q625" s="24" t="n">
        <x:f>IFERROR(J625/H625,0)</x:f>
        <x:v>0.3333333333333333</x:v>
      </x:c>
      <x:c r="R625" s="24" t="n">
        <x:f>IFERROR(F625/H625,0)</x:f>
        <x:v>0.1111111111111111</x:v>
      </x:c>
      <x:c r="S625" s="24" t="n">
        <x:f>IFERROR(F625/J625,0)</x:f>
        <x:v>0.3333333333333333</x:v>
      </x:c>
      <x:c r="T625" s="28" t="n">
        <x:f>H625-I625</x:f>
        <x:v>-14</x:v>
      </x:c>
      <x:c r="U625" s="24" t="n">
        <x:f>IFERROR(J625/H625,0)-IFERROR(K625/I625,0)</x:f>
        <x:v>0.07246376811594202</x:v>
      </x:c>
      <x:c r="V625" s="24" t="n">
        <x:f>IFERROR(F625/J625,0)-IFERROR(G625/K625,0)</x:f>
        <x:v>0.3333333333333333</x:v>
      </x:c>
      <x:c r="W625" s="28" t="n">
        <x:f>L625-M625</x:f>
        <x:v>-2</x:v>
      </x:c>
      <x:c r="X625" s="24" t="n">
        <x:f>IFERROR(K625/I625,0)</x:f>
        <x:v>0.2608695652173913</x:v>
      </x:c>
      <x:c r="Y625" s="24" t="n">
        <x:f>IFERROR(G625/I625,0)</x:f>
        <x:v>0</x:v>
      </x:c>
      <x:c r="Z625" s="24" t="n">
        <x:f>IFERROR(G625/K625,0)</x:f>
        <x:v>0</x:v>
      </x:c>
      <x:c r="AA625" s="24" t="n">
        <x:f>IFERROR(F625/H625,0)-IFERROR(G625/I625,0)</x:f>
        <x:v>0.1111111111111111</x:v>
      </x:c>
      <x:c r="AB625" s="28" t="n">
        <x:f>J625-K625</x:f>
        <x:v>-3</x:v>
      </x:c>
      <x:c r="AC625" s="32" t="n">
        <x:f>F625-G625</x:f>
        <x:v>1</x:v>
      </x:c>
    </x:row>
    <x:row r="626">
      <x:c r="A626" s="4" t="str">
        <x:v>2021-22</x:v>
      </x:c>
      <x:c r="B626" s="20" t="n">
        <x:v>44667</x:v>
      </x:c>
      <x:c r="C626" s="4" t="str">
        <x:v>Tottenham</x:v>
      </x:c>
      <x:c r="D626" s="4" t="str">
        <x:v>Brighton</x:v>
      </x:c>
      <x:c r="E626" s="4" t="str">
        <x:v>Home</x:v>
      </x:c>
      <x:c r="F626" s="28" t="n">
        <x:v>0</x:v>
      </x:c>
      <x:c r="G626" s="28" t="n">
        <x:v>1</x:v>
      </x:c>
      <x:c r="H626" s="28" t="n">
        <x:v>5</x:v>
      </x:c>
      <x:c r="I626" s="28" t="n">
        <x:v>12</x:v>
      </x:c>
      <x:c r="J626" s="28" t="n">
        <x:v>0</x:v>
      </x:c>
      <x:c r="K626" s="28" t="n">
        <x:v>5</x:v>
      </x:c>
      <x:c r="L626" s="28" t="n">
        <x:v>4</x:v>
      </x:c>
      <x:c r="M626" s="28" t="n">
        <x:v>4</x:v>
      </x:c>
      <x:c r="N626" s="28" t="n">
        <x:v>3</x:v>
      </x:c>
      <x:c r="O626" s="28" t="n">
        <x:v>0</x:v>
      </x:c>
      <x:c r="P626" s="28" t="n">
        <x:v>0</x:v>
      </x:c>
      <x:c r="Q626" s="24" t="n">
        <x:f>IFERROR(J626/H626,0)</x:f>
        <x:v>0</x:v>
      </x:c>
      <x:c r="R626" s="24" t="n">
        <x:f>IFERROR(F626/H626,0)</x:f>
        <x:v>0</x:v>
      </x:c>
      <x:c r="S626" s="24" t="n">
        <x:f>IFERROR(F626/J626,0)</x:f>
        <x:v>0</x:v>
      </x:c>
      <x:c r="T626" s="28" t="n">
        <x:f>H626-I626</x:f>
        <x:v>-7</x:v>
      </x:c>
      <x:c r="U626" s="24" t="n">
        <x:f>IFERROR(J626/H626,0)-IFERROR(K626/I626,0)</x:f>
        <x:v>-0.4166666666666667</x:v>
      </x:c>
      <x:c r="V626" s="24" t="n">
        <x:f>IFERROR(F626/J626,0)-IFERROR(G626/K626,0)</x:f>
        <x:v>-0.2</x:v>
      </x:c>
      <x:c r="W626" s="28" t="n">
        <x:f>L626-M626</x:f>
        <x:v>0</x:v>
      </x:c>
      <x:c r="X626" s="24" t="n">
        <x:f>IFERROR(K626/I626,0)</x:f>
        <x:v>0.4166666666666667</x:v>
      </x:c>
      <x:c r="Y626" s="24" t="n">
        <x:f>IFERROR(G626/I626,0)</x:f>
        <x:v>0.08333333333333333</x:v>
      </x:c>
      <x:c r="Z626" s="24" t="n">
        <x:f>IFERROR(G626/K626,0)</x:f>
        <x:v>0.2</x:v>
      </x:c>
      <x:c r="AA626" s="24" t="n">
        <x:f>IFERROR(F626/H626,0)-IFERROR(G626/I626,0)</x:f>
        <x:v>-0.08333333333333333</x:v>
      </x:c>
      <x:c r="AB626" s="28" t="n">
        <x:f>J626-K626</x:f>
        <x:v>-5</x:v>
      </x:c>
      <x:c r="AC626" s="32" t="n">
        <x:f>F626-G626</x:f>
        <x:v>-1</x:v>
      </x:c>
    </x:row>
    <x:row r="627">
      <x:c r="A627" s="4" t="str">
        <x:v>2021-22</x:v>
      </x:c>
      <x:c r="B627" s="20" t="n">
        <x:v>44667</x:v>
      </x:c>
      <x:c r="C627" s="4" t="str">
        <x:v>Watford</x:v>
      </x:c>
      <x:c r="D627" s="4" t="str">
        <x:v>Brentford</x:v>
      </x:c>
      <x:c r="E627" s="4" t="str">
        <x:v>Home</x:v>
      </x:c>
      <x:c r="F627" s="28" t="n">
        <x:v>1</x:v>
      </x:c>
      <x:c r="G627" s="28" t="n">
        <x:v>2</x:v>
      </x:c>
      <x:c r="H627" s="28" t="n">
        <x:v>17</x:v>
      </x:c>
      <x:c r="I627" s="28" t="n">
        <x:v>16</x:v>
      </x:c>
      <x:c r="J627" s="28" t="n">
        <x:v>4</x:v>
      </x:c>
      <x:c r="K627" s="28" t="n">
        <x:v>5</x:v>
      </x:c>
      <x:c r="L627" s="28" t="n">
        <x:v>6</x:v>
      </x:c>
      <x:c r="M627" s="28" t="n">
        <x:v>5</x:v>
      </x:c>
      <x:c r="N627" s="28" t="n">
        <x:v>2</x:v>
      </x:c>
      <x:c r="O627" s="28" t="n">
        <x:v>0</x:v>
      </x:c>
      <x:c r="P627" s="28" t="n">
        <x:v>0</x:v>
      </x:c>
      <x:c r="Q627" s="24" t="n">
        <x:f>IFERROR(J627/H627,0)</x:f>
        <x:v>0.23529411764705882</x:v>
      </x:c>
      <x:c r="R627" s="24" t="n">
        <x:f>IFERROR(F627/H627,0)</x:f>
        <x:v>0.058823529411764705</x:v>
      </x:c>
      <x:c r="S627" s="24" t="n">
        <x:f>IFERROR(F627/J627,0)</x:f>
        <x:v>0.25</x:v>
      </x:c>
      <x:c r="T627" s="28" t="n">
        <x:f>H627-I627</x:f>
        <x:v>1</x:v>
      </x:c>
      <x:c r="U627" s="24" t="n">
        <x:f>IFERROR(J627/H627,0)-IFERROR(K627/I627,0)</x:f>
        <x:v>-0.07720588235294118</x:v>
      </x:c>
      <x:c r="V627" s="24" t="n">
        <x:f>IFERROR(F627/J627,0)-IFERROR(G627/K627,0)</x:f>
        <x:v>-0.15000000000000002</x:v>
      </x:c>
      <x:c r="W627" s="28" t="n">
        <x:f>L627-M627</x:f>
        <x:v>1</x:v>
      </x:c>
      <x:c r="X627" s="24" t="n">
        <x:f>IFERROR(K627/I627,0)</x:f>
        <x:v>0.3125</x:v>
      </x:c>
      <x:c r="Y627" s="24" t="n">
        <x:f>IFERROR(G627/I627,0)</x:f>
        <x:v>0.125</x:v>
      </x:c>
      <x:c r="Z627" s="24" t="n">
        <x:f>IFERROR(G627/K627,0)</x:f>
        <x:v>0.4</x:v>
      </x:c>
      <x:c r="AA627" s="24" t="n">
        <x:f>IFERROR(F627/H627,0)-IFERROR(G627/I627,0)</x:f>
        <x:v>-0.0661764705882353</x:v>
      </x:c>
      <x:c r="AB627" s="28" t="n">
        <x:f>J627-K627</x:f>
        <x:v>-1</x:v>
      </x:c>
      <x:c r="AC627" s="32" t="n">
        <x:f>F627-G627</x:f>
        <x:v>-1</x:v>
      </x:c>
    </x:row>
    <x:row r="628">
      <x:c r="A628" s="4" t="str">
        <x:v>2021-22</x:v>
      </x:c>
      <x:c r="B628" s="20" t="n">
        <x:v>44668</x:v>
      </x:c>
      <x:c r="C628" s="4" t="str">
        <x:v>Burnley</x:v>
      </x:c>
      <x:c r="D628" s="4" t="str">
        <x:v>West Ham</x:v>
      </x:c>
      <x:c r="E628" s="4" t="str">
        <x:v>Away</x:v>
      </x:c>
      <x:c r="F628" s="28" t="n">
        <x:v>1</x:v>
      </x:c>
      <x:c r="G628" s="28" t="n">
        <x:v>1</x:v>
      </x:c>
      <x:c r="H628" s="28" t="n">
        <x:v>9</x:v>
      </x:c>
      <x:c r="I628" s="28" t="n">
        <x:v>21</x:v>
      </x:c>
      <x:c r="J628" s="28" t="n">
        <x:v>1</x:v>
      </x:c>
      <x:c r="K628" s="28" t="n">
        <x:v>8</x:v>
      </x:c>
      <x:c r="L628" s="28" t="n">
        <x:v>4</x:v>
      </x:c>
      <x:c r="M628" s="28" t="n">
        <x:v>13</x:v>
      </x:c>
      <x:c r="N628" s="28" t="n">
        <x:v>2</x:v>
      </x:c>
      <x:c r="O628" s="28" t="n">
        <x:v>0</x:v>
      </x:c>
      <x:c r="P628" s="28" t="n">
        <x:v>1</x:v>
      </x:c>
      <x:c r="Q628" s="24" t="n">
        <x:f>IFERROR(J628/H628,0)</x:f>
        <x:v>0.1111111111111111</x:v>
      </x:c>
      <x:c r="R628" s="24" t="n">
        <x:f>IFERROR(F628/H628,0)</x:f>
        <x:v>0.1111111111111111</x:v>
      </x:c>
      <x:c r="S628" s="24" t="n">
        <x:f>IFERROR(F628/J628,0)</x:f>
        <x:v>1</x:v>
      </x:c>
      <x:c r="T628" s="28" t="n">
        <x:f>H628-I628</x:f>
        <x:v>-12</x:v>
      </x:c>
      <x:c r="U628" s="24" t="n">
        <x:f>IFERROR(J628/H628,0)-IFERROR(K628/I628,0)</x:f>
        <x:v>-0.2698412698412698</x:v>
      </x:c>
      <x:c r="V628" s="24" t="n">
        <x:f>IFERROR(F628/J628,0)-IFERROR(G628/K628,0)</x:f>
        <x:v>0.875</x:v>
      </x:c>
      <x:c r="W628" s="28" t="n">
        <x:f>L628-M628</x:f>
        <x:v>-9</x:v>
      </x:c>
      <x:c r="X628" s="24" t="n">
        <x:f>IFERROR(K628/I628,0)</x:f>
        <x:v>0.38095238095238093</x:v>
      </x:c>
      <x:c r="Y628" s="24" t="n">
        <x:f>IFERROR(G628/I628,0)</x:f>
        <x:v>0.047619047619047616</x:v>
      </x:c>
      <x:c r="Z628" s="24" t="n">
        <x:f>IFERROR(G628/K628,0)</x:f>
        <x:v>0.125</x:v>
      </x:c>
      <x:c r="AA628" s="24" t="n">
        <x:f>IFERROR(F628/H628,0)-IFERROR(G628/I628,0)</x:f>
        <x:v>0.06349206349206349</x:v>
      </x:c>
      <x:c r="AB628" s="28" t="n">
        <x:f>J628-K628</x:f>
        <x:v>-7</x:v>
      </x:c>
      <x:c r="AC628" s="32" t="n">
        <x:f>F628-G628</x:f>
        <x:v>0</x:v>
      </x:c>
    </x:row>
    <x:row r="629">
      <x:c r="A629" s="4" t="str">
        <x:v>2021-22</x:v>
      </x:c>
      <x:c r="B629" s="20" t="n">
        <x:v>44668</x:v>
      </x:c>
      <x:c r="C629" s="4" t="str">
        <x:v>Leicester</x:v>
      </x:c>
      <x:c r="D629" s="4" t="str">
        <x:v>Newcastle</x:v>
      </x:c>
      <x:c r="E629" s="4" t="str">
        <x:v>Away</x:v>
      </x:c>
      <x:c r="F629" s="28" t="n">
        <x:v>1</x:v>
      </x:c>
      <x:c r="G629" s="28" t="n">
        <x:v>2</x:v>
      </x:c>
      <x:c r="H629" s="28" t="n">
        <x:v>8</x:v>
      </x:c>
      <x:c r="I629" s="28" t="n">
        <x:v>16</x:v>
      </x:c>
      <x:c r="J629" s="28" t="n">
        <x:v>2</x:v>
      </x:c>
      <x:c r="K629" s="28" t="n">
        <x:v>7</x:v>
      </x:c>
      <x:c r="L629" s="28" t="n">
        <x:v>5</x:v>
      </x:c>
      <x:c r="M629" s="28" t="n">
        <x:v>3</x:v>
      </x:c>
      <x:c r="N629" s="28" t="n">
        <x:v>2</x:v>
      </x:c>
      <x:c r="O629" s="28" t="n">
        <x:v>0</x:v>
      </x:c>
      <x:c r="P629" s="28" t="n">
        <x:v>0</x:v>
      </x:c>
      <x:c r="Q629" s="24" t="n">
        <x:f>IFERROR(J629/H629,0)</x:f>
        <x:v>0.25</x:v>
      </x:c>
      <x:c r="R629" s="24" t="n">
        <x:f>IFERROR(F629/H629,0)</x:f>
        <x:v>0.125</x:v>
      </x:c>
      <x:c r="S629" s="24" t="n">
        <x:f>IFERROR(F629/J629,0)</x:f>
        <x:v>0.5</x:v>
      </x:c>
      <x:c r="T629" s="28" t="n">
        <x:f>H629-I629</x:f>
        <x:v>-8</x:v>
      </x:c>
      <x:c r="U629" s="24" t="n">
        <x:f>IFERROR(J629/H629,0)-IFERROR(K629/I629,0)</x:f>
        <x:v>-0.1875</x:v>
      </x:c>
      <x:c r="V629" s="24" t="n">
        <x:f>IFERROR(F629/J629,0)-IFERROR(G629/K629,0)</x:f>
        <x:v>0.2142857142857143</x:v>
      </x:c>
      <x:c r="W629" s="28" t="n">
        <x:f>L629-M629</x:f>
        <x:v>2</x:v>
      </x:c>
      <x:c r="X629" s="24" t="n">
        <x:f>IFERROR(K629/I629,0)</x:f>
        <x:v>0.4375</x:v>
      </x:c>
      <x:c r="Y629" s="24" t="n">
        <x:f>IFERROR(G629/I629,0)</x:f>
        <x:v>0.125</x:v>
      </x:c>
      <x:c r="Z629" s="24" t="n">
        <x:f>IFERROR(G629/K629,0)</x:f>
        <x:v>0.2857142857142857</x:v>
      </x:c>
      <x:c r="AA629" s="24" t="n">
        <x:f>IFERROR(F629/H629,0)-IFERROR(G629/I629,0)</x:f>
        <x:v>0</x:v>
      </x:c>
      <x:c r="AB629" s="28" t="n">
        <x:f>J629-K629</x:f>
        <x:v>-5</x:v>
      </x:c>
      <x:c r="AC629" s="32" t="n">
        <x:f>F629-G629</x:f>
        <x:v>-1</x:v>
      </x:c>
    </x:row>
    <x:row r="630">
      <x:c r="A630" s="4" t="str">
        <x:v>2021-22</x:v>
      </x:c>
      <x:c r="B630" s="20" t="n">
        <x:v>44668</x:v>
      </x:c>
      <x:c r="C630" s="4" t="str">
        <x:v>Newcastle</x:v>
      </x:c>
      <x:c r="D630" s="4" t="str">
        <x:v>Leicester</x:v>
      </x:c>
      <x:c r="E630" s="4" t="str">
        <x:v>Home</x:v>
      </x:c>
      <x:c r="F630" s="28" t="n">
        <x:v>2</x:v>
      </x:c>
      <x:c r="G630" s="28" t="n">
        <x:v>1</x:v>
      </x:c>
      <x:c r="H630" s="28" t="n">
        <x:v>16</x:v>
      </x:c>
      <x:c r="I630" s="28" t="n">
        <x:v>8</x:v>
      </x:c>
      <x:c r="J630" s="28" t="n">
        <x:v>7</x:v>
      </x:c>
      <x:c r="K630" s="28" t="n">
        <x:v>2</x:v>
      </x:c>
      <x:c r="L630" s="28" t="n">
        <x:v>3</x:v>
      </x:c>
      <x:c r="M630" s="28" t="n">
        <x:v>5</x:v>
      </x:c>
      <x:c r="N630" s="28" t="n">
        <x:v>2</x:v>
      </x:c>
      <x:c r="O630" s="28" t="n">
        <x:v>0</x:v>
      </x:c>
      <x:c r="P630" s="28" t="n">
        <x:v>3</x:v>
      </x:c>
      <x:c r="Q630" s="24" t="n">
        <x:f>IFERROR(J630/H630,0)</x:f>
        <x:v>0.4375</x:v>
      </x:c>
      <x:c r="R630" s="24" t="n">
        <x:f>IFERROR(F630/H630,0)</x:f>
        <x:v>0.125</x:v>
      </x:c>
      <x:c r="S630" s="24" t="n">
        <x:f>IFERROR(F630/J630,0)</x:f>
        <x:v>0.2857142857142857</x:v>
      </x:c>
      <x:c r="T630" s="28" t="n">
        <x:f>H630-I630</x:f>
        <x:v>8</x:v>
      </x:c>
      <x:c r="U630" s="24" t="n">
        <x:f>IFERROR(J630/H630,0)-IFERROR(K630/I630,0)</x:f>
        <x:v>0.1875</x:v>
      </x:c>
      <x:c r="V630" s="24" t="n">
        <x:f>IFERROR(F630/J630,0)-IFERROR(G630/K630,0)</x:f>
        <x:v>-0.2142857142857143</x:v>
      </x:c>
      <x:c r="W630" s="28" t="n">
        <x:f>L630-M630</x:f>
        <x:v>-2</x:v>
      </x:c>
      <x:c r="X630" s="24" t="n">
        <x:f>IFERROR(K630/I630,0)</x:f>
        <x:v>0.25</x:v>
      </x:c>
      <x:c r="Y630" s="24" t="n">
        <x:f>IFERROR(G630/I630,0)</x:f>
        <x:v>0.125</x:v>
      </x:c>
      <x:c r="Z630" s="24" t="n">
        <x:f>IFERROR(G630/K630,0)</x:f>
        <x:v>0.5</x:v>
      </x:c>
      <x:c r="AA630" s="24" t="n">
        <x:f>IFERROR(F630/H630,0)-IFERROR(G630/I630,0)</x:f>
        <x:v>0</x:v>
      </x:c>
      <x:c r="AB630" s="28" t="n">
        <x:f>J630-K630</x:f>
        <x:v>5</x:v>
      </x:c>
      <x:c r="AC630" s="32" t="n">
        <x:f>F630-G630</x:f>
        <x:v>1</x:v>
      </x:c>
    </x:row>
    <x:row r="631">
      <x:c r="A631" s="4" t="str">
        <x:v>2021-22</x:v>
      </x:c>
      <x:c r="B631" s="20" t="n">
        <x:v>44668</x:v>
      </x:c>
      <x:c r="C631" s="4" t="str">
        <x:v>West Ham</x:v>
      </x:c>
      <x:c r="D631" s="4" t="str">
        <x:v>Burnley</x:v>
      </x:c>
      <x:c r="E631" s="4" t="str">
        <x:v>Home</x:v>
      </x:c>
      <x:c r="F631" s="28" t="n">
        <x:v>1</x:v>
      </x:c>
      <x:c r="G631" s="28" t="n">
        <x:v>1</x:v>
      </x:c>
      <x:c r="H631" s="28" t="n">
        <x:v>21</x:v>
      </x:c>
      <x:c r="I631" s="28" t="n">
        <x:v>9</x:v>
      </x:c>
      <x:c r="J631" s="28" t="n">
        <x:v>8</x:v>
      </x:c>
      <x:c r="K631" s="28" t="n">
        <x:v>1</x:v>
      </x:c>
      <x:c r="L631" s="28" t="n">
        <x:v>13</x:v>
      </x:c>
      <x:c r="M631" s="28" t="n">
        <x:v>4</x:v>
      </x:c>
      <x:c r="N631" s="28" t="n">
        <x:v>2</x:v>
      </x:c>
      <x:c r="O631" s="28" t="n">
        <x:v>0</x:v>
      </x:c>
      <x:c r="P631" s="28" t="n">
        <x:v>1</x:v>
      </x:c>
      <x:c r="Q631" s="24" t="n">
        <x:f>IFERROR(J631/H631,0)</x:f>
        <x:v>0.38095238095238093</x:v>
      </x:c>
      <x:c r="R631" s="24" t="n">
        <x:f>IFERROR(F631/H631,0)</x:f>
        <x:v>0.047619047619047616</x:v>
      </x:c>
      <x:c r="S631" s="24" t="n">
        <x:f>IFERROR(F631/J631,0)</x:f>
        <x:v>0.125</x:v>
      </x:c>
      <x:c r="T631" s="28" t="n">
        <x:f>H631-I631</x:f>
        <x:v>12</x:v>
      </x:c>
      <x:c r="U631" s="24" t="n">
        <x:f>IFERROR(J631/H631,0)-IFERROR(K631/I631,0)</x:f>
        <x:v>0.2698412698412698</x:v>
      </x:c>
      <x:c r="V631" s="24" t="n">
        <x:f>IFERROR(F631/J631,0)-IFERROR(G631/K631,0)</x:f>
        <x:v>-0.875</x:v>
      </x:c>
      <x:c r="W631" s="28" t="n">
        <x:f>L631-M631</x:f>
        <x:v>9</x:v>
      </x:c>
      <x:c r="X631" s="24" t="n">
        <x:f>IFERROR(K631/I631,0)</x:f>
        <x:v>0.1111111111111111</x:v>
      </x:c>
      <x:c r="Y631" s="24" t="n">
        <x:f>IFERROR(G631/I631,0)</x:f>
        <x:v>0.1111111111111111</x:v>
      </x:c>
      <x:c r="Z631" s="24" t="n">
        <x:f>IFERROR(G631/K631,0)</x:f>
        <x:v>1</x:v>
      </x:c>
      <x:c r="AA631" s="24" t="n">
        <x:f>IFERROR(F631/H631,0)-IFERROR(G631/I631,0)</x:f>
        <x:v>-0.06349206349206349</x:v>
      </x:c>
      <x:c r="AB631" s="28" t="n">
        <x:f>J631-K631</x:f>
        <x:v>7</x:v>
      </x:c>
      <x:c r="AC631" s="32" t="n">
        <x:f>F631-G631</x:f>
        <x:v>0</x:v>
      </x:c>
    </x:row>
    <x:row r="632">
      <x:c r="A632" s="4" t="str">
        <x:v>2021-22</x:v>
      </x:c>
      <x:c r="B632" s="20" t="n">
        <x:v>44670</x:v>
      </x:c>
      <x:c r="C632" s="4" t="str">
        <x:v>Liverpool</x:v>
      </x:c>
      <x:c r="D632" s="4" t="str">
        <x:v>Man United</x:v>
      </x:c>
      <x:c r="E632" s="4" t="str">
        <x:v>Home</x:v>
      </x:c>
      <x:c r="F632" s="28" t="n">
        <x:v>4</x:v>
      </x:c>
      <x:c r="G632" s="28" t="n">
        <x:v>0</x:v>
      </x:c>
      <x:c r="H632" s="28" t="n">
        <x:v>14</x:v>
      </x:c>
      <x:c r="I632" s="28" t="n">
        <x:v>2</x:v>
      </x:c>
      <x:c r="J632" s="28" t="n">
        <x:v>5</x:v>
      </x:c>
      <x:c r="K632" s="28" t="n">
        <x:v>1</x:v>
      </x:c>
      <x:c r="L632" s="28" t="n">
        <x:v>10</x:v>
      </x:c>
      <x:c r="M632" s="28" t="n">
        <x:v>2</x:v>
      </x:c>
      <x:c r="N632" s="28" t="n">
        <x:v>1</x:v>
      </x:c>
      <x:c r="O632" s="28" t="n">
        <x:v>0</x:v>
      </x:c>
      <x:c r="P632" s="28" t="n">
        <x:v>3</x:v>
      </x:c>
      <x:c r="Q632" s="24" t="n">
        <x:f>IFERROR(J632/H632,0)</x:f>
        <x:v>0.35714285714285715</x:v>
      </x:c>
      <x:c r="R632" s="24" t="n">
        <x:f>IFERROR(F632/H632,0)</x:f>
        <x:v>0.2857142857142857</x:v>
      </x:c>
      <x:c r="S632" s="24" t="n">
        <x:f>IFERROR(F632/J632,0)</x:f>
        <x:v>0.8</x:v>
      </x:c>
      <x:c r="T632" s="28" t="n">
        <x:f>H632-I632</x:f>
        <x:v>12</x:v>
      </x:c>
      <x:c r="U632" s="24" t="n">
        <x:f>IFERROR(J632/H632,0)-IFERROR(K632/I632,0)</x:f>
        <x:v>-0.14285714285714285</x:v>
      </x:c>
      <x:c r="V632" s="24" t="n">
        <x:f>IFERROR(F632/J632,0)-IFERROR(G632/K632,0)</x:f>
        <x:v>0.8</x:v>
      </x:c>
      <x:c r="W632" s="28" t="n">
        <x:f>L632-M632</x:f>
        <x:v>8</x:v>
      </x:c>
      <x:c r="X632" s="24" t="n">
        <x:f>IFERROR(K632/I632,0)</x:f>
        <x:v>0.5</x:v>
      </x:c>
      <x:c r="Y632" s="24" t="n">
        <x:f>IFERROR(G632/I632,0)</x:f>
        <x:v>0</x:v>
      </x:c>
      <x:c r="Z632" s="24" t="n">
        <x:f>IFERROR(G632/K632,0)</x:f>
        <x:v>0</x:v>
      </x:c>
      <x:c r="AA632" s="24" t="n">
        <x:f>IFERROR(F632/H632,0)-IFERROR(G632/I632,0)</x:f>
        <x:v>0.2857142857142857</x:v>
      </x:c>
      <x:c r="AB632" s="28" t="n">
        <x:f>J632-K632</x:f>
        <x:v>4</x:v>
      </x:c>
      <x:c r="AC632" s="32" t="n">
        <x:f>F632-G632</x:f>
        <x:v>4</x:v>
      </x:c>
    </x:row>
    <x:row r="633">
      <x:c r="A633" s="4" t="str">
        <x:v>2021-22</x:v>
      </x:c>
      <x:c r="B633" s="20" t="n">
        <x:v>44670</x:v>
      </x:c>
      <x:c r="C633" s="4" t="str">
        <x:v>Man United</x:v>
      </x:c>
      <x:c r="D633" s="4" t="str">
        <x:v>Liverpool</x:v>
      </x:c>
      <x:c r="E633" s="4" t="str">
        <x:v>Away</x:v>
      </x:c>
      <x:c r="F633" s="28" t="n">
        <x:v>0</x:v>
      </x:c>
      <x:c r="G633" s="28" t="n">
        <x:v>4</x:v>
      </x:c>
      <x:c r="H633" s="28" t="n">
        <x:v>2</x:v>
      </x:c>
      <x:c r="I633" s="28" t="n">
        <x:v>14</x:v>
      </x:c>
      <x:c r="J633" s="28" t="n">
        <x:v>1</x:v>
      </x:c>
      <x:c r="K633" s="28" t="n">
        <x:v>5</x:v>
      </x:c>
      <x:c r="L633" s="28" t="n">
        <x:v>2</x:v>
      </x:c>
      <x:c r="M633" s="28" t="n">
        <x:v>10</x:v>
      </x:c>
      <x:c r="N633" s="28" t="n">
        <x:v>2</x:v>
      </x:c>
      <x:c r="O633" s="28" t="n">
        <x:v>0</x:v>
      </x:c>
      <x:c r="P633" s="28" t="n">
        <x:v>0</x:v>
      </x:c>
      <x:c r="Q633" s="24" t="n">
        <x:f>IFERROR(J633/H633,0)</x:f>
        <x:v>0.5</x:v>
      </x:c>
      <x:c r="R633" s="24" t="n">
        <x:f>IFERROR(F633/H633,0)</x:f>
        <x:v>0</x:v>
      </x:c>
      <x:c r="S633" s="24" t="n">
        <x:f>IFERROR(F633/J633,0)</x:f>
        <x:v>0</x:v>
      </x:c>
      <x:c r="T633" s="28" t="n">
        <x:f>H633-I633</x:f>
        <x:v>-12</x:v>
      </x:c>
      <x:c r="U633" s="24" t="n">
        <x:f>IFERROR(J633/H633,0)-IFERROR(K633/I633,0)</x:f>
        <x:v>0.14285714285714285</x:v>
      </x:c>
      <x:c r="V633" s="24" t="n">
        <x:f>IFERROR(F633/J633,0)-IFERROR(G633/K633,0)</x:f>
        <x:v>-0.8</x:v>
      </x:c>
      <x:c r="W633" s="28" t="n">
        <x:f>L633-M633</x:f>
        <x:v>-8</x:v>
      </x:c>
      <x:c r="X633" s="24" t="n">
        <x:f>IFERROR(K633/I633,0)</x:f>
        <x:v>0.35714285714285715</x:v>
      </x:c>
      <x:c r="Y633" s="24" t="n">
        <x:f>IFERROR(G633/I633,0)</x:f>
        <x:v>0.2857142857142857</x:v>
      </x:c>
      <x:c r="Z633" s="24" t="n">
        <x:f>IFERROR(G633/K633,0)</x:f>
        <x:v>0.8</x:v>
      </x:c>
      <x:c r="AA633" s="24" t="n">
        <x:f>IFERROR(F633/H633,0)-IFERROR(G633/I633,0)</x:f>
        <x:v>-0.2857142857142857</x:v>
      </x:c>
      <x:c r="AB633" s="28" t="n">
        <x:f>J633-K633</x:f>
        <x:v>-4</x:v>
      </x:c>
      <x:c r="AC633" s="32" t="n">
        <x:f>F633-G633</x:f>
        <x:v>-4</x:v>
      </x:c>
    </x:row>
    <x:row r="634">
      <x:c r="A634" s="4" t="str">
        <x:v>2021-22</x:v>
      </x:c>
      <x:c r="B634" s="20" t="n">
        <x:v>44671</x:v>
      </x:c>
      <x:c r="C634" s="4" t="str">
        <x:v>Arsenal</x:v>
      </x:c>
      <x:c r="D634" s="4" t="str">
        <x:v>Chelsea</x:v>
      </x:c>
      <x:c r="E634" s="4" t="str">
        <x:v>Away</x:v>
      </x:c>
      <x:c r="F634" s="28" t="n">
        <x:v>4</x:v>
      </x:c>
      <x:c r="G634" s="28" t="n">
        <x:v>2</x:v>
      </x:c>
      <x:c r="H634" s="28" t="n">
        <x:v>14</x:v>
      </x:c>
      <x:c r="I634" s="28" t="n">
        <x:v>11</x:v>
      </x:c>
      <x:c r="J634" s="28" t="n">
        <x:v>4</x:v>
      </x:c>
      <x:c r="K634" s="28" t="n">
        <x:v>2</x:v>
      </x:c>
      <x:c r="L634" s="28" t="n">
        <x:v>1</x:v>
      </x:c>
      <x:c r="M634" s="28" t="n">
        <x:v>6</x:v>
      </x:c>
      <x:c r="N634" s="28" t="n">
        <x:v>1</x:v>
      </x:c>
      <x:c r="O634" s="28" t="n">
        <x:v>0</x:v>
      </x:c>
      <x:c r="P634" s="28" t="n">
        <x:v>3</x:v>
      </x:c>
      <x:c r="Q634" s="24" t="n">
        <x:f>IFERROR(J634/H634,0)</x:f>
        <x:v>0.2857142857142857</x:v>
      </x:c>
      <x:c r="R634" s="24" t="n">
        <x:f>IFERROR(F634/H634,0)</x:f>
        <x:v>0.2857142857142857</x:v>
      </x:c>
      <x:c r="S634" s="24" t="n">
        <x:f>IFERROR(F634/J634,0)</x:f>
        <x:v>1</x:v>
      </x:c>
      <x:c r="T634" s="28" t="n">
        <x:f>H634-I634</x:f>
        <x:v>3</x:v>
      </x:c>
      <x:c r="U634" s="24" t="n">
        <x:f>IFERROR(J634/H634,0)-IFERROR(K634/I634,0)</x:f>
        <x:v>0.10389610389610388</x:v>
      </x:c>
      <x:c r="V634" s="24" t="n">
        <x:f>IFERROR(F634/J634,0)-IFERROR(G634/K634,0)</x:f>
        <x:v>0</x:v>
      </x:c>
      <x:c r="W634" s="28" t="n">
        <x:f>L634-M634</x:f>
        <x:v>-5</x:v>
      </x:c>
      <x:c r="X634" s="24" t="n">
        <x:f>IFERROR(K634/I634,0)</x:f>
        <x:v>0.18181818181818182</x:v>
      </x:c>
      <x:c r="Y634" s="24" t="n">
        <x:f>IFERROR(G634/I634,0)</x:f>
        <x:v>0.18181818181818182</x:v>
      </x:c>
      <x:c r="Z634" s="24" t="n">
        <x:f>IFERROR(G634/K634,0)</x:f>
        <x:v>1</x:v>
      </x:c>
      <x:c r="AA634" s="24" t="n">
        <x:f>IFERROR(F634/H634,0)-IFERROR(G634/I634,0)</x:f>
        <x:v>0.10389610389610388</x:v>
      </x:c>
      <x:c r="AB634" s="28" t="n">
        <x:f>J634-K634</x:f>
        <x:v>2</x:v>
      </x:c>
      <x:c r="AC634" s="32" t="n">
        <x:f>F634-G634</x:f>
        <x:v>2</x:v>
      </x:c>
    </x:row>
    <x:row r="635">
      <x:c r="A635" s="4" t="str">
        <x:v>2021-22</x:v>
      </x:c>
      <x:c r="B635" s="20" t="n">
        <x:v>44671</x:v>
      </x:c>
      <x:c r="C635" s="4" t="str">
        <x:v>Brighton</x:v>
      </x:c>
      <x:c r="D635" s="4" t="str">
        <x:v>Man City</x:v>
      </x:c>
      <x:c r="E635" s="4" t="str">
        <x:v>Away</x:v>
      </x:c>
      <x:c r="F635" s="28" t="n">
        <x:v>0</x:v>
      </x:c>
      <x:c r="G635" s="28" t="n">
        <x:v>3</x:v>
      </x:c>
      <x:c r="H635" s="28" t="n">
        <x:v>2</x:v>
      </x:c>
      <x:c r="I635" s="28" t="n">
        <x:v>17</x:v>
      </x:c>
      <x:c r="J635" s="28" t="n">
        <x:v>1</x:v>
      </x:c>
      <x:c r="K635" s="28" t="n">
        <x:v>5</x:v>
      </x:c>
      <x:c r="L635" s="28" t="n">
        <x:v>4</x:v>
      </x:c>
      <x:c r="M635" s="28" t="n">
        <x:v>7</x:v>
      </x:c>
      <x:c r="N635" s="28" t="n">
        <x:v>3</x:v>
      </x:c>
      <x:c r="O635" s="28" t="n">
        <x:v>0</x:v>
      </x:c>
      <x:c r="P635" s="28" t="n">
        <x:v>0</x:v>
      </x:c>
      <x:c r="Q635" s="24" t="n">
        <x:f>IFERROR(J635/H635,0)</x:f>
        <x:v>0.5</x:v>
      </x:c>
      <x:c r="R635" s="24" t="n">
        <x:f>IFERROR(F635/H635,0)</x:f>
        <x:v>0</x:v>
      </x:c>
      <x:c r="S635" s="24" t="n">
        <x:f>IFERROR(F635/J635,0)</x:f>
        <x:v>0</x:v>
      </x:c>
      <x:c r="T635" s="28" t="n">
        <x:f>H635-I635</x:f>
        <x:v>-15</x:v>
      </x:c>
      <x:c r="U635" s="24" t="n">
        <x:f>IFERROR(J635/H635,0)-IFERROR(K635/I635,0)</x:f>
        <x:v>0.20588235294117646</x:v>
      </x:c>
      <x:c r="V635" s="24" t="n">
        <x:f>IFERROR(F635/J635,0)-IFERROR(G635/K635,0)</x:f>
        <x:v>-0.6</x:v>
      </x:c>
      <x:c r="W635" s="28" t="n">
        <x:f>L635-M635</x:f>
        <x:v>-3</x:v>
      </x:c>
      <x:c r="X635" s="24" t="n">
        <x:f>IFERROR(K635/I635,0)</x:f>
        <x:v>0.29411764705882354</x:v>
      </x:c>
      <x:c r="Y635" s="24" t="n">
        <x:f>IFERROR(G635/I635,0)</x:f>
        <x:v>0.17647058823529413</x:v>
      </x:c>
      <x:c r="Z635" s="24" t="n">
        <x:f>IFERROR(G635/K635,0)</x:f>
        <x:v>0.6</x:v>
      </x:c>
      <x:c r="AA635" s="24" t="n">
        <x:f>IFERROR(F635/H635,0)-IFERROR(G635/I635,0)</x:f>
        <x:v>-0.17647058823529413</x:v>
      </x:c>
      <x:c r="AB635" s="28" t="n">
        <x:f>J635-K635</x:f>
        <x:v>-4</x:v>
      </x:c>
      <x:c r="AC635" s="32" t="n">
        <x:f>F635-G635</x:f>
        <x:v>-3</x:v>
      </x:c>
    </x:row>
    <x:row r="636">
      <x:c r="A636" s="4" t="str">
        <x:v>2021-22</x:v>
      </x:c>
      <x:c r="B636" s="20" t="n">
        <x:v>44671</x:v>
      </x:c>
      <x:c r="C636" s="4" t="str">
        <x:v>Chelsea</x:v>
      </x:c>
      <x:c r="D636" s="4" t="str">
        <x:v>Arsenal</x:v>
      </x:c>
      <x:c r="E636" s="4" t="str">
        <x:v>Home</x:v>
      </x:c>
      <x:c r="F636" s="28" t="n">
        <x:v>2</x:v>
      </x:c>
      <x:c r="G636" s="28" t="n">
        <x:v>4</x:v>
      </x:c>
      <x:c r="H636" s="28" t="n">
        <x:v>11</x:v>
      </x:c>
      <x:c r="I636" s="28" t="n">
        <x:v>14</x:v>
      </x:c>
      <x:c r="J636" s="28" t="n">
        <x:v>2</x:v>
      </x:c>
      <x:c r="K636" s="28" t="n">
        <x:v>4</x:v>
      </x:c>
      <x:c r="L636" s="28" t="n">
        <x:v>6</x:v>
      </x:c>
      <x:c r="M636" s="28" t="n">
        <x:v>1</x:v>
      </x:c>
      <x:c r="N636" s="28" t="n">
        <x:v>3</x:v>
      </x:c>
      <x:c r="O636" s="28" t="n">
        <x:v>0</x:v>
      </x:c>
      <x:c r="P636" s="28" t="n">
        <x:v>0</x:v>
      </x:c>
      <x:c r="Q636" s="24" t="n">
        <x:f>IFERROR(J636/H636,0)</x:f>
        <x:v>0.18181818181818182</x:v>
      </x:c>
      <x:c r="R636" s="24" t="n">
        <x:f>IFERROR(F636/H636,0)</x:f>
        <x:v>0.18181818181818182</x:v>
      </x:c>
      <x:c r="S636" s="24" t="n">
        <x:f>IFERROR(F636/J636,0)</x:f>
        <x:v>1</x:v>
      </x:c>
      <x:c r="T636" s="28" t="n">
        <x:f>H636-I636</x:f>
        <x:v>-3</x:v>
      </x:c>
      <x:c r="U636" s="24" t="n">
        <x:f>IFERROR(J636/H636,0)-IFERROR(K636/I636,0)</x:f>
        <x:v>-0.10389610389610388</x:v>
      </x:c>
      <x:c r="V636" s="24" t="n">
        <x:f>IFERROR(F636/J636,0)-IFERROR(G636/K636,0)</x:f>
        <x:v>0</x:v>
      </x:c>
      <x:c r="W636" s="28" t="n">
        <x:f>L636-M636</x:f>
        <x:v>5</x:v>
      </x:c>
      <x:c r="X636" s="24" t="n">
        <x:f>IFERROR(K636/I636,0)</x:f>
        <x:v>0.2857142857142857</x:v>
      </x:c>
      <x:c r="Y636" s="24" t="n">
        <x:f>IFERROR(G636/I636,0)</x:f>
        <x:v>0.2857142857142857</x:v>
      </x:c>
      <x:c r="Z636" s="24" t="n">
        <x:f>IFERROR(G636/K636,0)</x:f>
        <x:v>1</x:v>
      </x:c>
      <x:c r="AA636" s="24" t="n">
        <x:f>IFERROR(F636/H636,0)-IFERROR(G636/I636,0)</x:f>
        <x:v>-0.10389610389610388</x:v>
      </x:c>
      <x:c r="AB636" s="28" t="n">
        <x:f>J636-K636</x:f>
        <x:v>-2</x:v>
      </x:c>
      <x:c r="AC636" s="32" t="n">
        <x:f>F636-G636</x:f>
        <x:v>-2</x:v>
      </x:c>
    </x:row>
    <x:row r="637">
      <x:c r="A637" s="4" t="str">
        <x:v>2021-22</x:v>
      </x:c>
      <x:c r="B637" s="20" t="n">
        <x:v>44671</x:v>
      </x:c>
      <x:c r="C637" s="4" t="str">
        <x:v>Crystal Palace</x:v>
      </x:c>
      <x:c r="D637" s="4" t="str">
        <x:v>Newcastle</x:v>
      </x:c>
      <x:c r="E637" s="4" t="str">
        <x:v>Away</x:v>
      </x:c>
      <x:c r="F637" s="28" t="n">
        <x:v>0</x:v>
      </x:c>
      <x:c r="G637" s="28" t="n">
        <x:v>1</x:v>
      </x:c>
      <x:c r="H637" s="28" t="n">
        <x:v>10</x:v>
      </x:c>
      <x:c r="I637" s="28" t="n">
        <x:v>13</x:v>
      </x:c>
      <x:c r="J637" s="28" t="n">
        <x:v>2</x:v>
      </x:c>
      <x:c r="K637" s="28" t="n">
        <x:v>4</x:v>
      </x:c>
      <x:c r="L637" s="28" t="n">
        <x:v>5</x:v>
      </x:c>
      <x:c r="M637" s="28" t="n">
        <x:v>2</x:v>
      </x:c>
      <x:c r="N637" s="28" t="n">
        <x:v>1</x:v>
      </x:c>
      <x:c r="O637" s="28" t="n">
        <x:v>0</x:v>
      </x:c>
      <x:c r="P637" s="28" t="n">
        <x:v>0</x:v>
      </x:c>
      <x:c r="Q637" s="24" t="n">
        <x:f>IFERROR(J637/H637,0)</x:f>
        <x:v>0.2</x:v>
      </x:c>
      <x:c r="R637" s="24" t="n">
        <x:f>IFERROR(F637/H637,0)</x:f>
        <x:v>0</x:v>
      </x:c>
      <x:c r="S637" s="24" t="n">
        <x:f>IFERROR(F637/J637,0)</x:f>
        <x:v>0</x:v>
      </x:c>
      <x:c r="T637" s="28" t="n">
        <x:f>H637-I637</x:f>
        <x:v>-3</x:v>
      </x:c>
      <x:c r="U637" s="24" t="n">
        <x:f>IFERROR(J637/H637,0)-IFERROR(K637/I637,0)</x:f>
        <x:v>-0.1076923076923077</x:v>
      </x:c>
      <x:c r="V637" s="24" t="n">
        <x:f>IFERROR(F637/J637,0)-IFERROR(G637/K637,0)</x:f>
        <x:v>-0.25</x:v>
      </x:c>
      <x:c r="W637" s="28" t="n">
        <x:f>L637-M637</x:f>
        <x:v>3</x:v>
      </x:c>
      <x:c r="X637" s="24" t="n">
        <x:f>IFERROR(K637/I637,0)</x:f>
        <x:v>0.3076923076923077</x:v>
      </x:c>
      <x:c r="Y637" s="24" t="n">
        <x:f>IFERROR(G637/I637,0)</x:f>
        <x:v>0.07692307692307693</x:v>
      </x:c>
      <x:c r="Z637" s="24" t="n">
        <x:f>IFERROR(G637/K637,0)</x:f>
        <x:v>0.25</x:v>
      </x:c>
      <x:c r="AA637" s="24" t="n">
        <x:f>IFERROR(F637/H637,0)-IFERROR(G637/I637,0)</x:f>
        <x:v>-0.07692307692307693</x:v>
      </x:c>
      <x:c r="AB637" s="28" t="n">
        <x:f>J637-K637</x:f>
        <x:v>-2</x:v>
      </x:c>
      <x:c r="AC637" s="32" t="n">
        <x:f>F637-G637</x:f>
        <x:v>-1</x:v>
      </x:c>
    </x:row>
    <x:row r="638">
      <x:c r="A638" s="4" t="str">
        <x:v>2021-22</x:v>
      </x:c>
      <x:c r="B638" s="20" t="n">
        <x:v>44671</x:v>
      </x:c>
      <x:c r="C638" s="4" t="str">
        <x:v>Everton</x:v>
      </x:c>
      <x:c r="D638" s="4" t="str">
        <x:v>Leicester</x:v>
      </x:c>
      <x:c r="E638" s="4" t="str">
        <x:v>Home</x:v>
      </x:c>
      <x:c r="F638" s="28" t="n">
        <x:v>1</x:v>
      </x:c>
      <x:c r="G638" s="28" t="n">
        <x:v>1</x:v>
      </x:c>
      <x:c r="H638" s="28" t="n">
        <x:v>13</x:v>
      </x:c>
      <x:c r="I638" s="28" t="n">
        <x:v>11</x:v>
      </x:c>
      <x:c r="J638" s="28" t="n">
        <x:v>3</x:v>
      </x:c>
      <x:c r="K638" s="28" t="n">
        <x:v>3</x:v>
      </x:c>
      <x:c r="L638" s="28" t="n">
        <x:v>5</x:v>
      </x:c>
      <x:c r="M638" s="28" t="n">
        <x:v>4</x:v>
      </x:c>
      <x:c r="N638" s="28" t="n">
        <x:v>3</x:v>
      </x:c>
      <x:c r="O638" s="28" t="n">
        <x:v>0</x:v>
      </x:c>
      <x:c r="P638" s="28" t="n">
        <x:v>1</x:v>
      </x:c>
      <x:c r="Q638" s="24" t="n">
        <x:f>IFERROR(J638/H638,0)</x:f>
        <x:v>0.23076923076923078</x:v>
      </x:c>
      <x:c r="R638" s="24" t="n">
        <x:f>IFERROR(F638/H638,0)</x:f>
        <x:v>0.07692307692307693</x:v>
      </x:c>
      <x:c r="S638" s="24" t="n">
        <x:f>IFERROR(F638/J638,0)</x:f>
        <x:v>0.3333333333333333</x:v>
      </x:c>
      <x:c r="T638" s="28" t="n">
        <x:f>H638-I638</x:f>
        <x:v>2</x:v>
      </x:c>
      <x:c r="U638" s="24" t="n">
        <x:f>IFERROR(J638/H638,0)-IFERROR(K638/I638,0)</x:f>
        <x:v>-0.041958041958041925</x:v>
      </x:c>
      <x:c r="V638" s="24" t="n">
        <x:f>IFERROR(F638/J638,0)-IFERROR(G638/K638,0)</x:f>
        <x:v>0</x:v>
      </x:c>
      <x:c r="W638" s="28" t="n">
        <x:f>L638-M638</x:f>
        <x:v>1</x:v>
      </x:c>
      <x:c r="X638" s="24" t="n">
        <x:f>IFERROR(K638/I638,0)</x:f>
        <x:v>0.2727272727272727</x:v>
      </x:c>
      <x:c r="Y638" s="24" t="n">
        <x:f>IFERROR(G638/I638,0)</x:f>
        <x:v>0.09090909090909091</x:v>
      </x:c>
      <x:c r="Z638" s="24" t="n">
        <x:f>IFERROR(G638/K638,0)</x:f>
        <x:v>0.3333333333333333</x:v>
      </x:c>
      <x:c r="AA638" s="24" t="n">
        <x:f>IFERROR(F638/H638,0)-IFERROR(G638/I638,0)</x:f>
        <x:v>-0.013986013986013984</x:v>
      </x:c>
      <x:c r="AB638" s="28" t="n">
        <x:f>J638-K638</x:f>
        <x:v>0</x:v>
      </x:c>
      <x:c r="AC638" s="32" t="n">
        <x:f>F638-G638</x:f>
        <x:v>0</x:v>
      </x:c>
    </x:row>
    <x:row r="639">
      <x:c r="A639" s="4" t="str">
        <x:v>2021-22</x:v>
      </x:c>
      <x:c r="B639" s="20" t="n">
        <x:v>44671</x:v>
      </x:c>
      <x:c r="C639" s="4" t="str">
        <x:v>Leicester</x:v>
      </x:c>
      <x:c r="D639" s="4" t="str">
        <x:v>Everton</x:v>
      </x:c>
      <x:c r="E639" s="4" t="str">
        <x:v>Away</x:v>
      </x:c>
      <x:c r="F639" s="28" t="n">
        <x:v>1</x:v>
      </x:c>
      <x:c r="G639" s="28" t="n">
        <x:v>1</x:v>
      </x:c>
      <x:c r="H639" s="28" t="n">
        <x:v>11</x:v>
      </x:c>
      <x:c r="I639" s="28" t="n">
        <x:v>13</x:v>
      </x:c>
      <x:c r="J639" s="28" t="n">
        <x:v>3</x:v>
      </x:c>
      <x:c r="K639" s="28" t="n">
        <x:v>3</x:v>
      </x:c>
      <x:c r="L639" s="28" t="n">
        <x:v>4</x:v>
      </x:c>
      <x:c r="M639" s="28" t="n">
        <x:v>5</x:v>
      </x:c>
      <x:c r="N639" s="28" t="n">
        <x:v>1</x:v>
      </x:c>
      <x:c r="O639" s="28" t="n">
        <x:v>0</x:v>
      </x:c>
      <x:c r="P639" s="28" t="n">
        <x:v>1</x:v>
      </x:c>
      <x:c r="Q639" s="24" t="n">
        <x:f>IFERROR(J639/H639,0)</x:f>
        <x:v>0.2727272727272727</x:v>
      </x:c>
      <x:c r="R639" s="24" t="n">
        <x:f>IFERROR(F639/H639,0)</x:f>
        <x:v>0.09090909090909091</x:v>
      </x:c>
      <x:c r="S639" s="24" t="n">
        <x:f>IFERROR(F639/J639,0)</x:f>
        <x:v>0.3333333333333333</x:v>
      </x:c>
      <x:c r="T639" s="28" t="n">
        <x:f>H639-I639</x:f>
        <x:v>-2</x:v>
      </x:c>
      <x:c r="U639" s="24" t="n">
        <x:f>IFERROR(J639/H639,0)-IFERROR(K639/I639,0)</x:f>
        <x:v>0.041958041958041925</x:v>
      </x:c>
      <x:c r="V639" s="24" t="n">
        <x:f>IFERROR(F639/J639,0)-IFERROR(G639/K639,0)</x:f>
        <x:v>0</x:v>
      </x:c>
      <x:c r="W639" s="28" t="n">
        <x:f>L639-M639</x:f>
        <x:v>-1</x:v>
      </x:c>
      <x:c r="X639" s="24" t="n">
        <x:f>IFERROR(K639/I639,0)</x:f>
        <x:v>0.23076923076923078</x:v>
      </x:c>
      <x:c r="Y639" s="24" t="n">
        <x:f>IFERROR(G639/I639,0)</x:f>
        <x:v>0.07692307692307693</x:v>
      </x:c>
      <x:c r="Z639" s="24" t="n">
        <x:f>IFERROR(G639/K639,0)</x:f>
        <x:v>0.3333333333333333</x:v>
      </x:c>
      <x:c r="AA639" s="24" t="n">
        <x:f>IFERROR(F639/H639,0)-IFERROR(G639/I639,0)</x:f>
        <x:v>0.013986013986013984</x:v>
      </x:c>
      <x:c r="AB639" s="28" t="n">
        <x:f>J639-K639</x:f>
        <x:v>0</x:v>
      </x:c>
      <x:c r="AC639" s="32" t="n">
        <x:f>F639-G639</x:f>
        <x:v>0</x:v>
      </x:c>
    </x:row>
    <x:row r="640">
      <x:c r="A640" s="4" t="str">
        <x:v>2021-22</x:v>
      </x:c>
      <x:c r="B640" s="20" t="n">
        <x:v>44671</x:v>
      </x:c>
      <x:c r="C640" s="4" t="str">
        <x:v>Man City</x:v>
      </x:c>
      <x:c r="D640" s="4" t="str">
        <x:v>Brighton</x:v>
      </x:c>
      <x:c r="E640" s="4" t="str">
        <x:v>Home</x:v>
      </x:c>
      <x:c r="F640" s="28" t="n">
        <x:v>3</x:v>
      </x:c>
      <x:c r="G640" s="28" t="n">
        <x:v>0</x:v>
      </x:c>
      <x:c r="H640" s="28" t="n">
        <x:v>17</x:v>
      </x:c>
      <x:c r="I640" s="28" t="n">
        <x:v>2</x:v>
      </x:c>
      <x:c r="J640" s="28" t="n">
        <x:v>5</x:v>
      </x:c>
      <x:c r="K640" s="28" t="n">
        <x:v>1</x:v>
      </x:c>
      <x:c r="L640" s="28" t="n">
        <x:v>7</x:v>
      </x:c>
      <x:c r="M640" s="28" t="n">
        <x:v>4</x:v>
      </x:c>
      <x:c r="N640" s="28" t="n">
        <x:v>0</x:v>
      </x:c>
      <x:c r="O640" s="28" t="n">
        <x:v>0</x:v>
      </x:c>
      <x:c r="P640" s="28" t="n">
        <x:v>3</x:v>
      </x:c>
      <x:c r="Q640" s="24" t="n">
        <x:f>IFERROR(J640/H640,0)</x:f>
        <x:v>0.29411764705882354</x:v>
      </x:c>
      <x:c r="R640" s="24" t="n">
        <x:f>IFERROR(F640/H640,0)</x:f>
        <x:v>0.17647058823529413</x:v>
      </x:c>
      <x:c r="S640" s="24" t="n">
        <x:f>IFERROR(F640/J640,0)</x:f>
        <x:v>0.6</x:v>
      </x:c>
      <x:c r="T640" s="28" t="n">
        <x:f>H640-I640</x:f>
        <x:v>15</x:v>
      </x:c>
      <x:c r="U640" s="24" t="n">
        <x:f>IFERROR(J640/H640,0)-IFERROR(K640/I640,0)</x:f>
        <x:v>-0.20588235294117646</x:v>
      </x:c>
      <x:c r="V640" s="24" t="n">
        <x:f>IFERROR(F640/J640,0)-IFERROR(G640/K640,0)</x:f>
        <x:v>0.6</x:v>
      </x:c>
      <x:c r="W640" s="28" t="n">
        <x:f>L640-M640</x:f>
        <x:v>3</x:v>
      </x:c>
      <x:c r="X640" s="24" t="n">
        <x:f>IFERROR(K640/I640,0)</x:f>
        <x:v>0.5</x:v>
      </x:c>
      <x:c r="Y640" s="24" t="n">
        <x:f>IFERROR(G640/I640,0)</x:f>
        <x:v>0</x:v>
      </x:c>
      <x:c r="Z640" s="24" t="n">
        <x:f>IFERROR(G640/K640,0)</x:f>
        <x:v>0</x:v>
      </x:c>
      <x:c r="AA640" s="24" t="n">
        <x:f>IFERROR(F640/H640,0)-IFERROR(G640/I640,0)</x:f>
        <x:v>0.17647058823529413</x:v>
      </x:c>
      <x:c r="AB640" s="28" t="n">
        <x:f>J640-K640</x:f>
        <x:v>4</x:v>
      </x:c>
      <x:c r="AC640" s="32" t="n">
        <x:f>F640-G640</x:f>
        <x:v>3</x:v>
      </x:c>
    </x:row>
    <x:row r="641">
      <x:c r="A641" s="4" t="str">
        <x:v>2021-22</x:v>
      </x:c>
      <x:c r="B641" s="20" t="n">
        <x:v>44671</x:v>
      </x:c>
      <x:c r="C641" s="4" t="str">
        <x:v>Newcastle</x:v>
      </x:c>
      <x:c r="D641" s="4" t="str">
        <x:v>Crystal Palace</x:v>
      </x:c>
      <x:c r="E641" s="4" t="str">
        <x:v>Home</x:v>
      </x:c>
      <x:c r="F641" s="28" t="n">
        <x:v>1</x:v>
      </x:c>
      <x:c r="G641" s="28" t="n">
        <x:v>0</x:v>
      </x:c>
      <x:c r="H641" s="28" t="n">
        <x:v>13</x:v>
      </x:c>
      <x:c r="I641" s="28" t="n">
        <x:v>10</x:v>
      </x:c>
      <x:c r="J641" s="28" t="n">
        <x:v>4</x:v>
      </x:c>
      <x:c r="K641" s="28" t="n">
        <x:v>2</x:v>
      </x:c>
      <x:c r="L641" s="28" t="n">
        <x:v>2</x:v>
      </x:c>
      <x:c r="M641" s="28" t="n">
        <x:v>5</x:v>
      </x:c>
      <x:c r="N641" s="28" t="n">
        <x:v>1</x:v>
      </x:c>
      <x:c r="O641" s="28" t="n">
        <x:v>0</x:v>
      </x:c>
      <x:c r="P641" s="28" t="n">
        <x:v>3</x:v>
      </x:c>
      <x:c r="Q641" s="24" t="n">
        <x:f>IFERROR(J641/H641,0)</x:f>
        <x:v>0.3076923076923077</x:v>
      </x:c>
      <x:c r="R641" s="24" t="n">
        <x:f>IFERROR(F641/H641,0)</x:f>
        <x:v>0.07692307692307693</x:v>
      </x:c>
      <x:c r="S641" s="24" t="n">
        <x:f>IFERROR(F641/J641,0)</x:f>
        <x:v>0.25</x:v>
      </x:c>
      <x:c r="T641" s="28" t="n">
        <x:f>H641-I641</x:f>
        <x:v>3</x:v>
      </x:c>
      <x:c r="U641" s="24" t="n">
        <x:f>IFERROR(J641/H641,0)-IFERROR(K641/I641,0)</x:f>
        <x:v>0.1076923076923077</x:v>
      </x:c>
      <x:c r="V641" s="24" t="n">
        <x:f>IFERROR(F641/J641,0)-IFERROR(G641/K641,0)</x:f>
        <x:v>0.25</x:v>
      </x:c>
      <x:c r="W641" s="28" t="n">
        <x:f>L641-M641</x:f>
        <x:v>-3</x:v>
      </x:c>
      <x:c r="X641" s="24" t="n">
        <x:f>IFERROR(K641/I641,0)</x:f>
        <x:v>0.2</x:v>
      </x:c>
      <x:c r="Y641" s="24" t="n">
        <x:f>IFERROR(G641/I641,0)</x:f>
        <x:v>0</x:v>
      </x:c>
      <x:c r="Z641" s="24" t="n">
        <x:f>IFERROR(G641/K641,0)</x:f>
        <x:v>0</x:v>
      </x:c>
      <x:c r="AA641" s="24" t="n">
        <x:f>IFERROR(F641/H641,0)-IFERROR(G641/I641,0)</x:f>
        <x:v>0.07692307692307693</x:v>
      </x:c>
      <x:c r="AB641" s="28" t="n">
        <x:f>J641-K641</x:f>
        <x:v>2</x:v>
      </x:c>
      <x:c r="AC641" s="32" t="n">
        <x:f>F641-G641</x:f>
        <x:v>1</x:v>
      </x:c>
    </x:row>
    <x:row r="642">
      <x:c r="A642" s="4" t="str">
        <x:v>2021-22</x:v>
      </x:c>
      <x:c r="B642" s="20" t="n">
        <x:v>44672</x:v>
      </x:c>
      <x:c r="C642" s="4" t="str">
        <x:v>Burnley</x:v>
      </x:c>
      <x:c r="D642" s="4" t="str">
        <x:v>Southampton</x:v>
      </x:c>
      <x:c r="E642" s="4" t="str">
        <x:v>Home</x:v>
      </x:c>
      <x:c r="F642" s="28" t="n">
        <x:v>2</x:v>
      </x:c>
      <x:c r="G642" s="28" t="n">
        <x:v>0</x:v>
      </x:c>
      <x:c r="H642" s="28" t="n">
        <x:v>16</x:v>
      </x:c>
      <x:c r="I642" s="28" t="n">
        <x:v>11</x:v>
      </x:c>
      <x:c r="J642" s="28" t="n">
        <x:v>6</x:v>
      </x:c>
      <x:c r="K642" s="28" t="n">
        <x:v>3</x:v>
      </x:c>
      <x:c r="L642" s="28" t="n">
        <x:v>10</x:v>
      </x:c>
      <x:c r="M642" s="28" t="n">
        <x:v>10</x:v>
      </x:c>
      <x:c r="N642" s="28" t="n">
        <x:v>2</x:v>
      </x:c>
      <x:c r="O642" s="28" t="n">
        <x:v>0</x:v>
      </x:c>
      <x:c r="P642" s="28" t="n">
        <x:v>3</x:v>
      </x:c>
      <x:c r="Q642" s="24" t="n">
        <x:f>IFERROR(J642/H642,0)</x:f>
        <x:v>0.375</x:v>
      </x:c>
      <x:c r="R642" s="24" t="n">
        <x:f>IFERROR(F642/H642,0)</x:f>
        <x:v>0.125</x:v>
      </x:c>
      <x:c r="S642" s="24" t="n">
        <x:f>IFERROR(F642/J642,0)</x:f>
        <x:v>0.3333333333333333</x:v>
      </x:c>
      <x:c r="T642" s="28" t="n">
        <x:f>H642-I642</x:f>
        <x:v>5</x:v>
      </x:c>
      <x:c r="U642" s="24" t="n">
        <x:f>IFERROR(J642/H642,0)-IFERROR(K642/I642,0)</x:f>
        <x:v>0.10227272727272729</x:v>
      </x:c>
      <x:c r="V642" s="24" t="n">
        <x:f>IFERROR(F642/J642,0)-IFERROR(G642/K642,0)</x:f>
        <x:v>0.3333333333333333</x:v>
      </x:c>
      <x:c r="W642" s="28" t="n">
        <x:f>L642-M642</x:f>
        <x:v>0</x:v>
      </x:c>
      <x:c r="X642" s="24" t="n">
        <x:f>IFERROR(K642/I642,0)</x:f>
        <x:v>0.2727272727272727</x:v>
      </x:c>
      <x:c r="Y642" s="24" t="n">
        <x:f>IFERROR(G642/I642,0)</x:f>
        <x:v>0</x:v>
      </x:c>
      <x:c r="Z642" s="24" t="n">
        <x:f>IFERROR(G642/K642,0)</x:f>
        <x:v>0</x:v>
      </x:c>
      <x:c r="AA642" s="24" t="n">
        <x:f>IFERROR(F642/H642,0)-IFERROR(G642/I642,0)</x:f>
        <x:v>0.125</x:v>
      </x:c>
      <x:c r="AB642" s="28" t="n">
        <x:f>J642-K642</x:f>
        <x:v>3</x:v>
      </x:c>
      <x:c r="AC642" s="32" t="n">
        <x:f>F642-G642</x:f>
        <x:v>2</x:v>
      </x:c>
    </x:row>
    <x:row r="643">
      <x:c r="A643" s="4" t="str">
        <x:v>2021-22</x:v>
      </x:c>
      <x:c r="B643" s="20" t="n">
        <x:v>44672</x:v>
      </x:c>
      <x:c r="C643" s="4" t="str">
        <x:v>Southampton</x:v>
      </x:c>
      <x:c r="D643" s="4" t="str">
        <x:v>Burnley</x:v>
      </x:c>
      <x:c r="E643" s="4" t="str">
        <x:v>Away</x:v>
      </x:c>
      <x:c r="F643" s="28" t="n">
        <x:v>0</x:v>
      </x:c>
      <x:c r="G643" s="28" t="n">
        <x:v>2</x:v>
      </x:c>
      <x:c r="H643" s="28" t="n">
        <x:v>11</x:v>
      </x:c>
      <x:c r="I643" s="28" t="n">
        <x:v>16</x:v>
      </x:c>
      <x:c r="J643" s="28" t="n">
        <x:v>3</x:v>
      </x:c>
      <x:c r="K643" s="28" t="n">
        <x:v>6</x:v>
      </x:c>
      <x:c r="L643" s="28" t="n">
        <x:v>10</x:v>
      </x:c>
      <x:c r="M643" s="28" t="n">
        <x:v>10</x:v>
      </x:c>
      <x:c r="N643" s="28" t="n">
        <x:v>2</x:v>
      </x:c>
      <x:c r="O643" s="28" t="n">
        <x:v>0</x:v>
      </x:c>
      <x:c r="P643" s="28" t="n">
        <x:v>0</x:v>
      </x:c>
      <x:c r="Q643" s="24" t="n">
        <x:f>IFERROR(J643/H643,0)</x:f>
        <x:v>0.2727272727272727</x:v>
      </x:c>
      <x:c r="R643" s="24" t="n">
        <x:f>IFERROR(F643/H643,0)</x:f>
        <x:v>0</x:v>
      </x:c>
      <x:c r="S643" s="24" t="n">
        <x:f>IFERROR(F643/J643,0)</x:f>
        <x:v>0</x:v>
      </x:c>
      <x:c r="T643" s="28" t="n">
        <x:f>H643-I643</x:f>
        <x:v>-5</x:v>
      </x:c>
      <x:c r="U643" s="24" t="n">
        <x:f>IFERROR(J643/H643,0)-IFERROR(K643/I643,0)</x:f>
        <x:v>-0.10227272727272729</x:v>
      </x:c>
      <x:c r="V643" s="24" t="n">
        <x:f>IFERROR(F643/J643,0)-IFERROR(G643/K643,0)</x:f>
        <x:v>-0.3333333333333333</x:v>
      </x:c>
      <x:c r="W643" s="28" t="n">
        <x:f>L643-M643</x:f>
        <x:v>0</x:v>
      </x:c>
      <x:c r="X643" s="24" t="n">
        <x:f>IFERROR(K643/I643,0)</x:f>
        <x:v>0.375</x:v>
      </x:c>
      <x:c r="Y643" s="24" t="n">
        <x:f>IFERROR(G643/I643,0)</x:f>
        <x:v>0.125</x:v>
      </x:c>
      <x:c r="Z643" s="24" t="n">
        <x:f>IFERROR(G643/K643,0)</x:f>
        <x:v>0.3333333333333333</x:v>
      </x:c>
      <x:c r="AA643" s="24" t="n">
        <x:f>IFERROR(F643/H643,0)-IFERROR(G643/I643,0)</x:f>
        <x:v>-0.125</x:v>
      </x:c>
      <x:c r="AB643" s="28" t="n">
        <x:f>J643-K643</x:f>
        <x:v>-3</x:v>
      </x:c>
      <x:c r="AC643" s="32" t="n">
        <x:f>F643-G643</x:f>
        <x:v>-2</x:v>
      </x:c>
    </x:row>
    <x:row r="644">
      <x:c r="A644" s="4" t="str">
        <x:v>2021-22</x:v>
      </x:c>
      <x:c r="B644" s="20" t="n">
        <x:v>44674</x:v>
      </x:c>
      <x:c r="C644" s="4" t="str">
        <x:v>Arsenal</x:v>
      </x:c>
      <x:c r="D644" s="4" t="str">
        <x:v>Man United</x:v>
      </x:c>
      <x:c r="E644" s="4" t="str">
        <x:v>Home</x:v>
      </x:c>
      <x:c r="F644" s="28" t="n">
        <x:v>3</x:v>
      </x:c>
      <x:c r="G644" s="28" t="n">
        <x:v>1</x:v>
      </x:c>
      <x:c r="H644" s="28" t="n">
        <x:v>14</x:v>
      </x:c>
      <x:c r="I644" s="28" t="n">
        <x:v>14</x:v>
      </x:c>
      <x:c r="J644" s="28" t="n">
        <x:v>7</x:v>
      </x:c>
      <x:c r="K644" s="28" t="n">
        <x:v>5</x:v>
      </x:c>
      <x:c r="L644" s="28" t="n">
        <x:v>1</x:v>
      </x:c>
      <x:c r="M644" s="28" t="n">
        <x:v>7</x:v>
      </x:c>
      <x:c r="N644" s="28" t="n">
        <x:v>3</x:v>
      </x:c>
      <x:c r="O644" s="28" t="n">
        <x:v>0</x:v>
      </x:c>
      <x:c r="P644" s="28" t="n">
        <x:v>3</x:v>
      </x:c>
      <x:c r="Q644" s="24" t="n">
        <x:f>IFERROR(J644/H644,0)</x:f>
        <x:v>0.5</x:v>
      </x:c>
      <x:c r="R644" s="24" t="n">
        <x:f>IFERROR(F644/H644,0)</x:f>
        <x:v>0.21428571428571427</x:v>
      </x:c>
      <x:c r="S644" s="24" t="n">
        <x:f>IFERROR(F644/J644,0)</x:f>
        <x:v>0.42857142857142855</x:v>
      </x:c>
      <x:c r="T644" s="28" t="n">
        <x:f>H644-I644</x:f>
        <x:v>0</x:v>
      </x:c>
      <x:c r="U644" s="24" t="n">
        <x:f>IFERROR(J644/H644,0)-IFERROR(K644/I644,0)</x:f>
        <x:v>0.14285714285714285</x:v>
      </x:c>
      <x:c r="V644" s="24" t="n">
        <x:f>IFERROR(F644/J644,0)-IFERROR(G644/K644,0)</x:f>
        <x:v>0.22857142857142854</x:v>
      </x:c>
      <x:c r="W644" s="28" t="n">
        <x:f>L644-M644</x:f>
        <x:v>-6</x:v>
      </x:c>
      <x:c r="X644" s="24" t="n">
        <x:f>IFERROR(K644/I644,0)</x:f>
        <x:v>0.35714285714285715</x:v>
      </x:c>
      <x:c r="Y644" s="24" t="n">
        <x:f>IFERROR(G644/I644,0)</x:f>
        <x:v>0.07142857142857142</x:v>
      </x:c>
      <x:c r="Z644" s="24" t="n">
        <x:f>IFERROR(G644/K644,0)</x:f>
        <x:v>0.2</x:v>
      </x:c>
      <x:c r="AA644" s="24" t="n">
        <x:f>IFERROR(F644/H644,0)-IFERROR(G644/I644,0)</x:f>
        <x:v>0.14285714285714285</x:v>
      </x:c>
      <x:c r="AB644" s="28" t="n">
        <x:f>J644-K644</x:f>
        <x:v>2</x:v>
      </x:c>
      <x:c r="AC644" s="32" t="n">
        <x:f>F644-G644</x:f>
        <x:v>2</x:v>
      </x:c>
    </x:row>
    <x:row r="645">
      <x:c r="A645" s="4" t="str">
        <x:v>2021-22</x:v>
      </x:c>
      <x:c r="B645" s="20" t="n">
        <x:v>44674</x:v>
      </x:c>
      <x:c r="C645" s="4" t="str">
        <x:v>Aston Villa</x:v>
      </x:c>
      <x:c r="D645" s="4" t="str">
        <x:v>Leicester</x:v>
      </x:c>
      <x:c r="E645" s="4" t="str">
        <x:v>Away</x:v>
      </x:c>
      <x:c r="F645" s="28" t="n">
        <x:v>0</x:v>
      </x:c>
      <x:c r="G645" s="28" t="n">
        <x:v>0</x:v>
      </x:c>
      <x:c r="H645" s="28" t="n">
        <x:v>11</x:v>
      </x:c>
      <x:c r="I645" s="28" t="n">
        <x:v>5</x:v>
      </x:c>
      <x:c r="J645" s="28" t="n">
        <x:v>3</x:v>
      </x:c>
      <x:c r="K645" s="28" t="n">
        <x:v>2</x:v>
      </x:c>
      <x:c r="L645" s="28" t="n">
        <x:v>6</x:v>
      </x:c>
      <x:c r="M645" s="28" t="n">
        <x:v>7</x:v>
      </x:c>
      <x:c r="N645" s="28" t="n">
        <x:v>2</x:v>
      </x:c>
      <x:c r="O645" s="28" t="n">
        <x:v>0</x:v>
      </x:c>
      <x:c r="P645" s="28" t="n">
        <x:v>1</x:v>
      </x:c>
      <x:c r="Q645" s="24" t="n">
        <x:f>IFERROR(J645/H645,0)</x:f>
        <x:v>0.2727272727272727</x:v>
      </x:c>
      <x:c r="R645" s="24" t="n">
        <x:f>IFERROR(F645/H645,0)</x:f>
        <x:v>0</x:v>
      </x:c>
      <x:c r="S645" s="24" t="n">
        <x:f>IFERROR(F645/J645,0)</x:f>
        <x:v>0</x:v>
      </x:c>
      <x:c r="T645" s="28" t="n">
        <x:f>H645-I645</x:f>
        <x:v>6</x:v>
      </x:c>
      <x:c r="U645" s="24" t="n">
        <x:f>IFERROR(J645/H645,0)-IFERROR(K645/I645,0)</x:f>
        <x:v>-0.12727272727272732</x:v>
      </x:c>
      <x:c r="V645" s="24" t="n">
        <x:f>IFERROR(F645/J645,0)-IFERROR(G645/K645,0)</x:f>
        <x:v>0</x:v>
      </x:c>
      <x:c r="W645" s="28" t="n">
        <x:f>L645-M645</x:f>
        <x:v>-1</x:v>
      </x:c>
      <x:c r="X645" s="24" t="n">
        <x:f>IFERROR(K645/I645,0)</x:f>
        <x:v>0.4</x:v>
      </x:c>
      <x:c r="Y645" s="24" t="n">
        <x:f>IFERROR(G645/I645,0)</x:f>
        <x:v>0</x:v>
      </x:c>
      <x:c r="Z645" s="24" t="n">
        <x:f>IFERROR(G645/K645,0)</x:f>
        <x:v>0</x:v>
      </x:c>
      <x:c r="AA645" s="24" t="n">
        <x:f>IFERROR(F645/H645,0)-IFERROR(G645/I645,0)</x:f>
        <x:v>0</x:v>
      </x:c>
      <x:c r="AB645" s="28" t="n">
        <x:f>J645-K645</x:f>
        <x:v>1</x:v>
      </x:c>
      <x:c r="AC645" s="32" t="n">
        <x:f>F645-G645</x:f>
        <x:v>0</x:v>
      </x:c>
    </x:row>
    <x:row r="646">
      <x:c r="A646" s="4" t="str">
        <x:v>2021-22</x:v>
      </x:c>
      <x:c r="B646" s="20" t="n">
        <x:v>44674</x:v>
      </x:c>
      <x:c r="C646" s="4" t="str">
        <x:v>Brentford</x:v>
      </x:c>
      <x:c r="D646" s="4" t="str">
        <x:v>Tottenham</x:v>
      </x:c>
      <x:c r="E646" s="4" t="str">
        <x:v>Home</x:v>
      </x:c>
      <x:c r="F646" s="28" t="n">
        <x:v>0</x:v>
      </x:c>
      <x:c r="G646" s="28" t="n">
        <x:v>0</x:v>
      </x:c>
      <x:c r="H646" s="28" t="n">
        <x:v>15</x:v>
      </x:c>
      <x:c r="I646" s="28" t="n">
        <x:v>9</x:v>
      </x:c>
      <x:c r="J646" s="28" t="n">
        <x:v>2</x:v>
      </x:c>
      <x:c r="K646" s="28" t="n">
        <x:v>0</x:v>
      </x:c>
      <x:c r="L646" s="28" t="n">
        <x:v>12</x:v>
      </x:c>
      <x:c r="M646" s="28" t="n">
        <x:v>8</x:v>
      </x:c>
      <x:c r="N646" s="28" t="n">
        <x:v>2</x:v>
      </x:c>
      <x:c r="O646" s="28" t="n">
        <x:v>0</x:v>
      </x:c>
      <x:c r="P646" s="28" t="n">
        <x:v>1</x:v>
      </x:c>
      <x:c r="Q646" s="24" t="n">
        <x:f>IFERROR(J646/H646,0)</x:f>
        <x:v>0.13333333333333333</x:v>
      </x:c>
      <x:c r="R646" s="24" t="n">
        <x:f>IFERROR(F646/H646,0)</x:f>
        <x:v>0</x:v>
      </x:c>
      <x:c r="S646" s="24" t="n">
        <x:f>IFERROR(F646/J646,0)</x:f>
        <x:v>0</x:v>
      </x:c>
      <x:c r="T646" s="28" t="n">
        <x:f>H646-I646</x:f>
        <x:v>6</x:v>
      </x:c>
      <x:c r="U646" s="24" t="n">
        <x:f>IFERROR(J646/H646,0)-IFERROR(K646/I646,0)</x:f>
        <x:v>0.13333333333333333</x:v>
      </x:c>
      <x:c r="V646" s="24" t="n">
        <x:f>IFERROR(F646/J646,0)-IFERROR(G646/K646,0)</x:f>
        <x:v>0</x:v>
      </x:c>
      <x:c r="W646" s="28" t="n">
        <x:f>L646-M646</x:f>
        <x:v>4</x:v>
      </x:c>
      <x:c r="X646" s="24" t="n">
        <x:f>IFERROR(K646/I646,0)</x:f>
        <x:v>0</x:v>
      </x:c>
      <x:c r="Y646" s="24" t="n">
        <x:f>IFERROR(G646/I646,0)</x:f>
        <x:v>0</x:v>
      </x:c>
      <x:c r="Z646" s="24" t="n">
        <x:f>IFERROR(G646/K646,0)</x:f>
        <x:v>0</x:v>
      </x:c>
      <x:c r="AA646" s="24" t="n">
        <x:f>IFERROR(F646/H646,0)-IFERROR(G646/I646,0)</x:f>
        <x:v>0</x:v>
      </x:c>
      <x:c r="AB646" s="28" t="n">
        <x:f>J646-K646</x:f>
        <x:v>2</x:v>
      </x:c>
      <x:c r="AC646" s="32" t="n">
        <x:f>F646-G646</x:f>
        <x:v>0</x:v>
      </x:c>
    </x:row>
    <x:row r="647">
      <x:c r="A647" s="4" t="str">
        <x:v>2021-22</x:v>
      </x:c>
      <x:c r="B647" s="20" t="n">
        <x:v>44674</x:v>
      </x:c>
      <x:c r="C647" s="4" t="str">
        <x:v>Leicester</x:v>
      </x:c>
      <x:c r="D647" s="4" t="str">
        <x:v>Aston Villa</x:v>
      </x:c>
      <x:c r="E647" s="4" t="str">
        <x:v>Home</x:v>
      </x:c>
      <x:c r="F647" s="28" t="n">
        <x:v>0</x:v>
      </x:c>
      <x:c r="G647" s="28" t="n">
        <x:v>0</x:v>
      </x:c>
      <x:c r="H647" s="28" t="n">
        <x:v>5</x:v>
      </x:c>
      <x:c r="I647" s="28" t="n">
        <x:v>11</x:v>
      </x:c>
      <x:c r="J647" s="28" t="n">
        <x:v>2</x:v>
      </x:c>
      <x:c r="K647" s="28" t="n">
        <x:v>3</x:v>
      </x:c>
      <x:c r="L647" s="28" t="n">
        <x:v>7</x:v>
      </x:c>
      <x:c r="M647" s="28" t="n">
        <x:v>6</x:v>
      </x:c>
      <x:c r="N647" s="28" t="n">
        <x:v>3</x:v>
      </x:c>
      <x:c r="O647" s="28" t="n">
        <x:v>0</x:v>
      </x:c>
      <x:c r="P647" s="28" t="n">
        <x:v>1</x:v>
      </x:c>
      <x:c r="Q647" s="24" t="n">
        <x:f>IFERROR(J647/H647,0)</x:f>
        <x:v>0.4</x:v>
      </x:c>
      <x:c r="R647" s="24" t="n">
        <x:f>IFERROR(F647/H647,0)</x:f>
        <x:v>0</x:v>
      </x:c>
      <x:c r="S647" s="24" t="n">
        <x:f>IFERROR(F647/J647,0)</x:f>
        <x:v>0</x:v>
      </x:c>
      <x:c r="T647" s="28" t="n">
        <x:f>H647-I647</x:f>
        <x:v>-6</x:v>
      </x:c>
      <x:c r="U647" s="24" t="n">
        <x:f>IFERROR(J647/H647,0)-IFERROR(K647/I647,0)</x:f>
        <x:v>0.12727272727272732</x:v>
      </x:c>
      <x:c r="V647" s="24" t="n">
        <x:f>IFERROR(F647/J647,0)-IFERROR(G647/K647,0)</x:f>
        <x:v>0</x:v>
      </x:c>
      <x:c r="W647" s="28" t="n">
        <x:f>L647-M647</x:f>
        <x:v>1</x:v>
      </x:c>
      <x:c r="X647" s="24" t="n">
        <x:f>IFERROR(K647/I647,0)</x:f>
        <x:v>0.2727272727272727</x:v>
      </x:c>
      <x:c r="Y647" s="24" t="n">
        <x:f>IFERROR(G647/I647,0)</x:f>
        <x:v>0</x:v>
      </x:c>
      <x:c r="Z647" s="24" t="n">
        <x:f>IFERROR(G647/K647,0)</x:f>
        <x:v>0</x:v>
      </x:c>
      <x:c r="AA647" s="24" t="n">
        <x:f>IFERROR(F647/H647,0)-IFERROR(G647/I647,0)</x:f>
        <x:v>0</x:v>
      </x:c>
      <x:c r="AB647" s="28" t="n">
        <x:f>J647-K647</x:f>
        <x:v>-1</x:v>
      </x:c>
      <x:c r="AC647" s="32" t="n">
        <x:f>F647-G647</x:f>
        <x:v>0</x:v>
      </x:c>
    </x:row>
    <x:row r="648">
      <x:c r="A648" s="4" t="str">
        <x:v>2021-22</x:v>
      </x:c>
      <x:c r="B648" s="20" t="n">
        <x:v>44674</x:v>
      </x:c>
      <x:c r="C648" s="4" t="str">
        <x:v>Man City</x:v>
      </x:c>
      <x:c r="D648" s="4" t="str">
        <x:v>Watford</x:v>
      </x:c>
      <x:c r="E648" s="4" t="str">
        <x:v>Home</x:v>
      </x:c>
      <x:c r="F648" s="28" t="n">
        <x:v>5</x:v>
      </x:c>
      <x:c r="G648" s="28" t="n">
        <x:v>1</x:v>
      </x:c>
      <x:c r="H648" s="28" t="n">
        <x:v>21</x:v>
      </x:c>
      <x:c r="I648" s="28" t="n">
        <x:v>5</x:v>
      </x:c>
      <x:c r="J648" s="28" t="n">
        <x:v>8</x:v>
      </x:c>
      <x:c r="K648" s="28" t="n">
        <x:v>2</x:v>
      </x:c>
      <x:c r="L648" s="28" t="n">
        <x:v>11</x:v>
      </x:c>
      <x:c r="M648" s="28" t="n">
        <x:v>4</x:v>
      </x:c>
      <x:c r="N648" s="28" t="n">
        <x:v>1</x:v>
      </x:c>
      <x:c r="O648" s="28" t="n">
        <x:v>0</x:v>
      </x:c>
      <x:c r="P648" s="28" t="n">
        <x:v>3</x:v>
      </x:c>
      <x:c r="Q648" s="24" t="n">
        <x:f>IFERROR(J648/H648,0)</x:f>
        <x:v>0.38095238095238093</x:v>
      </x:c>
      <x:c r="R648" s="24" t="n">
        <x:f>IFERROR(F648/H648,0)</x:f>
        <x:v>0.23809523809523808</x:v>
      </x:c>
      <x:c r="S648" s="24" t="n">
        <x:f>IFERROR(F648/J648,0)</x:f>
        <x:v>0.625</x:v>
      </x:c>
      <x:c r="T648" s="28" t="n">
        <x:f>H648-I648</x:f>
        <x:v>16</x:v>
      </x:c>
      <x:c r="U648" s="24" t="n">
        <x:f>IFERROR(J648/H648,0)-IFERROR(K648/I648,0)</x:f>
        <x:v>-0.01904761904761909</x:v>
      </x:c>
      <x:c r="V648" s="24" t="n">
        <x:f>IFERROR(F648/J648,0)-IFERROR(G648/K648,0)</x:f>
        <x:v>0.125</x:v>
      </x:c>
      <x:c r="W648" s="28" t="n">
        <x:f>L648-M648</x:f>
        <x:v>7</x:v>
      </x:c>
      <x:c r="X648" s="24" t="n">
        <x:f>IFERROR(K648/I648,0)</x:f>
        <x:v>0.4</x:v>
      </x:c>
      <x:c r="Y648" s="24" t="n">
        <x:f>IFERROR(G648/I648,0)</x:f>
        <x:v>0.2</x:v>
      </x:c>
      <x:c r="Z648" s="24" t="n">
        <x:f>IFERROR(G648/K648,0)</x:f>
        <x:v>0.5</x:v>
      </x:c>
      <x:c r="AA648" s="24" t="n">
        <x:f>IFERROR(F648/H648,0)-IFERROR(G648/I648,0)</x:f>
        <x:v>0.03809523809523807</x:v>
      </x:c>
      <x:c r="AB648" s="28" t="n">
        <x:f>J648-K648</x:f>
        <x:v>6</x:v>
      </x:c>
      <x:c r="AC648" s="32" t="n">
        <x:f>F648-G648</x:f>
        <x:v>4</x:v>
      </x:c>
    </x:row>
    <x:row r="649">
      <x:c r="A649" s="4" t="str">
        <x:v>2021-22</x:v>
      </x:c>
      <x:c r="B649" s="20" t="n">
        <x:v>44674</x:v>
      </x:c>
      <x:c r="C649" s="4" t="str">
        <x:v>Man United</x:v>
      </x:c>
      <x:c r="D649" s="4" t="str">
        <x:v>Arsenal</x:v>
      </x:c>
      <x:c r="E649" s="4" t="str">
        <x:v>Away</x:v>
      </x:c>
      <x:c r="F649" s="28" t="n">
        <x:v>1</x:v>
      </x:c>
      <x:c r="G649" s="28" t="n">
        <x:v>3</x:v>
      </x:c>
      <x:c r="H649" s="28" t="n">
        <x:v>14</x:v>
      </x:c>
      <x:c r="I649" s="28" t="n">
        <x:v>14</x:v>
      </x:c>
      <x:c r="J649" s="28" t="n">
        <x:v>5</x:v>
      </x:c>
      <x:c r="K649" s="28" t="n">
        <x:v>7</x:v>
      </x:c>
      <x:c r="L649" s="28" t="n">
        <x:v>7</x:v>
      </x:c>
      <x:c r="M649" s="28" t="n">
        <x:v>1</x:v>
      </x:c>
      <x:c r="N649" s="28" t="n">
        <x:v>4</x:v>
      </x:c>
      <x:c r="O649" s="28" t="n">
        <x:v>0</x:v>
      </x:c>
      <x:c r="P649" s="28" t="n">
        <x:v>0</x:v>
      </x:c>
      <x:c r="Q649" s="24" t="n">
        <x:f>IFERROR(J649/H649,0)</x:f>
        <x:v>0.35714285714285715</x:v>
      </x:c>
      <x:c r="R649" s="24" t="n">
        <x:f>IFERROR(F649/H649,0)</x:f>
        <x:v>0.07142857142857142</x:v>
      </x:c>
      <x:c r="S649" s="24" t="n">
        <x:f>IFERROR(F649/J649,0)</x:f>
        <x:v>0.2</x:v>
      </x:c>
      <x:c r="T649" s="28" t="n">
        <x:f>H649-I649</x:f>
        <x:v>0</x:v>
      </x:c>
      <x:c r="U649" s="24" t="n">
        <x:f>IFERROR(J649/H649,0)-IFERROR(K649/I649,0)</x:f>
        <x:v>-0.14285714285714285</x:v>
      </x:c>
      <x:c r="V649" s="24" t="n">
        <x:f>IFERROR(F649/J649,0)-IFERROR(G649/K649,0)</x:f>
        <x:v>-0.22857142857142854</x:v>
      </x:c>
      <x:c r="W649" s="28" t="n">
        <x:f>L649-M649</x:f>
        <x:v>6</x:v>
      </x:c>
      <x:c r="X649" s="24" t="n">
        <x:f>IFERROR(K649/I649,0)</x:f>
        <x:v>0.5</x:v>
      </x:c>
      <x:c r="Y649" s="24" t="n">
        <x:f>IFERROR(G649/I649,0)</x:f>
        <x:v>0.21428571428571427</x:v>
      </x:c>
      <x:c r="Z649" s="24" t="n">
        <x:f>IFERROR(G649/K649,0)</x:f>
        <x:v>0.42857142857142855</x:v>
      </x:c>
      <x:c r="AA649" s="24" t="n">
        <x:f>IFERROR(F649/H649,0)-IFERROR(G649/I649,0)</x:f>
        <x:v>-0.14285714285714285</x:v>
      </x:c>
      <x:c r="AB649" s="28" t="n">
        <x:f>J649-K649</x:f>
        <x:v>-2</x:v>
      </x:c>
      <x:c r="AC649" s="32" t="n">
        <x:f>F649-G649</x:f>
        <x:v>-2</x:v>
      </x:c>
    </x:row>
    <x:row r="650">
      <x:c r="A650" s="4" t="str">
        <x:v>2021-22</x:v>
      </x:c>
      <x:c r="B650" s="20" t="n">
        <x:v>44674</x:v>
      </x:c>
      <x:c r="C650" s="4" t="str">
        <x:v>Newcastle</x:v>
      </x:c>
      <x:c r="D650" s="4" t="str">
        <x:v>Norwich</x:v>
      </x:c>
      <x:c r="E650" s="4" t="str">
        <x:v>Away</x:v>
      </x:c>
      <x:c r="F650" s="28" t="n">
        <x:v>3</x:v>
      </x:c>
      <x:c r="G650" s="28" t="n">
        <x:v>0</x:v>
      </x:c>
      <x:c r="H650" s="28" t="n">
        <x:v>13</x:v>
      </x:c>
      <x:c r="I650" s="28" t="n">
        <x:v>5</x:v>
      </x:c>
      <x:c r="J650" s="28" t="n">
        <x:v>7</x:v>
      </x:c>
      <x:c r="K650" s="28" t="n">
        <x:v>2</x:v>
      </x:c>
      <x:c r="L650" s="28" t="n">
        <x:v>3</x:v>
      </x:c>
      <x:c r="M650" s="28" t="n">
        <x:v>2</x:v>
      </x:c>
      <x:c r="N650" s="28" t="n">
        <x:v>2</x:v>
      </x:c>
      <x:c r="O650" s="28" t="n">
        <x:v>0</x:v>
      </x:c>
      <x:c r="P650" s="28" t="n">
        <x:v>3</x:v>
      </x:c>
      <x:c r="Q650" s="24" t="n">
        <x:f>IFERROR(J650/H650,0)</x:f>
        <x:v>0.5384615384615384</x:v>
      </x:c>
      <x:c r="R650" s="24" t="n">
        <x:f>IFERROR(F650/H650,0)</x:f>
        <x:v>0.23076923076923078</x:v>
      </x:c>
      <x:c r="S650" s="24" t="n">
        <x:f>IFERROR(F650/J650,0)</x:f>
        <x:v>0.42857142857142855</x:v>
      </x:c>
      <x:c r="T650" s="28" t="n">
        <x:f>H650-I650</x:f>
        <x:v>8</x:v>
      </x:c>
      <x:c r="U650" s="24" t="n">
        <x:f>IFERROR(J650/H650,0)-IFERROR(K650/I650,0)</x:f>
        <x:v>0.1384615384615384</x:v>
      </x:c>
      <x:c r="V650" s="24" t="n">
        <x:f>IFERROR(F650/J650,0)-IFERROR(G650/K650,0)</x:f>
        <x:v>0.42857142857142855</x:v>
      </x:c>
      <x:c r="W650" s="28" t="n">
        <x:f>L650-M650</x:f>
        <x:v>1</x:v>
      </x:c>
      <x:c r="X650" s="24" t="n">
        <x:f>IFERROR(K650/I650,0)</x:f>
        <x:v>0.4</x:v>
      </x:c>
      <x:c r="Y650" s="24" t="n">
        <x:f>IFERROR(G650/I650,0)</x:f>
        <x:v>0</x:v>
      </x:c>
      <x:c r="Z650" s="24" t="n">
        <x:f>IFERROR(G650/K650,0)</x:f>
        <x:v>0</x:v>
      </x:c>
      <x:c r="AA650" s="24" t="n">
        <x:f>IFERROR(F650/H650,0)-IFERROR(G650/I650,0)</x:f>
        <x:v>0.23076923076923078</x:v>
      </x:c>
      <x:c r="AB650" s="28" t="n">
        <x:f>J650-K650</x:f>
        <x:v>5</x:v>
      </x:c>
      <x:c r="AC650" s="32" t="n">
        <x:f>F650-G650</x:f>
        <x:v>3</x:v>
      </x:c>
    </x:row>
    <x:row r="651">
      <x:c r="A651" s="4" t="str">
        <x:v>2021-22</x:v>
      </x:c>
      <x:c r="B651" s="20" t="n">
        <x:v>44674</x:v>
      </x:c>
      <x:c r="C651" s="4" t="str">
        <x:v>Norwich</x:v>
      </x:c>
      <x:c r="D651" s="4" t="str">
        <x:v>Newcastle</x:v>
      </x:c>
      <x:c r="E651" s="4" t="str">
        <x:v>Home</x:v>
      </x:c>
      <x:c r="F651" s="28" t="n">
        <x:v>0</x:v>
      </x:c>
      <x:c r="G651" s="28" t="n">
        <x:v>3</x:v>
      </x:c>
      <x:c r="H651" s="28" t="n">
        <x:v>5</x:v>
      </x:c>
      <x:c r="I651" s="28" t="n">
        <x:v>13</x:v>
      </x:c>
      <x:c r="J651" s="28" t="n">
        <x:v>2</x:v>
      </x:c>
      <x:c r="K651" s="28" t="n">
        <x:v>7</x:v>
      </x:c>
      <x:c r="L651" s="28" t="n">
        <x:v>2</x:v>
      </x:c>
      <x:c r="M651" s="28" t="n">
        <x:v>3</x:v>
      </x:c>
      <x:c r="N651" s="28" t="n">
        <x:v>0</x:v>
      </x:c>
      <x:c r="O651" s="28" t="n">
        <x:v>0</x:v>
      </x:c>
      <x:c r="P651" s="28" t="n">
        <x:v>0</x:v>
      </x:c>
      <x:c r="Q651" s="24" t="n">
        <x:f>IFERROR(J651/H651,0)</x:f>
        <x:v>0.4</x:v>
      </x:c>
      <x:c r="R651" s="24" t="n">
        <x:f>IFERROR(F651/H651,0)</x:f>
        <x:v>0</x:v>
      </x:c>
      <x:c r="S651" s="24" t="n">
        <x:f>IFERROR(F651/J651,0)</x:f>
        <x:v>0</x:v>
      </x:c>
      <x:c r="T651" s="28" t="n">
        <x:f>H651-I651</x:f>
        <x:v>-8</x:v>
      </x:c>
      <x:c r="U651" s="24" t="n">
        <x:f>IFERROR(J651/H651,0)-IFERROR(K651/I651,0)</x:f>
        <x:v>-0.1384615384615384</x:v>
      </x:c>
      <x:c r="V651" s="24" t="n">
        <x:f>IFERROR(F651/J651,0)-IFERROR(G651/K651,0)</x:f>
        <x:v>-0.42857142857142855</x:v>
      </x:c>
      <x:c r="W651" s="28" t="n">
        <x:f>L651-M651</x:f>
        <x:v>-1</x:v>
      </x:c>
      <x:c r="X651" s="24" t="n">
        <x:f>IFERROR(K651/I651,0)</x:f>
        <x:v>0.5384615384615384</x:v>
      </x:c>
      <x:c r="Y651" s="24" t="n">
        <x:f>IFERROR(G651/I651,0)</x:f>
        <x:v>0.23076923076923078</x:v>
      </x:c>
      <x:c r="Z651" s="24" t="n">
        <x:f>IFERROR(G651/K651,0)</x:f>
        <x:v>0.42857142857142855</x:v>
      </x:c>
      <x:c r="AA651" s="24" t="n">
        <x:f>IFERROR(F651/H651,0)-IFERROR(G651/I651,0)</x:f>
        <x:v>-0.23076923076923078</x:v>
      </x:c>
      <x:c r="AB651" s="28" t="n">
        <x:f>J651-K651</x:f>
        <x:v>-5</x:v>
      </x:c>
      <x:c r="AC651" s="32" t="n">
        <x:f>F651-G651</x:f>
        <x:v>-3</x:v>
      </x:c>
    </x:row>
    <x:row r="652">
      <x:c r="A652" s="4" t="str">
        <x:v>2021-22</x:v>
      </x:c>
      <x:c r="B652" s="20" t="n">
        <x:v>44674</x:v>
      </x:c>
      <x:c r="C652" s="4" t="str">
        <x:v>Tottenham</x:v>
      </x:c>
      <x:c r="D652" s="4" t="str">
        <x:v>Brentford</x:v>
      </x:c>
      <x:c r="E652" s="4" t="str">
        <x:v>Away</x:v>
      </x:c>
      <x:c r="F652" s="28" t="n">
        <x:v>0</x:v>
      </x:c>
      <x:c r="G652" s="28" t="n">
        <x:v>0</x:v>
      </x:c>
      <x:c r="H652" s="28" t="n">
        <x:v>9</x:v>
      </x:c>
      <x:c r="I652" s="28" t="n">
        <x:v>15</x:v>
      </x:c>
      <x:c r="J652" s="28" t="n">
        <x:v>0</x:v>
      </x:c>
      <x:c r="K652" s="28" t="n">
        <x:v>2</x:v>
      </x:c>
      <x:c r="L652" s="28" t="n">
        <x:v>8</x:v>
      </x:c>
      <x:c r="M652" s="28" t="n">
        <x:v>12</x:v>
      </x:c>
      <x:c r="N652" s="28" t="n">
        <x:v>1</x:v>
      </x:c>
      <x:c r="O652" s="28" t="n">
        <x:v>0</x:v>
      </x:c>
      <x:c r="P652" s="28" t="n">
        <x:v>1</x:v>
      </x:c>
      <x:c r="Q652" s="24" t="n">
        <x:f>IFERROR(J652/H652,0)</x:f>
        <x:v>0</x:v>
      </x:c>
      <x:c r="R652" s="24" t="n">
        <x:f>IFERROR(F652/H652,0)</x:f>
        <x:v>0</x:v>
      </x:c>
      <x:c r="S652" s="24" t="n">
        <x:f>IFERROR(F652/J652,0)</x:f>
        <x:v>0</x:v>
      </x:c>
      <x:c r="T652" s="28" t="n">
        <x:f>H652-I652</x:f>
        <x:v>-6</x:v>
      </x:c>
      <x:c r="U652" s="24" t="n">
        <x:f>IFERROR(J652/H652,0)-IFERROR(K652/I652,0)</x:f>
        <x:v>-0.13333333333333333</x:v>
      </x:c>
      <x:c r="V652" s="24" t="n">
        <x:f>IFERROR(F652/J652,0)-IFERROR(G652/K652,0)</x:f>
        <x:v>0</x:v>
      </x:c>
      <x:c r="W652" s="28" t="n">
        <x:f>L652-M652</x:f>
        <x:v>-4</x:v>
      </x:c>
      <x:c r="X652" s="24" t="n">
        <x:f>IFERROR(K652/I652,0)</x:f>
        <x:v>0.13333333333333333</x:v>
      </x:c>
      <x:c r="Y652" s="24" t="n">
        <x:f>IFERROR(G652/I652,0)</x:f>
        <x:v>0</x:v>
      </x:c>
      <x:c r="Z652" s="24" t="n">
        <x:f>IFERROR(G652/K652,0)</x:f>
        <x:v>0</x:v>
      </x:c>
      <x:c r="AA652" s="24" t="n">
        <x:f>IFERROR(F652/H652,0)-IFERROR(G652/I652,0)</x:f>
        <x:v>0</x:v>
      </x:c>
      <x:c r="AB652" s="28" t="n">
        <x:f>J652-K652</x:f>
        <x:v>-2</x:v>
      </x:c>
      <x:c r="AC652" s="32" t="n">
        <x:f>F652-G652</x:f>
        <x:v>0</x:v>
      </x:c>
    </x:row>
    <x:row r="653">
      <x:c r="A653" s="4" t="str">
        <x:v>2021-22</x:v>
      </x:c>
      <x:c r="B653" s="20" t="n">
        <x:v>44674</x:v>
      </x:c>
      <x:c r="C653" s="4" t="str">
        <x:v>Watford</x:v>
      </x:c>
      <x:c r="D653" s="4" t="str">
        <x:v>Man City</x:v>
      </x:c>
      <x:c r="E653" s="4" t="str">
        <x:v>Away</x:v>
      </x:c>
      <x:c r="F653" s="28" t="n">
        <x:v>1</x:v>
      </x:c>
      <x:c r="G653" s="28" t="n">
        <x:v>5</x:v>
      </x:c>
      <x:c r="H653" s="28" t="n">
        <x:v>5</x:v>
      </x:c>
      <x:c r="I653" s="28" t="n">
        <x:v>21</x:v>
      </x:c>
      <x:c r="J653" s="28" t="n">
        <x:v>2</x:v>
      </x:c>
      <x:c r="K653" s="28" t="n">
        <x:v>8</x:v>
      </x:c>
      <x:c r="L653" s="28" t="n">
        <x:v>4</x:v>
      </x:c>
      <x:c r="M653" s="28" t="n">
        <x:v>11</x:v>
      </x:c>
      <x:c r="N653" s="28" t="n">
        <x:v>0</x:v>
      </x:c>
      <x:c r="O653" s="28" t="n">
        <x:v>0</x:v>
      </x:c>
      <x:c r="P653" s="28" t="n">
        <x:v>0</x:v>
      </x:c>
      <x:c r="Q653" s="24" t="n">
        <x:f>IFERROR(J653/H653,0)</x:f>
        <x:v>0.4</x:v>
      </x:c>
      <x:c r="R653" s="24" t="n">
        <x:f>IFERROR(F653/H653,0)</x:f>
        <x:v>0.2</x:v>
      </x:c>
      <x:c r="S653" s="24" t="n">
        <x:f>IFERROR(F653/J653,0)</x:f>
        <x:v>0.5</x:v>
      </x:c>
      <x:c r="T653" s="28" t="n">
        <x:f>H653-I653</x:f>
        <x:v>-16</x:v>
      </x:c>
      <x:c r="U653" s="24" t="n">
        <x:f>IFERROR(J653/H653,0)-IFERROR(K653/I653,0)</x:f>
        <x:v>0.01904761904761909</x:v>
      </x:c>
      <x:c r="V653" s="24" t="n">
        <x:f>IFERROR(F653/J653,0)-IFERROR(G653/K653,0)</x:f>
        <x:v>-0.125</x:v>
      </x:c>
      <x:c r="W653" s="28" t="n">
        <x:f>L653-M653</x:f>
        <x:v>-7</x:v>
      </x:c>
      <x:c r="X653" s="24" t="n">
        <x:f>IFERROR(K653/I653,0)</x:f>
        <x:v>0.38095238095238093</x:v>
      </x:c>
      <x:c r="Y653" s="24" t="n">
        <x:f>IFERROR(G653/I653,0)</x:f>
        <x:v>0.23809523809523808</x:v>
      </x:c>
      <x:c r="Z653" s="24" t="n">
        <x:f>IFERROR(G653/K653,0)</x:f>
        <x:v>0.625</x:v>
      </x:c>
      <x:c r="AA653" s="24" t="n">
        <x:f>IFERROR(F653/H653,0)-IFERROR(G653/I653,0)</x:f>
        <x:v>-0.03809523809523807</x:v>
      </x:c>
      <x:c r="AB653" s="28" t="n">
        <x:f>J653-K653</x:f>
        <x:v>-6</x:v>
      </x:c>
      <x:c r="AC653" s="32" t="n">
        <x:f>F653-G653</x:f>
        <x:v>-4</x:v>
      </x:c>
    </x:row>
    <x:row r="654">
      <x:c r="A654" s="4" t="str">
        <x:v>2021-22</x:v>
      </x:c>
      <x:c r="B654" s="20" t="n">
        <x:v>44675</x:v>
      </x:c>
      <x:c r="C654" s="4" t="str">
        <x:v>Brighton</x:v>
      </x:c>
      <x:c r="D654" s="4" t="str">
        <x:v>Southampton</x:v>
      </x:c>
      <x:c r="E654" s="4" t="str">
        <x:v>Home</x:v>
      </x:c>
      <x:c r="F654" s="28" t="n">
        <x:v>2</x:v>
      </x:c>
      <x:c r="G654" s="28" t="n">
        <x:v>2</x:v>
      </x:c>
      <x:c r="H654" s="28" t="n">
        <x:v>8</x:v>
      </x:c>
      <x:c r="I654" s="28" t="n">
        <x:v>18</x:v>
      </x:c>
      <x:c r="J654" s="28" t="n">
        <x:v>5</x:v>
      </x:c>
      <x:c r="K654" s="28" t="n">
        <x:v>5</x:v>
      </x:c>
      <x:c r="L654" s="28" t="n">
        <x:v>6</x:v>
      </x:c>
      <x:c r="M654" s="28" t="n">
        <x:v>6</x:v>
      </x:c>
      <x:c r="N654" s="28" t="n">
        <x:v>1</x:v>
      </x:c>
      <x:c r="O654" s="28" t="n">
        <x:v>0</x:v>
      </x:c>
      <x:c r="P654" s="28" t="n">
        <x:v>1</x:v>
      </x:c>
      <x:c r="Q654" s="24" t="n">
        <x:f>IFERROR(J654/H654,0)</x:f>
        <x:v>0.625</x:v>
      </x:c>
      <x:c r="R654" s="24" t="n">
        <x:f>IFERROR(F654/H654,0)</x:f>
        <x:v>0.25</x:v>
      </x:c>
      <x:c r="S654" s="24" t="n">
        <x:f>IFERROR(F654/J654,0)</x:f>
        <x:v>0.4</x:v>
      </x:c>
      <x:c r="T654" s="28" t="n">
        <x:f>H654-I654</x:f>
        <x:v>-10</x:v>
      </x:c>
      <x:c r="U654" s="24" t="n">
        <x:f>IFERROR(J654/H654,0)-IFERROR(K654/I654,0)</x:f>
        <x:v>0.3472222222222222</x:v>
      </x:c>
      <x:c r="V654" s="24" t="n">
        <x:f>IFERROR(F654/J654,0)-IFERROR(G654/K654,0)</x:f>
        <x:v>0</x:v>
      </x:c>
      <x:c r="W654" s="28" t="n">
        <x:f>L654-M654</x:f>
        <x:v>0</x:v>
      </x:c>
      <x:c r="X654" s="24" t="n">
        <x:f>IFERROR(K654/I654,0)</x:f>
        <x:v>0.2777777777777778</x:v>
      </x:c>
      <x:c r="Y654" s="24" t="n">
        <x:f>IFERROR(G654/I654,0)</x:f>
        <x:v>0.1111111111111111</x:v>
      </x:c>
      <x:c r="Z654" s="24" t="n">
        <x:f>IFERROR(G654/K654,0)</x:f>
        <x:v>0.4</x:v>
      </x:c>
      <x:c r="AA654" s="24" t="n">
        <x:f>IFERROR(F654/H654,0)-IFERROR(G654/I654,0)</x:f>
        <x:v>0.1388888888888889</x:v>
      </x:c>
      <x:c r="AB654" s="28" t="n">
        <x:f>J654-K654</x:f>
        <x:v>0</x:v>
      </x:c>
      <x:c r="AC654" s="32" t="n">
        <x:f>F654-G654</x:f>
        <x:v>0</x:v>
      </x:c>
    </x:row>
    <x:row r="655">
      <x:c r="A655" s="4" t="str">
        <x:v>2021-22</x:v>
      </x:c>
      <x:c r="B655" s="20" t="n">
        <x:v>44675</x:v>
      </x:c>
      <x:c r="C655" s="4" t="str">
        <x:v>Burnley</x:v>
      </x:c>
      <x:c r="D655" s="4" t="str">
        <x:v>Wolves</x:v>
      </x:c>
      <x:c r="E655" s="4" t="str">
        <x:v>Home</x:v>
      </x:c>
      <x:c r="F655" s="28" t="n">
        <x:v>1</x:v>
      </x:c>
      <x:c r="G655" s="28" t="n">
        <x:v>0</x:v>
      </x:c>
      <x:c r="H655" s="28" t="n">
        <x:v>14</x:v>
      </x:c>
      <x:c r="I655" s="28" t="n">
        <x:v>10</x:v>
      </x:c>
      <x:c r="J655" s="28" t="n">
        <x:v>5</x:v>
      </x:c>
      <x:c r="K655" s="28" t="n">
        <x:v>4</x:v>
      </x:c>
      <x:c r="L655" s="28" t="n">
        <x:v>3</x:v>
      </x:c>
      <x:c r="M655" s="28" t="n">
        <x:v>6</x:v>
      </x:c>
      <x:c r="N655" s="28" t="n">
        <x:v>3</x:v>
      </x:c>
      <x:c r="O655" s="28" t="n">
        <x:v>0</x:v>
      </x:c>
      <x:c r="P655" s="28" t="n">
        <x:v>3</x:v>
      </x:c>
      <x:c r="Q655" s="24" t="n">
        <x:f>IFERROR(J655/H655,0)</x:f>
        <x:v>0.35714285714285715</x:v>
      </x:c>
      <x:c r="R655" s="24" t="n">
        <x:f>IFERROR(F655/H655,0)</x:f>
        <x:v>0.07142857142857142</x:v>
      </x:c>
      <x:c r="S655" s="24" t="n">
        <x:f>IFERROR(F655/J655,0)</x:f>
        <x:v>0.2</x:v>
      </x:c>
      <x:c r="T655" s="28" t="n">
        <x:f>H655-I655</x:f>
        <x:v>4</x:v>
      </x:c>
      <x:c r="U655" s="24" t="n">
        <x:f>IFERROR(J655/H655,0)-IFERROR(K655/I655,0)</x:f>
        <x:v>-0.04285714285714287</x:v>
      </x:c>
      <x:c r="V655" s="24" t="n">
        <x:f>IFERROR(F655/J655,0)-IFERROR(G655/K655,0)</x:f>
        <x:v>0.2</x:v>
      </x:c>
      <x:c r="W655" s="28" t="n">
        <x:f>L655-M655</x:f>
        <x:v>-3</x:v>
      </x:c>
      <x:c r="X655" s="24" t="n">
        <x:f>IFERROR(K655/I655,0)</x:f>
        <x:v>0.4</x:v>
      </x:c>
      <x:c r="Y655" s="24" t="n">
        <x:f>IFERROR(G655/I655,0)</x:f>
        <x:v>0</x:v>
      </x:c>
      <x:c r="Z655" s="24" t="n">
        <x:f>IFERROR(G655/K655,0)</x:f>
        <x:v>0</x:v>
      </x:c>
      <x:c r="AA655" s="24" t="n">
        <x:f>IFERROR(F655/H655,0)-IFERROR(G655/I655,0)</x:f>
        <x:v>0.07142857142857142</x:v>
      </x:c>
      <x:c r="AB655" s="28" t="n">
        <x:f>J655-K655</x:f>
        <x:v>1</x:v>
      </x:c>
      <x:c r="AC655" s="32" t="n">
        <x:f>F655-G655</x:f>
        <x:v>1</x:v>
      </x:c>
    </x:row>
    <x:row r="656">
      <x:c r="A656" s="4" t="str">
        <x:v>2021-22</x:v>
      </x:c>
      <x:c r="B656" s="20" t="n">
        <x:v>44675</x:v>
      </x:c>
      <x:c r="C656" s="4" t="str">
        <x:v>Chelsea</x:v>
      </x:c>
      <x:c r="D656" s="4" t="str">
        <x:v>West Ham</x:v>
      </x:c>
      <x:c r="E656" s="4" t="str">
        <x:v>Home</x:v>
      </x:c>
      <x:c r="F656" s="28" t="n">
        <x:v>1</x:v>
      </x:c>
      <x:c r="G656" s="28" t="n">
        <x:v>0</x:v>
      </x:c>
      <x:c r="H656" s="28" t="n">
        <x:v>26</x:v>
      </x:c>
      <x:c r="I656" s="28" t="n">
        <x:v>6</x:v>
      </x:c>
      <x:c r="J656" s="28" t="n">
        <x:v>5</x:v>
      </x:c>
      <x:c r="K656" s="28" t="n">
        <x:v>2</x:v>
      </x:c>
      <x:c r="L656" s="28" t="n">
        <x:v>3</x:v>
      </x:c>
      <x:c r="M656" s="28" t="n">
        <x:v>1</x:v>
      </x:c>
      <x:c r="N656" s="28" t="n">
        <x:v>1</x:v>
      </x:c>
      <x:c r="O656" s="28" t="n">
        <x:v>0</x:v>
      </x:c>
      <x:c r="P656" s="28" t="n">
        <x:v>3</x:v>
      </x:c>
      <x:c r="Q656" s="24" t="n">
        <x:f>IFERROR(J656/H656,0)</x:f>
        <x:v>0.19230769230769232</x:v>
      </x:c>
      <x:c r="R656" s="24" t="n">
        <x:f>IFERROR(F656/H656,0)</x:f>
        <x:v>0.038461538461538464</x:v>
      </x:c>
      <x:c r="S656" s="24" t="n">
        <x:f>IFERROR(F656/J656,0)</x:f>
        <x:v>0.2</x:v>
      </x:c>
      <x:c r="T656" s="28" t="n">
        <x:f>H656-I656</x:f>
        <x:v>20</x:v>
      </x:c>
      <x:c r="U656" s="24" t="n">
        <x:f>IFERROR(J656/H656,0)-IFERROR(K656/I656,0)</x:f>
        <x:v>-0.141025641025641</x:v>
      </x:c>
      <x:c r="V656" s="24" t="n">
        <x:f>IFERROR(F656/J656,0)-IFERROR(G656/K656,0)</x:f>
        <x:v>0.2</x:v>
      </x:c>
      <x:c r="W656" s="28" t="n">
        <x:f>L656-M656</x:f>
        <x:v>2</x:v>
      </x:c>
      <x:c r="X656" s="24" t="n">
        <x:f>IFERROR(K656/I656,0)</x:f>
        <x:v>0.3333333333333333</x:v>
      </x:c>
      <x:c r="Y656" s="24" t="n">
        <x:f>IFERROR(G656/I656,0)</x:f>
        <x:v>0</x:v>
      </x:c>
      <x:c r="Z656" s="24" t="n">
        <x:f>IFERROR(G656/K656,0)</x:f>
        <x:v>0</x:v>
      </x:c>
      <x:c r="AA656" s="24" t="n">
        <x:f>IFERROR(F656/H656,0)-IFERROR(G656/I656,0)</x:f>
        <x:v>0.038461538461538464</x:v>
      </x:c>
      <x:c r="AB656" s="28" t="n">
        <x:f>J656-K656</x:f>
        <x:v>3</x:v>
      </x:c>
      <x:c r="AC656" s="32" t="n">
        <x:f>F656-G656</x:f>
        <x:v>1</x:v>
      </x:c>
    </x:row>
    <x:row r="657">
      <x:c r="A657" s="4" t="str">
        <x:v>2021-22</x:v>
      </x:c>
      <x:c r="B657" s="20" t="n">
        <x:v>44675</x:v>
      </x:c>
      <x:c r="C657" s="4" t="str">
        <x:v>Everton</x:v>
      </x:c>
      <x:c r="D657" s="4" t="str">
        <x:v>Liverpool</x:v>
      </x:c>
      <x:c r="E657" s="4" t="str">
        <x:v>Away</x:v>
      </x:c>
      <x:c r="F657" s="28" t="n">
        <x:v>0</x:v>
      </x:c>
      <x:c r="G657" s="28" t="n">
        <x:v>2</x:v>
      </x:c>
      <x:c r="H657" s="28" t="n">
        <x:v>9</x:v>
      </x:c>
      <x:c r="I657" s="28" t="n">
        <x:v>18</x:v>
      </x:c>
      <x:c r="J657" s="28" t="n">
        <x:v>1</x:v>
      </x:c>
      <x:c r="K657" s="28" t="n">
        <x:v>4</x:v>
      </x:c>
      <x:c r="L657" s="28" t="n">
        <x:v>1</x:v>
      </x:c>
      <x:c r="M657" s="28" t="n">
        <x:v>13</x:v>
      </x:c>
      <x:c r="N657" s="28" t="n">
        <x:v>5</x:v>
      </x:c>
      <x:c r="O657" s="28" t="n">
        <x:v>0</x:v>
      </x:c>
      <x:c r="P657" s="28" t="n">
        <x:v>0</x:v>
      </x:c>
      <x:c r="Q657" s="24" t="n">
        <x:f>IFERROR(J657/H657,0)</x:f>
        <x:v>0.1111111111111111</x:v>
      </x:c>
      <x:c r="R657" s="24" t="n">
        <x:f>IFERROR(F657/H657,0)</x:f>
        <x:v>0</x:v>
      </x:c>
      <x:c r="S657" s="24" t="n">
        <x:f>IFERROR(F657/J657,0)</x:f>
        <x:v>0</x:v>
      </x:c>
      <x:c r="T657" s="28" t="n">
        <x:f>H657-I657</x:f>
        <x:v>-9</x:v>
      </x:c>
      <x:c r="U657" s="24" t="n">
        <x:f>IFERROR(J657/H657,0)-IFERROR(K657/I657,0)</x:f>
        <x:v>-0.1111111111111111</x:v>
      </x:c>
      <x:c r="V657" s="24" t="n">
        <x:f>IFERROR(F657/J657,0)-IFERROR(G657/K657,0)</x:f>
        <x:v>-0.5</x:v>
      </x:c>
      <x:c r="W657" s="28" t="n">
        <x:f>L657-M657</x:f>
        <x:v>-12</x:v>
      </x:c>
      <x:c r="X657" s="24" t="n">
        <x:f>IFERROR(K657/I657,0)</x:f>
        <x:v>0.2222222222222222</x:v>
      </x:c>
      <x:c r="Y657" s="24" t="n">
        <x:f>IFERROR(G657/I657,0)</x:f>
        <x:v>0.1111111111111111</x:v>
      </x:c>
      <x:c r="Z657" s="24" t="n">
        <x:f>IFERROR(G657/K657,0)</x:f>
        <x:v>0.5</x:v>
      </x:c>
      <x:c r="AA657" s="24" t="n">
        <x:f>IFERROR(F657/H657,0)-IFERROR(G657/I657,0)</x:f>
        <x:v>-0.1111111111111111</x:v>
      </x:c>
      <x:c r="AB657" s="28" t="n">
        <x:f>J657-K657</x:f>
        <x:v>-3</x:v>
      </x:c>
      <x:c r="AC657" s="32" t="n">
        <x:f>F657-G657</x:f>
        <x:v>-2</x:v>
      </x:c>
    </x:row>
    <x:row r="658">
      <x:c r="A658" s="4" t="str">
        <x:v>2021-22</x:v>
      </x:c>
      <x:c r="B658" s="20" t="n">
        <x:v>44675</x:v>
      </x:c>
      <x:c r="C658" s="4" t="str">
        <x:v>Liverpool</x:v>
      </x:c>
      <x:c r="D658" s="4" t="str">
        <x:v>Everton</x:v>
      </x:c>
      <x:c r="E658" s="4" t="str">
        <x:v>Home</x:v>
      </x:c>
      <x:c r="F658" s="28" t="n">
        <x:v>2</x:v>
      </x:c>
      <x:c r="G658" s="28" t="n">
        <x:v>0</x:v>
      </x:c>
      <x:c r="H658" s="28" t="n">
        <x:v>18</x:v>
      </x:c>
      <x:c r="I658" s="28" t="n">
        <x:v>9</x:v>
      </x:c>
      <x:c r="J658" s="28" t="n">
        <x:v>4</x:v>
      </x:c>
      <x:c r="K658" s="28" t="n">
        <x:v>1</x:v>
      </x:c>
      <x:c r="L658" s="28" t="n">
        <x:v>13</x:v>
      </x:c>
      <x:c r="M658" s="28" t="n">
        <x:v>1</x:v>
      </x:c>
      <x:c r="N658" s="28" t="n">
        <x:v>2</x:v>
      </x:c>
      <x:c r="O658" s="28" t="n">
        <x:v>0</x:v>
      </x:c>
      <x:c r="P658" s="28" t="n">
        <x:v>3</x:v>
      </x:c>
      <x:c r="Q658" s="24" t="n">
        <x:f>IFERROR(J658/H658,0)</x:f>
        <x:v>0.2222222222222222</x:v>
      </x:c>
      <x:c r="R658" s="24" t="n">
        <x:f>IFERROR(F658/H658,0)</x:f>
        <x:v>0.1111111111111111</x:v>
      </x:c>
      <x:c r="S658" s="24" t="n">
        <x:f>IFERROR(F658/J658,0)</x:f>
        <x:v>0.5</x:v>
      </x:c>
      <x:c r="T658" s="28" t="n">
        <x:f>H658-I658</x:f>
        <x:v>9</x:v>
      </x:c>
      <x:c r="U658" s="24" t="n">
        <x:f>IFERROR(J658/H658,0)-IFERROR(K658/I658,0)</x:f>
        <x:v>0.1111111111111111</x:v>
      </x:c>
      <x:c r="V658" s="24" t="n">
        <x:f>IFERROR(F658/J658,0)-IFERROR(G658/K658,0)</x:f>
        <x:v>0.5</x:v>
      </x:c>
      <x:c r="W658" s="28" t="n">
        <x:f>L658-M658</x:f>
        <x:v>12</x:v>
      </x:c>
      <x:c r="X658" s="24" t="n">
        <x:f>IFERROR(K658/I658,0)</x:f>
        <x:v>0.1111111111111111</x:v>
      </x:c>
      <x:c r="Y658" s="24" t="n">
        <x:f>IFERROR(G658/I658,0)</x:f>
        <x:v>0</x:v>
      </x:c>
      <x:c r="Z658" s="24" t="n">
        <x:f>IFERROR(G658/K658,0)</x:f>
        <x:v>0</x:v>
      </x:c>
      <x:c r="AA658" s="24" t="n">
        <x:f>IFERROR(F658/H658,0)-IFERROR(G658/I658,0)</x:f>
        <x:v>0.1111111111111111</x:v>
      </x:c>
      <x:c r="AB658" s="28" t="n">
        <x:f>J658-K658</x:f>
        <x:v>3</x:v>
      </x:c>
      <x:c r="AC658" s="32" t="n">
        <x:f>F658-G658</x:f>
        <x:v>2</x:v>
      </x:c>
    </x:row>
    <x:row r="659">
      <x:c r="A659" s="4" t="str">
        <x:v>2021-22</x:v>
      </x:c>
      <x:c r="B659" s="20" t="n">
        <x:v>44675</x:v>
      </x:c>
      <x:c r="C659" s="4" t="str">
        <x:v>Southampton</x:v>
      </x:c>
      <x:c r="D659" s="4" t="str">
        <x:v>Brighton</x:v>
      </x:c>
      <x:c r="E659" s="4" t="str">
        <x:v>Away</x:v>
      </x:c>
      <x:c r="F659" s="28" t="n">
        <x:v>2</x:v>
      </x:c>
      <x:c r="G659" s="28" t="n">
        <x:v>2</x:v>
      </x:c>
      <x:c r="H659" s="28" t="n">
        <x:v>18</x:v>
      </x:c>
      <x:c r="I659" s="28" t="n">
        <x:v>8</x:v>
      </x:c>
      <x:c r="J659" s="28" t="n">
        <x:v>5</x:v>
      </x:c>
      <x:c r="K659" s="28" t="n">
        <x:v>5</x:v>
      </x:c>
      <x:c r="L659" s="28" t="n">
        <x:v>6</x:v>
      </x:c>
      <x:c r="M659" s="28" t="n">
        <x:v>6</x:v>
      </x:c>
      <x:c r="N659" s="28" t="n">
        <x:v>0</x:v>
      </x:c>
      <x:c r="O659" s="28" t="n">
        <x:v>0</x:v>
      </x:c>
      <x:c r="P659" s="28" t="n">
        <x:v>1</x:v>
      </x:c>
      <x:c r="Q659" s="24" t="n">
        <x:f>IFERROR(J659/H659,0)</x:f>
        <x:v>0.2777777777777778</x:v>
      </x:c>
      <x:c r="R659" s="24" t="n">
        <x:f>IFERROR(F659/H659,0)</x:f>
        <x:v>0.1111111111111111</x:v>
      </x:c>
      <x:c r="S659" s="24" t="n">
        <x:f>IFERROR(F659/J659,0)</x:f>
        <x:v>0.4</x:v>
      </x:c>
      <x:c r="T659" s="28" t="n">
        <x:f>H659-I659</x:f>
        <x:v>10</x:v>
      </x:c>
      <x:c r="U659" s="24" t="n">
        <x:f>IFERROR(J659/H659,0)-IFERROR(K659/I659,0)</x:f>
        <x:v>-0.3472222222222222</x:v>
      </x:c>
      <x:c r="V659" s="24" t="n">
        <x:f>IFERROR(F659/J659,0)-IFERROR(G659/K659,0)</x:f>
        <x:v>0</x:v>
      </x:c>
      <x:c r="W659" s="28" t="n">
        <x:f>L659-M659</x:f>
        <x:v>0</x:v>
      </x:c>
      <x:c r="X659" s="24" t="n">
        <x:f>IFERROR(K659/I659,0)</x:f>
        <x:v>0.625</x:v>
      </x:c>
      <x:c r="Y659" s="24" t="n">
        <x:f>IFERROR(G659/I659,0)</x:f>
        <x:v>0.25</x:v>
      </x:c>
      <x:c r="Z659" s="24" t="n">
        <x:f>IFERROR(G659/K659,0)</x:f>
        <x:v>0.4</x:v>
      </x:c>
      <x:c r="AA659" s="24" t="n">
        <x:f>IFERROR(F659/H659,0)-IFERROR(G659/I659,0)</x:f>
        <x:v>-0.1388888888888889</x:v>
      </x:c>
      <x:c r="AB659" s="28" t="n">
        <x:f>J659-K659</x:f>
        <x:v>0</x:v>
      </x:c>
      <x:c r="AC659" s="32" t="n">
        <x:f>F659-G659</x:f>
        <x:v>0</x:v>
      </x:c>
    </x:row>
    <x:row r="660">
      <x:c r="A660" s="4" t="str">
        <x:v>2021-22</x:v>
      </x:c>
      <x:c r="B660" s="20" t="n">
        <x:v>44675</x:v>
      </x:c>
      <x:c r="C660" s="4" t="str">
        <x:v>West Ham</x:v>
      </x:c>
      <x:c r="D660" s="4" t="str">
        <x:v>Chelsea</x:v>
      </x:c>
      <x:c r="E660" s="4" t="str">
        <x:v>Away</x:v>
      </x:c>
      <x:c r="F660" s="28" t="n">
        <x:v>0</x:v>
      </x:c>
      <x:c r="G660" s="28" t="n">
        <x:v>1</x:v>
      </x:c>
      <x:c r="H660" s="28" t="n">
        <x:v>6</x:v>
      </x:c>
      <x:c r="I660" s="28" t="n">
        <x:v>26</x:v>
      </x:c>
      <x:c r="J660" s="28" t="n">
        <x:v>2</x:v>
      </x:c>
      <x:c r="K660" s="28" t="n">
        <x:v>5</x:v>
      </x:c>
      <x:c r="L660" s="28" t="n">
        <x:v>1</x:v>
      </x:c>
      <x:c r="M660" s="28" t="n">
        <x:v>3</x:v>
      </x:c>
      <x:c r="N660" s="28" t="n">
        <x:v>0</x:v>
      </x:c>
      <x:c r="O660" s="28" t="n">
        <x:v>1</x:v>
      </x:c>
      <x:c r="P660" s="28" t="n">
        <x:v>0</x:v>
      </x:c>
      <x:c r="Q660" s="24" t="n">
        <x:f>IFERROR(J660/H660,0)</x:f>
        <x:v>0.3333333333333333</x:v>
      </x:c>
      <x:c r="R660" s="24" t="n">
        <x:f>IFERROR(F660/H660,0)</x:f>
        <x:v>0</x:v>
      </x:c>
      <x:c r="S660" s="24" t="n">
        <x:f>IFERROR(F660/J660,0)</x:f>
        <x:v>0</x:v>
      </x:c>
      <x:c r="T660" s="28" t="n">
        <x:f>H660-I660</x:f>
        <x:v>-20</x:v>
      </x:c>
      <x:c r="U660" s="24" t="n">
        <x:f>IFERROR(J660/H660,0)-IFERROR(K660/I660,0)</x:f>
        <x:v>0.141025641025641</x:v>
      </x:c>
      <x:c r="V660" s="24" t="n">
        <x:f>IFERROR(F660/J660,0)-IFERROR(G660/K660,0)</x:f>
        <x:v>-0.2</x:v>
      </x:c>
      <x:c r="W660" s="28" t="n">
        <x:f>L660-M660</x:f>
        <x:v>-2</x:v>
      </x:c>
      <x:c r="X660" s="24" t="n">
        <x:f>IFERROR(K660/I660,0)</x:f>
        <x:v>0.19230769230769232</x:v>
      </x:c>
      <x:c r="Y660" s="24" t="n">
        <x:f>IFERROR(G660/I660,0)</x:f>
        <x:v>0.038461538461538464</x:v>
      </x:c>
      <x:c r="Z660" s="24" t="n">
        <x:f>IFERROR(G660/K660,0)</x:f>
        <x:v>0.2</x:v>
      </x:c>
      <x:c r="AA660" s="24" t="n">
        <x:f>IFERROR(F660/H660,0)-IFERROR(G660/I660,0)</x:f>
        <x:v>-0.038461538461538464</x:v>
      </x:c>
      <x:c r="AB660" s="28" t="n">
        <x:f>J660-K660</x:f>
        <x:v>-3</x:v>
      </x:c>
      <x:c r="AC660" s="32" t="n">
        <x:f>F660-G660</x:f>
        <x:v>-1</x:v>
      </x:c>
    </x:row>
    <x:row r="661">
      <x:c r="A661" s="4" t="str">
        <x:v>2021-22</x:v>
      </x:c>
      <x:c r="B661" s="20" t="n">
        <x:v>44675</x:v>
      </x:c>
      <x:c r="C661" s="4" t="str">
        <x:v>Wolves</x:v>
      </x:c>
      <x:c r="D661" s="4" t="str">
        <x:v>Burnley</x:v>
      </x:c>
      <x:c r="E661" s="4" t="str">
        <x:v>Away</x:v>
      </x:c>
      <x:c r="F661" s="28" t="n">
        <x:v>0</x:v>
      </x:c>
      <x:c r="G661" s="28" t="n">
        <x:v>1</x:v>
      </x:c>
      <x:c r="H661" s="28" t="n">
        <x:v>10</x:v>
      </x:c>
      <x:c r="I661" s="28" t="n">
        <x:v>14</x:v>
      </x:c>
      <x:c r="J661" s="28" t="n">
        <x:v>4</x:v>
      </x:c>
      <x:c r="K661" s="28" t="n">
        <x:v>5</x:v>
      </x:c>
      <x:c r="L661" s="28" t="n">
        <x:v>6</x:v>
      </x:c>
      <x:c r="M661" s="28" t="n">
        <x:v>3</x:v>
      </x:c>
      <x:c r="N661" s="28" t="n">
        <x:v>1</x:v>
      </x:c>
      <x:c r="O661" s="28" t="n">
        <x:v>0</x:v>
      </x:c>
      <x:c r="P661" s="28" t="n">
        <x:v>0</x:v>
      </x:c>
      <x:c r="Q661" s="24" t="n">
        <x:f>IFERROR(J661/H661,0)</x:f>
        <x:v>0.4</x:v>
      </x:c>
      <x:c r="R661" s="24" t="n">
        <x:f>IFERROR(F661/H661,0)</x:f>
        <x:v>0</x:v>
      </x:c>
      <x:c r="S661" s="24" t="n">
        <x:f>IFERROR(F661/J661,0)</x:f>
        <x:v>0</x:v>
      </x:c>
      <x:c r="T661" s="28" t="n">
        <x:f>H661-I661</x:f>
        <x:v>-4</x:v>
      </x:c>
      <x:c r="U661" s="24" t="n">
        <x:f>IFERROR(J661/H661,0)-IFERROR(K661/I661,0)</x:f>
        <x:v>0.04285714285714287</x:v>
      </x:c>
      <x:c r="V661" s="24" t="n">
        <x:f>IFERROR(F661/J661,0)-IFERROR(G661/K661,0)</x:f>
        <x:v>-0.2</x:v>
      </x:c>
      <x:c r="W661" s="28" t="n">
        <x:f>L661-M661</x:f>
        <x:v>3</x:v>
      </x:c>
      <x:c r="X661" s="24" t="n">
        <x:f>IFERROR(K661/I661,0)</x:f>
        <x:v>0.35714285714285715</x:v>
      </x:c>
      <x:c r="Y661" s="24" t="n">
        <x:f>IFERROR(G661/I661,0)</x:f>
        <x:v>0.07142857142857142</x:v>
      </x:c>
      <x:c r="Z661" s="24" t="n">
        <x:f>IFERROR(G661/K661,0)</x:f>
        <x:v>0.2</x:v>
      </x:c>
      <x:c r="AA661" s="24" t="n">
        <x:f>IFERROR(F661/H661,0)-IFERROR(G661/I661,0)</x:f>
        <x:v>-0.07142857142857142</x:v>
      </x:c>
      <x:c r="AB661" s="28" t="n">
        <x:f>J661-K661</x:f>
        <x:v>-1</x:v>
      </x:c>
      <x:c r="AC661" s="32" t="n">
        <x:f>F661-G661</x:f>
        <x:v>-1</x:v>
      </x:c>
    </x:row>
    <x:row r="662">
      <x:c r="A662" s="4" t="str">
        <x:v>2021-22</x:v>
      </x:c>
      <x:c r="B662" s="20" t="n">
        <x:v>44676</x:v>
      </x:c>
      <x:c r="C662" s="4" t="str">
        <x:v>Crystal Palace</x:v>
      </x:c>
      <x:c r="D662" s="4" t="str">
        <x:v>Leeds</x:v>
      </x:c>
      <x:c r="E662" s="4" t="str">
        <x:v>Home</x:v>
      </x:c>
      <x:c r="F662" s="28" t="n">
        <x:v>0</x:v>
      </x:c>
      <x:c r="G662" s="28" t="n">
        <x:v>0</x:v>
      </x:c>
      <x:c r="H662" s="28" t="n">
        <x:v>17</x:v>
      </x:c>
      <x:c r="I662" s="28" t="n">
        <x:v>9</x:v>
      </x:c>
      <x:c r="J662" s="28" t="n">
        <x:v>7</x:v>
      </x:c>
      <x:c r="K662" s="28" t="n">
        <x:v>2</x:v>
      </x:c>
      <x:c r="L662" s="28" t="n">
        <x:v>6</x:v>
      </x:c>
      <x:c r="M662" s="28" t="n">
        <x:v>3</x:v>
      </x:c>
      <x:c r="N662" s="28" t="n">
        <x:v>2</x:v>
      </x:c>
      <x:c r="O662" s="28" t="n">
        <x:v>0</x:v>
      </x:c>
      <x:c r="P662" s="28" t="n">
        <x:v>1</x:v>
      </x:c>
      <x:c r="Q662" s="24" t="n">
        <x:f>IFERROR(J662/H662,0)</x:f>
        <x:v>0.4117647058823529</x:v>
      </x:c>
      <x:c r="R662" s="24" t="n">
        <x:f>IFERROR(F662/H662,0)</x:f>
        <x:v>0</x:v>
      </x:c>
      <x:c r="S662" s="24" t="n">
        <x:f>IFERROR(F662/J662,0)</x:f>
        <x:v>0</x:v>
      </x:c>
      <x:c r="T662" s="28" t="n">
        <x:f>H662-I662</x:f>
        <x:v>8</x:v>
      </x:c>
      <x:c r="U662" s="24" t="n">
        <x:f>IFERROR(J662/H662,0)-IFERROR(K662/I662,0)</x:f>
        <x:v>0.1895424836601307</x:v>
      </x:c>
      <x:c r="V662" s="24" t="n">
        <x:f>IFERROR(F662/J662,0)-IFERROR(G662/K662,0)</x:f>
        <x:v>0</x:v>
      </x:c>
      <x:c r="W662" s="28" t="n">
        <x:f>L662-M662</x:f>
        <x:v>3</x:v>
      </x:c>
      <x:c r="X662" s="24" t="n">
        <x:f>IFERROR(K662/I662,0)</x:f>
        <x:v>0.2222222222222222</x:v>
      </x:c>
      <x:c r="Y662" s="24" t="n">
        <x:f>IFERROR(G662/I662,0)</x:f>
        <x:v>0</x:v>
      </x:c>
      <x:c r="Z662" s="24" t="n">
        <x:f>IFERROR(G662/K662,0)</x:f>
        <x:v>0</x:v>
      </x:c>
      <x:c r="AA662" s="24" t="n">
        <x:f>IFERROR(F662/H662,0)-IFERROR(G662/I662,0)</x:f>
        <x:v>0</x:v>
      </x:c>
      <x:c r="AB662" s="28" t="n">
        <x:f>J662-K662</x:f>
        <x:v>5</x:v>
      </x:c>
      <x:c r="AC662" s="32" t="n">
        <x:f>F662-G662</x:f>
        <x:v>0</x:v>
      </x:c>
    </x:row>
    <x:row r="663">
      <x:c r="A663" s="4" t="str">
        <x:v>2021-22</x:v>
      </x:c>
      <x:c r="B663" s="20" t="n">
        <x:v>44676</x:v>
      </x:c>
      <x:c r="C663" s="4" t="str">
        <x:v>Leeds</x:v>
      </x:c>
      <x:c r="D663" s="4" t="str">
        <x:v>Crystal Palace</x:v>
      </x:c>
      <x:c r="E663" s="4" t="str">
        <x:v>Away</x:v>
      </x:c>
      <x:c r="F663" s="28" t="n">
        <x:v>0</x:v>
      </x:c>
      <x:c r="G663" s="28" t="n">
        <x:v>0</x:v>
      </x:c>
      <x:c r="H663" s="28" t="n">
        <x:v>9</x:v>
      </x:c>
      <x:c r="I663" s="28" t="n">
        <x:v>17</x:v>
      </x:c>
      <x:c r="J663" s="28" t="n">
        <x:v>2</x:v>
      </x:c>
      <x:c r="K663" s="28" t="n">
        <x:v>7</x:v>
      </x:c>
      <x:c r="L663" s="28" t="n">
        <x:v>3</x:v>
      </x:c>
      <x:c r="M663" s="28" t="n">
        <x:v>6</x:v>
      </x:c>
      <x:c r="N663" s="28" t="n">
        <x:v>2</x:v>
      </x:c>
      <x:c r="O663" s="28" t="n">
        <x:v>0</x:v>
      </x:c>
      <x:c r="P663" s="28" t="n">
        <x:v>1</x:v>
      </x:c>
      <x:c r="Q663" s="24" t="n">
        <x:f>IFERROR(J663/H663,0)</x:f>
        <x:v>0.2222222222222222</x:v>
      </x:c>
      <x:c r="R663" s="24" t="n">
        <x:f>IFERROR(F663/H663,0)</x:f>
        <x:v>0</x:v>
      </x:c>
      <x:c r="S663" s="24" t="n">
        <x:f>IFERROR(F663/J663,0)</x:f>
        <x:v>0</x:v>
      </x:c>
      <x:c r="T663" s="28" t="n">
        <x:f>H663-I663</x:f>
        <x:v>-8</x:v>
      </x:c>
      <x:c r="U663" s="24" t="n">
        <x:f>IFERROR(J663/H663,0)-IFERROR(K663/I663,0)</x:f>
        <x:v>-0.1895424836601307</x:v>
      </x:c>
      <x:c r="V663" s="24" t="n">
        <x:f>IFERROR(F663/J663,0)-IFERROR(G663/K663,0)</x:f>
        <x:v>0</x:v>
      </x:c>
      <x:c r="W663" s="28" t="n">
        <x:f>L663-M663</x:f>
        <x:v>-3</x:v>
      </x:c>
      <x:c r="X663" s="24" t="n">
        <x:f>IFERROR(K663/I663,0)</x:f>
        <x:v>0.4117647058823529</x:v>
      </x:c>
      <x:c r="Y663" s="24" t="n">
        <x:f>IFERROR(G663/I663,0)</x:f>
        <x:v>0</x:v>
      </x:c>
      <x:c r="Z663" s="24" t="n">
        <x:f>IFERROR(G663/K663,0)</x:f>
        <x:v>0</x:v>
      </x:c>
      <x:c r="AA663" s="24" t="n">
        <x:f>IFERROR(F663/H663,0)-IFERROR(G663/I663,0)</x:f>
        <x:v>0</x:v>
      </x:c>
      <x:c r="AB663" s="28" t="n">
        <x:f>J663-K663</x:f>
        <x:v>-5</x:v>
      </x:c>
      <x:c r="AC663" s="32" t="n">
        <x:f>F663-G663</x:f>
        <x:v>0</x:v>
      </x:c>
    </x:row>
    <x:row r="664">
      <x:c r="A664" s="4" t="str">
        <x:v>2021-22</x:v>
      </x:c>
      <x:c r="B664" s="20" t="n">
        <x:v>44679</x:v>
      </x:c>
      <x:c r="C664" s="4" t="str">
        <x:v>Chelsea</x:v>
      </x:c>
      <x:c r="D664" s="4" t="str">
        <x:v>Man United</x:v>
      </x:c>
      <x:c r="E664" s="4" t="str">
        <x:v>Away</x:v>
      </x:c>
      <x:c r="F664" s="28" t="n">
        <x:v>1</x:v>
      </x:c>
      <x:c r="G664" s="28" t="n">
        <x:v>1</x:v>
      </x:c>
      <x:c r="H664" s="28" t="n">
        <x:v>21</x:v>
      </x:c>
      <x:c r="I664" s="28" t="n">
        <x:v>6</x:v>
      </x:c>
      <x:c r="J664" s="28" t="n">
        <x:v>6</x:v>
      </x:c>
      <x:c r="K664" s="28" t="n">
        <x:v>3</x:v>
      </x:c>
      <x:c r="L664" s="28" t="n">
        <x:v>9</x:v>
      </x:c>
      <x:c r="M664" s="28" t="n">
        <x:v>2</x:v>
      </x:c>
      <x:c r="N664" s="28" t="n">
        <x:v>1</x:v>
      </x:c>
      <x:c r="O664" s="28" t="n">
        <x:v>0</x:v>
      </x:c>
      <x:c r="P664" s="28" t="n">
        <x:v>1</x:v>
      </x:c>
      <x:c r="Q664" s="24" t="n">
        <x:f>IFERROR(J664/H664,0)</x:f>
        <x:v>0.2857142857142857</x:v>
      </x:c>
      <x:c r="R664" s="24" t="n">
        <x:f>IFERROR(F664/H664,0)</x:f>
        <x:v>0.047619047619047616</x:v>
      </x:c>
      <x:c r="S664" s="24" t="n">
        <x:f>IFERROR(F664/J664,0)</x:f>
        <x:v>0.16666666666666666</x:v>
      </x:c>
      <x:c r="T664" s="28" t="n">
        <x:f>H664-I664</x:f>
        <x:v>15</x:v>
      </x:c>
      <x:c r="U664" s="24" t="n">
        <x:f>IFERROR(J664/H664,0)-IFERROR(K664/I664,0)</x:f>
        <x:v>-0.2142857142857143</x:v>
      </x:c>
      <x:c r="V664" s="24" t="n">
        <x:f>IFERROR(F664/J664,0)-IFERROR(G664/K664,0)</x:f>
        <x:v>-0.16666666666666666</x:v>
      </x:c>
      <x:c r="W664" s="28" t="n">
        <x:f>L664-M664</x:f>
        <x:v>7</x:v>
      </x:c>
      <x:c r="X664" s="24" t="n">
        <x:f>IFERROR(K664/I664,0)</x:f>
        <x:v>0.5</x:v>
      </x:c>
      <x:c r="Y664" s="24" t="n">
        <x:f>IFERROR(G664/I664,0)</x:f>
        <x:v>0.16666666666666666</x:v>
      </x:c>
      <x:c r="Z664" s="24" t="n">
        <x:f>IFERROR(G664/K664,0)</x:f>
        <x:v>0.3333333333333333</x:v>
      </x:c>
      <x:c r="AA664" s="24" t="n">
        <x:f>IFERROR(F664/H664,0)-IFERROR(G664/I664,0)</x:f>
        <x:v>-0.11904761904761904</x:v>
      </x:c>
      <x:c r="AB664" s="28" t="n">
        <x:f>J664-K664</x:f>
        <x:v>3</x:v>
      </x:c>
      <x:c r="AC664" s="32" t="n">
        <x:f>F664-G664</x:f>
        <x:v>0</x:v>
      </x:c>
    </x:row>
    <x:row r="665">
      <x:c r="A665" s="4" t="str">
        <x:v>2021-22</x:v>
      </x:c>
      <x:c r="B665" s="20" t="n">
        <x:v>44679</x:v>
      </x:c>
      <x:c r="C665" s="4" t="str">
        <x:v>Man United</x:v>
      </x:c>
      <x:c r="D665" s="4" t="str">
        <x:v>Chelsea</x:v>
      </x:c>
      <x:c r="E665" s="4" t="str">
        <x:v>Home</x:v>
      </x:c>
      <x:c r="F665" s="28" t="n">
        <x:v>1</x:v>
      </x:c>
      <x:c r="G665" s="28" t="n">
        <x:v>1</x:v>
      </x:c>
      <x:c r="H665" s="28" t="n">
        <x:v>6</x:v>
      </x:c>
      <x:c r="I665" s="28" t="n">
        <x:v>21</x:v>
      </x:c>
      <x:c r="J665" s="28" t="n">
        <x:v>3</x:v>
      </x:c>
      <x:c r="K665" s="28" t="n">
        <x:v>6</x:v>
      </x:c>
      <x:c r="L665" s="28" t="n">
        <x:v>2</x:v>
      </x:c>
      <x:c r="M665" s="28" t="n">
        <x:v>9</x:v>
      </x:c>
      <x:c r="N665" s="28" t="n">
        <x:v>0</x:v>
      </x:c>
      <x:c r="O665" s="28" t="n">
        <x:v>0</x:v>
      </x:c>
      <x:c r="P665" s="28" t="n">
        <x:v>1</x:v>
      </x:c>
      <x:c r="Q665" s="24" t="n">
        <x:f>IFERROR(J665/H665,0)</x:f>
        <x:v>0.5</x:v>
      </x:c>
      <x:c r="R665" s="24" t="n">
        <x:f>IFERROR(F665/H665,0)</x:f>
        <x:v>0.16666666666666666</x:v>
      </x:c>
      <x:c r="S665" s="24" t="n">
        <x:f>IFERROR(F665/J665,0)</x:f>
        <x:v>0.3333333333333333</x:v>
      </x:c>
      <x:c r="T665" s="28" t="n">
        <x:f>H665-I665</x:f>
        <x:v>-15</x:v>
      </x:c>
      <x:c r="U665" s="24" t="n">
        <x:f>IFERROR(J665/H665,0)-IFERROR(K665/I665,0)</x:f>
        <x:v>0.2142857142857143</x:v>
      </x:c>
      <x:c r="V665" s="24" t="n">
        <x:f>IFERROR(F665/J665,0)-IFERROR(G665/K665,0)</x:f>
        <x:v>0.16666666666666666</x:v>
      </x:c>
      <x:c r="W665" s="28" t="n">
        <x:f>L665-M665</x:f>
        <x:v>-7</x:v>
      </x:c>
      <x:c r="X665" s="24" t="n">
        <x:f>IFERROR(K665/I665,0)</x:f>
        <x:v>0.2857142857142857</x:v>
      </x:c>
      <x:c r="Y665" s="24" t="n">
        <x:f>IFERROR(G665/I665,0)</x:f>
        <x:v>0.047619047619047616</x:v>
      </x:c>
      <x:c r="Z665" s="24" t="n">
        <x:f>IFERROR(G665/K665,0)</x:f>
        <x:v>0.16666666666666666</x:v>
      </x:c>
      <x:c r="AA665" s="24" t="n">
        <x:f>IFERROR(F665/H665,0)-IFERROR(G665/I665,0)</x:f>
        <x:v>0.11904761904761904</x:v>
      </x:c>
      <x:c r="AB665" s="28" t="n">
        <x:f>J665-K665</x:f>
        <x:v>-3</x:v>
      </x:c>
      <x:c r="AC665" s="32" t="n">
        <x:f>F665-G665</x:f>
        <x:v>0</x:v>
      </x:c>
    </x:row>
    <x:row r="666">
      <x:c r="A666" s="4" t="str">
        <x:v>2021-22</x:v>
      </x:c>
      <x:c r="B666" s="20" t="n">
        <x:v>44681</x:v>
      </x:c>
      <x:c r="C666" s="4" t="str">
        <x:v>Aston Villa</x:v>
      </x:c>
      <x:c r="D666" s="4" t="str">
        <x:v>Norwich</x:v>
      </x:c>
      <x:c r="E666" s="4" t="str">
        <x:v>Home</x:v>
      </x:c>
      <x:c r="F666" s="28" t="n">
        <x:v>2</x:v>
      </x:c>
      <x:c r="G666" s="28" t="n">
        <x:v>0</x:v>
      </x:c>
      <x:c r="H666" s="28" t="n">
        <x:v>21</x:v>
      </x:c>
      <x:c r="I666" s="28" t="n">
        <x:v>9</x:v>
      </x:c>
      <x:c r="J666" s="28" t="n">
        <x:v>6</x:v>
      </x:c>
      <x:c r="K666" s="28" t="n">
        <x:v>3</x:v>
      </x:c>
      <x:c r="L666" s="28" t="n">
        <x:v>2</x:v>
      </x:c>
      <x:c r="M666" s="28" t="n">
        <x:v>3</x:v>
      </x:c>
      <x:c r="N666" s="28" t="n">
        <x:v>4</x:v>
      </x:c>
      <x:c r="O666" s="28" t="n">
        <x:v>0</x:v>
      </x:c>
      <x:c r="P666" s="28" t="n">
        <x:v>3</x:v>
      </x:c>
      <x:c r="Q666" s="24" t="n">
        <x:f>IFERROR(J666/H666,0)</x:f>
        <x:v>0.2857142857142857</x:v>
      </x:c>
      <x:c r="R666" s="24" t="n">
        <x:f>IFERROR(F666/H666,0)</x:f>
        <x:v>0.09523809523809523</x:v>
      </x:c>
      <x:c r="S666" s="24" t="n">
        <x:f>IFERROR(F666/J666,0)</x:f>
        <x:v>0.3333333333333333</x:v>
      </x:c>
      <x:c r="T666" s="28" t="n">
        <x:f>H666-I666</x:f>
        <x:v>12</x:v>
      </x:c>
      <x:c r="U666" s="24" t="n">
        <x:f>IFERROR(J666/H666,0)-IFERROR(K666/I666,0)</x:f>
        <x:v>-0.047619047619047616</x:v>
      </x:c>
      <x:c r="V666" s="24" t="n">
        <x:f>IFERROR(F666/J666,0)-IFERROR(G666/K666,0)</x:f>
        <x:v>0.3333333333333333</x:v>
      </x:c>
      <x:c r="W666" s="28" t="n">
        <x:f>L666-M666</x:f>
        <x:v>-1</x:v>
      </x:c>
      <x:c r="X666" s="24" t="n">
        <x:f>IFERROR(K666/I666,0)</x:f>
        <x:v>0.3333333333333333</x:v>
      </x:c>
      <x:c r="Y666" s="24" t="n">
        <x:f>IFERROR(G666/I666,0)</x:f>
        <x:v>0</x:v>
      </x:c>
      <x:c r="Z666" s="24" t="n">
        <x:f>IFERROR(G666/K666,0)</x:f>
        <x:v>0</x:v>
      </x:c>
      <x:c r="AA666" s="24" t="n">
        <x:f>IFERROR(F666/H666,0)-IFERROR(G666/I666,0)</x:f>
        <x:v>0.09523809523809523</x:v>
      </x:c>
      <x:c r="AB666" s="28" t="n">
        <x:f>J666-K666</x:f>
        <x:v>3</x:v>
      </x:c>
      <x:c r="AC666" s="32" t="n">
        <x:f>F666-G666</x:f>
        <x:v>2</x:v>
      </x:c>
    </x:row>
    <x:row r="667">
      <x:c r="A667" s="4" t="str">
        <x:v>2021-22</x:v>
      </x:c>
      <x:c r="B667" s="20" t="n">
        <x:v>44681</x:v>
      </x:c>
      <x:c r="C667" s="4" t="str">
        <x:v>Brighton</x:v>
      </x:c>
      <x:c r="D667" s="4" t="str">
        <x:v>Wolves</x:v>
      </x:c>
      <x:c r="E667" s="4" t="str">
        <x:v>Away</x:v>
      </x:c>
      <x:c r="F667" s="28" t="n">
        <x:v>3</x:v>
      </x:c>
      <x:c r="G667" s="28" t="n">
        <x:v>0</x:v>
      </x:c>
      <x:c r="H667" s="28" t="n">
        <x:v>17</x:v>
      </x:c>
      <x:c r="I667" s="28" t="n">
        <x:v>11</x:v>
      </x:c>
      <x:c r="J667" s="28" t="n">
        <x:v>9</x:v>
      </x:c>
      <x:c r="K667" s="28" t="n">
        <x:v>1</x:v>
      </x:c>
      <x:c r="L667" s="28" t="n">
        <x:v>3</x:v>
      </x:c>
      <x:c r="M667" s="28" t="n">
        <x:v>7</x:v>
      </x:c>
      <x:c r="N667" s="28" t="n">
        <x:v>1</x:v>
      </x:c>
      <x:c r="O667" s="28" t="n">
        <x:v>0</x:v>
      </x:c>
      <x:c r="P667" s="28" t="n">
        <x:v>3</x:v>
      </x:c>
      <x:c r="Q667" s="24" t="n">
        <x:f>IFERROR(J667/H667,0)</x:f>
        <x:v>0.5294117647058824</x:v>
      </x:c>
      <x:c r="R667" s="24" t="n">
        <x:f>IFERROR(F667/H667,0)</x:f>
        <x:v>0.17647058823529413</x:v>
      </x:c>
      <x:c r="S667" s="24" t="n">
        <x:f>IFERROR(F667/J667,0)</x:f>
        <x:v>0.3333333333333333</x:v>
      </x:c>
      <x:c r="T667" s="28" t="n">
        <x:f>H667-I667</x:f>
        <x:v>6</x:v>
      </x:c>
      <x:c r="U667" s="24" t="n">
        <x:f>IFERROR(J667/H667,0)-IFERROR(K667/I667,0)</x:f>
        <x:v>0.4385026737967914</x:v>
      </x:c>
      <x:c r="V667" s="24" t="n">
        <x:f>IFERROR(F667/J667,0)-IFERROR(G667/K667,0)</x:f>
        <x:v>0.3333333333333333</x:v>
      </x:c>
      <x:c r="W667" s="28" t="n">
        <x:f>L667-M667</x:f>
        <x:v>-4</x:v>
      </x:c>
      <x:c r="X667" s="24" t="n">
        <x:f>IFERROR(K667/I667,0)</x:f>
        <x:v>0.09090909090909091</x:v>
      </x:c>
      <x:c r="Y667" s="24" t="n">
        <x:f>IFERROR(G667/I667,0)</x:f>
        <x:v>0</x:v>
      </x:c>
      <x:c r="Z667" s="24" t="n">
        <x:f>IFERROR(G667/K667,0)</x:f>
        <x:v>0</x:v>
      </x:c>
      <x:c r="AA667" s="24" t="n">
        <x:f>IFERROR(F667/H667,0)-IFERROR(G667/I667,0)</x:f>
        <x:v>0.17647058823529413</x:v>
      </x:c>
      <x:c r="AB667" s="28" t="n">
        <x:f>J667-K667</x:f>
        <x:v>8</x:v>
      </x:c>
      <x:c r="AC667" s="32" t="n">
        <x:f>F667-G667</x:f>
        <x:v>3</x:v>
      </x:c>
    </x:row>
    <x:row r="668">
      <x:c r="A668" s="4" t="str">
        <x:v>2021-22</x:v>
      </x:c>
      <x:c r="B668" s="20" t="n">
        <x:v>44681</x:v>
      </x:c>
      <x:c r="C668" s="4" t="str">
        <x:v>Burnley</x:v>
      </x:c>
      <x:c r="D668" s="4" t="str">
        <x:v>Watford</x:v>
      </x:c>
      <x:c r="E668" s="4" t="str">
        <x:v>Away</x:v>
      </x:c>
      <x:c r="F668" s="28" t="n">
        <x:v>2</x:v>
      </x:c>
      <x:c r="G668" s="28" t="n">
        <x:v>1</x:v>
      </x:c>
      <x:c r="H668" s="28" t="n">
        <x:v>17</x:v>
      </x:c>
      <x:c r="I668" s="28" t="n">
        <x:v>13</x:v>
      </x:c>
      <x:c r="J668" s="28" t="n">
        <x:v>6</x:v>
      </x:c>
      <x:c r="K668" s="28" t="n">
        <x:v>1</x:v>
      </x:c>
      <x:c r="L668" s="28" t="n">
        <x:v>6</x:v>
      </x:c>
      <x:c r="M668" s="28" t="n">
        <x:v>5</x:v>
      </x:c>
      <x:c r="N668" s="28" t="n">
        <x:v>2</x:v>
      </x:c>
      <x:c r="O668" s="28" t="n">
        <x:v>0</x:v>
      </x:c>
      <x:c r="P668" s="28" t="n">
        <x:v>3</x:v>
      </x:c>
      <x:c r="Q668" s="24" t="n">
        <x:f>IFERROR(J668/H668,0)</x:f>
        <x:v>0.35294117647058826</x:v>
      </x:c>
      <x:c r="R668" s="24" t="n">
        <x:f>IFERROR(F668/H668,0)</x:f>
        <x:v>0.11764705882352941</x:v>
      </x:c>
      <x:c r="S668" s="24" t="n">
        <x:f>IFERROR(F668/J668,0)</x:f>
        <x:v>0.3333333333333333</x:v>
      </x:c>
      <x:c r="T668" s="28" t="n">
        <x:f>H668-I668</x:f>
        <x:v>4</x:v>
      </x:c>
      <x:c r="U668" s="24" t="n">
        <x:f>IFERROR(J668/H668,0)-IFERROR(K668/I668,0)</x:f>
        <x:v>0.27601809954751133</x:v>
      </x:c>
      <x:c r="V668" s="24" t="n">
        <x:f>IFERROR(F668/J668,0)-IFERROR(G668/K668,0)</x:f>
        <x:v>-0.6666666666666667</x:v>
      </x:c>
      <x:c r="W668" s="28" t="n">
        <x:f>L668-M668</x:f>
        <x:v>1</x:v>
      </x:c>
      <x:c r="X668" s="24" t="n">
        <x:f>IFERROR(K668/I668,0)</x:f>
        <x:v>0.07692307692307693</x:v>
      </x:c>
      <x:c r="Y668" s="24" t="n">
        <x:f>IFERROR(G668/I668,0)</x:f>
        <x:v>0.07692307692307693</x:v>
      </x:c>
      <x:c r="Z668" s="24" t="n">
        <x:f>IFERROR(G668/K668,0)</x:f>
        <x:v>1</x:v>
      </x:c>
      <x:c r="AA668" s="24" t="n">
        <x:f>IFERROR(F668/H668,0)-IFERROR(G668/I668,0)</x:f>
        <x:v>0.04072398190045248</x:v>
      </x:c>
      <x:c r="AB668" s="28" t="n">
        <x:f>J668-K668</x:f>
        <x:v>5</x:v>
      </x:c>
      <x:c r="AC668" s="32" t="n">
        <x:f>F668-G668</x:f>
        <x:v>1</x:v>
      </x:c>
    </x:row>
    <x:row r="669">
      <x:c r="A669" s="4" t="str">
        <x:v>2021-22</x:v>
      </x:c>
      <x:c r="B669" s="20" t="n">
        <x:v>44681</x:v>
      </x:c>
      <x:c r="C669" s="4" t="str">
        <x:v>Crystal Palace</x:v>
      </x:c>
      <x:c r="D669" s="4" t="str">
        <x:v>Southampton</x:v>
      </x:c>
      <x:c r="E669" s="4" t="str">
        <x:v>Away</x:v>
      </x:c>
      <x:c r="F669" s="28" t="n">
        <x:v>2</x:v>
      </x:c>
      <x:c r="G669" s="28" t="n">
        <x:v>1</x:v>
      </x:c>
      <x:c r="H669" s="28" t="n">
        <x:v>14</x:v>
      </x:c>
      <x:c r="I669" s="28" t="n">
        <x:v>8</x:v>
      </x:c>
      <x:c r="J669" s="28" t="n">
        <x:v>5</x:v>
      </x:c>
      <x:c r="K669" s="28" t="n">
        <x:v>3</x:v>
      </x:c>
      <x:c r="L669" s="28" t="n">
        <x:v>7</x:v>
      </x:c>
      <x:c r="M669" s="28" t="n">
        <x:v>6</x:v>
      </x:c>
      <x:c r="N669" s="28" t="n">
        <x:v>3</x:v>
      </x:c>
      <x:c r="O669" s="28" t="n">
        <x:v>0</x:v>
      </x:c>
      <x:c r="P669" s="28" t="n">
        <x:v>3</x:v>
      </x:c>
      <x:c r="Q669" s="24" t="n">
        <x:f>IFERROR(J669/H669,0)</x:f>
        <x:v>0.35714285714285715</x:v>
      </x:c>
      <x:c r="R669" s="24" t="n">
        <x:f>IFERROR(F669/H669,0)</x:f>
        <x:v>0.14285714285714285</x:v>
      </x:c>
      <x:c r="S669" s="24" t="n">
        <x:f>IFERROR(F669/J669,0)</x:f>
        <x:v>0.4</x:v>
      </x:c>
      <x:c r="T669" s="28" t="n">
        <x:f>H669-I669</x:f>
        <x:v>6</x:v>
      </x:c>
      <x:c r="U669" s="24" t="n">
        <x:f>IFERROR(J669/H669,0)-IFERROR(K669/I669,0)</x:f>
        <x:v>-0.01785714285714285</x:v>
      </x:c>
      <x:c r="V669" s="24" t="n">
        <x:f>IFERROR(F669/J669,0)-IFERROR(G669/K669,0)</x:f>
        <x:v>0.06666666666666671</x:v>
      </x:c>
      <x:c r="W669" s="28" t="n">
        <x:f>L669-M669</x:f>
        <x:v>1</x:v>
      </x:c>
      <x:c r="X669" s="24" t="n">
        <x:f>IFERROR(K669/I669,0)</x:f>
        <x:v>0.375</x:v>
      </x:c>
      <x:c r="Y669" s="24" t="n">
        <x:f>IFERROR(G669/I669,0)</x:f>
        <x:v>0.125</x:v>
      </x:c>
      <x:c r="Z669" s="24" t="n">
        <x:f>IFERROR(G669/K669,0)</x:f>
        <x:v>0.3333333333333333</x:v>
      </x:c>
      <x:c r="AA669" s="24" t="n">
        <x:f>IFERROR(F669/H669,0)-IFERROR(G669/I669,0)</x:f>
        <x:v>0.01785714285714285</x:v>
      </x:c>
      <x:c r="AB669" s="28" t="n">
        <x:f>J669-K669</x:f>
        <x:v>2</x:v>
      </x:c>
      <x:c r="AC669" s="32" t="n">
        <x:f>F669-G669</x:f>
        <x:v>1</x:v>
      </x:c>
    </x:row>
    <x:row r="670">
      <x:c r="A670" s="4" t="str">
        <x:v>2021-22</x:v>
      </x:c>
      <x:c r="B670" s="20" t="n">
        <x:v>44681</x:v>
      </x:c>
      <x:c r="C670" s="4" t="str">
        <x:v>Leeds</x:v>
      </x:c>
      <x:c r="D670" s="4" t="str">
        <x:v>Man City</x:v>
      </x:c>
      <x:c r="E670" s="4" t="str">
        <x:v>Home</x:v>
      </x:c>
      <x:c r="F670" s="28" t="n">
        <x:v>0</x:v>
      </x:c>
      <x:c r="G670" s="28" t="n">
        <x:v>4</x:v>
      </x:c>
      <x:c r="H670" s="28" t="n">
        <x:v>7</x:v>
      </x:c>
      <x:c r="I670" s="28" t="n">
        <x:v>19</x:v>
      </x:c>
      <x:c r="J670" s="28" t="n">
        <x:v>2</x:v>
      </x:c>
      <x:c r="K670" s="28" t="n">
        <x:v>6</x:v>
      </x:c>
      <x:c r="L670" s="28" t="n">
        <x:v>3</x:v>
      </x:c>
      <x:c r="M670" s="28" t="n">
        <x:v>6</x:v>
      </x:c>
      <x:c r="N670" s="28" t="n">
        <x:v>1</x:v>
      </x:c>
      <x:c r="O670" s="28" t="n">
        <x:v>0</x:v>
      </x:c>
      <x:c r="P670" s="28" t="n">
        <x:v>0</x:v>
      </x:c>
      <x:c r="Q670" s="24" t="n">
        <x:f>IFERROR(J670/H670,0)</x:f>
        <x:v>0.2857142857142857</x:v>
      </x:c>
      <x:c r="R670" s="24" t="n">
        <x:f>IFERROR(F670/H670,0)</x:f>
        <x:v>0</x:v>
      </x:c>
      <x:c r="S670" s="24" t="n">
        <x:f>IFERROR(F670/J670,0)</x:f>
        <x:v>0</x:v>
      </x:c>
      <x:c r="T670" s="28" t="n">
        <x:f>H670-I670</x:f>
        <x:v>-12</x:v>
      </x:c>
      <x:c r="U670" s="24" t="n">
        <x:f>IFERROR(J670/H670,0)-IFERROR(K670/I670,0)</x:f>
        <x:v>-0.03007518796992481</x:v>
      </x:c>
      <x:c r="V670" s="24" t="n">
        <x:f>IFERROR(F670/J670,0)-IFERROR(G670/K670,0)</x:f>
        <x:v>-0.6666666666666666</x:v>
      </x:c>
      <x:c r="W670" s="28" t="n">
        <x:f>L670-M670</x:f>
        <x:v>-3</x:v>
      </x:c>
      <x:c r="X670" s="24" t="n">
        <x:f>IFERROR(K670/I670,0)</x:f>
        <x:v>0.3157894736842105</x:v>
      </x:c>
      <x:c r="Y670" s="24" t="n">
        <x:f>IFERROR(G670/I670,0)</x:f>
        <x:v>0.21052631578947367</x:v>
      </x:c>
      <x:c r="Z670" s="24" t="n">
        <x:f>IFERROR(G670/K670,0)</x:f>
        <x:v>0.6666666666666666</x:v>
      </x:c>
      <x:c r="AA670" s="24" t="n">
        <x:f>IFERROR(F670/H670,0)-IFERROR(G670/I670,0)</x:f>
        <x:v>-0.21052631578947367</x:v>
      </x:c>
      <x:c r="AB670" s="28" t="n">
        <x:f>J670-K670</x:f>
        <x:v>-4</x:v>
      </x:c>
      <x:c r="AC670" s="32" t="n">
        <x:f>F670-G670</x:f>
        <x:v>-4</x:v>
      </x:c>
    </x:row>
    <x:row r="671">
      <x:c r="A671" s="4" t="str">
        <x:v>2021-22</x:v>
      </x:c>
      <x:c r="B671" s="20" t="n">
        <x:v>44681</x:v>
      </x:c>
      <x:c r="C671" s="4" t="str">
        <x:v>Liverpool</x:v>
      </x:c>
      <x:c r="D671" s="4" t="str">
        <x:v>Newcastle</x:v>
      </x:c>
      <x:c r="E671" s="4" t="str">
        <x:v>Away</x:v>
      </x:c>
      <x:c r="F671" s="28" t="n">
        <x:v>1</x:v>
      </x:c>
      <x:c r="G671" s="28" t="n">
        <x:v>0</x:v>
      </x:c>
      <x:c r="H671" s="28" t="n">
        <x:v>24</x:v>
      </x:c>
      <x:c r="I671" s="28" t="n">
        <x:v>4</x:v>
      </x:c>
      <x:c r="J671" s="28" t="n">
        <x:v>10</x:v>
      </x:c>
      <x:c r="K671" s="28" t="n">
        <x:v>2</x:v>
      </x:c>
      <x:c r="L671" s="28" t="n">
        <x:v>6</x:v>
      </x:c>
      <x:c r="M671" s="28" t="n">
        <x:v>0</x:v>
      </x:c>
      <x:c r="N671" s="28" t="n">
        <x:v>3</x:v>
      </x:c>
      <x:c r="O671" s="28" t="n">
        <x:v>0</x:v>
      </x:c>
      <x:c r="P671" s="28" t="n">
        <x:v>3</x:v>
      </x:c>
      <x:c r="Q671" s="24" t="n">
        <x:f>IFERROR(J671/H671,0)</x:f>
        <x:v>0.4166666666666667</x:v>
      </x:c>
      <x:c r="R671" s="24" t="n">
        <x:f>IFERROR(F671/H671,0)</x:f>
        <x:v>0.041666666666666664</x:v>
      </x:c>
      <x:c r="S671" s="24" t="n">
        <x:f>IFERROR(F671/J671,0)</x:f>
        <x:v>0.1</x:v>
      </x:c>
      <x:c r="T671" s="28" t="n">
        <x:f>H671-I671</x:f>
        <x:v>20</x:v>
      </x:c>
      <x:c r="U671" s="24" t="n">
        <x:f>IFERROR(J671/H671,0)-IFERROR(K671/I671,0)</x:f>
        <x:v>-0.08333333333333331</x:v>
      </x:c>
      <x:c r="V671" s="24" t="n">
        <x:f>IFERROR(F671/J671,0)-IFERROR(G671/K671,0)</x:f>
        <x:v>0.1</x:v>
      </x:c>
      <x:c r="W671" s="28" t="n">
        <x:f>L671-M671</x:f>
        <x:v>6</x:v>
      </x:c>
      <x:c r="X671" s="24" t="n">
        <x:f>IFERROR(K671/I671,0)</x:f>
        <x:v>0.5</x:v>
      </x:c>
      <x:c r="Y671" s="24" t="n">
        <x:f>IFERROR(G671/I671,0)</x:f>
        <x:v>0</x:v>
      </x:c>
      <x:c r="Z671" s="24" t="n">
        <x:f>IFERROR(G671/K671,0)</x:f>
        <x:v>0</x:v>
      </x:c>
      <x:c r="AA671" s="24" t="n">
        <x:f>IFERROR(F671/H671,0)-IFERROR(G671/I671,0)</x:f>
        <x:v>0.041666666666666664</x:v>
      </x:c>
      <x:c r="AB671" s="28" t="n">
        <x:f>J671-K671</x:f>
        <x:v>8</x:v>
      </x:c>
      <x:c r="AC671" s="32" t="n">
        <x:f>F671-G671</x:f>
        <x:v>1</x:v>
      </x:c>
    </x:row>
    <x:row r="672">
      <x:c r="A672" s="4" t="str">
        <x:v>2021-22</x:v>
      </x:c>
      <x:c r="B672" s="20" t="n">
        <x:v>44681</x:v>
      </x:c>
      <x:c r="C672" s="4" t="str">
        <x:v>Man City</x:v>
      </x:c>
      <x:c r="D672" s="4" t="str">
        <x:v>Leeds</x:v>
      </x:c>
      <x:c r="E672" s="4" t="str">
        <x:v>Away</x:v>
      </x:c>
      <x:c r="F672" s="28" t="n">
        <x:v>4</x:v>
      </x:c>
      <x:c r="G672" s="28" t="n">
        <x:v>0</x:v>
      </x:c>
      <x:c r="H672" s="28" t="n">
        <x:v>19</x:v>
      </x:c>
      <x:c r="I672" s="28" t="n">
        <x:v>7</x:v>
      </x:c>
      <x:c r="J672" s="28" t="n">
        <x:v>6</x:v>
      </x:c>
      <x:c r="K672" s="28" t="n">
        <x:v>2</x:v>
      </x:c>
      <x:c r="L672" s="28" t="n">
        <x:v>6</x:v>
      </x:c>
      <x:c r="M672" s="28" t="n">
        <x:v>3</x:v>
      </x:c>
      <x:c r="N672" s="28" t="n">
        <x:v>2</x:v>
      </x:c>
      <x:c r="O672" s="28" t="n">
        <x:v>0</x:v>
      </x:c>
      <x:c r="P672" s="28" t="n">
        <x:v>3</x:v>
      </x:c>
      <x:c r="Q672" s="24" t="n">
        <x:f>IFERROR(J672/H672,0)</x:f>
        <x:v>0.3157894736842105</x:v>
      </x:c>
      <x:c r="R672" s="24" t="n">
        <x:f>IFERROR(F672/H672,0)</x:f>
        <x:v>0.21052631578947367</x:v>
      </x:c>
      <x:c r="S672" s="24" t="n">
        <x:f>IFERROR(F672/J672,0)</x:f>
        <x:v>0.6666666666666666</x:v>
      </x:c>
      <x:c r="T672" s="28" t="n">
        <x:f>H672-I672</x:f>
        <x:v>12</x:v>
      </x:c>
      <x:c r="U672" s="24" t="n">
        <x:f>IFERROR(J672/H672,0)-IFERROR(K672/I672,0)</x:f>
        <x:v>0.03007518796992481</x:v>
      </x:c>
      <x:c r="V672" s="24" t="n">
        <x:f>IFERROR(F672/J672,0)-IFERROR(G672/K672,0)</x:f>
        <x:v>0.6666666666666666</x:v>
      </x:c>
      <x:c r="W672" s="28" t="n">
        <x:f>L672-M672</x:f>
        <x:v>3</x:v>
      </x:c>
      <x:c r="X672" s="24" t="n">
        <x:f>IFERROR(K672/I672,0)</x:f>
        <x:v>0.2857142857142857</x:v>
      </x:c>
      <x:c r="Y672" s="24" t="n">
        <x:f>IFERROR(G672/I672,0)</x:f>
        <x:v>0</x:v>
      </x:c>
      <x:c r="Z672" s="24" t="n">
        <x:f>IFERROR(G672/K672,0)</x:f>
        <x:v>0</x:v>
      </x:c>
      <x:c r="AA672" s="24" t="n">
        <x:f>IFERROR(F672/H672,0)-IFERROR(G672/I672,0)</x:f>
        <x:v>0.21052631578947367</x:v>
      </x:c>
      <x:c r="AB672" s="28" t="n">
        <x:f>J672-K672</x:f>
        <x:v>4</x:v>
      </x:c>
      <x:c r="AC672" s="32" t="n">
        <x:f>F672-G672</x:f>
        <x:v>4</x:v>
      </x:c>
    </x:row>
    <x:row r="673">
      <x:c r="A673" s="4" t="str">
        <x:v>2021-22</x:v>
      </x:c>
      <x:c r="B673" s="20" t="n">
        <x:v>44681</x:v>
      </x:c>
      <x:c r="C673" s="4" t="str">
        <x:v>Newcastle</x:v>
      </x:c>
      <x:c r="D673" s="4" t="str">
        <x:v>Liverpool</x:v>
      </x:c>
      <x:c r="E673" s="4" t="str">
        <x:v>Home</x:v>
      </x:c>
      <x:c r="F673" s="28" t="n">
        <x:v>0</x:v>
      </x:c>
      <x:c r="G673" s="28" t="n">
        <x:v>1</x:v>
      </x:c>
      <x:c r="H673" s="28" t="n">
        <x:v>4</x:v>
      </x:c>
      <x:c r="I673" s="28" t="n">
        <x:v>24</x:v>
      </x:c>
      <x:c r="J673" s="28" t="n">
        <x:v>2</x:v>
      </x:c>
      <x:c r="K673" s="28" t="n">
        <x:v>10</x:v>
      </x:c>
      <x:c r="L673" s="28" t="n">
        <x:v>0</x:v>
      </x:c>
      <x:c r="M673" s="28" t="n">
        <x:v>6</x:v>
      </x:c>
      <x:c r="N673" s="28" t="n">
        <x:v>1</x:v>
      </x:c>
      <x:c r="O673" s="28" t="n">
        <x:v>0</x:v>
      </x:c>
      <x:c r="P673" s="28" t="n">
        <x:v>0</x:v>
      </x:c>
      <x:c r="Q673" s="24" t="n">
        <x:f>IFERROR(J673/H673,0)</x:f>
        <x:v>0.5</x:v>
      </x:c>
      <x:c r="R673" s="24" t="n">
        <x:f>IFERROR(F673/H673,0)</x:f>
        <x:v>0</x:v>
      </x:c>
      <x:c r="S673" s="24" t="n">
        <x:f>IFERROR(F673/J673,0)</x:f>
        <x:v>0</x:v>
      </x:c>
      <x:c r="T673" s="28" t="n">
        <x:f>H673-I673</x:f>
        <x:v>-20</x:v>
      </x:c>
      <x:c r="U673" s="24" t="n">
        <x:f>IFERROR(J673/H673,0)-IFERROR(K673/I673,0)</x:f>
        <x:v>0.08333333333333331</x:v>
      </x:c>
      <x:c r="V673" s="24" t="n">
        <x:f>IFERROR(F673/J673,0)-IFERROR(G673/K673,0)</x:f>
        <x:v>-0.1</x:v>
      </x:c>
      <x:c r="W673" s="28" t="n">
        <x:f>L673-M673</x:f>
        <x:v>-6</x:v>
      </x:c>
      <x:c r="X673" s="24" t="n">
        <x:f>IFERROR(K673/I673,0)</x:f>
        <x:v>0.4166666666666667</x:v>
      </x:c>
      <x:c r="Y673" s="24" t="n">
        <x:f>IFERROR(G673/I673,0)</x:f>
        <x:v>0.041666666666666664</x:v>
      </x:c>
      <x:c r="Z673" s="24" t="n">
        <x:f>IFERROR(G673/K673,0)</x:f>
        <x:v>0.1</x:v>
      </x:c>
      <x:c r="AA673" s="24" t="n">
        <x:f>IFERROR(F673/H673,0)-IFERROR(G673/I673,0)</x:f>
        <x:v>-0.041666666666666664</x:v>
      </x:c>
      <x:c r="AB673" s="28" t="n">
        <x:f>J673-K673</x:f>
        <x:v>-8</x:v>
      </x:c>
      <x:c r="AC673" s="32" t="n">
        <x:f>F673-G673</x:f>
        <x:v>-1</x:v>
      </x:c>
    </x:row>
    <x:row r="674">
      <x:c r="A674" s="4" t="str">
        <x:v>2021-22</x:v>
      </x:c>
      <x:c r="B674" s="20" t="n">
        <x:v>44681</x:v>
      </x:c>
      <x:c r="C674" s="4" t="str">
        <x:v>Norwich</x:v>
      </x:c>
      <x:c r="D674" s="4" t="str">
        <x:v>Aston Villa</x:v>
      </x:c>
      <x:c r="E674" s="4" t="str">
        <x:v>Away</x:v>
      </x:c>
      <x:c r="F674" s="28" t="n">
        <x:v>0</x:v>
      </x:c>
      <x:c r="G674" s="28" t="n">
        <x:v>2</x:v>
      </x:c>
      <x:c r="H674" s="28" t="n">
        <x:v>9</x:v>
      </x:c>
      <x:c r="I674" s="28" t="n">
        <x:v>21</x:v>
      </x:c>
      <x:c r="J674" s="28" t="n">
        <x:v>3</x:v>
      </x:c>
      <x:c r="K674" s="28" t="n">
        <x:v>6</x:v>
      </x:c>
      <x:c r="L674" s="28" t="n">
        <x:v>3</x:v>
      </x:c>
      <x:c r="M674" s="28" t="n">
        <x:v>2</x:v>
      </x:c>
      <x:c r="N674" s="28" t="n">
        <x:v>1</x:v>
      </x:c>
      <x:c r="O674" s="28" t="n">
        <x:v>0</x:v>
      </x:c>
      <x:c r="P674" s="28" t="n">
        <x:v>0</x:v>
      </x:c>
      <x:c r="Q674" s="24" t="n">
        <x:f>IFERROR(J674/H674,0)</x:f>
        <x:v>0.3333333333333333</x:v>
      </x:c>
      <x:c r="R674" s="24" t="n">
        <x:f>IFERROR(F674/H674,0)</x:f>
        <x:v>0</x:v>
      </x:c>
      <x:c r="S674" s="24" t="n">
        <x:f>IFERROR(F674/J674,0)</x:f>
        <x:v>0</x:v>
      </x:c>
      <x:c r="T674" s="28" t="n">
        <x:f>H674-I674</x:f>
        <x:v>-12</x:v>
      </x:c>
      <x:c r="U674" s="24" t="n">
        <x:f>IFERROR(J674/H674,0)-IFERROR(K674/I674,0)</x:f>
        <x:v>0.047619047619047616</x:v>
      </x:c>
      <x:c r="V674" s="24" t="n">
        <x:f>IFERROR(F674/J674,0)-IFERROR(G674/K674,0)</x:f>
        <x:v>-0.3333333333333333</x:v>
      </x:c>
      <x:c r="W674" s="28" t="n">
        <x:f>L674-M674</x:f>
        <x:v>1</x:v>
      </x:c>
      <x:c r="X674" s="24" t="n">
        <x:f>IFERROR(K674/I674,0)</x:f>
        <x:v>0.2857142857142857</x:v>
      </x:c>
      <x:c r="Y674" s="24" t="n">
        <x:f>IFERROR(G674/I674,0)</x:f>
        <x:v>0.09523809523809523</x:v>
      </x:c>
      <x:c r="Z674" s="24" t="n">
        <x:f>IFERROR(G674/K674,0)</x:f>
        <x:v>0.3333333333333333</x:v>
      </x:c>
      <x:c r="AA674" s="24" t="n">
        <x:f>IFERROR(F674/H674,0)-IFERROR(G674/I674,0)</x:f>
        <x:v>-0.09523809523809523</x:v>
      </x:c>
      <x:c r="AB674" s="28" t="n">
        <x:f>J674-K674</x:f>
        <x:v>-3</x:v>
      </x:c>
      <x:c r="AC674" s="32" t="n">
        <x:f>F674-G674</x:f>
        <x:v>-2</x:v>
      </x:c>
    </x:row>
    <x:row r="675">
      <x:c r="A675" s="4" t="str">
        <x:v>2021-22</x:v>
      </x:c>
      <x:c r="B675" s="20" t="n">
        <x:v>44681</x:v>
      </x:c>
      <x:c r="C675" s="4" t="str">
        <x:v>Southampton</x:v>
      </x:c>
      <x:c r="D675" s="4" t="str">
        <x:v>Crystal Palace</x:v>
      </x:c>
      <x:c r="E675" s="4" t="str">
        <x:v>Home</x:v>
      </x:c>
      <x:c r="F675" s="28" t="n">
        <x:v>1</x:v>
      </x:c>
      <x:c r="G675" s="28" t="n">
        <x:v>2</x:v>
      </x:c>
      <x:c r="H675" s="28" t="n">
        <x:v>8</x:v>
      </x:c>
      <x:c r="I675" s="28" t="n">
        <x:v>14</x:v>
      </x:c>
      <x:c r="J675" s="28" t="n">
        <x:v>3</x:v>
      </x:c>
      <x:c r="K675" s="28" t="n">
        <x:v>5</x:v>
      </x:c>
      <x:c r="L675" s="28" t="n">
        <x:v>6</x:v>
      </x:c>
      <x:c r="M675" s="28" t="n">
        <x:v>7</x:v>
      </x:c>
      <x:c r="N675" s="28" t="n">
        <x:v>1</x:v>
      </x:c>
      <x:c r="O675" s="28" t="n">
        <x:v>0</x:v>
      </x:c>
      <x:c r="P675" s="28" t="n">
        <x:v>0</x:v>
      </x:c>
      <x:c r="Q675" s="24" t="n">
        <x:f>IFERROR(J675/H675,0)</x:f>
        <x:v>0.375</x:v>
      </x:c>
      <x:c r="R675" s="24" t="n">
        <x:f>IFERROR(F675/H675,0)</x:f>
        <x:v>0.125</x:v>
      </x:c>
      <x:c r="S675" s="24" t="n">
        <x:f>IFERROR(F675/J675,0)</x:f>
        <x:v>0.3333333333333333</x:v>
      </x:c>
      <x:c r="T675" s="28" t="n">
        <x:f>H675-I675</x:f>
        <x:v>-6</x:v>
      </x:c>
      <x:c r="U675" s="24" t="n">
        <x:f>IFERROR(J675/H675,0)-IFERROR(K675/I675,0)</x:f>
        <x:v>0.01785714285714285</x:v>
      </x:c>
      <x:c r="V675" s="24" t="n">
        <x:f>IFERROR(F675/J675,0)-IFERROR(G675/K675,0)</x:f>
        <x:v>-0.06666666666666671</x:v>
      </x:c>
      <x:c r="W675" s="28" t="n">
        <x:f>L675-M675</x:f>
        <x:v>-1</x:v>
      </x:c>
      <x:c r="X675" s="24" t="n">
        <x:f>IFERROR(K675/I675,0)</x:f>
        <x:v>0.35714285714285715</x:v>
      </x:c>
      <x:c r="Y675" s="24" t="n">
        <x:f>IFERROR(G675/I675,0)</x:f>
        <x:v>0.14285714285714285</x:v>
      </x:c>
      <x:c r="Z675" s="24" t="n">
        <x:f>IFERROR(G675/K675,0)</x:f>
        <x:v>0.4</x:v>
      </x:c>
      <x:c r="AA675" s="24" t="n">
        <x:f>IFERROR(F675/H675,0)-IFERROR(G675/I675,0)</x:f>
        <x:v>-0.01785714285714285</x:v>
      </x:c>
      <x:c r="AB675" s="28" t="n">
        <x:f>J675-K675</x:f>
        <x:v>-2</x:v>
      </x:c>
      <x:c r="AC675" s="32" t="n">
        <x:f>F675-G675</x:f>
        <x:v>-1</x:v>
      </x:c>
    </x:row>
    <x:row r="676">
      <x:c r="A676" s="4" t="str">
        <x:v>2021-22</x:v>
      </x:c>
      <x:c r="B676" s="20" t="n">
        <x:v>44681</x:v>
      </x:c>
      <x:c r="C676" s="4" t="str">
        <x:v>Watford</x:v>
      </x:c>
      <x:c r="D676" s="4" t="str">
        <x:v>Burnley</x:v>
      </x:c>
      <x:c r="E676" s="4" t="str">
        <x:v>Home</x:v>
      </x:c>
      <x:c r="F676" s="28" t="n">
        <x:v>1</x:v>
      </x:c>
      <x:c r="G676" s="28" t="n">
        <x:v>2</x:v>
      </x:c>
      <x:c r="H676" s="28" t="n">
        <x:v>13</x:v>
      </x:c>
      <x:c r="I676" s="28" t="n">
        <x:v>17</x:v>
      </x:c>
      <x:c r="J676" s="28" t="n">
        <x:v>1</x:v>
      </x:c>
      <x:c r="K676" s="28" t="n">
        <x:v>6</x:v>
      </x:c>
      <x:c r="L676" s="28" t="n">
        <x:v>5</x:v>
      </x:c>
      <x:c r="M676" s="28" t="n">
        <x:v>6</x:v>
      </x:c>
      <x:c r="N676" s="28" t="n">
        <x:v>1</x:v>
      </x:c>
      <x:c r="O676" s="28" t="n">
        <x:v>0</x:v>
      </x:c>
      <x:c r="P676" s="28" t="n">
        <x:v>0</x:v>
      </x:c>
      <x:c r="Q676" s="24" t="n">
        <x:f>IFERROR(J676/H676,0)</x:f>
        <x:v>0.07692307692307693</x:v>
      </x:c>
      <x:c r="R676" s="24" t="n">
        <x:f>IFERROR(F676/H676,0)</x:f>
        <x:v>0.07692307692307693</x:v>
      </x:c>
      <x:c r="S676" s="24" t="n">
        <x:f>IFERROR(F676/J676,0)</x:f>
        <x:v>1</x:v>
      </x:c>
      <x:c r="T676" s="28" t="n">
        <x:f>H676-I676</x:f>
        <x:v>-4</x:v>
      </x:c>
      <x:c r="U676" s="24" t="n">
        <x:f>IFERROR(J676/H676,0)-IFERROR(K676/I676,0)</x:f>
        <x:v>-0.27601809954751133</x:v>
      </x:c>
      <x:c r="V676" s="24" t="n">
        <x:f>IFERROR(F676/J676,0)-IFERROR(G676/K676,0)</x:f>
        <x:v>0.6666666666666667</x:v>
      </x:c>
      <x:c r="W676" s="28" t="n">
        <x:f>L676-M676</x:f>
        <x:v>-1</x:v>
      </x:c>
      <x:c r="X676" s="24" t="n">
        <x:f>IFERROR(K676/I676,0)</x:f>
        <x:v>0.35294117647058826</x:v>
      </x:c>
      <x:c r="Y676" s="24" t="n">
        <x:f>IFERROR(G676/I676,0)</x:f>
        <x:v>0.11764705882352941</x:v>
      </x:c>
      <x:c r="Z676" s="24" t="n">
        <x:f>IFERROR(G676/K676,0)</x:f>
        <x:v>0.3333333333333333</x:v>
      </x:c>
      <x:c r="AA676" s="24" t="n">
        <x:f>IFERROR(F676/H676,0)-IFERROR(G676/I676,0)</x:f>
        <x:v>-0.04072398190045248</x:v>
      </x:c>
      <x:c r="AB676" s="28" t="n">
        <x:f>J676-K676</x:f>
        <x:v>-5</x:v>
      </x:c>
      <x:c r="AC676" s="32" t="n">
        <x:f>F676-G676</x:f>
        <x:v>-1</x:v>
      </x:c>
    </x:row>
    <x:row r="677">
      <x:c r="A677" s="4" t="str">
        <x:v>2021-22</x:v>
      </x:c>
      <x:c r="B677" s="20" t="n">
        <x:v>44681</x:v>
      </x:c>
      <x:c r="C677" s="4" t="str">
        <x:v>Wolves</x:v>
      </x:c>
      <x:c r="D677" s="4" t="str">
        <x:v>Brighton</x:v>
      </x:c>
      <x:c r="E677" s="4" t="str">
        <x:v>Home</x:v>
      </x:c>
      <x:c r="F677" s="28" t="n">
        <x:v>0</x:v>
      </x:c>
      <x:c r="G677" s="28" t="n">
        <x:v>3</x:v>
      </x:c>
      <x:c r="H677" s="28" t="n">
        <x:v>11</x:v>
      </x:c>
      <x:c r="I677" s="28" t="n">
        <x:v>17</x:v>
      </x:c>
      <x:c r="J677" s="28" t="n">
        <x:v>1</x:v>
      </x:c>
      <x:c r="K677" s="28" t="n">
        <x:v>9</x:v>
      </x:c>
      <x:c r="L677" s="28" t="n">
        <x:v>7</x:v>
      </x:c>
      <x:c r="M677" s="28" t="n">
        <x:v>3</x:v>
      </x:c>
      <x:c r="N677" s="28" t="n">
        <x:v>2</x:v>
      </x:c>
      <x:c r="O677" s="28" t="n">
        <x:v>0</x:v>
      </x:c>
      <x:c r="P677" s="28" t="n">
        <x:v>0</x:v>
      </x:c>
      <x:c r="Q677" s="24" t="n">
        <x:f>IFERROR(J677/H677,0)</x:f>
        <x:v>0.09090909090909091</x:v>
      </x:c>
      <x:c r="R677" s="24" t="n">
        <x:f>IFERROR(F677/H677,0)</x:f>
        <x:v>0</x:v>
      </x:c>
      <x:c r="S677" s="24" t="n">
        <x:f>IFERROR(F677/J677,0)</x:f>
        <x:v>0</x:v>
      </x:c>
      <x:c r="T677" s="28" t="n">
        <x:f>H677-I677</x:f>
        <x:v>-6</x:v>
      </x:c>
      <x:c r="U677" s="24" t="n">
        <x:f>IFERROR(J677/H677,0)-IFERROR(K677/I677,0)</x:f>
        <x:v>-0.4385026737967914</x:v>
      </x:c>
      <x:c r="V677" s="24" t="n">
        <x:f>IFERROR(F677/J677,0)-IFERROR(G677/K677,0)</x:f>
        <x:v>-0.3333333333333333</x:v>
      </x:c>
      <x:c r="W677" s="28" t="n">
        <x:f>L677-M677</x:f>
        <x:v>4</x:v>
      </x:c>
      <x:c r="X677" s="24" t="n">
        <x:f>IFERROR(K677/I677,0)</x:f>
        <x:v>0.5294117647058824</x:v>
      </x:c>
      <x:c r="Y677" s="24" t="n">
        <x:f>IFERROR(G677/I677,0)</x:f>
        <x:v>0.17647058823529413</x:v>
      </x:c>
      <x:c r="Z677" s="24" t="n">
        <x:f>IFERROR(G677/K677,0)</x:f>
        <x:v>0.3333333333333333</x:v>
      </x:c>
      <x:c r="AA677" s="24" t="n">
        <x:f>IFERROR(F677/H677,0)-IFERROR(G677/I677,0)</x:f>
        <x:v>-0.17647058823529413</x:v>
      </x:c>
      <x:c r="AB677" s="28" t="n">
        <x:f>J677-K677</x:f>
        <x:v>-8</x:v>
      </x:c>
      <x:c r="AC677" s="32" t="n">
        <x:f>F677-G677</x:f>
        <x:v>-3</x:v>
      </x:c>
    </x:row>
    <x:row r="678">
      <x:c r="A678" s="4" t="str">
        <x:v>2021-22</x:v>
      </x:c>
      <x:c r="B678" s="20" t="n">
        <x:v>44682</x:v>
      </x:c>
      <x:c r="C678" s="4" t="str">
        <x:v>Arsenal</x:v>
      </x:c>
      <x:c r="D678" s="4" t="str">
        <x:v>West Ham</x:v>
      </x:c>
      <x:c r="E678" s="4" t="str">
        <x:v>Away</x:v>
      </x:c>
      <x:c r="F678" s="28" t="n">
        <x:v>2</x:v>
      </x:c>
      <x:c r="G678" s="28" t="n">
        <x:v>1</x:v>
      </x:c>
      <x:c r="H678" s="28" t="n">
        <x:v>13</x:v>
      </x:c>
      <x:c r="I678" s="28" t="n">
        <x:v>8</x:v>
      </x:c>
      <x:c r="J678" s="28" t="n">
        <x:v>7</x:v>
      </x:c>
      <x:c r="K678" s="28" t="n">
        <x:v>3</x:v>
      </x:c>
      <x:c r="L678" s="28" t="n">
        <x:v>7</x:v>
      </x:c>
      <x:c r="M678" s="28" t="n">
        <x:v>3</x:v>
      </x:c>
      <x:c r="N678" s="28" t="n">
        <x:v>2</x:v>
      </x:c>
      <x:c r="O678" s="28" t="n">
        <x:v>0</x:v>
      </x:c>
      <x:c r="P678" s="28" t="n">
        <x:v>3</x:v>
      </x:c>
      <x:c r="Q678" s="24" t="n">
        <x:f>IFERROR(J678/H678,0)</x:f>
        <x:v>0.5384615384615384</x:v>
      </x:c>
      <x:c r="R678" s="24" t="n">
        <x:f>IFERROR(F678/H678,0)</x:f>
        <x:v>0.15384615384615385</x:v>
      </x:c>
      <x:c r="S678" s="24" t="n">
        <x:f>IFERROR(F678/J678,0)</x:f>
        <x:v>0.2857142857142857</x:v>
      </x:c>
      <x:c r="T678" s="28" t="n">
        <x:f>H678-I678</x:f>
        <x:v>5</x:v>
      </x:c>
      <x:c r="U678" s="24" t="n">
        <x:f>IFERROR(J678/H678,0)-IFERROR(K678/I678,0)</x:f>
        <x:v>0.16346153846153844</x:v>
      </x:c>
      <x:c r="V678" s="24" t="n">
        <x:f>IFERROR(F678/J678,0)-IFERROR(G678/K678,0)</x:f>
        <x:v>-0.047619047619047616</x:v>
      </x:c>
      <x:c r="W678" s="28" t="n">
        <x:f>L678-M678</x:f>
        <x:v>4</x:v>
      </x:c>
      <x:c r="X678" s="24" t="n">
        <x:f>IFERROR(K678/I678,0)</x:f>
        <x:v>0.375</x:v>
      </x:c>
      <x:c r="Y678" s="24" t="n">
        <x:f>IFERROR(G678/I678,0)</x:f>
        <x:v>0.125</x:v>
      </x:c>
      <x:c r="Z678" s="24" t="n">
        <x:f>IFERROR(G678/K678,0)</x:f>
        <x:v>0.3333333333333333</x:v>
      </x:c>
      <x:c r="AA678" s="24" t="n">
        <x:f>IFERROR(F678/H678,0)-IFERROR(G678/I678,0)</x:f>
        <x:v>0.028846153846153855</x:v>
      </x:c>
      <x:c r="AB678" s="28" t="n">
        <x:f>J678-K678</x:f>
        <x:v>4</x:v>
      </x:c>
      <x:c r="AC678" s="32" t="n">
        <x:f>F678-G678</x:f>
        <x:v>1</x:v>
      </x:c>
    </x:row>
    <x:row r="679">
      <x:c r="A679" s="4" t="str">
        <x:v>2021-22</x:v>
      </x:c>
      <x:c r="B679" s="20" t="n">
        <x:v>44682</x:v>
      </x:c>
      <x:c r="C679" s="4" t="str">
        <x:v>Chelsea</x:v>
      </x:c>
      <x:c r="D679" s="4" t="str">
        <x:v>Everton</x:v>
      </x:c>
      <x:c r="E679" s="4" t="str">
        <x:v>Away</x:v>
      </x:c>
      <x:c r="F679" s="28" t="n">
        <x:v>0</x:v>
      </x:c>
      <x:c r="G679" s="28" t="n">
        <x:v>1</x:v>
      </x:c>
      <x:c r="H679" s="28" t="n">
        <x:v>17</x:v>
      </x:c>
      <x:c r="I679" s="28" t="n">
        <x:v>9</x:v>
      </x:c>
      <x:c r="J679" s="28" t="n">
        <x:v>5</x:v>
      </x:c>
      <x:c r="K679" s="28" t="n">
        <x:v>4</x:v>
      </x:c>
      <x:c r="L679" s="28" t="n">
        <x:v>8</x:v>
      </x:c>
      <x:c r="M679" s="28" t="n">
        <x:v>3</x:v>
      </x:c>
      <x:c r="N679" s="28" t="n">
        <x:v>5</x:v>
      </x:c>
      <x:c r="O679" s="28" t="n">
        <x:v>0</x:v>
      </x:c>
      <x:c r="P679" s="28" t="n">
        <x:v>0</x:v>
      </x:c>
      <x:c r="Q679" s="24" t="n">
        <x:f>IFERROR(J679/H679,0)</x:f>
        <x:v>0.29411764705882354</x:v>
      </x:c>
      <x:c r="R679" s="24" t="n">
        <x:f>IFERROR(F679/H679,0)</x:f>
        <x:v>0</x:v>
      </x:c>
      <x:c r="S679" s="24" t="n">
        <x:f>IFERROR(F679/J679,0)</x:f>
        <x:v>0</x:v>
      </x:c>
      <x:c r="T679" s="28" t="n">
        <x:f>H679-I679</x:f>
        <x:v>8</x:v>
      </x:c>
      <x:c r="U679" s="24" t="n">
        <x:f>IFERROR(J679/H679,0)-IFERROR(K679/I679,0)</x:f>
        <x:v>-0.15032679738562088</x:v>
      </x:c>
      <x:c r="V679" s="24" t="n">
        <x:f>IFERROR(F679/J679,0)-IFERROR(G679/K679,0)</x:f>
        <x:v>-0.25</x:v>
      </x:c>
      <x:c r="W679" s="28" t="n">
        <x:f>L679-M679</x:f>
        <x:v>5</x:v>
      </x:c>
      <x:c r="X679" s="24" t="n">
        <x:f>IFERROR(K679/I679,0)</x:f>
        <x:v>0.4444444444444444</x:v>
      </x:c>
      <x:c r="Y679" s="24" t="n">
        <x:f>IFERROR(G679/I679,0)</x:f>
        <x:v>0.1111111111111111</x:v>
      </x:c>
      <x:c r="Z679" s="24" t="n">
        <x:f>IFERROR(G679/K679,0)</x:f>
        <x:v>0.25</x:v>
      </x:c>
      <x:c r="AA679" s="24" t="n">
        <x:f>IFERROR(F679/H679,0)-IFERROR(G679/I679,0)</x:f>
        <x:v>-0.1111111111111111</x:v>
      </x:c>
      <x:c r="AB679" s="28" t="n">
        <x:f>J679-K679</x:f>
        <x:v>1</x:v>
      </x:c>
      <x:c r="AC679" s="32" t="n">
        <x:f>F679-G679</x:f>
        <x:v>-1</x:v>
      </x:c>
    </x:row>
    <x:row r="680">
      <x:c r="A680" s="4" t="str">
        <x:v>2021-22</x:v>
      </x:c>
      <x:c r="B680" s="20" t="n">
        <x:v>44682</x:v>
      </x:c>
      <x:c r="C680" s="4" t="str">
        <x:v>Everton</x:v>
      </x:c>
      <x:c r="D680" s="4" t="str">
        <x:v>Chelsea</x:v>
      </x:c>
      <x:c r="E680" s="4" t="str">
        <x:v>Home</x:v>
      </x:c>
      <x:c r="F680" s="28" t="n">
        <x:v>1</x:v>
      </x:c>
      <x:c r="G680" s="28" t="n">
        <x:v>0</x:v>
      </x:c>
      <x:c r="H680" s="28" t="n">
        <x:v>9</x:v>
      </x:c>
      <x:c r="I680" s="28" t="n">
        <x:v>17</x:v>
      </x:c>
      <x:c r="J680" s="28" t="n">
        <x:v>4</x:v>
      </x:c>
      <x:c r="K680" s="28" t="n">
        <x:v>5</x:v>
      </x:c>
      <x:c r="L680" s="28" t="n">
        <x:v>3</x:v>
      </x:c>
      <x:c r="M680" s="28" t="n">
        <x:v>8</x:v>
      </x:c>
      <x:c r="N680" s="28" t="n">
        <x:v>3</x:v>
      </x:c>
      <x:c r="O680" s="28" t="n">
        <x:v>0</x:v>
      </x:c>
      <x:c r="P680" s="28" t="n">
        <x:v>3</x:v>
      </x:c>
      <x:c r="Q680" s="24" t="n">
        <x:f>IFERROR(J680/H680,0)</x:f>
        <x:v>0.4444444444444444</x:v>
      </x:c>
      <x:c r="R680" s="24" t="n">
        <x:f>IFERROR(F680/H680,0)</x:f>
        <x:v>0.1111111111111111</x:v>
      </x:c>
      <x:c r="S680" s="24" t="n">
        <x:f>IFERROR(F680/J680,0)</x:f>
        <x:v>0.25</x:v>
      </x:c>
      <x:c r="T680" s="28" t="n">
        <x:f>H680-I680</x:f>
        <x:v>-8</x:v>
      </x:c>
      <x:c r="U680" s="24" t="n">
        <x:f>IFERROR(J680/H680,0)-IFERROR(K680/I680,0)</x:f>
        <x:v>0.15032679738562088</x:v>
      </x:c>
      <x:c r="V680" s="24" t="n">
        <x:f>IFERROR(F680/J680,0)-IFERROR(G680/K680,0)</x:f>
        <x:v>0.25</x:v>
      </x:c>
      <x:c r="W680" s="28" t="n">
        <x:f>L680-M680</x:f>
        <x:v>-5</x:v>
      </x:c>
      <x:c r="X680" s="24" t="n">
        <x:f>IFERROR(K680/I680,0)</x:f>
        <x:v>0.29411764705882354</x:v>
      </x:c>
      <x:c r="Y680" s="24" t="n">
        <x:f>IFERROR(G680/I680,0)</x:f>
        <x:v>0</x:v>
      </x:c>
      <x:c r="Z680" s="24" t="n">
        <x:f>IFERROR(G680/K680,0)</x:f>
        <x:v>0</x:v>
      </x:c>
      <x:c r="AA680" s="24" t="n">
        <x:f>IFERROR(F680/H680,0)-IFERROR(G680/I680,0)</x:f>
        <x:v>0.1111111111111111</x:v>
      </x:c>
      <x:c r="AB680" s="28" t="n">
        <x:f>J680-K680</x:f>
        <x:v>-1</x:v>
      </x:c>
      <x:c r="AC680" s="32" t="n">
        <x:f>F680-G680</x:f>
        <x:v>1</x:v>
      </x:c>
    </x:row>
    <x:row r="681">
      <x:c r="A681" s="4" t="str">
        <x:v>2021-22</x:v>
      </x:c>
      <x:c r="B681" s="20" t="n">
        <x:v>44682</x:v>
      </x:c>
      <x:c r="C681" s="4" t="str">
        <x:v>Leicester</x:v>
      </x:c>
      <x:c r="D681" s="4" t="str">
        <x:v>Tottenham</x:v>
      </x:c>
      <x:c r="E681" s="4" t="str">
        <x:v>Away</x:v>
      </x:c>
      <x:c r="F681" s="28" t="n">
        <x:v>1</x:v>
      </x:c>
      <x:c r="G681" s="28" t="n">
        <x:v>3</x:v>
      </x:c>
      <x:c r="H681" s="28" t="n">
        <x:v>6</x:v>
      </x:c>
      <x:c r="I681" s="28" t="n">
        <x:v>13</x:v>
      </x:c>
      <x:c r="J681" s="28" t="n">
        <x:v>2</x:v>
      </x:c>
      <x:c r="K681" s="28" t="n">
        <x:v>7</x:v>
      </x:c>
      <x:c r="L681" s="28" t="n">
        <x:v>3</x:v>
      </x:c>
      <x:c r="M681" s="28" t="n">
        <x:v>7</x:v>
      </x:c>
      <x:c r="N681" s="28" t="n">
        <x:v>3</x:v>
      </x:c>
      <x:c r="O681" s="28" t="n">
        <x:v>0</x:v>
      </x:c>
      <x:c r="P681" s="28" t="n">
        <x:v>0</x:v>
      </x:c>
      <x:c r="Q681" s="24" t="n">
        <x:f>IFERROR(J681/H681,0)</x:f>
        <x:v>0.3333333333333333</x:v>
      </x:c>
      <x:c r="R681" s="24" t="n">
        <x:f>IFERROR(F681/H681,0)</x:f>
        <x:v>0.16666666666666666</x:v>
      </x:c>
      <x:c r="S681" s="24" t="n">
        <x:f>IFERROR(F681/J681,0)</x:f>
        <x:v>0.5</x:v>
      </x:c>
      <x:c r="T681" s="28" t="n">
        <x:f>H681-I681</x:f>
        <x:v>-7</x:v>
      </x:c>
      <x:c r="U681" s="24" t="n">
        <x:f>IFERROR(J681/H681,0)-IFERROR(K681/I681,0)</x:f>
        <x:v>-0.20512820512820512</x:v>
      </x:c>
      <x:c r="V681" s="24" t="n">
        <x:f>IFERROR(F681/J681,0)-IFERROR(G681/K681,0)</x:f>
        <x:v>0.07142857142857145</x:v>
      </x:c>
      <x:c r="W681" s="28" t="n">
        <x:f>L681-M681</x:f>
        <x:v>-4</x:v>
      </x:c>
      <x:c r="X681" s="24" t="n">
        <x:f>IFERROR(K681/I681,0)</x:f>
        <x:v>0.5384615384615384</x:v>
      </x:c>
      <x:c r="Y681" s="24" t="n">
        <x:f>IFERROR(G681/I681,0)</x:f>
        <x:v>0.23076923076923078</x:v>
      </x:c>
      <x:c r="Z681" s="24" t="n">
        <x:f>IFERROR(G681/K681,0)</x:f>
        <x:v>0.42857142857142855</x:v>
      </x:c>
      <x:c r="AA681" s="24" t="n">
        <x:f>IFERROR(F681/H681,0)-IFERROR(G681/I681,0)</x:f>
        <x:v>-0.06410256410256412</x:v>
      </x:c>
      <x:c r="AB681" s="28" t="n">
        <x:f>J681-K681</x:f>
        <x:v>-5</x:v>
      </x:c>
      <x:c r="AC681" s="32" t="n">
        <x:f>F681-G681</x:f>
        <x:v>-2</x:v>
      </x:c>
    </x:row>
    <x:row r="682">
      <x:c r="A682" s="4" t="str">
        <x:v>2021-22</x:v>
      </x:c>
      <x:c r="B682" s="20" t="n">
        <x:v>44682</x:v>
      </x:c>
      <x:c r="C682" s="4" t="str">
        <x:v>Tottenham</x:v>
      </x:c>
      <x:c r="D682" s="4" t="str">
        <x:v>Leicester</x:v>
      </x:c>
      <x:c r="E682" s="4" t="str">
        <x:v>Home</x:v>
      </x:c>
      <x:c r="F682" s="28" t="n">
        <x:v>3</x:v>
      </x:c>
      <x:c r="G682" s="28" t="n">
        <x:v>1</x:v>
      </x:c>
      <x:c r="H682" s="28" t="n">
        <x:v>13</x:v>
      </x:c>
      <x:c r="I682" s="28" t="n">
        <x:v>6</x:v>
      </x:c>
      <x:c r="J682" s="28" t="n">
        <x:v>7</x:v>
      </x:c>
      <x:c r="K682" s="28" t="n">
        <x:v>2</x:v>
      </x:c>
      <x:c r="L682" s="28" t="n">
        <x:v>7</x:v>
      </x:c>
      <x:c r="M682" s="28" t="n">
        <x:v>3</x:v>
      </x:c>
      <x:c r="N682" s="28" t="n">
        <x:v>2</x:v>
      </x:c>
      <x:c r="O682" s="28" t="n">
        <x:v>0</x:v>
      </x:c>
      <x:c r="P682" s="28" t="n">
        <x:v>3</x:v>
      </x:c>
      <x:c r="Q682" s="24" t="n">
        <x:f>IFERROR(J682/H682,0)</x:f>
        <x:v>0.5384615384615384</x:v>
      </x:c>
      <x:c r="R682" s="24" t="n">
        <x:f>IFERROR(F682/H682,0)</x:f>
        <x:v>0.23076923076923078</x:v>
      </x:c>
      <x:c r="S682" s="24" t="n">
        <x:f>IFERROR(F682/J682,0)</x:f>
        <x:v>0.42857142857142855</x:v>
      </x:c>
      <x:c r="T682" s="28" t="n">
        <x:f>H682-I682</x:f>
        <x:v>7</x:v>
      </x:c>
      <x:c r="U682" s="24" t="n">
        <x:f>IFERROR(J682/H682,0)-IFERROR(K682/I682,0)</x:f>
        <x:v>0.20512820512820512</x:v>
      </x:c>
      <x:c r="V682" s="24" t="n">
        <x:f>IFERROR(F682/J682,0)-IFERROR(G682/K682,0)</x:f>
        <x:v>-0.07142857142857145</x:v>
      </x:c>
      <x:c r="W682" s="28" t="n">
        <x:f>L682-M682</x:f>
        <x:v>4</x:v>
      </x:c>
      <x:c r="X682" s="24" t="n">
        <x:f>IFERROR(K682/I682,0)</x:f>
        <x:v>0.3333333333333333</x:v>
      </x:c>
      <x:c r="Y682" s="24" t="n">
        <x:f>IFERROR(G682/I682,0)</x:f>
        <x:v>0.16666666666666666</x:v>
      </x:c>
      <x:c r="Z682" s="24" t="n">
        <x:f>IFERROR(G682/K682,0)</x:f>
        <x:v>0.5</x:v>
      </x:c>
      <x:c r="AA682" s="24" t="n">
        <x:f>IFERROR(F682/H682,0)-IFERROR(G682/I682,0)</x:f>
        <x:v>0.06410256410256412</x:v>
      </x:c>
      <x:c r="AB682" s="28" t="n">
        <x:f>J682-K682</x:f>
        <x:v>5</x:v>
      </x:c>
      <x:c r="AC682" s="32" t="n">
        <x:f>F682-G682</x:f>
        <x:v>2</x:v>
      </x:c>
    </x:row>
    <x:row r="683">
      <x:c r="A683" s="4" t="str">
        <x:v>2021-22</x:v>
      </x:c>
      <x:c r="B683" s="20" t="n">
        <x:v>44682</x:v>
      </x:c>
      <x:c r="C683" s="4" t="str">
        <x:v>West Ham</x:v>
      </x:c>
      <x:c r="D683" s="4" t="str">
        <x:v>Arsenal</x:v>
      </x:c>
      <x:c r="E683" s="4" t="str">
        <x:v>Home</x:v>
      </x:c>
      <x:c r="F683" s="28" t="n">
        <x:v>1</x:v>
      </x:c>
      <x:c r="G683" s="28" t="n">
        <x:v>2</x:v>
      </x:c>
      <x:c r="H683" s="28" t="n">
        <x:v>8</x:v>
      </x:c>
      <x:c r="I683" s="28" t="n">
        <x:v>13</x:v>
      </x:c>
      <x:c r="J683" s="28" t="n">
        <x:v>3</x:v>
      </x:c>
      <x:c r="K683" s="28" t="n">
        <x:v>7</x:v>
      </x:c>
      <x:c r="L683" s="28" t="n">
        <x:v>3</x:v>
      </x:c>
      <x:c r="M683" s="28" t="n">
        <x:v>7</x:v>
      </x:c>
      <x:c r="N683" s="28" t="n">
        <x:v>2</x:v>
      </x:c>
      <x:c r="O683" s="28" t="n">
        <x:v>0</x:v>
      </x:c>
      <x:c r="P683" s="28" t="n">
        <x:v>0</x:v>
      </x:c>
      <x:c r="Q683" s="24" t="n">
        <x:f>IFERROR(J683/H683,0)</x:f>
        <x:v>0.375</x:v>
      </x:c>
      <x:c r="R683" s="24" t="n">
        <x:f>IFERROR(F683/H683,0)</x:f>
        <x:v>0.125</x:v>
      </x:c>
      <x:c r="S683" s="24" t="n">
        <x:f>IFERROR(F683/J683,0)</x:f>
        <x:v>0.3333333333333333</x:v>
      </x:c>
      <x:c r="T683" s="28" t="n">
        <x:f>H683-I683</x:f>
        <x:v>-5</x:v>
      </x:c>
      <x:c r="U683" s="24" t="n">
        <x:f>IFERROR(J683/H683,0)-IFERROR(K683/I683,0)</x:f>
        <x:v>-0.16346153846153844</x:v>
      </x:c>
      <x:c r="V683" s="24" t="n">
        <x:f>IFERROR(F683/J683,0)-IFERROR(G683/K683,0)</x:f>
        <x:v>0.047619047619047616</x:v>
      </x:c>
      <x:c r="W683" s="28" t="n">
        <x:f>L683-M683</x:f>
        <x:v>-4</x:v>
      </x:c>
      <x:c r="X683" s="24" t="n">
        <x:f>IFERROR(K683/I683,0)</x:f>
        <x:v>0.5384615384615384</x:v>
      </x:c>
      <x:c r="Y683" s="24" t="n">
        <x:f>IFERROR(G683/I683,0)</x:f>
        <x:v>0.15384615384615385</x:v>
      </x:c>
      <x:c r="Z683" s="24" t="n">
        <x:f>IFERROR(G683/K683,0)</x:f>
        <x:v>0.2857142857142857</x:v>
      </x:c>
      <x:c r="AA683" s="24" t="n">
        <x:f>IFERROR(F683/H683,0)-IFERROR(G683/I683,0)</x:f>
        <x:v>-0.028846153846153855</x:v>
      </x:c>
      <x:c r="AB683" s="28" t="n">
        <x:f>J683-K683</x:f>
        <x:v>-4</x:v>
      </x:c>
      <x:c r="AC683" s="32" t="n">
        <x:f>F683-G683</x:f>
        <x:v>-1</x:v>
      </x:c>
    </x:row>
    <x:row r="684">
      <x:c r="A684" s="4" t="str">
        <x:v>2021-22</x:v>
      </x:c>
      <x:c r="B684" s="20" t="n">
        <x:v>44683</x:v>
      </x:c>
      <x:c r="C684" s="4" t="str">
        <x:v>Brentford</x:v>
      </x:c>
      <x:c r="D684" s="4" t="str">
        <x:v>Man United</x:v>
      </x:c>
      <x:c r="E684" s="4" t="str">
        <x:v>Away</x:v>
      </x:c>
      <x:c r="F684" s="28" t="n">
        <x:v>0</x:v>
      </x:c>
      <x:c r="G684" s="28" t="n">
        <x:v>3</x:v>
      </x:c>
      <x:c r="H684" s="28" t="n">
        <x:v>12</x:v>
      </x:c>
      <x:c r="I684" s="28" t="n">
        <x:v>9</x:v>
      </x:c>
      <x:c r="J684" s="28" t="n">
        <x:v>4</x:v>
      </x:c>
      <x:c r="K684" s="28" t="n">
        <x:v>5</x:v>
      </x:c>
      <x:c r="L684" s="28" t="n">
        <x:v>8</x:v>
      </x:c>
      <x:c r="M684" s="28" t="n">
        <x:v>3</x:v>
      </x:c>
      <x:c r="N684" s="28" t="n">
        <x:v>0</x:v>
      </x:c>
      <x:c r="O684" s="28" t="n">
        <x:v>0</x:v>
      </x:c>
      <x:c r="P684" s="28" t="n">
        <x:v>0</x:v>
      </x:c>
      <x:c r="Q684" s="24" t="n">
        <x:f>IFERROR(J684/H684,0)</x:f>
        <x:v>0.3333333333333333</x:v>
      </x:c>
      <x:c r="R684" s="24" t="n">
        <x:f>IFERROR(F684/H684,0)</x:f>
        <x:v>0</x:v>
      </x:c>
      <x:c r="S684" s="24" t="n">
        <x:f>IFERROR(F684/J684,0)</x:f>
        <x:v>0</x:v>
      </x:c>
      <x:c r="T684" s="28" t="n">
        <x:f>H684-I684</x:f>
        <x:v>3</x:v>
      </x:c>
      <x:c r="U684" s="24" t="n">
        <x:f>IFERROR(J684/H684,0)-IFERROR(K684/I684,0)</x:f>
        <x:v>-0.22222222222222227</x:v>
      </x:c>
      <x:c r="V684" s="24" t="n">
        <x:f>IFERROR(F684/J684,0)-IFERROR(G684/K684,0)</x:f>
        <x:v>-0.6</x:v>
      </x:c>
      <x:c r="W684" s="28" t="n">
        <x:f>L684-M684</x:f>
        <x:v>5</x:v>
      </x:c>
      <x:c r="X684" s="24" t="n">
        <x:f>IFERROR(K684/I684,0)</x:f>
        <x:v>0.5555555555555556</x:v>
      </x:c>
      <x:c r="Y684" s="24" t="n">
        <x:f>IFERROR(G684/I684,0)</x:f>
        <x:v>0.3333333333333333</x:v>
      </x:c>
      <x:c r="Z684" s="24" t="n">
        <x:f>IFERROR(G684/K684,0)</x:f>
        <x:v>0.6</x:v>
      </x:c>
      <x:c r="AA684" s="24" t="n">
        <x:f>IFERROR(F684/H684,0)-IFERROR(G684/I684,0)</x:f>
        <x:v>-0.3333333333333333</x:v>
      </x:c>
      <x:c r="AB684" s="28" t="n">
        <x:f>J684-K684</x:f>
        <x:v>-1</x:v>
      </x:c>
      <x:c r="AC684" s="32" t="n">
        <x:f>F684-G684</x:f>
        <x:v>-3</x:v>
      </x:c>
    </x:row>
    <x:row r="685">
      <x:c r="A685" s="4" t="str">
        <x:v>2021-22</x:v>
      </x:c>
      <x:c r="B685" s="20" t="n">
        <x:v>44683</x:v>
      </x:c>
      <x:c r="C685" s="4" t="str">
        <x:v>Man United</x:v>
      </x:c>
      <x:c r="D685" s="4" t="str">
        <x:v>Brentford</x:v>
      </x:c>
      <x:c r="E685" s="4" t="str">
        <x:v>Home</x:v>
      </x:c>
      <x:c r="F685" s="28" t="n">
        <x:v>3</x:v>
      </x:c>
      <x:c r="G685" s="28" t="n">
        <x:v>0</x:v>
      </x:c>
      <x:c r="H685" s="28" t="n">
        <x:v>9</x:v>
      </x:c>
      <x:c r="I685" s="28" t="n">
        <x:v>12</x:v>
      </x:c>
      <x:c r="J685" s="28" t="n">
        <x:v>5</x:v>
      </x:c>
      <x:c r="K685" s="28" t="n">
        <x:v>4</x:v>
      </x:c>
      <x:c r="L685" s="28" t="n">
        <x:v>3</x:v>
      </x:c>
      <x:c r="M685" s="28" t="n">
        <x:v>8</x:v>
      </x:c>
      <x:c r="N685" s="28" t="n">
        <x:v>1</x:v>
      </x:c>
      <x:c r="O685" s="28" t="n">
        <x:v>0</x:v>
      </x:c>
      <x:c r="P685" s="28" t="n">
        <x:v>3</x:v>
      </x:c>
      <x:c r="Q685" s="24" t="n">
        <x:f>IFERROR(J685/H685,0)</x:f>
        <x:v>0.5555555555555556</x:v>
      </x:c>
      <x:c r="R685" s="24" t="n">
        <x:f>IFERROR(F685/H685,0)</x:f>
        <x:v>0.3333333333333333</x:v>
      </x:c>
      <x:c r="S685" s="24" t="n">
        <x:f>IFERROR(F685/J685,0)</x:f>
        <x:v>0.6</x:v>
      </x:c>
      <x:c r="T685" s="28" t="n">
        <x:f>H685-I685</x:f>
        <x:v>-3</x:v>
      </x:c>
      <x:c r="U685" s="24" t="n">
        <x:f>IFERROR(J685/H685,0)-IFERROR(K685/I685,0)</x:f>
        <x:v>0.22222222222222227</x:v>
      </x:c>
      <x:c r="V685" s="24" t="n">
        <x:f>IFERROR(F685/J685,0)-IFERROR(G685/K685,0)</x:f>
        <x:v>0.6</x:v>
      </x:c>
      <x:c r="W685" s="28" t="n">
        <x:f>L685-M685</x:f>
        <x:v>-5</x:v>
      </x:c>
      <x:c r="X685" s="24" t="n">
        <x:f>IFERROR(K685/I685,0)</x:f>
        <x:v>0.3333333333333333</x:v>
      </x:c>
      <x:c r="Y685" s="24" t="n">
        <x:f>IFERROR(G685/I685,0)</x:f>
        <x:v>0</x:v>
      </x:c>
      <x:c r="Z685" s="24" t="n">
        <x:f>IFERROR(G685/K685,0)</x:f>
        <x:v>0</x:v>
      </x:c>
      <x:c r="AA685" s="24" t="n">
        <x:f>IFERROR(F685/H685,0)-IFERROR(G685/I685,0)</x:f>
        <x:v>0.3333333333333333</x:v>
      </x:c>
      <x:c r="AB685" s="28" t="n">
        <x:f>J685-K685</x:f>
        <x:v>1</x:v>
      </x:c>
      <x:c r="AC685" s="32" t="n">
        <x:f>F685-G685</x:f>
        <x:v>3</x:v>
      </x:c>
    </x:row>
    <x:row r="686">
      <x:c r="A686" s="4" t="str">
        <x:v>2021-22</x:v>
      </x:c>
      <x:c r="B686" s="20" t="n">
        <x:v>44688</x:v>
      </x:c>
      <x:c r="C686" s="4" t="str">
        <x:v>Aston Villa</x:v>
      </x:c>
      <x:c r="D686" s="4" t="str">
        <x:v>Burnley</x:v>
      </x:c>
      <x:c r="E686" s="4" t="str">
        <x:v>Away</x:v>
      </x:c>
      <x:c r="F686" s="28" t="n">
        <x:v>3</x:v>
      </x:c>
      <x:c r="G686" s="28" t="n">
        <x:v>1</x:v>
      </x:c>
      <x:c r="H686" s="28" t="n">
        <x:v>12</x:v>
      </x:c>
      <x:c r="I686" s="28" t="n">
        <x:v>14</x:v>
      </x:c>
      <x:c r="J686" s="28" t="n">
        <x:v>7</x:v>
      </x:c>
      <x:c r="K686" s="28" t="n">
        <x:v>6</x:v>
      </x:c>
      <x:c r="L686" s="28" t="n">
        <x:v>5</x:v>
      </x:c>
      <x:c r="M686" s="28" t="n">
        <x:v>4</x:v>
      </x:c>
      <x:c r="N686" s="28" t="n">
        <x:v>2</x:v>
      </x:c>
      <x:c r="O686" s="28" t="n">
        <x:v>0</x:v>
      </x:c>
      <x:c r="P686" s="28" t="n">
        <x:v>3</x:v>
      </x:c>
      <x:c r="Q686" s="24" t="n">
        <x:f>IFERROR(J686/H686,0)</x:f>
        <x:v>0.5833333333333334</x:v>
      </x:c>
      <x:c r="R686" s="24" t="n">
        <x:f>IFERROR(F686/H686,0)</x:f>
        <x:v>0.25</x:v>
      </x:c>
      <x:c r="S686" s="24" t="n">
        <x:f>IFERROR(F686/J686,0)</x:f>
        <x:v>0.42857142857142855</x:v>
      </x:c>
      <x:c r="T686" s="28" t="n">
        <x:f>H686-I686</x:f>
        <x:v>-2</x:v>
      </x:c>
      <x:c r="U686" s="24" t="n">
        <x:f>IFERROR(J686/H686,0)-IFERROR(K686/I686,0)</x:f>
        <x:v>0.15476190476190482</x:v>
      </x:c>
      <x:c r="V686" s="24" t="n">
        <x:f>IFERROR(F686/J686,0)-IFERROR(G686/K686,0)</x:f>
        <x:v>0.26190476190476186</x:v>
      </x:c>
      <x:c r="W686" s="28" t="n">
        <x:f>L686-M686</x:f>
        <x:v>1</x:v>
      </x:c>
      <x:c r="X686" s="24" t="n">
        <x:f>IFERROR(K686/I686,0)</x:f>
        <x:v>0.42857142857142855</x:v>
      </x:c>
      <x:c r="Y686" s="24" t="n">
        <x:f>IFERROR(G686/I686,0)</x:f>
        <x:v>0.07142857142857142</x:v>
      </x:c>
      <x:c r="Z686" s="24" t="n">
        <x:f>IFERROR(G686/K686,0)</x:f>
        <x:v>0.16666666666666666</x:v>
      </x:c>
      <x:c r="AA686" s="24" t="n">
        <x:f>IFERROR(F686/H686,0)-IFERROR(G686/I686,0)</x:f>
        <x:v>0.17857142857142858</x:v>
      </x:c>
      <x:c r="AB686" s="28" t="n">
        <x:f>J686-K686</x:f>
        <x:v>1</x:v>
      </x:c>
      <x:c r="AC686" s="32" t="n">
        <x:f>F686-G686</x:f>
        <x:v>2</x:v>
      </x:c>
    </x:row>
    <x:row r="687">
      <x:c r="A687" s="4" t="str">
        <x:v>2021-22</x:v>
      </x:c>
      <x:c r="B687" s="20" t="n">
        <x:v>44688</x:v>
      </x:c>
      <x:c r="C687" s="4" t="str">
        <x:v>Brentford</x:v>
      </x:c>
      <x:c r="D687" s="4" t="str">
        <x:v>Southampton</x:v>
      </x:c>
      <x:c r="E687" s="4" t="str">
        <x:v>Home</x:v>
      </x:c>
      <x:c r="F687" s="28" t="n">
        <x:v>3</x:v>
      </x:c>
      <x:c r="G687" s="28" t="n">
        <x:v>0</x:v>
      </x:c>
      <x:c r="H687" s="28" t="n">
        <x:v>18</x:v>
      </x:c>
      <x:c r="I687" s="28" t="n">
        <x:v>19</x:v>
      </x:c>
      <x:c r="J687" s="28" t="n">
        <x:v>5</x:v>
      </x:c>
      <x:c r="K687" s="28" t="n">
        <x:v>4</x:v>
      </x:c>
      <x:c r="L687" s="28" t="n">
        <x:v>4</x:v>
      </x:c>
      <x:c r="M687" s="28" t="n">
        <x:v>7</x:v>
      </x:c>
      <x:c r="N687" s="28" t="n">
        <x:v>0</x:v>
      </x:c>
      <x:c r="O687" s="28" t="n">
        <x:v>0</x:v>
      </x:c>
      <x:c r="P687" s="28" t="n">
        <x:v>3</x:v>
      </x:c>
      <x:c r="Q687" s="24" t="n">
        <x:f>IFERROR(J687/H687,0)</x:f>
        <x:v>0.2777777777777778</x:v>
      </x:c>
      <x:c r="R687" s="24" t="n">
        <x:f>IFERROR(F687/H687,0)</x:f>
        <x:v>0.16666666666666666</x:v>
      </x:c>
      <x:c r="S687" s="24" t="n">
        <x:f>IFERROR(F687/J687,0)</x:f>
        <x:v>0.6</x:v>
      </x:c>
      <x:c r="T687" s="28" t="n">
        <x:f>H687-I687</x:f>
        <x:v>-1</x:v>
      </x:c>
      <x:c r="U687" s="24" t="n">
        <x:f>IFERROR(J687/H687,0)-IFERROR(K687/I687,0)</x:f>
        <x:v>0.06725146198830412</x:v>
      </x:c>
      <x:c r="V687" s="24" t="n">
        <x:f>IFERROR(F687/J687,0)-IFERROR(G687/K687,0)</x:f>
        <x:v>0.6</x:v>
      </x:c>
      <x:c r="W687" s="28" t="n">
        <x:f>L687-M687</x:f>
        <x:v>-3</x:v>
      </x:c>
      <x:c r="X687" s="24" t="n">
        <x:f>IFERROR(K687/I687,0)</x:f>
        <x:v>0.21052631578947367</x:v>
      </x:c>
      <x:c r="Y687" s="24" t="n">
        <x:f>IFERROR(G687/I687,0)</x:f>
        <x:v>0</x:v>
      </x:c>
      <x:c r="Z687" s="24" t="n">
        <x:f>IFERROR(G687/K687,0)</x:f>
        <x:v>0</x:v>
      </x:c>
      <x:c r="AA687" s="24" t="n">
        <x:f>IFERROR(F687/H687,0)-IFERROR(G687/I687,0)</x:f>
        <x:v>0.16666666666666666</x:v>
      </x:c>
      <x:c r="AB687" s="28" t="n">
        <x:f>J687-K687</x:f>
        <x:v>1</x:v>
      </x:c>
      <x:c r="AC687" s="32" t="n">
        <x:f>F687-G687</x:f>
        <x:v>3</x:v>
      </x:c>
    </x:row>
    <x:row r="688">
      <x:c r="A688" s="4" t="str">
        <x:v>2021-22</x:v>
      </x:c>
      <x:c r="B688" s="20" t="n">
        <x:v>44688</x:v>
      </x:c>
      <x:c r="C688" s="4" t="str">
        <x:v>Brighton</x:v>
      </x:c>
      <x:c r="D688" s="4" t="str">
        <x:v>Man United</x:v>
      </x:c>
      <x:c r="E688" s="4" t="str">
        <x:v>Home</x:v>
      </x:c>
      <x:c r="F688" s="28" t="n">
        <x:v>4</x:v>
      </x:c>
      <x:c r="G688" s="28" t="n">
        <x:v>0</x:v>
      </x:c>
      <x:c r="H688" s="28" t="n">
        <x:v>17</x:v>
      </x:c>
      <x:c r="I688" s="28" t="n">
        <x:v>15</x:v>
      </x:c>
      <x:c r="J688" s="28" t="n">
        <x:v>6</x:v>
      </x:c>
      <x:c r="K688" s="28" t="n">
        <x:v>5</x:v>
      </x:c>
      <x:c r="L688" s="28" t="n">
        <x:v>7</x:v>
      </x:c>
      <x:c r="M688" s="28" t="n">
        <x:v>6</x:v>
      </x:c>
      <x:c r="N688" s="28" t="n">
        <x:v>0</x:v>
      </x:c>
      <x:c r="O688" s="28" t="n">
        <x:v>0</x:v>
      </x:c>
      <x:c r="P688" s="28" t="n">
        <x:v>3</x:v>
      </x:c>
      <x:c r="Q688" s="24" t="n">
        <x:f>IFERROR(J688/H688,0)</x:f>
        <x:v>0.35294117647058826</x:v>
      </x:c>
      <x:c r="R688" s="24" t="n">
        <x:f>IFERROR(F688/H688,0)</x:f>
        <x:v>0.23529411764705882</x:v>
      </x:c>
      <x:c r="S688" s="24" t="n">
        <x:f>IFERROR(F688/J688,0)</x:f>
        <x:v>0.6666666666666666</x:v>
      </x:c>
      <x:c r="T688" s="28" t="n">
        <x:f>H688-I688</x:f>
        <x:v>2</x:v>
      </x:c>
      <x:c r="U688" s="24" t="n">
        <x:f>IFERROR(J688/H688,0)-IFERROR(K688/I688,0)</x:f>
        <x:v>0.019607843137254943</x:v>
      </x:c>
      <x:c r="V688" s="24" t="n">
        <x:f>IFERROR(F688/J688,0)-IFERROR(G688/K688,0)</x:f>
        <x:v>0.6666666666666666</x:v>
      </x:c>
      <x:c r="W688" s="28" t="n">
        <x:f>L688-M688</x:f>
        <x:v>1</x:v>
      </x:c>
      <x:c r="X688" s="24" t="n">
        <x:f>IFERROR(K688/I688,0)</x:f>
        <x:v>0.3333333333333333</x:v>
      </x:c>
      <x:c r="Y688" s="24" t="n">
        <x:f>IFERROR(G688/I688,0)</x:f>
        <x:v>0</x:v>
      </x:c>
      <x:c r="Z688" s="24" t="n">
        <x:f>IFERROR(G688/K688,0)</x:f>
        <x:v>0</x:v>
      </x:c>
      <x:c r="AA688" s="24" t="n">
        <x:f>IFERROR(F688/H688,0)-IFERROR(G688/I688,0)</x:f>
        <x:v>0.23529411764705882</x:v>
      </x:c>
      <x:c r="AB688" s="28" t="n">
        <x:f>J688-K688</x:f>
        <x:v>1</x:v>
      </x:c>
      <x:c r="AC688" s="32" t="n">
        <x:f>F688-G688</x:f>
        <x:v>4</x:v>
      </x:c>
    </x:row>
    <x:row r="689">
      <x:c r="A689" s="4" t="str">
        <x:v>2021-22</x:v>
      </x:c>
      <x:c r="B689" s="20" t="n">
        <x:v>44688</x:v>
      </x:c>
      <x:c r="C689" s="4" t="str">
        <x:v>Burnley</x:v>
      </x:c>
      <x:c r="D689" s="4" t="str">
        <x:v>Aston Villa</x:v>
      </x:c>
      <x:c r="E689" s="4" t="str">
        <x:v>Home</x:v>
      </x:c>
      <x:c r="F689" s="28" t="n">
        <x:v>1</x:v>
      </x:c>
      <x:c r="G689" s="28" t="n">
        <x:v>3</x:v>
      </x:c>
      <x:c r="H689" s="28" t="n">
        <x:v>14</x:v>
      </x:c>
      <x:c r="I689" s="28" t="n">
        <x:v>12</x:v>
      </x:c>
      <x:c r="J689" s="28" t="n">
        <x:v>6</x:v>
      </x:c>
      <x:c r="K689" s="28" t="n">
        <x:v>7</x:v>
      </x:c>
      <x:c r="L689" s="28" t="n">
        <x:v>4</x:v>
      </x:c>
      <x:c r="M689" s="28" t="n">
        <x:v>5</x:v>
      </x:c>
      <x:c r="N689" s="28" t="n">
        <x:v>1</x:v>
      </x:c>
      <x:c r="O689" s="28" t="n">
        <x:v>0</x:v>
      </x:c>
      <x:c r="P689" s="28" t="n">
        <x:v>0</x:v>
      </x:c>
      <x:c r="Q689" s="24" t="n">
        <x:f>IFERROR(J689/H689,0)</x:f>
        <x:v>0.42857142857142855</x:v>
      </x:c>
      <x:c r="R689" s="24" t="n">
        <x:f>IFERROR(F689/H689,0)</x:f>
        <x:v>0.07142857142857142</x:v>
      </x:c>
      <x:c r="S689" s="24" t="n">
        <x:f>IFERROR(F689/J689,0)</x:f>
        <x:v>0.16666666666666666</x:v>
      </x:c>
      <x:c r="T689" s="28" t="n">
        <x:f>H689-I689</x:f>
        <x:v>2</x:v>
      </x:c>
      <x:c r="U689" s="24" t="n">
        <x:f>IFERROR(J689/H689,0)-IFERROR(K689/I689,0)</x:f>
        <x:v>-0.15476190476190482</x:v>
      </x:c>
      <x:c r="V689" s="24" t="n">
        <x:f>IFERROR(F689/J689,0)-IFERROR(G689/K689,0)</x:f>
        <x:v>-0.26190476190476186</x:v>
      </x:c>
      <x:c r="W689" s="28" t="n">
        <x:f>L689-M689</x:f>
        <x:v>-1</x:v>
      </x:c>
      <x:c r="X689" s="24" t="n">
        <x:f>IFERROR(K689/I689,0)</x:f>
        <x:v>0.5833333333333334</x:v>
      </x:c>
      <x:c r="Y689" s="24" t="n">
        <x:f>IFERROR(G689/I689,0)</x:f>
        <x:v>0.25</x:v>
      </x:c>
      <x:c r="Z689" s="24" t="n">
        <x:f>IFERROR(G689/K689,0)</x:f>
        <x:v>0.42857142857142855</x:v>
      </x:c>
      <x:c r="AA689" s="24" t="n">
        <x:f>IFERROR(F689/H689,0)-IFERROR(G689/I689,0)</x:f>
        <x:v>-0.17857142857142858</x:v>
      </x:c>
      <x:c r="AB689" s="28" t="n">
        <x:f>J689-K689</x:f>
        <x:v>-1</x:v>
      </x:c>
      <x:c r="AC689" s="32" t="n">
        <x:f>F689-G689</x:f>
        <x:v>-2</x:v>
      </x:c>
    </x:row>
    <x:row r="690">
      <x:c r="A690" s="4" t="str">
        <x:v>2021-22</x:v>
      </x:c>
      <x:c r="B690" s="20" t="n">
        <x:v>44688</x:v>
      </x:c>
      <x:c r="C690" s="4" t="str">
        <x:v>Chelsea</x:v>
      </x:c>
      <x:c r="D690" s="4" t="str">
        <x:v>Wolves</x:v>
      </x:c>
      <x:c r="E690" s="4" t="str">
        <x:v>Home</x:v>
      </x:c>
      <x:c r="F690" s="28" t="n">
        <x:v>2</x:v>
      </x:c>
      <x:c r="G690" s="28" t="n">
        <x:v>2</x:v>
      </x:c>
      <x:c r="H690" s="28" t="n">
        <x:v>19</x:v>
      </x:c>
      <x:c r="I690" s="28" t="n">
        <x:v>14</x:v>
      </x:c>
      <x:c r="J690" s="28" t="n">
        <x:v>6</x:v>
      </x:c>
      <x:c r="K690" s="28" t="n">
        <x:v>4</x:v>
      </x:c>
      <x:c r="L690" s="28" t="n">
        <x:v>9</x:v>
      </x:c>
      <x:c r="M690" s="28" t="n">
        <x:v>3</x:v>
      </x:c>
      <x:c r="N690" s="28" t="n">
        <x:v>1</x:v>
      </x:c>
      <x:c r="O690" s="28" t="n">
        <x:v>0</x:v>
      </x:c>
      <x:c r="P690" s="28" t="n">
        <x:v>1</x:v>
      </x:c>
      <x:c r="Q690" s="24" t="n">
        <x:f>IFERROR(J690/H690,0)</x:f>
        <x:v>0.3157894736842105</x:v>
      </x:c>
      <x:c r="R690" s="24" t="n">
        <x:f>IFERROR(F690/H690,0)</x:f>
        <x:v>0.10526315789473684</x:v>
      </x:c>
      <x:c r="S690" s="24" t="n">
        <x:f>IFERROR(F690/J690,0)</x:f>
        <x:v>0.3333333333333333</x:v>
      </x:c>
      <x:c r="T690" s="28" t="n">
        <x:f>H690-I690</x:f>
        <x:v>5</x:v>
      </x:c>
      <x:c r="U690" s="24" t="n">
        <x:f>IFERROR(J690/H690,0)-IFERROR(K690/I690,0)</x:f>
        <x:v>0.03007518796992481</x:v>
      </x:c>
      <x:c r="V690" s="24" t="n">
        <x:f>IFERROR(F690/J690,0)-IFERROR(G690/K690,0)</x:f>
        <x:v>-0.16666666666666669</x:v>
      </x:c>
      <x:c r="W690" s="28" t="n">
        <x:f>L690-M690</x:f>
        <x:v>6</x:v>
      </x:c>
      <x:c r="X690" s="24" t="n">
        <x:f>IFERROR(K690/I690,0)</x:f>
        <x:v>0.2857142857142857</x:v>
      </x:c>
      <x:c r="Y690" s="24" t="n">
        <x:f>IFERROR(G690/I690,0)</x:f>
        <x:v>0.14285714285714285</x:v>
      </x:c>
      <x:c r="Z690" s="24" t="n">
        <x:f>IFERROR(G690/K690,0)</x:f>
        <x:v>0.5</x:v>
      </x:c>
      <x:c r="AA690" s="24" t="n">
        <x:f>IFERROR(F690/H690,0)-IFERROR(G690/I690,0)</x:f>
        <x:v>-0.03759398496240601</x:v>
      </x:c>
      <x:c r="AB690" s="28" t="n">
        <x:f>J690-K690</x:f>
        <x:v>2</x:v>
      </x:c>
      <x:c r="AC690" s="32" t="n">
        <x:f>F690-G690</x:f>
        <x:v>0</x:v>
      </x:c>
    </x:row>
    <x:row r="691">
      <x:c r="A691" s="4" t="str">
        <x:v>2021-22</x:v>
      </x:c>
      <x:c r="B691" s="20" t="n">
        <x:v>44688</x:v>
      </x:c>
      <x:c r="C691" s="4" t="str">
        <x:v>Crystal Palace</x:v>
      </x:c>
      <x:c r="D691" s="4" t="str">
        <x:v>Watford</x:v>
      </x:c>
      <x:c r="E691" s="4" t="str">
        <x:v>Home</x:v>
      </x:c>
      <x:c r="F691" s="28" t="n">
        <x:v>1</x:v>
      </x:c>
      <x:c r="G691" s="28" t="n">
        <x:v>0</x:v>
      </x:c>
      <x:c r="H691" s="28" t="n">
        <x:v>15</x:v>
      </x:c>
      <x:c r="I691" s="28" t="n">
        <x:v>6</x:v>
      </x:c>
      <x:c r="J691" s="28" t="n">
        <x:v>7</x:v>
      </x:c>
      <x:c r="K691" s="28" t="n">
        <x:v>1</x:v>
      </x:c>
      <x:c r="L691" s="28" t="n">
        <x:v>8</x:v>
      </x:c>
      <x:c r="M691" s="28" t="n">
        <x:v>5</x:v>
      </x:c>
      <x:c r="N691" s="28" t="n">
        <x:v>2</x:v>
      </x:c>
      <x:c r="O691" s="28" t="n">
        <x:v>0</x:v>
      </x:c>
      <x:c r="P691" s="28" t="n">
        <x:v>3</x:v>
      </x:c>
      <x:c r="Q691" s="24" t="n">
        <x:f>IFERROR(J691/H691,0)</x:f>
        <x:v>0.4666666666666667</x:v>
      </x:c>
      <x:c r="R691" s="24" t="n">
        <x:f>IFERROR(F691/H691,0)</x:f>
        <x:v>0.06666666666666667</x:v>
      </x:c>
      <x:c r="S691" s="24" t="n">
        <x:f>IFERROR(F691/J691,0)</x:f>
        <x:v>0.14285714285714285</x:v>
      </x:c>
      <x:c r="T691" s="28" t="n">
        <x:f>H691-I691</x:f>
        <x:v>9</x:v>
      </x:c>
      <x:c r="U691" s="24" t="n">
        <x:f>IFERROR(J691/H691,0)-IFERROR(K691/I691,0)</x:f>
        <x:v>0.30000000000000004</x:v>
      </x:c>
      <x:c r="V691" s="24" t="n">
        <x:f>IFERROR(F691/J691,0)-IFERROR(G691/K691,0)</x:f>
        <x:v>0.14285714285714285</x:v>
      </x:c>
      <x:c r="W691" s="28" t="n">
        <x:f>L691-M691</x:f>
        <x:v>3</x:v>
      </x:c>
      <x:c r="X691" s="24" t="n">
        <x:f>IFERROR(K691/I691,0)</x:f>
        <x:v>0.16666666666666666</x:v>
      </x:c>
      <x:c r="Y691" s="24" t="n">
        <x:f>IFERROR(G691/I691,0)</x:f>
        <x:v>0</x:v>
      </x:c>
      <x:c r="Z691" s="24" t="n">
        <x:f>IFERROR(G691/K691,0)</x:f>
        <x:v>0</x:v>
      </x:c>
      <x:c r="AA691" s="24" t="n">
        <x:f>IFERROR(F691/H691,0)-IFERROR(G691/I691,0)</x:f>
        <x:v>0.06666666666666667</x:v>
      </x:c>
      <x:c r="AB691" s="28" t="n">
        <x:f>J691-K691</x:f>
        <x:v>6</x:v>
      </x:c>
      <x:c r="AC691" s="32" t="n">
        <x:f>F691-G691</x:f>
        <x:v>1</x:v>
      </x:c>
    </x:row>
    <x:row r="692">
      <x:c r="A692" s="4" t="str">
        <x:v>2021-22</x:v>
      </x:c>
      <x:c r="B692" s="20" t="n">
        <x:v>44688</x:v>
      </x:c>
      <x:c r="C692" s="4" t="str">
        <x:v>Liverpool</x:v>
      </x:c>
      <x:c r="D692" s="4" t="str">
        <x:v>Tottenham</x:v>
      </x:c>
      <x:c r="E692" s="4" t="str">
        <x:v>Home</x:v>
      </x:c>
      <x:c r="F692" s="28" t="n">
        <x:v>1</x:v>
      </x:c>
      <x:c r="G692" s="28" t="n">
        <x:v>1</x:v>
      </x:c>
      <x:c r="H692" s="28" t="n">
        <x:v>22</x:v>
      </x:c>
      <x:c r="I692" s="28" t="n">
        <x:v>8</x:v>
      </x:c>
      <x:c r="J692" s="28" t="n">
        <x:v>3</x:v>
      </x:c>
      <x:c r="K692" s="28" t="n">
        <x:v>3</x:v>
      </x:c>
      <x:c r="L692" s="28" t="n">
        <x:v>11</x:v>
      </x:c>
      <x:c r="M692" s="28" t="n">
        <x:v>5</x:v>
      </x:c>
      <x:c r="N692" s="28" t="n">
        <x:v>3</x:v>
      </x:c>
      <x:c r="O692" s="28" t="n">
        <x:v>0</x:v>
      </x:c>
      <x:c r="P692" s="28" t="n">
        <x:v>1</x:v>
      </x:c>
      <x:c r="Q692" s="24" t="n">
        <x:f>IFERROR(J692/H692,0)</x:f>
        <x:v>0.13636363636363635</x:v>
      </x:c>
      <x:c r="R692" s="24" t="n">
        <x:f>IFERROR(F692/H692,0)</x:f>
        <x:v>0.045454545454545456</x:v>
      </x:c>
      <x:c r="S692" s="24" t="n">
        <x:f>IFERROR(F692/J692,0)</x:f>
        <x:v>0.3333333333333333</x:v>
      </x:c>
      <x:c r="T692" s="28" t="n">
        <x:f>H692-I692</x:f>
        <x:v>14</x:v>
      </x:c>
      <x:c r="U692" s="24" t="n">
        <x:f>IFERROR(J692/H692,0)-IFERROR(K692/I692,0)</x:f>
        <x:v>-0.23863636363636365</x:v>
      </x:c>
      <x:c r="V692" s="24" t="n">
        <x:f>IFERROR(F692/J692,0)-IFERROR(G692/K692,0)</x:f>
        <x:v>0</x:v>
      </x:c>
      <x:c r="W692" s="28" t="n">
        <x:f>L692-M692</x:f>
        <x:v>6</x:v>
      </x:c>
      <x:c r="X692" s="24" t="n">
        <x:f>IFERROR(K692/I692,0)</x:f>
        <x:v>0.375</x:v>
      </x:c>
      <x:c r="Y692" s="24" t="n">
        <x:f>IFERROR(G692/I692,0)</x:f>
        <x:v>0.125</x:v>
      </x:c>
      <x:c r="Z692" s="24" t="n">
        <x:f>IFERROR(G692/K692,0)</x:f>
        <x:v>0.3333333333333333</x:v>
      </x:c>
      <x:c r="AA692" s="24" t="n">
        <x:f>IFERROR(F692/H692,0)-IFERROR(G692/I692,0)</x:f>
        <x:v>-0.07954545454545454</x:v>
      </x:c>
      <x:c r="AB692" s="28" t="n">
        <x:f>J692-K692</x:f>
        <x:v>0</x:v>
      </x:c>
      <x:c r="AC692" s="32" t="n">
        <x:f>F692-G692</x:f>
        <x:v>0</x:v>
      </x:c>
    </x:row>
    <x:row r="693">
      <x:c r="A693" s="4" t="str">
        <x:v>2021-22</x:v>
      </x:c>
      <x:c r="B693" s="20" t="n">
        <x:v>44688</x:v>
      </x:c>
      <x:c r="C693" s="4" t="str">
        <x:v>Man United</x:v>
      </x:c>
      <x:c r="D693" s="4" t="str">
        <x:v>Brighton</x:v>
      </x:c>
      <x:c r="E693" s="4" t="str">
        <x:v>Away</x:v>
      </x:c>
      <x:c r="F693" s="28" t="n">
        <x:v>0</x:v>
      </x:c>
      <x:c r="G693" s="28" t="n">
        <x:v>4</x:v>
      </x:c>
      <x:c r="H693" s="28" t="n">
        <x:v>15</x:v>
      </x:c>
      <x:c r="I693" s="28" t="n">
        <x:v>17</x:v>
      </x:c>
      <x:c r="J693" s="28" t="n">
        <x:v>5</x:v>
      </x:c>
      <x:c r="K693" s="28" t="n">
        <x:v>6</x:v>
      </x:c>
      <x:c r="L693" s="28" t="n">
        <x:v>6</x:v>
      </x:c>
      <x:c r="M693" s="28" t="n">
        <x:v>7</x:v>
      </x:c>
      <x:c r="N693" s="28" t="n">
        <x:v>2</x:v>
      </x:c>
      <x:c r="O693" s="28" t="n">
        <x:v>0</x:v>
      </x:c>
      <x:c r="P693" s="28" t="n">
        <x:v>0</x:v>
      </x:c>
      <x:c r="Q693" s="24" t="n">
        <x:f>IFERROR(J693/H693,0)</x:f>
        <x:v>0.3333333333333333</x:v>
      </x:c>
      <x:c r="R693" s="24" t="n">
        <x:f>IFERROR(F693/H693,0)</x:f>
        <x:v>0</x:v>
      </x:c>
      <x:c r="S693" s="24" t="n">
        <x:f>IFERROR(F693/J693,0)</x:f>
        <x:v>0</x:v>
      </x:c>
      <x:c r="T693" s="28" t="n">
        <x:f>H693-I693</x:f>
        <x:v>-2</x:v>
      </x:c>
      <x:c r="U693" s="24" t="n">
        <x:f>IFERROR(J693/H693,0)-IFERROR(K693/I693,0)</x:f>
        <x:v>-0.019607843137254943</x:v>
      </x:c>
      <x:c r="V693" s="24" t="n">
        <x:f>IFERROR(F693/J693,0)-IFERROR(G693/K693,0)</x:f>
        <x:v>-0.6666666666666666</x:v>
      </x:c>
      <x:c r="W693" s="28" t="n">
        <x:f>L693-M693</x:f>
        <x:v>-1</x:v>
      </x:c>
      <x:c r="X693" s="24" t="n">
        <x:f>IFERROR(K693/I693,0)</x:f>
        <x:v>0.35294117647058826</x:v>
      </x:c>
      <x:c r="Y693" s="24" t="n">
        <x:f>IFERROR(G693/I693,0)</x:f>
        <x:v>0.23529411764705882</x:v>
      </x:c>
      <x:c r="Z693" s="24" t="n">
        <x:f>IFERROR(G693/K693,0)</x:f>
        <x:v>0.6666666666666666</x:v>
      </x:c>
      <x:c r="AA693" s="24" t="n">
        <x:f>IFERROR(F693/H693,0)-IFERROR(G693/I693,0)</x:f>
        <x:v>-0.23529411764705882</x:v>
      </x:c>
      <x:c r="AB693" s="28" t="n">
        <x:f>J693-K693</x:f>
        <x:v>-1</x:v>
      </x:c>
      <x:c r="AC693" s="32" t="n">
        <x:f>F693-G693</x:f>
        <x:v>-4</x:v>
      </x:c>
    </x:row>
    <x:row r="694">
      <x:c r="A694" s="4" t="str">
        <x:v>2021-22</x:v>
      </x:c>
      <x:c r="B694" s="20" t="n">
        <x:v>44688</x:v>
      </x:c>
      <x:c r="C694" s="4" t="str">
        <x:v>Southampton</x:v>
      </x:c>
      <x:c r="D694" s="4" t="str">
        <x:v>Brentford</x:v>
      </x:c>
      <x:c r="E694" s="4" t="str">
        <x:v>Away</x:v>
      </x:c>
      <x:c r="F694" s="28" t="n">
        <x:v>0</x:v>
      </x:c>
      <x:c r="G694" s="28" t="n">
        <x:v>3</x:v>
      </x:c>
      <x:c r="H694" s="28" t="n">
        <x:v>19</x:v>
      </x:c>
      <x:c r="I694" s="28" t="n">
        <x:v>18</x:v>
      </x:c>
      <x:c r="J694" s="28" t="n">
        <x:v>4</x:v>
      </x:c>
      <x:c r="K694" s="28" t="n">
        <x:v>5</x:v>
      </x:c>
      <x:c r="L694" s="28" t="n">
        <x:v>7</x:v>
      </x:c>
      <x:c r="M694" s="28" t="n">
        <x:v>4</x:v>
      </x:c>
      <x:c r="N694" s="28" t="n">
        <x:v>1</x:v>
      </x:c>
      <x:c r="O694" s="28" t="n">
        <x:v>0</x:v>
      </x:c>
      <x:c r="P694" s="28" t="n">
        <x:v>0</x:v>
      </x:c>
      <x:c r="Q694" s="24" t="n">
        <x:f>IFERROR(J694/H694,0)</x:f>
        <x:v>0.21052631578947367</x:v>
      </x:c>
      <x:c r="R694" s="24" t="n">
        <x:f>IFERROR(F694/H694,0)</x:f>
        <x:v>0</x:v>
      </x:c>
      <x:c r="S694" s="24" t="n">
        <x:f>IFERROR(F694/J694,0)</x:f>
        <x:v>0</x:v>
      </x:c>
      <x:c r="T694" s="28" t="n">
        <x:f>H694-I694</x:f>
        <x:v>1</x:v>
      </x:c>
      <x:c r="U694" s="24" t="n">
        <x:f>IFERROR(J694/H694,0)-IFERROR(K694/I694,0)</x:f>
        <x:v>-0.06725146198830412</x:v>
      </x:c>
      <x:c r="V694" s="24" t="n">
        <x:f>IFERROR(F694/J694,0)-IFERROR(G694/K694,0)</x:f>
        <x:v>-0.6</x:v>
      </x:c>
      <x:c r="W694" s="28" t="n">
        <x:f>L694-M694</x:f>
        <x:v>3</x:v>
      </x:c>
      <x:c r="X694" s="24" t="n">
        <x:f>IFERROR(K694/I694,0)</x:f>
        <x:v>0.2777777777777778</x:v>
      </x:c>
      <x:c r="Y694" s="24" t="n">
        <x:f>IFERROR(G694/I694,0)</x:f>
        <x:v>0.16666666666666666</x:v>
      </x:c>
      <x:c r="Z694" s="24" t="n">
        <x:f>IFERROR(G694/K694,0)</x:f>
        <x:v>0.6</x:v>
      </x:c>
      <x:c r="AA694" s="24" t="n">
        <x:f>IFERROR(F694/H694,0)-IFERROR(G694/I694,0)</x:f>
        <x:v>-0.16666666666666666</x:v>
      </x:c>
      <x:c r="AB694" s="28" t="n">
        <x:f>J694-K694</x:f>
        <x:v>-1</x:v>
      </x:c>
      <x:c r="AC694" s="32" t="n">
        <x:f>F694-G694</x:f>
        <x:v>-3</x:v>
      </x:c>
    </x:row>
    <x:row r="695">
      <x:c r="A695" s="4" t="str">
        <x:v>2021-22</x:v>
      </x:c>
      <x:c r="B695" s="20" t="n">
        <x:v>44688</x:v>
      </x:c>
      <x:c r="C695" s="4" t="str">
        <x:v>Tottenham</x:v>
      </x:c>
      <x:c r="D695" s="4" t="str">
        <x:v>Liverpool</x:v>
      </x:c>
      <x:c r="E695" s="4" t="str">
        <x:v>Away</x:v>
      </x:c>
      <x:c r="F695" s="28" t="n">
        <x:v>1</x:v>
      </x:c>
      <x:c r="G695" s="28" t="n">
        <x:v>1</x:v>
      </x:c>
      <x:c r="H695" s="28" t="n">
        <x:v>8</x:v>
      </x:c>
      <x:c r="I695" s="28" t="n">
        <x:v>22</x:v>
      </x:c>
      <x:c r="J695" s="28" t="n">
        <x:v>3</x:v>
      </x:c>
      <x:c r="K695" s="28" t="n">
        <x:v>3</x:v>
      </x:c>
      <x:c r="L695" s="28" t="n">
        <x:v>5</x:v>
      </x:c>
      <x:c r="M695" s="28" t="n">
        <x:v>11</x:v>
      </x:c>
      <x:c r="N695" s="28" t="n">
        <x:v>2</x:v>
      </x:c>
      <x:c r="O695" s="28" t="n">
        <x:v>0</x:v>
      </x:c>
      <x:c r="P695" s="28" t="n">
        <x:v>1</x:v>
      </x:c>
      <x:c r="Q695" s="24" t="n">
        <x:f>IFERROR(J695/H695,0)</x:f>
        <x:v>0.375</x:v>
      </x:c>
      <x:c r="R695" s="24" t="n">
        <x:f>IFERROR(F695/H695,0)</x:f>
        <x:v>0.125</x:v>
      </x:c>
      <x:c r="S695" s="24" t="n">
        <x:f>IFERROR(F695/J695,0)</x:f>
        <x:v>0.3333333333333333</x:v>
      </x:c>
      <x:c r="T695" s="28" t="n">
        <x:f>H695-I695</x:f>
        <x:v>-14</x:v>
      </x:c>
      <x:c r="U695" s="24" t="n">
        <x:f>IFERROR(J695/H695,0)-IFERROR(K695/I695,0)</x:f>
        <x:v>0.23863636363636365</x:v>
      </x:c>
      <x:c r="V695" s="24" t="n">
        <x:f>IFERROR(F695/J695,0)-IFERROR(G695/K695,0)</x:f>
        <x:v>0</x:v>
      </x:c>
      <x:c r="W695" s="28" t="n">
        <x:f>L695-M695</x:f>
        <x:v>-6</x:v>
      </x:c>
      <x:c r="X695" s="24" t="n">
        <x:f>IFERROR(K695/I695,0)</x:f>
        <x:v>0.13636363636363635</x:v>
      </x:c>
      <x:c r="Y695" s="24" t="n">
        <x:f>IFERROR(G695/I695,0)</x:f>
        <x:v>0.045454545454545456</x:v>
      </x:c>
      <x:c r="Z695" s="24" t="n">
        <x:f>IFERROR(G695/K695,0)</x:f>
        <x:v>0.3333333333333333</x:v>
      </x:c>
      <x:c r="AA695" s="24" t="n">
        <x:f>IFERROR(F695/H695,0)-IFERROR(G695/I695,0)</x:f>
        <x:v>0.07954545454545454</x:v>
      </x:c>
      <x:c r="AB695" s="28" t="n">
        <x:f>J695-K695</x:f>
        <x:v>0</x:v>
      </x:c>
      <x:c r="AC695" s="32" t="n">
        <x:f>F695-G695</x:f>
        <x:v>0</x:v>
      </x:c>
    </x:row>
    <x:row r="696">
      <x:c r="A696" s="4" t="str">
        <x:v>2021-22</x:v>
      </x:c>
      <x:c r="B696" s="20" t="n">
        <x:v>44688</x:v>
      </x:c>
      <x:c r="C696" s="4" t="str">
        <x:v>Watford</x:v>
      </x:c>
      <x:c r="D696" s="4" t="str">
        <x:v>Crystal Palace</x:v>
      </x:c>
      <x:c r="E696" s="4" t="str">
        <x:v>Away</x:v>
      </x:c>
      <x:c r="F696" s="28" t="n">
        <x:v>0</x:v>
      </x:c>
      <x:c r="G696" s="28" t="n">
        <x:v>1</x:v>
      </x:c>
      <x:c r="H696" s="28" t="n">
        <x:v>6</x:v>
      </x:c>
      <x:c r="I696" s="28" t="n">
        <x:v>15</x:v>
      </x:c>
      <x:c r="J696" s="28" t="n">
        <x:v>1</x:v>
      </x:c>
      <x:c r="K696" s="28" t="n">
        <x:v>7</x:v>
      </x:c>
      <x:c r="L696" s="28" t="n">
        <x:v>5</x:v>
      </x:c>
      <x:c r="M696" s="28" t="n">
        <x:v>8</x:v>
      </x:c>
      <x:c r="N696" s="28" t="n">
        <x:v>1</x:v>
      </x:c>
      <x:c r="O696" s="28" t="n">
        <x:v>1</x:v>
      </x:c>
      <x:c r="P696" s="28" t="n">
        <x:v>0</x:v>
      </x:c>
      <x:c r="Q696" s="24" t="n">
        <x:f>IFERROR(J696/H696,0)</x:f>
        <x:v>0.16666666666666666</x:v>
      </x:c>
      <x:c r="R696" s="24" t="n">
        <x:f>IFERROR(F696/H696,0)</x:f>
        <x:v>0</x:v>
      </x:c>
      <x:c r="S696" s="24" t="n">
        <x:f>IFERROR(F696/J696,0)</x:f>
        <x:v>0</x:v>
      </x:c>
      <x:c r="T696" s="28" t="n">
        <x:f>H696-I696</x:f>
        <x:v>-9</x:v>
      </x:c>
      <x:c r="U696" s="24" t="n">
        <x:f>IFERROR(J696/H696,0)-IFERROR(K696/I696,0)</x:f>
        <x:v>-0.30000000000000004</x:v>
      </x:c>
      <x:c r="V696" s="24" t="n">
        <x:f>IFERROR(F696/J696,0)-IFERROR(G696/K696,0)</x:f>
        <x:v>-0.14285714285714285</x:v>
      </x:c>
      <x:c r="W696" s="28" t="n">
        <x:f>L696-M696</x:f>
        <x:v>-3</x:v>
      </x:c>
      <x:c r="X696" s="24" t="n">
        <x:f>IFERROR(K696/I696,0)</x:f>
        <x:v>0.4666666666666667</x:v>
      </x:c>
      <x:c r="Y696" s="24" t="n">
        <x:f>IFERROR(G696/I696,0)</x:f>
        <x:v>0.06666666666666667</x:v>
      </x:c>
      <x:c r="Z696" s="24" t="n">
        <x:f>IFERROR(G696/K696,0)</x:f>
        <x:v>0.14285714285714285</x:v>
      </x:c>
      <x:c r="AA696" s="24" t="n">
        <x:f>IFERROR(F696/H696,0)-IFERROR(G696/I696,0)</x:f>
        <x:v>-0.06666666666666667</x:v>
      </x:c>
      <x:c r="AB696" s="28" t="n">
        <x:f>J696-K696</x:f>
        <x:v>-6</x:v>
      </x:c>
      <x:c r="AC696" s="32" t="n">
        <x:f>F696-G696</x:f>
        <x:v>-1</x:v>
      </x:c>
    </x:row>
    <x:row r="697">
      <x:c r="A697" s="4" t="str">
        <x:v>2021-22</x:v>
      </x:c>
      <x:c r="B697" s="20" t="n">
        <x:v>44688</x:v>
      </x:c>
      <x:c r="C697" s="4" t="str">
        <x:v>Wolves</x:v>
      </x:c>
      <x:c r="D697" s="4" t="str">
        <x:v>Chelsea</x:v>
      </x:c>
      <x:c r="E697" s="4" t="str">
        <x:v>Away</x:v>
      </x:c>
      <x:c r="F697" s="28" t="n">
        <x:v>2</x:v>
      </x:c>
      <x:c r="G697" s="28" t="n">
        <x:v>2</x:v>
      </x:c>
      <x:c r="H697" s="28" t="n">
        <x:v>14</x:v>
      </x:c>
      <x:c r="I697" s="28" t="n">
        <x:v>19</x:v>
      </x:c>
      <x:c r="J697" s="28" t="n">
        <x:v>4</x:v>
      </x:c>
      <x:c r="K697" s="28" t="n">
        <x:v>6</x:v>
      </x:c>
      <x:c r="L697" s="28" t="n">
        <x:v>3</x:v>
      </x:c>
      <x:c r="M697" s="28" t="n">
        <x:v>9</x:v>
      </x:c>
      <x:c r="N697" s="28" t="n">
        <x:v>3</x:v>
      </x:c>
      <x:c r="O697" s="28" t="n">
        <x:v>0</x:v>
      </x:c>
      <x:c r="P697" s="28" t="n">
        <x:v>1</x:v>
      </x:c>
      <x:c r="Q697" s="24" t="n">
        <x:f>IFERROR(J697/H697,0)</x:f>
        <x:v>0.2857142857142857</x:v>
      </x:c>
      <x:c r="R697" s="24" t="n">
        <x:f>IFERROR(F697/H697,0)</x:f>
        <x:v>0.14285714285714285</x:v>
      </x:c>
      <x:c r="S697" s="24" t="n">
        <x:f>IFERROR(F697/J697,0)</x:f>
        <x:v>0.5</x:v>
      </x:c>
      <x:c r="T697" s="28" t="n">
        <x:f>H697-I697</x:f>
        <x:v>-5</x:v>
      </x:c>
      <x:c r="U697" s="24" t="n">
        <x:f>IFERROR(J697/H697,0)-IFERROR(K697/I697,0)</x:f>
        <x:v>-0.03007518796992481</x:v>
      </x:c>
      <x:c r="V697" s="24" t="n">
        <x:f>IFERROR(F697/J697,0)-IFERROR(G697/K697,0)</x:f>
        <x:v>0.16666666666666669</x:v>
      </x:c>
      <x:c r="W697" s="28" t="n">
        <x:f>L697-M697</x:f>
        <x:v>-6</x:v>
      </x:c>
      <x:c r="X697" s="24" t="n">
        <x:f>IFERROR(K697/I697,0)</x:f>
        <x:v>0.3157894736842105</x:v>
      </x:c>
      <x:c r="Y697" s="24" t="n">
        <x:f>IFERROR(G697/I697,0)</x:f>
        <x:v>0.10526315789473684</x:v>
      </x:c>
      <x:c r="Z697" s="24" t="n">
        <x:f>IFERROR(G697/K697,0)</x:f>
        <x:v>0.3333333333333333</x:v>
      </x:c>
      <x:c r="AA697" s="24" t="n">
        <x:f>IFERROR(F697/H697,0)-IFERROR(G697/I697,0)</x:f>
        <x:v>0.03759398496240601</x:v>
      </x:c>
      <x:c r="AB697" s="28" t="n">
        <x:f>J697-K697</x:f>
        <x:v>-2</x:v>
      </x:c>
      <x:c r="AC697" s="32" t="n">
        <x:f>F697-G697</x:f>
        <x:v>0</x:v>
      </x:c>
    </x:row>
    <x:row r="698">
      <x:c r="A698" s="4" t="str">
        <x:v>2021-22</x:v>
      </x:c>
      <x:c r="B698" s="20" t="n">
        <x:v>44689</x:v>
      </x:c>
      <x:c r="C698" s="4" t="str">
        <x:v>Arsenal</x:v>
      </x:c>
      <x:c r="D698" s="4" t="str">
        <x:v>Leeds</x:v>
      </x:c>
      <x:c r="E698" s="4" t="str">
        <x:v>Home</x:v>
      </x:c>
      <x:c r="F698" s="28" t="n">
        <x:v>2</x:v>
      </x:c>
      <x:c r="G698" s="28" t="n">
        <x:v>1</x:v>
      </x:c>
      <x:c r="H698" s="28" t="n">
        <x:v>19</x:v>
      </x:c>
      <x:c r="I698" s="28" t="n">
        <x:v>3</x:v>
      </x:c>
      <x:c r="J698" s="28" t="n">
        <x:v>9</x:v>
      </x:c>
      <x:c r="K698" s="28" t="n">
        <x:v>2</x:v>
      </x:c>
      <x:c r="L698" s="28" t="n">
        <x:v>8</x:v>
      </x:c>
      <x:c r="M698" s="28" t="n">
        <x:v>2</x:v>
      </x:c>
      <x:c r="N698" s="28" t="n">
        <x:v>2</x:v>
      </x:c>
      <x:c r="O698" s="28" t="n">
        <x:v>0</x:v>
      </x:c>
      <x:c r="P698" s="28" t="n">
        <x:v>3</x:v>
      </x:c>
      <x:c r="Q698" s="24" t="n">
        <x:f>IFERROR(J698/H698,0)</x:f>
        <x:v>0.47368421052631576</x:v>
      </x:c>
      <x:c r="R698" s="24" t="n">
        <x:f>IFERROR(F698/H698,0)</x:f>
        <x:v>0.10526315789473684</x:v>
      </x:c>
      <x:c r="S698" s="24" t="n">
        <x:f>IFERROR(F698/J698,0)</x:f>
        <x:v>0.2222222222222222</x:v>
      </x:c>
      <x:c r="T698" s="28" t="n">
        <x:f>H698-I698</x:f>
        <x:v>16</x:v>
      </x:c>
      <x:c r="U698" s="24" t="n">
        <x:f>IFERROR(J698/H698,0)-IFERROR(K698/I698,0)</x:f>
        <x:v>-0.19298245614035087</x:v>
      </x:c>
      <x:c r="V698" s="24" t="n">
        <x:f>IFERROR(F698/J698,0)-IFERROR(G698/K698,0)</x:f>
        <x:v>-0.2777777777777778</x:v>
      </x:c>
      <x:c r="W698" s="28" t="n">
        <x:f>L698-M698</x:f>
        <x:v>6</x:v>
      </x:c>
      <x:c r="X698" s="24" t="n">
        <x:f>IFERROR(K698/I698,0)</x:f>
        <x:v>0.6666666666666666</x:v>
      </x:c>
      <x:c r="Y698" s="24" t="n">
        <x:f>IFERROR(G698/I698,0)</x:f>
        <x:v>0.3333333333333333</x:v>
      </x:c>
      <x:c r="Z698" s="24" t="n">
        <x:f>IFERROR(G698/K698,0)</x:f>
        <x:v>0.5</x:v>
      </x:c>
      <x:c r="AA698" s="24" t="n">
        <x:f>IFERROR(F698/H698,0)-IFERROR(G698/I698,0)</x:f>
        <x:v>-0.22807017543859648</x:v>
      </x:c>
      <x:c r="AB698" s="28" t="n">
        <x:f>J698-K698</x:f>
        <x:v>7</x:v>
      </x:c>
      <x:c r="AC698" s="32" t="n">
        <x:f>F698-G698</x:f>
        <x:v>1</x:v>
      </x:c>
    </x:row>
    <x:row r="699">
      <x:c r="A699" s="4" t="str">
        <x:v>2021-22</x:v>
      </x:c>
      <x:c r="B699" s="20" t="n">
        <x:v>44689</x:v>
      </x:c>
      <x:c r="C699" s="4" t="str">
        <x:v>Everton</x:v>
      </x:c>
      <x:c r="D699" s="4" t="str">
        <x:v>Leicester</x:v>
      </x:c>
      <x:c r="E699" s="4" t="str">
        <x:v>Away</x:v>
      </x:c>
      <x:c r="F699" s="28" t="n">
        <x:v>2</x:v>
      </x:c>
      <x:c r="G699" s="28" t="n">
        <x:v>1</x:v>
      </x:c>
      <x:c r="H699" s="28" t="n">
        <x:v>10</x:v>
      </x:c>
      <x:c r="I699" s="28" t="n">
        <x:v>16</x:v>
      </x:c>
      <x:c r="J699" s="28" t="n">
        <x:v>4</x:v>
      </x:c>
      <x:c r="K699" s="28" t="n">
        <x:v>9</x:v>
      </x:c>
      <x:c r="L699" s="28" t="n">
        <x:v>1</x:v>
      </x:c>
      <x:c r="M699" s="28" t="n">
        <x:v>6</x:v>
      </x:c>
      <x:c r="N699" s="28" t="n">
        <x:v>0</x:v>
      </x:c>
      <x:c r="O699" s="28" t="n">
        <x:v>0</x:v>
      </x:c>
      <x:c r="P699" s="28" t="n">
        <x:v>3</x:v>
      </x:c>
      <x:c r="Q699" s="24" t="n">
        <x:f>IFERROR(J699/H699,0)</x:f>
        <x:v>0.4</x:v>
      </x:c>
      <x:c r="R699" s="24" t="n">
        <x:f>IFERROR(F699/H699,0)</x:f>
        <x:v>0.2</x:v>
      </x:c>
      <x:c r="S699" s="24" t="n">
        <x:f>IFERROR(F699/J699,0)</x:f>
        <x:v>0.5</x:v>
      </x:c>
      <x:c r="T699" s="28" t="n">
        <x:f>H699-I699</x:f>
        <x:v>-6</x:v>
      </x:c>
      <x:c r="U699" s="24" t="n">
        <x:f>IFERROR(J699/H699,0)-IFERROR(K699/I699,0)</x:f>
        <x:v>-0.16249999999999998</x:v>
      </x:c>
      <x:c r="V699" s="24" t="n">
        <x:f>IFERROR(F699/J699,0)-IFERROR(G699/K699,0)</x:f>
        <x:v>0.3888888888888889</x:v>
      </x:c>
      <x:c r="W699" s="28" t="n">
        <x:f>L699-M699</x:f>
        <x:v>-5</x:v>
      </x:c>
      <x:c r="X699" s="24" t="n">
        <x:f>IFERROR(K699/I699,0)</x:f>
        <x:v>0.5625</x:v>
      </x:c>
      <x:c r="Y699" s="24" t="n">
        <x:f>IFERROR(G699/I699,0)</x:f>
        <x:v>0.0625</x:v>
      </x:c>
      <x:c r="Z699" s="24" t="n">
        <x:f>IFERROR(G699/K699,0)</x:f>
        <x:v>0.1111111111111111</x:v>
      </x:c>
      <x:c r="AA699" s="24" t="n">
        <x:f>IFERROR(F699/H699,0)-IFERROR(G699/I699,0)</x:f>
        <x:v>0.1375</x:v>
      </x:c>
      <x:c r="AB699" s="28" t="n">
        <x:f>J699-K699</x:f>
        <x:v>-5</x:v>
      </x:c>
      <x:c r="AC699" s="32" t="n">
        <x:f>F699-G699</x:f>
        <x:v>1</x:v>
      </x:c>
    </x:row>
    <x:row r="700">
      <x:c r="A700" s="4" t="str">
        <x:v>2021-22</x:v>
      </x:c>
      <x:c r="B700" s="20" t="n">
        <x:v>44689</x:v>
      </x:c>
      <x:c r="C700" s="4" t="str">
        <x:v>Leeds</x:v>
      </x:c>
      <x:c r="D700" s="4" t="str">
        <x:v>Arsenal</x:v>
      </x:c>
      <x:c r="E700" s="4" t="str">
        <x:v>Away</x:v>
      </x:c>
      <x:c r="F700" s="28" t="n">
        <x:v>1</x:v>
      </x:c>
      <x:c r="G700" s="28" t="n">
        <x:v>2</x:v>
      </x:c>
      <x:c r="H700" s="28" t="n">
        <x:v>3</x:v>
      </x:c>
      <x:c r="I700" s="28" t="n">
        <x:v>19</x:v>
      </x:c>
      <x:c r="J700" s="28" t="n">
        <x:v>2</x:v>
      </x:c>
      <x:c r="K700" s="28" t="n">
        <x:v>9</x:v>
      </x:c>
      <x:c r="L700" s="28" t="n">
        <x:v>2</x:v>
      </x:c>
      <x:c r="M700" s="28" t="n">
        <x:v>8</x:v>
      </x:c>
      <x:c r="N700" s="28" t="n">
        <x:v>2</x:v>
      </x:c>
      <x:c r="O700" s="28" t="n">
        <x:v>1</x:v>
      </x:c>
      <x:c r="P700" s="28" t="n">
        <x:v>0</x:v>
      </x:c>
      <x:c r="Q700" s="24" t="n">
        <x:f>IFERROR(J700/H700,0)</x:f>
        <x:v>0.6666666666666666</x:v>
      </x:c>
      <x:c r="R700" s="24" t="n">
        <x:f>IFERROR(F700/H700,0)</x:f>
        <x:v>0.3333333333333333</x:v>
      </x:c>
      <x:c r="S700" s="24" t="n">
        <x:f>IFERROR(F700/J700,0)</x:f>
        <x:v>0.5</x:v>
      </x:c>
      <x:c r="T700" s="28" t="n">
        <x:f>H700-I700</x:f>
        <x:v>-16</x:v>
      </x:c>
      <x:c r="U700" s="24" t="n">
        <x:f>IFERROR(J700/H700,0)-IFERROR(K700/I700,0)</x:f>
        <x:v>0.19298245614035087</x:v>
      </x:c>
      <x:c r="V700" s="24" t="n">
        <x:f>IFERROR(F700/J700,0)-IFERROR(G700/K700,0)</x:f>
        <x:v>0.2777777777777778</x:v>
      </x:c>
      <x:c r="W700" s="28" t="n">
        <x:f>L700-M700</x:f>
        <x:v>-6</x:v>
      </x:c>
      <x:c r="X700" s="24" t="n">
        <x:f>IFERROR(K700/I700,0)</x:f>
        <x:v>0.47368421052631576</x:v>
      </x:c>
      <x:c r="Y700" s="24" t="n">
        <x:f>IFERROR(G700/I700,0)</x:f>
        <x:v>0.10526315789473684</x:v>
      </x:c>
      <x:c r="Z700" s="24" t="n">
        <x:f>IFERROR(G700/K700,0)</x:f>
        <x:v>0.2222222222222222</x:v>
      </x:c>
      <x:c r="AA700" s="24" t="n">
        <x:f>IFERROR(F700/H700,0)-IFERROR(G700/I700,0)</x:f>
        <x:v>0.22807017543859648</x:v>
      </x:c>
      <x:c r="AB700" s="28" t="n">
        <x:f>J700-K700</x:f>
        <x:v>-7</x:v>
      </x:c>
      <x:c r="AC700" s="32" t="n">
        <x:f>F700-G700</x:f>
        <x:v>-1</x:v>
      </x:c>
    </x:row>
    <x:row r="701">
      <x:c r="A701" s="4" t="str">
        <x:v>2021-22</x:v>
      </x:c>
      <x:c r="B701" s="20" t="n">
        <x:v>44689</x:v>
      </x:c>
      <x:c r="C701" s="4" t="str">
        <x:v>Leicester</x:v>
      </x:c>
      <x:c r="D701" s="4" t="str">
        <x:v>Everton</x:v>
      </x:c>
      <x:c r="E701" s="4" t="str">
        <x:v>Home</x:v>
      </x:c>
      <x:c r="F701" s="28" t="n">
        <x:v>1</x:v>
      </x:c>
      <x:c r="G701" s="28" t="n">
        <x:v>2</x:v>
      </x:c>
      <x:c r="H701" s="28" t="n">
        <x:v>16</x:v>
      </x:c>
      <x:c r="I701" s="28" t="n">
        <x:v>10</x:v>
      </x:c>
      <x:c r="J701" s="28" t="n">
        <x:v>9</x:v>
      </x:c>
      <x:c r="K701" s="28" t="n">
        <x:v>4</x:v>
      </x:c>
      <x:c r="L701" s="28" t="n">
        <x:v>6</x:v>
      </x:c>
      <x:c r="M701" s="28" t="n">
        <x:v>1</x:v>
      </x:c>
      <x:c r="N701" s="28" t="n">
        <x:v>3</x:v>
      </x:c>
      <x:c r="O701" s="28" t="n">
        <x:v>0</x:v>
      </x:c>
      <x:c r="P701" s="28" t="n">
        <x:v>0</x:v>
      </x:c>
      <x:c r="Q701" s="24" t="n">
        <x:f>IFERROR(J701/H701,0)</x:f>
        <x:v>0.5625</x:v>
      </x:c>
      <x:c r="R701" s="24" t="n">
        <x:f>IFERROR(F701/H701,0)</x:f>
        <x:v>0.0625</x:v>
      </x:c>
      <x:c r="S701" s="24" t="n">
        <x:f>IFERROR(F701/J701,0)</x:f>
        <x:v>0.1111111111111111</x:v>
      </x:c>
      <x:c r="T701" s="28" t="n">
        <x:f>H701-I701</x:f>
        <x:v>6</x:v>
      </x:c>
      <x:c r="U701" s="24" t="n">
        <x:f>IFERROR(J701/H701,0)-IFERROR(K701/I701,0)</x:f>
        <x:v>0.16249999999999998</x:v>
      </x:c>
      <x:c r="V701" s="24" t="n">
        <x:f>IFERROR(F701/J701,0)-IFERROR(G701/K701,0)</x:f>
        <x:v>-0.3888888888888889</x:v>
      </x:c>
      <x:c r="W701" s="28" t="n">
        <x:f>L701-M701</x:f>
        <x:v>5</x:v>
      </x:c>
      <x:c r="X701" s="24" t="n">
        <x:f>IFERROR(K701/I701,0)</x:f>
        <x:v>0.4</x:v>
      </x:c>
      <x:c r="Y701" s="24" t="n">
        <x:f>IFERROR(G701/I701,0)</x:f>
        <x:v>0.2</x:v>
      </x:c>
      <x:c r="Z701" s="24" t="n">
        <x:f>IFERROR(G701/K701,0)</x:f>
        <x:v>0.5</x:v>
      </x:c>
      <x:c r="AA701" s="24" t="n">
        <x:f>IFERROR(F701/H701,0)-IFERROR(G701/I701,0)</x:f>
        <x:v>-0.1375</x:v>
      </x:c>
      <x:c r="AB701" s="28" t="n">
        <x:f>J701-K701</x:f>
        <x:v>5</x:v>
      </x:c>
      <x:c r="AC701" s="32" t="n">
        <x:f>F701-G701</x:f>
        <x:v>-1</x:v>
      </x:c>
    </x:row>
    <x:row r="702">
      <x:c r="A702" s="4" t="str">
        <x:v>2021-22</x:v>
      </x:c>
      <x:c r="B702" s="20" t="n">
        <x:v>44689</x:v>
      </x:c>
      <x:c r="C702" s="4" t="str">
        <x:v>Man City</x:v>
      </x:c>
      <x:c r="D702" s="4" t="str">
        <x:v>Newcastle</x:v>
      </x:c>
      <x:c r="E702" s="4" t="str">
        <x:v>Home</x:v>
      </x:c>
      <x:c r="F702" s="28" t="n">
        <x:v>5</x:v>
      </x:c>
      <x:c r="G702" s="28" t="n">
        <x:v>0</x:v>
      </x:c>
      <x:c r="H702" s="28" t="n">
        <x:v>21</x:v>
      </x:c>
      <x:c r="I702" s="28" t="n">
        <x:v>7</x:v>
      </x:c>
      <x:c r="J702" s="28" t="n">
        <x:v>9</x:v>
      </x:c>
      <x:c r="K702" s="28" t="n">
        <x:v>3</x:v>
      </x:c>
      <x:c r="L702" s="28" t="n">
        <x:v>8</x:v>
      </x:c>
      <x:c r="M702" s="28" t="n">
        <x:v>2</x:v>
      </x:c>
      <x:c r="N702" s="28" t="n">
        <x:v>1</x:v>
      </x:c>
      <x:c r="O702" s="28" t="n">
        <x:v>0</x:v>
      </x:c>
      <x:c r="P702" s="28" t="n">
        <x:v>3</x:v>
      </x:c>
      <x:c r="Q702" s="24" t="n">
        <x:f>IFERROR(J702/H702,0)</x:f>
        <x:v>0.42857142857142855</x:v>
      </x:c>
      <x:c r="R702" s="24" t="n">
        <x:f>IFERROR(F702/H702,0)</x:f>
        <x:v>0.23809523809523808</x:v>
      </x:c>
      <x:c r="S702" s="24" t="n">
        <x:f>IFERROR(F702/J702,0)</x:f>
        <x:v>0.5555555555555556</x:v>
      </x:c>
      <x:c r="T702" s="28" t="n">
        <x:f>H702-I702</x:f>
        <x:v>14</x:v>
      </x:c>
      <x:c r="U702" s="24" t="n">
        <x:f>IFERROR(J702/H702,0)-IFERROR(K702/I702,0)</x:f>
        <x:v>0</x:v>
      </x:c>
      <x:c r="V702" s="24" t="n">
        <x:f>IFERROR(F702/J702,0)-IFERROR(G702/K702,0)</x:f>
        <x:v>0.5555555555555556</x:v>
      </x:c>
      <x:c r="W702" s="28" t="n">
        <x:f>L702-M702</x:f>
        <x:v>6</x:v>
      </x:c>
      <x:c r="X702" s="24" t="n">
        <x:f>IFERROR(K702/I702,0)</x:f>
        <x:v>0.42857142857142855</x:v>
      </x:c>
      <x:c r="Y702" s="24" t="n">
        <x:f>IFERROR(G702/I702,0)</x:f>
        <x:v>0</x:v>
      </x:c>
      <x:c r="Z702" s="24" t="n">
        <x:f>IFERROR(G702/K702,0)</x:f>
        <x:v>0</x:v>
      </x:c>
      <x:c r="AA702" s="24" t="n">
        <x:f>IFERROR(F702/H702,0)-IFERROR(G702/I702,0)</x:f>
        <x:v>0.23809523809523808</x:v>
      </x:c>
      <x:c r="AB702" s="28" t="n">
        <x:f>J702-K702</x:f>
        <x:v>6</x:v>
      </x:c>
      <x:c r="AC702" s="32" t="n">
        <x:f>F702-G702</x:f>
        <x:v>5</x:v>
      </x:c>
    </x:row>
    <x:row r="703">
      <x:c r="A703" s="4" t="str">
        <x:v>2021-22</x:v>
      </x:c>
      <x:c r="B703" s="20" t="n">
        <x:v>44689</x:v>
      </x:c>
      <x:c r="C703" s="4" t="str">
        <x:v>Newcastle</x:v>
      </x:c>
      <x:c r="D703" s="4" t="str">
        <x:v>Man City</x:v>
      </x:c>
      <x:c r="E703" s="4" t="str">
        <x:v>Away</x:v>
      </x:c>
      <x:c r="F703" s="28" t="n">
        <x:v>0</x:v>
      </x:c>
      <x:c r="G703" s="28" t="n">
        <x:v>5</x:v>
      </x:c>
      <x:c r="H703" s="28" t="n">
        <x:v>7</x:v>
      </x:c>
      <x:c r="I703" s="28" t="n">
        <x:v>21</x:v>
      </x:c>
      <x:c r="J703" s="28" t="n">
        <x:v>3</x:v>
      </x:c>
      <x:c r="K703" s="28" t="n">
        <x:v>9</x:v>
      </x:c>
      <x:c r="L703" s="28" t="n">
        <x:v>2</x:v>
      </x:c>
      <x:c r="M703" s="28" t="n">
        <x:v>8</x:v>
      </x:c>
      <x:c r="N703" s="28" t="n">
        <x:v>3</x:v>
      </x:c>
      <x:c r="O703" s="28" t="n">
        <x:v>0</x:v>
      </x:c>
      <x:c r="P703" s="28" t="n">
        <x:v>0</x:v>
      </x:c>
      <x:c r="Q703" s="24" t="n">
        <x:f>IFERROR(J703/H703,0)</x:f>
        <x:v>0.42857142857142855</x:v>
      </x:c>
      <x:c r="R703" s="24" t="n">
        <x:f>IFERROR(F703/H703,0)</x:f>
        <x:v>0</x:v>
      </x:c>
      <x:c r="S703" s="24" t="n">
        <x:f>IFERROR(F703/J703,0)</x:f>
        <x:v>0</x:v>
      </x:c>
      <x:c r="T703" s="28" t="n">
        <x:f>H703-I703</x:f>
        <x:v>-14</x:v>
      </x:c>
      <x:c r="U703" s="24" t="n">
        <x:f>IFERROR(J703/H703,0)-IFERROR(K703/I703,0)</x:f>
        <x:v>0</x:v>
      </x:c>
      <x:c r="V703" s="24" t="n">
        <x:f>IFERROR(F703/J703,0)-IFERROR(G703/K703,0)</x:f>
        <x:v>-0.5555555555555556</x:v>
      </x:c>
      <x:c r="W703" s="28" t="n">
        <x:f>L703-M703</x:f>
        <x:v>-6</x:v>
      </x:c>
      <x:c r="X703" s="24" t="n">
        <x:f>IFERROR(K703/I703,0)</x:f>
        <x:v>0.42857142857142855</x:v>
      </x:c>
      <x:c r="Y703" s="24" t="n">
        <x:f>IFERROR(G703/I703,0)</x:f>
        <x:v>0.23809523809523808</x:v>
      </x:c>
      <x:c r="Z703" s="24" t="n">
        <x:f>IFERROR(G703/K703,0)</x:f>
        <x:v>0.5555555555555556</x:v>
      </x:c>
      <x:c r="AA703" s="24" t="n">
        <x:f>IFERROR(F703/H703,0)-IFERROR(G703/I703,0)</x:f>
        <x:v>-0.23809523809523808</x:v>
      </x:c>
      <x:c r="AB703" s="28" t="n">
        <x:f>J703-K703</x:f>
        <x:v>-6</x:v>
      </x:c>
      <x:c r="AC703" s="32" t="n">
        <x:f>F703-G703</x:f>
        <x:v>-5</x:v>
      </x:c>
    </x:row>
    <x:row r="704">
      <x:c r="A704" s="4" t="str">
        <x:v>2021-22</x:v>
      </x:c>
      <x:c r="B704" s="20" t="n">
        <x:v>44689</x:v>
      </x:c>
      <x:c r="C704" s="4" t="str">
        <x:v>Norwich</x:v>
      </x:c>
      <x:c r="D704" s="4" t="str">
        <x:v>West Ham</x:v>
      </x:c>
      <x:c r="E704" s="4" t="str">
        <x:v>Home</x:v>
      </x:c>
      <x:c r="F704" s="28" t="n">
        <x:v>0</x:v>
      </x:c>
      <x:c r="G704" s="28" t="n">
        <x:v>4</x:v>
      </x:c>
      <x:c r="H704" s="28" t="n">
        <x:v>8</x:v>
      </x:c>
      <x:c r="I704" s="28" t="n">
        <x:v>13</x:v>
      </x:c>
      <x:c r="J704" s="28" t="n">
        <x:v>2</x:v>
      </x:c>
      <x:c r="K704" s="28" t="n">
        <x:v>5</x:v>
      </x:c>
      <x:c r="L704" s="28" t="n">
        <x:v>9</x:v>
      </x:c>
      <x:c r="M704" s="28" t="n">
        <x:v>5</x:v>
      </x:c>
      <x:c r="N704" s="28" t="n">
        <x:v>1</x:v>
      </x:c>
      <x:c r="O704" s="28" t="n">
        <x:v>0</x:v>
      </x:c>
      <x:c r="P704" s="28" t="n">
        <x:v>0</x:v>
      </x:c>
      <x:c r="Q704" s="24" t="n">
        <x:f>IFERROR(J704/H704,0)</x:f>
        <x:v>0.25</x:v>
      </x:c>
      <x:c r="R704" s="24" t="n">
        <x:f>IFERROR(F704/H704,0)</x:f>
        <x:v>0</x:v>
      </x:c>
      <x:c r="S704" s="24" t="n">
        <x:f>IFERROR(F704/J704,0)</x:f>
        <x:v>0</x:v>
      </x:c>
      <x:c r="T704" s="28" t="n">
        <x:f>H704-I704</x:f>
        <x:v>-5</x:v>
      </x:c>
      <x:c r="U704" s="24" t="n">
        <x:f>IFERROR(J704/H704,0)-IFERROR(K704/I704,0)</x:f>
        <x:v>-0.13461538461538464</x:v>
      </x:c>
      <x:c r="V704" s="24" t="n">
        <x:f>IFERROR(F704/J704,0)-IFERROR(G704/K704,0)</x:f>
        <x:v>-0.8</x:v>
      </x:c>
      <x:c r="W704" s="28" t="n">
        <x:f>L704-M704</x:f>
        <x:v>4</x:v>
      </x:c>
      <x:c r="X704" s="24" t="n">
        <x:f>IFERROR(K704/I704,0)</x:f>
        <x:v>0.38461538461538464</x:v>
      </x:c>
      <x:c r="Y704" s="24" t="n">
        <x:f>IFERROR(G704/I704,0)</x:f>
        <x:v>0.3076923076923077</x:v>
      </x:c>
      <x:c r="Z704" s="24" t="n">
        <x:f>IFERROR(G704/K704,0)</x:f>
        <x:v>0.8</x:v>
      </x:c>
      <x:c r="AA704" s="24" t="n">
        <x:f>IFERROR(F704/H704,0)-IFERROR(G704/I704,0)</x:f>
        <x:v>-0.3076923076923077</x:v>
      </x:c>
      <x:c r="AB704" s="28" t="n">
        <x:f>J704-K704</x:f>
        <x:v>-3</x:v>
      </x:c>
      <x:c r="AC704" s="32" t="n">
        <x:f>F704-G704</x:f>
        <x:v>-4</x:v>
      </x:c>
    </x:row>
    <x:row r="705">
      <x:c r="A705" s="4" t="str">
        <x:v>2021-22</x:v>
      </x:c>
      <x:c r="B705" s="20" t="n">
        <x:v>44689</x:v>
      </x:c>
      <x:c r="C705" s="4" t="str">
        <x:v>West Ham</x:v>
      </x:c>
      <x:c r="D705" s="4" t="str">
        <x:v>Norwich</x:v>
      </x:c>
      <x:c r="E705" s="4" t="str">
        <x:v>Away</x:v>
      </x:c>
      <x:c r="F705" s="28" t="n">
        <x:v>4</x:v>
      </x:c>
      <x:c r="G705" s="28" t="n">
        <x:v>0</x:v>
      </x:c>
      <x:c r="H705" s="28" t="n">
        <x:v>13</x:v>
      </x:c>
      <x:c r="I705" s="28" t="n">
        <x:v>8</x:v>
      </x:c>
      <x:c r="J705" s="28" t="n">
        <x:v>5</x:v>
      </x:c>
      <x:c r="K705" s="28" t="n">
        <x:v>2</x:v>
      </x:c>
      <x:c r="L705" s="28" t="n">
        <x:v>5</x:v>
      </x:c>
      <x:c r="M705" s="28" t="n">
        <x:v>9</x:v>
      </x:c>
      <x:c r="N705" s="28" t="n">
        <x:v>1</x:v>
      </x:c>
      <x:c r="O705" s="28" t="n">
        <x:v>0</x:v>
      </x:c>
      <x:c r="P705" s="28" t="n">
        <x:v>3</x:v>
      </x:c>
      <x:c r="Q705" s="24" t="n">
        <x:f>IFERROR(J705/H705,0)</x:f>
        <x:v>0.38461538461538464</x:v>
      </x:c>
      <x:c r="R705" s="24" t="n">
        <x:f>IFERROR(F705/H705,0)</x:f>
        <x:v>0.3076923076923077</x:v>
      </x:c>
      <x:c r="S705" s="24" t="n">
        <x:f>IFERROR(F705/J705,0)</x:f>
        <x:v>0.8</x:v>
      </x:c>
      <x:c r="T705" s="28" t="n">
        <x:f>H705-I705</x:f>
        <x:v>5</x:v>
      </x:c>
      <x:c r="U705" s="24" t="n">
        <x:f>IFERROR(J705/H705,0)-IFERROR(K705/I705,0)</x:f>
        <x:v>0.13461538461538464</x:v>
      </x:c>
      <x:c r="V705" s="24" t="n">
        <x:f>IFERROR(F705/J705,0)-IFERROR(G705/K705,0)</x:f>
        <x:v>0.8</x:v>
      </x:c>
      <x:c r="W705" s="28" t="n">
        <x:f>L705-M705</x:f>
        <x:v>-4</x:v>
      </x:c>
      <x:c r="X705" s="24" t="n">
        <x:f>IFERROR(K705/I705,0)</x:f>
        <x:v>0.25</x:v>
      </x:c>
      <x:c r="Y705" s="24" t="n">
        <x:f>IFERROR(G705/I705,0)</x:f>
        <x:v>0</x:v>
      </x:c>
      <x:c r="Z705" s="24" t="n">
        <x:f>IFERROR(G705/K705,0)</x:f>
        <x:v>0</x:v>
      </x:c>
      <x:c r="AA705" s="24" t="n">
        <x:f>IFERROR(F705/H705,0)-IFERROR(G705/I705,0)</x:f>
        <x:v>0.3076923076923077</x:v>
      </x:c>
      <x:c r="AB705" s="28" t="n">
        <x:f>J705-K705</x:f>
        <x:v>3</x:v>
      </x:c>
      <x:c r="AC705" s="32" t="n">
        <x:f>F705-G705</x:f>
        <x:v>4</x:v>
      </x:c>
    </x:row>
    <x:row r="706">
      <x:c r="A706" s="4" t="str">
        <x:v>2021-22</x:v>
      </x:c>
      <x:c r="B706" s="20" t="n">
        <x:v>44691</x:v>
      </x:c>
      <x:c r="C706" s="4" t="str">
        <x:v>Aston Villa</x:v>
      </x:c>
      <x:c r="D706" s="4" t="str">
        <x:v>Liverpool</x:v>
      </x:c>
      <x:c r="E706" s="4" t="str">
        <x:v>Home</x:v>
      </x:c>
      <x:c r="F706" s="28" t="n">
        <x:v>1</x:v>
      </x:c>
      <x:c r="G706" s="28" t="n">
        <x:v>2</x:v>
      </x:c>
      <x:c r="H706" s="28" t="n">
        <x:v>9</x:v>
      </x:c>
      <x:c r="I706" s="28" t="n">
        <x:v>17</x:v>
      </x:c>
      <x:c r="J706" s="28" t="n">
        <x:v>4</x:v>
      </x:c>
      <x:c r="K706" s="28" t="n">
        <x:v>6</x:v>
      </x:c>
      <x:c r="L706" s="28" t="n">
        <x:v>2</x:v>
      </x:c>
      <x:c r="M706" s="28" t="n">
        <x:v>3</x:v>
      </x:c>
      <x:c r="N706" s="28" t="n">
        <x:v>0</x:v>
      </x:c>
      <x:c r="O706" s="28" t="n">
        <x:v>0</x:v>
      </x:c>
      <x:c r="P706" s="28" t="n">
        <x:v>0</x:v>
      </x:c>
      <x:c r="Q706" s="24" t="n">
        <x:f>IFERROR(J706/H706,0)</x:f>
        <x:v>0.4444444444444444</x:v>
      </x:c>
      <x:c r="R706" s="24" t="n">
        <x:f>IFERROR(F706/H706,0)</x:f>
        <x:v>0.1111111111111111</x:v>
      </x:c>
      <x:c r="S706" s="24" t="n">
        <x:f>IFERROR(F706/J706,0)</x:f>
        <x:v>0.25</x:v>
      </x:c>
      <x:c r="T706" s="28" t="n">
        <x:f>H706-I706</x:f>
        <x:v>-8</x:v>
      </x:c>
      <x:c r="U706" s="24" t="n">
        <x:f>IFERROR(J706/H706,0)-IFERROR(K706/I706,0)</x:f>
        <x:v>0.09150326797385616</x:v>
      </x:c>
      <x:c r="V706" s="24" t="n">
        <x:f>IFERROR(F706/J706,0)-IFERROR(G706/K706,0)</x:f>
        <x:v>-0.08333333333333331</x:v>
      </x:c>
      <x:c r="W706" s="28" t="n">
        <x:f>L706-M706</x:f>
        <x:v>-1</x:v>
      </x:c>
      <x:c r="X706" s="24" t="n">
        <x:f>IFERROR(K706/I706,0)</x:f>
        <x:v>0.35294117647058826</x:v>
      </x:c>
      <x:c r="Y706" s="24" t="n">
        <x:f>IFERROR(G706/I706,0)</x:f>
        <x:v>0.11764705882352941</x:v>
      </x:c>
      <x:c r="Z706" s="24" t="n">
        <x:f>IFERROR(G706/K706,0)</x:f>
        <x:v>0.3333333333333333</x:v>
      </x:c>
      <x:c r="AA706" s="24" t="n">
        <x:f>IFERROR(F706/H706,0)-IFERROR(G706/I706,0)</x:f>
        <x:v>-0.006535947712418305</x:v>
      </x:c>
      <x:c r="AB706" s="28" t="n">
        <x:f>J706-K706</x:f>
        <x:v>-2</x:v>
      </x:c>
      <x:c r="AC706" s="32" t="n">
        <x:f>F706-G706</x:f>
        <x:v>-1</x:v>
      </x:c>
    </x:row>
    <x:row r="707">
      <x:c r="A707" s="4" t="str">
        <x:v>2021-22</x:v>
      </x:c>
      <x:c r="B707" s="20" t="n">
        <x:v>44691</x:v>
      </x:c>
      <x:c r="C707" s="4" t="str">
        <x:v>Liverpool</x:v>
      </x:c>
      <x:c r="D707" s="4" t="str">
        <x:v>Aston Villa</x:v>
      </x:c>
      <x:c r="E707" s="4" t="str">
        <x:v>Away</x:v>
      </x:c>
      <x:c r="F707" s="28" t="n">
        <x:v>2</x:v>
      </x:c>
      <x:c r="G707" s="28" t="n">
        <x:v>1</x:v>
      </x:c>
      <x:c r="H707" s="28" t="n">
        <x:v>17</x:v>
      </x:c>
      <x:c r="I707" s="28" t="n">
        <x:v>9</x:v>
      </x:c>
      <x:c r="J707" s="28" t="n">
        <x:v>6</x:v>
      </x:c>
      <x:c r="K707" s="28" t="n">
        <x:v>4</x:v>
      </x:c>
      <x:c r="L707" s="28" t="n">
        <x:v>3</x:v>
      </x:c>
      <x:c r="M707" s="28" t="n">
        <x:v>2</x:v>
      </x:c>
      <x:c r="N707" s="28" t="n">
        <x:v>0</x:v>
      </x:c>
      <x:c r="O707" s="28" t="n">
        <x:v>0</x:v>
      </x:c>
      <x:c r="P707" s="28" t="n">
        <x:v>3</x:v>
      </x:c>
      <x:c r="Q707" s="24" t="n">
        <x:f>IFERROR(J707/H707,0)</x:f>
        <x:v>0.35294117647058826</x:v>
      </x:c>
      <x:c r="R707" s="24" t="n">
        <x:f>IFERROR(F707/H707,0)</x:f>
        <x:v>0.11764705882352941</x:v>
      </x:c>
      <x:c r="S707" s="24" t="n">
        <x:f>IFERROR(F707/J707,0)</x:f>
        <x:v>0.3333333333333333</x:v>
      </x:c>
      <x:c r="T707" s="28" t="n">
        <x:f>H707-I707</x:f>
        <x:v>8</x:v>
      </x:c>
      <x:c r="U707" s="24" t="n">
        <x:f>IFERROR(J707/H707,0)-IFERROR(K707/I707,0)</x:f>
        <x:v>-0.09150326797385616</x:v>
      </x:c>
      <x:c r="V707" s="24" t="n">
        <x:f>IFERROR(F707/J707,0)-IFERROR(G707/K707,0)</x:f>
        <x:v>0.08333333333333331</x:v>
      </x:c>
      <x:c r="W707" s="28" t="n">
        <x:f>L707-M707</x:f>
        <x:v>1</x:v>
      </x:c>
      <x:c r="X707" s="24" t="n">
        <x:f>IFERROR(K707/I707,0)</x:f>
        <x:v>0.4444444444444444</x:v>
      </x:c>
      <x:c r="Y707" s="24" t="n">
        <x:f>IFERROR(G707/I707,0)</x:f>
        <x:v>0.1111111111111111</x:v>
      </x:c>
      <x:c r="Z707" s="24" t="n">
        <x:f>IFERROR(G707/K707,0)</x:f>
        <x:v>0.25</x:v>
      </x:c>
      <x:c r="AA707" s="24" t="n">
        <x:f>IFERROR(F707/H707,0)-IFERROR(G707/I707,0)</x:f>
        <x:v>0.006535947712418305</x:v>
      </x:c>
      <x:c r="AB707" s="28" t="n">
        <x:f>J707-K707</x:f>
        <x:v>2</x:v>
      </x:c>
      <x:c r="AC707" s="32" t="n">
        <x:f>F707-G707</x:f>
        <x:v>1</x:v>
      </x:c>
    </x:row>
    <x:row r="708">
      <x:c r="A708" s="4" t="str">
        <x:v>2021-22</x:v>
      </x:c>
      <x:c r="B708" s="20" t="n">
        <x:v>44692</x:v>
      </x:c>
      <x:c r="C708" s="4" t="str">
        <x:v>Chelsea</x:v>
      </x:c>
      <x:c r="D708" s="4" t="str">
        <x:v>Leeds</x:v>
      </x:c>
      <x:c r="E708" s="4" t="str">
        <x:v>Away</x:v>
      </x:c>
      <x:c r="F708" s="28" t="n">
        <x:v>3</x:v>
      </x:c>
      <x:c r="G708" s="28" t="n">
        <x:v>0</x:v>
      </x:c>
      <x:c r="H708" s="28" t="n">
        <x:v>17</x:v>
      </x:c>
      <x:c r="I708" s="28" t="n">
        <x:v>5</x:v>
      </x:c>
      <x:c r="J708" s="28" t="n">
        <x:v>4</x:v>
      </x:c>
      <x:c r="K708" s="28" t="n">
        <x:v>0</x:v>
      </x:c>
      <x:c r="L708" s="28" t="n">
        <x:v>5</x:v>
      </x:c>
      <x:c r="M708" s="28" t="n">
        <x:v>1</x:v>
      </x:c>
      <x:c r="N708" s="28" t="n">
        <x:v>0</x:v>
      </x:c>
      <x:c r="O708" s="28" t="n">
        <x:v>0</x:v>
      </x:c>
      <x:c r="P708" s="28" t="n">
        <x:v>3</x:v>
      </x:c>
      <x:c r="Q708" s="24" t="n">
        <x:f>IFERROR(J708/H708,0)</x:f>
        <x:v>0.23529411764705882</x:v>
      </x:c>
      <x:c r="R708" s="24" t="n">
        <x:f>IFERROR(F708/H708,0)</x:f>
        <x:v>0.17647058823529413</x:v>
      </x:c>
      <x:c r="S708" s="24" t="n">
        <x:f>IFERROR(F708/J708,0)</x:f>
        <x:v>0.75</x:v>
      </x:c>
      <x:c r="T708" s="28" t="n">
        <x:f>H708-I708</x:f>
        <x:v>12</x:v>
      </x:c>
      <x:c r="U708" s="24" t="n">
        <x:f>IFERROR(J708/H708,0)-IFERROR(K708/I708,0)</x:f>
        <x:v>0.23529411764705882</x:v>
      </x:c>
      <x:c r="V708" s="24" t="n">
        <x:f>IFERROR(F708/J708,0)-IFERROR(G708/K708,0)</x:f>
        <x:v>0.75</x:v>
      </x:c>
      <x:c r="W708" s="28" t="n">
        <x:f>L708-M708</x:f>
        <x:v>4</x:v>
      </x:c>
      <x:c r="X708" s="24" t="n">
        <x:f>IFERROR(K708/I708,0)</x:f>
        <x:v>0</x:v>
      </x:c>
      <x:c r="Y708" s="24" t="n">
        <x:f>IFERROR(G708/I708,0)</x:f>
        <x:v>0</x:v>
      </x:c>
      <x:c r="Z708" s="24" t="n">
        <x:f>IFERROR(G708/K708,0)</x:f>
        <x:v>0</x:v>
      </x:c>
      <x:c r="AA708" s="24" t="n">
        <x:f>IFERROR(F708/H708,0)-IFERROR(G708/I708,0)</x:f>
        <x:v>0.17647058823529413</x:v>
      </x:c>
      <x:c r="AB708" s="28" t="n">
        <x:f>J708-K708</x:f>
        <x:v>4</x:v>
      </x:c>
      <x:c r="AC708" s="32" t="n">
        <x:f>F708-G708</x:f>
        <x:v>3</x:v>
      </x:c>
    </x:row>
    <x:row r="709">
      <x:c r="A709" s="4" t="str">
        <x:v>2021-22</x:v>
      </x:c>
      <x:c r="B709" s="20" t="n">
        <x:v>44692</x:v>
      </x:c>
      <x:c r="C709" s="4" t="str">
        <x:v>Everton</x:v>
      </x:c>
      <x:c r="D709" s="4" t="str">
        <x:v>Watford</x:v>
      </x:c>
      <x:c r="E709" s="4" t="str">
        <x:v>Away</x:v>
      </x:c>
      <x:c r="F709" s="28" t="n">
        <x:v>0</x:v>
      </x:c>
      <x:c r="G709" s="28" t="n">
        <x:v>0</x:v>
      </x:c>
      <x:c r="H709" s="28" t="n">
        <x:v>16</x:v>
      </x:c>
      <x:c r="I709" s="28" t="n">
        <x:v>6</x:v>
      </x:c>
      <x:c r="J709" s="28" t="n">
        <x:v>5</x:v>
      </x:c>
      <x:c r="K709" s="28" t="n">
        <x:v>0</x:v>
      </x:c>
      <x:c r="L709" s="28" t="n">
        <x:v>13</x:v>
      </x:c>
      <x:c r="M709" s="28" t="n">
        <x:v>1</x:v>
      </x:c>
      <x:c r="N709" s="28" t="n">
        <x:v>2</x:v>
      </x:c>
      <x:c r="O709" s="28" t="n">
        <x:v>0</x:v>
      </x:c>
      <x:c r="P709" s="28" t="n">
        <x:v>1</x:v>
      </x:c>
      <x:c r="Q709" s="24" t="n">
        <x:f>IFERROR(J709/H709,0)</x:f>
        <x:v>0.3125</x:v>
      </x:c>
      <x:c r="R709" s="24" t="n">
        <x:f>IFERROR(F709/H709,0)</x:f>
        <x:v>0</x:v>
      </x:c>
      <x:c r="S709" s="24" t="n">
        <x:f>IFERROR(F709/J709,0)</x:f>
        <x:v>0</x:v>
      </x:c>
      <x:c r="T709" s="28" t="n">
        <x:f>H709-I709</x:f>
        <x:v>10</x:v>
      </x:c>
      <x:c r="U709" s="24" t="n">
        <x:f>IFERROR(J709/H709,0)-IFERROR(K709/I709,0)</x:f>
        <x:v>0.3125</x:v>
      </x:c>
      <x:c r="V709" s="24" t="n">
        <x:f>IFERROR(F709/J709,0)-IFERROR(G709/K709,0)</x:f>
        <x:v>0</x:v>
      </x:c>
      <x:c r="W709" s="28" t="n">
        <x:f>L709-M709</x:f>
        <x:v>12</x:v>
      </x:c>
      <x:c r="X709" s="24" t="n">
        <x:f>IFERROR(K709/I709,0)</x:f>
        <x:v>0</x:v>
      </x:c>
      <x:c r="Y709" s="24" t="n">
        <x:f>IFERROR(G709/I709,0)</x:f>
        <x:v>0</x:v>
      </x:c>
      <x:c r="Z709" s="24" t="n">
        <x:f>IFERROR(G709/K709,0)</x:f>
        <x:v>0</x:v>
      </x:c>
      <x:c r="AA709" s="24" t="n">
        <x:f>IFERROR(F709/H709,0)-IFERROR(G709/I709,0)</x:f>
        <x:v>0</x:v>
      </x:c>
      <x:c r="AB709" s="28" t="n">
        <x:f>J709-K709</x:f>
        <x:v>5</x:v>
      </x:c>
      <x:c r="AC709" s="32" t="n">
        <x:f>F709-G709</x:f>
        <x:v>0</x:v>
      </x:c>
    </x:row>
    <x:row r="710">
      <x:c r="A710" s="4" t="str">
        <x:v>2021-22</x:v>
      </x:c>
      <x:c r="B710" s="20" t="n">
        <x:v>44692</x:v>
      </x:c>
      <x:c r="C710" s="4" t="str">
        <x:v>Leeds</x:v>
      </x:c>
      <x:c r="D710" s="4" t="str">
        <x:v>Chelsea</x:v>
      </x:c>
      <x:c r="E710" s="4" t="str">
        <x:v>Home</x:v>
      </x:c>
      <x:c r="F710" s="28" t="n">
        <x:v>0</x:v>
      </x:c>
      <x:c r="G710" s="28" t="n">
        <x:v>3</x:v>
      </x:c>
      <x:c r="H710" s="28" t="n">
        <x:v>5</x:v>
      </x:c>
      <x:c r="I710" s="28" t="n">
        <x:v>17</x:v>
      </x:c>
      <x:c r="J710" s="28" t="n">
        <x:v>0</x:v>
      </x:c>
      <x:c r="K710" s="28" t="n">
        <x:v>4</x:v>
      </x:c>
      <x:c r="L710" s="28" t="n">
        <x:v>1</x:v>
      </x:c>
      <x:c r="M710" s="28" t="n">
        <x:v>5</x:v>
      </x:c>
      <x:c r="N710" s="28" t="n">
        <x:v>1</x:v>
      </x:c>
      <x:c r="O710" s="28" t="n">
        <x:v>1</x:v>
      </x:c>
      <x:c r="P710" s="28" t="n">
        <x:v>0</x:v>
      </x:c>
      <x:c r="Q710" s="24" t="n">
        <x:f>IFERROR(J710/H710,0)</x:f>
        <x:v>0</x:v>
      </x:c>
      <x:c r="R710" s="24" t="n">
        <x:f>IFERROR(F710/H710,0)</x:f>
        <x:v>0</x:v>
      </x:c>
      <x:c r="S710" s="24" t="n">
        <x:f>IFERROR(F710/J710,0)</x:f>
        <x:v>0</x:v>
      </x:c>
      <x:c r="T710" s="28" t="n">
        <x:f>H710-I710</x:f>
        <x:v>-12</x:v>
      </x:c>
      <x:c r="U710" s="24" t="n">
        <x:f>IFERROR(J710/H710,0)-IFERROR(K710/I710,0)</x:f>
        <x:v>-0.23529411764705882</x:v>
      </x:c>
      <x:c r="V710" s="24" t="n">
        <x:f>IFERROR(F710/J710,0)-IFERROR(G710/K710,0)</x:f>
        <x:v>-0.75</x:v>
      </x:c>
      <x:c r="W710" s="28" t="n">
        <x:f>L710-M710</x:f>
        <x:v>-4</x:v>
      </x:c>
      <x:c r="X710" s="24" t="n">
        <x:f>IFERROR(K710/I710,0)</x:f>
        <x:v>0.23529411764705882</x:v>
      </x:c>
      <x:c r="Y710" s="24" t="n">
        <x:f>IFERROR(G710/I710,0)</x:f>
        <x:v>0.17647058823529413</x:v>
      </x:c>
      <x:c r="Z710" s="24" t="n">
        <x:f>IFERROR(G710/K710,0)</x:f>
        <x:v>0.75</x:v>
      </x:c>
      <x:c r="AA710" s="24" t="n">
        <x:f>IFERROR(F710/H710,0)-IFERROR(G710/I710,0)</x:f>
        <x:v>-0.17647058823529413</x:v>
      </x:c>
      <x:c r="AB710" s="28" t="n">
        <x:f>J710-K710</x:f>
        <x:v>-4</x:v>
      </x:c>
      <x:c r="AC710" s="32" t="n">
        <x:f>F710-G710</x:f>
        <x:v>-3</x:v>
      </x:c>
    </x:row>
    <x:row r="711">
      <x:c r="A711" s="4" t="str">
        <x:v>2021-22</x:v>
      </x:c>
      <x:c r="B711" s="20" t="n">
        <x:v>44692</x:v>
      </x:c>
      <x:c r="C711" s="4" t="str">
        <x:v>Leicester</x:v>
      </x:c>
      <x:c r="D711" s="4" t="str">
        <x:v>Norwich</x:v>
      </x:c>
      <x:c r="E711" s="4" t="str">
        <x:v>Home</x:v>
      </x:c>
      <x:c r="F711" s="28" t="n">
        <x:v>3</x:v>
      </x:c>
      <x:c r="G711" s="28" t="n">
        <x:v>0</x:v>
      </x:c>
      <x:c r="H711" s="28" t="n">
        <x:v>20</x:v>
      </x:c>
      <x:c r="I711" s="28" t="n">
        <x:v>9</x:v>
      </x:c>
      <x:c r="J711" s="28" t="n">
        <x:v>8</x:v>
      </x:c>
      <x:c r="K711" s="28" t="n">
        <x:v>5</x:v>
      </x:c>
      <x:c r="L711" s="28" t="n">
        <x:v>10</x:v>
      </x:c>
      <x:c r="M711" s="28" t="n">
        <x:v>2</x:v>
      </x:c>
      <x:c r="N711" s="28" t="n">
        <x:v>0</x:v>
      </x:c>
      <x:c r="O711" s="28" t="n">
        <x:v>0</x:v>
      </x:c>
      <x:c r="P711" s="28" t="n">
        <x:v>3</x:v>
      </x:c>
      <x:c r="Q711" s="24" t="n">
        <x:f>IFERROR(J711/H711,0)</x:f>
        <x:v>0.4</x:v>
      </x:c>
      <x:c r="R711" s="24" t="n">
        <x:f>IFERROR(F711/H711,0)</x:f>
        <x:v>0.15</x:v>
      </x:c>
      <x:c r="S711" s="24" t="n">
        <x:f>IFERROR(F711/J711,0)</x:f>
        <x:v>0.375</x:v>
      </x:c>
      <x:c r="T711" s="28" t="n">
        <x:f>H711-I711</x:f>
        <x:v>11</x:v>
      </x:c>
      <x:c r="U711" s="24" t="n">
        <x:f>IFERROR(J711/H711,0)-IFERROR(K711/I711,0)</x:f>
        <x:v>-0.15555555555555556</x:v>
      </x:c>
      <x:c r="V711" s="24" t="n">
        <x:f>IFERROR(F711/J711,0)-IFERROR(G711/K711,0)</x:f>
        <x:v>0.375</x:v>
      </x:c>
      <x:c r="W711" s="28" t="n">
        <x:f>L711-M711</x:f>
        <x:v>8</x:v>
      </x:c>
      <x:c r="X711" s="24" t="n">
        <x:f>IFERROR(K711/I711,0)</x:f>
        <x:v>0.5555555555555556</x:v>
      </x:c>
      <x:c r="Y711" s="24" t="n">
        <x:f>IFERROR(G711/I711,0)</x:f>
        <x:v>0</x:v>
      </x:c>
      <x:c r="Z711" s="24" t="n">
        <x:f>IFERROR(G711/K711,0)</x:f>
        <x:v>0</x:v>
      </x:c>
      <x:c r="AA711" s="24" t="n">
        <x:f>IFERROR(F711/H711,0)-IFERROR(G711/I711,0)</x:f>
        <x:v>0.15</x:v>
      </x:c>
      <x:c r="AB711" s="28" t="n">
        <x:f>J711-K711</x:f>
        <x:v>3</x:v>
      </x:c>
      <x:c r="AC711" s="32" t="n">
        <x:f>F711-G711</x:f>
        <x:v>3</x:v>
      </x:c>
    </x:row>
    <x:row r="712">
      <x:c r="A712" s="4" t="str">
        <x:v>2021-22</x:v>
      </x:c>
      <x:c r="B712" s="20" t="n">
        <x:v>44692</x:v>
      </x:c>
      <x:c r="C712" s="4" t="str">
        <x:v>Man City</x:v>
      </x:c>
      <x:c r="D712" s="4" t="str">
        <x:v>Wolves</x:v>
      </x:c>
      <x:c r="E712" s="4" t="str">
        <x:v>Away</x:v>
      </x:c>
      <x:c r="F712" s="28" t="n">
        <x:v>5</x:v>
      </x:c>
      <x:c r="G712" s="28" t="n">
        <x:v>1</x:v>
      </x:c>
      <x:c r="H712" s="28" t="n">
        <x:v>16</x:v>
      </x:c>
      <x:c r="I712" s="28" t="n">
        <x:v>7</x:v>
      </x:c>
      <x:c r="J712" s="28" t="n">
        <x:v>5</x:v>
      </x:c>
      <x:c r="K712" s="28" t="n">
        <x:v>3</x:v>
      </x:c>
      <x:c r="L712" s="28" t="n">
        <x:v>2</x:v>
      </x:c>
      <x:c r="M712" s="28" t="n">
        <x:v>6</x:v>
      </x:c>
      <x:c r="N712" s="28" t="n">
        <x:v>1</x:v>
      </x:c>
      <x:c r="O712" s="28" t="n">
        <x:v>0</x:v>
      </x:c>
      <x:c r="P712" s="28" t="n">
        <x:v>3</x:v>
      </x:c>
      <x:c r="Q712" s="24" t="n">
        <x:f>IFERROR(J712/H712,0)</x:f>
        <x:v>0.3125</x:v>
      </x:c>
      <x:c r="R712" s="24" t="n">
        <x:f>IFERROR(F712/H712,0)</x:f>
        <x:v>0.3125</x:v>
      </x:c>
      <x:c r="S712" s="24" t="n">
        <x:f>IFERROR(F712/J712,0)</x:f>
        <x:v>1</x:v>
      </x:c>
      <x:c r="T712" s="28" t="n">
        <x:f>H712-I712</x:f>
        <x:v>9</x:v>
      </x:c>
      <x:c r="U712" s="24" t="n">
        <x:f>IFERROR(J712/H712,0)-IFERROR(K712/I712,0)</x:f>
        <x:v>-0.11607142857142855</x:v>
      </x:c>
      <x:c r="V712" s="24" t="n">
        <x:f>IFERROR(F712/J712,0)-IFERROR(G712/K712,0)</x:f>
        <x:v>0.6666666666666667</x:v>
      </x:c>
      <x:c r="W712" s="28" t="n">
        <x:f>L712-M712</x:f>
        <x:v>-4</x:v>
      </x:c>
      <x:c r="X712" s="24" t="n">
        <x:f>IFERROR(K712/I712,0)</x:f>
        <x:v>0.42857142857142855</x:v>
      </x:c>
      <x:c r="Y712" s="24" t="n">
        <x:f>IFERROR(G712/I712,0)</x:f>
        <x:v>0.14285714285714285</x:v>
      </x:c>
      <x:c r="Z712" s="24" t="n">
        <x:f>IFERROR(G712/K712,0)</x:f>
        <x:v>0.3333333333333333</x:v>
      </x:c>
      <x:c r="AA712" s="24" t="n">
        <x:f>IFERROR(F712/H712,0)-IFERROR(G712/I712,0)</x:f>
        <x:v>0.16964285714285715</x:v>
      </x:c>
      <x:c r="AB712" s="28" t="n">
        <x:f>J712-K712</x:f>
        <x:v>2</x:v>
      </x:c>
      <x:c r="AC712" s="32" t="n">
        <x:f>F712-G712</x:f>
        <x:v>4</x:v>
      </x:c>
    </x:row>
    <x:row r="713">
      <x:c r="A713" s="4" t="str">
        <x:v>2021-22</x:v>
      </x:c>
      <x:c r="B713" s="20" t="n">
        <x:v>44692</x:v>
      </x:c>
      <x:c r="C713" s="4" t="str">
        <x:v>Norwich</x:v>
      </x:c>
      <x:c r="D713" s="4" t="str">
        <x:v>Leicester</x:v>
      </x:c>
      <x:c r="E713" s="4" t="str">
        <x:v>Away</x:v>
      </x:c>
      <x:c r="F713" s="28" t="n">
        <x:v>0</x:v>
      </x:c>
      <x:c r="G713" s="28" t="n">
        <x:v>3</x:v>
      </x:c>
      <x:c r="H713" s="28" t="n">
        <x:v>9</x:v>
      </x:c>
      <x:c r="I713" s="28" t="n">
        <x:v>20</x:v>
      </x:c>
      <x:c r="J713" s="28" t="n">
        <x:v>5</x:v>
      </x:c>
      <x:c r="K713" s="28" t="n">
        <x:v>8</x:v>
      </x:c>
      <x:c r="L713" s="28" t="n">
        <x:v>2</x:v>
      </x:c>
      <x:c r="M713" s="28" t="n">
        <x:v>10</x:v>
      </x:c>
      <x:c r="N713" s="28" t="n">
        <x:v>0</x:v>
      </x:c>
      <x:c r="O713" s="28" t="n">
        <x:v>0</x:v>
      </x:c>
      <x:c r="P713" s="28" t="n">
        <x:v>0</x:v>
      </x:c>
      <x:c r="Q713" s="24" t="n">
        <x:f>IFERROR(J713/H713,0)</x:f>
        <x:v>0.5555555555555556</x:v>
      </x:c>
      <x:c r="R713" s="24" t="n">
        <x:f>IFERROR(F713/H713,0)</x:f>
        <x:v>0</x:v>
      </x:c>
      <x:c r="S713" s="24" t="n">
        <x:f>IFERROR(F713/J713,0)</x:f>
        <x:v>0</x:v>
      </x:c>
      <x:c r="T713" s="28" t="n">
        <x:f>H713-I713</x:f>
        <x:v>-11</x:v>
      </x:c>
      <x:c r="U713" s="24" t="n">
        <x:f>IFERROR(J713/H713,0)-IFERROR(K713/I713,0)</x:f>
        <x:v>0.15555555555555556</x:v>
      </x:c>
      <x:c r="V713" s="24" t="n">
        <x:f>IFERROR(F713/J713,0)-IFERROR(G713/K713,0)</x:f>
        <x:v>-0.375</x:v>
      </x:c>
      <x:c r="W713" s="28" t="n">
        <x:f>L713-M713</x:f>
        <x:v>-8</x:v>
      </x:c>
      <x:c r="X713" s="24" t="n">
        <x:f>IFERROR(K713/I713,0)</x:f>
        <x:v>0.4</x:v>
      </x:c>
      <x:c r="Y713" s="24" t="n">
        <x:f>IFERROR(G713/I713,0)</x:f>
        <x:v>0.15</x:v>
      </x:c>
      <x:c r="Z713" s="24" t="n">
        <x:f>IFERROR(G713/K713,0)</x:f>
        <x:v>0.375</x:v>
      </x:c>
      <x:c r="AA713" s="24" t="n">
        <x:f>IFERROR(F713/H713,0)-IFERROR(G713/I713,0)</x:f>
        <x:v>-0.15</x:v>
      </x:c>
      <x:c r="AB713" s="28" t="n">
        <x:f>J713-K713</x:f>
        <x:v>-3</x:v>
      </x:c>
      <x:c r="AC713" s="32" t="n">
        <x:f>F713-G713</x:f>
        <x:v>-3</x:v>
      </x:c>
    </x:row>
    <x:row r="714">
      <x:c r="A714" s="4" t="str">
        <x:v>2021-22</x:v>
      </x:c>
      <x:c r="B714" s="20" t="n">
        <x:v>44692</x:v>
      </x:c>
      <x:c r="C714" s="4" t="str">
        <x:v>Watford</x:v>
      </x:c>
      <x:c r="D714" s="4" t="str">
        <x:v>Everton</x:v>
      </x:c>
      <x:c r="E714" s="4" t="str">
        <x:v>Home</x:v>
      </x:c>
      <x:c r="F714" s="28" t="n">
        <x:v>0</x:v>
      </x:c>
      <x:c r="G714" s="28" t="n">
        <x:v>0</x:v>
      </x:c>
      <x:c r="H714" s="28" t="n">
        <x:v>6</x:v>
      </x:c>
      <x:c r="I714" s="28" t="n">
        <x:v>16</x:v>
      </x:c>
      <x:c r="J714" s="28" t="n">
        <x:v>0</x:v>
      </x:c>
      <x:c r="K714" s="28" t="n">
        <x:v>5</x:v>
      </x:c>
      <x:c r="L714" s="28" t="n">
        <x:v>1</x:v>
      </x:c>
      <x:c r="M714" s="28" t="n">
        <x:v>13</x:v>
      </x:c>
      <x:c r="N714" s="28" t="n">
        <x:v>1</x:v>
      </x:c>
      <x:c r="O714" s="28" t="n">
        <x:v>0</x:v>
      </x:c>
      <x:c r="P714" s="28" t="n">
        <x:v>1</x:v>
      </x:c>
      <x:c r="Q714" s="24" t="n">
        <x:f>IFERROR(J714/H714,0)</x:f>
        <x:v>0</x:v>
      </x:c>
      <x:c r="R714" s="24" t="n">
        <x:f>IFERROR(F714/H714,0)</x:f>
        <x:v>0</x:v>
      </x:c>
      <x:c r="S714" s="24" t="n">
        <x:f>IFERROR(F714/J714,0)</x:f>
        <x:v>0</x:v>
      </x:c>
      <x:c r="T714" s="28" t="n">
        <x:f>H714-I714</x:f>
        <x:v>-10</x:v>
      </x:c>
      <x:c r="U714" s="24" t="n">
        <x:f>IFERROR(J714/H714,0)-IFERROR(K714/I714,0)</x:f>
        <x:v>-0.3125</x:v>
      </x:c>
      <x:c r="V714" s="24" t="n">
        <x:f>IFERROR(F714/J714,0)-IFERROR(G714/K714,0)</x:f>
        <x:v>0</x:v>
      </x:c>
      <x:c r="W714" s="28" t="n">
        <x:f>L714-M714</x:f>
        <x:v>-12</x:v>
      </x:c>
      <x:c r="X714" s="24" t="n">
        <x:f>IFERROR(K714/I714,0)</x:f>
        <x:v>0.3125</x:v>
      </x:c>
      <x:c r="Y714" s="24" t="n">
        <x:f>IFERROR(G714/I714,0)</x:f>
        <x:v>0</x:v>
      </x:c>
      <x:c r="Z714" s="24" t="n">
        <x:f>IFERROR(G714/K714,0)</x:f>
        <x:v>0</x:v>
      </x:c>
      <x:c r="AA714" s="24" t="n">
        <x:f>IFERROR(F714/H714,0)-IFERROR(G714/I714,0)</x:f>
        <x:v>0</x:v>
      </x:c>
      <x:c r="AB714" s="28" t="n">
        <x:f>J714-K714</x:f>
        <x:v>-5</x:v>
      </x:c>
      <x:c r="AC714" s="32" t="n">
        <x:f>F714-G714</x:f>
        <x:v>0</x:v>
      </x:c>
    </x:row>
    <x:row r="715">
      <x:c r="A715" s="4" t="str">
        <x:v>2021-22</x:v>
      </x:c>
      <x:c r="B715" s="20" t="n">
        <x:v>44692</x:v>
      </x:c>
      <x:c r="C715" s="4" t="str">
        <x:v>Wolves</x:v>
      </x:c>
      <x:c r="D715" s="4" t="str">
        <x:v>Man City</x:v>
      </x:c>
      <x:c r="E715" s="4" t="str">
        <x:v>Home</x:v>
      </x:c>
      <x:c r="F715" s="28" t="n">
        <x:v>1</x:v>
      </x:c>
      <x:c r="G715" s="28" t="n">
        <x:v>5</x:v>
      </x:c>
      <x:c r="H715" s="28" t="n">
        <x:v>7</x:v>
      </x:c>
      <x:c r="I715" s="28" t="n">
        <x:v>16</x:v>
      </x:c>
      <x:c r="J715" s="28" t="n">
        <x:v>3</x:v>
      </x:c>
      <x:c r="K715" s="28" t="n">
        <x:v>5</x:v>
      </x:c>
      <x:c r="L715" s="28" t="n">
        <x:v>6</x:v>
      </x:c>
      <x:c r="M715" s="28" t="n">
        <x:v>2</x:v>
      </x:c>
      <x:c r="N715" s="28" t="n">
        <x:v>0</x:v>
      </x:c>
      <x:c r="O715" s="28" t="n">
        <x:v>0</x:v>
      </x:c>
      <x:c r="P715" s="28" t="n">
        <x:v>0</x:v>
      </x:c>
      <x:c r="Q715" s="24" t="n">
        <x:f>IFERROR(J715/H715,0)</x:f>
        <x:v>0.42857142857142855</x:v>
      </x:c>
      <x:c r="R715" s="24" t="n">
        <x:f>IFERROR(F715/H715,0)</x:f>
        <x:v>0.14285714285714285</x:v>
      </x:c>
      <x:c r="S715" s="24" t="n">
        <x:f>IFERROR(F715/J715,0)</x:f>
        <x:v>0.3333333333333333</x:v>
      </x:c>
      <x:c r="T715" s="28" t="n">
        <x:f>H715-I715</x:f>
        <x:v>-9</x:v>
      </x:c>
      <x:c r="U715" s="24" t="n">
        <x:f>IFERROR(J715/H715,0)-IFERROR(K715/I715,0)</x:f>
        <x:v>0.11607142857142855</x:v>
      </x:c>
      <x:c r="V715" s="24" t="n">
        <x:f>IFERROR(F715/J715,0)-IFERROR(G715/K715,0)</x:f>
        <x:v>-0.6666666666666667</x:v>
      </x:c>
      <x:c r="W715" s="28" t="n">
        <x:f>L715-M715</x:f>
        <x:v>4</x:v>
      </x:c>
      <x:c r="X715" s="24" t="n">
        <x:f>IFERROR(K715/I715,0)</x:f>
        <x:v>0.3125</x:v>
      </x:c>
      <x:c r="Y715" s="24" t="n">
        <x:f>IFERROR(G715/I715,0)</x:f>
        <x:v>0.3125</x:v>
      </x:c>
      <x:c r="Z715" s="24" t="n">
        <x:f>IFERROR(G715/K715,0)</x:f>
        <x:v>1</x:v>
      </x:c>
      <x:c r="AA715" s="24" t="n">
        <x:f>IFERROR(F715/H715,0)-IFERROR(G715/I715,0)</x:f>
        <x:v>-0.16964285714285715</x:v>
      </x:c>
      <x:c r="AB715" s="28" t="n">
        <x:f>J715-K715</x:f>
        <x:v>-2</x:v>
      </x:c>
      <x:c r="AC715" s="32" t="n">
        <x:f>F715-G715</x:f>
        <x:v>-4</x:v>
      </x:c>
    </x:row>
    <x:row r="716">
      <x:c r="A716" s="4" t="str">
        <x:v>2021-22</x:v>
      </x:c>
      <x:c r="B716" s="20" t="n">
        <x:v>44693</x:v>
      </x:c>
      <x:c r="C716" s="4" t="str">
        <x:v>Arsenal</x:v>
      </x:c>
      <x:c r="D716" s="4" t="str">
        <x:v>Tottenham</x:v>
      </x:c>
      <x:c r="E716" s="4" t="str">
        <x:v>Away</x:v>
      </x:c>
      <x:c r="F716" s="28" t="n">
        <x:v>0</x:v>
      </x:c>
      <x:c r="G716" s="28" t="n">
        <x:v>3</x:v>
      </x:c>
      <x:c r="H716" s="28" t="n">
        <x:v>8</x:v>
      </x:c>
      <x:c r="I716" s="28" t="n">
        <x:v>16</x:v>
      </x:c>
      <x:c r="J716" s="28" t="n">
        <x:v>4</x:v>
      </x:c>
      <x:c r="K716" s="28" t="n">
        <x:v>6</x:v>
      </x:c>
      <x:c r="L716" s="28" t="n">
        <x:v>2</x:v>
      </x:c>
      <x:c r="M716" s="28" t="n">
        <x:v>2</x:v>
      </x:c>
      <x:c r="N716" s="28" t="n">
        <x:v>3</x:v>
      </x:c>
      <x:c r="O716" s="28" t="n">
        <x:v>1</x:v>
      </x:c>
      <x:c r="P716" s="28" t="n">
        <x:v>0</x:v>
      </x:c>
      <x:c r="Q716" s="24" t="n">
        <x:f>IFERROR(J716/H716,0)</x:f>
        <x:v>0.5</x:v>
      </x:c>
      <x:c r="R716" s="24" t="n">
        <x:f>IFERROR(F716/H716,0)</x:f>
        <x:v>0</x:v>
      </x:c>
      <x:c r="S716" s="24" t="n">
        <x:f>IFERROR(F716/J716,0)</x:f>
        <x:v>0</x:v>
      </x:c>
      <x:c r="T716" s="28" t="n">
        <x:f>H716-I716</x:f>
        <x:v>-8</x:v>
      </x:c>
      <x:c r="U716" s="24" t="n">
        <x:f>IFERROR(J716/H716,0)-IFERROR(K716/I716,0)</x:f>
        <x:v>0.125</x:v>
      </x:c>
      <x:c r="V716" s="24" t="n">
        <x:f>IFERROR(F716/J716,0)-IFERROR(G716/K716,0)</x:f>
        <x:v>-0.5</x:v>
      </x:c>
      <x:c r="W716" s="28" t="n">
        <x:f>L716-M716</x:f>
        <x:v>0</x:v>
      </x:c>
      <x:c r="X716" s="24" t="n">
        <x:f>IFERROR(K716/I716,0)</x:f>
        <x:v>0.375</x:v>
      </x:c>
      <x:c r="Y716" s="24" t="n">
        <x:f>IFERROR(G716/I716,0)</x:f>
        <x:v>0.1875</x:v>
      </x:c>
      <x:c r="Z716" s="24" t="n">
        <x:f>IFERROR(G716/K716,0)</x:f>
        <x:v>0.5</x:v>
      </x:c>
      <x:c r="AA716" s="24" t="n">
        <x:f>IFERROR(F716/H716,0)-IFERROR(G716/I716,0)</x:f>
        <x:v>-0.1875</x:v>
      </x:c>
      <x:c r="AB716" s="28" t="n">
        <x:f>J716-K716</x:f>
        <x:v>-2</x:v>
      </x:c>
      <x:c r="AC716" s="32" t="n">
        <x:f>F716-G716</x:f>
        <x:v>-3</x:v>
      </x:c>
    </x:row>
    <x:row r="717">
      <x:c r="A717" s="4" t="str">
        <x:v>2021-22</x:v>
      </x:c>
      <x:c r="B717" s="20" t="n">
        <x:v>44693</x:v>
      </x:c>
      <x:c r="C717" s="4" t="str">
        <x:v>Tottenham</x:v>
      </x:c>
      <x:c r="D717" s="4" t="str">
        <x:v>Arsenal</x:v>
      </x:c>
      <x:c r="E717" s="4" t="str">
        <x:v>Home</x:v>
      </x:c>
      <x:c r="F717" s="28" t="n">
        <x:v>3</x:v>
      </x:c>
      <x:c r="G717" s="28" t="n">
        <x:v>0</x:v>
      </x:c>
      <x:c r="H717" s="28" t="n">
        <x:v>16</x:v>
      </x:c>
      <x:c r="I717" s="28" t="n">
        <x:v>8</x:v>
      </x:c>
      <x:c r="J717" s="28" t="n">
        <x:v>6</x:v>
      </x:c>
      <x:c r="K717" s="28" t="n">
        <x:v>4</x:v>
      </x:c>
      <x:c r="L717" s="28" t="n">
        <x:v>2</x:v>
      </x:c>
      <x:c r="M717" s="28" t="n">
        <x:v>2</x:v>
      </x:c>
      <x:c r="N717" s="28" t="n">
        <x:v>1</x:v>
      </x:c>
      <x:c r="O717" s="28" t="n">
        <x:v>0</x:v>
      </x:c>
      <x:c r="P717" s="28" t="n">
        <x:v>3</x:v>
      </x:c>
      <x:c r="Q717" s="24" t="n">
        <x:f>IFERROR(J717/H717,0)</x:f>
        <x:v>0.375</x:v>
      </x:c>
      <x:c r="R717" s="24" t="n">
        <x:f>IFERROR(F717/H717,0)</x:f>
        <x:v>0.1875</x:v>
      </x:c>
      <x:c r="S717" s="24" t="n">
        <x:f>IFERROR(F717/J717,0)</x:f>
        <x:v>0.5</x:v>
      </x:c>
      <x:c r="T717" s="28" t="n">
        <x:f>H717-I717</x:f>
        <x:v>8</x:v>
      </x:c>
      <x:c r="U717" s="24" t="n">
        <x:f>IFERROR(J717/H717,0)-IFERROR(K717/I717,0)</x:f>
        <x:v>-0.125</x:v>
      </x:c>
      <x:c r="V717" s="24" t="n">
        <x:f>IFERROR(F717/J717,0)-IFERROR(G717/K717,0)</x:f>
        <x:v>0.5</x:v>
      </x:c>
      <x:c r="W717" s="28" t="n">
        <x:f>L717-M717</x:f>
        <x:v>0</x:v>
      </x:c>
      <x:c r="X717" s="24" t="n">
        <x:f>IFERROR(K717/I717,0)</x:f>
        <x:v>0.5</x:v>
      </x:c>
      <x:c r="Y717" s="24" t="n">
        <x:f>IFERROR(G717/I717,0)</x:f>
        <x:v>0</x:v>
      </x:c>
      <x:c r="Z717" s="24" t="n">
        <x:f>IFERROR(G717/K717,0)</x:f>
        <x:v>0</x:v>
      </x:c>
      <x:c r="AA717" s="24" t="n">
        <x:f>IFERROR(F717/H717,0)-IFERROR(G717/I717,0)</x:f>
        <x:v>0.1875</x:v>
      </x:c>
      <x:c r="AB717" s="28" t="n">
        <x:f>J717-K717</x:f>
        <x:v>2</x:v>
      </x:c>
      <x:c r="AC717" s="32" t="n">
        <x:f>F717-G717</x:f>
        <x:v>3</x:v>
      </x:c>
    </x:row>
    <x:row r="718">
      <x:c r="A718" s="4" t="str">
        <x:v>2021-22</x:v>
      </x:c>
      <x:c r="B718" s="20" t="n">
        <x:v>44696</x:v>
      </x:c>
      <x:c r="C718" s="4" t="str">
        <x:v>Aston Villa</x:v>
      </x:c>
      <x:c r="D718" s="4" t="str">
        <x:v>Crystal Palace</x:v>
      </x:c>
      <x:c r="E718" s="4" t="str">
        <x:v>Home</x:v>
      </x:c>
      <x:c r="F718" s="28" t="n">
        <x:v>1</x:v>
      </x:c>
      <x:c r="G718" s="28" t="n">
        <x:v>1</x:v>
      </x:c>
      <x:c r="H718" s="28" t="n">
        <x:v>13</x:v>
      </x:c>
      <x:c r="I718" s="28" t="n">
        <x:v>16</x:v>
      </x:c>
      <x:c r="J718" s="28" t="n">
        <x:v>4</x:v>
      </x:c>
      <x:c r="K718" s="28" t="n">
        <x:v>4</x:v>
      </x:c>
      <x:c r="L718" s="28" t="n">
        <x:v>1</x:v>
      </x:c>
      <x:c r="M718" s="28" t="n">
        <x:v>5</x:v>
      </x:c>
      <x:c r="N718" s="28" t="n">
        <x:v>1</x:v>
      </x:c>
      <x:c r="O718" s="28" t="n">
        <x:v>0</x:v>
      </x:c>
      <x:c r="P718" s="28" t="n">
        <x:v>1</x:v>
      </x:c>
      <x:c r="Q718" s="24" t="n">
        <x:f>IFERROR(J718/H718,0)</x:f>
        <x:v>0.3076923076923077</x:v>
      </x:c>
      <x:c r="R718" s="24" t="n">
        <x:f>IFERROR(F718/H718,0)</x:f>
        <x:v>0.07692307692307693</x:v>
      </x:c>
      <x:c r="S718" s="24" t="n">
        <x:f>IFERROR(F718/J718,0)</x:f>
        <x:v>0.25</x:v>
      </x:c>
      <x:c r="T718" s="28" t="n">
        <x:f>H718-I718</x:f>
        <x:v>-3</x:v>
      </x:c>
      <x:c r="U718" s="24" t="n">
        <x:f>IFERROR(J718/H718,0)-IFERROR(K718/I718,0)</x:f>
        <x:v>0.05769230769230771</x:v>
      </x:c>
      <x:c r="V718" s="24" t="n">
        <x:f>IFERROR(F718/J718,0)-IFERROR(G718/K718,0)</x:f>
        <x:v>0</x:v>
      </x:c>
      <x:c r="W718" s="28" t="n">
        <x:f>L718-M718</x:f>
        <x:v>-4</x:v>
      </x:c>
      <x:c r="X718" s="24" t="n">
        <x:f>IFERROR(K718/I718,0)</x:f>
        <x:v>0.25</x:v>
      </x:c>
      <x:c r="Y718" s="24" t="n">
        <x:f>IFERROR(G718/I718,0)</x:f>
        <x:v>0.0625</x:v>
      </x:c>
      <x:c r="Z718" s="24" t="n">
        <x:f>IFERROR(G718/K718,0)</x:f>
        <x:v>0.25</x:v>
      </x:c>
      <x:c r="AA718" s="24" t="n">
        <x:f>IFERROR(F718/H718,0)-IFERROR(G718/I718,0)</x:f>
        <x:v>0.014423076923076927</x:v>
      </x:c>
      <x:c r="AB718" s="28" t="n">
        <x:f>J718-K718</x:f>
        <x:v>0</x:v>
      </x:c>
      <x:c r="AC718" s="32" t="n">
        <x:f>F718-G718</x:f>
        <x:v>0</x:v>
      </x:c>
    </x:row>
    <x:row r="719">
      <x:c r="A719" s="4" t="str">
        <x:v>2021-22</x:v>
      </x:c>
      <x:c r="B719" s="20" t="n">
        <x:v>44696</x:v>
      </x:c>
      <x:c r="C719" s="4" t="str">
        <x:v>Brentford</x:v>
      </x:c>
      <x:c r="D719" s="4" t="str">
        <x:v>Everton</x:v>
      </x:c>
      <x:c r="E719" s="4" t="str">
        <x:v>Away</x:v>
      </x:c>
      <x:c r="F719" s="28" t="n">
        <x:v>3</x:v>
      </x:c>
      <x:c r="G719" s="28" t="n">
        <x:v>2</x:v>
      </x:c>
      <x:c r="H719" s="28" t="n">
        <x:v>18</x:v>
      </x:c>
      <x:c r="I719" s="28" t="n">
        <x:v>10</x:v>
      </x:c>
      <x:c r="J719" s="28" t="n">
        <x:v>7</x:v>
      </x:c>
      <x:c r="K719" s="28" t="n">
        <x:v>5</x:v>
      </x:c>
      <x:c r="L719" s="28" t="n">
        <x:v>2</x:v>
      </x:c>
      <x:c r="M719" s="28" t="n">
        <x:v>5</x:v>
      </x:c>
      <x:c r="N719" s="28" t="n">
        <x:v>3</x:v>
      </x:c>
      <x:c r="O719" s="28" t="n">
        <x:v>0</x:v>
      </x:c>
      <x:c r="P719" s="28" t="n">
        <x:v>3</x:v>
      </x:c>
      <x:c r="Q719" s="24" t="n">
        <x:f>IFERROR(J719/H719,0)</x:f>
        <x:v>0.3888888888888889</x:v>
      </x:c>
      <x:c r="R719" s="24" t="n">
        <x:f>IFERROR(F719/H719,0)</x:f>
        <x:v>0.16666666666666666</x:v>
      </x:c>
      <x:c r="S719" s="24" t="n">
        <x:f>IFERROR(F719/J719,0)</x:f>
        <x:v>0.42857142857142855</x:v>
      </x:c>
      <x:c r="T719" s="28" t="n">
        <x:f>H719-I719</x:f>
        <x:v>8</x:v>
      </x:c>
      <x:c r="U719" s="24" t="n">
        <x:f>IFERROR(J719/H719,0)-IFERROR(K719/I719,0)</x:f>
        <x:v>-0.1111111111111111</x:v>
      </x:c>
      <x:c r="V719" s="24" t="n">
        <x:f>IFERROR(F719/J719,0)-IFERROR(G719/K719,0)</x:f>
        <x:v>0.028571428571428525</x:v>
      </x:c>
      <x:c r="W719" s="28" t="n">
        <x:f>L719-M719</x:f>
        <x:v>-3</x:v>
      </x:c>
      <x:c r="X719" s="24" t="n">
        <x:f>IFERROR(K719/I719,0)</x:f>
        <x:v>0.5</x:v>
      </x:c>
      <x:c r="Y719" s="24" t="n">
        <x:f>IFERROR(G719/I719,0)</x:f>
        <x:v>0.2</x:v>
      </x:c>
      <x:c r="Z719" s="24" t="n">
        <x:f>IFERROR(G719/K719,0)</x:f>
        <x:v>0.4</x:v>
      </x:c>
      <x:c r="AA719" s="24" t="n">
        <x:f>IFERROR(F719/H719,0)-IFERROR(G719/I719,0)</x:f>
        <x:v>-0.033333333333333354</x:v>
      </x:c>
      <x:c r="AB719" s="28" t="n">
        <x:f>J719-K719</x:f>
        <x:v>2</x:v>
      </x:c>
      <x:c r="AC719" s="32" t="n">
        <x:f>F719-G719</x:f>
        <x:v>1</x:v>
      </x:c>
    </x:row>
    <x:row r="720">
      <x:c r="A720" s="4" t="str">
        <x:v>2021-22</x:v>
      </x:c>
      <x:c r="B720" s="20" t="n">
        <x:v>44696</x:v>
      </x:c>
      <x:c r="C720" s="4" t="str">
        <x:v>Brighton</x:v>
      </x:c>
      <x:c r="D720" s="4" t="str">
        <x:v>Leeds</x:v>
      </x:c>
      <x:c r="E720" s="4" t="str">
        <x:v>Away</x:v>
      </x:c>
      <x:c r="F720" s="28" t="n">
        <x:v>1</x:v>
      </x:c>
      <x:c r="G720" s="28" t="n">
        <x:v>1</x:v>
      </x:c>
      <x:c r="H720" s="28" t="n">
        <x:v>16</x:v>
      </x:c>
      <x:c r="I720" s="28" t="n">
        <x:v>19</x:v>
      </x:c>
      <x:c r="J720" s="28" t="n">
        <x:v>6</x:v>
      </x:c>
      <x:c r="K720" s="28" t="n">
        <x:v>5</x:v>
      </x:c>
      <x:c r="L720" s="28" t="n">
        <x:v>1</x:v>
      </x:c>
      <x:c r="M720" s="28" t="n">
        <x:v>8</x:v>
      </x:c>
      <x:c r="N720" s="28" t="n">
        <x:v>2</x:v>
      </x:c>
      <x:c r="O720" s="28" t="n">
        <x:v>0</x:v>
      </x:c>
      <x:c r="P720" s="28" t="n">
        <x:v>1</x:v>
      </x:c>
      <x:c r="Q720" s="24" t="n">
        <x:f>IFERROR(J720/H720,0)</x:f>
        <x:v>0.375</x:v>
      </x:c>
      <x:c r="R720" s="24" t="n">
        <x:f>IFERROR(F720/H720,0)</x:f>
        <x:v>0.0625</x:v>
      </x:c>
      <x:c r="S720" s="24" t="n">
        <x:f>IFERROR(F720/J720,0)</x:f>
        <x:v>0.16666666666666666</x:v>
      </x:c>
      <x:c r="T720" s="28" t="n">
        <x:f>H720-I720</x:f>
        <x:v>-3</x:v>
      </x:c>
      <x:c r="U720" s="24" t="n">
        <x:f>IFERROR(J720/H720,0)-IFERROR(K720/I720,0)</x:f>
        <x:v>0.11184210526315791</x:v>
      </x:c>
      <x:c r="V720" s="24" t="n">
        <x:f>IFERROR(F720/J720,0)-IFERROR(G720/K720,0)</x:f>
        <x:v>-0.033333333333333354</x:v>
      </x:c>
      <x:c r="W720" s="28" t="n">
        <x:f>L720-M720</x:f>
        <x:v>-7</x:v>
      </x:c>
      <x:c r="X720" s="24" t="n">
        <x:f>IFERROR(K720/I720,0)</x:f>
        <x:v>0.2631578947368421</x:v>
      </x:c>
      <x:c r="Y720" s="24" t="n">
        <x:f>IFERROR(G720/I720,0)</x:f>
        <x:v>0.05263157894736842</x:v>
      </x:c>
      <x:c r="Z720" s="24" t="n">
        <x:f>IFERROR(G720/K720,0)</x:f>
        <x:v>0.2</x:v>
      </x:c>
      <x:c r="AA720" s="24" t="n">
        <x:f>IFERROR(F720/H720,0)-IFERROR(G720/I720,0)</x:f>
        <x:v>0.009868421052631582</x:v>
      </x:c>
      <x:c r="AB720" s="28" t="n">
        <x:f>J720-K720</x:f>
        <x:v>1</x:v>
      </x:c>
      <x:c r="AC720" s="32" t="n">
        <x:f>F720-G720</x:f>
        <x:v>0</x:v>
      </x:c>
    </x:row>
    <x:row r="721">
      <x:c r="A721" s="4" t="str">
        <x:v>2021-22</x:v>
      </x:c>
      <x:c r="B721" s="20" t="n">
        <x:v>44696</x:v>
      </x:c>
      <x:c r="C721" s="4" t="str">
        <x:v>Burnley</x:v>
      </x:c>
      <x:c r="D721" s="4" t="str">
        <x:v>Tottenham</x:v>
      </x:c>
      <x:c r="E721" s="4" t="str">
        <x:v>Away</x:v>
      </x:c>
      <x:c r="F721" s="28" t="n">
        <x:v>0</x:v>
      </x:c>
      <x:c r="G721" s="28" t="n">
        <x:v>1</x:v>
      </x:c>
      <x:c r="H721" s="28" t="n">
        <x:v>8</x:v>
      </x:c>
      <x:c r="I721" s="28" t="n">
        <x:v>21</x:v>
      </x:c>
      <x:c r="J721" s="28" t="n">
        <x:v>1</x:v>
      </x:c>
      <x:c r="K721" s="28" t="n">
        <x:v>8</x:v>
      </x:c>
      <x:c r="L721" s="28" t="n">
        <x:v>2</x:v>
      </x:c>
      <x:c r="M721" s="28" t="n">
        <x:v>8</x:v>
      </x:c>
      <x:c r="N721" s="28" t="n">
        <x:v>2</x:v>
      </x:c>
      <x:c r="O721" s="28" t="n">
        <x:v>0</x:v>
      </x:c>
      <x:c r="P721" s="28" t="n">
        <x:v>0</x:v>
      </x:c>
      <x:c r="Q721" s="24" t="n">
        <x:f>IFERROR(J721/H721,0)</x:f>
        <x:v>0.125</x:v>
      </x:c>
      <x:c r="R721" s="24" t="n">
        <x:f>IFERROR(F721/H721,0)</x:f>
        <x:v>0</x:v>
      </x:c>
      <x:c r="S721" s="24" t="n">
        <x:f>IFERROR(F721/J721,0)</x:f>
        <x:v>0</x:v>
      </x:c>
      <x:c r="T721" s="28" t="n">
        <x:f>H721-I721</x:f>
        <x:v>-13</x:v>
      </x:c>
      <x:c r="U721" s="24" t="n">
        <x:f>IFERROR(J721/H721,0)-IFERROR(K721/I721,0)</x:f>
        <x:v>-0.25595238095238093</x:v>
      </x:c>
      <x:c r="V721" s="24" t="n">
        <x:f>IFERROR(F721/J721,0)-IFERROR(G721/K721,0)</x:f>
        <x:v>-0.125</x:v>
      </x:c>
      <x:c r="W721" s="28" t="n">
        <x:f>L721-M721</x:f>
        <x:v>-6</x:v>
      </x:c>
      <x:c r="X721" s="24" t="n">
        <x:f>IFERROR(K721/I721,0)</x:f>
        <x:v>0.38095238095238093</x:v>
      </x:c>
      <x:c r="Y721" s="24" t="n">
        <x:f>IFERROR(G721/I721,0)</x:f>
        <x:v>0.047619047619047616</x:v>
      </x:c>
      <x:c r="Z721" s="24" t="n">
        <x:f>IFERROR(G721/K721,0)</x:f>
        <x:v>0.125</x:v>
      </x:c>
      <x:c r="AA721" s="24" t="n">
        <x:f>IFERROR(F721/H721,0)-IFERROR(G721/I721,0)</x:f>
        <x:v>-0.047619047619047616</x:v>
      </x:c>
      <x:c r="AB721" s="28" t="n">
        <x:f>J721-K721</x:f>
        <x:v>-7</x:v>
      </x:c>
      <x:c r="AC721" s="32" t="n">
        <x:f>F721-G721</x:f>
        <x:v>-1</x:v>
      </x:c>
    </x:row>
    <x:row r="722">
      <x:c r="A722" s="4" t="str">
        <x:v>2021-22</x:v>
      </x:c>
      <x:c r="B722" s="20" t="n">
        <x:v>44696</x:v>
      </x:c>
      <x:c r="C722" s="4" t="str">
        <x:v>Crystal Palace</x:v>
      </x:c>
      <x:c r="D722" s="4" t="str">
        <x:v>Aston Villa</x:v>
      </x:c>
      <x:c r="E722" s="4" t="str">
        <x:v>Away</x:v>
      </x:c>
      <x:c r="F722" s="28" t="n">
        <x:v>1</x:v>
      </x:c>
      <x:c r="G722" s="28" t="n">
        <x:v>1</x:v>
      </x:c>
      <x:c r="H722" s="28" t="n">
        <x:v>16</x:v>
      </x:c>
      <x:c r="I722" s="28" t="n">
        <x:v>13</x:v>
      </x:c>
      <x:c r="J722" s="28" t="n">
        <x:v>4</x:v>
      </x:c>
      <x:c r="K722" s="28" t="n">
        <x:v>4</x:v>
      </x:c>
      <x:c r="L722" s="28" t="n">
        <x:v>5</x:v>
      </x:c>
      <x:c r="M722" s="28" t="n">
        <x:v>1</x:v>
      </x:c>
      <x:c r="N722" s="28" t="n">
        <x:v>3</x:v>
      </x:c>
      <x:c r="O722" s="28" t="n">
        <x:v>0</x:v>
      </x:c>
      <x:c r="P722" s="28" t="n">
        <x:v>1</x:v>
      </x:c>
      <x:c r="Q722" s="24" t="n">
        <x:f>IFERROR(J722/H722,0)</x:f>
        <x:v>0.25</x:v>
      </x:c>
      <x:c r="R722" s="24" t="n">
        <x:f>IFERROR(F722/H722,0)</x:f>
        <x:v>0.0625</x:v>
      </x:c>
      <x:c r="S722" s="24" t="n">
        <x:f>IFERROR(F722/J722,0)</x:f>
        <x:v>0.25</x:v>
      </x:c>
      <x:c r="T722" s="28" t="n">
        <x:f>H722-I722</x:f>
        <x:v>3</x:v>
      </x:c>
      <x:c r="U722" s="24" t="n">
        <x:f>IFERROR(J722/H722,0)-IFERROR(K722/I722,0)</x:f>
        <x:v>-0.05769230769230771</x:v>
      </x:c>
      <x:c r="V722" s="24" t="n">
        <x:f>IFERROR(F722/J722,0)-IFERROR(G722/K722,0)</x:f>
        <x:v>0</x:v>
      </x:c>
      <x:c r="W722" s="28" t="n">
        <x:f>L722-M722</x:f>
        <x:v>4</x:v>
      </x:c>
      <x:c r="X722" s="24" t="n">
        <x:f>IFERROR(K722/I722,0)</x:f>
        <x:v>0.3076923076923077</x:v>
      </x:c>
      <x:c r="Y722" s="24" t="n">
        <x:f>IFERROR(G722/I722,0)</x:f>
        <x:v>0.07692307692307693</x:v>
      </x:c>
      <x:c r="Z722" s="24" t="n">
        <x:f>IFERROR(G722/K722,0)</x:f>
        <x:v>0.25</x:v>
      </x:c>
      <x:c r="AA722" s="24" t="n">
        <x:f>IFERROR(F722/H722,0)-IFERROR(G722/I722,0)</x:f>
        <x:v>-0.014423076923076927</x:v>
      </x:c>
      <x:c r="AB722" s="28" t="n">
        <x:f>J722-K722</x:f>
        <x:v>0</x:v>
      </x:c>
      <x:c r="AC722" s="32" t="n">
        <x:f>F722-G722</x:f>
        <x:v>0</x:v>
      </x:c>
    </x:row>
    <x:row r="723">
      <x:c r="A723" s="4" t="str">
        <x:v>2021-22</x:v>
      </x:c>
      <x:c r="B723" s="20" t="n">
        <x:v>44696</x:v>
      </x:c>
      <x:c r="C723" s="4" t="str">
        <x:v>Everton</x:v>
      </x:c>
      <x:c r="D723" s="4" t="str">
        <x:v>Brentford</x:v>
      </x:c>
      <x:c r="E723" s="4" t="str">
        <x:v>Home</x:v>
      </x:c>
      <x:c r="F723" s="28" t="n">
        <x:v>2</x:v>
      </x:c>
      <x:c r="G723" s="28" t="n">
        <x:v>3</x:v>
      </x:c>
      <x:c r="H723" s="28" t="n">
        <x:v>10</x:v>
      </x:c>
      <x:c r="I723" s="28" t="n">
        <x:v>18</x:v>
      </x:c>
      <x:c r="J723" s="28" t="n">
        <x:v>5</x:v>
      </x:c>
      <x:c r="K723" s="28" t="n">
        <x:v>7</x:v>
      </x:c>
      <x:c r="L723" s="28" t="n">
        <x:v>5</x:v>
      </x:c>
      <x:c r="M723" s="28" t="n">
        <x:v>2</x:v>
      </x:c>
      <x:c r="N723" s="28" t="n">
        <x:v>0</x:v>
      </x:c>
      <x:c r="O723" s="28" t="n">
        <x:v>2</x:v>
      </x:c>
      <x:c r="P723" s="28" t="n">
        <x:v>0</x:v>
      </x:c>
      <x:c r="Q723" s="24" t="n">
        <x:f>IFERROR(J723/H723,0)</x:f>
        <x:v>0.5</x:v>
      </x:c>
      <x:c r="R723" s="24" t="n">
        <x:f>IFERROR(F723/H723,0)</x:f>
        <x:v>0.2</x:v>
      </x:c>
      <x:c r="S723" s="24" t="n">
        <x:f>IFERROR(F723/J723,0)</x:f>
        <x:v>0.4</x:v>
      </x:c>
      <x:c r="T723" s="28" t="n">
        <x:f>H723-I723</x:f>
        <x:v>-8</x:v>
      </x:c>
      <x:c r="U723" s="24" t="n">
        <x:f>IFERROR(J723/H723,0)-IFERROR(K723/I723,0)</x:f>
        <x:v>0.1111111111111111</x:v>
      </x:c>
      <x:c r="V723" s="24" t="n">
        <x:f>IFERROR(F723/J723,0)-IFERROR(G723/K723,0)</x:f>
        <x:v>-0.028571428571428525</x:v>
      </x:c>
      <x:c r="W723" s="28" t="n">
        <x:f>L723-M723</x:f>
        <x:v>3</x:v>
      </x:c>
      <x:c r="X723" s="24" t="n">
        <x:f>IFERROR(K723/I723,0)</x:f>
        <x:v>0.3888888888888889</x:v>
      </x:c>
      <x:c r="Y723" s="24" t="n">
        <x:f>IFERROR(G723/I723,0)</x:f>
        <x:v>0.16666666666666666</x:v>
      </x:c>
      <x:c r="Z723" s="24" t="n">
        <x:f>IFERROR(G723/K723,0)</x:f>
        <x:v>0.42857142857142855</x:v>
      </x:c>
      <x:c r="AA723" s="24" t="n">
        <x:f>IFERROR(F723/H723,0)-IFERROR(G723/I723,0)</x:f>
        <x:v>0.033333333333333354</x:v>
      </x:c>
      <x:c r="AB723" s="28" t="n">
        <x:f>J723-K723</x:f>
        <x:v>-2</x:v>
      </x:c>
      <x:c r="AC723" s="32" t="n">
        <x:f>F723-G723</x:f>
        <x:v>-1</x:v>
      </x:c>
    </x:row>
    <x:row r="724">
      <x:c r="A724" s="4" t="str">
        <x:v>2021-22</x:v>
      </x:c>
      <x:c r="B724" s="20" t="n">
        <x:v>44696</x:v>
      </x:c>
      <x:c r="C724" s="4" t="str">
        <x:v>Leeds</x:v>
      </x:c>
      <x:c r="D724" s="4" t="str">
        <x:v>Brighton</x:v>
      </x:c>
      <x:c r="E724" s="4" t="str">
        <x:v>Home</x:v>
      </x:c>
      <x:c r="F724" s="28" t="n">
        <x:v>1</x:v>
      </x:c>
      <x:c r="G724" s="28" t="n">
        <x:v>1</x:v>
      </x:c>
      <x:c r="H724" s="28" t="n">
        <x:v>19</x:v>
      </x:c>
      <x:c r="I724" s="28" t="n">
        <x:v>16</x:v>
      </x:c>
      <x:c r="J724" s="28" t="n">
        <x:v>5</x:v>
      </x:c>
      <x:c r="K724" s="28" t="n">
        <x:v>6</x:v>
      </x:c>
      <x:c r="L724" s="28" t="n">
        <x:v>8</x:v>
      </x:c>
      <x:c r="M724" s="28" t="n">
        <x:v>1</x:v>
      </x:c>
      <x:c r="N724" s="28" t="n">
        <x:v>3</x:v>
      </x:c>
      <x:c r="O724" s="28" t="n">
        <x:v>0</x:v>
      </x:c>
      <x:c r="P724" s="28" t="n">
        <x:v>1</x:v>
      </x:c>
      <x:c r="Q724" s="24" t="n">
        <x:f>IFERROR(J724/H724,0)</x:f>
        <x:v>0.2631578947368421</x:v>
      </x:c>
      <x:c r="R724" s="24" t="n">
        <x:f>IFERROR(F724/H724,0)</x:f>
        <x:v>0.05263157894736842</x:v>
      </x:c>
      <x:c r="S724" s="24" t="n">
        <x:f>IFERROR(F724/J724,0)</x:f>
        <x:v>0.2</x:v>
      </x:c>
      <x:c r="T724" s="28" t="n">
        <x:f>H724-I724</x:f>
        <x:v>3</x:v>
      </x:c>
      <x:c r="U724" s="24" t="n">
        <x:f>IFERROR(J724/H724,0)-IFERROR(K724/I724,0)</x:f>
        <x:v>-0.11184210526315791</x:v>
      </x:c>
      <x:c r="V724" s="24" t="n">
        <x:f>IFERROR(F724/J724,0)-IFERROR(G724/K724,0)</x:f>
        <x:v>0.033333333333333354</x:v>
      </x:c>
      <x:c r="W724" s="28" t="n">
        <x:f>L724-M724</x:f>
        <x:v>7</x:v>
      </x:c>
      <x:c r="X724" s="24" t="n">
        <x:f>IFERROR(K724/I724,0)</x:f>
        <x:v>0.375</x:v>
      </x:c>
      <x:c r="Y724" s="24" t="n">
        <x:f>IFERROR(G724/I724,0)</x:f>
        <x:v>0.0625</x:v>
      </x:c>
      <x:c r="Z724" s="24" t="n">
        <x:f>IFERROR(G724/K724,0)</x:f>
        <x:v>0.16666666666666666</x:v>
      </x:c>
      <x:c r="AA724" s="24" t="n">
        <x:f>IFERROR(F724/H724,0)-IFERROR(G724/I724,0)</x:f>
        <x:v>-0.009868421052631582</x:v>
      </x:c>
      <x:c r="AB724" s="28" t="n">
        <x:f>J724-K724</x:f>
        <x:v>-1</x:v>
      </x:c>
      <x:c r="AC724" s="32" t="n">
        <x:f>F724-G724</x:f>
        <x:v>0</x:v>
      </x:c>
    </x:row>
    <x:row r="725">
      <x:c r="A725" s="4" t="str">
        <x:v>2021-22</x:v>
      </x:c>
      <x:c r="B725" s="20" t="n">
        <x:v>44696</x:v>
      </x:c>
      <x:c r="C725" s="4" t="str">
        <x:v>Leicester</x:v>
      </x:c>
      <x:c r="D725" s="4" t="str">
        <x:v>Watford</x:v>
      </x:c>
      <x:c r="E725" s="4" t="str">
        <x:v>Away</x:v>
      </x:c>
      <x:c r="F725" s="28" t="n">
        <x:v>5</x:v>
      </x:c>
      <x:c r="G725" s="28" t="n">
        <x:v>1</x:v>
      </x:c>
      <x:c r="H725" s="28" t="n">
        <x:v>13</x:v>
      </x:c>
      <x:c r="I725" s="28" t="n">
        <x:v>13</x:v>
      </x:c>
      <x:c r="J725" s="28" t="n">
        <x:v>7</x:v>
      </x:c>
      <x:c r="K725" s="28" t="n">
        <x:v>5</x:v>
      </x:c>
      <x:c r="L725" s="28" t="n">
        <x:v>3</x:v>
      </x:c>
      <x:c r="M725" s="28" t="n">
        <x:v>7</x:v>
      </x:c>
      <x:c r="N725" s="28" t="n">
        <x:v>1</x:v>
      </x:c>
      <x:c r="O725" s="28" t="n">
        <x:v>0</x:v>
      </x:c>
      <x:c r="P725" s="28" t="n">
        <x:v>3</x:v>
      </x:c>
      <x:c r="Q725" s="24" t="n">
        <x:f>IFERROR(J725/H725,0)</x:f>
        <x:v>0.5384615384615384</x:v>
      </x:c>
      <x:c r="R725" s="24" t="n">
        <x:f>IFERROR(F725/H725,0)</x:f>
        <x:v>0.38461538461538464</x:v>
      </x:c>
      <x:c r="S725" s="24" t="n">
        <x:f>IFERROR(F725/J725,0)</x:f>
        <x:v>0.7142857142857143</x:v>
      </x:c>
      <x:c r="T725" s="28" t="n">
        <x:f>H725-I725</x:f>
        <x:v>0</x:v>
      </x:c>
      <x:c r="U725" s="24" t="n">
        <x:f>IFERROR(J725/H725,0)-IFERROR(K725/I725,0)</x:f>
        <x:v>0.1538461538461538</x:v>
      </x:c>
      <x:c r="V725" s="24" t="n">
        <x:f>IFERROR(F725/J725,0)-IFERROR(G725/K725,0)</x:f>
        <x:v>0.5142857142857142</x:v>
      </x:c>
      <x:c r="W725" s="28" t="n">
        <x:f>L725-M725</x:f>
        <x:v>-4</x:v>
      </x:c>
      <x:c r="X725" s="24" t="n">
        <x:f>IFERROR(K725/I725,0)</x:f>
        <x:v>0.38461538461538464</x:v>
      </x:c>
      <x:c r="Y725" s="24" t="n">
        <x:f>IFERROR(G725/I725,0)</x:f>
        <x:v>0.07692307692307693</x:v>
      </x:c>
      <x:c r="Z725" s="24" t="n">
        <x:f>IFERROR(G725/K725,0)</x:f>
        <x:v>0.2</x:v>
      </x:c>
      <x:c r="AA725" s="24" t="n">
        <x:f>IFERROR(F725/H725,0)-IFERROR(G725/I725,0)</x:f>
        <x:v>0.3076923076923077</x:v>
      </x:c>
      <x:c r="AB725" s="28" t="n">
        <x:f>J725-K725</x:f>
        <x:v>2</x:v>
      </x:c>
      <x:c r="AC725" s="32" t="n">
        <x:f>F725-G725</x:f>
        <x:v>4</x:v>
      </x:c>
    </x:row>
    <x:row r="726">
      <x:c r="A726" s="4" t="str">
        <x:v>2021-22</x:v>
      </x:c>
      <x:c r="B726" s="20" t="n">
        <x:v>44696</x:v>
      </x:c>
      <x:c r="C726" s="4" t="str">
        <x:v>Man City</x:v>
      </x:c>
      <x:c r="D726" s="4" t="str">
        <x:v>West Ham</x:v>
      </x:c>
      <x:c r="E726" s="4" t="str">
        <x:v>Away</x:v>
      </x:c>
      <x:c r="F726" s="28" t="n">
        <x:v>2</x:v>
      </x:c>
      <x:c r="G726" s="28" t="n">
        <x:v>2</x:v>
      </x:c>
      <x:c r="H726" s="28" t="n">
        <x:v>31</x:v>
      </x:c>
      <x:c r="I726" s="28" t="n">
        <x:v>6</x:v>
      </x:c>
      <x:c r="J726" s="28" t="n">
        <x:v>8</x:v>
      </x:c>
      <x:c r="K726" s="28" t="n">
        <x:v>2</x:v>
      </x:c>
      <x:c r="L726" s="28" t="n">
        <x:v>9</x:v>
      </x:c>
      <x:c r="M726" s="28" t="n">
        <x:v>4</x:v>
      </x:c>
      <x:c r="N726" s="28" t="n">
        <x:v>1</x:v>
      </x:c>
      <x:c r="O726" s="28" t="n">
        <x:v>0</x:v>
      </x:c>
      <x:c r="P726" s="28" t="n">
        <x:v>1</x:v>
      </x:c>
      <x:c r="Q726" s="24" t="n">
        <x:f>IFERROR(J726/H726,0)</x:f>
        <x:v>0.25806451612903225</x:v>
      </x:c>
      <x:c r="R726" s="24" t="n">
        <x:f>IFERROR(F726/H726,0)</x:f>
        <x:v>0.06451612903225806</x:v>
      </x:c>
      <x:c r="S726" s="24" t="n">
        <x:f>IFERROR(F726/J726,0)</x:f>
        <x:v>0.25</x:v>
      </x:c>
      <x:c r="T726" s="28" t="n">
        <x:f>H726-I726</x:f>
        <x:v>25</x:v>
      </x:c>
      <x:c r="U726" s="24" t="n">
        <x:f>IFERROR(J726/H726,0)-IFERROR(K726/I726,0)</x:f>
        <x:v>-0.07526881720430106</x:v>
      </x:c>
      <x:c r="V726" s="24" t="n">
        <x:f>IFERROR(F726/J726,0)-IFERROR(G726/K726,0)</x:f>
        <x:v>-0.75</x:v>
      </x:c>
      <x:c r="W726" s="28" t="n">
        <x:f>L726-M726</x:f>
        <x:v>5</x:v>
      </x:c>
      <x:c r="X726" s="24" t="n">
        <x:f>IFERROR(K726/I726,0)</x:f>
        <x:v>0.3333333333333333</x:v>
      </x:c>
      <x:c r="Y726" s="24" t="n">
        <x:f>IFERROR(G726/I726,0)</x:f>
        <x:v>0.3333333333333333</x:v>
      </x:c>
      <x:c r="Z726" s="24" t="n">
        <x:f>IFERROR(G726/K726,0)</x:f>
        <x:v>1</x:v>
      </x:c>
      <x:c r="AA726" s="24" t="n">
        <x:f>IFERROR(F726/H726,0)-IFERROR(G726/I726,0)</x:f>
        <x:v>-0.26881720430107525</x:v>
      </x:c>
      <x:c r="AB726" s="28" t="n">
        <x:f>J726-K726</x:f>
        <x:v>6</x:v>
      </x:c>
      <x:c r="AC726" s="32" t="n">
        <x:f>F726-G726</x:f>
        <x:v>0</x:v>
      </x:c>
    </x:row>
    <x:row r="727">
      <x:c r="A727" s="4" t="str">
        <x:v>2021-22</x:v>
      </x:c>
      <x:c r="B727" s="20" t="n">
        <x:v>44696</x:v>
      </x:c>
      <x:c r="C727" s="4" t="str">
        <x:v>Norwich</x:v>
      </x:c>
      <x:c r="D727" s="4" t="str">
        <x:v>Wolves</x:v>
      </x:c>
      <x:c r="E727" s="4" t="str">
        <x:v>Away</x:v>
      </x:c>
      <x:c r="F727" s="28" t="n">
        <x:v>1</x:v>
      </x:c>
      <x:c r="G727" s="28" t="n">
        <x:v>1</x:v>
      </x:c>
      <x:c r="H727" s="28" t="n">
        <x:v>11</x:v>
      </x:c>
      <x:c r="I727" s="28" t="n">
        <x:v>17</x:v>
      </x:c>
      <x:c r="J727" s="28" t="n">
        <x:v>2</x:v>
      </x:c>
      <x:c r="K727" s="28" t="n">
        <x:v>4</x:v>
      </x:c>
      <x:c r="L727" s="28" t="n">
        <x:v>3</x:v>
      </x:c>
      <x:c r="M727" s="28" t="n">
        <x:v>5</x:v>
      </x:c>
      <x:c r="N727" s="28" t="n">
        <x:v>3</x:v>
      </x:c>
      <x:c r="O727" s="28" t="n">
        <x:v>0</x:v>
      </x:c>
      <x:c r="P727" s="28" t="n">
        <x:v>1</x:v>
      </x:c>
      <x:c r="Q727" s="24" t="n">
        <x:f>IFERROR(J727/H727,0)</x:f>
        <x:v>0.18181818181818182</x:v>
      </x:c>
      <x:c r="R727" s="24" t="n">
        <x:f>IFERROR(F727/H727,0)</x:f>
        <x:v>0.09090909090909091</x:v>
      </x:c>
      <x:c r="S727" s="24" t="n">
        <x:f>IFERROR(F727/J727,0)</x:f>
        <x:v>0.5</x:v>
      </x:c>
      <x:c r="T727" s="28" t="n">
        <x:f>H727-I727</x:f>
        <x:v>-6</x:v>
      </x:c>
      <x:c r="U727" s="24" t="n">
        <x:f>IFERROR(J727/H727,0)-IFERROR(K727/I727,0)</x:f>
        <x:v>-0.053475935828877</x:v>
      </x:c>
      <x:c r="V727" s="24" t="n">
        <x:f>IFERROR(F727/J727,0)-IFERROR(G727/K727,0)</x:f>
        <x:v>0.25</x:v>
      </x:c>
      <x:c r="W727" s="28" t="n">
        <x:f>L727-M727</x:f>
        <x:v>-2</x:v>
      </x:c>
      <x:c r="X727" s="24" t="n">
        <x:f>IFERROR(K727/I727,0)</x:f>
        <x:v>0.23529411764705882</x:v>
      </x:c>
      <x:c r="Y727" s="24" t="n">
        <x:f>IFERROR(G727/I727,0)</x:f>
        <x:v>0.058823529411764705</x:v>
      </x:c>
      <x:c r="Z727" s="24" t="n">
        <x:f>IFERROR(G727/K727,0)</x:f>
        <x:v>0.25</x:v>
      </x:c>
      <x:c r="AA727" s="24" t="n">
        <x:f>IFERROR(F727/H727,0)-IFERROR(G727/I727,0)</x:f>
        <x:v>0.03208556149732621</x:v>
      </x:c>
      <x:c r="AB727" s="28" t="n">
        <x:f>J727-K727</x:f>
        <x:v>-2</x:v>
      </x:c>
      <x:c r="AC727" s="32" t="n">
        <x:f>F727-G727</x:f>
        <x:v>0</x:v>
      </x:c>
    </x:row>
    <x:row r="728">
      <x:c r="A728" s="4" t="str">
        <x:v>2021-22</x:v>
      </x:c>
      <x:c r="B728" s="20" t="n">
        <x:v>44696</x:v>
      </x:c>
      <x:c r="C728" s="4" t="str">
        <x:v>Tottenham</x:v>
      </x:c>
      <x:c r="D728" s="4" t="str">
        <x:v>Burnley</x:v>
      </x:c>
      <x:c r="E728" s="4" t="str">
        <x:v>Home</x:v>
      </x:c>
      <x:c r="F728" s="28" t="n">
        <x:v>1</x:v>
      </x:c>
      <x:c r="G728" s="28" t="n">
        <x:v>0</x:v>
      </x:c>
      <x:c r="H728" s="28" t="n">
        <x:v>21</x:v>
      </x:c>
      <x:c r="I728" s="28" t="n">
        <x:v>8</x:v>
      </x:c>
      <x:c r="J728" s="28" t="n">
        <x:v>8</x:v>
      </x:c>
      <x:c r="K728" s="28" t="n">
        <x:v>1</x:v>
      </x:c>
      <x:c r="L728" s="28" t="n">
        <x:v>8</x:v>
      </x:c>
      <x:c r="M728" s="28" t="n">
        <x:v>2</x:v>
      </x:c>
      <x:c r="N728" s="28" t="n">
        <x:v>3</x:v>
      </x:c>
      <x:c r="O728" s="28" t="n">
        <x:v>0</x:v>
      </x:c>
      <x:c r="P728" s="28" t="n">
        <x:v>3</x:v>
      </x:c>
      <x:c r="Q728" s="24" t="n">
        <x:f>IFERROR(J728/H728,0)</x:f>
        <x:v>0.38095238095238093</x:v>
      </x:c>
      <x:c r="R728" s="24" t="n">
        <x:f>IFERROR(F728/H728,0)</x:f>
        <x:v>0.047619047619047616</x:v>
      </x:c>
      <x:c r="S728" s="24" t="n">
        <x:f>IFERROR(F728/J728,0)</x:f>
        <x:v>0.125</x:v>
      </x:c>
      <x:c r="T728" s="28" t="n">
        <x:f>H728-I728</x:f>
        <x:v>13</x:v>
      </x:c>
      <x:c r="U728" s="24" t="n">
        <x:f>IFERROR(J728/H728,0)-IFERROR(K728/I728,0)</x:f>
        <x:v>0.25595238095238093</x:v>
      </x:c>
      <x:c r="V728" s="24" t="n">
        <x:f>IFERROR(F728/J728,0)-IFERROR(G728/K728,0)</x:f>
        <x:v>0.125</x:v>
      </x:c>
      <x:c r="W728" s="28" t="n">
        <x:f>L728-M728</x:f>
        <x:v>6</x:v>
      </x:c>
      <x:c r="X728" s="24" t="n">
        <x:f>IFERROR(K728/I728,0)</x:f>
        <x:v>0.125</x:v>
      </x:c>
      <x:c r="Y728" s="24" t="n">
        <x:f>IFERROR(G728/I728,0)</x:f>
        <x:v>0</x:v>
      </x:c>
      <x:c r="Z728" s="24" t="n">
        <x:f>IFERROR(G728/K728,0)</x:f>
        <x:v>0</x:v>
      </x:c>
      <x:c r="AA728" s="24" t="n">
        <x:f>IFERROR(F728/H728,0)-IFERROR(G728/I728,0)</x:f>
        <x:v>0.047619047619047616</x:v>
      </x:c>
      <x:c r="AB728" s="28" t="n">
        <x:f>J728-K728</x:f>
        <x:v>7</x:v>
      </x:c>
      <x:c r="AC728" s="32" t="n">
        <x:f>F728-G728</x:f>
        <x:v>1</x:v>
      </x:c>
    </x:row>
    <x:row r="729">
      <x:c r="A729" s="4" t="str">
        <x:v>2021-22</x:v>
      </x:c>
      <x:c r="B729" s="20" t="n">
        <x:v>44696</x:v>
      </x:c>
      <x:c r="C729" s="4" t="str">
        <x:v>Watford</x:v>
      </x:c>
      <x:c r="D729" s="4" t="str">
        <x:v>Leicester</x:v>
      </x:c>
      <x:c r="E729" s="4" t="str">
        <x:v>Home</x:v>
      </x:c>
      <x:c r="F729" s="28" t="n">
        <x:v>1</x:v>
      </x:c>
      <x:c r="G729" s="28" t="n">
        <x:v>5</x:v>
      </x:c>
      <x:c r="H729" s="28" t="n">
        <x:v>13</x:v>
      </x:c>
      <x:c r="I729" s="28" t="n">
        <x:v>13</x:v>
      </x:c>
      <x:c r="J729" s="28" t="n">
        <x:v>5</x:v>
      </x:c>
      <x:c r="K729" s="28" t="n">
        <x:v>7</x:v>
      </x:c>
      <x:c r="L729" s="28" t="n">
        <x:v>7</x:v>
      </x:c>
      <x:c r="M729" s="28" t="n">
        <x:v>3</x:v>
      </x:c>
      <x:c r="N729" s="28" t="n">
        <x:v>0</x:v>
      </x:c>
      <x:c r="O729" s="28" t="n">
        <x:v>0</x:v>
      </x:c>
      <x:c r="P729" s="28" t="n">
        <x:v>0</x:v>
      </x:c>
      <x:c r="Q729" s="24" t="n">
        <x:f>IFERROR(J729/H729,0)</x:f>
        <x:v>0.38461538461538464</x:v>
      </x:c>
      <x:c r="R729" s="24" t="n">
        <x:f>IFERROR(F729/H729,0)</x:f>
        <x:v>0.07692307692307693</x:v>
      </x:c>
      <x:c r="S729" s="24" t="n">
        <x:f>IFERROR(F729/J729,0)</x:f>
        <x:v>0.2</x:v>
      </x:c>
      <x:c r="T729" s="28" t="n">
        <x:f>H729-I729</x:f>
        <x:v>0</x:v>
      </x:c>
      <x:c r="U729" s="24" t="n">
        <x:f>IFERROR(J729/H729,0)-IFERROR(K729/I729,0)</x:f>
        <x:v>-0.1538461538461538</x:v>
      </x:c>
      <x:c r="V729" s="24" t="n">
        <x:f>IFERROR(F729/J729,0)-IFERROR(G729/K729,0)</x:f>
        <x:v>-0.5142857142857142</x:v>
      </x:c>
      <x:c r="W729" s="28" t="n">
        <x:f>L729-M729</x:f>
        <x:v>4</x:v>
      </x:c>
      <x:c r="X729" s="24" t="n">
        <x:f>IFERROR(K729/I729,0)</x:f>
        <x:v>0.5384615384615384</x:v>
      </x:c>
      <x:c r="Y729" s="24" t="n">
        <x:f>IFERROR(G729/I729,0)</x:f>
        <x:v>0.38461538461538464</x:v>
      </x:c>
      <x:c r="Z729" s="24" t="n">
        <x:f>IFERROR(G729/K729,0)</x:f>
        <x:v>0.7142857142857143</x:v>
      </x:c>
      <x:c r="AA729" s="24" t="n">
        <x:f>IFERROR(F729/H729,0)-IFERROR(G729/I729,0)</x:f>
        <x:v>-0.3076923076923077</x:v>
      </x:c>
      <x:c r="AB729" s="28" t="n">
        <x:f>J729-K729</x:f>
        <x:v>-2</x:v>
      </x:c>
      <x:c r="AC729" s="32" t="n">
        <x:f>F729-G729</x:f>
        <x:v>-4</x:v>
      </x:c>
    </x:row>
    <x:row r="730">
      <x:c r="A730" s="4" t="str">
        <x:v>2021-22</x:v>
      </x:c>
      <x:c r="B730" s="20" t="n">
        <x:v>44696</x:v>
      </x:c>
      <x:c r="C730" s="4" t="str">
        <x:v>West Ham</x:v>
      </x:c>
      <x:c r="D730" s="4" t="str">
        <x:v>Man City</x:v>
      </x:c>
      <x:c r="E730" s="4" t="str">
        <x:v>Home</x:v>
      </x:c>
      <x:c r="F730" s="28" t="n">
        <x:v>2</x:v>
      </x:c>
      <x:c r="G730" s="28" t="n">
        <x:v>2</x:v>
      </x:c>
      <x:c r="H730" s="28" t="n">
        <x:v>6</x:v>
      </x:c>
      <x:c r="I730" s="28" t="n">
        <x:v>31</x:v>
      </x:c>
      <x:c r="J730" s="28" t="n">
        <x:v>2</x:v>
      </x:c>
      <x:c r="K730" s="28" t="n">
        <x:v>8</x:v>
      </x:c>
      <x:c r="L730" s="28" t="n">
        <x:v>4</x:v>
      </x:c>
      <x:c r="M730" s="28" t="n">
        <x:v>9</x:v>
      </x:c>
      <x:c r="N730" s="28" t="n">
        <x:v>3</x:v>
      </x:c>
      <x:c r="O730" s="28" t="n">
        <x:v>0</x:v>
      </x:c>
      <x:c r="P730" s="28" t="n">
        <x:v>1</x:v>
      </x:c>
      <x:c r="Q730" s="24" t="n">
        <x:f>IFERROR(J730/H730,0)</x:f>
        <x:v>0.3333333333333333</x:v>
      </x:c>
      <x:c r="R730" s="24" t="n">
        <x:f>IFERROR(F730/H730,0)</x:f>
        <x:v>0.3333333333333333</x:v>
      </x:c>
      <x:c r="S730" s="24" t="n">
        <x:f>IFERROR(F730/J730,0)</x:f>
        <x:v>1</x:v>
      </x:c>
      <x:c r="T730" s="28" t="n">
        <x:f>H730-I730</x:f>
        <x:v>-25</x:v>
      </x:c>
      <x:c r="U730" s="24" t="n">
        <x:f>IFERROR(J730/H730,0)-IFERROR(K730/I730,0)</x:f>
        <x:v>0.07526881720430106</x:v>
      </x:c>
      <x:c r="V730" s="24" t="n">
        <x:f>IFERROR(F730/J730,0)-IFERROR(G730/K730,0)</x:f>
        <x:v>0.75</x:v>
      </x:c>
      <x:c r="W730" s="28" t="n">
        <x:f>L730-M730</x:f>
        <x:v>-5</x:v>
      </x:c>
      <x:c r="X730" s="24" t="n">
        <x:f>IFERROR(K730/I730,0)</x:f>
        <x:v>0.25806451612903225</x:v>
      </x:c>
      <x:c r="Y730" s="24" t="n">
        <x:f>IFERROR(G730/I730,0)</x:f>
        <x:v>0.06451612903225806</x:v>
      </x:c>
      <x:c r="Z730" s="24" t="n">
        <x:f>IFERROR(G730/K730,0)</x:f>
        <x:v>0.25</x:v>
      </x:c>
      <x:c r="AA730" s="24" t="n">
        <x:f>IFERROR(F730/H730,0)-IFERROR(G730/I730,0)</x:f>
        <x:v>0.26881720430107525</x:v>
      </x:c>
      <x:c r="AB730" s="28" t="n">
        <x:f>J730-K730</x:f>
        <x:v>-6</x:v>
      </x:c>
      <x:c r="AC730" s="32" t="n">
        <x:f>F730-G730</x:f>
        <x:v>0</x:v>
      </x:c>
    </x:row>
    <x:row r="731">
      <x:c r="A731" s="4" t="str">
        <x:v>2021-22</x:v>
      </x:c>
      <x:c r="B731" s="20" t="n">
        <x:v>44696</x:v>
      </x:c>
      <x:c r="C731" s="4" t="str">
        <x:v>Wolves</x:v>
      </x:c>
      <x:c r="D731" s="4" t="str">
        <x:v>Norwich</x:v>
      </x:c>
      <x:c r="E731" s="4" t="str">
        <x:v>Home</x:v>
      </x:c>
      <x:c r="F731" s="28" t="n">
        <x:v>1</x:v>
      </x:c>
      <x:c r="G731" s="28" t="n">
        <x:v>1</x:v>
      </x:c>
      <x:c r="H731" s="28" t="n">
        <x:v>17</x:v>
      </x:c>
      <x:c r="I731" s="28" t="n">
        <x:v>11</x:v>
      </x:c>
      <x:c r="J731" s="28" t="n">
        <x:v>4</x:v>
      </x:c>
      <x:c r="K731" s="28" t="n">
        <x:v>2</x:v>
      </x:c>
      <x:c r="L731" s="28" t="n">
        <x:v>5</x:v>
      </x:c>
      <x:c r="M731" s="28" t="n">
        <x:v>3</x:v>
      </x:c>
      <x:c r="N731" s="28" t="n">
        <x:v>0</x:v>
      </x:c>
      <x:c r="O731" s="28" t="n">
        <x:v>0</x:v>
      </x:c>
      <x:c r="P731" s="28" t="n">
        <x:v>1</x:v>
      </x:c>
      <x:c r="Q731" s="24" t="n">
        <x:f>IFERROR(J731/H731,0)</x:f>
        <x:v>0.23529411764705882</x:v>
      </x:c>
      <x:c r="R731" s="24" t="n">
        <x:f>IFERROR(F731/H731,0)</x:f>
        <x:v>0.058823529411764705</x:v>
      </x:c>
      <x:c r="S731" s="24" t="n">
        <x:f>IFERROR(F731/J731,0)</x:f>
        <x:v>0.25</x:v>
      </x:c>
      <x:c r="T731" s="28" t="n">
        <x:f>H731-I731</x:f>
        <x:v>6</x:v>
      </x:c>
      <x:c r="U731" s="24" t="n">
        <x:f>IFERROR(J731/H731,0)-IFERROR(K731/I731,0)</x:f>
        <x:v>0.053475935828877</x:v>
      </x:c>
      <x:c r="V731" s="24" t="n">
        <x:f>IFERROR(F731/J731,0)-IFERROR(G731/K731,0)</x:f>
        <x:v>-0.25</x:v>
      </x:c>
      <x:c r="W731" s="28" t="n">
        <x:f>L731-M731</x:f>
        <x:v>2</x:v>
      </x:c>
      <x:c r="X731" s="24" t="n">
        <x:f>IFERROR(K731/I731,0)</x:f>
        <x:v>0.18181818181818182</x:v>
      </x:c>
      <x:c r="Y731" s="24" t="n">
        <x:f>IFERROR(G731/I731,0)</x:f>
        <x:v>0.09090909090909091</x:v>
      </x:c>
      <x:c r="Z731" s="24" t="n">
        <x:f>IFERROR(G731/K731,0)</x:f>
        <x:v>0.5</x:v>
      </x:c>
      <x:c r="AA731" s="24" t="n">
        <x:f>IFERROR(F731/H731,0)-IFERROR(G731/I731,0)</x:f>
        <x:v>-0.03208556149732621</x:v>
      </x:c>
      <x:c r="AB731" s="28" t="n">
        <x:f>J731-K731</x:f>
        <x:v>2</x:v>
      </x:c>
      <x:c r="AC731" s="32" t="n">
        <x:f>F731-G731</x:f>
        <x:v>0</x:v>
      </x:c>
    </x:row>
    <x:row r="732">
      <x:c r="A732" s="4" t="str">
        <x:v>2021-22</x:v>
      </x:c>
      <x:c r="B732" s="20" t="n">
        <x:v>44697</x:v>
      </x:c>
      <x:c r="C732" s="4" t="str">
        <x:v>Arsenal</x:v>
      </x:c>
      <x:c r="D732" s="4" t="str">
        <x:v>Newcastle</x:v>
      </x:c>
      <x:c r="E732" s="4" t="str">
        <x:v>Away</x:v>
      </x:c>
      <x:c r="F732" s="28" t="n">
        <x:v>0</x:v>
      </x:c>
      <x:c r="G732" s="28" t="n">
        <x:v>2</x:v>
      </x:c>
      <x:c r="H732" s="28" t="n">
        <x:v>11</x:v>
      </x:c>
      <x:c r="I732" s="28" t="n">
        <x:v>16</x:v>
      </x:c>
      <x:c r="J732" s="28" t="n">
        <x:v>2</x:v>
      </x:c>
      <x:c r="K732" s="28" t="n">
        <x:v>4</x:v>
      </x:c>
      <x:c r="L732" s="28" t="n">
        <x:v>8</x:v>
      </x:c>
      <x:c r="M732" s="28" t="n">
        <x:v>12</x:v>
      </x:c>
      <x:c r="N732" s="28" t="n">
        <x:v>3</x:v>
      </x:c>
      <x:c r="O732" s="28" t="n">
        <x:v>0</x:v>
      </x:c>
      <x:c r="P732" s="28" t="n">
        <x:v>0</x:v>
      </x:c>
      <x:c r="Q732" s="24" t="n">
        <x:f>IFERROR(J732/H732,0)</x:f>
        <x:v>0.18181818181818182</x:v>
      </x:c>
      <x:c r="R732" s="24" t="n">
        <x:f>IFERROR(F732/H732,0)</x:f>
        <x:v>0</x:v>
      </x:c>
      <x:c r="S732" s="24" t="n">
        <x:f>IFERROR(F732/J732,0)</x:f>
        <x:v>0</x:v>
      </x:c>
      <x:c r="T732" s="28" t="n">
        <x:f>H732-I732</x:f>
        <x:v>-5</x:v>
      </x:c>
      <x:c r="U732" s="24" t="n">
        <x:f>IFERROR(J732/H732,0)-IFERROR(K732/I732,0)</x:f>
        <x:v>-0.06818181818181818</x:v>
      </x:c>
      <x:c r="V732" s="24" t="n">
        <x:f>IFERROR(F732/J732,0)-IFERROR(G732/K732,0)</x:f>
        <x:v>-0.5</x:v>
      </x:c>
      <x:c r="W732" s="28" t="n">
        <x:f>L732-M732</x:f>
        <x:v>-4</x:v>
      </x:c>
      <x:c r="X732" s="24" t="n">
        <x:f>IFERROR(K732/I732,0)</x:f>
        <x:v>0.25</x:v>
      </x:c>
      <x:c r="Y732" s="24" t="n">
        <x:f>IFERROR(G732/I732,0)</x:f>
        <x:v>0.125</x:v>
      </x:c>
      <x:c r="Z732" s="24" t="n">
        <x:f>IFERROR(G732/K732,0)</x:f>
        <x:v>0.5</x:v>
      </x:c>
      <x:c r="AA732" s="24" t="n">
        <x:f>IFERROR(F732/H732,0)-IFERROR(G732/I732,0)</x:f>
        <x:v>-0.125</x:v>
      </x:c>
      <x:c r="AB732" s="28" t="n">
        <x:f>J732-K732</x:f>
        <x:v>-2</x:v>
      </x:c>
      <x:c r="AC732" s="32" t="n">
        <x:f>F732-G732</x:f>
        <x:v>-2</x:v>
      </x:c>
    </x:row>
    <x:row r="733">
      <x:c r="A733" s="4" t="str">
        <x:v>2021-22</x:v>
      </x:c>
      <x:c r="B733" s="20" t="n">
        <x:v>44697</x:v>
      </x:c>
      <x:c r="C733" s="4" t="str">
        <x:v>Newcastle</x:v>
      </x:c>
      <x:c r="D733" s="4" t="str">
        <x:v>Arsenal</x:v>
      </x:c>
      <x:c r="E733" s="4" t="str">
        <x:v>Home</x:v>
      </x:c>
      <x:c r="F733" s="28" t="n">
        <x:v>2</x:v>
      </x:c>
      <x:c r="G733" s="28" t="n">
        <x:v>0</x:v>
      </x:c>
      <x:c r="H733" s="28" t="n">
        <x:v>16</x:v>
      </x:c>
      <x:c r="I733" s="28" t="n">
        <x:v>11</x:v>
      </x:c>
      <x:c r="J733" s="28" t="n">
        <x:v>4</x:v>
      </x:c>
      <x:c r="K733" s="28" t="n">
        <x:v>2</x:v>
      </x:c>
      <x:c r="L733" s="28" t="n">
        <x:v>12</x:v>
      </x:c>
      <x:c r="M733" s="28" t="n">
        <x:v>8</x:v>
      </x:c>
      <x:c r="N733" s="28" t="n">
        <x:v>0</x:v>
      </x:c>
      <x:c r="O733" s="28" t="n">
        <x:v>0</x:v>
      </x:c>
      <x:c r="P733" s="28" t="n">
        <x:v>3</x:v>
      </x:c>
      <x:c r="Q733" s="24" t="n">
        <x:f>IFERROR(J733/H733,0)</x:f>
        <x:v>0.25</x:v>
      </x:c>
      <x:c r="R733" s="24" t="n">
        <x:f>IFERROR(F733/H733,0)</x:f>
        <x:v>0.125</x:v>
      </x:c>
      <x:c r="S733" s="24" t="n">
        <x:f>IFERROR(F733/J733,0)</x:f>
        <x:v>0.5</x:v>
      </x:c>
      <x:c r="T733" s="28" t="n">
        <x:f>H733-I733</x:f>
        <x:v>5</x:v>
      </x:c>
      <x:c r="U733" s="24" t="n">
        <x:f>IFERROR(J733/H733,0)-IFERROR(K733/I733,0)</x:f>
        <x:v>0.06818181818181818</x:v>
      </x:c>
      <x:c r="V733" s="24" t="n">
        <x:f>IFERROR(F733/J733,0)-IFERROR(G733/K733,0)</x:f>
        <x:v>0.5</x:v>
      </x:c>
      <x:c r="W733" s="28" t="n">
        <x:f>L733-M733</x:f>
        <x:v>4</x:v>
      </x:c>
      <x:c r="X733" s="24" t="n">
        <x:f>IFERROR(K733/I733,0)</x:f>
        <x:v>0.18181818181818182</x:v>
      </x:c>
      <x:c r="Y733" s="24" t="n">
        <x:f>IFERROR(G733/I733,0)</x:f>
        <x:v>0</x:v>
      </x:c>
      <x:c r="Z733" s="24" t="n">
        <x:f>IFERROR(G733/K733,0)</x:f>
        <x:v>0</x:v>
      </x:c>
      <x:c r="AA733" s="24" t="n">
        <x:f>IFERROR(F733/H733,0)-IFERROR(G733/I733,0)</x:f>
        <x:v>0.125</x:v>
      </x:c>
      <x:c r="AB733" s="28" t="n">
        <x:f>J733-K733</x:f>
        <x:v>2</x:v>
      </x:c>
      <x:c r="AC733" s="32" t="n">
        <x:f>F733-G733</x:f>
        <x:v>2</x:v>
      </x:c>
    </x:row>
    <x:row r="734">
      <x:c r="A734" s="4" t="str">
        <x:v>2021-22</x:v>
      </x:c>
      <x:c r="B734" s="20" t="n">
        <x:v>44698</x:v>
      </x:c>
      <x:c r="C734" s="4" t="str">
        <x:v>Liverpool</x:v>
      </x:c>
      <x:c r="D734" s="4" t="str">
        <x:v>Southampton</x:v>
      </x:c>
      <x:c r="E734" s="4" t="str">
        <x:v>Away</x:v>
      </x:c>
      <x:c r="F734" s="28" t="n">
        <x:v>2</x:v>
      </x:c>
      <x:c r="G734" s="28" t="n">
        <x:v>1</x:v>
      </x:c>
      <x:c r="H734" s="28" t="n">
        <x:v>24</x:v>
      </x:c>
      <x:c r="I734" s="28" t="n">
        <x:v>4</x:v>
      </x:c>
      <x:c r="J734" s="28" t="n">
        <x:v>5</x:v>
      </x:c>
      <x:c r="K734" s="28" t="n">
        <x:v>2</x:v>
      </x:c>
      <x:c r="L734" s="28" t="n">
        <x:v>9</x:v>
      </x:c>
      <x:c r="M734" s="28" t="n">
        <x:v>1</x:v>
      </x:c>
      <x:c r="N734" s="28" t="n">
        <x:v>0</x:v>
      </x:c>
      <x:c r="O734" s="28" t="n">
        <x:v>0</x:v>
      </x:c>
      <x:c r="P734" s="28" t="n">
        <x:v>3</x:v>
      </x:c>
      <x:c r="Q734" s="24" t="n">
        <x:f>IFERROR(J734/H734,0)</x:f>
        <x:v>0.20833333333333334</x:v>
      </x:c>
      <x:c r="R734" s="24" t="n">
        <x:f>IFERROR(F734/H734,0)</x:f>
        <x:v>0.08333333333333333</x:v>
      </x:c>
      <x:c r="S734" s="24" t="n">
        <x:f>IFERROR(F734/J734,0)</x:f>
        <x:v>0.4</x:v>
      </x:c>
      <x:c r="T734" s="28" t="n">
        <x:f>H734-I734</x:f>
        <x:v>20</x:v>
      </x:c>
      <x:c r="U734" s="24" t="n">
        <x:f>IFERROR(J734/H734,0)-IFERROR(K734/I734,0)</x:f>
        <x:v>-0.29166666666666663</x:v>
      </x:c>
      <x:c r="V734" s="24" t="n">
        <x:f>IFERROR(F734/J734,0)-IFERROR(G734/K734,0)</x:f>
        <x:v>-0.09999999999999998</x:v>
      </x:c>
      <x:c r="W734" s="28" t="n">
        <x:f>L734-M734</x:f>
        <x:v>8</x:v>
      </x:c>
      <x:c r="X734" s="24" t="n">
        <x:f>IFERROR(K734/I734,0)</x:f>
        <x:v>0.5</x:v>
      </x:c>
      <x:c r="Y734" s="24" t="n">
        <x:f>IFERROR(G734/I734,0)</x:f>
        <x:v>0.25</x:v>
      </x:c>
      <x:c r="Z734" s="24" t="n">
        <x:f>IFERROR(G734/K734,0)</x:f>
        <x:v>0.5</x:v>
      </x:c>
      <x:c r="AA734" s="24" t="n">
        <x:f>IFERROR(F734/H734,0)-IFERROR(G734/I734,0)</x:f>
        <x:v>-0.16666666666666669</x:v>
      </x:c>
      <x:c r="AB734" s="28" t="n">
        <x:f>J734-K734</x:f>
        <x:v>3</x:v>
      </x:c>
      <x:c r="AC734" s="32" t="n">
        <x:f>F734-G734</x:f>
        <x:v>1</x:v>
      </x:c>
    </x:row>
    <x:row r="735">
      <x:c r="A735" s="4" t="str">
        <x:v>2021-22</x:v>
      </x:c>
      <x:c r="B735" s="20" t="n">
        <x:v>44698</x:v>
      </x:c>
      <x:c r="C735" s="4" t="str">
        <x:v>Southampton</x:v>
      </x:c>
      <x:c r="D735" s="4" t="str">
        <x:v>Liverpool</x:v>
      </x:c>
      <x:c r="E735" s="4" t="str">
        <x:v>Home</x:v>
      </x:c>
      <x:c r="F735" s="28" t="n">
        <x:v>1</x:v>
      </x:c>
      <x:c r="G735" s="28" t="n">
        <x:v>2</x:v>
      </x:c>
      <x:c r="H735" s="28" t="n">
        <x:v>4</x:v>
      </x:c>
      <x:c r="I735" s="28" t="n">
        <x:v>24</x:v>
      </x:c>
      <x:c r="J735" s="28" t="n">
        <x:v>2</x:v>
      </x:c>
      <x:c r="K735" s="28" t="n">
        <x:v>5</x:v>
      </x:c>
      <x:c r="L735" s="28" t="n">
        <x:v>1</x:v>
      </x:c>
      <x:c r="M735" s="28" t="n">
        <x:v>9</x:v>
      </x:c>
      <x:c r="N735" s="28" t="n">
        <x:v>2</x:v>
      </x:c>
      <x:c r="O735" s="28" t="n">
        <x:v>0</x:v>
      </x:c>
      <x:c r="P735" s="28" t="n">
        <x:v>0</x:v>
      </x:c>
      <x:c r="Q735" s="24" t="n">
        <x:f>IFERROR(J735/H735,0)</x:f>
        <x:v>0.5</x:v>
      </x:c>
      <x:c r="R735" s="24" t="n">
        <x:f>IFERROR(F735/H735,0)</x:f>
        <x:v>0.25</x:v>
      </x:c>
      <x:c r="S735" s="24" t="n">
        <x:f>IFERROR(F735/J735,0)</x:f>
        <x:v>0.5</x:v>
      </x:c>
      <x:c r="T735" s="28" t="n">
        <x:f>H735-I735</x:f>
        <x:v>-20</x:v>
      </x:c>
      <x:c r="U735" s="24" t="n">
        <x:f>IFERROR(J735/H735,0)-IFERROR(K735/I735,0)</x:f>
        <x:v>0.29166666666666663</x:v>
      </x:c>
      <x:c r="V735" s="24" t="n">
        <x:f>IFERROR(F735/J735,0)-IFERROR(G735/K735,0)</x:f>
        <x:v>0.09999999999999998</x:v>
      </x:c>
      <x:c r="W735" s="28" t="n">
        <x:f>L735-M735</x:f>
        <x:v>-8</x:v>
      </x:c>
      <x:c r="X735" s="24" t="n">
        <x:f>IFERROR(K735/I735,0)</x:f>
        <x:v>0.20833333333333334</x:v>
      </x:c>
      <x:c r="Y735" s="24" t="n">
        <x:f>IFERROR(G735/I735,0)</x:f>
        <x:v>0.08333333333333333</x:v>
      </x:c>
      <x:c r="Z735" s="24" t="n">
        <x:f>IFERROR(G735/K735,0)</x:f>
        <x:v>0.4</x:v>
      </x:c>
      <x:c r="AA735" s="24" t="n">
        <x:f>IFERROR(F735/H735,0)-IFERROR(G735/I735,0)</x:f>
        <x:v>0.16666666666666669</x:v>
      </x:c>
      <x:c r="AB735" s="28" t="n">
        <x:f>J735-K735</x:f>
        <x:v>-3</x:v>
      </x:c>
      <x:c r="AC735" s="32" t="n">
        <x:f>F735-G735</x:f>
        <x:v>-1</x:v>
      </x:c>
    </x:row>
    <x:row r="736">
      <x:c r="A736" s="4" t="str">
        <x:v>2021-22</x:v>
      </x:c>
      <x:c r="B736" s="20" t="n">
        <x:v>44700</x:v>
      </x:c>
      <x:c r="C736" s="4" t="str">
        <x:v>Aston Villa</x:v>
      </x:c>
      <x:c r="D736" s="4" t="str">
        <x:v>Burnley</x:v>
      </x:c>
      <x:c r="E736" s="4" t="str">
        <x:v>Home</x:v>
      </x:c>
      <x:c r="F736" s="28" t="n">
        <x:v>1</x:v>
      </x:c>
      <x:c r="G736" s="28" t="n">
        <x:v>1</x:v>
      </x:c>
      <x:c r="H736" s="28" t="n">
        <x:v>22</x:v>
      </x:c>
      <x:c r="I736" s="28" t="n">
        <x:v>10</x:v>
      </x:c>
      <x:c r="J736" s="28" t="n">
        <x:v>9</x:v>
      </x:c>
      <x:c r="K736" s="28" t="n">
        <x:v>5</x:v>
      </x:c>
      <x:c r="L736" s="28" t="n">
        <x:v>13</x:v>
      </x:c>
      <x:c r="M736" s="28" t="n">
        <x:v>6</x:v>
      </x:c>
      <x:c r="N736" s="28" t="n">
        <x:v>0</x:v>
      </x:c>
      <x:c r="O736" s="28" t="n">
        <x:v>0</x:v>
      </x:c>
      <x:c r="P736" s="28" t="n">
        <x:v>1</x:v>
      </x:c>
      <x:c r="Q736" s="24" t="n">
        <x:f>IFERROR(J736/H736,0)</x:f>
        <x:v>0.4090909090909091</x:v>
      </x:c>
      <x:c r="R736" s="24" t="n">
        <x:f>IFERROR(F736/H736,0)</x:f>
        <x:v>0.045454545454545456</x:v>
      </x:c>
      <x:c r="S736" s="24" t="n">
        <x:f>IFERROR(F736/J736,0)</x:f>
        <x:v>0.1111111111111111</x:v>
      </x:c>
      <x:c r="T736" s="28" t="n">
        <x:f>H736-I736</x:f>
        <x:v>12</x:v>
      </x:c>
      <x:c r="U736" s="24" t="n">
        <x:f>IFERROR(J736/H736,0)-IFERROR(K736/I736,0)</x:f>
        <x:v>-0.09090909090909088</x:v>
      </x:c>
      <x:c r="V736" s="24" t="n">
        <x:f>IFERROR(F736/J736,0)-IFERROR(G736/K736,0)</x:f>
        <x:v>-0.0888888888888889</x:v>
      </x:c>
      <x:c r="W736" s="28" t="n">
        <x:f>L736-M736</x:f>
        <x:v>7</x:v>
      </x:c>
      <x:c r="X736" s="24" t="n">
        <x:f>IFERROR(K736/I736,0)</x:f>
        <x:v>0.5</x:v>
      </x:c>
      <x:c r="Y736" s="24" t="n">
        <x:f>IFERROR(G736/I736,0)</x:f>
        <x:v>0.1</x:v>
      </x:c>
      <x:c r="Z736" s="24" t="n">
        <x:f>IFERROR(G736/K736,0)</x:f>
        <x:v>0.2</x:v>
      </x:c>
      <x:c r="AA736" s="24" t="n">
        <x:f>IFERROR(F736/H736,0)-IFERROR(G736/I736,0)</x:f>
        <x:v>-0.05454545454545455</x:v>
      </x:c>
      <x:c r="AB736" s="28" t="n">
        <x:f>J736-K736</x:f>
        <x:v>4</x:v>
      </x:c>
      <x:c r="AC736" s="32" t="n">
        <x:f>F736-G736</x:f>
        <x:v>0</x:v>
      </x:c>
    </x:row>
    <x:row r="737">
      <x:c r="A737" s="4" t="str">
        <x:v>2021-22</x:v>
      </x:c>
      <x:c r="B737" s="20" t="n">
        <x:v>44700</x:v>
      </x:c>
      <x:c r="C737" s="4" t="str">
        <x:v>Burnley</x:v>
      </x:c>
      <x:c r="D737" s="4" t="str">
        <x:v>Aston Villa</x:v>
      </x:c>
      <x:c r="E737" s="4" t="str">
        <x:v>Away</x:v>
      </x:c>
      <x:c r="F737" s="28" t="n">
        <x:v>1</x:v>
      </x:c>
      <x:c r="G737" s="28" t="n">
        <x:v>1</x:v>
      </x:c>
      <x:c r="H737" s="28" t="n">
        <x:v>10</x:v>
      </x:c>
      <x:c r="I737" s="28" t="n">
        <x:v>22</x:v>
      </x:c>
      <x:c r="J737" s="28" t="n">
        <x:v>5</x:v>
      </x:c>
      <x:c r="K737" s="28" t="n">
        <x:v>9</x:v>
      </x:c>
      <x:c r="L737" s="28" t="n">
        <x:v>6</x:v>
      </x:c>
      <x:c r="M737" s="28" t="n">
        <x:v>13</x:v>
      </x:c>
      <x:c r="N737" s="28" t="n">
        <x:v>1</x:v>
      </x:c>
      <x:c r="O737" s="28" t="n">
        <x:v>1</x:v>
      </x:c>
      <x:c r="P737" s="28" t="n">
        <x:v>1</x:v>
      </x:c>
      <x:c r="Q737" s="24" t="n">
        <x:f>IFERROR(J737/H737,0)</x:f>
        <x:v>0.5</x:v>
      </x:c>
      <x:c r="R737" s="24" t="n">
        <x:f>IFERROR(F737/H737,0)</x:f>
        <x:v>0.1</x:v>
      </x:c>
      <x:c r="S737" s="24" t="n">
        <x:f>IFERROR(F737/J737,0)</x:f>
        <x:v>0.2</x:v>
      </x:c>
      <x:c r="T737" s="28" t="n">
        <x:f>H737-I737</x:f>
        <x:v>-12</x:v>
      </x:c>
      <x:c r="U737" s="24" t="n">
        <x:f>IFERROR(J737/H737,0)-IFERROR(K737/I737,0)</x:f>
        <x:v>0.09090909090909088</x:v>
      </x:c>
      <x:c r="V737" s="24" t="n">
        <x:f>IFERROR(F737/J737,0)-IFERROR(G737/K737,0)</x:f>
        <x:v>0.0888888888888889</x:v>
      </x:c>
      <x:c r="W737" s="28" t="n">
        <x:f>L737-M737</x:f>
        <x:v>-7</x:v>
      </x:c>
      <x:c r="X737" s="24" t="n">
        <x:f>IFERROR(K737/I737,0)</x:f>
        <x:v>0.4090909090909091</x:v>
      </x:c>
      <x:c r="Y737" s="24" t="n">
        <x:f>IFERROR(G737/I737,0)</x:f>
        <x:v>0.045454545454545456</x:v>
      </x:c>
      <x:c r="Z737" s="24" t="n">
        <x:f>IFERROR(G737/K737,0)</x:f>
        <x:v>0.1111111111111111</x:v>
      </x:c>
      <x:c r="AA737" s="24" t="n">
        <x:f>IFERROR(F737/H737,0)-IFERROR(G737/I737,0)</x:f>
        <x:v>0.05454545454545455</x:v>
      </x:c>
      <x:c r="AB737" s="28" t="n">
        <x:f>J737-K737</x:f>
        <x:v>-4</x:v>
      </x:c>
      <x:c r="AC737" s="32" t="n">
        <x:f>F737-G737</x:f>
        <x:v>0</x:v>
      </x:c>
    </x:row>
    <x:row r="738">
      <x:c r="A738" s="4" t="str">
        <x:v>2021-22</x:v>
      </x:c>
      <x:c r="B738" s="20" t="n">
        <x:v>44700</x:v>
      </x:c>
      <x:c r="C738" s="4" t="str">
        <x:v>Chelsea</x:v>
      </x:c>
      <x:c r="D738" s="4" t="str">
        <x:v>Leicester</x:v>
      </x:c>
      <x:c r="E738" s="4" t="str">
        <x:v>Home</x:v>
      </x:c>
      <x:c r="F738" s="28" t="n">
        <x:v>1</x:v>
      </x:c>
      <x:c r="G738" s="28" t="n">
        <x:v>1</x:v>
      </x:c>
      <x:c r="H738" s="28" t="n">
        <x:v>20</x:v>
      </x:c>
      <x:c r="I738" s="28" t="n">
        <x:v>2</x:v>
      </x:c>
      <x:c r="J738" s="28" t="n">
        <x:v>7</x:v>
      </x:c>
      <x:c r="K738" s="28" t="n">
        <x:v>1</x:v>
      </x:c>
      <x:c r="L738" s="28" t="n">
        <x:v>6</x:v>
      </x:c>
      <x:c r="M738" s="28" t="n">
        <x:v>0</x:v>
      </x:c>
      <x:c r="N738" s="28" t="n">
        <x:v>4</x:v>
      </x:c>
      <x:c r="O738" s="28" t="n">
        <x:v>0</x:v>
      </x:c>
      <x:c r="P738" s="28" t="n">
        <x:v>1</x:v>
      </x:c>
      <x:c r="Q738" s="24" t="n">
        <x:f>IFERROR(J738/H738,0)</x:f>
        <x:v>0.35</x:v>
      </x:c>
      <x:c r="R738" s="24" t="n">
        <x:f>IFERROR(F738/H738,0)</x:f>
        <x:v>0.05</x:v>
      </x:c>
      <x:c r="S738" s="24" t="n">
        <x:f>IFERROR(F738/J738,0)</x:f>
        <x:v>0.14285714285714285</x:v>
      </x:c>
      <x:c r="T738" s="28" t="n">
        <x:f>H738-I738</x:f>
        <x:v>18</x:v>
      </x:c>
      <x:c r="U738" s="24" t="n">
        <x:f>IFERROR(J738/H738,0)-IFERROR(K738/I738,0)</x:f>
        <x:v>-0.15000000000000002</x:v>
      </x:c>
      <x:c r="V738" s="24" t="n">
        <x:f>IFERROR(F738/J738,0)-IFERROR(G738/K738,0)</x:f>
        <x:v>-0.8571428571428572</x:v>
      </x:c>
      <x:c r="W738" s="28" t="n">
        <x:f>L738-M738</x:f>
        <x:v>6</x:v>
      </x:c>
      <x:c r="X738" s="24" t="n">
        <x:f>IFERROR(K738/I738,0)</x:f>
        <x:v>0.5</x:v>
      </x:c>
      <x:c r="Y738" s="24" t="n">
        <x:f>IFERROR(G738/I738,0)</x:f>
        <x:v>0.5</x:v>
      </x:c>
      <x:c r="Z738" s="24" t="n">
        <x:f>IFERROR(G738/K738,0)</x:f>
        <x:v>1</x:v>
      </x:c>
      <x:c r="AA738" s="24" t="n">
        <x:f>IFERROR(F738/H738,0)-IFERROR(G738/I738,0)</x:f>
        <x:v>-0.45</x:v>
      </x:c>
      <x:c r="AB738" s="28" t="n">
        <x:f>J738-K738</x:f>
        <x:v>6</x:v>
      </x:c>
      <x:c r="AC738" s="32" t="n">
        <x:f>F738-G738</x:f>
        <x:v>0</x:v>
      </x:c>
    </x:row>
    <x:row r="739">
      <x:c r="A739" s="4" t="str">
        <x:v>2021-22</x:v>
      </x:c>
      <x:c r="B739" s="20" t="n">
        <x:v>44700</x:v>
      </x:c>
      <x:c r="C739" s="4" t="str">
        <x:v>Crystal Palace</x:v>
      </x:c>
      <x:c r="D739" s="4" t="str">
        <x:v>Everton</x:v>
      </x:c>
      <x:c r="E739" s="4" t="str">
        <x:v>Away</x:v>
      </x:c>
      <x:c r="F739" s="28" t="n">
        <x:v>2</x:v>
      </x:c>
      <x:c r="G739" s="28" t="n">
        <x:v>3</x:v>
      </x:c>
      <x:c r="H739" s="28" t="n">
        <x:v>7</x:v>
      </x:c>
      <x:c r="I739" s="28" t="n">
        <x:v>12</x:v>
      </x:c>
      <x:c r="J739" s="28" t="n">
        <x:v>5</x:v>
      </x:c>
      <x:c r="K739" s="28" t="n">
        <x:v>6</x:v>
      </x:c>
      <x:c r="L739" s="28" t="n">
        <x:v>5</x:v>
      </x:c>
      <x:c r="M739" s="28" t="n">
        <x:v>4</x:v>
      </x:c>
      <x:c r="N739" s="28" t="n">
        <x:v>3</x:v>
      </x:c>
      <x:c r="O739" s="28" t="n">
        <x:v>0</x:v>
      </x:c>
      <x:c r="P739" s="28" t="n">
        <x:v>0</x:v>
      </x:c>
      <x:c r="Q739" s="24" t="n">
        <x:f>IFERROR(J739/H739,0)</x:f>
        <x:v>0.7142857142857143</x:v>
      </x:c>
      <x:c r="R739" s="24" t="n">
        <x:f>IFERROR(F739/H739,0)</x:f>
        <x:v>0.2857142857142857</x:v>
      </x:c>
      <x:c r="S739" s="24" t="n">
        <x:f>IFERROR(F739/J739,0)</x:f>
        <x:v>0.4</x:v>
      </x:c>
      <x:c r="T739" s="28" t="n">
        <x:f>H739-I739</x:f>
        <x:v>-5</x:v>
      </x:c>
      <x:c r="U739" s="24" t="n">
        <x:f>IFERROR(J739/H739,0)-IFERROR(K739/I739,0)</x:f>
        <x:v>0.2142857142857143</x:v>
      </x:c>
      <x:c r="V739" s="24" t="n">
        <x:f>IFERROR(F739/J739,0)-IFERROR(G739/K739,0)</x:f>
        <x:v>-0.09999999999999998</x:v>
      </x:c>
      <x:c r="W739" s="28" t="n">
        <x:f>L739-M739</x:f>
        <x:v>1</x:v>
      </x:c>
      <x:c r="X739" s="24" t="n">
        <x:f>IFERROR(K739/I739,0)</x:f>
        <x:v>0.5</x:v>
      </x:c>
      <x:c r="Y739" s="24" t="n">
        <x:f>IFERROR(G739/I739,0)</x:f>
        <x:v>0.25</x:v>
      </x:c>
      <x:c r="Z739" s="24" t="n">
        <x:f>IFERROR(G739/K739,0)</x:f>
        <x:v>0.5</x:v>
      </x:c>
      <x:c r="AA739" s="24" t="n">
        <x:f>IFERROR(F739/H739,0)-IFERROR(G739/I739,0)</x:f>
        <x:v>0.0357142857142857</x:v>
      </x:c>
      <x:c r="AB739" s="28" t="n">
        <x:f>J739-K739</x:f>
        <x:v>-1</x:v>
      </x:c>
      <x:c r="AC739" s="32" t="n">
        <x:f>F739-G739</x:f>
        <x:v>-1</x:v>
      </x:c>
    </x:row>
    <x:row r="740">
      <x:c r="A740" s="4" t="str">
        <x:v>2021-22</x:v>
      </x:c>
      <x:c r="B740" s="20" t="n">
        <x:v>44700</x:v>
      </x:c>
      <x:c r="C740" s="4" t="str">
        <x:v>Everton</x:v>
      </x:c>
      <x:c r="D740" s="4" t="str">
        <x:v>Crystal Palace</x:v>
      </x:c>
      <x:c r="E740" s="4" t="str">
        <x:v>Home</x:v>
      </x:c>
      <x:c r="F740" s="28" t="n">
        <x:v>3</x:v>
      </x:c>
      <x:c r="G740" s="28" t="n">
        <x:v>2</x:v>
      </x:c>
      <x:c r="H740" s="28" t="n">
        <x:v>12</x:v>
      </x:c>
      <x:c r="I740" s="28" t="n">
        <x:v>7</x:v>
      </x:c>
      <x:c r="J740" s="28" t="n">
        <x:v>6</x:v>
      </x:c>
      <x:c r="K740" s="28" t="n">
        <x:v>5</x:v>
      </x:c>
      <x:c r="L740" s="28" t="n">
        <x:v>4</x:v>
      </x:c>
      <x:c r="M740" s="28" t="n">
        <x:v>5</x:v>
      </x:c>
      <x:c r="N740" s="28" t="n">
        <x:v>2</x:v>
      </x:c>
      <x:c r="O740" s="28" t="n">
        <x:v>0</x:v>
      </x:c>
      <x:c r="P740" s="28" t="n">
        <x:v>3</x:v>
      </x:c>
      <x:c r="Q740" s="24" t="n">
        <x:f>IFERROR(J740/H740,0)</x:f>
        <x:v>0.5</x:v>
      </x:c>
      <x:c r="R740" s="24" t="n">
        <x:f>IFERROR(F740/H740,0)</x:f>
        <x:v>0.25</x:v>
      </x:c>
      <x:c r="S740" s="24" t="n">
        <x:f>IFERROR(F740/J740,0)</x:f>
        <x:v>0.5</x:v>
      </x:c>
      <x:c r="T740" s="28" t="n">
        <x:f>H740-I740</x:f>
        <x:v>5</x:v>
      </x:c>
      <x:c r="U740" s="24" t="n">
        <x:f>IFERROR(J740/H740,0)-IFERROR(K740/I740,0)</x:f>
        <x:v>-0.2142857142857143</x:v>
      </x:c>
      <x:c r="V740" s="24" t="n">
        <x:f>IFERROR(F740/J740,0)-IFERROR(G740/K740,0)</x:f>
        <x:v>0.09999999999999998</x:v>
      </x:c>
      <x:c r="W740" s="28" t="n">
        <x:f>L740-M740</x:f>
        <x:v>-1</x:v>
      </x:c>
      <x:c r="X740" s="24" t="n">
        <x:f>IFERROR(K740/I740,0)</x:f>
        <x:v>0.7142857142857143</x:v>
      </x:c>
      <x:c r="Y740" s="24" t="n">
        <x:f>IFERROR(G740/I740,0)</x:f>
        <x:v>0.2857142857142857</x:v>
      </x:c>
      <x:c r="Z740" s="24" t="n">
        <x:f>IFERROR(G740/K740,0)</x:f>
        <x:v>0.4</x:v>
      </x:c>
      <x:c r="AA740" s="24" t="n">
        <x:f>IFERROR(F740/H740,0)-IFERROR(G740/I740,0)</x:f>
        <x:v>-0.0357142857142857</x:v>
      </x:c>
      <x:c r="AB740" s="28" t="n">
        <x:f>J740-K740</x:f>
        <x:v>1</x:v>
      </x:c>
      <x:c r="AC740" s="32" t="n">
        <x:f>F740-G740</x:f>
        <x:v>1</x:v>
      </x:c>
    </x:row>
    <x:row r="741">
      <x:c r="A741" s="4" t="str">
        <x:v>2021-22</x:v>
      </x:c>
      <x:c r="B741" s="20" t="n">
        <x:v>44700</x:v>
      </x:c>
      <x:c r="C741" s="4" t="str">
        <x:v>Leicester</x:v>
      </x:c>
      <x:c r="D741" s="4" t="str">
        <x:v>Chelsea</x:v>
      </x:c>
      <x:c r="E741" s="4" t="str">
        <x:v>Away</x:v>
      </x:c>
      <x:c r="F741" s="28" t="n">
        <x:v>1</x:v>
      </x:c>
      <x:c r="G741" s="28" t="n">
        <x:v>1</x:v>
      </x:c>
      <x:c r="H741" s="28" t="n">
        <x:v>2</x:v>
      </x:c>
      <x:c r="I741" s="28" t="n">
        <x:v>20</x:v>
      </x:c>
      <x:c r="J741" s="28" t="n">
        <x:v>1</x:v>
      </x:c>
      <x:c r="K741" s="28" t="n">
        <x:v>7</x:v>
      </x:c>
      <x:c r="L741" s="28" t="n">
        <x:v>0</x:v>
      </x:c>
      <x:c r="M741" s="28" t="n">
        <x:v>6</x:v>
      </x:c>
      <x:c r="N741" s="28" t="n">
        <x:v>1</x:v>
      </x:c>
      <x:c r="O741" s="28" t="n">
        <x:v>0</x:v>
      </x:c>
      <x:c r="P741" s="28" t="n">
        <x:v>1</x:v>
      </x:c>
      <x:c r="Q741" s="24" t="n">
        <x:f>IFERROR(J741/H741,0)</x:f>
        <x:v>0.5</x:v>
      </x:c>
      <x:c r="R741" s="24" t="n">
        <x:f>IFERROR(F741/H741,0)</x:f>
        <x:v>0.5</x:v>
      </x:c>
      <x:c r="S741" s="24" t="n">
        <x:f>IFERROR(F741/J741,0)</x:f>
        <x:v>1</x:v>
      </x:c>
      <x:c r="T741" s="28" t="n">
        <x:f>H741-I741</x:f>
        <x:v>-18</x:v>
      </x:c>
      <x:c r="U741" s="24" t="n">
        <x:f>IFERROR(J741/H741,0)-IFERROR(K741/I741,0)</x:f>
        <x:v>0.15000000000000002</x:v>
      </x:c>
      <x:c r="V741" s="24" t="n">
        <x:f>IFERROR(F741/J741,0)-IFERROR(G741/K741,0)</x:f>
        <x:v>0.8571428571428572</x:v>
      </x:c>
      <x:c r="W741" s="28" t="n">
        <x:f>L741-M741</x:f>
        <x:v>-6</x:v>
      </x:c>
      <x:c r="X741" s="24" t="n">
        <x:f>IFERROR(K741/I741,0)</x:f>
        <x:v>0.35</x:v>
      </x:c>
      <x:c r="Y741" s="24" t="n">
        <x:f>IFERROR(G741/I741,0)</x:f>
        <x:v>0.05</x:v>
      </x:c>
      <x:c r="Z741" s="24" t="n">
        <x:f>IFERROR(G741/K741,0)</x:f>
        <x:v>0.14285714285714285</x:v>
      </x:c>
      <x:c r="AA741" s="24" t="n">
        <x:f>IFERROR(F741/H741,0)-IFERROR(G741/I741,0)</x:f>
        <x:v>0.45</x:v>
      </x:c>
      <x:c r="AB741" s="28" t="n">
        <x:f>J741-K741</x:f>
        <x:v>-6</x:v>
      </x:c>
      <x:c r="AC741" s="32" t="n">
        <x:f>F741-G741</x:f>
        <x:v>0</x:v>
      </x:c>
    </x:row>
    <x:row r="742">
      <x:c r="A742" s="4" t="str">
        <x:v>2021-22</x:v>
      </x:c>
      <x:c r="B742" s="20" t="n">
        <x:v>44703</x:v>
      </x:c>
      <x:c r="C742" s="4" t="str">
        <x:v>Arsenal</x:v>
      </x:c>
      <x:c r="D742" s="4" t="str">
        <x:v>Everton</x:v>
      </x:c>
      <x:c r="E742" s="4" t="str">
        <x:v>Home</x:v>
      </x:c>
      <x:c r="F742" s="28" t="n">
        <x:v>5</x:v>
      </x:c>
      <x:c r="G742" s="28" t="n">
        <x:v>1</x:v>
      </x:c>
      <x:c r="H742" s="28" t="n">
        <x:v>26</x:v>
      </x:c>
      <x:c r="I742" s="28" t="n">
        <x:v>6</x:v>
      </x:c>
      <x:c r="J742" s="28" t="n">
        <x:v>9</x:v>
      </x:c>
      <x:c r="K742" s="28" t="n">
        <x:v>2</x:v>
      </x:c>
      <x:c r="L742" s="28" t="n">
        <x:v>12</x:v>
      </x:c>
      <x:c r="M742" s="28" t="n">
        <x:v>2</x:v>
      </x:c>
      <x:c r="N742" s="28" t="n">
        <x:v>0</x:v>
      </x:c>
      <x:c r="O742" s="28" t="n">
        <x:v>0</x:v>
      </x:c>
      <x:c r="P742" s="28" t="n">
        <x:v>3</x:v>
      </x:c>
      <x:c r="Q742" s="24" t="n">
        <x:f>IFERROR(J742/H742,0)</x:f>
        <x:v>0.34615384615384615</x:v>
      </x:c>
      <x:c r="R742" s="24" t="n">
        <x:f>IFERROR(F742/H742,0)</x:f>
        <x:v>0.19230769230769232</x:v>
      </x:c>
      <x:c r="S742" s="24" t="n">
        <x:f>IFERROR(F742/J742,0)</x:f>
        <x:v>0.5555555555555556</x:v>
      </x:c>
      <x:c r="T742" s="28" t="n">
        <x:f>H742-I742</x:f>
        <x:v>20</x:v>
      </x:c>
      <x:c r="U742" s="24" t="n">
        <x:f>IFERROR(J742/H742,0)-IFERROR(K742/I742,0)</x:f>
        <x:v>0.01282051282051283</x:v>
      </x:c>
      <x:c r="V742" s="24" t="n">
        <x:f>IFERROR(F742/J742,0)-IFERROR(G742/K742,0)</x:f>
        <x:v>0.05555555555555558</x:v>
      </x:c>
      <x:c r="W742" s="28" t="n">
        <x:f>L742-M742</x:f>
        <x:v>10</x:v>
      </x:c>
      <x:c r="X742" s="24" t="n">
        <x:f>IFERROR(K742/I742,0)</x:f>
        <x:v>0.3333333333333333</x:v>
      </x:c>
      <x:c r="Y742" s="24" t="n">
        <x:f>IFERROR(G742/I742,0)</x:f>
        <x:v>0.16666666666666666</x:v>
      </x:c>
      <x:c r="Z742" s="24" t="n">
        <x:f>IFERROR(G742/K742,0)</x:f>
        <x:v>0.5</x:v>
      </x:c>
      <x:c r="AA742" s="24" t="n">
        <x:f>IFERROR(F742/H742,0)-IFERROR(G742/I742,0)</x:f>
        <x:v>0.02564102564102566</x:v>
      </x:c>
      <x:c r="AB742" s="28" t="n">
        <x:f>J742-K742</x:f>
        <x:v>7</x:v>
      </x:c>
      <x:c r="AC742" s="32" t="n">
        <x:f>F742-G742</x:f>
        <x:v>4</x:v>
      </x:c>
    </x:row>
    <x:row r="743">
      <x:c r="A743" s="4" t="str">
        <x:v>2021-22</x:v>
      </x:c>
      <x:c r="B743" s="20" t="n">
        <x:v>44703</x:v>
      </x:c>
      <x:c r="C743" s="4" t="str">
        <x:v>Aston Villa</x:v>
      </x:c>
      <x:c r="D743" s="4" t="str">
        <x:v>Man City</x:v>
      </x:c>
      <x:c r="E743" s="4" t="str">
        <x:v>Away</x:v>
      </x:c>
      <x:c r="F743" s="28" t="n">
        <x:v>2</x:v>
      </x:c>
      <x:c r="G743" s="28" t="n">
        <x:v>3</x:v>
      </x:c>
      <x:c r="H743" s="28" t="n">
        <x:v>4</x:v>
      </x:c>
      <x:c r="I743" s="28" t="n">
        <x:v>24</x:v>
      </x:c>
      <x:c r="J743" s="28" t="n">
        <x:v>2</x:v>
      </x:c>
      <x:c r="K743" s="28" t="n">
        <x:v>5</x:v>
      </x:c>
      <x:c r="L743" s="28" t="n">
        <x:v>1</x:v>
      </x:c>
      <x:c r="M743" s="28" t="n">
        <x:v>13</x:v>
      </x:c>
      <x:c r="N743" s="28" t="n">
        <x:v>1</x:v>
      </x:c>
      <x:c r="O743" s="28" t="n">
        <x:v>0</x:v>
      </x:c>
      <x:c r="P743" s="28" t="n">
        <x:v>0</x:v>
      </x:c>
      <x:c r="Q743" s="24" t="n">
        <x:f>IFERROR(J743/H743,0)</x:f>
        <x:v>0.5</x:v>
      </x:c>
      <x:c r="R743" s="24" t="n">
        <x:f>IFERROR(F743/H743,0)</x:f>
        <x:v>0.5</x:v>
      </x:c>
      <x:c r="S743" s="24" t="n">
        <x:f>IFERROR(F743/J743,0)</x:f>
        <x:v>1</x:v>
      </x:c>
      <x:c r="T743" s="28" t="n">
        <x:f>H743-I743</x:f>
        <x:v>-20</x:v>
      </x:c>
      <x:c r="U743" s="24" t="n">
        <x:f>IFERROR(J743/H743,0)-IFERROR(K743/I743,0)</x:f>
        <x:v>0.29166666666666663</x:v>
      </x:c>
      <x:c r="V743" s="24" t="n">
        <x:f>IFERROR(F743/J743,0)-IFERROR(G743/K743,0)</x:f>
        <x:v>0.4</x:v>
      </x:c>
      <x:c r="W743" s="28" t="n">
        <x:f>L743-M743</x:f>
        <x:v>-12</x:v>
      </x:c>
      <x:c r="X743" s="24" t="n">
        <x:f>IFERROR(K743/I743,0)</x:f>
        <x:v>0.20833333333333334</x:v>
      </x:c>
      <x:c r="Y743" s="24" t="n">
        <x:f>IFERROR(G743/I743,0)</x:f>
        <x:v>0.125</x:v>
      </x:c>
      <x:c r="Z743" s="24" t="n">
        <x:f>IFERROR(G743/K743,0)</x:f>
        <x:v>0.6</x:v>
      </x:c>
      <x:c r="AA743" s="24" t="n">
        <x:f>IFERROR(F743/H743,0)-IFERROR(G743/I743,0)</x:f>
        <x:v>0.375</x:v>
      </x:c>
      <x:c r="AB743" s="28" t="n">
        <x:f>J743-K743</x:f>
        <x:v>-3</x:v>
      </x:c>
      <x:c r="AC743" s="32" t="n">
        <x:f>F743-G743</x:f>
        <x:v>-1</x:v>
      </x:c>
    </x:row>
    <x:row r="744">
      <x:c r="A744" s="4" t="str">
        <x:v>2021-22</x:v>
      </x:c>
      <x:c r="B744" s="20" t="n">
        <x:v>44703</x:v>
      </x:c>
      <x:c r="C744" s="4" t="str">
        <x:v>Brentford</x:v>
      </x:c>
      <x:c r="D744" s="4" t="str">
        <x:v>Leeds</x:v>
      </x:c>
      <x:c r="E744" s="4" t="str">
        <x:v>Home</x:v>
      </x:c>
      <x:c r="F744" s="28" t="n">
        <x:v>1</x:v>
      </x:c>
      <x:c r="G744" s="28" t="n">
        <x:v>2</x:v>
      </x:c>
      <x:c r="H744" s="28" t="n">
        <x:v>14</x:v>
      </x:c>
      <x:c r="I744" s="28" t="n">
        <x:v>14</x:v>
      </x:c>
      <x:c r="J744" s="28" t="n">
        <x:v>5</x:v>
      </x:c>
      <x:c r="K744" s="28" t="n">
        <x:v>6</x:v>
      </x:c>
      <x:c r="L744" s="28" t="n">
        <x:v>3</x:v>
      </x:c>
      <x:c r="M744" s="28" t="n">
        <x:v>2</x:v>
      </x:c>
      <x:c r="N744" s="28" t="n">
        <x:v>2</x:v>
      </x:c>
      <x:c r="O744" s="28" t="n">
        <x:v>1</x:v>
      </x:c>
      <x:c r="P744" s="28" t="n">
        <x:v>0</x:v>
      </x:c>
      <x:c r="Q744" s="24" t="n">
        <x:f>IFERROR(J744/H744,0)</x:f>
        <x:v>0.35714285714285715</x:v>
      </x:c>
      <x:c r="R744" s="24" t="n">
        <x:f>IFERROR(F744/H744,0)</x:f>
        <x:v>0.07142857142857142</x:v>
      </x:c>
      <x:c r="S744" s="24" t="n">
        <x:f>IFERROR(F744/J744,0)</x:f>
        <x:v>0.2</x:v>
      </x:c>
      <x:c r="T744" s="28" t="n">
        <x:f>H744-I744</x:f>
        <x:v>0</x:v>
      </x:c>
      <x:c r="U744" s="24" t="n">
        <x:f>IFERROR(J744/H744,0)-IFERROR(K744/I744,0)</x:f>
        <x:v>-0.0714285714285714</x:v>
      </x:c>
      <x:c r="V744" s="24" t="n">
        <x:f>IFERROR(F744/J744,0)-IFERROR(G744/K744,0)</x:f>
        <x:v>-0.1333333333333333</x:v>
      </x:c>
      <x:c r="W744" s="28" t="n">
        <x:f>L744-M744</x:f>
        <x:v>1</x:v>
      </x:c>
      <x:c r="X744" s="24" t="n">
        <x:f>IFERROR(K744/I744,0)</x:f>
        <x:v>0.42857142857142855</x:v>
      </x:c>
      <x:c r="Y744" s="24" t="n">
        <x:f>IFERROR(G744/I744,0)</x:f>
        <x:v>0.14285714285714285</x:v>
      </x:c>
      <x:c r="Z744" s="24" t="n">
        <x:f>IFERROR(G744/K744,0)</x:f>
        <x:v>0.3333333333333333</x:v>
      </x:c>
      <x:c r="AA744" s="24" t="n">
        <x:f>IFERROR(F744/H744,0)-IFERROR(G744/I744,0)</x:f>
        <x:v>-0.07142857142857142</x:v>
      </x:c>
      <x:c r="AB744" s="28" t="n">
        <x:f>J744-K744</x:f>
        <x:v>-1</x:v>
      </x:c>
      <x:c r="AC744" s="32" t="n">
        <x:f>F744-G744</x:f>
        <x:v>-1</x:v>
      </x:c>
    </x:row>
    <x:row r="745">
      <x:c r="A745" s="4" t="str">
        <x:v>2021-22</x:v>
      </x:c>
      <x:c r="B745" s="20" t="n">
        <x:v>44703</x:v>
      </x:c>
      <x:c r="C745" s="4" t="str">
        <x:v>Brighton</x:v>
      </x:c>
      <x:c r="D745" s="4" t="str">
        <x:v>West Ham</x:v>
      </x:c>
      <x:c r="E745" s="4" t="str">
        <x:v>Home</x:v>
      </x:c>
      <x:c r="F745" s="28" t="n">
        <x:v>3</x:v>
      </x:c>
      <x:c r="G745" s="28" t="n">
        <x:v>1</x:v>
      </x:c>
      <x:c r="H745" s="28" t="n">
        <x:v>18</x:v>
      </x:c>
      <x:c r="I745" s="28" t="n">
        <x:v>7</x:v>
      </x:c>
      <x:c r="J745" s="28" t="n">
        <x:v>7</x:v>
      </x:c>
      <x:c r="K745" s="28" t="n">
        <x:v>2</x:v>
      </x:c>
      <x:c r="L745" s="28" t="n">
        <x:v>5</x:v>
      </x:c>
      <x:c r="M745" s="28" t="n">
        <x:v>6</x:v>
      </x:c>
      <x:c r="N745" s="28" t="n">
        <x:v>1</x:v>
      </x:c>
      <x:c r="O745" s="28" t="n">
        <x:v>0</x:v>
      </x:c>
      <x:c r="P745" s="28" t="n">
        <x:v>3</x:v>
      </x:c>
      <x:c r="Q745" s="24" t="n">
        <x:f>IFERROR(J745/H745,0)</x:f>
        <x:v>0.3888888888888889</x:v>
      </x:c>
      <x:c r="R745" s="24" t="n">
        <x:f>IFERROR(F745/H745,0)</x:f>
        <x:v>0.16666666666666666</x:v>
      </x:c>
      <x:c r="S745" s="24" t="n">
        <x:f>IFERROR(F745/J745,0)</x:f>
        <x:v>0.42857142857142855</x:v>
      </x:c>
      <x:c r="T745" s="28" t="n">
        <x:f>H745-I745</x:f>
        <x:v>11</x:v>
      </x:c>
      <x:c r="U745" s="24" t="n">
        <x:f>IFERROR(J745/H745,0)-IFERROR(K745/I745,0)</x:f>
        <x:v>0.1031746031746032</x:v>
      </x:c>
      <x:c r="V745" s="24" t="n">
        <x:f>IFERROR(F745/J745,0)-IFERROR(G745/K745,0)</x:f>
        <x:v>-0.07142857142857145</x:v>
      </x:c>
      <x:c r="W745" s="28" t="n">
        <x:f>L745-M745</x:f>
        <x:v>-1</x:v>
      </x:c>
      <x:c r="X745" s="24" t="n">
        <x:f>IFERROR(K745/I745,0)</x:f>
        <x:v>0.2857142857142857</x:v>
      </x:c>
      <x:c r="Y745" s="24" t="n">
        <x:f>IFERROR(G745/I745,0)</x:f>
        <x:v>0.14285714285714285</x:v>
      </x:c>
      <x:c r="Z745" s="24" t="n">
        <x:f>IFERROR(G745/K745,0)</x:f>
        <x:v>0.5</x:v>
      </x:c>
      <x:c r="AA745" s="24" t="n">
        <x:f>IFERROR(F745/H745,0)-IFERROR(G745/I745,0)</x:f>
        <x:v>0.023809523809523808</x:v>
      </x:c>
      <x:c r="AB745" s="28" t="n">
        <x:f>J745-K745</x:f>
        <x:v>5</x:v>
      </x:c>
      <x:c r="AC745" s="32" t="n">
        <x:f>F745-G745</x:f>
        <x:v>2</x:v>
      </x:c>
    </x:row>
    <x:row r="746">
      <x:c r="A746" s="4" t="str">
        <x:v>2021-22</x:v>
      </x:c>
      <x:c r="B746" s="20" t="n">
        <x:v>44703</x:v>
      </x:c>
      <x:c r="C746" s="4" t="str">
        <x:v>Burnley</x:v>
      </x:c>
      <x:c r="D746" s="4" t="str">
        <x:v>Newcastle</x:v>
      </x:c>
      <x:c r="E746" s="4" t="str">
        <x:v>Home</x:v>
      </x:c>
      <x:c r="F746" s="28" t="n">
        <x:v>1</x:v>
      </x:c>
      <x:c r="G746" s="28" t="n">
        <x:v>2</x:v>
      </x:c>
      <x:c r="H746" s="28" t="n">
        <x:v>12</x:v>
      </x:c>
      <x:c r="I746" s="28" t="n">
        <x:v>8</x:v>
      </x:c>
      <x:c r="J746" s="28" t="n">
        <x:v>5</x:v>
      </x:c>
      <x:c r="K746" s="28" t="n">
        <x:v>6</x:v>
      </x:c>
      <x:c r="L746" s="28" t="n">
        <x:v>8</x:v>
      </x:c>
      <x:c r="M746" s="28" t="n">
        <x:v>2</x:v>
      </x:c>
      <x:c r="N746" s="28" t="n">
        <x:v>1</x:v>
      </x:c>
      <x:c r="O746" s="28" t="n">
        <x:v>0</x:v>
      </x:c>
      <x:c r="P746" s="28" t="n">
        <x:v>0</x:v>
      </x:c>
      <x:c r="Q746" s="24" t="n">
        <x:f>IFERROR(J746/H746,0)</x:f>
        <x:v>0.4166666666666667</x:v>
      </x:c>
      <x:c r="R746" s="24" t="n">
        <x:f>IFERROR(F746/H746,0)</x:f>
        <x:v>0.08333333333333333</x:v>
      </x:c>
      <x:c r="S746" s="24" t="n">
        <x:f>IFERROR(F746/J746,0)</x:f>
        <x:v>0.2</x:v>
      </x:c>
      <x:c r="T746" s="28" t="n">
        <x:f>H746-I746</x:f>
        <x:v>4</x:v>
      </x:c>
      <x:c r="U746" s="24" t="n">
        <x:f>IFERROR(J746/H746,0)-IFERROR(K746/I746,0)</x:f>
        <x:v>-0.3333333333333333</x:v>
      </x:c>
      <x:c r="V746" s="24" t="n">
        <x:f>IFERROR(F746/J746,0)-IFERROR(G746/K746,0)</x:f>
        <x:v>-0.1333333333333333</x:v>
      </x:c>
      <x:c r="W746" s="28" t="n">
        <x:f>L746-M746</x:f>
        <x:v>6</x:v>
      </x:c>
      <x:c r="X746" s="24" t="n">
        <x:f>IFERROR(K746/I746,0)</x:f>
        <x:v>0.75</x:v>
      </x:c>
      <x:c r="Y746" s="24" t="n">
        <x:f>IFERROR(G746/I746,0)</x:f>
        <x:v>0.25</x:v>
      </x:c>
      <x:c r="Z746" s="24" t="n">
        <x:f>IFERROR(G746/K746,0)</x:f>
        <x:v>0.3333333333333333</x:v>
      </x:c>
      <x:c r="AA746" s="24" t="n">
        <x:f>IFERROR(F746/H746,0)-IFERROR(G746/I746,0)</x:f>
        <x:v>-0.16666666666666669</x:v>
      </x:c>
      <x:c r="AB746" s="28" t="n">
        <x:f>J746-K746</x:f>
        <x:v>-1</x:v>
      </x:c>
      <x:c r="AC746" s="32" t="n">
        <x:f>F746-G746</x:f>
        <x:v>-1</x:v>
      </x:c>
    </x:row>
    <x:row r="747">
      <x:c r="A747" s="4" t="str">
        <x:v>2021-22</x:v>
      </x:c>
      <x:c r="B747" s="20" t="n">
        <x:v>44703</x:v>
      </x:c>
      <x:c r="C747" s="4" t="str">
        <x:v>Chelsea</x:v>
      </x:c>
      <x:c r="D747" s="4" t="str">
        <x:v>Watford</x:v>
      </x:c>
      <x:c r="E747" s="4" t="str">
        <x:v>Home</x:v>
      </x:c>
      <x:c r="F747" s="28" t="n">
        <x:v>2</x:v>
      </x:c>
      <x:c r="G747" s="28" t="n">
        <x:v>1</x:v>
      </x:c>
      <x:c r="H747" s="28" t="n">
        <x:v>19</x:v>
      </x:c>
      <x:c r="I747" s="28" t="n">
        <x:v>8</x:v>
      </x:c>
      <x:c r="J747" s="28" t="n">
        <x:v>8</x:v>
      </x:c>
      <x:c r="K747" s="28" t="n">
        <x:v>3</x:v>
      </x:c>
      <x:c r="L747" s="28" t="n">
        <x:v>3</x:v>
      </x:c>
      <x:c r="M747" s="28" t="n">
        <x:v>3</x:v>
      </x:c>
      <x:c r="N747" s="28" t="n">
        <x:v>0</x:v>
      </x:c>
      <x:c r="O747" s="28" t="n">
        <x:v>0</x:v>
      </x:c>
      <x:c r="P747" s="28" t="n">
        <x:v>3</x:v>
      </x:c>
      <x:c r="Q747" s="24" t="n">
        <x:f>IFERROR(J747/H747,0)</x:f>
        <x:v>0.42105263157894735</x:v>
      </x:c>
      <x:c r="R747" s="24" t="n">
        <x:f>IFERROR(F747/H747,0)</x:f>
        <x:v>0.10526315789473684</x:v>
      </x:c>
      <x:c r="S747" s="24" t="n">
        <x:f>IFERROR(F747/J747,0)</x:f>
        <x:v>0.25</x:v>
      </x:c>
      <x:c r="T747" s="28" t="n">
        <x:f>H747-I747</x:f>
        <x:v>11</x:v>
      </x:c>
      <x:c r="U747" s="24" t="n">
        <x:f>IFERROR(J747/H747,0)-IFERROR(K747/I747,0)</x:f>
        <x:v>0.046052631578947345</x:v>
      </x:c>
      <x:c r="V747" s="24" t="n">
        <x:f>IFERROR(F747/J747,0)-IFERROR(G747/K747,0)</x:f>
        <x:v>-0.08333333333333331</x:v>
      </x:c>
      <x:c r="W747" s="28" t="n">
        <x:f>L747-M747</x:f>
        <x:v>0</x:v>
      </x:c>
      <x:c r="X747" s="24" t="n">
        <x:f>IFERROR(K747/I747,0)</x:f>
        <x:v>0.375</x:v>
      </x:c>
      <x:c r="Y747" s="24" t="n">
        <x:f>IFERROR(G747/I747,0)</x:f>
        <x:v>0.125</x:v>
      </x:c>
      <x:c r="Z747" s="24" t="n">
        <x:f>IFERROR(G747/K747,0)</x:f>
        <x:v>0.3333333333333333</x:v>
      </x:c>
      <x:c r="AA747" s="24" t="n">
        <x:f>IFERROR(F747/H747,0)-IFERROR(G747/I747,0)</x:f>
        <x:v>-0.019736842105263164</x:v>
      </x:c>
      <x:c r="AB747" s="28" t="n">
        <x:f>J747-K747</x:f>
        <x:v>5</x:v>
      </x:c>
      <x:c r="AC747" s="32" t="n">
        <x:f>F747-G747</x:f>
        <x:v>1</x:v>
      </x:c>
    </x:row>
    <x:row r="748">
      <x:c r="A748" s="4" t="str">
        <x:v>2021-22</x:v>
      </x:c>
      <x:c r="B748" s="20" t="n">
        <x:v>44703</x:v>
      </x:c>
      <x:c r="C748" s="4" t="str">
        <x:v>Crystal Palace</x:v>
      </x:c>
      <x:c r="D748" s="4" t="str">
        <x:v>Man United</x:v>
      </x:c>
      <x:c r="E748" s="4" t="str">
        <x:v>Home</x:v>
      </x:c>
      <x:c r="F748" s="28" t="n">
        <x:v>1</x:v>
      </x:c>
      <x:c r="G748" s="28" t="n">
        <x:v>0</x:v>
      </x:c>
      <x:c r="H748" s="28" t="n">
        <x:v>6</x:v>
      </x:c>
      <x:c r="I748" s="28" t="n">
        <x:v>10</x:v>
      </x:c>
      <x:c r="J748" s="28" t="n">
        <x:v>3</x:v>
      </x:c>
      <x:c r="K748" s="28" t="n">
        <x:v>4</x:v>
      </x:c>
      <x:c r="L748" s="28" t="n">
        <x:v>3</x:v>
      </x:c>
      <x:c r="M748" s="28" t="n">
        <x:v>6</x:v>
      </x:c>
      <x:c r="N748" s="28" t="n">
        <x:v>2</x:v>
      </x:c>
      <x:c r="O748" s="28" t="n">
        <x:v>0</x:v>
      </x:c>
      <x:c r="P748" s="28" t="n">
        <x:v>3</x:v>
      </x:c>
      <x:c r="Q748" s="24" t="n">
        <x:f>IFERROR(J748/H748,0)</x:f>
        <x:v>0.5</x:v>
      </x:c>
      <x:c r="R748" s="24" t="n">
        <x:f>IFERROR(F748/H748,0)</x:f>
        <x:v>0.16666666666666666</x:v>
      </x:c>
      <x:c r="S748" s="24" t="n">
        <x:f>IFERROR(F748/J748,0)</x:f>
        <x:v>0.3333333333333333</x:v>
      </x:c>
      <x:c r="T748" s="28" t="n">
        <x:f>H748-I748</x:f>
        <x:v>-4</x:v>
      </x:c>
      <x:c r="U748" s="24" t="n">
        <x:f>IFERROR(J748/H748,0)-IFERROR(K748/I748,0)</x:f>
        <x:v>0.09999999999999998</x:v>
      </x:c>
      <x:c r="V748" s="24" t="n">
        <x:f>IFERROR(F748/J748,0)-IFERROR(G748/K748,0)</x:f>
        <x:v>0.3333333333333333</x:v>
      </x:c>
      <x:c r="W748" s="28" t="n">
        <x:f>L748-M748</x:f>
        <x:v>-3</x:v>
      </x:c>
      <x:c r="X748" s="24" t="n">
        <x:f>IFERROR(K748/I748,0)</x:f>
        <x:v>0.4</x:v>
      </x:c>
      <x:c r="Y748" s="24" t="n">
        <x:f>IFERROR(G748/I748,0)</x:f>
        <x:v>0</x:v>
      </x:c>
      <x:c r="Z748" s="24" t="n">
        <x:f>IFERROR(G748/K748,0)</x:f>
        <x:v>0</x:v>
      </x:c>
      <x:c r="AA748" s="24" t="n">
        <x:f>IFERROR(F748/H748,0)-IFERROR(G748/I748,0)</x:f>
        <x:v>0.16666666666666666</x:v>
      </x:c>
      <x:c r="AB748" s="28" t="n">
        <x:f>J748-K748</x:f>
        <x:v>-1</x:v>
      </x:c>
      <x:c r="AC748" s="32" t="n">
        <x:f>F748-G748</x:f>
        <x:v>1</x:v>
      </x:c>
    </x:row>
    <x:row r="749">
      <x:c r="A749" s="4" t="str">
        <x:v>2021-22</x:v>
      </x:c>
      <x:c r="B749" s="20" t="n">
        <x:v>44703</x:v>
      </x:c>
      <x:c r="C749" s="4" t="str">
        <x:v>Everton</x:v>
      </x:c>
      <x:c r="D749" s="4" t="str">
        <x:v>Arsenal</x:v>
      </x:c>
      <x:c r="E749" s="4" t="str">
        <x:v>Away</x:v>
      </x:c>
      <x:c r="F749" s="28" t="n">
        <x:v>1</x:v>
      </x:c>
      <x:c r="G749" s="28" t="n">
        <x:v>5</x:v>
      </x:c>
      <x:c r="H749" s="28" t="n">
        <x:v>6</x:v>
      </x:c>
      <x:c r="I749" s="28" t="n">
        <x:v>26</x:v>
      </x:c>
      <x:c r="J749" s="28" t="n">
        <x:v>2</x:v>
      </x:c>
      <x:c r="K749" s="28" t="n">
        <x:v>9</x:v>
      </x:c>
      <x:c r="L749" s="28" t="n">
        <x:v>2</x:v>
      </x:c>
      <x:c r="M749" s="28" t="n">
        <x:v>12</x:v>
      </x:c>
      <x:c r="N749" s="28" t="n">
        <x:v>1</x:v>
      </x:c>
      <x:c r="O749" s="28" t="n">
        <x:v>0</x:v>
      </x:c>
      <x:c r="P749" s="28" t="n">
        <x:v>0</x:v>
      </x:c>
      <x:c r="Q749" s="24" t="n">
        <x:f>IFERROR(J749/H749,0)</x:f>
        <x:v>0.3333333333333333</x:v>
      </x:c>
      <x:c r="R749" s="24" t="n">
        <x:f>IFERROR(F749/H749,0)</x:f>
        <x:v>0.16666666666666666</x:v>
      </x:c>
      <x:c r="S749" s="24" t="n">
        <x:f>IFERROR(F749/J749,0)</x:f>
        <x:v>0.5</x:v>
      </x:c>
      <x:c r="T749" s="28" t="n">
        <x:f>H749-I749</x:f>
        <x:v>-20</x:v>
      </x:c>
      <x:c r="U749" s="24" t="n">
        <x:f>IFERROR(J749/H749,0)-IFERROR(K749/I749,0)</x:f>
        <x:v>-0.01282051282051283</x:v>
      </x:c>
      <x:c r="V749" s="24" t="n">
        <x:f>IFERROR(F749/J749,0)-IFERROR(G749/K749,0)</x:f>
        <x:v>-0.05555555555555558</x:v>
      </x:c>
      <x:c r="W749" s="28" t="n">
        <x:f>L749-M749</x:f>
        <x:v>-10</x:v>
      </x:c>
      <x:c r="X749" s="24" t="n">
        <x:f>IFERROR(K749/I749,0)</x:f>
        <x:v>0.34615384615384615</x:v>
      </x:c>
      <x:c r="Y749" s="24" t="n">
        <x:f>IFERROR(G749/I749,0)</x:f>
        <x:v>0.19230769230769232</x:v>
      </x:c>
      <x:c r="Z749" s="24" t="n">
        <x:f>IFERROR(G749/K749,0)</x:f>
        <x:v>0.5555555555555556</x:v>
      </x:c>
      <x:c r="AA749" s="24" t="n">
        <x:f>IFERROR(F749/H749,0)-IFERROR(G749/I749,0)</x:f>
        <x:v>-0.02564102564102566</x:v>
      </x:c>
      <x:c r="AB749" s="28" t="n">
        <x:f>J749-K749</x:f>
        <x:v>-7</x:v>
      </x:c>
      <x:c r="AC749" s="32" t="n">
        <x:f>F749-G749</x:f>
        <x:v>-4</x:v>
      </x:c>
    </x:row>
    <x:row r="750">
      <x:c r="A750" s="4" t="str">
        <x:v>2021-22</x:v>
      </x:c>
      <x:c r="B750" s="20" t="n">
        <x:v>44703</x:v>
      </x:c>
      <x:c r="C750" s="4" t="str">
        <x:v>Leeds</x:v>
      </x:c>
      <x:c r="D750" s="4" t="str">
        <x:v>Brentford</x:v>
      </x:c>
      <x:c r="E750" s="4" t="str">
        <x:v>Away</x:v>
      </x:c>
      <x:c r="F750" s="28" t="n">
        <x:v>2</x:v>
      </x:c>
      <x:c r="G750" s="28" t="n">
        <x:v>1</x:v>
      </x:c>
      <x:c r="H750" s="28" t="n">
        <x:v>14</x:v>
      </x:c>
      <x:c r="I750" s="28" t="n">
        <x:v>14</x:v>
      </x:c>
      <x:c r="J750" s="28" t="n">
        <x:v>6</x:v>
      </x:c>
      <x:c r="K750" s="28" t="n">
        <x:v>5</x:v>
      </x:c>
      <x:c r="L750" s="28" t="n">
        <x:v>2</x:v>
      </x:c>
      <x:c r="M750" s="28" t="n">
        <x:v>3</x:v>
      </x:c>
      <x:c r="N750" s="28" t="n">
        <x:v>1</x:v>
      </x:c>
      <x:c r="O750" s="28" t="n">
        <x:v>0</x:v>
      </x:c>
      <x:c r="P750" s="28" t="n">
        <x:v>3</x:v>
      </x:c>
      <x:c r="Q750" s="24" t="n">
        <x:f>IFERROR(J750/H750,0)</x:f>
        <x:v>0.42857142857142855</x:v>
      </x:c>
      <x:c r="R750" s="24" t="n">
        <x:f>IFERROR(F750/H750,0)</x:f>
        <x:v>0.14285714285714285</x:v>
      </x:c>
      <x:c r="S750" s="24" t="n">
        <x:f>IFERROR(F750/J750,0)</x:f>
        <x:v>0.3333333333333333</x:v>
      </x:c>
      <x:c r="T750" s="28" t="n">
        <x:f>H750-I750</x:f>
        <x:v>0</x:v>
      </x:c>
      <x:c r="U750" s="24" t="n">
        <x:f>IFERROR(J750/H750,0)-IFERROR(K750/I750,0)</x:f>
        <x:v>0.0714285714285714</x:v>
      </x:c>
      <x:c r="V750" s="24" t="n">
        <x:f>IFERROR(F750/J750,0)-IFERROR(G750/K750,0)</x:f>
        <x:v>0.1333333333333333</x:v>
      </x:c>
      <x:c r="W750" s="28" t="n">
        <x:f>L750-M750</x:f>
        <x:v>-1</x:v>
      </x:c>
      <x:c r="X750" s="24" t="n">
        <x:f>IFERROR(K750/I750,0)</x:f>
        <x:v>0.35714285714285715</x:v>
      </x:c>
      <x:c r="Y750" s="24" t="n">
        <x:f>IFERROR(G750/I750,0)</x:f>
        <x:v>0.07142857142857142</x:v>
      </x:c>
      <x:c r="Z750" s="24" t="n">
        <x:f>IFERROR(G750/K750,0)</x:f>
        <x:v>0.2</x:v>
      </x:c>
      <x:c r="AA750" s="24" t="n">
        <x:f>IFERROR(F750/H750,0)-IFERROR(G750/I750,0)</x:f>
        <x:v>0.07142857142857142</x:v>
      </x:c>
      <x:c r="AB750" s="28" t="n">
        <x:f>J750-K750</x:f>
        <x:v>1</x:v>
      </x:c>
      <x:c r="AC750" s="32" t="n">
        <x:f>F750-G750</x:f>
        <x:v>1</x:v>
      </x:c>
    </x:row>
    <x:row r="751">
      <x:c r="A751" s="4" t="str">
        <x:v>2021-22</x:v>
      </x:c>
      <x:c r="B751" s="20" t="n">
        <x:v>44703</x:v>
      </x:c>
      <x:c r="C751" s="4" t="str">
        <x:v>Leicester</x:v>
      </x:c>
      <x:c r="D751" s="4" t="str">
        <x:v>Southampton</x:v>
      </x:c>
      <x:c r="E751" s="4" t="str">
        <x:v>Home</x:v>
      </x:c>
      <x:c r="F751" s="28" t="n">
        <x:v>4</x:v>
      </x:c>
      <x:c r="G751" s="28" t="n">
        <x:v>1</x:v>
      </x:c>
      <x:c r="H751" s="28" t="n">
        <x:v>12</x:v>
      </x:c>
      <x:c r="I751" s="28" t="n">
        <x:v>7</x:v>
      </x:c>
      <x:c r="J751" s="28" t="n">
        <x:v>6</x:v>
      </x:c>
      <x:c r="K751" s="28" t="n">
        <x:v>2</x:v>
      </x:c>
      <x:c r="L751" s="28" t="n">
        <x:v>3</x:v>
      </x:c>
      <x:c r="M751" s="28" t="n">
        <x:v>3</x:v>
      </x:c>
      <x:c r="N751" s="28" t="n">
        <x:v>0</x:v>
      </x:c>
      <x:c r="O751" s="28" t="n">
        <x:v>0</x:v>
      </x:c>
      <x:c r="P751" s="28" t="n">
        <x:v>3</x:v>
      </x:c>
      <x:c r="Q751" s="24" t="n">
        <x:f>IFERROR(J751/H751,0)</x:f>
        <x:v>0.5</x:v>
      </x:c>
      <x:c r="R751" s="24" t="n">
        <x:f>IFERROR(F751/H751,0)</x:f>
        <x:v>0.3333333333333333</x:v>
      </x:c>
      <x:c r="S751" s="24" t="n">
        <x:f>IFERROR(F751/J751,0)</x:f>
        <x:v>0.6666666666666666</x:v>
      </x:c>
      <x:c r="T751" s="28" t="n">
        <x:f>H751-I751</x:f>
        <x:v>5</x:v>
      </x:c>
      <x:c r="U751" s="24" t="n">
        <x:f>IFERROR(J751/H751,0)-IFERROR(K751/I751,0)</x:f>
        <x:v>0.2142857142857143</x:v>
      </x:c>
      <x:c r="V751" s="24" t="n">
        <x:f>IFERROR(F751/J751,0)-IFERROR(G751/K751,0)</x:f>
        <x:v>0.16666666666666663</x:v>
      </x:c>
      <x:c r="W751" s="28" t="n">
        <x:f>L751-M751</x:f>
        <x:v>0</x:v>
      </x:c>
      <x:c r="X751" s="24" t="n">
        <x:f>IFERROR(K751/I751,0)</x:f>
        <x:v>0.2857142857142857</x:v>
      </x:c>
      <x:c r="Y751" s="24" t="n">
        <x:f>IFERROR(G751/I751,0)</x:f>
        <x:v>0.14285714285714285</x:v>
      </x:c>
      <x:c r="Z751" s="24" t="n">
        <x:f>IFERROR(G751/K751,0)</x:f>
        <x:v>0.5</x:v>
      </x:c>
      <x:c r="AA751" s="24" t="n">
        <x:f>IFERROR(F751/H751,0)-IFERROR(G751/I751,0)</x:f>
        <x:v>0.19047619047619047</x:v>
      </x:c>
      <x:c r="AB751" s="28" t="n">
        <x:f>J751-K751</x:f>
        <x:v>4</x:v>
      </x:c>
      <x:c r="AC751" s="32" t="n">
        <x:f>F751-G751</x:f>
        <x:v>3</x:v>
      </x:c>
    </x:row>
    <x:row r="752">
      <x:c r="A752" s="4" t="str">
        <x:v>2021-22</x:v>
      </x:c>
      <x:c r="B752" s="20" t="n">
        <x:v>44703</x:v>
      </x:c>
      <x:c r="C752" s="4" t="str">
        <x:v>Liverpool</x:v>
      </x:c>
      <x:c r="D752" s="4" t="str">
        <x:v>Wolves</x:v>
      </x:c>
      <x:c r="E752" s="4" t="str">
        <x:v>Home</x:v>
      </x:c>
      <x:c r="F752" s="28" t="n">
        <x:v>3</x:v>
      </x:c>
      <x:c r="G752" s="28" t="n">
        <x:v>1</x:v>
      </x:c>
      <x:c r="H752" s="28" t="n">
        <x:v>29</x:v>
      </x:c>
      <x:c r="I752" s="28" t="n">
        <x:v>7</x:v>
      </x:c>
      <x:c r="J752" s="28" t="n">
        <x:v>8</x:v>
      </x:c>
      <x:c r="K752" s="28" t="n">
        <x:v>5</x:v>
      </x:c>
      <x:c r="L752" s="28" t="n">
        <x:v>5</x:v>
      </x:c>
      <x:c r="M752" s="28" t="n">
        <x:v>3</x:v>
      </x:c>
      <x:c r="N752" s="28" t="n">
        <x:v>1</x:v>
      </x:c>
      <x:c r="O752" s="28" t="n">
        <x:v>0</x:v>
      </x:c>
      <x:c r="P752" s="28" t="n">
        <x:v>3</x:v>
      </x:c>
      <x:c r="Q752" s="24" t="n">
        <x:f>IFERROR(J752/H752,0)</x:f>
        <x:v>0.27586206896551724</x:v>
      </x:c>
      <x:c r="R752" s="24" t="n">
        <x:f>IFERROR(F752/H752,0)</x:f>
        <x:v>0.10344827586206896</x:v>
      </x:c>
      <x:c r="S752" s="24" t="n">
        <x:f>IFERROR(F752/J752,0)</x:f>
        <x:v>0.375</x:v>
      </x:c>
      <x:c r="T752" s="28" t="n">
        <x:f>H752-I752</x:f>
        <x:v>22</x:v>
      </x:c>
      <x:c r="U752" s="24" t="n">
        <x:f>IFERROR(J752/H752,0)-IFERROR(K752/I752,0)</x:f>
        <x:v>-0.43842364532019706</x:v>
      </x:c>
      <x:c r="V752" s="24" t="n">
        <x:f>IFERROR(F752/J752,0)-IFERROR(G752/K752,0)</x:f>
        <x:v>0.175</x:v>
      </x:c>
      <x:c r="W752" s="28" t="n">
        <x:f>L752-M752</x:f>
        <x:v>2</x:v>
      </x:c>
      <x:c r="X752" s="24" t="n">
        <x:f>IFERROR(K752/I752,0)</x:f>
        <x:v>0.7142857142857143</x:v>
      </x:c>
      <x:c r="Y752" s="24" t="n">
        <x:f>IFERROR(G752/I752,0)</x:f>
        <x:v>0.14285714285714285</x:v>
      </x:c>
      <x:c r="Z752" s="24" t="n">
        <x:f>IFERROR(G752/K752,0)</x:f>
        <x:v>0.2</x:v>
      </x:c>
      <x:c r="AA752" s="24" t="n">
        <x:f>IFERROR(F752/H752,0)-IFERROR(G752/I752,0)</x:f>
        <x:v>-0.039408866995073885</x:v>
      </x:c>
      <x:c r="AB752" s="28" t="n">
        <x:f>J752-K752</x:f>
        <x:v>3</x:v>
      </x:c>
      <x:c r="AC752" s="32" t="n">
        <x:f>F752-G752</x:f>
        <x:v>2</x:v>
      </x:c>
    </x:row>
    <x:row r="753">
      <x:c r="A753" s="4" t="str">
        <x:v>2021-22</x:v>
      </x:c>
      <x:c r="B753" s="20" t="n">
        <x:v>44703</x:v>
      </x:c>
      <x:c r="C753" s="4" t="str">
        <x:v>Man City</x:v>
      </x:c>
      <x:c r="D753" s="4" t="str">
        <x:v>Aston Villa</x:v>
      </x:c>
      <x:c r="E753" s="4" t="str">
        <x:v>Home</x:v>
      </x:c>
      <x:c r="F753" s="28" t="n">
        <x:v>3</x:v>
      </x:c>
      <x:c r="G753" s="28" t="n">
        <x:v>2</x:v>
      </x:c>
      <x:c r="H753" s="28" t="n">
        <x:v>24</x:v>
      </x:c>
      <x:c r="I753" s="28" t="n">
        <x:v>4</x:v>
      </x:c>
      <x:c r="J753" s="28" t="n">
        <x:v>5</x:v>
      </x:c>
      <x:c r="K753" s="28" t="n">
        <x:v>2</x:v>
      </x:c>
      <x:c r="L753" s="28" t="n">
        <x:v>13</x:v>
      </x:c>
      <x:c r="M753" s="28" t="n">
        <x:v>1</x:v>
      </x:c>
      <x:c r="N753" s="28" t="n">
        <x:v>0</x:v>
      </x:c>
      <x:c r="O753" s="28" t="n">
        <x:v>0</x:v>
      </x:c>
      <x:c r="P753" s="28" t="n">
        <x:v>3</x:v>
      </x:c>
      <x:c r="Q753" s="24" t="n">
        <x:f>IFERROR(J753/H753,0)</x:f>
        <x:v>0.20833333333333334</x:v>
      </x:c>
      <x:c r="R753" s="24" t="n">
        <x:f>IFERROR(F753/H753,0)</x:f>
        <x:v>0.125</x:v>
      </x:c>
      <x:c r="S753" s="24" t="n">
        <x:f>IFERROR(F753/J753,0)</x:f>
        <x:v>0.6</x:v>
      </x:c>
      <x:c r="T753" s="28" t="n">
        <x:f>H753-I753</x:f>
        <x:v>20</x:v>
      </x:c>
      <x:c r="U753" s="24" t="n">
        <x:f>IFERROR(J753/H753,0)-IFERROR(K753/I753,0)</x:f>
        <x:v>-0.29166666666666663</x:v>
      </x:c>
      <x:c r="V753" s="24" t="n">
        <x:f>IFERROR(F753/J753,0)-IFERROR(G753/K753,0)</x:f>
        <x:v>-0.4</x:v>
      </x:c>
      <x:c r="W753" s="28" t="n">
        <x:f>L753-M753</x:f>
        <x:v>12</x:v>
      </x:c>
      <x:c r="X753" s="24" t="n">
        <x:f>IFERROR(K753/I753,0)</x:f>
        <x:v>0.5</x:v>
      </x:c>
      <x:c r="Y753" s="24" t="n">
        <x:f>IFERROR(G753/I753,0)</x:f>
        <x:v>0.5</x:v>
      </x:c>
      <x:c r="Z753" s="24" t="n">
        <x:f>IFERROR(G753/K753,0)</x:f>
        <x:v>1</x:v>
      </x:c>
      <x:c r="AA753" s="24" t="n">
        <x:f>IFERROR(F753/H753,0)-IFERROR(G753/I753,0)</x:f>
        <x:v>-0.375</x:v>
      </x:c>
      <x:c r="AB753" s="28" t="n">
        <x:f>J753-K753</x:f>
        <x:v>3</x:v>
      </x:c>
      <x:c r="AC753" s="32" t="n">
        <x:f>F753-G753</x:f>
        <x:v>1</x:v>
      </x:c>
    </x:row>
    <x:row r="754">
      <x:c r="A754" s="4" t="str">
        <x:v>2021-22</x:v>
      </x:c>
      <x:c r="B754" s="20" t="n">
        <x:v>44703</x:v>
      </x:c>
      <x:c r="C754" s="4" t="str">
        <x:v>Man United</x:v>
      </x:c>
      <x:c r="D754" s="4" t="str">
        <x:v>Crystal Palace</x:v>
      </x:c>
      <x:c r="E754" s="4" t="str">
        <x:v>Away</x:v>
      </x:c>
      <x:c r="F754" s="28" t="n">
        <x:v>0</x:v>
      </x:c>
      <x:c r="G754" s="28" t="n">
        <x:v>1</x:v>
      </x:c>
      <x:c r="H754" s="28" t="n">
        <x:v>10</x:v>
      </x:c>
      <x:c r="I754" s="28" t="n">
        <x:v>6</x:v>
      </x:c>
      <x:c r="J754" s="28" t="n">
        <x:v>4</x:v>
      </x:c>
      <x:c r="K754" s="28" t="n">
        <x:v>3</x:v>
      </x:c>
      <x:c r="L754" s="28" t="n">
        <x:v>6</x:v>
      </x:c>
      <x:c r="M754" s="28" t="n">
        <x:v>3</x:v>
      </x:c>
      <x:c r="N754" s="28" t="n">
        <x:v>4</x:v>
      </x:c>
      <x:c r="O754" s="28" t="n">
        <x:v>0</x:v>
      </x:c>
      <x:c r="P754" s="28" t="n">
        <x:v>0</x:v>
      </x:c>
      <x:c r="Q754" s="24" t="n">
        <x:f>IFERROR(J754/H754,0)</x:f>
        <x:v>0.4</x:v>
      </x:c>
      <x:c r="R754" s="24" t="n">
        <x:f>IFERROR(F754/H754,0)</x:f>
        <x:v>0</x:v>
      </x:c>
      <x:c r="S754" s="24" t="n">
        <x:f>IFERROR(F754/J754,0)</x:f>
        <x:v>0</x:v>
      </x:c>
      <x:c r="T754" s="28" t="n">
        <x:f>H754-I754</x:f>
        <x:v>4</x:v>
      </x:c>
      <x:c r="U754" s="24" t="n">
        <x:f>IFERROR(J754/H754,0)-IFERROR(K754/I754,0)</x:f>
        <x:v>-0.09999999999999998</x:v>
      </x:c>
      <x:c r="V754" s="24" t="n">
        <x:f>IFERROR(F754/J754,0)-IFERROR(G754/K754,0)</x:f>
        <x:v>-0.3333333333333333</x:v>
      </x:c>
      <x:c r="W754" s="28" t="n">
        <x:f>L754-M754</x:f>
        <x:v>3</x:v>
      </x:c>
      <x:c r="X754" s="24" t="n">
        <x:f>IFERROR(K754/I754,0)</x:f>
        <x:v>0.5</x:v>
      </x:c>
      <x:c r="Y754" s="24" t="n">
        <x:f>IFERROR(G754/I754,0)</x:f>
        <x:v>0.16666666666666666</x:v>
      </x:c>
      <x:c r="Z754" s="24" t="n">
        <x:f>IFERROR(G754/K754,0)</x:f>
        <x:v>0.3333333333333333</x:v>
      </x:c>
      <x:c r="AA754" s="24" t="n">
        <x:f>IFERROR(F754/H754,0)-IFERROR(G754/I754,0)</x:f>
        <x:v>-0.16666666666666666</x:v>
      </x:c>
      <x:c r="AB754" s="28" t="n">
        <x:f>J754-K754</x:f>
        <x:v>1</x:v>
      </x:c>
      <x:c r="AC754" s="32" t="n">
        <x:f>F754-G754</x:f>
        <x:v>-1</x:v>
      </x:c>
    </x:row>
    <x:row r="755">
      <x:c r="A755" s="4" t="str">
        <x:v>2021-22</x:v>
      </x:c>
      <x:c r="B755" s="20" t="n">
        <x:v>44703</x:v>
      </x:c>
      <x:c r="C755" s="4" t="str">
        <x:v>Newcastle</x:v>
      </x:c>
      <x:c r="D755" s="4" t="str">
        <x:v>Burnley</x:v>
      </x:c>
      <x:c r="E755" s="4" t="str">
        <x:v>Away</x:v>
      </x:c>
      <x:c r="F755" s="28" t="n">
        <x:v>2</x:v>
      </x:c>
      <x:c r="G755" s="28" t="n">
        <x:v>1</x:v>
      </x:c>
      <x:c r="H755" s="28" t="n">
        <x:v>8</x:v>
      </x:c>
      <x:c r="I755" s="28" t="n">
        <x:v>12</x:v>
      </x:c>
      <x:c r="J755" s="28" t="n">
        <x:v>6</x:v>
      </x:c>
      <x:c r="K755" s="28" t="n">
        <x:v>5</x:v>
      </x:c>
      <x:c r="L755" s="28" t="n">
        <x:v>2</x:v>
      </x:c>
      <x:c r="M755" s="28" t="n">
        <x:v>8</x:v>
      </x:c>
      <x:c r="N755" s="28" t="n">
        <x:v>0</x:v>
      </x:c>
      <x:c r="O755" s="28" t="n">
        <x:v>0</x:v>
      </x:c>
      <x:c r="P755" s="28" t="n">
        <x:v>3</x:v>
      </x:c>
      <x:c r="Q755" s="24" t="n">
        <x:f>IFERROR(J755/H755,0)</x:f>
        <x:v>0.75</x:v>
      </x:c>
      <x:c r="R755" s="24" t="n">
        <x:f>IFERROR(F755/H755,0)</x:f>
        <x:v>0.25</x:v>
      </x:c>
      <x:c r="S755" s="24" t="n">
        <x:f>IFERROR(F755/J755,0)</x:f>
        <x:v>0.3333333333333333</x:v>
      </x:c>
      <x:c r="T755" s="28" t="n">
        <x:f>H755-I755</x:f>
        <x:v>-4</x:v>
      </x:c>
      <x:c r="U755" s="24" t="n">
        <x:f>IFERROR(J755/H755,0)-IFERROR(K755/I755,0)</x:f>
        <x:v>0.3333333333333333</x:v>
      </x:c>
      <x:c r="V755" s="24" t="n">
        <x:f>IFERROR(F755/J755,0)-IFERROR(G755/K755,0)</x:f>
        <x:v>0.1333333333333333</x:v>
      </x:c>
      <x:c r="W755" s="28" t="n">
        <x:f>L755-M755</x:f>
        <x:v>-6</x:v>
      </x:c>
      <x:c r="X755" s="24" t="n">
        <x:f>IFERROR(K755/I755,0)</x:f>
        <x:v>0.4166666666666667</x:v>
      </x:c>
      <x:c r="Y755" s="24" t="n">
        <x:f>IFERROR(G755/I755,0)</x:f>
        <x:v>0.08333333333333333</x:v>
      </x:c>
      <x:c r="Z755" s="24" t="n">
        <x:f>IFERROR(G755/K755,0)</x:f>
        <x:v>0.2</x:v>
      </x:c>
      <x:c r="AA755" s="24" t="n">
        <x:f>IFERROR(F755/H755,0)-IFERROR(G755/I755,0)</x:f>
        <x:v>0.16666666666666669</x:v>
      </x:c>
      <x:c r="AB755" s="28" t="n">
        <x:f>J755-K755</x:f>
        <x:v>1</x:v>
      </x:c>
      <x:c r="AC755" s="32" t="n">
        <x:f>F755-G755</x:f>
        <x:v>1</x:v>
      </x:c>
    </x:row>
    <x:row r="756">
      <x:c r="A756" s="4" t="str">
        <x:v>2021-22</x:v>
      </x:c>
      <x:c r="B756" s="20" t="n">
        <x:v>44703</x:v>
      </x:c>
      <x:c r="C756" s="4" t="str">
        <x:v>Norwich</x:v>
      </x:c>
      <x:c r="D756" s="4" t="str">
        <x:v>Tottenham</x:v>
      </x:c>
      <x:c r="E756" s="4" t="str">
        <x:v>Home</x:v>
      </x:c>
      <x:c r="F756" s="28" t="n">
        <x:v>0</x:v>
      </x:c>
      <x:c r="G756" s="28" t="n">
        <x:v>5</x:v>
      </x:c>
      <x:c r="H756" s="28" t="n">
        <x:v>9</x:v>
      </x:c>
      <x:c r="I756" s="28" t="n">
        <x:v>19</x:v>
      </x:c>
      <x:c r="J756" s="28" t="n">
        <x:v>0</x:v>
      </x:c>
      <x:c r="K756" s="28" t="n">
        <x:v>13</x:v>
      </x:c>
      <x:c r="L756" s="28" t="n">
        <x:v>3</x:v>
      </x:c>
      <x:c r="M756" s="28" t="n">
        <x:v>2</x:v>
      </x:c>
      <x:c r="N756" s="28" t="n">
        <x:v>3</x:v>
      </x:c>
      <x:c r="O756" s="28" t="n">
        <x:v>0</x:v>
      </x:c>
      <x:c r="P756" s="28" t="n">
        <x:v>0</x:v>
      </x:c>
      <x:c r="Q756" s="24" t="n">
        <x:f>IFERROR(J756/H756,0)</x:f>
        <x:v>0</x:v>
      </x:c>
      <x:c r="R756" s="24" t="n">
        <x:f>IFERROR(F756/H756,0)</x:f>
        <x:v>0</x:v>
      </x:c>
      <x:c r="S756" s="24" t="n">
        <x:f>IFERROR(F756/J756,0)</x:f>
        <x:v>0</x:v>
      </x:c>
      <x:c r="T756" s="28" t="n">
        <x:f>H756-I756</x:f>
        <x:v>-10</x:v>
      </x:c>
      <x:c r="U756" s="24" t="n">
        <x:f>IFERROR(J756/H756,0)-IFERROR(K756/I756,0)</x:f>
        <x:v>-0.6842105263157895</x:v>
      </x:c>
      <x:c r="V756" s="24" t="n">
        <x:f>IFERROR(F756/J756,0)-IFERROR(G756/K756,0)</x:f>
        <x:v>-0.38461538461538464</x:v>
      </x:c>
      <x:c r="W756" s="28" t="n">
        <x:f>L756-M756</x:f>
        <x:v>1</x:v>
      </x:c>
      <x:c r="X756" s="24" t="n">
        <x:f>IFERROR(K756/I756,0)</x:f>
        <x:v>0.6842105263157895</x:v>
      </x:c>
      <x:c r="Y756" s="24" t="n">
        <x:f>IFERROR(G756/I756,0)</x:f>
        <x:v>0.2631578947368421</x:v>
      </x:c>
      <x:c r="Z756" s="24" t="n">
        <x:f>IFERROR(G756/K756,0)</x:f>
        <x:v>0.38461538461538464</x:v>
      </x:c>
      <x:c r="AA756" s="24" t="n">
        <x:f>IFERROR(F756/H756,0)-IFERROR(G756/I756,0)</x:f>
        <x:v>-0.2631578947368421</x:v>
      </x:c>
      <x:c r="AB756" s="28" t="n">
        <x:f>J756-K756</x:f>
        <x:v>-13</x:v>
      </x:c>
      <x:c r="AC756" s="32" t="n">
        <x:f>F756-G756</x:f>
        <x:v>-5</x:v>
      </x:c>
    </x:row>
    <x:row r="757">
      <x:c r="A757" s="4" t="str">
        <x:v>2021-22</x:v>
      </x:c>
      <x:c r="B757" s="20" t="n">
        <x:v>44703</x:v>
      </x:c>
      <x:c r="C757" s="4" t="str">
        <x:v>Southampton</x:v>
      </x:c>
      <x:c r="D757" s="4" t="str">
        <x:v>Leicester</x:v>
      </x:c>
      <x:c r="E757" s="4" t="str">
        <x:v>Away</x:v>
      </x:c>
      <x:c r="F757" s="28" t="n">
        <x:v>1</x:v>
      </x:c>
      <x:c r="G757" s="28" t="n">
        <x:v>4</x:v>
      </x:c>
      <x:c r="H757" s="28" t="n">
        <x:v>7</x:v>
      </x:c>
      <x:c r="I757" s="28" t="n">
        <x:v>12</x:v>
      </x:c>
      <x:c r="J757" s="28" t="n">
        <x:v>2</x:v>
      </x:c>
      <x:c r="K757" s="28" t="n">
        <x:v>6</x:v>
      </x:c>
      <x:c r="L757" s="28" t="n">
        <x:v>3</x:v>
      </x:c>
      <x:c r="M757" s="28" t="n">
        <x:v>3</x:v>
      </x:c>
      <x:c r="N757" s="28" t="n">
        <x:v>1</x:v>
      </x:c>
      <x:c r="O757" s="28" t="n">
        <x:v>0</x:v>
      </x:c>
      <x:c r="P757" s="28" t="n">
        <x:v>0</x:v>
      </x:c>
      <x:c r="Q757" s="24" t="n">
        <x:f>IFERROR(J757/H757,0)</x:f>
        <x:v>0.2857142857142857</x:v>
      </x:c>
      <x:c r="R757" s="24" t="n">
        <x:f>IFERROR(F757/H757,0)</x:f>
        <x:v>0.14285714285714285</x:v>
      </x:c>
      <x:c r="S757" s="24" t="n">
        <x:f>IFERROR(F757/J757,0)</x:f>
        <x:v>0.5</x:v>
      </x:c>
      <x:c r="T757" s="28" t="n">
        <x:f>H757-I757</x:f>
        <x:v>-5</x:v>
      </x:c>
      <x:c r="U757" s="24" t="n">
        <x:f>IFERROR(J757/H757,0)-IFERROR(K757/I757,0)</x:f>
        <x:v>-0.2142857142857143</x:v>
      </x:c>
      <x:c r="V757" s="24" t="n">
        <x:f>IFERROR(F757/J757,0)-IFERROR(G757/K757,0)</x:f>
        <x:v>-0.16666666666666663</x:v>
      </x:c>
      <x:c r="W757" s="28" t="n">
        <x:f>L757-M757</x:f>
        <x:v>0</x:v>
      </x:c>
      <x:c r="X757" s="24" t="n">
        <x:f>IFERROR(K757/I757,0)</x:f>
        <x:v>0.5</x:v>
      </x:c>
      <x:c r="Y757" s="24" t="n">
        <x:f>IFERROR(G757/I757,0)</x:f>
        <x:v>0.3333333333333333</x:v>
      </x:c>
      <x:c r="Z757" s="24" t="n">
        <x:f>IFERROR(G757/K757,0)</x:f>
        <x:v>0.6666666666666666</x:v>
      </x:c>
      <x:c r="AA757" s="24" t="n">
        <x:f>IFERROR(F757/H757,0)-IFERROR(G757/I757,0)</x:f>
        <x:v>-0.19047619047619047</x:v>
      </x:c>
      <x:c r="AB757" s="28" t="n">
        <x:f>J757-K757</x:f>
        <x:v>-4</x:v>
      </x:c>
      <x:c r="AC757" s="32" t="n">
        <x:f>F757-G757</x:f>
        <x:v>-3</x:v>
      </x:c>
    </x:row>
    <x:row r="758">
      <x:c r="A758" s="4" t="str">
        <x:v>2021-22</x:v>
      </x:c>
      <x:c r="B758" s="20" t="n">
        <x:v>44703</x:v>
      </x:c>
      <x:c r="C758" s="4" t="str">
        <x:v>Tottenham</x:v>
      </x:c>
      <x:c r="D758" s="4" t="str">
        <x:v>Norwich</x:v>
      </x:c>
      <x:c r="E758" s="4" t="str">
        <x:v>Away</x:v>
      </x:c>
      <x:c r="F758" s="28" t="n">
        <x:v>5</x:v>
      </x:c>
      <x:c r="G758" s="28" t="n">
        <x:v>0</x:v>
      </x:c>
      <x:c r="H758" s="28" t="n">
        <x:v>19</x:v>
      </x:c>
      <x:c r="I758" s="28" t="n">
        <x:v>9</x:v>
      </x:c>
      <x:c r="J758" s="28" t="n">
        <x:v>13</x:v>
      </x:c>
      <x:c r="K758" s="28" t="n">
        <x:v>0</x:v>
      </x:c>
      <x:c r="L758" s="28" t="n">
        <x:v>2</x:v>
      </x:c>
      <x:c r="M758" s="28" t="n">
        <x:v>3</x:v>
      </x:c>
      <x:c r="N758" s="28" t="n">
        <x:v>1</x:v>
      </x:c>
      <x:c r="O758" s="28" t="n">
        <x:v>0</x:v>
      </x:c>
      <x:c r="P758" s="28" t="n">
        <x:v>3</x:v>
      </x:c>
      <x:c r="Q758" s="24" t="n">
        <x:f>IFERROR(J758/H758,0)</x:f>
        <x:v>0.6842105263157895</x:v>
      </x:c>
      <x:c r="R758" s="24" t="n">
        <x:f>IFERROR(F758/H758,0)</x:f>
        <x:v>0.2631578947368421</x:v>
      </x:c>
      <x:c r="S758" s="24" t="n">
        <x:f>IFERROR(F758/J758,0)</x:f>
        <x:v>0.38461538461538464</x:v>
      </x:c>
      <x:c r="T758" s="28" t="n">
        <x:f>H758-I758</x:f>
        <x:v>10</x:v>
      </x:c>
      <x:c r="U758" s="24" t="n">
        <x:f>IFERROR(J758/H758,0)-IFERROR(K758/I758,0)</x:f>
        <x:v>0.6842105263157895</x:v>
      </x:c>
      <x:c r="V758" s="24" t="n">
        <x:f>IFERROR(F758/J758,0)-IFERROR(G758/K758,0)</x:f>
        <x:v>0.38461538461538464</x:v>
      </x:c>
      <x:c r="W758" s="28" t="n">
        <x:f>L758-M758</x:f>
        <x:v>-1</x:v>
      </x:c>
      <x:c r="X758" s="24" t="n">
        <x:f>IFERROR(K758/I758,0)</x:f>
        <x:v>0</x:v>
      </x:c>
      <x:c r="Y758" s="24" t="n">
        <x:f>IFERROR(G758/I758,0)</x:f>
        <x:v>0</x:v>
      </x:c>
      <x:c r="Z758" s="24" t="n">
        <x:f>IFERROR(G758/K758,0)</x:f>
        <x:v>0</x:v>
      </x:c>
      <x:c r="AA758" s="24" t="n">
        <x:f>IFERROR(F758/H758,0)-IFERROR(G758/I758,0)</x:f>
        <x:v>0.2631578947368421</x:v>
      </x:c>
      <x:c r="AB758" s="28" t="n">
        <x:f>J758-K758</x:f>
        <x:v>13</x:v>
      </x:c>
      <x:c r="AC758" s="32" t="n">
        <x:f>F758-G758</x:f>
        <x:v>5</x:v>
      </x:c>
    </x:row>
    <x:row r="759">
      <x:c r="A759" s="4" t="str">
        <x:v>2021-22</x:v>
      </x:c>
      <x:c r="B759" s="20" t="n">
        <x:v>44703</x:v>
      </x:c>
      <x:c r="C759" s="4" t="str">
        <x:v>Watford</x:v>
      </x:c>
      <x:c r="D759" s="4" t="str">
        <x:v>Chelsea</x:v>
      </x:c>
      <x:c r="E759" s="4" t="str">
        <x:v>Away</x:v>
      </x:c>
      <x:c r="F759" s="28" t="n">
        <x:v>1</x:v>
      </x:c>
      <x:c r="G759" s="28" t="n">
        <x:v>2</x:v>
      </x:c>
      <x:c r="H759" s="28" t="n">
        <x:v>8</x:v>
      </x:c>
      <x:c r="I759" s="28" t="n">
        <x:v>19</x:v>
      </x:c>
      <x:c r="J759" s="28" t="n">
        <x:v>3</x:v>
      </x:c>
      <x:c r="K759" s="28" t="n">
        <x:v>8</x:v>
      </x:c>
      <x:c r="L759" s="28" t="n">
        <x:v>3</x:v>
      </x:c>
      <x:c r="M759" s="28" t="n">
        <x:v>3</x:v>
      </x:c>
      <x:c r="N759" s="28" t="n">
        <x:v>0</x:v>
      </x:c>
      <x:c r="O759" s="28" t="n">
        <x:v>0</x:v>
      </x:c>
      <x:c r="P759" s="28" t="n">
        <x:v>0</x:v>
      </x:c>
      <x:c r="Q759" s="24" t="n">
        <x:f>IFERROR(J759/H759,0)</x:f>
        <x:v>0.375</x:v>
      </x:c>
      <x:c r="R759" s="24" t="n">
        <x:f>IFERROR(F759/H759,0)</x:f>
        <x:v>0.125</x:v>
      </x:c>
      <x:c r="S759" s="24" t="n">
        <x:f>IFERROR(F759/J759,0)</x:f>
        <x:v>0.3333333333333333</x:v>
      </x:c>
      <x:c r="T759" s="28" t="n">
        <x:f>H759-I759</x:f>
        <x:v>-11</x:v>
      </x:c>
      <x:c r="U759" s="24" t="n">
        <x:f>IFERROR(J759/H759,0)-IFERROR(K759/I759,0)</x:f>
        <x:v>-0.046052631578947345</x:v>
      </x:c>
      <x:c r="V759" s="24" t="n">
        <x:f>IFERROR(F759/J759,0)-IFERROR(G759/K759,0)</x:f>
        <x:v>0.08333333333333331</x:v>
      </x:c>
      <x:c r="W759" s="28" t="n">
        <x:f>L759-M759</x:f>
        <x:v>0</x:v>
      </x:c>
      <x:c r="X759" s="24" t="n">
        <x:f>IFERROR(K759/I759,0)</x:f>
        <x:v>0.42105263157894735</x:v>
      </x:c>
      <x:c r="Y759" s="24" t="n">
        <x:f>IFERROR(G759/I759,0)</x:f>
        <x:v>0.10526315789473684</x:v>
      </x:c>
      <x:c r="Z759" s="24" t="n">
        <x:f>IFERROR(G759/K759,0)</x:f>
        <x:v>0.25</x:v>
      </x:c>
      <x:c r="AA759" s="24" t="n">
        <x:f>IFERROR(F759/H759,0)-IFERROR(G759/I759,0)</x:f>
        <x:v>0.019736842105263164</x:v>
      </x:c>
      <x:c r="AB759" s="28" t="n">
        <x:f>J759-K759</x:f>
        <x:v>-5</x:v>
      </x:c>
      <x:c r="AC759" s="32" t="n">
        <x:f>F759-G759</x:f>
        <x:v>-1</x:v>
      </x:c>
    </x:row>
    <x:row r="760">
      <x:c r="A760" s="4" t="str">
        <x:v>2021-22</x:v>
      </x:c>
      <x:c r="B760" s="20" t="n">
        <x:v>44703</x:v>
      </x:c>
      <x:c r="C760" s="4" t="str">
        <x:v>West Ham</x:v>
      </x:c>
      <x:c r="D760" s="4" t="str">
        <x:v>Brighton</x:v>
      </x:c>
      <x:c r="E760" s="4" t="str">
        <x:v>Away</x:v>
      </x:c>
      <x:c r="F760" s="28" t="n">
        <x:v>1</x:v>
      </x:c>
      <x:c r="G760" s="28" t="n">
        <x:v>3</x:v>
      </x:c>
      <x:c r="H760" s="28" t="n">
        <x:v>7</x:v>
      </x:c>
      <x:c r="I760" s="28" t="n">
        <x:v>18</x:v>
      </x:c>
      <x:c r="J760" s="28" t="n">
        <x:v>2</x:v>
      </x:c>
      <x:c r="K760" s="28" t="n">
        <x:v>7</x:v>
      </x:c>
      <x:c r="L760" s="28" t="n">
        <x:v>6</x:v>
      </x:c>
      <x:c r="M760" s="28" t="n">
        <x:v>5</x:v>
      </x:c>
      <x:c r="N760" s="28" t="n">
        <x:v>1</x:v>
      </x:c>
      <x:c r="O760" s="28" t="n">
        <x:v>0</x:v>
      </x:c>
      <x:c r="P760" s="28" t="n">
        <x:v>0</x:v>
      </x:c>
      <x:c r="Q760" s="24" t="n">
        <x:f>IFERROR(J760/H760,0)</x:f>
        <x:v>0.2857142857142857</x:v>
      </x:c>
      <x:c r="R760" s="24" t="n">
        <x:f>IFERROR(F760/H760,0)</x:f>
        <x:v>0.14285714285714285</x:v>
      </x:c>
      <x:c r="S760" s="24" t="n">
        <x:f>IFERROR(F760/J760,0)</x:f>
        <x:v>0.5</x:v>
      </x:c>
      <x:c r="T760" s="28" t="n">
        <x:f>H760-I760</x:f>
        <x:v>-11</x:v>
      </x:c>
      <x:c r="U760" s="24" t="n">
        <x:f>IFERROR(J760/H760,0)-IFERROR(K760/I760,0)</x:f>
        <x:v>-0.1031746031746032</x:v>
      </x:c>
      <x:c r="V760" s="24" t="n">
        <x:f>IFERROR(F760/J760,0)-IFERROR(G760/K760,0)</x:f>
        <x:v>0.07142857142857145</x:v>
      </x:c>
      <x:c r="W760" s="28" t="n">
        <x:f>L760-M760</x:f>
        <x:v>1</x:v>
      </x:c>
      <x:c r="X760" s="24" t="n">
        <x:f>IFERROR(K760/I760,0)</x:f>
        <x:v>0.3888888888888889</x:v>
      </x:c>
      <x:c r="Y760" s="24" t="n">
        <x:f>IFERROR(G760/I760,0)</x:f>
        <x:v>0.16666666666666666</x:v>
      </x:c>
      <x:c r="Z760" s="24" t="n">
        <x:f>IFERROR(G760/K760,0)</x:f>
        <x:v>0.42857142857142855</x:v>
      </x:c>
      <x:c r="AA760" s="24" t="n">
        <x:f>IFERROR(F760/H760,0)-IFERROR(G760/I760,0)</x:f>
        <x:v>-0.023809523809523808</x:v>
      </x:c>
      <x:c r="AB760" s="28" t="n">
        <x:f>J760-K760</x:f>
        <x:v>-5</x:v>
      </x:c>
      <x:c r="AC760" s="32" t="n">
        <x:f>F760-G760</x:f>
        <x:v>-2</x:v>
      </x:c>
    </x:row>
    <x:row r="761">
      <x:c r="A761" s="4" t="str">
        <x:v>2021-22</x:v>
      </x:c>
      <x:c r="B761" s="20" t="n">
        <x:v>44703</x:v>
      </x:c>
      <x:c r="C761" s="4" t="str">
        <x:v>Wolves</x:v>
      </x:c>
      <x:c r="D761" s="4" t="str">
        <x:v>Liverpool</x:v>
      </x:c>
      <x:c r="E761" s="4" t="str">
        <x:v>Away</x:v>
      </x:c>
      <x:c r="F761" s="28" t="n">
        <x:v>1</x:v>
      </x:c>
      <x:c r="G761" s="28" t="n">
        <x:v>3</x:v>
      </x:c>
      <x:c r="H761" s="28" t="n">
        <x:v>7</x:v>
      </x:c>
      <x:c r="I761" s="28" t="n">
        <x:v>29</x:v>
      </x:c>
      <x:c r="J761" s="28" t="n">
        <x:v>5</x:v>
      </x:c>
      <x:c r="K761" s="28" t="n">
        <x:v>8</x:v>
      </x:c>
      <x:c r="L761" s="28" t="n">
        <x:v>3</x:v>
      </x:c>
      <x:c r="M761" s="28" t="n">
        <x:v>5</x:v>
      </x:c>
      <x:c r="N761" s="28" t="n">
        <x:v>0</x:v>
      </x:c>
      <x:c r="O761" s="28" t="n">
        <x:v>0</x:v>
      </x:c>
      <x:c r="P761" s="28" t="n">
        <x:v>0</x:v>
      </x:c>
      <x:c r="Q761" s="24" t="n">
        <x:f>IFERROR(J761/H761,0)</x:f>
        <x:v>0.7142857142857143</x:v>
      </x:c>
      <x:c r="R761" s="24" t="n">
        <x:f>IFERROR(F761/H761,0)</x:f>
        <x:v>0.14285714285714285</x:v>
      </x:c>
      <x:c r="S761" s="24" t="n">
        <x:f>IFERROR(F761/J761,0)</x:f>
        <x:v>0.2</x:v>
      </x:c>
      <x:c r="T761" s="28" t="n">
        <x:f>H761-I761</x:f>
        <x:v>-22</x:v>
      </x:c>
      <x:c r="U761" s="24" t="n">
        <x:f>IFERROR(J761/H761,0)-IFERROR(K761/I761,0)</x:f>
        <x:v>0.43842364532019706</x:v>
      </x:c>
      <x:c r="V761" s="24" t="n">
        <x:f>IFERROR(F761/J761,0)-IFERROR(G761/K761,0)</x:f>
        <x:v>-0.175</x:v>
      </x:c>
      <x:c r="W761" s="28" t="n">
        <x:f>L761-M761</x:f>
        <x:v>-2</x:v>
      </x:c>
      <x:c r="X761" s="24" t="n">
        <x:f>IFERROR(K761/I761,0)</x:f>
        <x:v>0.27586206896551724</x:v>
      </x:c>
      <x:c r="Y761" s="24" t="n">
        <x:f>IFERROR(G761/I761,0)</x:f>
        <x:v>0.10344827586206896</x:v>
      </x:c>
      <x:c r="Z761" s="24" t="n">
        <x:f>IFERROR(G761/K761,0)</x:f>
        <x:v>0.375</x:v>
      </x:c>
      <x:c r="AA761" s="24" t="n">
        <x:f>IFERROR(F761/H761,0)-IFERROR(G761/I761,0)</x:f>
        <x:v>0.039408866995073885</x:v>
      </x:c>
      <x:c r="AB761" s="28" t="n">
        <x:f>J761-K761</x:f>
        <x:v>-3</x:v>
      </x:c>
      <x:c r="AC761" s="32" t="n">
        <x:f>F761-G761</x:f>
        <x:v>-2</x:v>
      </x:c>
    </x:row>
    <x:row r="762">
      <x:c r="A762" s="4" t="str">
        <x:v>2022-23</x:v>
      </x:c>
      <x:c r="B762" s="20" t="n">
        <x:v>44778</x:v>
      </x:c>
      <x:c r="C762" s="4" t="str">
        <x:v>Arsenal</x:v>
      </x:c>
      <x:c r="D762" s="4" t="str">
        <x:v>Crystal Palace</x:v>
      </x:c>
      <x:c r="E762" s="4" t="str">
        <x:v>Away</x:v>
      </x:c>
      <x:c r="F762" s="28" t="n">
        <x:v>2</x:v>
      </x:c>
      <x:c r="G762" s="28" t="n">
        <x:v>0</x:v>
      </x:c>
      <x:c r="H762" s="28" t="n">
        <x:v>10</x:v>
      </x:c>
      <x:c r="I762" s="28" t="n">
        <x:v>10</x:v>
      </x:c>
      <x:c r="J762" s="28" t="n">
        <x:v>2</x:v>
      </x:c>
      <x:c r="K762" s="28" t="n">
        <x:v>2</x:v>
      </x:c>
      <x:c r="L762" s="28" t="n">
        <x:v>5</x:v>
      </x:c>
      <x:c r="M762" s="28" t="n">
        <x:v>3</x:v>
      </x:c>
      <x:c r="N762" s="28" t="n">
        <x:v>2</x:v>
      </x:c>
      <x:c r="O762" s="28" t="n">
        <x:v>0</x:v>
      </x:c>
      <x:c r="P762" s="28" t="n">
        <x:v>3</x:v>
      </x:c>
      <x:c r="Q762" s="24" t="n">
        <x:f>IFERROR(J762/H762,0)</x:f>
        <x:v>0.2</x:v>
      </x:c>
      <x:c r="R762" s="24" t="n">
        <x:f>IFERROR(F762/H762,0)</x:f>
        <x:v>0.2</x:v>
      </x:c>
      <x:c r="S762" s="24" t="n">
        <x:f>IFERROR(F762/J762,0)</x:f>
        <x:v>1</x:v>
      </x:c>
      <x:c r="T762" s="28" t="n">
        <x:f>H762-I762</x:f>
        <x:v>0</x:v>
      </x:c>
      <x:c r="U762" s="24" t="n">
        <x:f>IFERROR(J762/H762,0)-IFERROR(K762/I762,0)</x:f>
        <x:v>0</x:v>
      </x:c>
      <x:c r="V762" s="24" t="n">
        <x:f>IFERROR(F762/J762,0)-IFERROR(G762/K762,0)</x:f>
        <x:v>1</x:v>
      </x:c>
      <x:c r="W762" s="28" t="n">
        <x:f>L762-M762</x:f>
        <x:v>2</x:v>
      </x:c>
      <x:c r="X762" s="24" t="n">
        <x:f>IFERROR(K762/I762,0)</x:f>
        <x:v>0.2</x:v>
      </x:c>
      <x:c r="Y762" s="24" t="n">
        <x:f>IFERROR(G762/I762,0)</x:f>
        <x:v>0</x:v>
      </x:c>
      <x:c r="Z762" s="24" t="n">
        <x:f>IFERROR(G762/K762,0)</x:f>
        <x:v>0</x:v>
      </x:c>
      <x:c r="AA762" s="24" t="n">
        <x:f>IFERROR(F762/H762,0)-IFERROR(G762/I762,0)</x:f>
        <x:v>0.2</x:v>
      </x:c>
      <x:c r="AB762" s="28" t="n">
        <x:f>J762-K762</x:f>
        <x:v>0</x:v>
      </x:c>
      <x:c r="AC762" s="32" t="n">
        <x:f>F762-G762</x:f>
        <x:v>2</x:v>
      </x:c>
    </x:row>
    <x:row r="763">
      <x:c r="A763" s="4" t="str">
        <x:v>2022-23</x:v>
      </x:c>
      <x:c r="B763" s="20" t="n">
        <x:v>44778</x:v>
      </x:c>
      <x:c r="C763" s="4" t="str">
        <x:v>Crystal Palace</x:v>
      </x:c>
      <x:c r="D763" s="4" t="str">
        <x:v>Arsenal</x:v>
      </x:c>
      <x:c r="E763" s="4" t="str">
        <x:v>Home</x:v>
      </x:c>
      <x:c r="F763" s="28" t="n">
        <x:v>0</x:v>
      </x:c>
      <x:c r="G763" s="28" t="n">
        <x:v>2</x:v>
      </x:c>
      <x:c r="H763" s="28" t="n">
        <x:v>10</x:v>
      </x:c>
      <x:c r="I763" s="28" t="n">
        <x:v>10</x:v>
      </x:c>
      <x:c r="J763" s="28" t="n">
        <x:v>2</x:v>
      </x:c>
      <x:c r="K763" s="28" t="n">
        <x:v>2</x:v>
      </x:c>
      <x:c r="L763" s="28" t="n">
        <x:v>3</x:v>
      </x:c>
      <x:c r="M763" s="28" t="n">
        <x:v>5</x:v>
      </x:c>
      <x:c r="N763" s="28" t="n">
        <x:v>1</x:v>
      </x:c>
      <x:c r="O763" s="28" t="n">
        <x:v>0</x:v>
      </x:c>
      <x:c r="P763" s="28" t="n">
        <x:v>0</x:v>
      </x:c>
      <x:c r="Q763" s="24" t="n">
        <x:f>IFERROR(J763/H763,0)</x:f>
        <x:v>0.2</x:v>
      </x:c>
      <x:c r="R763" s="24" t="n">
        <x:f>IFERROR(F763/H763,0)</x:f>
        <x:v>0</x:v>
      </x:c>
      <x:c r="S763" s="24" t="n">
        <x:f>IFERROR(F763/J763,0)</x:f>
        <x:v>0</x:v>
      </x:c>
      <x:c r="T763" s="28" t="n">
        <x:f>H763-I763</x:f>
        <x:v>0</x:v>
      </x:c>
      <x:c r="U763" s="24" t="n">
        <x:f>IFERROR(J763/H763,0)-IFERROR(K763/I763,0)</x:f>
        <x:v>0</x:v>
      </x:c>
      <x:c r="V763" s="24" t="n">
        <x:f>IFERROR(F763/J763,0)-IFERROR(G763/K763,0)</x:f>
        <x:v>-1</x:v>
      </x:c>
      <x:c r="W763" s="28" t="n">
        <x:f>L763-M763</x:f>
        <x:v>-2</x:v>
      </x:c>
      <x:c r="X763" s="24" t="n">
        <x:f>IFERROR(K763/I763,0)</x:f>
        <x:v>0.2</x:v>
      </x:c>
      <x:c r="Y763" s="24" t="n">
        <x:f>IFERROR(G763/I763,0)</x:f>
        <x:v>0.2</x:v>
      </x:c>
      <x:c r="Z763" s="24" t="n">
        <x:f>IFERROR(G763/K763,0)</x:f>
        <x:v>1</x:v>
      </x:c>
      <x:c r="AA763" s="24" t="n">
        <x:f>IFERROR(F763/H763,0)-IFERROR(G763/I763,0)</x:f>
        <x:v>-0.2</x:v>
      </x:c>
      <x:c r="AB763" s="28" t="n">
        <x:f>J763-K763</x:f>
        <x:v>0</x:v>
      </x:c>
      <x:c r="AC763" s="32" t="n">
        <x:f>F763-G763</x:f>
        <x:v>-2</x:v>
      </x:c>
    </x:row>
    <x:row r="764">
      <x:c r="A764" s="4" t="str">
        <x:v>2022-23</x:v>
      </x:c>
      <x:c r="B764" s="20" t="n">
        <x:v>44779</x:v>
      </x:c>
      <x:c r="C764" s="4" t="str">
        <x:v>Aston Villa</x:v>
      </x:c>
      <x:c r="D764" s="4" t="str">
        <x:v>Bournemouth</x:v>
      </x:c>
      <x:c r="E764" s="4" t="str">
        <x:v>Away</x:v>
      </x:c>
      <x:c r="F764" s="28" t="n">
        <x:v>0</x:v>
      </x:c>
      <x:c r="G764" s="28" t="n">
        <x:v>2</x:v>
      </x:c>
      <x:c r="H764" s="28" t="n">
        <x:v>15</x:v>
      </x:c>
      <x:c r="I764" s="28" t="n">
        <x:v>7</x:v>
      </x:c>
      <x:c r="J764" s="28" t="n">
        <x:v>2</x:v>
      </x:c>
      <x:c r="K764" s="28" t="n">
        <x:v>3</x:v>
      </x:c>
      <x:c r="L764" s="28" t="n">
        <x:v>5</x:v>
      </x:c>
      <x:c r="M764" s="28" t="n">
        <x:v>5</x:v>
      </x:c>
      <x:c r="N764" s="28" t="n">
        <x:v>3</x:v>
      </x:c>
      <x:c r="O764" s="28" t="n">
        <x:v>0</x:v>
      </x:c>
      <x:c r="P764" s="28" t="n">
        <x:v>0</x:v>
      </x:c>
      <x:c r="Q764" s="24" t="n">
        <x:f>IFERROR(J764/H764,0)</x:f>
        <x:v>0.13333333333333333</x:v>
      </x:c>
      <x:c r="R764" s="24" t="n">
        <x:f>IFERROR(F764/H764,0)</x:f>
        <x:v>0</x:v>
      </x:c>
      <x:c r="S764" s="24" t="n">
        <x:f>IFERROR(F764/J764,0)</x:f>
        <x:v>0</x:v>
      </x:c>
      <x:c r="T764" s="28" t="n">
        <x:f>H764-I764</x:f>
        <x:v>8</x:v>
      </x:c>
      <x:c r="U764" s="24" t="n">
        <x:f>IFERROR(J764/H764,0)-IFERROR(K764/I764,0)</x:f>
        <x:v>-0.2952380952380952</x:v>
      </x:c>
      <x:c r="V764" s="24" t="n">
        <x:f>IFERROR(F764/J764,0)-IFERROR(G764/K764,0)</x:f>
        <x:v>-0.6666666666666666</x:v>
      </x:c>
      <x:c r="W764" s="28" t="n">
        <x:f>L764-M764</x:f>
        <x:v>0</x:v>
      </x:c>
      <x:c r="X764" s="24" t="n">
        <x:f>IFERROR(K764/I764,0)</x:f>
        <x:v>0.42857142857142855</x:v>
      </x:c>
      <x:c r="Y764" s="24" t="n">
        <x:f>IFERROR(G764/I764,0)</x:f>
        <x:v>0.2857142857142857</x:v>
      </x:c>
      <x:c r="Z764" s="24" t="n">
        <x:f>IFERROR(G764/K764,0)</x:f>
        <x:v>0.6666666666666666</x:v>
      </x:c>
      <x:c r="AA764" s="24" t="n">
        <x:f>IFERROR(F764/H764,0)-IFERROR(G764/I764,0)</x:f>
        <x:v>-0.2857142857142857</x:v>
      </x:c>
      <x:c r="AB764" s="28" t="n">
        <x:f>J764-K764</x:f>
        <x:v>-1</x:v>
      </x:c>
      <x:c r="AC764" s="32" t="n">
        <x:f>F764-G764</x:f>
        <x:v>-2</x:v>
      </x:c>
    </x:row>
    <x:row r="765">
      <x:c r="A765" s="4" t="str">
        <x:v>2022-23</x:v>
      </x:c>
      <x:c r="B765" s="20" t="n">
        <x:v>44779</x:v>
      </x:c>
      <x:c r="C765" s="4" t="str">
        <x:v>Bournemouth</x:v>
      </x:c>
      <x:c r="D765" s="4" t="str">
        <x:v>Aston Villa</x:v>
      </x:c>
      <x:c r="E765" s="4" t="str">
        <x:v>Home</x:v>
      </x:c>
      <x:c r="F765" s="28" t="n">
        <x:v>2</x:v>
      </x:c>
      <x:c r="G765" s="28" t="n">
        <x:v>0</x:v>
      </x:c>
      <x:c r="H765" s="28" t="n">
        <x:v>7</x:v>
      </x:c>
      <x:c r="I765" s="28" t="n">
        <x:v>15</x:v>
      </x:c>
      <x:c r="J765" s="28" t="n">
        <x:v>3</x:v>
      </x:c>
      <x:c r="K765" s="28" t="n">
        <x:v>2</x:v>
      </x:c>
      <x:c r="L765" s="28" t="n">
        <x:v>5</x:v>
      </x:c>
      <x:c r="M765" s="28" t="n">
        <x:v>5</x:v>
      </x:c>
      <x:c r="N765" s="28" t="n">
        <x:v>3</x:v>
      </x:c>
      <x:c r="O765" s="28" t="n">
        <x:v>0</x:v>
      </x:c>
      <x:c r="P765" s="28" t="n">
        <x:v>3</x:v>
      </x:c>
      <x:c r="Q765" s="24" t="n">
        <x:f>IFERROR(J765/H765,0)</x:f>
        <x:v>0.42857142857142855</x:v>
      </x:c>
      <x:c r="R765" s="24" t="n">
        <x:f>IFERROR(F765/H765,0)</x:f>
        <x:v>0.2857142857142857</x:v>
      </x:c>
      <x:c r="S765" s="24" t="n">
        <x:f>IFERROR(F765/J765,0)</x:f>
        <x:v>0.6666666666666666</x:v>
      </x:c>
      <x:c r="T765" s="28" t="n">
        <x:f>H765-I765</x:f>
        <x:v>-8</x:v>
      </x:c>
      <x:c r="U765" s="24" t="n">
        <x:f>IFERROR(J765/H765,0)-IFERROR(K765/I765,0)</x:f>
        <x:v>0.2952380952380952</x:v>
      </x:c>
      <x:c r="V765" s="24" t="n">
        <x:f>IFERROR(F765/J765,0)-IFERROR(G765/K765,0)</x:f>
        <x:v>0.6666666666666666</x:v>
      </x:c>
      <x:c r="W765" s="28" t="n">
        <x:f>L765-M765</x:f>
        <x:v>0</x:v>
      </x:c>
      <x:c r="X765" s="24" t="n">
        <x:f>IFERROR(K765/I765,0)</x:f>
        <x:v>0.13333333333333333</x:v>
      </x:c>
      <x:c r="Y765" s="24" t="n">
        <x:f>IFERROR(G765/I765,0)</x:f>
        <x:v>0</x:v>
      </x:c>
      <x:c r="Z765" s="24" t="n">
        <x:f>IFERROR(G765/K765,0)</x:f>
        <x:v>0</x:v>
      </x:c>
      <x:c r="AA765" s="24" t="n">
        <x:f>IFERROR(F765/H765,0)-IFERROR(G765/I765,0)</x:f>
        <x:v>0.2857142857142857</x:v>
      </x:c>
      <x:c r="AB765" s="28" t="n">
        <x:f>J765-K765</x:f>
        <x:v>1</x:v>
      </x:c>
      <x:c r="AC765" s="32" t="n">
        <x:f>F765-G765</x:f>
        <x:v>2</x:v>
      </x:c>
    </x:row>
    <x:row r="766">
      <x:c r="A766" s="4" t="str">
        <x:v>2022-23</x:v>
      </x:c>
      <x:c r="B766" s="20" t="n">
        <x:v>44779</x:v>
      </x:c>
      <x:c r="C766" s="4" t="str">
        <x:v>Chelsea</x:v>
      </x:c>
      <x:c r="D766" s="4" t="str">
        <x:v>Everton</x:v>
      </x:c>
      <x:c r="E766" s="4" t="str">
        <x:v>Away</x:v>
      </x:c>
      <x:c r="F766" s="28" t="n">
        <x:v>1</x:v>
      </x:c>
      <x:c r="G766" s="28" t="n">
        <x:v>0</x:v>
      </x:c>
      <x:c r="H766" s="28" t="n">
        <x:v>15</x:v>
      </x:c>
      <x:c r="I766" s="28" t="n">
        <x:v>8</x:v>
      </x:c>
      <x:c r="J766" s="28" t="n">
        <x:v>6</x:v>
      </x:c>
      <x:c r="K766" s="28" t="n">
        <x:v>4</x:v>
      </x:c>
      <x:c r="L766" s="28" t="n">
        <x:v>16</x:v>
      </x:c>
      <x:c r="M766" s="28" t="n">
        <x:v>4</x:v>
      </x:c>
      <x:c r="N766" s="28" t="n">
        <x:v>2</x:v>
      </x:c>
      <x:c r="O766" s="28" t="n">
        <x:v>0</x:v>
      </x:c>
      <x:c r="P766" s="28" t="n">
        <x:v>3</x:v>
      </x:c>
      <x:c r="Q766" s="24" t="n">
        <x:f>IFERROR(J766/H766,0)</x:f>
        <x:v>0.4</x:v>
      </x:c>
      <x:c r="R766" s="24" t="n">
        <x:f>IFERROR(F766/H766,0)</x:f>
        <x:v>0.06666666666666667</x:v>
      </x:c>
      <x:c r="S766" s="24" t="n">
        <x:f>IFERROR(F766/J766,0)</x:f>
        <x:v>0.16666666666666666</x:v>
      </x:c>
      <x:c r="T766" s="28" t="n">
        <x:f>H766-I766</x:f>
        <x:v>7</x:v>
      </x:c>
      <x:c r="U766" s="24" t="n">
        <x:f>IFERROR(J766/H766,0)-IFERROR(K766/I766,0)</x:f>
        <x:v>-0.09999999999999998</x:v>
      </x:c>
      <x:c r="V766" s="24" t="n">
        <x:f>IFERROR(F766/J766,0)-IFERROR(G766/K766,0)</x:f>
        <x:v>0.16666666666666666</x:v>
      </x:c>
      <x:c r="W766" s="28" t="n">
        <x:f>L766-M766</x:f>
        <x:v>12</x:v>
      </x:c>
      <x:c r="X766" s="24" t="n">
        <x:f>IFERROR(K766/I766,0)</x:f>
        <x:v>0.5</x:v>
      </x:c>
      <x:c r="Y766" s="24" t="n">
        <x:f>IFERROR(G766/I766,0)</x:f>
        <x:v>0</x:v>
      </x:c>
      <x:c r="Z766" s="24" t="n">
        <x:f>IFERROR(G766/K766,0)</x:f>
        <x:v>0</x:v>
      </x:c>
      <x:c r="AA766" s="24" t="n">
        <x:f>IFERROR(F766/H766,0)-IFERROR(G766/I766,0)</x:f>
        <x:v>0.06666666666666667</x:v>
      </x:c>
      <x:c r="AB766" s="28" t="n">
        <x:f>J766-K766</x:f>
        <x:v>2</x:v>
      </x:c>
      <x:c r="AC766" s="32" t="n">
        <x:f>F766-G766</x:f>
        <x:v>1</x:v>
      </x:c>
    </x:row>
    <x:row r="767">
      <x:c r="A767" s="4" t="str">
        <x:v>2022-23</x:v>
      </x:c>
      <x:c r="B767" s="20" t="n">
        <x:v>44779</x:v>
      </x:c>
      <x:c r="C767" s="4" t="str">
        <x:v>Everton</x:v>
      </x:c>
      <x:c r="D767" s="4" t="str">
        <x:v>Chelsea</x:v>
      </x:c>
      <x:c r="E767" s="4" t="str">
        <x:v>Home</x:v>
      </x:c>
      <x:c r="F767" s="28" t="n">
        <x:v>0</x:v>
      </x:c>
      <x:c r="G767" s="28" t="n">
        <x:v>1</x:v>
      </x:c>
      <x:c r="H767" s="28" t="n">
        <x:v>8</x:v>
      </x:c>
      <x:c r="I767" s="28" t="n">
        <x:v>15</x:v>
      </x:c>
      <x:c r="J767" s="28" t="n">
        <x:v>4</x:v>
      </x:c>
      <x:c r="K767" s="28" t="n">
        <x:v>6</x:v>
      </x:c>
      <x:c r="L767" s="28" t="n">
        <x:v>4</x:v>
      </x:c>
      <x:c r="M767" s="28" t="n">
        <x:v>16</x:v>
      </x:c>
      <x:c r="N767" s="28" t="n">
        <x:v>3</x:v>
      </x:c>
      <x:c r="O767" s="28" t="n">
        <x:v>0</x:v>
      </x:c>
      <x:c r="P767" s="28" t="n">
        <x:v>0</x:v>
      </x:c>
      <x:c r="Q767" s="24" t="n">
        <x:f>IFERROR(J767/H767,0)</x:f>
        <x:v>0.5</x:v>
      </x:c>
      <x:c r="R767" s="24" t="n">
        <x:f>IFERROR(F767/H767,0)</x:f>
        <x:v>0</x:v>
      </x:c>
      <x:c r="S767" s="24" t="n">
        <x:f>IFERROR(F767/J767,0)</x:f>
        <x:v>0</x:v>
      </x:c>
      <x:c r="T767" s="28" t="n">
        <x:f>H767-I767</x:f>
        <x:v>-7</x:v>
      </x:c>
      <x:c r="U767" s="24" t="n">
        <x:f>IFERROR(J767/H767,0)-IFERROR(K767/I767,0)</x:f>
        <x:v>0.09999999999999998</x:v>
      </x:c>
      <x:c r="V767" s="24" t="n">
        <x:f>IFERROR(F767/J767,0)-IFERROR(G767/K767,0)</x:f>
        <x:v>-0.16666666666666666</x:v>
      </x:c>
      <x:c r="W767" s="28" t="n">
        <x:f>L767-M767</x:f>
        <x:v>-12</x:v>
      </x:c>
      <x:c r="X767" s="24" t="n">
        <x:f>IFERROR(K767/I767,0)</x:f>
        <x:v>0.4</x:v>
      </x:c>
      <x:c r="Y767" s="24" t="n">
        <x:f>IFERROR(G767/I767,0)</x:f>
        <x:v>0.06666666666666667</x:v>
      </x:c>
      <x:c r="Z767" s="24" t="n">
        <x:f>IFERROR(G767/K767,0)</x:f>
        <x:v>0.16666666666666666</x:v>
      </x:c>
      <x:c r="AA767" s="24" t="n">
        <x:f>IFERROR(F767/H767,0)-IFERROR(G767/I767,0)</x:f>
        <x:v>-0.06666666666666667</x:v>
      </x:c>
      <x:c r="AB767" s="28" t="n">
        <x:f>J767-K767</x:f>
        <x:v>-2</x:v>
      </x:c>
      <x:c r="AC767" s="32" t="n">
        <x:f>F767-G767</x:f>
        <x:v>-1</x:v>
      </x:c>
    </x:row>
    <x:row r="768">
      <x:c r="A768" s="4" t="str">
        <x:v>2022-23</x:v>
      </x:c>
      <x:c r="B768" s="20" t="n">
        <x:v>44779</x:v>
      </x:c>
      <x:c r="C768" s="4" t="str">
        <x:v>Fulham</x:v>
      </x:c>
      <x:c r="D768" s="4" t="str">
        <x:v>Liverpool</x:v>
      </x:c>
      <x:c r="E768" s="4" t="str">
        <x:v>Home</x:v>
      </x:c>
      <x:c r="F768" s="28" t="n">
        <x:v>2</x:v>
      </x:c>
      <x:c r="G768" s="28" t="n">
        <x:v>2</x:v>
      </x:c>
      <x:c r="H768" s="28" t="n">
        <x:v>9</x:v>
      </x:c>
      <x:c r="I768" s="28" t="n">
        <x:v>11</x:v>
      </x:c>
      <x:c r="J768" s="28" t="n">
        <x:v>3</x:v>
      </x:c>
      <x:c r="K768" s="28" t="n">
        <x:v>4</x:v>
      </x:c>
      <x:c r="L768" s="28" t="n">
        <x:v>4</x:v>
      </x:c>
      <x:c r="M768" s="28" t="n">
        <x:v>4</x:v>
      </x:c>
      <x:c r="N768" s="28" t="n">
        <x:v>2</x:v>
      </x:c>
      <x:c r="O768" s="28" t="n">
        <x:v>0</x:v>
      </x:c>
      <x:c r="P768" s="28" t="n">
        <x:v>1</x:v>
      </x:c>
      <x:c r="Q768" s="24" t="n">
        <x:f>IFERROR(J768/H768,0)</x:f>
        <x:v>0.3333333333333333</x:v>
      </x:c>
      <x:c r="R768" s="24" t="n">
        <x:f>IFERROR(F768/H768,0)</x:f>
        <x:v>0.2222222222222222</x:v>
      </x:c>
      <x:c r="S768" s="24" t="n">
        <x:f>IFERROR(F768/J768,0)</x:f>
        <x:v>0.6666666666666666</x:v>
      </x:c>
      <x:c r="T768" s="28" t="n">
        <x:f>H768-I768</x:f>
        <x:v>-2</x:v>
      </x:c>
      <x:c r="U768" s="24" t="n">
        <x:f>IFERROR(J768/H768,0)-IFERROR(K768/I768,0)</x:f>
        <x:v>-0.03030303030303033</x:v>
      </x:c>
      <x:c r="V768" s="24" t="n">
        <x:f>IFERROR(F768/J768,0)-IFERROR(G768/K768,0)</x:f>
        <x:v>0.16666666666666663</x:v>
      </x:c>
      <x:c r="W768" s="28" t="n">
        <x:f>L768-M768</x:f>
        <x:v>0</x:v>
      </x:c>
      <x:c r="X768" s="24" t="n">
        <x:f>IFERROR(K768/I768,0)</x:f>
        <x:v>0.36363636363636365</x:v>
      </x:c>
      <x:c r="Y768" s="24" t="n">
        <x:f>IFERROR(G768/I768,0)</x:f>
        <x:v>0.18181818181818182</x:v>
      </x:c>
      <x:c r="Z768" s="24" t="n">
        <x:f>IFERROR(G768/K768,0)</x:f>
        <x:v>0.5</x:v>
      </x:c>
      <x:c r="AA768" s="24" t="n">
        <x:f>IFERROR(F768/H768,0)-IFERROR(G768/I768,0)</x:f>
        <x:v>0.04040404040404039</x:v>
      </x:c>
      <x:c r="AB768" s="28" t="n">
        <x:f>J768-K768</x:f>
        <x:v>-1</x:v>
      </x:c>
      <x:c r="AC768" s="32" t="n">
        <x:f>F768-G768</x:f>
        <x:v>0</x:v>
      </x:c>
    </x:row>
    <x:row r="769">
      <x:c r="A769" s="4" t="str">
        <x:v>2022-23</x:v>
      </x:c>
      <x:c r="B769" s="20" t="n">
        <x:v>44779</x:v>
      </x:c>
      <x:c r="C769" s="4" t="str">
        <x:v>Leeds</x:v>
      </x:c>
      <x:c r="D769" s="4" t="str">
        <x:v>Wolves</x:v>
      </x:c>
      <x:c r="E769" s="4" t="str">
        <x:v>Home</x:v>
      </x:c>
      <x:c r="F769" s="28" t="n">
        <x:v>2</x:v>
      </x:c>
      <x:c r="G769" s="28" t="n">
        <x:v>1</x:v>
      </x:c>
      <x:c r="H769" s="28" t="n">
        <x:v>12</x:v>
      </x:c>
      <x:c r="I769" s="28" t="n">
        <x:v>15</x:v>
      </x:c>
      <x:c r="J769" s="28" t="n">
        <x:v>4</x:v>
      </x:c>
      <x:c r="K769" s="28" t="n">
        <x:v>6</x:v>
      </x:c>
      <x:c r="L769" s="28" t="n">
        <x:v>6</x:v>
      </x:c>
      <x:c r="M769" s="28" t="n">
        <x:v>4</x:v>
      </x:c>
      <x:c r="N769" s="28" t="n">
        <x:v>2</x:v>
      </x:c>
      <x:c r="O769" s="28" t="n">
        <x:v>0</x:v>
      </x:c>
      <x:c r="P769" s="28" t="n">
        <x:v>3</x:v>
      </x:c>
      <x:c r="Q769" s="24" t="n">
        <x:f>IFERROR(J769/H769,0)</x:f>
        <x:v>0.3333333333333333</x:v>
      </x:c>
      <x:c r="R769" s="24" t="n">
        <x:f>IFERROR(F769/H769,0)</x:f>
        <x:v>0.16666666666666666</x:v>
      </x:c>
      <x:c r="S769" s="24" t="n">
        <x:f>IFERROR(F769/J769,0)</x:f>
        <x:v>0.5</x:v>
      </x:c>
      <x:c r="T769" s="28" t="n">
        <x:f>H769-I769</x:f>
        <x:v>-3</x:v>
      </x:c>
      <x:c r="U769" s="24" t="n">
        <x:f>IFERROR(J769/H769,0)-IFERROR(K769/I769,0)</x:f>
        <x:v>-0.06666666666666671</x:v>
      </x:c>
      <x:c r="V769" s="24" t="n">
        <x:f>IFERROR(F769/J769,0)-IFERROR(G769/K769,0)</x:f>
        <x:v>0.33333333333333337</x:v>
      </x:c>
      <x:c r="W769" s="28" t="n">
        <x:f>L769-M769</x:f>
        <x:v>2</x:v>
      </x:c>
      <x:c r="X769" s="24" t="n">
        <x:f>IFERROR(K769/I769,0)</x:f>
        <x:v>0.4</x:v>
      </x:c>
      <x:c r="Y769" s="24" t="n">
        <x:f>IFERROR(G769/I769,0)</x:f>
        <x:v>0.06666666666666667</x:v>
      </x:c>
      <x:c r="Z769" s="24" t="n">
        <x:f>IFERROR(G769/K769,0)</x:f>
        <x:v>0.16666666666666666</x:v>
      </x:c>
      <x:c r="AA769" s="24" t="n">
        <x:f>IFERROR(F769/H769,0)-IFERROR(G769/I769,0)</x:f>
        <x:v>0.09999999999999999</x:v>
      </x:c>
      <x:c r="AB769" s="28" t="n">
        <x:f>J769-K769</x:f>
        <x:v>-2</x:v>
      </x:c>
      <x:c r="AC769" s="32" t="n">
        <x:f>F769-G769</x:f>
        <x:v>1</x:v>
      </x:c>
    </x:row>
    <x:row r="770">
      <x:c r="A770" s="4" t="str">
        <x:v>2022-23</x:v>
      </x:c>
      <x:c r="B770" s="20" t="n">
        <x:v>44779</x:v>
      </x:c>
      <x:c r="C770" s="4" t="str">
        <x:v>Liverpool</x:v>
      </x:c>
      <x:c r="D770" s="4" t="str">
        <x:v>Fulham</x:v>
      </x:c>
      <x:c r="E770" s="4" t="str">
        <x:v>Away</x:v>
      </x:c>
      <x:c r="F770" s="28" t="n">
        <x:v>2</x:v>
      </x:c>
      <x:c r="G770" s="28" t="n">
        <x:v>2</x:v>
      </x:c>
      <x:c r="H770" s="28" t="n">
        <x:v>11</x:v>
      </x:c>
      <x:c r="I770" s="28" t="n">
        <x:v>9</x:v>
      </x:c>
      <x:c r="J770" s="28" t="n">
        <x:v>4</x:v>
      </x:c>
      <x:c r="K770" s="28" t="n">
        <x:v>3</x:v>
      </x:c>
      <x:c r="L770" s="28" t="n">
        <x:v>4</x:v>
      </x:c>
      <x:c r="M770" s="28" t="n">
        <x:v>4</x:v>
      </x:c>
      <x:c r="N770" s="28" t="n">
        <x:v>0</x:v>
      </x:c>
      <x:c r="O770" s="28" t="n">
        <x:v>0</x:v>
      </x:c>
      <x:c r="P770" s="28" t="n">
        <x:v>1</x:v>
      </x:c>
      <x:c r="Q770" s="24" t="n">
        <x:f>IFERROR(J770/H770,0)</x:f>
        <x:v>0.36363636363636365</x:v>
      </x:c>
      <x:c r="R770" s="24" t="n">
        <x:f>IFERROR(F770/H770,0)</x:f>
        <x:v>0.18181818181818182</x:v>
      </x:c>
      <x:c r="S770" s="24" t="n">
        <x:f>IFERROR(F770/J770,0)</x:f>
        <x:v>0.5</x:v>
      </x:c>
      <x:c r="T770" s="28" t="n">
        <x:f>H770-I770</x:f>
        <x:v>2</x:v>
      </x:c>
      <x:c r="U770" s="24" t="n">
        <x:f>IFERROR(J770/H770,0)-IFERROR(K770/I770,0)</x:f>
        <x:v>0.03030303030303033</x:v>
      </x:c>
      <x:c r="V770" s="24" t="n">
        <x:f>IFERROR(F770/J770,0)-IFERROR(G770/K770,0)</x:f>
        <x:v>-0.16666666666666663</x:v>
      </x:c>
      <x:c r="W770" s="28" t="n">
        <x:f>L770-M770</x:f>
        <x:v>0</x:v>
      </x:c>
      <x:c r="X770" s="24" t="n">
        <x:f>IFERROR(K770/I770,0)</x:f>
        <x:v>0.3333333333333333</x:v>
      </x:c>
      <x:c r="Y770" s="24" t="n">
        <x:f>IFERROR(G770/I770,0)</x:f>
        <x:v>0.2222222222222222</x:v>
      </x:c>
      <x:c r="Z770" s="24" t="n">
        <x:f>IFERROR(G770/K770,0)</x:f>
        <x:v>0.6666666666666666</x:v>
      </x:c>
      <x:c r="AA770" s="24" t="n">
        <x:f>IFERROR(F770/H770,0)-IFERROR(G770/I770,0)</x:f>
        <x:v>-0.04040404040404039</x:v>
      </x:c>
      <x:c r="AB770" s="28" t="n">
        <x:f>J770-K770</x:f>
        <x:v>1</x:v>
      </x:c>
      <x:c r="AC770" s="32" t="n">
        <x:f>F770-G770</x:f>
        <x:v>0</x:v>
      </x:c>
    </x:row>
    <x:row r="771">
      <x:c r="A771" s="4" t="str">
        <x:v>2022-23</x:v>
      </x:c>
      <x:c r="B771" s="20" t="n">
        <x:v>44779</x:v>
      </x:c>
      <x:c r="C771" s="4" t="str">
        <x:v>Newcastle</x:v>
      </x:c>
      <x:c r="D771" s="4" t="str">
        <x:v>Nott'm Forest</x:v>
      </x:c>
      <x:c r="E771" s="4" t="str">
        <x:v>Home</x:v>
      </x:c>
      <x:c r="F771" s="28" t="n">
        <x:v>2</x:v>
      </x:c>
      <x:c r="G771" s="28" t="n">
        <x:v>0</x:v>
      </x:c>
      <x:c r="H771" s="28" t="n">
        <x:v>23</x:v>
      </x:c>
      <x:c r="I771" s="28" t="n">
        <x:v>5</x:v>
      </x:c>
      <x:c r="J771" s="28" t="n">
        <x:v>10</x:v>
      </x:c>
      <x:c r="K771" s="28" t="n">
        <x:v>0</x:v>
      </x:c>
      <x:c r="L771" s="28" t="n">
        <x:v>11</x:v>
      </x:c>
      <x:c r="M771" s="28" t="n">
        <x:v>1</x:v>
      </x:c>
      <x:c r="N771" s="28" t="n">
        <x:v>0</x:v>
      </x:c>
      <x:c r="O771" s="28" t="n">
        <x:v>0</x:v>
      </x:c>
      <x:c r="P771" s="28" t="n">
        <x:v>3</x:v>
      </x:c>
      <x:c r="Q771" s="24" t="n">
        <x:f>IFERROR(J771/H771,0)</x:f>
        <x:v>0.43478260869565216</x:v>
      </x:c>
      <x:c r="R771" s="24" t="n">
        <x:f>IFERROR(F771/H771,0)</x:f>
        <x:v>0.08695652173913043</x:v>
      </x:c>
      <x:c r="S771" s="24" t="n">
        <x:f>IFERROR(F771/J771,0)</x:f>
        <x:v>0.2</x:v>
      </x:c>
      <x:c r="T771" s="28" t="n">
        <x:f>H771-I771</x:f>
        <x:v>18</x:v>
      </x:c>
      <x:c r="U771" s="24" t="n">
        <x:f>IFERROR(J771/H771,0)-IFERROR(K771/I771,0)</x:f>
        <x:v>0.43478260869565216</x:v>
      </x:c>
      <x:c r="V771" s="24" t="n">
        <x:f>IFERROR(F771/J771,0)-IFERROR(G771/K771,0)</x:f>
        <x:v>0.2</x:v>
      </x:c>
      <x:c r="W771" s="28" t="n">
        <x:f>L771-M771</x:f>
        <x:v>10</x:v>
      </x:c>
      <x:c r="X771" s="24" t="n">
        <x:f>IFERROR(K771/I771,0)</x:f>
        <x:v>0</x:v>
      </x:c>
      <x:c r="Y771" s="24" t="n">
        <x:f>IFERROR(G771/I771,0)</x:f>
        <x:v>0</x:v>
      </x:c>
      <x:c r="Z771" s="24" t="n">
        <x:f>IFERROR(G771/K771,0)</x:f>
        <x:v>0</x:v>
      </x:c>
      <x:c r="AA771" s="24" t="n">
        <x:f>IFERROR(F771/H771,0)-IFERROR(G771/I771,0)</x:f>
        <x:v>0.08695652173913043</x:v>
      </x:c>
      <x:c r="AB771" s="28" t="n">
        <x:f>J771-K771</x:f>
        <x:v>10</x:v>
      </x:c>
      <x:c r="AC771" s="32" t="n">
        <x:f>F771-G771</x:f>
        <x:v>2</x:v>
      </x:c>
    </x:row>
    <x:row r="772">
      <x:c r="A772" s="4" t="str">
        <x:v>2022-23</x:v>
      </x:c>
      <x:c r="B772" s="20" t="n">
        <x:v>44779</x:v>
      </x:c>
      <x:c r="C772" s="4" t="str">
        <x:v>Nott'm Forest</x:v>
      </x:c>
      <x:c r="D772" s="4" t="str">
        <x:v>Newcastle</x:v>
      </x:c>
      <x:c r="E772" s="4" t="str">
        <x:v>Away</x:v>
      </x:c>
      <x:c r="F772" s="28" t="n">
        <x:v>0</x:v>
      </x:c>
      <x:c r="G772" s="28" t="n">
        <x:v>2</x:v>
      </x:c>
      <x:c r="H772" s="28" t="n">
        <x:v>5</x:v>
      </x:c>
      <x:c r="I772" s="28" t="n">
        <x:v>23</x:v>
      </x:c>
      <x:c r="J772" s="28" t="n">
        <x:v>0</x:v>
      </x:c>
      <x:c r="K772" s="28" t="n">
        <x:v>10</x:v>
      </x:c>
      <x:c r="L772" s="28" t="n">
        <x:v>1</x:v>
      </x:c>
      <x:c r="M772" s="28" t="n">
        <x:v>11</x:v>
      </x:c>
      <x:c r="N772" s="28" t="n">
        <x:v>3</x:v>
      </x:c>
      <x:c r="O772" s="28" t="n">
        <x:v>0</x:v>
      </x:c>
      <x:c r="P772" s="28" t="n">
        <x:v>0</x:v>
      </x:c>
      <x:c r="Q772" s="24" t="n">
        <x:f>IFERROR(J772/H772,0)</x:f>
        <x:v>0</x:v>
      </x:c>
      <x:c r="R772" s="24" t="n">
        <x:f>IFERROR(F772/H772,0)</x:f>
        <x:v>0</x:v>
      </x:c>
      <x:c r="S772" s="24" t="n">
        <x:f>IFERROR(F772/J772,0)</x:f>
        <x:v>0</x:v>
      </x:c>
      <x:c r="T772" s="28" t="n">
        <x:f>H772-I772</x:f>
        <x:v>-18</x:v>
      </x:c>
      <x:c r="U772" s="24" t="n">
        <x:f>IFERROR(J772/H772,0)-IFERROR(K772/I772,0)</x:f>
        <x:v>-0.43478260869565216</x:v>
      </x:c>
      <x:c r="V772" s="24" t="n">
        <x:f>IFERROR(F772/J772,0)-IFERROR(G772/K772,0)</x:f>
        <x:v>-0.2</x:v>
      </x:c>
      <x:c r="W772" s="28" t="n">
        <x:f>L772-M772</x:f>
        <x:v>-10</x:v>
      </x:c>
      <x:c r="X772" s="24" t="n">
        <x:f>IFERROR(K772/I772,0)</x:f>
        <x:v>0.43478260869565216</x:v>
      </x:c>
      <x:c r="Y772" s="24" t="n">
        <x:f>IFERROR(G772/I772,0)</x:f>
        <x:v>0.08695652173913043</x:v>
      </x:c>
      <x:c r="Z772" s="24" t="n">
        <x:f>IFERROR(G772/K772,0)</x:f>
        <x:v>0.2</x:v>
      </x:c>
      <x:c r="AA772" s="24" t="n">
        <x:f>IFERROR(F772/H772,0)-IFERROR(G772/I772,0)</x:f>
        <x:v>-0.08695652173913043</x:v>
      </x:c>
      <x:c r="AB772" s="28" t="n">
        <x:f>J772-K772</x:f>
        <x:v>-10</x:v>
      </x:c>
      <x:c r="AC772" s="32" t="n">
        <x:f>F772-G772</x:f>
        <x:v>-2</x:v>
      </x:c>
    </x:row>
    <x:row r="773">
      <x:c r="A773" s="4" t="str">
        <x:v>2022-23</x:v>
      </x:c>
      <x:c r="B773" s="20" t="n">
        <x:v>44779</x:v>
      </x:c>
      <x:c r="C773" s="4" t="str">
        <x:v>Southampton</x:v>
      </x:c>
      <x:c r="D773" s="4" t="str">
        <x:v>Tottenham</x:v>
      </x:c>
      <x:c r="E773" s="4" t="str">
        <x:v>Away</x:v>
      </x:c>
      <x:c r="F773" s="28" t="n">
        <x:v>1</x:v>
      </x:c>
      <x:c r="G773" s="28" t="n">
        <x:v>4</x:v>
      </x:c>
      <x:c r="H773" s="28" t="n">
        <x:v>10</x:v>
      </x:c>
      <x:c r="I773" s="28" t="n">
        <x:v>18</x:v>
      </x:c>
      <x:c r="J773" s="28" t="n">
        <x:v>2</x:v>
      </x:c>
      <x:c r="K773" s="28" t="n">
        <x:v>8</x:v>
      </x:c>
      <x:c r="L773" s="28" t="n">
        <x:v>2</x:v>
      </x:c>
      <x:c r="M773" s="28" t="n">
        <x:v>10</x:v>
      </x:c>
      <x:c r="N773" s="28" t="n">
        <x:v>0</x:v>
      </x:c>
      <x:c r="O773" s="28" t="n">
        <x:v>0</x:v>
      </x:c>
      <x:c r="P773" s="28" t="n">
        <x:v>0</x:v>
      </x:c>
      <x:c r="Q773" s="24" t="n">
        <x:f>IFERROR(J773/H773,0)</x:f>
        <x:v>0.2</x:v>
      </x:c>
      <x:c r="R773" s="24" t="n">
        <x:f>IFERROR(F773/H773,0)</x:f>
        <x:v>0.1</x:v>
      </x:c>
      <x:c r="S773" s="24" t="n">
        <x:f>IFERROR(F773/J773,0)</x:f>
        <x:v>0.5</x:v>
      </x:c>
      <x:c r="T773" s="28" t="n">
        <x:f>H773-I773</x:f>
        <x:v>-8</x:v>
      </x:c>
      <x:c r="U773" s="24" t="n">
        <x:f>IFERROR(J773/H773,0)-IFERROR(K773/I773,0)</x:f>
        <x:v>-0.2444444444444444</x:v>
      </x:c>
      <x:c r="V773" s="24" t="n">
        <x:f>IFERROR(F773/J773,0)-IFERROR(G773/K773,0)</x:f>
        <x:v>0</x:v>
      </x:c>
      <x:c r="W773" s="28" t="n">
        <x:f>L773-M773</x:f>
        <x:v>-8</x:v>
      </x:c>
      <x:c r="X773" s="24" t="n">
        <x:f>IFERROR(K773/I773,0)</x:f>
        <x:v>0.4444444444444444</x:v>
      </x:c>
      <x:c r="Y773" s="24" t="n">
        <x:f>IFERROR(G773/I773,0)</x:f>
        <x:v>0.2222222222222222</x:v>
      </x:c>
      <x:c r="Z773" s="24" t="n">
        <x:f>IFERROR(G773/K773,0)</x:f>
        <x:v>0.5</x:v>
      </x:c>
      <x:c r="AA773" s="24" t="n">
        <x:f>IFERROR(F773/H773,0)-IFERROR(G773/I773,0)</x:f>
        <x:v>-0.1222222222222222</x:v>
      </x:c>
      <x:c r="AB773" s="28" t="n">
        <x:f>J773-K773</x:f>
        <x:v>-6</x:v>
      </x:c>
      <x:c r="AC773" s="32" t="n">
        <x:f>F773-G773</x:f>
        <x:v>-3</x:v>
      </x:c>
    </x:row>
    <x:row r="774">
      <x:c r="A774" s="4" t="str">
        <x:v>2022-23</x:v>
      </x:c>
      <x:c r="B774" s="20" t="n">
        <x:v>44779</x:v>
      </x:c>
      <x:c r="C774" s="4" t="str">
        <x:v>Tottenham</x:v>
      </x:c>
      <x:c r="D774" s="4" t="str">
        <x:v>Southampton</x:v>
      </x:c>
      <x:c r="E774" s="4" t="str">
        <x:v>Home</x:v>
      </x:c>
      <x:c r="F774" s="28" t="n">
        <x:v>4</x:v>
      </x:c>
      <x:c r="G774" s="28" t="n">
        <x:v>1</x:v>
      </x:c>
      <x:c r="H774" s="28" t="n">
        <x:v>18</x:v>
      </x:c>
      <x:c r="I774" s="28" t="n">
        <x:v>10</x:v>
      </x:c>
      <x:c r="J774" s="28" t="n">
        <x:v>8</x:v>
      </x:c>
      <x:c r="K774" s="28" t="n">
        <x:v>2</x:v>
      </x:c>
      <x:c r="L774" s="28" t="n">
        <x:v>10</x:v>
      </x:c>
      <x:c r="M774" s="28" t="n">
        <x:v>2</x:v>
      </x:c>
      <x:c r="N774" s="28" t="n">
        <x:v>3</x:v>
      </x:c>
      <x:c r="O774" s="28" t="n">
        <x:v>0</x:v>
      </x:c>
      <x:c r="P774" s="28" t="n">
        <x:v>3</x:v>
      </x:c>
      <x:c r="Q774" s="24" t="n">
        <x:f>IFERROR(J774/H774,0)</x:f>
        <x:v>0.4444444444444444</x:v>
      </x:c>
      <x:c r="R774" s="24" t="n">
        <x:f>IFERROR(F774/H774,0)</x:f>
        <x:v>0.2222222222222222</x:v>
      </x:c>
      <x:c r="S774" s="24" t="n">
        <x:f>IFERROR(F774/J774,0)</x:f>
        <x:v>0.5</x:v>
      </x:c>
      <x:c r="T774" s="28" t="n">
        <x:f>H774-I774</x:f>
        <x:v>8</x:v>
      </x:c>
      <x:c r="U774" s="24" t="n">
        <x:f>IFERROR(J774/H774,0)-IFERROR(K774/I774,0)</x:f>
        <x:v>0.2444444444444444</x:v>
      </x:c>
      <x:c r="V774" s="24" t="n">
        <x:f>IFERROR(F774/J774,0)-IFERROR(G774/K774,0)</x:f>
        <x:v>0</x:v>
      </x:c>
      <x:c r="W774" s="28" t="n">
        <x:f>L774-M774</x:f>
        <x:v>8</x:v>
      </x:c>
      <x:c r="X774" s="24" t="n">
        <x:f>IFERROR(K774/I774,0)</x:f>
        <x:v>0.2</x:v>
      </x:c>
      <x:c r="Y774" s="24" t="n">
        <x:f>IFERROR(G774/I774,0)</x:f>
        <x:v>0.1</x:v>
      </x:c>
      <x:c r="Z774" s="24" t="n">
        <x:f>IFERROR(G774/K774,0)</x:f>
        <x:v>0.5</x:v>
      </x:c>
      <x:c r="AA774" s="24" t="n">
        <x:f>IFERROR(F774/H774,0)-IFERROR(G774/I774,0)</x:f>
        <x:v>0.1222222222222222</x:v>
      </x:c>
      <x:c r="AB774" s="28" t="n">
        <x:f>J774-K774</x:f>
        <x:v>6</x:v>
      </x:c>
      <x:c r="AC774" s="32" t="n">
        <x:f>F774-G774</x:f>
        <x:v>3</x:v>
      </x:c>
    </x:row>
    <x:row r="775">
      <x:c r="A775" s="4" t="str">
        <x:v>2022-23</x:v>
      </x:c>
      <x:c r="B775" s="20" t="n">
        <x:v>44779</x:v>
      </x:c>
      <x:c r="C775" s="4" t="str">
        <x:v>Wolves</x:v>
      </x:c>
      <x:c r="D775" s="4" t="str">
        <x:v>Leeds</x:v>
      </x:c>
      <x:c r="E775" s="4" t="str">
        <x:v>Away</x:v>
      </x:c>
      <x:c r="F775" s="28" t="n">
        <x:v>1</x:v>
      </x:c>
      <x:c r="G775" s="28" t="n">
        <x:v>2</x:v>
      </x:c>
      <x:c r="H775" s="28" t="n">
        <x:v>15</x:v>
      </x:c>
      <x:c r="I775" s="28" t="n">
        <x:v>12</x:v>
      </x:c>
      <x:c r="J775" s="28" t="n">
        <x:v>6</x:v>
      </x:c>
      <x:c r="K775" s="28" t="n">
        <x:v>4</x:v>
      </x:c>
      <x:c r="L775" s="28" t="n">
        <x:v>4</x:v>
      </x:c>
      <x:c r="M775" s="28" t="n">
        <x:v>6</x:v>
      </x:c>
      <x:c r="N775" s="28" t="n">
        <x:v>0</x:v>
      </x:c>
      <x:c r="O775" s="28" t="n">
        <x:v>0</x:v>
      </x:c>
      <x:c r="P775" s="28" t="n">
        <x:v>0</x:v>
      </x:c>
      <x:c r="Q775" s="24" t="n">
        <x:f>IFERROR(J775/H775,0)</x:f>
        <x:v>0.4</x:v>
      </x:c>
      <x:c r="R775" s="24" t="n">
        <x:f>IFERROR(F775/H775,0)</x:f>
        <x:v>0.06666666666666667</x:v>
      </x:c>
      <x:c r="S775" s="24" t="n">
        <x:f>IFERROR(F775/J775,0)</x:f>
        <x:v>0.16666666666666666</x:v>
      </x:c>
      <x:c r="T775" s="28" t="n">
        <x:f>H775-I775</x:f>
        <x:v>3</x:v>
      </x:c>
      <x:c r="U775" s="24" t="n">
        <x:f>IFERROR(J775/H775,0)-IFERROR(K775/I775,0)</x:f>
        <x:v>0.06666666666666671</x:v>
      </x:c>
      <x:c r="V775" s="24" t="n">
        <x:f>IFERROR(F775/J775,0)-IFERROR(G775/K775,0)</x:f>
        <x:v>-0.33333333333333337</x:v>
      </x:c>
      <x:c r="W775" s="28" t="n">
        <x:f>L775-M775</x:f>
        <x:v>-2</x:v>
      </x:c>
      <x:c r="X775" s="24" t="n">
        <x:f>IFERROR(K775/I775,0)</x:f>
        <x:v>0.3333333333333333</x:v>
      </x:c>
      <x:c r="Y775" s="24" t="n">
        <x:f>IFERROR(G775/I775,0)</x:f>
        <x:v>0.16666666666666666</x:v>
      </x:c>
      <x:c r="Z775" s="24" t="n">
        <x:f>IFERROR(G775/K775,0)</x:f>
        <x:v>0.5</x:v>
      </x:c>
      <x:c r="AA775" s="24" t="n">
        <x:f>IFERROR(F775/H775,0)-IFERROR(G775/I775,0)</x:f>
        <x:v>-0.09999999999999999</x:v>
      </x:c>
      <x:c r="AB775" s="28" t="n">
        <x:f>J775-K775</x:f>
        <x:v>2</x:v>
      </x:c>
      <x:c r="AC775" s="32" t="n">
        <x:f>F775-G775</x:f>
        <x:v>-1</x:v>
      </x:c>
    </x:row>
    <x:row r="776">
      <x:c r="A776" s="4" t="str">
        <x:v>2022-23</x:v>
      </x:c>
      <x:c r="B776" s="20" t="n">
        <x:v>44780</x:v>
      </x:c>
      <x:c r="C776" s="4" t="str">
        <x:v>Brentford</x:v>
      </x:c>
      <x:c r="D776" s="4" t="str">
        <x:v>Leicester</x:v>
      </x:c>
      <x:c r="E776" s="4" t="str">
        <x:v>Away</x:v>
      </x:c>
      <x:c r="F776" s="28" t="n">
        <x:v>2</x:v>
      </x:c>
      <x:c r="G776" s="28" t="n">
        <x:v>2</x:v>
      </x:c>
      <x:c r="H776" s="28" t="n">
        <x:v>8</x:v>
      </x:c>
      <x:c r="I776" s="28" t="n">
        <x:v>14</x:v>
      </x:c>
      <x:c r="J776" s="28" t="n">
        <x:v>3</x:v>
      </x:c>
      <x:c r="K776" s="28" t="n">
        <x:v>5</x:v>
      </x:c>
      <x:c r="L776" s="28" t="n">
        <x:v>6</x:v>
      </x:c>
      <x:c r="M776" s="28" t="n">
        <x:v>5</x:v>
      </x:c>
      <x:c r="N776" s="28" t="n">
        <x:v>0</x:v>
      </x:c>
      <x:c r="O776" s="28" t="n">
        <x:v>0</x:v>
      </x:c>
      <x:c r="P776" s="28" t="n">
        <x:v>1</x:v>
      </x:c>
      <x:c r="Q776" s="24" t="n">
        <x:f>IFERROR(J776/H776,0)</x:f>
        <x:v>0.375</x:v>
      </x:c>
      <x:c r="R776" s="24" t="n">
        <x:f>IFERROR(F776/H776,0)</x:f>
        <x:v>0.25</x:v>
      </x:c>
      <x:c r="S776" s="24" t="n">
        <x:f>IFERROR(F776/J776,0)</x:f>
        <x:v>0.6666666666666666</x:v>
      </x:c>
      <x:c r="T776" s="28" t="n">
        <x:f>H776-I776</x:f>
        <x:v>-6</x:v>
      </x:c>
      <x:c r="U776" s="24" t="n">
        <x:f>IFERROR(J776/H776,0)-IFERROR(K776/I776,0)</x:f>
        <x:v>0.01785714285714285</x:v>
      </x:c>
      <x:c r="V776" s="24" t="n">
        <x:f>IFERROR(F776/J776,0)-IFERROR(G776/K776,0)</x:f>
        <x:v>0.2666666666666666</x:v>
      </x:c>
      <x:c r="W776" s="28" t="n">
        <x:f>L776-M776</x:f>
        <x:v>1</x:v>
      </x:c>
      <x:c r="X776" s="24" t="n">
        <x:f>IFERROR(K776/I776,0)</x:f>
        <x:v>0.35714285714285715</x:v>
      </x:c>
      <x:c r="Y776" s="24" t="n">
        <x:f>IFERROR(G776/I776,0)</x:f>
        <x:v>0.14285714285714285</x:v>
      </x:c>
      <x:c r="Z776" s="24" t="n">
        <x:f>IFERROR(G776/K776,0)</x:f>
        <x:v>0.4</x:v>
      </x:c>
      <x:c r="AA776" s="24" t="n">
        <x:f>IFERROR(F776/H776,0)-IFERROR(G776/I776,0)</x:f>
        <x:v>0.10714285714285715</x:v>
      </x:c>
      <x:c r="AB776" s="28" t="n">
        <x:f>J776-K776</x:f>
        <x:v>-2</x:v>
      </x:c>
      <x:c r="AC776" s="32" t="n">
        <x:f>F776-G776</x:f>
        <x:v>0</x:v>
      </x:c>
    </x:row>
    <x:row r="777">
      <x:c r="A777" s="4" t="str">
        <x:v>2022-23</x:v>
      </x:c>
      <x:c r="B777" s="20" t="n">
        <x:v>44780</x:v>
      </x:c>
      <x:c r="C777" s="4" t="str">
        <x:v>Brighton</x:v>
      </x:c>
      <x:c r="D777" s="4" t="str">
        <x:v>Man United</x:v>
      </x:c>
      <x:c r="E777" s="4" t="str">
        <x:v>Away</x:v>
      </x:c>
      <x:c r="F777" s="28" t="n">
        <x:v>2</x:v>
      </x:c>
      <x:c r="G777" s="28" t="n">
        <x:v>1</x:v>
      </x:c>
      <x:c r="H777" s="28" t="n">
        <x:v>15</x:v>
      </x:c>
      <x:c r="I777" s="28" t="n">
        <x:v>17</x:v>
      </x:c>
      <x:c r="J777" s="28" t="n">
        <x:v>4</x:v>
      </x:c>
      <x:c r="K777" s="28" t="n">
        <x:v>5</x:v>
      </x:c>
      <x:c r="L777" s="28" t="n">
        <x:v>2</x:v>
      </x:c>
      <x:c r="M777" s="28" t="n">
        <x:v>6</x:v>
      </x:c>
      <x:c r="N777" s="28" t="n">
        <x:v>1</x:v>
      </x:c>
      <x:c r="O777" s="28" t="n">
        <x:v>0</x:v>
      </x:c>
      <x:c r="P777" s="28" t="n">
        <x:v>3</x:v>
      </x:c>
      <x:c r="Q777" s="24" t="n">
        <x:f>IFERROR(J777/H777,0)</x:f>
        <x:v>0.26666666666666666</x:v>
      </x:c>
      <x:c r="R777" s="24" t="n">
        <x:f>IFERROR(F777/H777,0)</x:f>
        <x:v>0.13333333333333333</x:v>
      </x:c>
      <x:c r="S777" s="24" t="n">
        <x:f>IFERROR(F777/J777,0)</x:f>
        <x:v>0.5</x:v>
      </x:c>
      <x:c r="T777" s="28" t="n">
        <x:f>H777-I777</x:f>
        <x:v>-2</x:v>
      </x:c>
      <x:c r="U777" s="24" t="n">
        <x:f>IFERROR(J777/H777,0)-IFERROR(K777/I777,0)</x:f>
        <x:v>-0.027450980392156876</x:v>
      </x:c>
      <x:c r="V777" s="24" t="n">
        <x:f>IFERROR(F777/J777,0)-IFERROR(G777/K777,0)</x:f>
        <x:v>0.3</x:v>
      </x:c>
      <x:c r="W777" s="28" t="n">
        <x:f>L777-M777</x:f>
        <x:v>-4</x:v>
      </x:c>
      <x:c r="X777" s="24" t="n">
        <x:f>IFERROR(K777/I777,0)</x:f>
        <x:v>0.29411764705882354</x:v>
      </x:c>
      <x:c r="Y777" s="24" t="n">
        <x:f>IFERROR(G777/I777,0)</x:f>
        <x:v>0.058823529411764705</x:v>
      </x:c>
      <x:c r="Z777" s="24" t="n">
        <x:f>IFERROR(G777/K777,0)</x:f>
        <x:v>0.2</x:v>
      </x:c>
      <x:c r="AA777" s="24" t="n">
        <x:f>IFERROR(F777/H777,0)-IFERROR(G777/I777,0)</x:f>
        <x:v>0.07450980392156863</x:v>
      </x:c>
      <x:c r="AB777" s="28" t="n">
        <x:f>J777-K777</x:f>
        <x:v>-1</x:v>
      </x:c>
      <x:c r="AC777" s="32" t="n">
        <x:f>F777-G777</x:f>
        <x:v>1</x:v>
      </x:c>
    </x:row>
    <x:row r="778">
      <x:c r="A778" s="4" t="str">
        <x:v>2022-23</x:v>
      </x:c>
      <x:c r="B778" s="20" t="n">
        <x:v>44780</x:v>
      </x:c>
      <x:c r="C778" s="4" t="str">
        <x:v>Leicester</x:v>
      </x:c>
      <x:c r="D778" s="4" t="str">
        <x:v>Brentford</x:v>
      </x:c>
      <x:c r="E778" s="4" t="str">
        <x:v>Home</x:v>
      </x:c>
      <x:c r="F778" s="28" t="n">
        <x:v>2</x:v>
      </x:c>
      <x:c r="G778" s="28" t="n">
        <x:v>2</x:v>
      </x:c>
      <x:c r="H778" s="28" t="n">
        <x:v>14</x:v>
      </x:c>
      <x:c r="I778" s="28" t="n">
        <x:v>8</x:v>
      </x:c>
      <x:c r="J778" s="28" t="n">
        <x:v>5</x:v>
      </x:c>
      <x:c r="K778" s="28" t="n">
        <x:v>3</x:v>
      </x:c>
      <x:c r="L778" s="28" t="n">
        <x:v>5</x:v>
      </x:c>
      <x:c r="M778" s="28" t="n">
        <x:v>6</x:v>
      </x:c>
      <x:c r="N778" s="28" t="n">
        <x:v>0</x:v>
      </x:c>
      <x:c r="O778" s="28" t="n">
        <x:v>0</x:v>
      </x:c>
      <x:c r="P778" s="28" t="n">
        <x:v>1</x:v>
      </x:c>
      <x:c r="Q778" s="24" t="n">
        <x:f>IFERROR(J778/H778,0)</x:f>
        <x:v>0.35714285714285715</x:v>
      </x:c>
      <x:c r="R778" s="24" t="n">
        <x:f>IFERROR(F778/H778,0)</x:f>
        <x:v>0.14285714285714285</x:v>
      </x:c>
      <x:c r="S778" s="24" t="n">
        <x:f>IFERROR(F778/J778,0)</x:f>
        <x:v>0.4</x:v>
      </x:c>
      <x:c r="T778" s="28" t="n">
        <x:f>H778-I778</x:f>
        <x:v>6</x:v>
      </x:c>
      <x:c r="U778" s="24" t="n">
        <x:f>IFERROR(J778/H778,0)-IFERROR(K778/I778,0)</x:f>
        <x:v>-0.01785714285714285</x:v>
      </x:c>
      <x:c r="V778" s="24" t="n">
        <x:f>IFERROR(F778/J778,0)-IFERROR(G778/K778,0)</x:f>
        <x:v>-0.2666666666666666</x:v>
      </x:c>
      <x:c r="W778" s="28" t="n">
        <x:f>L778-M778</x:f>
        <x:v>-1</x:v>
      </x:c>
      <x:c r="X778" s="24" t="n">
        <x:f>IFERROR(K778/I778,0)</x:f>
        <x:v>0.375</x:v>
      </x:c>
      <x:c r="Y778" s="24" t="n">
        <x:f>IFERROR(G778/I778,0)</x:f>
        <x:v>0.25</x:v>
      </x:c>
      <x:c r="Z778" s="24" t="n">
        <x:f>IFERROR(G778/K778,0)</x:f>
        <x:v>0.6666666666666666</x:v>
      </x:c>
      <x:c r="AA778" s="24" t="n">
        <x:f>IFERROR(F778/H778,0)-IFERROR(G778/I778,0)</x:f>
        <x:v>-0.10714285714285715</x:v>
      </x:c>
      <x:c r="AB778" s="28" t="n">
        <x:f>J778-K778</x:f>
        <x:v>2</x:v>
      </x:c>
      <x:c r="AC778" s="32" t="n">
        <x:f>F778-G778</x:f>
        <x:v>0</x:v>
      </x:c>
    </x:row>
    <x:row r="779">
      <x:c r="A779" s="4" t="str">
        <x:v>2022-23</x:v>
      </x:c>
      <x:c r="B779" s="20" t="n">
        <x:v>44780</x:v>
      </x:c>
      <x:c r="C779" s="4" t="str">
        <x:v>Man City</x:v>
      </x:c>
      <x:c r="D779" s="4" t="str">
        <x:v>West Ham</x:v>
      </x:c>
      <x:c r="E779" s="4" t="str">
        <x:v>Away</x:v>
      </x:c>
      <x:c r="F779" s="28" t="n">
        <x:v>2</x:v>
      </x:c>
      <x:c r="G779" s="28" t="n">
        <x:v>0</x:v>
      </x:c>
      <x:c r="H779" s="28" t="n">
        <x:v>14</x:v>
      </x:c>
      <x:c r="I779" s="28" t="n">
        <x:v>6</x:v>
      </x:c>
      <x:c r="J779" s="28" t="n">
        <x:v>2</x:v>
      </x:c>
      <x:c r="K779" s="28" t="n">
        <x:v>1</x:v>
      </x:c>
      <x:c r="L779" s="28" t="n">
        <x:v>4</x:v>
      </x:c>
      <x:c r="M779" s="28" t="n">
        <x:v>1</x:v>
      </x:c>
      <x:c r="N779" s="28" t="n">
        <x:v>1</x:v>
      </x:c>
      <x:c r="O779" s="28" t="n">
        <x:v>0</x:v>
      </x:c>
      <x:c r="P779" s="28" t="n">
        <x:v>3</x:v>
      </x:c>
      <x:c r="Q779" s="24" t="n">
        <x:f>IFERROR(J779/H779,0)</x:f>
        <x:v>0.14285714285714285</x:v>
      </x:c>
      <x:c r="R779" s="24" t="n">
        <x:f>IFERROR(F779/H779,0)</x:f>
        <x:v>0.14285714285714285</x:v>
      </x:c>
      <x:c r="S779" s="24" t="n">
        <x:f>IFERROR(F779/J779,0)</x:f>
        <x:v>1</x:v>
      </x:c>
      <x:c r="T779" s="28" t="n">
        <x:f>H779-I779</x:f>
        <x:v>8</x:v>
      </x:c>
      <x:c r="U779" s="24" t="n">
        <x:f>IFERROR(J779/H779,0)-IFERROR(K779/I779,0)</x:f>
        <x:v>-0.023809523809523808</x:v>
      </x:c>
      <x:c r="V779" s="24" t="n">
        <x:f>IFERROR(F779/J779,0)-IFERROR(G779/K779,0)</x:f>
        <x:v>1</x:v>
      </x:c>
      <x:c r="W779" s="28" t="n">
        <x:f>L779-M779</x:f>
        <x:v>3</x:v>
      </x:c>
      <x:c r="X779" s="24" t="n">
        <x:f>IFERROR(K779/I779,0)</x:f>
        <x:v>0.16666666666666666</x:v>
      </x:c>
      <x:c r="Y779" s="24" t="n">
        <x:f>IFERROR(G779/I779,0)</x:f>
        <x:v>0</x:v>
      </x:c>
      <x:c r="Z779" s="24" t="n">
        <x:f>IFERROR(G779/K779,0)</x:f>
        <x:v>0</x:v>
      </x:c>
      <x:c r="AA779" s="24" t="n">
        <x:f>IFERROR(F779/H779,0)-IFERROR(G779/I779,0)</x:f>
        <x:v>0.14285714285714285</x:v>
      </x:c>
      <x:c r="AB779" s="28" t="n">
        <x:f>J779-K779</x:f>
        <x:v>1</x:v>
      </x:c>
      <x:c r="AC779" s="32" t="n">
        <x:f>F779-G779</x:f>
        <x:v>2</x:v>
      </x:c>
    </x:row>
    <x:row r="780">
      <x:c r="A780" s="4" t="str">
        <x:v>2022-23</x:v>
      </x:c>
      <x:c r="B780" s="20" t="n">
        <x:v>44780</x:v>
      </x:c>
      <x:c r="C780" s="4" t="str">
        <x:v>Man United</x:v>
      </x:c>
      <x:c r="D780" s="4" t="str">
        <x:v>Brighton</x:v>
      </x:c>
      <x:c r="E780" s="4" t="str">
        <x:v>Home</x:v>
      </x:c>
      <x:c r="F780" s="28" t="n">
        <x:v>1</x:v>
      </x:c>
      <x:c r="G780" s="28" t="n">
        <x:v>2</x:v>
      </x:c>
      <x:c r="H780" s="28" t="n">
        <x:v>17</x:v>
      </x:c>
      <x:c r="I780" s="28" t="n">
        <x:v>15</x:v>
      </x:c>
      <x:c r="J780" s="28" t="n">
        <x:v>5</x:v>
      </x:c>
      <x:c r="K780" s="28" t="n">
        <x:v>4</x:v>
      </x:c>
      <x:c r="L780" s="28" t="n">
        <x:v>6</x:v>
      </x:c>
      <x:c r="M780" s="28" t="n">
        <x:v>2</x:v>
      </x:c>
      <x:c r="N780" s="28" t="n">
        <x:v>4</x:v>
      </x:c>
      <x:c r="O780" s="28" t="n">
        <x:v>0</x:v>
      </x:c>
      <x:c r="P780" s="28" t="n">
        <x:v>0</x:v>
      </x:c>
      <x:c r="Q780" s="24" t="n">
        <x:f>IFERROR(J780/H780,0)</x:f>
        <x:v>0.29411764705882354</x:v>
      </x:c>
      <x:c r="R780" s="24" t="n">
        <x:f>IFERROR(F780/H780,0)</x:f>
        <x:v>0.058823529411764705</x:v>
      </x:c>
      <x:c r="S780" s="24" t="n">
        <x:f>IFERROR(F780/J780,0)</x:f>
        <x:v>0.2</x:v>
      </x:c>
      <x:c r="T780" s="28" t="n">
        <x:f>H780-I780</x:f>
        <x:v>2</x:v>
      </x:c>
      <x:c r="U780" s="24" t="n">
        <x:f>IFERROR(J780/H780,0)-IFERROR(K780/I780,0)</x:f>
        <x:v>0.027450980392156876</x:v>
      </x:c>
      <x:c r="V780" s="24" t="n">
        <x:f>IFERROR(F780/J780,0)-IFERROR(G780/K780,0)</x:f>
        <x:v>-0.3</x:v>
      </x:c>
      <x:c r="W780" s="28" t="n">
        <x:f>L780-M780</x:f>
        <x:v>4</x:v>
      </x:c>
      <x:c r="X780" s="24" t="n">
        <x:f>IFERROR(K780/I780,0)</x:f>
        <x:v>0.26666666666666666</x:v>
      </x:c>
      <x:c r="Y780" s="24" t="n">
        <x:f>IFERROR(G780/I780,0)</x:f>
        <x:v>0.13333333333333333</x:v>
      </x:c>
      <x:c r="Z780" s="24" t="n">
        <x:f>IFERROR(G780/K780,0)</x:f>
        <x:v>0.5</x:v>
      </x:c>
      <x:c r="AA780" s="24" t="n">
        <x:f>IFERROR(F780/H780,0)-IFERROR(G780/I780,0)</x:f>
        <x:v>-0.07450980392156863</x:v>
      </x:c>
      <x:c r="AB780" s="28" t="n">
        <x:f>J780-K780</x:f>
        <x:v>1</x:v>
      </x:c>
      <x:c r="AC780" s="32" t="n">
        <x:f>F780-G780</x:f>
        <x:v>-1</x:v>
      </x:c>
    </x:row>
    <x:row r="781">
      <x:c r="A781" s="4" t="str">
        <x:v>2022-23</x:v>
      </x:c>
      <x:c r="B781" s="20" t="n">
        <x:v>44780</x:v>
      </x:c>
      <x:c r="C781" s="4" t="str">
        <x:v>West Ham</x:v>
      </x:c>
      <x:c r="D781" s="4" t="str">
        <x:v>Man City</x:v>
      </x:c>
      <x:c r="E781" s="4" t="str">
        <x:v>Home</x:v>
      </x:c>
      <x:c r="F781" s="28" t="n">
        <x:v>0</x:v>
      </x:c>
      <x:c r="G781" s="28" t="n">
        <x:v>2</x:v>
      </x:c>
      <x:c r="H781" s="28" t="n">
        <x:v>6</x:v>
      </x:c>
      <x:c r="I781" s="28" t="n">
        <x:v>14</x:v>
      </x:c>
      <x:c r="J781" s="28" t="n">
        <x:v>1</x:v>
      </x:c>
      <x:c r="K781" s="28" t="n">
        <x:v>2</x:v>
      </x:c>
      <x:c r="L781" s="28" t="n">
        <x:v>1</x:v>
      </x:c>
      <x:c r="M781" s="28" t="n">
        <x:v>4</x:v>
      </x:c>
      <x:c r="N781" s="28" t="n">
        <x:v>0</x:v>
      </x:c>
      <x:c r="O781" s="28" t="n">
        <x:v>0</x:v>
      </x:c>
      <x:c r="P781" s="28" t="n">
        <x:v>0</x:v>
      </x:c>
      <x:c r="Q781" s="24" t="n">
        <x:f>IFERROR(J781/H781,0)</x:f>
        <x:v>0.16666666666666666</x:v>
      </x:c>
      <x:c r="R781" s="24" t="n">
        <x:f>IFERROR(F781/H781,0)</x:f>
        <x:v>0</x:v>
      </x:c>
      <x:c r="S781" s="24" t="n">
        <x:f>IFERROR(F781/J781,0)</x:f>
        <x:v>0</x:v>
      </x:c>
      <x:c r="T781" s="28" t="n">
        <x:f>H781-I781</x:f>
        <x:v>-8</x:v>
      </x:c>
      <x:c r="U781" s="24" t="n">
        <x:f>IFERROR(J781/H781,0)-IFERROR(K781/I781,0)</x:f>
        <x:v>0.023809523809523808</x:v>
      </x:c>
      <x:c r="V781" s="24" t="n">
        <x:f>IFERROR(F781/J781,0)-IFERROR(G781/K781,0)</x:f>
        <x:v>-1</x:v>
      </x:c>
      <x:c r="W781" s="28" t="n">
        <x:f>L781-M781</x:f>
        <x:v>-3</x:v>
      </x:c>
      <x:c r="X781" s="24" t="n">
        <x:f>IFERROR(K781/I781,0)</x:f>
        <x:v>0.14285714285714285</x:v>
      </x:c>
      <x:c r="Y781" s="24" t="n">
        <x:f>IFERROR(G781/I781,0)</x:f>
        <x:v>0.14285714285714285</x:v>
      </x:c>
      <x:c r="Z781" s="24" t="n">
        <x:f>IFERROR(G781/K781,0)</x:f>
        <x:v>1</x:v>
      </x:c>
      <x:c r="AA781" s="24" t="n">
        <x:f>IFERROR(F781/H781,0)-IFERROR(G781/I781,0)</x:f>
        <x:v>-0.14285714285714285</x:v>
      </x:c>
      <x:c r="AB781" s="28" t="n">
        <x:f>J781-K781</x:f>
        <x:v>-1</x:v>
      </x:c>
      <x:c r="AC781" s="32" t="n">
        <x:f>F781-G781</x:f>
        <x:v>-2</x:v>
      </x:c>
    </x:row>
    <x:row r="782">
      <x:c r="A782" s="4" t="str">
        <x:v>2022-23</x:v>
      </x:c>
      <x:c r="B782" s="20" t="n">
        <x:v>44786</x:v>
      </x:c>
      <x:c r="C782" s="4" t="str">
        <x:v>Arsenal</x:v>
      </x:c>
      <x:c r="D782" s="4" t="str">
        <x:v>Leicester</x:v>
      </x:c>
      <x:c r="E782" s="4" t="str">
        <x:v>Home</x:v>
      </x:c>
      <x:c r="F782" s="28" t="n">
        <x:v>4</x:v>
      </x:c>
      <x:c r="G782" s="28" t="n">
        <x:v>2</x:v>
      </x:c>
      <x:c r="H782" s="28" t="n">
        <x:v>19</x:v>
      </x:c>
      <x:c r="I782" s="28" t="n">
        <x:v>6</x:v>
      </x:c>
      <x:c r="J782" s="28" t="n">
        <x:v>7</x:v>
      </x:c>
      <x:c r="K782" s="28" t="n">
        <x:v>2</x:v>
      </x:c>
      <x:c r="L782" s="28" t="n">
        <x:v>6</x:v>
      </x:c>
      <x:c r="M782" s="28" t="n">
        <x:v>2</x:v>
      </x:c>
      <x:c r="N782" s="28" t="n">
        <x:v>1</x:v>
      </x:c>
      <x:c r="O782" s="28" t="n">
        <x:v>0</x:v>
      </x:c>
      <x:c r="P782" s="28" t="n">
        <x:v>3</x:v>
      </x:c>
      <x:c r="Q782" s="24" t="n">
        <x:f>IFERROR(J782/H782,0)</x:f>
        <x:v>0.3684210526315789</x:v>
      </x:c>
      <x:c r="R782" s="24" t="n">
        <x:f>IFERROR(F782/H782,0)</x:f>
        <x:v>0.21052631578947367</x:v>
      </x:c>
      <x:c r="S782" s="24" t="n">
        <x:f>IFERROR(F782/J782,0)</x:f>
        <x:v>0.5714285714285714</x:v>
      </x:c>
      <x:c r="T782" s="28" t="n">
        <x:f>H782-I782</x:f>
        <x:v>13</x:v>
      </x:c>
      <x:c r="U782" s="24" t="n">
        <x:f>IFERROR(J782/H782,0)-IFERROR(K782/I782,0)</x:f>
        <x:v>0.03508771929824561</x:v>
      </x:c>
      <x:c r="V782" s="24" t="n">
        <x:f>IFERROR(F782/J782,0)-IFERROR(G782/K782,0)</x:f>
        <x:v>-0.4285714285714286</x:v>
      </x:c>
      <x:c r="W782" s="28" t="n">
        <x:f>L782-M782</x:f>
        <x:v>4</x:v>
      </x:c>
      <x:c r="X782" s="24" t="n">
        <x:f>IFERROR(K782/I782,0)</x:f>
        <x:v>0.3333333333333333</x:v>
      </x:c>
      <x:c r="Y782" s="24" t="n">
        <x:f>IFERROR(G782/I782,0)</x:f>
        <x:v>0.3333333333333333</x:v>
      </x:c>
      <x:c r="Z782" s="24" t="n">
        <x:f>IFERROR(G782/K782,0)</x:f>
        <x:v>1</x:v>
      </x:c>
      <x:c r="AA782" s="24" t="n">
        <x:f>IFERROR(F782/H782,0)-IFERROR(G782/I782,0)</x:f>
        <x:v>-0.12280701754385964</x:v>
      </x:c>
      <x:c r="AB782" s="28" t="n">
        <x:f>J782-K782</x:f>
        <x:v>5</x:v>
      </x:c>
      <x:c r="AC782" s="32" t="n">
        <x:f>F782-G782</x:f>
        <x:v>2</x:v>
      </x:c>
    </x:row>
    <x:row r="783">
      <x:c r="A783" s="4" t="str">
        <x:v>2022-23</x:v>
      </x:c>
      <x:c r="B783" s="20" t="n">
        <x:v>44786</x:v>
      </x:c>
      <x:c r="C783" s="4" t="str">
        <x:v>Aston Villa</x:v>
      </x:c>
      <x:c r="D783" s="4" t="str">
        <x:v>Everton</x:v>
      </x:c>
      <x:c r="E783" s="4" t="str">
        <x:v>Home</x:v>
      </x:c>
      <x:c r="F783" s="28" t="n">
        <x:v>2</x:v>
      </x:c>
      <x:c r="G783" s="28" t="n">
        <x:v>1</x:v>
      </x:c>
      <x:c r="H783" s="28" t="n">
        <x:v>12</x:v>
      </x:c>
      <x:c r="I783" s="28" t="n">
        <x:v>15</x:v>
      </x:c>
      <x:c r="J783" s="28" t="n">
        <x:v>4</x:v>
      </x:c>
      <x:c r="K783" s="28" t="n">
        <x:v>4</x:v>
      </x:c>
      <x:c r="L783" s="28" t="n">
        <x:v>5</x:v>
      </x:c>
      <x:c r="M783" s="28" t="n">
        <x:v>8</x:v>
      </x:c>
      <x:c r="N783" s="28" t="n">
        <x:v>4</x:v>
      </x:c>
      <x:c r="O783" s="28" t="n">
        <x:v>0</x:v>
      </x:c>
      <x:c r="P783" s="28" t="n">
        <x:v>3</x:v>
      </x:c>
      <x:c r="Q783" s="24" t="n">
        <x:f>IFERROR(J783/H783,0)</x:f>
        <x:v>0.3333333333333333</x:v>
      </x:c>
      <x:c r="R783" s="24" t="n">
        <x:f>IFERROR(F783/H783,0)</x:f>
        <x:v>0.16666666666666666</x:v>
      </x:c>
      <x:c r="S783" s="24" t="n">
        <x:f>IFERROR(F783/J783,0)</x:f>
        <x:v>0.5</x:v>
      </x:c>
      <x:c r="T783" s="28" t="n">
        <x:f>H783-I783</x:f>
        <x:v>-3</x:v>
      </x:c>
      <x:c r="U783" s="24" t="n">
        <x:f>IFERROR(J783/H783,0)-IFERROR(K783/I783,0)</x:f>
        <x:v>0.06666666666666665</x:v>
      </x:c>
      <x:c r="V783" s="24" t="n">
        <x:f>IFERROR(F783/J783,0)-IFERROR(G783/K783,0)</x:f>
        <x:v>0.25</x:v>
      </x:c>
      <x:c r="W783" s="28" t="n">
        <x:f>L783-M783</x:f>
        <x:v>-3</x:v>
      </x:c>
      <x:c r="X783" s="24" t="n">
        <x:f>IFERROR(K783/I783,0)</x:f>
        <x:v>0.26666666666666666</x:v>
      </x:c>
      <x:c r="Y783" s="24" t="n">
        <x:f>IFERROR(G783/I783,0)</x:f>
        <x:v>0.06666666666666667</x:v>
      </x:c>
      <x:c r="Z783" s="24" t="n">
        <x:f>IFERROR(G783/K783,0)</x:f>
        <x:v>0.25</x:v>
      </x:c>
      <x:c r="AA783" s="24" t="n">
        <x:f>IFERROR(F783/H783,0)-IFERROR(G783/I783,0)</x:f>
        <x:v>0.09999999999999999</x:v>
      </x:c>
      <x:c r="AB783" s="28" t="n">
        <x:f>J783-K783</x:f>
        <x:v>0</x:v>
      </x:c>
      <x:c r="AC783" s="32" t="n">
        <x:f>F783-G783</x:f>
        <x:v>1</x:v>
      </x:c>
    </x:row>
    <x:row r="784">
      <x:c r="A784" s="4" t="str">
        <x:v>2022-23</x:v>
      </x:c>
      <x:c r="B784" s="20" t="n">
        <x:v>44786</x:v>
      </x:c>
      <x:c r="C784" s="4" t="str">
        <x:v>Bournemouth</x:v>
      </x:c>
      <x:c r="D784" s="4" t="str">
        <x:v>Man City</x:v>
      </x:c>
      <x:c r="E784" s="4" t="str">
        <x:v>Away</x:v>
      </x:c>
      <x:c r="F784" s="28" t="n">
        <x:v>0</x:v>
      </x:c>
      <x:c r="G784" s="28" t="n">
        <x:v>4</x:v>
      </x:c>
      <x:c r="H784" s="28" t="n">
        <x:v>3</x:v>
      </x:c>
      <x:c r="I784" s="28" t="n">
        <x:v>19</x:v>
      </x:c>
      <x:c r="J784" s="28" t="n">
        <x:v>1</x:v>
      </x:c>
      <x:c r="K784" s="28" t="n">
        <x:v>7</x:v>
      </x:c>
      <x:c r="L784" s="28" t="n">
        <x:v>1</x:v>
      </x:c>
      <x:c r="M784" s="28" t="n">
        <x:v>11</x:v>
      </x:c>
      <x:c r="N784" s="28" t="n">
        <x:v>3</x:v>
      </x:c>
      <x:c r="O784" s="28" t="n">
        <x:v>0</x:v>
      </x:c>
      <x:c r="P784" s="28" t="n">
        <x:v>0</x:v>
      </x:c>
      <x:c r="Q784" s="24" t="n">
        <x:f>IFERROR(J784/H784,0)</x:f>
        <x:v>0.3333333333333333</x:v>
      </x:c>
      <x:c r="R784" s="24" t="n">
        <x:f>IFERROR(F784/H784,0)</x:f>
        <x:v>0</x:v>
      </x:c>
      <x:c r="S784" s="24" t="n">
        <x:f>IFERROR(F784/J784,0)</x:f>
        <x:v>0</x:v>
      </x:c>
      <x:c r="T784" s="28" t="n">
        <x:f>H784-I784</x:f>
        <x:v>-16</x:v>
      </x:c>
      <x:c r="U784" s="24" t="n">
        <x:f>IFERROR(J784/H784,0)-IFERROR(K784/I784,0)</x:f>
        <x:v>-0.03508771929824561</x:v>
      </x:c>
      <x:c r="V784" s="24" t="n">
        <x:f>IFERROR(F784/J784,0)-IFERROR(G784/K784,0)</x:f>
        <x:v>-0.5714285714285714</x:v>
      </x:c>
      <x:c r="W784" s="28" t="n">
        <x:f>L784-M784</x:f>
        <x:v>-10</x:v>
      </x:c>
      <x:c r="X784" s="24" t="n">
        <x:f>IFERROR(K784/I784,0)</x:f>
        <x:v>0.3684210526315789</x:v>
      </x:c>
      <x:c r="Y784" s="24" t="n">
        <x:f>IFERROR(G784/I784,0)</x:f>
        <x:v>0.21052631578947367</x:v>
      </x:c>
      <x:c r="Z784" s="24" t="n">
        <x:f>IFERROR(G784/K784,0)</x:f>
        <x:v>0.5714285714285714</x:v>
      </x:c>
      <x:c r="AA784" s="24" t="n">
        <x:f>IFERROR(F784/H784,0)-IFERROR(G784/I784,0)</x:f>
        <x:v>-0.21052631578947367</x:v>
      </x:c>
      <x:c r="AB784" s="28" t="n">
        <x:f>J784-K784</x:f>
        <x:v>-6</x:v>
      </x:c>
      <x:c r="AC784" s="32" t="n">
        <x:f>F784-G784</x:f>
        <x:v>-4</x:v>
      </x:c>
    </x:row>
    <x:row r="785">
      <x:c r="A785" s="4" t="str">
        <x:v>2022-23</x:v>
      </x:c>
      <x:c r="B785" s="20" t="n">
        <x:v>44786</x:v>
      </x:c>
      <x:c r="C785" s="4" t="str">
        <x:v>Brentford</x:v>
      </x:c>
      <x:c r="D785" s="4" t="str">
        <x:v>Man United</x:v>
      </x:c>
      <x:c r="E785" s="4" t="str">
        <x:v>Home</x:v>
      </x:c>
      <x:c r="F785" s="28" t="n">
        <x:v>4</x:v>
      </x:c>
      <x:c r="G785" s="28" t="n">
        <x:v>0</x:v>
      </x:c>
      <x:c r="H785" s="28" t="n">
        <x:v>13</x:v>
      </x:c>
      <x:c r="I785" s="28" t="n">
        <x:v>15</x:v>
      </x:c>
      <x:c r="J785" s="28" t="n">
        <x:v>7</x:v>
      </x:c>
      <x:c r="K785" s="28" t="n">
        <x:v>4</x:v>
      </x:c>
      <x:c r="L785" s="28" t="n">
        <x:v>8</x:v>
      </x:c>
      <x:c r="M785" s="28" t="n">
        <x:v>2</x:v>
      </x:c>
      <x:c r="N785" s="28" t="n">
        <x:v>0</x:v>
      </x:c>
      <x:c r="O785" s="28" t="n">
        <x:v>0</x:v>
      </x:c>
      <x:c r="P785" s="28" t="n">
        <x:v>3</x:v>
      </x:c>
      <x:c r="Q785" s="24" t="n">
        <x:f>IFERROR(J785/H785,0)</x:f>
        <x:v>0.5384615384615384</x:v>
      </x:c>
      <x:c r="R785" s="24" t="n">
        <x:f>IFERROR(F785/H785,0)</x:f>
        <x:v>0.3076923076923077</x:v>
      </x:c>
      <x:c r="S785" s="24" t="n">
        <x:f>IFERROR(F785/J785,0)</x:f>
        <x:v>0.5714285714285714</x:v>
      </x:c>
      <x:c r="T785" s="28" t="n">
        <x:f>H785-I785</x:f>
        <x:v>-2</x:v>
      </x:c>
      <x:c r="U785" s="24" t="n">
        <x:f>IFERROR(J785/H785,0)-IFERROR(K785/I785,0)</x:f>
        <x:v>0.2717948717948718</x:v>
      </x:c>
      <x:c r="V785" s="24" t="n">
        <x:f>IFERROR(F785/J785,0)-IFERROR(G785/K785,0)</x:f>
        <x:v>0.5714285714285714</x:v>
      </x:c>
      <x:c r="W785" s="28" t="n">
        <x:f>L785-M785</x:f>
        <x:v>6</x:v>
      </x:c>
      <x:c r="X785" s="24" t="n">
        <x:f>IFERROR(K785/I785,0)</x:f>
        <x:v>0.26666666666666666</x:v>
      </x:c>
      <x:c r="Y785" s="24" t="n">
        <x:f>IFERROR(G785/I785,0)</x:f>
        <x:v>0</x:v>
      </x:c>
      <x:c r="Z785" s="24" t="n">
        <x:f>IFERROR(G785/K785,0)</x:f>
        <x:v>0</x:v>
      </x:c>
      <x:c r="AA785" s="24" t="n">
        <x:f>IFERROR(F785/H785,0)-IFERROR(G785/I785,0)</x:f>
        <x:v>0.3076923076923077</x:v>
      </x:c>
      <x:c r="AB785" s="28" t="n">
        <x:f>J785-K785</x:f>
        <x:v>3</x:v>
      </x:c>
      <x:c r="AC785" s="32" t="n">
        <x:f>F785-G785</x:f>
        <x:v>4</x:v>
      </x:c>
    </x:row>
    <x:row r="786">
      <x:c r="A786" s="4" t="str">
        <x:v>2022-23</x:v>
      </x:c>
      <x:c r="B786" s="20" t="n">
        <x:v>44786</x:v>
      </x:c>
      <x:c r="C786" s="4" t="str">
        <x:v>Brighton</x:v>
      </x:c>
      <x:c r="D786" s="4" t="str">
        <x:v>Newcastle</x:v>
      </x:c>
      <x:c r="E786" s="4" t="str">
        <x:v>Home</x:v>
      </x:c>
      <x:c r="F786" s="28" t="n">
        <x:v>0</x:v>
      </x:c>
      <x:c r="G786" s="28" t="n">
        <x:v>0</x:v>
      </x:c>
      <x:c r="H786" s="28" t="n">
        <x:v>13</x:v>
      </x:c>
      <x:c r="I786" s="28" t="n">
        <x:v>4</x:v>
      </x:c>
      <x:c r="J786" s="28" t="n">
        <x:v>7</x:v>
      </x:c>
      <x:c r="K786" s="28" t="n">
        <x:v>1</x:v>
      </x:c>
      <x:c r="L786" s="28" t="n">
        <x:v>7</x:v>
      </x:c>
      <x:c r="M786" s="28" t="n">
        <x:v>3</x:v>
      </x:c>
      <x:c r="N786" s="28" t="n">
        <x:v>2</x:v>
      </x:c>
      <x:c r="O786" s="28" t="n">
        <x:v>0</x:v>
      </x:c>
      <x:c r="P786" s="28" t="n">
        <x:v>1</x:v>
      </x:c>
      <x:c r="Q786" s="24" t="n">
        <x:f>IFERROR(J786/H786,0)</x:f>
        <x:v>0.5384615384615384</x:v>
      </x:c>
      <x:c r="R786" s="24" t="n">
        <x:f>IFERROR(F786/H786,0)</x:f>
        <x:v>0</x:v>
      </x:c>
      <x:c r="S786" s="24" t="n">
        <x:f>IFERROR(F786/J786,0)</x:f>
        <x:v>0</x:v>
      </x:c>
      <x:c r="T786" s="28" t="n">
        <x:f>H786-I786</x:f>
        <x:v>9</x:v>
      </x:c>
      <x:c r="U786" s="24" t="n">
        <x:f>IFERROR(J786/H786,0)-IFERROR(K786/I786,0)</x:f>
        <x:v>0.28846153846153844</x:v>
      </x:c>
      <x:c r="V786" s="24" t="n">
        <x:f>IFERROR(F786/J786,0)-IFERROR(G786/K786,0)</x:f>
        <x:v>0</x:v>
      </x:c>
      <x:c r="W786" s="28" t="n">
        <x:f>L786-M786</x:f>
        <x:v>4</x:v>
      </x:c>
      <x:c r="X786" s="24" t="n">
        <x:f>IFERROR(K786/I786,0)</x:f>
        <x:v>0.25</x:v>
      </x:c>
      <x:c r="Y786" s="24" t="n">
        <x:f>IFERROR(G786/I786,0)</x:f>
        <x:v>0</x:v>
      </x:c>
      <x:c r="Z786" s="24" t="n">
        <x:f>IFERROR(G786/K786,0)</x:f>
        <x:v>0</x:v>
      </x:c>
      <x:c r="AA786" s="24" t="n">
        <x:f>IFERROR(F786/H786,0)-IFERROR(G786/I786,0)</x:f>
        <x:v>0</x:v>
      </x:c>
      <x:c r="AB786" s="28" t="n">
        <x:f>J786-K786</x:f>
        <x:v>6</x:v>
      </x:c>
      <x:c r="AC786" s="32" t="n">
        <x:f>F786-G786</x:f>
        <x:v>0</x:v>
      </x:c>
    </x:row>
    <x:row r="787">
      <x:c r="A787" s="4" t="str">
        <x:v>2022-23</x:v>
      </x:c>
      <x:c r="B787" s="20" t="n">
        <x:v>44786</x:v>
      </x:c>
      <x:c r="C787" s="4" t="str">
        <x:v>Everton</x:v>
      </x:c>
      <x:c r="D787" s="4" t="str">
        <x:v>Aston Villa</x:v>
      </x:c>
      <x:c r="E787" s="4" t="str">
        <x:v>Away</x:v>
      </x:c>
      <x:c r="F787" s="28" t="n">
        <x:v>1</x:v>
      </x:c>
      <x:c r="G787" s="28" t="n">
        <x:v>2</x:v>
      </x:c>
      <x:c r="H787" s="28" t="n">
        <x:v>15</x:v>
      </x:c>
      <x:c r="I787" s="28" t="n">
        <x:v>12</x:v>
      </x:c>
      <x:c r="J787" s="28" t="n">
        <x:v>4</x:v>
      </x:c>
      <x:c r="K787" s="28" t="n">
        <x:v>4</x:v>
      </x:c>
      <x:c r="L787" s="28" t="n">
        <x:v>8</x:v>
      </x:c>
      <x:c r="M787" s="28" t="n">
        <x:v>5</x:v>
      </x:c>
      <x:c r="N787" s="28" t="n">
        <x:v>1</x:v>
      </x:c>
      <x:c r="O787" s="28" t="n">
        <x:v>0</x:v>
      </x:c>
      <x:c r="P787" s="28" t="n">
        <x:v>0</x:v>
      </x:c>
      <x:c r="Q787" s="24" t="n">
        <x:f>IFERROR(J787/H787,0)</x:f>
        <x:v>0.26666666666666666</x:v>
      </x:c>
      <x:c r="R787" s="24" t="n">
        <x:f>IFERROR(F787/H787,0)</x:f>
        <x:v>0.06666666666666667</x:v>
      </x:c>
      <x:c r="S787" s="24" t="n">
        <x:f>IFERROR(F787/J787,0)</x:f>
        <x:v>0.25</x:v>
      </x:c>
      <x:c r="T787" s="28" t="n">
        <x:f>H787-I787</x:f>
        <x:v>3</x:v>
      </x:c>
      <x:c r="U787" s="24" t="n">
        <x:f>IFERROR(J787/H787,0)-IFERROR(K787/I787,0)</x:f>
        <x:v>-0.06666666666666665</x:v>
      </x:c>
      <x:c r="V787" s="24" t="n">
        <x:f>IFERROR(F787/J787,0)-IFERROR(G787/K787,0)</x:f>
        <x:v>-0.25</x:v>
      </x:c>
      <x:c r="W787" s="28" t="n">
        <x:f>L787-M787</x:f>
        <x:v>3</x:v>
      </x:c>
      <x:c r="X787" s="24" t="n">
        <x:f>IFERROR(K787/I787,0)</x:f>
        <x:v>0.3333333333333333</x:v>
      </x:c>
      <x:c r="Y787" s="24" t="n">
        <x:f>IFERROR(G787/I787,0)</x:f>
        <x:v>0.16666666666666666</x:v>
      </x:c>
      <x:c r="Z787" s="24" t="n">
        <x:f>IFERROR(G787/K787,0)</x:f>
        <x:v>0.5</x:v>
      </x:c>
      <x:c r="AA787" s="24" t="n">
        <x:f>IFERROR(F787/H787,0)-IFERROR(G787/I787,0)</x:f>
        <x:v>-0.09999999999999999</x:v>
      </x:c>
      <x:c r="AB787" s="28" t="n">
        <x:f>J787-K787</x:f>
        <x:v>0</x:v>
      </x:c>
      <x:c r="AC787" s="32" t="n">
        <x:f>F787-G787</x:f>
        <x:v>-1</x:v>
      </x:c>
    </x:row>
    <x:row r="788">
      <x:c r="A788" s="4" t="str">
        <x:v>2022-23</x:v>
      </x:c>
      <x:c r="B788" s="20" t="n">
        <x:v>44786</x:v>
      </x:c>
      <x:c r="C788" s="4" t="str">
        <x:v>Fulham</x:v>
      </x:c>
      <x:c r="D788" s="4" t="str">
        <x:v>Wolves</x:v>
      </x:c>
      <x:c r="E788" s="4" t="str">
        <x:v>Away</x:v>
      </x:c>
      <x:c r="F788" s="28" t="n">
        <x:v>0</x:v>
      </x:c>
      <x:c r="G788" s="28" t="n">
        <x:v>0</x:v>
      </x:c>
      <x:c r="H788" s="28" t="n">
        <x:v>9</x:v>
      </x:c>
      <x:c r="I788" s="28" t="n">
        <x:v>7</x:v>
      </x:c>
      <x:c r="J788" s="28" t="n">
        <x:v>3</x:v>
      </x:c>
      <x:c r="K788" s="28" t="n">
        <x:v>1</x:v>
      </x:c>
      <x:c r="L788" s="28" t="n">
        <x:v>3</x:v>
      </x:c>
      <x:c r="M788" s="28" t="n">
        <x:v>5</x:v>
      </x:c>
      <x:c r="N788" s="28" t="n">
        <x:v>3</x:v>
      </x:c>
      <x:c r="O788" s="28" t="n">
        <x:v>0</x:v>
      </x:c>
      <x:c r="P788" s="28" t="n">
        <x:v>1</x:v>
      </x:c>
      <x:c r="Q788" s="24" t="n">
        <x:f>IFERROR(J788/H788,0)</x:f>
        <x:v>0.3333333333333333</x:v>
      </x:c>
      <x:c r="R788" s="24" t="n">
        <x:f>IFERROR(F788/H788,0)</x:f>
        <x:v>0</x:v>
      </x:c>
      <x:c r="S788" s="24" t="n">
        <x:f>IFERROR(F788/J788,0)</x:f>
        <x:v>0</x:v>
      </x:c>
      <x:c r="T788" s="28" t="n">
        <x:f>H788-I788</x:f>
        <x:v>2</x:v>
      </x:c>
      <x:c r="U788" s="24" t="n">
        <x:f>IFERROR(J788/H788,0)-IFERROR(K788/I788,0)</x:f>
        <x:v>0.19047619047619047</x:v>
      </x:c>
      <x:c r="V788" s="24" t="n">
        <x:f>IFERROR(F788/J788,0)-IFERROR(G788/K788,0)</x:f>
        <x:v>0</x:v>
      </x:c>
      <x:c r="W788" s="28" t="n">
        <x:f>L788-M788</x:f>
        <x:v>-2</x:v>
      </x:c>
      <x:c r="X788" s="24" t="n">
        <x:f>IFERROR(K788/I788,0)</x:f>
        <x:v>0.14285714285714285</x:v>
      </x:c>
      <x:c r="Y788" s="24" t="n">
        <x:f>IFERROR(G788/I788,0)</x:f>
        <x:v>0</x:v>
      </x:c>
      <x:c r="Z788" s="24" t="n">
        <x:f>IFERROR(G788/K788,0)</x:f>
        <x:v>0</x:v>
      </x:c>
      <x:c r="AA788" s="24" t="n">
        <x:f>IFERROR(F788/H788,0)-IFERROR(G788/I788,0)</x:f>
        <x:v>0</x:v>
      </x:c>
      <x:c r="AB788" s="28" t="n">
        <x:f>J788-K788</x:f>
        <x:v>2</x:v>
      </x:c>
      <x:c r="AC788" s="32" t="n">
        <x:f>F788-G788</x:f>
        <x:v>0</x:v>
      </x:c>
    </x:row>
    <x:row r="789">
      <x:c r="A789" s="4" t="str">
        <x:v>2022-23</x:v>
      </x:c>
      <x:c r="B789" s="20" t="n">
        <x:v>44786</x:v>
      </x:c>
      <x:c r="C789" s="4" t="str">
        <x:v>Leeds</x:v>
      </x:c>
      <x:c r="D789" s="4" t="str">
        <x:v>Southampton</x:v>
      </x:c>
      <x:c r="E789" s="4" t="str">
        <x:v>Away</x:v>
      </x:c>
      <x:c r="F789" s="28" t="n">
        <x:v>2</x:v>
      </x:c>
      <x:c r="G789" s="28" t="n">
        <x:v>2</x:v>
      </x:c>
      <x:c r="H789" s="28" t="n">
        <x:v>13</x:v>
      </x:c>
      <x:c r="I789" s="28" t="n">
        <x:v>14</x:v>
      </x:c>
      <x:c r="J789" s="28" t="n">
        <x:v>5</x:v>
      </x:c>
      <x:c r="K789" s="28" t="n">
        <x:v>4</x:v>
      </x:c>
      <x:c r="L789" s="28" t="n">
        <x:v>5</x:v>
      </x:c>
      <x:c r="M789" s="28" t="n">
        <x:v>2</x:v>
      </x:c>
      <x:c r="N789" s="28" t="n">
        <x:v>3</x:v>
      </x:c>
      <x:c r="O789" s="28" t="n">
        <x:v>0</x:v>
      </x:c>
      <x:c r="P789" s="28" t="n">
        <x:v>1</x:v>
      </x:c>
      <x:c r="Q789" s="24" t="n">
        <x:f>IFERROR(J789/H789,0)</x:f>
        <x:v>0.38461538461538464</x:v>
      </x:c>
      <x:c r="R789" s="24" t="n">
        <x:f>IFERROR(F789/H789,0)</x:f>
        <x:v>0.15384615384615385</x:v>
      </x:c>
      <x:c r="S789" s="24" t="n">
        <x:f>IFERROR(F789/J789,0)</x:f>
        <x:v>0.4</x:v>
      </x:c>
      <x:c r="T789" s="28" t="n">
        <x:f>H789-I789</x:f>
        <x:v>-1</x:v>
      </x:c>
      <x:c r="U789" s="24" t="n">
        <x:f>IFERROR(J789/H789,0)-IFERROR(K789/I789,0)</x:f>
        <x:v>0.09890109890109894</x:v>
      </x:c>
      <x:c r="V789" s="24" t="n">
        <x:f>IFERROR(F789/J789,0)-IFERROR(G789/K789,0)</x:f>
        <x:v>-0.09999999999999998</x:v>
      </x:c>
      <x:c r="W789" s="28" t="n">
        <x:f>L789-M789</x:f>
        <x:v>3</x:v>
      </x:c>
      <x:c r="X789" s="24" t="n">
        <x:f>IFERROR(K789/I789,0)</x:f>
        <x:v>0.2857142857142857</x:v>
      </x:c>
      <x:c r="Y789" s="24" t="n">
        <x:f>IFERROR(G789/I789,0)</x:f>
        <x:v>0.14285714285714285</x:v>
      </x:c>
      <x:c r="Z789" s="24" t="n">
        <x:f>IFERROR(G789/K789,0)</x:f>
        <x:v>0.5</x:v>
      </x:c>
      <x:c r="AA789" s="24" t="n">
        <x:f>IFERROR(F789/H789,0)-IFERROR(G789/I789,0)</x:f>
        <x:v>0.010989010989011005</x:v>
      </x:c>
      <x:c r="AB789" s="28" t="n">
        <x:f>J789-K789</x:f>
        <x:v>1</x:v>
      </x:c>
      <x:c r="AC789" s="32" t="n">
        <x:f>F789-G789</x:f>
        <x:v>0</x:v>
      </x:c>
    </x:row>
    <x:row r="790">
      <x:c r="A790" s="4" t="str">
        <x:v>2022-23</x:v>
      </x:c>
      <x:c r="B790" s="20" t="n">
        <x:v>44786</x:v>
      </x:c>
      <x:c r="C790" s="4" t="str">
        <x:v>Leicester</x:v>
      </x:c>
      <x:c r="D790" s="4" t="str">
        <x:v>Arsenal</x:v>
      </x:c>
      <x:c r="E790" s="4" t="str">
        <x:v>Away</x:v>
      </x:c>
      <x:c r="F790" s="28" t="n">
        <x:v>2</x:v>
      </x:c>
      <x:c r="G790" s="28" t="n">
        <x:v>4</x:v>
      </x:c>
      <x:c r="H790" s="28" t="n">
        <x:v>6</x:v>
      </x:c>
      <x:c r="I790" s="28" t="n">
        <x:v>19</x:v>
      </x:c>
      <x:c r="J790" s="28" t="n">
        <x:v>2</x:v>
      </x:c>
      <x:c r="K790" s="28" t="n">
        <x:v>7</x:v>
      </x:c>
      <x:c r="L790" s="28" t="n">
        <x:v>2</x:v>
      </x:c>
      <x:c r="M790" s="28" t="n">
        <x:v>6</x:v>
      </x:c>
      <x:c r="N790" s="28" t="n">
        <x:v>1</x:v>
      </x:c>
      <x:c r="O790" s="28" t="n">
        <x:v>0</x:v>
      </x:c>
      <x:c r="P790" s="28" t="n">
        <x:v>0</x:v>
      </x:c>
      <x:c r="Q790" s="24" t="n">
        <x:f>IFERROR(J790/H790,0)</x:f>
        <x:v>0.3333333333333333</x:v>
      </x:c>
      <x:c r="R790" s="24" t="n">
        <x:f>IFERROR(F790/H790,0)</x:f>
        <x:v>0.3333333333333333</x:v>
      </x:c>
      <x:c r="S790" s="24" t="n">
        <x:f>IFERROR(F790/J790,0)</x:f>
        <x:v>1</x:v>
      </x:c>
      <x:c r="T790" s="28" t="n">
        <x:f>H790-I790</x:f>
        <x:v>-13</x:v>
      </x:c>
      <x:c r="U790" s="24" t="n">
        <x:f>IFERROR(J790/H790,0)-IFERROR(K790/I790,0)</x:f>
        <x:v>-0.03508771929824561</x:v>
      </x:c>
      <x:c r="V790" s="24" t="n">
        <x:f>IFERROR(F790/J790,0)-IFERROR(G790/K790,0)</x:f>
        <x:v>0.4285714285714286</x:v>
      </x:c>
      <x:c r="W790" s="28" t="n">
        <x:f>L790-M790</x:f>
        <x:v>-4</x:v>
      </x:c>
      <x:c r="X790" s="24" t="n">
        <x:f>IFERROR(K790/I790,0)</x:f>
        <x:v>0.3684210526315789</x:v>
      </x:c>
      <x:c r="Y790" s="24" t="n">
        <x:f>IFERROR(G790/I790,0)</x:f>
        <x:v>0.21052631578947367</x:v>
      </x:c>
      <x:c r="Z790" s="24" t="n">
        <x:f>IFERROR(G790/K790,0)</x:f>
        <x:v>0.5714285714285714</x:v>
      </x:c>
      <x:c r="AA790" s="24" t="n">
        <x:f>IFERROR(F790/H790,0)-IFERROR(G790/I790,0)</x:f>
        <x:v>0.12280701754385964</x:v>
      </x:c>
      <x:c r="AB790" s="28" t="n">
        <x:f>J790-K790</x:f>
        <x:v>-5</x:v>
      </x:c>
      <x:c r="AC790" s="32" t="n">
        <x:f>F790-G790</x:f>
        <x:v>-2</x:v>
      </x:c>
    </x:row>
    <x:row r="791">
      <x:c r="A791" s="4" t="str">
        <x:v>2022-23</x:v>
      </x:c>
      <x:c r="B791" s="20" t="n">
        <x:v>44786</x:v>
      </x:c>
      <x:c r="C791" s="4" t="str">
        <x:v>Man City</x:v>
      </x:c>
      <x:c r="D791" s="4" t="str">
        <x:v>Bournemouth</x:v>
      </x:c>
      <x:c r="E791" s="4" t="str">
        <x:v>Home</x:v>
      </x:c>
      <x:c r="F791" s="28" t="n">
        <x:v>4</x:v>
      </x:c>
      <x:c r="G791" s="28" t="n">
        <x:v>0</x:v>
      </x:c>
      <x:c r="H791" s="28" t="n">
        <x:v>19</x:v>
      </x:c>
      <x:c r="I791" s="28" t="n">
        <x:v>3</x:v>
      </x:c>
      <x:c r="J791" s="28" t="n">
        <x:v>7</x:v>
      </x:c>
      <x:c r="K791" s="28" t="n">
        <x:v>1</x:v>
      </x:c>
      <x:c r="L791" s="28" t="n">
        <x:v>11</x:v>
      </x:c>
      <x:c r="M791" s="28" t="n">
        <x:v>1</x:v>
      </x:c>
      <x:c r="N791" s="28" t="n">
        <x:v>0</x:v>
      </x:c>
      <x:c r="O791" s="28" t="n">
        <x:v>0</x:v>
      </x:c>
      <x:c r="P791" s="28" t="n">
        <x:v>3</x:v>
      </x:c>
      <x:c r="Q791" s="24" t="n">
        <x:f>IFERROR(J791/H791,0)</x:f>
        <x:v>0.3684210526315789</x:v>
      </x:c>
      <x:c r="R791" s="24" t="n">
        <x:f>IFERROR(F791/H791,0)</x:f>
        <x:v>0.21052631578947367</x:v>
      </x:c>
      <x:c r="S791" s="24" t="n">
        <x:f>IFERROR(F791/J791,0)</x:f>
        <x:v>0.5714285714285714</x:v>
      </x:c>
      <x:c r="T791" s="28" t="n">
        <x:f>H791-I791</x:f>
        <x:v>16</x:v>
      </x:c>
      <x:c r="U791" s="24" t="n">
        <x:f>IFERROR(J791/H791,0)-IFERROR(K791/I791,0)</x:f>
        <x:v>0.03508771929824561</x:v>
      </x:c>
      <x:c r="V791" s="24" t="n">
        <x:f>IFERROR(F791/J791,0)-IFERROR(G791/K791,0)</x:f>
        <x:v>0.5714285714285714</x:v>
      </x:c>
      <x:c r="W791" s="28" t="n">
        <x:f>L791-M791</x:f>
        <x:v>10</x:v>
      </x:c>
      <x:c r="X791" s="24" t="n">
        <x:f>IFERROR(K791/I791,0)</x:f>
        <x:v>0.3333333333333333</x:v>
      </x:c>
      <x:c r="Y791" s="24" t="n">
        <x:f>IFERROR(G791/I791,0)</x:f>
        <x:v>0</x:v>
      </x:c>
      <x:c r="Z791" s="24" t="n">
        <x:f>IFERROR(G791/K791,0)</x:f>
        <x:v>0</x:v>
      </x:c>
      <x:c r="AA791" s="24" t="n">
        <x:f>IFERROR(F791/H791,0)-IFERROR(G791/I791,0)</x:f>
        <x:v>0.21052631578947367</x:v>
      </x:c>
      <x:c r="AB791" s="28" t="n">
        <x:f>J791-K791</x:f>
        <x:v>6</x:v>
      </x:c>
      <x:c r="AC791" s="32" t="n">
        <x:f>F791-G791</x:f>
        <x:v>4</x:v>
      </x:c>
    </x:row>
    <x:row r="792">
      <x:c r="A792" s="4" t="str">
        <x:v>2022-23</x:v>
      </x:c>
      <x:c r="B792" s="20" t="n">
        <x:v>44786</x:v>
      </x:c>
      <x:c r="C792" s="4" t="str">
        <x:v>Man United</x:v>
      </x:c>
      <x:c r="D792" s="4" t="str">
        <x:v>Brentford</x:v>
      </x:c>
      <x:c r="E792" s="4" t="str">
        <x:v>Away</x:v>
      </x:c>
      <x:c r="F792" s="28" t="n">
        <x:v>0</x:v>
      </x:c>
      <x:c r="G792" s="28" t="n">
        <x:v>4</x:v>
      </x:c>
      <x:c r="H792" s="28" t="n">
        <x:v>15</x:v>
      </x:c>
      <x:c r="I792" s="28" t="n">
        <x:v>13</x:v>
      </x:c>
      <x:c r="J792" s="28" t="n">
        <x:v>4</x:v>
      </x:c>
      <x:c r="K792" s="28" t="n">
        <x:v>7</x:v>
      </x:c>
      <x:c r="L792" s="28" t="n">
        <x:v>2</x:v>
      </x:c>
      <x:c r="M792" s="28" t="n">
        <x:v>8</x:v>
      </x:c>
      <x:c r="N792" s="28" t="n">
        <x:v>4</x:v>
      </x:c>
      <x:c r="O792" s="28" t="n">
        <x:v>0</x:v>
      </x:c>
      <x:c r="P792" s="28" t="n">
        <x:v>0</x:v>
      </x:c>
      <x:c r="Q792" s="24" t="n">
        <x:f>IFERROR(J792/H792,0)</x:f>
        <x:v>0.26666666666666666</x:v>
      </x:c>
      <x:c r="R792" s="24" t="n">
        <x:f>IFERROR(F792/H792,0)</x:f>
        <x:v>0</x:v>
      </x:c>
      <x:c r="S792" s="24" t="n">
        <x:f>IFERROR(F792/J792,0)</x:f>
        <x:v>0</x:v>
      </x:c>
      <x:c r="T792" s="28" t="n">
        <x:f>H792-I792</x:f>
        <x:v>2</x:v>
      </x:c>
      <x:c r="U792" s="24" t="n">
        <x:f>IFERROR(J792/H792,0)-IFERROR(K792/I792,0)</x:f>
        <x:v>-0.2717948717948718</x:v>
      </x:c>
      <x:c r="V792" s="24" t="n">
        <x:f>IFERROR(F792/J792,0)-IFERROR(G792/K792,0)</x:f>
        <x:v>-0.5714285714285714</x:v>
      </x:c>
      <x:c r="W792" s="28" t="n">
        <x:f>L792-M792</x:f>
        <x:v>-6</x:v>
      </x:c>
      <x:c r="X792" s="24" t="n">
        <x:f>IFERROR(K792/I792,0)</x:f>
        <x:v>0.5384615384615384</x:v>
      </x:c>
      <x:c r="Y792" s="24" t="n">
        <x:f>IFERROR(G792/I792,0)</x:f>
        <x:v>0.3076923076923077</x:v>
      </x:c>
      <x:c r="Z792" s="24" t="n">
        <x:f>IFERROR(G792/K792,0)</x:f>
        <x:v>0.5714285714285714</x:v>
      </x:c>
      <x:c r="AA792" s="24" t="n">
        <x:f>IFERROR(F792/H792,0)-IFERROR(G792/I792,0)</x:f>
        <x:v>-0.3076923076923077</x:v>
      </x:c>
      <x:c r="AB792" s="28" t="n">
        <x:f>J792-K792</x:f>
        <x:v>-3</x:v>
      </x:c>
      <x:c r="AC792" s="32" t="n">
        <x:f>F792-G792</x:f>
        <x:v>-4</x:v>
      </x:c>
    </x:row>
    <x:row r="793">
      <x:c r="A793" s="4" t="str">
        <x:v>2022-23</x:v>
      </x:c>
      <x:c r="B793" s="20" t="n">
        <x:v>44786</x:v>
      </x:c>
      <x:c r="C793" s="4" t="str">
        <x:v>Newcastle</x:v>
      </x:c>
      <x:c r="D793" s="4" t="str">
        <x:v>Brighton</x:v>
      </x:c>
      <x:c r="E793" s="4" t="str">
        <x:v>Away</x:v>
      </x:c>
      <x:c r="F793" s="28" t="n">
        <x:v>0</x:v>
      </x:c>
      <x:c r="G793" s="28" t="n">
        <x:v>0</x:v>
      </x:c>
      <x:c r="H793" s="28" t="n">
        <x:v>4</x:v>
      </x:c>
      <x:c r="I793" s="28" t="n">
        <x:v>13</x:v>
      </x:c>
      <x:c r="J793" s="28" t="n">
        <x:v>1</x:v>
      </x:c>
      <x:c r="K793" s="28" t="n">
        <x:v>7</x:v>
      </x:c>
      <x:c r="L793" s="28" t="n">
        <x:v>3</x:v>
      </x:c>
      <x:c r="M793" s="28" t="n">
        <x:v>7</x:v>
      </x:c>
      <x:c r="N793" s="28" t="n">
        <x:v>3</x:v>
      </x:c>
      <x:c r="O793" s="28" t="n">
        <x:v>0</x:v>
      </x:c>
      <x:c r="P793" s="28" t="n">
        <x:v>1</x:v>
      </x:c>
      <x:c r="Q793" s="24" t="n">
        <x:f>IFERROR(J793/H793,0)</x:f>
        <x:v>0.25</x:v>
      </x:c>
      <x:c r="R793" s="24" t="n">
        <x:f>IFERROR(F793/H793,0)</x:f>
        <x:v>0</x:v>
      </x:c>
      <x:c r="S793" s="24" t="n">
        <x:f>IFERROR(F793/J793,0)</x:f>
        <x:v>0</x:v>
      </x:c>
      <x:c r="T793" s="28" t="n">
        <x:f>H793-I793</x:f>
        <x:v>-9</x:v>
      </x:c>
      <x:c r="U793" s="24" t="n">
        <x:f>IFERROR(J793/H793,0)-IFERROR(K793/I793,0)</x:f>
        <x:v>-0.28846153846153844</x:v>
      </x:c>
      <x:c r="V793" s="24" t="n">
        <x:f>IFERROR(F793/J793,0)-IFERROR(G793/K793,0)</x:f>
        <x:v>0</x:v>
      </x:c>
      <x:c r="W793" s="28" t="n">
        <x:f>L793-M793</x:f>
        <x:v>-4</x:v>
      </x:c>
      <x:c r="X793" s="24" t="n">
        <x:f>IFERROR(K793/I793,0)</x:f>
        <x:v>0.5384615384615384</x:v>
      </x:c>
      <x:c r="Y793" s="24" t="n">
        <x:f>IFERROR(G793/I793,0)</x:f>
        <x:v>0</x:v>
      </x:c>
      <x:c r="Z793" s="24" t="n">
        <x:f>IFERROR(G793/K793,0)</x:f>
        <x:v>0</x:v>
      </x:c>
      <x:c r="AA793" s="24" t="n">
        <x:f>IFERROR(F793/H793,0)-IFERROR(G793/I793,0)</x:f>
        <x:v>0</x:v>
      </x:c>
      <x:c r="AB793" s="28" t="n">
        <x:f>J793-K793</x:f>
        <x:v>-6</x:v>
      </x:c>
      <x:c r="AC793" s="32" t="n">
        <x:f>F793-G793</x:f>
        <x:v>0</x:v>
      </x:c>
    </x:row>
    <x:row r="794">
      <x:c r="A794" s="4" t="str">
        <x:v>2022-23</x:v>
      </x:c>
      <x:c r="B794" s="20" t="n">
        <x:v>44786</x:v>
      </x:c>
      <x:c r="C794" s="4" t="str">
        <x:v>Southampton</x:v>
      </x:c>
      <x:c r="D794" s="4" t="str">
        <x:v>Leeds</x:v>
      </x:c>
      <x:c r="E794" s="4" t="str">
        <x:v>Home</x:v>
      </x:c>
      <x:c r="F794" s="28" t="n">
        <x:v>2</x:v>
      </x:c>
      <x:c r="G794" s="28" t="n">
        <x:v>2</x:v>
      </x:c>
      <x:c r="H794" s="28" t="n">
        <x:v>14</x:v>
      </x:c>
      <x:c r="I794" s="28" t="n">
        <x:v>13</x:v>
      </x:c>
      <x:c r="J794" s="28" t="n">
        <x:v>4</x:v>
      </x:c>
      <x:c r="K794" s="28" t="n">
        <x:v>5</x:v>
      </x:c>
      <x:c r="L794" s="28" t="n">
        <x:v>2</x:v>
      </x:c>
      <x:c r="M794" s="28" t="n">
        <x:v>5</x:v>
      </x:c>
      <x:c r="N794" s="28" t="n">
        <x:v>1</x:v>
      </x:c>
      <x:c r="O794" s="28" t="n">
        <x:v>0</x:v>
      </x:c>
      <x:c r="P794" s="28" t="n">
        <x:v>1</x:v>
      </x:c>
      <x:c r="Q794" s="24" t="n">
        <x:f>IFERROR(J794/H794,0)</x:f>
        <x:v>0.2857142857142857</x:v>
      </x:c>
      <x:c r="R794" s="24" t="n">
        <x:f>IFERROR(F794/H794,0)</x:f>
        <x:v>0.14285714285714285</x:v>
      </x:c>
      <x:c r="S794" s="24" t="n">
        <x:f>IFERROR(F794/J794,0)</x:f>
        <x:v>0.5</x:v>
      </x:c>
      <x:c r="T794" s="28" t="n">
        <x:f>H794-I794</x:f>
        <x:v>1</x:v>
      </x:c>
      <x:c r="U794" s="24" t="n">
        <x:f>IFERROR(J794/H794,0)-IFERROR(K794/I794,0)</x:f>
        <x:v>-0.09890109890109894</x:v>
      </x:c>
      <x:c r="V794" s="24" t="n">
        <x:f>IFERROR(F794/J794,0)-IFERROR(G794/K794,0)</x:f>
        <x:v>0.09999999999999998</x:v>
      </x:c>
      <x:c r="W794" s="28" t="n">
        <x:f>L794-M794</x:f>
        <x:v>-3</x:v>
      </x:c>
      <x:c r="X794" s="24" t="n">
        <x:f>IFERROR(K794/I794,0)</x:f>
        <x:v>0.38461538461538464</x:v>
      </x:c>
      <x:c r="Y794" s="24" t="n">
        <x:f>IFERROR(G794/I794,0)</x:f>
        <x:v>0.15384615384615385</x:v>
      </x:c>
      <x:c r="Z794" s="24" t="n">
        <x:f>IFERROR(G794/K794,0)</x:f>
        <x:v>0.4</x:v>
      </x:c>
      <x:c r="AA794" s="24" t="n">
        <x:f>IFERROR(F794/H794,0)-IFERROR(G794/I794,0)</x:f>
        <x:v>-0.010989010989011005</x:v>
      </x:c>
      <x:c r="AB794" s="28" t="n">
        <x:f>J794-K794</x:f>
        <x:v>-1</x:v>
      </x:c>
      <x:c r="AC794" s="32" t="n">
        <x:f>F794-G794</x:f>
        <x:v>0</x:v>
      </x:c>
    </x:row>
    <x:row r="795">
      <x:c r="A795" s="4" t="str">
        <x:v>2022-23</x:v>
      </x:c>
      <x:c r="B795" s="20" t="n">
        <x:v>44786</x:v>
      </x:c>
      <x:c r="C795" s="4" t="str">
        <x:v>Wolves</x:v>
      </x:c>
      <x:c r="D795" s="4" t="str">
        <x:v>Fulham</x:v>
      </x:c>
      <x:c r="E795" s="4" t="str">
        <x:v>Home</x:v>
      </x:c>
      <x:c r="F795" s="28" t="n">
        <x:v>0</x:v>
      </x:c>
      <x:c r="G795" s="28" t="n">
        <x:v>0</x:v>
      </x:c>
      <x:c r="H795" s="28" t="n">
        <x:v>7</x:v>
      </x:c>
      <x:c r="I795" s="28" t="n">
        <x:v>9</x:v>
      </x:c>
      <x:c r="J795" s="28" t="n">
        <x:v>1</x:v>
      </x:c>
      <x:c r="K795" s="28" t="n">
        <x:v>3</x:v>
      </x:c>
      <x:c r="L795" s="28" t="n">
        <x:v>5</x:v>
      </x:c>
      <x:c r="M795" s="28" t="n">
        <x:v>3</x:v>
      </x:c>
      <x:c r="N795" s="28" t="n">
        <x:v>3</x:v>
      </x:c>
      <x:c r="O795" s="28" t="n">
        <x:v>0</x:v>
      </x:c>
      <x:c r="P795" s="28" t="n">
        <x:v>1</x:v>
      </x:c>
      <x:c r="Q795" s="24" t="n">
        <x:f>IFERROR(J795/H795,0)</x:f>
        <x:v>0.14285714285714285</x:v>
      </x:c>
      <x:c r="R795" s="24" t="n">
        <x:f>IFERROR(F795/H795,0)</x:f>
        <x:v>0</x:v>
      </x:c>
      <x:c r="S795" s="24" t="n">
        <x:f>IFERROR(F795/J795,0)</x:f>
        <x:v>0</x:v>
      </x:c>
      <x:c r="T795" s="28" t="n">
        <x:f>H795-I795</x:f>
        <x:v>-2</x:v>
      </x:c>
      <x:c r="U795" s="24" t="n">
        <x:f>IFERROR(J795/H795,0)-IFERROR(K795/I795,0)</x:f>
        <x:v>-0.19047619047619047</x:v>
      </x:c>
      <x:c r="V795" s="24" t="n">
        <x:f>IFERROR(F795/J795,0)-IFERROR(G795/K795,0)</x:f>
        <x:v>0</x:v>
      </x:c>
      <x:c r="W795" s="28" t="n">
        <x:f>L795-M795</x:f>
        <x:v>2</x:v>
      </x:c>
      <x:c r="X795" s="24" t="n">
        <x:f>IFERROR(K795/I795,0)</x:f>
        <x:v>0.3333333333333333</x:v>
      </x:c>
      <x:c r="Y795" s="24" t="n">
        <x:f>IFERROR(G795/I795,0)</x:f>
        <x:v>0</x:v>
      </x:c>
      <x:c r="Z795" s="24" t="n">
        <x:f>IFERROR(G795/K795,0)</x:f>
        <x:v>0</x:v>
      </x:c>
      <x:c r="AA795" s="24" t="n">
        <x:f>IFERROR(F795/H795,0)-IFERROR(G795/I795,0)</x:f>
        <x:v>0</x:v>
      </x:c>
      <x:c r="AB795" s="28" t="n">
        <x:f>J795-K795</x:f>
        <x:v>-2</x:v>
      </x:c>
      <x:c r="AC795" s="32" t="n">
        <x:f>F795-G795</x:f>
        <x:v>0</x:v>
      </x:c>
    </x:row>
    <x:row r="796">
      <x:c r="A796" s="4" t="str">
        <x:v>2022-23</x:v>
      </x:c>
      <x:c r="B796" s="20" t="n">
        <x:v>44787</x:v>
      </x:c>
      <x:c r="C796" s="4" t="str">
        <x:v>Chelsea</x:v>
      </x:c>
      <x:c r="D796" s="4" t="str">
        <x:v>Tottenham</x:v>
      </x:c>
      <x:c r="E796" s="4" t="str">
        <x:v>Home</x:v>
      </x:c>
      <x:c r="F796" s="28" t="n">
        <x:v>2</x:v>
      </x:c>
      <x:c r="G796" s="28" t="n">
        <x:v>2</x:v>
      </x:c>
      <x:c r="H796" s="28" t="n">
        <x:v>16</x:v>
      </x:c>
      <x:c r="I796" s="28" t="n">
        <x:v>10</x:v>
      </x:c>
      <x:c r="J796" s="28" t="n">
        <x:v>3</x:v>
      </x:c>
      <x:c r="K796" s="28" t="n">
        <x:v>5</x:v>
      </x:c>
      <x:c r="L796" s="28" t="n">
        <x:v>8</x:v>
      </x:c>
      <x:c r="M796" s="28" t="n">
        <x:v>5</x:v>
      </x:c>
      <x:c r="N796" s="28" t="n">
        <x:v>3</x:v>
      </x:c>
      <x:c r="O796" s="28" t="n">
        <x:v>0</x:v>
      </x:c>
      <x:c r="P796" s="28" t="n">
        <x:v>1</x:v>
      </x:c>
      <x:c r="Q796" s="24" t="n">
        <x:f>IFERROR(J796/H796,0)</x:f>
        <x:v>0.1875</x:v>
      </x:c>
      <x:c r="R796" s="24" t="n">
        <x:f>IFERROR(F796/H796,0)</x:f>
        <x:v>0.125</x:v>
      </x:c>
      <x:c r="S796" s="24" t="n">
        <x:f>IFERROR(F796/J796,0)</x:f>
        <x:v>0.6666666666666666</x:v>
      </x:c>
      <x:c r="T796" s="28" t="n">
        <x:f>H796-I796</x:f>
        <x:v>6</x:v>
      </x:c>
      <x:c r="U796" s="24" t="n">
        <x:f>IFERROR(J796/H796,0)-IFERROR(K796/I796,0)</x:f>
        <x:v>-0.3125</x:v>
      </x:c>
      <x:c r="V796" s="24" t="n">
        <x:f>IFERROR(F796/J796,0)-IFERROR(G796/K796,0)</x:f>
        <x:v>0.2666666666666666</x:v>
      </x:c>
      <x:c r="W796" s="28" t="n">
        <x:f>L796-M796</x:f>
        <x:v>3</x:v>
      </x:c>
      <x:c r="X796" s="24" t="n">
        <x:f>IFERROR(K796/I796,0)</x:f>
        <x:v>0.5</x:v>
      </x:c>
      <x:c r="Y796" s="24" t="n">
        <x:f>IFERROR(G796/I796,0)</x:f>
        <x:v>0.2</x:v>
      </x:c>
      <x:c r="Z796" s="24" t="n">
        <x:f>IFERROR(G796/K796,0)</x:f>
        <x:v>0.4</x:v>
      </x:c>
      <x:c r="AA796" s="24" t="n">
        <x:f>IFERROR(F796/H796,0)-IFERROR(G796/I796,0)</x:f>
        <x:v>-0.07500000000000001</x:v>
      </x:c>
      <x:c r="AB796" s="28" t="n">
        <x:f>J796-K796</x:f>
        <x:v>-2</x:v>
      </x:c>
      <x:c r="AC796" s="32" t="n">
        <x:f>F796-G796</x:f>
        <x:v>0</x:v>
      </x:c>
    </x:row>
    <x:row r="797">
      <x:c r="A797" s="4" t="str">
        <x:v>2022-23</x:v>
      </x:c>
      <x:c r="B797" s="20" t="n">
        <x:v>44787</x:v>
      </x:c>
      <x:c r="C797" s="4" t="str">
        <x:v>Nott'm Forest</x:v>
      </x:c>
      <x:c r="D797" s="4" t="str">
        <x:v>West Ham</x:v>
      </x:c>
      <x:c r="E797" s="4" t="str">
        <x:v>Home</x:v>
      </x:c>
      <x:c r="F797" s="28" t="n">
        <x:v>1</x:v>
      </x:c>
      <x:c r="G797" s="28" t="n">
        <x:v>0</x:v>
      </x:c>
      <x:c r="H797" s="28" t="n">
        <x:v>13</x:v>
      </x:c>
      <x:c r="I797" s="28" t="n">
        <x:v>19</x:v>
      </x:c>
      <x:c r="J797" s="28" t="n">
        <x:v>6</x:v>
      </x:c>
      <x:c r="K797" s="28" t="n">
        <x:v>5</x:v>
      </x:c>
      <x:c r="L797" s="28" t="n">
        <x:v>6</x:v>
      </x:c>
      <x:c r="M797" s="28" t="n">
        <x:v>7</x:v>
      </x:c>
      <x:c r="N797" s="28" t="n">
        <x:v>4</x:v>
      </x:c>
      <x:c r="O797" s="28" t="n">
        <x:v>0</x:v>
      </x:c>
      <x:c r="P797" s="28" t="n">
        <x:v>3</x:v>
      </x:c>
      <x:c r="Q797" s="24" t="n">
        <x:f>IFERROR(J797/H797,0)</x:f>
        <x:v>0.46153846153846156</x:v>
      </x:c>
      <x:c r="R797" s="24" t="n">
        <x:f>IFERROR(F797/H797,0)</x:f>
        <x:v>0.07692307692307693</x:v>
      </x:c>
      <x:c r="S797" s="24" t="n">
        <x:f>IFERROR(F797/J797,0)</x:f>
        <x:v>0.16666666666666666</x:v>
      </x:c>
      <x:c r="T797" s="28" t="n">
        <x:f>H797-I797</x:f>
        <x:v>-6</x:v>
      </x:c>
      <x:c r="U797" s="24" t="n">
        <x:f>IFERROR(J797/H797,0)-IFERROR(K797/I797,0)</x:f>
        <x:v>0.19838056680161947</x:v>
      </x:c>
      <x:c r="V797" s="24" t="n">
        <x:f>IFERROR(F797/J797,0)-IFERROR(G797/K797,0)</x:f>
        <x:v>0.16666666666666666</x:v>
      </x:c>
      <x:c r="W797" s="28" t="n">
        <x:f>L797-M797</x:f>
        <x:v>-1</x:v>
      </x:c>
      <x:c r="X797" s="24" t="n">
        <x:f>IFERROR(K797/I797,0)</x:f>
        <x:v>0.2631578947368421</x:v>
      </x:c>
      <x:c r="Y797" s="24" t="n">
        <x:f>IFERROR(G797/I797,0)</x:f>
        <x:v>0</x:v>
      </x:c>
      <x:c r="Z797" s="24" t="n">
        <x:f>IFERROR(G797/K797,0)</x:f>
        <x:v>0</x:v>
      </x:c>
      <x:c r="AA797" s="24" t="n">
        <x:f>IFERROR(F797/H797,0)-IFERROR(G797/I797,0)</x:f>
        <x:v>0.07692307692307693</x:v>
      </x:c>
      <x:c r="AB797" s="28" t="n">
        <x:f>J797-K797</x:f>
        <x:v>1</x:v>
      </x:c>
      <x:c r="AC797" s="32" t="n">
        <x:f>F797-G797</x:f>
        <x:v>1</x:v>
      </x:c>
    </x:row>
    <x:row r="798">
      <x:c r="A798" s="4" t="str">
        <x:v>2022-23</x:v>
      </x:c>
      <x:c r="B798" s="20" t="n">
        <x:v>44787</x:v>
      </x:c>
      <x:c r="C798" s="4" t="str">
        <x:v>Tottenham</x:v>
      </x:c>
      <x:c r="D798" s="4" t="str">
        <x:v>Chelsea</x:v>
      </x:c>
      <x:c r="E798" s="4" t="str">
        <x:v>Away</x:v>
      </x:c>
      <x:c r="F798" s="28" t="n">
        <x:v>2</x:v>
      </x:c>
      <x:c r="G798" s="28" t="n">
        <x:v>2</x:v>
      </x:c>
      <x:c r="H798" s="28" t="n">
        <x:v>10</x:v>
      </x:c>
      <x:c r="I798" s="28" t="n">
        <x:v>16</x:v>
      </x:c>
      <x:c r="J798" s="28" t="n">
        <x:v>5</x:v>
      </x:c>
      <x:c r="K798" s="28" t="n">
        <x:v>3</x:v>
      </x:c>
      <x:c r="L798" s="28" t="n">
        <x:v>5</x:v>
      </x:c>
      <x:c r="M798" s="28" t="n">
        <x:v>8</x:v>
      </x:c>
      <x:c r="N798" s="28" t="n">
        <x:v>0</x:v>
      </x:c>
      <x:c r="O798" s="28" t="n">
        <x:v>0</x:v>
      </x:c>
      <x:c r="P798" s="28" t="n">
        <x:v>1</x:v>
      </x:c>
      <x:c r="Q798" s="24" t="n">
        <x:f>IFERROR(J798/H798,0)</x:f>
        <x:v>0.5</x:v>
      </x:c>
      <x:c r="R798" s="24" t="n">
        <x:f>IFERROR(F798/H798,0)</x:f>
        <x:v>0.2</x:v>
      </x:c>
      <x:c r="S798" s="24" t="n">
        <x:f>IFERROR(F798/J798,0)</x:f>
        <x:v>0.4</x:v>
      </x:c>
      <x:c r="T798" s="28" t="n">
        <x:f>H798-I798</x:f>
        <x:v>-6</x:v>
      </x:c>
      <x:c r="U798" s="24" t="n">
        <x:f>IFERROR(J798/H798,0)-IFERROR(K798/I798,0)</x:f>
        <x:v>0.3125</x:v>
      </x:c>
      <x:c r="V798" s="24" t="n">
        <x:f>IFERROR(F798/J798,0)-IFERROR(G798/K798,0)</x:f>
        <x:v>-0.2666666666666666</x:v>
      </x:c>
      <x:c r="W798" s="28" t="n">
        <x:f>L798-M798</x:f>
        <x:v>-3</x:v>
      </x:c>
      <x:c r="X798" s="24" t="n">
        <x:f>IFERROR(K798/I798,0)</x:f>
        <x:v>0.1875</x:v>
      </x:c>
      <x:c r="Y798" s="24" t="n">
        <x:f>IFERROR(G798/I798,0)</x:f>
        <x:v>0.125</x:v>
      </x:c>
      <x:c r="Z798" s="24" t="n">
        <x:f>IFERROR(G798/K798,0)</x:f>
        <x:v>0.6666666666666666</x:v>
      </x:c>
      <x:c r="AA798" s="24" t="n">
        <x:f>IFERROR(F798/H798,0)-IFERROR(G798/I798,0)</x:f>
        <x:v>0.07500000000000001</x:v>
      </x:c>
      <x:c r="AB798" s="28" t="n">
        <x:f>J798-K798</x:f>
        <x:v>2</x:v>
      </x:c>
      <x:c r="AC798" s="32" t="n">
        <x:f>F798-G798</x:f>
        <x:v>0</x:v>
      </x:c>
    </x:row>
    <x:row r="799">
      <x:c r="A799" s="4" t="str">
        <x:v>2022-23</x:v>
      </x:c>
      <x:c r="B799" s="20" t="n">
        <x:v>44787</x:v>
      </x:c>
      <x:c r="C799" s="4" t="str">
        <x:v>West Ham</x:v>
      </x:c>
      <x:c r="D799" s="4" t="str">
        <x:v>Nott'm Forest</x:v>
      </x:c>
      <x:c r="E799" s="4" t="str">
        <x:v>Away</x:v>
      </x:c>
      <x:c r="F799" s="28" t="n">
        <x:v>0</x:v>
      </x:c>
      <x:c r="G799" s="28" t="n">
        <x:v>1</x:v>
      </x:c>
      <x:c r="H799" s="28" t="n">
        <x:v>19</x:v>
      </x:c>
      <x:c r="I799" s="28" t="n">
        <x:v>13</x:v>
      </x:c>
      <x:c r="J799" s="28" t="n">
        <x:v>5</x:v>
      </x:c>
      <x:c r="K799" s="28" t="n">
        <x:v>6</x:v>
      </x:c>
      <x:c r="L799" s="28" t="n">
        <x:v>7</x:v>
      </x:c>
      <x:c r="M799" s="28" t="n">
        <x:v>6</x:v>
      </x:c>
      <x:c r="N799" s="28" t="n">
        <x:v>1</x:v>
      </x:c>
      <x:c r="O799" s="28" t="n">
        <x:v>0</x:v>
      </x:c>
      <x:c r="P799" s="28" t="n">
        <x:v>0</x:v>
      </x:c>
      <x:c r="Q799" s="24" t="n">
        <x:f>IFERROR(J799/H799,0)</x:f>
        <x:v>0.2631578947368421</x:v>
      </x:c>
      <x:c r="R799" s="24" t="n">
        <x:f>IFERROR(F799/H799,0)</x:f>
        <x:v>0</x:v>
      </x:c>
      <x:c r="S799" s="24" t="n">
        <x:f>IFERROR(F799/J799,0)</x:f>
        <x:v>0</x:v>
      </x:c>
      <x:c r="T799" s="28" t="n">
        <x:f>H799-I799</x:f>
        <x:v>6</x:v>
      </x:c>
      <x:c r="U799" s="24" t="n">
        <x:f>IFERROR(J799/H799,0)-IFERROR(K799/I799,0)</x:f>
        <x:v>-0.19838056680161947</x:v>
      </x:c>
      <x:c r="V799" s="24" t="n">
        <x:f>IFERROR(F799/J799,0)-IFERROR(G799/K799,0)</x:f>
        <x:v>-0.16666666666666666</x:v>
      </x:c>
      <x:c r="W799" s="28" t="n">
        <x:f>L799-M799</x:f>
        <x:v>1</x:v>
      </x:c>
      <x:c r="X799" s="24" t="n">
        <x:f>IFERROR(K799/I799,0)</x:f>
        <x:v>0.46153846153846156</x:v>
      </x:c>
      <x:c r="Y799" s="24" t="n">
        <x:f>IFERROR(G799/I799,0)</x:f>
        <x:v>0.07692307692307693</x:v>
      </x:c>
      <x:c r="Z799" s="24" t="n">
        <x:f>IFERROR(G799/K799,0)</x:f>
        <x:v>0.16666666666666666</x:v>
      </x:c>
      <x:c r="AA799" s="24" t="n">
        <x:f>IFERROR(F799/H799,0)-IFERROR(G799/I799,0)</x:f>
        <x:v>-0.07692307692307693</x:v>
      </x:c>
      <x:c r="AB799" s="28" t="n">
        <x:f>J799-K799</x:f>
        <x:v>-1</x:v>
      </x:c>
      <x:c r="AC799" s="32" t="n">
        <x:f>F799-G799</x:f>
        <x:v>-1</x:v>
      </x:c>
    </x:row>
    <x:row r="800">
      <x:c r="A800" s="4" t="str">
        <x:v>2022-23</x:v>
      </x:c>
      <x:c r="B800" s="20" t="n">
        <x:v>44788</x:v>
      </x:c>
      <x:c r="C800" s="4" t="str">
        <x:v>Crystal Palace</x:v>
      </x:c>
      <x:c r="D800" s="4" t="str">
        <x:v>Liverpool</x:v>
      </x:c>
      <x:c r="E800" s="4" t="str">
        <x:v>Away</x:v>
      </x:c>
      <x:c r="F800" s="28" t="n">
        <x:v>1</x:v>
      </x:c>
      <x:c r="G800" s="28" t="n">
        <x:v>1</x:v>
      </x:c>
      <x:c r="H800" s="28" t="n">
        <x:v>7</x:v>
      </x:c>
      <x:c r="I800" s="28" t="n">
        <x:v>24</x:v>
      </x:c>
      <x:c r="J800" s="28" t="n">
        <x:v>3</x:v>
      </x:c>
      <x:c r="K800" s="28" t="n">
        <x:v>4</x:v>
      </x:c>
      <x:c r="L800" s="28" t="n">
        <x:v>2</x:v>
      </x:c>
      <x:c r="M800" s="28" t="n">
        <x:v>4</x:v>
      </x:c>
      <x:c r="N800" s="28" t="n">
        <x:v>4</x:v>
      </x:c>
      <x:c r="O800" s="28" t="n">
        <x:v>0</x:v>
      </x:c>
      <x:c r="P800" s="28" t="n">
        <x:v>1</x:v>
      </x:c>
      <x:c r="Q800" s="24" t="n">
        <x:f>IFERROR(J800/H800,0)</x:f>
        <x:v>0.42857142857142855</x:v>
      </x:c>
      <x:c r="R800" s="24" t="n">
        <x:f>IFERROR(F800/H800,0)</x:f>
        <x:v>0.14285714285714285</x:v>
      </x:c>
      <x:c r="S800" s="24" t="n">
        <x:f>IFERROR(F800/J800,0)</x:f>
        <x:v>0.3333333333333333</x:v>
      </x:c>
      <x:c r="T800" s="28" t="n">
        <x:f>H800-I800</x:f>
        <x:v>-17</x:v>
      </x:c>
      <x:c r="U800" s="24" t="n">
        <x:f>IFERROR(J800/H800,0)-IFERROR(K800/I800,0)</x:f>
        <x:v>0.26190476190476186</x:v>
      </x:c>
      <x:c r="V800" s="24" t="n">
        <x:f>IFERROR(F800/J800,0)-IFERROR(G800/K800,0)</x:f>
        <x:v>0.08333333333333331</x:v>
      </x:c>
      <x:c r="W800" s="28" t="n">
        <x:f>L800-M800</x:f>
        <x:v>-2</x:v>
      </x:c>
      <x:c r="X800" s="24" t="n">
        <x:f>IFERROR(K800/I800,0)</x:f>
        <x:v>0.16666666666666666</x:v>
      </x:c>
      <x:c r="Y800" s="24" t="n">
        <x:f>IFERROR(G800/I800,0)</x:f>
        <x:v>0.041666666666666664</x:v>
      </x:c>
      <x:c r="Z800" s="24" t="n">
        <x:f>IFERROR(G800/K800,0)</x:f>
        <x:v>0.25</x:v>
      </x:c>
      <x:c r="AA800" s="24" t="n">
        <x:f>IFERROR(F800/H800,0)-IFERROR(G800/I800,0)</x:f>
        <x:v>0.10119047619047619</x:v>
      </x:c>
      <x:c r="AB800" s="28" t="n">
        <x:f>J800-K800</x:f>
        <x:v>-1</x:v>
      </x:c>
      <x:c r="AC800" s="32" t="n">
        <x:f>F800-G800</x:f>
        <x:v>0</x:v>
      </x:c>
    </x:row>
    <x:row r="801">
      <x:c r="A801" s="4" t="str">
        <x:v>2022-23</x:v>
      </x:c>
      <x:c r="B801" s="20" t="n">
        <x:v>44788</x:v>
      </x:c>
      <x:c r="C801" s="4" t="str">
        <x:v>Liverpool</x:v>
      </x:c>
      <x:c r="D801" s="4" t="str">
        <x:v>Crystal Palace</x:v>
      </x:c>
      <x:c r="E801" s="4" t="str">
        <x:v>Home</x:v>
      </x:c>
      <x:c r="F801" s="28" t="n">
        <x:v>1</x:v>
      </x:c>
      <x:c r="G801" s="28" t="n">
        <x:v>1</x:v>
      </x:c>
      <x:c r="H801" s="28" t="n">
        <x:v>24</x:v>
      </x:c>
      <x:c r="I801" s="28" t="n">
        <x:v>7</x:v>
      </x:c>
      <x:c r="J801" s="28" t="n">
        <x:v>4</x:v>
      </x:c>
      <x:c r="K801" s="28" t="n">
        <x:v>3</x:v>
      </x:c>
      <x:c r="L801" s="28" t="n">
        <x:v>4</x:v>
      </x:c>
      <x:c r="M801" s="28" t="n">
        <x:v>2</x:v>
      </x:c>
      <x:c r="N801" s="28" t="n">
        <x:v>2</x:v>
      </x:c>
      <x:c r="O801" s="28" t="n">
        <x:v>1</x:v>
      </x:c>
      <x:c r="P801" s="28" t="n">
        <x:v>1</x:v>
      </x:c>
      <x:c r="Q801" s="24" t="n">
        <x:f>IFERROR(J801/H801,0)</x:f>
        <x:v>0.16666666666666666</x:v>
      </x:c>
      <x:c r="R801" s="24" t="n">
        <x:f>IFERROR(F801/H801,0)</x:f>
        <x:v>0.041666666666666664</x:v>
      </x:c>
      <x:c r="S801" s="24" t="n">
        <x:f>IFERROR(F801/J801,0)</x:f>
        <x:v>0.25</x:v>
      </x:c>
      <x:c r="T801" s="28" t="n">
        <x:f>H801-I801</x:f>
        <x:v>17</x:v>
      </x:c>
      <x:c r="U801" s="24" t="n">
        <x:f>IFERROR(J801/H801,0)-IFERROR(K801/I801,0)</x:f>
        <x:v>-0.26190476190476186</x:v>
      </x:c>
      <x:c r="V801" s="24" t="n">
        <x:f>IFERROR(F801/J801,0)-IFERROR(G801/K801,0)</x:f>
        <x:v>-0.08333333333333331</x:v>
      </x:c>
      <x:c r="W801" s="28" t="n">
        <x:f>L801-M801</x:f>
        <x:v>2</x:v>
      </x:c>
      <x:c r="X801" s="24" t="n">
        <x:f>IFERROR(K801/I801,0)</x:f>
        <x:v>0.42857142857142855</x:v>
      </x:c>
      <x:c r="Y801" s="24" t="n">
        <x:f>IFERROR(G801/I801,0)</x:f>
        <x:v>0.14285714285714285</x:v>
      </x:c>
      <x:c r="Z801" s="24" t="n">
        <x:f>IFERROR(G801/K801,0)</x:f>
        <x:v>0.3333333333333333</x:v>
      </x:c>
      <x:c r="AA801" s="24" t="n">
        <x:f>IFERROR(F801/H801,0)-IFERROR(G801/I801,0)</x:f>
        <x:v>-0.10119047619047619</x:v>
      </x:c>
      <x:c r="AB801" s="28" t="n">
        <x:f>J801-K801</x:f>
        <x:v>1</x:v>
      </x:c>
      <x:c r="AC801" s="32" t="n">
        <x:f>F801-G801</x:f>
        <x:v>0</x:v>
      </x:c>
    </x:row>
    <x:row r="802">
      <x:c r="A802" s="4" t="str">
        <x:v>2022-23</x:v>
      </x:c>
      <x:c r="B802" s="20" t="n">
        <x:v>44793</x:v>
      </x:c>
      <x:c r="C802" s="4" t="str">
        <x:v>Arsenal</x:v>
      </x:c>
      <x:c r="D802" s="4" t="str">
        <x:v>Bournemouth</x:v>
      </x:c>
      <x:c r="E802" s="4" t="str">
        <x:v>Away</x:v>
      </x:c>
      <x:c r="F802" s="28" t="n">
        <x:v>3</x:v>
      </x:c>
      <x:c r="G802" s="28" t="n">
        <x:v>0</x:v>
      </x:c>
      <x:c r="H802" s="28" t="n">
        <x:v>14</x:v>
      </x:c>
      <x:c r="I802" s="28" t="n">
        <x:v>6</x:v>
      </x:c>
      <x:c r="J802" s="28" t="n">
        <x:v>6</x:v>
      </x:c>
      <x:c r="K802" s="28" t="n">
        <x:v>1</x:v>
      </x:c>
      <x:c r="L802" s="28" t="n">
        <x:v>4</x:v>
      </x:c>
      <x:c r="M802" s="28" t="n">
        <x:v>3</x:v>
      </x:c>
      <x:c r="N802" s="28" t="n">
        <x:v>1</x:v>
      </x:c>
      <x:c r="O802" s="28" t="n">
        <x:v>0</x:v>
      </x:c>
      <x:c r="P802" s="28" t="n">
        <x:v>3</x:v>
      </x:c>
      <x:c r="Q802" s="24" t="n">
        <x:f>IFERROR(J802/H802,0)</x:f>
        <x:v>0.42857142857142855</x:v>
      </x:c>
      <x:c r="R802" s="24" t="n">
        <x:f>IFERROR(F802/H802,0)</x:f>
        <x:v>0.21428571428571427</x:v>
      </x:c>
      <x:c r="S802" s="24" t="n">
        <x:f>IFERROR(F802/J802,0)</x:f>
        <x:v>0.5</x:v>
      </x:c>
      <x:c r="T802" s="28" t="n">
        <x:f>H802-I802</x:f>
        <x:v>8</x:v>
      </x:c>
      <x:c r="U802" s="24" t="n">
        <x:f>IFERROR(J802/H802,0)-IFERROR(K802/I802,0)</x:f>
        <x:v>0.26190476190476186</x:v>
      </x:c>
      <x:c r="V802" s="24" t="n">
        <x:f>IFERROR(F802/J802,0)-IFERROR(G802/K802,0)</x:f>
        <x:v>0.5</x:v>
      </x:c>
      <x:c r="W802" s="28" t="n">
        <x:f>L802-M802</x:f>
        <x:v>1</x:v>
      </x:c>
      <x:c r="X802" s="24" t="n">
        <x:f>IFERROR(K802/I802,0)</x:f>
        <x:v>0.16666666666666666</x:v>
      </x:c>
      <x:c r="Y802" s="24" t="n">
        <x:f>IFERROR(G802/I802,0)</x:f>
        <x:v>0</x:v>
      </x:c>
      <x:c r="Z802" s="24" t="n">
        <x:f>IFERROR(G802/K802,0)</x:f>
        <x:v>0</x:v>
      </x:c>
      <x:c r="AA802" s="24" t="n">
        <x:f>IFERROR(F802/H802,0)-IFERROR(G802/I802,0)</x:f>
        <x:v>0.21428571428571427</x:v>
      </x:c>
      <x:c r="AB802" s="28" t="n">
        <x:f>J802-K802</x:f>
        <x:v>5</x:v>
      </x:c>
      <x:c r="AC802" s="32" t="n">
        <x:f>F802-G802</x:f>
        <x:v>3</x:v>
      </x:c>
    </x:row>
    <x:row r="803">
      <x:c r="A803" s="4" t="str">
        <x:v>2022-23</x:v>
      </x:c>
      <x:c r="B803" s="20" t="n">
        <x:v>44793</x:v>
      </x:c>
      <x:c r="C803" s="4" t="str">
        <x:v>Aston Villa</x:v>
      </x:c>
      <x:c r="D803" s="4" t="str">
        <x:v>Crystal Palace</x:v>
      </x:c>
      <x:c r="E803" s="4" t="str">
        <x:v>Away</x:v>
      </x:c>
      <x:c r="F803" s="28" t="n">
        <x:v>1</x:v>
      </x:c>
      <x:c r="G803" s="28" t="n">
        <x:v>3</x:v>
      </x:c>
      <x:c r="H803" s="28" t="n">
        <x:v>13</x:v>
      </x:c>
      <x:c r="I803" s="28" t="n">
        <x:v>17</x:v>
      </x:c>
      <x:c r="J803" s="28" t="n">
        <x:v>5</x:v>
      </x:c>
      <x:c r="K803" s="28" t="n">
        <x:v>9</x:v>
      </x:c>
      <x:c r="L803" s="28" t="n">
        <x:v>2</x:v>
      </x:c>
      <x:c r="M803" s="28" t="n">
        <x:v>4</x:v>
      </x:c>
      <x:c r="N803" s="28" t="n">
        <x:v>1</x:v>
      </x:c>
      <x:c r="O803" s="28" t="n">
        <x:v>0</x:v>
      </x:c>
      <x:c r="P803" s="28" t="n">
        <x:v>0</x:v>
      </x:c>
      <x:c r="Q803" s="24" t="n">
        <x:f>IFERROR(J803/H803,0)</x:f>
        <x:v>0.38461538461538464</x:v>
      </x:c>
      <x:c r="R803" s="24" t="n">
        <x:f>IFERROR(F803/H803,0)</x:f>
        <x:v>0.07692307692307693</x:v>
      </x:c>
      <x:c r="S803" s="24" t="n">
        <x:f>IFERROR(F803/J803,0)</x:f>
        <x:v>0.2</x:v>
      </x:c>
      <x:c r="T803" s="28" t="n">
        <x:f>H803-I803</x:f>
        <x:v>-4</x:v>
      </x:c>
      <x:c r="U803" s="24" t="n">
        <x:f>IFERROR(J803/H803,0)-IFERROR(K803/I803,0)</x:f>
        <x:v>-0.14479638009049772</x:v>
      </x:c>
      <x:c r="V803" s="24" t="n">
        <x:f>IFERROR(F803/J803,0)-IFERROR(G803/K803,0)</x:f>
        <x:v>-0.1333333333333333</x:v>
      </x:c>
      <x:c r="W803" s="28" t="n">
        <x:f>L803-M803</x:f>
        <x:v>-2</x:v>
      </x:c>
      <x:c r="X803" s="24" t="n">
        <x:f>IFERROR(K803/I803,0)</x:f>
        <x:v>0.5294117647058824</x:v>
      </x:c>
      <x:c r="Y803" s="24" t="n">
        <x:f>IFERROR(G803/I803,0)</x:f>
        <x:v>0.17647058823529413</x:v>
      </x:c>
      <x:c r="Z803" s="24" t="n">
        <x:f>IFERROR(G803/K803,0)</x:f>
        <x:v>0.3333333333333333</x:v>
      </x:c>
      <x:c r="AA803" s="24" t="n">
        <x:f>IFERROR(F803/H803,0)-IFERROR(G803/I803,0)</x:f>
        <x:v>-0.0995475113122172</x:v>
      </x:c>
      <x:c r="AB803" s="28" t="n">
        <x:f>J803-K803</x:f>
        <x:v>-4</x:v>
      </x:c>
      <x:c r="AC803" s="32" t="n">
        <x:f>F803-G803</x:f>
        <x:v>-2</x:v>
      </x:c>
    </x:row>
    <x:row r="804">
      <x:c r="A804" s="4" t="str">
        <x:v>2022-23</x:v>
      </x:c>
      <x:c r="B804" s="20" t="n">
        <x:v>44793</x:v>
      </x:c>
      <x:c r="C804" s="4" t="str">
        <x:v>Bournemouth</x:v>
      </x:c>
      <x:c r="D804" s="4" t="str">
        <x:v>Arsenal</x:v>
      </x:c>
      <x:c r="E804" s="4" t="str">
        <x:v>Home</x:v>
      </x:c>
      <x:c r="F804" s="28" t="n">
        <x:v>0</x:v>
      </x:c>
      <x:c r="G804" s="28" t="n">
        <x:v>3</x:v>
      </x:c>
      <x:c r="H804" s="28" t="n">
        <x:v>6</x:v>
      </x:c>
      <x:c r="I804" s="28" t="n">
        <x:v>14</x:v>
      </x:c>
      <x:c r="J804" s="28" t="n">
        <x:v>1</x:v>
      </x:c>
      <x:c r="K804" s="28" t="n">
        <x:v>6</x:v>
      </x:c>
      <x:c r="L804" s="28" t="n">
        <x:v>3</x:v>
      </x:c>
      <x:c r="M804" s="28" t="n">
        <x:v>4</x:v>
      </x:c>
      <x:c r="N804" s="28" t="n">
        <x:v>2</x:v>
      </x:c>
      <x:c r="O804" s="28" t="n">
        <x:v>0</x:v>
      </x:c>
      <x:c r="P804" s="28" t="n">
        <x:v>0</x:v>
      </x:c>
      <x:c r="Q804" s="24" t="n">
        <x:f>IFERROR(J804/H804,0)</x:f>
        <x:v>0.16666666666666666</x:v>
      </x:c>
      <x:c r="R804" s="24" t="n">
        <x:f>IFERROR(F804/H804,0)</x:f>
        <x:v>0</x:v>
      </x:c>
      <x:c r="S804" s="24" t="n">
        <x:f>IFERROR(F804/J804,0)</x:f>
        <x:v>0</x:v>
      </x:c>
      <x:c r="T804" s="28" t="n">
        <x:f>H804-I804</x:f>
        <x:v>-8</x:v>
      </x:c>
      <x:c r="U804" s="24" t="n">
        <x:f>IFERROR(J804/H804,0)-IFERROR(K804/I804,0)</x:f>
        <x:v>-0.26190476190476186</x:v>
      </x:c>
      <x:c r="V804" s="24" t="n">
        <x:f>IFERROR(F804/J804,0)-IFERROR(G804/K804,0)</x:f>
        <x:v>-0.5</x:v>
      </x:c>
      <x:c r="W804" s="28" t="n">
        <x:f>L804-M804</x:f>
        <x:v>-1</x:v>
      </x:c>
      <x:c r="X804" s="24" t="n">
        <x:f>IFERROR(K804/I804,0)</x:f>
        <x:v>0.42857142857142855</x:v>
      </x:c>
      <x:c r="Y804" s="24" t="n">
        <x:f>IFERROR(G804/I804,0)</x:f>
        <x:v>0.21428571428571427</x:v>
      </x:c>
      <x:c r="Z804" s="24" t="n">
        <x:f>IFERROR(G804/K804,0)</x:f>
        <x:v>0.5</x:v>
      </x:c>
      <x:c r="AA804" s="24" t="n">
        <x:f>IFERROR(F804/H804,0)-IFERROR(G804/I804,0)</x:f>
        <x:v>-0.21428571428571427</x:v>
      </x:c>
      <x:c r="AB804" s="28" t="n">
        <x:f>J804-K804</x:f>
        <x:v>-5</x:v>
      </x:c>
      <x:c r="AC804" s="32" t="n">
        <x:f>F804-G804</x:f>
        <x:v>-3</x:v>
      </x:c>
    </x:row>
    <x:row r="805">
      <x:c r="A805" s="4" t="str">
        <x:v>2022-23</x:v>
      </x:c>
      <x:c r="B805" s="20" t="n">
        <x:v>44793</x:v>
      </x:c>
      <x:c r="C805" s="4" t="str">
        <x:v>Brentford</x:v>
      </x:c>
      <x:c r="D805" s="4" t="str">
        <x:v>Fulham</x:v>
      </x:c>
      <x:c r="E805" s="4" t="str">
        <x:v>Away</x:v>
      </x:c>
      <x:c r="F805" s="28" t="n">
        <x:v>2</x:v>
      </x:c>
      <x:c r="G805" s="28" t="n">
        <x:v>3</x:v>
      </x:c>
      <x:c r="H805" s="28" t="n">
        <x:v>13</x:v>
      </x:c>
      <x:c r="I805" s="28" t="n">
        <x:v>18</x:v>
      </x:c>
      <x:c r="J805" s="28" t="n">
        <x:v>5</x:v>
      </x:c>
      <x:c r="K805" s="28" t="n">
        <x:v>9</x:v>
      </x:c>
      <x:c r="L805" s="28" t="n">
        <x:v>3</x:v>
      </x:c>
      <x:c r="M805" s="28" t="n">
        <x:v>6</x:v>
      </x:c>
      <x:c r="N805" s="28" t="n">
        <x:v>2</x:v>
      </x:c>
      <x:c r="O805" s="28" t="n">
        <x:v>0</x:v>
      </x:c>
      <x:c r="P805" s="28" t="n">
        <x:v>0</x:v>
      </x:c>
      <x:c r="Q805" s="24" t="n">
        <x:f>IFERROR(J805/H805,0)</x:f>
        <x:v>0.38461538461538464</x:v>
      </x:c>
      <x:c r="R805" s="24" t="n">
        <x:f>IFERROR(F805/H805,0)</x:f>
        <x:v>0.15384615384615385</x:v>
      </x:c>
      <x:c r="S805" s="24" t="n">
        <x:f>IFERROR(F805/J805,0)</x:f>
        <x:v>0.4</x:v>
      </x:c>
      <x:c r="T805" s="28" t="n">
        <x:f>H805-I805</x:f>
        <x:v>-5</x:v>
      </x:c>
      <x:c r="U805" s="24" t="n">
        <x:f>IFERROR(J805/H805,0)-IFERROR(K805/I805,0)</x:f>
        <x:v>-0.11538461538461536</x:v>
      </x:c>
      <x:c r="V805" s="24" t="n">
        <x:f>IFERROR(F805/J805,0)-IFERROR(G805/K805,0)</x:f>
        <x:v>0.06666666666666671</x:v>
      </x:c>
      <x:c r="W805" s="28" t="n">
        <x:f>L805-M805</x:f>
        <x:v>-3</x:v>
      </x:c>
      <x:c r="X805" s="24" t="n">
        <x:f>IFERROR(K805/I805,0)</x:f>
        <x:v>0.5</x:v>
      </x:c>
      <x:c r="Y805" s="24" t="n">
        <x:f>IFERROR(G805/I805,0)</x:f>
        <x:v>0.16666666666666666</x:v>
      </x:c>
      <x:c r="Z805" s="24" t="n">
        <x:f>IFERROR(G805/K805,0)</x:f>
        <x:v>0.3333333333333333</x:v>
      </x:c>
      <x:c r="AA805" s="24" t="n">
        <x:f>IFERROR(F805/H805,0)-IFERROR(G805/I805,0)</x:f>
        <x:v>-0.012820512820512803</x:v>
      </x:c>
      <x:c r="AB805" s="28" t="n">
        <x:f>J805-K805</x:f>
        <x:v>-4</x:v>
      </x:c>
      <x:c r="AC805" s="32" t="n">
        <x:f>F805-G805</x:f>
        <x:v>-1</x:v>
      </x:c>
    </x:row>
    <x:row r="806">
      <x:c r="A806" s="4" t="str">
        <x:v>2022-23</x:v>
      </x:c>
      <x:c r="B806" s="20" t="n">
        <x:v>44793</x:v>
      </x:c>
      <x:c r="C806" s="4" t="str">
        <x:v>Crystal Palace</x:v>
      </x:c>
      <x:c r="D806" s="4" t="str">
        <x:v>Aston Villa</x:v>
      </x:c>
      <x:c r="E806" s="4" t="str">
        <x:v>Home</x:v>
      </x:c>
      <x:c r="F806" s="28" t="n">
        <x:v>3</x:v>
      </x:c>
      <x:c r="G806" s="28" t="n">
        <x:v>1</x:v>
      </x:c>
      <x:c r="H806" s="28" t="n">
        <x:v>17</x:v>
      </x:c>
      <x:c r="I806" s="28" t="n">
        <x:v>13</x:v>
      </x:c>
      <x:c r="J806" s="28" t="n">
        <x:v>9</x:v>
      </x:c>
      <x:c r="K806" s="28" t="n">
        <x:v>5</x:v>
      </x:c>
      <x:c r="L806" s="28" t="n">
        <x:v>4</x:v>
      </x:c>
      <x:c r="M806" s="28" t="n">
        <x:v>2</x:v>
      </x:c>
      <x:c r="N806" s="28" t="n">
        <x:v>2</x:v>
      </x:c>
      <x:c r="O806" s="28" t="n">
        <x:v>0</x:v>
      </x:c>
      <x:c r="P806" s="28" t="n">
        <x:v>3</x:v>
      </x:c>
      <x:c r="Q806" s="24" t="n">
        <x:f>IFERROR(J806/H806,0)</x:f>
        <x:v>0.5294117647058824</x:v>
      </x:c>
      <x:c r="R806" s="24" t="n">
        <x:f>IFERROR(F806/H806,0)</x:f>
        <x:v>0.17647058823529413</x:v>
      </x:c>
      <x:c r="S806" s="24" t="n">
        <x:f>IFERROR(F806/J806,0)</x:f>
        <x:v>0.3333333333333333</x:v>
      </x:c>
      <x:c r="T806" s="28" t="n">
        <x:f>H806-I806</x:f>
        <x:v>4</x:v>
      </x:c>
      <x:c r="U806" s="24" t="n">
        <x:f>IFERROR(J806/H806,0)-IFERROR(K806/I806,0)</x:f>
        <x:v>0.14479638009049772</x:v>
      </x:c>
      <x:c r="V806" s="24" t="n">
        <x:f>IFERROR(F806/J806,0)-IFERROR(G806/K806,0)</x:f>
        <x:v>0.1333333333333333</x:v>
      </x:c>
      <x:c r="W806" s="28" t="n">
        <x:f>L806-M806</x:f>
        <x:v>2</x:v>
      </x:c>
      <x:c r="X806" s="24" t="n">
        <x:f>IFERROR(K806/I806,0)</x:f>
        <x:v>0.38461538461538464</x:v>
      </x:c>
      <x:c r="Y806" s="24" t="n">
        <x:f>IFERROR(G806/I806,0)</x:f>
        <x:v>0.07692307692307693</x:v>
      </x:c>
      <x:c r="Z806" s="24" t="n">
        <x:f>IFERROR(G806/K806,0)</x:f>
        <x:v>0.2</x:v>
      </x:c>
      <x:c r="AA806" s="24" t="n">
        <x:f>IFERROR(F806/H806,0)-IFERROR(G806/I806,0)</x:f>
        <x:v>0.0995475113122172</x:v>
      </x:c>
      <x:c r="AB806" s="28" t="n">
        <x:f>J806-K806</x:f>
        <x:v>4</x:v>
      </x:c>
      <x:c r="AC806" s="32" t="n">
        <x:f>F806-G806</x:f>
        <x:v>2</x:v>
      </x:c>
    </x:row>
    <x:row r="807">
      <x:c r="A807" s="4" t="str">
        <x:v>2022-23</x:v>
      </x:c>
      <x:c r="B807" s="20" t="n">
        <x:v>44793</x:v>
      </x:c>
      <x:c r="C807" s="4" t="str">
        <x:v>Everton</x:v>
      </x:c>
      <x:c r="D807" s="4" t="str">
        <x:v>Nott'm Forest</x:v>
      </x:c>
      <x:c r="E807" s="4" t="str">
        <x:v>Home</x:v>
      </x:c>
      <x:c r="F807" s="28" t="n">
        <x:v>1</x:v>
      </x:c>
      <x:c r="G807" s="28" t="n">
        <x:v>1</x:v>
      </x:c>
      <x:c r="H807" s="28" t="n">
        <x:v>19</x:v>
      </x:c>
      <x:c r="I807" s="28" t="n">
        <x:v>14</x:v>
      </x:c>
      <x:c r="J807" s="28" t="n">
        <x:v>8</x:v>
      </x:c>
      <x:c r="K807" s="28" t="n">
        <x:v>5</x:v>
      </x:c>
      <x:c r="L807" s="28" t="n">
        <x:v>6</x:v>
      </x:c>
      <x:c r="M807" s="28" t="n">
        <x:v>2</x:v>
      </x:c>
      <x:c r="N807" s="28" t="n">
        <x:v>3</x:v>
      </x:c>
      <x:c r="O807" s="28" t="n">
        <x:v>0</x:v>
      </x:c>
      <x:c r="P807" s="28" t="n">
        <x:v>1</x:v>
      </x:c>
      <x:c r="Q807" s="24" t="n">
        <x:f>IFERROR(J807/H807,0)</x:f>
        <x:v>0.42105263157894735</x:v>
      </x:c>
      <x:c r="R807" s="24" t="n">
        <x:f>IFERROR(F807/H807,0)</x:f>
        <x:v>0.05263157894736842</x:v>
      </x:c>
      <x:c r="S807" s="24" t="n">
        <x:f>IFERROR(F807/J807,0)</x:f>
        <x:v>0.125</x:v>
      </x:c>
      <x:c r="T807" s="28" t="n">
        <x:f>H807-I807</x:f>
        <x:v>5</x:v>
      </x:c>
      <x:c r="U807" s="24" t="n">
        <x:f>IFERROR(J807/H807,0)-IFERROR(K807/I807,0)</x:f>
        <x:v>0.0639097744360902</x:v>
      </x:c>
      <x:c r="V807" s="24" t="n">
        <x:f>IFERROR(F807/J807,0)-IFERROR(G807/K807,0)</x:f>
        <x:v>-0.07500000000000001</x:v>
      </x:c>
      <x:c r="W807" s="28" t="n">
        <x:f>L807-M807</x:f>
        <x:v>4</x:v>
      </x:c>
      <x:c r="X807" s="24" t="n">
        <x:f>IFERROR(K807/I807,0)</x:f>
        <x:v>0.35714285714285715</x:v>
      </x:c>
      <x:c r="Y807" s="24" t="n">
        <x:f>IFERROR(G807/I807,0)</x:f>
        <x:v>0.07142857142857142</x:v>
      </x:c>
      <x:c r="Z807" s="24" t="n">
        <x:f>IFERROR(G807/K807,0)</x:f>
        <x:v>0.2</x:v>
      </x:c>
      <x:c r="AA807" s="24" t="n">
        <x:f>IFERROR(F807/H807,0)-IFERROR(G807/I807,0)</x:f>
        <x:v>-0.018796992481203006</x:v>
      </x:c>
      <x:c r="AB807" s="28" t="n">
        <x:f>J807-K807</x:f>
        <x:v>3</x:v>
      </x:c>
      <x:c r="AC807" s="32" t="n">
        <x:f>F807-G807</x:f>
        <x:v>0</x:v>
      </x:c>
    </x:row>
    <x:row r="808">
      <x:c r="A808" s="4" t="str">
        <x:v>2022-23</x:v>
      </x:c>
      <x:c r="B808" s="20" t="n">
        <x:v>44793</x:v>
      </x:c>
      <x:c r="C808" s="4" t="str">
        <x:v>Fulham</x:v>
      </x:c>
      <x:c r="D808" s="4" t="str">
        <x:v>Brentford</x:v>
      </x:c>
      <x:c r="E808" s="4" t="str">
        <x:v>Home</x:v>
      </x:c>
      <x:c r="F808" s="28" t="n">
        <x:v>3</x:v>
      </x:c>
      <x:c r="G808" s="28" t="n">
        <x:v>2</x:v>
      </x:c>
      <x:c r="H808" s="28" t="n">
        <x:v>18</x:v>
      </x:c>
      <x:c r="I808" s="28" t="n">
        <x:v>13</x:v>
      </x:c>
      <x:c r="J808" s="28" t="n">
        <x:v>9</x:v>
      </x:c>
      <x:c r="K808" s="28" t="n">
        <x:v>5</x:v>
      </x:c>
      <x:c r="L808" s="28" t="n">
        <x:v>6</x:v>
      </x:c>
      <x:c r="M808" s="28" t="n">
        <x:v>3</x:v>
      </x:c>
      <x:c r="N808" s="28" t="n">
        <x:v>3</x:v>
      </x:c>
      <x:c r="O808" s="28" t="n">
        <x:v>0</x:v>
      </x:c>
      <x:c r="P808" s="28" t="n">
        <x:v>3</x:v>
      </x:c>
      <x:c r="Q808" s="24" t="n">
        <x:f>IFERROR(J808/H808,0)</x:f>
        <x:v>0.5</x:v>
      </x:c>
      <x:c r="R808" s="24" t="n">
        <x:f>IFERROR(F808/H808,0)</x:f>
        <x:v>0.16666666666666666</x:v>
      </x:c>
      <x:c r="S808" s="24" t="n">
        <x:f>IFERROR(F808/J808,0)</x:f>
        <x:v>0.3333333333333333</x:v>
      </x:c>
      <x:c r="T808" s="28" t="n">
        <x:f>H808-I808</x:f>
        <x:v>5</x:v>
      </x:c>
      <x:c r="U808" s="24" t="n">
        <x:f>IFERROR(J808/H808,0)-IFERROR(K808/I808,0)</x:f>
        <x:v>0.11538461538461536</x:v>
      </x:c>
      <x:c r="V808" s="24" t="n">
        <x:f>IFERROR(F808/J808,0)-IFERROR(G808/K808,0)</x:f>
        <x:v>-0.06666666666666671</x:v>
      </x:c>
      <x:c r="W808" s="28" t="n">
        <x:f>L808-M808</x:f>
        <x:v>3</x:v>
      </x:c>
      <x:c r="X808" s="24" t="n">
        <x:f>IFERROR(K808/I808,0)</x:f>
        <x:v>0.38461538461538464</x:v>
      </x:c>
      <x:c r="Y808" s="24" t="n">
        <x:f>IFERROR(G808/I808,0)</x:f>
        <x:v>0.15384615384615385</x:v>
      </x:c>
      <x:c r="Z808" s="24" t="n">
        <x:f>IFERROR(G808/K808,0)</x:f>
        <x:v>0.4</x:v>
      </x:c>
      <x:c r="AA808" s="24" t="n">
        <x:f>IFERROR(F808/H808,0)-IFERROR(G808/I808,0)</x:f>
        <x:v>0.012820512820512803</x:v>
      </x:c>
      <x:c r="AB808" s="28" t="n">
        <x:f>J808-K808</x:f>
        <x:v>4</x:v>
      </x:c>
      <x:c r="AC808" s="32" t="n">
        <x:f>F808-G808</x:f>
        <x:v>1</x:v>
      </x:c>
    </x:row>
    <x:row r="809">
      <x:c r="A809" s="4" t="str">
        <x:v>2022-23</x:v>
      </x:c>
      <x:c r="B809" s="20" t="n">
        <x:v>44793</x:v>
      </x:c>
      <x:c r="C809" s="4" t="str">
        <x:v>Leicester</x:v>
      </x:c>
      <x:c r="D809" s="4" t="str">
        <x:v>Southampton</x:v>
      </x:c>
      <x:c r="E809" s="4" t="str">
        <x:v>Home</x:v>
      </x:c>
      <x:c r="F809" s="28" t="n">
        <x:v>1</x:v>
      </x:c>
      <x:c r="G809" s="28" t="n">
        <x:v>2</x:v>
      </x:c>
      <x:c r="H809" s="28" t="n">
        <x:v>6</x:v>
      </x:c>
      <x:c r="I809" s="28" t="n">
        <x:v>9</x:v>
      </x:c>
      <x:c r="J809" s="28" t="n">
        <x:v>1</x:v>
      </x:c>
      <x:c r="K809" s="28" t="n">
        <x:v>3</x:v>
      </x:c>
      <x:c r="L809" s="28" t="n">
        <x:v>2</x:v>
      </x:c>
      <x:c r="M809" s="28" t="n">
        <x:v>5</x:v>
      </x:c>
      <x:c r="N809" s="28" t="n">
        <x:v>2</x:v>
      </x:c>
      <x:c r="O809" s="28" t="n">
        <x:v>0</x:v>
      </x:c>
      <x:c r="P809" s="28" t="n">
        <x:v>0</x:v>
      </x:c>
      <x:c r="Q809" s="24" t="n">
        <x:f>IFERROR(J809/H809,0)</x:f>
        <x:v>0.16666666666666666</x:v>
      </x:c>
      <x:c r="R809" s="24" t="n">
        <x:f>IFERROR(F809/H809,0)</x:f>
        <x:v>0.16666666666666666</x:v>
      </x:c>
      <x:c r="S809" s="24" t="n">
        <x:f>IFERROR(F809/J809,0)</x:f>
        <x:v>1</x:v>
      </x:c>
      <x:c r="T809" s="28" t="n">
        <x:f>H809-I809</x:f>
        <x:v>-3</x:v>
      </x:c>
      <x:c r="U809" s="24" t="n">
        <x:f>IFERROR(J809/H809,0)-IFERROR(K809/I809,0)</x:f>
        <x:v>-0.16666666666666666</x:v>
      </x:c>
      <x:c r="V809" s="24" t="n">
        <x:f>IFERROR(F809/J809,0)-IFERROR(G809/K809,0)</x:f>
        <x:v>0.33333333333333337</x:v>
      </x:c>
      <x:c r="W809" s="28" t="n">
        <x:f>L809-M809</x:f>
        <x:v>-3</x:v>
      </x:c>
      <x:c r="X809" s="24" t="n">
        <x:f>IFERROR(K809/I809,0)</x:f>
        <x:v>0.3333333333333333</x:v>
      </x:c>
      <x:c r="Y809" s="24" t="n">
        <x:f>IFERROR(G809/I809,0)</x:f>
        <x:v>0.2222222222222222</x:v>
      </x:c>
      <x:c r="Z809" s="24" t="n">
        <x:f>IFERROR(G809/K809,0)</x:f>
        <x:v>0.6666666666666666</x:v>
      </x:c>
      <x:c r="AA809" s="24" t="n">
        <x:f>IFERROR(F809/H809,0)-IFERROR(G809/I809,0)</x:f>
        <x:v>-0.05555555555555555</x:v>
      </x:c>
      <x:c r="AB809" s="28" t="n">
        <x:f>J809-K809</x:f>
        <x:v>-2</x:v>
      </x:c>
      <x:c r="AC809" s="32" t="n">
        <x:f>F809-G809</x:f>
        <x:v>-1</x:v>
      </x:c>
    </x:row>
    <x:row r="810">
      <x:c r="A810" s="4" t="str">
        <x:v>2022-23</x:v>
      </x:c>
      <x:c r="B810" s="20" t="n">
        <x:v>44793</x:v>
      </x:c>
      <x:c r="C810" s="4" t="str">
        <x:v>Nott'm Forest</x:v>
      </x:c>
      <x:c r="D810" s="4" t="str">
        <x:v>Everton</x:v>
      </x:c>
      <x:c r="E810" s="4" t="str">
        <x:v>Away</x:v>
      </x:c>
      <x:c r="F810" s="28" t="n">
        <x:v>1</x:v>
      </x:c>
      <x:c r="G810" s="28" t="n">
        <x:v>1</x:v>
      </x:c>
      <x:c r="H810" s="28" t="n">
        <x:v>14</x:v>
      </x:c>
      <x:c r="I810" s="28" t="n">
        <x:v>19</x:v>
      </x:c>
      <x:c r="J810" s="28" t="n">
        <x:v>5</x:v>
      </x:c>
      <x:c r="K810" s="28" t="n">
        <x:v>8</x:v>
      </x:c>
      <x:c r="L810" s="28" t="n">
        <x:v>2</x:v>
      </x:c>
      <x:c r="M810" s="28" t="n">
        <x:v>6</x:v>
      </x:c>
      <x:c r="N810" s="28" t="n">
        <x:v>2</x:v>
      </x:c>
      <x:c r="O810" s="28" t="n">
        <x:v>0</x:v>
      </x:c>
      <x:c r="P810" s="28" t="n">
        <x:v>1</x:v>
      </x:c>
      <x:c r="Q810" s="24" t="n">
        <x:f>IFERROR(J810/H810,0)</x:f>
        <x:v>0.35714285714285715</x:v>
      </x:c>
      <x:c r="R810" s="24" t="n">
        <x:f>IFERROR(F810/H810,0)</x:f>
        <x:v>0.07142857142857142</x:v>
      </x:c>
      <x:c r="S810" s="24" t="n">
        <x:f>IFERROR(F810/J810,0)</x:f>
        <x:v>0.2</x:v>
      </x:c>
      <x:c r="T810" s="28" t="n">
        <x:f>H810-I810</x:f>
        <x:v>-5</x:v>
      </x:c>
      <x:c r="U810" s="24" t="n">
        <x:f>IFERROR(J810/H810,0)-IFERROR(K810/I810,0)</x:f>
        <x:v>-0.0639097744360902</x:v>
      </x:c>
      <x:c r="V810" s="24" t="n">
        <x:f>IFERROR(F810/J810,0)-IFERROR(G810/K810,0)</x:f>
        <x:v>0.07500000000000001</x:v>
      </x:c>
      <x:c r="W810" s="28" t="n">
        <x:f>L810-M810</x:f>
        <x:v>-4</x:v>
      </x:c>
      <x:c r="X810" s="24" t="n">
        <x:f>IFERROR(K810/I810,0)</x:f>
        <x:v>0.42105263157894735</x:v>
      </x:c>
      <x:c r="Y810" s="24" t="n">
        <x:f>IFERROR(G810/I810,0)</x:f>
        <x:v>0.05263157894736842</x:v>
      </x:c>
      <x:c r="Z810" s="24" t="n">
        <x:f>IFERROR(G810/K810,0)</x:f>
        <x:v>0.125</x:v>
      </x:c>
      <x:c r="AA810" s="24" t="n">
        <x:f>IFERROR(F810/H810,0)-IFERROR(G810/I810,0)</x:f>
        <x:v>0.018796992481203006</x:v>
      </x:c>
      <x:c r="AB810" s="28" t="n">
        <x:f>J810-K810</x:f>
        <x:v>-3</x:v>
      </x:c>
      <x:c r="AC810" s="32" t="n">
        <x:f>F810-G810</x:f>
        <x:v>0</x:v>
      </x:c>
    </x:row>
    <x:row r="811">
      <x:c r="A811" s="4" t="str">
        <x:v>2022-23</x:v>
      </x:c>
      <x:c r="B811" s="20" t="n">
        <x:v>44793</x:v>
      </x:c>
      <x:c r="C811" s="4" t="str">
        <x:v>Southampton</x:v>
      </x:c>
      <x:c r="D811" s="4" t="str">
        <x:v>Leicester</x:v>
      </x:c>
      <x:c r="E811" s="4" t="str">
        <x:v>Away</x:v>
      </x:c>
      <x:c r="F811" s="28" t="n">
        <x:v>2</x:v>
      </x:c>
      <x:c r="G811" s="28" t="n">
        <x:v>1</x:v>
      </x:c>
      <x:c r="H811" s="28" t="n">
        <x:v>9</x:v>
      </x:c>
      <x:c r="I811" s="28" t="n">
        <x:v>6</x:v>
      </x:c>
      <x:c r="J811" s="28" t="n">
        <x:v>3</x:v>
      </x:c>
      <x:c r="K811" s="28" t="n">
        <x:v>1</x:v>
      </x:c>
      <x:c r="L811" s="28" t="n">
        <x:v>5</x:v>
      </x:c>
      <x:c r="M811" s="28" t="n">
        <x:v>2</x:v>
      </x:c>
      <x:c r="N811" s="28" t="n">
        <x:v>3</x:v>
      </x:c>
      <x:c r="O811" s="28" t="n">
        <x:v>0</x:v>
      </x:c>
      <x:c r="P811" s="28" t="n">
        <x:v>3</x:v>
      </x:c>
      <x:c r="Q811" s="24" t="n">
        <x:f>IFERROR(J811/H811,0)</x:f>
        <x:v>0.3333333333333333</x:v>
      </x:c>
      <x:c r="R811" s="24" t="n">
        <x:f>IFERROR(F811/H811,0)</x:f>
        <x:v>0.2222222222222222</x:v>
      </x:c>
      <x:c r="S811" s="24" t="n">
        <x:f>IFERROR(F811/J811,0)</x:f>
        <x:v>0.6666666666666666</x:v>
      </x:c>
      <x:c r="T811" s="28" t="n">
        <x:f>H811-I811</x:f>
        <x:v>3</x:v>
      </x:c>
      <x:c r="U811" s="24" t="n">
        <x:f>IFERROR(J811/H811,0)-IFERROR(K811/I811,0)</x:f>
        <x:v>0.16666666666666666</x:v>
      </x:c>
      <x:c r="V811" s="24" t="n">
        <x:f>IFERROR(F811/J811,0)-IFERROR(G811/K811,0)</x:f>
        <x:v>-0.33333333333333337</x:v>
      </x:c>
      <x:c r="W811" s="28" t="n">
        <x:f>L811-M811</x:f>
        <x:v>3</x:v>
      </x:c>
      <x:c r="X811" s="24" t="n">
        <x:f>IFERROR(K811/I811,0)</x:f>
        <x:v>0.16666666666666666</x:v>
      </x:c>
      <x:c r="Y811" s="24" t="n">
        <x:f>IFERROR(G811/I811,0)</x:f>
        <x:v>0.16666666666666666</x:v>
      </x:c>
      <x:c r="Z811" s="24" t="n">
        <x:f>IFERROR(G811/K811,0)</x:f>
        <x:v>1</x:v>
      </x:c>
      <x:c r="AA811" s="24" t="n">
        <x:f>IFERROR(F811/H811,0)-IFERROR(G811/I811,0)</x:f>
        <x:v>0.05555555555555555</x:v>
      </x:c>
      <x:c r="AB811" s="28" t="n">
        <x:f>J811-K811</x:f>
        <x:v>2</x:v>
      </x:c>
      <x:c r="AC811" s="32" t="n">
        <x:f>F811-G811</x:f>
        <x:v>1</x:v>
      </x:c>
    </x:row>
    <x:row r="812">
      <x:c r="A812" s="4" t="str">
        <x:v>2022-23</x:v>
      </x:c>
      <x:c r="B812" s="20" t="n">
        <x:v>44793</x:v>
      </x:c>
      <x:c r="C812" s="4" t="str">
        <x:v>Tottenham</x:v>
      </x:c>
      <x:c r="D812" s="4" t="str">
        <x:v>Wolves</x:v>
      </x:c>
      <x:c r="E812" s="4" t="str">
        <x:v>Home</x:v>
      </x:c>
      <x:c r="F812" s="28" t="n">
        <x:v>1</x:v>
      </x:c>
      <x:c r="G812" s="28" t="n">
        <x:v>0</x:v>
      </x:c>
      <x:c r="H812" s="28" t="n">
        <x:v>11</x:v>
      </x:c>
      <x:c r="I812" s="28" t="n">
        <x:v>20</x:v>
      </x:c>
      <x:c r="J812" s="28" t="n">
        <x:v>4</x:v>
      </x:c>
      <x:c r="K812" s="28" t="n">
        <x:v>3</x:v>
      </x:c>
      <x:c r="L812" s="28" t="n">
        <x:v>8</x:v>
      </x:c>
      <x:c r="M812" s="28" t="n">
        <x:v>6</x:v>
      </x:c>
      <x:c r="N812" s="28" t="n">
        <x:v>2</x:v>
      </x:c>
      <x:c r="O812" s="28" t="n">
        <x:v>0</x:v>
      </x:c>
      <x:c r="P812" s="28" t="n">
        <x:v>3</x:v>
      </x:c>
      <x:c r="Q812" s="24" t="n">
        <x:f>IFERROR(J812/H812,0)</x:f>
        <x:v>0.36363636363636365</x:v>
      </x:c>
      <x:c r="R812" s="24" t="n">
        <x:f>IFERROR(F812/H812,0)</x:f>
        <x:v>0.09090909090909091</x:v>
      </x:c>
      <x:c r="S812" s="24" t="n">
        <x:f>IFERROR(F812/J812,0)</x:f>
        <x:v>0.25</x:v>
      </x:c>
      <x:c r="T812" s="28" t="n">
        <x:f>H812-I812</x:f>
        <x:v>-9</x:v>
      </x:c>
      <x:c r="U812" s="24" t="n">
        <x:f>IFERROR(J812/H812,0)-IFERROR(K812/I812,0)</x:f>
        <x:v>0.21363636363636365</x:v>
      </x:c>
      <x:c r="V812" s="24" t="n">
        <x:f>IFERROR(F812/J812,0)-IFERROR(G812/K812,0)</x:f>
        <x:v>0.25</x:v>
      </x:c>
      <x:c r="W812" s="28" t="n">
        <x:f>L812-M812</x:f>
        <x:v>2</x:v>
      </x:c>
      <x:c r="X812" s="24" t="n">
        <x:f>IFERROR(K812/I812,0)</x:f>
        <x:v>0.15</x:v>
      </x:c>
      <x:c r="Y812" s="24" t="n">
        <x:f>IFERROR(G812/I812,0)</x:f>
        <x:v>0</x:v>
      </x:c>
      <x:c r="Z812" s="24" t="n">
        <x:f>IFERROR(G812/K812,0)</x:f>
        <x:v>0</x:v>
      </x:c>
      <x:c r="AA812" s="24" t="n">
        <x:f>IFERROR(F812/H812,0)-IFERROR(G812/I812,0)</x:f>
        <x:v>0.09090909090909091</x:v>
      </x:c>
      <x:c r="AB812" s="28" t="n">
        <x:f>J812-K812</x:f>
        <x:v>1</x:v>
      </x:c>
      <x:c r="AC812" s="32" t="n">
        <x:f>F812-G812</x:f>
        <x:v>1</x:v>
      </x:c>
    </x:row>
    <x:row r="813">
      <x:c r="A813" s="4" t="str">
        <x:v>2022-23</x:v>
      </x:c>
      <x:c r="B813" s="20" t="n">
        <x:v>44793</x:v>
      </x:c>
      <x:c r="C813" s="4" t="str">
        <x:v>Wolves</x:v>
      </x:c>
      <x:c r="D813" s="4" t="str">
        <x:v>Tottenham</x:v>
      </x:c>
      <x:c r="E813" s="4" t="str">
        <x:v>Away</x:v>
      </x:c>
      <x:c r="F813" s="28" t="n">
        <x:v>0</x:v>
      </x:c>
      <x:c r="G813" s="28" t="n">
        <x:v>1</x:v>
      </x:c>
      <x:c r="H813" s="28" t="n">
        <x:v>20</x:v>
      </x:c>
      <x:c r="I813" s="28" t="n">
        <x:v>11</x:v>
      </x:c>
      <x:c r="J813" s="28" t="n">
        <x:v>3</x:v>
      </x:c>
      <x:c r="K813" s="28" t="n">
        <x:v>4</x:v>
      </x:c>
      <x:c r="L813" s="28" t="n">
        <x:v>6</x:v>
      </x:c>
      <x:c r="M813" s="28" t="n">
        <x:v>8</x:v>
      </x:c>
      <x:c r="N813" s="28" t="n">
        <x:v>2</x:v>
      </x:c>
      <x:c r="O813" s="28" t="n">
        <x:v>0</x:v>
      </x:c>
      <x:c r="P813" s="28" t="n">
        <x:v>0</x:v>
      </x:c>
      <x:c r="Q813" s="24" t="n">
        <x:f>IFERROR(J813/H813,0)</x:f>
        <x:v>0.15</x:v>
      </x:c>
      <x:c r="R813" s="24" t="n">
        <x:f>IFERROR(F813/H813,0)</x:f>
        <x:v>0</x:v>
      </x:c>
      <x:c r="S813" s="24" t="n">
        <x:f>IFERROR(F813/J813,0)</x:f>
        <x:v>0</x:v>
      </x:c>
      <x:c r="T813" s="28" t="n">
        <x:f>H813-I813</x:f>
        <x:v>9</x:v>
      </x:c>
      <x:c r="U813" s="24" t="n">
        <x:f>IFERROR(J813/H813,0)-IFERROR(K813/I813,0)</x:f>
        <x:v>-0.21363636363636365</x:v>
      </x:c>
      <x:c r="V813" s="24" t="n">
        <x:f>IFERROR(F813/J813,0)-IFERROR(G813/K813,0)</x:f>
        <x:v>-0.25</x:v>
      </x:c>
      <x:c r="W813" s="28" t="n">
        <x:f>L813-M813</x:f>
        <x:v>-2</x:v>
      </x:c>
      <x:c r="X813" s="24" t="n">
        <x:f>IFERROR(K813/I813,0)</x:f>
        <x:v>0.36363636363636365</x:v>
      </x:c>
      <x:c r="Y813" s="24" t="n">
        <x:f>IFERROR(G813/I813,0)</x:f>
        <x:v>0.09090909090909091</x:v>
      </x:c>
      <x:c r="Z813" s="24" t="n">
        <x:f>IFERROR(G813/K813,0)</x:f>
        <x:v>0.25</x:v>
      </x:c>
      <x:c r="AA813" s="24" t="n">
        <x:f>IFERROR(F813/H813,0)-IFERROR(G813/I813,0)</x:f>
        <x:v>-0.09090909090909091</x:v>
      </x:c>
      <x:c r="AB813" s="28" t="n">
        <x:f>J813-K813</x:f>
        <x:v>-1</x:v>
      </x:c>
      <x:c r="AC813" s="32" t="n">
        <x:f>F813-G813</x:f>
        <x:v>-1</x:v>
      </x:c>
    </x:row>
    <x:row r="814">
      <x:c r="A814" s="4" t="str">
        <x:v>2022-23</x:v>
      </x:c>
      <x:c r="B814" s="20" t="n">
        <x:v>44794</x:v>
      </x:c>
      <x:c r="C814" s="4" t="str">
        <x:v>Brighton</x:v>
      </x:c>
      <x:c r="D814" s="4" t="str">
        <x:v>West Ham</x:v>
      </x:c>
      <x:c r="E814" s="4" t="str">
        <x:v>Away</x:v>
      </x:c>
      <x:c r="F814" s="28" t="n">
        <x:v>2</x:v>
      </x:c>
      <x:c r="G814" s="28" t="n">
        <x:v>0</x:v>
      </x:c>
      <x:c r="H814" s="28" t="n">
        <x:v>11</x:v>
      </x:c>
      <x:c r="I814" s="28" t="n">
        <x:v>13</x:v>
      </x:c>
      <x:c r="J814" s="28" t="n">
        <x:v>2</x:v>
      </x:c>
      <x:c r="K814" s="28" t="n">
        <x:v>3</x:v>
      </x:c>
      <x:c r="L814" s="28" t="n">
        <x:v>4</x:v>
      </x:c>
      <x:c r="M814" s="28" t="n">
        <x:v>5</x:v>
      </x:c>
      <x:c r="N814" s="28" t="n">
        <x:v>0</x:v>
      </x:c>
      <x:c r="O814" s="28" t="n">
        <x:v>0</x:v>
      </x:c>
      <x:c r="P814" s="28" t="n">
        <x:v>3</x:v>
      </x:c>
      <x:c r="Q814" s="24" t="n">
        <x:f>IFERROR(J814/H814,0)</x:f>
        <x:v>0.18181818181818182</x:v>
      </x:c>
      <x:c r="R814" s="24" t="n">
        <x:f>IFERROR(F814/H814,0)</x:f>
        <x:v>0.18181818181818182</x:v>
      </x:c>
      <x:c r="S814" s="24" t="n">
        <x:f>IFERROR(F814/J814,0)</x:f>
        <x:v>1</x:v>
      </x:c>
      <x:c r="T814" s="28" t="n">
        <x:f>H814-I814</x:f>
        <x:v>-2</x:v>
      </x:c>
      <x:c r="U814" s="24" t="n">
        <x:f>IFERROR(J814/H814,0)-IFERROR(K814/I814,0)</x:f>
        <x:v>-0.04895104895104896</x:v>
      </x:c>
      <x:c r="V814" s="24" t="n">
        <x:f>IFERROR(F814/J814,0)-IFERROR(G814/K814,0)</x:f>
        <x:v>1</x:v>
      </x:c>
      <x:c r="W814" s="28" t="n">
        <x:f>L814-M814</x:f>
        <x:v>-1</x:v>
      </x:c>
      <x:c r="X814" s="24" t="n">
        <x:f>IFERROR(K814/I814,0)</x:f>
        <x:v>0.23076923076923078</x:v>
      </x:c>
      <x:c r="Y814" s="24" t="n">
        <x:f>IFERROR(G814/I814,0)</x:f>
        <x:v>0</x:v>
      </x:c>
      <x:c r="Z814" s="24" t="n">
        <x:f>IFERROR(G814/K814,0)</x:f>
        <x:v>0</x:v>
      </x:c>
      <x:c r="AA814" s="24" t="n">
        <x:f>IFERROR(F814/H814,0)-IFERROR(G814/I814,0)</x:f>
        <x:v>0.18181818181818182</x:v>
      </x:c>
      <x:c r="AB814" s="28" t="n">
        <x:f>J814-K814</x:f>
        <x:v>-1</x:v>
      </x:c>
      <x:c r="AC814" s="32" t="n">
        <x:f>F814-G814</x:f>
        <x:v>2</x:v>
      </x:c>
    </x:row>
    <x:row r="815">
      <x:c r="A815" s="4" t="str">
        <x:v>2022-23</x:v>
      </x:c>
      <x:c r="B815" s="20" t="n">
        <x:v>44794</x:v>
      </x:c>
      <x:c r="C815" s="4" t="str">
        <x:v>Chelsea</x:v>
      </x:c>
      <x:c r="D815" s="4" t="str">
        <x:v>Leeds</x:v>
      </x:c>
      <x:c r="E815" s="4" t="str">
        <x:v>Away</x:v>
      </x:c>
      <x:c r="F815" s="28" t="n">
        <x:v>0</x:v>
      </x:c>
      <x:c r="G815" s="28" t="n">
        <x:v>3</x:v>
      </x:c>
      <x:c r="H815" s="28" t="n">
        <x:v>14</x:v>
      </x:c>
      <x:c r="I815" s="28" t="n">
        <x:v>12</x:v>
      </x:c>
      <x:c r="J815" s="28" t="n">
        <x:v>3</x:v>
      </x:c>
      <x:c r="K815" s="28" t="n">
        <x:v>6</x:v>
      </x:c>
      <x:c r="L815" s="28" t="n">
        <x:v>6</x:v>
      </x:c>
      <x:c r="M815" s="28" t="n">
        <x:v>4</x:v>
      </x:c>
      <x:c r="N815" s="28" t="n">
        <x:v>1</x:v>
      </x:c>
      <x:c r="O815" s="28" t="n">
        <x:v>1</x:v>
      </x:c>
      <x:c r="P815" s="28" t="n">
        <x:v>0</x:v>
      </x:c>
      <x:c r="Q815" s="24" t="n">
        <x:f>IFERROR(J815/H815,0)</x:f>
        <x:v>0.21428571428571427</x:v>
      </x:c>
      <x:c r="R815" s="24" t="n">
        <x:f>IFERROR(F815/H815,0)</x:f>
        <x:v>0</x:v>
      </x:c>
      <x:c r="S815" s="24" t="n">
        <x:f>IFERROR(F815/J815,0)</x:f>
        <x:v>0</x:v>
      </x:c>
      <x:c r="T815" s="28" t="n">
        <x:f>H815-I815</x:f>
        <x:v>2</x:v>
      </x:c>
      <x:c r="U815" s="24" t="n">
        <x:f>IFERROR(J815/H815,0)-IFERROR(K815/I815,0)</x:f>
        <x:v>-0.2857142857142857</x:v>
      </x:c>
      <x:c r="V815" s="24" t="n">
        <x:f>IFERROR(F815/J815,0)-IFERROR(G815/K815,0)</x:f>
        <x:v>-0.5</x:v>
      </x:c>
      <x:c r="W815" s="28" t="n">
        <x:f>L815-M815</x:f>
        <x:v>2</x:v>
      </x:c>
      <x:c r="X815" s="24" t="n">
        <x:f>IFERROR(K815/I815,0)</x:f>
        <x:v>0.5</x:v>
      </x:c>
      <x:c r="Y815" s="24" t="n">
        <x:f>IFERROR(G815/I815,0)</x:f>
        <x:v>0.25</x:v>
      </x:c>
      <x:c r="Z815" s="24" t="n">
        <x:f>IFERROR(G815/K815,0)</x:f>
        <x:v>0.5</x:v>
      </x:c>
      <x:c r="AA815" s="24" t="n">
        <x:f>IFERROR(F815/H815,0)-IFERROR(G815/I815,0)</x:f>
        <x:v>-0.25</x:v>
      </x:c>
      <x:c r="AB815" s="28" t="n">
        <x:f>J815-K815</x:f>
        <x:v>-3</x:v>
      </x:c>
      <x:c r="AC815" s="32" t="n">
        <x:f>F815-G815</x:f>
        <x:v>-3</x:v>
      </x:c>
    </x:row>
    <x:row r="816">
      <x:c r="A816" s="4" t="str">
        <x:v>2022-23</x:v>
      </x:c>
      <x:c r="B816" s="20" t="n">
        <x:v>44794</x:v>
      </x:c>
      <x:c r="C816" s="4" t="str">
        <x:v>Leeds</x:v>
      </x:c>
      <x:c r="D816" s="4" t="str">
        <x:v>Chelsea</x:v>
      </x:c>
      <x:c r="E816" s="4" t="str">
        <x:v>Home</x:v>
      </x:c>
      <x:c r="F816" s="28" t="n">
        <x:v>3</x:v>
      </x:c>
      <x:c r="G816" s="28" t="n">
        <x:v>0</x:v>
      </x:c>
      <x:c r="H816" s="28" t="n">
        <x:v>12</x:v>
      </x:c>
      <x:c r="I816" s="28" t="n">
        <x:v>14</x:v>
      </x:c>
      <x:c r="J816" s="28" t="n">
        <x:v>6</x:v>
      </x:c>
      <x:c r="K816" s="28" t="n">
        <x:v>3</x:v>
      </x:c>
      <x:c r="L816" s="28" t="n">
        <x:v>4</x:v>
      </x:c>
      <x:c r="M816" s="28" t="n">
        <x:v>6</x:v>
      </x:c>
      <x:c r="N816" s="28" t="n">
        <x:v>0</x:v>
      </x:c>
      <x:c r="O816" s="28" t="n">
        <x:v>0</x:v>
      </x:c>
      <x:c r="P816" s="28" t="n">
        <x:v>3</x:v>
      </x:c>
      <x:c r="Q816" s="24" t="n">
        <x:f>IFERROR(J816/H816,0)</x:f>
        <x:v>0.5</x:v>
      </x:c>
      <x:c r="R816" s="24" t="n">
        <x:f>IFERROR(F816/H816,0)</x:f>
        <x:v>0.25</x:v>
      </x:c>
      <x:c r="S816" s="24" t="n">
        <x:f>IFERROR(F816/J816,0)</x:f>
        <x:v>0.5</x:v>
      </x:c>
      <x:c r="T816" s="28" t="n">
        <x:f>H816-I816</x:f>
        <x:v>-2</x:v>
      </x:c>
      <x:c r="U816" s="24" t="n">
        <x:f>IFERROR(J816/H816,0)-IFERROR(K816/I816,0)</x:f>
        <x:v>0.2857142857142857</x:v>
      </x:c>
      <x:c r="V816" s="24" t="n">
        <x:f>IFERROR(F816/J816,0)-IFERROR(G816/K816,0)</x:f>
        <x:v>0.5</x:v>
      </x:c>
      <x:c r="W816" s="28" t="n">
        <x:f>L816-M816</x:f>
        <x:v>-2</x:v>
      </x:c>
      <x:c r="X816" s="24" t="n">
        <x:f>IFERROR(K816/I816,0)</x:f>
        <x:v>0.21428571428571427</x:v>
      </x:c>
      <x:c r="Y816" s="24" t="n">
        <x:f>IFERROR(G816/I816,0)</x:f>
        <x:v>0</x:v>
      </x:c>
      <x:c r="Z816" s="24" t="n">
        <x:f>IFERROR(G816/K816,0)</x:f>
        <x:v>0</x:v>
      </x:c>
      <x:c r="AA816" s="24" t="n">
        <x:f>IFERROR(F816/H816,0)-IFERROR(G816/I816,0)</x:f>
        <x:v>0.25</x:v>
      </x:c>
      <x:c r="AB816" s="28" t="n">
        <x:f>J816-K816</x:f>
        <x:v>3</x:v>
      </x:c>
      <x:c r="AC816" s="32" t="n">
        <x:f>F816-G816</x:f>
        <x:v>3</x:v>
      </x:c>
    </x:row>
    <x:row r="817">
      <x:c r="A817" s="4" t="str">
        <x:v>2022-23</x:v>
      </x:c>
      <x:c r="B817" s="20" t="n">
        <x:v>44794</x:v>
      </x:c>
      <x:c r="C817" s="4" t="str">
        <x:v>Man City</x:v>
      </x:c>
      <x:c r="D817" s="4" t="str">
        <x:v>Newcastle</x:v>
      </x:c>
      <x:c r="E817" s="4" t="str">
        <x:v>Away</x:v>
      </x:c>
      <x:c r="F817" s="28" t="n">
        <x:v>3</x:v>
      </x:c>
      <x:c r="G817" s="28" t="n">
        <x:v>3</x:v>
      </x:c>
      <x:c r="H817" s="28" t="n">
        <x:v>21</x:v>
      </x:c>
      <x:c r="I817" s="28" t="n">
        <x:v>12</x:v>
      </x:c>
      <x:c r="J817" s="28" t="n">
        <x:v>10</x:v>
      </x:c>
      <x:c r="K817" s="28" t="n">
        <x:v>6</x:v>
      </x:c>
      <x:c r="L817" s="28" t="n">
        <x:v>5</x:v>
      </x:c>
      <x:c r="M817" s="28" t="n">
        <x:v>5</x:v>
      </x:c>
      <x:c r="N817" s="28" t="n">
        <x:v>2</x:v>
      </x:c>
      <x:c r="O817" s="28" t="n">
        <x:v>0</x:v>
      </x:c>
      <x:c r="P817" s="28" t="n">
        <x:v>1</x:v>
      </x:c>
      <x:c r="Q817" s="24" t="n">
        <x:f>IFERROR(J817/H817,0)</x:f>
        <x:v>0.47619047619047616</x:v>
      </x:c>
      <x:c r="R817" s="24" t="n">
        <x:f>IFERROR(F817/H817,0)</x:f>
        <x:v>0.14285714285714285</x:v>
      </x:c>
      <x:c r="S817" s="24" t="n">
        <x:f>IFERROR(F817/J817,0)</x:f>
        <x:v>0.3</x:v>
      </x:c>
      <x:c r="T817" s="28" t="n">
        <x:f>H817-I817</x:f>
        <x:v>9</x:v>
      </x:c>
      <x:c r="U817" s="24" t="n">
        <x:f>IFERROR(J817/H817,0)-IFERROR(K817/I817,0)</x:f>
        <x:v>-0.023809523809523836</x:v>
      </x:c>
      <x:c r="V817" s="24" t="n">
        <x:f>IFERROR(F817/J817,0)-IFERROR(G817/K817,0)</x:f>
        <x:v>-0.2</x:v>
      </x:c>
      <x:c r="W817" s="28" t="n">
        <x:f>L817-M817</x:f>
        <x:v>0</x:v>
      </x:c>
      <x:c r="X817" s="24" t="n">
        <x:f>IFERROR(K817/I817,0)</x:f>
        <x:v>0.5</x:v>
      </x:c>
      <x:c r="Y817" s="24" t="n">
        <x:f>IFERROR(G817/I817,0)</x:f>
        <x:v>0.25</x:v>
      </x:c>
      <x:c r="Z817" s="24" t="n">
        <x:f>IFERROR(G817/K817,0)</x:f>
        <x:v>0.5</x:v>
      </x:c>
      <x:c r="AA817" s="24" t="n">
        <x:f>IFERROR(F817/H817,0)-IFERROR(G817/I817,0)</x:f>
        <x:v>-0.10714285714285715</x:v>
      </x:c>
      <x:c r="AB817" s="28" t="n">
        <x:f>J817-K817</x:f>
        <x:v>4</x:v>
      </x:c>
      <x:c r="AC817" s="32" t="n">
        <x:f>F817-G817</x:f>
        <x:v>0</x:v>
      </x:c>
    </x:row>
    <x:row r="818">
      <x:c r="A818" s="4" t="str">
        <x:v>2022-23</x:v>
      </x:c>
      <x:c r="B818" s="20" t="n">
        <x:v>44794</x:v>
      </x:c>
      <x:c r="C818" s="4" t="str">
        <x:v>Newcastle</x:v>
      </x:c>
      <x:c r="D818" s="4" t="str">
        <x:v>Man City</x:v>
      </x:c>
      <x:c r="E818" s="4" t="str">
        <x:v>Home</x:v>
      </x:c>
      <x:c r="F818" s="28" t="n">
        <x:v>3</x:v>
      </x:c>
      <x:c r="G818" s="28" t="n">
        <x:v>3</x:v>
      </x:c>
      <x:c r="H818" s="28" t="n">
        <x:v>12</x:v>
      </x:c>
      <x:c r="I818" s="28" t="n">
        <x:v>21</x:v>
      </x:c>
      <x:c r="J818" s="28" t="n">
        <x:v>6</x:v>
      </x:c>
      <x:c r="K818" s="28" t="n">
        <x:v>10</x:v>
      </x:c>
      <x:c r="L818" s="28" t="n">
        <x:v>5</x:v>
      </x:c>
      <x:c r="M818" s="28" t="n">
        <x:v>5</x:v>
      </x:c>
      <x:c r="N818" s="28" t="n">
        <x:v>4</x:v>
      </x:c>
      <x:c r="O818" s="28" t="n">
        <x:v>0</x:v>
      </x:c>
      <x:c r="P818" s="28" t="n">
        <x:v>1</x:v>
      </x:c>
      <x:c r="Q818" s="24" t="n">
        <x:f>IFERROR(J818/H818,0)</x:f>
        <x:v>0.5</x:v>
      </x:c>
      <x:c r="R818" s="24" t="n">
        <x:f>IFERROR(F818/H818,0)</x:f>
        <x:v>0.25</x:v>
      </x:c>
      <x:c r="S818" s="24" t="n">
        <x:f>IFERROR(F818/J818,0)</x:f>
        <x:v>0.5</x:v>
      </x:c>
      <x:c r="T818" s="28" t="n">
        <x:f>H818-I818</x:f>
        <x:v>-9</x:v>
      </x:c>
      <x:c r="U818" s="24" t="n">
        <x:f>IFERROR(J818/H818,0)-IFERROR(K818/I818,0)</x:f>
        <x:v>0.023809523809523836</x:v>
      </x:c>
      <x:c r="V818" s="24" t="n">
        <x:f>IFERROR(F818/J818,0)-IFERROR(G818/K818,0)</x:f>
        <x:v>0.2</x:v>
      </x:c>
      <x:c r="W818" s="28" t="n">
        <x:f>L818-M818</x:f>
        <x:v>0</x:v>
      </x:c>
      <x:c r="X818" s="24" t="n">
        <x:f>IFERROR(K818/I818,0)</x:f>
        <x:v>0.47619047619047616</x:v>
      </x:c>
      <x:c r="Y818" s="24" t="n">
        <x:f>IFERROR(G818/I818,0)</x:f>
        <x:v>0.14285714285714285</x:v>
      </x:c>
      <x:c r="Z818" s="24" t="n">
        <x:f>IFERROR(G818/K818,0)</x:f>
        <x:v>0.3</x:v>
      </x:c>
      <x:c r="AA818" s="24" t="n">
        <x:f>IFERROR(F818/H818,0)-IFERROR(G818/I818,0)</x:f>
        <x:v>0.10714285714285715</x:v>
      </x:c>
      <x:c r="AB818" s="28" t="n">
        <x:f>J818-K818</x:f>
        <x:v>-4</x:v>
      </x:c>
      <x:c r="AC818" s="32" t="n">
        <x:f>F818-G818</x:f>
        <x:v>0</x:v>
      </x:c>
    </x:row>
    <x:row r="819">
      <x:c r="A819" s="4" t="str">
        <x:v>2022-23</x:v>
      </x:c>
      <x:c r="B819" s="20" t="n">
        <x:v>44794</x:v>
      </x:c>
      <x:c r="C819" s="4" t="str">
        <x:v>West Ham</x:v>
      </x:c>
      <x:c r="D819" s="4" t="str">
        <x:v>Brighton</x:v>
      </x:c>
      <x:c r="E819" s="4" t="str">
        <x:v>Home</x:v>
      </x:c>
      <x:c r="F819" s="28" t="n">
        <x:v>0</x:v>
      </x:c>
      <x:c r="G819" s="28" t="n">
        <x:v>2</x:v>
      </x:c>
      <x:c r="H819" s="28" t="n">
        <x:v>13</x:v>
      </x:c>
      <x:c r="I819" s="28" t="n">
        <x:v>11</x:v>
      </x:c>
      <x:c r="J819" s="28" t="n">
        <x:v>3</x:v>
      </x:c>
      <x:c r="K819" s="28" t="n">
        <x:v>2</x:v>
      </x:c>
      <x:c r="L819" s="28" t="n">
        <x:v>5</x:v>
      </x:c>
      <x:c r="M819" s="28" t="n">
        <x:v>4</x:v>
      </x:c>
      <x:c r="N819" s="28" t="n">
        <x:v>2</x:v>
      </x:c>
      <x:c r="O819" s="28" t="n">
        <x:v>0</x:v>
      </x:c>
      <x:c r="P819" s="28" t="n">
        <x:v>0</x:v>
      </x:c>
      <x:c r="Q819" s="24" t="n">
        <x:f>IFERROR(J819/H819,0)</x:f>
        <x:v>0.23076923076923078</x:v>
      </x:c>
      <x:c r="R819" s="24" t="n">
        <x:f>IFERROR(F819/H819,0)</x:f>
        <x:v>0</x:v>
      </x:c>
      <x:c r="S819" s="24" t="n">
        <x:f>IFERROR(F819/J819,0)</x:f>
        <x:v>0</x:v>
      </x:c>
      <x:c r="T819" s="28" t="n">
        <x:f>H819-I819</x:f>
        <x:v>2</x:v>
      </x:c>
      <x:c r="U819" s="24" t="n">
        <x:f>IFERROR(J819/H819,0)-IFERROR(K819/I819,0)</x:f>
        <x:v>0.04895104895104896</x:v>
      </x:c>
      <x:c r="V819" s="24" t="n">
        <x:f>IFERROR(F819/J819,0)-IFERROR(G819/K819,0)</x:f>
        <x:v>-1</x:v>
      </x:c>
      <x:c r="W819" s="28" t="n">
        <x:f>L819-M819</x:f>
        <x:v>1</x:v>
      </x:c>
      <x:c r="X819" s="24" t="n">
        <x:f>IFERROR(K819/I819,0)</x:f>
        <x:v>0.18181818181818182</x:v>
      </x:c>
      <x:c r="Y819" s="24" t="n">
        <x:f>IFERROR(G819/I819,0)</x:f>
        <x:v>0.18181818181818182</x:v>
      </x:c>
      <x:c r="Z819" s="24" t="n">
        <x:f>IFERROR(G819/K819,0)</x:f>
        <x:v>1</x:v>
      </x:c>
      <x:c r="AA819" s="24" t="n">
        <x:f>IFERROR(F819/H819,0)-IFERROR(G819/I819,0)</x:f>
        <x:v>-0.18181818181818182</x:v>
      </x:c>
      <x:c r="AB819" s="28" t="n">
        <x:f>J819-K819</x:f>
        <x:v>1</x:v>
      </x:c>
      <x:c r="AC819" s="32" t="n">
        <x:f>F819-G819</x:f>
        <x:v>-2</x:v>
      </x:c>
    </x:row>
    <x:row r="820">
      <x:c r="A820" s="4" t="str">
        <x:v>2022-23</x:v>
      </x:c>
      <x:c r="B820" s="20" t="n">
        <x:v>44795</x:v>
      </x:c>
      <x:c r="C820" s="4" t="str">
        <x:v>Liverpool</x:v>
      </x:c>
      <x:c r="D820" s="4" t="str">
        <x:v>Man United</x:v>
      </x:c>
      <x:c r="E820" s="4" t="str">
        <x:v>Away</x:v>
      </x:c>
      <x:c r="F820" s="28" t="n">
        <x:v>1</x:v>
      </x:c>
      <x:c r="G820" s="28" t="n">
        <x:v>2</x:v>
      </x:c>
      <x:c r="H820" s="28" t="n">
        <x:v>17</x:v>
      </x:c>
      <x:c r="I820" s="28" t="n">
        <x:v>12</x:v>
      </x:c>
      <x:c r="J820" s="28" t="n">
        <x:v>5</x:v>
      </x:c>
      <x:c r="K820" s="28" t="n">
        <x:v>4</x:v>
      </x:c>
      <x:c r="L820" s="28" t="n">
        <x:v>8</x:v>
      </x:c>
      <x:c r="M820" s="28" t="n">
        <x:v>6</x:v>
      </x:c>
      <x:c r="N820" s="28" t="n">
        <x:v>1</x:v>
      </x:c>
      <x:c r="O820" s="28" t="n">
        <x:v>0</x:v>
      </x:c>
      <x:c r="P820" s="28" t="n">
        <x:v>0</x:v>
      </x:c>
      <x:c r="Q820" s="24" t="n">
        <x:f>IFERROR(J820/H820,0)</x:f>
        <x:v>0.29411764705882354</x:v>
      </x:c>
      <x:c r="R820" s="24" t="n">
        <x:f>IFERROR(F820/H820,0)</x:f>
        <x:v>0.058823529411764705</x:v>
      </x:c>
      <x:c r="S820" s="24" t="n">
        <x:f>IFERROR(F820/J820,0)</x:f>
        <x:v>0.2</x:v>
      </x:c>
      <x:c r="T820" s="28" t="n">
        <x:f>H820-I820</x:f>
        <x:v>5</x:v>
      </x:c>
      <x:c r="U820" s="24" t="n">
        <x:f>IFERROR(J820/H820,0)-IFERROR(K820/I820,0)</x:f>
        <x:v>-0.039215686274509776</x:v>
      </x:c>
      <x:c r="V820" s="24" t="n">
        <x:f>IFERROR(F820/J820,0)-IFERROR(G820/K820,0)</x:f>
        <x:v>-0.3</x:v>
      </x:c>
      <x:c r="W820" s="28" t="n">
        <x:f>L820-M820</x:f>
        <x:v>2</x:v>
      </x:c>
      <x:c r="X820" s="24" t="n">
        <x:f>IFERROR(K820/I820,0)</x:f>
        <x:v>0.3333333333333333</x:v>
      </x:c>
      <x:c r="Y820" s="24" t="n">
        <x:f>IFERROR(G820/I820,0)</x:f>
        <x:v>0.16666666666666666</x:v>
      </x:c>
      <x:c r="Z820" s="24" t="n">
        <x:f>IFERROR(G820/K820,0)</x:f>
        <x:v>0.5</x:v>
      </x:c>
      <x:c r="AA820" s="24" t="n">
        <x:f>IFERROR(F820/H820,0)-IFERROR(G820/I820,0)</x:f>
        <x:v>-0.10784313725490195</x:v>
      </x:c>
      <x:c r="AB820" s="28" t="n">
        <x:f>J820-K820</x:f>
        <x:v>1</x:v>
      </x:c>
      <x:c r="AC820" s="32" t="n">
        <x:f>F820-G820</x:f>
        <x:v>-1</x:v>
      </x:c>
    </x:row>
    <x:row r="821">
      <x:c r="A821" s="4" t="str">
        <x:v>2022-23</x:v>
      </x:c>
      <x:c r="B821" s="20" t="n">
        <x:v>44795</x:v>
      </x:c>
      <x:c r="C821" s="4" t="str">
        <x:v>Man United</x:v>
      </x:c>
      <x:c r="D821" s="4" t="str">
        <x:v>Liverpool</x:v>
      </x:c>
      <x:c r="E821" s="4" t="str">
        <x:v>Home</x:v>
      </x:c>
      <x:c r="F821" s="28" t="n">
        <x:v>2</x:v>
      </x:c>
      <x:c r="G821" s="28" t="n">
        <x:v>1</x:v>
      </x:c>
      <x:c r="H821" s="28" t="n">
        <x:v>12</x:v>
      </x:c>
      <x:c r="I821" s="28" t="n">
        <x:v>17</x:v>
      </x:c>
      <x:c r="J821" s="28" t="n">
        <x:v>4</x:v>
      </x:c>
      <x:c r="K821" s="28" t="n">
        <x:v>5</x:v>
      </x:c>
      <x:c r="L821" s="28" t="n">
        <x:v>6</x:v>
      </x:c>
      <x:c r="M821" s="28" t="n">
        <x:v>8</x:v>
      </x:c>
      <x:c r="N821" s="28" t="n">
        <x:v>3</x:v>
      </x:c>
      <x:c r="O821" s="28" t="n">
        <x:v>0</x:v>
      </x:c>
      <x:c r="P821" s="28" t="n">
        <x:v>3</x:v>
      </x:c>
      <x:c r="Q821" s="24" t="n">
        <x:f>IFERROR(J821/H821,0)</x:f>
        <x:v>0.3333333333333333</x:v>
      </x:c>
      <x:c r="R821" s="24" t="n">
        <x:f>IFERROR(F821/H821,0)</x:f>
        <x:v>0.16666666666666666</x:v>
      </x:c>
      <x:c r="S821" s="24" t="n">
        <x:f>IFERROR(F821/J821,0)</x:f>
        <x:v>0.5</x:v>
      </x:c>
      <x:c r="T821" s="28" t="n">
        <x:f>H821-I821</x:f>
        <x:v>-5</x:v>
      </x:c>
      <x:c r="U821" s="24" t="n">
        <x:f>IFERROR(J821/H821,0)-IFERROR(K821/I821,0)</x:f>
        <x:v>0.039215686274509776</x:v>
      </x:c>
      <x:c r="V821" s="24" t="n">
        <x:f>IFERROR(F821/J821,0)-IFERROR(G821/K821,0)</x:f>
        <x:v>0.3</x:v>
      </x:c>
      <x:c r="W821" s="28" t="n">
        <x:f>L821-M821</x:f>
        <x:v>-2</x:v>
      </x:c>
      <x:c r="X821" s="24" t="n">
        <x:f>IFERROR(K821/I821,0)</x:f>
        <x:v>0.29411764705882354</x:v>
      </x:c>
      <x:c r="Y821" s="24" t="n">
        <x:f>IFERROR(G821/I821,0)</x:f>
        <x:v>0.058823529411764705</x:v>
      </x:c>
      <x:c r="Z821" s="24" t="n">
        <x:f>IFERROR(G821/K821,0)</x:f>
        <x:v>0.2</x:v>
      </x:c>
      <x:c r="AA821" s="24" t="n">
        <x:f>IFERROR(F821/H821,0)-IFERROR(G821/I821,0)</x:f>
        <x:v>0.10784313725490195</x:v>
      </x:c>
      <x:c r="AB821" s="28" t="n">
        <x:f>J821-K821</x:f>
        <x:v>-1</x:v>
      </x:c>
      <x:c r="AC821" s="32" t="n">
        <x:f>F821-G821</x:f>
        <x:v>1</x:v>
      </x:c>
    </x:row>
    <x:row r="822">
      <x:c r="A822" s="4" t="str">
        <x:v>2022-23</x:v>
      </x:c>
      <x:c r="B822" s="20" t="n">
        <x:v>44800</x:v>
      </x:c>
      <x:c r="C822" s="4" t="str">
        <x:v>Arsenal</x:v>
      </x:c>
      <x:c r="D822" s="4" t="str">
        <x:v>Fulham</x:v>
      </x:c>
      <x:c r="E822" s="4" t="str">
        <x:v>Home</x:v>
      </x:c>
      <x:c r="F822" s="28" t="n">
        <x:v>2</x:v>
      </x:c>
      <x:c r="G822" s="28" t="n">
        <x:v>1</x:v>
      </x:c>
      <x:c r="H822" s="28" t="n">
        <x:v>22</x:v>
      </x:c>
      <x:c r="I822" s="28" t="n">
        <x:v>11</x:v>
      </x:c>
      <x:c r="J822" s="28" t="n">
        <x:v>8</x:v>
      </x:c>
      <x:c r="K822" s="28" t="n">
        <x:v>3</x:v>
      </x:c>
      <x:c r="L822" s="28" t="n">
        <x:v>9</x:v>
      </x:c>
      <x:c r="M822" s="28" t="n">
        <x:v>2</x:v>
      </x:c>
      <x:c r="N822" s="28" t="n">
        <x:v>2</x:v>
      </x:c>
      <x:c r="O822" s="28" t="n">
        <x:v>0</x:v>
      </x:c>
      <x:c r="P822" s="28" t="n">
        <x:v>3</x:v>
      </x:c>
      <x:c r="Q822" s="24" t="n">
        <x:f>IFERROR(J822/H822,0)</x:f>
        <x:v>0.36363636363636365</x:v>
      </x:c>
      <x:c r="R822" s="24" t="n">
        <x:f>IFERROR(F822/H822,0)</x:f>
        <x:v>0.09090909090909091</x:v>
      </x:c>
      <x:c r="S822" s="24" t="n">
        <x:f>IFERROR(F822/J822,0)</x:f>
        <x:v>0.25</x:v>
      </x:c>
      <x:c r="T822" s="28" t="n">
        <x:f>H822-I822</x:f>
        <x:v>11</x:v>
      </x:c>
      <x:c r="U822" s="24" t="n">
        <x:f>IFERROR(J822/H822,0)-IFERROR(K822/I822,0)</x:f>
        <x:v>0.09090909090909094</x:v>
      </x:c>
      <x:c r="V822" s="24" t="n">
        <x:f>IFERROR(F822/J822,0)-IFERROR(G822/K822,0)</x:f>
        <x:v>-0.08333333333333331</x:v>
      </x:c>
      <x:c r="W822" s="28" t="n">
        <x:f>L822-M822</x:f>
        <x:v>7</x:v>
      </x:c>
      <x:c r="X822" s="24" t="n">
        <x:f>IFERROR(K822/I822,0)</x:f>
        <x:v>0.2727272727272727</x:v>
      </x:c>
      <x:c r="Y822" s="24" t="n">
        <x:f>IFERROR(G822/I822,0)</x:f>
        <x:v>0.09090909090909091</x:v>
      </x:c>
      <x:c r="Z822" s="24" t="n">
        <x:f>IFERROR(G822/K822,0)</x:f>
        <x:v>0.3333333333333333</x:v>
      </x:c>
      <x:c r="AA822" s="24" t="n">
        <x:f>IFERROR(F822/H822,0)-IFERROR(G822/I822,0)</x:f>
        <x:v>0</x:v>
      </x:c>
      <x:c r="AB822" s="28" t="n">
        <x:f>J822-K822</x:f>
        <x:v>5</x:v>
      </x:c>
      <x:c r="AC822" s="32" t="n">
        <x:f>F822-G822</x:f>
        <x:v>1</x:v>
      </x:c>
    </x:row>
    <x:row r="823">
      <x:c r="A823" s="4" t="str">
        <x:v>2022-23</x:v>
      </x:c>
      <x:c r="B823" s="20" t="n">
        <x:v>44800</x:v>
      </x:c>
      <x:c r="C823" s="4" t="str">
        <x:v>Bournemouth</x:v>
      </x:c>
      <x:c r="D823" s="4" t="str">
        <x:v>Liverpool</x:v>
      </x:c>
      <x:c r="E823" s="4" t="str">
        <x:v>Away</x:v>
      </x:c>
      <x:c r="F823" s="28" t="n">
        <x:v>0</x:v>
      </x:c>
      <x:c r="G823" s="28" t="n">
        <x:v>9</x:v>
      </x:c>
      <x:c r="H823" s="28" t="n">
        <x:v>5</x:v>
      </x:c>
      <x:c r="I823" s="28" t="n">
        <x:v>19</x:v>
      </x:c>
      <x:c r="J823" s="28" t="n">
        <x:v>2</x:v>
      </x:c>
      <x:c r="K823" s="28" t="n">
        <x:v>12</x:v>
      </x:c>
      <x:c r="L823" s="28" t="n">
        <x:v>1</x:v>
      </x:c>
      <x:c r="M823" s="28" t="n">
        <x:v>8</x:v>
      </x:c>
      <x:c r="N823" s="28" t="n">
        <x:v>1</x:v>
      </x:c>
      <x:c r="O823" s="28" t="n">
        <x:v>0</x:v>
      </x:c>
      <x:c r="P823" s="28" t="n">
        <x:v>0</x:v>
      </x:c>
      <x:c r="Q823" s="24" t="n">
        <x:f>IFERROR(J823/H823,0)</x:f>
        <x:v>0.4</x:v>
      </x:c>
      <x:c r="R823" s="24" t="n">
        <x:f>IFERROR(F823/H823,0)</x:f>
        <x:v>0</x:v>
      </x:c>
      <x:c r="S823" s="24" t="n">
        <x:f>IFERROR(F823/J823,0)</x:f>
        <x:v>0</x:v>
      </x:c>
      <x:c r="T823" s="28" t="n">
        <x:f>H823-I823</x:f>
        <x:v>-14</x:v>
      </x:c>
      <x:c r="U823" s="24" t="n">
        <x:f>IFERROR(J823/H823,0)-IFERROR(K823/I823,0)</x:f>
        <x:v>-0.231578947368421</x:v>
      </x:c>
      <x:c r="V823" s="24" t="n">
        <x:f>IFERROR(F823/J823,0)-IFERROR(G823/K823,0)</x:f>
        <x:v>-0.75</x:v>
      </x:c>
      <x:c r="W823" s="28" t="n">
        <x:f>L823-M823</x:f>
        <x:v>-7</x:v>
      </x:c>
      <x:c r="X823" s="24" t="n">
        <x:f>IFERROR(K823/I823,0)</x:f>
        <x:v>0.631578947368421</x:v>
      </x:c>
      <x:c r="Y823" s="24" t="n">
        <x:f>IFERROR(G823/I823,0)</x:f>
        <x:v>0.47368421052631576</x:v>
      </x:c>
      <x:c r="Z823" s="24" t="n">
        <x:f>IFERROR(G823/K823,0)</x:f>
        <x:v>0.75</x:v>
      </x:c>
      <x:c r="AA823" s="24" t="n">
        <x:f>IFERROR(F823/H823,0)-IFERROR(G823/I823,0)</x:f>
        <x:v>-0.47368421052631576</x:v>
      </x:c>
      <x:c r="AB823" s="28" t="n">
        <x:f>J823-K823</x:f>
        <x:v>-10</x:v>
      </x:c>
      <x:c r="AC823" s="32" t="n">
        <x:f>F823-G823</x:f>
        <x:v>-9</x:v>
      </x:c>
    </x:row>
    <x:row r="824">
      <x:c r="A824" s="4" t="str">
        <x:v>2022-23</x:v>
      </x:c>
      <x:c r="B824" s="20" t="n">
        <x:v>44800</x:v>
      </x:c>
      <x:c r="C824" s="4" t="str">
        <x:v>Brentford</x:v>
      </x:c>
      <x:c r="D824" s="4" t="str">
        <x:v>Everton</x:v>
      </x:c>
      <x:c r="E824" s="4" t="str">
        <x:v>Home</x:v>
      </x:c>
      <x:c r="F824" s="28" t="n">
        <x:v>1</x:v>
      </x:c>
      <x:c r="G824" s="28" t="n">
        <x:v>1</x:v>
      </x:c>
      <x:c r="H824" s="28" t="n">
        <x:v>19</x:v>
      </x:c>
      <x:c r="I824" s="28" t="n">
        <x:v>14</x:v>
      </x:c>
      <x:c r="J824" s="28" t="n">
        <x:v>5</x:v>
      </x:c>
      <x:c r="K824" s="28" t="n">
        <x:v>7</x:v>
      </x:c>
      <x:c r="L824" s="28" t="n">
        <x:v>8</x:v>
      </x:c>
      <x:c r="M824" s="28" t="n">
        <x:v>5</x:v>
      </x:c>
      <x:c r="N824" s="28" t="n">
        <x:v>2</x:v>
      </x:c>
      <x:c r="O824" s="28" t="n">
        <x:v>0</x:v>
      </x:c>
      <x:c r="P824" s="28" t="n">
        <x:v>1</x:v>
      </x:c>
      <x:c r="Q824" s="24" t="n">
        <x:f>IFERROR(J824/H824,0)</x:f>
        <x:v>0.2631578947368421</x:v>
      </x:c>
      <x:c r="R824" s="24" t="n">
        <x:f>IFERROR(F824/H824,0)</x:f>
        <x:v>0.05263157894736842</x:v>
      </x:c>
      <x:c r="S824" s="24" t="n">
        <x:f>IFERROR(F824/J824,0)</x:f>
        <x:v>0.2</x:v>
      </x:c>
      <x:c r="T824" s="28" t="n">
        <x:f>H824-I824</x:f>
        <x:v>5</x:v>
      </x:c>
      <x:c r="U824" s="24" t="n">
        <x:f>IFERROR(J824/H824,0)-IFERROR(K824/I824,0)</x:f>
        <x:v>-0.2368421052631579</x:v>
      </x:c>
      <x:c r="V824" s="24" t="n">
        <x:f>IFERROR(F824/J824,0)-IFERROR(G824/K824,0)</x:f>
        <x:v>0.05714285714285716</x:v>
      </x:c>
      <x:c r="W824" s="28" t="n">
        <x:f>L824-M824</x:f>
        <x:v>3</x:v>
      </x:c>
      <x:c r="X824" s="24" t="n">
        <x:f>IFERROR(K824/I824,0)</x:f>
        <x:v>0.5</x:v>
      </x:c>
      <x:c r="Y824" s="24" t="n">
        <x:f>IFERROR(G824/I824,0)</x:f>
        <x:v>0.07142857142857142</x:v>
      </x:c>
      <x:c r="Z824" s="24" t="n">
        <x:f>IFERROR(G824/K824,0)</x:f>
        <x:v>0.14285714285714285</x:v>
      </x:c>
      <x:c r="AA824" s="24" t="n">
        <x:f>IFERROR(F824/H824,0)-IFERROR(G824/I824,0)</x:f>
        <x:v>-0.018796992481203006</x:v>
      </x:c>
      <x:c r="AB824" s="28" t="n">
        <x:f>J824-K824</x:f>
        <x:v>-2</x:v>
      </x:c>
      <x:c r="AC824" s="32" t="n">
        <x:f>F824-G824</x:f>
        <x:v>0</x:v>
      </x:c>
    </x:row>
    <x:row r="825">
      <x:c r="A825" s="4" t="str">
        <x:v>2022-23</x:v>
      </x:c>
      <x:c r="B825" s="20" t="n">
        <x:v>44800</x:v>
      </x:c>
      <x:c r="C825" s="4" t="str">
        <x:v>Brighton</x:v>
      </x:c>
      <x:c r="D825" s="4" t="str">
        <x:v>Leeds</x:v>
      </x:c>
      <x:c r="E825" s="4" t="str">
        <x:v>Home</x:v>
      </x:c>
      <x:c r="F825" s="28" t="n">
        <x:v>1</x:v>
      </x:c>
      <x:c r="G825" s="28" t="n">
        <x:v>0</x:v>
      </x:c>
      <x:c r="H825" s="28" t="n">
        <x:v>13</x:v>
      </x:c>
      <x:c r="I825" s="28" t="n">
        <x:v>10</x:v>
      </x:c>
      <x:c r="J825" s="28" t="n">
        <x:v>4</x:v>
      </x:c>
      <x:c r="K825" s="28" t="n">
        <x:v>2</x:v>
      </x:c>
      <x:c r="L825" s="28" t="n">
        <x:v>5</x:v>
      </x:c>
      <x:c r="M825" s="28" t="n">
        <x:v>3</x:v>
      </x:c>
      <x:c r="N825" s="28" t="n">
        <x:v>2</x:v>
      </x:c>
      <x:c r="O825" s="28" t="n">
        <x:v>0</x:v>
      </x:c>
      <x:c r="P825" s="28" t="n">
        <x:v>3</x:v>
      </x:c>
      <x:c r="Q825" s="24" t="n">
        <x:f>IFERROR(J825/H825,0)</x:f>
        <x:v>0.3076923076923077</x:v>
      </x:c>
      <x:c r="R825" s="24" t="n">
        <x:f>IFERROR(F825/H825,0)</x:f>
        <x:v>0.07692307692307693</x:v>
      </x:c>
      <x:c r="S825" s="24" t="n">
        <x:f>IFERROR(F825/J825,0)</x:f>
        <x:v>0.25</x:v>
      </x:c>
      <x:c r="T825" s="28" t="n">
        <x:f>H825-I825</x:f>
        <x:v>3</x:v>
      </x:c>
      <x:c r="U825" s="24" t="n">
        <x:f>IFERROR(J825/H825,0)-IFERROR(K825/I825,0)</x:f>
        <x:v>0.1076923076923077</x:v>
      </x:c>
      <x:c r="V825" s="24" t="n">
        <x:f>IFERROR(F825/J825,0)-IFERROR(G825/K825,0)</x:f>
        <x:v>0.25</x:v>
      </x:c>
      <x:c r="W825" s="28" t="n">
        <x:f>L825-M825</x:f>
        <x:v>2</x:v>
      </x:c>
      <x:c r="X825" s="24" t="n">
        <x:f>IFERROR(K825/I825,0)</x:f>
        <x:v>0.2</x:v>
      </x:c>
      <x:c r="Y825" s="24" t="n">
        <x:f>IFERROR(G825/I825,0)</x:f>
        <x:v>0</x:v>
      </x:c>
      <x:c r="Z825" s="24" t="n">
        <x:f>IFERROR(G825/K825,0)</x:f>
        <x:v>0</x:v>
      </x:c>
      <x:c r="AA825" s="24" t="n">
        <x:f>IFERROR(F825/H825,0)-IFERROR(G825/I825,0)</x:f>
        <x:v>0.07692307692307693</x:v>
      </x:c>
      <x:c r="AB825" s="28" t="n">
        <x:f>J825-K825</x:f>
        <x:v>2</x:v>
      </x:c>
      <x:c r="AC825" s="32" t="n">
        <x:f>F825-G825</x:f>
        <x:v>1</x:v>
      </x:c>
    </x:row>
    <x:row r="826">
      <x:c r="A826" s="4" t="str">
        <x:v>2022-23</x:v>
      </x:c>
      <x:c r="B826" s="20" t="n">
        <x:v>44800</x:v>
      </x:c>
      <x:c r="C826" s="4" t="str">
        <x:v>Chelsea</x:v>
      </x:c>
      <x:c r="D826" s="4" t="str">
        <x:v>Leicester</x:v>
      </x:c>
      <x:c r="E826" s="4" t="str">
        <x:v>Home</x:v>
      </x:c>
      <x:c r="F826" s="28" t="n">
        <x:v>2</x:v>
      </x:c>
      <x:c r="G826" s="28" t="n">
        <x:v>1</x:v>
      </x:c>
      <x:c r="H826" s="28" t="n">
        <x:v>7</x:v>
      </x:c>
      <x:c r="I826" s="28" t="n">
        <x:v>17</x:v>
      </x:c>
      <x:c r="J826" s="28" t="n">
        <x:v>3</x:v>
      </x:c>
      <x:c r="K826" s="28" t="n">
        <x:v>5</x:v>
      </x:c>
      <x:c r="L826" s="28" t="n">
        <x:v>3</x:v>
      </x:c>
      <x:c r="M826" s="28" t="n">
        <x:v>11</x:v>
      </x:c>
      <x:c r="N826" s="28" t="n">
        <x:v>1</x:v>
      </x:c>
      <x:c r="O826" s="28" t="n">
        <x:v>1</x:v>
      </x:c>
      <x:c r="P826" s="28" t="n">
        <x:v>3</x:v>
      </x:c>
      <x:c r="Q826" s="24" t="n">
        <x:f>IFERROR(J826/H826,0)</x:f>
        <x:v>0.42857142857142855</x:v>
      </x:c>
      <x:c r="R826" s="24" t="n">
        <x:f>IFERROR(F826/H826,0)</x:f>
        <x:v>0.2857142857142857</x:v>
      </x:c>
      <x:c r="S826" s="24" t="n">
        <x:f>IFERROR(F826/J826,0)</x:f>
        <x:v>0.6666666666666666</x:v>
      </x:c>
      <x:c r="T826" s="28" t="n">
        <x:f>H826-I826</x:f>
        <x:v>-10</x:v>
      </x:c>
      <x:c r="U826" s="24" t="n">
        <x:f>IFERROR(J826/H826,0)-IFERROR(K826/I826,0)</x:f>
        <x:v>0.134453781512605</x:v>
      </x:c>
      <x:c r="V826" s="24" t="n">
        <x:f>IFERROR(F826/J826,0)-IFERROR(G826/K826,0)</x:f>
        <x:v>0.4666666666666666</x:v>
      </x:c>
      <x:c r="W826" s="28" t="n">
        <x:f>L826-M826</x:f>
        <x:v>-8</x:v>
      </x:c>
      <x:c r="X826" s="24" t="n">
        <x:f>IFERROR(K826/I826,0)</x:f>
        <x:v>0.29411764705882354</x:v>
      </x:c>
      <x:c r="Y826" s="24" t="n">
        <x:f>IFERROR(G826/I826,0)</x:f>
        <x:v>0.058823529411764705</x:v>
      </x:c>
      <x:c r="Z826" s="24" t="n">
        <x:f>IFERROR(G826/K826,0)</x:f>
        <x:v>0.2</x:v>
      </x:c>
      <x:c r="AA826" s="24" t="n">
        <x:f>IFERROR(F826/H826,0)-IFERROR(G826/I826,0)</x:f>
        <x:v>0.22689075630252098</x:v>
      </x:c>
      <x:c r="AB826" s="28" t="n">
        <x:f>J826-K826</x:f>
        <x:v>-2</x:v>
      </x:c>
      <x:c r="AC826" s="32" t="n">
        <x:f>F826-G826</x:f>
        <x:v>1</x:v>
      </x:c>
    </x:row>
    <x:row r="827">
      <x:c r="A827" s="4" t="str">
        <x:v>2022-23</x:v>
      </x:c>
      <x:c r="B827" s="20" t="n">
        <x:v>44800</x:v>
      </x:c>
      <x:c r="C827" s="4" t="str">
        <x:v>Crystal Palace</x:v>
      </x:c>
      <x:c r="D827" s="4" t="str">
        <x:v>Man City</x:v>
      </x:c>
      <x:c r="E827" s="4" t="str">
        <x:v>Away</x:v>
      </x:c>
      <x:c r="F827" s="28" t="n">
        <x:v>2</x:v>
      </x:c>
      <x:c r="G827" s="28" t="n">
        <x:v>4</x:v>
      </x:c>
      <x:c r="H827" s="28" t="n">
        <x:v>2</x:v>
      </x:c>
      <x:c r="I827" s="28" t="n">
        <x:v>18</x:v>
      </x:c>
      <x:c r="J827" s="28" t="n">
        <x:v>2</x:v>
      </x:c>
      <x:c r="K827" s="28" t="n">
        <x:v>5</x:v>
      </x:c>
      <x:c r="L827" s="28" t="n">
        <x:v>1</x:v>
      </x:c>
      <x:c r="M827" s="28" t="n">
        <x:v>6</x:v>
      </x:c>
      <x:c r="N827" s="28" t="n">
        <x:v>2</x:v>
      </x:c>
      <x:c r="O827" s="28" t="n">
        <x:v>0</x:v>
      </x:c>
      <x:c r="P827" s="28" t="n">
        <x:v>0</x:v>
      </x:c>
      <x:c r="Q827" s="24" t="n">
        <x:f>IFERROR(J827/H827,0)</x:f>
        <x:v>1</x:v>
      </x:c>
      <x:c r="R827" s="24" t="n">
        <x:f>IFERROR(F827/H827,0)</x:f>
        <x:v>1</x:v>
      </x:c>
      <x:c r="S827" s="24" t="n">
        <x:f>IFERROR(F827/J827,0)</x:f>
        <x:v>1</x:v>
      </x:c>
      <x:c r="T827" s="28" t="n">
        <x:f>H827-I827</x:f>
        <x:v>-16</x:v>
      </x:c>
      <x:c r="U827" s="24" t="n">
        <x:f>IFERROR(J827/H827,0)-IFERROR(K827/I827,0)</x:f>
        <x:v>0.7222222222222222</x:v>
      </x:c>
      <x:c r="V827" s="24" t="n">
        <x:f>IFERROR(F827/J827,0)-IFERROR(G827/K827,0)</x:f>
        <x:v>0.19999999999999996</x:v>
      </x:c>
      <x:c r="W827" s="28" t="n">
        <x:f>L827-M827</x:f>
        <x:v>-5</x:v>
      </x:c>
      <x:c r="X827" s="24" t="n">
        <x:f>IFERROR(K827/I827,0)</x:f>
        <x:v>0.2777777777777778</x:v>
      </x:c>
      <x:c r="Y827" s="24" t="n">
        <x:f>IFERROR(G827/I827,0)</x:f>
        <x:v>0.2222222222222222</x:v>
      </x:c>
      <x:c r="Z827" s="24" t="n">
        <x:f>IFERROR(G827/K827,0)</x:f>
        <x:v>0.8</x:v>
      </x:c>
      <x:c r="AA827" s="24" t="n">
        <x:f>IFERROR(F827/H827,0)-IFERROR(G827/I827,0)</x:f>
        <x:v>0.7777777777777778</x:v>
      </x:c>
      <x:c r="AB827" s="28" t="n">
        <x:f>J827-K827</x:f>
        <x:v>-3</x:v>
      </x:c>
      <x:c r="AC827" s="32" t="n">
        <x:f>F827-G827</x:f>
        <x:v>-2</x:v>
      </x:c>
    </x:row>
    <x:row r="828">
      <x:c r="A828" s="4" t="str">
        <x:v>2022-23</x:v>
      </x:c>
      <x:c r="B828" s="20" t="n">
        <x:v>44800</x:v>
      </x:c>
      <x:c r="C828" s="4" t="str">
        <x:v>Everton</x:v>
      </x:c>
      <x:c r="D828" s="4" t="str">
        <x:v>Brentford</x:v>
      </x:c>
      <x:c r="E828" s="4" t="str">
        <x:v>Away</x:v>
      </x:c>
      <x:c r="F828" s="28" t="n">
        <x:v>1</x:v>
      </x:c>
      <x:c r="G828" s="28" t="n">
        <x:v>1</x:v>
      </x:c>
      <x:c r="H828" s="28" t="n">
        <x:v>14</x:v>
      </x:c>
      <x:c r="I828" s="28" t="n">
        <x:v>19</x:v>
      </x:c>
      <x:c r="J828" s="28" t="n">
        <x:v>7</x:v>
      </x:c>
      <x:c r="K828" s="28" t="n">
        <x:v>5</x:v>
      </x:c>
      <x:c r="L828" s="28" t="n">
        <x:v>5</x:v>
      </x:c>
      <x:c r="M828" s="28" t="n">
        <x:v>8</x:v>
      </x:c>
      <x:c r="N828" s="28" t="n">
        <x:v>2</x:v>
      </x:c>
      <x:c r="O828" s="28" t="n">
        <x:v>0</x:v>
      </x:c>
      <x:c r="P828" s="28" t="n">
        <x:v>1</x:v>
      </x:c>
      <x:c r="Q828" s="24" t="n">
        <x:f>IFERROR(J828/H828,0)</x:f>
        <x:v>0.5</x:v>
      </x:c>
      <x:c r="R828" s="24" t="n">
        <x:f>IFERROR(F828/H828,0)</x:f>
        <x:v>0.07142857142857142</x:v>
      </x:c>
      <x:c r="S828" s="24" t="n">
        <x:f>IFERROR(F828/J828,0)</x:f>
        <x:v>0.14285714285714285</x:v>
      </x:c>
      <x:c r="T828" s="28" t="n">
        <x:f>H828-I828</x:f>
        <x:v>-5</x:v>
      </x:c>
      <x:c r="U828" s="24" t="n">
        <x:f>IFERROR(J828/H828,0)-IFERROR(K828/I828,0)</x:f>
        <x:v>0.2368421052631579</x:v>
      </x:c>
      <x:c r="V828" s="24" t="n">
        <x:f>IFERROR(F828/J828,0)-IFERROR(G828/K828,0)</x:f>
        <x:v>-0.05714285714285716</x:v>
      </x:c>
      <x:c r="W828" s="28" t="n">
        <x:f>L828-M828</x:f>
        <x:v>-3</x:v>
      </x:c>
      <x:c r="X828" s="24" t="n">
        <x:f>IFERROR(K828/I828,0)</x:f>
        <x:v>0.2631578947368421</x:v>
      </x:c>
      <x:c r="Y828" s="24" t="n">
        <x:f>IFERROR(G828/I828,0)</x:f>
        <x:v>0.05263157894736842</x:v>
      </x:c>
      <x:c r="Z828" s="24" t="n">
        <x:f>IFERROR(G828/K828,0)</x:f>
        <x:v>0.2</x:v>
      </x:c>
      <x:c r="AA828" s="24" t="n">
        <x:f>IFERROR(F828/H828,0)-IFERROR(G828/I828,0)</x:f>
        <x:v>0.018796992481203006</x:v>
      </x:c>
      <x:c r="AB828" s="28" t="n">
        <x:f>J828-K828</x:f>
        <x:v>2</x:v>
      </x:c>
      <x:c r="AC828" s="32" t="n">
        <x:f>F828-G828</x:f>
        <x:v>0</x:v>
      </x:c>
    </x:row>
    <x:row r="829">
      <x:c r="A829" s="4" t="str">
        <x:v>2022-23</x:v>
      </x:c>
      <x:c r="B829" s="20" t="n">
        <x:v>44800</x:v>
      </x:c>
      <x:c r="C829" s="4" t="str">
        <x:v>Fulham</x:v>
      </x:c>
      <x:c r="D829" s="4" t="str">
        <x:v>Arsenal</x:v>
      </x:c>
      <x:c r="E829" s="4" t="str">
        <x:v>Away</x:v>
      </x:c>
      <x:c r="F829" s="28" t="n">
        <x:v>1</x:v>
      </x:c>
      <x:c r="G829" s="28" t="n">
        <x:v>2</x:v>
      </x:c>
      <x:c r="H829" s="28" t="n">
        <x:v>11</x:v>
      </x:c>
      <x:c r="I829" s="28" t="n">
        <x:v>22</x:v>
      </x:c>
      <x:c r="J829" s="28" t="n">
        <x:v>3</x:v>
      </x:c>
      <x:c r="K829" s="28" t="n">
        <x:v>8</x:v>
      </x:c>
      <x:c r="L829" s="28" t="n">
        <x:v>2</x:v>
      </x:c>
      <x:c r="M829" s="28" t="n">
        <x:v>9</x:v>
      </x:c>
      <x:c r="N829" s="28" t="n">
        <x:v>3</x:v>
      </x:c>
      <x:c r="O829" s="28" t="n">
        <x:v>0</x:v>
      </x:c>
      <x:c r="P829" s="28" t="n">
        <x:v>0</x:v>
      </x:c>
      <x:c r="Q829" s="24" t="n">
        <x:f>IFERROR(J829/H829,0)</x:f>
        <x:v>0.2727272727272727</x:v>
      </x:c>
      <x:c r="R829" s="24" t="n">
        <x:f>IFERROR(F829/H829,0)</x:f>
        <x:v>0.09090909090909091</x:v>
      </x:c>
      <x:c r="S829" s="24" t="n">
        <x:f>IFERROR(F829/J829,0)</x:f>
        <x:v>0.3333333333333333</x:v>
      </x:c>
      <x:c r="T829" s="28" t="n">
        <x:f>H829-I829</x:f>
        <x:v>-11</x:v>
      </x:c>
      <x:c r="U829" s="24" t="n">
        <x:f>IFERROR(J829/H829,0)-IFERROR(K829/I829,0)</x:f>
        <x:v>-0.09090909090909094</x:v>
      </x:c>
      <x:c r="V829" s="24" t="n">
        <x:f>IFERROR(F829/J829,0)-IFERROR(G829/K829,0)</x:f>
        <x:v>0.08333333333333331</x:v>
      </x:c>
      <x:c r="W829" s="28" t="n">
        <x:f>L829-M829</x:f>
        <x:v>-7</x:v>
      </x:c>
      <x:c r="X829" s="24" t="n">
        <x:f>IFERROR(K829/I829,0)</x:f>
        <x:v>0.36363636363636365</x:v>
      </x:c>
      <x:c r="Y829" s="24" t="n">
        <x:f>IFERROR(G829/I829,0)</x:f>
        <x:v>0.09090909090909091</x:v>
      </x:c>
      <x:c r="Z829" s="24" t="n">
        <x:f>IFERROR(G829/K829,0)</x:f>
        <x:v>0.25</x:v>
      </x:c>
      <x:c r="AA829" s="24" t="n">
        <x:f>IFERROR(F829/H829,0)-IFERROR(G829/I829,0)</x:f>
        <x:v>0</x:v>
      </x:c>
      <x:c r="AB829" s="28" t="n">
        <x:f>J829-K829</x:f>
        <x:v>-5</x:v>
      </x:c>
      <x:c r="AC829" s="32" t="n">
        <x:f>F829-G829</x:f>
        <x:v>-1</x:v>
      </x:c>
    </x:row>
    <x:row r="830">
      <x:c r="A830" s="4" t="str">
        <x:v>2022-23</x:v>
      </x:c>
      <x:c r="B830" s="20" t="n">
        <x:v>44800</x:v>
      </x:c>
      <x:c r="C830" s="4" t="str">
        <x:v>Leeds</x:v>
      </x:c>
      <x:c r="D830" s="4" t="str">
        <x:v>Brighton</x:v>
      </x:c>
      <x:c r="E830" s="4" t="str">
        <x:v>Away</x:v>
      </x:c>
      <x:c r="F830" s="28" t="n">
        <x:v>0</x:v>
      </x:c>
      <x:c r="G830" s="28" t="n">
        <x:v>1</x:v>
      </x:c>
      <x:c r="H830" s="28" t="n">
        <x:v>10</x:v>
      </x:c>
      <x:c r="I830" s="28" t="n">
        <x:v>13</x:v>
      </x:c>
      <x:c r="J830" s="28" t="n">
        <x:v>2</x:v>
      </x:c>
      <x:c r="K830" s="28" t="n">
        <x:v>4</x:v>
      </x:c>
      <x:c r="L830" s="28" t="n">
        <x:v>3</x:v>
      </x:c>
      <x:c r="M830" s="28" t="n">
        <x:v>5</x:v>
      </x:c>
      <x:c r="N830" s="28" t="n">
        <x:v>3</x:v>
      </x:c>
      <x:c r="O830" s="28" t="n">
        <x:v>0</x:v>
      </x:c>
      <x:c r="P830" s="28" t="n">
        <x:v>0</x:v>
      </x:c>
      <x:c r="Q830" s="24" t="n">
        <x:f>IFERROR(J830/H830,0)</x:f>
        <x:v>0.2</x:v>
      </x:c>
      <x:c r="R830" s="24" t="n">
        <x:f>IFERROR(F830/H830,0)</x:f>
        <x:v>0</x:v>
      </x:c>
      <x:c r="S830" s="24" t="n">
        <x:f>IFERROR(F830/J830,0)</x:f>
        <x:v>0</x:v>
      </x:c>
      <x:c r="T830" s="28" t="n">
        <x:f>H830-I830</x:f>
        <x:v>-3</x:v>
      </x:c>
      <x:c r="U830" s="24" t="n">
        <x:f>IFERROR(J830/H830,0)-IFERROR(K830/I830,0)</x:f>
        <x:v>-0.1076923076923077</x:v>
      </x:c>
      <x:c r="V830" s="24" t="n">
        <x:f>IFERROR(F830/J830,0)-IFERROR(G830/K830,0)</x:f>
        <x:v>-0.25</x:v>
      </x:c>
      <x:c r="W830" s="28" t="n">
        <x:f>L830-M830</x:f>
        <x:v>-2</x:v>
      </x:c>
      <x:c r="X830" s="24" t="n">
        <x:f>IFERROR(K830/I830,0)</x:f>
        <x:v>0.3076923076923077</x:v>
      </x:c>
      <x:c r="Y830" s="24" t="n">
        <x:f>IFERROR(G830/I830,0)</x:f>
        <x:v>0.07692307692307693</x:v>
      </x:c>
      <x:c r="Z830" s="24" t="n">
        <x:f>IFERROR(G830/K830,0)</x:f>
        <x:v>0.25</x:v>
      </x:c>
      <x:c r="AA830" s="24" t="n">
        <x:f>IFERROR(F830/H830,0)-IFERROR(G830/I830,0)</x:f>
        <x:v>-0.07692307692307693</x:v>
      </x:c>
      <x:c r="AB830" s="28" t="n">
        <x:f>J830-K830</x:f>
        <x:v>-2</x:v>
      </x:c>
      <x:c r="AC830" s="32" t="n">
        <x:f>F830-G830</x:f>
        <x:v>-1</x:v>
      </x:c>
    </x:row>
    <x:row r="831">
      <x:c r="A831" s="4" t="str">
        <x:v>2022-23</x:v>
      </x:c>
      <x:c r="B831" s="20" t="n">
        <x:v>44800</x:v>
      </x:c>
      <x:c r="C831" s="4" t="str">
        <x:v>Leicester</x:v>
      </x:c>
      <x:c r="D831" s="4" t="str">
        <x:v>Chelsea</x:v>
      </x:c>
      <x:c r="E831" s="4" t="str">
        <x:v>Away</x:v>
      </x:c>
      <x:c r="F831" s="28" t="n">
        <x:v>1</x:v>
      </x:c>
      <x:c r="G831" s="28" t="n">
        <x:v>2</x:v>
      </x:c>
      <x:c r="H831" s="28" t="n">
        <x:v>17</x:v>
      </x:c>
      <x:c r="I831" s="28" t="n">
        <x:v>7</x:v>
      </x:c>
      <x:c r="J831" s="28" t="n">
        <x:v>5</x:v>
      </x:c>
      <x:c r="K831" s="28" t="n">
        <x:v>3</x:v>
      </x:c>
      <x:c r="L831" s="28" t="n">
        <x:v>11</x:v>
      </x:c>
      <x:c r="M831" s="28" t="n">
        <x:v>3</x:v>
      </x:c>
      <x:c r="N831" s="28" t="n">
        <x:v>2</x:v>
      </x:c>
      <x:c r="O831" s="28" t="n">
        <x:v>0</x:v>
      </x:c>
      <x:c r="P831" s="28" t="n">
        <x:v>0</x:v>
      </x:c>
      <x:c r="Q831" s="24" t="n">
        <x:f>IFERROR(J831/H831,0)</x:f>
        <x:v>0.29411764705882354</x:v>
      </x:c>
      <x:c r="R831" s="24" t="n">
        <x:f>IFERROR(F831/H831,0)</x:f>
        <x:v>0.058823529411764705</x:v>
      </x:c>
      <x:c r="S831" s="24" t="n">
        <x:f>IFERROR(F831/J831,0)</x:f>
        <x:v>0.2</x:v>
      </x:c>
      <x:c r="T831" s="28" t="n">
        <x:f>H831-I831</x:f>
        <x:v>10</x:v>
      </x:c>
      <x:c r="U831" s="24" t="n">
        <x:f>IFERROR(J831/H831,0)-IFERROR(K831/I831,0)</x:f>
        <x:v>-0.134453781512605</x:v>
      </x:c>
      <x:c r="V831" s="24" t="n">
        <x:f>IFERROR(F831/J831,0)-IFERROR(G831/K831,0)</x:f>
        <x:v>-0.4666666666666666</x:v>
      </x:c>
      <x:c r="W831" s="28" t="n">
        <x:f>L831-M831</x:f>
        <x:v>8</x:v>
      </x:c>
      <x:c r="X831" s="24" t="n">
        <x:f>IFERROR(K831/I831,0)</x:f>
        <x:v>0.42857142857142855</x:v>
      </x:c>
      <x:c r="Y831" s="24" t="n">
        <x:f>IFERROR(G831/I831,0)</x:f>
        <x:v>0.2857142857142857</x:v>
      </x:c>
      <x:c r="Z831" s="24" t="n">
        <x:f>IFERROR(G831/K831,0)</x:f>
        <x:v>0.6666666666666666</x:v>
      </x:c>
      <x:c r="AA831" s="24" t="n">
        <x:f>IFERROR(F831/H831,0)-IFERROR(G831/I831,0)</x:f>
        <x:v>-0.22689075630252098</x:v>
      </x:c>
      <x:c r="AB831" s="28" t="n">
        <x:f>J831-K831</x:f>
        <x:v>2</x:v>
      </x:c>
      <x:c r="AC831" s="32" t="n">
        <x:f>F831-G831</x:f>
        <x:v>-1</x:v>
      </x:c>
    </x:row>
    <x:row r="832">
      <x:c r="A832" s="4" t="str">
        <x:v>2022-23</x:v>
      </x:c>
      <x:c r="B832" s="20" t="n">
        <x:v>44800</x:v>
      </x:c>
      <x:c r="C832" s="4" t="str">
        <x:v>Liverpool</x:v>
      </x:c>
      <x:c r="D832" s="4" t="str">
        <x:v>Bournemouth</x:v>
      </x:c>
      <x:c r="E832" s="4" t="str">
        <x:v>Home</x:v>
      </x:c>
      <x:c r="F832" s="28" t="n">
        <x:v>9</x:v>
      </x:c>
      <x:c r="G832" s="28" t="n">
        <x:v>0</x:v>
      </x:c>
      <x:c r="H832" s="28" t="n">
        <x:v>19</x:v>
      </x:c>
      <x:c r="I832" s="28" t="n">
        <x:v>5</x:v>
      </x:c>
      <x:c r="J832" s="28" t="n">
        <x:v>12</x:v>
      </x:c>
      <x:c r="K832" s="28" t="n">
        <x:v>2</x:v>
      </x:c>
      <x:c r="L832" s="28" t="n">
        <x:v>8</x:v>
      </x:c>
      <x:c r="M832" s="28" t="n">
        <x:v>1</x:v>
      </x:c>
      <x:c r="N832" s="28" t="n">
        <x:v>0</x:v>
      </x:c>
      <x:c r="O832" s="28" t="n">
        <x:v>0</x:v>
      </x:c>
      <x:c r="P832" s="28" t="n">
        <x:v>3</x:v>
      </x:c>
      <x:c r="Q832" s="24" t="n">
        <x:f>IFERROR(J832/H832,0)</x:f>
        <x:v>0.631578947368421</x:v>
      </x:c>
      <x:c r="R832" s="24" t="n">
        <x:f>IFERROR(F832/H832,0)</x:f>
        <x:v>0.47368421052631576</x:v>
      </x:c>
      <x:c r="S832" s="24" t="n">
        <x:f>IFERROR(F832/J832,0)</x:f>
        <x:v>0.75</x:v>
      </x:c>
      <x:c r="T832" s="28" t="n">
        <x:f>H832-I832</x:f>
        <x:v>14</x:v>
      </x:c>
      <x:c r="U832" s="24" t="n">
        <x:f>IFERROR(J832/H832,0)-IFERROR(K832/I832,0)</x:f>
        <x:v>0.231578947368421</x:v>
      </x:c>
      <x:c r="V832" s="24" t="n">
        <x:f>IFERROR(F832/J832,0)-IFERROR(G832/K832,0)</x:f>
        <x:v>0.75</x:v>
      </x:c>
      <x:c r="W832" s="28" t="n">
        <x:f>L832-M832</x:f>
        <x:v>7</x:v>
      </x:c>
      <x:c r="X832" s="24" t="n">
        <x:f>IFERROR(K832/I832,0)</x:f>
        <x:v>0.4</x:v>
      </x:c>
      <x:c r="Y832" s="24" t="n">
        <x:f>IFERROR(G832/I832,0)</x:f>
        <x:v>0</x:v>
      </x:c>
      <x:c r="Z832" s="24" t="n">
        <x:f>IFERROR(G832/K832,0)</x:f>
        <x:v>0</x:v>
      </x:c>
      <x:c r="AA832" s="24" t="n">
        <x:f>IFERROR(F832/H832,0)-IFERROR(G832/I832,0)</x:f>
        <x:v>0.47368421052631576</x:v>
      </x:c>
      <x:c r="AB832" s="28" t="n">
        <x:f>J832-K832</x:f>
        <x:v>10</x:v>
      </x:c>
      <x:c r="AC832" s="32" t="n">
        <x:f>F832-G832</x:f>
        <x:v>9</x:v>
      </x:c>
    </x:row>
    <x:row r="833">
      <x:c r="A833" s="4" t="str">
        <x:v>2022-23</x:v>
      </x:c>
      <x:c r="B833" s="20" t="n">
        <x:v>44800</x:v>
      </x:c>
      <x:c r="C833" s="4" t="str">
        <x:v>Man City</x:v>
      </x:c>
      <x:c r="D833" s="4" t="str">
        <x:v>Crystal Palace</x:v>
      </x:c>
      <x:c r="E833" s="4" t="str">
        <x:v>Home</x:v>
      </x:c>
      <x:c r="F833" s="28" t="n">
        <x:v>4</x:v>
      </x:c>
      <x:c r="G833" s="28" t="n">
        <x:v>2</x:v>
      </x:c>
      <x:c r="H833" s="28" t="n">
        <x:v>18</x:v>
      </x:c>
      <x:c r="I833" s="28" t="n">
        <x:v>2</x:v>
      </x:c>
      <x:c r="J833" s="28" t="n">
        <x:v>5</x:v>
      </x:c>
      <x:c r="K833" s="28" t="n">
        <x:v>2</x:v>
      </x:c>
      <x:c r="L833" s="28" t="n">
        <x:v>6</x:v>
      </x:c>
      <x:c r="M833" s="28" t="n">
        <x:v>1</x:v>
      </x:c>
      <x:c r="N833" s="28" t="n">
        <x:v>1</x:v>
      </x:c>
      <x:c r="O833" s="28" t="n">
        <x:v>0</x:v>
      </x:c>
      <x:c r="P833" s="28" t="n">
        <x:v>3</x:v>
      </x:c>
      <x:c r="Q833" s="24" t="n">
        <x:f>IFERROR(J833/H833,0)</x:f>
        <x:v>0.2777777777777778</x:v>
      </x:c>
      <x:c r="R833" s="24" t="n">
        <x:f>IFERROR(F833/H833,0)</x:f>
        <x:v>0.2222222222222222</x:v>
      </x:c>
      <x:c r="S833" s="24" t="n">
        <x:f>IFERROR(F833/J833,0)</x:f>
        <x:v>0.8</x:v>
      </x:c>
      <x:c r="T833" s="28" t="n">
        <x:f>H833-I833</x:f>
        <x:v>16</x:v>
      </x:c>
      <x:c r="U833" s="24" t="n">
        <x:f>IFERROR(J833/H833,0)-IFERROR(K833/I833,0)</x:f>
        <x:v>-0.7222222222222222</x:v>
      </x:c>
      <x:c r="V833" s="24" t="n">
        <x:f>IFERROR(F833/J833,0)-IFERROR(G833/K833,0)</x:f>
        <x:v>-0.19999999999999996</x:v>
      </x:c>
      <x:c r="W833" s="28" t="n">
        <x:f>L833-M833</x:f>
        <x:v>5</x:v>
      </x:c>
      <x:c r="X833" s="24" t="n">
        <x:f>IFERROR(K833/I833,0)</x:f>
        <x:v>1</x:v>
      </x:c>
      <x:c r="Y833" s="24" t="n">
        <x:f>IFERROR(G833/I833,0)</x:f>
        <x:v>1</x:v>
      </x:c>
      <x:c r="Z833" s="24" t="n">
        <x:f>IFERROR(G833/K833,0)</x:f>
        <x:v>1</x:v>
      </x:c>
      <x:c r="AA833" s="24" t="n">
        <x:f>IFERROR(F833/H833,0)-IFERROR(G833/I833,0)</x:f>
        <x:v>-0.7777777777777778</x:v>
      </x:c>
      <x:c r="AB833" s="28" t="n">
        <x:f>J833-K833</x:f>
        <x:v>3</x:v>
      </x:c>
      <x:c r="AC833" s="32" t="n">
        <x:f>F833-G833</x:f>
        <x:v>2</x:v>
      </x:c>
    </x:row>
    <x:row r="834">
      <x:c r="A834" s="4" t="str">
        <x:v>2022-23</x:v>
      </x:c>
      <x:c r="B834" s="20" t="n">
        <x:v>44800</x:v>
      </x:c>
      <x:c r="C834" s="4" t="str">
        <x:v>Man United</x:v>
      </x:c>
      <x:c r="D834" s="4" t="str">
        <x:v>Southampton</x:v>
      </x:c>
      <x:c r="E834" s="4" t="str">
        <x:v>Away</x:v>
      </x:c>
      <x:c r="F834" s="28" t="n">
        <x:v>1</x:v>
      </x:c>
      <x:c r="G834" s="28" t="n">
        <x:v>0</x:v>
      </x:c>
      <x:c r="H834" s="28" t="n">
        <x:v>11</x:v>
      </x:c>
      <x:c r="I834" s="28" t="n">
        <x:v>17</x:v>
      </x:c>
      <x:c r="J834" s="28" t="n">
        <x:v>6</x:v>
      </x:c>
      <x:c r="K834" s="28" t="n">
        <x:v>5</x:v>
      </x:c>
      <x:c r="L834" s="28" t="n">
        <x:v>3</x:v>
      </x:c>
      <x:c r="M834" s="28" t="n">
        <x:v>5</x:v>
      </x:c>
      <x:c r="N834" s="28" t="n">
        <x:v>3</x:v>
      </x:c>
      <x:c r="O834" s="28" t="n">
        <x:v>0</x:v>
      </x:c>
      <x:c r="P834" s="28" t="n">
        <x:v>3</x:v>
      </x:c>
      <x:c r="Q834" s="24" t="n">
        <x:f>IFERROR(J834/H834,0)</x:f>
        <x:v>0.5454545454545454</x:v>
      </x:c>
      <x:c r="R834" s="24" t="n">
        <x:f>IFERROR(F834/H834,0)</x:f>
        <x:v>0.09090909090909091</x:v>
      </x:c>
      <x:c r="S834" s="24" t="n">
        <x:f>IFERROR(F834/J834,0)</x:f>
        <x:v>0.16666666666666666</x:v>
      </x:c>
      <x:c r="T834" s="28" t="n">
        <x:f>H834-I834</x:f>
        <x:v>-6</x:v>
      </x:c>
      <x:c r="U834" s="24" t="n">
        <x:f>IFERROR(J834/H834,0)-IFERROR(K834/I834,0)</x:f>
        <x:v>0.2513368983957219</x:v>
      </x:c>
      <x:c r="V834" s="24" t="n">
        <x:f>IFERROR(F834/J834,0)-IFERROR(G834/K834,0)</x:f>
        <x:v>0.16666666666666666</x:v>
      </x:c>
      <x:c r="W834" s="28" t="n">
        <x:f>L834-M834</x:f>
        <x:v>-2</x:v>
      </x:c>
      <x:c r="X834" s="24" t="n">
        <x:f>IFERROR(K834/I834,0)</x:f>
        <x:v>0.29411764705882354</x:v>
      </x:c>
      <x:c r="Y834" s="24" t="n">
        <x:f>IFERROR(G834/I834,0)</x:f>
        <x:v>0</x:v>
      </x:c>
      <x:c r="Z834" s="24" t="n">
        <x:f>IFERROR(G834/K834,0)</x:f>
        <x:v>0</x:v>
      </x:c>
      <x:c r="AA834" s="24" t="n">
        <x:f>IFERROR(F834/H834,0)-IFERROR(G834/I834,0)</x:f>
        <x:v>0.09090909090909091</x:v>
      </x:c>
      <x:c r="AB834" s="28" t="n">
        <x:f>J834-K834</x:f>
        <x:v>1</x:v>
      </x:c>
      <x:c r="AC834" s="32" t="n">
        <x:f>F834-G834</x:f>
        <x:v>1</x:v>
      </x:c>
    </x:row>
    <x:row r="835">
      <x:c r="A835" s="4" t="str">
        <x:v>2022-23</x:v>
      </x:c>
      <x:c r="B835" s="20" t="n">
        <x:v>44800</x:v>
      </x:c>
      <x:c r="C835" s="4" t="str">
        <x:v>Southampton</x:v>
      </x:c>
      <x:c r="D835" s="4" t="str">
        <x:v>Man United</x:v>
      </x:c>
      <x:c r="E835" s="4" t="str">
        <x:v>Home</x:v>
      </x:c>
      <x:c r="F835" s="28" t="n">
        <x:v>0</x:v>
      </x:c>
      <x:c r="G835" s="28" t="n">
        <x:v>1</x:v>
      </x:c>
      <x:c r="H835" s="28" t="n">
        <x:v>17</x:v>
      </x:c>
      <x:c r="I835" s="28" t="n">
        <x:v>11</x:v>
      </x:c>
      <x:c r="J835" s="28" t="n">
        <x:v>5</x:v>
      </x:c>
      <x:c r="K835" s="28" t="n">
        <x:v>6</x:v>
      </x:c>
      <x:c r="L835" s="28" t="n">
        <x:v>5</x:v>
      </x:c>
      <x:c r="M835" s="28" t="n">
        <x:v>3</x:v>
      </x:c>
      <x:c r="N835" s="28" t="n">
        <x:v>0</x:v>
      </x:c>
      <x:c r="O835" s="28" t="n">
        <x:v>0</x:v>
      </x:c>
      <x:c r="P835" s="28" t="n">
        <x:v>0</x:v>
      </x:c>
      <x:c r="Q835" s="24" t="n">
        <x:f>IFERROR(J835/H835,0)</x:f>
        <x:v>0.29411764705882354</x:v>
      </x:c>
      <x:c r="R835" s="24" t="n">
        <x:f>IFERROR(F835/H835,0)</x:f>
        <x:v>0</x:v>
      </x:c>
      <x:c r="S835" s="24" t="n">
        <x:f>IFERROR(F835/J835,0)</x:f>
        <x:v>0</x:v>
      </x:c>
      <x:c r="T835" s="28" t="n">
        <x:f>H835-I835</x:f>
        <x:v>6</x:v>
      </x:c>
      <x:c r="U835" s="24" t="n">
        <x:f>IFERROR(J835/H835,0)-IFERROR(K835/I835,0)</x:f>
        <x:v>-0.2513368983957219</x:v>
      </x:c>
      <x:c r="V835" s="24" t="n">
        <x:f>IFERROR(F835/J835,0)-IFERROR(G835/K835,0)</x:f>
        <x:v>-0.16666666666666666</x:v>
      </x:c>
      <x:c r="W835" s="28" t="n">
        <x:f>L835-M835</x:f>
        <x:v>2</x:v>
      </x:c>
      <x:c r="X835" s="24" t="n">
        <x:f>IFERROR(K835/I835,0)</x:f>
        <x:v>0.5454545454545454</x:v>
      </x:c>
      <x:c r="Y835" s="24" t="n">
        <x:f>IFERROR(G835/I835,0)</x:f>
        <x:v>0.09090909090909091</x:v>
      </x:c>
      <x:c r="Z835" s="24" t="n">
        <x:f>IFERROR(G835/K835,0)</x:f>
        <x:v>0.16666666666666666</x:v>
      </x:c>
      <x:c r="AA835" s="24" t="n">
        <x:f>IFERROR(F835/H835,0)-IFERROR(G835/I835,0)</x:f>
        <x:v>-0.09090909090909091</x:v>
      </x:c>
      <x:c r="AB835" s="28" t="n">
        <x:f>J835-K835</x:f>
        <x:v>-1</x:v>
      </x:c>
      <x:c r="AC835" s="32" t="n">
        <x:f>F835-G835</x:f>
        <x:v>-1</x:v>
      </x:c>
    </x:row>
    <x:row r="836">
      <x:c r="A836" s="4" t="str">
        <x:v>2022-23</x:v>
      </x:c>
      <x:c r="B836" s="20" t="n">
        <x:v>44801</x:v>
      </x:c>
      <x:c r="C836" s="4" t="str">
        <x:v>Aston Villa</x:v>
      </x:c>
      <x:c r="D836" s="4" t="str">
        <x:v>West Ham</x:v>
      </x:c>
      <x:c r="E836" s="4" t="str">
        <x:v>Home</x:v>
      </x:c>
      <x:c r="F836" s="28" t="n">
        <x:v>0</x:v>
      </x:c>
      <x:c r="G836" s="28" t="n">
        <x:v>1</x:v>
      </x:c>
      <x:c r="H836" s="28" t="n">
        <x:v>9</x:v>
      </x:c>
      <x:c r="I836" s="28" t="n">
        <x:v>7</x:v>
      </x:c>
      <x:c r="J836" s="28" t="n">
        <x:v>3</x:v>
      </x:c>
      <x:c r="K836" s="28" t="n">
        <x:v>2</x:v>
      </x:c>
      <x:c r="L836" s="28" t="n">
        <x:v>3</x:v>
      </x:c>
      <x:c r="M836" s="28" t="n">
        <x:v>2</x:v>
      </x:c>
      <x:c r="N836" s="28" t="n">
        <x:v>2</x:v>
      </x:c>
      <x:c r="O836" s="28" t="n">
        <x:v>0</x:v>
      </x:c>
      <x:c r="P836" s="28" t="n">
        <x:v>0</x:v>
      </x:c>
      <x:c r="Q836" s="24" t="n">
        <x:f>IFERROR(J836/H836,0)</x:f>
        <x:v>0.3333333333333333</x:v>
      </x:c>
      <x:c r="R836" s="24" t="n">
        <x:f>IFERROR(F836/H836,0)</x:f>
        <x:v>0</x:v>
      </x:c>
      <x:c r="S836" s="24" t="n">
        <x:f>IFERROR(F836/J836,0)</x:f>
        <x:v>0</x:v>
      </x:c>
      <x:c r="T836" s="28" t="n">
        <x:f>H836-I836</x:f>
        <x:v>2</x:v>
      </x:c>
      <x:c r="U836" s="24" t="n">
        <x:f>IFERROR(J836/H836,0)-IFERROR(K836/I836,0)</x:f>
        <x:v>0.047619047619047616</x:v>
      </x:c>
      <x:c r="V836" s="24" t="n">
        <x:f>IFERROR(F836/J836,0)-IFERROR(G836/K836,0)</x:f>
        <x:v>-0.5</x:v>
      </x:c>
      <x:c r="W836" s="28" t="n">
        <x:f>L836-M836</x:f>
        <x:v>1</x:v>
      </x:c>
      <x:c r="X836" s="24" t="n">
        <x:f>IFERROR(K836/I836,0)</x:f>
        <x:v>0.2857142857142857</x:v>
      </x:c>
      <x:c r="Y836" s="24" t="n">
        <x:f>IFERROR(G836/I836,0)</x:f>
        <x:v>0.14285714285714285</x:v>
      </x:c>
      <x:c r="Z836" s="24" t="n">
        <x:f>IFERROR(G836/K836,0)</x:f>
        <x:v>0.5</x:v>
      </x:c>
      <x:c r="AA836" s="24" t="n">
        <x:f>IFERROR(F836/H836,0)-IFERROR(G836/I836,0)</x:f>
        <x:v>-0.14285714285714285</x:v>
      </x:c>
      <x:c r="AB836" s="28" t="n">
        <x:f>J836-K836</x:f>
        <x:v>1</x:v>
      </x:c>
      <x:c r="AC836" s="32" t="n">
        <x:f>F836-G836</x:f>
        <x:v>-1</x:v>
      </x:c>
    </x:row>
    <x:row r="837">
      <x:c r="A837" s="4" t="str">
        <x:v>2022-23</x:v>
      </x:c>
      <x:c r="B837" s="20" t="n">
        <x:v>44801</x:v>
      </x:c>
      <x:c r="C837" s="4" t="str">
        <x:v>Newcastle</x:v>
      </x:c>
      <x:c r="D837" s="4" t="str">
        <x:v>Wolves</x:v>
      </x:c>
      <x:c r="E837" s="4" t="str">
        <x:v>Away</x:v>
      </x:c>
      <x:c r="F837" s="28" t="n">
        <x:v>1</x:v>
      </x:c>
      <x:c r="G837" s="28" t="n">
        <x:v>1</x:v>
      </x:c>
      <x:c r="H837" s="28" t="n">
        <x:v>21</x:v>
      </x:c>
      <x:c r="I837" s="28" t="n">
        <x:v>10</x:v>
      </x:c>
      <x:c r="J837" s="28" t="n">
        <x:v>6</x:v>
      </x:c>
      <x:c r="K837" s="28" t="n">
        <x:v>4</x:v>
      </x:c>
      <x:c r="L837" s="28" t="n">
        <x:v>13</x:v>
      </x:c>
      <x:c r="M837" s="28" t="n">
        <x:v>4</x:v>
      </x:c>
      <x:c r="N837" s="28" t="n">
        <x:v>1</x:v>
      </x:c>
      <x:c r="O837" s="28" t="n">
        <x:v>0</x:v>
      </x:c>
      <x:c r="P837" s="28" t="n">
        <x:v>1</x:v>
      </x:c>
      <x:c r="Q837" s="24" t="n">
        <x:f>IFERROR(J837/H837,0)</x:f>
        <x:v>0.2857142857142857</x:v>
      </x:c>
      <x:c r="R837" s="24" t="n">
        <x:f>IFERROR(F837/H837,0)</x:f>
        <x:v>0.047619047619047616</x:v>
      </x:c>
      <x:c r="S837" s="24" t="n">
        <x:f>IFERROR(F837/J837,0)</x:f>
        <x:v>0.16666666666666666</x:v>
      </x:c>
      <x:c r="T837" s="28" t="n">
        <x:f>H837-I837</x:f>
        <x:v>11</x:v>
      </x:c>
      <x:c r="U837" s="24" t="n">
        <x:f>IFERROR(J837/H837,0)-IFERROR(K837/I837,0)</x:f>
        <x:v>-0.11428571428571432</x:v>
      </x:c>
      <x:c r="V837" s="24" t="n">
        <x:f>IFERROR(F837/J837,0)-IFERROR(G837/K837,0)</x:f>
        <x:v>-0.08333333333333334</x:v>
      </x:c>
      <x:c r="W837" s="28" t="n">
        <x:f>L837-M837</x:f>
        <x:v>9</x:v>
      </x:c>
      <x:c r="X837" s="24" t="n">
        <x:f>IFERROR(K837/I837,0)</x:f>
        <x:v>0.4</x:v>
      </x:c>
      <x:c r="Y837" s="24" t="n">
        <x:f>IFERROR(G837/I837,0)</x:f>
        <x:v>0.1</x:v>
      </x:c>
      <x:c r="Z837" s="24" t="n">
        <x:f>IFERROR(G837/K837,0)</x:f>
        <x:v>0.25</x:v>
      </x:c>
      <x:c r="AA837" s="24" t="n">
        <x:f>IFERROR(F837/H837,0)-IFERROR(G837/I837,0)</x:f>
        <x:v>-0.05238095238095239</x:v>
      </x:c>
      <x:c r="AB837" s="28" t="n">
        <x:f>J837-K837</x:f>
        <x:v>2</x:v>
      </x:c>
      <x:c r="AC837" s="32" t="n">
        <x:f>F837-G837</x:f>
        <x:v>0</x:v>
      </x:c>
    </x:row>
    <x:row r="838">
      <x:c r="A838" s="4" t="str">
        <x:v>2022-23</x:v>
      </x:c>
      <x:c r="B838" s="20" t="n">
        <x:v>44801</x:v>
      </x:c>
      <x:c r="C838" s="4" t="str">
        <x:v>Nott'm Forest</x:v>
      </x:c>
      <x:c r="D838" s="4" t="str">
        <x:v>Tottenham</x:v>
      </x:c>
      <x:c r="E838" s="4" t="str">
        <x:v>Home</x:v>
      </x:c>
      <x:c r="F838" s="28" t="n">
        <x:v>0</x:v>
      </x:c>
      <x:c r="G838" s="28" t="n">
        <x:v>2</x:v>
      </x:c>
      <x:c r="H838" s="28" t="n">
        <x:v>17</x:v>
      </x:c>
      <x:c r="I838" s="28" t="n">
        <x:v>18</x:v>
      </x:c>
      <x:c r="J838" s="28" t="n">
        <x:v>1</x:v>
      </x:c>
      <x:c r="K838" s="28" t="n">
        <x:v>7</x:v>
      </x:c>
      <x:c r="L838" s="28" t="n">
        <x:v>6</x:v>
      </x:c>
      <x:c r="M838" s="28" t="n">
        <x:v>1</x:v>
      </x:c>
      <x:c r="N838" s="28" t="n">
        <x:v>6</x:v>
      </x:c>
      <x:c r="O838" s="28" t="n">
        <x:v>0</x:v>
      </x:c>
      <x:c r="P838" s="28" t="n">
        <x:v>0</x:v>
      </x:c>
      <x:c r="Q838" s="24" t="n">
        <x:f>IFERROR(J838/H838,0)</x:f>
        <x:v>0.058823529411764705</x:v>
      </x:c>
      <x:c r="R838" s="24" t="n">
        <x:f>IFERROR(F838/H838,0)</x:f>
        <x:v>0</x:v>
      </x:c>
      <x:c r="S838" s="24" t="n">
        <x:f>IFERROR(F838/J838,0)</x:f>
        <x:v>0</x:v>
      </x:c>
      <x:c r="T838" s="28" t="n">
        <x:f>H838-I838</x:f>
        <x:v>-1</x:v>
      </x:c>
      <x:c r="U838" s="24" t="n">
        <x:f>IFERROR(J838/H838,0)-IFERROR(K838/I838,0)</x:f>
        <x:v>-0.3300653594771242</x:v>
      </x:c>
      <x:c r="V838" s="24" t="n">
        <x:f>IFERROR(F838/J838,0)-IFERROR(G838/K838,0)</x:f>
        <x:v>-0.2857142857142857</x:v>
      </x:c>
      <x:c r="W838" s="28" t="n">
        <x:f>L838-M838</x:f>
        <x:v>5</x:v>
      </x:c>
      <x:c r="X838" s="24" t="n">
        <x:f>IFERROR(K838/I838,0)</x:f>
        <x:v>0.3888888888888889</x:v>
      </x:c>
      <x:c r="Y838" s="24" t="n">
        <x:f>IFERROR(G838/I838,0)</x:f>
        <x:v>0.1111111111111111</x:v>
      </x:c>
      <x:c r="Z838" s="24" t="n">
        <x:f>IFERROR(G838/K838,0)</x:f>
        <x:v>0.2857142857142857</x:v>
      </x:c>
      <x:c r="AA838" s="24" t="n">
        <x:f>IFERROR(F838/H838,0)-IFERROR(G838/I838,0)</x:f>
        <x:v>-0.1111111111111111</x:v>
      </x:c>
      <x:c r="AB838" s="28" t="n">
        <x:f>J838-K838</x:f>
        <x:v>-6</x:v>
      </x:c>
      <x:c r="AC838" s="32" t="n">
        <x:f>F838-G838</x:f>
        <x:v>-2</x:v>
      </x:c>
    </x:row>
    <x:row r="839">
      <x:c r="A839" s="4" t="str">
        <x:v>2022-23</x:v>
      </x:c>
      <x:c r="B839" s="20" t="n">
        <x:v>44801</x:v>
      </x:c>
      <x:c r="C839" s="4" t="str">
        <x:v>Tottenham</x:v>
      </x:c>
      <x:c r="D839" s="4" t="str">
        <x:v>Nott'm Forest</x:v>
      </x:c>
      <x:c r="E839" s="4" t="str">
        <x:v>Away</x:v>
      </x:c>
      <x:c r="F839" s="28" t="n">
        <x:v>2</x:v>
      </x:c>
      <x:c r="G839" s="28" t="n">
        <x:v>0</x:v>
      </x:c>
      <x:c r="H839" s="28" t="n">
        <x:v>18</x:v>
      </x:c>
      <x:c r="I839" s="28" t="n">
        <x:v>17</x:v>
      </x:c>
      <x:c r="J839" s="28" t="n">
        <x:v>7</x:v>
      </x:c>
      <x:c r="K839" s="28" t="n">
        <x:v>1</x:v>
      </x:c>
      <x:c r="L839" s="28" t="n">
        <x:v>1</x:v>
      </x:c>
      <x:c r="M839" s="28" t="n">
        <x:v>6</x:v>
      </x:c>
      <x:c r="N839" s="28" t="n">
        <x:v>1</x:v>
      </x:c>
      <x:c r="O839" s="28" t="n">
        <x:v>0</x:v>
      </x:c>
      <x:c r="P839" s="28" t="n">
        <x:v>3</x:v>
      </x:c>
      <x:c r="Q839" s="24" t="n">
        <x:f>IFERROR(J839/H839,0)</x:f>
        <x:v>0.3888888888888889</x:v>
      </x:c>
      <x:c r="R839" s="24" t="n">
        <x:f>IFERROR(F839/H839,0)</x:f>
        <x:v>0.1111111111111111</x:v>
      </x:c>
      <x:c r="S839" s="24" t="n">
        <x:f>IFERROR(F839/J839,0)</x:f>
        <x:v>0.2857142857142857</x:v>
      </x:c>
      <x:c r="T839" s="28" t="n">
        <x:f>H839-I839</x:f>
        <x:v>1</x:v>
      </x:c>
      <x:c r="U839" s="24" t="n">
        <x:f>IFERROR(J839/H839,0)-IFERROR(K839/I839,0)</x:f>
        <x:v>0.3300653594771242</x:v>
      </x:c>
      <x:c r="V839" s="24" t="n">
        <x:f>IFERROR(F839/J839,0)-IFERROR(G839/K839,0)</x:f>
        <x:v>0.2857142857142857</x:v>
      </x:c>
      <x:c r="W839" s="28" t="n">
        <x:f>L839-M839</x:f>
        <x:v>-5</x:v>
      </x:c>
      <x:c r="X839" s="24" t="n">
        <x:f>IFERROR(K839/I839,0)</x:f>
        <x:v>0.058823529411764705</x:v>
      </x:c>
      <x:c r="Y839" s="24" t="n">
        <x:f>IFERROR(G839/I839,0)</x:f>
        <x:v>0</x:v>
      </x:c>
      <x:c r="Z839" s="24" t="n">
        <x:f>IFERROR(G839/K839,0)</x:f>
        <x:v>0</x:v>
      </x:c>
      <x:c r="AA839" s="24" t="n">
        <x:f>IFERROR(F839/H839,0)-IFERROR(G839/I839,0)</x:f>
        <x:v>0.1111111111111111</x:v>
      </x:c>
      <x:c r="AB839" s="28" t="n">
        <x:f>J839-K839</x:f>
        <x:v>6</x:v>
      </x:c>
      <x:c r="AC839" s="32" t="n">
        <x:f>F839-G839</x:f>
        <x:v>2</x:v>
      </x:c>
    </x:row>
    <x:row r="840">
      <x:c r="A840" s="4" t="str">
        <x:v>2022-23</x:v>
      </x:c>
      <x:c r="B840" s="20" t="n">
        <x:v>44801</x:v>
      </x:c>
      <x:c r="C840" s="4" t="str">
        <x:v>West Ham</x:v>
      </x:c>
      <x:c r="D840" s="4" t="str">
        <x:v>Aston Villa</x:v>
      </x:c>
      <x:c r="E840" s="4" t="str">
        <x:v>Away</x:v>
      </x:c>
      <x:c r="F840" s="28" t="n">
        <x:v>1</x:v>
      </x:c>
      <x:c r="G840" s="28" t="n">
        <x:v>0</x:v>
      </x:c>
      <x:c r="H840" s="28" t="n">
        <x:v>7</x:v>
      </x:c>
      <x:c r="I840" s="28" t="n">
        <x:v>9</x:v>
      </x:c>
      <x:c r="J840" s="28" t="n">
        <x:v>2</x:v>
      </x:c>
      <x:c r="K840" s="28" t="n">
        <x:v>3</x:v>
      </x:c>
      <x:c r="L840" s="28" t="n">
        <x:v>2</x:v>
      </x:c>
      <x:c r="M840" s="28" t="n">
        <x:v>3</x:v>
      </x:c>
      <x:c r="N840" s="28" t="n">
        <x:v>0</x:v>
      </x:c>
      <x:c r="O840" s="28" t="n">
        <x:v>0</x:v>
      </x:c>
      <x:c r="P840" s="28" t="n">
        <x:v>3</x:v>
      </x:c>
      <x:c r="Q840" s="24" t="n">
        <x:f>IFERROR(J840/H840,0)</x:f>
        <x:v>0.2857142857142857</x:v>
      </x:c>
      <x:c r="R840" s="24" t="n">
        <x:f>IFERROR(F840/H840,0)</x:f>
        <x:v>0.14285714285714285</x:v>
      </x:c>
      <x:c r="S840" s="24" t="n">
        <x:f>IFERROR(F840/J840,0)</x:f>
        <x:v>0.5</x:v>
      </x:c>
      <x:c r="T840" s="28" t="n">
        <x:f>H840-I840</x:f>
        <x:v>-2</x:v>
      </x:c>
      <x:c r="U840" s="24" t="n">
        <x:f>IFERROR(J840/H840,0)-IFERROR(K840/I840,0)</x:f>
        <x:v>-0.047619047619047616</x:v>
      </x:c>
      <x:c r="V840" s="24" t="n">
        <x:f>IFERROR(F840/J840,0)-IFERROR(G840/K840,0)</x:f>
        <x:v>0.5</x:v>
      </x:c>
      <x:c r="W840" s="28" t="n">
        <x:f>L840-M840</x:f>
        <x:v>-1</x:v>
      </x:c>
      <x:c r="X840" s="24" t="n">
        <x:f>IFERROR(K840/I840,0)</x:f>
        <x:v>0.3333333333333333</x:v>
      </x:c>
      <x:c r="Y840" s="24" t="n">
        <x:f>IFERROR(G840/I840,0)</x:f>
        <x:v>0</x:v>
      </x:c>
      <x:c r="Z840" s="24" t="n">
        <x:f>IFERROR(G840/K840,0)</x:f>
        <x:v>0</x:v>
      </x:c>
      <x:c r="AA840" s="24" t="n">
        <x:f>IFERROR(F840/H840,0)-IFERROR(G840/I840,0)</x:f>
        <x:v>0.14285714285714285</x:v>
      </x:c>
      <x:c r="AB840" s="28" t="n">
        <x:f>J840-K840</x:f>
        <x:v>-1</x:v>
      </x:c>
      <x:c r="AC840" s="32" t="n">
        <x:f>F840-G840</x:f>
        <x:v>1</x:v>
      </x:c>
    </x:row>
    <x:row r="841">
      <x:c r="A841" s="4" t="str">
        <x:v>2022-23</x:v>
      </x:c>
      <x:c r="B841" s="20" t="n">
        <x:v>44801</x:v>
      </x:c>
      <x:c r="C841" s="4" t="str">
        <x:v>Wolves</x:v>
      </x:c>
      <x:c r="D841" s="4" t="str">
        <x:v>Newcastle</x:v>
      </x:c>
      <x:c r="E841" s="4" t="str">
        <x:v>Home</x:v>
      </x:c>
      <x:c r="F841" s="28" t="n">
        <x:v>1</x:v>
      </x:c>
      <x:c r="G841" s="28" t="n">
        <x:v>1</x:v>
      </x:c>
      <x:c r="H841" s="28" t="n">
        <x:v>10</x:v>
      </x:c>
      <x:c r="I841" s="28" t="n">
        <x:v>21</x:v>
      </x:c>
      <x:c r="J841" s="28" t="n">
        <x:v>4</x:v>
      </x:c>
      <x:c r="K841" s="28" t="n">
        <x:v>6</x:v>
      </x:c>
      <x:c r="L841" s="28" t="n">
        <x:v>4</x:v>
      </x:c>
      <x:c r="M841" s="28" t="n">
        <x:v>13</x:v>
      </x:c>
      <x:c r="N841" s="28" t="n">
        <x:v>2</x:v>
      </x:c>
      <x:c r="O841" s="28" t="n">
        <x:v>0</x:v>
      </x:c>
      <x:c r="P841" s="28" t="n">
        <x:v>1</x:v>
      </x:c>
      <x:c r="Q841" s="24" t="n">
        <x:f>IFERROR(J841/H841,0)</x:f>
        <x:v>0.4</x:v>
      </x:c>
      <x:c r="R841" s="24" t="n">
        <x:f>IFERROR(F841/H841,0)</x:f>
        <x:v>0.1</x:v>
      </x:c>
      <x:c r="S841" s="24" t="n">
        <x:f>IFERROR(F841/J841,0)</x:f>
        <x:v>0.25</x:v>
      </x:c>
      <x:c r="T841" s="28" t="n">
        <x:f>H841-I841</x:f>
        <x:v>-11</x:v>
      </x:c>
      <x:c r="U841" s="24" t="n">
        <x:f>IFERROR(J841/H841,0)-IFERROR(K841/I841,0)</x:f>
        <x:v>0.11428571428571432</x:v>
      </x:c>
      <x:c r="V841" s="24" t="n">
        <x:f>IFERROR(F841/J841,0)-IFERROR(G841/K841,0)</x:f>
        <x:v>0.08333333333333334</x:v>
      </x:c>
      <x:c r="W841" s="28" t="n">
        <x:f>L841-M841</x:f>
        <x:v>-9</x:v>
      </x:c>
      <x:c r="X841" s="24" t="n">
        <x:f>IFERROR(K841/I841,0)</x:f>
        <x:v>0.2857142857142857</x:v>
      </x:c>
      <x:c r="Y841" s="24" t="n">
        <x:f>IFERROR(G841/I841,0)</x:f>
        <x:v>0.047619047619047616</x:v>
      </x:c>
      <x:c r="Z841" s="24" t="n">
        <x:f>IFERROR(G841/K841,0)</x:f>
        <x:v>0.16666666666666666</x:v>
      </x:c>
      <x:c r="AA841" s="24" t="n">
        <x:f>IFERROR(F841/H841,0)-IFERROR(G841/I841,0)</x:f>
        <x:v>0.05238095238095239</x:v>
      </x:c>
      <x:c r="AB841" s="28" t="n">
        <x:f>J841-K841</x:f>
        <x:v>-2</x:v>
      </x:c>
      <x:c r="AC841" s="32" t="n">
        <x:f>F841-G841</x:f>
        <x:v>0</x:v>
      </x:c>
    </x:row>
    <x:row r="842">
      <x:c r="A842" s="4" t="str">
        <x:v>2022-23</x:v>
      </x:c>
      <x:c r="B842" s="20" t="n">
        <x:v>44803</x:v>
      </x:c>
      <x:c r="C842" s="4" t="str">
        <x:v>Brentford</x:v>
      </x:c>
      <x:c r="D842" s="4" t="str">
        <x:v>Crystal Palace</x:v>
      </x:c>
      <x:c r="E842" s="4" t="str">
        <x:v>Away</x:v>
      </x:c>
      <x:c r="F842" s="28" t="n">
        <x:v>1</x:v>
      </x:c>
      <x:c r="G842" s="28" t="n">
        <x:v>1</x:v>
      </x:c>
      <x:c r="H842" s="28" t="n">
        <x:v>9</x:v>
      </x:c>
      <x:c r="I842" s="28" t="n">
        <x:v>13</x:v>
      </x:c>
      <x:c r="J842" s="28" t="n">
        <x:v>3</x:v>
      </x:c>
      <x:c r="K842" s="28" t="n">
        <x:v>4</x:v>
      </x:c>
      <x:c r="L842" s="28" t="n">
        <x:v>6</x:v>
      </x:c>
      <x:c r="M842" s="28" t="n">
        <x:v>4</x:v>
      </x:c>
      <x:c r="N842" s="28" t="n">
        <x:v>2</x:v>
      </x:c>
      <x:c r="O842" s="28" t="n">
        <x:v>0</x:v>
      </x:c>
      <x:c r="P842" s="28" t="n">
        <x:v>1</x:v>
      </x:c>
      <x:c r="Q842" s="24" t="n">
        <x:f>IFERROR(J842/H842,0)</x:f>
        <x:v>0.3333333333333333</x:v>
      </x:c>
      <x:c r="R842" s="24" t="n">
        <x:f>IFERROR(F842/H842,0)</x:f>
        <x:v>0.1111111111111111</x:v>
      </x:c>
      <x:c r="S842" s="24" t="n">
        <x:f>IFERROR(F842/J842,0)</x:f>
        <x:v>0.3333333333333333</x:v>
      </x:c>
      <x:c r="T842" s="28" t="n">
        <x:f>H842-I842</x:f>
        <x:v>-4</x:v>
      </x:c>
      <x:c r="U842" s="24" t="n">
        <x:f>IFERROR(J842/H842,0)-IFERROR(K842/I842,0)</x:f>
        <x:v>0.025641025641025605</x:v>
      </x:c>
      <x:c r="V842" s="24" t="n">
        <x:f>IFERROR(F842/J842,0)-IFERROR(G842/K842,0)</x:f>
        <x:v>0.08333333333333331</x:v>
      </x:c>
      <x:c r="W842" s="28" t="n">
        <x:f>L842-M842</x:f>
        <x:v>2</x:v>
      </x:c>
      <x:c r="X842" s="24" t="n">
        <x:f>IFERROR(K842/I842,0)</x:f>
        <x:v>0.3076923076923077</x:v>
      </x:c>
      <x:c r="Y842" s="24" t="n">
        <x:f>IFERROR(G842/I842,0)</x:f>
        <x:v>0.07692307692307693</x:v>
      </x:c>
      <x:c r="Z842" s="24" t="n">
        <x:f>IFERROR(G842/K842,0)</x:f>
        <x:v>0.25</x:v>
      </x:c>
      <x:c r="AA842" s="24" t="n">
        <x:f>IFERROR(F842/H842,0)-IFERROR(G842/I842,0)</x:f>
        <x:v>0.03418803418803418</x:v>
      </x:c>
      <x:c r="AB842" s="28" t="n">
        <x:f>J842-K842</x:f>
        <x:v>-1</x:v>
      </x:c>
      <x:c r="AC842" s="32" t="n">
        <x:f>F842-G842</x:f>
        <x:v>0</x:v>
      </x:c>
    </x:row>
    <x:row r="843">
      <x:c r="A843" s="4" t="str">
        <x:v>2022-23</x:v>
      </x:c>
      <x:c r="B843" s="20" t="n">
        <x:v>44803</x:v>
      </x:c>
      <x:c r="C843" s="4" t="str">
        <x:v>Brighton</x:v>
      </x:c>
      <x:c r="D843" s="4" t="str">
        <x:v>Fulham</x:v>
      </x:c>
      <x:c r="E843" s="4" t="str">
        <x:v>Away</x:v>
      </x:c>
      <x:c r="F843" s="28" t="n">
        <x:v>1</x:v>
      </x:c>
      <x:c r="G843" s="28" t="n">
        <x:v>2</x:v>
      </x:c>
      <x:c r="H843" s="28" t="n">
        <x:v>7</x:v>
      </x:c>
      <x:c r="I843" s="28" t="n">
        <x:v>10</x:v>
      </x:c>
      <x:c r="J843" s="28" t="n">
        <x:v>4</x:v>
      </x:c>
      <x:c r="K843" s="28" t="n">
        <x:v>3</x:v>
      </x:c>
      <x:c r="L843" s="28" t="n">
        <x:v>3</x:v>
      </x:c>
      <x:c r="M843" s="28" t="n">
        <x:v>3</x:v>
      </x:c>
      <x:c r="N843" s="28" t="n">
        <x:v>1</x:v>
      </x:c>
      <x:c r="O843" s="28" t="n">
        <x:v>0</x:v>
      </x:c>
      <x:c r="P843" s="28" t="n">
        <x:v>0</x:v>
      </x:c>
      <x:c r="Q843" s="24" t="n">
        <x:f>IFERROR(J843/H843,0)</x:f>
        <x:v>0.5714285714285714</x:v>
      </x:c>
      <x:c r="R843" s="24" t="n">
        <x:f>IFERROR(F843/H843,0)</x:f>
        <x:v>0.14285714285714285</x:v>
      </x:c>
      <x:c r="S843" s="24" t="n">
        <x:f>IFERROR(F843/J843,0)</x:f>
        <x:v>0.25</x:v>
      </x:c>
      <x:c r="T843" s="28" t="n">
        <x:f>H843-I843</x:f>
        <x:v>-3</x:v>
      </x:c>
      <x:c r="U843" s="24" t="n">
        <x:f>IFERROR(J843/H843,0)-IFERROR(K843/I843,0)</x:f>
        <x:v>0.2714285714285714</x:v>
      </x:c>
      <x:c r="V843" s="24" t="n">
        <x:f>IFERROR(F843/J843,0)-IFERROR(G843/K843,0)</x:f>
        <x:v>-0.41666666666666663</x:v>
      </x:c>
      <x:c r="W843" s="28" t="n">
        <x:f>L843-M843</x:f>
        <x:v>0</x:v>
      </x:c>
      <x:c r="X843" s="24" t="n">
        <x:f>IFERROR(K843/I843,0)</x:f>
        <x:v>0.3</x:v>
      </x:c>
      <x:c r="Y843" s="24" t="n">
        <x:f>IFERROR(G843/I843,0)</x:f>
        <x:v>0.2</x:v>
      </x:c>
      <x:c r="Z843" s="24" t="n">
        <x:f>IFERROR(G843/K843,0)</x:f>
        <x:v>0.6666666666666666</x:v>
      </x:c>
      <x:c r="AA843" s="24" t="n">
        <x:f>IFERROR(F843/H843,0)-IFERROR(G843/I843,0)</x:f>
        <x:v>-0.05714285714285716</x:v>
      </x:c>
      <x:c r="AB843" s="28" t="n">
        <x:f>J843-K843</x:f>
        <x:v>1</x:v>
      </x:c>
      <x:c r="AC843" s="32" t="n">
        <x:f>F843-G843</x:f>
        <x:v>-1</x:v>
      </x:c>
    </x:row>
    <x:row r="844">
      <x:c r="A844" s="4" t="str">
        <x:v>2022-23</x:v>
      </x:c>
      <x:c r="B844" s="20" t="n">
        <x:v>44803</x:v>
      </x:c>
      <x:c r="C844" s="4" t="str">
        <x:v>Chelsea</x:v>
      </x:c>
      <x:c r="D844" s="4" t="str">
        <x:v>Southampton</x:v>
      </x:c>
      <x:c r="E844" s="4" t="str">
        <x:v>Away</x:v>
      </x:c>
      <x:c r="F844" s="28" t="n">
        <x:v>1</x:v>
      </x:c>
      <x:c r="G844" s="28" t="n">
        <x:v>2</x:v>
      </x:c>
      <x:c r="H844" s="28" t="n">
        <x:v>10</x:v>
      </x:c>
      <x:c r="I844" s="28" t="n">
        <x:v>9</x:v>
      </x:c>
      <x:c r="J844" s="28" t="n">
        <x:v>4</x:v>
      </x:c>
      <x:c r="K844" s="28" t="n">
        <x:v>7</x:v>
      </x:c>
      <x:c r="L844" s="28" t="n">
        <x:v>3</x:v>
      </x:c>
      <x:c r="M844" s="28" t="n">
        <x:v>5</x:v>
      </x:c>
      <x:c r="N844" s="28" t="n">
        <x:v>1</x:v>
      </x:c>
      <x:c r="O844" s="28" t="n">
        <x:v>0</x:v>
      </x:c>
      <x:c r="P844" s="28" t="n">
        <x:v>0</x:v>
      </x:c>
      <x:c r="Q844" s="24" t="n">
        <x:f>IFERROR(J844/H844,0)</x:f>
        <x:v>0.4</x:v>
      </x:c>
      <x:c r="R844" s="24" t="n">
        <x:f>IFERROR(F844/H844,0)</x:f>
        <x:v>0.1</x:v>
      </x:c>
      <x:c r="S844" s="24" t="n">
        <x:f>IFERROR(F844/J844,0)</x:f>
        <x:v>0.25</x:v>
      </x:c>
      <x:c r="T844" s="28" t="n">
        <x:f>H844-I844</x:f>
        <x:v>1</x:v>
      </x:c>
      <x:c r="U844" s="24" t="n">
        <x:f>IFERROR(J844/H844,0)-IFERROR(K844/I844,0)</x:f>
        <x:v>-0.37777777777777777</x:v>
      </x:c>
      <x:c r="V844" s="24" t="n">
        <x:f>IFERROR(F844/J844,0)-IFERROR(G844/K844,0)</x:f>
        <x:v>-0.0357142857142857</x:v>
      </x:c>
      <x:c r="W844" s="28" t="n">
        <x:f>L844-M844</x:f>
        <x:v>-2</x:v>
      </x:c>
      <x:c r="X844" s="24" t="n">
        <x:f>IFERROR(K844/I844,0)</x:f>
        <x:v>0.7777777777777778</x:v>
      </x:c>
      <x:c r="Y844" s="24" t="n">
        <x:f>IFERROR(G844/I844,0)</x:f>
        <x:v>0.2222222222222222</x:v>
      </x:c>
      <x:c r="Z844" s="24" t="n">
        <x:f>IFERROR(G844/K844,0)</x:f>
        <x:v>0.2857142857142857</x:v>
      </x:c>
      <x:c r="AA844" s="24" t="n">
        <x:f>IFERROR(F844/H844,0)-IFERROR(G844/I844,0)</x:f>
        <x:v>-0.1222222222222222</x:v>
      </x:c>
      <x:c r="AB844" s="28" t="n">
        <x:f>J844-K844</x:f>
        <x:v>-3</x:v>
      </x:c>
      <x:c r="AC844" s="32" t="n">
        <x:f>F844-G844</x:f>
        <x:v>-1</x:v>
      </x:c>
    </x:row>
    <x:row r="845">
      <x:c r="A845" s="4" t="str">
        <x:v>2022-23</x:v>
      </x:c>
      <x:c r="B845" s="20" t="n">
        <x:v>44803</x:v>
      </x:c>
      <x:c r="C845" s="4" t="str">
        <x:v>Crystal Palace</x:v>
      </x:c>
      <x:c r="D845" s="4" t="str">
        <x:v>Brentford</x:v>
      </x:c>
      <x:c r="E845" s="4" t="str">
        <x:v>Home</x:v>
      </x:c>
      <x:c r="F845" s="28" t="n">
        <x:v>1</x:v>
      </x:c>
      <x:c r="G845" s="28" t="n">
        <x:v>1</x:v>
      </x:c>
      <x:c r="H845" s="28" t="n">
        <x:v>13</x:v>
      </x:c>
      <x:c r="I845" s="28" t="n">
        <x:v>9</x:v>
      </x:c>
      <x:c r="J845" s="28" t="n">
        <x:v>4</x:v>
      </x:c>
      <x:c r="K845" s="28" t="n">
        <x:v>3</x:v>
      </x:c>
      <x:c r="L845" s="28" t="n">
        <x:v>4</x:v>
      </x:c>
      <x:c r="M845" s="28" t="n">
        <x:v>6</x:v>
      </x:c>
      <x:c r="N845" s="28" t="n">
        <x:v>1</x:v>
      </x:c>
      <x:c r="O845" s="28" t="n">
        <x:v>0</x:v>
      </x:c>
      <x:c r="P845" s="28" t="n">
        <x:v>1</x:v>
      </x:c>
      <x:c r="Q845" s="24" t="n">
        <x:f>IFERROR(J845/H845,0)</x:f>
        <x:v>0.3076923076923077</x:v>
      </x:c>
      <x:c r="R845" s="24" t="n">
        <x:f>IFERROR(F845/H845,0)</x:f>
        <x:v>0.07692307692307693</x:v>
      </x:c>
      <x:c r="S845" s="24" t="n">
        <x:f>IFERROR(F845/J845,0)</x:f>
        <x:v>0.25</x:v>
      </x:c>
      <x:c r="T845" s="28" t="n">
        <x:f>H845-I845</x:f>
        <x:v>4</x:v>
      </x:c>
      <x:c r="U845" s="24" t="n">
        <x:f>IFERROR(J845/H845,0)-IFERROR(K845/I845,0)</x:f>
        <x:v>-0.025641025641025605</x:v>
      </x:c>
      <x:c r="V845" s="24" t="n">
        <x:f>IFERROR(F845/J845,0)-IFERROR(G845/K845,0)</x:f>
        <x:v>-0.08333333333333331</x:v>
      </x:c>
      <x:c r="W845" s="28" t="n">
        <x:f>L845-M845</x:f>
        <x:v>-2</x:v>
      </x:c>
      <x:c r="X845" s="24" t="n">
        <x:f>IFERROR(K845/I845,0)</x:f>
        <x:v>0.3333333333333333</x:v>
      </x:c>
      <x:c r="Y845" s="24" t="n">
        <x:f>IFERROR(G845/I845,0)</x:f>
        <x:v>0.1111111111111111</x:v>
      </x:c>
      <x:c r="Z845" s="24" t="n">
        <x:f>IFERROR(G845/K845,0)</x:f>
        <x:v>0.3333333333333333</x:v>
      </x:c>
      <x:c r="AA845" s="24" t="n">
        <x:f>IFERROR(F845/H845,0)-IFERROR(G845/I845,0)</x:f>
        <x:v>-0.03418803418803418</x:v>
      </x:c>
      <x:c r="AB845" s="28" t="n">
        <x:f>J845-K845</x:f>
        <x:v>1</x:v>
      </x:c>
      <x:c r="AC845" s="32" t="n">
        <x:f>F845-G845</x:f>
        <x:v>0</x:v>
      </x:c>
    </x:row>
    <x:row r="846">
      <x:c r="A846" s="4" t="str">
        <x:v>2022-23</x:v>
      </x:c>
      <x:c r="B846" s="20" t="n">
        <x:v>44803</x:v>
      </x:c>
      <x:c r="C846" s="4" t="str">
        <x:v>Everton</x:v>
      </x:c>
      <x:c r="D846" s="4" t="str">
        <x:v>Leeds</x:v>
      </x:c>
      <x:c r="E846" s="4" t="str">
        <x:v>Away</x:v>
      </x:c>
      <x:c r="F846" s="28" t="n">
        <x:v>1</x:v>
      </x:c>
      <x:c r="G846" s="28" t="n">
        <x:v>1</x:v>
      </x:c>
      <x:c r="H846" s="28" t="n">
        <x:v>7</x:v>
      </x:c>
      <x:c r="I846" s="28" t="n">
        <x:v>14</x:v>
      </x:c>
      <x:c r="J846" s="28" t="n">
        <x:v>2</x:v>
      </x:c>
      <x:c r="K846" s="28" t="n">
        <x:v>5</x:v>
      </x:c>
      <x:c r="L846" s="28" t="n">
        <x:v>2</x:v>
      </x:c>
      <x:c r="M846" s="28" t="n">
        <x:v>10</x:v>
      </x:c>
      <x:c r="N846" s="28" t="n">
        <x:v>3</x:v>
      </x:c>
      <x:c r="O846" s="28" t="n">
        <x:v>0</x:v>
      </x:c>
      <x:c r="P846" s="28" t="n">
        <x:v>1</x:v>
      </x:c>
      <x:c r="Q846" s="24" t="n">
        <x:f>IFERROR(J846/H846,0)</x:f>
        <x:v>0.2857142857142857</x:v>
      </x:c>
      <x:c r="R846" s="24" t="n">
        <x:f>IFERROR(F846/H846,0)</x:f>
        <x:v>0.14285714285714285</x:v>
      </x:c>
      <x:c r="S846" s="24" t="n">
        <x:f>IFERROR(F846/J846,0)</x:f>
        <x:v>0.5</x:v>
      </x:c>
      <x:c r="T846" s="28" t="n">
        <x:f>H846-I846</x:f>
        <x:v>-7</x:v>
      </x:c>
      <x:c r="U846" s="24" t="n">
        <x:f>IFERROR(J846/H846,0)-IFERROR(K846/I846,0)</x:f>
        <x:v>-0.07142857142857145</x:v>
      </x:c>
      <x:c r="V846" s="24" t="n">
        <x:f>IFERROR(F846/J846,0)-IFERROR(G846/K846,0)</x:f>
        <x:v>0.3</x:v>
      </x:c>
      <x:c r="W846" s="28" t="n">
        <x:f>L846-M846</x:f>
        <x:v>-8</x:v>
      </x:c>
      <x:c r="X846" s="24" t="n">
        <x:f>IFERROR(K846/I846,0)</x:f>
        <x:v>0.35714285714285715</x:v>
      </x:c>
      <x:c r="Y846" s="24" t="n">
        <x:f>IFERROR(G846/I846,0)</x:f>
        <x:v>0.07142857142857142</x:v>
      </x:c>
      <x:c r="Z846" s="24" t="n">
        <x:f>IFERROR(G846/K846,0)</x:f>
        <x:v>0.2</x:v>
      </x:c>
      <x:c r="AA846" s="24" t="n">
        <x:f>IFERROR(F846/H846,0)-IFERROR(G846/I846,0)</x:f>
        <x:v>0.07142857142857142</x:v>
      </x:c>
      <x:c r="AB846" s="28" t="n">
        <x:f>J846-K846</x:f>
        <x:v>-3</x:v>
      </x:c>
      <x:c r="AC846" s="32" t="n">
        <x:f>F846-G846</x:f>
        <x:v>0</x:v>
      </x:c>
    </x:row>
    <x:row r="847">
      <x:c r="A847" s="4" t="str">
        <x:v>2022-23</x:v>
      </x:c>
      <x:c r="B847" s="20" t="n">
        <x:v>44803</x:v>
      </x:c>
      <x:c r="C847" s="4" t="str">
        <x:v>Fulham</x:v>
      </x:c>
      <x:c r="D847" s="4" t="str">
        <x:v>Brighton</x:v>
      </x:c>
      <x:c r="E847" s="4" t="str">
        <x:v>Home</x:v>
      </x:c>
      <x:c r="F847" s="28" t="n">
        <x:v>2</x:v>
      </x:c>
      <x:c r="G847" s="28" t="n">
        <x:v>1</x:v>
      </x:c>
      <x:c r="H847" s="28" t="n">
        <x:v>10</x:v>
      </x:c>
      <x:c r="I847" s="28" t="n">
        <x:v>7</x:v>
      </x:c>
      <x:c r="J847" s="28" t="n">
        <x:v>3</x:v>
      </x:c>
      <x:c r="K847" s="28" t="n">
        <x:v>4</x:v>
      </x:c>
      <x:c r="L847" s="28" t="n">
        <x:v>3</x:v>
      </x:c>
      <x:c r="M847" s="28" t="n">
        <x:v>3</x:v>
      </x:c>
      <x:c r="N847" s="28" t="n">
        <x:v>2</x:v>
      </x:c>
      <x:c r="O847" s="28" t="n">
        <x:v>0</x:v>
      </x:c>
      <x:c r="P847" s="28" t="n">
        <x:v>3</x:v>
      </x:c>
      <x:c r="Q847" s="24" t="n">
        <x:f>IFERROR(J847/H847,0)</x:f>
        <x:v>0.3</x:v>
      </x:c>
      <x:c r="R847" s="24" t="n">
        <x:f>IFERROR(F847/H847,0)</x:f>
        <x:v>0.2</x:v>
      </x:c>
      <x:c r="S847" s="24" t="n">
        <x:f>IFERROR(F847/J847,0)</x:f>
        <x:v>0.6666666666666666</x:v>
      </x:c>
      <x:c r="T847" s="28" t="n">
        <x:f>H847-I847</x:f>
        <x:v>3</x:v>
      </x:c>
      <x:c r="U847" s="24" t="n">
        <x:f>IFERROR(J847/H847,0)-IFERROR(K847/I847,0)</x:f>
        <x:v>-0.2714285714285714</x:v>
      </x:c>
      <x:c r="V847" s="24" t="n">
        <x:f>IFERROR(F847/J847,0)-IFERROR(G847/K847,0)</x:f>
        <x:v>0.41666666666666663</x:v>
      </x:c>
      <x:c r="W847" s="28" t="n">
        <x:f>L847-M847</x:f>
        <x:v>0</x:v>
      </x:c>
      <x:c r="X847" s="24" t="n">
        <x:f>IFERROR(K847/I847,0)</x:f>
        <x:v>0.5714285714285714</x:v>
      </x:c>
      <x:c r="Y847" s="24" t="n">
        <x:f>IFERROR(G847/I847,0)</x:f>
        <x:v>0.14285714285714285</x:v>
      </x:c>
      <x:c r="Z847" s="24" t="n">
        <x:f>IFERROR(G847/K847,0)</x:f>
        <x:v>0.25</x:v>
      </x:c>
      <x:c r="AA847" s="24" t="n">
        <x:f>IFERROR(F847/H847,0)-IFERROR(G847/I847,0)</x:f>
        <x:v>0.05714285714285716</x:v>
      </x:c>
      <x:c r="AB847" s="28" t="n">
        <x:f>J847-K847</x:f>
        <x:v>-1</x:v>
      </x:c>
      <x:c r="AC847" s="32" t="n">
        <x:f>F847-G847</x:f>
        <x:v>1</x:v>
      </x:c>
    </x:row>
    <x:row r="848">
      <x:c r="A848" s="4" t="str">
        <x:v>2022-23</x:v>
      </x:c>
      <x:c r="B848" s="20" t="n">
        <x:v>44803</x:v>
      </x:c>
      <x:c r="C848" s="4" t="str">
        <x:v>Leeds</x:v>
      </x:c>
      <x:c r="D848" s="4" t="str">
        <x:v>Everton</x:v>
      </x:c>
      <x:c r="E848" s="4" t="str">
        <x:v>Home</x:v>
      </x:c>
      <x:c r="F848" s="28" t="n">
        <x:v>1</x:v>
      </x:c>
      <x:c r="G848" s="28" t="n">
        <x:v>1</x:v>
      </x:c>
      <x:c r="H848" s="28" t="n">
        <x:v>14</x:v>
      </x:c>
      <x:c r="I848" s="28" t="n">
        <x:v>7</x:v>
      </x:c>
      <x:c r="J848" s="28" t="n">
        <x:v>5</x:v>
      </x:c>
      <x:c r="K848" s="28" t="n">
        <x:v>2</x:v>
      </x:c>
      <x:c r="L848" s="28" t="n">
        <x:v>10</x:v>
      </x:c>
      <x:c r="M848" s="28" t="n">
        <x:v>2</x:v>
      </x:c>
      <x:c r="N848" s="28" t="n">
        <x:v>3</x:v>
      </x:c>
      <x:c r="O848" s="28" t="n">
        <x:v>0</x:v>
      </x:c>
      <x:c r="P848" s="28" t="n">
        <x:v>1</x:v>
      </x:c>
      <x:c r="Q848" s="24" t="n">
        <x:f>IFERROR(J848/H848,0)</x:f>
        <x:v>0.35714285714285715</x:v>
      </x:c>
      <x:c r="R848" s="24" t="n">
        <x:f>IFERROR(F848/H848,0)</x:f>
        <x:v>0.07142857142857142</x:v>
      </x:c>
      <x:c r="S848" s="24" t="n">
        <x:f>IFERROR(F848/J848,0)</x:f>
        <x:v>0.2</x:v>
      </x:c>
      <x:c r="T848" s="28" t="n">
        <x:f>H848-I848</x:f>
        <x:v>7</x:v>
      </x:c>
      <x:c r="U848" s="24" t="n">
        <x:f>IFERROR(J848/H848,0)-IFERROR(K848/I848,0)</x:f>
        <x:v>0.07142857142857145</x:v>
      </x:c>
      <x:c r="V848" s="24" t="n">
        <x:f>IFERROR(F848/J848,0)-IFERROR(G848/K848,0)</x:f>
        <x:v>-0.3</x:v>
      </x:c>
      <x:c r="W848" s="28" t="n">
        <x:f>L848-M848</x:f>
        <x:v>8</x:v>
      </x:c>
      <x:c r="X848" s="24" t="n">
        <x:f>IFERROR(K848/I848,0)</x:f>
        <x:v>0.2857142857142857</x:v>
      </x:c>
      <x:c r="Y848" s="24" t="n">
        <x:f>IFERROR(G848/I848,0)</x:f>
        <x:v>0.14285714285714285</x:v>
      </x:c>
      <x:c r="Z848" s="24" t="n">
        <x:f>IFERROR(G848/K848,0)</x:f>
        <x:v>0.5</x:v>
      </x:c>
      <x:c r="AA848" s="24" t="n">
        <x:f>IFERROR(F848/H848,0)-IFERROR(G848/I848,0)</x:f>
        <x:v>-0.07142857142857142</x:v>
      </x:c>
      <x:c r="AB848" s="28" t="n">
        <x:f>J848-K848</x:f>
        <x:v>3</x:v>
      </x:c>
      <x:c r="AC848" s="32" t="n">
        <x:f>F848-G848</x:f>
        <x:v>0</x:v>
      </x:c>
    </x:row>
    <x:row r="849">
      <x:c r="A849" s="4" t="str">
        <x:v>2022-23</x:v>
      </x:c>
      <x:c r="B849" s="20" t="n">
        <x:v>44803</x:v>
      </x:c>
      <x:c r="C849" s="4" t="str">
        <x:v>Southampton</x:v>
      </x:c>
      <x:c r="D849" s="4" t="str">
        <x:v>Chelsea</x:v>
      </x:c>
      <x:c r="E849" s="4" t="str">
        <x:v>Home</x:v>
      </x:c>
      <x:c r="F849" s="28" t="n">
        <x:v>2</x:v>
      </x:c>
      <x:c r="G849" s="28" t="n">
        <x:v>1</x:v>
      </x:c>
      <x:c r="H849" s="28" t="n">
        <x:v>9</x:v>
      </x:c>
      <x:c r="I849" s="28" t="n">
        <x:v>10</x:v>
      </x:c>
      <x:c r="J849" s="28" t="n">
        <x:v>7</x:v>
      </x:c>
      <x:c r="K849" s="28" t="n">
        <x:v>4</x:v>
      </x:c>
      <x:c r="L849" s="28" t="n">
        <x:v>5</x:v>
      </x:c>
      <x:c r="M849" s="28" t="n">
        <x:v>3</x:v>
      </x:c>
      <x:c r="N849" s="28" t="n">
        <x:v>2</x:v>
      </x:c>
      <x:c r="O849" s="28" t="n">
        <x:v>0</x:v>
      </x:c>
      <x:c r="P849" s="28" t="n">
        <x:v>3</x:v>
      </x:c>
      <x:c r="Q849" s="24" t="n">
        <x:f>IFERROR(J849/H849,0)</x:f>
        <x:v>0.7777777777777778</x:v>
      </x:c>
      <x:c r="R849" s="24" t="n">
        <x:f>IFERROR(F849/H849,0)</x:f>
        <x:v>0.2222222222222222</x:v>
      </x:c>
      <x:c r="S849" s="24" t="n">
        <x:f>IFERROR(F849/J849,0)</x:f>
        <x:v>0.2857142857142857</x:v>
      </x:c>
      <x:c r="T849" s="28" t="n">
        <x:f>H849-I849</x:f>
        <x:v>-1</x:v>
      </x:c>
      <x:c r="U849" s="24" t="n">
        <x:f>IFERROR(J849/H849,0)-IFERROR(K849/I849,0)</x:f>
        <x:v>0.37777777777777777</x:v>
      </x:c>
      <x:c r="V849" s="24" t="n">
        <x:f>IFERROR(F849/J849,0)-IFERROR(G849/K849,0)</x:f>
        <x:v>0.0357142857142857</x:v>
      </x:c>
      <x:c r="W849" s="28" t="n">
        <x:f>L849-M849</x:f>
        <x:v>2</x:v>
      </x:c>
      <x:c r="X849" s="24" t="n">
        <x:f>IFERROR(K849/I849,0)</x:f>
        <x:v>0.4</x:v>
      </x:c>
      <x:c r="Y849" s="24" t="n">
        <x:f>IFERROR(G849/I849,0)</x:f>
        <x:v>0.1</x:v>
      </x:c>
      <x:c r="Z849" s="24" t="n">
        <x:f>IFERROR(G849/K849,0)</x:f>
        <x:v>0.25</x:v>
      </x:c>
      <x:c r="AA849" s="24" t="n">
        <x:f>IFERROR(F849/H849,0)-IFERROR(G849/I849,0)</x:f>
        <x:v>0.1222222222222222</x:v>
      </x:c>
      <x:c r="AB849" s="28" t="n">
        <x:f>J849-K849</x:f>
        <x:v>3</x:v>
      </x:c>
      <x:c r="AC849" s="32" t="n">
        <x:f>F849-G849</x:f>
        <x:v>1</x:v>
      </x:c>
    </x:row>
    <x:row r="850">
      <x:c r="A850" s="4" t="str">
        <x:v>2022-23</x:v>
      </x:c>
      <x:c r="B850" s="20" t="n">
        <x:v>44804</x:v>
      </x:c>
      <x:c r="C850" s="4" t="str">
        <x:v>Arsenal</x:v>
      </x:c>
      <x:c r="D850" s="4" t="str">
        <x:v>Aston Villa</x:v>
      </x:c>
      <x:c r="E850" s="4" t="str">
        <x:v>Home</x:v>
      </x:c>
      <x:c r="F850" s="28" t="n">
        <x:v>2</x:v>
      </x:c>
      <x:c r="G850" s="28" t="n">
        <x:v>1</x:v>
      </x:c>
      <x:c r="H850" s="28" t="n">
        <x:v>22</x:v>
      </x:c>
      <x:c r="I850" s="28" t="n">
        <x:v>4</x:v>
      </x:c>
      <x:c r="J850" s="28" t="n">
        <x:v>9</x:v>
      </x:c>
      <x:c r="K850" s="28" t="n">
        <x:v>3</x:v>
      </x:c>
      <x:c r="L850" s="28" t="n">
        <x:v>10</x:v>
      </x:c>
      <x:c r="M850" s="28" t="n">
        <x:v>3</x:v>
      </x:c>
      <x:c r="N850" s="28" t="n">
        <x:v>2</x:v>
      </x:c>
      <x:c r="O850" s="28" t="n">
        <x:v>0</x:v>
      </x:c>
      <x:c r="P850" s="28" t="n">
        <x:v>3</x:v>
      </x:c>
      <x:c r="Q850" s="24" t="n">
        <x:f>IFERROR(J850/H850,0)</x:f>
        <x:v>0.4090909090909091</x:v>
      </x:c>
      <x:c r="R850" s="24" t="n">
        <x:f>IFERROR(F850/H850,0)</x:f>
        <x:v>0.09090909090909091</x:v>
      </x:c>
      <x:c r="S850" s="24" t="n">
        <x:f>IFERROR(F850/J850,0)</x:f>
        <x:v>0.2222222222222222</x:v>
      </x:c>
      <x:c r="T850" s="28" t="n">
        <x:f>H850-I850</x:f>
        <x:v>18</x:v>
      </x:c>
      <x:c r="U850" s="24" t="n">
        <x:f>IFERROR(J850/H850,0)-IFERROR(K850/I850,0)</x:f>
        <x:v>-0.3409090909090909</x:v>
      </x:c>
      <x:c r="V850" s="24" t="n">
        <x:f>IFERROR(F850/J850,0)-IFERROR(G850/K850,0)</x:f>
        <x:v>-0.1111111111111111</x:v>
      </x:c>
      <x:c r="W850" s="28" t="n">
        <x:f>L850-M850</x:f>
        <x:v>7</x:v>
      </x:c>
      <x:c r="X850" s="24" t="n">
        <x:f>IFERROR(K850/I850,0)</x:f>
        <x:v>0.75</x:v>
      </x:c>
      <x:c r="Y850" s="24" t="n">
        <x:f>IFERROR(G850/I850,0)</x:f>
        <x:v>0.25</x:v>
      </x:c>
      <x:c r="Z850" s="24" t="n">
        <x:f>IFERROR(G850/K850,0)</x:f>
        <x:v>0.3333333333333333</x:v>
      </x:c>
      <x:c r="AA850" s="24" t="n">
        <x:f>IFERROR(F850/H850,0)-IFERROR(G850/I850,0)</x:f>
        <x:v>-0.1590909090909091</x:v>
      </x:c>
      <x:c r="AB850" s="28" t="n">
        <x:f>J850-K850</x:f>
        <x:v>6</x:v>
      </x:c>
      <x:c r="AC850" s="32" t="n">
        <x:f>F850-G850</x:f>
        <x:v>1</x:v>
      </x:c>
    </x:row>
    <x:row r="851">
      <x:c r="A851" s="4" t="str">
        <x:v>2022-23</x:v>
      </x:c>
      <x:c r="B851" s="20" t="n">
        <x:v>44804</x:v>
      </x:c>
      <x:c r="C851" s="4" t="str">
        <x:v>Aston Villa</x:v>
      </x:c>
      <x:c r="D851" s="4" t="str">
        <x:v>Arsenal</x:v>
      </x:c>
      <x:c r="E851" s="4" t="str">
        <x:v>Away</x:v>
      </x:c>
      <x:c r="F851" s="28" t="n">
        <x:v>1</x:v>
      </x:c>
      <x:c r="G851" s="28" t="n">
        <x:v>2</x:v>
      </x:c>
      <x:c r="H851" s="28" t="n">
        <x:v>4</x:v>
      </x:c>
      <x:c r="I851" s="28" t="n">
        <x:v>22</x:v>
      </x:c>
      <x:c r="J851" s="28" t="n">
        <x:v>3</x:v>
      </x:c>
      <x:c r="K851" s="28" t="n">
        <x:v>9</x:v>
      </x:c>
      <x:c r="L851" s="28" t="n">
        <x:v>3</x:v>
      </x:c>
      <x:c r="M851" s="28" t="n">
        <x:v>10</x:v>
      </x:c>
      <x:c r="N851" s="28" t="n">
        <x:v>3</x:v>
      </x:c>
      <x:c r="O851" s="28" t="n">
        <x:v>0</x:v>
      </x:c>
      <x:c r="P851" s="28" t="n">
        <x:v>0</x:v>
      </x:c>
      <x:c r="Q851" s="24" t="n">
        <x:f>IFERROR(J851/H851,0)</x:f>
        <x:v>0.75</x:v>
      </x:c>
      <x:c r="R851" s="24" t="n">
        <x:f>IFERROR(F851/H851,0)</x:f>
        <x:v>0.25</x:v>
      </x:c>
      <x:c r="S851" s="24" t="n">
        <x:f>IFERROR(F851/J851,0)</x:f>
        <x:v>0.3333333333333333</x:v>
      </x:c>
      <x:c r="T851" s="28" t="n">
        <x:f>H851-I851</x:f>
        <x:v>-18</x:v>
      </x:c>
      <x:c r="U851" s="24" t="n">
        <x:f>IFERROR(J851/H851,0)-IFERROR(K851/I851,0)</x:f>
        <x:v>0.3409090909090909</x:v>
      </x:c>
      <x:c r="V851" s="24" t="n">
        <x:f>IFERROR(F851/J851,0)-IFERROR(G851/K851,0)</x:f>
        <x:v>0.1111111111111111</x:v>
      </x:c>
      <x:c r="W851" s="28" t="n">
        <x:f>L851-M851</x:f>
        <x:v>-7</x:v>
      </x:c>
      <x:c r="X851" s="24" t="n">
        <x:f>IFERROR(K851/I851,0)</x:f>
        <x:v>0.4090909090909091</x:v>
      </x:c>
      <x:c r="Y851" s="24" t="n">
        <x:f>IFERROR(G851/I851,0)</x:f>
        <x:v>0.09090909090909091</x:v>
      </x:c>
      <x:c r="Z851" s="24" t="n">
        <x:f>IFERROR(G851/K851,0)</x:f>
        <x:v>0.2222222222222222</x:v>
      </x:c>
      <x:c r="AA851" s="24" t="n">
        <x:f>IFERROR(F851/H851,0)-IFERROR(G851/I851,0)</x:f>
        <x:v>0.1590909090909091</x:v>
      </x:c>
      <x:c r="AB851" s="28" t="n">
        <x:f>J851-K851</x:f>
        <x:v>-6</x:v>
      </x:c>
      <x:c r="AC851" s="32" t="n">
        <x:f>F851-G851</x:f>
        <x:v>-1</x:v>
      </x:c>
    </x:row>
    <x:row r="852">
      <x:c r="A852" s="4" t="str">
        <x:v>2022-23</x:v>
      </x:c>
      <x:c r="B852" s="20" t="n">
        <x:v>44804</x:v>
      </x:c>
      <x:c r="C852" s="4" t="str">
        <x:v>Bournemouth</x:v>
      </x:c>
      <x:c r="D852" s="4" t="str">
        <x:v>Wolves</x:v>
      </x:c>
      <x:c r="E852" s="4" t="str">
        <x:v>Home</x:v>
      </x:c>
      <x:c r="F852" s="28" t="n">
        <x:v>0</x:v>
      </x:c>
      <x:c r="G852" s="28" t="n">
        <x:v>0</x:v>
      </x:c>
      <x:c r="H852" s="28" t="n">
        <x:v>5</x:v>
      </x:c>
      <x:c r="I852" s="28" t="n">
        <x:v>17</x:v>
      </x:c>
      <x:c r="J852" s="28" t="n">
        <x:v>2</x:v>
      </x:c>
      <x:c r="K852" s="28" t="n">
        <x:v>4</x:v>
      </x:c>
      <x:c r="L852" s="28" t="n">
        <x:v>2</x:v>
      </x:c>
      <x:c r="M852" s="28" t="n">
        <x:v>5</x:v>
      </x:c>
      <x:c r="N852" s="28" t="n">
        <x:v>2</x:v>
      </x:c>
      <x:c r="O852" s="28" t="n">
        <x:v>0</x:v>
      </x:c>
      <x:c r="P852" s="28" t="n">
        <x:v>1</x:v>
      </x:c>
      <x:c r="Q852" s="24" t="n">
        <x:f>IFERROR(J852/H852,0)</x:f>
        <x:v>0.4</x:v>
      </x:c>
      <x:c r="R852" s="24" t="n">
        <x:f>IFERROR(F852/H852,0)</x:f>
        <x:v>0</x:v>
      </x:c>
      <x:c r="S852" s="24" t="n">
        <x:f>IFERROR(F852/J852,0)</x:f>
        <x:v>0</x:v>
      </x:c>
      <x:c r="T852" s="28" t="n">
        <x:f>H852-I852</x:f>
        <x:v>-12</x:v>
      </x:c>
      <x:c r="U852" s="24" t="n">
        <x:f>IFERROR(J852/H852,0)-IFERROR(K852/I852,0)</x:f>
        <x:v>0.1647058823529412</x:v>
      </x:c>
      <x:c r="V852" s="24" t="n">
        <x:f>IFERROR(F852/J852,0)-IFERROR(G852/K852,0)</x:f>
        <x:v>0</x:v>
      </x:c>
      <x:c r="W852" s="28" t="n">
        <x:f>L852-M852</x:f>
        <x:v>-3</x:v>
      </x:c>
      <x:c r="X852" s="24" t="n">
        <x:f>IFERROR(K852/I852,0)</x:f>
        <x:v>0.23529411764705882</x:v>
      </x:c>
      <x:c r="Y852" s="24" t="n">
        <x:f>IFERROR(G852/I852,0)</x:f>
        <x:v>0</x:v>
      </x:c>
      <x:c r="Z852" s="24" t="n">
        <x:f>IFERROR(G852/K852,0)</x:f>
        <x:v>0</x:v>
      </x:c>
      <x:c r="AA852" s="24" t="n">
        <x:f>IFERROR(F852/H852,0)-IFERROR(G852/I852,0)</x:f>
        <x:v>0</x:v>
      </x:c>
      <x:c r="AB852" s="28" t="n">
        <x:f>J852-K852</x:f>
        <x:v>-2</x:v>
      </x:c>
      <x:c r="AC852" s="32" t="n">
        <x:f>F852-G852</x:f>
        <x:v>0</x:v>
      </x:c>
    </x:row>
    <x:row r="853">
      <x:c r="A853" s="4" t="str">
        <x:v>2022-23</x:v>
      </x:c>
      <x:c r="B853" s="20" t="n">
        <x:v>44804</x:v>
      </x:c>
      <x:c r="C853" s="4" t="str">
        <x:v>Liverpool</x:v>
      </x:c>
      <x:c r="D853" s="4" t="str">
        <x:v>Newcastle</x:v>
      </x:c>
      <x:c r="E853" s="4" t="str">
        <x:v>Home</x:v>
      </x:c>
      <x:c r="F853" s="28" t="n">
        <x:v>2</x:v>
      </x:c>
      <x:c r="G853" s="28" t="n">
        <x:v>1</x:v>
      </x:c>
      <x:c r="H853" s="28" t="n">
        <x:v>23</x:v>
      </x:c>
      <x:c r="I853" s="28" t="n">
        <x:v>5</x:v>
      </x:c>
      <x:c r="J853" s="28" t="n">
        <x:v>6</x:v>
      </x:c>
      <x:c r="K853" s="28" t="n">
        <x:v>2</x:v>
      </x:c>
      <x:c r="L853" s="28" t="n">
        <x:v>13</x:v>
      </x:c>
      <x:c r="M853" s="28" t="n">
        <x:v>0</x:v>
      </x:c>
      <x:c r="N853" s="28" t="n">
        <x:v>0</x:v>
      </x:c>
      <x:c r="O853" s="28" t="n">
        <x:v>0</x:v>
      </x:c>
      <x:c r="P853" s="28" t="n">
        <x:v>3</x:v>
      </x:c>
      <x:c r="Q853" s="24" t="n">
        <x:f>IFERROR(J853/H853,0)</x:f>
        <x:v>0.2608695652173913</x:v>
      </x:c>
      <x:c r="R853" s="24" t="n">
        <x:f>IFERROR(F853/H853,0)</x:f>
        <x:v>0.08695652173913043</x:v>
      </x:c>
      <x:c r="S853" s="24" t="n">
        <x:f>IFERROR(F853/J853,0)</x:f>
        <x:v>0.3333333333333333</x:v>
      </x:c>
      <x:c r="T853" s="28" t="n">
        <x:f>H853-I853</x:f>
        <x:v>18</x:v>
      </x:c>
      <x:c r="U853" s="24" t="n">
        <x:f>IFERROR(J853/H853,0)-IFERROR(K853/I853,0)</x:f>
        <x:v>-0.13913043478260873</x:v>
      </x:c>
      <x:c r="V853" s="24" t="n">
        <x:f>IFERROR(F853/J853,0)-IFERROR(G853/K853,0)</x:f>
        <x:v>-0.16666666666666669</x:v>
      </x:c>
      <x:c r="W853" s="28" t="n">
        <x:f>L853-M853</x:f>
        <x:v>13</x:v>
      </x:c>
      <x:c r="X853" s="24" t="n">
        <x:f>IFERROR(K853/I853,0)</x:f>
        <x:v>0.4</x:v>
      </x:c>
      <x:c r="Y853" s="24" t="n">
        <x:f>IFERROR(G853/I853,0)</x:f>
        <x:v>0.2</x:v>
      </x:c>
      <x:c r="Z853" s="24" t="n">
        <x:f>IFERROR(G853/K853,0)</x:f>
        <x:v>0.5</x:v>
      </x:c>
      <x:c r="AA853" s="24" t="n">
        <x:f>IFERROR(F853/H853,0)-IFERROR(G853/I853,0)</x:f>
        <x:v>-0.11304347826086958</x:v>
      </x:c>
      <x:c r="AB853" s="28" t="n">
        <x:f>J853-K853</x:f>
        <x:v>4</x:v>
      </x:c>
      <x:c r="AC853" s="32" t="n">
        <x:f>F853-G853</x:f>
        <x:v>1</x:v>
      </x:c>
    </x:row>
    <x:row r="854">
      <x:c r="A854" s="4" t="str">
        <x:v>2022-23</x:v>
      </x:c>
      <x:c r="B854" s="20" t="n">
        <x:v>44804</x:v>
      </x:c>
      <x:c r="C854" s="4" t="str">
        <x:v>Man City</x:v>
      </x:c>
      <x:c r="D854" s="4" t="str">
        <x:v>Nott'm Forest</x:v>
      </x:c>
      <x:c r="E854" s="4" t="str">
        <x:v>Home</x:v>
      </x:c>
      <x:c r="F854" s="28" t="n">
        <x:v>6</x:v>
      </x:c>
      <x:c r="G854" s="28" t="n">
        <x:v>0</x:v>
      </x:c>
      <x:c r="H854" s="28" t="n">
        <x:v>17</x:v>
      </x:c>
      <x:c r="I854" s="28" t="n">
        <x:v>8</x:v>
      </x:c>
      <x:c r="J854" s="28" t="n">
        <x:v>9</x:v>
      </x:c>
      <x:c r="K854" s="28" t="n">
        <x:v>1</x:v>
      </x:c>
      <x:c r="L854" s="28" t="n">
        <x:v>10</x:v>
      </x:c>
      <x:c r="M854" s="28" t="n">
        <x:v>1</x:v>
      </x:c>
      <x:c r="N854" s="28" t="n">
        <x:v>0</x:v>
      </x:c>
      <x:c r="O854" s="28" t="n">
        <x:v>0</x:v>
      </x:c>
      <x:c r="P854" s="28" t="n">
        <x:v>3</x:v>
      </x:c>
      <x:c r="Q854" s="24" t="n">
        <x:f>IFERROR(J854/H854,0)</x:f>
        <x:v>0.5294117647058824</x:v>
      </x:c>
      <x:c r="R854" s="24" t="n">
        <x:f>IFERROR(F854/H854,0)</x:f>
        <x:v>0.35294117647058826</x:v>
      </x:c>
      <x:c r="S854" s="24" t="n">
        <x:f>IFERROR(F854/J854,0)</x:f>
        <x:v>0.6666666666666666</x:v>
      </x:c>
      <x:c r="T854" s="28" t="n">
        <x:f>H854-I854</x:f>
        <x:v>9</x:v>
      </x:c>
      <x:c r="U854" s="24" t="n">
        <x:f>IFERROR(J854/H854,0)-IFERROR(K854/I854,0)</x:f>
        <x:v>0.40441176470588236</x:v>
      </x:c>
      <x:c r="V854" s="24" t="n">
        <x:f>IFERROR(F854/J854,0)-IFERROR(G854/K854,0)</x:f>
        <x:v>0.6666666666666666</x:v>
      </x:c>
      <x:c r="W854" s="28" t="n">
        <x:f>L854-M854</x:f>
        <x:v>9</x:v>
      </x:c>
      <x:c r="X854" s="24" t="n">
        <x:f>IFERROR(K854/I854,0)</x:f>
        <x:v>0.125</x:v>
      </x:c>
      <x:c r="Y854" s="24" t="n">
        <x:f>IFERROR(G854/I854,0)</x:f>
        <x:v>0</x:v>
      </x:c>
      <x:c r="Z854" s="24" t="n">
        <x:f>IFERROR(G854/K854,0)</x:f>
        <x:v>0</x:v>
      </x:c>
      <x:c r="AA854" s="24" t="n">
        <x:f>IFERROR(F854/H854,0)-IFERROR(G854/I854,0)</x:f>
        <x:v>0.35294117647058826</x:v>
      </x:c>
      <x:c r="AB854" s="28" t="n">
        <x:f>J854-K854</x:f>
        <x:v>8</x:v>
      </x:c>
      <x:c r="AC854" s="32" t="n">
        <x:f>F854-G854</x:f>
        <x:v>6</x:v>
      </x:c>
    </x:row>
    <x:row r="855">
      <x:c r="A855" s="4" t="str">
        <x:v>2022-23</x:v>
      </x:c>
      <x:c r="B855" s="20" t="n">
        <x:v>44804</x:v>
      </x:c>
      <x:c r="C855" s="4" t="str">
        <x:v>Newcastle</x:v>
      </x:c>
      <x:c r="D855" s="4" t="str">
        <x:v>Liverpool</x:v>
      </x:c>
      <x:c r="E855" s="4" t="str">
        <x:v>Away</x:v>
      </x:c>
      <x:c r="F855" s="28" t="n">
        <x:v>1</x:v>
      </x:c>
      <x:c r="G855" s="28" t="n">
        <x:v>2</x:v>
      </x:c>
      <x:c r="H855" s="28" t="n">
        <x:v>5</x:v>
      </x:c>
      <x:c r="I855" s="28" t="n">
        <x:v>23</x:v>
      </x:c>
      <x:c r="J855" s="28" t="n">
        <x:v>2</x:v>
      </x:c>
      <x:c r="K855" s="28" t="n">
        <x:v>6</x:v>
      </x:c>
      <x:c r="L855" s="28" t="n">
        <x:v>0</x:v>
      </x:c>
      <x:c r="M855" s="28" t="n">
        <x:v>13</x:v>
      </x:c>
      <x:c r="N855" s="28" t="n">
        <x:v>2</x:v>
      </x:c>
      <x:c r="O855" s="28" t="n">
        <x:v>0</x:v>
      </x:c>
      <x:c r="P855" s="28" t="n">
        <x:v>0</x:v>
      </x:c>
      <x:c r="Q855" s="24" t="n">
        <x:f>IFERROR(J855/H855,0)</x:f>
        <x:v>0.4</x:v>
      </x:c>
      <x:c r="R855" s="24" t="n">
        <x:f>IFERROR(F855/H855,0)</x:f>
        <x:v>0.2</x:v>
      </x:c>
      <x:c r="S855" s="24" t="n">
        <x:f>IFERROR(F855/J855,0)</x:f>
        <x:v>0.5</x:v>
      </x:c>
      <x:c r="T855" s="28" t="n">
        <x:f>H855-I855</x:f>
        <x:v>-18</x:v>
      </x:c>
      <x:c r="U855" s="24" t="n">
        <x:f>IFERROR(J855/H855,0)-IFERROR(K855/I855,0)</x:f>
        <x:v>0.13913043478260873</x:v>
      </x:c>
      <x:c r="V855" s="24" t="n">
        <x:f>IFERROR(F855/J855,0)-IFERROR(G855/K855,0)</x:f>
        <x:v>0.16666666666666669</x:v>
      </x:c>
      <x:c r="W855" s="28" t="n">
        <x:f>L855-M855</x:f>
        <x:v>-13</x:v>
      </x:c>
      <x:c r="X855" s="24" t="n">
        <x:f>IFERROR(K855/I855,0)</x:f>
        <x:v>0.2608695652173913</x:v>
      </x:c>
      <x:c r="Y855" s="24" t="n">
        <x:f>IFERROR(G855/I855,0)</x:f>
        <x:v>0.08695652173913043</x:v>
      </x:c>
      <x:c r="Z855" s="24" t="n">
        <x:f>IFERROR(G855/K855,0)</x:f>
        <x:v>0.3333333333333333</x:v>
      </x:c>
      <x:c r="AA855" s="24" t="n">
        <x:f>IFERROR(F855/H855,0)-IFERROR(G855/I855,0)</x:f>
        <x:v>0.11304347826086958</x:v>
      </x:c>
      <x:c r="AB855" s="28" t="n">
        <x:f>J855-K855</x:f>
        <x:v>-4</x:v>
      </x:c>
      <x:c r="AC855" s="32" t="n">
        <x:f>F855-G855</x:f>
        <x:v>-1</x:v>
      </x:c>
    </x:row>
    <x:row r="856">
      <x:c r="A856" s="4" t="str">
        <x:v>2022-23</x:v>
      </x:c>
      <x:c r="B856" s="20" t="n">
        <x:v>44804</x:v>
      </x:c>
      <x:c r="C856" s="4" t="str">
        <x:v>Nott'm Forest</x:v>
      </x:c>
      <x:c r="D856" s="4" t="str">
        <x:v>Man City</x:v>
      </x:c>
      <x:c r="E856" s="4" t="str">
        <x:v>Away</x:v>
      </x:c>
      <x:c r="F856" s="28" t="n">
        <x:v>0</x:v>
      </x:c>
      <x:c r="G856" s="28" t="n">
        <x:v>6</x:v>
      </x:c>
      <x:c r="H856" s="28" t="n">
        <x:v>8</x:v>
      </x:c>
      <x:c r="I856" s="28" t="n">
        <x:v>17</x:v>
      </x:c>
      <x:c r="J856" s="28" t="n">
        <x:v>1</x:v>
      </x:c>
      <x:c r="K856" s="28" t="n">
        <x:v>9</x:v>
      </x:c>
      <x:c r="L856" s="28" t="n">
        <x:v>1</x:v>
      </x:c>
      <x:c r="M856" s="28" t="n">
        <x:v>10</x:v>
      </x:c>
      <x:c r="N856" s="28" t="n">
        <x:v>1</x:v>
      </x:c>
      <x:c r="O856" s="28" t="n">
        <x:v>0</x:v>
      </x:c>
      <x:c r="P856" s="28" t="n">
        <x:v>0</x:v>
      </x:c>
      <x:c r="Q856" s="24" t="n">
        <x:f>IFERROR(J856/H856,0)</x:f>
        <x:v>0.125</x:v>
      </x:c>
      <x:c r="R856" s="24" t="n">
        <x:f>IFERROR(F856/H856,0)</x:f>
        <x:v>0</x:v>
      </x:c>
      <x:c r="S856" s="24" t="n">
        <x:f>IFERROR(F856/J856,0)</x:f>
        <x:v>0</x:v>
      </x:c>
      <x:c r="T856" s="28" t="n">
        <x:f>H856-I856</x:f>
        <x:v>-9</x:v>
      </x:c>
      <x:c r="U856" s="24" t="n">
        <x:f>IFERROR(J856/H856,0)-IFERROR(K856/I856,0)</x:f>
        <x:v>-0.40441176470588236</x:v>
      </x:c>
      <x:c r="V856" s="24" t="n">
        <x:f>IFERROR(F856/J856,0)-IFERROR(G856/K856,0)</x:f>
        <x:v>-0.6666666666666666</x:v>
      </x:c>
      <x:c r="W856" s="28" t="n">
        <x:f>L856-M856</x:f>
        <x:v>-9</x:v>
      </x:c>
      <x:c r="X856" s="24" t="n">
        <x:f>IFERROR(K856/I856,0)</x:f>
        <x:v>0.5294117647058824</x:v>
      </x:c>
      <x:c r="Y856" s="24" t="n">
        <x:f>IFERROR(G856/I856,0)</x:f>
        <x:v>0.35294117647058826</x:v>
      </x:c>
      <x:c r="Z856" s="24" t="n">
        <x:f>IFERROR(G856/K856,0)</x:f>
        <x:v>0.6666666666666666</x:v>
      </x:c>
      <x:c r="AA856" s="24" t="n">
        <x:f>IFERROR(F856/H856,0)-IFERROR(G856/I856,0)</x:f>
        <x:v>-0.35294117647058826</x:v>
      </x:c>
      <x:c r="AB856" s="28" t="n">
        <x:f>J856-K856</x:f>
        <x:v>-8</x:v>
      </x:c>
      <x:c r="AC856" s="32" t="n">
        <x:f>F856-G856</x:f>
        <x:v>-6</x:v>
      </x:c>
    </x:row>
    <x:row r="857">
      <x:c r="A857" s="4" t="str">
        <x:v>2022-23</x:v>
      </x:c>
      <x:c r="B857" s="20" t="n">
        <x:v>44804</x:v>
      </x:c>
      <x:c r="C857" s="4" t="str">
        <x:v>Tottenham</x:v>
      </x:c>
      <x:c r="D857" s="4" t="str">
        <x:v>West Ham</x:v>
      </x:c>
      <x:c r="E857" s="4" t="str">
        <x:v>Away</x:v>
      </x:c>
      <x:c r="F857" s="28" t="n">
        <x:v>1</x:v>
      </x:c>
      <x:c r="G857" s="28" t="n">
        <x:v>1</x:v>
      </x:c>
      <x:c r="H857" s="28" t="n">
        <x:v>13</x:v>
      </x:c>
      <x:c r="I857" s="28" t="n">
        <x:v>14</x:v>
      </x:c>
      <x:c r="J857" s="28" t="n">
        <x:v>4</x:v>
      </x:c>
      <x:c r="K857" s="28" t="n">
        <x:v>4</x:v>
      </x:c>
      <x:c r="L857" s="28" t="n">
        <x:v>4</x:v>
      </x:c>
      <x:c r="M857" s="28" t="n">
        <x:v>3</x:v>
      </x:c>
      <x:c r="N857" s="28" t="n">
        <x:v>5</x:v>
      </x:c>
      <x:c r="O857" s="28" t="n">
        <x:v>0</x:v>
      </x:c>
      <x:c r="P857" s="28" t="n">
        <x:v>1</x:v>
      </x:c>
      <x:c r="Q857" s="24" t="n">
        <x:f>IFERROR(J857/H857,0)</x:f>
        <x:v>0.3076923076923077</x:v>
      </x:c>
      <x:c r="R857" s="24" t="n">
        <x:f>IFERROR(F857/H857,0)</x:f>
        <x:v>0.07692307692307693</x:v>
      </x:c>
      <x:c r="S857" s="24" t="n">
        <x:f>IFERROR(F857/J857,0)</x:f>
        <x:v>0.25</x:v>
      </x:c>
      <x:c r="T857" s="28" t="n">
        <x:f>H857-I857</x:f>
        <x:v>-1</x:v>
      </x:c>
      <x:c r="U857" s="24" t="n">
        <x:f>IFERROR(J857/H857,0)-IFERROR(K857/I857,0)</x:f>
        <x:v>0.02197802197802201</x:v>
      </x:c>
      <x:c r="V857" s="24" t="n">
        <x:f>IFERROR(F857/J857,0)-IFERROR(G857/K857,0)</x:f>
        <x:v>0</x:v>
      </x:c>
      <x:c r="W857" s="28" t="n">
        <x:f>L857-M857</x:f>
        <x:v>1</x:v>
      </x:c>
      <x:c r="X857" s="24" t="n">
        <x:f>IFERROR(K857/I857,0)</x:f>
        <x:v>0.2857142857142857</x:v>
      </x:c>
      <x:c r="Y857" s="24" t="n">
        <x:f>IFERROR(G857/I857,0)</x:f>
        <x:v>0.07142857142857142</x:v>
      </x:c>
      <x:c r="Z857" s="24" t="n">
        <x:f>IFERROR(G857/K857,0)</x:f>
        <x:v>0.25</x:v>
      </x:c>
      <x:c r="AA857" s="24" t="n">
        <x:f>IFERROR(F857/H857,0)-IFERROR(G857/I857,0)</x:f>
        <x:v>0.005494505494505503</x:v>
      </x:c>
      <x:c r="AB857" s="28" t="n">
        <x:f>J857-K857</x:f>
        <x:v>0</x:v>
      </x:c>
      <x:c r="AC857" s="32" t="n">
        <x:f>F857-G857</x:f>
        <x:v>0</x:v>
      </x:c>
    </x:row>
    <x:row r="858">
      <x:c r="A858" s="4" t="str">
        <x:v>2022-23</x:v>
      </x:c>
      <x:c r="B858" s="20" t="n">
        <x:v>44804</x:v>
      </x:c>
      <x:c r="C858" s="4" t="str">
        <x:v>West Ham</x:v>
      </x:c>
      <x:c r="D858" s="4" t="str">
        <x:v>Tottenham</x:v>
      </x:c>
      <x:c r="E858" s="4" t="str">
        <x:v>Home</x:v>
      </x:c>
      <x:c r="F858" s="28" t="n">
        <x:v>1</x:v>
      </x:c>
      <x:c r="G858" s="28" t="n">
        <x:v>1</x:v>
      </x:c>
      <x:c r="H858" s="28" t="n">
        <x:v>14</x:v>
      </x:c>
      <x:c r="I858" s="28" t="n">
        <x:v>13</x:v>
      </x:c>
      <x:c r="J858" s="28" t="n">
        <x:v>4</x:v>
      </x:c>
      <x:c r="K858" s="28" t="n">
        <x:v>4</x:v>
      </x:c>
      <x:c r="L858" s="28" t="n">
        <x:v>3</x:v>
      </x:c>
      <x:c r="M858" s="28" t="n">
        <x:v>4</x:v>
      </x:c>
      <x:c r="N858" s="28" t="n">
        <x:v>2</x:v>
      </x:c>
      <x:c r="O858" s="28" t="n">
        <x:v>0</x:v>
      </x:c>
      <x:c r="P858" s="28" t="n">
        <x:v>1</x:v>
      </x:c>
      <x:c r="Q858" s="24" t="n">
        <x:f>IFERROR(J858/H858,0)</x:f>
        <x:v>0.2857142857142857</x:v>
      </x:c>
      <x:c r="R858" s="24" t="n">
        <x:f>IFERROR(F858/H858,0)</x:f>
        <x:v>0.07142857142857142</x:v>
      </x:c>
      <x:c r="S858" s="24" t="n">
        <x:f>IFERROR(F858/J858,0)</x:f>
        <x:v>0.25</x:v>
      </x:c>
      <x:c r="T858" s="28" t="n">
        <x:f>H858-I858</x:f>
        <x:v>1</x:v>
      </x:c>
      <x:c r="U858" s="24" t="n">
        <x:f>IFERROR(J858/H858,0)-IFERROR(K858/I858,0)</x:f>
        <x:v>-0.02197802197802201</x:v>
      </x:c>
      <x:c r="V858" s="24" t="n">
        <x:f>IFERROR(F858/J858,0)-IFERROR(G858/K858,0)</x:f>
        <x:v>0</x:v>
      </x:c>
      <x:c r="W858" s="28" t="n">
        <x:f>L858-M858</x:f>
        <x:v>-1</x:v>
      </x:c>
      <x:c r="X858" s="24" t="n">
        <x:f>IFERROR(K858/I858,0)</x:f>
        <x:v>0.3076923076923077</x:v>
      </x:c>
      <x:c r="Y858" s="24" t="n">
        <x:f>IFERROR(G858/I858,0)</x:f>
        <x:v>0.07692307692307693</x:v>
      </x:c>
      <x:c r="Z858" s="24" t="n">
        <x:f>IFERROR(G858/K858,0)</x:f>
        <x:v>0.25</x:v>
      </x:c>
      <x:c r="AA858" s="24" t="n">
        <x:f>IFERROR(F858/H858,0)-IFERROR(G858/I858,0)</x:f>
        <x:v>-0.005494505494505503</x:v>
      </x:c>
      <x:c r="AB858" s="28" t="n">
        <x:f>J858-K858</x:f>
        <x:v>0</x:v>
      </x:c>
      <x:c r="AC858" s="32" t="n">
        <x:f>F858-G858</x:f>
        <x:v>0</x:v>
      </x:c>
    </x:row>
    <x:row r="859">
      <x:c r="A859" s="4" t="str">
        <x:v>2022-23</x:v>
      </x:c>
      <x:c r="B859" s="20" t="n">
        <x:v>44804</x:v>
      </x:c>
      <x:c r="C859" s="4" t="str">
        <x:v>Wolves</x:v>
      </x:c>
      <x:c r="D859" s="4" t="str">
        <x:v>Bournemouth</x:v>
      </x:c>
      <x:c r="E859" s="4" t="str">
        <x:v>Away</x:v>
      </x:c>
      <x:c r="F859" s="28" t="n">
        <x:v>0</x:v>
      </x:c>
      <x:c r="G859" s="28" t="n">
        <x:v>0</x:v>
      </x:c>
      <x:c r="H859" s="28" t="n">
        <x:v>17</x:v>
      </x:c>
      <x:c r="I859" s="28" t="n">
        <x:v>5</x:v>
      </x:c>
      <x:c r="J859" s="28" t="n">
        <x:v>4</x:v>
      </x:c>
      <x:c r="K859" s="28" t="n">
        <x:v>2</x:v>
      </x:c>
      <x:c r="L859" s="28" t="n">
        <x:v>5</x:v>
      </x:c>
      <x:c r="M859" s="28" t="n">
        <x:v>2</x:v>
      </x:c>
      <x:c r="N859" s="28" t="n">
        <x:v>1</x:v>
      </x:c>
      <x:c r="O859" s="28" t="n">
        <x:v>0</x:v>
      </x:c>
      <x:c r="P859" s="28" t="n">
        <x:v>1</x:v>
      </x:c>
      <x:c r="Q859" s="24" t="n">
        <x:f>IFERROR(J859/H859,0)</x:f>
        <x:v>0.23529411764705882</x:v>
      </x:c>
      <x:c r="R859" s="24" t="n">
        <x:f>IFERROR(F859/H859,0)</x:f>
        <x:v>0</x:v>
      </x:c>
      <x:c r="S859" s="24" t="n">
        <x:f>IFERROR(F859/J859,0)</x:f>
        <x:v>0</x:v>
      </x:c>
      <x:c r="T859" s="28" t="n">
        <x:f>H859-I859</x:f>
        <x:v>12</x:v>
      </x:c>
      <x:c r="U859" s="24" t="n">
        <x:f>IFERROR(J859/H859,0)-IFERROR(K859/I859,0)</x:f>
        <x:v>-0.1647058823529412</x:v>
      </x:c>
      <x:c r="V859" s="24" t="n">
        <x:f>IFERROR(F859/J859,0)-IFERROR(G859/K859,0)</x:f>
        <x:v>0</x:v>
      </x:c>
      <x:c r="W859" s="28" t="n">
        <x:f>L859-M859</x:f>
        <x:v>3</x:v>
      </x:c>
      <x:c r="X859" s="24" t="n">
        <x:f>IFERROR(K859/I859,0)</x:f>
        <x:v>0.4</x:v>
      </x:c>
      <x:c r="Y859" s="24" t="n">
        <x:f>IFERROR(G859/I859,0)</x:f>
        <x:v>0</x:v>
      </x:c>
      <x:c r="Z859" s="24" t="n">
        <x:f>IFERROR(G859/K859,0)</x:f>
        <x:v>0</x:v>
      </x:c>
      <x:c r="AA859" s="24" t="n">
        <x:f>IFERROR(F859/H859,0)-IFERROR(G859/I859,0)</x:f>
        <x:v>0</x:v>
      </x:c>
      <x:c r="AB859" s="28" t="n">
        <x:f>J859-K859</x:f>
        <x:v>2</x:v>
      </x:c>
      <x:c r="AC859" s="32" t="n">
        <x:f>F859-G859</x:f>
        <x:v>0</x:v>
      </x:c>
    </x:row>
    <x:row r="860">
      <x:c r="A860" s="4" t="str">
        <x:v>2022-23</x:v>
      </x:c>
      <x:c r="B860" s="20" t="n">
        <x:v>44805</x:v>
      </x:c>
      <x:c r="C860" s="4" t="str">
        <x:v>Leicester</x:v>
      </x:c>
      <x:c r="D860" s="4" t="str">
        <x:v>Man United</x:v>
      </x:c>
      <x:c r="E860" s="4" t="str">
        <x:v>Home</x:v>
      </x:c>
      <x:c r="F860" s="28" t="n">
        <x:v>0</x:v>
      </x:c>
      <x:c r="G860" s="28" t="n">
        <x:v>1</x:v>
      </x:c>
      <x:c r="H860" s="28" t="n">
        <x:v>10</x:v>
      </x:c>
      <x:c r="I860" s="28" t="n">
        <x:v>9</x:v>
      </x:c>
      <x:c r="J860" s="28" t="n">
        <x:v>2</x:v>
      </x:c>
      <x:c r="K860" s="28" t="n">
        <x:v>2</x:v>
      </x:c>
      <x:c r="L860" s="28" t="n">
        <x:v>1</x:v>
      </x:c>
      <x:c r="M860" s="28" t="n">
        <x:v>3</x:v>
      </x:c>
      <x:c r="N860" s="28" t="n">
        <x:v>1</x:v>
      </x:c>
      <x:c r="O860" s="28" t="n">
        <x:v>0</x:v>
      </x:c>
      <x:c r="P860" s="28" t="n">
        <x:v>0</x:v>
      </x:c>
      <x:c r="Q860" s="24" t="n">
        <x:f>IFERROR(J860/H860,0)</x:f>
        <x:v>0.2</x:v>
      </x:c>
      <x:c r="R860" s="24" t="n">
        <x:f>IFERROR(F860/H860,0)</x:f>
        <x:v>0</x:v>
      </x:c>
      <x:c r="S860" s="24" t="n">
        <x:f>IFERROR(F860/J860,0)</x:f>
        <x:v>0</x:v>
      </x:c>
      <x:c r="T860" s="28" t="n">
        <x:f>H860-I860</x:f>
        <x:v>1</x:v>
      </x:c>
      <x:c r="U860" s="24" t="n">
        <x:f>IFERROR(J860/H860,0)-IFERROR(K860/I860,0)</x:f>
        <x:v>-0.0222222222222222</x:v>
      </x:c>
      <x:c r="V860" s="24" t="n">
        <x:f>IFERROR(F860/J860,0)-IFERROR(G860/K860,0)</x:f>
        <x:v>-0.5</x:v>
      </x:c>
      <x:c r="W860" s="28" t="n">
        <x:f>L860-M860</x:f>
        <x:v>-2</x:v>
      </x:c>
      <x:c r="X860" s="24" t="n">
        <x:f>IFERROR(K860/I860,0)</x:f>
        <x:v>0.2222222222222222</x:v>
      </x:c>
      <x:c r="Y860" s="24" t="n">
        <x:f>IFERROR(G860/I860,0)</x:f>
        <x:v>0.1111111111111111</x:v>
      </x:c>
      <x:c r="Z860" s="24" t="n">
        <x:f>IFERROR(G860/K860,0)</x:f>
        <x:v>0.5</x:v>
      </x:c>
      <x:c r="AA860" s="24" t="n">
        <x:f>IFERROR(F860/H860,0)-IFERROR(G860/I860,0)</x:f>
        <x:v>-0.1111111111111111</x:v>
      </x:c>
      <x:c r="AB860" s="28" t="n">
        <x:f>J860-K860</x:f>
        <x:v>0</x:v>
      </x:c>
      <x:c r="AC860" s="32" t="n">
        <x:f>F860-G860</x:f>
        <x:v>-1</x:v>
      </x:c>
    </x:row>
    <x:row r="861">
      <x:c r="A861" s="4" t="str">
        <x:v>2022-23</x:v>
      </x:c>
      <x:c r="B861" s="20" t="n">
        <x:v>44805</x:v>
      </x:c>
      <x:c r="C861" s="4" t="str">
        <x:v>Man United</x:v>
      </x:c>
      <x:c r="D861" s="4" t="str">
        <x:v>Leicester</x:v>
      </x:c>
      <x:c r="E861" s="4" t="str">
        <x:v>Away</x:v>
      </x:c>
      <x:c r="F861" s="28" t="n">
        <x:v>1</x:v>
      </x:c>
      <x:c r="G861" s="28" t="n">
        <x:v>0</x:v>
      </x:c>
      <x:c r="H861" s="28" t="n">
        <x:v>9</x:v>
      </x:c>
      <x:c r="I861" s="28" t="n">
        <x:v>10</x:v>
      </x:c>
      <x:c r="J861" s="28" t="n">
        <x:v>2</x:v>
      </x:c>
      <x:c r="K861" s="28" t="n">
        <x:v>2</x:v>
      </x:c>
      <x:c r="L861" s="28" t="n">
        <x:v>3</x:v>
      </x:c>
      <x:c r="M861" s="28" t="n">
        <x:v>1</x:v>
      </x:c>
      <x:c r="N861" s="28" t="n">
        <x:v>3</x:v>
      </x:c>
      <x:c r="O861" s="28" t="n">
        <x:v>0</x:v>
      </x:c>
      <x:c r="P861" s="28" t="n">
        <x:v>3</x:v>
      </x:c>
      <x:c r="Q861" s="24" t="n">
        <x:f>IFERROR(J861/H861,0)</x:f>
        <x:v>0.2222222222222222</x:v>
      </x:c>
      <x:c r="R861" s="24" t="n">
        <x:f>IFERROR(F861/H861,0)</x:f>
        <x:v>0.1111111111111111</x:v>
      </x:c>
      <x:c r="S861" s="24" t="n">
        <x:f>IFERROR(F861/J861,0)</x:f>
        <x:v>0.5</x:v>
      </x:c>
      <x:c r="T861" s="28" t="n">
        <x:f>H861-I861</x:f>
        <x:v>-1</x:v>
      </x:c>
      <x:c r="U861" s="24" t="n">
        <x:f>IFERROR(J861/H861,0)-IFERROR(K861/I861,0)</x:f>
        <x:v>0.0222222222222222</x:v>
      </x:c>
      <x:c r="V861" s="24" t="n">
        <x:f>IFERROR(F861/J861,0)-IFERROR(G861/K861,0)</x:f>
        <x:v>0.5</x:v>
      </x:c>
      <x:c r="W861" s="28" t="n">
        <x:f>L861-M861</x:f>
        <x:v>2</x:v>
      </x:c>
      <x:c r="X861" s="24" t="n">
        <x:f>IFERROR(K861/I861,0)</x:f>
        <x:v>0.2</x:v>
      </x:c>
      <x:c r="Y861" s="24" t="n">
        <x:f>IFERROR(G861/I861,0)</x:f>
        <x:v>0</x:v>
      </x:c>
      <x:c r="Z861" s="24" t="n">
        <x:f>IFERROR(G861/K861,0)</x:f>
        <x:v>0</x:v>
      </x:c>
      <x:c r="AA861" s="24" t="n">
        <x:f>IFERROR(F861/H861,0)-IFERROR(G861/I861,0)</x:f>
        <x:v>0.1111111111111111</x:v>
      </x:c>
      <x:c r="AB861" s="28" t="n">
        <x:f>J861-K861</x:f>
        <x:v>0</x:v>
      </x:c>
      <x:c r="AC861" s="32" t="n">
        <x:f>F861-G861</x:f>
        <x:v>1</x:v>
      </x:c>
    </x:row>
    <x:row r="862">
      <x:c r="A862" s="4" t="str">
        <x:v>2022-23</x:v>
      </x:c>
      <x:c r="B862" s="20" t="n">
        <x:v>44807</x:v>
      </x:c>
      <x:c r="C862" s="4" t="str">
        <x:v>Aston Villa</x:v>
      </x:c>
      <x:c r="D862" s="4" t="str">
        <x:v>Man City</x:v>
      </x:c>
      <x:c r="E862" s="4" t="str">
        <x:v>Home</x:v>
      </x:c>
      <x:c r="F862" s="28" t="n">
        <x:v>1</x:v>
      </x:c>
      <x:c r="G862" s="28" t="n">
        <x:v>1</x:v>
      </x:c>
      <x:c r="H862" s="28" t="n">
        <x:v>3</x:v>
      </x:c>
      <x:c r="I862" s="28" t="n">
        <x:v>13</x:v>
      </x:c>
      <x:c r="J862" s="28" t="n">
        <x:v>1</x:v>
      </x:c>
      <x:c r="K862" s="28" t="n">
        <x:v>4</x:v>
      </x:c>
      <x:c r="L862" s="28" t="n">
        <x:v>1</x:v>
      </x:c>
      <x:c r="M862" s="28" t="n">
        <x:v>4</x:v>
      </x:c>
      <x:c r="N862" s="28" t="n">
        <x:v>2</x:v>
      </x:c>
      <x:c r="O862" s="28" t="n">
        <x:v>0</x:v>
      </x:c>
      <x:c r="P862" s="28" t="n">
        <x:v>1</x:v>
      </x:c>
      <x:c r="Q862" s="24" t="n">
        <x:f>IFERROR(J862/H862,0)</x:f>
        <x:v>0.3333333333333333</x:v>
      </x:c>
      <x:c r="R862" s="24" t="n">
        <x:f>IFERROR(F862/H862,0)</x:f>
        <x:v>0.3333333333333333</x:v>
      </x:c>
      <x:c r="S862" s="24" t="n">
        <x:f>IFERROR(F862/J862,0)</x:f>
        <x:v>1</x:v>
      </x:c>
      <x:c r="T862" s="28" t="n">
        <x:f>H862-I862</x:f>
        <x:v>-10</x:v>
      </x:c>
      <x:c r="U862" s="24" t="n">
        <x:f>IFERROR(J862/H862,0)-IFERROR(K862/I862,0)</x:f>
        <x:v>0.025641025641025605</x:v>
      </x:c>
      <x:c r="V862" s="24" t="n">
        <x:f>IFERROR(F862/J862,0)-IFERROR(G862/K862,0)</x:f>
        <x:v>0.75</x:v>
      </x:c>
      <x:c r="W862" s="28" t="n">
        <x:f>L862-M862</x:f>
        <x:v>-3</x:v>
      </x:c>
      <x:c r="X862" s="24" t="n">
        <x:f>IFERROR(K862/I862,0)</x:f>
        <x:v>0.3076923076923077</x:v>
      </x:c>
      <x:c r="Y862" s="24" t="n">
        <x:f>IFERROR(G862/I862,0)</x:f>
        <x:v>0.07692307692307693</x:v>
      </x:c>
      <x:c r="Z862" s="24" t="n">
        <x:f>IFERROR(G862/K862,0)</x:f>
        <x:v>0.25</x:v>
      </x:c>
      <x:c r="AA862" s="24" t="n">
        <x:f>IFERROR(F862/H862,0)-IFERROR(G862/I862,0)</x:f>
        <x:v>0.2564102564102564</x:v>
      </x:c>
      <x:c r="AB862" s="28" t="n">
        <x:f>J862-K862</x:f>
        <x:v>-3</x:v>
      </x:c>
      <x:c r="AC862" s="32" t="n">
        <x:f>F862-G862</x:f>
        <x:v>0</x:v>
      </x:c>
    </x:row>
    <x:row r="863">
      <x:c r="A863" s="4" t="str">
        <x:v>2022-23</x:v>
      </x:c>
      <x:c r="B863" s="20" t="n">
        <x:v>44807</x:v>
      </x:c>
      <x:c r="C863" s="4" t="str">
        <x:v>Bournemouth</x:v>
      </x:c>
      <x:c r="D863" s="4" t="str">
        <x:v>Nott'm Forest</x:v>
      </x:c>
      <x:c r="E863" s="4" t="str">
        <x:v>Away</x:v>
      </x:c>
      <x:c r="F863" s="28" t="n">
        <x:v>3</x:v>
      </x:c>
      <x:c r="G863" s="28" t="n">
        <x:v>2</x:v>
      </x:c>
      <x:c r="H863" s="28" t="n">
        <x:v>8</x:v>
      </x:c>
      <x:c r="I863" s="28" t="n">
        <x:v>11</x:v>
      </x:c>
      <x:c r="J863" s="28" t="n">
        <x:v>3</x:v>
      </x:c>
      <x:c r="K863" s="28" t="n">
        <x:v>3</x:v>
      </x:c>
      <x:c r="L863" s="28" t="n">
        <x:v>6</x:v>
      </x:c>
      <x:c r="M863" s="28" t="n">
        <x:v>4</x:v>
      </x:c>
      <x:c r="N863" s="28" t="n">
        <x:v>1</x:v>
      </x:c>
      <x:c r="O863" s="28" t="n">
        <x:v>0</x:v>
      </x:c>
      <x:c r="P863" s="28" t="n">
        <x:v>3</x:v>
      </x:c>
      <x:c r="Q863" s="24" t="n">
        <x:f>IFERROR(J863/H863,0)</x:f>
        <x:v>0.375</x:v>
      </x:c>
      <x:c r="R863" s="24" t="n">
        <x:f>IFERROR(F863/H863,0)</x:f>
        <x:v>0.375</x:v>
      </x:c>
      <x:c r="S863" s="24" t="n">
        <x:f>IFERROR(F863/J863,0)</x:f>
        <x:v>1</x:v>
      </x:c>
      <x:c r="T863" s="28" t="n">
        <x:f>H863-I863</x:f>
        <x:v>-3</x:v>
      </x:c>
      <x:c r="U863" s="24" t="n">
        <x:f>IFERROR(J863/H863,0)-IFERROR(K863/I863,0)</x:f>
        <x:v>0.10227272727272729</x:v>
      </x:c>
      <x:c r="V863" s="24" t="n">
        <x:f>IFERROR(F863/J863,0)-IFERROR(G863/K863,0)</x:f>
        <x:v>0.33333333333333337</x:v>
      </x:c>
      <x:c r="W863" s="28" t="n">
        <x:f>L863-M863</x:f>
        <x:v>2</x:v>
      </x:c>
      <x:c r="X863" s="24" t="n">
        <x:f>IFERROR(K863/I863,0)</x:f>
        <x:v>0.2727272727272727</x:v>
      </x:c>
      <x:c r="Y863" s="24" t="n">
        <x:f>IFERROR(G863/I863,0)</x:f>
        <x:v>0.18181818181818182</x:v>
      </x:c>
      <x:c r="Z863" s="24" t="n">
        <x:f>IFERROR(G863/K863,0)</x:f>
        <x:v>0.6666666666666666</x:v>
      </x:c>
      <x:c r="AA863" s="24" t="n">
        <x:f>IFERROR(F863/H863,0)-IFERROR(G863/I863,0)</x:f>
        <x:v>0.19318181818181818</x:v>
      </x:c>
      <x:c r="AB863" s="28" t="n">
        <x:f>J863-K863</x:f>
        <x:v>0</x:v>
      </x:c>
      <x:c r="AC863" s="32" t="n">
        <x:f>F863-G863</x:f>
        <x:v>1</x:v>
      </x:c>
    </x:row>
    <x:row r="864">
      <x:c r="A864" s="4" t="str">
        <x:v>2022-23</x:v>
      </x:c>
      <x:c r="B864" s="20" t="n">
        <x:v>44807</x:v>
      </x:c>
      <x:c r="C864" s="4" t="str">
        <x:v>Brentford</x:v>
      </x:c>
      <x:c r="D864" s="4" t="str">
        <x:v>Leeds</x:v>
      </x:c>
      <x:c r="E864" s="4" t="str">
        <x:v>Home</x:v>
      </x:c>
      <x:c r="F864" s="28" t="n">
        <x:v>5</x:v>
      </x:c>
      <x:c r="G864" s="28" t="n">
        <x:v>2</x:v>
      </x:c>
      <x:c r="H864" s="28" t="n">
        <x:v>14</x:v>
      </x:c>
      <x:c r="I864" s="28" t="n">
        <x:v>17</x:v>
      </x:c>
      <x:c r="J864" s="28" t="n">
        <x:v>8</x:v>
      </x:c>
      <x:c r="K864" s="28" t="n">
        <x:v>6</x:v>
      </x:c>
      <x:c r="L864" s="28" t="n">
        <x:v>2</x:v>
      </x:c>
      <x:c r="M864" s="28" t="n">
        <x:v>6</x:v>
      </x:c>
      <x:c r="N864" s="28" t="n">
        <x:v>2</x:v>
      </x:c>
      <x:c r="O864" s="28" t="n">
        <x:v>0</x:v>
      </x:c>
      <x:c r="P864" s="28" t="n">
        <x:v>3</x:v>
      </x:c>
      <x:c r="Q864" s="24" t="n">
        <x:f>IFERROR(J864/H864,0)</x:f>
        <x:v>0.5714285714285714</x:v>
      </x:c>
      <x:c r="R864" s="24" t="n">
        <x:f>IFERROR(F864/H864,0)</x:f>
        <x:v>0.35714285714285715</x:v>
      </x:c>
      <x:c r="S864" s="24" t="n">
        <x:f>IFERROR(F864/J864,0)</x:f>
        <x:v>0.625</x:v>
      </x:c>
      <x:c r="T864" s="28" t="n">
        <x:f>H864-I864</x:f>
        <x:v>-3</x:v>
      </x:c>
      <x:c r="U864" s="24" t="n">
        <x:f>IFERROR(J864/H864,0)-IFERROR(K864/I864,0)</x:f>
        <x:v>0.21848739495798314</x:v>
      </x:c>
      <x:c r="V864" s="24" t="n">
        <x:f>IFERROR(F864/J864,0)-IFERROR(G864/K864,0)</x:f>
        <x:v>0.2916666666666667</x:v>
      </x:c>
      <x:c r="W864" s="28" t="n">
        <x:f>L864-M864</x:f>
        <x:v>-4</x:v>
      </x:c>
      <x:c r="X864" s="24" t="n">
        <x:f>IFERROR(K864/I864,0)</x:f>
        <x:v>0.35294117647058826</x:v>
      </x:c>
      <x:c r="Y864" s="24" t="n">
        <x:f>IFERROR(G864/I864,0)</x:f>
        <x:v>0.11764705882352941</x:v>
      </x:c>
      <x:c r="Z864" s="24" t="n">
        <x:f>IFERROR(G864/K864,0)</x:f>
        <x:v>0.3333333333333333</x:v>
      </x:c>
      <x:c r="AA864" s="24" t="n">
        <x:f>IFERROR(F864/H864,0)-IFERROR(G864/I864,0)</x:f>
        <x:v>0.23949579831932774</x:v>
      </x:c>
      <x:c r="AB864" s="28" t="n">
        <x:f>J864-K864</x:f>
        <x:v>2</x:v>
      </x:c>
      <x:c r="AC864" s="32" t="n">
        <x:f>F864-G864</x:f>
        <x:v>3</x:v>
      </x:c>
    </x:row>
    <x:row r="865">
      <x:c r="A865" s="4" t="str">
        <x:v>2022-23</x:v>
      </x:c>
      <x:c r="B865" s="20" t="n">
        <x:v>44807</x:v>
      </x:c>
      <x:c r="C865" s="4" t="str">
        <x:v>Chelsea</x:v>
      </x:c>
      <x:c r="D865" s="4" t="str">
        <x:v>West Ham</x:v>
      </x:c>
      <x:c r="E865" s="4" t="str">
        <x:v>Home</x:v>
      </x:c>
      <x:c r="F865" s="28" t="n">
        <x:v>2</x:v>
      </x:c>
      <x:c r="G865" s="28" t="n">
        <x:v>1</x:v>
      </x:c>
      <x:c r="H865" s="28" t="n">
        <x:v>8</x:v>
      </x:c>
      <x:c r="I865" s="28" t="n">
        <x:v>6</x:v>
      </x:c>
      <x:c r="J865" s="28" t="n">
        <x:v>3</x:v>
      </x:c>
      <x:c r="K865" s="28" t="n">
        <x:v>3</x:v>
      </x:c>
      <x:c r="L865" s="28" t="n">
        <x:v>10</x:v>
      </x:c>
      <x:c r="M865" s="28" t="n">
        <x:v>3</x:v>
      </x:c>
      <x:c r="N865" s="28" t="n">
        <x:v>4</x:v>
      </x:c>
      <x:c r="O865" s="28" t="n">
        <x:v>0</x:v>
      </x:c>
      <x:c r="P865" s="28" t="n">
        <x:v>3</x:v>
      </x:c>
      <x:c r="Q865" s="24" t="n">
        <x:f>IFERROR(J865/H865,0)</x:f>
        <x:v>0.375</x:v>
      </x:c>
      <x:c r="R865" s="24" t="n">
        <x:f>IFERROR(F865/H865,0)</x:f>
        <x:v>0.25</x:v>
      </x:c>
      <x:c r="S865" s="24" t="n">
        <x:f>IFERROR(F865/J865,0)</x:f>
        <x:v>0.6666666666666666</x:v>
      </x:c>
      <x:c r="T865" s="28" t="n">
        <x:f>H865-I865</x:f>
        <x:v>2</x:v>
      </x:c>
      <x:c r="U865" s="24" t="n">
        <x:f>IFERROR(J865/H865,0)-IFERROR(K865/I865,0)</x:f>
        <x:v>-0.125</x:v>
      </x:c>
      <x:c r="V865" s="24" t="n">
        <x:f>IFERROR(F865/J865,0)-IFERROR(G865/K865,0)</x:f>
        <x:v>0.3333333333333333</x:v>
      </x:c>
      <x:c r="W865" s="28" t="n">
        <x:f>L865-M865</x:f>
        <x:v>7</x:v>
      </x:c>
      <x:c r="X865" s="24" t="n">
        <x:f>IFERROR(K865/I865,0)</x:f>
        <x:v>0.5</x:v>
      </x:c>
      <x:c r="Y865" s="24" t="n">
        <x:f>IFERROR(G865/I865,0)</x:f>
        <x:v>0.16666666666666666</x:v>
      </x:c>
      <x:c r="Z865" s="24" t="n">
        <x:f>IFERROR(G865/K865,0)</x:f>
        <x:v>0.3333333333333333</x:v>
      </x:c>
      <x:c r="AA865" s="24" t="n">
        <x:f>IFERROR(F865/H865,0)-IFERROR(G865/I865,0)</x:f>
        <x:v>0.08333333333333334</x:v>
      </x:c>
      <x:c r="AB865" s="28" t="n">
        <x:f>J865-K865</x:f>
        <x:v>0</x:v>
      </x:c>
      <x:c r="AC865" s="32" t="n">
        <x:f>F865-G865</x:f>
        <x:v>1</x:v>
      </x:c>
    </x:row>
    <x:row r="866">
      <x:c r="A866" s="4" t="str">
        <x:v>2022-23</x:v>
      </x:c>
      <x:c r="B866" s="20" t="n">
        <x:v>44807</x:v>
      </x:c>
      <x:c r="C866" s="4" t="str">
        <x:v>Crystal Palace</x:v>
      </x:c>
      <x:c r="D866" s="4" t="str">
        <x:v>Newcastle</x:v>
      </x:c>
      <x:c r="E866" s="4" t="str">
        <x:v>Away</x:v>
      </x:c>
      <x:c r="F866" s="28" t="n">
        <x:v>0</x:v>
      </x:c>
      <x:c r="G866" s="28" t="n">
        <x:v>0</x:v>
      </x:c>
      <x:c r="H866" s="28" t="n">
        <x:v>19</x:v>
      </x:c>
      <x:c r="I866" s="28" t="n">
        <x:v>23</x:v>
      </x:c>
      <x:c r="J866" s="28" t="n">
        <x:v>9</x:v>
      </x:c>
      <x:c r="K866" s="28" t="n">
        <x:v>6</x:v>
      </x:c>
      <x:c r="L866" s="28" t="n">
        <x:v>5</x:v>
      </x:c>
      <x:c r="M866" s="28" t="n">
        <x:v>13</x:v>
      </x:c>
      <x:c r="N866" s="28" t="n">
        <x:v>1</x:v>
      </x:c>
      <x:c r="O866" s="28" t="n">
        <x:v>0</x:v>
      </x:c>
      <x:c r="P866" s="28" t="n">
        <x:v>1</x:v>
      </x:c>
      <x:c r="Q866" s="24" t="n">
        <x:f>IFERROR(J866/H866,0)</x:f>
        <x:v>0.47368421052631576</x:v>
      </x:c>
      <x:c r="R866" s="24" t="n">
        <x:f>IFERROR(F866/H866,0)</x:f>
        <x:v>0</x:v>
      </x:c>
      <x:c r="S866" s="24" t="n">
        <x:f>IFERROR(F866/J866,0)</x:f>
        <x:v>0</x:v>
      </x:c>
      <x:c r="T866" s="28" t="n">
        <x:f>H866-I866</x:f>
        <x:v>-4</x:v>
      </x:c>
      <x:c r="U866" s="24" t="n">
        <x:f>IFERROR(J866/H866,0)-IFERROR(K866/I866,0)</x:f>
        <x:v>0.21281464530892447</x:v>
      </x:c>
      <x:c r="V866" s="24" t="n">
        <x:f>IFERROR(F866/J866,0)-IFERROR(G866/K866,0)</x:f>
        <x:v>0</x:v>
      </x:c>
      <x:c r="W866" s="28" t="n">
        <x:f>L866-M866</x:f>
        <x:v>-8</x:v>
      </x:c>
      <x:c r="X866" s="24" t="n">
        <x:f>IFERROR(K866/I866,0)</x:f>
        <x:v>0.2608695652173913</x:v>
      </x:c>
      <x:c r="Y866" s="24" t="n">
        <x:f>IFERROR(G866/I866,0)</x:f>
        <x:v>0</x:v>
      </x:c>
      <x:c r="Z866" s="24" t="n">
        <x:f>IFERROR(G866/K866,0)</x:f>
        <x:v>0</x:v>
      </x:c>
      <x:c r="AA866" s="24" t="n">
        <x:f>IFERROR(F866/H866,0)-IFERROR(G866/I866,0)</x:f>
        <x:v>0</x:v>
      </x:c>
      <x:c r="AB866" s="28" t="n">
        <x:f>J866-K866</x:f>
        <x:v>3</x:v>
      </x:c>
      <x:c r="AC866" s="32" t="n">
        <x:f>F866-G866</x:f>
        <x:v>0</x:v>
      </x:c>
    </x:row>
    <x:row r="867">
      <x:c r="A867" s="4" t="str">
        <x:v>2022-23</x:v>
      </x:c>
      <x:c r="B867" s="20" t="n">
        <x:v>44807</x:v>
      </x:c>
      <x:c r="C867" s="4" t="str">
        <x:v>Everton</x:v>
      </x:c>
      <x:c r="D867" s="4" t="str">
        <x:v>Liverpool</x:v>
      </x:c>
      <x:c r="E867" s="4" t="str">
        <x:v>Home</x:v>
      </x:c>
      <x:c r="F867" s="28" t="n">
        <x:v>0</x:v>
      </x:c>
      <x:c r="G867" s="28" t="n">
        <x:v>0</x:v>
      </x:c>
      <x:c r="H867" s="28" t="n">
        <x:v>14</x:v>
      </x:c>
      <x:c r="I867" s="28" t="n">
        <x:v>23</x:v>
      </x:c>
      <x:c r="J867" s="28" t="n">
        <x:v>3</x:v>
      </x:c>
      <x:c r="K867" s="28" t="n">
        <x:v>8</x:v>
      </x:c>
      <x:c r="L867" s="28" t="n">
        <x:v>7</x:v>
      </x:c>
      <x:c r="M867" s="28" t="n">
        <x:v>9</x:v>
      </x:c>
      <x:c r="N867" s="28" t="n">
        <x:v>2</x:v>
      </x:c>
      <x:c r="O867" s="28" t="n">
        <x:v>0</x:v>
      </x:c>
      <x:c r="P867" s="28" t="n">
        <x:v>1</x:v>
      </x:c>
      <x:c r="Q867" s="24" t="n">
        <x:f>IFERROR(J867/H867,0)</x:f>
        <x:v>0.21428571428571427</x:v>
      </x:c>
      <x:c r="R867" s="24" t="n">
        <x:f>IFERROR(F867/H867,0)</x:f>
        <x:v>0</x:v>
      </x:c>
      <x:c r="S867" s="24" t="n">
        <x:f>IFERROR(F867/J867,0)</x:f>
        <x:v>0</x:v>
      </x:c>
      <x:c r="T867" s="28" t="n">
        <x:f>H867-I867</x:f>
        <x:v>-9</x:v>
      </x:c>
      <x:c r="U867" s="24" t="n">
        <x:f>IFERROR(J867/H867,0)-IFERROR(K867/I867,0)</x:f>
        <x:v>-0.13354037267080746</x:v>
      </x:c>
      <x:c r="V867" s="24" t="n">
        <x:f>IFERROR(F867/J867,0)-IFERROR(G867/K867,0)</x:f>
        <x:v>0</x:v>
      </x:c>
      <x:c r="W867" s="28" t="n">
        <x:f>L867-M867</x:f>
        <x:v>-2</x:v>
      </x:c>
      <x:c r="X867" s="24" t="n">
        <x:f>IFERROR(K867/I867,0)</x:f>
        <x:v>0.34782608695652173</x:v>
      </x:c>
      <x:c r="Y867" s="24" t="n">
        <x:f>IFERROR(G867/I867,0)</x:f>
        <x:v>0</x:v>
      </x:c>
      <x:c r="Z867" s="24" t="n">
        <x:f>IFERROR(G867/K867,0)</x:f>
        <x:v>0</x:v>
      </x:c>
      <x:c r="AA867" s="24" t="n">
        <x:f>IFERROR(F867/H867,0)-IFERROR(G867/I867,0)</x:f>
        <x:v>0</x:v>
      </x:c>
      <x:c r="AB867" s="28" t="n">
        <x:f>J867-K867</x:f>
        <x:v>-5</x:v>
      </x:c>
      <x:c r="AC867" s="32" t="n">
        <x:f>F867-G867</x:f>
        <x:v>0</x:v>
      </x:c>
    </x:row>
    <x:row r="868">
      <x:c r="A868" s="4" t="str">
        <x:v>2022-23</x:v>
      </x:c>
      <x:c r="B868" s="20" t="n">
        <x:v>44807</x:v>
      </x:c>
      <x:c r="C868" s="4" t="str">
        <x:v>Fulham</x:v>
      </x:c>
      <x:c r="D868" s="4" t="str">
        <x:v>Tottenham</x:v>
      </x:c>
      <x:c r="E868" s="4" t="str">
        <x:v>Away</x:v>
      </x:c>
      <x:c r="F868" s="28" t="n">
        <x:v>1</x:v>
      </x:c>
      <x:c r="G868" s="28" t="n">
        <x:v>2</x:v>
      </x:c>
      <x:c r="H868" s="28" t="n">
        <x:v>9</x:v>
      </x:c>
      <x:c r="I868" s="28" t="n">
        <x:v>23</x:v>
      </x:c>
      <x:c r="J868" s="28" t="n">
        <x:v>3</x:v>
      </x:c>
      <x:c r="K868" s="28" t="n">
        <x:v>10</x:v>
      </x:c>
      <x:c r="L868" s="28" t="n">
        <x:v>3</x:v>
      </x:c>
      <x:c r="M868" s="28" t="n">
        <x:v>10</x:v>
      </x:c>
      <x:c r="N868" s="28" t="n">
        <x:v>4</x:v>
      </x:c>
      <x:c r="O868" s="28" t="n">
        <x:v>0</x:v>
      </x:c>
      <x:c r="P868" s="28" t="n">
        <x:v>0</x:v>
      </x:c>
      <x:c r="Q868" s="24" t="n">
        <x:f>IFERROR(J868/H868,0)</x:f>
        <x:v>0.3333333333333333</x:v>
      </x:c>
      <x:c r="R868" s="24" t="n">
        <x:f>IFERROR(F868/H868,0)</x:f>
        <x:v>0.1111111111111111</x:v>
      </x:c>
      <x:c r="S868" s="24" t="n">
        <x:f>IFERROR(F868/J868,0)</x:f>
        <x:v>0.3333333333333333</x:v>
      </x:c>
      <x:c r="T868" s="28" t="n">
        <x:f>H868-I868</x:f>
        <x:v>-14</x:v>
      </x:c>
      <x:c r="U868" s="24" t="n">
        <x:f>IFERROR(J868/H868,0)-IFERROR(K868/I868,0)</x:f>
        <x:v>-0.10144927536231885</x:v>
      </x:c>
      <x:c r="V868" s="24" t="n">
        <x:f>IFERROR(F868/J868,0)-IFERROR(G868/K868,0)</x:f>
        <x:v>0.1333333333333333</x:v>
      </x:c>
      <x:c r="W868" s="28" t="n">
        <x:f>L868-M868</x:f>
        <x:v>-7</x:v>
      </x:c>
      <x:c r="X868" s="24" t="n">
        <x:f>IFERROR(K868/I868,0)</x:f>
        <x:v>0.43478260869565216</x:v>
      </x:c>
      <x:c r="Y868" s="24" t="n">
        <x:f>IFERROR(G868/I868,0)</x:f>
        <x:v>0.08695652173913043</x:v>
      </x:c>
      <x:c r="Z868" s="24" t="n">
        <x:f>IFERROR(G868/K868,0)</x:f>
        <x:v>0.2</x:v>
      </x:c>
      <x:c r="AA868" s="24" t="n">
        <x:f>IFERROR(F868/H868,0)-IFERROR(G868/I868,0)</x:f>
        <x:v>0.024154589371980673</x:v>
      </x:c>
      <x:c r="AB868" s="28" t="n">
        <x:f>J868-K868</x:f>
        <x:v>-7</x:v>
      </x:c>
      <x:c r="AC868" s="32" t="n">
        <x:f>F868-G868</x:f>
        <x:v>-1</x:v>
      </x:c>
    </x:row>
    <x:row r="869">
      <x:c r="A869" s="4" t="str">
        <x:v>2022-23</x:v>
      </x:c>
      <x:c r="B869" s="20" t="n">
        <x:v>44807</x:v>
      </x:c>
      <x:c r="C869" s="4" t="str">
        <x:v>Leeds</x:v>
      </x:c>
      <x:c r="D869" s="4" t="str">
        <x:v>Brentford</x:v>
      </x:c>
      <x:c r="E869" s="4" t="str">
        <x:v>Away</x:v>
      </x:c>
      <x:c r="F869" s="28" t="n">
        <x:v>2</x:v>
      </x:c>
      <x:c r="G869" s="28" t="n">
        <x:v>5</x:v>
      </x:c>
      <x:c r="H869" s="28" t="n">
        <x:v>17</x:v>
      </x:c>
      <x:c r="I869" s="28" t="n">
        <x:v>14</x:v>
      </x:c>
      <x:c r="J869" s="28" t="n">
        <x:v>6</x:v>
      </x:c>
      <x:c r="K869" s="28" t="n">
        <x:v>8</x:v>
      </x:c>
      <x:c r="L869" s="28" t="n">
        <x:v>6</x:v>
      </x:c>
      <x:c r="M869" s="28" t="n">
        <x:v>2</x:v>
      </x:c>
      <x:c r="N869" s="28" t="n">
        <x:v>2</x:v>
      </x:c>
      <x:c r="O869" s="28" t="n">
        <x:v>0</x:v>
      </x:c>
      <x:c r="P869" s="28" t="n">
        <x:v>0</x:v>
      </x:c>
      <x:c r="Q869" s="24" t="n">
        <x:f>IFERROR(J869/H869,0)</x:f>
        <x:v>0.35294117647058826</x:v>
      </x:c>
      <x:c r="R869" s="24" t="n">
        <x:f>IFERROR(F869/H869,0)</x:f>
        <x:v>0.11764705882352941</x:v>
      </x:c>
      <x:c r="S869" s="24" t="n">
        <x:f>IFERROR(F869/J869,0)</x:f>
        <x:v>0.3333333333333333</x:v>
      </x:c>
      <x:c r="T869" s="28" t="n">
        <x:f>H869-I869</x:f>
        <x:v>3</x:v>
      </x:c>
      <x:c r="U869" s="24" t="n">
        <x:f>IFERROR(J869/H869,0)-IFERROR(K869/I869,0)</x:f>
        <x:v>-0.21848739495798314</x:v>
      </x:c>
      <x:c r="V869" s="24" t="n">
        <x:f>IFERROR(F869/J869,0)-IFERROR(G869/K869,0)</x:f>
        <x:v>-0.2916666666666667</x:v>
      </x:c>
      <x:c r="W869" s="28" t="n">
        <x:f>L869-M869</x:f>
        <x:v>4</x:v>
      </x:c>
      <x:c r="X869" s="24" t="n">
        <x:f>IFERROR(K869/I869,0)</x:f>
        <x:v>0.5714285714285714</x:v>
      </x:c>
      <x:c r="Y869" s="24" t="n">
        <x:f>IFERROR(G869/I869,0)</x:f>
        <x:v>0.35714285714285715</x:v>
      </x:c>
      <x:c r="Z869" s="24" t="n">
        <x:f>IFERROR(G869/K869,0)</x:f>
        <x:v>0.625</x:v>
      </x:c>
      <x:c r="AA869" s="24" t="n">
        <x:f>IFERROR(F869/H869,0)-IFERROR(G869/I869,0)</x:f>
        <x:v>-0.23949579831932774</x:v>
      </x:c>
      <x:c r="AB869" s="28" t="n">
        <x:f>J869-K869</x:f>
        <x:v>-2</x:v>
      </x:c>
      <x:c r="AC869" s="32" t="n">
        <x:f>F869-G869</x:f>
        <x:v>-3</x:v>
      </x:c>
    </x:row>
    <x:row r="870">
      <x:c r="A870" s="4" t="str">
        <x:v>2022-23</x:v>
      </x:c>
      <x:c r="B870" s="20" t="n">
        <x:v>44807</x:v>
      </x:c>
      <x:c r="C870" s="4" t="str">
        <x:v>Liverpool</x:v>
      </x:c>
      <x:c r="D870" s="4" t="str">
        <x:v>Everton</x:v>
      </x:c>
      <x:c r="E870" s="4" t="str">
        <x:v>Away</x:v>
      </x:c>
      <x:c r="F870" s="28" t="n">
        <x:v>0</x:v>
      </x:c>
      <x:c r="G870" s="28" t="n">
        <x:v>0</x:v>
      </x:c>
      <x:c r="H870" s="28" t="n">
        <x:v>23</x:v>
      </x:c>
      <x:c r="I870" s="28" t="n">
        <x:v>14</x:v>
      </x:c>
      <x:c r="J870" s="28" t="n">
        <x:v>8</x:v>
      </x:c>
      <x:c r="K870" s="28" t="n">
        <x:v>3</x:v>
      </x:c>
      <x:c r="L870" s="28" t="n">
        <x:v>9</x:v>
      </x:c>
      <x:c r="M870" s="28" t="n">
        <x:v>7</x:v>
      </x:c>
      <x:c r="N870" s="28" t="n">
        <x:v>2</x:v>
      </x:c>
      <x:c r="O870" s="28" t="n">
        <x:v>0</x:v>
      </x:c>
      <x:c r="P870" s="28" t="n">
        <x:v>1</x:v>
      </x:c>
      <x:c r="Q870" s="24" t="n">
        <x:f>IFERROR(J870/H870,0)</x:f>
        <x:v>0.34782608695652173</x:v>
      </x:c>
      <x:c r="R870" s="24" t="n">
        <x:f>IFERROR(F870/H870,0)</x:f>
        <x:v>0</x:v>
      </x:c>
      <x:c r="S870" s="24" t="n">
        <x:f>IFERROR(F870/J870,0)</x:f>
        <x:v>0</x:v>
      </x:c>
      <x:c r="T870" s="28" t="n">
        <x:f>H870-I870</x:f>
        <x:v>9</x:v>
      </x:c>
      <x:c r="U870" s="24" t="n">
        <x:f>IFERROR(J870/H870,0)-IFERROR(K870/I870,0)</x:f>
        <x:v>0.13354037267080746</x:v>
      </x:c>
      <x:c r="V870" s="24" t="n">
        <x:f>IFERROR(F870/J870,0)-IFERROR(G870/K870,0)</x:f>
        <x:v>0</x:v>
      </x:c>
      <x:c r="W870" s="28" t="n">
        <x:f>L870-M870</x:f>
        <x:v>2</x:v>
      </x:c>
      <x:c r="X870" s="24" t="n">
        <x:f>IFERROR(K870/I870,0)</x:f>
        <x:v>0.21428571428571427</x:v>
      </x:c>
      <x:c r="Y870" s="24" t="n">
        <x:f>IFERROR(G870/I870,0)</x:f>
        <x:v>0</x:v>
      </x:c>
      <x:c r="Z870" s="24" t="n">
        <x:f>IFERROR(G870/K870,0)</x:f>
        <x:v>0</x:v>
      </x:c>
      <x:c r="AA870" s="24" t="n">
        <x:f>IFERROR(F870/H870,0)-IFERROR(G870/I870,0)</x:f>
        <x:v>0</x:v>
      </x:c>
      <x:c r="AB870" s="28" t="n">
        <x:f>J870-K870</x:f>
        <x:v>5</x:v>
      </x:c>
      <x:c r="AC870" s="32" t="n">
        <x:f>F870-G870</x:f>
        <x:v>0</x:v>
      </x:c>
    </x:row>
    <x:row r="871">
      <x:c r="A871" s="4" t="str">
        <x:v>2022-23</x:v>
      </x:c>
      <x:c r="B871" s="20" t="n">
        <x:v>44807</x:v>
      </x:c>
      <x:c r="C871" s="4" t="str">
        <x:v>Man City</x:v>
      </x:c>
      <x:c r="D871" s="4" t="str">
        <x:v>Aston Villa</x:v>
      </x:c>
      <x:c r="E871" s="4" t="str">
        <x:v>Away</x:v>
      </x:c>
      <x:c r="F871" s="28" t="n">
        <x:v>1</x:v>
      </x:c>
      <x:c r="G871" s="28" t="n">
        <x:v>1</x:v>
      </x:c>
      <x:c r="H871" s="28" t="n">
        <x:v>13</x:v>
      </x:c>
      <x:c r="I871" s="28" t="n">
        <x:v>3</x:v>
      </x:c>
      <x:c r="J871" s="28" t="n">
        <x:v>4</x:v>
      </x:c>
      <x:c r="K871" s="28" t="n">
        <x:v>1</x:v>
      </x:c>
      <x:c r="L871" s="28" t="n">
        <x:v>4</x:v>
      </x:c>
      <x:c r="M871" s="28" t="n">
        <x:v>1</x:v>
      </x:c>
      <x:c r="N871" s="28" t="n">
        <x:v>0</x:v>
      </x:c>
      <x:c r="O871" s="28" t="n">
        <x:v>0</x:v>
      </x:c>
      <x:c r="P871" s="28" t="n">
        <x:v>1</x:v>
      </x:c>
      <x:c r="Q871" s="24" t="n">
        <x:f>IFERROR(J871/H871,0)</x:f>
        <x:v>0.3076923076923077</x:v>
      </x:c>
      <x:c r="R871" s="24" t="n">
        <x:f>IFERROR(F871/H871,0)</x:f>
        <x:v>0.07692307692307693</x:v>
      </x:c>
      <x:c r="S871" s="24" t="n">
        <x:f>IFERROR(F871/J871,0)</x:f>
        <x:v>0.25</x:v>
      </x:c>
      <x:c r="T871" s="28" t="n">
        <x:f>H871-I871</x:f>
        <x:v>10</x:v>
      </x:c>
      <x:c r="U871" s="24" t="n">
        <x:f>IFERROR(J871/H871,0)-IFERROR(K871/I871,0)</x:f>
        <x:v>-0.025641025641025605</x:v>
      </x:c>
      <x:c r="V871" s="24" t="n">
        <x:f>IFERROR(F871/J871,0)-IFERROR(G871/K871,0)</x:f>
        <x:v>-0.75</x:v>
      </x:c>
      <x:c r="W871" s="28" t="n">
        <x:f>L871-M871</x:f>
        <x:v>3</x:v>
      </x:c>
      <x:c r="X871" s="24" t="n">
        <x:f>IFERROR(K871/I871,0)</x:f>
        <x:v>0.3333333333333333</x:v>
      </x:c>
      <x:c r="Y871" s="24" t="n">
        <x:f>IFERROR(G871/I871,0)</x:f>
        <x:v>0.3333333333333333</x:v>
      </x:c>
      <x:c r="Z871" s="24" t="n">
        <x:f>IFERROR(G871/K871,0)</x:f>
        <x:v>1</x:v>
      </x:c>
      <x:c r="AA871" s="24" t="n">
        <x:f>IFERROR(F871/H871,0)-IFERROR(G871/I871,0)</x:f>
        <x:v>-0.2564102564102564</x:v>
      </x:c>
      <x:c r="AB871" s="28" t="n">
        <x:f>J871-K871</x:f>
        <x:v>3</x:v>
      </x:c>
      <x:c r="AC871" s="32" t="n">
        <x:f>F871-G871</x:f>
        <x:v>0</x:v>
      </x:c>
    </x:row>
    <x:row r="872">
      <x:c r="A872" s="4" t="str">
        <x:v>2022-23</x:v>
      </x:c>
      <x:c r="B872" s="20" t="n">
        <x:v>44807</x:v>
      </x:c>
      <x:c r="C872" s="4" t="str">
        <x:v>Newcastle</x:v>
      </x:c>
      <x:c r="D872" s="4" t="str">
        <x:v>Crystal Palace</x:v>
      </x:c>
      <x:c r="E872" s="4" t="str">
        <x:v>Home</x:v>
      </x:c>
      <x:c r="F872" s="28" t="n">
        <x:v>0</x:v>
      </x:c>
      <x:c r="G872" s="28" t="n">
        <x:v>0</x:v>
      </x:c>
      <x:c r="H872" s="28" t="n">
        <x:v>23</x:v>
      </x:c>
      <x:c r="I872" s="28" t="n">
        <x:v>19</x:v>
      </x:c>
      <x:c r="J872" s="28" t="n">
        <x:v>6</x:v>
      </x:c>
      <x:c r="K872" s="28" t="n">
        <x:v>9</x:v>
      </x:c>
      <x:c r="L872" s="28" t="n">
        <x:v>13</x:v>
      </x:c>
      <x:c r="M872" s="28" t="n">
        <x:v>5</x:v>
      </x:c>
      <x:c r="N872" s="28" t="n">
        <x:v>2</x:v>
      </x:c>
      <x:c r="O872" s="28" t="n">
        <x:v>0</x:v>
      </x:c>
      <x:c r="P872" s="28" t="n">
        <x:v>1</x:v>
      </x:c>
      <x:c r="Q872" s="24" t="n">
        <x:f>IFERROR(J872/H872,0)</x:f>
        <x:v>0.2608695652173913</x:v>
      </x:c>
      <x:c r="R872" s="24" t="n">
        <x:f>IFERROR(F872/H872,0)</x:f>
        <x:v>0</x:v>
      </x:c>
      <x:c r="S872" s="24" t="n">
        <x:f>IFERROR(F872/J872,0)</x:f>
        <x:v>0</x:v>
      </x:c>
      <x:c r="T872" s="28" t="n">
        <x:f>H872-I872</x:f>
        <x:v>4</x:v>
      </x:c>
      <x:c r="U872" s="24" t="n">
        <x:f>IFERROR(J872/H872,0)-IFERROR(K872/I872,0)</x:f>
        <x:v>-0.21281464530892447</x:v>
      </x:c>
      <x:c r="V872" s="24" t="n">
        <x:f>IFERROR(F872/J872,0)-IFERROR(G872/K872,0)</x:f>
        <x:v>0</x:v>
      </x:c>
      <x:c r="W872" s="28" t="n">
        <x:f>L872-M872</x:f>
        <x:v>8</x:v>
      </x:c>
      <x:c r="X872" s="24" t="n">
        <x:f>IFERROR(K872/I872,0)</x:f>
        <x:v>0.47368421052631576</x:v>
      </x:c>
      <x:c r="Y872" s="24" t="n">
        <x:f>IFERROR(G872/I872,0)</x:f>
        <x:v>0</x:v>
      </x:c>
      <x:c r="Z872" s="24" t="n">
        <x:f>IFERROR(G872/K872,0)</x:f>
        <x:v>0</x:v>
      </x:c>
      <x:c r="AA872" s="24" t="n">
        <x:f>IFERROR(F872/H872,0)-IFERROR(G872/I872,0)</x:f>
        <x:v>0</x:v>
      </x:c>
      <x:c r="AB872" s="28" t="n">
        <x:f>J872-K872</x:f>
        <x:v>-3</x:v>
      </x:c>
      <x:c r="AC872" s="32" t="n">
        <x:f>F872-G872</x:f>
        <x:v>0</x:v>
      </x:c>
    </x:row>
    <x:row r="873">
      <x:c r="A873" s="4" t="str">
        <x:v>2022-23</x:v>
      </x:c>
      <x:c r="B873" s="20" t="n">
        <x:v>44807</x:v>
      </x:c>
      <x:c r="C873" s="4" t="str">
        <x:v>Nott'm Forest</x:v>
      </x:c>
      <x:c r="D873" s="4" t="str">
        <x:v>Bournemouth</x:v>
      </x:c>
      <x:c r="E873" s="4" t="str">
        <x:v>Home</x:v>
      </x:c>
      <x:c r="F873" s="28" t="n">
        <x:v>2</x:v>
      </x:c>
      <x:c r="G873" s="28" t="n">
        <x:v>3</x:v>
      </x:c>
      <x:c r="H873" s="28" t="n">
        <x:v>11</x:v>
      </x:c>
      <x:c r="I873" s="28" t="n">
        <x:v>8</x:v>
      </x:c>
      <x:c r="J873" s="28" t="n">
        <x:v>3</x:v>
      </x:c>
      <x:c r="K873" s="28" t="n">
        <x:v>3</x:v>
      </x:c>
      <x:c r="L873" s="28" t="n">
        <x:v>4</x:v>
      </x:c>
      <x:c r="M873" s="28" t="n">
        <x:v>6</x:v>
      </x:c>
      <x:c r="N873" s="28" t="n">
        <x:v>2</x:v>
      </x:c>
      <x:c r="O873" s="28" t="n">
        <x:v>0</x:v>
      </x:c>
      <x:c r="P873" s="28" t="n">
        <x:v>0</x:v>
      </x:c>
      <x:c r="Q873" s="24" t="n">
        <x:f>IFERROR(J873/H873,0)</x:f>
        <x:v>0.2727272727272727</x:v>
      </x:c>
      <x:c r="R873" s="24" t="n">
        <x:f>IFERROR(F873/H873,0)</x:f>
        <x:v>0.18181818181818182</x:v>
      </x:c>
      <x:c r="S873" s="24" t="n">
        <x:f>IFERROR(F873/J873,0)</x:f>
        <x:v>0.6666666666666666</x:v>
      </x:c>
      <x:c r="T873" s="28" t="n">
        <x:f>H873-I873</x:f>
        <x:v>3</x:v>
      </x:c>
      <x:c r="U873" s="24" t="n">
        <x:f>IFERROR(J873/H873,0)-IFERROR(K873/I873,0)</x:f>
        <x:v>-0.10227272727272729</x:v>
      </x:c>
      <x:c r="V873" s="24" t="n">
        <x:f>IFERROR(F873/J873,0)-IFERROR(G873/K873,0)</x:f>
        <x:v>-0.33333333333333337</x:v>
      </x:c>
      <x:c r="W873" s="28" t="n">
        <x:f>L873-M873</x:f>
        <x:v>-2</x:v>
      </x:c>
      <x:c r="X873" s="24" t="n">
        <x:f>IFERROR(K873/I873,0)</x:f>
        <x:v>0.375</x:v>
      </x:c>
      <x:c r="Y873" s="24" t="n">
        <x:f>IFERROR(G873/I873,0)</x:f>
        <x:v>0.375</x:v>
      </x:c>
      <x:c r="Z873" s="24" t="n">
        <x:f>IFERROR(G873/K873,0)</x:f>
        <x:v>1</x:v>
      </x:c>
      <x:c r="AA873" s="24" t="n">
        <x:f>IFERROR(F873/H873,0)-IFERROR(G873/I873,0)</x:f>
        <x:v>-0.19318181818181818</x:v>
      </x:c>
      <x:c r="AB873" s="28" t="n">
        <x:f>J873-K873</x:f>
        <x:v>0</x:v>
      </x:c>
      <x:c r="AC873" s="32" t="n">
        <x:f>F873-G873</x:f>
        <x:v>-1</x:v>
      </x:c>
    </x:row>
    <x:row r="874">
      <x:c r="A874" s="4" t="str">
        <x:v>2022-23</x:v>
      </x:c>
      <x:c r="B874" s="20" t="n">
        <x:v>44807</x:v>
      </x:c>
      <x:c r="C874" s="4" t="str">
        <x:v>Southampton</x:v>
      </x:c>
      <x:c r="D874" s="4" t="str">
        <x:v>Wolves</x:v>
      </x:c>
      <x:c r="E874" s="4" t="str">
        <x:v>Away</x:v>
      </x:c>
      <x:c r="F874" s="28" t="n">
        <x:v>0</x:v>
      </x:c>
      <x:c r="G874" s="28" t="n">
        <x:v>1</x:v>
      </x:c>
      <x:c r="H874" s="28" t="n">
        <x:v>12</x:v>
      </x:c>
      <x:c r="I874" s="28" t="n">
        <x:v>7</x:v>
      </x:c>
      <x:c r="J874" s="28" t="n">
        <x:v>1</x:v>
      </x:c>
      <x:c r="K874" s="28" t="n">
        <x:v>2</x:v>
      </x:c>
      <x:c r="L874" s="28" t="n">
        <x:v>6</x:v>
      </x:c>
      <x:c r="M874" s="28" t="n">
        <x:v>5</x:v>
      </x:c>
      <x:c r="N874" s="28" t="n">
        <x:v>2</x:v>
      </x:c>
      <x:c r="O874" s="28" t="n">
        <x:v>0</x:v>
      </x:c>
      <x:c r="P874" s="28" t="n">
        <x:v>0</x:v>
      </x:c>
      <x:c r="Q874" s="24" t="n">
        <x:f>IFERROR(J874/H874,0)</x:f>
        <x:v>0.08333333333333333</x:v>
      </x:c>
      <x:c r="R874" s="24" t="n">
        <x:f>IFERROR(F874/H874,0)</x:f>
        <x:v>0</x:v>
      </x:c>
      <x:c r="S874" s="24" t="n">
        <x:f>IFERROR(F874/J874,0)</x:f>
        <x:v>0</x:v>
      </x:c>
      <x:c r="T874" s="28" t="n">
        <x:f>H874-I874</x:f>
        <x:v>5</x:v>
      </x:c>
      <x:c r="U874" s="24" t="n">
        <x:f>IFERROR(J874/H874,0)-IFERROR(K874/I874,0)</x:f>
        <x:v>-0.20238095238095238</x:v>
      </x:c>
      <x:c r="V874" s="24" t="n">
        <x:f>IFERROR(F874/J874,0)-IFERROR(G874/K874,0)</x:f>
        <x:v>-0.5</x:v>
      </x:c>
      <x:c r="W874" s="28" t="n">
        <x:f>L874-M874</x:f>
        <x:v>1</x:v>
      </x:c>
      <x:c r="X874" s="24" t="n">
        <x:f>IFERROR(K874/I874,0)</x:f>
        <x:v>0.2857142857142857</x:v>
      </x:c>
      <x:c r="Y874" s="24" t="n">
        <x:f>IFERROR(G874/I874,0)</x:f>
        <x:v>0.14285714285714285</x:v>
      </x:c>
      <x:c r="Z874" s="24" t="n">
        <x:f>IFERROR(G874/K874,0)</x:f>
        <x:v>0.5</x:v>
      </x:c>
      <x:c r="AA874" s="24" t="n">
        <x:f>IFERROR(F874/H874,0)-IFERROR(G874/I874,0)</x:f>
        <x:v>-0.14285714285714285</x:v>
      </x:c>
      <x:c r="AB874" s="28" t="n">
        <x:f>J874-K874</x:f>
        <x:v>-1</x:v>
      </x:c>
      <x:c r="AC874" s="32" t="n">
        <x:f>F874-G874</x:f>
        <x:v>-1</x:v>
      </x:c>
    </x:row>
    <x:row r="875">
      <x:c r="A875" s="4" t="str">
        <x:v>2022-23</x:v>
      </x:c>
      <x:c r="B875" s="20" t="n">
        <x:v>44807</x:v>
      </x:c>
      <x:c r="C875" s="4" t="str">
        <x:v>Tottenham</x:v>
      </x:c>
      <x:c r="D875" s="4" t="str">
        <x:v>Fulham</x:v>
      </x:c>
      <x:c r="E875" s="4" t="str">
        <x:v>Home</x:v>
      </x:c>
      <x:c r="F875" s="28" t="n">
        <x:v>2</x:v>
      </x:c>
      <x:c r="G875" s="28" t="n">
        <x:v>1</x:v>
      </x:c>
      <x:c r="H875" s="28" t="n">
        <x:v>23</x:v>
      </x:c>
      <x:c r="I875" s="28" t="n">
        <x:v>9</x:v>
      </x:c>
      <x:c r="J875" s="28" t="n">
        <x:v>10</x:v>
      </x:c>
      <x:c r="K875" s="28" t="n">
        <x:v>3</x:v>
      </x:c>
      <x:c r="L875" s="28" t="n">
        <x:v>10</x:v>
      </x:c>
      <x:c r="M875" s="28" t="n">
        <x:v>3</x:v>
      </x:c>
      <x:c r="N875" s="28" t="n">
        <x:v>3</x:v>
      </x:c>
      <x:c r="O875" s="28" t="n">
        <x:v>0</x:v>
      </x:c>
      <x:c r="P875" s="28" t="n">
        <x:v>3</x:v>
      </x:c>
      <x:c r="Q875" s="24" t="n">
        <x:f>IFERROR(J875/H875,0)</x:f>
        <x:v>0.43478260869565216</x:v>
      </x:c>
      <x:c r="R875" s="24" t="n">
        <x:f>IFERROR(F875/H875,0)</x:f>
        <x:v>0.08695652173913043</x:v>
      </x:c>
      <x:c r="S875" s="24" t="n">
        <x:f>IFERROR(F875/J875,0)</x:f>
        <x:v>0.2</x:v>
      </x:c>
      <x:c r="T875" s="28" t="n">
        <x:f>H875-I875</x:f>
        <x:v>14</x:v>
      </x:c>
      <x:c r="U875" s="24" t="n">
        <x:f>IFERROR(J875/H875,0)-IFERROR(K875/I875,0)</x:f>
        <x:v>0.10144927536231885</x:v>
      </x:c>
      <x:c r="V875" s="24" t="n">
        <x:f>IFERROR(F875/J875,0)-IFERROR(G875/K875,0)</x:f>
        <x:v>-0.1333333333333333</x:v>
      </x:c>
      <x:c r="W875" s="28" t="n">
        <x:f>L875-M875</x:f>
        <x:v>7</x:v>
      </x:c>
      <x:c r="X875" s="24" t="n">
        <x:f>IFERROR(K875/I875,0)</x:f>
        <x:v>0.3333333333333333</x:v>
      </x:c>
      <x:c r="Y875" s="24" t="n">
        <x:f>IFERROR(G875/I875,0)</x:f>
        <x:v>0.1111111111111111</x:v>
      </x:c>
      <x:c r="Z875" s="24" t="n">
        <x:f>IFERROR(G875/K875,0)</x:f>
        <x:v>0.3333333333333333</x:v>
      </x:c>
      <x:c r="AA875" s="24" t="n">
        <x:f>IFERROR(F875/H875,0)-IFERROR(G875/I875,0)</x:f>
        <x:v>-0.024154589371980673</x:v>
      </x:c>
      <x:c r="AB875" s="28" t="n">
        <x:f>J875-K875</x:f>
        <x:v>7</x:v>
      </x:c>
      <x:c r="AC875" s="32" t="n">
        <x:f>F875-G875</x:f>
        <x:v>1</x:v>
      </x:c>
    </x:row>
    <x:row r="876">
      <x:c r="A876" s="4" t="str">
        <x:v>2022-23</x:v>
      </x:c>
      <x:c r="B876" s="20" t="n">
        <x:v>44807</x:v>
      </x:c>
      <x:c r="C876" s="4" t="str">
        <x:v>West Ham</x:v>
      </x:c>
      <x:c r="D876" s="4" t="str">
        <x:v>Chelsea</x:v>
      </x:c>
      <x:c r="E876" s="4" t="str">
        <x:v>Away</x:v>
      </x:c>
      <x:c r="F876" s="28" t="n">
        <x:v>1</x:v>
      </x:c>
      <x:c r="G876" s="28" t="n">
        <x:v>2</x:v>
      </x:c>
      <x:c r="H876" s="28" t="n">
        <x:v>6</x:v>
      </x:c>
      <x:c r="I876" s="28" t="n">
        <x:v>8</x:v>
      </x:c>
      <x:c r="J876" s="28" t="n">
        <x:v>3</x:v>
      </x:c>
      <x:c r="K876" s="28" t="n">
        <x:v>3</x:v>
      </x:c>
      <x:c r="L876" s="28" t="n">
        <x:v>3</x:v>
      </x:c>
      <x:c r="M876" s="28" t="n">
        <x:v>10</x:v>
      </x:c>
      <x:c r="N876" s="28" t="n">
        <x:v>2</x:v>
      </x:c>
      <x:c r="O876" s="28" t="n">
        <x:v>0</x:v>
      </x:c>
      <x:c r="P876" s="28" t="n">
        <x:v>0</x:v>
      </x:c>
      <x:c r="Q876" s="24" t="n">
        <x:f>IFERROR(J876/H876,0)</x:f>
        <x:v>0.5</x:v>
      </x:c>
      <x:c r="R876" s="24" t="n">
        <x:f>IFERROR(F876/H876,0)</x:f>
        <x:v>0.16666666666666666</x:v>
      </x:c>
      <x:c r="S876" s="24" t="n">
        <x:f>IFERROR(F876/J876,0)</x:f>
        <x:v>0.3333333333333333</x:v>
      </x:c>
      <x:c r="T876" s="28" t="n">
        <x:f>H876-I876</x:f>
        <x:v>-2</x:v>
      </x:c>
      <x:c r="U876" s="24" t="n">
        <x:f>IFERROR(J876/H876,0)-IFERROR(K876/I876,0)</x:f>
        <x:v>0.125</x:v>
      </x:c>
      <x:c r="V876" s="24" t="n">
        <x:f>IFERROR(F876/J876,0)-IFERROR(G876/K876,0)</x:f>
        <x:v>-0.3333333333333333</x:v>
      </x:c>
      <x:c r="W876" s="28" t="n">
        <x:f>L876-M876</x:f>
        <x:v>-7</x:v>
      </x:c>
      <x:c r="X876" s="24" t="n">
        <x:f>IFERROR(K876/I876,0)</x:f>
        <x:v>0.375</x:v>
      </x:c>
      <x:c r="Y876" s="24" t="n">
        <x:f>IFERROR(G876/I876,0)</x:f>
        <x:v>0.25</x:v>
      </x:c>
      <x:c r="Z876" s="24" t="n">
        <x:f>IFERROR(G876/K876,0)</x:f>
        <x:v>0.6666666666666666</x:v>
      </x:c>
      <x:c r="AA876" s="24" t="n">
        <x:f>IFERROR(F876/H876,0)-IFERROR(G876/I876,0)</x:f>
        <x:v>-0.08333333333333334</x:v>
      </x:c>
      <x:c r="AB876" s="28" t="n">
        <x:f>J876-K876</x:f>
        <x:v>0</x:v>
      </x:c>
      <x:c r="AC876" s="32" t="n">
        <x:f>F876-G876</x:f>
        <x:v>-1</x:v>
      </x:c>
    </x:row>
    <x:row r="877">
      <x:c r="A877" s="4" t="str">
        <x:v>2022-23</x:v>
      </x:c>
      <x:c r="B877" s="20" t="n">
        <x:v>44807</x:v>
      </x:c>
      <x:c r="C877" s="4" t="str">
        <x:v>Wolves</x:v>
      </x:c>
      <x:c r="D877" s="4" t="str">
        <x:v>Southampton</x:v>
      </x:c>
      <x:c r="E877" s="4" t="str">
        <x:v>Home</x:v>
      </x:c>
      <x:c r="F877" s="28" t="n">
        <x:v>1</x:v>
      </x:c>
      <x:c r="G877" s="28" t="n">
        <x:v>0</x:v>
      </x:c>
      <x:c r="H877" s="28" t="n">
        <x:v>7</x:v>
      </x:c>
      <x:c r="I877" s="28" t="n">
        <x:v>12</x:v>
      </x:c>
      <x:c r="J877" s="28" t="n">
        <x:v>2</x:v>
      </x:c>
      <x:c r="K877" s="28" t="n">
        <x:v>1</x:v>
      </x:c>
      <x:c r="L877" s="28" t="n">
        <x:v>5</x:v>
      </x:c>
      <x:c r="M877" s="28" t="n">
        <x:v>6</x:v>
      </x:c>
      <x:c r="N877" s="28" t="n">
        <x:v>4</x:v>
      </x:c>
      <x:c r="O877" s="28" t="n">
        <x:v>0</x:v>
      </x:c>
      <x:c r="P877" s="28" t="n">
        <x:v>3</x:v>
      </x:c>
      <x:c r="Q877" s="24" t="n">
        <x:f>IFERROR(J877/H877,0)</x:f>
        <x:v>0.2857142857142857</x:v>
      </x:c>
      <x:c r="R877" s="24" t="n">
        <x:f>IFERROR(F877/H877,0)</x:f>
        <x:v>0.14285714285714285</x:v>
      </x:c>
      <x:c r="S877" s="24" t="n">
        <x:f>IFERROR(F877/J877,0)</x:f>
        <x:v>0.5</x:v>
      </x:c>
      <x:c r="T877" s="28" t="n">
        <x:f>H877-I877</x:f>
        <x:v>-5</x:v>
      </x:c>
      <x:c r="U877" s="24" t="n">
        <x:f>IFERROR(J877/H877,0)-IFERROR(K877/I877,0)</x:f>
        <x:v>0.20238095238095238</x:v>
      </x:c>
      <x:c r="V877" s="24" t="n">
        <x:f>IFERROR(F877/J877,0)-IFERROR(G877/K877,0)</x:f>
        <x:v>0.5</x:v>
      </x:c>
      <x:c r="W877" s="28" t="n">
        <x:f>L877-M877</x:f>
        <x:v>-1</x:v>
      </x:c>
      <x:c r="X877" s="24" t="n">
        <x:f>IFERROR(K877/I877,0)</x:f>
        <x:v>0.08333333333333333</x:v>
      </x:c>
      <x:c r="Y877" s="24" t="n">
        <x:f>IFERROR(G877/I877,0)</x:f>
        <x:v>0</x:v>
      </x:c>
      <x:c r="Z877" s="24" t="n">
        <x:f>IFERROR(G877/K877,0)</x:f>
        <x:v>0</x:v>
      </x:c>
      <x:c r="AA877" s="24" t="n">
        <x:f>IFERROR(F877/H877,0)-IFERROR(G877/I877,0)</x:f>
        <x:v>0.14285714285714285</x:v>
      </x:c>
      <x:c r="AB877" s="28" t="n">
        <x:f>J877-K877</x:f>
        <x:v>1</x:v>
      </x:c>
      <x:c r="AC877" s="32" t="n">
        <x:f>F877-G877</x:f>
        <x:v>1</x:v>
      </x:c>
    </x:row>
    <x:row r="878">
      <x:c r="A878" s="4" t="str">
        <x:v>2022-23</x:v>
      </x:c>
      <x:c r="B878" s="20" t="n">
        <x:v>44808</x:v>
      </x:c>
      <x:c r="C878" s="4" t="str">
        <x:v>Arsenal</x:v>
      </x:c>
      <x:c r="D878" s="4" t="str">
        <x:v>Man United</x:v>
      </x:c>
      <x:c r="E878" s="4" t="str">
        <x:v>Away</x:v>
      </x:c>
      <x:c r="F878" s="28" t="n">
        <x:v>1</x:v>
      </x:c>
      <x:c r="G878" s="28" t="n">
        <x:v>3</x:v>
      </x:c>
      <x:c r="H878" s="28" t="n">
        <x:v>16</x:v>
      </x:c>
      <x:c r="I878" s="28" t="n">
        <x:v>10</x:v>
      </x:c>
      <x:c r="J878" s="28" t="n">
        <x:v>3</x:v>
      </x:c>
      <x:c r="K878" s="28" t="n">
        <x:v>6</x:v>
      </x:c>
      <x:c r="L878" s="28" t="n">
        <x:v>5</x:v>
      </x:c>
      <x:c r="M878" s="28" t="n">
        <x:v>2</x:v>
      </x:c>
      <x:c r="N878" s="28" t="n">
        <x:v>3</x:v>
      </x:c>
      <x:c r="O878" s="28" t="n">
        <x:v>0</x:v>
      </x:c>
      <x:c r="P878" s="28" t="n">
        <x:v>0</x:v>
      </x:c>
      <x:c r="Q878" s="24" t="n">
        <x:f>IFERROR(J878/H878,0)</x:f>
        <x:v>0.1875</x:v>
      </x:c>
      <x:c r="R878" s="24" t="n">
        <x:f>IFERROR(F878/H878,0)</x:f>
        <x:v>0.0625</x:v>
      </x:c>
      <x:c r="S878" s="24" t="n">
        <x:f>IFERROR(F878/J878,0)</x:f>
        <x:v>0.3333333333333333</x:v>
      </x:c>
      <x:c r="T878" s="28" t="n">
        <x:f>H878-I878</x:f>
        <x:v>6</x:v>
      </x:c>
      <x:c r="U878" s="24" t="n">
        <x:f>IFERROR(J878/H878,0)-IFERROR(K878/I878,0)</x:f>
        <x:v>-0.4125</x:v>
      </x:c>
      <x:c r="V878" s="24" t="n">
        <x:f>IFERROR(F878/J878,0)-IFERROR(G878/K878,0)</x:f>
        <x:v>-0.16666666666666669</x:v>
      </x:c>
      <x:c r="W878" s="28" t="n">
        <x:f>L878-M878</x:f>
        <x:v>3</x:v>
      </x:c>
      <x:c r="X878" s="24" t="n">
        <x:f>IFERROR(K878/I878,0)</x:f>
        <x:v>0.6</x:v>
      </x:c>
      <x:c r="Y878" s="24" t="n">
        <x:f>IFERROR(G878/I878,0)</x:f>
        <x:v>0.3</x:v>
      </x:c>
      <x:c r="Z878" s="24" t="n">
        <x:f>IFERROR(G878/K878,0)</x:f>
        <x:v>0.5</x:v>
      </x:c>
      <x:c r="AA878" s="24" t="n">
        <x:f>IFERROR(F878/H878,0)-IFERROR(G878/I878,0)</x:f>
        <x:v>-0.2375</x:v>
      </x:c>
      <x:c r="AB878" s="28" t="n">
        <x:f>J878-K878</x:f>
        <x:v>-3</x:v>
      </x:c>
      <x:c r="AC878" s="32" t="n">
        <x:f>F878-G878</x:f>
        <x:v>-2</x:v>
      </x:c>
    </x:row>
    <x:row r="879">
      <x:c r="A879" s="4" t="str">
        <x:v>2022-23</x:v>
      </x:c>
      <x:c r="B879" s="20" t="n">
        <x:v>44808</x:v>
      </x:c>
      <x:c r="C879" s="4" t="str">
        <x:v>Brighton</x:v>
      </x:c>
      <x:c r="D879" s="4" t="str">
        <x:v>Leicester</x:v>
      </x:c>
      <x:c r="E879" s="4" t="str">
        <x:v>Home</x:v>
      </x:c>
      <x:c r="F879" s="28" t="n">
        <x:v>5</x:v>
      </x:c>
      <x:c r="G879" s="28" t="n">
        <x:v>2</x:v>
      </x:c>
      <x:c r="H879" s="28" t="n">
        <x:v>23</x:v>
      </x:c>
      <x:c r="I879" s="28" t="n">
        <x:v>6</x:v>
      </x:c>
      <x:c r="J879" s="28" t="n">
        <x:v>11</x:v>
      </x:c>
      <x:c r="K879" s="28" t="n">
        <x:v>4</x:v>
      </x:c>
      <x:c r="L879" s="28" t="n">
        <x:v>10</x:v>
      </x:c>
      <x:c r="M879" s="28" t="n">
        <x:v>1</x:v>
      </x:c>
      <x:c r="N879" s="28" t="n">
        <x:v>1</x:v>
      </x:c>
      <x:c r="O879" s="28" t="n">
        <x:v>0</x:v>
      </x:c>
      <x:c r="P879" s="28" t="n">
        <x:v>3</x:v>
      </x:c>
      <x:c r="Q879" s="24" t="n">
        <x:f>IFERROR(J879/H879,0)</x:f>
        <x:v>0.4782608695652174</x:v>
      </x:c>
      <x:c r="R879" s="24" t="n">
        <x:f>IFERROR(F879/H879,0)</x:f>
        <x:v>0.21739130434782608</x:v>
      </x:c>
      <x:c r="S879" s="24" t="n">
        <x:f>IFERROR(F879/J879,0)</x:f>
        <x:v>0.45454545454545453</x:v>
      </x:c>
      <x:c r="T879" s="28" t="n">
        <x:f>H879-I879</x:f>
        <x:v>17</x:v>
      </x:c>
      <x:c r="U879" s="24" t="n">
        <x:f>IFERROR(J879/H879,0)-IFERROR(K879/I879,0)</x:f>
        <x:v>-0.18840579710144922</x:v>
      </x:c>
      <x:c r="V879" s="24" t="n">
        <x:f>IFERROR(F879/J879,0)-IFERROR(G879/K879,0)</x:f>
        <x:v>-0.04545454545454547</x:v>
      </x:c>
      <x:c r="W879" s="28" t="n">
        <x:f>L879-M879</x:f>
        <x:v>9</x:v>
      </x:c>
      <x:c r="X879" s="24" t="n">
        <x:f>IFERROR(K879/I879,0)</x:f>
        <x:v>0.6666666666666666</x:v>
      </x:c>
      <x:c r="Y879" s="24" t="n">
        <x:f>IFERROR(G879/I879,0)</x:f>
        <x:v>0.3333333333333333</x:v>
      </x:c>
      <x:c r="Z879" s="24" t="n">
        <x:f>IFERROR(G879/K879,0)</x:f>
        <x:v>0.5</x:v>
      </x:c>
      <x:c r="AA879" s="24" t="n">
        <x:f>IFERROR(F879/H879,0)-IFERROR(G879/I879,0)</x:f>
        <x:v>-0.11594202898550723</x:v>
      </x:c>
      <x:c r="AB879" s="28" t="n">
        <x:f>J879-K879</x:f>
        <x:v>7</x:v>
      </x:c>
      <x:c r="AC879" s="32" t="n">
        <x:f>F879-G879</x:f>
        <x:v>3</x:v>
      </x:c>
    </x:row>
    <x:row r="880">
      <x:c r="A880" s="4" t="str">
        <x:v>2022-23</x:v>
      </x:c>
      <x:c r="B880" s="20" t="n">
        <x:v>44808</x:v>
      </x:c>
      <x:c r="C880" s="4" t="str">
        <x:v>Leicester</x:v>
      </x:c>
      <x:c r="D880" s="4" t="str">
        <x:v>Brighton</x:v>
      </x:c>
      <x:c r="E880" s="4" t="str">
        <x:v>Away</x:v>
      </x:c>
      <x:c r="F880" s="28" t="n">
        <x:v>2</x:v>
      </x:c>
      <x:c r="G880" s="28" t="n">
        <x:v>5</x:v>
      </x:c>
      <x:c r="H880" s="28" t="n">
        <x:v>6</x:v>
      </x:c>
      <x:c r="I880" s="28" t="n">
        <x:v>23</x:v>
      </x:c>
      <x:c r="J880" s="28" t="n">
        <x:v>4</x:v>
      </x:c>
      <x:c r="K880" s="28" t="n">
        <x:v>11</x:v>
      </x:c>
      <x:c r="L880" s="28" t="n">
        <x:v>1</x:v>
      </x:c>
      <x:c r="M880" s="28" t="n">
        <x:v>10</x:v>
      </x:c>
      <x:c r="N880" s="28" t="n">
        <x:v>1</x:v>
      </x:c>
      <x:c r="O880" s="28" t="n">
        <x:v>0</x:v>
      </x:c>
      <x:c r="P880" s="28" t="n">
        <x:v>0</x:v>
      </x:c>
      <x:c r="Q880" s="24" t="n">
        <x:f>IFERROR(J880/H880,0)</x:f>
        <x:v>0.6666666666666666</x:v>
      </x:c>
      <x:c r="R880" s="24" t="n">
        <x:f>IFERROR(F880/H880,0)</x:f>
        <x:v>0.3333333333333333</x:v>
      </x:c>
      <x:c r="S880" s="24" t="n">
        <x:f>IFERROR(F880/J880,0)</x:f>
        <x:v>0.5</x:v>
      </x:c>
      <x:c r="T880" s="28" t="n">
        <x:f>H880-I880</x:f>
        <x:v>-17</x:v>
      </x:c>
      <x:c r="U880" s="24" t="n">
        <x:f>IFERROR(J880/H880,0)-IFERROR(K880/I880,0)</x:f>
        <x:v>0.18840579710144922</x:v>
      </x:c>
      <x:c r="V880" s="24" t="n">
        <x:f>IFERROR(F880/J880,0)-IFERROR(G880/K880,0)</x:f>
        <x:v>0.04545454545454547</x:v>
      </x:c>
      <x:c r="W880" s="28" t="n">
        <x:f>L880-M880</x:f>
        <x:v>-9</x:v>
      </x:c>
      <x:c r="X880" s="24" t="n">
        <x:f>IFERROR(K880/I880,0)</x:f>
        <x:v>0.4782608695652174</x:v>
      </x:c>
      <x:c r="Y880" s="24" t="n">
        <x:f>IFERROR(G880/I880,0)</x:f>
        <x:v>0.21739130434782608</x:v>
      </x:c>
      <x:c r="Z880" s="24" t="n">
        <x:f>IFERROR(G880/K880,0)</x:f>
        <x:v>0.45454545454545453</x:v>
      </x:c>
      <x:c r="AA880" s="24" t="n">
        <x:f>IFERROR(F880/H880,0)-IFERROR(G880/I880,0)</x:f>
        <x:v>0.11594202898550723</x:v>
      </x:c>
      <x:c r="AB880" s="28" t="n">
        <x:f>J880-K880</x:f>
        <x:v>-7</x:v>
      </x:c>
      <x:c r="AC880" s="32" t="n">
        <x:f>F880-G880</x:f>
        <x:v>-3</x:v>
      </x:c>
    </x:row>
    <x:row r="881">
      <x:c r="A881" s="4" t="str">
        <x:v>2022-23</x:v>
      </x:c>
      <x:c r="B881" s="20" t="n">
        <x:v>44808</x:v>
      </x:c>
      <x:c r="C881" s="4" t="str">
        <x:v>Man United</x:v>
      </x:c>
      <x:c r="D881" s="4" t="str">
        <x:v>Arsenal</x:v>
      </x:c>
      <x:c r="E881" s="4" t="str">
        <x:v>Home</x:v>
      </x:c>
      <x:c r="F881" s="28" t="n">
        <x:v>3</x:v>
      </x:c>
      <x:c r="G881" s="28" t="n">
        <x:v>1</x:v>
      </x:c>
      <x:c r="H881" s="28" t="n">
        <x:v>10</x:v>
      </x:c>
      <x:c r="I881" s="28" t="n">
        <x:v>16</x:v>
      </x:c>
      <x:c r="J881" s="28" t="n">
        <x:v>6</x:v>
      </x:c>
      <x:c r="K881" s="28" t="n">
        <x:v>3</x:v>
      </x:c>
      <x:c r="L881" s="28" t="n">
        <x:v>2</x:v>
      </x:c>
      <x:c r="M881" s="28" t="n">
        <x:v>5</x:v>
      </x:c>
      <x:c r="N881" s="28" t="n">
        <x:v>3</x:v>
      </x:c>
      <x:c r="O881" s="28" t="n">
        <x:v>0</x:v>
      </x:c>
      <x:c r="P881" s="28" t="n">
        <x:v>3</x:v>
      </x:c>
      <x:c r="Q881" s="24" t="n">
        <x:f>IFERROR(J881/H881,0)</x:f>
        <x:v>0.6</x:v>
      </x:c>
      <x:c r="R881" s="24" t="n">
        <x:f>IFERROR(F881/H881,0)</x:f>
        <x:v>0.3</x:v>
      </x:c>
      <x:c r="S881" s="24" t="n">
        <x:f>IFERROR(F881/J881,0)</x:f>
        <x:v>0.5</x:v>
      </x:c>
      <x:c r="T881" s="28" t="n">
        <x:f>H881-I881</x:f>
        <x:v>-6</x:v>
      </x:c>
      <x:c r="U881" s="24" t="n">
        <x:f>IFERROR(J881/H881,0)-IFERROR(K881/I881,0)</x:f>
        <x:v>0.4125</x:v>
      </x:c>
      <x:c r="V881" s="24" t="n">
        <x:f>IFERROR(F881/J881,0)-IFERROR(G881/K881,0)</x:f>
        <x:v>0.16666666666666669</x:v>
      </x:c>
      <x:c r="W881" s="28" t="n">
        <x:f>L881-M881</x:f>
        <x:v>-3</x:v>
      </x:c>
      <x:c r="X881" s="24" t="n">
        <x:f>IFERROR(K881/I881,0)</x:f>
        <x:v>0.1875</x:v>
      </x:c>
      <x:c r="Y881" s="24" t="n">
        <x:f>IFERROR(G881/I881,0)</x:f>
        <x:v>0.0625</x:v>
      </x:c>
      <x:c r="Z881" s="24" t="n">
        <x:f>IFERROR(G881/K881,0)</x:f>
        <x:v>0.3333333333333333</x:v>
      </x:c>
      <x:c r="AA881" s="24" t="n">
        <x:f>IFERROR(F881/H881,0)-IFERROR(G881/I881,0)</x:f>
        <x:v>0.2375</x:v>
      </x:c>
      <x:c r="AB881" s="28" t="n">
        <x:f>J881-K881</x:f>
        <x:v>3</x:v>
      </x:c>
      <x:c r="AC881" s="32" t="n">
        <x:f>F881-G881</x:f>
        <x:v>2</x:v>
      </x:c>
    </x:row>
    <x:row r="882">
      <x:c r="A882" s="4" t="str">
        <x:v>2022-23</x:v>
      </x:c>
      <x:c r="B882" s="20" t="n">
        <x:v>44820</x:v>
      </x:c>
      <x:c r="C882" s="4" t="str">
        <x:v>Aston Villa</x:v>
      </x:c>
      <x:c r="D882" s="4" t="str">
        <x:v>Southampton</x:v>
      </x:c>
      <x:c r="E882" s="4" t="str">
        <x:v>Home</x:v>
      </x:c>
      <x:c r="F882" s="28" t="n">
        <x:v>1</x:v>
      </x:c>
      <x:c r="G882" s="28" t="n">
        <x:v>0</x:v>
      </x:c>
      <x:c r="H882" s="28" t="n">
        <x:v>11</x:v>
      </x:c>
      <x:c r="I882" s="28" t="n">
        <x:v>7</x:v>
      </x:c>
      <x:c r="J882" s="28" t="n">
        <x:v>3</x:v>
      </x:c>
      <x:c r="K882" s="28" t="n">
        <x:v>1</x:v>
      </x:c>
      <x:c r="L882" s="28" t="n">
        <x:v>6</x:v>
      </x:c>
      <x:c r="M882" s="28" t="n">
        <x:v>3</x:v>
      </x:c>
      <x:c r="N882" s="28" t="n">
        <x:v>3</x:v>
      </x:c>
      <x:c r="O882" s="28" t="n">
        <x:v>0</x:v>
      </x:c>
      <x:c r="P882" s="28" t="n">
        <x:v>3</x:v>
      </x:c>
      <x:c r="Q882" s="24" t="n">
        <x:f>IFERROR(J882/H882,0)</x:f>
        <x:v>0.2727272727272727</x:v>
      </x:c>
      <x:c r="R882" s="24" t="n">
        <x:f>IFERROR(F882/H882,0)</x:f>
        <x:v>0.09090909090909091</x:v>
      </x:c>
      <x:c r="S882" s="24" t="n">
        <x:f>IFERROR(F882/J882,0)</x:f>
        <x:v>0.3333333333333333</x:v>
      </x:c>
      <x:c r="T882" s="28" t="n">
        <x:f>H882-I882</x:f>
        <x:v>4</x:v>
      </x:c>
      <x:c r="U882" s="24" t="n">
        <x:f>IFERROR(J882/H882,0)-IFERROR(K882/I882,0)</x:f>
        <x:v>0.12987012987012986</x:v>
      </x:c>
      <x:c r="V882" s="24" t="n">
        <x:f>IFERROR(F882/J882,0)-IFERROR(G882/K882,0)</x:f>
        <x:v>0.3333333333333333</x:v>
      </x:c>
      <x:c r="W882" s="28" t="n">
        <x:f>L882-M882</x:f>
        <x:v>3</x:v>
      </x:c>
      <x:c r="X882" s="24" t="n">
        <x:f>IFERROR(K882/I882,0)</x:f>
        <x:v>0.14285714285714285</x:v>
      </x:c>
      <x:c r="Y882" s="24" t="n">
        <x:f>IFERROR(G882/I882,0)</x:f>
        <x:v>0</x:v>
      </x:c>
      <x:c r="Z882" s="24" t="n">
        <x:f>IFERROR(G882/K882,0)</x:f>
        <x:v>0</x:v>
      </x:c>
      <x:c r="AA882" s="24" t="n">
        <x:f>IFERROR(F882/H882,0)-IFERROR(G882/I882,0)</x:f>
        <x:v>0.09090909090909091</x:v>
      </x:c>
      <x:c r="AB882" s="28" t="n">
        <x:f>J882-K882</x:f>
        <x:v>2</x:v>
      </x:c>
      <x:c r="AC882" s="32" t="n">
        <x:f>F882-G882</x:f>
        <x:v>1</x:v>
      </x:c>
    </x:row>
    <x:row r="883">
      <x:c r="A883" s="4" t="str">
        <x:v>2022-23</x:v>
      </x:c>
      <x:c r="B883" s="20" t="n">
        <x:v>44820</x:v>
      </x:c>
      <x:c r="C883" s="4" t="str">
        <x:v>Fulham</x:v>
      </x:c>
      <x:c r="D883" s="4" t="str">
        <x:v>Nott'm Forest</x:v>
      </x:c>
      <x:c r="E883" s="4" t="str">
        <x:v>Away</x:v>
      </x:c>
      <x:c r="F883" s="28" t="n">
        <x:v>3</x:v>
      </x:c>
      <x:c r="G883" s="28" t="n">
        <x:v>2</x:v>
      </x:c>
      <x:c r="H883" s="28" t="n">
        <x:v>15</x:v>
      </x:c>
      <x:c r="I883" s="28" t="n">
        <x:v>11</x:v>
      </x:c>
      <x:c r="J883" s="28" t="n">
        <x:v>7</x:v>
      </x:c>
      <x:c r="K883" s="28" t="n">
        <x:v>3</x:v>
      </x:c>
      <x:c r="L883" s="28" t="n">
        <x:v>10</x:v>
      </x:c>
      <x:c r="M883" s="28" t="n">
        <x:v>2</x:v>
      </x:c>
      <x:c r="N883" s="28" t="n">
        <x:v>4</x:v>
      </x:c>
      <x:c r="O883" s="28" t="n">
        <x:v>0</x:v>
      </x:c>
      <x:c r="P883" s="28" t="n">
        <x:v>3</x:v>
      </x:c>
      <x:c r="Q883" s="24" t="n">
        <x:f>IFERROR(J883/H883,0)</x:f>
        <x:v>0.4666666666666667</x:v>
      </x:c>
      <x:c r="R883" s="24" t="n">
        <x:f>IFERROR(F883/H883,0)</x:f>
        <x:v>0.2</x:v>
      </x:c>
      <x:c r="S883" s="24" t="n">
        <x:f>IFERROR(F883/J883,0)</x:f>
        <x:v>0.42857142857142855</x:v>
      </x:c>
      <x:c r="T883" s="28" t="n">
        <x:f>H883-I883</x:f>
        <x:v>4</x:v>
      </x:c>
      <x:c r="U883" s="24" t="n">
        <x:f>IFERROR(J883/H883,0)-IFERROR(K883/I883,0)</x:f>
        <x:v>0.19393939393939397</x:v>
      </x:c>
      <x:c r="V883" s="24" t="n">
        <x:f>IFERROR(F883/J883,0)-IFERROR(G883/K883,0)</x:f>
        <x:v>-0.23809523809523808</x:v>
      </x:c>
      <x:c r="W883" s="28" t="n">
        <x:f>L883-M883</x:f>
        <x:v>8</x:v>
      </x:c>
      <x:c r="X883" s="24" t="n">
        <x:f>IFERROR(K883/I883,0)</x:f>
        <x:v>0.2727272727272727</x:v>
      </x:c>
      <x:c r="Y883" s="24" t="n">
        <x:f>IFERROR(G883/I883,0)</x:f>
        <x:v>0.18181818181818182</x:v>
      </x:c>
      <x:c r="Z883" s="24" t="n">
        <x:f>IFERROR(G883/K883,0)</x:f>
        <x:v>0.6666666666666666</x:v>
      </x:c>
      <x:c r="AA883" s="24" t="n">
        <x:f>IFERROR(F883/H883,0)-IFERROR(G883/I883,0)</x:f>
        <x:v>0.018181818181818188</x:v>
      </x:c>
      <x:c r="AB883" s="28" t="n">
        <x:f>J883-K883</x:f>
        <x:v>4</x:v>
      </x:c>
      <x:c r="AC883" s="32" t="n">
        <x:f>F883-G883</x:f>
        <x:v>1</x:v>
      </x:c>
    </x:row>
    <x:row r="884">
      <x:c r="A884" s="4" t="str">
        <x:v>2022-23</x:v>
      </x:c>
      <x:c r="B884" s="20" t="n">
        <x:v>44820</x:v>
      </x:c>
      <x:c r="C884" s="4" t="str">
        <x:v>Nott'm Forest</x:v>
      </x:c>
      <x:c r="D884" s="4" t="str">
        <x:v>Fulham</x:v>
      </x:c>
      <x:c r="E884" s="4" t="str">
        <x:v>Home</x:v>
      </x:c>
      <x:c r="F884" s="28" t="n">
        <x:v>2</x:v>
      </x:c>
      <x:c r="G884" s="28" t="n">
        <x:v>3</x:v>
      </x:c>
      <x:c r="H884" s="28" t="n">
        <x:v>11</x:v>
      </x:c>
      <x:c r="I884" s="28" t="n">
        <x:v>15</x:v>
      </x:c>
      <x:c r="J884" s="28" t="n">
        <x:v>3</x:v>
      </x:c>
      <x:c r="K884" s="28" t="n">
        <x:v>7</x:v>
      </x:c>
      <x:c r="L884" s="28" t="n">
        <x:v>2</x:v>
      </x:c>
      <x:c r="M884" s="28" t="n">
        <x:v>10</x:v>
      </x:c>
      <x:c r="N884" s="28" t="n">
        <x:v>2</x:v>
      </x:c>
      <x:c r="O884" s="28" t="n">
        <x:v>0</x:v>
      </x:c>
      <x:c r="P884" s="28" t="n">
        <x:v>0</x:v>
      </x:c>
      <x:c r="Q884" s="24" t="n">
        <x:f>IFERROR(J884/H884,0)</x:f>
        <x:v>0.2727272727272727</x:v>
      </x:c>
      <x:c r="R884" s="24" t="n">
        <x:f>IFERROR(F884/H884,0)</x:f>
        <x:v>0.18181818181818182</x:v>
      </x:c>
      <x:c r="S884" s="24" t="n">
        <x:f>IFERROR(F884/J884,0)</x:f>
        <x:v>0.6666666666666666</x:v>
      </x:c>
      <x:c r="T884" s="28" t="n">
        <x:f>H884-I884</x:f>
        <x:v>-4</x:v>
      </x:c>
      <x:c r="U884" s="24" t="n">
        <x:f>IFERROR(J884/H884,0)-IFERROR(K884/I884,0)</x:f>
        <x:v>-0.19393939393939397</x:v>
      </x:c>
      <x:c r="V884" s="24" t="n">
        <x:f>IFERROR(F884/J884,0)-IFERROR(G884/K884,0)</x:f>
        <x:v>0.23809523809523808</x:v>
      </x:c>
      <x:c r="W884" s="28" t="n">
        <x:f>L884-M884</x:f>
        <x:v>-8</x:v>
      </x:c>
      <x:c r="X884" s="24" t="n">
        <x:f>IFERROR(K884/I884,0)</x:f>
        <x:v>0.4666666666666667</x:v>
      </x:c>
      <x:c r="Y884" s="24" t="n">
        <x:f>IFERROR(G884/I884,0)</x:f>
        <x:v>0.2</x:v>
      </x:c>
      <x:c r="Z884" s="24" t="n">
        <x:f>IFERROR(G884/K884,0)</x:f>
        <x:v>0.42857142857142855</x:v>
      </x:c>
      <x:c r="AA884" s="24" t="n">
        <x:f>IFERROR(F884/H884,0)-IFERROR(G884/I884,0)</x:f>
        <x:v>-0.018181818181818188</x:v>
      </x:c>
      <x:c r="AB884" s="28" t="n">
        <x:f>J884-K884</x:f>
        <x:v>-4</x:v>
      </x:c>
      <x:c r="AC884" s="32" t="n">
        <x:f>F884-G884</x:f>
        <x:v>-1</x:v>
      </x:c>
    </x:row>
    <x:row r="885">
      <x:c r="A885" s="4" t="str">
        <x:v>2022-23</x:v>
      </x:c>
      <x:c r="B885" s="20" t="n">
        <x:v>44820</x:v>
      </x:c>
      <x:c r="C885" s="4" t="str">
        <x:v>Southampton</x:v>
      </x:c>
      <x:c r="D885" s="4" t="str">
        <x:v>Aston Villa</x:v>
      </x:c>
      <x:c r="E885" s="4" t="str">
        <x:v>Away</x:v>
      </x:c>
      <x:c r="F885" s="28" t="n">
        <x:v>0</x:v>
      </x:c>
      <x:c r="G885" s="28" t="n">
        <x:v>1</x:v>
      </x:c>
      <x:c r="H885" s="28" t="n">
        <x:v>7</x:v>
      </x:c>
      <x:c r="I885" s="28" t="n">
        <x:v>11</x:v>
      </x:c>
      <x:c r="J885" s="28" t="n">
        <x:v>1</x:v>
      </x:c>
      <x:c r="K885" s="28" t="n">
        <x:v>3</x:v>
      </x:c>
      <x:c r="L885" s="28" t="n">
        <x:v>3</x:v>
      </x:c>
      <x:c r="M885" s="28" t="n">
        <x:v>6</x:v>
      </x:c>
      <x:c r="N885" s="28" t="n">
        <x:v>1</x:v>
      </x:c>
      <x:c r="O885" s="28" t="n">
        <x:v>0</x:v>
      </x:c>
      <x:c r="P885" s="28" t="n">
        <x:v>0</x:v>
      </x:c>
      <x:c r="Q885" s="24" t="n">
        <x:f>IFERROR(J885/H885,0)</x:f>
        <x:v>0.14285714285714285</x:v>
      </x:c>
      <x:c r="R885" s="24" t="n">
        <x:f>IFERROR(F885/H885,0)</x:f>
        <x:v>0</x:v>
      </x:c>
      <x:c r="S885" s="24" t="n">
        <x:f>IFERROR(F885/J885,0)</x:f>
        <x:v>0</x:v>
      </x:c>
      <x:c r="T885" s="28" t="n">
        <x:f>H885-I885</x:f>
        <x:v>-4</x:v>
      </x:c>
      <x:c r="U885" s="24" t="n">
        <x:f>IFERROR(J885/H885,0)-IFERROR(K885/I885,0)</x:f>
        <x:v>-0.12987012987012986</x:v>
      </x:c>
      <x:c r="V885" s="24" t="n">
        <x:f>IFERROR(F885/J885,0)-IFERROR(G885/K885,0)</x:f>
        <x:v>-0.3333333333333333</x:v>
      </x:c>
      <x:c r="W885" s="28" t="n">
        <x:f>L885-M885</x:f>
        <x:v>-3</x:v>
      </x:c>
      <x:c r="X885" s="24" t="n">
        <x:f>IFERROR(K885/I885,0)</x:f>
        <x:v>0.2727272727272727</x:v>
      </x:c>
      <x:c r="Y885" s="24" t="n">
        <x:f>IFERROR(G885/I885,0)</x:f>
        <x:v>0.09090909090909091</x:v>
      </x:c>
      <x:c r="Z885" s="24" t="n">
        <x:f>IFERROR(G885/K885,0)</x:f>
        <x:v>0.3333333333333333</x:v>
      </x:c>
      <x:c r="AA885" s="24" t="n">
        <x:f>IFERROR(F885/H885,0)-IFERROR(G885/I885,0)</x:f>
        <x:v>-0.09090909090909091</x:v>
      </x:c>
      <x:c r="AB885" s="28" t="n">
        <x:f>J885-K885</x:f>
        <x:v>-2</x:v>
      </x:c>
      <x:c r="AC885" s="32" t="n">
        <x:f>F885-G885</x:f>
        <x:v>-1</x:v>
      </x:c>
    </x:row>
    <x:row r="886">
      <x:c r="A886" s="4" t="str">
        <x:v>2022-23</x:v>
      </x:c>
      <x:c r="B886" s="20" t="n">
        <x:v>44821</x:v>
      </x:c>
      <x:c r="C886" s="4" t="str">
        <x:v>Bournemouth</x:v>
      </x:c>
      <x:c r="D886" s="4" t="str">
        <x:v>Newcastle</x:v>
      </x:c>
      <x:c r="E886" s="4" t="str">
        <x:v>Away</x:v>
      </x:c>
      <x:c r="F886" s="28" t="n">
        <x:v>1</x:v>
      </x:c>
      <x:c r="G886" s="28" t="n">
        <x:v>1</x:v>
      </x:c>
      <x:c r="H886" s="28" t="n">
        <x:v>10</x:v>
      </x:c>
      <x:c r="I886" s="28" t="n">
        <x:v>20</x:v>
      </x:c>
      <x:c r="J886" s="28" t="n">
        <x:v>3</x:v>
      </x:c>
      <x:c r="K886" s="28" t="n">
        <x:v>7</x:v>
      </x:c>
      <x:c r="L886" s="28" t="n">
        <x:v>1</x:v>
      </x:c>
      <x:c r="M886" s="28" t="n">
        <x:v>8</x:v>
      </x:c>
      <x:c r="N886" s="28" t="n">
        <x:v>2</x:v>
      </x:c>
      <x:c r="O886" s="28" t="n">
        <x:v>0</x:v>
      </x:c>
      <x:c r="P886" s="28" t="n">
        <x:v>1</x:v>
      </x:c>
      <x:c r="Q886" s="24" t="n">
        <x:f>IFERROR(J886/H886,0)</x:f>
        <x:v>0.3</x:v>
      </x:c>
      <x:c r="R886" s="24" t="n">
        <x:f>IFERROR(F886/H886,0)</x:f>
        <x:v>0.1</x:v>
      </x:c>
      <x:c r="S886" s="24" t="n">
        <x:f>IFERROR(F886/J886,0)</x:f>
        <x:v>0.3333333333333333</x:v>
      </x:c>
      <x:c r="T886" s="28" t="n">
        <x:f>H886-I886</x:f>
        <x:v>-10</x:v>
      </x:c>
      <x:c r="U886" s="24" t="n">
        <x:f>IFERROR(J886/H886,0)-IFERROR(K886/I886,0)</x:f>
        <x:v>-0.04999999999999999</x:v>
      </x:c>
      <x:c r="V886" s="24" t="n">
        <x:f>IFERROR(F886/J886,0)-IFERROR(G886/K886,0)</x:f>
        <x:v>0.19047619047619047</x:v>
      </x:c>
      <x:c r="W886" s="28" t="n">
        <x:f>L886-M886</x:f>
        <x:v>-7</x:v>
      </x:c>
      <x:c r="X886" s="24" t="n">
        <x:f>IFERROR(K886/I886,0)</x:f>
        <x:v>0.35</x:v>
      </x:c>
      <x:c r="Y886" s="24" t="n">
        <x:f>IFERROR(G886/I886,0)</x:f>
        <x:v>0.05</x:v>
      </x:c>
      <x:c r="Z886" s="24" t="n">
        <x:f>IFERROR(G886/K886,0)</x:f>
        <x:v>0.14285714285714285</x:v>
      </x:c>
      <x:c r="AA886" s="24" t="n">
        <x:f>IFERROR(F886/H886,0)-IFERROR(G886/I886,0)</x:f>
        <x:v>0.05</x:v>
      </x:c>
      <x:c r="AB886" s="28" t="n">
        <x:f>J886-K886</x:f>
        <x:v>-4</x:v>
      </x:c>
      <x:c r="AC886" s="32" t="n">
        <x:f>F886-G886</x:f>
        <x:v>0</x:v>
      </x:c>
    </x:row>
    <x:row r="887">
      <x:c r="A887" s="4" t="str">
        <x:v>2022-23</x:v>
      </x:c>
      <x:c r="B887" s="20" t="n">
        <x:v>44821</x:v>
      </x:c>
      <x:c r="C887" s="4" t="str">
        <x:v>Leicester</x:v>
      </x:c>
      <x:c r="D887" s="4" t="str">
        <x:v>Tottenham</x:v>
      </x:c>
      <x:c r="E887" s="4" t="str">
        <x:v>Away</x:v>
      </x:c>
      <x:c r="F887" s="28" t="n">
        <x:v>2</x:v>
      </x:c>
      <x:c r="G887" s="28" t="n">
        <x:v>6</x:v>
      </x:c>
      <x:c r="H887" s="28" t="n">
        <x:v>19</x:v>
      </x:c>
      <x:c r="I887" s="28" t="n">
        <x:v>16</x:v>
      </x:c>
      <x:c r="J887" s="28" t="n">
        <x:v>7</x:v>
      </x:c>
      <x:c r="K887" s="28" t="n">
        <x:v>11</x:v>
      </x:c>
      <x:c r="L887" s="28" t="n">
        <x:v>1</x:v>
      </x:c>
      <x:c r="M887" s="28" t="n">
        <x:v>6</x:v>
      </x:c>
      <x:c r="N887" s="28" t="n">
        <x:v>2</x:v>
      </x:c>
      <x:c r="O887" s="28" t="n">
        <x:v>0</x:v>
      </x:c>
      <x:c r="P887" s="28" t="n">
        <x:v>0</x:v>
      </x:c>
      <x:c r="Q887" s="24" t="n">
        <x:f>IFERROR(J887/H887,0)</x:f>
        <x:v>0.3684210526315789</x:v>
      </x:c>
      <x:c r="R887" s="24" t="n">
        <x:f>IFERROR(F887/H887,0)</x:f>
        <x:v>0.10526315789473684</x:v>
      </x:c>
      <x:c r="S887" s="24" t="n">
        <x:f>IFERROR(F887/J887,0)</x:f>
        <x:v>0.2857142857142857</x:v>
      </x:c>
      <x:c r="T887" s="28" t="n">
        <x:f>H887-I887</x:f>
        <x:v>3</x:v>
      </x:c>
      <x:c r="U887" s="24" t="n">
        <x:f>IFERROR(J887/H887,0)-IFERROR(K887/I887,0)</x:f>
        <x:v>-0.3190789473684211</x:v>
      </x:c>
      <x:c r="V887" s="24" t="n">
        <x:f>IFERROR(F887/J887,0)-IFERROR(G887/K887,0)</x:f>
        <x:v>-0.2597402597402597</x:v>
      </x:c>
      <x:c r="W887" s="28" t="n">
        <x:f>L887-M887</x:f>
        <x:v>-5</x:v>
      </x:c>
      <x:c r="X887" s="24" t="n">
        <x:f>IFERROR(K887/I887,0)</x:f>
        <x:v>0.6875</x:v>
      </x:c>
      <x:c r="Y887" s="24" t="n">
        <x:f>IFERROR(G887/I887,0)</x:f>
        <x:v>0.375</x:v>
      </x:c>
      <x:c r="Z887" s="24" t="n">
        <x:f>IFERROR(G887/K887,0)</x:f>
        <x:v>0.5454545454545454</x:v>
      </x:c>
      <x:c r="AA887" s="24" t="n">
        <x:f>IFERROR(F887/H887,0)-IFERROR(G887/I887,0)</x:f>
        <x:v>-0.26973684210526316</x:v>
      </x:c>
      <x:c r="AB887" s="28" t="n">
        <x:f>J887-K887</x:f>
        <x:v>-4</x:v>
      </x:c>
      <x:c r="AC887" s="32" t="n">
        <x:f>F887-G887</x:f>
        <x:v>-4</x:v>
      </x:c>
    </x:row>
    <x:row r="888">
      <x:c r="A888" s="4" t="str">
        <x:v>2022-23</x:v>
      </x:c>
      <x:c r="B888" s="20" t="n">
        <x:v>44821</x:v>
      </x:c>
      <x:c r="C888" s="4" t="str">
        <x:v>Man City</x:v>
      </x:c>
      <x:c r="D888" s="4" t="str">
        <x:v>Wolves</x:v>
      </x:c>
      <x:c r="E888" s="4" t="str">
        <x:v>Away</x:v>
      </x:c>
      <x:c r="F888" s="28" t="n">
        <x:v>3</x:v>
      </x:c>
      <x:c r="G888" s="28" t="n">
        <x:v>0</x:v>
      </x:c>
      <x:c r="H888" s="28" t="n">
        <x:v>16</x:v>
      </x:c>
      <x:c r="I888" s="28" t="n">
        <x:v>6</x:v>
      </x:c>
      <x:c r="J888" s="28" t="n">
        <x:v>7</x:v>
      </x:c>
      <x:c r="K888" s="28" t="n">
        <x:v>1</x:v>
      </x:c>
      <x:c r="L888" s="28" t="n">
        <x:v>7</x:v>
      </x:c>
      <x:c r="M888" s="28" t="n">
        <x:v>5</x:v>
      </x:c>
      <x:c r="N888" s="28" t="n">
        <x:v>1</x:v>
      </x:c>
      <x:c r="O888" s="28" t="n">
        <x:v>0</x:v>
      </x:c>
      <x:c r="P888" s="28" t="n">
        <x:v>3</x:v>
      </x:c>
      <x:c r="Q888" s="24" t="n">
        <x:f>IFERROR(J888/H888,0)</x:f>
        <x:v>0.4375</x:v>
      </x:c>
      <x:c r="R888" s="24" t="n">
        <x:f>IFERROR(F888/H888,0)</x:f>
        <x:v>0.1875</x:v>
      </x:c>
      <x:c r="S888" s="24" t="n">
        <x:f>IFERROR(F888/J888,0)</x:f>
        <x:v>0.42857142857142855</x:v>
      </x:c>
      <x:c r="T888" s="28" t="n">
        <x:f>H888-I888</x:f>
        <x:v>10</x:v>
      </x:c>
      <x:c r="U888" s="24" t="n">
        <x:f>IFERROR(J888/H888,0)-IFERROR(K888/I888,0)</x:f>
        <x:v>0.27083333333333337</x:v>
      </x:c>
      <x:c r="V888" s="24" t="n">
        <x:f>IFERROR(F888/J888,0)-IFERROR(G888/K888,0)</x:f>
        <x:v>0.42857142857142855</x:v>
      </x:c>
      <x:c r="W888" s="28" t="n">
        <x:f>L888-M888</x:f>
        <x:v>2</x:v>
      </x:c>
      <x:c r="X888" s="24" t="n">
        <x:f>IFERROR(K888/I888,0)</x:f>
        <x:v>0.16666666666666666</x:v>
      </x:c>
      <x:c r="Y888" s="24" t="n">
        <x:f>IFERROR(G888/I888,0)</x:f>
        <x:v>0</x:v>
      </x:c>
      <x:c r="Z888" s="24" t="n">
        <x:f>IFERROR(G888/K888,0)</x:f>
        <x:v>0</x:v>
      </x:c>
      <x:c r="AA888" s="24" t="n">
        <x:f>IFERROR(F888/H888,0)-IFERROR(G888/I888,0)</x:f>
        <x:v>0.1875</x:v>
      </x:c>
      <x:c r="AB888" s="28" t="n">
        <x:f>J888-K888</x:f>
        <x:v>6</x:v>
      </x:c>
      <x:c r="AC888" s="32" t="n">
        <x:f>F888-G888</x:f>
        <x:v>3</x:v>
      </x:c>
    </x:row>
    <x:row r="889">
      <x:c r="A889" s="4" t="str">
        <x:v>2022-23</x:v>
      </x:c>
      <x:c r="B889" s="20" t="n">
        <x:v>44821</x:v>
      </x:c>
      <x:c r="C889" s="4" t="str">
        <x:v>Newcastle</x:v>
      </x:c>
      <x:c r="D889" s="4" t="str">
        <x:v>Bournemouth</x:v>
      </x:c>
      <x:c r="E889" s="4" t="str">
        <x:v>Home</x:v>
      </x:c>
      <x:c r="F889" s="28" t="n">
        <x:v>1</x:v>
      </x:c>
      <x:c r="G889" s="28" t="n">
        <x:v>1</x:v>
      </x:c>
      <x:c r="H889" s="28" t="n">
        <x:v>20</x:v>
      </x:c>
      <x:c r="I889" s="28" t="n">
        <x:v>10</x:v>
      </x:c>
      <x:c r="J889" s="28" t="n">
        <x:v>7</x:v>
      </x:c>
      <x:c r="K889" s="28" t="n">
        <x:v>3</x:v>
      </x:c>
      <x:c r="L889" s="28" t="n">
        <x:v>8</x:v>
      </x:c>
      <x:c r="M889" s="28" t="n">
        <x:v>1</x:v>
      </x:c>
      <x:c r="N889" s="28" t="n">
        <x:v>2</x:v>
      </x:c>
      <x:c r="O889" s="28" t="n">
        <x:v>0</x:v>
      </x:c>
      <x:c r="P889" s="28" t="n">
        <x:v>1</x:v>
      </x:c>
      <x:c r="Q889" s="24" t="n">
        <x:f>IFERROR(J889/H889,0)</x:f>
        <x:v>0.35</x:v>
      </x:c>
      <x:c r="R889" s="24" t="n">
        <x:f>IFERROR(F889/H889,0)</x:f>
        <x:v>0.05</x:v>
      </x:c>
      <x:c r="S889" s="24" t="n">
        <x:f>IFERROR(F889/J889,0)</x:f>
        <x:v>0.14285714285714285</x:v>
      </x:c>
      <x:c r="T889" s="28" t="n">
        <x:f>H889-I889</x:f>
        <x:v>10</x:v>
      </x:c>
      <x:c r="U889" s="24" t="n">
        <x:f>IFERROR(J889/H889,0)-IFERROR(K889/I889,0)</x:f>
        <x:v>0.04999999999999999</x:v>
      </x:c>
      <x:c r="V889" s="24" t="n">
        <x:f>IFERROR(F889/J889,0)-IFERROR(G889/K889,0)</x:f>
        <x:v>-0.19047619047619047</x:v>
      </x:c>
      <x:c r="W889" s="28" t="n">
        <x:f>L889-M889</x:f>
        <x:v>7</x:v>
      </x:c>
      <x:c r="X889" s="24" t="n">
        <x:f>IFERROR(K889/I889,0)</x:f>
        <x:v>0.3</x:v>
      </x:c>
      <x:c r="Y889" s="24" t="n">
        <x:f>IFERROR(G889/I889,0)</x:f>
        <x:v>0.1</x:v>
      </x:c>
      <x:c r="Z889" s="24" t="n">
        <x:f>IFERROR(G889/K889,0)</x:f>
        <x:v>0.3333333333333333</x:v>
      </x:c>
      <x:c r="AA889" s="24" t="n">
        <x:f>IFERROR(F889/H889,0)-IFERROR(G889/I889,0)</x:f>
        <x:v>-0.05</x:v>
      </x:c>
      <x:c r="AB889" s="28" t="n">
        <x:f>J889-K889</x:f>
        <x:v>4</x:v>
      </x:c>
      <x:c r="AC889" s="32" t="n">
        <x:f>F889-G889</x:f>
        <x:v>0</x:v>
      </x:c>
    </x:row>
    <x:row r="890">
      <x:c r="A890" s="4" t="str">
        <x:v>2022-23</x:v>
      </x:c>
      <x:c r="B890" s="20" t="n">
        <x:v>44821</x:v>
      </x:c>
      <x:c r="C890" s="4" t="str">
        <x:v>Tottenham</x:v>
      </x:c>
      <x:c r="D890" s="4" t="str">
        <x:v>Leicester</x:v>
      </x:c>
      <x:c r="E890" s="4" t="str">
        <x:v>Home</x:v>
      </x:c>
      <x:c r="F890" s="28" t="n">
        <x:v>6</x:v>
      </x:c>
      <x:c r="G890" s="28" t="n">
        <x:v>2</x:v>
      </x:c>
      <x:c r="H890" s="28" t="n">
        <x:v>16</x:v>
      </x:c>
      <x:c r="I890" s="28" t="n">
        <x:v>19</x:v>
      </x:c>
      <x:c r="J890" s="28" t="n">
        <x:v>11</x:v>
      </x:c>
      <x:c r="K890" s="28" t="n">
        <x:v>7</x:v>
      </x:c>
      <x:c r="L890" s="28" t="n">
        <x:v>6</x:v>
      </x:c>
      <x:c r="M890" s="28" t="n">
        <x:v>1</x:v>
      </x:c>
      <x:c r="N890" s="28" t="n">
        <x:v>1</x:v>
      </x:c>
      <x:c r="O890" s="28" t="n">
        <x:v>0</x:v>
      </x:c>
      <x:c r="P890" s="28" t="n">
        <x:v>3</x:v>
      </x:c>
      <x:c r="Q890" s="24" t="n">
        <x:f>IFERROR(J890/H890,0)</x:f>
        <x:v>0.6875</x:v>
      </x:c>
      <x:c r="R890" s="24" t="n">
        <x:f>IFERROR(F890/H890,0)</x:f>
        <x:v>0.375</x:v>
      </x:c>
      <x:c r="S890" s="24" t="n">
        <x:f>IFERROR(F890/J890,0)</x:f>
        <x:v>0.5454545454545454</x:v>
      </x:c>
      <x:c r="T890" s="28" t="n">
        <x:f>H890-I890</x:f>
        <x:v>-3</x:v>
      </x:c>
      <x:c r="U890" s="24" t="n">
        <x:f>IFERROR(J890/H890,0)-IFERROR(K890/I890,0)</x:f>
        <x:v>0.3190789473684211</x:v>
      </x:c>
      <x:c r="V890" s="24" t="n">
        <x:f>IFERROR(F890/J890,0)-IFERROR(G890/K890,0)</x:f>
        <x:v>0.2597402597402597</x:v>
      </x:c>
      <x:c r="W890" s="28" t="n">
        <x:f>L890-M890</x:f>
        <x:v>5</x:v>
      </x:c>
      <x:c r="X890" s="24" t="n">
        <x:f>IFERROR(K890/I890,0)</x:f>
        <x:v>0.3684210526315789</x:v>
      </x:c>
      <x:c r="Y890" s="24" t="n">
        <x:f>IFERROR(G890/I890,0)</x:f>
        <x:v>0.10526315789473684</x:v>
      </x:c>
      <x:c r="Z890" s="24" t="n">
        <x:f>IFERROR(G890/K890,0)</x:f>
        <x:v>0.2857142857142857</x:v>
      </x:c>
      <x:c r="AA890" s="24" t="n">
        <x:f>IFERROR(F890/H890,0)-IFERROR(G890/I890,0)</x:f>
        <x:v>0.26973684210526316</x:v>
      </x:c>
      <x:c r="AB890" s="28" t="n">
        <x:f>J890-K890</x:f>
        <x:v>4</x:v>
      </x:c>
      <x:c r="AC890" s="32" t="n">
        <x:f>F890-G890</x:f>
        <x:v>4</x:v>
      </x:c>
    </x:row>
    <x:row r="891">
      <x:c r="A891" s="4" t="str">
        <x:v>2022-23</x:v>
      </x:c>
      <x:c r="B891" s="20" t="n">
        <x:v>44821</x:v>
      </x:c>
      <x:c r="C891" s="4" t="str">
        <x:v>Wolves</x:v>
      </x:c>
      <x:c r="D891" s="4" t="str">
        <x:v>Man City</x:v>
      </x:c>
      <x:c r="E891" s="4" t="str">
        <x:v>Home</x:v>
      </x:c>
      <x:c r="F891" s="28" t="n">
        <x:v>0</x:v>
      </x:c>
      <x:c r="G891" s="28" t="n">
        <x:v>3</x:v>
      </x:c>
      <x:c r="H891" s="28" t="n">
        <x:v>6</x:v>
      </x:c>
      <x:c r="I891" s="28" t="n">
        <x:v>16</x:v>
      </x:c>
      <x:c r="J891" s="28" t="n">
        <x:v>1</x:v>
      </x:c>
      <x:c r="K891" s="28" t="n">
        <x:v>7</x:v>
      </x:c>
      <x:c r="L891" s="28" t="n">
        <x:v>5</x:v>
      </x:c>
      <x:c r="M891" s="28" t="n">
        <x:v>7</x:v>
      </x:c>
      <x:c r="N891" s="28" t="n">
        <x:v>2</x:v>
      </x:c>
      <x:c r="O891" s="28" t="n">
        <x:v>1</x:v>
      </x:c>
      <x:c r="P891" s="28" t="n">
        <x:v>0</x:v>
      </x:c>
      <x:c r="Q891" s="24" t="n">
        <x:f>IFERROR(J891/H891,0)</x:f>
        <x:v>0.16666666666666666</x:v>
      </x:c>
      <x:c r="R891" s="24" t="n">
        <x:f>IFERROR(F891/H891,0)</x:f>
        <x:v>0</x:v>
      </x:c>
      <x:c r="S891" s="24" t="n">
        <x:f>IFERROR(F891/J891,0)</x:f>
        <x:v>0</x:v>
      </x:c>
      <x:c r="T891" s="28" t="n">
        <x:f>H891-I891</x:f>
        <x:v>-10</x:v>
      </x:c>
      <x:c r="U891" s="24" t="n">
        <x:f>IFERROR(J891/H891,0)-IFERROR(K891/I891,0)</x:f>
        <x:v>-0.27083333333333337</x:v>
      </x:c>
      <x:c r="V891" s="24" t="n">
        <x:f>IFERROR(F891/J891,0)-IFERROR(G891/K891,0)</x:f>
        <x:v>-0.42857142857142855</x:v>
      </x:c>
      <x:c r="W891" s="28" t="n">
        <x:f>L891-M891</x:f>
        <x:v>-2</x:v>
      </x:c>
      <x:c r="X891" s="24" t="n">
        <x:f>IFERROR(K891/I891,0)</x:f>
        <x:v>0.4375</x:v>
      </x:c>
      <x:c r="Y891" s="24" t="n">
        <x:f>IFERROR(G891/I891,0)</x:f>
        <x:v>0.1875</x:v>
      </x:c>
      <x:c r="Z891" s="24" t="n">
        <x:f>IFERROR(G891/K891,0)</x:f>
        <x:v>0.42857142857142855</x:v>
      </x:c>
      <x:c r="AA891" s="24" t="n">
        <x:f>IFERROR(F891/H891,0)-IFERROR(G891/I891,0)</x:f>
        <x:v>-0.1875</x:v>
      </x:c>
      <x:c r="AB891" s="28" t="n">
        <x:f>J891-K891</x:f>
        <x:v>-6</x:v>
      </x:c>
      <x:c r="AC891" s="32" t="n">
        <x:f>F891-G891</x:f>
        <x:v>-3</x:v>
      </x:c>
    </x:row>
    <x:row r="892">
      <x:c r="A892" s="4" t="str">
        <x:v>2022-23</x:v>
      </x:c>
      <x:c r="B892" s="20" t="n">
        <x:v>44822</x:v>
      </x:c>
      <x:c r="C892" s="4" t="str">
        <x:v>Arsenal</x:v>
      </x:c>
      <x:c r="D892" s="4" t="str">
        <x:v>Brentford</x:v>
      </x:c>
      <x:c r="E892" s="4" t="str">
        <x:v>Away</x:v>
      </x:c>
      <x:c r="F892" s="28" t="n">
        <x:v>3</x:v>
      </x:c>
      <x:c r="G892" s="28" t="n">
        <x:v>0</x:v>
      </x:c>
      <x:c r="H892" s="28" t="n">
        <x:v>13</x:v>
      </x:c>
      <x:c r="I892" s="28" t="n">
        <x:v>5</x:v>
      </x:c>
      <x:c r="J892" s="28" t="n">
        <x:v>7</x:v>
      </x:c>
      <x:c r="K892" s="28" t="n">
        <x:v>2</x:v>
      </x:c>
      <x:c r="L892" s="28" t="n">
        <x:v>3</x:v>
      </x:c>
      <x:c r="M892" s="28" t="n">
        <x:v>3</x:v>
      </x:c>
      <x:c r="N892" s="28" t="n">
        <x:v>2</x:v>
      </x:c>
      <x:c r="O892" s="28" t="n">
        <x:v>0</x:v>
      </x:c>
      <x:c r="P892" s="28" t="n">
        <x:v>3</x:v>
      </x:c>
      <x:c r="Q892" s="24" t="n">
        <x:f>IFERROR(J892/H892,0)</x:f>
        <x:v>0.5384615384615384</x:v>
      </x:c>
      <x:c r="R892" s="24" t="n">
        <x:f>IFERROR(F892/H892,0)</x:f>
        <x:v>0.23076923076923078</x:v>
      </x:c>
      <x:c r="S892" s="24" t="n">
        <x:f>IFERROR(F892/J892,0)</x:f>
        <x:v>0.42857142857142855</x:v>
      </x:c>
      <x:c r="T892" s="28" t="n">
        <x:f>H892-I892</x:f>
        <x:v>8</x:v>
      </x:c>
      <x:c r="U892" s="24" t="n">
        <x:f>IFERROR(J892/H892,0)-IFERROR(K892/I892,0)</x:f>
        <x:v>0.1384615384615384</x:v>
      </x:c>
      <x:c r="V892" s="24" t="n">
        <x:f>IFERROR(F892/J892,0)-IFERROR(G892/K892,0)</x:f>
        <x:v>0.42857142857142855</x:v>
      </x:c>
      <x:c r="W892" s="28" t="n">
        <x:f>L892-M892</x:f>
        <x:v>0</x:v>
      </x:c>
      <x:c r="X892" s="24" t="n">
        <x:f>IFERROR(K892/I892,0)</x:f>
        <x:v>0.4</x:v>
      </x:c>
      <x:c r="Y892" s="24" t="n">
        <x:f>IFERROR(G892/I892,0)</x:f>
        <x:v>0</x:v>
      </x:c>
      <x:c r="Z892" s="24" t="n">
        <x:f>IFERROR(G892/K892,0)</x:f>
        <x:v>0</x:v>
      </x:c>
      <x:c r="AA892" s="24" t="n">
        <x:f>IFERROR(F892/H892,0)-IFERROR(G892/I892,0)</x:f>
        <x:v>0.23076923076923078</x:v>
      </x:c>
      <x:c r="AB892" s="28" t="n">
        <x:f>J892-K892</x:f>
        <x:v>5</x:v>
      </x:c>
      <x:c r="AC892" s="32" t="n">
        <x:f>F892-G892</x:f>
        <x:v>3</x:v>
      </x:c>
    </x:row>
    <x:row r="893">
      <x:c r="A893" s="4" t="str">
        <x:v>2022-23</x:v>
      </x:c>
      <x:c r="B893" s="20" t="n">
        <x:v>44822</x:v>
      </x:c>
      <x:c r="C893" s="4" t="str">
        <x:v>Brentford</x:v>
      </x:c>
      <x:c r="D893" s="4" t="str">
        <x:v>Arsenal</x:v>
      </x:c>
      <x:c r="E893" s="4" t="str">
        <x:v>Home</x:v>
      </x:c>
      <x:c r="F893" s="28" t="n">
        <x:v>0</x:v>
      </x:c>
      <x:c r="G893" s="28" t="n">
        <x:v>3</x:v>
      </x:c>
      <x:c r="H893" s="28" t="n">
        <x:v>5</x:v>
      </x:c>
      <x:c r="I893" s="28" t="n">
        <x:v>13</x:v>
      </x:c>
      <x:c r="J893" s="28" t="n">
        <x:v>2</x:v>
      </x:c>
      <x:c r="K893" s="28" t="n">
        <x:v>7</x:v>
      </x:c>
      <x:c r="L893" s="28" t="n">
        <x:v>3</x:v>
      </x:c>
      <x:c r="M893" s="28" t="n">
        <x:v>3</x:v>
      </x:c>
      <x:c r="N893" s="28" t="n">
        <x:v>0</x:v>
      </x:c>
      <x:c r="O893" s="28" t="n">
        <x:v>0</x:v>
      </x:c>
      <x:c r="P893" s="28" t="n">
        <x:v>0</x:v>
      </x:c>
      <x:c r="Q893" s="24" t="n">
        <x:f>IFERROR(J893/H893,0)</x:f>
        <x:v>0.4</x:v>
      </x:c>
      <x:c r="R893" s="24" t="n">
        <x:f>IFERROR(F893/H893,0)</x:f>
        <x:v>0</x:v>
      </x:c>
      <x:c r="S893" s="24" t="n">
        <x:f>IFERROR(F893/J893,0)</x:f>
        <x:v>0</x:v>
      </x:c>
      <x:c r="T893" s="28" t="n">
        <x:f>H893-I893</x:f>
        <x:v>-8</x:v>
      </x:c>
      <x:c r="U893" s="24" t="n">
        <x:f>IFERROR(J893/H893,0)-IFERROR(K893/I893,0)</x:f>
        <x:v>-0.1384615384615384</x:v>
      </x:c>
      <x:c r="V893" s="24" t="n">
        <x:f>IFERROR(F893/J893,0)-IFERROR(G893/K893,0)</x:f>
        <x:v>-0.42857142857142855</x:v>
      </x:c>
      <x:c r="W893" s="28" t="n">
        <x:f>L893-M893</x:f>
        <x:v>0</x:v>
      </x:c>
      <x:c r="X893" s="24" t="n">
        <x:f>IFERROR(K893/I893,0)</x:f>
        <x:v>0.5384615384615384</x:v>
      </x:c>
      <x:c r="Y893" s="24" t="n">
        <x:f>IFERROR(G893/I893,0)</x:f>
        <x:v>0.23076923076923078</x:v>
      </x:c>
      <x:c r="Z893" s="24" t="n">
        <x:f>IFERROR(G893/K893,0)</x:f>
        <x:v>0.42857142857142855</x:v>
      </x:c>
      <x:c r="AA893" s="24" t="n">
        <x:f>IFERROR(F893/H893,0)-IFERROR(G893/I893,0)</x:f>
        <x:v>-0.23076923076923078</x:v>
      </x:c>
      <x:c r="AB893" s="28" t="n">
        <x:f>J893-K893</x:f>
        <x:v>-5</x:v>
      </x:c>
      <x:c r="AC893" s="32" t="n">
        <x:f>F893-G893</x:f>
        <x:v>-3</x:v>
      </x:c>
    </x:row>
    <x:row r="894">
      <x:c r="A894" s="4" t="str">
        <x:v>2022-23</x:v>
      </x:c>
      <x:c r="B894" s="20" t="n">
        <x:v>44822</x:v>
      </x:c>
      <x:c r="C894" s="4" t="str">
        <x:v>Everton</x:v>
      </x:c>
      <x:c r="D894" s="4" t="str">
        <x:v>West Ham</x:v>
      </x:c>
      <x:c r="E894" s="4" t="str">
        <x:v>Home</x:v>
      </x:c>
      <x:c r="F894" s="28" t="n">
        <x:v>1</x:v>
      </x:c>
      <x:c r="G894" s="28" t="n">
        <x:v>0</x:v>
      </x:c>
      <x:c r="H894" s="28" t="n">
        <x:v>7</x:v>
      </x:c>
      <x:c r="I894" s="28" t="n">
        <x:v>14</x:v>
      </x:c>
      <x:c r="J894" s="28" t="n">
        <x:v>2</x:v>
      </x:c>
      <x:c r="K894" s="28" t="n">
        <x:v>4</x:v>
      </x:c>
      <x:c r="L894" s="28" t="n">
        <x:v>5</x:v>
      </x:c>
      <x:c r="M894" s="28" t="n">
        <x:v>14</x:v>
      </x:c>
      <x:c r="N894" s="28" t="n">
        <x:v>3</x:v>
      </x:c>
      <x:c r="O894" s="28" t="n">
        <x:v>0</x:v>
      </x:c>
      <x:c r="P894" s="28" t="n">
        <x:v>3</x:v>
      </x:c>
      <x:c r="Q894" s="24" t="n">
        <x:f>IFERROR(J894/H894,0)</x:f>
        <x:v>0.2857142857142857</x:v>
      </x:c>
      <x:c r="R894" s="24" t="n">
        <x:f>IFERROR(F894/H894,0)</x:f>
        <x:v>0.14285714285714285</x:v>
      </x:c>
      <x:c r="S894" s="24" t="n">
        <x:f>IFERROR(F894/J894,0)</x:f>
        <x:v>0.5</x:v>
      </x:c>
      <x:c r="T894" s="28" t="n">
        <x:f>H894-I894</x:f>
        <x:v>-7</x:v>
      </x:c>
      <x:c r="U894" s="24" t="n">
        <x:f>IFERROR(J894/H894,0)-IFERROR(K894/I894,0)</x:f>
        <x:v>0</x:v>
      </x:c>
      <x:c r="V894" s="24" t="n">
        <x:f>IFERROR(F894/J894,0)-IFERROR(G894/K894,0)</x:f>
        <x:v>0.5</x:v>
      </x:c>
      <x:c r="W894" s="28" t="n">
        <x:f>L894-M894</x:f>
        <x:v>-9</x:v>
      </x:c>
      <x:c r="X894" s="24" t="n">
        <x:f>IFERROR(K894/I894,0)</x:f>
        <x:v>0.2857142857142857</x:v>
      </x:c>
      <x:c r="Y894" s="24" t="n">
        <x:f>IFERROR(G894/I894,0)</x:f>
        <x:v>0</x:v>
      </x:c>
      <x:c r="Z894" s="24" t="n">
        <x:f>IFERROR(G894/K894,0)</x:f>
        <x:v>0</x:v>
      </x:c>
      <x:c r="AA894" s="24" t="n">
        <x:f>IFERROR(F894/H894,0)-IFERROR(G894/I894,0)</x:f>
        <x:v>0.14285714285714285</x:v>
      </x:c>
      <x:c r="AB894" s="28" t="n">
        <x:f>J894-K894</x:f>
        <x:v>-2</x:v>
      </x:c>
      <x:c r="AC894" s="32" t="n">
        <x:f>F894-G894</x:f>
        <x:v>1</x:v>
      </x:c>
    </x:row>
    <x:row r="895">
      <x:c r="A895" s="4" t="str">
        <x:v>2022-23</x:v>
      </x:c>
      <x:c r="B895" s="20" t="n">
        <x:v>44822</x:v>
      </x:c>
      <x:c r="C895" s="4" t="str">
        <x:v>West Ham</x:v>
      </x:c>
      <x:c r="D895" s="4" t="str">
        <x:v>Everton</x:v>
      </x:c>
      <x:c r="E895" s="4" t="str">
        <x:v>Away</x:v>
      </x:c>
      <x:c r="F895" s="28" t="n">
        <x:v>0</x:v>
      </x:c>
      <x:c r="G895" s="28" t="n">
        <x:v>1</x:v>
      </x:c>
      <x:c r="H895" s="28" t="n">
        <x:v>14</x:v>
      </x:c>
      <x:c r="I895" s="28" t="n">
        <x:v>7</x:v>
      </x:c>
      <x:c r="J895" s="28" t="n">
        <x:v>4</x:v>
      </x:c>
      <x:c r="K895" s="28" t="n">
        <x:v>2</x:v>
      </x:c>
      <x:c r="L895" s="28" t="n">
        <x:v>14</x:v>
      </x:c>
      <x:c r="M895" s="28" t="n">
        <x:v>5</x:v>
      </x:c>
      <x:c r="N895" s="28" t="n">
        <x:v>1</x:v>
      </x:c>
      <x:c r="O895" s="28" t="n">
        <x:v>0</x:v>
      </x:c>
      <x:c r="P895" s="28" t="n">
        <x:v>0</x:v>
      </x:c>
      <x:c r="Q895" s="24" t="n">
        <x:f>IFERROR(J895/H895,0)</x:f>
        <x:v>0.2857142857142857</x:v>
      </x:c>
      <x:c r="R895" s="24" t="n">
        <x:f>IFERROR(F895/H895,0)</x:f>
        <x:v>0</x:v>
      </x:c>
      <x:c r="S895" s="24" t="n">
        <x:f>IFERROR(F895/J895,0)</x:f>
        <x:v>0</x:v>
      </x:c>
      <x:c r="T895" s="28" t="n">
        <x:f>H895-I895</x:f>
        <x:v>7</x:v>
      </x:c>
      <x:c r="U895" s="24" t="n">
        <x:f>IFERROR(J895/H895,0)-IFERROR(K895/I895,0)</x:f>
        <x:v>0</x:v>
      </x:c>
      <x:c r="V895" s="24" t="n">
        <x:f>IFERROR(F895/J895,0)-IFERROR(G895/K895,0)</x:f>
        <x:v>-0.5</x:v>
      </x:c>
      <x:c r="W895" s="28" t="n">
        <x:f>L895-M895</x:f>
        <x:v>9</x:v>
      </x:c>
      <x:c r="X895" s="24" t="n">
        <x:f>IFERROR(K895/I895,0)</x:f>
        <x:v>0.2857142857142857</x:v>
      </x:c>
      <x:c r="Y895" s="24" t="n">
        <x:f>IFERROR(G895/I895,0)</x:f>
        <x:v>0.14285714285714285</x:v>
      </x:c>
      <x:c r="Z895" s="24" t="n">
        <x:f>IFERROR(G895/K895,0)</x:f>
        <x:v>0.5</x:v>
      </x:c>
      <x:c r="AA895" s="24" t="n">
        <x:f>IFERROR(F895/H895,0)-IFERROR(G895/I895,0)</x:f>
        <x:v>-0.14285714285714285</x:v>
      </x:c>
      <x:c r="AB895" s="28" t="n">
        <x:f>J895-K895</x:f>
        <x:v>2</x:v>
      </x:c>
      <x:c r="AC895" s="32" t="n">
        <x:f>F895-G895</x:f>
        <x:v>-1</x:v>
      </x:c>
    </x:row>
    <x:row r="896">
      <x:c r="A896" s="4" t="str">
        <x:v>2022-23</x:v>
      </x:c>
      <x:c r="B896" s="20" t="n">
        <x:v>44835</x:v>
      </x:c>
      <x:c r="C896" s="4" t="str">
        <x:v>Arsenal</x:v>
      </x:c>
      <x:c r="D896" s="4" t="str">
        <x:v>Tottenham</x:v>
      </x:c>
      <x:c r="E896" s="4" t="str">
        <x:v>Home</x:v>
      </x:c>
      <x:c r="F896" s="28" t="n">
        <x:v>3</x:v>
      </x:c>
      <x:c r="G896" s="28" t="n">
        <x:v>1</x:v>
      </x:c>
      <x:c r="H896" s="28" t="n">
        <x:v>22</x:v>
      </x:c>
      <x:c r="I896" s="28" t="n">
        <x:v>7</x:v>
      </x:c>
      <x:c r="J896" s="28" t="n">
        <x:v>9</x:v>
      </x:c>
      <x:c r="K896" s="28" t="n">
        <x:v>3</x:v>
      </x:c>
      <x:c r="L896" s="28" t="n">
        <x:v>5</x:v>
      </x:c>
      <x:c r="M896" s="28" t="n">
        <x:v>2</x:v>
      </x:c>
      <x:c r="N896" s="28" t="n">
        <x:v>2</x:v>
      </x:c>
      <x:c r="O896" s="28" t="n">
        <x:v>0</x:v>
      </x:c>
      <x:c r="P896" s="28" t="n">
        <x:v>3</x:v>
      </x:c>
      <x:c r="Q896" s="24" t="n">
        <x:f>IFERROR(J896/H896,0)</x:f>
        <x:v>0.4090909090909091</x:v>
      </x:c>
      <x:c r="R896" s="24" t="n">
        <x:f>IFERROR(F896/H896,0)</x:f>
        <x:v>0.13636363636363635</x:v>
      </x:c>
      <x:c r="S896" s="24" t="n">
        <x:f>IFERROR(F896/J896,0)</x:f>
        <x:v>0.3333333333333333</x:v>
      </x:c>
      <x:c r="T896" s="28" t="n">
        <x:f>H896-I896</x:f>
        <x:v>15</x:v>
      </x:c>
      <x:c r="U896" s="24" t="n">
        <x:f>IFERROR(J896/H896,0)-IFERROR(K896/I896,0)</x:f>
        <x:v>-0.01948051948051943</x:v>
      </x:c>
      <x:c r="V896" s="24" t="n">
        <x:f>IFERROR(F896/J896,0)-IFERROR(G896/K896,0)</x:f>
        <x:v>0</x:v>
      </x:c>
      <x:c r="W896" s="28" t="n">
        <x:f>L896-M896</x:f>
        <x:v>3</x:v>
      </x:c>
      <x:c r="X896" s="24" t="n">
        <x:f>IFERROR(K896/I896,0)</x:f>
        <x:v>0.42857142857142855</x:v>
      </x:c>
      <x:c r="Y896" s="24" t="n">
        <x:f>IFERROR(G896/I896,0)</x:f>
        <x:v>0.14285714285714285</x:v>
      </x:c>
      <x:c r="Z896" s="24" t="n">
        <x:f>IFERROR(G896/K896,0)</x:f>
        <x:v>0.3333333333333333</x:v>
      </x:c>
      <x:c r="AA896" s="24" t="n">
        <x:f>IFERROR(F896/H896,0)-IFERROR(G896/I896,0)</x:f>
        <x:v>-0.006493506493506496</x:v>
      </x:c>
      <x:c r="AB896" s="28" t="n">
        <x:f>J896-K896</x:f>
        <x:v>6</x:v>
      </x:c>
      <x:c r="AC896" s="32" t="n">
        <x:f>F896-G896</x:f>
        <x:v>2</x:v>
      </x:c>
    </x:row>
    <x:row r="897">
      <x:c r="A897" s="4" t="str">
        <x:v>2022-23</x:v>
      </x:c>
      <x:c r="B897" s="20" t="n">
        <x:v>44835</x:v>
      </x:c>
      <x:c r="C897" s="4" t="str">
        <x:v>Bournemouth</x:v>
      </x:c>
      <x:c r="D897" s="4" t="str">
        <x:v>Brentford</x:v>
      </x:c>
      <x:c r="E897" s="4" t="str">
        <x:v>Home</x:v>
      </x:c>
      <x:c r="F897" s="28" t="n">
        <x:v>0</x:v>
      </x:c>
      <x:c r="G897" s="28" t="n">
        <x:v>0</x:v>
      </x:c>
      <x:c r="H897" s="28" t="n">
        <x:v>7</x:v>
      </x:c>
      <x:c r="I897" s="28" t="n">
        <x:v>13</x:v>
      </x:c>
      <x:c r="J897" s="28" t="n">
        <x:v>1</x:v>
      </x:c>
      <x:c r="K897" s="28" t="n">
        <x:v>4</x:v>
      </x:c>
      <x:c r="L897" s="28" t="n">
        <x:v>7</x:v>
      </x:c>
      <x:c r="M897" s="28" t="n">
        <x:v>8</x:v>
      </x:c>
      <x:c r="N897" s="28" t="n">
        <x:v>1</x:v>
      </x:c>
      <x:c r="O897" s="28" t="n">
        <x:v>0</x:v>
      </x:c>
      <x:c r="P897" s="28" t="n">
        <x:v>1</x:v>
      </x:c>
      <x:c r="Q897" s="24" t="n">
        <x:f>IFERROR(J897/H897,0)</x:f>
        <x:v>0.14285714285714285</x:v>
      </x:c>
      <x:c r="R897" s="24" t="n">
        <x:f>IFERROR(F897/H897,0)</x:f>
        <x:v>0</x:v>
      </x:c>
      <x:c r="S897" s="24" t="n">
        <x:f>IFERROR(F897/J897,0)</x:f>
        <x:v>0</x:v>
      </x:c>
      <x:c r="T897" s="28" t="n">
        <x:f>H897-I897</x:f>
        <x:v>-6</x:v>
      </x:c>
      <x:c r="U897" s="24" t="n">
        <x:f>IFERROR(J897/H897,0)-IFERROR(K897/I897,0)</x:f>
        <x:v>-0.16483516483516486</x:v>
      </x:c>
      <x:c r="V897" s="24" t="n">
        <x:f>IFERROR(F897/J897,0)-IFERROR(G897/K897,0)</x:f>
        <x:v>0</x:v>
      </x:c>
      <x:c r="W897" s="28" t="n">
        <x:f>L897-M897</x:f>
        <x:v>-1</x:v>
      </x:c>
      <x:c r="X897" s="24" t="n">
        <x:f>IFERROR(K897/I897,0)</x:f>
        <x:v>0.3076923076923077</x:v>
      </x:c>
      <x:c r="Y897" s="24" t="n">
        <x:f>IFERROR(G897/I897,0)</x:f>
        <x:v>0</x:v>
      </x:c>
      <x:c r="Z897" s="24" t="n">
        <x:f>IFERROR(G897/K897,0)</x:f>
        <x:v>0</x:v>
      </x:c>
      <x:c r="AA897" s="24" t="n">
        <x:f>IFERROR(F897/H897,0)-IFERROR(G897/I897,0)</x:f>
        <x:v>0</x:v>
      </x:c>
      <x:c r="AB897" s="28" t="n">
        <x:f>J897-K897</x:f>
        <x:v>-3</x:v>
      </x:c>
      <x:c r="AC897" s="32" t="n">
        <x:f>F897-G897</x:f>
        <x:v>0</x:v>
      </x:c>
    </x:row>
    <x:row r="898">
      <x:c r="A898" s="4" t="str">
        <x:v>2022-23</x:v>
      </x:c>
      <x:c r="B898" s="20" t="n">
        <x:v>44835</x:v>
      </x:c>
      <x:c r="C898" s="4" t="str">
        <x:v>Brentford</x:v>
      </x:c>
      <x:c r="D898" s="4" t="str">
        <x:v>Bournemouth</x:v>
      </x:c>
      <x:c r="E898" s="4" t="str">
        <x:v>Away</x:v>
      </x:c>
      <x:c r="F898" s="28" t="n">
        <x:v>0</x:v>
      </x:c>
      <x:c r="G898" s="28" t="n">
        <x:v>0</x:v>
      </x:c>
      <x:c r="H898" s="28" t="n">
        <x:v>13</x:v>
      </x:c>
      <x:c r="I898" s="28" t="n">
        <x:v>7</x:v>
      </x:c>
      <x:c r="J898" s="28" t="n">
        <x:v>4</x:v>
      </x:c>
      <x:c r="K898" s="28" t="n">
        <x:v>1</x:v>
      </x:c>
      <x:c r="L898" s="28" t="n">
        <x:v>8</x:v>
      </x:c>
      <x:c r="M898" s="28" t="n">
        <x:v>7</x:v>
      </x:c>
      <x:c r="N898" s="28" t="n">
        <x:v>2</x:v>
      </x:c>
      <x:c r="O898" s="28" t="n">
        <x:v>0</x:v>
      </x:c>
      <x:c r="P898" s="28" t="n">
        <x:v>1</x:v>
      </x:c>
      <x:c r="Q898" s="24" t="n">
        <x:f>IFERROR(J898/H898,0)</x:f>
        <x:v>0.3076923076923077</x:v>
      </x:c>
      <x:c r="R898" s="24" t="n">
        <x:f>IFERROR(F898/H898,0)</x:f>
        <x:v>0</x:v>
      </x:c>
      <x:c r="S898" s="24" t="n">
        <x:f>IFERROR(F898/J898,0)</x:f>
        <x:v>0</x:v>
      </x:c>
      <x:c r="T898" s="28" t="n">
        <x:f>H898-I898</x:f>
        <x:v>6</x:v>
      </x:c>
      <x:c r="U898" s="24" t="n">
        <x:f>IFERROR(J898/H898,0)-IFERROR(K898/I898,0)</x:f>
        <x:v>0.16483516483516486</x:v>
      </x:c>
      <x:c r="V898" s="24" t="n">
        <x:f>IFERROR(F898/J898,0)-IFERROR(G898/K898,0)</x:f>
        <x:v>0</x:v>
      </x:c>
      <x:c r="W898" s="28" t="n">
        <x:f>L898-M898</x:f>
        <x:v>1</x:v>
      </x:c>
      <x:c r="X898" s="24" t="n">
        <x:f>IFERROR(K898/I898,0)</x:f>
        <x:v>0.14285714285714285</x:v>
      </x:c>
      <x:c r="Y898" s="24" t="n">
        <x:f>IFERROR(G898/I898,0)</x:f>
        <x:v>0</x:v>
      </x:c>
      <x:c r="Z898" s="24" t="n">
        <x:f>IFERROR(G898/K898,0)</x:f>
        <x:v>0</x:v>
      </x:c>
      <x:c r="AA898" s="24" t="n">
        <x:f>IFERROR(F898/H898,0)-IFERROR(G898/I898,0)</x:f>
        <x:v>0</x:v>
      </x:c>
      <x:c r="AB898" s="28" t="n">
        <x:f>J898-K898</x:f>
        <x:v>3</x:v>
      </x:c>
      <x:c r="AC898" s="32" t="n">
        <x:f>F898-G898</x:f>
        <x:v>0</x:v>
      </x:c>
    </x:row>
    <x:row r="899">
      <x:c r="A899" s="4" t="str">
        <x:v>2022-23</x:v>
      </x:c>
      <x:c r="B899" s="20" t="n">
        <x:v>44835</x:v>
      </x:c>
      <x:c r="C899" s="4" t="str">
        <x:v>Brighton</x:v>
      </x:c>
      <x:c r="D899" s="4" t="str">
        <x:v>Liverpool</x:v>
      </x:c>
      <x:c r="E899" s="4" t="str">
        <x:v>Away</x:v>
      </x:c>
      <x:c r="F899" s="28" t="n">
        <x:v>3</x:v>
      </x:c>
      <x:c r="G899" s="28" t="n">
        <x:v>3</x:v>
      </x:c>
      <x:c r="H899" s="28" t="n">
        <x:v>6</x:v>
      </x:c>
      <x:c r="I899" s="28" t="n">
        <x:v>15</x:v>
      </x:c>
      <x:c r="J899" s="28" t="n">
        <x:v>6</x:v>
      </x:c>
      <x:c r="K899" s="28" t="n">
        <x:v>7</x:v>
      </x:c>
      <x:c r="L899" s="28" t="n">
        <x:v>2</x:v>
      </x:c>
      <x:c r="M899" s="28" t="n">
        <x:v>9</x:v>
      </x:c>
      <x:c r="N899" s="28" t="n">
        <x:v>1</x:v>
      </x:c>
      <x:c r="O899" s="28" t="n">
        <x:v>0</x:v>
      </x:c>
      <x:c r="P899" s="28" t="n">
        <x:v>1</x:v>
      </x:c>
      <x:c r="Q899" s="24" t="n">
        <x:f>IFERROR(J899/H899,0)</x:f>
        <x:v>1</x:v>
      </x:c>
      <x:c r="R899" s="24" t="n">
        <x:f>IFERROR(F899/H899,0)</x:f>
        <x:v>0.5</x:v>
      </x:c>
      <x:c r="S899" s="24" t="n">
        <x:f>IFERROR(F899/J899,0)</x:f>
        <x:v>0.5</x:v>
      </x:c>
      <x:c r="T899" s="28" t="n">
        <x:f>H899-I899</x:f>
        <x:v>-9</x:v>
      </x:c>
      <x:c r="U899" s="24" t="n">
        <x:f>IFERROR(J899/H899,0)-IFERROR(K899/I899,0)</x:f>
        <x:v>0.5333333333333333</x:v>
      </x:c>
      <x:c r="V899" s="24" t="n">
        <x:f>IFERROR(F899/J899,0)-IFERROR(G899/K899,0)</x:f>
        <x:v>0.07142857142857145</x:v>
      </x:c>
      <x:c r="W899" s="28" t="n">
        <x:f>L899-M899</x:f>
        <x:v>-7</x:v>
      </x:c>
      <x:c r="X899" s="24" t="n">
        <x:f>IFERROR(K899/I899,0)</x:f>
        <x:v>0.4666666666666667</x:v>
      </x:c>
      <x:c r="Y899" s="24" t="n">
        <x:f>IFERROR(G899/I899,0)</x:f>
        <x:v>0.2</x:v>
      </x:c>
      <x:c r="Z899" s="24" t="n">
        <x:f>IFERROR(G899/K899,0)</x:f>
        <x:v>0.42857142857142855</x:v>
      </x:c>
      <x:c r="AA899" s="24" t="n">
        <x:f>IFERROR(F899/H899,0)-IFERROR(G899/I899,0)</x:f>
        <x:v>0.3</x:v>
      </x:c>
      <x:c r="AB899" s="28" t="n">
        <x:f>J899-K899</x:f>
        <x:v>-1</x:v>
      </x:c>
      <x:c r="AC899" s="32" t="n">
        <x:f>F899-G899</x:f>
        <x:v>0</x:v>
      </x:c>
    </x:row>
    <x:row r="900">
      <x:c r="A900" s="4" t="str">
        <x:v>2022-23</x:v>
      </x:c>
      <x:c r="B900" s="20" t="n">
        <x:v>44835</x:v>
      </x:c>
      <x:c r="C900" s="4" t="str">
        <x:v>Chelsea</x:v>
      </x:c>
      <x:c r="D900" s="4" t="str">
        <x:v>Crystal Palace</x:v>
      </x:c>
      <x:c r="E900" s="4" t="str">
        <x:v>Away</x:v>
      </x:c>
      <x:c r="F900" s="28" t="n">
        <x:v>2</x:v>
      </x:c>
      <x:c r="G900" s="28" t="n">
        <x:v>1</x:v>
      </x:c>
      <x:c r="H900" s="28" t="n">
        <x:v>13</x:v>
      </x:c>
      <x:c r="I900" s="28" t="n">
        <x:v>7</x:v>
      </x:c>
      <x:c r="J900" s="28" t="n">
        <x:v>3</x:v>
      </x:c>
      <x:c r="K900" s="28" t="n">
        <x:v>3</x:v>
      </x:c>
      <x:c r="L900" s="28" t="n">
        <x:v>2</x:v>
      </x:c>
      <x:c r="M900" s="28" t="n">
        <x:v>5</x:v>
      </x:c>
      <x:c r="N900" s="28" t="n">
        <x:v>3</x:v>
      </x:c>
      <x:c r="O900" s="28" t="n">
        <x:v>0</x:v>
      </x:c>
      <x:c r="P900" s="28" t="n">
        <x:v>3</x:v>
      </x:c>
      <x:c r="Q900" s="24" t="n">
        <x:f>IFERROR(J900/H900,0)</x:f>
        <x:v>0.23076923076923078</x:v>
      </x:c>
      <x:c r="R900" s="24" t="n">
        <x:f>IFERROR(F900/H900,0)</x:f>
        <x:v>0.15384615384615385</x:v>
      </x:c>
      <x:c r="S900" s="24" t="n">
        <x:f>IFERROR(F900/J900,0)</x:f>
        <x:v>0.6666666666666666</x:v>
      </x:c>
      <x:c r="T900" s="28" t="n">
        <x:f>H900-I900</x:f>
        <x:v>6</x:v>
      </x:c>
      <x:c r="U900" s="24" t="n">
        <x:f>IFERROR(J900/H900,0)-IFERROR(K900/I900,0)</x:f>
        <x:v>-0.19780219780219777</x:v>
      </x:c>
      <x:c r="V900" s="24" t="n">
        <x:f>IFERROR(F900/J900,0)-IFERROR(G900/K900,0)</x:f>
        <x:v>0.3333333333333333</x:v>
      </x:c>
      <x:c r="W900" s="28" t="n">
        <x:f>L900-M900</x:f>
        <x:v>-3</x:v>
      </x:c>
      <x:c r="X900" s="24" t="n">
        <x:f>IFERROR(K900/I900,0)</x:f>
        <x:v>0.42857142857142855</x:v>
      </x:c>
      <x:c r="Y900" s="24" t="n">
        <x:f>IFERROR(G900/I900,0)</x:f>
        <x:v>0.14285714285714285</x:v>
      </x:c>
      <x:c r="Z900" s="24" t="n">
        <x:f>IFERROR(G900/K900,0)</x:f>
        <x:v>0.3333333333333333</x:v>
      </x:c>
      <x:c r="AA900" s="24" t="n">
        <x:f>IFERROR(F900/H900,0)-IFERROR(G900/I900,0)</x:f>
        <x:v>0.010989010989011005</x:v>
      </x:c>
      <x:c r="AB900" s="28" t="n">
        <x:f>J900-K900</x:f>
        <x:v>0</x:v>
      </x:c>
      <x:c r="AC900" s="32" t="n">
        <x:f>F900-G900</x:f>
        <x:v>1</x:v>
      </x:c>
    </x:row>
    <x:row r="901">
      <x:c r="A901" s="4" t="str">
        <x:v>2022-23</x:v>
      </x:c>
      <x:c r="B901" s="20" t="n">
        <x:v>44835</x:v>
      </x:c>
      <x:c r="C901" s="4" t="str">
        <x:v>Crystal Palace</x:v>
      </x:c>
      <x:c r="D901" s="4" t="str">
        <x:v>Chelsea</x:v>
      </x:c>
      <x:c r="E901" s="4" t="str">
        <x:v>Home</x:v>
      </x:c>
      <x:c r="F901" s="28" t="n">
        <x:v>1</x:v>
      </x:c>
      <x:c r="G901" s="28" t="n">
        <x:v>2</x:v>
      </x:c>
      <x:c r="H901" s="28" t="n">
        <x:v>7</x:v>
      </x:c>
      <x:c r="I901" s="28" t="n">
        <x:v>13</x:v>
      </x:c>
      <x:c r="J901" s="28" t="n">
        <x:v>3</x:v>
      </x:c>
      <x:c r="K901" s="28" t="n">
        <x:v>3</x:v>
      </x:c>
      <x:c r="L901" s="28" t="n">
        <x:v>5</x:v>
      </x:c>
      <x:c r="M901" s="28" t="n">
        <x:v>2</x:v>
      </x:c>
      <x:c r="N901" s="28" t="n">
        <x:v>1</x:v>
      </x:c>
      <x:c r="O901" s="28" t="n">
        <x:v>0</x:v>
      </x:c>
      <x:c r="P901" s="28" t="n">
        <x:v>0</x:v>
      </x:c>
      <x:c r="Q901" s="24" t="n">
        <x:f>IFERROR(J901/H901,0)</x:f>
        <x:v>0.42857142857142855</x:v>
      </x:c>
      <x:c r="R901" s="24" t="n">
        <x:f>IFERROR(F901/H901,0)</x:f>
        <x:v>0.14285714285714285</x:v>
      </x:c>
      <x:c r="S901" s="24" t="n">
        <x:f>IFERROR(F901/J901,0)</x:f>
        <x:v>0.3333333333333333</x:v>
      </x:c>
      <x:c r="T901" s="28" t="n">
        <x:f>H901-I901</x:f>
        <x:v>-6</x:v>
      </x:c>
      <x:c r="U901" s="24" t="n">
        <x:f>IFERROR(J901/H901,0)-IFERROR(K901/I901,0)</x:f>
        <x:v>0.19780219780219777</x:v>
      </x:c>
      <x:c r="V901" s="24" t="n">
        <x:f>IFERROR(F901/J901,0)-IFERROR(G901/K901,0)</x:f>
        <x:v>-0.3333333333333333</x:v>
      </x:c>
      <x:c r="W901" s="28" t="n">
        <x:f>L901-M901</x:f>
        <x:v>3</x:v>
      </x:c>
      <x:c r="X901" s="24" t="n">
        <x:f>IFERROR(K901/I901,0)</x:f>
        <x:v>0.23076923076923078</x:v>
      </x:c>
      <x:c r="Y901" s="24" t="n">
        <x:f>IFERROR(G901/I901,0)</x:f>
        <x:v>0.15384615384615385</x:v>
      </x:c>
      <x:c r="Z901" s="24" t="n">
        <x:f>IFERROR(G901/K901,0)</x:f>
        <x:v>0.6666666666666666</x:v>
      </x:c>
      <x:c r="AA901" s="24" t="n">
        <x:f>IFERROR(F901/H901,0)-IFERROR(G901/I901,0)</x:f>
        <x:v>-0.010989010989011005</x:v>
      </x:c>
      <x:c r="AB901" s="28" t="n">
        <x:f>J901-K901</x:f>
        <x:v>0</x:v>
      </x:c>
      <x:c r="AC901" s="32" t="n">
        <x:f>F901-G901</x:f>
        <x:v>-1</x:v>
      </x:c>
    </x:row>
    <x:row r="902">
      <x:c r="A902" s="4" t="str">
        <x:v>2022-23</x:v>
      </x:c>
      <x:c r="B902" s="20" t="n">
        <x:v>44835</x:v>
      </x:c>
      <x:c r="C902" s="4" t="str">
        <x:v>Everton</x:v>
      </x:c>
      <x:c r="D902" s="4" t="str">
        <x:v>Southampton</x:v>
      </x:c>
      <x:c r="E902" s="4" t="str">
        <x:v>Away</x:v>
      </x:c>
      <x:c r="F902" s="28" t="n">
        <x:v>2</x:v>
      </x:c>
      <x:c r="G902" s="28" t="n">
        <x:v>1</x:v>
      </x:c>
      <x:c r="H902" s="28" t="n">
        <x:v>12</x:v>
      </x:c>
      <x:c r="I902" s="28" t="n">
        <x:v>22</x:v>
      </x:c>
      <x:c r="J902" s="28" t="n">
        <x:v>5</x:v>
      </x:c>
      <x:c r="K902" s="28" t="n">
        <x:v>6</x:v>
      </x:c>
      <x:c r="L902" s="28" t="n">
        <x:v>6</x:v>
      </x:c>
      <x:c r="M902" s="28" t="n">
        <x:v>7</x:v>
      </x:c>
      <x:c r="N902" s="28" t="n">
        <x:v>2</x:v>
      </x:c>
      <x:c r="O902" s="28" t="n">
        <x:v>0</x:v>
      </x:c>
      <x:c r="P902" s="28" t="n">
        <x:v>3</x:v>
      </x:c>
      <x:c r="Q902" s="24" t="n">
        <x:f>IFERROR(J902/H902,0)</x:f>
        <x:v>0.4166666666666667</x:v>
      </x:c>
      <x:c r="R902" s="24" t="n">
        <x:f>IFERROR(F902/H902,0)</x:f>
        <x:v>0.16666666666666666</x:v>
      </x:c>
      <x:c r="S902" s="24" t="n">
        <x:f>IFERROR(F902/J902,0)</x:f>
        <x:v>0.4</x:v>
      </x:c>
      <x:c r="T902" s="28" t="n">
        <x:f>H902-I902</x:f>
        <x:v>-10</x:v>
      </x:c>
      <x:c r="U902" s="24" t="n">
        <x:f>IFERROR(J902/H902,0)-IFERROR(K902/I902,0)</x:f>
        <x:v>0.14393939393939398</x:v>
      </x:c>
      <x:c r="V902" s="24" t="n">
        <x:f>IFERROR(F902/J902,0)-IFERROR(G902/K902,0)</x:f>
        <x:v>0.23333333333333336</x:v>
      </x:c>
      <x:c r="W902" s="28" t="n">
        <x:f>L902-M902</x:f>
        <x:v>-1</x:v>
      </x:c>
      <x:c r="X902" s="24" t="n">
        <x:f>IFERROR(K902/I902,0)</x:f>
        <x:v>0.2727272727272727</x:v>
      </x:c>
      <x:c r="Y902" s="24" t="n">
        <x:f>IFERROR(G902/I902,0)</x:f>
        <x:v>0.045454545454545456</x:v>
      </x:c>
      <x:c r="Z902" s="24" t="n">
        <x:f>IFERROR(G902/K902,0)</x:f>
        <x:v>0.16666666666666666</x:v>
      </x:c>
      <x:c r="AA902" s="24" t="n">
        <x:f>IFERROR(F902/H902,0)-IFERROR(G902/I902,0)</x:f>
        <x:v>0.1212121212121212</x:v>
      </x:c>
      <x:c r="AB902" s="28" t="n">
        <x:f>J902-K902</x:f>
        <x:v>-1</x:v>
      </x:c>
      <x:c r="AC902" s="32" t="n">
        <x:f>F902-G902</x:f>
        <x:v>1</x:v>
      </x:c>
    </x:row>
    <x:row r="903">
      <x:c r="A903" s="4" t="str">
        <x:v>2022-23</x:v>
      </x:c>
      <x:c r="B903" s="20" t="n">
        <x:v>44835</x:v>
      </x:c>
      <x:c r="C903" s="4" t="str">
        <x:v>Fulham</x:v>
      </x:c>
      <x:c r="D903" s="4" t="str">
        <x:v>Newcastle</x:v>
      </x:c>
      <x:c r="E903" s="4" t="str">
        <x:v>Home</x:v>
      </x:c>
      <x:c r="F903" s="28" t="n">
        <x:v>1</x:v>
      </x:c>
      <x:c r="G903" s="28" t="n">
        <x:v>4</x:v>
      </x:c>
      <x:c r="H903" s="28" t="n">
        <x:v>3</x:v>
      </x:c>
      <x:c r="I903" s="28" t="n">
        <x:v>19</x:v>
      </x:c>
      <x:c r="J903" s="28" t="n">
        <x:v>1</x:v>
      </x:c>
      <x:c r="K903" s="28" t="n">
        <x:v>10</x:v>
      </x:c>
      <x:c r="L903" s="28" t="n">
        <x:v>1</x:v>
      </x:c>
      <x:c r="M903" s="28" t="n">
        <x:v>8</x:v>
      </x:c>
      <x:c r="N903" s="28" t="n">
        <x:v>2</x:v>
      </x:c>
      <x:c r="O903" s="28" t="n">
        <x:v>1</x:v>
      </x:c>
      <x:c r="P903" s="28" t="n">
        <x:v>0</x:v>
      </x:c>
      <x:c r="Q903" s="24" t="n">
        <x:f>IFERROR(J903/H903,0)</x:f>
        <x:v>0.3333333333333333</x:v>
      </x:c>
      <x:c r="R903" s="24" t="n">
        <x:f>IFERROR(F903/H903,0)</x:f>
        <x:v>0.3333333333333333</x:v>
      </x:c>
      <x:c r="S903" s="24" t="n">
        <x:f>IFERROR(F903/J903,0)</x:f>
        <x:v>1</x:v>
      </x:c>
      <x:c r="T903" s="28" t="n">
        <x:f>H903-I903</x:f>
        <x:v>-16</x:v>
      </x:c>
      <x:c r="U903" s="24" t="n">
        <x:f>IFERROR(J903/H903,0)-IFERROR(K903/I903,0)</x:f>
        <x:v>-0.19298245614035087</x:v>
      </x:c>
      <x:c r="V903" s="24" t="n">
        <x:f>IFERROR(F903/J903,0)-IFERROR(G903/K903,0)</x:f>
        <x:v>0.6</x:v>
      </x:c>
      <x:c r="W903" s="28" t="n">
        <x:f>L903-M903</x:f>
        <x:v>-7</x:v>
      </x:c>
      <x:c r="X903" s="24" t="n">
        <x:f>IFERROR(K903/I903,0)</x:f>
        <x:v>0.5263157894736842</x:v>
      </x:c>
      <x:c r="Y903" s="24" t="n">
        <x:f>IFERROR(G903/I903,0)</x:f>
        <x:v>0.21052631578947367</x:v>
      </x:c>
      <x:c r="Z903" s="24" t="n">
        <x:f>IFERROR(G903/K903,0)</x:f>
        <x:v>0.4</x:v>
      </x:c>
      <x:c r="AA903" s="24" t="n">
        <x:f>IFERROR(F903/H903,0)-IFERROR(G903/I903,0)</x:f>
        <x:v>0.12280701754385964</x:v>
      </x:c>
      <x:c r="AB903" s="28" t="n">
        <x:f>J903-K903</x:f>
        <x:v>-9</x:v>
      </x:c>
      <x:c r="AC903" s="32" t="n">
        <x:f>F903-G903</x:f>
        <x:v>-3</x:v>
      </x:c>
    </x:row>
    <x:row r="904">
      <x:c r="A904" s="4" t="str">
        <x:v>2022-23</x:v>
      </x:c>
      <x:c r="B904" s="20" t="n">
        <x:v>44835</x:v>
      </x:c>
      <x:c r="C904" s="4" t="str">
        <x:v>Liverpool</x:v>
      </x:c>
      <x:c r="D904" s="4" t="str">
        <x:v>Brighton</x:v>
      </x:c>
      <x:c r="E904" s="4" t="str">
        <x:v>Home</x:v>
      </x:c>
      <x:c r="F904" s="28" t="n">
        <x:v>3</x:v>
      </x:c>
      <x:c r="G904" s="28" t="n">
        <x:v>3</x:v>
      </x:c>
      <x:c r="H904" s="28" t="n">
        <x:v>15</x:v>
      </x:c>
      <x:c r="I904" s="28" t="n">
        <x:v>6</x:v>
      </x:c>
      <x:c r="J904" s="28" t="n">
        <x:v>7</x:v>
      </x:c>
      <x:c r="K904" s="28" t="n">
        <x:v>6</x:v>
      </x:c>
      <x:c r="L904" s="28" t="n">
        <x:v>9</x:v>
      </x:c>
      <x:c r="M904" s="28" t="n">
        <x:v>2</x:v>
      </x:c>
      <x:c r="N904" s="28" t="n">
        <x:v>1</x:v>
      </x:c>
      <x:c r="O904" s="28" t="n">
        <x:v>0</x:v>
      </x:c>
      <x:c r="P904" s="28" t="n">
        <x:v>1</x:v>
      </x:c>
      <x:c r="Q904" s="24" t="n">
        <x:f>IFERROR(J904/H904,0)</x:f>
        <x:v>0.4666666666666667</x:v>
      </x:c>
      <x:c r="R904" s="24" t="n">
        <x:f>IFERROR(F904/H904,0)</x:f>
        <x:v>0.2</x:v>
      </x:c>
      <x:c r="S904" s="24" t="n">
        <x:f>IFERROR(F904/J904,0)</x:f>
        <x:v>0.42857142857142855</x:v>
      </x:c>
      <x:c r="T904" s="28" t="n">
        <x:f>H904-I904</x:f>
        <x:v>9</x:v>
      </x:c>
      <x:c r="U904" s="24" t="n">
        <x:f>IFERROR(J904/H904,0)-IFERROR(K904/I904,0)</x:f>
        <x:v>-0.5333333333333333</x:v>
      </x:c>
      <x:c r="V904" s="24" t="n">
        <x:f>IFERROR(F904/J904,0)-IFERROR(G904/K904,0)</x:f>
        <x:v>-0.07142857142857145</x:v>
      </x:c>
      <x:c r="W904" s="28" t="n">
        <x:f>L904-M904</x:f>
        <x:v>7</x:v>
      </x:c>
      <x:c r="X904" s="24" t="n">
        <x:f>IFERROR(K904/I904,0)</x:f>
        <x:v>1</x:v>
      </x:c>
      <x:c r="Y904" s="24" t="n">
        <x:f>IFERROR(G904/I904,0)</x:f>
        <x:v>0.5</x:v>
      </x:c>
      <x:c r="Z904" s="24" t="n">
        <x:f>IFERROR(G904/K904,0)</x:f>
        <x:v>0.5</x:v>
      </x:c>
      <x:c r="AA904" s="24" t="n">
        <x:f>IFERROR(F904/H904,0)-IFERROR(G904/I904,0)</x:f>
        <x:v>-0.3</x:v>
      </x:c>
      <x:c r="AB904" s="28" t="n">
        <x:f>J904-K904</x:f>
        <x:v>1</x:v>
      </x:c>
      <x:c r="AC904" s="32" t="n">
        <x:f>F904-G904</x:f>
        <x:v>0</x:v>
      </x:c>
    </x:row>
    <x:row r="905">
      <x:c r="A905" s="4" t="str">
        <x:v>2022-23</x:v>
      </x:c>
      <x:c r="B905" s="20" t="n">
        <x:v>44835</x:v>
      </x:c>
      <x:c r="C905" s="4" t="str">
        <x:v>Newcastle</x:v>
      </x:c>
      <x:c r="D905" s="4" t="str">
        <x:v>Fulham</x:v>
      </x:c>
      <x:c r="E905" s="4" t="str">
        <x:v>Away</x:v>
      </x:c>
      <x:c r="F905" s="28" t="n">
        <x:v>4</x:v>
      </x:c>
      <x:c r="G905" s="28" t="n">
        <x:v>1</x:v>
      </x:c>
      <x:c r="H905" s="28" t="n">
        <x:v>19</x:v>
      </x:c>
      <x:c r="I905" s="28" t="n">
        <x:v>3</x:v>
      </x:c>
      <x:c r="J905" s="28" t="n">
        <x:v>10</x:v>
      </x:c>
      <x:c r="K905" s="28" t="n">
        <x:v>1</x:v>
      </x:c>
      <x:c r="L905" s="28" t="n">
        <x:v>8</x:v>
      </x:c>
      <x:c r="M905" s="28" t="n">
        <x:v>1</x:v>
      </x:c>
      <x:c r="N905" s="28" t="n">
        <x:v>0</x:v>
      </x:c>
      <x:c r="O905" s="28" t="n">
        <x:v>0</x:v>
      </x:c>
      <x:c r="P905" s="28" t="n">
        <x:v>3</x:v>
      </x:c>
      <x:c r="Q905" s="24" t="n">
        <x:f>IFERROR(J905/H905,0)</x:f>
        <x:v>0.5263157894736842</x:v>
      </x:c>
      <x:c r="R905" s="24" t="n">
        <x:f>IFERROR(F905/H905,0)</x:f>
        <x:v>0.21052631578947367</x:v>
      </x:c>
      <x:c r="S905" s="24" t="n">
        <x:f>IFERROR(F905/J905,0)</x:f>
        <x:v>0.4</x:v>
      </x:c>
      <x:c r="T905" s="28" t="n">
        <x:f>H905-I905</x:f>
        <x:v>16</x:v>
      </x:c>
      <x:c r="U905" s="24" t="n">
        <x:f>IFERROR(J905/H905,0)-IFERROR(K905/I905,0)</x:f>
        <x:v>0.19298245614035087</x:v>
      </x:c>
      <x:c r="V905" s="24" t="n">
        <x:f>IFERROR(F905/J905,0)-IFERROR(G905/K905,0)</x:f>
        <x:v>-0.6</x:v>
      </x:c>
      <x:c r="W905" s="28" t="n">
        <x:f>L905-M905</x:f>
        <x:v>7</x:v>
      </x:c>
      <x:c r="X905" s="24" t="n">
        <x:f>IFERROR(K905/I905,0)</x:f>
        <x:v>0.3333333333333333</x:v>
      </x:c>
      <x:c r="Y905" s="24" t="n">
        <x:f>IFERROR(G905/I905,0)</x:f>
        <x:v>0.3333333333333333</x:v>
      </x:c>
      <x:c r="Z905" s="24" t="n">
        <x:f>IFERROR(G905/K905,0)</x:f>
        <x:v>1</x:v>
      </x:c>
      <x:c r="AA905" s="24" t="n">
        <x:f>IFERROR(F905/H905,0)-IFERROR(G905/I905,0)</x:f>
        <x:v>-0.12280701754385964</x:v>
      </x:c>
      <x:c r="AB905" s="28" t="n">
        <x:f>J905-K905</x:f>
        <x:v>9</x:v>
      </x:c>
      <x:c r="AC905" s="32" t="n">
        <x:f>F905-G905</x:f>
        <x:v>3</x:v>
      </x:c>
    </x:row>
    <x:row r="906">
      <x:c r="A906" s="4" t="str">
        <x:v>2022-23</x:v>
      </x:c>
      <x:c r="B906" s="20" t="n">
        <x:v>44835</x:v>
      </x:c>
      <x:c r="C906" s="4" t="str">
        <x:v>Southampton</x:v>
      </x:c>
      <x:c r="D906" s="4" t="str">
        <x:v>Everton</x:v>
      </x:c>
      <x:c r="E906" s="4" t="str">
        <x:v>Home</x:v>
      </x:c>
      <x:c r="F906" s="28" t="n">
        <x:v>1</x:v>
      </x:c>
      <x:c r="G906" s="28" t="n">
        <x:v>2</x:v>
      </x:c>
      <x:c r="H906" s="28" t="n">
        <x:v>22</x:v>
      </x:c>
      <x:c r="I906" s="28" t="n">
        <x:v>12</x:v>
      </x:c>
      <x:c r="J906" s="28" t="n">
        <x:v>6</x:v>
      </x:c>
      <x:c r="K906" s="28" t="n">
        <x:v>5</x:v>
      </x:c>
      <x:c r="L906" s="28" t="n">
        <x:v>7</x:v>
      </x:c>
      <x:c r="M906" s="28" t="n">
        <x:v>6</x:v>
      </x:c>
      <x:c r="N906" s="28" t="n">
        <x:v>2</x:v>
      </x:c>
      <x:c r="O906" s="28" t="n">
        <x:v>0</x:v>
      </x:c>
      <x:c r="P906" s="28" t="n">
        <x:v>0</x:v>
      </x:c>
      <x:c r="Q906" s="24" t="n">
        <x:f>IFERROR(J906/H906,0)</x:f>
        <x:v>0.2727272727272727</x:v>
      </x:c>
      <x:c r="R906" s="24" t="n">
        <x:f>IFERROR(F906/H906,0)</x:f>
        <x:v>0.045454545454545456</x:v>
      </x:c>
      <x:c r="S906" s="24" t="n">
        <x:f>IFERROR(F906/J906,0)</x:f>
        <x:v>0.16666666666666666</x:v>
      </x:c>
      <x:c r="T906" s="28" t="n">
        <x:f>H906-I906</x:f>
        <x:v>10</x:v>
      </x:c>
      <x:c r="U906" s="24" t="n">
        <x:f>IFERROR(J906/H906,0)-IFERROR(K906/I906,0)</x:f>
        <x:v>-0.14393939393939398</x:v>
      </x:c>
      <x:c r="V906" s="24" t="n">
        <x:f>IFERROR(F906/J906,0)-IFERROR(G906/K906,0)</x:f>
        <x:v>-0.23333333333333336</x:v>
      </x:c>
      <x:c r="W906" s="28" t="n">
        <x:f>L906-M906</x:f>
        <x:v>1</x:v>
      </x:c>
      <x:c r="X906" s="24" t="n">
        <x:f>IFERROR(K906/I906,0)</x:f>
        <x:v>0.4166666666666667</x:v>
      </x:c>
      <x:c r="Y906" s="24" t="n">
        <x:f>IFERROR(G906/I906,0)</x:f>
        <x:v>0.16666666666666666</x:v>
      </x:c>
      <x:c r="Z906" s="24" t="n">
        <x:f>IFERROR(G906/K906,0)</x:f>
        <x:v>0.4</x:v>
      </x:c>
      <x:c r="AA906" s="24" t="n">
        <x:f>IFERROR(F906/H906,0)-IFERROR(G906/I906,0)</x:f>
        <x:v>-0.1212121212121212</x:v>
      </x:c>
      <x:c r="AB906" s="28" t="n">
        <x:f>J906-K906</x:f>
        <x:v>1</x:v>
      </x:c>
      <x:c r="AC906" s="32" t="n">
        <x:f>F906-G906</x:f>
        <x:v>-1</x:v>
      </x:c>
    </x:row>
    <x:row r="907">
      <x:c r="A907" s="4" t="str">
        <x:v>2022-23</x:v>
      </x:c>
      <x:c r="B907" s="20" t="n">
        <x:v>44835</x:v>
      </x:c>
      <x:c r="C907" s="4" t="str">
        <x:v>Tottenham</x:v>
      </x:c>
      <x:c r="D907" s="4" t="str">
        <x:v>Arsenal</x:v>
      </x:c>
      <x:c r="E907" s="4" t="str">
        <x:v>Away</x:v>
      </x:c>
      <x:c r="F907" s="28" t="n">
        <x:v>1</x:v>
      </x:c>
      <x:c r="G907" s="28" t="n">
        <x:v>3</x:v>
      </x:c>
      <x:c r="H907" s="28" t="n">
        <x:v>7</x:v>
      </x:c>
      <x:c r="I907" s="28" t="n">
        <x:v>22</x:v>
      </x:c>
      <x:c r="J907" s="28" t="n">
        <x:v>3</x:v>
      </x:c>
      <x:c r="K907" s="28" t="n">
        <x:v>9</x:v>
      </x:c>
      <x:c r="L907" s="28" t="n">
        <x:v>2</x:v>
      </x:c>
      <x:c r="M907" s="28" t="n">
        <x:v>5</x:v>
      </x:c>
      <x:c r="N907" s="28" t="n">
        <x:v>1</x:v>
      </x:c>
      <x:c r="O907" s="28" t="n">
        <x:v>1</x:v>
      </x:c>
      <x:c r="P907" s="28" t="n">
        <x:v>0</x:v>
      </x:c>
      <x:c r="Q907" s="24" t="n">
        <x:f>IFERROR(J907/H907,0)</x:f>
        <x:v>0.42857142857142855</x:v>
      </x:c>
      <x:c r="R907" s="24" t="n">
        <x:f>IFERROR(F907/H907,0)</x:f>
        <x:v>0.14285714285714285</x:v>
      </x:c>
      <x:c r="S907" s="24" t="n">
        <x:f>IFERROR(F907/J907,0)</x:f>
        <x:v>0.3333333333333333</x:v>
      </x:c>
      <x:c r="T907" s="28" t="n">
        <x:f>H907-I907</x:f>
        <x:v>-15</x:v>
      </x:c>
      <x:c r="U907" s="24" t="n">
        <x:f>IFERROR(J907/H907,0)-IFERROR(K907/I907,0)</x:f>
        <x:v>0.01948051948051943</x:v>
      </x:c>
      <x:c r="V907" s="24" t="n">
        <x:f>IFERROR(F907/J907,0)-IFERROR(G907/K907,0)</x:f>
        <x:v>0</x:v>
      </x:c>
      <x:c r="W907" s="28" t="n">
        <x:f>L907-M907</x:f>
        <x:v>-3</x:v>
      </x:c>
      <x:c r="X907" s="24" t="n">
        <x:f>IFERROR(K907/I907,0)</x:f>
        <x:v>0.4090909090909091</x:v>
      </x:c>
      <x:c r="Y907" s="24" t="n">
        <x:f>IFERROR(G907/I907,0)</x:f>
        <x:v>0.13636363636363635</x:v>
      </x:c>
      <x:c r="Z907" s="24" t="n">
        <x:f>IFERROR(G907/K907,0)</x:f>
        <x:v>0.3333333333333333</x:v>
      </x:c>
      <x:c r="AA907" s="24" t="n">
        <x:f>IFERROR(F907/H907,0)-IFERROR(G907/I907,0)</x:f>
        <x:v>0.006493506493506496</x:v>
      </x:c>
      <x:c r="AB907" s="28" t="n">
        <x:f>J907-K907</x:f>
        <x:v>-6</x:v>
      </x:c>
      <x:c r="AC907" s="32" t="n">
        <x:f>F907-G907</x:f>
        <x:v>-2</x:v>
      </x:c>
    </x:row>
    <x:row r="908">
      <x:c r="A908" s="4" t="str">
        <x:v>2022-23</x:v>
      </x:c>
      <x:c r="B908" s="20" t="n">
        <x:v>44835</x:v>
      </x:c>
      <x:c r="C908" s="4" t="str">
        <x:v>West Ham</x:v>
      </x:c>
      <x:c r="D908" s="4" t="str">
        <x:v>Wolves</x:v>
      </x:c>
      <x:c r="E908" s="4" t="str">
        <x:v>Home</x:v>
      </x:c>
      <x:c r="F908" s="28" t="n">
        <x:v>2</x:v>
      </x:c>
      <x:c r="G908" s="28" t="n">
        <x:v>0</x:v>
      </x:c>
      <x:c r="H908" s="28" t="n">
        <x:v>18</x:v>
      </x:c>
      <x:c r="I908" s="28" t="n">
        <x:v>15</x:v>
      </x:c>
      <x:c r="J908" s="28" t="n">
        <x:v>5</x:v>
      </x:c>
      <x:c r="K908" s="28" t="n">
        <x:v>4</x:v>
      </x:c>
      <x:c r="L908" s="28" t="n">
        <x:v>1</x:v>
      </x:c>
      <x:c r="M908" s="28" t="n">
        <x:v>6</x:v>
      </x:c>
      <x:c r="N908" s="28" t="n">
        <x:v>2</x:v>
      </x:c>
      <x:c r="O908" s="28" t="n">
        <x:v>0</x:v>
      </x:c>
      <x:c r="P908" s="28" t="n">
        <x:v>3</x:v>
      </x:c>
      <x:c r="Q908" s="24" t="n">
        <x:f>IFERROR(J908/H908,0)</x:f>
        <x:v>0.2777777777777778</x:v>
      </x:c>
      <x:c r="R908" s="24" t="n">
        <x:f>IFERROR(F908/H908,0)</x:f>
        <x:v>0.1111111111111111</x:v>
      </x:c>
      <x:c r="S908" s="24" t="n">
        <x:f>IFERROR(F908/J908,0)</x:f>
        <x:v>0.4</x:v>
      </x:c>
      <x:c r="T908" s="28" t="n">
        <x:f>H908-I908</x:f>
        <x:v>3</x:v>
      </x:c>
      <x:c r="U908" s="24" t="n">
        <x:f>IFERROR(J908/H908,0)-IFERROR(K908/I908,0)</x:f>
        <x:v>0.011111111111111127</x:v>
      </x:c>
      <x:c r="V908" s="24" t="n">
        <x:f>IFERROR(F908/J908,0)-IFERROR(G908/K908,0)</x:f>
        <x:v>0.4</x:v>
      </x:c>
      <x:c r="W908" s="28" t="n">
        <x:f>L908-M908</x:f>
        <x:v>-5</x:v>
      </x:c>
      <x:c r="X908" s="24" t="n">
        <x:f>IFERROR(K908/I908,0)</x:f>
        <x:v>0.26666666666666666</x:v>
      </x:c>
      <x:c r="Y908" s="24" t="n">
        <x:f>IFERROR(G908/I908,0)</x:f>
        <x:v>0</x:v>
      </x:c>
      <x:c r="Z908" s="24" t="n">
        <x:f>IFERROR(G908/K908,0)</x:f>
        <x:v>0</x:v>
      </x:c>
      <x:c r="AA908" s="24" t="n">
        <x:f>IFERROR(F908/H908,0)-IFERROR(G908/I908,0)</x:f>
        <x:v>0.1111111111111111</x:v>
      </x:c>
      <x:c r="AB908" s="28" t="n">
        <x:f>J908-K908</x:f>
        <x:v>1</x:v>
      </x:c>
      <x:c r="AC908" s="32" t="n">
        <x:f>F908-G908</x:f>
        <x:v>2</x:v>
      </x:c>
    </x:row>
    <x:row r="909">
      <x:c r="A909" s="4" t="str">
        <x:v>2022-23</x:v>
      </x:c>
      <x:c r="B909" s="20" t="n">
        <x:v>44835</x:v>
      </x:c>
      <x:c r="C909" s="4" t="str">
        <x:v>Wolves</x:v>
      </x:c>
      <x:c r="D909" s="4" t="str">
        <x:v>West Ham</x:v>
      </x:c>
      <x:c r="E909" s="4" t="str">
        <x:v>Away</x:v>
      </x:c>
      <x:c r="F909" s="28" t="n">
        <x:v>0</x:v>
      </x:c>
      <x:c r="G909" s="28" t="n">
        <x:v>2</x:v>
      </x:c>
      <x:c r="H909" s="28" t="n">
        <x:v>15</x:v>
      </x:c>
      <x:c r="I909" s="28" t="n">
        <x:v>18</x:v>
      </x:c>
      <x:c r="J909" s="28" t="n">
        <x:v>4</x:v>
      </x:c>
      <x:c r="K909" s="28" t="n">
        <x:v>5</x:v>
      </x:c>
      <x:c r="L909" s="28" t="n">
        <x:v>6</x:v>
      </x:c>
      <x:c r="M909" s="28" t="n">
        <x:v>1</x:v>
      </x:c>
      <x:c r="N909" s="28" t="n">
        <x:v>2</x:v>
      </x:c>
      <x:c r="O909" s="28" t="n">
        <x:v>0</x:v>
      </x:c>
      <x:c r="P909" s="28" t="n">
        <x:v>0</x:v>
      </x:c>
      <x:c r="Q909" s="24" t="n">
        <x:f>IFERROR(J909/H909,0)</x:f>
        <x:v>0.26666666666666666</x:v>
      </x:c>
      <x:c r="R909" s="24" t="n">
        <x:f>IFERROR(F909/H909,0)</x:f>
        <x:v>0</x:v>
      </x:c>
      <x:c r="S909" s="24" t="n">
        <x:f>IFERROR(F909/J909,0)</x:f>
        <x:v>0</x:v>
      </x:c>
      <x:c r="T909" s="28" t="n">
        <x:f>H909-I909</x:f>
        <x:v>-3</x:v>
      </x:c>
      <x:c r="U909" s="24" t="n">
        <x:f>IFERROR(J909/H909,0)-IFERROR(K909/I909,0)</x:f>
        <x:v>-0.011111111111111127</x:v>
      </x:c>
      <x:c r="V909" s="24" t="n">
        <x:f>IFERROR(F909/J909,0)-IFERROR(G909/K909,0)</x:f>
        <x:v>-0.4</x:v>
      </x:c>
      <x:c r="W909" s="28" t="n">
        <x:f>L909-M909</x:f>
        <x:v>5</x:v>
      </x:c>
      <x:c r="X909" s="24" t="n">
        <x:f>IFERROR(K909/I909,0)</x:f>
        <x:v>0.2777777777777778</x:v>
      </x:c>
      <x:c r="Y909" s="24" t="n">
        <x:f>IFERROR(G909/I909,0)</x:f>
        <x:v>0.1111111111111111</x:v>
      </x:c>
      <x:c r="Z909" s="24" t="n">
        <x:f>IFERROR(G909/K909,0)</x:f>
        <x:v>0.4</x:v>
      </x:c>
      <x:c r="AA909" s="24" t="n">
        <x:f>IFERROR(F909/H909,0)-IFERROR(G909/I909,0)</x:f>
        <x:v>-0.1111111111111111</x:v>
      </x:c>
      <x:c r="AB909" s="28" t="n">
        <x:f>J909-K909</x:f>
        <x:v>-1</x:v>
      </x:c>
      <x:c r="AC909" s="32" t="n">
        <x:f>F909-G909</x:f>
        <x:v>-2</x:v>
      </x:c>
    </x:row>
    <x:row r="910">
      <x:c r="A910" s="4" t="str">
        <x:v>2022-23</x:v>
      </x:c>
      <x:c r="B910" s="20" t="n">
        <x:v>44836</x:v>
      </x:c>
      <x:c r="C910" s="4" t="str">
        <x:v>Aston Villa</x:v>
      </x:c>
      <x:c r="D910" s="4" t="str">
        <x:v>Leeds</x:v>
      </x:c>
      <x:c r="E910" s="4" t="str">
        <x:v>Away</x:v>
      </x:c>
      <x:c r="F910" s="28" t="n">
        <x:v>0</x:v>
      </x:c>
      <x:c r="G910" s="28" t="n">
        <x:v>0</x:v>
      </x:c>
      <x:c r="H910" s="28" t="n">
        <x:v>19</x:v>
      </x:c>
      <x:c r="I910" s="28" t="n">
        <x:v>9</x:v>
      </x:c>
      <x:c r="J910" s="28" t="n">
        <x:v>7</x:v>
      </x:c>
      <x:c r="K910" s="28" t="n">
        <x:v>1</x:v>
      </x:c>
      <x:c r="L910" s="28" t="n">
        <x:v>9</x:v>
      </x:c>
      <x:c r="M910" s="28" t="n">
        <x:v>2</x:v>
      </x:c>
      <x:c r="N910" s="28" t="n">
        <x:v>2</x:v>
      </x:c>
      <x:c r="O910" s="28" t="n">
        <x:v>0</x:v>
      </x:c>
      <x:c r="P910" s="28" t="n">
        <x:v>1</x:v>
      </x:c>
      <x:c r="Q910" s="24" t="n">
        <x:f>IFERROR(J910/H910,0)</x:f>
        <x:v>0.3684210526315789</x:v>
      </x:c>
      <x:c r="R910" s="24" t="n">
        <x:f>IFERROR(F910/H910,0)</x:f>
        <x:v>0</x:v>
      </x:c>
      <x:c r="S910" s="24" t="n">
        <x:f>IFERROR(F910/J910,0)</x:f>
        <x:v>0</x:v>
      </x:c>
      <x:c r="T910" s="28" t="n">
        <x:f>H910-I910</x:f>
        <x:v>10</x:v>
      </x:c>
      <x:c r="U910" s="24" t="n">
        <x:f>IFERROR(J910/H910,0)-IFERROR(K910/I910,0)</x:f>
        <x:v>0.2573099415204678</x:v>
      </x:c>
      <x:c r="V910" s="24" t="n">
        <x:f>IFERROR(F910/J910,0)-IFERROR(G910/K910,0)</x:f>
        <x:v>0</x:v>
      </x:c>
      <x:c r="W910" s="28" t="n">
        <x:f>L910-M910</x:f>
        <x:v>7</x:v>
      </x:c>
      <x:c r="X910" s="24" t="n">
        <x:f>IFERROR(K910/I910,0)</x:f>
        <x:v>0.1111111111111111</x:v>
      </x:c>
      <x:c r="Y910" s="24" t="n">
        <x:f>IFERROR(G910/I910,0)</x:f>
        <x:v>0</x:v>
      </x:c>
      <x:c r="Z910" s="24" t="n">
        <x:f>IFERROR(G910/K910,0)</x:f>
        <x:v>0</x:v>
      </x:c>
      <x:c r="AA910" s="24" t="n">
        <x:f>IFERROR(F910/H910,0)-IFERROR(G910/I910,0)</x:f>
        <x:v>0</x:v>
      </x:c>
      <x:c r="AB910" s="28" t="n">
        <x:f>J910-K910</x:f>
        <x:v>6</x:v>
      </x:c>
      <x:c r="AC910" s="32" t="n">
        <x:f>F910-G910</x:f>
        <x:v>0</x:v>
      </x:c>
    </x:row>
    <x:row r="911">
      <x:c r="A911" s="4" t="str">
        <x:v>2022-23</x:v>
      </x:c>
      <x:c r="B911" s="20" t="n">
        <x:v>44836</x:v>
      </x:c>
      <x:c r="C911" s="4" t="str">
        <x:v>Leeds</x:v>
      </x:c>
      <x:c r="D911" s="4" t="str">
        <x:v>Aston Villa</x:v>
      </x:c>
      <x:c r="E911" s="4" t="str">
        <x:v>Home</x:v>
      </x:c>
      <x:c r="F911" s="28" t="n">
        <x:v>0</x:v>
      </x:c>
      <x:c r="G911" s="28" t="n">
        <x:v>0</x:v>
      </x:c>
      <x:c r="H911" s="28" t="n">
        <x:v>9</x:v>
      </x:c>
      <x:c r="I911" s="28" t="n">
        <x:v>19</x:v>
      </x:c>
      <x:c r="J911" s="28" t="n">
        <x:v>1</x:v>
      </x:c>
      <x:c r="K911" s="28" t="n">
        <x:v>7</x:v>
      </x:c>
      <x:c r="L911" s="28" t="n">
        <x:v>2</x:v>
      </x:c>
      <x:c r="M911" s="28" t="n">
        <x:v>9</x:v>
      </x:c>
      <x:c r="N911" s="28" t="n">
        <x:v>3</x:v>
      </x:c>
      <x:c r="O911" s="28" t="n">
        <x:v>1</x:v>
      </x:c>
      <x:c r="P911" s="28" t="n">
        <x:v>1</x:v>
      </x:c>
      <x:c r="Q911" s="24" t="n">
        <x:f>IFERROR(J911/H911,0)</x:f>
        <x:v>0.1111111111111111</x:v>
      </x:c>
      <x:c r="R911" s="24" t="n">
        <x:f>IFERROR(F911/H911,0)</x:f>
        <x:v>0</x:v>
      </x:c>
      <x:c r="S911" s="24" t="n">
        <x:f>IFERROR(F911/J911,0)</x:f>
        <x:v>0</x:v>
      </x:c>
      <x:c r="T911" s="28" t="n">
        <x:f>H911-I911</x:f>
        <x:v>-10</x:v>
      </x:c>
      <x:c r="U911" s="24" t="n">
        <x:f>IFERROR(J911/H911,0)-IFERROR(K911/I911,0)</x:f>
        <x:v>-0.2573099415204678</x:v>
      </x:c>
      <x:c r="V911" s="24" t="n">
        <x:f>IFERROR(F911/J911,0)-IFERROR(G911/K911,0)</x:f>
        <x:v>0</x:v>
      </x:c>
      <x:c r="W911" s="28" t="n">
        <x:f>L911-M911</x:f>
        <x:v>-7</x:v>
      </x:c>
      <x:c r="X911" s="24" t="n">
        <x:f>IFERROR(K911/I911,0)</x:f>
        <x:v>0.3684210526315789</x:v>
      </x:c>
      <x:c r="Y911" s="24" t="n">
        <x:f>IFERROR(G911/I911,0)</x:f>
        <x:v>0</x:v>
      </x:c>
      <x:c r="Z911" s="24" t="n">
        <x:f>IFERROR(G911/K911,0)</x:f>
        <x:v>0</x:v>
      </x:c>
      <x:c r="AA911" s="24" t="n">
        <x:f>IFERROR(F911/H911,0)-IFERROR(G911/I911,0)</x:f>
        <x:v>0</x:v>
      </x:c>
      <x:c r="AB911" s="28" t="n">
        <x:f>J911-K911</x:f>
        <x:v>-6</x:v>
      </x:c>
      <x:c r="AC911" s="32" t="n">
        <x:f>F911-G911</x:f>
        <x:v>0</x:v>
      </x:c>
    </x:row>
    <x:row r="912">
      <x:c r="A912" s="4" t="str">
        <x:v>2022-23</x:v>
      </x:c>
      <x:c r="B912" s="20" t="n">
        <x:v>44836</x:v>
      </x:c>
      <x:c r="C912" s="4" t="str">
        <x:v>Man City</x:v>
      </x:c>
      <x:c r="D912" s="4" t="str">
        <x:v>Man United</x:v>
      </x:c>
      <x:c r="E912" s="4" t="str">
        <x:v>Home</x:v>
      </x:c>
      <x:c r="F912" s="28" t="n">
        <x:v>6</x:v>
      </x:c>
      <x:c r="G912" s="28" t="n">
        <x:v>3</x:v>
      </x:c>
      <x:c r="H912" s="28" t="n">
        <x:v>22</x:v>
      </x:c>
      <x:c r="I912" s="28" t="n">
        <x:v>12</x:v>
      </x:c>
      <x:c r="J912" s="28" t="n">
        <x:v>10</x:v>
      </x:c>
      <x:c r="K912" s="28" t="n">
        <x:v>8</x:v>
      </x:c>
      <x:c r="L912" s="28" t="n">
        <x:v>5</x:v>
      </x:c>
      <x:c r="M912" s="28" t="n">
        <x:v>1</x:v>
      </x:c>
      <x:c r="N912" s="28" t="n">
        <x:v>0</x:v>
      </x:c>
      <x:c r="O912" s="28" t="n">
        <x:v>0</x:v>
      </x:c>
      <x:c r="P912" s="28" t="n">
        <x:v>3</x:v>
      </x:c>
      <x:c r="Q912" s="24" t="n">
        <x:f>IFERROR(J912/H912,0)</x:f>
        <x:v>0.45454545454545453</x:v>
      </x:c>
      <x:c r="R912" s="24" t="n">
        <x:f>IFERROR(F912/H912,0)</x:f>
        <x:v>0.2727272727272727</x:v>
      </x:c>
      <x:c r="S912" s="24" t="n">
        <x:f>IFERROR(F912/J912,0)</x:f>
        <x:v>0.6</x:v>
      </x:c>
      <x:c r="T912" s="28" t="n">
        <x:f>H912-I912</x:f>
        <x:v>10</x:v>
      </x:c>
      <x:c r="U912" s="24" t="n">
        <x:f>IFERROR(J912/H912,0)-IFERROR(K912/I912,0)</x:f>
        <x:v>-0.2121212121212121</x:v>
      </x:c>
      <x:c r="V912" s="24" t="n">
        <x:f>IFERROR(F912/J912,0)-IFERROR(G912/K912,0)</x:f>
        <x:v>0.22499999999999998</x:v>
      </x:c>
      <x:c r="W912" s="28" t="n">
        <x:f>L912-M912</x:f>
        <x:v>4</x:v>
      </x:c>
      <x:c r="X912" s="24" t="n">
        <x:f>IFERROR(K912/I912,0)</x:f>
        <x:v>0.6666666666666666</x:v>
      </x:c>
      <x:c r="Y912" s="24" t="n">
        <x:f>IFERROR(G912/I912,0)</x:f>
        <x:v>0.25</x:v>
      </x:c>
      <x:c r="Z912" s="24" t="n">
        <x:f>IFERROR(G912/K912,0)</x:f>
        <x:v>0.375</x:v>
      </x:c>
      <x:c r="AA912" s="24" t="n">
        <x:f>IFERROR(F912/H912,0)-IFERROR(G912/I912,0)</x:f>
        <x:v>0.022727272727272707</x:v>
      </x:c>
      <x:c r="AB912" s="28" t="n">
        <x:f>J912-K912</x:f>
        <x:v>2</x:v>
      </x:c>
      <x:c r="AC912" s="32" t="n">
        <x:f>F912-G912</x:f>
        <x:v>3</x:v>
      </x:c>
    </x:row>
    <x:row r="913">
      <x:c r="A913" s="4" t="str">
        <x:v>2022-23</x:v>
      </x:c>
      <x:c r="B913" s="20" t="n">
        <x:v>44836</x:v>
      </x:c>
      <x:c r="C913" s="4" t="str">
        <x:v>Man United</x:v>
      </x:c>
      <x:c r="D913" s="4" t="str">
        <x:v>Man City</x:v>
      </x:c>
      <x:c r="E913" s="4" t="str">
        <x:v>Away</x:v>
      </x:c>
      <x:c r="F913" s="28" t="n">
        <x:v>3</x:v>
      </x:c>
      <x:c r="G913" s="28" t="n">
        <x:v>6</x:v>
      </x:c>
      <x:c r="H913" s="28" t="n">
        <x:v>12</x:v>
      </x:c>
      <x:c r="I913" s="28" t="n">
        <x:v>22</x:v>
      </x:c>
      <x:c r="J913" s="28" t="n">
        <x:v>8</x:v>
      </x:c>
      <x:c r="K913" s="28" t="n">
        <x:v>10</x:v>
      </x:c>
      <x:c r="L913" s="28" t="n">
        <x:v>1</x:v>
      </x:c>
      <x:c r="M913" s="28" t="n">
        <x:v>5</x:v>
      </x:c>
      <x:c r="N913" s="28" t="n">
        <x:v>3</x:v>
      </x:c>
      <x:c r="O913" s="28" t="n">
        <x:v>0</x:v>
      </x:c>
      <x:c r="P913" s="28" t="n">
        <x:v>0</x:v>
      </x:c>
      <x:c r="Q913" s="24" t="n">
        <x:f>IFERROR(J913/H913,0)</x:f>
        <x:v>0.6666666666666666</x:v>
      </x:c>
      <x:c r="R913" s="24" t="n">
        <x:f>IFERROR(F913/H913,0)</x:f>
        <x:v>0.25</x:v>
      </x:c>
      <x:c r="S913" s="24" t="n">
        <x:f>IFERROR(F913/J913,0)</x:f>
        <x:v>0.375</x:v>
      </x:c>
      <x:c r="T913" s="28" t="n">
        <x:f>H913-I913</x:f>
        <x:v>-10</x:v>
      </x:c>
      <x:c r="U913" s="24" t="n">
        <x:f>IFERROR(J913/H913,0)-IFERROR(K913/I913,0)</x:f>
        <x:v>0.2121212121212121</x:v>
      </x:c>
      <x:c r="V913" s="24" t="n">
        <x:f>IFERROR(F913/J913,0)-IFERROR(G913/K913,0)</x:f>
        <x:v>-0.22499999999999998</x:v>
      </x:c>
      <x:c r="W913" s="28" t="n">
        <x:f>L913-M913</x:f>
        <x:v>-4</x:v>
      </x:c>
      <x:c r="X913" s="24" t="n">
        <x:f>IFERROR(K913/I913,0)</x:f>
        <x:v>0.45454545454545453</x:v>
      </x:c>
      <x:c r="Y913" s="24" t="n">
        <x:f>IFERROR(G913/I913,0)</x:f>
        <x:v>0.2727272727272727</x:v>
      </x:c>
      <x:c r="Z913" s="24" t="n">
        <x:f>IFERROR(G913/K913,0)</x:f>
        <x:v>0.6</x:v>
      </x:c>
      <x:c r="AA913" s="24" t="n">
        <x:f>IFERROR(F913/H913,0)-IFERROR(G913/I913,0)</x:f>
        <x:v>-0.022727272727272707</x:v>
      </x:c>
      <x:c r="AB913" s="28" t="n">
        <x:f>J913-K913</x:f>
        <x:v>-2</x:v>
      </x:c>
      <x:c r="AC913" s="32" t="n">
        <x:f>F913-G913</x:f>
        <x:v>-3</x:v>
      </x:c>
    </x:row>
    <x:row r="914">
      <x:c r="A914" s="4" t="str">
        <x:v>2022-23</x:v>
      </x:c>
      <x:c r="B914" s="20" t="n">
        <x:v>44837</x:v>
      </x:c>
      <x:c r="C914" s="4" t="str">
        <x:v>Leicester</x:v>
      </x:c>
      <x:c r="D914" s="4" t="str">
        <x:v>Nott'm Forest</x:v>
      </x:c>
      <x:c r="E914" s="4" t="str">
        <x:v>Home</x:v>
      </x:c>
      <x:c r="F914" s="28" t="n">
        <x:v>4</x:v>
      </x:c>
      <x:c r="G914" s="28" t="n">
        <x:v>0</x:v>
      </x:c>
      <x:c r="H914" s="28" t="n">
        <x:v>17</x:v>
      </x:c>
      <x:c r="I914" s="28" t="n">
        <x:v>10</x:v>
      </x:c>
      <x:c r="J914" s="28" t="n">
        <x:v>7</x:v>
      </x:c>
      <x:c r="K914" s="28" t="n">
        <x:v>3</x:v>
      </x:c>
      <x:c r="L914" s="28" t="n">
        <x:v>6</x:v>
      </x:c>
      <x:c r="M914" s="28" t="n">
        <x:v>6</x:v>
      </x:c>
      <x:c r="N914" s="28" t="n">
        <x:v>2</x:v>
      </x:c>
      <x:c r="O914" s="28" t="n">
        <x:v>0</x:v>
      </x:c>
      <x:c r="P914" s="28" t="n">
        <x:v>3</x:v>
      </x:c>
      <x:c r="Q914" s="24" t="n">
        <x:f>IFERROR(J914/H914,0)</x:f>
        <x:v>0.4117647058823529</x:v>
      </x:c>
      <x:c r="R914" s="24" t="n">
        <x:f>IFERROR(F914/H914,0)</x:f>
        <x:v>0.23529411764705882</x:v>
      </x:c>
      <x:c r="S914" s="24" t="n">
        <x:f>IFERROR(F914/J914,0)</x:f>
        <x:v>0.5714285714285714</x:v>
      </x:c>
      <x:c r="T914" s="28" t="n">
        <x:f>H914-I914</x:f>
        <x:v>7</x:v>
      </x:c>
      <x:c r="U914" s="24" t="n">
        <x:f>IFERROR(J914/H914,0)-IFERROR(K914/I914,0)</x:f>
        <x:v>0.11176470588235293</x:v>
      </x:c>
      <x:c r="V914" s="24" t="n">
        <x:f>IFERROR(F914/J914,0)-IFERROR(G914/K914,0)</x:f>
        <x:v>0.5714285714285714</x:v>
      </x:c>
      <x:c r="W914" s="28" t="n">
        <x:f>L914-M914</x:f>
        <x:v>0</x:v>
      </x:c>
      <x:c r="X914" s="24" t="n">
        <x:f>IFERROR(K914/I914,0)</x:f>
        <x:v>0.3</x:v>
      </x:c>
      <x:c r="Y914" s="24" t="n">
        <x:f>IFERROR(G914/I914,0)</x:f>
        <x:v>0</x:v>
      </x:c>
      <x:c r="Z914" s="24" t="n">
        <x:f>IFERROR(G914/K914,0)</x:f>
        <x:v>0</x:v>
      </x:c>
      <x:c r="AA914" s="24" t="n">
        <x:f>IFERROR(F914/H914,0)-IFERROR(G914/I914,0)</x:f>
        <x:v>0.23529411764705882</x:v>
      </x:c>
      <x:c r="AB914" s="28" t="n">
        <x:f>J914-K914</x:f>
        <x:v>4</x:v>
      </x:c>
      <x:c r="AC914" s="32" t="n">
        <x:f>F914-G914</x:f>
        <x:v>4</x:v>
      </x:c>
    </x:row>
    <x:row r="915">
      <x:c r="A915" s="4" t="str">
        <x:v>2022-23</x:v>
      </x:c>
      <x:c r="B915" s="20" t="n">
        <x:v>44837</x:v>
      </x:c>
      <x:c r="C915" s="4" t="str">
        <x:v>Nott'm Forest</x:v>
      </x:c>
      <x:c r="D915" s="4" t="str">
        <x:v>Leicester</x:v>
      </x:c>
      <x:c r="E915" s="4" t="str">
        <x:v>Away</x:v>
      </x:c>
      <x:c r="F915" s="28" t="n">
        <x:v>0</x:v>
      </x:c>
      <x:c r="G915" s="28" t="n">
        <x:v>4</x:v>
      </x:c>
      <x:c r="H915" s="28" t="n">
        <x:v>10</x:v>
      </x:c>
      <x:c r="I915" s="28" t="n">
        <x:v>17</x:v>
      </x:c>
      <x:c r="J915" s="28" t="n">
        <x:v>3</x:v>
      </x:c>
      <x:c r="K915" s="28" t="n">
        <x:v>7</x:v>
      </x:c>
      <x:c r="L915" s="28" t="n">
        <x:v>6</x:v>
      </x:c>
      <x:c r="M915" s="28" t="n">
        <x:v>6</x:v>
      </x:c>
      <x:c r="N915" s="28" t="n">
        <x:v>4</x:v>
      </x:c>
      <x:c r="O915" s="28" t="n">
        <x:v>0</x:v>
      </x:c>
      <x:c r="P915" s="28" t="n">
        <x:v>0</x:v>
      </x:c>
      <x:c r="Q915" s="24" t="n">
        <x:f>IFERROR(J915/H915,0)</x:f>
        <x:v>0.3</x:v>
      </x:c>
      <x:c r="R915" s="24" t="n">
        <x:f>IFERROR(F915/H915,0)</x:f>
        <x:v>0</x:v>
      </x:c>
      <x:c r="S915" s="24" t="n">
        <x:f>IFERROR(F915/J915,0)</x:f>
        <x:v>0</x:v>
      </x:c>
      <x:c r="T915" s="28" t="n">
        <x:f>H915-I915</x:f>
        <x:v>-7</x:v>
      </x:c>
      <x:c r="U915" s="24" t="n">
        <x:f>IFERROR(J915/H915,0)-IFERROR(K915/I915,0)</x:f>
        <x:v>-0.11176470588235293</x:v>
      </x:c>
      <x:c r="V915" s="24" t="n">
        <x:f>IFERROR(F915/J915,0)-IFERROR(G915/K915,0)</x:f>
        <x:v>-0.5714285714285714</x:v>
      </x:c>
      <x:c r="W915" s="28" t="n">
        <x:f>L915-M915</x:f>
        <x:v>0</x:v>
      </x:c>
      <x:c r="X915" s="24" t="n">
        <x:f>IFERROR(K915/I915,0)</x:f>
        <x:v>0.4117647058823529</x:v>
      </x:c>
      <x:c r="Y915" s="24" t="n">
        <x:f>IFERROR(G915/I915,0)</x:f>
        <x:v>0.23529411764705882</x:v>
      </x:c>
      <x:c r="Z915" s="24" t="n">
        <x:f>IFERROR(G915/K915,0)</x:f>
        <x:v>0.5714285714285714</x:v>
      </x:c>
      <x:c r="AA915" s="24" t="n">
        <x:f>IFERROR(F915/H915,0)-IFERROR(G915/I915,0)</x:f>
        <x:v>-0.23529411764705882</x:v>
      </x:c>
      <x:c r="AB915" s="28" t="n">
        <x:f>J915-K915</x:f>
        <x:v>-4</x:v>
      </x:c>
      <x:c r="AC915" s="32" t="n">
        <x:f>F915-G915</x:f>
        <x:v>-4</x:v>
      </x:c>
    </x:row>
    <x:row r="916">
      <x:c r="A916" s="4" t="str">
        <x:v>2022-23</x:v>
      </x:c>
      <x:c r="B916" s="20" t="n">
        <x:v>44842</x:v>
      </x:c>
      <x:c r="C916" s="4" t="str">
        <x:v>Bournemouth</x:v>
      </x:c>
      <x:c r="D916" s="4" t="str">
        <x:v>Leicester</x:v>
      </x:c>
      <x:c r="E916" s="4" t="str">
        <x:v>Home</x:v>
      </x:c>
      <x:c r="F916" s="28" t="n">
        <x:v>2</x:v>
      </x:c>
      <x:c r="G916" s="28" t="n">
        <x:v>1</x:v>
      </x:c>
      <x:c r="H916" s="28" t="n">
        <x:v>10</x:v>
      </x:c>
      <x:c r="I916" s="28" t="n">
        <x:v>9</x:v>
      </x:c>
      <x:c r="J916" s="28" t="n">
        <x:v>4</x:v>
      </x:c>
      <x:c r="K916" s="28" t="n">
        <x:v>5</x:v>
      </x:c>
      <x:c r="L916" s="28" t="n">
        <x:v>7</x:v>
      </x:c>
      <x:c r="M916" s="28" t="n">
        <x:v>2</x:v>
      </x:c>
      <x:c r="N916" s="28" t="n">
        <x:v>1</x:v>
      </x:c>
      <x:c r="O916" s="28" t="n">
        <x:v>0</x:v>
      </x:c>
      <x:c r="P916" s="28" t="n">
        <x:v>3</x:v>
      </x:c>
      <x:c r="Q916" s="24" t="n">
        <x:f>IFERROR(J916/H916,0)</x:f>
        <x:v>0.4</x:v>
      </x:c>
      <x:c r="R916" s="24" t="n">
        <x:f>IFERROR(F916/H916,0)</x:f>
        <x:v>0.2</x:v>
      </x:c>
      <x:c r="S916" s="24" t="n">
        <x:f>IFERROR(F916/J916,0)</x:f>
        <x:v>0.5</x:v>
      </x:c>
      <x:c r="T916" s="28" t="n">
        <x:f>H916-I916</x:f>
        <x:v>1</x:v>
      </x:c>
      <x:c r="U916" s="24" t="n">
        <x:f>IFERROR(J916/H916,0)-IFERROR(K916/I916,0)</x:f>
        <x:v>-0.15555555555555556</x:v>
      </x:c>
      <x:c r="V916" s="24" t="n">
        <x:f>IFERROR(F916/J916,0)-IFERROR(G916/K916,0)</x:f>
        <x:v>0.3</x:v>
      </x:c>
      <x:c r="W916" s="28" t="n">
        <x:f>L916-M916</x:f>
        <x:v>5</x:v>
      </x:c>
      <x:c r="X916" s="24" t="n">
        <x:f>IFERROR(K916/I916,0)</x:f>
        <x:v>0.5555555555555556</x:v>
      </x:c>
      <x:c r="Y916" s="24" t="n">
        <x:f>IFERROR(G916/I916,0)</x:f>
        <x:v>0.1111111111111111</x:v>
      </x:c>
      <x:c r="Z916" s="24" t="n">
        <x:f>IFERROR(G916/K916,0)</x:f>
        <x:v>0.2</x:v>
      </x:c>
      <x:c r="AA916" s="24" t="n">
        <x:f>IFERROR(F916/H916,0)-IFERROR(G916/I916,0)</x:f>
        <x:v>0.0888888888888889</x:v>
      </x:c>
      <x:c r="AB916" s="28" t="n">
        <x:f>J916-K916</x:f>
        <x:v>-1</x:v>
      </x:c>
      <x:c r="AC916" s="32" t="n">
        <x:f>F916-G916</x:f>
        <x:v>1</x:v>
      </x:c>
    </x:row>
    <x:row r="917">
      <x:c r="A917" s="4" t="str">
        <x:v>2022-23</x:v>
      </x:c>
      <x:c r="B917" s="20" t="n">
        <x:v>44842</x:v>
      </x:c>
      <x:c r="C917" s="4" t="str">
        <x:v>Brentford</x:v>
      </x:c>
      <x:c r="D917" s="4" t="str">
        <x:v>Newcastle</x:v>
      </x:c>
      <x:c r="E917" s="4" t="str">
        <x:v>Away</x:v>
      </x:c>
      <x:c r="F917" s="28" t="n">
        <x:v>1</x:v>
      </x:c>
      <x:c r="G917" s="28" t="n">
        <x:v>5</x:v>
      </x:c>
      <x:c r="H917" s="28" t="n">
        <x:v>6</x:v>
      </x:c>
      <x:c r="I917" s="28" t="n">
        <x:v>16</x:v>
      </x:c>
      <x:c r="J917" s="28" t="n">
        <x:v>3</x:v>
      </x:c>
      <x:c r="K917" s="28" t="n">
        <x:v>6</x:v>
      </x:c>
      <x:c r="L917" s="28" t="n">
        <x:v>5</x:v>
      </x:c>
      <x:c r="M917" s="28" t="n">
        <x:v>9</x:v>
      </x:c>
      <x:c r="N917" s="28" t="n">
        <x:v>1</x:v>
      </x:c>
      <x:c r="O917" s="28" t="n">
        <x:v>0</x:v>
      </x:c>
      <x:c r="P917" s="28" t="n">
        <x:v>0</x:v>
      </x:c>
      <x:c r="Q917" s="24" t="n">
        <x:f>IFERROR(J917/H917,0)</x:f>
        <x:v>0.5</x:v>
      </x:c>
      <x:c r="R917" s="24" t="n">
        <x:f>IFERROR(F917/H917,0)</x:f>
        <x:v>0.16666666666666666</x:v>
      </x:c>
      <x:c r="S917" s="24" t="n">
        <x:f>IFERROR(F917/J917,0)</x:f>
        <x:v>0.3333333333333333</x:v>
      </x:c>
      <x:c r="T917" s="28" t="n">
        <x:f>H917-I917</x:f>
        <x:v>-10</x:v>
      </x:c>
      <x:c r="U917" s="24" t="n">
        <x:f>IFERROR(J917/H917,0)-IFERROR(K917/I917,0)</x:f>
        <x:v>0.125</x:v>
      </x:c>
      <x:c r="V917" s="24" t="n">
        <x:f>IFERROR(F917/J917,0)-IFERROR(G917/K917,0)</x:f>
        <x:v>-0.5</x:v>
      </x:c>
      <x:c r="W917" s="28" t="n">
        <x:f>L917-M917</x:f>
        <x:v>-4</x:v>
      </x:c>
      <x:c r="X917" s="24" t="n">
        <x:f>IFERROR(K917/I917,0)</x:f>
        <x:v>0.375</x:v>
      </x:c>
      <x:c r="Y917" s="24" t="n">
        <x:f>IFERROR(G917/I917,0)</x:f>
        <x:v>0.3125</x:v>
      </x:c>
      <x:c r="Z917" s="24" t="n">
        <x:f>IFERROR(G917/K917,0)</x:f>
        <x:v>0.8333333333333334</x:v>
      </x:c>
      <x:c r="AA917" s="24" t="n">
        <x:f>IFERROR(F917/H917,0)-IFERROR(G917/I917,0)</x:f>
        <x:v>-0.14583333333333334</x:v>
      </x:c>
      <x:c r="AB917" s="28" t="n">
        <x:f>J917-K917</x:f>
        <x:v>-3</x:v>
      </x:c>
      <x:c r="AC917" s="32" t="n">
        <x:f>F917-G917</x:f>
        <x:v>-4</x:v>
      </x:c>
    </x:row>
    <x:row r="918">
      <x:c r="A918" s="4" t="str">
        <x:v>2022-23</x:v>
      </x:c>
      <x:c r="B918" s="20" t="n">
        <x:v>44842</x:v>
      </x:c>
      <x:c r="C918" s="4" t="str">
        <x:v>Brighton</x:v>
      </x:c>
      <x:c r="D918" s="4" t="str">
        <x:v>Tottenham</x:v>
      </x:c>
      <x:c r="E918" s="4" t="str">
        <x:v>Home</x:v>
      </x:c>
      <x:c r="F918" s="28" t="n">
        <x:v>0</x:v>
      </x:c>
      <x:c r="G918" s="28" t="n">
        <x:v>1</x:v>
      </x:c>
      <x:c r="H918" s="28" t="n">
        <x:v>14</x:v>
      </x:c>
      <x:c r="I918" s="28" t="n">
        <x:v>8</x:v>
      </x:c>
      <x:c r="J918" s="28" t="n">
        <x:v>4</x:v>
      </x:c>
      <x:c r="K918" s="28" t="n">
        <x:v>3</x:v>
      </x:c>
      <x:c r="L918" s="28" t="n">
        <x:v>6</x:v>
      </x:c>
      <x:c r="M918" s="28" t="n">
        <x:v>2</x:v>
      </x:c>
      <x:c r="N918" s="28" t="n">
        <x:v>1</x:v>
      </x:c>
      <x:c r="O918" s="28" t="n">
        <x:v>0</x:v>
      </x:c>
      <x:c r="P918" s="28" t="n">
        <x:v>0</x:v>
      </x:c>
      <x:c r="Q918" s="24" t="n">
        <x:f>IFERROR(J918/H918,0)</x:f>
        <x:v>0.2857142857142857</x:v>
      </x:c>
      <x:c r="R918" s="24" t="n">
        <x:f>IFERROR(F918/H918,0)</x:f>
        <x:v>0</x:v>
      </x:c>
      <x:c r="S918" s="24" t="n">
        <x:f>IFERROR(F918/J918,0)</x:f>
        <x:v>0</x:v>
      </x:c>
      <x:c r="T918" s="28" t="n">
        <x:f>H918-I918</x:f>
        <x:v>6</x:v>
      </x:c>
      <x:c r="U918" s="24" t="n">
        <x:f>IFERROR(J918/H918,0)-IFERROR(K918/I918,0)</x:f>
        <x:v>-0.0892857142857143</x:v>
      </x:c>
      <x:c r="V918" s="24" t="n">
        <x:f>IFERROR(F918/J918,0)-IFERROR(G918/K918,0)</x:f>
        <x:v>-0.3333333333333333</x:v>
      </x:c>
      <x:c r="W918" s="28" t="n">
        <x:f>L918-M918</x:f>
        <x:v>4</x:v>
      </x:c>
      <x:c r="X918" s="24" t="n">
        <x:f>IFERROR(K918/I918,0)</x:f>
        <x:v>0.375</x:v>
      </x:c>
      <x:c r="Y918" s="24" t="n">
        <x:f>IFERROR(G918/I918,0)</x:f>
        <x:v>0.125</x:v>
      </x:c>
      <x:c r="Z918" s="24" t="n">
        <x:f>IFERROR(G918/K918,0)</x:f>
        <x:v>0.3333333333333333</x:v>
      </x:c>
      <x:c r="AA918" s="24" t="n">
        <x:f>IFERROR(F918/H918,0)-IFERROR(G918/I918,0)</x:f>
        <x:v>-0.125</x:v>
      </x:c>
      <x:c r="AB918" s="28" t="n">
        <x:f>J918-K918</x:f>
        <x:v>1</x:v>
      </x:c>
      <x:c r="AC918" s="32" t="n">
        <x:f>F918-G918</x:f>
        <x:v>-1</x:v>
      </x:c>
    </x:row>
    <x:row r="919">
      <x:c r="A919" s="4" t="str">
        <x:v>2022-23</x:v>
      </x:c>
      <x:c r="B919" s="20" t="n">
        <x:v>44842</x:v>
      </x:c>
      <x:c r="C919" s="4" t="str">
        <x:v>Chelsea</x:v>
      </x:c>
      <x:c r="D919" s="4" t="str">
        <x:v>Wolves</x:v>
      </x:c>
      <x:c r="E919" s="4" t="str">
        <x:v>Home</x:v>
      </x:c>
      <x:c r="F919" s="28" t="n">
        <x:v>3</x:v>
      </x:c>
      <x:c r="G919" s="28" t="n">
        <x:v>0</x:v>
      </x:c>
      <x:c r="H919" s="28" t="n">
        <x:v>20</x:v>
      </x:c>
      <x:c r="I919" s="28" t="n">
        <x:v>8</x:v>
      </x:c>
      <x:c r="J919" s="28" t="n">
        <x:v>7</x:v>
      </x:c>
      <x:c r="K919" s="28" t="n">
        <x:v>2</x:v>
      </x:c>
      <x:c r="L919" s="28" t="n">
        <x:v>4</x:v>
      </x:c>
      <x:c r="M919" s="28" t="n">
        <x:v>2</x:v>
      </x:c>
      <x:c r="N919" s="28" t="n">
        <x:v>2</x:v>
      </x:c>
      <x:c r="O919" s="28" t="n">
        <x:v>0</x:v>
      </x:c>
      <x:c r="P919" s="28" t="n">
        <x:v>3</x:v>
      </x:c>
      <x:c r="Q919" s="24" t="n">
        <x:f>IFERROR(J919/H919,0)</x:f>
        <x:v>0.35</x:v>
      </x:c>
      <x:c r="R919" s="24" t="n">
        <x:f>IFERROR(F919/H919,0)</x:f>
        <x:v>0.15</x:v>
      </x:c>
      <x:c r="S919" s="24" t="n">
        <x:f>IFERROR(F919/J919,0)</x:f>
        <x:v>0.42857142857142855</x:v>
      </x:c>
      <x:c r="T919" s="28" t="n">
        <x:f>H919-I919</x:f>
        <x:v>12</x:v>
      </x:c>
      <x:c r="U919" s="24" t="n">
        <x:f>IFERROR(J919/H919,0)-IFERROR(K919/I919,0)</x:f>
        <x:v>0.09999999999999998</x:v>
      </x:c>
      <x:c r="V919" s="24" t="n">
        <x:f>IFERROR(F919/J919,0)-IFERROR(G919/K919,0)</x:f>
        <x:v>0.42857142857142855</x:v>
      </x:c>
      <x:c r="W919" s="28" t="n">
        <x:f>L919-M919</x:f>
        <x:v>2</x:v>
      </x:c>
      <x:c r="X919" s="24" t="n">
        <x:f>IFERROR(K919/I919,0)</x:f>
        <x:v>0.25</x:v>
      </x:c>
      <x:c r="Y919" s="24" t="n">
        <x:f>IFERROR(G919/I919,0)</x:f>
        <x:v>0</x:v>
      </x:c>
      <x:c r="Z919" s="24" t="n">
        <x:f>IFERROR(G919/K919,0)</x:f>
        <x:v>0</x:v>
      </x:c>
      <x:c r="AA919" s="24" t="n">
        <x:f>IFERROR(F919/H919,0)-IFERROR(G919/I919,0)</x:f>
        <x:v>0.15</x:v>
      </x:c>
      <x:c r="AB919" s="28" t="n">
        <x:f>J919-K919</x:f>
        <x:v>5</x:v>
      </x:c>
      <x:c r="AC919" s="32" t="n">
        <x:f>F919-G919</x:f>
        <x:v>3</x:v>
      </x:c>
    </x:row>
    <x:row r="920">
      <x:c r="A920" s="4" t="str">
        <x:v>2022-23</x:v>
      </x:c>
      <x:c r="B920" s="20" t="n">
        <x:v>44842</x:v>
      </x:c>
      <x:c r="C920" s="4" t="str">
        <x:v>Leicester</x:v>
      </x:c>
      <x:c r="D920" s="4" t="str">
        <x:v>Bournemouth</x:v>
      </x:c>
      <x:c r="E920" s="4" t="str">
        <x:v>Away</x:v>
      </x:c>
      <x:c r="F920" s="28" t="n">
        <x:v>1</x:v>
      </x:c>
      <x:c r="G920" s="28" t="n">
        <x:v>2</x:v>
      </x:c>
      <x:c r="H920" s="28" t="n">
        <x:v>9</x:v>
      </x:c>
      <x:c r="I920" s="28" t="n">
        <x:v>10</x:v>
      </x:c>
      <x:c r="J920" s="28" t="n">
        <x:v>5</x:v>
      </x:c>
      <x:c r="K920" s="28" t="n">
        <x:v>4</x:v>
      </x:c>
      <x:c r="L920" s="28" t="n">
        <x:v>2</x:v>
      </x:c>
      <x:c r="M920" s="28" t="n">
        <x:v>7</x:v>
      </x:c>
      <x:c r="N920" s="28" t="n">
        <x:v>2</x:v>
      </x:c>
      <x:c r="O920" s="28" t="n">
        <x:v>0</x:v>
      </x:c>
      <x:c r="P920" s="28" t="n">
        <x:v>0</x:v>
      </x:c>
      <x:c r="Q920" s="24" t="n">
        <x:f>IFERROR(J920/H920,0)</x:f>
        <x:v>0.5555555555555556</x:v>
      </x:c>
      <x:c r="R920" s="24" t="n">
        <x:f>IFERROR(F920/H920,0)</x:f>
        <x:v>0.1111111111111111</x:v>
      </x:c>
      <x:c r="S920" s="24" t="n">
        <x:f>IFERROR(F920/J920,0)</x:f>
        <x:v>0.2</x:v>
      </x:c>
      <x:c r="T920" s="28" t="n">
        <x:f>H920-I920</x:f>
        <x:v>-1</x:v>
      </x:c>
      <x:c r="U920" s="24" t="n">
        <x:f>IFERROR(J920/H920,0)-IFERROR(K920/I920,0)</x:f>
        <x:v>0.15555555555555556</x:v>
      </x:c>
      <x:c r="V920" s="24" t="n">
        <x:f>IFERROR(F920/J920,0)-IFERROR(G920/K920,0)</x:f>
        <x:v>-0.3</x:v>
      </x:c>
      <x:c r="W920" s="28" t="n">
        <x:f>L920-M920</x:f>
        <x:v>-5</x:v>
      </x:c>
      <x:c r="X920" s="24" t="n">
        <x:f>IFERROR(K920/I920,0)</x:f>
        <x:v>0.4</x:v>
      </x:c>
      <x:c r="Y920" s="24" t="n">
        <x:f>IFERROR(G920/I920,0)</x:f>
        <x:v>0.2</x:v>
      </x:c>
      <x:c r="Z920" s="24" t="n">
        <x:f>IFERROR(G920/K920,0)</x:f>
        <x:v>0.5</x:v>
      </x:c>
      <x:c r="AA920" s="24" t="n">
        <x:f>IFERROR(F920/H920,0)-IFERROR(G920/I920,0)</x:f>
        <x:v>-0.0888888888888889</x:v>
      </x:c>
      <x:c r="AB920" s="28" t="n">
        <x:f>J920-K920</x:f>
        <x:v>1</x:v>
      </x:c>
      <x:c r="AC920" s="32" t="n">
        <x:f>F920-G920</x:f>
        <x:v>-1</x:v>
      </x:c>
    </x:row>
    <x:row r="921">
      <x:c r="A921" s="4" t="str">
        <x:v>2022-23</x:v>
      </x:c>
      <x:c r="B921" s="20" t="n">
        <x:v>44842</x:v>
      </x:c>
      <x:c r="C921" s="4" t="str">
        <x:v>Man City</x:v>
      </x:c>
      <x:c r="D921" s="4" t="str">
        <x:v>Southampton</x:v>
      </x:c>
      <x:c r="E921" s="4" t="str">
        <x:v>Home</x:v>
      </x:c>
      <x:c r="F921" s="28" t="n">
        <x:v>4</x:v>
      </x:c>
      <x:c r="G921" s="28" t="n">
        <x:v>0</x:v>
      </x:c>
      <x:c r="H921" s="28" t="n">
        <x:v>21</x:v>
      </x:c>
      <x:c r="I921" s="28" t="n">
        <x:v>5</x:v>
      </x:c>
      <x:c r="J921" s="28" t="n">
        <x:v>8</x:v>
      </x:c>
      <x:c r="K921" s="28" t="n">
        <x:v>0</x:v>
      </x:c>
      <x:c r="L921" s="28" t="n">
        <x:v>9</x:v>
      </x:c>
      <x:c r="M921" s="28" t="n">
        <x:v>1</x:v>
      </x:c>
      <x:c r="N921" s="28" t="n">
        <x:v>0</x:v>
      </x:c>
      <x:c r="O921" s="28" t="n">
        <x:v>0</x:v>
      </x:c>
      <x:c r="P921" s="28" t="n">
        <x:v>3</x:v>
      </x:c>
      <x:c r="Q921" s="24" t="n">
        <x:f>IFERROR(J921/H921,0)</x:f>
        <x:v>0.38095238095238093</x:v>
      </x:c>
      <x:c r="R921" s="24" t="n">
        <x:f>IFERROR(F921/H921,0)</x:f>
        <x:v>0.19047619047619047</x:v>
      </x:c>
      <x:c r="S921" s="24" t="n">
        <x:f>IFERROR(F921/J921,0)</x:f>
        <x:v>0.5</x:v>
      </x:c>
      <x:c r="T921" s="28" t="n">
        <x:f>H921-I921</x:f>
        <x:v>16</x:v>
      </x:c>
      <x:c r="U921" s="24" t="n">
        <x:f>IFERROR(J921/H921,0)-IFERROR(K921/I921,0)</x:f>
        <x:v>0.38095238095238093</x:v>
      </x:c>
      <x:c r="V921" s="24" t="n">
        <x:f>IFERROR(F921/J921,0)-IFERROR(G921/K921,0)</x:f>
        <x:v>0.5</x:v>
      </x:c>
      <x:c r="W921" s="28" t="n">
        <x:f>L921-M921</x:f>
        <x:v>8</x:v>
      </x:c>
      <x:c r="X921" s="24" t="n">
        <x:f>IFERROR(K921/I921,0)</x:f>
        <x:v>0</x:v>
      </x:c>
      <x:c r="Y921" s="24" t="n">
        <x:f>IFERROR(G921/I921,0)</x:f>
        <x:v>0</x:v>
      </x:c>
      <x:c r="Z921" s="24" t="n">
        <x:f>IFERROR(G921/K921,0)</x:f>
        <x:v>0</x:v>
      </x:c>
      <x:c r="AA921" s="24" t="n">
        <x:f>IFERROR(F921/H921,0)-IFERROR(G921/I921,0)</x:f>
        <x:v>0.19047619047619047</x:v>
      </x:c>
      <x:c r="AB921" s="28" t="n">
        <x:f>J921-K921</x:f>
        <x:v>8</x:v>
      </x:c>
      <x:c r="AC921" s="32" t="n">
        <x:f>F921-G921</x:f>
        <x:v>4</x:v>
      </x:c>
    </x:row>
    <x:row r="922">
      <x:c r="A922" s="4" t="str">
        <x:v>2022-23</x:v>
      </x:c>
      <x:c r="B922" s="20" t="n">
        <x:v>44842</x:v>
      </x:c>
      <x:c r="C922" s="4" t="str">
        <x:v>Newcastle</x:v>
      </x:c>
      <x:c r="D922" s="4" t="str">
        <x:v>Brentford</x:v>
      </x:c>
      <x:c r="E922" s="4" t="str">
        <x:v>Home</x:v>
      </x:c>
      <x:c r="F922" s="28" t="n">
        <x:v>5</x:v>
      </x:c>
      <x:c r="G922" s="28" t="n">
        <x:v>1</x:v>
      </x:c>
      <x:c r="H922" s="28" t="n">
        <x:v>16</x:v>
      </x:c>
      <x:c r="I922" s="28" t="n">
        <x:v>6</x:v>
      </x:c>
      <x:c r="J922" s="28" t="n">
        <x:v>6</x:v>
      </x:c>
      <x:c r="K922" s="28" t="n">
        <x:v>3</x:v>
      </x:c>
      <x:c r="L922" s="28" t="n">
        <x:v>9</x:v>
      </x:c>
      <x:c r="M922" s="28" t="n">
        <x:v>5</x:v>
      </x:c>
      <x:c r="N922" s="28" t="n">
        <x:v>0</x:v>
      </x:c>
      <x:c r="O922" s="28" t="n">
        <x:v>0</x:v>
      </x:c>
      <x:c r="P922" s="28" t="n">
        <x:v>3</x:v>
      </x:c>
      <x:c r="Q922" s="24" t="n">
        <x:f>IFERROR(J922/H922,0)</x:f>
        <x:v>0.375</x:v>
      </x:c>
      <x:c r="R922" s="24" t="n">
        <x:f>IFERROR(F922/H922,0)</x:f>
        <x:v>0.3125</x:v>
      </x:c>
      <x:c r="S922" s="24" t="n">
        <x:f>IFERROR(F922/J922,0)</x:f>
        <x:v>0.8333333333333334</x:v>
      </x:c>
      <x:c r="T922" s="28" t="n">
        <x:f>H922-I922</x:f>
        <x:v>10</x:v>
      </x:c>
      <x:c r="U922" s="24" t="n">
        <x:f>IFERROR(J922/H922,0)-IFERROR(K922/I922,0)</x:f>
        <x:v>-0.125</x:v>
      </x:c>
      <x:c r="V922" s="24" t="n">
        <x:f>IFERROR(F922/J922,0)-IFERROR(G922/K922,0)</x:f>
        <x:v>0.5</x:v>
      </x:c>
      <x:c r="W922" s="28" t="n">
        <x:f>L922-M922</x:f>
        <x:v>4</x:v>
      </x:c>
      <x:c r="X922" s="24" t="n">
        <x:f>IFERROR(K922/I922,0)</x:f>
        <x:v>0.5</x:v>
      </x:c>
      <x:c r="Y922" s="24" t="n">
        <x:f>IFERROR(G922/I922,0)</x:f>
        <x:v>0.16666666666666666</x:v>
      </x:c>
      <x:c r="Z922" s="24" t="n">
        <x:f>IFERROR(G922/K922,0)</x:f>
        <x:v>0.3333333333333333</x:v>
      </x:c>
      <x:c r="AA922" s="24" t="n">
        <x:f>IFERROR(F922/H922,0)-IFERROR(G922/I922,0)</x:f>
        <x:v>0.14583333333333334</x:v>
      </x:c>
      <x:c r="AB922" s="28" t="n">
        <x:f>J922-K922</x:f>
        <x:v>3</x:v>
      </x:c>
      <x:c r="AC922" s="32" t="n">
        <x:f>F922-G922</x:f>
        <x:v>4</x:v>
      </x:c>
    </x:row>
    <x:row r="923">
      <x:c r="A923" s="4" t="str">
        <x:v>2022-23</x:v>
      </x:c>
      <x:c r="B923" s="20" t="n">
        <x:v>44842</x:v>
      </x:c>
      <x:c r="C923" s="4" t="str">
        <x:v>Southampton</x:v>
      </x:c>
      <x:c r="D923" s="4" t="str">
        <x:v>Man City</x:v>
      </x:c>
      <x:c r="E923" s="4" t="str">
        <x:v>Away</x:v>
      </x:c>
      <x:c r="F923" s="28" t="n">
        <x:v>0</x:v>
      </x:c>
      <x:c r="G923" s="28" t="n">
        <x:v>4</x:v>
      </x:c>
      <x:c r="H923" s="28" t="n">
        <x:v>5</x:v>
      </x:c>
      <x:c r="I923" s="28" t="n">
        <x:v>21</x:v>
      </x:c>
      <x:c r="J923" s="28" t="n">
        <x:v>0</x:v>
      </x:c>
      <x:c r="K923" s="28" t="n">
        <x:v>8</x:v>
      </x:c>
      <x:c r="L923" s="28" t="n">
        <x:v>1</x:v>
      </x:c>
      <x:c r="M923" s="28" t="n">
        <x:v>9</x:v>
      </x:c>
      <x:c r="N923" s="28" t="n">
        <x:v>1</x:v>
      </x:c>
      <x:c r="O923" s="28" t="n">
        <x:v>0</x:v>
      </x:c>
      <x:c r="P923" s="28" t="n">
        <x:v>0</x:v>
      </x:c>
      <x:c r="Q923" s="24" t="n">
        <x:f>IFERROR(J923/H923,0)</x:f>
        <x:v>0</x:v>
      </x:c>
      <x:c r="R923" s="24" t="n">
        <x:f>IFERROR(F923/H923,0)</x:f>
        <x:v>0</x:v>
      </x:c>
      <x:c r="S923" s="24" t="n">
        <x:f>IFERROR(F923/J923,0)</x:f>
        <x:v>0</x:v>
      </x:c>
      <x:c r="T923" s="28" t="n">
        <x:f>H923-I923</x:f>
        <x:v>-16</x:v>
      </x:c>
      <x:c r="U923" s="24" t="n">
        <x:f>IFERROR(J923/H923,0)-IFERROR(K923/I923,0)</x:f>
        <x:v>-0.38095238095238093</x:v>
      </x:c>
      <x:c r="V923" s="24" t="n">
        <x:f>IFERROR(F923/J923,0)-IFERROR(G923/K923,0)</x:f>
        <x:v>-0.5</x:v>
      </x:c>
      <x:c r="W923" s="28" t="n">
        <x:f>L923-M923</x:f>
        <x:v>-8</x:v>
      </x:c>
      <x:c r="X923" s="24" t="n">
        <x:f>IFERROR(K923/I923,0)</x:f>
        <x:v>0.38095238095238093</x:v>
      </x:c>
      <x:c r="Y923" s="24" t="n">
        <x:f>IFERROR(G923/I923,0)</x:f>
        <x:v>0.19047619047619047</x:v>
      </x:c>
      <x:c r="Z923" s="24" t="n">
        <x:f>IFERROR(G923/K923,0)</x:f>
        <x:v>0.5</x:v>
      </x:c>
      <x:c r="AA923" s="24" t="n">
        <x:f>IFERROR(F923/H923,0)-IFERROR(G923/I923,0)</x:f>
        <x:v>-0.19047619047619047</x:v>
      </x:c>
      <x:c r="AB923" s="28" t="n">
        <x:f>J923-K923</x:f>
        <x:v>-8</x:v>
      </x:c>
      <x:c r="AC923" s="32" t="n">
        <x:f>F923-G923</x:f>
        <x:v>-4</x:v>
      </x:c>
    </x:row>
    <x:row r="924">
      <x:c r="A924" s="4" t="str">
        <x:v>2022-23</x:v>
      </x:c>
      <x:c r="B924" s="20" t="n">
        <x:v>44842</x:v>
      </x:c>
      <x:c r="C924" s="4" t="str">
        <x:v>Tottenham</x:v>
      </x:c>
      <x:c r="D924" s="4" t="str">
        <x:v>Brighton</x:v>
      </x:c>
      <x:c r="E924" s="4" t="str">
        <x:v>Away</x:v>
      </x:c>
      <x:c r="F924" s="28" t="n">
        <x:v>1</x:v>
      </x:c>
      <x:c r="G924" s="28" t="n">
        <x:v>0</x:v>
      </x:c>
      <x:c r="H924" s="28" t="n">
        <x:v>8</x:v>
      </x:c>
      <x:c r="I924" s="28" t="n">
        <x:v>14</x:v>
      </x:c>
      <x:c r="J924" s="28" t="n">
        <x:v>3</x:v>
      </x:c>
      <x:c r="K924" s="28" t="n">
        <x:v>4</x:v>
      </x:c>
      <x:c r="L924" s="28" t="n">
        <x:v>2</x:v>
      </x:c>
      <x:c r="M924" s="28" t="n">
        <x:v>6</x:v>
      </x:c>
      <x:c r="N924" s="28" t="n">
        <x:v>2</x:v>
      </x:c>
      <x:c r="O924" s="28" t="n">
        <x:v>0</x:v>
      </x:c>
      <x:c r="P924" s="28" t="n">
        <x:v>3</x:v>
      </x:c>
      <x:c r="Q924" s="24" t="n">
        <x:f>IFERROR(J924/H924,0)</x:f>
        <x:v>0.375</x:v>
      </x:c>
      <x:c r="R924" s="24" t="n">
        <x:f>IFERROR(F924/H924,0)</x:f>
        <x:v>0.125</x:v>
      </x:c>
      <x:c r="S924" s="24" t="n">
        <x:f>IFERROR(F924/J924,0)</x:f>
        <x:v>0.3333333333333333</x:v>
      </x:c>
      <x:c r="T924" s="28" t="n">
        <x:f>H924-I924</x:f>
        <x:v>-6</x:v>
      </x:c>
      <x:c r="U924" s="24" t="n">
        <x:f>IFERROR(J924/H924,0)-IFERROR(K924/I924,0)</x:f>
        <x:v>0.0892857142857143</x:v>
      </x:c>
      <x:c r="V924" s="24" t="n">
        <x:f>IFERROR(F924/J924,0)-IFERROR(G924/K924,0)</x:f>
        <x:v>0.3333333333333333</x:v>
      </x:c>
      <x:c r="W924" s="28" t="n">
        <x:f>L924-M924</x:f>
        <x:v>-4</x:v>
      </x:c>
      <x:c r="X924" s="24" t="n">
        <x:f>IFERROR(K924/I924,0)</x:f>
        <x:v>0.2857142857142857</x:v>
      </x:c>
      <x:c r="Y924" s="24" t="n">
        <x:f>IFERROR(G924/I924,0)</x:f>
        <x:v>0</x:v>
      </x:c>
      <x:c r="Z924" s="24" t="n">
        <x:f>IFERROR(G924/K924,0)</x:f>
        <x:v>0</x:v>
      </x:c>
      <x:c r="AA924" s="24" t="n">
        <x:f>IFERROR(F924/H924,0)-IFERROR(G924/I924,0)</x:f>
        <x:v>0.125</x:v>
      </x:c>
      <x:c r="AB924" s="28" t="n">
        <x:f>J924-K924</x:f>
        <x:v>-1</x:v>
      </x:c>
      <x:c r="AC924" s="32" t="n">
        <x:f>F924-G924</x:f>
        <x:v>1</x:v>
      </x:c>
    </x:row>
    <x:row r="925">
      <x:c r="A925" s="4" t="str">
        <x:v>2022-23</x:v>
      </x:c>
      <x:c r="B925" s="20" t="n">
        <x:v>44842</x:v>
      </x:c>
      <x:c r="C925" s="4" t="str">
        <x:v>Wolves</x:v>
      </x:c>
      <x:c r="D925" s="4" t="str">
        <x:v>Chelsea</x:v>
      </x:c>
      <x:c r="E925" s="4" t="str">
        <x:v>Away</x:v>
      </x:c>
      <x:c r="F925" s="28" t="n">
        <x:v>0</x:v>
      </x:c>
      <x:c r="G925" s="28" t="n">
        <x:v>3</x:v>
      </x:c>
      <x:c r="H925" s="28" t="n">
        <x:v>8</x:v>
      </x:c>
      <x:c r="I925" s="28" t="n">
        <x:v>20</x:v>
      </x:c>
      <x:c r="J925" s="28" t="n">
        <x:v>2</x:v>
      </x:c>
      <x:c r="K925" s="28" t="n">
        <x:v>7</x:v>
      </x:c>
      <x:c r="L925" s="28" t="n">
        <x:v>2</x:v>
      </x:c>
      <x:c r="M925" s="28" t="n">
        <x:v>4</x:v>
      </x:c>
      <x:c r="N925" s="28" t="n">
        <x:v>0</x:v>
      </x:c>
      <x:c r="O925" s="28" t="n">
        <x:v>0</x:v>
      </x:c>
      <x:c r="P925" s="28" t="n">
        <x:v>0</x:v>
      </x:c>
      <x:c r="Q925" s="24" t="n">
        <x:f>IFERROR(J925/H925,0)</x:f>
        <x:v>0.25</x:v>
      </x:c>
      <x:c r="R925" s="24" t="n">
        <x:f>IFERROR(F925/H925,0)</x:f>
        <x:v>0</x:v>
      </x:c>
      <x:c r="S925" s="24" t="n">
        <x:f>IFERROR(F925/J925,0)</x:f>
        <x:v>0</x:v>
      </x:c>
      <x:c r="T925" s="28" t="n">
        <x:f>H925-I925</x:f>
        <x:v>-12</x:v>
      </x:c>
      <x:c r="U925" s="24" t="n">
        <x:f>IFERROR(J925/H925,0)-IFERROR(K925/I925,0)</x:f>
        <x:v>-0.09999999999999998</x:v>
      </x:c>
      <x:c r="V925" s="24" t="n">
        <x:f>IFERROR(F925/J925,0)-IFERROR(G925/K925,0)</x:f>
        <x:v>-0.42857142857142855</x:v>
      </x:c>
      <x:c r="W925" s="28" t="n">
        <x:f>L925-M925</x:f>
        <x:v>-2</x:v>
      </x:c>
      <x:c r="X925" s="24" t="n">
        <x:f>IFERROR(K925/I925,0)</x:f>
        <x:v>0.35</x:v>
      </x:c>
      <x:c r="Y925" s="24" t="n">
        <x:f>IFERROR(G925/I925,0)</x:f>
        <x:v>0.15</x:v>
      </x:c>
      <x:c r="Z925" s="24" t="n">
        <x:f>IFERROR(G925/K925,0)</x:f>
        <x:v>0.42857142857142855</x:v>
      </x:c>
      <x:c r="AA925" s="24" t="n">
        <x:f>IFERROR(F925/H925,0)-IFERROR(G925/I925,0)</x:f>
        <x:v>-0.15</x:v>
      </x:c>
      <x:c r="AB925" s="28" t="n">
        <x:f>J925-K925</x:f>
        <x:v>-5</x:v>
      </x:c>
      <x:c r="AC925" s="32" t="n">
        <x:f>F925-G925</x:f>
        <x:v>-3</x:v>
      </x:c>
    </x:row>
    <x:row r="926">
      <x:c r="A926" s="4" t="str">
        <x:v>2022-23</x:v>
      </x:c>
      <x:c r="B926" s="20" t="n">
        <x:v>44843</x:v>
      </x:c>
      <x:c r="C926" s="4" t="str">
        <x:v>Arsenal</x:v>
      </x:c>
      <x:c r="D926" s="4" t="str">
        <x:v>Liverpool</x:v>
      </x:c>
      <x:c r="E926" s="4" t="str">
        <x:v>Home</x:v>
      </x:c>
      <x:c r="F926" s="28" t="n">
        <x:v>3</x:v>
      </x:c>
      <x:c r="G926" s="28" t="n">
        <x:v>2</x:v>
      </x:c>
      <x:c r="H926" s="28" t="n">
        <x:v>11</x:v>
      </x:c>
      <x:c r="I926" s="28" t="n">
        <x:v>8</x:v>
      </x:c>
      <x:c r="J926" s="28" t="n">
        <x:v>7</x:v>
      </x:c>
      <x:c r="K926" s="28" t="n">
        <x:v>3</x:v>
      </x:c>
      <x:c r="L926" s="28" t="n">
        <x:v>4</x:v>
      </x:c>
      <x:c r="M926" s="28" t="n">
        <x:v>3</x:v>
      </x:c>
      <x:c r="N926" s="28" t="n">
        <x:v>1</x:v>
      </x:c>
      <x:c r="O926" s="28" t="n">
        <x:v>0</x:v>
      </x:c>
      <x:c r="P926" s="28" t="n">
        <x:v>3</x:v>
      </x:c>
      <x:c r="Q926" s="24" t="n">
        <x:f>IFERROR(J926/H926,0)</x:f>
        <x:v>0.6363636363636364</x:v>
      </x:c>
      <x:c r="R926" s="24" t="n">
        <x:f>IFERROR(F926/H926,0)</x:f>
        <x:v>0.2727272727272727</x:v>
      </x:c>
      <x:c r="S926" s="24" t="n">
        <x:f>IFERROR(F926/J926,0)</x:f>
        <x:v>0.42857142857142855</x:v>
      </x:c>
      <x:c r="T926" s="28" t="n">
        <x:f>H926-I926</x:f>
        <x:v>3</x:v>
      </x:c>
      <x:c r="U926" s="24" t="n">
        <x:f>IFERROR(J926/H926,0)-IFERROR(K926/I926,0)</x:f>
        <x:v>0.26136363636363635</x:v>
      </x:c>
      <x:c r="V926" s="24" t="n">
        <x:f>IFERROR(F926/J926,0)-IFERROR(G926/K926,0)</x:f>
        <x:v>-0.23809523809523808</x:v>
      </x:c>
      <x:c r="W926" s="28" t="n">
        <x:f>L926-M926</x:f>
        <x:v>1</x:v>
      </x:c>
      <x:c r="X926" s="24" t="n">
        <x:f>IFERROR(K926/I926,0)</x:f>
        <x:v>0.375</x:v>
      </x:c>
      <x:c r="Y926" s="24" t="n">
        <x:f>IFERROR(G926/I926,0)</x:f>
        <x:v>0.25</x:v>
      </x:c>
      <x:c r="Z926" s="24" t="n">
        <x:f>IFERROR(G926/K926,0)</x:f>
        <x:v>0.6666666666666666</x:v>
      </x:c>
      <x:c r="AA926" s="24" t="n">
        <x:f>IFERROR(F926/H926,0)-IFERROR(G926/I926,0)</x:f>
        <x:v>0.022727272727272707</x:v>
      </x:c>
      <x:c r="AB926" s="28" t="n">
        <x:f>J926-K926</x:f>
        <x:v>4</x:v>
      </x:c>
      <x:c r="AC926" s="32" t="n">
        <x:f>F926-G926</x:f>
        <x:v>1</x:v>
      </x:c>
    </x:row>
    <x:row r="927">
      <x:c r="A927" s="4" t="str">
        <x:v>2022-23</x:v>
      </x:c>
      <x:c r="B927" s="20" t="n">
        <x:v>44843</x:v>
      </x:c>
      <x:c r="C927" s="4" t="str">
        <x:v>Crystal Palace</x:v>
      </x:c>
      <x:c r="D927" s="4" t="str">
        <x:v>Leeds</x:v>
      </x:c>
      <x:c r="E927" s="4" t="str">
        <x:v>Home</x:v>
      </x:c>
      <x:c r="F927" s="28" t="n">
        <x:v>2</x:v>
      </x:c>
      <x:c r="G927" s="28" t="n">
        <x:v>1</x:v>
      </x:c>
      <x:c r="H927" s="28" t="n">
        <x:v>13</x:v>
      </x:c>
      <x:c r="I927" s="28" t="n">
        <x:v>10</x:v>
      </x:c>
      <x:c r="J927" s="28" t="n">
        <x:v>5</x:v>
      </x:c>
      <x:c r="K927" s="28" t="n">
        <x:v>4</x:v>
      </x:c>
      <x:c r="L927" s="28" t="n">
        <x:v>5</x:v>
      </x:c>
      <x:c r="M927" s="28" t="n">
        <x:v>3</x:v>
      </x:c>
      <x:c r="N927" s="28" t="n">
        <x:v>3</x:v>
      </x:c>
      <x:c r="O927" s="28" t="n">
        <x:v>0</x:v>
      </x:c>
      <x:c r="P927" s="28" t="n">
        <x:v>3</x:v>
      </x:c>
      <x:c r="Q927" s="24" t="n">
        <x:f>IFERROR(J927/H927,0)</x:f>
        <x:v>0.38461538461538464</x:v>
      </x:c>
      <x:c r="R927" s="24" t="n">
        <x:f>IFERROR(F927/H927,0)</x:f>
        <x:v>0.15384615384615385</x:v>
      </x:c>
      <x:c r="S927" s="24" t="n">
        <x:f>IFERROR(F927/J927,0)</x:f>
        <x:v>0.4</x:v>
      </x:c>
      <x:c r="T927" s="28" t="n">
        <x:f>H927-I927</x:f>
        <x:v>3</x:v>
      </x:c>
      <x:c r="U927" s="24" t="n">
        <x:f>IFERROR(J927/H927,0)-IFERROR(K927/I927,0)</x:f>
        <x:v>-0.015384615384615385</x:v>
      </x:c>
      <x:c r="V927" s="24" t="n">
        <x:f>IFERROR(F927/J927,0)-IFERROR(G927/K927,0)</x:f>
        <x:v>0.15000000000000002</x:v>
      </x:c>
      <x:c r="W927" s="28" t="n">
        <x:f>L927-M927</x:f>
        <x:v>2</x:v>
      </x:c>
      <x:c r="X927" s="24" t="n">
        <x:f>IFERROR(K927/I927,0)</x:f>
        <x:v>0.4</x:v>
      </x:c>
      <x:c r="Y927" s="24" t="n">
        <x:f>IFERROR(G927/I927,0)</x:f>
        <x:v>0.1</x:v>
      </x:c>
      <x:c r="Z927" s="24" t="n">
        <x:f>IFERROR(G927/K927,0)</x:f>
        <x:v>0.25</x:v>
      </x:c>
      <x:c r="AA927" s="24" t="n">
        <x:f>IFERROR(F927/H927,0)-IFERROR(G927/I927,0)</x:f>
        <x:v>0.05384615384615385</x:v>
      </x:c>
      <x:c r="AB927" s="28" t="n">
        <x:f>J927-K927</x:f>
        <x:v>1</x:v>
      </x:c>
      <x:c r="AC927" s="32" t="n">
        <x:f>F927-G927</x:f>
        <x:v>1</x:v>
      </x:c>
    </x:row>
    <x:row r="928">
      <x:c r="A928" s="4" t="str">
        <x:v>2022-23</x:v>
      </x:c>
      <x:c r="B928" s="20" t="n">
        <x:v>44843</x:v>
      </x:c>
      <x:c r="C928" s="4" t="str">
        <x:v>Everton</x:v>
      </x:c>
      <x:c r="D928" s="4" t="str">
        <x:v>Man United</x:v>
      </x:c>
      <x:c r="E928" s="4" t="str">
        <x:v>Home</x:v>
      </x:c>
      <x:c r="F928" s="28" t="n">
        <x:v>1</x:v>
      </x:c>
      <x:c r="G928" s="28" t="n">
        <x:v>2</x:v>
      </x:c>
      <x:c r="H928" s="28" t="n">
        <x:v>11</x:v>
      </x:c>
      <x:c r="I928" s="28" t="n">
        <x:v>12</x:v>
      </x:c>
      <x:c r="J928" s="28" t="n">
        <x:v>2</x:v>
      </x:c>
      <x:c r="K928" s="28" t="n">
        <x:v>4</x:v>
      </x:c>
      <x:c r="L928" s="28" t="n">
        <x:v>5</x:v>
      </x:c>
      <x:c r="M928" s="28" t="n">
        <x:v>4</x:v>
      </x:c>
      <x:c r="N928" s="28" t="n">
        <x:v>2</x:v>
      </x:c>
      <x:c r="O928" s="28" t="n">
        <x:v>0</x:v>
      </x:c>
      <x:c r="P928" s="28" t="n">
        <x:v>0</x:v>
      </x:c>
      <x:c r="Q928" s="24" t="n">
        <x:f>IFERROR(J928/H928,0)</x:f>
        <x:v>0.18181818181818182</x:v>
      </x:c>
      <x:c r="R928" s="24" t="n">
        <x:f>IFERROR(F928/H928,0)</x:f>
        <x:v>0.09090909090909091</x:v>
      </x:c>
      <x:c r="S928" s="24" t="n">
        <x:f>IFERROR(F928/J928,0)</x:f>
        <x:v>0.5</x:v>
      </x:c>
      <x:c r="T928" s="28" t="n">
        <x:f>H928-I928</x:f>
        <x:v>-1</x:v>
      </x:c>
      <x:c r="U928" s="24" t="n">
        <x:f>IFERROR(J928/H928,0)-IFERROR(K928/I928,0)</x:f>
        <x:v>-0.1515151515151515</x:v>
      </x:c>
      <x:c r="V928" s="24" t="n">
        <x:f>IFERROR(F928/J928,0)-IFERROR(G928/K928,0)</x:f>
        <x:v>0</x:v>
      </x:c>
      <x:c r="W928" s="28" t="n">
        <x:f>L928-M928</x:f>
        <x:v>1</x:v>
      </x:c>
      <x:c r="X928" s="24" t="n">
        <x:f>IFERROR(K928/I928,0)</x:f>
        <x:v>0.3333333333333333</x:v>
      </x:c>
      <x:c r="Y928" s="24" t="n">
        <x:f>IFERROR(G928/I928,0)</x:f>
        <x:v>0.16666666666666666</x:v>
      </x:c>
      <x:c r="Z928" s="24" t="n">
        <x:f>IFERROR(G928/K928,0)</x:f>
        <x:v>0.5</x:v>
      </x:c>
      <x:c r="AA928" s="24" t="n">
        <x:f>IFERROR(F928/H928,0)-IFERROR(G928/I928,0)</x:f>
        <x:v>-0.07575757575757575</x:v>
      </x:c>
      <x:c r="AB928" s="28" t="n">
        <x:f>J928-K928</x:f>
        <x:v>-2</x:v>
      </x:c>
      <x:c r="AC928" s="32" t="n">
        <x:f>F928-G928</x:f>
        <x:v>-1</x:v>
      </x:c>
    </x:row>
    <x:row r="929">
      <x:c r="A929" s="4" t="str">
        <x:v>2022-23</x:v>
      </x:c>
      <x:c r="B929" s="20" t="n">
        <x:v>44843</x:v>
      </x:c>
      <x:c r="C929" s="4" t="str">
        <x:v>Fulham</x:v>
      </x:c>
      <x:c r="D929" s="4" t="str">
        <x:v>West Ham</x:v>
      </x:c>
      <x:c r="E929" s="4" t="str">
        <x:v>Away</x:v>
      </x:c>
      <x:c r="F929" s="28" t="n">
        <x:v>1</x:v>
      </x:c>
      <x:c r="G929" s="28" t="n">
        <x:v>3</x:v>
      </x:c>
      <x:c r="H929" s="28" t="n">
        <x:v>8</x:v>
      </x:c>
      <x:c r="I929" s="28" t="n">
        <x:v>17</x:v>
      </x:c>
      <x:c r="J929" s="28" t="n">
        <x:v>2</x:v>
      </x:c>
      <x:c r="K929" s="28" t="n">
        <x:v>8</x:v>
      </x:c>
      <x:c r="L929" s="28" t="n">
        <x:v>2</x:v>
      </x:c>
      <x:c r="M929" s="28" t="n">
        <x:v>4</x:v>
      </x:c>
      <x:c r="N929" s="28" t="n">
        <x:v>3</x:v>
      </x:c>
      <x:c r="O929" s="28" t="n">
        <x:v>0</x:v>
      </x:c>
      <x:c r="P929" s="28" t="n">
        <x:v>0</x:v>
      </x:c>
      <x:c r="Q929" s="24" t="n">
        <x:f>IFERROR(J929/H929,0)</x:f>
        <x:v>0.25</x:v>
      </x:c>
      <x:c r="R929" s="24" t="n">
        <x:f>IFERROR(F929/H929,0)</x:f>
        <x:v>0.125</x:v>
      </x:c>
      <x:c r="S929" s="24" t="n">
        <x:f>IFERROR(F929/J929,0)</x:f>
        <x:v>0.5</x:v>
      </x:c>
      <x:c r="T929" s="28" t="n">
        <x:f>H929-I929</x:f>
        <x:v>-9</x:v>
      </x:c>
      <x:c r="U929" s="24" t="n">
        <x:f>IFERROR(J929/H929,0)-IFERROR(K929/I929,0)</x:f>
        <x:v>-0.22058823529411764</x:v>
      </x:c>
      <x:c r="V929" s="24" t="n">
        <x:f>IFERROR(F929/J929,0)-IFERROR(G929/K929,0)</x:f>
        <x:v>0.125</x:v>
      </x:c>
      <x:c r="W929" s="28" t="n">
        <x:f>L929-M929</x:f>
        <x:v>-2</x:v>
      </x:c>
      <x:c r="X929" s="24" t="n">
        <x:f>IFERROR(K929/I929,0)</x:f>
        <x:v>0.47058823529411764</x:v>
      </x:c>
      <x:c r="Y929" s="24" t="n">
        <x:f>IFERROR(G929/I929,0)</x:f>
        <x:v>0.17647058823529413</x:v>
      </x:c>
      <x:c r="Z929" s="24" t="n">
        <x:f>IFERROR(G929/K929,0)</x:f>
        <x:v>0.375</x:v>
      </x:c>
      <x:c r="AA929" s="24" t="n">
        <x:f>IFERROR(F929/H929,0)-IFERROR(G929/I929,0)</x:f>
        <x:v>-0.05147058823529413</x:v>
      </x:c>
      <x:c r="AB929" s="28" t="n">
        <x:f>J929-K929</x:f>
        <x:v>-6</x:v>
      </x:c>
      <x:c r="AC929" s="32" t="n">
        <x:f>F929-G929</x:f>
        <x:v>-2</x:v>
      </x:c>
    </x:row>
    <x:row r="930">
      <x:c r="A930" s="4" t="str">
        <x:v>2022-23</x:v>
      </x:c>
      <x:c r="B930" s="20" t="n">
        <x:v>44843</x:v>
      </x:c>
      <x:c r="C930" s="4" t="str">
        <x:v>Leeds</x:v>
      </x:c>
      <x:c r="D930" s="4" t="str">
        <x:v>Crystal Palace</x:v>
      </x:c>
      <x:c r="E930" s="4" t="str">
        <x:v>Away</x:v>
      </x:c>
      <x:c r="F930" s="28" t="n">
        <x:v>1</x:v>
      </x:c>
      <x:c r="G930" s="28" t="n">
        <x:v>2</x:v>
      </x:c>
      <x:c r="H930" s="28" t="n">
        <x:v>10</x:v>
      </x:c>
      <x:c r="I930" s="28" t="n">
        <x:v>13</x:v>
      </x:c>
      <x:c r="J930" s="28" t="n">
        <x:v>4</x:v>
      </x:c>
      <x:c r="K930" s="28" t="n">
        <x:v>5</x:v>
      </x:c>
      <x:c r="L930" s="28" t="n">
        <x:v>3</x:v>
      </x:c>
      <x:c r="M930" s="28" t="n">
        <x:v>5</x:v>
      </x:c>
      <x:c r="N930" s="28" t="n">
        <x:v>3</x:v>
      </x:c>
      <x:c r="O930" s="28" t="n">
        <x:v>0</x:v>
      </x:c>
      <x:c r="P930" s="28" t="n">
        <x:v>0</x:v>
      </x:c>
      <x:c r="Q930" s="24" t="n">
        <x:f>IFERROR(J930/H930,0)</x:f>
        <x:v>0.4</x:v>
      </x:c>
      <x:c r="R930" s="24" t="n">
        <x:f>IFERROR(F930/H930,0)</x:f>
        <x:v>0.1</x:v>
      </x:c>
      <x:c r="S930" s="24" t="n">
        <x:f>IFERROR(F930/J930,0)</x:f>
        <x:v>0.25</x:v>
      </x:c>
      <x:c r="T930" s="28" t="n">
        <x:f>H930-I930</x:f>
        <x:v>-3</x:v>
      </x:c>
      <x:c r="U930" s="24" t="n">
        <x:f>IFERROR(J930/H930,0)-IFERROR(K930/I930,0)</x:f>
        <x:v>0.015384615384615385</x:v>
      </x:c>
      <x:c r="V930" s="24" t="n">
        <x:f>IFERROR(F930/J930,0)-IFERROR(G930/K930,0)</x:f>
        <x:v>-0.15000000000000002</x:v>
      </x:c>
      <x:c r="W930" s="28" t="n">
        <x:f>L930-M930</x:f>
        <x:v>-2</x:v>
      </x:c>
      <x:c r="X930" s="24" t="n">
        <x:f>IFERROR(K930/I930,0)</x:f>
        <x:v>0.38461538461538464</x:v>
      </x:c>
      <x:c r="Y930" s="24" t="n">
        <x:f>IFERROR(G930/I930,0)</x:f>
        <x:v>0.15384615384615385</x:v>
      </x:c>
      <x:c r="Z930" s="24" t="n">
        <x:f>IFERROR(G930/K930,0)</x:f>
        <x:v>0.4</x:v>
      </x:c>
      <x:c r="AA930" s="24" t="n">
        <x:f>IFERROR(F930/H930,0)-IFERROR(G930/I930,0)</x:f>
        <x:v>-0.05384615384615385</x:v>
      </x:c>
      <x:c r="AB930" s="28" t="n">
        <x:f>J930-K930</x:f>
        <x:v>-1</x:v>
      </x:c>
      <x:c r="AC930" s="32" t="n">
        <x:f>F930-G930</x:f>
        <x:v>-1</x:v>
      </x:c>
    </x:row>
    <x:row r="931">
      <x:c r="A931" s="4" t="str">
        <x:v>2022-23</x:v>
      </x:c>
      <x:c r="B931" s="20" t="n">
        <x:v>44843</x:v>
      </x:c>
      <x:c r="C931" s="4" t="str">
        <x:v>Liverpool</x:v>
      </x:c>
      <x:c r="D931" s="4" t="str">
        <x:v>Arsenal</x:v>
      </x:c>
      <x:c r="E931" s="4" t="str">
        <x:v>Away</x:v>
      </x:c>
      <x:c r="F931" s="28" t="n">
        <x:v>2</x:v>
      </x:c>
      <x:c r="G931" s="28" t="n">
        <x:v>3</x:v>
      </x:c>
      <x:c r="H931" s="28" t="n">
        <x:v>8</x:v>
      </x:c>
      <x:c r="I931" s="28" t="n">
        <x:v>11</x:v>
      </x:c>
      <x:c r="J931" s="28" t="n">
        <x:v>3</x:v>
      </x:c>
      <x:c r="K931" s="28" t="n">
        <x:v>7</x:v>
      </x:c>
      <x:c r="L931" s="28" t="n">
        <x:v>3</x:v>
      </x:c>
      <x:c r="M931" s="28" t="n">
        <x:v>4</x:v>
      </x:c>
      <x:c r="N931" s="28" t="n">
        <x:v>2</x:v>
      </x:c>
      <x:c r="O931" s="28" t="n">
        <x:v>0</x:v>
      </x:c>
      <x:c r="P931" s="28" t="n">
        <x:v>0</x:v>
      </x:c>
      <x:c r="Q931" s="24" t="n">
        <x:f>IFERROR(J931/H931,0)</x:f>
        <x:v>0.375</x:v>
      </x:c>
      <x:c r="R931" s="24" t="n">
        <x:f>IFERROR(F931/H931,0)</x:f>
        <x:v>0.25</x:v>
      </x:c>
      <x:c r="S931" s="24" t="n">
        <x:f>IFERROR(F931/J931,0)</x:f>
        <x:v>0.6666666666666666</x:v>
      </x:c>
      <x:c r="T931" s="28" t="n">
        <x:f>H931-I931</x:f>
        <x:v>-3</x:v>
      </x:c>
      <x:c r="U931" s="24" t="n">
        <x:f>IFERROR(J931/H931,0)-IFERROR(K931/I931,0)</x:f>
        <x:v>-0.26136363636363635</x:v>
      </x:c>
      <x:c r="V931" s="24" t="n">
        <x:f>IFERROR(F931/J931,0)-IFERROR(G931/K931,0)</x:f>
        <x:v>0.23809523809523808</x:v>
      </x:c>
      <x:c r="W931" s="28" t="n">
        <x:f>L931-M931</x:f>
        <x:v>-1</x:v>
      </x:c>
      <x:c r="X931" s="24" t="n">
        <x:f>IFERROR(K931/I931,0)</x:f>
        <x:v>0.6363636363636364</x:v>
      </x:c>
      <x:c r="Y931" s="24" t="n">
        <x:f>IFERROR(G931/I931,0)</x:f>
        <x:v>0.2727272727272727</x:v>
      </x:c>
      <x:c r="Z931" s="24" t="n">
        <x:f>IFERROR(G931/K931,0)</x:f>
        <x:v>0.42857142857142855</x:v>
      </x:c>
      <x:c r="AA931" s="24" t="n">
        <x:f>IFERROR(F931/H931,0)-IFERROR(G931/I931,0)</x:f>
        <x:v>-0.022727272727272707</x:v>
      </x:c>
      <x:c r="AB931" s="28" t="n">
        <x:f>J931-K931</x:f>
        <x:v>-4</x:v>
      </x:c>
      <x:c r="AC931" s="32" t="n">
        <x:f>F931-G931</x:f>
        <x:v>-1</x:v>
      </x:c>
    </x:row>
    <x:row r="932">
      <x:c r="A932" s="4" t="str">
        <x:v>2022-23</x:v>
      </x:c>
      <x:c r="B932" s="20" t="n">
        <x:v>44843</x:v>
      </x:c>
      <x:c r="C932" s="4" t="str">
        <x:v>Man United</x:v>
      </x:c>
      <x:c r="D932" s="4" t="str">
        <x:v>Everton</x:v>
      </x:c>
      <x:c r="E932" s="4" t="str">
        <x:v>Away</x:v>
      </x:c>
      <x:c r="F932" s="28" t="n">
        <x:v>2</x:v>
      </x:c>
      <x:c r="G932" s="28" t="n">
        <x:v>1</x:v>
      </x:c>
      <x:c r="H932" s="28" t="n">
        <x:v>12</x:v>
      </x:c>
      <x:c r="I932" s="28" t="n">
        <x:v>11</x:v>
      </x:c>
      <x:c r="J932" s="28" t="n">
        <x:v>4</x:v>
      </x:c>
      <x:c r="K932" s="28" t="n">
        <x:v>2</x:v>
      </x:c>
      <x:c r="L932" s="28" t="n">
        <x:v>4</x:v>
      </x:c>
      <x:c r="M932" s="28" t="n">
        <x:v>5</x:v>
      </x:c>
      <x:c r="N932" s="28" t="n">
        <x:v>1</x:v>
      </x:c>
      <x:c r="O932" s="28" t="n">
        <x:v>0</x:v>
      </x:c>
      <x:c r="P932" s="28" t="n">
        <x:v>3</x:v>
      </x:c>
      <x:c r="Q932" s="24" t="n">
        <x:f>IFERROR(J932/H932,0)</x:f>
        <x:v>0.3333333333333333</x:v>
      </x:c>
      <x:c r="R932" s="24" t="n">
        <x:f>IFERROR(F932/H932,0)</x:f>
        <x:v>0.16666666666666666</x:v>
      </x:c>
      <x:c r="S932" s="24" t="n">
        <x:f>IFERROR(F932/J932,0)</x:f>
        <x:v>0.5</x:v>
      </x:c>
      <x:c r="T932" s="28" t="n">
        <x:f>H932-I932</x:f>
        <x:v>1</x:v>
      </x:c>
      <x:c r="U932" s="24" t="n">
        <x:f>IFERROR(J932/H932,0)-IFERROR(K932/I932,0)</x:f>
        <x:v>0.1515151515151515</x:v>
      </x:c>
      <x:c r="V932" s="24" t="n">
        <x:f>IFERROR(F932/J932,0)-IFERROR(G932/K932,0)</x:f>
        <x:v>0</x:v>
      </x:c>
      <x:c r="W932" s="28" t="n">
        <x:f>L932-M932</x:f>
        <x:v>-1</x:v>
      </x:c>
      <x:c r="X932" s="24" t="n">
        <x:f>IFERROR(K932/I932,0)</x:f>
        <x:v>0.18181818181818182</x:v>
      </x:c>
      <x:c r="Y932" s="24" t="n">
        <x:f>IFERROR(G932/I932,0)</x:f>
        <x:v>0.09090909090909091</x:v>
      </x:c>
      <x:c r="Z932" s="24" t="n">
        <x:f>IFERROR(G932/K932,0)</x:f>
        <x:v>0.5</x:v>
      </x:c>
      <x:c r="AA932" s="24" t="n">
        <x:f>IFERROR(F932/H932,0)-IFERROR(G932/I932,0)</x:f>
        <x:v>0.07575757575757575</x:v>
      </x:c>
      <x:c r="AB932" s="28" t="n">
        <x:f>J932-K932</x:f>
        <x:v>2</x:v>
      </x:c>
      <x:c r="AC932" s="32" t="n">
        <x:f>F932-G932</x:f>
        <x:v>1</x:v>
      </x:c>
    </x:row>
    <x:row r="933">
      <x:c r="A933" s="4" t="str">
        <x:v>2022-23</x:v>
      </x:c>
      <x:c r="B933" s="20" t="n">
        <x:v>44843</x:v>
      </x:c>
      <x:c r="C933" s="4" t="str">
        <x:v>West Ham</x:v>
      </x:c>
      <x:c r="D933" s="4" t="str">
        <x:v>Fulham</x:v>
      </x:c>
      <x:c r="E933" s="4" t="str">
        <x:v>Home</x:v>
      </x:c>
      <x:c r="F933" s="28" t="n">
        <x:v>3</x:v>
      </x:c>
      <x:c r="G933" s="28" t="n">
        <x:v>1</x:v>
      </x:c>
      <x:c r="H933" s="28" t="n">
        <x:v>17</x:v>
      </x:c>
      <x:c r="I933" s="28" t="n">
        <x:v>8</x:v>
      </x:c>
      <x:c r="J933" s="28" t="n">
        <x:v>8</x:v>
      </x:c>
      <x:c r="K933" s="28" t="n">
        <x:v>2</x:v>
      </x:c>
      <x:c r="L933" s="28" t="n">
        <x:v>4</x:v>
      </x:c>
      <x:c r="M933" s="28" t="n">
        <x:v>2</x:v>
      </x:c>
      <x:c r="N933" s="28" t="n">
        <x:v>1</x:v>
      </x:c>
      <x:c r="O933" s="28" t="n">
        <x:v>0</x:v>
      </x:c>
      <x:c r="P933" s="28" t="n">
        <x:v>3</x:v>
      </x:c>
      <x:c r="Q933" s="24" t="n">
        <x:f>IFERROR(J933/H933,0)</x:f>
        <x:v>0.47058823529411764</x:v>
      </x:c>
      <x:c r="R933" s="24" t="n">
        <x:f>IFERROR(F933/H933,0)</x:f>
        <x:v>0.17647058823529413</x:v>
      </x:c>
      <x:c r="S933" s="24" t="n">
        <x:f>IFERROR(F933/J933,0)</x:f>
        <x:v>0.375</x:v>
      </x:c>
      <x:c r="T933" s="28" t="n">
        <x:f>H933-I933</x:f>
        <x:v>9</x:v>
      </x:c>
      <x:c r="U933" s="24" t="n">
        <x:f>IFERROR(J933/H933,0)-IFERROR(K933/I933,0)</x:f>
        <x:v>0.22058823529411764</x:v>
      </x:c>
      <x:c r="V933" s="24" t="n">
        <x:f>IFERROR(F933/J933,0)-IFERROR(G933/K933,0)</x:f>
        <x:v>-0.125</x:v>
      </x:c>
      <x:c r="W933" s="28" t="n">
        <x:f>L933-M933</x:f>
        <x:v>2</x:v>
      </x:c>
      <x:c r="X933" s="24" t="n">
        <x:f>IFERROR(K933/I933,0)</x:f>
        <x:v>0.25</x:v>
      </x:c>
      <x:c r="Y933" s="24" t="n">
        <x:f>IFERROR(G933/I933,0)</x:f>
        <x:v>0.125</x:v>
      </x:c>
      <x:c r="Z933" s="24" t="n">
        <x:f>IFERROR(G933/K933,0)</x:f>
        <x:v>0.5</x:v>
      </x:c>
      <x:c r="AA933" s="24" t="n">
        <x:f>IFERROR(F933/H933,0)-IFERROR(G933/I933,0)</x:f>
        <x:v>0.05147058823529413</x:v>
      </x:c>
      <x:c r="AB933" s="28" t="n">
        <x:f>J933-K933</x:f>
        <x:v>6</x:v>
      </x:c>
      <x:c r="AC933" s="32" t="n">
        <x:f>F933-G933</x:f>
        <x:v>2</x:v>
      </x:c>
    </x:row>
    <x:row r="934">
      <x:c r="A934" s="4" t="str">
        <x:v>2022-23</x:v>
      </x:c>
      <x:c r="B934" s="20" t="n">
        <x:v>44844</x:v>
      </x:c>
      <x:c r="C934" s="4" t="str">
        <x:v>Aston Villa</x:v>
      </x:c>
      <x:c r="D934" s="4" t="str">
        <x:v>Nott'm Forest</x:v>
      </x:c>
      <x:c r="E934" s="4" t="str">
        <x:v>Away</x:v>
      </x:c>
      <x:c r="F934" s="28" t="n">
        <x:v>1</x:v>
      </x:c>
      <x:c r="G934" s="28" t="n">
        <x:v>1</x:v>
      </x:c>
      <x:c r="H934" s="28" t="n">
        <x:v>12</x:v>
      </x:c>
      <x:c r="I934" s="28" t="n">
        <x:v>6</x:v>
      </x:c>
      <x:c r="J934" s="28" t="n">
        <x:v>2</x:v>
      </x:c>
      <x:c r="K934" s="28" t="n">
        <x:v>3</x:v>
      </x:c>
      <x:c r="L934" s="28" t="n">
        <x:v>4</x:v>
      </x:c>
      <x:c r="M934" s="28" t="n">
        <x:v>1</x:v>
      </x:c>
      <x:c r="N934" s="28" t="n">
        <x:v>3</x:v>
      </x:c>
      <x:c r="O934" s="28" t="n">
        <x:v>0</x:v>
      </x:c>
      <x:c r="P934" s="28" t="n">
        <x:v>1</x:v>
      </x:c>
      <x:c r="Q934" s="24" t="n">
        <x:f>IFERROR(J934/H934,0)</x:f>
        <x:v>0.16666666666666666</x:v>
      </x:c>
      <x:c r="R934" s="24" t="n">
        <x:f>IFERROR(F934/H934,0)</x:f>
        <x:v>0.08333333333333333</x:v>
      </x:c>
      <x:c r="S934" s="24" t="n">
        <x:f>IFERROR(F934/J934,0)</x:f>
        <x:v>0.5</x:v>
      </x:c>
      <x:c r="T934" s="28" t="n">
        <x:f>H934-I934</x:f>
        <x:v>6</x:v>
      </x:c>
      <x:c r="U934" s="24" t="n">
        <x:f>IFERROR(J934/H934,0)-IFERROR(K934/I934,0)</x:f>
        <x:v>-0.33333333333333337</x:v>
      </x:c>
      <x:c r="V934" s="24" t="n">
        <x:f>IFERROR(F934/J934,0)-IFERROR(G934/K934,0)</x:f>
        <x:v>0.16666666666666669</x:v>
      </x:c>
      <x:c r="W934" s="28" t="n">
        <x:f>L934-M934</x:f>
        <x:v>3</x:v>
      </x:c>
      <x:c r="X934" s="24" t="n">
        <x:f>IFERROR(K934/I934,0)</x:f>
        <x:v>0.5</x:v>
      </x:c>
      <x:c r="Y934" s="24" t="n">
        <x:f>IFERROR(G934/I934,0)</x:f>
        <x:v>0.16666666666666666</x:v>
      </x:c>
      <x:c r="Z934" s="24" t="n">
        <x:f>IFERROR(G934/K934,0)</x:f>
        <x:v>0.3333333333333333</x:v>
      </x:c>
      <x:c r="AA934" s="24" t="n">
        <x:f>IFERROR(F934/H934,0)-IFERROR(G934/I934,0)</x:f>
        <x:v>-0.08333333333333333</x:v>
      </x:c>
      <x:c r="AB934" s="28" t="n">
        <x:f>J934-K934</x:f>
        <x:v>-1</x:v>
      </x:c>
      <x:c r="AC934" s="32" t="n">
        <x:f>F934-G934</x:f>
        <x:v>0</x:v>
      </x:c>
    </x:row>
    <x:row r="935">
      <x:c r="A935" s="4" t="str">
        <x:v>2022-23</x:v>
      </x:c>
      <x:c r="B935" s="20" t="n">
        <x:v>44844</x:v>
      </x:c>
      <x:c r="C935" s="4" t="str">
        <x:v>Nott'm Forest</x:v>
      </x:c>
      <x:c r="D935" s="4" t="str">
        <x:v>Aston Villa</x:v>
      </x:c>
      <x:c r="E935" s="4" t="str">
        <x:v>Home</x:v>
      </x:c>
      <x:c r="F935" s="28" t="n">
        <x:v>1</x:v>
      </x:c>
      <x:c r="G935" s="28" t="n">
        <x:v>1</x:v>
      </x:c>
      <x:c r="H935" s="28" t="n">
        <x:v>6</x:v>
      </x:c>
      <x:c r="I935" s="28" t="n">
        <x:v>12</x:v>
      </x:c>
      <x:c r="J935" s="28" t="n">
        <x:v>3</x:v>
      </x:c>
      <x:c r="K935" s="28" t="n">
        <x:v>2</x:v>
      </x:c>
      <x:c r="L935" s="28" t="n">
        <x:v>1</x:v>
      </x:c>
      <x:c r="M935" s="28" t="n">
        <x:v>4</x:v>
      </x:c>
      <x:c r="N935" s="28" t="n">
        <x:v>3</x:v>
      </x:c>
      <x:c r="O935" s="28" t="n">
        <x:v>0</x:v>
      </x:c>
      <x:c r="P935" s="28" t="n">
        <x:v>1</x:v>
      </x:c>
      <x:c r="Q935" s="24" t="n">
        <x:f>IFERROR(J935/H935,0)</x:f>
        <x:v>0.5</x:v>
      </x:c>
      <x:c r="R935" s="24" t="n">
        <x:f>IFERROR(F935/H935,0)</x:f>
        <x:v>0.16666666666666666</x:v>
      </x:c>
      <x:c r="S935" s="24" t="n">
        <x:f>IFERROR(F935/J935,0)</x:f>
        <x:v>0.3333333333333333</x:v>
      </x:c>
      <x:c r="T935" s="28" t="n">
        <x:f>H935-I935</x:f>
        <x:v>-6</x:v>
      </x:c>
      <x:c r="U935" s="24" t="n">
        <x:f>IFERROR(J935/H935,0)-IFERROR(K935/I935,0)</x:f>
        <x:v>0.33333333333333337</x:v>
      </x:c>
      <x:c r="V935" s="24" t="n">
        <x:f>IFERROR(F935/J935,0)-IFERROR(G935/K935,0)</x:f>
        <x:v>-0.16666666666666669</x:v>
      </x:c>
      <x:c r="W935" s="28" t="n">
        <x:f>L935-M935</x:f>
        <x:v>-3</x:v>
      </x:c>
      <x:c r="X935" s="24" t="n">
        <x:f>IFERROR(K935/I935,0)</x:f>
        <x:v>0.16666666666666666</x:v>
      </x:c>
      <x:c r="Y935" s="24" t="n">
        <x:f>IFERROR(G935/I935,0)</x:f>
        <x:v>0.08333333333333333</x:v>
      </x:c>
      <x:c r="Z935" s="24" t="n">
        <x:f>IFERROR(G935/K935,0)</x:f>
        <x:v>0.5</x:v>
      </x:c>
      <x:c r="AA935" s="24" t="n">
        <x:f>IFERROR(F935/H935,0)-IFERROR(G935/I935,0)</x:f>
        <x:v>0.08333333333333333</x:v>
      </x:c>
      <x:c r="AB935" s="28" t="n">
        <x:f>J935-K935</x:f>
        <x:v>1</x:v>
      </x:c>
      <x:c r="AC935" s="32" t="n">
        <x:f>F935-G935</x:f>
        <x:v>0</x:v>
      </x:c>
    </x:row>
    <x:row r="936">
      <x:c r="A936" s="4" t="str">
        <x:v>2022-23</x:v>
      </x:c>
      <x:c r="B936" s="20" t="n">
        <x:v>44848</x:v>
      </x:c>
      <x:c r="C936" s="4" t="str">
        <x:v>Brentford</x:v>
      </x:c>
      <x:c r="D936" s="4" t="str">
        <x:v>Brighton</x:v>
      </x:c>
      <x:c r="E936" s="4" t="str">
        <x:v>Home</x:v>
      </x:c>
      <x:c r="F936" s="28" t="n">
        <x:v>2</x:v>
      </x:c>
      <x:c r="G936" s="28" t="n">
        <x:v>0</x:v>
      </x:c>
      <x:c r="H936" s="28" t="n">
        <x:v>7</x:v>
      </x:c>
      <x:c r="I936" s="28" t="n">
        <x:v>21</x:v>
      </x:c>
      <x:c r="J936" s="28" t="n">
        <x:v>3</x:v>
      </x:c>
      <x:c r="K936" s="28" t="n">
        <x:v>7</x:v>
      </x:c>
      <x:c r="L936" s="28" t="n">
        <x:v>2</x:v>
      </x:c>
      <x:c r="M936" s="28" t="n">
        <x:v>11</x:v>
      </x:c>
      <x:c r="N936" s="28" t="n">
        <x:v>3</x:v>
      </x:c>
      <x:c r="O936" s="28" t="n">
        <x:v>0</x:v>
      </x:c>
      <x:c r="P936" s="28" t="n">
        <x:v>3</x:v>
      </x:c>
      <x:c r="Q936" s="24" t="n">
        <x:f>IFERROR(J936/H936,0)</x:f>
        <x:v>0.42857142857142855</x:v>
      </x:c>
      <x:c r="R936" s="24" t="n">
        <x:f>IFERROR(F936/H936,0)</x:f>
        <x:v>0.2857142857142857</x:v>
      </x:c>
      <x:c r="S936" s="24" t="n">
        <x:f>IFERROR(F936/J936,0)</x:f>
        <x:v>0.6666666666666666</x:v>
      </x:c>
      <x:c r="T936" s="28" t="n">
        <x:f>H936-I936</x:f>
        <x:v>-14</x:v>
      </x:c>
      <x:c r="U936" s="24" t="n">
        <x:f>IFERROR(J936/H936,0)-IFERROR(K936/I936,0)</x:f>
        <x:v>0.09523809523809523</x:v>
      </x:c>
      <x:c r="V936" s="24" t="n">
        <x:f>IFERROR(F936/J936,0)-IFERROR(G936/K936,0)</x:f>
        <x:v>0.6666666666666666</x:v>
      </x:c>
      <x:c r="W936" s="28" t="n">
        <x:f>L936-M936</x:f>
        <x:v>-9</x:v>
      </x:c>
      <x:c r="X936" s="24" t="n">
        <x:f>IFERROR(K936/I936,0)</x:f>
        <x:v>0.3333333333333333</x:v>
      </x:c>
      <x:c r="Y936" s="24" t="n">
        <x:f>IFERROR(G936/I936,0)</x:f>
        <x:v>0</x:v>
      </x:c>
      <x:c r="Z936" s="24" t="n">
        <x:f>IFERROR(G936/K936,0)</x:f>
        <x:v>0</x:v>
      </x:c>
      <x:c r="AA936" s="24" t="n">
        <x:f>IFERROR(F936/H936,0)-IFERROR(G936/I936,0)</x:f>
        <x:v>0.2857142857142857</x:v>
      </x:c>
      <x:c r="AB936" s="28" t="n">
        <x:f>J936-K936</x:f>
        <x:v>-4</x:v>
      </x:c>
      <x:c r="AC936" s="32" t="n">
        <x:f>F936-G936</x:f>
        <x:v>2</x:v>
      </x:c>
    </x:row>
    <x:row r="937">
      <x:c r="A937" s="4" t="str">
        <x:v>2022-23</x:v>
      </x:c>
      <x:c r="B937" s="20" t="n">
        <x:v>44848</x:v>
      </x:c>
      <x:c r="C937" s="4" t="str">
        <x:v>Brighton</x:v>
      </x:c>
      <x:c r="D937" s="4" t="str">
        <x:v>Brentford</x:v>
      </x:c>
      <x:c r="E937" s="4" t="str">
        <x:v>Away</x:v>
      </x:c>
      <x:c r="F937" s="28" t="n">
        <x:v>0</x:v>
      </x:c>
      <x:c r="G937" s="28" t="n">
        <x:v>2</x:v>
      </x:c>
      <x:c r="H937" s="28" t="n">
        <x:v>21</x:v>
      </x:c>
      <x:c r="I937" s="28" t="n">
        <x:v>7</x:v>
      </x:c>
      <x:c r="J937" s="28" t="n">
        <x:v>7</x:v>
      </x:c>
      <x:c r="K937" s="28" t="n">
        <x:v>3</x:v>
      </x:c>
      <x:c r="L937" s="28" t="n">
        <x:v>11</x:v>
      </x:c>
      <x:c r="M937" s="28" t="n">
        <x:v>2</x:v>
      </x:c>
      <x:c r="N937" s="28" t="n">
        <x:v>1</x:v>
      </x:c>
      <x:c r="O937" s="28" t="n">
        <x:v>0</x:v>
      </x:c>
      <x:c r="P937" s="28" t="n">
        <x:v>0</x:v>
      </x:c>
      <x:c r="Q937" s="24" t="n">
        <x:f>IFERROR(J937/H937,0)</x:f>
        <x:v>0.3333333333333333</x:v>
      </x:c>
      <x:c r="R937" s="24" t="n">
        <x:f>IFERROR(F937/H937,0)</x:f>
        <x:v>0</x:v>
      </x:c>
      <x:c r="S937" s="24" t="n">
        <x:f>IFERROR(F937/J937,0)</x:f>
        <x:v>0</x:v>
      </x:c>
      <x:c r="T937" s="28" t="n">
        <x:f>H937-I937</x:f>
        <x:v>14</x:v>
      </x:c>
      <x:c r="U937" s="24" t="n">
        <x:f>IFERROR(J937/H937,0)-IFERROR(K937/I937,0)</x:f>
        <x:v>-0.09523809523809523</x:v>
      </x:c>
      <x:c r="V937" s="24" t="n">
        <x:f>IFERROR(F937/J937,0)-IFERROR(G937/K937,0)</x:f>
        <x:v>-0.6666666666666666</x:v>
      </x:c>
      <x:c r="W937" s="28" t="n">
        <x:f>L937-M937</x:f>
        <x:v>9</x:v>
      </x:c>
      <x:c r="X937" s="24" t="n">
        <x:f>IFERROR(K937/I937,0)</x:f>
        <x:v>0.42857142857142855</x:v>
      </x:c>
      <x:c r="Y937" s="24" t="n">
        <x:f>IFERROR(G937/I937,0)</x:f>
        <x:v>0.2857142857142857</x:v>
      </x:c>
      <x:c r="Z937" s="24" t="n">
        <x:f>IFERROR(G937/K937,0)</x:f>
        <x:v>0.6666666666666666</x:v>
      </x:c>
      <x:c r="AA937" s="24" t="n">
        <x:f>IFERROR(F937/H937,0)-IFERROR(G937/I937,0)</x:f>
        <x:v>-0.2857142857142857</x:v>
      </x:c>
      <x:c r="AB937" s="28" t="n">
        <x:f>J937-K937</x:f>
        <x:v>4</x:v>
      </x:c>
      <x:c r="AC937" s="32" t="n">
        <x:f>F937-G937</x:f>
        <x:v>-2</x:v>
      </x:c>
    </x:row>
    <x:row r="938">
      <x:c r="A938" s="4" t="str">
        <x:v>2022-23</x:v>
      </x:c>
      <x:c r="B938" s="20" t="n">
        <x:v>44849</x:v>
      </x:c>
      <x:c r="C938" s="4" t="str">
        <x:v>Bournemouth</x:v>
      </x:c>
      <x:c r="D938" s="4" t="str">
        <x:v>Fulham</x:v>
      </x:c>
      <x:c r="E938" s="4" t="str">
        <x:v>Away</x:v>
      </x:c>
      <x:c r="F938" s="28" t="n">
        <x:v>2</x:v>
      </x:c>
      <x:c r="G938" s="28" t="n">
        <x:v>2</x:v>
      </x:c>
      <x:c r="H938" s="28" t="n">
        <x:v>10</x:v>
      </x:c>
      <x:c r="I938" s="28" t="n">
        <x:v>19</x:v>
      </x:c>
      <x:c r="J938" s="28" t="n">
        <x:v>6</x:v>
      </x:c>
      <x:c r="K938" s="28" t="n">
        <x:v>4</x:v>
      </x:c>
      <x:c r="L938" s="28" t="n">
        <x:v>6</x:v>
      </x:c>
      <x:c r="M938" s="28" t="n">
        <x:v>5</x:v>
      </x:c>
      <x:c r="N938" s="28" t="n">
        <x:v>0</x:v>
      </x:c>
      <x:c r="O938" s="28" t="n">
        <x:v>0</x:v>
      </x:c>
      <x:c r="P938" s="28" t="n">
        <x:v>1</x:v>
      </x:c>
      <x:c r="Q938" s="24" t="n">
        <x:f>IFERROR(J938/H938,0)</x:f>
        <x:v>0.6</x:v>
      </x:c>
      <x:c r="R938" s="24" t="n">
        <x:f>IFERROR(F938/H938,0)</x:f>
        <x:v>0.2</x:v>
      </x:c>
      <x:c r="S938" s="24" t="n">
        <x:f>IFERROR(F938/J938,0)</x:f>
        <x:v>0.3333333333333333</x:v>
      </x:c>
      <x:c r="T938" s="28" t="n">
        <x:f>H938-I938</x:f>
        <x:v>-9</x:v>
      </x:c>
      <x:c r="U938" s="24" t="n">
        <x:f>IFERROR(J938/H938,0)-IFERROR(K938/I938,0)</x:f>
        <x:v>0.3894736842105263</x:v>
      </x:c>
      <x:c r="V938" s="24" t="n">
        <x:f>IFERROR(F938/J938,0)-IFERROR(G938/K938,0)</x:f>
        <x:v>-0.16666666666666669</x:v>
      </x:c>
      <x:c r="W938" s="28" t="n">
        <x:f>L938-M938</x:f>
        <x:v>1</x:v>
      </x:c>
      <x:c r="X938" s="24" t="n">
        <x:f>IFERROR(K938/I938,0)</x:f>
        <x:v>0.21052631578947367</x:v>
      </x:c>
      <x:c r="Y938" s="24" t="n">
        <x:f>IFERROR(G938/I938,0)</x:f>
        <x:v>0.10526315789473684</x:v>
      </x:c>
      <x:c r="Z938" s="24" t="n">
        <x:f>IFERROR(G938/K938,0)</x:f>
        <x:v>0.5</x:v>
      </x:c>
      <x:c r="AA938" s="24" t="n">
        <x:f>IFERROR(F938/H938,0)-IFERROR(G938/I938,0)</x:f>
        <x:v>0.09473684210526317</x:v>
      </x:c>
      <x:c r="AB938" s="28" t="n">
        <x:f>J938-K938</x:f>
        <x:v>2</x:v>
      </x:c>
      <x:c r="AC938" s="32" t="n">
        <x:f>F938-G938</x:f>
        <x:v>0</x:v>
      </x:c>
    </x:row>
    <x:row r="939">
      <x:c r="A939" s="4" t="str">
        <x:v>2022-23</x:v>
      </x:c>
      <x:c r="B939" s="20" t="n">
        <x:v>44849</x:v>
      </x:c>
      <x:c r="C939" s="4" t="str">
        <x:v>Crystal Palace</x:v>
      </x:c>
      <x:c r="D939" s="4" t="str">
        <x:v>Leicester</x:v>
      </x:c>
      <x:c r="E939" s="4" t="str">
        <x:v>Away</x:v>
      </x:c>
      <x:c r="F939" s="28" t="n">
        <x:v>0</x:v>
      </x:c>
      <x:c r="G939" s="28" t="n">
        <x:v>0</x:v>
      </x:c>
      <x:c r="H939" s="28" t="n">
        <x:v>8</x:v>
      </x:c>
      <x:c r="I939" s="28" t="n">
        <x:v>14</x:v>
      </x:c>
      <x:c r="J939" s="28" t="n">
        <x:v>1</x:v>
      </x:c>
      <x:c r="K939" s="28" t="n">
        <x:v>5</x:v>
      </x:c>
      <x:c r="L939" s="28" t="n">
        <x:v>2</x:v>
      </x:c>
      <x:c r="M939" s="28" t="n">
        <x:v>9</x:v>
      </x:c>
      <x:c r="N939" s="28" t="n">
        <x:v>2</x:v>
      </x:c>
      <x:c r="O939" s="28" t="n">
        <x:v>0</x:v>
      </x:c>
      <x:c r="P939" s="28" t="n">
        <x:v>1</x:v>
      </x:c>
      <x:c r="Q939" s="24" t="n">
        <x:f>IFERROR(J939/H939,0)</x:f>
        <x:v>0.125</x:v>
      </x:c>
      <x:c r="R939" s="24" t="n">
        <x:f>IFERROR(F939/H939,0)</x:f>
        <x:v>0</x:v>
      </x:c>
      <x:c r="S939" s="24" t="n">
        <x:f>IFERROR(F939/J939,0)</x:f>
        <x:v>0</x:v>
      </x:c>
      <x:c r="T939" s="28" t="n">
        <x:f>H939-I939</x:f>
        <x:v>-6</x:v>
      </x:c>
      <x:c r="U939" s="24" t="n">
        <x:f>IFERROR(J939/H939,0)-IFERROR(K939/I939,0)</x:f>
        <x:v>-0.23214285714285715</x:v>
      </x:c>
      <x:c r="V939" s="24" t="n">
        <x:f>IFERROR(F939/J939,0)-IFERROR(G939/K939,0)</x:f>
        <x:v>0</x:v>
      </x:c>
      <x:c r="W939" s="28" t="n">
        <x:f>L939-M939</x:f>
        <x:v>-7</x:v>
      </x:c>
      <x:c r="X939" s="24" t="n">
        <x:f>IFERROR(K939/I939,0)</x:f>
        <x:v>0.35714285714285715</x:v>
      </x:c>
      <x:c r="Y939" s="24" t="n">
        <x:f>IFERROR(G939/I939,0)</x:f>
        <x:v>0</x:v>
      </x:c>
      <x:c r="Z939" s="24" t="n">
        <x:f>IFERROR(G939/K939,0)</x:f>
        <x:v>0</x:v>
      </x:c>
      <x:c r="AA939" s="24" t="n">
        <x:f>IFERROR(F939/H939,0)-IFERROR(G939/I939,0)</x:f>
        <x:v>0</x:v>
      </x:c>
      <x:c r="AB939" s="28" t="n">
        <x:f>J939-K939</x:f>
        <x:v>-4</x:v>
      </x:c>
      <x:c r="AC939" s="32" t="n">
        <x:f>F939-G939</x:f>
        <x:v>0</x:v>
      </x:c>
    </x:row>
    <x:row r="940">
      <x:c r="A940" s="4" t="str">
        <x:v>2022-23</x:v>
      </x:c>
      <x:c r="B940" s="20" t="n">
        <x:v>44849</x:v>
      </x:c>
      <x:c r="C940" s="4" t="str">
        <x:v>Everton</x:v>
      </x:c>
      <x:c r="D940" s="4" t="str">
        <x:v>Tottenham</x:v>
      </x:c>
      <x:c r="E940" s="4" t="str">
        <x:v>Away</x:v>
      </x:c>
      <x:c r="F940" s="28" t="n">
        <x:v>0</x:v>
      </x:c>
      <x:c r="G940" s="28" t="n">
        <x:v>2</x:v>
      </x:c>
      <x:c r="H940" s="28" t="n">
        <x:v>4</x:v>
      </x:c>
      <x:c r="I940" s="28" t="n">
        <x:v>21</x:v>
      </x:c>
      <x:c r="J940" s="28" t="n">
        <x:v>0</x:v>
      </x:c>
      <x:c r="K940" s="28" t="n">
        <x:v>7</x:v>
      </x:c>
      <x:c r="L940" s="28" t="n">
        <x:v>1</x:v>
      </x:c>
      <x:c r="M940" s="28" t="n">
        <x:v>7</x:v>
      </x:c>
      <x:c r="N940" s="28" t="n">
        <x:v>4</x:v>
      </x:c>
      <x:c r="O940" s="28" t="n">
        <x:v>0</x:v>
      </x:c>
      <x:c r="P940" s="28" t="n">
        <x:v>0</x:v>
      </x:c>
      <x:c r="Q940" s="24" t="n">
        <x:f>IFERROR(J940/H940,0)</x:f>
        <x:v>0</x:v>
      </x:c>
      <x:c r="R940" s="24" t="n">
        <x:f>IFERROR(F940/H940,0)</x:f>
        <x:v>0</x:v>
      </x:c>
      <x:c r="S940" s="24" t="n">
        <x:f>IFERROR(F940/J940,0)</x:f>
        <x:v>0</x:v>
      </x:c>
      <x:c r="T940" s="28" t="n">
        <x:f>H940-I940</x:f>
        <x:v>-17</x:v>
      </x:c>
      <x:c r="U940" s="24" t="n">
        <x:f>IFERROR(J940/H940,0)-IFERROR(K940/I940,0)</x:f>
        <x:v>-0.3333333333333333</x:v>
      </x:c>
      <x:c r="V940" s="24" t="n">
        <x:f>IFERROR(F940/J940,0)-IFERROR(G940/K940,0)</x:f>
        <x:v>-0.2857142857142857</x:v>
      </x:c>
      <x:c r="W940" s="28" t="n">
        <x:f>L940-M940</x:f>
        <x:v>-6</x:v>
      </x:c>
      <x:c r="X940" s="24" t="n">
        <x:f>IFERROR(K940/I940,0)</x:f>
        <x:v>0.3333333333333333</x:v>
      </x:c>
      <x:c r="Y940" s="24" t="n">
        <x:f>IFERROR(G940/I940,0)</x:f>
        <x:v>0.09523809523809523</x:v>
      </x:c>
      <x:c r="Z940" s="24" t="n">
        <x:f>IFERROR(G940/K940,0)</x:f>
        <x:v>0.2857142857142857</x:v>
      </x:c>
      <x:c r="AA940" s="24" t="n">
        <x:f>IFERROR(F940/H940,0)-IFERROR(G940/I940,0)</x:f>
        <x:v>-0.09523809523809523</x:v>
      </x:c>
      <x:c r="AB940" s="28" t="n">
        <x:f>J940-K940</x:f>
        <x:v>-7</x:v>
      </x:c>
      <x:c r="AC940" s="32" t="n">
        <x:f>F940-G940</x:f>
        <x:v>-2</x:v>
      </x:c>
    </x:row>
    <x:row r="941">
      <x:c r="A941" s="4" t="str">
        <x:v>2022-23</x:v>
      </x:c>
      <x:c r="B941" s="20" t="n">
        <x:v>44849</x:v>
      </x:c>
      <x:c r="C941" s="4" t="str">
        <x:v>Fulham</x:v>
      </x:c>
      <x:c r="D941" s="4" t="str">
        <x:v>Bournemouth</x:v>
      </x:c>
      <x:c r="E941" s="4" t="str">
        <x:v>Home</x:v>
      </x:c>
      <x:c r="F941" s="28" t="n">
        <x:v>2</x:v>
      </x:c>
      <x:c r="G941" s="28" t="n">
        <x:v>2</x:v>
      </x:c>
      <x:c r="H941" s="28" t="n">
        <x:v>19</x:v>
      </x:c>
      <x:c r="I941" s="28" t="n">
        <x:v>10</x:v>
      </x:c>
      <x:c r="J941" s="28" t="n">
        <x:v>4</x:v>
      </x:c>
      <x:c r="K941" s="28" t="n">
        <x:v>6</x:v>
      </x:c>
      <x:c r="L941" s="28" t="n">
        <x:v>5</x:v>
      </x:c>
      <x:c r="M941" s="28" t="n">
        <x:v>6</x:v>
      </x:c>
      <x:c r="N941" s="28" t="n">
        <x:v>2</x:v>
      </x:c>
      <x:c r="O941" s="28" t="n">
        <x:v>0</x:v>
      </x:c>
      <x:c r="P941" s="28" t="n">
        <x:v>1</x:v>
      </x:c>
      <x:c r="Q941" s="24" t="n">
        <x:f>IFERROR(J941/H941,0)</x:f>
        <x:v>0.21052631578947367</x:v>
      </x:c>
      <x:c r="R941" s="24" t="n">
        <x:f>IFERROR(F941/H941,0)</x:f>
        <x:v>0.10526315789473684</x:v>
      </x:c>
      <x:c r="S941" s="24" t="n">
        <x:f>IFERROR(F941/J941,0)</x:f>
        <x:v>0.5</x:v>
      </x:c>
      <x:c r="T941" s="28" t="n">
        <x:f>H941-I941</x:f>
        <x:v>9</x:v>
      </x:c>
      <x:c r="U941" s="24" t="n">
        <x:f>IFERROR(J941/H941,0)-IFERROR(K941/I941,0)</x:f>
        <x:v>-0.3894736842105263</x:v>
      </x:c>
      <x:c r="V941" s="24" t="n">
        <x:f>IFERROR(F941/J941,0)-IFERROR(G941/K941,0)</x:f>
        <x:v>0.16666666666666669</x:v>
      </x:c>
      <x:c r="W941" s="28" t="n">
        <x:f>L941-M941</x:f>
        <x:v>-1</x:v>
      </x:c>
      <x:c r="X941" s="24" t="n">
        <x:f>IFERROR(K941/I941,0)</x:f>
        <x:v>0.6</x:v>
      </x:c>
      <x:c r="Y941" s="24" t="n">
        <x:f>IFERROR(G941/I941,0)</x:f>
        <x:v>0.2</x:v>
      </x:c>
      <x:c r="Z941" s="24" t="n">
        <x:f>IFERROR(G941/K941,0)</x:f>
        <x:v>0.3333333333333333</x:v>
      </x:c>
      <x:c r="AA941" s="24" t="n">
        <x:f>IFERROR(F941/H941,0)-IFERROR(G941/I941,0)</x:f>
        <x:v>-0.09473684210526317</x:v>
      </x:c>
      <x:c r="AB941" s="28" t="n">
        <x:f>J941-K941</x:f>
        <x:v>-2</x:v>
      </x:c>
      <x:c r="AC941" s="32" t="n">
        <x:f>F941-G941</x:f>
        <x:v>0</x:v>
      </x:c>
    </x:row>
    <x:row r="942">
      <x:c r="A942" s="4" t="str">
        <x:v>2022-23</x:v>
      </x:c>
      <x:c r="B942" s="20" t="n">
        <x:v>44849</x:v>
      </x:c>
      <x:c r="C942" s="4" t="str">
        <x:v>Leicester</x:v>
      </x:c>
      <x:c r="D942" s="4" t="str">
        <x:v>Crystal Palace</x:v>
      </x:c>
      <x:c r="E942" s="4" t="str">
        <x:v>Home</x:v>
      </x:c>
      <x:c r="F942" s="28" t="n">
        <x:v>0</x:v>
      </x:c>
      <x:c r="G942" s="28" t="n">
        <x:v>0</x:v>
      </x:c>
      <x:c r="H942" s="28" t="n">
        <x:v>14</x:v>
      </x:c>
      <x:c r="I942" s="28" t="n">
        <x:v>8</x:v>
      </x:c>
      <x:c r="J942" s="28" t="n">
        <x:v>5</x:v>
      </x:c>
      <x:c r="K942" s="28" t="n">
        <x:v>1</x:v>
      </x:c>
      <x:c r="L942" s="28" t="n">
        <x:v>9</x:v>
      </x:c>
      <x:c r="M942" s="28" t="n">
        <x:v>2</x:v>
      </x:c>
      <x:c r="N942" s="28" t="n">
        <x:v>2</x:v>
      </x:c>
      <x:c r="O942" s="28" t="n">
        <x:v>0</x:v>
      </x:c>
      <x:c r="P942" s="28" t="n">
        <x:v>1</x:v>
      </x:c>
      <x:c r="Q942" s="24" t="n">
        <x:f>IFERROR(J942/H942,0)</x:f>
        <x:v>0.35714285714285715</x:v>
      </x:c>
      <x:c r="R942" s="24" t="n">
        <x:f>IFERROR(F942/H942,0)</x:f>
        <x:v>0</x:v>
      </x:c>
      <x:c r="S942" s="24" t="n">
        <x:f>IFERROR(F942/J942,0)</x:f>
        <x:v>0</x:v>
      </x:c>
      <x:c r="T942" s="28" t="n">
        <x:f>H942-I942</x:f>
        <x:v>6</x:v>
      </x:c>
      <x:c r="U942" s="24" t="n">
        <x:f>IFERROR(J942/H942,0)-IFERROR(K942/I942,0)</x:f>
        <x:v>0.23214285714285715</x:v>
      </x:c>
      <x:c r="V942" s="24" t="n">
        <x:f>IFERROR(F942/J942,0)-IFERROR(G942/K942,0)</x:f>
        <x:v>0</x:v>
      </x:c>
      <x:c r="W942" s="28" t="n">
        <x:f>L942-M942</x:f>
        <x:v>7</x:v>
      </x:c>
      <x:c r="X942" s="24" t="n">
        <x:f>IFERROR(K942/I942,0)</x:f>
        <x:v>0.125</x:v>
      </x:c>
      <x:c r="Y942" s="24" t="n">
        <x:f>IFERROR(G942/I942,0)</x:f>
        <x:v>0</x:v>
      </x:c>
      <x:c r="Z942" s="24" t="n">
        <x:f>IFERROR(G942/K942,0)</x:f>
        <x:v>0</x:v>
      </x:c>
      <x:c r="AA942" s="24" t="n">
        <x:f>IFERROR(F942/H942,0)-IFERROR(G942/I942,0)</x:f>
        <x:v>0</x:v>
      </x:c>
      <x:c r="AB942" s="28" t="n">
        <x:f>J942-K942</x:f>
        <x:v>4</x:v>
      </x:c>
      <x:c r="AC942" s="32" t="n">
        <x:f>F942-G942</x:f>
        <x:v>0</x:v>
      </x:c>
    </x:row>
    <x:row r="943">
      <x:c r="A943" s="4" t="str">
        <x:v>2022-23</x:v>
      </x:c>
      <x:c r="B943" s="20" t="n">
        <x:v>44849</x:v>
      </x:c>
      <x:c r="C943" s="4" t="str">
        <x:v>Nott'm Forest</x:v>
      </x:c>
      <x:c r="D943" s="4" t="str">
        <x:v>Wolves</x:v>
      </x:c>
      <x:c r="E943" s="4" t="str">
        <x:v>Away</x:v>
      </x:c>
      <x:c r="F943" s="28" t="n">
        <x:v>0</x:v>
      </x:c>
      <x:c r="G943" s="28" t="n">
        <x:v>1</x:v>
      </x:c>
      <x:c r="H943" s="28" t="n">
        <x:v>10</x:v>
      </x:c>
      <x:c r="I943" s="28" t="n">
        <x:v>9</x:v>
      </x:c>
      <x:c r="J943" s="28" t="n">
        <x:v>2</x:v>
      </x:c>
      <x:c r="K943" s="28" t="n">
        <x:v>2</x:v>
      </x:c>
      <x:c r="L943" s="28" t="n">
        <x:v>5</x:v>
      </x:c>
      <x:c r="M943" s="28" t="n">
        <x:v>4</x:v>
      </x:c>
      <x:c r="N943" s="28" t="n">
        <x:v>2</x:v>
      </x:c>
      <x:c r="O943" s="28" t="n">
        <x:v>0</x:v>
      </x:c>
      <x:c r="P943" s="28" t="n">
        <x:v>0</x:v>
      </x:c>
      <x:c r="Q943" s="24" t="n">
        <x:f>IFERROR(J943/H943,0)</x:f>
        <x:v>0.2</x:v>
      </x:c>
      <x:c r="R943" s="24" t="n">
        <x:f>IFERROR(F943/H943,0)</x:f>
        <x:v>0</x:v>
      </x:c>
      <x:c r="S943" s="24" t="n">
        <x:f>IFERROR(F943/J943,0)</x:f>
        <x:v>0</x:v>
      </x:c>
      <x:c r="T943" s="28" t="n">
        <x:f>H943-I943</x:f>
        <x:v>1</x:v>
      </x:c>
      <x:c r="U943" s="24" t="n">
        <x:f>IFERROR(J943/H943,0)-IFERROR(K943/I943,0)</x:f>
        <x:v>-0.0222222222222222</x:v>
      </x:c>
      <x:c r="V943" s="24" t="n">
        <x:f>IFERROR(F943/J943,0)-IFERROR(G943/K943,0)</x:f>
        <x:v>-0.5</x:v>
      </x:c>
      <x:c r="W943" s="28" t="n">
        <x:f>L943-M943</x:f>
        <x:v>1</x:v>
      </x:c>
      <x:c r="X943" s="24" t="n">
        <x:f>IFERROR(K943/I943,0)</x:f>
        <x:v>0.2222222222222222</x:v>
      </x:c>
      <x:c r="Y943" s="24" t="n">
        <x:f>IFERROR(G943/I943,0)</x:f>
        <x:v>0.1111111111111111</x:v>
      </x:c>
      <x:c r="Z943" s="24" t="n">
        <x:f>IFERROR(G943/K943,0)</x:f>
        <x:v>0.5</x:v>
      </x:c>
      <x:c r="AA943" s="24" t="n">
        <x:f>IFERROR(F943/H943,0)-IFERROR(G943/I943,0)</x:f>
        <x:v>-0.1111111111111111</x:v>
      </x:c>
      <x:c r="AB943" s="28" t="n">
        <x:f>J943-K943</x:f>
        <x:v>0</x:v>
      </x:c>
      <x:c r="AC943" s="32" t="n">
        <x:f>F943-G943</x:f>
        <x:v>-1</x:v>
      </x:c>
    </x:row>
    <x:row r="944">
      <x:c r="A944" s="4" t="str">
        <x:v>2022-23</x:v>
      </x:c>
      <x:c r="B944" s="20" t="n">
        <x:v>44849</x:v>
      </x:c>
      <x:c r="C944" s="4" t="str">
        <x:v>Tottenham</x:v>
      </x:c>
      <x:c r="D944" s="4" t="str">
        <x:v>Everton</x:v>
      </x:c>
      <x:c r="E944" s="4" t="str">
        <x:v>Home</x:v>
      </x:c>
      <x:c r="F944" s="28" t="n">
        <x:v>2</x:v>
      </x:c>
      <x:c r="G944" s="28" t="n">
        <x:v>0</x:v>
      </x:c>
      <x:c r="H944" s="28" t="n">
        <x:v>21</x:v>
      </x:c>
      <x:c r="I944" s="28" t="n">
        <x:v>4</x:v>
      </x:c>
      <x:c r="J944" s="28" t="n">
        <x:v>7</x:v>
      </x:c>
      <x:c r="K944" s="28" t="n">
        <x:v>0</x:v>
      </x:c>
      <x:c r="L944" s="28" t="n">
        <x:v>7</x:v>
      </x:c>
      <x:c r="M944" s="28" t="n">
        <x:v>1</x:v>
      </x:c>
      <x:c r="N944" s="28" t="n">
        <x:v>1</x:v>
      </x:c>
      <x:c r="O944" s="28" t="n">
        <x:v>0</x:v>
      </x:c>
      <x:c r="P944" s="28" t="n">
        <x:v>3</x:v>
      </x:c>
      <x:c r="Q944" s="24" t="n">
        <x:f>IFERROR(J944/H944,0)</x:f>
        <x:v>0.3333333333333333</x:v>
      </x:c>
      <x:c r="R944" s="24" t="n">
        <x:f>IFERROR(F944/H944,0)</x:f>
        <x:v>0.09523809523809523</x:v>
      </x:c>
      <x:c r="S944" s="24" t="n">
        <x:f>IFERROR(F944/J944,0)</x:f>
        <x:v>0.2857142857142857</x:v>
      </x:c>
      <x:c r="T944" s="28" t="n">
        <x:f>H944-I944</x:f>
        <x:v>17</x:v>
      </x:c>
      <x:c r="U944" s="24" t="n">
        <x:f>IFERROR(J944/H944,0)-IFERROR(K944/I944,0)</x:f>
        <x:v>0.3333333333333333</x:v>
      </x:c>
      <x:c r="V944" s="24" t="n">
        <x:f>IFERROR(F944/J944,0)-IFERROR(G944/K944,0)</x:f>
        <x:v>0.2857142857142857</x:v>
      </x:c>
      <x:c r="W944" s="28" t="n">
        <x:f>L944-M944</x:f>
        <x:v>6</x:v>
      </x:c>
      <x:c r="X944" s="24" t="n">
        <x:f>IFERROR(K944/I944,0)</x:f>
        <x:v>0</x:v>
      </x:c>
      <x:c r="Y944" s="24" t="n">
        <x:f>IFERROR(G944/I944,0)</x:f>
        <x:v>0</x:v>
      </x:c>
      <x:c r="Z944" s="24" t="n">
        <x:f>IFERROR(G944/K944,0)</x:f>
        <x:v>0</x:v>
      </x:c>
      <x:c r="AA944" s="24" t="n">
        <x:f>IFERROR(F944/H944,0)-IFERROR(G944/I944,0)</x:f>
        <x:v>0.09523809523809523</x:v>
      </x:c>
      <x:c r="AB944" s="28" t="n">
        <x:f>J944-K944</x:f>
        <x:v>7</x:v>
      </x:c>
      <x:c r="AC944" s="32" t="n">
        <x:f>F944-G944</x:f>
        <x:v>2</x:v>
      </x:c>
    </x:row>
    <x:row r="945">
      <x:c r="A945" s="4" t="str">
        <x:v>2022-23</x:v>
      </x:c>
      <x:c r="B945" s="20" t="n">
        <x:v>44849</x:v>
      </x:c>
      <x:c r="C945" s="4" t="str">
        <x:v>Wolves</x:v>
      </x:c>
      <x:c r="D945" s="4" t="str">
        <x:v>Nott'm Forest</x:v>
      </x:c>
      <x:c r="E945" s="4" t="str">
        <x:v>Home</x:v>
      </x:c>
      <x:c r="F945" s="28" t="n">
        <x:v>1</x:v>
      </x:c>
      <x:c r="G945" s="28" t="n">
        <x:v>0</x:v>
      </x:c>
      <x:c r="H945" s="28" t="n">
        <x:v>9</x:v>
      </x:c>
      <x:c r="I945" s="28" t="n">
        <x:v>10</x:v>
      </x:c>
      <x:c r="J945" s="28" t="n">
        <x:v>2</x:v>
      </x:c>
      <x:c r="K945" s="28" t="n">
        <x:v>2</x:v>
      </x:c>
      <x:c r="L945" s="28" t="n">
        <x:v>4</x:v>
      </x:c>
      <x:c r="M945" s="28" t="n">
        <x:v>5</x:v>
      </x:c>
      <x:c r="N945" s="28" t="n">
        <x:v>2</x:v>
      </x:c>
      <x:c r="O945" s="28" t="n">
        <x:v>0</x:v>
      </x:c>
      <x:c r="P945" s="28" t="n">
        <x:v>3</x:v>
      </x:c>
      <x:c r="Q945" s="24" t="n">
        <x:f>IFERROR(J945/H945,0)</x:f>
        <x:v>0.2222222222222222</x:v>
      </x:c>
      <x:c r="R945" s="24" t="n">
        <x:f>IFERROR(F945/H945,0)</x:f>
        <x:v>0.1111111111111111</x:v>
      </x:c>
      <x:c r="S945" s="24" t="n">
        <x:f>IFERROR(F945/J945,0)</x:f>
        <x:v>0.5</x:v>
      </x:c>
      <x:c r="T945" s="28" t="n">
        <x:f>H945-I945</x:f>
        <x:v>-1</x:v>
      </x:c>
      <x:c r="U945" s="24" t="n">
        <x:f>IFERROR(J945/H945,0)-IFERROR(K945/I945,0)</x:f>
        <x:v>0.0222222222222222</x:v>
      </x:c>
      <x:c r="V945" s="24" t="n">
        <x:f>IFERROR(F945/J945,0)-IFERROR(G945/K945,0)</x:f>
        <x:v>0.5</x:v>
      </x:c>
      <x:c r="W945" s="28" t="n">
        <x:f>L945-M945</x:f>
        <x:v>-1</x:v>
      </x:c>
      <x:c r="X945" s="24" t="n">
        <x:f>IFERROR(K945/I945,0)</x:f>
        <x:v>0.2</x:v>
      </x:c>
      <x:c r="Y945" s="24" t="n">
        <x:f>IFERROR(G945/I945,0)</x:f>
        <x:v>0</x:v>
      </x:c>
      <x:c r="Z945" s="24" t="n">
        <x:f>IFERROR(G945/K945,0)</x:f>
        <x:v>0</x:v>
      </x:c>
      <x:c r="AA945" s="24" t="n">
        <x:f>IFERROR(F945/H945,0)-IFERROR(G945/I945,0)</x:f>
        <x:v>0.1111111111111111</x:v>
      </x:c>
      <x:c r="AB945" s="28" t="n">
        <x:f>J945-K945</x:f>
        <x:v>0</x:v>
      </x:c>
      <x:c r="AC945" s="32" t="n">
        <x:f>F945-G945</x:f>
        <x:v>1</x:v>
      </x:c>
    </x:row>
    <x:row r="946">
      <x:c r="A946" s="4" t="str">
        <x:v>2022-23</x:v>
      </x:c>
      <x:c r="B946" s="20" t="n">
        <x:v>44850</x:v>
      </x:c>
      <x:c r="C946" s="4" t="str">
        <x:v>Arsenal</x:v>
      </x:c>
      <x:c r="D946" s="4" t="str">
        <x:v>Leeds</x:v>
      </x:c>
      <x:c r="E946" s="4" t="str">
        <x:v>Away</x:v>
      </x:c>
      <x:c r="F946" s="28" t="n">
        <x:v>1</x:v>
      </x:c>
      <x:c r="G946" s="28" t="n">
        <x:v>0</x:v>
      </x:c>
      <x:c r="H946" s="28" t="n">
        <x:v>9</x:v>
      </x:c>
      <x:c r="I946" s="28" t="n">
        <x:v>16</x:v>
      </x:c>
      <x:c r="J946" s="28" t="n">
        <x:v>4</x:v>
      </x:c>
      <x:c r="K946" s="28" t="n">
        <x:v>4</x:v>
      </x:c>
      <x:c r="L946" s="28" t="n">
        <x:v>3</x:v>
      </x:c>
      <x:c r="M946" s="28" t="n">
        <x:v>6</x:v>
      </x:c>
      <x:c r="N946" s="28" t="n">
        <x:v>2</x:v>
      </x:c>
      <x:c r="O946" s="28" t="n">
        <x:v>0</x:v>
      </x:c>
      <x:c r="P946" s="28" t="n">
        <x:v>3</x:v>
      </x:c>
      <x:c r="Q946" s="24" t="n">
        <x:f>IFERROR(J946/H946,0)</x:f>
        <x:v>0.4444444444444444</x:v>
      </x:c>
      <x:c r="R946" s="24" t="n">
        <x:f>IFERROR(F946/H946,0)</x:f>
        <x:v>0.1111111111111111</x:v>
      </x:c>
      <x:c r="S946" s="24" t="n">
        <x:f>IFERROR(F946/J946,0)</x:f>
        <x:v>0.25</x:v>
      </x:c>
      <x:c r="T946" s="28" t="n">
        <x:f>H946-I946</x:f>
        <x:v>-7</x:v>
      </x:c>
      <x:c r="U946" s="24" t="n">
        <x:f>IFERROR(J946/H946,0)-IFERROR(K946/I946,0)</x:f>
        <x:v>0.19444444444444442</x:v>
      </x:c>
      <x:c r="V946" s="24" t="n">
        <x:f>IFERROR(F946/J946,0)-IFERROR(G946/K946,0)</x:f>
        <x:v>0.25</x:v>
      </x:c>
      <x:c r="W946" s="28" t="n">
        <x:f>L946-M946</x:f>
        <x:v>-3</x:v>
      </x:c>
      <x:c r="X946" s="24" t="n">
        <x:f>IFERROR(K946/I946,0)</x:f>
        <x:v>0.25</x:v>
      </x:c>
      <x:c r="Y946" s="24" t="n">
        <x:f>IFERROR(G946/I946,0)</x:f>
        <x:v>0</x:v>
      </x:c>
      <x:c r="Z946" s="24" t="n">
        <x:f>IFERROR(G946/K946,0)</x:f>
        <x:v>0</x:v>
      </x:c>
      <x:c r="AA946" s="24" t="n">
        <x:f>IFERROR(F946/H946,0)-IFERROR(G946/I946,0)</x:f>
        <x:v>0.1111111111111111</x:v>
      </x:c>
      <x:c r="AB946" s="28" t="n">
        <x:f>J946-K946</x:f>
        <x:v>0</x:v>
      </x:c>
      <x:c r="AC946" s="32" t="n">
        <x:f>F946-G946</x:f>
        <x:v>1</x:v>
      </x:c>
    </x:row>
    <x:row r="947">
      <x:c r="A947" s="4" t="str">
        <x:v>2022-23</x:v>
      </x:c>
      <x:c r="B947" s="20" t="n">
        <x:v>44850</x:v>
      </x:c>
      <x:c r="C947" s="4" t="str">
        <x:v>Aston Villa</x:v>
      </x:c>
      <x:c r="D947" s="4" t="str">
        <x:v>Chelsea</x:v>
      </x:c>
      <x:c r="E947" s="4" t="str">
        <x:v>Home</x:v>
      </x:c>
      <x:c r="F947" s="28" t="n">
        <x:v>0</x:v>
      </x:c>
      <x:c r="G947" s="28" t="n">
        <x:v>2</x:v>
      </x:c>
      <x:c r="H947" s="28" t="n">
        <x:v>18</x:v>
      </x:c>
      <x:c r="I947" s="28" t="n">
        <x:v>8</x:v>
      </x:c>
      <x:c r="J947" s="28" t="n">
        <x:v>7</x:v>
      </x:c>
      <x:c r="K947" s="28" t="n">
        <x:v>4</x:v>
      </x:c>
      <x:c r="L947" s="28" t="n">
        <x:v>7</x:v>
      </x:c>
      <x:c r="M947" s="28" t="n">
        <x:v>1</x:v>
      </x:c>
      <x:c r="N947" s="28" t="n">
        <x:v>0</x:v>
      </x:c>
      <x:c r="O947" s="28" t="n">
        <x:v>0</x:v>
      </x:c>
      <x:c r="P947" s="28" t="n">
        <x:v>0</x:v>
      </x:c>
      <x:c r="Q947" s="24" t="n">
        <x:f>IFERROR(J947/H947,0)</x:f>
        <x:v>0.3888888888888889</x:v>
      </x:c>
      <x:c r="R947" s="24" t="n">
        <x:f>IFERROR(F947/H947,0)</x:f>
        <x:v>0</x:v>
      </x:c>
      <x:c r="S947" s="24" t="n">
        <x:f>IFERROR(F947/J947,0)</x:f>
        <x:v>0</x:v>
      </x:c>
      <x:c r="T947" s="28" t="n">
        <x:f>H947-I947</x:f>
        <x:v>10</x:v>
      </x:c>
      <x:c r="U947" s="24" t="n">
        <x:f>IFERROR(J947/H947,0)-IFERROR(K947/I947,0)</x:f>
        <x:v>-0.1111111111111111</x:v>
      </x:c>
      <x:c r="V947" s="24" t="n">
        <x:f>IFERROR(F947/J947,0)-IFERROR(G947/K947,0)</x:f>
        <x:v>-0.5</x:v>
      </x:c>
      <x:c r="W947" s="28" t="n">
        <x:f>L947-M947</x:f>
        <x:v>6</x:v>
      </x:c>
      <x:c r="X947" s="24" t="n">
        <x:f>IFERROR(K947/I947,0)</x:f>
        <x:v>0.5</x:v>
      </x:c>
      <x:c r="Y947" s="24" t="n">
        <x:f>IFERROR(G947/I947,0)</x:f>
        <x:v>0.25</x:v>
      </x:c>
      <x:c r="Z947" s="24" t="n">
        <x:f>IFERROR(G947/K947,0)</x:f>
        <x:v>0.5</x:v>
      </x:c>
      <x:c r="AA947" s="24" t="n">
        <x:f>IFERROR(F947/H947,0)-IFERROR(G947/I947,0)</x:f>
        <x:v>-0.25</x:v>
      </x:c>
      <x:c r="AB947" s="28" t="n">
        <x:f>J947-K947</x:f>
        <x:v>3</x:v>
      </x:c>
      <x:c r="AC947" s="32" t="n">
        <x:f>F947-G947</x:f>
        <x:v>-2</x:v>
      </x:c>
    </x:row>
    <x:row r="948">
      <x:c r="A948" s="4" t="str">
        <x:v>2022-23</x:v>
      </x:c>
      <x:c r="B948" s="20" t="n">
        <x:v>44850</x:v>
      </x:c>
      <x:c r="C948" s="4" t="str">
        <x:v>Chelsea</x:v>
      </x:c>
      <x:c r="D948" s="4" t="str">
        <x:v>Aston Villa</x:v>
      </x:c>
      <x:c r="E948" s="4" t="str">
        <x:v>Away</x:v>
      </x:c>
      <x:c r="F948" s="28" t="n">
        <x:v>2</x:v>
      </x:c>
      <x:c r="G948" s="28" t="n">
        <x:v>0</x:v>
      </x:c>
      <x:c r="H948" s="28" t="n">
        <x:v>8</x:v>
      </x:c>
      <x:c r="I948" s="28" t="n">
        <x:v>18</x:v>
      </x:c>
      <x:c r="J948" s="28" t="n">
        <x:v>4</x:v>
      </x:c>
      <x:c r="K948" s="28" t="n">
        <x:v>7</x:v>
      </x:c>
      <x:c r="L948" s="28" t="n">
        <x:v>1</x:v>
      </x:c>
      <x:c r="M948" s="28" t="n">
        <x:v>7</x:v>
      </x:c>
      <x:c r="N948" s="28" t="n">
        <x:v>3</x:v>
      </x:c>
      <x:c r="O948" s="28" t="n">
        <x:v>0</x:v>
      </x:c>
      <x:c r="P948" s="28" t="n">
        <x:v>3</x:v>
      </x:c>
      <x:c r="Q948" s="24" t="n">
        <x:f>IFERROR(J948/H948,0)</x:f>
        <x:v>0.5</x:v>
      </x:c>
      <x:c r="R948" s="24" t="n">
        <x:f>IFERROR(F948/H948,0)</x:f>
        <x:v>0.25</x:v>
      </x:c>
      <x:c r="S948" s="24" t="n">
        <x:f>IFERROR(F948/J948,0)</x:f>
        <x:v>0.5</x:v>
      </x:c>
      <x:c r="T948" s="28" t="n">
        <x:f>H948-I948</x:f>
        <x:v>-10</x:v>
      </x:c>
      <x:c r="U948" s="24" t="n">
        <x:f>IFERROR(J948/H948,0)-IFERROR(K948/I948,0)</x:f>
        <x:v>0.1111111111111111</x:v>
      </x:c>
      <x:c r="V948" s="24" t="n">
        <x:f>IFERROR(F948/J948,0)-IFERROR(G948/K948,0)</x:f>
        <x:v>0.5</x:v>
      </x:c>
      <x:c r="W948" s="28" t="n">
        <x:f>L948-M948</x:f>
        <x:v>-6</x:v>
      </x:c>
      <x:c r="X948" s="24" t="n">
        <x:f>IFERROR(K948/I948,0)</x:f>
        <x:v>0.3888888888888889</x:v>
      </x:c>
      <x:c r="Y948" s="24" t="n">
        <x:f>IFERROR(G948/I948,0)</x:f>
        <x:v>0</x:v>
      </x:c>
      <x:c r="Z948" s="24" t="n">
        <x:f>IFERROR(G948/K948,0)</x:f>
        <x:v>0</x:v>
      </x:c>
      <x:c r="AA948" s="24" t="n">
        <x:f>IFERROR(F948/H948,0)-IFERROR(G948/I948,0)</x:f>
        <x:v>0.25</x:v>
      </x:c>
      <x:c r="AB948" s="28" t="n">
        <x:f>J948-K948</x:f>
        <x:v>-3</x:v>
      </x:c>
      <x:c r="AC948" s="32" t="n">
        <x:f>F948-G948</x:f>
        <x:v>2</x:v>
      </x:c>
    </x:row>
    <x:row r="949">
      <x:c r="A949" s="4" t="str">
        <x:v>2022-23</x:v>
      </x:c>
      <x:c r="B949" s="20" t="n">
        <x:v>44850</x:v>
      </x:c>
      <x:c r="C949" s="4" t="str">
        <x:v>Leeds</x:v>
      </x:c>
      <x:c r="D949" s="4" t="str">
        <x:v>Arsenal</x:v>
      </x:c>
      <x:c r="E949" s="4" t="str">
        <x:v>Home</x:v>
      </x:c>
      <x:c r="F949" s="28" t="n">
        <x:v>0</x:v>
      </x:c>
      <x:c r="G949" s="28" t="n">
        <x:v>1</x:v>
      </x:c>
      <x:c r="H949" s="28" t="n">
        <x:v>16</x:v>
      </x:c>
      <x:c r="I949" s="28" t="n">
        <x:v>9</x:v>
      </x:c>
      <x:c r="J949" s="28" t="n">
        <x:v>4</x:v>
      </x:c>
      <x:c r="K949" s="28" t="n">
        <x:v>4</x:v>
      </x:c>
      <x:c r="L949" s="28" t="n">
        <x:v>6</x:v>
      </x:c>
      <x:c r="M949" s="28" t="n">
        <x:v>3</x:v>
      </x:c>
      <x:c r="N949" s="28" t="n">
        <x:v>0</x:v>
      </x:c>
      <x:c r="O949" s="28" t="n">
        <x:v>0</x:v>
      </x:c>
      <x:c r="P949" s="28" t="n">
        <x:v>0</x:v>
      </x:c>
      <x:c r="Q949" s="24" t="n">
        <x:f>IFERROR(J949/H949,0)</x:f>
        <x:v>0.25</x:v>
      </x:c>
      <x:c r="R949" s="24" t="n">
        <x:f>IFERROR(F949/H949,0)</x:f>
        <x:v>0</x:v>
      </x:c>
      <x:c r="S949" s="24" t="n">
        <x:f>IFERROR(F949/J949,0)</x:f>
        <x:v>0</x:v>
      </x:c>
      <x:c r="T949" s="28" t="n">
        <x:f>H949-I949</x:f>
        <x:v>7</x:v>
      </x:c>
      <x:c r="U949" s="24" t="n">
        <x:f>IFERROR(J949/H949,0)-IFERROR(K949/I949,0)</x:f>
        <x:v>-0.19444444444444442</x:v>
      </x:c>
      <x:c r="V949" s="24" t="n">
        <x:f>IFERROR(F949/J949,0)-IFERROR(G949/K949,0)</x:f>
        <x:v>-0.25</x:v>
      </x:c>
      <x:c r="W949" s="28" t="n">
        <x:f>L949-M949</x:f>
        <x:v>3</x:v>
      </x:c>
      <x:c r="X949" s="24" t="n">
        <x:f>IFERROR(K949/I949,0)</x:f>
        <x:v>0.4444444444444444</x:v>
      </x:c>
      <x:c r="Y949" s="24" t="n">
        <x:f>IFERROR(G949/I949,0)</x:f>
        <x:v>0.1111111111111111</x:v>
      </x:c>
      <x:c r="Z949" s="24" t="n">
        <x:f>IFERROR(G949/K949,0)</x:f>
        <x:v>0.25</x:v>
      </x:c>
      <x:c r="AA949" s="24" t="n">
        <x:f>IFERROR(F949/H949,0)-IFERROR(G949/I949,0)</x:f>
        <x:v>-0.1111111111111111</x:v>
      </x:c>
      <x:c r="AB949" s="28" t="n">
        <x:f>J949-K949</x:f>
        <x:v>0</x:v>
      </x:c>
      <x:c r="AC949" s="32" t="n">
        <x:f>F949-G949</x:f>
        <x:v>-1</x:v>
      </x:c>
    </x:row>
    <x:row r="950">
      <x:c r="A950" s="4" t="str">
        <x:v>2022-23</x:v>
      </x:c>
      <x:c r="B950" s="20" t="n">
        <x:v>44850</x:v>
      </x:c>
      <x:c r="C950" s="4" t="str">
        <x:v>Liverpool</x:v>
      </x:c>
      <x:c r="D950" s="4" t="str">
        <x:v>Man City</x:v>
      </x:c>
      <x:c r="E950" s="4" t="str">
        <x:v>Home</x:v>
      </x:c>
      <x:c r="F950" s="28" t="n">
        <x:v>1</x:v>
      </x:c>
      <x:c r="G950" s="28" t="n">
        <x:v>0</x:v>
      </x:c>
      <x:c r="H950" s="28" t="n">
        <x:v>13</x:v>
      </x:c>
      <x:c r="I950" s="28" t="n">
        <x:v>16</x:v>
      </x:c>
      <x:c r="J950" s="28" t="n">
        <x:v>2</x:v>
      </x:c>
      <x:c r="K950" s="28" t="n">
        <x:v>6</x:v>
      </x:c>
      <x:c r="L950" s="28" t="n">
        <x:v>5</x:v>
      </x:c>
      <x:c r="M950" s="28" t="n">
        <x:v>6</x:v>
      </x:c>
      <x:c r="N950" s="28" t="n">
        <x:v>3</x:v>
      </x:c>
      <x:c r="O950" s="28" t="n">
        <x:v>0</x:v>
      </x:c>
      <x:c r="P950" s="28" t="n">
        <x:v>3</x:v>
      </x:c>
      <x:c r="Q950" s="24" t="n">
        <x:f>IFERROR(J950/H950,0)</x:f>
        <x:v>0.15384615384615385</x:v>
      </x:c>
      <x:c r="R950" s="24" t="n">
        <x:f>IFERROR(F950/H950,0)</x:f>
        <x:v>0.07692307692307693</x:v>
      </x:c>
      <x:c r="S950" s="24" t="n">
        <x:f>IFERROR(F950/J950,0)</x:f>
        <x:v>0.5</x:v>
      </x:c>
      <x:c r="T950" s="28" t="n">
        <x:f>H950-I950</x:f>
        <x:v>-3</x:v>
      </x:c>
      <x:c r="U950" s="24" t="n">
        <x:f>IFERROR(J950/H950,0)-IFERROR(K950/I950,0)</x:f>
        <x:v>-0.22115384615384615</x:v>
      </x:c>
      <x:c r="V950" s="24" t="n">
        <x:f>IFERROR(F950/J950,0)-IFERROR(G950/K950,0)</x:f>
        <x:v>0.5</x:v>
      </x:c>
      <x:c r="W950" s="28" t="n">
        <x:f>L950-M950</x:f>
        <x:v>-1</x:v>
      </x:c>
      <x:c r="X950" s="24" t="n">
        <x:f>IFERROR(K950/I950,0)</x:f>
        <x:v>0.375</x:v>
      </x:c>
      <x:c r="Y950" s="24" t="n">
        <x:f>IFERROR(G950/I950,0)</x:f>
        <x:v>0</x:v>
      </x:c>
      <x:c r="Z950" s="24" t="n">
        <x:f>IFERROR(G950/K950,0)</x:f>
        <x:v>0</x:v>
      </x:c>
      <x:c r="AA950" s="24" t="n">
        <x:f>IFERROR(F950/H950,0)-IFERROR(G950/I950,0)</x:f>
        <x:v>0.07692307692307693</x:v>
      </x:c>
      <x:c r="AB950" s="28" t="n">
        <x:f>J950-K950</x:f>
        <x:v>-4</x:v>
      </x:c>
      <x:c r="AC950" s="32" t="n">
        <x:f>F950-G950</x:f>
        <x:v>1</x:v>
      </x:c>
    </x:row>
    <x:row r="951">
      <x:c r="A951" s="4" t="str">
        <x:v>2022-23</x:v>
      </x:c>
      <x:c r="B951" s="20" t="n">
        <x:v>44850</x:v>
      </x:c>
      <x:c r="C951" s="4" t="str">
        <x:v>Man City</x:v>
      </x:c>
      <x:c r="D951" s="4" t="str">
        <x:v>Liverpool</x:v>
      </x:c>
      <x:c r="E951" s="4" t="str">
        <x:v>Away</x:v>
      </x:c>
      <x:c r="F951" s="28" t="n">
        <x:v>0</x:v>
      </x:c>
      <x:c r="G951" s="28" t="n">
        <x:v>1</x:v>
      </x:c>
      <x:c r="H951" s="28" t="n">
        <x:v>16</x:v>
      </x:c>
      <x:c r="I951" s="28" t="n">
        <x:v>13</x:v>
      </x:c>
      <x:c r="J951" s="28" t="n">
        <x:v>6</x:v>
      </x:c>
      <x:c r="K951" s="28" t="n">
        <x:v>2</x:v>
      </x:c>
      <x:c r="L951" s="28" t="n">
        <x:v>6</x:v>
      </x:c>
      <x:c r="M951" s="28" t="n">
        <x:v>5</x:v>
      </x:c>
      <x:c r="N951" s="28" t="n">
        <x:v>1</x:v>
      </x:c>
      <x:c r="O951" s="28" t="n">
        <x:v>0</x:v>
      </x:c>
      <x:c r="P951" s="28" t="n">
        <x:v>0</x:v>
      </x:c>
      <x:c r="Q951" s="24" t="n">
        <x:f>IFERROR(J951/H951,0)</x:f>
        <x:v>0.375</x:v>
      </x:c>
      <x:c r="R951" s="24" t="n">
        <x:f>IFERROR(F951/H951,0)</x:f>
        <x:v>0</x:v>
      </x:c>
      <x:c r="S951" s="24" t="n">
        <x:f>IFERROR(F951/J951,0)</x:f>
        <x:v>0</x:v>
      </x:c>
      <x:c r="T951" s="28" t="n">
        <x:f>H951-I951</x:f>
        <x:v>3</x:v>
      </x:c>
      <x:c r="U951" s="24" t="n">
        <x:f>IFERROR(J951/H951,0)-IFERROR(K951/I951,0)</x:f>
        <x:v>0.22115384615384615</x:v>
      </x:c>
      <x:c r="V951" s="24" t="n">
        <x:f>IFERROR(F951/J951,0)-IFERROR(G951/K951,0)</x:f>
        <x:v>-0.5</x:v>
      </x:c>
      <x:c r="W951" s="28" t="n">
        <x:f>L951-M951</x:f>
        <x:v>1</x:v>
      </x:c>
      <x:c r="X951" s="24" t="n">
        <x:f>IFERROR(K951/I951,0)</x:f>
        <x:v>0.15384615384615385</x:v>
      </x:c>
      <x:c r="Y951" s="24" t="n">
        <x:f>IFERROR(G951/I951,0)</x:f>
        <x:v>0.07692307692307693</x:v>
      </x:c>
      <x:c r="Z951" s="24" t="n">
        <x:f>IFERROR(G951/K951,0)</x:f>
        <x:v>0.5</x:v>
      </x:c>
      <x:c r="AA951" s="24" t="n">
        <x:f>IFERROR(F951/H951,0)-IFERROR(G951/I951,0)</x:f>
        <x:v>-0.07692307692307693</x:v>
      </x:c>
      <x:c r="AB951" s="28" t="n">
        <x:f>J951-K951</x:f>
        <x:v>4</x:v>
      </x:c>
      <x:c r="AC951" s="32" t="n">
        <x:f>F951-G951</x:f>
        <x:v>-1</x:v>
      </x:c>
    </x:row>
    <x:row r="952">
      <x:c r="A952" s="4" t="str">
        <x:v>2022-23</x:v>
      </x:c>
      <x:c r="B952" s="20" t="n">
        <x:v>44850</x:v>
      </x:c>
      <x:c r="C952" s="4" t="str">
        <x:v>Man United</x:v>
      </x:c>
      <x:c r="D952" s="4" t="str">
        <x:v>Newcastle</x:v>
      </x:c>
      <x:c r="E952" s="4" t="str">
        <x:v>Home</x:v>
      </x:c>
      <x:c r="F952" s="28" t="n">
        <x:v>0</x:v>
      </x:c>
      <x:c r="G952" s="28" t="n">
        <x:v>0</x:v>
      </x:c>
      <x:c r="H952" s="28" t="n">
        <x:v>15</x:v>
      </x:c>
      <x:c r="I952" s="28" t="n">
        <x:v>9</x:v>
      </x:c>
      <x:c r="J952" s="28" t="n">
        <x:v>2</x:v>
      </x:c>
      <x:c r="K952" s="28" t="n">
        <x:v>2</x:v>
      </x:c>
      <x:c r="L952" s="28" t="n">
        <x:v>4</x:v>
      </x:c>
      <x:c r="M952" s="28" t="n">
        <x:v>4</x:v>
      </x:c>
      <x:c r="N952" s="28" t="n">
        <x:v>3</x:v>
      </x:c>
      <x:c r="O952" s="28" t="n">
        <x:v>0</x:v>
      </x:c>
      <x:c r="P952" s="28" t="n">
        <x:v>1</x:v>
      </x:c>
      <x:c r="Q952" s="24" t="n">
        <x:f>IFERROR(J952/H952,0)</x:f>
        <x:v>0.13333333333333333</x:v>
      </x:c>
      <x:c r="R952" s="24" t="n">
        <x:f>IFERROR(F952/H952,0)</x:f>
        <x:v>0</x:v>
      </x:c>
      <x:c r="S952" s="24" t="n">
        <x:f>IFERROR(F952/J952,0)</x:f>
        <x:v>0</x:v>
      </x:c>
      <x:c r="T952" s="28" t="n">
        <x:f>H952-I952</x:f>
        <x:v>6</x:v>
      </x:c>
      <x:c r="U952" s="24" t="n">
        <x:f>IFERROR(J952/H952,0)-IFERROR(K952/I952,0)</x:f>
        <x:v>-0.08888888888888888</x:v>
      </x:c>
      <x:c r="V952" s="24" t="n">
        <x:f>IFERROR(F952/J952,0)-IFERROR(G952/K952,0)</x:f>
        <x:v>0</x:v>
      </x:c>
      <x:c r="W952" s="28" t="n">
        <x:f>L952-M952</x:f>
        <x:v>0</x:v>
      </x:c>
      <x:c r="X952" s="24" t="n">
        <x:f>IFERROR(K952/I952,0)</x:f>
        <x:v>0.2222222222222222</x:v>
      </x:c>
      <x:c r="Y952" s="24" t="n">
        <x:f>IFERROR(G952/I952,0)</x:f>
        <x:v>0</x:v>
      </x:c>
      <x:c r="Z952" s="24" t="n">
        <x:f>IFERROR(G952/K952,0)</x:f>
        <x:v>0</x:v>
      </x:c>
      <x:c r="AA952" s="24" t="n">
        <x:f>IFERROR(F952/H952,0)-IFERROR(G952/I952,0)</x:f>
        <x:v>0</x:v>
      </x:c>
      <x:c r="AB952" s="28" t="n">
        <x:f>J952-K952</x:f>
        <x:v>0</x:v>
      </x:c>
      <x:c r="AC952" s="32" t="n">
        <x:f>F952-G952</x:f>
        <x:v>0</x:v>
      </x:c>
    </x:row>
    <x:row r="953">
      <x:c r="A953" s="4" t="str">
        <x:v>2022-23</x:v>
      </x:c>
      <x:c r="B953" s="20" t="n">
        <x:v>44850</x:v>
      </x:c>
      <x:c r="C953" s="4" t="str">
        <x:v>Newcastle</x:v>
      </x:c>
      <x:c r="D953" s="4" t="str">
        <x:v>Man United</x:v>
      </x:c>
      <x:c r="E953" s="4" t="str">
        <x:v>Away</x:v>
      </x:c>
      <x:c r="F953" s="28" t="n">
        <x:v>0</x:v>
      </x:c>
      <x:c r="G953" s="28" t="n">
        <x:v>0</x:v>
      </x:c>
      <x:c r="H953" s="28" t="n">
        <x:v>9</x:v>
      </x:c>
      <x:c r="I953" s="28" t="n">
        <x:v>15</x:v>
      </x:c>
      <x:c r="J953" s="28" t="n">
        <x:v>2</x:v>
      </x:c>
      <x:c r="K953" s="28" t="n">
        <x:v>2</x:v>
      </x:c>
      <x:c r="L953" s="28" t="n">
        <x:v>4</x:v>
      </x:c>
      <x:c r="M953" s="28" t="n">
        <x:v>4</x:v>
      </x:c>
      <x:c r="N953" s="28" t="n">
        <x:v>1</x:v>
      </x:c>
      <x:c r="O953" s="28" t="n">
        <x:v>0</x:v>
      </x:c>
      <x:c r="P953" s="28" t="n">
        <x:v>1</x:v>
      </x:c>
      <x:c r="Q953" s="24" t="n">
        <x:f>IFERROR(J953/H953,0)</x:f>
        <x:v>0.2222222222222222</x:v>
      </x:c>
      <x:c r="R953" s="24" t="n">
        <x:f>IFERROR(F953/H953,0)</x:f>
        <x:v>0</x:v>
      </x:c>
      <x:c r="S953" s="24" t="n">
        <x:f>IFERROR(F953/J953,0)</x:f>
        <x:v>0</x:v>
      </x:c>
      <x:c r="T953" s="28" t="n">
        <x:f>H953-I953</x:f>
        <x:v>-6</x:v>
      </x:c>
      <x:c r="U953" s="24" t="n">
        <x:f>IFERROR(J953/H953,0)-IFERROR(K953/I953,0)</x:f>
        <x:v>0.08888888888888888</x:v>
      </x:c>
      <x:c r="V953" s="24" t="n">
        <x:f>IFERROR(F953/J953,0)-IFERROR(G953/K953,0)</x:f>
        <x:v>0</x:v>
      </x:c>
      <x:c r="W953" s="28" t="n">
        <x:f>L953-M953</x:f>
        <x:v>0</x:v>
      </x:c>
      <x:c r="X953" s="24" t="n">
        <x:f>IFERROR(K953/I953,0)</x:f>
        <x:v>0.13333333333333333</x:v>
      </x:c>
      <x:c r="Y953" s="24" t="n">
        <x:f>IFERROR(G953/I953,0)</x:f>
        <x:v>0</x:v>
      </x:c>
      <x:c r="Z953" s="24" t="n">
        <x:f>IFERROR(G953/K953,0)</x:f>
        <x:v>0</x:v>
      </x:c>
      <x:c r="AA953" s="24" t="n">
        <x:f>IFERROR(F953/H953,0)-IFERROR(G953/I953,0)</x:f>
        <x:v>0</x:v>
      </x:c>
      <x:c r="AB953" s="28" t="n">
        <x:f>J953-K953</x:f>
        <x:v>0</x:v>
      </x:c>
      <x:c r="AC953" s="32" t="n">
        <x:f>F953-G953</x:f>
        <x:v>0</x:v>
      </x:c>
    </x:row>
    <x:row r="954">
      <x:c r="A954" s="4" t="str">
        <x:v>2022-23</x:v>
      </x:c>
      <x:c r="B954" s="20" t="n">
        <x:v>44850</x:v>
      </x:c>
      <x:c r="C954" s="4" t="str">
        <x:v>Southampton</x:v>
      </x:c>
      <x:c r="D954" s="4" t="str">
        <x:v>West Ham</x:v>
      </x:c>
      <x:c r="E954" s="4" t="str">
        <x:v>Home</x:v>
      </x:c>
      <x:c r="F954" s="28" t="n">
        <x:v>1</x:v>
      </x:c>
      <x:c r="G954" s="28" t="n">
        <x:v>1</x:v>
      </x:c>
      <x:c r="H954" s="28" t="n">
        <x:v>10</x:v>
      </x:c>
      <x:c r="I954" s="28" t="n">
        <x:v>25</x:v>
      </x:c>
      <x:c r="J954" s="28" t="n">
        <x:v>8</x:v>
      </x:c>
      <x:c r="K954" s="28" t="n">
        <x:v>4</x:v>
      </x:c>
      <x:c r="L954" s="28" t="n">
        <x:v>4</x:v>
      </x:c>
      <x:c r="M954" s="28" t="n">
        <x:v>14</x:v>
      </x:c>
      <x:c r="N954" s="28" t="n">
        <x:v>1</x:v>
      </x:c>
      <x:c r="O954" s="28" t="n">
        <x:v>0</x:v>
      </x:c>
      <x:c r="P954" s="28" t="n">
        <x:v>1</x:v>
      </x:c>
      <x:c r="Q954" s="24" t="n">
        <x:f>IFERROR(J954/H954,0)</x:f>
        <x:v>0.8</x:v>
      </x:c>
      <x:c r="R954" s="24" t="n">
        <x:f>IFERROR(F954/H954,0)</x:f>
        <x:v>0.1</x:v>
      </x:c>
      <x:c r="S954" s="24" t="n">
        <x:f>IFERROR(F954/J954,0)</x:f>
        <x:v>0.125</x:v>
      </x:c>
      <x:c r="T954" s="28" t="n">
        <x:f>H954-I954</x:f>
        <x:v>-15</x:v>
      </x:c>
      <x:c r="U954" s="24" t="n">
        <x:f>IFERROR(J954/H954,0)-IFERROR(K954/I954,0)</x:f>
        <x:v>0.64</x:v>
      </x:c>
      <x:c r="V954" s="24" t="n">
        <x:f>IFERROR(F954/J954,0)-IFERROR(G954/K954,0)</x:f>
        <x:v>-0.125</x:v>
      </x:c>
      <x:c r="W954" s="28" t="n">
        <x:f>L954-M954</x:f>
        <x:v>-10</x:v>
      </x:c>
      <x:c r="X954" s="24" t="n">
        <x:f>IFERROR(K954/I954,0)</x:f>
        <x:v>0.16</x:v>
      </x:c>
      <x:c r="Y954" s="24" t="n">
        <x:f>IFERROR(G954/I954,0)</x:f>
        <x:v>0.04</x:v>
      </x:c>
      <x:c r="Z954" s="24" t="n">
        <x:f>IFERROR(G954/K954,0)</x:f>
        <x:v>0.25</x:v>
      </x:c>
      <x:c r="AA954" s="24" t="n">
        <x:f>IFERROR(F954/H954,0)-IFERROR(G954/I954,0)</x:f>
        <x:v>0.060000000000000005</x:v>
      </x:c>
      <x:c r="AB954" s="28" t="n">
        <x:f>J954-K954</x:f>
        <x:v>4</x:v>
      </x:c>
      <x:c r="AC954" s="32" t="n">
        <x:f>F954-G954</x:f>
        <x:v>0</x:v>
      </x:c>
    </x:row>
    <x:row r="955">
      <x:c r="A955" s="4" t="str">
        <x:v>2022-23</x:v>
      </x:c>
      <x:c r="B955" s="20" t="n">
        <x:v>44850</x:v>
      </x:c>
      <x:c r="C955" s="4" t="str">
        <x:v>West Ham</x:v>
      </x:c>
      <x:c r="D955" s="4" t="str">
        <x:v>Southampton</x:v>
      </x:c>
      <x:c r="E955" s="4" t="str">
        <x:v>Away</x:v>
      </x:c>
      <x:c r="F955" s="28" t="n">
        <x:v>1</x:v>
      </x:c>
      <x:c r="G955" s="28" t="n">
        <x:v>1</x:v>
      </x:c>
      <x:c r="H955" s="28" t="n">
        <x:v>25</x:v>
      </x:c>
      <x:c r="I955" s="28" t="n">
        <x:v>10</x:v>
      </x:c>
      <x:c r="J955" s="28" t="n">
        <x:v>4</x:v>
      </x:c>
      <x:c r="K955" s="28" t="n">
        <x:v>8</x:v>
      </x:c>
      <x:c r="L955" s="28" t="n">
        <x:v>14</x:v>
      </x:c>
      <x:c r="M955" s="28" t="n">
        <x:v>4</x:v>
      </x:c>
      <x:c r="N955" s="28" t="n">
        <x:v>1</x:v>
      </x:c>
      <x:c r="O955" s="28" t="n">
        <x:v>0</x:v>
      </x:c>
      <x:c r="P955" s="28" t="n">
        <x:v>1</x:v>
      </x:c>
      <x:c r="Q955" s="24" t="n">
        <x:f>IFERROR(J955/H955,0)</x:f>
        <x:v>0.16</x:v>
      </x:c>
      <x:c r="R955" s="24" t="n">
        <x:f>IFERROR(F955/H955,0)</x:f>
        <x:v>0.04</x:v>
      </x:c>
      <x:c r="S955" s="24" t="n">
        <x:f>IFERROR(F955/J955,0)</x:f>
        <x:v>0.25</x:v>
      </x:c>
      <x:c r="T955" s="28" t="n">
        <x:f>H955-I955</x:f>
        <x:v>15</x:v>
      </x:c>
      <x:c r="U955" s="24" t="n">
        <x:f>IFERROR(J955/H955,0)-IFERROR(K955/I955,0)</x:f>
        <x:v>-0.64</x:v>
      </x:c>
      <x:c r="V955" s="24" t="n">
        <x:f>IFERROR(F955/J955,0)-IFERROR(G955/K955,0)</x:f>
        <x:v>0.125</x:v>
      </x:c>
      <x:c r="W955" s="28" t="n">
        <x:f>L955-M955</x:f>
        <x:v>10</x:v>
      </x:c>
      <x:c r="X955" s="24" t="n">
        <x:f>IFERROR(K955/I955,0)</x:f>
        <x:v>0.8</x:v>
      </x:c>
      <x:c r="Y955" s="24" t="n">
        <x:f>IFERROR(G955/I955,0)</x:f>
        <x:v>0.1</x:v>
      </x:c>
      <x:c r="Z955" s="24" t="n">
        <x:f>IFERROR(G955/K955,0)</x:f>
        <x:v>0.125</x:v>
      </x:c>
      <x:c r="AA955" s="24" t="n">
        <x:f>IFERROR(F955/H955,0)-IFERROR(G955/I955,0)</x:f>
        <x:v>-0.060000000000000005</x:v>
      </x:c>
      <x:c r="AB955" s="28" t="n">
        <x:f>J955-K955</x:f>
        <x:v>-4</x:v>
      </x:c>
      <x:c r="AC955" s="32" t="n">
        <x:f>F955-G955</x:f>
        <x:v>0</x:v>
      </x:c>
    </x:row>
    <x:row r="956">
      <x:c r="A956" s="4" t="str">
        <x:v>2022-23</x:v>
      </x:c>
      <x:c r="B956" s="20" t="n">
        <x:v>44852</x:v>
      </x:c>
      <x:c r="C956" s="4" t="str">
        <x:v>Brighton</x:v>
      </x:c>
      <x:c r="D956" s="4" t="str">
        <x:v>Nott'm Forest</x:v>
      </x:c>
      <x:c r="E956" s="4" t="str">
        <x:v>Home</x:v>
      </x:c>
      <x:c r="F956" s="28" t="n">
        <x:v>0</x:v>
      </x:c>
      <x:c r="G956" s="28" t="n">
        <x:v>0</x:v>
      </x:c>
      <x:c r="H956" s="28" t="n">
        <x:v>19</x:v>
      </x:c>
      <x:c r="I956" s="28" t="n">
        <x:v>3</x:v>
      </x:c>
      <x:c r="J956" s="28" t="n">
        <x:v>7</x:v>
      </x:c>
      <x:c r="K956" s="28" t="n">
        <x:v>0</x:v>
      </x:c>
      <x:c r="L956" s="28" t="n">
        <x:v>9</x:v>
      </x:c>
      <x:c r="M956" s="28" t="n">
        <x:v>1</x:v>
      </x:c>
      <x:c r="N956" s="28" t="n">
        <x:v>3</x:v>
      </x:c>
      <x:c r="O956" s="28" t="n">
        <x:v>0</x:v>
      </x:c>
      <x:c r="P956" s="28" t="n">
        <x:v>1</x:v>
      </x:c>
      <x:c r="Q956" s="24" t="n">
        <x:f>IFERROR(J956/H956,0)</x:f>
        <x:v>0.3684210526315789</x:v>
      </x:c>
      <x:c r="R956" s="24" t="n">
        <x:f>IFERROR(F956/H956,0)</x:f>
        <x:v>0</x:v>
      </x:c>
      <x:c r="S956" s="24" t="n">
        <x:f>IFERROR(F956/J956,0)</x:f>
        <x:v>0</x:v>
      </x:c>
      <x:c r="T956" s="28" t="n">
        <x:f>H956-I956</x:f>
        <x:v>16</x:v>
      </x:c>
      <x:c r="U956" s="24" t="n">
        <x:f>IFERROR(J956/H956,0)-IFERROR(K956/I956,0)</x:f>
        <x:v>0.3684210526315789</x:v>
      </x:c>
      <x:c r="V956" s="24" t="n">
        <x:f>IFERROR(F956/J956,0)-IFERROR(G956/K956,0)</x:f>
        <x:v>0</x:v>
      </x:c>
      <x:c r="W956" s="28" t="n">
        <x:f>L956-M956</x:f>
        <x:v>8</x:v>
      </x:c>
      <x:c r="X956" s="24" t="n">
        <x:f>IFERROR(K956/I956,0)</x:f>
        <x:v>0</x:v>
      </x:c>
      <x:c r="Y956" s="24" t="n">
        <x:f>IFERROR(G956/I956,0)</x:f>
        <x:v>0</x:v>
      </x:c>
      <x:c r="Z956" s="24" t="n">
        <x:f>IFERROR(G956/K956,0)</x:f>
        <x:v>0</x:v>
      </x:c>
      <x:c r="AA956" s="24" t="n">
        <x:f>IFERROR(F956/H956,0)-IFERROR(G956/I956,0)</x:f>
        <x:v>0</x:v>
      </x:c>
      <x:c r="AB956" s="28" t="n">
        <x:f>J956-K956</x:f>
        <x:v>7</x:v>
      </x:c>
      <x:c r="AC956" s="32" t="n">
        <x:f>F956-G956</x:f>
        <x:v>0</x:v>
      </x:c>
    </x:row>
    <x:row r="957">
      <x:c r="A957" s="4" t="str">
        <x:v>2022-23</x:v>
      </x:c>
      <x:c r="B957" s="20" t="n">
        <x:v>44852</x:v>
      </x:c>
      <x:c r="C957" s="4" t="str">
        <x:v>Crystal Palace</x:v>
      </x:c>
      <x:c r="D957" s="4" t="str">
        <x:v>Wolves</x:v>
      </x:c>
      <x:c r="E957" s="4" t="str">
        <x:v>Home</x:v>
      </x:c>
      <x:c r="F957" s="28" t="n">
        <x:v>2</x:v>
      </x:c>
      <x:c r="G957" s="28" t="n">
        <x:v>1</x:v>
      </x:c>
      <x:c r="H957" s="28" t="n">
        <x:v>14</x:v>
      </x:c>
      <x:c r="I957" s="28" t="n">
        <x:v>10</x:v>
      </x:c>
      <x:c r="J957" s="28" t="n">
        <x:v>4</x:v>
      </x:c>
      <x:c r="K957" s="28" t="n">
        <x:v>4</x:v>
      </x:c>
      <x:c r="L957" s="28" t="n">
        <x:v>4</x:v>
      </x:c>
      <x:c r="M957" s="28" t="n">
        <x:v>3</x:v>
      </x:c>
      <x:c r="N957" s="28" t="n">
        <x:v>3</x:v>
      </x:c>
      <x:c r="O957" s="28" t="n">
        <x:v>0</x:v>
      </x:c>
      <x:c r="P957" s="28" t="n">
        <x:v>3</x:v>
      </x:c>
      <x:c r="Q957" s="24" t="n">
        <x:f>IFERROR(J957/H957,0)</x:f>
        <x:v>0.2857142857142857</x:v>
      </x:c>
      <x:c r="R957" s="24" t="n">
        <x:f>IFERROR(F957/H957,0)</x:f>
        <x:v>0.14285714285714285</x:v>
      </x:c>
      <x:c r="S957" s="24" t="n">
        <x:f>IFERROR(F957/J957,0)</x:f>
        <x:v>0.5</x:v>
      </x:c>
      <x:c r="T957" s="28" t="n">
        <x:f>H957-I957</x:f>
        <x:v>4</x:v>
      </x:c>
      <x:c r="U957" s="24" t="n">
        <x:f>IFERROR(J957/H957,0)-IFERROR(K957/I957,0)</x:f>
        <x:v>-0.11428571428571432</x:v>
      </x:c>
      <x:c r="V957" s="24" t="n">
        <x:f>IFERROR(F957/J957,0)-IFERROR(G957/K957,0)</x:f>
        <x:v>0.25</x:v>
      </x:c>
      <x:c r="W957" s="28" t="n">
        <x:f>L957-M957</x:f>
        <x:v>1</x:v>
      </x:c>
      <x:c r="X957" s="24" t="n">
        <x:f>IFERROR(K957/I957,0)</x:f>
        <x:v>0.4</x:v>
      </x:c>
      <x:c r="Y957" s="24" t="n">
        <x:f>IFERROR(G957/I957,0)</x:f>
        <x:v>0.1</x:v>
      </x:c>
      <x:c r="Z957" s="24" t="n">
        <x:f>IFERROR(G957/K957,0)</x:f>
        <x:v>0.25</x:v>
      </x:c>
      <x:c r="AA957" s="24" t="n">
        <x:f>IFERROR(F957/H957,0)-IFERROR(G957/I957,0)</x:f>
        <x:v>0.042857142857142844</x:v>
      </x:c>
      <x:c r="AB957" s="28" t="n">
        <x:f>J957-K957</x:f>
        <x:v>0</x:v>
      </x:c>
      <x:c r="AC957" s="32" t="n">
        <x:f>F957-G957</x:f>
        <x:v>1</x:v>
      </x:c>
    </x:row>
    <x:row r="958">
      <x:c r="A958" s="4" t="str">
        <x:v>2022-23</x:v>
      </x:c>
      <x:c r="B958" s="20" t="n">
        <x:v>44852</x:v>
      </x:c>
      <x:c r="C958" s="4" t="str">
        <x:v>Nott'm Forest</x:v>
      </x:c>
      <x:c r="D958" s="4" t="str">
        <x:v>Brighton</x:v>
      </x:c>
      <x:c r="E958" s="4" t="str">
        <x:v>Away</x:v>
      </x:c>
      <x:c r="F958" s="28" t="n">
        <x:v>0</x:v>
      </x:c>
      <x:c r="G958" s="28" t="n">
        <x:v>0</x:v>
      </x:c>
      <x:c r="H958" s="28" t="n">
        <x:v>3</x:v>
      </x:c>
      <x:c r="I958" s="28" t="n">
        <x:v>19</x:v>
      </x:c>
      <x:c r="J958" s="28" t="n">
        <x:v>0</x:v>
      </x:c>
      <x:c r="K958" s="28" t="n">
        <x:v>7</x:v>
      </x:c>
      <x:c r="L958" s="28" t="n">
        <x:v>1</x:v>
      </x:c>
      <x:c r="M958" s="28" t="n">
        <x:v>9</x:v>
      </x:c>
      <x:c r="N958" s="28" t="n">
        <x:v>1</x:v>
      </x:c>
      <x:c r="O958" s="28" t="n">
        <x:v>0</x:v>
      </x:c>
      <x:c r="P958" s="28" t="n">
        <x:v>1</x:v>
      </x:c>
      <x:c r="Q958" s="24" t="n">
        <x:f>IFERROR(J958/H958,0)</x:f>
        <x:v>0</x:v>
      </x:c>
      <x:c r="R958" s="24" t="n">
        <x:f>IFERROR(F958/H958,0)</x:f>
        <x:v>0</x:v>
      </x:c>
      <x:c r="S958" s="24" t="n">
        <x:f>IFERROR(F958/J958,0)</x:f>
        <x:v>0</x:v>
      </x:c>
      <x:c r="T958" s="28" t="n">
        <x:f>H958-I958</x:f>
        <x:v>-16</x:v>
      </x:c>
      <x:c r="U958" s="24" t="n">
        <x:f>IFERROR(J958/H958,0)-IFERROR(K958/I958,0)</x:f>
        <x:v>-0.3684210526315789</x:v>
      </x:c>
      <x:c r="V958" s="24" t="n">
        <x:f>IFERROR(F958/J958,0)-IFERROR(G958/K958,0)</x:f>
        <x:v>0</x:v>
      </x:c>
      <x:c r="W958" s="28" t="n">
        <x:f>L958-M958</x:f>
        <x:v>-8</x:v>
      </x:c>
      <x:c r="X958" s="24" t="n">
        <x:f>IFERROR(K958/I958,0)</x:f>
        <x:v>0.3684210526315789</x:v>
      </x:c>
      <x:c r="Y958" s="24" t="n">
        <x:f>IFERROR(G958/I958,0)</x:f>
        <x:v>0</x:v>
      </x:c>
      <x:c r="Z958" s="24" t="n">
        <x:f>IFERROR(G958/K958,0)</x:f>
        <x:v>0</x:v>
      </x:c>
      <x:c r="AA958" s="24" t="n">
        <x:f>IFERROR(F958/H958,0)-IFERROR(G958/I958,0)</x:f>
        <x:v>0</x:v>
      </x:c>
      <x:c r="AB958" s="28" t="n">
        <x:f>J958-K958</x:f>
        <x:v>-7</x:v>
      </x:c>
      <x:c r="AC958" s="32" t="n">
        <x:f>F958-G958</x:f>
        <x:v>0</x:v>
      </x:c>
    </x:row>
    <x:row r="959">
      <x:c r="A959" s="4" t="str">
        <x:v>2022-23</x:v>
      </x:c>
      <x:c r="B959" s="20" t="n">
        <x:v>44852</x:v>
      </x:c>
      <x:c r="C959" s="4" t="str">
        <x:v>Wolves</x:v>
      </x:c>
      <x:c r="D959" s="4" t="str">
        <x:v>Crystal Palace</x:v>
      </x:c>
      <x:c r="E959" s="4" t="str">
        <x:v>Away</x:v>
      </x:c>
      <x:c r="F959" s="28" t="n">
        <x:v>1</x:v>
      </x:c>
      <x:c r="G959" s="28" t="n">
        <x:v>2</x:v>
      </x:c>
      <x:c r="H959" s="28" t="n">
        <x:v>10</x:v>
      </x:c>
      <x:c r="I959" s="28" t="n">
        <x:v>14</x:v>
      </x:c>
      <x:c r="J959" s="28" t="n">
        <x:v>4</x:v>
      </x:c>
      <x:c r="K959" s="28" t="n">
        <x:v>4</x:v>
      </x:c>
      <x:c r="L959" s="28" t="n">
        <x:v>3</x:v>
      </x:c>
      <x:c r="M959" s="28" t="n">
        <x:v>4</x:v>
      </x:c>
      <x:c r="N959" s="28" t="n">
        <x:v>1</x:v>
      </x:c>
      <x:c r="O959" s="28" t="n">
        <x:v>0</x:v>
      </x:c>
      <x:c r="P959" s="28" t="n">
        <x:v>0</x:v>
      </x:c>
      <x:c r="Q959" s="24" t="n">
        <x:f>IFERROR(J959/H959,0)</x:f>
        <x:v>0.4</x:v>
      </x:c>
      <x:c r="R959" s="24" t="n">
        <x:f>IFERROR(F959/H959,0)</x:f>
        <x:v>0.1</x:v>
      </x:c>
      <x:c r="S959" s="24" t="n">
        <x:f>IFERROR(F959/J959,0)</x:f>
        <x:v>0.25</x:v>
      </x:c>
      <x:c r="T959" s="28" t="n">
        <x:f>H959-I959</x:f>
        <x:v>-4</x:v>
      </x:c>
      <x:c r="U959" s="24" t="n">
        <x:f>IFERROR(J959/H959,0)-IFERROR(K959/I959,0)</x:f>
        <x:v>0.11428571428571432</x:v>
      </x:c>
      <x:c r="V959" s="24" t="n">
        <x:f>IFERROR(F959/J959,0)-IFERROR(G959/K959,0)</x:f>
        <x:v>-0.25</x:v>
      </x:c>
      <x:c r="W959" s="28" t="n">
        <x:f>L959-M959</x:f>
        <x:v>-1</x:v>
      </x:c>
      <x:c r="X959" s="24" t="n">
        <x:f>IFERROR(K959/I959,0)</x:f>
        <x:v>0.2857142857142857</x:v>
      </x:c>
      <x:c r="Y959" s="24" t="n">
        <x:f>IFERROR(G959/I959,0)</x:f>
        <x:v>0.14285714285714285</x:v>
      </x:c>
      <x:c r="Z959" s="24" t="n">
        <x:f>IFERROR(G959/K959,0)</x:f>
        <x:v>0.5</x:v>
      </x:c>
      <x:c r="AA959" s="24" t="n">
        <x:f>IFERROR(F959/H959,0)-IFERROR(G959/I959,0)</x:f>
        <x:v>-0.042857142857142844</x:v>
      </x:c>
      <x:c r="AB959" s="28" t="n">
        <x:f>J959-K959</x:f>
        <x:v>0</x:v>
      </x:c>
      <x:c r="AC959" s="32" t="n">
        <x:f>F959-G959</x:f>
        <x:v>-1</x:v>
      </x:c>
    </x:row>
    <x:row r="960">
      <x:c r="A960" s="4" t="str">
        <x:v>2022-23</x:v>
      </x:c>
      <x:c r="B960" s="20" t="n">
        <x:v>44853</x:v>
      </x:c>
      <x:c r="C960" s="4" t="str">
        <x:v>Bournemouth</x:v>
      </x:c>
      <x:c r="D960" s="4" t="str">
        <x:v>Southampton</x:v>
      </x:c>
      <x:c r="E960" s="4" t="str">
        <x:v>Home</x:v>
      </x:c>
      <x:c r="F960" s="28" t="n">
        <x:v>0</x:v>
      </x:c>
      <x:c r="G960" s="28" t="n">
        <x:v>1</x:v>
      </x:c>
      <x:c r="H960" s="28" t="n">
        <x:v>15</x:v>
      </x:c>
      <x:c r="I960" s="28" t="n">
        <x:v>9</x:v>
      </x:c>
      <x:c r="J960" s="28" t="n">
        <x:v>3</x:v>
      </x:c>
      <x:c r="K960" s="28" t="n">
        <x:v>3</x:v>
      </x:c>
      <x:c r="L960" s="28" t="n">
        <x:v>7</x:v>
      </x:c>
      <x:c r="M960" s="28" t="n">
        <x:v>3</x:v>
      </x:c>
      <x:c r="N960" s="28" t="n">
        <x:v>1</x:v>
      </x:c>
      <x:c r="O960" s="28" t="n">
        <x:v>0</x:v>
      </x:c>
      <x:c r="P960" s="28" t="n">
        <x:v>0</x:v>
      </x:c>
      <x:c r="Q960" s="24" t="n">
        <x:f>IFERROR(J960/H960,0)</x:f>
        <x:v>0.2</x:v>
      </x:c>
      <x:c r="R960" s="24" t="n">
        <x:f>IFERROR(F960/H960,0)</x:f>
        <x:v>0</x:v>
      </x:c>
      <x:c r="S960" s="24" t="n">
        <x:f>IFERROR(F960/J960,0)</x:f>
        <x:v>0</x:v>
      </x:c>
      <x:c r="T960" s="28" t="n">
        <x:f>H960-I960</x:f>
        <x:v>6</x:v>
      </x:c>
      <x:c r="U960" s="24" t="n">
        <x:f>IFERROR(J960/H960,0)-IFERROR(K960/I960,0)</x:f>
        <x:v>-0.1333333333333333</x:v>
      </x:c>
      <x:c r="V960" s="24" t="n">
        <x:f>IFERROR(F960/J960,0)-IFERROR(G960/K960,0)</x:f>
        <x:v>-0.3333333333333333</x:v>
      </x:c>
      <x:c r="W960" s="28" t="n">
        <x:f>L960-M960</x:f>
        <x:v>4</x:v>
      </x:c>
      <x:c r="X960" s="24" t="n">
        <x:f>IFERROR(K960/I960,0)</x:f>
        <x:v>0.3333333333333333</x:v>
      </x:c>
      <x:c r="Y960" s="24" t="n">
        <x:f>IFERROR(G960/I960,0)</x:f>
        <x:v>0.1111111111111111</x:v>
      </x:c>
      <x:c r="Z960" s="24" t="n">
        <x:f>IFERROR(G960/K960,0)</x:f>
        <x:v>0.3333333333333333</x:v>
      </x:c>
      <x:c r="AA960" s="24" t="n">
        <x:f>IFERROR(F960/H960,0)-IFERROR(G960/I960,0)</x:f>
        <x:v>-0.1111111111111111</x:v>
      </x:c>
      <x:c r="AB960" s="28" t="n">
        <x:f>J960-K960</x:f>
        <x:v>0</x:v>
      </x:c>
      <x:c r="AC960" s="32" t="n">
        <x:f>F960-G960</x:f>
        <x:v>-1</x:v>
      </x:c>
    </x:row>
    <x:row r="961">
      <x:c r="A961" s="4" t="str">
        <x:v>2022-23</x:v>
      </x:c>
      <x:c r="B961" s="20" t="n">
        <x:v>44853</x:v>
      </x:c>
      <x:c r="C961" s="4" t="str">
        <x:v>Brentford</x:v>
      </x:c>
      <x:c r="D961" s="4" t="str">
        <x:v>Chelsea</x:v>
      </x:c>
      <x:c r="E961" s="4" t="str">
        <x:v>Home</x:v>
      </x:c>
      <x:c r="F961" s="28" t="n">
        <x:v>0</x:v>
      </x:c>
      <x:c r="G961" s="28" t="n">
        <x:v>0</x:v>
      </x:c>
      <x:c r="H961" s="28" t="n">
        <x:v>8</x:v>
      </x:c>
      <x:c r="I961" s="28" t="n">
        <x:v>14</x:v>
      </x:c>
      <x:c r="J961" s="28" t="n">
        <x:v>5</x:v>
      </x:c>
      <x:c r="K961" s="28" t="n">
        <x:v>5</x:v>
      </x:c>
      <x:c r="L961" s="28" t="n">
        <x:v>6</x:v>
      </x:c>
      <x:c r="M961" s="28" t="n">
        <x:v>2</x:v>
      </x:c>
      <x:c r="N961" s="28" t="n">
        <x:v>0</x:v>
      </x:c>
      <x:c r="O961" s="28" t="n">
        <x:v>0</x:v>
      </x:c>
      <x:c r="P961" s="28" t="n">
        <x:v>1</x:v>
      </x:c>
      <x:c r="Q961" s="24" t="n">
        <x:f>IFERROR(J961/H961,0)</x:f>
        <x:v>0.625</x:v>
      </x:c>
      <x:c r="R961" s="24" t="n">
        <x:f>IFERROR(F961/H961,0)</x:f>
        <x:v>0</x:v>
      </x:c>
      <x:c r="S961" s="24" t="n">
        <x:f>IFERROR(F961/J961,0)</x:f>
        <x:v>0</x:v>
      </x:c>
      <x:c r="T961" s="28" t="n">
        <x:f>H961-I961</x:f>
        <x:v>-6</x:v>
      </x:c>
      <x:c r="U961" s="24" t="n">
        <x:f>IFERROR(J961/H961,0)-IFERROR(K961/I961,0)</x:f>
        <x:v>0.26785714285714285</x:v>
      </x:c>
      <x:c r="V961" s="24" t="n">
        <x:f>IFERROR(F961/J961,0)-IFERROR(G961/K961,0)</x:f>
        <x:v>0</x:v>
      </x:c>
      <x:c r="W961" s="28" t="n">
        <x:f>L961-M961</x:f>
        <x:v>4</x:v>
      </x:c>
      <x:c r="X961" s="24" t="n">
        <x:f>IFERROR(K961/I961,0)</x:f>
        <x:v>0.35714285714285715</x:v>
      </x:c>
      <x:c r="Y961" s="24" t="n">
        <x:f>IFERROR(G961/I961,0)</x:f>
        <x:v>0</x:v>
      </x:c>
      <x:c r="Z961" s="24" t="n">
        <x:f>IFERROR(G961/K961,0)</x:f>
        <x:v>0</x:v>
      </x:c>
      <x:c r="AA961" s="24" t="n">
        <x:f>IFERROR(F961/H961,0)-IFERROR(G961/I961,0)</x:f>
        <x:v>0</x:v>
      </x:c>
      <x:c r="AB961" s="28" t="n">
        <x:f>J961-K961</x:f>
        <x:v>0</x:v>
      </x:c>
      <x:c r="AC961" s="32" t="n">
        <x:f>F961-G961</x:f>
        <x:v>0</x:v>
      </x:c>
    </x:row>
    <x:row r="962">
      <x:c r="A962" s="4" t="str">
        <x:v>2022-23</x:v>
      </x:c>
      <x:c r="B962" s="20" t="n">
        <x:v>44853</x:v>
      </x:c>
      <x:c r="C962" s="4" t="str">
        <x:v>Chelsea</x:v>
      </x:c>
      <x:c r="D962" s="4" t="str">
        <x:v>Brentford</x:v>
      </x:c>
      <x:c r="E962" s="4" t="str">
        <x:v>Away</x:v>
      </x:c>
      <x:c r="F962" s="28" t="n">
        <x:v>0</x:v>
      </x:c>
      <x:c r="G962" s="28" t="n">
        <x:v>0</x:v>
      </x:c>
      <x:c r="H962" s="28" t="n">
        <x:v>14</x:v>
      </x:c>
      <x:c r="I962" s="28" t="n">
        <x:v>8</x:v>
      </x:c>
      <x:c r="J962" s="28" t="n">
        <x:v>5</x:v>
      </x:c>
      <x:c r="K962" s="28" t="n">
        <x:v>5</x:v>
      </x:c>
      <x:c r="L962" s="28" t="n">
        <x:v>2</x:v>
      </x:c>
      <x:c r="M962" s="28" t="n">
        <x:v>6</x:v>
      </x:c>
      <x:c r="N962" s="28" t="n">
        <x:v>0</x:v>
      </x:c>
      <x:c r="O962" s="28" t="n">
        <x:v>0</x:v>
      </x:c>
      <x:c r="P962" s="28" t="n">
        <x:v>1</x:v>
      </x:c>
      <x:c r="Q962" s="24" t="n">
        <x:f>IFERROR(J962/H962,0)</x:f>
        <x:v>0.35714285714285715</x:v>
      </x:c>
      <x:c r="R962" s="24" t="n">
        <x:f>IFERROR(F962/H962,0)</x:f>
        <x:v>0</x:v>
      </x:c>
      <x:c r="S962" s="24" t="n">
        <x:f>IFERROR(F962/J962,0)</x:f>
        <x:v>0</x:v>
      </x:c>
      <x:c r="T962" s="28" t="n">
        <x:f>H962-I962</x:f>
        <x:v>6</x:v>
      </x:c>
      <x:c r="U962" s="24" t="n">
        <x:f>IFERROR(J962/H962,0)-IFERROR(K962/I962,0)</x:f>
        <x:v>-0.26785714285714285</x:v>
      </x:c>
      <x:c r="V962" s="24" t="n">
        <x:f>IFERROR(F962/J962,0)-IFERROR(G962/K962,0)</x:f>
        <x:v>0</x:v>
      </x:c>
      <x:c r="W962" s="28" t="n">
        <x:f>L962-M962</x:f>
        <x:v>-4</x:v>
      </x:c>
      <x:c r="X962" s="24" t="n">
        <x:f>IFERROR(K962/I962,0)</x:f>
        <x:v>0.625</x:v>
      </x:c>
      <x:c r="Y962" s="24" t="n">
        <x:f>IFERROR(G962/I962,0)</x:f>
        <x:v>0</x:v>
      </x:c>
      <x:c r="Z962" s="24" t="n">
        <x:f>IFERROR(G962/K962,0)</x:f>
        <x:v>0</x:v>
      </x:c>
      <x:c r="AA962" s="24" t="n">
        <x:f>IFERROR(F962/H962,0)-IFERROR(G962/I962,0)</x:f>
        <x:v>0</x:v>
      </x:c>
      <x:c r="AB962" s="28" t="n">
        <x:f>J962-K962</x:f>
        <x:v>0</x:v>
      </x:c>
      <x:c r="AC962" s="32" t="n">
        <x:f>F962-G962</x:f>
        <x:v>0</x:v>
      </x:c>
    </x:row>
    <x:row r="963">
      <x:c r="A963" s="4" t="str">
        <x:v>2022-23</x:v>
      </x:c>
      <x:c r="B963" s="20" t="n">
        <x:v>44853</x:v>
      </x:c>
      <x:c r="C963" s="4" t="str">
        <x:v>Everton</x:v>
      </x:c>
      <x:c r="D963" s="4" t="str">
        <x:v>Newcastle</x:v>
      </x:c>
      <x:c r="E963" s="4" t="str">
        <x:v>Away</x:v>
      </x:c>
      <x:c r="F963" s="28" t="n">
        <x:v>0</x:v>
      </x:c>
      <x:c r="G963" s="28" t="n">
        <x:v>1</x:v>
      </x:c>
      <x:c r="H963" s="28" t="n">
        <x:v>1</x:v>
      </x:c>
      <x:c r="I963" s="28" t="n">
        <x:v>16</x:v>
      </x:c>
      <x:c r="J963" s="28" t="n">
        <x:v>0</x:v>
      </x:c>
      <x:c r="K963" s="28" t="n">
        <x:v>4</x:v>
      </x:c>
      <x:c r="L963" s="28" t="n">
        <x:v>2</x:v>
      </x:c>
      <x:c r="M963" s="28" t="n">
        <x:v>8</x:v>
      </x:c>
      <x:c r="N963" s="28" t="n">
        <x:v>4</x:v>
      </x:c>
      <x:c r="O963" s="28" t="n">
        <x:v>0</x:v>
      </x:c>
      <x:c r="P963" s="28" t="n">
        <x:v>0</x:v>
      </x:c>
      <x:c r="Q963" s="24" t="n">
        <x:f>IFERROR(J963/H963,0)</x:f>
        <x:v>0</x:v>
      </x:c>
      <x:c r="R963" s="24" t="n">
        <x:f>IFERROR(F963/H963,0)</x:f>
        <x:v>0</x:v>
      </x:c>
      <x:c r="S963" s="24" t="n">
        <x:f>IFERROR(F963/J963,0)</x:f>
        <x:v>0</x:v>
      </x:c>
      <x:c r="T963" s="28" t="n">
        <x:f>H963-I963</x:f>
        <x:v>-15</x:v>
      </x:c>
      <x:c r="U963" s="24" t="n">
        <x:f>IFERROR(J963/H963,0)-IFERROR(K963/I963,0)</x:f>
        <x:v>-0.25</x:v>
      </x:c>
      <x:c r="V963" s="24" t="n">
        <x:f>IFERROR(F963/J963,0)-IFERROR(G963/K963,0)</x:f>
        <x:v>-0.25</x:v>
      </x:c>
      <x:c r="W963" s="28" t="n">
        <x:f>L963-M963</x:f>
        <x:v>-6</x:v>
      </x:c>
      <x:c r="X963" s="24" t="n">
        <x:f>IFERROR(K963/I963,0)</x:f>
        <x:v>0.25</x:v>
      </x:c>
      <x:c r="Y963" s="24" t="n">
        <x:f>IFERROR(G963/I963,0)</x:f>
        <x:v>0.0625</x:v>
      </x:c>
      <x:c r="Z963" s="24" t="n">
        <x:f>IFERROR(G963/K963,0)</x:f>
        <x:v>0.25</x:v>
      </x:c>
      <x:c r="AA963" s="24" t="n">
        <x:f>IFERROR(F963/H963,0)-IFERROR(G963/I963,0)</x:f>
        <x:v>-0.0625</x:v>
      </x:c>
      <x:c r="AB963" s="28" t="n">
        <x:f>J963-K963</x:f>
        <x:v>-4</x:v>
      </x:c>
      <x:c r="AC963" s="32" t="n">
        <x:f>F963-G963</x:f>
        <x:v>-1</x:v>
      </x:c>
    </x:row>
    <x:row r="964">
      <x:c r="A964" s="4" t="str">
        <x:v>2022-23</x:v>
      </x:c>
      <x:c r="B964" s="20" t="n">
        <x:v>44853</x:v>
      </x:c>
      <x:c r="C964" s="4" t="str">
        <x:v>Liverpool</x:v>
      </x:c>
      <x:c r="D964" s="4" t="str">
        <x:v>West Ham</x:v>
      </x:c>
      <x:c r="E964" s="4" t="str">
        <x:v>Home</x:v>
      </x:c>
      <x:c r="F964" s="28" t="n">
        <x:v>1</x:v>
      </x:c>
      <x:c r="G964" s="28" t="n">
        <x:v>0</x:v>
      </x:c>
      <x:c r="H964" s="28" t="n">
        <x:v>22</x:v>
      </x:c>
      <x:c r="I964" s="28" t="n">
        <x:v>8</x:v>
      </x:c>
      <x:c r="J964" s="28" t="n">
        <x:v>7</x:v>
      </x:c>
      <x:c r="K964" s="28" t="n">
        <x:v>3</x:v>
      </x:c>
      <x:c r="L964" s="28" t="n">
        <x:v>8</x:v>
      </x:c>
      <x:c r="M964" s="28" t="n">
        <x:v>3</x:v>
      </x:c>
      <x:c r="N964" s="28" t="n">
        <x:v>0</x:v>
      </x:c>
      <x:c r="O964" s="28" t="n">
        <x:v>0</x:v>
      </x:c>
      <x:c r="P964" s="28" t="n">
        <x:v>3</x:v>
      </x:c>
      <x:c r="Q964" s="24" t="n">
        <x:f>IFERROR(J964/H964,0)</x:f>
        <x:v>0.3181818181818182</x:v>
      </x:c>
      <x:c r="R964" s="24" t="n">
        <x:f>IFERROR(F964/H964,0)</x:f>
        <x:v>0.045454545454545456</x:v>
      </x:c>
      <x:c r="S964" s="24" t="n">
        <x:f>IFERROR(F964/J964,0)</x:f>
        <x:v>0.14285714285714285</x:v>
      </x:c>
      <x:c r="T964" s="28" t="n">
        <x:f>H964-I964</x:f>
        <x:v>14</x:v>
      </x:c>
      <x:c r="U964" s="24" t="n">
        <x:f>IFERROR(J964/H964,0)-IFERROR(K964/I964,0)</x:f>
        <x:v>-0.05681818181818182</x:v>
      </x:c>
      <x:c r="V964" s="24" t="n">
        <x:f>IFERROR(F964/J964,0)-IFERROR(G964/K964,0)</x:f>
        <x:v>0.14285714285714285</x:v>
      </x:c>
      <x:c r="W964" s="28" t="n">
        <x:f>L964-M964</x:f>
        <x:v>5</x:v>
      </x:c>
      <x:c r="X964" s="24" t="n">
        <x:f>IFERROR(K964/I964,0)</x:f>
        <x:v>0.375</x:v>
      </x:c>
      <x:c r="Y964" s="24" t="n">
        <x:f>IFERROR(G964/I964,0)</x:f>
        <x:v>0</x:v>
      </x:c>
      <x:c r="Z964" s="24" t="n">
        <x:f>IFERROR(G964/K964,0)</x:f>
        <x:v>0</x:v>
      </x:c>
      <x:c r="AA964" s="24" t="n">
        <x:f>IFERROR(F964/H964,0)-IFERROR(G964/I964,0)</x:f>
        <x:v>0.045454545454545456</x:v>
      </x:c>
      <x:c r="AB964" s="28" t="n">
        <x:f>J964-K964</x:f>
        <x:v>4</x:v>
      </x:c>
      <x:c r="AC964" s="32" t="n">
        <x:f>F964-G964</x:f>
        <x:v>1</x:v>
      </x:c>
    </x:row>
    <x:row r="965">
      <x:c r="A965" s="4" t="str">
        <x:v>2022-23</x:v>
      </x:c>
      <x:c r="B965" s="20" t="n">
        <x:v>44853</x:v>
      </x:c>
      <x:c r="C965" s="4" t="str">
        <x:v>Man United</x:v>
      </x:c>
      <x:c r="D965" s="4" t="str">
        <x:v>Tottenham</x:v>
      </x:c>
      <x:c r="E965" s="4" t="str">
        <x:v>Home</x:v>
      </x:c>
      <x:c r="F965" s="28" t="n">
        <x:v>2</x:v>
      </x:c>
      <x:c r="G965" s="28" t="n">
        <x:v>0</x:v>
      </x:c>
      <x:c r="H965" s="28" t="n">
        <x:v>28</x:v>
      </x:c>
      <x:c r="I965" s="28" t="n">
        <x:v>9</x:v>
      </x:c>
      <x:c r="J965" s="28" t="n">
        <x:v>10</x:v>
      </x:c>
      <x:c r="K965" s="28" t="n">
        <x:v>2</x:v>
      </x:c>
      <x:c r="L965" s="28" t="n">
        <x:v>8</x:v>
      </x:c>
      <x:c r="M965" s="28" t="n">
        <x:v>3</x:v>
      </x:c>
      <x:c r="N965" s="28" t="n">
        <x:v>1</x:v>
      </x:c>
      <x:c r="O965" s="28" t="n">
        <x:v>0</x:v>
      </x:c>
      <x:c r="P965" s="28" t="n">
        <x:v>3</x:v>
      </x:c>
      <x:c r="Q965" s="24" t="n">
        <x:f>IFERROR(J965/H965,0)</x:f>
        <x:v>0.35714285714285715</x:v>
      </x:c>
      <x:c r="R965" s="24" t="n">
        <x:f>IFERROR(F965/H965,0)</x:f>
        <x:v>0.07142857142857142</x:v>
      </x:c>
      <x:c r="S965" s="24" t="n">
        <x:f>IFERROR(F965/J965,0)</x:f>
        <x:v>0.2</x:v>
      </x:c>
      <x:c r="T965" s="28" t="n">
        <x:f>H965-I965</x:f>
        <x:v>19</x:v>
      </x:c>
      <x:c r="U965" s="24" t="n">
        <x:f>IFERROR(J965/H965,0)-IFERROR(K965/I965,0)</x:f>
        <x:v>0.13492063492063494</x:v>
      </x:c>
      <x:c r="V965" s="24" t="n">
        <x:f>IFERROR(F965/J965,0)-IFERROR(G965/K965,0)</x:f>
        <x:v>0.2</x:v>
      </x:c>
      <x:c r="W965" s="28" t="n">
        <x:f>L965-M965</x:f>
        <x:v>5</x:v>
      </x:c>
      <x:c r="X965" s="24" t="n">
        <x:f>IFERROR(K965/I965,0)</x:f>
        <x:v>0.2222222222222222</x:v>
      </x:c>
      <x:c r="Y965" s="24" t="n">
        <x:f>IFERROR(G965/I965,0)</x:f>
        <x:v>0</x:v>
      </x:c>
      <x:c r="Z965" s="24" t="n">
        <x:f>IFERROR(G965/K965,0)</x:f>
        <x:v>0</x:v>
      </x:c>
      <x:c r="AA965" s="24" t="n">
        <x:f>IFERROR(F965/H965,0)-IFERROR(G965/I965,0)</x:f>
        <x:v>0.07142857142857142</x:v>
      </x:c>
      <x:c r="AB965" s="28" t="n">
        <x:f>J965-K965</x:f>
        <x:v>8</x:v>
      </x:c>
      <x:c r="AC965" s="32" t="n">
        <x:f>F965-G965</x:f>
        <x:v>2</x:v>
      </x:c>
    </x:row>
    <x:row r="966">
      <x:c r="A966" s="4" t="str">
        <x:v>2022-23</x:v>
      </x:c>
      <x:c r="B966" s="20" t="n">
        <x:v>44853</x:v>
      </x:c>
      <x:c r="C966" s="4" t="str">
        <x:v>Newcastle</x:v>
      </x:c>
      <x:c r="D966" s="4" t="str">
        <x:v>Everton</x:v>
      </x:c>
      <x:c r="E966" s="4" t="str">
        <x:v>Home</x:v>
      </x:c>
      <x:c r="F966" s="28" t="n">
        <x:v>1</x:v>
      </x:c>
      <x:c r="G966" s="28" t="n">
        <x:v>0</x:v>
      </x:c>
      <x:c r="H966" s="28" t="n">
        <x:v>16</x:v>
      </x:c>
      <x:c r="I966" s="28" t="n">
        <x:v>1</x:v>
      </x:c>
      <x:c r="J966" s="28" t="n">
        <x:v>4</x:v>
      </x:c>
      <x:c r="K966" s="28" t="n">
        <x:v>0</x:v>
      </x:c>
      <x:c r="L966" s="28" t="n">
        <x:v>8</x:v>
      </x:c>
      <x:c r="M966" s="28" t="n">
        <x:v>2</x:v>
      </x:c>
      <x:c r="N966" s="28" t="n">
        <x:v>2</x:v>
      </x:c>
      <x:c r="O966" s="28" t="n">
        <x:v>0</x:v>
      </x:c>
      <x:c r="P966" s="28" t="n">
        <x:v>3</x:v>
      </x:c>
      <x:c r="Q966" s="24" t="n">
        <x:f>IFERROR(J966/H966,0)</x:f>
        <x:v>0.25</x:v>
      </x:c>
      <x:c r="R966" s="24" t="n">
        <x:f>IFERROR(F966/H966,0)</x:f>
        <x:v>0.0625</x:v>
      </x:c>
      <x:c r="S966" s="24" t="n">
        <x:f>IFERROR(F966/J966,0)</x:f>
        <x:v>0.25</x:v>
      </x:c>
      <x:c r="T966" s="28" t="n">
        <x:f>H966-I966</x:f>
        <x:v>15</x:v>
      </x:c>
      <x:c r="U966" s="24" t="n">
        <x:f>IFERROR(J966/H966,0)-IFERROR(K966/I966,0)</x:f>
        <x:v>0.25</x:v>
      </x:c>
      <x:c r="V966" s="24" t="n">
        <x:f>IFERROR(F966/J966,0)-IFERROR(G966/K966,0)</x:f>
        <x:v>0.25</x:v>
      </x:c>
      <x:c r="W966" s="28" t="n">
        <x:f>L966-M966</x:f>
        <x:v>6</x:v>
      </x:c>
      <x:c r="X966" s="24" t="n">
        <x:f>IFERROR(K966/I966,0)</x:f>
        <x:v>0</x:v>
      </x:c>
      <x:c r="Y966" s="24" t="n">
        <x:f>IFERROR(G966/I966,0)</x:f>
        <x:v>0</x:v>
      </x:c>
      <x:c r="Z966" s="24" t="n">
        <x:f>IFERROR(G966/K966,0)</x:f>
        <x:v>0</x:v>
      </x:c>
      <x:c r="AA966" s="24" t="n">
        <x:f>IFERROR(F966/H966,0)-IFERROR(G966/I966,0)</x:f>
        <x:v>0.0625</x:v>
      </x:c>
      <x:c r="AB966" s="28" t="n">
        <x:f>J966-K966</x:f>
        <x:v>4</x:v>
      </x:c>
      <x:c r="AC966" s="32" t="n">
        <x:f>F966-G966</x:f>
        <x:v>1</x:v>
      </x:c>
    </x:row>
    <x:row r="967">
      <x:c r="A967" s="4" t="str">
        <x:v>2022-23</x:v>
      </x:c>
      <x:c r="B967" s="20" t="n">
        <x:v>44853</x:v>
      </x:c>
      <x:c r="C967" s="4" t="str">
        <x:v>Southampton</x:v>
      </x:c>
      <x:c r="D967" s="4" t="str">
        <x:v>Bournemouth</x:v>
      </x:c>
      <x:c r="E967" s="4" t="str">
        <x:v>Away</x:v>
      </x:c>
      <x:c r="F967" s="28" t="n">
        <x:v>1</x:v>
      </x:c>
      <x:c r="G967" s="28" t="n">
        <x:v>0</x:v>
      </x:c>
      <x:c r="H967" s="28" t="n">
        <x:v>9</x:v>
      </x:c>
      <x:c r="I967" s="28" t="n">
        <x:v>15</x:v>
      </x:c>
      <x:c r="J967" s="28" t="n">
        <x:v>3</x:v>
      </x:c>
      <x:c r="K967" s="28" t="n">
        <x:v>3</x:v>
      </x:c>
      <x:c r="L967" s="28" t="n">
        <x:v>3</x:v>
      </x:c>
      <x:c r="M967" s="28" t="n">
        <x:v>7</x:v>
      </x:c>
      <x:c r="N967" s="28" t="n">
        <x:v>3</x:v>
      </x:c>
      <x:c r="O967" s="28" t="n">
        <x:v>0</x:v>
      </x:c>
      <x:c r="P967" s="28" t="n">
        <x:v>3</x:v>
      </x:c>
      <x:c r="Q967" s="24" t="n">
        <x:f>IFERROR(J967/H967,0)</x:f>
        <x:v>0.3333333333333333</x:v>
      </x:c>
      <x:c r="R967" s="24" t="n">
        <x:f>IFERROR(F967/H967,0)</x:f>
        <x:v>0.1111111111111111</x:v>
      </x:c>
      <x:c r="S967" s="24" t="n">
        <x:f>IFERROR(F967/J967,0)</x:f>
        <x:v>0.3333333333333333</x:v>
      </x:c>
      <x:c r="T967" s="28" t="n">
        <x:f>H967-I967</x:f>
        <x:v>-6</x:v>
      </x:c>
      <x:c r="U967" s="24" t="n">
        <x:f>IFERROR(J967/H967,0)-IFERROR(K967/I967,0)</x:f>
        <x:v>0.1333333333333333</x:v>
      </x:c>
      <x:c r="V967" s="24" t="n">
        <x:f>IFERROR(F967/J967,0)-IFERROR(G967/K967,0)</x:f>
        <x:v>0.3333333333333333</x:v>
      </x:c>
      <x:c r="W967" s="28" t="n">
        <x:f>L967-M967</x:f>
        <x:v>-4</x:v>
      </x:c>
      <x:c r="X967" s="24" t="n">
        <x:f>IFERROR(K967/I967,0)</x:f>
        <x:v>0.2</x:v>
      </x:c>
      <x:c r="Y967" s="24" t="n">
        <x:f>IFERROR(G967/I967,0)</x:f>
        <x:v>0</x:v>
      </x:c>
      <x:c r="Z967" s="24" t="n">
        <x:f>IFERROR(G967/K967,0)</x:f>
        <x:v>0</x:v>
      </x:c>
      <x:c r="AA967" s="24" t="n">
        <x:f>IFERROR(F967/H967,0)-IFERROR(G967/I967,0)</x:f>
        <x:v>0.1111111111111111</x:v>
      </x:c>
      <x:c r="AB967" s="28" t="n">
        <x:f>J967-K967</x:f>
        <x:v>0</x:v>
      </x:c>
      <x:c r="AC967" s="32" t="n">
        <x:f>F967-G967</x:f>
        <x:v>1</x:v>
      </x:c>
    </x:row>
    <x:row r="968">
      <x:c r="A968" s="4" t="str">
        <x:v>2022-23</x:v>
      </x:c>
      <x:c r="B968" s="20" t="n">
        <x:v>44853</x:v>
      </x:c>
      <x:c r="C968" s="4" t="str">
        <x:v>Tottenham</x:v>
      </x:c>
      <x:c r="D968" s="4" t="str">
        <x:v>Man United</x:v>
      </x:c>
      <x:c r="E968" s="4" t="str">
        <x:v>Away</x:v>
      </x:c>
      <x:c r="F968" s="28" t="n">
        <x:v>0</x:v>
      </x:c>
      <x:c r="G968" s="28" t="n">
        <x:v>2</x:v>
      </x:c>
      <x:c r="H968" s="28" t="n">
        <x:v>9</x:v>
      </x:c>
      <x:c r="I968" s="28" t="n">
        <x:v>28</x:v>
      </x:c>
      <x:c r="J968" s="28" t="n">
        <x:v>2</x:v>
      </x:c>
      <x:c r="K968" s="28" t="n">
        <x:v>10</x:v>
      </x:c>
      <x:c r="L968" s="28" t="n">
        <x:v>3</x:v>
      </x:c>
      <x:c r="M968" s="28" t="n">
        <x:v>8</x:v>
      </x:c>
      <x:c r="N968" s="28" t="n">
        <x:v>0</x:v>
      </x:c>
      <x:c r="O968" s="28" t="n">
        <x:v>0</x:v>
      </x:c>
      <x:c r="P968" s="28" t="n">
        <x:v>0</x:v>
      </x:c>
      <x:c r="Q968" s="24" t="n">
        <x:f>IFERROR(J968/H968,0)</x:f>
        <x:v>0.2222222222222222</x:v>
      </x:c>
      <x:c r="R968" s="24" t="n">
        <x:f>IFERROR(F968/H968,0)</x:f>
        <x:v>0</x:v>
      </x:c>
      <x:c r="S968" s="24" t="n">
        <x:f>IFERROR(F968/J968,0)</x:f>
        <x:v>0</x:v>
      </x:c>
      <x:c r="T968" s="28" t="n">
        <x:f>H968-I968</x:f>
        <x:v>-19</x:v>
      </x:c>
      <x:c r="U968" s="24" t="n">
        <x:f>IFERROR(J968/H968,0)-IFERROR(K968/I968,0)</x:f>
        <x:v>-0.13492063492063494</x:v>
      </x:c>
      <x:c r="V968" s="24" t="n">
        <x:f>IFERROR(F968/J968,0)-IFERROR(G968/K968,0)</x:f>
        <x:v>-0.2</x:v>
      </x:c>
      <x:c r="W968" s="28" t="n">
        <x:f>L968-M968</x:f>
        <x:v>-5</x:v>
      </x:c>
      <x:c r="X968" s="24" t="n">
        <x:f>IFERROR(K968/I968,0)</x:f>
        <x:v>0.35714285714285715</x:v>
      </x:c>
      <x:c r="Y968" s="24" t="n">
        <x:f>IFERROR(G968/I968,0)</x:f>
        <x:v>0.07142857142857142</x:v>
      </x:c>
      <x:c r="Z968" s="24" t="n">
        <x:f>IFERROR(G968/K968,0)</x:f>
        <x:v>0.2</x:v>
      </x:c>
      <x:c r="AA968" s="24" t="n">
        <x:f>IFERROR(F968/H968,0)-IFERROR(G968/I968,0)</x:f>
        <x:v>-0.07142857142857142</x:v>
      </x:c>
      <x:c r="AB968" s="28" t="n">
        <x:f>J968-K968</x:f>
        <x:v>-8</x:v>
      </x:c>
      <x:c r="AC968" s="32" t="n">
        <x:f>F968-G968</x:f>
        <x:v>-2</x:v>
      </x:c>
    </x:row>
    <x:row r="969">
      <x:c r="A969" s="4" t="str">
        <x:v>2022-23</x:v>
      </x:c>
      <x:c r="B969" s="20" t="n">
        <x:v>44853</x:v>
      </x:c>
      <x:c r="C969" s="4" t="str">
        <x:v>West Ham</x:v>
      </x:c>
      <x:c r="D969" s="4" t="str">
        <x:v>Liverpool</x:v>
      </x:c>
      <x:c r="E969" s="4" t="str">
        <x:v>Away</x:v>
      </x:c>
      <x:c r="F969" s="28" t="n">
        <x:v>0</x:v>
      </x:c>
      <x:c r="G969" s="28" t="n">
        <x:v>1</x:v>
      </x:c>
      <x:c r="H969" s="28" t="n">
        <x:v>8</x:v>
      </x:c>
      <x:c r="I969" s="28" t="n">
        <x:v>22</x:v>
      </x:c>
      <x:c r="J969" s="28" t="n">
        <x:v>3</x:v>
      </x:c>
      <x:c r="K969" s="28" t="n">
        <x:v>7</x:v>
      </x:c>
      <x:c r="L969" s="28" t="n">
        <x:v>3</x:v>
      </x:c>
      <x:c r="M969" s="28" t="n">
        <x:v>8</x:v>
      </x:c>
      <x:c r="N969" s="28" t="n">
        <x:v>0</x:v>
      </x:c>
      <x:c r="O969" s="28" t="n">
        <x:v>0</x:v>
      </x:c>
      <x:c r="P969" s="28" t="n">
        <x:v>0</x:v>
      </x:c>
      <x:c r="Q969" s="24" t="n">
        <x:f>IFERROR(J969/H969,0)</x:f>
        <x:v>0.375</x:v>
      </x:c>
      <x:c r="R969" s="24" t="n">
        <x:f>IFERROR(F969/H969,0)</x:f>
        <x:v>0</x:v>
      </x:c>
      <x:c r="S969" s="24" t="n">
        <x:f>IFERROR(F969/J969,0)</x:f>
        <x:v>0</x:v>
      </x:c>
      <x:c r="T969" s="28" t="n">
        <x:f>H969-I969</x:f>
        <x:v>-14</x:v>
      </x:c>
      <x:c r="U969" s="24" t="n">
        <x:f>IFERROR(J969/H969,0)-IFERROR(K969/I969,0)</x:f>
        <x:v>0.05681818181818182</x:v>
      </x:c>
      <x:c r="V969" s="24" t="n">
        <x:f>IFERROR(F969/J969,0)-IFERROR(G969/K969,0)</x:f>
        <x:v>-0.14285714285714285</x:v>
      </x:c>
      <x:c r="W969" s="28" t="n">
        <x:f>L969-M969</x:f>
        <x:v>-5</x:v>
      </x:c>
      <x:c r="X969" s="24" t="n">
        <x:f>IFERROR(K969/I969,0)</x:f>
        <x:v>0.3181818181818182</x:v>
      </x:c>
      <x:c r="Y969" s="24" t="n">
        <x:f>IFERROR(G969/I969,0)</x:f>
        <x:v>0.045454545454545456</x:v>
      </x:c>
      <x:c r="Z969" s="24" t="n">
        <x:f>IFERROR(G969/K969,0)</x:f>
        <x:v>0.14285714285714285</x:v>
      </x:c>
      <x:c r="AA969" s="24" t="n">
        <x:f>IFERROR(F969/H969,0)-IFERROR(G969/I969,0)</x:f>
        <x:v>-0.045454545454545456</x:v>
      </x:c>
      <x:c r="AB969" s="28" t="n">
        <x:f>J969-K969</x:f>
        <x:v>-4</x:v>
      </x:c>
      <x:c r="AC969" s="32" t="n">
        <x:f>F969-G969</x:f>
        <x:v>-1</x:v>
      </x:c>
    </x:row>
    <x:row r="970">
      <x:c r="A970" s="4" t="str">
        <x:v>2022-23</x:v>
      </x:c>
      <x:c r="B970" s="20" t="n">
        <x:v>44854</x:v>
      </x:c>
      <x:c r="C970" s="4" t="str">
        <x:v>Aston Villa</x:v>
      </x:c>
      <x:c r="D970" s="4" t="str">
        <x:v>Fulham</x:v>
      </x:c>
      <x:c r="E970" s="4" t="str">
        <x:v>Away</x:v>
      </x:c>
      <x:c r="F970" s="28" t="n">
        <x:v>0</x:v>
      </x:c>
      <x:c r="G970" s="28" t="n">
        <x:v>3</x:v>
      </x:c>
      <x:c r="H970" s="28" t="n">
        <x:v>12</x:v>
      </x:c>
      <x:c r="I970" s="28" t="n">
        <x:v>18</x:v>
      </x:c>
      <x:c r="J970" s="28" t="n">
        <x:v>6</x:v>
      </x:c>
      <x:c r="K970" s="28" t="n">
        <x:v>8</x:v>
      </x:c>
      <x:c r="L970" s="28" t="n">
        <x:v>7</x:v>
      </x:c>
      <x:c r="M970" s="28" t="n">
        <x:v>9</x:v>
      </x:c>
      <x:c r="N970" s="28" t="n">
        <x:v>2</x:v>
      </x:c>
      <x:c r="O970" s="28" t="n">
        <x:v>1</x:v>
      </x:c>
      <x:c r="P970" s="28" t="n">
        <x:v>0</x:v>
      </x:c>
      <x:c r="Q970" s="24" t="n">
        <x:f>IFERROR(J970/H970,0)</x:f>
        <x:v>0.5</x:v>
      </x:c>
      <x:c r="R970" s="24" t="n">
        <x:f>IFERROR(F970/H970,0)</x:f>
        <x:v>0</x:v>
      </x:c>
      <x:c r="S970" s="24" t="n">
        <x:f>IFERROR(F970/J970,0)</x:f>
        <x:v>0</x:v>
      </x:c>
      <x:c r="T970" s="28" t="n">
        <x:f>H970-I970</x:f>
        <x:v>-6</x:v>
      </x:c>
      <x:c r="U970" s="24" t="n">
        <x:f>IFERROR(J970/H970,0)-IFERROR(K970/I970,0)</x:f>
        <x:v>0.05555555555555558</x:v>
      </x:c>
      <x:c r="V970" s="24" t="n">
        <x:f>IFERROR(F970/J970,0)-IFERROR(G970/K970,0)</x:f>
        <x:v>-0.375</x:v>
      </x:c>
      <x:c r="W970" s="28" t="n">
        <x:f>L970-M970</x:f>
        <x:v>-2</x:v>
      </x:c>
      <x:c r="X970" s="24" t="n">
        <x:f>IFERROR(K970/I970,0)</x:f>
        <x:v>0.4444444444444444</x:v>
      </x:c>
      <x:c r="Y970" s="24" t="n">
        <x:f>IFERROR(G970/I970,0)</x:f>
        <x:v>0.16666666666666666</x:v>
      </x:c>
      <x:c r="Z970" s="24" t="n">
        <x:f>IFERROR(G970/K970,0)</x:f>
        <x:v>0.375</x:v>
      </x:c>
      <x:c r="AA970" s="24" t="n">
        <x:f>IFERROR(F970/H970,0)-IFERROR(G970/I970,0)</x:f>
        <x:v>-0.16666666666666666</x:v>
      </x:c>
      <x:c r="AB970" s="28" t="n">
        <x:f>J970-K970</x:f>
        <x:v>-2</x:v>
      </x:c>
      <x:c r="AC970" s="32" t="n">
        <x:f>F970-G970</x:f>
        <x:v>-3</x:v>
      </x:c>
    </x:row>
    <x:row r="971">
      <x:c r="A971" s="4" t="str">
        <x:v>2022-23</x:v>
      </x:c>
      <x:c r="B971" s="20" t="n">
        <x:v>44854</x:v>
      </x:c>
      <x:c r="C971" s="4" t="str">
        <x:v>Fulham</x:v>
      </x:c>
      <x:c r="D971" s="4" t="str">
        <x:v>Aston Villa</x:v>
      </x:c>
      <x:c r="E971" s="4" t="str">
        <x:v>Home</x:v>
      </x:c>
      <x:c r="F971" s="28" t="n">
        <x:v>3</x:v>
      </x:c>
      <x:c r="G971" s="28" t="n">
        <x:v>0</x:v>
      </x:c>
      <x:c r="H971" s="28" t="n">
        <x:v>18</x:v>
      </x:c>
      <x:c r="I971" s="28" t="n">
        <x:v>12</x:v>
      </x:c>
      <x:c r="J971" s="28" t="n">
        <x:v>8</x:v>
      </x:c>
      <x:c r="K971" s="28" t="n">
        <x:v>6</x:v>
      </x:c>
      <x:c r="L971" s="28" t="n">
        <x:v>9</x:v>
      </x:c>
      <x:c r="M971" s="28" t="n">
        <x:v>7</x:v>
      </x:c>
      <x:c r="N971" s="28" t="n">
        <x:v>0</x:v>
      </x:c>
      <x:c r="O971" s="28" t="n">
        <x:v>0</x:v>
      </x:c>
      <x:c r="P971" s="28" t="n">
        <x:v>3</x:v>
      </x:c>
      <x:c r="Q971" s="24" t="n">
        <x:f>IFERROR(J971/H971,0)</x:f>
        <x:v>0.4444444444444444</x:v>
      </x:c>
      <x:c r="R971" s="24" t="n">
        <x:f>IFERROR(F971/H971,0)</x:f>
        <x:v>0.16666666666666666</x:v>
      </x:c>
      <x:c r="S971" s="24" t="n">
        <x:f>IFERROR(F971/J971,0)</x:f>
        <x:v>0.375</x:v>
      </x:c>
      <x:c r="T971" s="28" t="n">
        <x:f>H971-I971</x:f>
        <x:v>6</x:v>
      </x:c>
      <x:c r="U971" s="24" t="n">
        <x:f>IFERROR(J971/H971,0)-IFERROR(K971/I971,0)</x:f>
        <x:v>-0.05555555555555558</x:v>
      </x:c>
      <x:c r="V971" s="24" t="n">
        <x:f>IFERROR(F971/J971,0)-IFERROR(G971/K971,0)</x:f>
        <x:v>0.375</x:v>
      </x:c>
      <x:c r="W971" s="28" t="n">
        <x:f>L971-M971</x:f>
        <x:v>2</x:v>
      </x:c>
      <x:c r="X971" s="24" t="n">
        <x:f>IFERROR(K971/I971,0)</x:f>
        <x:v>0.5</x:v>
      </x:c>
      <x:c r="Y971" s="24" t="n">
        <x:f>IFERROR(G971/I971,0)</x:f>
        <x:v>0</x:v>
      </x:c>
      <x:c r="Z971" s="24" t="n">
        <x:f>IFERROR(G971/K971,0)</x:f>
        <x:v>0</x:v>
      </x:c>
      <x:c r="AA971" s="24" t="n">
        <x:f>IFERROR(F971/H971,0)-IFERROR(G971/I971,0)</x:f>
        <x:v>0.16666666666666666</x:v>
      </x:c>
      <x:c r="AB971" s="28" t="n">
        <x:f>J971-K971</x:f>
        <x:v>2</x:v>
      </x:c>
      <x:c r="AC971" s="32" t="n">
        <x:f>F971-G971</x:f>
        <x:v>3</x:v>
      </x:c>
    </x:row>
    <x:row r="972">
      <x:c r="A972" s="4" t="str">
        <x:v>2022-23</x:v>
      </x:c>
      <x:c r="B972" s="20" t="n">
        <x:v>44854</x:v>
      </x:c>
      <x:c r="C972" s="4" t="str">
        <x:v>Leeds</x:v>
      </x:c>
      <x:c r="D972" s="4" t="str">
        <x:v>Leicester</x:v>
      </x:c>
      <x:c r="E972" s="4" t="str">
        <x:v>Away</x:v>
      </x:c>
      <x:c r="F972" s="28" t="n">
        <x:v>0</x:v>
      </x:c>
      <x:c r="G972" s="28" t="n">
        <x:v>2</x:v>
      </x:c>
      <x:c r="H972" s="28" t="n">
        <x:v>14</x:v>
      </x:c>
      <x:c r="I972" s="28" t="n">
        <x:v>5</x:v>
      </x:c>
      <x:c r="J972" s="28" t="n">
        <x:v>2</x:v>
      </x:c>
      <x:c r="K972" s="28" t="n">
        <x:v>1</x:v>
      </x:c>
      <x:c r="L972" s="28" t="n">
        <x:v>9</x:v>
      </x:c>
      <x:c r="M972" s="28" t="n">
        <x:v>2</x:v>
      </x:c>
      <x:c r="N972" s="28" t="n">
        <x:v>1</x:v>
      </x:c>
      <x:c r="O972" s="28" t="n">
        <x:v>0</x:v>
      </x:c>
      <x:c r="P972" s="28" t="n">
        <x:v>0</x:v>
      </x:c>
      <x:c r="Q972" s="24" t="n">
        <x:f>IFERROR(J972/H972,0)</x:f>
        <x:v>0.14285714285714285</x:v>
      </x:c>
      <x:c r="R972" s="24" t="n">
        <x:f>IFERROR(F972/H972,0)</x:f>
        <x:v>0</x:v>
      </x:c>
      <x:c r="S972" s="24" t="n">
        <x:f>IFERROR(F972/J972,0)</x:f>
        <x:v>0</x:v>
      </x:c>
      <x:c r="T972" s="28" t="n">
        <x:f>H972-I972</x:f>
        <x:v>9</x:v>
      </x:c>
      <x:c r="U972" s="24" t="n">
        <x:f>IFERROR(J972/H972,0)-IFERROR(K972/I972,0)</x:f>
        <x:v>-0.05714285714285716</x:v>
      </x:c>
      <x:c r="V972" s="24" t="n">
        <x:f>IFERROR(F972/J972,0)-IFERROR(G972/K972,0)</x:f>
        <x:v>-2</x:v>
      </x:c>
      <x:c r="W972" s="28" t="n">
        <x:f>L972-M972</x:f>
        <x:v>7</x:v>
      </x:c>
      <x:c r="X972" s="24" t="n">
        <x:f>IFERROR(K972/I972,0)</x:f>
        <x:v>0.2</x:v>
      </x:c>
      <x:c r="Y972" s="24" t="n">
        <x:f>IFERROR(G972/I972,0)</x:f>
        <x:v>0.4</x:v>
      </x:c>
      <x:c r="Z972" s="24" t="n">
        <x:f>IFERROR(G972/K972,0)</x:f>
        <x:v>2</x:v>
      </x:c>
      <x:c r="AA972" s="24" t="n">
        <x:f>IFERROR(F972/H972,0)-IFERROR(G972/I972,0)</x:f>
        <x:v>-0.4</x:v>
      </x:c>
      <x:c r="AB972" s="28" t="n">
        <x:f>J972-K972</x:f>
        <x:v>1</x:v>
      </x:c>
      <x:c r="AC972" s="32" t="n">
        <x:f>F972-G972</x:f>
        <x:v>-2</x:v>
      </x:c>
    </x:row>
    <x:row r="973">
      <x:c r="A973" s="4" t="str">
        <x:v>2022-23</x:v>
      </x:c>
      <x:c r="B973" s="20" t="n">
        <x:v>44854</x:v>
      </x:c>
      <x:c r="C973" s="4" t="str">
        <x:v>Leicester</x:v>
      </x:c>
      <x:c r="D973" s="4" t="str">
        <x:v>Leeds</x:v>
      </x:c>
      <x:c r="E973" s="4" t="str">
        <x:v>Home</x:v>
      </x:c>
      <x:c r="F973" s="28" t="n">
        <x:v>2</x:v>
      </x:c>
      <x:c r="G973" s="28" t="n">
        <x:v>0</x:v>
      </x:c>
      <x:c r="H973" s="28" t="n">
        <x:v>5</x:v>
      </x:c>
      <x:c r="I973" s="28" t="n">
        <x:v>14</x:v>
      </x:c>
      <x:c r="J973" s="28" t="n">
        <x:v>1</x:v>
      </x:c>
      <x:c r="K973" s="28" t="n">
        <x:v>2</x:v>
      </x:c>
      <x:c r="L973" s="28" t="n">
        <x:v>2</x:v>
      </x:c>
      <x:c r="M973" s="28" t="n">
        <x:v>9</x:v>
      </x:c>
      <x:c r="N973" s="28" t="n">
        <x:v>2</x:v>
      </x:c>
      <x:c r="O973" s="28" t="n">
        <x:v>0</x:v>
      </x:c>
      <x:c r="P973" s="28" t="n">
        <x:v>3</x:v>
      </x:c>
      <x:c r="Q973" s="24" t="n">
        <x:f>IFERROR(J973/H973,0)</x:f>
        <x:v>0.2</x:v>
      </x:c>
      <x:c r="R973" s="24" t="n">
        <x:f>IFERROR(F973/H973,0)</x:f>
        <x:v>0.4</x:v>
      </x:c>
      <x:c r="S973" s="24" t="n">
        <x:f>IFERROR(F973/J973,0)</x:f>
        <x:v>2</x:v>
      </x:c>
      <x:c r="T973" s="28" t="n">
        <x:f>H973-I973</x:f>
        <x:v>-9</x:v>
      </x:c>
      <x:c r="U973" s="24" t="n">
        <x:f>IFERROR(J973/H973,0)-IFERROR(K973/I973,0)</x:f>
        <x:v>0.05714285714285716</x:v>
      </x:c>
      <x:c r="V973" s="24" t="n">
        <x:f>IFERROR(F973/J973,0)-IFERROR(G973/K973,0)</x:f>
        <x:v>2</x:v>
      </x:c>
      <x:c r="W973" s="28" t="n">
        <x:f>L973-M973</x:f>
        <x:v>-7</x:v>
      </x:c>
      <x:c r="X973" s="24" t="n">
        <x:f>IFERROR(K973/I973,0)</x:f>
        <x:v>0.14285714285714285</x:v>
      </x:c>
      <x:c r="Y973" s="24" t="n">
        <x:f>IFERROR(G973/I973,0)</x:f>
        <x:v>0</x:v>
      </x:c>
      <x:c r="Z973" s="24" t="n">
        <x:f>IFERROR(G973/K973,0)</x:f>
        <x:v>0</x:v>
      </x:c>
      <x:c r="AA973" s="24" t="n">
        <x:f>IFERROR(F973/H973,0)-IFERROR(G973/I973,0)</x:f>
        <x:v>0.4</x:v>
      </x:c>
      <x:c r="AB973" s="28" t="n">
        <x:f>J973-K973</x:f>
        <x:v>-1</x:v>
      </x:c>
      <x:c r="AC973" s="32" t="n">
        <x:f>F973-G973</x:f>
        <x:v>2</x:v>
      </x:c>
    </x:row>
    <x:row r="974">
      <x:c r="A974" s="4" t="str">
        <x:v>2022-23</x:v>
      </x:c>
      <x:c r="B974" s="20" t="n">
        <x:v>44856</x:v>
      </x:c>
      <x:c r="C974" s="4" t="str">
        <x:v>Brighton</x:v>
      </x:c>
      <x:c r="D974" s="4" t="str">
        <x:v>Man City</x:v>
      </x:c>
      <x:c r="E974" s="4" t="str">
        <x:v>Away</x:v>
      </x:c>
      <x:c r="F974" s="28" t="n">
        <x:v>1</x:v>
      </x:c>
      <x:c r="G974" s="28" t="n">
        <x:v>3</x:v>
      </x:c>
      <x:c r="H974" s="28" t="n">
        <x:v>8</x:v>
      </x:c>
      <x:c r="I974" s="28" t="n">
        <x:v>10</x:v>
      </x:c>
      <x:c r="J974" s="28" t="n">
        <x:v>2</x:v>
      </x:c>
      <x:c r="K974" s="28" t="n">
        <x:v>4</x:v>
      </x:c>
      <x:c r="L974" s="28" t="n">
        <x:v>3</x:v>
      </x:c>
      <x:c r="M974" s="28" t="n">
        <x:v>7</x:v>
      </x:c>
      <x:c r="N974" s="28" t="n">
        <x:v>3</x:v>
      </x:c>
      <x:c r="O974" s="28" t="n">
        <x:v>0</x:v>
      </x:c>
      <x:c r="P974" s="28" t="n">
        <x:v>0</x:v>
      </x:c>
      <x:c r="Q974" s="24" t="n">
        <x:f>IFERROR(J974/H974,0)</x:f>
        <x:v>0.25</x:v>
      </x:c>
      <x:c r="R974" s="24" t="n">
        <x:f>IFERROR(F974/H974,0)</x:f>
        <x:v>0.125</x:v>
      </x:c>
      <x:c r="S974" s="24" t="n">
        <x:f>IFERROR(F974/J974,0)</x:f>
        <x:v>0.5</x:v>
      </x:c>
      <x:c r="T974" s="28" t="n">
        <x:f>H974-I974</x:f>
        <x:v>-2</x:v>
      </x:c>
      <x:c r="U974" s="24" t="n">
        <x:f>IFERROR(J974/H974,0)-IFERROR(K974/I974,0)</x:f>
        <x:v>-0.15000000000000002</x:v>
      </x:c>
      <x:c r="V974" s="24" t="n">
        <x:f>IFERROR(F974/J974,0)-IFERROR(G974/K974,0)</x:f>
        <x:v>-0.25</x:v>
      </x:c>
      <x:c r="W974" s="28" t="n">
        <x:f>L974-M974</x:f>
        <x:v>-4</x:v>
      </x:c>
      <x:c r="X974" s="24" t="n">
        <x:f>IFERROR(K974/I974,0)</x:f>
        <x:v>0.4</x:v>
      </x:c>
      <x:c r="Y974" s="24" t="n">
        <x:f>IFERROR(G974/I974,0)</x:f>
        <x:v>0.3</x:v>
      </x:c>
      <x:c r="Z974" s="24" t="n">
        <x:f>IFERROR(G974/K974,0)</x:f>
        <x:v>0.75</x:v>
      </x:c>
      <x:c r="AA974" s="24" t="n">
        <x:f>IFERROR(F974/H974,0)-IFERROR(G974/I974,0)</x:f>
        <x:v>-0.175</x:v>
      </x:c>
      <x:c r="AB974" s="28" t="n">
        <x:f>J974-K974</x:f>
        <x:v>-2</x:v>
      </x:c>
      <x:c r="AC974" s="32" t="n">
        <x:f>F974-G974</x:f>
        <x:v>-2</x:v>
      </x:c>
    </x:row>
    <x:row r="975">
      <x:c r="A975" s="4" t="str">
        <x:v>2022-23</x:v>
      </x:c>
      <x:c r="B975" s="20" t="n">
        <x:v>44856</x:v>
      </x:c>
      <x:c r="C975" s="4" t="str">
        <x:v>Chelsea</x:v>
      </x:c>
      <x:c r="D975" s="4" t="str">
        <x:v>Man United</x:v>
      </x:c>
      <x:c r="E975" s="4" t="str">
        <x:v>Home</x:v>
      </x:c>
      <x:c r="F975" s="28" t="n">
        <x:v>1</x:v>
      </x:c>
      <x:c r="G975" s="28" t="n">
        <x:v>1</x:v>
      </x:c>
      <x:c r="H975" s="28" t="n">
        <x:v>6</x:v>
      </x:c>
      <x:c r="I975" s="28" t="n">
        <x:v>13</x:v>
      </x:c>
      <x:c r="J975" s="28" t="n">
        <x:v>2</x:v>
      </x:c>
      <x:c r="K975" s="28" t="n">
        <x:v>6</x:v>
      </x:c>
      <x:c r="L975" s="28" t="n">
        <x:v>6</x:v>
      </x:c>
      <x:c r="M975" s="28" t="n">
        <x:v>4</x:v>
      </x:c>
      <x:c r="N975" s="28" t="n">
        <x:v>1</x:v>
      </x:c>
      <x:c r="O975" s="28" t="n">
        <x:v>0</x:v>
      </x:c>
      <x:c r="P975" s="28" t="n">
        <x:v>1</x:v>
      </x:c>
      <x:c r="Q975" s="24" t="n">
        <x:f>IFERROR(J975/H975,0)</x:f>
        <x:v>0.3333333333333333</x:v>
      </x:c>
      <x:c r="R975" s="24" t="n">
        <x:f>IFERROR(F975/H975,0)</x:f>
        <x:v>0.16666666666666666</x:v>
      </x:c>
      <x:c r="S975" s="24" t="n">
        <x:f>IFERROR(F975/J975,0)</x:f>
        <x:v>0.5</x:v>
      </x:c>
      <x:c r="T975" s="28" t="n">
        <x:f>H975-I975</x:f>
        <x:v>-7</x:v>
      </x:c>
      <x:c r="U975" s="24" t="n">
        <x:f>IFERROR(J975/H975,0)-IFERROR(K975/I975,0)</x:f>
        <x:v>-0.12820512820512825</x:v>
      </x:c>
      <x:c r="V975" s="24" t="n">
        <x:f>IFERROR(F975/J975,0)-IFERROR(G975/K975,0)</x:f>
        <x:v>0.33333333333333337</x:v>
      </x:c>
      <x:c r="W975" s="28" t="n">
        <x:f>L975-M975</x:f>
        <x:v>2</x:v>
      </x:c>
      <x:c r="X975" s="24" t="n">
        <x:f>IFERROR(K975/I975,0)</x:f>
        <x:v>0.46153846153846156</x:v>
      </x:c>
      <x:c r="Y975" s="24" t="n">
        <x:f>IFERROR(G975/I975,0)</x:f>
        <x:v>0.07692307692307693</x:v>
      </x:c>
      <x:c r="Z975" s="24" t="n">
        <x:f>IFERROR(G975/K975,0)</x:f>
        <x:v>0.16666666666666666</x:v>
      </x:c>
      <x:c r="AA975" s="24" t="n">
        <x:f>IFERROR(F975/H975,0)-IFERROR(G975/I975,0)</x:f>
        <x:v>0.08974358974358973</x:v>
      </x:c>
      <x:c r="AB975" s="28" t="n">
        <x:f>J975-K975</x:f>
        <x:v>-4</x:v>
      </x:c>
      <x:c r="AC975" s="32" t="n">
        <x:f>F975-G975</x:f>
        <x:v>0</x:v>
      </x:c>
    </x:row>
    <x:row r="976">
      <x:c r="A976" s="4" t="str">
        <x:v>2022-23</x:v>
      </x:c>
      <x:c r="B976" s="20" t="n">
        <x:v>44856</x:v>
      </x:c>
      <x:c r="C976" s="4" t="str">
        <x:v>Crystal Palace</x:v>
      </x:c>
      <x:c r="D976" s="4" t="str">
        <x:v>Everton</x:v>
      </x:c>
      <x:c r="E976" s="4" t="str">
        <x:v>Away</x:v>
      </x:c>
      <x:c r="F976" s="28" t="n">
        <x:v>0</x:v>
      </x:c>
      <x:c r="G976" s="28" t="n">
        <x:v>3</x:v>
      </x:c>
      <x:c r="H976" s="28" t="n">
        <x:v>9</x:v>
      </x:c>
      <x:c r="I976" s="28" t="n">
        <x:v>9</x:v>
      </x:c>
      <x:c r="J976" s="28" t="n">
        <x:v>2</x:v>
      </x:c>
      <x:c r="K976" s="28" t="n">
        <x:v>6</x:v>
      </x:c>
      <x:c r="L976" s="28" t="n">
        <x:v>4</x:v>
      </x:c>
      <x:c r="M976" s="28" t="n">
        <x:v>3</x:v>
      </x:c>
      <x:c r="N976" s="28" t="n">
        <x:v>4</x:v>
      </x:c>
      <x:c r="O976" s="28" t="n">
        <x:v>0</x:v>
      </x:c>
      <x:c r="P976" s="28" t="n">
        <x:v>0</x:v>
      </x:c>
      <x:c r="Q976" s="24" t="n">
        <x:f>IFERROR(J976/H976,0)</x:f>
        <x:v>0.2222222222222222</x:v>
      </x:c>
      <x:c r="R976" s="24" t="n">
        <x:f>IFERROR(F976/H976,0)</x:f>
        <x:v>0</x:v>
      </x:c>
      <x:c r="S976" s="24" t="n">
        <x:f>IFERROR(F976/J976,0)</x:f>
        <x:v>0</x:v>
      </x:c>
      <x:c r="T976" s="28" t="n">
        <x:f>H976-I976</x:f>
        <x:v>0</x:v>
      </x:c>
      <x:c r="U976" s="24" t="n">
        <x:f>IFERROR(J976/H976,0)-IFERROR(K976/I976,0)</x:f>
        <x:v>-0.4444444444444444</x:v>
      </x:c>
      <x:c r="V976" s="24" t="n">
        <x:f>IFERROR(F976/J976,0)-IFERROR(G976/K976,0)</x:f>
        <x:v>-0.5</x:v>
      </x:c>
      <x:c r="W976" s="28" t="n">
        <x:f>L976-M976</x:f>
        <x:v>1</x:v>
      </x:c>
      <x:c r="X976" s="24" t="n">
        <x:f>IFERROR(K976/I976,0)</x:f>
        <x:v>0.6666666666666666</x:v>
      </x:c>
      <x:c r="Y976" s="24" t="n">
        <x:f>IFERROR(G976/I976,0)</x:f>
        <x:v>0.3333333333333333</x:v>
      </x:c>
      <x:c r="Z976" s="24" t="n">
        <x:f>IFERROR(G976/K976,0)</x:f>
        <x:v>0.5</x:v>
      </x:c>
      <x:c r="AA976" s="24" t="n">
        <x:f>IFERROR(F976/H976,0)-IFERROR(G976/I976,0)</x:f>
        <x:v>-0.3333333333333333</x:v>
      </x:c>
      <x:c r="AB976" s="28" t="n">
        <x:f>J976-K976</x:f>
        <x:v>-4</x:v>
      </x:c>
      <x:c r="AC976" s="32" t="n">
        <x:f>F976-G976</x:f>
        <x:v>-3</x:v>
      </x:c>
    </x:row>
    <x:row r="977">
      <x:c r="A977" s="4" t="str">
        <x:v>2022-23</x:v>
      </x:c>
      <x:c r="B977" s="20" t="n">
        <x:v>44856</x:v>
      </x:c>
      <x:c r="C977" s="4" t="str">
        <x:v>Everton</x:v>
      </x:c>
      <x:c r="D977" s="4" t="str">
        <x:v>Crystal Palace</x:v>
      </x:c>
      <x:c r="E977" s="4" t="str">
        <x:v>Home</x:v>
      </x:c>
      <x:c r="F977" s="28" t="n">
        <x:v>3</x:v>
      </x:c>
      <x:c r="G977" s="28" t="n">
        <x:v>0</x:v>
      </x:c>
      <x:c r="H977" s="28" t="n">
        <x:v>9</x:v>
      </x:c>
      <x:c r="I977" s="28" t="n">
        <x:v>9</x:v>
      </x:c>
      <x:c r="J977" s="28" t="n">
        <x:v>6</x:v>
      </x:c>
      <x:c r="K977" s="28" t="n">
        <x:v>2</x:v>
      </x:c>
      <x:c r="L977" s="28" t="n">
        <x:v>3</x:v>
      </x:c>
      <x:c r="M977" s="28" t="n">
        <x:v>4</x:v>
      </x:c>
      <x:c r="N977" s="28" t="n">
        <x:v>3</x:v>
      </x:c>
      <x:c r="O977" s="28" t="n">
        <x:v>0</x:v>
      </x:c>
      <x:c r="P977" s="28" t="n">
        <x:v>3</x:v>
      </x:c>
      <x:c r="Q977" s="24" t="n">
        <x:f>IFERROR(J977/H977,0)</x:f>
        <x:v>0.6666666666666666</x:v>
      </x:c>
      <x:c r="R977" s="24" t="n">
        <x:f>IFERROR(F977/H977,0)</x:f>
        <x:v>0.3333333333333333</x:v>
      </x:c>
      <x:c r="S977" s="24" t="n">
        <x:f>IFERROR(F977/J977,0)</x:f>
        <x:v>0.5</x:v>
      </x:c>
      <x:c r="T977" s="28" t="n">
        <x:f>H977-I977</x:f>
        <x:v>0</x:v>
      </x:c>
      <x:c r="U977" s="24" t="n">
        <x:f>IFERROR(J977/H977,0)-IFERROR(K977/I977,0)</x:f>
        <x:v>0.4444444444444444</x:v>
      </x:c>
      <x:c r="V977" s="24" t="n">
        <x:f>IFERROR(F977/J977,0)-IFERROR(G977/K977,0)</x:f>
        <x:v>0.5</x:v>
      </x:c>
      <x:c r="W977" s="28" t="n">
        <x:f>L977-M977</x:f>
        <x:v>-1</x:v>
      </x:c>
      <x:c r="X977" s="24" t="n">
        <x:f>IFERROR(K977/I977,0)</x:f>
        <x:v>0.2222222222222222</x:v>
      </x:c>
      <x:c r="Y977" s="24" t="n">
        <x:f>IFERROR(G977/I977,0)</x:f>
        <x:v>0</x:v>
      </x:c>
      <x:c r="Z977" s="24" t="n">
        <x:f>IFERROR(G977/K977,0)</x:f>
        <x:v>0</x:v>
      </x:c>
      <x:c r="AA977" s="24" t="n">
        <x:f>IFERROR(F977/H977,0)-IFERROR(G977/I977,0)</x:f>
        <x:v>0.3333333333333333</x:v>
      </x:c>
      <x:c r="AB977" s="28" t="n">
        <x:f>J977-K977</x:f>
        <x:v>4</x:v>
      </x:c>
      <x:c r="AC977" s="32" t="n">
        <x:f>F977-G977</x:f>
        <x:v>3</x:v>
      </x:c>
    </x:row>
    <x:row r="978">
      <x:c r="A978" s="4" t="str">
        <x:v>2022-23</x:v>
      </x:c>
      <x:c r="B978" s="20" t="n">
        <x:v>44856</x:v>
      </x:c>
      <x:c r="C978" s="4" t="str">
        <x:v>Liverpool</x:v>
      </x:c>
      <x:c r="D978" s="4" t="str">
        <x:v>Nott'm Forest</x:v>
      </x:c>
      <x:c r="E978" s="4" t="str">
        <x:v>Away</x:v>
      </x:c>
      <x:c r="F978" s="28" t="n">
        <x:v>0</x:v>
      </x:c>
      <x:c r="G978" s="28" t="n">
        <x:v>1</x:v>
      </x:c>
      <x:c r="H978" s="28" t="n">
        <x:v>15</x:v>
      </x:c>
      <x:c r="I978" s="28" t="n">
        <x:v>10</x:v>
      </x:c>
      <x:c r="J978" s="28" t="n">
        <x:v>7</x:v>
      </x:c>
      <x:c r="K978" s="28" t="n">
        <x:v>7</x:v>
      </x:c>
      <x:c r="L978" s="28" t="n">
        <x:v>11</x:v>
      </x:c>
      <x:c r="M978" s="28" t="n">
        <x:v>2</x:v>
      </x:c>
      <x:c r="N978" s="28" t="n">
        <x:v>1</x:v>
      </x:c>
      <x:c r="O978" s="28" t="n">
        <x:v>0</x:v>
      </x:c>
      <x:c r="P978" s="28" t="n">
        <x:v>0</x:v>
      </x:c>
      <x:c r="Q978" s="24" t="n">
        <x:f>IFERROR(J978/H978,0)</x:f>
        <x:v>0.4666666666666667</x:v>
      </x:c>
      <x:c r="R978" s="24" t="n">
        <x:f>IFERROR(F978/H978,0)</x:f>
        <x:v>0</x:v>
      </x:c>
      <x:c r="S978" s="24" t="n">
        <x:f>IFERROR(F978/J978,0)</x:f>
        <x:v>0</x:v>
      </x:c>
      <x:c r="T978" s="28" t="n">
        <x:f>H978-I978</x:f>
        <x:v>5</x:v>
      </x:c>
      <x:c r="U978" s="24" t="n">
        <x:f>IFERROR(J978/H978,0)-IFERROR(K978/I978,0)</x:f>
        <x:v>-0.23333333333333328</x:v>
      </x:c>
      <x:c r="V978" s="24" t="n">
        <x:f>IFERROR(F978/J978,0)-IFERROR(G978/K978,0)</x:f>
        <x:v>-0.14285714285714285</x:v>
      </x:c>
      <x:c r="W978" s="28" t="n">
        <x:f>L978-M978</x:f>
        <x:v>9</x:v>
      </x:c>
      <x:c r="X978" s="24" t="n">
        <x:f>IFERROR(K978/I978,0)</x:f>
        <x:v>0.7</x:v>
      </x:c>
      <x:c r="Y978" s="24" t="n">
        <x:f>IFERROR(G978/I978,0)</x:f>
        <x:v>0.1</x:v>
      </x:c>
      <x:c r="Z978" s="24" t="n">
        <x:f>IFERROR(G978/K978,0)</x:f>
        <x:v>0.14285714285714285</x:v>
      </x:c>
      <x:c r="AA978" s="24" t="n">
        <x:f>IFERROR(F978/H978,0)-IFERROR(G978/I978,0)</x:f>
        <x:v>-0.1</x:v>
      </x:c>
      <x:c r="AB978" s="28" t="n">
        <x:f>J978-K978</x:f>
        <x:v>0</x:v>
      </x:c>
      <x:c r="AC978" s="32" t="n">
        <x:f>F978-G978</x:f>
        <x:v>-1</x:v>
      </x:c>
    </x:row>
    <x:row r="979">
      <x:c r="A979" s="4" t="str">
        <x:v>2022-23</x:v>
      </x:c>
      <x:c r="B979" s="20" t="n">
        <x:v>44856</x:v>
      </x:c>
      <x:c r="C979" s="4" t="str">
        <x:v>Man City</x:v>
      </x:c>
      <x:c r="D979" s="4" t="str">
        <x:v>Brighton</x:v>
      </x:c>
      <x:c r="E979" s="4" t="str">
        <x:v>Home</x:v>
      </x:c>
      <x:c r="F979" s="28" t="n">
        <x:v>3</x:v>
      </x:c>
      <x:c r="G979" s="28" t="n">
        <x:v>1</x:v>
      </x:c>
      <x:c r="H979" s="28" t="n">
        <x:v>10</x:v>
      </x:c>
      <x:c r="I979" s="28" t="n">
        <x:v>8</x:v>
      </x:c>
      <x:c r="J979" s="28" t="n">
        <x:v>4</x:v>
      </x:c>
      <x:c r="K979" s="28" t="n">
        <x:v>2</x:v>
      </x:c>
      <x:c r="L979" s="28" t="n">
        <x:v>7</x:v>
      </x:c>
      <x:c r="M979" s="28" t="n">
        <x:v>3</x:v>
      </x:c>
      <x:c r="N979" s="28" t="n">
        <x:v>1</x:v>
      </x:c>
      <x:c r="O979" s="28" t="n">
        <x:v>0</x:v>
      </x:c>
      <x:c r="P979" s="28" t="n">
        <x:v>3</x:v>
      </x:c>
      <x:c r="Q979" s="24" t="n">
        <x:f>IFERROR(J979/H979,0)</x:f>
        <x:v>0.4</x:v>
      </x:c>
      <x:c r="R979" s="24" t="n">
        <x:f>IFERROR(F979/H979,0)</x:f>
        <x:v>0.3</x:v>
      </x:c>
      <x:c r="S979" s="24" t="n">
        <x:f>IFERROR(F979/J979,0)</x:f>
        <x:v>0.75</x:v>
      </x:c>
      <x:c r="T979" s="28" t="n">
        <x:f>H979-I979</x:f>
        <x:v>2</x:v>
      </x:c>
      <x:c r="U979" s="24" t="n">
        <x:f>IFERROR(J979/H979,0)-IFERROR(K979/I979,0)</x:f>
        <x:v>0.15000000000000002</x:v>
      </x:c>
      <x:c r="V979" s="24" t="n">
        <x:f>IFERROR(F979/J979,0)-IFERROR(G979/K979,0)</x:f>
        <x:v>0.25</x:v>
      </x:c>
      <x:c r="W979" s="28" t="n">
        <x:f>L979-M979</x:f>
        <x:v>4</x:v>
      </x:c>
      <x:c r="X979" s="24" t="n">
        <x:f>IFERROR(K979/I979,0)</x:f>
        <x:v>0.25</x:v>
      </x:c>
      <x:c r="Y979" s="24" t="n">
        <x:f>IFERROR(G979/I979,0)</x:f>
        <x:v>0.125</x:v>
      </x:c>
      <x:c r="Z979" s="24" t="n">
        <x:f>IFERROR(G979/K979,0)</x:f>
        <x:v>0.5</x:v>
      </x:c>
      <x:c r="AA979" s="24" t="n">
        <x:f>IFERROR(F979/H979,0)-IFERROR(G979/I979,0)</x:f>
        <x:v>0.175</x:v>
      </x:c>
      <x:c r="AB979" s="28" t="n">
        <x:f>J979-K979</x:f>
        <x:v>2</x:v>
      </x:c>
      <x:c r="AC979" s="32" t="n">
        <x:f>F979-G979</x:f>
        <x:v>2</x:v>
      </x:c>
    </x:row>
    <x:row r="980">
      <x:c r="A980" s="4" t="str">
        <x:v>2022-23</x:v>
      </x:c>
      <x:c r="B980" s="20" t="n">
        <x:v>44856</x:v>
      </x:c>
      <x:c r="C980" s="4" t="str">
        <x:v>Man United</x:v>
      </x:c>
      <x:c r="D980" s="4" t="str">
        <x:v>Chelsea</x:v>
      </x:c>
      <x:c r="E980" s="4" t="str">
        <x:v>Away</x:v>
      </x:c>
      <x:c r="F980" s="28" t="n">
        <x:v>1</x:v>
      </x:c>
      <x:c r="G980" s="28" t="n">
        <x:v>1</x:v>
      </x:c>
      <x:c r="H980" s="28" t="n">
        <x:v>13</x:v>
      </x:c>
      <x:c r="I980" s="28" t="n">
        <x:v>6</x:v>
      </x:c>
      <x:c r="J980" s="28" t="n">
        <x:v>6</x:v>
      </x:c>
      <x:c r="K980" s="28" t="n">
        <x:v>2</x:v>
      </x:c>
      <x:c r="L980" s="28" t="n">
        <x:v>4</x:v>
      </x:c>
      <x:c r="M980" s="28" t="n">
        <x:v>6</x:v>
      </x:c>
      <x:c r="N980" s="28" t="n">
        <x:v>4</x:v>
      </x:c>
      <x:c r="O980" s="28" t="n">
        <x:v>0</x:v>
      </x:c>
      <x:c r="P980" s="28" t="n">
        <x:v>1</x:v>
      </x:c>
      <x:c r="Q980" s="24" t="n">
        <x:f>IFERROR(J980/H980,0)</x:f>
        <x:v>0.46153846153846156</x:v>
      </x:c>
      <x:c r="R980" s="24" t="n">
        <x:f>IFERROR(F980/H980,0)</x:f>
        <x:v>0.07692307692307693</x:v>
      </x:c>
      <x:c r="S980" s="24" t="n">
        <x:f>IFERROR(F980/J980,0)</x:f>
        <x:v>0.16666666666666666</x:v>
      </x:c>
      <x:c r="T980" s="28" t="n">
        <x:f>H980-I980</x:f>
        <x:v>7</x:v>
      </x:c>
      <x:c r="U980" s="24" t="n">
        <x:f>IFERROR(J980/H980,0)-IFERROR(K980/I980,0)</x:f>
        <x:v>0.12820512820512825</x:v>
      </x:c>
      <x:c r="V980" s="24" t="n">
        <x:f>IFERROR(F980/J980,0)-IFERROR(G980/K980,0)</x:f>
        <x:v>-0.33333333333333337</x:v>
      </x:c>
      <x:c r="W980" s="28" t="n">
        <x:f>L980-M980</x:f>
        <x:v>-2</x:v>
      </x:c>
      <x:c r="X980" s="24" t="n">
        <x:f>IFERROR(K980/I980,0)</x:f>
        <x:v>0.3333333333333333</x:v>
      </x:c>
      <x:c r="Y980" s="24" t="n">
        <x:f>IFERROR(G980/I980,0)</x:f>
        <x:v>0.16666666666666666</x:v>
      </x:c>
      <x:c r="Z980" s="24" t="n">
        <x:f>IFERROR(G980/K980,0)</x:f>
        <x:v>0.5</x:v>
      </x:c>
      <x:c r="AA980" s="24" t="n">
        <x:f>IFERROR(F980/H980,0)-IFERROR(G980/I980,0)</x:f>
        <x:v>-0.08974358974358973</x:v>
      </x:c>
      <x:c r="AB980" s="28" t="n">
        <x:f>J980-K980</x:f>
        <x:v>4</x:v>
      </x:c>
      <x:c r="AC980" s="32" t="n">
        <x:f>F980-G980</x:f>
        <x:v>0</x:v>
      </x:c>
    </x:row>
    <x:row r="981">
      <x:c r="A981" s="4" t="str">
        <x:v>2022-23</x:v>
      </x:c>
      <x:c r="B981" s="20" t="n">
        <x:v>44856</x:v>
      </x:c>
      <x:c r="C981" s="4" t="str">
        <x:v>Nott'm Forest</x:v>
      </x:c>
      <x:c r="D981" s="4" t="str">
        <x:v>Liverpool</x:v>
      </x:c>
      <x:c r="E981" s="4" t="str">
        <x:v>Home</x:v>
      </x:c>
      <x:c r="F981" s="28" t="n">
        <x:v>1</x:v>
      </x:c>
      <x:c r="G981" s="28" t="n">
        <x:v>0</x:v>
      </x:c>
      <x:c r="H981" s="28" t="n">
        <x:v>10</x:v>
      </x:c>
      <x:c r="I981" s="28" t="n">
        <x:v>15</x:v>
      </x:c>
      <x:c r="J981" s="28" t="n">
        <x:v>7</x:v>
      </x:c>
      <x:c r="K981" s="28" t="n">
        <x:v>7</x:v>
      </x:c>
      <x:c r="L981" s="28" t="n">
        <x:v>2</x:v>
      </x:c>
      <x:c r="M981" s="28" t="n">
        <x:v>11</x:v>
      </x:c>
      <x:c r="N981" s="28" t="n">
        <x:v>2</x:v>
      </x:c>
      <x:c r="O981" s="28" t="n">
        <x:v>0</x:v>
      </x:c>
      <x:c r="P981" s="28" t="n">
        <x:v>3</x:v>
      </x:c>
      <x:c r="Q981" s="24" t="n">
        <x:f>IFERROR(J981/H981,0)</x:f>
        <x:v>0.7</x:v>
      </x:c>
      <x:c r="R981" s="24" t="n">
        <x:f>IFERROR(F981/H981,0)</x:f>
        <x:v>0.1</x:v>
      </x:c>
      <x:c r="S981" s="24" t="n">
        <x:f>IFERROR(F981/J981,0)</x:f>
        <x:v>0.14285714285714285</x:v>
      </x:c>
      <x:c r="T981" s="28" t="n">
        <x:f>H981-I981</x:f>
        <x:v>-5</x:v>
      </x:c>
      <x:c r="U981" s="24" t="n">
        <x:f>IFERROR(J981/H981,0)-IFERROR(K981/I981,0)</x:f>
        <x:v>0.23333333333333328</x:v>
      </x:c>
      <x:c r="V981" s="24" t="n">
        <x:f>IFERROR(F981/J981,0)-IFERROR(G981/K981,0)</x:f>
        <x:v>0.14285714285714285</x:v>
      </x:c>
      <x:c r="W981" s="28" t="n">
        <x:f>L981-M981</x:f>
        <x:v>-9</x:v>
      </x:c>
      <x:c r="X981" s="24" t="n">
        <x:f>IFERROR(K981/I981,0)</x:f>
        <x:v>0.4666666666666667</x:v>
      </x:c>
      <x:c r="Y981" s="24" t="n">
        <x:f>IFERROR(G981/I981,0)</x:f>
        <x:v>0</x:v>
      </x:c>
      <x:c r="Z981" s="24" t="n">
        <x:f>IFERROR(G981/K981,0)</x:f>
        <x:v>0</x:v>
      </x:c>
      <x:c r="AA981" s="24" t="n">
        <x:f>IFERROR(F981/H981,0)-IFERROR(G981/I981,0)</x:f>
        <x:v>0.1</x:v>
      </x:c>
      <x:c r="AB981" s="28" t="n">
        <x:f>J981-K981</x:f>
        <x:v>0</x:v>
      </x:c>
      <x:c r="AC981" s="32" t="n">
        <x:f>F981-G981</x:f>
        <x:v>1</x:v>
      </x:c>
    </x:row>
    <x:row r="982">
      <x:c r="A982" s="4" t="str">
        <x:v>2022-23</x:v>
      </x:c>
      <x:c r="B982" s="20" t="n">
        <x:v>44857</x:v>
      </x:c>
      <x:c r="C982" s="4" t="str">
        <x:v>Arsenal</x:v>
      </x:c>
      <x:c r="D982" s="4" t="str">
        <x:v>Southampton</x:v>
      </x:c>
      <x:c r="E982" s="4" t="str">
        <x:v>Away</x:v>
      </x:c>
      <x:c r="F982" s="28" t="n">
        <x:v>1</x:v>
      </x:c>
      <x:c r="G982" s="28" t="n">
        <x:v>1</x:v>
      </x:c>
      <x:c r="H982" s="28" t="n">
        <x:v>12</x:v>
      </x:c>
      <x:c r="I982" s="28" t="n">
        <x:v>10</x:v>
      </x:c>
      <x:c r="J982" s="28" t="n">
        <x:v>3</x:v>
      </x:c>
      <x:c r="K982" s="28" t="n">
        <x:v>3</x:v>
      </x:c>
      <x:c r="L982" s="28" t="n">
        <x:v>4</x:v>
      </x:c>
      <x:c r="M982" s="28" t="n">
        <x:v>9</x:v>
      </x:c>
      <x:c r="N982" s="28" t="n">
        <x:v>1</x:v>
      </x:c>
      <x:c r="O982" s="28" t="n">
        <x:v>0</x:v>
      </x:c>
      <x:c r="P982" s="28" t="n">
        <x:v>1</x:v>
      </x:c>
      <x:c r="Q982" s="24" t="n">
        <x:f>IFERROR(J982/H982,0)</x:f>
        <x:v>0.25</x:v>
      </x:c>
      <x:c r="R982" s="24" t="n">
        <x:f>IFERROR(F982/H982,0)</x:f>
        <x:v>0.08333333333333333</x:v>
      </x:c>
      <x:c r="S982" s="24" t="n">
        <x:f>IFERROR(F982/J982,0)</x:f>
        <x:v>0.3333333333333333</x:v>
      </x:c>
      <x:c r="T982" s="28" t="n">
        <x:f>H982-I982</x:f>
        <x:v>2</x:v>
      </x:c>
      <x:c r="U982" s="24" t="n">
        <x:f>IFERROR(J982/H982,0)-IFERROR(K982/I982,0)</x:f>
        <x:v>-0.04999999999999999</x:v>
      </x:c>
      <x:c r="V982" s="24" t="n">
        <x:f>IFERROR(F982/J982,0)-IFERROR(G982/K982,0)</x:f>
        <x:v>0</x:v>
      </x:c>
      <x:c r="W982" s="28" t="n">
        <x:f>L982-M982</x:f>
        <x:v>-5</x:v>
      </x:c>
      <x:c r="X982" s="24" t="n">
        <x:f>IFERROR(K982/I982,0)</x:f>
        <x:v>0.3</x:v>
      </x:c>
      <x:c r="Y982" s="24" t="n">
        <x:f>IFERROR(G982/I982,0)</x:f>
        <x:v>0.1</x:v>
      </x:c>
      <x:c r="Z982" s="24" t="n">
        <x:f>IFERROR(G982/K982,0)</x:f>
        <x:v>0.3333333333333333</x:v>
      </x:c>
      <x:c r="AA982" s="24" t="n">
        <x:f>IFERROR(F982/H982,0)-IFERROR(G982/I982,0)</x:f>
        <x:v>-0.016666666666666677</x:v>
      </x:c>
      <x:c r="AB982" s="28" t="n">
        <x:f>J982-K982</x:f>
        <x:v>0</x:v>
      </x:c>
      <x:c r="AC982" s="32" t="n">
        <x:f>F982-G982</x:f>
        <x:v>0</x:v>
      </x:c>
    </x:row>
    <x:row r="983">
      <x:c r="A983" s="4" t="str">
        <x:v>2022-23</x:v>
      </x:c>
      <x:c r="B983" s="20" t="n">
        <x:v>44857</x:v>
      </x:c>
      <x:c r="C983" s="4" t="str">
        <x:v>Aston Villa</x:v>
      </x:c>
      <x:c r="D983" s="4" t="str">
        <x:v>Brentford</x:v>
      </x:c>
      <x:c r="E983" s="4" t="str">
        <x:v>Home</x:v>
      </x:c>
      <x:c r="F983" s="28" t="n">
        <x:v>4</x:v>
      </x:c>
      <x:c r="G983" s="28" t="n">
        <x:v>0</x:v>
      </x:c>
      <x:c r="H983" s="28" t="n">
        <x:v>19</x:v>
      </x:c>
      <x:c r="I983" s="28" t="n">
        <x:v>12</x:v>
      </x:c>
      <x:c r="J983" s="28" t="n">
        <x:v>11</x:v>
      </x:c>
      <x:c r="K983" s="28" t="n">
        <x:v>3</x:v>
      </x:c>
      <x:c r="L983" s="28" t="n">
        <x:v>7</x:v>
      </x:c>
      <x:c r="M983" s="28" t="n">
        <x:v>6</x:v>
      </x:c>
      <x:c r="N983" s="28" t="n">
        <x:v>1</x:v>
      </x:c>
      <x:c r="O983" s="28" t="n">
        <x:v>0</x:v>
      </x:c>
      <x:c r="P983" s="28" t="n">
        <x:v>3</x:v>
      </x:c>
      <x:c r="Q983" s="24" t="n">
        <x:f>IFERROR(J983/H983,0)</x:f>
        <x:v>0.5789473684210527</x:v>
      </x:c>
      <x:c r="R983" s="24" t="n">
        <x:f>IFERROR(F983/H983,0)</x:f>
        <x:v>0.21052631578947367</x:v>
      </x:c>
      <x:c r="S983" s="24" t="n">
        <x:f>IFERROR(F983/J983,0)</x:f>
        <x:v>0.36363636363636365</x:v>
      </x:c>
      <x:c r="T983" s="28" t="n">
        <x:f>H983-I983</x:f>
        <x:v>7</x:v>
      </x:c>
      <x:c r="U983" s="24" t="n">
        <x:f>IFERROR(J983/H983,0)-IFERROR(K983/I983,0)</x:f>
        <x:v>0.32894736842105265</x:v>
      </x:c>
      <x:c r="V983" s="24" t="n">
        <x:f>IFERROR(F983/J983,0)-IFERROR(G983/K983,0)</x:f>
        <x:v>0.36363636363636365</x:v>
      </x:c>
      <x:c r="W983" s="28" t="n">
        <x:f>L983-M983</x:f>
        <x:v>1</x:v>
      </x:c>
      <x:c r="X983" s="24" t="n">
        <x:f>IFERROR(K983/I983,0)</x:f>
        <x:v>0.25</x:v>
      </x:c>
      <x:c r="Y983" s="24" t="n">
        <x:f>IFERROR(G983/I983,0)</x:f>
        <x:v>0</x:v>
      </x:c>
      <x:c r="Z983" s="24" t="n">
        <x:f>IFERROR(G983/K983,0)</x:f>
        <x:v>0</x:v>
      </x:c>
      <x:c r="AA983" s="24" t="n">
        <x:f>IFERROR(F983/H983,0)-IFERROR(G983/I983,0)</x:f>
        <x:v>0.21052631578947367</x:v>
      </x:c>
      <x:c r="AB983" s="28" t="n">
        <x:f>J983-K983</x:f>
        <x:v>8</x:v>
      </x:c>
      <x:c r="AC983" s="32" t="n">
        <x:f>F983-G983</x:f>
        <x:v>4</x:v>
      </x:c>
    </x:row>
    <x:row r="984">
      <x:c r="A984" s="4" t="str">
        <x:v>2022-23</x:v>
      </x:c>
      <x:c r="B984" s="20" t="n">
        <x:v>44857</x:v>
      </x:c>
      <x:c r="C984" s="4" t="str">
        <x:v>Brentford</x:v>
      </x:c>
      <x:c r="D984" s="4" t="str">
        <x:v>Aston Villa</x:v>
      </x:c>
      <x:c r="E984" s="4" t="str">
        <x:v>Away</x:v>
      </x:c>
      <x:c r="F984" s="28" t="n">
        <x:v>0</x:v>
      </x:c>
      <x:c r="G984" s="28" t="n">
        <x:v>4</x:v>
      </x:c>
      <x:c r="H984" s="28" t="n">
        <x:v>12</x:v>
      </x:c>
      <x:c r="I984" s="28" t="n">
        <x:v>19</x:v>
      </x:c>
      <x:c r="J984" s="28" t="n">
        <x:v>3</x:v>
      </x:c>
      <x:c r="K984" s="28" t="n">
        <x:v>11</x:v>
      </x:c>
      <x:c r="L984" s="28" t="n">
        <x:v>6</x:v>
      </x:c>
      <x:c r="M984" s="28" t="n">
        <x:v>7</x:v>
      </x:c>
      <x:c r="N984" s="28" t="n">
        <x:v>0</x:v>
      </x:c>
      <x:c r="O984" s="28" t="n">
        <x:v>0</x:v>
      </x:c>
      <x:c r="P984" s="28" t="n">
        <x:v>0</x:v>
      </x:c>
      <x:c r="Q984" s="24" t="n">
        <x:f>IFERROR(J984/H984,0)</x:f>
        <x:v>0.25</x:v>
      </x:c>
      <x:c r="R984" s="24" t="n">
        <x:f>IFERROR(F984/H984,0)</x:f>
        <x:v>0</x:v>
      </x:c>
      <x:c r="S984" s="24" t="n">
        <x:f>IFERROR(F984/J984,0)</x:f>
        <x:v>0</x:v>
      </x:c>
      <x:c r="T984" s="28" t="n">
        <x:f>H984-I984</x:f>
        <x:v>-7</x:v>
      </x:c>
      <x:c r="U984" s="24" t="n">
        <x:f>IFERROR(J984/H984,0)-IFERROR(K984/I984,0)</x:f>
        <x:v>-0.32894736842105265</x:v>
      </x:c>
      <x:c r="V984" s="24" t="n">
        <x:f>IFERROR(F984/J984,0)-IFERROR(G984/K984,0)</x:f>
        <x:v>-0.36363636363636365</x:v>
      </x:c>
      <x:c r="W984" s="28" t="n">
        <x:f>L984-M984</x:f>
        <x:v>-1</x:v>
      </x:c>
      <x:c r="X984" s="24" t="n">
        <x:f>IFERROR(K984/I984,0)</x:f>
        <x:v>0.5789473684210527</x:v>
      </x:c>
      <x:c r="Y984" s="24" t="n">
        <x:f>IFERROR(G984/I984,0)</x:f>
        <x:v>0.21052631578947367</x:v>
      </x:c>
      <x:c r="Z984" s="24" t="n">
        <x:f>IFERROR(G984/K984,0)</x:f>
        <x:v>0.36363636363636365</x:v>
      </x:c>
      <x:c r="AA984" s="24" t="n">
        <x:f>IFERROR(F984/H984,0)-IFERROR(G984/I984,0)</x:f>
        <x:v>-0.21052631578947367</x:v>
      </x:c>
      <x:c r="AB984" s="28" t="n">
        <x:f>J984-K984</x:f>
        <x:v>-8</x:v>
      </x:c>
      <x:c r="AC984" s="32" t="n">
        <x:f>F984-G984</x:f>
        <x:v>-4</x:v>
      </x:c>
    </x:row>
    <x:row r="985">
      <x:c r="A985" s="4" t="str">
        <x:v>2022-23</x:v>
      </x:c>
      <x:c r="B985" s="20" t="n">
        <x:v>44857</x:v>
      </x:c>
      <x:c r="C985" s="4" t="str">
        <x:v>Fulham</x:v>
      </x:c>
      <x:c r="D985" s="4" t="str">
        <x:v>Leeds</x:v>
      </x:c>
      <x:c r="E985" s="4" t="str">
        <x:v>Away</x:v>
      </x:c>
      <x:c r="F985" s="28" t="n">
        <x:v>3</x:v>
      </x:c>
      <x:c r="G985" s="28" t="n">
        <x:v>2</x:v>
      </x:c>
      <x:c r="H985" s="28" t="n">
        <x:v>11</x:v>
      </x:c>
      <x:c r="I985" s="28" t="n">
        <x:v>14</x:v>
      </x:c>
      <x:c r="J985" s="28" t="n">
        <x:v>5</x:v>
      </x:c>
      <x:c r="K985" s="28" t="n">
        <x:v>5</x:v>
      </x:c>
      <x:c r="L985" s="28" t="n">
        <x:v>6</x:v>
      </x:c>
      <x:c r="M985" s="28" t="n">
        <x:v>3</x:v>
      </x:c>
      <x:c r="N985" s="28" t="n">
        <x:v>1</x:v>
      </x:c>
      <x:c r="O985" s="28" t="n">
        <x:v>0</x:v>
      </x:c>
      <x:c r="P985" s="28" t="n">
        <x:v>3</x:v>
      </x:c>
      <x:c r="Q985" s="24" t="n">
        <x:f>IFERROR(J985/H985,0)</x:f>
        <x:v>0.45454545454545453</x:v>
      </x:c>
      <x:c r="R985" s="24" t="n">
        <x:f>IFERROR(F985/H985,0)</x:f>
        <x:v>0.2727272727272727</x:v>
      </x:c>
      <x:c r="S985" s="24" t="n">
        <x:f>IFERROR(F985/J985,0)</x:f>
        <x:v>0.6</x:v>
      </x:c>
      <x:c r="T985" s="28" t="n">
        <x:f>H985-I985</x:f>
        <x:v>-3</x:v>
      </x:c>
      <x:c r="U985" s="24" t="n">
        <x:f>IFERROR(J985/H985,0)-IFERROR(K985/I985,0)</x:f>
        <x:v>0.09740259740259738</x:v>
      </x:c>
      <x:c r="V985" s="24" t="n">
        <x:f>IFERROR(F985/J985,0)-IFERROR(G985/K985,0)</x:f>
        <x:v>0.19999999999999996</x:v>
      </x:c>
      <x:c r="W985" s="28" t="n">
        <x:f>L985-M985</x:f>
        <x:v>3</x:v>
      </x:c>
      <x:c r="X985" s="24" t="n">
        <x:f>IFERROR(K985/I985,0)</x:f>
        <x:v>0.35714285714285715</x:v>
      </x:c>
      <x:c r="Y985" s="24" t="n">
        <x:f>IFERROR(G985/I985,0)</x:f>
        <x:v>0.14285714285714285</x:v>
      </x:c>
      <x:c r="Z985" s="24" t="n">
        <x:f>IFERROR(G985/K985,0)</x:f>
        <x:v>0.4</x:v>
      </x:c>
      <x:c r="AA985" s="24" t="n">
        <x:f>IFERROR(F985/H985,0)-IFERROR(G985/I985,0)</x:f>
        <x:v>0.12987012987012986</x:v>
      </x:c>
      <x:c r="AB985" s="28" t="n">
        <x:f>J985-K985</x:f>
        <x:v>0</x:v>
      </x:c>
      <x:c r="AC985" s="32" t="n">
        <x:f>F985-G985</x:f>
        <x:v>1</x:v>
      </x:c>
    </x:row>
    <x:row r="986">
      <x:c r="A986" s="4" t="str">
        <x:v>2022-23</x:v>
      </x:c>
      <x:c r="B986" s="20" t="n">
        <x:v>44857</x:v>
      </x:c>
      <x:c r="C986" s="4" t="str">
        <x:v>Leeds</x:v>
      </x:c>
      <x:c r="D986" s="4" t="str">
        <x:v>Fulham</x:v>
      </x:c>
      <x:c r="E986" s="4" t="str">
        <x:v>Home</x:v>
      </x:c>
      <x:c r="F986" s="28" t="n">
        <x:v>2</x:v>
      </x:c>
      <x:c r="G986" s="28" t="n">
        <x:v>3</x:v>
      </x:c>
      <x:c r="H986" s="28" t="n">
        <x:v>14</x:v>
      </x:c>
      <x:c r="I986" s="28" t="n">
        <x:v>11</x:v>
      </x:c>
      <x:c r="J986" s="28" t="n">
        <x:v>5</x:v>
      </x:c>
      <x:c r="K986" s="28" t="n">
        <x:v>5</x:v>
      </x:c>
      <x:c r="L986" s="28" t="n">
        <x:v>3</x:v>
      </x:c>
      <x:c r="M986" s="28" t="n">
        <x:v>6</x:v>
      </x:c>
      <x:c r="N986" s="28" t="n">
        <x:v>1</x:v>
      </x:c>
      <x:c r="O986" s="28" t="n">
        <x:v>0</x:v>
      </x:c>
      <x:c r="P986" s="28" t="n">
        <x:v>0</x:v>
      </x:c>
      <x:c r="Q986" s="24" t="n">
        <x:f>IFERROR(J986/H986,0)</x:f>
        <x:v>0.35714285714285715</x:v>
      </x:c>
      <x:c r="R986" s="24" t="n">
        <x:f>IFERROR(F986/H986,0)</x:f>
        <x:v>0.14285714285714285</x:v>
      </x:c>
      <x:c r="S986" s="24" t="n">
        <x:f>IFERROR(F986/J986,0)</x:f>
        <x:v>0.4</x:v>
      </x:c>
      <x:c r="T986" s="28" t="n">
        <x:f>H986-I986</x:f>
        <x:v>3</x:v>
      </x:c>
      <x:c r="U986" s="24" t="n">
        <x:f>IFERROR(J986/H986,0)-IFERROR(K986/I986,0)</x:f>
        <x:v>-0.09740259740259738</x:v>
      </x:c>
      <x:c r="V986" s="24" t="n">
        <x:f>IFERROR(F986/J986,0)-IFERROR(G986/K986,0)</x:f>
        <x:v>-0.19999999999999996</x:v>
      </x:c>
      <x:c r="W986" s="28" t="n">
        <x:f>L986-M986</x:f>
        <x:v>-3</x:v>
      </x:c>
      <x:c r="X986" s="24" t="n">
        <x:f>IFERROR(K986/I986,0)</x:f>
        <x:v>0.45454545454545453</x:v>
      </x:c>
      <x:c r="Y986" s="24" t="n">
        <x:f>IFERROR(G986/I986,0)</x:f>
        <x:v>0.2727272727272727</x:v>
      </x:c>
      <x:c r="Z986" s="24" t="n">
        <x:f>IFERROR(G986/K986,0)</x:f>
        <x:v>0.6</x:v>
      </x:c>
      <x:c r="AA986" s="24" t="n">
        <x:f>IFERROR(F986/H986,0)-IFERROR(G986/I986,0)</x:f>
        <x:v>-0.12987012987012986</x:v>
      </x:c>
      <x:c r="AB986" s="28" t="n">
        <x:f>J986-K986</x:f>
        <x:v>0</x:v>
      </x:c>
      <x:c r="AC986" s="32" t="n">
        <x:f>F986-G986</x:f>
        <x:v>-1</x:v>
      </x:c>
    </x:row>
    <x:row r="987">
      <x:c r="A987" s="4" t="str">
        <x:v>2022-23</x:v>
      </x:c>
      <x:c r="B987" s="20" t="n">
        <x:v>44857</x:v>
      </x:c>
      <x:c r="C987" s="4" t="str">
        <x:v>Leicester</x:v>
      </x:c>
      <x:c r="D987" s="4" t="str">
        <x:v>Wolves</x:v>
      </x:c>
      <x:c r="E987" s="4" t="str">
        <x:v>Away</x:v>
      </x:c>
      <x:c r="F987" s="28" t="n">
        <x:v>4</x:v>
      </x:c>
      <x:c r="G987" s="28" t="n">
        <x:v>0</x:v>
      </x:c>
      <x:c r="H987" s="28" t="n">
        <x:v>5</x:v>
      </x:c>
      <x:c r="I987" s="28" t="n">
        <x:v>21</x:v>
      </x:c>
      <x:c r="J987" s="28" t="n">
        <x:v>4</x:v>
      </x:c>
      <x:c r="K987" s="28" t="n">
        <x:v>5</x:v>
      </x:c>
      <x:c r="L987" s="28" t="n">
        <x:v>2</x:v>
      </x:c>
      <x:c r="M987" s="28" t="n">
        <x:v>9</x:v>
      </x:c>
      <x:c r="N987" s="28" t="n">
        <x:v>1</x:v>
      </x:c>
      <x:c r="O987" s="28" t="n">
        <x:v>0</x:v>
      </x:c>
      <x:c r="P987" s="28" t="n">
        <x:v>3</x:v>
      </x:c>
      <x:c r="Q987" s="24" t="n">
        <x:f>IFERROR(J987/H987,0)</x:f>
        <x:v>0.8</x:v>
      </x:c>
      <x:c r="R987" s="24" t="n">
        <x:f>IFERROR(F987/H987,0)</x:f>
        <x:v>0.8</x:v>
      </x:c>
      <x:c r="S987" s="24" t="n">
        <x:f>IFERROR(F987/J987,0)</x:f>
        <x:v>1</x:v>
      </x:c>
      <x:c r="T987" s="28" t="n">
        <x:f>H987-I987</x:f>
        <x:v>-16</x:v>
      </x:c>
      <x:c r="U987" s="24" t="n">
        <x:f>IFERROR(J987/H987,0)-IFERROR(K987/I987,0)</x:f>
        <x:v>0.5619047619047619</x:v>
      </x:c>
      <x:c r="V987" s="24" t="n">
        <x:f>IFERROR(F987/J987,0)-IFERROR(G987/K987,0)</x:f>
        <x:v>1</x:v>
      </x:c>
      <x:c r="W987" s="28" t="n">
        <x:f>L987-M987</x:f>
        <x:v>-7</x:v>
      </x:c>
      <x:c r="X987" s="24" t="n">
        <x:f>IFERROR(K987/I987,0)</x:f>
        <x:v>0.23809523809523808</x:v>
      </x:c>
      <x:c r="Y987" s="24" t="n">
        <x:f>IFERROR(G987/I987,0)</x:f>
        <x:v>0</x:v>
      </x:c>
      <x:c r="Z987" s="24" t="n">
        <x:f>IFERROR(G987/K987,0)</x:f>
        <x:v>0</x:v>
      </x:c>
      <x:c r="AA987" s="24" t="n">
        <x:f>IFERROR(F987/H987,0)-IFERROR(G987/I987,0)</x:f>
        <x:v>0.8</x:v>
      </x:c>
      <x:c r="AB987" s="28" t="n">
        <x:f>J987-K987</x:f>
        <x:v>-1</x:v>
      </x:c>
      <x:c r="AC987" s="32" t="n">
        <x:f>F987-G987</x:f>
        <x:v>4</x:v>
      </x:c>
    </x:row>
    <x:row r="988">
      <x:c r="A988" s="4" t="str">
        <x:v>2022-23</x:v>
      </x:c>
      <x:c r="B988" s="20" t="n">
        <x:v>44857</x:v>
      </x:c>
      <x:c r="C988" s="4" t="str">
        <x:v>Newcastle</x:v>
      </x:c>
      <x:c r="D988" s="4" t="str">
        <x:v>Tottenham</x:v>
      </x:c>
      <x:c r="E988" s="4" t="str">
        <x:v>Away</x:v>
      </x:c>
      <x:c r="F988" s="28" t="n">
        <x:v>2</x:v>
      </x:c>
      <x:c r="G988" s="28" t="n">
        <x:v>1</x:v>
      </x:c>
      <x:c r="H988" s="28" t="n">
        <x:v>13</x:v>
      </x:c>
      <x:c r="I988" s="28" t="n">
        <x:v>17</x:v>
      </x:c>
      <x:c r="J988" s="28" t="n">
        <x:v>5</x:v>
      </x:c>
      <x:c r="K988" s="28" t="n">
        <x:v>5</x:v>
      </x:c>
      <x:c r="L988" s="28" t="n">
        <x:v>7</x:v>
      </x:c>
      <x:c r="M988" s="28" t="n">
        <x:v>6</x:v>
      </x:c>
      <x:c r="N988" s="28" t="n">
        <x:v>2</x:v>
      </x:c>
      <x:c r="O988" s="28" t="n">
        <x:v>0</x:v>
      </x:c>
      <x:c r="P988" s="28" t="n">
        <x:v>3</x:v>
      </x:c>
      <x:c r="Q988" s="24" t="n">
        <x:f>IFERROR(J988/H988,0)</x:f>
        <x:v>0.38461538461538464</x:v>
      </x:c>
      <x:c r="R988" s="24" t="n">
        <x:f>IFERROR(F988/H988,0)</x:f>
        <x:v>0.15384615384615385</x:v>
      </x:c>
      <x:c r="S988" s="24" t="n">
        <x:f>IFERROR(F988/J988,0)</x:f>
        <x:v>0.4</x:v>
      </x:c>
      <x:c r="T988" s="28" t="n">
        <x:f>H988-I988</x:f>
        <x:v>-4</x:v>
      </x:c>
      <x:c r="U988" s="24" t="n">
        <x:f>IFERROR(J988/H988,0)-IFERROR(K988/I988,0)</x:f>
        <x:v>0.0904977375565611</x:v>
      </x:c>
      <x:c r="V988" s="24" t="n">
        <x:f>IFERROR(F988/J988,0)-IFERROR(G988/K988,0)</x:f>
        <x:v>0.2</x:v>
      </x:c>
      <x:c r="W988" s="28" t="n">
        <x:f>L988-M988</x:f>
        <x:v>1</x:v>
      </x:c>
      <x:c r="X988" s="24" t="n">
        <x:f>IFERROR(K988/I988,0)</x:f>
        <x:v>0.29411764705882354</x:v>
      </x:c>
      <x:c r="Y988" s="24" t="n">
        <x:f>IFERROR(G988/I988,0)</x:f>
        <x:v>0.058823529411764705</x:v>
      </x:c>
      <x:c r="Z988" s="24" t="n">
        <x:f>IFERROR(G988/K988,0)</x:f>
        <x:v>0.2</x:v>
      </x:c>
      <x:c r="AA988" s="24" t="n">
        <x:f>IFERROR(F988/H988,0)-IFERROR(G988/I988,0)</x:f>
        <x:v>0.09502262443438915</x:v>
      </x:c>
      <x:c r="AB988" s="28" t="n">
        <x:f>J988-K988</x:f>
        <x:v>0</x:v>
      </x:c>
      <x:c r="AC988" s="32" t="n">
        <x:f>F988-G988</x:f>
        <x:v>1</x:v>
      </x:c>
    </x:row>
    <x:row r="989">
      <x:c r="A989" s="4" t="str">
        <x:v>2022-23</x:v>
      </x:c>
      <x:c r="B989" s="20" t="n">
        <x:v>44857</x:v>
      </x:c>
      <x:c r="C989" s="4" t="str">
        <x:v>Southampton</x:v>
      </x:c>
      <x:c r="D989" s="4" t="str">
        <x:v>Arsenal</x:v>
      </x:c>
      <x:c r="E989" s="4" t="str">
        <x:v>Home</x:v>
      </x:c>
      <x:c r="F989" s="28" t="n">
        <x:v>1</x:v>
      </x:c>
      <x:c r="G989" s="28" t="n">
        <x:v>1</x:v>
      </x:c>
      <x:c r="H989" s="28" t="n">
        <x:v>10</x:v>
      </x:c>
      <x:c r="I989" s="28" t="n">
        <x:v>12</x:v>
      </x:c>
      <x:c r="J989" s="28" t="n">
        <x:v>3</x:v>
      </x:c>
      <x:c r="K989" s="28" t="n">
        <x:v>3</x:v>
      </x:c>
      <x:c r="L989" s="28" t="n">
        <x:v>9</x:v>
      </x:c>
      <x:c r="M989" s="28" t="n">
        <x:v>4</x:v>
      </x:c>
      <x:c r="N989" s="28" t="n">
        <x:v>2</x:v>
      </x:c>
      <x:c r="O989" s="28" t="n">
        <x:v>0</x:v>
      </x:c>
      <x:c r="P989" s="28" t="n">
        <x:v>1</x:v>
      </x:c>
      <x:c r="Q989" s="24" t="n">
        <x:f>IFERROR(J989/H989,0)</x:f>
        <x:v>0.3</x:v>
      </x:c>
      <x:c r="R989" s="24" t="n">
        <x:f>IFERROR(F989/H989,0)</x:f>
        <x:v>0.1</x:v>
      </x:c>
      <x:c r="S989" s="24" t="n">
        <x:f>IFERROR(F989/J989,0)</x:f>
        <x:v>0.3333333333333333</x:v>
      </x:c>
      <x:c r="T989" s="28" t="n">
        <x:f>H989-I989</x:f>
        <x:v>-2</x:v>
      </x:c>
      <x:c r="U989" s="24" t="n">
        <x:f>IFERROR(J989/H989,0)-IFERROR(K989/I989,0)</x:f>
        <x:v>0.04999999999999999</x:v>
      </x:c>
      <x:c r="V989" s="24" t="n">
        <x:f>IFERROR(F989/J989,0)-IFERROR(G989/K989,0)</x:f>
        <x:v>0</x:v>
      </x:c>
      <x:c r="W989" s="28" t="n">
        <x:f>L989-M989</x:f>
        <x:v>5</x:v>
      </x:c>
      <x:c r="X989" s="24" t="n">
        <x:f>IFERROR(K989/I989,0)</x:f>
        <x:v>0.25</x:v>
      </x:c>
      <x:c r="Y989" s="24" t="n">
        <x:f>IFERROR(G989/I989,0)</x:f>
        <x:v>0.08333333333333333</x:v>
      </x:c>
      <x:c r="Z989" s="24" t="n">
        <x:f>IFERROR(G989/K989,0)</x:f>
        <x:v>0.3333333333333333</x:v>
      </x:c>
      <x:c r="AA989" s="24" t="n">
        <x:f>IFERROR(F989/H989,0)-IFERROR(G989/I989,0)</x:f>
        <x:v>0.016666666666666677</x:v>
      </x:c>
      <x:c r="AB989" s="28" t="n">
        <x:f>J989-K989</x:f>
        <x:v>0</x:v>
      </x:c>
      <x:c r="AC989" s="32" t="n">
        <x:f>F989-G989</x:f>
        <x:v>0</x:v>
      </x:c>
    </x:row>
    <x:row r="990">
      <x:c r="A990" s="4" t="str">
        <x:v>2022-23</x:v>
      </x:c>
      <x:c r="B990" s="20" t="n">
        <x:v>44857</x:v>
      </x:c>
      <x:c r="C990" s="4" t="str">
        <x:v>Tottenham</x:v>
      </x:c>
      <x:c r="D990" s="4" t="str">
        <x:v>Newcastle</x:v>
      </x:c>
      <x:c r="E990" s="4" t="str">
        <x:v>Home</x:v>
      </x:c>
      <x:c r="F990" s="28" t="n">
        <x:v>1</x:v>
      </x:c>
      <x:c r="G990" s="28" t="n">
        <x:v>2</x:v>
      </x:c>
      <x:c r="H990" s="28" t="n">
        <x:v>17</x:v>
      </x:c>
      <x:c r="I990" s="28" t="n">
        <x:v>13</x:v>
      </x:c>
      <x:c r="J990" s="28" t="n">
        <x:v>5</x:v>
      </x:c>
      <x:c r="K990" s="28" t="n">
        <x:v>5</x:v>
      </x:c>
      <x:c r="L990" s="28" t="n">
        <x:v>6</x:v>
      </x:c>
      <x:c r="M990" s="28" t="n">
        <x:v>7</x:v>
      </x:c>
      <x:c r="N990" s="28" t="n">
        <x:v>4</x:v>
      </x:c>
      <x:c r="O990" s="28" t="n">
        <x:v>0</x:v>
      </x:c>
      <x:c r="P990" s="28" t="n">
        <x:v>0</x:v>
      </x:c>
      <x:c r="Q990" s="24" t="n">
        <x:f>IFERROR(J990/H990,0)</x:f>
        <x:v>0.29411764705882354</x:v>
      </x:c>
      <x:c r="R990" s="24" t="n">
        <x:f>IFERROR(F990/H990,0)</x:f>
        <x:v>0.058823529411764705</x:v>
      </x:c>
      <x:c r="S990" s="24" t="n">
        <x:f>IFERROR(F990/J990,0)</x:f>
        <x:v>0.2</x:v>
      </x:c>
      <x:c r="T990" s="28" t="n">
        <x:f>H990-I990</x:f>
        <x:v>4</x:v>
      </x:c>
      <x:c r="U990" s="24" t="n">
        <x:f>IFERROR(J990/H990,0)-IFERROR(K990/I990,0)</x:f>
        <x:v>-0.0904977375565611</x:v>
      </x:c>
      <x:c r="V990" s="24" t="n">
        <x:f>IFERROR(F990/J990,0)-IFERROR(G990/K990,0)</x:f>
        <x:v>-0.2</x:v>
      </x:c>
      <x:c r="W990" s="28" t="n">
        <x:f>L990-M990</x:f>
        <x:v>-1</x:v>
      </x:c>
      <x:c r="X990" s="24" t="n">
        <x:f>IFERROR(K990/I990,0)</x:f>
        <x:v>0.38461538461538464</x:v>
      </x:c>
      <x:c r="Y990" s="24" t="n">
        <x:f>IFERROR(G990/I990,0)</x:f>
        <x:v>0.15384615384615385</x:v>
      </x:c>
      <x:c r="Z990" s="24" t="n">
        <x:f>IFERROR(G990/K990,0)</x:f>
        <x:v>0.4</x:v>
      </x:c>
      <x:c r="AA990" s="24" t="n">
        <x:f>IFERROR(F990/H990,0)-IFERROR(G990/I990,0)</x:f>
        <x:v>-0.09502262443438915</x:v>
      </x:c>
      <x:c r="AB990" s="28" t="n">
        <x:f>J990-K990</x:f>
        <x:v>0</x:v>
      </x:c>
      <x:c r="AC990" s="32" t="n">
        <x:f>F990-G990</x:f>
        <x:v>-1</x:v>
      </x:c>
    </x:row>
    <x:row r="991">
      <x:c r="A991" s="4" t="str">
        <x:v>2022-23</x:v>
      </x:c>
      <x:c r="B991" s="20" t="n">
        <x:v>44857</x:v>
      </x:c>
      <x:c r="C991" s="4" t="str">
        <x:v>Wolves</x:v>
      </x:c>
      <x:c r="D991" s="4" t="str">
        <x:v>Leicester</x:v>
      </x:c>
      <x:c r="E991" s="4" t="str">
        <x:v>Home</x:v>
      </x:c>
      <x:c r="F991" s="28" t="n">
        <x:v>0</x:v>
      </x:c>
      <x:c r="G991" s="28" t="n">
        <x:v>4</x:v>
      </x:c>
      <x:c r="H991" s="28" t="n">
        <x:v>21</x:v>
      </x:c>
      <x:c r="I991" s="28" t="n">
        <x:v>5</x:v>
      </x:c>
      <x:c r="J991" s="28" t="n">
        <x:v>5</x:v>
      </x:c>
      <x:c r="K991" s="28" t="n">
        <x:v>4</x:v>
      </x:c>
      <x:c r="L991" s="28" t="n">
        <x:v>9</x:v>
      </x:c>
      <x:c r="M991" s="28" t="n">
        <x:v>2</x:v>
      </x:c>
      <x:c r="N991" s="28" t="n">
        <x:v>2</x:v>
      </x:c>
      <x:c r="O991" s="28" t="n">
        <x:v>0</x:v>
      </x:c>
      <x:c r="P991" s="28" t="n">
        <x:v>0</x:v>
      </x:c>
      <x:c r="Q991" s="24" t="n">
        <x:f>IFERROR(J991/H991,0)</x:f>
        <x:v>0.23809523809523808</x:v>
      </x:c>
      <x:c r="R991" s="24" t="n">
        <x:f>IFERROR(F991/H991,0)</x:f>
        <x:v>0</x:v>
      </x:c>
      <x:c r="S991" s="24" t="n">
        <x:f>IFERROR(F991/J991,0)</x:f>
        <x:v>0</x:v>
      </x:c>
      <x:c r="T991" s="28" t="n">
        <x:f>H991-I991</x:f>
        <x:v>16</x:v>
      </x:c>
      <x:c r="U991" s="24" t="n">
        <x:f>IFERROR(J991/H991,0)-IFERROR(K991/I991,0)</x:f>
        <x:v>-0.5619047619047619</x:v>
      </x:c>
      <x:c r="V991" s="24" t="n">
        <x:f>IFERROR(F991/J991,0)-IFERROR(G991/K991,0)</x:f>
        <x:v>-1</x:v>
      </x:c>
      <x:c r="W991" s="28" t="n">
        <x:f>L991-M991</x:f>
        <x:v>7</x:v>
      </x:c>
      <x:c r="X991" s="24" t="n">
        <x:f>IFERROR(K991/I991,0)</x:f>
        <x:v>0.8</x:v>
      </x:c>
      <x:c r="Y991" s="24" t="n">
        <x:f>IFERROR(G991/I991,0)</x:f>
        <x:v>0.8</x:v>
      </x:c>
      <x:c r="Z991" s="24" t="n">
        <x:f>IFERROR(G991/K991,0)</x:f>
        <x:v>1</x:v>
      </x:c>
      <x:c r="AA991" s="24" t="n">
        <x:f>IFERROR(F991/H991,0)-IFERROR(G991/I991,0)</x:f>
        <x:v>-0.8</x:v>
      </x:c>
      <x:c r="AB991" s="28" t="n">
        <x:f>J991-K991</x:f>
        <x:v>1</x:v>
      </x:c>
      <x:c r="AC991" s="32" t="n">
        <x:f>F991-G991</x:f>
        <x:v>-4</x:v>
      </x:c>
    </x:row>
    <x:row r="992">
      <x:c r="A992" s="4" t="str">
        <x:v>2022-23</x:v>
      </x:c>
      <x:c r="B992" s="20" t="n">
        <x:v>44858</x:v>
      </x:c>
      <x:c r="C992" s="4" t="str">
        <x:v>Bournemouth</x:v>
      </x:c>
      <x:c r="D992" s="4" t="str">
        <x:v>West Ham</x:v>
      </x:c>
      <x:c r="E992" s="4" t="str">
        <x:v>Away</x:v>
      </x:c>
      <x:c r="F992" s="28" t="n">
        <x:v>0</x:v>
      </x:c>
      <x:c r="G992" s="28" t="n">
        <x:v>2</x:v>
      </x:c>
      <x:c r="H992" s="28" t="n">
        <x:v>5</x:v>
      </x:c>
      <x:c r="I992" s="28" t="n">
        <x:v>20</x:v>
      </x:c>
      <x:c r="J992" s="28" t="n">
        <x:v>3</x:v>
      </x:c>
      <x:c r="K992" s="28" t="n">
        <x:v>4</x:v>
      </x:c>
      <x:c r="L992" s="28" t="n">
        <x:v>0</x:v>
      </x:c>
      <x:c r="M992" s="28" t="n">
        <x:v>5</x:v>
      </x:c>
      <x:c r="N992" s="28" t="n">
        <x:v>2</x:v>
      </x:c>
      <x:c r="O992" s="28" t="n">
        <x:v>0</x:v>
      </x:c>
      <x:c r="P992" s="28" t="n">
        <x:v>0</x:v>
      </x:c>
      <x:c r="Q992" s="24" t="n">
        <x:f>IFERROR(J992/H992,0)</x:f>
        <x:v>0.6</x:v>
      </x:c>
      <x:c r="R992" s="24" t="n">
        <x:f>IFERROR(F992/H992,0)</x:f>
        <x:v>0</x:v>
      </x:c>
      <x:c r="S992" s="24" t="n">
        <x:f>IFERROR(F992/J992,0)</x:f>
        <x:v>0</x:v>
      </x:c>
      <x:c r="T992" s="28" t="n">
        <x:f>H992-I992</x:f>
        <x:v>-15</x:v>
      </x:c>
      <x:c r="U992" s="24" t="n">
        <x:f>IFERROR(J992/H992,0)-IFERROR(K992/I992,0)</x:f>
        <x:v>0.39999999999999997</x:v>
      </x:c>
      <x:c r="V992" s="24" t="n">
        <x:f>IFERROR(F992/J992,0)-IFERROR(G992/K992,0)</x:f>
        <x:v>-0.5</x:v>
      </x:c>
      <x:c r="W992" s="28" t="n">
        <x:f>L992-M992</x:f>
        <x:v>-5</x:v>
      </x:c>
      <x:c r="X992" s="24" t="n">
        <x:f>IFERROR(K992/I992,0)</x:f>
        <x:v>0.2</x:v>
      </x:c>
      <x:c r="Y992" s="24" t="n">
        <x:f>IFERROR(G992/I992,0)</x:f>
        <x:v>0.1</x:v>
      </x:c>
      <x:c r="Z992" s="24" t="n">
        <x:f>IFERROR(G992/K992,0)</x:f>
        <x:v>0.5</x:v>
      </x:c>
      <x:c r="AA992" s="24" t="n">
        <x:f>IFERROR(F992/H992,0)-IFERROR(G992/I992,0)</x:f>
        <x:v>-0.1</x:v>
      </x:c>
      <x:c r="AB992" s="28" t="n">
        <x:f>J992-K992</x:f>
        <x:v>-1</x:v>
      </x:c>
      <x:c r="AC992" s="32" t="n">
        <x:f>F992-G992</x:f>
        <x:v>-2</x:v>
      </x:c>
    </x:row>
    <x:row r="993">
      <x:c r="A993" s="4" t="str">
        <x:v>2022-23</x:v>
      </x:c>
      <x:c r="B993" s="20" t="n">
        <x:v>44858</x:v>
      </x:c>
      <x:c r="C993" s="4" t="str">
        <x:v>West Ham</x:v>
      </x:c>
      <x:c r="D993" s="4" t="str">
        <x:v>Bournemouth</x:v>
      </x:c>
      <x:c r="E993" s="4" t="str">
        <x:v>Home</x:v>
      </x:c>
      <x:c r="F993" s="28" t="n">
        <x:v>2</x:v>
      </x:c>
      <x:c r="G993" s="28" t="n">
        <x:v>0</x:v>
      </x:c>
      <x:c r="H993" s="28" t="n">
        <x:v>20</x:v>
      </x:c>
      <x:c r="I993" s="28" t="n">
        <x:v>5</x:v>
      </x:c>
      <x:c r="J993" s="28" t="n">
        <x:v>4</x:v>
      </x:c>
      <x:c r="K993" s="28" t="n">
        <x:v>3</x:v>
      </x:c>
      <x:c r="L993" s="28" t="n">
        <x:v>5</x:v>
      </x:c>
      <x:c r="M993" s="28" t="n">
        <x:v>0</x:v>
      </x:c>
      <x:c r="N993" s="28" t="n">
        <x:v>0</x:v>
      </x:c>
      <x:c r="O993" s="28" t="n">
        <x:v>0</x:v>
      </x:c>
      <x:c r="P993" s="28" t="n">
        <x:v>3</x:v>
      </x:c>
      <x:c r="Q993" s="24" t="n">
        <x:f>IFERROR(J993/H993,0)</x:f>
        <x:v>0.2</x:v>
      </x:c>
      <x:c r="R993" s="24" t="n">
        <x:f>IFERROR(F993/H993,0)</x:f>
        <x:v>0.1</x:v>
      </x:c>
      <x:c r="S993" s="24" t="n">
        <x:f>IFERROR(F993/J993,0)</x:f>
        <x:v>0.5</x:v>
      </x:c>
      <x:c r="T993" s="28" t="n">
        <x:f>H993-I993</x:f>
        <x:v>15</x:v>
      </x:c>
      <x:c r="U993" s="24" t="n">
        <x:f>IFERROR(J993/H993,0)-IFERROR(K993/I993,0)</x:f>
        <x:v>-0.39999999999999997</x:v>
      </x:c>
      <x:c r="V993" s="24" t="n">
        <x:f>IFERROR(F993/J993,0)-IFERROR(G993/K993,0)</x:f>
        <x:v>0.5</x:v>
      </x:c>
      <x:c r="W993" s="28" t="n">
        <x:f>L993-M993</x:f>
        <x:v>5</x:v>
      </x:c>
      <x:c r="X993" s="24" t="n">
        <x:f>IFERROR(K993/I993,0)</x:f>
        <x:v>0.6</x:v>
      </x:c>
      <x:c r="Y993" s="24" t="n">
        <x:f>IFERROR(G993/I993,0)</x:f>
        <x:v>0</x:v>
      </x:c>
      <x:c r="Z993" s="24" t="n">
        <x:f>IFERROR(G993/K993,0)</x:f>
        <x:v>0</x:v>
      </x:c>
      <x:c r="AA993" s="24" t="n">
        <x:f>IFERROR(F993/H993,0)-IFERROR(G993/I993,0)</x:f>
        <x:v>0.1</x:v>
      </x:c>
      <x:c r="AB993" s="28" t="n">
        <x:f>J993-K993</x:f>
        <x:v>1</x:v>
      </x:c>
      <x:c r="AC993" s="32" t="n">
        <x:f>F993-G993</x:f>
        <x:v>2</x:v>
      </x:c>
    </x:row>
    <x:row r="994">
      <x:c r="A994" s="4" t="str">
        <x:v>2022-23</x:v>
      </x:c>
      <x:c r="B994" s="20" t="n">
        <x:v>44863</x:v>
      </x:c>
      <x:c r="C994" s="4" t="str">
        <x:v>Aston Villa</x:v>
      </x:c>
      <x:c r="D994" s="4" t="str">
        <x:v>Newcastle</x:v>
      </x:c>
      <x:c r="E994" s="4" t="str">
        <x:v>Away</x:v>
      </x:c>
      <x:c r="F994" s="28" t="n">
        <x:v>0</x:v>
      </x:c>
      <x:c r="G994" s="28" t="n">
        <x:v>4</x:v>
      </x:c>
      <x:c r="H994" s="28" t="n">
        <x:v>3</x:v>
      </x:c>
      <x:c r="I994" s="28" t="n">
        <x:v>20</x:v>
      </x:c>
      <x:c r="J994" s="28" t="n">
        <x:v>0</x:v>
      </x:c>
      <x:c r="K994" s="28" t="n">
        <x:v>7</x:v>
      </x:c>
      <x:c r="L994" s="28" t="n">
        <x:v>0</x:v>
      </x:c>
      <x:c r="M994" s="28" t="n">
        <x:v>3</x:v>
      </x:c>
      <x:c r="N994" s="28" t="n">
        <x:v>1</x:v>
      </x:c>
      <x:c r="O994" s="28" t="n">
        <x:v>0</x:v>
      </x:c>
      <x:c r="P994" s="28" t="n">
        <x:v>0</x:v>
      </x:c>
      <x:c r="Q994" s="24" t="n">
        <x:f>IFERROR(J994/H994,0)</x:f>
        <x:v>0</x:v>
      </x:c>
      <x:c r="R994" s="24" t="n">
        <x:f>IFERROR(F994/H994,0)</x:f>
        <x:v>0</x:v>
      </x:c>
      <x:c r="S994" s="24" t="n">
        <x:f>IFERROR(F994/J994,0)</x:f>
        <x:v>0</x:v>
      </x:c>
      <x:c r="T994" s="28" t="n">
        <x:f>H994-I994</x:f>
        <x:v>-17</x:v>
      </x:c>
      <x:c r="U994" s="24" t="n">
        <x:f>IFERROR(J994/H994,0)-IFERROR(K994/I994,0)</x:f>
        <x:v>-0.35</x:v>
      </x:c>
      <x:c r="V994" s="24" t="n">
        <x:f>IFERROR(F994/J994,0)-IFERROR(G994/K994,0)</x:f>
        <x:v>-0.5714285714285714</x:v>
      </x:c>
      <x:c r="W994" s="28" t="n">
        <x:f>L994-M994</x:f>
        <x:v>-3</x:v>
      </x:c>
      <x:c r="X994" s="24" t="n">
        <x:f>IFERROR(K994/I994,0)</x:f>
        <x:v>0.35</x:v>
      </x:c>
      <x:c r="Y994" s="24" t="n">
        <x:f>IFERROR(G994/I994,0)</x:f>
        <x:v>0.2</x:v>
      </x:c>
      <x:c r="Z994" s="24" t="n">
        <x:f>IFERROR(G994/K994,0)</x:f>
        <x:v>0.5714285714285714</x:v>
      </x:c>
      <x:c r="AA994" s="24" t="n">
        <x:f>IFERROR(F994/H994,0)-IFERROR(G994/I994,0)</x:f>
        <x:v>-0.2</x:v>
      </x:c>
      <x:c r="AB994" s="28" t="n">
        <x:f>J994-K994</x:f>
        <x:v>-7</x:v>
      </x:c>
      <x:c r="AC994" s="32" t="n">
        <x:f>F994-G994</x:f>
        <x:v>-4</x:v>
      </x:c>
    </x:row>
    <x:row r="995">
      <x:c r="A995" s="4" t="str">
        <x:v>2022-23</x:v>
      </x:c>
      <x:c r="B995" s="20" t="n">
        <x:v>44863</x:v>
      </x:c>
      <x:c r="C995" s="4" t="str">
        <x:v>Bournemouth</x:v>
      </x:c>
      <x:c r="D995" s="4" t="str">
        <x:v>Tottenham</x:v>
      </x:c>
      <x:c r="E995" s="4" t="str">
        <x:v>Home</x:v>
      </x:c>
      <x:c r="F995" s="28" t="n">
        <x:v>2</x:v>
      </x:c>
      <x:c r="G995" s="28" t="n">
        <x:v>3</x:v>
      </x:c>
      <x:c r="H995" s="28" t="n">
        <x:v>6</x:v>
      </x:c>
      <x:c r="I995" s="28" t="n">
        <x:v>23</x:v>
      </x:c>
      <x:c r="J995" s="28" t="n">
        <x:v>4</x:v>
      </x:c>
      <x:c r="K995" s="28" t="n">
        <x:v>7</x:v>
      </x:c>
      <x:c r="L995" s="28" t="n">
        <x:v>2</x:v>
      </x:c>
      <x:c r="M995" s="28" t="n">
        <x:v>19</x:v>
      </x:c>
      <x:c r="N995" s="28" t="n">
        <x:v>1</x:v>
      </x:c>
      <x:c r="O995" s="28" t="n">
        <x:v>0</x:v>
      </x:c>
      <x:c r="P995" s="28" t="n">
        <x:v>0</x:v>
      </x:c>
      <x:c r="Q995" s="24" t="n">
        <x:f>IFERROR(J995/H995,0)</x:f>
        <x:v>0.6666666666666666</x:v>
      </x:c>
      <x:c r="R995" s="24" t="n">
        <x:f>IFERROR(F995/H995,0)</x:f>
        <x:v>0.3333333333333333</x:v>
      </x:c>
      <x:c r="S995" s="24" t="n">
        <x:f>IFERROR(F995/J995,0)</x:f>
        <x:v>0.5</x:v>
      </x:c>
      <x:c r="T995" s="28" t="n">
        <x:f>H995-I995</x:f>
        <x:v>-17</x:v>
      </x:c>
      <x:c r="U995" s="24" t="n">
        <x:f>IFERROR(J995/H995,0)-IFERROR(K995/I995,0)</x:f>
        <x:v>0.3623188405797101</x:v>
      </x:c>
      <x:c r="V995" s="24" t="n">
        <x:f>IFERROR(F995/J995,0)-IFERROR(G995/K995,0)</x:f>
        <x:v>0.07142857142857145</x:v>
      </x:c>
      <x:c r="W995" s="28" t="n">
        <x:f>L995-M995</x:f>
        <x:v>-17</x:v>
      </x:c>
      <x:c r="X995" s="24" t="n">
        <x:f>IFERROR(K995/I995,0)</x:f>
        <x:v>0.30434782608695654</x:v>
      </x:c>
      <x:c r="Y995" s="24" t="n">
        <x:f>IFERROR(G995/I995,0)</x:f>
        <x:v>0.13043478260869565</x:v>
      </x:c>
      <x:c r="Z995" s="24" t="n">
        <x:f>IFERROR(G995/K995,0)</x:f>
        <x:v>0.42857142857142855</x:v>
      </x:c>
      <x:c r="AA995" s="24" t="n">
        <x:f>IFERROR(F995/H995,0)-IFERROR(G995/I995,0)</x:f>
        <x:v>0.20289855072463767</x:v>
      </x:c>
      <x:c r="AB995" s="28" t="n">
        <x:f>J995-K995</x:f>
        <x:v>-3</x:v>
      </x:c>
      <x:c r="AC995" s="32" t="n">
        <x:f>F995-G995</x:f>
        <x:v>-1</x:v>
      </x:c>
    </x:row>
    <x:row r="996">
      <x:c r="A996" s="4" t="str">
        <x:v>2022-23</x:v>
      </x:c>
      <x:c r="B996" s="20" t="n">
        <x:v>44863</x:v>
      </x:c>
      <x:c r="C996" s="4" t="str">
        <x:v>Brentford</x:v>
      </x:c>
      <x:c r="D996" s="4" t="str">
        <x:v>Wolves</x:v>
      </x:c>
      <x:c r="E996" s="4" t="str">
        <x:v>Home</x:v>
      </x:c>
      <x:c r="F996" s="28" t="n">
        <x:v>1</x:v>
      </x:c>
      <x:c r="G996" s="28" t="n">
        <x:v>1</x:v>
      </x:c>
      <x:c r="H996" s="28" t="n">
        <x:v>12</x:v>
      </x:c>
      <x:c r="I996" s="28" t="n">
        <x:v>14</x:v>
      </x:c>
      <x:c r="J996" s="28" t="n">
        <x:v>3</x:v>
      </x:c>
      <x:c r="K996" s="28" t="n">
        <x:v>4</x:v>
      </x:c>
      <x:c r="L996" s="28" t="n">
        <x:v>3</x:v>
      </x:c>
      <x:c r="M996" s="28" t="n">
        <x:v>6</x:v>
      </x:c>
      <x:c r="N996" s="28" t="n">
        <x:v>3</x:v>
      </x:c>
      <x:c r="O996" s="28" t="n">
        <x:v>0</x:v>
      </x:c>
      <x:c r="P996" s="28" t="n">
        <x:v>1</x:v>
      </x:c>
      <x:c r="Q996" s="24" t="n">
        <x:f>IFERROR(J996/H996,0)</x:f>
        <x:v>0.25</x:v>
      </x:c>
      <x:c r="R996" s="24" t="n">
        <x:f>IFERROR(F996/H996,0)</x:f>
        <x:v>0.08333333333333333</x:v>
      </x:c>
      <x:c r="S996" s="24" t="n">
        <x:f>IFERROR(F996/J996,0)</x:f>
        <x:v>0.3333333333333333</x:v>
      </x:c>
      <x:c r="T996" s="28" t="n">
        <x:f>H996-I996</x:f>
        <x:v>-2</x:v>
      </x:c>
      <x:c r="U996" s="24" t="n">
        <x:f>IFERROR(J996/H996,0)-IFERROR(K996/I996,0)</x:f>
        <x:v>-0.0357142857142857</x:v>
      </x:c>
      <x:c r="V996" s="24" t="n">
        <x:f>IFERROR(F996/J996,0)-IFERROR(G996/K996,0)</x:f>
        <x:v>0.08333333333333331</x:v>
      </x:c>
      <x:c r="W996" s="28" t="n">
        <x:f>L996-M996</x:f>
        <x:v>-3</x:v>
      </x:c>
      <x:c r="X996" s="24" t="n">
        <x:f>IFERROR(K996/I996,0)</x:f>
        <x:v>0.2857142857142857</x:v>
      </x:c>
      <x:c r="Y996" s="24" t="n">
        <x:f>IFERROR(G996/I996,0)</x:f>
        <x:v>0.07142857142857142</x:v>
      </x:c>
      <x:c r="Z996" s="24" t="n">
        <x:f>IFERROR(G996/K996,0)</x:f>
        <x:v>0.25</x:v>
      </x:c>
      <x:c r="AA996" s="24" t="n">
        <x:f>IFERROR(F996/H996,0)-IFERROR(G996/I996,0)</x:f>
        <x:v>0.011904761904761904</x:v>
      </x:c>
      <x:c r="AB996" s="28" t="n">
        <x:f>J996-K996</x:f>
        <x:v>-1</x:v>
      </x:c>
      <x:c r="AC996" s="32" t="n">
        <x:f>F996-G996</x:f>
        <x:v>0</x:v>
      </x:c>
    </x:row>
    <x:row r="997">
      <x:c r="A997" s="4" t="str">
        <x:v>2022-23</x:v>
      </x:c>
      <x:c r="B997" s="20" t="n">
        <x:v>44863</x:v>
      </x:c>
      <x:c r="C997" s="4" t="str">
        <x:v>Brighton</x:v>
      </x:c>
      <x:c r="D997" s="4" t="str">
        <x:v>Chelsea</x:v>
      </x:c>
      <x:c r="E997" s="4" t="str">
        <x:v>Home</x:v>
      </x:c>
      <x:c r="F997" s="28" t="n">
        <x:v>4</x:v>
      </x:c>
      <x:c r="G997" s="28" t="n">
        <x:v>1</x:v>
      </x:c>
      <x:c r="H997" s="28" t="n">
        <x:v>19</x:v>
      </x:c>
      <x:c r="I997" s="28" t="n">
        <x:v>15</x:v>
      </x:c>
      <x:c r="J997" s="28" t="n">
        <x:v>9</x:v>
      </x:c>
      <x:c r="K997" s="28" t="n">
        <x:v>7</x:v>
      </x:c>
      <x:c r="L997" s="28" t="n">
        <x:v>8</x:v>
      </x:c>
      <x:c r="M997" s="28" t="n">
        <x:v>7</x:v>
      </x:c>
      <x:c r="N997" s="28" t="n">
        <x:v>1</x:v>
      </x:c>
      <x:c r="O997" s="28" t="n">
        <x:v>0</x:v>
      </x:c>
      <x:c r="P997" s="28" t="n">
        <x:v>3</x:v>
      </x:c>
      <x:c r="Q997" s="24" t="n">
        <x:f>IFERROR(J997/H997,0)</x:f>
        <x:v>0.47368421052631576</x:v>
      </x:c>
      <x:c r="R997" s="24" t="n">
        <x:f>IFERROR(F997/H997,0)</x:f>
        <x:v>0.21052631578947367</x:v>
      </x:c>
      <x:c r="S997" s="24" t="n">
        <x:f>IFERROR(F997/J997,0)</x:f>
        <x:v>0.4444444444444444</x:v>
      </x:c>
      <x:c r="T997" s="28" t="n">
        <x:f>H997-I997</x:f>
        <x:v>4</x:v>
      </x:c>
      <x:c r="U997" s="24" t="n">
        <x:f>IFERROR(J997/H997,0)-IFERROR(K997/I997,0)</x:f>
        <x:v>0.007017543859649089</x:v>
      </x:c>
      <x:c r="V997" s="24" t="n">
        <x:f>IFERROR(F997/J997,0)-IFERROR(G997/K997,0)</x:f>
        <x:v>0.30158730158730157</x:v>
      </x:c>
      <x:c r="W997" s="28" t="n">
        <x:f>L997-M997</x:f>
        <x:v>1</x:v>
      </x:c>
      <x:c r="X997" s="24" t="n">
        <x:f>IFERROR(K997/I997,0)</x:f>
        <x:v>0.4666666666666667</x:v>
      </x:c>
      <x:c r="Y997" s="24" t="n">
        <x:f>IFERROR(G997/I997,0)</x:f>
        <x:v>0.06666666666666667</x:v>
      </x:c>
      <x:c r="Z997" s="24" t="n">
        <x:f>IFERROR(G997/K997,0)</x:f>
        <x:v>0.14285714285714285</x:v>
      </x:c>
      <x:c r="AA997" s="24" t="n">
        <x:f>IFERROR(F997/H997,0)-IFERROR(G997/I997,0)</x:f>
        <x:v>0.14385964912280702</x:v>
      </x:c>
      <x:c r="AB997" s="28" t="n">
        <x:f>J997-K997</x:f>
        <x:v>2</x:v>
      </x:c>
      <x:c r="AC997" s="32" t="n">
        <x:f>F997-G997</x:f>
        <x:v>3</x:v>
      </x:c>
    </x:row>
    <x:row r="998">
      <x:c r="A998" s="4" t="str">
        <x:v>2022-23</x:v>
      </x:c>
      <x:c r="B998" s="20" t="n">
        <x:v>44863</x:v>
      </x:c>
      <x:c r="C998" s="4" t="str">
        <x:v>Chelsea</x:v>
      </x:c>
      <x:c r="D998" s="4" t="str">
        <x:v>Brighton</x:v>
      </x:c>
      <x:c r="E998" s="4" t="str">
        <x:v>Away</x:v>
      </x:c>
      <x:c r="F998" s="28" t="n">
        <x:v>1</x:v>
      </x:c>
      <x:c r="G998" s="28" t="n">
        <x:v>4</x:v>
      </x:c>
      <x:c r="H998" s="28" t="n">
        <x:v>15</x:v>
      </x:c>
      <x:c r="I998" s="28" t="n">
        <x:v>19</x:v>
      </x:c>
      <x:c r="J998" s="28" t="n">
        <x:v>7</x:v>
      </x:c>
      <x:c r="K998" s="28" t="n">
        <x:v>9</x:v>
      </x:c>
      <x:c r="L998" s="28" t="n">
        <x:v>7</x:v>
      </x:c>
      <x:c r="M998" s="28" t="n">
        <x:v>8</x:v>
      </x:c>
      <x:c r="N998" s="28" t="n">
        <x:v>2</x:v>
      </x:c>
      <x:c r="O998" s="28" t="n">
        <x:v>0</x:v>
      </x:c>
      <x:c r="P998" s="28" t="n">
        <x:v>0</x:v>
      </x:c>
      <x:c r="Q998" s="24" t="n">
        <x:f>IFERROR(J998/H998,0)</x:f>
        <x:v>0.4666666666666667</x:v>
      </x:c>
      <x:c r="R998" s="24" t="n">
        <x:f>IFERROR(F998/H998,0)</x:f>
        <x:v>0.06666666666666667</x:v>
      </x:c>
      <x:c r="S998" s="24" t="n">
        <x:f>IFERROR(F998/J998,0)</x:f>
        <x:v>0.14285714285714285</x:v>
      </x:c>
      <x:c r="T998" s="28" t="n">
        <x:f>H998-I998</x:f>
        <x:v>-4</x:v>
      </x:c>
      <x:c r="U998" s="24" t="n">
        <x:f>IFERROR(J998/H998,0)-IFERROR(K998/I998,0)</x:f>
        <x:v>-0.007017543859649089</x:v>
      </x:c>
      <x:c r="V998" s="24" t="n">
        <x:f>IFERROR(F998/J998,0)-IFERROR(G998/K998,0)</x:f>
        <x:v>-0.30158730158730157</x:v>
      </x:c>
      <x:c r="W998" s="28" t="n">
        <x:f>L998-M998</x:f>
        <x:v>-1</x:v>
      </x:c>
      <x:c r="X998" s="24" t="n">
        <x:f>IFERROR(K998/I998,0)</x:f>
        <x:v>0.47368421052631576</x:v>
      </x:c>
      <x:c r="Y998" s="24" t="n">
        <x:f>IFERROR(G998/I998,0)</x:f>
        <x:v>0.21052631578947367</x:v>
      </x:c>
      <x:c r="Z998" s="24" t="n">
        <x:f>IFERROR(G998/K998,0)</x:f>
        <x:v>0.4444444444444444</x:v>
      </x:c>
      <x:c r="AA998" s="24" t="n">
        <x:f>IFERROR(F998/H998,0)-IFERROR(G998/I998,0)</x:f>
        <x:v>-0.14385964912280702</x:v>
      </x:c>
      <x:c r="AB998" s="28" t="n">
        <x:f>J998-K998</x:f>
        <x:v>-2</x:v>
      </x:c>
      <x:c r="AC998" s="32" t="n">
        <x:f>F998-G998</x:f>
        <x:v>-3</x:v>
      </x:c>
    </x:row>
    <x:row r="999">
      <x:c r="A999" s="4" t="str">
        <x:v>2022-23</x:v>
      </x:c>
      <x:c r="B999" s="20" t="n">
        <x:v>44863</x:v>
      </x:c>
      <x:c r="C999" s="4" t="str">
        <x:v>Crystal Palace</x:v>
      </x:c>
      <x:c r="D999" s="4" t="str">
        <x:v>Southampton</x:v>
      </x:c>
      <x:c r="E999" s="4" t="str">
        <x:v>Home</x:v>
      </x:c>
      <x:c r="F999" s="28" t="n">
        <x:v>1</x:v>
      </x:c>
      <x:c r="G999" s="28" t="n">
        <x:v>0</x:v>
      </x:c>
      <x:c r="H999" s="28" t="n">
        <x:v>12</x:v>
      </x:c>
      <x:c r="I999" s="28" t="n">
        <x:v>14</x:v>
      </x:c>
      <x:c r="J999" s="28" t="n">
        <x:v>3</x:v>
      </x:c>
      <x:c r="K999" s="28" t="n">
        <x:v>4</x:v>
      </x:c>
      <x:c r="L999" s="28" t="n">
        <x:v>8</x:v>
      </x:c>
      <x:c r="M999" s="28" t="n">
        <x:v>4</x:v>
      </x:c>
      <x:c r="N999" s="28" t="n">
        <x:v>3</x:v>
      </x:c>
      <x:c r="O999" s="28" t="n">
        <x:v>0</x:v>
      </x:c>
      <x:c r="P999" s="28" t="n">
        <x:v>3</x:v>
      </x:c>
      <x:c r="Q999" s="24" t="n">
        <x:f>IFERROR(J999/H999,0)</x:f>
        <x:v>0.25</x:v>
      </x:c>
      <x:c r="R999" s="24" t="n">
        <x:f>IFERROR(F999/H999,0)</x:f>
        <x:v>0.08333333333333333</x:v>
      </x:c>
      <x:c r="S999" s="24" t="n">
        <x:f>IFERROR(F999/J999,0)</x:f>
        <x:v>0.3333333333333333</x:v>
      </x:c>
      <x:c r="T999" s="28" t="n">
        <x:f>H999-I999</x:f>
        <x:v>-2</x:v>
      </x:c>
      <x:c r="U999" s="24" t="n">
        <x:f>IFERROR(J999/H999,0)-IFERROR(K999/I999,0)</x:f>
        <x:v>-0.0357142857142857</x:v>
      </x:c>
      <x:c r="V999" s="24" t="n">
        <x:f>IFERROR(F999/J999,0)-IFERROR(G999/K999,0)</x:f>
        <x:v>0.3333333333333333</x:v>
      </x:c>
      <x:c r="W999" s="28" t="n">
        <x:f>L999-M999</x:f>
        <x:v>4</x:v>
      </x:c>
      <x:c r="X999" s="24" t="n">
        <x:f>IFERROR(K999/I999,0)</x:f>
        <x:v>0.2857142857142857</x:v>
      </x:c>
      <x:c r="Y999" s="24" t="n">
        <x:f>IFERROR(G999/I999,0)</x:f>
        <x:v>0</x:v>
      </x:c>
      <x:c r="Z999" s="24" t="n">
        <x:f>IFERROR(G999/K999,0)</x:f>
        <x:v>0</x:v>
      </x:c>
      <x:c r="AA999" s="24" t="n">
        <x:f>IFERROR(F999/H999,0)-IFERROR(G999/I999,0)</x:f>
        <x:v>0.08333333333333333</x:v>
      </x:c>
      <x:c r="AB999" s="28" t="n">
        <x:f>J999-K999</x:f>
        <x:v>-1</x:v>
      </x:c>
      <x:c r="AC999" s="32" t="n">
        <x:f>F999-G999</x:f>
        <x:v>1</x:v>
      </x:c>
    </x:row>
    <x:row r="1000">
      <x:c r="A1000" s="4" t="str">
        <x:v>2022-23</x:v>
      </x:c>
      <x:c r="B1000" s="20" t="n">
        <x:v>44863</x:v>
      </x:c>
      <x:c r="C1000" s="4" t="str">
        <x:v>Everton</x:v>
      </x:c>
      <x:c r="D1000" s="4" t="str">
        <x:v>Fulham</x:v>
      </x:c>
      <x:c r="E1000" s="4" t="str">
        <x:v>Away</x:v>
      </x:c>
      <x:c r="F1000" s="28" t="n">
        <x:v>0</x:v>
      </x:c>
      <x:c r="G1000" s="28" t="n">
        <x:v>0</x:v>
      </x:c>
      <x:c r="H1000" s="28" t="n">
        <x:v>9</x:v>
      </x:c>
      <x:c r="I1000" s="28" t="n">
        <x:v>24</x:v>
      </x:c>
      <x:c r="J1000" s="28" t="n">
        <x:v>4</x:v>
      </x:c>
      <x:c r="K1000" s="28" t="n">
        <x:v>6</x:v>
      </x:c>
      <x:c r="L1000" s="28" t="n">
        <x:v>4</x:v>
      </x:c>
      <x:c r="M1000" s="28" t="n">
        <x:v>13</x:v>
      </x:c>
      <x:c r="N1000" s="28" t="n">
        <x:v>1</x:v>
      </x:c>
      <x:c r="O1000" s="28" t="n">
        <x:v>0</x:v>
      </x:c>
      <x:c r="P1000" s="28" t="n">
        <x:v>1</x:v>
      </x:c>
      <x:c r="Q1000" s="24" t="n">
        <x:f>IFERROR(J1000/H1000,0)</x:f>
        <x:v>0.4444444444444444</x:v>
      </x:c>
      <x:c r="R1000" s="24" t="n">
        <x:f>IFERROR(F1000/H1000,0)</x:f>
        <x:v>0</x:v>
      </x:c>
      <x:c r="S1000" s="24" t="n">
        <x:f>IFERROR(F1000/J1000,0)</x:f>
        <x:v>0</x:v>
      </x:c>
      <x:c r="T1000" s="28" t="n">
        <x:f>H1000-I1000</x:f>
        <x:v>-15</x:v>
      </x:c>
      <x:c r="U1000" s="24" t="n">
        <x:f>IFERROR(J1000/H1000,0)-IFERROR(K1000/I1000,0)</x:f>
        <x:v>0.19444444444444442</x:v>
      </x:c>
      <x:c r="V1000" s="24" t="n">
        <x:f>IFERROR(F1000/J1000,0)-IFERROR(G1000/K1000,0)</x:f>
        <x:v>0</x:v>
      </x:c>
      <x:c r="W1000" s="28" t="n">
        <x:f>L1000-M1000</x:f>
        <x:v>-9</x:v>
      </x:c>
      <x:c r="X1000" s="24" t="n">
        <x:f>IFERROR(K1000/I1000,0)</x:f>
        <x:v>0.25</x:v>
      </x:c>
      <x:c r="Y1000" s="24" t="n">
        <x:f>IFERROR(G1000/I1000,0)</x:f>
        <x:v>0</x:v>
      </x:c>
      <x:c r="Z1000" s="24" t="n">
        <x:f>IFERROR(G1000/K1000,0)</x:f>
        <x:v>0</x:v>
      </x:c>
      <x:c r="AA1000" s="24" t="n">
        <x:f>IFERROR(F1000/H1000,0)-IFERROR(G1000/I1000,0)</x:f>
        <x:v>0</x:v>
      </x:c>
      <x:c r="AB1000" s="28" t="n">
        <x:f>J1000-K1000</x:f>
        <x:v>-2</x:v>
      </x:c>
      <x:c r="AC1000" s="32" t="n">
        <x:f>F1000-G1000</x:f>
        <x:v>0</x:v>
      </x:c>
    </x:row>
    <x:row r="1001">
      <x:c r="A1001" s="4" t="str">
        <x:v>2022-23</x:v>
      </x:c>
      <x:c r="B1001" s="20" t="n">
        <x:v>44863</x:v>
      </x:c>
      <x:c r="C1001" s="4" t="str">
        <x:v>Fulham</x:v>
      </x:c>
      <x:c r="D1001" s="4" t="str">
        <x:v>Everton</x:v>
      </x:c>
      <x:c r="E1001" s="4" t="str">
        <x:v>Home</x:v>
      </x:c>
      <x:c r="F1001" s="28" t="n">
        <x:v>0</x:v>
      </x:c>
      <x:c r="G1001" s="28" t="n">
        <x:v>0</x:v>
      </x:c>
      <x:c r="H1001" s="28" t="n">
        <x:v>24</x:v>
      </x:c>
      <x:c r="I1001" s="28" t="n">
        <x:v>9</x:v>
      </x:c>
      <x:c r="J1001" s="28" t="n">
        <x:v>6</x:v>
      </x:c>
      <x:c r="K1001" s="28" t="n">
        <x:v>4</x:v>
      </x:c>
      <x:c r="L1001" s="28" t="n">
        <x:v>13</x:v>
      </x:c>
      <x:c r="M1001" s="28" t="n">
        <x:v>4</x:v>
      </x:c>
      <x:c r="N1001" s="28" t="n">
        <x:v>2</x:v>
      </x:c>
      <x:c r="O1001" s="28" t="n">
        <x:v>0</x:v>
      </x:c>
      <x:c r="P1001" s="28" t="n">
        <x:v>1</x:v>
      </x:c>
      <x:c r="Q1001" s="24" t="n">
        <x:f>IFERROR(J1001/H1001,0)</x:f>
        <x:v>0.25</x:v>
      </x:c>
      <x:c r="R1001" s="24" t="n">
        <x:f>IFERROR(F1001/H1001,0)</x:f>
        <x:v>0</x:v>
      </x:c>
      <x:c r="S1001" s="24" t="n">
        <x:f>IFERROR(F1001/J1001,0)</x:f>
        <x:v>0</x:v>
      </x:c>
      <x:c r="T1001" s="28" t="n">
        <x:f>H1001-I1001</x:f>
        <x:v>15</x:v>
      </x:c>
      <x:c r="U1001" s="24" t="n">
        <x:f>IFERROR(J1001/H1001,0)-IFERROR(K1001/I1001,0)</x:f>
        <x:v>-0.19444444444444442</x:v>
      </x:c>
      <x:c r="V1001" s="24" t="n">
        <x:f>IFERROR(F1001/J1001,0)-IFERROR(G1001/K1001,0)</x:f>
        <x:v>0</x:v>
      </x:c>
      <x:c r="W1001" s="28" t="n">
        <x:f>L1001-M1001</x:f>
        <x:v>9</x:v>
      </x:c>
      <x:c r="X1001" s="24" t="n">
        <x:f>IFERROR(K1001/I1001,0)</x:f>
        <x:v>0.4444444444444444</x:v>
      </x:c>
      <x:c r="Y1001" s="24" t="n">
        <x:f>IFERROR(G1001/I1001,0)</x:f>
        <x:v>0</x:v>
      </x:c>
      <x:c r="Z1001" s="24" t="n">
        <x:f>IFERROR(G1001/K1001,0)</x:f>
        <x:v>0</x:v>
      </x:c>
      <x:c r="AA1001" s="24" t="n">
        <x:f>IFERROR(F1001/H1001,0)-IFERROR(G1001/I1001,0)</x:f>
        <x:v>0</x:v>
      </x:c>
      <x:c r="AB1001" s="28" t="n">
        <x:f>J1001-K1001</x:f>
        <x:v>2</x:v>
      </x:c>
      <x:c r="AC1001" s="32" t="n">
        <x:f>F1001-G1001</x:f>
        <x:v>0</x:v>
      </x:c>
    </x:row>
    <x:row r="1002">
      <x:c r="A1002" s="4" t="str">
        <x:v>2022-23</x:v>
      </x:c>
      <x:c r="B1002" s="20" t="n">
        <x:v>44863</x:v>
      </x:c>
      <x:c r="C1002" s="4" t="str">
        <x:v>Leeds</x:v>
      </x:c>
      <x:c r="D1002" s="4" t="str">
        <x:v>Liverpool</x:v>
      </x:c>
      <x:c r="E1002" s="4" t="str">
        <x:v>Away</x:v>
      </x:c>
      <x:c r="F1002" s="28" t="n">
        <x:v>2</x:v>
      </x:c>
      <x:c r="G1002" s="28" t="n">
        <x:v>1</x:v>
      </x:c>
      <x:c r="H1002" s="28" t="n">
        <x:v>14</x:v>
      </x:c>
      <x:c r="I1002" s="28" t="n">
        <x:v>22</x:v>
      </x:c>
      <x:c r="J1002" s="28" t="n">
        <x:v>6</x:v>
      </x:c>
      <x:c r="K1002" s="28" t="n">
        <x:v>10</x:v>
      </x:c>
      <x:c r="L1002" s="28" t="n">
        <x:v>5</x:v>
      </x:c>
      <x:c r="M1002" s="28" t="n">
        <x:v>14</x:v>
      </x:c>
      <x:c r="N1002" s="28" t="n">
        <x:v>1</x:v>
      </x:c>
      <x:c r="O1002" s="28" t="n">
        <x:v>0</x:v>
      </x:c>
      <x:c r="P1002" s="28" t="n">
        <x:v>3</x:v>
      </x:c>
      <x:c r="Q1002" s="24" t="n">
        <x:f>IFERROR(J1002/H1002,0)</x:f>
        <x:v>0.42857142857142855</x:v>
      </x:c>
      <x:c r="R1002" s="24" t="n">
        <x:f>IFERROR(F1002/H1002,0)</x:f>
        <x:v>0.14285714285714285</x:v>
      </x:c>
      <x:c r="S1002" s="24" t="n">
        <x:f>IFERROR(F1002/J1002,0)</x:f>
        <x:v>0.3333333333333333</x:v>
      </x:c>
      <x:c r="T1002" s="28" t="n">
        <x:f>H1002-I1002</x:f>
        <x:v>-8</x:v>
      </x:c>
      <x:c r="U1002" s="24" t="n">
        <x:f>IFERROR(J1002/H1002,0)-IFERROR(K1002/I1002,0)</x:f>
        <x:v>-0.025974025974025983</x:v>
      </x:c>
      <x:c r="V1002" s="24" t="n">
        <x:f>IFERROR(F1002/J1002,0)-IFERROR(G1002/K1002,0)</x:f>
        <x:v>0.2333333333333333</x:v>
      </x:c>
      <x:c r="W1002" s="28" t="n">
        <x:f>L1002-M1002</x:f>
        <x:v>-9</x:v>
      </x:c>
      <x:c r="X1002" s="24" t="n">
        <x:f>IFERROR(K1002/I1002,0)</x:f>
        <x:v>0.45454545454545453</x:v>
      </x:c>
      <x:c r="Y1002" s="24" t="n">
        <x:f>IFERROR(G1002/I1002,0)</x:f>
        <x:v>0.045454545454545456</x:v>
      </x:c>
      <x:c r="Z1002" s="24" t="n">
        <x:f>IFERROR(G1002/K1002,0)</x:f>
        <x:v>0.1</x:v>
      </x:c>
      <x:c r="AA1002" s="24" t="n">
        <x:f>IFERROR(F1002/H1002,0)-IFERROR(G1002/I1002,0)</x:f>
        <x:v>0.0974025974025974</x:v>
      </x:c>
      <x:c r="AB1002" s="28" t="n">
        <x:f>J1002-K1002</x:f>
        <x:v>-4</x:v>
      </x:c>
      <x:c r="AC1002" s="32" t="n">
        <x:f>F1002-G1002</x:f>
        <x:v>1</x:v>
      </x:c>
    </x:row>
    <x:row r="1003">
      <x:c r="A1003" s="4" t="str">
        <x:v>2022-23</x:v>
      </x:c>
      <x:c r="B1003" s="20" t="n">
        <x:v>44863</x:v>
      </x:c>
      <x:c r="C1003" s="4" t="str">
        <x:v>Leicester</x:v>
      </x:c>
      <x:c r="D1003" s="4" t="str">
        <x:v>Man City</x:v>
      </x:c>
      <x:c r="E1003" s="4" t="str">
        <x:v>Home</x:v>
      </x:c>
      <x:c r="F1003" s="28" t="n">
        <x:v>0</x:v>
      </x:c>
      <x:c r="G1003" s="28" t="n">
        <x:v>1</x:v>
      </x:c>
      <x:c r="H1003" s="28" t="n">
        <x:v>10</x:v>
      </x:c>
      <x:c r="I1003" s="28" t="n">
        <x:v>15</x:v>
      </x:c>
      <x:c r="J1003" s="28" t="n">
        <x:v>5</x:v>
      </x:c>
      <x:c r="K1003" s="28" t="n">
        <x:v>5</x:v>
      </x:c>
      <x:c r="L1003" s="28" t="n">
        <x:v>3</x:v>
      </x:c>
      <x:c r="M1003" s="28" t="n">
        <x:v>10</x:v>
      </x:c>
      <x:c r="N1003" s="28" t="n">
        <x:v>0</x:v>
      </x:c>
      <x:c r="O1003" s="28" t="n">
        <x:v>0</x:v>
      </x:c>
      <x:c r="P1003" s="28" t="n">
        <x:v>0</x:v>
      </x:c>
      <x:c r="Q1003" s="24" t="n">
        <x:f>IFERROR(J1003/H1003,0)</x:f>
        <x:v>0.5</x:v>
      </x:c>
      <x:c r="R1003" s="24" t="n">
        <x:f>IFERROR(F1003/H1003,0)</x:f>
        <x:v>0</x:v>
      </x:c>
      <x:c r="S1003" s="24" t="n">
        <x:f>IFERROR(F1003/J1003,0)</x:f>
        <x:v>0</x:v>
      </x:c>
      <x:c r="T1003" s="28" t="n">
        <x:f>H1003-I1003</x:f>
        <x:v>-5</x:v>
      </x:c>
      <x:c r="U1003" s="24" t="n">
        <x:f>IFERROR(J1003/H1003,0)-IFERROR(K1003/I1003,0)</x:f>
        <x:v>0.16666666666666669</x:v>
      </x:c>
      <x:c r="V1003" s="24" t="n">
        <x:f>IFERROR(F1003/J1003,0)-IFERROR(G1003/K1003,0)</x:f>
        <x:v>-0.2</x:v>
      </x:c>
      <x:c r="W1003" s="28" t="n">
        <x:f>L1003-M1003</x:f>
        <x:v>-7</x:v>
      </x:c>
      <x:c r="X1003" s="24" t="n">
        <x:f>IFERROR(K1003/I1003,0)</x:f>
        <x:v>0.3333333333333333</x:v>
      </x:c>
      <x:c r="Y1003" s="24" t="n">
        <x:f>IFERROR(G1003/I1003,0)</x:f>
        <x:v>0.06666666666666667</x:v>
      </x:c>
      <x:c r="Z1003" s="24" t="n">
        <x:f>IFERROR(G1003/K1003,0)</x:f>
        <x:v>0.2</x:v>
      </x:c>
      <x:c r="AA1003" s="24" t="n">
        <x:f>IFERROR(F1003/H1003,0)-IFERROR(G1003/I1003,0)</x:f>
        <x:v>-0.06666666666666667</x:v>
      </x:c>
      <x:c r="AB1003" s="28" t="n">
        <x:f>J1003-K1003</x:f>
        <x:v>0</x:v>
      </x:c>
      <x:c r="AC1003" s="32" t="n">
        <x:f>F1003-G1003</x:f>
        <x:v>-1</x:v>
      </x:c>
    </x:row>
    <x:row r="1004">
      <x:c r="A1004" s="4" t="str">
        <x:v>2022-23</x:v>
      </x:c>
      <x:c r="B1004" s="20" t="n">
        <x:v>44863</x:v>
      </x:c>
      <x:c r="C1004" s="4" t="str">
        <x:v>Liverpool</x:v>
      </x:c>
      <x:c r="D1004" s="4" t="str">
        <x:v>Leeds</x:v>
      </x:c>
      <x:c r="E1004" s="4" t="str">
        <x:v>Home</x:v>
      </x:c>
      <x:c r="F1004" s="28" t="n">
        <x:v>1</x:v>
      </x:c>
      <x:c r="G1004" s="28" t="n">
        <x:v>2</x:v>
      </x:c>
      <x:c r="H1004" s="28" t="n">
        <x:v>22</x:v>
      </x:c>
      <x:c r="I1004" s="28" t="n">
        <x:v>14</x:v>
      </x:c>
      <x:c r="J1004" s="28" t="n">
        <x:v>10</x:v>
      </x:c>
      <x:c r="K1004" s="28" t="n">
        <x:v>6</x:v>
      </x:c>
      <x:c r="L1004" s="28" t="n">
        <x:v>14</x:v>
      </x:c>
      <x:c r="M1004" s="28" t="n">
        <x:v>5</x:v>
      </x:c>
      <x:c r="N1004" s="28" t="n">
        <x:v>0</x:v>
      </x:c>
      <x:c r="O1004" s="28" t="n">
        <x:v>0</x:v>
      </x:c>
      <x:c r="P1004" s="28" t="n">
        <x:v>0</x:v>
      </x:c>
      <x:c r="Q1004" s="24" t="n">
        <x:f>IFERROR(J1004/H1004,0)</x:f>
        <x:v>0.45454545454545453</x:v>
      </x:c>
      <x:c r="R1004" s="24" t="n">
        <x:f>IFERROR(F1004/H1004,0)</x:f>
        <x:v>0.045454545454545456</x:v>
      </x:c>
      <x:c r="S1004" s="24" t="n">
        <x:f>IFERROR(F1004/J1004,0)</x:f>
        <x:v>0.1</x:v>
      </x:c>
      <x:c r="T1004" s="28" t="n">
        <x:f>H1004-I1004</x:f>
        <x:v>8</x:v>
      </x:c>
      <x:c r="U1004" s="24" t="n">
        <x:f>IFERROR(J1004/H1004,0)-IFERROR(K1004/I1004,0)</x:f>
        <x:v>0.025974025974025983</x:v>
      </x:c>
      <x:c r="V1004" s="24" t="n">
        <x:f>IFERROR(F1004/J1004,0)-IFERROR(G1004/K1004,0)</x:f>
        <x:v>-0.2333333333333333</x:v>
      </x:c>
      <x:c r="W1004" s="28" t="n">
        <x:f>L1004-M1004</x:f>
        <x:v>9</x:v>
      </x:c>
      <x:c r="X1004" s="24" t="n">
        <x:f>IFERROR(K1004/I1004,0)</x:f>
        <x:v>0.42857142857142855</x:v>
      </x:c>
      <x:c r="Y1004" s="24" t="n">
        <x:f>IFERROR(G1004/I1004,0)</x:f>
        <x:v>0.14285714285714285</x:v>
      </x:c>
      <x:c r="Z1004" s="24" t="n">
        <x:f>IFERROR(G1004/K1004,0)</x:f>
        <x:v>0.3333333333333333</x:v>
      </x:c>
      <x:c r="AA1004" s="24" t="n">
        <x:f>IFERROR(F1004/H1004,0)-IFERROR(G1004/I1004,0)</x:f>
        <x:v>-0.0974025974025974</x:v>
      </x:c>
      <x:c r="AB1004" s="28" t="n">
        <x:f>J1004-K1004</x:f>
        <x:v>4</x:v>
      </x:c>
      <x:c r="AC1004" s="32" t="n">
        <x:f>F1004-G1004</x:f>
        <x:v>-1</x:v>
      </x:c>
    </x:row>
    <x:row r="1005">
      <x:c r="A1005" s="4" t="str">
        <x:v>2022-23</x:v>
      </x:c>
      <x:c r="B1005" s="20" t="n">
        <x:v>44863</x:v>
      </x:c>
      <x:c r="C1005" s="4" t="str">
        <x:v>Man City</x:v>
      </x:c>
      <x:c r="D1005" s="4" t="str">
        <x:v>Leicester</x:v>
      </x:c>
      <x:c r="E1005" s="4" t="str">
        <x:v>Away</x:v>
      </x:c>
      <x:c r="F1005" s="28" t="n">
        <x:v>1</x:v>
      </x:c>
      <x:c r="G1005" s="28" t="n">
        <x:v>0</x:v>
      </x:c>
      <x:c r="H1005" s="28" t="n">
        <x:v>15</x:v>
      </x:c>
      <x:c r="I1005" s="28" t="n">
        <x:v>10</x:v>
      </x:c>
      <x:c r="J1005" s="28" t="n">
        <x:v>5</x:v>
      </x:c>
      <x:c r="K1005" s="28" t="n">
        <x:v>5</x:v>
      </x:c>
      <x:c r="L1005" s="28" t="n">
        <x:v>10</x:v>
      </x:c>
      <x:c r="M1005" s="28" t="n">
        <x:v>3</x:v>
      </x:c>
      <x:c r="N1005" s="28" t="n">
        <x:v>0</x:v>
      </x:c>
      <x:c r="O1005" s="28" t="n">
        <x:v>0</x:v>
      </x:c>
      <x:c r="P1005" s="28" t="n">
        <x:v>3</x:v>
      </x:c>
      <x:c r="Q1005" s="24" t="n">
        <x:f>IFERROR(J1005/H1005,0)</x:f>
        <x:v>0.3333333333333333</x:v>
      </x:c>
      <x:c r="R1005" s="24" t="n">
        <x:f>IFERROR(F1005/H1005,0)</x:f>
        <x:v>0.06666666666666667</x:v>
      </x:c>
      <x:c r="S1005" s="24" t="n">
        <x:f>IFERROR(F1005/J1005,0)</x:f>
        <x:v>0.2</x:v>
      </x:c>
      <x:c r="T1005" s="28" t="n">
        <x:f>H1005-I1005</x:f>
        <x:v>5</x:v>
      </x:c>
      <x:c r="U1005" s="24" t="n">
        <x:f>IFERROR(J1005/H1005,0)-IFERROR(K1005/I1005,0)</x:f>
        <x:v>-0.16666666666666669</x:v>
      </x:c>
      <x:c r="V1005" s="24" t="n">
        <x:f>IFERROR(F1005/J1005,0)-IFERROR(G1005/K1005,0)</x:f>
        <x:v>0.2</x:v>
      </x:c>
      <x:c r="W1005" s="28" t="n">
        <x:f>L1005-M1005</x:f>
        <x:v>7</x:v>
      </x:c>
      <x:c r="X1005" s="24" t="n">
        <x:f>IFERROR(K1005/I1005,0)</x:f>
        <x:v>0.5</x:v>
      </x:c>
      <x:c r="Y1005" s="24" t="n">
        <x:f>IFERROR(G1005/I1005,0)</x:f>
        <x:v>0</x:v>
      </x:c>
      <x:c r="Z1005" s="24" t="n">
        <x:f>IFERROR(G1005/K1005,0)</x:f>
        <x:v>0</x:v>
      </x:c>
      <x:c r="AA1005" s="24" t="n">
        <x:f>IFERROR(F1005/H1005,0)-IFERROR(G1005/I1005,0)</x:f>
        <x:v>0.06666666666666667</x:v>
      </x:c>
      <x:c r="AB1005" s="28" t="n">
        <x:f>J1005-K1005</x:f>
        <x:v>0</x:v>
      </x:c>
      <x:c r="AC1005" s="32" t="n">
        <x:f>F1005-G1005</x:f>
        <x:v>1</x:v>
      </x:c>
    </x:row>
    <x:row r="1006">
      <x:c r="A1006" s="4" t="str">
        <x:v>2022-23</x:v>
      </x:c>
      <x:c r="B1006" s="20" t="n">
        <x:v>44863</x:v>
      </x:c>
      <x:c r="C1006" s="4" t="str">
        <x:v>Newcastle</x:v>
      </x:c>
      <x:c r="D1006" s="4" t="str">
        <x:v>Aston Villa</x:v>
      </x:c>
      <x:c r="E1006" s="4" t="str">
        <x:v>Home</x:v>
      </x:c>
      <x:c r="F1006" s="28" t="n">
        <x:v>4</x:v>
      </x:c>
      <x:c r="G1006" s="28" t="n">
        <x:v>0</x:v>
      </x:c>
      <x:c r="H1006" s="28" t="n">
        <x:v>20</x:v>
      </x:c>
      <x:c r="I1006" s="28" t="n">
        <x:v>3</x:v>
      </x:c>
      <x:c r="J1006" s="28" t="n">
        <x:v>7</x:v>
      </x:c>
      <x:c r="K1006" s="28" t="n">
        <x:v>0</x:v>
      </x:c>
      <x:c r="L1006" s="28" t="n">
        <x:v>3</x:v>
      </x:c>
      <x:c r="M1006" s="28" t="n">
        <x:v>0</x:v>
      </x:c>
      <x:c r="N1006" s="28" t="n">
        <x:v>1</x:v>
      </x:c>
      <x:c r="O1006" s="28" t="n">
        <x:v>0</x:v>
      </x:c>
      <x:c r="P1006" s="28" t="n">
        <x:v>3</x:v>
      </x:c>
      <x:c r="Q1006" s="24" t="n">
        <x:f>IFERROR(J1006/H1006,0)</x:f>
        <x:v>0.35</x:v>
      </x:c>
      <x:c r="R1006" s="24" t="n">
        <x:f>IFERROR(F1006/H1006,0)</x:f>
        <x:v>0.2</x:v>
      </x:c>
      <x:c r="S1006" s="24" t="n">
        <x:f>IFERROR(F1006/J1006,0)</x:f>
        <x:v>0.5714285714285714</x:v>
      </x:c>
      <x:c r="T1006" s="28" t="n">
        <x:f>H1006-I1006</x:f>
        <x:v>17</x:v>
      </x:c>
      <x:c r="U1006" s="24" t="n">
        <x:f>IFERROR(J1006/H1006,0)-IFERROR(K1006/I1006,0)</x:f>
        <x:v>0.35</x:v>
      </x:c>
      <x:c r="V1006" s="24" t="n">
        <x:f>IFERROR(F1006/J1006,0)-IFERROR(G1006/K1006,0)</x:f>
        <x:v>0.5714285714285714</x:v>
      </x:c>
      <x:c r="W1006" s="28" t="n">
        <x:f>L1006-M1006</x:f>
        <x:v>3</x:v>
      </x:c>
      <x:c r="X1006" s="24" t="n">
        <x:f>IFERROR(K1006/I1006,0)</x:f>
        <x:v>0</x:v>
      </x:c>
      <x:c r="Y1006" s="24" t="n">
        <x:f>IFERROR(G1006/I1006,0)</x:f>
        <x:v>0</x:v>
      </x:c>
      <x:c r="Z1006" s="24" t="n">
        <x:f>IFERROR(G1006/K1006,0)</x:f>
        <x:v>0</x:v>
      </x:c>
      <x:c r="AA1006" s="24" t="n">
        <x:f>IFERROR(F1006/H1006,0)-IFERROR(G1006/I1006,0)</x:f>
        <x:v>0.2</x:v>
      </x:c>
      <x:c r="AB1006" s="28" t="n">
        <x:f>J1006-K1006</x:f>
        <x:v>7</x:v>
      </x:c>
      <x:c r="AC1006" s="32" t="n">
        <x:f>F1006-G1006</x:f>
        <x:v>4</x:v>
      </x:c>
    </x:row>
    <x:row r="1007">
      <x:c r="A1007" s="4" t="str">
        <x:v>2022-23</x:v>
      </x:c>
      <x:c r="B1007" s="20" t="n">
        <x:v>44863</x:v>
      </x:c>
      <x:c r="C1007" s="4" t="str">
        <x:v>Southampton</x:v>
      </x:c>
      <x:c r="D1007" s="4" t="str">
        <x:v>Crystal Palace</x:v>
      </x:c>
      <x:c r="E1007" s="4" t="str">
        <x:v>Away</x:v>
      </x:c>
      <x:c r="F1007" s="28" t="n">
        <x:v>0</x:v>
      </x:c>
      <x:c r="G1007" s="28" t="n">
        <x:v>1</x:v>
      </x:c>
      <x:c r="H1007" s="28" t="n">
        <x:v>14</x:v>
      </x:c>
      <x:c r="I1007" s="28" t="n">
        <x:v>12</x:v>
      </x:c>
      <x:c r="J1007" s="28" t="n">
        <x:v>4</x:v>
      </x:c>
      <x:c r="K1007" s="28" t="n">
        <x:v>3</x:v>
      </x:c>
      <x:c r="L1007" s="28" t="n">
        <x:v>4</x:v>
      </x:c>
      <x:c r="M1007" s="28" t="n">
        <x:v>8</x:v>
      </x:c>
      <x:c r="N1007" s="28" t="n">
        <x:v>3</x:v>
      </x:c>
      <x:c r="O1007" s="28" t="n">
        <x:v>0</x:v>
      </x:c>
      <x:c r="P1007" s="28" t="n">
        <x:v>0</x:v>
      </x:c>
      <x:c r="Q1007" s="24" t="n">
        <x:f>IFERROR(J1007/H1007,0)</x:f>
        <x:v>0.2857142857142857</x:v>
      </x:c>
      <x:c r="R1007" s="24" t="n">
        <x:f>IFERROR(F1007/H1007,0)</x:f>
        <x:v>0</x:v>
      </x:c>
      <x:c r="S1007" s="24" t="n">
        <x:f>IFERROR(F1007/J1007,0)</x:f>
        <x:v>0</x:v>
      </x:c>
      <x:c r="T1007" s="28" t="n">
        <x:f>H1007-I1007</x:f>
        <x:v>2</x:v>
      </x:c>
      <x:c r="U1007" s="24" t="n">
        <x:f>IFERROR(J1007/H1007,0)-IFERROR(K1007/I1007,0)</x:f>
        <x:v>0.0357142857142857</x:v>
      </x:c>
      <x:c r="V1007" s="24" t="n">
        <x:f>IFERROR(F1007/J1007,0)-IFERROR(G1007/K1007,0)</x:f>
        <x:v>-0.3333333333333333</x:v>
      </x:c>
      <x:c r="W1007" s="28" t="n">
        <x:f>L1007-M1007</x:f>
        <x:v>-4</x:v>
      </x:c>
      <x:c r="X1007" s="24" t="n">
        <x:f>IFERROR(K1007/I1007,0)</x:f>
        <x:v>0.25</x:v>
      </x:c>
      <x:c r="Y1007" s="24" t="n">
        <x:f>IFERROR(G1007/I1007,0)</x:f>
        <x:v>0.08333333333333333</x:v>
      </x:c>
      <x:c r="Z1007" s="24" t="n">
        <x:f>IFERROR(G1007/K1007,0)</x:f>
        <x:v>0.3333333333333333</x:v>
      </x:c>
      <x:c r="AA1007" s="24" t="n">
        <x:f>IFERROR(F1007/H1007,0)-IFERROR(G1007/I1007,0)</x:f>
        <x:v>-0.08333333333333333</x:v>
      </x:c>
      <x:c r="AB1007" s="28" t="n">
        <x:f>J1007-K1007</x:f>
        <x:v>1</x:v>
      </x:c>
      <x:c r="AC1007" s="32" t="n">
        <x:f>F1007-G1007</x:f>
        <x:v>-1</x:v>
      </x:c>
    </x:row>
    <x:row r="1008">
      <x:c r="A1008" s="4" t="str">
        <x:v>2022-23</x:v>
      </x:c>
      <x:c r="B1008" s="20" t="n">
        <x:v>44863</x:v>
      </x:c>
      <x:c r="C1008" s="4" t="str">
        <x:v>Tottenham</x:v>
      </x:c>
      <x:c r="D1008" s="4" t="str">
        <x:v>Bournemouth</x:v>
      </x:c>
      <x:c r="E1008" s="4" t="str">
        <x:v>Away</x:v>
      </x:c>
      <x:c r="F1008" s="28" t="n">
        <x:v>3</x:v>
      </x:c>
      <x:c r="G1008" s="28" t="n">
        <x:v>2</x:v>
      </x:c>
      <x:c r="H1008" s="28" t="n">
        <x:v>23</x:v>
      </x:c>
      <x:c r="I1008" s="28" t="n">
        <x:v>6</x:v>
      </x:c>
      <x:c r="J1008" s="28" t="n">
        <x:v>7</x:v>
      </x:c>
      <x:c r="K1008" s="28" t="n">
        <x:v>4</x:v>
      </x:c>
      <x:c r="L1008" s="28" t="n">
        <x:v>19</x:v>
      </x:c>
      <x:c r="M1008" s="28" t="n">
        <x:v>2</x:v>
      </x:c>
      <x:c r="N1008" s="28" t="n">
        <x:v>2</x:v>
      </x:c>
      <x:c r="O1008" s="28" t="n">
        <x:v>0</x:v>
      </x:c>
      <x:c r="P1008" s="28" t="n">
        <x:v>3</x:v>
      </x:c>
      <x:c r="Q1008" s="24" t="n">
        <x:f>IFERROR(J1008/H1008,0)</x:f>
        <x:v>0.30434782608695654</x:v>
      </x:c>
      <x:c r="R1008" s="24" t="n">
        <x:f>IFERROR(F1008/H1008,0)</x:f>
        <x:v>0.13043478260869565</x:v>
      </x:c>
      <x:c r="S1008" s="24" t="n">
        <x:f>IFERROR(F1008/J1008,0)</x:f>
        <x:v>0.42857142857142855</x:v>
      </x:c>
      <x:c r="T1008" s="28" t="n">
        <x:f>H1008-I1008</x:f>
        <x:v>17</x:v>
      </x:c>
      <x:c r="U1008" s="24" t="n">
        <x:f>IFERROR(J1008/H1008,0)-IFERROR(K1008/I1008,0)</x:f>
        <x:v>-0.3623188405797101</x:v>
      </x:c>
      <x:c r="V1008" s="24" t="n">
        <x:f>IFERROR(F1008/J1008,0)-IFERROR(G1008/K1008,0)</x:f>
        <x:v>-0.07142857142857145</x:v>
      </x:c>
      <x:c r="W1008" s="28" t="n">
        <x:f>L1008-M1008</x:f>
        <x:v>17</x:v>
      </x:c>
      <x:c r="X1008" s="24" t="n">
        <x:f>IFERROR(K1008/I1008,0)</x:f>
        <x:v>0.6666666666666666</x:v>
      </x:c>
      <x:c r="Y1008" s="24" t="n">
        <x:f>IFERROR(G1008/I1008,0)</x:f>
        <x:v>0.3333333333333333</x:v>
      </x:c>
      <x:c r="Z1008" s="24" t="n">
        <x:f>IFERROR(G1008/K1008,0)</x:f>
        <x:v>0.5</x:v>
      </x:c>
      <x:c r="AA1008" s="24" t="n">
        <x:f>IFERROR(F1008/H1008,0)-IFERROR(G1008/I1008,0)</x:f>
        <x:v>-0.20289855072463767</x:v>
      </x:c>
      <x:c r="AB1008" s="28" t="n">
        <x:f>J1008-K1008</x:f>
        <x:v>3</x:v>
      </x:c>
      <x:c r="AC1008" s="32" t="n">
        <x:f>F1008-G1008</x:f>
        <x:v>1</x:v>
      </x:c>
    </x:row>
    <x:row r="1009">
      <x:c r="A1009" s="4" t="str">
        <x:v>2022-23</x:v>
      </x:c>
      <x:c r="B1009" s="20" t="n">
        <x:v>44863</x:v>
      </x:c>
      <x:c r="C1009" s="4" t="str">
        <x:v>Wolves</x:v>
      </x:c>
      <x:c r="D1009" s="4" t="str">
        <x:v>Brentford</x:v>
      </x:c>
      <x:c r="E1009" s="4" t="str">
        <x:v>Away</x:v>
      </x:c>
      <x:c r="F1009" s="28" t="n">
        <x:v>1</x:v>
      </x:c>
      <x:c r="G1009" s="28" t="n">
        <x:v>1</x:v>
      </x:c>
      <x:c r="H1009" s="28" t="n">
        <x:v>14</x:v>
      </x:c>
      <x:c r="I1009" s="28" t="n">
        <x:v>12</x:v>
      </x:c>
      <x:c r="J1009" s="28" t="n">
        <x:v>4</x:v>
      </x:c>
      <x:c r="K1009" s="28" t="n">
        <x:v>3</x:v>
      </x:c>
      <x:c r="L1009" s="28" t="n">
        <x:v>6</x:v>
      </x:c>
      <x:c r="M1009" s="28" t="n">
        <x:v>3</x:v>
      </x:c>
      <x:c r="N1009" s="28" t="n">
        <x:v>3</x:v>
      </x:c>
      <x:c r="O1009" s="28" t="n">
        <x:v>1</x:v>
      </x:c>
      <x:c r="P1009" s="28" t="n">
        <x:v>1</x:v>
      </x:c>
      <x:c r="Q1009" s="24" t="n">
        <x:f>IFERROR(J1009/H1009,0)</x:f>
        <x:v>0.2857142857142857</x:v>
      </x:c>
      <x:c r="R1009" s="24" t="n">
        <x:f>IFERROR(F1009/H1009,0)</x:f>
        <x:v>0.07142857142857142</x:v>
      </x:c>
      <x:c r="S1009" s="24" t="n">
        <x:f>IFERROR(F1009/J1009,0)</x:f>
        <x:v>0.25</x:v>
      </x:c>
      <x:c r="T1009" s="28" t="n">
        <x:f>H1009-I1009</x:f>
        <x:v>2</x:v>
      </x:c>
      <x:c r="U1009" s="24" t="n">
        <x:f>IFERROR(J1009/H1009,0)-IFERROR(K1009/I1009,0)</x:f>
        <x:v>0.0357142857142857</x:v>
      </x:c>
      <x:c r="V1009" s="24" t="n">
        <x:f>IFERROR(F1009/J1009,0)-IFERROR(G1009/K1009,0)</x:f>
        <x:v>-0.08333333333333331</x:v>
      </x:c>
      <x:c r="W1009" s="28" t="n">
        <x:f>L1009-M1009</x:f>
        <x:v>3</x:v>
      </x:c>
      <x:c r="X1009" s="24" t="n">
        <x:f>IFERROR(K1009/I1009,0)</x:f>
        <x:v>0.25</x:v>
      </x:c>
      <x:c r="Y1009" s="24" t="n">
        <x:f>IFERROR(G1009/I1009,0)</x:f>
        <x:v>0.08333333333333333</x:v>
      </x:c>
      <x:c r="Z1009" s="24" t="n">
        <x:f>IFERROR(G1009/K1009,0)</x:f>
        <x:v>0.3333333333333333</x:v>
      </x:c>
      <x:c r="AA1009" s="24" t="n">
        <x:f>IFERROR(F1009/H1009,0)-IFERROR(G1009/I1009,0)</x:f>
        <x:v>-0.011904761904761904</x:v>
      </x:c>
      <x:c r="AB1009" s="28" t="n">
        <x:f>J1009-K1009</x:f>
        <x:v>1</x:v>
      </x:c>
      <x:c r="AC1009" s="32" t="n">
        <x:f>F1009-G1009</x:f>
        <x:v>0</x:v>
      </x:c>
    </x:row>
    <x:row r="1010">
      <x:c r="A1010" s="4" t="str">
        <x:v>2022-23</x:v>
      </x:c>
      <x:c r="B1010" s="20" t="n">
        <x:v>44864</x:v>
      </x:c>
      <x:c r="C1010" s="4" t="str">
        <x:v>Arsenal</x:v>
      </x:c>
      <x:c r="D1010" s="4" t="str">
        <x:v>Nott'm Forest</x:v>
      </x:c>
      <x:c r="E1010" s="4" t="str">
        <x:v>Home</x:v>
      </x:c>
      <x:c r="F1010" s="28" t="n">
        <x:v>5</x:v>
      </x:c>
      <x:c r="G1010" s="28" t="n">
        <x:v>0</x:v>
      </x:c>
      <x:c r="H1010" s="28" t="n">
        <x:v>24</x:v>
      </x:c>
      <x:c r="I1010" s="28" t="n">
        <x:v>5</x:v>
      </x:c>
      <x:c r="J1010" s="28" t="n">
        <x:v>10</x:v>
      </x:c>
      <x:c r="K1010" s="28" t="n">
        <x:v>2</x:v>
      </x:c>
      <x:c r="L1010" s="28" t="n">
        <x:v>9</x:v>
      </x:c>
      <x:c r="M1010" s="28" t="n">
        <x:v>4</x:v>
      </x:c>
      <x:c r="N1010" s="28" t="n">
        <x:v>0</x:v>
      </x:c>
      <x:c r="O1010" s="28" t="n">
        <x:v>0</x:v>
      </x:c>
      <x:c r="P1010" s="28" t="n">
        <x:v>3</x:v>
      </x:c>
      <x:c r="Q1010" s="24" t="n">
        <x:f>IFERROR(J1010/H1010,0)</x:f>
        <x:v>0.4166666666666667</x:v>
      </x:c>
      <x:c r="R1010" s="24" t="n">
        <x:f>IFERROR(F1010/H1010,0)</x:f>
        <x:v>0.20833333333333334</x:v>
      </x:c>
      <x:c r="S1010" s="24" t="n">
        <x:f>IFERROR(F1010/J1010,0)</x:f>
        <x:v>0.5</x:v>
      </x:c>
      <x:c r="T1010" s="28" t="n">
        <x:f>H1010-I1010</x:f>
        <x:v>19</x:v>
      </x:c>
      <x:c r="U1010" s="24" t="n">
        <x:f>IFERROR(J1010/H1010,0)-IFERROR(K1010/I1010,0)</x:f>
        <x:v>0.016666666666666663</x:v>
      </x:c>
      <x:c r="V1010" s="24" t="n">
        <x:f>IFERROR(F1010/J1010,0)-IFERROR(G1010/K1010,0)</x:f>
        <x:v>0.5</x:v>
      </x:c>
      <x:c r="W1010" s="28" t="n">
        <x:f>L1010-M1010</x:f>
        <x:v>5</x:v>
      </x:c>
      <x:c r="X1010" s="24" t="n">
        <x:f>IFERROR(K1010/I1010,0)</x:f>
        <x:v>0.4</x:v>
      </x:c>
      <x:c r="Y1010" s="24" t="n">
        <x:f>IFERROR(G1010/I1010,0)</x:f>
        <x:v>0</x:v>
      </x:c>
      <x:c r="Z1010" s="24" t="n">
        <x:f>IFERROR(G1010/K1010,0)</x:f>
        <x:v>0</x:v>
      </x:c>
      <x:c r="AA1010" s="24" t="n">
        <x:f>IFERROR(F1010/H1010,0)-IFERROR(G1010/I1010,0)</x:f>
        <x:v>0.20833333333333334</x:v>
      </x:c>
      <x:c r="AB1010" s="28" t="n">
        <x:f>J1010-K1010</x:f>
        <x:v>8</x:v>
      </x:c>
      <x:c r="AC1010" s="32" t="n">
        <x:f>F1010-G1010</x:f>
        <x:v>5</x:v>
      </x:c>
    </x:row>
    <x:row r="1011">
      <x:c r="A1011" s="4" t="str">
        <x:v>2022-23</x:v>
      </x:c>
      <x:c r="B1011" s="20" t="n">
        <x:v>44864</x:v>
      </x:c>
      <x:c r="C1011" s="4" t="str">
        <x:v>Man United</x:v>
      </x:c>
      <x:c r="D1011" s="4" t="str">
        <x:v>West Ham</x:v>
      </x:c>
      <x:c r="E1011" s="4" t="str">
        <x:v>Home</x:v>
      </x:c>
      <x:c r="F1011" s="28" t="n">
        <x:v>1</x:v>
      </x:c>
      <x:c r="G1011" s="28" t="n">
        <x:v>0</x:v>
      </x:c>
      <x:c r="H1011" s="28" t="n">
        <x:v>16</x:v>
      </x:c>
      <x:c r="I1011" s="28" t="n">
        <x:v>13</x:v>
      </x:c>
      <x:c r="J1011" s="28" t="n">
        <x:v>3</x:v>
      </x:c>
      <x:c r="K1011" s="28" t="n">
        <x:v>5</x:v>
      </x:c>
      <x:c r="L1011" s="28" t="n">
        <x:v>5</x:v>
      </x:c>
      <x:c r="M1011" s="28" t="n">
        <x:v>10</x:v>
      </x:c>
      <x:c r="N1011" s="28" t="n">
        <x:v>1</x:v>
      </x:c>
      <x:c r="O1011" s="28" t="n">
        <x:v>0</x:v>
      </x:c>
      <x:c r="P1011" s="28" t="n">
        <x:v>3</x:v>
      </x:c>
      <x:c r="Q1011" s="24" t="n">
        <x:f>IFERROR(J1011/H1011,0)</x:f>
        <x:v>0.1875</x:v>
      </x:c>
      <x:c r="R1011" s="24" t="n">
        <x:f>IFERROR(F1011/H1011,0)</x:f>
        <x:v>0.0625</x:v>
      </x:c>
      <x:c r="S1011" s="24" t="n">
        <x:f>IFERROR(F1011/J1011,0)</x:f>
        <x:v>0.3333333333333333</x:v>
      </x:c>
      <x:c r="T1011" s="28" t="n">
        <x:f>H1011-I1011</x:f>
        <x:v>3</x:v>
      </x:c>
      <x:c r="U1011" s="24" t="n">
        <x:f>IFERROR(J1011/H1011,0)-IFERROR(K1011/I1011,0)</x:f>
        <x:v>-0.19711538461538464</x:v>
      </x:c>
      <x:c r="V1011" s="24" t="n">
        <x:f>IFERROR(F1011/J1011,0)-IFERROR(G1011/K1011,0)</x:f>
        <x:v>0.3333333333333333</x:v>
      </x:c>
      <x:c r="W1011" s="28" t="n">
        <x:f>L1011-M1011</x:f>
        <x:v>-5</x:v>
      </x:c>
      <x:c r="X1011" s="24" t="n">
        <x:f>IFERROR(K1011/I1011,0)</x:f>
        <x:v>0.38461538461538464</x:v>
      </x:c>
      <x:c r="Y1011" s="24" t="n">
        <x:f>IFERROR(G1011/I1011,0)</x:f>
        <x:v>0</x:v>
      </x:c>
      <x:c r="Z1011" s="24" t="n">
        <x:f>IFERROR(G1011/K1011,0)</x:f>
        <x:v>0</x:v>
      </x:c>
      <x:c r="AA1011" s="24" t="n">
        <x:f>IFERROR(F1011/H1011,0)-IFERROR(G1011/I1011,0)</x:f>
        <x:v>0.0625</x:v>
      </x:c>
      <x:c r="AB1011" s="28" t="n">
        <x:f>J1011-K1011</x:f>
        <x:v>-2</x:v>
      </x:c>
      <x:c r="AC1011" s="32" t="n">
        <x:f>F1011-G1011</x:f>
        <x:v>1</x:v>
      </x:c>
    </x:row>
    <x:row r="1012">
      <x:c r="A1012" s="4" t="str">
        <x:v>2022-23</x:v>
      </x:c>
      <x:c r="B1012" s="20" t="n">
        <x:v>44864</x:v>
      </x:c>
      <x:c r="C1012" s="4" t="str">
        <x:v>Nott'm Forest</x:v>
      </x:c>
      <x:c r="D1012" s="4" t="str">
        <x:v>Arsenal</x:v>
      </x:c>
      <x:c r="E1012" s="4" t="str">
        <x:v>Away</x:v>
      </x:c>
      <x:c r="F1012" s="28" t="n">
        <x:v>0</x:v>
      </x:c>
      <x:c r="G1012" s="28" t="n">
        <x:v>5</x:v>
      </x:c>
      <x:c r="H1012" s="28" t="n">
        <x:v>5</x:v>
      </x:c>
      <x:c r="I1012" s="28" t="n">
        <x:v>24</x:v>
      </x:c>
      <x:c r="J1012" s="28" t="n">
        <x:v>2</x:v>
      </x:c>
      <x:c r="K1012" s="28" t="n">
        <x:v>10</x:v>
      </x:c>
      <x:c r="L1012" s="28" t="n">
        <x:v>4</x:v>
      </x:c>
      <x:c r="M1012" s="28" t="n">
        <x:v>9</x:v>
      </x:c>
      <x:c r="N1012" s="28" t="n">
        <x:v>1</x:v>
      </x:c>
      <x:c r="O1012" s="28" t="n">
        <x:v>0</x:v>
      </x:c>
      <x:c r="P1012" s="28" t="n">
        <x:v>0</x:v>
      </x:c>
      <x:c r="Q1012" s="24" t="n">
        <x:f>IFERROR(J1012/H1012,0)</x:f>
        <x:v>0.4</x:v>
      </x:c>
      <x:c r="R1012" s="24" t="n">
        <x:f>IFERROR(F1012/H1012,0)</x:f>
        <x:v>0</x:v>
      </x:c>
      <x:c r="S1012" s="24" t="n">
        <x:f>IFERROR(F1012/J1012,0)</x:f>
        <x:v>0</x:v>
      </x:c>
      <x:c r="T1012" s="28" t="n">
        <x:f>H1012-I1012</x:f>
        <x:v>-19</x:v>
      </x:c>
      <x:c r="U1012" s="24" t="n">
        <x:f>IFERROR(J1012/H1012,0)-IFERROR(K1012/I1012,0)</x:f>
        <x:v>-0.016666666666666663</x:v>
      </x:c>
      <x:c r="V1012" s="24" t="n">
        <x:f>IFERROR(F1012/J1012,0)-IFERROR(G1012/K1012,0)</x:f>
        <x:v>-0.5</x:v>
      </x:c>
      <x:c r="W1012" s="28" t="n">
        <x:f>L1012-M1012</x:f>
        <x:v>-5</x:v>
      </x:c>
      <x:c r="X1012" s="24" t="n">
        <x:f>IFERROR(K1012/I1012,0)</x:f>
        <x:v>0.4166666666666667</x:v>
      </x:c>
      <x:c r="Y1012" s="24" t="n">
        <x:f>IFERROR(G1012/I1012,0)</x:f>
        <x:v>0.20833333333333334</x:v>
      </x:c>
      <x:c r="Z1012" s="24" t="n">
        <x:f>IFERROR(G1012/K1012,0)</x:f>
        <x:v>0.5</x:v>
      </x:c>
      <x:c r="AA1012" s="24" t="n">
        <x:f>IFERROR(F1012/H1012,0)-IFERROR(G1012/I1012,0)</x:f>
        <x:v>-0.20833333333333334</x:v>
      </x:c>
      <x:c r="AB1012" s="28" t="n">
        <x:f>J1012-K1012</x:f>
        <x:v>-8</x:v>
      </x:c>
      <x:c r="AC1012" s="32" t="n">
        <x:f>F1012-G1012</x:f>
        <x:v>-5</x:v>
      </x:c>
    </x:row>
    <x:row r="1013">
      <x:c r="A1013" s="4" t="str">
        <x:v>2022-23</x:v>
      </x:c>
      <x:c r="B1013" s="20" t="n">
        <x:v>44864</x:v>
      </x:c>
      <x:c r="C1013" s="4" t="str">
        <x:v>West Ham</x:v>
      </x:c>
      <x:c r="D1013" s="4" t="str">
        <x:v>Man United</x:v>
      </x:c>
      <x:c r="E1013" s="4" t="str">
        <x:v>Away</x:v>
      </x:c>
      <x:c r="F1013" s="28" t="n">
        <x:v>0</x:v>
      </x:c>
      <x:c r="G1013" s="28" t="n">
        <x:v>1</x:v>
      </x:c>
      <x:c r="H1013" s="28" t="n">
        <x:v>13</x:v>
      </x:c>
      <x:c r="I1013" s="28" t="n">
        <x:v>16</x:v>
      </x:c>
      <x:c r="J1013" s="28" t="n">
        <x:v>5</x:v>
      </x:c>
      <x:c r="K1013" s="28" t="n">
        <x:v>3</x:v>
      </x:c>
      <x:c r="L1013" s="28" t="n">
        <x:v>10</x:v>
      </x:c>
      <x:c r="M1013" s="28" t="n">
        <x:v>5</x:v>
      </x:c>
      <x:c r="N1013" s="28" t="n">
        <x:v>3</x:v>
      </x:c>
      <x:c r="O1013" s="28" t="n">
        <x:v>0</x:v>
      </x:c>
      <x:c r="P1013" s="28" t="n">
        <x:v>0</x:v>
      </x:c>
      <x:c r="Q1013" s="24" t="n">
        <x:f>IFERROR(J1013/H1013,0)</x:f>
        <x:v>0.38461538461538464</x:v>
      </x:c>
      <x:c r="R1013" s="24" t="n">
        <x:f>IFERROR(F1013/H1013,0)</x:f>
        <x:v>0</x:v>
      </x:c>
      <x:c r="S1013" s="24" t="n">
        <x:f>IFERROR(F1013/J1013,0)</x:f>
        <x:v>0</x:v>
      </x:c>
      <x:c r="T1013" s="28" t="n">
        <x:f>H1013-I1013</x:f>
        <x:v>-3</x:v>
      </x:c>
      <x:c r="U1013" s="24" t="n">
        <x:f>IFERROR(J1013/H1013,0)-IFERROR(K1013/I1013,0)</x:f>
        <x:v>0.19711538461538464</x:v>
      </x:c>
      <x:c r="V1013" s="24" t="n">
        <x:f>IFERROR(F1013/J1013,0)-IFERROR(G1013/K1013,0)</x:f>
        <x:v>-0.3333333333333333</x:v>
      </x:c>
      <x:c r="W1013" s="28" t="n">
        <x:f>L1013-M1013</x:f>
        <x:v>5</x:v>
      </x:c>
      <x:c r="X1013" s="24" t="n">
        <x:f>IFERROR(K1013/I1013,0)</x:f>
        <x:v>0.1875</x:v>
      </x:c>
      <x:c r="Y1013" s="24" t="n">
        <x:f>IFERROR(G1013/I1013,0)</x:f>
        <x:v>0.0625</x:v>
      </x:c>
      <x:c r="Z1013" s="24" t="n">
        <x:f>IFERROR(G1013/K1013,0)</x:f>
        <x:v>0.3333333333333333</x:v>
      </x:c>
      <x:c r="AA1013" s="24" t="n">
        <x:f>IFERROR(F1013/H1013,0)-IFERROR(G1013/I1013,0)</x:f>
        <x:v>-0.0625</x:v>
      </x:c>
      <x:c r="AB1013" s="28" t="n">
        <x:f>J1013-K1013</x:f>
        <x:v>2</x:v>
      </x:c>
      <x:c r="AC1013" s="32" t="n">
        <x:f>F1013-G1013</x:f>
        <x:v>-1</x:v>
      </x:c>
    </x:row>
    <x:row r="1014">
      <x:c r="A1014" s="4" t="str">
        <x:v>2022-23</x:v>
      </x:c>
      <x:c r="B1014" s="20" t="n">
        <x:v>44870</x:v>
      </x:c>
      <x:c r="C1014" s="4" t="str">
        <x:v>Bournemouth</x:v>
      </x:c>
      <x:c r="D1014" s="4" t="str">
        <x:v>Leeds</x:v>
      </x:c>
      <x:c r="E1014" s="4" t="str">
        <x:v>Away</x:v>
      </x:c>
      <x:c r="F1014" s="28" t="n">
        <x:v>3</x:v>
      </x:c>
      <x:c r="G1014" s="28" t="n">
        <x:v>4</x:v>
      </x:c>
      <x:c r="H1014" s="28" t="n">
        <x:v>9</x:v>
      </x:c>
      <x:c r="I1014" s="28" t="n">
        <x:v>18</x:v>
      </x:c>
      <x:c r="J1014" s="28" t="n">
        <x:v>6</x:v>
      </x:c>
      <x:c r="K1014" s="28" t="n">
        <x:v>4</x:v>
      </x:c>
      <x:c r="L1014" s="28" t="n">
        <x:v>3</x:v>
      </x:c>
      <x:c r="M1014" s="28" t="n">
        <x:v>13</x:v>
      </x:c>
      <x:c r="N1014" s="28" t="n">
        <x:v>2</x:v>
      </x:c>
      <x:c r="O1014" s="28" t="n">
        <x:v>0</x:v>
      </x:c>
      <x:c r="P1014" s="28" t="n">
        <x:v>0</x:v>
      </x:c>
      <x:c r="Q1014" s="24" t="n">
        <x:f>IFERROR(J1014/H1014,0)</x:f>
        <x:v>0.6666666666666666</x:v>
      </x:c>
      <x:c r="R1014" s="24" t="n">
        <x:f>IFERROR(F1014/H1014,0)</x:f>
        <x:v>0.3333333333333333</x:v>
      </x:c>
      <x:c r="S1014" s="24" t="n">
        <x:f>IFERROR(F1014/J1014,0)</x:f>
        <x:v>0.5</x:v>
      </x:c>
      <x:c r="T1014" s="28" t="n">
        <x:f>H1014-I1014</x:f>
        <x:v>-9</x:v>
      </x:c>
      <x:c r="U1014" s="24" t="n">
        <x:f>IFERROR(J1014/H1014,0)-IFERROR(K1014/I1014,0)</x:f>
        <x:v>0.4444444444444444</x:v>
      </x:c>
      <x:c r="V1014" s="24" t="n">
        <x:f>IFERROR(F1014/J1014,0)-IFERROR(G1014/K1014,0)</x:f>
        <x:v>-0.5</x:v>
      </x:c>
      <x:c r="W1014" s="28" t="n">
        <x:f>L1014-M1014</x:f>
        <x:v>-10</x:v>
      </x:c>
      <x:c r="X1014" s="24" t="n">
        <x:f>IFERROR(K1014/I1014,0)</x:f>
        <x:v>0.2222222222222222</x:v>
      </x:c>
      <x:c r="Y1014" s="24" t="n">
        <x:f>IFERROR(G1014/I1014,0)</x:f>
        <x:v>0.2222222222222222</x:v>
      </x:c>
      <x:c r="Z1014" s="24" t="n">
        <x:f>IFERROR(G1014/K1014,0)</x:f>
        <x:v>1</x:v>
      </x:c>
      <x:c r="AA1014" s="24" t="n">
        <x:f>IFERROR(F1014/H1014,0)-IFERROR(G1014/I1014,0)</x:f>
        <x:v>0.1111111111111111</x:v>
      </x:c>
      <x:c r="AB1014" s="28" t="n">
        <x:f>J1014-K1014</x:f>
        <x:v>2</x:v>
      </x:c>
      <x:c r="AC1014" s="32" t="n">
        <x:f>F1014-G1014</x:f>
        <x:v>-1</x:v>
      </x:c>
    </x:row>
    <x:row r="1015">
      <x:c r="A1015" s="4" t="str">
        <x:v>2022-23</x:v>
      </x:c>
      <x:c r="B1015" s="20" t="n">
        <x:v>44870</x:v>
      </x:c>
      <x:c r="C1015" s="4" t="str">
        <x:v>Brentford</x:v>
      </x:c>
      <x:c r="D1015" s="4" t="str">
        <x:v>Nott'm Forest</x:v>
      </x:c>
      <x:c r="E1015" s="4" t="str">
        <x:v>Away</x:v>
      </x:c>
      <x:c r="F1015" s="28" t="n">
        <x:v>2</x:v>
      </x:c>
      <x:c r="G1015" s="28" t="n">
        <x:v>2</x:v>
      </x:c>
      <x:c r="H1015" s="28" t="n">
        <x:v>6</x:v>
      </x:c>
      <x:c r="I1015" s="28" t="n">
        <x:v>15</x:v>
      </x:c>
      <x:c r="J1015" s="28" t="n">
        <x:v>2</x:v>
      </x:c>
      <x:c r="K1015" s="28" t="n">
        <x:v>7</x:v>
      </x:c>
      <x:c r="L1015" s="28" t="n">
        <x:v>3</x:v>
      </x:c>
      <x:c r="M1015" s="28" t="n">
        <x:v>3</x:v>
      </x:c>
      <x:c r="N1015" s="28" t="n">
        <x:v>2</x:v>
      </x:c>
      <x:c r="O1015" s="28" t="n">
        <x:v>0</x:v>
      </x:c>
      <x:c r="P1015" s="28" t="n">
        <x:v>1</x:v>
      </x:c>
      <x:c r="Q1015" s="24" t="n">
        <x:f>IFERROR(J1015/H1015,0)</x:f>
        <x:v>0.3333333333333333</x:v>
      </x:c>
      <x:c r="R1015" s="24" t="n">
        <x:f>IFERROR(F1015/H1015,0)</x:f>
        <x:v>0.3333333333333333</x:v>
      </x:c>
      <x:c r="S1015" s="24" t="n">
        <x:f>IFERROR(F1015/J1015,0)</x:f>
        <x:v>1</x:v>
      </x:c>
      <x:c r="T1015" s="28" t="n">
        <x:f>H1015-I1015</x:f>
        <x:v>-9</x:v>
      </x:c>
      <x:c r="U1015" s="24" t="n">
        <x:f>IFERROR(J1015/H1015,0)-IFERROR(K1015/I1015,0)</x:f>
        <x:v>-0.13333333333333336</x:v>
      </x:c>
      <x:c r="V1015" s="24" t="n">
        <x:f>IFERROR(F1015/J1015,0)-IFERROR(G1015/K1015,0)</x:f>
        <x:v>0.7142857142857143</x:v>
      </x:c>
      <x:c r="W1015" s="28" t="n">
        <x:f>L1015-M1015</x:f>
        <x:v>0</x:v>
      </x:c>
      <x:c r="X1015" s="24" t="n">
        <x:f>IFERROR(K1015/I1015,0)</x:f>
        <x:v>0.4666666666666667</x:v>
      </x:c>
      <x:c r="Y1015" s="24" t="n">
        <x:f>IFERROR(G1015/I1015,0)</x:f>
        <x:v>0.13333333333333333</x:v>
      </x:c>
      <x:c r="Z1015" s="24" t="n">
        <x:f>IFERROR(G1015/K1015,0)</x:f>
        <x:v>0.2857142857142857</x:v>
      </x:c>
      <x:c r="AA1015" s="24" t="n">
        <x:f>IFERROR(F1015/H1015,0)-IFERROR(G1015/I1015,0)</x:f>
        <x:v>0.19999999999999998</x:v>
      </x:c>
      <x:c r="AB1015" s="28" t="n">
        <x:f>J1015-K1015</x:f>
        <x:v>-5</x:v>
      </x:c>
      <x:c r="AC1015" s="32" t="n">
        <x:f>F1015-G1015</x:f>
        <x:v>0</x:v>
      </x:c>
    </x:row>
    <x:row r="1016">
      <x:c r="A1016" s="4" t="str">
        <x:v>2022-23</x:v>
      </x:c>
      <x:c r="B1016" s="20" t="n">
        <x:v>44870</x:v>
      </x:c>
      <x:c r="C1016" s="4" t="str">
        <x:v>Brighton</x:v>
      </x:c>
      <x:c r="D1016" s="4" t="str">
        <x:v>Wolves</x:v>
      </x:c>
      <x:c r="E1016" s="4" t="str">
        <x:v>Away</x:v>
      </x:c>
      <x:c r="F1016" s="28" t="n">
        <x:v>3</x:v>
      </x:c>
      <x:c r="G1016" s="28" t="n">
        <x:v>2</x:v>
      </x:c>
      <x:c r="H1016" s="28" t="n">
        <x:v>19</x:v>
      </x:c>
      <x:c r="I1016" s="28" t="n">
        <x:v>8</x:v>
      </x:c>
      <x:c r="J1016" s="28" t="n">
        <x:v>8</x:v>
      </x:c>
      <x:c r="K1016" s="28" t="n">
        <x:v>5</x:v>
      </x:c>
      <x:c r="L1016" s="28" t="n">
        <x:v>9</x:v>
      </x:c>
      <x:c r="M1016" s="28" t="n">
        <x:v>4</x:v>
      </x:c>
      <x:c r="N1016" s="28" t="n">
        <x:v>0</x:v>
      </x:c>
      <x:c r="O1016" s="28" t="n">
        <x:v>0</x:v>
      </x:c>
      <x:c r="P1016" s="28" t="n">
        <x:v>3</x:v>
      </x:c>
      <x:c r="Q1016" s="24" t="n">
        <x:f>IFERROR(J1016/H1016,0)</x:f>
        <x:v>0.42105263157894735</x:v>
      </x:c>
      <x:c r="R1016" s="24" t="n">
        <x:f>IFERROR(F1016/H1016,0)</x:f>
        <x:v>0.15789473684210525</x:v>
      </x:c>
      <x:c r="S1016" s="24" t="n">
        <x:f>IFERROR(F1016/J1016,0)</x:f>
        <x:v>0.375</x:v>
      </x:c>
      <x:c r="T1016" s="28" t="n">
        <x:f>H1016-I1016</x:f>
        <x:v>11</x:v>
      </x:c>
      <x:c r="U1016" s="24" t="n">
        <x:f>IFERROR(J1016/H1016,0)-IFERROR(K1016/I1016,0)</x:f>
        <x:v>-0.20394736842105265</x:v>
      </x:c>
      <x:c r="V1016" s="24" t="n">
        <x:f>IFERROR(F1016/J1016,0)-IFERROR(G1016/K1016,0)</x:f>
        <x:v>-0.025000000000000022</x:v>
      </x:c>
      <x:c r="W1016" s="28" t="n">
        <x:f>L1016-M1016</x:f>
        <x:v>5</x:v>
      </x:c>
      <x:c r="X1016" s="24" t="n">
        <x:f>IFERROR(K1016/I1016,0)</x:f>
        <x:v>0.625</x:v>
      </x:c>
      <x:c r="Y1016" s="24" t="n">
        <x:f>IFERROR(G1016/I1016,0)</x:f>
        <x:v>0.25</x:v>
      </x:c>
      <x:c r="Z1016" s="24" t="n">
        <x:f>IFERROR(G1016/K1016,0)</x:f>
        <x:v>0.4</x:v>
      </x:c>
      <x:c r="AA1016" s="24" t="n">
        <x:f>IFERROR(F1016/H1016,0)-IFERROR(G1016/I1016,0)</x:f>
        <x:v>-0.09210526315789475</x:v>
      </x:c>
      <x:c r="AB1016" s="28" t="n">
        <x:f>J1016-K1016</x:f>
        <x:v>3</x:v>
      </x:c>
      <x:c r="AC1016" s="32" t="n">
        <x:f>F1016-G1016</x:f>
        <x:v>1</x:v>
      </x:c>
    </x:row>
    <x:row r="1017">
      <x:c r="A1017" s="4" t="str">
        <x:v>2022-23</x:v>
      </x:c>
      <x:c r="B1017" s="20" t="n">
        <x:v>44870</x:v>
      </x:c>
      <x:c r="C1017" s="4" t="str">
        <x:v>Everton</x:v>
      </x:c>
      <x:c r="D1017" s="4" t="str">
        <x:v>Leicester</x:v>
      </x:c>
      <x:c r="E1017" s="4" t="str">
        <x:v>Home</x:v>
      </x:c>
      <x:c r="F1017" s="28" t="n">
        <x:v>0</x:v>
      </x:c>
      <x:c r="G1017" s="28" t="n">
        <x:v>2</x:v>
      </x:c>
      <x:c r="H1017" s="28" t="n">
        <x:v>12</x:v>
      </x:c>
      <x:c r="I1017" s="28" t="n">
        <x:v>22</x:v>
      </x:c>
      <x:c r="J1017" s="28" t="n">
        <x:v>2</x:v>
      </x:c>
      <x:c r="K1017" s="28" t="n">
        <x:v>8</x:v>
      </x:c>
      <x:c r="L1017" s="28" t="n">
        <x:v>8</x:v>
      </x:c>
      <x:c r="M1017" s="28" t="n">
        <x:v>3</x:v>
      </x:c>
      <x:c r="N1017" s="28" t="n">
        <x:v>0</x:v>
      </x:c>
      <x:c r="O1017" s="28" t="n">
        <x:v>0</x:v>
      </x:c>
      <x:c r="P1017" s="28" t="n">
        <x:v>0</x:v>
      </x:c>
      <x:c r="Q1017" s="24" t="n">
        <x:f>IFERROR(J1017/H1017,0)</x:f>
        <x:v>0.16666666666666666</x:v>
      </x:c>
      <x:c r="R1017" s="24" t="n">
        <x:f>IFERROR(F1017/H1017,0)</x:f>
        <x:v>0</x:v>
      </x:c>
      <x:c r="S1017" s="24" t="n">
        <x:f>IFERROR(F1017/J1017,0)</x:f>
        <x:v>0</x:v>
      </x:c>
      <x:c r="T1017" s="28" t="n">
        <x:f>H1017-I1017</x:f>
        <x:v>-10</x:v>
      </x:c>
      <x:c r="U1017" s="24" t="n">
        <x:f>IFERROR(J1017/H1017,0)-IFERROR(K1017/I1017,0)</x:f>
        <x:v>-0.196969696969697</x:v>
      </x:c>
      <x:c r="V1017" s="24" t="n">
        <x:f>IFERROR(F1017/J1017,0)-IFERROR(G1017/K1017,0)</x:f>
        <x:v>-0.25</x:v>
      </x:c>
      <x:c r="W1017" s="28" t="n">
        <x:f>L1017-M1017</x:f>
        <x:v>5</x:v>
      </x:c>
      <x:c r="X1017" s="24" t="n">
        <x:f>IFERROR(K1017/I1017,0)</x:f>
        <x:v>0.36363636363636365</x:v>
      </x:c>
      <x:c r="Y1017" s="24" t="n">
        <x:f>IFERROR(G1017/I1017,0)</x:f>
        <x:v>0.09090909090909091</x:v>
      </x:c>
      <x:c r="Z1017" s="24" t="n">
        <x:f>IFERROR(G1017/K1017,0)</x:f>
        <x:v>0.25</x:v>
      </x:c>
      <x:c r="AA1017" s="24" t="n">
        <x:f>IFERROR(F1017/H1017,0)-IFERROR(G1017/I1017,0)</x:f>
        <x:v>-0.09090909090909091</x:v>
      </x:c>
      <x:c r="AB1017" s="28" t="n">
        <x:f>J1017-K1017</x:f>
        <x:v>-6</x:v>
      </x:c>
      <x:c r="AC1017" s="32" t="n">
        <x:f>F1017-G1017</x:f>
        <x:v>-2</x:v>
      </x:c>
    </x:row>
    <x:row r="1018">
      <x:c r="A1018" s="4" t="str">
        <x:v>2022-23</x:v>
      </x:c>
      <x:c r="B1018" s="20" t="n">
        <x:v>44870</x:v>
      </x:c>
      <x:c r="C1018" s="4" t="str">
        <x:v>Fulham</x:v>
      </x:c>
      <x:c r="D1018" s="4" t="str">
        <x:v>Man City</x:v>
      </x:c>
      <x:c r="E1018" s="4" t="str">
        <x:v>Away</x:v>
      </x:c>
      <x:c r="F1018" s="28" t="n">
        <x:v>1</x:v>
      </x:c>
      <x:c r="G1018" s="28" t="n">
        <x:v>2</x:v>
      </x:c>
      <x:c r="H1018" s="28" t="n">
        <x:v>4</x:v>
      </x:c>
      <x:c r="I1018" s="28" t="n">
        <x:v>16</x:v>
      </x:c>
      <x:c r="J1018" s="28" t="n">
        <x:v>2</x:v>
      </x:c>
      <x:c r="K1018" s="28" t="n">
        <x:v>5</x:v>
      </x:c>
      <x:c r="L1018" s="28" t="n">
        <x:v>0</x:v>
      </x:c>
      <x:c r="M1018" s="28" t="n">
        <x:v>9</x:v>
      </x:c>
      <x:c r="N1018" s="28" t="n">
        <x:v>4</x:v>
      </x:c>
      <x:c r="O1018" s="28" t="n">
        <x:v>0</x:v>
      </x:c>
      <x:c r="P1018" s="28" t="n">
        <x:v>0</x:v>
      </x:c>
      <x:c r="Q1018" s="24" t="n">
        <x:f>IFERROR(J1018/H1018,0)</x:f>
        <x:v>0.5</x:v>
      </x:c>
      <x:c r="R1018" s="24" t="n">
        <x:f>IFERROR(F1018/H1018,0)</x:f>
        <x:v>0.25</x:v>
      </x:c>
      <x:c r="S1018" s="24" t="n">
        <x:f>IFERROR(F1018/J1018,0)</x:f>
        <x:v>0.5</x:v>
      </x:c>
      <x:c r="T1018" s="28" t="n">
        <x:f>H1018-I1018</x:f>
        <x:v>-12</x:v>
      </x:c>
      <x:c r="U1018" s="24" t="n">
        <x:f>IFERROR(J1018/H1018,0)-IFERROR(K1018/I1018,0)</x:f>
        <x:v>0.1875</x:v>
      </x:c>
      <x:c r="V1018" s="24" t="n">
        <x:f>IFERROR(F1018/J1018,0)-IFERROR(G1018/K1018,0)</x:f>
        <x:v>0.09999999999999998</x:v>
      </x:c>
      <x:c r="W1018" s="28" t="n">
        <x:f>L1018-M1018</x:f>
        <x:v>-9</x:v>
      </x:c>
      <x:c r="X1018" s="24" t="n">
        <x:f>IFERROR(K1018/I1018,0)</x:f>
        <x:v>0.3125</x:v>
      </x:c>
      <x:c r="Y1018" s="24" t="n">
        <x:f>IFERROR(G1018/I1018,0)</x:f>
        <x:v>0.125</x:v>
      </x:c>
      <x:c r="Z1018" s="24" t="n">
        <x:f>IFERROR(G1018/K1018,0)</x:f>
        <x:v>0.4</x:v>
      </x:c>
      <x:c r="AA1018" s="24" t="n">
        <x:f>IFERROR(F1018/H1018,0)-IFERROR(G1018/I1018,0)</x:f>
        <x:v>0.125</x:v>
      </x:c>
      <x:c r="AB1018" s="28" t="n">
        <x:f>J1018-K1018</x:f>
        <x:v>-3</x:v>
      </x:c>
      <x:c r="AC1018" s="32" t="n">
        <x:f>F1018-G1018</x:f>
        <x:v>-1</x:v>
      </x:c>
    </x:row>
    <x:row r="1019">
      <x:c r="A1019" s="4" t="str">
        <x:v>2022-23</x:v>
      </x:c>
      <x:c r="B1019" s="20" t="n">
        <x:v>44870</x:v>
      </x:c>
      <x:c r="C1019" s="4" t="str">
        <x:v>Leeds</x:v>
      </x:c>
      <x:c r="D1019" s="4" t="str">
        <x:v>Bournemouth</x:v>
      </x:c>
      <x:c r="E1019" s="4" t="str">
        <x:v>Home</x:v>
      </x:c>
      <x:c r="F1019" s="28" t="n">
        <x:v>4</x:v>
      </x:c>
      <x:c r="G1019" s="28" t="n">
        <x:v>3</x:v>
      </x:c>
      <x:c r="H1019" s="28" t="n">
        <x:v>18</x:v>
      </x:c>
      <x:c r="I1019" s="28" t="n">
        <x:v>9</x:v>
      </x:c>
      <x:c r="J1019" s="28" t="n">
        <x:v>4</x:v>
      </x:c>
      <x:c r="K1019" s="28" t="n">
        <x:v>6</x:v>
      </x:c>
      <x:c r="L1019" s="28" t="n">
        <x:v>13</x:v>
      </x:c>
      <x:c r="M1019" s="28" t="n">
        <x:v>3</x:v>
      </x:c>
      <x:c r="N1019" s="28" t="n">
        <x:v>2</x:v>
      </x:c>
      <x:c r="O1019" s="28" t="n">
        <x:v>0</x:v>
      </x:c>
      <x:c r="P1019" s="28" t="n">
        <x:v>3</x:v>
      </x:c>
      <x:c r="Q1019" s="24" t="n">
        <x:f>IFERROR(J1019/H1019,0)</x:f>
        <x:v>0.2222222222222222</x:v>
      </x:c>
      <x:c r="R1019" s="24" t="n">
        <x:f>IFERROR(F1019/H1019,0)</x:f>
        <x:v>0.2222222222222222</x:v>
      </x:c>
      <x:c r="S1019" s="24" t="n">
        <x:f>IFERROR(F1019/J1019,0)</x:f>
        <x:v>1</x:v>
      </x:c>
      <x:c r="T1019" s="28" t="n">
        <x:f>H1019-I1019</x:f>
        <x:v>9</x:v>
      </x:c>
      <x:c r="U1019" s="24" t="n">
        <x:f>IFERROR(J1019/H1019,0)-IFERROR(K1019/I1019,0)</x:f>
        <x:v>-0.4444444444444444</x:v>
      </x:c>
      <x:c r="V1019" s="24" t="n">
        <x:f>IFERROR(F1019/J1019,0)-IFERROR(G1019/K1019,0)</x:f>
        <x:v>0.5</x:v>
      </x:c>
      <x:c r="W1019" s="28" t="n">
        <x:f>L1019-M1019</x:f>
        <x:v>10</x:v>
      </x:c>
      <x:c r="X1019" s="24" t="n">
        <x:f>IFERROR(K1019/I1019,0)</x:f>
        <x:v>0.6666666666666666</x:v>
      </x:c>
      <x:c r="Y1019" s="24" t="n">
        <x:f>IFERROR(G1019/I1019,0)</x:f>
        <x:v>0.3333333333333333</x:v>
      </x:c>
      <x:c r="Z1019" s="24" t="n">
        <x:f>IFERROR(G1019/K1019,0)</x:f>
        <x:v>0.5</x:v>
      </x:c>
      <x:c r="AA1019" s="24" t="n">
        <x:f>IFERROR(F1019/H1019,0)-IFERROR(G1019/I1019,0)</x:f>
        <x:v>-0.1111111111111111</x:v>
      </x:c>
      <x:c r="AB1019" s="28" t="n">
        <x:f>J1019-K1019</x:f>
        <x:v>-2</x:v>
      </x:c>
      <x:c r="AC1019" s="32" t="n">
        <x:f>F1019-G1019</x:f>
        <x:v>1</x:v>
      </x:c>
    </x:row>
    <x:row r="1020">
      <x:c r="A1020" s="4" t="str">
        <x:v>2022-23</x:v>
      </x:c>
      <x:c r="B1020" s="20" t="n">
        <x:v>44870</x:v>
      </x:c>
      <x:c r="C1020" s="4" t="str">
        <x:v>Leicester</x:v>
      </x:c>
      <x:c r="D1020" s="4" t="str">
        <x:v>Everton</x:v>
      </x:c>
      <x:c r="E1020" s="4" t="str">
        <x:v>Away</x:v>
      </x:c>
      <x:c r="F1020" s="28" t="n">
        <x:v>2</x:v>
      </x:c>
      <x:c r="G1020" s="28" t="n">
        <x:v>0</x:v>
      </x:c>
      <x:c r="H1020" s="28" t="n">
        <x:v>22</x:v>
      </x:c>
      <x:c r="I1020" s="28" t="n">
        <x:v>12</x:v>
      </x:c>
      <x:c r="J1020" s="28" t="n">
        <x:v>8</x:v>
      </x:c>
      <x:c r="K1020" s="28" t="n">
        <x:v>2</x:v>
      </x:c>
      <x:c r="L1020" s="28" t="n">
        <x:v>3</x:v>
      </x:c>
      <x:c r="M1020" s="28" t="n">
        <x:v>8</x:v>
      </x:c>
      <x:c r="N1020" s="28" t="n">
        <x:v>0</x:v>
      </x:c>
      <x:c r="O1020" s="28" t="n">
        <x:v>0</x:v>
      </x:c>
      <x:c r="P1020" s="28" t="n">
        <x:v>3</x:v>
      </x:c>
      <x:c r="Q1020" s="24" t="n">
        <x:f>IFERROR(J1020/H1020,0)</x:f>
        <x:v>0.36363636363636365</x:v>
      </x:c>
      <x:c r="R1020" s="24" t="n">
        <x:f>IFERROR(F1020/H1020,0)</x:f>
        <x:v>0.09090909090909091</x:v>
      </x:c>
      <x:c r="S1020" s="24" t="n">
        <x:f>IFERROR(F1020/J1020,0)</x:f>
        <x:v>0.25</x:v>
      </x:c>
      <x:c r="T1020" s="28" t="n">
        <x:f>H1020-I1020</x:f>
        <x:v>10</x:v>
      </x:c>
      <x:c r="U1020" s="24" t="n">
        <x:f>IFERROR(J1020/H1020,0)-IFERROR(K1020/I1020,0)</x:f>
        <x:v>0.196969696969697</x:v>
      </x:c>
      <x:c r="V1020" s="24" t="n">
        <x:f>IFERROR(F1020/J1020,0)-IFERROR(G1020/K1020,0)</x:f>
        <x:v>0.25</x:v>
      </x:c>
      <x:c r="W1020" s="28" t="n">
        <x:f>L1020-M1020</x:f>
        <x:v>-5</x:v>
      </x:c>
      <x:c r="X1020" s="24" t="n">
        <x:f>IFERROR(K1020/I1020,0)</x:f>
        <x:v>0.16666666666666666</x:v>
      </x:c>
      <x:c r="Y1020" s="24" t="n">
        <x:f>IFERROR(G1020/I1020,0)</x:f>
        <x:v>0</x:v>
      </x:c>
      <x:c r="Z1020" s="24" t="n">
        <x:f>IFERROR(G1020/K1020,0)</x:f>
        <x:v>0</x:v>
      </x:c>
      <x:c r="AA1020" s="24" t="n">
        <x:f>IFERROR(F1020/H1020,0)-IFERROR(G1020/I1020,0)</x:f>
        <x:v>0.09090909090909091</x:v>
      </x:c>
      <x:c r="AB1020" s="28" t="n">
        <x:f>J1020-K1020</x:f>
        <x:v>6</x:v>
      </x:c>
      <x:c r="AC1020" s="32" t="n">
        <x:f>F1020-G1020</x:f>
        <x:v>2</x:v>
      </x:c>
    </x:row>
    <x:row r="1021">
      <x:c r="A1021" s="4" t="str">
        <x:v>2022-23</x:v>
      </x:c>
      <x:c r="B1021" s="20" t="n">
        <x:v>44870</x:v>
      </x:c>
      <x:c r="C1021" s="4" t="str">
        <x:v>Man City</x:v>
      </x:c>
      <x:c r="D1021" s="4" t="str">
        <x:v>Fulham</x:v>
      </x:c>
      <x:c r="E1021" s="4" t="str">
        <x:v>Home</x:v>
      </x:c>
      <x:c r="F1021" s="28" t="n">
        <x:v>2</x:v>
      </x:c>
      <x:c r="G1021" s="28" t="n">
        <x:v>1</x:v>
      </x:c>
      <x:c r="H1021" s="28" t="n">
        <x:v>16</x:v>
      </x:c>
      <x:c r="I1021" s="28" t="n">
        <x:v>4</x:v>
      </x:c>
      <x:c r="J1021" s="28" t="n">
        <x:v>5</x:v>
      </x:c>
      <x:c r="K1021" s="28" t="n">
        <x:v>2</x:v>
      </x:c>
      <x:c r="L1021" s="28" t="n">
        <x:v>9</x:v>
      </x:c>
      <x:c r="M1021" s="28" t="n">
        <x:v>0</x:v>
      </x:c>
      <x:c r="N1021" s="28" t="n">
        <x:v>2</x:v>
      </x:c>
      <x:c r="O1021" s="28" t="n">
        <x:v>1</x:v>
      </x:c>
      <x:c r="P1021" s="28" t="n">
        <x:v>3</x:v>
      </x:c>
      <x:c r="Q1021" s="24" t="n">
        <x:f>IFERROR(J1021/H1021,0)</x:f>
        <x:v>0.3125</x:v>
      </x:c>
      <x:c r="R1021" s="24" t="n">
        <x:f>IFERROR(F1021/H1021,0)</x:f>
        <x:v>0.125</x:v>
      </x:c>
      <x:c r="S1021" s="24" t="n">
        <x:f>IFERROR(F1021/J1021,0)</x:f>
        <x:v>0.4</x:v>
      </x:c>
      <x:c r="T1021" s="28" t="n">
        <x:f>H1021-I1021</x:f>
        <x:v>12</x:v>
      </x:c>
      <x:c r="U1021" s="24" t="n">
        <x:f>IFERROR(J1021/H1021,0)-IFERROR(K1021/I1021,0)</x:f>
        <x:v>-0.1875</x:v>
      </x:c>
      <x:c r="V1021" s="24" t="n">
        <x:f>IFERROR(F1021/J1021,0)-IFERROR(G1021/K1021,0)</x:f>
        <x:v>-0.09999999999999998</x:v>
      </x:c>
      <x:c r="W1021" s="28" t="n">
        <x:f>L1021-M1021</x:f>
        <x:v>9</x:v>
      </x:c>
      <x:c r="X1021" s="24" t="n">
        <x:f>IFERROR(K1021/I1021,0)</x:f>
        <x:v>0.5</x:v>
      </x:c>
      <x:c r="Y1021" s="24" t="n">
        <x:f>IFERROR(G1021/I1021,0)</x:f>
        <x:v>0.25</x:v>
      </x:c>
      <x:c r="Z1021" s="24" t="n">
        <x:f>IFERROR(G1021/K1021,0)</x:f>
        <x:v>0.5</x:v>
      </x:c>
      <x:c r="AA1021" s="24" t="n">
        <x:f>IFERROR(F1021/H1021,0)-IFERROR(G1021/I1021,0)</x:f>
        <x:v>-0.125</x:v>
      </x:c>
      <x:c r="AB1021" s="28" t="n">
        <x:f>J1021-K1021</x:f>
        <x:v>3</x:v>
      </x:c>
      <x:c r="AC1021" s="32" t="n">
        <x:f>F1021-G1021</x:f>
        <x:v>1</x:v>
      </x:c>
    </x:row>
    <x:row r="1022">
      <x:c r="A1022" s="4" t="str">
        <x:v>2022-23</x:v>
      </x:c>
      <x:c r="B1022" s="20" t="n">
        <x:v>44870</x:v>
      </x:c>
      <x:c r="C1022" s="4" t="str">
        <x:v>Nott'm Forest</x:v>
      </x:c>
      <x:c r="D1022" s="4" t="str">
        <x:v>Brentford</x:v>
      </x:c>
      <x:c r="E1022" s="4" t="str">
        <x:v>Home</x:v>
      </x:c>
      <x:c r="F1022" s="28" t="n">
        <x:v>2</x:v>
      </x:c>
      <x:c r="G1022" s="28" t="n">
        <x:v>2</x:v>
      </x:c>
      <x:c r="H1022" s="28" t="n">
        <x:v>15</x:v>
      </x:c>
      <x:c r="I1022" s="28" t="n">
        <x:v>6</x:v>
      </x:c>
      <x:c r="J1022" s="28" t="n">
        <x:v>7</x:v>
      </x:c>
      <x:c r="K1022" s="28" t="n">
        <x:v>2</x:v>
      </x:c>
      <x:c r="L1022" s="28" t="n">
        <x:v>3</x:v>
      </x:c>
      <x:c r="M1022" s="28" t="n">
        <x:v>3</x:v>
      </x:c>
      <x:c r="N1022" s="28" t="n">
        <x:v>2</x:v>
      </x:c>
      <x:c r="O1022" s="28" t="n">
        <x:v>0</x:v>
      </x:c>
      <x:c r="P1022" s="28" t="n">
        <x:v>1</x:v>
      </x:c>
      <x:c r="Q1022" s="24" t="n">
        <x:f>IFERROR(J1022/H1022,0)</x:f>
        <x:v>0.4666666666666667</x:v>
      </x:c>
      <x:c r="R1022" s="24" t="n">
        <x:f>IFERROR(F1022/H1022,0)</x:f>
        <x:v>0.13333333333333333</x:v>
      </x:c>
      <x:c r="S1022" s="24" t="n">
        <x:f>IFERROR(F1022/J1022,0)</x:f>
        <x:v>0.2857142857142857</x:v>
      </x:c>
      <x:c r="T1022" s="28" t="n">
        <x:f>H1022-I1022</x:f>
        <x:v>9</x:v>
      </x:c>
      <x:c r="U1022" s="24" t="n">
        <x:f>IFERROR(J1022/H1022,0)-IFERROR(K1022/I1022,0)</x:f>
        <x:v>0.13333333333333336</x:v>
      </x:c>
      <x:c r="V1022" s="24" t="n">
        <x:f>IFERROR(F1022/J1022,0)-IFERROR(G1022/K1022,0)</x:f>
        <x:v>-0.7142857142857143</x:v>
      </x:c>
      <x:c r="W1022" s="28" t="n">
        <x:f>L1022-M1022</x:f>
        <x:v>0</x:v>
      </x:c>
      <x:c r="X1022" s="24" t="n">
        <x:f>IFERROR(K1022/I1022,0)</x:f>
        <x:v>0.3333333333333333</x:v>
      </x:c>
      <x:c r="Y1022" s="24" t="n">
        <x:f>IFERROR(G1022/I1022,0)</x:f>
        <x:v>0.3333333333333333</x:v>
      </x:c>
      <x:c r="Z1022" s="24" t="n">
        <x:f>IFERROR(G1022/K1022,0)</x:f>
        <x:v>1</x:v>
      </x:c>
      <x:c r="AA1022" s="24" t="n">
        <x:f>IFERROR(F1022/H1022,0)-IFERROR(G1022/I1022,0)</x:f>
        <x:v>-0.19999999999999998</x:v>
      </x:c>
      <x:c r="AB1022" s="28" t="n">
        <x:f>J1022-K1022</x:f>
        <x:v>5</x:v>
      </x:c>
      <x:c r="AC1022" s="32" t="n">
        <x:f>F1022-G1022</x:f>
        <x:v>0</x:v>
      </x:c>
    </x:row>
    <x:row r="1023">
      <x:c r="A1023" s="4" t="str">
        <x:v>2022-23</x:v>
      </x:c>
      <x:c r="B1023" s="20" t="n">
        <x:v>44870</x:v>
      </x:c>
      <x:c r="C1023" s="4" t="str">
        <x:v>Wolves</x:v>
      </x:c>
      <x:c r="D1023" s="4" t="str">
        <x:v>Brighton</x:v>
      </x:c>
      <x:c r="E1023" s="4" t="str">
        <x:v>Home</x:v>
      </x:c>
      <x:c r="F1023" s="28" t="n">
        <x:v>2</x:v>
      </x:c>
      <x:c r="G1023" s="28" t="n">
        <x:v>3</x:v>
      </x:c>
      <x:c r="H1023" s="28" t="n">
        <x:v>8</x:v>
      </x:c>
      <x:c r="I1023" s="28" t="n">
        <x:v>19</x:v>
      </x:c>
      <x:c r="J1023" s="28" t="n">
        <x:v>5</x:v>
      </x:c>
      <x:c r="K1023" s="28" t="n">
        <x:v>8</x:v>
      </x:c>
      <x:c r="L1023" s="28" t="n">
        <x:v>4</x:v>
      </x:c>
      <x:c r="M1023" s="28" t="n">
        <x:v>9</x:v>
      </x:c>
      <x:c r="N1023" s="28" t="n">
        <x:v>2</x:v>
      </x:c>
      <x:c r="O1023" s="28" t="n">
        <x:v>1</x:v>
      </x:c>
      <x:c r="P1023" s="28" t="n">
        <x:v>0</x:v>
      </x:c>
      <x:c r="Q1023" s="24" t="n">
        <x:f>IFERROR(J1023/H1023,0)</x:f>
        <x:v>0.625</x:v>
      </x:c>
      <x:c r="R1023" s="24" t="n">
        <x:f>IFERROR(F1023/H1023,0)</x:f>
        <x:v>0.25</x:v>
      </x:c>
      <x:c r="S1023" s="24" t="n">
        <x:f>IFERROR(F1023/J1023,0)</x:f>
        <x:v>0.4</x:v>
      </x:c>
      <x:c r="T1023" s="28" t="n">
        <x:f>H1023-I1023</x:f>
        <x:v>-11</x:v>
      </x:c>
      <x:c r="U1023" s="24" t="n">
        <x:f>IFERROR(J1023/H1023,0)-IFERROR(K1023/I1023,0)</x:f>
        <x:v>0.20394736842105265</x:v>
      </x:c>
      <x:c r="V1023" s="24" t="n">
        <x:f>IFERROR(F1023/J1023,0)-IFERROR(G1023/K1023,0)</x:f>
        <x:v>0.025000000000000022</x:v>
      </x:c>
      <x:c r="W1023" s="28" t="n">
        <x:f>L1023-M1023</x:f>
        <x:v>-5</x:v>
      </x:c>
      <x:c r="X1023" s="24" t="n">
        <x:f>IFERROR(K1023/I1023,0)</x:f>
        <x:v>0.42105263157894735</x:v>
      </x:c>
      <x:c r="Y1023" s="24" t="n">
        <x:f>IFERROR(G1023/I1023,0)</x:f>
        <x:v>0.15789473684210525</x:v>
      </x:c>
      <x:c r="Z1023" s="24" t="n">
        <x:f>IFERROR(G1023/K1023,0)</x:f>
        <x:v>0.375</x:v>
      </x:c>
      <x:c r="AA1023" s="24" t="n">
        <x:f>IFERROR(F1023/H1023,0)-IFERROR(G1023/I1023,0)</x:f>
        <x:v>0.09210526315789475</x:v>
      </x:c>
      <x:c r="AB1023" s="28" t="n">
        <x:f>J1023-K1023</x:f>
        <x:v>-3</x:v>
      </x:c>
      <x:c r="AC1023" s="32" t="n">
        <x:f>F1023-G1023</x:f>
        <x:v>-1</x:v>
      </x:c>
    </x:row>
    <x:row r="1024">
      <x:c r="A1024" s="4" t="str">
        <x:v>2022-23</x:v>
      </x:c>
      <x:c r="B1024" s="20" t="n">
        <x:v>44871</x:v>
      </x:c>
      <x:c r="C1024" s="4" t="str">
        <x:v>Arsenal</x:v>
      </x:c>
      <x:c r="D1024" s="4" t="str">
        <x:v>Chelsea</x:v>
      </x:c>
      <x:c r="E1024" s="4" t="str">
        <x:v>Away</x:v>
      </x:c>
      <x:c r="F1024" s="28" t="n">
        <x:v>1</x:v>
      </x:c>
      <x:c r="G1024" s="28" t="n">
        <x:v>0</x:v>
      </x:c>
      <x:c r="H1024" s="28" t="n">
        <x:v>14</x:v>
      </x:c>
      <x:c r="I1024" s="28" t="n">
        <x:v>5</x:v>
      </x:c>
      <x:c r="J1024" s="28" t="n">
        <x:v>2</x:v>
      </x:c>
      <x:c r="K1024" s="28" t="n">
        <x:v>1</x:v>
      </x:c>
      <x:c r="L1024" s="28" t="n">
        <x:v>6</x:v>
      </x:c>
      <x:c r="M1024" s="28" t="n">
        <x:v>4</x:v>
      </x:c>
      <x:c r="N1024" s="28" t="n">
        <x:v>2</x:v>
      </x:c>
      <x:c r="O1024" s="28" t="n">
        <x:v>0</x:v>
      </x:c>
      <x:c r="P1024" s="28" t="n">
        <x:v>3</x:v>
      </x:c>
      <x:c r="Q1024" s="24" t="n">
        <x:f>IFERROR(J1024/H1024,0)</x:f>
        <x:v>0.14285714285714285</x:v>
      </x:c>
      <x:c r="R1024" s="24" t="n">
        <x:f>IFERROR(F1024/H1024,0)</x:f>
        <x:v>0.07142857142857142</x:v>
      </x:c>
      <x:c r="S1024" s="24" t="n">
        <x:f>IFERROR(F1024/J1024,0)</x:f>
        <x:v>0.5</x:v>
      </x:c>
      <x:c r="T1024" s="28" t="n">
        <x:f>H1024-I1024</x:f>
        <x:v>9</x:v>
      </x:c>
      <x:c r="U1024" s="24" t="n">
        <x:f>IFERROR(J1024/H1024,0)-IFERROR(K1024/I1024,0)</x:f>
        <x:v>-0.05714285714285716</x:v>
      </x:c>
      <x:c r="V1024" s="24" t="n">
        <x:f>IFERROR(F1024/J1024,0)-IFERROR(G1024/K1024,0)</x:f>
        <x:v>0.5</x:v>
      </x:c>
      <x:c r="W1024" s="28" t="n">
        <x:f>L1024-M1024</x:f>
        <x:v>2</x:v>
      </x:c>
      <x:c r="X1024" s="24" t="n">
        <x:f>IFERROR(K1024/I1024,0)</x:f>
        <x:v>0.2</x:v>
      </x:c>
      <x:c r="Y1024" s="24" t="n">
        <x:f>IFERROR(G1024/I1024,0)</x:f>
        <x:v>0</x:v>
      </x:c>
      <x:c r="Z1024" s="24" t="n">
        <x:f>IFERROR(G1024/K1024,0)</x:f>
        <x:v>0</x:v>
      </x:c>
      <x:c r="AA1024" s="24" t="n">
        <x:f>IFERROR(F1024/H1024,0)-IFERROR(G1024/I1024,0)</x:f>
        <x:v>0.07142857142857142</x:v>
      </x:c>
      <x:c r="AB1024" s="28" t="n">
        <x:f>J1024-K1024</x:f>
        <x:v>1</x:v>
      </x:c>
      <x:c r="AC1024" s="32" t="n">
        <x:f>F1024-G1024</x:f>
        <x:v>1</x:v>
      </x:c>
    </x:row>
    <x:row r="1025">
      <x:c r="A1025" s="4" t="str">
        <x:v>2022-23</x:v>
      </x:c>
      <x:c r="B1025" s="20" t="n">
        <x:v>44871</x:v>
      </x:c>
      <x:c r="C1025" s="4" t="str">
        <x:v>Aston Villa</x:v>
      </x:c>
      <x:c r="D1025" s="4" t="str">
        <x:v>Man United</x:v>
      </x:c>
      <x:c r="E1025" s="4" t="str">
        <x:v>Home</x:v>
      </x:c>
      <x:c r="F1025" s="28" t="n">
        <x:v>3</x:v>
      </x:c>
      <x:c r="G1025" s="28" t="n">
        <x:v>1</x:v>
      </x:c>
      <x:c r="H1025" s="28" t="n">
        <x:v>6</x:v>
      </x:c>
      <x:c r="I1025" s="28" t="n">
        <x:v>8</x:v>
      </x:c>
      <x:c r="J1025" s="28" t="n">
        <x:v>4</x:v>
      </x:c>
      <x:c r="K1025" s="28" t="n">
        <x:v>3</x:v>
      </x:c>
      <x:c r="L1025" s="28" t="n">
        <x:v>3</x:v>
      </x:c>
      <x:c r="M1025" s="28" t="n">
        <x:v>5</x:v>
      </x:c>
      <x:c r="N1025" s="28" t="n">
        <x:v>3</x:v>
      </x:c>
      <x:c r="O1025" s="28" t="n">
        <x:v>0</x:v>
      </x:c>
      <x:c r="P1025" s="28" t="n">
        <x:v>3</x:v>
      </x:c>
      <x:c r="Q1025" s="24" t="n">
        <x:f>IFERROR(J1025/H1025,0)</x:f>
        <x:v>0.6666666666666666</x:v>
      </x:c>
      <x:c r="R1025" s="24" t="n">
        <x:f>IFERROR(F1025/H1025,0)</x:f>
        <x:v>0.5</x:v>
      </x:c>
      <x:c r="S1025" s="24" t="n">
        <x:f>IFERROR(F1025/J1025,0)</x:f>
        <x:v>0.75</x:v>
      </x:c>
      <x:c r="T1025" s="28" t="n">
        <x:f>H1025-I1025</x:f>
        <x:v>-2</x:v>
      </x:c>
      <x:c r="U1025" s="24" t="n">
        <x:f>IFERROR(J1025/H1025,0)-IFERROR(K1025/I1025,0)</x:f>
        <x:v>0.29166666666666663</x:v>
      </x:c>
      <x:c r="V1025" s="24" t="n">
        <x:f>IFERROR(F1025/J1025,0)-IFERROR(G1025/K1025,0)</x:f>
        <x:v>0.4166666666666667</x:v>
      </x:c>
      <x:c r="W1025" s="28" t="n">
        <x:f>L1025-M1025</x:f>
        <x:v>-2</x:v>
      </x:c>
      <x:c r="X1025" s="24" t="n">
        <x:f>IFERROR(K1025/I1025,0)</x:f>
        <x:v>0.375</x:v>
      </x:c>
      <x:c r="Y1025" s="24" t="n">
        <x:f>IFERROR(G1025/I1025,0)</x:f>
        <x:v>0.125</x:v>
      </x:c>
      <x:c r="Z1025" s="24" t="n">
        <x:f>IFERROR(G1025/K1025,0)</x:f>
        <x:v>0.3333333333333333</x:v>
      </x:c>
      <x:c r="AA1025" s="24" t="n">
        <x:f>IFERROR(F1025/H1025,0)-IFERROR(G1025/I1025,0)</x:f>
        <x:v>0.375</x:v>
      </x:c>
      <x:c r="AB1025" s="28" t="n">
        <x:f>J1025-K1025</x:f>
        <x:v>1</x:v>
      </x:c>
      <x:c r="AC1025" s="32" t="n">
        <x:f>F1025-G1025</x:f>
        <x:v>2</x:v>
      </x:c>
    </x:row>
    <x:row r="1026">
      <x:c r="A1026" s="4" t="str">
        <x:v>2022-23</x:v>
      </x:c>
      <x:c r="B1026" s="20" t="n">
        <x:v>44871</x:v>
      </x:c>
      <x:c r="C1026" s="4" t="str">
        <x:v>Chelsea</x:v>
      </x:c>
      <x:c r="D1026" s="4" t="str">
        <x:v>Arsenal</x:v>
      </x:c>
      <x:c r="E1026" s="4" t="str">
        <x:v>Home</x:v>
      </x:c>
      <x:c r="F1026" s="28" t="n">
        <x:v>0</x:v>
      </x:c>
      <x:c r="G1026" s="28" t="n">
        <x:v>1</x:v>
      </x:c>
      <x:c r="H1026" s="28" t="n">
        <x:v>5</x:v>
      </x:c>
      <x:c r="I1026" s="28" t="n">
        <x:v>14</x:v>
      </x:c>
      <x:c r="J1026" s="28" t="n">
        <x:v>1</x:v>
      </x:c>
      <x:c r="K1026" s="28" t="n">
        <x:v>2</x:v>
      </x:c>
      <x:c r="L1026" s="28" t="n">
        <x:v>4</x:v>
      </x:c>
      <x:c r="M1026" s="28" t="n">
        <x:v>6</x:v>
      </x:c>
      <x:c r="N1026" s="28" t="n">
        <x:v>5</x:v>
      </x:c>
      <x:c r="O1026" s="28" t="n">
        <x:v>0</x:v>
      </x:c>
      <x:c r="P1026" s="28" t="n">
        <x:v>0</x:v>
      </x:c>
      <x:c r="Q1026" s="24" t="n">
        <x:f>IFERROR(J1026/H1026,0)</x:f>
        <x:v>0.2</x:v>
      </x:c>
      <x:c r="R1026" s="24" t="n">
        <x:f>IFERROR(F1026/H1026,0)</x:f>
        <x:v>0</x:v>
      </x:c>
      <x:c r="S1026" s="24" t="n">
        <x:f>IFERROR(F1026/J1026,0)</x:f>
        <x:v>0</x:v>
      </x:c>
      <x:c r="T1026" s="28" t="n">
        <x:f>H1026-I1026</x:f>
        <x:v>-9</x:v>
      </x:c>
      <x:c r="U1026" s="24" t="n">
        <x:f>IFERROR(J1026/H1026,0)-IFERROR(K1026/I1026,0)</x:f>
        <x:v>0.05714285714285716</x:v>
      </x:c>
      <x:c r="V1026" s="24" t="n">
        <x:f>IFERROR(F1026/J1026,0)-IFERROR(G1026/K1026,0)</x:f>
        <x:v>-0.5</x:v>
      </x:c>
      <x:c r="W1026" s="28" t="n">
        <x:f>L1026-M1026</x:f>
        <x:v>-2</x:v>
      </x:c>
      <x:c r="X1026" s="24" t="n">
        <x:f>IFERROR(K1026/I1026,0)</x:f>
        <x:v>0.14285714285714285</x:v>
      </x:c>
      <x:c r="Y1026" s="24" t="n">
        <x:f>IFERROR(G1026/I1026,0)</x:f>
        <x:v>0.07142857142857142</x:v>
      </x:c>
      <x:c r="Z1026" s="24" t="n">
        <x:f>IFERROR(G1026/K1026,0)</x:f>
        <x:v>0.5</x:v>
      </x:c>
      <x:c r="AA1026" s="24" t="n">
        <x:f>IFERROR(F1026/H1026,0)-IFERROR(G1026/I1026,0)</x:f>
        <x:v>-0.07142857142857142</x:v>
      </x:c>
      <x:c r="AB1026" s="28" t="n">
        <x:f>J1026-K1026</x:f>
        <x:v>-1</x:v>
      </x:c>
      <x:c r="AC1026" s="32" t="n">
        <x:f>F1026-G1026</x:f>
        <x:v>-1</x:v>
      </x:c>
    </x:row>
    <x:row r="1027">
      <x:c r="A1027" s="4" t="str">
        <x:v>2022-23</x:v>
      </x:c>
      <x:c r="B1027" s="20" t="n">
        <x:v>44871</x:v>
      </x:c>
      <x:c r="C1027" s="4" t="str">
        <x:v>Crystal Palace</x:v>
      </x:c>
      <x:c r="D1027" s="4" t="str">
        <x:v>West Ham</x:v>
      </x:c>
      <x:c r="E1027" s="4" t="str">
        <x:v>Away</x:v>
      </x:c>
      <x:c r="F1027" s="28" t="n">
        <x:v>2</x:v>
      </x:c>
      <x:c r="G1027" s="28" t="n">
        <x:v>1</x:v>
      </x:c>
      <x:c r="H1027" s="28" t="n">
        <x:v>15</x:v>
      </x:c>
      <x:c r="I1027" s="28" t="n">
        <x:v>5</x:v>
      </x:c>
      <x:c r="J1027" s="28" t="n">
        <x:v>6</x:v>
      </x:c>
      <x:c r="K1027" s="28" t="n">
        <x:v>2</x:v>
      </x:c>
      <x:c r="L1027" s="28" t="n">
        <x:v>5</x:v>
      </x:c>
      <x:c r="M1027" s="28" t="n">
        <x:v>2</x:v>
      </x:c>
      <x:c r="N1027" s="28" t="n">
        <x:v>1</x:v>
      </x:c>
      <x:c r="O1027" s="28" t="n">
        <x:v>0</x:v>
      </x:c>
      <x:c r="P1027" s="28" t="n">
        <x:v>3</x:v>
      </x:c>
      <x:c r="Q1027" s="24" t="n">
        <x:f>IFERROR(J1027/H1027,0)</x:f>
        <x:v>0.4</x:v>
      </x:c>
      <x:c r="R1027" s="24" t="n">
        <x:f>IFERROR(F1027/H1027,0)</x:f>
        <x:v>0.13333333333333333</x:v>
      </x:c>
      <x:c r="S1027" s="24" t="n">
        <x:f>IFERROR(F1027/J1027,0)</x:f>
        <x:v>0.3333333333333333</x:v>
      </x:c>
      <x:c r="T1027" s="28" t="n">
        <x:f>H1027-I1027</x:f>
        <x:v>10</x:v>
      </x:c>
      <x:c r="U1027" s="24" t="n">
        <x:f>IFERROR(J1027/H1027,0)-IFERROR(K1027/I1027,0)</x:f>
        <x:v>0</x:v>
      </x:c>
      <x:c r="V1027" s="24" t="n">
        <x:f>IFERROR(F1027/J1027,0)-IFERROR(G1027/K1027,0)</x:f>
        <x:v>-0.16666666666666669</x:v>
      </x:c>
      <x:c r="W1027" s="28" t="n">
        <x:f>L1027-M1027</x:f>
        <x:v>3</x:v>
      </x:c>
      <x:c r="X1027" s="24" t="n">
        <x:f>IFERROR(K1027/I1027,0)</x:f>
        <x:v>0.4</x:v>
      </x:c>
      <x:c r="Y1027" s="24" t="n">
        <x:f>IFERROR(G1027/I1027,0)</x:f>
        <x:v>0.2</x:v>
      </x:c>
      <x:c r="Z1027" s="24" t="n">
        <x:f>IFERROR(G1027/K1027,0)</x:f>
        <x:v>0.5</x:v>
      </x:c>
      <x:c r="AA1027" s="24" t="n">
        <x:f>IFERROR(F1027/H1027,0)-IFERROR(G1027/I1027,0)</x:f>
        <x:v>-0.06666666666666668</x:v>
      </x:c>
      <x:c r="AB1027" s="28" t="n">
        <x:f>J1027-K1027</x:f>
        <x:v>4</x:v>
      </x:c>
      <x:c r="AC1027" s="32" t="n">
        <x:f>F1027-G1027</x:f>
        <x:v>1</x:v>
      </x:c>
    </x:row>
    <x:row r="1028">
      <x:c r="A1028" s="4" t="str">
        <x:v>2022-23</x:v>
      </x:c>
      <x:c r="B1028" s="20" t="n">
        <x:v>44871</x:v>
      </x:c>
      <x:c r="C1028" s="4" t="str">
        <x:v>Liverpool</x:v>
      </x:c>
      <x:c r="D1028" s="4" t="str">
        <x:v>Tottenham</x:v>
      </x:c>
      <x:c r="E1028" s="4" t="str">
        <x:v>Away</x:v>
      </x:c>
      <x:c r="F1028" s="28" t="n">
        <x:v>2</x:v>
      </x:c>
      <x:c r="G1028" s="28" t="n">
        <x:v>1</x:v>
      </x:c>
      <x:c r="H1028" s="28" t="n">
        <x:v>13</x:v>
      </x:c>
      <x:c r="I1028" s="28" t="n">
        <x:v>14</x:v>
      </x:c>
      <x:c r="J1028" s="28" t="n">
        <x:v>6</x:v>
      </x:c>
      <x:c r="K1028" s="28" t="n">
        <x:v>5</x:v>
      </x:c>
      <x:c r="L1028" s="28" t="n">
        <x:v>3</x:v>
      </x:c>
      <x:c r="M1028" s="28" t="n">
        <x:v>5</x:v>
      </x:c>
      <x:c r="N1028" s="28" t="n">
        <x:v>0</x:v>
      </x:c>
      <x:c r="O1028" s="28" t="n">
        <x:v>0</x:v>
      </x:c>
      <x:c r="P1028" s="28" t="n">
        <x:v>3</x:v>
      </x:c>
      <x:c r="Q1028" s="24" t="n">
        <x:f>IFERROR(J1028/H1028,0)</x:f>
        <x:v>0.46153846153846156</x:v>
      </x:c>
      <x:c r="R1028" s="24" t="n">
        <x:f>IFERROR(F1028/H1028,0)</x:f>
        <x:v>0.15384615384615385</x:v>
      </x:c>
      <x:c r="S1028" s="24" t="n">
        <x:f>IFERROR(F1028/J1028,0)</x:f>
        <x:v>0.3333333333333333</x:v>
      </x:c>
      <x:c r="T1028" s="28" t="n">
        <x:f>H1028-I1028</x:f>
        <x:v>-1</x:v>
      </x:c>
      <x:c r="U1028" s="24" t="n">
        <x:f>IFERROR(J1028/H1028,0)-IFERROR(K1028/I1028,0)</x:f>
        <x:v>0.10439560439560441</x:v>
      </x:c>
      <x:c r="V1028" s="24" t="n">
        <x:f>IFERROR(F1028/J1028,0)-IFERROR(G1028/K1028,0)</x:f>
        <x:v>0.1333333333333333</x:v>
      </x:c>
      <x:c r="W1028" s="28" t="n">
        <x:f>L1028-M1028</x:f>
        <x:v>-2</x:v>
      </x:c>
      <x:c r="X1028" s="24" t="n">
        <x:f>IFERROR(K1028/I1028,0)</x:f>
        <x:v>0.35714285714285715</x:v>
      </x:c>
      <x:c r="Y1028" s="24" t="n">
        <x:f>IFERROR(G1028/I1028,0)</x:f>
        <x:v>0.07142857142857142</x:v>
      </x:c>
      <x:c r="Z1028" s="24" t="n">
        <x:f>IFERROR(G1028/K1028,0)</x:f>
        <x:v>0.2</x:v>
      </x:c>
      <x:c r="AA1028" s="24" t="n">
        <x:f>IFERROR(F1028/H1028,0)-IFERROR(G1028/I1028,0)</x:f>
        <x:v>0.08241758241758243</x:v>
      </x:c>
      <x:c r="AB1028" s="28" t="n">
        <x:f>J1028-K1028</x:f>
        <x:v>1</x:v>
      </x:c>
      <x:c r="AC1028" s="32" t="n">
        <x:f>F1028-G1028</x:f>
        <x:v>1</x:v>
      </x:c>
    </x:row>
    <x:row r="1029">
      <x:c r="A1029" s="4" t="str">
        <x:v>2022-23</x:v>
      </x:c>
      <x:c r="B1029" s="20" t="n">
        <x:v>44871</x:v>
      </x:c>
      <x:c r="C1029" s="4" t="str">
        <x:v>Man United</x:v>
      </x:c>
      <x:c r="D1029" s="4" t="str">
        <x:v>Aston Villa</x:v>
      </x:c>
      <x:c r="E1029" s="4" t="str">
        <x:v>Away</x:v>
      </x:c>
      <x:c r="F1029" s="28" t="n">
        <x:v>1</x:v>
      </x:c>
      <x:c r="G1029" s="28" t="n">
        <x:v>3</x:v>
      </x:c>
      <x:c r="H1029" s="28" t="n">
        <x:v>8</x:v>
      </x:c>
      <x:c r="I1029" s="28" t="n">
        <x:v>6</x:v>
      </x:c>
      <x:c r="J1029" s="28" t="n">
        <x:v>3</x:v>
      </x:c>
      <x:c r="K1029" s="28" t="n">
        <x:v>4</x:v>
      </x:c>
      <x:c r="L1029" s="28" t="n">
        <x:v>5</x:v>
      </x:c>
      <x:c r="M1029" s="28" t="n">
        <x:v>3</x:v>
      </x:c>
      <x:c r="N1029" s="28" t="n">
        <x:v>3</x:v>
      </x:c>
      <x:c r="O1029" s="28" t="n">
        <x:v>0</x:v>
      </x:c>
      <x:c r="P1029" s="28" t="n">
        <x:v>0</x:v>
      </x:c>
      <x:c r="Q1029" s="24" t="n">
        <x:f>IFERROR(J1029/H1029,0)</x:f>
        <x:v>0.375</x:v>
      </x:c>
      <x:c r="R1029" s="24" t="n">
        <x:f>IFERROR(F1029/H1029,0)</x:f>
        <x:v>0.125</x:v>
      </x:c>
      <x:c r="S1029" s="24" t="n">
        <x:f>IFERROR(F1029/J1029,0)</x:f>
        <x:v>0.3333333333333333</x:v>
      </x:c>
      <x:c r="T1029" s="28" t="n">
        <x:f>H1029-I1029</x:f>
        <x:v>2</x:v>
      </x:c>
      <x:c r="U1029" s="24" t="n">
        <x:f>IFERROR(J1029/H1029,0)-IFERROR(K1029/I1029,0)</x:f>
        <x:v>-0.29166666666666663</x:v>
      </x:c>
      <x:c r="V1029" s="24" t="n">
        <x:f>IFERROR(F1029/J1029,0)-IFERROR(G1029/K1029,0)</x:f>
        <x:v>-0.4166666666666667</x:v>
      </x:c>
      <x:c r="W1029" s="28" t="n">
        <x:f>L1029-M1029</x:f>
        <x:v>2</x:v>
      </x:c>
      <x:c r="X1029" s="24" t="n">
        <x:f>IFERROR(K1029/I1029,0)</x:f>
        <x:v>0.6666666666666666</x:v>
      </x:c>
      <x:c r="Y1029" s="24" t="n">
        <x:f>IFERROR(G1029/I1029,0)</x:f>
        <x:v>0.5</x:v>
      </x:c>
      <x:c r="Z1029" s="24" t="n">
        <x:f>IFERROR(G1029/K1029,0)</x:f>
        <x:v>0.75</x:v>
      </x:c>
      <x:c r="AA1029" s="24" t="n">
        <x:f>IFERROR(F1029/H1029,0)-IFERROR(G1029/I1029,0)</x:f>
        <x:v>-0.375</x:v>
      </x:c>
      <x:c r="AB1029" s="28" t="n">
        <x:f>J1029-K1029</x:f>
        <x:v>-1</x:v>
      </x:c>
      <x:c r="AC1029" s="32" t="n">
        <x:f>F1029-G1029</x:f>
        <x:v>-2</x:v>
      </x:c>
    </x:row>
    <x:row r="1030">
      <x:c r="A1030" s="4" t="str">
        <x:v>2022-23</x:v>
      </x:c>
      <x:c r="B1030" s="20" t="n">
        <x:v>44871</x:v>
      </x:c>
      <x:c r="C1030" s="4" t="str">
        <x:v>Newcastle</x:v>
      </x:c>
      <x:c r="D1030" s="4" t="str">
        <x:v>Southampton</x:v>
      </x:c>
      <x:c r="E1030" s="4" t="str">
        <x:v>Away</x:v>
      </x:c>
      <x:c r="F1030" s="28" t="n">
        <x:v>4</x:v>
      </x:c>
      <x:c r="G1030" s="28" t="n">
        <x:v>1</x:v>
      </x:c>
      <x:c r="H1030" s="28" t="n">
        <x:v>7</x:v>
      </x:c>
      <x:c r="I1030" s="28" t="n">
        <x:v>16</x:v>
      </x:c>
      <x:c r="J1030" s="28" t="n">
        <x:v>4</x:v>
      </x:c>
      <x:c r="K1030" s="28" t="n">
        <x:v>5</x:v>
      </x:c>
      <x:c r="L1030" s="28" t="n">
        <x:v>2</x:v>
      </x:c>
      <x:c r="M1030" s="28" t="n">
        <x:v>8</x:v>
      </x:c>
      <x:c r="N1030" s="28" t="n">
        <x:v>0</x:v>
      </x:c>
      <x:c r="O1030" s="28" t="n">
        <x:v>0</x:v>
      </x:c>
      <x:c r="P1030" s="28" t="n">
        <x:v>3</x:v>
      </x:c>
      <x:c r="Q1030" s="24" t="n">
        <x:f>IFERROR(J1030/H1030,0)</x:f>
        <x:v>0.5714285714285714</x:v>
      </x:c>
      <x:c r="R1030" s="24" t="n">
        <x:f>IFERROR(F1030/H1030,0)</x:f>
        <x:v>0.5714285714285714</x:v>
      </x:c>
      <x:c r="S1030" s="24" t="n">
        <x:f>IFERROR(F1030/J1030,0)</x:f>
        <x:v>1</x:v>
      </x:c>
      <x:c r="T1030" s="28" t="n">
        <x:f>H1030-I1030</x:f>
        <x:v>-9</x:v>
      </x:c>
      <x:c r="U1030" s="24" t="n">
        <x:f>IFERROR(J1030/H1030,0)-IFERROR(K1030/I1030,0)</x:f>
        <x:v>0.2589285714285714</x:v>
      </x:c>
      <x:c r="V1030" s="24" t="n">
        <x:f>IFERROR(F1030/J1030,0)-IFERROR(G1030/K1030,0)</x:f>
        <x:v>0.8</x:v>
      </x:c>
      <x:c r="W1030" s="28" t="n">
        <x:f>L1030-M1030</x:f>
        <x:v>-6</x:v>
      </x:c>
      <x:c r="X1030" s="24" t="n">
        <x:f>IFERROR(K1030/I1030,0)</x:f>
        <x:v>0.3125</x:v>
      </x:c>
      <x:c r="Y1030" s="24" t="n">
        <x:f>IFERROR(G1030/I1030,0)</x:f>
        <x:v>0.0625</x:v>
      </x:c>
      <x:c r="Z1030" s="24" t="n">
        <x:f>IFERROR(G1030/K1030,0)</x:f>
        <x:v>0.2</x:v>
      </x:c>
      <x:c r="AA1030" s="24" t="n">
        <x:f>IFERROR(F1030/H1030,0)-IFERROR(G1030/I1030,0)</x:f>
        <x:v>0.5089285714285714</x:v>
      </x:c>
      <x:c r="AB1030" s="28" t="n">
        <x:f>J1030-K1030</x:f>
        <x:v>-1</x:v>
      </x:c>
      <x:c r="AC1030" s="32" t="n">
        <x:f>F1030-G1030</x:f>
        <x:v>3</x:v>
      </x:c>
    </x:row>
    <x:row r="1031">
      <x:c r="A1031" s="4" t="str">
        <x:v>2022-23</x:v>
      </x:c>
      <x:c r="B1031" s="20" t="n">
        <x:v>44871</x:v>
      </x:c>
      <x:c r="C1031" s="4" t="str">
        <x:v>Southampton</x:v>
      </x:c>
      <x:c r="D1031" s="4" t="str">
        <x:v>Newcastle</x:v>
      </x:c>
      <x:c r="E1031" s="4" t="str">
        <x:v>Home</x:v>
      </x:c>
      <x:c r="F1031" s="28" t="n">
        <x:v>1</x:v>
      </x:c>
      <x:c r="G1031" s="28" t="n">
        <x:v>4</x:v>
      </x:c>
      <x:c r="H1031" s="28" t="n">
        <x:v>16</x:v>
      </x:c>
      <x:c r="I1031" s="28" t="n">
        <x:v>7</x:v>
      </x:c>
      <x:c r="J1031" s="28" t="n">
        <x:v>5</x:v>
      </x:c>
      <x:c r="K1031" s="28" t="n">
        <x:v>4</x:v>
      </x:c>
      <x:c r="L1031" s="28" t="n">
        <x:v>8</x:v>
      </x:c>
      <x:c r="M1031" s="28" t="n">
        <x:v>2</x:v>
      </x:c>
      <x:c r="N1031" s="28" t="n">
        <x:v>1</x:v>
      </x:c>
      <x:c r="O1031" s="28" t="n">
        <x:v>0</x:v>
      </x:c>
      <x:c r="P1031" s="28" t="n">
        <x:v>0</x:v>
      </x:c>
      <x:c r="Q1031" s="24" t="n">
        <x:f>IFERROR(J1031/H1031,0)</x:f>
        <x:v>0.3125</x:v>
      </x:c>
      <x:c r="R1031" s="24" t="n">
        <x:f>IFERROR(F1031/H1031,0)</x:f>
        <x:v>0.0625</x:v>
      </x:c>
      <x:c r="S1031" s="24" t="n">
        <x:f>IFERROR(F1031/J1031,0)</x:f>
        <x:v>0.2</x:v>
      </x:c>
      <x:c r="T1031" s="28" t="n">
        <x:f>H1031-I1031</x:f>
        <x:v>9</x:v>
      </x:c>
      <x:c r="U1031" s="24" t="n">
        <x:f>IFERROR(J1031/H1031,0)-IFERROR(K1031/I1031,0)</x:f>
        <x:v>-0.2589285714285714</x:v>
      </x:c>
      <x:c r="V1031" s="24" t="n">
        <x:f>IFERROR(F1031/J1031,0)-IFERROR(G1031/K1031,0)</x:f>
        <x:v>-0.8</x:v>
      </x:c>
      <x:c r="W1031" s="28" t="n">
        <x:f>L1031-M1031</x:f>
        <x:v>6</x:v>
      </x:c>
      <x:c r="X1031" s="24" t="n">
        <x:f>IFERROR(K1031/I1031,0)</x:f>
        <x:v>0.5714285714285714</x:v>
      </x:c>
      <x:c r="Y1031" s="24" t="n">
        <x:f>IFERROR(G1031/I1031,0)</x:f>
        <x:v>0.5714285714285714</x:v>
      </x:c>
      <x:c r="Z1031" s="24" t="n">
        <x:f>IFERROR(G1031/K1031,0)</x:f>
        <x:v>1</x:v>
      </x:c>
      <x:c r="AA1031" s="24" t="n">
        <x:f>IFERROR(F1031/H1031,0)-IFERROR(G1031/I1031,0)</x:f>
        <x:v>-0.5089285714285714</x:v>
      </x:c>
      <x:c r="AB1031" s="28" t="n">
        <x:f>J1031-K1031</x:f>
        <x:v>1</x:v>
      </x:c>
      <x:c r="AC1031" s="32" t="n">
        <x:f>F1031-G1031</x:f>
        <x:v>-3</x:v>
      </x:c>
    </x:row>
    <x:row r="1032">
      <x:c r="A1032" s="4" t="str">
        <x:v>2022-23</x:v>
      </x:c>
      <x:c r="B1032" s="20" t="n">
        <x:v>44871</x:v>
      </x:c>
      <x:c r="C1032" s="4" t="str">
        <x:v>Tottenham</x:v>
      </x:c>
      <x:c r="D1032" s="4" t="str">
        <x:v>Liverpool</x:v>
      </x:c>
      <x:c r="E1032" s="4" t="str">
        <x:v>Home</x:v>
      </x:c>
      <x:c r="F1032" s="28" t="n">
        <x:v>1</x:v>
      </x:c>
      <x:c r="G1032" s="28" t="n">
        <x:v>2</x:v>
      </x:c>
      <x:c r="H1032" s="28" t="n">
        <x:v>14</x:v>
      </x:c>
      <x:c r="I1032" s="28" t="n">
        <x:v>13</x:v>
      </x:c>
      <x:c r="J1032" s="28" t="n">
        <x:v>5</x:v>
      </x:c>
      <x:c r="K1032" s="28" t="n">
        <x:v>6</x:v>
      </x:c>
      <x:c r="L1032" s="28" t="n">
        <x:v>5</x:v>
      </x:c>
      <x:c r="M1032" s="28" t="n">
        <x:v>3</x:v>
      </x:c>
      <x:c r="N1032" s="28" t="n">
        <x:v>0</x:v>
      </x:c>
      <x:c r="O1032" s="28" t="n">
        <x:v>0</x:v>
      </x:c>
      <x:c r="P1032" s="28" t="n">
        <x:v>0</x:v>
      </x:c>
      <x:c r="Q1032" s="24" t="n">
        <x:f>IFERROR(J1032/H1032,0)</x:f>
        <x:v>0.35714285714285715</x:v>
      </x:c>
      <x:c r="R1032" s="24" t="n">
        <x:f>IFERROR(F1032/H1032,0)</x:f>
        <x:v>0.07142857142857142</x:v>
      </x:c>
      <x:c r="S1032" s="24" t="n">
        <x:f>IFERROR(F1032/J1032,0)</x:f>
        <x:v>0.2</x:v>
      </x:c>
      <x:c r="T1032" s="28" t="n">
        <x:f>H1032-I1032</x:f>
        <x:v>1</x:v>
      </x:c>
      <x:c r="U1032" s="24" t="n">
        <x:f>IFERROR(J1032/H1032,0)-IFERROR(K1032/I1032,0)</x:f>
        <x:v>-0.10439560439560441</x:v>
      </x:c>
      <x:c r="V1032" s="24" t="n">
        <x:f>IFERROR(F1032/J1032,0)-IFERROR(G1032/K1032,0)</x:f>
        <x:v>-0.1333333333333333</x:v>
      </x:c>
      <x:c r="W1032" s="28" t="n">
        <x:f>L1032-M1032</x:f>
        <x:v>2</x:v>
      </x:c>
      <x:c r="X1032" s="24" t="n">
        <x:f>IFERROR(K1032/I1032,0)</x:f>
        <x:v>0.46153846153846156</x:v>
      </x:c>
      <x:c r="Y1032" s="24" t="n">
        <x:f>IFERROR(G1032/I1032,0)</x:f>
        <x:v>0.15384615384615385</x:v>
      </x:c>
      <x:c r="Z1032" s="24" t="n">
        <x:f>IFERROR(G1032/K1032,0)</x:f>
        <x:v>0.3333333333333333</x:v>
      </x:c>
      <x:c r="AA1032" s="24" t="n">
        <x:f>IFERROR(F1032/H1032,0)-IFERROR(G1032/I1032,0)</x:f>
        <x:v>-0.08241758241758243</x:v>
      </x:c>
      <x:c r="AB1032" s="28" t="n">
        <x:f>J1032-K1032</x:f>
        <x:v>-1</x:v>
      </x:c>
      <x:c r="AC1032" s="32" t="n">
        <x:f>F1032-G1032</x:f>
        <x:v>-1</x:v>
      </x:c>
    </x:row>
    <x:row r="1033">
      <x:c r="A1033" s="4" t="str">
        <x:v>2022-23</x:v>
      </x:c>
      <x:c r="B1033" s="20" t="n">
        <x:v>44871</x:v>
      </x:c>
      <x:c r="C1033" s="4" t="str">
        <x:v>West Ham</x:v>
      </x:c>
      <x:c r="D1033" s="4" t="str">
        <x:v>Crystal Palace</x:v>
      </x:c>
      <x:c r="E1033" s="4" t="str">
        <x:v>Home</x:v>
      </x:c>
      <x:c r="F1033" s="28" t="n">
        <x:v>1</x:v>
      </x:c>
      <x:c r="G1033" s="28" t="n">
        <x:v>2</x:v>
      </x:c>
      <x:c r="H1033" s="28" t="n">
        <x:v>5</x:v>
      </x:c>
      <x:c r="I1033" s="28" t="n">
        <x:v>15</x:v>
      </x:c>
      <x:c r="J1033" s="28" t="n">
        <x:v>2</x:v>
      </x:c>
      <x:c r="K1033" s="28" t="n">
        <x:v>6</x:v>
      </x:c>
      <x:c r="L1033" s="28" t="n">
        <x:v>2</x:v>
      </x:c>
      <x:c r="M1033" s="28" t="n">
        <x:v>5</x:v>
      </x:c>
      <x:c r="N1033" s="28" t="n">
        <x:v>1</x:v>
      </x:c>
      <x:c r="O1033" s="28" t="n">
        <x:v>0</x:v>
      </x:c>
      <x:c r="P1033" s="28" t="n">
        <x:v>0</x:v>
      </x:c>
      <x:c r="Q1033" s="24" t="n">
        <x:f>IFERROR(J1033/H1033,0)</x:f>
        <x:v>0.4</x:v>
      </x:c>
      <x:c r="R1033" s="24" t="n">
        <x:f>IFERROR(F1033/H1033,0)</x:f>
        <x:v>0.2</x:v>
      </x:c>
      <x:c r="S1033" s="24" t="n">
        <x:f>IFERROR(F1033/J1033,0)</x:f>
        <x:v>0.5</x:v>
      </x:c>
      <x:c r="T1033" s="28" t="n">
        <x:f>H1033-I1033</x:f>
        <x:v>-10</x:v>
      </x:c>
      <x:c r="U1033" s="24" t="n">
        <x:f>IFERROR(J1033/H1033,0)-IFERROR(K1033/I1033,0)</x:f>
        <x:v>0</x:v>
      </x:c>
      <x:c r="V1033" s="24" t="n">
        <x:f>IFERROR(F1033/J1033,0)-IFERROR(G1033/K1033,0)</x:f>
        <x:v>0.16666666666666669</x:v>
      </x:c>
      <x:c r="W1033" s="28" t="n">
        <x:f>L1033-M1033</x:f>
        <x:v>-3</x:v>
      </x:c>
      <x:c r="X1033" s="24" t="n">
        <x:f>IFERROR(K1033/I1033,0)</x:f>
        <x:v>0.4</x:v>
      </x:c>
      <x:c r="Y1033" s="24" t="n">
        <x:f>IFERROR(G1033/I1033,0)</x:f>
        <x:v>0.13333333333333333</x:v>
      </x:c>
      <x:c r="Z1033" s="24" t="n">
        <x:f>IFERROR(G1033/K1033,0)</x:f>
        <x:v>0.3333333333333333</x:v>
      </x:c>
      <x:c r="AA1033" s="24" t="n">
        <x:f>IFERROR(F1033/H1033,0)-IFERROR(G1033/I1033,0)</x:f>
        <x:v>0.06666666666666668</x:v>
      </x:c>
      <x:c r="AB1033" s="28" t="n">
        <x:f>J1033-K1033</x:f>
        <x:v>-4</x:v>
      </x:c>
      <x:c r="AC1033" s="32" t="n">
        <x:f>F1033-G1033</x:f>
        <x:v>-1</x:v>
      </x:c>
    </x:row>
    <x:row r="1034">
      <x:c r="A1034" s="4" t="str">
        <x:v>2022-23</x:v>
      </x:c>
      <x:c r="B1034" s="20" t="n">
        <x:v>44877</x:v>
      </x:c>
      <x:c r="C1034" s="4" t="str">
        <x:v>Arsenal</x:v>
      </x:c>
      <x:c r="D1034" s="4" t="str">
        <x:v>Wolves</x:v>
      </x:c>
      <x:c r="E1034" s="4" t="str">
        <x:v>Away</x:v>
      </x:c>
      <x:c r="F1034" s="28" t="n">
        <x:v>2</x:v>
      </x:c>
      <x:c r="G1034" s="28" t="n">
        <x:v>0</x:v>
      </x:c>
      <x:c r="H1034" s="28" t="n">
        <x:v>14</x:v>
      </x:c>
      <x:c r="I1034" s="28" t="n">
        <x:v>11</x:v>
      </x:c>
      <x:c r="J1034" s="28" t="n">
        <x:v>4</x:v>
      </x:c>
      <x:c r="K1034" s="28" t="n">
        <x:v>2</x:v>
      </x:c>
      <x:c r="L1034" s="28" t="n">
        <x:v>4</x:v>
      </x:c>
      <x:c r="M1034" s="28" t="n">
        <x:v>6</x:v>
      </x:c>
      <x:c r="N1034" s="28" t="n">
        <x:v>2</x:v>
      </x:c>
      <x:c r="O1034" s="28" t="n">
        <x:v>0</x:v>
      </x:c>
      <x:c r="P1034" s="28" t="n">
        <x:v>3</x:v>
      </x:c>
      <x:c r="Q1034" s="24" t="n">
        <x:f>IFERROR(J1034/H1034,0)</x:f>
        <x:v>0.2857142857142857</x:v>
      </x:c>
      <x:c r="R1034" s="24" t="n">
        <x:f>IFERROR(F1034/H1034,0)</x:f>
        <x:v>0.14285714285714285</x:v>
      </x:c>
      <x:c r="S1034" s="24" t="n">
        <x:f>IFERROR(F1034/J1034,0)</x:f>
        <x:v>0.5</x:v>
      </x:c>
      <x:c r="T1034" s="28" t="n">
        <x:f>H1034-I1034</x:f>
        <x:v>3</x:v>
      </x:c>
      <x:c r="U1034" s="24" t="n">
        <x:f>IFERROR(J1034/H1034,0)-IFERROR(K1034/I1034,0)</x:f>
        <x:v>0.10389610389610388</x:v>
      </x:c>
      <x:c r="V1034" s="24" t="n">
        <x:f>IFERROR(F1034/J1034,0)-IFERROR(G1034/K1034,0)</x:f>
        <x:v>0.5</x:v>
      </x:c>
      <x:c r="W1034" s="28" t="n">
        <x:f>L1034-M1034</x:f>
        <x:v>-2</x:v>
      </x:c>
      <x:c r="X1034" s="24" t="n">
        <x:f>IFERROR(K1034/I1034,0)</x:f>
        <x:v>0.18181818181818182</x:v>
      </x:c>
      <x:c r="Y1034" s="24" t="n">
        <x:f>IFERROR(G1034/I1034,0)</x:f>
        <x:v>0</x:v>
      </x:c>
      <x:c r="Z1034" s="24" t="n">
        <x:f>IFERROR(G1034/K1034,0)</x:f>
        <x:v>0</x:v>
      </x:c>
      <x:c r="AA1034" s="24" t="n">
        <x:f>IFERROR(F1034/H1034,0)-IFERROR(G1034/I1034,0)</x:f>
        <x:v>0.14285714285714285</x:v>
      </x:c>
      <x:c r="AB1034" s="28" t="n">
        <x:f>J1034-K1034</x:f>
        <x:v>2</x:v>
      </x:c>
      <x:c r="AC1034" s="32" t="n">
        <x:f>F1034-G1034</x:f>
        <x:v>2</x:v>
      </x:c>
    </x:row>
    <x:row r="1035">
      <x:c r="A1035" s="4" t="str">
        <x:v>2022-23</x:v>
      </x:c>
      <x:c r="B1035" s="20" t="n">
        <x:v>44877</x:v>
      </x:c>
      <x:c r="C1035" s="4" t="str">
        <x:v>Bournemouth</x:v>
      </x:c>
      <x:c r="D1035" s="4" t="str">
        <x:v>Everton</x:v>
      </x:c>
      <x:c r="E1035" s="4" t="str">
        <x:v>Home</x:v>
      </x:c>
      <x:c r="F1035" s="28" t="n">
        <x:v>3</x:v>
      </x:c>
      <x:c r="G1035" s="28" t="n">
        <x:v>0</x:v>
      </x:c>
      <x:c r="H1035" s="28" t="n">
        <x:v>16</x:v>
      </x:c>
      <x:c r="I1035" s="28" t="n">
        <x:v>15</x:v>
      </x:c>
      <x:c r="J1035" s="28" t="n">
        <x:v>9</x:v>
      </x:c>
      <x:c r="K1035" s="28" t="n">
        <x:v>3</x:v>
      </x:c>
      <x:c r="L1035" s="28" t="n">
        <x:v>3</x:v>
      </x:c>
      <x:c r="M1035" s="28" t="n">
        <x:v>5</x:v>
      </x:c>
      <x:c r="N1035" s="28" t="n">
        <x:v>2</x:v>
      </x:c>
      <x:c r="O1035" s="28" t="n">
        <x:v>0</x:v>
      </x:c>
      <x:c r="P1035" s="28" t="n">
        <x:v>3</x:v>
      </x:c>
      <x:c r="Q1035" s="24" t="n">
        <x:f>IFERROR(J1035/H1035,0)</x:f>
        <x:v>0.5625</x:v>
      </x:c>
      <x:c r="R1035" s="24" t="n">
        <x:f>IFERROR(F1035/H1035,0)</x:f>
        <x:v>0.1875</x:v>
      </x:c>
      <x:c r="S1035" s="24" t="n">
        <x:f>IFERROR(F1035/J1035,0)</x:f>
        <x:v>0.3333333333333333</x:v>
      </x:c>
      <x:c r="T1035" s="28" t="n">
        <x:f>H1035-I1035</x:f>
        <x:v>1</x:v>
      </x:c>
      <x:c r="U1035" s="24" t="n">
        <x:f>IFERROR(J1035/H1035,0)-IFERROR(K1035/I1035,0)</x:f>
        <x:v>0.3625</x:v>
      </x:c>
      <x:c r="V1035" s="24" t="n">
        <x:f>IFERROR(F1035/J1035,0)-IFERROR(G1035/K1035,0)</x:f>
        <x:v>0.3333333333333333</x:v>
      </x:c>
      <x:c r="W1035" s="28" t="n">
        <x:f>L1035-M1035</x:f>
        <x:v>-2</x:v>
      </x:c>
      <x:c r="X1035" s="24" t="n">
        <x:f>IFERROR(K1035/I1035,0)</x:f>
        <x:v>0.2</x:v>
      </x:c>
      <x:c r="Y1035" s="24" t="n">
        <x:f>IFERROR(G1035/I1035,0)</x:f>
        <x:v>0</x:v>
      </x:c>
      <x:c r="Z1035" s="24" t="n">
        <x:f>IFERROR(G1035/K1035,0)</x:f>
        <x:v>0</x:v>
      </x:c>
      <x:c r="AA1035" s="24" t="n">
        <x:f>IFERROR(F1035/H1035,0)-IFERROR(G1035/I1035,0)</x:f>
        <x:v>0.1875</x:v>
      </x:c>
      <x:c r="AB1035" s="28" t="n">
        <x:f>J1035-K1035</x:f>
        <x:v>6</x:v>
      </x:c>
      <x:c r="AC1035" s="32" t="n">
        <x:f>F1035-G1035</x:f>
        <x:v>3</x:v>
      </x:c>
    </x:row>
    <x:row r="1036">
      <x:c r="A1036" s="4" t="str">
        <x:v>2022-23</x:v>
      </x:c>
      <x:c r="B1036" s="20" t="n">
        <x:v>44877</x:v>
      </x:c>
      <x:c r="C1036" s="4" t="str">
        <x:v>Brentford</x:v>
      </x:c>
      <x:c r="D1036" s="4" t="str">
        <x:v>Man City</x:v>
      </x:c>
      <x:c r="E1036" s="4" t="str">
        <x:v>Away</x:v>
      </x:c>
      <x:c r="F1036" s="28" t="n">
        <x:v>2</x:v>
      </x:c>
      <x:c r="G1036" s="28" t="n">
        <x:v>1</x:v>
      </x:c>
      <x:c r="H1036" s="28" t="n">
        <x:v>10</x:v>
      </x:c>
      <x:c r="I1036" s="28" t="n">
        <x:v>29</x:v>
      </x:c>
      <x:c r="J1036" s="28" t="n">
        <x:v>8</x:v>
      </x:c>
      <x:c r="K1036" s="28" t="n">
        <x:v>6</x:v>
      </x:c>
      <x:c r="L1036" s="28" t="n">
        <x:v>2</x:v>
      </x:c>
      <x:c r="M1036" s="28" t="n">
        <x:v>10</x:v>
      </x:c>
      <x:c r="N1036" s="28" t="n">
        <x:v>2</x:v>
      </x:c>
      <x:c r="O1036" s="28" t="n">
        <x:v>0</x:v>
      </x:c>
      <x:c r="P1036" s="28" t="n">
        <x:v>3</x:v>
      </x:c>
      <x:c r="Q1036" s="24" t="n">
        <x:f>IFERROR(J1036/H1036,0)</x:f>
        <x:v>0.8</x:v>
      </x:c>
      <x:c r="R1036" s="24" t="n">
        <x:f>IFERROR(F1036/H1036,0)</x:f>
        <x:v>0.2</x:v>
      </x:c>
      <x:c r="S1036" s="24" t="n">
        <x:f>IFERROR(F1036/J1036,0)</x:f>
        <x:v>0.25</x:v>
      </x:c>
      <x:c r="T1036" s="28" t="n">
        <x:f>H1036-I1036</x:f>
        <x:v>-19</x:v>
      </x:c>
      <x:c r="U1036" s="24" t="n">
        <x:f>IFERROR(J1036/H1036,0)-IFERROR(K1036/I1036,0)</x:f>
        <x:v>0.5931034482758621</x:v>
      </x:c>
      <x:c r="V1036" s="24" t="n">
        <x:f>IFERROR(F1036/J1036,0)-IFERROR(G1036/K1036,0)</x:f>
        <x:v>0.08333333333333334</x:v>
      </x:c>
      <x:c r="W1036" s="28" t="n">
        <x:f>L1036-M1036</x:f>
        <x:v>-8</x:v>
      </x:c>
      <x:c r="X1036" s="24" t="n">
        <x:f>IFERROR(K1036/I1036,0)</x:f>
        <x:v>0.20689655172413793</x:v>
      </x:c>
      <x:c r="Y1036" s="24" t="n">
        <x:f>IFERROR(G1036/I1036,0)</x:f>
        <x:v>0.034482758620689655</x:v>
      </x:c>
      <x:c r="Z1036" s="24" t="n">
        <x:f>IFERROR(G1036/K1036,0)</x:f>
        <x:v>0.16666666666666666</x:v>
      </x:c>
      <x:c r="AA1036" s="24" t="n">
        <x:f>IFERROR(F1036/H1036,0)-IFERROR(G1036/I1036,0)</x:f>
        <x:v>0.16551724137931034</x:v>
      </x:c>
      <x:c r="AB1036" s="28" t="n">
        <x:f>J1036-K1036</x:f>
        <x:v>2</x:v>
      </x:c>
      <x:c r="AC1036" s="32" t="n">
        <x:f>F1036-G1036</x:f>
        <x:v>1</x:v>
      </x:c>
    </x:row>
    <x:row r="1037">
      <x:c r="A1037" s="4" t="str">
        <x:v>2022-23</x:v>
      </x:c>
      <x:c r="B1037" s="20" t="n">
        <x:v>44877</x:v>
      </x:c>
      <x:c r="C1037" s="4" t="str">
        <x:v>Chelsea</x:v>
      </x:c>
      <x:c r="D1037" s="4" t="str">
        <x:v>Newcastle</x:v>
      </x:c>
      <x:c r="E1037" s="4" t="str">
        <x:v>Away</x:v>
      </x:c>
      <x:c r="F1037" s="28" t="n">
        <x:v>0</x:v>
      </x:c>
      <x:c r="G1037" s="28" t="n">
        <x:v>1</x:v>
      </x:c>
      <x:c r="H1037" s="28" t="n">
        <x:v>5</x:v>
      </x:c>
      <x:c r="I1037" s="28" t="n">
        <x:v>10</x:v>
      </x:c>
      <x:c r="J1037" s="28" t="n">
        <x:v>2</x:v>
      </x:c>
      <x:c r="K1037" s="28" t="n">
        <x:v>3</x:v>
      </x:c>
      <x:c r="L1037" s="28" t="n">
        <x:v>3</x:v>
      </x:c>
      <x:c r="M1037" s="28" t="n">
        <x:v>5</x:v>
      </x:c>
      <x:c r="N1037" s="28" t="n">
        <x:v>2</x:v>
      </x:c>
      <x:c r="O1037" s="28" t="n">
        <x:v>0</x:v>
      </x:c>
      <x:c r="P1037" s="28" t="n">
        <x:v>0</x:v>
      </x:c>
      <x:c r="Q1037" s="24" t="n">
        <x:f>IFERROR(J1037/H1037,0)</x:f>
        <x:v>0.4</x:v>
      </x:c>
      <x:c r="R1037" s="24" t="n">
        <x:f>IFERROR(F1037/H1037,0)</x:f>
        <x:v>0</x:v>
      </x:c>
      <x:c r="S1037" s="24" t="n">
        <x:f>IFERROR(F1037/J1037,0)</x:f>
        <x:v>0</x:v>
      </x:c>
      <x:c r="T1037" s="28" t="n">
        <x:f>H1037-I1037</x:f>
        <x:v>-5</x:v>
      </x:c>
      <x:c r="U1037" s="24" t="n">
        <x:f>IFERROR(J1037/H1037,0)-IFERROR(K1037/I1037,0)</x:f>
        <x:v>0.10000000000000003</x:v>
      </x:c>
      <x:c r="V1037" s="24" t="n">
        <x:f>IFERROR(F1037/J1037,0)-IFERROR(G1037/K1037,0)</x:f>
        <x:v>-0.3333333333333333</x:v>
      </x:c>
      <x:c r="W1037" s="28" t="n">
        <x:f>L1037-M1037</x:f>
        <x:v>-2</x:v>
      </x:c>
      <x:c r="X1037" s="24" t="n">
        <x:f>IFERROR(K1037/I1037,0)</x:f>
        <x:v>0.3</x:v>
      </x:c>
      <x:c r="Y1037" s="24" t="n">
        <x:f>IFERROR(G1037/I1037,0)</x:f>
        <x:v>0.1</x:v>
      </x:c>
      <x:c r="Z1037" s="24" t="n">
        <x:f>IFERROR(G1037/K1037,0)</x:f>
        <x:v>0.3333333333333333</x:v>
      </x:c>
      <x:c r="AA1037" s="24" t="n">
        <x:f>IFERROR(F1037/H1037,0)-IFERROR(G1037/I1037,0)</x:f>
        <x:v>-0.1</x:v>
      </x:c>
      <x:c r="AB1037" s="28" t="n">
        <x:f>J1037-K1037</x:f>
        <x:v>-1</x:v>
      </x:c>
      <x:c r="AC1037" s="32" t="n">
        <x:f>F1037-G1037</x:f>
        <x:v>-1</x:v>
      </x:c>
    </x:row>
    <x:row r="1038">
      <x:c r="A1038" s="4" t="str">
        <x:v>2022-23</x:v>
      </x:c>
      <x:c r="B1038" s="20" t="n">
        <x:v>44877</x:v>
      </x:c>
      <x:c r="C1038" s="4" t="str">
        <x:v>Crystal Palace</x:v>
      </x:c>
      <x:c r="D1038" s="4" t="str">
        <x:v>Nott'm Forest</x:v>
      </x:c>
      <x:c r="E1038" s="4" t="str">
        <x:v>Away</x:v>
      </x:c>
      <x:c r="F1038" s="28" t="n">
        <x:v>0</x:v>
      </x:c>
      <x:c r="G1038" s="28" t="n">
        <x:v>1</x:v>
      </x:c>
      <x:c r="H1038" s="28" t="n">
        <x:v>8</x:v>
      </x:c>
      <x:c r="I1038" s="28" t="n">
        <x:v>9</x:v>
      </x:c>
      <x:c r="J1038" s="28" t="n">
        <x:v>0</x:v>
      </x:c>
      <x:c r="K1038" s="28" t="n">
        <x:v>2</x:v>
      </x:c>
      <x:c r="L1038" s="28" t="n">
        <x:v>5</x:v>
      </x:c>
      <x:c r="M1038" s="28" t="n">
        <x:v>1</x:v>
      </x:c>
      <x:c r="N1038" s="28" t="n">
        <x:v>4</x:v>
      </x:c>
      <x:c r="O1038" s="28" t="n">
        <x:v>0</x:v>
      </x:c>
      <x:c r="P1038" s="28" t="n">
        <x:v>0</x:v>
      </x:c>
      <x:c r="Q1038" s="24" t="n">
        <x:f>IFERROR(J1038/H1038,0)</x:f>
        <x:v>0</x:v>
      </x:c>
      <x:c r="R1038" s="24" t="n">
        <x:f>IFERROR(F1038/H1038,0)</x:f>
        <x:v>0</x:v>
      </x:c>
      <x:c r="S1038" s="24" t="n">
        <x:f>IFERROR(F1038/J1038,0)</x:f>
        <x:v>0</x:v>
      </x:c>
      <x:c r="T1038" s="28" t="n">
        <x:f>H1038-I1038</x:f>
        <x:v>-1</x:v>
      </x:c>
      <x:c r="U1038" s="24" t="n">
        <x:f>IFERROR(J1038/H1038,0)-IFERROR(K1038/I1038,0)</x:f>
        <x:v>-0.2222222222222222</x:v>
      </x:c>
      <x:c r="V1038" s="24" t="n">
        <x:f>IFERROR(F1038/J1038,0)-IFERROR(G1038/K1038,0)</x:f>
        <x:v>-0.5</x:v>
      </x:c>
      <x:c r="W1038" s="28" t="n">
        <x:f>L1038-M1038</x:f>
        <x:v>4</x:v>
      </x:c>
      <x:c r="X1038" s="24" t="n">
        <x:f>IFERROR(K1038/I1038,0)</x:f>
        <x:v>0.2222222222222222</x:v>
      </x:c>
      <x:c r="Y1038" s="24" t="n">
        <x:f>IFERROR(G1038/I1038,0)</x:f>
        <x:v>0.1111111111111111</x:v>
      </x:c>
      <x:c r="Z1038" s="24" t="n">
        <x:f>IFERROR(G1038/K1038,0)</x:f>
        <x:v>0.5</x:v>
      </x:c>
      <x:c r="AA1038" s="24" t="n">
        <x:f>IFERROR(F1038/H1038,0)-IFERROR(G1038/I1038,0)</x:f>
        <x:v>-0.1111111111111111</x:v>
      </x:c>
      <x:c r="AB1038" s="28" t="n">
        <x:f>J1038-K1038</x:f>
        <x:v>-2</x:v>
      </x:c>
      <x:c r="AC1038" s="32" t="n">
        <x:f>F1038-G1038</x:f>
        <x:v>-1</x:v>
      </x:c>
    </x:row>
    <x:row r="1039">
      <x:c r="A1039" s="4" t="str">
        <x:v>2022-23</x:v>
      </x:c>
      <x:c r="B1039" s="20" t="n">
        <x:v>44877</x:v>
      </x:c>
      <x:c r="C1039" s="4" t="str">
        <x:v>Everton</x:v>
      </x:c>
      <x:c r="D1039" s="4" t="str">
        <x:v>Bournemouth</x:v>
      </x:c>
      <x:c r="E1039" s="4" t="str">
        <x:v>Away</x:v>
      </x:c>
      <x:c r="F1039" s="28" t="n">
        <x:v>0</x:v>
      </x:c>
      <x:c r="G1039" s="28" t="n">
        <x:v>3</x:v>
      </x:c>
      <x:c r="H1039" s="28" t="n">
        <x:v>15</x:v>
      </x:c>
      <x:c r="I1039" s="28" t="n">
        <x:v>16</x:v>
      </x:c>
      <x:c r="J1039" s="28" t="n">
        <x:v>3</x:v>
      </x:c>
      <x:c r="K1039" s="28" t="n">
        <x:v>9</x:v>
      </x:c>
      <x:c r="L1039" s="28" t="n">
        <x:v>5</x:v>
      </x:c>
      <x:c r="M1039" s="28" t="n">
        <x:v>3</x:v>
      </x:c>
      <x:c r="N1039" s="28" t="n">
        <x:v>0</x:v>
      </x:c>
      <x:c r="O1039" s="28" t="n">
        <x:v>0</x:v>
      </x:c>
      <x:c r="P1039" s="28" t="n">
        <x:v>0</x:v>
      </x:c>
      <x:c r="Q1039" s="24" t="n">
        <x:f>IFERROR(J1039/H1039,0)</x:f>
        <x:v>0.2</x:v>
      </x:c>
      <x:c r="R1039" s="24" t="n">
        <x:f>IFERROR(F1039/H1039,0)</x:f>
        <x:v>0</x:v>
      </x:c>
      <x:c r="S1039" s="24" t="n">
        <x:f>IFERROR(F1039/J1039,0)</x:f>
        <x:v>0</x:v>
      </x:c>
      <x:c r="T1039" s="28" t="n">
        <x:f>H1039-I1039</x:f>
        <x:v>-1</x:v>
      </x:c>
      <x:c r="U1039" s="24" t="n">
        <x:f>IFERROR(J1039/H1039,0)-IFERROR(K1039/I1039,0)</x:f>
        <x:v>-0.3625</x:v>
      </x:c>
      <x:c r="V1039" s="24" t="n">
        <x:f>IFERROR(F1039/J1039,0)-IFERROR(G1039/K1039,0)</x:f>
        <x:v>-0.3333333333333333</x:v>
      </x:c>
      <x:c r="W1039" s="28" t="n">
        <x:f>L1039-M1039</x:f>
        <x:v>2</x:v>
      </x:c>
      <x:c r="X1039" s="24" t="n">
        <x:f>IFERROR(K1039/I1039,0)</x:f>
        <x:v>0.5625</x:v>
      </x:c>
      <x:c r="Y1039" s="24" t="n">
        <x:f>IFERROR(G1039/I1039,0)</x:f>
        <x:v>0.1875</x:v>
      </x:c>
      <x:c r="Z1039" s="24" t="n">
        <x:f>IFERROR(G1039/K1039,0)</x:f>
        <x:v>0.3333333333333333</x:v>
      </x:c>
      <x:c r="AA1039" s="24" t="n">
        <x:f>IFERROR(F1039/H1039,0)-IFERROR(G1039/I1039,0)</x:f>
        <x:v>-0.1875</x:v>
      </x:c>
      <x:c r="AB1039" s="28" t="n">
        <x:f>J1039-K1039</x:f>
        <x:v>-6</x:v>
      </x:c>
      <x:c r="AC1039" s="32" t="n">
        <x:f>F1039-G1039</x:f>
        <x:v>-3</x:v>
      </x:c>
    </x:row>
    <x:row r="1040">
      <x:c r="A1040" s="4" t="str">
        <x:v>2022-23</x:v>
      </x:c>
      <x:c r="B1040" s="20" t="n">
        <x:v>44877</x:v>
      </x:c>
      <x:c r="C1040" s="4" t="str">
        <x:v>Leeds</x:v>
      </x:c>
      <x:c r="D1040" s="4" t="str">
        <x:v>Tottenham</x:v>
      </x:c>
      <x:c r="E1040" s="4" t="str">
        <x:v>Away</x:v>
      </x:c>
      <x:c r="F1040" s="28" t="n">
        <x:v>3</x:v>
      </x:c>
      <x:c r="G1040" s="28" t="n">
        <x:v>4</x:v>
      </x:c>
      <x:c r="H1040" s="28" t="n">
        <x:v>12</x:v>
      </x:c>
      <x:c r="I1040" s="28" t="n">
        <x:v>14</x:v>
      </x:c>
      <x:c r="J1040" s="28" t="n">
        <x:v>5</x:v>
      </x:c>
      <x:c r="K1040" s="28" t="n">
        <x:v>8</x:v>
      </x:c>
      <x:c r="L1040" s="28" t="n">
        <x:v>2</x:v>
      </x:c>
      <x:c r="M1040" s="28" t="n">
        <x:v>9</x:v>
      </x:c>
      <x:c r="N1040" s="28" t="n">
        <x:v>1</x:v>
      </x:c>
      <x:c r="O1040" s="28" t="n">
        <x:v>1</x:v>
      </x:c>
      <x:c r="P1040" s="28" t="n">
        <x:v>0</x:v>
      </x:c>
      <x:c r="Q1040" s="24" t="n">
        <x:f>IFERROR(J1040/H1040,0)</x:f>
        <x:v>0.4166666666666667</x:v>
      </x:c>
      <x:c r="R1040" s="24" t="n">
        <x:f>IFERROR(F1040/H1040,0)</x:f>
        <x:v>0.25</x:v>
      </x:c>
      <x:c r="S1040" s="24" t="n">
        <x:f>IFERROR(F1040/J1040,0)</x:f>
        <x:v>0.6</x:v>
      </x:c>
      <x:c r="T1040" s="28" t="n">
        <x:f>H1040-I1040</x:f>
        <x:v>-2</x:v>
      </x:c>
      <x:c r="U1040" s="24" t="n">
        <x:f>IFERROR(J1040/H1040,0)-IFERROR(K1040/I1040,0)</x:f>
        <x:v>-0.1547619047619047</x:v>
      </x:c>
      <x:c r="V1040" s="24" t="n">
        <x:f>IFERROR(F1040/J1040,0)-IFERROR(G1040/K1040,0)</x:f>
        <x:v>0.09999999999999998</x:v>
      </x:c>
      <x:c r="W1040" s="28" t="n">
        <x:f>L1040-M1040</x:f>
        <x:v>-7</x:v>
      </x:c>
      <x:c r="X1040" s="24" t="n">
        <x:f>IFERROR(K1040/I1040,0)</x:f>
        <x:v>0.5714285714285714</x:v>
      </x:c>
      <x:c r="Y1040" s="24" t="n">
        <x:f>IFERROR(G1040/I1040,0)</x:f>
        <x:v>0.2857142857142857</x:v>
      </x:c>
      <x:c r="Z1040" s="24" t="n">
        <x:f>IFERROR(G1040/K1040,0)</x:f>
        <x:v>0.5</x:v>
      </x:c>
      <x:c r="AA1040" s="24" t="n">
        <x:f>IFERROR(F1040/H1040,0)-IFERROR(G1040/I1040,0)</x:f>
        <x:v>-0.0357142857142857</x:v>
      </x:c>
      <x:c r="AB1040" s="28" t="n">
        <x:f>J1040-K1040</x:f>
        <x:v>-3</x:v>
      </x:c>
      <x:c r="AC1040" s="32" t="n">
        <x:f>F1040-G1040</x:f>
        <x:v>-1</x:v>
      </x:c>
    </x:row>
    <x:row r="1041">
      <x:c r="A1041" s="4" t="str">
        <x:v>2022-23</x:v>
      </x:c>
      <x:c r="B1041" s="20" t="n">
        <x:v>44877</x:v>
      </x:c>
      <x:c r="C1041" s="4" t="str">
        <x:v>Leicester</x:v>
      </x:c>
      <x:c r="D1041" s="4" t="str">
        <x:v>West Ham</x:v>
      </x:c>
      <x:c r="E1041" s="4" t="str">
        <x:v>Away</x:v>
      </x:c>
      <x:c r="F1041" s="28" t="n">
        <x:v>2</x:v>
      </x:c>
      <x:c r="G1041" s="28" t="n">
        <x:v>0</x:v>
      </x:c>
      <x:c r="H1041" s="28" t="n">
        <x:v>9</x:v>
      </x:c>
      <x:c r="I1041" s="28" t="n">
        <x:v>18</x:v>
      </x:c>
      <x:c r="J1041" s="28" t="n">
        <x:v>6</x:v>
      </x:c>
      <x:c r="K1041" s="28" t="n">
        <x:v>6</x:v>
      </x:c>
      <x:c r="L1041" s="28" t="n">
        <x:v>2</x:v>
      </x:c>
      <x:c r="M1041" s="28" t="n">
        <x:v>7</x:v>
      </x:c>
      <x:c r="N1041" s="28" t="n">
        <x:v>1</x:v>
      </x:c>
      <x:c r="O1041" s="28" t="n">
        <x:v>0</x:v>
      </x:c>
      <x:c r="P1041" s="28" t="n">
        <x:v>3</x:v>
      </x:c>
      <x:c r="Q1041" s="24" t="n">
        <x:f>IFERROR(J1041/H1041,0)</x:f>
        <x:v>0.6666666666666666</x:v>
      </x:c>
      <x:c r="R1041" s="24" t="n">
        <x:f>IFERROR(F1041/H1041,0)</x:f>
        <x:v>0.2222222222222222</x:v>
      </x:c>
      <x:c r="S1041" s="24" t="n">
        <x:f>IFERROR(F1041/J1041,0)</x:f>
        <x:v>0.3333333333333333</x:v>
      </x:c>
      <x:c r="T1041" s="28" t="n">
        <x:f>H1041-I1041</x:f>
        <x:v>-9</x:v>
      </x:c>
      <x:c r="U1041" s="24" t="n">
        <x:f>IFERROR(J1041/H1041,0)-IFERROR(K1041/I1041,0)</x:f>
        <x:v>0.3333333333333333</x:v>
      </x:c>
      <x:c r="V1041" s="24" t="n">
        <x:f>IFERROR(F1041/J1041,0)-IFERROR(G1041/K1041,0)</x:f>
        <x:v>0.3333333333333333</x:v>
      </x:c>
      <x:c r="W1041" s="28" t="n">
        <x:f>L1041-M1041</x:f>
        <x:v>-5</x:v>
      </x:c>
      <x:c r="X1041" s="24" t="n">
        <x:f>IFERROR(K1041/I1041,0)</x:f>
        <x:v>0.3333333333333333</x:v>
      </x:c>
      <x:c r="Y1041" s="24" t="n">
        <x:f>IFERROR(G1041/I1041,0)</x:f>
        <x:v>0</x:v>
      </x:c>
      <x:c r="Z1041" s="24" t="n">
        <x:f>IFERROR(G1041/K1041,0)</x:f>
        <x:v>0</x:v>
      </x:c>
      <x:c r="AA1041" s="24" t="n">
        <x:f>IFERROR(F1041/H1041,0)-IFERROR(G1041/I1041,0)</x:f>
        <x:v>0.2222222222222222</x:v>
      </x:c>
      <x:c r="AB1041" s="28" t="n">
        <x:f>J1041-K1041</x:f>
        <x:v>0</x:v>
      </x:c>
      <x:c r="AC1041" s="32" t="n">
        <x:f>F1041-G1041</x:f>
        <x:v>2</x:v>
      </x:c>
    </x:row>
    <x:row r="1042">
      <x:c r="A1042" s="4" t="str">
        <x:v>2022-23</x:v>
      </x:c>
      <x:c r="B1042" s="20" t="n">
        <x:v>44877</x:v>
      </x:c>
      <x:c r="C1042" s="4" t="str">
        <x:v>Liverpool</x:v>
      </x:c>
      <x:c r="D1042" s="4" t="str">
        <x:v>Southampton</x:v>
      </x:c>
      <x:c r="E1042" s="4" t="str">
        <x:v>Home</x:v>
      </x:c>
      <x:c r="F1042" s="28" t="n">
        <x:v>3</x:v>
      </x:c>
      <x:c r="G1042" s="28" t="n">
        <x:v>1</x:v>
      </x:c>
      <x:c r="H1042" s="28" t="n">
        <x:v>15</x:v>
      </x:c>
      <x:c r="I1042" s="28" t="n">
        <x:v>9</x:v>
      </x:c>
      <x:c r="J1042" s="28" t="n">
        <x:v>7</x:v>
      </x:c>
      <x:c r="K1042" s="28" t="n">
        <x:v>5</x:v>
      </x:c>
      <x:c r="L1042" s="28" t="n">
        <x:v>6</x:v>
      </x:c>
      <x:c r="M1042" s="28" t="n">
        <x:v>0</x:v>
      </x:c>
      <x:c r="N1042" s="28" t="n">
        <x:v>0</x:v>
      </x:c>
      <x:c r="O1042" s="28" t="n">
        <x:v>0</x:v>
      </x:c>
      <x:c r="P1042" s="28" t="n">
        <x:v>3</x:v>
      </x:c>
      <x:c r="Q1042" s="24" t="n">
        <x:f>IFERROR(J1042/H1042,0)</x:f>
        <x:v>0.4666666666666667</x:v>
      </x:c>
      <x:c r="R1042" s="24" t="n">
        <x:f>IFERROR(F1042/H1042,0)</x:f>
        <x:v>0.2</x:v>
      </x:c>
      <x:c r="S1042" s="24" t="n">
        <x:f>IFERROR(F1042/J1042,0)</x:f>
        <x:v>0.42857142857142855</x:v>
      </x:c>
      <x:c r="T1042" s="28" t="n">
        <x:f>H1042-I1042</x:f>
        <x:v>6</x:v>
      </x:c>
      <x:c r="U1042" s="24" t="n">
        <x:f>IFERROR(J1042/H1042,0)-IFERROR(K1042/I1042,0)</x:f>
        <x:v>-0.0888888888888889</x:v>
      </x:c>
      <x:c r="V1042" s="24" t="n">
        <x:f>IFERROR(F1042/J1042,0)-IFERROR(G1042/K1042,0)</x:f>
        <x:v>0.22857142857142854</x:v>
      </x:c>
      <x:c r="W1042" s="28" t="n">
        <x:f>L1042-M1042</x:f>
        <x:v>6</x:v>
      </x:c>
      <x:c r="X1042" s="24" t="n">
        <x:f>IFERROR(K1042/I1042,0)</x:f>
        <x:v>0.5555555555555556</x:v>
      </x:c>
      <x:c r="Y1042" s="24" t="n">
        <x:f>IFERROR(G1042/I1042,0)</x:f>
        <x:v>0.1111111111111111</x:v>
      </x:c>
      <x:c r="Z1042" s="24" t="n">
        <x:f>IFERROR(G1042/K1042,0)</x:f>
        <x:v>0.2</x:v>
      </x:c>
      <x:c r="AA1042" s="24" t="n">
        <x:f>IFERROR(F1042/H1042,0)-IFERROR(G1042/I1042,0)</x:f>
        <x:v>0.0888888888888889</x:v>
      </x:c>
      <x:c r="AB1042" s="28" t="n">
        <x:f>J1042-K1042</x:f>
        <x:v>2</x:v>
      </x:c>
      <x:c r="AC1042" s="32" t="n">
        <x:f>F1042-G1042</x:f>
        <x:v>2</x:v>
      </x:c>
    </x:row>
    <x:row r="1043">
      <x:c r="A1043" s="4" t="str">
        <x:v>2022-23</x:v>
      </x:c>
      <x:c r="B1043" s="20" t="n">
        <x:v>44877</x:v>
      </x:c>
      <x:c r="C1043" s="4" t="str">
        <x:v>Man City</x:v>
      </x:c>
      <x:c r="D1043" s="4" t="str">
        <x:v>Brentford</x:v>
      </x:c>
      <x:c r="E1043" s="4" t="str">
        <x:v>Home</x:v>
      </x:c>
      <x:c r="F1043" s="28" t="n">
        <x:v>1</x:v>
      </x:c>
      <x:c r="G1043" s="28" t="n">
        <x:v>2</x:v>
      </x:c>
      <x:c r="H1043" s="28" t="n">
        <x:v>29</x:v>
      </x:c>
      <x:c r="I1043" s="28" t="n">
        <x:v>10</x:v>
      </x:c>
      <x:c r="J1043" s="28" t="n">
        <x:v>6</x:v>
      </x:c>
      <x:c r="K1043" s="28" t="n">
        <x:v>8</x:v>
      </x:c>
      <x:c r="L1043" s="28" t="n">
        <x:v>10</x:v>
      </x:c>
      <x:c r="M1043" s="28" t="n">
        <x:v>2</x:v>
      </x:c>
      <x:c r="N1043" s="28" t="n">
        <x:v>2</x:v>
      </x:c>
      <x:c r="O1043" s="28" t="n">
        <x:v>0</x:v>
      </x:c>
      <x:c r="P1043" s="28" t="n">
        <x:v>0</x:v>
      </x:c>
      <x:c r="Q1043" s="24" t="n">
        <x:f>IFERROR(J1043/H1043,0)</x:f>
        <x:v>0.20689655172413793</x:v>
      </x:c>
      <x:c r="R1043" s="24" t="n">
        <x:f>IFERROR(F1043/H1043,0)</x:f>
        <x:v>0.034482758620689655</x:v>
      </x:c>
      <x:c r="S1043" s="24" t="n">
        <x:f>IFERROR(F1043/J1043,0)</x:f>
        <x:v>0.16666666666666666</x:v>
      </x:c>
      <x:c r="T1043" s="28" t="n">
        <x:f>H1043-I1043</x:f>
        <x:v>19</x:v>
      </x:c>
      <x:c r="U1043" s="24" t="n">
        <x:f>IFERROR(J1043/H1043,0)-IFERROR(K1043/I1043,0)</x:f>
        <x:v>-0.5931034482758621</x:v>
      </x:c>
      <x:c r="V1043" s="24" t="n">
        <x:f>IFERROR(F1043/J1043,0)-IFERROR(G1043/K1043,0)</x:f>
        <x:v>-0.08333333333333334</x:v>
      </x:c>
      <x:c r="W1043" s="28" t="n">
        <x:f>L1043-M1043</x:f>
        <x:v>8</x:v>
      </x:c>
      <x:c r="X1043" s="24" t="n">
        <x:f>IFERROR(K1043/I1043,0)</x:f>
        <x:v>0.8</x:v>
      </x:c>
      <x:c r="Y1043" s="24" t="n">
        <x:f>IFERROR(G1043/I1043,0)</x:f>
        <x:v>0.2</x:v>
      </x:c>
      <x:c r="Z1043" s="24" t="n">
        <x:f>IFERROR(G1043/K1043,0)</x:f>
        <x:v>0.25</x:v>
      </x:c>
      <x:c r="AA1043" s="24" t="n">
        <x:f>IFERROR(F1043/H1043,0)-IFERROR(G1043/I1043,0)</x:f>
        <x:v>-0.16551724137931034</x:v>
      </x:c>
      <x:c r="AB1043" s="28" t="n">
        <x:f>J1043-K1043</x:f>
        <x:v>-2</x:v>
      </x:c>
      <x:c r="AC1043" s="32" t="n">
        <x:f>F1043-G1043</x:f>
        <x:v>-1</x:v>
      </x:c>
    </x:row>
    <x:row r="1044">
      <x:c r="A1044" s="4" t="str">
        <x:v>2022-23</x:v>
      </x:c>
      <x:c r="B1044" s="20" t="n">
        <x:v>44877</x:v>
      </x:c>
      <x:c r="C1044" s="4" t="str">
        <x:v>Newcastle</x:v>
      </x:c>
      <x:c r="D1044" s="4" t="str">
        <x:v>Chelsea</x:v>
      </x:c>
      <x:c r="E1044" s="4" t="str">
        <x:v>Home</x:v>
      </x:c>
      <x:c r="F1044" s="28" t="n">
        <x:v>1</x:v>
      </x:c>
      <x:c r="G1044" s="28" t="n">
        <x:v>0</x:v>
      </x:c>
      <x:c r="H1044" s="28" t="n">
        <x:v>10</x:v>
      </x:c>
      <x:c r="I1044" s="28" t="n">
        <x:v>5</x:v>
      </x:c>
      <x:c r="J1044" s="28" t="n">
        <x:v>3</x:v>
      </x:c>
      <x:c r="K1044" s="28" t="n">
        <x:v>2</x:v>
      </x:c>
      <x:c r="L1044" s="28" t="n">
        <x:v>5</x:v>
      </x:c>
      <x:c r="M1044" s="28" t="n">
        <x:v>3</x:v>
      </x:c>
      <x:c r="N1044" s="28" t="n">
        <x:v>3</x:v>
      </x:c>
      <x:c r="O1044" s="28" t="n">
        <x:v>0</x:v>
      </x:c>
      <x:c r="P1044" s="28" t="n">
        <x:v>3</x:v>
      </x:c>
      <x:c r="Q1044" s="24" t="n">
        <x:f>IFERROR(J1044/H1044,0)</x:f>
        <x:v>0.3</x:v>
      </x:c>
      <x:c r="R1044" s="24" t="n">
        <x:f>IFERROR(F1044/H1044,0)</x:f>
        <x:v>0.1</x:v>
      </x:c>
      <x:c r="S1044" s="24" t="n">
        <x:f>IFERROR(F1044/J1044,0)</x:f>
        <x:v>0.3333333333333333</x:v>
      </x:c>
      <x:c r="T1044" s="28" t="n">
        <x:f>H1044-I1044</x:f>
        <x:v>5</x:v>
      </x:c>
      <x:c r="U1044" s="24" t="n">
        <x:f>IFERROR(J1044/H1044,0)-IFERROR(K1044/I1044,0)</x:f>
        <x:v>-0.10000000000000003</x:v>
      </x:c>
      <x:c r="V1044" s="24" t="n">
        <x:f>IFERROR(F1044/J1044,0)-IFERROR(G1044/K1044,0)</x:f>
        <x:v>0.3333333333333333</x:v>
      </x:c>
      <x:c r="W1044" s="28" t="n">
        <x:f>L1044-M1044</x:f>
        <x:v>2</x:v>
      </x:c>
      <x:c r="X1044" s="24" t="n">
        <x:f>IFERROR(K1044/I1044,0)</x:f>
        <x:v>0.4</x:v>
      </x:c>
      <x:c r="Y1044" s="24" t="n">
        <x:f>IFERROR(G1044/I1044,0)</x:f>
        <x:v>0</x:v>
      </x:c>
      <x:c r="Z1044" s="24" t="n">
        <x:f>IFERROR(G1044/K1044,0)</x:f>
        <x:v>0</x:v>
      </x:c>
      <x:c r="AA1044" s="24" t="n">
        <x:f>IFERROR(F1044/H1044,0)-IFERROR(G1044/I1044,0)</x:f>
        <x:v>0.1</x:v>
      </x:c>
      <x:c r="AB1044" s="28" t="n">
        <x:f>J1044-K1044</x:f>
        <x:v>1</x:v>
      </x:c>
      <x:c r="AC1044" s="32" t="n">
        <x:f>F1044-G1044</x:f>
        <x:v>1</x:v>
      </x:c>
    </x:row>
    <x:row r="1045">
      <x:c r="A1045" s="4" t="str">
        <x:v>2022-23</x:v>
      </x:c>
      <x:c r="B1045" s="20" t="n">
        <x:v>44877</x:v>
      </x:c>
      <x:c r="C1045" s="4" t="str">
        <x:v>Nott'm Forest</x:v>
      </x:c>
      <x:c r="D1045" s="4" t="str">
        <x:v>Crystal Palace</x:v>
      </x:c>
      <x:c r="E1045" s="4" t="str">
        <x:v>Home</x:v>
      </x:c>
      <x:c r="F1045" s="28" t="n">
        <x:v>1</x:v>
      </x:c>
      <x:c r="G1045" s="28" t="n">
        <x:v>0</x:v>
      </x:c>
      <x:c r="H1045" s="28" t="n">
        <x:v>9</x:v>
      </x:c>
      <x:c r="I1045" s="28" t="n">
        <x:v>8</x:v>
      </x:c>
      <x:c r="J1045" s="28" t="n">
        <x:v>2</x:v>
      </x:c>
      <x:c r="K1045" s="28" t="n">
        <x:v>0</x:v>
      </x:c>
      <x:c r="L1045" s="28" t="n">
        <x:v>1</x:v>
      </x:c>
      <x:c r="M1045" s="28" t="n">
        <x:v>5</x:v>
      </x:c>
      <x:c r="N1045" s="28" t="n">
        <x:v>1</x:v>
      </x:c>
      <x:c r="O1045" s="28" t="n">
        <x:v>0</x:v>
      </x:c>
      <x:c r="P1045" s="28" t="n">
        <x:v>3</x:v>
      </x:c>
      <x:c r="Q1045" s="24" t="n">
        <x:f>IFERROR(J1045/H1045,0)</x:f>
        <x:v>0.2222222222222222</x:v>
      </x:c>
      <x:c r="R1045" s="24" t="n">
        <x:f>IFERROR(F1045/H1045,0)</x:f>
        <x:v>0.1111111111111111</x:v>
      </x:c>
      <x:c r="S1045" s="24" t="n">
        <x:f>IFERROR(F1045/J1045,0)</x:f>
        <x:v>0.5</x:v>
      </x:c>
      <x:c r="T1045" s="28" t="n">
        <x:f>H1045-I1045</x:f>
        <x:v>1</x:v>
      </x:c>
      <x:c r="U1045" s="24" t="n">
        <x:f>IFERROR(J1045/H1045,0)-IFERROR(K1045/I1045,0)</x:f>
        <x:v>0.2222222222222222</x:v>
      </x:c>
      <x:c r="V1045" s="24" t="n">
        <x:f>IFERROR(F1045/J1045,0)-IFERROR(G1045/K1045,0)</x:f>
        <x:v>0.5</x:v>
      </x:c>
      <x:c r="W1045" s="28" t="n">
        <x:f>L1045-M1045</x:f>
        <x:v>-4</x:v>
      </x:c>
      <x:c r="X1045" s="24" t="n">
        <x:f>IFERROR(K1045/I1045,0)</x:f>
        <x:v>0</x:v>
      </x:c>
      <x:c r="Y1045" s="24" t="n">
        <x:f>IFERROR(G1045/I1045,0)</x:f>
        <x:v>0</x:v>
      </x:c>
      <x:c r="Z1045" s="24" t="n">
        <x:f>IFERROR(G1045/K1045,0)</x:f>
        <x:v>0</x:v>
      </x:c>
      <x:c r="AA1045" s="24" t="n">
        <x:f>IFERROR(F1045/H1045,0)-IFERROR(G1045/I1045,0)</x:f>
        <x:v>0.1111111111111111</x:v>
      </x:c>
      <x:c r="AB1045" s="28" t="n">
        <x:f>J1045-K1045</x:f>
        <x:v>2</x:v>
      </x:c>
      <x:c r="AC1045" s="32" t="n">
        <x:f>F1045-G1045</x:f>
        <x:v>1</x:v>
      </x:c>
    </x:row>
    <x:row r="1046">
      <x:c r="A1046" s="4" t="str">
        <x:v>2022-23</x:v>
      </x:c>
      <x:c r="B1046" s="20" t="n">
        <x:v>44877</x:v>
      </x:c>
      <x:c r="C1046" s="4" t="str">
        <x:v>Southampton</x:v>
      </x:c>
      <x:c r="D1046" s="4" t="str">
        <x:v>Liverpool</x:v>
      </x:c>
      <x:c r="E1046" s="4" t="str">
        <x:v>Away</x:v>
      </x:c>
      <x:c r="F1046" s="28" t="n">
        <x:v>1</x:v>
      </x:c>
      <x:c r="G1046" s="28" t="n">
        <x:v>3</x:v>
      </x:c>
      <x:c r="H1046" s="28" t="n">
        <x:v>9</x:v>
      </x:c>
      <x:c r="I1046" s="28" t="n">
        <x:v>15</x:v>
      </x:c>
      <x:c r="J1046" s="28" t="n">
        <x:v>5</x:v>
      </x:c>
      <x:c r="K1046" s="28" t="n">
        <x:v>7</x:v>
      </x:c>
      <x:c r="L1046" s="28" t="n">
        <x:v>0</x:v>
      </x:c>
      <x:c r="M1046" s="28" t="n">
        <x:v>6</x:v>
      </x:c>
      <x:c r="N1046" s="28" t="n">
        <x:v>2</x:v>
      </x:c>
      <x:c r="O1046" s="28" t="n">
        <x:v>0</x:v>
      </x:c>
      <x:c r="P1046" s="28" t="n">
        <x:v>0</x:v>
      </x:c>
      <x:c r="Q1046" s="24" t="n">
        <x:f>IFERROR(J1046/H1046,0)</x:f>
        <x:v>0.5555555555555556</x:v>
      </x:c>
      <x:c r="R1046" s="24" t="n">
        <x:f>IFERROR(F1046/H1046,0)</x:f>
        <x:v>0.1111111111111111</x:v>
      </x:c>
      <x:c r="S1046" s="24" t="n">
        <x:f>IFERROR(F1046/J1046,0)</x:f>
        <x:v>0.2</x:v>
      </x:c>
      <x:c r="T1046" s="28" t="n">
        <x:f>H1046-I1046</x:f>
        <x:v>-6</x:v>
      </x:c>
      <x:c r="U1046" s="24" t="n">
        <x:f>IFERROR(J1046/H1046,0)-IFERROR(K1046/I1046,0)</x:f>
        <x:v>0.0888888888888889</x:v>
      </x:c>
      <x:c r="V1046" s="24" t="n">
        <x:f>IFERROR(F1046/J1046,0)-IFERROR(G1046/K1046,0)</x:f>
        <x:v>-0.22857142857142854</x:v>
      </x:c>
      <x:c r="W1046" s="28" t="n">
        <x:f>L1046-M1046</x:f>
        <x:v>-6</x:v>
      </x:c>
      <x:c r="X1046" s="24" t="n">
        <x:f>IFERROR(K1046/I1046,0)</x:f>
        <x:v>0.4666666666666667</x:v>
      </x:c>
      <x:c r="Y1046" s="24" t="n">
        <x:f>IFERROR(G1046/I1046,0)</x:f>
        <x:v>0.2</x:v>
      </x:c>
      <x:c r="Z1046" s="24" t="n">
        <x:f>IFERROR(G1046/K1046,0)</x:f>
        <x:v>0.42857142857142855</x:v>
      </x:c>
      <x:c r="AA1046" s="24" t="n">
        <x:f>IFERROR(F1046/H1046,0)-IFERROR(G1046/I1046,0)</x:f>
        <x:v>-0.0888888888888889</x:v>
      </x:c>
      <x:c r="AB1046" s="28" t="n">
        <x:f>J1046-K1046</x:f>
        <x:v>-2</x:v>
      </x:c>
      <x:c r="AC1046" s="32" t="n">
        <x:f>F1046-G1046</x:f>
        <x:v>-2</x:v>
      </x:c>
    </x:row>
    <x:row r="1047">
      <x:c r="A1047" s="4" t="str">
        <x:v>2022-23</x:v>
      </x:c>
      <x:c r="B1047" s="20" t="n">
        <x:v>44877</x:v>
      </x:c>
      <x:c r="C1047" s="4" t="str">
        <x:v>Tottenham</x:v>
      </x:c>
      <x:c r="D1047" s="4" t="str">
        <x:v>Leeds</x:v>
      </x:c>
      <x:c r="E1047" s="4" t="str">
        <x:v>Home</x:v>
      </x:c>
      <x:c r="F1047" s="28" t="n">
        <x:v>4</x:v>
      </x:c>
      <x:c r="G1047" s="28" t="n">
        <x:v>3</x:v>
      </x:c>
      <x:c r="H1047" s="28" t="n">
        <x:v>14</x:v>
      </x:c>
      <x:c r="I1047" s="28" t="n">
        <x:v>12</x:v>
      </x:c>
      <x:c r="J1047" s="28" t="n">
        <x:v>8</x:v>
      </x:c>
      <x:c r="K1047" s="28" t="n">
        <x:v>5</x:v>
      </x:c>
      <x:c r="L1047" s="28" t="n">
        <x:v>9</x:v>
      </x:c>
      <x:c r="M1047" s="28" t="n">
        <x:v>2</x:v>
      </x:c>
      <x:c r="N1047" s="28" t="n">
        <x:v>1</x:v>
      </x:c>
      <x:c r="O1047" s="28" t="n">
        <x:v>0</x:v>
      </x:c>
      <x:c r="P1047" s="28" t="n">
        <x:v>3</x:v>
      </x:c>
      <x:c r="Q1047" s="24" t="n">
        <x:f>IFERROR(J1047/H1047,0)</x:f>
        <x:v>0.5714285714285714</x:v>
      </x:c>
      <x:c r="R1047" s="24" t="n">
        <x:f>IFERROR(F1047/H1047,0)</x:f>
        <x:v>0.2857142857142857</x:v>
      </x:c>
      <x:c r="S1047" s="24" t="n">
        <x:f>IFERROR(F1047/J1047,0)</x:f>
        <x:v>0.5</x:v>
      </x:c>
      <x:c r="T1047" s="28" t="n">
        <x:f>H1047-I1047</x:f>
        <x:v>2</x:v>
      </x:c>
      <x:c r="U1047" s="24" t="n">
        <x:f>IFERROR(J1047/H1047,0)-IFERROR(K1047/I1047,0)</x:f>
        <x:v>0.1547619047619047</x:v>
      </x:c>
      <x:c r="V1047" s="24" t="n">
        <x:f>IFERROR(F1047/J1047,0)-IFERROR(G1047/K1047,0)</x:f>
        <x:v>-0.09999999999999998</x:v>
      </x:c>
      <x:c r="W1047" s="28" t="n">
        <x:f>L1047-M1047</x:f>
        <x:v>7</x:v>
      </x:c>
      <x:c r="X1047" s="24" t="n">
        <x:f>IFERROR(K1047/I1047,0)</x:f>
        <x:v>0.4166666666666667</x:v>
      </x:c>
      <x:c r="Y1047" s="24" t="n">
        <x:f>IFERROR(G1047/I1047,0)</x:f>
        <x:v>0.25</x:v>
      </x:c>
      <x:c r="Z1047" s="24" t="n">
        <x:f>IFERROR(G1047/K1047,0)</x:f>
        <x:v>0.6</x:v>
      </x:c>
      <x:c r="AA1047" s="24" t="n">
        <x:f>IFERROR(F1047/H1047,0)-IFERROR(G1047/I1047,0)</x:f>
        <x:v>0.0357142857142857</x:v>
      </x:c>
      <x:c r="AB1047" s="28" t="n">
        <x:f>J1047-K1047</x:f>
        <x:v>3</x:v>
      </x:c>
      <x:c r="AC1047" s="32" t="n">
        <x:f>F1047-G1047</x:f>
        <x:v>1</x:v>
      </x:c>
    </x:row>
    <x:row r="1048">
      <x:c r="A1048" s="4" t="str">
        <x:v>2022-23</x:v>
      </x:c>
      <x:c r="B1048" s="20" t="n">
        <x:v>44877</x:v>
      </x:c>
      <x:c r="C1048" s="4" t="str">
        <x:v>West Ham</x:v>
      </x:c>
      <x:c r="D1048" s="4" t="str">
        <x:v>Leicester</x:v>
      </x:c>
      <x:c r="E1048" s="4" t="str">
        <x:v>Home</x:v>
      </x:c>
      <x:c r="F1048" s="28" t="n">
        <x:v>0</x:v>
      </x:c>
      <x:c r="G1048" s="28" t="n">
        <x:v>2</x:v>
      </x:c>
      <x:c r="H1048" s="28" t="n">
        <x:v>18</x:v>
      </x:c>
      <x:c r="I1048" s="28" t="n">
        <x:v>9</x:v>
      </x:c>
      <x:c r="J1048" s="28" t="n">
        <x:v>6</x:v>
      </x:c>
      <x:c r="K1048" s="28" t="n">
        <x:v>6</x:v>
      </x:c>
      <x:c r="L1048" s="28" t="n">
        <x:v>7</x:v>
      </x:c>
      <x:c r="M1048" s="28" t="n">
        <x:v>2</x:v>
      </x:c>
      <x:c r="N1048" s="28" t="n">
        <x:v>3</x:v>
      </x:c>
      <x:c r="O1048" s="28" t="n">
        <x:v>0</x:v>
      </x:c>
      <x:c r="P1048" s="28" t="n">
        <x:v>0</x:v>
      </x:c>
      <x:c r="Q1048" s="24" t="n">
        <x:f>IFERROR(J1048/H1048,0)</x:f>
        <x:v>0.3333333333333333</x:v>
      </x:c>
      <x:c r="R1048" s="24" t="n">
        <x:f>IFERROR(F1048/H1048,0)</x:f>
        <x:v>0</x:v>
      </x:c>
      <x:c r="S1048" s="24" t="n">
        <x:f>IFERROR(F1048/J1048,0)</x:f>
        <x:v>0</x:v>
      </x:c>
      <x:c r="T1048" s="28" t="n">
        <x:f>H1048-I1048</x:f>
        <x:v>9</x:v>
      </x:c>
      <x:c r="U1048" s="24" t="n">
        <x:f>IFERROR(J1048/H1048,0)-IFERROR(K1048/I1048,0)</x:f>
        <x:v>-0.3333333333333333</x:v>
      </x:c>
      <x:c r="V1048" s="24" t="n">
        <x:f>IFERROR(F1048/J1048,0)-IFERROR(G1048/K1048,0)</x:f>
        <x:v>-0.3333333333333333</x:v>
      </x:c>
      <x:c r="W1048" s="28" t="n">
        <x:f>L1048-M1048</x:f>
        <x:v>5</x:v>
      </x:c>
      <x:c r="X1048" s="24" t="n">
        <x:f>IFERROR(K1048/I1048,0)</x:f>
        <x:v>0.6666666666666666</x:v>
      </x:c>
      <x:c r="Y1048" s="24" t="n">
        <x:f>IFERROR(G1048/I1048,0)</x:f>
        <x:v>0.2222222222222222</x:v>
      </x:c>
      <x:c r="Z1048" s="24" t="n">
        <x:f>IFERROR(G1048/K1048,0)</x:f>
        <x:v>0.3333333333333333</x:v>
      </x:c>
      <x:c r="AA1048" s="24" t="n">
        <x:f>IFERROR(F1048/H1048,0)-IFERROR(G1048/I1048,0)</x:f>
        <x:v>-0.2222222222222222</x:v>
      </x:c>
      <x:c r="AB1048" s="28" t="n">
        <x:f>J1048-K1048</x:f>
        <x:v>0</x:v>
      </x:c>
      <x:c r="AC1048" s="32" t="n">
        <x:f>F1048-G1048</x:f>
        <x:v>-2</x:v>
      </x:c>
    </x:row>
    <x:row r="1049">
      <x:c r="A1049" s="4" t="str">
        <x:v>2022-23</x:v>
      </x:c>
      <x:c r="B1049" s="20" t="n">
        <x:v>44877</x:v>
      </x:c>
      <x:c r="C1049" s="4" t="str">
        <x:v>Wolves</x:v>
      </x:c>
      <x:c r="D1049" s="4" t="str">
        <x:v>Arsenal</x:v>
      </x:c>
      <x:c r="E1049" s="4" t="str">
        <x:v>Home</x:v>
      </x:c>
      <x:c r="F1049" s="28" t="n">
        <x:v>0</x:v>
      </x:c>
      <x:c r="G1049" s="28" t="n">
        <x:v>2</x:v>
      </x:c>
      <x:c r="H1049" s="28" t="n">
        <x:v>11</x:v>
      </x:c>
      <x:c r="I1049" s="28" t="n">
        <x:v>14</x:v>
      </x:c>
      <x:c r="J1049" s="28" t="n">
        <x:v>2</x:v>
      </x:c>
      <x:c r="K1049" s="28" t="n">
        <x:v>4</x:v>
      </x:c>
      <x:c r="L1049" s="28" t="n">
        <x:v>6</x:v>
      </x:c>
      <x:c r="M1049" s="28" t="n">
        <x:v>4</x:v>
      </x:c>
      <x:c r="N1049" s="28" t="n">
        <x:v>3</x:v>
      </x:c>
      <x:c r="O1049" s="28" t="n">
        <x:v>0</x:v>
      </x:c>
      <x:c r="P1049" s="28" t="n">
        <x:v>0</x:v>
      </x:c>
      <x:c r="Q1049" s="24" t="n">
        <x:f>IFERROR(J1049/H1049,0)</x:f>
        <x:v>0.18181818181818182</x:v>
      </x:c>
      <x:c r="R1049" s="24" t="n">
        <x:f>IFERROR(F1049/H1049,0)</x:f>
        <x:v>0</x:v>
      </x:c>
      <x:c r="S1049" s="24" t="n">
        <x:f>IFERROR(F1049/J1049,0)</x:f>
        <x:v>0</x:v>
      </x:c>
      <x:c r="T1049" s="28" t="n">
        <x:f>H1049-I1049</x:f>
        <x:v>-3</x:v>
      </x:c>
      <x:c r="U1049" s="24" t="n">
        <x:f>IFERROR(J1049/H1049,0)-IFERROR(K1049/I1049,0)</x:f>
        <x:v>-0.10389610389610388</x:v>
      </x:c>
      <x:c r="V1049" s="24" t="n">
        <x:f>IFERROR(F1049/J1049,0)-IFERROR(G1049/K1049,0)</x:f>
        <x:v>-0.5</x:v>
      </x:c>
      <x:c r="W1049" s="28" t="n">
        <x:f>L1049-M1049</x:f>
        <x:v>2</x:v>
      </x:c>
      <x:c r="X1049" s="24" t="n">
        <x:f>IFERROR(K1049/I1049,0)</x:f>
        <x:v>0.2857142857142857</x:v>
      </x:c>
      <x:c r="Y1049" s="24" t="n">
        <x:f>IFERROR(G1049/I1049,0)</x:f>
        <x:v>0.14285714285714285</x:v>
      </x:c>
      <x:c r="Z1049" s="24" t="n">
        <x:f>IFERROR(G1049/K1049,0)</x:f>
        <x:v>0.5</x:v>
      </x:c>
      <x:c r="AA1049" s="24" t="n">
        <x:f>IFERROR(F1049/H1049,0)-IFERROR(G1049/I1049,0)</x:f>
        <x:v>-0.14285714285714285</x:v>
      </x:c>
      <x:c r="AB1049" s="28" t="n">
        <x:f>J1049-K1049</x:f>
        <x:v>-2</x:v>
      </x:c>
      <x:c r="AC1049" s="32" t="n">
        <x:f>F1049-G1049</x:f>
        <x:v>-2</x:v>
      </x:c>
    </x:row>
    <x:row r="1050">
      <x:c r="A1050" s="4" t="str">
        <x:v>2022-23</x:v>
      </x:c>
      <x:c r="B1050" s="20" t="n">
        <x:v>44878</x:v>
      </x:c>
      <x:c r="C1050" s="4" t="str">
        <x:v>Aston Villa</x:v>
      </x:c>
      <x:c r="D1050" s="4" t="str">
        <x:v>Brighton</x:v>
      </x:c>
      <x:c r="E1050" s="4" t="str">
        <x:v>Away</x:v>
      </x:c>
      <x:c r="F1050" s="28" t="n">
        <x:v>2</x:v>
      </x:c>
      <x:c r="G1050" s="28" t="n">
        <x:v>1</x:v>
      </x:c>
      <x:c r="H1050" s="28" t="n">
        <x:v>8</x:v>
      </x:c>
      <x:c r="I1050" s="28" t="n">
        <x:v>7</x:v>
      </x:c>
      <x:c r="J1050" s="28" t="n">
        <x:v>2</x:v>
      </x:c>
      <x:c r="K1050" s="28" t="n">
        <x:v>2</x:v>
      </x:c>
      <x:c r="L1050" s="28" t="n">
        <x:v>4</x:v>
      </x:c>
      <x:c r="M1050" s="28" t="n">
        <x:v>11</x:v>
      </x:c>
      <x:c r="N1050" s="28" t="n">
        <x:v>7</x:v>
      </x:c>
      <x:c r="O1050" s="28" t="n">
        <x:v>0</x:v>
      </x:c>
      <x:c r="P1050" s="28" t="n">
        <x:v>3</x:v>
      </x:c>
      <x:c r="Q1050" s="24" t="n">
        <x:f>IFERROR(J1050/H1050,0)</x:f>
        <x:v>0.25</x:v>
      </x:c>
      <x:c r="R1050" s="24" t="n">
        <x:f>IFERROR(F1050/H1050,0)</x:f>
        <x:v>0.25</x:v>
      </x:c>
      <x:c r="S1050" s="24" t="n">
        <x:f>IFERROR(F1050/J1050,0)</x:f>
        <x:v>1</x:v>
      </x:c>
      <x:c r="T1050" s="28" t="n">
        <x:f>H1050-I1050</x:f>
        <x:v>1</x:v>
      </x:c>
      <x:c r="U1050" s="24" t="n">
        <x:f>IFERROR(J1050/H1050,0)-IFERROR(K1050/I1050,0)</x:f>
        <x:v>-0.0357142857142857</x:v>
      </x:c>
      <x:c r="V1050" s="24" t="n">
        <x:f>IFERROR(F1050/J1050,0)-IFERROR(G1050/K1050,0)</x:f>
        <x:v>0.5</x:v>
      </x:c>
      <x:c r="W1050" s="28" t="n">
        <x:f>L1050-M1050</x:f>
        <x:v>-7</x:v>
      </x:c>
      <x:c r="X1050" s="24" t="n">
        <x:f>IFERROR(K1050/I1050,0)</x:f>
        <x:v>0.2857142857142857</x:v>
      </x:c>
      <x:c r="Y1050" s="24" t="n">
        <x:f>IFERROR(G1050/I1050,0)</x:f>
        <x:v>0.14285714285714285</x:v>
      </x:c>
      <x:c r="Z1050" s="24" t="n">
        <x:f>IFERROR(G1050/K1050,0)</x:f>
        <x:v>0.5</x:v>
      </x:c>
      <x:c r="AA1050" s="24" t="n">
        <x:f>IFERROR(F1050/H1050,0)-IFERROR(G1050/I1050,0)</x:f>
        <x:v>0.10714285714285715</x:v>
      </x:c>
      <x:c r="AB1050" s="28" t="n">
        <x:f>J1050-K1050</x:f>
        <x:v>0</x:v>
      </x:c>
      <x:c r="AC1050" s="32" t="n">
        <x:f>F1050-G1050</x:f>
        <x:v>1</x:v>
      </x:c>
    </x:row>
    <x:row r="1051">
      <x:c r="A1051" s="4" t="str">
        <x:v>2022-23</x:v>
      </x:c>
      <x:c r="B1051" s="20" t="n">
        <x:v>44878</x:v>
      </x:c>
      <x:c r="C1051" s="4" t="str">
        <x:v>Brighton</x:v>
      </x:c>
      <x:c r="D1051" s="4" t="str">
        <x:v>Aston Villa</x:v>
      </x:c>
      <x:c r="E1051" s="4" t="str">
        <x:v>Home</x:v>
      </x:c>
      <x:c r="F1051" s="28" t="n">
        <x:v>1</x:v>
      </x:c>
      <x:c r="G1051" s="28" t="n">
        <x:v>2</x:v>
      </x:c>
      <x:c r="H1051" s="28" t="n">
        <x:v>7</x:v>
      </x:c>
      <x:c r="I1051" s="28" t="n">
        <x:v>8</x:v>
      </x:c>
      <x:c r="J1051" s="28" t="n">
        <x:v>2</x:v>
      </x:c>
      <x:c r="K1051" s="28" t="n">
        <x:v>2</x:v>
      </x:c>
      <x:c r="L1051" s="28" t="n">
        <x:v>11</x:v>
      </x:c>
      <x:c r="M1051" s="28" t="n">
        <x:v>4</x:v>
      </x:c>
      <x:c r="N1051" s="28" t="n">
        <x:v>2</x:v>
      </x:c>
      <x:c r="O1051" s="28" t="n">
        <x:v>0</x:v>
      </x:c>
      <x:c r="P1051" s="28" t="n">
        <x:v>0</x:v>
      </x:c>
      <x:c r="Q1051" s="24" t="n">
        <x:f>IFERROR(J1051/H1051,0)</x:f>
        <x:v>0.2857142857142857</x:v>
      </x:c>
      <x:c r="R1051" s="24" t="n">
        <x:f>IFERROR(F1051/H1051,0)</x:f>
        <x:v>0.14285714285714285</x:v>
      </x:c>
      <x:c r="S1051" s="24" t="n">
        <x:f>IFERROR(F1051/J1051,0)</x:f>
        <x:v>0.5</x:v>
      </x:c>
      <x:c r="T1051" s="28" t="n">
        <x:f>H1051-I1051</x:f>
        <x:v>-1</x:v>
      </x:c>
      <x:c r="U1051" s="24" t="n">
        <x:f>IFERROR(J1051/H1051,0)-IFERROR(K1051/I1051,0)</x:f>
        <x:v>0.0357142857142857</x:v>
      </x:c>
      <x:c r="V1051" s="24" t="n">
        <x:f>IFERROR(F1051/J1051,0)-IFERROR(G1051/K1051,0)</x:f>
        <x:v>-0.5</x:v>
      </x:c>
      <x:c r="W1051" s="28" t="n">
        <x:f>L1051-M1051</x:f>
        <x:v>7</x:v>
      </x:c>
      <x:c r="X1051" s="24" t="n">
        <x:f>IFERROR(K1051/I1051,0)</x:f>
        <x:v>0.25</x:v>
      </x:c>
      <x:c r="Y1051" s="24" t="n">
        <x:f>IFERROR(G1051/I1051,0)</x:f>
        <x:v>0.25</x:v>
      </x:c>
      <x:c r="Z1051" s="24" t="n">
        <x:f>IFERROR(G1051/K1051,0)</x:f>
        <x:v>1</x:v>
      </x:c>
      <x:c r="AA1051" s="24" t="n">
        <x:f>IFERROR(F1051/H1051,0)-IFERROR(G1051/I1051,0)</x:f>
        <x:v>-0.10714285714285715</x:v>
      </x:c>
      <x:c r="AB1051" s="28" t="n">
        <x:f>J1051-K1051</x:f>
        <x:v>0</x:v>
      </x:c>
      <x:c r="AC1051" s="32" t="n">
        <x:f>F1051-G1051</x:f>
        <x:v>-1</x:v>
      </x:c>
    </x:row>
    <x:row r="1052">
      <x:c r="A1052" s="4" t="str">
        <x:v>2022-23</x:v>
      </x:c>
      <x:c r="B1052" s="20" t="n">
        <x:v>44878</x:v>
      </x:c>
      <x:c r="C1052" s="4" t="str">
        <x:v>Fulham</x:v>
      </x:c>
      <x:c r="D1052" s="4" t="str">
        <x:v>Man United</x:v>
      </x:c>
      <x:c r="E1052" s="4" t="str">
        <x:v>Home</x:v>
      </x:c>
      <x:c r="F1052" s="28" t="n">
        <x:v>1</x:v>
      </x:c>
      <x:c r="G1052" s="28" t="n">
        <x:v>2</x:v>
      </x:c>
      <x:c r="H1052" s="28" t="n">
        <x:v>14</x:v>
      </x:c>
      <x:c r="I1052" s="28" t="n">
        <x:v>14</x:v>
      </x:c>
      <x:c r="J1052" s="28" t="n">
        <x:v>7</x:v>
      </x:c>
      <x:c r="K1052" s="28" t="n">
        <x:v>9</x:v>
      </x:c>
      <x:c r="L1052" s="28" t="n">
        <x:v>10</x:v>
      </x:c>
      <x:c r="M1052" s="28" t="n">
        <x:v>3</x:v>
      </x:c>
      <x:c r="N1052" s="28" t="n">
        <x:v>1</x:v>
      </x:c>
      <x:c r="O1052" s="28" t="n">
        <x:v>0</x:v>
      </x:c>
      <x:c r="P1052" s="28" t="n">
        <x:v>0</x:v>
      </x:c>
      <x:c r="Q1052" s="24" t="n">
        <x:f>IFERROR(J1052/H1052,0)</x:f>
        <x:v>0.5</x:v>
      </x:c>
      <x:c r="R1052" s="24" t="n">
        <x:f>IFERROR(F1052/H1052,0)</x:f>
        <x:v>0.07142857142857142</x:v>
      </x:c>
      <x:c r="S1052" s="24" t="n">
        <x:f>IFERROR(F1052/J1052,0)</x:f>
        <x:v>0.14285714285714285</x:v>
      </x:c>
      <x:c r="T1052" s="28" t="n">
        <x:f>H1052-I1052</x:f>
        <x:v>0</x:v>
      </x:c>
      <x:c r="U1052" s="24" t="n">
        <x:f>IFERROR(J1052/H1052,0)-IFERROR(K1052/I1052,0)</x:f>
        <x:v>-0.1428571428571429</x:v>
      </x:c>
      <x:c r="V1052" s="24" t="n">
        <x:f>IFERROR(F1052/J1052,0)-IFERROR(G1052/K1052,0)</x:f>
        <x:v>-0.07936507936507936</x:v>
      </x:c>
      <x:c r="W1052" s="28" t="n">
        <x:f>L1052-M1052</x:f>
        <x:v>7</x:v>
      </x:c>
      <x:c r="X1052" s="24" t="n">
        <x:f>IFERROR(K1052/I1052,0)</x:f>
        <x:v>0.6428571428571429</x:v>
      </x:c>
      <x:c r="Y1052" s="24" t="n">
        <x:f>IFERROR(G1052/I1052,0)</x:f>
        <x:v>0.14285714285714285</x:v>
      </x:c>
      <x:c r="Z1052" s="24" t="n">
        <x:f>IFERROR(G1052/K1052,0)</x:f>
        <x:v>0.2222222222222222</x:v>
      </x:c>
      <x:c r="AA1052" s="24" t="n">
        <x:f>IFERROR(F1052/H1052,0)-IFERROR(G1052/I1052,0)</x:f>
        <x:v>-0.07142857142857142</x:v>
      </x:c>
      <x:c r="AB1052" s="28" t="n">
        <x:f>J1052-K1052</x:f>
        <x:v>-2</x:v>
      </x:c>
      <x:c r="AC1052" s="32" t="n">
        <x:f>F1052-G1052</x:f>
        <x:v>-1</x:v>
      </x:c>
    </x:row>
    <x:row r="1053">
      <x:c r="A1053" s="4" t="str">
        <x:v>2022-23</x:v>
      </x:c>
      <x:c r="B1053" s="20" t="n">
        <x:v>44878</x:v>
      </x:c>
      <x:c r="C1053" s="4" t="str">
        <x:v>Man United</x:v>
      </x:c>
      <x:c r="D1053" s="4" t="str">
        <x:v>Fulham</x:v>
      </x:c>
      <x:c r="E1053" s="4" t="str">
        <x:v>Away</x:v>
      </x:c>
      <x:c r="F1053" s="28" t="n">
        <x:v>2</x:v>
      </x:c>
      <x:c r="G1053" s="28" t="n">
        <x:v>1</x:v>
      </x:c>
      <x:c r="H1053" s="28" t="n">
        <x:v>14</x:v>
      </x:c>
      <x:c r="I1053" s="28" t="n">
        <x:v>14</x:v>
      </x:c>
      <x:c r="J1053" s="28" t="n">
        <x:v>9</x:v>
      </x:c>
      <x:c r="K1053" s="28" t="n">
        <x:v>7</x:v>
      </x:c>
      <x:c r="L1053" s="28" t="n">
        <x:v>3</x:v>
      </x:c>
      <x:c r="M1053" s="28" t="n">
        <x:v>10</x:v>
      </x:c>
      <x:c r="N1053" s="28" t="n">
        <x:v>1</x:v>
      </x:c>
      <x:c r="O1053" s="28" t="n">
        <x:v>0</x:v>
      </x:c>
      <x:c r="P1053" s="28" t="n">
        <x:v>3</x:v>
      </x:c>
      <x:c r="Q1053" s="24" t="n">
        <x:f>IFERROR(J1053/H1053,0)</x:f>
        <x:v>0.6428571428571429</x:v>
      </x:c>
      <x:c r="R1053" s="24" t="n">
        <x:f>IFERROR(F1053/H1053,0)</x:f>
        <x:v>0.14285714285714285</x:v>
      </x:c>
      <x:c r="S1053" s="24" t="n">
        <x:f>IFERROR(F1053/J1053,0)</x:f>
        <x:v>0.2222222222222222</x:v>
      </x:c>
      <x:c r="T1053" s="28" t="n">
        <x:f>H1053-I1053</x:f>
        <x:v>0</x:v>
      </x:c>
      <x:c r="U1053" s="24" t="n">
        <x:f>IFERROR(J1053/H1053,0)-IFERROR(K1053/I1053,0)</x:f>
        <x:v>0.1428571428571429</x:v>
      </x:c>
      <x:c r="V1053" s="24" t="n">
        <x:f>IFERROR(F1053/J1053,0)-IFERROR(G1053/K1053,0)</x:f>
        <x:v>0.07936507936507936</x:v>
      </x:c>
      <x:c r="W1053" s="28" t="n">
        <x:f>L1053-M1053</x:f>
        <x:v>-7</x:v>
      </x:c>
      <x:c r="X1053" s="24" t="n">
        <x:f>IFERROR(K1053/I1053,0)</x:f>
        <x:v>0.5</x:v>
      </x:c>
      <x:c r="Y1053" s="24" t="n">
        <x:f>IFERROR(G1053/I1053,0)</x:f>
        <x:v>0.07142857142857142</x:v>
      </x:c>
      <x:c r="Z1053" s="24" t="n">
        <x:f>IFERROR(G1053/K1053,0)</x:f>
        <x:v>0.14285714285714285</x:v>
      </x:c>
      <x:c r="AA1053" s="24" t="n">
        <x:f>IFERROR(F1053/H1053,0)-IFERROR(G1053/I1053,0)</x:f>
        <x:v>0.07142857142857142</x:v>
      </x:c>
      <x:c r="AB1053" s="28" t="n">
        <x:f>J1053-K1053</x:f>
        <x:v>2</x:v>
      </x:c>
      <x:c r="AC1053" s="32" t="n">
        <x:f>F1053-G1053</x:f>
        <x:v>1</x:v>
      </x:c>
    </x:row>
    <x:row r="1054">
      <x:c r="A1054" s="4" t="str">
        <x:v>2022-23</x:v>
      </x:c>
      <x:c r="B1054" s="20" t="n">
        <x:v>44921</x:v>
      </x:c>
      <x:c r="C1054" s="4" t="str">
        <x:v>Arsenal</x:v>
      </x:c>
      <x:c r="D1054" s="4" t="str">
        <x:v>West Ham</x:v>
      </x:c>
      <x:c r="E1054" s="4" t="str">
        <x:v>Home</x:v>
      </x:c>
      <x:c r="F1054" s="28" t="n">
        <x:v>3</x:v>
      </x:c>
      <x:c r="G1054" s="28" t="n">
        <x:v>1</x:v>
      </x:c>
      <x:c r="H1054" s="28" t="n">
        <x:v>16</x:v>
      </x:c>
      <x:c r="I1054" s="28" t="n">
        <x:v>8</x:v>
      </x:c>
      <x:c r="J1054" s="28" t="n">
        <x:v>5</x:v>
      </x:c>
      <x:c r="K1054" s="28" t="n">
        <x:v>4</x:v>
      </x:c>
      <x:c r="L1054" s="28" t="n">
        <x:v>7</x:v>
      </x:c>
      <x:c r="M1054" s="28" t="n">
        <x:v>5</x:v>
      </x:c>
      <x:c r="N1054" s="28" t="n">
        <x:v>0</x:v>
      </x:c>
      <x:c r="O1054" s="28" t="n">
        <x:v>0</x:v>
      </x:c>
      <x:c r="P1054" s="28" t="n">
        <x:v>3</x:v>
      </x:c>
      <x:c r="Q1054" s="24" t="n">
        <x:f>IFERROR(J1054/H1054,0)</x:f>
        <x:v>0.3125</x:v>
      </x:c>
      <x:c r="R1054" s="24" t="n">
        <x:f>IFERROR(F1054/H1054,0)</x:f>
        <x:v>0.1875</x:v>
      </x:c>
      <x:c r="S1054" s="24" t="n">
        <x:f>IFERROR(F1054/J1054,0)</x:f>
        <x:v>0.6</x:v>
      </x:c>
      <x:c r="T1054" s="28" t="n">
        <x:f>H1054-I1054</x:f>
        <x:v>8</x:v>
      </x:c>
      <x:c r="U1054" s="24" t="n">
        <x:f>IFERROR(J1054/H1054,0)-IFERROR(K1054/I1054,0)</x:f>
        <x:v>-0.1875</x:v>
      </x:c>
      <x:c r="V1054" s="24" t="n">
        <x:f>IFERROR(F1054/J1054,0)-IFERROR(G1054/K1054,0)</x:f>
        <x:v>0.35</x:v>
      </x:c>
      <x:c r="W1054" s="28" t="n">
        <x:f>L1054-M1054</x:f>
        <x:v>2</x:v>
      </x:c>
      <x:c r="X1054" s="24" t="n">
        <x:f>IFERROR(K1054/I1054,0)</x:f>
        <x:v>0.5</x:v>
      </x:c>
      <x:c r="Y1054" s="24" t="n">
        <x:f>IFERROR(G1054/I1054,0)</x:f>
        <x:v>0.125</x:v>
      </x:c>
      <x:c r="Z1054" s="24" t="n">
        <x:f>IFERROR(G1054/K1054,0)</x:f>
        <x:v>0.25</x:v>
      </x:c>
      <x:c r="AA1054" s="24" t="n">
        <x:f>IFERROR(F1054/H1054,0)-IFERROR(G1054/I1054,0)</x:f>
        <x:v>0.0625</x:v>
      </x:c>
      <x:c r="AB1054" s="28" t="n">
        <x:f>J1054-K1054</x:f>
        <x:v>1</x:v>
      </x:c>
      <x:c r="AC1054" s="32" t="n">
        <x:f>F1054-G1054</x:f>
        <x:v>2</x:v>
      </x:c>
    </x:row>
    <x:row r="1055">
      <x:c r="A1055" s="4" t="str">
        <x:v>2022-23</x:v>
      </x:c>
      <x:c r="B1055" s="20" t="n">
        <x:v>44921</x:v>
      </x:c>
      <x:c r="C1055" s="4" t="str">
        <x:v>Aston Villa</x:v>
      </x:c>
      <x:c r="D1055" s="4" t="str">
        <x:v>Liverpool</x:v>
      </x:c>
      <x:c r="E1055" s="4" t="str">
        <x:v>Home</x:v>
      </x:c>
      <x:c r="F1055" s="28" t="n">
        <x:v>1</x:v>
      </x:c>
      <x:c r="G1055" s="28" t="n">
        <x:v>3</x:v>
      </x:c>
      <x:c r="H1055" s="28" t="n">
        <x:v>12</x:v>
      </x:c>
      <x:c r="I1055" s="28" t="n">
        <x:v>16</x:v>
      </x:c>
      <x:c r="J1055" s="28" t="n">
        <x:v>6</x:v>
      </x:c>
      <x:c r="K1055" s="28" t="n">
        <x:v>9</x:v>
      </x:c>
      <x:c r="L1055" s="28" t="n">
        <x:v>0</x:v>
      </x:c>
      <x:c r="M1055" s="28" t="n">
        <x:v>6</x:v>
      </x:c>
      <x:c r="N1055" s="28" t="n">
        <x:v>0</x:v>
      </x:c>
      <x:c r="O1055" s="28" t="n">
        <x:v>0</x:v>
      </x:c>
      <x:c r="P1055" s="28" t="n">
        <x:v>0</x:v>
      </x:c>
      <x:c r="Q1055" s="24" t="n">
        <x:f>IFERROR(J1055/H1055,0)</x:f>
        <x:v>0.5</x:v>
      </x:c>
      <x:c r="R1055" s="24" t="n">
        <x:f>IFERROR(F1055/H1055,0)</x:f>
        <x:v>0.08333333333333333</x:v>
      </x:c>
      <x:c r="S1055" s="24" t="n">
        <x:f>IFERROR(F1055/J1055,0)</x:f>
        <x:v>0.16666666666666666</x:v>
      </x:c>
      <x:c r="T1055" s="28" t="n">
        <x:f>H1055-I1055</x:f>
        <x:v>-4</x:v>
      </x:c>
      <x:c r="U1055" s="24" t="n">
        <x:f>IFERROR(J1055/H1055,0)-IFERROR(K1055/I1055,0)</x:f>
        <x:v>-0.0625</x:v>
      </x:c>
      <x:c r="V1055" s="24" t="n">
        <x:f>IFERROR(F1055/J1055,0)-IFERROR(G1055/K1055,0)</x:f>
        <x:v>-0.16666666666666666</x:v>
      </x:c>
      <x:c r="W1055" s="28" t="n">
        <x:f>L1055-M1055</x:f>
        <x:v>-6</x:v>
      </x:c>
      <x:c r="X1055" s="24" t="n">
        <x:f>IFERROR(K1055/I1055,0)</x:f>
        <x:v>0.5625</x:v>
      </x:c>
      <x:c r="Y1055" s="24" t="n">
        <x:f>IFERROR(G1055/I1055,0)</x:f>
        <x:v>0.1875</x:v>
      </x:c>
      <x:c r="Z1055" s="24" t="n">
        <x:f>IFERROR(G1055/K1055,0)</x:f>
        <x:v>0.3333333333333333</x:v>
      </x:c>
      <x:c r="AA1055" s="24" t="n">
        <x:f>IFERROR(F1055/H1055,0)-IFERROR(G1055/I1055,0)</x:f>
        <x:v>-0.10416666666666667</x:v>
      </x:c>
      <x:c r="AB1055" s="28" t="n">
        <x:f>J1055-K1055</x:f>
        <x:v>-3</x:v>
      </x:c>
      <x:c r="AC1055" s="32" t="n">
        <x:f>F1055-G1055</x:f>
        <x:v>-2</x:v>
      </x:c>
    </x:row>
    <x:row r="1056">
      <x:c r="A1056" s="4" t="str">
        <x:v>2022-23</x:v>
      </x:c>
      <x:c r="B1056" s="20" t="n">
        <x:v>44921</x:v>
      </x:c>
      <x:c r="C1056" s="4" t="str">
        <x:v>Brentford</x:v>
      </x:c>
      <x:c r="D1056" s="4" t="str">
        <x:v>Tottenham</x:v>
      </x:c>
      <x:c r="E1056" s="4" t="str">
        <x:v>Home</x:v>
      </x:c>
      <x:c r="F1056" s="28" t="n">
        <x:v>2</x:v>
      </x:c>
      <x:c r="G1056" s="28" t="n">
        <x:v>2</x:v>
      </x:c>
      <x:c r="H1056" s="28" t="n">
        <x:v>9</x:v>
      </x:c>
      <x:c r="I1056" s="28" t="n">
        <x:v>16</x:v>
      </x:c>
      <x:c r="J1056" s="28" t="n">
        <x:v>5</x:v>
      </x:c>
      <x:c r="K1056" s="28" t="n">
        <x:v>8</x:v>
      </x:c>
      <x:c r="L1056" s="28" t="n">
        <x:v>6</x:v>
      </x:c>
      <x:c r="M1056" s="28" t="n">
        <x:v>5</x:v>
      </x:c>
      <x:c r="N1056" s="28" t="n">
        <x:v>3</x:v>
      </x:c>
      <x:c r="O1056" s="28" t="n">
        <x:v>0</x:v>
      </x:c>
      <x:c r="P1056" s="28" t="n">
        <x:v>1</x:v>
      </x:c>
      <x:c r="Q1056" s="24" t="n">
        <x:f>IFERROR(J1056/H1056,0)</x:f>
        <x:v>0.5555555555555556</x:v>
      </x:c>
      <x:c r="R1056" s="24" t="n">
        <x:f>IFERROR(F1056/H1056,0)</x:f>
        <x:v>0.2222222222222222</x:v>
      </x:c>
      <x:c r="S1056" s="24" t="n">
        <x:f>IFERROR(F1056/J1056,0)</x:f>
        <x:v>0.4</x:v>
      </x:c>
      <x:c r="T1056" s="28" t="n">
        <x:f>H1056-I1056</x:f>
        <x:v>-7</x:v>
      </x:c>
      <x:c r="U1056" s="24" t="n">
        <x:f>IFERROR(J1056/H1056,0)-IFERROR(K1056/I1056,0)</x:f>
        <x:v>0.05555555555555558</x:v>
      </x:c>
      <x:c r="V1056" s="24" t="n">
        <x:f>IFERROR(F1056/J1056,0)-IFERROR(G1056/K1056,0)</x:f>
        <x:v>0.15000000000000002</x:v>
      </x:c>
      <x:c r="W1056" s="28" t="n">
        <x:f>L1056-M1056</x:f>
        <x:v>1</x:v>
      </x:c>
      <x:c r="X1056" s="24" t="n">
        <x:f>IFERROR(K1056/I1056,0)</x:f>
        <x:v>0.5</x:v>
      </x:c>
      <x:c r="Y1056" s="24" t="n">
        <x:f>IFERROR(G1056/I1056,0)</x:f>
        <x:v>0.125</x:v>
      </x:c>
      <x:c r="Z1056" s="24" t="n">
        <x:f>IFERROR(G1056/K1056,0)</x:f>
        <x:v>0.25</x:v>
      </x:c>
      <x:c r="AA1056" s="24" t="n">
        <x:f>IFERROR(F1056/H1056,0)-IFERROR(G1056/I1056,0)</x:f>
        <x:v>0.09722222222222221</x:v>
      </x:c>
      <x:c r="AB1056" s="28" t="n">
        <x:f>J1056-K1056</x:f>
        <x:v>-3</x:v>
      </x:c>
      <x:c r="AC1056" s="32" t="n">
        <x:f>F1056-G1056</x:f>
        <x:v>0</x:v>
      </x:c>
    </x:row>
    <x:row r="1057">
      <x:c r="A1057" s="4" t="str">
        <x:v>2022-23</x:v>
      </x:c>
      <x:c r="B1057" s="20" t="n">
        <x:v>44921</x:v>
      </x:c>
      <x:c r="C1057" s="4" t="str">
        <x:v>Brighton</x:v>
      </x:c>
      <x:c r="D1057" s="4" t="str">
        <x:v>Southampton</x:v>
      </x:c>
      <x:c r="E1057" s="4" t="str">
        <x:v>Away</x:v>
      </x:c>
      <x:c r="F1057" s="28" t="n">
        <x:v>3</x:v>
      </x:c>
      <x:c r="G1057" s="28" t="n">
        <x:v>1</x:v>
      </x:c>
      <x:c r="H1057" s="28" t="n">
        <x:v>7</x:v>
      </x:c>
      <x:c r="I1057" s="28" t="n">
        <x:v>14</x:v>
      </x:c>
      <x:c r="J1057" s="28" t="n">
        <x:v>4</x:v>
      </x:c>
      <x:c r="K1057" s="28" t="n">
        <x:v>4</x:v>
      </x:c>
      <x:c r="L1057" s="28" t="n">
        <x:v>2</x:v>
      </x:c>
      <x:c r="M1057" s="28" t="n">
        <x:v>4</x:v>
      </x:c>
      <x:c r="N1057" s="28" t="n">
        <x:v>2</x:v>
      </x:c>
      <x:c r="O1057" s="28" t="n">
        <x:v>0</x:v>
      </x:c>
      <x:c r="P1057" s="28" t="n">
        <x:v>3</x:v>
      </x:c>
      <x:c r="Q1057" s="24" t="n">
        <x:f>IFERROR(J1057/H1057,0)</x:f>
        <x:v>0.5714285714285714</x:v>
      </x:c>
      <x:c r="R1057" s="24" t="n">
        <x:f>IFERROR(F1057/H1057,0)</x:f>
        <x:v>0.42857142857142855</x:v>
      </x:c>
      <x:c r="S1057" s="24" t="n">
        <x:f>IFERROR(F1057/J1057,0)</x:f>
        <x:v>0.75</x:v>
      </x:c>
      <x:c r="T1057" s="28" t="n">
        <x:f>H1057-I1057</x:f>
        <x:v>-7</x:v>
      </x:c>
      <x:c r="U1057" s="24" t="n">
        <x:f>IFERROR(J1057/H1057,0)-IFERROR(K1057/I1057,0)</x:f>
        <x:v>0.2857142857142857</x:v>
      </x:c>
      <x:c r="V1057" s="24" t="n">
        <x:f>IFERROR(F1057/J1057,0)-IFERROR(G1057/K1057,0)</x:f>
        <x:v>0.5</x:v>
      </x:c>
      <x:c r="W1057" s="28" t="n">
        <x:f>L1057-M1057</x:f>
        <x:v>-2</x:v>
      </x:c>
      <x:c r="X1057" s="24" t="n">
        <x:f>IFERROR(K1057/I1057,0)</x:f>
        <x:v>0.2857142857142857</x:v>
      </x:c>
      <x:c r="Y1057" s="24" t="n">
        <x:f>IFERROR(G1057/I1057,0)</x:f>
        <x:v>0.07142857142857142</x:v>
      </x:c>
      <x:c r="Z1057" s="24" t="n">
        <x:f>IFERROR(G1057/K1057,0)</x:f>
        <x:v>0.25</x:v>
      </x:c>
      <x:c r="AA1057" s="24" t="n">
        <x:f>IFERROR(F1057/H1057,0)-IFERROR(G1057/I1057,0)</x:f>
        <x:v>0.3571428571428571</x:v>
      </x:c>
      <x:c r="AB1057" s="28" t="n">
        <x:f>J1057-K1057</x:f>
        <x:v>0</x:v>
      </x:c>
      <x:c r="AC1057" s="32" t="n">
        <x:f>F1057-G1057</x:f>
        <x:v>2</x:v>
      </x:c>
    </x:row>
    <x:row r="1058">
      <x:c r="A1058" s="4" t="str">
        <x:v>2022-23</x:v>
      </x:c>
      <x:c r="B1058" s="20" t="n">
        <x:v>44921</x:v>
      </x:c>
      <x:c r="C1058" s="4" t="str">
        <x:v>Crystal Palace</x:v>
      </x:c>
      <x:c r="D1058" s="4" t="str">
        <x:v>Fulham</x:v>
      </x:c>
      <x:c r="E1058" s="4" t="str">
        <x:v>Home</x:v>
      </x:c>
      <x:c r="F1058" s="28" t="n">
        <x:v>0</x:v>
      </x:c>
      <x:c r="G1058" s="28" t="n">
        <x:v>3</x:v>
      </x:c>
      <x:c r="H1058" s="28" t="n">
        <x:v>4</x:v>
      </x:c>
      <x:c r="I1058" s="28" t="n">
        <x:v>23</x:v>
      </x:c>
      <x:c r="J1058" s="28" t="n">
        <x:v>0</x:v>
      </x:c>
      <x:c r="K1058" s="28" t="n">
        <x:v>11</x:v>
      </x:c>
      <x:c r="L1058" s="28" t="n">
        <x:v>1</x:v>
      </x:c>
      <x:c r="M1058" s="28" t="n">
        <x:v>8</x:v>
      </x:c>
      <x:c r="N1058" s="28" t="n">
        <x:v>0</x:v>
      </x:c>
      <x:c r="O1058" s="28" t="n">
        <x:v>2</x:v>
      </x:c>
      <x:c r="P1058" s="28" t="n">
        <x:v>0</x:v>
      </x:c>
      <x:c r="Q1058" s="24" t="n">
        <x:f>IFERROR(J1058/H1058,0)</x:f>
        <x:v>0</x:v>
      </x:c>
      <x:c r="R1058" s="24" t="n">
        <x:f>IFERROR(F1058/H1058,0)</x:f>
        <x:v>0</x:v>
      </x:c>
      <x:c r="S1058" s="24" t="n">
        <x:f>IFERROR(F1058/J1058,0)</x:f>
        <x:v>0</x:v>
      </x:c>
      <x:c r="T1058" s="28" t="n">
        <x:f>H1058-I1058</x:f>
        <x:v>-19</x:v>
      </x:c>
      <x:c r="U1058" s="24" t="n">
        <x:f>IFERROR(J1058/H1058,0)-IFERROR(K1058/I1058,0)</x:f>
        <x:v>-0.4782608695652174</x:v>
      </x:c>
      <x:c r="V1058" s="24" t="n">
        <x:f>IFERROR(F1058/J1058,0)-IFERROR(G1058/K1058,0)</x:f>
        <x:v>-0.2727272727272727</x:v>
      </x:c>
      <x:c r="W1058" s="28" t="n">
        <x:f>L1058-M1058</x:f>
        <x:v>-7</x:v>
      </x:c>
      <x:c r="X1058" s="24" t="n">
        <x:f>IFERROR(K1058/I1058,0)</x:f>
        <x:v>0.4782608695652174</x:v>
      </x:c>
      <x:c r="Y1058" s="24" t="n">
        <x:f>IFERROR(G1058/I1058,0)</x:f>
        <x:v>0.13043478260869565</x:v>
      </x:c>
      <x:c r="Z1058" s="24" t="n">
        <x:f>IFERROR(G1058/K1058,0)</x:f>
        <x:v>0.2727272727272727</x:v>
      </x:c>
      <x:c r="AA1058" s="24" t="n">
        <x:f>IFERROR(F1058/H1058,0)-IFERROR(G1058/I1058,0)</x:f>
        <x:v>-0.13043478260869565</x:v>
      </x:c>
      <x:c r="AB1058" s="28" t="n">
        <x:f>J1058-K1058</x:f>
        <x:v>-11</x:v>
      </x:c>
      <x:c r="AC1058" s="32" t="n">
        <x:f>F1058-G1058</x:f>
        <x:v>-3</x:v>
      </x:c>
    </x:row>
    <x:row r="1059">
      <x:c r="A1059" s="4" t="str">
        <x:v>2022-23</x:v>
      </x:c>
      <x:c r="B1059" s="20" t="n">
        <x:v>44921</x:v>
      </x:c>
      <x:c r="C1059" s="4" t="str">
        <x:v>Everton</x:v>
      </x:c>
      <x:c r="D1059" s="4" t="str">
        <x:v>Wolves</x:v>
      </x:c>
      <x:c r="E1059" s="4" t="str">
        <x:v>Home</x:v>
      </x:c>
      <x:c r="F1059" s="28" t="n">
        <x:v>1</x:v>
      </x:c>
      <x:c r="G1059" s="28" t="n">
        <x:v>2</x:v>
      </x:c>
      <x:c r="H1059" s="28" t="n">
        <x:v>12</x:v>
      </x:c>
      <x:c r="I1059" s="28" t="n">
        <x:v>7</x:v>
      </x:c>
      <x:c r="J1059" s="28" t="n">
        <x:v>6</x:v>
      </x:c>
      <x:c r="K1059" s="28" t="n">
        <x:v>4</x:v>
      </x:c>
      <x:c r="L1059" s="28" t="n">
        <x:v>2</x:v>
      </x:c>
      <x:c r="M1059" s="28" t="n">
        <x:v>2</x:v>
      </x:c>
      <x:c r="N1059" s="28" t="n">
        <x:v>1</x:v>
      </x:c>
      <x:c r="O1059" s="28" t="n">
        <x:v>0</x:v>
      </x:c>
      <x:c r="P1059" s="28" t="n">
        <x:v>0</x:v>
      </x:c>
      <x:c r="Q1059" s="24" t="n">
        <x:f>IFERROR(J1059/H1059,0)</x:f>
        <x:v>0.5</x:v>
      </x:c>
      <x:c r="R1059" s="24" t="n">
        <x:f>IFERROR(F1059/H1059,0)</x:f>
        <x:v>0.08333333333333333</x:v>
      </x:c>
      <x:c r="S1059" s="24" t="n">
        <x:f>IFERROR(F1059/J1059,0)</x:f>
        <x:v>0.16666666666666666</x:v>
      </x:c>
      <x:c r="T1059" s="28" t="n">
        <x:f>H1059-I1059</x:f>
        <x:v>5</x:v>
      </x:c>
      <x:c r="U1059" s="24" t="n">
        <x:f>IFERROR(J1059/H1059,0)-IFERROR(K1059/I1059,0)</x:f>
        <x:v>-0.0714285714285714</x:v>
      </x:c>
      <x:c r="V1059" s="24" t="n">
        <x:f>IFERROR(F1059/J1059,0)-IFERROR(G1059/K1059,0)</x:f>
        <x:v>-0.33333333333333337</x:v>
      </x:c>
      <x:c r="W1059" s="28" t="n">
        <x:f>L1059-M1059</x:f>
        <x:v>0</x:v>
      </x:c>
      <x:c r="X1059" s="24" t="n">
        <x:f>IFERROR(K1059/I1059,0)</x:f>
        <x:v>0.5714285714285714</x:v>
      </x:c>
      <x:c r="Y1059" s="24" t="n">
        <x:f>IFERROR(G1059/I1059,0)</x:f>
        <x:v>0.2857142857142857</x:v>
      </x:c>
      <x:c r="Z1059" s="24" t="n">
        <x:f>IFERROR(G1059/K1059,0)</x:f>
        <x:v>0.5</x:v>
      </x:c>
      <x:c r="AA1059" s="24" t="n">
        <x:f>IFERROR(F1059/H1059,0)-IFERROR(G1059/I1059,0)</x:f>
        <x:v>-0.20238095238095238</x:v>
      </x:c>
      <x:c r="AB1059" s="28" t="n">
        <x:f>J1059-K1059</x:f>
        <x:v>2</x:v>
      </x:c>
      <x:c r="AC1059" s="32" t="n">
        <x:f>F1059-G1059</x:f>
        <x:v>-1</x:v>
      </x:c>
    </x:row>
    <x:row r="1060">
      <x:c r="A1060" s="4" t="str">
        <x:v>2022-23</x:v>
      </x:c>
      <x:c r="B1060" s="20" t="n">
        <x:v>44921</x:v>
      </x:c>
      <x:c r="C1060" s="4" t="str">
        <x:v>Fulham</x:v>
      </x:c>
      <x:c r="D1060" s="4" t="str">
        <x:v>Crystal Palace</x:v>
      </x:c>
      <x:c r="E1060" s="4" t="str">
        <x:v>Away</x:v>
      </x:c>
      <x:c r="F1060" s="28" t="n">
        <x:v>3</x:v>
      </x:c>
      <x:c r="G1060" s="28" t="n">
        <x:v>0</x:v>
      </x:c>
      <x:c r="H1060" s="28" t="n">
        <x:v>23</x:v>
      </x:c>
      <x:c r="I1060" s="28" t="n">
        <x:v>4</x:v>
      </x:c>
      <x:c r="J1060" s="28" t="n">
        <x:v>11</x:v>
      </x:c>
      <x:c r="K1060" s="28" t="n">
        <x:v>0</x:v>
      </x:c>
      <x:c r="L1060" s="28" t="n">
        <x:v>8</x:v>
      </x:c>
      <x:c r="M1060" s="28" t="n">
        <x:v>1</x:v>
      </x:c>
      <x:c r="N1060" s="28" t="n">
        <x:v>0</x:v>
      </x:c>
      <x:c r="O1060" s="28" t="n">
        <x:v>0</x:v>
      </x:c>
      <x:c r="P1060" s="28" t="n">
        <x:v>3</x:v>
      </x:c>
      <x:c r="Q1060" s="24" t="n">
        <x:f>IFERROR(J1060/H1060,0)</x:f>
        <x:v>0.4782608695652174</x:v>
      </x:c>
      <x:c r="R1060" s="24" t="n">
        <x:f>IFERROR(F1060/H1060,0)</x:f>
        <x:v>0.13043478260869565</x:v>
      </x:c>
      <x:c r="S1060" s="24" t="n">
        <x:f>IFERROR(F1060/J1060,0)</x:f>
        <x:v>0.2727272727272727</x:v>
      </x:c>
      <x:c r="T1060" s="28" t="n">
        <x:f>H1060-I1060</x:f>
        <x:v>19</x:v>
      </x:c>
      <x:c r="U1060" s="24" t="n">
        <x:f>IFERROR(J1060/H1060,0)-IFERROR(K1060/I1060,0)</x:f>
        <x:v>0.4782608695652174</x:v>
      </x:c>
      <x:c r="V1060" s="24" t="n">
        <x:f>IFERROR(F1060/J1060,0)-IFERROR(G1060/K1060,0)</x:f>
        <x:v>0.2727272727272727</x:v>
      </x:c>
      <x:c r="W1060" s="28" t="n">
        <x:f>L1060-M1060</x:f>
        <x:v>7</x:v>
      </x:c>
      <x:c r="X1060" s="24" t="n">
        <x:f>IFERROR(K1060/I1060,0)</x:f>
        <x:v>0</x:v>
      </x:c>
      <x:c r="Y1060" s="24" t="n">
        <x:f>IFERROR(G1060/I1060,0)</x:f>
        <x:v>0</x:v>
      </x:c>
      <x:c r="Z1060" s="24" t="n">
        <x:f>IFERROR(G1060/K1060,0)</x:f>
        <x:v>0</x:v>
      </x:c>
      <x:c r="AA1060" s="24" t="n">
        <x:f>IFERROR(F1060/H1060,0)-IFERROR(G1060/I1060,0)</x:f>
        <x:v>0.13043478260869565</x:v>
      </x:c>
      <x:c r="AB1060" s="28" t="n">
        <x:f>J1060-K1060</x:f>
        <x:v>11</x:v>
      </x:c>
      <x:c r="AC1060" s="32" t="n">
        <x:f>F1060-G1060</x:f>
        <x:v>3</x:v>
      </x:c>
    </x:row>
    <x:row r="1061">
      <x:c r="A1061" s="4" t="str">
        <x:v>2022-23</x:v>
      </x:c>
      <x:c r="B1061" s="20" t="n">
        <x:v>44921</x:v>
      </x:c>
      <x:c r="C1061" s="4" t="str">
        <x:v>Leicester</x:v>
      </x:c>
      <x:c r="D1061" s="4" t="str">
        <x:v>Newcastle</x:v>
      </x:c>
      <x:c r="E1061" s="4" t="str">
        <x:v>Home</x:v>
      </x:c>
      <x:c r="F1061" s="28" t="n">
        <x:v>0</x:v>
      </x:c>
      <x:c r="G1061" s="28" t="n">
        <x:v>3</x:v>
      </x:c>
      <x:c r="H1061" s="28" t="n">
        <x:v>8</x:v>
      </x:c>
      <x:c r="I1061" s="28" t="n">
        <x:v>12</x:v>
      </x:c>
      <x:c r="J1061" s="28" t="n">
        <x:v>2</x:v>
      </x:c>
      <x:c r="K1061" s="28" t="n">
        <x:v>5</x:v>
      </x:c>
      <x:c r="L1061" s="28" t="n">
        <x:v>5</x:v>
      </x:c>
      <x:c r="M1061" s="28" t="n">
        <x:v>5</x:v>
      </x:c>
      <x:c r="N1061" s="28" t="n">
        <x:v>0</x:v>
      </x:c>
      <x:c r="O1061" s="28" t="n">
        <x:v>0</x:v>
      </x:c>
      <x:c r="P1061" s="28" t="n">
        <x:v>0</x:v>
      </x:c>
      <x:c r="Q1061" s="24" t="n">
        <x:f>IFERROR(J1061/H1061,0)</x:f>
        <x:v>0.25</x:v>
      </x:c>
      <x:c r="R1061" s="24" t="n">
        <x:f>IFERROR(F1061/H1061,0)</x:f>
        <x:v>0</x:v>
      </x:c>
      <x:c r="S1061" s="24" t="n">
        <x:f>IFERROR(F1061/J1061,0)</x:f>
        <x:v>0</x:v>
      </x:c>
      <x:c r="T1061" s="28" t="n">
        <x:f>H1061-I1061</x:f>
        <x:v>-4</x:v>
      </x:c>
      <x:c r="U1061" s="24" t="n">
        <x:f>IFERROR(J1061/H1061,0)-IFERROR(K1061/I1061,0)</x:f>
        <x:v>-0.16666666666666669</x:v>
      </x:c>
      <x:c r="V1061" s="24" t="n">
        <x:f>IFERROR(F1061/J1061,0)-IFERROR(G1061/K1061,0)</x:f>
        <x:v>-0.6</x:v>
      </x:c>
      <x:c r="W1061" s="28" t="n">
        <x:f>L1061-M1061</x:f>
        <x:v>0</x:v>
      </x:c>
      <x:c r="X1061" s="24" t="n">
        <x:f>IFERROR(K1061/I1061,0)</x:f>
        <x:v>0.4166666666666667</x:v>
      </x:c>
      <x:c r="Y1061" s="24" t="n">
        <x:f>IFERROR(G1061/I1061,0)</x:f>
        <x:v>0.25</x:v>
      </x:c>
      <x:c r="Z1061" s="24" t="n">
        <x:f>IFERROR(G1061/K1061,0)</x:f>
        <x:v>0.6</x:v>
      </x:c>
      <x:c r="AA1061" s="24" t="n">
        <x:f>IFERROR(F1061/H1061,0)-IFERROR(G1061/I1061,0)</x:f>
        <x:v>-0.25</x:v>
      </x:c>
      <x:c r="AB1061" s="28" t="n">
        <x:f>J1061-K1061</x:f>
        <x:v>-3</x:v>
      </x:c>
      <x:c r="AC1061" s="32" t="n">
        <x:f>F1061-G1061</x:f>
        <x:v>-3</x:v>
      </x:c>
    </x:row>
    <x:row r="1062">
      <x:c r="A1062" s="4" t="str">
        <x:v>2022-23</x:v>
      </x:c>
      <x:c r="B1062" s="20" t="n">
        <x:v>44921</x:v>
      </x:c>
      <x:c r="C1062" s="4" t="str">
        <x:v>Liverpool</x:v>
      </x:c>
      <x:c r="D1062" s="4" t="str">
        <x:v>Aston Villa</x:v>
      </x:c>
      <x:c r="E1062" s="4" t="str">
        <x:v>Away</x:v>
      </x:c>
      <x:c r="F1062" s="28" t="n">
        <x:v>3</x:v>
      </x:c>
      <x:c r="G1062" s="28" t="n">
        <x:v>1</x:v>
      </x:c>
      <x:c r="H1062" s="28" t="n">
        <x:v>16</x:v>
      </x:c>
      <x:c r="I1062" s="28" t="n">
        <x:v>12</x:v>
      </x:c>
      <x:c r="J1062" s="28" t="n">
        <x:v>9</x:v>
      </x:c>
      <x:c r="K1062" s="28" t="n">
        <x:v>6</x:v>
      </x:c>
      <x:c r="L1062" s="28" t="n">
        <x:v>6</x:v>
      </x:c>
      <x:c r="M1062" s="28" t="n">
        <x:v>0</x:v>
      </x:c>
      <x:c r="N1062" s="28" t="n">
        <x:v>0</x:v>
      </x:c>
      <x:c r="O1062" s="28" t="n">
        <x:v>0</x:v>
      </x:c>
      <x:c r="P1062" s="28" t="n">
        <x:v>3</x:v>
      </x:c>
      <x:c r="Q1062" s="24" t="n">
        <x:f>IFERROR(J1062/H1062,0)</x:f>
        <x:v>0.5625</x:v>
      </x:c>
      <x:c r="R1062" s="24" t="n">
        <x:f>IFERROR(F1062/H1062,0)</x:f>
        <x:v>0.1875</x:v>
      </x:c>
      <x:c r="S1062" s="24" t="n">
        <x:f>IFERROR(F1062/J1062,0)</x:f>
        <x:v>0.3333333333333333</x:v>
      </x:c>
      <x:c r="T1062" s="28" t="n">
        <x:f>H1062-I1062</x:f>
        <x:v>4</x:v>
      </x:c>
      <x:c r="U1062" s="24" t="n">
        <x:f>IFERROR(J1062/H1062,0)-IFERROR(K1062/I1062,0)</x:f>
        <x:v>0.0625</x:v>
      </x:c>
      <x:c r="V1062" s="24" t="n">
        <x:f>IFERROR(F1062/J1062,0)-IFERROR(G1062/K1062,0)</x:f>
        <x:v>0.16666666666666666</x:v>
      </x:c>
      <x:c r="W1062" s="28" t="n">
        <x:f>L1062-M1062</x:f>
        <x:v>6</x:v>
      </x:c>
      <x:c r="X1062" s="24" t="n">
        <x:f>IFERROR(K1062/I1062,0)</x:f>
        <x:v>0.5</x:v>
      </x:c>
      <x:c r="Y1062" s="24" t="n">
        <x:f>IFERROR(G1062/I1062,0)</x:f>
        <x:v>0.08333333333333333</x:v>
      </x:c>
      <x:c r="Z1062" s="24" t="n">
        <x:f>IFERROR(G1062/K1062,0)</x:f>
        <x:v>0.16666666666666666</x:v>
      </x:c>
      <x:c r="AA1062" s="24" t="n">
        <x:f>IFERROR(F1062/H1062,0)-IFERROR(G1062/I1062,0)</x:f>
        <x:v>0.10416666666666667</x:v>
      </x:c>
      <x:c r="AB1062" s="28" t="n">
        <x:f>J1062-K1062</x:f>
        <x:v>3</x:v>
      </x:c>
      <x:c r="AC1062" s="32" t="n">
        <x:f>F1062-G1062</x:f>
        <x:v>2</x:v>
      </x:c>
    </x:row>
    <x:row r="1063">
      <x:c r="A1063" s="4" t="str">
        <x:v>2022-23</x:v>
      </x:c>
      <x:c r="B1063" s="20" t="n">
        <x:v>44921</x:v>
      </x:c>
      <x:c r="C1063" s="4" t="str">
        <x:v>Newcastle</x:v>
      </x:c>
      <x:c r="D1063" s="4" t="str">
        <x:v>Leicester</x:v>
      </x:c>
      <x:c r="E1063" s="4" t="str">
        <x:v>Away</x:v>
      </x:c>
      <x:c r="F1063" s="28" t="n">
        <x:v>3</x:v>
      </x:c>
      <x:c r="G1063" s="28" t="n">
        <x:v>0</x:v>
      </x:c>
      <x:c r="H1063" s="28" t="n">
        <x:v>12</x:v>
      </x:c>
      <x:c r="I1063" s="28" t="n">
        <x:v>8</x:v>
      </x:c>
      <x:c r="J1063" s="28" t="n">
        <x:v>5</x:v>
      </x:c>
      <x:c r="K1063" s="28" t="n">
        <x:v>2</x:v>
      </x:c>
      <x:c r="L1063" s="28" t="n">
        <x:v>5</x:v>
      </x:c>
      <x:c r="M1063" s="28" t="n">
        <x:v>5</x:v>
      </x:c>
      <x:c r="N1063" s="28" t="n">
        <x:v>0</x:v>
      </x:c>
      <x:c r="O1063" s="28" t="n">
        <x:v>0</x:v>
      </x:c>
      <x:c r="P1063" s="28" t="n">
        <x:v>3</x:v>
      </x:c>
      <x:c r="Q1063" s="24" t="n">
        <x:f>IFERROR(J1063/H1063,0)</x:f>
        <x:v>0.4166666666666667</x:v>
      </x:c>
      <x:c r="R1063" s="24" t="n">
        <x:f>IFERROR(F1063/H1063,0)</x:f>
        <x:v>0.25</x:v>
      </x:c>
      <x:c r="S1063" s="24" t="n">
        <x:f>IFERROR(F1063/J1063,0)</x:f>
        <x:v>0.6</x:v>
      </x:c>
      <x:c r="T1063" s="28" t="n">
        <x:f>H1063-I1063</x:f>
        <x:v>4</x:v>
      </x:c>
      <x:c r="U1063" s="24" t="n">
        <x:f>IFERROR(J1063/H1063,0)-IFERROR(K1063/I1063,0)</x:f>
        <x:v>0.16666666666666669</x:v>
      </x:c>
      <x:c r="V1063" s="24" t="n">
        <x:f>IFERROR(F1063/J1063,0)-IFERROR(G1063/K1063,0)</x:f>
        <x:v>0.6</x:v>
      </x:c>
      <x:c r="W1063" s="28" t="n">
        <x:f>L1063-M1063</x:f>
        <x:v>0</x:v>
      </x:c>
      <x:c r="X1063" s="24" t="n">
        <x:f>IFERROR(K1063/I1063,0)</x:f>
        <x:v>0.25</x:v>
      </x:c>
      <x:c r="Y1063" s="24" t="n">
        <x:f>IFERROR(G1063/I1063,0)</x:f>
        <x:v>0</x:v>
      </x:c>
      <x:c r="Z1063" s="24" t="n">
        <x:f>IFERROR(G1063/K1063,0)</x:f>
        <x:v>0</x:v>
      </x:c>
      <x:c r="AA1063" s="24" t="n">
        <x:f>IFERROR(F1063/H1063,0)-IFERROR(G1063/I1063,0)</x:f>
        <x:v>0.25</x:v>
      </x:c>
      <x:c r="AB1063" s="28" t="n">
        <x:f>J1063-K1063</x:f>
        <x:v>3</x:v>
      </x:c>
      <x:c r="AC1063" s="32" t="n">
        <x:f>F1063-G1063</x:f>
        <x:v>3</x:v>
      </x:c>
    </x:row>
    <x:row r="1064">
      <x:c r="A1064" s="4" t="str">
        <x:v>2022-23</x:v>
      </x:c>
      <x:c r="B1064" s="20" t="n">
        <x:v>44921</x:v>
      </x:c>
      <x:c r="C1064" s="4" t="str">
        <x:v>Southampton</x:v>
      </x:c>
      <x:c r="D1064" s="4" t="str">
        <x:v>Brighton</x:v>
      </x:c>
      <x:c r="E1064" s="4" t="str">
        <x:v>Home</x:v>
      </x:c>
      <x:c r="F1064" s="28" t="n">
        <x:v>1</x:v>
      </x:c>
      <x:c r="G1064" s="28" t="n">
        <x:v>3</x:v>
      </x:c>
      <x:c r="H1064" s="28" t="n">
        <x:v>14</x:v>
      </x:c>
      <x:c r="I1064" s="28" t="n">
        <x:v>7</x:v>
      </x:c>
      <x:c r="J1064" s="28" t="n">
        <x:v>4</x:v>
      </x:c>
      <x:c r="K1064" s="28" t="n">
        <x:v>4</x:v>
      </x:c>
      <x:c r="L1064" s="28" t="n">
        <x:v>4</x:v>
      </x:c>
      <x:c r="M1064" s="28" t="n">
        <x:v>2</x:v>
      </x:c>
      <x:c r="N1064" s="28" t="n">
        <x:v>1</x:v>
      </x:c>
      <x:c r="O1064" s="28" t="n">
        <x:v>0</x:v>
      </x:c>
      <x:c r="P1064" s="28" t="n">
        <x:v>0</x:v>
      </x:c>
      <x:c r="Q1064" s="24" t="n">
        <x:f>IFERROR(J1064/H1064,0)</x:f>
        <x:v>0.2857142857142857</x:v>
      </x:c>
      <x:c r="R1064" s="24" t="n">
        <x:f>IFERROR(F1064/H1064,0)</x:f>
        <x:v>0.07142857142857142</x:v>
      </x:c>
      <x:c r="S1064" s="24" t="n">
        <x:f>IFERROR(F1064/J1064,0)</x:f>
        <x:v>0.25</x:v>
      </x:c>
      <x:c r="T1064" s="28" t="n">
        <x:f>H1064-I1064</x:f>
        <x:v>7</x:v>
      </x:c>
      <x:c r="U1064" s="24" t="n">
        <x:f>IFERROR(J1064/H1064,0)-IFERROR(K1064/I1064,0)</x:f>
        <x:v>-0.2857142857142857</x:v>
      </x:c>
      <x:c r="V1064" s="24" t="n">
        <x:f>IFERROR(F1064/J1064,0)-IFERROR(G1064/K1064,0)</x:f>
        <x:v>-0.5</x:v>
      </x:c>
      <x:c r="W1064" s="28" t="n">
        <x:f>L1064-M1064</x:f>
        <x:v>2</x:v>
      </x:c>
      <x:c r="X1064" s="24" t="n">
        <x:f>IFERROR(K1064/I1064,0)</x:f>
        <x:v>0.5714285714285714</x:v>
      </x:c>
      <x:c r="Y1064" s="24" t="n">
        <x:f>IFERROR(G1064/I1064,0)</x:f>
        <x:v>0.42857142857142855</x:v>
      </x:c>
      <x:c r="Z1064" s="24" t="n">
        <x:f>IFERROR(G1064/K1064,0)</x:f>
        <x:v>0.75</x:v>
      </x:c>
      <x:c r="AA1064" s="24" t="n">
        <x:f>IFERROR(F1064/H1064,0)-IFERROR(G1064/I1064,0)</x:f>
        <x:v>-0.3571428571428571</x:v>
      </x:c>
      <x:c r="AB1064" s="28" t="n">
        <x:f>J1064-K1064</x:f>
        <x:v>0</x:v>
      </x:c>
      <x:c r="AC1064" s="32" t="n">
        <x:f>F1064-G1064</x:f>
        <x:v>-2</x:v>
      </x:c>
    </x:row>
    <x:row r="1065">
      <x:c r="A1065" s="4" t="str">
        <x:v>2022-23</x:v>
      </x:c>
      <x:c r="B1065" s="20" t="n">
        <x:v>44921</x:v>
      </x:c>
      <x:c r="C1065" s="4" t="str">
        <x:v>Tottenham</x:v>
      </x:c>
      <x:c r="D1065" s="4" t="str">
        <x:v>Brentford</x:v>
      </x:c>
      <x:c r="E1065" s="4" t="str">
        <x:v>Away</x:v>
      </x:c>
      <x:c r="F1065" s="28" t="n">
        <x:v>2</x:v>
      </x:c>
      <x:c r="G1065" s="28" t="n">
        <x:v>2</x:v>
      </x:c>
      <x:c r="H1065" s="28" t="n">
        <x:v>16</x:v>
      </x:c>
      <x:c r="I1065" s="28" t="n">
        <x:v>9</x:v>
      </x:c>
      <x:c r="J1065" s="28" t="n">
        <x:v>8</x:v>
      </x:c>
      <x:c r="K1065" s="28" t="n">
        <x:v>5</x:v>
      </x:c>
      <x:c r="L1065" s="28" t="n">
        <x:v>5</x:v>
      </x:c>
      <x:c r="M1065" s="28" t="n">
        <x:v>6</x:v>
      </x:c>
      <x:c r="N1065" s="28" t="n">
        <x:v>1</x:v>
      </x:c>
      <x:c r="O1065" s="28" t="n">
        <x:v>0</x:v>
      </x:c>
      <x:c r="P1065" s="28" t="n">
        <x:v>1</x:v>
      </x:c>
      <x:c r="Q1065" s="24" t="n">
        <x:f>IFERROR(J1065/H1065,0)</x:f>
        <x:v>0.5</x:v>
      </x:c>
      <x:c r="R1065" s="24" t="n">
        <x:f>IFERROR(F1065/H1065,0)</x:f>
        <x:v>0.125</x:v>
      </x:c>
      <x:c r="S1065" s="24" t="n">
        <x:f>IFERROR(F1065/J1065,0)</x:f>
        <x:v>0.25</x:v>
      </x:c>
      <x:c r="T1065" s="28" t="n">
        <x:f>H1065-I1065</x:f>
        <x:v>7</x:v>
      </x:c>
      <x:c r="U1065" s="24" t="n">
        <x:f>IFERROR(J1065/H1065,0)-IFERROR(K1065/I1065,0)</x:f>
        <x:v>-0.05555555555555558</x:v>
      </x:c>
      <x:c r="V1065" s="24" t="n">
        <x:f>IFERROR(F1065/J1065,0)-IFERROR(G1065/K1065,0)</x:f>
        <x:v>-0.15000000000000002</x:v>
      </x:c>
      <x:c r="W1065" s="28" t="n">
        <x:f>L1065-M1065</x:f>
        <x:v>-1</x:v>
      </x:c>
      <x:c r="X1065" s="24" t="n">
        <x:f>IFERROR(K1065/I1065,0)</x:f>
        <x:v>0.5555555555555556</x:v>
      </x:c>
      <x:c r="Y1065" s="24" t="n">
        <x:f>IFERROR(G1065/I1065,0)</x:f>
        <x:v>0.2222222222222222</x:v>
      </x:c>
      <x:c r="Z1065" s="24" t="n">
        <x:f>IFERROR(G1065/K1065,0)</x:f>
        <x:v>0.4</x:v>
      </x:c>
      <x:c r="AA1065" s="24" t="n">
        <x:f>IFERROR(F1065/H1065,0)-IFERROR(G1065/I1065,0)</x:f>
        <x:v>-0.09722222222222221</x:v>
      </x:c>
      <x:c r="AB1065" s="28" t="n">
        <x:f>J1065-K1065</x:f>
        <x:v>3</x:v>
      </x:c>
      <x:c r="AC1065" s="32" t="n">
        <x:f>F1065-G1065</x:f>
        <x:v>0</x:v>
      </x:c>
    </x:row>
    <x:row r="1066">
      <x:c r="A1066" s="4" t="str">
        <x:v>2022-23</x:v>
      </x:c>
      <x:c r="B1066" s="20" t="n">
        <x:v>44921</x:v>
      </x:c>
      <x:c r="C1066" s="4" t="str">
        <x:v>West Ham</x:v>
      </x:c>
      <x:c r="D1066" s="4" t="str">
        <x:v>Arsenal</x:v>
      </x:c>
      <x:c r="E1066" s="4" t="str">
        <x:v>Away</x:v>
      </x:c>
      <x:c r="F1066" s="28" t="n">
        <x:v>1</x:v>
      </x:c>
      <x:c r="G1066" s="28" t="n">
        <x:v>3</x:v>
      </x:c>
      <x:c r="H1066" s="28" t="n">
        <x:v>8</x:v>
      </x:c>
      <x:c r="I1066" s="28" t="n">
        <x:v>16</x:v>
      </x:c>
      <x:c r="J1066" s="28" t="n">
        <x:v>4</x:v>
      </x:c>
      <x:c r="K1066" s="28" t="n">
        <x:v>5</x:v>
      </x:c>
      <x:c r="L1066" s="28" t="n">
        <x:v>5</x:v>
      </x:c>
      <x:c r="M1066" s="28" t="n">
        <x:v>7</x:v>
      </x:c>
      <x:c r="N1066" s="28" t="n">
        <x:v>2</x:v>
      </x:c>
      <x:c r="O1066" s="28" t="n">
        <x:v>0</x:v>
      </x:c>
      <x:c r="P1066" s="28" t="n">
        <x:v>0</x:v>
      </x:c>
      <x:c r="Q1066" s="24" t="n">
        <x:f>IFERROR(J1066/H1066,0)</x:f>
        <x:v>0.5</x:v>
      </x:c>
      <x:c r="R1066" s="24" t="n">
        <x:f>IFERROR(F1066/H1066,0)</x:f>
        <x:v>0.125</x:v>
      </x:c>
      <x:c r="S1066" s="24" t="n">
        <x:f>IFERROR(F1066/J1066,0)</x:f>
        <x:v>0.25</x:v>
      </x:c>
      <x:c r="T1066" s="28" t="n">
        <x:f>H1066-I1066</x:f>
        <x:v>-8</x:v>
      </x:c>
      <x:c r="U1066" s="24" t="n">
        <x:f>IFERROR(J1066/H1066,0)-IFERROR(K1066/I1066,0)</x:f>
        <x:v>0.1875</x:v>
      </x:c>
      <x:c r="V1066" s="24" t="n">
        <x:f>IFERROR(F1066/J1066,0)-IFERROR(G1066/K1066,0)</x:f>
        <x:v>-0.35</x:v>
      </x:c>
      <x:c r="W1066" s="28" t="n">
        <x:f>L1066-M1066</x:f>
        <x:v>-2</x:v>
      </x:c>
      <x:c r="X1066" s="24" t="n">
        <x:f>IFERROR(K1066/I1066,0)</x:f>
        <x:v>0.3125</x:v>
      </x:c>
      <x:c r="Y1066" s="24" t="n">
        <x:f>IFERROR(G1066/I1066,0)</x:f>
        <x:v>0.1875</x:v>
      </x:c>
      <x:c r="Z1066" s="24" t="n">
        <x:f>IFERROR(G1066/K1066,0)</x:f>
        <x:v>0.6</x:v>
      </x:c>
      <x:c r="AA1066" s="24" t="n">
        <x:f>IFERROR(F1066/H1066,0)-IFERROR(G1066/I1066,0)</x:f>
        <x:v>-0.0625</x:v>
      </x:c>
      <x:c r="AB1066" s="28" t="n">
        <x:f>J1066-K1066</x:f>
        <x:v>-1</x:v>
      </x:c>
      <x:c r="AC1066" s="32" t="n">
        <x:f>F1066-G1066</x:f>
        <x:v>-2</x:v>
      </x:c>
    </x:row>
    <x:row r="1067">
      <x:c r="A1067" s="4" t="str">
        <x:v>2022-23</x:v>
      </x:c>
      <x:c r="B1067" s="20" t="n">
        <x:v>44921</x:v>
      </x:c>
      <x:c r="C1067" s="4" t="str">
        <x:v>Wolves</x:v>
      </x:c>
      <x:c r="D1067" s="4" t="str">
        <x:v>Everton</x:v>
      </x:c>
      <x:c r="E1067" s="4" t="str">
        <x:v>Away</x:v>
      </x:c>
      <x:c r="F1067" s="28" t="n">
        <x:v>2</x:v>
      </x:c>
      <x:c r="G1067" s="28" t="n">
        <x:v>1</x:v>
      </x:c>
      <x:c r="H1067" s="28" t="n">
        <x:v>7</x:v>
      </x:c>
      <x:c r="I1067" s="28" t="n">
        <x:v>12</x:v>
      </x:c>
      <x:c r="J1067" s="28" t="n">
        <x:v>4</x:v>
      </x:c>
      <x:c r="K1067" s="28" t="n">
        <x:v>6</x:v>
      </x:c>
      <x:c r="L1067" s="28" t="n">
        <x:v>2</x:v>
      </x:c>
      <x:c r="M1067" s="28" t="n">
        <x:v>2</x:v>
      </x:c>
      <x:c r="N1067" s="28" t="n">
        <x:v>6</x:v>
      </x:c>
      <x:c r="O1067" s="28" t="n">
        <x:v>0</x:v>
      </x:c>
      <x:c r="P1067" s="28" t="n">
        <x:v>3</x:v>
      </x:c>
      <x:c r="Q1067" s="24" t="n">
        <x:f>IFERROR(J1067/H1067,0)</x:f>
        <x:v>0.5714285714285714</x:v>
      </x:c>
      <x:c r="R1067" s="24" t="n">
        <x:f>IFERROR(F1067/H1067,0)</x:f>
        <x:v>0.2857142857142857</x:v>
      </x:c>
      <x:c r="S1067" s="24" t="n">
        <x:f>IFERROR(F1067/J1067,0)</x:f>
        <x:v>0.5</x:v>
      </x:c>
      <x:c r="T1067" s="28" t="n">
        <x:f>H1067-I1067</x:f>
        <x:v>-5</x:v>
      </x:c>
      <x:c r="U1067" s="24" t="n">
        <x:f>IFERROR(J1067/H1067,0)-IFERROR(K1067/I1067,0)</x:f>
        <x:v>0.0714285714285714</x:v>
      </x:c>
      <x:c r="V1067" s="24" t="n">
        <x:f>IFERROR(F1067/J1067,0)-IFERROR(G1067/K1067,0)</x:f>
        <x:v>0.33333333333333337</x:v>
      </x:c>
      <x:c r="W1067" s="28" t="n">
        <x:f>L1067-M1067</x:f>
        <x:v>0</x:v>
      </x:c>
      <x:c r="X1067" s="24" t="n">
        <x:f>IFERROR(K1067/I1067,0)</x:f>
        <x:v>0.5</x:v>
      </x:c>
      <x:c r="Y1067" s="24" t="n">
        <x:f>IFERROR(G1067/I1067,0)</x:f>
        <x:v>0.08333333333333333</x:v>
      </x:c>
      <x:c r="Z1067" s="24" t="n">
        <x:f>IFERROR(G1067/K1067,0)</x:f>
        <x:v>0.16666666666666666</x:v>
      </x:c>
      <x:c r="AA1067" s="24" t="n">
        <x:f>IFERROR(F1067/H1067,0)-IFERROR(G1067/I1067,0)</x:f>
        <x:v>0.20238095238095238</x:v>
      </x:c>
      <x:c r="AB1067" s="28" t="n">
        <x:f>J1067-K1067</x:f>
        <x:v>-2</x:v>
      </x:c>
      <x:c r="AC1067" s="32" t="n">
        <x:f>F1067-G1067</x:f>
        <x:v>1</x:v>
      </x:c>
    </x:row>
    <x:row r="1068">
      <x:c r="A1068" s="4" t="str">
        <x:v>2022-23</x:v>
      </x:c>
      <x:c r="B1068" s="20" t="n">
        <x:v>44922</x:v>
      </x:c>
      <x:c r="C1068" s="4" t="str">
        <x:v>Bournemouth</x:v>
      </x:c>
      <x:c r="D1068" s="4" t="str">
        <x:v>Chelsea</x:v>
      </x:c>
      <x:c r="E1068" s="4" t="str">
        <x:v>Away</x:v>
      </x:c>
      <x:c r="F1068" s="28" t="n">
        <x:v>0</x:v>
      </x:c>
      <x:c r="G1068" s="28" t="n">
        <x:v>2</x:v>
      </x:c>
      <x:c r="H1068" s="28" t="n">
        <x:v>9</x:v>
      </x:c>
      <x:c r="I1068" s="28" t="n">
        <x:v>15</x:v>
      </x:c>
      <x:c r="J1068" s="28" t="n">
        <x:v>4</x:v>
      </x:c>
      <x:c r="K1068" s="28" t="n">
        <x:v>5</x:v>
      </x:c>
      <x:c r="L1068" s="28" t="n">
        <x:v>8</x:v>
      </x:c>
      <x:c r="M1068" s="28" t="n">
        <x:v>6</x:v>
      </x:c>
      <x:c r="N1068" s="28" t="n">
        <x:v>0</x:v>
      </x:c>
      <x:c r="O1068" s="28" t="n">
        <x:v>0</x:v>
      </x:c>
      <x:c r="P1068" s="28" t="n">
        <x:v>0</x:v>
      </x:c>
      <x:c r="Q1068" s="24" t="n">
        <x:f>IFERROR(J1068/H1068,0)</x:f>
        <x:v>0.4444444444444444</x:v>
      </x:c>
      <x:c r="R1068" s="24" t="n">
        <x:f>IFERROR(F1068/H1068,0)</x:f>
        <x:v>0</x:v>
      </x:c>
      <x:c r="S1068" s="24" t="n">
        <x:f>IFERROR(F1068/J1068,0)</x:f>
        <x:v>0</x:v>
      </x:c>
      <x:c r="T1068" s="28" t="n">
        <x:f>H1068-I1068</x:f>
        <x:v>-6</x:v>
      </x:c>
      <x:c r="U1068" s="24" t="n">
        <x:f>IFERROR(J1068/H1068,0)-IFERROR(K1068/I1068,0)</x:f>
        <x:v>0.1111111111111111</x:v>
      </x:c>
      <x:c r="V1068" s="24" t="n">
        <x:f>IFERROR(F1068/J1068,0)-IFERROR(G1068/K1068,0)</x:f>
        <x:v>-0.4</x:v>
      </x:c>
      <x:c r="W1068" s="28" t="n">
        <x:f>L1068-M1068</x:f>
        <x:v>2</x:v>
      </x:c>
      <x:c r="X1068" s="24" t="n">
        <x:f>IFERROR(K1068/I1068,0)</x:f>
        <x:v>0.3333333333333333</x:v>
      </x:c>
      <x:c r="Y1068" s="24" t="n">
        <x:f>IFERROR(G1068/I1068,0)</x:f>
        <x:v>0.13333333333333333</x:v>
      </x:c>
      <x:c r="Z1068" s="24" t="n">
        <x:f>IFERROR(G1068/K1068,0)</x:f>
        <x:v>0.4</x:v>
      </x:c>
      <x:c r="AA1068" s="24" t="n">
        <x:f>IFERROR(F1068/H1068,0)-IFERROR(G1068/I1068,0)</x:f>
        <x:v>-0.13333333333333333</x:v>
      </x:c>
      <x:c r="AB1068" s="28" t="n">
        <x:f>J1068-K1068</x:f>
        <x:v>-1</x:v>
      </x:c>
      <x:c r="AC1068" s="32" t="n">
        <x:f>F1068-G1068</x:f>
        <x:v>-2</x:v>
      </x:c>
    </x:row>
    <x:row r="1069">
      <x:c r="A1069" s="4" t="str">
        <x:v>2022-23</x:v>
      </x:c>
      <x:c r="B1069" s="20" t="n">
        <x:v>44922</x:v>
      </x:c>
      <x:c r="C1069" s="4" t="str">
        <x:v>Chelsea</x:v>
      </x:c>
      <x:c r="D1069" s="4" t="str">
        <x:v>Bournemouth</x:v>
      </x:c>
      <x:c r="E1069" s="4" t="str">
        <x:v>Home</x:v>
      </x:c>
      <x:c r="F1069" s="28" t="n">
        <x:v>2</x:v>
      </x:c>
      <x:c r="G1069" s="28" t="n">
        <x:v>0</x:v>
      </x:c>
      <x:c r="H1069" s="28" t="n">
        <x:v>15</x:v>
      </x:c>
      <x:c r="I1069" s="28" t="n">
        <x:v>9</x:v>
      </x:c>
      <x:c r="J1069" s="28" t="n">
        <x:v>5</x:v>
      </x:c>
      <x:c r="K1069" s="28" t="n">
        <x:v>4</x:v>
      </x:c>
      <x:c r="L1069" s="28" t="n">
        <x:v>6</x:v>
      </x:c>
      <x:c r="M1069" s="28" t="n">
        <x:v>8</x:v>
      </x:c>
      <x:c r="N1069" s="28" t="n">
        <x:v>0</x:v>
      </x:c>
      <x:c r="O1069" s="28" t="n">
        <x:v>0</x:v>
      </x:c>
      <x:c r="P1069" s="28" t="n">
        <x:v>3</x:v>
      </x:c>
      <x:c r="Q1069" s="24" t="n">
        <x:f>IFERROR(J1069/H1069,0)</x:f>
        <x:v>0.3333333333333333</x:v>
      </x:c>
      <x:c r="R1069" s="24" t="n">
        <x:f>IFERROR(F1069/H1069,0)</x:f>
        <x:v>0.13333333333333333</x:v>
      </x:c>
      <x:c r="S1069" s="24" t="n">
        <x:f>IFERROR(F1069/J1069,0)</x:f>
        <x:v>0.4</x:v>
      </x:c>
      <x:c r="T1069" s="28" t="n">
        <x:f>H1069-I1069</x:f>
        <x:v>6</x:v>
      </x:c>
      <x:c r="U1069" s="24" t="n">
        <x:f>IFERROR(J1069/H1069,0)-IFERROR(K1069/I1069,0)</x:f>
        <x:v>-0.1111111111111111</x:v>
      </x:c>
      <x:c r="V1069" s="24" t="n">
        <x:f>IFERROR(F1069/J1069,0)-IFERROR(G1069/K1069,0)</x:f>
        <x:v>0.4</x:v>
      </x:c>
      <x:c r="W1069" s="28" t="n">
        <x:f>L1069-M1069</x:f>
        <x:v>-2</x:v>
      </x:c>
      <x:c r="X1069" s="24" t="n">
        <x:f>IFERROR(K1069/I1069,0)</x:f>
        <x:v>0.4444444444444444</x:v>
      </x:c>
      <x:c r="Y1069" s="24" t="n">
        <x:f>IFERROR(G1069/I1069,0)</x:f>
        <x:v>0</x:v>
      </x:c>
      <x:c r="Z1069" s="24" t="n">
        <x:f>IFERROR(G1069/K1069,0)</x:f>
        <x:v>0</x:v>
      </x:c>
      <x:c r="AA1069" s="24" t="n">
        <x:f>IFERROR(F1069/H1069,0)-IFERROR(G1069/I1069,0)</x:f>
        <x:v>0.13333333333333333</x:v>
      </x:c>
      <x:c r="AB1069" s="28" t="n">
        <x:f>J1069-K1069</x:f>
        <x:v>1</x:v>
      </x:c>
      <x:c r="AC1069" s="32" t="n">
        <x:f>F1069-G1069</x:f>
        <x:v>2</x:v>
      </x:c>
    </x:row>
    <x:row r="1070">
      <x:c r="A1070" s="4" t="str">
        <x:v>2022-23</x:v>
      </x:c>
      <x:c r="B1070" s="20" t="n">
        <x:v>44922</x:v>
      </x:c>
      <x:c r="C1070" s="4" t="str">
        <x:v>Man United</x:v>
      </x:c>
      <x:c r="D1070" s="4" t="str">
        <x:v>Nott'm Forest</x:v>
      </x:c>
      <x:c r="E1070" s="4" t="str">
        <x:v>Home</x:v>
      </x:c>
      <x:c r="F1070" s="28" t="n">
        <x:v>3</x:v>
      </x:c>
      <x:c r="G1070" s="28" t="n">
        <x:v>0</x:v>
      </x:c>
      <x:c r="H1070" s="28" t="n">
        <x:v>17</x:v>
      </x:c>
      <x:c r="I1070" s="28" t="n">
        <x:v>8</x:v>
      </x:c>
      <x:c r="J1070" s="28" t="n">
        <x:v>8</x:v>
      </x:c>
      <x:c r="K1070" s="28" t="n">
        <x:v>3</x:v>
      </x:c>
      <x:c r="L1070" s="28" t="n">
        <x:v>9</x:v>
      </x:c>
      <x:c r="M1070" s="28" t="n">
        <x:v>9</x:v>
      </x:c>
      <x:c r="N1070" s="28" t="n">
        <x:v>3</x:v>
      </x:c>
      <x:c r="O1070" s="28" t="n">
        <x:v>0</x:v>
      </x:c>
      <x:c r="P1070" s="28" t="n">
        <x:v>3</x:v>
      </x:c>
      <x:c r="Q1070" s="24" t="n">
        <x:f>IFERROR(J1070/H1070,0)</x:f>
        <x:v>0.47058823529411764</x:v>
      </x:c>
      <x:c r="R1070" s="24" t="n">
        <x:f>IFERROR(F1070/H1070,0)</x:f>
        <x:v>0.17647058823529413</x:v>
      </x:c>
      <x:c r="S1070" s="24" t="n">
        <x:f>IFERROR(F1070/J1070,0)</x:f>
        <x:v>0.375</x:v>
      </x:c>
      <x:c r="T1070" s="28" t="n">
        <x:f>H1070-I1070</x:f>
        <x:v>9</x:v>
      </x:c>
      <x:c r="U1070" s="24" t="n">
        <x:f>IFERROR(J1070/H1070,0)-IFERROR(K1070/I1070,0)</x:f>
        <x:v>0.09558823529411764</x:v>
      </x:c>
      <x:c r="V1070" s="24" t="n">
        <x:f>IFERROR(F1070/J1070,0)-IFERROR(G1070/K1070,0)</x:f>
        <x:v>0.375</x:v>
      </x:c>
      <x:c r="W1070" s="28" t="n">
        <x:f>L1070-M1070</x:f>
        <x:v>0</x:v>
      </x:c>
      <x:c r="X1070" s="24" t="n">
        <x:f>IFERROR(K1070/I1070,0)</x:f>
        <x:v>0.375</x:v>
      </x:c>
      <x:c r="Y1070" s="24" t="n">
        <x:f>IFERROR(G1070/I1070,0)</x:f>
        <x:v>0</x:v>
      </x:c>
      <x:c r="Z1070" s="24" t="n">
        <x:f>IFERROR(G1070/K1070,0)</x:f>
        <x:v>0</x:v>
      </x:c>
      <x:c r="AA1070" s="24" t="n">
        <x:f>IFERROR(F1070/H1070,0)-IFERROR(G1070/I1070,0)</x:f>
        <x:v>0.17647058823529413</x:v>
      </x:c>
      <x:c r="AB1070" s="28" t="n">
        <x:f>J1070-K1070</x:f>
        <x:v>5</x:v>
      </x:c>
      <x:c r="AC1070" s="32" t="n">
        <x:f>F1070-G1070</x:f>
        <x:v>3</x:v>
      </x:c>
    </x:row>
    <x:row r="1071">
      <x:c r="A1071" s="4" t="str">
        <x:v>2022-23</x:v>
      </x:c>
      <x:c r="B1071" s="20" t="n">
        <x:v>44922</x:v>
      </x:c>
      <x:c r="C1071" s="4" t="str">
        <x:v>Nott'm Forest</x:v>
      </x:c>
      <x:c r="D1071" s="4" t="str">
        <x:v>Man United</x:v>
      </x:c>
      <x:c r="E1071" s="4" t="str">
        <x:v>Away</x:v>
      </x:c>
      <x:c r="F1071" s="28" t="n">
        <x:v>0</x:v>
      </x:c>
      <x:c r="G1071" s="28" t="n">
        <x:v>3</x:v>
      </x:c>
      <x:c r="H1071" s="28" t="n">
        <x:v>8</x:v>
      </x:c>
      <x:c r="I1071" s="28" t="n">
        <x:v>17</x:v>
      </x:c>
      <x:c r="J1071" s="28" t="n">
        <x:v>3</x:v>
      </x:c>
      <x:c r="K1071" s="28" t="n">
        <x:v>8</x:v>
      </x:c>
      <x:c r="L1071" s="28" t="n">
        <x:v>9</x:v>
      </x:c>
      <x:c r="M1071" s="28" t="n">
        <x:v>9</x:v>
      </x:c>
      <x:c r="N1071" s="28" t="n">
        <x:v>1</x:v>
      </x:c>
      <x:c r="O1071" s="28" t="n">
        <x:v>0</x:v>
      </x:c>
      <x:c r="P1071" s="28" t="n">
        <x:v>0</x:v>
      </x:c>
      <x:c r="Q1071" s="24" t="n">
        <x:f>IFERROR(J1071/H1071,0)</x:f>
        <x:v>0.375</x:v>
      </x:c>
      <x:c r="R1071" s="24" t="n">
        <x:f>IFERROR(F1071/H1071,0)</x:f>
        <x:v>0</x:v>
      </x:c>
      <x:c r="S1071" s="24" t="n">
        <x:f>IFERROR(F1071/J1071,0)</x:f>
        <x:v>0</x:v>
      </x:c>
      <x:c r="T1071" s="28" t="n">
        <x:f>H1071-I1071</x:f>
        <x:v>-9</x:v>
      </x:c>
      <x:c r="U1071" s="24" t="n">
        <x:f>IFERROR(J1071/H1071,0)-IFERROR(K1071/I1071,0)</x:f>
        <x:v>-0.09558823529411764</x:v>
      </x:c>
      <x:c r="V1071" s="24" t="n">
        <x:f>IFERROR(F1071/J1071,0)-IFERROR(G1071/K1071,0)</x:f>
        <x:v>-0.375</x:v>
      </x:c>
      <x:c r="W1071" s="28" t="n">
        <x:f>L1071-M1071</x:f>
        <x:v>0</x:v>
      </x:c>
      <x:c r="X1071" s="24" t="n">
        <x:f>IFERROR(K1071/I1071,0)</x:f>
        <x:v>0.47058823529411764</x:v>
      </x:c>
      <x:c r="Y1071" s="24" t="n">
        <x:f>IFERROR(G1071/I1071,0)</x:f>
        <x:v>0.17647058823529413</x:v>
      </x:c>
      <x:c r="Z1071" s="24" t="n">
        <x:f>IFERROR(G1071/K1071,0)</x:f>
        <x:v>0.375</x:v>
      </x:c>
      <x:c r="AA1071" s="24" t="n">
        <x:f>IFERROR(F1071/H1071,0)-IFERROR(G1071/I1071,0)</x:f>
        <x:v>-0.17647058823529413</x:v>
      </x:c>
      <x:c r="AB1071" s="28" t="n">
        <x:f>J1071-K1071</x:f>
        <x:v>-5</x:v>
      </x:c>
      <x:c r="AC1071" s="32" t="n">
        <x:f>F1071-G1071</x:f>
        <x:v>-3</x:v>
      </x:c>
    </x:row>
    <x:row r="1072">
      <x:c r="A1072" s="4" t="str">
        <x:v>2022-23</x:v>
      </x:c>
      <x:c r="B1072" s="20" t="n">
        <x:v>44923</x:v>
      </x:c>
      <x:c r="C1072" s="4" t="str">
        <x:v>Leeds</x:v>
      </x:c>
      <x:c r="D1072" s="4" t="str">
        <x:v>Man City</x:v>
      </x:c>
      <x:c r="E1072" s="4" t="str">
        <x:v>Home</x:v>
      </x:c>
      <x:c r="F1072" s="28" t="n">
        <x:v>1</x:v>
      </x:c>
      <x:c r="G1072" s="28" t="n">
        <x:v>3</x:v>
      </x:c>
      <x:c r="H1072" s="28" t="n">
        <x:v>9</x:v>
      </x:c>
      <x:c r="I1072" s="28" t="n">
        <x:v>26</x:v>
      </x:c>
      <x:c r="J1072" s="28" t="n">
        <x:v>1</x:v>
      </x:c>
      <x:c r="K1072" s="28" t="n">
        <x:v>9</x:v>
      </x:c>
      <x:c r="L1072" s="28" t="n">
        <x:v>3</x:v>
      </x:c>
      <x:c r="M1072" s="28" t="n">
        <x:v>5</x:v>
      </x:c>
      <x:c r="N1072" s="28" t="n">
        <x:v>3</x:v>
      </x:c>
      <x:c r="O1072" s="28" t="n">
        <x:v>0</x:v>
      </x:c>
      <x:c r="P1072" s="28" t="n">
        <x:v>0</x:v>
      </x:c>
      <x:c r="Q1072" s="24" t="n">
        <x:f>IFERROR(J1072/H1072,0)</x:f>
        <x:v>0.1111111111111111</x:v>
      </x:c>
      <x:c r="R1072" s="24" t="n">
        <x:f>IFERROR(F1072/H1072,0)</x:f>
        <x:v>0.1111111111111111</x:v>
      </x:c>
      <x:c r="S1072" s="24" t="n">
        <x:f>IFERROR(F1072/J1072,0)</x:f>
        <x:v>1</x:v>
      </x:c>
      <x:c r="T1072" s="28" t="n">
        <x:f>H1072-I1072</x:f>
        <x:v>-17</x:v>
      </x:c>
      <x:c r="U1072" s="24" t="n">
        <x:f>IFERROR(J1072/H1072,0)-IFERROR(K1072/I1072,0)</x:f>
        <x:v>-0.23504273504273504</x:v>
      </x:c>
      <x:c r="V1072" s="24" t="n">
        <x:f>IFERROR(F1072/J1072,0)-IFERROR(G1072/K1072,0)</x:f>
        <x:v>0.6666666666666667</x:v>
      </x:c>
      <x:c r="W1072" s="28" t="n">
        <x:f>L1072-M1072</x:f>
        <x:v>-2</x:v>
      </x:c>
      <x:c r="X1072" s="24" t="n">
        <x:f>IFERROR(K1072/I1072,0)</x:f>
        <x:v>0.34615384615384615</x:v>
      </x:c>
      <x:c r="Y1072" s="24" t="n">
        <x:f>IFERROR(G1072/I1072,0)</x:f>
        <x:v>0.11538461538461539</x:v>
      </x:c>
      <x:c r="Z1072" s="24" t="n">
        <x:f>IFERROR(G1072/K1072,0)</x:f>
        <x:v>0.3333333333333333</x:v>
      </x:c>
      <x:c r="AA1072" s="24" t="n">
        <x:f>IFERROR(F1072/H1072,0)-IFERROR(G1072/I1072,0)</x:f>
        <x:v>-0.004273504273504286</x:v>
      </x:c>
      <x:c r="AB1072" s="28" t="n">
        <x:f>J1072-K1072</x:f>
        <x:v>-8</x:v>
      </x:c>
      <x:c r="AC1072" s="32" t="n">
        <x:f>F1072-G1072</x:f>
        <x:v>-2</x:v>
      </x:c>
    </x:row>
    <x:row r="1073">
      <x:c r="A1073" s="4" t="str">
        <x:v>2022-23</x:v>
      </x:c>
      <x:c r="B1073" s="20" t="n">
        <x:v>44923</x:v>
      </x:c>
      <x:c r="C1073" s="4" t="str">
        <x:v>Man City</x:v>
      </x:c>
      <x:c r="D1073" s="4" t="str">
        <x:v>Leeds</x:v>
      </x:c>
      <x:c r="E1073" s="4" t="str">
        <x:v>Away</x:v>
      </x:c>
      <x:c r="F1073" s="28" t="n">
        <x:v>3</x:v>
      </x:c>
      <x:c r="G1073" s="28" t="n">
        <x:v>1</x:v>
      </x:c>
      <x:c r="H1073" s="28" t="n">
        <x:v>26</x:v>
      </x:c>
      <x:c r="I1073" s="28" t="n">
        <x:v>9</x:v>
      </x:c>
      <x:c r="J1073" s="28" t="n">
        <x:v>9</x:v>
      </x:c>
      <x:c r="K1073" s="28" t="n">
        <x:v>1</x:v>
      </x:c>
      <x:c r="L1073" s="28" t="n">
        <x:v>5</x:v>
      </x:c>
      <x:c r="M1073" s="28" t="n">
        <x:v>3</x:v>
      </x:c>
      <x:c r="N1073" s="28" t="n">
        <x:v>3</x:v>
      </x:c>
      <x:c r="O1073" s="28" t="n">
        <x:v>0</x:v>
      </x:c>
      <x:c r="P1073" s="28" t="n">
        <x:v>3</x:v>
      </x:c>
      <x:c r="Q1073" s="24" t="n">
        <x:f>IFERROR(J1073/H1073,0)</x:f>
        <x:v>0.34615384615384615</x:v>
      </x:c>
      <x:c r="R1073" s="24" t="n">
        <x:f>IFERROR(F1073/H1073,0)</x:f>
        <x:v>0.11538461538461539</x:v>
      </x:c>
      <x:c r="S1073" s="24" t="n">
        <x:f>IFERROR(F1073/J1073,0)</x:f>
        <x:v>0.3333333333333333</x:v>
      </x:c>
      <x:c r="T1073" s="28" t="n">
        <x:f>H1073-I1073</x:f>
        <x:v>17</x:v>
      </x:c>
      <x:c r="U1073" s="24" t="n">
        <x:f>IFERROR(J1073/H1073,0)-IFERROR(K1073/I1073,0)</x:f>
        <x:v>0.23504273504273504</x:v>
      </x:c>
      <x:c r="V1073" s="24" t="n">
        <x:f>IFERROR(F1073/J1073,0)-IFERROR(G1073/K1073,0)</x:f>
        <x:v>-0.6666666666666667</x:v>
      </x:c>
      <x:c r="W1073" s="28" t="n">
        <x:f>L1073-M1073</x:f>
        <x:v>2</x:v>
      </x:c>
      <x:c r="X1073" s="24" t="n">
        <x:f>IFERROR(K1073/I1073,0)</x:f>
        <x:v>0.1111111111111111</x:v>
      </x:c>
      <x:c r="Y1073" s="24" t="n">
        <x:f>IFERROR(G1073/I1073,0)</x:f>
        <x:v>0.1111111111111111</x:v>
      </x:c>
      <x:c r="Z1073" s="24" t="n">
        <x:f>IFERROR(G1073/K1073,0)</x:f>
        <x:v>1</x:v>
      </x:c>
      <x:c r="AA1073" s="24" t="n">
        <x:f>IFERROR(F1073/H1073,0)-IFERROR(G1073/I1073,0)</x:f>
        <x:v>0.004273504273504286</x:v>
      </x:c>
      <x:c r="AB1073" s="28" t="n">
        <x:f>J1073-K1073</x:f>
        <x:v>8</x:v>
      </x:c>
      <x:c r="AC1073" s="32" t="n">
        <x:f>F1073-G1073</x:f>
        <x:v>2</x:v>
      </x:c>
    </x:row>
    <x:row r="1074">
      <x:c r="A1074" s="4" t="str">
        <x:v>2022-23</x:v>
      </x:c>
      <x:c r="B1074" s="20" t="n">
        <x:v>44925</x:v>
      </x:c>
      <x:c r="C1074" s="4" t="str">
        <x:v>Brentford</x:v>
      </x:c>
      <x:c r="D1074" s="4" t="str">
        <x:v>West Ham</x:v>
      </x:c>
      <x:c r="E1074" s="4" t="str">
        <x:v>Away</x:v>
      </x:c>
      <x:c r="F1074" s="28" t="n">
        <x:v>2</x:v>
      </x:c>
      <x:c r="G1074" s="28" t="n">
        <x:v>0</x:v>
      </x:c>
      <x:c r="H1074" s="28" t="n">
        <x:v>9</x:v>
      </x:c>
      <x:c r="I1074" s="28" t="n">
        <x:v>20</x:v>
      </x:c>
      <x:c r="J1074" s="28" t="n">
        <x:v>6</x:v>
      </x:c>
      <x:c r="K1074" s="28" t="n">
        <x:v>5</x:v>
      </x:c>
      <x:c r="L1074" s="28" t="n">
        <x:v>1</x:v>
      </x:c>
      <x:c r="M1074" s="28" t="n">
        <x:v>8</x:v>
      </x:c>
      <x:c r="N1074" s="28" t="n">
        <x:v>0</x:v>
      </x:c>
      <x:c r="O1074" s="28" t="n">
        <x:v>0</x:v>
      </x:c>
      <x:c r="P1074" s="28" t="n">
        <x:v>3</x:v>
      </x:c>
      <x:c r="Q1074" s="24" t="n">
        <x:f>IFERROR(J1074/H1074,0)</x:f>
        <x:v>0.6666666666666666</x:v>
      </x:c>
      <x:c r="R1074" s="24" t="n">
        <x:f>IFERROR(F1074/H1074,0)</x:f>
        <x:v>0.2222222222222222</x:v>
      </x:c>
      <x:c r="S1074" s="24" t="n">
        <x:f>IFERROR(F1074/J1074,0)</x:f>
        <x:v>0.3333333333333333</x:v>
      </x:c>
      <x:c r="T1074" s="28" t="n">
        <x:f>H1074-I1074</x:f>
        <x:v>-11</x:v>
      </x:c>
      <x:c r="U1074" s="24" t="n">
        <x:f>IFERROR(J1074/H1074,0)-IFERROR(K1074/I1074,0)</x:f>
        <x:v>0.41666666666666663</x:v>
      </x:c>
      <x:c r="V1074" s="24" t="n">
        <x:f>IFERROR(F1074/J1074,0)-IFERROR(G1074/K1074,0)</x:f>
        <x:v>0.3333333333333333</x:v>
      </x:c>
      <x:c r="W1074" s="28" t="n">
        <x:f>L1074-M1074</x:f>
        <x:v>-7</x:v>
      </x:c>
      <x:c r="X1074" s="24" t="n">
        <x:f>IFERROR(K1074/I1074,0)</x:f>
        <x:v>0.25</x:v>
      </x:c>
      <x:c r="Y1074" s="24" t="n">
        <x:f>IFERROR(G1074/I1074,0)</x:f>
        <x:v>0</x:v>
      </x:c>
      <x:c r="Z1074" s="24" t="n">
        <x:f>IFERROR(G1074/K1074,0)</x:f>
        <x:v>0</x:v>
      </x:c>
      <x:c r="AA1074" s="24" t="n">
        <x:f>IFERROR(F1074/H1074,0)-IFERROR(G1074/I1074,0)</x:f>
        <x:v>0.2222222222222222</x:v>
      </x:c>
      <x:c r="AB1074" s="28" t="n">
        <x:f>J1074-K1074</x:f>
        <x:v>1</x:v>
      </x:c>
      <x:c r="AC1074" s="32" t="n">
        <x:f>F1074-G1074</x:f>
        <x:v>2</x:v>
      </x:c>
    </x:row>
    <x:row r="1075">
      <x:c r="A1075" s="4" t="str">
        <x:v>2022-23</x:v>
      </x:c>
      <x:c r="B1075" s="20" t="n">
        <x:v>44925</x:v>
      </x:c>
      <x:c r="C1075" s="4" t="str">
        <x:v>Leicester</x:v>
      </x:c>
      <x:c r="D1075" s="4" t="str">
        <x:v>Liverpool</x:v>
      </x:c>
      <x:c r="E1075" s="4" t="str">
        <x:v>Away</x:v>
      </x:c>
      <x:c r="F1075" s="28" t="n">
        <x:v>1</x:v>
      </x:c>
      <x:c r="G1075" s="28" t="n">
        <x:v>2</x:v>
      </x:c>
      <x:c r="H1075" s="28" t="n">
        <x:v>7</x:v>
      </x:c>
      <x:c r="I1075" s="28" t="n">
        <x:v>21</x:v>
      </x:c>
      <x:c r="J1075" s="28" t="n">
        <x:v>2</x:v>
      </x:c>
      <x:c r="K1075" s="28" t="n">
        <x:v>5</x:v>
      </x:c>
      <x:c r="L1075" s="28" t="n">
        <x:v>5</x:v>
      </x:c>
      <x:c r="M1075" s="28" t="n">
        <x:v>4</x:v>
      </x:c>
      <x:c r="N1075" s="28" t="n">
        <x:v>1</x:v>
      </x:c>
      <x:c r="O1075" s="28" t="n">
        <x:v>0</x:v>
      </x:c>
      <x:c r="P1075" s="28" t="n">
        <x:v>0</x:v>
      </x:c>
      <x:c r="Q1075" s="24" t="n">
        <x:f>IFERROR(J1075/H1075,0)</x:f>
        <x:v>0.2857142857142857</x:v>
      </x:c>
      <x:c r="R1075" s="24" t="n">
        <x:f>IFERROR(F1075/H1075,0)</x:f>
        <x:v>0.14285714285714285</x:v>
      </x:c>
      <x:c r="S1075" s="24" t="n">
        <x:f>IFERROR(F1075/J1075,0)</x:f>
        <x:v>0.5</x:v>
      </x:c>
      <x:c r="T1075" s="28" t="n">
        <x:f>H1075-I1075</x:f>
        <x:v>-14</x:v>
      </x:c>
      <x:c r="U1075" s="24" t="n">
        <x:f>IFERROR(J1075/H1075,0)-IFERROR(K1075/I1075,0)</x:f>
        <x:v>0.047619047619047616</x:v>
      </x:c>
      <x:c r="V1075" s="24" t="n">
        <x:f>IFERROR(F1075/J1075,0)-IFERROR(G1075/K1075,0)</x:f>
        <x:v>0.09999999999999998</x:v>
      </x:c>
      <x:c r="W1075" s="28" t="n">
        <x:f>L1075-M1075</x:f>
        <x:v>1</x:v>
      </x:c>
      <x:c r="X1075" s="24" t="n">
        <x:f>IFERROR(K1075/I1075,0)</x:f>
        <x:v>0.23809523809523808</x:v>
      </x:c>
      <x:c r="Y1075" s="24" t="n">
        <x:f>IFERROR(G1075/I1075,0)</x:f>
        <x:v>0.09523809523809523</x:v>
      </x:c>
      <x:c r="Z1075" s="24" t="n">
        <x:f>IFERROR(G1075/K1075,0)</x:f>
        <x:v>0.4</x:v>
      </x:c>
      <x:c r="AA1075" s="24" t="n">
        <x:f>IFERROR(F1075/H1075,0)-IFERROR(G1075/I1075,0)</x:f>
        <x:v>0.047619047619047616</x:v>
      </x:c>
      <x:c r="AB1075" s="28" t="n">
        <x:f>J1075-K1075</x:f>
        <x:v>-3</x:v>
      </x:c>
      <x:c r="AC1075" s="32" t="n">
        <x:f>F1075-G1075</x:f>
        <x:v>-1</x:v>
      </x:c>
    </x:row>
    <x:row r="1076">
      <x:c r="A1076" s="4" t="str">
        <x:v>2022-23</x:v>
      </x:c>
      <x:c r="B1076" s="20" t="n">
        <x:v>44925</x:v>
      </x:c>
      <x:c r="C1076" s="4" t="str">
        <x:v>Liverpool</x:v>
      </x:c>
      <x:c r="D1076" s="4" t="str">
        <x:v>Leicester</x:v>
      </x:c>
      <x:c r="E1076" s="4" t="str">
        <x:v>Home</x:v>
      </x:c>
      <x:c r="F1076" s="28" t="n">
        <x:v>2</x:v>
      </x:c>
      <x:c r="G1076" s="28" t="n">
        <x:v>1</x:v>
      </x:c>
      <x:c r="H1076" s="28" t="n">
        <x:v>21</x:v>
      </x:c>
      <x:c r="I1076" s="28" t="n">
        <x:v>7</x:v>
      </x:c>
      <x:c r="J1076" s="28" t="n">
        <x:v>5</x:v>
      </x:c>
      <x:c r="K1076" s="28" t="n">
        <x:v>2</x:v>
      </x:c>
      <x:c r="L1076" s="28" t="n">
        <x:v>4</x:v>
      </x:c>
      <x:c r="M1076" s="28" t="n">
        <x:v>5</x:v>
      </x:c>
      <x:c r="N1076" s="28" t="n">
        <x:v>0</x:v>
      </x:c>
      <x:c r="O1076" s="28" t="n">
        <x:v>0</x:v>
      </x:c>
      <x:c r="P1076" s="28" t="n">
        <x:v>3</x:v>
      </x:c>
      <x:c r="Q1076" s="24" t="n">
        <x:f>IFERROR(J1076/H1076,0)</x:f>
        <x:v>0.23809523809523808</x:v>
      </x:c>
      <x:c r="R1076" s="24" t="n">
        <x:f>IFERROR(F1076/H1076,0)</x:f>
        <x:v>0.09523809523809523</x:v>
      </x:c>
      <x:c r="S1076" s="24" t="n">
        <x:f>IFERROR(F1076/J1076,0)</x:f>
        <x:v>0.4</x:v>
      </x:c>
      <x:c r="T1076" s="28" t="n">
        <x:f>H1076-I1076</x:f>
        <x:v>14</x:v>
      </x:c>
      <x:c r="U1076" s="24" t="n">
        <x:f>IFERROR(J1076/H1076,0)-IFERROR(K1076/I1076,0)</x:f>
        <x:v>-0.047619047619047616</x:v>
      </x:c>
      <x:c r="V1076" s="24" t="n">
        <x:f>IFERROR(F1076/J1076,0)-IFERROR(G1076/K1076,0)</x:f>
        <x:v>-0.09999999999999998</x:v>
      </x:c>
      <x:c r="W1076" s="28" t="n">
        <x:f>L1076-M1076</x:f>
        <x:v>-1</x:v>
      </x:c>
      <x:c r="X1076" s="24" t="n">
        <x:f>IFERROR(K1076/I1076,0)</x:f>
        <x:v>0.2857142857142857</x:v>
      </x:c>
      <x:c r="Y1076" s="24" t="n">
        <x:f>IFERROR(G1076/I1076,0)</x:f>
        <x:v>0.14285714285714285</x:v>
      </x:c>
      <x:c r="Z1076" s="24" t="n">
        <x:f>IFERROR(G1076/K1076,0)</x:f>
        <x:v>0.5</x:v>
      </x:c>
      <x:c r="AA1076" s="24" t="n">
        <x:f>IFERROR(F1076/H1076,0)-IFERROR(G1076/I1076,0)</x:f>
        <x:v>-0.047619047619047616</x:v>
      </x:c>
      <x:c r="AB1076" s="28" t="n">
        <x:f>J1076-K1076</x:f>
        <x:v>3</x:v>
      </x:c>
      <x:c r="AC1076" s="32" t="n">
        <x:f>F1076-G1076</x:f>
        <x:v>1</x:v>
      </x:c>
    </x:row>
    <x:row r="1077">
      <x:c r="A1077" s="4" t="str">
        <x:v>2022-23</x:v>
      </x:c>
      <x:c r="B1077" s="20" t="n">
        <x:v>44925</x:v>
      </x:c>
      <x:c r="C1077" s="4" t="str">
        <x:v>West Ham</x:v>
      </x:c>
      <x:c r="D1077" s="4" t="str">
        <x:v>Brentford</x:v>
      </x:c>
      <x:c r="E1077" s="4" t="str">
        <x:v>Home</x:v>
      </x:c>
      <x:c r="F1077" s="28" t="n">
        <x:v>0</x:v>
      </x:c>
      <x:c r="G1077" s="28" t="n">
        <x:v>2</x:v>
      </x:c>
      <x:c r="H1077" s="28" t="n">
        <x:v>20</x:v>
      </x:c>
      <x:c r="I1077" s="28" t="n">
        <x:v>9</x:v>
      </x:c>
      <x:c r="J1077" s="28" t="n">
        <x:v>5</x:v>
      </x:c>
      <x:c r="K1077" s="28" t="n">
        <x:v>6</x:v>
      </x:c>
      <x:c r="L1077" s="28" t="n">
        <x:v>8</x:v>
      </x:c>
      <x:c r="M1077" s="28" t="n">
        <x:v>1</x:v>
      </x:c>
      <x:c r="N1077" s="28" t="n">
        <x:v>1</x:v>
      </x:c>
      <x:c r="O1077" s="28" t="n">
        <x:v>0</x:v>
      </x:c>
      <x:c r="P1077" s="28" t="n">
        <x:v>0</x:v>
      </x:c>
      <x:c r="Q1077" s="24" t="n">
        <x:f>IFERROR(J1077/H1077,0)</x:f>
        <x:v>0.25</x:v>
      </x:c>
      <x:c r="R1077" s="24" t="n">
        <x:f>IFERROR(F1077/H1077,0)</x:f>
        <x:v>0</x:v>
      </x:c>
      <x:c r="S1077" s="24" t="n">
        <x:f>IFERROR(F1077/J1077,0)</x:f>
        <x:v>0</x:v>
      </x:c>
      <x:c r="T1077" s="28" t="n">
        <x:f>H1077-I1077</x:f>
        <x:v>11</x:v>
      </x:c>
      <x:c r="U1077" s="24" t="n">
        <x:f>IFERROR(J1077/H1077,0)-IFERROR(K1077/I1077,0)</x:f>
        <x:v>-0.41666666666666663</x:v>
      </x:c>
      <x:c r="V1077" s="24" t="n">
        <x:f>IFERROR(F1077/J1077,0)-IFERROR(G1077/K1077,0)</x:f>
        <x:v>-0.3333333333333333</x:v>
      </x:c>
      <x:c r="W1077" s="28" t="n">
        <x:f>L1077-M1077</x:f>
        <x:v>7</x:v>
      </x:c>
      <x:c r="X1077" s="24" t="n">
        <x:f>IFERROR(K1077/I1077,0)</x:f>
        <x:v>0.6666666666666666</x:v>
      </x:c>
      <x:c r="Y1077" s="24" t="n">
        <x:f>IFERROR(G1077/I1077,0)</x:f>
        <x:v>0.2222222222222222</x:v>
      </x:c>
      <x:c r="Z1077" s="24" t="n">
        <x:f>IFERROR(G1077/K1077,0)</x:f>
        <x:v>0.3333333333333333</x:v>
      </x:c>
      <x:c r="AA1077" s="24" t="n">
        <x:f>IFERROR(F1077/H1077,0)-IFERROR(G1077/I1077,0)</x:f>
        <x:v>-0.2222222222222222</x:v>
      </x:c>
      <x:c r="AB1077" s="28" t="n">
        <x:f>J1077-K1077</x:f>
        <x:v>-1</x:v>
      </x:c>
      <x:c r="AC1077" s="32" t="n">
        <x:f>F1077-G1077</x:f>
        <x:v>-2</x:v>
      </x:c>
    </x:row>
    <x:row r="1078">
      <x:c r="A1078" s="4" t="str">
        <x:v>2022-23</x:v>
      </x:c>
      <x:c r="B1078" s="20" t="n">
        <x:v>44926</x:v>
      </x:c>
      <x:c r="C1078" s="4" t="str">
        <x:v>Arsenal</x:v>
      </x:c>
      <x:c r="D1078" s="4" t="str">
        <x:v>Brighton</x:v>
      </x:c>
      <x:c r="E1078" s="4" t="str">
        <x:v>Away</x:v>
      </x:c>
      <x:c r="F1078" s="28" t="n">
        <x:v>4</x:v>
      </x:c>
      <x:c r="G1078" s="28" t="n">
        <x:v>2</x:v>
      </x:c>
      <x:c r="H1078" s="28" t="n">
        <x:v>14</x:v>
      </x:c>
      <x:c r="I1078" s="28" t="n">
        <x:v>9</x:v>
      </x:c>
      <x:c r="J1078" s="28" t="n">
        <x:v>7</x:v>
      </x:c>
      <x:c r="K1078" s="28" t="n">
        <x:v>5</x:v>
      </x:c>
      <x:c r="L1078" s="28" t="n">
        <x:v>4</x:v>
      </x:c>
      <x:c r="M1078" s="28" t="n">
        <x:v>7</x:v>
      </x:c>
      <x:c r="N1078" s="28" t="n">
        <x:v>3</x:v>
      </x:c>
      <x:c r="O1078" s="28" t="n">
        <x:v>0</x:v>
      </x:c>
      <x:c r="P1078" s="28" t="n">
        <x:v>3</x:v>
      </x:c>
      <x:c r="Q1078" s="24" t="n">
        <x:f>IFERROR(J1078/H1078,0)</x:f>
        <x:v>0.5</x:v>
      </x:c>
      <x:c r="R1078" s="24" t="n">
        <x:f>IFERROR(F1078/H1078,0)</x:f>
        <x:v>0.2857142857142857</x:v>
      </x:c>
      <x:c r="S1078" s="24" t="n">
        <x:f>IFERROR(F1078/J1078,0)</x:f>
        <x:v>0.5714285714285714</x:v>
      </x:c>
      <x:c r="T1078" s="28" t="n">
        <x:f>H1078-I1078</x:f>
        <x:v>5</x:v>
      </x:c>
      <x:c r="U1078" s="24" t="n">
        <x:f>IFERROR(J1078/H1078,0)-IFERROR(K1078/I1078,0)</x:f>
        <x:v>-0.05555555555555558</x:v>
      </x:c>
      <x:c r="V1078" s="24" t="n">
        <x:f>IFERROR(F1078/J1078,0)-IFERROR(G1078/K1078,0)</x:f>
        <x:v>0.17142857142857137</x:v>
      </x:c>
      <x:c r="W1078" s="28" t="n">
        <x:f>L1078-M1078</x:f>
        <x:v>-3</x:v>
      </x:c>
      <x:c r="X1078" s="24" t="n">
        <x:f>IFERROR(K1078/I1078,0)</x:f>
        <x:v>0.5555555555555556</x:v>
      </x:c>
      <x:c r="Y1078" s="24" t="n">
        <x:f>IFERROR(G1078/I1078,0)</x:f>
        <x:v>0.2222222222222222</x:v>
      </x:c>
      <x:c r="Z1078" s="24" t="n">
        <x:f>IFERROR(G1078/K1078,0)</x:f>
        <x:v>0.4</x:v>
      </x:c>
      <x:c r="AA1078" s="24" t="n">
        <x:f>IFERROR(F1078/H1078,0)-IFERROR(G1078/I1078,0)</x:f>
        <x:v>0.06349206349206349</x:v>
      </x:c>
      <x:c r="AB1078" s="28" t="n">
        <x:f>J1078-K1078</x:f>
        <x:v>2</x:v>
      </x:c>
      <x:c r="AC1078" s="32" t="n">
        <x:f>F1078-G1078</x:f>
        <x:v>2</x:v>
      </x:c>
    </x:row>
    <x:row r="1079">
      <x:c r="A1079" s="4" t="str">
        <x:v>2022-23</x:v>
      </x:c>
      <x:c r="B1079" s="20" t="n">
        <x:v>44926</x:v>
      </x:c>
      <x:c r="C1079" s="4" t="str">
        <x:v>Bournemouth</x:v>
      </x:c>
      <x:c r="D1079" s="4" t="str">
        <x:v>Crystal Palace</x:v>
      </x:c>
      <x:c r="E1079" s="4" t="str">
        <x:v>Home</x:v>
      </x:c>
      <x:c r="F1079" s="28" t="n">
        <x:v>0</x:v>
      </x:c>
      <x:c r="G1079" s="28" t="n">
        <x:v>2</x:v>
      </x:c>
      <x:c r="H1079" s="28" t="n">
        <x:v>6</x:v>
      </x:c>
      <x:c r="I1079" s="28" t="n">
        <x:v>15</x:v>
      </x:c>
      <x:c r="J1079" s="28" t="n">
        <x:v>2</x:v>
      </x:c>
      <x:c r="K1079" s="28" t="n">
        <x:v>6</x:v>
      </x:c>
      <x:c r="L1079" s="28" t="n">
        <x:v>2</x:v>
      </x:c>
      <x:c r="M1079" s="28" t="n">
        <x:v>7</x:v>
      </x:c>
      <x:c r="N1079" s="28" t="n">
        <x:v>4</x:v>
      </x:c>
      <x:c r="O1079" s="28" t="n">
        <x:v>0</x:v>
      </x:c>
      <x:c r="P1079" s="28" t="n">
        <x:v>0</x:v>
      </x:c>
      <x:c r="Q1079" s="24" t="n">
        <x:f>IFERROR(J1079/H1079,0)</x:f>
        <x:v>0.3333333333333333</x:v>
      </x:c>
      <x:c r="R1079" s="24" t="n">
        <x:f>IFERROR(F1079/H1079,0)</x:f>
        <x:v>0</x:v>
      </x:c>
      <x:c r="S1079" s="24" t="n">
        <x:f>IFERROR(F1079/J1079,0)</x:f>
        <x:v>0</x:v>
      </x:c>
      <x:c r="T1079" s="28" t="n">
        <x:f>H1079-I1079</x:f>
        <x:v>-9</x:v>
      </x:c>
      <x:c r="U1079" s="24" t="n">
        <x:f>IFERROR(J1079/H1079,0)-IFERROR(K1079/I1079,0)</x:f>
        <x:v>-0.06666666666666671</x:v>
      </x:c>
      <x:c r="V1079" s="24" t="n">
        <x:f>IFERROR(F1079/J1079,0)-IFERROR(G1079/K1079,0)</x:f>
        <x:v>-0.3333333333333333</x:v>
      </x:c>
      <x:c r="W1079" s="28" t="n">
        <x:f>L1079-M1079</x:f>
        <x:v>-5</x:v>
      </x:c>
      <x:c r="X1079" s="24" t="n">
        <x:f>IFERROR(K1079/I1079,0)</x:f>
        <x:v>0.4</x:v>
      </x:c>
      <x:c r="Y1079" s="24" t="n">
        <x:f>IFERROR(G1079/I1079,0)</x:f>
        <x:v>0.13333333333333333</x:v>
      </x:c>
      <x:c r="Z1079" s="24" t="n">
        <x:f>IFERROR(G1079/K1079,0)</x:f>
        <x:v>0.3333333333333333</x:v>
      </x:c>
      <x:c r="AA1079" s="24" t="n">
        <x:f>IFERROR(F1079/H1079,0)-IFERROR(G1079/I1079,0)</x:f>
        <x:v>-0.13333333333333333</x:v>
      </x:c>
      <x:c r="AB1079" s="28" t="n">
        <x:f>J1079-K1079</x:f>
        <x:v>-4</x:v>
      </x:c>
      <x:c r="AC1079" s="32" t="n">
        <x:f>F1079-G1079</x:f>
        <x:v>-2</x:v>
      </x:c>
    </x:row>
    <x:row r="1080">
      <x:c r="A1080" s="4" t="str">
        <x:v>2022-23</x:v>
      </x:c>
      <x:c r="B1080" s="20" t="n">
        <x:v>44926</x:v>
      </x:c>
      <x:c r="C1080" s="4" t="str">
        <x:v>Brighton</x:v>
      </x:c>
      <x:c r="D1080" s="4" t="str">
        <x:v>Arsenal</x:v>
      </x:c>
      <x:c r="E1080" s="4" t="str">
        <x:v>Home</x:v>
      </x:c>
      <x:c r="F1080" s="28" t="n">
        <x:v>2</x:v>
      </x:c>
      <x:c r="G1080" s="28" t="n">
        <x:v>4</x:v>
      </x:c>
      <x:c r="H1080" s="28" t="n">
        <x:v>9</x:v>
      </x:c>
      <x:c r="I1080" s="28" t="n">
        <x:v>14</x:v>
      </x:c>
      <x:c r="J1080" s="28" t="n">
        <x:v>5</x:v>
      </x:c>
      <x:c r="K1080" s="28" t="n">
        <x:v>7</x:v>
      </x:c>
      <x:c r="L1080" s="28" t="n">
        <x:v>7</x:v>
      </x:c>
      <x:c r="M1080" s="28" t="n">
        <x:v>4</x:v>
      </x:c>
      <x:c r="N1080" s="28" t="n">
        <x:v>3</x:v>
      </x:c>
      <x:c r="O1080" s="28" t="n">
        <x:v>0</x:v>
      </x:c>
      <x:c r="P1080" s="28" t="n">
        <x:v>0</x:v>
      </x:c>
      <x:c r="Q1080" s="24" t="n">
        <x:f>IFERROR(J1080/H1080,0)</x:f>
        <x:v>0.5555555555555556</x:v>
      </x:c>
      <x:c r="R1080" s="24" t="n">
        <x:f>IFERROR(F1080/H1080,0)</x:f>
        <x:v>0.2222222222222222</x:v>
      </x:c>
      <x:c r="S1080" s="24" t="n">
        <x:f>IFERROR(F1080/J1080,0)</x:f>
        <x:v>0.4</x:v>
      </x:c>
      <x:c r="T1080" s="28" t="n">
        <x:f>H1080-I1080</x:f>
        <x:v>-5</x:v>
      </x:c>
      <x:c r="U1080" s="24" t="n">
        <x:f>IFERROR(J1080/H1080,0)-IFERROR(K1080/I1080,0)</x:f>
        <x:v>0.05555555555555558</x:v>
      </x:c>
      <x:c r="V1080" s="24" t="n">
        <x:f>IFERROR(F1080/J1080,0)-IFERROR(G1080/K1080,0)</x:f>
        <x:v>-0.17142857142857137</x:v>
      </x:c>
      <x:c r="W1080" s="28" t="n">
        <x:f>L1080-M1080</x:f>
        <x:v>3</x:v>
      </x:c>
      <x:c r="X1080" s="24" t="n">
        <x:f>IFERROR(K1080/I1080,0)</x:f>
        <x:v>0.5</x:v>
      </x:c>
      <x:c r="Y1080" s="24" t="n">
        <x:f>IFERROR(G1080/I1080,0)</x:f>
        <x:v>0.2857142857142857</x:v>
      </x:c>
      <x:c r="Z1080" s="24" t="n">
        <x:f>IFERROR(G1080/K1080,0)</x:f>
        <x:v>0.5714285714285714</x:v>
      </x:c>
      <x:c r="AA1080" s="24" t="n">
        <x:f>IFERROR(F1080/H1080,0)-IFERROR(G1080/I1080,0)</x:f>
        <x:v>-0.06349206349206349</x:v>
      </x:c>
      <x:c r="AB1080" s="28" t="n">
        <x:f>J1080-K1080</x:f>
        <x:v>-2</x:v>
      </x:c>
      <x:c r="AC1080" s="32" t="n">
        <x:f>F1080-G1080</x:f>
        <x:v>-2</x:v>
      </x:c>
    </x:row>
    <x:row r="1081">
      <x:c r="A1081" s="4" t="str">
        <x:v>2022-23</x:v>
      </x:c>
      <x:c r="B1081" s="20" t="n">
        <x:v>44926</x:v>
      </x:c>
      <x:c r="C1081" s="4" t="str">
        <x:v>Crystal Palace</x:v>
      </x:c>
      <x:c r="D1081" s="4" t="str">
        <x:v>Bournemouth</x:v>
      </x:c>
      <x:c r="E1081" s="4" t="str">
        <x:v>Away</x:v>
      </x:c>
      <x:c r="F1081" s="28" t="n">
        <x:v>2</x:v>
      </x:c>
      <x:c r="G1081" s="28" t="n">
        <x:v>0</x:v>
      </x:c>
      <x:c r="H1081" s="28" t="n">
        <x:v>15</x:v>
      </x:c>
      <x:c r="I1081" s="28" t="n">
        <x:v>6</x:v>
      </x:c>
      <x:c r="J1081" s="28" t="n">
        <x:v>6</x:v>
      </x:c>
      <x:c r="K1081" s="28" t="n">
        <x:v>2</x:v>
      </x:c>
      <x:c r="L1081" s="28" t="n">
        <x:v>7</x:v>
      </x:c>
      <x:c r="M1081" s="28" t="n">
        <x:v>2</x:v>
      </x:c>
      <x:c r="N1081" s="28" t="n">
        <x:v>1</x:v>
      </x:c>
      <x:c r="O1081" s="28" t="n">
        <x:v>0</x:v>
      </x:c>
      <x:c r="P1081" s="28" t="n">
        <x:v>3</x:v>
      </x:c>
      <x:c r="Q1081" s="24" t="n">
        <x:f>IFERROR(J1081/H1081,0)</x:f>
        <x:v>0.4</x:v>
      </x:c>
      <x:c r="R1081" s="24" t="n">
        <x:f>IFERROR(F1081/H1081,0)</x:f>
        <x:v>0.13333333333333333</x:v>
      </x:c>
      <x:c r="S1081" s="24" t="n">
        <x:f>IFERROR(F1081/J1081,0)</x:f>
        <x:v>0.3333333333333333</x:v>
      </x:c>
      <x:c r="T1081" s="28" t="n">
        <x:f>H1081-I1081</x:f>
        <x:v>9</x:v>
      </x:c>
      <x:c r="U1081" s="24" t="n">
        <x:f>IFERROR(J1081/H1081,0)-IFERROR(K1081/I1081,0)</x:f>
        <x:v>0.06666666666666671</x:v>
      </x:c>
      <x:c r="V1081" s="24" t="n">
        <x:f>IFERROR(F1081/J1081,0)-IFERROR(G1081/K1081,0)</x:f>
        <x:v>0.3333333333333333</x:v>
      </x:c>
      <x:c r="W1081" s="28" t="n">
        <x:f>L1081-M1081</x:f>
        <x:v>5</x:v>
      </x:c>
      <x:c r="X1081" s="24" t="n">
        <x:f>IFERROR(K1081/I1081,0)</x:f>
        <x:v>0.3333333333333333</x:v>
      </x:c>
      <x:c r="Y1081" s="24" t="n">
        <x:f>IFERROR(G1081/I1081,0)</x:f>
        <x:v>0</x:v>
      </x:c>
      <x:c r="Z1081" s="24" t="n">
        <x:f>IFERROR(G1081/K1081,0)</x:f>
        <x:v>0</x:v>
      </x:c>
      <x:c r="AA1081" s="24" t="n">
        <x:f>IFERROR(F1081/H1081,0)-IFERROR(G1081/I1081,0)</x:f>
        <x:v>0.13333333333333333</x:v>
      </x:c>
      <x:c r="AB1081" s="28" t="n">
        <x:f>J1081-K1081</x:f>
        <x:v>4</x:v>
      </x:c>
      <x:c r="AC1081" s="32" t="n">
        <x:f>F1081-G1081</x:f>
        <x:v>2</x:v>
      </x:c>
    </x:row>
    <x:row r="1082">
      <x:c r="A1082" s="4" t="str">
        <x:v>2022-23</x:v>
      </x:c>
      <x:c r="B1082" s="20" t="n">
        <x:v>44926</x:v>
      </x:c>
      <x:c r="C1082" s="4" t="str">
        <x:v>Everton</x:v>
      </x:c>
      <x:c r="D1082" s="4" t="str">
        <x:v>Man City</x:v>
      </x:c>
      <x:c r="E1082" s="4" t="str">
        <x:v>Away</x:v>
      </x:c>
      <x:c r="F1082" s="28" t="n">
        <x:v>1</x:v>
      </x:c>
      <x:c r="G1082" s="28" t="n">
        <x:v>1</x:v>
      </x:c>
      <x:c r="H1082" s="28" t="n">
        <x:v>2</x:v>
      </x:c>
      <x:c r="I1082" s="28" t="n">
        <x:v>16</x:v>
      </x:c>
      <x:c r="J1082" s="28" t="n">
        <x:v>1</x:v>
      </x:c>
      <x:c r="K1082" s="28" t="n">
        <x:v>3</x:v>
      </x:c>
      <x:c r="L1082" s="28" t="n">
        <x:v>1</x:v>
      </x:c>
      <x:c r="M1082" s="28" t="n">
        <x:v>7</x:v>
      </x:c>
      <x:c r="N1082" s="28" t="n">
        <x:v>4</x:v>
      </x:c>
      <x:c r="O1082" s="28" t="n">
        <x:v>0</x:v>
      </x:c>
      <x:c r="P1082" s="28" t="n">
        <x:v>1</x:v>
      </x:c>
      <x:c r="Q1082" s="24" t="n">
        <x:f>IFERROR(J1082/H1082,0)</x:f>
        <x:v>0.5</x:v>
      </x:c>
      <x:c r="R1082" s="24" t="n">
        <x:f>IFERROR(F1082/H1082,0)</x:f>
        <x:v>0.5</x:v>
      </x:c>
      <x:c r="S1082" s="24" t="n">
        <x:f>IFERROR(F1082/J1082,0)</x:f>
        <x:v>1</x:v>
      </x:c>
      <x:c r="T1082" s="28" t="n">
        <x:f>H1082-I1082</x:f>
        <x:v>-14</x:v>
      </x:c>
      <x:c r="U1082" s="24" t="n">
        <x:f>IFERROR(J1082/H1082,0)-IFERROR(K1082/I1082,0)</x:f>
        <x:v>0.3125</x:v>
      </x:c>
      <x:c r="V1082" s="24" t="n">
        <x:f>IFERROR(F1082/J1082,0)-IFERROR(G1082/K1082,0)</x:f>
        <x:v>0.6666666666666667</x:v>
      </x:c>
      <x:c r="W1082" s="28" t="n">
        <x:f>L1082-M1082</x:f>
        <x:v>-6</x:v>
      </x:c>
      <x:c r="X1082" s="24" t="n">
        <x:f>IFERROR(K1082/I1082,0)</x:f>
        <x:v>0.1875</x:v>
      </x:c>
      <x:c r="Y1082" s="24" t="n">
        <x:f>IFERROR(G1082/I1082,0)</x:f>
        <x:v>0.0625</x:v>
      </x:c>
      <x:c r="Z1082" s="24" t="n">
        <x:f>IFERROR(G1082/K1082,0)</x:f>
        <x:v>0.3333333333333333</x:v>
      </x:c>
      <x:c r="AA1082" s="24" t="n">
        <x:f>IFERROR(F1082/H1082,0)-IFERROR(G1082/I1082,0)</x:f>
        <x:v>0.4375</x:v>
      </x:c>
      <x:c r="AB1082" s="28" t="n">
        <x:f>J1082-K1082</x:f>
        <x:v>-2</x:v>
      </x:c>
      <x:c r="AC1082" s="32" t="n">
        <x:f>F1082-G1082</x:f>
        <x:v>0</x:v>
      </x:c>
    </x:row>
    <x:row r="1083">
      <x:c r="A1083" s="4" t="str">
        <x:v>2022-23</x:v>
      </x:c>
      <x:c r="B1083" s="20" t="n">
        <x:v>44926</x:v>
      </x:c>
      <x:c r="C1083" s="4" t="str">
        <x:v>Fulham</x:v>
      </x:c>
      <x:c r="D1083" s="4" t="str">
        <x:v>Southampton</x:v>
      </x:c>
      <x:c r="E1083" s="4" t="str">
        <x:v>Home</x:v>
      </x:c>
      <x:c r="F1083" s="28" t="n">
        <x:v>2</x:v>
      </x:c>
      <x:c r="G1083" s="28" t="n">
        <x:v>1</x:v>
      </x:c>
      <x:c r="H1083" s="28" t="n">
        <x:v>8</x:v>
      </x:c>
      <x:c r="I1083" s="28" t="n">
        <x:v>9</x:v>
      </x:c>
      <x:c r="J1083" s="28" t="n">
        <x:v>2</x:v>
      </x:c>
      <x:c r="K1083" s="28" t="n">
        <x:v>3</x:v>
      </x:c>
      <x:c r="L1083" s="28" t="n">
        <x:v>4</x:v>
      </x:c>
      <x:c r="M1083" s="28" t="n">
        <x:v>4</x:v>
      </x:c>
      <x:c r="N1083" s="28" t="n">
        <x:v>0</x:v>
      </x:c>
      <x:c r="O1083" s="28" t="n">
        <x:v>0</x:v>
      </x:c>
      <x:c r="P1083" s="28" t="n">
        <x:v>3</x:v>
      </x:c>
      <x:c r="Q1083" s="24" t="n">
        <x:f>IFERROR(J1083/H1083,0)</x:f>
        <x:v>0.25</x:v>
      </x:c>
      <x:c r="R1083" s="24" t="n">
        <x:f>IFERROR(F1083/H1083,0)</x:f>
        <x:v>0.25</x:v>
      </x:c>
      <x:c r="S1083" s="24" t="n">
        <x:f>IFERROR(F1083/J1083,0)</x:f>
        <x:v>1</x:v>
      </x:c>
      <x:c r="T1083" s="28" t="n">
        <x:f>H1083-I1083</x:f>
        <x:v>-1</x:v>
      </x:c>
      <x:c r="U1083" s="24" t="n">
        <x:f>IFERROR(J1083/H1083,0)-IFERROR(K1083/I1083,0)</x:f>
        <x:v>-0.08333333333333331</x:v>
      </x:c>
      <x:c r="V1083" s="24" t="n">
        <x:f>IFERROR(F1083/J1083,0)-IFERROR(G1083/K1083,0)</x:f>
        <x:v>0.6666666666666667</x:v>
      </x:c>
      <x:c r="W1083" s="28" t="n">
        <x:f>L1083-M1083</x:f>
        <x:v>0</x:v>
      </x:c>
      <x:c r="X1083" s="24" t="n">
        <x:f>IFERROR(K1083/I1083,0)</x:f>
        <x:v>0.3333333333333333</x:v>
      </x:c>
      <x:c r="Y1083" s="24" t="n">
        <x:f>IFERROR(G1083/I1083,0)</x:f>
        <x:v>0.1111111111111111</x:v>
      </x:c>
      <x:c r="Z1083" s="24" t="n">
        <x:f>IFERROR(G1083/K1083,0)</x:f>
        <x:v>0.3333333333333333</x:v>
      </x:c>
      <x:c r="AA1083" s="24" t="n">
        <x:f>IFERROR(F1083/H1083,0)-IFERROR(G1083/I1083,0)</x:f>
        <x:v>0.1388888888888889</x:v>
      </x:c>
      <x:c r="AB1083" s="28" t="n">
        <x:f>J1083-K1083</x:f>
        <x:v>-1</x:v>
      </x:c>
      <x:c r="AC1083" s="32" t="n">
        <x:f>F1083-G1083</x:f>
        <x:v>1</x:v>
      </x:c>
    </x:row>
    <x:row r="1084">
      <x:c r="A1084" s="4" t="str">
        <x:v>2022-23</x:v>
      </x:c>
      <x:c r="B1084" s="20" t="n">
        <x:v>44926</x:v>
      </x:c>
      <x:c r="C1084" s="4" t="str">
        <x:v>Leeds</x:v>
      </x:c>
      <x:c r="D1084" s="4" t="str">
        <x:v>Newcastle</x:v>
      </x:c>
      <x:c r="E1084" s="4" t="str">
        <x:v>Away</x:v>
      </x:c>
      <x:c r="F1084" s="28" t="n">
        <x:v>0</x:v>
      </x:c>
      <x:c r="G1084" s="28" t="n">
        <x:v>0</x:v>
      </x:c>
      <x:c r="H1084" s="28" t="n">
        <x:v>8</x:v>
      </x:c>
      <x:c r="I1084" s="28" t="n">
        <x:v>16</x:v>
      </x:c>
      <x:c r="J1084" s="28" t="n">
        <x:v>1</x:v>
      </x:c>
      <x:c r="K1084" s="28" t="n">
        <x:v>5</x:v>
      </x:c>
      <x:c r="L1084" s="28" t="n">
        <x:v>3</x:v>
      </x:c>
      <x:c r="M1084" s="28" t="n">
        <x:v>9</x:v>
      </x:c>
      <x:c r="N1084" s="28" t="n">
        <x:v>5</x:v>
      </x:c>
      <x:c r="O1084" s="28" t="n">
        <x:v>0</x:v>
      </x:c>
      <x:c r="P1084" s="28" t="n">
        <x:v>1</x:v>
      </x:c>
      <x:c r="Q1084" s="24" t="n">
        <x:f>IFERROR(J1084/H1084,0)</x:f>
        <x:v>0.125</x:v>
      </x:c>
      <x:c r="R1084" s="24" t="n">
        <x:f>IFERROR(F1084/H1084,0)</x:f>
        <x:v>0</x:v>
      </x:c>
      <x:c r="S1084" s="24" t="n">
        <x:f>IFERROR(F1084/J1084,0)</x:f>
        <x:v>0</x:v>
      </x:c>
      <x:c r="T1084" s="28" t="n">
        <x:f>H1084-I1084</x:f>
        <x:v>-8</x:v>
      </x:c>
      <x:c r="U1084" s="24" t="n">
        <x:f>IFERROR(J1084/H1084,0)-IFERROR(K1084/I1084,0)</x:f>
        <x:v>-0.1875</x:v>
      </x:c>
      <x:c r="V1084" s="24" t="n">
        <x:f>IFERROR(F1084/J1084,0)-IFERROR(G1084/K1084,0)</x:f>
        <x:v>0</x:v>
      </x:c>
      <x:c r="W1084" s="28" t="n">
        <x:f>L1084-M1084</x:f>
        <x:v>-6</x:v>
      </x:c>
      <x:c r="X1084" s="24" t="n">
        <x:f>IFERROR(K1084/I1084,0)</x:f>
        <x:v>0.3125</x:v>
      </x:c>
      <x:c r="Y1084" s="24" t="n">
        <x:f>IFERROR(G1084/I1084,0)</x:f>
        <x:v>0</x:v>
      </x:c>
      <x:c r="Z1084" s="24" t="n">
        <x:f>IFERROR(G1084/K1084,0)</x:f>
        <x:v>0</x:v>
      </x:c>
      <x:c r="AA1084" s="24" t="n">
        <x:f>IFERROR(F1084/H1084,0)-IFERROR(G1084/I1084,0)</x:f>
        <x:v>0</x:v>
      </x:c>
      <x:c r="AB1084" s="28" t="n">
        <x:f>J1084-K1084</x:f>
        <x:v>-4</x:v>
      </x:c>
      <x:c r="AC1084" s="32" t="n">
        <x:f>F1084-G1084</x:f>
        <x:v>0</x:v>
      </x:c>
    </x:row>
    <x:row r="1085">
      <x:c r="A1085" s="4" t="str">
        <x:v>2022-23</x:v>
      </x:c>
      <x:c r="B1085" s="20" t="n">
        <x:v>44926</x:v>
      </x:c>
      <x:c r="C1085" s="4" t="str">
        <x:v>Man City</x:v>
      </x:c>
      <x:c r="D1085" s="4" t="str">
        <x:v>Everton</x:v>
      </x:c>
      <x:c r="E1085" s="4" t="str">
        <x:v>Home</x:v>
      </x:c>
      <x:c r="F1085" s="28" t="n">
        <x:v>1</x:v>
      </x:c>
      <x:c r="G1085" s="28" t="n">
        <x:v>1</x:v>
      </x:c>
      <x:c r="H1085" s="28" t="n">
        <x:v>16</x:v>
      </x:c>
      <x:c r="I1085" s="28" t="n">
        <x:v>2</x:v>
      </x:c>
      <x:c r="J1085" s="28" t="n">
        <x:v>3</x:v>
      </x:c>
      <x:c r="K1085" s="28" t="n">
        <x:v>1</x:v>
      </x:c>
      <x:c r="L1085" s="28" t="n">
        <x:v>7</x:v>
      </x:c>
      <x:c r="M1085" s="28" t="n">
        <x:v>1</x:v>
      </x:c>
      <x:c r="N1085" s="28" t="n">
        <x:v>3</x:v>
      </x:c>
      <x:c r="O1085" s="28" t="n">
        <x:v>0</x:v>
      </x:c>
      <x:c r="P1085" s="28" t="n">
        <x:v>1</x:v>
      </x:c>
      <x:c r="Q1085" s="24" t="n">
        <x:f>IFERROR(J1085/H1085,0)</x:f>
        <x:v>0.1875</x:v>
      </x:c>
      <x:c r="R1085" s="24" t="n">
        <x:f>IFERROR(F1085/H1085,0)</x:f>
        <x:v>0.0625</x:v>
      </x:c>
      <x:c r="S1085" s="24" t="n">
        <x:f>IFERROR(F1085/J1085,0)</x:f>
        <x:v>0.3333333333333333</x:v>
      </x:c>
      <x:c r="T1085" s="28" t="n">
        <x:f>H1085-I1085</x:f>
        <x:v>14</x:v>
      </x:c>
      <x:c r="U1085" s="24" t="n">
        <x:f>IFERROR(J1085/H1085,0)-IFERROR(K1085/I1085,0)</x:f>
        <x:v>-0.3125</x:v>
      </x:c>
      <x:c r="V1085" s="24" t="n">
        <x:f>IFERROR(F1085/J1085,0)-IFERROR(G1085/K1085,0)</x:f>
        <x:v>-0.6666666666666667</x:v>
      </x:c>
      <x:c r="W1085" s="28" t="n">
        <x:f>L1085-M1085</x:f>
        <x:v>6</x:v>
      </x:c>
      <x:c r="X1085" s="24" t="n">
        <x:f>IFERROR(K1085/I1085,0)</x:f>
        <x:v>0.5</x:v>
      </x:c>
      <x:c r="Y1085" s="24" t="n">
        <x:f>IFERROR(G1085/I1085,0)</x:f>
        <x:v>0.5</x:v>
      </x:c>
      <x:c r="Z1085" s="24" t="n">
        <x:f>IFERROR(G1085/K1085,0)</x:f>
        <x:v>1</x:v>
      </x:c>
      <x:c r="AA1085" s="24" t="n">
        <x:f>IFERROR(F1085/H1085,0)-IFERROR(G1085/I1085,0)</x:f>
        <x:v>-0.4375</x:v>
      </x:c>
      <x:c r="AB1085" s="28" t="n">
        <x:f>J1085-K1085</x:f>
        <x:v>2</x:v>
      </x:c>
      <x:c r="AC1085" s="32" t="n">
        <x:f>F1085-G1085</x:f>
        <x:v>0</x:v>
      </x:c>
    </x:row>
    <x:row r="1086">
      <x:c r="A1086" s="4" t="str">
        <x:v>2022-23</x:v>
      </x:c>
      <x:c r="B1086" s="20" t="n">
        <x:v>44926</x:v>
      </x:c>
      <x:c r="C1086" s="4" t="str">
        <x:v>Man United</x:v>
      </x:c>
      <x:c r="D1086" s="4" t="str">
        <x:v>Wolves</x:v>
      </x:c>
      <x:c r="E1086" s="4" t="str">
        <x:v>Away</x:v>
      </x:c>
      <x:c r="F1086" s="28" t="n">
        <x:v>1</x:v>
      </x:c>
      <x:c r="G1086" s="28" t="n">
        <x:v>0</x:v>
      </x:c>
      <x:c r="H1086" s="28" t="n">
        <x:v>16</x:v>
      </x:c>
      <x:c r="I1086" s="28" t="n">
        <x:v>10</x:v>
      </x:c>
      <x:c r="J1086" s="28" t="n">
        <x:v>6</x:v>
      </x:c>
      <x:c r="K1086" s="28" t="n">
        <x:v>3</x:v>
      </x:c>
      <x:c r="L1086" s="28" t="n">
        <x:v>5</x:v>
      </x:c>
      <x:c r="M1086" s="28" t="n">
        <x:v>7</x:v>
      </x:c>
      <x:c r="N1086" s="28" t="n">
        <x:v>3</x:v>
      </x:c>
      <x:c r="O1086" s="28" t="n">
        <x:v>0</x:v>
      </x:c>
      <x:c r="P1086" s="28" t="n">
        <x:v>3</x:v>
      </x:c>
      <x:c r="Q1086" s="24" t="n">
        <x:f>IFERROR(J1086/H1086,0)</x:f>
        <x:v>0.375</x:v>
      </x:c>
      <x:c r="R1086" s="24" t="n">
        <x:f>IFERROR(F1086/H1086,0)</x:f>
        <x:v>0.0625</x:v>
      </x:c>
      <x:c r="S1086" s="24" t="n">
        <x:f>IFERROR(F1086/J1086,0)</x:f>
        <x:v>0.16666666666666666</x:v>
      </x:c>
      <x:c r="T1086" s="28" t="n">
        <x:f>H1086-I1086</x:f>
        <x:v>6</x:v>
      </x:c>
      <x:c r="U1086" s="24" t="n">
        <x:f>IFERROR(J1086/H1086,0)-IFERROR(K1086/I1086,0)</x:f>
        <x:v>0.07500000000000001</x:v>
      </x:c>
      <x:c r="V1086" s="24" t="n">
        <x:f>IFERROR(F1086/J1086,0)-IFERROR(G1086/K1086,0)</x:f>
        <x:v>0.16666666666666666</x:v>
      </x:c>
      <x:c r="W1086" s="28" t="n">
        <x:f>L1086-M1086</x:f>
        <x:v>-2</x:v>
      </x:c>
      <x:c r="X1086" s="24" t="n">
        <x:f>IFERROR(K1086/I1086,0)</x:f>
        <x:v>0.3</x:v>
      </x:c>
      <x:c r="Y1086" s="24" t="n">
        <x:f>IFERROR(G1086/I1086,0)</x:f>
        <x:v>0</x:v>
      </x:c>
      <x:c r="Z1086" s="24" t="n">
        <x:f>IFERROR(G1086/K1086,0)</x:f>
        <x:v>0</x:v>
      </x:c>
      <x:c r="AA1086" s="24" t="n">
        <x:f>IFERROR(F1086/H1086,0)-IFERROR(G1086/I1086,0)</x:f>
        <x:v>0.0625</x:v>
      </x:c>
      <x:c r="AB1086" s="28" t="n">
        <x:f>J1086-K1086</x:f>
        <x:v>3</x:v>
      </x:c>
      <x:c r="AC1086" s="32" t="n">
        <x:f>F1086-G1086</x:f>
        <x:v>1</x:v>
      </x:c>
    </x:row>
    <x:row r="1087">
      <x:c r="A1087" s="4" t="str">
        <x:v>2022-23</x:v>
      </x:c>
      <x:c r="B1087" s="20" t="n">
        <x:v>44926</x:v>
      </x:c>
      <x:c r="C1087" s="4" t="str">
        <x:v>Newcastle</x:v>
      </x:c>
      <x:c r="D1087" s="4" t="str">
        <x:v>Leeds</x:v>
      </x:c>
      <x:c r="E1087" s="4" t="str">
        <x:v>Home</x:v>
      </x:c>
      <x:c r="F1087" s="28" t="n">
        <x:v>0</x:v>
      </x:c>
      <x:c r="G1087" s="28" t="n">
        <x:v>0</x:v>
      </x:c>
      <x:c r="H1087" s="28" t="n">
        <x:v>16</x:v>
      </x:c>
      <x:c r="I1087" s="28" t="n">
        <x:v>8</x:v>
      </x:c>
      <x:c r="J1087" s="28" t="n">
        <x:v>5</x:v>
      </x:c>
      <x:c r="K1087" s="28" t="n">
        <x:v>1</x:v>
      </x:c>
      <x:c r="L1087" s="28" t="n">
        <x:v>9</x:v>
      </x:c>
      <x:c r="M1087" s="28" t="n">
        <x:v>3</x:v>
      </x:c>
      <x:c r="N1087" s="28" t="n">
        <x:v>3</x:v>
      </x:c>
      <x:c r="O1087" s="28" t="n">
        <x:v>0</x:v>
      </x:c>
      <x:c r="P1087" s="28" t="n">
        <x:v>1</x:v>
      </x:c>
      <x:c r="Q1087" s="24" t="n">
        <x:f>IFERROR(J1087/H1087,0)</x:f>
        <x:v>0.3125</x:v>
      </x:c>
      <x:c r="R1087" s="24" t="n">
        <x:f>IFERROR(F1087/H1087,0)</x:f>
        <x:v>0</x:v>
      </x:c>
      <x:c r="S1087" s="24" t="n">
        <x:f>IFERROR(F1087/J1087,0)</x:f>
        <x:v>0</x:v>
      </x:c>
      <x:c r="T1087" s="28" t="n">
        <x:f>H1087-I1087</x:f>
        <x:v>8</x:v>
      </x:c>
      <x:c r="U1087" s="24" t="n">
        <x:f>IFERROR(J1087/H1087,0)-IFERROR(K1087/I1087,0)</x:f>
        <x:v>0.1875</x:v>
      </x:c>
      <x:c r="V1087" s="24" t="n">
        <x:f>IFERROR(F1087/J1087,0)-IFERROR(G1087/K1087,0)</x:f>
        <x:v>0</x:v>
      </x:c>
      <x:c r="W1087" s="28" t="n">
        <x:f>L1087-M1087</x:f>
        <x:v>6</x:v>
      </x:c>
      <x:c r="X1087" s="24" t="n">
        <x:f>IFERROR(K1087/I1087,0)</x:f>
        <x:v>0.125</x:v>
      </x:c>
      <x:c r="Y1087" s="24" t="n">
        <x:f>IFERROR(G1087/I1087,0)</x:f>
        <x:v>0</x:v>
      </x:c>
      <x:c r="Z1087" s="24" t="n">
        <x:f>IFERROR(G1087/K1087,0)</x:f>
        <x:v>0</x:v>
      </x:c>
      <x:c r="AA1087" s="24" t="n">
        <x:f>IFERROR(F1087/H1087,0)-IFERROR(G1087/I1087,0)</x:f>
        <x:v>0</x:v>
      </x:c>
      <x:c r="AB1087" s="28" t="n">
        <x:f>J1087-K1087</x:f>
        <x:v>4</x:v>
      </x:c>
      <x:c r="AC1087" s="32" t="n">
        <x:f>F1087-G1087</x:f>
        <x:v>0</x:v>
      </x:c>
    </x:row>
    <x:row r="1088">
      <x:c r="A1088" s="4" t="str">
        <x:v>2022-23</x:v>
      </x:c>
      <x:c r="B1088" s="20" t="n">
        <x:v>44926</x:v>
      </x:c>
      <x:c r="C1088" s="4" t="str">
        <x:v>Southampton</x:v>
      </x:c>
      <x:c r="D1088" s="4" t="str">
        <x:v>Fulham</x:v>
      </x:c>
      <x:c r="E1088" s="4" t="str">
        <x:v>Away</x:v>
      </x:c>
      <x:c r="F1088" s="28" t="n">
        <x:v>1</x:v>
      </x:c>
      <x:c r="G1088" s="28" t="n">
        <x:v>2</x:v>
      </x:c>
      <x:c r="H1088" s="28" t="n">
        <x:v>9</x:v>
      </x:c>
      <x:c r="I1088" s="28" t="n">
        <x:v>8</x:v>
      </x:c>
      <x:c r="J1088" s="28" t="n">
        <x:v>3</x:v>
      </x:c>
      <x:c r="K1088" s="28" t="n">
        <x:v>2</x:v>
      </x:c>
      <x:c r="L1088" s="28" t="n">
        <x:v>4</x:v>
      </x:c>
      <x:c r="M1088" s="28" t="n">
        <x:v>4</x:v>
      </x:c>
      <x:c r="N1088" s="28" t="n">
        <x:v>1</x:v>
      </x:c>
      <x:c r="O1088" s="28" t="n">
        <x:v>0</x:v>
      </x:c>
      <x:c r="P1088" s="28" t="n">
        <x:v>0</x:v>
      </x:c>
      <x:c r="Q1088" s="24" t="n">
        <x:f>IFERROR(J1088/H1088,0)</x:f>
        <x:v>0.3333333333333333</x:v>
      </x:c>
      <x:c r="R1088" s="24" t="n">
        <x:f>IFERROR(F1088/H1088,0)</x:f>
        <x:v>0.1111111111111111</x:v>
      </x:c>
      <x:c r="S1088" s="24" t="n">
        <x:f>IFERROR(F1088/J1088,0)</x:f>
        <x:v>0.3333333333333333</x:v>
      </x:c>
      <x:c r="T1088" s="28" t="n">
        <x:f>H1088-I1088</x:f>
        <x:v>1</x:v>
      </x:c>
      <x:c r="U1088" s="24" t="n">
        <x:f>IFERROR(J1088/H1088,0)-IFERROR(K1088/I1088,0)</x:f>
        <x:v>0.08333333333333331</x:v>
      </x:c>
      <x:c r="V1088" s="24" t="n">
        <x:f>IFERROR(F1088/J1088,0)-IFERROR(G1088/K1088,0)</x:f>
        <x:v>-0.6666666666666667</x:v>
      </x:c>
      <x:c r="W1088" s="28" t="n">
        <x:f>L1088-M1088</x:f>
        <x:v>0</x:v>
      </x:c>
      <x:c r="X1088" s="24" t="n">
        <x:f>IFERROR(K1088/I1088,0)</x:f>
        <x:v>0.25</x:v>
      </x:c>
      <x:c r="Y1088" s="24" t="n">
        <x:f>IFERROR(G1088/I1088,0)</x:f>
        <x:v>0.25</x:v>
      </x:c>
      <x:c r="Z1088" s="24" t="n">
        <x:f>IFERROR(G1088/K1088,0)</x:f>
        <x:v>1</x:v>
      </x:c>
      <x:c r="AA1088" s="24" t="n">
        <x:f>IFERROR(F1088/H1088,0)-IFERROR(G1088/I1088,0)</x:f>
        <x:v>-0.1388888888888889</x:v>
      </x:c>
      <x:c r="AB1088" s="28" t="n">
        <x:f>J1088-K1088</x:f>
        <x:v>1</x:v>
      </x:c>
      <x:c r="AC1088" s="32" t="n">
        <x:f>F1088-G1088</x:f>
        <x:v>-1</x:v>
      </x:c>
    </x:row>
    <x:row r="1089">
      <x:c r="A1089" s="4" t="str">
        <x:v>2022-23</x:v>
      </x:c>
      <x:c r="B1089" s="20" t="n">
        <x:v>44926</x:v>
      </x:c>
      <x:c r="C1089" s="4" t="str">
        <x:v>Wolves</x:v>
      </x:c>
      <x:c r="D1089" s="4" t="str">
        <x:v>Man United</x:v>
      </x:c>
      <x:c r="E1089" s="4" t="str">
        <x:v>Home</x:v>
      </x:c>
      <x:c r="F1089" s="28" t="n">
        <x:v>0</x:v>
      </x:c>
      <x:c r="G1089" s="28" t="n">
        <x:v>1</x:v>
      </x:c>
      <x:c r="H1089" s="28" t="n">
        <x:v>10</x:v>
      </x:c>
      <x:c r="I1089" s="28" t="n">
        <x:v>16</x:v>
      </x:c>
      <x:c r="J1089" s="28" t="n">
        <x:v>3</x:v>
      </x:c>
      <x:c r="K1089" s="28" t="n">
        <x:v>6</x:v>
      </x:c>
      <x:c r="L1089" s="28" t="n">
        <x:v>7</x:v>
      </x:c>
      <x:c r="M1089" s="28" t="n">
        <x:v>5</x:v>
      </x:c>
      <x:c r="N1089" s="28" t="n">
        <x:v>1</x:v>
      </x:c>
      <x:c r="O1089" s="28" t="n">
        <x:v>0</x:v>
      </x:c>
      <x:c r="P1089" s="28" t="n">
        <x:v>0</x:v>
      </x:c>
      <x:c r="Q1089" s="24" t="n">
        <x:f>IFERROR(J1089/H1089,0)</x:f>
        <x:v>0.3</x:v>
      </x:c>
      <x:c r="R1089" s="24" t="n">
        <x:f>IFERROR(F1089/H1089,0)</x:f>
        <x:v>0</x:v>
      </x:c>
      <x:c r="S1089" s="24" t="n">
        <x:f>IFERROR(F1089/J1089,0)</x:f>
        <x:v>0</x:v>
      </x:c>
      <x:c r="T1089" s="28" t="n">
        <x:f>H1089-I1089</x:f>
        <x:v>-6</x:v>
      </x:c>
      <x:c r="U1089" s="24" t="n">
        <x:f>IFERROR(J1089/H1089,0)-IFERROR(K1089/I1089,0)</x:f>
        <x:v>-0.07500000000000001</x:v>
      </x:c>
      <x:c r="V1089" s="24" t="n">
        <x:f>IFERROR(F1089/J1089,0)-IFERROR(G1089/K1089,0)</x:f>
        <x:v>-0.16666666666666666</x:v>
      </x:c>
      <x:c r="W1089" s="28" t="n">
        <x:f>L1089-M1089</x:f>
        <x:v>2</x:v>
      </x:c>
      <x:c r="X1089" s="24" t="n">
        <x:f>IFERROR(K1089/I1089,0)</x:f>
        <x:v>0.375</x:v>
      </x:c>
      <x:c r="Y1089" s="24" t="n">
        <x:f>IFERROR(G1089/I1089,0)</x:f>
        <x:v>0.0625</x:v>
      </x:c>
      <x:c r="Z1089" s="24" t="n">
        <x:f>IFERROR(G1089/K1089,0)</x:f>
        <x:v>0.16666666666666666</x:v>
      </x:c>
      <x:c r="AA1089" s="24" t="n">
        <x:f>IFERROR(F1089/H1089,0)-IFERROR(G1089/I1089,0)</x:f>
        <x:v>-0.0625</x:v>
      </x:c>
      <x:c r="AB1089" s="28" t="n">
        <x:f>J1089-K1089</x:f>
        <x:v>-3</x:v>
      </x:c>
      <x:c r="AC1089" s="32" t="n">
        <x:f>F1089-G1089</x:f>
        <x:v>-1</x:v>
      </x:c>
    </x:row>
    <x:row r="1090">
      <x:c r="A1090" s="4" t="str">
        <x:v>2022-23</x:v>
      </x:c>
      <x:c r="B1090" s="20" t="n">
        <x:v>44927</x:v>
      </x:c>
      <x:c r="C1090" s="4" t="str">
        <x:v>Aston Villa</x:v>
      </x:c>
      <x:c r="D1090" s="4" t="str">
        <x:v>Tottenham</x:v>
      </x:c>
      <x:c r="E1090" s="4" t="str">
        <x:v>Away</x:v>
      </x:c>
      <x:c r="F1090" s="28" t="n">
        <x:v>2</x:v>
      </x:c>
      <x:c r="G1090" s="28" t="n">
        <x:v>0</x:v>
      </x:c>
      <x:c r="H1090" s="28" t="n">
        <x:v>13</x:v>
      </x:c>
      <x:c r="I1090" s="28" t="n">
        <x:v>6</x:v>
      </x:c>
      <x:c r="J1090" s="28" t="n">
        <x:v>4</x:v>
      </x:c>
      <x:c r="K1090" s="28" t="n">
        <x:v>2</x:v>
      </x:c>
      <x:c r="L1090" s="28" t="n">
        <x:v>3</x:v>
      </x:c>
      <x:c r="M1090" s="28" t="n">
        <x:v>5</x:v>
      </x:c>
      <x:c r="N1090" s="28" t="n">
        <x:v>3</x:v>
      </x:c>
      <x:c r="O1090" s="28" t="n">
        <x:v>0</x:v>
      </x:c>
      <x:c r="P1090" s="28" t="n">
        <x:v>3</x:v>
      </x:c>
      <x:c r="Q1090" s="24" t="n">
        <x:f>IFERROR(J1090/H1090,0)</x:f>
        <x:v>0.3076923076923077</x:v>
      </x:c>
      <x:c r="R1090" s="24" t="n">
        <x:f>IFERROR(F1090/H1090,0)</x:f>
        <x:v>0.15384615384615385</x:v>
      </x:c>
      <x:c r="S1090" s="24" t="n">
        <x:f>IFERROR(F1090/J1090,0)</x:f>
        <x:v>0.5</x:v>
      </x:c>
      <x:c r="T1090" s="28" t="n">
        <x:f>H1090-I1090</x:f>
        <x:v>7</x:v>
      </x:c>
      <x:c r="U1090" s="24" t="n">
        <x:f>IFERROR(J1090/H1090,0)-IFERROR(K1090/I1090,0)</x:f>
        <x:v>-0.025641025641025605</x:v>
      </x:c>
      <x:c r="V1090" s="24" t="n">
        <x:f>IFERROR(F1090/J1090,0)-IFERROR(G1090/K1090,0)</x:f>
        <x:v>0.5</x:v>
      </x:c>
      <x:c r="W1090" s="28" t="n">
        <x:f>L1090-M1090</x:f>
        <x:v>-2</x:v>
      </x:c>
      <x:c r="X1090" s="24" t="n">
        <x:f>IFERROR(K1090/I1090,0)</x:f>
        <x:v>0.3333333333333333</x:v>
      </x:c>
      <x:c r="Y1090" s="24" t="n">
        <x:f>IFERROR(G1090/I1090,0)</x:f>
        <x:v>0</x:v>
      </x:c>
      <x:c r="Z1090" s="24" t="n">
        <x:f>IFERROR(G1090/K1090,0)</x:f>
        <x:v>0</x:v>
      </x:c>
      <x:c r="AA1090" s="24" t="n">
        <x:f>IFERROR(F1090/H1090,0)-IFERROR(G1090/I1090,0)</x:f>
        <x:v>0.15384615384615385</x:v>
      </x:c>
      <x:c r="AB1090" s="28" t="n">
        <x:f>J1090-K1090</x:f>
        <x:v>2</x:v>
      </x:c>
      <x:c r="AC1090" s="32" t="n">
        <x:f>F1090-G1090</x:f>
        <x:v>2</x:v>
      </x:c>
    </x:row>
    <x:row r="1091">
      <x:c r="A1091" s="4" t="str">
        <x:v>2022-23</x:v>
      </x:c>
      <x:c r="B1091" s="20" t="n">
        <x:v>44927</x:v>
      </x:c>
      <x:c r="C1091" s="4" t="str">
        <x:v>Chelsea</x:v>
      </x:c>
      <x:c r="D1091" s="4" t="str">
        <x:v>Nott'm Forest</x:v>
      </x:c>
      <x:c r="E1091" s="4" t="str">
        <x:v>Away</x:v>
      </x:c>
      <x:c r="F1091" s="28" t="n">
        <x:v>1</x:v>
      </x:c>
      <x:c r="G1091" s="28" t="n">
        <x:v>1</x:v>
      </x:c>
      <x:c r="H1091" s="28" t="n">
        <x:v>7</x:v>
      </x:c>
      <x:c r="I1091" s="28" t="n">
        <x:v>12</x:v>
      </x:c>
      <x:c r="J1091" s="28" t="n">
        <x:v>2</x:v>
      </x:c>
      <x:c r="K1091" s="28" t="n">
        <x:v>5</x:v>
      </x:c>
      <x:c r="L1091" s="28" t="n">
        <x:v>2</x:v>
      </x:c>
      <x:c r="M1091" s="28" t="n">
        <x:v>1</x:v>
      </x:c>
      <x:c r="N1091" s="28" t="n">
        <x:v>2</x:v>
      </x:c>
      <x:c r="O1091" s="28" t="n">
        <x:v>0</x:v>
      </x:c>
      <x:c r="P1091" s="28" t="n">
        <x:v>1</x:v>
      </x:c>
      <x:c r="Q1091" s="24" t="n">
        <x:f>IFERROR(J1091/H1091,0)</x:f>
        <x:v>0.2857142857142857</x:v>
      </x:c>
      <x:c r="R1091" s="24" t="n">
        <x:f>IFERROR(F1091/H1091,0)</x:f>
        <x:v>0.14285714285714285</x:v>
      </x:c>
      <x:c r="S1091" s="24" t="n">
        <x:f>IFERROR(F1091/J1091,0)</x:f>
        <x:v>0.5</x:v>
      </x:c>
      <x:c r="T1091" s="28" t="n">
        <x:f>H1091-I1091</x:f>
        <x:v>-5</x:v>
      </x:c>
      <x:c r="U1091" s="24" t="n">
        <x:f>IFERROR(J1091/H1091,0)-IFERROR(K1091/I1091,0)</x:f>
        <x:v>-0.130952380952381</x:v>
      </x:c>
      <x:c r="V1091" s="24" t="n">
        <x:f>IFERROR(F1091/J1091,0)-IFERROR(G1091/K1091,0)</x:f>
        <x:v>0.3</x:v>
      </x:c>
      <x:c r="W1091" s="28" t="n">
        <x:f>L1091-M1091</x:f>
        <x:v>1</x:v>
      </x:c>
      <x:c r="X1091" s="24" t="n">
        <x:f>IFERROR(K1091/I1091,0)</x:f>
        <x:v>0.4166666666666667</x:v>
      </x:c>
      <x:c r="Y1091" s="24" t="n">
        <x:f>IFERROR(G1091/I1091,0)</x:f>
        <x:v>0.08333333333333333</x:v>
      </x:c>
      <x:c r="Z1091" s="24" t="n">
        <x:f>IFERROR(G1091/K1091,0)</x:f>
        <x:v>0.2</x:v>
      </x:c>
      <x:c r="AA1091" s="24" t="n">
        <x:f>IFERROR(F1091/H1091,0)-IFERROR(G1091/I1091,0)</x:f>
        <x:v>0.05952380952380952</x:v>
      </x:c>
      <x:c r="AB1091" s="28" t="n">
        <x:f>J1091-K1091</x:f>
        <x:v>-3</x:v>
      </x:c>
      <x:c r="AC1091" s="32" t="n">
        <x:f>F1091-G1091</x:f>
        <x:v>0</x:v>
      </x:c>
    </x:row>
    <x:row r="1092">
      <x:c r="A1092" s="4" t="str">
        <x:v>2022-23</x:v>
      </x:c>
      <x:c r="B1092" s="20" t="n">
        <x:v>44927</x:v>
      </x:c>
      <x:c r="C1092" s="4" t="str">
        <x:v>Nott'm Forest</x:v>
      </x:c>
      <x:c r="D1092" s="4" t="str">
        <x:v>Chelsea</x:v>
      </x:c>
      <x:c r="E1092" s="4" t="str">
        <x:v>Home</x:v>
      </x:c>
      <x:c r="F1092" s="28" t="n">
        <x:v>1</x:v>
      </x:c>
      <x:c r="G1092" s="28" t="n">
        <x:v>1</x:v>
      </x:c>
      <x:c r="H1092" s="28" t="n">
        <x:v>12</x:v>
      </x:c>
      <x:c r="I1092" s="28" t="n">
        <x:v>7</x:v>
      </x:c>
      <x:c r="J1092" s="28" t="n">
        <x:v>5</x:v>
      </x:c>
      <x:c r="K1092" s="28" t="n">
        <x:v>2</x:v>
      </x:c>
      <x:c r="L1092" s="28" t="n">
        <x:v>1</x:v>
      </x:c>
      <x:c r="M1092" s="28" t="n">
        <x:v>2</x:v>
      </x:c>
      <x:c r="N1092" s="28" t="n">
        <x:v>2</x:v>
      </x:c>
      <x:c r="O1092" s="28" t="n">
        <x:v>0</x:v>
      </x:c>
      <x:c r="P1092" s="28" t="n">
        <x:v>1</x:v>
      </x:c>
      <x:c r="Q1092" s="24" t="n">
        <x:f>IFERROR(J1092/H1092,0)</x:f>
        <x:v>0.4166666666666667</x:v>
      </x:c>
      <x:c r="R1092" s="24" t="n">
        <x:f>IFERROR(F1092/H1092,0)</x:f>
        <x:v>0.08333333333333333</x:v>
      </x:c>
      <x:c r="S1092" s="24" t="n">
        <x:f>IFERROR(F1092/J1092,0)</x:f>
        <x:v>0.2</x:v>
      </x:c>
      <x:c r="T1092" s="28" t="n">
        <x:f>H1092-I1092</x:f>
        <x:v>5</x:v>
      </x:c>
      <x:c r="U1092" s="24" t="n">
        <x:f>IFERROR(J1092/H1092,0)-IFERROR(K1092/I1092,0)</x:f>
        <x:v>0.130952380952381</x:v>
      </x:c>
      <x:c r="V1092" s="24" t="n">
        <x:f>IFERROR(F1092/J1092,0)-IFERROR(G1092/K1092,0)</x:f>
        <x:v>-0.3</x:v>
      </x:c>
      <x:c r="W1092" s="28" t="n">
        <x:f>L1092-M1092</x:f>
        <x:v>-1</x:v>
      </x:c>
      <x:c r="X1092" s="24" t="n">
        <x:f>IFERROR(K1092/I1092,0)</x:f>
        <x:v>0.2857142857142857</x:v>
      </x:c>
      <x:c r="Y1092" s="24" t="n">
        <x:f>IFERROR(G1092/I1092,0)</x:f>
        <x:v>0.14285714285714285</x:v>
      </x:c>
      <x:c r="Z1092" s="24" t="n">
        <x:f>IFERROR(G1092/K1092,0)</x:f>
        <x:v>0.5</x:v>
      </x:c>
      <x:c r="AA1092" s="24" t="n">
        <x:f>IFERROR(F1092/H1092,0)-IFERROR(G1092/I1092,0)</x:f>
        <x:v>-0.05952380952380952</x:v>
      </x:c>
      <x:c r="AB1092" s="28" t="n">
        <x:f>J1092-K1092</x:f>
        <x:v>3</x:v>
      </x:c>
      <x:c r="AC1092" s="32" t="n">
        <x:f>F1092-G1092</x:f>
        <x:v>0</x:v>
      </x:c>
    </x:row>
    <x:row r="1093">
      <x:c r="A1093" s="4" t="str">
        <x:v>2022-23</x:v>
      </x:c>
      <x:c r="B1093" s="20" t="n">
        <x:v>44927</x:v>
      </x:c>
      <x:c r="C1093" s="4" t="str">
        <x:v>Tottenham</x:v>
      </x:c>
      <x:c r="D1093" s="4" t="str">
        <x:v>Aston Villa</x:v>
      </x:c>
      <x:c r="E1093" s="4" t="str">
        <x:v>Home</x:v>
      </x:c>
      <x:c r="F1093" s="28" t="n">
        <x:v>0</x:v>
      </x:c>
      <x:c r="G1093" s="28" t="n">
        <x:v>2</x:v>
      </x:c>
      <x:c r="H1093" s="28" t="n">
        <x:v>6</x:v>
      </x:c>
      <x:c r="I1093" s="28" t="n">
        <x:v>13</x:v>
      </x:c>
      <x:c r="J1093" s="28" t="n">
        <x:v>2</x:v>
      </x:c>
      <x:c r="K1093" s="28" t="n">
        <x:v>4</x:v>
      </x:c>
      <x:c r="L1093" s="28" t="n">
        <x:v>5</x:v>
      </x:c>
      <x:c r="M1093" s="28" t="n">
        <x:v>3</x:v>
      </x:c>
      <x:c r="N1093" s="28" t="n">
        <x:v>4</x:v>
      </x:c>
      <x:c r="O1093" s="28" t="n">
        <x:v>0</x:v>
      </x:c>
      <x:c r="P1093" s="28" t="n">
        <x:v>0</x:v>
      </x:c>
      <x:c r="Q1093" s="24" t="n">
        <x:f>IFERROR(J1093/H1093,0)</x:f>
        <x:v>0.3333333333333333</x:v>
      </x:c>
      <x:c r="R1093" s="24" t="n">
        <x:f>IFERROR(F1093/H1093,0)</x:f>
        <x:v>0</x:v>
      </x:c>
      <x:c r="S1093" s="24" t="n">
        <x:f>IFERROR(F1093/J1093,0)</x:f>
        <x:v>0</x:v>
      </x:c>
      <x:c r="T1093" s="28" t="n">
        <x:f>H1093-I1093</x:f>
        <x:v>-7</x:v>
      </x:c>
      <x:c r="U1093" s="24" t="n">
        <x:f>IFERROR(J1093/H1093,0)-IFERROR(K1093/I1093,0)</x:f>
        <x:v>0.025641025641025605</x:v>
      </x:c>
      <x:c r="V1093" s="24" t="n">
        <x:f>IFERROR(F1093/J1093,0)-IFERROR(G1093/K1093,0)</x:f>
        <x:v>-0.5</x:v>
      </x:c>
      <x:c r="W1093" s="28" t="n">
        <x:f>L1093-M1093</x:f>
        <x:v>2</x:v>
      </x:c>
      <x:c r="X1093" s="24" t="n">
        <x:f>IFERROR(K1093/I1093,0)</x:f>
        <x:v>0.3076923076923077</x:v>
      </x:c>
      <x:c r="Y1093" s="24" t="n">
        <x:f>IFERROR(G1093/I1093,0)</x:f>
        <x:v>0.15384615384615385</x:v>
      </x:c>
      <x:c r="Z1093" s="24" t="n">
        <x:f>IFERROR(G1093/K1093,0)</x:f>
        <x:v>0.5</x:v>
      </x:c>
      <x:c r="AA1093" s="24" t="n">
        <x:f>IFERROR(F1093/H1093,0)-IFERROR(G1093/I1093,0)</x:f>
        <x:v>-0.15384615384615385</x:v>
      </x:c>
      <x:c r="AB1093" s="28" t="n">
        <x:f>J1093-K1093</x:f>
        <x:v>-2</x:v>
      </x:c>
      <x:c r="AC1093" s="32" t="n">
        <x:f>F1093-G1093</x:f>
        <x:v>-2</x:v>
      </x:c>
    </x:row>
    <x:row r="1094">
      <x:c r="A1094" s="4" t="str">
        <x:v>2022-23</x:v>
      </x:c>
      <x:c r="B1094" s="20" t="n">
        <x:v>44928</x:v>
      </x:c>
      <x:c r="C1094" s="4" t="str">
        <x:v>Brentford</x:v>
      </x:c>
      <x:c r="D1094" s="4" t="str">
        <x:v>Liverpool</x:v>
      </x:c>
      <x:c r="E1094" s="4" t="str">
        <x:v>Home</x:v>
      </x:c>
      <x:c r="F1094" s="28" t="n">
        <x:v>3</x:v>
      </x:c>
      <x:c r="G1094" s="28" t="n">
        <x:v>1</x:v>
      </x:c>
      <x:c r="H1094" s="28" t="n">
        <x:v>10</x:v>
      </x:c>
      <x:c r="I1094" s="28" t="n">
        <x:v>16</x:v>
      </x:c>
      <x:c r="J1094" s="28" t="n">
        <x:v>7</x:v>
      </x:c>
      <x:c r="K1094" s="28" t="n">
        <x:v>6</x:v>
      </x:c>
      <x:c r="L1094" s="28" t="n">
        <x:v>4</x:v>
      </x:c>
      <x:c r="M1094" s="28" t="n">
        <x:v>9</x:v>
      </x:c>
      <x:c r="N1094" s="28" t="n">
        <x:v>1</x:v>
      </x:c>
      <x:c r="O1094" s="28" t="n">
        <x:v>0</x:v>
      </x:c>
      <x:c r="P1094" s="28" t="n">
        <x:v>3</x:v>
      </x:c>
      <x:c r="Q1094" s="24" t="n">
        <x:f>IFERROR(J1094/H1094,0)</x:f>
        <x:v>0.7</x:v>
      </x:c>
      <x:c r="R1094" s="24" t="n">
        <x:f>IFERROR(F1094/H1094,0)</x:f>
        <x:v>0.3</x:v>
      </x:c>
      <x:c r="S1094" s="24" t="n">
        <x:f>IFERROR(F1094/J1094,0)</x:f>
        <x:v>0.42857142857142855</x:v>
      </x:c>
      <x:c r="T1094" s="28" t="n">
        <x:f>H1094-I1094</x:f>
        <x:v>-6</x:v>
      </x:c>
      <x:c r="U1094" s="24" t="n">
        <x:f>IFERROR(J1094/H1094,0)-IFERROR(K1094/I1094,0)</x:f>
        <x:v>0.32499999999999996</x:v>
      </x:c>
      <x:c r="V1094" s="24" t="n">
        <x:f>IFERROR(F1094/J1094,0)-IFERROR(G1094/K1094,0)</x:f>
        <x:v>0.26190476190476186</x:v>
      </x:c>
      <x:c r="W1094" s="28" t="n">
        <x:f>L1094-M1094</x:f>
        <x:v>-5</x:v>
      </x:c>
      <x:c r="X1094" s="24" t="n">
        <x:f>IFERROR(K1094/I1094,0)</x:f>
        <x:v>0.375</x:v>
      </x:c>
      <x:c r="Y1094" s="24" t="n">
        <x:f>IFERROR(G1094/I1094,0)</x:f>
        <x:v>0.0625</x:v>
      </x:c>
      <x:c r="Z1094" s="24" t="n">
        <x:f>IFERROR(G1094/K1094,0)</x:f>
        <x:v>0.16666666666666666</x:v>
      </x:c>
      <x:c r="AA1094" s="24" t="n">
        <x:f>IFERROR(F1094/H1094,0)-IFERROR(G1094/I1094,0)</x:f>
        <x:v>0.2375</x:v>
      </x:c>
      <x:c r="AB1094" s="28" t="n">
        <x:f>J1094-K1094</x:f>
        <x:v>1</x:v>
      </x:c>
      <x:c r="AC1094" s="32" t="n">
        <x:f>F1094-G1094</x:f>
        <x:v>2</x:v>
      </x:c>
    </x:row>
    <x:row r="1095">
      <x:c r="A1095" s="4" t="str">
        <x:v>2022-23</x:v>
      </x:c>
      <x:c r="B1095" s="20" t="n">
        <x:v>44928</x:v>
      </x:c>
      <x:c r="C1095" s="4" t="str">
        <x:v>Liverpool</x:v>
      </x:c>
      <x:c r="D1095" s="4" t="str">
        <x:v>Brentford</x:v>
      </x:c>
      <x:c r="E1095" s="4" t="str">
        <x:v>Away</x:v>
      </x:c>
      <x:c r="F1095" s="28" t="n">
        <x:v>1</x:v>
      </x:c>
      <x:c r="G1095" s="28" t="n">
        <x:v>3</x:v>
      </x:c>
      <x:c r="H1095" s="28" t="n">
        <x:v>16</x:v>
      </x:c>
      <x:c r="I1095" s="28" t="n">
        <x:v>10</x:v>
      </x:c>
      <x:c r="J1095" s="28" t="n">
        <x:v>6</x:v>
      </x:c>
      <x:c r="K1095" s="28" t="n">
        <x:v>7</x:v>
      </x:c>
      <x:c r="L1095" s="28" t="n">
        <x:v>9</x:v>
      </x:c>
      <x:c r="M1095" s="28" t="n">
        <x:v>4</x:v>
      </x:c>
      <x:c r="N1095" s="28" t="n">
        <x:v>3</x:v>
      </x:c>
      <x:c r="O1095" s="28" t="n">
        <x:v>0</x:v>
      </x:c>
      <x:c r="P1095" s="28" t="n">
        <x:v>0</x:v>
      </x:c>
      <x:c r="Q1095" s="24" t="n">
        <x:f>IFERROR(J1095/H1095,0)</x:f>
        <x:v>0.375</x:v>
      </x:c>
      <x:c r="R1095" s="24" t="n">
        <x:f>IFERROR(F1095/H1095,0)</x:f>
        <x:v>0.0625</x:v>
      </x:c>
      <x:c r="S1095" s="24" t="n">
        <x:f>IFERROR(F1095/J1095,0)</x:f>
        <x:v>0.16666666666666666</x:v>
      </x:c>
      <x:c r="T1095" s="28" t="n">
        <x:f>H1095-I1095</x:f>
        <x:v>6</x:v>
      </x:c>
      <x:c r="U1095" s="24" t="n">
        <x:f>IFERROR(J1095/H1095,0)-IFERROR(K1095/I1095,0)</x:f>
        <x:v>-0.32499999999999996</x:v>
      </x:c>
      <x:c r="V1095" s="24" t="n">
        <x:f>IFERROR(F1095/J1095,0)-IFERROR(G1095/K1095,0)</x:f>
        <x:v>-0.26190476190476186</x:v>
      </x:c>
      <x:c r="W1095" s="28" t="n">
        <x:f>L1095-M1095</x:f>
        <x:v>5</x:v>
      </x:c>
      <x:c r="X1095" s="24" t="n">
        <x:f>IFERROR(K1095/I1095,0)</x:f>
        <x:v>0.7</x:v>
      </x:c>
      <x:c r="Y1095" s="24" t="n">
        <x:f>IFERROR(G1095/I1095,0)</x:f>
        <x:v>0.3</x:v>
      </x:c>
      <x:c r="Z1095" s="24" t="n">
        <x:f>IFERROR(G1095/K1095,0)</x:f>
        <x:v>0.42857142857142855</x:v>
      </x:c>
      <x:c r="AA1095" s="24" t="n">
        <x:f>IFERROR(F1095/H1095,0)-IFERROR(G1095/I1095,0)</x:f>
        <x:v>-0.2375</x:v>
      </x:c>
      <x:c r="AB1095" s="28" t="n">
        <x:f>J1095-K1095</x:f>
        <x:v>-1</x:v>
      </x:c>
      <x:c r="AC1095" s="32" t="n">
        <x:f>F1095-G1095</x:f>
        <x:v>-2</x:v>
      </x:c>
    </x:row>
    <x:row r="1096">
      <x:c r="A1096" s="4" t="str">
        <x:v>2022-23</x:v>
      </x:c>
      <x:c r="B1096" s="20" t="n">
        <x:v>44929</x:v>
      </x:c>
      <x:c r="C1096" s="4" t="str">
        <x:v>Arsenal</x:v>
      </x:c>
      <x:c r="D1096" s="4" t="str">
        <x:v>Newcastle</x:v>
      </x:c>
      <x:c r="E1096" s="4" t="str">
        <x:v>Home</x:v>
      </x:c>
      <x:c r="F1096" s="28" t="n">
        <x:v>0</x:v>
      </x:c>
      <x:c r="G1096" s="28" t="n">
        <x:v>0</x:v>
      </x:c>
      <x:c r="H1096" s="28" t="n">
        <x:v>17</x:v>
      </x:c>
      <x:c r="I1096" s="28" t="n">
        <x:v>8</x:v>
      </x:c>
      <x:c r="J1096" s="28" t="n">
        <x:v>4</x:v>
      </x:c>
      <x:c r="K1096" s="28" t="n">
        <x:v>1</x:v>
      </x:c>
      <x:c r="L1096" s="28" t="n">
        <x:v>5</x:v>
      </x:c>
      <x:c r="M1096" s="28" t="n">
        <x:v>5</x:v>
      </x:c>
      <x:c r="N1096" s="28" t="n">
        <x:v>4</x:v>
      </x:c>
      <x:c r="O1096" s="28" t="n">
        <x:v>0</x:v>
      </x:c>
      <x:c r="P1096" s="28" t="n">
        <x:v>1</x:v>
      </x:c>
      <x:c r="Q1096" s="24" t="n">
        <x:f>IFERROR(J1096/H1096,0)</x:f>
        <x:v>0.23529411764705882</x:v>
      </x:c>
      <x:c r="R1096" s="24" t="n">
        <x:f>IFERROR(F1096/H1096,0)</x:f>
        <x:v>0</x:v>
      </x:c>
      <x:c r="S1096" s="24" t="n">
        <x:f>IFERROR(F1096/J1096,0)</x:f>
        <x:v>0</x:v>
      </x:c>
      <x:c r="T1096" s="28" t="n">
        <x:f>H1096-I1096</x:f>
        <x:v>9</x:v>
      </x:c>
      <x:c r="U1096" s="24" t="n">
        <x:f>IFERROR(J1096/H1096,0)-IFERROR(K1096/I1096,0)</x:f>
        <x:v>0.11029411764705882</x:v>
      </x:c>
      <x:c r="V1096" s="24" t="n">
        <x:f>IFERROR(F1096/J1096,0)-IFERROR(G1096/K1096,0)</x:f>
        <x:v>0</x:v>
      </x:c>
      <x:c r="W1096" s="28" t="n">
        <x:f>L1096-M1096</x:f>
        <x:v>0</x:v>
      </x:c>
      <x:c r="X1096" s="24" t="n">
        <x:f>IFERROR(K1096/I1096,0)</x:f>
        <x:v>0.125</x:v>
      </x:c>
      <x:c r="Y1096" s="24" t="n">
        <x:f>IFERROR(G1096/I1096,0)</x:f>
        <x:v>0</x:v>
      </x:c>
      <x:c r="Z1096" s="24" t="n">
        <x:f>IFERROR(G1096/K1096,0)</x:f>
        <x:v>0</x:v>
      </x:c>
      <x:c r="AA1096" s="24" t="n">
        <x:f>IFERROR(F1096/H1096,0)-IFERROR(G1096/I1096,0)</x:f>
        <x:v>0</x:v>
      </x:c>
      <x:c r="AB1096" s="28" t="n">
        <x:f>J1096-K1096</x:f>
        <x:v>3</x:v>
      </x:c>
      <x:c r="AC1096" s="32" t="n">
        <x:f>F1096-G1096</x:f>
        <x:v>0</x:v>
      </x:c>
    </x:row>
    <x:row r="1097">
      <x:c r="A1097" s="4" t="str">
        <x:v>2022-23</x:v>
      </x:c>
      <x:c r="B1097" s="20" t="n">
        <x:v>44929</x:v>
      </x:c>
      <x:c r="C1097" s="4" t="str">
        <x:v>Bournemouth</x:v>
      </x:c>
      <x:c r="D1097" s="4" t="str">
        <x:v>Man United</x:v>
      </x:c>
      <x:c r="E1097" s="4" t="str">
        <x:v>Away</x:v>
      </x:c>
      <x:c r="F1097" s="28" t="n">
        <x:v>0</x:v>
      </x:c>
      <x:c r="G1097" s="28" t="n">
        <x:v>3</x:v>
      </x:c>
      <x:c r="H1097" s="28" t="n">
        <x:v>7</x:v>
      </x:c>
      <x:c r="I1097" s="28" t="n">
        <x:v>18</x:v>
      </x:c>
      <x:c r="J1097" s="28" t="n">
        <x:v>4</x:v>
      </x:c>
      <x:c r="K1097" s="28" t="n">
        <x:v>6</x:v>
      </x:c>
      <x:c r="L1097" s="28" t="n">
        <x:v>5</x:v>
      </x:c>
      <x:c r="M1097" s="28" t="n">
        <x:v>6</x:v>
      </x:c>
      <x:c r="N1097" s="28" t="n">
        <x:v>3</x:v>
      </x:c>
      <x:c r="O1097" s="28" t="n">
        <x:v>0</x:v>
      </x:c>
      <x:c r="P1097" s="28" t="n">
        <x:v>0</x:v>
      </x:c>
      <x:c r="Q1097" s="24" t="n">
        <x:f>IFERROR(J1097/H1097,0)</x:f>
        <x:v>0.5714285714285714</x:v>
      </x:c>
      <x:c r="R1097" s="24" t="n">
        <x:f>IFERROR(F1097/H1097,0)</x:f>
        <x:v>0</x:v>
      </x:c>
      <x:c r="S1097" s="24" t="n">
        <x:f>IFERROR(F1097/J1097,0)</x:f>
        <x:v>0</x:v>
      </x:c>
      <x:c r="T1097" s="28" t="n">
        <x:f>H1097-I1097</x:f>
        <x:v>-11</x:v>
      </x:c>
      <x:c r="U1097" s="24" t="n">
        <x:f>IFERROR(J1097/H1097,0)-IFERROR(K1097/I1097,0)</x:f>
        <x:v>0.23809523809523808</x:v>
      </x:c>
      <x:c r="V1097" s="24" t="n">
        <x:f>IFERROR(F1097/J1097,0)-IFERROR(G1097/K1097,0)</x:f>
        <x:v>-0.5</x:v>
      </x:c>
      <x:c r="W1097" s="28" t="n">
        <x:f>L1097-M1097</x:f>
        <x:v>-1</x:v>
      </x:c>
      <x:c r="X1097" s="24" t="n">
        <x:f>IFERROR(K1097/I1097,0)</x:f>
        <x:v>0.3333333333333333</x:v>
      </x:c>
      <x:c r="Y1097" s="24" t="n">
        <x:f>IFERROR(G1097/I1097,0)</x:f>
        <x:v>0.16666666666666666</x:v>
      </x:c>
      <x:c r="Z1097" s="24" t="n">
        <x:f>IFERROR(G1097/K1097,0)</x:f>
        <x:v>0.5</x:v>
      </x:c>
      <x:c r="AA1097" s="24" t="n">
        <x:f>IFERROR(F1097/H1097,0)-IFERROR(G1097/I1097,0)</x:f>
        <x:v>-0.16666666666666666</x:v>
      </x:c>
      <x:c r="AB1097" s="28" t="n">
        <x:f>J1097-K1097</x:f>
        <x:v>-2</x:v>
      </x:c>
      <x:c r="AC1097" s="32" t="n">
        <x:f>F1097-G1097</x:f>
        <x:v>-3</x:v>
      </x:c>
    </x:row>
    <x:row r="1098">
      <x:c r="A1098" s="4" t="str">
        <x:v>2022-23</x:v>
      </x:c>
      <x:c r="B1098" s="20" t="n">
        <x:v>44929</x:v>
      </x:c>
      <x:c r="C1098" s="4" t="str">
        <x:v>Brighton</x:v>
      </x:c>
      <x:c r="D1098" s="4" t="str">
        <x:v>Everton</x:v>
      </x:c>
      <x:c r="E1098" s="4" t="str">
        <x:v>Away</x:v>
      </x:c>
      <x:c r="F1098" s="28" t="n">
        <x:v>4</x:v>
      </x:c>
      <x:c r="G1098" s="28" t="n">
        <x:v>1</x:v>
      </x:c>
      <x:c r="H1098" s="28" t="n">
        <x:v>19</x:v>
      </x:c>
      <x:c r="I1098" s="28" t="n">
        <x:v>10</x:v>
      </x:c>
      <x:c r="J1098" s="28" t="n">
        <x:v>8</x:v>
      </x:c>
      <x:c r="K1098" s="28" t="n">
        <x:v>4</x:v>
      </x:c>
      <x:c r="L1098" s="28" t="n">
        <x:v>2</x:v>
      </x:c>
      <x:c r="M1098" s="28" t="n">
        <x:v>5</x:v>
      </x:c>
      <x:c r="N1098" s="28" t="n">
        <x:v>1</x:v>
      </x:c>
      <x:c r="O1098" s="28" t="n">
        <x:v>0</x:v>
      </x:c>
      <x:c r="P1098" s="28" t="n">
        <x:v>3</x:v>
      </x:c>
      <x:c r="Q1098" s="24" t="n">
        <x:f>IFERROR(J1098/H1098,0)</x:f>
        <x:v>0.42105263157894735</x:v>
      </x:c>
      <x:c r="R1098" s="24" t="n">
        <x:f>IFERROR(F1098/H1098,0)</x:f>
        <x:v>0.21052631578947367</x:v>
      </x:c>
      <x:c r="S1098" s="24" t="n">
        <x:f>IFERROR(F1098/J1098,0)</x:f>
        <x:v>0.5</x:v>
      </x:c>
      <x:c r="T1098" s="28" t="n">
        <x:f>H1098-I1098</x:f>
        <x:v>9</x:v>
      </x:c>
      <x:c r="U1098" s="24" t="n">
        <x:f>IFERROR(J1098/H1098,0)-IFERROR(K1098/I1098,0)</x:f>
        <x:v>0.021052631578947323</x:v>
      </x:c>
      <x:c r="V1098" s="24" t="n">
        <x:f>IFERROR(F1098/J1098,0)-IFERROR(G1098/K1098,0)</x:f>
        <x:v>0.25</x:v>
      </x:c>
      <x:c r="W1098" s="28" t="n">
        <x:f>L1098-M1098</x:f>
        <x:v>-3</x:v>
      </x:c>
      <x:c r="X1098" s="24" t="n">
        <x:f>IFERROR(K1098/I1098,0)</x:f>
        <x:v>0.4</x:v>
      </x:c>
      <x:c r="Y1098" s="24" t="n">
        <x:f>IFERROR(G1098/I1098,0)</x:f>
        <x:v>0.1</x:v>
      </x:c>
      <x:c r="Z1098" s="24" t="n">
        <x:f>IFERROR(G1098/K1098,0)</x:f>
        <x:v>0.25</x:v>
      </x:c>
      <x:c r="AA1098" s="24" t="n">
        <x:f>IFERROR(F1098/H1098,0)-IFERROR(G1098/I1098,0)</x:f>
        <x:v>0.11052631578947367</x:v>
      </x:c>
      <x:c r="AB1098" s="28" t="n">
        <x:f>J1098-K1098</x:f>
        <x:v>4</x:v>
      </x:c>
      <x:c r="AC1098" s="32" t="n">
        <x:f>F1098-G1098</x:f>
        <x:v>3</x:v>
      </x:c>
    </x:row>
    <x:row r="1099">
      <x:c r="A1099" s="4" t="str">
        <x:v>2022-23</x:v>
      </x:c>
      <x:c r="B1099" s="20" t="n">
        <x:v>44929</x:v>
      </x:c>
      <x:c r="C1099" s="4" t="str">
        <x:v>Everton</x:v>
      </x:c>
      <x:c r="D1099" s="4" t="str">
        <x:v>Brighton</x:v>
      </x:c>
      <x:c r="E1099" s="4" t="str">
        <x:v>Home</x:v>
      </x:c>
      <x:c r="F1099" s="28" t="n">
        <x:v>1</x:v>
      </x:c>
      <x:c r="G1099" s="28" t="n">
        <x:v>4</x:v>
      </x:c>
      <x:c r="H1099" s="28" t="n">
        <x:v>10</x:v>
      </x:c>
      <x:c r="I1099" s="28" t="n">
        <x:v>19</x:v>
      </x:c>
      <x:c r="J1099" s="28" t="n">
        <x:v>4</x:v>
      </x:c>
      <x:c r="K1099" s="28" t="n">
        <x:v>8</x:v>
      </x:c>
      <x:c r="L1099" s="28" t="n">
        <x:v>5</x:v>
      </x:c>
      <x:c r="M1099" s="28" t="n">
        <x:v>2</x:v>
      </x:c>
      <x:c r="N1099" s="28" t="n">
        <x:v>3</x:v>
      </x:c>
      <x:c r="O1099" s="28" t="n">
        <x:v>0</x:v>
      </x:c>
      <x:c r="P1099" s="28" t="n">
        <x:v>0</x:v>
      </x:c>
      <x:c r="Q1099" s="24" t="n">
        <x:f>IFERROR(J1099/H1099,0)</x:f>
        <x:v>0.4</x:v>
      </x:c>
      <x:c r="R1099" s="24" t="n">
        <x:f>IFERROR(F1099/H1099,0)</x:f>
        <x:v>0.1</x:v>
      </x:c>
      <x:c r="S1099" s="24" t="n">
        <x:f>IFERROR(F1099/J1099,0)</x:f>
        <x:v>0.25</x:v>
      </x:c>
      <x:c r="T1099" s="28" t="n">
        <x:f>H1099-I1099</x:f>
        <x:v>-9</x:v>
      </x:c>
      <x:c r="U1099" s="24" t="n">
        <x:f>IFERROR(J1099/H1099,0)-IFERROR(K1099/I1099,0)</x:f>
        <x:v>-0.021052631578947323</x:v>
      </x:c>
      <x:c r="V1099" s="24" t="n">
        <x:f>IFERROR(F1099/J1099,0)-IFERROR(G1099/K1099,0)</x:f>
        <x:v>-0.25</x:v>
      </x:c>
      <x:c r="W1099" s="28" t="n">
        <x:f>L1099-M1099</x:f>
        <x:v>3</x:v>
      </x:c>
      <x:c r="X1099" s="24" t="n">
        <x:f>IFERROR(K1099/I1099,0)</x:f>
        <x:v>0.42105263157894735</x:v>
      </x:c>
      <x:c r="Y1099" s="24" t="n">
        <x:f>IFERROR(G1099/I1099,0)</x:f>
        <x:v>0.21052631578947367</x:v>
      </x:c>
      <x:c r="Z1099" s="24" t="n">
        <x:f>IFERROR(G1099/K1099,0)</x:f>
        <x:v>0.5</x:v>
      </x:c>
      <x:c r="AA1099" s="24" t="n">
        <x:f>IFERROR(F1099/H1099,0)-IFERROR(G1099/I1099,0)</x:f>
        <x:v>-0.11052631578947367</x:v>
      </x:c>
      <x:c r="AB1099" s="28" t="n">
        <x:f>J1099-K1099</x:f>
        <x:v>-4</x:v>
      </x:c>
      <x:c r="AC1099" s="32" t="n">
        <x:f>F1099-G1099</x:f>
        <x:v>-3</x:v>
      </x:c>
    </x:row>
    <x:row r="1100">
      <x:c r="A1100" s="4" t="str">
        <x:v>2022-23</x:v>
      </x:c>
      <x:c r="B1100" s="20" t="n">
        <x:v>44929</x:v>
      </x:c>
      <x:c r="C1100" s="4" t="str">
        <x:v>Fulham</x:v>
      </x:c>
      <x:c r="D1100" s="4" t="str">
        <x:v>Leicester</x:v>
      </x:c>
      <x:c r="E1100" s="4" t="str">
        <x:v>Away</x:v>
      </x:c>
      <x:c r="F1100" s="28" t="n">
        <x:v>1</x:v>
      </x:c>
      <x:c r="G1100" s="28" t="n">
        <x:v>0</x:v>
      </x:c>
      <x:c r="H1100" s="28" t="n">
        <x:v>11</x:v>
      </x:c>
      <x:c r="I1100" s="28" t="n">
        <x:v>15</x:v>
      </x:c>
      <x:c r="J1100" s="28" t="n">
        <x:v>2</x:v>
      </x:c>
      <x:c r="K1100" s="28" t="n">
        <x:v>6</x:v>
      </x:c>
      <x:c r="L1100" s="28" t="n">
        <x:v>3</x:v>
      </x:c>
      <x:c r="M1100" s="28" t="n">
        <x:v>6</x:v>
      </x:c>
      <x:c r="N1100" s="28" t="n">
        <x:v>6</x:v>
      </x:c>
      <x:c r="O1100" s="28" t="n">
        <x:v>0</x:v>
      </x:c>
      <x:c r="P1100" s="28" t="n">
        <x:v>3</x:v>
      </x:c>
      <x:c r="Q1100" s="24" t="n">
        <x:f>IFERROR(J1100/H1100,0)</x:f>
        <x:v>0.18181818181818182</x:v>
      </x:c>
      <x:c r="R1100" s="24" t="n">
        <x:f>IFERROR(F1100/H1100,0)</x:f>
        <x:v>0.09090909090909091</x:v>
      </x:c>
      <x:c r="S1100" s="24" t="n">
        <x:f>IFERROR(F1100/J1100,0)</x:f>
        <x:v>0.5</x:v>
      </x:c>
      <x:c r="T1100" s="28" t="n">
        <x:f>H1100-I1100</x:f>
        <x:v>-4</x:v>
      </x:c>
      <x:c r="U1100" s="24" t="n">
        <x:f>IFERROR(J1100/H1100,0)-IFERROR(K1100/I1100,0)</x:f>
        <x:v>-0.2181818181818182</x:v>
      </x:c>
      <x:c r="V1100" s="24" t="n">
        <x:f>IFERROR(F1100/J1100,0)-IFERROR(G1100/K1100,0)</x:f>
        <x:v>0.5</x:v>
      </x:c>
      <x:c r="W1100" s="28" t="n">
        <x:f>L1100-M1100</x:f>
        <x:v>-3</x:v>
      </x:c>
      <x:c r="X1100" s="24" t="n">
        <x:f>IFERROR(K1100/I1100,0)</x:f>
        <x:v>0.4</x:v>
      </x:c>
      <x:c r="Y1100" s="24" t="n">
        <x:f>IFERROR(G1100/I1100,0)</x:f>
        <x:v>0</x:v>
      </x:c>
      <x:c r="Z1100" s="24" t="n">
        <x:f>IFERROR(G1100/K1100,0)</x:f>
        <x:v>0</x:v>
      </x:c>
      <x:c r="AA1100" s="24" t="n">
        <x:f>IFERROR(F1100/H1100,0)-IFERROR(G1100/I1100,0)</x:f>
        <x:v>0.09090909090909091</x:v>
      </x:c>
      <x:c r="AB1100" s="28" t="n">
        <x:f>J1100-K1100</x:f>
        <x:v>-4</x:v>
      </x:c>
      <x:c r="AC1100" s="32" t="n">
        <x:f>F1100-G1100</x:f>
        <x:v>1</x:v>
      </x:c>
    </x:row>
    <x:row r="1101">
      <x:c r="A1101" s="4" t="str">
        <x:v>2022-23</x:v>
      </x:c>
      <x:c r="B1101" s="20" t="n">
        <x:v>44929</x:v>
      </x:c>
      <x:c r="C1101" s="4" t="str">
        <x:v>Leicester</x:v>
      </x:c>
      <x:c r="D1101" s="4" t="str">
        <x:v>Fulham</x:v>
      </x:c>
      <x:c r="E1101" s="4" t="str">
        <x:v>Home</x:v>
      </x:c>
      <x:c r="F1101" s="28" t="n">
        <x:v>0</x:v>
      </x:c>
      <x:c r="G1101" s="28" t="n">
        <x:v>1</x:v>
      </x:c>
      <x:c r="H1101" s="28" t="n">
        <x:v>15</x:v>
      </x:c>
      <x:c r="I1101" s="28" t="n">
        <x:v>11</x:v>
      </x:c>
      <x:c r="J1101" s="28" t="n">
        <x:v>6</x:v>
      </x:c>
      <x:c r="K1101" s="28" t="n">
        <x:v>2</x:v>
      </x:c>
      <x:c r="L1101" s="28" t="n">
        <x:v>6</x:v>
      </x:c>
      <x:c r="M1101" s="28" t="n">
        <x:v>3</x:v>
      </x:c>
      <x:c r="N1101" s="28" t="n">
        <x:v>2</x:v>
      </x:c>
      <x:c r="O1101" s="28" t="n">
        <x:v>0</x:v>
      </x:c>
      <x:c r="P1101" s="28" t="n">
        <x:v>0</x:v>
      </x:c>
      <x:c r="Q1101" s="24" t="n">
        <x:f>IFERROR(J1101/H1101,0)</x:f>
        <x:v>0.4</x:v>
      </x:c>
      <x:c r="R1101" s="24" t="n">
        <x:f>IFERROR(F1101/H1101,0)</x:f>
        <x:v>0</x:v>
      </x:c>
      <x:c r="S1101" s="24" t="n">
        <x:f>IFERROR(F1101/J1101,0)</x:f>
        <x:v>0</x:v>
      </x:c>
      <x:c r="T1101" s="28" t="n">
        <x:f>H1101-I1101</x:f>
        <x:v>4</x:v>
      </x:c>
      <x:c r="U1101" s="24" t="n">
        <x:f>IFERROR(J1101/H1101,0)-IFERROR(K1101/I1101,0)</x:f>
        <x:v>0.2181818181818182</x:v>
      </x:c>
      <x:c r="V1101" s="24" t="n">
        <x:f>IFERROR(F1101/J1101,0)-IFERROR(G1101/K1101,0)</x:f>
        <x:v>-0.5</x:v>
      </x:c>
      <x:c r="W1101" s="28" t="n">
        <x:f>L1101-M1101</x:f>
        <x:v>3</x:v>
      </x:c>
      <x:c r="X1101" s="24" t="n">
        <x:f>IFERROR(K1101/I1101,0)</x:f>
        <x:v>0.18181818181818182</x:v>
      </x:c>
      <x:c r="Y1101" s="24" t="n">
        <x:f>IFERROR(G1101/I1101,0)</x:f>
        <x:v>0.09090909090909091</x:v>
      </x:c>
      <x:c r="Z1101" s="24" t="n">
        <x:f>IFERROR(G1101/K1101,0)</x:f>
        <x:v>0.5</x:v>
      </x:c>
      <x:c r="AA1101" s="24" t="n">
        <x:f>IFERROR(F1101/H1101,0)-IFERROR(G1101/I1101,0)</x:f>
        <x:v>-0.09090909090909091</x:v>
      </x:c>
      <x:c r="AB1101" s="28" t="n">
        <x:f>J1101-K1101</x:f>
        <x:v>4</x:v>
      </x:c>
      <x:c r="AC1101" s="32" t="n">
        <x:f>F1101-G1101</x:f>
        <x:v>-1</x:v>
      </x:c>
    </x:row>
    <x:row r="1102">
      <x:c r="A1102" s="4" t="str">
        <x:v>2022-23</x:v>
      </x:c>
      <x:c r="B1102" s="20" t="n">
        <x:v>44929</x:v>
      </x:c>
      <x:c r="C1102" s="4" t="str">
        <x:v>Man United</x:v>
      </x:c>
      <x:c r="D1102" s="4" t="str">
        <x:v>Bournemouth</x:v>
      </x:c>
      <x:c r="E1102" s="4" t="str">
        <x:v>Home</x:v>
      </x:c>
      <x:c r="F1102" s="28" t="n">
        <x:v>3</x:v>
      </x:c>
      <x:c r="G1102" s="28" t="n">
        <x:v>0</x:v>
      </x:c>
      <x:c r="H1102" s="28" t="n">
        <x:v>18</x:v>
      </x:c>
      <x:c r="I1102" s="28" t="n">
        <x:v>7</x:v>
      </x:c>
      <x:c r="J1102" s="28" t="n">
        <x:v>6</x:v>
      </x:c>
      <x:c r="K1102" s="28" t="n">
        <x:v>4</x:v>
      </x:c>
      <x:c r="L1102" s="28" t="n">
        <x:v>6</x:v>
      </x:c>
      <x:c r="M1102" s="28" t="n">
        <x:v>5</x:v>
      </x:c>
      <x:c r="N1102" s="28" t="n">
        <x:v>0</x:v>
      </x:c>
      <x:c r="O1102" s="28" t="n">
        <x:v>0</x:v>
      </x:c>
      <x:c r="P1102" s="28" t="n">
        <x:v>3</x:v>
      </x:c>
      <x:c r="Q1102" s="24" t="n">
        <x:f>IFERROR(J1102/H1102,0)</x:f>
        <x:v>0.3333333333333333</x:v>
      </x:c>
      <x:c r="R1102" s="24" t="n">
        <x:f>IFERROR(F1102/H1102,0)</x:f>
        <x:v>0.16666666666666666</x:v>
      </x:c>
      <x:c r="S1102" s="24" t="n">
        <x:f>IFERROR(F1102/J1102,0)</x:f>
        <x:v>0.5</x:v>
      </x:c>
      <x:c r="T1102" s="28" t="n">
        <x:f>H1102-I1102</x:f>
        <x:v>11</x:v>
      </x:c>
      <x:c r="U1102" s="24" t="n">
        <x:f>IFERROR(J1102/H1102,0)-IFERROR(K1102/I1102,0)</x:f>
        <x:v>-0.23809523809523808</x:v>
      </x:c>
      <x:c r="V1102" s="24" t="n">
        <x:f>IFERROR(F1102/J1102,0)-IFERROR(G1102/K1102,0)</x:f>
        <x:v>0.5</x:v>
      </x:c>
      <x:c r="W1102" s="28" t="n">
        <x:f>L1102-M1102</x:f>
        <x:v>1</x:v>
      </x:c>
      <x:c r="X1102" s="24" t="n">
        <x:f>IFERROR(K1102/I1102,0)</x:f>
        <x:v>0.5714285714285714</x:v>
      </x:c>
      <x:c r="Y1102" s="24" t="n">
        <x:f>IFERROR(G1102/I1102,0)</x:f>
        <x:v>0</x:v>
      </x:c>
      <x:c r="Z1102" s="24" t="n">
        <x:f>IFERROR(G1102/K1102,0)</x:f>
        <x:v>0</x:v>
      </x:c>
      <x:c r="AA1102" s="24" t="n">
        <x:f>IFERROR(F1102/H1102,0)-IFERROR(G1102/I1102,0)</x:f>
        <x:v>0.16666666666666666</x:v>
      </x:c>
      <x:c r="AB1102" s="28" t="n">
        <x:f>J1102-K1102</x:f>
        <x:v>2</x:v>
      </x:c>
      <x:c r="AC1102" s="32" t="n">
        <x:f>F1102-G1102</x:f>
        <x:v>3</x:v>
      </x:c>
    </x:row>
    <x:row r="1103">
      <x:c r="A1103" s="4" t="str">
        <x:v>2022-23</x:v>
      </x:c>
      <x:c r="B1103" s="20" t="n">
        <x:v>44929</x:v>
      </x:c>
      <x:c r="C1103" s="4" t="str">
        <x:v>Newcastle</x:v>
      </x:c>
      <x:c r="D1103" s="4" t="str">
        <x:v>Arsenal</x:v>
      </x:c>
      <x:c r="E1103" s="4" t="str">
        <x:v>Away</x:v>
      </x:c>
      <x:c r="F1103" s="28" t="n">
        <x:v>0</x:v>
      </x:c>
      <x:c r="G1103" s="28" t="n">
        <x:v>0</x:v>
      </x:c>
      <x:c r="H1103" s="28" t="n">
        <x:v>8</x:v>
      </x:c>
      <x:c r="I1103" s="28" t="n">
        <x:v>17</x:v>
      </x:c>
      <x:c r="J1103" s="28" t="n">
        <x:v>1</x:v>
      </x:c>
      <x:c r="K1103" s="28" t="n">
        <x:v>4</x:v>
      </x:c>
      <x:c r="L1103" s="28" t="n">
        <x:v>5</x:v>
      </x:c>
      <x:c r="M1103" s="28" t="n">
        <x:v>5</x:v>
      </x:c>
      <x:c r="N1103" s="28" t="n">
        <x:v>4</x:v>
      </x:c>
      <x:c r="O1103" s="28" t="n">
        <x:v>0</x:v>
      </x:c>
      <x:c r="P1103" s="28" t="n">
        <x:v>1</x:v>
      </x:c>
      <x:c r="Q1103" s="24" t="n">
        <x:f>IFERROR(J1103/H1103,0)</x:f>
        <x:v>0.125</x:v>
      </x:c>
      <x:c r="R1103" s="24" t="n">
        <x:f>IFERROR(F1103/H1103,0)</x:f>
        <x:v>0</x:v>
      </x:c>
      <x:c r="S1103" s="24" t="n">
        <x:f>IFERROR(F1103/J1103,0)</x:f>
        <x:v>0</x:v>
      </x:c>
      <x:c r="T1103" s="28" t="n">
        <x:f>H1103-I1103</x:f>
        <x:v>-9</x:v>
      </x:c>
      <x:c r="U1103" s="24" t="n">
        <x:f>IFERROR(J1103/H1103,0)-IFERROR(K1103/I1103,0)</x:f>
        <x:v>-0.11029411764705882</x:v>
      </x:c>
      <x:c r="V1103" s="24" t="n">
        <x:f>IFERROR(F1103/J1103,0)-IFERROR(G1103/K1103,0)</x:f>
        <x:v>0</x:v>
      </x:c>
      <x:c r="W1103" s="28" t="n">
        <x:f>L1103-M1103</x:f>
        <x:v>0</x:v>
      </x:c>
      <x:c r="X1103" s="24" t="n">
        <x:f>IFERROR(K1103/I1103,0)</x:f>
        <x:v>0.23529411764705882</x:v>
      </x:c>
      <x:c r="Y1103" s="24" t="n">
        <x:f>IFERROR(G1103/I1103,0)</x:f>
        <x:v>0</x:v>
      </x:c>
      <x:c r="Z1103" s="24" t="n">
        <x:f>IFERROR(G1103/K1103,0)</x:f>
        <x:v>0</x:v>
      </x:c>
      <x:c r="AA1103" s="24" t="n">
        <x:f>IFERROR(F1103/H1103,0)-IFERROR(G1103/I1103,0)</x:f>
        <x:v>0</x:v>
      </x:c>
      <x:c r="AB1103" s="28" t="n">
        <x:f>J1103-K1103</x:f>
        <x:v>-3</x:v>
      </x:c>
      <x:c r="AC1103" s="32" t="n">
        <x:f>F1103-G1103</x:f>
        <x:v>0</x:v>
      </x:c>
    </x:row>
    <x:row r="1104">
      <x:c r="A1104" s="4" t="str">
        <x:v>2022-23</x:v>
      </x:c>
      <x:c r="B1104" s="20" t="n">
        <x:v>44930</x:v>
      </x:c>
      <x:c r="C1104" s="4" t="str">
        <x:v>Aston Villa</x:v>
      </x:c>
      <x:c r="D1104" s="4" t="str">
        <x:v>Wolves</x:v>
      </x:c>
      <x:c r="E1104" s="4" t="str">
        <x:v>Home</x:v>
      </x:c>
      <x:c r="F1104" s="28" t="n">
        <x:v>1</x:v>
      </x:c>
      <x:c r="G1104" s="28" t="n">
        <x:v>1</x:v>
      </x:c>
      <x:c r="H1104" s="28" t="n">
        <x:v>13</x:v>
      </x:c>
      <x:c r="I1104" s="28" t="n">
        <x:v>10</x:v>
      </x:c>
      <x:c r="J1104" s="28" t="n">
        <x:v>4</x:v>
      </x:c>
      <x:c r="K1104" s="28" t="n">
        <x:v>3</x:v>
      </x:c>
      <x:c r="L1104" s="28" t="n">
        <x:v>7</x:v>
      </x:c>
      <x:c r="M1104" s="28" t="n">
        <x:v>8</x:v>
      </x:c>
      <x:c r="N1104" s="28" t="n">
        <x:v>1</x:v>
      </x:c>
      <x:c r="O1104" s="28" t="n">
        <x:v>0</x:v>
      </x:c>
      <x:c r="P1104" s="28" t="n">
        <x:v>1</x:v>
      </x:c>
      <x:c r="Q1104" s="24" t="n">
        <x:f>IFERROR(J1104/H1104,0)</x:f>
        <x:v>0.3076923076923077</x:v>
      </x:c>
      <x:c r="R1104" s="24" t="n">
        <x:f>IFERROR(F1104/H1104,0)</x:f>
        <x:v>0.07692307692307693</x:v>
      </x:c>
      <x:c r="S1104" s="24" t="n">
        <x:f>IFERROR(F1104/J1104,0)</x:f>
        <x:v>0.25</x:v>
      </x:c>
      <x:c r="T1104" s="28" t="n">
        <x:f>H1104-I1104</x:f>
        <x:v>3</x:v>
      </x:c>
      <x:c r="U1104" s="24" t="n">
        <x:f>IFERROR(J1104/H1104,0)-IFERROR(K1104/I1104,0)</x:f>
        <x:v>0.0076923076923077205</x:v>
      </x:c>
      <x:c r="V1104" s="24" t="n">
        <x:f>IFERROR(F1104/J1104,0)-IFERROR(G1104/K1104,0)</x:f>
        <x:v>-0.08333333333333331</x:v>
      </x:c>
      <x:c r="W1104" s="28" t="n">
        <x:f>L1104-M1104</x:f>
        <x:v>-1</x:v>
      </x:c>
      <x:c r="X1104" s="24" t="n">
        <x:f>IFERROR(K1104/I1104,0)</x:f>
        <x:v>0.3</x:v>
      </x:c>
      <x:c r="Y1104" s="24" t="n">
        <x:f>IFERROR(G1104/I1104,0)</x:f>
        <x:v>0.1</x:v>
      </x:c>
      <x:c r="Z1104" s="24" t="n">
        <x:f>IFERROR(G1104/K1104,0)</x:f>
        <x:v>0.3333333333333333</x:v>
      </x:c>
      <x:c r="AA1104" s="24" t="n">
        <x:f>IFERROR(F1104/H1104,0)-IFERROR(G1104/I1104,0)</x:f>
        <x:v>-0.023076923076923078</x:v>
      </x:c>
      <x:c r="AB1104" s="28" t="n">
        <x:f>J1104-K1104</x:f>
        <x:v>1</x:v>
      </x:c>
      <x:c r="AC1104" s="32" t="n">
        <x:f>F1104-G1104</x:f>
        <x:v>0</x:v>
      </x:c>
    </x:row>
    <x:row r="1105">
      <x:c r="A1105" s="4" t="str">
        <x:v>2022-23</x:v>
      </x:c>
      <x:c r="B1105" s="20" t="n">
        <x:v>44930</x:v>
      </x:c>
      <x:c r="C1105" s="4" t="str">
        <x:v>Crystal Palace</x:v>
      </x:c>
      <x:c r="D1105" s="4" t="str">
        <x:v>Tottenham</x:v>
      </x:c>
      <x:c r="E1105" s="4" t="str">
        <x:v>Home</x:v>
      </x:c>
      <x:c r="F1105" s="28" t="n">
        <x:v>0</x:v>
      </x:c>
      <x:c r="G1105" s="28" t="n">
        <x:v>4</x:v>
      </x:c>
      <x:c r="H1105" s="28" t="n">
        <x:v>19</x:v>
      </x:c>
      <x:c r="I1105" s="28" t="n">
        <x:v>14</x:v>
      </x:c>
      <x:c r="J1105" s="28" t="n">
        <x:v>4</x:v>
      </x:c>
      <x:c r="K1105" s="28" t="n">
        <x:v>6</x:v>
      </x:c>
      <x:c r="L1105" s="28" t="n">
        <x:v>10</x:v>
      </x:c>
      <x:c r="M1105" s="28" t="n">
        <x:v>4</x:v>
      </x:c>
      <x:c r="N1105" s="28" t="n">
        <x:v>1</x:v>
      </x:c>
      <x:c r="O1105" s="28" t="n">
        <x:v>0</x:v>
      </x:c>
      <x:c r="P1105" s="28" t="n">
        <x:v>0</x:v>
      </x:c>
      <x:c r="Q1105" s="24" t="n">
        <x:f>IFERROR(J1105/H1105,0)</x:f>
        <x:v>0.21052631578947367</x:v>
      </x:c>
      <x:c r="R1105" s="24" t="n">
        <x:f>IFERROR(F1105/H1105,0)</x:f>
        <x:v>0</x:v>
      </x:c>
      <x:c r="S1105" s="24" t="n">
        <x:f>IFERROR(F1105/J1105,0)</x:f>
        <x:v>0</x:v>
      </x:c>
      <x:c r="T1105" s="28" t="n">
        <x:f>H1105-I1105</x:f>
        <x:v>5</x:v>
      </x:c>
      <x:c r="U1105" s="24" t="n">
        <x:f>IFERROR(J1105/H1105,0)-IFERROR(K1105/I1105,0)</x:f>
        <x:v>-0.21804511278195488</x:v>
      </x:c>
      <x:c r="V1105" s="24" t="n">
        <x:f>IFERROR(F1105/J1105,0)-IFERROR(G1105/K1105,0)</x:f>
        <x:v>-0.6666666666666666</x:v>
      </x:c>
      <x:c r="W1105" s="28" t="n">
        <x:f>L1105-M1105</x:f>
        <x:v>6</x:v>
      </x:c>
      <x:c r="X1105" s="24" t="n">
        <x:f>IFERROR(K1105/I1105,0)</x:f>
        <x:v>0.42857142857142855</x:v>
      </x:c>
      <x:c r="Y1105" s="24" t="n">
        <x:f>IFERROR(G1105/I1105,0)</x:f>
        <x:v>0.2857142857142857</x:v>
      </x:c>
      <x:c r="Z1105" s="24" t="n">
        <x:f>IFERROR(G1105/K1105,0)</x:f>
        <x:v>0.6666666666666666</x:v>
      </x:c>
      <x:c r="AA1105" s="24" t="n">
        <x:f>IFERROR(F1105/H1105,0)-IFERROR(G1105/I1105,0)</x:f>
        <x:v>-0.2857142857142857</x:v>
      </x:c>
      <x:c r="AB1105" s="28" t="n">
        <x:f>J1105-K1105</x:f>
        <x:v>-2</x:v>
      </x:c>
      <x:c r="AC1105" s="32" t="n">
        <x:f>F1105-G1105</x:f>
        <x:v>-4</x:v>
      </x:c>
    </x:row>
    <x:row r="1106">
      <x:c r="A1106" s="4" t="str">
        <x:v>2022-23</x:v>
      </x:c>
      <x:c r="B1106" s="20" t="n">
        <x:v>44930</x:v>
      </x:c>
      <x:c r="C1106" s="4" t="str">
        <x:v>Leeds</x:v>
      </x:c>
      <x:c r="D1106" s="4" t="str">
        <x:v>West Ham</x:v>
      </x:c>
      <x:c r="E1106" s="4" t="str">
        <x:v>Home</x:v>
      </x:c>
      <x:c r="F1106" s="28" t="n">
        <x:v>2</x:v>
      </x:c>
      <x:c r="G1106" s="28" t="n">
        <x:v>2</x:v>
      </x:c>
      <x:c r="H1106" s="28" t="n">
        <x:v>14</x:v>
      </x:c>
      <x:c r="I1106" s="28" t="n">
        <x:v>15</x:v>
      </x:c>
      <x:c r="J1106" s="28" t="n">
        <x:v>6</x:v>
      </x:c>
      <x:c r="K1106" s="28" t="n">
        <x:v>2</x:v>
      </x:c>
      <x:c r="L1106" s="28" t="n">
        <x:v>8</x:v>
      </x:c>
      <x:c r="M1106" s="28" t="n">
        <x:v>1</x:v>
      </x:c>
      <x:c r="N1106" s="28" t="n">
        <x:v>3</x:v>
      </x:c>
      <x:c r="O1106" s="28" t="n">
        <x:v>0</x:v>
      </x:c>
      <x:c r="P1106" s="28" t="n">
        <x:v>1</x:v>
      </x:c>
      <x:c r="Q1106" s="24" t="n">
        <x:f>IFERROR(J1106/H1106,0)</x:f>
        <x:v>0.42857142857142855</x:v>
      </x:c>
      <x:c r="R1106" s="24" t="n">
        <x:f>IFERROR(F1106/H1106,0)</x:f>
        <x:v>0.14285714285714285</x:v>
      </x:c>
      <x:c r="S1106" s="24" t="n">
        <x:f>IFERROR(F1106/J1106,0)</x:f>
        <x:v>0.3333333333333333</x:v>
      </x:c>
      <x:c r="T1106" s="28" t="n">
        <x:f>H1106-I1106</x:f>
        <x:v>-1</x:v>
      </x:c>
      <x:c r="U1106" s="24" t="n">
        <x:f>IFERROR(J1106/H1106,0)-IFERROR(K1106/I1106,0)</x:f>
        <x:v>0.2952380952380952</x:v>
      </x:c>
      <x:c r="V1106" s="24" t="n">
        <x:f>IFERROR(F1106/J1106,0)-IFERROR(G1106/K1106,0)</x:f>
        <x:v>-0.6666666666666667</x:v>
      </x:c>
      <x:c r="W1106" s="28" t="n">
        <x:f>L1106-M1106</x:f>
        <x:v>7</x:v>
      </x:c>
      <x:c r="X1106" s="24" t="n">
        <x:f>IFERROR(K1106/I1106,0)</x:f>
        <x:v>0.13333333333333333</x:v>
      </x:c>
      <x:c r="Y1106" s="24" t="n">
        <x:f>IFERROR(G1106/I1106,0)</x:f>
        <x:v>0.13333333333333333</x:v>
      </x:c>
      <x:c r="Z1106" s="24" t="n">
        <x:f>IFERROR(G1106/K1106,0)</x:f>
        <x:v>1</x:v>
      </x:c>
      <x:c r="AA1106" s="24" t="n">
        <x:f>IFERROR(F1106/H1106,0)-IFERROR(G1106/I1106,0)</x:f>
        <x:v>0.009523809523809518</x:v>
      </x:c>
      <x:c r="AB1106" s="28" t="n">
        <x:f>J1106-K1106</x:f>
        <x:v>4</x:v>
      </x:c>
      <x:c r="AC1106" s="32" t="n">
        <x:f>F1106-G1106</x:f>
        <x:v>0</x:v>
      </x:c>
    </x:row>
    <x:row r="1107">
      <x:c r="A1107" s="4" t="str">
        <x:v>2022-23</x:v>
      </x:c>
      <x:c r="B1107" s="20" t="n">
        <x:v>44930</x:v>
      </x:c>
      <x:c r="C1107" s="4" t="str">
        <x:v>Nott'm Forest</x:v>
      </x:c>
      <x:c r="D1107" s="4" t="str">
        <x:v>Southampton</x:v>
      </x:c>
      <x:c r="E1107" s="4" t="str">
        <x:v>Away</x:v>
      </x:c>
      <x:c r="F1107" s="28" t="n">
        <x:v>1</x:v>
      </x:c>
      <x:c r="G1107" s="28" t="n">
        <x:v>0</x:v>
      </x:c>
      <x:c r="H1107" s="28" t="n">
        <x:v>11</x:v>
      </x:c>
      <x:c r="I1107" s="28" t="n">
        <x:v>8</x:v>
      </x:c>
      <x:c r="J1107" s="28" t="n">
        <x:v>1</x:v>
      </x:c>
      <x:c r="K1107" s="28" t="n">
        <x:v>0</x:v>
      </x:c>
      <x:c r="L1107" s="28" t="n">
        <x:v>2</x:v>
      </x:c>
      <x:c r="M1107" s="28" t="n">
        <x:v>6</x:v>
      </x:c>
      <x:c r="N1107" s="28" t="n">
        <x:v>2</x:v>
      </x:c>
      <x:c r="O1107" s="28" t="n">
        <x:v>0</x:v>
      </x:c>
      <x:c r="P1107" s="28" t="n">
        <x:v>3</x:v>
      </x:c>
      <x:c r="Q1107" s="24" t="n">
        <x:f>IFERROR(J1107/H1107,0)</x:f>
        <x:v>0.09090909090909091</x:v>
      </x:c>
      <x:c r="R1107" s="24" t="n">
        <x:f>IFERROR(F1107/H1107,0)</x:f>
        <x:v>0.09090909090909091</x:v>
      </x:c>
      <x:c r="S1107" s="24" t="n">
        <x:f>IFERROR(F1107/J1107,0)</x:f>
        <x:v>1</x:v>
      </x:c>
      <x:c r="T1107" s="28" t="n">
        <x:f>H1107-I1107</x:f>
        <x:v>3</x:v>
      </x:c>
      <x:c r="U1107" s="24" t="n">
        <x:f>IFERROR(J1107/H1107,0)-IFERROR(K1107/I1107,0)</x:f>
        <x:v>0.09090909090909091</x:v>
      </x:c>
      <x:c r="V1107" s="24" t="n">
        <x:f>IFERROR(F1107/J1107,0)-IFERROR(G1107/K1107,0)</x:f>
        <x:v>1</x:v>
      </x:c>
      <x:c r="W1107" s="28" t="n">
        <x:f>L1107-M1107</x:f>
        <x:v>-4</x:v>
      </x:c>
      <x:c r="X1107" s="24" t="n">
        <x:f>IFERROR(K1107/I1107,0)</x:f>
        <x:v>0</x:v>
      </x:c>
      <x:c r="Y1107" s="24" t="n">
        <x:f>IFERROR(G1107/I1107,0)</x:f>
        <x:v>0</x:v>
      </x:c>
      <x:c r="Z1107" s="24" t="n">
        <x:f>IFERROR(G1107/K1107,0)</x:f>
        <x:v>0</x:v>
      </x:c>
      <x:c r="AA1107" s="24" t="n">
        <x:f>IFERROR(F1107/H1107,0)-IFERROR(G1107/I1107,0)</x:f>
        <x:v>0.09090909090909091</x:v>
      </x:c>
      <x:c r="AB1107" s="28" t="n">
        <x:f>J1107-K1107</x:f>
        <x:v>1</x:v>
      </x:c>
      <x:c r="AC1107" s="32" t="n">
        <x:f>F1107-G1107</x:f>
        <x:v>1</x:v>
      </x:c>
    </x:row>
    <x:row r="1108">
      <x:c r="A1108" s="4" t="str">
        <x:v>2022-23</x:v>
      </x:c>
      <x:c r="B1108" s="20" t="n">
        <x:v>44930</x:v>
      </x:c>
      <x:c r="C1108" s="4" t="str">
        <x:v>Southampton</x:v>
      </x:c>
      <x:c r="D1108" s="4" t="str">
        <x:v>Nott'm Forest</x:v>
      </x:c>
      <x:c r="E1108" s="4" t="str">
        <x:v>Home</x:v>
      </x:c>
      <x:c r="F1108" s="28" t="n">
        <x:v>0</x:v>
      </x:c>
      <x:c r="G1108" s="28" t="n">
        <x:v>1</x:v>
      </x:c>
      <x:c r="H1108" s="28" t="n">
        <x:v>8</x:v>
      </x:c>
      <x:c r="I1108" s="28" t="n">
        <x:v>11</x:v>
      </x:c>
      <x:c r="J1108" s="28" t="n">
        <x:v>0</x:v>
      </x:c>
      <x:c r="K1108" s="28" t="n">
        <x:v>1</x:v>
      </x:c>
      <x:c r="L1108" s="28" t="n">
        <x:v>6</x:v>
      </x:c>
      <x:c r="M1108" s="28" t="n">
        <x:v>2</x:v>
      </x:c>
      <x:c r="N1108" s="28" t="n">
        <x:v>2</x:v>
      </x:c>
      <x:c r="O1108" s="28" t="n">
        <x:v>0</x:v>
      </x:c>
      <x:c r="P1108" s="28" t="n">
        <x:v>0</x:v>
      </x:c>
      <x:c r="Q1108" s="24" t="n">
        <x:f>IFERROR(J1108/H1108,0)</x:f>
        <x:v>0</x:v>
      </x:c>
      <x:c r="R1108" s="24" t="n">
        <x:f>IFERROR(F1108/H1108,0)</x:f>
        <x:v>0</x:v>
      </x:c>
      <x:c r="S1108" s="24" t="n">
        <x:f>IFERROR(F1108/J1108,0)</x:f>
        <x:v>0</x:v>
      </x:c>
      <x:c r="T1108" s="28" t="n">
        <x:f>H1108-I1108</x:f>
        <x:v>-3</x:v>
      </x:c>
      <x:c r="U1108" s="24" t="n">
        <x:f>IFERROR(J1108/H1108,0)-IFERROR(K1108/I1108,0)</x:f>
        <x:v>-0.09090909090909091</x:v>
      </x:c>
      <x:c r="V1108" s="24" t="n">
        <x:f>IFERROR(F1108/J1108,0)-IFERROR(G1108/K1108,0)</x:f>
        <x:v>-1</x:v>
      </x:c>
      <x:c r="W1108" s="28" t="n">
        <x:f>L1108-M1108</x:f>
        <x:v>4</x:v>
      </x:c>
      <x:c r="X1108" s="24" t="n">
        <x:f>IFERROR(K1108/I1108,0)</x:f>
        <x:v>0.09090909090909091</x:v>
      </x:c>
      <x:c r="Y1108" s="24" t="n">
        <x:f>IFERROR(G1108/I1108,0)</x:f>
        <x:v>0.09090909090909091</x:v>
      </x:c>
      <x:c r="Z1108" s="24" t="n">
        <x:f>IFERROR(G1108/K1108,0)</x:f>
        <x:v>1</x:v>
      </x:c>
      <x:c r="AA1108" s="24" t="n">
        <x:f>IFERROR(F1108/H1108,0)-IFERROR(G1108/I1108,0)</x:f>
        <x:v>-0.09090909090909091</x:v>
      </x:c>
      <x:c r="AB1108" s="28" t="n">
        <x:f>J1108-K1108</x:f>
        <x:v>-1</x:v>
      </x:c>
      <x:c r="AC1108" s="32" t="n">
        <x:f>F1108-G1108</x:f>
        <x:v>-1</x:v>
      </x:c>
    </x:row>
    <x:row r="1109">
      <x:c r="A1109" s="4" t="str">
        <x:v>2022-23</x:v>
      </x:c>
      <x:c r="B1109" s="20" t="n">
        <x:v>44930</x:v>
      </x:c>
      <x:c r="C1109" s="4" t="str">
        <x:v>Tottenham</x:v>
      </x:c>
      <x:c r="D1109" s="4" t="str">
        <x:v>Crystal Palace</x:v>
      </x:c>
      <x:c r="E1109" s="4" t="str">
        <x:v>Away</x:v>
      </x:c>
      <x:c r="F1109" s="28" t="n">
        <x:v>4</x:v>
      </x:c>
      <x:c r="G1109" s="28" t="n">
        <x:v>0</x:v>
      </x:c>
      <x:c r="H1109" s="28" t="n">
        <x:v>14</x:v>
      </x:c>
      <x:c r="I1109" s="28" t="n">
        <x:v>19</x:v>
      </x:c>
      <x:c r="J1109" s="28" t="n">
        <x:v>6</x:v>
      </x:c>
      <x:c r="K1109" s="28" t="n">
        <x:v>4</x:v>
      </x:c>
      <x:c r="L1109" s="28" t="n">
        <x:v>4</x:v>
      </x:c>
      <x:c r="M1109" s="28" t="n">
        <x:v>10</x:v>
      </x:c>
      <x:c r="N1109" s="28" t="n">
        <x:v>2</x:v>
      </x:c>
      <x:c r="O1109" s="28" t="n">
        <x:v>0</x:v>
      </x:c>
      <x:c r="P1109" s="28" t="n">
        <x:v>3</x:v>
      </x:c>
      <x:c r="Q1109" s="24" t="n">
        <x:f>IFERROR(J1109/H1109,0)</x:f>
        <x:v>0.42857142857142855</x:v>
      </x:c>
      <x:c r="R1109" s="24" t="n">
        <x:f>IFERROR(F1109/H1109,0)</x:f>
        <x:v>0.2857142857142857</x:v>
      </x:c>
      <x:c r="S1109" s="24" t="n">
        <x:f>IFERROR(F1109/J1109,0)</x:f>
        <x:v>0.6666666666666666</x:v>
      </x:c>
      <x:c r="T1109" s="28" t="n">
        <x:f>H1109-I1109</x:f>
        <x:v>-5</x:v>
      </x:c>
      <x:c r="U1109" s="24" t="n">
        <x:f>IFERROR(J1109/H1109,0)-IFERROR(K1109/I1109,0)</x:f>
        <x:v>0.21804511278195488</x:v>
      </x:c>
      <x:c r="V1109" s="24" t="n">
        <x:f>IFERROR(F1109/J1109,0)-IFERROR(G1109/K1109,0)</x:f>
        <x:v>0.6666666666666666</x:v>
      </x:c>
      <x:c r="W1109" s="28" t="n">
        <x:f>L1109-M1109</x:f>
        <x:v>-6</x:v>
      </x:c>
      <x:c r="X1109" s="24" t="n">
        <x:f>IFERROR(K1109/I1109,0)</x:f>
        <x:v>0.21052631578947367</x:v>
      </x:c>
      <x:c r="Y1109" s="24" t="n">
        <x:f>IFERROR(G1109/I1109,0)</x:f>
        <x:v>0</x:v>
      </x:c>
      <x:c r="Z1109" s="24" t="n">
        <x:f>IFERROR(G1109/K1109,0)</x:f>
        <x:v>0</x:v>
      </x:c>
      <x:c r="AA1109" s="24" t="n">
        <x:f>IFERROR(F1109/H1109,0)-IFERROR(G1109/I1109,0)</x:f>
        <x:v>0.2857142857142857</x:v>
      </x:c>
      <x:c r="AB1109" s="28" t="n">
        <x:f>J1109-K1109</x:f>
        <x:v>2</x:v>
      </x:c>
      <x:c r="AC1109" s="32" t="n">
        <x:f>F1109-G1109</x:f>
        <x:v>4</x:v>
      </x:c>
    </x:row>
    <x:row r="1110">
      <x:c r="A1110" s="4" t="str">
        <x:v>2022-23</x:v>
      </x:c>
      <x:c r="B1110" s="20" t="n">
        <x:v>44930</x:v>
      </x:c>
      <x:c r="C1110" s="4" t="str">
        <x:v>West Ham</x:v>
      </x:c>
      <x:c r="D1110" s="4" t="str">
        <x:v>Leeds</x:v>
      </x:c>
      <x:c r="E1110" s="4" t="str">
        <x:v>Away</x:v>
      </x:c>
      <x:c r="F1110" s="28" t="n">
        <x:v>2</x:v>
      </x:c>
      <x:c r="G1110" s="28" t="n">
        <x:v>2</x:v>
      </x:c>
      <x:c r="H1110" s="28" t="n">
        <x:v>15</x:v>
      </x:c>
      <x:c r="I1110" s="28" t="n">
        <x:v>14</x:v>
      </x:c>
      <x:c r="J1110" s="28" t="n">
        <x:v>2</x:v>
      </x:c>
      <x:c r="K1110" s="28" t="n">
        <x:v>6</x:v>
      </x:c>
      <x:c r="L1110" s="28" t="n">
        <x:v>1</x:v>
      </x:c>
      <x:c r="M1110" s="28" t="n">
        <x:v>8</x:v>
      </x:c>
      <x:c r="N1110" s="28" t="n">
        <x:v>1</x:v>
      </x:c>
      <x:c r="O1110" s="28" t="n">
        <x:v>0</x:v>
      </x:c>
      <x:c r="P1110" s="28" t="n">
        <x:v>1</x:v>
      </x:c>
      <x:c r="Q1110" s="24" t="n">
        <x:f>IFERROR(J1110/H1110,0)</x:f>
        <x:v>0.13333333333333333</x:v>
      </x:c>
      <x:c r="R1110" s="24" t="n">
        <x:f>IFERROR(F1110/H1110,0)</x:f>
        <x:v>0.13333333333333333</x:v>
      </x:c>
      <x:c r="S1110" s="24" t="n">
        <x:f>IFERROR(F1110/J1110,0)</x:f>
        <x:v>1</x:v>
      </x:c>
      <x:c r="T1110" s="28" t="n">
        <x:f>H1110-I1110</x:f>
        <x:v>1</x:v>
      </x:c>
      <x:c r="U1110" s="24" t="n">
        <x:f>IFERROR(J1110/H1110,0)-IFERROR(K1110/I1110,0)</x:f>
        <x:v>-0.2952380952380952</x:v>
      </x:c>
      <x:c r="V1110" s="24" t="n">
        <x:f>IFERROR(F1110/J1110,0)-IFERROR(G1110/K1110,0)</x:f>
        <x:v>0.6666666666666667</x:v>
      </x:c>
      <x:c r="W1110" s="28" t="n">
        <x:f>L1110-M1110</x:f>
        <x:v>-7</x:v>
      </x:c>
      <x:c r="X1110" s="24" t="n">
        <x:f>IFERROR(K1110/I1110,0)</x:f>
        <x:v>0.42857142857142855</x:v>
      </x:c>
      <x:c r="Y1110" s="24" t="n">
        <x:f>IFERROR(G1110/I1110,0)</x:f>
        <x:v>0.14285714285714285</x:v>
      </x:c>
      <x:c r="Z1110" s="24" t="n">
        <x:f>IFERROR(G1110/K1110,0)</x:f>
        <x:v>0.3333333333333333</x:v>
      </x:c>
      <x:c r="AA1110" s="24" t="n">
        <x:f>IFERROR(F1110/H1110,0)-IFERROR(G1110/I1110,0)</x:f>
        <x:v>-0.009523809523809518</x:v>
      </x:c>
      <x:c r="AB1110" s="28" t="n">
        <x:f>J1110-K1110</x:f>
        <x:v>-4</x:v>
      </x:c>
      <x:c r="AC1110" s="32" t="n">
        <x:f>F1110-G1110</x:f>
        <x:v>0</x:v>
      </x:c>
    </x:row>
    <x:row r="1111">
      <x:c r="A1111" s="4" t="str">
        <x:v>2022-23</x:v>
      </x:c>
      <x:c r="B1111" s="20" t="n">
        <x:v>44930</x:v>
      </x:c>
      <x:c r="C1111" s="4" t="str">
        <x:v>Wolves</x:v>
      </x:c>
      <x:c r="D1111" s="4" t="str">
        <x:v>Aston Villa</x:v>
      </x:c>
      <x:c r="E1111" s="4" t="str">
        <x:v>Away</x:v>
      </x:c>
      <x:c r="F1111" s="28" t="n">
        <x:v>1</x:v>
      </x:c>
      <x:c r="G1111" s="28" t="n">
        <x:v>1</x:v>
      </x:c>
      <x:c r="H1111" s="28" t="n">
        <x:v>10</x:v>
      </x:c>
      <x:c r="I1111" s="28" t="n">
        <x:v>13</x:v>
      </x:c>
      <x:c r="J1111" s="28" t="n">
        <x:v>3</x:v>
      </x:c>
      <x:c r="K1111" s="28" t="n">
        <x:v>4</x:v>
      </x:c>
      <x:c r="L1111" s="28" t="n">
        <x:v>8</x:v>
      </x:c>
      <x:c r="M1111" s="28" t="n">
        <x:v>7</x:v>
      </x:c>
      <x:c r="N1111" s="28" t="n">
        <x:v>3</x:v>
      </x:c>
      <x:c r="O1111" s="28" t="n">
        <x:v>0</x:v>
      </x:c>
      <x:c r="P1111" s="28" t="n">
        <x:v>1</x:v>
      </x:c>
      <x:c r="Q1111" s="24" t="n">
        <x:f>IFERROR(J1111/H1111,0)</x:f>
        <x:v>0.3</x:v>
      </x:c>
      <x:c r="R1111" s="24" t="n">
        <x:f>IFERROR(F1111/H1111,0)</x:f>
        <x:v>0.1</x:v>
      </x:c>
      <x:c r="S1111" s="24" t="n">
        <x:f>IFERROR(F1111/J1111,0)</x:f>
        <x:v>0.3333333333333333</x:v>
      </x:c>
      <x:c r="T1111" s="28" t="n">
        <x:f>H1111-I1111</x:f>
        <x:v>-3</x:v>
      </x:c>
      <x:c r="U1111" s="24" t="n">
        <x:f>IFERROR(J1111/H1111,0)-IFERROR(K1111/I1111,0)</x:f>
        <x:v>-0.0076923076923077205</x:v>
      </x:c>
      <x:c r="V1111" s="24" t="n">
        <x:f>IFERROR(F1111/J1111,0)-IFERROR(G1111/K1111,0)</x:f>
        <x:v>0.08333333333333331</x:v>
      </x:c>
      <x:c r="W1111" s="28" t="n">
        <x:f>L1111-M1111</x:f>
        <x:v>1</x:v>
      </x:c>
      <x:c r="X1111" s="24" t="n">
        <x:f>IFERROR(K1111/I1111,0)</x:f>
        <x:v>0.3076923076923077</x:v>
      </x:c>
      <x:c r="Y1111" s="24" t="n">
        <x:f>IFERROR(G1111/I1111,0)</x:f>
        <x:v>0.07692307692307693</x:v>
      </x:c>
      <x:c r="Z1111" s="24" t="n">
        <x:f>IFERROR(G1111/K1111,0)</x:f>
        <x:v>0.25</x:v>
      </x:c>
      <x:c r="AA1111" s="24" t="n">
        <x:f>IFERROR(F1111/H1111,0)-IFERROR(G1111/I1111,0)</x:f>
        <x:v>0.023076923076923078</x:v>
      </x:c>
      <x:c r="AB1111" s="28" t="n">
        <x:f>J1111-K1111</x:f>
        <x:v>-1</x:v>
      </x:c>
      <x:c r="AC1111" s="32" t="n">
        <x:f>F1111-G1111</x:f>
        <x:v>0</x:v>
      </x:c>
    </x:row>
    <x:row r="1112">
      <x:c r="A1112" s="4" t="str">
        <x:v>2022-23</x:v>
      </x:c>
      <x:c r="B1112" s="20" t="n">
        <x:v>44931</x:v>
      </x:c>
      <x:c r="C1112" s="4" t="str">
        <x:v>Chelsea</x:v>
      </x:c>
      <x:c r="D1112" s="4" t="str">
        <x:v>Man City</x:v>
      </x:c>
      <x:c r="E1112" s="4" t="str">
        <x:v>Home</x:v>
      </x:c>
      <x:c r="F1112" s="28" t="n">
        <x:v>0</x:v>
      </x:c>
      <x:c r="G1112" s="28" t="n">
        <x:v>1</x:v>
      </x:c>
      <x:c r="H1112" s="28" t="n">
        <x:v>8</x:v>
      </x:c>
      <x:c r="I1112" s="28" t="n">
        <x:v>12</x:v>
      </x:c>
      <x:c r="J1112" s="28" t="n">
        <x:v>2</x:v>
      </x:c>
      <x:c r="K1112" s="28" t="n">
        <x:v>3</x:v>
      </x:c>
      <x:c r="L1112" s="28" t="n">
        <x:v>3</x:v>
      </x:c>
      <x:c r="M1112" s="28" t="n">
        <x:v>2</x:v>
      </x:c>
      <x:c r="N1112" s="28" t="n">
        <x:v>2</x:v>
      </x:c>
      <x:c r="O1112" s="28" t="n">
        <x:v>0</x:v>
      </x:c>
      <x:c r="P1112" s="28" t="n">
        <x:v>0</x:v>
      </x:c>
      <x:c r="Q1112" s="24" t="n">
        <x:f>IFERROR(J1112/H1112,0)</x:f>
        <x:v>0.25</x:v>
      </x:c>
      <x:c r="R1112" s="24" t="n">
        <x:f>IFERROR(F1112/H1112,0)</x:f>
        <x:v>0</x:v>
      </x:c>
      <x:c r="S1112" s="24" t="n">
        <x:f>IFERROR(F1112/J1112,0)</x:f>
        <x:v>0</x:v>
      </x:c>
      <x:c r="T1112" s="28" t="n">
        <x:f>H1112-I1112</x:f>
        <x:v>-4</x:v>
      </x:c>
      <x:c r="U1112" s="24" t="n">
        <x:f>IFERROR(J1112/H1112,0)-IFERROR(K1112/I1112,0)</x:f>
        <x:v>0</x:v>
      </x:c>
      <x:c r="V1112" s="24" t="n">
        <x:f>IFERROR(F1112/J1112,0)-IFERROR(G1112/K1112,0)</x:f>
        <x:v>-0.3333333333333333</x:v>
      </x:c>
      <x:c r="W1112" s="28" t="n">
        <x:f>L1112-M1112</x:f>
        <x:v>1</x:v>
      </x:c>
      <x:c r="X1112" s="24" t="n">
        <x:f>IFERROR(K1112/I1112,0)</x:f>
        <x:v>0.25</x:v>
      </x:c>
      <x:c r="Y1112" s="24" t="n">
        <x:f>IFERROR(G1112/I1112,0)</x:f>
        <x:v>0.08333333333333333</x:v>
      </x:c>
      <x:c r="Z1112" s="24" t="n">
        <x:f>IFERROR(G1112/K1112,0)</x:f>
        <x:v>0.3333333333333333</x:v>
      </x:c>
      <x:c r="AA1112" s="24" t="n">
        <x:f>IFERROR(F1112/H1112,0)-IFERROR(G1112/I1112,0)</x:f>
        <x:v>-0.08333333333333333</x:v>
      </x:c>
      <x:c r="AB1112" s="28" t="n">
        <x:f>J1112-K1112</x:f>
        <x:v>-1</x:v>
      </x:c>
      <x:c r="AC1112" s="32" t="n">
        <x:f>F1112-G1112</x:f>
        <x:v>-1</x:v>
      </x:c>
    </x:row>
    <x:row r="1113">
      <x:c r="A1113" s="4" t="str">
        <x:v>2022-23</x:v>
      </x:c>
      <x:c r="B1113" s="20" t="n">
        <x:v>44931</x:v>
      </x:c>
      <x:c r="C1113" s="4" t="str">
        <x:v>Man City</x:v>
      </x:c>
      <x:c r="D1113" s="4" t="str">
        <x:v>Chelsea</x:v>
      </x:c>
      <x:c r="E1113" s="4" t="str">
        <x:v>Away</x:v>
      </x:c>
      <x:c r="F1113" s="28" t="n">
        <x:v>1</x:v>
      </x:c>
      <x:c r="G1113" s="28" t="n">
        <x:v>0</x:v>
      </x:c>
      <x:c r="H1113" s="28" t="n">
        <x:v>12</x:v>
      </x:c>
      <x:c r="I1113" s="28" t="n">
        <x:v>8</x:v>
      </x:c>
      <x:c r="J1113" s="28" t="n">
        <x:v>3</x:v>
      </x:c>
      <x:c r="K1113" s="28" t="n">
        <x:v>2</x:v>
      </x:c>
      <x:c r="L1113" s="28" t="n">
        <x:v>2</x:v>
      </x:c>
      <x:c r="M1113" s="28" t="n">
        <x:v>3</x:v>
      </x:c>
      <x:c r="N1113" s="28" t="n">
        <x:v>0</x:v>
      </x:c>
      <x:c r="O1113" s="28" t="n">
        <x:v>0</x:v>
      </x:c>
      <x:c r="P1113" s="28" t="n">
        <x:v>3</x:v>
      </x:c>
      <x:c r="Q1113" s="24" t="n">
        <x:f>IFERROR(J1113/H1113,0)</x:f>
        <x:v>0.25</x:v>
      </x:c>
      <x:c r="R1113" s="24" t="n">
        <x:f>IFERROR(F1113/H1113,0)</x:f>
        <x:v>0.08333333333333333</x:v>
      </x:c>
      <x:c r="S1113" s="24" t="n">
        <x:f>IFERROR(F1113/J1113,0)</x:f>
        <x:v>0.3333333333333333</x:v>
      </x:c>
      <x:c r="T1113" s="28" t="n">
        <x:f>H1113-I1113</x:f>
        <x:v>4</x:v>
      </x:c>
      <x:c r="U1113" s="24" t="n">
        <x:f>IFERROR(J1113/H1113,0)-IFERROR(K1113/I1113,0)</x:f>
        <x:v>0</x:v>
      </x:c>
      <x:c r="V1113" s="24" t="n">
        <x:f>IFERROR(F1113/J1113,0)-IFERROR(G1113/K1113,0)</x:f>
        <x:v>0.3333333333333333</x:v>
      </x:c>
      <x:c r="W1113" s="28" t="n">
        <x:f>L1113-M1113</x:f>
        <x:v>-1</x:v>
      </x:c>
      <x:c r="X1113" s="24" t="n">
        <x:f>IFERROR(K1113/I1113,0)</x:f>
        <x:v>0.25</x:v>
      </x:c>
      <x:c r="Y1113" s="24" t="n">
        <x:f>IFERROR(G1113/I1113,0)</x:f>
        <x:v>0</x:v>
      </x:c>
      <x:c r="Z1113" s="24" t="n">
        <x:f>IFERROR(G1113/K1113,0)</x:f>
        <x:v>0</x:v>
      </x:c>
      <x:c r="AA1113" s="24" t="n">
        <x:f>IFERROR(F1113/H1113,0)-IFERROR(G1113/I1113,0)</x:f>
        <x:v>0.08333333333333333</x:v>
      </x:c>
      <x:c r="AB1113" s="28" t="n">
        <x:f>J1113-K1113</x:f>
        <x:v>1</x:v>
      </x:c>
      <x:c r="AC1113" s="32" t="n">
        <x:f>F1113-G1113</x:f>
        <x:v>1</x:v>
      </x:c>
    </x:row>
    <x:row r="1114">
      <x:c r="A1114" s="4" t="str">
        <x:v>2022-23</x:v>
      </x:c>
      <x:c r="B1114" s="20" t="n">
        <x:v>44938</x:v>
      </x:c>
      <x:c r="C1114" s="4" t="str">
        <x:v>Chelsea</x:v>
      </x:c>
      <x:c r="D1114" s="4" t="str">
        <x:v>Fulham</x:v>
      </x:c>
      <x:c r="E1114" s="4" t="str">
        <x:v>Away</x:v>
      </x:c>
      <x:c r="F1114" s="28" t="n">
        <x:v>1</x:v>
      </x:c>
      <x:c r="G1114" s="28" t="n">
        <x:v>2</x:v>
      </x:c>
      <x:c r="H1114" s="28" t="n">
        <x:v>20</x:v>
      </x:c>
      <x:c r="I1114" s="28" t="n">
        <x:v>8</x:v>
      </x:c>
      <x:c r="J1114" s="28" t="n">
        <x:v>10</x:v>
      </x:c>
      <x:c r="K1114" s="28" t="n">
        <x:v>3</x:v>
      </x:c>
      <x:c r="L1114" s="28" t="n">
        <x:v>7</x:v>
      </x:c>
      <x:c r="M1114" s="28" t="n">
        <x:v>5</x:v>
      </x:c>
      <x:c r="N1114" s="28" t="n">
        <x:v>3</x:v>
      </x:c>
      <x:c r="O1114" s="28" t="n">
        <x:v>1</x:v>
      </x:c>
      <x:c r="P1114" s="28" t="n">
        <x:v>0</x:v>
      </x:c>
      <x:c r="Q1114" s="24" t="n">
        <x:f>IFERROR(J1114/H1114,0)</x:f>
        <x:v>0.5</x:v>
      </x:c>
      <x:c r="R1114" s="24" t="n">
        <x:f>IFERROR(F1114/H1114,0)</x:f>
        <x:v>0.05</x:v>
      </x:c>
      <x:c r="S1114" s="24" t="n">
        <x:f>IFERROR(F1114/J1114,0)</x:f>
        <x:v>0.1</x:v>
      </x:c>
      <x:c r="T1114" s="28" t="n">
        <x:f>H1114-I1114</x:f>
        <x:v>12</x:v>
      </x:c>
      <x:c r="U1114" s="24" t="n">
        <x:f>IFERROR(J1114/H1114,0)-IFERROR(K1114/I1114,0)</x:f>
        <x:v>0.125</x:v>
      </x:c>
      <x:c r="V1114" s="24" t="n">
        <x:f>IFERROR(F1114/J1114,0)-IFERROR(G1114/K1114,0)</x:f>
        <x:v>-0.5666666666666667</x:v>
      </x:c>
      <x:c r="W1114" s="28" t="n">
        <x:f>L1114-M1114</x:f>
        <x:v>2</x:v>
      </x:c>
      <x:c r="X1114" s="24" t="n">
        <x:f>IFERROR(K1114/I1114,0)</x:f>
        <x:v>0.375</x:v>
      </x:c>
      <x:c r="Y1114" s="24" t="n">
        <x:f>IFERROR(G1114/I1114,0)</x:f>
        <x:v>0.25</x:v>
      </x:c>
      <x:c r="Z1114" s="24" t="n">
        <x:f>IFERROR(G1114/K1114,0)</x:f>
        <x:v>0.6666666666666666</x:v>
      </x:c>
      <x:c r="AA1114" s="24" t="n">
        <x:f>IFERROR(F1114/H1114,0)-IFERROR(G1114/I1114,0)</x:f>
        <x:v>-0.2</x:v>
      </x:c>
      <x:c r="AB1114" s="28" t="n">
        <x:f>J1114-K1114</x:f>
        <x:v>7</x:v>
      </x:c>
      <x:c r="AC1114" s="32" t="n">
        <x:f>F1114-G1114</x:f>
        <x:v>-1</x:v>
      </x:c>
    </x:row>
    <x:row r="1115">
      <x:c r="A1115" s="4" t="str">
        <x:v>2022-23</x:v>
      </x:c>
      <x:c r="B1115" s="20" t="n">
        <x:v>44938</x:v>
      </x:c>
      <x:c r="C1115" s="4" t="str">
        <x:v>Fulham</x:v>
      </x:c>
      <x:c r="D1115" s="4" t="str">
        <x:v>Chelsea</x:v>
      </x:c>
      <x:c r="E1115" s="4" t="str">
        <x:v>Home</x:v>
      </x:c>
      <x:c r="F1115" s="28" t="n">
        <x:v>2</x:v>
      </x:c>
      <x:c r="G1115" s="28" t="n">
        <x:v>1</x:v>
      </x:c>
      <x:c r="H1115" s="28" t="n">
        <x:v>8</x:v>
      </x:c>
      <x:c r="I1115" s="28" t="n">
        <x:v>20</x:v>
      </x:c>
      <x:c r="J1115" s="28" t="n">
        <x:v>3</x:v>
      </x:c>
      <x:c r="K1115" s="28" t="n">
        <x:v>10</x:v>
      </x:c>
      <x:c r="L1115" s="28" t="n">
        <x:v>5</x:v>
      </x:c>
      <x:c r="M1115" s="28" t="n">
        <x:v>7</x:v>
      </x:c>
      <x:c r="N1115" s="28" t="n">
        <x:v>4</x:v>
      </x:c>
      <x:c r="O1115" s="28" t="n">
        <x:v>0</x:v>
      </x:c>
      <x:c r="P1115" s="28" t="n">
        <x:v>3</x:v>
      </x:c>
      <x:c r="Q1115" s="24" t="n">
        <x:f>IFERROR(J1115/H1115,0)</x:f>
        <x:v>0.375</x:v>
      </x:c>
      <x:c r="R1115" s="24" t="n">
        <x:f>IFERROR(F1115/H1115,0)</x:f>
        <x:v>0.25</x:v>
      </x:c>
      <x:c r="S1115" s="24" t="n">
        <x:f>IFERROR(F1115/J1115,0)</x:f>
        <x:v>0.6666666666666666</x:v>
      </x:c>
      <x:c r="T1115" s="28" t="n">
        <x:f>H1115-I1115</x:f>
        <x:v>-12</x:v>
      </x:c>
      <x:c r="U1115" s="24" t="n">
        <x:f>IFERROR(J1115/H1115,0)-IFERROR(K1115/I1115,0)</x:f>
        <x:v>-0.125</x:v>
      </x:c>
      <x:c r="V1115" s="24" t="n">
        <x:f>IFERROR(F1115/J1115,0)-IFERROR(G1115/K1115,0)</x:f>
        <x:v>0.5666666666666667</x:v>
      </x:c>
      <x:c r="W1115" s="28" t="n">
        <x:f>L1115-M1115</x:f>
        <x:v>-2</x:v>
      </x:c>
      <x:c r="X1115" s="24" t="n">
        <x:f>IFERROR(K1115/I1115,0)</x:f>
        <x:v>0.5</x:v>
      </x:c>
      <x:c r="Y1115" s="24" t="n">
        <x:f>IFERROR(G1115/I1115,0)</x:f>
        <x:v>0.05</x:v>
      </x:c>
      <x:c r="Z1115" s="24" t="n">
        <x:f>IFERROR(G1115/K1115,0)</x:f>
        <x:v>0.1</x:v>
      </x:c>
      <x:c r="AA1115" s="24" t="n">
        <x:f>IFERROR(F1115/H1115,0)-IFERROR(G1115/I1115,0)</x:f>
        <x:v>0.2</x:v>
      </x:c>
      <x:c r="AB1115" s="28" t="n">
        <x:f>J1115-K1115</x:f>
        <x:v>-7</x:v>
      </x:c>
      <x:c r="AC1115" s="32" t="n">
        <x:f>F1115-G1115</x:f>
        <x:v>1</x:v>
      </x:c>
    </x:row>
    <x:row r="1116">
      <x:c r="A1116" s="4" t="str">
        <x:v>2022-23</x:v>
      </x:c>
      <x:c r="B1116" s="20" t="n">
        <x:v>44939</x:v>
      </x:c>
      <x:c r="C1116" s="4" t="str">
        <x:v>Aston Villa</x:v>
      </x:c>
      <x:c r="D1116" s="4" t="str">
        <x:v>Leeds</x:v>
      </x:c>
      <x:c r="E1116" s="4" t="str">
        <x:v>Home</x:v>
      </x:c>
      <x:c r="F1116" s="28" t="n">
        <x:v>2</x:v>
      </x:c>
      <x:c r="G1116" s="28" t="n">
        <x:v>1</x:v>
      </x:c>
      <x:c r="H1116" s="28" t="n">
        <x:v>11</x:v>
      </x:c>
      <x:c r="I1116" s="28" t="n">
        <x:v>16</x:v>
      </x:c>
      <x:c r="J1116" s="28" t="n">
        <x:v>5</x:v>
      </x:c>
      <x:c r="K1116" s="28" t="n">
        <x:v>4</x:v>
      </x:c>
      <x:c r="L1116" s="28" t="n">
        <x:v>0</x:v>
      </x:c>
      <x:c r="M1116" s="28" t="n">
        <x:v>11</x:v>
      </x:c>
      <x:c r="N1116" s="28" t="n">
        <x:v>2</x:v>
      </x:c>
      <x:c r="O1116" s="28" t="n">
        <x:v>0</x:v>
      </x:c>
      <x:c r="P1116" s="28" t="n">
        <x:v>3</x:v>
      </x:c>
      <x:c r="Q1116" s="24" t="n">
        <x:f>IFERROR(J1116/H1116,0)</x:f>
        <x:v>0.45454545454545453</x:v>
      </x:c>
      <x:c r="R1116" s="24" t="n">
        <x:f>IFERROR(F1116/H1116,0)</x:f>
        <x:v>0.18181818181818182</x:v>
      </x:c>
      <x:c r="S1116" s="24" t="n">
        <x:f>IFERROR(F1116/J1116,0)</x:f>
        <x:v>0.4</x:v>
      </x:c>
      <x:c r="T1116" s="28" t="n">
        <x:f>H1116-I1116</x:f>
        <x:v>-5</x:v>
      </x:c>
      <x:c r="U1116" s="24" t="n">
        <x:f>IFERROR(J1116/H1116,0)-IFERROR(K1116/I1116,0)</x:f>
        <x:v>0.20454545454545453</x:v>
      </x:c>
      <x:c r="V1116" s="24" t="n">
        <x:f>IFERROR(F1116/J1116,0)-IFERROR(G1116/K1116,0)</x:f>
        <x:v>0.15000000000000002</x:v>
      </x:c>
      <x:c r="W1116" s="28" t="n">
        <x:f>L1116-M1116</x:f>
        <x:v>-11</x:v>
      </x:c>
      <x:c r="X1116" s="24" t="n">
        <x:f>IFERROR(K1116/I1116,0)</x:f>
        <x:v>0.25</x:v>
      </x:c>
      <x:c r="Y1116" s="24" t="n">
        <x:f>IFERROR(G1116/I1116,0)</x:f>
        <x:v>0.0625</x:v>
      </x:c>
      <x:c r="Z1116" s="24" t="n">
        <x:f>IFERROR(G1116/K1116,0)</x:f>
        <x:v>0.25</x:v>
      </x:c>
      <x:c r="AA1116" s="24" t="n">
        <x:f>IFERROR(F1116/H1116,0)-IFERROR(G1116/I1116,0)</x:f>
        <x:v>0.11931818181818182</x:v>
      </x:c>
      <x:c r="AB1116" s="28" t="n">
        <x:f>J1116-K1116</x:f>
        <x:v>1</x:v>
      </x:c>
      <x:c r="AC1116" s="32" t="n">
        <x:f>F1116-G1116</x:f>
        <x:v>1</x:v>
      </x:c>
    </x:row>
    <x:row r="1117">
      <x:c r="A1117" s="4" t="str">
        <x:v>2022-23</x:v>
      </x:c>
      <x:c r="B1117" s="20" t="n">
        <x:v>44939</x:v>
      </x:c>
      <x:c r="C1117" s="4" t="str">
        <x:v>Leeds</x:v>
      </x:c>
      <x:c r="D1117" s="4" t="str">
        <x:v>Aston Villa</x:v>
      </x:c>
      <x:c r="E1117" s="4" t="str">
        <x:v>Away</x:v>
      </x:c>
      <x:c r="F1117" s="28" t="n">
        <x:v>1</x:v>
      </x:c>
      <x:c r="G1117" s="28" t="n">
        <x:v>2</x:v>
      </x:c>
      <x:c r="H1117" s="28" t="n">
        <x:v>16</x:v>
      </x:c>
      <x:c r="I1117" s="28" t="n">
        <x:v>11</x:v>
      </x:c>
      <x:c r="J1117" s="28" t="n">
        <x:v>4</x:v>
      </x:c>
      <x:c r="K1117" s="28" t="n">
        <x:v>5</x:v>
      </x:c>
      <x:c r="L1117" s="28" t="n">
        <x:v>11</x:v>
      </x:c>
      <x:c r="M1117" s="28" t="n">
        <x:v>0</x:v>
      </x:c>
      <x:c r="N1117" s="28" t="n">
        <x:v>2</x:v>
      </x:c>
      <x:c r="O1117" s="28" t="n">
        <x:v>0</x:v>
      </x:c>
      <x:c r="P1117" s="28" t="n">
        <x:v>0</x:v>
      </x:c>
      <x:c r="Q1117" s="24" t="n">
        <x:f>IFERROR(J1117/H1117,0)</x:f>
        <x:v>0.25</x:v>
      </x:c>
      <x:c r="R1117" s="24" t="n">
        <x:f>IFERROR(F1117/H1117,0)</x:f>
        <x:v>0.0625</x:v>
      </x:c>
      <x:c r="S1117" s="24" t="n">
        <x:f>IFERROR(F1117/J1117,0)</x:f>
        <x:v>0.25</x:v>
      </x:c>
      <x:c r="T1117" s="28" t="n">
        <x:f>H1117-I1117</x:f>
        <x:v>5</x:v>
      </x:c>
      <x:c r="U1117" s="24" t="n">
        <x:f>IFERROR(J1117/H1117,0)-IFERROR(K1117/I1117,0)</x:f>
        <x:v>-0.20454545454545453</x:v>
      </x:c>
      <x:c r="V1117" s="24" t="n">
        <x:f>IFERROR(F1117/J1117,0)-IFERROR(G1117/K1117,0)</x:f>
        <x:v>-0.15000000000000002</x:v>
      </x:c>
      <x:c r="W1117" s="28" t="n">
        <x:f>L1117-M1117</x:f>
        <x:v>11</x:v>
      </x:c>
      <x:c r="X1117" s="24" t="n">
        <x:f>IFERROR(K1117/I1117,0)</x:f>
        <x:v>0.45454545454545453</x:v>
      </x:c>
      <x:c r="Y1117" s="24" t="n">
        <x:f>IFERROR(G1117/I1117,0)</x:f>
        <x:v>0.18181818181818182</x:v>
      </x:c>
      <x:c r="Z1117" s="24" t="n">
        <x:f>IFERROR(G1117/K1117,0)</x:f>
        <x:v>0.4</x:v>
      </x:c>
      <x:c r="AA1117" s="24" t="n">
        <x:f>IFERROR(F1117/H1117,0)-IFERROR(G1117/I1117,0)</x:f>
        <x:v>-0.11931818181818182</x:v>
      </x:c>
      <x:c r="AB1117" s="28" t="n">
        <x:f>J1117-K1117</x:f>
        <x:v>-1</x:v>
      </x:c>
      <x:c r="AC1117" s="32" t="n">
        <x:f>F1117-G1117</x:f>
        <x:v>-1</x:v>
      </x:c>
    </x:row>
    <x:row r="1118">
      <x:c r="A1118" s="4" t="str">
        <x:v>2022-23</x:v>
      </x:c>
      <x:c r="B1118" s="20" t="n">
        <x:v>44940</x:v>
      </x:c>
      <x:c r="C1118" s="4" t="str">
        <x:v>Bournemouth</x:v>
      </x:c>
      <x:c r="D1118" s="4" t="str">
        <x:v>Brentford</x:v>
      </x:c>
      <x:c r="E1118" s="4" t="str">
        <x:v>Away</x:v>
      </x:c>
      <x:c r="F1118" s="28" t="n">
        <x:v>0</x:v>
      </x:c>
      <x:c r="G1118" s="28" t="n">
        <x:v>2</x:v>
      </x:c>
      <x:c r="H1118" s="28" t="n">
        <x:v>7</x:v>
      </x:c>
      <x:c r="I1118" s="28" t="n">
        <x:v>12</x:v>
      </x:c>
      <x:c r="J1118" s="28" t="n">
        <x:v>2</x:v>
      </x:c>
      <x:c r="K1118" s="28" t="n">
        <x:v>4</x:v>
      </x:c>
      <x:c r="L1118" s="28" t="n">
        <x:v>3</x:v>
      </x:c>
      <x:c r="M1118" s="28" t="n">
        <x:v>5</x:v>
      </x:c>
      <x:c r="N1118" s="28" t="n">
        <x:v>1</x:v>
      </x:c>
      <x:c r="O1118" s="28" t="n">
        <x:v>0</x:v>
      </x:c>
      <x:c r="P1118" s="28" t="n">
        <x:v>0</x:v>
      </x:c>
      <x:c r="Q1118" s="24" t="n">
        <x:f>IFERROR(J1118/H1118,0)</x:f>
        <x:v>0.2857142857142857</x:v>
      </x:c>
      <x:c r="R1118" s="24" t="n">
        <x:f>IFERROR(F1118/H1118,0)</x:f>
        <x:v>0</x:v>
      </x:c>
      <x:c r="S1118" s="24" t="n">
        <x:f>IFERROR(F1118/J1118,0)</x:f>
        <x:v>0</x:v>
      </x:c>
      <x:c r="T1118" s="28" t="n">
        <x:f>H1118-I1118</x:f>
        <x:v>-5</x:v>
      </x:c>
      <x:c r="U1118" s="24" t="n">
        <x:f>IFERROR(J1118/H1118,0)-IFERROR(K1118/I1118,0)</x:f>
        <x:v>-0.047619047619047616</x:v>
      </x:c>
      <x:c r="V1118" s="24" t="n">
        <x:f>IFERROR(F1118/J1118,0)-IFERROR(G1118/K1118,0)</x:f>
        <x:v>-0.5</x:v>
      </x:c>
      <x:c r="W1118" s="28" t="n">
        <x:f>L1118-M1118</x:f>
        <x:v>-2</x:v>
      </x:c>
      <x:c r="X1118" s="24" t="n">
        <x:f>IFERROR(K1118/I1118,0)</x:f>
        <x:v>0.3333333333333333</x:v>
      </x:c>
      <x:c r="Y1118" s="24" t="n">
        <x:f>IFERROR(G1118/I1118,0)</x:f>
        <x:v>0.16666666666666666</x:v>
      </x:c>
      <x:c r="Z1118" s="24" t="n">
        <x:f>IFERROR(G1118/K1118,0)</x:f>
        <x:v>0.5</x:v>
      </x:c>
      <x:c r="AA1118" s="24" t="n">
        <x:f>IFERROR(F1118/H1118,0)-IFERROR(G1118/I1118,0)</x:f>
        <x:v>-0.16666666666666666</x:v>
      </x:c>
      <x:c r="AB1118" s="28" t="n">
        <x:f>J1118-K1118</x:f>
        <x:v>-2</x:v>
      </x:c>
      <x:c r="AC1118" s="32" t="n">
        <x:f>F1118-G1118</x:f>
        <x:v>-2</x:v>
      </x:c>
    </x:row>
    <x:row r="1119">
      <x:c r="A1119" s="4" t="str">
        <x:v>2022-23</x:v>
      </x:c>
      <x:c r="B1119" s="20" t="n">
        <x:v>44940</x:v>
      </x:c>
      <x:c r="C1119" s="4" t="str">
        <x:v>Brentford</x:v>
      </x:c>
      <x:c r="D1119" s="4" t="str">
        <x:v>Bournemouth</x:v>
      </x:c>
      <x:c r="E1119" s="4" t="str">
        <x:v>Home</x:v>
      </x:c>
      <x:c r="F1119" s="28" t="n">
        <x:v>2</x:v>
      </x:c>
      <x:c r="G1119" s="28" t="n">
        <x:v>0</x:v>
      </x:c>
      <x:c r="H1119" s="28" t="n">
        <x:v>12</x:v>
      </x:c>
      <x:c r="I1119" s="28" t="n">
        <x:v>7</x:v>
      </x:c>
      <x:c r="J1119" s="28" t="n">
        <x:v>4</x:v>
      </x:c>
      <x:c r="K1119" s="28" t="n">
        <x:v>2</x:v>
      </x:c>
      <x:c r="L1119" s="28" t="n">
        <x:v>5</x:v>
      </x:c>
      <x:c r="M1119" s="28" t="n">
        <x:v>3</x:v>
      </x:c>
      <x:c r="N1119" s="28" t="n">
        <x:v>1</x:v>
      </x:c>
      <x:c r="O1119" s="28" t="n">
        <x:v>0</x:v>
      </x:c>
      <x:c r="P1119" s="28" t="n">
        <x:v>3</x:v>
      </x:c>
      <x:c r="Q1119" s="24" t="n">
        <x:f>IFERROR(J1119/H1119,0)</x:f>
        <x:v>0.3333333333333333</x:v>
      </x:c>
      <x:c r="R1119" s="24" t="n">
        <x:f>IFERROR(F1119/H1119,0)</x:f>
        <x:v>0.16666666666666666</x:v>
      </x:c>
      <x:c r="S1119" s="24" t="n">
        <x:f>IFERROR(F1119/J1119,0)</x:f>
        <x:v>0.5</x:v>
      </x:c>
      <x:c r="T1119" s="28" t="n">
        <x:f>H1119-I1119</x:f>
        <x:v>5</x:v>
      </x:c>
      <x:c r="U1119" s="24" t="n">
        <x:f>IFERROR(J1119/H1119,0)-IFERROR(K1119/I1119,0)</x:f>
        <x:v>0.047619047619047616</x:v>
      </x:c>
      <x:c r="V1119" s="24" t="n">
        <x:f>IFERROR(F1119/J1119,0)-IFERROR(G1119/K1119,0)</x:f>
        <x:v>0.5</x:v>
      </x:c>
      <x:c r="W1119" s="28" t="n">
        <x:f>L1119-M1119</x:f>
        <x:v>2</x:v>
      </x:c>
      <x:c r="X1119" s="24" t="n">
        <x:f>IFERROR(K1119/I1119,0)</x:f>
        <x:v>0.2857142857142857</x:v>
      </x:c>
      <x:c r="Y1119" s="24" t="n">
        <x:f>IFERROR(G1119/I1119,0)</x:f>
        <x:v>0</x:v>
      </x:c>
      <x:c r="Z1119" s="24" t="n">
        <x:f>IFERROR(G1119/K1119,0)</x:f>
        <x:v>0</x:v>
      </x:c>
      <x:c r="AA1119" s="24" t="n">
        <x:f>IFERROR(F1119/H1119,0)-IFERROR(G1119/I1119,0)</x:f>
        <x:v>0.16666666666666666</x:v>
      </x:c>
      <x:c r="AB1119" s="28" t="n">
        <x:f>J1119-K1119</x:f>
        <x:v>2</x:v>
      </x:c>
      <x:c r="AC1119" s="32" t="n">
        <x:f>F1119-G1119</x:f>
        <x:v>2</x:v>
      </x:c>
    </x:row>
    <x:row r="1120">
      <x:c r="A1120" s="4" t="str">
        <x:v>2022-23</x:v>
      </x:c>
      <x:c r="B1120" s="20" t="n">
        <x:v>44940</x:v>
      </x:c>
      <x:c r="C1120" s="4" t="str">
        <x:v>Brighton</x:v>
      </x:c>
      <x:c r="D1120" s="4" t="str">
        <x:v>Liverpool</x:v>
      </x:c>
      <x:c r="E1120" s="4" t="str">
        <x:v>Home</x:v>
      </x:c>
      <x:c r="F1120" s="28" t="n">
        <x:v>3</x:v>
      </x:c>
      <x:c r="G1120" s="28" t="n">
        <x:v>0</x:v>
      </x:c>
      <x:c r="H1120" s="28" t="n">
        <x:v>16</x:v>
      </x:c>
      <x:c r="I1120" s="28" t="n">
        <x:v>6</x:v>
      </x:c>
      <x:c r="J1120" s="28" t="n">
        <x:v>9</x:v>
      </x:c>
      <x:c r="K1120" s="28" t="n">
        <x:v>2</x:v>
      </x:c>
      <x:c r="L1120" s="28" t="n">
        <x:v>7</x:v>
      </x:c>
      <x:c r="M1120" s="28" t="n">
        <x:v>1</x:v>
      </x:c>
      <x:c r="N1120" s="28" t="n">
        <x:v>1</x:v>
      </x:c>
      <x:c r="O1120" s="28" t="n">
        <x:v>0</x:v>
      </x:c>
      <x:c r="P1120" s="28" t="n">
        <x:v>3</x:v>
      </x:c>
      <x:c r="Q1120" s="24" t="n">
        <x:f>IFERROR(J1120/H1120,0)</x:f>
        <x:v>0.5625</x:v>
      </x:c>
      <x:c r="R1120" s="24" t="n">
        <x:f>IFERROR(F1120/H1120,0)</x:f>
        <x:v>0.1875</x:v>
      </x:c>
      <x:c r="S1120" s="24" t="n">
        <x:f>IFERROR(F1120/J1120,0)</x:f>
        <x:v>0.3333333333333333</x:v>
      </x:c>
      <x:c r="T1120" s="28" t="n">
        <x:f>H1120-I1120</x:f>
        <x:v>10</x:v>
      </x:c>
      <x:c r="U1120" s="24" t="n">
        <x:f>IFERROR(J1120/H1120,0)-IFERROR(K1120/I1120,0)</x:f>
        <x:v>0.22916666666666669</x:v>
      </x:c>
      <x:c r="V1120" s="24" t="n">
        <x:f>IFERROR(F1120/J1120,0)-IFERROR(G1120/K1120,0)</x:f>
        <x:v>0.3333333333333333</x:v>
      </x:c>
      <x:c r="W1120" s="28" t="n">
        <x:f>L1120-M1120</x:f>
        <x:v>6</x:v>
      </x:c>
      <x:c r="X1120" s="24" t="n">
        <x:f>IFERROR(K1120/I1120,0)</x:f>
        <x:v>0.3333333333333333</x:v>
      </x:c>
      <x:c r="Y1120" s="24" t="n">
        <x:f>IFERROR(G1120/I1120,0)</x:f>
        <x:v>0</x:v>
      </x:c>
      <x:c r="Z1120" s="24" t="n">
        <x:f>IFERROR(G1120/K1120,0)</x:f>
        <x:v>0</x:v>
      </x:c>
      <x:c r="AA1120" s="24" t="n">
        <x:f>IFERROR(F1120/H1120,0)-IFERROR(G1120/I1120,0)</x:f>
        <x:v>0.1875</x:v>
      </x:c>
      <x:c r="AB1120" s="28" t="n">
        <x:f>J1120-K1120</x:f>
        <x:v>7</x:v>
      </x:c>
      <x:c r="AC1120" s="32" t="n">
        <x:f>F1120-G1120</x:f>
        <x:v>3</x:v>
      </x:c>
    </x:row>
    <x:row r="1121">
      <x:c r="A1121" s="4" t="str">
        <x:v>2022-23</x:v>
      </x:c>
      <x:c r="B1121" s="20" t="n">
        <x:v>44940</x:v>
      </x:c>
      <x:c r="C1121" s="4" t="str">
        <x:v>Everton</x:v>
      </x:c>
      <x:c r="D1121" s="4" t="str">
        <x:v>Southampton</x:v>
      </x:c>
      <x:c r="E1121" s="4" t="str">
        <x:v>Home</x:v>
      </x:c>
      <x:c r="F1121" s="28" t="n">
        <x:v>1</x:v>
      </x:c>
      <x:c r="G1121" s="28" t="n">
        <x:v>2</x:v>
      </x:c>
      <x:c r="H1121" s="28" t="n">
        <x:v>12</x:v>
      </x:c>
      <x:c r="I1121" s="28" t="n">
        <x:v>13</x:v>
      </x:c>
      <x:c r="J1121" s="28" t="n">
        <x:v>4</x:v>
      </x:c>
      <x:c r="K1121" s="28" t="n">
        <x:v>5</x:v>
      </x:c>
      <x:c r="L1121" s="28" t="n">
        <x:v>6</x:v>
      </x:c>
      <x:c r="M1121" s="28" t="n">
        <x:v>4</x:v>
      </x:c>
      <x:c r="N1121" s="28" t="n">
        <x:v>0</x:v>
      </x:c>
      <x:c r="O1121" s="28" t="n">
        <x:v>0</x:v>
      </x:c>
      <x:c r="P1121" s="28" t="n">
        <x:v>0</x:v>
      </x:c>
      <x:c r="Q1121" s="24" t="n">
        <x:f>IFERROR(J1121/H1121,0)</x:f>
        <x:v>0.3333333333333333</x:v>
      </x:c>
      <x:c r="R1121" s="24" t="n">
        <x:f>IFERROR(F1121/H1121,0)</x:f>
        <x:v>0.08333333333333333</x:v>
      </x:c>
      <x:c r="S1121" s="24" t="n">
        <x:f>IFERROR(F1121/J1121,0)</x:f>
        <x:v>0.25</x:v>
      </x:c>
      <x:c r="T1121" s="28" t="n">
        <x:f>H1121-I1121</x:f>
        <x:v>-1</x:v>
      </x:c>
      <x:c r="U1121" s="24" t="n">
        <x:f>IFERROR(J1121/H1121,0)-IFERROR(K1121/I1121,0)</x:f>
        <x:v>-0.05128205128205132</x:v>
      </x:c>
      <x:c r="V1121" s="24" t="n">
        <x:f>IFERROR(F1121/J1121,0)-IFERROR(G1121/K1121,0)</x:f>
        <x:v>-0.15000000000000002</x:v>
      </x:c>
      <x:c r="W1121" s="28" t="n">
        <x:f>L1121-M1121</x:f>
        <x:v>2</x:v>
      </x:c>
      <x:c r="X1121" s="24" t="n">
        <x:f>IFERROR(K1121/I1121,0)</x:f>
        <x:v>0.38461538461538464</x:v>
      </x:c>
      <x:c r="Y1121" s="24" t="n">
        <x:f>IFERROR(G1121/I1121,0)</x:f>
        <x:v>0.15384615384615385</x:v>
      </x:c>
      <x:c r="Z1121" s="24" t="n">
        <x:f>IFERROR(G1121/K1121,0)</x:f>
        <x:v>0.4</x:v>
      </x:c>
      <x:c r="AA1121" s="24" t="n">
        <x:f>IFERROR(F1121/H1121,0)-IFERROR(G1121/I1121,0)</x:f>
        <x:v>-0.07051282051282053</x:v>
      </x:c>
      <x:c r="AB1121" s="28" t="n">
        <x:f>J1121-K1121</x:f>
        <x:v>-1</x:v>
      </x:c>
      <x:c r="AC1121" s="32" t="n">
        <x:f>F1121-G1121</x:f>
        <x:v>-1</x:v>
      </x:c>
    </x:row>
    <x:row r="1122">
      <x:c r="A1122" s="4" t="str">
        <x:v>2022-23</x:v>
      </x:c>
      <x:c r="B1122" s="20" t="n">
        <x:v>44940</x:v>
      </x:c>
      <x:c r="C1122" s="4" t="str">
        <x:v>Leicester</x:v>
      </x:c>
      <x:c r="D1122" s="4" t="str">
        <x:v>Nott'm Forest</x:v>
      </x:c>
      <x:c r="E1122" s="4" t="str">
        <x:v>Away</x:v>
      </x:c>
      <x:c r="F1122" s="28" t="n">
        <x:v>0</x:v>
      </x:c>
      <x:c r="G1122" s="28" t="n">
        <x:v>2</x:v>
      </x:c>
      <x:c r="H1122" s="28" t="n">
        <x:v>6</x:v>
      </x:c>
      <x:c r="I1122" s="28" t="n">
        <x:v>15</x:v>
      </x:c>
      <x:c r="J1122" s="28" t="n">
        <x:v>1</x:v>
      </x:c>
      <x:c r="K1122" s="28" t="n">
        <x:v>5</x:v>
      </x:c>
      <x:c r="L1122" s="28" t="n">
        <x:v>5</x:v>
      </x:c>
      <x:c r="M1122" s="28" t="n">
        <x:v>3</x:v>
      </x:c>
      <x:c r="N1122" s="28" t="n">
        <x:v>2</x:v>
      </x:c>
      <x:c r="O1122" s="28" t="n">
        <x:v>0</x:v>
      </x:c>
      <x:c r="P1122" s="28" t="n">
        <x:v>0</x:v>
      </x:c>
      <x:c r="Q1122" s="24" t="n">
        <x:f>IFERROR(J1122/H1122,0)</x:f>
        <x:v>0.16666666666666666</x:v>
      </x:c>
      <x:c r="R1122" s="24" t="n">
        <x:f>IFERROR(F1122/H1122,0)</x:f>
        <x:v>0</x:v>
      </x:c>
      <x:c r="S1122" s="24" t="n">
        <x:f>IFERROR(F1122/J1122,0)</x:f>
        <x:v>0</x:v>
      </x:c>
      <x:c r="T1122" s="28" t="n">
        <x:f>H1122-I1122</x:f>
        <x:v>-9</x:v>
      </x:c>
      <x:c r="U1122" s="24" t="n">
        <x:f>IFERROR(J1122/H1122,0)-IFERROR(K1122/I1122,0)</x:f>
        <x:v>-0.16666666666666666</x:v>
      </x:c>
      <x:c r="V1122" s="24" t="n">
        <x:f>IFERROR(F1122/J1122,0)-IFERROR(G1122/K1122,0)</x:f>
        <x:v>-0.4</x:v>
      </x:c>
      <x:c r="W1122" s="28" t="n">
        <x:f>L1122-M1122</x:f>
        <x:v>2</x:v>
      </x:c>
      <x:c r="X1122" s="24" t="n">
        <x:f>IFERROR(K1122/I1122,0)</x:f>
        <x:v>0.3333333333333333</x:v>
      </x:c>
      <x:c r="Y1122" s="24" t="n">
        <x:f>IFERROR(G1122/I1122,0)</x:f>
        <x:v>0.13333333333333333</x:v>
      </x:c>
      <x:c r="Z1122" s="24" t="n">
        <x:f>IFERROR(G1122/K1122,0)</x:f>
        <x:v>0.4</x:v>
      </x:c>
      <x:c r="AA1122" s="24" t="n">
        <x:f>IFERROR(F1122/H1122,0)-IFERROR(G1122/I1122,0)</x:f>
        <x:v>-0.13333333333333333</x:v>
      </x:c>
      <x:c r="AB1122" s="28" t="n">
        <x:f>J1122-K1122</x:f>
        <x:v>-4</x:v>
      </x:c>
      <x:c r="AC1122" s="32" t="n">
        <x:f>F1122-G1122</x:f>
        <x:v>-2</x:v>
      </x:c>
    </x:row>
    <x:row r="1123">
      <x:c r="A1123" s="4" t="str">
        <x:v>2022-23</x:v>
      </x:c>
      <x:c r="B1123" s="20" t="n">
        <x:v>44940</x:v>
      </x:c>
      <x:c r="C1123" s="4" t="str">
        <x:v>Liverpool</x:v>
      </x:c>
      <x:c r="D1123" s="4" t="str">
        <x:v>Brighton</x:v>
      </x:c>
      <x:c r="E1123" s="4" t="str">
        <x:v>Away</x:v>
      </x:c>
      <x:c r="F1123" s="28" t="n">
        <x:v>0</x:v>
      </x:c>
      <x:c r="G1123" s="28" t="n">
        <x:v>3</x:v>
      </x:c>
      <x:c r="H1123" s="28" t="n">
        <x:v>6</x:v>
      </x:c>
      <x:c r="I1123" s="28" t="n">
        <x:v>16</x:v>
      </x:c>
      <x:c r="J1123" s="28" t="n">
        <x:v>2</x:v>
      </x:c>
      <x:c r="K1123" s="28" t="n">
        <x:v>9</x:v>
      </x:c>
      <x:c r="L1123" s="28" t="n">
        <x:v>1</x:v>
      </x:c>
      <x:c r="M1123" s="28" t="n">
        <x:v>7</x:v>
      </x:c>
      <x:c r="N1123" s="28" t="n">
        <x:v>3</x:v>
      </x:c>
      <x:c r="O1123" s="28" t="n">
        <x:v>0</x:v>
      </x:c>
      <x:c r="P1123" s="28" t="n">
        <x:v>0</x:v>
      </x:c>
      <x:c r="Q1123" s="24" t="n">
        <x:f>IFERROR(J1123/H1123,0)</x:f>
        <x:v>0.3333333333333333</x:v>
      </x:c>
      <x:c r="R1123" s="24" t="n">
        <x:f>IFERROR(F1123/H1123,0)</x:f>
        <x:v>0</x:v>
      </x:c>
      <x:c r="S1123" s="24" t="n">
        <x:f>IFERROR(F1123/J1123,0)</x:f>
        <x:v>0</x:v>
      </x:c>
      <x:c r="T1123" s="28" t="n">
        <x:f>H1123-I1123</x:f>
        <x:v>-10</x:v>
      </x:c>
      <x:c r="U1123" s="24" t="n">
        <x:f>IFERROR(J1123/H1123,0)-IFERROR(K1123/I1123,0)</x:f>
        <x:v>-0.22916666666666669</x:v>
      </x:c>
      <x:c r="V1123" s="24" t="n">
        <x:f>IFERROR(F1123/J1123,0)-IFERROR(G1123/K1123,0)</x:f>
        <x:v>-0.3333333333333333</x:v>
      </x:c>
      <x:c r="W1123" s="28" t="n">
        <x:f>L1123-M1123</x:f>
        <x:v>-6</x:v>
      </x:c>
      <x:c r="X1123" s="24" t="n">
        <x:f>IFERROR(K1123/I1123,0)</x:f>
        <x:v>0.5625</x:v>
      </x:c>
      <x:c r="Y1123" s="24" t="n">
        <x:f>IFERROR(G1123/I1123,0)</x:f>
        <x:v>0.1875</x:v>
      </x:c>
      <x:c r="Z1123" s="24" t="n">
        <x:f>IFERROR(G1123/K1123,0)</x:f>
        <x:v>0.3333333333333333</x:v>
      </x:c>
      <x:c r="AA1123" s="24" t="n">
        <x:f>IFERROR(F1123/H1123,0)-IFERROR(G1123/I1123,0)</x:f>
        <x:v>-0.1875</x:v>
      </x:c>
      <x:c r="AB1123" s="28" t="n">
        <x:f>J1123-K1123</x:f>
        <x:v>-7</x:v>
      </x:c>
      <x:c r="AC1123" s="32" t="n">
        <x:f>F1123-G1123</x:f>
        <x:v>-3</x:v>
      </x:c>
    </x:row>
    <x:row r="1124">
      <x:c r="A1124" s="4" t="str">
        <x:v>2022-23</x:v>
      </x:c>
      <x:c r="B1124" s="20" t="n">
        <x:v>44940</x:v>
      </x:c>
      <x:c r="C1124" s="4" t="str">
        <x:v>Man City</x:v>
      </x:c>
      <x:c r="D1124" s="4" t="str">
        <x:v>Man United</x:v>
      </x:c>
      <x:c r="E1124" s="4" t="str">
        <x:v>Away</x:v>
      </x:c>
      <x:c r="F1124" s="28" t="n">
        <x:v>1</x:v>
      </x:c>
      <x:c r="G1124" s="28" t="n">
        <x:v>2</x:v>
      </x:c>
      <x:c r="H1124" s="28" t="n">
        <x:v>5</x:v>
      </x:c>
      <x:c r="I1124" s="28" t="n">
        <x:v>8</x:v>
      </x:c>
      <x:c r="J1124" s="28" t="n">
        <x:v>1</x:v>
      </x:c>
      <x:c r="K1124" s="28" t="n">
        <x:v>4</x:v>
      </x:c>
      <x:c r="L1124" s="28" t="n">
        <x:v>2</x:v>
      </x:c>
      <x:c r="M1124" s="28" t="n">
        <x:v>1</x:v>
      </x:c>
      <x:c r="N1124" s="28" t="n">
        <x:v>0</x:v>
      </x:c>
      <x:c r="O1124" s="28" t="n">
        <x:v>0</x:v>
      </x:c>
      <x:c r="P1124" s="28" t="n">
        <x:v>0</x:v>
      </x:c>
      <x:c r="Q1124" s="24" t="n">
        <x:f>IFERROR(J1124/H1124,0)</x:f>
        <x:v>0.2</x:v>
      </x:c>
      <x:c r="R1124" s="24" t="n">
        <x:f>IFERROR(F1124/H1124,0)</x:f>
        <x:v>0.2</x:v>
      </x:c>
      <x:c r="S1124" s="24" t="n">
        <x:f>IFERROR(F1124/J1124,0)</x:f>
        <x:v>1</x:v>
      </x:c>
      <x:c r="T1124" s="28" t="n">
        <x:f>H1124-I1124</x:f>
        <x:v>-3</x:v>
      </x:c>
      <x:c r="U1124" s="24" t="n">
        <x:f>IFERROR(J1124/H1124,0)-IFERROR(K1124/I1124,0)</x:f>
        <x:v>-0.3</x:v>
      </x:c>
      <x:c r="V1124" s="24" t="n">
        <x:f>IFERROR(F1124/J1124,0)-IFERROR(G1124/K1124,0)</x:f>
        <x:v>0.5</x:v>
      </x:c>
      <x:c r="W1124" s="28" t="n">
        <x:f>L1124-M1124</x:f>
        <x:v>1</x:v>
      </x:c>
      <x:c r="X1124" s="24" t="n">
        <x:f>IFERROR(K1124/I1124,0)</x:f>
        <x:v>0.5</x:v>
      </x:c>
      <x:c r="Y1124" s="24" t="n">
        <x:f>IFERROR(G1124/I1124,0)</x:f>
        <x:v>0.25</x:v>
      </x:c>
      <x:c r="Z1124" s="24" t="n">
        <x:f>IFERROR(G1124/K1124,0)</x:f>
        <x:v>0.5</x:v>
      </x:c>
      <x:c r="AA1124" s="24" t="n">
        <x:f>IFERROR(F1124/H1124,0)-IFERROR(G1124/I1124,0)</x:f>
        <x:v>-0.04999999999999999</x:v>
      </x:c>
      <x:c r="AB1124" s="28" t="n">
        <x:f>J1124-K1124</x:f>
        <x:v>-3</x:v>
      </x:c>
      <x:c r="AC1124" s="32" t="n">
        <x:f>F1124-G1124</x:f>
        <x:v>-1</x:v>
      </x:c>
    </x:row>
    <x:row r="1125">
      <x:c r="A1125" s="4" t="str">
        <x:v>2022-23</x:v>
      </x:c>
      <x:c r="B1125" s="20" t="n">
        <x:v>44940</x:v>
      </x:c>
      <x:c r="C1125" s="4" t="str">
        <x:v>Man United</x:v>
      </x:c>
      <x:c r="D1125" s="4" t="str">
        <x:v>Man City</x:v>
      </x:c>
      <x:c r="E1125" s="4" t="str">
        <x:v>Home</x:v>
      </x:c>
      <x:c r="F1125" s="28" t="n">
        <x:v>2</x:v>
      </x:c>
      <x:c r="G1125" s="28" t="n">
        <x:v>1</x:v>
      </x:c>
      <x:c r="H1125" s="28" t="n">
        <x:v>8</x:v>
      </x:c>
      <x:c r="I1125" s="28" t="n">
        <x:v>5</x:v>
      </x:c>
      <x:c r="J1125" s="28" t="n">
        <x:v>4</x:v>
      </x:c>
      <x:c r="K1125" s="28" t="n">
        <x:v>1</x:v>
      </x:c>
      <x:c r="L1125" s="28" t="n">
        <x:v>1</x:v>
      </x:c>
      <x:c r="M1125" s="28" t="n">
        <x:v>2</x:v>
      </x:c>
      <x:c r="N1125" s="28" t="n">
        <x:v>3</x:v>
      </x:c>
      <x:c r="O1125" s="28" t="n">
        <x:v>0</x:v>
      </x:c>
      <x:c r="P1125" s="28" t="n">
        <x:v>3</x:v>
      </x:c>
      <x:c r="Q1125" s="24" t="n">
        <x:f>IFERROR(J1125/H1125,0)</x:f>
        <x:v>0.5</x:v>
      </x:c>
      <x:c r="R1125" s="24" t="n">
        <x:f>IFERROR(F1125/H1125,0)</x:f>
        <x:v>0.25</x:v>
      </x:c>
      <x:c r="S1125" s="24" t="n">
        <x:f>IFERROR(F1125/J1125,0)</x:f>
        <x:v>0.5</x:v>
      </x:c>
      <x:c r="T1125" s="28" t="n">
        <x:f>H1125-I1125</x:f>
        <x:v>3</x:v>
      </x:c>
      <x:c r="U1125" s="24" t="n">
        <x:f>IFERROR(J1125/H1125,0)-IFERROR(K1125/I1125,0)</x:f>
        <x:v>0.3</x:v>
      </x:c>
      <x:c r="V1125" s="24" t="n">
        <x:f>IFERROR(F1125/J1125,0)-IFERROR(G1125/K1125,0)</x:f>
        <x:v>-0.5</x:v>
      </x:c>
      <x:c r="W1125" s="28" t="n">
        <x:f>L1125-M1125</x:f>
        <x:v>-1</x:v>
      </x:c>
      <x:c r="X1125" s="24" t="n">
        <x:f>IFERROR(K1125/I1125,0)</x:f>
        <x:v>0.2</x:v>
      </x:c>
      <x:c r="Y1125" s="24" t="n">
        <x:f>IFERROR(G1125/I1125,0)</x:f>
        <x:v>0.2</x:v>
      </x:c>
      <x:c r="Z1125" s="24" t="n">
        <x:f>IFERROR(G1125/K1125,0)</x:f>
        <x:v>1</x:v>
      </x:c>
      <x:c r="AA1125" s="24" t="n">
        <x:f>IFERROR(F1125/H1125,0)-IFERROR(G1125/I1125,0)</x:f>
        <x:v>0.04999999999999999</x:v>
      </x:c>
      <x:c r="AB1125" s="28" t="n">
        <x:f>J1125-K1125</x:f>
        <x:v>3</x:v>
      </x:c>
      <x:c r="AC1125" s="32" t="n">
        <x:f>F1125-G1125</x:f>
        <x:v>1</x:v>
      </x:c>
    </x:row>
    <x:row r="1126">
      <x:c r="A1126" s="4" t="str">
        <x:v>2022-23</x:v>
      </x:c>
      <x:c r="B1126" s="20" t="n">
        <x:v>44940</x:v>
      </x:c>
      <x:c r="C1126" s="4" t="str">
        <x:v>Nott'm Forest</x:v>
      </x:c>
      <x:c r="D1126" s="4" t="str">
        <x:v>Leicester</x:v>
      </x:c>
      <x:c r="E1126" s="4" t="str">
        <x:v>Home</x:v>
      </x:c>
      <x:c r="F1126" s="28" t="n">
        <x:v>2</x:v>
      </x:c>
      <x:c r="G1126" s="28" t="n">
        <x:v>0</x:v>
      </x:c>
      <x:c r="H1126" s="28" t="n">
        <x:v>15</x:v>
      </x:c>
      <x:c r="I1126" s="28" t="n">
        <x:v>6</x:v>
      </x:c>
      <x:c r="J1126" s="28" t="n">
        <x:v>5</x:v>
      </x:c>
      <x:c r="K1126" s="28" t="n">
        <x:v>1</x:v>
      </x:c>
      <x:c r="L1126" s="28" t="n">
        <x:v>3</x:v>
      </x:c>
      <x:c r="M1126" s="28" t="n">
        <x:v>5</x:v>
      </x:c>
      <x:c r="N1126" s="28" t="n">
        <x:v>1</x:v>
      </x:c>
      <x:c r="O1126" s="28" t="n">
        <x:v>0</x:v>
      </x:c>
      <x:c r="P1126" s="28" t="n">
        <x:v>3</x:v>
      </x:c>
      <x:c r="Q1126" s="24" t="n">
        <x:f>IFERROR(J1126/H1126,0)</x:f>
        <x:v>0.3333333333333333</x:v>
      </x:c>
      <x:c r="R1126" s="24" t="n">
        <x:f>IFERROR(F1126/H1126,0)</x:f>
        <x:v>0.13333333333333333</x:v>
      </x:c>
      <x:c r="S1126" s="24" t="n">
        <x:f>IFERROR(F1126/J1126,0)</x:f>
        <x:v>0.4</x:v>
      </x:c>
      <x:c r="T1126" s="28" t="n">
        <x:f>H1126-I1126</x:f>
        <x:v>9</x:v>
      </x:c>
      <x:c r="U1126" s="24" t="n">
        <x:f>IFERROR(J1126/H1126,0)-IFERROR(K1126/I1126,0)</x:f>
        <x:v>0.16666666666666666</x:v>
      </x:c>
      <x:c r="V1126" s="24" t="n">
        <x:f>IFERROR(F1126/J1126,0)-IFERROR(G1126/K1126,0)</x:f>
        <x:v>0.4</x:v>
      </x:c>
      <x:c r="W1126" s="28" t="n">
        <x:f>L1126-M1126</x:f>
        <x:v>-2</x:v>
      </x:c>
      <x:c r="X1126" s="24" t="n">
        <x:f>IFERROR(K1126/I1126,0)</x:f>
        <x:v>0.16666666666666666</x:v>
      </x:c>
      <x:c r="Y1126" s="24" t="n">
        <x:f>IFERROR(G1126/I1126,0)</x:f>
        <x:v>0</x:v>
      </x:c>
      <x:c r="Z1126" s="24" t="n">
        <x:f>IFERROR(G1126/K1126,0)</x:f>
        <x:v>0</x:v>
      </x:c>
      <x:c r="AA1126" s="24" t="n">
        <x:f>IFERROR(F1126/H1126,0)-IFERROR(G1126/I1126,0)</x:f>
        <x:v>0.13333333333333333</x:v>
      </x:c>
      <x:c r="AB1126" s="28" t="n">
        <x:f>J1126-K1126</x:f>
        <x:v>4</x:v>
      </x:c>
      <x:c r="AC1126" s="32" t="n">
        <x:f>F1126-G1126</x:f>
        <x:v>2</x:v>
      </x:c>
    </x:row>
    <x:row r="1127">
      <x:c r="A1127" s="4" t="str">
        <x:v>2022-23</x:v>
      </x:c>
      <x:c r="B1127" s="20" t="n">
        <x:v>44940</x:v>
      </x:c>
      <x:c r="C1127" s="4" t="str">
        <x:v>Southampton</x:v>
      </x:c>
      <x:c r="D1127" s="4" t="str">
        <x:v>Everton</x:v>
      </x:c>
      <x:c r="E1127" s="4" t="str">
        <x:v>Away</x:v>
      </x:c>
      <x:c r="F1127" s="28" t="n">
        <x:v>2</x:v>
      </x:c>
      <x:c r="G1127" s="28" t="n">
        <x:v>1</x:v>
      </x:c>
      <x:c r="H1127" s="28" t="n">
        <x:v>13</x:v>
      </x:c>
      <x:c r="I1127" s="28" t="n">
        <x:v>12</x:v>
      </x:c>
      <x:c r="J1127" s="28" t="n">
        <x:v>5</x:v>
      </x:c>
      <x:c r="K1127" s="28" t="n">
        <x:v>4</x:v>
      </x:c>
      <x:c r="L1127" s="28" t="n">
        <x:v>4</x:v>
      </x:c>
      <x:c r="M1127" s="28" t="n">
        <x:v>6</x:v>
      </x:c>
      <x:c r="N1127" s="28" t="n">
        <x:v>3</x:v>
      </x:c>
      <x:c r="O1127" s="28" t="n">
        <x:v>0</x:v>
      </x:c>
      <x:c r="P1127" s="28" t="n">
        <x:v>3</x:v>
      </x:c>
      <x:c r="Q1127" s="24" t="n">
        <x:f>IFERROR(J1127/H1127,0)</x:f>
        <x:v>0.38461538461538464</x:v>
      </x:c>
      <x:c r="R1127" s="24" t="n">
        <x:f>IFERROR(F1127/H1127,0)</x:f>
        <x:v>0.15384615384615385</x:v>
      </x:c>
      <x:c r="S1127" s="24" t="n">
        <x:f>IFERROR(F1127/J1127,0)</x:f>
        <x:v>0.4</x:v>
      </x:c>
      <x:c r="T1127" s="28" t="n">
        <x:f>H1127-I1127</x:f>
        <x:v>1</x:v>
      </x:c>
      <x:c r="U1127" s="24" t="n">
        <x:f>IFERROR(J1127/H1127,0)-IFERROR(K1127/I1127,0)</x:f>
        <x:v>0.05128205128205132</x:v>
      </x:c>
      <x:c r="V1127" s="24" t="n">
        <x:f>IFERROR(F1127/J1127,0)-IFERROR(G1127/K1127,0)</x:f>
        <x:v>0.15000000000000002</x:v>
      </x:c>
      <x:c r="W1127" s="28" t="n">
        <x:f>L1127-M1127</x:f>
        <x:v>-2</x:v>
      </x:c>
      <x:c r="X1127" s="24" t="n">
        <x:f>IFERROR(K1127/I1127,0)</x:f>
        <x:v>0.3333333333333333</x:v>
      </x:c>
      <x:c r="Y1127" s="24" t="n">
        <x:f>IFERROR(G1127/I1127,0)</x:f>
        <x:v>0.08333333333333333</x:v>
      </x:c>
      <x:c r="Z1127" s="24" t="n">
        <x:f>IFERROR(G1127/K1127,0)</x:f>
        <x:v>0.25</x:v>
      </x:c>
      <x:c r="AA1127" s="24" t="n">
        <x:f>IFERROR(F1127/H1127,0)-IFERROR(G1127/I1127,0)</x:f>
        <x:v>0.07051282051282053</x:v>
      </x:c>
      <x:c r="AB1127" s="28" t="n">
        <x:f>J1127-K1127</x:f>
        <x:v>1</x:v>
      </x:c>
      <x:c r="AC1127" s="32" t="n">
        <x:f>F1127-G1127</x:f>
        <x:v>1</x:v>
      </x:c>
    </x:row>
    <x:row r="1128">
      <x:c r="A1128" s="4" t="str">
        <x:v>2022-23</x:v>
      </x:c>
      <x:c r="B1128" s="20" t="n">
        <x:v>44940</x:v>
      </x:c>
      <x:c r="C1128" s="4" t="str">
        <x:v>West Ham</x:v>
      </x:c>
      <x:c r="D1128" s="4" t="str">
        <x:v>Wolves</x:v>
      </x:c>
      <x:c r="E1128" s="4" t="str">
        <x:v>Away</x:v>
      </x:c>
      <x:c r="F1128" s="28" t="n">
        <x:v>0</x:v>
      </x:c>
      <x:c r="G1128" s="28" t="n">
        <x:v>1</x:v>
      </x:c>
      <x:c r="H1128" s="28" t="n">
        <x:v>16</x:v>
      </x:c>
      <x:c r="I1128" s="28" t="n">
        <x:v>17</x:v>
      </x:c>
      <x:c r="J1128" s="28" t="n">
        <x:v>4</x:v>
      </x:c>
      <x:c r="K1128" s="28" t="n">
        <x:v>4</x:v>
      </x:c>
      <x:c r="L1128" s="28" t="n">
        <x:v>3</x:v>
      </x:c>
      <x:c r="M1128" s="28" t="n">
        <x:v>4</x:v>
      </x:c>
      <x:c r="N1128" s="28" t="n">
        <x:v>2</x:v>
      </x:c>
      <x:c r="O1128" s="28" t="n">
        <x:v>0</x:v>
      </x:c>
      <x:c r="P1128" s="28" t="n">
        <x:v>0</x:v>
      </x:c>
      <x:c r="Q1128" s="24" t="n">
        <x:f>IFERROR(J1128/H1128,0)</x:f>
        <x:v>0.25</x:v>
      </x:c>
      <x:c r="R1128" s="24" t="n">
        <x:f>IFERROR(F1128/H1128,0)</x:f>
        <x:v>0</x:v>
      </x:c>
      <x:c r="S1128" s="24" t="n">
        <x:f>IFERROR(F1128/J1128,0)</x:f>
        <x:v>0</x:v>
      </x:c>
      <x:c r="T1128" s="28" t="n">
        <x:f>H1128-I1128</x:f>
        <x:v>-1</x:v>
      </x:c>
      <x:c r="U1128" s="24" t="n">
        <x:f>IFERROR(J1128/H1128,0)-IFERROR(K1128/I1128,0)</x:f>
        <x:v>0.01470588235294118</x:v>
      </x:c>
      <x:c r="V1128" s="24" t="n">
        <x:f>IFERROR(F1128/J1128,0)-IFERROR(G1128/K1128,0)</x:f>
        <x:v>-0.25</x:v>
      </x:c>
      <x:c r="W1128" s="28" t="n">
        <x:f>L1128-M1128</x:f>
        <x:v>-1</x:v>
      </x:c>
      <x:c r="X1128" s="24" t="n">
        <x:f>IFERROR(K1128/I1128,0)</x:f>
        <x:v>0.23529411764705882</x:v>
      </x:c>
      <x:c r="Y1128" s="24" t="n">
        <x:f>IFERROR(G1128/I1128,0)</x:f>
        <x:v>0.058823529411764705</x:v>
      </x:c>
      <x:c r="Z1128" s="24" t="n">
        <x:f>IFERROR(G1128/K1128,0)</x:f>
        <x:v>0.25</x:v>
      </x:c>
      <x:c r="AA1128" s="24" t="n">
        <x:f>IFERROR(F1128/H1128,0)-IFERROR(G1128/I1128,0)</x:f>
        <x:v>-0.058823529411764705</x:v>
      </x:c>
      <x:c r="AB1128" s="28" t="n">
        <x:f>J1128-K1128</x:f>
        <x:v>0</x:v>
      </x:c>
      <x:c r="AC1128" s="32" t="n">
        <x:f>F1128-G1128</x:f>
        <x:v>-1</x:v>
      </x:c>
    </x:row>
    <x:row r="1129">
      <x:c r="A1129" s="4" t="str">
        <x:v>2022-23</x:v>
      </x:c>
      <x:c r="B1129" s="20" t="n">
        <x:v>44940</x:v>
      </x:c>
      <x:c r="C1129" s="4" t="str">
        <x:v>Wolves</x:v>
      </x:c>
      <x:c r="D1129" s="4" t="str">
        <x:v>West Ham</x:v>
      </x:c>
      <x:c r="E1129" s="4" t="str">
        <x:v>Home</x:v>
      </x:c>
      <x:c r="F1129" s="28" t="n">
        <x:v>1</x:v>
      </x:c>
      <x:c r="G1129" s="28" t="n">
        <x:v>0</x:v>
      </x:c>
      <x:c r="H1129" s="28" t="n">
        <x:v>17</x:v>
      </x:c>
      <x:c r="I1129" s="28" t="n">
        <x:v>16</x:v>
      </x:c>
      <x:c r="J1129" s="28" t="n">
        <x:v>4</x:v>
      </x:c>
      <x:c r="K1129" s="28" t="n">
        <x:v>4</x:v>
      </x:c>
      <x:c r="L1129" s="28" t="n">
        <x:v>4</x:v>
      </x:c>
      <x:c r="M1129" s="28" t="n">
        <x:v>3</x:v>
      </x:c>
      <x:c r="N1129" s="28" t="n">
        <x:v>0</x:v>
      </x:c>
      <x:c r="O1129" s="28" t="n">
        <x:v>0</x:v>
      </x:c>
      <x:c r="P1129" s="28" t="n">
        <x:v>3</x:v>
      </x:c>
      <x:c r="Q1129" s="24" t="n">
        <x:f>IFERROR(J1129/H1129,0)</x:f>
        <x:v>0.23529411764705882</x:v>
      </x:c>
      <x:c r="R1129" s="24" t="n">
        <x:f>IFERROR(F1129/H1129,0)</x:f>
        <x:v>0.058823529411764705</x:v>
      </x:c>
      <x:c r="S1129" s="24" t="n">
        <x:f>IFERROR(F1129/J1129,0)</x:f>
        <x:v>0.25</x:v>
      </x:c>
      <x:c r="T1129" s="28" t="n">
        <x:f>H1129-I1129</x:f>
        <x:v>1</x:v>
      </x:c>
      <x:c r="U1129" s="24" t="n">
        <x:f>IFERROR(J1129/H1129,0)-IFERROR(K1129/I1129,0)</x:f>
        <x:v>-0.01470588235294118</x:v>
      </x:c>
      <x:c r="V1129" s="24" t="n">
        <x:f>IFERROR(F1129/J1129,0)-IFERROR(G1129/K1129,0)</x:f>
        <x:v>0.25</x:v>
      </x:c>
      <x:c r="W1129" s="28" t="n">
        <x:f>L1129-M1129</x:f>
        <x:v>1</x:v>
      </x:c>
      <x:c r="X1129" s="24" t="n">
        <x:f>IFERROR(K1129/I1129,0)</x:f>
        <x:v>0.25</x:v>
      </x:c>
      <x:c r="Y1129" s="24" t="n">
        <x:f>IFERROR(G1129/I1129,0)</x:f>
        <x:v>0</x:v>
      </x:c>
      <x:c r="Z1129" s="24" t="n">
        <x:f>IFERROR(G1129/K1129,0)</x:f>
        <x:v>0</x:v>
      </x:c>
      <x:c r="AA1129" s="24" t="n">
        <x:f>IFERROR(F1129/H1129,0)-IFERROR(G1129/I1129,0)</x:f>
        <x:v>0.058823529411764705</x:v>
      </x:c>
      <x:c r="AB1129" s="28" t="n">
        <x:f>J1129-K1129</x:f>
        <x:v>0</x:v>
      </x:c>
      <x:c r="AC1129" s="32" t="n">
        <x:f>F1129-G1129</x:f>
        <x:v>1</x:v>
      </x:c>
    </x:row>
    <x:row r="1130">
      <x:c r="A1130" s="4" t="str">
        <x:v>2022-23</x:v>
      </x:c>
      <x:c r="B1130" s="20" t="n">
        <x:v>44941</x:v>
      </x:c>
      <x:c r="C1130" s="4" t="str">
        <x:v>Arsenal</x:v>
      </x:c>
      <x:c r="D1130" s="4" t="str">
        <x:v>Tottenham</x:v>
      </x:c>
      <x:c r="E1130" s="4" t="str">
        <x:v>Away</x:v>
      </x:c>
      <x:c r="F1130" s="28" t="n">
        <x:v>2</x:v>
      </x:c>
      <x:c r="G1130" s="28" t="n">
        <x:v>0</x:v>
      </x:c>
      <x:c r="H1130" s="28" t="n">
        <x:v>14</x:v>
      </x:c>
      <x:c r="I1130" s="28" t="n">
        <x:v>17</x:v>
      </x:c>
      <x:c r="J1130" s="28" t="n">
        <x:v>5</x:v>
      </x:c>
      <x:c r="K1130" s="28" t="n">
        <x:v>7</x:v>
      </x:c>
      <x:c r="L1130" s="28" t="n">
        <x:v>3</x:v>
      </x:c>
      <x:c r="M1130" s="28" t="n">
        <x:v>4</x:v>
      </x:c>
      <x:c r="N1130" s="28" t="n">
        <x:v>2</x:v>
      </x:c>
      <x:c r="O1130" s="28" t="n">
        <x:v>0</x:v>
      </x:c>
      <x:c r="P1130" s="28" t="n">
        <x:v>3</x:v>
      </x:c>
      <x:c r="Q1130" s="24" t="n">
        <x:f>IFERROR(J1130/H1130,0)</x:f>
        <x:v>0.35714285714285715</x:v>
      </x:c>
      <x:c r="R1130" s="24" t="n">
        <x:f>IFERROR(F1130/H1130,0)</x:f>
        <x:v>0.14285714285714285</x:v>
      </x:c>
      <x:c r="S1130" s="24" t="n">
        <x:f>IFERROR(F1130/J1130,0)</x:f>
        <x:v>0.4</x:v>
      </x:c>
      <x:c r="T1130" s="28" t="n">
        <x:f>H1130-I1130</x:f>
        <x:v>-3</x:v>
      </x:c>
      <x:c r="U1130" s="24" t="n">
        <x:f>IFERROR(J1130/H1130,0)-IFERROR(K1130/I1130,0)</x:f>
        <x:v>-0.05462184873949577</x:v>
      </x:c>
      <x:c r="V1130" s="24" t="n">
        <x:f>IFERROR(F1130/J1130,0)-IFERROR(G1130/K1130,0)</x:f>
        <x:v>0.4</x:v>
      </x:c>
      <x:c r="W1130" s="28" t="n">
        <x:f>L1130-M1130</x:f>
        <x:v>-1</x:v>
      </x:c>
      <x:c r="X1130" s="24" t="n">
        <x:f>IFERROR(K1130/I1130,0)</x:f>
        <x:v>0.4117647058823529</x:v>
      </x:c>
      <x:c r="Y1130" s="24" t="n">
        <x:f>IFERROR(G1130/I1130,0)</x:f>
        <x:v>0</x:v>
      </x:c>
      <x:c r="Z1130" s="24" t="n">
        <x:f>IFERROR(G1130/K1130,0)</x:f>
        <x:v>0</x:v>
      </x:c>
      <x:c r="AA1130" s="24" t="n">
        <x:f>IFERROR(F1130/H1130,0)-IFERROR(G1130/I1130,0)</x:f>
        <x:v>0.14285714285714285</x:v>
      </x:c>
      <x:c r="AB1130" s="28" t="n">
        <x:f>J1130-K1130</x:f>
        <x:v>-2</x:v>
      </x:c>
      <x:c r="AC1130" s="32" t="n">
        <x:f>F1130-G1130</x:f>
        <x:v>2</x:v>
      </x:c>
    </x:row>
    <x:row r="1131">
      <x:c r="A1131" s="4" t="str">
        <x:v>2022-23</x:v>
      </x:c>
      <x:c r="B1131" s="20" t="n">
        <x:v>44941</x:v>
      </x:c>
      <x:c r="C1131" s="4" t="str">
        <x:v>Chelsea</x:v>
      </x:c>
      <x:c r="D1131" s="4" t="str">
        <x:v>Crystal Palace</x:v>
      </x:c>
      <x:c r="E1131" s="4" t="str">
        <x:v>Home</x:v>
      </x:c>
      <x:c r="F1131" s="28" t="n">
        <x:v>1</x:v>
      </x:c>
      <x:c r="G1131" s="28" t="n">
        <x:v>0</x:v>
      </x:c>
      <x:c r="H1131" s="28" t="n">
        <x:v>15</x:v>
      </x:c>
      <x:c r="I1131" s="28" t="n">
        <x:v>10</x:v>
      </x:c>
      <x:c r="J1131" s="28" t="n">
        <x:v>5</x:v>
      </x:c>
      <x:c r="K1131" s="28" t="n">
        <x:v>5</x:v>
      </x:c>
      <x:c r="L1131" s="28" t="n">
        <x:v>11</x:v>
      </x:c>
      <x:c r="M1131" s="28" t="n">
        <x:v>7</x:v>
      </x:c>
      <x:c r="N1131" s="28" t="n">
        <x:v>2</x:v>
      </x:c>
      <x:c r="O1131" s="28" t="n">
        <x:v>0</x:v>
      </x:c>
      <x:c r="P1131" s="28" t="n">
        <x:v>3</x:v>
      </x:c>
      <x:c r="Q1131" s="24" t="n">
        <x:f>IFERROR(J1131/H1131,0)</x:f>
        <x:v>0.3333333333333333</x:v>
      </x:c>
      <x:c r="R1131" s="24" t="n">
        <x:f>IFERROR(F1131/H1131,0)</x:f>
        <x:v>0.06666666666666667</x:v>
      </x:c>
      <x:c r="S1131" s="24" t="n">
        <x:f>IFERROR(F1131/J1131,0)</x:f>
        <x:v>0.2</x:v>
      </x:c>
      <x:c r="T1131" s="28" t="n">
        <x:f>H1131-I1131</x:f>
        <x:v>5</x:v>
      </x:c>
      <x:c r="U1131" s="24" t="n">
        <x:f>IFERROR(J1131/H1131,0)-IFERROR(K1131/I1131,0)</x:f>
        <x:v>-0.16666666666666669</x:v>
      </x:c>
      <x:c r="V1131" s="24" t="n">
        <x:f>IFERROR(F1131/J1131,0)-IFERROR(G1131/K1131,0)</x:f>
        <x:v>0.2</x:v>
      </x:c>
      <x:c r="W1131" s="28" t="n">
        <x:f>L1131-M1131</x:f>
        <x:v>4</x:v>
      </x:c>
      <x:c r="X1131" s="24" t="n">
        <x:f>IFERROR(K1131/I1131,0)</x:f>
        <x:v>0.5</x:v>
      </x:c>
      <x:c r="Y1131" s="24" t="n">
        <x:f>IFERROR(G1131/I1131,0)</x:f>
        <x:v>0</x:v>
      </x:c>
      <x:c r="Z1131" s="24" t="n">
        <x:f>IFERROR(G1131/K1131,0)</x:f>
        <x:v>0</x:v>
      </x:c>
      <x:c r="AA1131" s="24" t="n">
        <x:f>IFERROR(F1131/H1131,0)-IFERROR(G1131/I1131,0)</x:f>
        <x:v>0.06666666666666667</x:v>
      </x:c>
      <x:c r="AB1131" s="28" t="n">
        <x:f>J1131-K1131</x:f>
        <x:v>0</x:v>
      </x:c>
      <x:c r="AC1131" s="32" t="n">
        <x:f>F1131-G1131</x:f>
        <x:v>1</x:v>
      </x:c>
    </x:row>
    <x:row r="1132">
      <x:c r="A1132" s="4" t="str">
        <x:v>2022-23</x:v>
      </x:c>
      <x:c r="B1132" s="20" t="n">
        <x:v>44941</x:v>
      </x:c>
      <x:c r="C1132" s="4" t="str">
        <x:v>Crystal Palace</x:v>
      </x:c>
      <x:c r="D1132" s="4" t="str">
        <x:v>Chelsea</x:v>
      </x:c>
      <x:c r="E1132" s="4" t="str">
        <x:v>Away</x:v>
      </x:c>
      <x:c r="F1132" s="28" t="n">
        <x:v>0</x:v>
      </x:c>
      <x:c r="G1132" s="28" t="n">
        <x:v>1</x:v>
      </x:c>
      <x:c r="H1132" s="28" t="n">
        <x:v>10</x:v>
      </x:c>
      <x:c r="I1132" s="28" t="n">
        <x:v>15</x:v>
      </x:c>
      <x:c r="J1132" s="28" t="n">
        <x:v>5</x:v>
      </x:c>
      <x:c r="K1132" s="28" t="n">
        <x:v>5</x:v>
      </x:c>
      <x:c r="L1132" s="28" t="n">
        <x:v>7</x:v>
      </x:c>
      <x:c r="M1132" s="28" t="n">
        <x:v>11</x:v>
      </x:c>
      <x:c r="N1132" s="28" t="n">
        <x:v>5</x:v>
      </x:c>
      <x:c r="O1132" s="28" t="n">
        <x:v>0</x:v>
      </x:c>
      <x:c r="P1132" s="28" t="n">
        <x:v>0</x:v>
      </x:c>
      <x:c r="Q1132" s="24" t="n">
        <x:f>IFERROR(J1132/H1132,0)</x:f>
        <x:v>0.5</x:v>
      </x:c>
      <x:c r="R1132" s="24" t="n">
        <x:f>IFERROR(F1132/H1132,0)</x:f>
        <x:v>0</x:v>
      </x:c>
      <x:c r="S1132" s="24" t="n">
        <x:f>IFERROR(F1132/J1132,0)</x:f>
        <x:v>0</x:v>
      </x:c>
      <x:c r="T1132" s="28" t="n">
        <x:f>H1132-I1132</x:f>
        <x:v>-5</x:v>
      </x:c>
      <x:c r="U1132" s="24" t="n">
        <x:f>IFERROR(J1132/H1132,0)-IFERROR(K1132/I1132,0)</x:f>
        <x:v>0.16666666666666669</x:v>
      </x:c>
      <x:c r="V1132" s="24" t="n">
        <x:f>IFERROR(F1132/J1132,0)-IFERROR(G1132/K1132,0)</x:f>
        <x:v>-0.2</x:v>
      </x:c>
      <x:c r="W1132" s="28" t="n">
        <x:f>L1132-M1132</x:f>
        <x:v>-4</x:v>
      </x:c>
      <x:c r="X1132" s="24" t="n">
        <x:f>IFERROR(K1132/I1132,0)</x:f>
        <x:v>0.3333333333333333</x:v>
      </x:c>
      <x:c r="Y1132" s="24" t="n">
        <x:f>IFERROR(G1132/I1132,0)</x:f>
        <x:v>0.06666666666666667</x:v>
      </x:c>
      <x:c r="Z1132" s="24" t="n">
        <x:f>IFERROR(G1132/K1132,0)</x:f>
        <x:v>0.2</x:v>
      </x:c>
      <x:c r="AA1132" s="24" t="n">
        <x:f>IFERROR(F1132/H1132,0)-IFERROR(G1132/I1132,0)</x:f>
        <x:v>-0.06666666666666667</x:v>
      </x:c>
      <x:c r="AB1132" s="28" t="n">
        <x:f>J1132-K1132</x:f>
        <x:v>0</x:v>
      </x:c>
      <x:c r="AC1132" s="32" t="n">
        <x:f>F1132-G1132</x:f>
        <x:v>-1</x:v>
      </x:c>
    </x:row>
    <x:row r="1133">
      <x:c r="A1133" s="4" t="str">
        <x:v>2022-23</x:v>
      </x:c>
      <x:c r="B1133" s="20" t="n">
        <x:v>44941</x:v>
      </x:c>
      <x:c r="C1133" s="4" t="str">
        <x:v>Fulham</x:v>
      </x:c>
      <x:c r="D1133" s="4" t="str">
        <x:v>Newcastle</x:v>
      </x:c>
      <x:c r="E1133" s="4" t="str">
        <x:v>Away</x:v>
      </x:c>
      <x:c r="F1133" s="28" t="n">
        <x:v>0</x:v>
      </x:c>
      <x:c r="G1133" s="28" t="n">
        <x:v>1</x:v>
      </x:c>
      <x:c r="H1133" s="28" t="n">
        <x:v>5</x:v>
      </x:c>
      <x:c r="I1133" s="28" t="n">
        <x:v>20</x:v>
      </x:c>
      <x:c r="J1133" s="28" t="n">
        <x:v>0</x:v>
      </x:c>
      <x:c r="K1133" s="28" t="n">
        <x:v>5</x:v>
      </x:c>
      <x:c r="L1133" s="28" t="n">
        <x:v>5</x:v>
      </x:c>
      <x:c r="M1133" s="28" t="n">
        <x:v>10</x:v>
      </x:c>
      <x:c r="N1133" s="28" t="n">
        <x:v>3</x:v>
      </x:c>
      <x:c r="O1133" s="28" t="n">
        <x:v>0</x:v>
      </x:c>
      <x:c r="P1133" s="28" t="n">
        <x:v>0</x:v>
      </x:c>
      <x:c r="Q1133" s="24" t="n">
        <x:f>IFERROR(J1133/H1133,0)</x:f>
        <x:v>0</x:v>
      </x:c>
      <x:c r="R1133" s="24" t="n">
        <x:f>IFERROR(F1133/H1133,0)</x:f>
        <x:v>0</x:v>
      </x:c>
      <x:c r="S1133" s="24" t="n">
        <x:f>IFERROR(F1133/J1133,0)</x:f>
        <x:v>0</x:v>
      </x:c>
      <x:c r="T1133" s="28" t="n">
        <x:f>H1133-I1133</x:f>
        <x:v>-15</x:v>
      </x:c>
      <x:c r="U1133" s="24" t="n">
        <x:f>IFERROR(J1133/H1133,0)-IFERROR(K1133/I1133,0)</x:f>
        <x:v>-0.25</x:v>
      </x:c>
      <x:c r="V1133" s="24" t="n">
        <x:f>IFERROR(F1133/J1133,0)-IFERROR(G1133/K1133,0)</x:f>
        <x:v>-0.2</x:v>
      </x:c>
      <x:c r="W1133" s="28" t="n">
        <x:f>L1133-M1133</x:f>
        <x:v>-5</x:v>
      </x:c>
      <x:c r="X1133" s="24" t="n">
        <x:f>IFERROR(K1133/I1133,0)</x:f>
        <x:v>0.25</x:v>
      </x:c>
      <x:c r="Y1133" s="24" t="n">
        <x:f>IFERROR(G1133/I1133,0)</x:f>
        <x:v>0.05</x:v>
      </x:c>
      <x:c r="Z1133" s="24" t="n">
        <x:f>IFERROR(G1133/K1133,0)</x:f>
        <x:v>0.2</x:v>
      </x:c>
      <x:c r="AA1133" s="24" t="n">
        <x:f>IFERROR(F1133/H1133,0)-IFERROR(G1133/I1133,0)</x:f>
        <x:v>-0.05</x:v>
      </x:c>
      <x:c r="AB1133" s="28" t="n">
        <x:f>J1133-K1133</x:f>
        <x:v>-5</x:v>
      </x:c>
      <x:c r="AC1133" s="32" t="n">
        <x:f>F1133-G1133</x:f>
        <x:v>-1</x:v>
      </x:c>
    </x:row>
    <x:row r="1134">
      <x:c r="A1134" s="4" t="str">
        <x:v>2022-23</x:v>
      </x:c>
      <x:c r="B1134" s="20" t="n">
        <x:v>44941</x:v>
      </x:c>
      <x:c r="C1134" s="4" t="str">
        <x:v>Newcastle</x:v>
      </x:c>
      <x:c r="D1134" s="4" t="str">
        <x:v>Fulham</x:v>
      </x:c>
      <x:c r="E1134" s="4" t="str">
        <x:v>Home</x:v>
      </x:c>
      <x:c r="F1134" s="28" t="n">
        <x:v>1</x:v>
      </x:c>
      <x:c r="G1134" s="28" t="n">
        <x:v>0</x:v>
      </x:c>
      <x:c r="H1134" s="28" t="n">
        <x:v>20</x:v>
      </x:c>
      <x:c r="I1134" s="28" t="n">
        <x:v>5</x:v>
      </x:c>
      <x:c r="J1134" s="28" t="n">
        <x:v>5</x:v>
      </x:c>
      <x:c r="K1134" s="28" t="n">
        <x:v>0</x:v>
      </x:c>
      <x:c r="L1134" s="28" t="n">
        <x:v>10</x:v>
      </x:c>
      <x:c r="M1134" s="28" t="n">
        <x:v>5</x:v>
      </x:c>
      <x:c r="N1134" s="28" t="n">
        <x:v>1</x:v>
      </x:c>
      <x:c r="O1134" s="28" t="n">
        <x:v>0</x:v>
      </x:c>
      <x:c r="P1134" s="28" t="n">
        <x:v>3</x:v>
      </x:c>
      <x:c r="Q1134" s="24" t="n">
        <x:f>IFERROR(J1134/H1134,0)</x:f>
        <x:v>0.25</x:v>
      </x:c>
      <x:c r="R1134" s="24" t="n">
        <x:f>IFERROR(F1134/H1134,0)</x:f>
        <x:v>0.05</x:v>
      </x:c>
      <x:c r="S1134" s="24" t="n">
        <x:f>IFERROR(F1134/J1134,0)</x:f>
        <x:v>0.2</x:v>
      </x:c>
      <x:c r="T1134" s="28" t="n">
        <x:f>H1134-I1134</x:f>
        <x:v>15</x:v>
      </x:c>
      <x:c r="U1134" s="24" t="n">
        <x:f>IFERROR(J1134/H1134,0)-IFERROR(K1134/I1134,0)</x:f>
        <x:v>0.25</x:v>
      </x:c>
      <x:c r="V1134" s="24" t="n">
        <x:f>IFERROR(F1134/J1134,0)-IFERROR(G1134/K1134,0)</x:f>
        <x:v>0.2</x:v>
      </x:c>
      <x:c r="W1134" s="28" t="n">
        <x:f>L1134-M1134</x:f>
        <x:v>5</x:v>
      </x:c>
      <x:c r="X1134" s="24" t="n">
        <x:f>IFERROR(K1134/I1134,0)</x:f>
        <x:v>0</x:v>
      </x:c>
      <x:c r="Y1134" s="24" t="n">
        <x:f>IFERROR(G1134/I1134,0)</x:f>
        <x:v>0</x:v>
      </x:c>
      <x:c r="Z1134" s="24" t="n">
        <x:f>IFERROR(G1134/K1134,0)</x:f>
        <x:v>0</x:v>
      </x:c>
      <x:c r="AA1134" s="24" t="n">
        <x:f>IFERROR(F1134/H1134,0)-IFERROR(G1134/I1134,0)</x:f>
        <x:v>0.05</x:v>
      </x:c>
      <x:c r="AB1134" s="28" t="n">
        <x:f>J1134-K1134</x:f>
        <x:v>5</x:v>
      </x:c>
      <x:c r="AC1134" s="32" t="n">
        <x:f>F1134-G1134</x:f>
        <x:v>1</x:v>
      </x:c>
    </x:row>
    <x:row r="1135">
      <x:c r="A1135" s="4" t="str">
        <x:v>2022-23</x:v>
      </x:c>
      <x:c r="B1135" s="20" t="n">
        <x:v>44941</x:v>
      </x:c>
      <x:c r="C1135" s="4" t="str">
        <x:v>Tottenham</x:v>
      </x:c>
      <x:c r="D1135" s="4" t="str">
        <x:v>Arsenal</x:v>
      </x:c>
      <x:c r="E1135" s="4" t="str">
        <x:v>Home</x:v>
      </x:c>
      <x:c r="F1135" s="28" t="n">
        <x:v>0</x:v>
      </x:c>
      <x:c r="G1135" s="28" t="n">
        <x:v>2</x:v>
      </x:c>
      <x:c r="H1135" s="28" t="n">
        <x:v>17</x:v>
      </x:c>
      <x:c r="I1135" s="28" t="n">
        <x:v>14</x:v>
      </x:c>
      <x:c r="J1135" s="28" t="n">
        <x:v>7</x:v>
      </x:c>
      <x:c r="K1135" s="28" t="n">
        <x:v>5</x:v>
      </x:c>
      <x:c r="L1135" s="28" t="n">
        <x:v>4</x:v>
      </x:c>
      <x:c r="M1135" s="28" t="n">
        <x:v>3</x:v>
      </x:c>
      <x:c r="N1135" s="28" t="n">
        <x:v>4</x:v>
      </x:c>
      <x:c r="O1135" s="28" t="n">
        <x:v>0</x:v>
      </x:c>
      <x:c r="P1135" s="28" t="n">
        <x:v>0</x:v>
      </x:c>
      <x:c r="Q1135" s="24" t="n">
        <x:f>IFERROR(J1135/H1135,0)</x:f>
        <x:v>0.4117647058823529</x:v>
      </x:c>
      <x:c r="R1135" s="24" t="n">
        <x:f>IFERROR(F1135/H1135,0)</x:f>
        <x:v>0</x:v>
      </x:c>
      <x:c r="S1135" s="24" t="n">
        <x:f>IFERROR(F1135/J1135,0)</x:f>
        <x:v>0</x:v>
      </x:c>
      <x:c r="T1135" s="28" t="n">
        <x:f>H1135-I1135</x:f>
        <x:v>3</x:v>
      </x:c>
      <x:c r="U1135" s="24" t="n">
        <x:f>IFERROR(J1135/H1135,0)-IFERROR(K1135/I1135,0)</x:f>
        <x:v>0.05462184873949577</x:v>
      </x:c>
      <x:c r="V1135" s="24" t="n">
        <x:f>IFERROR(F1135/J1135,0)-IFERROR(G1135/K1135,0)</x:f>
        <x:v>-0.4</x:v>
      </x:c>
      <x:c r="W1135" s="28" t="n">
        <x:f>L1135-M1135</x:f>
        <x:v>1</x:v>
      </x:c>
      <x:c r="X1135" s="24" t="n">
        <x:f>IFERROR(K1135/I1135,0)</x:f>
        <x:v>0.35714285714285715</x:v>
      </x:c>
      <x:c r="Y1135" s="24" t="n">
        <x:f>IFERROR(G1135/I1135,0)</x:f>
        <x:v>0.14285714285714285</x:v>
      </x:c>
      <x:c r="Z1135" s="24" t="n">
        <x:f>IFERROR(G1135/K1135,0)</x:f>
        <x:v>0.4</x:v>
      </x:c>
      <x:c r="AA1135" s="24" t="n">
        <x:f>IFERROR(F1135/H1135,0)-IFERROR(G1135/I1135,0)</x:f>
        <x:v>-0.14285714285714285</x:v>
      </x:c>
      <x:c r="AB1135" s="28" t="n">
        <x:f>J1135-K1135</x:f>
        <x:v>2</x:v>
      </x:c>
      <x:c r="AC1135" s="32" t="n">
        <x:f>F1135-G1135</x:f>
        <x:v>-2</x:v>
      </x:c>
    </x:row>
    <x:row r="1136">
      <x:c r="A1136" s="4" t="str">
        <x:v>2022-23</x:v>
      </x:c>
      <x:c r="B1136" s="20" t="n">
        <x:v>44944</x:v>
      </x:c>
      <x:c r="C1136" s="4" t="str">
        <x:v>Crystal Palace</x:v>
      </x:c>
      <x:c r="D1136" s="4" t="str">
        <x:v>Man United</x:v>
      </x:c>
      <x:c r="E1136" s="4" t="str">
        <x:v>Home</x:v>
      </x:c>
      <x:c r="F1136" s="28" t="n">
        <x:v>1</x:v>
      </x:c>
      <x:c r="G1136" s="28" t="n">
        <x:v>1</x:v>
      </x:c>
      <x:c r="H1136" s="28" t="n">
        <x:v>10</x:v>
      </x:c>
      <x:c r="I1136" s="28" t="n">
        <x:v>15</x:v>
      </x:c>
      <x:c r="J1136" s="28" t="n">
        <x:v>5</x:v>
      </x:c>
      <x:c r="K1136" s="28" t="n">
        <x:v>4</x:v>
      </x:c>
      <x:c r="L1136" s="28" t="n">
        <x:v>3</x:v>
      </x:c>
      <x:c r="M1136" s="28" t="n">
        <x:v>3</x:v>
      </x:c>
      <x:c r="N1136" s="28" t="n">
        <x:v>1</x:v>
      </x:c>
      <x:c r="O1136" s="28" t="n">
        <x:v>0</x:v>
      </x:c>
      <x:c r="P1136" s="28" t="n">
        <x:v>1</x:v>
      </x:c>
      <x:c r="Q1136" s="24" t="n">
        <x:f>IFERROR(J1136/H1136,0)</x:f>
        <x:v>0.5</x:v>
      </x:c>
      <x:c r="R1136" s="24" t="n">
        <x:f>IFERROR(F1136/H1136,0)</x:f>
        <x:v>0.1</x:v>
      </x:c>
      <x:c r="S1136" s="24" t="n">
        <x:f>IFERROR(F1136/J1136,0)</x:f>
        <x:v>0.2</x:v>
      </x:c>
      <x:c r="T1136" s="28" t="n">
        <x:f>H1136-I1136</x:f>
        <x:v>-5</x:v>
      </x:c>
      <x:c r="U1136" s="24" t="n">
        <x:f>IFERROR(J1136/H1136,0)-IFERROR(K1136/I1136,0)</x:f>
        <x:v>0.23333333333333334</x:v>
      </x:c>
      <x:c r="V1136" s="24" t="n">
        <x:f>IFERROR(F1136/J1136,0)-IFERROR(G1136/K1136,0)</x:f>
        <x:v>-0.04999999999999999</x:v>
      </x:c>
      <x:c r="W1136" s="28" t="n">
        <x:f>L1136-M1136</x:f>
        <x:v>0</x:v>
      </x:c>
      <x:c r="X1136" s="24" t="n">
        <x:f>IFERROR(K1136/I1136,0)</x:f>
        <x:v>0.26666666666666666</x:v>
      </x:c>
      <x:c r="Y1136" s="24" t="n">
        <x:f>IFERROR(G1136/I1136,0)</x:f>
        <x:v>0.06666666666666667</x:v>
      </x:c>
      <x:c r="Z1136" s="24" t="n">
        <x:f>IFERROR(G1136/K1136,0)</x:f>
        <x:v>0.25</x:v>
      </x:c>
      <x:c r="AA1136" s="24" t="n">
        <x:f>IFERROR(F1136/H1136,0)-IFERROR(G1136/I1136,0)</x:f>
        <x:v>0.03333333333333334</x:v>
      </x:c>
      <x:c r="AB1136" s="28" t="n">
        <x:f>J1136-K1136</x:f>
        <x:v>1</x:v>
      </x:c>
      <x:c r="AC1136" s="32" t="n">
        <x:f>F1136-G1136</x:f>
        <x:v>0</x:v>
      </x:c>
    </x:row>
    <x:row r="1137">
      <x:c r="A1137" s="4" t="str">
        <x:v>2022-23</x:v>
      </x:c>
      <x:c r="B1137" s="20" t="n">
        <x:v>44944</x:v>
      </x:c>
      <x:c r="C1137" s="4" t="str">
        <x:v>Man United</x:v>
      </x:c>
      <x:c r="D1137" s="4" t="str">
        <x:v>Crystal Palace</x:v>
      </x:c>
      <x:c r="E1137" s="4" t="str">
        <x:v>Away</x:v>
      </x:c>
      <x:c r="F1137" s="28" t="n">
        <x:v>1</x:v>
      </x:c>
      <x:c r="G1137" s="28" t="n">
        <x:v>1</x:v>
      </x:c>
      <x:c r="H1137" s="28" t="n">
        <x:v>15</x:v>
      </x:c>
      <x:c r="I1137" s="28" t="n">
        <x:v>10</x:v>
      </x:c>
      <x:c r="J1137" s="28" t="n">
        <x:v>4</x:v>
      </x:c>
      <x:c r="K1137" s="28" t="n">
        <x:v>5</x:v>
      </x:c>
      <x:c r="L1137" s="28" t="n">
        <x:v>3</x:v>
      </x:c>
      <x:c r="M1137" s="28" t="n">
        <x:v>3</x:v>
      </x:c>
      <x:c r="N1137" s="28" t="n">
        <x:v>2</x:v>
      </x:c>
      <x:c r="O1137" s="28" t="n">
        <x:v>0</x:v>
      </x:c>
      <x:c r="P1137" s="28" t="n">
        <x:v>1</x:v>
      </x:c>
      <x:c r="Q1137" s="24" t="n">
        <x:f>IFERROR(J1137/H1137,0)</x:f>
        <x:v>0.26666666666666666</x:v>
      </x:c>
      <x:c r="R1137" s="24" t="n">
        <x:f>IFERROR(F1137/H1137,0)</x:f>
        <x:v>0.06666666666666667</x:v>
      </x:c>
      <x:c r="S1137" s="24" t="n">
        <x:f>IFERROR(F1137/J1137,0)</x:f>
        <x:v>0.25</x:v>
      </x:c>
      <x:c r="T1137" s="28" t="n">
        <x:f>H1137-I1137</x:f>
        <x:v>5</x:v>
      </x:c>
      <x:c r="U1137" s="24" t="n">
        <x:f>IFERROR(J1137/H1137,0)-IFERROR(K1137/I1137,0)</x:f>
        <x:v>-0.23333333333333334</x:v>
      </x:c>
      <x:c r="V1137" s="24" t="n">
        <x:f>IFERROR(F1137/J1137,0)-IFERROR(G1137/K1137,0)</x:f>
        <x:v>0.04999999999999999</x:v>
      </x:c>
      <x:c r="W1137" s="28" t="n">
        <x:f>L1137-M1137</x:f>
        <x:v>0</x:v>
      </x:c>
      <x:c r="X1137" s="24" t="n">
        <x:f>IFERROR(K1137/I1137,0)</x:f>
        <x:v>0.5</x:v>
      </x:c>
      <x:c r="Y1137" s="24" t="n">
        <x:f>IFERROR(G1137/I1137,0)</x:f>
        <x:v>0.1</x:v>
      </x:c>
      <x:c r="Z1137" s="24" t="n">
        <x:f>IFERROR(G1137/K1137,0)</x:f>
        <x:v>0.2</x:v>
      </x:c>
      <x:c r="AA1137" s="24" t="n">
        <x:f>IFERROR(F1137/H1137,0)-IFERROR(G1137/I1137,0)</x:f>
        <x:v>-0.03333333333333334</x:v>
      </x:c>
      <x:c r="AB1137" s="28" t="n">
        <x:f>J1137-K1137</x:f>
        <x:v>-1</x:v>
      </x:c>
      <x:c r="AC1137" s="32" t="n">
        <x:f>F1137-G1137</x:f>
        <x:v>0</x:v>
      </x:c>
    </x:row>
    <x:row r="1138">
      <x:c r="A1138" s="4" t="str">
        <x:v>2022-23</x:v>
      </x:c>
      <x:c r="B1138" s="20" t="n">
        <x:v>44945</x:v>
      </x:c>
      <x:c r="C1138" s="4" t="str">
        <x:v>Man City</x:v>
      </x:c>
      <x:c r="D1138" s="4" t="str">
        <x:v>Tottenham</x:v>
      </x:c>
      <x:c r="E1138" s="4" t="str">
        <x:v>Home</x:v>
      </x:c>
      <x:c r="F1138" s="28" t="n">
        <x:v>4</x:v>
      </x:c>
      <x:c r="G1138" s="28" t="n">
        <x:v>2</x:v>
      </x:c>
      <x:c r="H1138" s="28" t="n">
        <x:v>16</x:v>
      </x:c>
      <x:c r="I1138" s="28" t="n">
        <x:v>9</x:v>
      </x:c>
      <x:c r="J1138" s="28" t="n">
        <x:v>6</x:v>
      </x:c>
      <x:c r="K1138" s="28" t="n">
        <x:v>3</x:v>
      </x:c>
      <x:c r="L1138" s="28" t="n">
        <x:v>8</x:v>
      </x:c>
      <x:c r="M1138" s="28" t="n">
        <x:v>3</x:v>
      </x:c>
      <x:c r="N1138" s="28" t="n">
        <x:v>1</x:v>
      </x:c>
      <x:c r="O1138" s="28" t="n">
        <x:v>0</x:v>
      </x:c>
      <x:c r="P1138" s="28" t="n">
        <x:v>3</x:v>
      </x:c>
      <x:c r="Q1138" s="24" t="n">
        <x:f>IFERROR(J1138/H1138,0)</x:f>
        <x:v>0.375</x:v>
      </x:c>
      <x:c r="R1138" s="24" t="n">
        <x:f>IFERROR(F1138/H1138,0)</x:f>
        <x:v>0.25</x:v>
      </x:c>
      <x:c r="S1138" s="24" t="n">
        <x:f>IFERROR(F1138/J1138,0)</x:f>
        <x:v>0.6666666666666666</x:v>
      </x:c>
      <x:c r="T1138" s="28" t="n">
        <x:f>H1138-I1138</x:f>
        <x:v>7</x:v>
      </x:c>
      <x:c r="U1138" s="24" t="n">
        <x:f>IFERROR(J1138/H1138,0)-IFERROR(K1138/I1138,0)</x:f>
        <x:v>0.041666666666666685</x:v>
      </x:c>
      <x:c r="V1138" s="24" t="n">
        <x:f>IFERROR(F1138/J1138,0)-IFERROR(G1138/K1138,0)</x:f>
        <x:v>0</x:v>
      </x:c>
      <x:c r="W1138" s="28" t="n">
        <x:f>L1138-M1138</x:f>
        <x:v>5</x:v>
      </x:c>
      <x:c r="X1138" s="24" t="n">
        <x:f>IFERROR(K1138/I1138,0)</x:f>
        <x:v>0.3333333333333333</x:v>
      </x:c>
      <x:c r="Y1138" s="24" t="n">
        <x:f>IFERROR(G1138/I1138,0)</x:f>
        <x:v>0.2222222222222222</x:v>
      </x:c>
      <x:c r="Z1138" s="24" t="n">
        <x:f>IFERROR(G1138/K1138,0)</x:f>
        <x:v>0.6666666666666666</x:v>
      </x:c>
      <x:c r="AA1138" s="24" t="n">
        <x:f>IFERROR(F1138/H1138,0)-IFERROR(G1138/I1138,0)</x:f>
        <x:v>0.02777777777777779</x:v>
      </x:c>
      <x:c r="AB1138" s="28" t="n">
        <x:f>J1138-K1138</x:f>
        <x:v>3</x:v>
      </x:c>
      <x:c r="AC1138" s="32" t="n">
        <x:f>F1138-G1138</x:f>
        <x:v>2</x:v>
      </x:c>
    </x:row>
    <x:row r="1139">
      <x:c r="A1139" s="4" t="str">
        <x:v>2022-23</x:v>
      </x:c>
      <x:c r="B1139" s="20" t="n">
        <x:v>44945</x:v>
      </x:c>
      <x:c r="C1139" s="4" t="str">
        <x:v>Tottenham</x:v>
      </x:c>
      <x:c r="D1139" s="4" t="str">
        <x:v>Man City</x:v>
      </x:c>
      <x:c r="E1139" s="4" t="str">
        <x:v>Away</x:v>
      </x:c>
      <x:c r="F1139" s="28" t="n">
        <x:v>2</x:v>
      </x:c>
      <x:c r="G1139" s="28" t="n">
        <x:v>4</x:v>
      </x:c>
      <x:c r="H1139" s="28" t="n">
        <x:v>9</x:v>
      </x:c>
      <x:c r="I1139" s="28" t="n">
        <x:v>16</x:v>
      </x:c>
      <x:c r="J1139" s="28" t="n">
        <x:v>3</x:v>
      </x:c>
      <x:c r="K1139" s="28" t="n">
        <x:v>6</x:v>
      </x:c>
      <x:c r="L1139" s="28" t="n">
        <x:v>3</x:v>
      </x:c>
      <x:c r="M1139" s="28" t="n">
        <x:v>8</x:v>
      </x:c>
      <x:c r="N1139" s="28" t="n">
        <x:v>2</x:v>
      </x:c>
      <x:c r="O1139" s="28" t="n">
        <x:v>0</x:v>
      </x:c>
      <x:c r="P1139" s="28" t="n">
        <x:v>0</x:v>
      </x:c>
      <x:c r="Q1139" s="24" t="n">
        <x:f>IFERROR(J1139/H1139,0)</x:f>
        <x:v>0.3333333333333333</x:v>
      </x:c>
      <x:c r="R1139" s="24" t="n">
        <x:f>IFERROR(F1139/H1139,0)</x:f>
        <x:v>0.2222222222222222</x:v>
      </x:c>
      <x:c r="S1139" s="24" t="n">
        <x:f>IFERROR(F1139/J1139,0)</x:f>
        <x:v>0.6666666666666666</x:v>
      </x:c>
      <x:c r="T1139" s="28" t="n">
        <x:f>H1139-I1139</x:f>
        <x:v>-7</x:v>
      </x:c>
      <x:c r="U1139" s="24" t="n">
        <x:f>IFERROR(J1139/H1139,0)-IFERROR(K1139/I1139,0)</x:f>
        <x:v>-0.041666666666666685</x:v>
      </x:c>
      <x:c r="V1139" s="24" t="n">
        <x:f>IFERROR(F1139/J1139,0)-IFERROR(G1139/K1139,0)</x:f>
        <x:v>0</x:v>
      </x:c>
      <x:c r="W1139" s="28" t="n">
        <x:f>L1139-M1139</x:f>
        <x:v>-5</x:v>
      </x:c>
      <x:c r="X1139" s="24" t="n">
        <x:f>IFERROR(K1139/I1139,0)</x:f>
        <x:v>0.375</x:v>
      </x:c>
      <x:c r="Y1139" s="24" t="n">
        <x:f>IFERROR(G1139/I1139,0)</x:f>
        <x:v>0.25</x:v>
      </x:c>
      <x:c r="Z1139" s="24" t="n">
        <x:f>IFERROR(G1139/K1139,0)</x:f>
        <x:v>0.6666666666666666</x:v>
      </x:c>
      <x:c r="AA1139" s="24" t="n">
        <x:f>IFERROR(F1139/H1139,0)-IFERROR(G1139/I1139,0)</x:f>
        <x:v>-0.02777777777777779</x:v>
      </x:c>
      <x:c r="AB1139" s="28" t="n">
        <x:f>J1139-K1139</x:f>
        <x:v>-3</x:v>
      </x:c>
      <x:c r="AC1139" s="32" t="n">
        <x:f>F1139-G1139</x:f>
        <x:v>-2</x:v>
      </x:c>
    </x:row>
    <x:row r="1140">
      <x:c r="A1140" s="4" t="str">
        <x:v>2022-23</x:v>
      </x:c>
      <x:c r="B1140" s="20" t="n">
        <x:v>44947</x:v>
      </x:c>
      <x:c r="C1140" s="4" t="str">
        <x:v>Aston Villa</x:v>
      </x:c>
      <x:c r="D1140" s="4" t="str">
        <x:v>Southampton</x:v>
      </x:c>
      <x:c r="E1140" s="4" t="str">
        <x:v>Away</x:v>
      </x:c>
      <x:c r="F1140" s="28" t="n">
        <x:v>1</x:v>
      </x:c>
      <x:c r="G1140" s="28" t="n">
        <x:v>0</x:v>
      </x:c>
      <x:c r="H1140" s="28" t="n">
        <x:v>16</x:v>
      </x:c>
      <x:c r="I1140" s="28" t="n">
        <x:v>8</x:v>
      </x:c>
      <x:c r="J1140" s="28" t="n">
        <x:v>5</x:v>
      </x:c>
      <x:c r="K1140" s="28" t="n">
        <x:v>5</x:v>
      </x:c>
      <x:c r="L1140" s="28" t="n">
        <x:v>2</x:v>
      </x:c>
      <x:c r="M1140" s="28" t="n">
        <x:v>2</x:v>
      </x:c>
      <x:c r="N1140" s="28" t="n">
        <x:v>2</x:v>
      </x:c>
      <x:c r="O1140" s="28" t="n">
        <x:v>0</x:v>
      </x:c>
      <x:c r="P1140" s="28" t="n">
        <x:v>3</x:v>
      </x:c>
      <x:c r="Q1140" s="24" t="n">
        <x:f>IFERROR(J1140/H1140,0)</x:f>
        <x:v>0.3125</x:v>
      </x:c>
      <x:c r="R1140" s="24" t="n">
        <x:f>IFERROR(F1140/H1140,0)</x:f>
        <x:v>0.0625</x:v>
      </x:c>
      <x:c r="S1140" s="24" t="n">
        <x:f>IFERROR(F1140/J1140,0)</x:f>
        <x:v>0.2</x:v>
      </x:c>
      <x:c r="T1140" s="28" t="n">
        <x:f>H1140-I1140</x:f>
        <x:v>8</x:v>
      </x:c>
      <x:c r="U1140" s="24" t="n">
        <x:f>IFERROR(J1140/H1140,0)-IFERROR(K1140/I1140,0)</x:f>
        <x:v>-0.3125</x:v>
      </x:c>
      <x:c r="V1140" s="24" t="n">
        <x:f>IFERROR(F1140/J1140,0)-IFERROR(G1140/K1140,0)</x:f>
        <x:v>0.2</x:v>
      </x:c>
      <x:c r="W1140" s="28" t="n">
        <x:f>L1140-M1140</x:f>
        <x:v>0</x:v>
      </x:c>
      <x:c r="X1140" s="24" t="n">
        <x:f>IFERROR(K1140/I1140,0)</x:f>
        <x:v>0.625</x:v>
      </x:c>
      <x:c r="Y1140" s="24" t="n">
        <x:f>IFERROR(G1140/I1140,0)</x:f>
        <x:v>0</x:v>
      </x:c>
      <x:c r="Z1140" s="24" t="n">
        <x:f>IFERROR(G1140/K1140,0)</x:f>
        <x:v>0</x:v>
      </x:c>
      <x:c r="AA1140" s="24" t="n">
        <x:f>IFERROR(F1140/H1140,0)-IFERROR(G1140/I1140,0)</x:f>
        <x:v>0.0625</x:v>
      </x:c>
      <x:c r="AB1140" s="28" t="n">
        <x:f>J1140-K1140</x:f>
        <x:v>0</x:v>
      </x:c>
      <x:c r="AC1140" s="32" t="n">
        <x:f>F1140-G1140</x:f>
        <x:v>1</x:v>
      </x:c>
    </x:row>
    <x:row r="1141">
      <x:c r="A1141" s="4" t="str">
        <x:v>2022-23</x:v>
      </x:c>
      <x:c r="B1141" s="20" t="n">
        <x:v>44947</x:v>
      </x:c>
      <x:c r="C1141" s="4" t="str">
        <x:v>Bournemouth</x:v>
      </x:c>
      <x:c r="D1141" s="4" t="str">
        <x:v>Nott'm Forest</x:v>
      </x:c>
      <x:c r="E1141" s="4" t="str">
        <x:v>Home</x:v>
      </x:c>
      <x:c r="F1141" s="28" t="n">
        <x:v>1</x:v>
      </x:c>
      <x:c r="G1141" s="28" t="n">
        <x:v>1</x:v>
      </x:c>
      <x:c r="H1141" s="28" t="n">
        <x:v>16</x:v>
      </x:c>
      <x:c r="I1141" s="28" t="n">
        <x:v>20</x:v>
      </x:c>
      <x:c r="J1141" s="28" t="n">
        <x:v>4</x:v>
      </x:c>
      <x:c r="K1141" s="28" t="n">
        <x:v>5</x:v>
      </x:c>
      <x:c r="L1141" s="28" t="n">
        <x:v>4</x:v>
      </x:c>
      <x:c r="M1141" s="28" t="n">
        <x:v>6</x:v>
      </x:c>
      <x:c r="N1141" s="28" t="n">
        <x:v>1</x:v>
      </x:c>
      <x:c r="O1141" s="28" t="n">
        <x:v>0</x:v>
      </x:c>
      <x:c r="P1141" s="28" t="n">
        <x:v>1</x:v>
      </x:c>
      <x:c r="Q1141" s="24" t="n">
        <x:f>IFERROR(J1141/H1141,0)</x:f>
        <x:v>0.25</x:v>
      </x:c>
      <x:c r="R1141" s="24" t="n">
        <x:f>IFERROR(F1141/H1141,0)</x:f>
        <x:v>0.0625</x:v>
      </x:c>
      <x:c r="S1141" s="24" t="n">
        <x:f>IFERROR(F1141/J1141,0)</x:f>
        <x:v>0.25</x:v>
      </x:c>
      <x:c r="T1141" s="28" t="n">
        <x:f>H1141-I1141</x:f>
        <x:v>-4</x:v>
      </x:c>
      <x:c r="U1141" s="24" t="n">
        <x:f>IFERROR(J1141/H1141,0)-IFERROR(K1141/I1141,0)</x:f>
        <x:v>0</x:v>
      </x:c>
      <x:c r="V1141" s="24" t="n">
        <x:f>IFERROR(F1141/J1141,0)-IFERROR(G1141/K1141,0)</x:f>
        <x:v>0.04999999999999999</x:v>
      </x:c>
      <x:c r="W1141" s="28" t="n">
        <x:f>L1141-M1141</x:f>
        <x:v>-2</x:v>
      </x:c>
      <x:c r="X1141" s="24" t="n">
        <x:f>IFERROR(K1141/I1141,0)</x:f>
        <x:v>0.25</x:v>
      </x:c>
      <x:c r="Y1141" s="24" t="n">
        <x:f>IFERROR(G1141/I1141,0)</x:f>
        <x:v>0.05</x:v>
      </x:c>
      <x:c r="Z1141" s="24" t="n">
        <x:f>IFERROR(G1141/K1141,0)</x:f>
        <x:v>0.2</x:v>
      </x:c>
      <x:c r="AA1141" s="24" t="n">
        <x:f>IFERROR(F1141/H1141,0)-IFERROR(G1141/I1141,0)</x:f>
        <x:v>0.012499999999999997</x:v>
      </x:c>
      <x:c r="AB1141" s="28" t="n">
        <x:f>J1141-K1141</x:f>
        <x:v>-1</x:v>
      </x:c>
      <x:c r="AC1141" s="32" t="n">
        <x:f>F1141-G1141</x:f>
        <x:v>0</x:v>
      </x:c>
    </x:row>
    <x:row r="1142">
      <x:c r="A1142" s="4" t="str">
        <x:v>2022-23</x:v>
      </x:c>
      <x:c r="B1142" s="20" t="n">
        <x:v>44947</x:v>
      </x:c>
      <x:c r="C1142" s="4" t="str">
        <x:v>Brighton</x:v>
      </x:c>
      <x:c r="D1142" s="4" t="str">
        <x:v>Leicester</x:v>
      </x:c>
      <x:c r="E1142" s="4" t="str">
        <x:v>Away</x:v>
      </x:c>
      <x:c r="F1142" s="28" t="n">
        <x:v>2</x:v>
      </x:c>
      <x:c r="G1142" s="28" t="n">
        <x:v>2</x:v>
      </x:c>
      <x:c r="H1142" s="28" t="n">
        <x:v>13</x:v>
      </x:c>
      <x:c r="I1142" s="28" t="n">
        <x:v>9</x:v>
      </x:c>
      <x:c r="J1142" s="28" t="n">
        <x:v>4</x:v>
      </x:c>
      <x:c r="K1142" s="28" t="n">
        <x:v>2</x:v>
      </x:c>
      <x:c r="L1142" s="28" t="n">
        <x:v>6</x:v>
      </x:c>
      <x:c r="M1142" s="28" t="n">
        <x:v>5</x:v>
      </x:c>
      <x:c r="N1142" s="28" t="n">
        <x:v>1</x:v>
      </x:c>
      <x:c r="O1142" s="28" t="n">
        <x:v>0</x:v>
      </x:c>
      <x:c r="P1142" s="28" t="n">
        <x:v>1</x:v>
      </x:c>
      <x:c r="Q1142" s="24" t="n">
        <x:f>IFERROR(J1142/H1142,0)</x:f>
        <x:v>0.3076923076923077</x:v>
      </x:c>
      <x:c r="R1142" s="24" t="n">
        <x:f>IFERROR(F1142/H1142,0)</x:f>
        <x:v>0.15384615384615385</x:v>
      </x:c>
      <x:c r="S1142" s="24" t="n">
        <x:f>IFERROR(F1142/J1142,0)</x:f>
        <x:v>0.5</x:v>
      </x:c>
      <x:c r="T1142" s="28" t="n">
        <x:f>H1142-I1142</x:f>
        <x:v>4</x:v>
      </x:c>
      <x:c r="U1142" s="24" t="n">
        <x:f>IFERROR(J1142/H1142,0)-IFERROR(K1142/I1142,0)</x:f>
        <x:v>0.0854700854700855</x:v>
      </x:c>
      <x:c r="V1142" s="24" t="n">
        <x:f>IFERROR(F1142/J1142,0)-IFERROR(G1142/K1142,0)</x:f>
        <x:v>-0.5</x:v>
      </x:c>
      <x:c r="W1142" s="28" t="n">
        <x:f>L1142-M1142</x:f>
        <x:v>1</x:v>
      </x:c>
      <x:c r="X1142" s="24" t="n">
        <x:f>IFERROR(K1142/I1142,0)</x:f>
        <x:v>0.2222222222222222</x:v>
      </x:c>
      <x:c r="Y1142" s="24" t="n">
        <x:f>IFERROR(G1142/I1142,0)</x:f>
        <x:v>0.2222222222222222</x:v>
      </x:c>
      <x:c r="Z1142" s="24" t="n">
        <x:f>IFERROR(G1142/K1142,0)</x:f>
        <x:v>1</x:v>
      </x:c>
      <x:c r="AA1142" s="24" t="n">
        <x:f>IFERROR(F1142/H1142,0)-IFERROR(G1142/I1142,0)</x:f>
        <x:v>-0.06837606837606836</x:v>
      </x:c>
      <x:c r="AB1142" s="28" t="n">
        <x:f>J1142-K1142</x:f>
        <x:v>2</x:v>
      </x:c>
      <x:c r="AC1142" s="32" t="n">
        <x:f>F1142-G1142</x:f>
        <x:v>0</x:v>
      </x:c>
    </x:row>
    <x:row r="1143">
      <x:c r="A1143" s="4" t="str">
        <x:v>2022-23</x:v>
      </x:c>
      <x:c r="B1143" s="20" t="n">
        <x:v>44947</x:v>
      </x:c>
      <x:c r="C1143" s="4" t="str">
        <x:v>Chelsea</x:v>
      </x:c>
      <x:c r="D1143" s="4" t="str">
        <x:v>Liverpool</x:v>
      </x:c>
      <x:c r="E1143" s="4" t="str">
        <x:v>Away</x:v>
      </x:c>
      <x:c r="F1143" s="28" t="n">
        <x:v>0</x:v>
      </x:c>
      <x:c r="G1143" s="28" t="n">
        <x:v>0</x:v>
      </x:c>
      <x:c r="H1143" s="28" t="n">
        <x:v>11</x:v>
      </x:c>
      <x:c r="I1143" s="28" t="n">
        <x:v>15</x:v>
      </x:c>
      <x:c r="J1143" s="28" t="n">
        <x:v>2</x:v>
      </x:c>
      <x:c r="K1143" s="28" t="n">
        <x:v>3</x:v>
      </x:c>
      <x:c r="L1143" s="28" t="n">
        <x:v>5</x:v>
      </x:c>
      <x:c r="M1143" s="28" t="n">
        <x:v>5</x:v>
      </x:c>
      <x:c r="N1143" s="28" t="n">
        <x:v>1</x:v>
      </x:c>
      <x:c r="O1143" s="28" t="n">
        <x:v>0</x:v>
      </x:c>
      <x:c r="P1143" s="28" t="n">
        <x:v>1</x:v>
      </x:c>
      <x:c r="Q1143" s="24" t="n">
        <x:f>IFERROR(J1143/H1143,0)</x:f>
        <x:v>0.18181818181818182</x:v>
      </x:c>
      <x:c r="R1143" s="24" t="n">
        <x:f>IFERROR(F1143/H1143,0)</x:f>
        <x:v>0</x:v>
      </x:c>
      <x:c r="S1143" s="24" t="n">
        <x:f>IFERROR(F1143/J1143,0)</x:f>
        <x:v>0</x:v>
      </x:c>
      <x:c r="T1143" s="28" t="n">
        <x:f>H1143-I1143</x:f>
        <x:v>-4</x:v>
      </x:c>
      <x:c r="U1143" s="24" t="n">
        <x:f>IFERROR(J1143/H1143,0)-IFERROR(K1143/I1143,0)</x:f>
        <x:v>-0.018181818181818188</x:v>
      </x:c>
      <x:c r="V1143" s="24" t="n">
        <x:f>IFERROR(F1143/J1143,0)-IFERROR(G1143/K1143,0)</x:f>
        <x:v>0</x:v>
      </x:c>
      <x:c r="W1143" s="28" t="n">
        <x:f>L1143-M1143</x:f>
        <x:v>0</x:v>
      </x:c>
      <x:c r="X1143" s="24" t="n">
        <x:f>IFERROR(K1143/I1143,0)</x:f>
        <x:v>0.2</x:v>
      </x:c>
      <x:c r="Y1143" s="24" t="n">
        <x:f>IFERROR(G1143/I1143,0)</x:f>
        <x:v>0</x:v>
      </x:c>
      <x:c r="Z1143" s="24" t="n">
        <x:f>IFERROR(G1143/K1143,0)</x:f>
        <x:v>0</x:v>
      </x:c>
      <x:c r="AA1143" s="24" t="n">
        <x:f>IFERROR(F1143/H1143,0)-IFERROR(G1143/I1143,0)</x:f>
        <x:v>0</x:v>
      </x:c>
      <x:c r="AB1143" s="28" t="n">
        <x:f>J1143-K1143</x:f>
        <x:v>-1</x:v>
      </x:c>
      <x:c r="AC1143" s="32" t="n">
        <x:f>F1143-G1143</x:f>
        <x:v>0</x:v>
      </x:c>
    </x:row>
    <x:row r="1144">
      <x:c r="A1144" s="4" t="str">
        <x:v>2022-23</x:v>
      </x:c>
      <x:c r="B1144" s="20" t="n">
        <x:v>44947</x:v>
      </x:c>
      <x:c r="C1144" s="4" t="str">
        <x:v>Crystal Palace</x:v>
      </x:c>
      <x:c r="D1144" s="4" t="str">
        <x:v>Newcastle</x:v>
      </x:c>
      <x:c r="E1144" s="4" t="str">
        <x:v>Home</x:v>
      </x:c>
      <x:c r="F1144" s="28" t="n">
        <x:v>0</x:v>
      </x:c>
      <x:c r="G1144" s="28" t="n">
        <x:v>0</x:v>
      </x:c>
      <x:c r="H1144" s="28" t="n">
        <x:v>6</x:v>
      </x:c>
      <x:c r="I1144" s="28" t="n">
        <x:v>16</x:v>
      </x:c>
      <x:c r="J1144" s="28" t="n">
        <x:v>1</x:v>
      </x:c>
      <x:c r="K1144" s="28" t="n">
        <x:v>7</x:v>
      </x:c>
      <x:c r="L1144" s="28" t="n">
        <x:v>3</x:v>
      </x:c>
      <x:c r="M1144" s="28" t="n">
        <x:v>15</x:v>
      </x:c>
      <x:c r="N1144" s="28" t="n">
        <x:v>4</x:v>
      </x:c>
      <x:c r="O1144" s="28" t="n">
        <x:v>0</x:v>
      </x:c>
      <x:c r="P1144" s="28" t="n">
        <x:v>1</x:v>
      </x:c>
      <x:c r="Q1144" s="24" t="n">
        <x:f>IFERROR(J1144/H1144,0)</x:f>
        <x:v>0.16666666666666666</x:v>
      </x:c>
      <x:c r="R1144" s="24" t="n">
        <x:f>IFERROR(F1144/H1144,0)</x:f>
        <x:v>0</x:v>
      </x:c>
      <x:c r="S1144" s="24" t="n">
        <x:f>IFERROR(F1144/J1144,0)</x:f>
        <x:v>0</x:v>
      </x:c>
      <x:c r="T1144" s="28" t="n">
        <x:f>H1144-I1144</x:f>
        <x:v>-10</x:v>
      </x:c>
      <x:c r="U1144" s="24" t="n">
        <x:f>IFERROR(J1144/H1144,0)-IFERROR(K1144/I1144,0)</x:f>
        <x:v>-0.27083333333333337</x:v>
      </x:c>
      <x:c r="V1144" s="24" t="n">
        <x:f>IFERROR(F1144/J1144,0)-IFERROR(G1144/K1144,0)</x:f>
        <x:v>0</x:v>
      </x:c>
      <x:c r="W1144" s="28" t="n">
        <x:f>L1144-M1144</x:f>
        <x:v>-12</x:v>
      </x:c>
      <x:c r="X1144" s="24" t="n">
        <x:f>IFERROR(K1144/I1144,0)</x:f>
        <x:v>0.4375</x:v>
      </x:c>
      <x:c r="Y1144" s="24" t="n">
        <x:f>IFERROR(G1144/I1144,0)</x:f>
        <x:v>0</x:v>
      </x:c>
      <x:c r="Z1144" s="24" t="n">
        <x:f>IFERROR(G1144/K1144,0)</x:f>
        <x:v>0</x:v>
      </x:c>
      <x:c r="AA1144" s="24" t="n">
        <x:f>IFERROR(F1144/H1144,0)-IFERROR(G1144/I1144,0)</x:f>
        <x:v>0</x:v>
      </x:c>
      <x:c r="AB1144" s="28" t="n">
        <x:f>J1144-K1144</x:f>
        <x:v>-6</x:v>
      </x:c>
      <x:c r="AC1144" s="32" t="n">
        <x:f>F1144-G1144</x:f>
        <x:v>0</x:v>
      </x:c>
    </x:row>
    <x:row r="1145">
      <x:c r="A1145" s="4" t="str">
        <x:v>2022-23</x:v>
      </x:c>
      <x:c r="B1145" s="20" t="n">
        <x:v>44947</x:v>
      </x:c>
      <x:c r="C1145" s="4" t="str">
        <x:v>Everton</x:v>
      </x:c>
      <x:c r="D1145" s="4" t="str">
        <x:v>West Ham</x:v>
      </x:c>
      <x:c r="E1145" s="4" t="str">
        <x:v>Away</x:v>
      </x:c>
      <x:c r="F1145" s="28" t="n">
        <x:v>0</x:v>
      </x:c>
      <x:c r="G1145" s="28" t="n">
        <x:v>2</x:v>
      </x:c>
      <x:c r="H1145" s="28" t="n">
        <x:v>5</x:v>
      </x:c>
      <x:c r="I1145" s="28" t="n">
        <x:v>11</x:v>
      </x:c>
      <x:c r="J1145" s="28" t="n">
        <x:v>2</x:v>
      </x:c>
      <x:c r="K1145" s="28" t="n">
        <x:v>4</x:v>
      </x:c>
      <x:c r="L1145" s="28" t="n">
        <x:v>9</x:v>
      </x:c>
      <x:c r="M1145" s="28" t="n">
        <x:v>4</x:v>
      </x:c>
      <x:c r="N1145" s="28" t="n">
        <x:v>1</x:v>
      </x:c>
      <x:c r="O1145" s="28" t="n">
        <x:v>0</x:v>
      </x:c>
      <x:c r="P1145" s="28" t="n">
        <x:v>0</x:v>
      </x:c>
      <x:c r="Q1145" s="24" t="n">
        <x:f>IFERROR(J1145/H1145,0)</x:f>
        <x:v>0.4</x:v>
      </x:c>
      <x:c r="R1145" s="24" t="n">
        <x:f>IFERROR(F1145/H1145,0)</x:f>
        <x:v>0</x:v>
      </x:c>
      <x:c r="S1145" s="24" t="n">
        <x:f>IFERROR(F1145/J1145,0)</x:f>
        <x:v>0</x:v>
      </x:c>
      <x:c r="T1145" s="28" t="n">
        <x:f>H1145-I1145</x:f>
        <x:v>-6</x:v>
      </x:c>
      <x:c r="U1145" s="24" t="n">
        <x:f>IFERROR(J1145/H1145,0)-IFERROR(K1145/I1145,0)</x:f>
        <x:v>0.036363636363636376</x:v>
      </x:c>
      <x:c r="V1145" s="24" t="n">
        <x:f>IFERROR(F1145/J1145,0)-IFERROR(G1145/K1145,0)</x:f>
        <x:v>-0.5</x:v>
      </x:c>
      <x:c r="W1145" s="28" t="n">
        <x:f>L1145-M1145</x:f>
        <x:v>5</x:v>
      </x:c>
      <x:c r="X1145" s="24" t="n">
        <x:f>IFERROR(K1145/I1145,0)</x:f>
        <x:v>0.36363636363636365</x:v>
      </x:c>
      <x:c r="Y1145" s="24" t="n">
        <x:f>IFERROR(G1145/I1145,0)</x:f>
        <x:v>0.18181818181818182</x:v>
      </x:c>
      <x:c r="Z1145" s="24" t="n">
        <x:f>IFERROR(G1145/K1145,0)</x:f>
        <x:v>0.5</x:v>
      </x:c>
      <x:c r="AA1145" s="24" t="n">
        <x:f>IFERROR(F1145/H1145,0)-IFERROR(G1145/I1145,0)</x:f>
        <x:v>-0.18181818181818182</x:v>
      </x:c>
      <x:c r="AB1145" s="28" t="n">
        <x:f>J1145-K1145</x:f>
        <x:v>-2</x:v>
      </x:c>
      <x:c r="AC1145" s="32" t="n">
        <x:f>F1145-G1145</x:f>
        <x:v>-2</x:v>
      </x:c>
    </x:row>
    <x:row r="1146">
      <x:c r="A1146" s="4" t="str">
        <x:v>2022-23</x:v>
      </x:c>
      <x:c r="B1146" s="20" t="n">
        <x:v>44947</x:v>
      </x:c>
      <x:c r="C1146" s="4" t="str">
        <x:v>Leicester</x:v>
      </x:c>
      <x:c r="D1146" s="4" t="str">
        <x:v>Brighton</x:v>
      </x:c>
      <x:c r="E1146" s="4" t="str">
        <x:v>Home</x:v>
      </x:c>
      <x:c r="F1146" s="28" t="n">
        <x:v>2</x:v>
      </x:c>
      <x:c r="G1146" s="28" t="n">
        <x:v>2</x:v>
      </x:c>
      <x:c r="H1146" s="28" t="n">
        <x:v>9</x:v>
      </x:c>
      <x:c r="I1146" s="28" t="n">
        <x:v>13</x:v>
      </x:c>
      <x:c r="J1146" s="28" t="n">
        <x:v>2</x:v>
      </x:c>
      <x:c r="K1146" s="28" t="n">
        <x:v>4</x:v>
      </x:c>
      <x:c r="L1146" s="28" t="n">
        <x:v>5</x:v>
      </x:c>
      <x:c r="M1146" s="28" t="n">
        <x:v>6</x:v>
      </x:c>
      <x:c r="N1146" s="28" t="n">
        <x:v>0</x:v>
      </x:c>
      <x:c r="O1146" s="28" t="n">
        <x:v>0</x:v>
      </x:c>
      <x:c r="P1146" s="28" t="n">
        <x:v>1</x:v>
      </x:c>
      <x:c r="Q1146" s="24" t="n">
        <x:f>IFERROR(J1146/H1146,0)</x:f>
        <x:v>0.2222222222222222</x:v>
      </x:c>
      <x:c r="R1146" s="24" t="n">
        <x:f>IFERROR(F1146/H1146,0)</x:f>
        <x:v>0.2222222222222222</x:v>
      </x:c>
      <x:c r="S1146" s="24" t="n">
        <x:f>IFERROR(F1146/J1146,0)</x:f>
        <x:v>1</x:v>
      </x:c>
      <x:c r="T1146" s="28" t="n">
        <x:f>H1146-I1146</x:f>
        <x:v>-4</x:v>
      </x:c>
      <x:c r="U1146" s="24" t="n">
        <x:f>IFERROR(J1146/H1146,0)-IFERROR(K1146/I1146,0)</x:f>
        <x:v>-0.0854700854700855</x:v>
      </x:c>
      <x:c r="V1146" s="24" t="n">
        <x:f>IFERROR(F1146/J1146,0)-IFERROR(G1146/K1146,0)</x:f>
        <x:v>0.5</x:v>
      </x:c>
      <x:c r="W1146" s="28" t="n">
        <x:f>L1146-M1146</x:f>
        <x:v>-1</x:v>
      </x:c>
      <x:c r="X1146" s="24" t="n">
        <x:f>IFERROR(K1146/I1146,0)</x:f>
        <x:v>0.3076923076923077</x:v>
      </x:c>
      <x:c r="Y1146" s="24" t="n">
        <x:f>IFERROR(G1146/I1146,0)</x:f>
        <x:v>0.15384615384615385</x:v>
      </x:c>
      <x:c r="Z1146" s="24" t="n">
        <x:f>IFERROR(G1146/K1146,0)</x:f>
        <x:v>0.5</x:v>
      </x:c>
      <x:c r="AA1146" s="24" t="n">
        <x:f>IFERROR(F1146/H1146,0)-IFERROR(G1146/I1146,0)</x:f>
        <x:v>0.06837606837606836</x:v>
      </x:c>
      <x:c r="AB1146" s="28" t="n">
        <x:f>J1146-K1146</x:f>
        <x:v>-2</x:v>
      </x:c>
      <x:c r="AC1146" s="32" t="n">
        <x:f>F1146-G1146</x:f>
        <x:v>0</x:v>
      </x:c>
    </x:row>
    <x:row r="1147">
      <x:c r="A1147" s="4" t="str">
        <x:v>2022-23</x:v>
      </x:c>
      <x:c r="B1147" s="20" t="n">
        <x:v>44947</x:v>
      </x:c>
      <x:c r="C1147" s="4" t="str">
        <x:v>Liverpool</x:v>
      </x:c>
      <x:c r="D1147" s="4" t="str">
        <x:v>Chelsea</x:v>
      </x:c>
      <x:c r="E1147" s="4" t="str">
        <x:v>Home</x:v>
      </x:c>
      <x:c r="F1147" s="28" t="n">
        <x:v>0</x:v>
      </x:c>
      <x:c r="G1147" s="28" t="n">
        <x:v>0</x:v>
      </x:c>
      <x:c r="H1147" s="28" t="n">
        <x:v>15</x:v>
      </x:c>
      <x:c r="I1147" s="28" t="n">
        <x:v>11</x:v>
      </x:c>
      <x:c r="J1147" s="28" t="n">
        <x:v>3</x:v>
      </x:c>
      <x:c r="K1147" s="28" t="n">
        <x:v>2</x:v>
      </x:c>
      <x:c r="L1147" s="28" t="n">
        <x:v>5</x:v>
      </x:c>
      <x:c r="M1147" s="28" t="n">
        <x:v>5</x:v>
      </x:c>
      <x:c r="N1147" s="28" t="n">
        <x:v>3</x:v>
      </x:c>
      <x:c r="O1147" s="28" t="n">
        <x:v>0</x:v>
      </x:c>
      <x:c r="P1147" s="28" t="n">
        <x:v>1</x:v>
      </x:c>
      <x:c r="Q1147" s="24" t="n">
        <x:f>IFERROR(J1147/H1147,0)</x:f>
        <x:v>0.2</x:v>
      </x:c>
      <x:c r="R1147" s="24" t="n">
        <x:f>IFERROR(F1147/H1147,0)</x:f>
        <x:v>0</x:v>
      </x:c>
      <x:c r="S1147" s="24" t="n">
        <x:f>IFERROR(F1147/J1147,0)</x:f>
        <x:v>0</x:v>
      </x:c>
      <x:c r="T1147" s="28" t="n">
        <x:f>H1147-I1147</x:f>
        <x:v>4</x:v>
      </x:c>
      <x:c r="U1147" s="24" t="n">
        <x:f>IFERROR(J1147/H1147,0)-IFERROR(K1147/I1147,0)</x:f>
        <x:v>0.018181818181818188</x:v>
      </x:c>
      <x:c r="V1147" s="24" t="n">
        <x:f>IFERROR(F1147/J1147,0)-IFERROR(G1147/K1147,0)</x:f>
        <x:v>0</x:v>
      </x:c>
      <x:c r="W1147" s="28" t="n">
        <x:f>L1147-M1147</x:f>
        <x:v>0</x:v>
      </x:c>
      <x:c r="X1147" s="24" t="n">
        <x:f>IFERROR(K1147/I1147,0)</x:f>
        <x:v>0.18181818181818182</x:v>
      </x:c>
      <x:c r="Y1147" s="24" t="n">
        <x:f>IFERROR(G1147/I1147,0)</x:f>
        <x:v>0</x:v>
      </x:c>
      <x:c r="Z1147" s="24" t="n">
        <x:f>IFERROR(G1147/K1147,0)</x:f>
        <x:v>0</x:v>
      </x:c>
      <x:c r="AA1147" s="24" t="n">
        <x:f>IFERROR(F1147/H1147,0)-IFERROR(G1147/I1147,0)</x:f>
        <x:v>0</x:v>
      </x:c>
      <x:c r="AB1147" s="28" t="n">
        <x:f>J1147-K1147</x:f>
        <x:v>1</x:v>
      </x:c>
      <x:c r="AC1147" s="32" t="n">
        <x:f>F1147-G1147</x:f>
        <x:v>0</x:v>
      </x:c>
    </x:row>
    <x:row r="1148">
      <x:c r="A1148" s="4" t="str">
        <x:v>2022-23</x:v>
      </x:c>
      <x:c r="B1148" s="20" t="n">
        <x:v>44947</x:v>
      </x:c>
      <x:c r="C1148" s="4" t="str">
        <x:v>Newcastle</x:v>
      </x:c>
      <x:c r="D1148" s="4" t="str">
        <x:v>Crystal Palace</x:v>
      </x:c>
      <x:c r="E1148" s="4" t="str">
        <x:v>Away</x:v>
      </x:c>
      <x:c r="F1148" s="28" t="n">
        <x:v>0</x:v>
      </x:c>
      <x:c r="G1148" s="28" t="n">
        <x:v>0</x:v>
      </x:c>
      <x:c r="H1148" s="28" t="n">
        <x:v>16</x:v>
      </x:c>
      <x:c r="I1148" s="28" t="n">
        <x:v>6</x:v>
      </x:c>
      <x:c r="J1148" s="28" t="n">
        <x:v>7</x:v>
      </x:c>
      <x:c r="K1148" s="28" t="n">
        <x:v>1</x:v>
      </x:c>
      <x:c r="L1148" s="28" t="n">
        <x:v>15</x:v>
      </x:c>
      <x:c r="M1148" s="28" t="n">
        <x:v>3</x:v>
      </x:c>
      <x:c r="N1148" s="28" t="n">
        <x:v>2</x:v>
      </x:c>
      <x:c r="O1148" s="28" t="n">
        <x:v>0</x:v>
      </x:c>
      <x:c r="P1148" s="28" t="n">
        <x:v>1</x:v>
      </x:c>
      <x:c r="Q1148" s="24" t="n">
        <x:f>IFERROR(J1148/H1148,0)</x:f>
        <x:v>0.4375</x:v>
      </x:c>
      <x:c r="R1148" s="24" t="n">
        <x:f>IFERROR(F1148/H1148,0)</x:f>
        <x:v>0</x:v>
      </x:c>
      <x:c r="S1148" s="24" t="n">
        <x:f>IFERROR(F1148/J1148,0)</x:f>
        <x:v>0</x:v>
      </x:c>
      <x:c r="T1148" s="28" t="n">
        <x:f>H1148-I1148</x:f>
        <x:v>10</x:v>
      </x:c>
      <x:c r="U1148" s="24" t="n">
        <x:f>IFERROR(J1148/H1148,0)-IFERROR(K1148/I1148,0)</x:f>
        <x:v>0.27083333333333337</x:v>
      </x:c>
      <x:c r="V1148" s="24" t="n">
        <x:f>IFERROR(F1148/J1148,0)-IFERROR(G1148/K1148,0)</x:f>
        <x:v>0</x:v>
      </x:c>
      <x:c r="W1148" s="28" t="n">
        <x:f>L1148-M1148</x:f>
        <x:v>12</x:v>
      </x:c>
      <x:c r="X1148" s="24" t="n">
        <x:f>IFERROR(K1148/I1148,0)</x:f>
        <x:v>0.16666666666666666</x:v>
      </x:c>
      <x:c r="Y1148" s="24" t="n">
        <x:f>IFERROR(G1148/I1148,0)</x:f>
        <x:v>0</x:v>
      </x:c>
      <x:c r="Z1148" s="24" t="n">
        <x:f>IFERROR(G1148/K1148,0)</x:f>
        <x:v>0</x:v>
      </x:c>
      <x:c r="AA1148" s="24" t="n">
        <x:f>IFERROR(F1148/H1148,0)-IFERROR(G1148/I1148,0)</x:f>
        <x:v>0</x:v>
      </x:c>
      <x:c r="AB1148" s="28" t="n">
        <x:f>J1148-K1148</x:f>
        <x:v>6</x:v>
      </x:c>
      <x:c r="AC1148" s="32" t="n">
        <x:f>F1148-G1148</x:f>
        <x:v>0</x:v>
      </x:c>
    </x:row>
    <x:row r="1149">
      <x:c r="A1149" s="4" t="str">
        <x:v>2022-23</x:v>
      </x:c>
      <x:c r="B1149" s="20" t="n">
        <x:v>44947</x:v>
      </x:c>
      <x:c r="C1149" s="4" t="str">
        <x:v>Nott'm Forest</x:v>
      </x:c>
      <x:c r="D1149" s="4" t="str">
        <x:v>Bournemouth</x:v>
      </x:c>
      <x:c r="E1149" s="4" t="str">
        <x:v>Away</x:v>
      </x:c>
      <x:c r="F1149" s="28" t="n">
        <x:v>1</x:v>
      </x:c>
      <x:c r="G1149" s="28" t="n">
        <x:v>1</x:v>
      </x:c>
      <x:c r="H1149" s="28" t="n">
        <x:v>20</x:v>
      </x:c>
      <x:c r="I1149" s="28" t="n">
        <x:v>16</x:v>
      </x:c>
      <x:c r="J1149" s="28" t="n">
        <x:v>5</x:v>
      </x:c>
      <x:c r="K1149" s="28" t="n">
        <x:v>4</x:v>
      </x:c>
      <x:c r="L1149" s="28" t="n">
        <x:v>6</x:v>
      </x:c>
      <x:c r="M1149" s="28" t="n">
        <x:v>4</x:v>
      </x:c>
      <x:c r="N1149" s="28" t="n">
        <x:v>2</x:v>
      </x:c>
      <x:c r="O1149" s="28" t="n">
        <x:v>0</x:v>
      </x:c>
      <x:c r="P1149" s="28" t="n">
        <x:v>1</x:v>
      </x:c>
      <x:c r="Q1149" s="24" t="n">
        <x:f>IFERROR(J1149/H1149,0)</x:f>
        <x:v>0.25</x:v>
      </x:c>
      <x:c r="R1149" s="24" t="n">
        <x:f>IFERROR(F1149/H1149,0)</x:f>
        <x:v>0.05</x:v>
      </x:c>
      <x:c r="S1149" s="24" t="n">
        <x:f>IFERROR(F1149/J1149,0)</x:f>
        <x:v>0.2</x:v>
      </x:c>
      <x:c r="T1149" s="28" t="n">
        <x:f>H1149-I1149</x:f>
        <x:v>4</x:v>
      </x:c>
      <x:c r="U1149" s="24" t="n">
        <x:f>IFERROR(J1149/H1149,0)-IFERROR(K1149/I1149,0)</x:f>
        <x:v>0</x:v>
      </x:c>
      <x:c r="V1149" s="24" t="n">
        <x:f>IFERROR(F1149/J1149,0)-IFERROR(G1149/K1149,0)</x:f>
        <x:v>-0.04999999999999999</x:v>
      </x:c>
      <x:c r="W1149" s="28" t="n">
        <x:f>L1149-M1149</x:f>
        <x:v>2</x:v>
      </x:c>
      <x:c r="X1149" s="24" t="n">
        <x:f>IFERROR(K1149/I1149,0)</x:f>
        <x:v>0.25</x:v>
      </x:c>
      <x:c r="Y1149" s="24" t="n">
        <x:f>IFERROR(G1149/I1149,0)</x:f>
        <x:v>0.0625</x:v>
      </x:c>
      <x:c r="Z1149" s="24" t="n">
        <x:f>IFERROR(G1149/K1149,0)</x:f>
        <x:v>0.25</x:v>
      </x:c>
      <x:c r="AA1149" s="24" t="n">
        <x:f>IFERROR(F1149/H1149,0)-IFERROR(G1149/I1149,0)</x:f>
        <x:v>-0.012499999999999997</x:v>
      </x:c>
      <x:c r="AB1149" s="28" t="n">
        <x:f>J1149-K1149</x:f>
        <x:v>1</x:v>
      </x:c>
      <x:c r="AC1149" s="32" t="n">
        <x:f>F1149-G1149</x:f>
        <x:v>0</x:v>
      </x:c>
    </x:row>
    <x:row r="1150">
      <x:c r="A1150" s="4" t="str">
        <x:v>2022-23</x:v>
      </x:c>
      <x:c r="B1150" s="20" t="n">
        <x:v>44947</x:v>
      </x:c>
      <x:c r="C1150" s="4" t="str">
        <x:v>Southampton</x:v>
      </x:c>
      <x:c r="D1150" s="4" t="str">
        <x:v>Aston Villa</x:v>
      </x:c>
      <x:c r="E1150" s="4" t="str">
        <x:v>Home</x:v>
      </x:c>
      <x:c r="F1150" s="28" t="n">
        <x:v>0</x:v>
      </x:c>
      <x:c r="G1150" s="28" t="n">
        <x:v>1</x:v>
      </x:c>
      <x:c r="H1150" s="28" t="n">
        <x:v>8</x:v>
      </x:c>
      <x:c r="I1150" s="28" t="n">
        <x:v>16</x:v>
      </x:c>
      <x:c r="J1150" s="28" t="n">
        <x:v>5</x:v>
      </x:c>
      <x:c r="K1150" s="28" t="n">
        <x:v>5</x:v>
      </x:c>
      <x:c r="L1150" s="28" t="n">
        <x:v>2</x:v>
      </x:c>
      <x:c r="M1150" s="28" t="n">
        <x:v>2</x:v>
      </x:c>
      <x:c r="N1150" s="28" t="n">
        <x:v>1</x:v>
      </x:c>
      <x:c r="O1150" s="28" t="n">
        <x:v>0</x:v>
      </x:c>
      <x:c r="P1150" s="28" t="n">
        <x:v>0</x:v>
      </x:c>
      <x:c r="Q1150" s="24" t="n">
        <x:f>IFERROR(J1150/H1150,0)</x:f>
        <x:v>0.625</x:v>
      </x:c>
      <x:c r="R1150" s="24" t="n">
        <x:f>IFERROR(F1150/H1150,0)</x:f>
        <x:v>0</x:v>
      </x:c>
      <x:c r="S1150" s="24" t="n">
        <x:f>IFERROR(F1150/J1150,0)</x:f>
        <x:v>0</x:v>
      </x:c>
      <x:c r="T1150" s="28" t="n">
        <x:f>H1150-I1150</x:f>
        <x:v>-8</x:v>
      </x:c>
      <x:c r="U1150" s="24" t="n">
        <x:f>IFERROR(J1150/H1150,0)-IFERROR(K1150/I1150,0)</x:f>
        <x:v>0.3125</x:v>
      </x:c>
      <x:c r="V1150" s="24" t="n">
        <x:f>IFERROR(F1150/J1150,0)-IFERROR(G1150/K1150,0)</x:f>
        <x:v>-0.2</x:v>
      </x:c>
      <x:c r="W1150" s="28" t="n">
        <x:f>L1150-M1150</x:f>
        <x:v>0</x:v>
      </x:c>
      <x:c r="X1150" s="24" t="n">
        <x:f>IFERROR(K1150/I1150,0)</x:f>
        <x:v>0.3125</x:v>
      </x:c>
      <x:c r="Y1150" s="24" t="n">
        <x:f>IFERROR(G1150/I1150,0)</x:f>
        <x:v>0.0625</x:v>
      </x:c>
      <x:c r="Z1150" s="24" t="n">
        <x:f>IFERROR(G1150/K1150,0)</x:f>
        <x:v>0.2</x:v>
      </x:c>
      <x:c r="AA1150" s="24" t="n">
        <x:f>IFERROR(F1150/H1150,0)-IFERROR(G1150/I1150,0)</x:f>
        <x:v>-0.0625</x:v>
      </x:c>
      <x:c r="AB1150" s="28" t="n">
        <x:f>J1150-K1150</x:f>
        <x:v>0</x:v>
      </x:c>
      <x:c r="AC1150" s="32" t="n">
        <x:f>F1150-G1150</x:f>
        <x:v>-1</x:v>
      </x:c>
    </x:row>
    <x:row r="1151">
      <x:c r="A1151" s="4" t="str">
        <x:v>2022-23</x:v>
      </x:c>
      <x:c r="B1151" s="20" t="n">
        <x:v>44947</x:v>
      </x:c>
      <x:c r="C1151" s="4" t="str">
        <x:v>West Ham</x:v>
      </x:c>
      <x:c r="D1151" s="4" t="str">
        <x:v>Everton</x:v>
      </x:c>
      <x:c r="E1151" s="4" t="str">
        <x:v>Home</x:v>
      </x:c>
      <x:c r="F1151" s="28" t="n">
        <x:v>2</x:v>
      </x:c>
      <x:c r="G1151" s="28" t="n">
        <x:v>0</x:v>
      </x:c>
      <x:c r="H1151" s="28" t="n">
        <x:v>11</x:v>
      </x:c>
      <x:c r="I1151" s="28" t="n">
        <x:v>5</x:v>
      </x:c>
      <x:c r="J1151" s="28" t="n">
        <x:v>4</x:v>
      </x:c>
      <x:c r="K1151" s="28" t="n">
        <x:v>2</x:v>
      </x:c>
      <x:c r="L1151" s="28" t="n">
        <x:v>4</x:v>
      </x:c>
      <x:c r="M1151" s="28" t="n">
        <x:v>9</x:v>
      </x:c>
      <x:c r="N1151" s="28" t="n">
        <x:v>1</x:v>
      </x:c>
      <x:c r="O1151" s="28" t="n">
        <x:v>0</x:v>
      </x:c>
      <x:c r="P1151" s="28" t="n">
        <x:v>3</x:v>
      </x:c>
      <x:c r="Q1151" s="24" t="n">
        <x:f>IFERROR(J1151/H1151,0)</x:f>
        <x:v>0.36363636363636365</x:v>
      </x:c>
      <x:c r="R1151" s="24" t="n">
        <x:f>IFERROR(F1151/H1151,0)</x:f>
        <x:v>0.18181818181818182</x:v>
      </x:c>
      <x:c r="S1151" s="24" t="n">
        <x:f>IFERROR(F1151/J1151,0)</x:f>
        <x:v>0.5</x:v>
      </x:c>
      <x:c r="T1151" s="28" t="n">
        <x:f>H1151-I1151</x:f>
        <x:v>6</x:v>
      </x:c>
      <x:c r="U1151" s="24" t="n">
        <x:f>IFERROR(J1151/H1151,0)-IFERROR(K1151/I1151,0)</x:f>
        <x:v>-0.036363636363636376</x:v>
      </x:c>
      <x:c r="V1151" s="24" t="n">
        <x:f>IFERROR(F1151/J1151,0)-IFERROR(G1151/K1151,0)</x:f>
        <x:v>0.5</x:v>
      </x:c>
      <x:c r="W1151" s="28" t="n">
        <x:f>L1151-M1151</x:f>
        <x:v>-5</x:v>
      </x:c>
      <x:c r="X1151" s="24" t="n">
        <x:f>IFERROR(K1151/I1151,0)</x:f>
        <x:v>0.4</x:v>
      </x:c>
      <x:c r="Y1151" s="24" t="n">
        <x:f>IFERROR(G1151/I1151,0)</x:f>
        <x:v>0</x:v>
      </x:c>
      <x:c r="Z1151" s="24" t="n">
        <x:f>IFERROR(G1151/K1151,0)</x:f>
        <x:v>0</x:v>
      </x:c>
      <x:c r="AA1151" s="24" t="n">
        <x:f>IFERROR(F1151/H1151,0)-IFERROR(G1151/I1151,0)</x:f>
        <x:v>0.18181818181818182</x:v>
      </x:c>
      <x:c r="AB1151" s="28" t="n">
        <x:f>J1151-K1151</x:f>
        <x:v>2</x:v>
      </x:c>
      <x:c r="AC1151" s="32" t="n">
        <x:f>F1151-G1151</x:f>
        <x:v>2</x:v>
      </x:c>
    </x:row>
    <x:row r="1152">
      <x:c r="A1152" s="4" t="str">
        <x:v>2022-23</x:v>
      </x:c>
      <x:c r="B1152" s="20" t="n">
        <x:v>44948</x:v>
      </x:c>
      <x:c r="C1152" s="4" t="str">
        <x:v>Arsenal</x:v>
      </x:c>
      <x:c r="D1152" s="4" t="str">
        <x:v>Man United</x:v>
      </x:c>
      <x:c r="E1152" s="4" t="str">
        <x:v>Home</x:v>
      </x:c>
      <x:c r="F1152" s="28" t="n">
        <x:v>3</x:v>
      </x:c>
      <x:c r="G1152" s="28" t="n">
        <x:v>2</x:v>
      </x:c>
      <x:c r="H1152" s="28" t="n">
        <x:v>25</x:v>
      </x:c>
      <x:c r="I1152" s="28" t="n">
        <x:v>6</x:v>
      </x:c>
      <x:c r="J1152" s="28" t="n">
        <x:v>5</x:v>
      </x:c>
      <x:c r="K1152" s="28" t="n">
        <x:v>4</x:v>
      </x:c>
      <x:c r="L1152" s="28" t="n">
        <x:v>12</x:v>
      </x:c>
      <x:c r="M1152" s="28" t="n">
        <x:v>4</x:v>
      </x:c>
      <x:c r="N1152" s="28" t="n">
        <x:v>1</x:v>
      </x:c>
      <x:c r="O1152" s="28" t="n">
        <x:v>0</x:v>
      </x:c>
      <x:c r="P1152" s="28" t="n">
        <x:v>3</x:v>
      </x:c>
      <x:c r="Q1152" s="24" t="n">
        <x:f>IFERROR(J1152/H1152,0)</x:f>
        <x:v>0.2</x:v>
      </x:c>
      <x:c r="R1152" s="24" t="n">
        <x:f>IFERROR(F1152/H1152,0)</x:f>
        <x:v>0.12</x:v>
      </x:c>
      <x:c r="S1152" s="24" t="n">
        <x:f>IFERROR(F1152/J1152,0)</x:f>
        <x:v>0.6</x:v>
      </x:c>
      <x:c r="T1152" s="28" t="n">
        <x:f>H1152-I1152</x:f>
        <x:v>19</x:v>
      </x:c>
      <x:c r="U1152" s="24" t="n">
        <x:f>IFERROR(J1152/H1152,0)-IFERROR(K1152/I1152,0)</x:f>
        <x:v>-0.4666666666666666</x:v>
      </x:c>
      <x:c r="V1152" s="24" t="n">
        <x:f>IFERROR(F1152/J1152,0)-IFERROR(G1152/K1152,0)</x:f>
        <x:v>0.09999999999999998</x:v>
      </x:c>
      <x:c r="W1152" s="28" t="n">
        <x:f>L1152-M1152</x:f>
        <x:v>8</x:v>
      </x:c>
      <x:c r="X1152" s="24" t="n">
        <x:f>IFERROR(K1152/I1152,0)</x:f>
        <x:v>0.6666666666666666</x:v>
      </x:c>
      <x:c r="Y1152" s="24" t="n">
        <x:f>IFERROR(G1152/I1152,0)</x:f>
        <x:v>0.3333333333333333</x:v>
      </x:c>
      <x:c r="Z1152" s="24" t="n">
        <x:f>IFERROR(G1152/K1152,0)</x:f>
        <x:v>0.5</x:v>
      </x:c>
      <x:c r="AA1152" s="24" t="n">
        <x:f>IFERROR(F1152/H1152,0)-IFERROR(G1152/I1152,0)</x:f>
        <x:v>-0.21333333333333332</x:v>
      </x:c>
      <x:c r="AB1152" s="28" t="n">
        <x:f>J1152-K1152</x:f>
        <x:v>1</x:v>
      </x:c>
      <x:c r="AC1152" s="32" t="n">
        <x:f>F1152-G1152</x:f>
        <x:v>1</x:v>
      </x:c>
    </x:row>
    <x:row r="1153">
      <x:c r="A1153" s="4" t="str">
        <x:v>2022-23</x:v>
      </x:c>
      <x:c r="B1153" s="20" t="n">
        <x:v>44948</x:v>
      </x:c>
      <x:c r="C1153" s="4" t="str">
        <x:v>Brentford</x:v>
      </x:c>
      <x:c r="D1153" s="4" t="str">
        <x:v>Leeds</x:v>
      </x:c>
      <x:c r="E1153" s="4" t="str">
        <x:v>Away</x:v>
      </x:c>
      <x:c r="F1153" s="28" t="n">
        <x:v>0</x:v>
      </x:c>
      <x:c r="G1153" s="28" t="n">
        <x:v>0</x:v>
      </x:c>
      <x:c r="H1153" s="28" t="n">
        <x:v>6</x:v>
      </x:c>
      <x:c r="I1153" s="28" t="n">
        <x:v>9</x:v>
      </x:c>
      <x:c r="J1153" s="28" t="n">
        <x:v>0</x:v>
      </x:c>
      <x:c r="K1153" s="28" t="n">
        <x:v>5</x:v>
      </x:c>
      <x:c r="L1153" s="28" t="n">
        <x:v>3</x:v>
      </x:c>
      <x:c r="M1153" s="28" t="n">
        <x:v>2</x:v>
      </x:c>
      <x:c r="N1153" s="28" t="n">
        <x:v>2</x:v>
      </x:c>
      <x:c r="O1153" s="28" t="n">
        <x:v>0</x:v>
      </x:c>
      <x:c r="P1153" s="28" t="n">
        <x:v>1</x:v>
      </x:c>
      <x:c r="Q1153" s="24" t="n">
        <x:f>IFERROR(J1153/H1153,0)</x:f>
        <x:v>0</x:v>
      </x:c>
      <x:c r="R1153" s="24" t="n">
        <x:f>IFERROR(F1153/H1153,0)</x:f>
        <x:v>0</x:v>
      </x:c>
      <x:c r="S1153" s="24" t="n">
        <x:f>IFERROR(F1153/J1153,0)</x:f>
        <x:v>0</x:v>
      </x:c>
      <x:c r="T1153" s="28" t="n">
        <x:f>H1153-I1153</x:f>
        <x:v>-3</x:v>
      </x:c>
      <x:c r="U1153" s="24" t="n">
        <x:f>IFERROR(J1153/H1153,0)-IFERROR(K1153/I1153,0)</x:f>
        <x:v>-0.5555555555555556</x:v>
      </x:c>
      <x:c r="V1153" s="24" t="n">
        <x:f>IFERROR(F1153/J1153,0)-IFERROR(G1153/K1153,0)</x:f>
        <x:v>0</x:v>
      </x:c>
      <x:c r="W1153" s="28" t="n">
        <x:f>L1153-M1153</x:f>
        <x:v>1</x:v>
      </x:c>
      <x:c r="X1153" s="24" t="n">
        <x:f>IFERROR(K1153/I1153,0)</x:f>
        <x:v>0.5555555555555556</x:v>
      </x:c>
      <x:c r="Y1153" s="24" t="n">
        <x:f>IFERROR(G1153/I1153,0)</x:f>
        <x:v>0</x:v>
      </x:c>
      <x:c r="Z1153" s="24" t="n">
        <x:f>IFERROR(G1153/K1153,0)</x:f>
        <x:v>0</x:v>
      </x:c>
      <x:c r="AA1153" s="24" t="n">
        <x:f>IFERROR(F1153/H1153,0)-IFERROR(G1153/I1153,0)</x:f>
        <x:v>0</x:v>
      </x:c>
      <x:c r="AB1153" s="28" t="n">
        <x:f>J1153-K1153</x:f>
        <x:v>-5</x:v>
      </x:c>
      <x:c r="AC1153" s="32" t="n">
        <x:f>F1153-G1153</x:f>
        <x:v>0</x:v>
      </x:c>
    </x:row>
    <x:row r="1154">
      <x:c r="A1154" s="4" t="str">
        <x:v>2022-23</x:v>
      </x:c>
      <x:c r="B1154" s="20" t="n">
        <x:v>44948</x:v>
      </x:c>
      <x:c r="C1154" s="4" t="str">
        <x:v>Leeds</x:v>
      </x:c>
      <x:c r="D1154" s="4" t="str">
        <x:v>Brentford</x:v>
      </x:c>
      <x:c r="E1154" s="4" t="str">
        <x:v>Home</x:v>
      </x:c>
      <x:c r="F1154" s="28" t="n">
        <x:v>0</x:v>
      </x:c>
      <x:c r="G1154" s="28" t="n">
        <x:v>0</x:v>
      </x:c>
      <x:c r="H1154" s="28" t="n">
        <x:v>9</x:v>
      </x:c>
      <x:c r="I1154" s="28" t="n">
        <x:v>6</x:v>
      </x:c>
      <x:c r="J1154" s="28" t="n">
        <x:v>5</x:v>
      </x:c>
      <x:c r="K1154" s="28" t="n">
        <x:v>0</x:v>
      </x:c>
      <x:c r="L1154" s="28" t="n">
        <x:v>2</x:v>
      </x:c>
      <x:c r="M1154" s="28" t="n">
        <x:v>3</x:v>
      </x:c>
      <x:c r="N1154" s="28" t="n">
        <x:v>2</x:v>
      </x:c>
      <x:c r="O1154" s="28" t="n">
        <x:v>0</x:v>
      </x:c>
      <x:c r="P1154" s="28" t="n">
        <x:v>1</x:v>
      </x:c>
      <x:c r="Q1154" s="24" t="n">
        <x:f>IFERROR(J1154/H1154,0)</x:f>
        <x:v>0.5555555555555556</x:v>
      </x:c>
      <x:c r="R1154" s="24" t="n">
        <x:f>IFERROR(F1154/H1154,0)</x:f>
        <x:v>0</x:v>
      </x:c>
      <x:c r="S1154" s="24" t="n">
        <x:f>IFERROR(F1154/J1154,0)</x:f>
        <x:v>0</x:v>
      </x:c>
      <x:c r="T1154" s="28" t="n">
        <x:f>H1154-I1154</x:f>
        <x:v>3</x:v>
      </x:c>
      <x:c r="U1154" s="24" t="n">
        <x:f>IFERROR(J1154/H1154,0)-IFERROR(K1154/I1154,0)</x:f>
        <x:v>0.5555555555555556</x:v>
      </x:c>
      <x:c r="V1154" s="24" t="n">
        <x:f>IFERROR(F1154/J1154,0)-IFERROR(G1154/K1154,0)</x:f>
        <x:v>0</x:v>
      </x:c>
      <x:c r="W1154" s="28" t="n">
        <x:f>L1154-M1154</x:f>
        <x:v>-1</x:v>
      </x:c>
      <x:c r="X1154" s="24" t="n">
        <x:f>IFERROR(K1154/I1154,0)</x:f>
        <x:v>0</x:v>
      </x:c>
      <x:c r="Y1154" s="24" t="n">
        <x:f>IFERROR(G1154/I1154,0)</x:f>
        <x:v>0</x:v>
      </x:c>
      <x:c r="Z1154" s="24" t="n">
        <x:f>IFERROR(G1154/K1154,0)</x:f>
        <x:v>0</x:v>
      </x:c>
      <x:c r="AA1154" s="24" t="n">
        <x:f>IFERROR(F1154/H1154,0)-IFERROR(G1154/I1154,0)</x:f>
        <x:v>0</x:v>
      </x:c>
      <x:c r="AB1154" s="28" t="n">
        <x:f>J1154-K1154</x:f>
        <x:v>5</x:v>
      </x:c>
      <x:c r="AC1154" s="32" t="n">
        <x:f>F1154-G1154</x:f>
        <x:v>0</x:v>
      </x:c>
    </x:row>
    <x:row r="1155">
      <x:c r="A1155" s="4" t="str">
        <x:v>2022-23</x:v>
      </x:c>
      <x:c r="B1155" s="20" t="n">
        <x:v>44948</x:v>
      </x:c>
      <x:c r="C1155" s="4" t="str">
        <x:v>Man City</x:v>
      </x:c>
      <x:c r="D1155" s="4" t="str">
        <x:v>Wolves</x:v>
      </x:c>
      <x:c r="E1155" s="4" t="str">
        <x:v>Home</x:v>
      </x:c>
      <x:c r="F1155" s="28" t="n">
        <x:v>3</x:v>
      </x:c>
      <x:c r="G1155" s="28" t="n">
        <x:v>0</x:v>
      </x:c>
      <x:c r="H1155" s="28" t="n">
        <x:v>13</x:v>
      </x:c>
      <x:c r="I1155" s="28" t="n">
        <x:v>10</x:v>
      </x:c>
      <x:c r="J1155" s="28" t="n">
        <x:v>7</x:v>
      </x:c>
      <x:c r="K1155" s="28" t="n">
        <x:v>1</x:v>
      </x:c>
      <x:c r="L1155" s="28" t="n">
        <x:v>5</x:v>
      </x:c>
      <x:c r="M1155" s="28" t="n">
        <x:v>7</x:v>
      </x:c>
      <x:c r="N1155" s="28" t="n">
        <x:v>1</x:v>
      </x:c>
      <x:c r="O1155" s="28" t="n">
        <x:v>0</x:v>
      </x:c>
      <x:c r="P1155" s="28" t="n">
        <x:v>3</x:v>
      </x:c>
      <x:c r="Q1155" s="24" t="n">
        <x:f>IFERROR(J1155/H1155,0)</x:f>
        <x:v>0.5384615384615384</x:v>
      </x:c>
      <x:c r="R1155" s="24" t="n">
        <x:f>IFERROR(F1155/H1155,0)</x:f>
        <x:v>0.23076923076923078</x:v>
      </x:c>
      <x:c r="S1155" s="24" t="n">
        <x:f>IFERROR(F1155/J1155,0)</x:f>
        <x:v>0.42857142857142855</x:v>
      </x:c>
      <x:c r="T1155" s="28" t="n">
        <x:f>H1155-I1155</x:f>
        <x:v>3</x:v>
      </x:c>
      <x:c r="U1155" s="24" t="n">
        <x:f>IFERROR(J1155/H1155,0)-IFERROR(K1155/I1155,0)</x:f>
        <x:v>0.43846153846153846</x:v>
      </x:c>
      <x:c r="V1155" s="24" t="n">
        <x:f>IFERROR(F1155/J1155,0)-IFERROR(G1155/K1155,0)</x:f>
        <x:v>0.42857142857142855</x:v>
      </x:c>
      <x:c r="W1155" s="28" t="n">
        <x:f>L1155-M1155</x:f>
        <x:v>-2</x:v>
      </x:c>
      <x:c r="X1155" s="24" t="n">
        <x:f>IFERROR(K1155/I1155,0)</x:f>
        <x:v>0.1</x:v>
      </x:c>
      <x:c r="Y1155" s="24" t="n">
        <x:f>IFERROR(G1155/I1155,0)</x:f>
        <x:v>0</x:v>
      </x:c>
      <x:c r="Z1155" s="24" t="n">
        <x:f>IFERROR(G1155/K1155,0)</x:f>
        <x:v>0</x:v>
      </x:c>
      <x:c r="AA1155" s="24" t="n">
        <x:f>IFERROR(F1155/H1155,0)-IFERROR(G1155/I1155,0)</x:f>
        <x:v>0.23076923076923078</x:v>
      </x:c>
      <x:c r="AB1155" s="28" t="n">
        <x:f>J1155-K1155</x:f>
        <x:v>6</x:v>
      </x:c>
      <x:c r="AC1155" s="32" t="n">
        <x:f>F1155-G1155</x:f>
        <x:v>3</x:v>
      </x:c>
    </x:row>
    <x:row r="1156">
      <x:c r="A1156" s="4" t="str">
        <x:v>2022-23</x:v>
      </x:c>
      <x:c r="B1156" s="20" t="n">
        <x:v>44948</x:v>
      </x:c>
      <x:c r="C1156" s="4" t="str">
        <x:v>Man United</x:v>
      </x:c>
      <x:c r="D1156" s="4" t="str">
        <x:v>Arsenal</x:v>
      </x:c>
      <x:c r="E1156" s="4" t="str">
        <x:v>Away</x:v>
      </x:c>
      <x:c r="F1156" s="28" t="n">
        <x:v>2</x:v>
      </x:c>
      <x:c r="G1156" s="28" t="n">
        <x:v>3</x:v>
      </x:c>
      <x:c r="H1156" s="28" t="n">
        <x:v>6</x:v>
      </x:c>
      <x:c r="I1156" s="28" t="n">
        <x:v>25</x:v>
      </x:c>
      <x:c r="J1156" s="28" t="n">
        <x:v>4</x:v>
      </x:c>
      <x:c r="K1156" s="28" t="n">
        <x:v>5</x:v>
      </x:c>
      <x:c r="L1156" s="28" t="n">
        <x:v>4</x:v>
      </x:c>
      <x:c r="M1156" s="28" t="n">
        <x:v>12</x:v>
      </x:c>
      <x:c r="N1156" s="28" t="n">
        <x:v>2</x:v>
      </x:c>
      <x:c r="O1156" s="28" t="n">
        <x:v>0</x:v>
      </x:c>
      <x:c r="P1156" s="28" t="n">
        <x:v>0</x:v>
      </x:c>
      <x:c r="Q1156" s="24" t="n">
        <x:f>IFERROR(J1156/H1156,0)</x:f>
        <x:v>0.6666666666666666</x:v>
      </x:c>
      <x:c r="R1156" s="24" t="n">
        <x:f>IFERROR(F1156/H1156,0)</x:f>
        <x:v>0.3333333333333333</x:v>
      </x:c>
      <x:c r="S1156" s="24" t="n">
        <x:f>IFERROR(F1156/J1156,0)</x:f>
        <x:v>0.5</x:v>
      </x:c>
      <x:c r="T1156" s="28" t="n">
        <x:f>H1156-I1156</x:f>
        <x:v>-19</x:v>
      </x:c>
      <x:c r="U1156" s="24" t="n">
        <x:f>IFERROR(J1156/H1156,0)-IFERROR(K1156/I1156,0)</x:f>
        <x:v>0.4666666666666666</x:v>
      </x:c>
      <x:c r="V1156" s="24" t="n">
        <x:f>IFERROR(F1156/J1156,0)-IFERROR(G1156/K1156,0)</x:f>
        <x:v>-0.09999999999999998</x:v>
      </x:c>
      <x:c r="W1156" s="28" t="n">
        <x:f>L1156-M1156</x:f>
        <x:v>-8</x:v>
      </x:c>
      <x:c r="X1156" s="24" t="n">
        <x:f>IFERROR(K1156/I1156,0)</x:f>
        <x:v>0.2</x:v>
      </x:c>
      <x:c r="Y1156" s="24" t="n">
        <x:f>IFERROR(G1156/I1156,0)</x:f>
        <x:v>0.12</x:v>
      </x:c>
      <x:c r="Z1156" s="24" t="n">
        <x:f>IFERROR(G1156/K1156,0)</x:f>
        <x:v>0.6</x:v>
      </x:c>
      <x:c r="AA1156" s="24" t="n">
        <x:f>IFERROR(F1156/H1156,0)-IFERROR(G1156/I1156,0)</x:f>
        <x:v>0.21333333333333332</x:v>
      </x:c>
      <x:c r="AB1156" s="28" t="n">
        <x:f>J1156-K1156</x:f>
        <x:v>-1</x:v>
      </x:c>
      <x:c r="AC1156" s="32" t="n">
        <x:f>F1156-G1156</x:f>
        <x:v>-1</x:v>
      </x:c>
    </x:row>
    <x:row r="1157">
      <x:c r="A1157" s="4" t="str">
        <x:v>2022-23</x:v>
      </x:c>
      <x:c r="B1157" s="20" t="n">
        <x:v>44948</x:v>
      </x:c>
      <x:c r="C1157" s="4" t="str">
        <x:v>Wolves</x:v>
      </x:c>
      <x:c r="D1157" s="4" t="str">
        <x:v>Man City</x:v>
      </x:c>
      <x:c r="E1157" s="4" t="str">
        <x:v>Away</x:v>
      </x:c>
      <x:c r="F1157" s="28" t="n">
        <x:v>0</x:v>
      </x:c>
      <x:c r="G1157" s="28" t="n">
        <x:v>3</x:v>
      </x:c>
      <x:c r="H1157" s="28" t="n">
        <x:v>10</x:v>
      </x:c>
      <x:c r="I1157" s="28" t="n">
        <x:v>13</x:v>
      </x:c>
      <x:c r="J1157" s="28" t="n">
        <x:v>1</x:v>
      </x:c>
      <x:c r="K1157" s="28" t="n">
        <x:v>7</x:v>
      </x:c>
      <x:c r="L1157" s="28" t="n">
        <x:v>7</x:v>
      </x:c>
      <x:c r="M1157" s="28" t="n">
        <x:v>5</x:v>
      </x:c>
      <x:c r="N1157" s="28" t="n">
        <x:v>2</x:v>
      </x:c>
      <x:c r="O1157" s="28" t="n">
        <x:v>0</x:v>
      </x:c>
      <x:c r="P1157" s="28" t="n">
        <x:v>0</x:v>
      </x:c>
      <x:c r="Q1157" s="24" t="n">
        <x:f>IFERROR(J1157/H1157,0)</x:f>
        <x:v>0.1</x:v>
      </x:c>
      <x:c r="R1157" s="24" t="n">
        <x:f>IFERROR(F1157/H1157,0)</x:f>
        <x:v>0</x:v>
      </x:c>
      <x:c r="S1157" s="24" t="n">
        <x:f>IFERROR(F1157/J1157,0)</x:f>
        <x:v>0</x:v>
      </x:c>
      <x:c r="T1157" s="28" t="n">
        <x:f>H1157-I1157</x:f>
        <x:v>-3</x:v>
      </x:c>
      <x:c r="U1157" s="24" t="n">
        <x:f>IFERROR(J1157/H1157,0)-IFERROR(K1157/I1157,0)</x:f>
        <x:v>-0.43846153846153846</x:v>
      </x:c>
      <x:c r="V1157" s="24" t="n">
        <x:f>IFERROR(F1157/J1157,0)-IFERROR(G1157/K1157,0)</x:f>
        <x:v>-0.42857142857142855</x:v>
      </x:c>
      <x:c r="W1157" s="28" t="n">
        <x:f>L1157-M1157</x:f>
        <x:v>2</x:v>
      </x:c>
      <x:c r="X1157" s="24" t="n">
        <x:f>IFERROR(K1157/I1157,0)</x:f>
        <x:v>0.5384615384615384</x:v>
      </x:c>
      <x:c r="Y1157" s="24" t="n">
        <x:f>IFERROR(G1157/I1157,0)</x:f>
        <x:v>0.23076923076923078</x:v>
      </x:c>
      <x:c r="Z1157" s="24" t="n">
        <x:f>IFERROR(G1157/K1157,0)</x:f>
        <x:v>0.42857142857142855</x:v>
      </x:c>
      <x:c r="AA1157" s="24" t="n">
        <x:f>IFERROR(F1157/H1157,0)-IFERROR(G1157/I1157,0)</x:f>
        <x:v>-0.23076923076923078</x:v>
      </x:c>
      <x:c r="AB1157" s="28" t="n">
        <x:f>J1157-K1157</x:f>
        <x:v>-6</x:v>
      </x:c>
      <x:c r="AC1157" s="32" t="n">
        <x:f>F1157-G1157</x:f>
        <x:v>-3</x:v>
      </x:c>
    </x:row>
    <x:row r="1158">
      <x:c r="A1158" s="4" t="str">
        <x:v>2022-23</x:v>
      </x:c>
      <x:c r="B1158" s="20" t="n">
        <x:v>44949</x:v>
      </x:c>
      <x:c r="C1158" s="4" t="str">
        <x:v>Fulham</x:v>
      </x:c>
      <x:c r="D1158" s="4" t="str">
        <x:v>Tottenham</x:v>
      </x:c>
      <x:c r="E1158" s="4" t="str">
        <x:v>Home</x:v>
      </x:c>
      <x:c r="F1158" s="28" t="n">
        <x:v>0</x:v>
      </x:c>
      <x:c r="G1158" s="28" t="n">
        <x:v>1</x:v>
      </x:c>
      <x:c r="H1158" s="28" t="n">
        <x:v>10</x:v>
      </x:c>
      <x:c r="I1158" s="28" t="n">
        <x:v>10</x:v>
      </x:c>
      <x:c r="J1158" s="28" t="n">
        <x:v>5</x:v>
      </x:c>
      <x:c r="K1158" s="28" t="n">
        <x:v>3</x:v>
      </x:c>
      <x:c r="L1158" s="28" t="n">
        <x:v>3</x:v>
      </x:c>
      <x:c r="M1158" s="28" t="n">
        <x:v>8</x:v>
      </x:c>
      <x:c r="N1158" s="28" t="n">
        <x:v>1</x:v>
      </x:c>
      <x:c r="O1158" s="28" t="n">
        <x:v>0</x:v>
      </x:c>
      <x:c r="P1158" s="28" t="n">
        <x:v>0</x:v>
      </x:c>
      <x:c r="Q1158" s="24" t="n">
        <x:f>IFERROR(J1158/H1158,0)</x:f>
        <x:v>0.5</x:v>
      </x:c>
      <x:c r="R1158" s="24" t="n">
        <x:f>IFERROR(F1158/H1158,0)</x:f>
        <x:v>0</x:v>
      </x:c>
      <x:c r="S1158" s="24" t="n">
        <x:f>IFERROR(F1158/J1158,0)</x:f>
        <x:v>0</x:v>
      </x:c>
      <x:c r="T1158" s="28" t="n">
        <x:f>H1158-I1158</x:f>
        <x:v>0</x:v>
      </x:c>
      <x:c r="U1158" s="24" t="n">
        <x:f>IFERROR(J1158/H1158,0)-IFERROR(K1158/I1158,0)</x:f>
        <x:v>0.2</x:v>
      </x:c>
      <x:c r="V1158" s="24" t="n">
        <x:f>IFERROR(F1158/J1158,0)-IFERROR(G1158/K1158,0)</x:f>
        <x:v>-0.3333333333333333</x:v>
      </x:c>
      <x:c r="W1158" s="28" t="n">
        <x:f>L1158-M1158</x:f>
        <x:v>-5</x:v>
      </x:c>
      <x:c r="X1158" s="24" t="n">
        <x:f>IFERROR(K1158/I1158,0)</x:f>
        <x:v>0.3</x:v>
      </x:c>
      <x:c r="Y1158" s="24" t="n">
        <x:f>IFERROR(G1158/I1158,0)</x:f>
        <x:v>0.1</x:v>
      </x:c>
      <x:c r="Z1158" s="24" t="n">
        <x:f>IFERROR(G1158/K1158,0)</x:f>
        <x:v>0.3333333333333333</x:v>
      </x:c>
      <x:c r="AA1158" s="24" t="n">
        <x:f>IFERROR(F1158/H1158,0)-IFERROR(G1158/I1158,0)</x:f>
        <x:v>-0.1</x:v>
      </x:c>
      <x:c r="AB1158" s="28" t="n">
        <x:f>J1158-K1158</x:f>
        <x:v>2</x:v>
      </x:c>
      <x:c r="AC1158" s="32" t="n">
        <x:f>F1158-G1158</x:f>
        <x:v>-1</x:v>
      </x:c>
    </x:row>
    <x:row r="1159">
      <x:c r="A1159" s="4" t="str">
        <x:v>2022-23</x:v>
      </x:c>
      <x:c r="B1159" s="20" t="n">
        <x:v>44949</x:v>
      </x:c>
      <x:c r="C1159" s="4" t="str">
        <x:v>Tottenham</x:v>
      </x:c>
      <x:c r="D1159" s="4" t="str">
        <x:v>Fulham</x:v>
      </x:c>
      <x:c r="E1159" s="4" t="str">
        <x:v>Away</x:v>
      </x:c>
      <x:c r="F1159" s="28" t="n">
        <x:v>1</x:v>
      </x:c>
      <x:c r="G1159" s="28" t="n">
        <x:v>0</x:v>
      </x:c>
      <x:c r="H1159" s="28" t="n">
        <x:v>10</x:v>
      </x:c>
      <x:c r="I1159" s="28" t="n">
        <x:v>10</x:v>
      </x:c>
      <x:c r="J1159" s="28" t="n">
        <x:v>3</x:v>
      </x:c>
      <x:c r="K1159" s="28" t="n">
        <x:v>5</x:v>
      </x:c>
      <x:c r="L1159" s="28" t="n">
        <x:v>8</x:v>
      </x:c>
      <x:c r="M1159" s="28" t="n">
        <x:v>3</x:v>
      </x:c>
      <x:c r="N1159" s="28" t="n">
        <x:v>3</x:v>
      </x:c>
      <x:c r="O1159" s="28" t="n">
        <x:v>0</x:v>
      </x:c>
      <x:c r="P1159" s="28" t="n">
        <x:v>3</x:v>
      </x:c>
      <x:c r="Q1159" s="24" t="n">
        <x:f>IFERROR(J1159/H1159,0)</x:f>
        <x:v>0.3</x:v>
      </x:c>
      <x:c r="R1159" s="24" t="n">
        <x:f>IFERROR(F1159/H1159,0)</x:f>
        <x:v>0.1</x:v>
      </x:c>
      <x:c r="S1159" s="24" t="n">
        <x:f>IFERROR(F1159/J1159,0)</x:f>
        <x:v>0.3333333333333333</x:v>
      </x:c>
      <x:c r="T1159" s="28" t="n">
        <x:f>H1159-I1159</x:f>
        <x:v>0</x:v>
      </x:c>
      <x:c r="U1159" s="24" t="n">
        <x:f>IFERROR(J1159/H1159,0)-IFERROR(K1159/I1159,0)</x:f>
        <x:v>-0.2</x:v>
      </x:c>
      <x:c r="V1159" s="24" t="n">
        <x:f>IFERROR(F1159/J1159,0)-IFERROR(G1159/K1159,0)</x:f>
        <x:v>0.3333333333333333</x:v>
      </x:c>
      <x:c r="W1159" s="28" t="n">
        <x:f>L1159-M1159</x:f>
        <x:v>5</x:v>
      </x:c>
      <x:c r="X1159" s="24" t="n">
        <x:f>IFERROR(K1159/I1159,0)</x:f>
        <x:v>0.5</x:v>
      </x:c>
      <x:c r="Y1159" s="24" t="n">
        <x:f>IFERROR(G1159/I1159,0)</x:f>
        <x:v>0</x:v>
      </x:c>
      <x:c r="Z1159" s="24" t="n">
        <x:f>IFERROR(G1159/K1159,0)</x:f>
        <x:v>0</x:v>
      </x:c>
      <x:c r="AA1159" s="24" t="n">
        <x:f>IFERROR(F1159/H1159,0)-IFERROR(G1159/I1159,0)</x:f>
        <x:v>0.1</x:v>
      </x:c>
      <x:c r="AB1159" s="28" t="n">
        <x:f>J1159-K1159</x:f>
        <x:v>-2</x:v>
      </x:c>
      <x:c r="AC1159" s="32" t="n">
        <x:f>F1159-G1159</x:f>
        <x:v>1</x:v>
      </x:c>
    </x:row>
    <x:row r="1160">
      <x:c r="A1160" s="4" t="str">
        <x:v>2022-23</x:v>
      </x:c>
      <x:c r="B1160" s="20" t="n">
        <x:v>44960</x:v>
      </x:c>
      <x:c r="C1160" s="4" t="str">
        <x:v>Chelsea</x:v>
      </x:c>
      <x:c r="D1160" s="4" t="str">
        <x:v>Fulham</x:v>
      </x:c>
      <x:c r="E1160" s="4" t="str">
        <x:v>Home</x:v>
      </x:c>
      <x:c r="F1160" s="28" t="n">
        <x:v>0</x:v>
      </x:c>
      <x:c r="G1160" s="28" t="n">
        <x:v>0</x:v>
      </x:c>
      <x:c r="H1160" s="28" t="n">
        <x:v>12</x:v>
      </x:c>
      <x:c r="I1160" s="28" t="n">
        <x:v>10</x:v>
      </x:c>
      <x:c r="J1160" s="28" t="n">
        <x:v>3</x:v>
      </x:c>
      <x:c r="K1160" s="28" t="n">
        <x:v>4</x:v>
      </x:c>
      <x:c r="L1160" s="28" t="n">
        <x:v>6</x:v>
      </x:c>
      <x:c r="M1160" s="28" t="n">
        <x:v>2</x:v>
      </x:c>
      <x:c r="N1160" s="28" t="n">
        <x:v>1</x:v>
      </x:c>
      <x:c r="O1160" s="28" t="n">
        <x:v>0</x:v>
      </x:c>
      <x:c r="P1160" s="28" t="n">
        <x:v>1</x:v>
      </x:c>
      <x:c r="Q1160" s="24" t="n">
        <x:f>IFERROR(J1160/H1160,0)</x:f>
        <x:v>0.25</x:v>
      </x:c>
      <x:c r="R1160" s="24" t="n">
        <x:f>IFERROR(F1160/H1160,0)</x:f>
        <x:v>0</x:v>
      </x:c>
      <x:c r="S1160" s="24" t="n">
        <x:f>IFERROR(F1160/J1160,0)</x:f>
        <x:v>0</x:v>
      </x:c>
      <x:c r="T1160" s="28" t="n">
        <x:f>H1160-I1160</x:f>
        <x:v>2</x:v>
      </x:c>
      <x:c r="U1160" s="24" t="n">
        <x:f>IFERROR(J1160/H1160,0)-IFERROR(K1160/I1160,0)</x:f>
        <x:v>-0.15000000000000002</x:v>
      </x:c>
      <x:c r="V1160" s="24" t="n">
        <x:f>IFERROR(F1160/J1160,0)-IFERROR(G1160/K1160,0)</x:f>
        <x:v>0</x:v>
      </x:c>
      <x:c r="W1160" s="28" t="n">
        <x:f>L1160-M1160</x:f>
        <x:v>4</x:v>
      </x:c>
      <x:c r="X1160" s="24" t="n">
        <x:f>IFERROR(K1160/I1160,0)</x:f>
        <x:v>0.4</x:v>
      </x:c>
      <x:c r="Y1160" s="24" t="n">
        <x:f>IFERROR(G1160/I1160,0)</x:f>
        <x:v>0</x:v>
      </x:c>
      <x:c r="Z1160" s="24" t="n">
        <x:f>IFERROR(G1160/K1160,0)</x:f>
        <x:v>0</x:v>
      </x:c>
      <x:c r="AA1160" s="24" t="n">
        <x:f>IFERROR(F1160/H1160,0)-IFERROR(G1160/I1160,0)</x:f>
        <x:v>0</x:v>
      </x:c>
      <x:c r="AB1160" s="28" t="n">
        <x:f>J1160-K1160</x:f>
        <x:v>-1</x:v>
      </x:c>
      <x:c r="AC1160" s="32" t="n">
        <x:f>F1160-G1160</x:f>
        <x:v>0</x:v>
      </x:c>
    </x:row>
    <x:row r="1161">
      <x:c r="A1161" s="4" t="str">
        <x:v>2022-23</x:v>
      </x:c>
      <x:c r="B1161" s="20" t="n">
        <x:v>44960</x:v>
      </x:c>
      <x:c r="C1161" s="4" t="str">
        <x:v>Fulham</x:v>
      </x:c>
      <x:c r="D1161" s="4" t="str">
        <x:v>Chelsea</x:v>
      </x:c>
      <x:c r="E1161" s="4" t="str">
        <x:v>Away</x:v>
      </x:c>
      <x:c r="F1161" s="28" t="n">
        <x:v>0</x:v>
      </x:c>
      <x:c r="G1161" s="28" t="n">
        <x:v>0</x:v>
      </x:c>
      <x:c r="H1161" s="28" t="n">
        <x:v>10</x:v>
      </x:c>
      <x:c r="I1161" s="28" t="n">
        <x:v>12</x:v>
      </x:c>
      <x:c r="J1161" s="28" t="n">
        <x:v>4</x:v>
      </x:c>
      <x:c r="K1161" s="28" t="n">
        <x:v>3</x:v>
      </x:c>
      <x:c r="L1161" s="28" t="n">
        <x:v>2</x:v>
      </x:c>
      <x:c r="M1161" s="28" t="n">
        <x:v>6</x:v>
      </x:c>
      <x:c r="N1161" s="28" t="n">
        <x:v>4</x:v>
      </x:c>
      <x:c r="O1161" s="28" t="n">
        <x:v>0</x:v>
      </x:c>
      <x:c r="P1161" s="28" t="n">
        <x:v>1</x:v>
      </x:c>
      <x:c r="Q1161" s="24" t="n">
        <x:f>IFERROR(J1161/H1161,0)</x:f>
        <x:v>0.4</x:v>
      </x:c>
      <x:c r="R1161" s="24" t="n">
        <x:f>IFERROR(F1161/H1161,0)</x:f>
        <x:v>0</x:v>
      </x:c>
      <x:c r="S1161" s="24" t="n">
        <x:f>IFERROR(F1161/J1161,0)</x:f>
        <x:v>0</x:v>
      </x:c>
      <x:c r="T1161" s="28" t="n">
        <x:f>H1161-I1161</x:f>
        <x:v>-2</x:v>
      </x:c>
      <x:c r="U1161" s="24" t="n">
        <x:f>IFERROR(J1161/H1161,0)-IFERROR(K1161/I1161,0)</x:f>
        <x:v>0.15000000000000002</x:v>
      </x:c>
      <x:c r="V1161" s="24" t="n">
        <x:f>IFERROR(F1161/J1161,0)-IFERROR(G1161/K1161,0)</x:f>
        <x:v>0</x:v>
      </x:c>
      <x:c r="W1161" s="28" t="n">
        <x:f>L1161-M1161</x:f>
        <x:v>-4</x:v>
      </x:c>
      <x:c r="X1161" s="24" t="n">
        <x:f>IFERROR(K1161/I1161,0)</x:f>
        <x:v>0.25</x:v>
      </x:c>
      <x:c r="Y1161" s="24" t="n">
        <x:f>IFERROR(G1161/I1161,0)</x:f>
        <x:v>0</x:v>
      </x:c>
      <x:c r="Z1161" s="24" t="n">
        <x:f>IFERROR(G1161/K1161,0)</x:f>
        <x:v>0</x:v>
      </x:c>
      <x:c r="AA1161" s="24" t="n">
        <x:f>IFERROR(F1161/H1161,0)-IFERROR(G1161/I1161,0)</x:f>
        <x:v>0</x:v>
      </x:c>
      <x:c r="AB1161" s="28" t="n">
        <x:f>J1161-K1161</x:f>
        <x:v>1</x:v>
      </x:c>
      <x:c r="AC1161" s="32" t="n">
        <x:f>F1161-G1161</x:f>
        <x:v>0</x:v>
      </x:c>
    </x:row>
    <x:row r="1162">
      <x:c r="A1162" s="4" t="str">
        <x:v>2022-23</x:v>
      </x:c>
      <x:c r="B1162" s="20" t="n">
        <x:v>44961</x:v>
      </x:c>
      <x:c r="C1162" s="4" t="str">
        <x:v>Arsenal</x:v>
      </x:c>
      <x:c r="D1162" s="4" t="str">
        <x:v>Everton</x:v>
      </x:c>
      <x:c r="E1162" s="4" t="str">
        <x:v>Away</x:v>
      </x:c>
      <x:c r="F1162" s="28" t="n">
        <x:v>0</x:v>
      </x:c>
      <x:c r="G1162" s="28" t="n">
        <x:v>1</x:v>
      </x:c>
      <x:c r="H1162" s="28" t="n">
        <x:v>15</x:v>
      </x:c>
      <x:c r="I1162" s="28" t="n">
        <x:v>12</x:v>
      </x:c>
      <x:c r="J1162" s="28" t="n">
        <x:v>3</x:v>
      </x:c>
      <x:c r="K1162" s="28" t="n">
        <x:v>4</x:v>
      </x:c>
      <x:c r="L1162" s="28" t="n">
        <x:v>5</x:v>
      </x:c>
      <x:c r="M1162" s="28" t="n">
        <x:v>7</x:v>
      </x:c>
      <x:c r="N1162" s="28" t="n">
        <x:v>1</x:v>
      </x:c>
      <x:c r="O1162" s="28" t="n">
        <x:v>0</x:v>
      </x:c>
      <x:c r="P1162" s="28" t="n">
        <x:v>0</x:v>
      </x:c>
      <x:c r="Q1162" s="24" t="n">
        <x:f>IFERROR(J1162/H1162,0)</x:f>
        <x:v>0.2</x:v>
      </x:c>
      <x:c r="R1162" s="24" t="n">
        <x:f>IFERROR(F1162/H1162,0)</x:f>
        <x:v>0</x:v>
      </x:c>
      <x:c r="S1162" s="24" t="n">
        <x:f>IFERROR(F1162/J1162,0)</x:f>
        <x:v>0</x:v>
      </x:c>
      <x:c r="T1162" s="28" t="n">
        <x:f>H1162-I1162</x:f>
        <x:v>3</x:v>
      </x:c>
      <x:c r="U1162" s="24" t="n">
        <x:f>IFERROR(J1162/H1162,0)-IFERROR(K1162/I1162,0)</x:f>
        <x:v>-0.1333333333333333</x:v>
      </x:c>
      <x:c r="V1162" s="24" t="n">
        <x:f>IFERROR(F1162/J1162,0)-IFERROR(G1162/K1162,0)</x:f>
        <x:v>-0.25</x:v>
      </x:c>
      <x:c r="W1162" s="28" t="n">
        <x:f>L1162-M1162</x:f>
        <x:v>-2</x:v>
      </x:c>
      <x:c r="X1162" s="24" t="n">
        <x:f>IFERROR(K1162/I1162,0)</x:f>
        <x:v>0.3333333333333333</x:v>
      </x:c>
      <x:c r="Y1162" s="24" t="n">
        <x:f>IFERROR(G1162/I1162,0)</x:f>
        <x:v>0.08333333333333333</x:v>
      </x:c>
      <x:c r="Z1162" s="24" t="n">
        <x:f>IFERROR(G1162/K1162,0)</x:f>
        <x:v>0.25</x:v>
      </x:c>
      <x:c r="AA1162" s="24" t="n">
        <x:f>IFERROR(F1162/H1162,0)-IFERROR(G1162/I1162,0)</x:f>
        <x:v>-0.08333333333333333</x:v>
      </x:c>
      <x:c r="AB1162" s="28" t="n">
        <x:f>J1162-K1162</x:f>
        <x:v>-1</x:v>
      </x:c>
      <x:c r="AC1162" s="32" t="n">
        <x:f>F1162-G1162</x:f>
        <x:v>-1</x:v>
      </x:c>
    </x:row>
    <x:row r="1163">
      <x:c r="A1163" s="4" t="str">
        <x:v>2022-23</x:v>
      </x:c>
      <x:c r="B1163" s="20" t="n">
        <x:v>44961</x:v>
      </x:c>
      <x:c r="C1163" s="4" t="str">
        <x:v>Aston Villa</x:v>
      </x:c>
      <x:c r="D1163" s="4" t="str">
        <x:v>Leicester</x:v>
      </x:c>
      <x:c r="E1163" s="4" t="str">
        <x:v>Home</x:v>
      </x:c>
      <x:c r="F1163" s="28" t="n">
        <x:v>2</x:v>
      </x:c>
      <x:c r="G1163" s="28" t="n">
        <x:v>4</x:v>
      </x:c>
      <x:c r="H1163" s="28" t="n">
        <x:v>19</x:v>
      </x:c>
      <x:c r="I1163" s="28" t="n">
        <x:v>9</x:v>
      </x:c>
      <x:c r="J1163" s="28" t="n">
        <x:v>4</x:v>
      </x:c>
      <x:c r="K1163" s="28" t="n">
        <x:v>5</x:v>
      </x:c>
      <x:c r="L1163" s="28" t="n">
        <x:v>11</x:v>
      </x:c>
      <x:c r="M1163" s="28" t="n">
        <x:v>3</x:v>
      </x:c>
      <x:c r="N1163" s="28" t="n">
        <x:v>0</x:v>
      </x:c>
      <x:c r="O1163" s="28" t="n">
        <x:v>0</x:v>
      </x:c>
      <x:c r="P1163" s="28" t="n">
        <x:v>0</x:v>
      </x:c>
      <x:c r="Q1163" s="24" t="n">
        <x:f>IFERROR(J1163/H1163,0)</x:f>
        <x:v>0.21052631578947367</x:v>
      </x:c>
      <x:c r="R1163" s="24" t="n">
        <x:f>IFERROR(F1163/H1163,0)</x:f>
        <x:v>0.10526315789473684</x:v>
      </x:c>
      <x:c r="S1163" s="24" t="n">
        <x:f>IFERROR(F1163/J1163,0)</x:f>
        <x:v>0.5</x:v>
      </x:c>
      <x:c r="T1163" s="28" t="n">
        <x:f>H1163-I1163</x:f>
        <x:v>10</x:v>
      </x:c>
      <x:c r="U1163" s="24" t="n">
        <x:f>IFERROR(J1163/H1163,0)-IFERROR(K1163/I1163,0)</x:f>
        <x:v>-0.3450292397660819</x:v>
      </x:c>
      <x:c r="V1163" s="24" t="n">
        <x:f>IFERROR(F1163/J1163,0)-IFERROR(G1163/K1163,0)</x:f>
        <x:v>-0.30000000000000004</x:v>
      </x:c>
      <x:c r="W1163" s="28" t="n">
        <x:f>L1163-M1163</x:f>
        <x:v>8</x:v>
      </x:c>
      <x:c r="X1163" s="24" t="n">
        <x:f>IFERROR(K1163/I1163,0)</x:f>
        <x:v>0.5555555555555556</x:v>
      </x:c>
      <x:c r="Y1163" s="24" t="n">
        <x:f>IFERROR(G1163/I1163,0)</x:f>
        <x:v>0.4444444444444444</x:v>
      </x:c>
      <x:c r="Z1163" s="24" t="n">
        <x:f>IFERROR(G1163/K1163,0)</x:f>
        <x:v>0.8</x:v>
      </x:c>
      <x:c r="AA1163" s="24" t="n">
        <x:f>IFERROR(F1163/H1163,0)-IFERROR(G1163/I1163,0)</x:f>
        <x:v>-0.3391812865497076</x:v>
      </x:c>
      <x:c r="AB1163" s="28" t="n">
        <x:f>J1163-K1163</x:f>
        <x:v>-1</x:v>
      </x:c>
      <x:c r="AC1163" s="32" t="n">
        <x:f>F1163-G1163</x:f>
        <x:v>-2</x:v>
      </x:c>
    </x:row>
    <x:row r="1164">
      <x:c r="A1164" s="4" t="str">
        <x:v>2022-23</x:v>
      </x:c>
      <x:c r="B1164" s="20" t="n">
        <x:v>44961</x:v>
      </x:c>
      <x:c r="C1164" s="4" t="str">
        <x:v>Bournemouth</x:v>
      </x:c>
      <x:c r="D1164" s="4" t="str">
        <x:v>Brighton</x:v>
      </x:c>
      <x:c r="E1164" s="4" t="str">
        <x:v>Away</x:v>
      </x:c>
      <x:c r="F1164" s="28" t="n">
        <x:v>0</x:v>
      </x:c>
      <x:c r="G1164" s="28" t="n">
        <x:v>1</x:v>
      </x:c>
      <x:c r="H1164" s="28" t="n">
        <x:v>12</x:v>
      </x:c>
      <x:c r="I1164" s="28" t="n">
        <x:v>20</x:v>
      </x:c>
      <x:c r="J1164" s="28" t="n">
        <x:v>2</x:v>
      </x:c>
      <x:c r="K1164" s="28" t="n">
        <x:v>6</x:v>
      </x:c>
      <x:c r="L1164" s="28" t="n">
        <x:v>3</x:v>
      </x:c>
      <x:c r="M1164" s="28" t="n">
        <x:v>7</x:v>
      </x:c>
      <x:c r="N1164" s="28" t="n">
        <x:v>1</x:v>
      </x:c>
      <x:c r="O1164" s="28" t="n">
        <x:v>0</x:v>
      </x:c>
      <x:c r="P1164" s="28" t="n">
        <x:v>0</x:v>
      </x:c>
      <x:c r="Q1164" s="24" t="n">
        <x:f>IFERROR(J1164/H1164,0)</x:f>
        <x:v>0.16666666666666666</x:v>
      </x:c>
      <x:c r="R1164" s="24" t="n">
        <x:f>IFERROR(F1164/H1164,0)</x:f>
        <x:v>0</x:v>
      </x:c>
      <x:c r="S1164" s="24" t="n">
        <x:f>IFERROR(F1164/J1164,0)</x:f>
        <x:v>0</x:v>
      </x:c>
      <x:c r="T1164" s="28" t="n">
        <x:f>H1164-I1164</x:f>
        <x:v>-8</x:v>
      </x:c>
      <x:c r="U1164" s="24" t="n">
        <x:f>IFERROR(J1164/H1164,0)-IFERROR(K1164/I1164,0)</x:f>
        <x:v>-0.13333333333333333</x:v>
      </x:c>
      <x:c r="V1164" s="24" t="n">
        <x:f>IFERROR(F1164/J1164,0)-IFERROR(G1164/K1164,0)</x:f>
        <x:v>-0.16666666666666666</x:v>
      </x:c>
      <x:c r="W1164" s="28" t="n">
        <x:f>L1164-M1164</x:f>
        <x:v>-4</x:v>
      </x:c>
      <x:c r="X1164" s="24" t="n">
        <x:f>IFERROR(K1164/I1164,0)</x:f>
        <x:v>0.3</x:v>
      </x:c>
      <x:c r="Y1164" s="24" t="n">
        <x:f>IFERROR(G1164/I1164,0)</x:f>
        <x:v>0.05</x:v>
      </x:c>
      <x:c r="Z1164" s="24" t="n">
        <x:f>IFERROR(G1164/K1164,0)</x:f>
        <x:v>0.16666666666666666</x:v>
      </x:c>
      <x:c r="AA1164" s="24" t="n">
        <x:f>IFERROR(F1164/H1164,0)-IFERROR(G1164/I1164,0)</x:f>
        <x:v>-0.05</x:v>
      </x:c>
      <x:c r="AB1164" s="28" t="n">
        <x:f>J1164-K1164</x:f>
        <x:v>-4</x:v>
      </x:c>
      <x:c r="AC1164" s="32" t="n">
        <x:f>F1164-G1164</x:f>
        <x:v>-1</x:v>
      </x:c>
    </x:row>
    <x:row r="1165">
      <x:c r="A1165" s="4" t="str">
        <x:v>2022-23</x:v>
      </x:c>
      <x:c r="B1165" s="20" t="n">
        <x:v>44961</x:v>
      </x:c>
      <x:c r="C1165" s="4" t="str">
        <x:v>Brentford</x:v>
      </x:c>
      <x:c r="D1165" s="4" t="str">
        <x:v>Southampton</x:v>
      </x:c>
      <x:c r="E1165" s="4" t="str">
        <x:v>Home</x:v>
      </x:c>
      <x:c r="F1165" s="28" t="n">
        <x:v>3</x:v>
      </x:c>
      <x:c r="G1165" s="28" t="n">
        <x:v>0</x:v>
      </x:c>
      <x:c r="H1165" s="28" t="n">
        <x:v>14</x:v>
      </x:c>
      <x:c r="I1165" s="28" t="n">
        <x:v>14</x:v>
      </x:c>
      <x:c r="J1165" s="28" t="n">
        <x:v>4</x:v>
      </x:c>
      <x:c r="K1165" s="28" t="n">
        <x:v>6</x:v>
      </x:c>
      <x:c r="L1165" s="28" t="n">
        <x:v>4</x:v>
      </x:c>
      <x:c r="M1165" s="28" t="n">
        <x:v>4</x:v>
      </x:c>
      <x:c r="N1165" s="28" t="n">
        <x:v>1</x:v>
      </x:c>
      <x:c r="O1165" s="28" t="n">
        <x:v>0</x:v>
      </x:c>
      <x:c r="P1165" s="28" t="n">
        <x:v>3</x:v>
      </x:c>
      <x:c r="Q1165" s="24" t="n">
        <x:f>IFERROR(J1165/H1165,0)</x:f>
        <x:v>0.2857142857142857</x:v>
      </x:c>
      <x:c r="R1165" s="24" t="n">
        <x:f>IFERROR(F1165/H1165,0)</x:f>
        <x:v>0.21428571428571427</x:v>
      </x:c>
      <x:c r="S1165" s="24" t="n">
        <x:f>IFERROR(F1165/J1165,0)</x:f>
        <x:v>0.75</x:v>
      </x:c>
      <x:c r="T1165" s="28" t="n">
        <x:f>H1165-I1165</x:f>
        <x:v>0</x:v>
      </x:c>
      <x:c r="U1165" s="24" t="n">
        <x:f>IFERROR(J1165/H1165,0)-IFERROR(K1165/I1165,0)</x:f>
        <x:v>-0.14285714285714285</x:v>
      </x:c>
      <x:c r="V1165" s="24" t="n">
        <x:f>IFERROR(F1165/J1165,0)-IFERROR(G1165/K1165,0)</x:f>
        <x:v>0.75</x:v>
      </x:c>
      <x:c r="W1165" s="28" t="n">
        <x:f>L1165-M1165</x:f>
        <x:v>0</x:v>
      </x:c>
      <x:c r="X1165" s="24" t="n">
        <x:f>IFERROR(K1165/I1165,0)</x:f>
        <x:v>0.42857142857142855</x:v>
      </x:c>
      <x:c r="Y1165" s="24" t="n">
        <x:f>IFERROR(G1165/I1165,0)</x:f>
        <x:v>0</x:v>
      </x:c>
      <x:c r="Z1165" s="24" t="n">
        <x:f>IFERROR(G1165/K1165,0)</x:f>
        <x:v>0</x:v>
      </x:c>
      <x:c r="AA1165" s="24" t="n">
        <x:f>IFERROR(F1165/H1165,0)-IFERROR(G1165/I1165,0)</x:f>
        <x:v>0.21428571428571427</x:v>
      </x:c>
      <x:c r="AB1165" s="28" t="n">
        <x:f>J1165-K1165</x:f>
        <x:v>-2</x:v>
      </x:c>
      <x:c r="AC1165" s="32" t="n">
        <x:f>F1165-G1165</x:f>
        <x:v>3</x:v>
      </x:c>
    </x:row>
    <x:row r="1166">
      <x:c r="A1166" s="4" t="str">
        <x:v>2022-23</x:v>
      </x:c>
      <x:c r="B1166" s="20" t="n">
        <x:v>44961</x:v>
      </x:c>
      <x:c r="C1166" s="4" t="str">
        <x:v>Brighton</x:v>
      </x:c>
      <x:c r="D1166" s="4" t="str">
        <x:v>Bournemouth</x:v>
      </x:c>
      <x:c r="E1166" s="4" t="str">
        <x:v>Home</x:v>
      </x:c>
      <x:c r="F1166" s="28" t="n">
        <x:v>1</x:v>
      </x:c>
      <x:c r="G1166" s="28" t="n">
        <x:v>0</x:v>
      </x:c>
      <x:c r="H1166" s="28" t="n">
        <x:v>20</x:v>
      </x:c>
      <x:c r="I1166" s="28" t="n">
        <x:v>12</x:v>
      </x:c>
      <x:c r="J1166" s="28" t="n">
        <x:v>6</x:v>
      </x:c>
      <x:c r="K1166" s="28" t="n">
        <x:v>2</x:v>
      </x:c>
      <x:c r="L1166" s="28" t="n">
        <x:v>7</x:v>
      </x:c>
      <x:c r="M1166" s="28" t="n">
        <x:v>3</x:v>
      </x:c>
      <x:c r="N1166" s="28" t="n">
        <x:v>3</x:v>
      </x:c>
      <x:c r="O1166" s="28" t="n">
        <x:v>0</x:v>
      </x:c>
      <x:c r="P1166" s="28" t="n">
        <x:v>3</x:v>
      </x:c>
      <x:c r="Q1166" s="24" t="n">
        <x:f>IFERROR(J1166/H1166,0)</x:f>
        <x:v>0.3</x:v>
      </x:c>
      <x:c r="R1166" s="24" t="n">
        <x:f>IFERROR(F1166/H1166,0)</x:f>
        <x:v>0.05</x:v>
      </x:c>
      <x:c r="S1166" s="24" t="n">
        <x:f>IFERROR(F1166/J1166,0)</x:f>
        <x:v>0.16666666666666666</x:v>
      </x:c>
      <x:c r="T1166" s="28" t="n">
        <x:f>H1166-I1166</x:f>
        <x:v>8</x:v>
      </x:c>
      <x:c r="U1166" s="24" t="n">
        <x:f>IFERROR(J1166/H1166,0)-IFERROR(K1166/I1166,0)</x:f>
        <x:v>0.13333333333333333</x:v>
      </x:c>
      <x:c r="V1166" s="24" t="n">
        <x:f>IFERROR(F1166/J1166,0)-IFERROR(G1166/K1166,0)</x:f>
        <x:v>0.16666666666666666</x:v>
      </x:c>
      <x:c r="W1166" s="28" t="n">
        <x:f>L1166-M1166</x:f>
        <x:v>4</x:v>
      </x:c>
      <x:c r="X1166" s="24" t="n">
        <x:f>IFERROR(K1166/I1166,0)</x:f>
        <x:v>0.16666666666666666</x:v>
      </x:c>
      <x:c r="Y1166" s="24" t="n">
        <x:f>IFERROR(G1166/I1166,0)</x:f>
        <x:v>0</x:v>
      </x:c>
      <x:c r="Z1166" s="24" t="n">
        <x:f>IFERROR(G1166/K1166,0)</x:f>
        <x:v>0</x:v>
      </x:c>
      <x:c r="AA1166" s="24" t="n">
        <x:f>IFERROR(F1166/H1166,0)-IFERROR(G1166/I1166,0)</x:f>
        <x:v>0.05</x:v>
      </x:c>
      <x:c r="AB1166" s="28" t="n">
        <x:f>J1166-K1166</x:f>
        <x:v>4</x:v>
      </x:c>
      <x:c r="AC1166" s="32" t="n">
        <x:f>F1166-G1166</x:f>
        <x:v>1</x:v>
      </x:c>
    </x:row>
    <x:row r="1167">
      <x:c r="A1167" s="4" t="str">
        <x:v>2022-23</x:v>
      </x:c>
      <x:c r="B1167" s="20" t="n">
        <x:v>44961</x:v>
      </x:c>
      <x:c r="C1167" s="4" t="str">
        <x:v>Crystal Palace</x:v>
      </x:c>
      <x:c r="D1167" s="4" t="str">
        <x:v>Man United</x:v>
      </x:c>
      <x:c r="E1167" s="4" t="str">
        <x:v>Away</x:v>
      </x:c>
      <x:c r="F1167" s="28" t="n">
        <x:v>1</x:v>
      </x:c>
      <x:c r="G1167" s="28" t="n">
        <x:v>2</x:v>
      </x:c>
      <x:c r="H1167" s="28" t="n">
        <x:v>10</x:v>
      </x:c>
      <x:c r="I1167" s="28" t="n">
        <x:v>14</x:v>
      </x:c>
      <x:c r="J1167" s="28" t="n">
        <x:v>3</x:v>
      </x:c>
      <x:c r="K1167" s="28" t="n">
        <x:v>5</x:v>
      </x:c>
      <x:c r="L1167" s="28" t="n">
        <x:v>5</x:v>
      </x:c>
      <x:c r="M1167" s="28" t="n">
        <x:v>5</x:v>
      </x:c>
      <x:c r="N1167" s="28" t="n">
        <x:v>2</x:v>
      </x:c>
      <x:c r="O1167" s="28" t="n">
        <x:v>0</x:v>
      </x:c>
      <x:c r="P1167" s="28" t="n">
        <x:v>0</x:v>
      </x:c>
      <x:c r="Q1167" s="24" t="n">
        <x:f>IFERROR(J1167/H1167,0)</x:f>
        <x:v>0.3</x:v>
      </x:c>
      <x:c r="R1167" s="24" t="n">
        <x:f>IFERROR(F1167/H1167,0)</x:f>
        <x:v>0.1</x:v>
      </x:c>
      <x:c r="S1167" s="24" t="n">
        <x:f>IFERROR(F1167/J1167,0)</x:f>
        <x:v>0.3333333333333333</x:v>
      </x:c>
      <x:c r="T1167" s="28" t="n">
        <x:f>H1167-I1167</x:f>
        <x:v>-4</x:v>
      </x:c>
      <x:c r="U1167" s="24" t="n">
        <x:f>IFERROR(J1167/H1167,0)-IFERROR(K1167/I1167,0)</x:f>
        <x:v>-0.05714285714285716</x:v>
      </x:c>
      <x:c r="V1167" s="24" t="n">
        <x:f>IFERROR(F1167/J1167,0)-IFERROR(G1167/K1167,0)</x:f>
        <x:v>-0.06666666666666671</x:v>
      </x:c>
      <x:c r="W1167" s="28" t="n">
        <x:f>L1167-M1167</x:f>
        <x:v>0</x:v>
      </x:c>
      <x:c r="X1167" s="24" t="n">
        <x:f>IFERROR(K1167/I1167,0)</x:f>
        <x:v>0.35714285714285715</x:v>
      </x:c>
      <x:c r="Y1167" s="24" t="n">
        <x:f>IFERROR(G1167/I1167,0)</x:f>
        <x:v>0.14285714285714285</x:v>
      </x:c>
      <x:c r="Z1167" s="24" t="n">
        <x:f>IFERROR(G1167/K1167,0)</x:f>
        <x:v>0.4</x:v>
      </x:c>
      <x:c r="AA1167" s="24" t="n">
        <x:f>IFERROR(F1167/H1167,0)-IFERROR(G1167/I1167,0)</x:f>
        <x:v>-0.042857142857142844</x:v>
      </x:c>
      <x:c r="AB1167" s="28" t="n">
        <x:f>J1167-K1167</x:f>
        <x:v>-2</x:v>
      </x:c>
      <x:c r="AC1167" s="32" t="n">
        <x:f>F1167-G1167</x:f>
        <x:v>-1</x:v>
      </x:c>
    </x:row>
    <x:row r="1168">
      <x:c r="A1168" s="4" t="str">
        <x:v>2022-23</x:v>
      </x:c>
      <x:c r="B1168" s="20" t="n">
        <x:v>44961</x:v>
      </x:c>
      <x:c r="C1168" s="4" t="str">
        <x:v>Everton</x:v>
      </x:c>
      <x:c r="D1168" s="4" t="str">
        <x:v>Arsenal</x:v>
      </x:c>
      <x:c r="E1168" s="4" t="str">
        <x:v>Home</x:v>
      </x:c>
      <x:c r="F1168" s="28" t="n">
        <x:v>1</x:v>
      </x:c>
      <x:c r="G1168" s="28" t="n">
        <x:v>0</x:v>
      </x:c>
      <x:c r="H1168" s="28" t="n">
        <x:v>12</x:v>
      </x:c>
      <x:c r="I1168" s="28" t="n">
        <x:v>15</x:v>
      </x:c>
      <x:c r="J1168" s="28" t="n">
        <x:v>4</x:v>
      </x:c>
      <x:c r="K1168" s="28" t="n">
        <x:v>3</x:v>
      </x:c>
      <x:c r="L1168" s="28" t="n">
        <x:v>7</x:v>
      </x:c>
      <x:c r="M1168" s="28" t="n">
        <x:v>5</x:v>
      </x:c>
      <x:c r="N1168" s="28" t="n">
        <x:v>4</x:v>
      </x:c>
      <x:c r="O1168" s="28" t="n">
        <x:v>0</x:v>
      </x:c>
      <x:c r="P1168" s="28" t="n">
        <x:v>3</x:v>
      </x:c>
      <x:c r="Q1168" s="24" t="n">
        <x:f>IFERROR(J1168/H1168,0)</x:f>
        <x:v>0.3333333333333333</x:v>
      </x:c>
      <x:c r="R1168" s="24" t="n">
        <x:f>IFERROR(F1168/H1168,0)</x:f>
        <x:v>0.08333333333333333</x:v>
      </x:c>
      <x:c r="S1168" s="24" t="n">
        <x:f>IFERROR(F1168/J1168,0)</x:f>
        <x:v>0.25</x:v>
      </x:c>
      <x:c r="T1168" s="28" t="n">
        <x:f>H1168-I1168</x:f>
        <x:v>-3</x:v>
      </x:c>
      <x:c r="U1168" s="24" t="n">
        <x:f>IFERROR(J1168/H1168,0)-IFERROR(K1168/I1168,0)</x:f>
        <x:v>0.1333333333333333</x:v>
      </x:c>
      <x:c r="V1168" s="24" t="n">
        <x:f>IFERROR(F1168/J1168,0)-IFERROR(G1168/K1168,0)</x:f>
        <x:v>0.25</x:v>
      </x:c>
      <x:c r="W1168" s="28" t="n">
        <x:f>L1168-M1168</x:f>
        <x:v>2</x:v>
      </x:c>
      <x:c r="X1168" s="24" t="n">
        <x:f>IFERROR(K1168/I1168,0)</x:f>
        <x:v>0.2</x:v>
      </x:c>
      <x:c r="Y1168" s="24" t="n">
        <x:f>IFERROR(G1168/I1168,0)</x:f>
        <x:v>0</x:v>
      </x:c>
      <x:c r="Z1168" s="24" t="n">
        <x:f>IFERROR(G1168/K1168,0)</x:f>
        <x:v>0</x:v>
      </x:c>
      <x:c r="AA1168" s="24" t="n">
        <x:f>IFERROR(F1168/H1168,0)-IFERROR(G1168/I1168,0)</x:f>
        <x:v>0.08333333333333333</x:v>
      </x:c>
      <x:c r="AB1168" s="28" t="n">
        <x:f>J1168-K1168</x:f>
        <x:v>1</x:v>
      </x:c>
      <x:c r="AC1168" s="32" t="n">
        <x:f>F1168-G1168</x:f>
        <x:v>1</x:v>
      </x:c>
    </x:row>
    <x:row r="1169">
      <x:c r="A1169" s="4" t="str">
        <x:v>2022-23</x:v>
      </x:c>
      <x:c r="B1169" s="20" t="n">
        <x:v>44961</x:v>
      </x:c>
      <x:c r="C1169" s="4" t="str">
        <x:v>Leicester</x:v>
      </x:c>
      <x:c r="D1169" s="4" t="str">
        <x:v>Aston Villa</x:v>
      </x:c>
      <x:c r="E1169" s="4" t="str">
        <x:v>Away</x:v>
      </x:c>
      <x:c r="F1169" s="28" t="n">
        <x:v>4</x:v>
      </x:c>
      <x:c r="G1169" s="28" t="n">
        <x:v>2</x:v>
      </x:c>
      <x:c r="H1169" s="28" t="n">
        <x:v>9</x:v>
      </x:c>
      <x:c r="I1169" s="28" t="n">
        <x:v>19</x:v>
      </x:c>
      <x:c r="J1169" s="28" t="n">
        <x:v>5</x:v>
      </x:c>
      <x:c r="K1169" s="28" t="n">
        <x:v>4</x:v>
      </x:c>
      <x:c r="L1169" s="28" t="n">
        <x:v>3</x:v>
      </x:c>
      <x:c r="M1169" s="28" t="n">
        <x:v>11</x:v>
      </x:c>
      <x:c r="N1169" s="28" t="n">
        <x:v>2</x:v>
      </x:c>
      <x:c r="O1169" s="28" t="n">
        <x:v>0</x:v>
      </x:c>
      <x:c r="P1169" s="28" t="n">
        <x:v>3</x:v>
      </x:c>
      <x:c r="Q1169" s="24" t="n">
        <x:f>IFERROR(J1169/H1169,0)</x:f>
        <x:v>0.5555555555555556</x:v>
      </x:c>
      <x:c r="R1169" s="24" t="n">
        <x:f>IFERROR(F1169/H1169,0)</x:f>
        <x:v>0.4444444444444444</x:v>
      </x:c>
      <x:c r="S1169" s="24" t="n">
        <x:f>IFERROR(F1169/J1169,0)</x:f>
        <x:v>0.8</x:v>
      </x:c>
      <x:c r="T1169" s="28" t="n">
        <x:f>H1169-I1169</x:f>
        <x:v>-10</x:v>
      </x:c>
      <x:c r="U1169" s="24" t="n">
        <x:f>IFERROR(J1169/H1169,0)-IFERROR(K1169/I1169,0)</x:f>
        <x:v>0.3450292397660819</x:v>
      </x:c>
      <x:c r="V1169" s="24" t="n">
        <x:f>IFERROR(F1169/J1169,0)-IFERROR(G1169/K1169,0)</x:f>
        <x:v>0.30000000000000004</x:v>
      </x:c>
      <x:c r="W1169" s="28" t="n">
        <x:f>L1169-M1169</x:f>
        <x:v>-8</x:v>
      </x:c>
      <x:c r="X1169" s="24" t="n">
        <x:f>IFERROR(K1169/I1169,0)</x:f>
        <x:v>0.21052631578947367</x:v>
      </x:c>
      <x:c r="Y1169" s="24" t="n">
        <x:f>IFERROR(G1169/I1169,0)</x:f>
        <x:v>0.10526315789473684</x:v>
      </x:c>
      <x:c r="Z1169" s="24" t="n">
        <x:f>IFERROR(G1169/K1169,0)</x:f>
        <x:v>0.5</x:v>
      </x:c>
      <x:c r="AA1169" s="24" t="n">
        <x:f>IFERROR(F1169/H1169,0)-IFERROR(G1169/I1169,0)</x:f>
        <x:v>0.3391812865497076</x:v>
      </x:c>
      <x:c r="AB1169" s="28" t="n">
        <x:f>J1169-K1169</x:f>
        <x:v>1</x:v>
      </x:c>
      <x:c r="AC1169" s="32" t="n">
        <x:f>F1169-G1169</x:f>
        <x:v>2</x:v>
      </x:c>
    </x:row>
    <x:row r="1170">
      <x:c r="A1170" s="4" t="str">
        <x:v>2022-23</x:v>
      </x:c>
      <x:c r="B1170" s="20" t="n">
        <x:v>44961</x:v>
      </x:c>
      <x:c r="C1170" s="4" t="str">
        <x:v>Liverpool</x:v>
      </x:c>
      <x:c r="D1170" s="4" t="str">
        <x:v>Wolves</x:v>
      </x:c>
      <x:c r="E1170" s="4" t="str">
        <x:v>Away</x:v>
      </x:c>
      <x:c r="F1170" s="28" t="n">
        <x:v>0</x:v>
      </x:c>
      <x:c r="G1170" s="28" t="n">
        <x:v>3</x:v>
      </x:c>
      <x:c r="H1170" s="28" t="n">
        <x:v>22</x:v>
      </x:c>
      <x:c r="I1170" s="28" t="n">
        <x:v>12</x:v>
      </x:c>
      <x:c r="J1170" s="28" t="n">
        <x:v>4</x:v>
      </x:c>
      <x:c r="K1170" s="28" t="n">
        <x:v>6</x:v>
      </x:c>
      <x:c r="L1170" s="28" t="n">
        <x:v>7</x:v>
      </x:c>
      <x:c r="M1170" s="28" t="n">
        <x:v>2</x:v>
      </x:c>
      <x:c r="N1170" s="28" t="n">
        <x:v>1</x:v>
      </x:c>
      <x:c r="O1170" s="28" t="n">
        <x:v>0</x:v>
      </x:c>
      <x:c r="P1170" s="28" t="n">
        <x:v>0</x:v>
      </x:c>
      <x:c r="Q1170" s="24" t="n">
        <x:f>IFERROR(J1170/H1170,0)</x:f>
        <x:v>0.18181818181818182</x:v>
      </x:c>
      <x:c r="R1170" s="24" t="n">
        <x:f>IFERROR(F1170/H1170,0)</x:f>
        <x:v>0</x:v>
      </x:c>
      <x:c r="S1170" s="24" t="n">
        <x:f>IFERROR(F1170/J1170,0)</x:f>
        <x:v>0</x:v>
      </x:c>
      <x:c r="T1170" s="28" t="n">
        <x:f>H1170-I1170</x:f>
        <x:v>10</x:v>
      </x:c>
      <x:c r="U1170" s="24" t="n">
        <x:f>IFERROR(J1170/H1170,0)-IFERROR(K1170/I1170,0)</x:f>
        <x:v>-0.3181818181818182</x:v>
      </x:c>
      <x:c r="V1170" s="24" t="n">
        <x:f>IFERROR(F1170/J1170,0)-IFERROR(G1170/K1170,0)</x:f>
        <x:v>-0.5</x:v>
      </x:c>
      <x:c r="W1170" s="28" t="n">
        <x:f>L1170-M1170</x:f>
        <x:v>5</x:v>
      </x:c>
      <x:c r="X1170" s="24" t="n">
        <x:f>IFERROR(K1170/I1170,0)</x:f>
        <x:v>0.5</x:v>
      </x:c>
      <x:c r="Y1170" s="24" t="n">
        <x:f>IFERROR(G1170/I1170,0)</x:f>
        <x:v>0.25</x:v>
      </x:c>
      <x:c r="Z1170" s="24" t="n">
        <x:f>IFERROR(G1170/K1170,0)</x:f>
        <x:v>0.5</x:v>
      </x:c>
      <x:c r="AA1170" s="24" t="n">
        <x:f>IFERROR(F1170/H1170,0)-IFERROR(G1170/I1170,0)</x:f>
        <x:v>-0.25</x:v>
      </x:c>
      <x:c r="AB1170" s="28" t="n">
        <x:f>J1170-K1170</x:f>
        <x:v>-2</x:v>
      </x:c>
      <x:c r="AC1170" s="32" t="n">
        <x:f>F1170-G1170</x:f>
        <x:v>-3</x:v>
      </x:c>
    </x:row>
    <x:row r="1171">
      <x:c r="A1171" s="4" t="str">
        <x:v>2022-23</x:v>
      </x:c>
      <x:c r="B1171" s="20" t="n">
        <x:v>44961</x:v>
      </x:c>
      <x:c r="C1171" s="4" t="str">
        <x:v>Man United</x:v>
      </x:c>
      <x:c r="D1171" s="4" t="str">
        <x:v>Crystal Palace</x:v>
      </x:c>
      <x:c r="E1171" s="4" t="str">
        <x:v>Home</x:v>
      </x:c>
      <x:c r="F1171" s="28" t="n">
        <x:v>2</x:v>
      </x:c>
      <x:c r="G1171" s="28" t="n">
        <x:v>1</x:v>
      </x:c>
      <x:c r="H1171" s="28" t="n">
        <x:v>14</x:v>
      </x:c>
      <x:c r="I1171" s="28" t="n">
        <x:v>10</x:v>
      </x:c>
      <x:c r="J1171" s="28" t="n">
        <x:v>5</x:v>
      </x:c>
      <x:c r="K1171" s="28" t="n">
        <x:v>3</x:v>
      </x:c>
      <x:c r="L1171" s="28" t="n">
        <x:v>5</x:v>
      </x:c>
      <x:c r="M1171" s="28" t="n">
        <x:v>5</x:v>
      </x:c>
      <x:c r="N1171" s="28" t="n">
        <x:v>1</x:v>
      </x:c>
      <x:c r="O1171" s="28" t="n">
        <x:v>1</x:v>
      </x:c>
      <x:c r="P1171" s="28" t="n">
        <x:v>3</x:v>
      </x:c>
      <x:c r="Q1171" s="24" t="n">
        <x:f>IFERROR(J1171/H1171,0)</x:f>
        <x:v>0.35714285714285715</x:v>
      </x:c>
      <x:c r="R1171" s="24" t="n">
        <x:f>IFERROR(F1171/H1171,0)</x:f>
        <x:v>0.14285714285714285</x:v>
      </x:c>
      <x:c r="S1171" s="24" t="n">
        <x:f>IFERROR(F1171/J1171,0)</x:f>
        <x:v>0.4</x:v>
      </x:c>
      <x:c r="T1171" s="28" t="n">
        <x:f>H1171-I1171</x:f>
        <x:v>4</x:v>
      </x:c>
      <x:c r="U1171" s="24" t="n">
        <x:f>IFERROR(J1171/H1171,0)-IFERROR(K1171/I1171,0)</x:f>
        <x:v>0.05714285714285716</x:v>
      </x:c>
      <x:c r="V1171" s="24" t="n">
        <x:f>IFERROR(F1171/J1171,0)-IFERROR(G1171/K1171,0)</x:f>
        <x:v>0.06666666666666671</x:v>
      </x:c>
      <x:c r="W1171" s="28" t="n">
        <x:f>L1171-M1171</x:f>
        <x:v>0</x:v>
      </x:c>
      <x:c r="X1171" s="24" t="n">
        <x:f>IFERROR(K1171/I1171,0)</x:f>
        <x:v>0.3</x:v>
      </x:c>
      <x:c r="Y1171" s="24" t="n">
        <x:f>IFERROR(G1171/I1171,0)</x:f>
        <x:v>0.1</x:v>
      </x:c>
      <x:c r="Z1171" s="24" t="n">
        <x:f>IFERROR(G1171/K1171,0)</x:f>
        <x:v>0.3333333333333333</x:v>
      </x:c>
      <x:c r="AA1171" s="24" t="n">
        <x:f>IFERROR(F1171/H1171,0)-IFERROR(G1171/I1171,0)</x:f>
        <x:v>0.042857142857142844</x:v>
      </x:c>
      <x:c r="AB1171" s="28" t="n">
        <x:f>J1171-K1171</x:f>
        <x:v>2</x:v>
      </x:c>
      <x:c r="AC1171" s="32" t="n">
        <x:f>F1171-G1171</x:f>
        <x:v>1</x:v>
      </x:c>
    </x:row>
    <x:row r="1172">
      <x:c r="A1172" s="4" t="str">
        <x:v>2022-23</x:v>
      </x:c>
      <x:c r="B1172" s="20" t="n">
        <x:v>44961</x:v>
      </x:c>
      <x:c r="C1172" s="4" t="str">
        <x:v>Newcastle</x:v>
      </x:c>
      <x:c r="D1172" s="4" t="str">
        <x:v>West Ham</x:v>
      </x:c>
      <x:c r="E1172" s="4" t="str">
        <x:v>Home</x:v>
      </x:c>
      <x:c r="F1172" s="28" t="n">
        <x:v>1</x:v>
      </x:c>
      <x:c r="G1172" s="28" t="n">
        <x:v>1</x:v>
      </x:c>
      <x:c r="H1172" s="28" t="n">
        <x:v>8</x:v>
      </x:c>
      <x:c r="I1172" s="28" t="n">
        <x:v>10</x:v>
      </x:c>
      <x:c r="J1172" s="28" t="n">
        <x:v>2</x:v>
      </x:c>
      <x:c r="K1172" s="28" t="n">
        <x:v>1</x:v>
      </x:c>
      <x:c r="L1172" s="28" t="n">
        <x:v>4</x:v>
      </x:c>
      <x:c r="M1172" s="28" t="n">
        <x:v>2</x:v>
      </x:c>
      <x:c r="N1172" s="28" t="n">
        <x:v>2</x:v>
      </x:c>
      <x:c r="O1172" s="28" t="n">
        <x:v>0</x:v>
      </x:c>
      <x:c r="P1172" s="28" t="n">
        <x:v>1</x:v>
      </x:c>
      <x:c r="Q1172" s="24" t="n">
        <x:f>IFERROR(J1172/H1172,0)</x:f>
        <x:v>0.25</x:v>
      </x:c>
      <x:c r="R1172" s="24" t="n">
        <x:f>IFERROR(F1172/H1172,0)</x:f>
        <x:v>0.125</x:v>
      </x:c>
      <x:c r="S1172" s="24" t="n">
        <x:f>IFERROR(F1172/J1172,0)</x:f>
        <x:v>0.5</x:v>
      </x:c>
      <x:c r="T1172" s="28" t="n">
        <x:f>H1172-I1172</x:f>
        <x:v>-2</x:v>
      </x:c>
      <x:c r="U1172" s="24" t="n">
        <x:f>IFERROR(J1172/H1172,0)-IFERROR(K1172/I1172,0)</x:f>
        <x:v>0.15</x:v>
      </x:c>
      <x:c r="V1172" s="24" t="n">
        <x:f>IFERROR(F1172/J1172,0)-IFERROR(G1172/K1172,0)</x:f>
        <x:v>-0.5</x:v>
      </x:c>
      <x:c r="W1172" s="28" t="n">
        <x:f>L1172-M1172</x:f>
        <x:v>2</x:v>
      </x:c>
      <x:c r="X1172" s="24" t="n">
        <x:f>IFERROR(K1172/I1172,0)</x:f>
        <x:v>0.1</x:v>
      </x:c>
      <x:c r="Y1172" s="24" t="n">
        <x:f>IFERROR(G1172/I1172,0)</x:f>
        <x:v>0.1</x:v>
      </x:c>
      <x:c r="Z1172" s="24" t="n">
        <x:f>IFERROR(G1172/K1172,0)</x:f>
        <x:v>1</x:v>
      </x:c>
      <x:c r="AA1172" s="24" t="n">
        <x:f>IFERROR(F1172/H1172,0)-IFERROR(G1172/I1172,0)</x:f>
        <x:v>0.024999999999999994</x:v>
      </x:c>
      <x:c r="AB1172" s="28" t="n">
        <x:f>J1172-K1172</x:f>
        <x:v>1</x:v>
      </x:c>
      <x:c r="AC1172" s="32" t="n">
        <x:f>F1172-G1172</x:f>
        <x:v>0</x:v>
      </x:c>
    </x:row>
    <x:row r="1173">
      <x:c r="A1173" s="4" t="str">
        <x:v>2022-23</x:v>
      </x:c>
      <x:c r="B1173" s="20" t="n">
        <x:v>44961</x:v>
      </x:c>
      <x:c r="C1173" s="4" t="str">
        <x:v>Southampton</x:v>
      </x:c>
      <x:c r="D1173" s="4" t="str">
        <x:v>Brentford</x:v>
      </x:c>
      <x:c r="E1173" s="4" t="str">
        <x:v>Away</x:v>
      </x:c>
      <x:c r="F1173" s="28" t="n">
        <x:v>0</x:v>
      </x:c>
      <x:c r="G1173" s="28" t="n">
        <x:v>3</x:v>
      </x:c>
      <x:c r="H1173" s="28" t="n">
        <x:v>14</x:v>
      </x:c>
      <x:c r="I1173" s="28" t="n">
        <x:v>14</x:v>
      </x:c>
      <x:c r="J1173" s="28" t="n">
        <x:v>6</x:v>
      </x:c>
      <x:c r="K1173" s="28" t="n">
        <x:v>4</x:v>
      </x:c>
      <x:c r="L1173" s="28" t="n">
        <x:v>4</x:v>
      </x:c>
      <x:c r="M1173" s="28" t="n">
        <x:v>4</x:v>
      </x:c>
      <x:c r="N1173" s="28" t="n">
        <x:v>2</x:v>
      </x:c>
      <x:c r="O1173" s="28" t="n">
        <x:v>0</x:v>
      </x:c>
      <x:c r="P1173" s="28" t="n">
        <x:v>0</x:v>
      </x:c>
      <x:c r="Q1173" s="24" t="n">
        <x:f>IFERROR(J1173/H1173,0)</x:f>
        <x:v>0.42857142857142855</x:v>
      </x:c>
      <x:c r="R1173" s="24" t="n">
        <x:f>IFERROR(F1173/H1173,0)</x:f>
        <x:v>0</x:v>
      </x:c>
      <x:c r="S1173" s="24" t="n">
        <x:f>IFERROR(F1173/J1173,0)</x:f>
        <x:v>0</x:v>
      </x:c>
      <x:c r="T1173" s="28" t="n">
        <x:f>H1173-I1173</x:f>
        <x:v>0</x:v>
      </x:c>
      <x:c r="U1173" s="24" t="n">
        <x:f>IFERROR(J1173/H1173,0)-IFERROR(K1173/I1173,0)</x:f>
        <x:v>0.14285714285714285</x:v>
      </x:c>
      <x:c r="V1173" s="24" t="n">
        <x:f>IFERROR(F1173/J1173,0)-IFERROR(G1173/K1173,0)</x:f>
        <x:v>-0.75</x:v>
      </x:c>
      <x:c r="W1173" s="28" t="n">
        <x:f>L1173-M1173</x:f>
        <x:v>0</x:v>
      </x:c>
      <x:c r="X1173" s="24" t="n">
        <x:f>IFERROR(K1173/I1173,0)</x:f>
        <x:v>0.2857142857142857</x:v>
      </x:c>
      <x:c r="Y1173" s="24" t="n">
        <x:f>IFERROR(G1173/I1173,0)</x:f>
        <x:v>0.21428571428571427</x:v>
      </x:c>
      <x:c r="Z1173" s="24" t="n">
        <x:f>IFERROR(G1173/K1173,0)</x:f>
        <x:v>0.75</x:v>
      </x:c>
      <x:c r="AA1173" s="24" t="n">
        <x:f>IFERROR(F1173/H1173,0)-IFERROR(G1173/I1173,0)</x:f>
        <x:v>-0.21428571428571427</x:v>
      </x:c>
      <x:c r="AB1173" s="28" t="n">
        <x:f>J1173-K1173</x:f>
        <x:v>2</x:v>
      </x:c>
      <x:c r="AC1173" s="32" t="n">
        <x:f>F1173-G1173</x:f>
        <x:v>-3</x:v>
      </x:c>
    </x:row>
    <x:row r="1174">
      <x:c r="A1174" s="4" t="str">
        <x:v>2022-23</x:v>
      </x:c>
      <x:c r="B1174" s="20" t="n">
        <x:v>44961</x:v>
      </x:c>
      <x:c r="C1174" s="4" t="str">
        <x:v>West Ham</x:v>
      </x:c>
      <x:c r="D1174" s="4" t="str">
        <x:v>Newcastle</x:v>
      </x:c>
      <x:c r="E1174" s="4" t="str">
        <x:v>Away</x:v>
      </x:c>
      <x:c r="F1174" s="28" t="n">
        <x:v>1</x:v>
      </x:c>
      <x:c r="G1174" s="28" t="n">
        <x:v>1</x:v>
      </x:c>
      <x:c r="H1174" s="28" t="n">
        <x:v>10</x:v>
      </x:c>
      <x:c r="I1174" s="28" t="n">
        <x:v>8</x:v>
      </x:c>
      <x:c r="J1174" s="28" t="n">
        <x:v>1</x:v>
      </x:c>
      <x:c r="K1174" s="28" t="n">
        <x:v>2</x:v>
      </x:c>
      <x:c r="L1174" s="28" t="n">
        <x:v>2</x:v>
      </x:c>
      <x:c r="M1174" s="28" t="n">
        <x:v>4</x:v>
      </x:c>
      <x:c r="N1174" s="28" t="n">
        <x:v>1</x:v>
      </x:c>
      <x:c r="O1174" s="28" t="n">
        <x:v>0</x:v>
      </x:c>
      <x:c r="P1174" s="28" t="n">
        <x:v>1</x:v>
      </x:c>
      <x:c r="Q1174" s="24" t="n">
        <x:f>IFERROR(J1174/H1174,0)</x:f>
        <x:v>0.1</x:v>
      </x:c>
      <x:c r="R1174" s="24" t="n">
        <x:f>IFERROR(F1174/H1174,0)</x:f>
        <x:v>0.1</x:v>
      </x:c>
      <x:c r="S1174" s="24" t="n">
        <x:f>IFERROR(F1174/J1174,0)</x:f>
        <x:v>1</x:v>
      </x:c>
      <x:c r="T1174" s="28" t="n">
        <x:f>H1174-I1174</x:f>
        <x:v>2</x:v>
      </x:c>
      <x:c r="U1174" s="24" t="n">
        <x:f>IFERROR(J1174/H1174,0)-IFERROR(K1174/I1174,0)</x:f>
        <x:v>-0.15</x:v>
      </x:c>
      <x:c r="V1174" s="24" t="n">
        <x:f>IFERROR(F1174/J1174,0)-IFERROR(G1174/K1174,0)</x:f>
        <x:v>0.5</x:v>
      </x:c>
      <x:c r="W1174" s="28" t="n">
        <x:f>L1174-M1174</x:f>
        <x:v>-2</x:v>
      </x:c>
      <x:c r="X1174" s="24" t="n">
        <x:f>IFERROR(K1174/I1174,0)</x:f>
        <x:v>0.25</x:v>
      </x:c>
      <x:c r="Y1174" s="24" t="n">
        <x:f>IFERROR(G1174/I1174,0)</x:f>
        <x:v>0.125</x:v>
      </x:c>
      <x:c r="Z1174" s="24" t="n">
        <x:f>IFERROR(G1174/K1174,0)</x:f>
        <x:v>0.5</x:v>
      </x:c>
      <x:c r="AA1174" s="24" t="n">
        <x:f>IFERROR(F1174/H1174,0)-IFERROR(G1174/I1174,0)</x:f>
        <x:v>-0.024999999999999994</x:v>
      </x:c>
      <x:c r="AB1174" s="28" t="n">
        <x:f>J1174-K1174</x:f>
        <x:v>-1</x:v>
      </x:c>
      <x:c r="AC1174" s="32" t="n">
        <x:f>F1174-G1174</x:f>
        <x:v>0</x:v>
      </x:c>
    </x:row>
    <x:row r="1175">
      <x:c r="A1175" s="4" t="str">
        <x:v>2022-23</x:v>
      </x:c>
      <x:c r="B1175" s="20" t="n">
        <x:v>44961</x:v>
      </x:c>
      <x:c r="C1175" s="4" t="str">
        <x:v>Wolves</x:v>
      </x:c>
      <x:c r="D1175" s="4" t="str">
        <x:v>Liverpool</x:v>
      </x:c>
      <x:c r="E1175" s="4" t="str">
        <x:v>Home</x:v>
      </x:c>
      <x:c r="F1175" s="28" t="n">
        <x:v>3</x:v>
      </x:c>
      <x:c r="G1175" s="28" t="n">
        <x:v>0</x:v>
      </x:c>
      <x:c r="H1175" s="28" t="n">
        <x:v>12</x:v>
      </x:c>
      <x:c r="I1175" s="28" t="n">
        <x:v>22</x:v>
      </x:c>
      <x:c r="J1175" s="28" t="n">
        <x:v>6</x:v>
      </x:c>
      <x:c r="K1175" s="28" t="n">
        <x:v>4</x:v>
      </x:c>
      <x:c r="L1175" s="28" t="n">
        <x:v>2</x:v>
      </x:c>
      <x:c r="M1175" s="28" t="n">
        <x:v>7</x:v>
      </x:c>
      <x:c r="N1175" s="28" t="n">
        <x:v>1</x:v>
      </x:c>
      <x:c r="O1175" s="28" t="n">
        <x:v>0</x:v>
      </x:c>
      <x:c r="P1175" s="28" t="n">
        <x:v>3</x:v>
      </x:c>
      <x:c r="Q1175" s="24" t="n">
        <x:f>IFERROR(J1175/H1175,0)</x:f>
        <x:v>0.5</x:v>
      </x:c>
      <x:c r="R1175" s="24" t="n">
        <x:f>IFERROR(F1175/H1175,0)</x:f>
        <x:v>0.25</x:v>
      </x:c>
      <x:c r="S1175" s="24" t="n">
        <x:f>IFERROR(F1175/J1175,0)</x:f>
        <x:v>0.5</x:v>
      </x:c>
      <x:c r="T1175" s="28" t="n">
        <x:f>H1175-I1175</x:f>
        <x:v>-10</x:v>
      </x:c>
      <x:c r="U1175" s="24" t="n">
        <x:f>IFERROR(J1175/H1175,0)-IFERROR(K1175/I1175,0)</x:f>
        <x:v>0.3181818181818182</x:v>
      </x:c>
      <x:c r="V1175" s="24" t="n">
        <x:f>IFERROR(F1175/J1175,0)-IFERROR(G1175/K1175,0)</x:f>
        <x:v>0.5</x:v>
      </x:c>
      <x:c r="W1175" s="28" t="n">
        <x:f>L1175-M1175</x:f>
        <x:v>-5</x:v>
      </x:c>
      <x:c r="X1175" s="24" t="n">
        <x:f>IFERROR(K1175/I1175,0)</x:f>
        <x:v>0.18181818181818182</x:v>
      </x:c>
      <x:c r="Y1175" s="24" t="n">
        <x:f>IFERROR(G1175/I1175,0)</x:f>
        <x:v>0</x:v>
      </x:c>
      <x:c r="Z1175" s="24" t="n">
        <x:f>IFERROR(G1175/K1175,0)</x:f>
        <x:v>0</x:v>
      </x:c>
      <x:c r="AA1175" s="24" t="n">
        <x:f>IFERROR(F1175/H1175,0)-IFERROR(G1175/I1175,0)</x:f>
        <x:v>0.25</x:v>
      </x:c>
      <x:c r="AB1175" s="28" t="n">
        <x:f>J1175-K1175</x:f>
        <x:v>2</x:v>
      </x:c>
      <x:c r="AC1175" s="32" t="n">
        <x:f>F1175-G1175</x:f>
        <x:v>3</x:v>
      </x:c>
    </x:row>
    <x:row r="1176">
      <x:c r="A1176" s="4" t="str">
        <x:v>2022-23</x:v>
      </x:c>
      <x:c r="B1176" s="20" t="n">
        <x:v>44962</x:v>
      </x:c>
      <x:c r="C1176" s="4" t="str">
        <x:v>Leeds</x:v>
      </x:c>
      <x:c r="D1176" s="4" t="str">
        <x:v>Nott'm Forest</x:v>
      </x:c>
      <x:c r="E1176" s="4" t="str">
        <x:v>Away</x:v>
      </x:c>
      <x:c r="F1176" s="28" t="n">
        <x:v>0</x:v>
      </x:c>
      <x:c r="G1176" s="28" t="n">
        <x:v>1</x:v>
      </x:c>
      <x:c r="H1176" s="28" t="n">
        <x:v>10</x:v>
      </x:c>
      <x:c r="I1176" s="28" t="n">
        <x:v>6</x:v>
      </x:c>
      <x:c r="J1176" s="28" t="n">
        <x:v>4</x:v>
      </x:c>
      <x:c r="K1176" s="28" t="n">
        <x:v>2</x:v>
      </x:c>
      <x:c r="L1176" s="28" t="n">
        <x:v>2</x:v>
      </x:c>
      <x:c r="M1176" s="28" t="n">
        <x:v>0</x:v>
      </x:c>
      <x:c r="N1176" s="28" t="n">
        <x:v>2</x:v>
      </x:c>
      <x:c r="O1176" s="28" t="n">
        <x:v>0</x:v>
      </x:c>
      <x:c r="P1176" s="28" t="n">
        <x:v>0</x:v>
      </x:c>
      <x:c r="Q1176" s="24" t="n">
        <x:f>IFERROR(J1176/H1176,0)</x:f>
        <x:v>0.4</x:v>
      </x:c>
      <x:c r="R1176" s="24" t="n">
        <x:f>IFERROR(F1176/H1176,0)</x:f>
        <x:v>0</x:v>
      </x:c>
      <x:c r="S1176" s="24" t="n">
        <x:f>IFERROR(F1176/J1176,0)</x:f>
        <x:v>0</x:v>
      </x:c>
      <x:c r="T1176" s="28" t="n">
        <x:f>H1176-I1176</x:f>
        <x:v>4</x:v>
      </x:c>
      <x:c r="U1176" s="24" t="n">
        <x:f>IFERROR(J1176/H1176,0)-IFERROR(K1176/I1176,0)</x:f>
        <x:v>0.06666666666666671</x:v>
      </x:c>
      <x:c r="V1176" s="24" t="n">
        <x:f>IFERROR(F1176/J1176,0)-IFERROR(G1176/K1176,0)</x:f>
        <x:v>-0.5</x:v>
      </x:c>
      <x:c r="W1176" s="28" t="n">
        <x:f>L1176-M1176</x:f>
        <x:v>2</x:v>
      </x:c>
      <x:c r="X1176" s="24" t="n">
        <x:f>IFERROR(K1176/I1176,0)</x:f>
        <x:v>0.3333333333333333</x:v>
      </x:c>
      <x:c r="Y1176" s="24" t="n">
        <x:f>IFERROR(G1176/I1176,0)</x:f>
        <x:v>0.16666666666666666</x:v>
      </x:c>
      <x:c r="Z1176" s="24" t="n">
        <x:f>IFERROR(G1176/K1176,0)</x:f>
        <x:v>0.5</x:v>
      </x:c>
      <x:c r="AA1176" s="24" t="n">
        <x:f>IFERROR(F1176/H1176,0)-IFERROR(G1176/I1176,0)</x:f>
        <x:v>-0.16666666666666666</x:v>
      </x:c>
      <x:c r="AB1176" s="28" t="n">
        <x:f>J1176-K1176</x:f>
        <x:v>2</x:v>
      </x:c>
      <x:c r="AC1176" s="32" t="n">
        <x:f>F1176-G1176</x:f>
        <x:v>-1</x:v>
      </x:c>
    </x:row>
    <x:row r="1177">
      <x:c r="A1177" s="4" t="str">
        <x:v>2022-23</x:v>
      </x:c>
      <x:c r="B1177" s="20" t="n">
        <x:v>44962</x:v>
      </x:c>
      <x:c r="C1177" s="4" t="str">
        <x:v>Man City</x:v>
      </x:c>
      <x:c r="D1177" s="4" t="str">
        <x:v>Tottenham</x:v>
      </x:c>
      <x:c r="E1177" s="4" t="str">
        <x:v>Away</x:v>
      </x:c>
      <x:c r="F1177" s="28" t="n">
        <x:v>0</x:v>
      </x:c>
      <x:c r="G1177" s="28" t="n">
        <x:v>1</x:v>
      </x:c>
      <x:c r="H1177" s="28" t="n">
        <x:v>15</x:v>
      </x:c>
      <x:c r="I1177" s="28" t="n">
        <x:v>12</x:v>
      </x:c>
      <x:c r="J1177" s="28" t="n">
        <x:v>5</x:v>
      </x:c>
      <x:c r="K1177" s="28" t="n">
        <x:v>3</x:v>
      </x:c>
      <x:c r="L1177" s="28" t="n">
        <x:v>6</x:v>
      </x:c>
      <x:c r="M1177" s="28" t="n">
        <x:v>4</x:v>
      </x:c>
      <x:c r="N1177" s="28" t="n">
        <x:v>3</x:v>
      </x:c>
      <x:c r="O1177" s="28" t="n">
        <x:v>0</x:v>
      </x:c>
      <x:c r="P1177" s="28" t="n">
        <x:v>0</x:v>
      </x:c>
      <x:c r="Q1177" s="24" t="n">
        <x:f>IFERROR(J1177/H1177,0)</x:f>
        <x:v>0.3333333333333333</x:v>
      </x:c>
      <x:c r="R1177" s="24" t="n">
        <x:f>IFERROR(F1177/H1177,0)</x:f>
        <x:v>0</x:v>
      </x:c>
      <x:c r="S1177" s="24" t="n">
        <x:f>IFERROR(F1177/J1177,0)</x:f>
        <x:v>0</x:v>
      </x:c>
      <x:c r="T1177" s="28" t="n">
        <x:f>H1177-I1177</x:f>
        <x:v>3</x:v>
      </x:c>
      <x:c r="U1177" s="24" t="n">
        <x:f>IFERROR(J1177/H1177,0)-IFERROR(K1177/I1177,0)</x:f>
        <x:v>0.08333333333333331</x:v>
      </x:c>
      <x:c r="V1177" s="24" t="n">
        <x:f>IFERROR(F1177/J1177,0)-IFERROR(G1177/K1177,0)</x:f>
        <x:v>-0.3333333333333333</x:v>
      </x:c>
      <x:c r="W1177" s="28" t="n">
        <x:f>L1177-M1177</x:f>
        <x:v>2</x:v>
      </x:c>
      <x:c r="X1177" s="24" t="n">
        <x:f>IFERROR(K1177/I1177,0)</x:f>
        <x:v>0.25</x:v>
      </x:c>
      <x:c r="Y1177" s="24" t="n">
        <x:f>IFERROR(G1177/I1177,0)</x:f>
        <x:v>0.08333333333333333</x:v>
      </x:c>
      <x:c r="Z1177" s="24" t="n">
        <x:f>IFERROR(G1177/K1177,0)</x:f>
        <x:v>0.3333333333333333</x:v>
      </x:c>
      <x:c r="AA1177" s="24" t="n">
        <x:f>IFERROR(F1177/H1177,0)-IFERROR(G1177/I1177,0)</x:f>
        <x:v>-0.08333333333333333</x:v>
      </x:c>
      <x:c r="AB1177" s="28" t="n">
        <x:f>J1177-K1177</x:f>
        <x:v>2</x:v>
      </x:c>
      <x:c r="AC1177" s="32" t="n">
        <x:f>F1177-G1177</x:f>
        <x:v>-1</x:v>
      </x:c>
    </x:row>
    <x:row r="1178">
      <x:c r="A1178" s="4" t="str">
        <x:v>2022-23</x:v>
      </x:c>
      <x:c r="B1178" s="20" t="n">
        <x:v>44962</x:v>
      </x:c>
      <x:c r="C1178" s="4" t="str">
        <x:v>Nott'm Forest</x:v>
      </x:c>
      <x:c r="D1178" s="4" t="str">
        <x:v>Leeds</x:v>
      </x:c>
      <x:c r="E1178" s="4" t="str">
        <x:v>Home</x:v>
      </x:c>
      <x:c r="F1178" s="28" t="n">
        <x:v>1</x:v>
      </x:c>
      <x:c r="G1178" s="28" t="n">
        <x:v>0</x:v>
      </x:c>
      <x:c r="H1178" s="28" t="n">
        <x:v>6</x:v>
      </x:c>
      <x:c r="I1178" s="28" t="n">
        <x:v>10</x:v>
      </x:c>
      <x:c r="J1178" s="28" t="n">
        <x:v>2</x:v>
      </x:c>
      <x:c r="K1178" s="28" t="n">
        <x:v>4</x:v>
      </x:c>
      <x:c r="L1178" s="28" t="n">
        <x:v>0</x:v>
      </x:c>
      <x:c r="M1178" s="28" t="n">
        <x:v>2</x:v>
      </x:c>
      <x:c r="N1178" s="28" t="n">
        <x:v>4</x:v>
      </x:c>
      <x:c r="O1178" s="28" t="n">
        <x:v>0</x:v>
      </x:c>
      <x:c r="P1178" s="28" t="n">
        <x:v>3</x:v>
      </x:c>
      <x:c r="Q1178" s="24" t="n">
        <x:f>IFERROR(J1178/H1178,0)</x:f>
        <x:v>0.3333333333333333</x:v>
      </x:c>
      <x:c r="R1178" s="24" t="n">
        <x:f>IFERROR(F1178/H1178,0)</x:f>
        <x:v>0.16666666666666666</x:v>
      </x:c>
      <x:c r="S1178" s="24" t="n">
        <x:f>IFERROR(F1178/J1178,0)</x:f>
        <x:v>0.5</x:v>
      </x:c>
      <x:c r="T1178" s="28" t="n">
        <x:f>H1178-I1178</x:f>
        <x:v>-4</x:v>
      </x:c>
      <x:c r="U1178" s="24" t="n">
        <x:f>IFERROR(J1178/H1178,0)-IFERROR(K1178/I1178,0)</x:f>
        <x:v>-0.06666666666666671</x:v>
      </x:c>
      <x:c r="V1178" s="24" t="n">
        <x:f>IFERROR(F1178/J1178,0)-IFERROR(G1178/K1178,0)</x:f>
        <x:v>0.5</x:v>
      </x:c>
      <x:c r="W1178" s="28" t="n">
        <x:f>L1178-M1178</x:f>
        <x:v>-2</x:v>
      </x:c>
      <x:c r="X1178" s="24" t="n">
        <x:f>IFERROR(K1178/I1178,0)</x:f>
        <x:v>0.4</x:v>
      </x:c>
      <x:c r="Y1178" s="24" t="n">
        <x:f>IFERROR(G1178/I1178,0)</x:f>
        <x:v>0</x:v>
      </x:c>
      <x:c r="Z1178" s="24" t="n">
        <x:f>IFERROR(G1178/K1178,0)</x:f>
        <x:v>0</x:v>
      </x:c>
      <x:c r="AA1178" s="24" t="n">
        <x:f>IFERROR(F1178/H1178,0)-IFERROR(G1178/I1178,0)</x:f>
        <x:v>0.16666666666666666</x:v>
      </x:c>
      <x:c r="AB1178" s="28" t="n">
        <x:f>J1178-K1178</x:f>
        <x:v>-2</x:v>
      </x:c>
      <x:c r="AC1178" s="32" t="n">
        <x:f>F1178-G1178</x:f>
        <x:v>1</x:v>
      </x:c>
    </x:row>
    <x:row r="1179">
      <x:c r="A1179" s="4" t="str">
        <x:v>2022-23</x:v>
      </x:c>
      <x:c r="B1179" s="20" t="n">
        <x:v>44962</x:v>
      </x:c>
      <x:c r="C1179" s="4" t="str">
        <x:v>Tottenham</x:v>
      </x:c>
      <x:c r="D1179" s="4" t="str">
        <x:v>Man City</x:v>
      </x:c>
      <x:c r="E1179" s="4" t="str">
        <x:v>Home</x:v>
      </x:c>
      <x:c r="F1179" s="28" t="n">
        <x:v>1</x:v>
      </x:c>
      <x:c r="G1179" s="28" t="n">
        <x:v>0</x:v>
      </x:c>
      <x:c r="H1179" s="28" t="n">
        <x:v>12</x:v>
      </x:c>
      <x:c r="I1179" s="28" t="n">
        <x:v>15</x:v>
      </x:c>
      <x:c r="J1179" s="28" t="n">
        <x:v>3</x:v>
      </x:c>
      <x:c r="K1179" s="28" t="n">
        <x:v>5</x:v>
      </x:c>
      <x:c r="L1179" s="28" t="n">
        <x:v>4</x:v>
      </x:c>
      <x:c r="M1179" s="28" t="n">
        <x:v>6</x:v>
      </x:c>
      <x:c r="N1179" s="28" t="n">
        <x:v>2</x:v>
      </x:c>
      <x:c r="O1179" s="28" t="n">
        <x:v>1</x:v>
      </x:c>
      <x:c r="P1179" s="28" t="n">
        <x:v>3</x:v>
      </x:c>
      <x:c r="Q1179" s="24" t="n">
        <x:f>IFERROR(J1179/H1179,0)</x:f>
        <x:v>0.25</x:v>
      </x:c>
      <x:c r="R1179" s="24" t="n">
        <x:f>IFERROR(F1179/H1179,0)</x:f>
        <x:v>0.08333333333333333</x:v>
      </x:c>
      <x:c r="S1179" s="24" t="n">
        <x:f>IFERROR(F1179/J1179,0)</x:f>
        <x:v>0.3333333333333333</x:v>
      </x:c>
      <x:c r="T1179" s="28" t="n">
        <x:f>H1179-I1179</x:f>
        <x:v>-3</x:v>
      </x:c>
      <x:c r="U1179" s="24" t="n">
        <x:f>IFERROR(J1179/H1179,0)-IFERROR(K1179/I1179,0)</x:f>
        <x:v>-0.08333333333333331</x:v>
      </x:c>
      <x:c r="V1179" s="24" t="n">
        <x:f>IFERROR(F1179/J1179,0)-IFERROR(G1179/K1179,0)</x:f>
        <x:v>0.3333333333333333</x:v>
      </x:c>
      <x:c r="W1179" s="28" t="n">
        <x:f>L1179-M1179</x:f>
        <x:v>-2</x:v>
      </x:c>
      <x:c r="X1179" s="24" t="n">
        <x:f>IFERROR(K1179/I1179,0)</x:f>
        <x:v>0.3333333333333333</x:v>
      </x:c>
      <x:c r="Y1179" s="24" t="n">
        <x:f>IFERROR(G1179/I1179,0)</x:f>
        <x:v>0</x:v>
      </x:c>
      <x:c r="Z1179" s="24" t="n">
        <x:f>IFERROR(G1179/K1179,0)</x:f>
        <x:v>0</x:v>
      </x:c>
      <x:c r="AA1179" s="24" t="n">
        <x:f>IFERROR(F1179/H1179,0)-IFERROR(G1179/I1179,0)</x:f>
        <x:v>0.08333333333333333</x:v>
      </x:c>
      <x:c r="AB1179" s="28" t="n">
        <x:f>J1179-K1179</x:f>
        <x:v>-2</x:v>
      </x:c>
      <x:c r="AC1179" s="32" t="n">
        <x:f>F1179-G1179</x:f>
        <x:v>1</x:v>
      </x:c>
    </x:row>
    <x:row r="1180">
      <x:c r="A1180" s="4" t="str">
        <x:v>2022-23</x:v>
      </x:c>
      <x:c r="B1180" s="20" t="n">
        <x:v>44965</x:v>
      </x:c>
      <x:c r="C1180" s="4" t="str">
        <x:v>Leeds</x:v>
      </x:c>
      <x:c r="D1180" s="4" t="str">
        <x:v>Man United</x:v>
      </x:c>
      <x:c r="E1180" s="4" t="str">
        <x:v>Away</x:v>
      </x:c>
      <x:c r="F1180" s="28" t="n">
        <x:v>2</x:v>
      </x:c>
      <x:c r="G1180" s="28" t="n">
        <x:v>2</x:v>
      </x:c>
      <x:c r="H1180" s="28" t="n">
        <x:v>8</x:v>
      </x:c>
      <x:c r="I1180" s="28" t="n">
        <x:v>24</x:v>
      </x:c>
      <x:c r="J1180" s="28" t="n">
        <x:v>2</x:v>
      </x:c>
      <x:c r="K1180" s="28" t="n">
        <x:v>7</x:v>
      </x:c>
      <x:c r="L1180" s="28" t="n">
        <x:v>5</x:v>
      </x:c>
      <x:c r="M1180" s="28" t="n">
        <x:v>6</x:v>
      </x:c>
      <x:c r="N1180" s="28" t="n">
        <x:v>3</x:v>
      </x:c>
      <x:c r="O1180" s="28" t="n">
        <x:v>0</x:v>
      </x:c>
      <x:c r="P1180" s="28" t="n">
        <x:v>1</x:v>
      </x:c>
      <x:c r="Q1180" s="24" t="n">
        <x:f>IFERROR(J1180/H1180,0)</x:f>
        <x:v>0.25</x:v>
      </x:c>
      <x:c r="R1180" s="24" t="n">
        <x:f>IFERROR(F1180/H1180,0)</x:f>
        <x:v>0.25</x:v>
      </x:c>
      <x:c r="S1180" s="24" t="n">
        <x:f>IFERROR(F1180/J1180,0)</x:f>
        <x:v>1</x:v>
      </x:c>
      <x:c r="T1180" s="28" t="n">
        <x:f>H1180-I1180</x:f>
        <x:v>-16</x:v>
      </x:c>
      <x:c r="U1180" s="24" t="n">
        <x:f>IFERROR(J1180/H1180,0)-IFERROR(K1180/I1180,0)</x:f>
        <x:v>-0.041666666666666685</x:v>
      </x:c>
      <x:c r="V1180" s="24" t="n">
        <x:f>IFERROR(F1180/J1180,0)-IFERROR(G1180/K1180,0)</x:f>
        <x:v>0.7142857142857143</x:v>
      </x:c>
      <x:c r="W1180" s="28" t="n">
        <x:f>L1180-M1180</x:f>
        <x:v>-1</x:v>
      </x:c>
      <x:c r="X1180" s="24" t="n">
        <x:f>IFERROR(K1180/I1180,0)</x:f>
        <x:v>0.2916666666666667</x:v>
      </x:c>
      <x:c r="Y1180" s="24" t="n">
        <x:f>IFERROR(G1180/I1180,0)</x:f>
        <x:v>0.08333333333333333</x:v>
      </x:c>
      <x:c r="Z1180" s="24" t="n">
        <x:f>IFERROR(G1180/K1180,0)</x:f>
        <x:v>0.2857142857142857</x:v>
      </x:c>
      <x:c r="AA1180" s="24" t="n">
        <x:f>IFERROR(F1180/H1180,0)-IFERROR(G1180/I1180,0)</x:f>
        <x:v>0.16666666666666669</x:v>
      </x:c>
      <x:c r="AB1180" s="28" t="n">
        <x:f>J1180-K1180</x:f>
        <x:v>-5</x:v>
      </x:c>
      <x:c r="AC1180" s="32" t="n">
        <x:f>F1180-G1180</x:f>
        <x:v>0</x:v>
      </x:c>
    </x:row>
    <x:row r="1181">
      <x:c r="A1181" s="4" t="str">
        <x:v>2022-23</x:v>
      </x:c>
      <x:c r="B1181" s="20" t="n">
        <x:v>44965</x:v>
      </x:c>
      <x:c r="C1181" s="4" t="str">
        <x:v>Man United</x:v>
      </x:c>
      <x:c r="D1181" s="4" t="str">
        <x:v>Leeds</x:v>
      </x:c>
      <x:c r="E1181" s="4" t="str">
        <x:v>Home</x:v>
      </x:c>
      <x:c r="F1181" s="28" t="n">
        <x:v>2</x:v>
      </x:c>
      <x:c r="G1181" s="28" t="n">
        <x:v>2</x:v>
      </x:c>
      <x:c r="H1181" s="28" t="n">
        <x:v>24</x:v>
      </x:c>
      <x:c r="I1181" s="28" t="n">
        <x:v>8</x:v>
      </x:c>
      <x:c r="J1181" s="28" t="n">
        <x:v>7</x:v>
      </x:c>
      <x:c r="K1181" s="28" t="n">
        <x:v>2</x:v>
      </x:c>
      <x:c r="L1181" s="28" t="n">
        <x:v>6</x:v>
      </x:c>
      <x:c r="M1181" s="28" t="n">
        <x:v>5</x:v>
      </x:c>
      <x:c r="N1181" s="28" t="n">
        <x:v>1</x:v>
      </x:c>
      <x:c r="O1181" s="28" t="n">
        <x:v>0</x:v>
      </x:c>
      <x:c r="P1181" s="28" t="n">
        <x:v>1</x:v>
      </x:c>
      <x:c r="Q1181" s="24" t="n">
        <x:f>IFERROR(J1181/H1181,0)</x:f>
        <x:v>0.2916666666666667</x:v>
      </x:c>
      <x:c r="R1181" s="24" t="n">
        <x:f>IFERROR(F1181/H1181,0)</x:f>
        <x:v>0.08333333333333333</x:v>
      </x:c>
      <x:c r="S1181" s="24" t="n">
        <x:f>IFERROR(F1181/J1181,0)</x:f>
        <x:v>0.2857142857142857</x:v>
      </x:c>
      <x:c r="T1181" s="28" t="n">
        <x:f>H1181-I1181</x:f>
        <x:v>16</x:v>
      </x:c>
      <x:c r="U1181" s="24" t="n">
        <x:f>IFERROR(J1181/H1181,0)-IFERROR(K1181/I1181,0)</x:f>
        <x:v>0.041666666666666685</x:v>
      </x:c>
      <x:c r="V1181" s="24" t="n">
        <x:f>IFERROR(F1181/J1181,0)-IFERROR(G1181/K1181,0)</x:f>
        <x:v>-0.7142857142857143</x:v>
      </x:c>
      <x:c r="W1181" s="28" t="n">
        <x:f>L1181-M1181</x:f>
        <x:v>1</x:v>
      </x:c>
      <x:c r="X1181" s="24" t="n">
        <x:f>IFERROR(K1181/I1181,0)</x:f>
        <x:v>0.25</x:v>
      </x:c>
      <x:c r="Y1181" s="24" t="n">
        <x:f>IFERROR(G1181/I1181,0)</x:f>
        <x:v>0.25</x:v>
      </x:c>
      <x:c r="Z1181" s="24" t="n">
        <x:f>IFERROR(G1181/K1181,0)</x:f>
        <x:v>1</x:v>
      </x:c>
      <x:c r="AA1181" s="24" t="n">
        <x:f>IFERROR(F1181/H1181,0)-IFERROR(G1181/I1181,0)</x:f>
        <x:v>-0.16666666666666669</x:v>
      </x:c>
      <x:c r="AB1181" s="28" t="n">
        <x:f>J1181-K1181</x:f>
        <x:v>5</x:v>
      </x:c>
      <x:c r="AC1181" s="32" t="n">
        <x:f>F1181-G1181</x:f>
        <x:v>0</x:v>
      </x:c>
    </x:row>
    <x:row r="1182">
      <x:c r="A1182" s="4" t="str">
        <x:v>2022-23</x:v>
      </x:c>
      <x:c r="B1182" s="20" t="n">
        <x:v>44968</x:v>
      </x:c>
      <x:c r="C1182" s="4" t="str">
        <x:v>Arsenal</x:v>
      </x:c>
      <x:c r="D1182" s="4" t="str">
        <x:v>Brentford</x:v>
      </x:c>
      <x:c r="E1182" s="4" t="str">
        <x:v>Home</x:v>
      </x:c>
      <x:c r="F1182" s="28" t="n">
        <x:v>1</x:v>
      </x:c>
      <x:c r="G1182" s="28" t="n">
        <x:v>1</x:v>
      </x:c>
      <x:c r="H1182" s="28" t="n">
        <x:v>23</x:v>
      </x:c>
      <x:c r="I1182" s="28" t="n">
        <x:v>9</x:v>
      </x:c>
      <x:c r="J1182" s="28" t="n">
        <x:v>7</x:v>
      </x:c>
      <x:c r="K1182" s="28" t="n">
        <x:v>2</x:v>
      </x:c>
      <x:c r="L1182" s="28" t="n">
        <x:v>7</x:v>
      </x:c>
      <x:c r="M1182" s="28" t="n">
        <x:v>4</x:v>
      </x:c>
      <x:c r="N1182" s="28" t="n">
        <x:v>0</x:v>
      </x:c>
      <x:c r="O1182" s="28" t="n">
        <x:v>0</x:v>
      </x:c>
      <x:c r="P1182" s="28" t="n">
        <x:v>1</x:v>
      </x:c>
      <x:c r="Q1182" s="24" t="n">
        <x:f>IFERROR(J1182/H1182,0)</x:f>
        <x:v>0.30434782608695654</x:v>
      </x:c>
      <x:c r="R1182" s="24" t="n">
        <x:f>IFERROR(F1182/H1182,0)</x:f>
        <x:v>0.043478260869565216</x:v>
      </x:c>
      <x:c r="S1182" s="24" t="n">
        <x:f>IFERROR(F1182/J1182,0)</x:f>
        <x:v>0.14285714285714285</x:v>
      </x:c>
      <x:c r="T1182" s="28" t="n">
        <x:f>H1182-I1182</x:f>
        <x:v>14</x:v>
      </x:c>
      <x:c r="U1182" s="24" t="n">
        <x:f>IFERROR(J1182/H1182,0)-IFERROR(K1182/I1182,0)</x:f>
        <x:v>0.08212560386473433</x:v>
      </x:c>
      <x:c r="V1182" s="24" t="n">
        <x:f>IFERROR(F1182/J1182,0)-IFERROR(G1182/K1182,0)</x:f>
        <x:v>-0.35714285714285715</x:v>
      </x:c>
      <x:c r="W1182" s="28" t="n">
        <x:f>L1182-M1182</x:f>
        <x:v>3</x:v>
      </x:c>
      <x:c r="X1182" s="24" t="n">
        <x:f>IFERROR(K1182/I1182,0)</x:f>
        <x:v>0.2222222222222222</x:v>
      </x:c>
      <x:c r="Y1182" s="24" t="n">
        <x:f>IFERROR(G1182/I1182,0)</x:f>
        <x:v>0.1111111111111111</x:v>
      </x:c>
      <x:c r="Z1182" s="24" t="n">
        <x:f>IFERROR(G1182/K1182,0)</x:f>
        <x:v>0.5</x:v>
      </x:c>
      <x:c r="AA1182" s="24" t="n">
        <x:f>IFERROR(F1182/H1182,0)-IFERROR(G1182/I1182,0)</x:f>
        <x:v>-0.06763285024154589</x:v>
      </x:c>
      <x:c r="AB1182" s="28" t="n">
        <x:f>J1182-K1182</x:f>
        <x:v>5</x:v>
      </x:c>
      <x:c r="AC1182" s="32" t="n">
        <x:f>F1182-G1182</x:f>
        <x:v>0</x:v>
      </x:c>
    </x:row>
    <x:row r="1183">
      <x:c r="A1183" s="4" t="str">
        <x:v>2022-23</x:v>
      </x:c>
      <x:c r="B1183" s="20" t="n">
        <x:v>44968</x:v>
      </x:c>
      <x:c r="C1183" s="4" t="str">
        <x:v>Bournemouth</x:v>
      </x:c>
      <x:c r="D1183" s="4" t="str">
        <x:v>Newcastle</x:v>
      </x:c>
      <x:c r="E1183" s="4" t="str">
        <x:v>Home</x:v>
      </x:c>
      <x:c r="F1183" s="28" t="n">
        <x:v>1</x:v>
      </x:c>
      <x:c r="G1183" s="28" t="n">
        <x:v>1</x:v>
      </x:c>
      <x:c r="H1183" s="28" t="n">
        <x:v>11</x:v>
      </x:c>
      <x:c r="I1183" s="28" t="n">
        <x:v>15</x:v>
      </x:c>
      <x:c r="J1183" s="28" t="n">
        <x:v>5</x:v>
      </x:c>
      <x:c r="K1183" s="28" t="n">
        <x:v>7</x:v>
      </x:c>
      <x:c r="L1183" s="28" t="n">
        <x:v>4</x:v>
      </x:c>
      <x:c r="M1183" s="28" t="n">
        <x:v>6</x:v>
      </x:c>
      <x:c r="N1183" s="28" t="n">
        <x:v>2</x:v>
      </x:c>
      <x:c r="O1183" s="28" t="n">
        <x:v>0</x:v>
      </x:c>
      <x:c r="P1183" s="28" t="n">
        <x:v>1</x:v>
      </x:c>
      <x:c r="Q1183" s="24" t="n">
        <x:f>IFERROR(J1183/H1183,0)</x:f>
        <x:v>0.45454545454545453</x:v>
      </x:c>
      <x:c r="R1183" s="24" t="n">
        <x:f>IFERROR(F1183/H1183,0)</x:f>
        <x:v>0.09090909090909091</x:v>
      </x:c>
      <x:c r="S1183" s="24" t="n">
        <x:f>IFERROR(F1183/J1183,0)</x:f>
        <x:v>0.2</x:v>
      </x:c>
      <x:c r="T1183" s="28" t="n">
        <x:f>H1183-I1183</x:f>
        <x:v>-4</x:v>
      </x:c>
      <x:c r="U1183" s="24" t="n">
        <x:f>IFERROR(J1183/H1183,0)-IFERROR(K1183/I1183,0)</x:f>
        <x:v>-0.012121212121212144</x:v>
      </x:c>
      <x:c r="V1183" s="24" t="n">
        <x:f>IFERROR(F1183/J1183,0)-IFERROR(G1183/K1183,0)</x:f>
        <x:v>0.05714285714285716</x:v>
      </x:c>
      <x:c r="W1183" s="28" t="n">
        <x:f>L1183-M1183</x:f>
        <x:v>-2</x:v>
      </x:c>
      <x:c r="X1183" s="24" t="n">
        <x:f>IFERROR(K1183/I1183,0)</x:f>
        <x:v>0.4666666666666667</x:v>
      </x:c>
      <x:c r="Y1183" s="24" t="n">
        <x:f>IFERROR(G1183/I1183,0)</x:f>
        <x:v>0.06666666666666667</x:v>
      </x:c>
      <x:c r="Z1183" s="24" t="n">
        <x:f>IFERROR(G1183/K1183,0)</x:f>
        <x:v>0.14285714285714285</x:v>
      </x:c>
      <x:c r="AA1183" s="24" t="n">
        <x:f>IFERROR(F1183/H1183,0)-IFERROR(G1183/I1183,0)</x:f>
        <x:v>0.024242424242424246</x:v>
      </x:c>
      <x:c r="AB1183" s="28" t="n">
        <x:f>J1183-K1183</x:f>
        <x:v>-2</x:v>
      </x:c>
      <x:c r="AC1183" s="32" t="n">
        <x:f>F1183-G1183</x:f>
        <x:v>0</x:v>
      </x:c>
    </x:row>
    <x:row r="1184">
      <x:c r="A1184" s="4" t="str">
        <x:v>2022-23</x:v>
      </x:c>
      <x:c r="B1184" s="20" t="n">
        <x:v>44968</x:v>
      </x:c>
      <x:c r="C1184" s="4" t="str">
        <x:v>Brentford</x:v>
      </x:c>
      <x:c r="D1184" s="4" t="str">
        <x:v>Arsenal</x:v>
      </x:c>
      <x:c r="E1184" s="4" t="str">
        <x:v>Away</x:v>
      </x:c>
      <x:c r="F1184" s="28" t="n">
        <x:v>1</x:v>
      </x:c>
      <x:c r="G1184" s="28" t="n">
        <x:v>1</x:v>
      </x:c>
      <x:c r="H1184" s="28" t="n">
        <x:v>9</x:v>
      </x:c>
      <x:c r="I1184" s="28" t="n">
        <x:v>23</x:v>
      </x:c>
      <x:c r="J1184" s="28" t="n">
        <x:v>2</x:v>
      </x:c>
      <x:c r="K1184" s="28" t="n">
        <x:v>7</x:v>
      </x:c>
      <x:c r="L1184" s="28" t="n">
        <x:v>4</x:v>
      </x:c>
      <x:c r="M1184" s="28" t="n">
        <x:v>7</x:v>
      </x:c>
      <x:c r="N1184" s="28" t="n">
        <x:v>2</x:v>
      </x:c>
      <x:c r="O1184" s="28" t="n">
        <x:v>0</x:v>
      </x:c>
      <x:c r="P1184" s="28" t="n">
        <x:v>1</x:v>
      </x:c>
      <x:c r="Q1184" s="24" t="n">
        <x:f>IFERROR(J1184/H1184,0)</x:f>
        <x:v>0.2222222222222222</x:v>
      </x:c>
      <x:c r="R1184" s="24" t="n">
        <x:f>IFERROR(F1184/H1184,0)</x:f>
        <x:v>0.1111111111111111</x:v>
      </x:c>
      <x:c r="S1184" s="24" t="n">
        <x:f>IFERROR(F1184/J1184,0)</x:f>
        <x:v>0.5</x:v>
      </x:c>
      <x:c r="T1184" s="28" t="n">
        <x:f>H1184-I1184</x:f>
        <x:v>-14</x:v>
      </x:c>
      <x:c r="U1184" s="24" t="n">
        <x:f>IFERROR(J1184/H1184,0)-IFERROR(K1184/I1184,0)</x:f>
        <x:v>-0.08212560386473433</x:v>
      </x:c>
      <x:c r="V1184" s="24" t="n">
        <x:f>IFERROR(F1184/J1184,0)-IFERROR(G1184/K1184,0)</x:f>
        <x:v>0.35714285714285715</x:v>
      </x:c>
      <x:c r="W1184" s="28" t="n">
        <x:f>L1184-M1184</x:f>
        <x:v>-3</x:v>
      </x:c>
      <x:c r="X1184" s="24" t="n">
        <x:f>IFERROR(K1184/I1184,0)</x:f>
        <x:v>0.30434782608695654</x:v>
      </x:c>
      <x:c r="Y1184" s="24" t="n">
        <x:f>IFERROR(G1184/I1184,0)</x:f>
        <x:v>0.043478260869565216</x:v>
      </x:c>
      <x:c r="Z1184" s="24" t="n">
        <x:f>IFERROR(G1184/K1184,0)</x:f>
        <x:v>0.14285714285714285</x:v>
      </x:c>
      <x:c r="AA1184" s="24" t="n">
        <x:f>IFERROR(F1184/H1184,0)-IFERROR(G1184/I1184,0)</x:f>
        <x:v>0.06763285024154589</x:v>
      </x:c>
      <x:c r="AB1184" s="28" t="n">
        <x:f>J1184-K1184</x:f>
        <x:v>-5</x:v>
      </x:c>
      <x:c r="AC1184" s="32" t="n">
        <x:f>F1184-G1184</x:f>
        <x:v>0</x:v>
      </x:c>
    </x:row>
    <x:row r="1185">
      <x:c r="A1185" s="4" t="str">
        <x:v>2022-23</x:v>
      </x:c>
      <x:c r="B1185" s="20" t="n">
        <x:v>44968</x:v>
      </x:c>
      <x:c r="C1185" s="4" t="str">
        <x:v>Brighton</x:v>
      </x:c>
      <x:c r="D1185" s="4" t="str">
        <x:v>Crystal Palace</x:v>
      </x:c>
      <x:c r="E1185" s="4" t="str">
        <x:v>Away</x:v>
      </x:c>
      <x:c r="F1185" s="28" t="n">
        <x:v>1</x:v>
      </x:c>
      <x:c r="G1185" s="28" t="n">
        <x:v>1</x:v>
      </x:c>
      <x:c r="H1185" s="28" t="n">
        <x:v>17</x:v>
      </x:c>
      <x:c r="I1185" s="28" t="n">
        <x:v>6</x:v>
      </x:c>
      <x:c r="J1185" s="28" t="n">
        <x:v>7</x:v>
      </x:c>
      <x:c r="K1185" s="28" t="n">
        <x:v>1</x:v>
      </x:c>
      <x:c r="L1185" s="28" t="n">
        <x:v>6</x:v>
      </x:c>
      <x:c r="M1185" s="28" t="n">
        <x:v>1</x:v>
      </x:c>
      <x:c r="N1185" s="28" t="n">
        <x:v>1</x:v>
      </x:c>
      <x:c r="O1185" s="28" t="n">
        <x:v>0</x:v>
      </x:c>
      <x:c r="P1185" s="28" t="n">
        <x:v>1</x:v>
      </x:c>
      <x:c r="Q1185" s="24" t="n">
        <x:f>IFERROR(J1185/H1185,0)</x:f>
        <x:v>0.4117647058823529</x:v>
      </x:c>
      <x:c r="R1185" s="24" t="n">
        <x:f>IFERROR(F1185/H1185,0)</x:f>
        <x:v>0.058823529411764705</x:v>
      </x:c>
      <x:c r="S1185" s="24" t="n">
        <x:f>IFERROR(F1185/J1185,0)</x:f>
        <x:v>0.14285714285714285</x:v>
      </x:c>
      <x:c r="T1185" s="28" t="n">
        <x:f>H1185-I1185</x:f>
        <x:v>11</x:v>
      </x:c>
      <x:c r="U1185" s="24" t="n">
        <x:f>IFERROR(J1185/H1185,0)-IFERROR(K1185/I1185,0)</x:f>
        <x:v>0.24509803921568626</x:v>
      </x:c>
      <x:c r="V1185" s="24" t="n">
        <x:f>IFERROR(F1185/J1185,0)-IFERROR(G1185/K1185,0)</x:f>
        <x:v>-0.8571428571428572</x:v>
      </x:c>
      <x:c r="W1185" s="28" t="n">
        <x:f>L1185-M1185</x:f>
        <x:v>5</x:v>
      </x:c>
      <x:c r="X1185" s="24" t="n">
        <x:f>IFERROR(K1185/I1185,0)</x:f>
        <x:v>0.16666666666666666</x:v>
      </x:c>
      <x:c r="Y1185" s="24" t="n">
        <x:f>IFERROR(G1185/I1185,0)</x:f>
        <x:v>0.16666666666666666</x:v>
      </x:c>
      <x:c r="Z1185" s="24" t="n">
        <x:f>IFERROR(G1185/K1185,0)</x:f>
        <x:v>1</x:v>
      </x:c>
      <x:c r="AA1185" s="24" t="n">
        <x:f>IFERROR(F1185/H1185,0)-IFERROR(G1185/I1185,0)</x:f>
        <x:v>-0.10784313725490195</x:v>
      </x:c>
      <x:c r="AB1185" s="28" t="n">
        <x:f>J1185-K1185</x:f>
        <x:v>6</x:v>
      </x:c>
      <x:c r="AC1185" s="32" t="n">
        <x:f>F1185-G1185</x:f>
        <x:v>0</x:v>
      </x:c>
    </x:row>
    <x:row r="1186">
      <x:c r="A1186" s="4" t="str">
        <x:v>2022-23</x:v>
      </x:c>
      <x:c r="B1186" s="20" t="n">
        <x:v>44968</x:v>
      </x:c>
      <x:c r="C1186" s="4" t="str">
        <x:v>Chelsea</x:v>
      </x:c>
      <x:c r="D1186" s="4" t="str">
        <x:v>West Ham</x:v>
      </x:c>
      <x:c r="E1186" s="4" t="str">
        <x:v>Away</x:v>
      </x:c>
      <x:c r="F1186" s="28" t="n">
        <x:v>1</x:v>
      </x:c>
      <x:c r="G1186" s="28" t="n">
        <x:v>1</x:v>
      </x:c>
      <x:c r="H1186" s="28" t="n">
        <x:v>12</x:v>
      </x:c>
      <x:c r="I1186" s="28" t="n">
        <x:v>10</x:v>
      </x:c>
      <x:c r="J1186" s="28" t="n">
        <x:v>4</x:v>
      </x:c>
      <x:c r="K1186" s="28" t="n">
        <x:v>2</x:v>
      </x:c>
      <x:c r="L1186" s="28" t="n">
        <x:v>6</x:v>
      </x:c>
      <x:c r="M1186" s="28" t="n">
        <x:v>5</x:v>
      </x:c>
      <x:c r="N1186" s="28" t="n">
        <x:v>1</x:v>
      </x:c>
      <x:c r="O1186" s="28" t="n">
        <x:v>0</x:v>
      </x:c>
      <x:c r="P1186" s="28" t="n">
        <x:v>1</x:v>
      </x:c>
      <x:c r="Q1186" s="24" t="n">
        <x:f>IFERROR(J1186/H1186,0)</x:f>
        <x:v>0.3333333333333333</x:v>
      </x:c>
      <x:c r="R1186" s="24" t="n">
        <x:f>IFERROR(F1186/H1186,0)</x:f>
        <x:v>0.08333333333333333</x:v>
      </x:c>
      <x:c r="S1186" s="24" t="n">
        <x:f>IFERROR(F1186/J1186,0)</x:f>
        <x:v>0.25</x:v>
      </x:c>
      <x:c r="T1186" s="28" t="n">
        <x:f>H1186-I1186</x:f>
        <x:v>2</x:v>
      </x:c>
      <x:c r="U1186" s="24" t="n">
        <x:f>IFERROR(J1186/H1186,0)-IFERROR(K1186/I1186,0)</x:f>
        <x:v>0.1333333333333333</x:v>
      </x:c>
      <x:c r="V1186" s="24" t="n">
        <x:f>IFERROR(F1186/J1186,0)-IFERROR(G1186/K1186,0)</x:f>
        <x:v>-0.25</x:v>
      </x:c>
      <x:c r="W1186" s="28" t="n">
        <x:f>L1186-M1186</x:f>
        <x:v>1</x:v>
      </x:c>
      <x:c r="X1186" s="24" t="n">
        <x:f>IFERROR(K1186/I1186,0)</x:f>
        <x:v>0.2</x:v>
      </x:c>
      <x:c r="Y1186" s="24" t="n">
        <x:f>IFERROR(G1186/I1186,0)</x:f>
        <x:v>0.1</x:v>
      </x:c>
      <x:c r="Z1186" s="24" t="n">
        <x:f>IFERROR(G1186/K1186,0)</x:f>
        <x:v>0.5</x:v>
      </x:c>
      <x:c r="AA1186" s="24" t="n">
        <x:f>IFERROR(F1186/H1186,0)-IFERROR(G1186/I1186,0)</x:f>
        <x:v>-0.016666666666666677</x:v>
      </x:c>
      <x:c r="AB1186" s="28" t="n">
        <x:f>J1186-K1186</x:f>
        <x:v>2</x:v>
      </x:c>
      <x:c r="AC1186" s="32" t="n">
        <x:f>F1186-G1186</x:f>
        <x:v>0</x:v>
      </x:c>
    </x:row>
    <x:row r="1187">
      <x:c r="A1187" s="4" t="str">
        <x:v>2022-23</x:v>
      </x:c>
      <x:c r="B1187" s="20" t="n">
        <x:v>44968</x:v>
      </x:c>
      <x:c r="C1187" s="4" t="str">
        <x:v>Crystal Palace</x:v>
      </x:c>
      <x:c r="D1187" s="4" t="str">
        <x:v>Brighton</x:v>
      </x:c>
      <x:c r="E1187" s="4" t="str">
        <x:v>Home</x:v>
      </x:c>
      <x:c r="F1187" s="28" t="n">
        <x:v>1</x:v>
      </x:c>
      <x:c r="G1187" s="28" t="n">
        <x:v>1</x:v>
      </x:c>
      <x:c r="H1187" s="28" t="n">
        <x:v>6</x:v>
      </x:c>
      <x:c r="I1187" s="28" t="n">
        <x:v>17</x:v>
      </x:c>
      <x:c r="J1187" s="28" t="n">
        <x:v>1</x:v>
      </x:c>
      <x:c r="K1187" s="28" t="n">
        <x:v>7</x:v>
      </x:c>
      <x:c r="L1187" s="28" t="n">
        <x:v>1</x:v>
      </x:c>
      <x:c r="M1187" s="28" t="n">
        <x:v>6</x:v>
      </x:c>
      <x:c r="N1187" s="28" t="n">
        <x:v>4</x:v>
      </x:c>
      <x:c r="O1187" s="28" t="n">
        <x:v>0</x:v>
      </x:c>
      <x:c r="P1187" s="28" t="n">
        <x:v>1</x:v>
      </x:c>
      <x:c r="Q1187" s="24" t="n">
        <x:f>IFERROR(J1187/H1187,0)</x:f>
        <x:v>0.16666666666666666</x:v>
      </x:c>
      <x:c r="R1187" s="24" t="n">
        <x:f>IFERROR(F1187/H1187,0)</x:f>
        <x:v>0.16666666666666666</x:v>
      </x:c>
      <x:c r="S1187" s="24" t="n">
        <x:f>IFERROR(F1187/J1187,0)</x:f>
        <x:v>1</x:v>
      </x:c>
      <x:c r="T1187" s="28" t="n">
        <x:f>H1187-I1187</x:f>
        <x:v>-11</x:v>
      </x:c>
      <x:c r="U1187" s="24" t="n">
        <x:f>IFERROR(J1187/H1187,0)-IFERROR(K1187/I1187,0)</x:f>
        <x:v>-0.24509803921568626</x:v>
      </x:c>
      <x:c r="V1187" s="24" t="n">
        <x:f>IFERROR(F1187/J1187,0)-IFERROR(G1187/K1187,0)</x:f>
        <x:v>0.8571428571428572</x:v>
      </x:c>
      <x:c r="W1187" s="28" t="n">
        <x:f>L1187-M1187</x:f>
        <x:v>-5</x:v>
      </x:c>
      <x:c r="X1187" s="24" t="n">
        <x:f>IFERROR(K1187/I1187,0)</x:f>
        <x:v>0.4117647058823529</x:v>
      </x:c>
      <x:c r="Y1187" s="24" t="n">
        <x:f>IFERROR(G1187/I1187,0)</x:f>
        <x:v>0.058823529411764705</x:v>
      </x:c>
      <x:c r="Z1187" s="24" t="n">
        <x:f>IFERROR(G1187/K1187,0)</x:f>
        <x:v>0.14285714285714285</x:v>
      </x:c>
      <x:c r="AA1187" s="24" t="n">
        <x:f>IFERROR(F1187/H1187,0)-IFERROR(G1187/I1187,0)</x:f>
        <x:v>0.10784313725490195</x:v>
      </x:c>
      <x:c r="AB1187" s="28" t="n">
        <x:f>J1187-K1187</x:f>
        <x:v>-6</x:v>
      </x:c>
      <x:c r="AC1187" s="32" t="n">
        <x:f>F1187-G1187</x:f>
        <x:v>0</x:v>
      </x:c>
    </x:row>
    <x:row r="1188">
      <x:c r="A1188" s="4" t="str">
        <x:v>2022-23</x:v>
      </x:c>
      <x:c r="B1188" s="20" t="n">
        <x:v>44968</x:v>
      </x:c>
      <x:c r="C1188" s="4" t="str">
        <x:v>Fulham</x:v>
      </x:c>
      <x:c r="D1188" s="4" t="str">
        <x:v>Nott'm Forest</x:v>
      </x:c>
      <x:c r="E1188" s="4" t="str">
        <x:v>Home</x:v>
      </x:c>
      <x:c r="F1188" s="28" t="n">
        <x:v>2</x:v>
      </x:c>
      <x:c r="G1188" s="28" t="n">
        <x:v>0</x:v>
      </x:c>
      <x:c r="H1188" s="28" t="n">
        <x:v>16</x:v>
      </x:c>
      <x:c r="I1188" s="28" t="n">
        <x:v>10</x:v>
      </x:c>
      <x:c r="J1188" s="28" t="n">
        <x:v>3</x:v>
      </x:c>
      <x:c r="K1188" s="28" t="n">
        <x:v>1</x:v>
      </x:c>
      <x:c r="L1188" s="28" t="n">
        <x:v>5</x:v>
      </x:c>
      <x:c r="M1188" s="28" t="n">
        <x:v>4</x:v>
      </x:c>
      <x:c r="N1188" s="28" t="n">
        <x:v>0</x:v>
      </x:c>
      <x:c r="O1188" s="28" t="n">
        <x:v>0</x:v>
      </x:c>
      <x:c r="P1188" s="28" t="n">
        <x:v>3</x:v>
      </x:c>
      <x:c r="Q1188" s="24" t="n">
        <x:f>IFERROR(J1188/H1188,0)</x:f>
        <x:v>0.1875</x:v>
      </x:c>
      <x:c r="R1188" s="24" t="n">
        <x:f>IFERROR(F1188/H1188,0)</x:f>
        <x:v>0.125</x:v>
      </x:c>
      <x:c r="S1188" s="24" t="n">
        <x:f>IFERROR(F1188/J1188,0)</x:f>
        <x:v>0.6666666666666666</x:v>
      </x:c>
      <x:c r="T1188" s="28" t="n">
        <x:f>H1188-I1188</x:f>
        <x:v>6</x:v>
      </x:c>
      <x:c r="U1188" s="24" t="n">
        <x:f>IFERROR(J1188/H1188,0)-IFERROR(K1188/I1188,0)</x:f>
        <x:v>0.0875</x:v>
      </x:c>
      <x:c r="V1188" s="24" t="n">
        <x:f>IFERROR(F1188/J1188,0)-IFERROR(G1188/K1188,0)</x:f>
        <x:v>0.6666666666666666</x:v>
      </x:c>
      <x:c r="W1188" s="28" t="n">
        <x:f>L1188-M1188</x:f>
        <x:v>1</x:v>
      </x:c>
      <x:c r="X1188" s="24" t="n">
        <x:f>IFERROR(K1188/I1188,0)</x:f>
        <x:v>0.1</x:v>
      </x:c>
      <x:c r="Y1188" s="24" t="n">
        <x:f>IFERROR(G1188/I1188,0)</x:f>
        <x:v>0</x:v>
      </x:c>
      <x:c r="Z1188" s="24" t="n">
        <x:f>IFERROR(G1188/K1188,0)</x:f>
        <x:v>0</x:v>
      </x:c>
      <x:c r="AA1188" s="24" t="n">
        <x:f>IFERROR(F1188/H1188,0)-IFERROR(G1188/I1188,0)</x:f>
        <x:v>0.125</x:v>
      </x:c>
      <x:c r="AB1188" s="28" t="n">
        <x:f>J1188-K1188</x:f>
        <x:v>2</x:v>
      </x:c>
      <x:c r="AC1188" s="32" t="n">
        <x:f>F1188-G1188</x:f>
        <x:v>2</x:v>
      </x:c>
    </x:row>
    <x:row r="1189">
      <x:c r="A1189" s="4" t="str">
        <x:v>2022-23</x:v>
      </x:c>
      <x:c r="B1189" s="20" t="n">
        <x:v>44968</x:v>
      </x:c>
      <x:c r="C1189" s="4" t="str">
        <x:v>Leicester</x:v>
      </x:c>
      <x:c r="D1189" s="4" t="str">
        <x:v>Tottenham</x:v>
      </x:c>
      <x:c r="E1189" s="4" t="str">
        <x:v>Home</x:v>
      </x:c>
      <x:c r="F1189" s="28" t="n">
        <x:v>4</x:v>
      </x:c>
      <x:c r="G1189" s="28" t="n">
        <x:v>1</x:v>
      </x:c>
      <x:c r="H1189" s="28" t="n">
        <x:v>15</x:v>
      </x:c>
      <x:c r="I1189" s="28" t="n">
        <x:v>11</x:v>
      </x:c>
      <x:c r="J1189" s="28" t="n">
        <x:v>7</x:v>
      </x:c>
      <x:c r="K1189" s="28" t="n">
        <x:v>4</x:v>
      </x:c>
      <x:c r="L1189" s="28" t="n">
        <x:v>1</x:v>
      </x:c>
      <x:c r="M1189" s="28" t="n">
        <x:v>5</x:v>
      </x:c>
      <x:c r="N1189" s="28" t="n">
        <x:v>5</x:v>
      </x:c>
      <x:c r="O1189" s="28" t="n">
        <x:v>0</x:v>
      </x:c>
      <x:c r="P1189" s="28" t="n">
        <x:v>3</x:v>
      </x:c>
      <x:c r="Q1189" s="24" t="n">
        <x:f>IFERROR(J1189/H1189,0)</x:f>
        <x:v>0.4666666666666667</x:v>
      </x:c>
      <x:c r="R1189" s="24" t="n">
        <x:f>IFERROR(F1189/H1189,0)</x:f>
        <x:v>0.26666666666666666</x:v>
      </x:c>
      <x:c r="S1189" s="24" t="n">
        <x:f>IFERROR(F1189/J1189,0)</x:f>
        <x:v>0.5714285714285714</x:v>
      </x:c>
      <x:c r="T1189" s="28" t="n">
        <x:f>H1189-I1189</x:f>
        <x:v>4</x:v>
      </x:c>
      <x:c r="U1189" s="24" t="n">
        <x:f>IFERROR(J1189/H1189,0)-IFERROR(K1189/I1189,0)</x:f>
        <x:v>0.10303030303030303</x:v>
      </x:c>
      <x:c r="V1189" s="24" t="n">
        <x:f>IFERROR(F1189/J1189,0)-IFERROR(G1189/K1189,0)</x:f>
        <x:v>0.3214285714285714</x:v>
      </x:c>
      <x:c r="W1189" s="28" t="n">
        <x:f>L1189-M1189</x:f>
        <x:v>-4</x:v>
      </x:c>
      <x:c r="X1189" s="24" t="n">
        <x:f>IFERROR(K1189/I1189,0)</x:f>
        <x:v>0.36363636363636365</x:v>
      </x:c>
      <x:c r="Y1189" s="24" t="n">
        <x:f>IFERROR(G1189/I1189,0)</x:f>
        <x:v>0.09090909090909091</x:v>
      </x:c>
      <x:c r="Z1189" s="24" t="n">
        <x:f>IFERROR(G1189/K1189,0)</x:f>
        <x:v>0.25</x:v>
      </x:c>
      <x:c r="AA1189" s="24" t="n">
        <x:f>IFERROR(F1189/H1189,0)-IFERROR(G1189/I1189,0)</x:f>
        <x:v>0.17575757575757575</x:v>
      </x:c>
      <x:c r="AB1189" s="28" t="n">
        <x:f>J1189-K1189</x:f>
        <x:v>3</x:v>
      </x:c>
      <x:c r="AC1189" s="32" t="n">
        <x:f>F1189-G1189</x:f>
        <x:v>3</x:v>
      </x:c>
    </x:row>
    <x:row r="1190">
      <x:c r="A1190" s="4" t="str">
        <x:v>2022-23</x:v>
      </x:c>
      <x:c r="B1190" s="20" t="n">
        <x:v>44968</x:v>
      </x:c>
      <x:c r="C1190" s="4" t="str">
        <x:v>Newcastle</x:v>
      </x:c>
      <x:c r="D1190" s="4" t="str">
        <x:v>Bournemouth</x:v>
      </x:c>
      <x:c r="E1190" s="4" t="str">
        <x:v>Away</x:v>
      </x:c>
      <x:c r="F1190" s="28" t="n">
        <x:v>1</x:v>
      </x:c>
      <x:c r="G1190" s="28" t="n">
        <x:v>1</x:v>
      </x:c>
      <x:c r="H1190" s="28" t="n">
        <x:v>15</x:v>
      </x:c>
      <x:c r="I1190" s="28" t="n">
        <x:v>11</x:v>
      </x:c>
      <x:c r="J1190" s="28" t="n">
        <x:v>7</x:v>
      </x:c>
      <x:c r="K1190" s="28" t="n">
        <x:v>5</x:v>
      </x:c>
      <x:c r="L1190" s="28" t="n">
        <x:v>6</x:v>
      </x:c>
      <x:c r="M1190" s="28" t="n">
        <x:v>4</x:v>
      </x:c>
      <x:c r="N1190" s="28" t="n">
        <x:v>3</x:v>
      </x:c>
      <x:c r="O1190" s="28" t="n">
        <x:v>0</x:v>
      </x:c>
      <x:c r="P1190" s="28" t="n">
        <x:v>1</x:v>
      </x:c>
      <x:c r="Q1190" s="24" t="n">
        <x:f>IFERROR(J1190/H1190,0)</x:f>
        <x:v>0.4666666666666667</x:v>
      </x:c>
      <x:c r="R1190" s="24" t="n">
        <x:f>IFERROR(F1190/H1190,0)</x:f>
        <x:v>0.06666666666666667</x:v>
      </x:c>
      <x:c r="S1190" s="24" t="n">
        <x:f>IFERROR(F1190/J1190,0)</x:f>
        <x:v>0.14285714285714285</x:v>
      </x:c>
      <x:c r="T1190" s="28" t="n">
        <x:f>H1190-I1190</x:f>
        <x:v>4</x:v>
      </x:c>
      <x:c r="U1190" s="24" t="n">
        <x:f>IFERROR(J1190/H1190,0)-IFERROR(K1190/I1190,0)</x:f>
        <x:v>0.012121212121212144</x:v>
      </x:c>
      <x:c r="V1190" s="24" t="n">
        <x:f>IFERROR(F1190/J1190,0)-IFERROR(G1190/K1190,0)</x:f>
        <x:v>-0.05714285714285716</x:v>
      </x:c>
      <x:c r="W1190" s="28" t="n">
        <x:f>L1190-M1190</x:f>
        <x:v>2</x:v>
      </x:c>
      <x:c r="X1190" s="24" t="n">
        <x:f>IFERROR(K1190/I1190,0)</x:f>
        <x:v>0.45454545454545453</x:v>
      </x:c>
      <x:c r="Y1190" s="24" t="n">
        <x:f>IFERROR(G1190/I1190,0)</x:f>
        <x:v>0.09090909090909091</x:v>
      </x:c>
      <x:c r="Z1190" s="24" t="n">
        <x:f>IFERROR(G1190/K1190,0)</x:f>
        <x:v>0.2</x:v>
      </x:c>
      <x:c r="AA1190" s="24" t="n">
        <x:f>IFERROR(F1190/H1190,0)-IFERROR(G1190/I1190,0)</x:f>
        <x:v>-0.024242424242424246</x:v>
      </x:c>
      <x:c r="AB1190" s="28" t="n">
        <x:f>J1190-K1190</x:f>
        <x:v>2</x:v>
      </x:c>
      <x:c r="AC1190" s="32" t="n">
        <x:f>F1190-G1190</x:f>
        <x:v>0</x:v>
      </x:c>
    </x:row>
    <x:row r="1191">
      <x:c r="A1191" s="4" t="str">
        <x:v>2022-23</x:v>
      </x:c>
      <x:c r="B1191" s="20" t="n">
        <x:v>44968</x:v>
      </x:c>
      <x:c r="C1191" s="4" t="str">
        <x:v>Nott'm Forest</x:v>
      </x:c>
      <x:c r="D1191" s="4" t="str">
        <x:v>Fulham</x:v>
      </x:c>
      <x:c r="E1191" s="4" t="str">
        <x:v>Away</x:v>
      </x:c>
      <x:c r="F1191" s="28" t="n">
        <x:v>0</x:v>
      </x:c>
      <x:c r="G1191" s="28" t="n">
        <x:v>2</x:v>
      </x:c>
      <x:c r="H1191" s="28" t="n">
        <x:v>10</x:v>
      </x:c>
      <x:c r="I1191" s="28" t="n">
        <x:v>16</x:v>
      </x:c>
      <x:c r="J1191" s="28" t="n">
        <x:v>1</x:v>
      </x:c>
      <x:c r="K1191" s="28" t="n">
        <x:v>3</x:v>
      </x:c>
      <x:c r="L1191" s="28" t="n">
        <x:v>4</x:v>
      </x:c>
      <x:c r="M1191" s="28" t="n">
        <x:v>5</x:v>
      </x:c>
      <x:c r="N1191" s="28" t="n">
        <x:v>1</x:v>
      </x:c>
      <x:c r="O1191" s="28" t="n">
        <x:v>0</x:v>
      </x:c>
      <x:c r="P1191" s="28" t="n">
        <x:v>0</x:v>
      </x:c>
      <x:c r="Q1191" s="24" t="n">
        <x:f>IFERROR(J1191/H1191,0)</x:f>
        <x:v>0.1</x:v>
      </x:c>
      <x:c r="R1191" s="24" t="n">
        <x:f>IFERROR(F1191/H1191,0)</x:f>
        <x:v>0</x:v>
      </x:c>
      <x:c r="S1191" s="24" t="n">
        <x:f>IFERROR(F1191/J1191,0)</x:f>
        <x:v>0</x:v>
      </x:c>
      <x:c r="T1191" s="28" t="n">
        <x:f>H1191-I1191</x:f>
        <x:v>-6</x:v>
      </x:c>
      <x:c r="U1191" s="24" t="n">
        <x:f>IFERROR(J1191/H1191,0)-IFERROR(K1191/I1191,0)</x:f>
        <x:v>-0.0875</x:v>
      </x:c>
      <x:c r="V1191" s="24" t="n">
        <x:f>IFERROR(F1191/J1191,0)-IFERROR(G1191/K1191,0)</x:f>
        <x:v>-0.6666666666666666</x:v>
      </x:c>
      <x:c r="W1191" s="28" t="n">
        <x:f>L1191-M1191</x:f>
        <x:v>-1</x:v>
      </x:c>
      <x:c r="X1191" s="24" t="n">
        <x:f>IFERROR(K1191/I1191,0)</x:f>
        <x:v>0.1875</x:v>
      </x:c>
      <x:c r="Y1191" s="24" t="n">
        <x:f>IFERROR(G1191/I1191,0)</x:f>
        <x:v>0.125</x:v>
      </x:c>
      <x:c r="Z1191" s="24" t="n">
        <x:f>IFERROR(G1191/K1191,0)</x:f>
        <x:v>0.6666666666666666</x:v>
      </x:c>
      <x:c r="AA1191" s="24" t="n">
        <x:f>IFERROR(F1191/H1191,0)-IFERROR(G1191/I1191,0)</x:f>
        <x:v>-0.125</x:v>
      </x:c>
      <x:c r="AB1191" s="28" t="n">
        <x:f>J1191-K1191</x:f>
        <x:v>-2</x:v>
      </x:c>
      <x:c r="AC1191" s="32" t="n">
        <x:f>F1191-G1191</x:f>
        <x:v>-2</x:v>
      </x:c>
    </x:row>
    <x:row r="1192">
      <x:c r="A1192" s="4" t="str">
        <x:v>2022-23</x:v>
      </x:c>
      <x:c r="B1192" s="20" t="n">
        <x:v>44968</x:v>
      </x:c>
      <x:c r="C1192" s="4" t="str">
        <x:v>Southampton</x:v>
      </x:c>
      <x:c r="D1192" s="4" t="str">
        <x:v>Wolves</x:v>
      </x:c>
      <x:c r="E1192" s="4" t="str">
        <x:v>Home</x:v>
      </x:c>
      <x:c r="F1192" s="28" t="n">
        <x:v>1</x:v>
      </x:c>
      <x:c r="G1192" s="28" t="n">
        <x:v>2</x:v>
      </x:c>
      <x:c r="H1192" s="28" t="n">
        <x:v>17</x:v>
      </x:c>
      <x:c r="I1192" s="28" t="n">
        <x:v>11</x:v>
      </x:c>
      <x:c r="J1192" s="28" t="n">
        <x:v>2</x:v>
      </x:c>
      <x:c r="K1192" s="28" t="n">
        <x:v>2</x:v>
      </x:c>
      <x:c r="L1192" s="28" t="n">
        <x:v>5</x:v>
      </x:c>
      <x:c r="M1192" s="28" t="n">
        <x:v>2</x:v>
      </x:c>
      <x:c r="N1192" s="28" t="n">
        <x:v>2</x:v>
      </x:c>
      <x:c r="O1192" s="28" t="n">
        <x:v>0</x:v>
      </x:c>
      <x:c r="P1192" s="28" t="n">
        <x:v>0</x:v>
      </x:c>
      <x:c r="Q1192" s="24" t="n">
        <x:f>IFERROR(J1192/H1192,0)</x:f>
        <x:v>0.11764705882352941</x:v>
      </x:c>
      <x:c r="R1192" s="24" t="n">
        <x:f>IFERROR(F1192/H1192,0)</x:f>
        <x:v>0.058823529411764705</x:v>
      </x:c>
      <x:c r="S1192" s="24" t="n">
        <x:f>IFERROR(F1192/J1192,0)</x:f>
        <x:v>0.5</x:v>
      </x:c>
      <x:c r="T1192" s="28" t="n">
        <x:f>H1192-I1192</x:f>
        <x:v>6</x:v>
      </x:c>
      <x:c r="U1192" s="24" t="n">
        <x:f>IFERROR(J1192/H1192,0)-IFERROR(K1192/I1192,0)</x:f>
        <x:v>-0.06417112299465241</x:v>
      </x:c>
      <x:c r="V1192" s="24" t="n">
        <x:f>IFERROR(F1192/J1192,0)-IFERROR(G1192/K1192,0)</x:f>
        <x:v>-0.5</x:v>
      </x:c>
      <x:c r="W1192" s="28" t="n">
        <x:f>L1192-M1192</x:f>
        <x:v>3</x:v>
      </x:c>
      <x:c r="X1192" s="24" t="n">
        <x:f>IFERROR(K1192/I1192,0)</x:f>
        <x:v>0.18181818181818182</x:v>
      </x:c>
      <x:c r="Y1192" s="24" t="n">
        <x:f>IFERROR(G1192/I1192,0)</x:f>
        <x:v>0.18181818181818182</x:v>
      </x:c>
      <x:c r="Z1192" s="24" t="n">
        <x:f>IFERROR(G1192/K1192,0)</x:f>
        <x:v>1</x:v>
      </x:c>
      <x:c r="AA1192" s="24" t="n">
        <x:f>IFERROR(F1192/H1192,0)-IFERROR(G1192/I1192,0)</x:f>
        <x:v>-0.12299465240641712</x:v>
      </x:c>
      <x:c r="AB1192" s="28" t="n">
        <x:f>J1192-K1192</x:f>
        <x:v>0</x:v>
      </x:c>
      <x:c r="AC1192" s="32" t="n">
        <x:f>F1192-G1192</x:f>
        <x:v>-1</x:v>
      </x:c>
    </x:row>
    <x:row r="1193">
      <x:c r="A1193" s="4" t="str">
        <x:v>2022-23</x:v>
      </x:c>
      <x:c r="B1193" s="20" t="n">
        <x:v>44968</x:v>
      </x:c>
      <x:c r="C1193" s="4" t="str">
        <x:v>Tottenham</x:v>
      </x:c>
      <x:c r="D1193" s="4" t="str">
        <x:v>Leicester</x:v>
      </x:c>
      <x:c r="E1193" s="4" t="str">
        <x:v>Away</x:v>
      </x:c>
      <x:c r="F1193" s="28" t="n">
        <x:v>1</x:v>
      </x:c>
      <x:c r="G1193" s="28" t="n">
        <x:v>4</x:v>
      </x:c>
      <x:c r="H1193" s="28" t="n">
        <x:v>11</x:v>
      </x:c>
      <x:c r="I1193" s="28" t="n">
        <x:v>15</x:v>
      </x:c>
      <x:c r="J1193" s="28" t="n">
        <x:v>4</x:v>
      </x:c>
      <x:c r="K1193" s="28" t="n">
        <x:v>7</x:v>
      </x:c>
      <x:c r="L1193" s="28" t="n">
        <x:v>5</x:v>
      </x:c>
      <x:c r="M1193" s="28" t="n">
        <x:v>1</x:v>
      </x:c>
      <x:c r="N1193" s="28" t="n">
        <x:v>2</x:v>
      </x:c>
      <x:c r="O1193" s="28" t="n">
        <x:v>0</x:v>
      </x:c>
      <x:c r="P1193" s="28" t="n">
        <x:v>0</x:v>
      </x:c>
      <x:c r="Q1193" s="24" t="n">
        <x:f>IFERROR(J1193/H1193,0)</x:f>
        <x:v>0.36363636363636365</x:v>
      </x:c>
      <x:c r="R1193" s="24" t="n">
        <x:f>IFERROR(F1193/H1193,0)</x:f>
        <x:v>0.09090909090909091</x:v>
      </x:c>
      <x:c r="S1193" s="24" t="n">
        <x:f>IFERROR(F1193/J1193,0)</x:f>
        <x:v>0.25</x:v>
      </x:c>
      <x:c r="T1193" s="28" t="n">
        <x:f>H1193-I1193</x:f>
        <x:v>-4</x:v>
      </x:c>
      <x:c r="U1193" s="24" t="n">
        <x:f>IFERROR(J1193/H1193,0)-IFERROR(K1193/I1193,0)</x:f>
        <x:v>-0.10303030303030303</x:v>
      </x:c>
      <x:c r="V1193" s="24" t="n">
        <x:f>IFERROR(F1193/J1193,0)-IFERROR(G1193/K1193,0)</x:f>
        <x:v>-0.3214285714285714</x:v>
      </x:c>
      <x:c r="W1193" s="28" t="n">
        <x:f>L1193-M1193</x:f>
        <x:v>4</x:v>
      </x:c>
      <x:c r="X1193" s="24" t="n">
        <x:f>IFERROR(K1193/I1193,0)</x:f>
        <x:v>0.4666666666666667</x:v>
      </x:c>
      <x:c r="Y1193" s="24" t="n">
        <x:f>IFERROR(G1193/I1193,0)</x:f>
        <x:v>0.26666666666666666</x:v>
      </x:c>
      <x:c r="Z1193" s="24" t="n">
        <x:f>IFERROR(G1193/K1193,0)</x:f>
        <x:v>0.5714285714285714</x:v>
      </x:c>
      <x:c r="AA1193" s="24" t="n">
        <x:f>IFERROR(F1193/H1193,0)-IFERROR(G1193/I1193,0)</x:f>
        <x:v>-0.17575757575757575</x:v>
      </x:c>
      <x:c r="AB1193" s="28" t="n">
        <x:f>J1193-K1193</x:f>
        <x:v>-3</x:v>
      </x:c>
      <x:c r="AC1193" s="32" t="n">
        <x:f>F1193-G1193</x:f>
        <x:v>-3</x:v>
      </x:c>
    </x:row>
    <x:row r="1194">
      <x:c r="A1194" s="4" t="str">
        <x:v>2022-23</x:v>
      </x:c>
      <x:c r="B1194" s="20" t="n">
        <x:v>44968</x:v>
      </x:c>
      <x:c r="C1194" s="4" t="str">
        <x:v>West Ham</x:v>
      </x:c>
      <x:c r="D1194" s="4" t="str">
        <x:v>Chelsea</x:v>
      </x:c>
      <x:c r="E1194" s="4" t="str">
        <x:v>Home</x:v>
      </x:c>
      <x:c r="F1194" s="28" t="n">
        <x:v>1</x:v>
      </x:c>
      <x:c r="G1194" s="28" t="n">
        <x:v>1</x:v>
      </x:c>
      <x:c r="H1194" s="28" t="n">
        <x:v>10</x:v>
      </x:c>
      <x:c r="I1194" s="28" t="n">
        <x:v>12</x:v>
      </x:c>
      <x:c r="J1194" s="28" t="n">
        <x:v>2</x:v>
      </x:c>
      <x:c r="K1194" s="28" t="n">
        <x:v>4</x:v>
      </x:c>
      <x:c r="L1194" s="28" t="n">
        <x:v>5</x:v>
      </x:c>
      <x:c r="M1194" s="28" t="n">
        <x:v>6</x:v>
      </x:c>
      <x:c r="N1194" s="28" t="n">
        <x:v>1</x:v>
      </x:c>
      <x:c r="O1194" s="28" t="n">
        <x:v>0</x:v>
      </x:c>
      <x:c r="P1194" s="28" t="n">
        <x:v>1</x:v>
      </x:c>
      <x:c r="Q1194" s="24" t="n">
        <x:f>IFERROR(J1194/H1194,0)</x:f>
        <x:v>0.2</x:v>
      </x:c>
      <x:c r="R1194" s="24" t="n">
        <x:f>IFERROR(F1194/H1194,0)</x:f>
        <x:v>0.1</x:v>
      </x:c>
      <x:c r="S1194" s="24" t="n">
        <x:f>IFERROR(F1194/J1194,0)</x:f>
        <x:v>0.5</x:v>
      </x:c>
      <x:c r="T1194" s="28" t="n">
        <x:f>H1194-I1194</x:f>
        <x:v>-2</x:v>
      </x:c>
      <x:c r="U1194" s="24" t="n">
        <x:f>IFERROR(J1194/H1194,0)-IFERROR(K1194/I1194,0)</x:f>
        <x:v>-0.1333333333333333</x:v>
      </x:c>
      <x:c r="V1194" s="24" t="n">
        <x:f>IFERROR(F1194/J1194,0)-IFERROR(G1194/K1194,0)</x:f>
        <x:v>0.25</x:v>
      </x:c>
      <x:c r="W1194" s="28" t="n">
        <x:f>L1194-M1194</x:f>
        <x:v>-1</x:v>
      </x:c>
      <x:c r="X1194" s="24" t="n">
        <x:f>IFERROR(K1194/I1194,0)</x:f>
        <x:v>0.3333333333333333</x:v>
      </x:c>
      <x:c r="Y1194" s="24" t="n">
        <x:f>IFERROR(G1194/I1194,0)</x:f>
        <x:v>0.08333333333333333</x:v>
      </x:c>
      <x:c r="Z1194" s="24" t="n">
        <x:f>IFERROR(G1194/K1194,0)</x:f>
        <x:v>0.25</x:v>
      </x:c>
      <x:c r="AA1194" s="24" t="n">
        <x:f>IFERROR(F1194/H1194,0)-IFERROR(G1194/I1194,0)</x:f>
        <x:v>0.016666666666666677</x:v>
      </x:c>
      <x:c r="AB1194" s="28" t="n">
        <x:f>J1194-K1194</x:f>
        <x:v>-2</x:v>
      </x:c>
      <x:c r="AC1194" s="32" t="n">
        <x:f>F1194-G1194</x:f>
        <x:v>0</x:v>
      </x:c>
    </x:row>
    <x:row r="1195">
      <x:c r="A1195" s="4" t="str">
        <x:v>2022-23</x:v>
      </x:c>
      <x:c r="B1195" s="20" t="n">
        <x:v>44968</x:v>
      </x:c>
      <x:c r="C1195" s="4" t="str">
        <x:v>Wolves</x:v>
      </x:c>
      <x:c r="D1195" s="4" t="str">
        <x:v>Southampton</x:v>
      </x:c>
      <x:c r="E1195" s="4" t="str">
        <x:v>Away</x:v>
      </x:c>
      <x:c r="F1195" s="28" t="n">
        <x:v>2</x:v>
      </x:c>
      <x:c r="G1195" s="28" t="n">
        <x:v>1</x:v>
      </x:c>
      <x:c r="H1195" s="28" t="n">
        <x:v>11</x:v>
      </x:c>
      <x:c r="I1195" s="28" t="n">
        <x:v>17</x:v>
      </x:c>
      <x:c r="J1195" s="28" t="n">
        <x:v>2</x:v>
      </x:c>
      <x:c r="K1195" s="28" t="n">
        <x:v>2</x:v>
      </x:c>
      <x:c r="L1195" s="28" t="n">
        <x:v>2</x:v>
      </x:c>
      <x:c r="M1195" s="28" t="n">
        <x:v>5</x:v>
      </x:c>
      <x:c r="N1195" s="28" t="n">
        <x:v>2</x:v>
      </x:c>
      <x:c r="O1195" s="28" t="n">
        <x:v>1</x:v>
      </x:c>
      <x:c r="P1195" s="28" t="n">
        <x:v>3</x:v>
      </x:c>
      <x:c r="Q1195" s="24" t="n">
        <x:f>IFERROR(J1195/H1195,0)</x:f>
        <x:v>0.18181818181818182</x:v>
      </x:c>
      <x:c r="R1195" s="24" t="n">
        <x:f>IFERROR(F1195/H1195,0)</x:f>
        <x:v>0.18181818181818182</x:v>
      </x:c>
      <x:c r="S1195" s="24" t="n">
        <x:f>IFERROR(F1195/J1195,0)</x:f>
        <x:v>1</x:v>
      </x:c>
      <x:c r="T1195" s="28" t="n">
        <x:f>H1195-I1195</x:f>
        <x:v>-6</x:v>
      </x:c>
      <x:c r="U1195" s="24" t="n">
        <x:f>IFERROR(J1195/H1195,0)-IFERROR(K1195/I1195,0)</x:f>
        <x:v>0.06417112299465241</x:v>
      </x:c>
      <x:c r="V1195" s="24" t="n">
        <x:f>IFERROR(F1195/J1195,0)-IFERROR(G1195/K1195,0)</x:f>
        <x:v>0.5</x:v>
      </x:c>
      <x:c r="W1195" s="28" t="n">
        <x:f>L1195-M1195</x:f>
        <x:v>-3</x:v>
      </x:c>
      <x:c r="X1195" s="24" t="n">
        <x:f>IFERROR(K1195/I1195,0)</x:f>
        <x:v>0.11764705882352941</x:v>
      </x:c>
      <x:c r="Y1195" s="24" t="n">
        <x:f>IFERROR(G1195/I1195,0)</x:f>
        <x:v>0.058823529411764705</x:v>
      </x:c>
      <x:c r="Z1195" s="24" t="n">
        <x:f>IFERROR(G1195/K1195,0)</x:f>
        <x:v>0.5</x:v>
      </x:c>
      <x:c r="AA1195" s="24" t="n">
        <x:f>IFERROR(F1195/H1195,0)-IFERROR(G1195/I1195,0)</x:f>
        <x:v>0.12299465240641712</x:v>
      </x:c>
      <x:c r="AB1195" s="28" t="n">
        <x:f>J1195-K1195</x:f>
        <x:v>0</x:v>
      </x:c>
      <x:c r="AC1195" s="32" t="n">
        <x:f>F1195-G1195</x:f>
        <x:v>1</x:v>
      </x:c>
    </x:row>
    <x:row r="1196">
      <x:c r="A1196" s="4" t="str">
        <x:v>2022-23</x:v>
      </x:c>
      <x:c r="B1196" s="20" t="n">
        <x:v>44969</x:v>
      </x:c>
      <x:c r="C1196" s="4" t="str">
        <x:v>Aston Villa</x:v>
      </x:c>
      <x:c r="D1196" s="4" t="str">
        <x:v>Man City</x:v>
      </x:c>
      <x:c r="E1196" s="4" t="str">
        <x:v>Away</x:v>
      </x:c>
      <x:c r="F1196" s="28" t="n">
        <x:v>1</x:v>
      </x:c>
      <x:c r="G1196" s="28" t="n">
        <x:v>3</x:v>
      </x:c>
      <x:c r="H1196" s="28" t="n">
        <x:v>6</x:v>
      </x:c>
      <x:c r="I1196" s="28" t="n">
        <x:v>17</x:v>
      </x:c>
      <x:c r="J1196" s="28" t="n">
        <x:v>2</x:v>
      </x:c>
      <x:c r="K1196" s="28" t="n">
        <x:v>9</x:v>
      </x:c>
      <x:c r="L1196" s="28" t="n">
        <x:v>4</x:v>
      </x:c>
      <x:c r="M1196" s="28" t="n">
        <x:v>8</x:v>
      </x:c>
      <x:c r="N1196" s="28" t="n">
        <x:v>2</x:v>
      </x:c>
      <x:c r="O1196" s="28" t="n">
        <x:v>0</x:v>
      </x:c>
      <x:c r="P1196" s="28" t="n">
        <x:v>0</x:v>
      </x:c>
      <x:c r="Q1196" s="24" t="n">
        <x:f>IFERROR(J1196/H1196,0)</x:f>
        <x:v>0.3333333333333333</x:v>
      </x:c>
      <x:c r="R1196" s="24" t="n">
        <x:f>IFERROR(F1196/H1196,0)</x:f>
        <x:v>0.16666666666666666</x:v>
      </x:c>
      <x:c r="S1196" s="24" t="n">
        <x:f>IFERROR(F1196/J1196,0)</x:f>
        <x:v>0.5</x:v>
      </x:c>
      <x:c r="T1196" s="28" t="n">
        <x:f>H1196-I1196</x:f>
        <x:v>-11</x:v>
      </x:c>
      <x:c r="U1196" s="24" t="n">
        <x:f>IFERROR(J1196/H1196,0)-IFERROR(K1196/I1196,0)</x:f>
        <x:v>-0.19607843137254904</x:v>
      </x:c>
      <x:c r="V1196" s="24" t="n">
        <x:f>IFERROR(F1196/J1196,0)-IFERROR(G1196/K1196,0)</x:f>
        <x:v>0.16666666666666669</x:v>
      </x:c>
      <x:c r="W1196" s="28" t="n">
        <x:f>L1196-M1196</x:f>
        <x:v>-4</x:v>
      </x:c>
      <x:c r="X1196" s="24" t="n">
        <x:f>IFERROR(K1196/I1196,0)</x:f>
        <x:v>0.5294117647058824</x:v>
      </x:c>
      <x:c r="Y1196" s="24" t="n">
        <x:f>IFERROR(G1196/I1196,0)</x:f>
        <x:v>0.17647058823529413</x:v>
      </x:c>
      <x:c r="Z1196" s="24" t="n">
        <x:f>IFERROR(G1196/K1196,0)</x:f>
        <x:v>0.3333333333333333</x:v>
      </x:c>
      <x:c r="AA1196" s="24" t="n">
        <x:f>IFERROR(F1196/H1196,0)-IFERROR(G1196/I1196,0)</x:f>
        <x:v>-0.009803921568627472</x:v>
      </x:c>
      <x:c r="AB1196" s="28" t="n">
        <x:f>J1196-K1196</x:f>
        <x:v>-7</x:v>
      </x:c>
      <x:c r="AC1196" s="32" t="n">
        <x:f>F1196-G1196</x:f>
        <x:v>-2</x:v>
      </x:c>
    </x:row>
    <x:row r="1197">
      <x:c r="A1197" s="4" t="str">
        <x:v>2022-23</x:v>
      </x:c>
      <x:c r="B1197" s="20" t="n">
        <x:v>44969</x:v>
      </x:c>
      <x:c r="C1197" s="4" t="str">
        <x:v>Leeds</x:v>
      </x:c>
      <x:c r="D1197" s="4" t="str">
        <x:v>Man United</x:v>
      </x:c>
      <x:c r="E1197" s="4" t="str">
        <x:v>Home</x:v>
      </x:c>
      <x:c r="F1197" s="28" t="n">
        <x:v>0</x:v>
      </x:c>
      <x:c r="G1197" s="28" t="n">
        <x:v>2</x:v>
      </x:c>
      <x:c r="H1197" s="28" t="n">
        <x:v>16</x:v>
      </x:c>
      <x:c r="I1197" s="28" t="n">
        <x:v>11</x:v>
      </x:c>
      <x:c r="J1197" s="28" t="n">
        <x:v>6</x:v>
      </x:c>
      <x:c r="K1197" s="28" t="n">
        <x:v>5</x:v>
      </x:c>
      <x:c r="L1197" s="28" t="n">
        <x:v>7</x:v>
      </x:c>
      <x:c r="M1197" s="28" t="n">
        <x:v>3</x:v>
      </x:c>
      <x:c r="N1197" s="28" t="n">
        <x:v>2</x:v>
      </x:c>
      <x:c r="O1197" s="28" t="n">
        <x:v>0</x:v>
      </x:c>
      <x:c r="P1197" s="28" t="n">
        <x:v>0</x:v>
      </x:c>
      <x:c r="Q1197" s="24" t="n">
        <x:f>IFERROR(J1197/H1197,0)</x:f>
        <x:v>0.375</x:v>
      </x:c>
      <x:c r="R1197" s="24" t="n">
        <x:f>IFERROR(F1197/H1197,0)</x:f>
        <x:v>0</x:v>
      </x:c>
      <x:c r="S1197" s="24" t="n">
        <x:f>IFERROR(F1197/J1197,0)</x:f>
        <x:v>0</x:v>
      </x:c>
      <x:c r="T1197" s="28" t="n">
        <x:f>H1197-I1197</x:f>
        <x:v>5</x:v>
      </x:c>
      <x:c r="U1197" s="24" t="n">
        <x:f>IFERROR(J1197/H1197,0)-IFERROR(K1197/I1197,0)</x:f>
        <x:v>-0.07954545454545453</x:v>
      </x:c>
      <x:c r="V1197" s="24" t="n">
        <x:f>IFERROR(F1197/J1197,0)-IFERROR(G1197/K1197,0)</x:f>
        <x:v>-0.4</x:v>
      </x:c>
      <x:c r="W1197" s="28" t="n">
        <x:f>L1197-M1197</x:f>
        <x:v>4</x:v>
      </x:c>
      <x:c r="X1197" s="24" t="n">
        <x:f>IFERROR(K1197/I1197,0)</x:f>
        <x:v>0.45454545454545453</x:v>
      </x:c>
      <x:c r="Y1197" s="24" t="n">
        <x:f>IFERROR(G1197/I1197,0)</x:f>
        <x:v>0.18181818181818182</x:v>
      </x:c>
      <x:c r="Z1197" s="24" t="n">
        <x:f>IFERROR(G1197/K1197,0)</x:f>
        <x:v>0.4</x:v>
      </x:c>
      <x:c r="AA1197" s="24" t="n">
        <x:f>IFERROR(F1197/H1197,0)-IFERROR(G1197/I1197,0)</x:f>
        <x:v>-0.18181818181818182</x:v>
      </x:c>
      <x:c r="AB1197" s="28" t="n">
        <x:f>J1197-K1197</x:f>
        <x:v>1</x:v>
      </x:c>
      <x:c r="AC1197" s="32" t="n">
        <x:f>F1197-G1197</x:f>
        <x:v>-2</x:v>
      </x:c>
    </x:row>
    <x:row r="1198">
      <x:c r="A1198" s="4" t="str">
        <x:v>2022-23</x:v>
      </x:c>
      <x:c r="B1198" s="20" t="n">
        <x:v>44969</x:v>
      </x:c>
      <x:c r="C1198" s="4" t="str">
        <x:v>Man City</x:v>
      </x:c>
      <x:c r="D1198" s="4" t="str">
        <x:v>Aston Villa</x:v>
      </x:c>
      <x:c r="E1198" s="4" t="str">
        <x:v>Home</x:v>
      </x:c>
      <x:c r="F1198" s="28" t="n">
        <x:v>3</x:v>
      </x:c>
      <x:c r="G1198" s="28" t="n">
        <x:v>1</x:v>
      </x:c>
      <x:c r="H1198" s="28" t="n">
        <x:v>17</x:v>
      </x:c>
      <x:c r="I1198" s="28" t="n">
        <x:v>6</x:v>
      </x:c>
      <x:c r="J1198" s="28" t="n">
        <x:v>9</x:v>
      </x:c>
      <x:c r="K1198" s="28" t="n">
        <x:v>2</x:v>
      </x:c>
      <x:c r="L1198" s="28" t="n">
        <x:v>8</x:v>
      </x:c>
      <x:c r="M1198" s="28" t="n">
        <x:v>4</x:v>
      </x:c>
      <x:c r="N1198" s="28" t="n">
        <x:v>1</x:v>
      </x:c>
      <x:c r="O1198" s="28" t="n">
        <x:v>0</x:v>
      </x:c>
      <x:c r="P1198" s="28" t="n">
        <x:v>3</x:v>
      </x:c>
      <x:c r="Q1198" s="24" t="n">
        <x:f>IFERROR(J1198/H1198,0)</x:f>
        <x:v>0.5294117647058824</x:v>
      </x:c>
      <x:c r="R1198" s="24" t="n">
        <x:f>IFERROR(F1198/H1198,0)</x:f>
        <x:v>0.17647058823529413</x:v>
      </x:c>
      <x:c r="S1198" s="24" t="n">
        <x:f>IFERROR(F1198/J1198,0)</x:f>
        <x:v>0.3333333333333333</x:v>
      </x:c>
      <x:c r="T1198" s="28" t="n">
        <x:f>H1198-I1198</x:f>
        <x:v>11</x:v>
      </x:c>
      <x:c r="U1198" s="24" t="n">
        <x:f>IFERROR(J1198/H1198,0)-IFERROR(K1198/I1198,0)</x:f>
        <x:v>0.19607843137254904</x:v>
      </x:c>
      <x:c r="V1198" s="24" t="n">
        <x:f>IFERROR(F1198/J1198,0)-IFERROR(G1198/K1198,0)</x:f>
        <x:v>-0.16666666666666669</x:v>
      </x:c>
      <x:c r="W1198" s="28" t="n">
        <x:f>L1198-M1198</x:f>
        <x:v>4</x:v>
      </x:c>
      <x:c r="X1198" s="24" t="n">
        <x:f>IFERROR(K1198/I1198,0)</x:f>
        <x:v>0.3333333333333333</x:v>
      </x:c>
      <x:c r="Y1198" s="24" t="n">
        <x:f>IFERROR(G1198/I1198,0)</x:f>
        <x:v>0.16666666666666666</x:v>
      </x:c>
      <x:c r="Z1198" s="24" t="n">
        <x:f>IFERROR(G1198/K1198,0)</x:f>
        <x:v>0.5</x:v>
      </x:c>
      <x:c r="AA1198" s="24" t="n">
        <x:f>IFERROR(F1198/H1198,0)-IFERROR(G1198/I1198,0)</x:f>
        <x:v>0.009803921568627472</x:v>
      </x:c>
      <x:c r="AB1198" s="28" t="n">
        <x:f>J1198-K1198</x:f>
        <x:v>7</x:v>
      </x:c>
      <x:c r="AC1198" s="32" t="n">
        <x:f>F1198-G1198</x:f>
        <x:v>2</x:v>
      </x:c>
    </x:row>
    <x:row r="1199">
      <x:c r="A1199" s="4" t="str">
        <x:v>2022-23</x:v>
      </x:c>
      <x:c r="B1199" s="20" t="n">
        <x:v>44969</x:v>
      </x:c>
      <x:c r="C1199" s="4" t="str">
        <x:v>Man United</x:v>
      </x:c>
      <x:c r="D1199" s="4" t="str">
        <x:v>Leeds</x:v>
      </x:c>
      <x:c r="E1199" s="4" t="str">
        <x:v>Away</x:v>
      </x:c>
      <x:c r="F1199" s="28" t="n">
        <x:v>2</x:v>
      </x:c>
      <x:c r="G1199" s="28" t="n">
        <x:v>0</x:v>
      </x:c>
      <x:c r="H1199" s="28" t="n">
        <x:v>11</x:v>
      </x:c>
      <x:c r="I1199" s="28" t="n">
        <x:v>16</x:v>
      </x:c>
      <x:c r="J1199" s="28" t="n">
        <x:v>5</x:v>
      </x:c>
      <x:c r="K1199" s="28" t="n">
        <x:v>6</x:v>
      </x:c>
      <x:c r="L1199" s="28" t="n">
        <x:v>3</x:v>
      </x:c>
      <x:c r="M1199" s="28" t="n">
        <x:v>7</x:v>
      </x:c>
      <x:c r="N1199" s="28" t="n">
        <x:v>1</x:v>
      </x:c>
      <x:c r="O1199" s="28" t="n">
        <x:v>0</x:v>
      </x:c>
      <x:c r="P1199" s="28" t="n">
        <x:v>3</x:v>
      </x:c>
      <x:c r="Q1199" s="24" t="n">
        <x:f>IFERROR(J1199/H1199,0)</x:f>
        <x:v>0.45454545454545453</x:v>
      </x:c>
      <x:c r="R1199" s="24" t="n">
        <x:f>IFERROR(F1199/H1199,0)</x:f>
        <x:v>0.18181818181818182</x:v>
      </x:c>
      <x:c r="S1199" s="24" t="n">
        <x:f>IFERROR(F1199/J1199,0)</x:f>
        <x:v>0.4</x:v>
      </x:c>
      <x:c r="T1199" s="28" t="n">
        <x:f>H1199-I1199</x:f>
        <x:v>-5</x:v>
      </x:c>
      <x:c r="U1199" s="24" t="n">
        <x:f>IFERROR(J1199/H1199,0)-IFERROR(K1199/I1199,0)</x:f>
        <x:v>0.07954545454545453</x:v>
      </x:c>
      <x:c r="V1199" s="24" t="n">
        <x:f>IFERROR(F1199/J1199,0)-IFERROR(G1199/K1199,0)</x:f>
        <x:v>0.4</x:v>
      </x:c>
      <x:c r="W1199" s="28" t="n">
        <x:f>L1199-M1199</x:f>
        <x:v>-4</x:v>
      </x:c>
      <x:c r="X1199" s="24" t="n">
        <x:f>IFERROR(K1199/I1199,0)</x:f>
        <x:v>0.375</x:v>
      </x:c>
      <x:c r="Y1199" s="24" t="n">
        <x:f>IFERROR(G1199/I1199,0)</x:f>
        <x:v>0</x:v>
      </x:c>
      <x:c r="Z1199" s="24" t="n">
        <x:f>IFERROR(G1199/K1199,0)</x:f>
        <x:v>0</x:v>
      </x:c>
      <x:c r="AA1199" s="24" t="n">
        <x:f>IFERROR(F1199/H1199,0)-IFERROR(G1199/I1199,0)</x:f>
        <x:v>0.18181818181818182</x:v>
      </x:c>
      <x:c r="AB1199" s="28" t="n">
        <x:f>J1199-K1199</x:f>
        <x:v>-1</x:v>
      </x:c>
      <x:c r="AC1199" s="32" t="n">
        <x:f>F1199-G1199</x:f>
        <x:v>2</x:v>
      </x:c>
    </x:row>
    <x:row r="1200">
      <x:c r="A1200" s="4" t="str">
        <x:v>2022-23</x:v>
      </x:c>
      <x:c r="B1200" s="20" t="n">
        <x:v>44970</x:v>
      </x:c>
      <x:c r="C1200" s="4" t="str">
        <x:v>Everton</x:v>
      </x:c>
      <x:c r="D1200" s="4" t="str">
        <x:v>Liverpool</x:v>
      </x:c>
      <x:c r="E1200" s="4" t="str">
        <x:v>Away</x:v>
      </x:c>
      <x:c r="F1200" s="28" t="n">
        <x:v>0</x:v>
      </x:c>
      <x:c r="G1200" s="28" t="n">
        <x:v>2</x:v>
      </x:c>
      <x:c r="H1200" s="28" t="n">
        <x:v>6</x:v>
      </x:c>
      <x:c r="I1200" s="28" t="n">
        <x:v>15</x:v>
      </x:c>
      <x:c r="J1200" s="28" t="n">
        <x:v>1</x:v>
      </x:c>
      <x:c r="K1200" s="28" t="n">
        <x:v>6</x:v>
      </x:c>
      <x:c r="L1200" s="28" t="n">
        <x:v>3</x:v>
      </x:c>
      <x:c r="M1200" s="28" t="n">
        <x:v>3</x:v>
      </x:c>
      <x:c r="N1200" s="28" t="n">
        <x:v>3</x:v>
      </x:c>
      <x:c r="O1200" s="28" t="n">
        <x:v>0</x:v>
      </x:c>
      <x:c r="P1200" s="28" t="n">
        <x:v>0</x:v>
      </x:c>
      <x:c r="Q1200" s="24" t="n">
        <x:f>IFERROR(J1200/H1200,0)</x:f>
        <x:v>0.16666666666666666</x:v>
      </x:c>
      <x:c r="R1200" s="24" t="n">
        <x:f>IFERROR(F1200/H1200,0)</x:f>
        <x:v>0</x:v>
      </x:c>
      <x:c r="S1200" s="24" t="n">
        <x:f>IFERROR(F1200/J1200,0)</x:f>
        <x:v>0</x:v>
      </x:c>
      <x:c r="T1200" s="28" t="n">
        <x:f>H1200-I1200</x:f>
        <x:v>-9</x:v>
      </x:c>
      <x:c r="U1200" s="24" t="n">
        <x:f>IFERROR(J1200/H1200,0)-IFERROR(K1200/I1200,0)</x:f>
        <x:v>-0.23333333333333336</x:v>
      </x:c>
      <x:c r="V1200" s="24" t="n">
        <x:f>IFERROR(F1200/J1200,0)-IFERROR(G1200/K1200,0)</x:f>
        <x:v>-0.3333333333333333</x:v>
      </x:c>
      <x:c r="W1200" s="28" t="n">
        <x:f>L1200-M1200</x:f>
        <x:v>0</x:v>
      </x:c>
      <x:c r="X1200" s="24" t="n">
        <x:f>IFERROR(K1200/I1200,0)</x:f>
        <x:v>0.4</x:v>
      </x:c>
      <x:c r="Y1200" s="24" t="n">
        <x:f>IFERROR(G1200/I1200,0)</x:f>
        <x:v>0.13333333333333333</x:v>
      </x:c>
      <x:c r="Z1200" s="24" t="n">
        <x:f>IFERROR(G1200/K1200,0)</x:f>
        <x:v>0.3333333333333333</x:v>
      </x:c>
      <x:c r="AA1200" s="24" t="n">
        <x:f>IFERROR(F1200/H1200,0)-IFERROR(G1200/I1200,0)</x:f>
        <x:v>-0.13333333333333333</x:v>
      </x:c>
      <x:c r="AB1200" s="28" t="n">
        <x:f>J1200-K1200</x:f>
        <x:v>-5</x:v>
      </x:c>
      <x:c r="AC1200" s="32" t="n">
        <x:f>F1200-G1200</x:f>
        <x:v>-2</x:v>
      </x:c>
    </x:row>
    <x:row r="1201">
      <x:c r="A1201" s="4" t="str">
        <x:v>2022-23</x:v>
      </x:c>
      <x:c r="B1201" s="20" t="n">
        <x:v>44970</x:v>
      </x:c>
      <x:c r="C1201" s="4" t="str">
        <x:v>Liverpool</x:v>
      </x:c>
      <x:c r="D1201" s="4" t="str">
        <x:v>Everton</x:v>
      </x:c>
      <x:c r="E1201" s="4" t="str">
        <x:v>Home</x:v>
      </x:c>
      <x:c r="F1201" s="28" t="n">
        <x:v>2</x:v>
      </x:c>
      <x:c r="G1201" s="28" t="n">
        <x:v>0</x:v>
      </x:c>
      <x:c r="H1201" s="28" t="n">
        <x:v>15</x:v>
      </x:c>
      <x:c r="I1201" s="28" t="n">
        <x:v>6</x:v>
      </x:c>
      <x:c r="J1201" s="28" t="n">
        <x:v>6</x:v>
      </x:c>
      <x:c r="K1201" s="28" t="n">
        <x:v>1</x:v>
      </x:c>
      <x:c r="L1201" s="28" t="n">
        <x:v>3</x:v>
      </x:c>
      <x:c r="M1201" s="28" t="n">
        <x:v>3</x:v>
      </x:c>
      <x:c r="N1201" s="28" t="n">
        <x:v>1</x:v>
      </x:c>
      <x:c r="O1201" s="28" t="n">
        <x:v>0</x:v>
      </x:c>
      <x:c r="P1201" s="28" t="n">
        <x:v>3</x:v>
      </x:c>
      <x:c r="Q1201" s="24" t="n">
        <x:f>IFERROR(J1201/H1201,0)</x:f>
        <x:v>0.4</x:v>
      </x:c>
      <x:c r="R1201" s="24" t="n">
        <x:f>IFERROR(F1201/H1201,0)</x:f>
        <x:v>0.13333333333333333</x:v>
      </x:c>
      <x:c r="S1201" s="24" t="n">
        <x:f>IFERROR(F1201/J1201,0)</x:f>
        <x:v>0.3333333333333333</x:v>
      </x:c>
      <x:c r="T1201" s="28" t="n">
        <x:f>H1201-I1201</x:f>
        <x:v>9</x:v>
      </x:c>
      <x:c r="U1201" s="24" t="n">
        <x:f>IFERROR(J1201/H1201,0)-IFERROR(K1201/I1201,0)</x:f>
        <x:v>0.23333333333333336</x:v>
      </x:c>
      <x:c r="V1201" s="24" t="n">
        <x:f>IFERROR(F1201/J1201,0)-IFERROR(G1201/K1201,0)</x:f>
        <x:v>0.3333333333333333</x:v>
      </x:c>
      <x:c r="W1201" s="28" t="n">
        <x:f>L1201-M1201</x:f>
        <x:v>0</x:v>
      </x:c>
      <x:c r="X1201" s="24" t="n">
        <x:f>IFERROR(K1201/I1201,0)</x:f>
        <x:v>0.16666666666666666</x:v>
      </x:c>
      <x:c r="Y1201" s="24" t="n">
        <x:f>IFERROR(G1201/I1201,0)</x:f>
        <x:v>0</x:v>
      </x:c>
      <x:c r="Z1201" s="24" t="n">
        <x:f>IFERROR(G1201/K1201,0)</x:f>
        <x:v>0</x:v>
      </x:c>
      <x:c r="AA1201" s="24" t="n">
        <x:f>IFERROR(F1201/H1201,0)-IFERROR(G1201/I1201,0)</x:f>
        <x:v>0.13333333333333333</x:v>
      </x:c>
      <x:c r="AB1201" s="28" t="n">
        <x:f>J1201-K1201</x:f>
        <x:v>5</x:v>
      </x:c>
      <x:c r="AC1201" s="32" t="n">
        <x:f>F1201-G1201</x:f>
        <x:v>2</x:v>
      </x:c>
    </x:row>
    <x:row r="1202">
      <x:c r="A1202" s="4" t="str">
        <x:v>2022-23</x:v>
      </x:c>
      <x:c r="B1202" s="20" t="n">
        <x:v>44972</x:v>
      </x:c>
      <x:c r="C1202" s="4" t="str">
        <x:v>Arsenal</x:v>
      </x:c>
      <x:c r="D1202" s="4" t="str">
        <x:v>Man City</x:v>
      </x:c>
      <x:c r="E1202" s="4" t="str">
        <x:v>Home</x:v>
      </x:c>
      <x:c r="F1202" s="28" t="n">
        <x:v>1</x:v>
      </x:c>
      <x:c r="G1202" s="28" t="n">
        <x:v>3</x:v>
      </x:c>
      <x:c r="H1202" s="28" t="n">
        <x:v>10</x:v>
      </x:c>
      <x:c r="I1202" s="28" t="n">
        <x:v>9</x:v>
      </x:c>
      <x:c r="J1202" s="28" t="n">
        <x:v>1</x:v>
      </x:c>
      <x:c r="K1202" s="28" t="n">
        <x:v>6</x:v>
      </x:c>
      <x:c r="L1202" s="28" t="n">
        <x:v>1</x:v>
      </x:c>
      <x:c r="M1202" s="28" t="n">
        <x:v>3</x:v>
      </x:c>
      <x:c r="N1202" s="28" t="n">
        <x:v>2</x:v>
      </x:c>
      <x:c r="O1202" s="28" t="n">
        <x:v>0</x:v>
      </x:c>
      <x:c r="P1202" s="28" t="n">
        <x:v>0</x:v>
      </x:c>
      <x:c r="Q1202" s="24" t="n">
        <x:f>IFERROR(J1202/H1202,0)</x:f>
        <x:v>0.1</x:v>
      </x:c>
      <x:c r="R1202" s="24" t="n">
        <x:f>IFERROR(F1202/H1202,0)</x:f>
        <x:v>0.1</x:v>
      </x:c>
      <x:c r="S1202" s="24" t="n">
        <x:f>IFERROR(F1202/J1202,0)</x:f>
        <x:v>1</x:v>
      </x:c>
      <x:c r="T1202" s="28" t="n">
        <x:f>H1202-I1202</x:f>
        <x:v>1</x:v>
      </x:c>
      <x:c r="U1202" s="24" t="n">
        <x:f>IFERROR(J1202/H1202,0)-IFERROR(K1202/I1202,0)</x:f>
        <x:v>-0.5666666666666667</x:v>
      </x:c>
      <x:c r="V1202" s="24" t="n">
        <x:f>IFERROR(F1202/J1202,0)-IFERROR(G1202/K1202,0)</x:f>
        <x:v>0.5</x:v>
      </x:c>
      <x:c r="W1202" s="28" t="n">
        <x:f>L1202-M1202</x:f>
        <x:v>-2</x:v>
      </x:c>
      <x:c r="X1202" s="24" t="n">
        <x:f>IFERROR(K1202/I1202,0)</x:f>
        <x:v>0.6666666666666666</x:v>
      </x:c>
      <x:c r="Y1202" s="24" t="n">
        <x:f>IFERROR(G1202/I1202,0)</x:f>
        <x:v>0.3333333333333333</x:v>
      </x:c>
      <x:c r="Z1202" s="24" t="n">
        <x:f>IFERROR(G1202/K1202,0)</x:f>
        <x:v>0.5</x:v>
      </x:c>
      <x:c r="AA1202" s="24" t="n">
        <x:f>IFERROR(F1202/H1202,0)-IFERROR(G1202/I1202,0)</x:f>
        <x:v>-0.2333333333333333</x:v>
      </x:c>
      <x:c r="AB1202" s="28" t="n">
        <x:f>J1202-K1202</x:f>
        <x:v>-5</x:v>
      </x:c>
      <x:c r="AC1202" s="32" t="n">
        <x:f>F1202-G1202</x:f>
        <x:v>-2</x:v>
      </x:c>
    </x:row>
    <x:row r="1203">
      <x:c r="A1203" s="4" t="str">
        <x:v>2022-23</x:v>
      </x:c>
      <x:c r="B1203" s="20" t="n">
        <x:v>44972</x:v>
      </x:c>
      <x:c r="C1203" s="4" t="str">
        <x:v>Man City</x:v>
      </x:c>
      <x:c r="D1203" s="4" t="str">
        <x:v>Arsenal</x:v>
      </x:c>
      <x:c r="E1203" s="4" t="str">
        <x:v>Away</x:v>
      </x:c>
      <x:c r="F1203" s="28" t="n">
        <x:v>3</x:v>
      </x:c>
      <x:c r="G1203" s="28" t="n">
        <x:v>1</x:v>
      </x:c>
      <x:c r="H1203" s="28" t="n">
        <x:v>9</x:v>
      </x:c>
      <x:c r="I1203" s="28" t="n">
        <x:v>10</x:v>
      </x:c>
      <x:c r="J1203" s="28" t="n">
        <x:v>6</x:v>
      </x:c>
      <x:c r="K1203" s="28" t="n">
        <x:v>1</x:v>
      </x:c>
      <x:c r="L1203" s="28" t="n">
        <x:v>3</x:v>
      </x:c>
      <x:c r="M1203" s="28" t="n">
        <x:v>1</x:v>
      </x:c>
      <x:c r="N1203" s="28" t="n">
        <x:v>3</x:v>
      </x:c>
      <x:c r="O1203" s="28" t="n">
        <x:v>0</x:v>
      </x:c>
      <x:c r="P1203" s="28" t="n">
        <x:v>3</x:v>
      </x:c>
      <x:c r="Q1203" s="24" t="n">
        <x:f>IFERROR(J1203/H1203,0)</x:f>
        <x:v>0.6666666666666666</x:v>
      </x:c>
      <x:c r="R1203" s="24" t="n">
        <x:f>IFERROR(F1203/H1203,0)</x:f>
        <x:v>0.3333333333333333</x:v>
      </x:c>
      <x:c r="S1203" s="24" t="n">
        <x:f>IFERROR(F1203/J1203,0)</x:f>
        <x:v>0.5</x:v>
      </x:c>
      <x:c r="T1203" s="28" t="n">
        <x:f>H1203-I1203</x:f>
        <x:v>-1</x:v>
      </x:c>
      <x:c r="U1203" s="24" t="n">
        <x:f>IFERROR(J1203/H1203,0)-IFERROR(K1203/I1203,0)</x:f>
        <x:v>0.5666666666666667</x:v>
      </x:c>
      <x:c r="V1203" s="24" t="n">
        <x:f>IFERROR(F1203/J1203,0)-IFERROR(G1203/K1203,0)</x:f>
        <x:v>-0.5</x:v>
      </x:c>
      <x:c r="W1203" s="28" t="n">
        <x:f>L1203-M1203</x:f>
        <x:v>2</x:v>
      </x:c>
      <x:c r="X1203" s="24" t="n">
        <x:f>IFERROR(K1203/I1203,0)</x:f>
        <x:v>0.1</x:v>
      </x:c>
      <x:c r="Y1203" s="24" t="n">
        <x:f>IFERROR(G1203/I1203,0)</x:f>
        <x:v>0.1</x:v>
      </x:c>
      <x:c r="Z1203" s="24" t="n">
        <x:f>IFERROR(G1203/K1203,0)</x:f>
        <x:v>1</x:v>
      </x:c>
      <x:c r="AA1203" s="24" t="n">
        <x:f>IFERROR(F1203/H1203,0)-IFERROR(G1203/I1203,0)</x:f>
        <x:v>0.2333333333333333</x:v>
      </x:c>
      <x:c r="AB1203" s="28" t="n">
        <x:f>J1203-K1203</x:f>
        <x:v>5</x:v>
      </x:c>
      <x:c r="AC1203" s="32" t="n">
        <x:f>F1203-G1203</x:f>
        <x:v>2</x:v>
      </x:c>
    </x:row>
    <x:row r="1204">
      <x:c r="A1204" s="4" t="str">
        <x:v>2022-23</x:v>
      </x:c>
      <x:c r="B1204" s="20" t="n">
        <x:v>44975</x:v>
      </x:c>
      <x:c r="C1204" s="4" t="str">
        <x:v>Arsenal</x:v>
      </x:c>
      <x:c r="D1204" s="4" t="str">
        <x:v>Aston Villa</x:v>
      </x:c>
      <x:c r="E1204" s="4" t="str">
        <x:v>Away</x:v>
      </x:c>
      <x:c r="F1204" s="28" t="n">
        <x:v>4</x:v>
      </x:c>
      <x:c r="G1204" s="28" t="n">
        <x:v>2</x:v>
      </x:c>
      <x:c r="H1204" s="28" t="n">
        <x:v>20</x:v>
      </x:c>
      <x:c r="I1204" s="28" t="n">
        <x:v>7</x:v>
      </x:c>
      <x:c r="J1204" s="28" t="n">
        <x:v>5</x:v>
      </x:c>
      <x:c r="K1204" s="28" t="n">
        <x:v>5</x:v>
      </x:c>
      <x:c r="L1204" s="28" t="n">
        <x:v>9</x:v>
      </x:c>
      <x:c r="M1204" s="28" t="n">
        <x:v>2</x:v>
      </x:c>
      <x:c r="N1204" s="28" t="n">
        <x:v>1</x:v>
      </x:c>
      <x:c r="O1204" s="28" t="n">
        <x:v>0</x:v>
      </x:c>
      <x:c r="P1204" s="28" t="n">
        <x:v>3</x:v>
      </x:c>
      <x:c r="Q1204" s="24" t="n">
        <x:f>IFERROR(J1204/H1204,0)</x:f>
        <x:v>0.25</x:v>
      </x:c>
      <x:c r="R1204" s="24" t="n">
        <x:f>IFERROR(F1204/H1204,0)</x:f>
        <x:v>0.2</x:v>
      </x:c>
      <x:c r="S1204" s="24" t="n">
        <x:f>IFERROR(F1204/J1204,0)</x:f>
        <x:v>0.8</x:v>
      </x:c>
      <x:c r="T1204" s="28" t="n">
        <x:f>H1204-I1204</x:f>
        <x:v>13</x:v>
      </x:c>
      <x:c r="U1204" s="24" t="n">
        <x:f>IFERROR(J1204/H1204,0)-IFERROR(K1204/I1204,0)</x:f>
        <x:v>-0.4642857142857143</x:v>
      </x:c>
      <x:c r="V1204" s="24" t="n">
        <x:f>IFERROR(F1204/J1204,0)-IFERROR(G1204/K1204,0)</x:f>
        <x:v>0.4</x:v>
      </x:c>
      <x:c r="W1204" s="28" t="n">
        <x:f>L1204-M1204</x:f>
        <x:v>7</x:v>
      </x:c>
      <x:c r="X1204" s="24" t="n">
        <x:f>IFERROR(K1204/I1204,0)</x:f>
        <x:v>0.7142857142857143</x:v>
      </x:c>
      <x:c r="Y1204" s="24" t="n">
        <x:f>IFERROR(G1204/I1204,0)</x:f>
        <x:v>0.2857142857142857</x:v>
      </x:c>
      <x:c r="Z1204" s="24" t="n">
        <x:f>IFERROR(G1204/K1204,0)</x:f>
        <x:v>0.4</x:v>
      </x:c>
      <x:c r="AA1204" s="24" t="n">
        <x:f>IFERROR(F1204/H1204,0)-IFERROR(G1204/I1204,0)</x:f>
        <x:v>-0.08571428571428569</x:v>
      </x:c>
      <x:c r="AB1204" s="28" t="n">
        <x:f>J1204-K1204</x:f>
        <x:v>0</x:v>
      </x:c>
      <x:c r="AC1204" s="32" t="n">
        <x:f>F1204-G1204</x:f>
        <x:v>2</x:v>
      </x:c>
    </x:row>
    <x:row r="1205">
      <x:c r="A1205" s="4" t="str">
        <x:v>2022-23</x:v>
      </x:c>
      <x:c r="B1205" s="20" t="n">
        <x:v>44975</x:v>
      </x:c>
      <x:c r="C1205" s="4" t="str">
        <x:v>Aston Villa</x:v>
      </x:c>
      <x:c r="D1205" s="4" t="str">
        <x:v>Arsenal</x:v>
      </x:c>
      <x:c r="E1205" s="4" t="str">
        <x:v>Home</x:v>
      </x:c>
      <x:c r="F1205" s="28" t="n">
        <x:v>2</x:v>
      </x:c>
      <x:c r="G1205" s="28" t="n">
        <x:v>4</x:v>
      </x:c>
      <x:c r="H1205" s="28" t="n">
        <x:v>7</x:v>
      </x:c>
      <x:c r="I1205" s="28" t="n">
        <x:v>20</x:v>
      </x:c>
      <x:c r="J1205" s="28" t="n">
        <x:v>5</x:v>
      </x:c>
      <x:c r="K1205" s="28" t="n">
        <x:v>5</x:v>
      </x:c>
      <x:c r="L1205" s="28" t="n">
        <x:v>2</x:v>
      </x:c>
      <x:c r="M1205" s="28" t="n">
        <x:v>9</x:v>
      </x:c>
      <x:c r="N1205" s="28" t="n">
        <x:v>2</x:v>
      </x:c>
      <x:c r="O1205" s="28" t="n">
        <x:v>0</x:v>
      </x:c>
      <x:c r="P1205" s="28" t="n">
        <x:v>0</x:v>
      </x:c>
      <x:c r="Q1205" s="24" t="n">
        <x:f>IFERROR(J1205/H1205,0)</x:f>
        <x:v>0.7142857142857143</x:v>
      </x:c>
      <x:c r="R1205" s="24" t="n">
        <x:f>IFERROR(F1205/H1205,0)</x:f>
        <x:v>0.2857142857142857</x:v>
      </x:c>
      <x:c r="S1205" s="24" t="n">
        <x:f>IFERROR(F1205/J1205,0)</x:f>
        <x:v>0.4</x:v>
      </x:c>
      <x:c r="T1205" s="28" t="n">
        <x:f>H1205-I1205</x:f>
        <x:v>-13</x:v>
      </x:c>
      <x:c r="U1205" s="24" t="n">
        <x:f>IFERROR(J1205/H1205,0)-IFERROR(K1205/I1205,0)</x:f>
        <x:v>0.4642857142857143</x:v>
      </x:c>
      <x:c r="V1205" s="24" t="n">
        <x:f>IFERROR(F1205/J1205,0)-IFERROR(G1205/K1205,0)</x:f>
        <x:v>-0.4</x:v>
      </x:c>
      <x:c r="W1205" s="28" t="n">
        <x:f>L1205-M1205</x:f>
        <x:v>-7</x:v>
      </x:c>
      <x:c r="X1205" s="24" t="n">
        <x:f>IFERROR(K1205/I1205,0)</x:f>
        <x:v>0.25</x:v>
      </x:c>
      <x:c r="Y1205" s="24" t="n">
        <x:f>IFERROR(G1205/I1205,0)</x:f>
        <x:v>0.2</x:v>
      </x:c>
      <x:c r="Z1205" s="24" t="n">
        <x:f>IFERROR(G1205/K1205,0)</x:f>
        <x:v>0.8</x:v>
      </x:c>
      <x:c r="AA1205" s="24" t="n">
        <x:f>IFERROR(F1205/H1205,0)-IFERROR(G1205/I1205,0)</x:f>
        <x:v>0.08571428571428569</x:v>
      </x:c>
      <x:c r="AB1205" s="28" t="n">
        <x:f>J1205-K1205</x:f>
        <x:v>0</x:v>
      </x:c>
      <x:c r="AC1205" s="32" t="n">
        <x:f>F1205-G1205</x:f>
        <x:v>-2</x:v>
      </x:c>
    </x:row>
    <x:row r="1206">
      <x:c r="A1206" s="4" t="str">
        <x:v>2022-23</x:v>
      </x:c>
      <x:c r="B1206" s="20" t="n">
        <x:v>44975</x:v>
      </x:c>
      <x:c r="C1206" s="4" t="str">
        <x:v>Bournemouth</x:v>
      </x:c>
      <x:c r="D1206" s="4" t="str">
        <x:v>Wolves</x:v>
      </x:c>
      <x:c r="E1206" s="4" t="str">
        <x:v>Away</x:v>
      </x:c>
      <x:c r="F1206" s="28" t="n">
        <x:v>1</x:v>
      </x:c>
      <x:c r="G1206" s="28" t="n">
        <x:v>0</x:v>
      </x:c>
      <x:c r="H1206" s="28" t="n">
        <x:v>5</x:v>
      </x:c>
      <x:c r="I1206" s="28" t="n">
        <x:v>15</x:v>
      </x:c>
      <x:c r="J1206" s="28" t="n">
        <x:v>1</x:v>
      </x:c>
      <x:c r="K1206" s="28" t="n">
        <x:v>4</x:v>
      </x:c>
      <x:c r="L1206" s="28" t="n">
        <x:v>2</x:v>
      </x:c>
      <x:c r="M1206" s="28" t="n">
        <x:v>12</x:v>
      </x:c>
      <x:c r="N1206" s="28" t="n">
        <x:v>3</x:v>
      </x:c>
      <x:c r="O1206" s="28" t="n">
        <x:v>0</x:v>
      </x:c>
      <x:c r="P1206" s="28" t="n">
        <x:v>3</x:v>
      </x:c>
      <x:c r="Q1206" s="24" t="n">
        <x:f>IFERROR(J1206/H1206,0)</x:f>
        <x:v>0.2</x:v>
      </x:c>
      <x:c r="R1206" s="24" t="n">
        <x:f>IFERROR(F1206/H1206,0)</x:f>
        <x:v>0.2</x:v>
      </x:c>
      <x:c r="S1206" s="24" t="n">
        <x:f>IFERROR(F1206/J1206,0)</x:f>
        <x:v>1</x:v>
      </x:c>
      <x:c r="T1206" s="28" t="n">
        <x:f>H1206-I1206</x:f>
        <x:v>-10</x:v>
      </x:c>
      <x:c r="U1206" s="24" t="n">
        <x:f>IFERROR(J1206/H1206,0)-IFERROR(K1206/I1206,0)</x:f>
        <x:v>-0.06666666666666665</x:v>
      </x:c>
      <x:c r="V1206" s="24" t="n">
        <x:f>IFERROR(F1206/J1206,0)-IFERROR(G1206/K1206,0)</x:f>
        <x:v>1</x:v>
      </x:c>
      <x:c r="W1206" s="28" t="n">
        <x:f>L1206-M1206</x:f>
        <x:v>-10</x:v>
      </x:c>
      <x:c r="X1206" s="24" t="n">
        <x:f>IFERROR(K1206/I1206,0)</x:f>
        <x:v>0.26666666666666666</x:v>
      </x:c>
      <x:c r="Y1206" s="24" t="n">
        <x:f>IFERROR(G1206/I1206,0)</x:f>
        <x:v>0</x:v>
      </x:c>
      <x:c r="Z1206" s="24" t="n">
        <x:f>IFERROR(G1206/K1206,0)</x:f>
        <x:v>0</x:v>
      </x:c>
      <x:c r="AA1206" s="24" t="n">
        <x:f>IFERROR(F1206/H1206,0)-IFERROR(G1206/I1206,0)</x:f>
        <x:v>0.2</x:v>
      </x:c>
      <x:c r="AB1206" s="28" t="n">
        <x:f>J1206-K1206</x:f>
        <x:v>-3</x:v>
      </x:c>
      <x:c r="AC1206" s="32" t="n">
        <x:f>F1206-G1206</x:f>
        <x:v>1</x:v>
      </x:c>
    </x:row>
    <x:row r="1207">
      <x:c r="A1207" s="4" t="str">
        <x:v>2022-23</x:v>
      </x:c>
      <x:c r="B1207" s="20" t="n">
        <x:v>44975</x:v>
      </x:c>
      <x:c r="C1207" s="4" t="str">
        <x:v>Brentford</x:v>
      </x:c>
      <x:c r="D1207" s="4" t="str">
        <x:v>Crystal Palace</x:v>
      </x:c>
      <x:c r="E1207" s="4" t="str">
        <x:v>Home</x:v>
      </x:c>
      <x:c r="F1207" s="28" t="n">
        <x:v>1</x:v>
      </x:c>
      <x:c r="G1207" s="28" t="n">
        <x:v>1</x:v>
      </x:c>
      <x:c r="H1207" s="28" t="n">
        <x:v>12</x:v>
      </x:c>
      <x:c r="I1207" s="28" t="n">
        <x:v>10</x:v>
      </x:c>
      <x:c r="J1207" s="28" t="n">
        <x:v>5</x:v>
      </x:c>
      <x:c r="K1207" s="28" t="n">
        <x:v>4</x:v>
      </x:c>
      <x:c r="L1207" s="28" t="n">
        <x:v>2</x:v>
      </x:c>
      <x:c r="M1207" s="28" t="n">
        <x:v>6</x:v>
      </x:c>
      <x:c r="N1207" s="28" t="n">
        <x:v>2</x:v>
      </x:c>
      <x:c r="O1207" s="28" t="n">
        <x:v>0</x:v>
      </x:c>
      <x:c r="P1207" s="28" t="n">
        <x:v>1</x:v>
      </x:c>
      <x:c r="Q1207" s="24" t="n">
        <x:f>IFERROR(J1207/H1207,0)</x:f>
        <x:v>0.4166666666666667</x:v>
      </x:c>
      <x:c r="R1207" s="24" t="n">
        <x:f>IFERROR(F1207/H1207,0)</x:f>
        <x:v>0.08333333333333333</x:v>
      </x:c>
      <x:c r="S1207" s="24" t="n">
        <x:f>IFERROR(F1207/J1207,0)</x:f>
        <x:v>0.2</x:v>
      </x:c>
      <x:c r="T1207" s="28" t="n">
        <x:f>H1207-I1207</x:f>
        <x:v>2</x:v>
      </x:c>
      <x:c r="U1207" s="24" t="n">
        <x:f>IFERROR(J1207/H1207,0)-IFERROR(K1207/I1207,0)</x:f>
        <x:v>0.016666666666666663</x:v>
      </x:c>
      <x:c r="V1207" s="24" t="n">
        <x:f>IFERROR(F1207/J1207,0)-IFERROR(G1207/K1207,0)</x:f>
        <x:v>-0.04999999999999999</x:v>
      </x:c>
      <x:c r="W1207" s="28" t="n">
        <x:f>L1207-M1207</x:f>
        <x:v>-4</x:v>
      </x:c>
      <x:c r="X1207" s="24" t="n">
        <x:f>IFERROR(K1207/I1207,0)</x:f>
        <x:v>0.4</x:v>
      </x:c>
      <x:c r="Y1207" s="24" t="n">
        <x:f>IFERROR(G1207/I1207,0)</x:f>
        <x:v>0.1</x:v>
      </x:c>
      <x:c r="Z1207" s="24" t="n">
        <x:f>IFERROR(G1207/K1207,0)</x:f>
        <x:v>0.25</x:v>
      </x:c>
      <x:c r="AA1207" s="24" t="n">
        <x:f>IFERROR(F1207/H1207,0)-IFERROR(G1207/I1207,0)</x:f>
        <x:v>-0.016666666666666677</x:v>
      </x:c>
      <x:c r="AB1207" s="28" t="n">
        <x:f>J1207-K1207</x:f>
        <x:v>1</x:v>
      </x:c>
      <x:c r="AC1207" s="32" t="n">
        <x:f>F1207-G1207</x:f>
        <x:v>0</x:v>
      </x:c>
    </x:row>
    <x:row r="1208">
      <x:c r="A1208" s="4" t="str">
        <x:v>2022-23</x:v>
      </x:c>
      <x:c r="B1208" s="20" t="n">
        <x:v>44975</x:v>
      </x:c>
      <x:c r="C1208" s="4" t="str">
        <x:v>Brighton</x:v>
      </x:c>
      <x:c r="D1208" s="4" t="str">
        <x:v>Fulham</x:v>
      </x:c>
      <x:c r="E1208" s="4" t="str">
        <x:v>Home</x:v>
      </x:c>
      <x:c r="F1208" s="28" t="n">
        <x:v>0</x:v>
      </x:c>
      <x:c r="G1208" s="28" t="n">
        <x:v>1</x:v>
      </x:c>
      <x:c r="H1208" s="28" t="n">
        <x:v>21</x:v>
      </x:c>
      <x:c r="I1208" s="28" t="n">
        <x:v>5</x:v>
      </x:c>
      <x:c r="J1208" s="28" t="n">
        <x:v>7</x:v>
      </x:c>
      <x:c r="K1208" s="28" t="n">
        <x:v>2</x:v>
      </x:c>
      <x:c r="L1208" s="28" t="n">
        <x:v>10</x:v>
      </x:c>
      <x:c r="M1208" s="28" t="n">
        <x:v>2</x:v>
      </x:c>
      <x:c r="N1208" s="28" t="n">
        <x:v>0</x:v>
      </x:c>
      <x:c r="O1208" s="28" t="n">
        <x:v>0</x:v>
      </x:c>
      <x:c r="P1208" s="28" t="n">
        <x:v>0</x:v>
      </x:c>
      <x:c r="Q1208" s="24" t="n">
        <x:f>IFERROR(J1208/H1208,0)</x:f>
        <x:v>0.3333333333333333</x:v>
      </x:c>
      <x:c r="R1208" s="24" t="n">
        <x:f>IFERROR(F1208/H1208,0)</x:f>
        <x:v>0</x:v>
      </x:c>
      <x:c r="S1208" s="24" t="n">
        <x:f>IFERROR(F1208/J1208,0)</x:f>
        <x:v>0</x:v>
      </x:c>
      <x:c r="T1208" s="28" t="n">
        <x:f>H1208-I1208</x:f>
        <x:v>16</x:v>
      </x:c>
      <x:c r="U1208" s="24" t="n">
        <x:f>IFERROR(J1208/H1208,0)-IFERROR(K1208/I1208,0)</x:f>
        <x:v>-0.06666666666666671</x:v>
      </x:c>
      <x:c r="V1208" s="24" t="n">
        <x:f>IFERROR(F1208/J1208,0)-IFERROR(G1208/K1208,0)</x:f>
        <x:v>-0.5</x:v>
      </x:c>
      <x:c r="W1208" s="28" t="n">
        <x:f>L1208-M1208</x:f>
        <x:v>8</x:v>
      </x:c>
      <x:c r="X1208" s="24" t="n">
        <x:f>IFERROR(K1208/I1208,0)</x:f>
        <x:v>0.4</x:v>
      </x:c>
      <x:c r="Y1208" s="24" t="n">
        <x:f>IFERROR(G1208/I1208,0)</x:f>
        <x:v>0.2</x:v>
      </x:c>
      <x:c r="Z1208" s="24" t="n">
        <x:f>IFERROR(G1208/K1208,0)</x:f>
        <x:v>0.5</x:v>
      </x:c>
      <x:c r="AA1208" s="24" t="n">
        <x:f>IFERROR(F1208/H1208,0)-IFERROR(G1208/I1208,0)</x:f>
        <x:v>-0.2</x:v>
      </x:c>
      <x:c r="AB1208" s="28" t="n">
        <x:f>J1208-K1208</x:f>
        <x:v>5</x:v>
      </x:c>
      <x:c r="AC1208" s="32" t="n">
        <x:f>F1208-G1208</x:f>
        <x:v>-1</x:v>
      </x:c>
    </x:row>
    <x:row r="1209">
      <x:c r="A1209" s="4" t="str">
        <x:v>2022-23</x:v>
      </x:c>
      <x:c r="B1209" s="20" t="n">
        <x:v>44975</x:v>
      </x:c>
      <x:c r="C1209" s="4" t="str">
        <x:v>Chelsea</x:v>
      </x:c>
      <x:c r="D1209" s="4" t="str">
        <x:v>Southampton</x:v>
      </x:c>
      <x:c r="E1209" s="4" t="str">
        <x:v>Home</x:v>
      </x:c>
      <x:c r="F1209" s="28" t="n">
        <x:v>0</x:v>
      </x:c>
      <x:c r="G1209" s="28" t="n">
        <x:v>1</x:v>
      </x:c>
      <x:c r="H1209" s="28" t="n">
        <x:v>17</x:v>
      </x:c>
      <x:c r="I1209" s="28" t="n">
        <x:v>8</x:v>
      </x:c>
      <x:c r="J1209" s="28" t="n">
        <x:v>5</x:v>
      </x:c>
      <x:c r="K1209" s="28" t="n">
        <x:v>5</x:v>
      </x:c>
      <x:c r="L1209" s="28" t="n">
        <x:v>8</x:v>
      </x:c>
      <x:c r="M1209" s="28" t="n">
        <x:v>2</x:v>
      </x:c>
      <x:c r="N1209" s="28" t="n">
        <x:v>3</x:v>
      </x:c>
      <x:c r="O1209" s="28" t="n">
        <x:v>0</x:v>
      </x:c>
      <x:c r="P1209" s="28" t="n">
        <x:v>0</x:v>
      </x:c>
      <x:c r="Q1209" s="24" t="n">
        <x:f>IFERROR(J1209/H1209,0)</x:f>
        <x:v>0.29411764705882354</x:v>
      </x:c>
      <x:c r="R1209" s="24" t="n">
        <x:f>IFERROR(F1209/H1209,0)</x:f>
        <x:v>0</x:v>
      </x:c>
      <x:c r="S1209" s="24" t="n">
        <x:f>IFERROR(F1209/J1209,0)</x:f>
        <x:v>0</x:v>
      </x:c>
      <x:c r="T1209" s="28" t="n">
        <x:f>H1209-I1209</x:f>
        <x:v>9</x:v>
      </x:c>
      <x:c r="U1209" s="24" t="n">
        <x:f>IFERROR(J1209/H1209,0)-IFERROR(K1209/I1209,0)</x:f>
        <x:v>-0.33088235294117646</x:v>
      </x:c>
      <x:c r="V1209" s="24" t="n">
        <x:f>IFERROR(F1209/J1209,0)-IFERROR(G1209/K1209,0)</x:f>
        <x:v>-0.2</x:v>
      </x:c>
      <x:c r="W1209" s="28" t="n">
        <x:f>L1209-M1209</x:f>
        <x:v>6</x:v>
      </x:c>
      <x:c r="X1209" s="24" t="n">
        <x:f>IFERROR(K1209/I1209,0)</x:f>
        <x:v>0.625</x:v>
      </x:c>
      <x:c r="Y1209" s="24" t="n">
        <x:f>IFERROR(G1209/I1209,0)</x:f>
        <x:v>0.125</x:v>
      </x:c>
      <x:c r="Z1209" s="24" t="n">
        <x:f>IFERROR(G1209/K1209,0)</x:f>
        <x:v>0.2</x:v>
      </x:c>
      <x:c r="AA1209" s="24" t="n">
        <x:f>IFERROR(F1209/H1209,0)-IFERROR(G1209/I1209,0)</x:f>
        <x:v>-0.125</x:v>
      </x:c>
      <x:c r="AB1209" s="28" t="n">
        <x:f>J1209-K1209</x:f>
        <x:v>0</x:v>
      </x:c>
      <x:c r="AC1209" s="32" t="n">
        <x:f>F1209-G1209</x:f>
        <x:v>-1</x:v>
      </x:c>
    </x:row>
    <x:row r="1210">
      <x:c r="A1210" s="4" t="str">
        <x:v>2022-23</x:v>
      </x:c>
      <x:c r="B1210" s="20" t="n">
        <x:v>44975</x:v>
      </x:c>
      <x:c r="C1210" s="4" t="str">
        <x:v>Crystal Palace</x:v>
      </x:c>
      <x:c r="D1210" s="4" t="str">
        <x:v>Brentford</x:v>
      </x:c>
      <x:c r="E1210" s="4" t="str">
        <x:v>Away</x:v>
      </x:c>
      <x:c r="F1210" s="28" t="n">
        <x:v>1</x:v>
      </x:c>
      <x:c r="G1210" s="28" t="n">
        <x:v>1</x:v>
      </x:c>
      <x:c r="H1210" s="28" t="n">
        <x:v>10</x:v>
      </x:c>
      <x:c r="I1210" s="28" t="n">
        <x:v>12</x:v>
      </x:c>
      <x:c r="J1210" s="28" t="n">
        <x:v>4</x:v>
      </x:c>
      <x:c r="K1210" s="28" t="n">
        <x:v>5</x:v>
      </x:c>
      <x:c r="L1210" s="28" t="n">
        <x:v>6</x:v>
      </x:c>
      <x:c r="M1210" s="28" t="n">
        <x:v>2</x:v>
      </x:c>
      <x:c r="N1210" s="28" t="n">
        <x:v>2</x:v>
      </x:c>
      <x:c r="O1210" s="28" t="n">
        <x:v>0</x:v>
      </x:c>
      <x:c r="P1210" s="28" t="n">
        <x:v>1</x:v>
      </x:c>
      <x:c r="Q1210" s="24" t="n">
        <x:f>IFERROR(J1210/H1210,0)</x:f>
        <x:v>0.4</x:v>
      </x:c>
      <x:c r="R1210" s="24" t="n">
        <x:f>IFERROR(F1210/H1210,0)</x:f>
        <x:v>0.1</x:v>
      </x:c>
      <x:c r="S1210" s="24" t="n">
        <x:f>IFERROR(F1210/J1210,0)</x:f>
        <x:v>0.25</x:v>
      </x:c>
      <x:c r="T1210" s="28" t="n">
        <x:f>H1210-I1210</x:f>
        <x:v>-2</x:v>
      </x:c>
      <x:c r="U1210" s="24" t="n">
        <x:f>IFERROR(J1210/H1210,0)-IFERROR(K1210/I1210,0)</x:f>
        <x:v>-0.016666666666666663</x:v>
      </x:c>
      <x:c r="V1210" s="24" t="n">
        <x:f>IFERROR(F1210/J1210,0)-IFERROR(G1210/K1210,0)</x:f>
        <x:v>0.04999999999999999</x:v>
      </x:c>
      <x:c r="W1210" s="28" t="n">
        <x:f>L1210-M1210</x:f>
        <x:v>4</x:v>
      </x:c>
      <x:c r="X1210" s="24" t="n">
        <x:f>IFERROR(K1210/I1210,0)</x:f>
        <x:v>0.4166666666666667</x:v>
      </x:c>
      <x:c r="Y1210" s="24" t="n">
        <x:f>IFERROR(G1210/I1210,0)</x:f>
        <x:v>0.08333333333333333</x:v>
      </x:c>
      <x:c r="Z1210" s="24" t="n">
        <x:f>IFERROR(G1210/K1210,0)</x:f>
        <x:v>0.2</x:v>
      </x:c>
      <x:c r="AA1210" s="24" t="n">
        <x:f>IFERROR(F1210/H1210,0)-IFERROR(G1210/I1210,0)</x:f>
        <x:v>0.016666666666666677</x:v>
      </x:c>
      <x:c r="AB1210" s="28" t="n">
        <x:f>J1210-K1210</x:f>
        <x:v>-1</x:v>
      </x:c>
      <x:c r="AC1210" s="32" t="n">
        <x:f>F1210-G1210</x:f>
        <x:v>0</x:v>
      </x:c>
    </x:row>
    <x:row r="1211">
      <x:c r="A1211" s="4" t="str">
        <x:v>2022-23</x:v>
      </x:c>
      <x:c r="B1211" s="20" t="n">
        <x:v>44975</x:v>
      </x:c>
      <x:c r="C1211" s="4" t="str">
        <x:v>Everton</x:v>
      </x:c>
      <x:c r="D1211" s="4" t="str">
        <x:v>Leeds</x:v>
      </x:c>
      <x:c r="E1211" s="4" t="str">
        <x:v>Home</x:v>
      </x:c>
      <x:c r="F1211" s="28" t="n">
        <x:v>1</x:v>
      </x:c>
      <x:c r="G1211" s="28" t="n">
        <x:v>0</x:v>
      </x:c>
      <x:c r="H1211" s="28" t="n">
        <x:v>15</x:v>
      </x:c>
      <x:c r="I1211" s="28" t="n">
        <x:v>8</x:v>
      </x:c>
      <x:c r="J1211" s="28" t="n">
        <x:v>6</x:v>
      </x:c>
      <x:c r="K1211" s="28" t="n">
        <x:v>0</x:v>
      </x:c>
      <x:c r="L1211" s="28" t="n">
        <x:v>6</x:v>
      </x:c>
      <x:c r="M1211" s="28" t="n">
        <x:v>4</x:v>
      </x:c>
      <x:c r="N1211" s="28" t="n">
        <x:v>2</x:v>
      </x:c>
      <x:c r="O1211" s="28" t="n">
        <x:v>0</x:v>
      </x:c>
      <x:c r="P1211" s="28" t="n">
        <x:v>3</x:v>
      </x:c>
      <x:c r="Q1211" s="24" t="n">
        <x:f>IFERROR(J1211/H1211,0)</x:f>
        <x:v>0.4</x:v>
      </x:c>
      <x:c r="R1211" s="24" t="n">
        <x:f>IFERROR(F1211/H1211,0)</x:f>
        <x:v>0.06666666666666667</x:v>
      </x:c>
      <x:c r="S1211" s="24" t="n">
        <x:f>IFERROR(F1211/J1211,0)</x:f>
        <x:v>0.16666666666666666</x:v>
      </x:c>
      <x:c r="T1211" s="28" t="n">
        <x:f>H1211-I1211</x:f>
        <x:v>7</x:v>
      </x:c>
      <x:c r="U1211" s="24" t="n">
        <x:f>IFERROR(J1211/H1211,0)-IFERROR(K1211/I1211,0)</x:f>
        <x:v>0.4</x:v>
      </x:c>
      <x:c r="V1211" s="24" t="n">
        <x:f>IFERROR(F1211/J1211,0)-IFERROR(G1211/K1211,0)</x:f>
        <x:v>0.16666666666666666</x:v>
      </x:c>
      <x:c r="W1211" s="28" t="n">
        <x:f>L1211-M1211</x:f>
        <x:v>2</x:v>
      </x:c>
      <x:c r="X1211" s="24" t="n">
        <x:f>IFERROR(K1211/I1211,0)</x:f>
        <x:v>0</x:v>
      </x:c>
      <x:c r="Y1211" s="24" t="n">
        <x:f>IFERROR(G1211/I1211,0)</x:f>
        <x:v>0</x:v>
      </x:c>
      <x:c r="Z1211" s="24" t="n">
        <x:f>IFERROR(G1211/K1211,0)</x:f>
        <x:v>0</x:v>
      </x:c>
      <x:c r="AA1211" s="24" t="n">
        <x:f>IFERROR(F1211/H1211,0)-IFERROR(G1211/I1211,0)</x:f>
        <x:v>0.06666666666666667</x:v>
      </x:c>
      <x:c r="AB1211" s="28" t="n">
        <x:f>J1211-K1211</x:f>
        <x:v>6</x:v>
      </x:c>
      <x:c r="AC1211" s="32" t="n">
        <x:f>F1211-G1211</x:f>
        <x:v>1</x:v>
      </x:c>
    </x:row>
    <x:row r="1212">
      <x:c r="A1212" s="4" t="str">
        <x:v>2022-23</x:v>
      </x:c>
      <x:c r="B1212" s="20" t="n">
        <x:v>44975</x:v>
      </x:c>
      <x:c r="C1212" s="4" t="str">
        <x:v>Fulham</x:v>
      </x:c>
      <x:c r="D1212" s="4" t="str">
        <x:v>Brighton</x:v>
      </x:c>
      <x:c r="E1212" s="4" t="str">
        <x:v>Away</x:v>
      </x:c>
      <x:c r="F1212" s="28" t="n">
        <x:v>1</x:v>
      </x:c>
      <x:c r="G1212" s="28" t="n">
        <x:v>0</x:v>
      </x:c>
      <x:c r="H1212" s="28" t="n">
        <x:v>5</x:v>
      </x:c>
      <x:c r="I1212" s="28" t="n">
        <x:v>21</x:v>
      </x:c>
      <x:c r="J1212" s="28" t="n">
        <x:v>2</x:v>
      </x:c>
      <x:c r="K1212" s="28" t="n">
        <x:v>7</x:v>
      </x:c>
      <x:c r="L1212" s="28" t="n">
        <x:v>2</x:v>
      </x:c>
      <x:c r="M1212" s="28" t="n">
        <x:v>10</x:v>
      </x:c>
      <x:c r="N1212" s="28" t="n">
        <x:v>5</x:v>
      </x:c>
      <x:c r="O1212" s="28" t="n">
        <x:v>0</x:v>
      </x:c>
      <x:c r="P1212" s="28" t="n">
        <x:v>3</x:v>
      </x:c>
      <x:c r="Q1212" s="24" t="n">
        <x:f>IFERROR(J1212/H1212,0)</x:f>
        <x:v>0.4</x:v>
      </x:c>
      <x:c r="R1212" s="24" t="n">
        <x:f>IFERROR(F1212/H1212,0)</x:f>
        <x:v>0.2</x:v>
      </x:c>
      <x:c r="S1212" s="24" t="n">
        <x:f>IFERROR(F1212/J1212,0)</x:f>
        <x:v>0.5</x:v>
      </x:c>
      <x:c r="T1212" s="28" t="n">
        <x:f>H1212-I1212</x:f>
        <x:v>-16</x:v>
      </x:c>
      <x:c r="U1212" s="24" t="n">
        <x:f>IFERROR(J1212/H1212,0)-IFERROR(K1212/I1212,0)</x:f>
        <x:v>0.06666666666666671</x:v>
      </x:c>
      <x:c r="V1212" s="24" t="n">
        <x:f>IFERROR(F1212/J1212,0)-IFERROR(G1212/K1212,0)</x:f>
        <x:v>0.5</x:v>
      </x:c>
      <x:c r="W1212" s="28" t="n">
        <x:f>L1212-M1212</x:f>
        <x:v>-8</x:v>
      </x:c>
      <x:c r="X1212" s="24" t="n">
        <x:f>IFERROR(K1212/I1212,0)</x:f>
        <x:v>0.3333333333333333</x:v>
      </x:c>
      <x:c r="Y1212" s="24" t="n">
        <x:f>IFERROR(G1212/I1212,0)</x:f>
        <x:v>0</x:v>
      </x:c>
      <x:c r="Z1212" s="24" t="n">
        <x:f>IFERROR(G1212/K1212,0)</x:f>
        <x:v>0</x:v>
      </x:c>
      <x:c r="AA1212" s="24" t="n">
        <x:f>IFERROR(F1212/H1212,0)-IFERROR(G1212/I1212,0)</x:f>
        <x:v>0.2</x:v>
      </x:c>
      <x:c r="AB1212" s="28" t="n">
        <x:f>J1212-K1212</x:f>
        <x:v>-5</x:v>
      </x:c>
      <x:c r="AC1212" s="32" t="n">
        <x:f>F1212-G1212</x:f>
        <x:v>1</x:v>
      </x:c>
    </x:row>
    <x:row r="1213">
      <x:c r="A1213" s="4" t="str">
        <x:v>2022-23</x:v>
      </x:c>
      <x:c r="B1213" s="20" t="n">
        <x:v>44975</x:v>
      </x:c>
      <x:c r="C1213" s="4" t="str">
        <x:v>Leeds</x:v>
      </x:c>
      <x:c r="D1213" s="4" t="str">
        <x:v>Everton</x:v>
      </x:c>
      <x:c r="E1213" s="4" t="str">
        <x:v>Away</x:v>
      </x:c>
      <x:c r="F1213" s="28" t="n">
        <x:v>0</x:v>
      </x:c>
      <x:c r="G1213" s="28" t="n">
        <x:v>1</x:v>
      </x:c>
      <x:c r="H1213" s="28" t="n">
        <x:v>8</x:v>
      </x:c>
      <x:c r="I1213" s="28" t="n">
        <x:v>15</x:v>
      </x:c>
      <x:c r="J1213" s="28" t="n">
        <x:v>0</x:v>
      </x:c>
      <x:c r="K1213" s="28" t="n">
        <x:v>6</x:v>
      </x:c>
      <x:c r="L1213" s="28" t="n">
        <x:v>4</x:v>
      </x:c>
      <x:c r="M1213" s="28" t="n">
        <x:v>6</x:v>
      </x:c>
      <x:c r="N1213" s="28" t="n">
        <x:v>3</x:v>
      </x:c>
      <x:c r="O1213" s="28" t="n">
        <x:v>0</x:v>
      </x:c>
      <x:c r="P1213" s="28" t="n">
        <x:v>0</x:v>
      </x:c>
      <x:c r="Q1213" s="24" t="n">
        <x:f>IFERROR(J1213/H1213,0)</x:f>
        <x:v>0</x:v>
      </x:c>
      <x:c r="R1213" s="24" t="n">
        <x:f>IFERROR(F1213/H1213,0)</x:f>
        <x:v>0</x:v>
      </x:c>
      <x:c r="S1213" s="24" t="n">
        <x:f>IFERROR(F1213/J1213,0)</x:f>
        <x:v>0</x:v>
      </x:c>
      <x:c r="T1213" s="28" t="n">
        <x:f>H1213-I1213</x:f>
        <x:v>-7</x:v>
      </x:c>
      <x:c r="U1213" s="24" t="n">
        <x:f>IFERROR(J1213/H1213,0)-IFERROR(K1213/I1213,0)</x:f>
        <x:v>-0.4</x:v>
      </x:c>
      <x:c r="V1213" s="24" t="n">
        <x:f>IFERROR(F1213/J1213,0)-IFERROR(G1213/K1213,0)</x:f>
        <x:v>-0.16666666666666666</x:v>
      </x:c>
      <x:c r="W1213" s="28" t="n">
        <x:f>L1213-M1213</x:f>
        <x:v>-2</x:v>
      </x:c>
      <x:c r="X1213" s="24" t="n">
        <x:f>IFERROR(K1213/I1213,0)</x:f>
        <x:v>0.4</x:v>
      </x:c>
      <x:c r="Y1213" s="24" t="n">
        <x:f>IFERROR(G1213/I1213,0)</x:f>
        <x:v>0.06666666666666667</x:v>
      </x:c>
      <x:c r="Z1213" s="24" t="n">
        <x:f>IFERROR(G1213/K1213,0)</x:f>
        <x:v>0.16666666666666666</x:v>
      </x:c>
      <x:c r="AA1213" s="24" t="n">
        <x:f>IFERROR(F1213/H1213,0)-IFERROR(G1213/I1213,0)</x:f>
        <x:v>-0.06666666666666667</x:v>
      </x:c>
      <x:c r="AB1213" s="28" t="n">
        <x:f>J1213-K1213</x:f>
        <x:v>-6</x:v>
      </x:c>
      <x:c r="AC1213" s="32" t="n">
        <x:f>F1213-G1213</x:f>
        <x:v>-1</x:v>
      </x:c>
    </x:row>
    <x:row r="1214">
      <x:c r="A1214" s="4" t="str">
        <x:v>2022-23</x:v>
      </x:c>
      <x:c r="B1214" s="20" t="n">
        <x:v>44975</x:v>
      </x:c>
      <x:c r="C1214" s="4" t="str">
        <x:v>Liverpool</x:v>
      </x:c>
      <x:c r="D1214" s="4" t="str">
        <x:v>Newcastle</x:v>
      </x:c>
      <x:c r="E1214" s="4" t="str">
        <x:v>Away</x:v>
      </x:c>
      <x:c r="F1214" s="28" t="n">
        <x:v>2</x:v>
      </x:c>
      <x:c r="G1214" s="28" t="n">
        <x:v>0</x:v>
      </x:c>
      <x:c r="H1214" s="28" t="n">
        <x:v>13</x:v>
      </x:c>
      <x:c r="I1214" s="28" t="n">
        <x:v>14</x:v>
      </x:c>
      <x:c r="J1214" s="28" t="n">
        <x:v>7</x:v>
      </x:c>
      <x:c r="K1214" s="28" t="n">
        <x:v>4</x:v>
      </x:c>
      <x:c r="L1214" s="28" t="n">
        <x:v>7</x:v>
      </x:c>
      <x:c r="M1214" s="28" t="n">
        <x:v>6</x:v>
      </x:c>
      <x:c r="N1214" s="28" t="n">
        <x:v>1</x:v>
      </x:c>
      <x:c r="O1214" s="28" t="n">
        <x:v>0</x:v>
      </x:c>
      <x:c r="P1214" s="28" t="n">
        <x:v>3</x:v>
      </x:c>
      <x:c r="Q1214" s="24" t="n">
        <x:f>IFERROR(J1214/H1214,0)</x:f>
        <x:v>0.5384615384615384</x:v>
      </x:c>
      <x:c r="R1214" s="24" t="n">
        <x:f>IFERROR(F1214/H1214,0)</x:f>
        <x:v>0.15384615384615385</x:v>
      </x:c>
      <x:c r="S1214" s="24" t="n">
        <x:f>IFERROR(F1214/J1214,0)</x:f>
        <x:v>0.2857142857142857</x:v>
      </x:c>
      <x:c r="T1214" s="28" t="n">
        <x:f>H1214-I1214</x:f>
        <x:v>-1</x:v>
      </x:c>
      <x:c r="U1214" s="24" t="n">
        <x:f>IFERROR(J1214/H1214,0)-IFERROR(K1214/I1214,0)</x:f>
        <x:v>0.25274725274725274</x:v>
      </x:c>
      <x:c r="V1214" s="24" t="n">
        <x:f>IFERROR(F1214/J1214,0)-IFERROR(G1214/K1214,0)</x:f>
        <x:v>0.2857142857142857</x:v>
      </x:c>
      <x:c r="W1214" s="28" t="n">
        <x:f>L1214-M1214</x:f>
        <x:v>1</x:v>
      </x:c>
      <x:c r="X1214" s="24" t="n">
        <x:f>IFERROR(K1214/I1214,0)</x:f>
        <x:v>0.2857142857142857</x:v>
      </x:c>
      <x:c r="Y1214" s="24" t="n">
        <x:f>IFERROR(G1214/I1214,0)</x:f>
        <x:v>0</x:v>
      </x:c>
      <x:c r="Z1214" s="24" t="n">
        <x:f>IFERROR(G1214/K1214,0)</x:f>
        <x:v>0</x:v>
      </x:c>
      <x:c r="AA1214" s="24" t="n">
        <x:f>IFERROR(F1214/H1214,0)-IFERROR(G1214/I1214,0)</x:f>
        <x:v>0.15384615384615385</x:v>
      </x:c>
      <x:c r="AB1214" s="28" t="n">
        <x:f>J1214-K1214</x:f>
        <x:v>3</x:v>
      </x:c>
      <x:c r="AC1214" s="32" t="n">
        <x:f>F1214-G1214</x:f>
        <x:v>2</x:v>
      </x:c>
    </x:row>
    <x:row r="1215">
      <x:c r="A1215" s="4" t="str">
        <x:v>2022-23</x:v>
      </x:c>
      <x:c r="B1215" s="20" t="n">
        <x:v>44975</x:v>
      </x:c>
      <x:c r="C1215" s="4" t="str">
        <x:v>Man City</x:v>
      </x:c>
      <x:c r="D1215" s="4" t="str">
        <x:v>Nott'm Forest</x:v>
      </x:c>
      <x:c r="E1215" s="4" t="str">
        <x:v>Away</x:v>
      </x:c>
      <x:c r="F1215" s="28" t="n">
        <x:v>1</x:v>
      </x:c>
      <x:c r="G1215" s="28" t="n">
        <x:v>1</x:v>
      </x:c>
      <x:c r="H1215" s="28" t="n">
        <x:v>26</x:v>
      </x:c>
      <x:c r="I1215" s="28" t="n">
        <x:v>4</x:v>
      </x:c>
      <x:c r="J1215" s="28" t="n">
        <x:v>6</x:v>
      </x:c>
      <x:c r="K1215" s="28" t="n">
        <x:v>1</x:v>
      </x:c>
      <x:c r="L1215" s="28" t="n">
        <x:v>10</x:v>
      </x:c>
      <x:c r="M1215" s="28" t="n">
        <x:v>0</x:v>
      </x:c>
      <x:c r="N1215" s="28" t="n">
        <x:v>0</x:v>
      </x:c>
      <x:c r="O1215" s="28" t="n">
        <x:v>0</x:v>
      </x:c>
      <x:c r="P1215" s="28" t="n">
        <x:v>1</x:v>
      </x:c>
      <x:c r="Q1215" s="24" t="n">
        <x:f>IFERROR(J1215/H1215,0)</x:f>
        <x:v>0.23076923076923078</x:v>
      </x:c>
      <x:c r="R1215" s="24" t="n">
        <x:f>IFERROR(F1215/H1215,0)</x:f>
        <x:v>0.038461538461538464</x:v>
      </x:c>
      <x:c r="S1215" s="24" t="n">
        <x:f>IFERROR(F1215/J1215,0)</x:f>
        <x:v>0.16666666666666666</x:v>
      </x:c>
      <x:c r="T1215" s="28" t="n">
        <x:f>H1215-I1215</x:f>
        <x:v>22</x:v>
      </x:c>
      <x:c r="U1215" s="24" t="n">
        <x:f>IFERROR(J1215/H1215,0)-IFERROR(K1215/I1215,0)</x:f>
        <x:v>-0.019230769230769218</x:v>
      </x:c>
      <x:c r="V1215" s="24" t="n">
        <x:f>IFERROR(F1215/J1215,0)-IFERROR(G1215/K1215,0)</x:f>
        <x:v>-0.8333333333333334</x:v>
      </x:c>
      <x:c r="W1215" s="28" t="n">
        <x:f>L1215-M1215</x:f>
        <x:v>10</x:v>
      </x:c>
      <x:c r="X1215" s="24" t="n">
        <x:f>IFERROR(K1215/I1215,0)</x:f>
        <x:v>0.25</x:v>
      </x:c>
      <x:c r="Y1215" s="24" t="n">
        <x:f>IFERROR(G1215/I1215,0)</x:f>
        <x:v>0.25</x:v>
      </x:c>
      <x:c r="Z1215" s="24" t="n">
        <x:f>IFERROR(G1215/K1215,0)</x:f>
        <x:v>1</x:v>
      </x:c>
      <x:c r="AA1215" s="24" t="n">
        <x:f>IFERROR(F1215/H1215,0)-IFERROR(G1215/I1215,0)</x:f>
        <x:v>-0.21153846153846154</x:v>
      </x:c>
      <x:c r="AB1215" s="28" t="n">
        <x:f>J1215-K1215</x:f>
        <x:v>5</x:v>
      </x:c>
      <x:c r="AC1215" s="32" t="n">
        <x:f>F1215-G1215</x:f>
        <x:v>0</x:v>
      </x:c>
    </x:row>
    <x:row r="1216">
      <x:c r="A1216" s="4" t="str">
        <x:v>2022-23</x:v>
      </x:c>
      <x:c r="B1216" s="20" t="n">
        <x:v>44975</x:v>
      </x:c>
      <x:c r="C1216" s="4" t="str">
        <x:v>Newcastle</x:v>
      </x:c>
      <x:c r="D1216" s="4" t="str">
        <x:v>Liverpool</x:v>
      </x:c>
      <x:c r="E1216" s="4" t="str">
        <x:v>Home</x:v>
      </x:c>
      <x:c r="F1216" s="28" t="n">
        <x:v>0</x:v>
      </x:c>
      <x:c r="G1216" s="28" t="n">
        <x:v>2</x:v>
      </x:c>
      <x:c r="H1216" s="28" t="n">
        <x:v>14</x:v>
      </x:c>
      <x:c r="I1216" s="28" t="n">
        <x:v>13</x:v>
      </x:c>
      <x:c r="J1216" s="28" t="n">
        <x:v>4</x:v>
      </x:c>
      <x:c r="K1216" s="28" t="n">
        <x:v>7</x:v>
      </x:c>
      <x:c r="L1216" s="28" t="n">
        <x:v>6</x:v>
      </x:c>
      <x:c r="M1216" s="28" t="n">
        <x:v>7</x:v>
      </x:c>
      <x:c r="N1216" s="28" t="n">
        <x:v>1</x:v>
      </x:c>
      <x:c r="O1216" s="28" t="n">
        <x:v>1</x:v>
      </x:c>
      <x:c r="P1216" s="28" t="n">
        <x:v>0</x:v>
      </x:c>
      <x:c r="Q1216" s="24" t="n">
        <x:f>IFERROR(J1216/H1216,0)</x:f>
        <x:v>0.2857142857142857</x:v>
      </x:c>
      <x:c r="R1216" s="24" t="n">
        <x:f>IFERROR(F1216/H1216,0)</x:f>
        <x:v>0</x:v>
      </x:c>
      <x:c r="S1216" s="24" t="n">
        <x:f>IFERROR(F1216/J1216,0)</x:f>
        <x:v>0</x:v>
      </x:c>
      <x:c r="T1216" s="28" t="n">
        <x:f>H1216-I1216</x:f>
        <x:v>1</x:v>
      </x:c>
      <x:c r="U1216" s="24" t="n">
        <x:f>IFERROR(J1216/H1216,0)-IFERROR(K1216/I1216,0)</x:f>
        <x:v>-0.25274725274725274</x:v>
      </x:c>
      <x:c r="V1216" s="24" t="n">
        <x:f>IFERROR(F1216/J1216,0)-IFERROR(G1216/K1216,0)</x:f>
        <x:v>-0.2857142857142857</x:v>
      </x:c>
      <x:c r="W1216" s="28" t="n">
        <x:f>L1216-M1216</x:f>
        <x:v>-1</x:v>
      </x:c>
      <x:c r="X1216" s="24" t="n">
        <x:f>IFERROR(K1216/I1216,0)</x:f>
        <x:v>0.5384615384615384</x:v>
      </x:c>
      <x:c r="Y1216" s="24" t="n">
        <x:f>IFERROR(G1216/I1216,0)</x:f>
        <x:v>0.15384615384615385</x:v>
      </x:c>
      <x:c r="Z1216" s="24" t="n">
        <x:f>IFERROR(G1216/K1216,0)</x:f>
        <x:v>0.2857142857142857</x:v>
      </x:c>
      <x:c r="AA1216" s="24" t="n">
        <x:f>IFERROR(F1216/H1216,0)-IFERROR(G1216/I1216,0)</x:f>
        <x:v>-0.15384615384615385</x:v>
      </x:c>
      <x:c r="AB1216" s="28" t="n">
        <x:f>J1216-K1216</x:f>
        <x:v>-3</x:v>
      </x:c>
      <x:c r="AC1216" s="32" t="n">
        <x:f>F1216-G1216</x:f>
        <x:v>-2</x:v>
      </x:c>
    </x:row>
    <x:row r="1217">
      <x:c r="A1217" s="4" t="str">
        <x:v>2022-23</x:v>
      </x:c>
      <x:c r="B1217" s="20" t="n">
        <x:v>44975</x:v>
      </x:c>
      <x:c r="C1217" s="4" t="str">
        <x:v>Nott'm Forest</x:v>
      </x:c>
      <x:c r="D1217" s="4" t="str">
        <x:v>Man City</x:v>
      </x:c>
      <x:c r="E1217" s="4" t="str">
        <x:v>Home</x:v>
      </x:c>
      <x:c r="F1217" s="28" t="n">
        <x:v>1</x:v>
      </x:c>
      <x:c r="G1217" s="28" t="n">
        <x:v>1</x:v>
      </x:c>
      <x:c r="H1217" s="28" t="n">
        <x:v>4</x:v>
      </x:c>
      <x:c r="I1217" s="28" t="n">
        <x:v>26</x:v>
      </x:c>
      <x:c r="J1217" s="28" t="n">
        <x:v>1</x:v>
      </x:c>
      <x:c r="K1217" s="28" t="n">
        <x:v>6</x:v>
      </x:c>
      <x:c r="L1217" s="28" t="n">
        <x:v>0</x:v>
      </x:c>
      <x:c r="M1217" s="28" t="n">
        <x:v>10</x:v>
      </x:c>
      <x:c r="N1217" s="28" t="n">
        <x:v>1</x:v>
      </x:c>
      <x:c r="O1217" s="28" t="n">
        <x:v>0</x:v>
      </x:c>
      <x:c r="P1217" s="28" t="n">
        <x:v>1</x:v>
      </x:c>
      <x:c r="Q1217" s="24" t="n">
        <x:f>IFERROR(J1217/H1217,0)</x:f>
        <x:v>0.25</x:v>
      </x:c>
      <x:c r="R1217" s="24" t="n">
        <x:f>IFERROR(F1217/H1217,0)</x:f>
        <x:v>0.25</x:v>
      </x:c>
      <x:c r="S1217" s="24" t="n">
        <x:f>IFERROR(F1217/J1217,0)</x:f>
        <x:v>1</x:v>
      </x:c>
      <x:c r="T1217" s="28" t="n">
        <x:f>H1217-I1217</x:f>
        <x:v>-22</x:v>
      </x:c>
      <x:c r="U1217" s="24" t="n">
        <x:f>IFERROR(J1217/H1217,0)-IFERROR(K1217/I1217,0)</x:f>
        <x:v>0.019230769230769218</x:v>
      </x:c>
      <x:c r="V1217" s="24" t="n">
        <x:f>IFERROR(F1217/J1217,0)-IFERROR(G1217/K1217,0)</x:f>
        <x:v>0.8333333333333334</x:v>
      </x:c>
      <x:c r="W1217" s="28" t="n">
        <x:f>L1217-M1217</x:f>
        <x:v>-10</x:v>
      </x:c>
      <x:c r="X1217" s="24" t="n">
        <x:f>IFERROR(K1217/I1217,0)</x:f>
        <x:v>0.23076923076923078</x:v>
      </x:c>
      <x:c r="Y1217" s="24" t="n">
        <x:f>IFERROR(G1217/I1217,0)</x:f>
        <x:v>0.038461538461538464</x:v>
      </x:c>
      <x:c r="Z1217" s="24" t="n">
        <x:f>IFERROR(G1217/K1217,0)</x:f>
        <x:v>0.16666666666666666</x:v>
      </x:c>
      <x:c r="AA1217" s="24" t="n">
        <x:f>IFERROR(F1217/H1217,0)-IFERROR(G1217/I1217,0)</x:f>
        <x:v>0.21153846153846154</x:v>
      </x:c>
      <x:c r="AB1217" s="28" t="n">
        <x:f>J1217-K1217</x:f>
        <x:v>-5</x:v>
      </x:c>
      <x:c r="AC1217" s="32" t="n">
        <x:f>F1217-G1217</x:f>
        <x:v>0</x:v>
      </x:c>
    </x:row>
    <x:row r="1218">
      <x:c r="A1218" s="4" t="str">
        <x:v>2022-23</x:v>
      </x:c>
      <x:c r="B1218" s="20" t="n">
        <x:v>44975</x:v>
      </x:c>
      <x:c r="C1218" s="4" t="str">
        <x:v>Southampton</x:v>
      </x:c>
      <x:c r="D1218" s="4" t="str">
        <x:v>Chelsea</x:v>
      </x:c>
      <x:c r="E1218" s="4" t="str">
        <x:v>Away</x:v>
      </x:c>
      <x:c r="F1218" s="28" t="n">
        <x:v>1</x:v>
      </x:c>
      <x:c r="G1218" s="28" t="n">
        <x:v>0</x:v>
      </x:c>
      <x:c r="H1218" s="28" t="n">
        <x:v>8</x:v>
      </x:c>
      <x:c r="I1218" s="28" t="n">
        <x:v>17</x:v>
      </x:c>
      <x:c r="J1218" s="28" t="n">
        <x:v>5</x:v>
      </x:c>
      <x:c r="K1218" s="28" t="n">
        <x:v>5</x:v>
      </x:c>
      <x:c r="L1218" s="28" t="n">
        <x:v>2</x:v>
      </x:c>
      <x:c r="M1218" s="28" t="n">
        <x:v>8</x:v>
      </x:c>
      <x:c r="N1218" s="28" t="n">
        <x:v>6</x:v>
      </x:c>
      <x:c r="O1218" s="28" t="n">
        <x:v>0</x:v>
      </x:c>
      <x:c r="P1218" s="28" t="n">
        <x:v>3</x:v>
      </x:c>
      <x:c r="Q1218" s="24" t="n">
        <x:f>IFERROR(J1218/H1218,0)</x:f>
        <x:v>0.625</x:v>
      </x:c>
      <x:c r="R1218" s="24" t="n">
        <x:f>IFERROR(F1218/H1218,0)</x:f>
        <x:v>0.125</x:v>
      </x:c>
      <x:c r="S1218" s="24" t="n">
        <x:f>IFERROR(F1218/J1218,0)</x:f>
        <x:v>0.2</x:v>
      </x:c>
      <x:c r="T1218" s="28" t="n">
        <x:f>H1218-I1218</x:f>
        <x:v>-9</x:v>
      </x:c>
      <x:c r="U1218" s="24" t="n">
        <x:f>IFERROR(J1218/H1218,0)-IFERROR(K1218/I1218,0)</x:f>
        <x:v>0.33088235294117646</x:v>
      </x:c>
      <x:c r="V1218" s="24" t="n">
        <x:f>IFERROR(F1218/J1218,0)-IFERROR(G1218/K1218,0)</x:f>
        <x:v>0.2</x:v>
      </x:c>
      <x:c r="W1218" s="28" t="n">
        <x:f>L1218-M1218</x:f>
        <x:v>-6</x:v>
      </x:c>
      <x:c r="X1218" s="24" t="n">
        <x:f>IFERROR(K1218/I1218,0)</x:f>
        <x:v>0.29411764705882354</x:v>
      </x:c>
      <x:c r="Y1218" s="24" t="n">
        <x:f>IFERROR(G1218/I1218,0)</x:f>
        <x:v>0</x:v>
      </x:c>
      <x:c r="Z1218" s="24" t="n">
        <x:f>IFERROR(G1218/K1218,0)</x:f>
        <x:v>0</x:v>
      </x:c>
      <x:c r="AA1218" s="24" t="n">
        <x:f>IFERROR(F1218/H1218,0)-IFERROR(G1218/I1218,0)</x:f>
        <x:v>0.125</x:v>
      </x:c>
      <x:c r="AB1218" s="28" t="n">
        <x:f>J1218-K1218</x:f>
        <x:v>0</x:v>
      </x:c>
      <x:c r="AC1218" s="32" t="n">
        <x:f>F1218-G1218</x:f>
        <x:v>1</x:v>
      </x:c>
    </x:row>
    <x:row r="1219">
      <x:c r="A1219" s="4" t="str">
        <x:v>2022-23</x:v>
      </x:c>
      <x:c r="B1219" s="20" t="n">
        <x:v>44975</x:v>
      </x:c>
      <x:c r="C1219" s="4" t="str">
        <x:v>Wolves</x:v>
      </x:c>
      <x:c r="D1219" s="4" t="str">
        <x:v>Bournemouth</x:v>
      </x:c>
      <x:c r="E1219" s="4" t="str">
        <x:v>Home</x:v>
      </x:c>
      <x:c r="F1219" s="28" t="n">
        <x:v>0</x:v>
      </x:c>
      <x:c r="G1219" s="28" t="n">
        <x:v>1</x:v>
      </x:c>
      <x:c r="H1219" s="28" t="n">
        <x:v>15</x:v>
      </x:c>
      <x:c r="I1219" s="28" t="n">
        <x:v>5</x:v>
      </x:c>
      <x:c r="J1219" s="28" t="n">
        <x:v>4</x:v>
      </x:c>
      <x:c r="K1219" s="28" t="n">
        <x:v>1</x:v>
      </x:c>
      <x:c r="L1219" s="28" t="n">
        <x:v>12</x:v>
      </x:c>
      <x:c r="M1219" s="28" t="n">
        <x:v>2</x:v>
      </x:c>
      <x:c r="N1219" s="28" t="n">
        <x:v>3</x:v>
      </x:c>
      <x:c r="O1219" s="28" t="n">
        <x:v>0</x:v>
      </x:c>
      <x:c r="P1219" s="28" t="n">
        <x:v>0</x:v>
      </x:c>
      <x:c r="Q1219" s="24" t="n">
        <x:f>IFERROR(J1219/H1219,0)</x:f>
        <x:v>0.26666666666666666</x:v>
      </x:c>
      <x:c r="R1219" s="24" t="n">
        <x:f>IFERROR(F1219/H1219,0)</x:f>
        <x:v>0</x:v>
      </x:c>
      <x:c r="S1219" s="24" t="n">
        <x:f>IFERROR(F1219/J1219,0)</x:f>
        <x:v>0</x:v>
      </x:c>
      <x:c r="T1219" s="28" t="n">
        <x:f>H1219-I1219</x:f>
        <x:v>10</x:v>
      </x:c>
      <x:c r="U1219" s="24" t="n">
        <x:f>IFERROR(J1219/H1219,0)-IFERROR(K1219/I1219,0)</x:f>
        <x:v>0.06666666666666665</x:v>
      </x:c>
      <x:c r="V1219" s="24" t="n">
        <x:f>IFERROR(F1219/J1219,0)-IFERROR(G1219/K1219,0)</x:f>
        <x:v>-1</x:v>
      </x:c>
      <x:c r="W1219" s="28" t="n">
        <x:f>L1219-M1219</x:f>
        <x:v>10</x:v>
      </x:c>
      <x:c r="X1219" s="24" t="n">
        <x:f>IFERROR(K1219/I1219,0)</x:f>
        <x:v>0.2</x:v>
      </x:c>
      <x:c r="Y1219" s="24" t="n">
        <x:f>IFERROR(G1219/I1219,0)</x:f>
        <x:v>0.2</x:v>
      </x:c>
      <x:c r="Z1219" s="24" t="n">
        <x:f>IFERROR(G1219/K1219,0)</x:f>
        <x:v>1</x:v>
      </x:c>
      <x:c r="AA1219" s="24" t="n">
        <x:f>IFERROR(F1219/H1219,0)-IFERROR(G1219/I1219,0)</x:f>
        <x:v>-0.2</x:v>
      </x:c>
      <x:c r="AB1219" s="28" t="n">
        <x:f>J1219-K1219</x:f>
        <x:v>3</x:v>
      </x:c>
      <x:c r="AC1219" s="32" t="n">
        <x:f>F1219-G1219</x:f>
        <x:v>-1</x:v>
      </x:c>
    </x:row>
    <x:row r="1220">
      <x:c r="A1220" s="4" t="str">
        <x:v>2022-23</x:v>
      </x:c>
      <x:c r="B1220" s="20" t="n">
        <x:v>44976</x:v>
      </x:c>
      <x:c r="C1220" s="4" t="str">
        <x:v>Leicester</x:v>
      </x:c>
      <x:c r="D1220" s="4" t="str">
        <x:v>Man United</x:v>
      </x:c>
      <x:c r="E1220" s="4" t="str">
        <x:v>Away</x:v>
      </x:c>
      <x:c r="F1220" s="28" t="n">
        <x:v>0</x:v>
      </x:c>
      <x:c r="G1220" s="28" t="n">
        <x:v>3</x:v>
      </x:c>
      <x:c r="H1220" s="28" t="n">
        <x:v>19</x:v>
      </x:c>
      <x:c r="I1220" s="28" t="n">
        <x:v>26</x:v>
      </x:c>
      <x:c r="J1220" s="28" t="n">
        <x:v>3</x:v>
      </x:c>
      <x:c r="K1220" s="28" t="n">
        <x:v>8</x:v>
      </x:c>
      <x:c r="L1220" s="28" t="n">
        <x:v>6</x:v>
      </x:c>
      <x:c r="M1220" s="28" t="n">
        <x:v>6</x:v>
      </x:c>
      <x:c r="N1220" s="28" t="n">
        <x:v>2</x:v>
      </x:c>
      <x:c r="O1220" s="28" t="n">
        <x:v>0</x:v>
      </x:c>
      <x:c r="P1220" s="28" t="n">
        <x:v>0</x:v>
      </x:c>
      <x:c r="Q1220" s="24" t="n">
        <x:f>IFERROR(J1220/H1220,0)</x:f>
        <x:v>0.15789473684210525</x:v>
      </x:c>
      <x:c r="R1220" s="24" t="n">
        <x:f>IFERROR(F1220/H1220,0)</x:f>
        <x:v>0</x:v>
      </x:c>
      <x:c r="S1220" s="24" t="n">
        <x:f>IFERROR(F1220/J1220,0)</x:f>
        <x:v>0</x:v>
      </x:c>
      <x:c r="T1220" s="28" t="n">
        <x:f>H1220-I1220</x:f>
        <x:v>-7</x:v>
      </x:c>
      <x:c r="U1220" s="24" t="n">
        <x:f>IFERROR(J1220/H1220,0)-IFERROR(K1220/I1220,0)</x:f>
        <x:v>-0.14979757085020245</x:v>
      </x:c>
      <x:c r="V1220" s="24" t="n">
        <x:f>IFERROR(F1220/J1220,0)-IFERROR(G1220/K1220,0)</x:f>
        <x:v>-0.375</x:v>
      </x:c>
      <x:c r="W1220" s="28" t="n">
        <x:f>L1220-M1220</x:f>
        <x:v>0</x:v>
      </x:c>
      <x:c r="X1220" s="24" t="n">
        <x:f>IFERROR(K1220/I1220,0)</x:f>
        <x:v>0.3076923076923077</x:v>
      </x:c>
      <x:c r="Y1220" s="24" t="n">
        <x:f>IFERROR(G1220/I1220,0)</x:f>
        <x:v>0.11538461538461539</x:v>
      </x:c>
      <x:c r="Z1220" s="24" t="n">
        <x:f>IFERROR(G1220/K1220,0)</x:f>
        <x:v>0.375</x:v>
      </x:c>
      <x:c r="AA1220" s="24" t="n">
        <x:f>IFERROR(F1220/H1220,0)-IFERROR(G1220/I1220,0)</x:f>
        <x:v>-0.11538461538461539</x:v>
      </x:c>
      <x:c r="AB1220" s="28" t="n">
        <x:f>J1220-K1220</x:f>
        <x:v>-5</x:v>
      </x:c>
      <x:c r="AC1220" s="32" t="n">
        <x:f>F1220-G1220</x:f>
        <x:v>-3</x:v>
      </x:c>
    </x:row>
    <x:row r="1221">
      <x:c r="A1221" s="4" t="str">
        <x:v>2022-23</x:v>
      </x:c>
      <x:c r="B1221" s="20" t="n">
        <x:v>44976</x:v>
      </x:c>
      <x:c r="C1221" s="4" t="str">
        <x:v>Man United</x:v>
      </x:c>
      <x:c r="D1221" s="4" t="str">
        <x:v>Leicester</x:v>
      </x:c>
      <x:c r="E1221" s="4" t="str">
        <x:v>Home</x:v>
      </x:c>
      <x:c r="F1221" s="28" t="n">
        <x:v>3</x:v>
      </x:c>
      <x:c r="G1221" s="28" t="n">
        <x:v>0</x:v>
      </x:c>
      <x:c r="H1221" s="28" t="n">
        <x:v>26</x:v>
      </x:c>
      <x:c r="I1221" s="28" t="n">
        <x:v>19</x:v>
      </x:c>
      <x:c r="J1221" s="28" t="n">
        <x:v>8</x:v>
      </x:c>
      <x:c r="K1221" s="28" t="n">
        <x:v>3</x:v>
      </x:c>
      <x:c r="L1221" s="28" t="n">
        <x:v>6</x:v>
      </x:c>
      <x:c r="M1221" s="28" t="n">
        <x:v>6</x:v>
      </x:c>
      <x:c r="N1221" s="28" t="n">
        <x:v>0</x:v>
      </x:c>
      <x:c r="O1221" s="28" t="n">
        <x:v>0</x:v>
      </x:c>
      <x:c r="P1221" s="28" t="n">
        <x:v>3</x:v>
      </x:c>
      <x:c r="Q1221" s="24" t="n">
        <x:f>IFERROR(J1221/H1221,0)</x:f>
        <x:v>0.3076923076923077</x:v>
      </x:c>
      <x:c r="R1221" s="24" t="n">
        <x:f>IFERROR(F1221/H1221,0)</x:f>
        <x:v>0.11538461538461539</x:v>
      </x:c>
      <x:c r="S1221" s="24" t="n">
        <x:f>IFERROR(F1221/J1221,0)</x:f>
        <x:v>0.375</x:v>
      </x:c>
      <x:c r="T1221" s="28" t="n">
        <x:f>H1221-I1221</x:f>
        <x:v>7</x:v>
      </x:c>
      <x:c r="U1221" s="24" t="n">
        <x:f>IFERROR(J1221/H1221,0)-IFERROR(K1221/I1221,0)</x:f>
        <x:v>0.14979757085020245</x:v>
      </x:c>
      <x:c r="V1221" s="24" t="n">
        <x:f>IFERROR(F1221/J1221,0)-IFERROR(G1221/K1221,0)</x:f>
        <x:v>0.375</x:v>
      </x:c>
      <x:c r="W1221" s="28" t="n">
        <x:f>L1221-M1221</x:f>
        <x:v>0</x:v>
      </x:c>
      <x:c r="X1221" s="24" t="n">
        <x:f>IFERROR(K1221/I1221,0)</x:f>
        <x:v>0.15789473684210525</x:v>
      </x:c>
      <x:c r="Y1221" s="24" t="n">
        <x:f>IFERROR(G1221/I1221,0)</x:f>
        <x:v>0</x:v>
      </x:c>
      <x:c r="Z1221" s="24" t="n">
        <x:f>IFERROR(G1221/K1221,0)</x:f>
        <x:v>0</x:v>
      </x:c>
      <x:c r="AA1221" s="24" t="n">
        <x:f>IFERROR(F1221/H1221,0)-IFERROR(G1221/I1221,0)</x:f>
        <x:v>0.11538461538461539</x:v>
      </x:c>
      <x:c r="AB1221" s="28" t="n">
        <x:f>J1221-K1221</x:f>
        <x:v>5</x:v>
      </x:c>
      <x:c r="AC1221" s="32" t="n">
        <x:f>F1221-G1221</x:f>
        <x:v>3</x:v>
      </x:c>
    </x:row>
    <x:row r="1222">
      <x:c r="A1222" s="4" t="str">
        <x:v>2022-23</x:v>
      </x:c>
      <x:c r="B1222" s="20" t="n">
        <x:v>44976</x:v>
      </x:c>
      <x:c r="C1222" s="4" t="str">
        <x:v>Tottenham</x:v>
      </x:c>
      <x:c r="D1222" s="4" t="str">
        <x:v>West Ham</x:v>
      </x:c>
      <x:c r="E1222" s="4" t="str">
        <x:v>Home</x:v>
      </x:c>
      <x:c r="F1222" s="28" t="n">
        <x:v>2</x:v>
      </x:c>
      <x:c r="G1222" s="28" t="n">
        <x:v>0</x:v>
      </x:c>
      <x:c r="H1222" s="28" t="n">
        <x:v>16</x:v>
      </x:c>
      <x:c r="I1222" s="28" t="n">
        <x:v>6</x:v>
      </x:c>
      <x:c r="J1222" s="28" t="n">
        <x:v>6</x:v>
      </x:c>
      <x:c r="K1222" s="28" t="n">
        <x:v>1</x:v>
      </x:c>
      <x:c r="L1222" s="28" t="n">
        <x:v>4</x:v>
      </x:c>
      <x:c r="M1222" s="28" t="n">
        <x:v>7</x:v>
      </x:c>
      <x:c r="N1222" s="28" t="n">
        <x:v>2</x:v>
      </x:c>
      <x:c r="O1222" s="28" t="n">
        <x:v>0</x:v>
      </x:c>
      <x:c r="P1222" s="28" t="n">
        <x:v>3</x:v>
      </x:c>
      <x:c r="Q1222" s="24" t="n">
        <x:f>IFERROR(J1222/H1222,0)</x:f>
        <x:v>0.375</x:v>
      </x:c>
      <x:c r="R1222" s="24" t="n">
        <x:f>IFERROR(F1222/H1222,0)</x:f>
        <x:v>0.125</x:v>
      </x:c>
      <x:c r="S1222" s="24" t="n">
        <x:f>IFERROR(F1222/J1222,0)</x:f>
        <x:v>0.3333333333333333</x:v>
      </x:c>
      <x:c r="T1222" s="28" t="n">
        <x:f>H1222-I1222</x:f>
        <x:v>10</x:v>
      </x:c>
      <x:c r="U1222" s="24" t="n">
        <x:f>IFERROR(J1222/H1222,0)-IFERROR(K1222/I1222,0)</x:f>
        <x:v>0.20833333333333334</x:v>
      </x:c>
      <x:c r="V1222" s="24" t="n">
        <x:f>IFERROR(F1222/J1222,0)-IFERROR(G1222/K1222,0)</x:f>
        <x:v>0.3333333333333333</x:v>
      </x:c>
      <x:c r="W1222" s="28" t="n">
        <x:f>L1222-M1222</x:f>
        <x:v>-3</x:v>
      </x:c>
      <x:c r="X1222" s="24" t="n">
        <x:f>IFERROR(K1222/I1222,0)</x:f>
        <x:v>0.16666666666666666</x:v>
      </x:c>
      <x:c r="Y1222" s="24" t="n">
        <x:f>IFERROR(G1222/I1222,0)</x:f>
        <x:v>0</x:v>
      </x:c>
      <x:c r="Z1222" s="24" t="n">
        <x:f>IFERROR(G1222/K1222,0)</x:f>
        <x:v>0</x:v>
      </x:c>
      <x:c r="AA1222" s="24" t="n">
        <x:f>IFERROR(F1222/H1222,0)-IFERROR(G1222/I1222,0)</x:f>
        <x:v>0.125</x:v>
      </x:c>
      <x:c r="AB1222" s="28" t="n">
        <x:f>J1222-K1222</x:f>
        <x:v>5</x:v>
      </x:c>
      <x:c r="AC1222" s="32" t="n">
        <x:f>F1222-G1222</x:f>
        <x:v>2</x:v>
      </x:c>
    </x:row>
    <x:row r="1223">
      <x:c r="A1223" s="4" t="str">
        <x:v>2022-23</x:v>
      </x:c>
      <x:c r="B1223" s="20" t="n">
        <x:v>44976</x:v>
      </x:c>
      <x:c r="C1223" s="4" t="str">
        <x:v>West Ham</x:v>
      </x:c>
      <x:c r="D1223" s="4" t="str">
        <x:v>Tottenham</x:v>
      </x:c>
      <x:c r="E1223" s="4" t="str">
        <x:v>Away</x:v>
      </x:c>
      <x:c r="F1223" s="28" t="n">
        <x:v>0</x:v>
      </x:c>
      <x:c r="G1223" s="28" t="n">
        <x:v>2</x:v>
      </x:c>
      <x:c r="H1223" s="28" t="n">
        <x:v>6</x:v>
      </x:c>
      <x:c r="I1223" s="28" t="n">
        <x:v>16</x:v>
      </x:c>
      <x:c r="J1223" s="28" t="n">
        <x:v>1</x:v>
      </x:c>
      <x:c r="K1223" s="28" t="n">
        <x:v>6</x:v>
      </x:c>
      <x:c r="L1223" s="28" t="n">
        <x:v>7</x:v>
      </x:c>
      <x:c r="M1223" s="28" t="n">
        <x:v>4</x:v>
      </x:c>
      <x:c r="N1223" s="28" t="n">
        <x:v>1</x:v>
      </x:c>
      <x:c r="O1223" s="28" t="n">
        <x:v>0</x:v>
      </x:c>
      <x:c r="P1223" s="28" t="n">
        <x:v>0</x:v>
      </x:c>
      <x:c r="Q1223" s="24" t="n">
        <x:f>IFERROR(J1223/H1223,0)</x:f>
        <x:v>0.16666666666666666</x:v>
      </x:c>
      <x:c r="R1223" s="24" t="n">
        <x:f>IFERROR(F1223/H1223,0)</x:f>
        <x:v>0</x:v>
      </x:c>
      <x:c r="S1223" s="24" t="n">
        <x:f>IFERROR(F1223/J1223,0)</x:f>
        <x:v>0</x:v>
      </x:c>
      <x:c r="T1223" s="28" t="n">
        <x:f>H1223-I1223</x:f>
        <x:v>-10</x:v>
      </x:c>
      <x:c r="U1223" s="24" t="n">
        <x:f>IFERROR(J1223/H1223,0)-IFERROR(K1223/I1223,0)</x:f>
        <x:v>-0.20833333333333334</x:v>
      </x:c>
      <x:c r="V1223" s="24" t="n">
        <x:f>IFERROR(F1223/J1223,0)-IFERROR(G1223/K1223,0)</x:f>
        <x:v>-0.3333333333333333</x:v>
      </x:c>
      <x:c r="W1223" s="28" t="n">
        <x:f>L1223-M1223</x:f>
        <x:v>3</x:v>
      </x:c>
      <x:c r="X1223" s="24" t="n">
        <x:f>IFERROR(K1223/I1223,0)</x:f>
        <x:v>0.375</x:v>
      </x:c>
      <x:c r="Y1223" s="24" t="n">
        <x:f>IFERROR(G1223/I1223,0)</x:f>
        <x:v>0.125</x:v>
      </x:c>
      <x:c r="Z1223" s="24" t="n">
        <x:f>IFERROR(G1223/K1223,0)</x:f>
        <x:v>0.3333333333333333</x:v>
      </x:c>
      <x:c r="AA1223" s="24" t="n">
        <x:f>IFERROR(F1223/H1223,0)-IFERROR(G1223/I1223,0)</x:f>
        <x:v>-0.125</x:v>
      </x:c>
      <x:c r="AB1223" s="28" t="n">
        <x:f>J1223-K1223</x:f>
        <x:v>-5</x:v>
      </x:c>
      <x:c r="AC1223" s="32" t="n">
        <x:f>F1223-G1223</x:f>
        <x:v>-2</x:v>
      </x:c>
    </x:row>
    <x:row r="1224">
      <x:c r="A1224" s="4" t="str">
        <x:v>2022-23</x:v>
      </x:c>
      <x:c r="B1224" s="20" t="n">
        <x:v>44981</x:v>
      </x:c>
      <x:c r="C1224" s="4" t="str">
        <x:v>Fulham</x:v>
      </x:c>
      <x:c r="D1224" s="4" t="str">
        <x:v>Wolves</x:v>
      </x:c>
      <x:c r="E1224" s="4" t="str">
        <x:v>Home</x:v>
      </x:c>
      <x:c r="F1224" s="28" t="n">
        <x:v>1</x:v>
      </x:c>
      <x:c r="G1224" s="28" t="n">
        <x:v>1</x:v>
      </x:c>
      <x:c r="H1224" s="28" t="n">
        <x:v>10</x:v>
      </x:c>
      <x:c r="I1224" s="28" t="n">
        <x:v>8</x:v>
      </x:c>
      <x:c r="J1224" s="28" t="n">
        <x:v>5</x:v>
      </x:c>
      <x:c r="K1224" s="28" t="n">
        <x:v>2</x:v>
      </x:c>
      <x:c r="L1224" s="28" t="n">
        <x:v>4</x:v>
      </x:c>
      <x:c r="M1224" s="28" t="n">
        <x:v>3</x:v>
      </x:c>
      <x:c r="N1224" s="28" t="n">
        <x:v>2</x:v>
      </x:c>
      <x:c r="O1224" s="28" t="n">
        <x:v>0</x:v>
      </x:c>
      <x:c r="P1224" s="28" t="n">
        <x:v>1</x:v>
      </x:c>
      <x:c r="Q1224" s="24" t="n">
        <x:f>IFERROR(J1224/H1224,0)</x:f>
        <x:v>0.5</x:v>
      </x:c>
      <x:c r="R1224" s="24" t="n">
        <x:f>IFERROR(F1224/H1224,0)</x:f>
        <x:v>0.1</x:v>
      </x:c>
      <x:c r="S1224" s="24" t="n">
        <x:f>IFERROR(F1224/J1224,0)</x:f>
        <x:v>0.2</x:v>
      </x:c>
      <x:c r="T1224" s="28" t="n">
        <x:f>H1224-I1224</x:f>
        <x:v>2</x:v>
      </x:c>
      <x:c r="U1224" s="24" t="n">
        <x:f>IFERROR(J1224/H1224,0)-IFERROR(K1224/I1224,0)</x:f>
        <x:v>0.25</x:v>
      </x:c>
      <x:c r="V1224" s="24" t="n">
        <x:f>IFERROR(F1224/J1224,0)-IFERROR(G1224/K1224,0)</x:f>
        <x:v>-0.3</x:v>
      </x:c>
      <x:c r="W1224" s="28" t="n">
        <x:f>L1224-M1224</x:f>
        <x:v>1</x:v>
      </x:c>
      <x:c r="X1224" s="24" t="n">
        <x:f>IFERROR(K1224/I1224,0)</x:f>
        <x:v>0.25</x:v>
      </x:c>
      <x:c r="Y1224" s="24" t="n">
        <x:f>IFERROR(G1224/I1224,0)</x:f>
        <x:v>0.125</x:v>
      </x:c>
      <x:c r="Z1224" s="24" t="n">
        <x:f>IFERROR(G1224/K1224,0)</x:f>
        <x:v>0.5</x:v>
      </x:c>
      <x:c r="AA1224" s="24" t="n">
        <x:f>IFERROR(F1224/H1224,0)-IFERROR(G1224/I1224,0)</x:f>
        <x:v>-0.024999999999999994</x:v>
      </x:c>
      <x:c r="AB1224" s="28" t="n">
        <x:f>J1224-K1224</x:f>
        <x:v>3</x:v>
      </x:c>
      <x:c r="AC1224" s="32" t="n">
        <x:f>F1224-G1224</x:f>
        <x:v>0</x:v>
      </x:c>
    </x:row>
    <x:row r="1225">
      <x:c r="A1225" s="4" t="str">
        <x:v>2022-23</x:v>
      </x:c>
      <x:c r="B1225" s="20" t="n">
        <x:v>44981</x:v>
      </x:c>
      <x:c r="C1225" s="4" t="str">
        <x:v>Wolves</x:v>
      </x:c>
      <x:c r="D1225" s="4" t="str">
        <x:v>Fulham</x:v>
      </x:c>
      <x:c r="E1225" s="4" t="str">
        <x:v>Away</x:v>
      </x:c>
      <x:c r="F1225" s="28" t="n">
        <x:v>1</x:v>
      </x:c>
      <x:c r="G1225" s="28" t="n">
        <x:v>1</x:v>
      </x:c>
      <x:c r="H1225" s="28" t="n">
        <x:v>8</x:v>
      </x:c>
      <x:c r="I1225" s="28" t="n">
        <x:v>10</x:v>
      </x:c>
      <x:c r="J1225" s="28" t="n">
        <x:v>2</x:v>
      </x:c>
      <x:c r="K1225" s="28" t="n">
        <x:v>5</x:v>
      </x:c>
      <x:c r="L1225" s="28" t="n">
        <x:v>3</x:v>
      </x:c>
      <x:c r="M1225" s="28" t="n">
        <x:v>4</x:v>
      </x:c>
      <x:c r="N1225" s="28" t="n">
        <x:v>0</x:v>
      </x:c>
      <x:c r="O1225" s="28" t="n">
        <x:v>0</x:v>
      </x:c>
      <x:c r="P1225" s="28" t="n">
        <x:v>1</x:v>
      </x:c>
      <x:c r="Q1225" s="24" t="n">
        <x:f>IFERROR(J1225/H1225,0)</x:f>
        <x:v>0.25</x:v>
      </x:c>
      <x:c r="R1225" s="24" t="n">
        <x:f>IFERROR(F1225/H1225,0)</x:f>
        <x:v>0.125</x:v>
      </x:c>
      <x:c r="S1225" s="24" t="n">
        <x:f>IFERROR(F1225/J1225,0)</x:f>
        <x:v>0.5</x:v>
      </x:c>
      <x:c r="T1225" s="28" t="n">
        <x:f>H1225-I1225</x:f>
        <x:v>-2</x:v>
      </x:c>
      <x:c r="U1225" s="24" t="n">
        <x:f>IFERROR(J1225/H1225,0)-IFERROR(K1225/I1225,0)</x:f>
        <x:v>-0.25</x:v>
      </x:c>
      <x:c r="V1225" s="24" t="n">
        <x:f>IFERROR(F1225/J1225,0)-IFERROR(G1225/K1225,0)</x:f>
        <x:v>0.3</x:v>
      </x:c>
      <x:c r="W1225" s="28" t="n">
        <x:f>L1225-M1225</x:f>
        <x:v>-1</x:v>
      </x:c>
      <x:c r="X1225" s="24" t="n">
        <x:f>IFERROR(K1225/I1225,0)</x:f>
        <x:v>0.5</x:v>
      </x:c>
      <x:c r="Y1225" s="24" t="n">
        <x:f>IFERROR(G1225/I1225,0)</x:f>
        <x:v>0.1</x:v>
      </x:c>
      <x:c r="Z1225" s="24" t="n">
        <x:f>IFERROR(G1225/K1225,0)</x:f>
        <x:v>0.2</x:v>
      </x:c>
      <x:c r="AA1225" s="24" t="n">
        <x:f>IFERROR(F1225/H1225,0)-IFERROR(G1225/I1225,0)</x:f>
        <x:v>0.024999999999999994</x:v>
      </x:c>
      <x:c r="AB1225" s="28" t="n">
        <x:f>J1225-K1225</x:f>
        <x:v>-3</x:v>
      </x:c>
      <x:c r="AC1225" s="32" t="n">
        <x:f>F1225-G1225</x:f>
        <x:v>0</x:v>
      </x:c>
    </x:row>
    <x:row r="1226">
      <x:c r="A1226" s="4" t="str">
        <x:v>2022-23</x:v>
      </x:c>
      <x:c r="B1226" s="20" t="n">
        <x:v>44982</x:v>
      </x:c>
      <x:c r="C1226" s="4" t="str">
        <x:v>Arsenal</x:v>
      </x:c>
      <x:c r="D1226" s="4" t="str">
        <x:v>Leicester</x:v>
      </x:c>
      <x:c r="E1226" s="4" t="str">
        <x:v>Away</x:v>
      </x:c>
      <x:c r="F1226" s="28" t="n">
        <x:v>1</x:v>
      </x:c>
      <x:c r="G1226" s="28" t="n">
        <x:v>0</x:v>
      </x:c>
      <x:c r="H1226" s="28" t="n">
        <x:v>10</x:v>
      </x:c>
      <x:c r="I1226" s="28" t="n">
        <x:v>1</x:v>
      </x:c>
      <x:c r="J1226" s="28" t="n">
        <x:v>2</x:v>
      </x:c>
      <x:c r="K1226" s="28" t="n">
        <x:v>0</x:v>
      </x:c>
      <x:c r="L1226" s="28" t="n">
        <x:v>8</x:v>
      </x:c>
      <x:c r="M1226" s="28" t="n">
        <x:v>0</x:v>
      </x:c>
      <x:c r="N1226" s="28" t="n">
        <x:v>1</x:v>
      </x:c>
      <x:c r="O1226" s="28" t="n">
        <x:v>0</x:v>
      </x:c>
      <x:c r="P1226" s="28" t="n">
        <x:v>3</x:v>
      </x:c>
      <x:c r="Q1226" s="24" t="n">
        <x:f>IFERROR(J1226/H1226,0)</x:f>
        <x:v>0.2</x:v>
      </x:c>
      <x:c r="R1226" s="24" t="n">
        <x:f>IFERROR(F1226/H1226,0)</x:f>
        <x:v>0.1</x:v>
      </x:c>
      <x:c r="S1226" s="24" t="n">
        <x:f>IFERROR(F1226/J1226,0)</x:f>
        <x:v>0.5</x:v>
      </x:c>
      <x:c r="T1226" s="28" t="n">
        <x:f>H1226-I1226</x:f>
        <x:v>9</x:v>
      </x:c>
      <x:c r="U1226" s="24" t="n">
        <x:f>IFERROR(J1226/H1226,0)-IFERROR(K1226/I1226,0)</x:f>
        <x:v>0.2</x:v>
      </x:c>
      <x:c r="V1226" s="24" t="n">
        <x:f>IFERROR(F1226/J1226,0)-IFERROR(G1226/K1226,0)</x:f>
        <x:v>0.5</x:v>
      </x:c>
      <x:c r="W1226" s="28" t="n">
        <x:f>L1226-M1226</x:f>
        <x:v>8</x:v>
      </x:c>
      <x:c r="X1226" s="24" t="n">
        <x:f>IFERROR(K1226/I1226,0)</x:f>
        <x:v>0</x:v>
      </x:c>
      <x:c r="Y1226" s="24" t="n">
        <x:f>IFERROR(G1226/I1226,0)</x:f>
        <x:v>0</x:v>
      </x:c>
      <x:c r="Z1226" s="24" t="n">
        <x:f>IFERROR(G1226/K1226,0)</x:f>
        <x:v>0</x:v>
      </x:c>
      <x:c r="AA1226" s="24" t="n">
        <x:f>IFERROR(F1226/H1226,0)-IFERROR(G1226/I1226,0)</x:f>
        <x:v>0.1</x:v>
      </x:c>
      <x:c r="AB1226" s="28" t="n">
        <x:f>J1226-K1226</x:f>
        <x:v>2</x:v>
      </x:c>
      <x:c r="AC1226" s="32" t="n">
        <x:f>F1226-G1226</x:f>
        <x:v>1</x:v>
      </x:c>
    </x:row>
    <x:row r="1227">
      <x:c r="A1227" s="4" t="str">
        <x:v>2022-23</x:v>
      </x:c>
      <x:c r="B1227" s="20" t="n">
        <x:v>44982</x:v>
      </x:c>
      <x:c r="C1227" s="4" t="str">
        <x:v>Aston Villa</x:v>
      </x:c>
      <x:c r="D1227" s="4" t="str">
        <x:v>Everton</x:v>
      </x:c>
      <x:c r="E1227" s="4" t="str">
        <x:v>Away</x:v>
      </x:c>
      <x:c r="F1227" s="28" t="n">
        <x:v>2</x:v>
      </x:c>
      <x:c r="G1227" s="28" t="n">
        <x:v>0</x:v>
      </x:c>
      <x:c r="H1227" s="28" t="n">
        <x:v>9</x:v>
      </x:c>
      <x:c r="I1227" s="28" t="n">
        <x:v>15</x:v>
      </x:c>
      <x:c r="J1227" s="28" t="n">
        <x:v>5</x:v>
      </x:c>
      <x:c r="K1227" s="28" t="n">
        <x:v>5</x:v>
      </x:c>
      <x:c r="L1227" s="28" t="n">
        <x:v>1</x:v>
      </x:c>
      <x:c r="M1227" s="28" t="n">
        <x:v>5</x:v>
      </x:c>
      <x:c r="N1227" s="28" t="n">
        <x:v>1</x:v>
      </x:c>
      <x:c r="O1227" s="28" t="n">
        <x:v>0</x:v>
      </x:c>
      <x:c r="P1227" s="28" t="n">
        <x:v>3</x:v>
      </x:c>
      <x:c r="Q1227" s="24" t="n">
        <x:f>IFERROR(J1227/H1227,0)</x:f>
        <x:v>0.5555555555555556</x:v>
      </x:c>
      <x:c r="R1227" s="24" t="n">
        <x:f>IFERROR(F1227/H1227,0)</x:f>
        <x:v>0.2222222222222222</x:v>
      </x:c>
      <x:c r="S1227" s="24" t="n">
        <x:f>IFERROR(F1227/J1227,0)</x:f>
        <x:v>0.4</x:v>
      </x:c>
      <x:c r="T1227" s="28" t="n">
        <x:f>H1227-I1227</x:f>
        <x:v>-6</x:v>
      </x:c>
      <x:c r="U1227" s="24" t="n">
        <x:f>IFERROR(J1227/H1227,0)-IFERROR(K1227/I1227,0)</x:f>
        <x:v>0.22222222222222227</x:v>
      </x:c>
      <x:c r="V1227" s="24" t="n">
        <x:f>IFERROR(F1227/J1227,0)-IFERROR(G1227/K1227,0)</x:f>
        <x:v>0.4</x:v>
      </x:c>
      <x:c r="W1227" s="28" t="n">
        <x:f>L1227-M1227</x:f>
        <x:v>-4</x:v>
      </x:c>
      <x:c r="X1227" s="24" t="n">
        <x:f>IFERROR(K1227/I1227,0)</x:f>
        <x:v>0.3333333333333333</x:v>
      </x:c>
      <x:c r="Y1227" s="24" t="n">
        <x:f>IFERROR(G1227/I1227,0)</x:f>
        <x:v>0</x:v>
      </x:c>
      <x:c r="Z1227" s="24" t="n">
        <x:f>IFERROR(G1227/K1227,0)</x:f>
        <x:v>0</x:v>
      </x:c>
      <x:c r="AA1227" s="24" t="n">
        <x:f>IFERROR(F1227/H1227,0)-IFERROR(G1227/I1227,0)</x:f>
        <x:v>0.2222222222222222</x:v>
      </x:c>
      <x:c r="AB1227" s="28" t="n">
        <x:f>J1227-K1227</x:f>
        <x:v>0</x:v>
      </x:c>
      <x:c r="AC1227" s="32" t="n">
        <x:f>F1227-G1227</x:f>
        <x:v>2</x:v>
      </x:c>
    </x:row>
    <x:row r="1228">
      <x:c r="A1228" s="4" t="str">
        <x:v>2022-23</x:v>
      </x:c>
      <x:c r="B1228" s="20" t="n">
        <x:v>44982</x:v>
      </x:c>
      <x:c r="C1228" s="4" t="str">
        <x:v>Bournemouth</x:v>
      </x:c>
      <x:c r="D1228" s="4" t="str">
        <x:v>Man City</x:v>
      </x:c>
      <x:c r="E1228" s="4" t="str">
        <x:v>Home</x:v>
      </x:c>
      <x:c r="F1228" s="28" t="n">
        <x:v>1</x:v>
      </x:c>
      <x:c r="G1228" s="28" t="n">
        <x:v>4</x:v>
      </x:c>
      <x:c r="H1228" s="28" t="n">
        <x:v>13</x:v>
      </x:c>
      <x:c r="I1228" s="28" t="n">
        <x:v>20</x:v>
      </x:c>
      <x:c r="J1228" s="28" t="n">
        <x:v>2</x:v>
      </x:c>
      <x:c r="K1228" s="28" t="n">
        <x:v>5</x:v>
      </x:c>
      <x:c r="L1228" s="28" t="n">
        <x:v>4</x:v>
      </x:c>
      <x:c r="M1228" s="28" t="n">
        <x:v>6</x:v>
      </x:c>
      <x:c r="N1228" s="28" t="n">
        <x:v>2</x:v>
      </x:c>
      <x:c r="O1228" s="28" t="n">
        <x:v>0</x:v>
      </x:c>
      <x:c r="P1228" s="28" t="n">
        <x:v>0</x:v>
      </x:c>
      <x:c r="Q1228" s="24" t="n">
        <x:f>IFERROR(J1228/H1228,0)</x:f>
        <x:v>0.15384615384615385</x:v>
      </x:c>
      <x:c r="R1228" s="24" t="n">
        <x:f>IFERROR(F1228/H1228,0)</x:f>
        <x:v>0.07692307692307693</x:v>
      </x:c>
      <x:c r="S1228" s="24" t="n">
        <x:f>IFERROR(F1228/J1228,0)</x:f>
        <x:v>0.5</x:v>
      </x:c>
      <x:c r="T1228" s="28" t="n">
        <x:f>H1228-I1228</x:f>
        <x:v>-7</x:v>
      </x:c>
      <x:c r="U1228" s="24" t="n">
        <x:f>IFERROR(J1228/H1228,0)-IFERROR(K1228/I1228,0)</x:f>
        <x:v>-0.09615384615384615</x:v>
      </x:c>
      <x:c r="V1228" s="24" t="n">
        <x:f>IFERROR(F1228/J1228,0)-IFERROR(G1228/K1228,0)</x:f>
        <x:v>-0.30000000000000004</x:v>
      </x:c>
      <x:c r="W1228" s="28" t="n">
        <x:f>L1228-M1228</x:f>
        <x:v>-2</x:v>
      </x:c>
      <x:c r="X1228" s="24" t="n">
        <x:f>IFERROR(K1228/I1228,0)</x:f>
        <x:v>0.25</x:v>
      </x:c>
      <x:c r="Y1228" s="24" t="n">
        <x:f>IFERROR(G1228/I1228,0)</x:f>
        <x:v>0.2</x:v>
      </x:c>
      <x:c r="Z1228" s="24" t="n">
        <x:f>IFERROR(G1228/K1228,0)</x:f>
        <x:v>0.8</x:v>
      </x:c>
      <x:c r="AA1228" s="24" t="n">
        <x:f>IFERROR(F1228/H1228,0)-IFERROR(G1228/I1228,0)</x:f>
        <x:v>-0.12307692307692308</x:v>
      </x:c>
      <x:c r="AB1228" s="28" t="n">
        <x:f>J1228-K1228</x:f>
        <x:v>-3</x:v>
      </x:c>
      <x:c r="AC1228" s="32" t="n">
        <x:f>F1228-G1228</x:f>
        <x:v>-3</x:v>
      </x:c>
    </x:row>
    <x:row r="1229">
      <x:c r="A1229" s="4" t="str">
        <x:v>2022-23</x:v>
      </x:c>
      <x:c r="B1229" s="20" t="n">
        <x:v>44982</x:v>
      </x:c>
      <x:c r="C1229" s="4" t="str">
        <x:v>Crystal Palace</x:v>
      </x:c>
      <x:c r="D1229" s="4" t="str">
        <x:v>Liverpool</x:v>
      </x:c>
      <x:c r="E1229" s="4" t="str">
        <x:v>Home</x:v>
      </x:c>
      <x:c r="F1229" s="28" t="n">
        <x:v>0</x:v>
      </x:c>
      <x:c r="G1229" s="28" t="n">
        <x:v>0</x:v>
      </x:c>
      <x:c r="H1229" s="28" t="n">
        <x:v>6</x:v>
      </x:c>
      <x:c r="I1229" s="28" t="n">
        <x:v>12</x:v>
      </x:c>
      <x:c r="J1229" s="28" t="n">
        <x:v>0</x:v>
      </x:c>
      <x:c r="K1229" s="28" t="n">
        <x:v>4</x:v>
      </x:c>
      <x:c r="L1229" s="28" t="n">
        <x:v>5</x:v>
      </x:c>
      <x:c r="M1229" s="28" t="n">
        <x:v>3</x:v>
      </x:c>
      <x:c r="N1229" s="28" t="n">
        <x:v>2</x:v>
      </x:c>
      <x:c r="O1229" s="28" t="n">
        <x:v>0</x:v>
      </x:c>
      <x:c r="P1229" s="28" t="n">
        <x:v>1</x:v>
      </x:c>
      <x:c r="Q1229" s="24" t="n">
        <x:f>IFERROR(J1229/H1229,0)</x:f>
        <x:v>0</x:v>
      </x:c>
      <x:c r="R1229" s="24" t="n">
        <x:f>IFERROR(F1229/H1229,0)</x:f>
        <x:v>0</x:v>
      </x:c>
      <x:c r="S1229" s="24" t="n">
        <x:f>IFERROR(F1229/J1229,0)</x:f>
        <x:v>0</x:v>
      </x:c>
      <x:c r="T1229" s="28" t="n">
        <x:f>H1229-I1229</x:f>
        <x:v>-6</x:v>
      </x:c>
      <x:c r="U1229" s="24" t="n">
        <x:f>IFERROR(J1229/H1229,0)-IFERROR(K1229/I1229,0)</x:f>
        <x:v>-0.3333333333333333</x:v>
      </x:c>
      <x:c r="V1229" s="24" t="n">
        <x:f>IFERROR(F1229/J1229,0)-IFERROR(G1229/K1229,0)</x:f>
        <x:v>0</x:v>
      </x:c>
      <x:c r="W1229" s="28" t="n">
        <x:f>L1229-M1229</x:f>
        <x:v>2</x:v>
      </x:c>
      <x:c r="X1229" s="24" t="n">
        <x:f>IFERROR(K1229/I1229,0)</x:f>
        <x:v>0.3333333333333333</x:v>
      </x:c>
      <x:c r="Y1229" s="24" t="n">
        <x:f>IFERROR(G1229/I1229,0)</x:f>
        <x:v>0</x:v>
      </x:c>
      <x:c r="Z1229" s="24" t="n">
        <x:f>IFERROR(G1229/K1229,0)</x:f>
        <x:v>0</x:v>
      </x:c>
      <x:c r="AA1229" s="24" t="n">
        <x:f>IFERROR(F1229/H1229,0)-IFERROR(G1229/I1229,0)</x:f>
        <x:v>0</x:v>
      </x:c>
      <x:c r="AB1229" s="28" t="n">
        <x:f>J1229-K1229</x:f>
        <x:v>-4</x:v>
      </x:c>
      <x:c r="AC1229" s="32" t="n">
        <x:f>F1229-G1229</x:f>
        <x:v>0</x:v>
      </x:c>
    </x:row>
    <x:row r="1230">
      <x:c r="A1230" s="4" t="str">
        <x:v>2022-23</x:v>
      </x:c>
      <x:c r="B1230" s="20" t="n">
        <x:v>44982</x:v>
      </x:c>
      <x:c r="C1230" s="4" t="str">
        <x:v>Everton</x:v>
      </x:c>
      <x:c r="D1230" s="4" t="str">
        <x:v>Aston Villa</x:v>
      </x:c>
      <x:c r="E1230" s="4" t="str">
        <x:v>Home</x:v>
      </x:c>
      <x:c r="F1230" s="28" t="n">
        <x:v>0</x:v>
      </x:c>
      <x:c r="G1230" s="28" t="n">
        <x:v>2</x:v>
      </x:c>
      <x:c r="H1230" s="28" t="n">
        <x:v>15</x:v>
      </x:c>
      <x:c r="I1230" s="28" t="n">
        <x:v>9</x:v>
      </x:c>
      <x:c r="J1230" s="28" t="n">
        <x:v>5</x:v>
      </x:c>
      <x:c r="K1230" s="28" t="n">
        <x:v>5</x:v>
      </x:c>
      <x:c r="L1230" s="28" t="n">
        <x:v>5</x:v>
      </x:c>
      <x:c r="M1230" s="28" t="n">
        <x:v>1</x:v>
      </x:c>
      <x:c r="N1230" s="28" t="n">
        <x:v>2</x:v>
      </x:c>
      <x:c r="O1230" s="28" t="n">
        <x:v>0</x:v>
      </x:c>
      <x:c r="P1230" s="28" t="n">
        <x:v>0</x:v>
      </x:c>
      <x:c r="Q1230" s="24" t="n">
        <x:f>IFERROR(J1230/H1230,0)</x:f>
        <x:v>0.3333333333333333</x:v>
      </x:c>
      <x:c r="R1230" s="24" t="n">
        <x:f>IFERROR(F1230/H1230,0)</x:f>
        <x:v>0</x:v>
      </x:c>
      <x:c r="S1230" s="24" t="n">
        <x:f>IFERROR(F1230/J1230,0)</x:f>
        <x:v>0</x:v>
      </x:c>
      <x:c r="T1230" s="28" t="n">
        <x:f>H1230-I1230</x:f>
        <x:v>6</x:v>
      </x:c>
      <x:c r="U1230" s="24" t="n">
        <x:f>IFERROR(J1230/H1230,0)-IFERROR(K1230/I1230,0)</x:f>
        <x:v>-0.22222222222222227</x:v>
      </x:c>
      <x:c r="V1230" s="24" t="n">
        <x:f>IFERROR(F1230/J1230,0)-IFERROR(G1230/K1230,0)</x:f>
        <x:v>-0.4</x:v>
      </x:c>
      <x:c r="W1230" s="28" t="n">
        <x:f>L1230-M1230</x:f>
        <x:v>4</x:v>
      </x:c>
      <x:c r="X1230" s="24" t="n">
        <x:f>IFERROR(K1230/I1230,0)</x:f>
        <x:v>0.5555555555555556</x:v>
      </x:c>
      <x:c r="Y1230" s="24" t="n">
        <x:f>IFERROR(G1230/I1230,0)</x:f>
        <x:v>0.2222222222222222</x:v>
      </x:c>
      <x:c r="Z1230" s="24" t="n">
        <x:f>IFERROR(G1230/K1230,0)</x:f>
        <x:v>0.4</x:v>
      </x:c>
      <x:c r="AA1230" s="24" t="n">
        <x:f>IFERROR(F1230/H1230,0)-IFERROR(G1230/I1230,0)</x:f>
        <x:v>-0.2222222222222222</x:v>
      </x:c>
      <x:c r="AB1230" s="28" t="n">
        <x:f>J1230-K1230</x:f>
        <x:v>0</x:v>
      </x:c>
      <x:c r="AC1230" s="32" t="n">
        <x:f>F1230-G1230</x:f>
        <x:v>-2</x:v>
      </x:c>
    </x:row>
    <x:row r="1231">
      <x:c r="A1231" s="4" t="str">
        <x:v>2022-23</x:v>
      </x:c>
      <x:c r="B1231" s="20" t="n">
        <x:v>44982</x:v>
      </x:c>
      <x:c r="C1231" s="4" t="str">
        <x:v>Leeds</x:v>
      </x:c>
      <x:c r="D1231" s="4" t="str">
        <x:v>Southampton</x:v>
      </x:c>
      <x:c r="E1231" s="4" t="str">
        <x:v>Home</x:v>
      </x:c>
      <x:c r="F1231" s="28" t="n">
        <x:v>1</x:v>
      </x:c>
      <x:c r="G1231" s="28" t="n">
        <x:v>0</x:v>
      </x:c>
      <x:c r="H1231" s="28" t="n">
        <x:v>14</x:v>
      </x:c>
      <x:c r="I1231" s="28" t="n">
        <x:v>8</x:v>
      </x:c>
      <x:c r="J1231" s="28" t="n">
        <x:v>4</x:v>
      </x:c>
      <x:c r="K1231" s="28" t="n">
        <x:v>2</x:v>
      </x:c>
      <x:c r="L1231" s="28" t="n">
        <x:v>9</x:v>
      </x:c>
      <x:c r="M1231" s="28" t="n">
        <x:v>2</x:v>
      </x:c>
      <x:c r="N1231" s="28" t="n">
        <x:v>2</x:v>
      </x:c>
      <x:c r="O1231" s="28" t="n">
        <x:v>0</x:v>
      </x:c>
      <x:c r="P1231" s="28" t="n">
        <x:v>3</x:v>
      </x:c>
      <x:c r="Q1231" s="24" t="n">
        <x:f>IFERROR(J1231/H1231,0)</x:f>
        <x:v>0.2857142857142857</x:v>
      </x:c>
      <x:c r="R1231" s="24" t="n">
        <x:f>IFERROR(F1231/H1231,0)</x:f>
        <x:v>0.07142857142857142</x:v>
      </x:c>
      <x:c r="S1231" s="24" t="n">
        <x:f>IFERROR(F1231/J1231,0)</x:f>
        <x:v>0.25</x:v>
      </x:c>
      <x:c r="T1231" s="28" t="n">
        <x:f>H1231-I1231</x:f>
        <x:v>6</x:v>
      </x:c>
      <x:c r="U1231" s="24" t="n">
        <x:f>IFERROR(J1231/H1231,0)-IFERROR(K1231/I1231,0)</x:f>
        <x:v>0.0357142857142857</x:v>
      </x:c>
      <x:c r="V1231" s="24" t="n">
        <x:f>IFERROR(F1231/J1231,0)-IFERROR(G1231/K1231,0)</x:f>
        <x:v>0.25</x:v>
      </x:c>
      <x:c r="W1231" s="28" t="n">
        <x:f>L1231-M1231</x:f>
        <x:v>7</x:v>
      </x:c>
      <x:c r="X1231" s="24" t="n">
        <x:f>IFERROR(K1231/I1231,0)</x:f>
        <x:v>0.25</x:v>
      </x:c>
      <x:c r="Y1231" s="24" t="n">
        <x:f>IFERROR(G1231/I1231,0)</x:f>
        <x:v>0</x:v>
      </x:c>
      <x:c r="Z1231" s="24" t="n">
        <x:f>IFERROR(G1231/K1231,0)</x:f>
        <x:v>0</x:v>
      </x:c>
      <x:c r="AA1231" s="24" t="n">
        <x:f>IFERROR(F1231/H1231,0)-IFERROR(G1231/I1231,0)</x:f>
        <x:v>0.07142857142857142</x:v>
      </x:c>
      <x:c r="AB1231" s="28" t="n">
        <x:f>J1231-K1231</x:f>
        <x:v>2</x:v>
      </x:c>
      <x:c r="AC1231" s="32" t="n">
        <x:f>F1231-G1231</x:f>
        <x:v>1</x:v>
      </x:c>
    </x:row>
    <x:row r="1232">
      <x:c r="A1232" s="4" t="str">
        <x:v>2022-23</x:v>
      </x:c>
      <x:c r="B1232" s="20" t="n">
        <x:v>44982</x:v>
      </x:c>
      <x:c r="C1232" s="4" t="str">
        <x:v>Leicester</x:v>
      </x:c>
      <x:c r="D1232" s="4" t="str">
        <x:v>Arsenal</x:v>
      </x:c>
      <x:c r="E1232" s="4" t="str">
        <x:v>Home</x:v>
      </x:c>
      <x:c r="F1232" s="28" t="n">
        <x:v>0</x:v>
      </x:c>
      <x:c r="G1232" s="28" t="n">
        <x:v>1</x:v>
      </x:c>
      <x:c r="H1232" s="28" t="n">
        <x:v>1</x:v>
      </x:c>
      <x:c r="I1232" s="28" t="n">
        <x:v>10</x:v>
      </x:c>
      <x:c r="J1232" s="28" t="n">
        <x:v>0</x:v>
      </x:c>
      <x:c r="K1232" s="28" t="n">
        <x:v>2</x:v>
      </x:c>
      <x:c r="L1232" s="28" t="n">
        <x:v>0</x:v>
      </x:c>
      <x:c r="M1232" s="28" t="n">
        <x:v>8</x:v>
      </x:c>
      <x:c r="N1232" s="28" t="n">
        <x:v>0</x:v>
      </x:c>
      <x:c r="O1232" s="28" t="n">
        <x:v>0</x:v>
      </x:c>
      <x:c r="P1232" s="28" t="n">
        <x:v>0</x:v>
      </x:c>
      <x:c r="Q1232" s="24" t="n">
        <x:f>IFERROR(J1232/H1232,0)</x:f>
        <x:v>0</x:v>
      </x:c>
      <x:c r="R1232" s="24" t="n">
        <x:f>IFERROR(F1232/H1232,0)</x:f>
        <x:v>0</x:v>
      </x:c>
      <x:c r="S1232" s="24" t="n">
        <x:f>IFERROR(F1232/J1232,0)</x:f>
        <x:v>0</x:v>
      </x:c>
      <x:c r="T1232" s="28" t="n">
        <x:f>H1232-I1232</x:f>
        <x:v>-9</x:v>
      </x:c>
      <x:c r="U1232" s="24" t="n">
        <x:f>IFERROR(J1232/H1232,0)-IFERROR(K1232/I1232,0)</x:f>
        <x:v>-0.2</x:v>
      </x:c>
      <x:c r="V1232" s="24" t="n">
        <x:f>IFERROR(F1232/J1232,0)-IFERROR(G1232/K1232,0)</x:f>
        <x:v>-0.5</x:v>
      </x:c>
      <x:c r="W1232" s="28" t="n">
        <x:f>L1232-M1232</x:f>
        <x:v>-8</x:v>
      </x:c>
      <x:c r="X1232" s="24" t="n">
        <x:f>IFERROR(K1232/I1232,0)</x:f>
        <x:v>0.2</x:v>
      </x:c>
      <x:c r="Y1232" s="24" t="n">
        <x:f>IFERROR(G1232/I1232,0)</x:f>
        <x:v>0.1</x:v>
      </x:c>
      <x:c r="Z1232" s="24" t="n">
        <x:f>IFERROR(G1232/K1232,0)</x:f>
        <x:v>0.5</x:v>
      </x:c>
      <x:c r="AA1232" s="24" t="n">
        <x:f>IFERROR(F1232/H1232,0)-IFERROR(G1232/I1232,0)</x:f>
        <x:v>-0.1</x:v>
      </x:c>
      <x:c r="AB1232" s="28" t="n">
        <x:f>J1232-K1232</x:f>
        <x:v>-2</x:v>
      </x:c>
      <x:c r="AC1232" s="32" t="n">
        <x:f>F1232-G1232</x:f>
        <x:v>-1</x:v>
      </x:c>
    </x:row>
    <x:row r="1233">
      <x:c r="A1233" s="4" t="str">
        <x:v>2022-23</x:v>
      </x:c>
      <x:c r="B1233" s="20" t="n">
        <x:v>44982</x:v>
      </x:c>
      <x:c r="C1233" s="4" t="str">
        <x:v>Liverpool</x:v>
      </x:c>
      <x:c r="D1233" s="4" t="str">
        <x:v>Crystal Palace</x:v>
      </x:c>
      <x:c r="E1233" s="4" t="str">
        <x:v>Away</x:v>
      </x:c>
      <x:c r="F1233" s="28" t="n">
        <x:v>0</x:v>
      </x:c>
      <x:c r="G1233" s="28" t="n">
        <x:v>0</x:v>
      </x:c>
      <x:c r="H1233" s="28" t="n">
        <x:v>12</x:v>
      </x:c>
      <x:c r="I1233" s="28" t="n">
        <x:v>6</x:v>
      </x:c>
      <x:c r="J1233" s="28" t="n">
        <x:v>4</x:v>
      </x:c>
      <x:c r="K1233" s="28" t="n">
        <x:v>0</x:v>
      </x:c>
      <x:c r="L1233" s="28" t="n">
        <x:v>3</x:v>
      </x:c>
      <x:c r="M1233" s="28" t="n">
        <x:v>5</x:v>
      </x:c>
      <x:c r="N1233" s="28" t="n">
        <x:v>5</x:v>
      </x:c>
      <x:c r="O1233" s="28" t="n">
        <x:v>0</x:v>
      </x:c>
      <x:c r="P1233" s="28" t="n">
        <x:v>1</x:v>
      </x:c>
      <x:c r="Q1233" s="24" t="n">
        <x:f>IFERROR(J1233/H1233,0)</x:f>
        <x:v>0.3333333333333333</x:v>
      </x:c>
      <x:c r="R1233" s="24" t="n">
        <x:f>IFERROR(F1233/H1233,0)</x:f>
        <x:v>0</x:v>
      </x:c>
      <x:c r="S1233" s="24" t="n">
        <x:f>IFERROR(F1233/J1233,0)</x:f>
        <x:v>0</x:v>
      </x:c>
      <x:c r="T1233" s="28" t="n">
        <x:f>H1233-I1233</x:f>
        <x:v>6</x:v>
      </x:c>
      <x:c r="U1233" s="24" t="n">
        <x:f>IFERROR(J1233/H1233,0)-IFERROR(K1233/I1233,0)</x:f>
        <x:v>0.3333333333333333</x:v>
      </x:c>
      <x:c r="V1233" s="24" t="n">
        <x:f>IFERROR(F1233/J1233,0)-IFERROR(G1233/K1233,0)</x:f>
        <x:v>0</x:v>
      </x:c>
      <x:c r="W1233" s="28" t="n">
        <x:f>L1233-M1233</x:f>
        <x:v>-2</x:v>
      </x:c>
      <x:c r="X1233" s="24" t="n">
        <x:f>IFERROR(K1233/I1233,0)</x:f>
        <x:v>0</x:v>
      </x:c>
      <x:c r="Y1233" s="24" t="n">
        <x:f>IFERROR(G1233/I1233,0)</x:f>
        <x:v>0</x:v>
      </x:c>
      <x:c r="Z1233" s="24" t="n">
        <x:f>IFERROR(G1233/K1233,0)</x:f>
        <x:v>0</x:v>
      </x:c>
      <x:c r="AA1233" s="24" t="n">
        <x:f>IFERROR(F1233/H1233,0)-IFERROR(G1233/I1233,0)</x:f>
        <x:v>0</x:v>
      </x:c>
      <x:c r="AB1233" s="28" t="n">
        <x:f>J1233-K1233</x:f>
        <x:v>4</x:v>
      </x:c>
      <x:c r="AC1233" s="32" t="n">
        <x:f>F1233-G1233</x:f>
        <x:v>0</x:v>
      </x:c>
    </x:row>
    <x:row r="1234">
      <x:c r="A1234" s="4" t="str">
        <x:v>2022-23</x:v>
      </x:c>
      <x:c r="B1234" s="20" t="n">
        <x:v>44982</x:v>
      </x:c>
      <x:c r="C1234" s="4" t="str">
        <x:v>Man City</x:v>
      </x:c>
      <x:c r="D1234" s="4" t="str">
        <x:v>Bournemouth</x:v>
      </x:c>
      <x:c r="E1234" s="4" t="str">
        <x:v>Away</x:v>
      </x:c>
      <x:c r="F1234" s="28" t="n">
        <x:v>4</x:v>
      </x:c>
      <x:c r="G1234" s="28" t="n">
        <x:v>1</x:v>
      </x:c>
      <x:c r="H1234" s="28" t="n">
        <x:v>20</x:v>
      </x:c>
      <x:c r="I1234" s="28" t="n">
        <x:v>13</x:v>
      </x:c>
      <x:c r="J1234" s="28" t="n">
        <x:v>5</x:v>
      </x:c>
      <x:c r="K1234" s="28" t="n">
        <x:v>2</x:v>
      </x:c>
      <x:c r="L1234" s="28" t="n">
        <x:v>6</x:v>
      </x:c>
      <x:c r="M1234" s="28" t="n">
        <x:v>4</x:v>
      </x:c>
      <x:c r="N1234" s="28" t="n">
        <x:v>2</x:v>
      </x:c>
      <x:c r="O1234" s="28" t="n">
        <x:v>0</x:v>
      </x:c>
      <x:c r="P1234" s="28" t="n">
        <x:v>3</x:v>
      </x:c>
      <x:c r="Q1234" s="24" t="n">
        <x:f>IFERROR(J1234/H1234,0)</x:f>
        <x:v>0.25</x:v>
      </x:c>
      <x:c r="R1234" s="24" t="n">
        <x:f>IFERROR(F1234/H1234,0)</x:f>
        <x:v>0.2</x:v>
      </x:c>
      <x:c r="S1234" s="24" t="n">
        <x:f>IFERROR(F1234/J1234,0)</x:f>
        <x:v>0.8</x:v>
      </x:c>
      <x:c r="T1234" s="28" t="n">
        <x:f>H1234-I1234</x:f>
        <x:v>7</x:v>
      </x:c>
      <x:c r="U1234" s="24" t="n">
        <x:f>IFERROR(J1234/H1234,0)-IFERROR(K1234/I1234,0)</x:f>
        <x:v>0.09615384615384615</x:v>
      </x:c>
      <x:c r="V1234" s="24" t="n">
        <x:f>IFERROR(F1234/J1234,0)-IFERROR(G1234/K1234,0)</x:f>
        <x:v>0.30000000000000004</x:v>
      </x:c>
      <x:c r="W1234" s="28" t="n">
        <x:f>L1234-M1234</x:f>
        <x:v>2</x:v>
      </x:c>
      <x:c r="X1234" s="24" t="n">
        <x:f>IFERROR(K1234/I1234,0)</x:f>
        <x:v>0.15384615384615385</x:v>
      </x:c>
      <x:c r="Y1234" s="24" t="n">
        <x:f>IFERROR(G1234/I1234,0)</x:f>
        <x:v>0.07692307692307693</x:v>
      </x:c>
      <x:c r="Z1234" s="24" t="n">
        <x:f>IFERROR(G1234/K1234,0)</x:f>
        <x:v>0.5</x:v>
      </x:c>
      <x:c r="AA1234" s="24" t="n">
        <x:f>IFERROR(F1234/H1234,0)-IFERROR(G1234/I1234,0)</x:f>
        <x:v>0.12307692307692308</x:v>
      </x:c>
      <x:c r="AB1234" s="28" t="n">
        <x:f>J1234-K1234</x:f>
        <x:v>3</x:v>
      </x:c>
      <x:c r="AC1234" s="32" t="n">
        <x:f>F1234-G1234</x:f>
        <x:v>3</x:v>
      </x:c>
    </x:row>
    <x:row r="1235">
      <x:c r="A1235" s="4" t="str">
        <x:v>2022-23</x:v>
      </x:c>
      <x:c r="B1235" s="20" t="n">
        <x:v>44982</x:v>
      </x:c>
      <x:c r="C1235" s="4" t="str">
        <x:v>Nott'm Forest</x:v>
      </x:c>
      <x:c r="D1235" s="4" t="str">
        <x:v>West Ham</x:v>
      </x:c>
      <x:c r="E1235" s="4" t="str">
        <x:v>Away</x:v>
      </x:c>
      <x:c r="F1235" s="28" t="n">
        <x:v>0</x:v>
      </x:c>
      <x:c r="G1235" s="28" t="n">
        <x:v>4</x:v>
      </x:c>
      <x:c r="H1235" s="28" t="n">
        <x:v>8</x:v>
      </x:c>
      <x:c r="I1235" s="28" t="n">
        <x:v>18</x:v>
      </x:c>
      <x:c r="J1235" s="28" t="n">
        <x:v>3</x:v>
      </x:c>
      <x:c r="K1235" s="28" t="n">
        <x:v>5</x:v>
      </x:c>
      <x:c r="L1235" s="28" t="n">
        <x:v>3</x:v>
      </x:c>
      <x:c r="M1235" s="28" t="n">
        <x:v>12</x:v>
      </x:c>
      <x:c r="N1235" s="28" t="n">
        <x:v>0</x:v>
      </x:c>
      <x:c r="O1235" s="28" t="n">
        <x:v>0</x:v>
      </x:c>
      <x:c r="P1235" s="28" t="n">
        <x:v>0</x:v>
      </x:c>
      <x:c r="Q1235" s="24" t="n">
        <x:f>IFERROR(J1235/H1235,0)</x:f>
        <x:v>0.375</x:v>
      </x:c>
      <x:c r="R1235" s="24" t="n">
        <x:f>IFERROR(F1235/H1235,0)</x:f>
        <x:v>0</x:v>
      </x:c>
      <x:c r="S1235" s="24" t="n">
        <x:f>IFERROR(F1235/J1235,0)</x:f>
        <x:v>0</x:v>
      </x:c>
      <x:c r="T1235" s="28" t="n">
        <x:f>H1235-I1235</x:f>
        <x:v>-10</x:v>
      </x:c>
      <x:c r="U1235" s="24" t="n">
        <x:f>IFERROR(J1235/H1235,0)-IFERROR(K1235/I1235,0)</x:f>
        <x:v>0.09722222222222221</x:v>
      </x:c>
      <x:c r="V1235" s="24" t="n">
        <x:f>IFERROR(F1235/J1235,0)-IFERROR(G1235/K1235,0)</x:f>
        <x:v>-0.8</x:v>
      </x:c>
      <x:c r="W1235" s="28" t="n">
        <x:f>L1235-M1235</x:f>
        <x:v>-9</x:v>
      </x:c>
      <x:c r="X1235" s="24" t="n">
        <x:f>IFERROR(K1235/I1235,0)</x:f>
        <x:v>0.2777777777777778</x:v>
      </x:c>
      <x:c r="Y1235" s="24" t="n">
        <x:f>IFERROR(G1235/I1235,0)</x:f>
        <x:v>0.2222222222222222</x:v>
      </x:c>
      <x:c r="Z1235" s="24" t="n">
        <x:f>IFERROR(G1235/K1235,0)</x:f>
        <x:v>0.8</x:v>
      </x:c>
      <x:c r="AA1235" s="24" t="n">
        <x:f>IFERROR(F1235/H1235,0)-IFERROR(G1235/I1235,0)</x:f>
        <x:v>-0.2222222222222222</x:v>
      </x:c>
      <x:c r="AB1235" s="28" t="n">
        <x:f>J1235-K1235</x:f>
        <x:v>-2</x:v>
      </x:c>
      <x:c r="AC1235" s="32" t="n">
        <x:f>F1235-G1235</x:f>
        <x:v>-4</x:v>
      </x:c>
    </x:row>
    <x:row r="1236">
      <x:c r="A1236" s="4" t="str">
        <x:v>2022-23</x:v>
      </x:c>
      <x:c r="B1236" s="20" t="n">
        <x:v>44982</x:v>
      </x:c>
      <x:c r="C1236" s="4" t="str">
        <x:v>Southampton</x:v>
      </x:c>
      <x:c r="D1236" s="4" t="str">
        <x:v>Leeds</x:v>
      </x:c>
      <x:c r="E1236" s="4" t="str">
        <x:v>Away</x:v>
      </x:c>
      <x:c r="F1236" s="28" t="n">
        <x:v>0</x:v>
      </x:c>
      <x:c r="G1236" s="28" t="n">
        <x:v>1</x:v>
      </x:c>
      <x:c r="H1236" s="28" t="n">
        <x:v>8</x:v>
      </x:c>
      <x:c r="I1236" s="28" t="n">
        <x:v>14</x:v>
      </x:c>
      <x:c r="J1236" s="28" t="n">
        <x:v>2</x:v>
      </x:c>
      <x:c r="K1236" s="28" t="n">
        <x:v>4</x:v>
      </x:c>
      <x:c r="L1236" s="28" t="n">
        <x:v>2</x:v>
      </x:c>
      <x:c r="M1236" s="28" t="n">
        <x:v>9</x:v>
      </x:c>
      <x:c r="N1236" s="28" t="n">
        <x:v>4</x:v>
      </x:c>
      <x:c r="O1236" s="28" t="n">
        <x:v>0</x:v>
      </x:c>
      <x:c r="P1236" s="28" t="n">
        <x:v>0</x:v>
      </x:c>
      <x:c r="Q1236" s="24" t="n">
        <x:f>IFERROR(J1236/H1236,0)</x:f>
        <x:v>0.25</x:v>
      </x:c>
      <x:c r="R1236" s="24" t="n">
        <x:f>IFERROR(F1236/H1236,0)</x:f>
        <x:v>0</x:v>
      </x:c>
      <x:c r="S1236" s="24" t="n">
        <x:f>IFERROR(F1236/J1236,0)</x:f>
        <x:v>0</x:v>
      </x:c>
      <x:c r="T1236" s="28" t="n">
        <x:f>H1236-I1236</x:f>
        <x:v>-6</x:v>
      </x:c>
      <x:c r="U1236" s="24" t="n">
        <x:f>IFERROR(J1236/H1236,0)-IFERROR(K1236/I1236,0)</x:f>
        <x:v>-0.0357142857142857</x:v>
      </x:c>
      <x:c r="V1236" s="24" t="n">
        <x:f>IFERROR(F1236/J1236,0)-IFERROR(G1236/K1236,0)</x:f>
        <x:v>-0.25</x:v>
      </x:c>
      <x:c r="W1236" s="28" t="n">
        <x:f>L1236-M1236</x:f>
        <x:v>-7</x:v>
      </x:c>
      <x:c r="X1236" s="24" t="n">
        <x:f>IFERROR(K1236/I1236,0)</x:f>
        <x:v>0.2857142857142857</x:v>
      </x:c>
      <x:c r="Y1236" s="24" t="n">
        <x:f>IFERROR(G1236/I1236,0)</x:f>
        <x:v>0.07142857142857142</x:v>
      </x:c>
      <x:c r="Z1236" s="24" t="n">
        <x:f>IFERROR(G1236/K1236,0)</x:f>
        <x:v>0.25</x:v>
      </x:c>
      <x:c r="AA1236" s="24" t="n">
        <x:f>IFERROR(F1236/H1236,0)-IFERROR(G1236/I1236,0)</x:f>
        <x:v>-0.07142857142857142</x:v>
      </x:c>
      <x:c r="AB1236" s="28" t="n">
        <x:f>J1236-K1236</x:f>
        <x:v>-2</x:v>
      </x:c>
      <x:c r="AC1236" s="32" t="n">
        <x:f>F1236-G1236</x:f>
        <x:v>-1</x:v>
      </x:c>
    </x:row>
    <x:row r="1237">
      <x:c r="A1237" s="4" t="str">
        <x:v>2022-23</x:v>
      </x:c>
      <x:c r="B1237" s="20" t="n">
        <x:v>44982</x:v>
      </x:c>
      <x:c r="C1237" s="4" t="str">
        <x:v>West Ham</x:v>
      </x:c>
      <x:c r="D1237" s="4" t="str">
        <x:v>Nott'm Forest</x:v>
      </x:c>
      <x:c r="E1237" s="4" t="str">
        <x:v>Home</x:v>
      </x:c>
      <x:c r="F1237" s="28" t="n">
        <x:v>4</x:v>
      </x:c>
      <x:c r="G1237" s="28" t="n">
        <x:v>0</x:v>
      </x:c>
      <x:c r="H1237" s="28" t="n">
        <x:v>18</x:v>
      </x:c>
      <x:c r="I1237" s="28" t="n">
        <x:v>8</x:v>
      </x:c>
      <x:c r="J1237" s="28" t="n">
        <x:v>5</x:v>
      </x:c>
      <x:c r="K1237" s="28" t="n">
        <x:v>3</x:v>
      </x:c>
      <x:c r="L1237" s="28" t="n">
        <x:v>12</x:v>
      </x:c>
      <x:c r="M1237" s="28" t="n">
        <x:v>3</x:v>
      </x:c>
      <x:c r="N1237" s="28" t="n">
        <x:v>0</x:v>
      </x:c>
      <x:c r="O1237" s="28" t="n">
        <x:v>0</x:v>
      </x:c>
      <x:c r="P1237" s="28" t="n">
        <x:v>3</x:v>
      </x:c>
      <x:c r="Q1237" s="24" t="n">
        <x:f>IFERROR(J1237/H1237,0)</x:f>
        <x:v>0.2777777777777778</x:v>
      </x:c>
      <x:c r="R1237" s="24" t="n">
        <x:f>IFERROR(F1237/H1237,0)</x:f>
        <x:v>0.2222222222222222</x:v>
      </x:c>
      <x:c r="S1237" s="24" t="n">
        <x:f>IFERROR(F1237/J1237,0)</x:f>
        <x:v>0.8</x:v>
      </x:c>
      <x:c r="T1237" s="28" t="n">
        <x:f>H1237-I1237</x:f>
        <x:v>10</x:v>
      </x:c>
      <x:c r="U1237" s="24" t="n">
        <x:f>IFERROR(J1237/H1237,0)-IFERROR(K1237/I1237,0)</x:f>
        <x:v>-0.09722222222222221</x:v>
      </x:c>
      <x:c r="V1237" s="24" t="n">
        <x:f>IFERROR(F1237/J1237,0)-IFERROR(G1237/K1237,0)</x:f>
        <x:v>0.8</x:v>
      </x:c>
      <x:c r="W1237" s="28" t="n">
        <x:f>L1237-M1237</x:f>
        <x:v>9</x:v>
      </x:c>
      <x:c r="X1237" s="24" t="n">
        <x:f>IFERROR(K1237/I1237,0)</x:f>
        <x:v>0.375</x:v>
      </x:c>
      <x:c r="Y1237" s="24" t="n">
        <x:f>IFERROR(G1237/I1237,0)</x:f>
        <x:v>0</x:v>
      </x:c>
      <x:c r="Z1237" s="24" t="n">
        <x:f>IFERROR(G1237/K1237,0)</x:f>
        <x:v>0</x:v>
      </x:c>
      <x:c r="AA1237" s="24" t="n">
        <x:f>IFERROR(F1237/H1237,0)-IFERROR(G1237/I1237,0)</x:f>
        <x:v>0.2222222222222222</x:v>
      </x:c>
      <x:c r="AB1237" s="28" t="n">
        <x:f>J1237-K1237</x:f>
        <x:v>2</x:v>
      </x:c>
      <x:c r="AC1237" s="32" t="n">
        <x:f>F1237-G1237</x:f>
        <x:v>4</x:v>
      </x:c>
    </x:row>
    <x:row r="1238">
      <x:c r="A1238" s="4" t="str">
        <x:v>2022-23</x:v>
      </x:c>
      <x:c r="B1238" s="20" t="n">
        <x:v>44983</x:v>
      </x:c>
      <x:c r="C1238" s="4" t="str">
        <x:v>Chelsea</x:v>
      </x:c>
      <x:c r="D1238" s="4" t="str">
        <x:v>Tottenham</x:v>
      </x:c>
      <x:c r="E1238" s="4" t="str">
        <x:v>Away</x:v>
      </x:c>
      <x:c r="F1238" s="28" t="n">
        <x:v>0</x:v>
      </x:c>
      <x:c r="G1238" s="28" t="n">
        <x:v>2</x:v>
      </x:c>
      <x:c r="H1238" s="28" t="n">
        <x:v>10</x:v>
      </x:c>
      <x:c r="I1238" s="28" t="n">
        <x:v>8</x:v>
      </x:c>
      <x:c r="J1238" s="28" t="n">
        <x:v>2</x:v>
      </x:c>
      <x:c r="K1238" s="28" t="n">
        <x:v>3</x:v>
      </x:c>
      <x:c r="L1238" s="28" t="n">
        <x:v>4</x:v>
      </x:c>
      <x:c r="M1238" s="28" t="n">
        <x:v>4</x:v>
      </x:c>
      <x:c r="N1238" s="28" t="n">
        <x:v>3</x:v>
      </x:c>
      <x:c r="O1238" s="28" t="n">
        <x:v>0</x:v>
      </x:c>
      <x:c r="P1238" s="28" t="n">
        <x:v>0</x:v>
      </x:c>
      <x:c r="Q1238" s="24" t="n">
        <x:f>IFERROR(J1238/H1238,0)</x:f>
        <x:v>0.2</x:v>
      </x:c>
      <x:c r="R1238" s="24" t="n">
        <x:f>IFERROR(F1238/H1238,0)</x:f>
        <x:v>0</x:v>
      </x:c>
      <x:c r="S1238" s="24" t="n">
        <x:f>IFERROR(F1238/J1238,0)</x:f>
        <x:v>0</x:v>
      </x:c>
      <x:c r="T1238" s="28" t="n">
        <x:f>H1238-I1238</x:f>
        <x:v>2</x:v>
      </x:c>
      <x:c r="U1238" s="24" t="n">
        <x:f>IFERROR(J1238/H1238,0)-IFERROR(K1238/I1238,0)</x:f>
        <x:v>-0.175</x:v>
      </x:c>
      <x:c r="V1238" s="24" t="n">
        <x:f>IFERROR(F1238/J1238,0)-IFERROR(G1238/K1238,0)</x:f>
        <x:v>-0.6666666666666666</x:v>
      </x:c>
      <x:c r="W1238" s="28" t="n">
        <x:f>L1238-M1238</x:f>
        <x:v>0</x:v>
      </x:c>
      <x:c r="X1238" s="24" t="n">
        <x:f>IFERROR(K1238/I1238,0)</x:f>
        <x:v>0.375</x:v>
      </x:c>
      <x:c r="Y1238" s="24" t="n">
        <x:f>IFERROR(G1238/I1238,0)</x:f>
        <x:v>0.25</x:v>
      </x:c>
      <x:c r="Z1238" s="24" t="n">
        <x:f>IFERROR(G1238/K1238,0)</x:f>
        <x:v>0.6666666666666666</x:v>
      </x:c>
      <x:c r="AA1238" s="24" t="n">
        <x:f>IFERROR(F1238/H1238,0)-IFERROR(G1238/I1238,0)</x:f>
        <x:v>-0.25</x:v>
      </x:c>
      <x:c r="AB1238" s="28" t="n">
        <x:f>J1238-K1238</x:f>
        <x:v>-1</x:v>
      </x:c>
      <x:c r="AC1238" s="32" t="n">
        <x:f>F1238-G1238</x:f>
        <x:v>-2</x:v>
      </x:c>
    </x:row>
    <x:row r="1239">
      <x:c r="A1239" s="4" t="str">
        <x:v>2022-23</x:v>
      </x:c>
      <x:c r="B1239" s="20" t="n">
        <x:v>44983</x:v>
      </x:c>
      <x:c r="C1239" s="4" t="str">
        <x:v>Tottenham</x:v>
      </x:c>
      <x:c r="D1239" s="4" t="str">
        <x:v>Chelsea</x:v>
      </x:c>
      <x:c r="E1239" s="4" t="str">
        <x:v>Home</x:v>
      </x:c>
      <x:c r="F1239" s="28" t="n">
        <x:v>2</x:v>
      </x:c>
      <x:c r="G1239" s="28" t="n">
        <x:v>0</x:v>
      </x:c>
      <x:c r="H1239" s="28" t="n">
        <x:v>8</x:v>
      </x:c>
      <x:c r="I1239" s="28" t="n">
        <x:v>10</x:v>
      </x:c>
      <x:c r="J1239" s="28" t="n">
        <x:v>3</x:v>
      </x:c>
      <x:c r="K1239" s="28" t="n">
        <x:v>2</x:v>
      </x:c>
      <x:c r="L1239" s="28" t="n">
        <x:v>4</x:v>
      </x:c>
      <x:c r="M1239" s="28" t="n">
        <x:v>4</x:v>
      </x:c>
      <x:c r="N1239" s="28" t="n">
        <x:v>2</x:v>
      </x:c>
      <x:c r="O1239" s="28" t="n">
        <x:v>0</x:v>
      </x:c>
      <x:c r="P1239" s="28" t="n">
        <x:v>3</x:v>
      </x:c>
      <x:c r="Q1239" s="24" t="n">
        <x:f>IFERROR(J1239/H1239,0)</x:f>
        <x:v>0.375</x:v>
      </x:c>
      <x:c r="R1239" s="24" t="n">
        <x:f>IFERROR(F1239/H1239,0)</x:f>
        <x:v>0.25</x:v>
      </x:c>
      <x:c r="S1239" s="24" t="n">
        <x:f>IFERROR(F1239/J1239,0)</x:f>
        <x:v>0.6666666666666666</x:v>
      </x:c>
      <x:c r="T1239" s="28" t="n">
        <x:f>H1239-I1239</x:f>
        <x:v>-2</x:v>
      </x:c>
      <x:c r="U1239" s="24" t="n">
        <x:f>IFERROR(J1239/H1239,0)-IFERROR(K1239/I1239,0)</x:f>
        <x:v>0.175</x:v>
      </x:c>
      <x:c r="V1239" s="24" t="n">
        <x:f>IFERROR(F1239/J1239,0)-IFERROR(G1239/K1239,0)</x:f>
        <x:v>0.6666666666666666</x:v>
      </x:c>
      <x:c r="W1239" s="28" t="n">
        <x:f>L1239-M1239</x:f>
        <x:v>0</x:v>
      </x:c>
      <x:c r="X1239" s="24" t="n">
        <x:f>IFERROR(K1239/I1239,0)</x:f>
        <x:v>0.2</x:v>
      </x:c>
      <x:c r="Y1239" s="24" t="n">
        <x:f>IFERROR(G1239/I1239,0)</x:f>
        <x:v>0</x:v>
      </x:c>
      <x:c r="Z1239" s="24" t="n">
        <x:f>IFERROR(G1239/K1239,0)</x:f>
        <x:v>0</x:v>
      </x:c>
      <x:c r="AA1239" s="24" t="n">
        <x:f>IFERROR(F1239/H1239,0)-IFERROR(G1239/I1239,0)</x:f>
        <x:v>0.25</x:v>
      </x:c>
      <x:c r="AB1239" s="28" t="n">
        <x:f>J1239-K1239</x:f>
        <x:v>1</x:v>
      </x:c>
      <x:c r="AC1239" s="32" t="n">
        <x:f>F1239-G1239</x:f>
        <x:v>2</x:v>
      </x:c>
    </x:row>
    <x:row r="1240">
      <x:c r="A1240" s="4" t="str">
        <x:v>2022-23</x:v>
      </x:c>
      <x:c r="B1240" s="20" t="n">
        <x:v>44986</x:v>
      </x:c>
      <x:c r="C1240" s="4" t="str">
        <x:v>Arsenal</x:v>
      </x:c>
      <x:c r="D1240" s="4" t="str">
        <x:v>Everton</x:v>
      </x:c>
      <x:c r="E1240" s="4" t="str">
        <x:v>Home</x:v>
      </x:c>
      <x:c r="F1240" s="28" t="n">
        <x:v>4</x:v>
      </x:c>
      <x:c r="G1240" s="28" t="n">
        <x:v>0</x:v>
      </x:c>
      <x:c r="H1240" s="28" t="n">
        <x:v>15</x:v>
      </x:c>
      <x:c r="I1240" s="28" t="n">
        <x:v>8</x:v>
      </x:c>
      <x:c r="J1240" s="28" t="n">
        <x:v>5</x:v>
      </x:c>
      <x:c r="K1240" s="28" t="n">
        <x:v>5</x:v>
      </x:c>
      <x:c r="L1240" s="28" t="n">
        <x:v>5</x:v>
      </x:c>
      <x:c r="M1240" s="28" t="n">
        <x:v>1</x:v>
      </x:c>
      <x:c r="N1240" s="28" t="n">
        <x:v>0</x:v>
      </x:c>
      <x:c r="O1240" s="28" t="n">
        <x:v>0</x:v>
      </x:c>
      <x:c r="P1240" s="28" t="n">
        <x:v>3</x:v>
      </x:c>
      <x:c r="Q1240" s="24" t="n">
        <x:f>IFERROR(J1240/H1240,0)</x:f>
        <x:v>0.3333333333333333</x:v>
      </x:c>
      <x:c r="R1240" s="24" t="n">
        <x:f>IFERROR(F1240/H1240,0)</x:f>
        <x:v>0.26666666666666666</x:v>
      </x:c>
      <x:c r="S1240" s="24" t="n">
        <x:f>IFERROR(F1240/J1240,0)</x:f>
        <x:v>0.8</x:v>
      </x:c>
      <x:c r="T1240" s="28" t="n">
        <x:f>H1240-I1240</x:f>
        <x:v>7</x:v>
      </x:c>
      <x:c r="U1240" s="24" t="n">
        <x:f>IFERROR(J1240/H1240,0)-IFERROR(K1240/I1240,0)</x:f>
        <x:v>-0.2916666666666667</x:v>
      </x:c>
      <x:c r="V1240" s="24" t="n">
        <x:f>IFERROR(F1240/J1240,0)-IFERROR(G1240/K1240,0)</x:f>
        <x:v>0.8</x:v>
      </x:c>
      <x:c r="W1240" s="28" t="n">
        <x:f>L1240-M1240</x:f>
        <x:v>4</x:v>
      </x:c>
      <x:c r="X1240" s="24" t="n">
        <x:f>IFERROR(K1240/I1240,0)</x:f>
        <x:v>0.625</x:v>
      </x:c>
      <x:c r="Y1240" s="24" t="n">
        <x:f>IFERROR(G1240/I1240,0)</x:f>
        <x:v>0</x:v>
      </x:c>
      <x:c r="Z1240" s="24" t="n">
        <x:f>IFERROR(G1240/K1240,0)</x:f>
        <x:v>0</x:v>
      </x:c>
      <x:c r="AA1240" s="24" t="n">
        <x:f>IFERROR(F1240/H1240,0)-IFERROR(G1240/I1240,0)</x:f>
        <x:v>0.26666666666666666</x:v>
      </x:c>
      <x:c r="AB1240" s="28" t="n">
        <x:f>J1240-K1240</x:f>
        <x:v>0</x:v>
      </x:c>
      <x:c r="AC1240" s="32" t="n">
        <x:f>F1240-G1240</x:f>
        <x:v>4</x:v>
      </x:c>
    </x:row>
    <x:row r="1241">
      <x:c r="A1241" s="4" t="str">
        <x:v>2022-23</x:v>
      </x:c>
      <x:c r="B1241" s="20" t="n">
        <x:v>44986</x:v>
      </x:c>
      <x:c r="C1241" s="4" t="str">
        <x:v>Everton</x:v>
      </x:c>
      <x:c r="D1241" s="4" t="str">
        <x:v>Arsenal</x:v>
      </x:c>
      <x:c r="E1241" s="4" t="str">
        <x:v>Away</x:v>
      </x:c>
      <x:c r="F1241" s="28" t="n">
        <x:v>0</x:v>
      </x:c>
      <x:c r="G1241" s="28" t="n">
        <x:v>4</x:v>
      </x:c>
      <x:c r="H1241" s="28" t="n">
        <x:v>8</x:v>
      </x:c>
      <x:c r="I1241" s="28" t="n">
        <x:v>15</x:v>
      </x:c>
      <x:c r="J1241" s="28" t="n">
        <x:v>5</x:v>
      </x:c>
      <x:c r="K1241" s="28" t="n">
        <x:v>5</x:v>
      </x:c>
      <x:c r="L1241" s="28" t="n">
        <x:v>1</x:v>
      </x:c>
      <x:c r="M1241" s="28" t="n">
        <x:v>5</x:v>
      </x:c>
      <x:c r="N1241" s="28" t="n">
        <x:v>2</x:v>
      </x:c>
      <x:c r="O1241" s="28" t="n">
        <x:v>0</x:v>
      </x:c>
      <x:c r="P1241" s="28" t="n">
        <x:v>0</x:v>
      </x:c>
      <x:c r="Q1241" s="24" t="n">
        <x:f>IFERROR(J1241/H1241,0)</x:f>
        <x:v>0.625</x:v>
      </x:c>
      <x:c r="R1241" s="24" t="n">
        <x:f>IFERROR(F1241/H1241,0)</x:f>
        <x:v>0</x:v>
      </x:c>
      <x:c r="S1241" s="24" t="n">
        <x:f>IFERROR(F1241/J1241,0)</x:f>
        <x:v>0</x:v>
      </x:c>
      <x:c r="T1241" s="28" t="n">
        <x:f>H1241-I1241</x:f>
        <x:v>-7</x:v>
      </x:c>
      <x:c r="U1241" s="24" t="n">
        <x:f>IFERROR(J1241/H1241,0)-IFERROR(K1241/I1241,0)</x:f>
        <x:v>0.2916666666666667</x:v>
      </x:c>
      <x:c r="V1241" s="24" t="n">
        <x:f>IFERROR(F1241/J1241,0)-IFERROR(G1241/K1241,0)</x:f>
        <x:v>-0.8</x:v>
      </x:c>
      <x:c r="W1241" s="28" t="n">
        <x:f>L1241-M1241</x:f>
        <x:v>-4</x:v>
      </x:c>
      <x:c r="X1241" s="24" t="n">
        <x:f>IFERROR(K1241/I1241,0)</x:f>
        <x:v>0.3333333333333333</x:v>
      </x:c>
      <x:c r="Y1241" s="24" t="n">
        <x:f>IFERROR(G1241/I1241,0)</x:f>
        <x:v>0.26666666666666666</x:v>
      </x:c>
      <x:c r="Z1241" s="24" t="n">
        <x:f>IFERROR(G1241/K1241,0)</x:f>
        <x:v>0.8</x:v>
      </x:c>
      <x:c r="AA1241" s="24" t="n">
        <x:f>IFERROR(F1241/H1241,0)-IFERROR(G1241/I1241,0)</x:f>
        <x:v>-0.26666666666666666</x:v>
      </x:c>
      <x:c r="AB1241" s="28" t="n">
        <x:f>J1241-K1241</x:f>
        <x:v>0</x:v>
      </x:c>
      <x:c r="AC1241" s="32" t="n">
        <x:f>F1241-G1241</x:f>
        <x:v>-4</x:v>
      </x:c>
    </x:row>
    <x:row r="1242">
      <x:c r="A1242" s="4" t="str">
        <x:v>2022-23</x:v>
      </x:c>
      <x:c r="B1242" s="20" t="n">
        <x:v>44986</x:v>
      </x:c>
      <x:c r="C1242" s="4" t="str">
        <x:v>Liverpool</x:v>
      </x:c>
      <x:c r="D1242" s="4" t="str">
        <x:v>Wolves</x:v>
      </x:c>
      <x:c r="E1242" s="4" t="str">
        <x:v>Home</x:v>
      </x:c>
      <x:c r="F1242" s="28" t="n">
        <x:v>2</x:v>
      </x:c>
      <x:c r="G1242" s="28" t="n">
        <x:v>0</x:v>
      </x:c>
      <x:c r="H1242" s="28" t="n">
        <x:v>15</x:v>
      </x:c>
      <x:c r="I1242" s="28" t="n">
        <x:v>4</x:v>
      </x:c>
      <x:c r="J1242" s="28" t="n">
        <x:v>6</x:v>
      </x:c>
      <x:c r="K1242" s="28" t="n">
        <x:v>1</x:v>
      </x:c>
      <x:c r="L1242" s="28" t="n">
        <x:v>5</x:v>
      </x:c>
      <x:c r="M1242" s="28" t="n">
        <x:v>2</x:v>
      </x:c>
      <x:c r="N1242" s="28" t="n">
        <x:v>2</x:v>
      </x:c>
      <x:c r="O1242" s="28" t="n">
        <x:v>0</x:v>
      </x:c>
      <x:c r="P1242" s="28" t="n">
        <x:v>3</x:v>
      </x:c>
      <x:c r="Q1242" s="24" t="n">
        <x:f>IFERROR(J1242/H1242,0)</x:f>
        <x:v>0.4</x:v>
      </x:c>
      <x:c r="R1242" s="24" t="n">
        <x:f>IFERROR(F1242/H1242,0)</x:f>
        <x:v>0.13333333333333333</x:v>
      </x:c>
      <x:c r="S1242" s="24" t="n">
        <x:f>IFERROR(F1242/J1242,0)</x:f>
        <x:v>0.3333333333333333</x:v>
      </x:c>
      <x:c r="T1242" s="28" t="n">
        <x:f>H1242-I1242</x:f>
        <x:v>11</x:v>
      </x:c>
      <x:c r="U1242" s="24" t="n">
        <x:f>IFERROR(J1242/H1242,0)-IFERROR(K1242/I1242,0)</x:f>
        <x:v>0.15000000000000002</x:v>
      </x:c>
      <x:c r="V1242" s="24" t="n">
        <x:f>IFERROR(F1242/J1242,0)-IFERROR(G1242/K1242,0)</x:f>
        <x:v>0.3333333333333333</x:v>
      </x:c>
      <x:c r="W1242" s="28" t="n">
        <x:f>L1242-M1242</x:f>
        <x:v>3</x:v>
      </x:c>
      <x:c r="X1242" s="24" t="n">
        <x:f>IFERROR(K1242/I1242,0)</x:f>
        <x:v>0.25</x:v>
      </x:c>
      <x:c r="Y1242" s="24" t="n">
        <x:f>IFERROR(G1242/I1242,0)</x:f>
        <x:v>0</x:v>
      </x:c>
      <x:c r="Z1242" s="24" t="n">
        <x:f>IFERROR(G1242/K1242,0)</x:f>
        <x:v>0</x:v>
      </x:c>
      <x:c r="AA1242" s="24" t="n">
        <x:f>IFERROR(F1242/H1242,0)-IFERROR(G1242/I1242,0)</x:f>
        <x:v>0.13333333333333333</x:v>
      </x:c>
      <x:c r="AB1242" s="28" t="n">
        <x:f>J1242-K1242</x:f>
        <x:v>5</x:v>
      </x:c>
      <x:c r="AC1242" s="32" t="n">
        <x:f>F1242-G1242</x:f>
        <x:v>2</x:v>
      </x:c>
    </x:row>
    <x:row r="1243">
      <x:c r="A1243" s="4" t="str">
        <x:v>2022-23</x:v>
      </x:c>
      <x:c r="B1243" s="20" t="n">
        <x:v>44986</x:v>
      </x:c>
      <x:c r="C1243" s="4" t="str">
        <x:v>Wolves</x:v>
      </x:c>
      <x:c r="D1243" s="4" t="str">
        <x:v>Liverpool</x:v>
      </x:c>
      <x:c r="E1243" s="4" t="str">
        <x:v>Away</x:v>
      </x:c>
      <x:c r="F1243" s="28" t="n">
        <x:v>0</x:v>
      </x:c>
      <x:c r="G1243" s="28" t="n">
        <x:v>2</x:v>
      </x:c>
      <x:c r="H1243" s="28" t="n">
        <x:v>4</x:v>
      </x:c>
      <x:c r="I1243" s="28" t="n">
        <x:v>15</x:v>
      </x:c>
      <x:c r="J1243" s="28" t="n">
        <x:v>1</x:v>
      </x:c>
      <x:c r="K1243" s="28" t="n">
        <x:v>6</x:v>
      </x:c>
      <x:c r="L1243" s="28" t="n">
        <x:v>2</x:v>
      </x:c>
      <x:c r="M1243" s="28" t="n">
        <x:v>5</x:v>
      </x:c>
      <x:c r="N1243" s="28" t="n">
        <x:v>3</x:v>
      </x:c>
      <x:c r="O1243" s="28" t="n">
        <x:v>0</x:v>
      </x:c>
      <x:c r="P1243" s="28" t="n">
        <x:v>0</x:v>
      </x:c>
      <x:c r="Q1243" s="24" t="n">
        <x:f>IFERROR(J1243/H1243,0)</x:f>
        <x:v>0.25</x:v>
      </x:c>
      <x:c r="R1243" s="24" t="n">
        <x:f>IFERROR(F1243/H1243,0)</x:f>
        <x:v>0</x:v>
      </x:c>
      <x:c r="S1243" s="24" t="n">
        <x:f>IFERROR(F1243/J1243,0)</x:f>
        <x:v>0</x:v>
      </x:c>
      <x:c r="T1243" s="28" t="n">
        <x:f>H1243-I1243</x:f>
        <x:v>-11</x:v>
      </x:c>
      <x:c r="U1243" s="24" t="n">
        <x:f>IFERROR(J1243/H1243,0)-IFERROR(K1243/I1243,0)</x:f>
        <x:v>-0.15000000000000002</x:v>
      </x:c>
      <x:c r="V1243" s="24" t="n">
        <x:f>IFERROR(F1243/J1243,0)-IFERROR(G1243/K1243,0)</x:f>
        <x:v>-0.3333333333333333</x:v>
      </x:c>
      <x:c r="W1243" s="28" t="n">
        <x:f>L1243-M1243</x:f>
        <x:v>-3</x:v>
      </x:c>
      <x:c r="X1243" s="24" t="n">
        <x:f>IFERROR(K1243/I1243,0)</x:f>
        <x:v>0.4</x:v>
      </x:c>
      <x:c r="Y1243" s="24" t="n">
        <x:f>IFERROR(G1243/I1243,0)</x:f>
        <x:v>0.13333333333333333</x:v>
      </x:c>
      <x:c r="Z1243" s="24" t="n">
        <x:f>IFERROR(G1243/K1243,0)</x:f>
        <x:v>0.3333333333333333</x:v>
      </x:c>
      <x:c r="AA1243" s="24" t="n">
        <x:f>IFERROR(F1243/H1243,0)-IFERROR(G1243/I1243,0)</x:f>
        <x:v>-0.13333333333333333</x:v>
      </x:c>
      <x:c r="AB1243" s="28" t="n">
        <x:f>J1243-K1243</x:f>
        <x:v>-5</x:v>
      </x:c>
      <x:c r="AC1243" s="32" t="n">
        <x:f>F1243-G1243</x:f>
        <x:v>-2</x:v>
      </x:c>
    </x:row>
    <x:row r="1244">
      <x:c r="A1244" s="4" t="str">
        <x:v>2022-23</x:v>
      </x:c>
      <x:c r="B1244" s="20" t="n">
        <x:v>44989</x:v>
      </x:c>
      <x:c r="C1244" s="4" t="str">
        <x:v>Arsenal</x:v>
      </x:c>
      <x:c r="D1244" s="4" t="str">
        <x:v>Bournemouth</x:v>
      </x:c>
      <x:c r="E1244" s="4" t="str">
        <x:v>Home</x:v>
      </x:c>
      <x:c r="F1244" s="28" t="n">
        <x:v>3</x:v>
      </x:c>
      <x:c r="G1244" s="28" t="n">
        <x:v>2</x:v>
      </x:c>
      <x:c r="H1244" s="28" t="n">
        <x:v>31</x:v>
      </x:c>
      <x:c r="I1244" s="28" t="n">
        <x:v>4</x:v>
      </x:c>
      <x:c r="J1244" s="28" t="n">
        <x:v>9</x:v>
      </x:c>
      <x:c r="K1244" s="28" t="n">
        <x:v>4</x:v>
      </x:c>
      <x:c r="L1244" s="28" t="n">
        <x:v>17</x:v>
      </x:c>
      <x:c r="M1244" s="28" t="n">
        <x:v>1</x:v>
      </x:c>
      <x:c r="N1244" s="28" t="n">
        <x:v>0</x:v>
      </x:c>
      <x:c r="O1244" s="28" t="n">
        <x:v>0</x:v>
      </x:c>
      <x:c r="P1244" s="28" t="n">
        <x:v>3</x:v>
      </x:c>
      <x:c r="Q1244" s="24" t="n">
        <x:f>IFERROR(J1244/H1244,0)</x:f>
        <x:v>0.2903225806451613</x:v>
      </x:c>
      <x:c r="R1244" s="24" t="n">
        <x:f>IFERROR(F1244/H1244,0)</x:f>
        <x:v>0.0967741935483871</x:v>
      </x:c>
      <x:c r="S1244" s="24" t="n">
        <x:f>IFERROR(F1244/J1244,0)</x:f>
        <x:v>0.3333333333333333</x:v>
      </x:c>
      <x:c r="T1244" s="28" t="n">
        <x:f>H1244-I1244</x:f>
        <x:v>27</x:v>
      </x:c>
      <x:c r="U1244" s="24" t="n">
        <x:f>IFERROR(J1244/H1244,0)-IFERROR(K1244/I1244,0)</x:f>
        <x:v>-0.7096774193548387</x:v>
      </x:c>
      <x:c r="V1244" s="24" t="n">
        <x:f>IFERROR(F1244/J1244,0)-IFERROR(G1244/K1244,0)</x:f>
        <x:v>-0.16666666666666669</x:v>
      </x:c>
      <x:c r="W1244" s="28" t="n">
        <x:f>L1244-M1244</x:f>
        <x:v>16</x:v>
      </x:c>
      <x:c r="X1244" s="24" t="n">
        <x:f>IFERROR(K1244/I1244,0)</x:f>
        <x:v>1</x:v>
      </x:c>
      <x:c r="Y1244" s="24" t="n">
        <x:f>IFERROR(G1244/I1244,0)</x:f>
        <x:v>0.5</x:v>
      </x:c>
      <x:c r="Z1244" s="24" t="n">
        <x:f>IFERROR(G1244/K1244,0)</x:f>
        <x:v>0.5</x:v>
      </x:c>
      <x:c r="AA1244" s="24" t="n">
        <x:f>IFERROR(F1244/H1244,0)-IFERROR(G1244/I1244,0)</x:f>
        <x:v>-0.4032258064516129</x:v>
      </x:c>
      <x:c r="AB1244" s="28" t="n">
        <x:f>J1244-K1244</x:f>
        <x:v>5</x:v>
      </x:c>
      <x:c r="AC1244" s="32" t="n">
        <x:f>F1244-G1244</x:f>
        <x:v>1</x:v>
      </x:c>
    </x:row>
    <x:row r="1245">
      <x:c r="A1245" s="4" t="str">
        <x:v>2022-23</x:v>
      </x:c>
      <x:c r="B1245" s="20" t="n">
        <x:v>44989</x:v>
      </x:c>
      <x:c r="C1245" s="4" t="str">
        <x:v>Aston Villa</x:v>
      </x:c>
      <x:c r="D1245" s="4" t="str">
        <x:v>Crystal Palace</x:v>
      </x:c>
      <x:c r="E1245" s="4" t="str">
        <x:v>Home</x:v>
      </x:c>
      <x:c r="F1245" s="28" t="n">
        <x:v>1</x:v>
      </x:c>
      <x:c r="G1245" s="28" t="n">
        <x:v>0</x:v>
      </x:c>
      <x:c r="H1245" s="28" t="n">
        <x:v>8</x:v>
      </x:c>
      <x:c r="I1245" s="28" t="n">
        <x:v>3</x:v>
      </x:c>
      <x:c r="J1245" s="28" t="n">
        <x:v>1</x:v>
      </x:c>
      <x:c r="K1245" s="28" t="n">
        <x:v>0</x:v>
      </x:c>
      <x:c r="L1245" s="28" t="n">
        <x:v>2</x:v>
      </x:c>
      <x:c r="M1245" s="28" t="n">
        <x:v>4</x:v>
      </x:c>
      <x:c r="N1245" s="28" t="n">
        <x:v>2</x:v>
      </x:c>
      <x:c r="O1245" s="28" t="n">
        <x:v>0</x:v>
      </x:c>
      <x:c r="P1245" s="28" t="n">
        <x:v>3</x:v>
      </x:c>
      <x:c r="Q1245" s="24" t="n">
        <x:f>IFERROR(J1245/H1245,0)</x:f>
        <x:v>0.125</x:v>
      </x:c>
      <x:c r="R1245" s="24" t="n">
        <x:f>IFERROR(F1245/H1245,0)</x:f>
        <x:v>0.125</x:v>
      </x:c>
      <x:c r="S1245" s="24" t="n">
        <x:f>IFERROR(F1245/J1245,0)</x:f>
        <x:v>1</x:v>
      </x:c>
      <x:c r="T1245" s="28" t="n">
        <x:f>H1245-I1245</x:f>
        <x:v>5</x:v>
      </x:c>
      <x:c r="U1245" s="24" t="n">
        <x:f>IFERROR(J1245/H1245,0)-IFERROR(K1245/I1245,0)</x:f>
        <x:v>0.125</x:v>
      </x:c>
      <x:c r="V1245" s="24" t="n">
        <x:f>IFERROR(F1245/J1245,0)-IFERROR(G1245/K1245,0)</x:f>
        <x:v>1</x:v>
      </x:c>
      <x:c r="W1245" s="28" t="n">
        <x:f>L1245-M1245</x:f>
        <x:v>-2</x:v>
      </x:c>
      <x:c r="X1245" s="24" t="n">
        <x:f>IFERROR(K1245/I1245,0)</x:f>
        <x:v>0</x:v>
      </x:c>
      <x:c r="Y1245" s="24" t="n">
        <x:f>IFERROR(G1245/I1245,0)</x:f>
        <x:v>0</x:v>
      </x:c>
      <x:c r="Z1245" s="24" t="n">
        <x:f>IFERROR(G1245/K1245,0)</x:f>
        <x:v>0</x:v>
      </x:c>
      <x:c r="AA1245" s="24" t="n">
        <x:f>IFERROR(F1245/H1245,0)-IFERROR(G1245/I1245,0)</x:f>
        <x:v>0.125</x:v>
      </x:c>
      <x:c r="AB1245" s="28" t="n">
        <x:f>J1245-K1245</x:f>
        <x:v>1</x:v>
      </x:c>
      <x:c r="AC1245" s="32" t="n">
        <x:f>F1245-G1245</x:f>
        <x:v>1</x:v>
      </x:c>
    </x:row>
    <x:row r="1246">
      <x:c r="A1246" s="4" t="str">
        <x:v>2022-23</x:v>
      </x:c>
      <x:c r="B1246" s="20" t="n">
        <x:v>44989</x:v>
      </x:c>
      <x:c r="C1246" s="4" t="str">
        <x:v>Bournemouth</x:v>
      </x:c>
      <x:c r="D1246" s="4" t="str">
        <x:v>Arsenal</x:v>
      </x:c>
      <x:c r="E1246" s="4" t="str">
        <x:v>Away</x:v>
      </x:c>
      <x:c r="F1246" s="28" t="n">
        <x:v>2</x:v>
      </x:c>
      <x:c r="G1246" s="28" t="n">
        <x:v>3</x:v>
      </x:c>
      <x:c r="H1246" s="28" t="n">
        <x:v>4</x:v>
      </x:c>
      <x:c r="I1246" s="28" t="n">
        <x:v>31</x:v>
      </x:c>
      <x:c r="J1246" s="28" t="n">
        <x:v>4</x:v>
      </x:c>
      <x:c r="K1246" s="28" t="n">
        <x:v>9</x:v>
      </x:c>
      <x:c r="L1246" s="28" t="n">
        <x:v>1</x:v>
      </x:c>
      <x:c r="M1246" s="28" t="n">
        <x:v>17</x:v>
      </x:c>
      <x:c r="N1246" s="28" t="n">
        <x:v>2</x:v>
      </x:c>
      <x:c r="O1246" s="28" t="n">
        <x:v>0</x:v>
      </x:c>
      <x:c r="P1246" s="28" t="n">
        <x:v>0</x:v>
      </x:c>
      <x:c r="Q1246" s="24" t="n">
        <x:f>IFERROR(J1246/H1246,0)</x:f>
        <x:v>1</x:v>
      </x:c>
      <x:c r="R1246" s="24" t="n">
        <x:f>IFERROR(F1246/H1246,0)</x:f>
        <x:v>0.5</x:v>
      </x:c>
      <x:c r="S1246" s="24" t="n">
        <x:f>IFERROR(F1246/J1246,0)</x:f>
        <x:v>0.5</x:v>
      </x:c>
      <x:c r="T1246" s="28" t="n">
        <x:f>H1246-I1246</x:f>
        <x:v>-27</x:v>
      </x:c>
      <x:c r="U1246" s="24" t="n">
        <x:f>IFERROR(J1246/H1246,0)-IFERROR(K1246/I1246,0)</x:f>
        <x:v>0.7096774193548387</x:v>
      </x:c>
      <x:c r="V1246" s="24" t="n">
        <x:f>IFERROR(F1246/J1246,0)-IFERROR(G1246/K1246,0)</x:f>
        <x:v>0.16666666666666669</x:v>
      </x:c>
      <x:c r="W1246" s="28" t="n">
        <x:f>L1246-M1246</x:f>
        <x:v>-16</x:v>
      </x:c>
      <x:c r="X1246" s="24" t="n">
        <x:f>IFERROR(K1246/I1246,0)</x:f>
        <x:v>0.2903225806451613</x:v>
      </x:c>
      <x:c r="Y1246" s="24" t="n">
        <x:f>IFERROR(G1246/I1246,0)</x:f>
        <x:v>0.0967741935483871</x:v>
      </x:c>
      <x:c r="Z1246" s="24" t="n">
        <x:f>IFERROR(G1246/K1246,0)</x:f>
        <x:v>0.3333333333333333</x:v>
      </x:c>
      <x:c r="AA1246" s="24" t="n">
        <x:f>IFERROR(F1246/H1246,0)-IFERROR(G1246/I1246,0)</x:f>
        <x:v>0.4032258064516129</x:v>
      </x:c>
      <x:c r="AB1246" s="28" t="n">
        <x:f>J1246-K1246</x:f>
        <x:v>-5</x:v>
      </x:c>
      <x:c r="AC1246" s="32" t="n">
        <x:f>F1246-G1246</x:f>
        <x:v>-1</x:v>
      </x:c>
    </x:row>
    <x:row r="1247">
      <x:c r="A1247" s="4" t="str">
        <x:v>2022-23</x:v>
      </x:c>
      <x:c r="B1247" s="20" t="n">
        <x:v>44989</x:v>
      </x:c>
      <x:c r="C1247" s="4" t="str">
        <x:v>Brighton</x:v>
      </x:c>
      <x:c r="D1247" s="4" t="str">
        <x:v>West Ham</x:v>
      </x:c>
      <x:c r="E1247" s="4" t="str">
        <x:v>Home</x:v>
      </x:c>
      <x:c r="F1247" s="28" t="n">
        <x:v>4</x:v>
      </x:c>
      <x:c r="G1247" s="28" t="n">
        <x:v>0</x:v>
      </x:c>
      <x:c r="H1247" s="28" t="n">
        <x:v>20</x:v>
      </x:c>
      <x:c r="I1247" s="28" t="n">
        <x:v>3</x:v>
      </x:c>
      <x:c r="J1247" s="28" t="n">
        <x:v>9</x:v>
      </x:c>
      <x:c r="K1247" s="28" t="n">
        <x:v>2</x:v>
      </x:c>
      <x:c r="L1247" s="28" t="n">
        <x:v>7</x:v>
      </x:c>
      <x:c r="M1247" s="28" t="n">
        <x:v>3</x:v>
      </x:c>
      <x:c r="N1247" s="28" t="n">
        <x:v>0</x:v>
      </x:c>
      <x:c r="O1247" s="28" t="n">
        <x:v>0</x:v>
      </x:c>
      <x:c r="P1247" s="28" t="n">
        <x:v>3</x:v>
      </x:c>
      <x:c r="Q1247" s="24" t="n">
        <x:f>IFERROR(J1247/H1247,0)</x:f>
        <x:v>0.45</x:v>
      </x:c>
      <x:c r="R1247" s="24" t="n">
        <x:f>IFERROR(F1247/H1247,0)</x:f>
        <x:v>0.2</x:v>
      </x:c>
      <x:c r="S1247" s="24" t="n">
        <x:f>IFERROR(F1247/J1247,0)</x:f>
        <x:v>0.4444444444444444</x:v>
      </x:c>
      <x:c r="T1247" s="28" t="n">
        <x:f>H1247-I1247</x:f>
        <x:v>17</x:v>
      </x:c>
      <x:c r="U1247" s="24" t="n">
        <x:f>IFERROR(J1247/H1247,0)-IFERROR(K1247/I1247,0)</x:f>
        <x:v>-0.21666666666666662</x:v>
      </x:c>
      <x:c r="V1247" s="24" t="n">
        <x:f>IFERROR(F1247/J1247,0)-IFERROR(G1247/K1247,0)</x:f>
        <x:v>0.4444444444444444</x:v>
      </x:c>
      <x:c r="W1247" s="28" t="n">
        <x:f>L1247-M1247</x:f>
        <x:v>4</x:v>
      </x:c>
      <x:c r="X1247" s="24" t="n">
        <x:f>IFERROR(K1247/I1247,0)</x:f>
        <x:v>0.6666666666666666</x:v>
      </x:c>
      <x:c r="Y1247" s="24" t="n">
        <x:f>IFERROR(G1247/I1247,0)</x:f>
        <x:v>0</x:v>
      </x:c>
      <x:c r="Z1247" s="24" t="n">
        <x:f>IFERROR(G1247/K1247,0)</x:f>
        <x:v>0</x:v>
      </x:c>
      <x:c r="AA1247" s="24" t="n">
        <x:f>IFERROR(F1247/H1247,0)-IFERROR(G1247/I1247,0)</x:f>
        <x:v>0.2</x:v>
      </x:c>
      <x:c r="AB1247" s="28" t="n">
        <x:f>J1247-K1247</x:f>
        <x:v>7</x:v>
      </x:c>
      <x:c r="AC1247" s="32" t="n">
        <x:f>F1247-G1247</x:f>
        <x:v>4</x:v>
      </x:c>
    </x:row>
    <x:row r="1248">
      <x:c r="A1248" s="4" t="str">
        <x:v>2022-23</x:v>
      </x:c>
      <x:c r="B1248" s="20" t="n">
        <x:v>44989</x:v>
      </x:c>
      <x:c r="C1248" s="4" t="str">
        <x:v>Chelsea</x:v>
      </x:c>
      <x:c r="D1248" s="4" t="str">
        <x:v>Leeds</x:v>
      </x:c>
      <x:c r="E1248" s="4" t="str">
        <x:v>Home</x:v>
      </x:c>
      <x:c r="F1248" s="28" t="n">
        <x:v>1</x:v>
      </x:c>
      <x:c r="G1248" s="28" t="n">
        <x:v>0</x:v>
      </x:c>
      <x:c r="H1248" s="28" t="n">
        <x:v>13</x:v>
      </x:c>
      <x:c r="I1248" s="28" t="n">
        <x:v>11</x:v>
      </x:c>
      <x:c r="J1248" s="28" t="n">
        <x:v>3</x:v>
      </x:c>
      <x:c r="K1248" s="28" t="n">
        <x:v>2</x:v>
      </x:c>
      <x:c r="L1248" s="28" t="n">
        <x:v>5</x:v>
      </x:c>
      <x:c r="M1248" s="28" t="n">
        <x:v>7</x:v>
      </x:c>
      <x:c r="N1248" s="28" t="n">
        <x:v>2</x:v>
      </x:c>
      <x:c r="O1248" s="28" t="n">
        <x:v>0</x:v>
      </x:c>
      <x:c r="P1248" s="28" t="n">
        <x:v>3</x:v>
      </x:c>
      <x:c r="Q1248" s="24" t="n">
        <x:f>IFERROR(J1248/H1248,0)</x:f>
        <x:v>0.23076923076923078</x:v>
      </x:c>
      <x:c r="R1248" s="24" t="n">
        <x:f>IFERROR(F1248/H1248,0)</x:f>
        <x:v>0.07692307692307693</x:v>
      </x:c>
      <x:c r="S1248" s="24" t="n">
        <x:f>IFERROR(F1248/J1248,0)</x:f>
        <x:v>0.3333333333333333</x:v>
      </x:c>
      <x:c r="T1248" s="28" t="n">
        <x:f>H1248-I1248</x:f>
        <x:v>2</x:v>
      </x:c>
      <x:c r="U1248" s="24" t="n">
        <x:f>IFERROR(J1248/H1248,0)-IFERROR(K1248/I1248,0)</x:f>
        <x:v>0.04895104895104896</x:v>
      </x:c>
      <x:c r="V1248" s="24" t="n">
        <x:f>IFERROR(F1248/J1248,0)-IFERROR(G1248/K1248,0)</x:f>
        <x:v>0.3333333333333333</x:v>
      </x:c>
      <x:c r="W1248" s="28" t="n">
        <x:f>L1248-M1248</x:f>
        <x:v>-2</x:v>
      </x:c>
      <x:c r="X1248" s="24" t="n">
        <x:f>IFERROR(K1248/I1248,0)</x:f>
        <x:v>0.18181818181818182</x:v>
      </x:c>
      <x:c r="Y1248" s="24" t="n">
        <x:f>IFERROR(G1248/I1248,0)</x:f>
        <x:v>0</x:v>
      </x:c>
      <x:c r="Z1248" s="24" t="n">
        <x:f>IFERROR(G1248/K1248,0)</x:f>
        <x:v>0</x:v>
      </x:c>
      <x:c r="AA1248" s="24" t="n">
        <x:f>IFERROR(F1248/H1248,0)-IFERROR(G1248/I1248,0)</x:f>
        <x:v>0.07692307692307693</x:v>
      </x:c>
      <x:c r="AB1248" s="28" t="n">
        <x:f>J1248-K1248</x:f>
        <x:v>1</x:v>
      </x:c>
      <x:c r="AC1248" s="32" t="n">
        <x:f>F1248-G1248</x:f>
        <x:v>1</x:v>
      </x:c>
    </x:row>
    <x:row r="1249">
      <x:c r="A1249" s="4" t="str">
        <x:v>2022-23</x:v>
      </x:c>
      <x:c r="B1249" s="20" t="n">
        <x:v>44989</x:v>
      </x:c>
      <x:c r="C1249" s="4" t="str">
        <x:v>Crystal Palace</x:v>
      </x:c>
      <x:c r="D1249" s="4" t="str">
        <x:v>Aston Villa</x:v>
      </x:c>
      <x:c r="E1249" s="4" t="str">
        <x:v>Away</x:v>
      </x:c>
      <x:c r="F1249" s="28" t="n">
        <x:v>0</x:v>
      </x:c>
      <x:c r="G1249" s="28" t="n">
        <x:v>1</x:v>
      </x:c>
      <x:c r="H1249" s="28" t="n">
        <x:v>3</x:v>
      </x:c>
      <x:c r="I1249" s="28" t="n">
        <x:v>8</x:v>
      </x:c>
      <x:c r="J1249" s="28" t="n">
        <x:v>0</x:v>
      </x:c>
      <x:c r="K1249" s="28" t="n">
        <x:v>1</x:v>
      </x:c>
      <x:c r="L1249" s="28" t="n">
        <x:v>4</x:v>
      </x:c>
      <x:c r="M1249" s="28" t="n">
        <x:v>2</x:v>
      </x:c>
      <x:c r="N1249" s="28" t="n">
        <x:v>3</x:v>
      </x:c>
      <x:c r="O1249" s="28" t="n">
        <x:v>1</x:v>
      </x:c>
      <x:c r="P1249" s="28" t="n">
        <x:v>0</x:v>
      </x:c>
      <x:c r="Q1249" s="24" t="n">
        <x:f>IFERROR(J1249/H1249,0)</x:f>
        <x:v>0</x:v>
      </x:c>
      <x:c r="R1249" s="24" t="n">
        <x:f>IFERROR(F1249/H1249,0)</x:f>
        <x:v>0</x:v>
      </x:c>
      <x:c r="S1249" s="24" t="n">
        <x:f>IFERROR(F1249/J1249,0)</x:f>
        <x:v>0</x:v>
      </x:c>
      <x:c r="T1249" s="28" t="n">
        <x:f>H1249-I1249</x:f>
        <x:v>-5</x:v>
      </x:c>
      <x:c r="U1249" s="24" t="n">
        <x:f>IFERROR(J1249/H1249,0)-IFERROR(K1249/I1249,0)</x:f>
        <x:v>-0.125</x:v>
      </x:c>
      <x:c r="V1249" s="24" t="n">
        <x:f>IFERROR(F1249/J1249,0)-IFERROR(G1249/K1249,0)</x:f>
        <x:v>-1</x:v>
      </x:c>
      <x:c r="W1249" s="28" t="n">
        <x:f>L1249-M1249</x:f>
        <x:v>2</x:v>
      </x:c>
      <x:c r="X1249" s="24" t="n">
        <x:f>IFERROR(K1249/I1249,0)</x:f>
        <x:v>0.125</x:v>
      </x:c>
      <x:c r="Y1249" s="24" t="n">
        <x:f>IFERROR(G1249/I1249,0)</x:f>
        <x:v>0.125</x:v>
      </x:c>
      <x:c r="Z1249" s="24" t="n">
        <x:f>IFERROR(G1249/K1249,0)</x:f>
        <x:v>1</x:v>
      </x:c>
      <x:c r="AA1249" s="24" t="n">
        <x:f>IFERROR(F1249/H1249,0)-IFERROR(G1249/I1249,0)</x:f>
        <x:v>-0.125</x:v>
      </x:c>
      <x:c r="AB1249" s="28" t="n">
        <x:f>J1249-K1249</x:f>
        <x:v>-1</x:v>
      </x:c>
      <x:c r="AC1249" s="32" t="n">
        <x:f>F1249-G1249</x:f>
        <x:v>-1</x:v>
      </x:c>
    </x:row>
    <x:row r="1250">
      <x:c r="A1250" s="4" t="str">
        <x:v>2022-23</x:v>
      </x:c>
      <x:c r="B1250" s="20" t="n">
        <x:v>44989</x:v>
      </x:c>
      <x:c r="C1250" s="4" t="str">
        <x:v>Leeds</x:v>
      </x:c>
      <x:c r="D1250" s="4" t="str">
        <x:v>Chelsea</x:v>
      </x:c>
      <x:c r="E1250" s="4" t="str">
        <x:v>Away</x:v>
      </x:c>
      <x:c r="F1250" s="28" t="n">
        <x:v>0</x:v>
      </x:c>
      <x:c r="G1250" s="28" t="n">
        <x:v>1</x:v>
      </x:c>
      <x:c r="H1250" s="28" t="n">
        <x:v>11</x:v>
      </x:c>
      <x:c r="I1250" s="28" t="n">
        <x:v>13</x:v>
      </x:c>
      <x:c r="J1250" s="28" t="n">
        <x:v>2</x:v>
      </x:c>
      <x:c r="K1250" s="28" t="n">
        <x:v>3</x:v>
      </x:c>
      <x:c r="L1250" s="28" t="n">
        <x:v>7</x:v>
      </x:c>
      <x:c r="M1250" s="28" t="n">
        <x:v>5</x:v>
      </x:c>
      <x:c r="N1250" s="28" t="n">
        <x:v>0</x:v>
      </x:c>
      <x:c r="O1250" s="28" t="n">
        <x:v>0</x:v>
      </x:c>
      <x:c r="P1250" s="28" t="n">
        <x:v>0</x:v>
      </x:c>
      <x:c r="Q1250" s="24" t="n">
        <x:f>IFERROR(J1250/H1250,0)</x:f>
        <x:v>0.18181818181818182</x:v>
      </x:c>
      <x:c r="R1250" s="24" t="n">
        <x:f>IFERROR(F1250/H1250,0)</x:f>
        <x:v>0</x:v>
      </x:c>
      <x:c r="S1250" s="24" t="n">
        <x:f>IFERROR(F1250/J1250,0)</x:f>
        <x:v>0</x:v>
      </x:c>
      <x:c r="T1250" s="28" t="n">
        <x:f>H1250-I1250</x:f>
        <x:v>-2</x:v>
      </x:c>
      <x:c r="U1250" s="24" t="n">
        <x:f>IFERROR(J1250/H1250,0)-IFERROR(K1250/I1250,0)</x:f>
        <x:v>-0.04895104895104896</x:v>
      </x:c>
      <x:c r="V1250" s="24" t="n">
        <x:f>IFERROR(F1250/J1250,0)-IFERROR(G1250/K1250,0)</x:f>
        <x:v>-0.3333333333333333</x:v>
      </x:c>
      <x:c r="W1250" s="28" t="n">
        <x:f>L1250-M1250</x:f>
        <x:v>2</x:v>
      </x:c>
      <x:c r="X1250" s="24" t="n">
        <x:f>IFERROR(K1250/I1250,0)</x:f>
        <x:v>0.23076923076923078</x:v>
      </x:c>
      <x:c r="Y1250" s="24" t="n">
        <x:f>IFERROR(G1250/I1250,0)</x:f>
        <x:v>0.07692307692307693</x:v>
      </x:c>
      <x:c r="Z1250" s="24" t="n">
        <x:f>IFERROR(G1250/K1250,0)</x:f>
        <x:v>0.3333333333333333</x:v>
      </x:c>
      <x:c r="AA1250" s="24" t="n">
        <x:f>IFERROR(F1250/H1250,0)-IFERROR(G1250/I1250,0)</x:f>
        <x:v>-0.07692307692307693</x:v>
      </x:c>
      <x:c r="AB1250" s="28" t="n">
        <x:f>J1250-K1250</x:f>
        <x:v>-1</x:v>
      </x:c>
      <x:c r="AC1250" s="32" t="n">
        <x:f>F1250-G1250</x:f>
        <x:v>-1</x:v>
      </x:c>
    </x:row>
    <x:row r="1251">
      <x:c r="A1251" s="4" t="str">
        <x:v>2022-23</x:v>
      </x:c>
      <x:c r="B1251" s="20" t="n">
        <x:v>44989</x:v>
      </x:c>
      <x:c r="C1251" s="4" t="str">
        <x:v>Leicester</x:v>
      </x:c>
      <x:c r="D1251" s="4" t="str">
        <x:v>Southampton</x:v>
      </x:c>
      <x:c r="E1251" s="4" t="str">
        <x:v>Away</x:v>
      </x:c>
      <x:c r="F1251" s="28" t="n">
        <x:v>0</x:v>
      </x:c>
      <x:c r="G1251" s="28" t="n">
        <x:v>1</x:v>
      </x:c>
      <x:c r="H1251" s="28" t="n">
        <x:v>11</x:v>
      </x:c>
      <x:c r="I1251" s="28" t="n">
        <x:v>11</x:v>
      </x:c>
      <x:c r="J1251" s="28" t="n">
        <x:v>0</x:v>
      </x:c>
      <x:c r="K1251" s="28" t="n">
        <x:v>5</x:v>
      </x:c>
      <x:c r="L1251" s="28" t="n">
        <x:v>4</x:v>
      </x:c>
      <x:c r="M1251" s="28" t="n">
        <x:v>3</x:v>
      </x:c>
      <x:c r="N1251" s="28" t="n">
        <x:v>2</x:v>
      </x:c>
      <x:c r="O1251" s="28" t="n">
        <x:v>0</x:v>
      </x:c>
      <x:c r="P1251" s="28" t="n">
        <x:v>0</x:v>
      </x:c>
      <x:c r="Q1251" s="24" t="n">
        <x:f>IFERROR(J1251/H1251,0)</x:f>
        <x:v>0</x:v>
      </x:c>
      <x:c r="R1251" s="24" t="n">
        <x:f>IFERROR(F1251/H1251,0)</x:f>
        <x:v>0</x:v>
      </x:c>
      <x:c r="S1251" s="24" t="n">
        <x:f>IFERROR(F1251/J1251,0)</x:f>
        <x:v>0</x:v>
      </x:c>
      <x:c r="T1251" s="28" t="n">
        <x:f>H1251-I1251</x:f>
        <x:v>0</x:v>
      </x:c>
      <x:c r="U1251" s="24" t="n">
        <x:f>IFERROR(J1251/H1251,0)-IFERROR(K1251/I1251,0)</x:f>
        <x:v>-0.45454545454545453</x:v>
      </x:c>
      <x:c r="V1251" s="24" t="n">
        <x:f>IFERROR(F1251/J1251,0)-IFERROR(G1251/K1251,0)</x:f>
        <x:v>-0.2</x:v>
      </x:c>
      <x:c r="W1251" s="28" t="n">
        <x:f>L1251-M1251</x:f>
        <x:v>1</x:v>
      </x:c>
      <x:c r="X1251" s="24" t="n">
        <x:f>IFERROR(K1251/I1251,0)</x:f>
        <x:v>0.45454545454545453</x:v>
      </x:c>
      <x:c r="Y1251" s="24" t="n">
        <x:f>IFERROR(G1251/I1251,0)</x:f>
        <x:v>0.09090909090909091</x:v>
      </x:c>
      <x:c r="Z1251" s="24" t="n">
        <x:f>IFERROR(G1251/K1251,0)</x:f>
        <x:v>0.2</x:v>
      </x:c>
      <x:c r="AA1251" s="24" t="n">
        <x:f>IFERROR(F1251/H1251,0)-IFERROR(G1251/I1251,0)</x:f>
        <x:v>-0.09090909090909091</x:v>
      </x:c>
      <x:c r="AB1251" s="28" t="n">
        <x:f>J1251-K1251</x:f>
        <x:v>-5</x:v>
      </x:c>
      <x:c r="AC1251" s="32" t="n">
        <x:f>F1251-G1251</x:f>
        <x:v>-1</x:v>
      </x:c>
    </x:row>
    <x:row r="1252">
      <x:c r="A1252" s="4" t="str">
        <x:v>2022-23</x:v>
      </x:c>
      <x:c r="B1252" s="20" t="n">
        <x:v>44989</x:v>
      </x:c>
      <x:c r="C1252" s="4" t="str">
        <x:v>Man City</x:v>
      </x:c>
      <x:c r="D1252" s="4" t="str">
        <x:v>Newcastle</x:v>
      </x:c>
      <x:c r="E1252" s="4" t="str">
        <x:v>Home</x:v>
      </x:c>
      <x:c r="F1252" s="28" t="n">
        <x:v>2</x:v>
      </x:c>
      <x:c r="G1252" s="28" t="n">
        <x:v>0</x:v>
      </x:c>
      <x:c r="H1252" s="28" t="n">
        <x:v>11</x:v>
      </x:c>
      <x:c r="I1252" s="28" t="n">
        <x:v>5</x:v>
      </x:c>
      <x:c r="J1252" s="28" t="n">
        <x:v>3</x:v>
      </x:c>
      <x:c r="K1252" s="28" t="n">
        <x:v>2</x:v>
      </x:c>
      <x:c r="L1252" s="28" t="n">
        <x:v>8</x:v>
      </x:c>
      <x:c r="M1252" s="28" t="n">
        <x:v>4</x:v>
      </x:c>
      <x:c r="N1252" s="28" t="n">
        <x:v>2</x:v>
      </x:c>
      <x:c r="O1252" s="28" t="n">
        <x:v>0</x:v>
      </x:c>
      <x:c r="P1252" s="28" t="n">
        <x:v>3</x:v>
      </x:c>
      <x:c r="Q1252" s="24" t="n">
        <x:f>IFERROR(J1252/H1252,0)</x:f>
        <x:v>0.2727272727272727</x:v>
      </x:c>
      <x:c r="R1252" s="24" t="n">
        <x:f>IFERROR(F1252/H1252,0)</x:f>
        <x:v>0.18181818181818182</x:v>
      </x:c>
      <x:c r="S1252" s="24" t="n">
        <x:f>IFERROR(F1252/J1252,0)</x:f>
        <x:v>0.6666666666666666</x:v>
      </x:c>
      <x:c r="T1252" s="28" t="n">
        <x:f>H1252-I1252</x:f>
        <x:v>6</x:v>
      </x:c>
      <x:c r="U1252" s="24" t="n">
        <x:f>IFERROR(J1252/H1252,0)-IFERROR(K1252/I1252,0)</x:f>
        <x:v>-0.12727272727272732</x:v>
      </x:c>
      <x:c r="V1252" s="24" t="n">
        <x:f>IFERROR(F1252/J1252,0)-IFERROR(G1252/K1252,0)</x:f>
        <x:v>0.6666666666666666</x:v>
      </x:c>
      <x:c r="W1252" s="28" t="n">
        <x:f>L1252-M1252</x:f>
        <x:v>4</x:v>
      </x:c>
      <x:c r="X1252" s="24" t="n">
        <x:f>IFERROR(K1252/I1252,0)</x:f>
        <x:v>0.4</x:v>
      </x:c>
      <x:c r="Y1252" s="24" t="n">
        <x:f>IFERROR(G1252/I1252,0)</x:f>
        <x:v>0</x:v>
      </x:c>
      <x:c r="Z1252" s="24" t="n">
        <x:f>IFERROR(G1252/K1252,0)</x:f>
        <x:v>0</x:v>
      </x:c>
      <x:c r="AA1252" s="24" t="n">
        <x:f>IFERROR(F1252/H1252,0)-IFERROR(G1252/I1252,0)</x:f>
        <x:v>0.18181818181818182</x:v>
      </x:c>
      <x:c r="AB1252" s="28" t="n">
        <x:f>J1252-K1252</x:f>
        <x:v>1</x:v>
      </x:c>
      <x:c r="AC1252" s="32" t="n">
        <x:f>F1252-G1252</x:f>
        <x:v>2</x:v>
      </x:c>
    </x:row>
    <x:row r="1253">
      <x:c r="A1253" s="4" t="str">
        <x:v>2022-23</x:v>
      </x:c>
      <x:c r="B1253" s="20" t="n">
        <x:v>44989</x:v>
      </x:c>
      <x:c r="C1253" s="4" t="str">
        <x:v>Newcastle</x:v>
      </x:c>
      <x:c r="D1253" s="4" t="str">
        <x:v>Man City</x:v>
      </x:c>
      <x:c r="E1253" s="4" t="str">
        <x:v>Away</x:v>
      </x:c>
      <x:c r="F1253" s="28" t="n">
        <x:v>0</x:v>
      </x:c>
      <x:c r="G1253" s="28" t="n">
        <x:v>2</x:v>
      </x:c>
      <x:c r="H1253" s="28" t="n">
        <x:v>5</x:v>
      </x:c>
      <x:c r="I1253" s="28" t="n">
        <x:v>11</x:v>
      </x:c>
      <x:c r="J1253" s="28" t="n">
        <x:v>2</x:v>
      </x:c>
      <x:c r="K1253" s="28" t="n">
        <x:v>3</x:v>
      </x:c>
      <x:c r="L1253" s="28" t="n">
        <x:v>4</x:v>
      </x:c>
      <x:c r="M1253" s="28" t="n">
        <x:v>8</x:v>
      </x:c>
      <x:c r="N1253" s="28" t="n">
        <x:v>4</x:v>
      </x:c>
      <x:c r="O1253" s="28" t="n">
        <x:v>0</x:v>
      </x:c>
      <x:c r="P1253" s="28" t="n">
        <x:v>0</x:v>
      </x:c>
      <x:c r="Q1253" s="24" t="n">
        <x:f>IFERROR(J1253/H1253,0)</x:f>
        <x:v>0.4</x:v>
      </x:c>
      <x:c r="R1253" s="24" t="n">
        <x:f>IFERROR(F1253/H1253,0)</x:f>
        <x:v>0</x:v>
      </x:c>
      <x:c r="S1253" s="24" t="n">
        <x:f>IFERROR(F1253/J1253,0)</x:f>
        <x:v>0</x:v>
      </x:c>
      <x:c r="T1253" s="28" t="n">
        <x:f>H1253-I1253</x:f>
        <x:v>-6</x:v>
      </x:c>
      <x:c r="U1253" s="24" t="n">
        <x:f>IFERROR(J1253/H1253,0)-IFERROR(K1253/I1253,0)</x:f>
        <x:v>0.12727272727272732</x:v>
      </x:c>
      <x:c r="V1253" s="24" t="n">
        <x:f>IFERROR(F1253/J1253,0)-IFERROR(G1253/K1253,0)</x:f>
        <x:v>-0.6666666666666666</x:v>
      </x:c>
      <x:c r="W1253" s="28" t="n">
        <x:f>L1253-M1253</x:f>
        <x:v>-4</x:v>
      </x:c>
      <x:c r="X1253" s="24" t="n">
        <x:f>IFERROR(K1253/I1253,0)</x:f>
        <x:v>0.2727272727272727</x:v>
      </x:c>
      <x:c r="Y1253" s="24" t="n">
        <x:f>IFERROR(G1253/I1253,0)</x:f>
        <x:v>0.18181818181818182</x:v>
      </x:c>
      <x:c r="Z1253" s="24" t="n">
        <x:f>IFERROR(G1253/K1253,0)</x:f>
        <x:v>0.6666666666666666</x:v>
      </x:c>
      <x:c r="AA1253" s="24" t="n">
        <x:f>IFERROR(F1253/H1253,0)-IFERROR(G1253/I1253,0)</x:f>
        <x:v>-0.18181818181818182</x:v>
      </x:c>
      <x:c r="AB1253" s="28" t="n">
        <x:f>J1253-K1253</x:f>
        <x:v>-1</x:v>
      </x:c>
      <x:c r="AC1253" s="32" t="n">
        <x:f>F1253-G1253</x:f>
        <x:v>-2</x:v>
      </x:c>
    </x:row>
    <x:row r="1254">
      <x:c r="A1254" s="4" t="str">
        <x:v>2022-23</x:v>
      </x:c>
      <x:c r="B1254" s="20" t="n">
        <x:v>44989</x:v>
      </x:c>
      <x:c r="C1254" s="4" t="str">
        <x:v>Southampton</x:v>
      </x:c>
      <x:c r="D1254" s="4" t="str">
        <x:v>Leicester</x:v>
      </x:c>
      <x:c r="E1254" s="4" t="str">
        <x:v>Home</x:v>
      </x:c>
      <x:c r="F1254" s="28" t="n">
        <x:v>1</x:v>
      </x:c>
      <x:c r="G1254" s="28" t="n">
        <x:v>0</x:v>
      </x:c>
      <x:c r="H1254" s="28" t="n">
        <x:v>11</x:v>
      </x:c>
      <x:c r="I1254" s="28" t="n">
        <x:v>11</x:v>
      </x:c>
      <x:c r="J1254" s="28" t="n">
        <x:v>5</x:v>
      </x:c>
      <x:c r="K1254" s="28" t="n">
        <x:v>0</x:v>
      </x:c>
      <x:c r="L1254" s="28" t="n">
        <x:v>3</x:v>
      </x:c>
      <x:c r="M1254" s="28" t="n">
        <x:v>4</x:v>
      </x:c>
      <x:c r="N1254" s="28" t="n">
        <x:v>4</x:v>
      </x:c>
      <x:c r="O1254" s="28" t="n">
        <x:v>0</x:v>
      </x:c>
      <x:c r="P1254" s="28" t="n">
        <x:v>3</x:v>
      </x:c>
      <x:c r="Q1254" s="24" t="n">
        <x:f>IFERROR(J1254/H1254,0)</x:f>
        <x:v>0.45454545454545453</x:v>
      </x:c>
      <x:c r="R1254" s="24" t="n">
        <x:f>IFERROR(F1254/H1254,0)</x:f>
        <x:v>0.09090909090909091</x:v>
      </x:c>
      <x:c r="S1254" s="24" t="n">
        <x:f>IFERROR(F1254/J1254,0)</x:f>
        <x:v>0.2</x:v>
      </x:c>
      <x:c r="T1254" s="28" t="n">
        <x:f>H1254-I1254</x:f>
        <x:v>0</x:v>
      </x:c>
      <x:c r="U1254" s="24" t="n">
        <x:f>IFERROR(J1254/H1254,0)-IFERROR(K1254/I1254,0)</x:f>
        <x:v>0.45454545454545453</x:v>
      </x:c>
      <x:c r="V1254" s="24" t="n">
        <x:f>IFERROR(F1254/J1254,0)-IFERROR(G1254/K1254,0)</x:f>
        <x:v>0.2</x:v>
      </x:c>
      <x:c r="W1254" s="28" t="n">
        <x:f>L1254-M1254</x:f>
        <x:v>-1</x:v>
      </x:c>
      <x:c r="X1254" s="24" t="n">
        <x:f>IFERROR(K1254/I1254,0)</x:f>
        <x:v>0</x:v>
      </x:c>
      <x:c r="Y1254" s="24" t="n">
        <x:f>IFERROR(G1254/I1254,0)</x:f>
        <x:v>0</x:v>
      </x:c>
      <x:c r="Z1254" s="24" t="n">
        <x:f>IFERROR(G1254/K1254,0)</x:f>
        <x:v>0</x:v>
      </x:c>
      <x:c r="AA1254" s="24" t="n">
        <x:f>IFERROR(F1254/H1254,0)-IFERROR(G1254/I1254,0)</x:f>
        <x:v>0.09090909090909091</x:v>
      </x:c>
      <x:c r="AB1254" s="28" t="n">
        <x:f>J1254-K1254</x:f>
        <x:v>5</x:v>
      </x:c>
      <x:c r="AC1254" s="32" t="n">
        <x:f>F1254-G1254</x:f>
        <x:v>1</x:v>
      </x:c>
    </x:row>
    <x:row r="1255">
      <x:c r="A1255" s="4" t="str">
        <x:v>2022-23</x:v>
      </x:c>
      <x:c r="B1255" s="20" t="n">
        <x:v>44989</x:v>
      </x:c>
      <x:c r="C1255" s="4" t="str">
        <x:v>Tottenham</x:v>
      </x:c>
      <x:c r="D1255" s="4" t="str">
        <x:v>Wolves</x:v>
      </x:c>
      <x:c r="E1255" s="4" t="str">
        <x:v>Away</x:v>
      </x:c>
      <x:c r="F1255" s="28" t="n">
        <x:v>0</x:v>
      </x:c>
      <x:c r="G1255" s="28" t="n">
        <x:v>1</x:v>
      </x:c>
      <x:c r="H1255" s="28" t="n">
        <x:v>21</x:v>
      </x:c>
      <x:c r="I1255" s="28" t="n">
        <x:v>8</x:v>
      </x:c>
      <x:c r="J1255" s="28" t="n">
        <x:v>6</x:v>
      </x:c>
      <x:c r="K1255" s="28" t="n">
        <x:v>5</x:v>
      </x:c>
      <x:c r="L1255" s="28" t="n">
        <x:v>8</x:v>
      </x:c>
      <x:c r="M1255" s="28" t="n">
        <x:v>4</x:v>
      </x:c>
      <x:c r="N1255" s="28" t="n">
        <x:v>1</x:v>
      </x:c>
      <x:c r="O1255" s="28" t="n">
        <x:v>0</x:v>
      </x:c>
      <x:c r="P1255" s="28" t="n">
        <x:v>0</x:v>
      </x:c>
      <x:c r="Q1255" s="24" t="n">
        <x:f>IFERROR(J1255/H1255,0)</x:f>
        <x:v>0.2857142857142857</x:v>
      </x:c>
      <x:c r="R1255" s="24" t="n">
        <x:f>IFERROR(F1255/H1255,0)</x:f>
        <x:v>0</x:v>
      </x:c>
      <x:c r="S1255" s="24" t="n">
        <x:f>IFERROR(F1255/J1255,0)</x:f>
        <x:v>0</x:v>
      </x:c>
      <x:c r="T1255" s="28" t="n">
        <x:f>H1255-I1255</x:f>
        <x:v>13</x:v>
      </x:c>
      <x:c r="U1255" s="24" t="n">
        <x:f>IFERROR(J1255/H1255,0)-IFERROR(K1255/I1255,0)</x:f>
        <x:v>-0.3392857142857143</x:v>
      </x:c>
      <x:c r="V1255" s="24" t="n">
        <x:f>IFERROR(F1255/J1255,0)-IFERROR(G1255/K1255,0)</x:f>
        <x:v>-0.2</x:v>
      </x:c>
      <x:c r="W1255" s="28" t="n">
        <x:f>L1255-M1255</x:f>
        <x:v>4</x:v>
      </x:c>
      <x:c r="X1255" s="24" t="n">
        <x:f>IFERROR(K1255/I1255,0)</x:f>
        <x:v>0.625</x:v>
      </x:c>
      <x:c r="Y1255" s="24" t="n">
        <x:f>IFERROR(G1255/I1255,0)</x:f>
        <x:v>0.125</x:v>
      </x:c>
      <x:c r="Z1255" s="24" t="n">
        <x:f>IFERROR(G1255/K1255,0)</x:f>
        <x:v>0.2</x:v>
      </x:c>
      <x:c r="AA1255" s="24" t="n">
        <x:f>IFERROR(F1255/H1255,0)-IFERROR(G1255/I1255,0)</x:f>
        <x:v>-0.125</x:v>
      </x:c>
      <x:c r="AB1255" s="28" t="n">
        <x:f>J1255-K1255</x:f>
        <x:v>1</x:v>
      </x:c>
      <x:c r="AC1255" s="32" t="n">
        <x:f>F1255-G1255</x:f>
        <x:v>-1</x:v>
      </x:c>
    </x:row>
    <x:row r="1256">
      <x:c r="A1256" s="4" t="str">
        <x:v>2022-23</x:v>
      </x:c>
      <x:c r="B1256" s="20" t="n">
        <x:v>44989</x:v>
      </x:c>
      <x:c r="C1256" s="4" t="str">
        <x:v>West Ham</x:v>
      </x:c>
      <x:c r="D1256" s="4" t="str">
        <x:v>Brighton</x:v>
      </x:c>
      <x:c r="E1256" s="4" t="str">
        <x:v>Away</x:v>
      </x:c>
      <x:c r="F1256" s="28" t="n">
        <x:v>0</x:v>
      </x:c>
      <x:c r="G1256" s="28" t="n">
        <x:v>4</x:v>
      </x:c>
      <x:c r="H1256" s="28" t="n">
        <x:v>3</x:v>
      </x:c>
      <x:c r="I1256" s="28" t="n">
        <x:v>20</x:v>
      </x:c>
      <x:c r="J1256" s="28" t="n">
        <x:v>2</x:v>
      </x:c>
      <x:c r="K1256" s="28" t="n">
        <x:v>9</x:v>
      </x:c>
      <x:c r="L1256" s="28" t="n">
        <x:v>3</x:v>
      </x:c>
      <x:c r="M1256" s="28" t="n">
        <x:v>7</x:v>
      </x:c>
      <x:c r="N1256" s="28" t="n">
        <x:v>3</x:v>
      </x:c>
      <x:c r="O1256" s="28" t="n">
        <x:v>0</x:v>
      </x:c>
      <x:c r="P1256" s="28" t="n">
        <x:v>0</x:v>
      </x:c>
      <x:c r="Q1256" s="24" t="n">
        <x:f>IFERROR(J1256/H1256,0)</x:f>
        <x:v>0.6666666666666666</x:v>
      </x:c>
      <x:c r="R1256" s="24" t="n">
        <x:f>IFERROR(F1256/H1256,0)</x:f>
        <x:v>0</x:v>
      </x:c>
      <x:c r="S1256" s="24" t="n">
        <x:f>IFERROR(F1256/J1256,0)</x:f>
        <x:v>0</x:v>
      </x:c>
      <x:c r="T1256" s="28" t="n">
        <x:f>H1256-I1256</x:f>
        <x:v>-17</x:v>
      </x:c>
      <x:c r="U1256" s="24" t="n">
        <x:f>IFERROR(J1256/H1256,0)-IFERROR(K1256/I1256,0)</x:f>
        <x:v>0.21666666666666662</x:v>
      </x:c>
      <x:c r="V1256" s="24" t="n">
        <x:f>IFERROR(F1256/J1256,0)-IFERROR(G1256/K1256,0)</x:f>
        <x:v>-0.4444444444444444</x:v>
      </x:c>
      <x:c r="W1256" s="28" t="n">
        <x:f>L1256-M1256</x:f>
        <x:v>-4</x:v>
      </x:c>
      <x:c r="X1256" s="24" t="n">
        <x:f>IFERROR(K1256/I1256,0)</x:f>
        <x:v>0.45</x:v>
      </x:c>
      <x:c r="Y1256" s="24" t="n">
        <x:f>IFERROR(G1256/I1256,0)</x:f>
        <x:v>0.2</x:v>
      </x:c>
      <x:c r="Z1256" s="24" t="n">
        <x:f>IFERROR(G1256/K1256,0)</x:f>
        <x:v>0.4444444444444444</x:v>
      </x:c>
      <x:c r="AA1256" s="24" t="n">
        <x:f>IFERROR(F1256/H1256,0)-IFERROR(G1256/I1256,0)</x:f>
        <x:v>-0.2</x:v>
      </x:c>
      <x:c r="AB1256" s="28" t="n">
        <x:f>J1256-K1256</x:f>
        <x:v>-7</x:v>
      </x:c>
      <x:c r="AC1256" s="32" t="n">
        <x:f>F1256-G1256</x:f>
        <x:v>-4</x:v>
      </x:c>
    </x:row>
    <x:row r="1257">
      <x:c r="A1257" s="4" t="str">
        <x:v>2022-23</x:v>
      </x:c>
      <x:c r="B1257" s="20" t="n">
        <x:v>44989</x:v>
      </x:c>
      <x:c r="C1257" s="4" t="str">
        <x:v>Wolves</x:v>
      </x:c>
      <x:c r="D1257" s="4" t="str">
        <x:v>Tottenham</x:v>
      </x:c>
      <x:c r="E1257" s="4" t="str">
        <x:v>Home</x:v>
      </x:c>
      <x:c r="F1257" s="28" t="n">
        <x:v>1</x:v>
      </x:c>
      <x:c r="G1257" s="28" t="n">
        <x:v>0</x:v>
      </x:c>
      <x:c r="H1257" s="28" t="n">
        <x:v>8</x:v>
      </x:c>
      <x:c r="I1257" s="28" t="n">
        <x:v>21</x:v>
      </x:c>
      <x:c r="J1257" s="28" t="n">
        <x:v>5</x:v>
      </x:c>
      <x:c r="K1257" s="28" t="n">
        <x:v>6</x:v>
      </x:c>
      <x:c r="L1257" s="28" t="n">
        <x:v>4</x:v>
      </x:c>
      <x:c r="M1257" s="28" t="n">
        <x:v>8</x:v>
      </x:c>
      <x:c r="N1257" s="28" t="n">
        <x:v>1</x:v>
      </x:c>
      <x:c r="O1257" s="28" t="n">
        <x:v>0</x:v>
      </x:c>
      <x:c r="P1257" s="28" t="n">
        <x:v>3</x:v>
      </x:c>
      <x:c r="Q1257" s="24" t="n">
        <x:f>IFERROR(J1257/H1257,0)</x:f>
        <x:v>0.625</x:v>
      </x:c>
      <x:c r="R1257" s="24" t="n">
        <x:f>IFERROR(F1257/H1257,0)</x:f>
        <x:v>0.125</x:v>
      </x:c>
      <x:c r="S1257" s="24" t="n">
        <x:f>IFERROR(F1257/J1257,0)</x:f>
        <x:v>0.2</x:v>
      </x:c>
      <x:c r="T1257" s="28" t="n">
        <x:f>H1257-I1257</x:f>
        <x:v>-13</x:v>
      </x:c>
      <x:c r="U1257" s="24" t="n">
        <x:f>IFERROR(J1257/H1257,0)-IFERROR(K1257/I1257,0)</x:f>
        <x:v>0.3392857142857143</x:v>
      </x:c>
      <x:c r="V1257" s="24" t="n">
        <x:f>IFERROR(F1257/J1257,0)-IFERROR(G1257/K1257,0)</x:f>
        <x:v>0.2</x:v>
      </x:c>
      <x:c r="W1257" s="28" t="n">
        <x:f>L1257-M1257</x:f>
        <x:v>-4</x:v>
      </x:c>
      <x:c r="X1257" s="24" t="n">
        <x:f>IFERROR(K1257/I1257,0)</x:f>
        <x:v>0.2857142857142857</x:v>
      </x:c>
      <x:c r="Y1257" s="24" t="n">
        <x:f>IFERROR(G1257/I1257,0)</x:f>
        <x:v>0</x:v>
      </x:c>
      <x:c r="Z1257" s="24" t="n">
        <x:f>IFERROR(G1257/K1257,0)</x:f>
        <x:v>0</x:v>
      </x:c>
      <x:c r="AA1257" s="24" t="n">
        <x:f>IFERROR(F1257/H1257,0)-IFERROR(G1257/I1257,0)</x:f>
        <x:v>0.125</x:v>
      </x:c>
      <x:c r="AB1257" s="28" t="n">
        <x:f>J1257-K1257</x:f>
        <x:v>-1</x:v>
      </x:c>
      <x:c r="AC1257" s="32" t="n">
        <x:f>F1257-G1257</x:f>
        <x:v>1</x:v>
      </x:c>
    </x:row>
    <x:row r="1258">
      <x:c r="A1258" s="4" t="str">
        <x:v>2022-23</x:v>
      </x:c>
      <x:c r="B1258" s="20" t="n">
        <x:v>44990</x:v>
      </x:c>
      <x:c r="C1258" s="4" t="str">
        <x:v>Everton</x:v>
      </x:c>
      <x:c r="D1258" s="4" t="str">
        <x:v>Nott'm Forest</x:v>
      </x:c>
      <x:c r="E1258" s="4" t="str">
        <x:v>Away</x:v>
      </x:c>
      <x:c r="F1258" s="28" t="n">
        <x:v>2</x:v>
      </x:c>
      <x:c r="G1258" s="28" t="n">
        <x:v>2</x:v>
      </x:c>
      <x:c r="H1258" s="28" t="n">
        <x:v>10</x:v>
      </x:c>
      <x:c r="I1258" s="28" t="n">
        <x:v>10</x:v>
      </x:c>
      <x:c r="J1258" s="28" t="n">
        <x:v>3</x:v>
      </x:c>
      <x:c r="K1258" s="28" t="n">
        <x:v>4</x:v>
      </x:c>
      <x:c r="L1258" s="28" t="n">
        <x:v>3</x:v>
      </x:c>
      <x:c r="M1258" s="28" t="n">
        <x:v>3</x:v>
      </x:c>
      <x:c r="N1258" s="28" t="n">
        <x:v>5</x:v>
      </x:c>
      <x:c r="O1258" s="28" t="n">
        <x:v>0</x:v>
      </x:c>
      <x:c r="P1258" s="28" t="n">
        <x:v>1</x:v>
      </x:c>
      <x:c r="Q1258" s="24" t="n">
        <x:f>IFERROR(J1258/H1258,0)</x:f>
        <x:v>0.3</x:v>
      </x:c>
      <x:c r="R1258" s="24" t="n">
        <x:f>IFERROR(F1258/H1258,0)</x:f>
        <x:v>0.2</x:v>
      </x:c>
      <x:c r="S1258" s="24" t="n">
        <x:f>IFERROR(F1258/J1258,0)</x:f>
        <x:v>0.6666666666666666</x:v>
      </x:c>
      <x:c r="T1258" s="28" t="n">
        <x:f>H1258-I1258</x:f>
        <x:v>0</x:v>
      </x:c>
      <x:c r="U1258" s="24" t="n">
        <x:f>IFERROR(J1258/H1258,0)-IFERROR(K1258/I1258,0)</x:f>
        <x:v>-0.10000000000000003</x:v>
      </x:c>
      <x:c r="V1258" s="24" t="n">
        <x:f>IFERROR(F1258/J1258,0)-IFERROR(G1258/K1258,0)</x:f>
        <x:v>0.16666666666666663</x:v>
      </x:c>
      <x:c r="W1258" s="28" t="n">
        <x:f>L1258-M1258</x:f>
        <x:v>0</x:v>
      </x:c>
      <x:c r="X1258" s="24" t="n">
        <x:f>IFERROR(K1258/I1258,0)</x:f>
        <x:v>0.4</x:v>
      </x:c>
      <x:c r="Y1258" s="24" t="n">
        <x:f>IFERROR(G1258/I1258,0)</x:f>
        <x:v>0.2</x:v>
      </x:c>
      <x:c r="Z1258" s="24" t="n">
        <x:f>IFERROR(G1258/K1258,0)</x:f>
        <x:v>0.5</x:v>
      </x:c>
      <x:c r="AA1258" s="24" t="n">
        <x:f>IFERROR(F1258/H1258,0)-IFERROR(G1258/I1258,0)</x:f>
        <x:v>0</x:v>
      </x:c>
      <x:c r="AB1258" s="28" t="n">
        <x:f>J1258-K1258</x:f>
        <x:v>-1</x:v>
      </x:c>
      <x:c r="AC1258" s="32" t="n">
        <x:f>F1258-G1258</x:f>
        <x:v>0</x:v>
      </x:c>
    </x:row>
    <x:row r="1259">
      <x:c r="A1259" s="4" t="str">
        <x:v>2022-23</x:v>
      </x:c>
      <x:c r="B1259" s="20" t="n">
        <x:v>44990</x:v>
      </x:c>
      <x:c r="C1259" s="4" t="str">
        <x:v>Liverpool</x:v>
      </x:c>
      <x:c r="D1259" s="4" t="str">
        <x:v>Man United</x:v>
      </x:c>
      <x:c r="E1259" s="4" t="str">
        <x:v>Home</x:v>
      </x:c>
      <x:c r="F1259" s="28" t="n">
        <x:v>7</x:v>
      </x:c>
      <x:c r="G1259" s="28" t="n">
        <x:v>0</x:v>
      </x:c>
      <x:c r="H1259" s="28" t="n">
        <x:v>18</x:v>
      </x:c>
      <x:c r="I1259" s="28" t="n">
        <x:v>8</x:v>
      </x:c>
      <x:c r="J1259" s="28" t="n">
        <x:v>8</x:v>
      </x:c>
      <x:c r="K1259" s="28" t="n">
        <x:v>4</x:v>
      </x:c>
      <x:c r="L1259" s="28" t="n">
        <x:v>4</x:v>
      </x:c>
      <x:c r="M1259" s="28" t="n">
        <x:v>3</x:v>
      </x:c>
      <x:c r="N1259" s="28" t="n">
        <x:v>2</x:v>
      </x:c>
      <x:c r="O1259" s="28" t="n">
        <x:v>0</x:v>
      </x:c>
      <x:c r="P1259" s="28" t="n">
        <x:v>3</x:v>
      </x:c>
      <x:c r="Q1259" s="24" t="n">
        <x:f>IFERROR(J1259/H1259,0)</x:f>
        <x:v>0.4444444444444444</x:v>
      </x:c>
      <x:c r="R1259" s="24" t="n">
        <x:f>IFERROR(F1259/H1259,0)</x:f>
        <x:v>0.3888888888888889</x:v>
      </x:c>
      <x:c r="S1259" s="24" t="n">
        <x:f>IFERROR(F1259/J1259,0)</x:f>
        <x:v>0.875</x:v>
      </x:c>
      <x:c r="T1259" s="28" t="n">
        <x:f>H1259-I1259</x:f>
        <x:v>10</x:v>
      </x:c>
      <x:c r="U1259" s="24" t="n">
        <x:f>IFERROR(J1259/H1259,0)-IFERROR(K1259/I1259,0)</x:f>
        <x:v>-0.05555555555555558</x:v>
      </x:c>
      <x:c r="V1259" s="24" t="n">
        <x:f>IFERROR(F1259/J1259,0)-IFERROR(G1259/K1259,0)</x:f>
        <x:v>0.875</x:v>
      </x:c>
      <x:c r="W1259" s="28" t="n">
        <x:f>L1259-M1259</x:f>
        <x:v>1</x:v>
      </x:c>
      <x:c r="X1259" s="24" t="n">
        <x:f>IFERROR(K1259/I1259,0)</x:f>
        <x:v>0.5</x:v>
      </x:c>
      <x:c r="Y1259" s="24" t="n">
        <x:f>IFERROR(G1259/I1259,0)</x:f>
        <x:v>0</x:v>
      </x:c>
      <x:c r="Z1259" s="24" t="n">
        <x:f>IFERROR(G1259/K1259,0)</x:f>
        <x:v>0</x:v>
      </x:c>
      <x:c r="AA1259" s="24" t="n">
        <x:f>IFERROR(F1259/H1259,0)-IFERROR(G1259/I1259,0)</x:f>
        <x:v>0.3888888888888889</x:v>
      </x:c>
      <x:c r="AB1259" s="28" t="n">
        <x:f>J1259-K1259</x:f>
        <x:v>4</x:v>
      </x:c>
      <x:c r="AC1259" s="32" t="n">
        <x:f>F1259-G1259</x:f>
        <x:v>7</x:v>
      </x:c>
    </x:row>
    <x:row r="1260">
      <x:c r="A1260" s="4" t="str">
        <x:v>2022-23</x:v>
      </x:c>
      <x:c r="B1260" s="20" t="n">
        <x:v>44990</x:v>
      </x:c>
      <x:c r="C1260" s="4" t="str">
        <x:v>Man United</x:v>
      </x:c>
      <x:c r="D1260" s="4" t="str">
        <x:v>Liverpool</x:v>
      </x:c>
      <x:c r="E1260" s="4" t="str">
        <x:v>Away</x:v>
      </x:c>
      <x:c r="F1260" s="28" t="n">
        <x:v>0</x:v>
      </x:c>
      <x:c r="G1260" s="28" t="n">
        <x:v>7</x:v>
      </x:c>
      <x:c r="H1260" s="28" t="n">
        <x:v>8</x:v>
      </x:c>
      <x:c r="I1260" s="28" t="n">
        <x:v>18</x:v>
      </x:c>
      <x:c r="J1260" s="28" t="n">
        <x:v>4</x:v>
      </x:c>
      <x:c r="K1260" s="28" t="n">
        <x:v>8</x:v>
      </x:c>
      <x:c r="L1260" s="28" t="n">
        <x:v>3</x:v>
      </x:c>
      <x:c r="M1260" s="28" t="n">
        <x:v>4</x:v>
      </x:c>
      <x:c r="N1260" s="28" t="n">
        <x:v>3</x:v>
      </x:c>
      <x:c r="O1260" s="28" t="n">
        <x:v>0</x:v>
      </x:c>
      <x:c r="P1260" s="28" t="n">
        <x:v>0</x:v>
      </x:c>
      <x:c r="Q1260" s="24" t="n">
        <x:f>IFERROR(J1260/H1260,0)</x:f>
        <x:v>0.5</x:v>
      </x:c>
      <x:c r="R1260" s="24" t="n">
        <x:f>IFERROR(F1260/H1260,0)</x:f>
        <x:v>0</x:v>
      </x:c>
      <x:c r="S1260" s="24" t="n">
        <x:f>IFERROR(F1260/J1260,0)</x:f>
        <x:v>0</x:v>
      </x:c>
      <x:c r="T1260" s="28" t="n">
        <x:f>H1260-I1260</x:f>
        <x:v>-10</x:v>
      </x:c>
      <x:c r="U1260" s="24" t="n">
        <x:f>IFERROR(J1260/H1260,0)-IFERROR(K1260/I1260,0)</x:f>
        <x:v>0.05555555555555558</x:v>
      </x:c>
      <x:c r="V1260" s="24" t="n">
        <x:f>IFERROR(F1260/J1260,0)-IFERROR(G1260/K1260,0)</x:f>
        <x:v>-0.875</x:v>
      </x:c>
      <x:c r="W1260" s="28" t="n">
        <x:f>L1260-M1260</x:f>
        <x:v>-1</x:v>
      </x:c>
      <x:c r="X1260" s="24" t="n">
        <x:f>IFERROR(K1260/I1260,0)</x:f>
        <x:v>0.4444444444444444</x:v>
      </x:c>
      <x:c r="Y1260" s="24" t="n">
        <x:f>IFERROR(G1260/I1260,0)</x:f>
        <x:v>0.3888888888888889</x:v>
      </x:c>
      <x:c r="Z1260" s="24" t="n">
        <x:f>IFERROR(G1260/K1260,0)</x:f>
        <x:v>0.875</x:v>
      </x:c>
      <x:c r="AA1260" s="24" t="n">
        <x:f>IFERROR(F1260/H1260,0)-IFERROR(G1260/I1260,0)</x:f>
        <x:v>-0.3888888888888889</x:v>
      </x:c>
      <x:c r="AB1260" s="28" t="n">
        <x:f>J1260-K1260</x:f>
        <x:v>-4</x:v>
      </x:c>
      <x:c r="AC1260" s="32" t="n">
        <x:f>F1260-G1260</x:f>
        <x:v>-7</x:v>
      </x:c>
    </x:row>
    <x:row r="1261">
      <x:c r="A1261" s="4" t="str">
        <x:v>2022-23</x:v>
      </x:c>
      <x:c r="B1261" s="20" t="n">
        <x:v>44990</x:v>
      </x:c>
      <x:c r="C1261" s="4" t="str">
        <x:v>Nott'm Forest</x:v>
      </x:c>
      <x:c r="D1261" s="4" t="str">
        <x:v>Everton</x:v>
      </x:c>
      <x:c r="E1261" s="4" t="str">
        <x:v>Home</x:v>
      </x:c>
      <x:c r="F1261" s="28" t="n">
        <x:v>2</x:v>
      </x:c>
      <x:c r="G1261" s="28" t="n">
        <x:v>2</x:v>
      </x:c>
      <x:c r="H1261" s="28" t="n">
        <x:v>10</x:v>
      </x:c>
      <x:c r="I1261" s="28" t="n">
        <x:v>10</x:v>
      </x:c>
      <x:c r="J1261" s="28" t="n">
        <x:v>4</x:v>
      </x:c>
      <x:c r="K1261" s="28" t="n">
        <x:v>3</x:v>
      </x:c>
      <x:c r="L1261" s="28" t="n">
        <x:v>3</x:v>
      </x:c>
      <x:c r="M1261" s="28" t="n">
        <x:v>3</x:v>
      </x:c>
      <x:c r="N1261" s="28" t="n">
        <x:v>3</x:v>
      </x:c>
      <x:c r="O1261" s="28" t="n">
        <x:v>0</x:v>
      </x:c>
      <x:c r="P1261" s="28" t="n">
        <x:v>1</x:v>
      </x:c>
      <x:c r="Q1261" s="24" t="n">
        <x:f>IFERROR(J1261/H1261,0)</x:f>
        <x:v>0.4</x:v>
      </x:c>
      <x:c r="R1261" s="24" t="n">
        <x:f>IFERROR(F1261/H1261,0)</x:f>
        <x:v>0.2</x:v>
      </x:c>
      <x:c r="S1261" s="24" t="n">
        <x:f>IFERROR(F1261/J1261,0)</x:f>
        <x:v>0.5</x:v>
      </x:c>
      <x:c r="T1261" s="28" t="n">
        <x:f>H1261-I1261</x:f>
        <x:v>0</x:v>
      </x:c>
      <x:c r="U1261" s="24" t="n">
        <x:f>IFERROR(J1261/H1261,0)-IFERROR(K1261/I1261,0)</x:f>
        <x:v>0.10000000000000003</x:v>
      </x:c>
      <x:c r="V1261" s="24" t="n">
        <x:f>IFERROR(F1261/J1261,0)-IFERROR(G1261/K1261,0)</x:f>
        <x:v>-0.16666666666666663</x:v>
      </x:c>
      <x:c r="W1261" s="28" t="n">
        <x:f>L1261-M1261</x:f>
        <x:v>0</x:v>
      </x:c>
      <x:c r="X1261" s="24" t="n">
        <x:f>IFERROR(K1261/I1261,0)</x:f>
        <x:v>0.3</x:v>
      </x:c>
      <x:c r="Y1261" s="24" t="n">
        <x:f>IFERROR(G1261/I1261,0)</x:f>
        <x:v>0.2</x:v>
      </x:c>
      <x:c r="Z1261" s="24" t="n">
        <x:f>IFERROR(G1261/K1261,0)</x:f>
        <x:v>0.6666666666666666</x:v>
      </x:c>
      <x:c r="AA1261" s="24" t="n">
        <x:f>IFERROR(F1261/H1261,0)-IFERROR(G1261/I1261,0)</x:f>
        <x:v>0</x:v>
      </x:c>
      <x:c r="AB1261" s="28" t="n">
        <x:f>J1261-K1261</x:f>
        <x:v>1</x:v>
      </x:c>
      <x:c r="AC1261" s="32" t="n">
        <x:f>F1261-G1261</x:f>
        <x:v>0</x:v>
      </x:c>
    </x:row>
    <x:row r="1262">
      <x:c r="A1262" s="4" t="str">
        <x:v>2022-23</x:v>
      </x:c>
      <x:c r="B1262" s="20" t="n">
        <x:v>44991</x:v>
      </x:c>
      <x:c r="C1262" s="4" t="str">
        <x:v>Brentford</x:v>
      </x:c>
      <x:c r="D1262" s="4" t="str">
        <x:v>Fulham</x:v>
      </x:c>
      <x:c r="E1262" s="4" t="str">
        <x:v>Home</x:v>
      </x:c>
      <x:c r="F1262" s="28" t="n">
        <x:v>3</x:v>
      </x:c>
      <x:c r="G1262" s="28" t="n">
        <x:v>2</x:v>
      </x:c>
      <x:c r="H1262" s="28" t="n">
        <x:v>14</x:v>
      </x:c>
      <x:c r="I1262" s="28" t="n">
        <x:v>9</x:v>
      </x:c>
      <x:c r="J1262" s="28" t="n">
        <x:v>6</x:v>
      </x:c>
      <x:c r="K1262" s="28" t="n">
        <x:v>5</x:v>
      </x:c>
      <x:c r="L1262" s="28" t="n">
        <x:v>2</x:v>
      </x:c>
      <x:c r="M1262" s="28" t="n">
        <x:v>3</x:v>
      </x:c>
      <x:c r="N1262" s="28" t="n">
        <x:v>0</x:v>
      </x:c>
      <x:c r="O1262" s="28" t="n">
        <x:v>0</x:v>
      </x:c>
      <x:c r="P1262" s="28" t="n">
        <x:v>3</x:v>
      </x:c>
      <x:c r="Q1262" s="24" t="n">
        <x:f>IFERROR(J1262/H1262,0)</x:f>
        <x:v>0.42857142857142855</x:v>
      </x:c>
      <x:c r="R1262" s="24" t="n">
        <x:f>IFERROR(F1262/H1262,0)</x:f>
        <x:v>0.21428571428571427</x:v>
      </x:c>
      <x:c r="S1262" s="24" t="n">
        <x:f>IFERROR(F1262/J1262,0)</x:f>
        <x:v>0.5</x:v>
      </x:c>
      <x:c r="T1262" s="28" t="n">
        <x:f>H1262-I1262</x:f>
        <x:v>5</x:v>
      </x:c>
      <x:c r="U1262" s="24" t="n">
        <x:f>IFERROR(J1262/H1262,0)-IFERROR(K1262/I1262,0)</x:f>
        <x:v>-0.12698412698412703</x:v>
      </x:c>
      <x:c r="V1262" s="24" t="n">
        <x:f>IFERROR(F1262/J1262,0)-IFERROR(G1262/K1262,0)</x:f>
        <x:v>0.09999999999999998</x:v>
      </x:c>
      <x:c r="W1262" s="28" t="n">
        <x:f>L1262-M1262</x:f>
        <x:v>-1</x:v>
      </x:c>
      <x:c r="X1262" s="24" t="n">
        <x:f>IFERROR(K1262/I1262,0)</x:f>
        <x:v>0.5555555555555556</x:v>
      </x:c>
      <x:c r="Y1262" s="24" t="n">
        <x:f>IFERROR(G1262/I1262,0)</x:f>
        <x:v>0.2222222222222222</x:v>
      </x:c>
      <x:c r="Z1262" s="24" t="n">
        <x:f>IFERROR(G1262/K1262,0)</x:f>
        <x:v>0.4</x:v>
      </x:c>
      <x:c r="AA1262" s="24" t="n">
        <x:f>IFERROR(F1262/H1262,0)-IFERROR(G1262/I1262,0)</x:f>
        <x:v>-0.007936507936507936</x:v>
      </x:c>
      <x:c r="AB1262" s="28" t="n">
        <x:f>J1262-K1262</x:f>
        <x:v>1</x:v>
      </x:c>
      <x:c r="AC1262" s="32" t="n">
        <x:f>F1262-G1262</x:f>
        <x:v>1</x:v>
      </x:c>
    </x:row>
    <x:row r="1263">
      <x:c r="A1263" s="4" t="str">
        <x:v>2022-23</x:v>
      </x:c>
      <x:c r="B1263" s="20" t="n">
        <x:v>44991</x:v>
      </x:c>
      <x:c r="C1263" s="4" t="str">
        <x:v>Fulham</x:v>
      </x:c>
      <x:c r="D1263" s="4" t="str">
        <x:v>Brentford</x:v>
      </x:c>
      <x:c r="E1263" s="4" t="str">
        <x:v>Away</x:v>
      </x:c>
      <x:c r="F1263" s="28" t="n">
        <x:v>2</x:v>
      </x:c>
      <x:c r="G1263" s="28" t="n">
        <x:v>3</x:v>
      </x:c>
      <x:c r="H1263" s="28" t="n">
        <x:v>9</x:v>
      </x:c>
      <x:c r="I1263" s="28" t="n">
        <x:v>14</x:v>
      </x:c>
      <x:c r="J1263" s="28" t="n">
        <x:v>5</x:v>
      </x:c>
      <x:c r="K1263" s="28" t="n">
        <x:v>6</x:v>
      </x:c>
      <x:c r="L1263" s="28" t="n">
        <x:v>3</x:v>
      </x:c>
      <x:c r="M1263" s="28" t="n">
        <x:v>2</x:v>
      </x:c>
      <x:c r="N1263" s="28" t="n">
        <x:v>3</x:v>
      </x:c>
      <x:c r="O1263" s="28" t="n">
        <x:v>0</x:v>
      </x:c>
      <x:c r="P1263" s="28" t="n">
        <x:v>0</x:v>
      </x:c>
      <x:c r="Q1263" s="24" t="n">
        <x:f>IFERROR(J1263/H1263,0)</x:f>
        <x:v>0.5555555555555556</x:v>
      </x:c>
      <x:c r="R1263" s="24" t="n">
        <x:f>IFERROR(F1263/H1263,0)</x:f>
        <x:v>0.2222222222222222</x:v>
      </x:c>
      <x:c r="S1263" s="24" t="n">
        <x:f>IFERROR(F1263/J1263,0)</x:f>
        <x:v>0.4</x:v>
      </x:c>
      <x:c r="T1263" s="28" t="n">
        <x:f>H1263-I1263</x:f>
        <x:v>-5</x:v>
      </x:c>
      <x:c r="U1263" s="24" t="n">
        <x:f>IFERROR(J1263/H1263,0)-IFERROR(K1263/I1263,0)</x:f>
        <x:v>0.12698412698412703</x:v>
      </x:c>
      <x:c r="V1263" s="24" t="n">
        <x:f>IFERROR(F1263/J1263,0)-IFERROR(G1263/K1263,0)</x:f>
        <x:v>-0.09999999999999998</x:v>
      </x:c>
      <x:c r="W1263" s="28" t="n">
        <x:f>L1263-M1263</x:f>
        <x:v>1</x:v>
      </x:c>
      <x:c r="X1263" s="24" t="n">
        <x:f>IFERROR(K1263/I1263,0)</x:f>
        <x:v>0.42857142857142855</x:v>
      </x:c>
      <x:c r="Y1263" s="24" t="n">
        <x:f>IFERROR(G1263/I1263,0)</x:f>
        <x:v>0.21428571428571427</x:v>
      </x:c>
      <x:c r="Z1263" s="24" t="n">
        <x:f>IFERROR(G1263/K1263,0)</x:f>
        <x:v>0.5</x:v>
      </x:c>
      <x:c r="AA1263" s="24" t="n">
        <x:f>IFERROR(F1263/H1263,0)-IFERROR(G1263/I1263,0)</x:f>
        <x:v>0.007936507936507936</x:v>
      </x:c>
      <x:c r="AB1263" s="28" t="n">
        <x:f>J1263-K1263</x:f>
        <x:v>-1</x:v>
      </x:c>
      <x:c r="AC1263" s="32" t="n">
        <x:f>F1263-G1263</x:f>
        <x:v>-1</x:v>
      </x:c>
    </x:row>
    <x:row r="1264">
      <x:c r="A1264" s="4" t="str">
        <x:v>2022-23</x:v>
      </x:c>
      <x:c r="B1264" s="20" t="n">
        <x:v>44996</x:v>
      </x:c>
      <x:c r="C1264" s="4" t="str">
        <x:v>Bournemouth</x:v>
      </x:c>
      <x:c r="D1264" s="4" t="str">
        <x:v>Liverpool</x:v>
      </x:c>
      <x:c r="E1264" s="4" t="str">
        <x:v>Home</x:v>
      </x:c>
      <x:c r="F1264" s="28" t="n">
        <x:v>1</x:v>
      </x:c>
      <x:c r="G1264" s="28" t="n">
        <x:v>0</x:v>
      </x:c>
      <x:c r="H1264" s="28" t="n">
        <x:v>5</x:v>
      </x:c>
      <x:c r="I1264" s="28" t="n">
        <x:v>15</x:v>
      </x:c>
      <x:c r="J1264" s="28" t="n">
        <x:v>2</x:v>
      </x:c>
      <x:c r="K1264" s="28" t="n">
        <x:v>6</x:v>
      </x:c>
      <x:c r="L1264" s="28" t="n">
        <x:v>3</x:v>
      </x:c>
      <x:c r="M1264" s="28" t="n">
        <x:v>8</x:v>
      </x:c>
      <x:c r="N1264" s="28" t="n">
        <x:v>2</x:v>
      </x:c>
      <x:c r="O1264" s="28" t="n">
        <x:v>0</x:v>
      </x:c>
      <x:c r="P1264" s="28" t="n">
        <x:v>3</x:v>
      </x:c>
      <x:c r="Q1264" s="24" t="n">
        <x:f>IFERROR(J1264/H1264,0)</x:f>
        <x:v>0.4</x:v>
      </x:c>
      <x:c r="R1264" s="24" t="n">
        <x:f>IFERROR(F1264/H1264,0)</x:f>
        <x:v>0.2</x:v>
      </x:c>
      <x:c r="S1264" s="24" t="n">
        <x:f>IFERROR(F1264/J1264,0)</x:f>
        <x:v>0.5</x:v>
      </x:c>
      <x:c r="T1264" s="28" t="n">
        <x:f>H1264-I1264</x:f>
        <x:v>-10</x:v>
      </x:c>
      <x:c r="U1264" s="24" t="n">
        <x:f>IFERROR(J1264/H1264,0)-IFERROR(K1264/I1264,0)</x:f>
        <x:v>0</x:v>
      </x:c>
      <x:c r="V1264" s="24" t="n">
        <x:f>IFERROR(F1264/J1264,0)-IFERROR(G1264/K1264,0)</x:f>
        <x:v>0.5</x:v>
      </x:c>
      <x:c r="W1264" s="28" t="n">
        <x:f>L1264-M1264</x:f>
        <x:v>-5</x:v>
      </x:c>
      <x:c r="X1264" s="24" t="n">
        <x:f>IFERROR(K1264/I1264,0)</x:f>
        <x:v>0.4</x:v>
      </x:c>
      <x:c r="Y1264" s="24" t="n">
        <x:f>IFERROR(G1264/I1264,0)</x:f>
        <x:v>0</x:v>
      </x:c>
      <x:c r="Z1264" s="24" t="n">
        <x:f>IFERROR(G1264/K1264,0)</x:f>
        <x:v>0</x:v>
      </x:c>
      <x:c r="AA1264" s="24" t="n">
        <x:f>IFERROR(F1264/H1264,0)-IFERROR(G1264/I1264,0)</x:f>
        <x:v>0.2</x:v>
      </x:c>
      <x:c r="AB1264" s="28" t="n">
        <x:f>J1264-K1264</x:f>
        <x:v>-4</x:v>
      </x:c>
      <x:c r="AC1264" s="32" t="n">
        <x:f>F1264-G1264</x:f>
        <x:v>1</x:v>
      </x:c>
    </x:row>
    <x:row r="1265">
      <x:c r="A1265" s="4" t="str">
        <x:v>2022-23</x:v>
      </x:c>
      <x:c r="B1265" s="20" t="n">
        <x:v>44996</x:v>
      </x:c>
      <x:c r="C1265" s="4" t="str">
        <x:v>Brentford</x:v>
      </x:c>
      <x:c r="D1265" s="4" t="str">
        <x:v>Everton</x:v>
      </x:c>
      <x:c r="E1265" s="4" t="str">
        <x:v>Away</x:v>
      </x:c>
      <x:c r="F1265" s="28" t="n">
        <x:v>0</x:v>
      </x:c>
      <x:c r="G1265" s="28" t="n">
        <x:v>1</x:v>
      </x:c>
      <x:c r="H1265" s="28" t="n">
        <x:v>12</x:v>
      </x:c>
      <x:c r="I1265" s="28" t="n">
        <x:v>13</x:v>
      </x:c>
      <x:c r="J1265" s="28" t="n">
        <x:v>4</x:v>
      </x:c>
      <x:c r="K1265" s="28" t="n">
        <x:v>6</x:v>
      </x:c>
      <x:c r="L1265" s="28" t="n">
        <x:v>8</x:v>
      </x:c>
      <x:c r="M1265" s="28" t="n">
        <x:v>5</x:v>
      </x:c>
      <x:c r="N1265" s="28" t="n">
        <x:v>1</x:v>
      </x:c>
      <x:c r="O1265" s="28" t="n">
        <x:v>0</x:v>
      </x:c>
      <x:c r="P1265" s="28" t="n">
        <x:v>0</x:v>
      </x:c>
      <x:c r="Q1265" s="24" t="n">
        <x:f>IFERROR(J1265/H1265,0)</x:f>
        <x:v>0.3333333333333333</x:v>
      </x:c>
      <x:c r="R1265" s="24" t="n">
        <x:f>IFERROR(F1265/H1265,0)</x:f>
        <x:v>0</x:v>
      </x:c>
      <x:c r="S1265" s="24" t="n">
        <x:f>IFERROR(F1265/J1265,0)</x:f>
        <x:v>0</x:v>
      </x:c>
      <x:c r="T1265" s="28" t="n">
        <x:f>H1265-I1265</x:f>
        <x:v>-1</x:v>
      </x:c>
      <x:c r="U1265" s="24" t="n">
        <x:f>IFERROR(J1265/H1265,0)-IFERROR(K1265/I1265,0)</x:f>
        <x:v>-0.12820512820512825</x:v>
      </x:c>
      <x:c r="V1265" s="24" t="n">
        <x:f>IFERROR(F1265/J1265,0)-IFERROR(G1265/K1265,0)</x:f>
        <x:v>-0.16666666666666666</x:v>
      </x:c>
      <x:c r="W1265" s="28" t="n">
        <x:f>L1265-M1265</x:f>
        <x:v>3</x:v>
      </x:c>
      <x:c r="X1265" s="24" t="n">
        <x:f>IFERROR(K1265/I1265,0)</x:f>
        <x:v>0.46153846153846156</x:v>
      </x:c>
      <x:c r="Y1265" s="24" t="n">
        <x:f>IFERROR(G1265/I1265,0)</x:f>
        <x:v>0.07692307692307693</x:v>
      </x:c>
      <x:c r="Z1265" s="24" t="n">
        <x:f>IFERROR(G1265/K1265,0)</x:f>
        <x:v>0.16666666666666666</x:v>
      </x:c>
      <x:c r="AA1265" s="24" t="n">
        <x:f>IFERROR(F1265/H1265,0)-IFERROR(G1265/I1265,0)</x:f>
        <x:v>-0.07692307692307693</x:v>
      </x:c>
      <x:c r="AB1265" s="28" t="n">
        <x:f>J1265-K1265</x:f>
        <x:v>-2</x:v>
      </x:c>
      <x:c r="AC1265" s="32" t="n">
        <x:f>F1265-G1265</x:f>
        <x:v>-1</x:v>
      </x:c>
    </x:row>
    <x:row r="1266">
      <x:c r="A1266" s="4" t="str">
        <x:v>2022-23</x:v>
      </x:c>
      <x:c r="B1266" s="20" t="n">
        <x:v>44996</x:v>
      </x:c>
      <x:c r="C1266" s="4" t="str">
        <x:v>Brighton</x:v>
      </x:c>
      <x:c r="D1266" s="4" t="str">
        <x:v>Leeds</x:v>
      </x:c>
      <x:c r="E1266" s="4" t="str">
        <x:v>Away</x:v>
      </x:c>
      <x:c r="F1266" s="28" t="n">
        <x:v>2</x:v>
      </x:c>
      <x:c r="G1266" s="28" t="n">
        <x:v>2</x:v>
      </x:c>
      <x:c r="H1266" s="28" t="n">
        <x:v>14</x:v>
      </x:c>
      <x:c r="I1266" s="28" t="n">
        <x:v>12</x:v>
      </x:c>
      <x:c r="J1266" s="28" t="n">
        <x:v>2</x:v>
      </x:c>
      <x:c r="K1266" s="28" t="n">
        <x:v>4</x:v>
      </x:c>
      <x:c r="L1266" s="28" t="n">
        <x:v>7</x:v>
      </x:c>
      <x:c r="M1266" s="28" t="n">
        <x:v>4</x:v>
      </x:c>
      <x:c r="N1266" s="28" t="n">
        <x:v>1</x:v>
      </x:c>
      <x:c r="O1266" s="28" t="n">
        <x:v>0</x:v>
      </x:c>
      <x:c r="P1266" s="28" t="n">
        <x:v>1</x:v>
      </x:c>
      <x:c r="Q1266" s="24" t="n">
        <x:f>IFERROR(J1266/H1266,0)</x:f>
        <x:v>0.14285714285714285</x:v>
      </x:c>
      <x:c r="R1266" s="24" t="n">
        <x:f>IFERROR(F1266/H1266,0)</x:f>
        <x:v>0.14285714285714285</x:v>
      </x:c>
      <x:c r="S1266" s="24" t="n">
        <x:f>IFERROR(F1266/J1266,0)</x:f>
        <x:v>1</x:v>
      </x:c>
      <x:c r="T1266" s="28" t="n">
        <x:f>H1266-I1266</x:f>
        <x:v>2</x:v>
      </x:c>
      <x:c r="U1266" s="24" t="n">
        <x:f>IFERROR(J1266/H1266,0)-IFERROR(K1266/I1266,0)</x:f>
        <x:v>-0.19047619047619047</x:v>
      </x:c>
      <x:c r="V1266" s="24" t="n">
        <x:f>IFERROR(F1266/J1266,0)-IFERROR(G1266/K1266,0)</x:f>
        <x:v>0.5</x:v>
      </x:c>
      <x:c r="W1266" s="28" t="n">
        <x:f>L1266-M1266</x:f>
        <x:v>3</x:v>
      </x:c>
      <x:c r="X1266" s="24" t="n">
        <x:f>IFERROR(K1266/I1266,0)</x:f>
        <x:v>0.3333333333333333</x:v>
      </x:c>
      <x:c r="Y1266" s="24" t="n">
        <x:f>IFERROR(G1266/I1266,0)</x:f>
        <x:v>0.16666666666666666</x:v>
      </x:c>
      <x:c r="Z1266" s="24" t="n">
        <x:f>IFERROR(G1266/K1266,0)</x:f>
        <x:v>0.5</x:v>
      </x:c>
      <x:c r="AA1266" s="24" t="n">
        <x:f>IFERROR(F1266/H1266,0)-IFERROR(G1266/I1266,0)</x:f>
        <x:v>-0.023809523809523808</x:v>
      </x:c>
      <x:c r="AB1266" s="28" t="n">
        <x:f>J1266-K1266</x:f>
        <x:v>-2</x:v>
      </x:c>
      <x:c r="AC1266" s="32" t="n">
        <x:f>F1266-G1266</x:f>
        <x:v>0</x:v>
      </x:c>
    </x:row>
    <x:row r="1267">
      <x:c r="A1267" s="4" t="str">
        <x:v>2022-23</x:v>
      </x:c>
      <x:c r="B1267" s="20" t="n">
        <x:v>44996</x:v>
      </x:c>
      <x:c r="C1267" s="4" t="str">
        <x:v>Chelsea</x:v>
      </x:c>
      <x:c r="D1267" s="4" t="str">
        <x:v>Leicester</x:v>
      </x:c>
      <x:c r="E1267" s="4" t="str">
        <x:v>Away</x:v>
      </x:c>
      <x:c r="F1267" s="28" t="n">
        <x:v>3</x:v>
      </x:c>
      <x:c r="G1267" s="28" t="n">
        <x:v>1</x:v>
      </x:c>
      <x:c r="H1267" s="28" t="n">
        <x:v>12</x:v>
      </x:c>
      <x:c r="I1267" s="28" t="n">
        <x:v>17</x:v>
      </x:c>
      <x:c r="J1267" s="28" t="n">
        <x:v>6</x:v>
      </x:c>
      <x:c r="K1267" s="28" t="n">
        <x:v>7</x:v>
      </x:c>
      <x:c r="L1267" s="28" t="n">
        <x:v>5</x:v>
      </x:c>
      <x:c r="M1267" s="28" t="n">
        <x:v>2</x:v>
      </x:c>
      <x:c r="N1267" s="28" t="n">
        <x:v>2</x:v>
      </x:c>
      <x:c r="O1267" s="28" t="n">
        <x:v>0</x:v>
      </x:c>
      <x:c r="P1267" s="28" t="n">
        <x:v>3</x:v>
      </x:c>
      <x:c r="Q1267" s="24" t="n">
        <x:f>IFERROR(J1267/H1267,0)</x:f>
        <x:v>0.5</x:v>
      </x:c>
      <x:c r="R1267" s="24" t="n">
        <x:f>IFERROR(F1267/H1267,0)</x:f>
        <x:v>0.25</x:v>
      </x:c>
      <x:c r="S1267" s="24" t="n">
        <x:f>IFERROR(F1267/J1267,0)</x:f>
        <x:v>0.5</x:v>
      </x:c>
      <x:c r="T1267" s="28" t="n">
        <x:f>H1267-I1267</x:f>
        <x:v>-5</x:v>
      </x:c>
      <x:c r="U1267" s="24" t="n">
        <x:f>IFERROR(J1267/H1267,0)-IFERROR(K1267/I1267,0)</x:f>
        <x:v>0.08823529411764708</x:v>
      </x:c>
      <x:c r="V1267" s="24" t="n">
        <x:f>IFERROR(F1267/J1267,0)-IFERROR(G1267/K1267,0)</x:f>
        <x:v>0.35714285714285715</x:v>
      </x:c>
      <x:c r="W1267" s="28" t="n">
        <x:f>L1267-M1267</x:f>
        <x:v>3</x:v>
      </x:c>
      <x:c r="X1267" s="24" t="n">
        <x:f>IFERROR(K1267/I1267,0)</x:f>
        <x:v>0.4117647058823529</x:v>
      </x:c>
      <x:c r="Y1267" s="24" t="n">
        <x:f>IFERROR(G1267/I1267,0)</x:f>
        <x:v>0.058823529411764705</x:v>
      </x:c>
      <x:c r="Z1267" s="24" t="n">
        <x:f>IFERROR(G1267/K1267,0)</x:f>
        <x:v>0.14285714285714285</x:v>
      </x:c>
      <x:c r="AA1267" s="24" t="n">
        <x:f>IFERROR(F1267/H1267,0)-IFERROR(G1267/I1267,0)</x:f>
        <x:v>0.19117647058823528</x:v>
      </x:c>
      <x:c r="AB1267" s="28" t="n">
        <x:f>J1267-K1267</x:f>
        <x:v>-1</x:v>
      </x:c>
      <x:c r="AC1267" s="32" t="n">
        <x:f>F1267-G1267</x:f>
        <x:v>2</x:v>
      </x:c>
    </x:row>
    <x:row r="1268">
      <x:c r="A1268" s="4" t="str">
        <x:v>2022-23</x:v>
      </x:c>
      <x:c r="B1268" s="20" t="n">
        <x:v>44996</x:v>
      </x:c>
      <x:c r="C1268" s="4" t="str">
        <x:v>Crystal Palace</x:v>
      </x:c>
      <x:c r="D1268" s="4" t="str">
        <x:v>Man City</x:v>
      </x:c>
      <x:c r="E1268" s="4" t="str">
        <x:v>Home</x:v>
      </x:c>
      <x:c r="F1268" s="28" t="n">
        <x:v>0</x:v>
      </x:c>
      <x:c r="G1268" s="28" t="n">
        <x:v>1</x:v>
      </x:c>
      <x:c r="H1268" s="28" t="n">
        <x:v>4</x:v>
      </x:c>
      <x:c r="I1268" s="28" t="n">
        <x:v>14</x:v>
      </x:c>
      <x:c r="J1268" s="28" t="n">
        <x:v>0</x:v>
      </x:c>
      <x:c r="K1268" s="28" t="n">
        <x:v>4</x:v>
      </x:c>
      <x:c r="L1268" s="28" t="n">
        <x:v>2</x:v>
      </x:c>
      <x:c r="M1268" s="28" t="n">
        <x:v>6</x:v>
      </x:c>
      <x:c r="N1268" s="28" t="n">
        <x:v>2</x:v>
      </x:c>
      <x:c r="O1268" s="28" t="n">
        <x:v>0</x:v>
      </x:c>
      <x:c r="P1268" s="28" t="n">
        <x:v>0</x:v>
      </x:c>
      <x:c r="Q1268" s="24" t="n">
        <x:f>IFERROR(J1268/H1268,0)</x:f>
        <x:v>0</x:v>
      </x:c>
      <x:c r="R1268" s="24" t="n">
        <x:f>IFERROR(F1268/H1268,0)</x:f>
        <x:v>0</x:v>
      </x:c>
      <x:c r="S1268" s="24" t="n">
        <x:f>IFERROR(F1268/J1268,0)</x:f>
        <x:v>0</x:v>
      </x:c>
      <x:c r="T1268" s="28" t="n">
        <x:f>H1268-I1268</x:f>
        <x:v>-10</x:v>
      </x:c>
      <x:c r="U1268" s="24" t="n">
        <x:f>IFERROR(J1268/H1268,0)-IFERROR(K1268/I1268,0)</x:f>
        <x:v>-0.2857142857142857</x:v>
      </x:c>
      <x:c r="V1268" s="24" t="n">
        <x:f>IFERROR(F1268/J1268,0)-IFERROR(G1268/K1268,0)</x:f>
        <x:v>-0.25</x:v>
      </x:c>
      <x:c r="W1268" s="28" t="n">
        <x:f>L1268-M1268</x:f>
        <x:v>-4</x:v>
      </x:c>
      <x:c r="X1268" s="24" t="n">
        <x:f>IFERROR(K1268/I1268,0)</x:f>
        <x:v>0.2857142857142857</x:v>
      </x:c>
      <x:c r="Y1268" s="24" t="n">
        <x:f>IFERROR(G1268/I1268,0)</x:f>
        <x:v>0.07142857142857142</x:v>
      </x:c>
      <x:c r="Z1268" s="24" t="n">
        <x:f>IFERROR(G1268/K1268,0)</x:f>
        <x:v>0.25</x:v>
      </x:c>
      <x:c r="AA1268" s="24" t="n">
        <x:f>IFERROR(F1268/H1268,0)-IFERROR(G1268/I1268,0)</x:f>
        <x:v>-0.07142857142857142</x:v>
      </x:c>
      <x:c r="AB1268" s="28" t="n">
        <x:f>J1268-K1268</x:f>
        <x:v>-4</x:v>
      </x:c>
      <x:c r="AC1268" s="32" t="n">
        <x:f>F1268-G1268</x:f>
        <x:v>-1</x:v>
      </x:c>
    </x:row>
    <x:row r="1269">
      <x:c r="A1269" s="4" t="str">
        <x:v>2022-23</x:v>
      </x:c>
      <x:c r="B1269" s="20" t="n">
        <x:v>44996</x:v>
      </x:c>
      <x:c r="C1269" s="4" t="str">
        <x:v>Everton</x:v>
      </x:c>
      <x:c r="D1269" s="4" t="str">
        <x:v>Brentford</x:v>
      </x:c>
      <x:c r="E1269" s="4" t="str">
        <x:v>Home</x:v>
      </x:c>
      <x:c r="F1269" s="28" t="n">
        <x:v>1</x:v>
      </x:c>
      <x:c r="G1269" s="28" t="n">
        <x:v>0</x:v>
      </x:c>
      <x:c r="H1269" s="28" t="n">
        <x:v>13</x:v>
      </x:c>
      <x:c r="I1269" s="28" t="n">
        <x:v>12</x:v>
      </x:c>
      <x:c r="J1269" s="28" t="n">
        <x:v>6</x:v>
      </x:c>
      <x:c r="K1269" s="28" t="n">
        <x:v>4</x:v>
      </x:c>
      <x:c r="L1269" s="28" t="n">
        <x:v>5</x:v>
      </x:c>
      <x:c r="M1269" s="28" t="n">
        <x:v>8</x:v>
      </x:c>
      <x:c r="N1269" s="28" t="n">
        <x:v>2</x:v>
      </x:c>
      <x:c r="O1269" s="28" t="n">
        <x:v>0</x:v>
      </x:c>
      <x:c r="P1269" s="28" t="n">
        <x:v>3</x:v>
      </x:c>
      <x:c r="Q1269" s="24" t="n">
        <x:f>IFERROR(J1269/H1269,0)</x:f>
        <x:v>0.46153846153846156</x:v>
      </x:c>
      <x:c r="R1269" s="24" t="n">
        <x:f>IFERROR(F1269/H1269,0)</x:f>
        <x:v>0.07692307692307693</x:v>
      </x:c>
      <x:c r="S1269" s="24" t="n">
        <x:f>IFERROR(F1269/J1269,0)</x:f>
        <x:v>0.16666666666666666</x:v>
      </x:c>
      <x:c r="T1269" s="28" t="n">
        <x:f>H1269-I1269</x:f>
        <x:v>1</x:v>
      </x:c>
      <x:c r="U1269" s="24" t="n">
        <x:f>IFERROR(J1269/H1269,0)-IFERROR(K1269/I1269,0)</x:f>
        <x:v>0.12820512820512825</x:v>
      </x:c>
      <x:c r="V1269" s="24" t="n">
        <x:f>IFERROR(F1269/J1269,0)-IFERROR(G1269/K1269,0)</x:f>
        <x:v>0.16666666666666666</x:v>
      </x:c>
      <x:c r="W1269" s="28" t="n">
        <x:f>L1269-M1269</x:f>
        <x:v>-3</x:v>
      </x:c>
      <x:c r="X1269" s="24" t="n">
        <x:f>IFERROR(K1269/I1269,0)</x:f>
        <x:v>0.3333333333333333</x:v>
      </x:c>
      <x:c r="Y1269" s="24" t="n">
        <x:f>IFERROR(G1269/I1269,0)</x:f>
        <x:v>0</x:v>
      </x:c>
      <x:c r="Z1269" s="24" t="n">
        <x:f>IFERROR(G1269/K1269,0)</x:f>
        <x:v>0</x:v>
      </x:c>
      <x:c r="AA1269" s="24" t="n">
        <x:f>IFERROR(F1269/H1269,0)-IFERROR(G1269/I1269,0)</x:f>
        <x:v>0.07692307692307693</x:v>
      </x:c>
      <x:c r="AB1269" s="28" t="n">
        <x:f>J1269-K1269</x:f>
        <x:v>2</x:v>
      </x:c>
      <x:c r="AC1269" s="32" t="n">
        <x:f>F1269-G1269</x:f>
        <x:v>1</x:v>
      </x:c>
    </x:row>
    <x:row r="1270">
      <x:c r="A1270" s="4" t="str">
        <x:v>2022-23</x:v>
      </x:c>
      <x:c r="B1270" s="20" t="n">
        <x:v>44996</x:v>
      </x:c>
      <x:c r="C1270" s="4" t="str">
        <x:v>Leeds</x:v>
      </x:c>
      <x:c r="D1270" s="4" t="str">
        <x:v>Brighton</x:v>
      </x:c>
      <x:c r="E1270" s="4" t="str">
        <x:v>Home</x:v>
      </x:c>
      <x:c r="F1270" s="28" t="n">
        <x:v>2</x:v>
      </x:c>
      <x:c r="G1270" s="28" t="n">
        <x:v>2</x:v>
      </x:c>
      <x:c r="H1270" s="28" t="n">
        <x:v>12</x:v>
      </x:c>
      <x:c r="I1270" s="28" t="n">
        <x:v>14</x:v>
      </x:c>
      <x:c r="J1270" s="28" t="n">
        <x:v>4</x:v>
      </x:c>
      <x:c r="K1270" s="28" t="n">
        <x:v>2</x:v>
      </x:c>
      <x:c r="L1270" s="28" t="n">
        <x:v>4</x:v>
      </x:c>
      <x:c r="M1270" s="28" t="n">
        <x:v>7</x:v>
      </x:c>
      <x:c r="N1270" s="28" t="n">
        <x:v>1</x:v>
      </x:c>
      <x:c r="O1270" s="28" t="n">
        <x:v>0</x:v>
      </x:c>
      <x:c r="P1270" s="28" t="n">
        <x:v>1</x:v>
      </x:c>
      <x:c r="Q1270" s="24" t="n">
        <x:f>IFERROR(J1270/H1270,0)</x:f>
        <x:v>0.3333333333333333</x:v>
      </x:c>
      <x:c r="R1270" s="24" t="n">
        <x:f>IFERROR(F1270/H1270,0)</x:f>
        <x:v>0.16666666666666666</x:v>
      </x:c>
      <x:c r="S1270" s="24" t="n">
        <x:f>IFERROR(F1270/J1270,0)</x:f>
        <x:v>0.5</x:v>
      </x:c>
      <x:c r="T1270" s="28" t="n">
        <x:f>H1270-I1270</x:f>
        <x:v>-2</x:v>
      </x:c>
      <x:c r="U1270" s="24" t="n">
        <x:f>IFERROR(J1270/H1270,0)-IFERROR(K1270/I1270,0)</x:f>
        <x:v>0.19047619047619047</x:v>
      </x:c>
      <x:c r="V1270" s="24" t="n">
        <x:f>IFERROR(F1270/J1270,0)-IFERROR(G1270/K1270,0)</x:f>
        <x:v>-0.5</x:v>
      </x:c>
      <x:c r="W1270" s="28" t="n">
        <x:f>L1270-M1270</x:f>
        <x:v>-3</x:v>
      </x:c>
      <x:c r="X1270" s="24" t="n">
        <x:f>IFERROR(K1270/I1270,0)</x:f>
        <x:v>0.14285714285714285</x:v>
      </x:c>
      <x:c r="Y1270" s="24" t="n">
        <x:f>IFERROR(G1270/I1270,0)</x:f>
        <x:v>0.14285714285714285</x:v>
      </x:c>
      <x:c r="Z1270" s="24" t="n">
        <x:f>IFERROR(G1270/K1270,0)</x:f>
        <x:v>1</x:v>
      </x:c>
      <x:c r="AA1270" s="24" t="n">
        <x:f>IFERROR(F1270/H1270,0)-IFERROR(G1270/I1270,0)</x:f>
        <x:v>0.023809523809523808</x:v>
      </x:c>
      <x:c r="AB1270" s="28" t="n">
        <x:f>J1270-K1270</x:f>
        <x:v>2</x:v>
      </x:c>
      <x:c r="AC1270" s="32" t="n">
        <x:f>F1270-G1270</x:f>
        <x:v>0</x:v>
      </x:c>
    </x:row>
    <x:row r="1271">
      <x:c r="A1271" s="4" t="str">
        <x:v>2022-23</x:v>
      </x:c>
      <x:c r="B1271" s="20" t="n">
        <x:v>44996</x:v>
      </x:c>
      <x:c r="C1271" s="4" t="str">
        <x:v>Leicester</x:v>
      </x:c>
      <x:c r="D1271" s="4" t="str">
        <x:v>Chelsea</x:v>
      </x:c>
      <x:c r="E1271" s="4" t="str">
        <x:v>Home</x:v>
      </x:c>
      <x:c r="F1271" s="28" t="n">
        <x:v>1</x:v>
      </x:c>
      <x:c r="G1271" s="28" t="n">
        <x:v>3</x:v>
      </x:c>
      <x:c r="H1271" s="28" t="n">
        <x:v>17</x:v>
      </x:c>
      <x:c r="I1271" s="28" t="n">
        <x:v>12</x:v>
      </x:c>
      <x:c r="J1271" s="28" t="n">
        <x:v>7</x:v>
      </x:c>
      <x:c r="K1271" s="28" t="n">
        <x:v>6</x:v>
      </x:c>
      <x:c r="L1271" s="28" t="n">
        <x:v>2</x:v>
      </x:c>
      <x:c r="M1271" s="28" t="n">
        <x:v>5</x:v>
      </x:c>
      <x:c r="N1271" s="28" t="n">
        <x:v>1</x:v>
      </x:c>
      <x:c r="O1271" s="28" t="n">
        <x:v>1</x:v>
      </x:c>
      <x:c r="P1271" s="28" t="n">
        <x:v>0</x:v>
      </x:c>
      <x:c r="Q1271" s="24" t="n">
        <x:f>IFERROR(J1271/H1271,0)</x:f>
        <x:v>0.4117647058823529</x:v>
      </x:c>
      <x:c r="R1271" s="24" t="n">
        <x:f>IFERROR(F1271/H1271,0)</x:f>
        <x:v>0.058823529411764705</x:v>
      </x:c>
      <x:c r="S1271" s="24" t="n">
        <x:f>IFERROR(F1271/J1271,0)</x:f>
        <x:v>0.14285714285714285</x:v>
      </x:c>
      <x:c r="T1271" s="28" t="n">
        <x:f>H1271-I1271</x:f>
        <x:v>5</x:v>
      </x:c>
      <x:c r="U1271" s="24" t="n">
        <x:f>IFERROR(J1271/H1271,0)-IFERROR(K1271/I1271,0)</x:f>
        <x:v>-0.08823529411764708</x:v>
      </x:c>
      <x:c r="V1271" s="24" t="n">
        <x:f>IFERROR(F1271/J1271,0)-IFERROR(G1271/K1271,0)</x:f>
        <x:v>-0.35714285714285715</x:v>
      </x:c>
      <x:c r="W1271" s="28" t="n">
        <x:f>L1271-M1271</x:f>
        <x:v>-3</x:v>
      </x:c>
      <x:c r="X1271" s="24" t="n">
        <x:f>IFERROR(K1271/I1271,0)</x:f>
        <x:v>0.5</x:v>
      </x:c>
      <x:c r="Y1271" s="24" t="n">
        <x:f>IFERROR(G1271/I1271,0)</x:f>
        <x:v>0.25</x:v>
      </x:c>
      <x:c r="Z1271" s="24" t="n">
        <x:f>IFERROR(G1271/K1271,0)</x:f>
        <x:v>0.5</x:v>
      </x:c>
      <x:c r="AA1271" s="24" t="n">
        <x:f>IFERROR(F1271/H1271,0)-IFERROR(G1271/I1271,0)</x:f>
        <x:v>-0.19117647058823528</x:v>
      </x:c>
      <x:c r="AB1271" s="28" t="n">
        <x:f>J1271-K1271</x:f>
        <x:v>1</x:v>
      </x:c>
      <x:c r="AC1271" s="32" t="n">
        <x:f>F1271-G1271</x:f>
        <x:v>-2</x:v>
      </x:c>
    </x:row>
    <x:row r="1272">
      <x:c r="A1272" s="4" t="str">
        <x:v>2022-23</x:v>
      </x:c>
      <x:c r="B1272" s="20" t="n">
        <x:v>44996</x:v>
      </x:c>
      <x:c r="C1272" s="4" t="str">
        <x:v>Liverpool</x:v>
      </x:c>
      <x:c r="D1272" s="4" t="str">
        <x:v>Bournemouth</x:v>
      </x:c>
      <x:c r="E1272" s="4" t="str">
        <x:v>Away</x:v>
      </x:c>
      <x:c r="F1272" s="28" t="n">
        <x:v>0</x:v>
      </x:c>
      <x:c r="G1272" s="28" t="n">
        <x:v>1</x:v>
      </x:c>
      <x:c r="H1272" s="28" t="n">
        <x:v>15</x:v>
      </x:c>
      <x:c r="I1272" s="28" t="n">
        <x:v>5</x:v>
      </x:c>
      <x:c r="J1272" s="28" t="n">
        <x:v>6</x:v>
      </x:c>
      <x:c r="K1272" s="28" t="n">
        <x:v>2</x:v>
      </x:c>
      <x:c r="L1272" s="28" t="n">
        <x:v>8</x:v>
      </x:c>
      <x:c r="M1272" s="28" t="n">
        <x:v>3</x:v>
      </x:c>
      <x:c r="N1272" s="28" t="n">
        <x:v>1</x:v>
      </x:c>
      <x:c r="O1272" s="28" t="n">
        <x:v>0</x:v>
      </x:c>
      <x:c r="P1272" s="28" t="n">
        <x:v>0</x:v>
      </x:c>
      <x:c r="Q1272" s="24" t="n">
        <x:f>IFERROR(J1272/H1272,0)</x:f>
        <x:v>0.4</x:v>
      </x:c>
      <x:c r="R1272" s="24" t="n">
        <x:f>IFERROR(F1272/H1272,0)</x:f>
        <x:v>0</x:v>
      </x:c>
      <x:c r="S1272" s="24" t="n">
        <x:f>IFERROR(F1272/J1272,0)</x:f>
        <x:v>0</x:v>
      </x:c>
      <x:c r="T1272" s="28" t="n">
        <x:f>H1272-I1272</x:f>
        <x:v>10</x:v>
      </x:c>
      <x:c r="U1272" s="24" t="n">
        <x:f>IFERROR(J1272/H1272,0)-IFERROR(K1272/I1272,0)</x:f>
        <x:v>0</x:v>
      </x:c>
      <x:c r="V1272" s="24" t="n">
        <x:f>IFERROR(F1272/J1272,0)-IFERROR(G1272/K1272,0)</x:f>
        <x:v>-0.5</x:v>
      </x:c>
      <x:c r="W1272" s="28" t="n">
        <x:f>L1272-M1272</x:f>
        <x:v>5</x:v>
      </x:c>
      <x:c r="X1272" s="24" t="n">
        <x:f>IFERROR(K1272/I1272,0)</x:f>
        <x:v>0.4</x:v>
      </x:c>
      <x:c r="Y1272" s="24" t="n">
        <x:f>IFERROR(G1272/I1272,0)</x:f>
        <x:v>0.2</x:v>
      </x:c>
      <x:c r="Z1272" s="24" t="n">
        <x:f>IFERROR(G1272/K1272,0)</x:f>
        <x:v>0.5</x:v>
      </x:c>
      <x:c r="AA1272" s="24" t="n">
        <x:f>IFERROR(F1272/H1272,0)-IFERROR(G1272/I1272,0)</x:f>
        <x:v>-0.2</x:v>
      </x:c>
      <x:c r="AB1272" s="28" t="n">
        <x:f>J1272-K1272</x:f>
        <x:v>4</x:v>
      </x:c>
      <x:c r="AC1272" s="32" t="n">
        <x:f>F1272-G1272</x:f>
        <x:v>-1</x:v>
      </x:c>
    </x:row>
    <x:row r="1273">
      <x:c r="A1273" s="4" t="str">
        <x:v>2022-23</x:v>
      </x:c>
      <x:c r="B1273" s="20" t="n">
        <x:v>44996</x:v>
      </x:c>
      <x:c r="C1273" s="4" t="str">
        <x:v>Man City</x:v>
      </x:c>
      <x:c r="D1273" s="4" t="str">
        <x:v>Crystal Palace</x:v>
      </x:c>
      <x:c r="E1273" s="4" t="str">
        <x:v>Away</x:v>
      </x:c>
      <x:c r="F1273" s="28" t="n">
        <x:v>1</x:v>
      </x:c>
      <x:c r="G1273" s="28" t="n">
        <x:v>0</x:v>
      </x:c>
      <x:c r="H1273" s="28" t="n">
        <x:v>14</x:v>
      </x:c>
      <x:c r="I1273" s="28" t="n">
        <x:v>4</x:v>
      </x:c>
      <x:c r="J1273" s="28" t="n">
        <x:v>4</x:v>
      </x:c>
      <x:c r="K1273" s="28" t="n">
        <x:v>0</x:v>
      </x:c>
      <x:c r="L1273" s="28" t="n">
        <x:v>6</x:v>
      </x:c>
      <x:c r="M1273" s="28" t="n">
        <x:v>2</x:v>
      </x:c>
      <x:c r="N1273" s="28" t="n">
        <x:v>2</x:v>
      </x:c>
      <x:c r="O1273" s="28" t="n">
        <x:v>0</x:v>
      </x:c>
      <x:c r="P1273" s="28" t="n">
        <x:v>3</x:v>
      </x:c>
      <x:c r="Q1273" s="24" t="n">
        <x:f>IFERROR(J1273/H1273,0)</x:f>
        <x:v>0.2857142857142857</x:v>
      </x:c>
      <x:c r="R1273" s="24" t="n">
        <x:f>IFERROR(F1273/H1273,0)</x:f>
        <x:v>0.07142857142857142</x:v>
      </x:c>
      <x:c r="S1273" s="24" t="n">
        <x:f>IFERROR(F1273/J1273,0)</x:f>
        <x:v>0.25</x:v>
      </x:c>
      <x:c r="T1273" s="28" t="n">
        <x:f>H1273-I1273</x:f>
        <x:v>10</x:v>
      </x:c>
      <x:c r="U1273" s="24" t="n">
        <x:f>IFERROR(J1273/H1273,0)-IFERROR(K1273/I1273,0)</x:f>
        <x:v>0.2857142857142857</x:v>
      </x:c>
      <x:c r="V1273" s="24" t="n">
        <x:f>IFERROR(F1273/J1273,0)-IFERROR(G1273/K1273,0)</x:f>
        <x:v>0.25</x:v>
      </x:c>
      <x:c r="W1273" s="28" t="n">
        <x:f>L1273-M1273</x:f>
        <x:v>4</x:v>
      </x:c>
      <x:c r="X1273" s="24" t="n">
        <x:f>IFERROR(K1273/I1273,0)</x:f>
        <x:v>0</x:v>
      </x:c>
      <x:c r="Y1273" s="24" t="n">
        <x:f>IFERROR(G1273/I1273,0)</x:f>
        <x:v>0</x:v>
      </x:c>
      <x:c r="Z1273" s="24" t="n">
        <x:f>IFERROR(G1273/K1273,0)</x:f>
        <x:v>0</x:v>
      </x:c>
      <x:c r="AA1273" s="24" t="n">
        <x:f>IFERROR(F1273/H1273,0)-IFERROR(G1273/I1273,0)</x:f>
        <x:v>0.07142857142857142</x:v>
      </x:c>
      <x:c r="AB1273" s="28" t="n">
        <x:f>J1273-K1273</x:f>
        <x:v>4</x:v>
      </x:c>
      <x:c r="AC1273" s="32" t="n">
        <x:f>F1273-G1273</x:f>
        <x:v>1</x:v>
      </x:c>
    </x:row>
    <x:row r="1274">
      <x:c r="A1274" s="4" t="str">
        <x:v>2022-23</x:v>
      </x:c>
      <x:c r="B1274" s="20" t="n">
        <x:v>44996</x:v>
      </x:c>
      <x:c r="C1274" s="4" t="str">
        <x:v>Nott'm Forest</x:v>
      </x:c>
      <x:c r="D1274" s="4" t="str">
        <x:v>Tottenham</x:v>
      </x:c>
      <x:c r="E1274" s="4" t="str">
        <x:v>Away</x:v>
      </x:c>
      <x:c r="F1274" s="28" t="n">
        <x:v>1</x:v>
      </x:c>
      <x:c r="G1274" s="28" t="n">
        <x:v>3</x:v>
      </x:c>
      <x:c r="H1274" s="28" t="n">
        <x:v>9</x:v>
      </x:c>
      <x:c r="I1274" s="28" t="n">
        <x:v>15</x:v>
      </x:c>
      <x:c r="J1274" s="28" t="n">
        <x:v>5</x:v>
      </x:c>
      <x:c r="K1274" s="28" t="n">
        <x:v>7</x:v>
      </x:c>
      <x:c r="L1274" s="28" t="n">
        <x:v>10</x:v>
      </x:c>
      <x:c r="M1274" s="28" t="n">
        <x:v>2</x:v>
      </x:c>
      <x:c r="N1274" s="28" t="n">
        <x:v>1</x:v>
      </x:c>
      <x:c r="O1274" s="28" t="n">
        <x:v>0</x:v>
      </x:c>
      <x:c r="P1274" s="28" t="n">
        <x:v>0</x:v>
      </x:c>
      <x:c r="Q1274" s="24" t="n">
        <x:f>IFERROR(J1274/H1274,0)</x:f>
        <x:v>0.5555555555555556</x:v>
      </x:c>
      <x:c r="R1274" s="24" t="n">
        <x:f>IFERROR(F1274/H1274,0)</x:f>
        <x:v>0.1111111111111111</x:v>
      </x:c>
      <x:c r="S1274" s="24" t="n">
        <x:f>IFERROR(F1274/J1274,0)</x:f>
        <x:v>0.2</x:v>
      </x:c>
      <x:c r="T1274" s="28" t="n">
        <x:f>H1274-I1274</x:f>
        <x:v>-6</x:v>
      </x:c>
      <x:c r="U1274" s="24" t="n">
        <x:f>IFERROR(J1274/H1274,0)-IFERROR(K1274/I1274,0)</x:f>
        <x:v>0.0888888888888889</x:v>
      </x:c>
      <x:c r="V1274" s="24" t="n">
        <x:f>IFERROR(F1274/J1274,0)-IFERROR(G1274/K1274,0)</x:f>
        <x:v>-0.22857142857142854</x:v>
      </x:c>
      <x:c r="W1274" s="28" t="n">
        <x:f>L1274-M1274</x:f>
        <x:v>8</x:v>
      </x:c>
      <x:c r="X1274" s="24" t="n">
        <x:f>IFERROR(K1274/I1274,0)</x:f>
        <x:v>0.4666666666666667</x:v>
      </x:c>
      <x:c r="Y1274" s="24" t="n">
        <x:f>IFERROR(G1274/I1274,0)</x:f>
        <x:v>0.2</x:v>
      </x:c>
      <x:c r="Z1274" s="24" t="n">
        <x:f>IFERROR(G1274/K1274,0)</x:f>
        <x:v>0.42857142857142855</x:v>
      </x:c>
      <x:c r="AA1274" s="24" t="n">
        <x:f>IFERROR(F1274/H1274,0)-IFERROR(G1274/I1274,0)</x:f>
        <x:v>-0.0888888888888889</x:v>
      </x:c>
      <x:c r="AB1274" s="28" t="n">
        <x:f>J1274-K1274</x:f>
        <x:v>-2</x:v>
      </x:c>
      <x:c r="AC1274" s="32" t="n">
        <x:f>F1274-G1274</x:f>
        <x:v>-2</x:v>
      </x:c>
    </x:row>
    <x:row r="1275">
      <x:c r="A1275" s="4" t="str">
        <x:v>2022-23</x:v>
      </x:c>
      <x:c r="B1275" s="20" t="n">
        <x:v>44996</x:v>
      </x:c>
      <x:c r="C1275" s="4" t="str">
        <x:v>Tottenham</x:v>
      </x:c>
      <x:c r="D1275" s="4" t="str">
        <x:v>Nott'm Forest</x:v>
      </x:c>
      <x:c r="E1275" s="4" t="str">
        <x:v>Home</x:v>
      </x:c>
      <x:c r="F1275" s="28" t="n">
        <x:v>3</x:v>
      </x:c>
      <x:c r="G1275" s="28" t="n">
        <x:v>1</x:v>
      </x:c>
      <x:c r="H1275" s="28" t="n">
        <x:v>15</x:v>
      </x:c>
      <x:c r="I1275" s="28" t="n">
        <x:v>9</x:v>
      </x:c>
      <x:c r="J1275" s="28" t="n">
        <x:v>7</x:v>
      </x:c>
      <x:c r="K1275" s="28" t="n">
        <x:v>5</x:v>
      </x:c>
      <x:c r="L1275" s="28" t="n">
        <x:v>2</x:v>
      </x:c>
      <x:c r="M1275" s="28" t="n">
        <x:v>10</x:v>
      </x:c>
      <x:c r="N1275" s="28" t="n">
        <x:v>3</x:v>
      </x:c>
      <x:c r="O1275" s="28" t="n">
        <x:v>0</x:v>
      </x:c>
      <x:c r="P1275" s="28" t="n">
        <x:v>3</x:v>
      </x:c>
      <x:c r="Q1275" s="24" t="n">
        <x:f>IFERROR(J1275/H1275,0)</x:f>
        <x:v>0.4666666666666667</x:v>
      </x:c>
      <x:c r="R1275" s="24" t="n">
        <x:f>IFERROR(F1275/H1275,0)</x:f>
        <x:v>0.2</x:v>
      </x:c>
      <x:c r="S1275" s="24" t="n">
        <x:f>IFERROR(F1275/J1275,0)</x:f>
        <x:v>0.42857142857142855</x:v>
      </x:c>
      <x:c r="T1275" s="28" t="n">
        <x:f>H1275-I1275</x:f>
        <x:v>6</x:v>
      </x:c>
      <x:c r="U1275" s="24" t="n">
        <x:f>IFERROR(J1275/H1275,0)-IFERROR(K1275/I1275,0)</x:f>
        <x:v>-0.0888888888888889</x:v>
      </x:c>
      <x:c r="V1275" s="24" t="n">
        <x:f>IFERROR(F1275/J1275,0)-IFERROR(G1275/K1275,0)</x:f>
        <x:v>0.22857142857142854</x:v>
      </x:c>
      <x:c r="W1275" s="28" t="n">
        <x:f>L1275-M1275</x:f>
        <x:v>-8</x:v>
      </x:c>
      <x:c r="X1275" s="24" t="n">
        <x:f>IFERROR(K1275/I1275,0)</x:f>
        <x:v>0.5555555555555556</x:v>
      </x:c>
      <x:c r="Y1275" s="24" t="n">
        <x:f>IFERROR(G1275/I1275,0)</x:f>
        <x:v>0.1111111111111111</x:v>
      </x:c>
      <x:c r="Z1275" s="24" t="n">
        <x:f>IFERROR(G1275/K1275,0)</x:f>
        <x:v>0.2</x:v>
      </x:c>
      <x:c r="AA1275" s="24" t="n">
        <x:f>IFERROR(F1275/H1275,0)-IFERROR(G1275/I1275,0)</x:f>
        <x:v>0.0888888888888889</x:v>
      </x:c>
      <x:c r="AB1275" s="28" t="n">
        <x:f>J1275-K1275</x:f>
        <x:v>2</x:v>
      </x:c>
      <x:c r="AC1275" s="32" t="n">
        <x:f>F1275-G1275</x:f>
        <x:v>2</x:v>
      </x:c>
    </x:row>
    <x:row r="1276">
      <x:c r="A1276" s="4" t="str">
        <x:v>2022-23</x:v>
      </x:c>
      <x:c r="B1276" s="20" t="n">
        <x:v>44997</x:v>
      </x:c>
      <x:c r="C1276" s="4" t="str">
        <x:v>Arsenal</x:v>
      </x:c>
      <x:c r="D1276" s="4" t="str">
        <x:v>Fulham</x:v>
      </x:c>
      <x:c r="E1276" s="4" t="str">
        <x:v>Away</x:v>
      </x:c>
      <x:c r="F1276" s="28" t="n">
        <x:v>3</x:v>
      </x:c>
      <x:c r="G1276" s="28" t="n">
        <x:v>0</x:v>
      </x:c>
      <x:c r="H1276" s="28" t="n">
        <x:v>15</x:v>
      </x:c>
      <x:c r="I1276" s="28" t="n">
        <x:v>12</x:v>
      </x:c>
      <x:c r="J1276" s="28" t="n">
        <x:v>7</x:v>
      </x:c>
      <x:c r="K1276" s="28" t="n">
        <x:v>2</x:v>
      </x:c>
      <x:c r="L1276" s="28" t="n">
        <x:v>8</x:v>
      </x:c>
      <x:c r="M1276" s="28" t="n">
        <x:v>4</x:v>
      </x:c>
      <x:c r="N1276" s="28" t="n">
        <x:v>1</x:v>
      </x:c>
      <x:c r="O1276" s="28" t="n">
        <x:v>0</x:v>
      </x:c>
      <x:c r="P1276" s="28" t="n">
        <x:v>3</x:v>
      </x:c>
      <x:c r="Q1276" s="24" t="n">
        <x:f>IFERROR(J1276/H1276,0)</x:f>
        <x:v>0.4666666666666667</x:v>
      </x:c>
      <x:c r="R1276" s="24" t="n">
        <x:f>IFERROR(F1276/H1276,0)</x:f>
        <x:v>0.2</x:v>
      </x:c>
      <x:c r="S1276" s="24" t="n">
        <x:f>IFERROR(F1276/J1276,0)</x:f>
        <x:v>0.42857142857142855</x:v>
      </x:c>
      <x:c r="T1276" s="28" t="n">
        <x:f>H1276-I1276</x:f>
        <x:v>3</x:v>
      </x:c>
      <x:c r="U1276" s="24" t="n">
        <x:f>IFERROR(J1276/H1276,0)-IFERROR(K1276/I1276,0)</x:f>
        <x:v>0.30000000000000004</x:v>
      </x:c>
      <x:c r="V1276" s="24" t="n">
        <x:f>IFERROR(F1276/J1276,0)-IFERROR(G1276/K1276,0)</x:f>
        <x:v>0.42857142857142855</x:v>
      </x:c>
      <x:c r="W1276" s="28" t="n">
        <x:f>L1276-M1276</x:f>
        <x:v>4</x:v>
      </x:c>
      <x:c r="X1276" s="24" t="n">
        <x:f>IFERROR(K1276/I1276,0)</x:f>
        <x:v>0.16666666666666666</x:v>
      </x:c>
      <x:c r="Y1276" s="24" t="n">
        <x:f>IFERROR(G1276/I1276,0)</x:f>
        <x:v>0</x:v>
      </x:c>
      <x:c r="Z1276" s="24" t="n">
        <x:f>IFERROR(G1276/K1276,0)</x:f>
        <x:v>0</x:v>
      </x:c>
      <x:c r="AA1276" s="24" t="n">
        <x:f>IFERROR(F1276/H1276,0)-IFERROR(G1276/I1276,0)</x:f>
        <x:v>0.2</x:v>
      </x:c>
      <x:c r="AB1276" s="28" t="n">
        <x:f>J1276-K1276</x:f>
        <x:v>5</x:v>
      </x:c>
      <x:c r="AC1276" s="32" t="n">
        <x:f>F1276-G1276</x:f>
        <x:v>3</x:v>
      </x:c>
    </x:row>
    <x:row r="1277">
      <x:c r="A1277" s="4" t="str">
        <x:v>2022-23</x:v>
      </x:c>
      <x:c r="B1277" s="20" t="n">
        <x:v>44997</x:v>
      </x:c>
      <x:c r="C1277" s="4" t="str">
        <x:v>Aston Villa</x:v>
      </x:c>
      <x:c r="D1277" s="4" t="str">
        <x:v>West Ham</x:v>
      </x:c>
      <x:c r="E1277" s="4" t="str">
        <x:v>Away</x:v>
      </x:c>
      <x:c r="F1277" s="28" t="n">
        <x:v>1</x:v>
      </x:c>
      <x:c r="G1277" s="28" t="n">
        <x:v>1</x:v>
      </x:c>
      <x:c r="H1277" s="28" t="n">
        <x:v>12</x:v>
      </x:c>
      <x:c r="I1277" s="28" t="n">
        <x:v>17</x:v>
      </x:c>
      <x:c r="J1277" s="28" t="n">
        <x:v>4</x:v>
      </x:c>
      <x:c r="K1277" s="28" t="n">
        <x:v>6</x:v>
      </x:c>
      <x:c r="L1277" s="28" t="n">
        <x:v>2</x:v>
      </x:c>
      <x:c r="M1277" s="28" t="n">
        <x:v>13</x:v>
      </x:c>
      <x:c r="N1277" s="28" t="n">
        <x:v>0</x:v>
      </x:c>
      <x:c r="O1277" s="28" t="n">
        <x:v>0</x:v>
      </x:c>
      <x:c r="P1277" s="28" t="n">
        <x:v>1</x:v>
      </x:c>
      <x:c r="Q1277" s="24" t="n">
        <x:f>IFERROR(J1277/H1277,0)</x:f>
        <x:v>0.3333333333333333</x:v>
      </x:c>
      <x:c r="R1277" s="24" t="n">
        <x:f>IFERROR(F1277/H1277,0)</x:f>
        <x:v>0.08333333333333333</x:v>
      </x:c>
      <x:c r="S1277" s="24" t="n">
        <x:f>IFERROR(F1277/J1277,0)</x:f>
        <x:v>0.25</x:v>
      </x:c>
      <x:c r="T1277" s="28" t="n">
        <x:f>H1277-I1277</x:f>
        <x:v>-5</x:v>
      </x:c>
      <x:c r="U1277" s="24" t="n">
        <x:f>IFERROR(J1277/H1277,0)-IFERROR(K1277/I1277,0)</x:f>
        <x:v>-0.019607843137254943</x:v>
      </x:c>
      <x:c r="V1277" s="24" t="n">
        <x:f>IFERROR(F1277/J1277,0)-IFERROR(G1277/K1277,0)</x:f>
        <x:v>0.08333333333333334</x:v>
      </x:c>
      <x:c r="W1277" s="28" t="n">
        <x:f>L1277-M1277</x:f>
        <x:v>-11</x:v>
      </x:c>
      <x:c r="X1277" s="24" t="n">
        <x:f>IFERROR(K1277/I1277,0)</x:f>
        <x:v>0.35294117647058826</x:v>
      </x:c>
      <x:c r="Y1277" s="24" t="n">
        <x:f>IFERROR(G1277/I1277,0)</x:f>
        <x:v>0.058823529411764705</x:v>
      </x:c>
      <x:c r="Z1277" s="24" t="n">
        <x:f>IFERROR(G1277/K1277,0)</x:f>
        <x:v>0.16666666666666666</x:v>
      </x:c>
      <x:c r="AA1277" s="24" t="n">
        <x:f>IFERROR(F1277/H1277,0)-IFERROR(G1277/I1277,0)</x:f>
        <x:v>0.024509803921568624</x:v>
      </x:c>
      <x:c r="AB1277" s="28" t="n">
        <x:f>J1277-K1277</x:f>
        <x:v>-2</x:v>
      </x:c>
      <x:c r="AC1277" s="32" t="n">
        <x:f>F1277-G1277</x:f>
        <x:v>0</x:v>
      </x:c>
    </x:row>
    <x:row r="1278">
      <x:c r="A1278" s="4" t="str">
        <x:v>2022-23</x:v>
      </x:c>
      <x:c r="B1278" s="20" t="n">
        <x:v>44997</x:v>
      </x:c>
      <x:c r="C1278" s="4" t="str">
        <x:v>Fulham</x:v>
      </x:c>
      <x:c r="D1278" s="4" t="str">
        <x:v>Arsenal</x:v>
      </x:c>
      <x:c r="E1278" s="4" t="str">
        <x:v>Home</x:v>
      </x:c>
      <x:c r="F1278" s="28" t="n">
        <x:v>0</x:v>
      </x:c>
      <x:c r="G1278" s="28" t="n">
        <x:v>3</x:v>
      </x:c>
      <x:c r="H1278" s="28" t="n">
        <x:v>12</x:v>
      </x:c>
      <x:c r="I1278" s="28" t="n">
        <x:v>15</x:v>
      </x:c>
      <x:c r="J1278" s="28" t="n">
        <x:v>2</x:v>
      </x:c>
      <x:c r="K1278" s="28" t="n">
        <x:v>7</x:v>
      </x:c>
      <x:c r="L1278" s="28" t="n">
        <x:v>4</x:v>
      </x:c>
      <x:c r="M1278" s="28" t="n">
        <x:v>8</x:v>
      </x:c>
      <x:c r="N1278" s="28" t="n">
        <x:v>0</x:v>
      </x:c>
      <x:c r="O1278" s="28" t="n">
        <x:v>0</x:v>
      </x:c>
      <x:c r="P1278" s="28" t="n">
        <x:v>0</x:v>
      </x:c>
      <x:c r="Q1278" s="24" t="n">
        <x:f>IFERROR(J1278/H1278,0)</x:f>
        <x:v>0.16666666666666666</x:v>
      </x:c>
      <x:c r="R1278" s="24" t="n">
        <x:f>IFERROR(F1278/H1278,0)</x:f>
        <x:v>0</x:v>
      </x:c>
      <x:c r="S1278" s="24" t="n">
        <x:f>IFERROR(F1278/J1278,0)</x:f>
        <x:v>0</x:v>
      </x:c>
      <x:c r="T1278" s="28" t="n">
        <x:f>H1278-I1278</x:f>
        <x:v>-3</x:v>
      </x:c>
      <x:c r="U1278" s="24" t="n">
        <x:f>IFERROR(J1278/H1278,0)-IFERROR(K1278/I1278,0)</x:f>
        <x:v>-0.30000000000000004</x:v>
      </x:c>
      <x:c r="V1278" s="24" t="n">
        <x:f>IFERROR(F1278/J1278,0)-IFERROR(G1278/K1278,0)</x:f>
        <x:v>-0.42857142857142855</x:v>
      </x:c>
      <x:c r="W1278" s="28" t="n">
        <x:f>L1278-M1278</x:f>
        <x:v>-4</x:v>
      </x:c>
      <x:c r="X1278" s="24" t="n">
        <x:f>IFERROR(K1278/I1278,0)</x:f>
        <x:v>0.4666666666666667</x:v>
      </x:c>
      <x:c r="Y1278" s="24" t="n">
        <x:f>IFERROR(G1278/I1278,0)</x:f>
        <x:v>0.2</x:v>
      </x:c>
      <x:c r="Z1278" s="24" t="n">
        <x:f>IFERROR(G1278/K1278,0)</x:f>
        <x:v>0.42857142857142855</x:v>
      </x:c>
      <x:c r="AA1278" s="24" t="n">
        <x:f>IFERROR(F1278/H1278,0)-IFERROR(G1278/I1278,0)</x:f>
        <x:v>-0.2</x:v>
      </x:c>
      <x:c r="AB1278" s="28" t="n">
        <x:f>J1278-K1278</x:f>
        <x:v>-5</x:v>
      </x:c>
      <x:c r="AC1278" s="32" t="n">
        <x:f>F1278-G1278</x:f>
        <x:v>-3</x:v>
      </x:c>
    </x:row>
    <x:row r="1279">
      <x:c r="A1279" s="4" t="str">
        <x:v>2022-23</x:v>
      </x:c>
      <x:c r="B1279" s="20" t="n">
        <x:v>44997</x:v>
      </x:c>
      <x:c r="C1279" s="4" t="str">
        <x:v>Man United</x:v>
      </x:c>
      <x:c r="D1279" s="4" t="str">
        <x:v>Southampton</x:v>
      </x:c>
      <x:c r="E1279" s="4" t="str">
        <x:v>Home</x:v>
      </x:c>
      <x:c r="F1279" s="28" t="n">
        <x:v>0</x:v>
      </x:c>
      <x:c r="G1279" s="28" t="n">
        <x:v>0</x:v>
      </x:c>
      <x:c r="H1279" s="28" t="n">
        <x:v>10</x:v>
      </x:c>
      <x:c r="I1279" s="28" t="n">
        <x:v>17</x:v>
      </x:c>
      <x:c r="J1279" s="28" t="n">
        <x:v>4</x:v>
      </x:c>
      <x:c r="K1279" s="28" t="n">
        <x:v>4</x:v>
      </x:c>
      <x:c r="L1279" s="28" t="n">
        <x:v>7</x:v>
      </x:c>
      <x:c r="M1279" s="28" t="n">
        <x:v>8</x:v>
      </x:c>
      <x:c r="N1279" s="28" t="n">
        <x:v>2</x:v>
      </x:c>
      <x:c r="O1279" s="28" t="n">
        <x:v>0</x:v>
      </x:c>
      <x:c r="P1279" s="28" t="n">
        <x:v>1</x:v>
      </x:c>
      <x:c r="Q1279" s="24" t="n">
        <x:f>IFERROR(J1279/H1279,0)</x:f>
        <x:v>0.4</x:v>
      </x:c>
      <x:c r="R1279" s="24" t="n">
        <x:f>IFERROR(F1279/H1279,0)</x:f>
        <x:v>0</x:v>
      </x:c>
      <x:c r="S1279" s="24" t="n">
        <x:f>IFERROR(F1279/J1279,0)</x:f>
        <x:v>0</x:v>
      </x:c>
      <x:c r="T1279" s="28" t="n">
        <x:f>H1279-I1279</x:f>
        <x:v>-7</x:v>
      </x:c>
      <x:c r="U1279" s="24" t="n">
        <x:f>IFERROR(J1279/H1279,0)-IFERROR(K1279/I1279,0)</x:f>
        <x:v>0.1647058823529412</x:v>
      </x:c>
      <x:c r="V1279" s="24" t="n">
        <x:f>IFERROR(F1279/J1279,0)-IFERROR(G1279/K1279,0)</x:f>
        <x:v>0</x:v>
      </x:c>
      <x:c r="W1279" s="28" t="n">
        <x:f>L1279-M1279</x:f>
        <x:v>-1</x:v>
      </x:c>
      <x:c r="X1279" s="24" t="n">
        <x:f>IFERROR(K1279/I1279,0)</x:f>
        <x:v>0.23529411764705882</x:v>
      </x:c>
      <x:c r="Y1279" s="24" t="n">
        <x:f>IFERROR(G1279/I1279,0)</x:f>
        <x:v>0</x:v>
      </x:c>
      <x:c r="Z1279" s="24" t="n">
        <x:f>IFERROR(G1279/K1279,0)</x:f>
        <x:v>0</x:v>
      </x:c>
      <x:c r="AA1279" s="24" t="n">
        <x:f>IFERROR(F1279/H1279,0)-IFERROR(G1279/I1279,0)</x:f>
        <x:v>0</x:v>
      </x:c>
      <x:c r="AB1279" s="28" t="n">
        <x:f>J1279-K1279</x:f>
        <x:v>0</x:v>
      </x:c>
      <x:c r="AC1279" s="32" t="n">
        <x:f>F1279-G1279</x:f>
        <x:v>0</x:v>
      </x:c>
    </x:row>
    <x:row r="1280">
      <x:c r="A1280" s="4" t="str">
        <x:v>2022-23</x:v>
      </x:c>
      <x:c r="B1280" s="20" t="n">
        <x:v>44997</x:v>
      </x:c>
      <x:c r="C1280" s="4" t="str">
        <x:v>Newcastle</x:v>
      </x:c>
      <x:c r="D1280" s="4" t="str">
        <x:v>Wolves</x:v>
      </x:c>
      <x:c r="E1280" s="4" t="str">
        <x:v>Home</x:v>
      </x:c>
      <x:c r="F1280" s="28" t="n">
        <x:v>2</x:v>
      </x:c>
      <x:c r="G1280" s="28" t="n">
        <x:v>1</x:v>
      </x:c>
      <x:c r="H1280" s="28" t="n">
        <x:v>19</x:v>
      </x:c>
      <x:c r="I1280" s="28" t="n">
        <x:v>7</x:v>
      </x:c>
      <x:c r="J1280" s="28" t="n">
        <x:v>8</x:v>
      </x:c>
      <x:c r="K1280" s="28" t="n">
        <x:v>4</x:v>
      </x:c>
      <x:c r="L1280" s="28" t="n">
        <x:v>10</x:v>
      </x:c>
      <x:c r="M1280" s="28" t="n">
        <x:v>3</x:v>
      </x:c>
      <x:c r="N1280" s="28" t="n">
        <x:v>1</x:v>
      </x:c>
      <x:c r="O1280" s="28" t="n">
        <x:v>0</x:v>
      </x:c>
      <x:c r="P1280" s="28" t="n">
        <x:v>3</x:v>
      </x:c>
      <x:c r="Q1280" s="24" t="n">
        <x:f>IFERROR(J1280/H1280,0)</x:f>
        <x:v>0.42105263157894735</x:v>
      </x:c>
      <x:c r="R1280" s="24" t="n">
        <x:f>IFERROR(F1280/H1280,0)</x:f>
        <x:v>0.10526315789473684</x:v>
      </x:c>
      <x:c r="S1280" s="24" t="n">
        <x:f>IFERROR(F1280/J1280,0)</x:f>
        <x:v>0.25</x:v>
      </x:c>
      <x:c r="T1280" s="28" t="n">
        <x:f>H1280-I1280</x:f>
        <x:v>12</x:v>
      </x:c>
      <x:c r="U1280" s="24" t="n">
        <x:f>IFERROR(J1280/H1280,0)-IFERROR(K1280/I1280,0)</x:f>
        <x:v>-0.15037593984962405</x:v>
      </x:c>
      <x:c r="V1280" s="24" t="n">
        <x:f>IFERROR(F1280/J1280,0)-IFERROR(G1280/K1280,0)</x:f>
        <x:v>0</x:v>
      </x:c>
      <x:c r="W1280" s="28" t="n">
        <x:f>L1280-M1280</x:f>
        <x:v>7</x:v>
      </x:c>
      <x:c r="X1280" s="24" t="n">
        <x:f>IFERROR(K1280/I1280,0)</x:f>
        <x:v>0.5714285714285714</x:v>
      </x:c>
      <x:c r="Y1280" s="24" t="n">
        <x:f>IFERROR(G1280/I1280,0)</x:f>
        <x:v>0.14285714285714285</x:v>
      </x:c>
      <x:c r="Z1280" s="24" t="n">
        <x:f>IFERROR(G1280/K1280,0)</x:f>
        <x:v>0.25</x:v>
      </x:c>
      <x:c r="AA1280" s="24" t="n">
        <x:f>IFERROR(F1280/H1280,0)-IFERROR(G1280/I1280,0)</x:f>
        <x:v>-0.03759398496240601</x:v>
      </x:c>
      <x:c r="AB1280" s="28" t="n">
        <x:f>J1280-K1280</x:f>
        <x:v>4</x:v>
      </x:c>
      <x:c r="AC1280" s="32" t="n">
        <x:f>F1280-G1280</x:f>
        <x:v>1</x:v>
      </x:c>
    </x:row>
    <x:row r="1281">
      <x:c r="A1281" s="4" t="str">
        <x:v>2022-23</x:v>
      </x:c>
      <x:c r="B1281" s="20" t="n">
        <x:v>44997</x:v>
      </x:c>
      <x:c r="C1281" s="4" t="str">
        <x:v>Southampton</x:v>
      </x:c>
      <x:c r="D1281" s="4" t="str">
        <x:v>Man United</x:v>
      </x:c>
      <x:c r="E1281" s="4" t="str">
        <x:v>Away</x:v>
      </x:c>
      <x:c r="F1281" s="28" t="n">
        <x:v>0</x:v>
      </x:c>
      <x:c r="G1281" s="28" t="n">
        <x:v>0</x:v>
      </x:c>
      <x:c r="H1281" s="28" t="n">
        <x:v>17</x:v>
      </x:c>
      <x:c r="I1281" s="28" t="n">
        <x:v>10</x:v>
      </x:c>
      <x:c r="J1281" s="28" t="n">
        <x:v>4</x:v>
      </x:c>
      <x:c r="K1281" s="28" t="n">
        <x:v>4</x:v>
      </x:c>
      <x:c r="L1281" s="28" t="n">
        <x:v>8</x:v>
      </x:c>
      <x:c r="M1281" s="28" t="n">
        <x:v>7</x:v>
      </x:c>
      <x:c r="N1281" s="28" t="n">
        <x:v>0</x:v>
      </x:c>
      <x:c r="O1281" s="28" t="n">
        <x:v>0</x:v>
      </x:c>
      <x:c r="P1281" s="28" t="n">
        <x:v>1</x:v>
      </x:c>
      <x:c r="Q1281" s="24" t="n">
        <x:f>IFERROR(J1281/H1281,0)</x:f>
        <x:v>0.23529411764705882</x:v>
      </x:c>
      <x:c r="R1281" s="24" t="n">
        <x:f>IFERROR(F1281/H1281,0)</x:f>
        <x:v>0</x:v>
      </x:c>
      <x:c r="S1281" s="24" t="n">
        <x:f>IFERROR(F1281/J1281,0)</x:f>
        <x:v>0</x:v>
      </x:c>
      <x:c r="T1281" s="28" t="n">
        <x:f>H1281-I1281</x:f>
        <x:v>7</x:v>
      </x:c>
      <x:c r="U1281" s="24" t="n">
        <x:f>IFERROR(J1281/H1281,0)-IFERROR(K1281/I1281,0)</x:f>
        <x:v>-0.1647058823529412</x:v>
      </x:c>
      <x:c r="V1281" s="24" t="n">
        <x:f>IFERROR(F1281/J1281,0)-IFERROR(G1281/K1281,0)</x:f>
        <x:v>0</x:v>
      </x:c>
      <x:c r="W1281" s="28" t="n">
        <x:f>L1281-M1281</x:f>
        <x:v>1</x:v>
      </x:c>
      <x:c r="X1281" s="24" t="n">
        <x:f>IFERROR(K1281/I1281,0)</x:f>
        <x:v>0.4</x:v>
      </x:c>
      <x:c r="Y1281" s="24" t="n">
        <x:f>IFERROR(G1281/I1281,0)</x:f>
        <x:v>0</x:v>
      </x:c>
      <x:c r="Z1281" s="24" t="n">
        <x:f>IFERROR(G1281/K1281,0)</x:f>
        <x:v>0</x:v>
      </x:c>
      <x:c r="AA1281" s="24" t="n">
        <x:f>IFERROR(F1281/H1281,0)-IFERROR(G1281/I1281,0)</x:f>
        <x:v>0</x:v>
      </x:c>
      <x:c r="AB1281" s="28" t="n">
        <x:f>J1281-K1281</x:f>
        <x:v>0</x:v>
      </x:c>
      <x:c r="AC1281" s="32" t="n">
        <x:f>F1281-G1281</x:f>
        <x:v>0</x:v>
      </x:c>
    </x:row>
    <x:row r="1282">
      <x:c r="A1282" s="4" t="str">
        <x:v>2022-23</x:v>
      </x:c>
      <x:c r="B1282" s="20" t="n">
        <x:v>44997</x:v>
      </x:c>
      <x:c r="C1282" s="4" t="str">
        <x:v>West Ham</x:v>
      </x:c>
      <x:c r="D1282" s="4" t="str">
        <x:v>Aston Villa</x:v>
      </x:c>
      <x:c r="E1282" s="4" t="str">
        <x:v>Home</x:v>
      </x:c>
      <x:c r="F1282" s="28" t="n">
        <x:v>1</x:v>
      </x:c>
      <x:c r="G1282" s="28" t="n">
        <x:v>1</x:v>
      </x:c>
      <x:c r="H1282" s="28" t="n">
        <x:v>17</x:v>
      </x:c>
      <x:c r="I1282" s="28" t="n">
        <x:v>12</x:v>
      </x:c>
      <x:c r="J1282" s="28" t="n">
        <x:v>6</x:v>
      </x:c>
      <x:c r="K1282" s="28" t="n">
        <x:v>4</x:v>
      </x:c>
      <x:c r="L1282" s="28" t="n">
        <x:v>13</x:v>
      </x:c>
      <x:c r="M1282" s="28" t="n">
        <x:v>2</x:v>
      </x:c>
      <x:c r="N1282" s="28" t="n">
        <x:v>1</x:v>
      </x:c>
      <x:c r="O1282" s="28" t="n">
        <x:v>0</x:v>
      </x:c>
      <x:c r="P1282" s="28" t="n">
        <x:v>1</x:v>
      </x:c>
      <x:c r="Q1282" s="24" t="n">
        <x:f>IFERROR(J1282/H1282,0)</x:f>
        <x:v>0.35294117647058826</x:v>
      </x:c>
      <x:c r="R1282" s="24" t="n">
        <x:f>IFERROR(F1282/H1282,0)</x:f>
        <x:v>0.058823529411764705</x:v>
      </x:c>
      <x:c r="S1282" s="24" t="n">
        <x:f>IFERROR(F1282/J1282,0)</x:f>
        <x:v>0.16666666666666666</x:v>
      </x:c>
      <x:c r="T1282" s="28" t="n">
        <x:f>H1282-I1282</x:f>
        <x:v>5</x:v>
      </x:c>
      <x:c r="U1282" s="24" t="n">
        <x:f>IFERROR(J1282/H1282,0)-IFERROR(K1282/I1282,0)</x:f>
        <x:v>0.019607843137254943</x:v>
      </x:c>
      <x:c r="V1282" s="24" t="n">
        <x:f>IFERROR(F1282/J1282,0)-IFERROR(G1282/K1282,0)</x:f>
        <x:v>-0.08333333333333334</x:v>
      </x:c>
      <x:c r="W1282" s="28" t="n">
        <x:f>L1282-M1282</x:f>
        <x:v>11</x:v>
      </x:c>
      <x:c r="X1282" s="24" t="n">
        <x:f>IFERROR(K1282/I1282,0)</x:f>
        <x:v>0.3333333333333333</x:v>
      </x:c>
      <x:c r="Y1282" s="24" t="n">
        <x:f>IFERROR(G1282/I1282,0)</x:f>
        <x:v>0.08333333333333333</x:v>
      </x:c>
      <x:c r="Z1282" s="24" t="n">
        <x:f>IFERROR(G1282/K1282,0)</x:f>
        <x:v>0.25</x:v>
      </x:c>
      <x:c r="AA1282" s="24" t="n">
        <x:f>IFERROR(F1282/H1282,0)-IFERROR(G1282/I1282,0)</x:f>
        <x:v>-0.024509803921568624</x:v>
      </x:c>
      <x:c r="AB1282" s="28" t="n">
        <x:f>J1282-K1282</x:f>
        <x:v>2</x:v>
      </x:c>
      <x:c r="AC1282" s="32" t="n">
        <x:f>F1282-G1282</x:f>
        <x:v>0</x:v>
      </x:c>
    </x:row>
    <x:row r="1283">
      <x:c r="A1283" s="4" t="str">
        <x:v>2022-23</x:v>
      </x:c>
      <x:c r="B1283" s="20" t="n">
        <x:v>44997</x:v>
      </x:c>
      <x:c r="C1283" s="4" t="str">
        <x:v>Wolves</x:v>
      </x:c>
      <x:c r="D1283" s="4" t="str">
        <x:v>Newcastle</x:v>
      </x:c>
      <x:c r="E1283" s="4" t="str">
        <x:v>Away</x:v>
      </x:c>
      <x:c r="F1283" s="28" t="n">
        <x:v>1</x:v>
      </x:c>
      <x:c r="G1283" s="28" t="n">
        <x:v>2</x:v>
      </x:c>
      <x:c r="H1283" s="28" t="n">
        <x:v>7</x:v>
      </x:c>
      <x:c r="I1283" s="28" t="n">
        <x:v>19</x:v>
      </x:c>
      <x:c r="J1283" s="28" t="n">
        <x:v>4</x:v>
      </x:c>
      <x:c r="K1283" s="28" t="n">
        <x:v>8</x:v>
      </x:c>
      <x:c r="L1283" s="28" t="n">
        <x:v>3</x:v>
      </x:c>
      <x:c r="M1283" s="28" t="n">
        <x:v>10</x:v>
      </x:c>
      <x:c r="N1283" s="28" t="n">
        <x:v>2</x:v>
      </x:c>
      <x:c r="O1283" s="28" t="n">
        <x:v>0</x:v>
      </x:c>
      <x:c r="P1283" s="28" t="n">
        <x:v>0</x:v>
      </x:c>
      <x:c r="Q1283" s="24" t="n">
        <x:f>IFERROR(J1283/H1283,0)</x:f>
        <x:v>0.5714285714285714</x:v>
      </x:c>
      <x:c r="R1283" s="24" t="n">
        <x:f>IFERROR(F1283/H1283,0)</x:f>
        <x:v>0.14285714285714285</x:v>
      </x:c>
      <x:c r="S1283" s="24" t="n">
        <x:f>IFERROR(F1283/J1283,0)</x:f>
        <x:v>0.25</x:v>
      </x:c>
      <x:c r="T1283" s="28" t="n">
        <x:f>H1283-I1283</x:f>
        <x:v>-12</x:v>
      </x:c>
      <x:c r="U1283" s="24" t="n">
        <x:f>IFERROR(J1283/H1283,0)-IFERROR(K1283/I1283,0)</x:f>
        <x:v>0.15037593984962405</x:v>
      </x:c>
      <x:c r="V1283" s="24" t="n">
        <x:f>IFERROR(F1283/J1283,0)-IFERROR(G1283/K1283,0)</x:f>
        <x:v>0</x:v>
      </x:c>
      <x:c r="W1283" s="28" t="n">
        <x:f>L1283-M1283</x:f>
        <x:v>-7</x:v>
      </x:c>
      <x:c r="X1283" s="24" t="n">
        <x:f>IFERROR(K1283/I1283,0)</x:f>
        <x:v>0.42105263157894735</x:v>
      </x:c>
      <x:c r="Y1283" s="24" t="n">
        <x:f>IFERROR(G1283/I1283,0)</x:f>
        <x:v>0.10526315789473684</x:v>
      </x:c>
      <x:c r="Z1283" s="24" t="n">
        <x:f>IFERROR(G1283/K1283,0)</x:f>
        <x:v>0.25</x:v>
      </x:c>
      <x:c r="AA1283" s="24" t="n">
        <x:f>IFERROR(F1283/H1283,0)-IFERROR(G1283/I1283,0)</x:f>
        <x:v>0.03759398496240601</x:v>
      </x:c>
      <x:c r="AB1283" s="28" t="n">
        <x:f>J1283-K1283</x:f>
        <x:v>-4</x:v>
      </x:c>
      <x:c r="AC1283" s="32" t="n">
        <x:f>F1283-G1283</x:f>
        <x:v>-1</x:v>
      </x:c>
    </x:row>
    <x:row r="1284">
      <x:c r="A1284" s="4" t="str">
        <x:v>2022-23</x:v>
      </x:c>
      <x:c r="B1284" s="20" t="n">
        <x:v>45000</x:v>
      </x:c>
      <x:c r="C1284" s="4" t="str">
        <x:v>Brentford</x:v>
      </x:c>
      <x:c r="D1284" s="4" t="str">
        <x:v>Southampton</x:v>
      </x:c>
      <x:c r="E1284" s="4" t="str">
        <x:v>Away</x:v>
      </x:c>
      <x:c r="F1284" s="28" t="n">
        <x:v>2</x:v>
      </x:c>
      <x:c r="G1284" s="28" t="n">
        <x:v>0</x:v>
      </x:c>
      <x:c r="H1284" s="28" t="n">
        <x:v>11</x:v>
      </x:c>
      <x:c r="I1284" s="28" t="n">
        <x:v>7</x:v>
      </x:c>
      <x:c r="J1284" s="28" t="n">
        <x:v>5</x:v>
      </x:c>
      <x:c r="K1284" s="28" t="n">
        <x:v>1</x:v>
      </x:c>
      <x:c r="L1284" s="28" t="n">
        <x:v>3</x:v>
      </x:c>
      <x:c r="M1284" s="28" t="n">
        <x:v>3</x:v>
      </x:c>
      <x:c r="N1284" s="28" t="n">
        <x:v>2</x:v>
      </x:c>
      <x:c r="O1284" s="28" t="n">
        <x:v>0</x:v>
      </x:c>
      <x:c r="P1284" s="28" t="n">
        <x:v>3</x:v>
      </x:c>
      <x:c r="Q1284" s="24" t="n">
        <x:f>IFERROR(J1284/H1284,0)</x:f>
        <x:v>0.45454545454545453</x:v>
      </x:c>
      <x:c r="R1284" s="24" t="n">
        <x:f>IFERROR(F1284/H1284,0)</x:f>
        <x:v>0.18181818181818182</x:v>
      </x:c>
      <x:c r="S1284" s="24" t="n">
        <x:f>IFERROR(F1284/J1284,0)</x:f>
        <x:v>0.4</x:v>
      </x:c>
      <x:c r="T1284" s="28" t="n">
        <x:f>H1284-I1284</x:f>
        <x:v>4</x:v>
      </x:c>
      <x:c r="U1284" s="24" t="n">
        <x:f>IFERROR(J1284/H1284,0)-IFERROR(K1284/I1284,0)</x:f>
        <x:v>0.3116883116883117</x:v>
      </x:c>
      <x:c r="V1284" s="24" t="n">
        <x:f>IFERROR(F1284/J1284,0)-IFERROR(G1284/K1284,0)</x:f>
        <x:v>0.4</x:v>
      </x:c>
      <x:c r="W1284" s="28" t="n">
        <x:f>L1284-M1284</x:f>
        <x:v>0</x:v>
      </x:c>
      <x:c r="X1284" s="24" t="n">
        <x:f>IFERROR(K1284/I1284,0)</x:f>
        <x:v>0.14285714285714285</x:v>
      </x:c>
      <x:c r="Y1284" s="24" t="n">
        <x:f>IFERROR(G1284/I1284,0)</x:f>
        <x:v>0</x:v>
      </x:c>
      <x:c r="Z1284" s="24" t="n">
        <x:f>IFERROR(G1284/K1284,0)</x:f>
        <x:v>0</x:v>
      </x:c>
      <x:c r="AA1284" s="24" t="n">
        <x:f>IFERROR(F1284/H1284,0)-IFERROR(G1284/I1284,0)</x:f>
        <x:v>0.18181818181818182</x:v>
      </x:c>
      <x:c r="AB1284" s="28" t="n">
        <x:f>J1284-K1284</x:f>
        <x:v>4</x:v>
      </x:c>
      <x:c r="AC1284" s="32" t="n">
        <x:f>F1284-G1284</x:f>
        <x:v>2</x:v>
      </x:c>
    </x:row>
    <x:row r="1285">
      <x:c r="A1285" s="4" t="str">
        <x:v>2022-23</x:v>
      </x:c>
      <x:c r="B1285" s="20" t="n">
        <x:v>45000</x:v>
      </x:c>
      <x:c r="C1285" s="4" t="str">
        <x:v>Brighton</x:v>
      </x:c>
      <x:c r="D1285" s="4" t="str">
        <x:v>Crystal Palace</x:v>
      </x:c>
      <x:c r="E1285" s="4" t="str">
        <x:v>Home</x:v>
      </x:c>
      <x:c r="F1285" s="28" t="n">
        <x:v>1</x:v>
      </x:c>
      <x:c r="G1285" s="28" t="n">
        <x:v>0</x:v>
      </x:c>
      <x:c r="H1285" s="28" t="n">
        <x:v>11</x:v>
      </x:c>
      <x:c r="I1285" s="28" t="n">
        <x:v>11</x:v>
      </x:c>
      <x:c r="J1285" s="28" t="n">
        <x:v>5</x:v>
      </x:c>
      <x:c r="K1285" s="28" t="n">
        <x:v>3</x:v>
      </x:c>
      <x:c r="L1285" s="28" t="n">
        <x:v>1</x:v>
      </x:c>
      <x:c r="M1285" s="28" t="n">
        <x:v>4</x:v>
      </x:c>
      <x:c r="N1285" s="28" t="n">
        <x:v>1</x:v>
      </x:c>
      <x:c r="O1285" s="28" t="n">
        <x:v>0</x:v>
      </x:c>
      <x:c r="P1285" s="28" t="n">
        <x:v>3</x:v>
      </x:c>
      <x:c r="Q1285" s="24" t="n">
        <x:f>IFERROR(J1285/H1285,0)</x:f>
        <x:v>0.45454545454545453</x:v>
      </x:c>
      <x:c r="R1285" s="24" t="n">
        <x:f>IFERROR(F1285/H1285,0)</x:f>
        <x:v>0.09090909090909091</x:v>
      </x:c>
      <x:c r="S1285" s="24" t="n">
        <x:f>IFERROR(F1285/J1285,0)</x:f>
        <x:v>0.2</x:v>
      </x:c>
      <x:c r="T1285" s="28" t="n">
        <x:f>H1285-I1285</x:f>
        <x:v>0</x:v>
      </x:c>
      <x:c r="U1285" s="24" t="n">
        <x:f>IFERROR(J1285/H1285,0)-IFERROR(K1285/I1285,0)</x:f>
        <x:v>0.18181818181818182</x:v>
      </x:c>
      <x:c r="V1285" s="24" t="n">
        <x:f>IFERROR(F1285/J1285,0)-IFERROR(G1285/K1285,0)</x:f>
        <x:v>0.2</x:v>
      </x:c>
      <x:c r="W1285" s="28" t="n">
        <x:f>L1285-M1285</x:f>
        <x:v>-3</x:v>
      </x:c>
      <x:c r="X1285" s="24" t="n">
        <x:f>IFERROR(K1285/I1285,0)</x:f>
        <x:v>0.2727272727272727</x:v>
      </x:c>
      <x:c r="Y1285" s="24" t="n">
        <x:f>IFERROR(G1285/I1285,0)</x:f>
        <x:v>0</x:v>
      </x:c>
      <x:c r="Z1285" s="24" t="n">
        <x:f>IFERROR(G1285/K1285,0)</x:f>
        <x:v>0</x:v>
      </x:c>
      <x:c r="AA1285" s="24" t="n">
        <x:f>IFERROR(F1285/H1285,0)-IFERROR(G1285/I1285,0)</x:f>
        <x:v>0.09090909090909091</x:v>
      </x:c>
      <x:c r="AB1285" s="28" t="n">
        <x:f>J1285-K1285</x:f>
        <x:v>2</x:v>
      </x:c>
      <x:c r="AC1285" s="32" t="n">
        <x:f>F1285-G1285</x:f>
        <x:v>1</x:v>
      </x:c>
    </x:row>
    <x:row r="1286">
      <x:c r="A1286" s="4" t="str">
        <x:v>2022-23</x:v>
      </x:c>
      <x:c r="B1286" s="20" t="n">
        <x:v>45000</x:v>
      </x:c>
      <x:c r="C1286" s="4" t="str">
        <x:v>Crystal Palace</x:v>
      </x:c>
      <x:c r="D1286" s="4" t="str">
        <x:v>Brighton</x:v>
      </x:c>
      <x:c r="E1286" s="4" t="str">
        <x:v>Away</x:v>
      </x:c>
      <x:c r="F1286" s="28" t="n">
        <x:v>0</x:v>
      </x:c>
      <x:c r="G1286" s="28" t="n">
        <x:v>1</x:v>
      </x:c>
      <x:c r="H1286" s="28" t="n">
        <x:v>11</x:v>
      </x:c>
      <x:c r="I1286" s="28" t="n">
        <x:v>11</x:v>
      </x:c>
      <x:c r="J1286" s="28" t="n">
        <x:v>3</x:v>
      </x:c>
      <x:c r="K1286" s="28" t="n">
        <x:v>5</x:v>
      </x:c>
      <x:c r="L1286" s="28" t="n">
        <x:v>4</x:v>
      </x:c>
      <x:c r="M1286" s="28" t="n">
        <x:v>1</x:v>
      </x:c>
      <x:c r="N1286" s="28" t="n">
        <x:v>2</x:v>
      </x:c>
      <x:c r="O1286" s="28" t="n">
        <x:v>0</x:v>
      </x:c>
      <x:c r="P1286" s="28" t="n">
        <x:v>0</x:v>
      </x:c>
      <x:c r="Q1286" s="24" t="n">
        <x:f>IFERROR(J1286/H1286,0)</x:f>
        <x:v>0.2727272727272727</x:v>
      </x:c>
      <x:c r="R1286" s="24" t="n">
        <x:f>IFERROR(F1286/H1286,0)</x:f>
        <x:v>0</x:v>
      </x:c>
      <x:c r="S1286" s="24" t="n">
        <x:f>IFERROR(F1286/J1286,0)</x:f>
        <x:v>0</x:v>
      </x:c>
      <x:c r="T1286" s="28" t="n">
        <x:f>H1286-I1286</x:f>
        <x:v>0</x:v>
      </x:c>
      <x:c r="U1286" s="24" t="n">
        <x:f>IFERROR(J1286/H1286,0)-IFERROR(K1286/I1286,0)</x:f>
        <x:v>-0.18181818181818182</x:v>
      </x:c>
      <x:c r="V1286" s="24" t="n">
        <x:f>IFERROR(F1286/J1286,0)-IFERROR(G1286/K1286,0)</x:f>
        <x:v>-0.2</x:v>
      </x:c>
      <x:c r="W1286" s="28" t="n">
        <x:f>L1286-M1286</x:f>
        <x:v>3</x:v>
      </x:c>
      <x:c r="X1286" s="24" t="n">
        <x:f>IFERROR(K1286/I1286,0)</x:f>
        <x:v>0.45454545454545453</x:v>
      </x:c>
      <x:c r="Y1286" s="24" t="n">
        <x:f>IFERROR(G1286/I1286,0)</x:f>
        <x:v>0.09090909090909091</x:v>
      </x:c>
      <x:c r="Z1286" s="24" t="n">
        <x:f>IFERROR(G1286/K1286,0)</x:f>
        <x:v>0.2</x:v>
      </x:c>
      <x:c r="AA1286" s="24" t="n">
        <x:f>IFERROR(F1286/H1286,0)-IFERROR(G1286/I1286,0)</x:f>
        <x:v>-0.09090909090909091</x:v>
      </x:c>
      <x:c r="AB1286" s="28" t="n">
        <x:f>J1286-K1286</x:f>
        <x:v>-2</x:v>
      </x:c>
      <x:c r="AC1286" s="32" t="n">
        <x:f>F1286-G1286</x:f>
        <x:v>-1</x:v>
      </x:c>
    </x:row>
    <x:row r="1287">
      <x:c r="A1287" s="4" t="str">
        <x:v>2022-23</x:v>
      </x:c>
      <x:c r="B1287" s="20" t="n">
        <x:v>45000</x:v>
      </x:c>
      <x:c r="C1287" s="4" t="str">
        <x:v>Southampton</x:v>
      </x:c>
      <x:c r="D1287" s="4" t="str">
        <x:v>Brentford</x:v>
      </x:c>
      <x:c r="E1287" s="4" t="str">
        <x:v>Home</x:v>
      </x:c>
      <x:c r="F1287" s="28" t="n">
        <x:v>0</x:v>
      </x:c>
      <x:c r="G1287" s="28" t="n">
        <x:v>2</x:v>
      </x:c>
      <x:c r="H1287" s="28" t="n">
        <x:v>7</x:v>
      </x:c>
      <x:c r="I1287" s="28" t="n">
        <x:v>11</x:v>
      </x:c>
      <x:c r="J1287" s="28" t="n">
        <x:v>1</x:v>
      </x:c>
      <x:c r="K1287" s="28" t="n">
        <x:v>5</x:v>
      </x:c>
      <x:c r="L1287" s="28" t="n">
        <x:v>3</x:v>
      </x:c>
      <x:c r="M1287" s="28" t="n">
        <x:v>3</x:v>
      </x:c>
      <x:c r="N1287" s="28" t="n">
        <x:v>1</x:v>
      </x:c>
      <x:c r="O1287" s="28" t="n">
        <x:v>0</x:v>
      </x:c>
      <x:c r="P1287" s="28" t="n">
        <x:v>0</x:v>
      </x:c>
      <x:c r="Q1287" s="24" t="n">
        <x:f>IFERROR(J1287/H1287,0)</x:f>
        <x:v>0.14285714285714285</x:v>
      </x:c>
      <x:c r="R1287" s="24" t="n">
        <x:f>IFERROR(F1287/H1287,0)</x:f>
        <x:v>0</x:v>
      </x:c>
      <x:c r="S1287" s="24" t="n">
        <x:f>IFERROR(F1287/J1287,0)</x:f>
        <x:v>0</x:v>
      </x:c>
      <x:c r="T1287" s="28" t="n">
        <x:f>H1287-I1287</x:f>
        <x:v>-4</x:v>
      </x:c>
      <x:c r="U1287" s="24" t="n">
        <x:f>IFERROR(J1287/H1287,0)-IFERROR(K1287/I1287,0)</x:f>
        <x:v>-0.3116883116883117</x:v>
      </x:c>
      <x:c r="V1287" s="24" t="n">
        <x:f>IFERROR(F1287/J1287,0)-IFERROR(G1287/K1287,0)</x:f>
        <x:v>-0.4</x:v>
      </x:c>
      <x:c r="W1287" s="28" t="n">
        <x:f>L1287-M1287</x:f>
        <x:v>0</x:v>
      </x:c>
      <x:c r="X1287" s="24" t="n">
        <x:f>IFERROR(K1287/I1287,0)</x:f>
        <x:v>0.45454545454545453</x:v>
      </x:c>
      <x:c r="Y1287" s="24" t="n">
        <x:f>IFERROR(G1287/I1287,0)</x:f>
        <x:v>0.18181818181818182</x:v>
      </x:c>
      <x:c r="Z1287" s="24" t="n">
        <x:f>IFERROR(G1287/K1287,0)</x:f>
        <x:v>0.4</x:v>
      </x:c>
      <x:c r="AA1287" s="24" t="n">
        <x:f>IFERROR(F1287/H1287,0)-IFERROR(G1287/I1287,0)</x:f>
        <x:v>-0.18181818181818182</x:v>
      </x:c>
      <x:c r="AB1287" s="28" t="n">
        <x:f>J1287-K1287</x:f>
        <x:v>-4</x:v>
      </x:c>
      <x:c r="AC1287" s="32" t="n">
        <x:f>F1287-G1287</x:f>
        <x:v>-2</x:v>
      </x:c>
    </x:row>
    <x:row r="1288">
      <x:c r="A1288" s="4" t="str">
        <x:v>2022-23</x:v>
      </x:c>
      <x:c r="B1288" s="20" t="n">
        <x:v>45002</x:v>
      </x:c>
      <x:c r="C1288" s="4" t="str">
        <x:v>Newcastle</x:v>
      </x:c>
      <x:c r="D1288" s="4" t="str">
        <x:v>Nott'm Forest</x:v>
      </x:c>
      <x:c r="E1288" s="4" t="str">
        <x:v>Away</x:v>
      </x:c>
      <x:c r="F1288" s="28" t="n">
        <x:v>2</x:v>
      </x:c>
      <x:c r="G1288" s="28" t="n">
        <x:v>1</x:v>
      </x:c>
      <x:c r="H1288" s="28" t="n">
        <x:v>15</x:v>
      </x:c>
      <x:c r="I1288" s="28" t="n">
        <x:v>5</x:v>
      </x:c>
      <x:c r="J1288" s="28" t="n">
        <x:v>4</x:v>
      </x:c>
      <x:c r="K1288" s="28" t="n">
        <x:v>3</x:v>
      </x:c>
      <x:c r="L1288" s="28" t="n">
        <x:v>7</x:v>
      </x:c>
      <x:c r="M1288" s="28" t="n">
        <x:v>3</x:v>
      </x:c>
      <x:c r="N1288" s="28" t="n">
        <x:v>1</x:v>
      </x:c>
      <x:c r="O1288" s="28" t="n">
        <x:v>0</x:v>
      </x:c>
      <x:c r="P1288" s="28" t="n">
        <x:v>3</x:v>
      </x:c>
      <x:c r="Q1288" s="24" t="n">
        <x:f>IFERROR(J1288/H1288,0)</x:f>
        <x:v>0.26666666666666666</x:v>
      </x:c>
      <x:c r="R1288" s="24" t="n">
        <x:f>IFERROR(F1288/H1288,0)</x:f>
        <x:v>0.13333333333333333</x:v>
      </x:c>
      <x:c r="S1288" s="24" t="n">
        <x:f>IFERROR(F1288/J1288,0)</x:f>
        <x:v>0.5</x:v>
      </x:c>
      <x:c r="T1288" s="28" t="n">
        <x:f>H1288-I1288</x:f>
        <x:v>10</x:v>
      </x:c>
      <x:c r="U1288" s="24" t="n">
        <x:f>IFERROR(J1288/H1288,0)-IFERROR(K1288/I1288,0)</x:f>
        <x:v>-0.3333333333333333</x:v>
      </x:c>
      <x:c r="V1288" s="24" t="n">
        <x:f>IFERROR(F1288/J1288,0)-IFERROR(G1288/K1288,0)</x:f>
        <x:v>0.16666666666666669</x:v>
      </x:c>
      <x:c r="W1288" s="28" t="n">
        <x:f>L1288-M1288</x:f>
        <x:v>4</x:v>
      </x:c>
      <x:c r="X1288" s="24" t="n">
        <x:f>IFERROR(K1288/I1288,0)</x:f>
        <x:v>0.6</x:v>
      </x:c>
      <x:c r="Y1288" s="24" t="n">
        <x:f>IFERROR(G1288/I1288,0)</x:f>
        <x:v>0.2</x:v>
      </x:c>
      <x:c r="Z1288" s="24" t="n">
        <x:f>IFERROR(G1288/K1288,0)</x:f>
        <x:v>0.3333333333333333</x:v>
      </x:c>
      <x:c r="AA1288" s="24" t="n">
        <x:f>IFERROR(F1288/H1288,0)-IFERROR(G1288/I1288,0)</x:f>
        <x:v>-0.06666666666666668</x:v>
      </x:c>
      <x:c r="AB1288" s="28" t="n">
        <x:f>J1288-K1288</x:f>
        <x:v>1</x:v>
      </x:c>
      <x:c r="AC1288" s="32" t="n">
        <x:f>F1288-G1288</x:f>
        <x:v>1</x:v>
      </x:c>
    </x:row>
    <x:row r="1289">
      <x:c r="A1289" s="4" t="str">
        <x:v>2022-23</x:v>
      </x:c>
      <x:c r="B1289" s="20" t="n">
        <x:v>45002</x:v>
      </x:c>
      <x:c r="C1289" s="4" t="str">
        <x:v>Nott'm Forest</x:v>
      </x:c>
      <x:c r="D1289" s="4" t="str">
        <x:v>Newcastle</x:v>
      </x:c>
      <x:c r="E1289" s="4" t="str">
        <x:v>Home</x:v>
      </x:c>
      <x:c r="F1289" s="28" t="n">
        <x:v>1</x:v>
      </x:c>
      <x:c r="G1289" s="28" t="n">
        <x:v>2</x:v>
      </x:c>
      <x:c r="H1289" s="28" t="n">
        <x:v>5</x:v>
      </x:c>
      <x:c r="I1289" s="28" t="n">
        <x:v>15</x:v>
      </x:c>
      <x:c r="J1289" s="28" t="n">
        <x:v>3</x:v>
      </x:c>
      <x:c r="K1289" s="28" t="n">
        <x:v>4</x:v>
      </x:c>
      <x:c r="L1289" s="28" t="n">
        <x:v>3</x:v>
      </x:c>
      <x:c r="M1289" s="28" t="n">
        <x:v>7</x:v>
      </x:c>
      <x:c r="N1289" s="28" t="n">
        <x:v>5</x:v>
      </x:c>
      <x:c r="O1289" s="28" t="n">
        <x:v>0</x:v>
      </x:c>
      <x:c r="P1289" s="28" t="n">
        <x:v>0</x:v>
      </x:c>
      <x:c r="Q1289" s="24" t="n">
        <x:f>IFERROR(J1289/H1289,0)</x:f>
        <x:v>0.6</x:v>
      </x:c>
      <x:c r="R1289" s="24" t="n">
        <x:f>IFERROR(F1289/H1289,0)</x:f>
        <x:v>0.2</x:v>
      </x:c>
      <x:c r="S1289" s="24" t="n">
        <x:f>IFERROR(F1289/J1289,0)</x:f>
        <x:v>0.3333333333333333</x:v>
      </x:c>
      <x:c r="T1289" s="28" t="n">
        <x:f>H1289-I1289</x:f>
        <x:v>-10</x:v>
      </x:c>
      <x:c r="U1289" s="24" t="n">
        <x:f>IFERROR(J1289/H1289,0)-IFERROR(K1289/I1289,0)</x:f>
        <x:v>0.3333333333333333</x:v>
      </x:c>
      <x:c r="V1289" s="24" t="n">
        <x:f>IFERROR(F1289/J1289,0)-IFERROR(G1289/K1289,0)</x:f>
        <x:v>-0.16666666666666669</x:v>
      </x:c>
      <x:c r="W1289" s="28" t="n">
        <x:f>L1289-M1289</x:f>
        <x:v>-4</x:v>
      </x:c>
      <x:c r="X1289" s="24" t="n">
        <x:f>IFERROR(K1289/I1289,0)</x:f>
        <x:v>0.26666666666666666</x:v>
      </x:c>
      <x:c r="Y1289" s="24" t="n">
        <x:f>IFERROR(G1289/I1289,0)</x:f>
        <x:v>0.13333333333333333</x:v>
      </x:c>
      <x:c r="Z1289" s="24" t="n">
        <x:f>IFERROR(G1289/K1289,0)</x:f>
        <x:v>0.5</x:v>
      </x:c>
      <x:c r="AA1289" s="24" t="n">
        <x:f>IFERROR(F1289/H1289,0)-IFERROR(G1289/I1289,0)</x:f>
        <x:v>0.06666666666666668</x:v>
      </x:c>
      <x:c r="AB1289" s="28" t="n">
        <x:f>J1289-K1289</x:f>
        <x:v>-1</x:v>
      </x:c>
      <x:c r="AC1289" s="32" t="n">
        <x:f>F1289-G1289</x:f>
        <x:v>-1</x:v>
      </x:c>
    </x:row>
    <x:row r="1290">
      <x:c r="A1290" s="4" t="str">
        <x:v>2022-23</x:v>
      </x:c>
      <x:c r="B1290" s="20" t="n">
        <x:v>45003</x:v>
      </x:c>
      <x:c r="C1290" s="4" t="str">
        <x:v>Aston Villa</x:v>
      </x:c>
      <x:c r="D1290" s="4" t="str">
        <x:v>Bournemouth</x:v>
      </x:c>
      <x:c r="E1290" s="4" t="str">
        <x:v>Home</x:v>
      </x:c>
      <x:c r="F1290" s="28" t="n">
        <x:v>3</x:v>
      </x:c>
      <x:c r="G1290" s="28" t="n">
        <x:v>0</x:v>
      </x:c>
      <x:c r="H1290" s="28" t="n">
        <x:v>20</x:v>
      </x:c>
      <x:c r="I1290" s="28" t="n">
        <x:v>10</x:v>
      </x:c>
      <x:c r="J1290" s="28" t="n">
        <x:v>9</x:v>
      </x:c>
      <x:c r="K1290" s="28" t="n">
        <x:v>3</x:v>
      </x:c>
      <x:c r="L1290" s="28" t="n">
        <x:v>9</x:v>
      </x:c>
      <x:c r="M1290" s="28" t="n">
        <x:v>6</x:v>
      </x:c>
      <x:c r="N1290" s="28" t="n">
        <x:v>1</x:v>
      </x:c>
      <x:c r="O1290" s="28" t="n">
        <x:v>0</x:v>
      </x:c>
      <x:c r="P1290" s="28" t="n">
        <x:v>3</x:v>
      </x:c>
      <x:c r="Q1290" s="24" t="n">
        <x:f>IFERROR(J1290/H1290,0)</x:f>
        <x:v>0.45</x:v>
      </x:c>
      <x:c r="R1290" s="24" t="n">
        <x:f>IFERROR(F1290/H1290,0)</x:f>
        <x:v>0.15</x:v>
      </x:c>
      <x:c r="S1290" s="24" t="n">
        <x:f>IFERROR(F1290/J1290,0)</x:f>
        <x:v>0.3333333333333333</x:v>
      </x:c>
      <x:c r="T1290" s="28" t="n">
        <x:f>H1290-I1290</x:f>
        <x:v>10</x:v>
      </x:c>
      <x:c r="U1290" s="24" t="n">
        <x:f>IFERROR(J1290/H1290,0)-IFERROR(K1290/I1290,0)</x:f>
        <x:v>0.15000000000000002</x:v>
      </x:c>
      <x:c r="V1290" s="24" t="n">
        <x:f>IFERROR(F1290/J1290,0)-IFERROR(G1290/K1290,0)</x:f>
        <x:v>0.3333333333333333</x:v>
      </x:c>
      <x:c r="W1290" s="28" t="n">
        <x:f>L1290-M1290</x:f>
        <x:v>3</x:v>
      </x:c>
      <x:c r="X1290" s="24" t="n">
        <x:f>IFERROR(K1290/I1290,0)</x:f>
        <x:v>0.3</x:v>
      </x:c>
      <x:c r="Y1290" s="24" t="n">
        <x:f>IFERROR(G1290/I1290,0)</x:f>
        <x:v>0</x:v>
      </x:c>
      <x:c r="Z1290" s="24" t="n">
        <x:f>IFERROR(G1290/K1290,0)</x:f>
        <x:v>0</x:v>
      </x:c>
      <x:c r="AA1290" s="24" t="n">
        <x:f>IFERROR(F1290/H1290,0)-IFERROR(G1290/I1290,0)</x:f>
        <x:v>0.15</x:v>
      </x:c>
      <x:c r="AB1290" s="28" t="n">
        <x:f>J1290-K1290</x:f>
        <x:v>6</x:v>
      </x:c>
      <x:c r="AC1290" s="32" t="n">
        <x:f>F1290-G1290</x:f>
        <x:v>3</x:v>
      </x:c>
    </x:row>
    <x:row r="1291">
      <x:c r="A1291" s="4" t="str">
        <x:v>2022-23</x:v>
      </x:c>
      <x:c r="B1291" s="20" t="n">
        <x:v>45003</x:v>
      </x:c>
      <x:c r="C1291" s="4" t="str">
        <x:v>Bournemouth</x:v>
      </x:c>
      <x:c r="D1291" s="4" t="str">
        <x:v>Aston Villa</x:v>
      </x:c>
      <x:c r="E1291" s="4" t="str">
        <x:v>Away</x:v>
      </x:c>
      <x:c r="F1291" s="28" t="n">
        <x:v>0</x:v>
      </x:c>
      <x:c r="G1291" s="28" t="n">
        <x:v>3</x:v>
      </x:c>
      <x:c r="H1291" s="28" t="n">
        <x:v>10</x:v>
      </x:c>
      <x:c r="I1291" s="28" t="n">
        <x:v>20</x:v>
      </x:c>
      <x:c r="J1291" s="28" t="n">
        <x:v>3</x:v>
      </x:c>
      <x:c r="K1291" s="28" t="n">
        <x:v>9</x:v>
      </x:c>
      <x:c r="L1291" s="28" t="n">
        <x:v>6</x:v>
      </x:c>
      <x:c r="M1291" s="28" t="n">
        <x:v>9</x:v>
      </x:c>
      <x:c r="N1291" s="28" t="n">
        <x:v>4</x:v>
      </x:c>
      <x:c r="O1291" s="28" t="n">
        <x:v>0</x:v>
      </x:c>
      <x:c r="P1291" s="28" t="n">
        <x:v>0</x:v>
      </x:c>
      <x:c r="Q1291" s="24" t="n">
        <x:f>IFERROR(J1291/H1291,0)</x:f>
        <x:v>0.3</x:v>
      </x:c>
      <x:c r="R1291" s="24" t="n">
        <x:f>IFERROR(F1291/H1291,0)</x:f>
        <x:v>0</x:v>
      </x:c>
      <x:c r="S1291" s="24" t="n">
        <x:f>IFERROR(F1291/J1291,0)</x:f>
        <x:v>0</x:v>
      </x:c>
      <x:c r="T1291" s="28" t="n">
        <x:f>H1291-I1291</x:f>
        <x:v>-10</x:v>
      </x:c>
      <x:c r="U1291" s="24" t="n">
        <x:f>IFERROR(J1291/H1291,0)-IFERROR(K1291/I1291,0)</x:f>
        <x:v>-0.15000000000000002</x:v>
      </x:c>
      <x:c r="V1291" s="24" t="n">
        <x:f>IFERROR(F1291/J1291,0)-IFERROR(G1291/K1291,0)</x:f>
        <x:v>-0.3333333333333333</x:v>
      </x:c>
      <x:c r="W1291" s="28" t="n">
        <x:f>L1291-M1291</x:f>
        <x:v>-3</x:v>
      </x:c>
      <x:c r="X1291" s="24" t="n">
        <x:f>IFERROR(K1291/I1291,0)</x:f>
        <x:v>0.45</x:v>
      </x:c>
      <x:c r="Y1291" s="24" t="n">
        <x:f>IFERROR(G1291/I1291,0)</x:f>
        <x:v>0.15</x:v>
      </x:c>
      <x:c r="Z1291" s="24" t="n">
        <x:f>IFERROR(G1291/K1291,0)</x:f>
        <x:v>0.3333333333333333</x:v>
      </x:c>
      <x:c r="AA1291" s="24" t="n">
        <x:f>IFERROR(F1291/H1291,0)-IFERROR(G1291/I1291,0)</x:f>
        <x:v>-0.15</x:v>
      </x:c>
      <x:c r="AB1291" s="28" t="n">
        <x:f>J1291-K1291</x:f>
        <x:v>-6</x:v>
      </x:c>
      <x:c r="AC1291" s="32" t="n">
        <x:f>F1291-G1291</x:f>
        <x:v>-3</x:v>
      </x:c>
    </x:row>
    <x:row r="1292">
      <x:c r="A1292" s="4" t="str">
        <x:v>2022-23</x:v>
      </x:c>
      <x:c r="B1292" s="20" t="n">
        <x:v>45003</x:v>
      </x:c>
      <x:c r="C1292" s="4" t="str">
        <x:v>Brentford</x:v>
      </x:c>
      <x:c r="D1292" s="4" t="str">
        <x:v>Leicester</x:v>
      </x:c>
      <x:c r="E1292" s="4" t="str">
        <x:v>Home</x:v>
      </x:c>
      <x:c r="F1292" s="28" t="n">
        <x:v>1</x:v>
      </x:c>
      <x:c r="G1292" s="28" t="n">
        <x:v>1</x:v>
      </x:c>
      <x:c r="H1292" s="28" t="n">
        <x:v>11</x:v>
      </x:c>
      <x:c r="I1292" s="28" t="n">
        <x:v>14</x:v>
      </x:c>
      <x:c r="J1292" s="28" t="n">
        <x:v>2</x:v>
      </x:c>
      <x:c r="K1292" s="28" t="n">
        <x:v>1</x:v>
      </x:c>
      <x:c r="L1292" s="28" t="n">
        <x:v>8</x:v>
      </x:c>
      <x:c r="M1292" s="28" t="n">
        <x:v>4</x:v>
      </x:c>
      <x:c r="N1292" s="28" t="n">
        <x:v>1</x:v>
      </x:c>
      <x:c r="O1292" s="28" t="n">
        <x:v>1</x:v>
      </x:c>
      <x:c r="P1292" s="28" t="n">
        <x:v>1</x:v>
      </x:c>
      <x:c r="Q1292" s="24" t="n">
        <x:f>IFERROR(J1292/H1292,0)</x:f>
        <x:v>0.18181818181818182</x:v>
      </x:c>
      <x:c r="R1292" s="24" t="n">
        <x:f>IFERROR(F1292/H1292,0)</x:f>
        <x:v>0.09090909090909091</x:v>
      </x:c>
      <x:c r="S1292" s="24" t="n">
        <x:f>IFERROR(F1292/J1292,0)</x:f>
        <x:v>0.5</x:v>
      </x:c>
      <x:c r="T1292" s="28" t="n">
        <x:f>H1292-I1292</x:f>
        <x:v>-3</x:v>
      </x:c>
      <x:c r="U1292" s="24" t="n">
        <x:f>IFERROR(J1292/H1292,0)-IFERROR(K1292/I1292,0)</x:f>
        <x:v>0.1103896103896104</x:v>
      </x:c>
      <x:c r="V1292" s="24" t="n">
        <x:f>IFERROR(F1292/J1292,0)-IFERROR(G1292/K1292,0)</x:f>
        <x:v>-0.5</x:v>
      </x:c>
      <x:c r="W1292" s="28" t="n">
        <x:f>L1292-M1292</x:f>
        <x:v>4</x:v>
      </x:c>
      <x:c r="X1292" s="24" t="n">
        <x:f>IFERROR(K1292/I1292,0)</x:f>
        <x:v>0.07142857142857142</x:v>
      </x:c>
      <x:c r="Y1292" s="24" t="n">
        <x:f>IFERROR(G1292/I1292,0)</x:f>
        <x:v>0.07142857142857142</x:v>
      </x:c>
      <x:c r="Z1292" s="24" t="n">
        <x:f>IFERROR(G1292/K1292,0)</x:f>
        <x:v>1</x:v>
      </x:c>
      <x:c r="AA1292" s="24" t="n">
        <x:f>IFERROR(F1292/H1292,0)-IFERROR(G1292/I1292,0)</x:f>
        <x:v>0.019480519480519487</x:v>
      </x:c>
      <x:c r="AB1292" s="28" t="n">
        <x:f>J1292-K1292</x:f>
        <x:v>1</x:v>
      </x:c>
      <x:c r="AC1292" s="32" t="n">
        <x:f>F1292-G1292</x:f>
        <x:v>0</x:v>
      </x:c>
    </x:row>
    <x:row r="1293">
      <x:c r="A1293" s="4" t="str">
        <x:v>2022-23</x:v>
      </x:c>
      <x:c r="B1293" s="20" t="n">
        <x:v>45003</x:v>
      </x:c>
      <x:c r="C1293" s="4" t="str">
        <x:v>Chelsea</x:v>
      </x:c>
      <x:c r="D1293" s="4" t="str">
        <x:v>Everton</x:v>
      </x:c>
      <x:c r="E1293" s="4" t="str">
        <x:v>Home</x:v>
      </x:c>
      <x:c r="F1293" s="28" t="n">
        <x:v>2</x:v>
      </x:c>
      <x:c r="G1293" s="28" t="n">
        <x:v>2</x:v>
      </x:c>
      <x:c r="H1293" s="28" t="n">
        <x:v>20</x:v>
      </x:c>
      <x:c r="I1293" s="28" t="n">
        <x:v>12</x:v>
      </x:c>
      <x:c r="J1293" s="28" t="n">
        <x:v>7</x:v>
      </x:c>
      <x:c r="K1293" s="28" t="n">
        <x:v>3</x:v>
      </x:c>
      <x:c r="L1293" s="28" t="n">
        <x:v>8</x:v>
      </x:c>
      <x:c r="M1293" s="28" t="n">
        <x:v>2</x:v>
      </x:c>
      <x:c r="N1293" s="28" t="n">
        <x:v>2</x:v>
      </x:c>
      <x:c r="O1293" s="28" t="n">
        <x:v>0</x:v>
      </x:c>
      <x:c r="P1293" s="28" t="n">
        <x:v>1</x:v>
      </x:c>
      <x:c r="Q1293" s="24" t="n">
        <x:f>IFERROR(J1293/H1293,0)</x:f>
        <x:v>0.35</x:v>
      </x:c>
      <x:c r="R1293" s="24" t="n">
        <x:f>IFERROR(F1293/H1293,0)</x:f>
        <x:v>0.1</x:v>
      </x:c>
      <x:c r="S1293" s="24" t="n">
        <x:f>IFERROR(F1293/J1293,0)</x:f>
        <x:v>0.2857142857142857</x:v>
      </x:c>
      <x:c r="T1293" s="28" t="n">
        <x:f>H1293-I1293</x:f>
        <x:v>8</x:v>
      </x:c>
      <x:c r="U1293" s="24" t="n">
        <x:f>IFERROR(J1293/H1293,0)-IFERROR(K1293/I1293,0)</x:f>
        <x:v>0.09999999999999998</x:v>
      </x:c>
      <x:c r="V1293" s="24" t="n">
        <x:f>IFERROR(F1293/J1293,0)-IFERROR(G1293/K1293,0)</x:f>
        <x:v>-0.38095238095238093</x:v>
      </x:c>
      <x:c r="W1293" s="28" t="n">
        <x:f>L1293-M1293</x:f>
        <x:v>6</x:v>
      </x:c>
      <x:c r="X1293" s="24" t="n">
        <x:f>IFERROR(K1293/I1293,0)</x:f>
        <x:v>0.25</x:v>
      </x:c>
      <x:c r="Y1293" s="24" t="n">
        <x:f>IFERROR(G1293/I1293,0)</x:f>
        <x:v>0.16666666666666666</x:v>
      </x:c>
      <x:c r="Z1293" s="24" t="n">
        <x:f>IFERROR(G1293/K1293,0)</x:f>
        <x:v>0.6666666666666666</x:v>
      </x:c>
      <x:c r="AA1293" s="24" t="n">
        <x:f>IFERROR(F1293/H1293,0)-IFERROR(G1293/I1293,0)</x:f>
        <x:v>-0.06666666666666665</x:v>
      </x:c>
      <x:c r="AB1293" s="28" t="n">
        <x:f>J1293-K1293</x:f>
        <x:v>4</x:v>
      </x:c>
      <x:c r="AC1293" s="32" t="n">
        <x:f>F1293-G1293</x:f>
        <x:v>0</x:v>
      </x:c>
    </x:row>
    <x:row r="1294">
      <x:c r="A1294" s="4" t="str">
        <x:v>2022-23</x:v>
      </x:c>
      <x:c r="B1294" s="20" t="n">
        <x:v>45003</x:v>
      </x:c>
      <x:c r="C1294" s="4" t="str">
        <x:v>Everton</x:v>
      </x:c>
      <x:c r="D1294" s="4" t="str">
        <x:v>Chelsea</x:v>
      </x:c>
      <x:c r="E1294" s="4" t="str">
        <x:v>Away</x:v>
      </x:c>
      <x:c r="F1294" s="28" t="n">
        <x:v>2</x:v>
      </x:c>
      <x:c r="G1294" s="28" t="n">
        <x:v>2</x:v>
      </x:c>
      <x:c r="H1294" s="28" t="n">
        <x:v>12</x:v>
      </x:c>
      <x:c r="I1294" s="28" t="n">
        <x:v>20</x:v>
      </x:c>
      <x:c r="J1294" s="28" t="n">
        <x:v>3</x:v>
      </x:c>
      <x:c r="K1294" s="28" t="n">
        <x:v>7</x:v>
      </x:c>
      <x:c r="L1294" s="28" t="n">
        <x:v>2</x:v>
      </x:c>
      <x:c r="M1294" s="28" t="n">
        <x:v>8</x:v>
      </x:c>
      <x:c r="N1294" s="28" t="n">
        <x:v>2</x:v>
      </x:c>
      <x:c r="O1294" s="28" t="n">
        <x:v>0</x:v>
      </x:c>
      <x:c r="P1294" s="28" t="n">
        <x:v>1</x:v>
      </x:c>
      <x:c r="Q1294" s="24" t="n">
        <x:f>IFERROR(J1294/H1294,0)</x:f>
        <x:v>0.25</x:v>
      </x:c>
      <x:c r="R1294" s="24" t="n">
        <x:f>IFERROR(F1294/H1294,0)</x:f>
        <x:v>0.16666666666666666</x:v>
      </x:c>
      <x:c r="S1294" s="24" t="n">
        <x:f>IFERROR(F1294/J1294,0)</x:f>
        <x:v>0.6666666666666666</x:v>
      </x:c>
      <x:c r="T1294" s="28" t="n">
        <x:f>H1294-I1294</x:f>
        <x:v>-8</x:v>
      </x:c>
      <x:c r="U1294" s="24" t="n">
        <x:f>IFERROR(J1294/H1294,0)-IFERROR(K1294/I1294,0)</x:f>
        <x:v>-0.09999999999999998</x:v>
      </x:c>
      <x:c r="V1294" s="24" t="n">
        <x:f>IFERROR(F1294/J1294,0)-IFERROR(G1294/K1294,0)</x:f>
        <x:v>0.38095238095238093</x:v>
      </x:c>
      <x:c r="W1294" s="28" t="n">
        <x:f>L1294-M1294</x:f>
        <x:v>-6</x:v>
      </x:c>
      <x:c r="X1294" s="24" t="n">
        <x:f>IFERROR(K1294/I1294,0)</x:f>
        <x:v>0.35</x:v>
      </x:c>
      <x:c r="Y1294" s="24" t="n">
        <x:f>IFERROR(G1294/I1294,0)</x:f>
        <x:v>0.1</x:v>
      </x:c>
      <x:c r="Z1294" s="24" t="n">
        <x:f>IFERROR(G1294/K1294,0)</x:f>
        <x:v>0.2857142857142857</x:v>
      </x:c>
      <x:c r="AA1294" s="24" t="n">
        <x:f>IFERROR(F1294/H1294,0)-IFERROR(G1294/I1294,0)</x:f>
        <x:v>0.06666666666666665</x:v>
      </x:c>
      <x:c r="AB1294" s="28" t="n">
        <x:f>J1294-K1294</x:f>
        <x:v>-4</x:v>
      </x:c>
      <x:c r="AC1294" s="32" t="n">
        <x:f>F1294-G1294</x:f>
        <x:v>0</x:v>
      </x:c>
    </x:row>
    <x:row r="1295">
      <x:c r="A1295" s="4" t="str">
        <x:v>2022-23</x:v>
      </x:c>
      <x:c r="B1295" s="20" t="n">
        <x:v>45003</x:v>
      </x:c>
      <x:c r="C1295" s="4" t="str">
        <x:v>Leeds</x:v>
      </x:c>
      <x:c r="D1295" s="4" t="str">
        <x:v>Wolves</x:v>
      </x:c>
      <x:c r="E1295" s="4" t="str">
        <x:v>Away</x:v>
      </x:c>
      <x:c r="F1295" s="28" t="n">
        <x:v>4</x:v>
      </x:c>
      <x:c r="G1295" s="28" t="n">
        <x:v>2</x:v>
      </x:c>
      <x:c r="H1295" s="28" t="n">
        <x:v>11</x:v>
      </x:c>
      <x:c r="I1295" s="28" t="n">
        <x:v>23</x:v>
      </x:c>
      <x:c r="J1295" s="28" t="n">
        <x:v>4</x:v>
      </x:c>
      <x:c r="K1295" s="28" t="n">
        <x:v>8</x:v>
      </x:c>
      <x:c r="L1295" s="28" t="n">
        <x:v>4</x:v>
      </x:c>
      <x:c r="M1295" s="28" t="n">
        <x:v>5</x:v>
      </x:c>
      <x:c r="N1295" s="28" t="n">
        <x:v>5</x:v>
      </x:c>
      <x:c r="O1295" s="28" t="n">
        <x:v>0</x:v>
      </x:c>
      <x:c r="P1295" s="28" t="n">
        <x:v>3</x:v>
      </x:c>
      <x:c r="Q1295" s="24" t="n">
        <x:f>IFERROR(J1295/H1295,0)</x:f>
        <x:v>0.36363636363636365</x:v>
      </x:c>
      <x:c r="R1295" s="24" t="n">
        <x:f>IFERROR(F1295/H1295,0)</x:f>
        <x:v>0.36363636363636365</x:v>
      </x:c>
      <x:c r="S1295" s="24" t="n">
        <x:f>IFERROR(F1295/J1295,0)</x:f>
        <x:v>1</x:v>
      </x:c>
      <x:c r="T1295" s="28" t="n">
        <x:f>H1295-I1295</x:f>
        <x:v>-12</x:v>
      </x:c>
      <x:c r="U1295" s="24" t="n">
        <x:f>IFERROR(J1295/H1295,0)-IFERROR(K1295/I1295,0)</x:f>
        <x:v>0.015810276679841917</x:v>
      </x:c>
      <x:c r="V1295" s="24" t="n">
        <x:f>IFERROR(F1295/J1295,0)-IFERROR(G1295/K1295,0)</x:f>
        <x:v>0.75</x:v>
      </x:c>
      <x:c r="W1295" s="28" t="n">
        <x:f>L1295-M1295</x:f>
        <x:v>-1</x:v>
      </x:c>
      <x:c r="X1295" s="24" t="n">
        <x:f>IFERROR(K1295/I1295,0)</x:f>
        <x:v>0.34782608695652173</x:v>
      </x:c>
      <x:c r="Y1295" s="24" t="n">
        <x:f>IFERROR(G1295/I1295,0)</x:f>
        <x:v>0.08695652173913043</x:v>
      </x:c>
      <x:c r="Z1295" s="24" t="n">
        <x:f>IFERROR(G1295/K1295,0)</x:f>
        <x:v>0.25</x:v>
      </x:c>
      <x:c r="AA1295" s="24" t="n">
        <x:f>IFERROR(F1295/H1295,0)-IFERROR(G1295/I1295,0)</x:f>
        <x:v>0.2766798418972332</x:v>
      </x:c>
      <x:c r="AB1295" s="28" t="n">
        <x:f>J1295-K1295</x:f>
        <x:v>-4</x:v>
      </x:c>
      <x:c r="AC1295" s="32" t="n">
        <x:f>F1295-G1295</x:f>
        <x:v>2</x:v>
      </x:c>
    </x:row>
    <x:row r="1296">
      <x:c r="A1296" s="4" t="str">
        <x:v>2022-23</x:v>
      </x:c>
      <x:c r="B1296" s="20" t="n">
        <x:v>45003</x:v>
      </x:c>
      <x:c r="C1296" s="4" t="str">
        <x:v>Leicester</x:v>
      </x:c>
      <x:c r="D1296" s="4" t="str">
        <x:v>Brentford</x:v>
      </x:c>
      <x:c r="E1296" s="4" t="str">
        <x:v>Away</x:v>
      </x:c>
      <x:c r="F1296" s="28" t="n">
        <x:v>1</x:v>
      </x:c>
      <x:c r="G1296" s="28" t="n">
        <x:v>1</x:v>
      </x:c>
      <x:c r="H1296" s="28" t="n">
        <x:v>14</x:v>
      </x:c>
      <x:c r="I1296" s="28" t="n">
        <x:v>11</x:v>
      </x:c>
      <x:c r="J1296" s="28" t="n">
        <x:v>1</x:v>
      </x:c>
      <x:c r="K1296" s="28" t="n">
        <x:v>2</x:v>
      </x:c>
      <x:c r="L1296" s="28" t="n">
        <x:v>4</x:v>
      </x:c>
      <x:c r="M1296" s="28" t="n">
        <x:v>8</x:v>
      </x:c>
      <x:c r="N1296" s="28" t="n">
        <x:v>2</x:v>
      </x:c>
      <x:c r="O1296" s="28" t="n">
        <x:v>0</x:v>
      </x:c>
      <x:c r="P1296" s="28" t="n">
        <x:v>1</x:v>
      </x:c>
      <x:c r="Q1296" s="24" t="n">
        <x:f>IFERROR(J1296/H1296,0)</x:f>
        <x:v>0.07142857142857142</x:v>
      </x:c>
      <x:c r="R1296" s="24" t="n">
        <x:f>IFERROR(F1296/H1296,0)</x:f>
        <x:v>0.07142857142857142</x:v>
      </x:c>
      <x:c r="S1296" s="24" t="n">
        <x:f>IFERROR(F1296/J1296,0)</x:f>
        <x:v>1</x:v>
      </x:c>
      <x:c r="T1296" s="28" t="n">
        <x:f>H1296-I1296</x:f>
        <x:v>3</x:v>
      </x:c>
      <x:c r="U1296" s="24" t="n">
        <x:f>IFERROR(J1296/H1296,0)-IFERROR(K1296/I1296,0)</x:f>
        <x:v>-0.1103896103896104</x:v>
      </x:c>
      <x:c r="V1296" s="24" t="n">
        <x:f>IFERROR(F1296/J1296,0)-IFERROR(G1296/K1296,0)</x:f>
        <x:v>0.5</x:v>
      </x:c>
      <x:c r="W1296" s="28" t="n">
        <x:f>L1296-M1296</x:f>
        <x:v>-4</x:v>
      </x:c>
      <x:c r="X1296" s="24" t="n">
        <x:f>IFERROR(K1296/I1296,0)</x:f>
        <x:v>0.18181818181818182</x:v>
      </x:c>
      <x:c r="Y1296" s="24" t="n">
        <x:f>IFERROR(G1296/I1296,0)</x:f>
        <x:v>0.09090909090909091</x:v>
      </x:c>
      <x:c r="Z1296" s="24" t="n">
        <x:f>IFERROR(G1296/K1296,0)</x:f>
        <x:v>0.5</x:v>
      </x:c>
      <x:c r="AA1296" s="24" t="n">
        <x:f>IFERROR(F1296/H1296,0)-IFERROR(G1296/I1296,0)</x:f>
        <x:v>-0.019480519480519487</x:v>
      </x:c>
      <x:c r="AB1296" s="28" t="n">
        <x:f>J1296-K1296</x:f>
        <x:v>-1</x:v>
      </x:c>
      <x:c r="AC1296" s="32" t="n">
        <x:f>F1296-G1296</x:f>
        <x:v>0</x:v>
      </x:c>
    </x:row>
    <x:row r="1297">
      <x:c r="A1297" s="4" t="str">
        <x:v>2022-23</x:v>
      </x:c>
      <x:c r="B1297" s="20" t="n">
        <x:v>45003</x:v>
      </x:c>
      <x:c r="C1297" s="4" t="str">
        <x:v>Southampton</x:v>
      </x:c>
      <x:c r="D1297" s="4" t="str">
        <x:v>Tottenham</x:v>
      </x:c>
      <x:c r="E1297" s="4" t="str">
        <x:v>Home</x:v>
      </x:c>
      <x:c r="F1297" s="28" t="n">
        <x:v>3</x:v>
      </x:c>
      <x:c r="G1297" s="28" t="n">
        <x:v>3</x:v>
      </x:c>
      <x:c r="H1297" s="28" t="n">
        <x:v>19</x:v>
      </x:c>
      <x:c r="I1297" s="28" t="n">
        <x:v>17</x:v>
      </x:c>
      <x:c r="J1297" s="28" t="n">
        <x:v>7</x:v>
      </x:c>
      <x:c r="K1297" s="28" t="n">
        <x:v>3</x:v>
      </x:c>
      <x:c r="L1297" s="28" t="n">
        <x:v>10</x:v>
      </x:c>
      <x:c r="M1297" s="28" t="n">
        <x:v>3</x:v>
      </x:c>
      <x:c r="N1297" s="28" t="n">
        <x:v>1</x:v>
      </x:c>
      <x:c r="O1297" s="28" t="n">
        <x:v>0</x:v>
      </x:c>
      <x:c r="P1297" s="28" t="n">
        <x:v>1</x:v>
      </x:c>
      <x:c r="Q1297" s="24" t="n">
        <x:f>IFERROR(J1297/H1297,0)</x:f>
        <x:v>0.3684210526315789</x:v>
      </x:c>
      <x:c r="R1297" s="24" t="n">
        <x:f>IFERROR(F1297/H1297,0)</x:f>
        <x:v>0.15789473684210525</x:v>
      </x:c>
      <x:c r="S1297" s="24" t="n">
        <x:f>IFERROR(F1297/J1297,0)</x:f>
        <x:v>0.42857142857142855</x:v>
      </x:c>
      <x:c r="T1297" s="28" t="n">
        <x:f>H1297-I1297</x:f>
        <x:v>2</x:v>
      </x:c>
      <x:c r="U1297" s="24" t="n">
        <x:f>IFERROR(J1297/H1297,0)-IFERROR(K1297/I1297,0)</x:f>
        <x:v>0.1919504643962848</x:v>
      </x:c>
      <x:c r="V1297" s="24" t="n">
        <x:f>IFERROR(F1297/J1297,0)-IFERROR(G1297/K1297,0)</x:f>
        <x:v>-0.5714285714285714</x:v>
      </x:c>
      <x:c r="W1297" s="28" t="n">
        <x:f>L1297-M1297</x:f>
        <x:v>7</x:v>
      </x:c>
      <x:c r="X1297" s="24" t="n">
        <x:f>IFERROR(K1297/I1297,0)</x:f>
        <x:v>0.17647058823529413</x:v>
      </x:c>
      <x:c r="Y1297" s="24" t="n">
        <x:f>IFERROR(G1297/I1297,0)</x:f>
        <x:v>0.17647058823529413</x:v>
      </x:c>
      <x:c r="Z1297" s="24" t="n">
        <x:f>IFERROR(G1297/K1297,0)</x:f>
        <x:v>1</x:v>
      </x:c>
      <x:c r="AA1297" s="24" t="n">
        <x:f>IFERROR(F1297/H1297,0)-IFERROR(G1297/I1297,0)</x:f>
        <x:v>-0.018575851393188875</x:v>
      </x:c>
      <x:c r="AB1297" s="28" t="n">
        <x:f>J1297-K1297</x:f>
        <x:v>4</x:v>
      </x:c>
      <x:c r="AC1297" s="32" t="n">
        <x:f>F1297-G1297</x:f>
        <x:v>0</x:v>
      </x:c>
    </x:row>
    <x:row r="1298">
      <x:c r="A1298" s="4" t="str">
        <x:v>2022-23</x:v>
      </x:c>
      <x:c r="B1298" s="20" t="n">
        <x:v>45003</x:v>
      </x:c>
      <x:c r="C1298" s="4" t="str">
        <x:v>Tottenham</x:v>
      </x:c>
      <x:c r="D1298" s="4" t="str">
        <x:v>Southampton</x:v>
      </x:c>
      <x:c r="E1298" s="4" t="str">
        <x:v>Away</x:v>
      </x:c>
      <x:c r="F1298" s="28" t="n">
        <x:v>3</x:v>
      </x:c>
      <x:c r="G1298" s="28" t="n">
        <x:v>3</x:v>
      </x:c>
      <x:c r="H1298" s="28" t="n">
        <x:v>17</x:v>
      </x:c>
      <x:c r="I1298" s="28" t="n">
        <x:v>19</x:v>
      </x:c>
      <x:c r="J1298" s="28" t="n">
        <x:v>3</x:v>
      </x:c>
      <x:c r="K1298" s="28" t="n">
        <x:v>7</x:v>
      </x:c>
      <x:c r="L1298" s="28" t="n">
        <x:v>3</x:v>
      </x:c>
      <x:c r="M1298" s="28" t="n">
        <x:v>10</x:v>
      </x:c>
      <x:c r="N1298" s="28" t="n">
        <x:v>1</x:v>
      </x:c>
      <x:c r="O1298" s="28" t="n">
        <x:v>0</x:v>
      </x:c>
      <x:c r="P1298" s="28" t="n">
        <x:v>1</x:v>
      </x:c>
      <x:c r="Q1298" s="24" t="n">
        <x:f>IFERROR(J1298/H1298,0)</x:f>
        <x:v>0.17647058823529413</x:v>
      </x:c>
      <x:c r="R1298" s="24" t="n">
        <x:f>IFERROR(F1298/H1298,0)</x:f>
        <x:v>0.17647058823529413</x:v>
      </x:c>
      <x:c r="S1298" s="24" t="n">
        <x:f>IFERROR(F1298/J1298,0)</x:f>
        <x:v>1</x:v>
      </x:c>
      <x:c r="T1298" s="28" t="n">
        <x:f>H1298-I1298</x:f>
        <x:v>-2</x:v>
      </x:c>
      <x:c r="U1298" s="24" t="n">
        <x:f>IFERROR(J1298/H1298,0)-IFERROR(K1298/I1298,0)</x:f>
        <x:v>-0.1919504643962848</x:v>
      </x:c>
      <x:c r="V1298" s="24" t="n">
        <x:f>IFERROR(F1298/J1298,0)-IFERROR(G1298/K1298,0)</x:f>
        <x:v>0.5714285714285714</x:v>
      </x:c>
      <x:c r="W1298" s="28" t="n">
        <x:f>L1298-M1298</x:f>
        <x:v>-7</x:v>
      </x:c>
      <x:c r="X1298" s="24" t="n">
        <x:f>IFERROR(K1298/I1298,0)</x:f>
        <x:v>0.3684210526315789</x:v>
      </x:c>
      <x:c r="Y1298" s="24" t="n">
        <x:f>IFERROR(G1298/I1298,0)</x:f>
        <x:v>0.15789473684210525</x:v>
      </x:c>
      <x:c r="Z1298" s="24" t="n">
        <x:f>IFERROR(G1298/K1298,0)</x:f>
        <x:v>0.42857142857142855</x:v>
      </x:c>
      <x:c r="AA1298" s="24" t="n">
        <x:f>IFERROR(F1298/H1298,0)-IFERROR(G1298/I1298,0)</x:f>
        <x:v>0.018575851393188875</x:v>
      </x:c>
      <x:c r="AB1298" s="28" t="n">
        <x:f>J1298-K1298</x:f>
        <x:v>-4</x:v>
      </x:c>
      <x:c r="AC1298" s="32" t="n">
        <x:f>F1298-G1298</x:f>
        <x:v>0</x:v>
      </x:c>
    </x:row>
    <x:row r="1299">
      <x:c r="A1299" s="4" t="str">
        <x:v>2022-23</x:v>
      </x:c>
      <x:c r="B1299" s="20" t="n">
        <x:v>45003</x:v>
      </x:c>
      <x:c r="C1299" s="4" t="str">
        <x:v>Wolves</x:v>
      </x:c>
      <x:c r="D1299" s="4" t="str">
        <x:v>Leeds</x:v>
      </x:c>
      <x:c r="E1299" s="4" t="str">
        <x:v>Home</x:v>
      </x:c>
      <x:c r="F1299" s="28" t="n">
        <x:v>2</x:v>
      </x:c>
      <x:c r="G1299" s="28" t="n">
        <x:v>4</x:v>
      </x:c>
      <x:c r="H1299" s="28" t="n">
        <x:v>23</x:v>
      </x:c>
      <x:c r="I1299" s="28" t="n">
        <x:v>11</x:v>
      </x:c>
      <x:c r="J1299" s="28" t="n">
        <x:v>8</x:v>
      </x:c>
      <x:c r="K1299" s="28" t="n">
        <x:v>4</x:v>
      </x:c>
      <x:c r="L1299" s="28" t="n">
        <x:v>5</x:v>
      </x:c>
      <x:c r="M1299" s="28" t="n">
        <x:v>4</x:v>
      </x:c>
      <x:c r="N1299" s="28" t="n">
        <x:v>3</x:v>
      </x:c>
      <x:c r="O1299" s="28" t="n">
        <x:v>1</x:v>
      </x:c>
      <x:c r="P1299" s="28" t="n">
        <x:v>0</x:v>
      </x:c>
      <x:c r="Q1299" s="24" t="n">
        <x:f>IFERROR(J1299/H1299,0)</x:f>
        <x:v>0.34782608695652173</x:v>
      </x:c>
      <x:c r="R1299" s="24" t="n">
        <x:f>IFERROR(F1299/H1299,0)</x:f>
        <x:v>0.08695652173913043</x:v>
      </x:c>
      <x:c r="S1299" s="24" t="n">
        <x:f>IFERROR(F1299/J1299,0)</x:f>
        <x:v>0.25</x:v>
      </x:c>
      <x:c r="T1299" s="28" t="n">
        <x:f>H1299-I1299</x:f>
        <x:v>12</x:v>
      </x:c>
      <x:c r="U1299" s="24" t="n">
        <x:f>IFERROR(J1299/H1299,0)-IFERROR(K1299/I1299,0)</x:f>
        <x:v>-0.015810276679841917</x:v>
      </x:c>
      <x:c r="V1299" s="24" t="n">
        <x:f>IFERROR(F1299/J1299,0)-IFERROR(G1299/K1299,0)</x:f>
        <x:v>-0.75</x:v>
      </x:c>
      <x:c r="W1299" s="28" t="n">
        <x:f>L1299-M1299</x:f>
        <x:v>1</x:v>
      </x:c>
      <x:c r="X1299" s="24" t="n">
        <x:f>IFERROR(K1299/I1299,0)</x:f>
        <x:v>0.36363636363636365</x:v>
      </x:c>
      <x:c r="Y1299" s="24" t="n">
        <x:f>IFERROR(G1299/I1299,0)</x:f>
        <x:v>0.36363636363636365</x:v>
      </x:c>
      <x:c r="Z1299" s="24" t="n">
        <x:f>IFERROR(G1299/K1299,0)</x:f>
        <x:v>1</x:v>
      </x:c>
      <x:c r="AA1299" s="24" t="n">
        <x:f>IFERROR(F1299/H1299,0)-IFERROR(G1299/I1299,0)</x:f>
        <x:v>-0.2766798418972332</x:v>
      </x:c>
      <x:c r="AB1299" s="28" t="n">
        <x:f>J1299-K1299</x:f>
        <x:v>4</x:v>
      </x:c>
      <x:c r="AC1299" s="32" t="n">
        <x:f>F1299-G1299</x:f>
        <x:v>-2</x:v>
      </x:c>
    </x:row>
    <x:row r="1300">
      <x:c r="A1300" s="4" t="str">
        <x:v>2022-23</x:v>
      </x:c>
      <x:c r="B1300" s="20" t="n">
        <x:v>45004</x:v>
      </x:c>
      <x:c r="C1300" s="4" t="str">
        <x:v>Arsenal</x:v>
      </x:c>
      <x:c r="D1300" s="4" t="str">
        <x:v>Crystal Palace</x:v>
      </x:c>
      <x:c r="E1300" s="4" t="str">
        <x:v>Home</x:v>
      </x:c>
      <x:c r="F1300" s="28" t="n">
        <x:v>4</x:v>
      </x:c>
      <x:c r="G1300" s="28" t="n">
        <x:v>1</x:v>
      </x:c>
      <x:c r="H1300" s="28" t="n">
        <x:v>15</x:v>
      </x:c>
      <x:c r="I1300" s="28" t="n">
        <x:v>8</x:v>
      </x:c>
      <x:c r="J1300" s="28" t="n">
        <x:v>5</x:v>
      </x:c>
      <x:c r="K1300" s="28" t="n">
        <x:v>4</x:v>
      </x:c>
      <x:c r="L1300" s="28" t="n">
        <x:v>5</x:v>
      </x:c>
      <x:c r="M1300" s="28" t="n">
        <x:v>4</x:v>
      </x:c>
      <x:c r="N1300" s="28" t="n">
        <x:v>0</x:v>
      </x:c>
      <x:c r="O1300" s="28" t="n">
        <x:v>0</x:v>
      </x:c>
      <x:c r="P1300" s="28" t="n">
        <x:v>3</x:v>
      </x:c>
      <x:c r="Q1300" s="24" t="n">
        <x:f>IFERROR(J1300/H1300,0)</x:f>
        <x:v>0.3333333333333333</x:v>
      </x:c>
      <x:c r="R1300" s="24" t="n">
        <x:f>IFERROR(F1300/H1300,0)</x:f>
        <x:v>0.26666666666666666</x:v>
      </x:c>
      <x:c r="S1300" s="24" t="n">
        <x:f>IFERROR(F1300/J1300,0)</x:f>
        <x:v>0.8</x:v>
      </x:c>
      <x:c r="T1300" s="28" t="n">
        <x:f>H1300-I1300</x:f>
        <x:v>7</x:v>
      </x:c>
      <x:c r="U1300" s="24" t="n">
        <x:f>IFERROR(J1300/H1300,0)-IFERROR(K1300/I1300,0)</x:f>
        <x:v>-0.16666666666666669</x:v>
      </x:c>
      <x:c r="V1300" s="24" t="n">
        <x:f>IFERROR(F1300/J1300,0)-IFERROR(G1300/K1300,0)</x:f>
        <x:v>0.55</x:v>
      </x:c>
      <x:c r="W1300" s="28" t="n">
        <x:f>L1300-M1300</x:f>
        <x:v>1</x:v>
      </x:c>
      <x:c r="X1300" s="24" t="n">
        <x:f>IFERROR(K1300/I1300,0)</x:f>
        <x:v>0.5</x:v>
      </x:c>
      <x:c r="Y1300" s="24" t="n">
        <x:f>IFERROR(G1300/I1300,0)</x:f>
        <x:v>0.125</x:v>
      </x:c>
      <x:c r="Z1300" s="24" t="n">
        <x:f>IFERROR(G1300/K1300,0)</x:f>
        <x:v>0.25</x:v>
      </x:c>
      <x:c r="AA1300" s="24" t="n">
        <x:f>IFERROR(F1300/H1300,0)-IFERROR(G1300/I1300,0)</x:f>
        <x:v>0.14166666666666666</x:v>
      </x:c>
      <x:c r="AB1300" s="28" t="n">
        <x:f>J1300-K1300</x:f>
        <x:v>1</x:v>
      </x:c>
      <x:c r="AC1300" s="32" t="n">
        <x:f>F1300-G1300</x:f>
        <x:v>3</x:v>
      </x:c>
    </x:row>
    <x:row r="1301">
      <x:c r="A1301" s="4" t="str">
        <x:v>2022-23</x:v>
      </x:c>
      <x:c r="B1301" s="20" t="n">
        <x:v>45004</x:v>
      </x:c>
      <x:c r="C1301" s="4" t="str">
        <x:v>Crystal Palace</x:v>
      </x:c>
      <x:c r="D1301" s="4" t="str">
        <x:v>Arsenal</x:v>
      </x:c>
      <x:c r="E1301" s="4" t="str">
        <x:v>Away</x:v>
      </x:c>
      <x:c r="F1301" s="28" t="n">
        <x:v>1</x:v>
      </x:c>
      <x:c r="G1301" s="28" t="n">
        <x:v>4</x:v>
      </x:c>
      <x:c r="H1301" s="28" t="n">
        <x:v>8</x:v>
      </x:c>
      <x:c r="I1301" s="28" t="n">
        <x:v>15</x:v>
      </x:c>
      <x:c r="J1301" s="28" t="n">
        <x:v>4</x:v>
      </x:c>
      <x:c r="K1301" s="28" t="n">
        <x:v>5</x:v>
      </x:c>
      <x:c r="L1301" s="28" t="n">
        <x:v>4</x:v>
      </x:c>
      <x:c r="M1301" s="28" t="n">
        <x:v>5</x:v>
      </x:c>
      <x:c r="N1301" s="28" t="n">
        <x:v>1</x:v>
      </x:c>
      <x:c r="O1301" s="28" t="n">
        <x:v>0</x:v>
      </x:c>
      <x:c r="P1301" s="28" t="n">
        <x:v>0</x:v>
      </x:c>
      <x:c r="Q1301" s="24" t="n">
        <x:f>IFERROR(J1301/H1301,0)</x:f>
        <x:v>0.5</x:v>
      </x:c>
      <x:c r="R1301" s="24" t="n">
        <x:f>IFERROR(F1301/H1301,0)</x:f>
        <x:v>0.125</x:v>
      </x:c>
      <x:c r="S1301" s="24" t="n">
        <x:f>IFERROR(F1301/J1301,0)</x:f>
        <x:v>0.25</x:v>
      </x:c>
      <x:c r="T1301" s="28" t="n">
        <x:f>H1301-I1301</x:f>
        <x:v>-7</x:v>
      </x:c>
      <x:c r="U1301" s="24" t="n">
        <x:f>IFERROR(J1301/H1301,0)-IFERROR(K1301/I1301,0)</x:f>
        <x:v>0.16666666666666669</x:v>
      </x:c>
      <x:c r="V1301" s="24" t="n">
        <x:f>IFERROR(F1301/J1301,0)-IFERROR(G1301/K1301,0)</x:f>
        <x:v>-0.55</x:v>
      </x:c>
      <x:c r="W1301" s="28" t="n">
        <x:f>L1301-M1301</x:f>
        <x:v>-1</x:v>
      </x:c>
      <x:c r="X1301" s="24" t="n">
        <x:f>IFERROR(K1301/I1301,0)</x:f>
        <x:v>0.3333333333333333</x:v>
      </x:c>
      <x:c r="Y1301" s="24" t="n">
        <x:f>IFERROR(G1301/I1301,0)</x:f>
        <x:v>0.26666666666666666</x:v>
      </x:c>
      <x:c r="Z1301" s="24" t="n">
        <x:f>IFERROR(G1301/K1301,0)</x:f>
        <x:v>0.8</x:v>
      </x:c>
      <x:c r="AA1301" s="24" t="n">
        <x:f>IFERROR(F1301/H1301,0)-IFERROR(G1301/I1301,0)</x:f>
        <x:v>-0.14166666666666666</x:v>
      </x:c>
      <x:c r="AB1301" s="28" t="n">
        <x:f>J1301-K1301</x:f>
        <x:v>-1</x:v>
      </x:c>
      <x:c r="AC1301" s="32" t="n">
        <x:f>F1301-G1301</x:f>
        <x:v>-3</x:v>
      </x:c>
    </x:row>
    <x:row r="1302">
      <x:c r="A1302" s="4" t="str">
        <x:v>2022-23</x:v>
      </x:c>
      <x:c r="B1302" s="20" t="n">
        <x:v>45017</x:v>
      </x:c>
      <x:c r="C1302" s="4" t="str">
        <x:v>Arsenal</x:v>
      </x:c>
      <x:c r="D1302" s="4" t="str">
        <x:v>Leeds</x:v>
      </x:c>
      <x:c r="E1302" s="4" t="str">
        <x:v>Home</x:v>
      </x:c>
      <x:c r="F1302" s="28" t="n">
        <x:v>4</x:v>
      </x:c>
      <x:c r="G1302" s="28" t="n">
        <x:v>1</x:v>
      </x:c>
      <x:c r="H1302" s="28" t="n">
        <x:v>13</x:v>
      </x:c>
      <x:c r="I1302" s="28" t="n">
        <x:v>7</x:v>
      </x:c>
      <x:c r="J1302" s="28" t="n">
        <x:v>6</x:v>
      </x:c>
      <x:c r="K1302" s="28" t="n">
        <x:v>5</x:v>
      </x:c>
      <x:c r="L1302" s="28" t="n">
        <x:v>4</x:v>
      </x:c>
      <x:c r="M1302" s="28" t="n">
        <x:v>3</x:v>
      </x:c>
      <x:c r="N1302" s="28" t="n">
        <x:v>0</x:v>
      </x:c>
      <x:c r="O1302" s="28" t="n">
        <x:v>0</x:v>
      </x:c>
      <x:c r="P1302" s="28" t="n">
        <x:v>3</x:v>
      </x:c>
      <x:c r="Q1302" s="24" t="n">
        <x:f>IFERROR(J1302/H1302,0)</x:f>
        <x:v>0.46153846153846156</x:v>
      </x:c>
      <x:c r="R1302" s="24" t="n">
        <x:f>IFERROR(F1302/H1302,0)</x:f>
        <x:v>0.3076923076923077</x:v>
      </x:c>
      <x:c r="S1302" s="24" t="n">
        <x:f>IFERROR(F1302/J1302,0)</x:f>
        <x:v>0.6666666666666666</x:v>
      </x:c>
      <x:c r="T1302" s="28" t="n">
        <x:f>H1302-I1302</x:f>
        <x:v>6</x:v>
      </x:c>
      <x:c r="U1302" s="24" t="n">
        <x:f>IFERROR(J1302/H1302,0)-IFERROR(K1302/I1302,0)</x:f>
        <x:v>-0.25274725274725274</x:v>
      </x:c>
      <x:c r="V1302" s="24" t="n">
        <x:f>IFERROR(F1302/J1302,0)-IFERROR(G1302/K1302,0)</x:f>
        <x:v>0.4666666666666666</x:v>
      </x:c>
      <x:c r="W1302" s="28" t="n">
        <x:f>L1302-M1302</x:f>
        <x:v>1</x:v>
      </x:c>
      <x:c r="X1302" s="24" t="n">
        <x:f>IFERROR(K1302/I1302,0)</x:f>
        <x:v>0.7142857142857143</x:v>
      </x:c>
      <x:c r="Y1302" s="24" t="n">
        <x:f>IFERROR(G1302/I1302,0)</x:f>
        <x:v>0.14285714285714285</x:v>
      </x:c>
      <x:c r="Z1302" s="24" t="n">
        <x:f>IFERROR(G1302/K1302,0)</x:f>
        <x:v>0.2</x:v>
      </x:c>
      <x:c r="AA1302" s="24" t="n">
        <x:f>IFERROR(F1302/H1302,0)-IFERROR(G1302/I1302,0)</x:f>
        <x:v>0.16483516483516486</x:v>
      </x:c>
      <x:c r="AB1302" s="28" t="n">
        <x:f>J1302-K1302</x:f>
        <x:v>1</x:v>
      </x:c>
      <x:c r="AC1302" s="32" t="n">
        <x:f>F1302-G1302</x:f>
        <x:v>3</x:v>
      </x:c>
    </x:row>
    <x:row r="1303">
      <x:c r="A1303" s="4" t="str">
        <x:v>2022-23</x:v>
      </x:c>
      <x:c r="B1303" s="20" t="n">
        <x:v>45017</x:v>
      </x:c>
      <x:c r="C1303" s="4" t="str">
        <x:v>Aston Villa</x:v>
      </x:c>
      <x:c r="D1303" s="4" t="str">
        <x:v>Chelsea</x:v>
      </x:c>
      <x:c r="E1303" s="4" t="str">
        <x:v>Away</x:v>
      </x:c>
      <x:c r="F1303" s="28" t="n">
        <x:v>2</x:v>
      </x:c>
      <x:c r="G1303" s="28" t="n">
        <x:v>0</x:v>
      </x:c>
      <x:c r="H1303" s="28" t="n">
        <x:v>5</x:v>
      </x:c>
      <x:c r="I1303" s="28" t="n">
        <x:v>27</x:v>
      </x:c>
      <x:c r="J1303" s="28" t="n">
        <x:v>2</x:v>
      </x:c>
      <x:c r="K1303" s="28" t="n">
        <x:v>8</x:v>
      </x:c>
      <x:c r="L1303" s="28" t="n">
        <x:v>2</x:v>
      </x:c>
      <x:c r="M1303" s="28" t="n">
        <x:v>13</x:v>
      </x:c>
      <x:c r="N1303" s="28" t="n">
        <x:v>3</x:v>
      </x:c>
      <x:c r="O1303" s="28" t="n">
        <x:v>0</x:v>
      </x:c>
      <x:c r="P1303" s="28" t="n">
        <x:v>3</x:v>
      </x:c>
      <x:c r="Q1303" s="24" t="n">
        <x:f>IFERROR(J1303/H1303,0)</x:f>
        <x:v>0.4</x:v>
      </x:c>
      <x:c r="R1303" s="24" t="n">
        <x:f>IFERROR(F1303/H1303,0)</x:f>
        <x:v>0.4</x:v>
      </x:c>
      <x:c r="S1303" s="24" t="n">
        <x:f>IFERROR(F1303/J1303,0)</x:f>
        <x:v>1</x:v>
      </x:c>
      <x:c r="T1303" s="28" t="n">
        <x:f>H1303-I1303</x:f>
        <x:v>-22</x:v>
      </x:c>
      <x:c r="U1303" s="24" t="n">
        <x:f>IFERROR(J1303/H1303,0)-IFERROR(K1303/I1303,0)</x:f>
        <x:v>0.10370370370370374</x:v>
      </x:c>
      <x:c r="V1303" s="24" t="n">
        <x:f>IFERROR(F1303/J1303,0)-IFERROR(G1303/K1303,0)</x:f>
        <x:v>1</x:v>
      </x:c>
      <x:c r="W1303" s="28" t="n">
        <x:f>L1303-M1303</x:f>
        <x:v>-11</x:v>
      </x:c>
      <x:c r="X1303" s="24" t="n">
        <x:f>IFERROR(K1303/I1303,0)</x:f>
        <x:v>0.2962962962962963</x:v>
      </x:c>
      <x:c r="Y1303" s="24" t="n">
        <x:f>IFERROR(G1303/I1303,0)</x:f>
        <x:v>0</x:v>
      </x:c>
      <x:c r="Z1303" s="24" t="n">
        <x:f>IFERROR(G1303/K1303,0)</x:f>
        <x:v>0</x:v>
      </x:c>
      <x:c r="AA1303" s="24" t="n">
        <x:f>IFERROR(F1303/H1303,0)-IFERROR(G1303/I1303,0)</x:f>
        <x:v>0.4</x:v>
      </x:c>
      <x:c r="AB1303" s="28" t="n">
        <x:f>J1303-K1303</x:f>
        <x:v>-6</x:v>
      </x:c>
      <x:c r="AC1303" s="32" t="n">
        <x:f>F1303-G1303</x:f>
        <x:v>2</x:v>
      </x:c>
    </x:row>
    <x:row r="1304">
      <x:c r="A1304" s="4" t="str">
        <x:v>2022-23</x:v>
      </x:c>
      <x:c r="B1304" s="20" t="n">
        <x:v>45017</x:v>
      </x:c>
      <x:c r="C1304" s="4" t="str">
        <x:v>Bournemouth</x:v>
      </x:c>
      <x:c r="D1304" s="4" t="str">
        <x:v>Fulham</x:v>
      </x:c>
      <x:c r="E1304" s="4" t="str">
        <x:v>Home</x:v>
      </x:c>
      <x:c r="F1304" s="28" t="n">
        <x:v>2</x:v>
      </x:c>
      <x:c r="G1304" s="28" t="n">
        <x:v>1</x:v>
      </x:c>
      <x:c r="H1304" s="28" t="n">
        <x:v>12</x:v>
      </x:c>
      <x:c r="I1304" s="28" t="n">
        <x:v>10</x:v>
      </x:c>
      <x:c r="J1304" s="28" t="n">
        <x:v>7</x:v>
      </x:c>
      <x:c r="K1304" s="28" t="n">
        <x:v>2</x:v>
      </x:c>
      <x:c r="L1304" s="28" t="n">
        <x:v>4</x:v>
      </x:c>
      <x:c r="M1304" s="28" t="n">
        <x:v>3</x:v>
      </x:c>
      <x:c r="N1304" s="28" t="n">
        <x:v>1</x:v>
      </x:c>
      <x:c r="O1304" s="28" t="n">
        <x:v>0</x:v>
      </x:c>
      <x:c r="P1304" s="28" t="n">
        <x:v>3</x:v>
      </x:c>
      <x:c r="Q1304" s="24" t="n">
        <x:f>IFERROR(J1304/H1304,0)</x:f>
        <x:v>0.5833333333333334</x:v>
      </x:c>
      <x:c r="R1304" s="24" t="n">
        <x:f>IFERROR(F1304/H1304,0)</x:f>
        <x:v>0.16666666666666666</x:v>
      </x:c>
      <x:c r="S1304" s="24" t="n">
        <x:f>IFERROR(F1304/J1304,0)</x:f>
        <x:v>0.2857142857142857</x:v>
      </x:c>
      <x:c r="T1304" s="28" t="n">
        <x:f>H1304-I1304</x:f>
        <x:v>2</x:v>
      </x:c>
      <x:c r="U1304" s="24" t="n">
        <x:f>IFERROR(J1304/H1304,0)-IFERROR(K1304/I1304,0)</x:f>
        <x:v>0.38333333333333336</x:v>
      </x:c>
      <x:c r="V1304" s="24" t="n">
        <x:f>IFERROR(F1304/J1304,0)-IFERROR(G1304/K1304,0)</x:f>
        <x:v>-0.2142857142857143</x:v>
      </x:c>
      <x:c r="W1304" s="28" t="n">
        <x:f>L1304-M1304</x:f>
        <x:v>1</x:v>
      </x:c>
      <x:c r="X1304" s="24" t="n">
        <x:f>IFERROR(K1304/I1304,0)</x:f>
        <x:v>0.2</x:v>
      </x:c>
      <x:c r="Y1304" s="24" t="n">
        <x:f>IFERROR(G1304/I1304,0)</x:f>
        <x:v>0.1</x:v>
      </x:c>
      <x:c r="Z1304" s="24" t="n">
        <x:f>IFERROR(G1304/K1304,0)</x:f>
        <x:v>0.5</x:v>
      </x:c>
      <x:c r="AA1304" s="24" t="n">
        <x:f>IFERROR(F1304/H1304,0)-IFERROR(G1304/I1304,0)</x:f>
        <x:v>0.06666666666666665</x:v>
      </x:c>
      <x:c r="AB1304" s="28" t="n">
        <x:f>J1304-K1304</x:f>
        <x:v>5</x:v>
      </x:c>
      <x:c r="AC1304" s="32" t="n">
        <x:f>F1304-G1304</x:f>
        <x:v>1</x:v>
      </x:c>
    </x:row>
    <x:row r="1305">
      <x:c r="A1305" s="4" t="str">
        <x:v>2022-23</x:v>
      </x:c>
      <x:c r="B1305" s="20" t="n">
        <x:v>45017</x:v>
      </x:c>
      <x:c r="C1305" s="4" t="str">
        <x:v>Brentford</x:v>
      </x:c>
      <x:c r="D1305" s="4" t="str">
        <x:v>Brighton</x:v>
      </x:c>
      <x:c r="E1305" s="4" t="str">
        <x:v>Away</x:v>
      </x:c>
      <x:c r="F1305" s="28" t="n">
        <x:v>3</x:v>
      </x:c>
      <x:c r="G1305" s="28" t="n">
        <x:v>3</x:v>
      </x:c>
      <x:c r="H1305" s="28" t="n">
        <x:v>7</x:v>
      </x:c>
      <x:c r="I1305" s="28" t="n">
        <x:v>33</x:v>
      </x:c>
      <x:c r="J1305" s="28" t="n">
        <x:v>5</x:v>
      </x:c>
      <x:c r="K1305" s="28" t="n">
        <x:v>15</x:v>
      </x:c>
      <x:c r="L1305" s="28" t="n">
        <x:v>0</x:v>
      </x:c>
      <x:c r="M1305" s="28" t="n">
        <x:v>14</x:v>
      </x:c>
      <x:c r="N1305" s="28" t="n">
        <x:v>1</x:v>
      </x:c>
      <x:c r="O1305" s="28" t="n">
        <x:v>0</x:v>
      </x:c>
      <x:c r="P1305" s="28" t="n">
        <x:v>1</x:v>
      </x:c>
      <x:c r="Q1305" s="24" t="n">
        <x:f>IFERROR(J1305/H1305,0)</x:f>
        <x:v>0.7142857142857143</x:v>
      </x:c>
      <x:c r="R1305" s="24" t="n">
        <x:f>IFERROR(F1305/H1305,0)</x:f>
        <x:v>0.42857142857142855</x:v>
      </x:c>
      <x:c r="S1305" s="24" t="n">
        <x:f>IFERROR(F1305/J1305,0)</x:f>
        <x:v>0.6</x:v>
      </x:c>
      <x:c r="T1305" s="28" t="n">
        <x:f>H1305-I1305</x:f>
        <x:v>-26</x:v>
      </x:c>
      <x:c r="U1305" s="24" t="n">
        <x:f>IFERROR(J1305/H1305,0)-IFERROR(K1305/I1305,0)</x:f>
        <x:v>0.25974025974025977</x:v>
      </x:c>
      <x:c r="V1305" s="24" t="n">
        <x:f>IFERROR(F1305/J1305,0)-IFERROR(G1305/K1305,0)</x:f>
        <x:v>0.39999999999999997</x:v>
      </x:c>
      <x:c r="W1305" s="28" t="n">
        <x:f>L1305-M1305</x:f>
        <x:v>-14</x:v>
      </x:c>
      <x:c r="X1305" s="24" t="n">
        <x:f>IFERROR(K1305/I1305,0)</x:f>
        <x:v>0.45454545454545453</x:v>
      </x:c>
      <x:c r="Y1305" s="24" t="n">
        <x:f>IFERROR(G1305/I1305,0)</x:f>
        <x:v>0.09090909090909091</x:v>
      </x:c>
      <x:c r="Z1305" s="24" t="n">
        <x:f>IFERROR(G1305/K1305,0)</x:f>
        <x:v>0.2</x:v>
      </x:c>
      <x:c r="AA1305" s="24" t="n">
        <x:f>IFERROR(F1305/H1305,0)-IFERROR(G1305/I1305,0)</x:f>
        <x:v>0.33766233766233766</x:v>
      </x:c>
      <x:c r="AB1305" s="28" t="n">
        <x:f>J1305-K1305</x:f>
        <x:v>-10</x:v>
      </x:c>
      <x:c r="AC1305" s="32" t="n">
        <x:f>F1305-G1305</x:f>
        <x:v>0</x:v>
      </x:c>
    </x:row>
    <x:row r="1306">
      <x:c r="A1306" s="4" t="str">
        <x:v>2022-23</x:v>
      </x:c>
      <x:c r="B1306" s="20" t="n">
        <x:v>45017</x:v>
      </x:c>
      <x:c r="C1306" s="4" t="str">
        <x:v>Brighton</x:v>
      </x:c>
      <x:c r="D1306" s="4" t="str">
        <x:v>Brentford</x:v>
      </x:c>
      <x:c r="E1306" s="4" t="str">
        <x:v>Home</x:v>
      </x:c>
      <x:c r="F1306" s="28" t="n">
        <x:v>3</x:v>
      </x:c>
      <x:c r="G1306" s="28" t="n">
        <x:v>3</x:v>
      </x:c>
      <x:c r="H1306" s="28" t="n">
        <x:v>33</x:v>
      </x:c>
      <x:c r="I1306" s="28" t="n">
        <x:v>7</x:v>
      </x:c>
      <x:c r="J1306" s="28" t="n">
        <x:v>15</x:v>
      </x:c>
      <x:c r="K1306" s="28" t="n">
        <x:v>5</x:v>
      </x:c>
      <x:c r="L1306" s="28" t="n">
        <x:v>14</x:v>
      </x:c>
      <x:c r="M1306" s="28" t="n">
        <x:v>0</x:v>
      </x:c>
      <x:c r="N1306" s="28" t="n">
        <x:v>2</x:v>
      </x:c>
      <x:c r="O1306" s="28" t="n">
        <x:v>0</x:v>
      </x:c>
      <x:c r="P1306" s="28" t="n">
        <x:v>1</x:v>
      </x:c>
      <x:c r="Q1306" s="24" t="n">
        <x:f>IFERROR(J1306/H1306,0)</x:f>
        <x:v>0.45454545454545453</x:v>
      </x:c>
      <x:c r="R1306" s="24" t="n">
        <x:f>IFERROR(F1306/H1306,0)</x:f>
        <x:v>0.09090909090909091</x:v>
      </x:c>
      <x:c r="S1306" s="24" t="n">
        <x:f>IFERROR(F1306/J1306,0)</x:f>
        <x:v>0.2</x:v>
      </x:c>
      <x:c r="T1306" s="28" t="n">
        <x:f>H1306-I1306</x:f>
        <x:v>26</x:v>
      </x:c>
      <x:c r="U1306" s="24" t="n">
        <x:f>IFERROR(J1306/H1306,0)-IFERROR(K1306/I1306,0)</x:f>
        <x:v>-0.25974025974025977</x:v>
      </x:c>
      <x:c r="V1306" s="24" t="n">
        <x:f>IFERROR(F1306/J1306,0)-IFERROR(G1306/K1306,0)</x:f>
        <x:v>-0.39999999999999997</x:v>
      </x:c>
      <x:c r="W1306" s="28" t="n">
        <x:f>L1306-M1306</x:f>
        <x:v>14</x:v>
      </x:c>
      <x:c r="X1306" s="24" t="n">
        <x:f>IFERROR(K1306/I1306,0)</x:f>
        <x:v>0.7142857142857143</x:v>
      </x:c>
      <x:c r="Y1306" s="24" t="n">
        <x:f>IFERROR(G1306/I1306,0)</x:f>
        <x:v>0.42857142857142855</x:v>
      </x:c>
      <x:c r="Z1306" s="24" t="n">
        <x:f>IFERROR(G1306/K1306,0)</x:f>
        <x:v>0.6</x:v>
      </x:c>
      <x:c r="AA1306" s="24" t="n">
        <x:f>IFERROR(F1306/H1306,0)-IFERROR(G1306/I1306,0)</x:f>
        <x:v>-0.33766233766233766</x:v>
      </x:c>
      <x:c r="AB1306" s="28" t="n">
        <x:f>J1306-K1306</x:f>
        <x:v>10</x:v>
      </x:c>
      <x:c r="AC1306" s="32" t="n">
        <x:f>F1306-G1306</x:f>
        <x:v>0</x:v>
      </x:c>
    </x:row>
    <x:row r="1307">
      <x:c r="A1307" s="4" t="str">
        <x:v>2022-23</x:v>
      </x:c>
      <x:c r="B1307" s="20" t="n">
        <x:v>45017</x:v>
      </x:c>
      <x:c r="C1307" s="4" t="str">
        <x:v>Chelsea</x:v>
      </x:c>
      <x:c r="D1307" s="4" t="str">
        <x:v>Aston Villa</x:v>
      </x:c>
      <x:c r="E1307" s="4" t="str">
        <x:v>Home</x:v>
      </x:c>
      <x:c r="F1307" s="28" t="n">
        <x:v>0</x:v>
      </x:c>
      <x:c r="G1307" s="28" t="n">
        <x:v>2</x:v>
      </x:c>
      <x:c r="H1307" s="28" t="n">
        <x:v>27</x:v>
      </x:c>
      <x:c r="I1307" s="28" t="n">
        <x:v>5</x:v>
      </x:c>
      <x:c r="J1307" s="28" t="n">
        <x:v>8</x:v>
      </x:c>
      <x:c r="K1307" s="28" t="n">
        <x:v>2</x:v>
      </x:c>
      <x:c r="L1307" s="28" t="n">
        <x:v>13</x:v>
      </x:c>
      <x:c r="M1307" s="28" t="n">
        <x:v>2</x:v>
      </x:c>
      <x:c r="N1307" s="28" t="n">
        <x:v>3</x:v>
      </x:c>
      <x:c r="O1307" s="28" t="n">
        <x:v>0</x:v>
      </x:c>
      <x:c r="P1307" s="28" t="n">
        <x:v>0</x:v>
      </x:c>
      <x:c r="Q1307" s="24" t="n">
        <x:f>IFERROR(J1307/H1307,0)</x:f>
        <x:v>0.2962962962962963</x:v>
      </x:c>
      <x:c r="R1307" s="24" t="n">
        <x:f>IFERROR(F1307/H1307,0)</x:f>
        <x:v>0</x:v>
      </x:c>
      <x:c r="S1307" s="24" t="n">
        <x:f>IFERROR(F1307/J1307,0)</x:f>
        <x:v>0</x:v>
      </x:c>
      <x:c r="T1307" s="28" t="n">
        <x:f>H1307-I1307</x:f>
        <x:v>22</x:v>
      </x:c>
      <x:c r="U1307" s="24" t="n">
        <x:f>IFERROR(J1307/H1307,0)-IFERROR(K1307/I1307,0)</x:f>
        <x:v>-0.10370370370370374</x:v>
      </x:c>
      <x:c r="V1307" s="24" t="n">
        <x:f>IFERROR(F1307/J1307,0)-IFERROR(G1307/K1307,0)</x:f>
        <x:v>-1</x:v>
      </x:c>
      <x:c r="W1307" s="28" t="n">
        <x:f>L1307-M1307</x:f>
        <x:v>11</x:v>
      </x:c>
      <x:c r="X1307" s="24" t="n">
        <x:f>IFERROR(K1307/I1307,0)</x:f>
        <x:v>0.4</x:v>
      </x:c>
      <x:c r="Y1307" s="24" t="n">
        <x:f>IFERROR(G1307/I1307,0)</x:f>
        <x:v>0.4</x:v>
      </x:c>
      <x:c r="Z1307" s="24" t="n">
        <x:f>IFERROR(G1307/K1307,0)</x:f>
        <x:v>1</x:v>
      </x:c>
      <x:c r="AA1307" s="24" t="n">
        <x:f>IFERROR(F1307/H1307,0)-IFERROR(G1307/I1307,0)</x:f>
        <x:v>-0.4</x:v>
      </x:c>
      <x:c r="AB1307" s="28" t="n">
        <x:f>J1307-K1307</x:f>
        <x:v>6</x:v>
      </x:c>
      <x:c r="AC1307" s="32" t="n">
        <x:f>F1307-G1307</x:f>
        <x:v>-2</x:v>
      </x:c>
    </x:row>
    <x:row r="1308">
      <x:c r="A1308" s="4" t="str">
        <x:v>2022-23</x:v>
      </x:c>
      <x:c r="B1308" s="20" t="n">
        <x:v>45017</x:v>
      </x:c>
      <x:c r="C1308" s="4" t="str">
        <x:v>Crystal Palace</x:v>
      </x:c>
      <x:c r="D1308" s="4" t="str">
        <x:v>Leicester</x:v>
      </x:c>
      <x:c r="E1308" s="4" t="str">
        <x:v>Home</x:v>
      </x:c>
      <x:c r="F1308" s="28" t="n">
        <x:v>2</x:v>
      </x:c>
      <x:c r="G1308" s="28" t="n">
        <x:v>1</x:v>
      </x:c>
      <x:c r="H1308" s="28" t="n">
        <x:v>31</x:v>
      </x:c>
      <x:c r="I1308" s="28" t="n">
        <x:v>3</x:v>
      </x:c>
      <x:c r="J1308" s="28" t="n">
        <x:v>9</x:v>
      </x:c>
      <x:c r="K1308" s="28" t="n">
        <x:v>2</x:v>
      </x:c>
      <x:c r="L1308" s="28" t="n">
        <x:v>10</x:v>
      </x:c>
      <x:c r="M1308" s="28" t="n">
        <x:v>1</x:v>
      </x:c>
      <x:c r="N1308" s="28" t="n">
        <x:v>3</x:v>
      </x:c>
      <x:c r="O1308" s="28" t="n">
        <x:v>0</x:v>
      </x:c>
      <x:c r="P1308" s="28" t="n">
        <x:v>3</x:v>
      </x:c>
      <x:c r="Q1308" s="24" t="n">
        <x:f>IFERROR(J1308/H1308,0)</x:f>
        <x:v>0.2903225806451613</x:v>
      </x:c>
      <x:c r="R1308" s="24" t="n">
        <x:f>IFERROR(F1308/H1308,0)</x:f>
        <x:v>0.06451612903225806</x:v>
      </x:c>
      <x:c r="S1308" s="24" t="n">
        <x:f>IFERROR(F1308/J1308,0)</x:f>
        <x:v>0.2222222222222222</x:v>
      </x:c>
      <x:c r="T1308" s="28" t="n">
        <x:f>H1308-I1308</x:f>
        <x:v>28</x:v>
      </x:c>
      <x:c r="U1308" s="24" t="n">
        <x:f>IFERROR(J1308/H1308,0)-IFERROR(K1308/I1308,0)</x:f>
        <x:v>-0.3763440860215053</x:v>
      </x:c>
      <x:c r="V1308" s="24" t="n">
        <x:f>IFERROR(F1308/J1308,0)-IFERROR(G1308/K1308,0)</x:f>
        <x:v>-0.2777777777777778</x:v>
      </x:c>
      <x:c r="W1308" s="28" t="n">
        <x:f>L1308-M1308</x:f>
        <x:v>9</x:v>
      </x:c>
      <x:c r="X1308" s="24" t="n">
        <x:f>IFERROR(K1308/I1308,0)</x:f>
        <x:v>0.6666666666666666</x:v>
      </x:c>
      <x:c r="Y1308" s="24" t="n">
        <x:f>IFERROR(G1308/I1308,0)</x:f>
        <x:v>0.3333333333333333</x:v>
      </x:c>
      <x:c r="Z1308" s="24" t="n">
        <x:f>IFERROR(G1308/K1308,0)</x:f>
        <x:v>0.5</x:v>
      </x:c>
      <x:c r="AA1308" s="24" t="n">
        <x:f>IFERROR(F1308/H1308,0)-IFERROR(G1308/I1308,0)</x:f>
        <x:v>-0.26881720430107525</x:v>
      </x:c>
      <x:c r="AB1308" s="28" t="n">
        <x:f>J1308-K1308</x:f>
        <x:v>7</x:v>
      </x:c>
      <x:c r="AC1308" s="32" t="n">
        <x:f>F1308-G1308</x:f>
        <x:v>1</x:v>
      </x:c>
    </x:row>
    <x:row r="1309">
      <x:c r="A1309" s="4" t="str">
        <x:v>2022-23</x:v>
      </x:c>
      <x:c r="B1309" s="20" t="n">
        <x:v>45017</x:v>
      </x:c>
      <x:c r="C1309" s="4" t="str">
        <x:v>Fulham</x:v>
      </x:c>
      <x:c r="D1309" s="4" t="str">
        <x:v>Bournemouth</x:v>
      </x:c>
      <x:c r="E1309" s="4" t="str">
        <x:v>Away</x:v>
      </x:c>
      <x:c r="F1309" s="28" t="n">
        <x:v>1</x:v>
      </x:c>
      <x:c r="G1309" s="28" t="n">
        <x:v>2</x:v>
      </x:c>
      <x:c r="H1309" s="28" t="n">
        <x:v>10</x:v>
      </x:c>
      <x:c r="I1309" s="28" t="n">
        <x:v>12</x:v>
      </x:c>
      <x:c r="J1309" s="28" t="n">
        <x:v>2</x:v>
      </x:c>
      <x:c r="K1309" s="28" t="n">
        <x:v>7</x:v>
      </x:c>
      <x:c r="L1309" s="28" t="n">
        <x:v>3</x:v>
      </x:c>
      <x:c r="M1309" s="28" t="n">
        <x:v>4</x:v>
      </x:c>
      <x:c r="N1309" s="28" t="n">
        <x:v>4</x:v>
      </x:c>
      <x:c r="O1309" s="28" t="n">
        <x:v>0</x:v>
      </x:c>
      <x:c r="P1309" s="28" t="n">
        <x:v>0</x:v>
      </x:c>
      <x:c r="Q1309" s="24" t="n">
        <x:f>IFERROR(J1309/H1309,0)</x:f>
        <x:v>0.2</x:v>
      </x:c>
      <x:c r="R1309" s="24" t="n">
        <x:f>IFERROR(F1309/H1309,0)</x:f>
        <x:v>0.1</x:v>
      </x:c>
      <x:c r="S1309" s="24" t="n">
        <x:f>IFERROR(F1309/J1309,0)</x:f>
        <x:v>0.5</x:v>
      </x:c>
      <x:c r="T1309" s="28" t="n">
        <x:f>H1309-I1309</x:f>
        <x:v>-2</x:v>
      </x:c>
      <x:c r="U1309" s="24" t="n">
        <x:f>IFERROR(J1309/H1309,0)-IFERROR(K1309/I1309,0)</x:f>
        <x:v>-0.38333333333333336</x:v>
      </x:c>
      <x:c r="V1309" s="24" t="n">
        <x:f>IFERROR(F1309/J1309,0)-IFERROR(G1309/K1309,0)</x:f>
        <x:v>0.2142857142857143</x:v>
      </x:c>
      <x:c r="W1309" s="28" t="n">
        <x:f>L1309-M1309</x:f>
        <x:v>-1</x:v>
      </x:c>
      <x:c r="X1309" s="24" t="n">
        <x:f>IFERROR(K1309/I1309,0)</x:f>
        <x:v>0.5833333333333334</x:v>
      </x:c>
      <x:c r="Y1309" s="24" t="n">
        <x:f>IFERROR(G1309/I1309,0)</x:f>
        <x:v>0.16666666666666666</x:v>
      </x:c>
      <x:c r="Z1309" s="24" t="n">
        <x:f>IFERROR(G1309/K1309,0)</x:f>
        <x:v>0.2857142857142857</x:v>
      </x:c>
      <x:c r="AA1309" s="24" t="n">
        <x:f>IFERROR(F1309/H1309,0)-IFERROR(G1309/I1309,0)</x:f>
        <x:v>-0.06666666666666665</x:v>
      </x:c>
      <x:c r="AB1309" s="28" t="n">
        <x:f>J1309-K1309</x:f>
        <x:v>-5</x:v>
      </x:c>
      <x:c r="AC1309" s="32" t="n">
        <x:f>F1309-G1309</x:f>
        <x:v>-1</x:v>
      </x:c>
    </x:row>
    <x:row r="1310">
      <x:c r="A1310" s="4" t="str">
        <x:v>2022-23</x:v>
      </x:c>
      <x:c r="B1310" s="20" t="n">
        <x:v>45017</x:v>
      </x:c>
      <x:c r="C1310" s="4" t="str">
        <x:v>Leeds</x:v>
      </x:c>
      <x:c r="D1310" s="4" t="str">
        <x:v>Arsenal</x:v>
      </x:c>
      <x:c r="E1310" s="4" t="str">
        <x:v>Away</x:v>
      </x:c>
      <x:c r="F1310" s="28" t="n">
        <x:v>1</x:v>
      </x:c>
      <x:c r="G1310" s="28" t="n">
        <x:v>4</x:v>
      </x:c>
      <x:c r="H1310" s="28" t="n">
        <x:v>7</x:v>
      </x:c>
      <x:c r="I1310" s="28" t="n">
        <x:v>13</x:v>
      </x:c>
      <x:c r="J1310" s="28" t="n">
        <x:v>5</x:v>
      </x:c>
      <x:c r="K1310" s="28" t="n">
        <x:v>6</x:v>
      </x:c>
      <x:c r="L1310" s="28" t="n">
        <x:v>3</x:v>
      </x:c>
      <x:c r="M1310" s="28" t="n">
        <x:v>4</x:v>
      </x:c>
      <x:c r="N1310" s="28" t="n">
        <x:v>2</x:v>
      </x:c>
      <x:c r="O1310" s="28" t="n">
        <x:v>0</x:v>
      </x:c>
      <x:c r="P1310" s="28" t="n">
        <x:v>0</x:v>
      </x:c>
      <x:c r="Q1310" s="24" t="n">
        <x:f>IFERROR(J1310/H1310,0)</x:f>
        <x:v>0.7142857142857143</x:v>
      </x:c>
      <x:c r="R1310" s="24" t="n">
        <x:f>IFERROR(F1310/H1310,0)</x:f>
        <x:v>0.14285714285714285</x:v>
      </x:c>
      <x:c r="S1310" s="24" t="n">
        <x:f>IFERROR(F1310/J1310,0)</x:f>
        <x:v>0.2</x:v>
      </x:c>
      <x:c r="T1310" s="28" t="n">
        <x:f>H1310-I1310</x:f>
        <x:v>-6</x:v>
      </x:c>
      <x:c r="U1310" s="24" t="n">
        <x:f>IFERROR(J1310/H1310,0)-IFERROR(K1310/I1310,0)</x:f>
        <x:v>0.25274725274725274</x:v>
      </x:c>
      <x:c r="V1310" s="24" t="n">
        <x:f>IFERROR(F1310/J1310,0)-IFERROR(G1310/K1310,0)</x:f>
        <x:v>-0.4666666666666666</x:v>
      </x:c>
      <x:c r="W1310" s="28" t="n">
        <x:f>L1310-M1310</x:f>
        <x:v>-1</x:v>
      </x:c>
      <x:c r="X1310" s="24" t="n">
        <x:f>IFERROR(K1310/I1310,0)</x:f>
        <x:v>0.46153846153846156</x:v>
      </x:c>
      <x:c r="Y1310" s="24" t="n">
        <x:f>IFERROR(G1310/I1310,0)</x:f>
        <x:v>0.3076923076923077</x:v>
      </x:c>
      <x:c r="Z1310" s="24" t="n">
        <x:f>IFERROR(G1310/K1310,0)</x:f>
        <x:v>0.6666666666666666</x:v>
      </x:c>
      <x:c r="AA1310" s="24" t="n">
        <x:f>IFERROR(F1310/H1310,0)-IFERROR(G1310/I1310,0)</x:f>
        <x:v>-0.16483516483516486</x:v>
      </x:c>
      <x:c r="AB1310" s="28" t="n">
        <x:f>J1310-K1310</x:f>
        <x:v>-1</x:v>
      </x:c>
      <x:c r="AC1310" s="32" t="n">
        <x:f>F1310-G1310</x:f>
        <x:v>-3</x:v>
      </x:c>
    </x:row>
    <x:row r="1311">
      <x:c r="A1311" s="4" t="str">
        <x:v>2022-23</x:v>
      </x:c>
      <x:c r="B1311" s="20" t="n">
        <x:v>45017</x:v>
      </x:c>
      <x:c r="C1311" s="4" t="str">
        <x:v>Leicester</x:v>
      </x:c>
      <x:c r="D1311" s="4" t="str">
        <x:v>Crystal Palace</x:v>
      </x:c>
      <x:c r="E1311" s="4" t="str">
        <x:v>Away</x:v>
      </x:c>
      <x:c r="F1311" s="28" t="n">
        <x:v>1</x:v>
      </x:c>
      <x:c r="G1311" s="28" t="n">
        <x:v>2</x:v>
      </x:c>
      <x:c r="H1311" s="28" t="n">
        <x:v>3</x:v>
      </x:c>
      <x:c r="I1311" s="28" t="n">
        <x:v>31</x:v>
      </x:c>
      <x:c r="J1311" s="28" t="n">
        <x:v>2</x:v>
      </x:c>
      <x:c r="K1311" s="28" t="n">
        <x:v>9</x:v>
      </x:c>
      <x:c r="L1311" s="28" t="n">
        <x:v>1</x:v>
      </x:c>
      <x:c r="M1311" s="28" t="n">
        <x:v>10</x:v>
      </x:c>
      <x:c r="N1311" s="28" t="n">
        <x:v>4</x:v>
      </x:c>
      <x:c r="O1311" s="28" t="n">
        <x:v>0</x:v>
      </x:c>
      <x:c r="P1311" s="28" t="n">
        <x:v>0</x:v>
      </x:c>
      <x:c r="Q1311" s="24" t="n">
        <x:f>IFERROR(J1311/H1311,0)</x:f>
        <x:v>0.6666666666666666</x:v>
      </x:c>
      <x:c r="R1311" s="24" t="n">
        <x:f>IFERROR(F1311/H1311,0)</x:f>
        <x:v>0.3333333333333333</x:v>
      </x:c>
      <x:c r="S1311" s="24" t="n">
        <x:f>IFERROR(F1311/J1311,0)</x:f>
        <x:v>0.5</x:v>
      </x:c>
      <x:c r="T1311" s="28" t="n">
        <x:f>H1311-I1311</x:f>
        <x:v>-28</x:v>
      </x:c>
      <x:c r="U1311" s="24" t="n">
        <x:f>IFERROR(J1311/H1311,0)-IFERROR(K1311/I1311,0)</x:f>
        <x:v>0.3763440860215053</x:v>
      </x:c>
      <x:c r="V1311" s="24" t="n">
        <x:f>IFERROR(F1311/J1311,0)-IFERROR(G1311/K1311,0)</x:f>
        <x:v>0.2777777777777778</x:v>
      </x:c>
      <x:c r="W1311" s="28" t="n">
        <x:f>L1311-M1311</x:f>
        <x:v>-9</x:v>
      </x:c>
      <x:c r="X1311" s="24" t="n">
        <x:f>IFERROR(K1311/I1311,0)</x:f>
        <x:v>0.2903225806451613</x:v>
      </x:c>
      <x:c r="Y1311" s="24" t="n">
        <x:f>IFERROR(G1311/I1311,0)</x:f>
        <x:v>0.06451612903225806</x:v>
      </x:c>
      <x:c r="Z1311" s="24" t="n">
        <x:f>IFERROR(G1311/K1311,0)</x:f>
        <x:v>0.2222222222222222</x:v>
      </x:c>
      <x:c r="AA1311" s="24" t="n">
        <x:f>IFERROR(F1311/H1311,0)-IFERROR(G1311/I1311,0)</x:f>
        <x:v>0.26881720430107525</x:v>
      </x:c>
      <x:c r="AB1311" s="28" t="n">
        <x:f>J1311-K1311</x:f>
        <x:v>-7</x:v>
      </x:c>
      <x:c r="AC1311" s="32" t="n">
        <x:f>F1311-G1311</x:f>
        <x:v>-1</x:v>
      </x:c>
    </x:row>
    <x:row r="1312">
      <x:c r="A1312" s="4" t="str">
        <x:v>2022-23</x:v>
      </x:c>
      <x:c r="B1312" s="20" t="n">
        <x:v>45017</x:v>
      </x:c>
      <x:c r="C1312" s="4" t="str">
        <x:v>Liverpool</x:v>
      </x:c>
      <x:c r="D1312" s="4" t="str">
        <x:v>Man City</x:v>
      </x:c>
      <x:c r="E1312" s="4" t="str">
        <x:v>Away</x:v>
      </x:c>
      <x:c r="F1312" s="28" t="n">
        <x:v>1</x:v>
      </x:c>
      <x:c r="G1312" s="28" t="n">
        <x:v>4</x:v>
      </x:c>
      <x:c r="H1312" s="28" t="n">
        <x:v>4</x:v>
      </x:c>
      <x:c r="I1312" s="28" t="n">
        <x:v>17</x:v>
      </x:c>
      <x:c r="J1312" s="28" t="n">
        <x:v>1</x:v>
      </x:c>
      <x:c r="K1312" s="28" t="n">
        <x:v>8</x:v>
      </x:c>
      <x:c r="L1312" s="28" t="n">
        <x:v>1</x:v>
      </x:c>
      <x:c r="M1312" s="28" t="n">
        <x:v>7</x:v>
      </x:c>
      <x:c r="N1312" s="28" t="n">
        <x:v>1</x:v>
      </x:c>
      <x:c r="O1312" s="28" t="n">
        <x:v>0</x:v>
      </x:c>
      <x:c r="P1312" s="28" t="n">
        <x:v>0</x:v>
      </x:c>
      <x:c r="Q1312" s="24" t="n">
        <x:f>IFERROR(J1312/H1312,0)</x:f>
        <x:v>0.25</x:v>
      </x:c>
      <x:c r="R1312" s="24" t="n">
        <x:f>IFERROR(F1312/H1312,0)</x:f>
        <x:v>0.25</x:v>
      </x:c>
      <x:c r="S1312" s="24" t="n">
        <x:f>IFERROR(F1312/J1312,0)</x:f>
        <x:v>1</x:v>
      </x:c>
      <x:c r="T1312" s="28" t="n">
        <x:f>H1312-I1312</x:f>
        <x:v>-13</x:v>
      </x:c>
      <x:c r="U1312" s="24" t="n">
        <x:f>IFERROR(J1312/H1312,0)-IFERROR(K1312/I1312,0)</x:f>
        <x:v>-0.22058823529411764</x:v>
      </x:c>
      <x:c r="V1312" s="24" t="n">
        <x:f>IFERROR(F1312/J1312,0)-IFERROR(G1312/K1312,0)</x:f>
        <x:v>0.5</x:v>
      </x:c>
      <x:c r="W1312" s="28" t="n">
        <x:f>L1312-M1312</x:f>
        <x:v>-6</x:v>
      </x:c>
      <x:c r="X1312" s="24" t="n">
        <x:f>IFERROR(K1312/I1312,0)</x:f>
        <x:v>0.47058823529411764</x:v>
      </x:c>
      <x:c r="Y1312" s="24" t="n">
        <x:f>IFERROR(G1312/I1312,0)</x:f>
        <x:v>0.23529411764705882</x:v>
      </x:c>
      <x:c r="Z1312" s="24" t="n">
        <x:f>IFERROR(G1312/K1312,0)</x:f>
        <x:v>0.5</x:v>
      </x:c>
      <x:c r="AA1312" s="24" t="n">
        <x:f>IFERROR(F1312/H1312,0)-IFERROR(G1312/I1312,0)</x:f>
        <x:v>0.01470588235294118</x:v>
      </x:c>
      <x:c r="AB1312" s="28" t="n">
        <x:f>J1312-K1312</x:f>
        <x:v>-7</x:v>
      </x:c>
      <x:c r="AC1312" s="32" t="n">
        <x:f>F1312-G1312</x:f>
        <x:v>-3</x:v>
      </x:c>
    </x:row>
    <x:row r="1313">
      <x:c r="A1313" s="4" t="str">
        <x:v>2022-23</x:v>
      </x:c>
      <x:c r="B1313" s="20" t="n">
        <x:v>45017</x:v>
      </x:c>
      <x:c r="C1313" s="4" t="str">
        <x:v>Man City</x:v>
      </x:c>
      <x:c r="D1313" s="4" t="str">
        <x:v>Liverpool</x:v>
      </x:c>
      <x:c r="E1313" s="4" t="str">
        <x:v>Home</x:v>
      </x:c>
      <x:c r="F1313" s="28" t="n">
        <x:v>4</x:v>
      </x:c>
      <x:c r="G1313" s="28" t="n">
        <x:v>1</x:v>
      </x:c>
      <x:c r="H1313" s="28" t="n">
        <x:v>17</x:v>
      </x:c>
      <x:c r="I1313" s="28" t="n">
        <x:v>4</x:v>
      </x:c>
      <x:c r="J1313" s="28" t="n">
        <x:v>8</x:v>
      </x:c>
      <x:c r="K1313" s="28" t="n">
        <x:v>1</x:v>
      </x:c>
      <x:c r="L1313" s="28" t="n">
        <x:v>7</x:v>
      </x:c>
      <x:c r="M1313" s="28" t="n">
        <x:v>1</x:v>
      </x:c>
      <x:c r="N1313" s="28" t="n">
        <x:v>1</x:v>
      </x:c>
      <x:c r="O1313" s="28" t="n">
        <x:v>0</x:v>
      </x:c>
      <x:c r="P1313" s="28" t="n">
        <x:v>3</x:v>
      </x:c>
      <x:c r="Q1313" s="24" t="n">
        <x:f>IFERROR(J1313/H1313,0)</x:f>
        <x:v>0.47058823529411764</x:v>
      </x:c>
      <x:c r="R1313" s="24" t="n">
        <x:f>IFERROR(F1313/H1313,0)</x:f>
        <x:v>0.23529411764705882</x:v>
      </x:c>
      <x:c r="S1313" s="24" t="n">
        <x:f>IFERROR(F1313/J1313,0)</x:f>
        <x:v>0.5</x:v>
      </x:c>
      <x:c r="T1313" s="28" t="n">
        <x:f>H1313-I1313</x:f>
        <x:v>13</x:v>
      </x:c>
      <x:c r="U1313" s="24" t="n">
        <x:f>IFERROR(J1313/H1313,0)-IFERROR(K1313/I1313,0)</x:f>
        <x:v>0.22058823529411764</x:v>
      </x:c>
      <x:c r="V1313" s="24" t="n">
        <x:f>IFERROR(F1313/J1313,0)-IFERROR(G1313/K1313,0)</x:f>
        <x:v>-0.5</x:v>
      </x:c>
      <x:c r="W1313" s="28" t="n">
        <x:f>L1313-M1313</x:f>
        <x:v>6</x:v>
      </x:c>
      <x:c r="X1313" s="24" t="n">
        <x:f>IFERROR(K1313/I1313,0)</x:f>
        <x:v>0.25</x:v>
      </x:c>
      <x:c r="Y1313" s="24" t="n">
        <x:f>IFERROR(G1313/I1313,0)</x:f>
        <x:v>0.25</x:v>
      </x:c>
      <x:c r="Z1313" s="24" t="n">
        <x:f>IFERROR(G1313/K1313,0)</x:f>
        <x:v>1</x:v>
      </x:c>
      <x:c r="AA1313" s="24" t="n">
        <x:f>IFERROR(F1313/H1313,0)-IFERROR(G1313/I1313,0)</x:f>
        <x:v>-0.01470588235294118</x:v>
      </x:c>
      <x:c r="AB1313" s="28" t="n">
        <x:f>J1313-K1313</x:f>
        <x:v>7</x:v>
      </x:c>
      <x:c r="AC1313" s="32" t="n">
        <x:f>F1313-G1313</x:f>
        <x:v>3</x:v>
      </x:c>
    </x:row>
    <x:row r="1314">
      <x:c r="A1314" s="4" t="str">
        <x:v>2022-23</x:v>
      </x:c>
      <x:c r="B1314" s="20" t="n">
        <x:v>45017</x:v>
      </x:c>
      <x:c r="C1314" s="4" t="str">
        <x:v>Nott'm Forest</x:v>
      </x:c>
      <x:c r="D1314" s="4" t="str">
        <x:v>Wolves</x:v>
      </x:c>
      <x:c r="E1314" s="4" t="str">
        <x:v>Home</x:v>
      </x:c>
      <x:c r="F1314" s="28" t="n">
        <x:v>1</x:v>
      </x:c>
      <x:c r="G1314" s="28" t="n">
        <x:v>1</x:v>
      </x:c>
      <x:c r="H1314" s="28" t="n">
        <x:v>17</x:v>
      </x:c>
      <x:c r="I1314" s="28" t="n">
        <x:v>8</x:v>
      </x:c>
      <x:c r="J1314" s="28" t="n">
        <x:v>7</x:v>
      </x:c>
      <x:c r="K1314" s="28" t="n">
        <x:v>1</x:v>
      </x:c>
      <x:c r="L1314" s="28" t="n">
        <x:v>4</x:v>
      </x:c>
      <x:c r="M1314" s="28" t="n">
        <x:v>3</x:v>
      </x:c>
      <x:c r="N1314" s="28" t="n">
        <x:v>3</x:v>
      </x:c>
      <x:c r="O1314" s="28" t="n">
        <x:v>0</x:v>
      </x:c>
      <x:c r="P1314" s="28" t="n">
        <x:v>1</x:v>
      </x:c>
      <x:c r="Q1314" s="24" t="n">
        <x:f>IFERROR(J1314/H1314,0)</x:f>
        <x:v>0.4117647058823529</x:v>
      </x:c>
      <x:c r="R1314" s="24" t="n">
        <x:f>IFERROR(F1314/H1314,0)</x:f>
        <x:v>0.058823529411764705</x:v>
      </x:c>
      <x:c r="S1314" s="24" t="n">
        <x:f>IFERROR(F1314/J1314,0)</x:f>
        <x:v>0.14285714285714285</x:v>
      </x:c>
      <x:c r="T1314" s="28" t="n">
        <x:f>H1314-I1314</x:f>
        <x:v>9</x:v>
      </x:c>
      <x:c r="U1314" s="24" t="n">
        <x:f>IFERROR(J1314/H1314,0)-IFERROR(K1314/I1314,0)</x:f>
        <x:v>0.2867647058823529</x:v>
      </x:c>
      <x:c r="V1314" s="24" t="n">
        <x:f>IFERROR(F1314/J1314,0)-IFERROR(G1314/K1314,0)</x:f>
        <x:v>-0.8571428571428572</x:v>
      </x:c>
      <x:c r="W1314" s="28" t="n">
        <x:f>L1314-M1314</x:f>
        <x:v>1</x:v>
      </x:c>
      <x:c r="X1314" s="24" t="n">
        <x:f>IFERROR(K1314/I1314,0)</x:f>
        <x:v>0.125</x:v>
      </x:c>
      <x:c r="Y1314" s="24" t="n">
        <x:f>IFERROR(G1314/I1314,0)</x:f>
        <x:v>0.125</x:v>
      </x:c>
      <x:c r="Z1314" s="24" t="n">
        <x:f>IFERROR(G1314/K1314,0)</x:f>
        <x:v>1</x:v>
      </x:c>
      <x:c r="AA1314" s="24" t="n">
        <x:f>IFERROR(F1314/H1314,0)-IFERROR(G1314/I1314,0)</x:f>
        <x:v>-0.0661764705882353</x:v>
      </x:c>
      <x:c r="AB1314" s="28" t="n">
        <x:f>J1314-K1314</x:f>
        <x:v>6</x:v>
      </x:c>
      <x:c r="AC1314" s="32" t="n">
        <x:f>F1314-G1314</x:f>
        <x:v>0</x:v>
      </x:c>
    </x:row>
    <x:row r="1315">
      <x:c r="A1315" s="4" t="str">
        <x:v>2022-23</x:v>
      </x:c>
      <x:c r="B1315" s="20" t="n">
        <x:v>45017</x:v>
      </x:c>
      <x:c r="C1315" s="4" t="str">
        <x:v>Wolves</x:v>
      </x:c>
      <x:c r="D1315" s="4" t="str">
        <x:v>Nott'm Forest</x:v>
      </x:c>
      <x:c r="E1315" s="4" t="str">
        <x:v>Away</x:v>
      </x:c>
      <x:c r="F1315" s="28" t="n">
        <x:v>1</x:v>
      </x:c>
      <x:c r="G1315" s="28" t="n">
        <x:v>1</x:v>
      </x:c>
      <x:c r="H1315" s="28" t="n">
        <x:v>8</x:v>
      </x:c>
      <x:c r="I1315" s="28" t="n">
        <x:v>17</x:v>
      </x:c>
      <x:c r="J1315" s="28" t="n">
        <x:v>1</x:v>
      </x:c>
      <x:c r="K1315" s="28" t="n">
        <x:v>7</x:v>
      </x:c>
      <x:c r="L1315" s="28" t="n">
        <x:v>3</x:v>
      </x:c>
      <x:c r="M1315" s="28" t="n">
        <x:v>4</x:v>
      </x:c>
      <x:c r="N1315" s="28" t="n">
        <x:v>5</x:v>
      </x:c>
      <x:c r="O1315" s="28" t="n">
        <x:v>0</x:v>
      </x:c>
      <x:c r="P1315" s="28" t="n">
        <x:v>1</x:v>
      </x:c>
      <x:c r="Q1315" s="24" t="n">
        <x:f>IFERROR(J1315/H1315,0)</x:f>
        <x:v>0.125</x:v>
      </x:c>
      <x:c r="R1315" s="24" t="n">
        <x:f>IFERROR(F1315/H1315,0)</x:f>
        <x:v>0.125</x:v>
      </x:c>
      <x:c r="S1315" s="24" t="n">
        <x:f>IFERROR(F1315/J1315,0)</x:f>
        <x:v>1</x:v>
      </x:c>
      <x:c r="T1315" s="28" t="n">
        <x:f>H1315-I1315</x:f>
        <x:v>-9</x:v>
      </x:c>
      <x:c r="U1315" s="24" t="n">
        <x:f>IFERROR(J1315/H1315,0)-IFERROR(K1315/I1315,0)</x:f>
        <x:v>-0.2867647058823529</x:v>
      </x:c>
      <x:c r="V1315" s="24" t="n">
        <x:f>IFERROR(F1315/J1315,0)-IFERROR(G1315/K1315,0)</x:f>
        <x:v>0.8571428571428572</x:v>
      </x:c>
      <x:c r="W1315" s="28" t="n">
        <x:f>L1315-M1315</x:f>
        <x:v>-1</x:v>
      </x:c>
      <x:c r="X1315" s="24" t="n">
        <x:f>IFERROR(K1315/I1315,0)</x:f>
        <x:v>0.4117647058823529</x:v>
      </x:c>
      <x:c r="Y1315" s="24" t="n">
        <x:f>IFERROR(G1315/I1315,0)</x:f>
        <x:v>0.058823529411764705</x:v>
      </x:c>
      <x:c r="Z1315" s="24" t="n">
        <x:f>IFERROR(G1315/K1315,0)</x:f>
        <x:v>0.14285714285714285</x:v>
      </x:c>
      <x:c r="AA1315" s="24" t="n">
        <x:f>IFERROR(F1315/H1315,0)-IFERROR(G1315/I1315,0)</x:f>
        <x:v>0.0661764705882353</x:v>
      </x:c>
      <x:c r="AB1315" s="28" t="n">
        <x:f>J1315-K1315</x:f>
        <x:v>-6</x:v>
      </x:c>
      <x:c r="AC1315" s="32" t="n">
        <x:f>F1315-G1315</x:f>
        <x:v>0</x:v>
      </x:c>
    </x:row>
    <x:row r="1316">
      <x:c r="A1316" s="4" t="str">
        <x:v>2022-23</x:v>
      </x:c>
      <x:c r="B1316" s="20" t="n">
        <x:v>45018</x:v>
      </x:c>
      <x:c r="C1316" s="4" t="str">
        <x:v>Man United</x:v>
      </x:c>
      <x:c r="D1316" s="4" t="str">
        <x:v>Newcastle</x:v>
      </x:c>
      <x:c r="E1316" s="4" t="str">
        <x:v>Away</x:v>
      </x:c>
      <x:c r="F1316" s="28" t="n">
        <x:v>0</x:v>
      </x:c>
      <x:c r="G1316" s="28" t="n">
        <x:v>2</x:v>
      </x:c>
      <x:c r="H1316" s="28" t="n">
        <x:v>6</x:v>
      </x:c>
      <x:c r="I1316" s="28" t="n">
        <x:v>22</x:v>
      </x:c>
      <x:c r="J1316" s="28" t="n">
        <x:v>1</x:v>
      </x:c>
      <x:c r="K1316" s="28" t="n">
        <x:v>6</x:v>
      </x:c>
      <x:c r="L1316" s="28" t="n">
        <x:v>4</x:v>
      </x:c>
      <x:c r="M1316" s="28" t="n">
        <x:v>7</x:v>
      </x:c>
      <x:c r="N1316" s="28" t="n">
        <x:v>0</x:v>
      </x:c>
      <x:c r="O1316" s="28" t="n">
        <x:v>0</x:v>
      </x:c>
      <x:c r="P1316" s="28" t="n">
        <x:v>0</x:v>
      </x:c>
      <x:c r="Q1316" s="24" t="n">
        <x:f>IFERROR(J1316/H1316,0)</x:f>
        <x:v>0.16666666666666666</x:v>
      </x:c>
      <x:c r="R1316" s="24" t="n">
        <x:f>IFERROR(F1316/H1316,0)</x:f>
        <x:v>0</x:v>
      </x:c>
      <x:c r="S1316" s="24" t="n">
        <x:f>IFERROR(F1316/J1316,0)</x:f>
        <x:v>0</x:v>
      </x:c>
      <x:c r="T1316" s="28" t="n">
        <x:f>H1316-I1316</x:f>
        <x:v>-16</x:v>
      </x:c>
      <x:c r="U1316" s="24" t="n">
        <x:f>IFERROR(J1316/H1316,0)-IFERROR(K1316/I1316,0)</x:f>
        <x:v>-0.10606060606060605</x:v>
      </x:c>
      <x:c r="V1316" s="24" t="n">
        <x:f>IFERROR(F1316/J1316,0)-IFERROR(G1316/K1316,0)</x:f>
        <x:v>-0.3333333333333333</x:v>
      </x:c>
      <x:c r="W1316" s="28" t="n">
        <x:f>L1316-M1316</x:f>
        <x:v>-3</x:v>
      </x:c>
      <x:c r="X1316" s="24" t="n">
        <x:f>IFERROR(K1316/I1316,0)</x:f>
        <x:v>0.2727272727272727</x:v>
      </x:c>
      <x:c r="Y1316" s="24" t="n">
        <x:f>IFERROR(G1316/I1316,0)</x:f>
        <x:v>0.09090909090909091</x:v>
      </x:c>
      <x:c r="Z1316" s="24" t="n">
        <x:f>IFERROR(G1316/K1316,0)</x:f>
        <x:v>0.3333333333333333</x:v>
      </x:c>
      <x:c r="AA1316" s="24" t="n">
        <x:f>IFERROR(F1316/H1316,0)-IFERROR(G1316/I1316,0)</x:f>
        <x:v>-0.09090909090909091</x:v>
      </x:c>
      <x:c r="AB1316" s="28" t="n">
        <x:f>J1316-K1316</x:f>
        <x:v>-5</x:v>
      </x:c>
      <x:c r="AC1316" s="32" t="n">
        <x:f>F1316-G1316</x:f>
        <x:v>-2</x:v>
      </x:c>
    </x:row>
    <x:row r="1317">
      <x:c r="A1317" s="4" t="str">
        <x:v>2022-23</x:v>
      </x:c>
      <x:c r="B1317" s="20" t="n">
        <x:v>45018</x:v>
      </x:c>
      <x:c r="C1317" s="4" t="str">
        <x:v>Newcastle</x:v>
      </x:c>
      <x:c r="D1317" s="4" t="str">
        <x:v>Man United</x:v>
      </x:c>
      <x:c r="E1317" s="4" t="str">
        <x:v>Home</x:v>
      </x:c>
      <x:c r="F1317" s="28" t="n">
        <x:v>2</x:v>
      </x:c>
      <x:c r="G1317" s="28" t="n">
        <x:v>0</x:v>
      </x:c>
      <x:c r="H1317" s="28" t="n">
        <x:v>22</x:v>
      </x:c>
      <x:c r="I1317" s="28" t="n">
        <x:v>6</x:v>
      </x:c>
      <x:c r="J1317" s="28" t="n">
        <x:v>6</x:v>
      </x:c>
      <x:c r="K1317" s="28" t="n">
        <x:v>1</x:v>
      </x:c>
      <x:c r="L1317" s="28" t="n">
        <x:v>7</x:v>
      </x:c>
      <x:c r="M1317" s="28" t="n">
        <x:v>4</x:v>
      </x:c>
      <x:c r="N1317" s="28" t="n">
        <x:v>0</x:v>
      </x:c>
      <x:c r="O1317" s="28" t="n">
        <x:v>0</x:v>
      </x:c>
      <x:c r="P1317" s="28" t="n">
        <x:v>3</x:v>
      </x:c>
      <x:c r="Q1317" s="24" t="n">
        <x:f>IFERROR(J1317/H1317,0)</x:f>
        <x:v>0.2727272727272727</x:v>
      </x:c>
      <x:c r="R1317" s="24" t="n">
        <x:f>IFERROR(F1317/H1317,0)</x:f>
        <x:v>0.09090909090909091</x:v>
      </x:c>
      <x:c r="S1317" s="24" t="n">
        <x:f>IFERROR(F1317/J1317,0)</x:f>
        <x:v>0.3333333333333333</x:v>
      </x:c>
      <x:c r="T1317" s="28" t="n">
        <x:f>H1317-I1317</x:f>
        <x:v>16</x:v>
      </x:c>
      <x:c r="U1317" s="24" t="n">
        <x:f>IFERROR(J1317/H1317,0)-IFERROR(K1317/I1317,0)</x:f>
        <x:v>0.10606060606060605</x:v>
      </x:c>
      <x:c r="V1317" s="24" t="n">
        <x:f>IFERROR(F1317/J1317,0)-IFERROR(G1317/K1317,0)</x:f>
        <x:v>0.3333333333333333</x:v>
      </x:c>
      <x:c r="W1317" s="28" t="n">
        <x:f>L1317-M1317</x:f>
        <x:v>3</x:v>
      </x:c>
      <x:c r="X1317" s="24" t="n">
        <x:f>IFERROR(K1317/I1317,0)</x:f>
        <x:v>0.16666666666666666</x:v>
      </x:c>
      <x:c r="Y1317" s="24" t="n">
        <x:f>IFERROR(G1317/I1317,0)</x:f>
        <x:v>0</x:v>
      </x:c>
      <x:c r="Z1317" s="24" t="n">
        <x:f>IFERROR(G1317/K1317,0)</x:f>
        <x:v>0</x:v>
      </x:c>
      <x:c r="AA1317" s="24" t="n">
        <x:f>IFERROR(F1317/H1317,0)-IFERROR(G1317/I1317,0)</x:f>
        <x:v>0.09090909090909091</x:v>
      </x:c>
      <x:c r="AB1317" s="28" t="n">
        <x:f>J1317-K1317</x:f>
        <x:v>5</x:v>
      </x:c>
      <x:c r="AC1317" s="32" t="n">
        <x:f>F1317-G1317</x:f>
        <x:v>2</x:v>
      </x:c>
    </x:row>
    <x:row r="1318">
      <x:c r="A1318" s="4" t="str">
        <x:v>2022-23</x:v>
      </x:c>
      <x:c r="B1318" s="20" t="n">
        <x:v>45018</x:v>
      </x:c>
      <x:c r="C1318" s="4" t="str">
        <x:v>Southampton</x:v>
      </x:c>
      <x:c r="D1318" s="4" t="str">
        <x:v>West Ham</x:v>
      </x:c>
      <x:c r="E1318" s="4" t="str">
        <x:v>Away</x:v>
      </x:c>
      <x:c r="F1318" s="28" t="n">
        <x:v>0</x:v>
      </x:c>
      <x:c r="G1318" s="28" t="n">
        <x:v>1</x:v>
      </x:c>
      <x:c r="H1318" s="28" t="n">
        <x:v>9</x:v>
      </x:c>
      <x:c r="I1318" s="28" t="n">
        <x:v>12</x:v>
      </x:c>
      <x:c r="J1318" s="28" t="n">
        <x:v>3</x:v>
      </x:c>
      <x:c r="K1318" s="28" t="n">
        <x:v>2</x:v>
      </x:c>
      <x:c r="L1318" s="28" t="n">
        <x:v>3</x:v>
      </x:c>
      <x:c r="M1318" s="28" t="n">
        <x:v>5</x:v>
      </x:c>
      <x:c r="N1318" s="28" t="n">
        <x:v>2</x:v>
      </x:c>
      <x:c r="O1318" s="28" t="n">
        <x:v>0</x:v>
      </x:c>
      <x:c r="P1318" s="28" t="n">
        <x:v>0</x:v>
      </x:c>
      <x:c r="Q1318" s="24" t="n">
        <x:f>IFERROR(J1318/H1318,0)</x:f>
        <x:v>0.3333333333333333</x:v>
      </x:c>
      <x:c r="R1318" s="24" t="n">
        <x:f>IFERROR(F1318/H1318,0)</x:f>
        <x:v>0</x:v>
      </x:c>
      <x:c r="S1318" s="24" t="n">
        <x:f>IFERROR(F1318/J1318,0)</x:f>
        <x:v>0</x:v>
      </x:c>
      <x:c r="T1318" s="28" t="n">
        <x:f>H1318-I1318</x:f>
        <x:v>-3</x:v>
      </x:c>
      <x:c r="U1318" s="24" t="n">
        <x:f>IFERROR(J1318/H1318,0)-IFERROR(K1318/I1318,0)</x:f>
        <x:v>0.16666666666666666</x:v>
      </x:c>
      <x:c r="V1318" s="24" t="n">
        <x:f>IFERROR(F1318/J1318,0)-IFERROR(G1318/K1318,0)</x:f>
        <x:v>-0.5</x:v>
      </x:c>
      <x:c r="W1318" s="28" t="n">
        <x:f>L1318-M1318</x:f>
        <x:v>-2</x:v>
      </x:c>
      <x:c r="X1318" s="24" t="n">
        <x:f>IFERROR(K1318/I1318,0)</x:f>
        <x:v>0.16666666666666666</x:v>
      </x:c>
      <x:c r="Y1318" s="24" t="n">
        <x:f>IFERROR(G1318/I1318,0)</x:f>
        <x:v>0.08333333333333333</x:v>
      </x:c>
      <x:c r="Z1318" s="24" t="n">
        <x:f>IFERROR(G1318/K1318,0)</x:f>
        <x:v>0.5</x:v>
      </x:c>
      <x:c r="AA1318" s="24" t="n">
        <x:f>IFERROR(F1318/H1318,0)-IFERROR(G1318/I1318,0)</x:f>
        <x:v>-0.08333333333333333</x:v>
      </x:c>
      <x:c r="AB1318" s="28" t="n">
        <x:f>J1318-K1318</x:f>
        <x:v>1</x:v>
      </x:c>
      <x:c r="AC1318" s="32" t="n">
        <x:f>F1318-G1318</x:f>
        <x:v>-1</x:v>
      </x:c>
    </x:row>
    <x:row r="1319">
      <x:c r="A1319" s="4" t="str">
        <x:v>2022-23</x:v>
      </x:c>
      <x:c r="B1319" s="20" t="n">
        <x:v>45018</x:v>
      </x:c>
      <x:c r="C1319" s="4" t="str">
        <x:v>West Ham</x:v>
      </x:c>
      <x:c r="D1319" s="4" t="str">
        <x:v>Southampton</x:v>
      </x:c>
      <x:c r="E1319" s="4" t="str">
        <x:v>Home</x:v>
      </x:c>
      <x:c r="F1319" s="28" t="n">
        <x:v>1</x:v>
      </x:c>
      <x:c r="G1319" s="28" t="n">
        <x:v>0</x:v>
      </x:c>
      <x:c r="H1319" s="28" t="n">
        <x:v>12</x:v>
      </x:c>
      <x:c r="I1319" s="28" t="n">
        <x:v>9</x:v>
      </x:c>
      <x:c r="J1319" s="28" t="n">
        <x:v>2</x:v>
      </x:c>
      <x:c r="K1319" s="28" t="n">
        <x:v>3</x:v>
      </x:c>
      <x:c r="L1319" s="28" t="n">
        <x:v>5</x:v>
      </x:c>
      <x:c r="M1319" s="28" t="n">
        <x:v>3</x:v>
      </x:c>
      <x:c r="N1319" s="28" t="n">
        <x:v>0</x:v>
      </x:c>
      <x:c r="O1319" s="28" t="n">
        <x:v>0</x:v>
      </x:c>
      <x:c r="P1319" s="28" t="n">
        <x:v>3</x:v>
      </x:c>
      <x:c r="Q1319" s="24" t="n">
        <x:f>IFERROR(J1319/H1319,0)</x:f>
        <x:v>0.16666666666666666</x:v>
      </x:c>
      <x:c r="R1319" s="24" t="n">
        <x:f>IFERROR(F1319/H1319,0)</x:f>
        <x:v>0.08333333333333333</x:v>
      </x:c>
      <x:c r="S1319" s="24" t="n">
        <x:f>IFERROR(F1319/J1319,0)</x:f>
        <x:v>0.5</x:v>
      </x:c>
      <x:c r="T1319" s="28" t="n">
        <x:f>H1319-I1319</x:f>
        <x:v>3</x:v>
      </x:c>
      <x:c r="U1319" s="24" t="n">
        <x:f>IFERROR(J1319/H1319,0)-IFERROR(K1319/I1319,0)</x:f>
        <x:v>-0.16666666666666666</x:v>
      </x:c>
      <x:c r="V1319" s="24" t="n">
        <x:f>IFERROR(F1319/J1319,0)-IFERROR(G1319/K1319,0)</x:f>
        <x:v>0.5</x:v>
      </x:c>
      <x:c r="W1319" s="28" t="n">
        <x:f>L1319-M1319</x:f>
        <x:v>2</x:v>
      </x:c>
      <x:c r="X1319" s="24" t="n">
        <x:f>IFERROR(K1319/I1319,0)</x:f>
        <x:v>0.3333333333333333</x:v>
      </x:c>
      <x:c r="Y1319" s="24" t="n">
        <x:f>IFERROR(G1319/I1319,0)</x:f>
        <x:v>0</x:v>
      </x:c>
      <x:c r="Z1319" s="24" t="n">
        <x:f>IFERROR(G1319/K1319,0)</x:f>
        <x:v>0</x:v>
      </x:c>
      <x:c r="AA1319" s="24" t="n">
        <x:f>IFERROR(F1319/H1319,0)-IFERROR(G1319/I1319,0)</x:f>
        <x:v>0.08333333333333333</x:v>
      </x:c>
      <x:c r="AB1319" s="28" t="n">
        <x:f>J1319-K1319</x:f>
        <x:v>-1</x:v>
      </x:c>
      <x:c r="AC1319" s="32" t="n">
        <x:f>F1319-G1319</x:f>
        <x:v>1</x:v>
      </x:c>
    </x:row>
    <x:row r="1320">
      <x:c r="A1320" s="4" t="str">
        <x:v>2022-23</x:v>
      </x:c>
      <x:c r="B1320" s="20" t="n">
        <x:v>45019</x:v>
      </x:c>
      <x:c r="C1320" s="4" t="str">
        <x:v>Everton</x:v>
      </x:c>
      <x:c r="D1320" s="4" t="str">
        <x:v>Tottenham</x:v>
      </x:c>
      <x:c r="E1320" s="4" t="str">
        <x:v>Home</x:v>
      </x:c>
      <x:c r="F1320" s="28" t="n">
        <x:v>1</x:v>
      </x:c>
      <x:c r="G1320" s="28" t="n">
        <x:v>1</x:v>
      </x:c>
      <x:c r="H1320" s="28" t="n">
        <x:v>15</x:v>
      </x:c>
      <x:c r="I1320" s="28" t="n">
        <x:v>8</x:v>
      </x:c>
      <x:c r="J1320" s="28" t="n">
        <x:v>6</x:v>
      </x:c>
      <x:c r="K1320" s="28" t="n">
        <x:v>2</x:v>
      </x:c>
      <x:c r="L1320" s="28" t="n">
        <x:v>3</x:v>
      </x:c>
      <x:c r="M1320" s="28" t="n">
        <x:v>3</x:v>
      </x:c>
      <x:c r="N1320" s="28" t="n">
        <x:v>0</x:v>
      </x:c>
      <x:c r="O1320" s="28" t="n">
        <x:v>1</x:v>
      </x:c>
      <x:c r="P1320" s="28" t="n">
        <x:v>1</x:v>
      </x:c>
      <x:c r="Q1320" s="24" t="n">
        <x:f>IFERROR(J1320/H1320,0)</x:f>
        <x:v>0.4</x:v>
      </x:c>
      <x:c r="R1320" s="24" t="n">
        <x:f>IFERROR(F1320/H1320,0)</x:f>
        <x:v>0.06666666666666667</x:v>
      </x:c>
      <x:c r="S1320" s="24" t="n">
        <x:f>IFERROR(F1320/J1320,0)</x:f>
        <x:v>0.16666666666666666</x:v>
      </x:c>
      <x:c r="T1320" s="28" t="n">
        <x:f>H1320-I1320</x:f>
        <x:v>7</x:v>
      </x:c>
      <x:c r="U1320" s="24" t="n">
        <x:f>IFERROR(J1320/H1320,0)-IFERROR(K1320/I1320,0)</x:f>
        <x:v>0.15000000000000002</x:v>
      </x:c>
      <x:c r="V1320" s="24" t="n">
        <x:f>IFERROR(F1320/J1320,0)-IFERROR(G1320/K1320,0)</x:f>
        <x:v>-0.33333333333333337</x:v>
      </x:c>
      <x:c r="W1320" s="28" t="n">
        <x:f>L1320-M1320</x:f>
        <x:v>0</x:v>
      </x:c>
      <x:c r="X1320" s="24" t="n">
        <x:f>IFERROR(K1320/I1320,0)</x:f>
        <x:v>0.25</x:v>
      </x:c>
      <x:c r="Y1320" s="24" t="n">
        <x:f>IFERROR(G1320/I1320,0)</x:f>
        <x:v>0.125</x:v>
      </x:c>
      <x:c r="Z1320" s="24" t="n">
        <x:f>IFERROR(G1320/K1320,0)</x:f>
        <x:v>0.5</x:v>
      </x:c>
      <x:c r="AA1320" s="24" t="n">
        <x:f>IFERROR(F1320/H1320,0)-IFERROR(G1320/I1320,0)</x:f>
        <x:v>-0.058333333333333334</x:v>
      </x:c>
      <x:c r="AB1320" s="28" t="n">
        <x:f>J1320-K1320</x:f>
        <x:v>4</x:v>
      </x:c>
      <x:c r="AC1320" s="32" t="n">
        <x:f>F1320-G1320</x:f>
        <x:v>0</x:v>
      </x:c>
    </x:row>
    <x:row r="1321">
      <x:c r="A1321" s="4" t="str">
        <x:v>2022-23</x:v>
      </x:c>
      <x:c r="B1321" s="20" t="n">
        <x:v>45019</x:v>
      </x:c>
      <x:c r="C1321" s="4" t="str">
        <x:v>Tottenham</x:v>
      </x:c>
      <x:c r="D1321" s="4" t="str">
        <x:v>Everton</x:v>
      </x:c>
      <x:c r="E1321" s="4" t="str">
        <x:v>Away</x:v>
      </x:c>
      <x:c r="F1321" s="28" t="n">
        <x:v>1</x:v>
      </x:c>
      <x:c r="G1321" s="28" t="n">
        <x:v>1</x:v>
      </x:c>
      <x:c r="H1321" s="28" t="n">
        <x:v>8</x:v>
      </x:c>
      <x:c r="I1321" s="28" t="n">
        <x:v>15</x:v>
      </x:c>
      <x:c r="J1321" s="28" t="n">
        <x:v>2</x:v>
      </x:c>
      <x:c r="K1321" s="28" t="n">
        <x:v>6</x:v>
      </x:c>
      <x:c r="L1321" s="28" t="n">
        <x:v>3</x:v>
      </x:c>
      <x:c r="M1321" s="28" t="n">
        <x:v>3</x:v>
      </x:c>
      <x:c r="N1321" s="28" t="n">
        <x:v>3</x:v>
      </x:c>
      <x:c r="O1321" s="28" t="n">
        <x:v>1</x:v>
      </x:c>
      <x:c r="P1321" s="28" t="n">
        <x:v>1</x:v>
      </x:c>
      <x:c r="Q1321" s="24" t="n">
        <x:f>IFERROR(J1321/H1321,0)</x:f>
        <x:v>0.25</x:v>
      </x:c>
      <x:c r="R1321" s="24" t="n">
        <x:f>IFERROR(F1321/H1321,0)</x:f>
        <x:v>0.125</x:v>
      </x:c>
      <x:c r="S1321" s="24" t="n">
        <x:f>IFERROR(F1321/J1321,0)</x:f>
        <x:v>0.5</x:v>
      </x:c>
      <x:c r="T1321" s="28" t="n">
        <x:f>H1321-I1321</x:f>
        <x:v>-7</x:v>
      </x:c>
      <x:c r="U1321" s="24" t="n">
        <x:f>IFERROR(J1321/H1321,0)-IFERROR(K1321/I1321,0)</x:f>
        <x:v>-0.15000000000000002</x:v>
      </x:c>
      <x:c r="V1321" s="24" t="n">
        <x:f>IFERROR(F1321/J1321,0)-IFERROR(G1321/K1321,0)</x:f>
        <x:v>0.33333333333333337</x:v>
      </x:c>
      <x:c r="W1321" s="28" t="n">
        <x:f>L1321-M1321</x:f>
        <x:v>0</x:v>
      </x:c>
      <x:c r="X1321" s="24" t="n">
        <x:f>IFERROR(K1321/I1321,0)</x:f>
        <x:v>0.4</x:v>
      </x:c>
      <x:c r="Y1321" s="24" t="n">
        <x:f>IFERROR(G1321/I1321,0)</x:f>
        <x:v>0.06666666666666667</x:v>
      </x:c>
      <x:c r="Z1321" s="24" t="n">
        <x:f>IFERROR(G1321/K1321,0)</x:f>
        <x:v>0.16666666666666666</x:v>
      </x:c>
      <x:c r="AA1321" s="24" t="n">
        <x:f>IFERROR(F1321/H1321,0)-IFERROR(G1321/I1321,0)</x:f>
        <x:v>0.058333333333333334</x:v>
      </x:c>
      <x:c r="AB1321" s="28" t="n">
        <x:f>J1321-K1321</x:f>
        <x:v>-4</x:v>
      </x:c>
      <x:c r="AC1321" s="32" t="n">
        <x:f>F1321-G1321</x:f>
        <x:v>0</x:v>
      </x:c>
    </x:row>
    <x:row r="1322">
      <x:c r="A1322" s="4" t="str">
        <x:v>2022-23</x:v>
      </x:c>
      <x:c r="B1322" s="20" t="n">
        <x:v>45020</x:v>
      </x:c>
      <x:c r="C1322" s="4" t="str">
        <x:v>Aston Villa</x:v>
      </x:c>
      <x:c r="D1322" s="4" t="str">
        <x:v>Leicester</x:v>
      </x:c>
      <x:c r="E1322" s="4" t="str">
        <x:v>Away</x:v>
      </x:c>
      <x:c r="F1322" s="28" t="n">
        <x:v>2</x:v>
      </x:c>
      <x:c r="G1322" s="28" t="n">
        <x:v>1</x:v>
      </x:c>
      <x:c r="H1322" s="28" t="n">
        <x:v>15</x:v>
      </x:c>
      <x:c r="I1322" s="28" t="n">
        <x:v>9</x:v>
      </x:c>
      <x:c r="J1322" s="28" t="n">
        <x:v>5</x:v>
      </x:c>
      <x:c r="K1322" s="28" t="n">
        <x:v>4</x:v>
      </x:c>
      <x:c r="L1322" s="28" t="n">
        <x:v>8</x:v>
      </x:c>
      <x:c r="M1322" s="28" t="n">
        <x:v>4</x:v>
      </x:c>
      <x:c r="N1322" s="28" t="n">
        <x:v>0</x:v>
      </x:c>
      <x:c r="O1322" s="28" t="n">
        <x:v>0</x:v>
      </x:c>
      <x:c r="P1322" s="28" t="n">
        <x:v>3</x:v>
      </x:c>
      <x:c r="Q1322" s="24" t="n">
        <x:f>IFERROR(J1322/H1322,0)</x:f>
        <x:v>0.3333333333333333</x:v>
      </x:c>
      <x:c r="R1322" s="24" t="n">
        <x:f>IFERROR(F1322/H1322,0)</x:f>
        <x:v>0.13333333333333333</x:v>
      </x:c>
      <x:c r="S1322" s="24" t="n">
        <x:f>IFERROR(F1322/J1322,0)</x:f>
        <x:v>0.4</x:v>
      </x:c>
      <x:c r="T1322" s="28" t="n">
        <x:f>H1322-I1322</x:f>
        <x:v>6</x:v>
      </x:c>
      <x:c r="U1322" s="24" t="n">
        <x:f>IFERROR(J1322/H1322,0)-IFERROR(K1322/I1322,0)</x:f>
        <x:v>-0.1111111111111111</x:v>
      </x:c>
      <x:c r="V1322" s="24" t="n">
        <x:f>IFERROR(F1322/J1322,0)-IFERROR(G1322/K1322,0)</x:f>
        <x:v>0.15000000000000002</x:v>
      </x:c>
      <x:c r="W1322" s="28" t="n">
        <x:f>L1322-M1322</x:f>
        <x:v>4</x:v>
      </x:c>
      <x:c r="X1322" s="24" t="n">
        <x:f>IFERROR(K1322/I1322,0)</x:f>
        <x:v>0.4444444444444444</x:v>
      </x:c>
      <x:c r="Y1322" s="24" t="n">
        <x:f>IFERROR(G1322/I1322,0)</x:f>
        <x:v>0.1111111111111111</x:v>
      </x:c>
      <x:c r="Z1322" s="24" t="n">
        <x:f>IFERROR(G1322/K1322,0)</x:f>
        <x:v>0.25</x:v>
      </x:c>
      <x:c r="AA1322" s="24" t="n">
        <x:f>IFERROR(F1322/H1322,0)-IFERROR(G1322/I1322,0)</x:f>
        <x:v>0.022222222222222227</x:v>
      </x:c>
      <x:c r="AB1322" s="28" t="n">
        <x:f>J1322-K1322</x:f>
        <x:v>1</x:v>
      </x:c>
      <x:c r="AC1322" s="32" t="n">
        <x:f>F1322-G1322</x:f>
        <x:v>1</x:v>
      </x:c>
    </x:row>
    <x:row r="1323">
      <x:c r="A1323" s="4" t="str">
        <x:v>2022-23</x:v>
      </x:c>
      <x:c r="B1323" s="20" t="n">
        <x:v>45020</x:v>
      </x:c>
      <x:c r="C1323" s="4" t="str">
        <x:v>Bournemouth</x:v>
      </x:c>
      <x:c r="D1323" s="4" t="str">
        <x:v>Brighton</x:v>
      </x:c>
      <x:c r="E1323" s="4" t="str">
        <x:v>Home</x:v>
      </x:c>
      <x:c r="F1323" s="28" t="n">
        <x:v>0</x:v>
      </x:c>
      <x:c r="G1323" s="28" t="n">
        <x:v>2</x:v>
      </x:c>
      <x:c r="H1323" s="28" t="n">
        <x:v>14</x:v>
      </x:c>
      <x:c r="I1323" s="28" t="n">
        <x:v>16</x:v>
      </x:c>
      <x:c r="J1323" s="28" t="n">
        <x:v>3</x:v>
      </x:c>
      <x:c r="K1323" s="28" t="n">
        <x:v>6</x:v>
      </x:c>
      <x:c r="L1323" s="28" t="n">
        <x:v>5</x:v>
      </x:c>
      <x:c r="M1323" s="28" t="n">
        <x:v>5</x:v>
      </x:c>
      <x:c r="N1323" s="28" t="n">
        <x:v>1</x:v>
      </x:c>
      <x:c r="O1323" s="28" t="n">
        <x:v>0</x:v>
      </x:c>
      <x:c r="P1323" s="28" t="n">
        <x:v>0</x:v>
      </x:c>
      <x:c r="Q1323" s="24" t="n">
        <x:f>IFERROR(J1323/H1323,0)</x:f>
        <x:v>0.21428571428571427</x:v>
      </x:c>
      <x:c r="R1323" s="24" t="n">
        <x:f>IFERROR(F1323/H1323,0)</x:f>
        <x:v>0</x:v>
      </x:c>
      <x:c r="S1323" s="24" t="n">
        <x:f>IFERROR(F1323/J1323,0)</x:f>
        <x:v>0</x:v>
      </x:c>
      <x:c r="T1323" s="28" t="n">
        <x:f>H1323-I1323</x:f>
        <x:v>-2</x:v>
      </x:c>
      <x:c r="U1323" s="24" t="n">
        <x:f>IFERROR(J1323/H1323,0)-IFERROR(K1323/I1323,0)</x:f>
        <x:v>-0.16071428571428573</x:v>
      </x:c>
      <x:c r="V1323" s="24" t="n">
        <x:f>IFERROR(F1323/J1323,0)-IFERROR(G1323/K1323,0)</x:f>
        <x:v>-0.3333333333333333</x:v>
      </x:c>
      <x:c r="W1323" s="28" t="n">
        <x:f>L1323-M1323</x:f>
        <x:v>0</x:v>
      </x:c>
      <x:c r="X1323" s="24" t="n">
        <x:f>IFERROR(K1323/I1323,0)</x:f>
        <x:v>0.375</x:v>
      </x:c>
      <x:c r="Y1323" s="24" t="n">
        <x:f>IFERROR(G1323/I1323,0)</x:f>
        <x:v>0.125</x:v>
      </x:c>
      <x:c r="Z1323" s="24" t="n">
        <x:f>IFERROR(G1323/K1323,0)</x:f>
        <x:v>0.3333333333333333</x:v>
      </x:c>
      <x:c r="AA1323" s="24" t="n">
        <x:f>IFERROR(F1323/H1323,0)-IFERROR(G1323/I1323,0)</x:f>
        <x:v>-0.125</x:v>
      </x:c>
      <x:c r="AB1323" s="28" t="n">
        <x:f>J1323-K1323</x:f>
        <x:v>-3</x:v>
      </x:c>
      <x:c r="AC1323" s="32" t="n">
        <x:f>F1323-G1323</x:f>
        <x:v>-2</x:v>
      </x:c>
    </x:row>
    <x:row r="1324">
      <x:c r="A1324" s="4" t="str">
        <x:v>2022-23</x:v>
      </x:c>
      <x:c r="B1324" s="20" t="n">
        <x:v>45020</x:v>
      </x:c>
      <x:c r="C1324" s="4" t="str">
        <x:v>Brighton</x:v>
      </x:c>
      <x:c r="D1324" s="4" t="str">
        <x:v>Bournemouth</x:v>
      </x:c>
      <x:c r="E1324" s="4" t="str">
        <x:v>Away</x:v>
      </x:c>
      <x:c r="F1324" s="28" t="n">
        <x:v>2</x:v>
      </x:c>
      <x:c r="G1324" s="28" t="n">
        <x:v>0</x:v>
      </x:c>
      <x:c r="H1324" s="28" t="n">
        <x:v>16</x:v>
      </x:c>
      <x:c r="I1324" s="28" t="n">
        <x:v>14</x:v>
      </x:c>
      <x:c r="J1324" s="28" t="n">
        <x:v>6</x:v>
      </x:c>
      <x:c r="K1324" s="28" t="n">
        <x:v>3</x:v>
      </x:c>
      <x:c r="L1324" s="28" t="n">
        <x:v>5</x:v>
      </x:c>
      <x:c r="M1324" s="28" t="n">
        <x:v>5</x:v>
      </x:c>
      <x:c r="N1324" s="28" t="n">
        <x:v>1</x:v>
      </x:c>
      <x:c r="O1324" s="28" t="n">
        <x:v>0</x:v>
      </x:c>
      <x:c r="P1324" s="28" t="n">
        <x:v>3</x:v>
      </x:c>
      <x:c r="Q1324" s="24" t="n">
        <x:f>IFERROR(J1324/H1324,0)</x:f>
        <x:v>0.375</x:v>
      </x:c>
      <x:c r="R1324" s="24" t="n">
        <x:f>IFERROR(F1324/H1324,0)</x:f>
        <x:v>0.125</x:v>
      </x:c>
      <x:c r="S1324" s="24" t="n">
        <x:f>IFERROR(F1324/J1324,0)</x:f>
        <x:v>0.3333333333333333</x:v>
      </x:c>
      <x:c r="T1324" s="28" t="n">
        <x:f>H1324-I1324</x:f>
        <x:v>2</x:v>
      </x:c>
      <x:c r="U1324" s="24" t="n">
        <x:f>IFERROR(J1324/H1324,0)-IFERROR(K1324/I1324,0)</x:f>
        <x:v>0.16071428571428573</x:v>
      </x:c>
      <x:c r="V1324" s="24" t="n">
        <x:f>IFERROR(F1324/J1324,0)-IFERROR(G1324/K1324,0)</x:f>
        <x:v>0.3333333333333333</x:v>
      </x:c>
      <x:c r="W1324" s="28" t="n">
        <x:f>L1324-M1324</x:f>
        <x:v>0</x:v>
      </x:c>
      <x:c r="X1324" s="24" t="n">
        <x:f>IFERROR(K1324/I1324,0)</x:f>
        <x:v>0.21428571428571427</x:v>
      </x:c>
      <x:c r="Y1324" s="24" t="n">
        <x:f>IFERROR(G1324/I1324,0)</x:f>
        <x:v>0</x:v>
      </x:c>
      <x:c r="Z1324" s="24" t="n">
        <x:f>IFERROR(G1324/K1324,0)</x:f>
        <x:v>0</x:v>
      </x:c>
      <x:c r="AA1324" s="24" t="n">
        <x:f>IFERROR(F1324/H1324,0)-IFERROR(G1324/I1324,0)</x:f>
        <x:v>0.125</x:v>
      </x:c>
      <x:c r="AB1324" s="28" t="n">
        <x:f>J1324-K1324</x:f>
        <x:v>3</x:v>
      </x:c>
      <x:c r="AC1324" s="32" t="n">
        <x:f>F1324-G1324</x:f>
        <x:v>2</x:v>
      </x:c>
    </x:row>
    <x:row r="1325">
      <x:c r="A1325" s="4" t="str">
        <x:v>2022-23</x:v>
      </x:c>
      <x:c r="B1325" s="20" t="n">
        <x:v>45020</x:v>
      </x:c>
      <x:c r="C1325" s="4" t="str">
        <x:v>Chelsea</x:v>
      </x:c>
      <x:c r="D1325" s="4" t="str">
        <x:v>Liverpool</x:v>
      </x:c>
      <x:c r="E1325" s="4" t="str">
        <x:v>Home</x:v>
      </x:c>
      <x:c r="F1325" s="28" t="n">
        <x:v>0</x:v>
      </x:c>
      <x:c r="G1325" s="28" t="n">
        <x:v>0</x:v>
      </x:c>
      <x:c r="H1325" s="28" t="n">
        <x:v>12</x:v>
      </x:c>
      <x:c r="I1325" s="28" t="n">
        <x:v>7</x:v>
      </x:c>
      <x:c r="J1325" s="28" t="n">
        <x:v>3</x:v>
      </x:c>
      <x:c r="K1325" s="28" t="n">
        <x:v>4</x:v>
      </x:c>
      <x:c r="L1325" s="28" t="n">
        <x:v>3</x:v>
      </x:c>
      <x:c r="M1325" s="28" t="n">
        <x:v>5</x:v>
      </x:c>
      <x:c r="N1325" s="28" t="n">
        <x:v>1</x:v>
      </x:c>
      <x:c r="O1325" s="28" t="n">
        <x:v>0</x:v>
      </x:c>
      <x:c r="P1325" s="28" t="n">
        <x:v>1</x:v>
      </x:c>
      <x:c r="Q1325" s="24" t="n">
        <x:f>IFERROR(J1325/H1325,0)</x:f>
        <x:v>0.25</x:v>
      </x:c>
      <x:c r="R1325" s="24" t="n">
        <x:f>IFERROR(F1325/H1325,0)</x:f>
        <x:v>0</x:v>
      </x:c>
      <x:c r="S1325" s="24" t="n">
        <x:f>IFERROR(F1325/J1325,0)</x:f>
        <x:v>0</x:v>
      </x:c>
      <x:c r="T1325" s="28" t="n">
        <x:f>H1325-I1325</x:f>
        <x:v>5</x:v>
      </x:c>
      <x:c r="U1325" s="24" t="n">
        <x:f>IFERROR(J1325/H1325,0)-IFERROR(K1325/I1325,0)</x:f>
        <x:v>-0.3214285714285714</x:v>
      </x:c>
      <x:c r="V1325" s="24" t="n">
        <x:f>IFERROR(F1325/J1325,0)-IFERROR(G1325/K1325,0)</x:f>
        <x:v>0</x:v>
      </x:c>
      <x:c r="W1325" s="28" t="n">
        <x:f>L1325-M1325</x:f>
        <x:v>-2</x:v>
      </x:c>
      <x:c r="X1325" s="24" t="n">
        <x:f>IFERROR(K1325/I1325,0)</x:f>
        <x:v>0.5714285714285714</x:v>
      </x:c>
      <x:c r="Y1325" s="24" t="n">
        <x:f>IFERROR(G1325/I1325,0)</x:f>
        <x:v>0</x:v>
      </x:c>
      <x:c r="Z1325" s="24" t="n">
        <x:f>IFERROR(G1325/K1325,0)</x:f>
        <x:v>0</x:v>
      </x:c>
      <x:c r="AA1325" s="24" t="n">
        <x:f>IFERROR(F1325/H1325,0)-IFERROR(G1325/I1325,0)</x:f>
        <x:v>0</x:v>
      </x:c>
      <x:c r="AB1325" s="28" t="n">
        <x:f>J1325-K1325</x:f>
        <x:v>-1</x:v>
      </x:c>
      <x:c r="AC1325" s="32" t="n">
        <x:f>F1325-G1325</x:f>
        <x:v>0</x:v>
      </x:c>
    </x:row>
    <x:row r="1326">
      <x:c r="A1326" s="4" t="str">
        <x:v>2022-23</x:v>
      </x:c>
      <x:c r="B1326" s="20" t="n">
        <x:v>45020</x:v>
      </x:c>
      <x:c r="C1326" s="4" t="str">
        <x:v>Leeds</x:v>
      </x:c>
      <x:c r="D1326" s="4" t="str">
        <x:v>Nott'm Forest</x:v>
      </x:c>
      <x:c r="E1326" s="4" t="str">
        <x:v>Home</x:v>
      </x:c>
      <x:c r="F1326" s="28" t="n">
        <x:v>2</x:v>
      </x:c>
      <x:c r="G1326" s="28" t="n">
        <x:v>1</x:v>
      </x:c>
      <x:c r="H1326" s="28" t="n">
        <x:v>21</x:v>
      </x:c>
      <x:c r="I1326" s="28" t="n">
        <x:v>13</x:v>
      </x:c>
      <x:c r="J1326" s="28" t="n">
        <x:v>6</x:v>
      </x:c>
      <x:c r="K1326" s="28" t="n">
        <x:v>1</x:v>
      </x:c>
      <x:c r="L1326" s="28" t="n">
        <x:v>11</x:v>
      </x:c>
      <x:c r="M1326" s="28" t="n">
        <x:v>4</x:v>
      </x:c>
      <x:c r="N1326" s="28" t="n">
        <x:v>1</x:v>
      </x:c>
      <x:c r="O1326" s="28" t="n">
        <x:v>0</x:v>
      </x:c>
      <x:c r="P1326" s="28" t="n">
        <x:v>3</x:v>
      </x:c>
      <x:c r="Q1326" s="24" t="n">
        <x:f>IFERROR(J1326/H1326,0)</x:f>
        <x:v>0.2857142857142857</x:v>
      </x:c>
      <x:c r="R1326" s="24" t="n">
        <x:f>IFERROR(F1326/H1326,0)</x:f>
        <x:v>0.09523809523809523</x:v>
      </x:c>
      <x:c r="S1326" s="24" t="n">
        <x:f>IFERROR(F1326/J1326,0)</x:f>
        <x:v>0.3333333333333333</x:v>
      </x:c>
      <x:c r="T1326" s="28" t="n">
        <x:f>H1326-I1326</x:f>
        <x:v>8</x:v>
      </x:c>
      <x:c r="U1326" s="24" t="n">
        <x:f>IFERROR(J1326/H1326,0)-IFERROR(K1326/I1326,0)</x:f>
        <x:v>0.20879120879120877</x:v>
      </x:c>
      <x:c r="V1326" s="24" t="n">
        <x:f>IFERROR(F1326/J1326,0)-IFERROR(G1326/K1326,0)</x:f>
        <x:v>-0.6666666666666667</x:v>
      </x:c>
      <x:c r="W1326" s="28" t="n">
        <x:f>L1326-M1326</x:f>
        <x:v>7</x:v>
      </x:c>
      <x:c r="X1326" s="24" t="n">
        <x:f>IFERROR(K1326/I1326,0)</x:f>
        <x:v>0.07692307692307693</x:v>
      </x:c>
      <x:c r="Y1326" s="24" t="n">
        <x:f>IFERROR(G1326/I1326,0)</x:f>
        <x:v>0.07692307692307693</x:v>
      </x:c>
      <x:c r="Z1326" s="24" t="n">
        <x:f>IFERROR(G1326/K1326,0)</x:f>
        <x:v>1</x:v>
      </x:c>
      <x:c r="AA1326" s="24" t="n">
        <x:f>IFERROR(F1326/H1326,0)-IFERROR(G1326/I1326,0)</x:f>
        <x:v>0.018315018315018305</x:v>
      </x:c>
      <x:c r="AB1326" s="28" t="n">
        <x:f>J1326-K1326</x:f>
        <x:v>5</x:v>
      </x:c>
      <x:c r="AC1326" s="32" t="n">
        <x:f>F1326-G1326</x:f>
        <x:v>1</x:v>
      </x:c>
    </x:row>
    <x:row r="1327">
      <x:c r="A1327" s="4" t="str">
        <x:v>2022-23</x:v>
      </x:c>
      <x:c r="B1327" s="20" t="n">
        <x:v>45020</x:v>
      </x:c>
      <x:c r="C1327" s="4" t="str">
        <x:v>Leicester</x:v>
      </x:c>
      <x:c r="D1327" s="4" t="str">
        <x:v>Aston Villa</x:v>
      </x:c>
      <x:c r="E1327" s="4" t="str">
        <x:v>Home</x:v>
      </x:c>
      <x:c r="F1327" s="28" t="n">
        <x:v>1</x:v>
      </x:c>
      <x:c r="G1327" s="28" t="n">
        <x:v>2</x:v>
      </x:c>
      <x:c r="H1327" s="28" t="n">
        <x:v>9</x:v>
      </x:c>
      <x:c r="I1327" s="28" t="n">
        <x:v>15</x:v>
      </x:c>
      <x:c r="J1327" s="28" t="n">
        <x:v>4</x:v>
      </x:c>
      <x:c r="K1327" s="28" t="n">
        <x:v>5</x:v>
      </x:c>
      <x:c r="L1327" s="28" t="n">
        <x:v>4</x:v>
      </x:c>
      <x:c r="M1327" s="28" t="n">
        <x:v>8</x:v>
      </x:c>
      <x:c r="N1327" s="28" t="n">
        <x:v>2</x:v>
      </x:c>
      <x:c r="O1327" s="28" t="n">
        <x:v>1</x:v>
      </x:c>
      <x:c r="P1327" s="28" t="n">
        <x:v>0</x:v>
      </x:c>
      <x:c r="Q1327" s="24" t="n">
        <x:f>IFERROR(J1327/H1327,0)</x:f>
        <x:v>0.4444444444444444</x:v>
      </x:c>
      <x:c r="R1327" s="24" t="n">
        <x:f>IFERROR(F1327/H1327,0)</x:f>
        <x:v>0.1111111111111111</x:v>
      </x:c>
      <x:c r="S1327" s="24" t="n">
        <x:f>IFERROR(F1327/J1327,0)</x:f>
        <x:v>0.25</x:v>
      </x:c>
      <x:c r="T1327" s="28" t="n">
        <x:f>H1327-I1327</x:f>
        <x:v>-6</x:v>
      </x:c>
      <x:c r="U1327" s="24" t="n">
        <x:f>IFERROR(J1327/H1327,0)-IFERROR(K1327/I1327,0)</x:f>
        <x:v>0.1111111111111111</x:v>
      </x:c>
      <x:c r="V1327" s="24" t="n">
        <x:f>IFERROR(F1327/J1327,0)-IFERROR(G1327/K1327,0)</x:f>
        <x:v>-0.15000000000000002</x:v>
      </x:c>
      <x:c r="W1327" s="28" t="n">
        <x:f>L1327-M1327</x:f>
        <x:v>-4</x:v>
      </x:c>
      <x:c r="X1327" s="24" t="n">
        <x:f>IFERROR(K1327/I1327,0)</x:f>
        <x:v>0.3333333333333333</x:v>
      </x:c>
      <x:c r="Y1327" s="24" t="n">
        <x:f>IFERROR(G1327/I1327,0)</x:f>
        <x:v>0.13333333333333333</x:v>
      </x:c>
      <x:c r="Z1327" s="24" t="n">
        <x:f>IFERROR(G1327/K1327,0)</x:f>
        <x:v>0.4</x:v>
      </x:c>
      <x:c r="AA1327" s="24" t="n">
        <x:f>IFERROR(F1327/H1327,0)-IFERROR(G1327/I1327,0)</x:f>
        <x:v>-0.022222222222222227</x:v>
      </x:c>
      <x:c r="AB1327" s="28" t="n">
        <x:f>J1327-K1327</x:f>
        <x:v>-1</x:v>
      </x:c>
      <x:c r="AC1327" s="32" t="n">
        <x:f>F1327-G1327</x:f>
        <x:v>-1</x:v>
      </x:c>
    </x:row>
    <x:row r="1328">
      <x:c r="A1328" s="4" t="str">
        <x:v>2022-23</x:v>
      </x:c>
      <x:c r="B1328" s="20" t="n">
        <x:v>45020</x:v>
      </x:c>
      <x:c r="C1328" s="4" t="str">
        <x:v>Liverpool</x:v>
      </x:c>
      <x:c r="D1328" s="4" t="str">
        <x:v>Chelsea</x:v>
      </x:c>
      <x:c r="E1328" s="4" t="str">
        <x:v>Away</x:v>
      </x:c>
      <x:c r="F1328" s="28" t="n">
        <x:v>0</x:v>
      </x:c>
      <x:c r="G1328" s="28" t="n">
        <x:v>0</x:v>
      </x:c>
      <x:c r="H1328" s="28" t="n">
        <x:v>7</x:v>
      </x:c>
      <x:c r="I1328" s="28" t="n">
        <x:v>12</x:v>
      </x:c>
      <x:c r="J1328" s="28" t="n">
        <x:v>4</x:v>
      </x:c>
      <x:c r="K1328" s="28" t="n">
        <x:v>3</x:v>
      </x:c>
      <x:c r="L1328" s="28" t="n">
        <x:v>5</x:v>
      </x:c>
      <x:c r="M1328" s="28" t="n">
        <x:v>3</x:v>
      </x:c>
      <x:c r="N1328" s="28" t="n">
        <x:v>4</x:v>
      </x:c>
      <x:c r="O1328" s="28" t="n">
        <x:v>0</x:v>
      </x:c>
      <x:c r="P1328" s="28" t="n">
        <x:v>1</x:v>
      </x:c>
      <x:c r="Q1328" s="24" t="n">
        <x:f>IFERROR(J1328/H1328,0)</x:f>
        <x:v>0.5714285714285714</x:v>
      </x:c>
      <x:c r="R1328" s="24" t="n">
        <x:f>IFERROR(F1328/H1328,0)</x:f>
        <x:v>0</x:v>
      </x:c>
      <x:c r="S1328" s="24" t="n">
        <x:f>IFERROR(F1328/J1328,0)</x:f>
        <x:v>0</x:v>
      </x:c>
      <x:c r="T1328" s="28" t="n">
        <x:f>H1328-I1328</x:f>
        <x:v>-5</x:v>
      </x:c>
      <x:c r="U1328" s="24" t="n">
        <x:f>IFERROR(J1328/H1328,0)-IFERROR(K1328/I1328,0)</x:f>
        <x:v>0.3214285714285714</x:v>
      </x:c>
      <x:c r="V1328" s="24" t="n">
        <x:f>IFERROR(F1328/J1328,0)-IFERROR(G1328/K1328,0)</x:f>
        <x:v>0</x:v>
      </x:c>
      <x:c r="W1328" s="28" t="n">
        <x:f>L1328-M1328</x:f>
        <x:v>2</x:v>
      </x:c>
      <x:c r="X1328" s="24" t="n">
        <x:f>IFERROR(K1328/I1328,0)</x:f>
        <x:v>0.25</x:v>
      </x:c>
      <x:c r="Y1328" s="24" t="n">
        <x:f>IFERROR(G1328/I1328,0)</x:f>
        <x:v>0</x:v>
      </x:c>
      <x:c r="Z1328" s="24" t="n">
        <x:f>IFERROR(G1328/K1328,0)</x:f>
        <x:v>0</x:v>
      </x:c>
      <x:c r="AA1328" s="24" t="n">
        <x:f>IFERROR(F1328/H1328,0)-IFERROR(G1328/I1328,0)</x:f>
        <x:v>0</x:v>
      </x:c>
      <x:c r="AB1328" s="28" t="n">
        <x:f>J1328-K1328</x:f>
        <x:v>1</x:v>
      </x:c>
      <x:c r="AC1328" s="32" t="n">
        <x:f>F1328-G1328</x:f>
        <x:v>0</x:v>
      </x:c>
    </x:row>
    <x:row r="1329">
      <x:c r="A1329" s="4" t="str">
        <x:v>2022-23</x:v>
      </x:c>
      <x:c r="B1329" s="20" t="n">
        <x:v>45020</x:v>
      </x:c>
      <x:c r="C1329" s="4" t="str">
        <x:v>Nott'm Forest</x:v>
      </x:c>
      <x:c r="D1329" s="4" t="str">
        <x:v>Leeds</x:v>
      </x:c>
      <x:c r="E1329" s="4" t="str">
        <x:v>Away</x:v>
      </x:c>
      <x:c r="F1329" s="28" t="n">
        <x:v>1</x:v>
      </x:c>
      <x:c r="G1329" s="28" t="n">
        <x:v>2</x:v>
      </x:c>
      <x:c r="H1329" s="28" t="n">
        <x:v>13</x:v>
      </x:c>
      <x:c r="I1329" s="28" t="n">
        <x:v>21</x:v>
      </x:c>
      <x:c r="J1329" s="28" t="n">
        <x:v>1</x:v>
      </x:c>
      <x:c r="K1329" s="28" t="n">
        <x:v>6</x:v>
      </x:c>
      <x:c r="L1329" s="28" t="n">
        <x:v>4</x:v>
      </x:c>
      <x:c r="M1329" s="28" t="n">
        <x:v>11</x:v>
      </x:c>
      <x:c r="N1329" s="28" t="n">
        <x:v>4</x:v>
      </x:c>
      <x:c r="O1329" s="28" t="n">
        <x:v>0</x:v>
      </x:c>
      <x:c r="P1329" s="28" t="n">
        <x:v>0</x:v>
      </x:c>
      <x:c r="Q1329" s="24" t="n">
        <x:f>IFERROR(J1329/H1329,0)</x:f>
        <x:v>0.07692307692307693</x:v>
      </x:c>
      <x:c r="R1329" s="24" t="n">
        <x:f>IFERROR(F1329/H1329,0)</x:f>
        <x:v>0.07692307692307693</x:v>
      </x:c>
      <x:c r="S1329" s="24" t="n">
        <x:f>IFERROR(F1329/J1329,0)</x:f>
        <x:v>1</x:v>
      </x:c>
      <x:c r="T1329" s="28" t="n">
        <x:f>H1329-I1329</x:f>
        <x:v>-8</x:v>
      </x:c>
      <x:c r="U1329" s="24" t="n">
        <x:f>IFERROR(J1329/H1329,0)-IFERROR(K1329/I1329,0)</x:f>
        <x:v>-0.20879120879120877</x:v>
      </x:c>
      <x:c r="V1329" s="24" t="n">
        <x:f>IFERROR(F1329/J1329,0)-IFERROR(G1329/K1329,0)</x:f>
        <x:v>0.6666666666666667</x:v>
      </x:c>
      <x:c r="W1329" s="28" t="n">
        <x:f>L1329-M1329</x:f>
        <x:v>-7</x:v>
      </x:c>
      <x:c r="X1329" s="24" t="n">
        <x:f>IFERROR(K1329/I1329,0)</x:f>
        <x:v>0.2857142857142857</x:v>
      </x:c>
      <x:c r="Y1329" s="24" t="n">
        <x:f>IFERROR(G1329/I1329,0)</x:f>
        <x:v>0.09523809523809523</x:v>
      </x:c>
      <x:c r="Z1329" s="24" t="n">
        <x:f>IFERROR(G1329/K1329,0)</x:f>
        <x:v>0.3333333333333333</x:v>
      </x:c>
      <x:c r="AA1329" s="24" t="n">
        <x:f>IFERROR(F1329/H1329,0)-IFERROR(G1329/I1329,0)</x:f>
        <x:v>-0.018315018315018305</x:v>
      </x:c>
      <x:c r="AB1329" s="28" t="n">
        <x:f>J1329-K1329</x:f>
        <x:v>-5</x:v>
      </x:c>
      <x:c r="AC1329" s="32" t="n">
        <x:f>F1329-G1329</x:f>
        <x:v>-1</x:v>
      </x:c>
    </x:row>
    <x:row r="1330">
      <x:c r="A1330" s="4" t="str">
        <x:v>2022-23</x:v>
      </x:c>
      <x:c r="B1330" s="20" t="n">
        <x:v>45021</x:v>
      </x:c>
      <x:c r="C1330" s="4" t="str">
        <x:v>Brentford</x:v>
      </x:c>
      <x:c r="D1330" s="4" t="str">
        <x:v>Man United</x:v>
      </x:c>
      <x:c r="E1330" s="4" t="str">
        <x:v>Away</x:v>
      </x:c>
      <x:c r="F1330" s="28" t="n">
        <x:v>0</x:v>
      </x:c>
      <x:c r="G1330" s="28" t="n">
        <x:v>1</x:v>
      </x:c>
      <x:c r="H1330" s="28" t="n">
        <x:v>6</x:v>
      </x:c>
      <x:c r="I1330" s="28" t="n">
        <x:v>18</x:v>
      </x:c>
      <x:c r="J1330" s="28" t="n">
        <x:v>1</x:v>
      </x:c>
      <x:c r="K1330" s="28" t="n">
        <x:v>3</x:v>
      </x:c>
      <x:c r="L1330" s="28" t="n">
        <x:v>3</x:v>
      </x:c>
      <x:c r="M1330" s="28" t="n">
        <x:v>12</x:v>
      </x:c>
      <x:c r="N1330" s="28" t="n">
        <x:v>2</x:v>
      </x:c>
      <x:c r="O1330" s="28" t="n">
        <x:v>0</x:v>
      </x:c>
      <x:c r="P1330" s="28" t="n">
        <x:v>0</x:v>
      </x:c>
      <x:c r="Q1330" s="24" t="n">
        <x:f>IFERROR(J1330/H1330,0)</x:f>
        <x:v>0.16666666666666666</x:v>
      </x:c>
      <x:c r="R1330" s="24" t="n">
        <x:f>IFERROR(F1330/H1330,0)</x:f>
        <x:v>0</x:v>
      </x:c>
      <x:c r="S1330" s="24" t="n">
        <x:f>IFERROR(F1330/J1330,0)</x:f>
        <x:v>0</x:v>
      </x:c>
      <x:c r="T1330" s="28" t="n">
        <x:f>H1330-I1330</x:f>
        <x:v>-12</x:v>
      </x:c>
      <x:c r="U1330" s="24" t="n">
        <x:f>IFERROR(J1330/H1330,0)-IFERROR(K1330/I1330,0)</x:f>
        <x:v>0</x:v>
      </x:c>
      <x:c r="V1330" s="24" t="n">
        <x:f>IFERROR(F1330/J1330,0)-IFERROR(G1330/K1330,0)</x:f>
        <x:v>-0.3333333333333333</x:v>
      </x:c>
      <x:c r="W1330" s="28" t="n">
        <x:f>L1330-M1330</x:f>
        <x:v>-9</x:v>
      </x:c>
      <x:c r="X1330" s="24" t="n">
        <x:f>IFERROR(K1330/I1330,0)</x:f>
        <x:v>0.16666666666666666</x:v>
      </x:c>
      <x:c r="Y1330" s="24" t="n">
        <x:f>IFERROR(G1330/I1330,0)</x:f>
        <x:v>0.05555555555555555</x:v>
      </x:c>
      <x:c r="Z1330" s="24" t="n">
        <x:f>IFERROR(G1330/K1330,0)</x:f>
        <x:v>0.3333333333333333</x:v>
      </x:c>
      <x:c r="AA1330" s="24" t="n">
        <x:f>IFERROR(F1330/H1330,0)-IFERROR(G1330/I1330,0)</x:f>
        <x:v>-0.05555555555555555</x:v>
      </x:c>
      <x:c r="AB1330" s="28" t="n">
        <x:f>J1330-K1330</x:f>
        <x:v>-2</x:v>
      </x:c>
      <x:c r="AC1330" s="32" t="n">
        <x:f>F1330-G1330</x:f>
        <x:v>-1</x:v>
      </x:c>
    </x:row>
    <x:row r="1331">
      <x:c r="A1331" s="4" t="str">
        <x:v>2022-23</x:v>
      </x:c>
      <x:c r="B1331" s="20" t="n">
        <x:v>45021</x:v>
      </x:c>
      <x:c r="C1331" s="4" t="str">
        <x:v>Man United</x:v>
      </x:c>
      <x:c r="D1331" s="4" t="str">
        <x:v>Brentford</x:v>
      </x:c>
      <x:c r="E1331" s="4" t="str">
        <x:v>Home</x:v>
      </x:c>
      <x:c r="F1331" s="28" t="n">
        <x:v>1</x:v>
      </x:c>
      <x:c r="G1331" s="28" t="n">
        <x:v>0</x:v>
      </x:c>
      <x:c r="H1331" s="28" t="n">
        <x:v>18</x:v>
      </x:c>
      <x:c r="I1331" s="28" t="n">
        <x:v>6</x:v>
      </x:c>
      <x:c r="J1331" s="28" t="n">
        <x:v>3</x:v>
      </x:c>
      <x:c r="K1331" s="28" t="n">
        <x:v>1</x:v>
      </x:c>
      <x:c r="L1331" s="28" t="n">
        <x:v>12</x:v>
      </x:c>
      <x:c r="M1331" s="28" t="n">
        <x:v>3</x:v>
      </x:c>
      <x:c r="N1331" s="28" t="n">
        <x:v>3</x:v>
      </x:c>
      <x:c r="O1331" s="28" t="n">
        <x:v>0</x:v>
      </x:c>
      <x:c r="P1331" s="28" t="n">
        <x:v>3</x:v>
      </x:c>
      <x:c r="Q1331" s="24" t="n">
        <x:f>IFERROR(J1331/H1331,0)</x:f>
        <x:v>0.16666666666666666</x:v>
      </x:c>
      <x:c r="R1331" s="24" t="n">
        <x:f>IFERROR(F1331/H1331,0)</x:f>
        <x:v>0.05555555555555555</x:v>
      </x:c>
      <x:c r="S1331" s="24" t="n">
        <x:f>IFERROR(F1331/J1331,0)</x:f>
        <x:v>0.3333333333333333</x:v>
      </x:c>
      <x:c r="T1331" s="28" t="n">
        <x:f>H1331-I1331</x:f>
        <x:v>12</x:v>
      </x:c>
      <x:c r="U1331" s="24" t="n">
        <x:f>IFERROR(J1331/H1331,0)-IFERROR(K1331/I1331,0)</x:f>
        <x:v>0</x:v>
      </x:c>
      <x:c r="V1331" s="24" t="n">
        <x:f>IFERROR(F1331/J1331,0)-IFERROR(G1331/K1331,0)</x:f>
        <x:v>0.3333333333333333</x:v>
      </x:c>
      <x:c r="W1331" s="28" t="n">
        <x:f>L1331-M1331</x:f>
        <x:v>9</x:v>
      </x:c>
      <x:c r="X1331" s="24" t="n">
        <x:f>IFERROR(K1331/I1331,0)</x:f>
        <x:v>0.16666666666666666</x:v>
      </x:c>
      <x:c r="Y1331" s="24" t="n">
        <x:f>IFERROR(G1331/I1331,0)</x:f>
        <x:v>0</x:v>
      </x:c>
      <x:c r="Z1331" s="24" t="n">
        <x:f>IFERROR(G1331/K1331,0)</x:f>
        <x:v>0</x:v>
      </x:c>
      <x:c r="AA1331" s="24" t="n">
        <x:f>IFERROR(F1331/H1331,0)-IFERROR(G1331/I1331,0)</x:f>
        <x:v>0.05555555555555555</x:v>
      </x:c>
      <x:c r="AB1331" s="28" t="n">
        <x:f>J1331-K1331</x:f>
        <x:v>2</x:v>
      </x:c>
      <x:c r="AC1331" s="32" t="n">
        <x:f>F1331-G1331</x:f>
        <x:v>1</x:v>
      </x:c>
    </x:row>
    <x:row r="1332">
      <x:c r="A1332" s="4" t="str">
        <x:v>2022-23</x:v>
      </x:c>
      <x:c r="B1332" s="20" t="n">
        <x:v>45021</x:v>
      </x:c>
      <x:c r="C1332" s="4" t="str">
        <x:v>Newcastle</x:v>
      </x:c>
      <x:c r="D1332" s="4" t="str">
        <x:v>West Ham</x:v>
      </x:c>
      <x:c r="E1332" s="4" t="str">
        <x:v>Away</x:v>
      </x:c>
      <x:c r="F1332" s="28" t="n">
        <x:v>5</x:v>
      </x:c>
      <x:c r="G1332" s="28" t="n">
        <x:v>1</x:v>
      </x:c>
      <x:c r="H1332" s="28" t="n">
        <x:v>15</x:v>
      </x:c>
      <x:c r="I1332" s="28" t="n">
        <x:v>7</x:v>
      </x:c>
      <x:c r="J1332" s="28" t="n">
        <x:v>8</x:v>
      </x:c>
      <x:c r="K1332" s="28" t="n">
        <x:v>2</x:v>
      </x:c>
      <x:c r="L1332" s="28" t="n">
        <x:v>6</x:v>
      </x:c>
      <x:c r="M1332" s="28" t="n">
        <x:v>7</x:v>
      </x:c>
      <x:c r="N1332" s="28" t="n">
        <x:v>1</x:v>
      </x:c>
      <x:c r="O1332" s="28" t="n">
        <x:v>0</x:v>
      </x:c>
      <x:c r="P1332" s="28" t="n">
        <x:v>3</x:v>
      </x:c>
      <x:c r="Q1332" s="24" t="n">
        <x:f>IFERROR(J1332/H1332,0)</x:f>
        <x:v>0.5333333333333333</x:v>
      </x:c>
      <x:c r="R1332" s="24" t="n">
        <x:f>IFERROR(F1332/H1332,0)</x:f>
        <x:v>0.3333333333333333</x:v>
      </x:c>
      <x:c r="S1332" s="24" t="n">
        <x:f>IFERROR(F1332/J1332,0)</x:f>
        <x:v>0.625</x:v>
      </x:c>
      <x:c r="T1332" s="28" t="n">
        <x:f>H1332-I1332</x:f>
        <x:v>8</x:v>
      </x:c>
      <x:c r="U1332" s="24" t="n">
        <x:f>IFERROR(J1332/H1332,0)-IFERROR(K1332/I1332,0)</x:f>
        <x:v>0.24761904761904763</x:v>
      </x:c>
      <x:c r="V1332" s="24" t="n">
        <x:f>IFERROR(F1332/J1332,0)-IFERROR(G1332/K1332,0)</x:f>
        <x:v>0.125</x:v>
      </x:c>
      <x:c r="W1332" s="28" t="n">
        <x:f>L1332-M1332</x:f>
        <x:v>-1</x:v>
      </x:c>
      <x:c r="X1332" s="24" t="n">
        <x:f>IFERROR(K1332/I1332,0)</x:f>
        <x:v>0.2857142857142857</x:v>
      </x:c>
      <x:c r="Y1332" s="24" t="n">
        <x:f>IFERROR(G1332/I1332,0)</x:f>
        <x:v>0.14285714285714285</x:v>
      </x:c>
      <x:c r="Z1332" s="24" t="n">
        <x:f>IFERROR(G1332/K1332,0)</x:f>
        <x:v>0.5</x:v>
      </x:c>
      <x:c r="AA1332" s="24" t="n">
        <x:f>IFERROR(F1332/H1332,0)-IFERROR(G1332/I1332,0)</x:f>
        <x:v>0.19047619047619047</x:v>
      </x:c>
      <x:c r="AB1332" s="28" t="n">
        <x:f>J1332-K1332</x:f>
        <x:v>6</x:v>
      </x:c>
      <x:c r="AC1332" s="32" t="n">
        <x:f>F1332-G1332</x:f>
        <x:v>4</x:v>
      </x:c>
    </x:row>
    <x:row r="1333">
      <x:c r="A1333" s="4" t="str">
        <x:v>2022-23</x:v>
      </x:c>
      <x:c r="B1333" s="20" t="n">
        <x:v>45021</x:v>
      </x:c>
      <x:c r="C1333" s="4" t="str">
        <x:v>West Ham</x:v>
      </x:c>
      <x:c r="D1333" s="4" t="str">
        <x:v>Newcastle</x:v>
      </x:c>
      <x:c r="E1333" s="4" t="str">
        <x:v>Home</x:v>
      </x:c>
      <x:c r="F1333" s="28" t="n">
        <x:v>1</x:v>
      </x:c>
      <x:c r="G1333" s="28" t="n">
        <x:v>5</x:v>
      </x:c>
      <x:c r="H1333" s="28" t="n">
        <x:v>7</x:v>
      </x:c>
      <x:c r="I1333" s="28" t="n">
        <x:v>15</x:v>
      </x:c>
      <x:c r="J1333" s="28" t="n">
        <x:v>2</x:v>
      </x:c>
      <x:c r="K1333" s="28" t="n">
        <x:v>8</x:v>
      </x:c>
      <x:c r="L1333" s="28" t="n">
        <x:v>7</x:v>
      </x:c>
      <x:c r="M1333" s="28" t="n">
        <x:v>6</x:v>
      </x:c>
      <x:c r="N1333" s="28" t="n">
        <x:v>2</x:v>
      </x:c>
      <x:c r="O1333" s="28" t="n">
        <x:v>0</x:v>
      </x:c>
      <x:c r="P1333" s="28" t="n">
        <x:v>0</x:v>
      </x:c>
      <x:c r="Q1333" s="24" t="n">
        <x:f>IFERROR(J1333/H1333,0)</x:f>
        <x:v>0.2857142857142857</x:v>
      </x:c>
      <x:c r="R1333" s="24" t="n">
        <x:f>IFERROR(F1333/H1333,0)</x:f>
        <x:v>0.14285714285714285</x:v>
      </x:c>
      <x:c r="S1333" s="24" t="n">
        <x:f>IFERROR(F1333/J1333,0)</x:f>
        <x:v>0.5</x:v>
      </x:c>
      <x:c r="T1333" s="28" t="n">
        <x:f>H1333-I1333</x:f>
        <x:v>-8</x:v>
      </x:c>
      <x:c r="U1333" s="24" t="n">
        <x:f>IFERROR(J1333/H1333,0)-IFERROR(K1333/I1333,0)</x:f>
        <x:v>-0.24761904761904763</x:v>
      </x:c>
      <x:c r="V1333" s="24" t="n">
        <x:f>IFERROR(F1333/J1333,0)-IFERROR(G1333/K1333,0)</x:f>
        <x:v>-0.125</x:v>
      </x:c>
      <x:c r="W1333" s="28" t="n">
        <x:f>L1333-M1333</x:f>
        <x:v>1</x:v>
      </x:c>
      <x:c r="X1333" s="24" t="n">
        <x:f>IFERROR(K1333/I1333,0)</x:f>
        <x:v>0.5333333333333333</x:v>
      </x:c>
      <x:c r="Y1333" s="24" t="n">
        <x:f>IFERROR(G1333/I1333,0)</x:f>
        <x:v>0.3333333333333333</x:v>
      </x:c>
      <x:c r="Z1333" s="24" t="n">
        <x:f>IFERROR(G1333/K1333,0)</x:f>
        <x:v>0.625</x:v>
      </x:c>
      <x:c r="AA1333" s="24" t="n">
        <x:f>IFERROR(F1333/H1333,0)-IFERROR(G1333/I1333,0)</x:f>
        <x:v>-0.19047619047619047</x:v>
      </x:c>
      <x:c r="AB1333" s="28" t="n">
        <x:f>J1333-K1333</x:f>
        <x:v>-6</x:v>
      </x:c>
      <x:c r="AC1333" s="32" t="n">
        <x:f>F1333-G1333</x:f>
        <x:v>-4</x:v>
      </x:c>
    </x:row>
    <x:row r="1334">
      <x:c r="A1334" s="4" t="str">
        <x:v>2022-23</x:v>
      </x:c>
      <x:c r="B1334" s="20" t="n">
        <x:v>45024</x:v>
      </x:c>
      <x:c r="C1334" s="4" t="str">
        <x:v>Aston Villa</x:v>
      </x:c>
      <x:c r="D1334" s="4" t="str">
        <x:v>Nott'm Forest</x:v>
      </x:c>
      <x:c r="E1334" s="4" t="str">
        <x:v>Home</x:v>
      </x:c>
      <x:c r="F1334" s="28" t="n">
        <x:v>2</x:v>
      </x:c>
      <x:c r="G1334" s="28" t="n">
        <x:v>0</x:v>
      </x:c>
      <x:c r="H1334" s="28" t="n">
        <x:v>8</x:v>
      </x:c>
      <x:c r="I1334" s="28" t="n">
        <x:v>6</x:v>
      </x:c>
      <x:c r="J1334" s="28" t="n">
        <x:v>3</x:v>
      </x:c>
      <x:c r="K1334" s="28" t="n">
        <x:v>2</x:v>
      </x:c>
      <x:c r="L1334" s="28" t="n">
        <x:v>1</x:v>
      </x:c>
      <x:c r="M1334" s="28" t="n">
        <x:v>8</x:v>
      </x:c>
      <x:c r="N1334" s="28" t="n">
        <x:v>3</x:v>
      </x:c>
      <x:c r="O1334" s="28" t="n">
        <x:v>0</x:v>
      </x:c>
      <x:c r="P1334" s="28" t="n">
        <x:v>3</x:v>
      </x:c>
      <x:c r="Q1334" s="24" t="n">
        <x:f>IFERROR(J1334/H1334,0)</x:f>
        <x:v>0.375</x:v>
      </x:c>
      <x:c r="R1334" s="24" t="n">
        <x:f>IFERROR(F1334/H1334,0)</x:f>
        <x:v>0.25</x:v>
      </x:c>
      <x:c r="S1334" s="24" t="n">
        <x:f>IFERROR(F1334/J1334,0)</x:f>
        <x:v>0.6666666666666666</x:v>
      </x:c>
      <x:c r="T1334" s="28" t="n">
        <x:f>H1334-I1334</x:f>
        <x:v>2</x:v>
      </x:c>
      <x:c r="U1334" s="24" t="n">
        <x:f>IFERROR(J1334/H1334,0)-IFERROR(K1334/I1334,0)</x:f>
        <x:v>0.041666666666666685</x:v>
      </x:c>
      <x:c r="V1334" s="24" t="n">
        <x:f>IFERROR(F1334/J1334,0)-IFERROR(G1334/K1334,0)</x:f>
        <x:v>0.6666666666666666</x:v>
      </x:c>
      <x:c r="W1334" s="28" t="n">
        <x:f>L1334-M1334</x:f>
        <x:v>-7</x:v>
      </x:c>
      <x:c r="X1334" s="24" t="n">
        <x:f>IFERROR(K1334/I1334,0)</x:f>
        <x:v>0.3333333333333333</x:v>
      </x:c>
      <x:c r="Y1334" s="24" t="n">
        <x:f>IFERROR(G1334/I1334,0)</x:f>
        <x:v>0</x:v>
      </x:c>
      <x:c r="Z1334" s="24" t="n">
        <x:f>IFERROR(G1334/K1334,0)</x:f>
        <x:v>0</x:v>
      </x:c>
      <x:c r="AA1334" s="24" t="n">
        <x:f>IFERROR(F1334/H1334,0)-IFERROR(G1334/I1334,0)</x:f>
        <x:v>0.25</x:v>
      </x:c>
      <x:c r="AB1334" s="28" t="n">
        <x:f>J1334-K1334</x:f>
        <x:v>1</x:v>
      </x:c>
      <x:c r="AC1334" s="32" t="n">
        <x:f>F1334-G1334</x:f>
        <x:v>2</x:v>
      </x:c>
    </x:row>
    <x:row r="1335">
      <x:c r="A1335" s="4" t="str">
        <x:v>2022-23</x:v>
      </x:c>
      <x:c r="B1335" s="20" t="n">
        <x:v>45024</x:v>
      </x:c>
      <x:c r="C1335" s="4" t="str">
        <x:v>Bournemouth</x:v>
      </x:c>
      <x:c r="D1335" s="4" t="str">
        <x:v>Leicester</x:v>
      </x:c>
      <x:c r="E1335" s="4" t="str">
        <x:v>Away</x:v>
      </x:c>
      <x:c r="F1335" s="28" t="n">
        <x:v>1</x:v>
      </x:c>
      <x:c r="G1335" s="28" t="n">
        <x:v>0</x:v>
      </x:c>
      <x:c r="H1335" s="28" t="n">
        <x:v>19</x:v>
      </x:c>
      <x:c r="I1335" s="28" t="n">
        <x:v>14</x:v>
      </x:c>
      <x:c r="J1335" s="28" t="n">
        <x:v>7</x:v>
      </x:c>
      <x:c r="K1335" s="28" t="n">
        <x:v>4</x:v>
      </x:c>
      <x:c r="L1335" s="28" t="n">
        <x:v>6</x:v>
      </x:c>
      <x:c r="M1335" s="28" t="n">
        <x:v>6</x:v>
      </x:c>
      <x:c r="N1335" s="28" t="n">
        <x:v>3</x:v>
      </x:c>
      <x:c r="O1335" s="28" t="n">
        <x:v>0</x:v>
      </x:c>
      <x:c r="P1335" s="28" t="n">
        <x:v>3</x:v>
      </x:c>
      <x:c r="Q1335" s="24" t="n">
        <x:f>IFERROR(J1335/H1335,0)</x:f>
        <x:v>0.3684210526315789</x:v>
      </x:c>
      <x:c r="R1335" s="24" t="n">
        <x:f>IFERROR(F1335/H1335,0)</x:f>
        <x:v>0.05263157894736842</x:v>
      </x:c>
      <x:c r="S1335" s="24" t="n">
        <x:f>IFERROR(F1335/J1335,0)</x:f>
        <x:v>0.14285714285714285</x:v>
      </x:c>
      <x:c r="T1335" s="28" t="n">
        <x:f>H1335-I1335</x:f>
        <x:v>5</x:v>
      </x:c>
      <x:c r="U1335" s="24" t="n">
        <x:f>IFERROR(J1335/H1335,0)-IFERROR(K1335/I1335,0)</x:f>
        <x:v>0.08270676691729323</x:v>
      </x:c>
      <x:c r="V1335" s="24" t="n">
        <x:f>IFERROR(F1335/J1335,0)-IFERROR(G1335/K1335,0)</x:f>
        <x:v>0.14285714285714285</x:v>
      </x:c>
      <x:c r="W1335" s="28" t="n">
        <x:f>L1335-M1335</x:f>
        <x:v>0</x:v>
      </x:c>
      <x:c r="X1335" s="24" t="n">
        <x:f>IFERROR(K1335/I1335,0)</x:f>
        <x:v>0.2857142857142857</x:v>
      </x:c>
      <x:c r="Y1335" s="24" t="n">
        <x:f>IFERROR(G1335/I1335,0)</x:f>
        <x:v>0</x:v>
      </x:c>
      <x:c r="Z1335" s="24" t="n">
        <x:f>IFERROR(G1335/K1335,0)</x:f>
        <x:v>0</x:v>
      </x:c>
      <x:c r="AA1335" s="24" t="n">
        <x:f>IFERROR(F1335/H1335,0)-IFERROR(G1335/I1335,0)</x:f>
        <x:v>0.05263157894736842</x:v>
      </x:c>
      <x:c r="AB1335" s="28" t="n">
        <x:f>J1335-K1335</x:f>
        <x:v>3</x:v>
      </x:c>
      <x:c r="AC1335" s="32" t="n">
        <x:f>F1335-G1335</x:f>
        <x:v>1</x:v>
      </x:c>
    </x:row>
    <x:row r="1336">
      <x:c r="A1336" s="4" t="str">
        <x:v>2022-23</x:v>
      </x:c>
      <x:c r="B1336" s="20" t="n">
        <x:v>45024</x:v>
      </x:c>
      <x:c r="C1336" s="4" t="str">
        <x:v>Brentford</x:v>
      </x:c>
      <x:c r="D1336" s="4" t="str">
        <x:v>Newcastle</x:v>
      </x:c>
      <x:c r="E1336" s="4" t="str">
        <x:v>Home</x:v>
      </x:c>
      <x:c r="F1336" s="28" t="n">
        <x:v>1</x:v>
      </x:c>
      <x:c r="G1336" s="28" t="n">
        <x:v>2</x:v>
      </x:c>
      <x:c r="H1336" s="28" t="n">
        <x:v>12</x:v>
      </x:c>
      <x:c r="I1336" s="28" t="n">
        <x:v>10</x:v>
      </x:c>
      <x:c r="J1336" s="28" t="n">
        <x:v>6</x:v>
      </x:c>
      <x:c r="K1336" s="28" t="n">
        <x:v>4</x:v>
      </x:c>
      <x:c r="L1336" s="28" t="n">
        <x:v>6</x:v>
      </x:c>
      <x:c r="M1336" s="28" t="n">
        <x:v>5</x:v>
      </x:c>
      <x:c r="N1336" s="28" t="n">
        <x:v>0</x:v>
      </x:c>
      <x:c r="O1336" s="28" t="n">
        <x:v>0</x:v>
      </x:c>
      <x:c r="P1336" s="28" t="n">
        <x:v>0</x:v>
      </x:c>
      <x:c r="Q1336" s="24" t="n">
        <x:f>IFERROR(J1336/H1336,0)</x:f>
        <x:v>0.5</x:v>
      </x:c>
      <x:c r="R1336" s="24" t="n">
        <x:f>IFERROR(F1336/H1336,0)</x:f>
        <x:v>0.08333333333333333</x:v>
      </x:c>
      <x:c r="S1336" s="24" t="n">
        <x:f>IFERROR(F1336/J1336,0)</x:f>
        <x:v>0.16666666666666666</x:v>
      </x:c>
      <x:c r="T1336" s="28" t="n">
        <x:f>H1336-I1336</x:f>
        <x:v>2</x:v>
      </x:c>
      <x:c r="U1336" s="24" t="n">
        <x:f>IFERROR(J1336/H1336,0)-IFERROR(K1336/I1336,0)</x:f>
        <x:v>0.09999999999999998</x:v>
      </x:c>
      <x:c r="V1336" s="24" t="n">
        <x:f>IFERROR(F1336/J1336,0)-IFERROR(G1336/K1336,0)</x:f>
        <x:v>-0.33333333333333337</x:v>
      </x:c>
      <x:c r="W1336" s="28" t="n">
        <x:f>L1336-M1336</x:f>
        <x:v>1</x:v>
      </x:c>
      <x:c r="X1336" s="24" t="n">
        <x:f>IFERROR(K1336/I1336,0)</x:f>
        <x:v>0.4</x:v>
      </x:c>
      <x:c r="Y1336" s="24" t="n">
        <x:f>IFERROR(G1336/I1336,0)</x:f>
        <x:v>0.2</x:v>
      </x:c>
      <x:c r="Z1336" s="24" t="n">
        <x:f>IFERROR(G1336/K1336,0)</x:f>
        <x:v>0.5</x:v>
      </x:c>
      <x:c r="AA1336" s="24" t="n">
        <x:f>IFERROR(F1336/H1336,0)-IFERROR(G1336/I1336,0)</x:f>
        <x:v>-0.11666666666666668</x:v>
      </x:c>
      <x:c r="AB1336" s="28" t="n">
        <x:f>J1336-K1336</x:f>
        <x:v>2</x:v>
      </x:c>
      <x:c r="AC1336" s="32" t="n">
        <x:f>F1336-G1336</x:f>
        <x:v>-1</x:v>
      </x:c>
    </x:row>
    <x:row r="1337">
      <x:c r="A1337" s="4" t="str">
        <x:v>2022-23</x:v>
      </x:c>
      <x:c r="B1337" s="20" t="n">
        <x:v>45024</x:v>
      </x:c>
      <x:c r="C1337" s="4" t="str">
        <x:v>Brighton</x:v>
      </x:c>
      <x:c r="D1337" s="4" t="str">
        <x:v>Tottenham</x:v>
      </x:c>
      <x:c r="E1337" s="4" t="str">
        <x:v>Away</x:v>
      </x:c>
      <x:c r="F1337" s="28" t="n">
        <x:v>1</x:v>
      </x:c>
      <x:c r="G1337" s="28" t="n">
        <x:v>2</x:v>
      </x:c>
      <x:c r="H1337" s="28" t="n">
        <x:v>17</x:v>
      </x:c>
      <x:c r="I1337" s="28" t="n">
        <x:v>9</x:v>
      </x:c>
      <x:c r="J1337" s="28" t="n">
        <x:v>4</x:v>
      </x:c>
      <x:c r="K1337" s="28" t="n">
        <x:v>3</x:v>
      </x:c>
      <x:c r="L1337" s="28" t="n">
        <x:v>7</x:v>
      </x:c>
      <x:c r="M1337" s="28" t="n">
        <x:v>3</x:v>
      </x:c>
      <x:c r="N1337" s="28" t="n">
        <x:v>1</x:v>
      </x:c>
      <x:c r="O1337" s="28" t="n">
        <x:v>0</x:v>
      </x:c>
      <x:c r="P1337" s="28" t="n">
        <x:v>0</x:v>
      </x:c>
      <x:c r="Q1337" s="24" t="n">
        <x:f>IFERROR(J1337/H1337,0)</x:f>
        <x:v>0.23529411764705882</x:v>
      </x:c>
      <x:c r="R1337" s="24" t="n">
        <x:f>IFERROR(F1337/H1337,0)</x:f>
        <x:v>0.058823529411764705</x:v>
      </x:c>
      <x:c r="S1337" s="24" t="n">
        <x:f>IFERROR(F1337/J1337,0)</x:f>
        <x:v>0.25</x:v>
      </x:c>
      <x:c r="T1337" s="28" t="n">
        <x:f>H1337-I1337</x:f>
        <x:v>8</x:v>
      </x:c>
      <x:c r="U1337" s="24" t="n">
        <x:f>IFERROR(J1337/H1337,0)-IFERROR(K1337/I1337,0)</x:f>
        <x:v>-0.0980392156862745</x:v>
      </x:c>
      <x:c r="V1337" s="24" t="n">
        <x:f>IFERROR(F1337/J1337,0)-IFERROR(G1337/K1337,0)</x:f>
        <x:v>-0.41666666666666663</x:v>
      </x:c>
      <x:c r="W1337" s="28" t="n">
        <x:f>L1337-M1337</x:f>
        <x:v>4</x:v>
      </x:c>
      <x:c r="X1337" s="24" t="n">
        <x:f>IFERROR(K1337/I1337,0)</x:f>
        <x:v>0.3333333333333333</x:v>
      </x:c>
      <x:c r="Y1337" s="24" t="n">
        <x:f>IFERROR(G1337/I1337,0)</x:f>
        <x:v>0.2222222222222222</x:v>
      </x:c>
      <x:c r="Z1337" s="24" t="n">
        <x:f>IFERROR(G1337/K1337,0)</x:f>
        <x:v>0.6666666666666666</x:v>
      </x:c>
      <x:c r="AA1337" s="24" t="n">
        <x:f>IFERROR(F1337/H1337,0)-IFERROR(G1337/I1337,0)</x:f>
        <x:v>-0.1633986928104575</x:v>
      </x:c>
      <x:c r="AB1337" s="28" t="n">
        <x:f>J1337-K1337</x:f>
        <x:v>1</x:v>
      </x:c>
      <x:c r="AC1337" s="32" t="n">
        <x:f>F1337-G1337</x:f>
        <x:v>-1</x:v>
      </x:c>
    </x:row>
    <x:row r="1338">
      <x:c r="A1338" s="4" t="str">
        <x:v>2022-23</x:v>
      </x:c>
      <x:c r="B1338" s="20" t="n">
        <x:v>45024</x:v>
      </x:c>
      <x:c r="C1338" s="4" t="str">
        <x:v>Chelsea</x:v>
      </x:c>
      <x:c r="D1338" s="4" t="str">
        <x:v>Wolves</x:v>
      </x:c>
      <x:c r="E1338" s="4" t="str">
        <x:v>Away</x:v>
      </x:c>
      <x:c r="F1338" s="28" t="n">
        <x:v>0</x:v>
      </x:c>
      <x:c r="G1338" s="28" t="n">
        <x:v>1</x:v>
      </x:c>
      <x:c r="H1338" s="28" t="n">
        <x:v>13</x:v>
      </x:c>
      <x:c r="I1338" s="28" t="n">
        <x:v>9</x:v>
      </x:c>
      <x:c r="J1338" s="28" t="n">
        <x:v>1</x:v>
      </x:c>
      <x:c r="K1338" s="28" t="n">
        <x:v>4</x:v>
      </x:c>
      <x:c r="L1338" s="28" t="n">
        <x:v>8</x:v>
      </x:c>
      <x:c r="M1338" s="28" t="n">
        <x:v>8</x:v>
      </x:c>
      <x:c r="N1338" s="28" t="n">
        <x:v>5</x:v>
      </x:c>
      <x:c r="O1338" s="28" t="n">
        <x:v>0</x:v>
      </x:c>
      <x:c r="P1338" s="28" t="n">
        <x:v>0</x:v>
      </x:c>
      <x:c r="Q1338" s="24" t="n">
        <x:f>IFERROR(J1338/H1338,0)</x:f>
        <x:v>0.07692307692307693</x:v>
      </x:c>
      <x:c r="R1338" s="24" t="n">
        <x:f>IFERROR(F1338/H1338,0)</x:f>
        <x:v>0</x:v>
      </x:c>
      <x:c r="S1338" s="24" t="n">
        <x:f>IFERROR(F1338/J1338,0)</x:f>
        <x:v>0</x:v>
      </x:c>
      <x:c r="T1338" s="28" t="n">
        <x:f>H1338-I1338</x:f>
        <x:v>4</x:v>
      </x:c>
      <x:c r="U1338" s="24" t="n">
        <x:f>IFERROR(J1338/H1338,0)-IFERROR(K1338/I1338,0)</x:f>
        <x:v>-0.3675213675213675</x:v>
      </x:c>
      <x:c r="V1338" s="24" t="n">
        <x:f>IFERROR(F1338/J1338,0)-IFERROR(G1338/K1338,0)</x:f>
        <x:v>-0.25</x:v>
      </x:c>
      <x:c r="W1338" s="28" t="n">
        <x:f>L1338-M1338</x:f>
        <x:v>0</x:v>
      </x:c>
      <x:c r="X1338" s="24" t="n">
        <x:f>IFERROR(K1338/I1338,0)</x:f>
        <x:v>0.4444444444444444</x:v>
      </x:c>
      <x:c r="Y1338" s="24" t="n">
        <x:f>IFERROR(G1338/I1338,0)</x:f>
        <x:v>0.1111111111111111</x:v>
      </x:c>
      <x:c r="Z1338" s="24" t="n">
        <x:f>IFERROR(G1338/K1338,0)</x:f>
        <x:v>0.25</x:v>
      </x:c>
      <x:c r="AA1338" s="24" t="n">
        <x:f>IFERROR(F1338/H1338,0)-IFERROR(G1338/I1338,0)</x:f>
        <x:v>-0.1111111111111111</x:v>
      </x:c>
      <x:c r="AB1338" s="28" t="n">
        <x:f>J1338-K1338</x:f>
        <x:v>-3</x:v>
      </x:c>
      <x:c r="AC1338" s="32" t="n">
        <x:f>F1338-G1338</x:f>
        <x:v>-1</x:v>
      </x:c>
    </x:row>
    <x:row r="1339">
      <x:c r="A1339" s="4" t="str">
        <x:v>2022-23</x:v>
      </x:c>
      <x:c r="B1339" s="20" t="n">
        <x:v>45024</x:v>
      </x:c>
      <x:c r="C1339" s="4" t="str">
        <x:v>Everton</x:v>
      </x:c>
      <x:c r="D1339" s="4" t="str">
        <x:v>Man United</x:v>
      </x:c>
      <x:c r="E1339" s="4" t="str">
        <x:v>Away</x:v>
      </x:c>
      <x:c r="F1339" s="28" t="n">
        <x:v>0</x:v>
      </x:c>
      <x:c r="G1339" s="28" t="n">
        <x:v>2</x:v>
      </x:c>
      <x:c r="H1339" s="28" t="n">
        <x:v>15</x:v>
      </x:c>
      <x:c r="I1339" s="28" t="n">
        <x:v>29</x:v>
      </x:c>
      <x:c r="J1339" s="28" t="n">
        <x:v>1</x:v>
      </x:c>
      <x:c r="K1339" s="28" t="n">
        <x:v>11</x:v>
      </x:c>
      <x:c r="L1339" s="28" t="n">
        <x:v>4</x:v>
      </x:c>
      <x:c r="M1339" s="28" t="n">
        <x:v>10</x:v>
      </x:c>
      <x:c r="N1339" s="28" t="n">
        <x:v>0</x:v>
      </x:c>
      <x:c r="O1339" s="28" t="n">
        <x:v>0</x:v>
      </x:c>
      <x:c r="P1339" s="28" t="n">
        <x:v>0</x:v>
      </x:c>
      <x:c r="Q1339" s="24" t="n">
        <x:f>IFERROR(J1339/H1339,0)</x:f>
        <x:v>0.06666666666666667</x:v>
      </x:c>
      <x:c r="R1339" s="24" t="n">
        <x:f>IFERROR(F1339/H1339,0)</x:f>
        <x:v>0</x:v>
      </x:c>
      <x:c r="S1339" s="24" t="n">
        <x:f>IFERROR(F1339/J1339,0)</x:f>
        <x:v>0</x:v>
      </x:c>
      <x:c r="T1339" s="28" t="n">
        <x:f>H1339-I1339</x:f>
        <x:v>-14</x:v>
      </x:c>
      <x:c r="U1339" s="24" t="n">
        <x:f>IFERROR(J1339/H1339,0)-IFERROR(K1339/I1339,0)</x:f>
        <x:v>-0.31264367816091954</x:v>
      </x:c>
      <x:c r="V1339" s="24" t="n">
        <x:f>IFERROR(F1339/J1339,0)-IFERROR(G1339/K1339,0)</x:f>
        <x:v>-0.18181818181818182</x:v>
      </x:c>
      <x:c r="W1339" s="28" t="n">
        <x:f>L1339-M1339</x:f>
        <x:v>-6</x:v>
      </x:c>
      <x:c r="X1339" s="24" t="n">
        <x:f>IFERROR(K1339/I1339,0)</x:f>
        <x:v>0.3793103448275862</x:v>
      </x:c>
      <x:c r="Y1339" s="24" t="n">
        <x:f>IFERROR(G1339/I1339,0)</x:f>
        <x:v>0.06896551724137931</x:v>
      </x:c>
      <x:c r="Z1339" s="24" t="n">
        <x:f>IFERROR(G1339/K1339,0)</x:f>
        <x:v>0.18181818181818182</x:v>
      </x:c>
      <x:c r="AA1339" s="24" t="n">
        <x:f>IFERROR(F1339/H1339,0)-IFERROR(G1339/I1339,0)</x:f>
        <x:v>-0.06896551724137931</x:v>
      </x:c>
      <x:c r="AB1339" s="28" t="n">
        <x:f>J1339-K1339</x:f>
        <x:v>-10</x:v>
      </x:c>
      <x:c r="AC1339" s="32" t="n">
        <x:f>F1339-G1339</x:f>
        <x:v>-2</x:v>
      </x:c>
    </x:row>
    <x:row r="1340">
      <x:c r="A1340" s="4" t="str">
        <x:v>2022-23</x:v>
      </x:c>
      <x:c r="B1340" s="20" t="n">
        <x:v>45024</x:v>
      </x:c>
      <x:c r="C1340" s="4" t="str">
        <x:v>Fulham</x:v>
      </x:c>
      <x:c r="D1340" s="4" t="str">
        <x:v>West Ham</x:v>
      </x:c>
      <x:c r="E1340" s="4" t="str">
        <x:v>Home</x:v>
      </x:c>
      <x:c r="F1340" s="28" t="n">
        <x:v>0</x:v>
      </x:c>
      <x:c r="G1340" s="28" t="n">
        <x:v>1</x:v>
      </x:c>
      <x:c r="H1340" s="28" t="n">
        <x:v>16</x:v>
      </x:c>
      <x:c r="I1340" s="28" t="n">
        <x:v>9</x:v>
      </x:c>
      <x:c r="J1340" s="28" t="n">
        <x:v>3</x:v>
      </x:c>
      <x:c r="K1340" s="28" t="n">
        <x:v>5</x:v>
      </x:c>
      <x:c r="L1340" s="28" t="n">
        <x:v>11</x:v>
      </x:c>
      <x:c r="M1340" s="28" t="n">
        <x:v>4</x:v>
      </x:c>
      <x:c r="N1340" s="28" t="n">
        <x:v>1</x:v>
      </x:c>
      <x:c r="O1340" s="28" t="n">
        <x:v>0</x:v>
      </x:c>
      <x:c r="P1340" s="28" t="n">
        <x:v>0</x:v>
      </x:c>
      <x:c r="Q1340" s="24" t="n">
        <x:f>IFERROR(J1340/H1340,0)</x:f>
        <x:v>0.1875</x:v>
      </x:c>
      <x:c r="R1340" s="24" t="n">
        <x:f>IFERROR(F1340/H1340,0)</x:f>
        <x:v>0</x:v>
      </x:c>
      <x:c r="S1340" s="24" t="n">
        <x:f>IFERROR(F1340/J1340,0)</x:f>
        <x:v>0</x:v>
      </x:c>
      <x:c r="T1340" s="28" t="n">
        <x:f>H1340-I1340</x:f>
        <x:v>7</x:v>
      </x:c>
      <x:c r="U1340" s="24" t="n">
        <x:f>IFERROR(J1340/H1340,0)-IFERROR(K1340/I1340,0)</x:f>
        <x:v>-0.3680555555555556</x:v>
      </x:c>
      <x:c r="V1340" s="24" t="n">
        <x:f>IFERROR(F1340/J1340,0)-IFERROR(G1340/K1340,0)</x:f>
        <x:v>-0.2</x:v>
      </x:c>
      <x:c r="W1340" s="28" t="n">
        <x:f>L1340-M1340</x:f>
        <x:v>7</x:v>
      </x:c>
      <x:c r="X1340" s="24" t="n">
        <x:f>IFERROR(K1340/I1340,0)</x:f>
        <x:v>0.5555555555555556</x:v>
      </x:c>
      <x:c r="Y1340" s="24" t="n">
        <x:f>IFERROR(G1340/I1340,0)</x:f>
        <x:v>0.1111111111111111</x:v>
      </x:c>
      <x:c r="Z1340" s="24" t="n">
        <x:f>IFERROR(G1340/K1340,0)</x:f>
        <x:v>0.2</x:v>
      </x:c>
      <x:c r="AA1340" s="24" t="n">
        <x:f>IFERROR(F1340/H1340,0)-IFERROR(G1340/I1340,0)</x:f>
        <x:v>-0.1111111111111111</x:v>
      </x:c>
      <x:c r="AB1340" s="28" t="n">
        <x:f>J1340-K1340</x:f>
        <x:v>-2</x:v>
      </x:c>
      <x:c r="AC1340" s="32" t="n">
        <x:f>F1340-G1340</x:f>
        <x:v>-1</x:v>
      </x:c>
    </x:row>
    <x:row r="1341">
      <x:c r="A1341" s="4" t="str">
        <x:v>2022-23</x:v>
      </x:c>
      <x:c r="B1341" s="20" t="n">
        <x:v>45024</x:v>
      </x:c>
      <x:c r="C1341" s="4" t="str">
        <x:v>Leicester</x:v>
      </x:c>
      <x:c r="D1341" s="4" t="str">
        <x:v>Bournemouth</x:v>
      </x:c>
      <x:c r="E1341" s="4" t="str">
        <x:v>Home</x:v>
      </x:c>
      <x:c r="F1341" s="28" t="n">
        <x:v>0</x:v>
      </x:c>
      <x:c r="G1341" s="28" t="n">
        <x:v>1</x:v>
      </x:c>
      <x:c r="H1341" s="28" t="n">
        <x:v>14</x:v>
      </x:c>
      <x:c r="I1341" s="28" t="n">
        <x:v>19</x:v>
      </x:c>
      <x:c r="J1341" s="28" t="n">
        <x:v>4</x:v>
      </x:c>
      <x:c r="K1341" s="28" t="n">
        <x:v>7</x:v>
      </x:c>
      <x:c r="L1341" s="28" t="n">
        <x:v>6</x:v>
      </x:c>
      <x:c r="M1341" s="28" t="n">
        <x:v>6</x:v>
      </x:c>
      <x:c r="N1341" s="28" t="n">
        <x:v>0</x:v>
      </x:c>
      <x:c r="O1341" s="28" t="n">
        <x:v>0</x:v>
      </x:c>
      <x:c r="P1341" s="28" t="n">
        <x:v>0</x:v>
      </x:c>
      <x:c r="Q1341" s="24" t="n">
        <x:f>IFERROR(J1341/H1341,0)</x:f>
        <x:v>0.2857142857142857</x:v>
      </x:c>
      <x:c r="R1341" s="24" t="n">
        <x:f>IFERROR(F1341/H1341,0)</x:f>
        <x:v>0</x:v>
      </x:c>
      <x:c r="S1341" s="24" t="n">
        <x:f>IFERROR(F1341/J1341,0)</x:f>
        <x:v>0</x:v>
      </x:c>
      <x:c r="T1341" s="28" t="n">
        <x:f>H1341-I1341</x:f>
        <x:v>-5</x:v>
      </x:c>
      <x:c r="U1341" s="24" t="n">
        <x:f>IFERROR(J1341/H1341,0)-IFERROR(K1341/I1341,0)</x:f>
        <x:v>-0.08270676691729323</x:v>
      </x:c>
      <x:c r="V1341" s="24" t="n">
        <x:f>IFERROR(F1341/J1341,0)-IFERROR(G1341/K1341,0)</x:f>
        <x:v>-0.14285714285714285</x:v>
      </x:c>
      <x:c r="W1341" s="28" t="n">
        <x:f>L1341-M1341</x:f>
        <x:v>0</x:v>
      </x:c>
      <x:c r="X1341" s="24" t="n">
        <x:f>IFERROR(K1341/I1341,0)</x:f>
        <x:v>0.3684210526315789</x:v>
      </x:c>
      <x:c r="Y1341" s="24" t="n">
        <x:f>IFERROR(G1341/I1341,0)</x:f>
        <x:v>0.05263157894736842</x:v>
      </x:c>
      <x:c r="Z1341" s="24" t="n">
        <x:f>IFERROR(G1341/K1341,0)</x:f>
        <x:v>0.14285714285714285</x:v>
      </x:c>
      <x:c r="AA1341" s="24" t="n">
        <x:f>IFERROR(F1341/H1341,0)-IFERROR(G1341/I1341,0)</x:f>
        <x:v>-0.05263157894736842</x:v>
      </x:c>
      <x:c r="AB1341" s="28" t="n">
        <x:f>J1341-K1341</x:f>
        <x:v>-3</x:v>
      </x:c>
      <x:c r="AC1341" s="32" t="n">
        <x:f>F1341-G1341</x:f>
        <x:v>-1</x:v>
      </x:c>
    </x:row>
    <x:row r="1342">
      <x:c r="A1342" s="4" t="str">
        <x:v>2022-23</x:v>
      </x:c>
      <x:c r="B1342" s="20" t="n">
        <x:v>45024</x:v>
      </x:c>
      <x:c r="C1342" s="4" t="str">
        <x:v>Man City</x:v>
      </x:c>
      <x:c r="D1342" s="4" t="str">
        <x:v>Southampton</x:v>
      </x:c>
      <x:c r="E1342" s="4" t="str">
        <x:v>Away</x:v>
      </x:c>
      <x:c r="F1342" s="28" t="n">
        <x:v>4</x:v>
      </x:c>
      <x:c r="G1342" s="28" t="n">
        <x:v>1</x:v>
      </x:c>
      <x:c r="H1342" s="28" t="n">
        <x:v>13</x:v>
      </x:c>
      <x:c r="I1342" s="28" t="n">
        <x:v>4</x:v>
      </x:c>
      <x:c r="J1342" s="28" t="n">
        <x:v>8</x:v>
      </x:c>
      <x:c r="K1342" s="28" t="n">
        <x:v>1</x:v>
      </x:c>
      <x:c r="L1342" s="28" t="n">
        <x:v>10</x:v>
      </x:c>
      <x:c r="M1342" s="28" t="n">
        <x:v>0</x:v>
      </x:c>
      <x:c r="N1342" s="28" t="n">
        <x:v>2</x:v>
      </x:c>
      <x:c r="O1342" s="28" t="n">
        <x:v>0</x:v>
      </x:c>
      <x:c r="P1342" s="28" t="n">
        <x:v>3</x:v>
      </x:c>
      <x:c r="Q1342" s="24" t="n">
        <x:f>IFERROR(J1342/H1342,0)</x:f>
        <x:v>0.6153846153846154</x:v>
      </x:c>
      <x:c r="R1342" s="24" t="n">
        <x:f>IFERROR(F1342/H1342,0)</x:f>
        <x:v>0.3076923076923077</x:v>
      </x:c>
      <x:c r="S1342" s="24" t="n">
        <x:f>IFERROR(F1342/J1342,0)</x:f>
        <x:v>0.5</x:v>
      </x:c>
      <x:c r="T1342" s="28" t="n">
        <x:f>H1342-I1342</x:f>
        <x:v>9</x:v>
      </x:c>
      <x:c r="U1342" s="24" t="n">
        <x:f>IFERROR(J1342/H1342,0)-IFERROR(K1342/I1342,0)</x:f>
        <x:v>0.3653846153846154</x:v>
      </x:c>
      <x:c r="V1342" s="24" t="n">
        <x:f>IFERROR(F1342/J1342,0)-IFERROR(G1342/K1342,0)</x:f>
        <x:v>-0.5</x:v>
      </x:c>
      <x:c r="W1342" s="28" t="n">
        <x:f>L1342-M1342</x:f>
        <x:v>10</x:v>
      </x:c>
      <x:c r="X1342" s="24" t="n">
        <x:f>IFERROR(K1342/I1342,0)</x:f>
        <x:v>0.25</x:v>
      </x:c>
      <x:c r="Y1342" s="24" t="n">
        <x:f>IFERROR(G1342/I1342,0)</x:f>
        <x:v>0.25</x:v>
      </x:c>
      <x:c r="Z1342" s="24" t="n">
        <x:f>IFERROR(G1342/K1342,0)</x:f>
        <x:v>1</x:v>
      </x:c>
      <x:c r="AA1342" s="24" t="n">
        <x:f>IFERROR(F1342/H1342,0)-IFERROR(G1342/I1342,0)</x:f>
        <x:v>0.05769230769230771</x:v>
      </x:c>
      <x:c r="AB1342" s="28" t="n">
        <x:f>J1342-K1342</x:f>
        <x:v>7</x:v>
      </x:c>
      <x:c r="AC1342" s="32" t="n">
        <x:f>F1342-G1342</x:f>
        <x:v>3</x:v>
      </x:c>
    </x:row>
    <x:row r="1343">
      <x:c r="A1343" s="4" t="str">
        <x:v>2022-23</x:v>
      </x:c>
      <x:c r="B1343" s="20" t="n">
        <x:v>45024</x:v>
      </x:c>
      <x:c r="C1343" s="4" t="str">
        <x:v>Man United</x:v>
      </x:c>
      <x:c r="D1343" s="4" t="str">
        <x:v>Everton</x:v>
      </x:c>
      <x:c r="E1343" s="4" t="str">
        <x:v>Home</x:v>
      </x:c>
      <x:c r="F1343" s="28" t="n">
        <x:v>2</x:v>
      </x:c>
      <x:c r="G1343" s="28" t="n">
        <x:v>0</x:v>
      </x:c>
      <x:c r="H1343" s="28" t="n">
        <x:v>29</x:v>
      </x:c>
      <x:c r="I1343" s="28" t="n">
        <x:v>15</x:v>
      </x:c>
      <x:c r="J1343" s="28" t="n">
        <x:v>11</x:v>
      </x:c>
      <x:c r="K1343" s="28" t="n">
        <x:v>1</x:v>
      </x:c>
      <x:c r="L1343" s="28" t="n">
        <x:v>10</x:v>
      </x:c>
      <x:c r="M1343" s="28" t="n">
        <x:v>4</x:v>
      </x:c>
      <x:c r="N1343" s="28" t="n">
        <x:v>0</x:v>
      </x:c>
      <x:c r="O1343" s="28" t="n">
        <x:v>0</x:v>
      </x:c>
      <x:c r="P1343" s="28" t="n">
        <x:v>3</x:v>
      </x:c>
      <x:c r="Q1343" s="24" t="n">
        <x:f>IFERROR(J1343/H1343,0)</x:f>
        <x:v>0.3793103448275862</x:v>
      </x:c>
      <x:c r="R1343" s="24" t="n">
        <x:f>IFERROR(F1343/H1343,0)</x:f>
        <x:v>0.06896551724137931</x:v>
      </x:c>
      <x:c r="S1343" s="24" t="n">
        <x:f>IFERROR(F1343/J1343,0)</x:f>
        <x:v>0.18181818181818182</x:v>
      </x:c>
      <x:c r="T1343" s="28" t="n">
        <x:f>H1343-I1343</x:f>
        <x:v>14</x:v>
      </x:c>
      <x:c r="U1343" s="24" t="n">
        <x:f>IFERROR(J1343/H1343,0)-IFERROR(K1343/I1343,0)</x:f>
        <x:v>0.31264367816091954</x:v>
      </x:c>
      <x:c r="V1343" s="24" t="n">
        <x:f>IFERROR(F1343/J1343,0)-IFERROR(G1343/K1343,0)</x:f>
        <x:v>0.18181818181818182</x:v>
      </x:c>
      <x:c r="W1343" s="28" t="n">
        <x:f>L1343-M1343</x:f>
        <x:v>6</x:v>
      </x:c>
      <x:c r="X1343" s="24" t="n">
        <x:f>IFERROR(K1343/I1343,0)</x:f>
        <x:v>0.06666666666666667</x:v>
      </x:c>
      <x:c r="Y1343" s="24" t="n">
        <x:f>IFERROR(G1343/I1343,0)</x:f>
        <x:v>0</x:v>
      </x:c>
      <x:c r="Z1343" s="24" t="n">
        <x:f>IFERROR(G1343/K1343,0)</x:f>
        <x:v>0</x:v>
      </x:c>
      <x:c r="AA1343" s="24" t="n">
        <x:f>IFERROR(F1343/H1343,0)-IFERROR(G1343/I1343,0)</x:f>
        <x:v>0.06896551724137931</x:v>
      </x:c>
      <x:c r="AB1343" s="28" t="n">
        <x:f>J1343-K1343</x:f>
        <x:v>10</x:v>
      </x:c>
      <x:c r="AC1343" s="32" t="n">
        <x:f>F1343-G1343</x:f>
        <x:v>2</x:v>
      </x:c>
    </x:row>
    <x:row r="1344">
      <x:c r="A1344" s="4" t="str">
        <x:v>2022-23</x:v>
      </x:c>
      <x:c r="B1344" s="20" t="n">
        <x:v>45024</x:v>
      </x:c>
      <x:c r="C1344" s="4" t="str">
        <x:v>Newcastle</x:v>
      </x:c>
      <x:c r="D1344" s="4" t="str">
        <x:v>Brentford</x:v>
      </x:c>
      <x:c r="E1344" s="4" t="str">
        <x:v>Away</x:v>
      </x:c>
      <x:c r="F1344" s="28" t="n">
        <x:v>2</x:v>
      </x:c>
      <x:c r="G1344" s="28" t="n">
        <x:v>1</x:v>
      </x:c>
      <x:c r="H1344" s="28" t="n">
        <x:v>10</x:v>
      </x:c>
      <x:c r="I1344" s="28" t="n">
        <x:v>12</x:v>
      </x:c>
      <x:c r="J1344" s="28" t="n">
        <x:v>4</x:v>
      </x:c>
      <x:c r="K1344" s="28" t="n">
        <x:v>6</x:v>
      </x:c>
      <x:c r="L1344" s="28" t="n">
        <x:v>5</x:v>
      </x:c>
      <x:c r="M1344" s="28" t="n">
        <x:v>6</x:v>
      </x:c>
      <x:c r="N1344" s="28" t="n">
        <x:v>0</x:v>
      </x:c>
      <x:c r="O1344" s="28" t="n">
        <x:v>0</x:v>
      </x:c>
      <x:c r="P1344" s="28" t="n">
        <x:v>3</x:v>
      </x:c>
      <x:c r="Q1344" s="24" t="n">
        <x:f>IFERROR(J1344/H1344,0)</x:f>
        <x:v>0.4</x:v>
      </x:c>
      <x:c r="R1344" s="24" t="n">
        <x:f>IFERROR(F1344/H1344,0)</x:f>
        <x:v>0.2</x:v>
      </x:c>
      <x:c r="S1344" s="24" t="n">
        <x:f>IFERROR(F1344/J1344,0)</x:f>
        <x:v>0.5</x:v>
      </x:c>
      <x:c r="T1344" s="28" t="n">
        <x:f>H1344-I1344</x:f>
        <x:v>-2</x:v>
      </x:c>
      <x:c r="U1344" s="24" t="n">
        <x:f>IFERROR(J1344/H1344,0)-IFERROR(K1344/I1344,0)</x:f>
        <x:v>-0.09999999999999998</x:v>
      </x:c>
      <x:c r="V1344" s="24" t="n">
        <x:f>IFERROR(F1344/J1344,0)-IFERROR(G1344/K1344,0)</x:f>
        <x:v>0.33333333333333337</x:v>
      </x:c>
      <x:c r="W1344" s="28" t="n">
        <x:f>L1344-M1344</x:f>
        <x:v>-1</x:v>
      </x:c>
      <x:c r="X1344" s="24" t="n">
        <x:f>IFERROR(K1344/I1344,0)</x:f>
        <x:v>0.5</x:v>
      </x:c>
      <x:c r="Y1344" s="24" t="n">
        <x:f>IFERROR(G1344/I1344,0)</x:f>
        <x:v>0.08333333333333333</x:v>
      </x:c>
      <x:c r="Z1344" s="24" t="n">
        <x:f>IFERROR(G1344/K1344,0)</x:f>
        <x:v>0.16666666666666666</x:v>
      </x:c>
      <x:c r="AA1344" s="24" t="n">
        <x:f>IFERROR(F1344/H1344,0)-IFERROR(G1344/I1344,0)</x:f>
        <x:v>0.11666666666666668</x:v>
      </x:c>
      <x:c r="AB1344" s="28" t="n">
        <x:f>J1344-K1344</x:f>
        <x:v>-2</x:v>
      </x:c>
      <x:c r="AC1344" s="32" t="n">
        <x:f>F1344-G1344</x:f>
        <x:v>1</x:v>
      </x:c>
    </x:row>
    <x:row r="1345">
      <x:c r="A1345" s="4" t="str">
        <x:v>2022-23</x:v>
      </x:c>
      <x:c r="B1345" s="20" t="n">
        <x:v>45024</x:v>
      </x:c>
      <x:c r="C1345" s="4" t="str">
        <x:v>Nott'm Forest</x:v>
      </x:c>
      <x:c r="D1345" s="4" t="str">
        <x:v>Aston Villa</x:v>
      </x:c>
      <x:c r="E1345" s="4" t="str">
        <x:v>Away</x:v>
      </x:c>
      <x:c r="F1345" s="28" t="n">
        <x:v>0</x:v>
      </x:c>
      <x:c r="G1345" s="28" t="n">
        <x:v>2</x:v>
      </x:c>
      <x:c r="H1345" s="28" t="n">
        <x:v>6</x:v>
      </x:c>
      <x:c r="I1345" s="28" t="n">
        <x:v>8</x:v>
      </x:c>
      <x:c r="J1345" s="28" t="n">
        <x:v>2</x:v>
      </x:c>
      <x:c r="K1345" s="28" t="n">
        <x:v>3</x:v>
      </x:c>
      <x:c r="L1345" s="28" t="n">
        <x:v>8</x:v>
      </x:c>
      <x:c r="M1345" s="28" t="n">
        <x:v>1</x:v>
      </x:c>
      <x:c r="N1345" s="28" t="n">
        <x:v>4</x:v>
      </x:c>
      <x:c r="O1345" s="28" t="n">
        <x:v>0</x:v>
      </x:c>
      <x:c r="P1345" s="28" t="n">
        <x:v>0</x:v>
      </x:c>
      <x:c r="Q1345" s="24" t="n">
        <x:f>IFERROR(J1345/H1345,0)</x:f>
        <x:v>0.3333333333333333</x:v>
      </x:c>
      <x:c r="R1345" s="24" t="n">
        <x:f>IFERROR(F1345/H1345,0)</x:f>
        <x:v>0</x:v>
      </x:c>
      <x:c r="S1345" s="24" t="n">
        <x:f>IFERROR(F1345/J1345,0)</x:f>
        <x:v>0</x:v>
      </x:c>
      <x:c r="T1345" s="28" t="n">
        <x:f>H1345-I1345</x:f>
        <x:v>-2</x:v>
      </x:c>
      <x:c r="U1345" s="24" t="n">
        <x:f>IFERROR(J1345/H1345,0)-IFERROR(K1345/I1345,0)</x:f>
        <x:v>-0.041666666666666685</x:v>
      </x:c>
      <x:c r="V1345" s="24" t="n">
        <x:f>IFERROR(F1345/J1345,0)-IFERROR(G1345/K1345,0)</x:f>
        <x:v>-0.6666666666666666</x:v>
      </x:c>
      <x:c r="W1345" s="28" t="n">
        <x:f>L1345-M1345</x:f>
        <x:v>7</x:v>
      </x:c>
      <x:c r="X1345" s="24" t="n">
        <x:f>IFERROR(K1345/I1345,0)</x:f>
        <x:v>0.375</x:v>
      </x:c>
      <x:c r="Y1345" s="24" t="n">
        <x:f>IFERROR(G1345/I1345,0)</x:f>
        <x:v>0.25</x:v>
      </x:c>
      <x:c r="Z1345" s="24" t="n">
        <x:f>IFERROR(G1345/K1345,0)</x:f>
        <x:v>0.6666666666666666</x:v>
      </x:c>
      <x:c r="AA1345" s="24" t="n">
        <x:f>IFERROR(F1345/H1345,0)-IFERROR(G1345/I1345,0)</x:f>
        <x:v>-0.25</x:v>
      </x:c>
      <x:c r="AB1345" s="28" t="n">
        <x:f>J1345-K1345</x:f>
        <x:v>-1</x:v>
      </x:c>
      <x:c r="AC1345" s="32" t="n">
        <x:f>F1345-G1345</x:f>
        <x:v>-2</x:v>
      </x:c>
    </x:row>
    <x:row r="1346">
      <x:c r="A1346" s="4" t="str">
        <x:v>2022-23</x:v>
      </x:c>
      <x:c r="B1346" s="20" t="n">
        <x:v>45024</x:v>
      </x:c>
      <x:c r="C1346" s="4" t="str">
        <x:v>Southampton</x:v>
      </x:c>
      <x:c r="D1346" s="4" t="str">
        <x:v>Man City</x:v>
      </x:c>
      <x:c r="E1346" s="4" t="str">
        <x:v>Home</x:v>
      </x:c>
      <x:c r="F1346" s="28" t="n">
        <x:v>1</x:v>
      </x:c>
      <x:c r="G1346" s="28" t="n">
        <x:v>4</x:v>
      </x:c>
      <x:c r="H1346" s="28" t="n">
        <x:v>4</x:v>
      </x:c>
      <x:c r="I1346" s="28" t="n">
        <x:v>13</x:v>
      </x:c>
      <x:c r="J1346" s="28" t="n">
        <x:v>1</x:v>
      </x:c>
      <x:c r="K1346" s="28" t="n">
        <x:v>8</x:v>
      </x:c>
      <x:c r="L1346" s="28" t="n">
        <x:v>0</x:v>
      </x:c>
      <x:c r="M1346" s="28" t="n">
        <x:v>10</x:v>
      </x:c>
      <x:c r="N1346" s="28" t="n">
        <x:v>0</x:v>
      </x:c>
      <x:c r="O1346" s="28" t="n">
        <x:v>0</x:v>
      </x:c>
      <x:c r="P1346" s="28" t="n">
        <x:v>0</x:v>
      </x:c>
      <x:c r="Q1346" s="24" t="n">
        <x:f>IFERROR(J1346/H1346,0)</x:f>
        <x:v>0.25</x:v>
      </x:c>
      <x:c r="R1346" s="24" t="n">
        <x:f>IFERROR(F1346/H1346,0)</x:f>
        <x:v>0.25</x:v>
      </x:c>
      <x:c r="S1346" s="24" t="n">
        <x:f>IFERROR(F1346/J1346,0)</x:f>
        <x:v>1</x:v>
      </x:c>
      <x:c r="T1346" s="28" t="n">
        <x:f>H1346-I1346</x:f>
        <x:v>-9</x:v>
      </x:c>
      <x:c r="U1346" s="24" t="n">
        <x:f>IFERROR(J1346/H1346,0)-IFERROR(K1346/I1346,0)</x:f>
        <x:v>-0.3653846153846154</x:v>
      </x:c>
      <x:c r="V1346" s="24" t="n">
        <x:f>IFERROR(F1346/J1346,0)-IFERROR(G1346/K1346,0)</x:f>
        <x:v>0.5</x:v>
      </x:c>
      <x:c r="W1346" s="28" t="n">
        <x:f>L1346-M1346</x:f>
        <x:v>-10</x:v>
      </x:c>
      <x:c r="X1346" s="24" t="n">
        <x:f>IFERROR(K1346/I1346,0)</x:f>
        <x:v>0.6153846153846154</x:v>
      </x:c>
      <x:c r="Y1346" s="24" t="n">
        <x:f>IFERROR(G1346/I1346,0)</x:f>
        <x:v>0.3076923076923077</x:v>
      </x:c>
      <x:c r="Z1346" s="24" t="n">
        <x:f>IFERROR(G1346/K1346,0)</x:f>
        <x:v>0.5</x:v>
      </x:c>
      <x:c r="AA1346" s="24" t="n">
        <x:f>IFERROR(F1346/H1346,0)-IFERROR(G1346/I1346,0)</x:f>
        <x:v>-0.05769230769230771</x:v>
      </x:c>
      <x:c r="AB1346" s="28" t="n">
        <x:f>J1346-K1346</x:f>
        <x:v>-7</x:v>
      </x:c>
      <x:c r="AC1346" s="32" t="n">
        <x:f>F1346-G1346</x:f>
        <x:v>-3</x:v>
      </x:c>
    </x:row>
    <x:row r="1347">
      <x:c r="A1347" s="4" t="str">
        <x:v>2022-23</x:v>
      </x:c>
      <x:c r="B1347" s="20" t="n">
        <x:v>45024</x:v>
      </x:c>
      <x:c r="C1347" s="4" t="str">
        <x:v>Tottenham</x:v>
      </x:c>
      <x:c r="D1347" s="4" t="str">
        <x:v>Brighton</x:v>
      </x:c>
      <x:c r="E1347" s="4" t="str">
        <x:v>Home</x:v>
      </x:c>
      <x:c r="F1347" s="28" t="n">
        <x:v>2</x:v>
      </x:c>
      <x:c r="G1347" s="28" t="n">
        <x:v>1</x:v>
      </x:c>
      <x:c r="H1347" s="28" t="n">
        <x:v>9</x:v>
      </x:c>
      <x:c r="I1347" s="28" t="n">
        <x:v>17</x:v>
      </x:c>
      <x:c r="J1347" s="28" t="n">
        <x:v>3</x:v>
      </x:c>
      <x:c r="K1347" s="28" t="n">
        <x:v>4</x:v>
      </x:c>
      <x:c r="L1347" s="28" t="n">
        <x:v>3</x:v>
      </x:c>
      <x:c r="M1347" s="28" t="n">
        <x:v>7</x:v>
      </x:c>
      <x:c r="N1347" s="28" t="n">
        <x:v>3</x:v>
      </x:c>
      <x:c r="O1347" s="28" t="n">
        <x:v>0</x:v>
      </x:c>
      <x:c r="P1347" s="28" t="n">
        <x:v>3</x:v>
      </x:c>
      <x:c r="Q1347" s="24" t="n">
        <x:f>IFERROR(J1347/H1347,0)</x:f>
        <x:v>0.3333333333333333</x:v>
      </x:c>
      <x:c r="R1347" s="24" t="n">
        <x:f>IFERROR(F1347/H1347,0)</x:f>
        <x:v>0.2222222222222222</x:v>
      </x:c>
      <x:c r="S1347" s="24" t="n">
        <x:f>IFERROR(F1347/J1347,0)</x:f>
        <x:v>0.6666666666666666</x:v>
      </x:c>
      <x:c r="T1347" s="28" t="n">
        <x:f>H1347-I1347</x:f>
        <x:v>-8</x:v>
      </x:c>
      <x:c r="U1347" s="24" t="n">
        <x:f>IFERROR(J1347/H1347,0)-IFERROR(K1347/I1347,0)</x:f>
        <x:v>0.0980392156862745</x:v>
      </x:c>
      <x:c r="V1347" s="24" t="n">
        <x:f>IFERROR(F1347/J1347,0)-IFERROR(G1347/K1347,0)</x:f>
        <x:v>0.41666666666666663</x:v>
      </x:c>
      <x:c r="W1347" s="28" t="n">
        <x:f>L1347-M1347</x:f>
        <x:v>-4</x:v>
      </x:c>
      <x:c r="X1347" s="24" t="n">
        <x:f>IFERROR(K1347/I1347,0)</x:f>
        <x:v>0.23529411764705882</x:v>
      </x:c>
      <x:c r="Y1347" s="24" t="n">
        <x:f>IFERROR(G1347/I1347,0)</x:f>
        <x:v>0.058823529411764705</x:v>
      </x:c>
      <x:c r="Z1347" s="24" t="n">
        <x:f>IFERROR(G1347/K1347,0)</x:f>
        <x:v>0.25</x:v>
      </x:c>
      <x:c r="AA1347" s="24" t="n">
        <x:f>IFERROR(F1347/H1347,0)-IFERROR(G1347/I1347,0)</x:f>
        <x:v>0.1633986928104575</x:v>
      </x:c>
      <x:c r="AB1347" s="28" t="n">
        <x:f>J1347-K1347</x:f>
        <x:v>-1</x:v>
      </x:c>
      <x:c r="AC1347" s="32" t="n">
        <x:f>F1347-G1347</x:f>
        <x:v>1</x:v>
      </x:c>
    </x:row>
    <x:row r="1348">
      <x:c r="A1348" s="4" t="str">
        <x:v>2022-23</x:v>
      </x:c>
      <x:c r="B1348" s="20" t="n">
        <x:v>45024</x:v>
      </x:c>
      <x:c r="C1348" s="4" t="str">
        <x:v>West Ham</x:v>
      </x:c>
      <x:c r="D1348" s="4" t="str">
        <x:v>Fulham</x:v>
      </x:c>
      <x:c r="E1348" s="4" t="str">
        <x:v>Away</x:v>
      </x:c>
      <x:c r="F1348" s="28" t="n">
        <x:v>1</x:v>
      </x:c>
      <x:c r="G1348" s="28" t="n">
        <x:v>0</x:v>
      </x:c>
      <x:c r="H1348" s="28" t="n">
        <x:v>9</x:v>
      </x:c>
      <x:c r="I1348" s="28" t="n">
        <x:v>16</x:v>
      </x:c>
      <x:c r="J1348" s="28" t="n">
        <x:v>5</x:v>
      </x:c>
      <x:c r="K1348" s="28" t="n">
        <x:v>3</x:v>
      </x:c>
      <x:c r="L1348" s="28" t="n">
        <x:v>4</x:v>
      </x:c>
      <x:c r="M1348" s="28" t="n">
        <x:v>11</x:v>
      </x:c>
      <x:c r="N1348" s="28" t="n">
        <x:v>1</x:v>
      </x:c>
      <x:c r="O1348" s="28" t="n">
        <x:v>0</x:v>
      </x:c>
      <x:c r="P1348" s="28" t="n">
        <x:v>3</x:v>
      </x:c>
      <x:c r="Q1348" s="24" t="n">
        <x:f>IFERROR(J1348/H1348,0)</x:f>
        <x:v>0.5555555555555556</x:v>
      </x:c>
      <x:c r="R1348" s="24" t="n">
        <x:f>IFERROR(F1348/H1348,0)</x:f>
        <x:v>0.1111111111111111</x:v>
      </x:c>
      <x:c r="S1348" s="24" t="n">
        <x:f>IFERROR(F1348/J1348,0)</x:f>
        <x:v>0.2</x:v>
      </x:c>
      <x:c r="T1348" s="28" t="n">
        <x:f>H1348-I1348</x:f>
        <x:v>-7</x:v>
      </x:c>
      <x:c r="U1348" s="24" t="n">
        <x:f>IFERROR(J1348/H1348,0)-IFERROR(K1348/I1348,0)</x:f>
        <x:v>0.3680555555555556</x:v>
      </x:c>
      <x:c r="V1348" s="24" t="n">
        <x:f>IFERROR(F1348/J1348,0)-IFERROR(G1348/K1348,0)</x:f>
        <x:v>0.2</x:v>
      </x:c>
      <x:c r="W1348" s="28" t="n">
        <x:f>L1348-M1348</x:f>
        <x:v>-7</x:v>
      </x:c>
      <x:c r="X1348" s="24" t="n">
        <x:f>IFERROR(K1348/I1348,0)</x:f>
        <x:v>0.1875</x:v>
      </x:c>
      <x:c r="Y1348" s="24" t="n">
        <x:f>IFERROR(G1348/I1348,0)</x:f>
        <x:v>0</x:v>
      </x:c>
      <x:c r="Z1348" s="24" t="n">
        <x:f>IFERROR(G1348/K1348,0)</x:f>
        <x:v>0</x:v>
      </x:c>
      <x:c r="AA1348" s="24" t="n">
        <x:f>IFERROR(F1348/H1348,0)-IFERROR(G1348/I1348,0)</x:f>
        <x:v>0.1111111111111111</x:v>
      </x:c>
      <x:c r="AB1348" s="28" t="n">
        <x:f>J1348-K1348</x:f>
        <x:v>2</x:v>
      </x:c>
      <x:c r="AC1348" s="32" t="n">
        <x:f>F1348-G1348</x:f>
        <x:v>1</x:v>
      </x:c>
    </x:row>
    <x:row r="1349">
      <x:c r="A1349" s="4" t="str">
        <x:v>2022-23</x:v>
      </x:c>
      <x:c r="B1349" s="20" t="n">
        <x:v>45024</x:v>
      </x:c>
      <x:c r="C1349" s="4" t="str">
        <x:v>Wolves</x:v>
      </x:c>
      <x:c r="D1349" s="4" t="str">
        <x:v>Chelsea</x:v>
      </x:c>
      <x:c r="E1349" s="4" t="str">
        <x:v>Home</x:v>
      </x:c>
      <x:c r="F1349" s="28" t="n">
        <x:v>1</x:v>
      </x:c>
      <x:c r="G1349" s="28" t="n">
        <x:v>0</x:v>
      </x:c>
      <x:c r="H1349" s="28" t="n">
        <x:v>9</x:v>
      </x:c>
      <x:c r="I1349" s="28" t="n">
        <x:v>13</x:v>
      </x:c>
      <x:c r="J1349" s="28" t="n">
        <x:v>4</x:v>
      </x:c>
      <x:c r="K1349" s="28" t="n">
        <x:v>1</x:v>
      </x:c>
      <x:c r="L1349" s="28" t="n">
        <x:v>8</x:v>
      </x:c>
      <x:c r="M1349" s="28" t="n">
        <x:v>8</x:v>
      </x:c>
      <x:c r="N1349" s="28" t="n">
        <x:v>2</x:v>
      </x:c>
      <x:c r="O1349" s="28" t="n">
        <x:v>0</x:v>
      </x:c>
      <x:c r="P1349" s="28" t="n">
        <x:v>3</x:v>
      </x:c>
      <x:c r="Q1349" s="24" t="n">
        <x:f>IFERROR(J1349/H1349,0)</x:f>
        <x:v>0.4444444444444444</x:v>
      </x:c>
      <x:c r="R1349" s="24" t="n">
        <x:f>IFERROR(F1349/H1349,0)</x:f>
        <x:v>0.1111111111111111</x:v>
      </x:c>
      <x:c r="S1349" s="24" t="n">
        <x:f>IFERROR(F1349/J1349,0)</x:f>
        <x:v>0.25</x:v>
      </x:c>
      <x:c r="T1349" s="28" t="n">
        <x:f>H1349-I1349</x:f>
        <x:v>-4</x:v>
      </x:c>
      <x:c r="U1349" s="24" t="n">
        <x:f>IFERROR(J1349/H1349,0)-IFERROR(K1349/I1349,0)</x:f>
        <x:v>0.3675213675213675</x:v>
      </x:c>
      <x:c r="V1349" s="24" t="n">
        <x:f>IFERROR(F1349/J1349,0)-IFERROR(G1349/K1349,0)</x:f>
        <x:v>0.25</x:v>
      </x:c>
      <x:c r="W1349" s="28" t="n">
        <x:f>L1349-M1349</x:f>
        <x:v>0</x:v>
      </x:c>
      <x:c r="X1349" s="24" t="n">
        <x:f>IFERROR(K1349/I1349,0)</x:f>
        <x:v>0.07692307692307693</x:v>
      </x:c>
      <x:c r="Y1349" s="24" t="n">
        <x:f>IFERROR(G1349/I1349,0)</x:f>
        <x:v>0</x:v>
      </x:c>
      <x:c r="Z1349" s="24" t="n">
        <x:f>IFERROR(G1349/K1349,0)</x:f>
        <x:v>0</x:v>
      </x:c>
      <x:c r="AA1349" s="24" t="n">
        <x:f>IFERROR(F1349/H1349,0)-IFERROR(G1349/I1349,0)</x:f>
        <x:v>0.1111111111111111</x:v>
      </x:c>
      <x:c r="AB1349" s="28" t="n">
        <x:f>J1349-K1349</x:f>
        <x:v>3</x:v>
      </x:c>
      <x:c r="AC1349" s="32" t="n">
        <x:f>F1349-G1349</x:f>
        <x:v>1</x:v>
      </x:c>
    </x:row>
    <x:row r="1350">
      <x:c r="A1350" s="4" t="str">
        <x:v>2022-23</x:v>
      </x:c>
      <x:c r="B1350" s="20" t="n">
        <x:v>45025</x:v>
      </x:c>
      <x:c r="C1350" s="4" t="str">
        <x:v>Arsenal</x:v>
      </x:c>
      <x:c r="D1350" s="4" t="str">
        <x:v>Liverpool</x:v>
      </x:c>
      <x:c r="E1350" s="4" t="str">
        <x:v>Away</x:v>
      </x:c>
      <x:c r="F1350" s="28" t="n">
        <x:v>2</x:v>
      </x:c>
      <x:c r="G1350" s="28" t="n">
        <x:v>2</x:v>
      </x:c>
      <x:c r="H1350" s="28" t="n">
        <x:v>9</x:v>
      </x:c>
      <x:c r="I1350" s="28" t="n">
        <x:v>21</x:v>
      </x:c>
      <x:c r="J1350" s="28" t="n">
        <x:v>5</x:v>
      </x:c>
      <x:c r="K1350" s="28" t="n">
        <x:v>6</x:v>
      </x:c>
      <x:c r="L1350" s="28" t="n">
        <x:v>4</x:v>
      </x:c>
      <x:c r="M1350" s="28" t="n">
        <x:v>5</x:v>
      </x:c>
      <x:c r="N1350" s="28" t="n">
        <x:v>4</x:v>
      </x:c>
      <x:c r="O1350" s="28" t="n">
        <x:v>0</x:v>
      </x:c>
      <x:c r="P1350" s="28" t="n">
        <x:v>1</x:v>
      </x:c>
      <x:c r="Q1350" s="24" t="n">
        <x:f>IFERROR(J1350/H1350,0)</x:f>
        <x:v>0.5555555555555556</x:v>
      </x:c>
      <x:c r="R1350" s="24" t="n">
        <x:f>IFERROR(F1350/H1350,0)</x:f>
        <x:v>0.2222222222222222</x:v>
      </x:c>
      <x:c r="S1350" s="24" t="n">
        <x:f>IFERROR(F1350/J1350,0)</x:f>
        <x:v>0.4</x:v>
      </x:c>
      <x:c r="T1350" s="28" t="n">
        <x:f>H1350-I1350</x:f>
        <x:v>-12</x:v>
      </x:c>
      <x:c r="U1350" s="24" t="n">
        <x:f>IFERROR(J1350/H1350,0)-IFERROR(K1350/I1350,0)</x:f>
        <x:v>0.2698412698412699</x:v>
      </x:c>
      <x:c r="V1350" s="24" t="n">
        <x:f>IFERROR(F1350/J1350,0)-IFERROR(G1350/K1350,0)</x:f>
        <x:v>0.06666666666666671</x:v>
      </x:c>
      <x:c r="W1350" s="28" t="n">
        <x:f>L1350-M1350</x:f>
        <x:v>-1</x:v>
      </x:c>
      <x:c r="X1350" s="24" t="n">
        <x:f>IFERROR(K1350/I1350,0)</x:f>
        <x:v>0.2857142857142857</x:v>
      </x:c>
      <x:c r="Y1350" s="24" t="n">
        <x:f>IFERROR(G1350/I1350,0)</x:f>
        <x:v>0.09523809523809523</x:v>
      </x:c>
      <x:c r="Z1350" s="24" t="n">
        <x:f>IFERROR(G1350/K1350,0)</x:f>
        <x:v>0.3333333333333333</x:v>
      </x:c>
      <x:c r="AA1350" s="24" t="n">
        <x:f>IFERROR(F1350/H1350,0)-IFERROR(G1350/I1350,0)</x:f>
        <x:v>0.12698412698412698</x:v>
      </x:c>
      <x:c r="AB1350" s="28" t="n">
        <x:f>J1350-K1350</x:f>
        <x:v>-1</x:v>
      </x:c>
      <x:c r="AC1350" s="32" t="n">
        <x:f>F1350-G1350</x:f>
        <x:v>0</x:v>
      </x:c>
    </x:row>
    <x:row r="1351">
      <x:c r="A1351" s="4" t="str">
        <x:v>2022-23</x:v>
      </x:c>
      <x:c r="B1351" s="20" t="n">
        <x:v>45025</x:v>
      </x:c>
      <x:c r="C1351" s="4" t="str">
        <x:v>Crystal Palace</x:v>
      </x:c>
      <x:c r="D1351" s="4" t="str">
        <x:v>Leeds</x:v>
      </x:c>
      <x:c r="E1351" s="4" t="str">
        <x:v>Away</x:v>
      </x:c>
      <x:c r="F1351" s="28" t="n">
        <x:v>5</x:v>
      </x:c>
      <x:c r="G1351" s="28" t="n">
        <x:v>1</x:v>
      </x:c>
      <x:c r="H1351" s="28" t="n">
        <x:v>16</x:v>
      </x:c>
      <x:c r="I1351" s="28" t="n">
        <x:v>11</x:v>
      </x:c>
      <x:c r="J1351" s="28" t="n">
        <x:v>8</x:v>
      </x:c>
      <x:c r="K1351" s="28" t="n">
        <x:v>7</x:v>
      </x:c>
      <x:c r="L1351" s="28" t="n">
        <x:v>4</x:v>
      </x:c>
      <x:c r="M1351" s="28" t="n">
        <x:v>2</x:v>
      </x:c>
      <x:c r="N1351" s="28" t="n">
        <x:v>1</x:v>
      </x:c>
      <x:c r="O1351" s="28" t="n">
        <x:v>0</x:v>
      </x:c>
      <x:c r="P1351" s="28" t="n">
        <x:v>3</x:v>
      </x:c>
      <x:c r="Q1351" s="24" t="n">
        <x:f>IFERROR(J1351/H1351,0)</x:f>
        <x:v>0.5</x:v>
      </x:c>
      <x:c r="R1351" s="24" t="n">
        <x:f>IFERROR(F1351/H1351,0)</x:f>
        <x:v>0.3125</x:v>
      </x:c>
      <x:c r="S1351" s="24" t="n">
        <x:f>IFERROR(F1351/J1351,0)</x:f>
        <x:v>0.625</x:v>
      </x:c>
      <x:c r="T1351" s="28" t="n">
        <x:f>H1351-I1351</x:f>
        <x:v>5</x:v>
      </x:c>
      <x:c r="U1351" s="24" t="n">
        <x:f>IFERROR(J1351/H1351,0)-IFERROR(K1351/I1351,0)</x:f>
        <x:v>-0.13636363636363635</x:v>
      </x:c>
      <x:c r="V1351" s="24" t="n">
        <x:f>IFERROR(F1351/J1351,0)-IFERROR(G1351/K1351,0)</x:f>
        <x:v>0.48214285714285715</x:v>
      </x:c>
      <x:c r="W1351" s="28" t="n">
        <x:f>L1351-M1351</x:f>
        <x:v>2</x:v>
      </x:c>
      <x:c r="X1351" s="24" t="n">
        <x:f>IFERROR(K1351/I1351,0)</x:f>
        <x:v>0.6363636363636364</x:v>
      </x:c>
      <x:c r="Y1351" s="24" t="n">
        <x:f>IFERROR(G1351/I1351,0)</x:f>
        <x:v>0.09090909090909091</x:v>
      </x:c>
      <x:c r="Z1351" s="24" t="n">
        <x:f>IFERROR(G1351/K1351,0)</x:f>
        <x:v>0.14285714285714285</x:v>
      </x:c>
      <x:c r="AA1351" s="24" t="n">
        <x:f>IFERROR(F1351/H1351,0)-IFERROR(G1351/I1351,0)</x:f>
        <x:v>0.2215909090909091</x:v>
      </x:c>
      <x:c r="AB1351" s="28" t="n">
        <x:f>J1351-K1351</x:f>
        <x:v>1</x:v>
      </x:c>
      <x:c r="AC1351" s="32" t="n">
        <x:f>F1351-G1351</x:f>
        <x:v>4</x:v>
      </x:c>
    </x:row>
    <x:row r="1352">
      <x:c r="A1352" s="4" t="str">
        <x:v>2022-23</x:v>
      </x:c>
      <x:c r="B1352" s="20" t="n">
        <x:v>45025</x:v>
      </x:c>
      <x:c r="C1352" s="4" t="str">
        <x:v>Leeds</x:v>
      </x:c>
      <x:c r="D1352" s="4" t="str">
        <x:v>Crystal Palace</x:v>
      </x:c>
      <x:c r="E1352" s="4" t="str">
        <x:v>Home</x:v>
      </x:c>
      <x:c r="F1352" s="28" t="n">
        <x:v>1</x:v>
      </x:c>
      <x:c r="G1352" s="28" t="n">
        <x:v>5</x:v>
      </x:c>
      <x:c r="H1352" s="28" t="n">
        <x:v>11</x:v>
      </x:c>
      <x:c r="I1352" s="28" t="n">
        <x:v>16</x:v>
      </x:c>
      <x:c r="J1352" s="28" t="n">
        <x:v>7</x:v>
      </x:c>
      <x:c r="K1352" s="28" t="n">
        <x:v>8</x:v>
      </x:c>
      <x:c r="L1352" s="28" t="n">
        <x:v>2</x:v>
      </x:c>
      <x:c r="M1352" s="28" t="n">
        <x:v>4</x:v>
      </x:c>
      <x:c r="N1352" s="28" t="n">
        <x:v>3</x:v>
      </x:c>
      <x:c r="O1352" s="28" t="n">
        <x:v>0</x:v>
      </x:c>
      <x:c r="P1352" s="28" t="n">
        <x:v>0</x:v>
      </x:c>
      <x:c r="Q1352" s="24" t="n">
        <x:f>IFERROR(J1352/H1352,0)</x:f>
        <x:v>0.6363636363636364</x:v>
      </x:c>
      <x:c r="R1352" s="24" t="n">
        <x:f>IFERROR(F1352/H1352,0)</x:f>
        <x:v>0.09090909090909091</x:v>
      </x:c>
      <x:c r="S1352" s="24" t="n">
        <x:f>IFERROR(F1352/J1352,0)</x:f>
        <x:v>0.14285714285714285</x:v>
      </x:c>
      <x:c r="T1352" s="28" t="n">
        <x:f>H1352-I1352</x:f>
        <x:v>-5</x:v>
      </x:c>
      <x:c r="U1352" s="24" t="n">
        <x:f>IFERROR(J1352/H1352,0)-IFERROR(K1352/I1352,0)</x:f>
        <x:v>0.13636363636363635</x:v>
      </x:c>
      <x:c r="V1352" s="24" t="n">
        <x:f>IFERROR(F1352/J1352,0)-IFERROR(G1352/K1352,0)</x:f>
        <x:v>-0.48214285714285715</x:v>
      </x:c>
      <x:c r="W1352" s="28" t="n">
        <x:f>L1352-M1352</x:f>
        <x:v>-2</x:v>
      </x:c>
      <x:c r="X1352" s="24" t="n">
        <x:f>IFERROR(K1352/I1352,0)</x:f>
        <x:v>0.5</x:v>
      </x:c>
      <x:c r="Y1352" s="24" t="n">
        <x:f>IFERROR(G1352/I1352,0)</x:f>
        <x:v>0.3125</x:v>
      </x:c>
      <x:c r="Z1352" s="24" t="n">
        <x:f>IFERROR(G1352/K1352,0)</x:f>
        <x:v>0.625</x:v>
      </x:c>
      <x:c r="AA1352" s="24" t="n">
        <x:f>IFERROR(F1352/H1352,0)-IFERROR(G1352/I1352,0)</x:f>
        <x:v>-0.2215909090909091</x:v>
      </x:c>
      <x:c r="AB1352" s="28" t="n">
        <x:f>J1352-K1352</x:f>
        <x:v>-1</x:v>
      </x:c>
      <x:c r="AC1352" s="32" t="n">
        <x:f>F1352-G1352</x:f>
        <x:v>-4</x:v>
      </x:c>
    </x:row>
    <x:row r="1353">
      <x:c r="A1353" s="4" t="str">
        <x:v>2022-23</x:v>
      </x:c>
      <x:c r="B1353" s="20" t="n">
        <x:v>45025</x:v>
      </x:c>
      <x:c r="C1353" s="4" t="str">
        <x:v>Liverpool</x:v>
      </x:c>
      <x:c r="D1353" s="4" t="str">
        <x:v>Arsenal</x:v>
      </x:c>
      <x:c r="E1353" s="4" t="str">
        <x:v>Home</x:v>
      </x:c>
      <x:c r="F1353" s="28" t="n">
        <x:v>2</x:v>
      </x:c>
      <x:c r="G1353" s="28" t="n">
        <x:v>2</x:v>
      </x:c>
      <x:c r="H1353" s="28" t="n">
        <x:v>21</x:v>
      </x:c>
      <x:c r="I1353" s="28" t="n">
        <x:v>9</x:v>
      </x:c>
      <x:c r="J1353" s="28" t="n">
        <x:v>6</x:v>
      </x:c>
      <x:c r="K1353" s="28" t="n">
        <x:v>5</x:v>
      </x:c>
      <x:c r="L1353" s="28" t="n">
        <x:v>5</x:v>
      </x:c>
      <x:c r="M1353" s="28" t="n">
        <x:v>4</x:v>
      </x:c>
      <x:c r="N1353" s="28" t="n">
        <x:v>4</x:v>
      </x:c>
      <x:c r="O1353" s="28" t="n">
        <x:v>0</x:v>
      </x:c>
      <x:c r="P1353" s="28" t="n">
        <x:v>1</x:v>
      </x:c>
      <x:c r="Q1353" s="24" t="n">
        <x:f>IFERROR(J1353/H1353,0)</x:f>
        <x:v>0.2857142857142857</x:v>
      </x:c>
      <x:c r="R1353" s="24" t="n">
        <x:f>IFERROR(F1353/H1353,0)</x:f>
        <x:v>0.09523809523809523</x:v>
      </x:c>
      <x:c r="S1353" s="24" t="n">
        <x:f>IFERROR(F1353/J1353,0)</x:f>
        <x:v>0.3333333333333333</x:v>
      </x:c>
      <x:c r="T1353" s="28" t="n">
        <x:f>H1353-I1353</x:f>
        <x:v>12</x:v>
      </x:c>
      <x:c r="U1353" s="24" t="n">
        <x:f>IFERROR(J1353/H1353,0)-IFERROR(K1353/I1353,0)</x:f>
        <x:v>-0.2698412698412699</x:v>
      </x:c>
      <x:c r="V1353" s="24" t="n">
        <x:f>IFERROR(F1353/J1353,0)-IFERROR(G1353/K1353,0)</x:f>
        <x:v>-0.06666666666666671</x:v>
      </x:c>
      <x:c r="W1353" s="28" t="n">
        <x:f>L1353-M1353</x:f>
        <x:v>1</x:v>
      </x:c>
      <x:c r="X1353" s="24" t="n">
        <x:f>IFERROR(K1353/I1353,0)</x:f>
        <x:v>0.5555555555555556</x:v>
      </x:c>
      <x:c r="Y1353" s="24" t="n">
        <x:f>IFERROR(G1353/I1353,0)</x:f>
        <x:v>0.2222222222222222</x:v>
      </x:c>
      <x:c r="Z1353" s="24" t="n">
        <x:f>IFERROR(G1353/K1353,0)</x:f>
        <x:v>0.4</x:v>
      </x:c>
      <x:c r="AA1353" s="24" t="n">
        <x:f>IFERROR(F1353/H1353,0)-IFERROR(G1353/I1353,0)</x:f>
        <x:v>-0.12698412698412698</x:v>
      </x:c>
      <x:c r="AB1353" s="28" t="n">
        <x:f>J1353-K1353</x:f>
        <x:v>1</x:v>
      </x:c>
      <x:c r="AC1353" s="32" t="n">
        <x:f>F1353-G1353</x:f>
        <x:v>0</x:v>
      </x:c>
    </x:row>
    <x:row r="1354">
      <x:c r="A1354" s="4" t="str">
        <x:v>2022-23</x:v>
      </x:c>
      <x:c r="B1354" s="20" t="n">
        <x:v>45031</x:v>
      </x:c>
      <x:c r="C1354" s="4" t="str">
        <x:v>Aston Villa</x:v>
      </x:c>
      <x:c r="D1354" s="4" t="str">
        <x:v>Newcastle</x:v>
      </x:c>
      <x:c r="E1354" s="4" t="str">
        <x:v>Home</x:v>
      </x:c>
      <x:c r="F1354" s="28" t="n">
        <x:v>3</x:v>
      </x:c>
      <x:c r="G1354" s="28" t="n">
        <x:v>0</x:v>
      </x:c>
      <x:c r="H1354" s="28" t="n">
        <x:v>16</x:v>
      </x:c>
      <x:c r="I1354" s="28" t="n">
        <x:v>8</x:v>
      </x:c>
      <x:c r="J1354" s="28" t="n">
        <x:v>6</x:v>
      </x:c>
      <x:c r="K1354" s="28" t="n">
        <x:v>2</x:v>
      </x:c>
      <x:c r="L1354" s="28" t="n">
        <x:v>7</x:v>
      </x:c>
      <x:c r="M1354" s="28" t="n">
        <x:v>2</x:v>
      </x:c>
      <x:c r="N1354" s="28" t="n">
        <x:v>1</x:v>
      </x:c>
      <x:c r="O1354" s="28" t="n">
        <x:v>0</x:v>
      </x:c>
      <x:c r="P1354" s="28" t="n">
        <x:v>3</x:v>
      </x:c>
      <x:c r="Q1354" s="24" t="n">
        <x:f>IFERROR(J1354/H1354,0)</x:f>
        <x:v>0.375</x:v>
      </x:c>
      <x:c r="R1354" s="24" t="n">
        <x:f>IFERROR(F1354/H1354,0)</x:f>
        <x:v>0.1875</x:v>
      </x:c>
      <x:c r="S1354" s="24" t="n">
        <x:f>IFERROR(F1354/J1354,0)</x:f>
        <x:v>0.5</x:v>
      </x:c>
      <x:c r="T1354" s="28" t="n">
        <x:f>H1354-I1354</x:f>
        <x:v>8</x:v>
      </x:c>
      <x:c r="U1354" s="24" t="n">
        <x:f>IFERROR(J1354/H1354,0)-IFERROR(K1354/I1354,0)</x:f>
        <x:v>0.125</x:v>
      </x:c>
      <x:c r="V1354" s="24" t="n">
        <x:f>IFERROR(F1354/J1354,0)-IFERROR(G1354/K1354,0)</x:f>
        <x:v>0.5</x:v>
      </x:c>
      <x:c r="W1354" s="28" t="n">
        <x:f>L1354-M1354</x:f>
        <x:v>5</x:v>
      </x:c>
      <x:c r="X1354" s="24" t="n">
        <x:f>IFERROR(K1354/I1354,0)</x:f>
        <x:v>0.25</x:v>
      </x:c>
      <x:c r="Y1354" s="24" t="n">
        <x:f>IFERROR(G1354/I1354,0)</x:f>
        <x:v>0</x:v>
      </x:c>
      <x:c r="Z1354" s="24" t="n">
        <x:f>IFERROR(G1354/K1354,0)</x:f>
        <x:v>0</x:v>
      </x:c>
      <x:c r="AA1354" s="24" t="n">
        <x:f>IFERROR(F1354/H1354,0)-IFERROR(G1354/I1354,0)</x:f>
        <x:v>0.1875</x:v>
      </x:c>
      <x:c r="AB1354" s="28" t="n">
        <x:f>J1354-K1354</x:f>
        <x:v>4</x:v>
      </x:c>
      <x:c r="AC1354" s="32" t="n">
        <x:f>F1354-G1354</x:f>
        <x:v>3</x:v>
      </x:c>
    </x:row>
    <x:row r="1355">
      <x:c r="A1355" s="4" t="str">
        <x:v>2022-23</x:v>
      </x:c>
      <x:c r="B1355" s="20" t="n">
        <x:v>45031</x:v>
      </x:c>
      <x:c r="C1355" s="4" t="str">
        <x:v>Bournemouth</x:v>
      </x:c>
      <x:c r="D1355" s="4" t="str">
        <x:v>Tottenham</x:v>
      </x:c>
      <x:c r="E1355" s="4" t="str">
        <x:v>Away</x:v>
      </x:c>
      <x:c r="F1355" s="28" t="n">
        <x:v>3</x:v>
      </x:c>
      <x:c r="G1355" s="28" t="n">
        <x:v>2</x:v>
      </x:c>
      <x:c r="H1355" s="28" t="n">
        <x:v>6</x:v>
      </x:c>
      <x:c r="I1355" s="28" t="n">
        <x:v>24</x:v>
      </x:c>
      <x:c r="J1355" s="28" t="n">
        <x:v>6</x:v>
      </x:c>
      <x:c r="K1355" s="28" t="n">
        <x:v>8</x:v>
      </x:c>
      <x:c r="L1355" s="28" t="n">
        <x:v>1</x:v>
      </x:c>
      <x:c r="M1355" s="28" t="n">
        <x:v>8</x:v>
      </x:c>
      <x:c r="N1355" s="28" t="n">
        <x:v>2</x:v>
      </x:c>
      <x:c r="O1355" s="28" t="n">
        <x:v>0</x:v>
      </x:c>
      <x:c r="P1355" s="28" t="n">
        <x:v>3</x:v>
      </x:c>
      <x:c r="Q1355" s="24" t="n">
        <x:f>IFERROR(J1355/H1355,0)</x:f>
        <x:v>1</x:v>
      </x:c>
      <x:c r="R1355" s="24" t="n">
        <x:f>IFERROR(F1355/H1355,0)</x:f>
        <x:v>0.5</x:v>
      </x:c>
      <x:c r="S1355" s="24" t="n">
        <x:f>IFERROR(F1355/J1355,0)</x:f>
        <x:v>0.5</x:v>
      </x:c>
      <x:c r="T1355" s="28" t="n">
        <x:f>H1355-I1355</x:f>
        <x:v>-18</x:v>
      </x:c>
      <x:c r="U1355" s="24" t="n">
        <x:f>IFERROR(J1355/H1355,0)-IFERROR(K1355/I1355,0)</x:f>
        <x:v>0.6666666666666667</x:v>
      </x:c>
      <x:c r="V1355" s="24" t="n">
        <x:f>IFERROR(F1355/J1355,0)-IFERROR(G1355/K1355,0)</x:f>
        <x:v>0.25</x:v>
      </x:c>
      <x:c r="W1355" s="28" t="n">
        <x:f>L1355-M1355</x:f>
        <x:v>-7</x:v>
      </x:c>
      <x:c r="X1355" s="24" t="n">
        <x:f>IFERROR(K1355/I1355,0)</x:f>
        <x:v>0.3333333333333333</x:v>
      </x:c>
      <x:c r="Y1355" s="24" t="n">
        <x:f>IFERROR(G1355/I1355,0)</x:f>
        <x:v>0.08333333333333333</x:v>
      </x:c>
      <x:c r="Z1355" s="24" t="n">
        <x:f>IFERROR(G1355/K1355,0)</x:f>
        <x:v>0.25</x:v>
      </x:c>
      <x:c r="AA1355" s="24" t="n">
        <x:f>IFERROR(F1355/H1355,0)-IFERROR(G1355/I1355,0)</x:f>
        <x:v>0.4166666666666667</x:v>
      </x:c>
      <x:c r="AB1355" s="28" t="n">
        <x:f>J1355-K1355</x:f>
        <x:v>-2</x:v>
      </x:c>
      <x:c r="AC1355" s="32" t="n">
        <x:f>F1355-G1355</x:f>
        <x:v>1</x:v>
      </x:c>
    </x:row>
    <x:row r="1356">
      <x:c r="A1356" s="4" t="str">
        <x:v>2022-23</x:v>
      </x:c>
      <x:c r="B1356" s="20" t="n">
        <x:v>45031</x:v>
      </x:c>
      <x:c r="C1356" s="4" t="str">
        <x:v>Brentford</x:v>
      </x:c>
      <x:c r="D1356" s="4" t="str">
        <x:v>Wolves</x:v>
      </x:c>
      <x:c r="E1356" s="4" t="str">
        <x:v>Away</x:v>
      </x:c>
      <x:c r="F1356" s="28" t="n">
        <x:v>0</x:v>
      </x:c>
      <x:c r="G1356" s="28" t="n">
        <x:v>2</x:v>
      </x:c>
      <x:c r="H1356" s="28" t="n">
        <x:v>10</x:v>
      </x:c>
      <x:c r="I1356" s="28" t="n">
        <x:v>11</x:v>
      </x:c>
      <x:c r="J1356" s="28" t="n">
        <x:v>3</x:v>
      </x:c>
      <x:c r="K1356" s="28" t="n">
        <x:v>9</x:v>
      </x:c>
      <x:c r="L1356" s="28" t="n">
        <x:v>2</x:v>
      </x:c>
      <x:c r="M1356" s="28" t="n">
        <x:v>5</x:v>
      </x:c>
      <x:c r="N1356" s="28" t="n">
        <x:v>1</x:v>
      </x:c>
      <x:c r="O1356" s="28" t="n">
        <x:v>0</x:v>
      </x:c>
      <x:c r="P1356" s="28" t="n">
        <x:v>0</x:v>
      </x:c>
      <x:c r="Q1356" s="24" t="n">
        <x:f>IFERROR(J1356/H1356,0)</x:f>
        <x:v>0.3</x:v>
      </x:c>
      <x:c r="R1356" s="24" t="n">
        <x:f>IFERROR(F1356/H1356,0)</x:f>
        <x:v>0</x:v>
      </x:c>
      <x:c r="S1356" s="24" t="n">
        <x:f>IFERROR(F1356/J1356,0)</x:f>
        <x:v>0</x:v>
      </x:c>
      <x:c r="T1356" s="28" t="n">
        <x:f>H1356-I1356</x:f>
        <x:v>-1</x:v>
      </x:c>
      <x:c r="U1356" s="24" t="n">
        <x:f>IFERROR(J1356/H1356,0)-IFERROR(K1356/I1356,0)</x:f>
        <x:v>-0.5181818181818183</x:v>
      </x:c>
      <x:c r="V1356" s="24" t="n">
        <x:f>IFERROR(F1356/J1356,0)-IFERROR(G1356/K1356,0)</x:f>
        <x:v>-0.2222222222222222</x:v>
      </x:c>
      <x:c r="W1356" s="28" t="n">
        <x:f>L1356-M1356</x:f>
        <x:v>-3</x:v>
      </x:c>
      <x:c r="X1356" s="24" t="n">
        <x:f>IFERROR(K1356/I1356,0)</x:f>
        <x:v>0.8181818181818182</x:v>
      </x:c>
      <x:c r="Y1356" s="24" t="n">
        <x:f>IFERROR(G1356/I1356,0)</x:f>
        <x:v>0.18181818181818182</x:v>
      </x:c>
      <x:c r="Z1356" s="24" t="n">
        <x:f>IFERROR(G1356/K1356,0)</x:f>
        <x:v>0.2222222222222222</x:v>
      </x:c>
      <x:c r="AA1356" s="24" t="n">
        <x:f>IFERROR(F1356/H1356,0)-IFERROR(G1356/I1356,0)</x:f>
        <x:v>-0.18181818181818182</x:v>
      </x:c>
      <x:c r="AB1356" s="28" t="n">
        <x:f>J1356-K1356</x:f>
        <x:v>-6</x:v>
      </x:c>
      <x:c r="AC1356" s="32" t="n">
        <x:f>F1356-G1356</x:f>
        <x:v>-2</x:v>
      </x:c>
    </x:row>
    <x:row r="1357">
      <x:c r="A1357" s="4" t="str">
        <x:v>2022-23</x:v>
      </x:c>
      <x:c r="B1357" s="20" t="n">
        <x:v>45031</x:v>
      </x:c>
      <x:c r="C1357" s="4" t="str">
        <x:v>Brighton</x:v>
      </x:c>
      <x:c r="D1357" s="4" t="str">
        <x:v>Chelsea</x:v>
      </x:c>
      <x:c r="E1357" s="4" t="str">
        <x:v>Away</x:v>
      </x:c>
      <x:c r="F1357" s="28" t="n">
        <x:v>2</x:v>
      </x:c>
      <x:c r="G1357" s="28" t="n">
        <x:v>1</x:v>
      </x:c>
      <x:c r="H1357" s="28" t="n">
        <x:v>26</x:v>
      </x:c>
      <x:c r="I1357" s="28" t="n">
        <x:v>8</x:v>
      </x:c>
      <x:c r="J1357" s="28" t="n">
        <x:v>10</x:v>
      </x:c>
      <x:c r="K1357" s="28" t="n">
        <x:v>2</x:v>
      </x:c>
      <x:c r="L1357" s="28" t="n">
        <x:v>8</x:v>
      </x:c>
      <x:c r="M1357" s="28" t="n">
        <x:v>2</x:v>
      </x:c>
      <x:c r="N1357" s="28" t="n">
        <x:v>2</x:v>
      </x:c>
      <x:c r="O1357" s="28" t="n">
        <x:v>0</x:v>
      </x:c>
      <x:c r="P1357" s="28" t="n">
        <x:v>3</x:v>
      </x:c>
      <x:c r="Q1357" s="24" t="n">
        <x:f>IFERROR(J1357/H1357,0)</x:f>
        <x:v>0.38461538461538464</x:v>
      </x:c>
      <x:c r="R1357" s="24" t="n">
        <x:f>IFERROR(F1357/H1357,0)</x:f>
        <x:v>0.07692307692307693</x:v>
      </x:c>
      <x:c r="S1357" s="24" t="n">
        <x:f>IFERROR(F1357/J1357,0)</x:f>
        <x:v>0.2</x:v>
      </x:c>
      <x:c r="T1357" s="28" t="n">
        <x:f>H1357-I1357</x:f>
        <x:v>18</x:v>
      </x:c>
      <x:c r="U1357" s="24" t="n">
        <x:f>IFERROR(J1357/H1357,0)-IFERROR(K1357/I1357,0)</x:f>
        <x:v>0.13461538461538464</x:v>
      </x:c>
      <x:c r="V1357" s="24" t="n">
        <x:f>IFERROR(F1357/J1357,0)-IFERROR(G1357/K1357,0)</x:f>
        <x:v>-0.3</x:v>
      </x:c>
      <x:c r="W1357" s="28" t="n">
        <x:f>L1357-M1357</x:f>
        <x:v>6</x:v>
      </x:c>
      <x:c r="X1357" s="24" t="n">
        <x:f>IFERROR(K1357/I1357,0)</x:f>
        <x:v>0.25</x:v>
      </x:c>
      <x:c r="Y1357" s="24" t="n">
        <x:f>IFERROR(G1357/I1357,0)</x:f>
        <x:v>0.125</x:v>
      </x:c>
      <x:c r="Z1357" s="24" t="n">
        <x:f>IFERROR(G1357/K1357,0)</x:f>
        <x:v>0.5</x:v>
      </x:c>
      <x:c r="AA1357" s="24" t="n">
        <x:f>IFERROR(F1357/H1357,0)-IFERROR(G1357/I1357,0)</x:f>
        <x:v>-0.04807692307692307</x:v>
      </x:c>
      <x:c r="AB1357" s="28" t="n">
        <x:f>J1357-K1357</x:f>
        <x:v>8</x:v>
      </x:c>
      <x:c r="AC1357" s="32" t="n">
        <x:f>F1357-G1357</x:f>
        <x:v>1</x:v>
      </x:c>
    </x:row>
    <x:row r="1358">
      <x:c r="A1358" s="4" t="str">
        <x:v>2022-23</x:v>
      </x:c>
      <x:c r="B1358" s="20" t="n">
        <x:v>45031</x:v>
      </x:c>
      <x:c r="C1358" s="4" t="str">
        <x:v>Chelsea</x:v>
      </x:c>
      <x:c r="D1358" s="4" t="str">
        <x:v>Brighton</x:v>
      </x:c>
      <x:c r="E1358" s="4" t="str">
        <x:v>Home</x:v>
      </x:c>
      <x:c r="F1358" s="28" t="n">
        <x:v>1</x:v>
      </x:c>
      <x:c r="G1358" s="28" t="n">
        <x:v>2</x:v>
      </x:c>
      <x:c r="H1358" s="28" t="n">
        <x:v>8</x:v>
      </x:c>
      <x:c r="I1358" s="28" t="n">
        <x:v>26</x:v>
      </x:c>
      <x:c r="J1358" s="28" t="n">
        <x:v>2</x:v>
      </x:c>
      <x:c r="K1358" s="28" t="n">
        <x:v>10</x:v>
      </x:c>
      <x:c r="L1358" s="28" t="n">
        <x:v>2</x:v>
      </x:c>
      <x:c r="M1358" s="28" t="n">
        <x:v>8</x:v>
      </x:c>
      <x:c r="N1358" s="28" t="n">
        <x:v>2</x:v>
      </x:c>
      <x:c r="O1358" s="28" t="n">
        <x:v>0</x:v>
      </x:c>
      <x:c r="P1358" s="28" t="n">
        <x:v>0</x:v>
      </x:c>
      <x:c r="Q1358" s="24" t="n">
        <x:f>IFERROR(J1358/H1358,0)</x:f>
        <x:v>0.25</x:v>
      </x:c>
      <x:c r="R1358" s="24" t="n">
        <x:f>IFERROR(F1358/H1358,0)</x:f>
        <x:v>0.125</x:v>
      </x:c>
      <x:c r="S1358" s="24" t="n">
        <x:f>IFERROR(F1358/J1358,0)</x:f>
        <x:v>0.5</x:v>
      </x:c>
      <x:c r="T1358" s="28" t="n">
        <x:f>H1358-I1358</x:f>
        <x:v>-18</x:v>
      </x:c>
      <x:c r="U1358" s="24" t="n">
        <x:f>IFERROR(J1358/H1358,0)-IFERROR(K1358/I1358,0)</x:f>
        <x:v>-0.13461538461538464</x:v>
      </x:c>
      <x:c r="V1358" s="24" t="n">
        <x:f>IFERROR(F1358/J1358,0)-IFERROR(G1358/K1358,0)</x:f>
        <x:v>0.3</x:v>
      </x:c>
      <x:c r="W1358" s="28" t="n">
        <x:f>L1358-M1358</x:f>
        <x:v>-6</x:v>
      </x:c>
      <x:c r="X1358" s="24" t="n">
        <x:f>IFERROR(K1358/I1358,0)</x:f>
        <x:v>0.38461538461538464</x:v>
      </x:c>
      <x:c r="Y1358" s="24" t="n">
        <x:f>IFERROR(G1358/I1358,0)</x:f>
        <x:v>0.07692307692307693</x:v>
      </x:c>
      <x:c r="Z1358" s="24" t="n">
        <x:f>IFERROR(G1358/K1358,0)</x:f>
        <x:v>0.2</x:v>
      </x:c>
      <x:c r="AA1358" s="24" t="n">
        <x:f>IFERROR(F1358/H1358,0)-IFERROR(G1358/I1358,0)</x:f>
        <x:v>0.04807692307692307</x:v>
      </x:c>
      <x:c r="AB1358" s="28" t="n">
        <x:f>J1358-K1358</x:f>
        <x:v>-8</x:v>
      </x:c>
      <x:c r="AC1358" s="32" t="n">
        <x:f>F1358-G1358</x:f>
        <x:v>-1</x:v>
      </x:c>
    </x:row>
    <x:row r="1359">
      <x:c r="A1359" s="4" t="str">
        <x:v>2022-23</x:v>
      </x:c>
      <x:c r="B1359" s="20" t="n">
        <x:v>45031</x:v>
      </x:c>
      <x:c r="C1359" s="4" t="str">
        <x:v>Crystal Palace</x:v>
      </x:c>
      <x:c r="D1359" s="4" t="str">
        <x:v>Southampton</x:v>
      </x:c>
      <x:c r="E1359" s="4" t="str">
        <x:v>Away</x:v>
      </x:c>
      <x:c r="F1359" s="28" t="n">
        <x:v>2</x:v>
      </x:c>
      <x:c r="G1359" s="28" t="n">
        <x:v>0</x:v>
      </x:c>
      <x:c r="H1359" s="28" t="n">
        <x:v>9</x:v>
      </x:c>
      <x:c r="I1359" s="28" t="n">
        <x:v>11</x:v>
      </x:c>
      <x:c r="J1359" s="28" t="n">
        <x:v>2</x:v>
      </x:c>
      <x:c r="K1359" s="28" t="n">
        <x:v>4</x:v>
      </x:c>
      <x:c r="L1359" s="28" t="n">
        <x:v>2</x:v>
      </x:c>
      <x:c r="M1359" s="28" t="n">
        <x:v>6</x:v>
      </x:c>
      <x:c r="N1359" s="28" t="n">
        <x:v>1</x:v>
      </x:c>
      <x:c r="O1359" s="28" t="n">
        <x:v>0</x:v>
      </x:c>
      <x:c r="P1359" s="28" t="n">
        <x:v>3</x:v>
      </x:c>
      <x:c r="Q1359" s="24" t="n">
        <x:f>IFERROR(J1359/H1359,0)</x:f>
        <x:v>0.2222222222222222</x:v>
      </x:c>
      <x:c r="R1359" s="24" t="n">
        <x:f>IFERROR(F1359/H1359,0)</x:f>
        <x:v>0.2222222222222222</x:v>
      </x:c>
      <x:c r="S1359" s="24" t="n">
        <x:f>IFERROR(F1359/J1359,0)</x:f>
        <x:v>1</x:v>
      </x:c>
      <x:c r="T1359" s="28" t="n">
        <x:f>H1359-I1359</x:f>
        <x:v>-2</x:v>
      </x:c>
      <x:c r="U1359" s="24" t="n">
        <x:f>IFERROR(J1359/H1359,0)-IFERROR(K1359/I1359,0)</x:f>
        <x:v>-0.14141414141414144</x:v>
      </x:c>
      <x:c r="V1359" s="24" t="n">
        <x:f>IFERROR(F1359/J1359,0)-IFERROR(G1359/K1359,0)</x:f>
        <x:v>1</x:v>
      </x:c>
      <x:c r="W1359" s="28" t="n">
        <x:f>L1359-M1359</x:f>
        <x:v>-4</x:v>
      </x:c>
      <x:c r="X1359" s="24" t="n">
        <x:f>IFERROR(K1359/I1359,0)</x:f>
        <x:v>0.36363636363636365</x:v>
      </x:c>
      <x:c r="Y1359" s="24" t="n">
        <x:f>IFERROR(G1359/I1359,0)</x:f>
        <x:v>0</x:v>
      </x:c>
      <x:c r="Z1359" s="24" t="n">
        <x:f>IFERROR(G1359/K1359,0)</x:f>
        <x:v>0</x:v>
      </x:c>
      <x:c r="AA1359" s="24" t="n">
        <x:f>IFERROR(F1359/H1359,0)-IFERROR(G1359/I1359,0)</x:f>
        <x:v>0.2222222222222222</x:v>
      </x:c>
      <x:c r="AB1359" s="28" t="n">
        <x:f>J1359-K1359</x:f>
        <x:v>-2</x:v>
      </x:c>
      <x:c r="AC1359" s="32" t="n">
        <x:f>F1359-G1359</x:f>
        <x:v>2</x:v>
      </x:c>
    </x:row>
    <x:row r="1360">
      <x:c r="A1360" s="4" t="str">
        <x:v>2022-23</x:v>
      </x:c>
      <x:c r="B1360" s="20" t="n">
        <x:v>45031</x:v>
      </x:c>
      <x:c r="C1360" s="4" t="str">
        <x:v>Everton</x:v>
      </x:c>
      <x:c r="D1360" s="4" t="str">
        <x:v>Fulham</x:v>
      </x:c>
      <x:c r="E1360" s="4" t="str">
        <x:v>Home</x:v>
      </x:c>
      <x:c r="F1360" s="28" t="n">
        <x:v>1</x:v>
      </x:c>
      <x:c r="G1360" s="28" t="n">
        <x:v>3</x:v>
      </x:c>
      <x:c r="H1360" s="28" t="n">
        <x:v>15</x:v>
      </x:c>
      <x:c r="I1360" s="28" t="n">
        <x:v>21</x:v>
      </x:c>
      <x:c r="J1360" s="28" t="n">
        <x:v>7</x:v>
      </x:c>
      <x:c r="K1360" s="28" t="n">
        <x:v>7</x:v>
      </x:c>
      <x:c r="L1360" s="28" t="n">
        <x:v>4</x:v>
      </x:c>
      <x:c r="M1360" s="28" t="n">
        <x:v>8</x:v>
      </x:c>
      <x:c r="N1360" s="28" t="n">
        <x:v>3</x:v>
      </x:c>
      <x:c r="O1360" s="28" t="n">
        <x:v>0</x:v>
      </x:c>
      <x:c r="P1360" s="28" t="n">
        <x:v>0</x:v>
      </x:c>
      <x:c r="Q1360" s="24" t="n">
        <x:f>IFERROR(J1360/H1360,0)</x:f>
        <x:v>0.4666666666666667</x:v>
      </x:c>
      <x:c r="R1360" s="24" t="n">
        <x:f>IFERROR(F1360/H1360,0)</x:f>
        <x:v>0.06666666666666667</x:v>
      </x:c>
      <x:c r="S1360" s="24" t="n">
        <x:f>IFERROR(F1360/J1360,0)</x:f>
        <x:v>0.14285714285714285</x:v>
      </x:c>
      <x:c r="T1360" s="28" t="n">
        <x:f>H1360-I1360</x:f>
        <x:v>-6</x:v>
      </x:c>
      <x:c r="U1360" s="24" t="n">
        <x:f>IFERROR(J1360/H1360,0)-IFERROR(K1360/I1360,0)</x:f>
        <x:v>0.13333333333333336</x:v>
      </x:c>
      <x:c r="V1360" s="24" t="n">
        <x:f>IFERROR(F1360/J1360,0)-IFERROR(G1360/K1360,0)</x:f>
        <x:v>-0.2857142857142857</x:v>
      </x:c>
      <x:c r="W1360" s="28" t="n">
        <x:f>L1360-M1360</x:f>
        <x:v>-4</x:v>
      </x:c>
      <x:c r="X1360" s="24" t="n">
        <x:f>IFERROR(K1360/I1360,0)</x:f>
        <x:v>0.3333333333333333</x:v>
      </x:c>
      <x:c r="Y1360" s="24" t="n">
        <x:f>IFERROR(G1360/I1360,0)</x:f>
        <x:v>0.14285714285714285</x:v>
      </x:c>
      <x:c r="Z1360" s="24" t="n">
        <x:f>IFERROR(G1360/K1360,0)</x:f>
        <x:v>0.42857142857142855</x:v>
      </x:c>
      <x:c r="AA1360" s="24" t="n">
        <x:f>IFERROR(F1360/H1360,0)-IFERROR(G1360/I1360,0)</x:f>
        <x:v>-0.07619047619047618</x:v>
      </x:c>
      <x:c r="AB1360" s="28" t="n">
        <x:f>J1360-K1360</x:f>
        <x:v>0</x:v>
      </x:c>
      <x:c r="AC1360" s="32" t="n">
        <x:f>F1360-G1360</x:f>
        <x:v>-2</x:v>
      </x:c>
    </x:row>
    <x:row r="1361">
      <x:c r="A1361" s="4" t="str">
        <x:v>2022-23</x:v>
      </x:c>
      <x:c r="B1361" s="20" t="n">
        <x:v>45031</x:v>
      </x:c>
      <x:c r="C1361" s="4" t="str">
        <x:v>Fulham</x:v>
      </x:c>
      <x:c r="D1361" s="4" t="str">
        <x:v>Everton</x:v>
      </x:c>
      <x:c r="E1361" s="4" t="str">
        <x:v>Away</x:v>
      </x:c>
      <x:c r="F1361" s="28" t="n">
        <x:v>3</x:v>
      </x:c>
      <x:c r="G1361" s="28" t="n">
        <x:v>1</x:v>
      </x:c>
      <x:c r="H1361" s="28" t="n">
        <x:v>21</x:v>
      </x:c>
      <x:c r="I1361" s="28" t="n">
        <x:v>15</x:v>
      </x:c>
      <x:c r="J1361" s="28" t="n">
        <x:v>7</x:v>
      </x:c>
      <x:c r="K1361" s="28" t="n">
        <x:v>7</x:v>
      </x:c>
      <x:c r="L1361" s="28" t="n">
        <x:v>8</x:v>
      </x:c>
      <x:c r="M1361" s="28" t="n">
        <x:v>4</x:v>
      </x:c>
      <x:c r="N1361" s="28" t="n">
        <x:v>2</x:v>
      </x:c>
      <x:c r="O1361" s="28" t="n">
        <x:v>0</x:v>
      </x:c>
      <x:c r="P1361" s="28" t="n">
        <x:v>3</x:v>
      </x:c>
      <x:c r="Q1361" s="24" t="n">
        <x:f>IFERROR(J1361/H1361,0)</x:f>
        <x:v>0.3333333333333333</x:v>
      </x:c>
      <x:c r="R1361" s="24" t="n">
        <x:f>IFERROR(F1361/H1361,0)</x:f>
        <x:v>0.14285714285714285</x:v>
      </x:c>
      <x:c r="S1361" s="24" t="n">
        <x:f>IFERROR(F1361/J1361,0)</x:f>
        <x:v>0.42857142857142855</x:v>
      </x:c>
      <x:c r="T1361" s="28" t="n">
        <x:f>H1361-I1361</x:f>
        <x:v>6</x:v>
      </x:c>
      <x:c r="U1361" s="24" t="n">
        <x:f>IFERROR(J1361/H1361,0)-IFERROR(K1361/I1361,0)</x:f>
        <x:v>-0.13333333333333336</x:v>
      </x:c>
      <x:c r="V1361" s="24" t="n">
        <x:f>IFERROR(F1361/J1361,0)-IFERROR(G1361/K1361,0)</x:f>
        <x:v>0.2857142857142857</x:v>
      </x:c>
      <x:c r="W1361" s="28" t="n">
        <x:f>L1361-M1361</x:f>
        <x:v>4</x:v>
      </x:c>
      <x:c r="X1361" s="24" t="n">
        <x:f>IFERROR(K1361/I1361,0)</x:f>
        <x:v>0.4666666666666667</x:v>
      </x:c>
      <x:c r="Y1361" s="24" t="n">
        <x:f>IFERROR(G1361/I1361,0)</x:f>
        <x:v>0.06666666666666667</x:v>
      </x:c>
      <x:c r="Z1361" s="24" t="n">
        <x:f>IFERROR(G1361/K1361,0)</x:f>
        <x:v>0.14285714285714285</x:v>
      </x:c>
      <x:c r="AA1361" s="24" t="n">
        <x:f>IFERROR(F1361/H1361,0)-IFERROR(G1361/I1361,0)</x:f>
        <x:v>0.07619047619047618</x:v>
      </x:c>
      <x:c r="AB1361" s="28" t="n">
        <x:f>J1361-K1361</x:f>
        <x:v>0</x:v>
      </x:c>
      <x:c r="AC1361" s="32" t="n">
        <x:f>F1361-G1361</x:f>
        <x:v>2</x:v>
      </x:c>
    </x:row>
    <x:row r="1362">
      <x:c r="A1362" s="4" t="str">
        <x:v>2022-23</x:v>
      </x:c>
      <x:c r="B1362" s="20" t="n">
        <x:v>45031</x:v>
      </x:c>
      <x:c r="C1362" s="4" t="str">
        <x:v>Leicester</x:v>
      </x:c>
      <x:c r="D1362" s="4" t="str">
        <x:v>Man City</x:v>
      </x:c>
      <x:c r="E1362" s="4" t="str">
        <x:v>Away</x:v>
      </x:c>
      <x:c r="F1362" s="28" t="n">
        <x:v>1</x:v>
      </x:c>
      <x:c r="G1362" s="28" t="n">
        <x:v>3</x:v>
      </x:c>
      <x:c r="H1362" s="28" t="n">
        <x:v>10</x:v>
      </x:c>
      <x:c r="I1362" s="28" t="n">
        <x:v>12</x:v>
      </x:c>
      <x:c r="J1362" s="28" t="n">
        <x:v>4</x:v>
      </x:c>
      <x:c r="K1362" s="28" t="n">
        <x:v>4</x:v>
      </x:c>
      <x:c r="L1362" s="28" t="n">
        <x:v>2</x:v>
      </x:c>
      <x:c r="M1362" s="28" t="n">
        <x:v>6</x:v>
      </x:c>
      <x:c r="N1362" s="28" t="n">
        <x:v>1</x:v>
      </x:c>
      <x:c r="O1362" s="28" t="n">
        <x:v>0</x:v>
      </x:c>
      <x:c r="P1362" s="28" t="n">
        <x:v>0</x:v>
      </x:c>
      <x:c r="Q1362" s="24" t="n">
        <x:f>IFERROR(J1362/H1362,0)</x:f>
        <x:v>0.4</x:v>
      </x:c>
      <x:c r="R1362" s="24" t="n">
        <x:f>IFERROR(F1362/H1362,0)</x:f>
        <x:v>0.1</x:v>
      </x:c>
      <x:c r="S1362" s="24" t="n">
        <x:f>IFERROR(F1362/J1362,0)</x:f>
        <x:v>0.25</x:v>
      </x:c>
      <x:c r="T1362" s="28" t="n">
        <x:f>H1362-I1362</x:f>
        <x:v>-2</x:v>
      </x:c>
      <x:c r="U1362" s="24" t="n">
        <x:f>IFERROR(J1362/H1362,0)-IFERROR(K1362/I1362,0)</x:f>
        <x:v>0.06666666666666671</x:v>
      </x:c>
      <x:c r="V1362" s="24" t="n">
        <x:f>IFERROR(F1362/J1362,0)-IFERROR(G1362/K1362,0)</x:f>
        <x:v>-0.5</x:v>
      </x:c>
      <x:c r="W1362" s="28" t="n">
        <x:f>L1362-M1362</x:f>
        <x:v>-4</x:v>
      </x:c>
      <x:c r="X1362" s="24" t="n">
        <x:f>IFERROR(K1362/I1362,0)</x:f>
        <x:v>0.3333333333333333</x:v>
      </x:c>
      <x:c r="Y1362" s="24" t="n">
        <x:f>IFERROR(G1362/I1362,0)</x:f>
        <x:v>0.25</x:v>
      </x:c>
      <x:c r="Z1362" s="24" t="n">
        <x:f>IFERROR(G1362/K1362,0)</x:f>
        <x:v>0.75</x:v>
      </x:c>
      <x:c r="AA1362" s="24" t="n">
        <x:f>IFERROR(F1362/H1362,0)-IFERROR(G1362/I1362,0)</x:f>
        <x:v>-0.15</x:v>
      </x:c>
      <x:c r="AB1362" s="28" t="n">
        <x:f>J1362-K1362</x:f>
        <x:v>0</x:v>
      </x:c>
      <x:c r="AC1362" s="32" t="n">
        <x:f>F1362-G1362</x:f>
        <x:v>-2</x:v>
      </x:c>
    </x:row>
    <x:row r="1363">
      <x:c r="A1363" s="4" t="str">
        <x:v>2022-23</x:v>
      </x:c>
      <x:c r="B1363" s="20" t="n">
        <x:v>45031</x:v>
      </x:c>
      <x:c r="C1363" s="4" t="str">
        <x:v>Man City</x:v>
      </x:c>
      <x:c r="D1363" s="4" t="str">
        <x:v>Leicester</x:v>
      </x:c>
      <x:c r="E1363" s="4" t="str">
        <x:v>Home</x:v>
      </x:c>
      <x:c r="F1363" s="28" t="n">
        <x:v>3</x:v>
      </x:c>
      <x:c r="G1363" s="28" t="n">
        <x:v>1</x:v>
      </x:c>
      <x:c r="H1363" s="28" t="n">
        <x:v>12</x:v>
      </x:c>
      <x:c r="I1363" s="28" t="n">
        <x:v>10</x:v>
      </x:c>
      <x:c r="J1363" s="28" t="n">
        <x:v>4</x:v>
      </x:c>
      <x:c r="K1363" s="28" t="n">
        <x:v>4</x:v>
      </x:c>
      <x:c r="L1363" s="28" t="n">
        <x:v>6</x:v>
      </x:c>
      <x:c r="M1363" s="28" t="n">
        <x:v>2</x:v>
      </x:c>
      <x:c r="N1363" s="28" t="n">
        <x:v>1</x:v>
      </x:c>
      <x:c r="O1363" s="28" t="n">
        <x:v>0</x:v>
      </x:c>
      <x:c r="P1363" s="28" t="n">
        <x:v>3</x:v>
      </x:c>
      <x:c r="Q1363" s="24" t="n">
        <x:f>IFERROR(J1363/H1363,0)</x:f>
        <x:v>0.3333333333333333</x:v>
      </x:c>
      <x:c r="R1363" s="24" t="n">
        <x:f>IFERROR(F1363/H1363,0)</x:f>
        <x:v>0.25</x:v>
      </x:c>
      <x:c r="S1363" s="24" t="n">
        <x:f>IFERROR(F1363/J1363,0)</x:f>
        <x:v>0.75</x:v>
      </x:c>
      <x:c r="T1363" s="28" t="n">
        <x:f>H1363-I1363</x:f>
        <x:v>2</x:v>
      </x:c>
      <x:c r="U1363" s="24" t="n">
        <x:f>IFERROR(J1363/H1363,0)-IFERROR(K1363/I1363,0)</x:f>
        <x:v>-0.06666666666666671</x:v>
      </x:c>
      <x:c r="V1363" s="24" t="n">
        <x:f>IFERROR(F1363/J1363,0)-IFERROR(G1363/K1363,0)</x:f>
        <x:v>0.5</x:v>
      </x:c>
      <x:c r="W1363" s="28" t="n">
        <x:f>L1363-M1363</x:f>
        <x:v>4</x:v>
      </x:c>
      <x:c r="X1363" s="24" t="n">
        <x:f>IFERROR(K1363/I1363,0)</x:f>
        <x:v>0.4</x:v>
      </x:c>
      <x:c r="Y1363" s="24" t="n">
        <x:f>IFERROR(G1363/I1363,0)</x:f>
        <x:v>0.1</x:v>
      </x:c>
      <x:c r="Z1363" s="24" t="n">
        <x:f>IFERROR(G1363/K1363,0)</x:f>
        <x:v>0.25</x:v>
      </x:c>
      <x:c r="AA1363" s="24" t="n">
        <x:f>IFERROR(F1363/H1363,0)-IFERROR(G1363/I1363,0)</x:f>
        <x:v>0.15</x:v>
      </x:c>
      <x:c r="AB1363" s="28" t="n">
        <x:f>J1363-K1363</x:f>
        <x:v>0</x:v>
      </x:c>
      <x:c r="AC1363" s="32" t="n">
        <x:f>F1363-G1363</x:f>
        <x:v>2</x:v>
      </x:c>
    </x:row>
    <x:row r="1364">
      <x:c r="A1364" s="4" t="str">
        <x:v>2022-23</x:v>
      </x:c>
      <x:c r="B1364" s="20" t="n">
        <x:v>45031</x:v>
      </x:c>
      <x:c r="C1364" s="4" t="str">
        <x:v>Newcastle</x:v>
      </x:c>
      <x:c r="D1364" s="4" t="str">
        <x:v>Aston Villa</x:v>
      </x:c>
      <x:c r="E1364" s="4" t="str">
        <x:v>Away</x:v>
      </x:c>
      <x:c r="F1364" s="28" t="n">
        <x:v>0</x:v>
      </x:c>
      <x:c r="G1364" s="28" t="n">
        <x:v>3</x:v>
      </x:c>
      <x:c r="H1364" s="28" t="n">
        <x:v>8</x:v>
      </x:c>
      <x:c r="I1364" s="28" t="n">
        <x:v>16</x:v>
      </x:c>
      <x:c r="J1364" s="28" t="n">
        <x:v>2</x:v>
      </x:c>
      <x:c r="K1364" s="28" t="n">
        <x:v>6</x:v>
      </x:c>
      <x:c r="L1364" s="28" t="n">
        <x:v>2</x:v>
      </x:c>
      <x:c r="M1364" s="28" t="n">
        <x:v>7</x:v>
      </x:c>
      <x:c r="N1364" s="28" t="n">
        <x:v>1</x:v>
      </x:c>
      <x:c r="O1364" s="28" t="n">
        <x:v>0</x:v>
      </x:c>
      <x:c r="P1364" s="28" t="n">
        <x:v>0</x:v>
      </x:c>
      <x:c r="Q1364" s="24" t="n">
        <x:f>IFERROR(J1364/H1364,0)</x:f>
        <x:v>0.25</x:v>
      </x:c>
      <x:c r="R1364" s="24" t="n">
        <x:f>IFERROR(F1364/H1364,0)</x:f>
        <x:v>0</x:v>
      </x:c>
      <x:c r="S1364" s="24" t="n">
        <x:f>IFERROR(F1364/J1364,0)</x:f>
        <x:v>0</x:v>
      </x:c>
      <x:c r="T1364" s="28" t="n">
        <x:f>H1364-I1364</x:f>
        <x:v>-8</x:v>
      </x:c>
      <x:c r="U1364" s="24" t="n">
        <x:f>IFERROR(J1364/H1364,0)-IFERROR(K1364/I1364,0)</x:f>
        <x:v>-0.125</x:v>
      </x:c>
      <x:c r="V1364" s="24" t="n">
        <x:f>IFERROR(F1364/J1364,0)-IFERROR(G1364/K1364,0)</x:f>
        <x:v>-0.5</x:v>
      </x:c>
      <x:c r="W1364" s="28" t="n">
        <x:f>L1364-M1364</x:f>
        <x:v>-5</x:v>
      </x:c>
      <x:c r="X1364" s="24" t="n">
        <x:f>IFERROR(K1364/I1364,0)</x:f>
        <x:v>0.375</x:v>
      </x:c>
      <x:c r="Y1364" s="24" t="n">
        <x:f>IFERROR(G1364/I1364,0)</x:f>
        <x:v>0.1875</x:v>
      </x:c>
      <x:c r="Z1364" s="24" t="n">
        <x:f>IFERROR(G1364/K1364,0)</x:f>
        <x:v>0.5</x:v>
      </x:c>
      <x:c r="AA1364" s="24" t="n">
        <x:f>IFERROR(F1364/H1364,0)-IFERROR(G1364/I1364,0)</x:f>
        <x:v>-0.1875</x:v>
      </x:c>
      <x:c r="AB1364" s="28" t="n">
        <x:f>J1364-K1364</x:f>
        <x:v>-4</x:v>
      </x:c>
      <x:c r="AC1364" s="32" t="n">
        <x:f>F1364-G1364</x:f>
        <x:v>-3</x:v>
      </x:c>
    </x:row>
    <x:row r="1365">
      <x:c r="A1365" s="4" t="str">
        <x:v>2022-23</x:v>
      </x:c>
      <x:c r="B1365" s="20" t="n">
        <x:v>45031</x:v>
      </x:c>
      <x:c r="C1365" s="4" t="str">
        <x:v>Southampton</x:v>
      </x:c>
      <x:c r="D1365" s="4" t="str">
        <x:v>Crystal Palace</x:v>
      </x:c>
      <x:c r="E1365" s="4" t="str">
        <x:v>Home</x:v>
      </x:c>
      <x:c r="F1365" s="28" t="n">
        <x:v>0</x:v>
      </x:c>
      <x:c r="G1365" s="28" t="n">
        <x:v>2</x:v>
      </x:c>
      <x:c r="H1365" s="28" t="n">
        <x:v>11</x:v>
      </x:c>
      <x:c r="I1365" s="28" t="n">
        <x:v>9</x:v>
      </x:c>
      <x:c r="J1365" s="28" t="n">
        <x:v>4</x:v>
      </x:c>
      <x:c r="K1365" s="28" t="n">
        <x:v>2</x:v>
      </x:c>
      <x:c r="L1365" s="28" t="n">
        <x:v>6</x:v>
      </x:c>
      <x:c r="M1365" s="28" t="n">
        <x:v>2</x:v>
      </x:c>
      <x:c r="N1365" s="28" t="n">
        <x:v>3</x:v>
      </x:c>
      <x:c r="O1365" s="28" t="n">
        <x:v>0</x:v>
      </x:c>
      <x:c r="P1365" s="28" t="n">
        <x:v>0</x:v>
      </x:c>
      <x:c r="Q1365" s="24" t="n">
        <x:f>IFERROR(J1365/H1365,0)</x:f>
        <x:v>0.36363636363636365</x:v>
      </x:c>
      <x:c r="R1365" s="24" t="n">
        <x:f>IFERROR(F1365/H1365,0)</x:f>
        <x:v>0</x:v>
      </x:c>
      <x:c r="S1365" s="24" t="n">
        <x:f>IFERROR(F1365/J1365,0)</x:f>
        <x:v>0</x:v>
      </x:c>
      <x:c r="T1365" s="28" t="n">
        <x:f>H1365-I1365</x:f>
        <x:v>2</x:v>
      </x:c>
      <x:c r="U1365" s="24" t="n">
        <x:f>IFERROR(J1365/H1365,0)-IFERROR(K1365/I1365,0)</x:f>
        <x:v>0.14141414141414144</x:v>
      </x:c>
      <x:c r="V1365" s="24" t="n">
        <x:f>IFERROR(F1365/J1365,0)-IFERROR(G1365/K1365,0)</x:f>
        <x:v>-1</x:v>
      </x:c>
      <x:c r="W1365" s="28" t="n">
        <x:f>L1365-M1365</x:f>
        <x:v>4</x:v>
      </x:c>
      <x:c r="X1365" s="24" t="n">
        <x:f>IFERROR(K1365/I1365,0)</x:f>
        <x:v>0.2222222222222222</x:v>
      </x:c>
      <x:c r="Y1365" s="24" t="n">
        <x:f>IFERROR(G1365/I1365,0)</x:f>
        <x:v>0.2222222222222222</x:v>
      </x:c>
      <x:c r="Z1365" s="24" t="n">
        <x:f>IFERROR(G1365/K1365,0)</x:f>
        <x:v>1</x:v>
      </x:c>
      <x:c r="AA1365" s="24" t="n">
        <x:f>IFERROR(F1365/H1365,0)-IFERROR(G1365/I1365,0)</x:f>
        <x:v>-0.2222222222222222</x:v>
      </x:c>
      <x:c r="AB1365" s="28" t="n">
        <x:f>J1365-K1365</x:f>
        <x:v>2</x:v>
      </x:c>
      <x:c r="AC1365" s="32" t="n">
        <x:f>F1365-G1365</x:f>
        <x:v>-2</x:v>
      </x:c>
    </x:row>
    <x:row r="1366">
      <x:c r="A1366" s="4" t="str">
        <x:v>2022-23</x:v>
      </x:c>
      <x:c r="B1366" s="20" t="n">
        <x:v>45031</x:v>
      </x:c>
      <x:c r="C1366" s="4" t="str">
        <x:v>Tottenham</x:v>
      </x:c>
      <x:c r="D1366" s="4" t="str">
        <x:v>Bournemouth</x:v>
      </x:c>
      <x:c r="E1366" s="4" t="str">
        <x:v>Home</x:v>
      </x:c>
      <x:c r="F1366" s="28" t="n">
        <x:v>2</x:v>
      </x:c>
      <x:c r="G1366" s="28" t="n">
        <x:v>3</x:v>
      </x:c>
      <x:c r="H1366" s="28" t="n">
        <x:v>24</x:v>
      </x:c>
      <x:c r="I1366" s="28" t="n">
        <x:v>6</x:v>
      </x:c>
      <x:c r="J1366" s="28" t="n">
        <x:v>8</x:v>
      </x:c>
      <x:c r="K1366" s="28" t="n">
        <x:v>6</x:v>
      </x:c>
      <x:c r="L1366" s="28" t="n">
        <x:v>8</x:v>
      </x:c>
      <x:c r="M1366" s="28" t="n">
        <x:v>1</x:v>
      </x:c>
      <x:c r="N1366" s="28" t="n">
        <x:v>1</x:v>
      </x:c>
      <x:c r="O1366" s="28" t="n">
        <x:v>0</x:v>
      </x:c>
      <x:c r="P1366" s="28" t="n">
        <x:v>0</x:v>
      </x:c>
      <x:c r="Q1366" s="24" t="n">
        <x:f>IFERROR(J1366/H1366,0)</x:f>
        <x:v>0.3333333333333333</x:v>
      </x:c>
      <x:c r="R1366" s="24" t="n">
        <x:f>IFERROR(F1366/H1366,0)</x:f>
        <x:v>0.08333333333333333</x:v>
      </x:c>
      <x:c r="S1366" s="24" t="n">
        <x:f>IFERROR(F1366/J1366,0)</x:f>
        <x:v>0.25</x:v>
      </x:c>
      <x:c r="T1366" s="28" t="n">
        <x:f>H1366-I1366</x:f>
        <x:v>18</x:v>
      </x:c>
      <x:c r="U1366" s="24" t="n">
        <x:f>IFERROR(J1366/H1366,0)-IFERROR(K1366/I1366,0)</x:f>
        <x:v>-0.6666666666666667</x:v>
      </x:c>
      <x:c r="V1366" s="24" t="n">
        <x:f>IFERROR(F1366/J1366,0)-IFERROR(G1366/K1366,0)</x:f>
        <x:v>-0.25</x:v>
      </x:c>
      <x:c r="W1366" s="28" t="n">
        <x:f>L1366-M1366</x:f>
        <x:v>7</x:v>
      </x:c>
      <x:c r="X1366" s="24" t="n">
        <x:f>IFERROR(K1366/I1366,0)</x:f>
        <x:v>1</x:v>
      </x:c>
      <x:c r="Y1366" s="24" t="n">
        <x:f>IFERROR(G1366/I1366,0)</x:f>
        <x:v>0.5</x:v>
      </x:c>
      <x:c r="Z1366" s="24" t="n">
        <x:f>IFERROR(G1366/K1366,0)</x:f>
        <x:v>0.5</x:v>
      </x:c>
      <x:c r="AA1366" s="24" t="n">
        <x:f>IFERROR(F1366/H1366,0)-IFERROR(G1366/I1366,0)</x:f>
        <x:v>-0.4166666666666667</x:v>
      </x:c>
      <x:c r="AB1366" s="28" t="n">
        <x:f>J1366-K1366</x:f>
        <x:v>2</x:v>
      </x:c>
      <x:c r="AC1366" s="32" t="n">
        <x:f>F1366-G1366</x:f>
        <x:v>-1</x:v>
      </x:c>
    </x:row>
    <x:row r="1367">
      <x:c r="A1367" s="4" t="str">
        <x:v>2022-23</x:v>
      </x:c>
      <x:c r="B1367" s="20" t="n">
        <x:v>45031</x:v>
      </x:c>
      <x:c r="C1367" s="4" t="str">
        <x:v>Wolves</x:v>
      </x:c>
      <x:c r="D1367" s="4" t="str">
        <x:v>Brentford</x:v>
      </x:c>
      <x:c r="E1367" s="4" t="str">
        <x:v>Home</x:v>
      </x:c>
      <x:c r="F1367" s="28" t="n">
        <x:v>2</x:v>
      </x:c>
      <x:c r="G1367" s="28" t="n">
        <x:v>0</x:v>
      </x:c>
      <x:c r="H1367" s="28" t="n">
        <x:v>11</x:v>
      </x:c>
      <x:c r="I1367" s="28" t="n">
        <x:v>10</x:v>
      </x:c>
      <x:c r="J1367" s="28" t="n">
        <x:v>9</x:v>
      </x:c>
      <x:c r="K1367" s="28" t="n">
        <x:v>3</x:v>
      </x:c>
      <x:c r="L1367" s="28" t="n">
        <x:v>5</x:v>
      </x:c>
      <x:c r="M1367" s="28" t="n">
        <x:v>2</x:v>
      </x:c>
      <x:c r="N1367" s="28" t="n">
        <x:v>1</x:v>
      </x:c>
      <x:c r="O1367" s="28" t="n">
        <x:v>0</x:v>
      </x:c>
      <x:c r="P1367" s="28" t="n">
        <x:v>3</x:v>
      </x:c>
      <x:c r="Q1367" s="24" t="n">
        <x:f>IFERROR(J1367/H1367,0)</x:f>
        <x:v>0.8181818181818182</x:v>
      </x:c>
      <x:c r="R1367" s="24" t="n">
        <x:f>IFERROR(F1367/H1367,0)</x:f>
        <x:v>0.18181818181818182</x:v>
      </x:c>
      <x:c r="S1367" s="24" t="n">
        <x:f>IFERROR(F1367/J1367,0)</x:f>
        <x:v>0.2222222222222222</x:v>
      </x:c>
      <x:c r="T1367" s="28" t="n">
        <x:f>H1367-I1367</x:f>
        <x:v>1</x:v>
      </x:c>
      <x:c r="U1367" s="24" t="n">
        <x:f>IFERROR(J1367/H1367,0)-IFERROR(K1367/I1367,0)</x:f>
        <x:v>0.5181818181818183</x:v>
      </x:c>
      <x:c r="V1367" s="24" t="n">
        <x:f>IFERROR(F1367/J1367,0)-IFERROR(G1367/K1367,0)</x:f>
        <x:v>0.2222222222222222</x:v>
      </x:c>
      <x:c r="W1367" s="28" t="n">
        <x:f>L1367-M1367</x:f>
        <x:v>3</x:v>
      </x:c>
      <x:c r="X1367" s="24" t="n">
        <x:f>IFERROR(K1367/I1367,0)</x:f>
        <x:v>0.3</x:v>
      </x:c>
      <x:c r="Y1367" s="24" t="n">
        <x:f>IFERROR(G1367/I1367,0)</x:f>
        <x:v>0</x:v>
      </x:c>
      <x:c r="Z1367" s="24" t="n">
        <x:f>IFERROR(G1367/K1367,0)</x:f>
        <x:v>0</x:v>
      </x:c>
      <x:c r="AA1367" s="24" t="n">
        <x:f>IFERROR(F1367/H1367,0)-IFERROR(G1367/I1367,0)</x:f>
        <x:v>0.18181818181818182</x:v>
      </x:c>
      <x:c r="AB1367" s="28" t="n">
        <x:f>J1367-K1367</x:f>
        <x:v>6</x:v>
      </x:c>
      <x:c r="AC1367" s="32" t="n">
        <x:f>F1367-G1367</x:f>
        <x:v>2</x:v>
      </x:c>
    </x:row>
    <x:row r="1368">
      <x:c r="A1368" s="4" t="str">
        <x:v>2022-23</x:v>
      </x:c>
      <x:c r="B1368" s="20" t="n">
        <x:v>45032</x:v>
      </x:c>
      <x:c r="C1368" s="4" t="str">
        <x:v>Arsenal</x:v>
      </x:c>
      <x:c r="D1368" s="4" t="str">
        <x:v>West Ham</x:v>
      </x:c>
      <x:c r="E1368" s="4" t="str">
        <x:v>Away</x:v>
      </x:c>
      <x:c r="F1368" s="28" t="n">
        <x:v>2</x:v>
      </x:c>
      <x:c r="G1368" s="28" t="n">
        <x:v>2</x:v>
      </x:c>
      <x:c r="H1368" s="28" t="n">
        <x:v>11</x:v>
      </x:c>
      <x:c r="I1368" s="28" t="n">
        <x:v>16</x:v>
      </x:c>
      <x:c r="J1368" s="28" t="n">
        <x:v>5</x:v>
      </x:c>
      <x:c r="K1368" s="28" t="n">
        <x:v>3</x:v>
      </x:c>
      <x:c r="L1368" s="28" t="n">
        <x:v>2</x:v>
      </x:c>
      <x:c r="M1368" s="28" t="n">
        <x:v>7</x:v>
      </x:c>
      <x:c r="N1368" s="28" t="n">
        <x:v>2</x:v>
      </x:c>
      <x:c r="O1368" s="28" t="n">
        <x:v>0</x:v>
      </x:c>
      <x:c r="P1368" s="28" t="n">
        <x:v>1</x:v>
      </x:c>
      <x:c r="Q1368" s="24" t="n">
        <x:f>IFERROR(J1368/H1368,0)</x:f>
        <x:v>0.45454545454545453</x:v>
      </x:c>
      <x:c r="R1368" s="24" t="n">
        <x:f>IFERROR(F1368/H1368,0)</x:f>
        <x:v>0.18181818181818182</x:v>
      </x:c>
      <x:c r="S1368" s="24" t="n">
        <x:f>IFERROR(F1368/J1368,0)</x:f>
        <x:v>0.4</x:v>
      </x:c>
      <x:c r="T1368" s="28" t="n">
        <x:f>H1368-I1368</x:f>
        <x:v>-5</x:v>
      </x:c>
      <x:c r="U1368" s="24" t="n">
        <x:f>IFERROR(J1368/H1368,0)-IFERROR(K1368/I1368,0)</x:f>
        <x:v>0.26704545454545453</x:v>
      </x:c>
      <x:c r="V1368" s="24" t="n">
        <x:f>IFERROR(F1368/J1368,0)-IFERROR(G1368/K1368,0)</x:f>
        <x:v>-0.2666666666666666</x:v>
      </x:c>
      <x:c r="W1368" s="28" t="n">
        <x:f>L1368-M1368</x:f>
        <x:v>-5</x:v>
      </x:c>
      <x:c r="X1368" s="24" t="n">
        <x:f>IFERROR(K1368/I1368,0)</x:f>
        <x:v>0.1875</x:v>
      </x:c>
      <x:c r="Y1368" s="24" t="n">
        <x:f>IFERROR(G1368/I1368,0)</x:f>
        <x:v>0.125</x:v>
      </x:c>
      <x:c r="Z1368" s="24" t="n">
        <x:f>IFERROR(G1368/K1368,0)</x:f>
        <x:v>0.6666666666666666</x:v>
      </x:c>
      <x:c r="AA1368" s="24" t="n">
        <x:f>IFERROR(F1368/H1368,0)-IFERROR(G1368/I1368,0)</x:f>
        <x:v>0.05681818181818182</x:v>
      </x:c>
      <x:c r="AB1368" s="28" t="n">
        <x:f>J1368-K1368</x:f>
        <x:v>2</x:v>
      </x:c>
      <x:c r="AC1368" s="32" t="n">
        <x:f>F1368-G1368</x:f>
        <x:v>0</x:v>
      </x:c>
    </x:row>
    <x:row r="1369">
      <x:c r="A1369" s="4" t="str">
        <x:v>2022-23</x:v>
      </x:c>
      <x:c r="B1369" s="20" t="n">
        <x:v>45032</x:v>
      </x:c>
      <x:c r="C1369" s="4" t="str">
        <x:v>Man United</x:v>
      </x:c>
      <x:c r="D1369" s="4" t="str">
        <x:v>Nott'm Forest</x:v>
      </x:c>
      <x:c r="E1369" s="4" t="str">
        <x:v>Away</x:v>
      </x:c>
      <x:c r="F1369" s="28" t="n">
        <x:v>2</x:v>
      </x:c>
      <x:c r="G1369" s="28" t="n">
        <x:v>0</x:v>
      </x:c>
      <x:c r="H1369" s="28" t="n">
        <x:v>22</x:v>
      </x:c>
      <x:c r="I1369" s="28" t="n">
        <x:v>6</x:v>
      </x:c>
      <x:c r="J1369" s="28" t="n">
        <x:v>8</x:v>
      </x:c>
      <x:c r="K1369" s="28" t="n">
        <x:v>0</x:v>
      </x:c>
      <x:c r="L1369" s="28" t="n">
        <x:v>9</x:v>
      </x:c>
      <x:c r="M1369" s="28" t="n">
        <x:v>4</x:v>
      </x:c>
      <x:c r="N1369" s="28" t="n">
        <x:v>2</x:v>
      </x:c>
      <x:c r="O1369" s="28" t="n">
        <x:v>0</x:v>
      </x:c>
      <x:c r="P1369" s="28" t="n">
        <x:v>3</x:v>
      </x:c>
      <x:c r="Q1369" s="24" t="n">
        <x:f>IFERROR(J1369/H1369,0)</x:f>
        <x:v>0.36363636363636365</x:v>
      </x:c>
      <x:c r="R1369" s="24" t="n">
        <x:f>IFERROR(F1369/H1369,0)</x:f>
        <x:v>0.09090909090909091</x:v>
      </x:c>
      <x:c r="S1369" s="24" t="n">
        <x:f>IFERROR(F1369/J1369,0)</x:f>
        <x:v>0.25</x:v>
      </x:c>
      <x:c r="T1369" s="28" t="n">
        <x:f>H1369-I1369</x:f>
        <x:v>16</x:v>
      </x:c>
      <x:c r="U1369" s="24" t="n">
        <x:f>IFERROR(J1369/H1369,0)-IFERROR(K1369/I1369,0)</x:f>
        <x:v>0.36363636363636365</x:v>
      </x:c>
      <x:c r="V1369" s="24" t="n">
        <x:f>IFERROR(F1369/J1369,0)-IFERROR(G1369/K1369,0)</x:f>
        <x:v>0.25</x:v>
      </x:c>
      <x:c r="W1369" s="28" t="n">
        <x:f>L1369-M1369</x:f>
        <x:v>5</x:v>
      </x:c>
      <x:c r="X1369" s="24" t="n">
        <x:f>IFERROR(K1369/I1369,0)</x:f>
        <x:v>0</x:v>
      </x:c>
      <x:c r="Y1369" s="24" t="n">
        <x:f>IFERROR(G1369/I1369,0)</x:f>
        <x:v>0</x:v>
      </x:c>
      <x:c r="Z1369" s="24" t="n">
        <x:f>IFERROR(G1369/K1369,0)</x:f>
        <x:v>0</x:v>
      </x:c>
      <x:c r="AA1369" s="24" t="n">
        <x:f>IFERROR(F1369/H1369,0)-IFERROR(G1369/I1369,0)</x:f>
        <x:v>0.09090909090909091</x:v>
      </x:c>
      <x:c r="AB1369" s="28" t="n">
        <x:f>J1369-K1369</x:f>
        <x:v>8</x:v>
      </x:c>
      <x:c r="AC1369" s="32" t="n">
        <x:f>F1369-G1369</x:f>
        <x:v>2</x:v>
      </x:c>
    </x:row>
    <x:row r="1370">
      <x:c r="A1370" s="4" t="str">
        <x:v>2022-23</x:v>
      </x:c>
      <x:c r="B1370" s="20" t="n">
        <x:v>45032</x:v>
      </x:c>
      <x:c r="C1370" s="4" t="str">
        <x:v>Nott'm Forest</x:v>
      </x:c>
      <x:c r="D1370" s="4" t="str">
        <x:v>Man United</x:v>
      </x:c>
      <x:c r="E1370" s="4" t="str">
        <x:v>Home</x:v>
      </x:c>
      <x:c r="F1370" s="28" t="n">
        <x:v>0</x:v>
      </x:c>
      <x:c r="G1370" s="28" t="n">
        <x:v>2</x:v>
      </x:c>
      <x:c r="H1370" s="28" t="n">
        <x:v>6</x:v>
      </x:c>
      <x:c r="I1370" s="28" t="n">
        <x:v>22</x:v>
      </x:c>
      <x:c r="J1370" s="28" t="n">
        <x:v>0</x:v>
      </x:c>
      <x:c r="K1370" s="28" t="n">
        <x:v>8</x:v>
      </x:c>
      <x:c r="L1370" s="28" t="n">
        <x:v>4</x:v>
      </x:c>
      <x:c r="M1370" s="28" t="n">
        <x:v>9</x:v>
      </x:c>
      <x:c r="N1370" s="28" t="n">
        <x:v>2</x:v>
      </x:c>
      <x:c r="O1370" s="28" t="n">
        <x:v>0</x:v>
      </x:c>
      <x:c r="P1370" s="28" t="n">
        <x:v>0</x:v>
      </x:c>
      <x:c r="Q1370" s="24" t="n">
        <x:f>IFERROR(J1370/H1370,0)</x:f>
        <x:v>0</x:v>
      </x:c>
      <x:c r="R1370" s="24" t="n">
        <x:f>IFERROR(F1370/H1370,0)</x:f>
        <x:v>0</x:v>
      </x:c>
      <x:c r="S1370" s="24" t="n">
        <x:f>IFERROR(F1370/J1370,0)</x:f>
        <x:v>0</x:v>
      </x:c>
      <x:c r="T1370" s="28" t="n">
        <x:f>H1370-I1370</x:f>
        <x:v>-16</x:v>
      </x:c>
      <x:c r="U1370" s="24" t="n">
        <x:f>IFERROR(J1370/H1370,0)-IFERROR(K1370/I1370,0)</x:f>
        <x:v>-0.36363636363636365</x:v>
      </x:c>
      <x:c r="V1370" s="24" t="n">
        <x:f>IFERROR(F1370/J1370,0)-IFERROR(G1370/K1370,0)</x:f>
        <x:v>-0.25</x:v>
      </x:c>
      <x:c r="W1370" s="28" t="n">
        <x:f>L1370-M1370</x:f>
        <x:v>-5</x:v>
      </x:c>
      <x:c r="X1370" s="24" t="n">
        <x:f>IFERROR(K1370/I1370,0)</x:f>
        <x:v>0.36363636363636365</x:v>
      </x:c>
      <x:c r="Y1370" s="24" t="n">
        <x:f>IFERROR(G1370/I1370,0)</x:f>
        <x:v>0.09090909090909091</x:v>
      </x:c>
      <x:c r="Z1370" s="24" t="n">
        <x:f>IFERROR(G1370/K1370,0)</x:f>
        <x:v>0.25</x:v>
      </x:c>
      <x:c r="AA1370" s="24" t="n">
        <x:f>IFERROR(F1370/H1370,0)-IFERROR(G1370/I1370,0)</x:f>
        <x:v>-0.09090909090909091</x:v>
      </x:c>
      <x:c r="AB1370" s="28" t="n">
        <x:f>J1370-K1370</x:f>
        <x:v>-8</x:v>
      </x:c>
      <x:c r="AC1370" s="32" t="n">
        <x:f>F1370-G1370</x:f>
        <x:v>-2</x:v>
      </x:c>
    </x:row>
    <x:row r="1371">
      <x:c r="A1371" s="4" t="str">
        <x:v>2022-23</x:v>
      </x:c>
      <x:c r="B1371" s="20" t="n">
        <x:v>45032</x:v>
      </x:c>
      <x:c r="C1371" s="4" t="str">
        <x:v>West Ham</x:v>
      </x:c>
      <x:c r="D1371" s="4" t="str">
        <x:v>Arsenal</x:v>
      </x:c>
      <x:c r="E1371" s="4" t="str">
        <x:v>Home</x:v>
      </x:c>
      <x:c r="F1371" s="28" t="n">
        <x:v>2</x:v>
      </x:c>
      <x:c r="G1371" s="28" t="n">
        <x:v>2</x:v>
      </x:c>
      <x:c r="H1371" s="28" t="n">
        <x:v>16</x:v>
      </x:c>
      <x:c r="I1371" s="28" t="n">
        <x:v>11</x:v>
      </x:c>
      <x:c r="J1371" s="28" t="n">
        <x:v>3</x:v>
      </x:c>
      <x:c r="K1371" s="28" t="n">
        <x:v>5</x:v>
      </x:c>
      <x:c r="L1371" s="28" t="n">
        <x:v>7</x:v>
      </x:c>
      <x:c r="M1371" s="28" t="n">
        <x:v>2</x:v>
      </x:c>
      <x:c r="N1371" s="28" t="n">
        <x:v>1</x:v>
      </x:c>
      <x:c r="O1371" s="28" t="n">
        <x:v>0</x:v>
      </x:c>
      <x:c r="P1371" s="28" t="n">
        <x:v>1</x:v>
      </x:c>
      <x:c r="Q1371" s="24" t="n">
        <x:f>IFERROR(J1371/H1371,0)</x:f>
        <x:v>0.1875</x:v>
      </x:c>
      <x:c r="R1371" s="24" t="n">
        <x:f>IFERROR(F1371/H1371,0)</x:f>
        <x:v>0.125</x:v>
      </x:c>
      <x:c r="S1371" s="24" t="n">
        <x:f>IFERROR(F1371/J1371,0)</x:f>
        <x:v>0.6666666666666666</x:v>
      </x:c>
      <x:c r="T1371" s="28" t="n">
        <x:f>H1371-I1371</x:f>
        <x:v>5</x:v>
      </x:c>
      <x:c r="U1371" s="24" t="n">
        <x:f>IFERROR(J1371/H1371,0)-IFERROR(K1371/I1371,0)</x:f>
        <x:v>-0.26704545454545453</x:v>
      </x:c>
      <x:c r="V1371" s="24" t="n">
        <x:f>IFERROR(F1371/J1371,0)-IFERROR(G1371/K1371,0)</x:f>
        <x:v>0.2666666666666666</x:v>
      </x:c>
      <x:c r="W1371" s="28" t="n">
        <x:f>L1371-M1371</x:f>
        <x:v>5</x:v>
      </x:c>
      <x:c r="X1371" s="24" t="n">
        <x:f>IFERROR(K1371/I1371,0)</x:f>
        <x:v>0.45454545454545453</x:v>
      </x:c>
      <x:c r="Y1371" s="24" t="n">
        <x:f>IFERROR(G1371/I1371,0)</x:f>
        <x:v>0.18181818181818182</x:v>
      </x:c>
      <x:c r="Z1371" s="24" t="n">
        <x:f>IFERROR(G1371/K1371,0)</x:f>
        <x:v>0.4</x:v>
      </x:c>
      <x:c r="AA1371" s="24" t="n">
        <x:f>IFERROR(F1371/H1371,0)-IFERROR(G1371/I1371,0)</x:f>
        <x:v>-0.05681818181818182</x:v>
      </x:c>
      <x:c r="AB1371" s="28" t="n">
        <x:f>J1371-K1371</x:f>
        <x:v>-2</x:v>
      </x:c>
      <x:c r="AC1371" s="32" t="n">
        <x:f>F1371-G1371</x:f>
        <x:v>0</x:v>
      </x:c>
    </x:row>
    <x:row r="1372">
      <x:c r="A1372" s="4" t="str">
        <x:v>2022-23</x:v>
      </x:c>
      <x:c r="B1372" s="20" t="n">
        <x:v>45033</x:v>
      </x:c>
      <x:c r="C1372" s="4" t="str">
        <x:v>Leeds</x:v>
      </x:c>
      <x:c r="D1372" s="4" t="str">
        <x:v>Liverpool</x:v>
      </x:c>
      <x:c r="E1372" s="4" t="str">
        <x:v>Home</x:v>
      </x:c>
      <x:c r="F1372" s="28" t="n">
        <x:v>1</x:v>
      </x:c>
      <x:c r="G1372" s="28" t="n">
        <x:v>6</x:v>
      </x:c>
      <x:c r="H1372" s="28" t="n">
        <x:v>13</x:v>
      </x:c>
      <x:c r="I1372" s="28" t="n">
        <x:v>13</x:v>
      </x:c>
      <x:c r="J1372" s="28" t="n">
        <x:v>3</x:v>
      </x:c>
      <x:c r="K1372" s="28" t="n">
        <x:v>7</x:v>
      </x:c>
      <x:c r="L1372" s="28" t="n">
        <x:v>4</x:v>
      </x:c>
      <x:c r="M1372" s="28" t="n">
        <x:v>2</x:v>
      </x:c>
      <x:c r="N1372" s="28" t="n">
        <x:v>0</x:v>
      </x:c>
      <x:c r="O1372" s="28" t="n">
        <x:v>0</x:v>
      </x:c>
      <x:c r="P1372" s="28" t="n">
        <x:v>0</x:v>
      </x:c>
      <x:c r="Q1372" s="24" t="n">
        <x:f>IFERROR(J1372/H1372,0)</x:f>
        <x:v>0.23076923076923078</x:v>
      </x:c>
      <x:c r="R1372" s="24" t="n">
        <x:f>IFERROR(F1372/H1372,0)</x:f>
        <x:v>0.07692307692307693</x:v>
      </x:c>
      <x:c r="S1372" s="24" t="n">
        <x:f>IFERROR(F1372/J1372,0)</x:f>
        <x:v>0.3333333333333333</x:v>
      </x:c>
      <x:c r="T1372" s="28" t="n">
        <x:f>H1372-I1372</x:f>
        <x:v>0</x:v>
      </x:c>
      <x:c r="U1372" s="24" t="n">
        <x:f>IFERROR(J1372/H1372,0)-IFERROR(K1372/I1372,0)</x:f>
        <x:v>-0.30769230769230765</x:v>
      </x:c>
      <x:c r="V1372" s="24" t="n">
        <x:f>IFERROR(F1372/J1372,0)-IFERROR(G1372/K1372,0)</x:f>
        <x:v>-0.5238095238095237</x:v>
      </x:c>
      <x:c r="W1372" s="28" t="n">
        <x:f>L1372-M1372</x:f>
        <x:v>2</x:v>
      </x:c>
      <x:c r="X1372" s="24" t="n">
        <x:f>IFERROR(K1372/I1372,0)</x:f>
        <x:v>0.5384615384615384</x:v>
      </x:c>
      <x:c r="Y1372" s="24" t="n">
        <x:f>IFERROR(G1372/I1372,0)</x:f>
        <x:v>0.46153846153846156</x:v>
      </x:c>
      <x:c r="Z1372" s="24" t="n">
        <x:f>IFERROR(G1372/K1372,0)</x:f>
        <x:v>0.8571428571428571</x:v>
      </x:c>
      <x:c r="AA1372" s="24" t="n">
        <x:f>IFERROR(F1372/H1372,0)-IFERROR(G1372/I1372,0)</x:f>
        <x:v>-0.38461538461538464</x:v>
      </x:c>
      <x:c r="AB1372" s="28" t="n">
        <x:f>J1372-K1372</x:f>
        <x:v>-4</x:v>
      </x:c>
      <x:c r="AC1372" s="32" t="n">
        <x:f>F1372-G1372</x:f>
        <x:v>-5</x:v>
      </x:c>
    </x:row>
    <x:row r="1373">
      <x:c r="A1373" s="4" t="str">
        <x:v>2022-23</x:v>
      </x:c>
      <x:c r="B1373" s="20" t="n">
        <x:v>45033</x:v>
      </x:c>
      <x:c r="C1373" s="4" t="str">
        <x:v>Liverpool</x:v>
      </x:c>
      <x:c r="D1373" s="4" t="str">
        <x:v>Leeds</x:v>
      </x:c>
      <x:c r="E1373" s="4" t="str">
        <x:v>Away</x:v>
      </x:c>
      <x:c r="F1373" s="28" t="n">
        <x:v>6</x:v>
      </x:c>
      <x:c r="G1373" s="28" t="n">
        <x:v>1</x:v>
      </x:c>
      <x:c r="H1373" s="28" t="n">
        <x:v>13</x:v>
      </x:c>
      <x:c r="I1373" s="28" t="n">
        <x:v>13</x:v>
      </x:c>
      <x:c r="J1373" s="28" t="n">
        <x:v>7</x:v>
      </x:c>
      <x:c r="K1373" s="28" t="n">
        <x:v>3</x:v>
      </x:c>
      <x:c r="L1373" s="28" t="n">
        <x:v>2</x:v>
      </x:c>
      <x:c r="M1373" s="28" t="n">
        <x:v>4</x:v>
      </x:c>
      <x:c r="N1373" s="28" t="n">
        <x:v>1</x:v>
      </x:c>
      <x:c r="O1373" s="28" t="n">
        <x:v>0</x:v>
      </x:c>
      <x:c r="P1373" s="28" t="n">
        <x:v>3</x:v>
      </x:c>
      <x:c r="Q1373" s="24" t="n">
        <x:f>IFERROR(J1373/H1373,0)</x:f>
        <x:v>0.5384615384615384</x:v>
      </x:c>
      <x:c r="R1373" s="24" t="n">
        <x:f>IFERROR(F1373/H1373,0)</x:f>
        <x:v>0.46153846153846156</x:v>
      </x:c>
      <x:c r="S1373" s="24" t="n">
        <x:f>IFERROR(F1373/J1373,0)</x:f>
        <x:v>0.8571428571428571</x:v>
      </x:c>
      <x:c r="T1373" s="28" t="n">
        <x:f>H1373-I1373</x:f>
        <x:v>0</x:v>
      </x:c>
      <x:c r="U1373" s="24" t="n">
        <x:f>IFERROR(J1373/H1373,0)-IFERROR(K1373/I1373,0)</x:f>
        <x:v>0.30769230769230765</x:v>
      </x:c>
      <x:c r="V1373" s="24" t="n">
        <x:f>IFERROR(F1373/J1373,0)-IFERROR(G1373/K1373,0)</x:f>
        <x:v>0.5238095238095237</x:v>
      </x:c>
      <x:c r="W1373" s="28" t="n">
        <x:f>L1373-M1373</x:f>
        <x:v>-2</x:v>
      </x:c>
      <x:c r="X1373" s="24" t="n">
        <x:f>IFERROR(K1373/I1373,0)</x:f>
        <x:v>0.23076923076923078</x:v>
      </x:c>
      <x:c r="Y1373" s="24" t="n">
        <x:f>IFERROR(G1373/I1373,0)</x:f>
        <x:v>0.07692307692307693</x:v>
      </x:c>
      <x:c r="Z1373" s="24" t="n">
        <x:f>IFERROR(G1373/K1373,0)</x:f>
        <x:v>0.3333333333333333</x:v>
      </x:c>
      <x:c r="AA1373" s="24" t="n">
        <x:f>IFERROR(F1373/H1373,0)-IFERROR(G1373/I1373,0)</x:f>
        <x:v>0.38461538461538464</x:v>
      </x:c>
      <x:c r="AB1373" s="28" t="n">
        <x:f>J1373-K1373</x:f>
        <x:v>4</x:v>
      </x:c>
      <x:c r="AC1373" s="32" t="n">
        <x:f>F1373-G1373</x:f>
        <x:v>5</x:v>
      </x:c>
    </x:row>
    <x:row r="1374">
      <x:c r="A1374" s="4" t="str">
        <x:v>2022-23</x:v>
      </x:c>
      <x:c r="B1374" s="20" t="n">
        <x:v>45037</x:v>
      </x:c>
      <x:c r="C1374" s="4" t="str">
        <x:v>Arsenal</x:v>
      </x:c>
      <x:c r="D1374" s="4" t="str">
        <x:v>Southampton</x:v>
      </x:c>
      <x:c r="E1374" s="4" t="str">
        <x:v>Home</x:v>
      </x:c>
      <x:c r="F1374" s="28" t="n">
        <x:v>3</x:v>
      </x:c>
      <x:c r="G1374" s="28" t="n">
        <x:v>3</x:v>
      </x:c>
      <x:c r="H1374" s="28" t="n">
        <x:v>25</x:v>
      </x:c>
      <x:c r="I1374" s="28" t="n">
        <x:v>8</x:v>
      </x:c>
      <x:c r="J1374" s="28" t="n">
        <x:v>6</x:v>
      </x:c>
      <x:c r="K1374" s="28" t="n">
        <x:v>6</x:v>
      </x:c>
      <x:c r="L1374" s="28" t="n">
        <x:v>7</x:v>
      </x:c>
      <x:c r="M1374" s="28" t="n">
        <x:v>2</x:v>
      </x:c>
      <x:c r="N1374" s="28" t="n">
        <x:v>1</x:v>
      </x:c>
      <x:c r="O1374" s="28" t="n">
        <x:v>0</x:v>
      </x:c>
      <x:c r="P1374" s="28" t="n">
        <x:v>1</x:v>
      </x:c>
      <x:c r="Q1374" s="24" t="n">
        <x:f>IFERROR(J1374/H1374,0)</x:f>
        <x:v>0.24</x:v>
      </x:c>
      <x:c r="R1374" s="24" t="n">
        <x:f>IFERROR(F1374/H1374,0)</x:f>
        <x:v>0.12</x:v>
      </x:c>
      <x:c r="S1374" s="24" t="n">
        <x:f>IFERROR(F1374/J1374,0)</x:f>
        <x:v>0.5</x:v>
      </x:c>
      <x:c r="T1374" s="28" t="n">
        <x:f>H1374-I1374</x:f>
        <x:v>17</x:v>
      </x:c>
      <x:c r="U1374" s="24" t="n">
        <x:f>IFERROR(J1374/H1374,0)-IFERROR(K1374/I1374,0)</x:f>
        <x:v>-0.51</x:v>
      </x:c>
      <x:c r="V1374" s="24" t="n">
        <x:f>IFERROR(F1374/J1374,0)-IFERROR(G1374/K1374,0)</x:f>
        <x:v>0</x:v>
      </x:c>
      <x:c r="W1374" s="28" t="n">
        <x:f>L1374-M1374</x:f>
        <x:v>5</x:v>
      </x:c>
      <x:c r="X1374" s="24" t="n">
        <x:f>IFERROR(K1374/I1374,0)</x:f>
        <x:v>0.75</x:v>
      </x:c>
      <x:c r="Y1374" s="24" t="n">
        <x:f>IFERROR(G1374/I1374,0)</x:f>
        <x:v>0.375</x:v>
      </x:c>
      <x:c r="Z1374" s="24" t="n">
        <x:f>IFERROR(G1374/K1374,0)</x:f>
        <x:v>0.5</x:v>
      </x:c>
      <x:c r="AA1374" s="24" t="n">
        <x:f>IFERROR(F1374/H1374,0)-IFERROR(G1374/I1374,0)</x:f>
        <x:v>-0.255</x:v>
      </x:c>
      <x:c r="AB1374" s="28" t="n">
        <x:f>J1374-K1374</x:f>
        <x:v>0</x:v>
      </x:c>
      <x:c r="AC1374" s="32" t="n">
        <x:f>F1374-G1374</x:f>
        <x:v>0</x:v>
      </x:c>
    </x:row>
    <x:row r="1375">
      <x:c r="A1375" s="4" t="str">
        <x:v>2022-23</x:v>
      </x:c>
      <x:c r="B1375" s="20" t="n">
        <x:v>45037</x:v>
      </x:c>
      <x:c r="C1375" s="4" t="str">
        <x:v>Southampton</x:v>
      </x:c>
      <x:c r="D1375" s="4" t="str">
        <x:v>Arsenal</x:v>
      </x:c>
      <x:c r="E1375" s="4" t="str">
        <x:v>Away</x:v>
      </x:c>
      <x:c r="F1375" s="28" t="n">
        <x:v>3</x:v>
      </x:c>
      <x:c r="G1375" s="28" t="n">
        <x:v>3</x:v>
      </x:c>
      <x:c r="H1375" s="28" t="n">
        <x:v>8</x:v>
      </x:c>
      <x:c r="I1375" s="28" t="n">
        <x:v>25</x:v>
      </x:c>
      <x:c r="J1375" s="28" t="n">
        <x:v>6</x:v>
      </x:c>
      <x:c r="K1375" s="28" t="n">
        <x:v>6</x:v>
      </x:c>
      <x:c r="L1375" s="28" t="n">
        <x:v>2</x:v>
      </x:c>
      <x:c r="M1375" s="28" t="n">
        <x:v>7</x:v>
      </x:c>
      <x:c r="N1375" s="28" t="n">
        <x:v>5</x:v>
      </x:c>
      <x:c r="O1375" s="28" t="n">
        <x:v>0</x:v>
      </x:c>
      <x:c r="P1375" s="28" t="n">
        <x:v>1</x:v>
      </x:c>
      <x:c r="Q1375" s="24" t="n">
        <x:f>IFERROR(J1375/H1375,0)</x:f>
        <x:v>0.75</x:v>
      </x:c>
      <x:c r="R1375" s="24" t="n">
        <x:f>IFERROR(F1375/H1375,0)</x:f>
        <x:v>0.375</x:v>
      </x:c>
      <x:c r="S1375" s="24" t="n">
        <x:f>IFERROR(F1375/J1375,0)</x:f>
        <x:v>0.5</x:v>
      </x:c>
      <x:c r="T1375" s="28" t="n">
        <x:f>H1375-I1375</x:f>
        <x:v>-17</x:v>
      </x:c>
      <x:c r="U1375" s="24" t="n">
        <x:f>IFERROR(J1375/H1375,0)-IFERROR(K1375/I1375,0)</x:f>
        <x:v>0.51</x:v>
      </x:c>
      <x:c r="V1375" s="24" t="n">
        <x:f>IFERROR(F1375/J1375,0)-IFERROR(G1375/K1375,0)</x:f>
        <x:v>0</x:v>
      </x:c>
      <x:c r="W1375" s="28" t="n">
        <x:f>L1375-M1375</x:f>
        <x:v>-5</x:v>
      </x:c>
      <x:c r="X1375" s="24" t="n">
        <x:f>IFERROR(K1375/I1375,0)</x:f>
        <x:v>0.24</x:v>
      </x:c>
      <x:c r="Y1375" s="24" t="n">
        <x:f>IFERROR(G1375/I1375,0)</x:f>
        <x:v>0.12</x:v>
      </x:c>
      <x:c r="Z1375" s="24" t="n">
        <x:f>IFERROR(G1375/K1375,0)</x:f>
        <x:v>0.5</x:v>
      </x:c>
      <x:c r="AA1375" s="24" t="n">
        <x:f>IFERROR(F1375/H1375,0)-IFERROR(G1375/I1375,0)</x:f>
        <x:v>0.255</x:v>
      </x:c>
      <x:c r="AB1375" s="28" t="n">
        <x:f>J1375-K1375</x:f>
        <x:v>0</x:v>
      </x:c>
      <x:c r="AC1375" s="32" t="n">
        <x:f>F1375-G1375</x:f>
        <x:v>0</x:v>
      </x:c>
    </x:row>
    <x:row r="1376">
      <x:c r="A1376" s="4" t="str">
        <x:v>2022-23</x:v>
      </x:c>
      <x:c r="B1376" s="20" t="n">
        <x:v>45038</x:v>
      </x:c>
      <x:c r="C1376" s="4" t="str">
        <x:v>Aston Villa</x:v>
      </x:c>
      <x:c r="D1376" s="4" t="str">
        <x:v>Brentford</x:v>
      </x:c>
      <x:c r="E1376" s="4" t="str">
        <x:v>Away</x:v>
      </x:c>
      <x:c r="F1376" s="28" t="n">
        <x:v>1</x:v>
      </x:c>
      <x:c r="G1376" s="28" t="n">
        <x:v>1</x:v>
      </x:c>
      <x:c r="H1376" s="28" t="n">
        <x:v>14</x:v>
      </x:c>
      <x:c r="I1376" s="28" t="n">
        <x:v>6</x:v>
      </x:c>
      <x:c r="J1376" s="28" t="n">
        <x:v>2</x:v>
      </x:c>
      <x:c r="K1376" s="28" t="n">
        <x:v>5</x:v>
      </x:c>
      <x:c r="L1376" s="28" t="n">
        <x:v>4</x:v>
      </x:c>
      <x:c r="M1376" s="28" t="n">
        <x:v>8</x:v>
      </x:c>
      <x:c r="N1376" s="28" t="n">
        <x:v>2</x:v>
      </x:c>
      <x:c r="O1376" s="28" t="n">
        <x:v>0</x:v>
      </x:c>
      <x:c r="P1376" s="28" t="n">
        <x:v>1</x:v>
      </x:c>
      <x:c r="Q1376" s="24" t="n">
        <x:f>IFERROR(J1376/H1376,0)</x:f>
        <x:v>0.14285714285714285</x:v>
      </x:c>
      <x:c r="R1376" s="24" t="n">
        <x:f>IFERROR(F1376/H1376,0)</x:f>
        <x:v>0.07142857142857142</x:v>
      </x:c>
      <x:c r="S1376" s="24" t="n">
        <x:f>IFERROR(F1376/J1376,0)</x:f>
        <x:v>0.5</x:v>
      </x:c>
      <x:c r="T1376" s="28" t="n">
        <x:f>H1376-I1376</x:f>
        <x:v>8</x:v>
      </x:c>
      <x:c r="U1376" s="24" t="n">
        <x:f>IFERROR(J1376/H1376,0)-IFERROR(K1376/I1376,0)</x:f>
        <x:v>-0.6904761904761905</x:v>
      </x:c>
      <x:c r="V1376" s="24" t="n">
        <x:f>IFERROR(F1376/J1376,0)-IFERROR(G1376/K1376,0)</x:f>
        <x:v>0.3</x:v>
      </x:c>
      <x:c r="W1376" s="28" t="n">
        <x:f>L1376-M1376</x:f>
        <x:v>-4</x:v>
      </x:c>
      <x:c r="X1376" s="24" t="n">
        <x:f>IFERROR(K1376/I1376,0)</x:f>
        <x:v>0.8333333333333334</x:v>
      </x:c>
      <x:c r="Y1376" s="24" t="n">
        <x:f>IFERROR(G1376/I1376,0)</x:f>
        <x:v>0.16666666666666666</x:v>
      </x:c>
      <x:c r="Z1376" s="24" t="n">
        <x:f>IFERROR(G1376/K1376,0)</x:f>
        <x:v>0.2</x:v>
      </x:c>
      <x:c r="AA1376" s="24" t="n">
        <x:f>IFERROR(F1376/H1376,0)-IFERROR(G1376/I1376,0)</x:f>
        <x:v>-0.09523809523809523</x:v>
      </x:c>
      <x:c r="AB1376" s="28" t="n">
        <x:f>J1376-K1376</x:f>
        <x:v>-3</x:v>
      </x:c>
      <x:c r="AC1376" s="32" t="n">
        <x:f>F1376-G1376</x:f>
        <x:v>0</x:v>
      </x:c>
    </x:row>
    <x:row r="1377">
      <x:c r="A1377" s="4" t="str">
        <x:v>2022-23</x:v>
      </x:c>
      <x:c r="B1377" s="20" t="n">
        <x:v>45038</x:v>
      </x:c>
      <x:c r="C1377" s="4" t="str">
        <x:v>Brentford</x:v>
      </x:c>
      <x:c r="D1377" s="4" t="str">
        <x:v>Aston Villa</x:v>
      </x:c>
      <x:c r="E1377" s="4" t="str">
        <x:v>Home</x:v>
      </x:c>
      <x:c r="F1377" s="28" t="n">
        <x:v>1</x:v>
      </x:c>
      <x:c r="G1377" s="28" t="n">
        <x:v>1</x:v>
      </x:c>
      <x:c r="H1377" s="28" t="n">
        <x:v>6</x:v>
      </x:c>
      <x:c r="I1377" s="28" t="n">
        <x:v>14</x:v>
      </x:c>
      <x:c r="J1377" s="28" t="n">
        <x:v>5</x:v>
      </x:c>
      <x:c r="K1377" s="28" t="n">
        <x:v>2</x:v>
      </x:c>
      <x:c r="L1377" s="28" t="n">
        <x:v>8</x:v>
      </x:c>
      <x:c r="M1377" s="28" t="n">
        <x:v>4</x:v>
      </x:c>
      <x:c r="N1377" s="28" t="n">
        <x:v>3</x:v>
      </x:c>
      <x:c r="O1377" s="28" t="n">
        <x:v>0</x:v>
      </x:c>
      <x:c r="P1377" s="28" t="n">
        <x:v>1</x:v>
      </x:c>
      <x:c r="Q1377" s="24" t="n">
        <x:f>IFERROR(J1377/H1377,0)</x:f>
        <x:v>0.8333333333333334</x:v>
      </x:c>
      <x:c r="R1377" s="24" t="n">
        <x:f>IFERROR(F1377/H1377,0)</x:f>
        <x:v>0.16666666666666666</x:v>
      </x:c>
      <x:c r="S1377" s="24" t="n">
        <x:f>IFERROR(F1377/J1377,0)</x:f>
        <x:v>0.2</x:v>
      </x:c>
      <x:c r="T1377" s="28" t="n">
        <x:f>H1377-I1377</x:f>
        <x:v>-8</x:v>
      </x:c>
      <x:c r="U1377" s="24" t="n">
        <x:f>IFERROR(J1377/H1377,0)-IFERROR(K1377/I1377,0)</x:f>
        <x:v>0.6904761904761905</x:v>
      </x:c>
      <x:c r="V1377" s="24" t="n">
        <x:f>IFERROR(F1377/J1377,0)-IFERROR(G1377/K1377,0)</x:f>
        <x:v>-0.3</x:v>
      </x:c>
      <x:c r="W1377" s="28" t="n">
        <x:f>L1377-M1377</x:f>
        <x:v>4</x:v>
      </x:c>
      <x:c r="X1377" s="24" t="n">
        <x:f>IFERROR(K1377/I1377,0)</x:f>
        <x:v>0.14285714285714285</x:v>
      </x:c>
      <x:c r="Y1377" s="24" t="n">
        <x:f>IFERROR(G1377/I1377,0)</x:f>
        <x:v>0.07142857142857142</x:v>
      </x:c>
      <x:c r="Z1377" s="24" t="n">
        <x:f>IFERROR(G1377/K1377,0)</x:f>
        <x:v>0.5</x:v>
      </x:c>
      <x:c r="AA1377" s="24" t="n">
        <x:f>IFERROR(F1377/H1377,0)-IFERROR(G1377/I1377,0)</x:f>
        <x:v>0.09523809523809523</x:v>
      </x:c>
      <x:c r="AB1377" s="28" t="n">
        <x:f>J1377-K1377</x:f>
        <x:v>3</x:v>
      </x:c>
      <x:c r="AC1377" s="32" t="n">
        <x:f>F1377-G1377</x:f>
        <x:v>0</x:v>
      </x:c>
    </x:row>
    <x:row r="1378">
      <x:c r="A1378" s="4" t="str">
        <x:v>2022-23</x:v>
      </x:c>
      <x:c r="B1378" s="20" t="n">
        <x:v>45038</x:v>
      </x:c>
      <x:c r="C1378" s="4" t="str">
        <x:v>Crystal Palace</x:v>
      </x:c>
      <x:c r="D1378" s="4" t="str">
        <x:v>Everton</x:v>
      </x:c>
      <x:c r="E1378" s="4" t="str">
        <x:v>Home</x:v>
      </x:c>
      <x:c r="F1378" s="28" t="n">
        <x:v>0</x:v>
      </x:c>
      <x:c r="G1378" s="28" t="n">
        <x:v>0</x:v>
      </x:c>
      <x:c r="H1378" s="28" t="n">
        <x:v>12</x:v>
      </x:c>
      <x:c r="I1378" s="28" t="n">
        <x:v>10</x:v>
      </x:c>
      <x:c r="J1378" s="28" t="n">
        <x:v>2</x:v>
      </x:c>
      <x:c r="K1378" s="28" t="n">
        <x:v>5</x:v>
      </x:c>
      <x:c r="L1378" s="28" t="n">
        <x:v>8</x:v>
      </x:c>
      <x:c r="M1378" s="28" t="n">
        <x:v>1</x:v>
      </x:c>
      <x:c r="N1378" s="28" t="n">
        <x:v>1</x:v>
      </x:c>
      <x:c r="O1378" s="28" t="n">
        <x:v>0</x:v>
      </x:c>
      <x:c r="P1378" s="28" t="n">
        <x:v>1</x:v>
      </x:c>
      <x:c r="Q1378" s="24" t="n">
        <x:f>IFERROR(J1378/H1378,0)</x:f>
        <x:v>0.16666666666666666</x:v>
      </x:c>
      <x:c r="R1378" s="24" t="n">
        <x:f>IFERROR(F1378/H1378,0)</x:f>
        <x:v>0</x:v>
      </x:c>
      <x:c r="S1378" s="24" t="n">
        <x:f>IFERROR(F1378/J1378,0)</x:f>
        <x:v>0</x:v>
      </x:c>
      <x:c r="T1378" s="28" t="n">
        <x:f>H1378-I1378</x:f>
        <x:v>2</x:v>
      </x:c>
      <x:c r="U1378" s="24" t="n">
        <x:f>IFERROR(J1378/H1378,0)-IFERROR(K1378/I1378,0)</x:f>
        <x:v>-0.33333333333333337</x:v>
      </x:c>
      <x:c r="V1378" s="24" t="n">
        <x:f>IFERROR(F1378/J1378,0)-IFERROR(G1378/K1378,0)</x:f>
        <x:v>0</x:v>
      </x:c>
      <x:c r="W1378" s="28" t="n">
        <x:f>L1378-M1378</x:f>
        <x:v>7</x:v>
      </x:c>
      <x:c r="X1378" s="24" t="n">
        <x:f>IFERROR(K1378/I1378,0)</x:f>
        <x:v>0.5</x:v>
      </x:c>
      <x:c r="Y1378" s="24" t="n">
        <x:f>IFERROR(G1378/I1378,0)</x:f>
        <x:v>0</x:v>
      </x:c>
      <x:c r="Z1378" s="24" t="n">
        <x:f>IFERROR(G1378/K1378,0)</x:f>
        <x:v>0</x:v>
      </x:c>
      <x:c r="AA1378" s="24" t="n">
        <x:f>IFERROR(F1378/H1378,0)-IFERROR(G1378/I1378,0)</x:f>
        <x:v>0</x:v>
      </x:c>
      <x:c r="AB1378" s="28" t="n">
        <x:f>J1378-K1378</x:f>
        <x:v>-3</x:v>
      </x:c>
      <x:c r="AC1378" s="32" t="n">
        <x:f>F1378-G1378</x:f>
        <x:v>0</x:v>
      </x:c>
    </x:row>
    <x:row r="1379">
      <x:c r="A1379" s="4" t="str">
        <x:v>2022-23</x:v>
      </x:c>
      <x:c r="B1379" s="20" t="n">
        <x:v>45038</x:v>
      </x:c>
      <x:c r="C1379" s="4" t="str">
        <x:v>Everton</x:v>
      </x:c>
      <x:c r="D1379" s="4" t="str">
        <x:v>Crystal Palace</x:v>
      </x:c>
      <x:c r="E1379" s="4" t="str">
        <x:v>Away</x:v>
      </x:c>
      <x:c r="F1379" s="28" t="n">
        <x:v>0</x:v>
      </x:c>
      <x:c r="G1379" s="28" t="n">
        <x:v>0</x:v>
      </x:c>
      <x:c r="H1379" s="28" t="n">
        <x:v>10</x:v>
      </x:c>
      <x:c r="I1379" s="28" t="n">
        <x:v>12</x:v>
      </x:c>
      <x:c r="J1379" s="28" t="n">
        <x:v>5</x:v>
      </x:c>
      <x:c r="K1379" s="28" t="n">
        <x:v>2</x:v>
      </x:c>
      <x:c r="L1379" s="28" t="n">
        <x:v>1</x:v>
      </x:c>
      <x:c r="M1379" s="28" t="n">
        <x:v>8</x:v>
      </x:c>
      <x:c r="N1379" s="28" t="n">
        <x:v>1</x:v>
      </x:c>
      <x:c r="O1379" s="28" t="n">
        <x:v>1</x:v>
      </x:c>
      <x:c r="P1379" s="28" t="n">
        <x:v>1</x:v>
      </x:c>
      <x:c r="Q1379" s="24" t="n">
        <x:f>IFERROR(J1379/H1379,0)</x:f>
        <x:v>0.5</x:v>
      </x:c>
      <x:c r="R1379" s="24" t="n">
        <x:f>IFERROR(F1379/H1379,0)</x:f>
        <x:v>0</x:v>
      </x:c>
      <x:c r="S1379" s="24" t="n">
        <x:f>IFERROR(F1379/J1379,0)</x:f>
        <x:v>0</x:v>
      </x:c>
      <x:c r="T1379" s="28" t="n">
        <x:f>H1379-I1379</x:f>
        <x:v>-2</x:v>
      </x:c>
      <x:c r="U1379" s="24" t="n">
        <x:f>IFERROR(J1379/H1379,0)-IFERROR(K1379/I1379,0)</x:f>
        <x:v>0.33333333333333337</x:v>
      </x:c>
      <x:c r="V1379" s="24" t="n">
        <x:f>IFERROR(F1379/J1379,0)-IFERROR(G1379/K1379,0)</x:f>
        <x:v>0</x:v>
      </x:c>
      <x:c r="W1379" s="28" t="n">
        <x:f>L1379-M1379</x:f>
        <x:v>-7</x:v>
      </x:c>
      <x:c r="X1379" s="24" t="n">
        <x:f>IFERROR(K1379/I1379,0)</x:f>
        <x:v>0.16666666666666666</x:v>
      </x:c>
      <x:c r="Y1379" s="24" t="n">
        <x:f>IFERROR(G1379/I1379,0)</x:f>
        <x:v>0</x:v>
      </x:c>
      <x:c r="Z1379" s="24" t="n">
        <x:f>IFERROR(G1379/K1379,0)</x:f>
        <x:v>0</x:v>
      </x:c>
      <x:c r="AA1379" s="24" t="n">
        <x:f>IFERROR(F1379/H1379,0)-IFERROR(G1379/I1379,0)</x:f>
        <x:v>0</x:v>
      </x:c>
      <x:c r="AB1379" s="28" t="n">
        <x:f>J1379-K1379</x:f>
        <x:v>3</x:v>
      </x:c>
      <x:c r="AC1379" s="32" t="n">
        <x:f>F1379-G1379</x:f>
        <x:v>0</x:v>
      </x:c>
    </x:row>
    <x:row r="1380">
      <x:c r="A1380" s="4" t="str">
        <x:v>2022-23</x:v>
      </x:c>
      <x:c r="B1380" s="20" t="n">
        <x:v>45038</x:v>
      </x:c>
      <x:c r="C1380" s="4" t="str">
        <x:v>Fulham</x:v>
      </x:c>
      <x:c r="D1380" s="4" t="str">
        <x:v>Leeds</x:v>
      </x:c>
      <x:c r="E1380" s="4" t="str">
        <x:v>Home</x:v>
      </x:c>
      <x:c r="F1380" s="28" t="n">
        <x:v>2</x:v>
      </x:c>
      <x:c r="G1380" s="28" t="n">
        <x:v>1</x:v>
      </x:c>
      <x:c r="H1380" s="28" t="n">
        <x:v>12</x:v>
      </x:c>
      <x:c r="I1380" s="28" t="n">
        <x:v>10</x:v>
      </x:c>
      <x:c r="J1380" s="28" t="n">
        <x:v>5</x:v>
      </x:c>
      <x:c r="K1380" s="28" t="n">
        <x:v>2</x:v>
      </x:c>
      <x:c r="L1380" s="28" t="n">
        <x:v>8</x:v>
      </x:c>
      <x:c r="M1380" s="28" t="n">
        <x:v>6</x:v>
      </x:c>
      <x:c r="N1380" s="28" t="n">
        <x:v>1</x:v>
      </x:c>
      <x:c r="O1380" s="28" t="n">
        <x:v>0</x:v>
      </x:c>
      <x:c r="P1380" s="28" t="n">
        <x:v>3</x:v>
      </x:c>
      <x:c r="Q1380" s="24" t="n">
        <x:f>IFERROR(J1380/H1380,0)</x:f>
        <x:v>0.4166666666666667</x:v>
      </x:c>
      <x:c r="R1380" s="24" t="n">
        <x:f>IFERROR(F1380/H1380,0)</x:f>
        <x:v>0.16666666666666666</x:v>
      </x:c>
      <x:c r="S1380" s="24" t="n">
        <x:f>IFERROR(F1380/J1380,0)</x:f>
        <x:v>0.4</x:v>
      </x:c>
      <x:c r="T1380" s="28" t="n">
        <x:f>H1380-I1380</x:f>
        <x:v>2</x:v>
      </x:c>
      <x:c r="U1380" s="24" t="n">
        <x:f>IFERROR(J1380/H1380,0)-IFERROR(K1380/I1380,0)</x:f>
        <x:v>0.21666666666666667</x:v>
      </x:c>
      <x:c r="V1380" s="24" t="n">
        <x:f>IFERROR(F1380/J1380,0)-IFERROR(G1380/K1380,0)</x:f>
        <x:v>-0.09999999999999998</x:v>
      </x:c>
      <x:c r="W1380" s="28" t="n">
        <x:f>L1380-M1380</x:f>
        <x:v>2</x:v>
      </x:c>
      <x:c r="X1380" s="24" t="n">
        <x:f>IFERROR(K1380/I1380,0)</x:f>
        <x:v>0.2</x:v>
      </x:c>
      <x:c r="Y1380" s="24" t="n">
        <x:f>IFERROR(G1380/I1380,0)</x:f>
        <x:v>0.1</x:v>
      </x:c>
      <x:c r="Z1380" s="24" t="n">
        <x:f>IFERROR(G1380/K1380,0)</x:f>
        <x:v>0.5</x:v>
      </x:c>
      <x:c r="AA1380" s="24" t="n">
        <x:f>IFERROR(F1380/H1380,0)-IFERROR(G1380/I1380,0)</x:f>
        <x:v>0.06666666666666665</x:v>
      </x:c>
      <x:c r="AB1380" s="28" t="n">
        <x:f>J1380-K1380</x:f>
        <x:v>3</x:v>
      </x:c>
      <x:c r="AC1380" s="32" t="n">
        <x:f>F1380-G1380</x:f>
        <x:v>1</x:v>
      </x:c>
    </x:row>
    <x:row r="1381">
      <x:c r="A1381" s="4" t="str">
        <x:v>2022-23</x:v>
      </x:c>
      <x:c r="B1381" s="20" t="n">
        <x:v>45038</x:v>
      </x:c>
      <x:c r="C1381" s="4" t="str">
        <x:v>Leeds</x:v>
      </x:c>
      <x:c r="D1381" s="4" t="str">
        <x:v>Fulham</x:v>
      </x:c>
      <x:c r="E1381" s="4" t="str">
        <x:v>Away</x:v>
      </x:c>
      <x:c r="F1381" s="28" t="n">
        <x:v>1</x:v>
      </x:c>
      <x:c r="G1381" s="28" t="n">
        <x:v>2</x:v>
      </x:c>
      <x:c r="H1381" s="28" t="n">
        <x:v>10</x:v>
      </x:c>
      <x:c r="I1381" s="28" t="n">
        <x:v>12</x:v>
      </x:c>
      <x:c r="J1381" s="28" t="n">
        <x:v>2</x:v>
      </x:c>
      <x:c r="K1381" s="28" t="n">
        <x:v>5</x:v>
      </x:c>
      <x:c r="L1381" s="28" t="n">
        <x:v>6</x:v>
      </x:c>
      <x:c r="M1381" s="28" t="n">
        <x:v>8</x:v>
      </x:c>
      <x:c r="N1381" s="28" t="n">
        <x:v>4</x:v>
      </x:c>
      <x:c r="O1381" s="28" t="n">
        <x:v>0</x:v>
      </x:c>
      <x:c r="P1381" s="28" t="n">
        <x:v>0</x:v>
      </x:c>
      <x:c r="Q1381" s="24" t="n">
        <x:f>IFERROR(J1381/H1381,0)</x:f>
        <x:v>0.2</x:v>
      </x:c>
      <x:c r="R1381" s="24" t="n">
        <x:f>IFERROR(F1381/H1381,0)</x:f>
        <x:v>0.1</x:v>
      </x:c>
      <x:c r="S1381" s="24" t="n">
        <x:f>IFERROR(F1381/J1381,0)</x:f>
        <x:v>0.5</x:v>
      </x:c>
      <x:c r="T1381" s="28" t="n">
        <x:f>H1381-I1381</x:f>
        <x:v>-2</x:v>
      </x:c>
      <x:c r="U1381" s="24" t="n">
        <x:f>IFERROR(J1381/H1381,0)-IFERROR(K1381/I1381,0)</x:f>
        <x:v>-0.21666666666666667</x:v>
      </x:c>
      <x:c r="V1381" s="24" t="n">
        <x:f>IFERROR(F1381/J1381,0)-IFERROR(G1381/K1381,0)</x:f>
        <x:v>0.09999999999999998</x:v>
      </x:c>
      <x:c r="W1381" s="28" t="n">
        <x:f>L1381-M1381</x:f>
        <x:v>-2</x:v>
      </x:c>
      <x:c r="X1381" s="24" t="n">
        <x:f>IFERROR(K1381/I1381,0)</x:f>
        <x:v>0.4166666666666667</x:v>
      </x:c>
      <x:c r="Y1381" s="24" t="n">
        <x:f>IFERROR(G1381/I1381,0)</x:f>
        <x:v>0.16666666666666666</x:v>
      </x:c>
      <x:c r="Z1381" s="24" t="n">
        <x:f>IFERROR(G1381/K1381,0)</x:f>
        <x:v>0.4</x:v>
      </x:c>
      <x:c r="AA1381" s="24" t="n">
        <x:f>IFERROR(F1381/H1381,0)-IFERROR(G1381/I1381,0)</x:f>
        <x:v>-0.06666666666666665</x:v>
      </x:c>
      <x:c r="AB1381" s="28" t="n">
        <x:f>J1381-K1381</x:f>
        <x:v>-3</x:v>
      </x:c>
      <x:c r="AC1381" s="32" t="n">
        <x:f>F1381-G1381</x:f>
        <x:v>-1</x:v>
      </x:c>
    </x:row>
    <x:row r="1382">
      <x:c r="A1382" s="4" t="str">
        <x:v>2022-23</x:v>
      </x:c>
      <x:c r="B1382" s="20" t="n">
        <x:v>45038</x:v>
      </x:c>
      <x:c r="C1382" s="4" t="str">
        <x:v>Leicester</x:v>
      </x:c>
      <x:c r="D1382" s="4" t="str">
        <x:v>Wolves</x:v>
      </x:c>
      <x:c r="E1382" s="4" t="str">
        <x:v>Home</x:v>
      </x:c>
      <x:c r="F1382" s="28" t="n">
        <x:v>2</x:v>
      </x:c>
      <x:c r="G1382" s="28" t="n">
        <x:v>1</x:v>
      </x:c>
      <x:c r="H1382" s="28" t="n">
        <x:v>15</x:v>
      </x:c>
      <x:c r="I1382" s="28" t="n">
        <x:v>16</x:v>
      </x:c>
      <x:c r="J1382" s="28" t="n">
        <x:v>8</x:v>
      </x:c>
      <x:c r="K1382" s="28" t="n">
        <x:v>3</x:v>
      </x:c>
      <x:c r="L1382" s="28" t="n">
        <x:v>1</x:v>
      </x:c>
      <x:c r="M1382" s="28" t="n">
        <x:v>7</x:v>
      </x:c>
      <x:c r="N1382" s="28" t="n">
        <x:v>1</x:v>
      </x:c>
      <x:c r="O1382" s="28" t="n">
        <x:v>0</x:v>
      </x:c>
      <x:c r="P1382" s="28" t="n">
        <x:v>3</x:v>
      </x:c>
      <x:c r="Q1382" s="24" t="n">
        <x:f>IFERROR(J1382/H1382,0)</x:f>
        <x:v>0.5333333333333333</x:v>
      </x:c>
      <x:c r="R1382" s="24" t="n">
        <x:f>IFERROR(F1382/H1382,0)</x:f>
        <x:v>0.13333333333333333</x:v>
      </x:c>
      <x:c r="S1382" s="24" t="n">
        <x:f>IFERROR(F1382/J1382,0)</x:f>
        <x:v>0.25</x:v>
      </x:c>
      <x:c r="T1382" s="28" t="n">
        <x:f>H1382-I1382</x:f>
        <x:v>-1</x:v>
      </x:c>
      <x:c r="U1382" s="24" t="n">
        <x:f>IFERROR(J1382/H1382,0)-IFERROR(K1382/I1382,0)</x:f>
        <x:v>0.3458333333333333</x:v>
      </x:c>
      <x:c r="V1382" s="24" t="n">
        <x:f>IFERROR(F1382/J1382,0)-IFERROR(G1382/K1382,0)</x:f>
        <x:v>-0.08333333333333331</x:v>
      </x:c>
      <x:c r="W1382" s="28" t="n">
        <x:f>L1382-M1382</x:f>
        <x:v>-6</x:v>
      </x:c>
      <x:c r="X1382" s="24" t="n">
        <x:f>IFERROR(K1382/I1382,0)</x:f>
        <x:v>0.1875</x:v>
      </x:c>
      <x:c r="Y1382" s="24" t="n">
        <x:f>IFERROR(G1382/I1382,0)</x:f>
        <x:v>0.0625</x:v>
      </x:c>
      <x:c r="Z1382" s="24" t="n">
        <x:f>IFERROR(G1382/K1382,0)</x:f>
        <x:v>0.3333333333333333</x:v>
      </x:c>
      <x:c r="AA1382" s="24" t="n">
        <x:f>IFERROR(F1382/H1382,0)-IFERROR(G1382/I1382,0)</x:f>
        <x:v>0.07083333333333333</x:v>
      </x:c>
      <x:c r="AB1382" s="28" t="n">
        <x:f>J1382-K1382</x:f>
        <x:v>5</x:v>
      </x:c>
      <x:c r="AC1382" s="32" t="n">
        <x:f>F1382-G1382</x:f>
        <x:v>1</x:v>
      </x:c>
    </x:row>
    <x:row r="1383">
      <x:c r="A1383" s="4" t="str">
        <x:v>2022-23</x:v>
      </x:c>
      <x:c r="B1383" s="20" t="n">
        <x:v>45038</x:v>
      </x:c>
      <x:c r="C1383" s="4" t="str">
        <x:v>Liverpool</x:v>
      </x:c>
      <x:c r="D1383" s="4" t="str">
        <x:v>Nott'm Forest</x:v>
      </x:c>
      <x:c r="E1383" s="4" t="str">
        <x:v>Home</x:v>
      </x:c>
      <x:c r="F1383" s="28" t="n">
        <x:v>3</x:v>
      </x:c>
      <x:c r="G1383" s="28" t="n">
        <x:v>2</x:v>
      </x:c>
      <x:c r="H1383" s="28" t="n">
        <x:v>18</x:v>
      </x:c>
      <x:c r="I1383" s="28" t="n">
        <x:v>11</x:v>
      </x:c>
      <x:c r="J1383" s="28" t="n">
        <x:v>6</x:v>
      </x:c>
      <x:c r="K1383" s="28" t="n">
        <x:v>5</x:v>
      </x:c>
      <x:c r="L1383" s="28" t="n">
        <x:v>9</x:v>
      </x:c>
      <x:c r="M1383" s="28" t="n">
        <x:v>3</x:v>
      </x:c>
      <x:c r="N1383" s="28" t="n">
        <x:v>0</x:v>
      </x:c>
      <x:c r="O1383" s="28" t="n">
        <x:v>0</x:v>
      </x:c>
      <x:c r="P1383" s="28" t="n">
        <x:v>3</x:v>
      </x:c>
      <x:c r="Q1383" s="24" t="n">
        <x:f>IFERROR(J1383/H1383,0)</x:f>
        <x:v>0.3333333333333333</x:v>
      </x:c>
      <x:c r="R1383" s="24" t="n">
        <x:f>IFERROR(F1383/H1383,0)</x:f>
        <x:v>0.16666666666666666</x:v>
      </x:c>
      <x:c r="S1383" s="24" t="n">
        <x:f>IFERROR(F1383/J1383,0)</x:f>
        <x:v>0.5</x:v>
      </x:c>
      <x:c r="T1383" s="28" t="n">
        <x:f>H1383-I1383</x:f>
        <x:v>7</x:v>
      </x:c>
      <x:c r="U1383" s="24" t="n">
        <x:f>IFERROR(J1383/H1383,0)-IFERROR(K1383/I1383,0)</x:f>
        <x:v>-0.12121212121212122</x:v>
      </x:c>
      <x:c r="V1383" s="24" t="n">
        <x:f>IFERROR(F1383/J1383,0)-IFERROR(G1383/K1383,0)</x:f>
        <x:v>0.09999999999999998</x:v>
      </x:c>
      <x:c r="W1383" s="28" t="n">
        <x:f>L1383-M1383</x:f>
        <x:v>6</x:v>
      </x:c>
      <x:c r="X1383" s="24" t="n">
        <x:f>IFERROR(K1383/I1383,0)</x:f>
        <x:v>0.45454545454545453</x:v>
      </x:c>
      <x:c r="Y1383" s="24" t="n">
        <x:f>IFERROR(G1383/I1383,0)</x:f>
        <x:v>0.18181818181818182</x:v>
      </x:c>
      <x:c r="Z1383" s="24" t="n">
        <x:f>IFERROR(G1383/K1383,0)</x:f>
        <x:v>0.4</x:v>
      </x:c>
      <x:c r="AA1383" s="24" t="n">
        <x:f>IFERROR(F1383/H1383,0)-IFERROR(G1383/I1383,0)</x:f>
        <x:v>-0.015151515151515166</x:v>
      </x:c>
      <x:c r="AB1383" s="28" t="n">
        <x:f>J1383-K1383</x:f>
        <x:v>1</x:v>
      </x:c>
      <x:c r="AC1383" s="32" t="n">
        <x:f>F1383-G1383</x:f>
        <x:v>1</x:v>
      </x:c>
    </x:row>
    <x:row r="1384">
      <x:c r="A1384" s="4" t="str">
        <x:v>2022-23</x:v>
      </x:c>
      <x:c r="B1384" s="20" t="n">
        <x:v>45038</x:v>
      </x:c>
      <x:c r="C1384" s="4" t="str">
        <x:v>Nott'm Forest</x:v>
      </x:c>
      <x:c r="D1384" s="4" t="str">
        <x:v>Liverpool</x:v>
      </x:c>
      <x:c r="E1384" s="4" t="str">
        <x:v>Away</x:v>
      </x:c>
      <x:c r="F1384" s="28" t="n">
        <x:v>2</x:v>
      </x:c>
      <x:c r="G1384" s="28" t="n">
        <x:v>3</x:v>
      </x:c>
      <x:c r="H1384" s="28" t="n">
        <x:v>11</x:v>
      </x:c>
      <x:c r="I1384" s="28" t="n">
        <x:v>18</x:v>
      </x:c>
      <x:c r="J1384" s="28" t="n">
        <x:v>5</x:v>
      </x:c>
      <x:c r="K1384" s="28" t="n">
        <x:v>6</x:v>
      </x:c>
      <x:c r="L1384" s="28" t="n">
        <x:v>3</x:v>
      </x:c>
      <x:c r="M1384" s="28" t="n">
        <x:v>9</x:v>
      </x:c>
      <x:c r="N1384" s="28" t="n">
        <x:v>1</x:v>
      </x:c>
      <x:c r="O1384" s="28" t="n">
        <x:v>0</x:v>
      </x:c>
      <x:c r="P1384" s="28" t="n">
        <x:v>0</x:v>
      </x:c>
      <x:c r="Q1384" s="24" t="n">
        <x:f>IFERROR(J1384/H1384,0)</x:f>
        <x:v>0.45454545454545453</x:v>
      </x:c>
      <x:c r="R1384" s="24" t="n">
        <x:f>IFERROR(F1384/H1384,0)</x:f>
        <x:v>0.18181818181818182</x:v>
      </x:c>
      <x:c r="S1384" s="24" t="n">
        <x:f>IFERROR(F1384/J1384,0)</x:f>
        <x:v>0.4</x:v>
      </x:c>
      <x:c r="T1384" s="28" t="n">
        <x:f>H1384-I1384</x:f>
        <x:v>-7</x:v>
      </x:c>
      <x:c r="U1384" s="24" t="n">
        <x:f>IFERROR(J1384/H1384,0)-IFERROR(K1384/I1384,0)</x:f>
        <x:v>0.12121212121212122</x:v>
      </x:c>
      <x:c r="V1384" s="24" t="n">
        <x:f>IFERROR(F1384/J1384,0)-IFERROR(G1384/K1384,0)</x:f>
        <x:v>-0.09999999999999998</x:v>
      </x:c>
      <x:c r="W1384" s="28" t="n">
        <x:f>L1384-M1384</x:f>
        <x:v>-6</x:v>
      </x:c>
      <x:c r="X1384" s="24" t="n">
        <x:f>IFERROR(K1384/I1384,0)</x:f>
        <x:v>0.3333333333333333</x:v>
      </x:c>
      <x:c r="Y1384" s="24" t="n">
        <x:f>IFERROR(G1384/I1384,0)</x:f>
        <x:v>0.16666666666666666</x:v>
      </x:c>
      <x:c r="Z1384" s="24" t="n">
        <x:f>IFERROR(G1384/K1384,0)</x:f>
        <x:v>0.5</x:v>
      </x:c>
      <x:c r="AA1384" s="24" t="n">
        <x:f>IFERROR(F1384/H1384,0)-IFERROR(G1384/I1384,0)</x:f>
        <x:v>0.015151515151515166</x:v>
      </x:c>
      <x:c r="AB1384" s="28" t="n">
        <x:f>J1384-K1384</x:f>
        <x:v>-1</x:v>
      </x:c>
      <x:c r="AC1384" s="32" t="n">
        <x:f>F1384-G1384</x:f>
        <x:v>-1</x:v>
      </x:c>
    </x:row>
    <x:row r="1385">
      <x:c r="A1385" s="4" t="str">
        <x:v>2022-23</x:v>
      </x:c>
      <x:c r="B1385" s="20" t="n">
        <x:v>45038</x:v>
      </x:c>
      <x:c r="C1385" s="4" t="str">
        <x:v>Wolves</x:v>
      </x:c>
      <x:c r="D1385" s="4" t="str">
        <x:v>Leicester</x:v>
      </x:c>
      <x:c r="E1385" s="4" t="str">
        <x:v>Away</x:v>
      </x:c>
      <x:c r="F1385" s="28" t="n">
        <x:v>1</x:v>
      </x:c>
      <x:c r="G1385" s="28" t="n">
        <x:v>2</x:v>
      </x:c>
      <x:c r="H1385" s="28" t="n">
        <x:v>16</x:v>
      </x:c>
      <x:c r="I1385" s="28" t="n">
        <x:v>15</x:v>
      </x:c>
      <x:c r="J1385" s="28" t="n">
        <x:v>3</x:v>
      </x:c>
      <x:c r="K1385" s="28" t="n">
        <x:v>8</x:v>
      </x:c>
      <x:c r="L1385" s="28" t="n">
        <x:v>7</x:v>
      </x:c>
      <x:c r="M1385" s="28" t="n">
        <x:v>1</x:v>
      </x:c>
      <x:c r="N1385" s="28" t="n">
        <x:v>3</x:v>
      </x:c>
      <x:c r="O1385" s="28" t="n">
        <x:v>0</x:v>
      </x:c>
      <x:c r="P1385" s="28" t="n">
        <x:v>0</x:v>
      </x:c>
      <x:c r="Q1385" s="24" t="n">
        <x:f>IFERROR(J1385/H1385,0)</x:f>
        <x:v>0.1875</x:v>
      </x:c>
      <x:c r="R1385" s="24" t="n">
        <x:f>IFERROR(F1385/H1385,0)</x:f>
        <x:v>0.0625</x:v>
      </x:c>
      <x:c r="S1385" s="24" t="n">
        <x:f>IFERROR(F1385/J1385,0)</x:f>
        <x:v>0.3333333333333333</x:v>
      </x:c>
      <x:c r="T1385" s="28" t="n">
        <x:f>H1385-I1385</x:f>
        <x:v>1</x:v>
      </x:c>
      <x:c r="U1385" s="24" t="n">
        <x:f>IFERROR(J1385/H1385,0)-IFERROR(K1385/I1385,0)</x:f>
        <x:v>-0.3458333333333333</x:v>
      </x:c>
      <x:c r="V1385" s="24" t="n">
        <x:f>IFERROR(F1385/J1385,0)-IFERROR(G1385/K1385,0)</x:f>
        <x:v>0.08333333333333331</x:v>
      </x:c>
      <x:c r="W1385" s="28" t="n">
        <x:f>L1385-M1385</x:f>
        <x:v>6</x:v>
      </x:c>
      <x:c r="X1385" s="24" t="n">
        <x:f>IFERROR(K1385/I1385,0)</x:f>
        <x:v>0.5333333333333333</x:v>
      </x:c>
      <x:c r="Y1385" s="24" t="n">
        <x:f>IFERROR(G1385/I1385,0)</x:f>
        <x:v>0.13333333333333333</x:v>
      </x:c>
      <x:c r="Z1385" s="24" t="n">
        <x:f>IFERROR(G1385/K1385,0)</x:f>
        <x:v>0.25</x:v>
      </x:c>
      <x:c r="AA1385" s="24" t="n">
        <x:f>IFERROR(F1385/H1385,0)-IFERROR(G1385/I1385,0)</x:f>
        <x:v>-0.07083333333333333</x:v>
      </x:c>
      <x:c r="AB1385" s="28" t="n">
        <x:f>J1385-K1385</x:f>
        <x:v>-5</x:v>
      </x:c>
      <x:c r="AC1385" s="32" t="n">
        <x:f>F1385-G1385</x:f>
        <x:v>-1</x:v>
      </x:c>
    </x:row>
    <x:row r="1386">
      <x:c r="A1386" s="4" t="str">
        <x:v>2022-23</x:v>
      </x:c>
      <x:c r="B1386" s="20" t="n">
        <x:v>45039</x:v>
      </x:c>
      <x:c r="C1386" s="4" t="str">
        <x:v>Bournemouth</x:v>
      </x:c>
      <x:c r="D1386" s="4" t="str">
        <x:v>West Ham</x:v>
      </x:c>
      <x:c r="E1386" s="4" t="str">
        <x:v>Home</x:v>
      </x:c>
      <x:c r="F1386" s="28" t="n">
        <x:v>0</x:v>
      </x:c>
      <x:c r="G1386" s="28" t="n">
        <x:v>4</x:v>
      </x:c>
      <x:c r="H1386" s="28" t="n">
        <x:v>17</x:v>
      </x:c>
      <x:c r="I1386" s="28" t="n">
        <x:v>18</x:v>
      </x:c>
      <x:c r="J1386" s="28" t="n">
        <x:v>5</x:v>
      </x:c>
      <x:c r="K1386" s="28" t="n">
        <x:v>10</x:v>
      </x:c>
      <x:c r="L1386" s="28" t="n">
        <x:v>8</x:v>
      </x:c>
      <x:c r="M1386" s="28" t="n">
        <x:v>5</x:v>
      </x:c>
      <x:c r="N1386" s="28" t="n">
        <x:v>1</x:v>
      </x:c>
      <x:c r="O1386" s="28" t="n">
        <x:v>0</x:v>
      </x:c>
      <x:c r="P1386" s="28" t="n">
        <x:v>0</x:v>
      </x:c>
      <x:c r="Q1386" s="24" t="n">
        <x:f>IFERROR(J1386/H1386,0)</x:f>
        <x:v>0.29411764705882354</x:v>
      </x:c>
      <x:c r="R1386" s="24" t="n">
        <x:f>IFERROR(F1386/H1386,0)</x:f>
        <x:v>0</x:v>
      </x:c>
      <x:c r="S1386" s="24" t="n">
        <x:f>IFERROR(F1386/J1386,0)</x:f>
        <x:v>0</x:v>
      </x:c>
      <x:c r="T1386" s="28" t="n">
        <x:f>H1386-I1386</x:f>
        <x:v>-1</x:v>
      </x:c>
      <x:c r="U1386" s="24" t="n">
        <x:f>IFERROR(J1386/H1386,0)-IFERROR(K1386/I1386,0)</x:f>
        <x:v>-0.26143790849673204</x:v>
      </x:c>
      <x:c r="V1386" s="24" t="n">
        <x:f>IFERROR(F1386/J1386,0)-IFERROR(G1386/K1386,0)</x:f>
        <x:v>-0.4</x:v>
      </x:c>
      <x:c r="W1386" s="28" t="n">
        <x:f>L1386-M1386</x:f>
        <x:v>3</x:v>
      </x:c>
      <x:c r="X1386" s="24" t="n">
        <x:f>IFERROR(K1386/I1386,0)</x:f>
        <x:v>0.5555555555555556</x:v>
      </x:c>
      <x:c r="Y1386" s="24" t="n">
        <x:f>IFERROR(G1386/I1386,0)</x:f>
        <x:v>0.2222222222222222</x:v>
      </x:c>
      <x:c r="Z1386" s="24" t="n">
        <x:f>IFERROR(G1386/K1386,0)</x:f>
        <x:v>0.4</x:v>
      </x:c>
      <x:c r="AA1386" s="24" t="n">
        <x:f>IFERROR(F1386/H1386,0)-IFERROR(G1386/I1386,0)</x:f>
        <x:v>-0.2222222222222222</x:v>
      </x:c>
      <x:c r="AB1386" s="28" t="n">
        <x:f>J1386-K1386</x:f>
        <x:v>-5</x:v>
      </x:c>
      <x:c r="AC1386" s="32" t="n">
        <x:f>F1386-G1386</x:f>
        <x:v>-4</x:v>
      </x:c>
    </x:row>
    <x:row r="1387">
      <x:c r="A1387" s="4" t="str">
        <x:v>2022-23</x:v>
      </x:c>
      <x:c r="B1387" s="20" t="n">
        <x:v>45039</x:v>
      </x:c>
      <x:c r="C1387" s="4" t="str">
        <x:v>Newcastle</x:v>
      </x:c>
      <x:c r="D1387" s="4" t="str">
        <x:v>Tottenham</x:v>
      </x:c>
      <x:c r="E1387" s="4" t="str">
        <x:v>Home</x:v>
      </x:c>
      <x:c r="F1387" s="28" t="n">
        <x:v>6</x:v>
      </x:c>
      <x:c r="G1387" s="28" t="n">
        <x:v>1</x:v>
      </x:c>
      <x:c r="H1387" s="28" t="n">
        <x:v>25</x:v>
      </x:c>
      <x:c r="I1387" s="28" t="n">
        <x:v>11</x:v>
      </x:c>
      <x:c r="J1387" s="28" t="n">
        <x:v>8</x:v>
      </x:c>
      <x:c r="K1387" s="28" t="n">
        <x:v>3</x:v>
      </x:c>
      <x:c r="L1387" s="28" t="n">
        <x:v>9</x:v>
      </x:c>
      <x:c r="M1387" s="28" t="n">
        <x:v>3</x:v>
      </x:c>
      <x:c r="N1387" s="28" t="n">
        <x:v>0</x:v>
      </x:c>
      <x:c r="O1387" s="28" t="n">
        <x:v>0</x:v>
      </x:c>
      <x:c r="P1387" s="28" t="n">
        <x:v>3</x:v>
      </x:c>
      <x:c r="Q1387" s="24" t="n">
        <x:f>IFERROR(J1387/H1387,0)</x:f>
        <x:v>0.32</x:v>
      </x:c>
      <x:c r="R1387" s="24" t="n">
        <x:f>IFERROR(F1387/H1387,0)</x:f>
        <x:v>0.24</x:v>
      </x:c>
      <x:c r="S1387" s="24" t="n">
        <x:f>IFERROR(F1387/J1387,0)</x:f>
        <x:v>0.75</x:v>
      </x:c>
      <x:c r="T1387" s="28" t="n">
        <x:f>H1387-I1387</x:f>
        <x:v>14</x:v>
      </x:c>
      <x:c r="U1387" s="24" t="n">
        <x:f>IFERROR(J1387/H1387,0)-IFERROR(K1387/I1387,0)</x:f>
        <x:v>0.0472727272727273</x:v>
      </x:c>
      <x:c r="V1387" s="24" t="n">
        <x:f>IFERROR(F1387/J1387,0)-IFERROR(G1387/K1387,0)</x:f>
        <x:v>0.4166666666666667</x:v>
      </x:c>
      <x:c r="W1387" s="28" t="n">
        <x:f>L1387-M1387</x:f>
        <x:v>6</x:v>
      </x:c>
      <x:c r="X1387" s="24" t="n">
        <x:f>IFERROR(K1387/I1387,0)</x:f>
        <x:v>0.2727272727272727</x:v>
      </x:c>
      <x:c r="Y1387" s="24" t="n">
        <x:f>IFERROR(G1387/I1387,0)</x:f>
        <x:v>0.09090909090909091</x:v>
      </x:c>
      <x:c r="Z1387" s="24" t="n">
        <x:f>IFERROR(G1387/K1387,0)</x:f>
        <x:v>0.3333333333333333</x:v>
      </x:c>
      <x:c r="AA1387" s="24" t="n">
        <x:f>IFERROR(F1387/H1387,0)-IFERROR(G1387/I1387,0)</x:f>
        <x:v>0.14909090909090908</x:v>
      </x:c>
      <x:c r="AB1387" s="28" t="n">
        <x:f>J1387-K1387</x:f>
        <x:v>5</x:v>
      </x:c>
      <x:c r="AC1387" s="32" t="n">
        <x:f>F1387-G1387</x:f>
        <x:v>5</x:v>
      </x:c>
    </x:row>
    <x:row r="1388">
      <x:c r="A1388" s="4" t="str">
        <x:v>2022-23</x:v>
      </x:c>
      <x:c r="B1388" s="20" t="n">
        <x:v>45039</x:v>
      </x:c>
      <x:c r="C1388" s="4" t="str">
        <x:v>Tottenham</x:v>
      </x:c>
      <x:c r="D1388" s="4" t="str">
        <x:v>Newcastle</x:v>
      </x:c>
      <x:c r="E1388" s="4" t="str">
        <x:v>Away</x:v>
      </x:c>
      <x:c r="F1388" s="28" t="n">
        <x:v>1</x:v>
      </x:c>
      <x:c r="G1388" s="28" t="n">
        <x:v>6</x:v>
      </x:c>
      <x:c r="H1388" s="28" t="n">
        <x:v>11</x:v>
      </x:c>
      <x:c r="I1388" s="28" t="n">
        <x:v>25</x:v>
      </x:c>
      <x:c r="J1388" s="28" t="n">
        <x:v>3</x:v>
      </x:c>
      <x:c r="K1388" s="28" t="n">
        <x:v>8</x:v>
      </x:c>
      <x:c r="L1388" s="28" t="n">
        <x:v>3</x:v>
      </x:c>
      <x:c r="M1388" s="28" t="n">
        <x:v>9</x:v>
      </x:c>
      <x:c r="N1388" s="28" t="n">
        <x:v>3</x:v>
      </x:c>
      <x:c r="O1388" s="28" t="n">
        <x:v>0</x:v>
      </x:c>
      <x:c r="P1388" s="28" t="n">
        <x:v>0</x:v>
      </x:c>
      <x:c r="Q1388" s="24" t="n">
        <x:f>IFERROR(J1388/H1388,0)</x:f>
        <x:v>0.2727272727272727</x:v>
      </x:c>
      <x:c r="R1388" s="24" t="n">
        <x:f>IFERROR(F1388/H1388,0)</x:f>
        <x:v>0.09090909090909091</x:v>
      </x:c>
      <x:c r="S1388" s="24" t="n">
        <x:f>IFERROR(F1388/J1388,0)</x:f>
        <x:v>0.3333333333333333</x:v>
      </x:c>
      <x:c r="T1388" s="28" t="n">
        <x:f>H1388-I1388</x:f>
        <x:v>-14</x:v>
      </x:c>
      <x:c r="U1388" s="24" t="n">
        <x:f>IFERROR(J1388/H1388,0)-IFERROR(K1388/I1388,0)</x:f>
        <x:v>-0.0472727272727273</x:v>
      </x:c>
      <x:c r="V1388" s="24" t="n">
        <x:f>IFERROR(F1388/J1388,0)-IFERROR(G1388/K1388,0)</x:f>
        <x:v>-0.4166666666666667</x:v>
      </x:c>
      <x:c r="W1388" s="28" t="n">
        <x:f>L1388-M1388</x:f>
        <x:v>-6</x:v>
      </x:c>
      <x:c r="X1388" s="24" t="n">
        <x:f>IFERROR(K1388/I1388,0)</x:f>
        <x:v>0.32</x:v>
      </x:c>
      <x:c r="Y1388" s="24" t="n">
        <x:f>IFERROR(G1388/I1388,0)</x:f>
        <x:v>0.24</x:v>
      </x:c>
      <x:c r="Z1388" s="24" t="n">
        <x:f>IFERROR(G1388/K1388,0)</x:f>
        <x:v>0.75</x:v>
      </x:c>
      <x:c r="AA1388" s="24" t="n">
        <x:f>IFERROR(F1388/H1388,0)-IFERROR(G1388/I1388,0)</x:f>
        <x:v>-0.14909090909090908</x:v>
      </x:c>
      <x:c r="AB1388" s="28" t="n">
        <x:f>J1388-K1388</x:f>
        <x:v>-5</x:v>
      </x:c>
      <x:c r="AC1388" s="32" t="n">
        <x:f>F1388-G1388</x:f>
        <x:v>-5</x:v>
      </x:c>
    </x:row>
    <x:row r="1389">
      <x:c r="A1389" s="4" t="str">
        <x:v>2022-23</x:v>
      </x:c>
      <x:c r="B1389" s="20" t="n">
        <x:v>45039</x:v>
      </x:c>
      <x:c r="C1389" s="4" t="str">
        <x:v>West Ham</x:v>
      </x:c>
      <x:c r="D1389" s="4" t="str">
        <x:v>Bournemouth</x:v>
      </x:c>
      <x:c r="E1389" s="4" t="str">
        <x:v>Away</x:v>
      </x:c>
      <x:c r="F1389" s="28" t="n">
        <x:v>4</x:v>
      </x:c>
      <x:c r="G1389" s="28" t="n">
        <x:v>0</x:v>
      </x:c>
      <x:c r="H1389" s="28" t="n">
        <x:v>18</x:v>
      </x:c>
      <x:c r="I1389" s="28" t="n">
        <x:v>17</x:v>
      </x:c>
      <x:c r="J1389" s="28" t="n">
        <x:v>10</x:v>
      </x:c>
      <x:c r="K1389" s="28" t="n">
        <x:v>5</x:v>
      </x:c>
      <x:c r="L1389" s="28" t="n">
        <x:v>5</x:v>
      </x:c>
      <x:c r="M1389" s="28" t="n">
        <x:v>8</x:v>
      </x:c>
      <x:c r="N1389" s="28" t="n">
        <x:v>2</x:v>
      </x:c>
      <x:c r="O1389" s="28" t="n">
        <x:v>0</x:v>
      </x:c>
      <x:c r="P1389" s="28" t="n">
        <x:v>3</x:v>
      </x:c>
      <x:c r="Q1389" s="24" t="n">
        <x:f>IFERROR(J1389/H1389,0)</x:f>
        <x:v>0.5555555555555556</x:v>
      </x:c>
      <x:c r="R1389" s="24" t="n">
        <x:f>IFERROR(F1389/H1389,0)</x:f>
        <x:v>0.2222222222222222</x:v>
      </x:c>
      <x:c r="S1389" s="24" t="n">
        <x:f>IFERROR(F1389/J1389,0)</x:f>
        <x:v>0.4</x:v>
      </x:c>
      <x:c r="T1389" s="28" t="n">
        <x:f>H1389-I1389</x:f>
        <x:v>1</x:v>
      </x:c>
      <x:c r="U1389" s="24" t="n">
        <x:f>IFERROR(J1389/H1389,0)-IFERROR(K1389/I1389,0)</x:f>
        <x:v>0.26143790849673204</x:v>
      </x:c>
      <x:c r="V1389" s="24" t="n">
        <x:f>IFERROR(F1389/J1389,0)-IFERROR(G1389/K1389,0)</x:f>
        <x:v>0.4</x:v>
      </x:c>
      <x:c r="W1389" s="28" t="n">
        <x:f>L1389-M1389</x:f>
        <x:v>-3</x:v>
      </x:c>
      <x:c r="X1389" s="24" t="n">
        <x:f>IFERROR(K1389/I1389,0)</x:f>
        <x:v>0.29411764705882354</x:v>
      </x:c>
      <x:c r="Y1389" s="24" t="n">
        <x:f>IFERROR(G1389/I1389,0)</x:f>
        <x:v>0</x:v>
      </x:c>
      <x:c r="Z1389" s="24" t="n">
        <x:f>IFERROR(G1389/K1389,0)</x:f>
        <x:v>0</x:v>
      </x:c>
      <x:c r="AA1389" s="24" t="n">
        <x:f>IFERROR(F1389/H1389,0)-IFERROR(G1389/I1389,0)</x:f>
        <x:v>0.2222222222222222</x:v>
      </x:c>
      <x:c r="AB1389" s="28" t="n">
        <x:f>J1389-K1389</x:f>
        <x:v>5</x:v>
      </x:c>
      <x:c r="AC1389" s="32" t="n">
        <x:f>F1389-G1389</x:f>
        <x:v>4</x:v>
      </x:c>
    </x:row>
    <x:row r="1390">
      <x:c r="A1390" s="4" t="str">
        <x:v>2022-23</x:v>
      </x:c>
      <x:c r="B1390" s="20" t="n">
        <x:v>45041</x:v>
      </x:c>
      <x:c r="C1390" s="4" t="str">
        <x:v>Aston Villa</x:v>
      </x:c>
      <x:c r="D1390" s="4" t="str">
        <x:v>Fulham</x:v>
      </x:c>
      <x:c r="E1390" s="4" t="str">
        <x:v>Home</x:v>
      </x:c>
      <x:c r="F1390" s="28" t="n">
        <x:v>1</x:v>
      </x:c>
      <x:c r="G1390" s="28" t="n">
        <x:v>0</x:v>
      </x:c>
      <x:c r="H1390" s="28" t="n">
        <x:v>14</x:v>
      </x:c>
      <x:c r="I1390" s="28" t="n">
        <x:v>1</x:v>
      </x:c>
      <x:c r="J1390" s="28" t="n">
        <x:v>3</x:v>
      </x:c>
      <x:c r="K1390" s="28" t="n">
        <x:v>0</x:v>
      </x:c>
      <x:c r="L1390" s="28" t="n">
        <x:v>8</x:v>
      </x:c>
      <x:c r="M1390" s="28" t="n">
        <x:v>2</x:v>
      </x:c>
      <x:c r="N1390" s="28" t="n">
        <x:v>3</x:v>
      </x:c>
      <x:c r="O1390" s="28" t="n">
        <x:v>0</x:v>
      </x:c>
      <x:c r="P1390" s="28" t="n">
        <x:v>3</x:v>
      </x:c>
      <x:c r="Q1390" s="24" t="n">
        <x:f>IFERROR(J1390/H1390,0)</x:f>
        <x:v>0.21428571428571427</x:v>
      </x:c>
      <x:c r="R1390" s="24" t="n">
        <x:f>IFERROR(F1390/H1390,0)</x:f>
        <x:v>0.07142857142857142</x:v>
      </x:c>
      <x:c r="S1390" s="24" t="n">
        <x:f>IFERROR(F1390/J1390,0)</x:f>
        <x:v>0.3333333333333333</x:v>
      </x:c>
      <x:c r="T1390" s="28" t="n">
        <x:f>H1390-I1390</x:f>
        <x:v>13</x:v>
      </x:c>
      <x:c r="U1390" s="24" t="n">
        <x:f>IFERROR(J1390/H1390,0)-IFERROR(K1390/I1390,0)</x:f>
        <x:v>0.21428571428571427</x:v>
      </x:c>
      <x:c r="V1390" s="24" t="n">
        <x:f>IFERROR(F1390/J1390,0)-IFERROR(G1390/K1390,0)</x:f>
        <x:v>0.3333333333333333</x:v>
      </x:c>
      <x:c r="W1390" s="28" t="n">
        <x:f>L1390-M1390</x:f>
        <x:v>6</x:v>
      </x:c>
      <x:c r="X1390" s="24" t="n">
        <x:f>IFERROR(K1390/I1390,0)</x:f>
        <x:v>0</x:v>
      </x:c>
      <x:c r="Y1390" s="24" t="n">
        <x:f>IFERROR(G1390/I1390,0)</x:f>
        <x:v>0</x:v>
      </x:c>
      <x:c r="Z1390" s="24" t="n">
        <x:f>IFERROR(G1390/K1390,0)</x:f>
        <x:v>0</x:v>
      </x:c>
      <x:c r="AA1390" s="24" t="n">
        <x:f>IFERROR(F1390/H1390,0)-IFERROR(G1390/I1390,0)</x:f>
        <x:v>0.07142857142857142</x:v>
      </x:c>
      <x:c r="AB1390" s="28" t="n">
        <x:f>J1390-K1390</x:f>
        <x:v>3</x:v>
      </x:c>
      <x:c r="AC1390" s="32" t="n">
        <x:f>F1390-G1390</x:f>
        <x:v>1</x:v>
      </x:c>
    </x:row>
    <x:row r="1391">
      <x:c r="A1391" s="4" t="str">
        <x:v>2022-23</x:v>
      </x:c>
      <x:c r="B1391" s="20" t="n">
        <x:v>45041</x:v>
      </x:c>
      <x:c r="C1391" s="4" t="str">
        <x:v>Crystal Palace</x:v>
      </x:c>
      <x:c r="D1391" s="4" t="str">
        <x:v>Wolves</x:v>
      </x:c>
      <x:c r="E1391" s="4" t="str">
        <x:v>Away</x:v>
      </x:c>
      <x:c r="F1391" s="28" t="n">
        <x:v>0</x:v>
      </x:c>
      <x:c r="G1391" s="28" t="n">
        <x:v>2</x:v>
      </x:c>
      <x:c r="H1391" s="28" t="n">
        <x:v>14</x:v>
      </x:c>
      <x:c r="I1391" s="28" t="n">
        <x:v>9</x:v>
      </x:c>
      <x:c r="J1391" s="28" t="n">
        <x:v>4</x:v>
      </x:c>
      <x:c r="K1391" s="28" t="n">
        <x:v>3</x:v>
      </x:c>
      <x:c r="L1391" s="28" t="n">
        <x:v>11</x:v>
      </x:c>
      <x:c r="M1391" s="28" t="n">
        <x:v>6</x:v>
      </x:c>
      <x:c r="N1391" s="28" t="n">
        <x:v>4</x:v>
      </x:c>
      <x:c r="O1391" s="28" t="n">
        <x:v>0</x:v>
      </x:c>
      <x:c r="P1391" s="28" t="n">
        <x:v>0</x:v>
      </x:c>
      <x:c r="Q1391" s="24" t="n">
        <x:f>IFERROR(J1391/H1391,0)</x:f>
        <x:v>0.2857142857142857</x:v>
      </x:c>
      <x:c r="R1391" s="24" t="n">
        <x:f>IFERROR(F1391/H1391,0)</x:f>
        <x:v>0</x:v>
      </x:c>
      <x:c r="S1391" s="24" t="n">
        <x:f>IFERROR(F1391/J1391,0)</x:f>
        <x:v>0</x:v>
      </x:c>
      <x:c r="T1391" s="28" t="n">
        <x:f>H1391-I1391</x:f>
        <x:v>5</x:v>
      </x:c>
      <x:c r="U1391" s="24" t="n">
        <x:f>IFERROR(J1391/H1391,0)-IFERROR(K1391/I1391,0)</x:f>
        <x:v>-0.047619047619047616</x:v>
      </x:c>
      <x:c r="V1391" s="24" t="n">
        <x:f>IFERROR(F1391/J1391,0)-IFERROR(G1391/K1391,0)</x:f>
        <x:v>-0.6666666666666666</x:v>
      </x:c>
      <x:c r="W1391" s="28" t="n">
        <x:f>L1391-M1391</x:f>
        <x:v>5</x:v>
      </x:c>
      <x:c r="X1391" s="24" t="n">
        <x:f>IFERROR(K1391/I1391,0)</x:f>
        <x:v>0.3333333333333333</x:v>
      </x:c>
      <x:c r="Y1391" s="24" t="n">
        <x:f>IFERROR(G1391/I1391,0)</x:f>
        <x:v>0.2222222222222222</x:v>
      </x:c>
      <x:c r="Z1391" s="24" t="n">
        <x:f>IFERROR(G1391/K1391,0)</x:f>
        <x:v>0.6666666666666666</x:v>
      </x:c>
      <x:c r="AA1391" s="24" t="n">
        <x:f>IFERROR(F1391/H1391,0)-IFERROR(G1391/I1391,0)</x:f>
        <x:v>-0.2222222222222222</x:v>
      </x:c>
      <x:c r="AB1391" s="28" t="n">
        <x:f>J1391-K1391</x:f>
        <x:v>1</x:v>
      </x:c>
      <x:c r="AC1391" s="32" t="n">
        <x:f>F1391-G1391</x:f>
        <x:v>-2</x:v>
      </x:c>
    </x:row>
    <x:row r="1392">
      <x:c r="A1392" s="4" t="str">
        <x:v>2022-23</x:v>
      </x:c>
      <x:c r="B1392" s="20" t="n">
        <x:v>45041</x:v>
      </x:c>
      <x:c r="C1392" s="4" t="str">
        <x:v>Fulham</x:v>
      </x:c>
      <x:c r="D1392" s="4" t="str">
        <x:v>Aston Villa</x:v>
      </x:c>
      <x:c r="E1392" s="4" t="str">
        <x:v>Away</x:v>
      </x:c>
      <x:c r="F1392" s="28" t="n">
        <x:v>0</x:v>
      </x:c>
      <x:c r="G1392" s="28" t="n">
        <x:v>1</x:v>
      </x:c>
      <x:c r="H1392" s="28" t="n">
        <x:v>1</x:v>
      </x:c>
      <x:c r="I1392" s="28" t="n">
        <x:v>14</x:v>
      </x:c>
      <x:c r="J1392" s="28" t="n">
        <x:v>0</x:v>
      </x:c>
      <x:c r="K1392" s="28" t="n">
        <x:v>3</x:v>
      </x:c>
      <x:c r="L1392" s="28" t="n">
        <x:v>2</x:v>
      </x:c>
      <x:c r="M1392" s="28" t="n">
        <x:v>8</x:v>
      </x:c>
      <x:c r="N1392" s="28" t="n">
        <x:v>2</x:v>
      </x:c>
      <x:c r="O1392" s="28" t="n">
        <x:v>0</x:v>
      </x:c>
      <x:c r="P1392" s="28" t="n">
        <x:v>0</x:v>
      </x:c>
      <x:c r="Q1392" s="24" t="n">
        <x:f>IFERROR(J1392/H1392,0)</x:f>
        <x:v>0</x:v>
      </x:c>
      <x:c r="R1392" s="24" t="n">
        <x:f>IFERROR(F1392/H1392,0)</x:f>
        <x:v>0</x:v>
      </x:c>
      <x:c r="S1392" s="24" t="n">
        <x:f>IFERROR(F1392/J1392,0)</x:f>
        <x:v>0</x:v>
      </x:c>
      <x:c r="T1392" s="28" t="n">
        <x:f>H1392-I1392</x:f>
        <x:v>-13</x:v>
      </x:c>
      <x:c r="U1392" s="24" t="n">
        <x:f>IFERROR(J1392/H1392,0)-IFERROR(K1392/I1392,0)</x:f>
        <x:v>-0.21428571428571427</x:v>
      </x:c>
      <x:c r="V1392" s="24" t="n">
        <x:f>IFERROR(F1392/J1392,0)-IFERROR(G1392/K1392,0)</x:f>
        <x:v>-0.3333333333333333</x:v>
      </x:c>
      <x:c r="W1392" s="28" t="n">
        <x:f>L1392-M1392</x:f>
        <x:v>-6</x:v>
      </x:c>
      <x:c r="X1392" s="24" t="n">
        <x:f>IFERROR(K1392/I1392,0)</x:f>
        <x:v>0.21428571428571427</x:v>
      </x:c>
      <x:c r="Y1392" s="24" t="n">
        <x:f>IFERROR(G1392/I1392,0)</x:f>
        <x:v>0.07142857142857142</x:v>
      </x:c>
      <x:c r="Z1392" s="24" t="n">
        <x:f>IFERROR(G1392/K1392,0)</x:f>
        <x:v>0.3333333333333333</x:v>
      </x:c>
      <x:c r="AA1392" s="24" t="n">
        <x:f>IFERROR(F1392/H1392,0)-IFERROR(G1392/I1392,0)</x:f>
        <x:v>-0.07142857142857142</x:v>
      </x:c>
      <x:c r="AB1392" s="28" t="n">
        <x:f>J1392-K1392</x:f>
        <x:v>-3</x:v>
      </x:c>
      <x:c r="AC1392" s="32" t="n">
        <x:f>F1392-G1392</x:f>
        <x:v>-1</x:v>
      </x:c>
    </x:row>
    <x:row r="1393">
      <x:c r="A1393" s="4" t="str">
        <x:v>2022-23</x:v>
      </x:c>
      <x:c r="B1393" s="20" t="n">
        <x:v>45041</x:v>
      </x:c>
      <x:c r="C1393" s="4" t="str">
        <x:v>Leeds</x:v>
      </x:c>
      <x:c r="D1393" s="4" t="str">
        <x:v>Leicester</x:v>
      </x:c>
      <x:c r="E1393" s="4" t="str">
        <x:v>Home</x:v>
      </x:c>
      <x:c r="F1393" s="28" t="n">
        <x:v>1</x:v>
      </x:c>
      <x:c r="G1393" s="28" t="n">
        <x:v>1</x:v>
      </x:c>
      <x:c r="H1393" s="28" t="n">
        <x:v>13</x:v>
      </x:c>
      <x:c r="I1393" s="28" t="n">
        <x:v>15</x:v>
      </x:c>
      <x:c r="J1393" s="28" t="n">
        <x:v>3</x:v>
      </x:c>
      <x:c r="K1393" s="28" t="n">
        <x:v>3</x:v>
      </x:c>
      <x:c r="L1393" s="28" t="n">
        <x:v>3</x:v>
      </x:c>
      <x:c r="M1393" s="28" t="n">
        <x:v>6</x:v>
      </x:c>
      <x:c r="N1393" s="28" t="n">
        <x:v>4</x:v>
      </x:c>
      <x:c r="O1393" s="28" t="n">
        <x:v>0</x:v>
      </x:c>
      <x:c r="P1393" s="28" t="n">
        <x:v>1</x:v>
      </x:c>
      <x:c r="Q1393" s="24" t="n">
        <x:f>IFERROR(J1393/H1393,0)</x:f>
        <x:v>0.23076923076923078</x:v>
      </x:c>
      <x:c r="R1393" s="24" t="n">
        <x:f>IFERROR(F1393/H1393,0)</x:f>
        <x:v>0.07692307692307693</x:v>
      </x:c>
      <x:c r="S1393" s="24" t="n">
        <x:f>IFERROR(F1393/J1393,0)</x:f>
        <x:v>0.3333333333333333</x:v>
      </x:c>
      <x:c r="T1393" s="28" t="n">
        <x:f>H1393-I1393</x:f>
        <x:v>-2</x:v>
      </x:c>
      <x:c r="U1393" s="24" t="n">
        <x:f>IFERROR(J1393/H1393,0)-IFERROR(K1393/I1393,0)</x:f>
        <x:v>0.03076923076923077</x:v>
      </x:c>
      <x:c r="V1393" s="24" t="n">
        <x:f>IFERROR(F1393/J1393,0)-IFERROR(G1393/K1393,0)</x:f>
        <x:v>0</x:v>
      </x:c>
      <x:c r="W1393" s="28" t="n">
        <x:f>L1393-M1393</x:f>
        <x:v>-3</x:v>
      </x:c>
      <x:c r="X1393" s="24" t="n">
        <x:f>IFERROR(K1393/I1393,0)</x:f>
        <x:v>0.2</x:v>
      </x:c>
      <x:c r="Y1393" s="24" t="n">
        <x:f>IFERROR(G1393/I1393,0)</x:f>
        <x:v>0.06666666666666667</x:v>
      </x:c>
      <x:c r="Z1393" s="24" t="n">
        <x:f>IFERROR(G1393/K1393,0)</x:f>
        <x:v>0.3333333333333333</x:v>
      </x:c>
      <x:c r="AA1393" s="24" t="n">
        <x:f>IFERROR(F1393/H1393,0)-IFERROR(G1393/I1393,0)</x:f>
        <x:v>0.010256410256410262</x:v>
      </x:c>
      <x:c r="AB1393" s="28" t="n">
        <x:f>J1393-K1393</x:f>
        <x:v>0</x:v>
      </x:c>
      <x:c r="AC1393" s="32" t="n">
        <x:f>F1393-G1393</x:f>
        <x:v>0</x:v>
      </x:c>
    </x:row>
    <x:row r="1394">
      <x:c r="A1394" s="4" t="str">
        <x:v>2022-23</x:v>
      </x:c>
      <x:c r="B1394" s="20" t="n">
        <x:v>45041</x:v>
      </x:c>
      <x:c r="C1394" s="4" t="str">
        <x:v>Leicester</x:v>
      </x:c>
      <x:c r="D1394" s="4" t="str">
        <x:v>Leeds</x:v>
      </x:c>
      <x:c r="E1394" s="4" t="str">
        <x:v>Away</x:v>
      </x:c>
      <x:c r="F1394" s="28" t="n">
        <x:v>1</x:v>
      </x:c>
      <x:c r="G1394" s="28" t="n">
        <x:v>1</x:v>
      </x:c>
      <x:c r="H1394" s="28" t="n">
        <x:v>15</x:v>
      </x:c>
      <x:c r="I1394" s="28" t="n">
        <x:v>13</x:v>
      </x:c>
      <x:c r="J1394" s="28" t="n">
        <x:v>3</x:v>
      </x:c>
      <x:c r="K1394" s="28" t="n">
        <x:v>3</x:v>
      </x:c>
      <x:c r="L1394" s="28" t="n">
        <x:v>6</x:v>
      </x:c>
      <x:c r="M1394" s="28" t="n">
        <x:v>3</x:v>
      </x:c>
      <x:c r="N1394" s="28" t="n">
        <x:v>2</x:v>
      </x:c>
      <x:c r="O1394" s="28" t="n">
        <x:v>0</x:v>
      </x:c>
      <x:c r="P1394" s="28" t="n">
        <x:v>1</x:v>
      </x:c>
      <x:c r="Q1394" s="24" t="n">
        <x:f>IFERROR(J1394/H1394,0)</x:f>
        <x:v>0.2</x:v>
      </x:c>
      <x:c r="R1394" s="24" t="n">
        <x:f>IFERROR(F1394/H1394,0)</x:f>
        <x:v>0.06666666666666667</x:v>
      </x:c>
      <x:c r="S1394" s="24" t="n">
        <x:f>IFERROR(F1394/J1394,0)</x:f>
        <x:v>0.3333333333333333</x:v>
      </x:c>
      <x:c r="T1394" s="28" t="n">
        <x:f>H1394-I1394</x:f>
        <x:v>2</x:v>
      </x:c>
      <x:c r="U1394" s="24" t="n">
        <x:f>IFERROR(J1394/H1394,0)-IFERROR(K1394/I1394,0)</x:f>
        <x:v>-0.03076923076923077</x:v>
      </x:c>
      <x:c r="V1394" s="24" t="n">
        <x:f>IFERROR(F1394/J1394,0)-IFERROR(G1394/K1394,0)</x:f>
        <x:v>0</x:v>
      </x:c>
      <x:c r="W1394" s="28" t="n">
        <x:f>L1394-M1394</x:f>
        <x:v>3</x:v>
      </x:c>
      <x:c r="X1394" s="24" t="n">
        <x:f>IFERROR(K1394/I1394,0)</x:f>
        <x:v>0.23076923076923078</x:v>
      </x:c>
      <x:c r="Y1394" s="24" t="n">
        <x:f>IFERROR(G1394/I1394,0)</x:f>
        <x:v>0.07692307692307693</x:v>
      </x:c>
      <x:c r="Z1394" s="24" t="n">
        <x:f>IFERROR(G1394/K1394,0)</x:f>
        <x:v>0.3333333333333333</x:v>
      </x:c>
      <x:c r="AA1394" s="24" t="n">
        <x:f>IFERROR(F1394/H1394,0)-IFERROR(G1394/I1394,0)</x:f>
        <x:v>-0.010256410256410262</x:v>
      </x:c>
      <x:c r="AB1394" s="28" t="n">
        <x:f>J1394-K1394</x:f>
        <x:v>0</x:v>
      </x:c>
      <x:c r="AC1394" s="32" t="n">
        <x:f>F1394-G1394</x:f>
        <x:v>0</x:v>
      </x:c>
    </x:row>
    <x:row r="1395">
      <x:c r="A1395" s="4" t="str">
        <x:v>2022-23</x:v>
      </x:c>
      <x:c r="B1395" s="20" t="n">
        <x:v>45041</x:v>
      </x:c>
      <x:c r="C1395" s="4" t="str">
        <x:v>Wolves</x:v>
      </x:c>
      <x:c r="D1395" s="4" t="str">
        <x:v>Crystal Palace</x:v>
      </x:c>
      <x:c r="E1395" s="4" t="str">
        <x:v>Home</x:v>
      </x:c>
      <x:c r="F1395" s="28" t="n">
        <x:v>2</x:v>
      </x:c>
      <x:c r="G1395" s="28" t="n">
        <x:v>0</x:v>
      </x:c>
      <x:c r="H1395" s="28" t="n">
        <x:v>9</x:v>
      </x:c>
      <x:c r="I1395" s="28" t="n">
        <x:v>14</x:v>
      </x:c>
      <x:c r="J1395" s="28" t="n">
        <x:v>3</x:v>
      </x:c>
      <x:c r="K1395" s="28" t="n">
        <x:v>4</x:v>
      </x:c>
      <x:c r="L1395" s="28" t="n">
        <x:v>6</x:v>
      </x:c>
      <x:c r="M1395" s="28" t="n">
        <x:v>11</x:v>
      </x:c>
      <x:c r="N1395" s="28" t="n">
        <x:v>5</x:v>
      </x:c>
      <x:c r="O1395" s="28" t="n">
        <x:v>0</x:v>
      </x:c>
      <x:c r="P1395" s="28" t="n">
        <x:v>3</x:v>
      </x:c>
      <x:c r="Q1395" s="24" t="n">
        <x:f>IFERROR(J1395/H1395,0)</x:f>
        <x:v>0.3333333333333333</x:v>
      </x:c>
      <x:c r="R1395" s="24" t="n">
        <x:f>IFERROR(F1395/H1395,0)</x:f>
        <x:v>0.2222222222222222</x:v>
      </x:c>
      <x:c r="S1395" s="24" t="n">
        <x:f>IFERROR(F1395/J1395,0)</x:f>
        <x:v>0.6666666666666666</x:v>
      </x:c>
      <x:c r="T1395" s="28" t="n">
        <x:f>H1395-I1395</x:f>
        <x:v>-5</x:v>
      </x:c>
      <x:c r="U1395" s="24" t="n">
        <x:f>IFERROR(J1395/H1395,0)-IFERROR(K1395/I1395,0)</x:f>
        <x:v>0.047619047619047616</x:v>
      </x:c>
      <x:c r="V1395" s="24" t="n">
        <x:f>IFERROR(F1395/J1395,0)-IFERROR(G1395/K1395,0)</x:f>
        <x:v>0.6666666666666666</x:v>
      </x:c>
      <x:c r="W1395" s="28" t="n">
        <x:f>L1395-M1395</x:f>
        <x:v>-5</x:v>
      </x:c>
      <x:c r="X1395" s="24" t="n">
        <x:f>IFERROR(K1395/I1395,0)</x:f>
        <x:v>0.2857142857142857</x:v>
      </x:c>
      <x:c r="Y1395" s="24" t="n">
        <x:f>IFERROR(G1395/I1395,0)</x:f>
        <x:v>0</x:v>
      </x:c>
      <x:c r="Z1395" s="24" t="n">
        <x:f>IFERROR(G1395/K1395,0)</x:f>
        <x:v>0</x:v>
      </x:c>
      <x:c r="AA1395" s="24" t="n">
        <x:f>IFERROR(F1395/H1395,0)-IFERROR(G1395/I1395,0)</x:f>
        <x:v>0.2222222222222222</x:v>
      </x:c>
      <x:c r="AB1395" s="28" t="n">
        <x:f>J1395-K1395</x:f>
        <x:v>-1</x:v>
      </x:c>
      <x:c r="AC1395" s="32" t="n">
        <x:f>F1395-G1395</x:f>
        <x:v>2</x:v>
      </x:c>
    </x:row>
    <x:row r="1396">
      <x:c r="A1396" s="4" t="str">
        <x:v>2022-23</x:v>
      </x:c>
      <x:c r="B1396" s="20" t="n">
        <x:v>45042</x:v>
      </x:c>
      <x:c r="C1396" s="4" t="str">
        <x:v>Arsenal</x:v>
      </x:c>
      <x:c r="D1396" s="4" t="str">
        <x:v>Man City</x:v>
      </x:c>
      <x:c r="E1396" s="4" t="str">
        <x:v>Away</x:v>
      </x:c>
      <x:c r="F1396" s="28" t="n">
        <x:v>1</x:v>
      </x:c>
      <x:c r="G1396" s="28" t="n">
        <x:v>4</x:v>
      </x:c>
      <x:c r="H1396" s="28" t="n">
        <x:v>8</x:v>
      </x:c>
      <x:c r="I1396" s="28" t="n">
        <x:v>14</x:v>
      </x:c>
      <x:c r="J1396" s="28" t="n">
        <x:v>2</x:v>
      </x:c>
      <x:c r="K1396" s="28" t="n">
        <x:v>9</x:v>
      </x:c>
      <x:c r="L1396" s="28" t="n">
        <x:v>3</x:v>
      </x:c>
      <x:c r="M1396" s="28" t="n">
        <x:v>1</x:v>
      </x:c>
      <x:c r="N1396" s="28" t="n">
        <x:v>1</x:v>
      </x:c>
      <x:c r="O1396" s="28" t="n">
        <x:v>0</x:v>
      </x:c>
      <x:c r="P1396" s="28" t="n">
        <x:v>0</x:v>
      </x:c>
      <x:c r="Q1396" s="24" t="n">
        <x:f>IFERROR(J1396/H1396,0)</x:f>
        <x:v>0.25</x:v>
      </x:c>
      <x:c r="R1396" s="24" t="n">
        <x:f>IFERROR(F1396/H1396,0)</x:f>
        <x:v>0.125</x:v>
      </x:c>
      <x:c r="S1396" s="24" t="n">
        <x:f>IFERROR(F1396/J1396,0)</x:f>
        <x:v>0.5</x:v>
      </x:c>
      <x:c r="T1396" s="28" t="n">
        <x:f>H1396-I1396</x:f>
        <x:v>-6</x:v>
      </x:c>
      <x:c r="U1396" s="24" t="n">
        <x:f>IFERROR(J1396/H1396,0)-IFERROR(K1396/I1396,0)</x:f>
        <x:v>-0.3928571428571429</x:v>
      </x:c>
      <x:c r="V1396" s="24" t="n">
        <x:f>IFERROR(F1396/J1396,0)-IFERROR(G1396/K1396,0)</x:f>
        <x:v>0.05555555555555558</x:v>
      </x:c>
      <x:c r="W1396" s="28" t="n">
        <x:f>L1396-M1396</x:f>
        <x:v>2</x:v>
      </x:c>
      <x:c r="X1396" s="24" t="n">
        <x:f>IFERROR(K1396/I1396,0)</x:f>
        <x:v>0.6428571428571429</x:v>
      </x:c>
      <x:c r="Y1396" s="24" t="n">
        <x:f>IFERROR(G1396/I1396,0)</x:f>
        <x:v>0.2857142857142857</x:v>
      </x:c>
      <x:c r="Z1396" s="24" t="n">
        <x:f>IFERROR(G1396/K1396,0)</x:f>
        <x:v>0.4444444444444444</x:v>
      </x:c>
      <x:c r="AA1396" s="24" t="n">
        <x:f>IFERROR(F1396/H1396,0)-IFERROR(G1396/I1396,0)</x:f>
        <x:v>-0.1607142857142857</x:v>
      </x:c>
      <x:c r="AB1396" s="28" t="n">
        <x:f>J1396-K1396</x:f>
        <x:v>-7</x:v>
      </x:c>
      <x:c r="AC1396" s="32" t="n">
        <x:f>F1396-G1396</x:f>
        <x:v>-3</x:v>
      </x:c>
    </x:row>
    <x:row r="1397">
      <x:c r="A1397" s="4" t="str">
        <x:v>2022-23</x:v>
      </x:c>
      <x:c r="B1397" s="20" t="n">
        <x:v>45042</x:v>
      </x:c>
      <x:c r="C1397" s="4" t="str">
        <x:v>Brentford</x:v>
      </x:c>
      <x:c r="D1397" s="4" t="str">
        <x:v>Chelsea</x:v>
      </x:c>
      <x:c r="E1397" s="4" t="str">
        <x:v>Away</x:v>
      </x:c>
      <x:c r="F1397" s="28" t="n">
        <x:v>2</x:v>
      </x:c>
      <x:c r="G1397" s="28" t="n">
        <x:v>0</x:v>
      </x:c>
      <x:c r="H1397" s="28" t="n">
        <x:v>7</x:v>
      </x:c>
      <x:c r="I1397" s="28" t="n">
        <x:v>15</x:v>
      </x:c>
      <x:c r="J1397" s="28" t="n">
        <x:v>1</x:v>
      </x:c>
      <x:c r="K1397" s="28" t="n">
        <x:v>4</x:v>
      </x:c>
      <x:c r="L1397" s="28" t="n">
        <x:v>2</x:v>
      </x:c>
      <x:c r="M1397" s="28" t="n">
        <x:v>5</x:v>
      </x:c>
      <x:c r="N1397" s="28" t="n">
        <x:v>2</x:v>
      </x:c>
      <x:c r="O1397" s="28" t="n">
        <x:v>0</x:v>
      </x:c>
      <x:c r="P1397" s="28" t="n">
        <x:v>3</x:v>
      </x:c>
      <x:c r="Q1397" s="24" t="n">
        <x:f>IFERROR(J1397/H1397,0)</x:f>
        <x:v>0.14285714285714285</x:v>
      </x:c>
      <x:c r="R1397" s="24" t="n">
        <x:f>IFERROR(F1397/H1397,0)</x:f>
        <x:v>0.2857142857142857</x:v>
      </x:c>
      <x:c r="S1397" s="24" t="n">
        <x:f>IFERROR(F1397/J1397,0)</x:f>
        <x:v>2</x:v>
      </x:c>
      <x:c r="T1397" s="28" t="n">
        <x:f>H1397-I1397</x:f>
        <x:v>-8</x:v>
      </x:c>
      <x:c r="U1397" s="24" t="n">
        <x:f>IFERROR(J1397/H1397,0)-IFERROR(K1397/I1397,0)</x:f>
        <x:v>-0.12380952380952381</x:v>
      </x:c>
      <x:c r="V1397" s="24" t="n">
        <x:f>IFERROR(F1397/J1397,0)-IFERROR(G1397/K1397,0)</x:f>
        <x:v>2</x:v>
      </x:c>
      <x:c r="W1397" s="28" t="n">
        <x:f>L1397-M1397</x:f>
        <x:v>-3</x:v>
      </x:c>
      <x:c r="X1397" s="24" t="n">
        <x:f>IFERROR(K1397/I1397,0)</x:f>
        <x:v>0.26666666666666666</x:v>
      </x:c>
      <x:c r="Y1397" s="24" t="n">
        <x:f>IFERROR(G1397/I1397,0)</x:f>
        <x:v>0</x:v>
      </x:c>
      <x:c r="Z1397" s="24" t="n">
        <x:f>IFERROR(G1397/K1397,0)</x:f>
        <x:v>0</x:v>
      </x:c>
      <x:c r="AA1397" s="24" t="n">
        <x:f>IFERROR(F1397/H1397,0)-IFERROR(G1397/I1397,0)</x:f>
        <x:v>0.2857142857142857</x:v>
      </x:c>
      <x:c r="AB1397" s="28" t="n">
        <x:f>J1397-K1397</x:f>
        <x:v>-3</x:v>
      </x:c>
      <x:c r="AC1397" s="32" t="n">
        <x:f>F1397-G1397</x:f>
        <x:v>2</x:v>
      </x:c>
    </x:row>
    <x:row r="1398">
      <x:c r="A1398" s="4" t="str">
        <x:v>2022-23</x:v>
      </x:c>
      <x:c r="B1398" s="20" t="n">
        <x:v>45042</x:v>
      </x:c>
      <x:c r="C1398" s="4" t="str">
        <x:v>Brighton</x:v>
      </x:c>
      <x:c r="D1398" s="4" t="str">
        <x:v>Nott'm Forest</x:v>
      </x:c>
      <x:c r="E1398" s="4" t="str">
        <x:v>Away</x:v>
      </x:c>
      <x:c r="F1398" s="28" t="n">
        <x:v>1</x:v>
      </x:c>
      <x:c r="G1398" s="28" t="n">
        <x:v>3</x:v>
      </x:c>
      <x:c r="H1398" s="28" t="n">
        <x:v>17</x:v>
      </x:c>
      <x:c r="I1398" s="28" t="n">
        <x:v>12</x:v>
      </x:c>
      <x:c r="J1398" s="28" t="n">
        <x:v>7</x:v>
      </x:c>
      <x:c r="K1398" s="28" t="n">
        <x:v>5</x:v>
      </x:c>
      <x:c r="L1398" s="28" t="n">
        <x:v>7</x:v>
      </x:c>
      <x:c r="M1398" s="28" t="n">
        <x:v>2</x:v>
      </x:c>
      <x:c r="N1398" s="28" t="n">
        <x:v>0</x:v>
      </x:c>
      <x:c r="O1398" s="28" t="n">
        <x:v>0</x:v>
      </x:c>
      <x:c r="P1398" s="28" t="n">
        <x:v>0</x:v>
      </x:c>
      <x:c r="Q1398" s="24" t="n">
        <x:f>IFERROR(J1398/H1398,0)</x:f>
        <x:v>0.4117647058823529</x:v>
      </x:c>
      <x:c r="R1398" s="24" t="n">
        <x:f>IFERROR(F1398/H1398,0)</x:f>
        <x:v>0.058823529411764705</x:v>
      </x:c>
      <x:c r="S1398" s="24" t="n">
        <x:f>IFERROR(F1398/J1398,0)</x:f>
        <x:v>0.14285714285714285</x:v>
      </x:c>
      <x:c r="T1398" s="28" t="n">
        <x:f>H1398-I1398</x:f>
        <x:v>5</x:v>
      </x:c>
      <x:c r="U1398" s="24" t="n">
        <x:f>IFERROR(J1398/H1398,0)-IFERROR(K1398/I1398,0)</x:f>
        <x:v>-0.004901960784313764</x:v>
      </x:c>
      <x:c r="V1398" s="24" t="n">
        <x:f>IFERROR(F1398/J1398,0)-IFERROR(G1398/K1398,0)</x:f>
        <x:v>-0.45714285714285713</x:v>
      </x:c>
      <x:c r="W1398" s="28" t="n">
        <x:f>L1398-M1398</x:f>
        <x:v>5</x:v>
      </x:c>
      <x:c r="X1398" s="24" t="n">
        <x:f>IFERROR(K1398/I1398,0)</x:f>
        <x:v>0.4166666666666667</x:v>
      </x:c>
      <x:c r="Y1398" s="24" t="n">
        <x:f>IFERROR(G1398/I1398,0)</x:f>
        <x:v>0.25</x:v>
      </x:c>
      <x:c r="Z1398" s="24" t="n">
        <x:f>IFERROR(G1398/K1398,0)</x:f>
        <x:v>0.6</x:v>
      </x:c>
      <x:c r="AA1398" s="24" t="n">
        <x:f>IFERROR(F1398/H1398,0)-IFERROR(G1398/I1398,0)</x:f>
        <x:v>-0.19117647058823528</x:v>
      </x:c>
      <x:c r="AB1398" s="28" t="n">
        <x:f>J1398-K1398</x:f>
        <x:v>2</x:v>
      </x:c>
      <x:c r="AC1398" s="32" t="n">
        <x:f>F1398-G1398</x:f>
        <x:v>-2</x:v>
      </x:c>
    </x:row>
    <x:row r="1399">
      <x:c r="A1399" s="4" t="str">
        <x:v>2022-23</x:v>
      </x:c>
      <x:c r="B1399" s="20" t="n">
        <x:v>45042</x:v>
      </x:c>
      <x:c r="C1399" s="4" t="str">
        <x:v>Chelsea</x:v>
      </x:c>
      <x:c r="D1399" s="4" t="str">
        <x:v>Brentford</x:v>
      </x:c>
      <x:c r="E1399" s="4" t="str">
        <x:v>Home</x:v>
      </x:c>
      <x:c r="F1399" s="28" t="n">
        <x:v>0</x:v>
      </x:c>
      <x:c r="G1399" s="28" t="n">
        <x:v>2</x:v>
      </x:c>
      <x:c r="H1399" s="28" t="n">
        <x:v>15</x:v>
      </x:c>
      <x:c r="I1399" s="28" t="n">
        <x:v>7</x:v>
      </x:c>
      <x:c r="J1399" s="28" t="n">
        <x:v>4</x:v>
      </x:c>
      <x:c r="K1399" s="28" t="n">
        <x:v>1</x:v>
      </x:c>
      <x:c r="L1399" s="28" t="n">
        <x:v>5</x:v>
      </x:c>
      <x:c r="M1399" s="28" t="n">
        <x:v>2</x:v>
      </x:c>
      <x:c r="N1399" s="28" t="n">
        <x:v>1</x:v>
      </x:c>
      <x:c r="O1399" s="28" t="n">
        <x:v>0</x:v>
      </x:c>
      <x:c r="P1399" s="28" t="n">
        <x:v>0</x:v>
      </x:c>
      <x:c r="Q1399" s="24" t="n">
        <x:f>IFERROR(J1399/H1399,0)</x:f>
        <x:v>0.26666666666666666</x:v>
      </x:c>
      <x:c r="R1399" s="24" t="n">
        <x:f>IFERROR(F1399/H1399,0)</x:f>
        <x:v>0</x:v>
      </x:c>
      <x:c r="S1399" s="24" t="n">
        <x:f>IFERROR(F1399/J1399,0)</x:f>
        <x:v>0</x:v>
      </x:c>
      <x:c r="T1399" s="28" t="n">
        <x:f>H1399-I1399</x:f>
        <x:v>8</x:v>
      </x:c>
      <x:c r="U1399" s="24" t="n">
        <x:f>IFERROR(J1399/H1399,0)-IFERROR(K1399/I1399,0)</x:f>
        <x:v>0.12380952380952381</x:v>
      </x:c>
      <x:c r="V1399" s="24" t="n">
        <x:f>IFERROR(F1399/J1399,0)-IFERROR(G1399/K1399,0)</x:f>
        <x:v>-2</x:v>
      </x:c>
      <x:c r="W1399" s="28" t="n">
        <x:f>L1399-M1399</x:f>
        <x:v>3</x:v>
      </x:c>
      <x:c r="X1399" s="24" t="n">
        <x:f>IFERROR(K1399/I1399,0)</x:f>
        <x:v>0.14285714285714285</x:v>
      </x:c>
      <x:c r="Y1399" s="24" t="n">
        <x:f>IFERROR(G1399/I1399,0)</x:f>
        <x:v>0.2857142857142857</x:v>
      </x:c>
      <x:c r="Z1399" s="24" t="n">
        <x:f>IFERROR(G1399/K1399,0)</x:f>
        <x:v>2</x:v>
      </x:c>
      <x:c r="AA1399" s="24" t="n">
        <x:f>IFERROR(F1399/H1399,0)-IFERROR(G1399/I1399,0)</x:f>
        <x:v>-0.2857142857142857</x:v>
      </x:c>
      <x:c r="AB1399" s="28" t="n">
        <x:f>J1399-K1399</x:f>
        <x:v>3</x:v>
      </x:c>
      <x:c r="AC1399" s="32" t="n">
        <x:f>F1399-G1399</x:f>
        <x:v>-2</x:v>
      </x:c>
    </x:row>
    <x:row r="1400">
      <x:c r="A1400" s="4" t="str">
        <x:v>2022-23</x:v>
      </x:c>
      <x:c r="B1400" s="20" t="n">
        <x:v>45042</x:v>
      </x:c>
      <x:c r="C1400" s="4" t="str">
        <x:v>Liverpool</x:v>
      </x:c>
      <x:c r="D1400" s="4" t="str">
        <x:v>West Ham</x:v>
      </x:c>
      <x:c r="E1400" s="4" t="str">
        <x:v>Away</x:v>
      </x:c>
      <x:c r="F1400" s="28" t="n">
        <x:v>2</x:v>
      </x:c>
      <x:c r="G1400" s="28" t="n">
        <x:v>1</x:v>
      </x:c>
      <x:c r="H1400" s="28" t="n">
        <x:v>20</x:v>
      </x:c>
      <x:c r="I1400" s="28" t="n">
        <x:v>7</x:v>
      </x:c>
      <x:c r="J1400" s="28" t="n">
        <x:v>4</x:v>
      </x:c>
      <x:c r="K1400" s="28" t="n">
        <x:v>2</x:v>
      </x:c>
      <x:c r="L1400" s="28" t="n">
        <x:v>6</x:v>
      </x:c>
      <x:c r="M1400" s="28" t="n">
        <x:v>3</x:v>
      </x:c>
      <x:c r="N1400" s="28" t="n">
        <x:v>0</x:v>
      </x:c>
      <x:c r="O1400" s="28" t="n">
        <x:v>0</x:v>
      </x:c>
      <x:c r="P1400" s="28" t="n">
        <x:v>3</x:v>
      </x:c>
      <x:c r="Q1400" s="24" t="n">
        <x:f>IFERROR(J1400/H1400,0)</x:f>
        <x:v>0.2</x:v>
      </x:c>
      <x:c r="R1400" s="24" t="n">
        <x:f>IFERROR(F1400/H1400,0)</x:f>
        <x:v>0.1</x:v>
      </x:c>
      <x:c r="S1400" s="24" t="n">
        <x:f>IFERROR(F1400/J1400,0)</x:f>
        <x:v>0.5</x:v>
      </x:c>
      <x:c r="T1400" s="28" t="n">
        <x:f>H1400-I1400</x:f>
        <x:v>13</x:v>
      </x:c>
      <x:c r="U1400" s="24" t="n">
        <x:f>IFERROR(J1400/H1400,0)-IFERROR(K1400/I1400,0)</x:f>
        <x:v>-0.08571428571428569</x:v>
      </x:c>
      <x:c r="V1400" s="24" t="n">
        <x:f>IFERROR(F1400/J1400,0)-IFERROR(G1400/K1400,0)</x:f>
        <x:v>0</x:v>
      </x:c>
      <x:c r="W1400" s="28" t="n">
        <x:f>L1400-M1400</x:f>
        <x:v>3</x:v>
      </x:c>
      <x:c r="X1400" s="24" t="n">
        <x:f>IFERROR(K1400/I1400,0)</x:f>
        <x:v>0.2857142857142857</x:v>
      </x:c>
      <x:c r="Y1400" s="24" t="n">
        <x:f>IFERROR(G1400/I1400,0)</x:f>
        <x:v>0.14285714285714285</x:v>
      </x:c>
      <x:c r="Z1400" s="24" t="n">
        <x:f>IFERROR(G1400/K1400,0)</x:f>
        <x:v>0.5</x:v>
      </x:c>
      <x:c r="AA1400" s="24" t="n">
        <x:f>IFERROR(F1400/H1400,0)-IFERROR(G1400/I1400,0)</x:f>
        <x:v>-0.042857142857142844</x:v>
      </x:c>
      <x:c r="AB1400" s="28" t="n">
        <x:f>J1400-K1400</x:f>
        <x:v>2</x:v>
      </x:c>
      <x:c r="AC1400" s="32" t="n">
        <x:f>F1400-G1400</x:f>
        <x:v>1</x:v>
      </x:c>
    </x:row>
    <x:row r="1401">
      <x:c r="A1401" s="4" t="str">
        <x:v>2022-23</x:v>
      </x:c>
      <x:c r="B1401" s="20" t="n">
        <x:v>45042</x:v>
      </x:c>
      <x:c r="C1401" s="4" t="str">
        <x:v>Man City</x:v>
      </x:c>
      <x:c r="D1401" s="4" t="str">
        <x:v>Arsenal</x:v>
      </x:c>
      <x:c r="E1401" s="4" t="str">
        <x:v>Home</x:v>
      </x:c>
      <x:c r="F1401" s="28" t="n">
        <x:v>4</x:v>
      </x:c>
      <x:c r="G1401" s="28" t="n">
        <x:v>1</x:v>
      </x:c>
      <x:c r="H1401" s="28" t="n">
        <x:v>14</x:v>
      </x:c>
      <x:c r="I1401" s="28" t="n">
        <x:v>8</x:v>
      </x:c>
      <x:c r="J1401" s="28" t="n">
        <x:v>9</x:v>
      </x:c>
      <x:c r="K1401" s="28" t="n">
        <x:v>2</x:v>
      </x:c>
      <x:c r="L1401" s="28" t="n">
        <x:v>1</x:v>
      </x:c>
      <x:c r="M1401" s="28" t="n">
        <x:v>3</x:v>
      </x:c>
      <x:c r="N1401" s="28" t="n">
        <x:v>3</x:v>
      </x:c>
      <x:c r="O1401" s="28" t="n">
        <x:v>0</x:v>
      </x:c>
      <x:c r="P1401" s="28" t="n">
        <x:v>3</x:v>
      </x:c>
      <x:c r="Q1401" s="24" t="n">
        <x:f>IFERROR(J1401/H1401,0)</x:f>
        <x:v>0.6428571428571429</x:v>
      </x:c>
      <x:c r="R1401" s="24" t="n">
        <x:f>IFERROR(F1401/H1401,0)</x:f>
        <x:v>0.2857142857142857</x:v>
      </x:c>
      <x:c r="S1401" s="24" t="n">
        <x:f>IFERROR(F1401/J1401,0)</x:f>
        <x:v>0.4444444444444444</x:v>
      </x:c>
      <x:c r="T1401" s="28" t="n">
        <x:f>H1401-I1401</x:f>
        <x:v>6</x:v>
      </x:c>
      <x:c r="U1401" s="24" t="n">
        <x:f>IFERROR(J1401/H1401,0)-IFERROR(K1401/I1401,0)</x:f>
        <x:v>0.3928571428571429</x:v>
      </x:c>
      <x:c r="V1401" s="24" t="n">
        <x:f>IFERROR(F1401/J1401,0)-IFERROR(G1401/K1401,0)</x:f>
        <x:v>-0.05555555555555558</x:v>
      </x:c>
      <x:c r="W1401" s="28" t="n">
        <x:f>L1401-M1401</x:f>
        <x:v>-2</x:v>
      </x:c>
      <x:c r="X1401" s="24" t="n">
        <x:f>IFERROR(K1401/I1401,0)</x:f>
        <x:v>0.25</x:v>
      </x:c>
      <x:c r="Y1401" s="24" t="n">
        <x:f>IFERROR(G1401/I1401,0)</x:f>
        <x:v>0.125</x:v>
      </x:c>
      <x:c r="Z1401" s="24" t="n">
        <x:f>IFERROR(G1401/K1401,0)</x:f>
        <x:v>0.5</x:v>
      </x:c>
      <x:c r="AA1401" s="24" t="n">
        <x:f>IFERROR(F1401/H1401,0)-IFERROR(G1401/I1401,0)</x:f>
        <x:v>0.1607142857142857</x:v>
      </x:c>
      <x:c r="AB1401" s="28" t="n">
        <x:f>J1401-K1401</x:f>
        <x:v>7</x:v>
      </x:c>
      <x:c r="AC1401" s="32" t="n">
        <x:f>F1401-G1401</x:f>
        <x:v>3</x:v>
      </x:c>
    </x:row>
    <x:row r="1402">
      <x:c r="A1402" s="4" t="str">
        <x:v>2022-23</x:v>
      </x:c>
      <x:c r="B1402" s="20" t="n">
        <x:v>45042</x:v>
      </x:c>
      <x:c r="C1402" s="4" t="str">
        <x:v>Nott'm Forest</x:v>
      </x:c>
      <x:c r="D1402" s="4" t="str">
        <x:v>Brighton</x:v>
      </x:c>
      <x:c r="E1402" s="4" t="str">
        <x:v>Home</x:v>
      </x:c>
      <x:c r="F1402" s="28" t="n">
        <x:v>3</x:v>
      </x:c>
      <x:c r="G1402" s="28" t="n">
        <x:v>1</x:v>
      </x:c>
      <x:c r="H1402" s="28" t="n">
        <x:v>12</x:v>
      </x:c>
      <x:c r="I1402" s="28" t="n">
        <x:v>17</x:v>
      </x:c>
      <x:c r="J1402" s="28" t="n">
        <x:v>5</x:v>
      </x:c>
      <x:c r="K1402" s="28" t="n">
        <x:v>7</x:v>
      </x:c>
      <x:c r="L1402" s="28" t="n">
        <x:v>2</x:v>
      </x:c>
      <x:c r="M1402" s="28" t="n">
        <x:v>7</x:v>
      </x:c>
      <x:c r="N1402" s="28" t="n">
        <x:v>2</x:v>
      </x:c>
      <x:c r="O1402" s="28" t="n">
        <x:v>0</x:v>
      </x:c>
      <x:c r="P1402" s="28" t="n">
        <x:v>3</x:v>
      </x:c>
      <x:c r="Q1402" s="24" t="n">
        <x:f>IFERROR(J1402/H1402,0)</x:f>
        <x:v>0.4166666666666667</x:v>
      </x:c>
      <x:c r="R1402" s="24" t="n">
        <x:f>IFERROR(F1402/H1402,0)</x:f>
        <x:v>0.25</x:v>
      </x:c>
      <x:c r="S1402" s="24" t="n">
        <x:f>IFERROR(F1402/J1402,0)</x:f>
        <x:v>0.6</x:v>
      </x:c>
      <x:c r="T1402" s="28" t="n">
        <x:f>H1402-I1402</x:f>
        <x:v>-5</x:v>
      </x:c>
      <x:c r="U1402" s="24" t="n">
        <x:f>IFERROR(J1402/H1402,0)-IFERROR(K1402/I1402,0)</x:f>
        <x:v>0.004901960784313764</x:v>
      </x:c>
      <x:c r="V1402" s="24" t="n">
        <x:f>IFERROR(F1402/J1402,0)-IFERROR(G1402/K1402,0)</x:f>
        <x:v>0.45714285714285713</x:v>
      </x:c>
      <x:c r="W1402" s="28" t="n">
        <x:f>L1402-M1402</x:f>
        <x:v>-5</x:v>
      </x:c>
      <x:c r="X1402" s="24" t="n">
        <x:f>IFERROR(K1402/I1402,0)</x:f>
        <x:v>0.4117647058823529</x:v>
      </x:c>
      <x:c r="Y1402" s="24" t="n">
        <x:f>IFERROR(G1402/I1402,0)</x:f>
        <x:v>0.058823529411764705</x:v>
      </x:c>
      <x:c r="Z1402" s="24" t="n">
        <x:f>IFERROR(G1402/K1402,0)</x:f>
        <x:v>0.14285714285714285</x:v>
      </x:c>
      <x:c r="AA1402" s="24" t="n">
        <x:f>IFERROR(F1402/H1402,0)-IFERROR(G1402/I1402,0)</x:f>
        <x:v>0.19117647058823528</x:v>
      </x:c>
      <x:c r="AB1402" s="28" t="n">
        <x:f>J1402-K1402</x:f>
        <x:v>-2</x:v>
      </x:c>
      <x:c r="AC1402" s="32" t="n">
        <x:f>F1402-G1402</x:f>
        <x:v>2</x:v>
      </x:c>
    </x:row>
    <x:row r="1403">
      <x:c r="A1403" s="4" t="str">
        <x:v>2022-23</x:v>
      </x:c>
      <x:c r="B1403" s="20" t="n">
        <x:v>45042</x:v>
      </x:c>
      <x:c r="C1403" s="4" t="str">
        <x:v>West Ham</x:v>
      </x:c>
      <x:c r="D1403" s="4" t="str">
        <x:v>Liverpool</x:v>
      </x:c>
      <x:c r="E1403" s="4" t="str">
        <x:v>Home</x:v>
      </x:c>
      <x:c r="F1403" s="28" t="n">
        <x:v>1</x:v>
      </x:c>
      <x:c r="G1403" s="28" t="n">
        <x:v>2</x:v>
      </x:c>
      <x:c r="H1403" s="28" t="n">
        <x:v>7</x:v>
      </x:c>
      <x:c r="I1403" s="28" t="n">
        <x:v>20</x:v>
      </x:c>
      <x:c r="J1403" s="28" t="n">
        <x:v>2</x:v>
      </x:c>
      <x:c r="K1403" s="28" t="n">
        <x:v>4</x:v>
      </x:c>
      <x:c r="L1403" s="28" t="n">
        <x:v>3</x:v>
      </x:c>
      <x:c r="M1403" s="28" t="n">
        <x:v>6</x:v>
      </x:c>
      <x:c r="N1403" s="28" t="n">
        <x:v>0</x:v>
      </x:c>
      <x:c r="O1403" s="28" t="n">
        <x:v>0</x:v>
      </x:c>
      <x:c r="P1403" s="28" t="n">
        <x:v>0</x:v>
      </x:c>
      <x:c r="Q1403" s="24" t="n">
        <x:f>IFERROR(J1403/H1403,0)</x:f>
        <x:v>0.2857142857142857</x:v>
      </x:c>
      <x:c r="R1403" s="24" t="n">
        <x:f>IFERROR(F1403/H1403,0)</x:f>
        <x:v>0.14285714285714285</x:v>
      </x:c>
      <x:c r="S1403" s="24" t="n">
        <x:f>IFERROR(F1403/J1403,0)</x:f>
        <x:v>0.5</x:v>
      </x:c>
      <x:c r="T1403" s="28" t="n">
        <x:f>H1403-I1403</x:f>
        <x:v>-13</x:v>
      </x:c>
      <x:c r="U1403" s="24" t="n">
        <x:f>IFERROR(J1403/H1403,0)-IFERROR(K1403/I1403,0)</x:f>
        <x:v>0.08571428571428569</x:v>
      </x:c>
      <x:c r="V1403" s="24" t="n">
        <x:f>IFERROR(F1403/J1403,0)-IFERROR(G1403/K1403,0)</x:f>
        <x:v>0</x:v>
      </x:c>
      <x:c r="W1403" s="28" t="n">
        <x:f>L1403-M1403</x:f>
        <x:v>-3</x:v>
      </x:c>
      <x:c r="X1403" s="24" t="n">
        <x:f>IFERROR(K1403/I1403,0)</x:f>
        <x:v>0.2</x:v>
      </x:c>
      <x:c r="Y1403" s="24" t="n">
        <x:f>IFERROR(G1403/I1403,0)</x:f>
        <x:v>0.1</x:v>
      </x:c>
      <x:c r="Z1403" s="24" t="n">
        <x:f>IFERROR(G1403/K1403,0)</x:f>
        <x:v>0.5</x:v>
      </x:c>
      <x:c r="AA1403" s="24" t="n">
        <x:f>IFERROR(F1403/H1403,0)-IFERROR(G1403/I1403,0)</x:f>
        <x:v>0.042857142857142844</x:v>
      </x:c>
      <x:c r="AB1403" s="28" t="n">
        <x:f>J1403-K1403</x:f>
        <x:v>-2</x:v>
      </x:c>
      <x:c r="AC1403" s="32" t="n">
        <x:f>F1403-G1403</x:f>
        <x:v>-1</x:v>
      </x:c>
    </x:row>
    <x:row r="1404">
      <x:c r="A1404" s="4" t="str">
        <x:v>2022-23</x:v>
      </x:c>
      <x:c r="B1404" s="20" t="n">
        <x:v>45043</x:v>
      </x:c>
      <x:c r="C1404" s="4" t="str">
        <x:v>Bournemouth</x:v>
      </x:c>
      <x:c r="D1404" s="4" t="str">
        <x:v>Southampton</x:v>
      </x:c>
      <x:c r="E1404" s="4" t="str">
        <x:v>Away</x:v>
      </x:c>
      <x:c r="F1404" s="28" t="n">
        <x:v>1</x:v>
      </x:c>
      <x:c r="G1404" s="28" t="n">
        <x:v>0</x:v>
      </x:c>
      <x:c r="H1404" s="28" t="n">
        <x:v>16</x:v>
      </x:c>
      <x:c r="I1404" s="28" t="n">
        <x:v>11</x:v>
      </x:c>
      <x:c r="J1404" s="28" t="n">
        <x:v>2</x:v>
      </x:c>
      <x:c r="K1404" s="28" t="n">
        <x:v>2</x:v>
      </x:c>
      <x:c r="L1404" s="28" t="n">
        <x:v>4</x:v>
      </x:c>
      <x:c r="M1404" s="28" t="n">
        <x:v>6</x:v>
      </x:c>
      <x:c r="N1404" s="28" t="n">
        <x:v>3</x:v>
      </x:c>
      <x:c r="O1404" s="28" t="n">
        <x:v>0</x:v>
      </x:c>
      <x:c r="P1404" s="28" t="n">
        <x:v>3</x:v>
      </x:c>
      <x:c r="Q1404" s="24" t="n">
        <x:f>IFERROR(J1404/H1404,0)</x:f>
        <x:v>0.125</x:v>
      </x:c>
      <x:c r="R1404" s="24" t="n">
        <x:f>IFERROR(F1404/H1404,0)</x:f>
        <x:v>0.0625</x:v>
      </x:c>
      <x:c r="S1404" s="24" t="n">
        <x:f>IFERROR(F1404/J1404,0)</x:f>
        <x:v>0.5</x:v>
      </x:c>
      <x:c r="T1404" s="28" t="n">
        <x:f>H1404-I1404</x:f>
        <x:v>5</x:v>
      </x:c>
      <x:c r="U1404" s="24" t="n">
        <x:f>IFERROR(J1404/H1404,0)-IFERROR(K1404/I1404,0)</x:f>
        <x:v>-0.05681818181818182</x:v>
      </x:c>
      <x:c r="V1404" s="24" t="n">
        <x:f>IFERROR(F1404/J1404,0)-IFERROR(G1404/K1404,0)</x:f>
        <x:v>0.5</x:v>
      </x:c>
      <x:c r="W1404" s="28" t="n">
        <x:f>L1404-M1404</x:f>
        <x:v>-2</x:v>
      </x:c>
      <x:c r="X1404" s="24" t="n">
        <x:f>IFERROR(K1404/I1404,0)</x:f>
        <x:v>0.18181818181818182</x:v>
      </x:c>
      <x:c r="Y1404" s="24" t="n">
        <x:f>IFERROR(G1404/I1404,0)</x:f>
        <x:v>0</x:v>
      </x:c>
      <x:c r="Z1404" s="24" t="n">
        <x:f>IFERROR(G1404/K1404,0)</x:f>
        <x:v>0</x:v>
      </x:c>
      <x:c r="AA1404" s="24" t="n">
        <x:f>IFERROR(F1404/H1404,0)-IFERROR(G1404/I1404,0)</x:f>
        <x:v>0.0625</x:v>
      </x:c>
      <x:c r="AB1404" s="28" t="n">
        <x:f>J1404-K1404</x:f>
        <x:v>0</x:v>
      </x:c>
      <x:c r="AC1404" s="32" t="n">
        <x:f>F1404-G1404</x:f>
        <x:v>1</x:v>
      </x:c>
    </x:row>
    <x:row r="1405">
      <x:c r="A1405" s="4" t="str">
        <x:v>2022-23</x:v>
      </x:c>
      <x:c r="B1405" s="20" t="n">
        <x:v>45043</x:v>
      </x:c>
      <x:c r="C1405" s="4" t="str">
        <x:v>Everton</x:v>
      </x:c>
      <x:c r="D1405" s="4" t="str">
        <x:v>Newcastle</x:v>
      </x:c>
      <x:c r="E1405" s="4" t="str">
        <x:v>Home</x:v>
      </x:c>
      <x:c r="F1405" s="28" t="n">
        <x:v>1</x:v>
      </x:c>
      <x:c r="G1405" s="28" t="n">
        <x:v>4</x:v>
      </x:c>
      <x:c r="H1405" s="28" t="n">
        <x:v>13</x:v>
      </x:c>
      <x:c r="I1405" s="28" t="n">
        <x:v>15</x:v>
      </x:c>
      <x:c r="J1405" s="28" t="n">
        <x:v>5</x:v>
      </x:c>
      <x:c r="K1405" s="28" t="n">
        <x:v>8</x:v>
      </x:c>
      <x:c r="L1405" s="28" t="n">
        <x:v>3</x:v>
      </x:c>
      <x:c r="M1405" s="28" t="n">
        <x:v>14</x:v>
      </x:c>
      <x:c r="N1405" s="28" t="n">
        <x:v>2</x:v>
      </x:c>
      <x:c r="O1405" s="28" t="n">
        <x:v>0</x:v>
      </x:c>
      <x:c r="P1405" s="28" t="n">
        <x:v>0</x:v>
      </x:c>
      <x:c r="Q1405" s="24" t="n">
        <x:f>IFERROR(J1405/H1405,0)</x:f>
        <x:v>0.38461538461538464</x:v>
      </x:c>
      <x:c r="R1405" s="24" t="n">
        <x:f>IFERROR(F1405/H1405,0)</x:f>
        <x:v>0.07692307692307693</x:v>
      </x:c>
      <x:c r="S1405" s="24" t="n">
        <x:f>IFERROR(F1405/J1405,0)</x:f>
        <x:v>0.2</x:v>
      </x:c>
      <x:c r="T1405" s="28" t="n">
        <x:f>H1405-I1405</x:f>
        <x:v>-2</x:v>
      </x:c>
      <x:c r="U1405" s="24" t="n">
        <x:f>IFERROR(J1405/H1405,0)-IFERROR(K1405/I1405,0)</x:f>
        <x:v>-0.1487179487179487</x:v>
      </x:c>
      <x:c r="V1405" s="24" t="n">
        <x:f>IFERROR(F1405/J1405,0)-IFERROR(G1405/K1405,0)</x:f>
        <x:v>-0.3</x:v>
      </x:c>
      <x:c r="W1405" s="28" t="n">
        <x:f>L1405-M1405</x:f>
        <x:v>-11</x:v>
      </x:c>
      <x:c r="X1405" s="24" t="n">
        <x:f>IFERROR(K1405/I1405,0)</x:f>
        <x:v>0.5333333333333333</x:v>
      </x:c>
      <x:c r="Y1405" s="24" t="n">
        <x:f>IFERROR(G1405/I1405,0)</x:f>
        <x:v>0.26666666666666666</x:v>
      </x:c>
      <x:c r="Z1405" s="24" t="n">
        <x:f>IFERROR(G1405/K1405,0)</x:f>
        <x:v>0.5</x:v>
      </x:c>
      <x:c r="AA1405" s="24" t="n">
        <x:f>IFERROR(F1405/H1405,0)-IFERROR(G1405/I1405,0)</x:f>
        <x:v>-0.18974358974358974</x:v>
      </x:c>
      <x:c r="AB1405" s="28" t="n">
        <x:f>J1405-K1405</x:f>
        <x:v>-3</x:v>
      </x:c>
      <x:c r="AC1405" s="32" t="n">
        <x:f>F1405-G1405</x:f>
        <x:v>-3</x:v>
      </x:c>
    </x:row>
    <x:row r="1406">
      <x:c r="A1406" s="4" t="str">
        <x:v>2022-23</x:v>
      </x:c>
      <x:c r="B1406" s="20" t="n">
        <x:v>45043</x:v>
      </x:c>
      <x:c r="C1406" s="4" t="str">
        <x:v>Man United</x:v>
      </x:c>
      <x:c r="D1406" s="4" t="str">
        <x:v>Tottenham</x:v>
      </x:c>
      <x:c r="E1406" s="4" t="str">
        <x:v>Away</x:v>
      </x:c>
      <x:c r="F1406" s="28" t="n">
        <x:v>2</x:v>
      </x:c>
      <x:c r="G1406" s="28" t="n">
        <x:v>2</x:v>
      </x:c>
      <x:c r="H1406" s="28" t="n">
        <x:v>17</x:v>
      </x:c>
      <x:c r="I1406" s="28" t="n">
        <x:v>18</x:v>
      </x:c>
      <x:c r="J1406" s="28" t="n">
        <x:v>8</x:v>
      </x:c>
      <x:c r="K1406" s="28" t="n">
        <x:v>7</x:v>
      </x:c>
      <x:c r="L1406" s="28" t="n">
        <x:v>8</x:v>
      </x:c>
      <x:c r="M1406" s="28" t="n">
        <x:v>6</x:v>
      </x:c>
      <x:c r="N1406" s="28" t="n">
        <x:v>2</x:v>
      </x:c>
      <x:c r="O1406" s="28" t="n">
        <x:v>0</x:v>
      </x:c>
      <x:c r="P1406" s="28" t="n">
        <x:v>1</x:v>
      </x:c>
      <x:c r="Q1406" s="24" t="n">
        <x:f>IFERROR(J1406/H1406,0)</x:f>
        <x:v>0.47058823529411764</x:v>
      </x:c>
      <x:c r="R1406" s="24" t="n">
        <x:f>IFERROR(F1406/H1406,0)</x:f>
        <x:v>0.11764705882352941</x:v>
      </x:c>
      <x:c r="S1406" s="24" t="n">
        <x:f>IFERROR(F1406/J1406,0)</x:f>
        <x:v>0.25</x:v>
      </x:c>
      <x:c r="T1406" s="28" t="n">
        <x:f>H1406-I1406</x:f>
        <x:v>-1</x:v>
      </x:c>
      <x:c r="U1406" s="24" t="n">
        <x:f>IFERROR(J1406/H1406,0)-IFERROR(K1406/I1406,0)</x:f>
        <x:v>0.08169934640522875</x:v>
      </x:c>
      <x:c r="V1406" s="24" t="n">
        <x:f>IFERROR(F1406/J1406,0)-IFERROR(G1406/K1406,0)</x:f>
        <x:v>-0.0357142857142857</x:v>
      </x:c>
      <x:c r="W1406" s="28" t="n">
        <x:f>L1406-M1406</x:f>
        <x:v>2</x:v>
      </x:c>
      <x:c r="X1406" s="24" t="n">
        <x:f>IFERROR(K1406/I1406,0)</x:f>
        <x:v>0.3888888888888889</x:v>
      </x:c>
      <x:c r="Y1406" s="24" t="n">
        <x:f>IFERROR(G1406/I1406,0)</x:f>
        <x:v>0.1111111111111111</x:v>
      </x:c>
      <x:c r="Z1406" s="24" t="n">
        <x:f>IFERROR(G1406/K1406,0)</x:f>
        <x:v>0.2857142857142857</x:v>
      </x:c>
      <x:c r="AA1406" s="24" t="n">
        <x:f>IFERROR(F1406/H1406,0)-IFERROR(G1406/I1406,0)</x:f>
        <x:v>0.006535947712418305</x:v>
      </x:c>
      <x:c r="AB1406" s="28" t="n">
        <x:f>J1406-K1406</x:f>
        <x:v>1</x:v>
      </x:c>
      <x:c r="AC1406" s="32" t="n">
        <x:f>F1406-G1406</x:f>
        <x:v>0</x:v>
      </x:c>
    </x:row>
    <x:row r="1407">
      <x:c r="A1407" s="4" t="str">
        <x:v>2022-23</x:v>
      </x:c>
      <x:c r="B1407" s="20" t="n">
        <x:v>45043</x:v>
      </x:c>
      <x:c r="C1407" s="4" t="str">
        <x:v>Newcastle</x:v>
      </x:c>
      <x:c r="D1407" s="4" t="str">
        <x:v>Everton</x:v>
      </x:c>
      <x:c r="E1407" s="4" t="str">
        <x:v>Away</x:v>
      </x:c>
      <x:c r="F1407" s="28" t="n">
        <x:v>4</x:v>
      </x:c>
      <x:c r="G1407" s="28" t="n">
        <x:v>1</x:v>
      </x:c>
      <x:c r="H1407" s="28" t="n">
        <x:v>15</x:v>
      </x:c>
      <x:c r="I1407" s="28" t="n">
        <x:v>13</x:v>
      </x:c>
      <x:c r="J1407" s="28" t="n">
        <x:v>8</x:v>
      </x:c>
      <x:c r="K1407" s="28" t="n">
        <x:v>5</x:v>
      </x:c>
      <x:c r="L1407" s="28" t="n">
        <x:v>14</x:v>
      </x:c>
      <x:c r="M1407" s="28" t="n">
        <x:v>3</x:v>
      </x:c>
      <x:c r="N1407" s="28" t="n">
        <x:v>1</x:v>
      </x:c>
      <x:c r="O1407" s="28" t="n">
        <x:v>0</x:v>
      </x:c>
      <x:c r="P1407" s="28" t="n">
        <x:v>3</x:v>
      </x:c>
      <x:c r="Q1407" s="24" t="n">
        <x:f>IFERROR(J1407/H1407,0)</x:f>
        <x:v>0.5333333333333333</x:v>
      </x:c>
      <x:c r="R1407" s="24" t="n">
        <x:f>IFERROR(F1407/H1407,0)</x:f>
        <x:v>0.26666666666666666</x:v>
      </x:c>
      <x:c r="S1407" s="24" t="n">
        <x:f>IFERROR(F1407/J1407,0)</x:f>
        <x:v>0.5</x:v>
      </x:c>
      <x:c r="T1407" s="28" t="n">
        <x:f>H1407-I1407</x:f>
        <x:v>2</x:v>
      </x:c>
      <x:c r="U1407" s="24" t="n">
        <x:f>IFERROR(J1407/H1407,0)-IFERROR(K1407/I1407,0)</x:f>
        <x:v>0.1487179487179487</x:v>
      </x:c>
      <x:c r="V1407" s="24" t="n">
        <x:f>IFERROR(F1407/J1407,0)-IFERROR(G1407/K1407,0)</x:f>
        <x:v>0.3</x:v>
      </x:c>
      <x:c r="W1407" s="28" t="n">
        <x:f>L1407-M1407</x:f>
        <x:v>11</x:v>
      </x:c>
      <x:c r="X1407" s="24" t="n">
        <x:f>IFERROR(K1407/I1407,0)</x:f>
        <x:v>0.38461538461538464</x:v>
      </x:c>
      <x:c r="Y1407" s="24" t="n">
        <x:f>IFERROR(G1407/I1407,0)</x:f>
        <x:v>0.07692307692307693</x:v>
      </x:c>
      <x:c r="Z1407" s="24" t="n">
        <x:f>IFERROR(G1407/K1407,0)</x:f>
        <x:v>0.2</x:v>
      </x:c>
      <x:c r="AA1407" s="24" t="n">
        <x:f>IFERROR(F1407/H1407,0)-IFERROR(G1407/I1407,0)</x:f>
        <x:v>0.18974358974358974</x:v>
      </x:c>
      <x:c r="AB1407" s="28" t="n">
        <x:f>J1407-K1407</x:f>
        <x:v>3</x:v>
      </x:c>
      <x:c r="AC1407" s="32" t="n">
        <x:f>F1407-G1407</x:f>
        <x:v>3</x:v>
      </x:c>
    </x:row>
    <x:row r="1408">
      <x:c r="A1408" s="4" t="str">
        <x:v>2022-23</x:v>
      </x:c>
      <x:c r="B1408" s="20" t="n">
        <x:v>45043</x:v>
      </x:c>
      <x:c r="C1408" s="4" t="str">
        <x:v>Southampton</x:v>
      </x:c>
      <x:c r="D1408" s="4" t="str">
        <x:v>Bournemouth</x:v>
      </x:c>
      <x:c r="E1408" s="4" t="str">
        <x:v>Home</x:v>
      </x:c>
      <x:c r="F1408" s="28" t="n">
        <x:v>0</x:v>
      </x:c>
      <x:c r="G1408" s="28" t="n">
        <x:v>1</x:v>
      </x:c>
      <x:c r="H1408" s="28" t="n">
        <x:v>11</x:v>
      </x:c>
      <x:c r="I1408" s="28" t="n">
        <x:v>16</x:v>
      </x:c>
      <x:c r="J1408" s="28" t="n">
        <x:v>2</x:v>
      </x:c>
      <x:c r="K1408" s="28" t="n">
        <x:v>2</x:v>
      </x:c>
      <x:c r="L1408" s="28" t="n">
        <x:v>6</x:v>
      </x:c>
      <x:c r="M1408" s="28" t="n">
        <x:v>4</x:v>
      </x:c>
      <x:c r="N1408" s="28" t="n">
        <x:v>0</x:v>
      </x:c>
      <x:c r="O1408" s="28" t="n">
        <x:v>0</x:v>
      </x:c>
      <x:c r="P1408" s="28" t="n">
        <x:v>0</x:v>
      </x:c>
      <x:c r="Q1408" s="24" t="n">
        <x:f>IFERROR(J1408/H1408,0)</x:f>
        <x:v>0.18181818181818182</x:v>
      </x:c>
      <x:c r="R1408" s="24" t="n">
        <x:f>IFERROR(F1408/H1408,0)</x:f>
        <x:v>0</x:v>
      </x:c>
      <x:c r="S1408" s="24" t="n">
        <x:f>IFERROR(F1408/J1408,0)</x:f>
        <x:v>0</x:v>
      </x:c>
      <x:c r="T1408" s="28" t="n">
        <x:f>H1408-I1408</x:f>
        <x:v>-5</x:v>
      </x:c>
      <x:c r="U1408" s="24" t="n">
        <x:f>IFERROR(J1408/H1408,0)-IFERROR(K1408/I1408,0)</x:f>
        <x:v>0.05681818181818182</x:v>
      </x:c>
      <x:c r="V1408" s="24" t="n">
        <x:f>IFERROR(F1408/J1408,0)-IFERROR(G1408/K1408,0)</x:f>
        <x:v>-0.5</x:v>
      </x:c>
      <x:c r="W1408" s="28" t="n">
        <x:f>L1408-M1408</x:f>
        <x:v>2</x:v>
      </x:c>
      <x:c r="X1408" s="24" t="n">
        <x:f>IFERROR(K1408/I1408,0)</x:f>
        <x:v>0.125</x:v>
      </x:c>
      <x:c r="Y1408" s="24" t="n">
        <x:f>IFERROR(G1408/I1408,0)</x:f>
        <x:v>0.0625</x:v>
      </x:c>
      <x:c r="Z1408" s="24" t="n">
        <x:f>IFERROR(G1408/K1408,0)</x:f>
        <x:v>0.5</x:v>
      </x:c>
      <x:c r="AA1408" s="24" t="n">
        <x:f>IFERROR(F1408/H1408,0)-IFERROR(G1408/I1408,0)</x:f>
        <x:v>-0.0625</x:v>
      </x:c>
      <x:c r="AB1408" s="28" t="n">
        <x:f>J1408-K1408</x:f>
        <x:v>0</x:v>
      </x:c>
      <x:c r="AC1408" s="32" t="n">
        <x:f>F1408-G1408</x:f>
        <x:v>-1</x:v>
      </x:c>
    </x:row>
    <x:row r="1409">
      <x:c r="A1409" s="4" t="str">
        <x:v>2022-23</x:v>
      </x:c>
      <x:c r="B1409" s="20" t="n">
        <x:v>45043</x:v>
      </x:c>
      <x:c r="C1409" s="4" t="str">
        <x:v>Tottenham</x:v>
      </x:c>
      <x:c r="D1409" s="4" t="str">
        <x:v>Man United</x:v>
      </x:c>
      <x:c r="E1409" s="4" t="str">
        <x:v>Home</x:v>
      </x:c>
      <x:c r="F1409" s="28" t="n">
        <x:v>2</x:v>
      </x:c>
      <x:c r="G1409" s="28" t="n">
        <x:v>2</x:v>
      </x:c>
      <x:c r="H1409" s="28" t="n">
        <x:v>18</x:v>
      </x:c>
      <x:c r="I1409" s="28" t="n">
        <x:v>17</x:v>
      </x:c>
      <x:c r="J1409" s="28" t="n">
        <x:v>7</x:v>
      </x:c>
      <x:c r="K1409" s="28" t="n">
        <x:v>8</x:v>
      </x:c>
      <x:c r="L1409" s="28" t="n">
        <x:v>6</x:v>
      </x:c>
      <x:c r="M1409" s="28" t="n">
        <x:v>8</x:v>
      </x:c>
      <x:c r="N1409" s="28" t="n">
        <x:v>1</x:v>
      </x:c>
      <x:c r="O1409" s="28" t="n">
        <x:v>0</x:v>
      </x:c>
      <x:c r="P1409" s="28" t="n">
        <x:v>1</x:v>
      </x:c>
      <x:c r="Q1409" s="24" t="n">
        <x:f>IFERROR(J1409/H1409,0)</x:f>
        <x:v>0.3888888888888889</x:v>
      </x:c>
      <x:c r="R1409" s="24" t="n">
        <x:f>IFERROR(F1409/H1409,0)</x:f>
        <x:v>0.1111111111111111</x:v>
      </x:c>
      <x:c r="S1409" s="24" t="n">
        <x:f>IFERROR(F1409/J1409,0)</x:f>
        <x:v>0.2857142857142857</x:v>
      </x:c>
      <x:c r="T1409" s="28" t="n">
        <x:f>H1409-I1409</x:f>
        <x:v>1</x:v>
      </x:c>
      <x:c r="U1409" s="24" t="n">
        <x:f>IFERROR(J1409/H1409,0)-IFERROR(K1409/I1409,0)</x:f>
        <x:v>-0.08169934640522875</x:v>
      </x:c>
      <x:c r="V1409" s="24" t="n">
        <x:f>IFERROR(F1409/J1409,0)-IFERROR(G1409/K1409,0)</x:f>
        <x:v>0.0357142857142857</x:v>
      </x:c>
      <x:c r="W1409" s="28" t="n">
        <x:f>L1409-M1409</x:f>
        <x:v>-2</x:v>
      </x:c>
      <x:c r="X1409" s="24" t="n">
        <x:f>IFERROR(K1409/I1409,0)</x:f>
        <x:v>0.47058823529411764</x:v>
      </x:c>
      <x:c r="Y1409" s="24" t="n">
        <x:f>IFERROR(G1409/I1409,0)</x:f>
        <x:v>0.11764705882352941</x:v>
      </x:c>
      <x:c r="Z1409" s="24" t="n">
        <x:f>IFERROR(G1409/K1409,0)</x:f>
        <x:v>0.25</x:v>
      </x:c>
      <x:c r="AA1409" s="24" t="n">
        <x:f>IFERROR(F1409/H1409,0)-IFERROR(G1409/I1409,0)</x:f>
        <x:v>-0.006535947712418305</x:v>
      </x:c>
      <x:c r="AB1409" s="28" t="n">
        <x:f>J1409-K1409</x:f>
        <x:v>-1</x:v>
      </x:c>
      <x:c r="AC1409" s="32" t="n">
        <x:f>F1409-G1409</x:f>
        <x:v>0</x:v>
      </x:c>
    </x:row>
    <x:row r="1410">
      <x:c r="A1410" s="4" t="str">
        <x:v>2022-23</x:v>
      </x:c>
      <x:c r="B1410" s="20" t="n">
        <x:v>45045</x:v>
      </x:c>
      <x:c r="C1410" s="4" t="str">
        <x:v>Brentford</x:v>
      </x:c>
      <x:c r="D1410" s="4" t="str">
        <x:v>Nott'm Forest</x:v>
      </x:c>
      <x:c r="E1410" s="4" t="str">
        <x:v>Home</x:v>
      </x:c>
      <x:c r="F1410" s="28" t="n">
        <x:v>2</x:v>
      </x:c>
      <x:c r="G1410" s="28" t="n">
        <x:v>1</x:v>
      </x:c>
      <x:c r="H1410" s="28" t="n">
        <x:v>14</x:v>
      </x:c>
      <x:c r="I1410" s="28" t="n">
        <x:v>5</x:v>
      </x:c>
      <x:c r="J1410" s="28" t="n">
        <x:v>8</x:v>
      </x:c>
      <x:c r="K1410" s="28" t="n">
        <x:v>3</x:v>
      </x:c>
      <x:c r="L1410" s="28" t="n">
        <x:v>6</x:v>
      </x:c>
      <x:c r="M1410" s="28" t="n">
        <x:v>0</x:v>
      </x:c>
      <x:c r="N1410" s="28" t="n">
        <x:v>1</x:v>
      </x:c>
      <x:c r="O1410" s="28" t="n">
        <x:v>0</x:v>
      </x:c>
      <x:c r="P1410" s="28" t="n">
        <x:v>3</x:v>
      </x:c>
      <x:c r="Q1410" s="24" t="n">
        <x:f>IFERROR(J1410/H1410,0)</x:f>
        <x:v>0.5714285714285714</x:v>
      </x:c>
      <x:c r="R1410" s="24" t="n">
        <x:f>IFERROR(F1410/H1410,0)</x:f>
        <x:v>0.14285714285714285</x:v>
      </x:c>
      <x:c r="S1410" s="24" t="n">
        <x:f>IFERROR(F1410/J1410,0)</x:f>
        <x:v>0.25</x:v>
      </x:c>
      <x:c r="T1410" s="28" t="n">
        <x:f>H1410-I1410</x:f>
        <x:v>9</x:v>
      </x:c>
      <x:c r="U1410" s="24" t="n">
        <x:f>IFERROR(J1410/H1410,0)-IFERROR(K1410/I1410,0)</x:f>
        <x:v>-0.02857142857142858</x:v>
      </x:c>
      <x:c r="V1410" s="24" t="n">
        <x:f>IFERROR(F1410/J1410,0)-IFERROR(G1410/K1410,0)</x:f>
        <x:v>-0.08333333333333331</x:v>
      </x:c>
      <x:c r="W1410" s="28" t="n">
        <x:f>L1410-M1410</x:f>
        <x:v>6</x:v>
      </x:c>
      <x:c r="X1410" s="24" t="n">
        <x:f>IFERROR(K1410/I1410,0)</x:f>
        <x:v>0.6</x:v>
      </x:c>
      <x:c r="Y1410" s="24" t="n">
        <x:f>IFERROR(G1410/I1410,0)</x:f>
        <x:v>0.2</x:v>
      </x:c>
      <x:c r="Z1410" s="24" t="n">
        <x:f>IFERROR(G1410/K1410,0)</x:f>
        <x:v>0.3333333333333333</x:v>
      </x:c>
      <x:c r="AA1410" s="24" t="n">
        <x:f>IFERROR(F1410/H1410,0)-IFERROR(G1410/I1410,0)</x:f>
        <x:v>-0.05714285714285716</x:v>
      </x:c>
      <x:c r="AB1410" s="28" t="n">
        <x:f>J1410-K1410</x:f>
        <x:v>5</x:v>
      </x:c>
      <x:c r="AC1410" s="32" t="n">
        <x:f>F1410-G1410</x:f>
        <x:v>1</x:v>
      </x:c>
    </x:row>
    <x:row r="1411">
      <x:c r="A1411" s="4" t="str">
        <x:v>2022-23</x:v>
      </x:c>
      <x:c r="B1411" s="20" t="n">
        <x:v>45045</x:v>
      </x:c>
      <x:c r="C1411" s="4" t="str">
        <x:v>Brighton</x:v>
      </x:c>
      <x:c r="D1411" s="4" t="str">
        <x:v>Wolves</x:v>
      </x:c>
      <x:c r="E1411" s="4" t="str">
        <x:v>Home</x:v>
      </x:c>
      <x:c r="F1411" s="28" t="n">
        <x:v>6</x:v>
      </x:c>
      <x:c r="G1411" s="28" t="n">
        <x:v>0</x:v>
      </x:c>
      <x:c r="H1411" s="28" t="n">
        <x:v>22</x:v>
      </x:c>
      <x:c r="I1411" s="28" t="n">
        <x:v>10</x:v>
      </x:c>
      <x:c r="J1411" s="28" t="n">
        <x:v>8</x:v>
      </x:c>
      <x:c r="K1411" s="28" t="n">
        <x:v>2</x:v>
      </x:c>
      <x:c r="L1411" s="28" t="n">
        <x:v>2</x:v>
      </x:c>
      <x:c r="M1411" s="28" t="n">
        <x:v>5</x:v>
      </x:c>
      <x:c r="N1411" s="28" t="n">
        <x:v>1</x:v>
      </x:c>
      <x:c r="O1411" s="28" t="n">
        <x:v>0</x:v>
      </x:c>
      <x:c r="P1411" s="28" t="n">
        <x:v>3</x:v>
      </x:c>
      <x:c r="Q1411" s="24" t="n">
        <x:f>IFERROR(J1411/H1411,0)</x:f>
        <x:v>0.36363636363636365</x:v>
      </x:c>
      <x:c r="R1411" s="24" t="n">
        <x:f>IFERROR(F1411/H1411,0)</x:f>
        <x:v>0.2727272727272727</x:v>
      </x:c>
      <x:c r="S1411" s="24" t="n">
        <x:f>IFERROR(F1411/J1411,0)</x:f>
        <x:v>0.75</x:v>
      </x:c>
      <x:c r="T1411" s="28" t="n">
        <x:f>H1411-I1411</x:f>
        <x:v>12</x:v>
      </x:c>
      <x:c r="U1411" s="24" t="n">
        <x:f>IFERROR(J1411/H1411,0)-IFERROR(K1411/I1411,0)</x:f>
        <x:v>0.16363636363636364</x:v>
      </x:c>
      <x:c r="V1411" s="24" t="n">
        <x:f>IFERROR(F1411/J1411,0)-IFERROR(G1411/K1411,0)</x:f>
        <x:v>0.75</x:v>
      </x:c>
      <x:c r="W1411" s="28" t="n">
        <x:f>L1411-M1411</x:f>
        <x:v>-3</x:v>
      </x:c>
      <x:c r="X1411" s="24" t="n">
        <x:f>IFERROR(K1411/I1411,0)</x:f>
        <x:v>0.2</x:v>
      </x:c>
      <x:c r="Y1411" s="24" t="n">
        <x:f>IFERROR(G1411/I1411,0)</x:f>
        <x:v>0</x:v>
      </x:c>
      <x:c r="Z1411" s="24" t="n">
        <x:f>IFERROR(G1411/K1411,0)</x:f>
        <x:v>0</x:v>
      </x:c>
      <x:c r="AA1411" s="24" t="n">
        <x:f>IFERROR(F1411/H1411,0)-IFERROR(G1411/I1411,0)</x:f>
        <x:v>0.2727272727272727</x:v>
      </x:c>
      <x:c r="AB1411" s="28" t="n">
        <x:f>J1411-K1411</x:f>
        <x:v>6</x:v>
      </x:c>
      <x:c r="AC1411" s="32" t="n">
        <x:f>F1411-G1411</x:f>
        <x:v>6</x:v>
      </x:c>
    </x:row>
    <x:row r="1412">
      <x:c r="A1412" s="4" t="str">
        <x:v>2022-23</x:v>
      </x:c>
      <x:c r="B1412" s="20" t="n">
        <x:v>45045</x:v>
      </x:c>
      <x:c r="C1412" s="4" t="str">
        <x:v>Crystal Palace</x:v>
      </x:c>
      <x:c r="D1412" s="4" t="str">
        <x:v>West Ham</x:v>
      </x:c>
      <x:c r="E1412" s="4" t="str">
        <x:v>Home</x:v>
      </x:c>
      <x:c r="F1412" s="28" t="n">
        <x:v>4</x:v>
      </x:c>
      <x:c r="G1412" s="28" t="n">
        <x:v>3</x:v>
      </x:c>
      <x:c r="H1412" s="28" t="n">
        <x:v>16</x:v>
      </x:c>
      <x:c r="I1412" s="28" t="n">
        <x:v>8</x:v>
      </x:c>
      <x:c r="J1412" s="28" t="n">
        <x:v>6</x:v>
      </x:c>
      <x:c r="K1412" s="28" t="n">
        <x:v>4</x:v>
      </x:c>
      <x:c r="L1412" s="28" t="n">
        <x:v>8</x:v>
      </x:c>
      <x:c r="M1412" s="28" t="n">
        <x:v>5</x:v>
      </x:c>
      <x:c r="N1412" s="28" t="n">
        <x:v>1</x:v>
      </x:c>
      <x:c r="O1412" s="28" t="n">
        <x:v>0</x:v>
      </x:c>
      <x:c r="P1412" s="28" t="n">
        <x:v>3</x:v>
      </x:c>
      <x:c r="Q1412" s="24" t="n">
        <x:f>IFERROR(J1412/H1412,0)</x:f>
        <x:v>0.375</x:v>
      </x:c>
      <x:c r="R1412" s="24" t="n">
        <x:f>IFERROR(F1412/H1412,0)</x:f>
        <x:v>0.25</x:v>
      </x:c>
      <x:c r="S1412" s="24" t="n">
        <x:f>IFERROR(F1412/J1412,0)</x:f>
        <x:v>0.6666666666666666</x:v>
      </x:c>
      <x:c r="T1412" s="28" t="n">
        <x:f>H1412-I1412</x:f>
        <x:v>8</x:v>
      </x:c>
      <x:c r="U1412" s="24" t="n">
        <x:f>IFERROR(J1412/H1412,0)-IFERROR(K1412/I1412,0)</x:f>
        <x:v>-0.125</x:v>
      </x:c>
      <x:c r="V1412" s="24" t="n">
        <x:f>IFERROR(F1412/J1412,0)-IFERROR(G1412/K1412,0)</x:f>
        <x:v>-0.08333333333333337</x:v>
      </x:c>
      <x:c r="W1412" s="28" t="n">
        <x:f>L1412-M1412</x:f>
        <x:v>3</x:v>
      </x:c>
      <x:c r="X1412" s="24" t="n">
        <x:f>IFERROR(K1412/I1412,0)</x:f>
        <x:v>0.5</x:v>
      </x:c>
      <x:c r="Y1412" s="24" t="n">
        <x:f>IFERROR(G1412/I1412,0)</x:f>
        <x:v>0.375</x:v>
      </x:c>
      <x:c r="Z1412" s="24" t="n">
        <x:f>IFERROR(G1412/K1412,0)</x:f>
        <x:v>0.75</x:v>
      </x:c>
      <x:c r="AA1412" s="24" t="n">
        <x:f>IFERROR(F1412/H1412,0)-IFERROR(G1412/I1412,0)</x:f>
        <x:v>-0.125</x:v>
      </x:c>
      <x:c r="AB1412" s="28" t="n">
        <x:f>J1412-K1412</x:f>
        <x:v>2</x:v>
      </x:c>
      <x:c r="AC1412" s="32" t="n">
        <x:f>F1412-G1412</x:f>
        <x:v>1</x:v>
      </x:c>
    </x:row>
    <x:row r="1413">
      <x:c r="A1413" s="4" t="str">
        <x:v>2022-23</x:v>
      </x:c>
      <x:c r="B1413" s="20" t="n">
        <x:v>45045</x:v>
      </x:c>
      <x:c r="C1413" s="4" t="str">
        <x:v>Nott'm Forest</x:v>
      </x:c>
      <x:c r="D1413" s="4" t="str">
        <x:v>Brentford</x:v>
      </x:c>
      <x:c r="E1413" s="4" t="str">
        <x:v>Away</x:v>
      </x:c>
      <x:c r="F1413" s="28" t="n">
        <x:v>1</x:v>
      </x:c>
      <x:c r="G1413" s="28" t="n">
        <x:v>2</x:v>
      </x:c>
      <x:c r="H1413" s="28" t="n">
        <x:v>5</x:v>
      </x:c>
      <x:c r="I1413" s="28" t="n">
        <x:v>14</x:v>
      </x:c>
      <x:c r="J1413" s="28" t="n">
        <x:v>3</x:v>
      </x:c>
      <x:c r="K1413" s="28" t="n">
        <x:v>8</x:v>
      </x:c>
      <x:c r="L1413" s="28" t="n">
        <x:v>0</x:v>
      </x:c>
      <x:c r="M1413" s="28" t="n">
        <x:v>6</x:v>
      </x:c>
      <x:c r="N1413" s="28" t="n">
        <x:v>2</x:v>
      </x:c>
      <x:c r="O1413" s="28" t="n">
        <x:v>0</x:v>
      </x:c>
      <x:c r="P1413" s="28" t="n">
        <x:v>0</x:v>
      </x:c>
      <x:c r="Q1413" s="24" t="n">
        <x:f>IFERROR(J1413/H1413,0)</x:f>
        <x:v>0.6</x:v>
      </x:c>
      <x:c r="R1413" s="24" t="n">
        <x:f>IFERROR(F1413/H1413,0)</x:f>
        <x:v>0.2</x:v>
      </x:c>
      <x:c r="S1413" s="24" t="n">
        <x:f>IFERROR(F1413/J1413,0)</x:f>
        <x:v>0.3333333333333333</x:v>
      </x:c>
      <x:c r="T1413" s="28" t="n">
        <x:f>H1413-I1413</x:f>
        <x:v>-9</x:v>
      </x:c>
      <x:c r="U1413" s="24" t="n">
        <x:f>IFERROR(J1413/H1413,0)-IFERROR(K1413/I1413,0)</x:f>
        <x:v>0.02857142857142858</x:v>
      </x:c>
      <x:c r="V1413" s="24" t="n">
        <x:f>IFERROR(F1413/J1413,0)-IFERROR(G1413/K1413,0)</x:f>
        <x:v>0.08333333333333331</x:v>
      </x:c>
      <x:c r="W1413" s="28" t="n">
        <x:f>L1413-M1413</x:f>
        <x:v>-6</x:v>
      </x:c>
      <x:c r="X1413" s="24" t="n">
        <x:f>IFERROR(K1413/I1413,0)</x:f>
        <x:v>0.5714285714285714</x:v>
      </x:c>
      <x:c r="Y1413" s="24" t="n">
        <x:f>IFERROR(G1413/I1413,0)</x:f>
        <x:v>0.14285714285714285</x:v>
      </x:c>
      <x:c r="Z1413" s="24" t="n">
        <x:f>IFERROR(G1413/K1413,0)</x:f>
        <x:v>0.25</x:v>
      </x:c>
      <x:c r="AA1413" s="24" t="n">
        <x:f>IFERROR(F1413/H1413,0)-IFERROR(G1413/I1413,0)</x:f>
        <x:v>0.05714285714285716</x:v>
      </x:c>
      <x:c r="AB1413" s="28" t="n">
        <x:f>J1413-K1413</x:f>
        <x:v>-5</x:v>
      </x:c>
      <x:c r="AC1413" s="32" t="n">
        <x:f>F1413-G1413</x:f>
        <x:v>-1</x:v>
      </x:c>
    </x:row>
    <x:row r="1414">
      <x:c r="A1414" s="4" t="str">
        <x:v>2022-23</x:v>
      </x:c>
      <x:c r="B1414" s="20" t="n">
        <x:v>45045</x:v>
      </x:c>
      <x:c r="C1414" s="4" t="str">
        <x:v>West Ham</x:v>
      </x:c>
      <x:c r="D1414" s="4" t="str">
        <x:v>Crystal Palace</x:v>
      </x:c>
      <x:c r="E1414" s="4" t="str">
        <x:v>Away</x:v>
      </x:c>
      <x:c r="F1414" s="28" t="n">
        <x:v>3</x:v>
      </x:c>
      <x:c r="G1414" s="28" t="n">
        <x:v>4</x:v>
      </x:c>
      <x:c r="H1414" s="28" t="n">
        <x:v>8</x:v>
      </x:c>
      <x:c r="I1414" s="28" t="n">
        <x:v>16</x:v>
      </x:c>
      <x:c r="J1414" s="28" t="n">
        <x:v>4</x:v>
      </x:c>
      <x:c r="K1414" s="28" t="n">
        <x:v>6</x:v>
      </x:c>
      <x:c r="L1414" s="28" t="n">
        <x:v>5</x:v>
      </x:c>
      <x:c r="M1414" s="28" t="n">
        <x:v>8</x:v>
      </x:c>
      <x:c r="N1414" s="28" t="n">
        <x:v>2</x:v>
      </x:c>
      <x:c r="O1414" s="28" t="n">
        <x:v>0</x:v>
      </x:c>
      <x:c r="P1414" s="28" t="n">
        <x:v>0</x:v>
      </x:c>
      <x:c r="Q1414" s="24" t="n">
        <x:f>IFERROR(J1414/H1414,0)</x:f>
        <x:v>0.5</x:v>
      </x:c>
      <x:c r="R1414" s="24" t="n">
        <x:f>IFERROR(F1414/H1414,0)</x:f>
        <x:v>0.375</x:v>
      </x:c>
      <x:c r="S1414" s="24" t="n">
        <x:f>IFERROR(F1414/J1414,0)</x:f>
        <x:v>0.75</x:v>
      </x:c>
      <x:c r="T1414" s="28" t="n">
        <x:f>H1414-I1414</x:f>
        <x:v>-8</x:v>
      </x:c>
      <x:c r="U1414" s="24" t="n">
        <x:f>IFERROR(J1414/H1414,0)-IFERROR(K1414/I1414,0)</x:f>
        <x:v>0.125</x:v>
      </x:c>
      <x:c r="V1414" s="24" t="n">
        <x:f>IFERROR(F1414/J1414,0)-IFERROR(G1414/K1414,0)</x:f>
        <x:v>0.08333333333333337</x:v>
      </x:c>
      <x:c r="W1414" s="28" t="n">
        <x:f>L1414-M1414</x:f>
        <x:v>-3</x:v>
      </x:c>
      <x:c r="X1414" s="24" t="n">
        <x:f>IFERROR(K1414/I1414,0)</x:f>
        <x:v>0.375</x:v>
      </x:c>
      <x:c r="Y1414" s="24" t="n">
        <x:f>IFERROR(G1414/I1414,0)</x:f>
        <x:v>0.25</x:v>
      </x:c>
      <x:c r="Z1414" s="24" t="n">
        <x:f>IFERROR(G1414/K1414,0)</x:f>
        <x:v>0.6666666666666666</x:v>
      </x:c>
      <x:c r="AA1414" s="24" t="n">
        <x:f>IFERROR(F1414/H1414,0)-IFERROR(G1414/I1414,0)</x:f>
        <x:v>0.125</x:v>
      </x:c>
      <x:c r="AB1414" s="28" t="n">
        <x:f>J1414-K1414</x:f>
        <x:v>-2</x:v>
      </x:c>
      <x:c r="AC1414" s="32" t="n">
        <x:f>F1414-G1414</x:f>
        <x:v>-1</x:v>
      </x:c>
    </x:row>
    <x:row r="1415">
      <x:c r="A1415" s="4" t="str">
        <x:v>2022-23</x:v>
      </x:c>
      <x:c r="B1415" s="20" t="n">
        <x:v>45045</x:v>
      </x:c>
      <x:c r="C1415" s="4" t="str">
        <x:v>Wolves</x:v>
      </x:c>
      <x:c r="D1415" s="4" t="str">
        <x:v>Brighton</x:v>
      </x:c>
      <x:c r="E1415" s="4" t="str">
        <x:v>Away</x:v>
      </x:c>
      <x:c r="F1415" s="28" t="n">
        <x:v>0</x:v>
      </x:c>
      <x:c r="G1415" s="28" t="n">
        <x:v>6</x:v>
      </x:c>
      <x:c r="H1415" s="28" t="n">
        <x:v>10</x:v>
      </x:c>
      <x:c r="I1415" s="28" t="n">
        <x:v>22</x:v>
      </x:c>
      <x:c r="J1415" s="28" t="n">
        <x:v>2</x:v>
      </x:c>
      <x:c r="K1415" s="28" t="n">
        <x:v>8</x:v>
      </x:c>
      <x:c r="L1415" s="28" t="n">
        <x:v>5</x:v>
      </x:c>
      <x:c r="M1415" s="28" t="n">
        <x:v>2</x:v>
      </x:c>
      <x:c r="N1415" s="28" t="n">
        <x:v>1</x:v>
      </x:c>
      <x:c r="O1415" s="28" t="n">
        <x:v>0</x:v>
      </x:c>
      <x:c r="P1415" s="28" t="n">
        <x:v>0</x:v>
      </x:c>
      <x:c r="Q1415" s="24" t="n">
        <x:f>IFERROR(J1415/H1415,0)</x:f>
        <x:v>0.2</x:v>
      </x:c>
      <x:c r="R1415" s="24" t="n">
        <x:f>IFERROR(F1415/H1415,0)</x:f>
        <x:v>0</x:v>
      </x:c>
      <x:c r="S1415" s="24" t="n">
        <x:f>IFERROR(F1415/J1415,0)</x:f>
        <x:v>0</x:v>
      </x:c>
      <x:c r="T1415" s="28" t="n">
        <x:f>H1415-I1415</x:f>
        <x:v>-12</x:v>
      </x:c>
      <x:c r="U1415" s="24" t="n">
        <x:f>IFERROR(J1415/H1415,0)-IFERROR(K1415/I1415,0)</x:f>
        <x:v>-0.16363636363636364</x:v>
      </x:c>
      <x:c r="V1415" s="24" t="n">
        <x:f>IFERROR(F1415/J1415,0)-IFERROR(G1415/K1415,0)</x:f>
        <x:v>-0.75</x:v>
      </x:c>
      <x:c r="W1415" s="28" t="n">
        <x:f>L1415-M1415</x:f>
        <x:v>3</x:v>
      </x:c>
      <x:c r="X1415" s="24" t="n">
        <x:f>IFERROR(K1415/I1415,0)</x:f>
        <x:v>0.36363636363636365</x:v>
      </x:c>
      <x:c r="Y1415" s="24" t="n">
        <x:f>IFERROR(G1415/I1415,0)</x:f>
        <x:v>0.2727272727272727</x:v>
      </x:c>
      <x:c r="Z1415" s="24" t="n">
        <x:f>IFERROR(G1415/K1415,0)</x:f>
        <x:v>0.75</x:v>
      </x:c>
      <x:c r="AA1415" s="24" t="n">
        <x:f>IFERROR(F1415/H1415,0)-IFERROR(G1415/I1415,0)</x:f>
        <x:v>-0.2727272727272727</x:v>
      </x:c>
      <x:c r="AB1415" s="28" t="n">
        <x:f>J1415-K1415</x:f>
        <x:v>-6</x:v>
      </x:c>
      <x:c r="AC1415" s="32" t="n">
        <x:f>F1415-G1415</x:f>
        <x:v>-6</x:v>
      </x:c>
    </x:row>
    <x:row r="1416">
      <x:c r="A1416" s="4" t="str">
        <x:v>2022-23</x:v>
      </x:c>
      <x:c r="B1416" s="20" t="n">
        <x:v>45046</x:v>
      </x:c>
      <x:c r="C1416" s="4" t="str">
        <x:v>Aston Villa</x:v>
      </x:c>
      <x:c r="D1416" s="4" t="str">
        <x:v>Man United</x:v>
      </x:c>
      <x:c r="E1416" s="4" t="str">
        <x:v>Away</x:v>
      </x:c>
      <x:c r="F1416" s="28" t="n">
        <x:v>0</x:v>
      </x:c>
      <x:c r="G1416" s="28" t="n">
        <x:v>1</x:v>
      </x:c>
      <x:c r="H1416" s="28" t="n">
        <x:v>7</x:v>
      </x:c>
      <x:c r="I1416" s="28" t="n">
        <x:v>14</x:v>
      </x:c>
      <x:c r="J1416" s="28" t="n">
        <x:v>1</x:v>
      </x:c>
      <x:c r="K1416" s="28" t="n">
        <x:v>6</x:v>
      </x:c>
      <x:c r="L1416" s="28" t="n">
        <x:v>4</x:v>
      </x:c>
      <x:c r="M1416" s="28" t="n">
        <x:v>1</x:v>
      </x:c>
      <x:c r="N1416" s="28" t="n">
        <x:v>0</x:v>
      </x:c>
      <x:c r="O1416" s="28" t="n">
        <x:v>0</x:v>
      </x:c>
      <x:c r="P1416" s="28" t="n">
        <x:v>0</x:v>
      </x:c>
      <x:c r="Q1416" s="24" t="n">
        <x:f>IFERROR(J1416/H1416,0)</x:f>
        <x:v>0.14285714285714285</x:v>
      </x:c>
      <x:c r="R1416" s="24" t="n">
        <x:f>IFERROR(F1416/H1416,0)</x:f>
        <x:v>0</x:v>
      </x:c>
      <x:c r="S1416" s="24" t="n">
        <x:f>IFERROR(F1416/J1416,0)</x:f>
        <x:v>0</x:v>
      </x:c>
      <x:c r="T1416" s="28" t="n">
        <x:f>H1416-I1416</x:f>
        <x:v>-7</x:v>
      </x:c>
      <x:c r="U1416" s="24" t="n">
        <x:f>IFERROR(J1416/H1416,0)-IFERROR(K1416/I1416,0)</x:f>
        <x:v>-0.2857142857142857</x:v>
      </x:c>
      <x:c r="V1416" s="24" t="n">
        <x:f>IFERROR(F1416/J1416,0)-IFERROR(G1416/K1416,0)</x:f>
        <x:v>-0.16666666666666666</x:v>
      </x:c>
      <x:c r="W1416" s="28" t="n">
        <x:f>L1416-M1416</x:f>
        <x:v>3</x:v>
      </x:c>
      <x:c r="X1416" s="24" t="n">
        <x:f>IFERROR(K1416/I1416,0)</x:f>
        <x:v>0.42857142857142855</x:v>
      </x:c>
      <x:c r="Y1416" s="24" t="n">
        <x:f>IFERROR(G1416/I1416,0)</x:f>
        <x:v>0.07142857142857142</x:v>
      </x:c>
      <x:c r="Z1416" s="24" t="n">
        <x:f>IFERROR(G1416/K1416,0)</x:f>
        <x:v>0.16666666666666666</x:v>
      </x:c>
      <x:c r="AA1416" s="24" t="n">
        <x:f>IFERROR(F1416/H1416,0)-IFERROR(G1416/I1416,0)</x:f>
        <x:v>-0.07142857142857142</x:v>
      </x:c>
      <x:c r="AB1416" s="28" t="n">
        <x:f>J1416-K1416</x:f>
        <x:v>-5</x:v>
      </x:c>
      <x:c r="AC1416" s="32" t="n">
        <x:f>F1416-G1416</x:f>
        <x:v>-1</x:v>
      </x:c>
    </x:row>
    <x:row r="1417">
      <x:c r="A1417" s="4" t="str">
        <x:v>2022-23</x:v>
      </x:c>
      <x:c r="B1417" s="20" t="n">
        <x:v>45046</x:v>
      </x:c>
      <x:c r="C1417" s="4" t="str">
        <x:v>Bournemouth</x:v>
      </x:c>
      <x:c r="D1417" s="4" t="str">
        <x:v>Leeds</x:v>
      </x:c>
      <x:c r="E1417" s="4" t="str">
        <x:v>Home</x:v>
      </x:c>
      <x:c r="F1417" s="28" t="n">
        <x:v>4</x:v>
      </x:c>
      <x:c r="G1417" s="28" t="n">
        <x:v>1</x:v>
      </x:c>
      <x:c r="H1417" s="28" t="n">
        <x:v>12</x:v>
      </x:c>
      <x:c r="I1417" s="28" t="n">
        <x:v>15</x:v>
      </x:c>
      <x:c r="J1417" s="28" t="n">
        <x:v>7</x:v>
      </x:c>
      <x:c r="K1417" s="28" t="n">
        <x:v>6</x:v>
      </x:c>
      <x:c r="L1417" s="28" t="n">
        <x:v>2</x:v>
      </x:c>
      <x:c r="M1417" s="28" t="n">
        <x:v>6</x:v>
      </x:c>
      <x:c r="N1417" s="28" t="n">
        <x:v>1</x:v>
      </x:c>
      <x:c r="O1417" s="28" t="n">
        <x:v>0</x:v>
      </x:c>
      <x:c r="P1417" s="28" t="n">
        <x:v>3</x:v>
      </x:c>
      <x:c r="Q1417" s="24" t="n">
        <x:f>IFERROR(J1417/H1417,0)</x:f>
        <x:v>0.5833333333333334</x:v>
      </x:c>
      <x:c r="R1417" s="24" t="n">
        <x:f>IFERROR(F1417/H1417,0)</x:f>
        <x:v>0.3333333333333333</x:v>
      </x:c>
      <x:c r="S1417" s="24" t="n">
        <x:f>IFERROR(F1417/J1417,0)</x:f>
        <x:v>0.5714285714285714</x:v>
      </x:c>
      <x:c r="T1417" s="28" t="n">
        <x:f>H1417-I1417</x:f>
        <x:v>-3</x:v>
      </x:c>
      <x:c r="U1417" s="24" t="n">
        <x:f>IFERROR(J1417/H1417,0)-IFERROR(K1417/I1417,0)</x:f>
        <x:v>0.18333333333333335</x:v>
      </x:c>
      <x:c r="V1417" s="24" t="n">
        <x:f>IFERROR(F1417/J1417,0)-IFERROR(G1417/K1417,0)</x:f>
        <x:v>0.40476190476190477</x:v>
      </x:c>
      <x:c r="W1417" s="28" t="n">
        <x:f>L1417-M1417</x:f>
        <x:v>-4</x:v>
      </x:c>
      <x:c r="X1417" s="24" t="n">
        <x:f>IFERROR(K1417/I1417,0)</x:f>
        <x:v>0.4</x:v>
      </x:c>
      <x:c r="Y1417" s="24" t="n">
        <x:f>IFERROR(G1417/I1417,0)</x:f>
        <x:v>0.06666666666666667</x:v>
      </x:c>
      <x:c r="Z1417" s="24" t="n">
        <x:f>IFERROR(G1417/K1417,0)</x:f>
        <x:v>0.16666666666666666</x:v>
      </x:c>
      <x:c r="AA1417" s="24" t="n">
        <x:f>IFERROR(F1417/H1417,0)-IFERROR(G1417/I1417,0)</x:f>
        <x:v>0.26666666666666666</x:v>
      </x:c>
      <x:c r="AB1417" s="28" t="n">
        <x:f>J1417-K1417</x:f>
        <x:v>1</x:v>
      </x:c>
      <x:c r="AC1417" s="32" t="n">
        <x:f>F1417-G1417</x:f>
        <x:v>3</x:v>
      </x:c>
    </x:row>
    <x:row r="1418">
      <x:c r="A1418" s="4" t="str">
        <x:v>2022-23</x:v>
      </x:c>
      <x:c r="B1418" s="20" t="n">
        <x:v>45046</x:v>
      </x:c>
      <x:c r="C1418" s="4" t="str">
        <x:v>Fulham</x:v>
      </x:c>
      <x:c r="D1418" s="4" t="str">
        <x:v>Man City</x:v>
      </x:c>
      <x:c r="E1418" s="4" t="str">
        <x:v>Home</x:v>
      </x:c>
      <x:c r="F1418" s="28" t="n">
        <x:v>1</x:v>
      </x:c>
      <x:c r="G1418" s="28" t="n">
        <x:v>2</x:v>
      </x:c>
      <x:c r="H1418" s="28" t="n">
        <x:v>4</x:v>
      </x:c>
      <x:c r="I1418" s="28" t="n">
        <x:v>12</x:v>
      </x:c>
      <x:c r="J1418" s="28" t="n">
        <x:v>1</x:v>
      </x:c>
      <x:c r="K1418" s="28" t="n">
        <x:v>9</x:v>
      </x:c>
      <x:c r="L1418" s="28" t="n">
        <x:v>2</x:v>
      </x:c>
      <x:c r="M1418" s="28" t="n">
        <x:v>5</x:v>
      </x:c>
      <x:c r="N1418" s="28" t="n">
        <x:v>1</x:v>
      </x:c>
      <x:c r="O1418" s="28" t="n">
        <x:v>0</x:v>
      </x:c>
      <x:c r="P1418" s="28" t="n">
        <x:v>0</x:v>
      </x:c>
      <x:c r="Q1418" s="24" t="n">
        <x:f>IFERROR(J1418/H1418,0)</x:f>
        <x:v>0.25</x:v>
      </x:c>
      <x:c r="R1418" s="24" t="n">
        <x:f>IFERROR(F1418/H1418,0)</x:f>
        <x:v>0.25</x:v>
      </x:c>
      <x:c r="S1418" s="24" t="n">
        <x:f>IFERROR(F1418/J1418,0)</x:f>
        <x:v>1</x:v>
      </x:c>
      <x:c r="T1418" s="28" t="n">
        <x:f>H1418-I1418</x:f>
        <x:v>-8</x:v>
      </x:c>
      <x:c r="U1418" s="24" t="n">
        <x:f>IFERROR(J1418/H1418,0)-IFERROR(K1418/I1418,0)</x:f>
        <x:v>-0.5</x:v>
      </x:c>
      <x:c r="V1418" s="24" t="n">
        <x:f>IFERROR(F1418/J1418,0)-IFERROR(G1418/K1418,0)</x:f>
        <x:v>0.7777777777777778</x:v>
      </x:c>
      <x:c r="W1418" s="28" t="n">
        <x:f>L1418-M1418</x:f>
        <x:v>-3</x:v>
      </x:c>
      <x:c r="X1418" s="24" t="n">
        <x:f>IFERROR(K1418/I1418,0)</x:f>
        <x:v>0.75</x:v>
      </x:c>
      <x:c r="Y1418" s="24" t="n">
        <x:f>IFERROR(G1418/I1418,0)</x:f>
        <x:v>0.16666666666666666</x:v>
      </x:c>
      <x:c r="Z1418" s="24" t="n">
        <x:f>IFERROR(G1418/K1418,0)</x:f>
        <x:v>0.2222222222222222</x:v>
      </x:c>
      <x:c r="AA1418" s="24" t="n">
        <x:f>IFERROR(F1418/H1418,0)-IFERROR(G1418/I1418,0)</x:f>
        <x:v>0.08333333333333334</x:v>
      </x:c>
      <x:c r="AB1418" s="28" t="n">
        <x:f>J1418-K1418</x:f>
        <x:v>-8</x:v>
      </x:c>
      <x:c r="AC1418" s="32" t="n">
        <x:f>F1418-G1418</x:f>
        <x:v>-1</x:v>
      </x:c>
    </x:row>
    <x:row r="1419">
      <x:c r="A1419" s="4" t="str">
        <x:v>2022-23</x:v>
      </x:c>
      <x:c r="B1419" s="20" t="n">
        <x:v>45046</x:v>
      </x:c>
      <x:c r="C1419" s="4" t="str">
        <x:v>Leeds</x:v>
      </x:c>
      <x:c r="D1419" s="4" t="str">
        <x:v>Bournemouth</x:v>
      </x:c>
      <x:c r="E1419" s="4" t="str">
        <x:v>Away</x:v>
      </x:c>
      <x:c r="F1419" s="28" t="n">
        <x:v>1</x:v>
      </x:c>
      <x:c r="G1419" s="28" t="n">
        <x:v>4</x:v>
      </x:c>
      <x:c r="H1419" s="28" t="n">
        <x:v>15</x:v>
      </x:c>
      <x:c r="I1419" s="28" t="n">
        <x:v>12</x:v>
      </x:c>
      <x:c r="J1419" s="28" t="n">
        <x:v>6</x:v>
      </x:c>
      <x:c r="K1419" s="28" t="n">
        <x:v>7</x:v>
      </x:c>
      <x:c r="L1419" s="28" t="n">
        <x:v>6</x:v>
      </x:c>
      <x:c r="M1419" s="28" t="n">
        <x:v>2</x:v>
      </x:c>
      <x:c r="N1419" s="28" t="n">
        <x:v>0</x:v>
      </x:c>
      <x:c r="O1419" s="28" t="n">
        <x:v>0</x:v>
      </x:c>
      <x:c r="P1419" s="28" t="n">
        <x:v>0</x:v>
      </x:c>
      <x:c r="Q1419" s="24" t="n">
        <x:f>IFERROR(J1419/H1419,0)</x:f>
        <x:v>0.4</x:v>
      </x:c>
      <x:c r="R1419" s="24" t="n">
        <x:f>IFERROR(F1419/H1419,0)</x:f>
        <x:v>0.06666666666666667</x:v>
      </x:c>
      <x:c r="S1419" s="24" t="n">
        <x:f>IFERROR(F1419/J1419,0)</x:f>
        <x:v>0.16666666666666666</x:v>
      </x:c>
      <x:c r="T1419" s="28" t="n">
        <x:f>H1419-I1419</x:f>
        <x:v>3</x:v>
      </x:c>
      <x:c r="U1419" s="24" t="n">
        <x:f>IFERROR(J1419/H1419,0)-IFERROR(K1419/I1419,0)</x:f>
        <x:v>-0.18333333333333335</x:v>
      </x:c>
      <x:c r="V1419" s="24" t="n">
        <x:f>IFERROR(F1419/J1419,0)-IFERROR(G1419/K1419,0)</x:f>
        <x:v>-0.40476190476190477</x:v>
      </x:c>
      <x:c r="W1419" s="28" t="n">
        <x:f>L1419-M1419</x:f>
        <x:v>4</x:v>
      </x:c>
      <x:c r="X1419" s="24" t="n">
        <x:f>IFERROR(K1419/I1419,0)</x:f>
        <x:v>0.5833333333333334</x:v>
      </x:c>
      <x:c r="Y1419" s="24" t="n">
        <x:f>IFERROR(G1419/I1419,0)</x:f>
        <x:v>0.3333333333333333</x:v>
      </x:c>
      <x:c r="Z1419" s="24" t="n">
        <x:f>IFERROR(G1419/K1419,0)</x:f>
        <x:v>0.5714285714285714</x:v>
      </x:c>
      <x:c r="AA1419" s="24" t="n">
        <x:f>IFERROR(F1419/H1419,0)-IFERROR(G1419/I1419,0)</x:f>
        <x:v>-0.26666666666666666</x:v>
      </x:c>
      <x:c r="AB1419" s="28" t="n">
        <x:f>J1419-K1419</x:f>
        <x:v>-1</x:v>
      </x:c>
      <x:c r="AC1419" s="32" t="n">
        <x:f>F1419-G1419</x:f>
        <x:v>-3</x:v>
      </x:c>
    </x:row>
    <x:row r="1420">
      <x:c r="A1420" s="4" t="str">
        <x:v>2022-23</x:v>
      </x:c>
      <x:c r="B1420" s="20" t="n">
        <x:v>45046</x:v>
      </x:c>
      <x:c r="C1420" s="4" t="str">
        <x:v>Liverpool</x:v>
      </x:c>
      <x:c r="D1420" s="4" t="str">
        <x:v>Tottenham</x:v>
      </x:c>
      <x:c r="E1420" s="4" t="str">
        <x:v>Home</x:v>
      </x:c>
      <x:c r="F1420" s="28" t="n">
        <x:v>4</x:v>
      </x:c>
      <x:c r="G1420" s="28" t="n">
        <x:v>3</x:v>
      </x:c>
      <x:c r="H1420" s="28" t="n">
        <x:v>12</x:v>
      </x:c>
      <x:c r="I1420" s="28" t="n">
        <x:v>10</x:v>
      </x:c>
      <x:c r="J1420" s="28" t="n">
        <x:v>4</x:v>
      </x:c>
      <x:c r="K1420" s="28" t="n">
        <x:v>7</x:v>
      </x:c>
      <x:c r="L1420" s="28" t="n">
        <x:v>5</x:v>
      </x:c>
      <x:c r="M1420" s="28" t="n">
        <x:v>2</x:v>
      </x:c>
      <x:c r="N1420" s="28" t="n">
        <x:v>3</x:v>
      </x:c>
      <x:c r="O1420" s="28" t="n">
        <x:v>0</x:v>
      </x:c>
      <x:c r="P1420" s="28" t="n">
        <x:v>3</x:v>
      </x:c>
      <x:c r="Q1420" s="24" t="n">
        <x:f>IFERROR(J1420/H1420,0)</x:f>
        <x:v>0.3333333333333333</x:v>
      </x:c>
      <x:c r="R1420" s="24" t="n">
        <x:f>IFERROR(F1420/H1420,0)</x:f>
        <x:v>0.3333333333333333</x:v>
      </x:c>
      <x:c r="S1420" s="24" t="n">
        <x:f>IFERROR(F1420/J1420,0)</x:f>
        <x:v>1</x:v>
      </x:c>
      <x:c r="T1420" s="28" t="n">
        <x:f>H1420-I1420</x:f>
        <x:v>2</x:v>
      </x:c>
      <x:c r="U1420" s="24" t="n">
        <x:f>IFERROR(J1420/H1420,0)-IFERROR(K1420/I1420,0)</x:f>
        <x:v>-0.36666666666666664</x:v>
      </x:c>
      <x:c r="V1420" s="24" t="n">
        <x:f>IFERROR(F1420/J1420,0)-IFERROR(G1420/K1420,0)</x:f>
        <x:v>0.5714285714285714</x:v>
      </x:c>
      <x:c r="W1420" s="28" t="n">
        <x:f>L1420-M1420</x:f>
        <x:v>3</x:v>
      </x:c>
      <x:c r="X1420" s="24" t="n">
        <x:f>IFERROR(K1420/I1420,0)</x:f>
        <x:v>0.7</x:v>
      </x:c>
      <x:c r="Y1420" s="24" t="n">
        <x:f>IFERROR(G1420/I1420,0)</x:f>
        <x:v>0.3</x:v>
      </x:c>
      <x:c r="Z1420" s="24" t="n">
        <x:f>IFERROR(G1420/K1420,0)</x:f>
        <x:v>0.42857142857142855</x:v>
      </x:c>
      <x:c r="AA1420" s="24" t="n">
        <x:f>IFERROR(F1420/H1420,0)-IFERROR(G1420/I1420,0)</x:f>
        <x:v>0.033333333333333326</x:v>
      </x:c>
      <x:c r="AB1420" s="28" t="n">
        <x:f>J1420-K1420</x:f>
        <x:v>-3</x:v>
      </x:c>
      <x:c r="AC1420" s="32" t="n">
        <x:f>F1420-G1420</x:f>
        <x:v>1</x:v>
      </x:c>
    </x:row>
    <x:row r="1421">
      <x:c r="A1421" s="4" t="str">
        <x:v>2022-23</x:v>
      </x:c>
      <x:c r="B1421" s="20" t="n">
        <x:v>45046</x:v>
      </x:c>
      <x:c r="C1421" s="4" t="str">
        <x:v>Man City</x:v>
      </x:c>
      <x:c r="D1421" s="4" t="str">
        <x:v>Fulham</x:v>
      </x:c>
      <x:c r="E1421" s="4" t="str">
        <x:v>Away</x:v>
      </x:c>
      <x:c r="F1421" s="28" t="n">
        <x:v>2</x:v>
      </x:c>
      <x:c r="G1421" s="28" t="n">
        <x:v>1</x:v>
      </x:c>
      <x:c r="H1421" s="28" t="n">
        <x:v>12</x:v>
      </x:c>
      <x:c r="I1421" s="28" t="n">
        <x:v>4</x:v>
      </x:c>
      <x:c r="J1421" s="28" t="n">
        <x:v>9</x:v>
      </x:c>
      <x:c r="K1421" s="28" t="n">
        <x:v>1</x:v>
      </x:c>
      <x:c r="L1421" s="28" t="n">
        <x:v>5</x:v>
      </x:c>
      <x:c r="M1421" s="28" t="n">
        <x:v>2</x:v>
      </x:c>
      <x:c r="N1421" s="28" t="n">
        <x:v>3</x:v>
      </x:c>
      <x:c r="O1421" s="28" t="n">
        <x:v>0</x:v>
      </x:c>
      <x:c r="P1421" s="28" t="n">
        <x:v>3</x:v>
      </x:c>
      <x:c r="Q1421" s="24" t="n">
        <x:f>IFERROR(J1421/H1421,0)</x:f>
        <x:v>0.75</x:v>
      </x:c>
      <x:c r="R1421" s="24" t="n">
        <x:f>IFERROR(F1421/H1421,0)</x:f>
        <x:v>0.16666666666666666</x:v>
      </x:c>
      <x:c r="S1421" s="24" t="n">
        <x:f>IFERROR(F1421/J1421,0)</x:f>
        <x:v>0.2222222222222222</x:v>
      </x:c>
      <x:c r="T1421" s="28" t="n">
        <x:f>H1421-I1421</x:f>
        <x:v>8</x:v>
      </x:c>
      <x:c r="U1421" s="24" t="n">
        <x:f>IFERROR(J1421/H1421,0)-IFERROR(K1421/I1421,0)</x:f>
        <x:v>0.5</x:v>
      </x:c>
      <x:c r="V1421" s="24" t="n">
        <x:f>IFERROR(F1421/J1421,0)-IFERROR(G1421/K1421,0)</x:f>
        <x:v>-0.7777777777777778</x:v>
      </x:c>
      <x:c r="W1421" s="28" t="n">
        <x:f>L1421-M1421</x:f>
        <x:v>3</x:v>
      </x:c>
      <x:c r="X1421" s="24" t="n">
        <x:f>IFERROR(K1421/I1421,0)</x:f>
        <x:v>0.25</x:v>
      </x:c>
      <x:c r="Y1421" s="24" t="n">
        <x:f>IFERROR(G1421/I1421,0)</x:f>
        <x:v>0.25</x:v>
      </x:c>
      <x:c r="Z1421" s="24" t="n">
        <x:f>IFERROR(G1421/K1421,0)</x:f>
        <x:v>1</x:v>
      </x:c>
      <x:c r="AA1421" s="24" t="n">
        <x:f>IFERROR(F1421/H1421,0)-IFERROR(G1421/I1421,0)</x:f>
        <x:v>-0.08333333333333334</x:v>
      </x:c>
      <x:c r="AB1421" s="28" t="n">
        <x:f>J1421-K1421</x:f>
        <x:v>8</x:v>
      </x:c>
      <x:c r="AC1421" s="32" t="n">
        <x:f>F1421-G1421</x:f>
        <x:v>1</x:v>
      </x:c>
    </x:row>
    <x:row r="1422">
      <x:c r="A1422" s="4" t="str">
        <x:v>2022-23</x:v>
      </x:c>
      <x:c r="B1422" s="20" t="n">
        <x:v>45046</x:v>
      </x:c>
      <x:c r="C1422" s="4" t="str">
        <x:v>Man United</x:v>
      </x:c>
      <x:c r="D1422" s="4" t="str">
        <x:v>Aston Villa</x:v>
      </x:c>
      <x:c r="E1422" s="4" t="str">
        <x:v>Home</x:v>
      </x:c>
      <x:c r="F1422" s="28" t="n">
        <x:v>1</x:v>
      </x:c>
      <x:c r="G1422" s="28" t="n">
        <x:v>0</x:v>
      </x:c>
      <x:c r="H1422" s="28" t="n">
        <x:v>14</x:v>
      </x:c>
      <x:c r="I1422" s="28" t="n">
        <x:v>7</x:v>
      </x:c>
      <x:c r="J1422" s="28" t="n">
        <x:v>6</x:v>
      </x:c>
      <x:c r="K1422" s="28" t="n">
        <x:v>1</x:v>
      </x:c>
      <x:c r="L1422" s="28" t="n">
        <x:v>1</x:v>
      </x:c>
      <x:c r="M1422" s="28" t="n">
        <x:v>4</x:v>
      </x:c>
      <x:c r="N1422" s="28" t="n">
        <x:v>2</x:v>
      </x:c>
      <x:c r="O1422" s="28" t="n">
        <x:v>0</x:v>
      </x:c>
      <x:c r="P1422" s="28" t="n">
        <x:v>3</x:v>
      </x:c>
      <x:c r="Q1422" s="24" t="n">
        <x:f>IFERROR(J1422/H1422,0)</x:f>
        <x:v>0.42857142857142855</x:v>
      </x:c>
      <x:c r="R1422" s="24" t="n">
        <x:f>IFERROR(F1422/H1422,0)</x:f>
        <x:v>0.07142857142857142</x:v>
      </x:c>
      <x:c r="S1422" s="24" t="n">
        <x:f>IFERROR(F1422/J1422,0)</x:f>
        <x:v>0.16666666666666666</x:v>
      </x:c>
      <x:c r="T1422" s="28" t="n">
        <x:f>H1422-I1422</x:f>
        <x:v>7</x:v>
      </x:c>
      <x:c r="U1422" s="24" t="n">
        <x:f>IFERROR(J1422/H1422,0)-IFERROR(K1422/I1422,0)</x:f>
        <x:v>0.2857142857142857</x:v>
      </x:c>
      <x:c r="V1422" s="24" t="n">
        <x:f>IFERROR(F1422/J1422,0)-IFERROR(G1422/K1422,0)</x:f>
        <x:v>0.16666666666666666</x:v>
      </x:c>
      <x:c r="W1422" s="28" t="n">
        <x:f>L1422-M1422</x:f>
        <x:v>-3</x:v>
      </x:c>
      <x:c r="X1422" s="24" t="n">
        <x:f>IFERROR(K1422/I1422,0)</x:f>
        <x:v>0.14285714285714285</x:v>
      </x:c>
      <x:c r="Y1422" s="24" t="n">
        <x:f>IFERROR(G1422/I1422,0)</x:f>
        <x:v>0</x:v>
      </x:c>
      <x:c r="Z1422" s="24" t="n">
        <x:f>IFERROR(G1422/K1422,0)</x:f>
        <x:v>0</x:v>
      </x:c>
      <x:c r="AA1422" s="24" t="n">
        <x:f>IFERROR(F1422/H1422,0)-IFERROR(G1422/I1422,0)</x:f>
        <x:v>0.07142857142857142</x:v>
      </x:c>
      <x:c r="AB1422" s="28" t="n">
        <x:f>J1422-K1422</x:f>
        <x:v>5</x:v>
      </x:c>
      <x:c r="AC1422" s="32" t="n">
        <x:f>F1422-G1422</x:f>
        <x:v>1</x:v>
      </x:c>
    </x:row>
    <x:row r="1423">
      <x:c r="A1423" s="4" t="str">
        <x:v>2022-23</x:v>
      </x:c>
      <x:c r="B1423" s="20" t="n">
        <x:v>45046</x:v>
      </x:c>
      <x:c r="C1423" s="4" t="str">
        <x:v>Newcastle</x:v>
      </x:c>
      <x:c r="D1423" s="4" t="str">
        <x:v>Southampton</x:v>
      </x:c>
      <x:c r="E1423" s="4" t="str">
        <x:v>Home</x:v>
      </x:c>
      <x:c r="F1423" s="28" t="n">
        <x:v>3</x:v>
      </x:c>
      <x:c r="G1423" s="28" t="n">
        <x:v>1</x:v>
      </x:c>
      <x:c r="H1423" s="28" t="n">
        <x:v>22</x:v>
      </x:c>
      <x:c r="I1423" s="28" t="n">
        <x:v>4</x:v>
      </x:c>
      <x:c r="J1423" s="28" t="n">
        <x:v>5</x:v>
      </x:c>
      <x:c r="K1423" s="28" t="n">
        <x:v>3</x:v>
      </x:c>
      <x:c r="L1423" s="28" t="n">
        <x:v>11</x:v>
      </x:c>
      <x:c r="M1423" s="28" t="n">
        <x:v>2</x:v>
      </x:c>
      <x:c r="N1423" s="28" t="n">
        <x:v>1</x:v>
      </x:c>
      <x:c r="O1423" s="28" t="n">
        <x:v>0</x:v>
      </x:c>
      <x:c r="P1423" s="28" t="n">
        <x:v>3</x:v>
      </x:c>
      <x:c r="Q1423" s="24" t="n">
        <x:f>IFERROR(J1423/H1423,0)</x:f>
        <x:v>0.22727272727272727</x:v>
      </x:c>
      <x:c r="R1423" s="24" t="n">
        <x:f>IFERROR(F1423/H1423,0)</x:f>
        <x:v>0.13636363636363635</x:v>
      </x:c>
      <x:c r="S1423" s="24" t="n">
        <x:f>IFERROR(F1423/J1423,0)</x:f>
        <x:v>0.6</x:v>
      </x:c>
      <x:c r="T1423" s="28" t="n">
        <x:f>H1423-I1423</x:f>
        <x:v>18</x:v>
      </x:c>
      <x:c r="U1423" s="24" t="n">
        <x:f>IFERROR(J1423/H1423,0)-IFERROR(K1423/I1423,0)</x:f>
        <x:v>-0.5227272727272727</x:v>
      </x:c>
      <x:c r="V1423" s="24" t="n">
        <x:f>IFERROR(F1423/J1423,0)-IFERROR(G1423/K1423,0)</x:f>
        <x:v>0.26666666666666666</x:v>
      </x:c>
      <x:c r="W1423" s="28" t="n">
        <x:f>L1423-M1423</x:f>
        <x:v>9</x:v>
      </x:c>
      <x:c r="X1423" s="24" t="n">
        <x:f>IFERROR(K1423/I1423,0)</x:f>
        <x:v>0.75</x:v>
      </x:c>
      <x:c r="Y1423" s="24" t="n">
        <x:f>IFERROR(G1423/I1423,0)</x:f>
        <x:v>0.25</x:v>
      </x:c>
      <x:c r="Z1423" s="24" t="n">
        <x:f>IFERROR(G1423/K1423,0)</x:f>
        <x:v>0.3333333333333333</x:v>
      </x:c>
      <x:c r="AA1423" s="24" t="n">
        <x:f>IFERROR(F1423/H1423,0)-IFERROR(G1423/I1423,0)</x:f>
        <x:v>-0.11363636363636365</x:v>
      </x:c>
      <x:c r="AB1423" s="28" t="n">
        <x:f>J1423-K1423</x:f>
        <x:v>2</x:v>
      </x:c>
      <x:c r="AC1423" s="32" t="n">
        <x:f>F1423-G1423</x:f>
        <x:v>2</x:v>
      </x:c>
    </x:row>
    <x:row r="1424">
      <x:c r="A1424" s="4" t="str">
        <x:v>2022-23</x:v>
      </x:c>
      <x:c r="B1424" s="20" t="n">
        <x:v>45046</x:v>
      </x:c>
      <x:c r="C1424" s="4" t="str">
        <x:v>Southampton</x:v>
      </x:c>
      <x:c r="D1424" s="4" t="str">
        <x:v>Newcastle</x:v>
      </x:c>
      <x:c r="E1424" s="4" t="str">
        <x:v>Away</x:v>
      </x:c>
      <x:c r="F1424" s="28" t="n">
        <x:v>1</x:v>
      </x:c>
      <x:c r="G1424" s="28" t="n">
        <x:v>3</x:v>
      </x:c>
      <x:c r="H1424" s="28" t="n">
        <x:v>4</x:v>
      </x:c>
      <x:c r="I1424" s="28" t="n">
        <x:v>22</x:v>
      </x:c>
      <x:c r="J1424" s="28" t="n">
        <x:v>3</x:v>
      </x:c>
      <x:c r="K1424" s="28" t="n">
        <x:v>5</x:v>
      </x:c>
      <x:c r="L1424" s="28" t="n">
        <x:v>2</x:v>
      </x:c>
      <x:c r="M1424" s="28" t="n">
        <x:v>11</x:v>
      </x:c>
      <x:c r="N1424" s="28" t="n">
        <x:v>4</x:v>
      </x:c>
      <x:c r="O1424" s="28" t="n">
        <x:v>0</x:v>
      </x:c>
      <x:c r="P1424" s="28" t="n">
        <x:v>0</x:v>
      </x:c>
      <x:c r="Q1424" s="24" t="n">
        <x:f>IFERROR(J1424/H1424,0)</x:f>
        <x:v>0.75</x:v>
      </x:c>
      <x:c r="R1424" s="24" t="n">
        <x:f>IFERROR(F1424/H1424,0)</x:f>
        <x:v>0.25</x:v>
      </x:c>
      <x:c r="S1424" s="24" t="n">
        <x:f>IFERROR(F1424/J1424,0)</x:f>
        <x:v>0.3333333333333333</x:v>
      </x:c>
      <x:c r="T1424" s="28" t="n">
        <x:f>H1424-I1424</x:f>
        <x:v>-18</x:v>
      </x:c>
      <x:c r="U1424" s="24" t="n">
        <x:f>IFERROR(J1424/H1424,0)-IFERROR(K1424/I1424,0)</x:f>
        <x:v>0.5227272727272727</x:v>
      </x:c>
      <x:c r="V1424" s="24" t="n">
        <x:f>IFERROR(F1424/J1424,0)-IFERROR(G1424/K1424,0)</x:f>
        <x:v>-0.26666666666666666</x:v>
      </x:c>
      <x:c r="W1424" s="28" t="n">
        <x:f>L1424-M1424</x:f>
        <x:v>-9</x:v>
      </x:c>
      <x:c r="X1424" s="24" t="n">
        <x:f>IFERROR(K1424/I1424,0)</x:f>
        <x:v>0.22727272727272727</x:v>
      </x:c>
      <x:c r="Y1424" s="24" t="n">
        <x:f>IFERROR(G1424/I1424,0)</x:f>
        <x:v>0.13636363636363635</x:v>
      </x:c>
      <x:c r="Z1424" s="24" t="n">
        <x:f>IFERROR(G1424/K1424,0)</x:f>
        <x:v>0.6</x:v>
      </x:c>
      <x:c r="AA1424" s="24" t="n">
        <x:f>IFERROR(F1424/H1424,0)-IFERROR(G1424/I1424,0)</x:f>
        <x:v>0.11363636363636365</x:v>
      </x:c>
      <x:c r="AB1424" s="28" t="n">
        <x:f>J1424-K1424</x:f>
        <x:v>-2</x:v>
      </x:c>
      <x:c r="AC1424" s="32" t="n">
        <x:f>F1424-G1424</x:f>
        <x:v>-2</x:v>
      </x:c>
    </x:row>
    <x:row r="1425">
      <x:c r="A1425" s="4" t="str">
        <x:v>2022-23</x:v>
      </x:c>
      <x:c r="B1425" s="20" t="n">
        <x:v>45046</x:v>
      </x:c>
      <x:c r="C1425" s="4" t="str">
        <x:v>Tottenham</x:v>
      </x:c>
      <x:c r="D1425" s="4" t="str">
        <x:v>Liverpool</x:v>
      </x:c>
      <x:c r="E1425" s="4" t="str">
        <x:v>Away</x:v>
      </x:c>
      <x:c r="F1425" s="28" t="n">
        <x:v>3</x:v>
      </x:c>
      <x:c r="G1425" s="28" t="n">
        <x:v>4</x:v>
      </x:c>
      <x:c r="H1425" s="28" t="n">
        <x:v>10</x:v>
      </x:c>
      <x:c r="I1425" s="28" t="n">
        <x:v>12</x:v>
      </x:c>
      <x:c r="J1425" s="28" t="n">
        <x:v>7</x:v>
      </x:c>
      <x:c r="K1425" s="28" t="n">
        <x:v>4</x:v>
      </x:c>
      <x:c r="L1425" s="28" t="n">
        <x:v>2</x:v>
      </x:c>
      <x:c r="M1425" s="28" t="n">
        <x:v>5</x:v>
      </x:c>
      <x:c r="N1425" s="28" t="n">
        <x:v>2</x:v>
      </x:c>
      <x:c r="O1425" s="28" t="n">
        <x:v>0</x:v>
      </x:c>
      <x:c r="P1425" s="28" t="n">
        <x:v>0</x:v>
      </x:c>
      <x:c r="Q1425" s="24" t="n">
        <x:f>IFERROR(J1425/H1425,0)</x:f>
        <x:v>0.7</x:v>
      </x:c>
      <x:c r="R1425" s="24" t="n">
        <x:f>IFERROR(F1425/H1425,0)</x:f>
        <x:v>0.3</x:v>
      </x:c>
      <x:c r="S1425" s="24" t="n">
        <x:f>IFERROR(F1425/J1425,0)</x:f>
        <x:v>0.42857142857142855</x:v>
      </x:c>
      <x:c r="T1425" s="28" t="n">
        <x:f>H1425-I1425</x:f>
        <x:v>-2</x:v>
      </x:c>
      <x:c r="U1425" s="24" t="n">
        <x:f>IFERROR(J1425/H1425,0)-IFERROR(K1425/I1425,0)</x:f>
        <x:v>0.36666666666666664</x:v>
      </x:c>
      <x:c r="V1425" s="24" t="n">
        <x:f>IFERROR(F1425/J1425,0)-IFERROR(G1425/K1425,0)</x:f>
        <x:v>-0.5714285714285714</x:v>
      </x:c>
      <x:c r="W1425" s="28" t="n">
        <x:f>L1425-M1425</x:f>
        <x:v>-3</x:v>
      </x:c>
      <x:c r="X1425" s="24" t="n">
        <x:f>IFERROR(K1425/I1425,0)</x:f>
        <x:v>0.3333333333333333</x:v>
      </x:c>
      <x:c r="Y1425" s="24" t="n">
        <x:f>IFERROR(G1425/I1425,0)</x:f>
        <x:v>0.3333333333333333</x:v>
      </x:c>
      <x:c r="Z1425" s="24" t="n">
        <x:f>IFERROR(G1425/K1425,0)</x:f>
        <x:v>1</x:v>
      </x:c>
      <x:c r="AA1425" s="24" t="n">
        <x:f>IFERROR(F1425/H1425,0)-IFERROR(G1425/I1425,0)</x:f>
        <x:v>-0.033333333333333326</x:v>
      </x:c>
      <x:c r="AB1425" s="28" t="n">
        <x:f>J1425-K1425</x:f>
        <x:v>3</x:v>
      </x:c>
      <x:c r="AC1425" s="32" t="n">
        <x:f>F1425-G1425</x:f>
        <x:v>-1</x:v>
      </x:c>
    </x:row>
    <x:row r="1426">
      <x:c r="A1426" s="4" t="str">
        <x:v>2022-23</x:v>
      </x:c>
      <x:c r="B1426" s="20" t="n">
        <x:v>45047</x:v>
      </x:c>
      <x:c r="C1426" s="4" t="str">
        <x:v>Everton</x:v>
      </x:c>
      <x:c r="D1426" s="4" t="str">
        <x:v>Leicester</x:v>
      </x:c>
      <x:c r="E1426" s="4" t="str">
        <x:v>Away</x:v>
      </x:c>
      <x:c r="F1426" s="28" t="n">
        <x:v>2</x:v>
      </x:c>
      <x:c r="G1426" s="28" t="n">
        <x:v>2</x:v>
      </x:c>
      <x:c r="H1426" s="28" t="n">
        <x:v>23</x:v>
      </x:c>
      <x:c r="I1426" s="28" t="n">
        <x:v>15</x:v>
      </x:c>
      <x:c r="J1426" s="28" t="n">
        <x:v>8</x:v>
      </x:c>
      <x:c r="K1426" s="28" t="n">
        <x:v>6</x:v>
      </x:c>
      <x:c r="L1426" s="28" t="n">
        <x:v>9</x:v>
      </x:c>
      <x:c r="M1426" s="28" t="n">
        <x:v>2</x:v>
      </x:c>
      <x:c r="N1426" s="28" t="n">
        <x:v>1</x:v>
      </x:c>
      <x:c r="O1426" s="28" t="n">
        <x:v>0</x:v>
      </x:c>
      <x:c r="P1426" s="28" t="n">
        <x:v>1</x:v>
      </x:c>
      <x:c r="Q1426" s="24" t="n">
        <x:f>IFERROR(J1426/H1426,0)</x:f>
        <x:v>0.34782608695652173</x:v>
      </x:c>
      <x:c r="R1426" s="24" t="n">
        <x:f>IFERROR(F1426/H1426,0)</x:f>
        <x:v>0.08695652173913043</x:v>
      </x:c>
      <x:c r="S1426" s="24" t="n">
        <x:f>IFERROR(F1426/J1426,0)</x:f>
        <x:v>0.25</x:v>
      </x:c>
      <x:c r="T1426" s="28" t="n">
        <x:f>H1426-I1426</x:f>
        <x:v>8</x:v>
      </x:c>
      <x:c r="U1426" s="24" t="n">
        <x:f>IFERROR(J1426/H1426,0)-IFERROR(K1426/I1426,0)</x:f>
        <x:v>-0.05217391304347829</x:v>
      </x:c>
      <x:c r="V1426" s="24" t="n">
        <x:f>IFERROR(F1426/J1426,0)-IFERROR(G1426/K1426,0)</x:f>
        <x:v>-0.08333333333333331</x:v>
      </x:c>
      <x:c r="W1426" s="28" t="n">
        <x:f>L1426-M1426</x:f>
        <x:v>7</x:v>
      </x:c>
      <x:c r="X1426" s="24" t="n">
        <x:f>IFERROR(K1426/I1426,0)</x:f>
        <x:v>0.4</x:v>
      </x:c>
      <x:c r="Y1426" s="24" t="n">
        <x:f>IFERROR(G1426/I1426,0)</x:f>
        <x:v>0.13333333333333333</x:v>
      </x:c>
      <x:c r="Z1426" s="24" t="n">
        <x:f>IFERROR(G1426/K1426,0)</x:f>
        <x:v>0.3333333333333333</x:v>
      </x:c>
      <x:c r="AA1426" s="24" t="n">
        <x:f>IFERROR(F1426/H1426,0)-IFERROR(G1426/I1426,0)</x:f>
        <x:v>-0.0463768115942029</x:v>
      </x:c>
      <x:c r="AB1426" s="28" t="n">
        <x:f>J1426-K1426</x:f>
        <x:v>2</x:v>
      </x:c>
      <x:c r="AC1426" s="32" t="n">
        <x:f>F1426-G1426</x:f>
        <x:v>0</x:v>
      </x:c>
    </x:row>
    <x:row r="1427">
      <x:c r="A1427" s="4" t="str">
        <x:v>2022-23</x:v>
      </x:c>
      <x:c r="B1427" s="20" t="n">
        <x:v>45047</x:v>
      </x:c>
      <x:c r="C1427" s="4" t="str">
        <x:v>Leicester</x:v>
      </x:c>
      <x:c r="D1427" s="4" t="str">
        <x:v>Everton</x:v>
      </x:c>
      <x:c r="E1427" s="4" t="str">
        <x:v>Home</x:v>
      </x:c>
      <x:c r="F1427" s="28" t="n">
        <x:v>2</x:v>
      </x:c>
      <x:c r="G1427" s="28" t="n">
        <x:v>2</x:v>
      </x:c>
      <x:c r="H1427" s="28" t="n">
        <x:v>15</x:v>
      </x:c>
      <x:c r="I1427" s="28" t="n">
        <x:v>23</x:v>
      </x:c>
      <x:c r="J1427" s="28" t="n">
        <x:v>6</x:v>
      </x:c>
      <x:c r="K1427" s="28" t="n">
        <x:v>8</x:v>
      </x:c>
      <x:c r="L1427" s="28" t="n">
        <x:v>2</x:v>
      </x:c>
      <x:c r="M1427" s="28" t="n">
        <x:v>9</x:v>
      </x:c>
      <x:c r="N1427" s="28" t="n">
        <x:v>4</x:v>
      </x:c>
      <x:c r="O1427" s="28" t="n">
        <x:v>0</x:v>
      </x:c>
      <x:c r="P1427" s="28" t="n">
        <x:v>1</x:v>
      </x:c>
      <x:c r="Q1427" s="24" t="n">
        <x:f>IFERROR(J1427/H1427,0)</x:f>
        <x:v>0.4</x:v>
      </x:c>
      <x:c r="R1427" s="24" t="n">
        <x:f>IFERROR(F1427/H1427,0)</x:f>
        <x:v>0.13333333333333333</x:v>
      </x:c>
      <x:c r="S1427" s="24" t="n">
        <x:f>IFERROR(F1427/J1427,0)</x:f>
        <x:v>0.3333333333333333</x:v>
      </x:c>
      <x:c r="T1427" s="28" t="n">
        <x:f>H1427-I1427</x:f>
        <x:v>-8</x:v>
      </x:c>
      <x:c r="U1427" s="24" t="n">
        <x:f>IFERROR(J1427/H1427,0)-IFERROR(K1427/I1427,0)</x:f>
        <x:v>0.05217391304347829</x:v>
      </x:c>
      <x:c r="V1427" s="24" t="n">
        <x:f>IFERROR(F1427/J1427,0)-IFERROR(G1427/K1427,0)</x:f>
        <x:v>0.08333333333333331</x:v>
      </x:c>
      <x:c r="W1427" s="28" t="n">
        <x:f>L1427-M1427</x:f>
        <x:v>-7</x:v>
      </x:c>
      <x:c r="X1427" s="24" t="n">
        <x:f>IFERROR(K1427/I1427,0)</x:f>
        <x:v>0.34782608695652173</x:v>
      </x:c>
      <x:c r="Y1427" s="24" t="n">
        <x:f>IFERROR(G1427/I1427,0)</x:f>
        <x:v>0.08695652173913043</x:v>
      </x:c>
      <x:c r="Z1427" s="24" t="n">
        <x:f>IFERROR(G1427/K1427,0)</x:f>
        <x:v>0.25</x:v>
      </x:c>
      <x:c r="AA1427" s="24" t="n">
        <x:f>IFERROR(F1427/H1427,0)-IFERROR(G1427/I1427,0)</x:f>
        <x:v>0.0463768115942029</x:v>
      </x:c>
      <x:c r="AB1427" s="28" t="n">
        <x:f>J1427-K1427</x:f>
        <x:v>-2</x:v>
      </x:c>
      <x:c r="AC1427" s="32" t="n">
        <x:f>F1427-G1427</x:f>
        <x:v>0</x:v>
      </x:c>
    </x:row>
    <x:row r="1428">
      <x:c r="A1428" s="4" t="str">
        <x:v>2022-23</x:v>
      </x:c>
      <x:c r="B1428" s="20" t="n">
        <x:v>45048</x:v>
      </x:c>
      <x:c r="C1428" s="4" t="str">
        <x:v>Arsenal</x:v>
      </x:c>
      <x:c r="D1428" s="4" t="str">
        <x:v>Chelsea</x:v>
      </x:c>
      <x:c r="E1428" s="4" t="str">
        <x:v>Home</x:v>
      </x:c>
      <x:c r="F1428" s="28" t="n">
        <x:v>3</x:v>
      </x:c>
      <x:c r="G1428" s="28" t="n">
        <x:v>1</x:v>
      </x:c>
      <x:c r="H1428" s="28" t="n">
        <x:v>16</x:v>
      </x:c>
      <x:c r="I1428" s="28" t="n">
        <x:v>7</x:v>
      </x:c>
      <x:c r="J1428" s="28" t="n">
        <x:v>10</x:v>
      </x:c>
      <x:c r="K1428" s="28" t="n">
        <x:v>4</x:v>
      </x:c>
      <x:c r="L1428" s="28" t="n">
        <x:v>7</x:v>
      </x:c>
      <x:c r="M1428" s="28" t="n">
        <x:v>2</x:v>
      </x:c>
      <x:c r="N1428" s="28" t="n">
        <x:v>0</x:v>
      </x:c>
      <x:c r="O1428" s="28" t="n">
        <x:v>0</x:v>
      </x:c>
      <x:c r="P1428" s="28" t="n">
        <x:v>3</x:v>
      </x:c>
      <x:c r="Q1428" s="24" t="n">
        <x:f>IFERROR(J1428/H1428,0)</x:f>
        <x:v>0.625</x:v>
      </x:c>
      <x:c r="R1428" s="24" t="n">
        <x:f>IFERROR(F1428/H1428,0)</x:f>
        <x:v>0.1875</x:v>
      </x:c>
      <x:c r="S1428" s="24" t="n">
        <x:f>IFERROR(F1428/J1428,0)</x:f>
        <x:v>0.3</x:v>
      </x:c>
      <x:c r="T1428" s="28" t="n">
        <x:f>H1428-I1428</x:f>
        <x:v>9</x:v>
      </x:c>
      <x:c r="U1428" s="24" t="n">
        <x:f>IFERROR(J1428/H1428,0)-IFERROR(K1428/I1428,0)</x:f>
        <x:v>0.0535714285714286</x:v>
      </x:c>
      <x:c r="V1428" s="24" t="n">
        <x:f>IFERROR(F1428/J1428,0)-IFERROR(G1428/K1428,0)</x:f>
        <x:v>0.04999999999999999</x:v>
      </x:c>
      <x:c r="W1428" s="28" t="n">
        <x:f>L1428-M1428</x:f>
        <x:v>5</x:v>
      </x:c>
      <x:c r="X1428" s="24" t="n">
        <x:f>IFERROR(K1428/I1428,0)</x:f>
        <x:v>0.5714285714285714</x:v>
      </x:c>
      <x:c r="Y1428" s="24" t="n">
        <x:f>IFERROR(G1428/I1428,0)</x:f>
        <x:v>0.14285714285714285</x:v>
      </x:c>
      <x:c r="Z1428" s="24" t="n">
        <x:f>IFERROR(G1428/K1428,0)</x:f>
        <x:v>0.25</x:v>
      </x:c>
      <x:c r="AA1428" s="24" t="n">
        <x:f>IFERROR(F1428/H1428,0)-IFERROR(G1428/I1428,0)</x:f>
        <x:v>0.04464285714285715</x:v>
      </x:c>
      <x:c r="AB1428" s="28" t="n">
        <x:f>J1428-K1428</x:f>
        <x:v>6</x:v>
      </x:c>
      <x:c r="AC1428" s="32" t="n">
        <x:f>F1428-G1428</x:f>
        <x:v>2</x:v>
      </x:c>
    </x:row>
    <x:row r="1429">
      <x:c r="A1429" s="4" t="str">
        <x:v>2022-23</x:v>
      </x:c>
      <x:c r="B1429" s="20" t="n">
        <x:v>45048</x:v>
      </x:c>
      <x:c r="C1429" s="4" t="str">
        <x:v>Chelsea</x:v>
      </x:c>
      <x:c r="D1429" s="4" t="str">
        <x:v>Arsenal</x:v>
      </x:c>
      <x:c r="E1429" s="4" t="str">
        <x:v>Away</x:v>
      </x:c>
      <x:c r="F1429" s="28" t="n">
        <x:v>1</x:v>
      </x:c>
      <x:c r="G1429" s="28" t="n">
        <x:v>3</x:v>
      </x:c>
      <x:c r="H1429" s="28" t="n">
        <x:v>7</x:v>
      </x:c>
      <x:c r="I1429" s="28" t="n">
        <x:v>16</x:v>
      </x:c>
      <x:c r="J1429" s="28" t="n">
        <x:v>4</x:v>
      </x:c>
      <x:c r="K1429" s="28" t="n">
        <x:v>10</x:v>
      </x:c>
      <x:c r="L1429" s="28" t="n">
        <x:v>2</x:v>
      </x:c>
      <x:c r="M1429" s="28" t="n">
        <x:v>7</x:v>
      </x:c>
      <x:c r="N1429" s="28" t="n">
        <x:v>2</x:v>
      </x:c>
      <x:c r="O1429" s="28" t="n">
        <x:v>0</x:v>
      </x:c>
      <x:c r="P1429" s="28" t="n">
        <x:v>0</x:v>
      </x:c>
      <x:c r="Q1429" s="24" t="n">
        <x:f>IFERROR(J1429/H1429,0)</x:f>
        <x:v>0.5714285714285714</x:v>
      </x:c>
      <x:c r="R1429" s="24" t="n">
        <x:f>IFERROR(F1429/H1429,0)</x:f>
        <x:v>0.14285714285714285</x:v>
      </x:c>
      <x:c r="S1429" s="24" t="n">
        <x:f>IFERROR(F1429/J1429,0)</x:f>
        <x:v>0.25</x:v>
      </x:c>
      <x:c r="T1429" s="28" t="n">
        <x:f>H1429-I1429</x:f>
        <x:v>-9</x:v>
      </x:c>
      <x:c r="U1429" s="24" t="n">
        <x:f>IFERROR(J1429/H1429,0)-IFERROR(K1429/I1429,0)</x:f>
        <x:v>-0.0535714285714286</x:v>
      </x:c>
      <x:c r="V1429" s="24" t="n">
        <x:f>IFERROR(F1429/J1429,0)-IFERROR(G1429/K1429,0)</x:f>
        <x:v>-0.04999999999999999</x:v>
      </x:c>
      <x:c r="W1429" s="28" t="n">
        <x:f>L1429-M1429</x:f>
        <x:v>-5</x:v>
      </x:c>
      <x:c r="X1429" s="24" t="n">
        <x:f>IFERROR(K1429/I1429,0)</x:f>
        <x:v>0.625</x:v>
      </x:c>
      <x:c r="Y1429" s="24" t="n">
        <x:f>IFERROR(G1429/I1429,0)</x:f>
        <x:v>0.1875</x:v>
      </x:c>
      <x:c r="Z1429" s="24" t="n">
        <x:f>IFERROR(G1429/K1429,0)</x:f>
        <x:v>0.3</x:v>
      </x:c>
      <x:c r="AA1429" s="24" t="n">
        <x:f>IFERROR(F1429/H1429,0)-IFERROR(G1429/I1429,0)</x:f>
        <x:v>-0.04464285714285715</x:v>
      </x:c>
      <x:c r="AB1429" s="28" t="n">
        <x:f>J1429-K1429</x:f>
        <x:v>-6</x:v>
      </x:c>
      <x:c r="AC1429" s="32" t="n">
        <x:f>F1429-G1429</x:f>
        <x:v>-2</x:v>
      </x:c>
    </x:row>
    <x:row r="1430">
      <x:c r="A1430" s="4" t="str">
        <x:v>2022-23</x:v>
      </x:c>
      <x:c r="B1430" s="20" t="n">
        <x:v>45049</x:v>
      </x:c>
      <x:c r="C1430" s="4" t="str">
        <x:v>Fulham</x:v>
      </x:c>
      <x:c r="D1430" s="4" t="str">
        <x:v>Liverpool</x:v>
      </x:c>
      <x:c r="E1430" s="4" t="str">
        <x:v>Away</x:v>
      </x:c>
      <x:c r="F1430" s="28" t="n">
        <x:v>0</x:v>
      </x:c>
      <x:c r="G1430" s="28" t="n">
        <x:v>1</x:v>
      </x:c>
      <x:c r="H1430" s="28" t="n">
        <x:v>9</x:v>
      </x:c>
      <x:c r="I1430" s="28" t="n">
        <x:v>15</x:v>
      </x:c>
      <x:c r="J1430" s="28" t="n">
        <x:v>3</x:v>
      </x:c>
      <x:c r="K1430" s="28" t="n">
        <x:v>3</x:v>
      </x:c>
      <x:c r="L1430" s="28" t="n">
        <x:v>5</x:v>
      </x:c>
      <x:c r="M1430" s="28" t="n">
        <x:v>7</x:v>
      </x:c>
      <x:c r="N1430" s="28" t="n">
        <x:v>0</x:v>
      </x:c>
      <x:c r="O1430" s="28" t="n">
        <x:v>0</x:v>
      </x:c>
      <x:c r="P1430" s="28" t="n">
        <x:v>0</x:v>
      </x:c>
      <x:c r="Q1430" s="24" t="n">
        <x:f>IFERROR(J1430/H1430,0)</x:f>
        <x:v>0.3333333333333333</x:v>
      </x:c>
      <x:c r="R1430" s="24" t="n">
        <x:f>IFERROR(F1430/H1430,0)</x:f>
        <x:v>0</x:v>
      </x:c>
      <x:c r="S1430" s="24" t="n">
        <x:f>IFERROR(F1430/J1430,0)</x:f>
        <x:v>0</x:v>
      </x:c>
      <x:c r="T1430" s="28" t="n">
        <x:f>H1430-I1430</x:f>
        <x:v>-6</x:v>
      </x:c>
      <x:c r="U1430" s="24" t="n">
        <x:f>IFERROR(J1430/H1430,0)-IFERROR(K1430/I1430,0)</x:f>
        <x:v>0.1333333333333333</x:v>
      </x:c>
      <x:c r="V1430" s="24" t="n">
        <x:f>IFERROR(F1430/J1430,0)-IFERROR(G1430/K1430,0)</x:f>
        <x:v>-0.3333333333333333</x:v>
      </x:c>
      <x:c r="W1430" s="28" t="n">
        <x:f>L1430-M1430</x:f>
        <x:v>-2</x:v>
      </x:c>
      <x:c r="X1430" s="24" t="n">
        <x:f>IFERROR(K1430/I1430,0)</x:f>
        <x:v>0.2</x:v>
      </x:c>
      <x:c r="Y1430" s="24" t="n">
        <x:f>IFERROR(G1430/I1430,0)</x:f>
        <x:v>0.06666666666666667</x:v>
      </x:c>
      <x:c r="Z1430" s="24" t="n">
        <x:f>IFERROR(G1430/K1430,0)</x:f>
        <x:v>0.3333333333333333</x:v>
      </x:c>
      <x:c r="AA1430" s="24" t="n">
        <x:f>IFERROR(F1430/H1430,0)-IFERROR(G1430/I1430,0)</x:f>
        <x:v>-0.06666666666666667</x:v>
      </x:c>
      <x:c r="AB1430" s="28" t="n">
        <x:f>J1430-K1430</x:f>
        <x:v>0</x:v>
      </x:c>
      <x:c r="AC1430" s="32" t="n">
        <x:f>F1430-G1430</x:f>
        <x:v>-1</x:v>
      </x:c>
    </x:row>
    <x:row r="1431">
      <x:c r="A1431" s="4" t="str">
        <x:v>2022-23</x:v>
      </x:c>
      <x:c r="B1431" s="20" t="n">
        <x:v>45049</x:v>
      </x:c>
      <x:c r="C1431" s="4" t="str">
        <x:v>Liverpool</x:v>
      </x:c>
      <x:c r="D1431" s="4" t="str">
        <x:v>Fulham</x:v>
      </x:c>
      <x:c r="E1431" s="4" t="str">
        <x:v>Home</x:v>
      </x:c>
      <x:c r="F1431" s="28" t="n">
        <x:v>1</x:v>
      </x:c>
      <x:c r="G1431" s="28" t="n">
        <x:v>0</x:v>
      </x:c>
      <x:c r="H1431" s="28" t="n">
        <x:v>15</x:v>
      </x:c>
      <x:c r="I1431" s="28" t="n">
        <x:v>9</x:v>
      </x:c>
      <x:c r="J1431" s="28" t="n">
        <x:v>3</x:v>
      </x:c>
      <x:c r="K1431" s="28" t="n">
        <x:v>3</x:v>
      </x:c>
      <x:c r="L1431" s="28" t="n">
        <x:v>7</x:v>
      </x:c>
      <x:c r="M1431" s="28" t="n">
        <x:v>5</x:v>
      </x:c>
      <x:c r="N1431" s="28" t="n">
        <x:v>0</x:v>
      </x:c>
      <x:c r="O1431" s="28" t="n">
        <x:v>0</x:v>
      </x:c>
      <x:c r="P1431" s="28" t="n">
        <x:v>3</x:v>
      </x:c>
      <x:c r="Q1431" s="24" t="n">
        <x:f>IFERROR(J1431/H1431,0)</x:f>
        <x:v>0.2</x:v>
      </x:c>
      <x:c r="R1431" s="24" t="n">
        <x:f>IFERROR(F1431/H1431,0)</x:f>
        <x:v>0.06666666666666667</x:v>
      </x:c>
      <x:c r="S1431" s="24" t="n">
        <x:f>IFERROR(F1431/J1431,0)</x:f>
        <x:v>0.3333333333333333</x:v>
      </x:c>
      <x:c r="T1431" s="28" t="n">
        <x:f>H1431-I1431</x:f>
        <x:v>6</x:v>
      </x:c>
      <x:c r="U1431" s="24" t="n">
        <x:f>IFERROR(J1431/H1431,0)-IFERROR(K1431/I1431,0)</x:f>
        <x:v>-0.1333333333333333</x:v>
      </x:c>
      <x:c r="V1431" s="24" t="n">
        <x:f>IFERROR(F1431/J1431,0)-IFERROR(G1431/K1431,0)</x:f>
        <x:v>0.3333333333333333</x:v>
      </x:c>
      <x:c r="W1431" s="28" t="n">
        <x:f>L1431-M1431</x:f>
        <x:v>2</x:v>
      </x:c>
      <x:c r="X1431" s="24" t="n">
        <x:f>IFERROR(K1431/I1431,0)</x:f>
        <x:v>0.3333333333333333</x:v>
      </x:c>
      <x:c r="Y1431" s="24" t="n">
        <x:f>IFERROR(G1431/I1431,0)</x:f>
        <x:v>0</x:v>
      </x:c>
      <x:c r="Z1431" s="24" t="n">
        <x:f>IFERROR(G1431/K1431,0)</x:f>
        <x:v>0</x:v>
      </x:c>
      <x:c r="AA1431" s="24" t="n">
        <x:f>IFERROR(F1431/H1431,0)-IFERROR(G1431/I1431,0)</x:f>
        <x:v>0.06666666666666667</x:v>
      </x:c>
      <x:c r="AB1431" s="28" t="n">
        <x:f>J1431-K1431</x:f>
        <x:v>0</x:v>
      </x:c>
      <x:c r="AC1431" s="32" t="n">
        <x:f>F1431-G1431</x:f>
        <x:v>1</x:v>
      </x:c>
    </x:row>
    <x:row r="1432">
      <x:c r="A1432" s="4" t="str">
        <x:v>2022-23</x:v>
      </x:c>
      <x:c r="B1432" s="20" t="n">
        <x:v>45049</x:v>
      </x:c>
      <x:c r="C1432" s="4" t="str">
        <x:v>Man City</x:v>
      </x:c>
      <x:c r="D1432" s="4" t="str">
        <x:v>West Ham</x:v>
      </x:c>
      <x:c r="E1432" s="4" t="str">
        <x:v>Home</x:v>
      </x:c>
      <x:c r="F1432" s="28" t="n">
        <x:v>3</x:v>
      </x:c>
      <x:c r="G1432" s="28" t="n">
        <x:v>0</x:v>
      </x:c>
      <x:c r="H1432" s="28" t="n">
        <x:v>16</x:v>
      </x:c>
      <x:c r="I1432" s="28" t="n">
        <x:v>6</x:v>
      </x:c>
      <x:c r="J1432" s="28" t="n">
        <x:v>7</x:v>
      </x:c>
      <x:c r="K1432" s="28" t="n">
        <x:v>2</x:v>
      </x:c>
      <x:c r="L1432" s="28" t="n">
        <x:v>6</x:v>
      </x:c>
      <x:c r="M1432" s="28" t="n">
        <x:v>3</x:v>
      </x:c>
      <x:c r="N1432" s="28" t="n">
        <x:v>0</x:v>
      </x:c>
      <x:c r="O1432" s="28" t="n">
        <x:v>0</x:v>
      </x:c>
      <x:c r="P1432" s="28" t="n">
        <x:v>3</x:v>
      </x:c>
      <x:c r="Q1432" s="24" t="n">
        <x:f>IFERROR(J1432/H1432,0)</x:f>
        <x:v>0.4375</x:v>
      </x:c>
      <x:c r="R1432" s="24" t="n">
        <x:f>IFERROR(F1432/H1432,0)</x:f>
        <x:v>0.1875</x:v>
      </x:c>
      <x:c r="S1432" s="24" t="n">
        <x:f>IFERROR(F1432/J1432,0)</x:f>
        <x:v>0.42857142857142855</x:v>
      </x:c>
      <x:c r="T1432" s="28" t="n">
        <x:f>H1432-I1432</x:f>
        <x:v>10</x:v>
      </x:c>
      <x:c r="U1432" s="24" t="n">
        <x:f>IFERROR(J1432/H1432,0)-IFERROR(K1432/I1432,0)</x:f>
        <x:v>0.10416666666666669</x:v>
      </x:c>
      <x:c r="V1432" s="24" t="n">
        <x:f>IFERROR(F1432/J1432,0)-IFERROR(G1432/K1432,0)</x:f>
        <x:v>0.42857142857142855</x:v>
      </x:c>
      <x:c r="W1432" s="28" t="n">
        <x:f>L1432-M1432</x:f>
        <x:v>3</x:v>
      </x:c>
      <x:c r="X1432" s="24" t="n">
        <x:f>IFERROR(K1432/I1432,0)</x:f>
        <x:v>0.3333333333333333</x:v>
      </x:c>
      <x:c r="Y1432" s="24" t="n">
        <x:f>IFERROR(G1432/I1432,0)</x:f>
        <x:v>0</x:v>
      </x:c>
      <x:c r="Z1432" s="24" t="n">
        <x:f>IFERROR(G1432/K1432,0)</x:f>
        <x:v>0</x:v>
      </x:c>
      <x:c r="AA1432" s="24" t="n">
        <x:f>IFERROR(F1432/H1432,0)-IFERROR(G1432/I1432,0)</x:f>
        <x:v>0.1875</x:v>
      </x:c>
      <x:c r="AB1432" s="28" t="n">
        <x:f>J1432-K1432</x:f>
        <x:v>5</x:v>
      </x:c>
      <x:c r="AC1432" s="32" t="n">
        <x:f>F1432-G1432</x:f>
        <x:v>3</x:v>
      </x:c>
    </x:row>
    <x:row r="1433">
      <x:c r="A1433" s="4" t="str">
        <x:v>2022-23</x:v>
      </x:c>
      <x:c r="B1433" s="20" t="n">
        <x:v>45049</x:v>
      </x:c>
      <x:c r="C1433" s="4" t="str">
        <x:v>West Ham</x:v>
      </x:c>
      <x:c r="D1433" s="4" t="str">
        <x:v>Man City</x:v>
      </x:c>
      <x:c r="E1433" s="4" t="str">
        <x:v>Away</x:v>
      </x:c>
      <x:c r="F1433" s="28" t="n">
        <x:v>0</x:v>
      </x:c>
      <x:c r="G1433" s="28" t="n">
        <x:v>3</x:v>
      </x:c>
      <x:c r="H1433" s="28" t="n">
        <x:v>6</x:v>
      </x:c>
      <x:c r="I1433" s="28" t="n">
        <x:v>16</x:v>
      </x:c>
      <x:c r="J1433" s="28" t="n">
        <x:v>2</x:v>
      </x:c>
      <x:c r="K1433" s="28" t="n">
        <x:v>7</x:v>
      </x:c>
      <x:c r="L1433" s="28" t="n">
        <x:v>3</x:v>
      </x:c>
      <x:c r="M1433" s="28" t="n">
        <x:v>6</x:v>
      </x:c>
      <x:c r="N1433" s="28" t="n">
        <x:v>1</x:v>
      </x:c>
      <x:c r="O1433" s="28" t="n">
        <x:v>0</x:v>
      </x:c>
      <x:c r="P1433" s="28" t="n">
        <x:v>0</x:v>
      </x:c>
      <x:c r="Q1433" s="24" t="n">
        <x:f>IFERROR(J1433/H1433,0)</x:f>
        <x:v>0.3333333333333333</x:v>
      </x:c>
      <x:c r="R1433" s="24" t="n">
        <x:f>IFERROR(F1433/H1433,0)</x:f>
        <x:v>0</x:v>
      </x:c>
      <x:c r="S1433" s="24" t="n">
        <x:f>IFERROR(F1433/J1433,0)</x:f>
        <x:v>0</x:v>
      </x:c>
      <x:c r="T1433" s="28" t="n">
        <x:f>H1433-I1433</x:f>
        <x:v>-10</x:v>
      </x:c>
      <x:c r="U1433" s="24" t="n">
        <x:f>IFERROR(J1433/H1433,0)-IFERROR(K1433/I1433,0)</x:f>
        <x:v>-0.10416666666666669</x:v>
      </x:c>
      <x:c r="V1433" s="24" t="n">
        <x:f>IFERROR(F1433/J1433,0)-IFERROR(G1433/K1433,0)</x:f>
        <x:v>-0.42857142857142855</x:v>
      </x:c>
      <x:c r="W1433" s="28" t="n">
        <x:f>L1433-M1433</x:f>
        <x:v>-3</x:v>
      </x:c>
      <x:c r="X1433" s="24" t="n">
        <x:f>IFERROR(K1433/I1433,0)</x:f>
        <x:v>0.4375</x:v>
      </x:c>
      <x:c r="Y1433" s="24" t="n">
        <x:f>IFERROR(G1433/I1433,0)</x:f>
        <x:v>0.1875</x:v>
      </x:c>
      <x:c r="Z1433" s="24" t="n">
        <x:f>IFERROR(G1433/K1433,0)</x:f>
        <x:v>0.42857142857142855</x:v>
      </x:c>
      <x:c r="AA1433" s="24" t="n">
        <x:f>IFERROR(F1433/H1433,0)-IFERROR(G1433/I1433,0)</x:f>
        <x:v>-0.1875</x:v>
      </x:c>
      <x:c r="AB1433" s="28" t="n">
        <x:f>J1433-K1433</x:f>
        <x:v>-5</x:v>
      </x:c>
      <x:c r="AC1433" s="32" t="n">
        <x:f>F1433-G1433</x:f>
        <x:v>-3</x:v>
      </x:c>
    </x:row>
    <x:row r="1434">
      <x:c r="A1434" s="4" t="str">
        <x:v>2022-23</x:v>
      </x:c>
      <x:c r="B1434" s="20" t="n">
        <x:v>45050</x:v>
      </x:c>
      <x:c r="C1434" s="4" t="str">
        <x:v>Brighton</x:v>
      </x:c>
      <x:c r="D1434" s="4" t="str">
        <x:v>Man United</x:v>
      </x:c>
      <x:c r="E1434" s="4" t="str">
        <x:v>Home</x:v>
      </x:c>
      <x:c r="F1434" s="28" t="n">
        <x:v>1</x:v>
      </x:c>
      <x:c r="G1434" s="28" t="n">
        <x:v>0</x:v>
      </x:c>
      <x:c r="H1434" s="28" t="n">
        <x:v>22</x:v>
      </x:c>
      <x:c r="I1434" s="28" t="n">
        <x:v>16</x:v>
      </x:c>
      <x:c r="J1434" s="28" t="n">
        <x:v>6</x:v>
      </x:c>
      <x:c r="K1434" s="28" t="n">
        <x:v>5</x:v>
      </x:c>
      <x:c r="L1434" s="28" t="n">
        <x:v>8</x:v>
      </x:c>
      <x:c r="M1434" s="28" t="n">
        <x:v>6</x:v>
      </x:c>
      <x:c r="N1434" s="28" t="n">
        <x:v>4</x:v>
      </x:c>
      <x:c r="O1434" s="28" t="n">
        <x:v>0</x:v>
      </x:c>
      <x:c r="P1434" s="28" t="n">
        <x:v>3</x:v>
      </x:c>
      <x:c r="Q1434" s="24" t="n">
        <x:f>IFERROR(J1434/H1434,0)</x:f>
        <x:v>0.2727272727272727</x:v>
      </x:c>
      <x:c r="R1434" s="24" t="n">
        <x:f>IFERROR(F1434/H1434,0)</x:f>
        <x:v>0.045454545454545456</x:v>
      </x:c>
      <x:c r="S1434" s="24" t="n">
        <x:f>IFERROR(F1434/J1434,0)</x:f>
        <x:v>0.16666666666666666</x:v>
      </x:c>
      <x:c r="T1434" s="28" t="n">
        <x:f>H1434-I1434</x:f>
        <x:v>6</x:v>
      </x:c>
      <x:c r="U1434" s="24" t="n">
        <x:f>IFERROR(J1434/H1434,0)-IFERROR(K1434/I1434,0)</x:f>
        <x:v>-0.03977272727272729</x:v>
      </x:c>
      <x:c r="V1434" s="24" t="n">
        <x:f>IFERROR(F1434/J1434,0)-IFERROR(G1434/K1434,0)</x:f>
        <x:v>0.16666666666666666</x:v>
      </x:c>
      <x:c r="W1434" s="28" t="n">
        <x:f>L1434-M1434</x:f>
        <x:v>2</x:v>
      </x:c>
      <x:c r="X1434" s="24" t="n">
        <x:f>IFERROR(K1434/I1434,0)</x:f>
        <x:v>0.3125</x:v>
      </x:c>
      <x:c r="Y1434" s="24" t="n">
        <x:f>IFERROR(G1434/I1434,0)</x:f>
        <x:v>0</x:v>
      </x:c>
      <x:c r="Z1434" s="24" t="n">
        <x:f>IFERROR(G1434/K1434,0)</x:f>
        <x:v>0</x:v>
      </x:c>
      <x:c r="AA1434" s="24" t="n">
        <x:f>IFERROR(F1434/H1434,0)-IFERROR(G1434/I1434,0)</x:f>
        <x:v>0.045454545454545456</x:v>
      </x:c>
      <x:c r="AB1434" s="28" t="n">
        <x:f>J1434-K1434</x:f>
        <x:v>1</x:v>
      </x:c>
      <x:c r="AC1434" s="32" t="n">
        <x:f>F1434-G1434</x:f>
        <x:v>1</x:v>
      </x:c>
    </x:row>
    <x:row r="1435">
      <x:c r="A1435" s="4" t="str">
        <x:v>2022-23</x:v>
      </x:c>
      <x:c r="B1435" s="20" t="n">
        <x:v>45050</x:v>
      </x:c>
      <x:c r="C1435" s="4" t="str">
        <x:v>Man United</x:v>
      </x:c>
      <x:c r="D1435" s="4" t="str">
        <x:v>Brighton</x:v>
      </x:c>
      <x:c r="E1435" s="4" t="str">
        <x:v>Away</x:v>
      </x:c>
      <x:c r="F1435" s="28" t="n">
        <x:v>0</x:v>
      </x:c>
      <x:c r="G1435" s="28" t="n">
        <x:v>1</x:v>
      </x:c>
      <x:c r="H1435" s="28" t="n">
        <x:v>16</x:v>
      </x:c>
      <x:c r="I1435" s="28" t="n">
        <x:v>22</x:v>
      </x:c>
      <x:c r="J1435" s="28" t="n">
        <x:v>5</x:v>
      </x:c>
      <x:c r="K1435" s="28" t="n">
        <x:v>6</x:v>
      </x:c>
      <x:c r="L1435" s="28" t="n">
        <x:v>6</x:v>
      </x:c>
      <x:c r="M1435" s="28" t="n">
        <x:v>8</x:v>
      </x:c>
      <x:c r="N1435" s="28" t="n">
        <x:v>4</x:v>
      </x:c>
      <x:c r="O1435" s="28" t="n">
        <x:v>0</x:v>
      </x:c>
      <x:c r="P1435" s="28" t="n">
        <x:v>0</x:v>
      </x:c>
      <x:c r="Q1435" s="24" t="n">
        <x:f>IFERROR(J1435/H1435,0)</x:f>
        <x:v>0.3125</x:v>
      </x:c>
      <x:c r="R1435" s="24" t="n">
        <x:f>IFERROR(F1435/H1435,0)</x:f>
        <x:v>0</x:v>
      </x:c>
      <x:c r="S1435" s="24" t="n">
        <x:f>IFERROR(F1435/J1435,0)</x:f>
        <x:v>0</x:v>
      </x:c>
      <x:c r="T1435" s="28" t="n">
        <x:f>H1435-I1435</x:f>
        <x:v>-6</x:v>
      </x:c>
      <x:c r="U1435" s="24" t="n">
        <x:f>IFERROR(J1435/H1435,0)-IFERROR(K1435/I1435,0)</x:f>
        <x:v>0.03977272727272729</x:v>
      </x:c>
      <x:c r="V1435" s="24" t="n">
        <x:f>IFERROR(F1435/J1435,0)-IFERROR(G1435/K1435,0)</x:f>
        <x:v>-0.16666666666666666</x:v>
      </x:c>
      <x:c r="W1435" s="28" t="n">
        <x:f>L1435-M1435</x:f>
        <x:v>-2</x:v>
      </x:c>
      <x:c r="X1435" s="24" t="n">
        <x:f>IFERROR(K1435/I1435,0)</x:f>
        <x:v>0.2727272727272727</x:v>
      </x:c>
      <x:c r="Y1435" s="24" t="n">
        <x:f>IFERROR(G1435/I1435,0)</x:f>
        <x:v>0.045454545454545456</x:v>
      </x:c>
      <x:c r="Z1435" s="24" t="n">
        <x:f>IFERROR(G1435/K1435,0)</x:f>
        <x:v>0.16666666666666666</x:v>
      </x:c>
      <x:c r="AA1435" s="24" t="n">
        <x:f>IFERROR(F1435/H1435,0)-IFERROR(G1435/I1435,0)</x:f>
        <x:v>-0.045454545454545456</x:v>
      </x:c>
      <x:c r="AB1435" s="28" t="n">
        <x:f>J1435-K1435</x:f>
        <x:v>-1</x:v>
      </x:c>
      <x:c r="AC1435" s="32" t="n">
        <x:f>F1435-G1435</x:f>
        <x:v>-1</x:v>
      </x:c>
    </x:row>
    <x:row r="1436">
      <x:c r="A1436" s="4" t="str">
        <x:v>2022-23</x:v>
      </x:c>
      <x:c r="B1436" s="20" t="n">
        <x:v>45052</x:v>
      </x:c>
      <x:c r="C1436" s="4" t="str">
        <x:v>Aston Villa</x:v>
      </x:c>
      <x:c r="D1436" s="4" t="str">
        <x:v>Wolves</x:v>
      </x:c>
      <x:c r="E1436" s="4" t="str">
        <x:v>Away</x:v>
      </x:c>
      <x:c r="F1436" s="28" t="n">
        <x:v>0</x:v>
      </x:c>
      <x:c r="G1436" s="28" t="n">
        <x:v>1</x:v>
      </x:c>
      <x:c r="H1436" s="28" t="n">
        <x:v>16</x:v>
      </x:c>
      <x:c r="I1436" s="28" t="n">
        <x:v>6</x:v>
      </x:c>
      <x:c r="J1436" s="28" t="n">
        <x:v>3</x:v>
      </x:c>
      <x:c r="K1436" s="28" t="n">
        <x:v>2</x:v>
      </x:c>
      <x:c r="L1436" s="28" t="n">
        <x:v>6</x:v>
      </x:c>
      <x:c r="M1436" s="28" t="n">
        <x:v>5</x:v>
      </x:c>
      <x:c r="N1436" s="28" t="n">
        <x:v>3</x:v>
      </x:c>
      <x:c r="O1436" s="28" t="n">
        <x:v>0</x:v>
      </x:c>
      <x:c r="P1436" s="28" t="n">
        <x:v>0</x:v>
      </x:c>
      <x:c r="Q1436" s="24" t="n">
        <x:f>IFERROR(J1436/H1436,0)</x:f>
        <x:v>0.1875</x:v>
      </x:c>
      <x:c r="R1436" s="24" t="n">
        <x:f>IFERROR(F1436/H1436,0)</x:f>
        <x:v>0</x:v>
      </x:c>
      <x:c r="S1436" s="24" t="n">
        <x:f>IFERROR(F1436/J1436,0)</x:f>
        <x:v>0</x:v>
      </x:c>
      <x:c r="T1436" s="28" t="n">
        <x:f>H1436-I1436</x:f>
        <x:v>10</x:v>
      </x:c>
      <x:c r="U1436" s="24" t="n">
        <x:f>IFERROR(J1436/H1436,0)-IFERROR(K1436/I1436,0)</x:f>
        <x:v>-0.14583333333333331</x:v>
      </x:c>
      <x:c r="V1436" s="24" t="n">
        <x:f>IFERROR(F1436/J1436,0)-IFERROR(G1436/K1436,0)</x:f>
        <x:v>-0.5</x:v>
      </x:c>
      <x:c r="W1436" s="28" t="n">
        <x:f>L1436-M1436</x:f>
        <x:v>1</x:v>
      </x:c>
      <x:c r="X1436" s="24" t="n">
        <x:f>IFERROR(K1436/I1436,0)</x:f>
        <x:v>0.3333333333333333</x:v>
      </x:c>
      <x:c r="Y1436" s="24" t="n">
        <x:f>IFERROR(G1436/I1436,0)</x:f>
        <x:v>0.16666666666666666</x:v>
      </x:c>
      <x:c r="Z1436" s="24" t="n">
        <x:f>IFERROR(G1436/K1436,0)</x:f>
        <x:v>0.5</x:v>
      </x:c>
      <x:c r="AA1436" s="24" t="n">
        <x:f>IFERROR(F1436/H1436,0)-IFERROR(G1436/I1436,0)</x:f>
        <x:v>-0.16666666666666666</x:v>
      </x:c>
      <x:c r="AB1436" s="28" t="n">
        <x:f>J1436-K1436</x:f>
        <x:v>1</x:v>
      </x:c>
      <x:c r="AC1436" s="32" t="n">
        <x:f>F1436-G1436</x:f>
        <x:v>-1</x:v>
      </x:c>
    </x:row>
    <x:row r="1437">
      <x:c r="A1437" s="4" t="str">
        <x:v>2022-23</x:v>
      </x:c>
      <x:c r="B1437" s="20" t="n">
        <x:v>45052</x:v>
      </x:c>
      <x:c r="C1437" s="4" t="str">
        <x:v>Bournemouth</x:v>
      </x:c>
      <x:c r="D1437" s="4" t="str">
        <x:v>Chelsea</x:v>
      </x:c>
      <x:c r="E1437" s="4" t="str">
        <x:v>Home</x:v>
      </x:c>
      <x:c r="F1437" s="28" t="n">
        <x:v>1</x:v>
      </x:c>
      <x:c r="G1437" s="28" t="n">
        <x:v>3</x:v>
      </x:c>
      <x:c r="H1437" s="28" t="n">
        <x:v>10</x:v>
      </x:c>
      <x:c r="I1437" s="28" t="n">
        <x:v>11</x:v>
      </x:c>
      <x:c r="J1437" s="28" t="n">
        <x:v>4</x:v>
      </x:c>
      <x:c r="K1437" s="28" t="n">
        <x:v>5</x:v>
      </x:c>
      <x:c r="L1437" s="28" t="n">
        <x:v>7</x:v>
      </x:c>
      <x:c r="M1437" s="28" t="n">
        <x:v>7</x:v>
      </x:c>
      <x:c r="N1437" s="28" t="n">
        <x:v>1</x:v>
      </x:c>
      <x:c r="O1437" s="28" t="n">
        <x:v>0</x:v>
      </x:c>
      <x:c r="P1437" s="28" t="n">
        <x:v>0</x:v>
      </x:c>
      <x:c r="Q1437" s="24" t="n">
        <x:f>IFERROR(J1437/H1437,0)</x:f>
        <x:v>0.4</x:v>
      </x:c>
      <x:c r="R1437" s="24" t="n">
        <x:f>IFERROR(F1437/H1437,0)</x:f>
        <x:v>0.1</x:v>
      </x:c>
      <x:c r="S1437" s="24" t="n">
        <x:f>IFERROR(F1437/J1437,0)</x:f>
        <x:v>0.25</x:v>
      </x:c>
      <x:c r="T1437" s="28" t="n">
        <x:f>H1437-I1437</x:f>
        <x:v>-1</x:v>
      </x:c>
      <x:c r="U1437" s="24" t="n">
        <x:f>IFERROR(J1437/H1437,0)-IFERROR(K1437/I1437,0)</x:f>
        <x:v>-0.05454545454545451</x:v>
      </x:c>
      <x:c r="V1437" s="24" t="n">
        <x:f>IFERROR(F1437/J1437,0)-IFERROR(G1437/K1437,0)</x:f>
        <x:v>-0.35</x:v>
      </x:c>
      <x:c r="W1437" s="28" t="n">
        <x:f>L1437-M1437</x:f>
        <x:v>0</x:v>
      </x:c>
      <x:c r="X1437" s="24" t="n">
        <x:f>IFERROR(K1437/I1437,0)</x:f>
        <x:v>0.45454545454545453</x:v>
      </x:c>
      <x:c r="Y1437" s="24" t="n">
        <x:f>IFERROR(G1437/I1437,0)</x:f>
        <x:v>0.2727272727272727</x:v>
      </x:c>
      <x:c r="Z1437" s="24" t="n">
        <x:f>IFERROR(G1437/K1437,0)</x:f>
        <x:v>0.6</x:v>
      </x:c>
      <x:c r="AA1437" s="24" t="n">
        <x:f>IFERROR(F1437/H1437,0)-IFERROR(G1437/I1437,0)</x:f>
        <x:v>-0.1727272727272727</x:v>
      </x:c>
      <x:c r="AB1437" s="28" t="n">
        <x:f>J1437-K1437</x:f>
        <x:v>-1</x:v>
      </x:c>
      <x:c r="AC1437" s="32" t="n">
        <x:f>F1437-G1437</x:f>
        <x:v>-2</x:v>
      </x:c>
    </x:row>
    <x:row r="1438">
      <x:c r="A1438" s="4" t="str">
        <x:v>2022-23</x:v>
      </x:c>
      <x:c r="B1438" s="20" t="n">
        <x:v>45052</x:v>
      </x:c>
      <x:c r="C1438" s="4" t="str">
        <x:v>Brentford</x:v>
      </x:c>
      <x:c r="D1438" s="4" t="str">
        <x:v>Liverpool</x:v>
      </x:c>
      <x:c r="E1438" s="4" t="str">
        <x:v>Away</x:v>
      </x:c>
      <x:c r="F1438" s="28" t="n">
        <x:v>0</x:v>
      </x:c>
      <x:c r="G1438" s="28" t="n">
        <x:v>1</x:v>
      </x:c>
      <x:c r="H1438" s="28" t="n">
        <x:v>5</x:v>
      </x:c>
      <x:c r="I1438" s="28" t="n">
        <x:v>15</x:v>
      </x:c>
      <x:c r="J1438" s="28" t="n">
        <x:v>1</x:v>
      </x:c>
      <x:c r="K1438" s="28" t="n">
        <x:v>5</x:v>
      </x:c>
      <x:c r="L1438" s="28" t="n">
        <x:v>3</x:v>
      </x:c>
      <x:c r="M1438" s="28" t="n">
        <x:v>7</x:v>
      </x:c>
      <x:c r="N1438" s="28" t="n">
        <x:v>2</x:v>
      </x:c>
      <x:c r="O1438" s="28" t="n">
        <x:v>0</x:v>
      </x:c>
      <x:c r="P1438" s="28" t="n">
        <x:v>0</x:v>
      </x:c>
      <x:c r="Q1438" s="24" t="n">
        <x:f>IFERROR(J1438/H1438,0)</x:f>
        <x:v>0.2</x:v>
      </x:c>
      <x:c r="R1438" s="24" t="n">
        <x:f>IFERROR(F1438/H1438,0)</x:f>
        <x:v>0</x:v>
      </x:c>
      <x:c r="S1438" s="24" t="n">
        <x:f>IFERROR(F1438/J1438,0)</x:f>
        <x:v>0</x:v>
      </x:c>
      <x:c r="T1438" s="28" t="n">
        <x:f>H1438-I1438</x:f>
        <x:v>-10</x:v>
      </x:c>
      <x:c r="U1438" s="24" t="n">
        <x:f>IFERROR(J1438/H1438,0)-IFERROR(K1438/I1438,0)</x:f>
        <x:v>-0.1333333333333333</x:v>
      </x:c>
      <x:c r="V1438" s="24" t="n">
        <x:f>IFERROR(F1438/J1438,0)-IFERROR(G1438/K1438,0)</x:f>
        <x:v>-0.2</x:v>
      </x:c>
      <x:c r="W1438" s="28" t="n">
        <x:f>L1438-M1438</x:f>
        <x:v>-4</x:v>
      </x:c>
      <x:c r="X1438" s="24" t="n">
        <x:f>IFERROR(K1438/I1438,0)</x:f>
        <x:v>0.3333333333333333</x:v>
      </x:c>
      <x:c r="Y1438" s="24" t="n">
        <x:f>IFERROR(G1438/I1438,0)</x:f>
        <x:v>0.06666666666666667</x:v>
      </x:c>
      <x:c r="Z1438" s="24" t="n">
        <x:f>IFERROR(G1438/K1438,0)</x:f>
        <x:v>0.2</x:v>
      </x:c>
      <x:c r="AA1438" s="24" t="n">
        <x:f>IFERROR(F1438/H1438,0)-IFERROR(G1438/I1438,0)</x:f>
        <x:v>-0.06666666666666667</x:v>
      </x:c>
      <x:c r="AB1438" s="28" t="n">
        <x:f>J1438-K1438</x:f>
        <x:v>-4</x:v>
      </x:c>
      <x:c r="AC1438" s="32" t="n">
        <x:f>F1438-G1438</x:f>
        <x:v>-1</x:v>
      </x:c>
    </x:row>
    <x:row r="1439">
      <x:c r="A1439" s="4" t="str">
        <x:v>2022-23</x:v>
      </x:c>
      <x:c r="B1439" s="20" t="n">
        <x:v>45052</x:v>
      </x:c>
      <x:c r="C1439" s="4" t="str">
        <x:v>Chelsea</x:v>
      </x:c>
      <x:c r="D1439" s="4" t="str">
        <x:v>Bournemouth</x:v>
      </x:c>
      <x:c r="E1439" s="4" t="str">
        <x:v>Away</x:v>
      </x:c>
      <x:c r="F1439" s="28" t="n">
        <x:v>3</x:v>
      </x:c>
      <x:c r="G1439" s="28" t="n">
        <x:v>1</x:v>
      </x:c>
      <x:c r="H1439" s="28" t="n">
        <x:v>11</x:v>
      </x:c>
      <x:c r="I1439" s="28" t="n">
        <x:v>10</x:v>
      </x:c>
      <x:c r="J1439" s="28" t="n">
        <x:v>5</x:v>
      </x:c>
      <x:c r="K1439" s="28" t="n">
        <x:v>4</x:v>
      </x:c>
      <x:c r="L1439" s="28" t="n">
        <x:v>7</x:v>
      </x:c>
      <x:c r="M1439" s="28" t="n">
        <x:v>7</x:v>
      </x:c>
      <x:c r="N1439" s="28" t="n">
        <x:v>3</x:v>
      </x:c>
      <x:c r="O1439" s="28" t="n">
        <x:v>0</x:v>
      </x:c>
      <x:c r="P1439" s="28" t="n">
        <x:v>3</x:v>
      </x:c>
      <x:c r="Q1439" s="24" t="n">
        <x:f>IFERROR(J1439/H1439,0)</x:f>
        <x:v>0.45454545454545453</x:v>
      </x:c>
      <x:c r="R1439" s="24" t="n">
        <x:f>IFERROR(F1439/H1439,0)</x:f>
        <x:v>0.2727272727272727</x:v>
      </x:c>
      <x:c r="S1439" s="24" t="n">
        <x:f>IFERROR(F1439/J1439,0)</x:f>
        <x:v>0.6</x:v>
      </x:c>
      <x:c r="T1439" s="28" t="n">
        <x:f>H1439-I1439</x:f>
        <x:v>1</x:v>
      </x:c>
      <x:c r="U1439" s="24" t="n">
        <x:f>IFERROR(J1439/H1439,0)-IFERROR(K1439/I1439,0)</x:f>
        <x:v>0.05454545454545451</x:v>
      </x:c>
      <x:c r="V1439" s="24" t="n">
        <x:f>IFERROR(F1439/J1439,0)-IFERROR(G1439/K1439,0)</x:f>
        <x:v>0.35</x:v>
      </x:c>
      <x:c r="W1439" s="28" t="n">
        <x:f>L1439-M1439</x:f>
        <x:v>0</x:v>
      </x:c>
      <x:c r="X1439" s="24" t="n">
        <x:f>IFERROR(K1439/I1439,0)</x:f>
        <x:v>0.4</x:v>
      </x:c>
      <x:c r="Y1439" s="24" t="n">
        <x:f>IFERROR(G1439/I1439,0)</x:f>
        <x:v>0.1</x:v>
      </x:c>
      <x:c r="Z1439" s="24" t="n">
        <x:f>IFERROR(G1439/K1439,0)</x:f>
        <x:v>0.25</x:v>
      </x:c>
      <x:c r="AA1439" s="24" t="n">
        <x:f>IFERROR(F1439/H1439,0)-IFERROR(G1439/I1439,0)</x:f>
        <x:v>0.1727272727272727</x:v>
      </x:c>
      <x:c r="AB1439" s="28" t="n">
        <x:f>J1439-K1439</x:f>
        <x:v>1</x:v>
      </x:c>
      <x:c r="AC1439" s="32" t="n">
        <x:f>F1439-G1439</x:f>
        <x:v>2</x:v>
      </x:c>
    </x:row>
    <x:row r="1440">
      <x:c r="A1440" s="4" t="str">
        <x:v>2022-23</x:v>
      </x:c>
      <x:c r="B1440" s="20" t="n">
        <x:v>45052</x:v>
      </x:c>
      <x:c r="C1440" s="4" t="str">
        <x:v>Crystal Palace</x:v>
      </x:c>
      <x:c r="D1440" s="4" t="str">
        <x:v>Tottenham</x:v>
      </x:c>
      <x:c r="E1440" s="4" t="str">
        <x:v>Away</x:v>
      </x:c>
      <x:c r="F1440" s="28" t="n">
        <x:v>0</x:v>
      </x:c>
      <x:c r="G1440" s="28" t="n">
        <x:v>1</x:v>
      </x:c>
      <x:c r="H1440" s="28" t="n">
        <x:v>7</x:v>
      </x:c>
      <x:c r="I1440" s="28" t="n">
        <x:v>8</x:v>
      </x:c>
      <x:c r="J1440" s="28" t="n">
        <x:v>2</x:v>
      </x:c>
      <x:c r="K1440" s="28" t="n">
        <x:v>3</x:v>
      </x:c>
      <x:c r="L1440" s="28" t="n">
        <x:v>4</x:v>
      </x:c>
      <x:c r="M1440" s="28" t="n">
        <x:v>8</x:v>
      </x:c>
      <x:c r="N1440" s="28" t="n">
        <x:v>5</x:v>
      </x:c>
      <x:c r="O1440" s="28" t="n">
        <x:v>0</x:v>
      </x:c>
      <x:c r="P1440" s="28" t="n">
        <x:v>0</x:v>
      </x:c>
      <x:c r="Q1440" s="24" t="n">
        <x:f>IFERROR(J1440/H1440,0)</x:f>
        <x:v>0.2857142857142857</x:v>
      </x:c>
      <x:c r="R1440" s="24" t="n">
        <x:f>IFERROR(F1440/H1440,0)</x:f>
        <x:v>0</x:v>
      </x:c>
      <x:c r="S1440" s="24" t="n">
        <x:f>IFERROR(F1440/J1440,0)</x:f>
        <x:v>0</x:v>
      </x:c>
      <x:c r="T1440" s="28" t="n">
        <x:f>H1440-I1440</x:f>
        <x:v>-1</x:v>
      </x:c>
      <x:c r="U1440" s="24" t="n">
        <x:f>IFERROR(J1440/H1440,0)-IFERROR(K1440/I1440,0)</x:f>
        <x:v>-0.0892857142857143</x:v>
      </x:c>
      <x:c r="V1440" s="24" t="n">
        <x:f>IFERROR(F1440/J1440,0)-IFERROR(G1440/K1440,0)</x:f>
        <x:v>-0.3333333333333333</x:v>
      </x:c>
      <x:c r="W1440" s="28" t="n">
        <x:f>L1440-M1440</x:f>
        <x:v>-4</x:v>
      </x:c>
      <x:c r="X1440" s="24" t="n">
        <x:f>IFERROR(K1440/I1440,0)</x:f>
        <x:v>0.375</x:v>
      </x:c>
      <x:c r="Y1440" s="24" t="n">
        <x:f>IFERROR(G1440/I1440,0)</x:f>
        <x:v>0.125</x:v>
      </x:c>
      <x:c r="Z1440" s="24" t="n">
        <x:f>IFERROR(G1440/K1440,0)</x:f>
        <x:v>0.3333333333333333</x:v>
      </x:c>
      <x:c r="AA1440" s="24" t="n">
        <x:f>IFERROR(F1440/H1440,0)-IFERROR(G1440/I1440,0)</x:f>
        <x:v>-0.125</x:v>
      </x:c>
      <x:c r="AB1440" s="28" t="n">
        <x:f>J1440-K1440</x:f>
        <x:v>-1</x:v>
      </x:c>
      <x:c r="AC1440" s="32" t="n">
        <x:f>F1440-G1440</x:f>
        <x:v>-1</x:v>
      </x:c>
    </x:row>
    <x:row r="1441">
      <x:c r="A1441" s="4" t="str">
        <x:v>2022-23</x:v>
      </x:c>
      <x:c r="B1441" s="20" t="n">
        <x:v>45052</x:v>
      </x:c>
      <x:c r="C1441" s="4" t="str">
        <x:v>Leeds</x:v>
      </x:c>
      <x:c r="D1441" s="4" t="str">
        <x:v>Man City</x:v>
      </x:c>
      <x:c r="E1441" s="4" t="str">
        <x:v>Away</x:v>
      </x:c>
      <x:c r="F1441" s="28" t="n">
        <x:v>1</x:v>
      </x:c>
      <x:c r="G1441" s="28" t="n">
        <x:v>2</x:v>
      </x:c>
      <x:c r="H1441" s="28" t="n">
        <x:v>4</x:v>
      </x:c>
      <x:c r="I1441" s="28" t="n">
        <x:v>18</x:v>
      </x:c>
      <x:c r="J1441" s="28" t="n">
        <x:v>2</x:v>
      </x:c>
      <x:c r="K1441" s="28" t="n">
        <x:v>6</x:v>
      </x:c>
      <x:c r="L1441" s="28" t="n">
        <x:v>1</x:v>
      </x:c>
      <x:c r="M1441" s="28" t="n">
        <x:v>10</x:v>
      </x:c>
      <x:c r="N1441" s="28" t="n">
        <x:v>3</x:v>
      </x:c>
      <x:c r="O1441" s="28" t="n">
        <x:v>0</x:v>
      </x:c>
      <x:c r="P1441" s="28" t="n">
        <x:v>0</x:v>
      </x:c>
      <x:c r="Q1441" s="24" t="n">
        <x:f>IFERROR(J1441/H1441,0)</x:f>
        <x:v>0.5</x:v>
      </x:c>
      <x:c r="R1441" s="24" t="n">
        <x:f>IFERROR(F1441/H1441,0)</x:f>
        <x:v>0.25</x:v>
      </x:c>
      <x:c r="S1441" s="24" t="n">
        <x:f>IFERROR(F1441/J1441,0)</x:f>
        <x:v>0.5</x:v>
      </x:c>
      <x:c r="T1441" s="28" t="n">
        <x:f>H1441-I1441</x:f>
        <x:v>-14</x:v>
      </x:c>
      <x:c r="U1441" s="24" t="n">
        <x:f>IFERROR(J1441/H1441,0)-IFERROR(K1441/I1441,0)</x:f>
        <x:v>0.16666666666666669</x:v>
      </x:c>
      <x:c r="V1441" s="24" t="n">
        <x:f>IFERROR(F1441/J1441,0)-IFERROR(G1441/K1441,0)</x:f>
        <x:v>0.16666666666666669</x:v>
      </x:c>
      <x:c r="W1441" s="28" t="n">
        <x:f>L1441-M1441</x:f>
        <x:v>-9</x:v>
      </x:c>
      <x:c r="X1441" s="24" t="n">
        <x:f>IFERROR(K1441/I1441,0)</x:f>
        <x:v>0.3333333333333333</x:v>
      </x:c>
      <x:c r="Y1441" s="24" t="n">
        <x:f>IFERROR(G1441/I1441,0)</x:f>
        <x:v>0.1111111111111111</x:v>
      </x:c>
      <x:c r="Z1441" s="24" t="n">
        <x:f>IFERROR(G1441/K1441,0)</x:f>
        <x:v>0.3333333333333333</x:v>
      </x:c>
      <x:c r="AA1441" s="24" t="n">
        <x:f>IFERROR(F1441/H1441,0)-IFERROR(G1441/I1441,0)</x:f>
        <x:v>0.1388888888888889</x:v>
      </x:c>
      <x:c r="AB1441" s="28" t="n">
        <x:f>J1441-K1441</x:f>
        <x:v>-4</x:v>
      </x:c>
      <x:c r="AC1441" s="32" t="n">
        <x:f>F1441-G1441</x:f>
        <x:v>-1</x:v>
      </x:c>
    </x:row>
    <x:row r="1442">
      <x:c r="A1442" s="4" t="str">
        <x:v>2022-23</x:v>
      </x:c>
      <x:c r="B1442" s="20" t="n">
        <x:v>45052</x:v>
      </x:c>
      <x:c r="C1442" s="4" t="str">
        <x:v>Liverpool</x:v>
      </x:c>
      <x:c r="D1442" s="4" t="str">
        <x:v>Brentford</x:v>
      </x:c>
      <x:c r="E1442" s="4" t="str">
        <x:v>Home</x:v>
      </x:c>
      <x:c r="F1442" s="28" t="n">
        <x:v>1</x:v>
      </x:c>
      <x:c r="G1442" s="28" t="n">
        <x:v>0</x:v>
      </x:c>
      <x:c r="H1442" s="28" t="n">
        <x:v>15</x:v>
      </x:c>
      <x:c r="I1442" s="28" t="n">
        <x:v>5</x:v>
      </x:c>
      <x:c r="J1442" s="28" t="n">
        <x:v>5</x:v>
      </x:c>
      <x:c r="K1442" s="28" t="n">
        <x:v>1</x:v>
      </x:c>
      <x:c r="L1442" s="28" t="n">
        <x:v>7</x:v>
      </x:c>
      <x:c r="M1442" s="28" t="n">
        <x:v>3</x:v>
      </x:c>
      <x:c r="N1442" s="28" t="n">
        <x:v>4</x:v>
      </x:c>
      <x:c r="O1442" s="28" t="n">
        <x:v>0</x:v>
      </x:c>
      <x:c r="P1442" s="28" t="n">
        <x:v>3</x:v>
      </x:c>
      <x:c r="Q1442" s="24" t="n">
        <x:f>IFERROR(J1442/H1442,0)</x:f>
        <x:v>0.3333333333333333</x:v>
      </x:c>
      <x:c r="R1442" s="24" t="n">
        <x:f>IFERROR(F1442/H1442,0)</x:f>
        <x:v>0.06666666666666667</x:v>
      </x:c>
      <x:c r="S1442" s="24" t="n">
        <x:f>IFERROR(F1442/J1442,0)</x:f>
        <x:v>0.2</x:v>
      </x:c>
      <x:c r="T1442" s="28" t="n">
        <x:f>H1442-I1442</x:f>
        <x:v>10</x:v>
      </x:c>
      <x:c r="U1442" s="24" t="n">
        <x:f>IFERROR(J1442/H1442,0)-IFERROR(K1442/I1442,0)</x:f>
        <x:v>0.1333333333333333</x:v>
      </x:c>
      <x:c r="V1442" s="24" t="n">
        <x:f>IFERROR(F1442/J1442,0)-IFERROR(G1442/K1442,0)</x:f>
        <x:v>0.2</x:v>
      </x:c>
      <x:c r="W1442" s="28" t="n">
        <x:f>L1442-M1442</x:f>
        <x:v>4</x:v>
      </x:c>
      <x:c r="X1442" s="24" t="n">
        <x:f>IFERROR(K1442/I1442,0)</x:f>
        <x:v>0.2</x:v>
      </x:c>
      <x:c r="Y1442" s="24" t="n">
        <x:f>IFERROR(G1442/I1442,0)</x:f>
        <x:v>0</x:v>
      </x:c>
      <x:c r="Z1442" s="24" t="n">
        <x:f>IFERROR(G1442/K1442,0)</x:f>
        <x:v>0</x:v>
      </x:c>
      <x:c r="AA1442" s="24" t="n">
        <x:f>IFERROR(F1442/H1442,0)-IFERROR(G1442/I1442,0)</x:f>
        <x:v>0.06666666666666667</x:v>
      </x:c>
      <x:c r="AB1442" s="28" t="n">
        <x:f>J1442-K1442</x:f>
        <x:v>4</x:v>
      </x:c>
      <x:c r="AC1442" s="32" t="n">
        <x:f>F1442-G1442</x:f>
        <x:v>1</x:v>
      </x:c>
    </x:row>
    <x:row r="1443">
      <x:c r="A1443" s="4" t="str">
        <x:v>2022-23</x:v>
      </x:c>
      <x:c r="B1443" s="20" t="n">
        <x:v>45052</x:v>
      </x:c>
      <x:c r="C1443" s="4" t="str">
        <x:v>Man City</x:v>
      </x:c>
      <x:c r="D1443" s="4" t="str">
        <x:v>Leeds</x:v>
      </x:c>
      <x:c r="E1443" s="4" t="str">
        <x:v>Home</x:v>
      </x:c>
      <x:c r="F1443" s="28" t="n">
        <x:v>2</x:v>
      </x:c>
      <x:c r="G1443" s="28" t="n">
        <x:v>1</x:v>
      </x:c>
      <x:c r="H1443" s="28" t="n">
        <x:v>18</x:v>
      </x:c>
      <x:c r="I1443" s="28" t="n">
        <x:v>4</x:v>
      </x:c>
      <x:c r="J1443" s="28" t="n">
        <x:v>6</x:v>
      </x:c>
      <x:c r="K1443" s="28" t="n">
        <x:v>2</x:v>
      </x:c>
      <x:c r="L1443" s="28" t="n">
        <x:v>10</x:v>
      </x:c>
      <x:c r="M1443" s="28" t="n">
        <x:v>1</x:v>
      </x:c>
      <x:c r="N1443" s="28" t="n">
        <x:v>0</x:v>
      </x:c>
      <x:c r="O1443" s="28" t="n">
        <x:v>0</x:v>
      </x:c>
      <x:c r="P1443" s="28" t="n">
        <x:v>3</x:v>
      </x:c>
      <x:c r="Q1443" s="24" t="n">
        <x:f>IFERROR(J1443/H1443,0)</x:f>
        <x:v>0.3333333333333333</x:v>
      </x:c>
      <x:c r="R1443" s="24" t="n">
        <x:f>IFERROR(F1443/H1443,0)</x:f>
        <x:v>0.1111111111111111</x:v>
      </x:c>
      <x:c r="S1443" s="24" t="n">
        <x:f>IFERROR(F1443/J1443,0)</x:f>
        <x:v>0.3333333333333333</x:v>
      </x:c>
      <x:c r="T1443" s="28" t="n">
        <x:f>H1443-I1443</x:f>
        <x:v>14</x:v>
      </x:c>
      <x:c r="U1443" s="24" t="n">
        <x:f>IFERROR(J1443/H1443,0)-IFERROR(K1443/I1443,0)</x:f>
        <x:v>-0.16666666666666669</x:v>
      </x:c>
      <x:c r="V1443" s="24" t="n">
        <x:f>IFERROR(F1443/J1443,0)-IFERROR(G1443/K1443,0)</x:f>
        <x:v>-0.16666666666666669</x:v>
      </x:c>
      <x:c r="W1443" s="28" t="n">
        <x:f>L1443-M1443</x:f>
        <x:v>9</x:v>
      </x:c>
      <x:c r="X1443" s="24" t="n">
        <x:f>IFERROR(K1443/I1443,0)</x:f>
        <x:v>0.5</x:v>
      </x:c>
      <x:c r="Y1443" s="24" t="n">
        <x:f>IFERROR(G1443/I1443,0)</x:f>
        <x:v>0.25</x:v>
      </x:c>
      <x:c r="Z1443" s="24" t="n">
        <x:f>IFERROR(G1443/K1443,0)</x:f>
        <x:v>0.5</x:v>
      </x:c>
      <x:c r="AA1443" s="24" t="n">
        <x:f>IFERROR(F1443/H1443,0)-IFERROR(G1443/I1443,0)</x:f>
        <x:v>-0.1388888888888889</x:v>
      </x:c>
      <x:c r="AB1443" s="28" t="n">
        <x:f>J1443-K1443</x:f>
        <x:v>4</x:v>
      </x:c>
      <x:c r="AC1443" s="32" t="n">
        <x:f>F1443-G1443</x:f>
        <x:v>1</x:v>
      </x:c>
    </x:row>
    <x:row r="1444">
      <x:c r="A1444" s="4" t="str">
        <x:v>2022-23</x:v>
      </x:c>
      <x:c r="B1444" s="20" t="n">
        <x:v>45052</x:v>
      </x:c>
      <x:c r="C1444" s="4" t="str">
        <x:v>Tottenham</x:v>
      </x:c>
      <x:c r="D1444" s="4" t="str">
        <x:v>Crystal Palace</x:v>
      </x:c>
      <x:c r="E1444" s="4" t="str">
        <x:v>Home</x:v>
      </x:c>
      <x:c r="F1444" s="28" t="n">
        <x:v>1</x:v>
      </x:c>
      <x:c r="G1444" s="28" t="n">
        <x:v>0</x:v>
      </x:c>
      <x:c r="H1444" s="28" t="n">
        <x:v>8</x:v>
      </x:c>
      <x:c r="I1444" s="28" t="n">
        <x:v>7</x:v>
      </x:c>
      <x:c r="J1444" s="28" t="n">
        <x:v>3</x:v>
      </x:c>
      <x:c r="K1444" s="28" t="n">
        <x:v>2</x:v>
      </x:c>
      <x:c r="L1444" s="28" t="n">
        <x:v>8</x:v>
      </x:c>
      <x:c r="M1444" s="28" t="n">
        <x:v>4</x:v>
      </x:c>
      <x:c r="N1444" s="28" t="n">
        <x:v>3</x:v>
      </x:c>
      <x:c r="O1444" s="28" t="n">
        <x:v>0</x:v>
      </x:c>
      <x:c r="P1444" s="28" t="n">
        <x:v>3</x:v>
      </x:c>
      <x:c r="Q1444" s="24" t="n">
        <x:f>IFERROR(J1444/H1444,0)</x:f>
        <x:v>0.375</x:v>
      </x:c>
      <x:c r="R1444" s="24" t="n">
        <x:f>IFERROR(F1444/H1444,0)</x:f>
        <x:v>0.125</x:v>
      </x:c>
      <x:c r="S1444" s="24" t="n">
        <x:f>IFERROR(F1444/J1444,0)</x:f>
        <x:v>0.3333333333333333</x:v>
      </x:c>
      <x:c r="T1444" s="28" t="n">
        <x:f>H1444-I1444</x:f>
        <x:v>1</x:v>
      </x:c>
      <x:c r="U1444" s="24" t="n">
        <x:f>IFERROR(J1444/H1444,0)-IFERROR(K1444/I1444,0)</x:f>
        <x:v>0.0892857142857143</x:v>
      </x:c>
      <x:c r="V1444" s="24" t="n">
        <x:f>IFERROR(F1444/J1444,0)-IFERROR(G1444/K1444,0)</x:f>
        <x:v>0.3333333333333333</x:v>
      </x:c>
      <x:c r="W1444" s="28" t="n">
        <x:f>L1444-M1444</x:f>
        <x:v>4</x:v>
      </x:c>
      <x:c r="X1444" s="24" t="n">
        <x:f>IFERROR(K1444/I1444,0)</x:f>
        <x:v>0.2857142857142857</x:v>
      </x:c>
      <x:c r="Y1444" s="24" t="n">
        <x:f>IFERROR(G1444/I1444,0)</x:f>
        <x:v>0</x:v>
      </x:c>
      <x:c r="Z1444" s="24" t="n">
        <x:f>IFERROR(G1444/K1444,0)</x:f>
        <x:v>0</x:v>
      </x:c>
      <x:c r="AA1444" s="24" t="n">
        <x:f>IFERROR(F1444/H1444,0)-IFERROR(G1444/I1444,0)</x:f>
        <x:v>0.125</x:v>
      </x:c>
      <x:c r="AB1444" s="28" t="n">
        <x:f>J1444-K1444</x:f>
        <x:v>1</x:v>
      </x:c>
      <x:c r="AC1444" s="32" t="n">
        <x:f>F1444-G1444</x:f>
        <x:v>1</x:v>
      </x:c>
    </x:row>
    <x:row r="1445">
      <x:c r="A1445" s="4" t="str">
        <x:v>2022-23</x:v>
      </x:c>
      <x:c r="B1445" s="20" t="n">
        <x:v>45052</x:v>
      </x:c>
      <x:c r="C1445" s="4" t="str">
        <x:v>Wolves</x:v>
      </x:c>
      <x:c r="D1445" s="4" t="str">
        <x:v>Aston Villa</x:v>
      </x:c>
      <x:c r="E1445" s="4" t="str">
        <x:v>Home</x:v>
      </x:c>
      <x:c r="F1445" s="28" t="n">
        <x:v>1</x:v>
      </x:c>
      <x:c r="G1445" s="28" t="n">
        <x:v>0</x:v>
      </x:c>
      <x:c r="H1445" s="28" t="n">
        <x:v>6</x:v>
      </x:c>
      <x:c r="I1445" s="28" t="n">
        <x:v>16</x:v>
      </x:c>
      <x:c r="J1445" s="28" t="n">
        <x:v>2</x:v>
      </x:c>
      <x:c r="K1445" s="28" t="n">
        <x:v>3</x:v>
      </x:c>
      <x:c r="L1445" s="28" t="n">
        <x:v>5</x:v>
      </x:c>
      <x:c r="M1445" s="28" t="n">
        <x:v>6</x:v>
      </x:c>
      <x:c r="N1445" s="28" t="n">
        <x:v>3</x:v>
      </x:c>
      <x:c r="O1445" s="28" t="n">
        <x:v>0</x:v>
      </x:c>
      <x:c r="P1445" s="28" t="n">
        <x:v>3</x:v>
      </x:c>
      <x:c r="Q1445" s="24" t="n">
        <x:f>IFERROR(J1445/H1445,0)</x:f>
        <x:v>0.3333333333333333</x:v>
      </x:c>
      <x:c r="R1445" s="24" t="n">
        <x:f>IFERROR(F1445/H1445,0)</x:f>
        <x:v>0.16666666666666666</x:v>
      </x:c>
      <x:c r="S1445" s="24" t="n">
        <x:f>IFERROR(F1445/J1445,0)</x:f>
        <x:v>0.5</x:v>
      </x:c>
      <x:c r="T1445" s="28" t="n">
        <x:f>H1445-I1445</x:f>
        <x:v>-10</x:v>
      </x:c>
      <x:c r="U1445" s="24" t="n">
        <x:f>IFERROR(J1445/H1445,0)-IFERROR(K1445/I1445,0)</x:f>
        <x:v>0.14583333333333331</x:v>
      </x:c>
      <x:c r="V1445" s="24" t="n">
        <x:f>IFERROR(F1445/J1445,0)-IFERROR(G1445/K1445,0)</x:f>
        <x:v>0.5</x:v>
      </x:c>
      <x:c r="W1445" s="28" t="n">
        <x:f>L1445-M1445</x:f>
        <x:v>-1</x:v>
      </x:c>
      <x:c r="X1445" s="24" t="n">
        <x:f>IFERROR(K1445/I1445,0)</x:f>
        <x:v>0.1875</x:v>
      </x:c>
      <x:c r="Y1445" s="24" t="n">
        <x:f>IFERROR(G1445/I1445,0)</x:f>
        <x:v>0</x:v>
      </x:c>
      <x:c r="Z1445" s="24" t="n">
        <x:f>IFERROR(G1445/K1445,0)</x:f>
        <x:v>0</x:v>
      </x:c>
      <x:c r="AA1445" s="24" t="n">
        <x:f>IFERROR(F1445/H1445,0)-IFERROR(G1445/I1445,0)</x:f>
        <x:v>0.16666666666666666</x:v>
      </x:c>
      <x:c r="AB1445" s="28" t="n">
        <x:f>J1445-K1445</x:f>
        <x:v>-1</x:v>
      </x:c>
      <x:c r="AC1445" s="32" t="n">
        <x:f>F1445-G1445</x:f>
        <x:v>1</x:v>
      </x:c>
    </x:row>
    <x:row r="1446">
      <x:c r="A1446" s="4" t="str">
        <x:v>2022-23</x:v>
      </x:c>
      <x:c r="B1446" s="20" t="n">
        <x:v>45053</x:v>
      </x:c>
      <x:c r="C1446" s="4" t="str">
        <x:v>Arsenal</x:v>
      </x:c>
      <x:c r="D1446" s="4" t="str">
        <x:v>Newcastle</x:v>
      </x:c>
      <x:c r="E1446" s="4" t="str">
        <x:v>Away</x:v>
      </x:c>
      <x:c r="F1446" s="28" t="n">
        <x:v>2</x:v>
      </x:c>
      <x:c r="G1446" s="28" t="n">
        <x:v>0</x:v>
      </x:c>
      <x:c r="H1446" s="28" t="n">
        <x:v>10</x:v>
      </x:c>
      <x:c r="I1446" s="28" t="n">
        <x:v>12</x:v>
      </x:c>
      <x:c r="J1446" s="28" t="n">
        <x:v>6</x:v>
      </x:c>
      <x:c r="K1446" s="28" t="n">
        <x:v>5</x:v>
      </x:c>
      <x:c r="L1446" s="28" t="n">
        <x:v>4</x:v>
      </x:c>
      <x:c r="M1446" s="28" t="n">
        <x:v>9</x:v>
      </x:c>
      <x:c r="N1446" s="28" t="n">
        <x:v>1</x:v>
      </x:c>
      <x:c r="O1446" s="28" t="n">
        <x:v>0</x:v>
      </x:c>
      <x:c r="P1446" s="28" t="n">
        <x:v>3</x:v>
      </x:c>
      <x:c r="Q1446" s="24" t="n">
        <x:f>IFERROR(J1446/H1446,0)</x:f>
        <x:v>0.6</x:v>
      </x:c>
      <x:c r="R1446" s="24" t="n">
        <x:f>IFERROR(F1446/H1446,0)</x:f>
        <x:v>0.2</x:v>
      </x:c>
      <x:c r="S1446" s="24" t="n">
        <x:f>IFERROR(F1446/J1446,0)</x:f>
        <x:v>0.3333333333333333</x:v>
      </x:c>
      <x:c r="T1446" s="28" t="n">
        <x:f>H1446-I1446</x:f>
        <x:v>-2</x:v>
      </x:c>
      <x:c r="U1446" s="24" t="n">
        <x:f>IFERROR(J1446/H1446,0)-IFERROR(K1446/I1446,0)</x:f>
        <x:v>0.1833333333333333</x:v>
      </x:c>
      <x:c r="V1446" s="24" t="n">
        <x:f>IFERROR(F1446/J1446,0)-IFERROR(G1446/K1446,0)</x:f>
        <x:v>0.3333333333333333</x:v>
      </x:c>
      <x:c r="W1446" s="28" t="n">
        <x:f>L1446-M1446</x:f>
        <x:v>-5</x:v>
      </x:c>
      <x:c r="X1446" s="24" t="n">
        <x:f>IFERROR(K1446/I1446,0)</x:f>
        <x:v>0.4166666666666667</x:v>
      </x:c>
      <x:c r="Y1446" s="24" t="n">
        <x:f>IFERROR(G1446/I1446,0)</x:f>
        <x:v>0</x:v>
      </x:c>
      <x:c r="Z1446" s="24" t="n">
        <x:f>IFERROR(G1446/K1446,0)</x:f>
        <x:v>0</x:v>
      </x:c>
      <x:c r="AA1446" s="24" t="n">
        <x:f>IFERROR(F1446/H1446,0)-IFERROR(G1446/I1446,0)</x:f>
        <x:v>0.2</x:v>
      </x:c>
      <x:c r="AB1446" s="28" t="n">
        <x:f>J1446-K1446</x:f>
        <x:v>1</x:v>
      </x:c>
      <x:c r="AC1446" s="32" t="n">
        <x:f>F1446-G1446</x:f>
        <x:v>2</x:v>
      </x:c>
    </x:row>
    <x:row r="1447">
      <x:c r="A1447" s="4" t="str">
        <x:v>2022-23</x:v>
      </x:c>
      <x:c r="B1447" s="20" t="n">
        <x:v>45053</x:v>
      </x:c>
      <x:c r="C1447" s="4" t="str">
        <x:v>Man United</x:v>
      </x:c>
      <x:c r="D1447" s="4" t="str">
        <x:v>West Ham</x:v>
      </x:c>
      <x:c r="E1447" s="4" t="str">
        <x:v>Away</x:v>
      </x:c>
      <x:c r="F1447" s="28" t="n">
        <x:v>0</x:v>
      </x:c>
      <x:c r="G1447" s="28" t="n">
        <x:v>1</x:v>
      </x:c>
      <x:c r="H1447" s="28" t="n">
        <x:v>19</x:v>
      </x:c>
      <x:c r="I1447" s="28" t="n">
        <x:v>15</x:v>
      </x:c>
      <x:c r="J1447" s="28" t="n">
        <x:v>4</x:v>
      </x:c>
      <x:c r="K1447" s="28" t="n">
        <x:v>4</x:v>
      </x:c>
      <x:c r="L1447" s="28" t="n">
        <x:v>6</x:v>
      </x:c>
      <x:c r="M1447" s="28" t="n">
        <x:v>5</x:v>
      </x:c>
      <x:c r="N1447" s="28" t="n">
        <x:v>2</x:v>
      </x:c>
      <x:c r="O1447" s="28" t="n">
        <x:v>0</x:v>
      </x:c>
      <x:c r="P1447" s="28" t="n">
        <x:v>0</x:v>
      </x:c>
      <x:c r="Q1447" s="24" t="n">
        <x:f>IFERROR(J1447/H1447,0)</x:f>
        <x:v>0.21052631578947367</x:v>
      </x:c>
      <x:c r="R1447" s="24" t="n">
        <x:f>IFERROR(F1447/H1447,0)</x:f>
        <x:v>0</x:v>
      </x:c>
      <x:c r="S1447" s="24" t="n">
        <x:f>IFERROR(F1447/J1447,0)</x:f>
        <x:v>0</x:v>
      </x:c>
      <x:c r="T1447" s="28" t="n">
        <x:f>H1447-I1447</x:f>
        <x:v>4</x:v>
      </x:c>
      <x:c r="U1447" s="24" t="n">
        <x:f>IFERROR(J1447/H1447,0)-IFERROR(K1447/I1447,0)</x:f>
        <x:v>-0.05614035087719299</x:v>
      </x:c>
      <x:c r="V1447" s="24" t="n">
        <x:f>IFERROR(F1447/J1447,0)-IFERROR(G1447/K1447,0)</x:f>
        <x:v>-0.25</x:v>
      </x:c>
      <x:c r="W1447" s="28" t="n">
        <x:f>L1447-M1447</x:f>
        <x:v>1</x:v>
      </x:c>
      <x:c r="X1447" s="24" t="n">
        <x:f>IFERROR(K1447/I1447,0)</x:f>
        <x:v>0.26666666666666666</x:v>
      </x:c>
      <x:c r="Y1447" s="24" t="n">
        <x:f>IFERROR(G1447/I1447,0)</x:f>
        <x:v>0.06666666666666667</x:v>
      </x:c>
      <x:c r="Z1447" s="24" t="n">
        <x:f>IFERROR(G1447/K1447,0)</x:f>
        <x:v>0.25</x:v>
      </x:c>
      <x:c r="AA1447" s="24" t="n">
        <x:f>IFERROR(F1447/H1447,0)-IFERROR(G1447/I1447,0)</x:f>
        <x:v>-0.06666666666666667</x:v>
      </x:c>
      <x:c r="AB1447" s="28" t="n">
        <x:f>J1447-K1447</x:f>
        <x:v>0</x:v>
      </x:c>
      <x:c r="AC1447" s="32" t="n">
        <x:f>F1447-G1447</x:f>
        <x:v>-1</x:v>
      </x:c>
    </x:row>
    <x:row r="1448">
      <x:c r="A1448" s="4" t="str">
        <x:v>2022-23</x:v>
      </x:c>
      <x:c r="B1448" s="20" t="n">
        <x:v>45053</x:v>
      </x:c>
      <x:c r="C1448" s="4" t="str">
        <x:v>Newcastle</x:v>
      </x:c>
      <x:c r="D1448" s="4" t="str">
        <x:v>Arsenal</x:v>
      </x:c>
      <x:c r="E1448" s="4" t="str">
        <x:v>Home</x:v>
      </x:c>
      <x:c r="F1448" s="28" t="n">
        <x:v>0</x:v>
      </x:c>
      <x:c r="G1448" s="28" t="n">
        <x:v>2</x:v>
      </x:c>
      <x:c r="H1448" s="28" t="n">
        <x:v>12</x:v>
      </x:c>
      <x:c r="I1448" s="28" t="n">
        <x:v>10</x:v>
      </x:c>
      <x:c r="J1448" s="28" t="n">
        <x:v>5</x:v>
      </x:c>
      <x:c r="K1448" s="28" t="n">
        <x:v>6</x:v>
      </x:c>
      <x:c r="L1448" s="28" t="n">
        <x:v>9</x:v>
      </x:c>
      <x:c r="M1448" s="28" t="n">
        <x:v>4</x:v>
      </x:c>
      <x:c r="N1448" s="28" t="n">
        <x:v>2</x:v>
      </x:c>
      <x:c r="O1448" s="28" t="n">
        <x:v>0</x:v>
      </x:c>
      <x:c r="P1448" s="28" t="n">
        <x:v>0</x:v>
      </x:c>
      <x:c r="Q1448" s="24" t="n">
        <x:f>IFERROR(J1448/H1448,0)</x:f>
        <x:v>0.4166666666666667</x:v>
      </x:c>
      <x:c r="R1448" s="24" t="n">
        <x:f>IFERROR(F1448/H1448,0)</x:f>
        <x:v>0</x:v>
      </x:c>
      <x:c r="S1448" s="24" t="n">
        <x:f>IFERROR(F1448/J1448,0)</x:f>
        <x:v>0</x:v>
      </x:c>
      <x:c r="T1448" s="28" t="n">
        <x:f>H1448-I1448</x:f>
        <x:v>2</x:v>
      </x:c>
      <x:c r="U1448" s="24" t="n">
        <x:f>IFERROR(J1448/H1448,0)-IFERROR(K1448/I1448,0)</x:f>
        <x:v>-0.1833333333333333</x:v>
      </x:c>
      <x:c r="V1448" s="24" t="n">
        <x:f>IFERROR(F1448/J1448,0)-IFERROR(G1448/K1448,0)</x:f>
        <x:v>-0.3333333333333333</x:v>
      </x:c>
      <x:c r="W1448" s="28" t="n">
        <x:f>L1448-M1448</x:f>
        <x:v>5</x:v>
      </x:c>
      <x:c r="X1448" s="24" t="n">
        <x:f>IFERROR(K1448/I1448,0)</x:f>
        <x:v>0.6</x:v>
      </x:c>
      <x:c r="Y1448" s="24" t="n">
        <x:f>IFERROR(G1448/I1448,0)</x:f>
        <x:v>0.2</x:v>
      </x:c>
      <x:c r="Z1448" s="24" t="n">
        <x:f>IFERROR(G1448/K1448,0)</x:f>
        <x:v>0.3333333333333333</x:v>
      </x:c>
      <x:c r="AA1448" s="24" t="n">
        <x:f>IFERROR(F1448/H1448,0)-IFERROR(G1448/I1448,0)</x:f>
        <x:v>-0.2</x:v>
      </x:c>
      <x:c r="AB1448" s="28" t="n">
        <x:f>J1448-K1448</x:f>
        <x:v>-1</x:v>
      </x:c>
      <x:c r="AC1448" s="32" t="n">
        <x:f>F1448-G1448</x:f>
        <x:v>-2</x:v>
      </x:c>
    </x:row>
    <x:row r="1449">
      <x:c r="A1449" s="4" t="str">
        <x:v>2022-23</x:v>
      </x:c>
      <x:c r="B1449" s="20" t="n">
        <x:v>45053</x:v>
      </x:c>
      <x:c r="C1449" s="4" t="str">
        <x:v>West Ham</x:v>
      </x:c>
      <x:c r="D1449" s="4" t="str">
        <x:v>Man United</x:v>
      </x:c>
      <x:c r="E1449" s="4" t="str">
        <x:v>Home</x:v>
      </x:c>
      <x:c r="F1449" s="28" t="n">
        <x:v>1</x:v>
      </x:c>
      <x:c r="G1449" s="28" t="n">
        <x:v>0</x:v>
      </x:c>
      <x:c r="H1449" s="28" t="n">
        <x:v>15</x:v>
      </x:c>
      <x:c r="I1449" s="28" t="n">
        <x:v>19</x:v>
      </x:c>
      <x:c r="J1449" s="28" t="n">
        <x:v>4</x:v>
      </x:c>
      <x:c r="K1449" s="28" t="n">
        <x:v>4</x:v>
      </x:c>
      <x:c r="L1449" s="28" t="n">
        <x:v>5</x:v>
      </x:c>
      <x:c r="M1449" s="28" t="n">
        <x:v>6</x:v>
      </x:c>
      <x:c r="N1449" s="28" t="n">
        <x:v>0</x:v>
      </x:c>
      <x:c r="O1449" s="28" t="n">
        <x:v>0</x:v>
      </x:c>
      <x:c r="P1449" s="28" t="n">
        <x:v>3</x:v>
      </x:c>
      <x:c r="Q1449" s="24" t="n">
        <x:f>IFERROR(J1449/H1449,0)</x:f>
        <x:v>0.26666666666666666</x:v>
      </x:c>
      <x:c r="R1449" s="24" t="n">
        <x:f>IFERROR(F1449/H1449,0)</x:f>
        <x:v>0.06666666666666667</x:v>
      </x:c>
      <x:c r="S1449" s="24" t="n">
        <x:f>IFERROR(F1449/J1449,0)</x:f>
        <x:v>0.25</x:v>
      </x:c>
      <x:c r="T1449" s="28" t="n">
        <x:f>H1449-I1449</x:f>
        <x:v>-4</x:v>
      </x:c>
      <x:c r="U1449" s="24" t="n">
        <x:f>IFERROR(J1449/H1449,0)-IFERROR(K1449/I1449,0)</x:f>
        <x:v>0.05614035087719299</x:v>
      </x:c>
      <x:c r="V1449" s="24" t="n">
        <x:f>IFERROR(F1449/J1449,0)-IFERROR(G1449/K1449,0)</x:f>
        <x:v>0.25</x:v>
      </x:c>
      <x:c r="W1449" s="28" t="n">
        <x:f>L1449-M1449</x:f>
        <x:v>-1</x:v>
      </x:c>
      <x:c r="X1449" s="24" t="n">
        <x:f>IFERROR(K1449/I1449,0)</x:f>
        <x:v>0.21052631578947367</x:v>
      </x:c>
      <x:c r="Y1449" s="24" t="n">
        <x:f>IFERROR(G1449/I1449,0)</x:f>
        <x:v>0</x:v>
      </x:c>
      <x:c r="Z1449" s="24" t="n">
        <x:f>IFERROR(G1449/K1449,0)</x:f>
        <x:v>0</x:v>
      </x:c>
      <x:c r="AA1449" s="24" t="n">
        <x:f>IFERROR(F1449/H1449,0)-IFERROR(G1449/I1449,0)</x:f>
        <x:v>0.06666666666666667</x:v>
      </x:c>
      <x:c r="AB1449" s="28" t="n">
        <x:f>J1449-K1449</x:f>
        <x:v>0</x:v>
      </x:c>
      <x:c r="AC1449" s="32" t="n">
        <x:f>F1449-G1449</x:f>
        <x:v>1</x:v>
      </x:c>
    </x:row>
    <x:row r="1450">
      <x:c r="A1450" s="4" t="str">
        <x:v>2022-23</x:v>
      </x:c>
      <x:c r="B1450" s="20" t="n">
        <x:v>45054</x:v>
      </x:c>
      <x:c r="C1450" s="4" t="str">
        <x:v>Brighton</x:v>
      </x:c>
      <x:c r="D1450" s="4" t="str">
        <x:v>Everton</x:v>
      </x:c>
      <x:c r="E1450" s="4" t="str">
        <x:v>Home</x:v>
      </x:c>
      <x:c r="F1450" s="28" t="n">
        <x:v>1</x:v>
      </x:c>
      <x:c r="G1450" s="28" t="n">
        <x:v>5</x:v>
      </x:c>
      <x:c r="H1450" s="28" t="n">
        <x:v>23</x:v>
      </x:c>
      <x:c r="I1450" s="28" t="n">
        <x:v>10</x:v>
      </x:c>
      <x:c r="J1450" s="28" t="n">
        <x:v>5</x:v>
      </x:c>
      <x:c r="K1450" s="28" t="n">
        <x:v>5</x:v>
      </x:c>
      <x:c r="L1450" s="28" t="n">
        <x:v>15</x:v>
      </x:c>
      <x:c r="M1450" s="28" t="n">
        <x:v>1</x:v>
      </x:c>
      <x:c r="N1450" s="28" t="n">
        <x:v>1</x:v>
      </x:c>
      <x:c r="O1450" s="28" t="n">
        <x:v>0</x:v>
      </x:c>
      <x:c r="P1450" s="28" t="n">
        <x:v>0</x:v>
      </x:c>
      <x:c r="Q1450" s="24" t="n">
        <x:f>IFERROR(J1450/H1450,0)</x:f>
        <x:v>0.21739130434782608</x:v>
      </x:c>
      <x:c r="R1450" s="24" t="n">
        <x:f>IFERROR(F1450/H1450,0)</x:f>
        <x:v>0.043478260869565216</x:v>
      </x:c>
      <x:c r="S1450" s="24" t="n">
        <x:f>IFERROR(F1450/J1450,0)</x:f>
        <x:v>0.2</x:v>
      </x:c>
      <x:c r="T1450" s="28" t="n">
        <x:f>H1450-I1450</x:f>
        <x:v>13</x:v>
      </x:c>
      <x:c r="U1450" s="24" t="n">
        <x:f>IFERROR(J1450/H1450,0)-IFERROR(K1450/I1450,0)</x:f>
        <x:v>-0.28260869565217395</x:v>
      </x:c>
      <x:c r="V1450" s="24" t="n">
        <x:f>IFERROR(F1450/J1450,0)-IFERROR(G1450/K1450,0)</x:f>
        <x:v>-0.8</x:v>
      </x:c>
      <x:c r="W1450" s="28" t="n">
        <x:f>L1450-M1450</x:f>
        <x:v>14</x:v>
      </x:c>
      <x:c r="X1450" s="24" t="n">
        <x:f>IFERROR(K1450/I1450,0)</x:f>
        <x:v>0.5</x:v>
      </x:c>
      <x:c r="Y1450" s="24" t="n">
        <x:f>IFERROR(G1450/I1450,0)</x:f>
        <x:v>0.5</x:v>
      </x:c>
      <x:c r="Z1450" s="24" t="n">
        <x:f>IFERROR(G1450/K1450,0)</x:f>
        <x:v>1</x:v>
      </x:c>
      <x:c r="AA1450" s="24" t="n">
        <x:f>IFERROR(F1450/H1450,0)-IFERROR(G1450/I1450,0)</x:f>
        <x:v>-0.4565217391304348</x:v>
      </x:c>
      <x:c r="AB1450" s="28" t="n">
        <x:f>J1450-K1450</x:f>
        <x:v>0</x:v>
      </x:c>
      <x:c r="AC1450" s="32" t="n">
        <x:f>F1450-G1450</x:f>
        <x:v>-4</x:v>
      </x:c>
    </x:row>
    <x:row r="1451">
      <x:c r="A1451" s="4" t="str">
        <x:v>2022-23</x:v>
      </x:c>
      <x:c r="B1451" s="20" t="n">
        <x:v>45054</x:v>
      </x:c>
      <x:c r="C1451" s="4" t="str">
        <x:v>Everton</x:v>
      </x:c>
      <x:c r="D1451" s="4" t="str">
        <x:v>Brighton</x:v>
      </x:c>
      <x:c r="E1451" s="4" t="str">
        <x:v>Away</x:v>
      </x:c>
      <x:c r="F1451" s="28" t="n">
        <x:v>5</x:v>
      </x:c>
      <x:c r="G1451" s="28" t="n">
        <x:v>1</x:v>
      </x:c>
      <x:c r="H1451" s="28" t="n">
        <x:v>10</x:v>
      </x:c>
      <x:c r="I1451" s="28" t="n">
        <x:v>23</x:v>
      </x:c>
      <x:c r="J1451" s="28" t="n">
        <x:v>5</x:v>
      </x:c>
      <x:c r="K1451" s="28" t="n">
        <x:v>5</x:v>
      </x:c>
      <x:c r="L1451" s="28" t="n">
        <x:v>1</x:v>
      </x:c>
      <x:c r="M1451" s="28" t="n">
        <x:v>15</x:v>
      </x:c>
      <x:c r="N1451" s="28" t="n">
        <x:v>5</x:v>
      </x:c>
      <x:c r="O1451" s="28" t="n">
        <x:v>0</x:v>
      </x:c>
      <x:c r="P1451" s="28" t="n">
        <x:v>3</x:v>
      </x:c>
      <x:c r="Q1451" s="24" t="n">
        <x:f>IFERROR(J1451/H1451,0)</x:f>
        <x:v>0.5</x:v>
      </x:c>
      <x:c r="R1451" s="24" t="n">
        <x:f>IFERROR(F1451/H1451,0)</x:f>
        <x:v>0.5</x:v>
      </x:c>
      <x:c r="S1451" s="24" t="n">
        <x:f>IFERROR(F1451/J1451,0)</x:f>
        <x:v>1</x:v>
      </x:c>
      <x:c r="T1451" s="28" t="n">
        <x:f>H1451-I1451</x:f>
        <x:v>-13</x:v>
      </x:c>
      <x:c r="U1451" s="24" t="n">
        <x:f>IFERROR(J1451/H1451,0)-IFERROR(K1451/I1451,0)</x:f>
        <x:v>0.28260869565217395</x:v>
      </x:c>
      <x:c r="V1451" s="24" t="n">
        <x:f>IFERROR(F1451/J1451,0)-IFERROR(G1451/K1451,0)</x:f>
        <x:v>0.8</x:v>
      </x:c>
      <x:c r="W1451" s="28" t="n">
        <x:f>L1451-M1451</x:f>
        <x:v>-14</x:v>
      </x:c>
      <x:c r="X1451" s="24" t="n">
        <x:f>IFERROR(K1451/I1451,0)</x:f>
        <x:v>0.21739130434782608</x:v>
      </x:c>
      <x:c r="Y1451" s="24" t="n">
        <x:f>IFERROR(G1451/I1451,0)</x:f>
        <x:v>0.043478260869565216</x:v>
      </x:c>
      <x:c r="Z1451" s="24" t="n">
        <x:f>IFERROR(G1451/K1451,0)</x:f>
        <x:v>0.2</x:v>
      </x:c>
      <x:c r="AA1451" s="24" t="n">
        <x:f>IFERROR(F1451/H1451,0)-IFERROR(G1451/I1451,0)</x:f>
        <x:v>0.4565217391304348</x:v>
      </x:c>
      <x:c r="AB1451" s="28" t="n">
        <x:f>J1451-K1451</x:f>
        <x:v>0</x:v>
      </x:c>
      <x:c r="AC1451" s="32" t="n">
        <x:f>F1451-G1451</x:f>
        <x:v>4</x:v>
      </x:c>
    </x:row>
    <x:row r="1452">
      <x:c r="A1452" s="4" t="str">
        <x:v>2022-23</x:v>
      </x:c>
      <x:c r="B1452" s="20" t="n">
        <x:v>45054</x:v>
      </x:c>
      <x:c r="C1452" s="4" t="str">
        <x:v>Fulham</x:v>
      </x:c>
      <x:c r="D1452" s="4" t="str">
        <x:v>Leicester</x:v>
      </x:c>
      <x:c r="E1452" s="4" t="str">
        <x:v>Home</x:v>
      </x:c>
      <x:c r="F1452" s="28" t="n">
        <x:v>5</x:v>
      </x:c>
      <x:c r="G1452" s="28" t="n">
        <x:v>3</x:v>
      </x:c>
      <x:c r="H1452" s="28" t="n">
        <x:v>17</x:v>
      </x:c>
      <x:c r="I1452" s="28" t="n">
        <x:v>18</x:v>
      </x:c>
      <x:c r="J1452" s="28" t="n">
        <x:v>7</x:v>
      </x:c>
      <x:c r="K1452" s="28" t="n">
        <x:v>9</x:v>
      </x:c>
      <x:c r="L1452" s="28" t="n">
        <x:v>2</x:v>
      </x:c>
      <x:c r="M1452" s="28" t="n">
        <x:v>7</x:v>
      </x:c>
      <x:c r="N1452" s="28" t="n">
        <x:v>0</x:v>
      </x:c>
      <x:c r="O1452" s="28" t="n">
        <x:v>0</x:v>
      </x:c>
      <x:c r="P1452" s="28" t="n">
        <x:v>3</x:v>
      </x:c>
      <x:c r="Q1452" s="24" t="n">
        <x:f>IFERROR(J1452/H1452,0)</x:f>
        <x:v>0.4117647058823529</x:v>
      </x:c>
      <x:c r="R1452" s="24" t="n">
        <x:f>IFERROR(F1452/H1452,0)</x:f>
        <x:v>0.29411764705882354</x:v>
      </x:c>
      <x:c r="S1452" s="24" t="n">
        <x:f>IFERROR(F1452/J1452,0)</x:f>
        <x:v>0.7142857142857143</x:v>
      </x:c>
      <x:c r="T1452" s="28" t="n">
        <x:f>H1452-I1452</x:f>
        <x:v>-1</x:v>
      </x:c>
      <x:c r="U1452" s="24" t="n">
        <x:f>IFERROR(J1452/H1452,0)-IFERROR(K1452/I1452,0)</x:f>
        <x:v>-0.08823529411764708</x:v>
      </x:c>
      <x:c r="V1452" s="24" t="n">
        <x:f>IFERROR(F1452/J1452,0)-IFERROR(G1452/K1452,0)</x:f>
        <x:v>0.380952380952381</x:v>
      </x:c>
      <x:c r="W1452" s="28" t="n">
        <x:f>L1452-M1452</x:f>
        <x:v>-5</x:v>
      </x:c>
      <x:c r="X1452" s="24" t="n">
        <x:f>IFERROR(K1452/I1452,0)</x:f>
        <x:v>0.5</x:v>
      </x:c>
      <x:c r="Y1452" s="24" t="n">
        <x:f>IFERROR(G1452/I1452,0)</x:f>
        <x:v>0.16666666666666666</x:v>
      </x:c>
      <x:c r="Z1452" s="24" t="n">
        <x:f>IFERROR(G1452/K1452,0)</x:f>
        <x:v>0.3333333333333333</x:v>
      </x:c>
      <x:c r="AA1452" s="24" t="n">
        <x:f>IFERROR(F1452/H1452,0)-IFERROR(G1452/I1452,0)</x:f>
        <x:v>0.12745098039215688</x:v>
      </x:c>
      <x:c r="AB1452" s="28" t="n">
        <x:f>J1452-K1452</x:f>
        <x:v>-2</x:v>
      </x:c>
      <x:c r="AC1452" s="32" t="n">
        <x:f>F1452-G1452</x:f>
        <x:v>2</x:v>
      </x:c>
    </x:row>
    <x:row r="1453">
      <x:c r="A1453" s="4" t="str">
        <x:v>2022-23</x:v>
      </x:c>
      <x:c r="B1453" s="20" t="n">
        <x:v>45054</x:v>
      </x:c>
      <x:c r="C1453" s="4" t="str">
        <x:v>Leicester</x:v>
      </x:c>
      <x:c r="D1453" s="4" t="str">
        <x:v>Fulham</x:v>
      </x:c>
      <x:c r="E1453" s="4" t="str">
        <x:v>Away</x:v>
      </x:c>
      <x:c r="F1453" s="28" t="n">
        <x:v>3</x:v>
      </x:c>
      <x:c r="G1453" s="28" t="n">
        <x:v>5</x:v>
      </x:c>
      <x:c r="H1453" s="28" t="n">
        <x:v>18</x:v>
      </x:c>
      <x:c r="I1453" s="28" t="n">
        <x:v>17</x:v>
      </x:c>
      <x:c r="J1453" s="28" t="n">
        <x:v>9</x:v>
      </x:c>
      <x:c r="K1453" s="28" t="n">
        <x:v>7</x:v>
      </x:c>
      <x:c r="L1453" s="28" t="n">
        <x:v>7</x:v>
      </x:c>
      <x:c r="M1453" s="28" t="n">
        <x:v>2</x:v>
      </x:c>
      <x:c r="N1453" s="28" t="n">
        <x:v>3</x:v>
      </x:c>
      <x:c r="O1453" s="28" t="n">
        <x:v>0</x:v>
      </x:c>
      <x:c r="P1453" s="28" t="n">
        <x:v>0</x:v>
      </x:c>
      <x:c r="Q1453" s="24" t="n">
        <x:f>IFERROR(J1453/H1453,0)</x:f>
        <x:v>0.5</x:v>
      </x:c>
      <x:c r="R1453" s="24" t="n">
        <x:f>IFERROR(F1453/H1453,0)</x:f>
        <x:v>0.16666666666666666</x:v>
      </x:c>
      <x:c r="S1453" s="24" t="n">
        <x:f>IFERROR(F1453/J1453,0)</x:f>
        <x:v>0.3333333333333333</x:v>
      </x:c>
      <x:c r="T1453" s="28" t="n">
        <x:f>H1453-I1453</x:f>
        <x:v>1</x:v>
      </x:c>
      <x:c r="U1453" s="24" t="n">
        <x:f>IFERROR(J1453/H1453,0)-IFERROR(K1453/I1453,0)</x:f>
        <x:v>0.08823529411764708</x:v>
      </x:c>
      <x:c r="V1453" s="24" t="n">
        <x:f>IFERROR(F1453/J1453,0)-IFERROR(G1453/K1453,0)</x:f>
        <x:v>-0.380952380952381</x:v>
      </x:c>
      <x:c r="W1453" s="28" t="n">
        <x:f>L1453-M1453</x:f>
        <x:v>5</x:v>
      </x:c>
      <x:c r="X1453" s="24" t="n">
        <x:f>IFERROR(K1453/I1453,0)</x:f>
        <x:v>0.4117647058823529</x:v>
      </x:c>
      <x:c r="Y1453" s="24" t="n">
        <x:f>IFERROR(G1453/I1453,0)</x:f>
        <x:v>0.29411764705882354</x:v>
      </x:c>
      <x:c r="Z1453" s="24" t="n">
        <x:f>IFERROR(G1453/K1453,0)</x:f>
        <x:v>0.7142857142857143</x:v>
      </x:c>
      <x:c r="AA1453" s="24" t="n">
        <x:f>IFERROR(F1453/H1453,0)-IFERROR(G1453/I1453,0)</x:f>
        <x:v>-0.12745098039215688</x:v>
      </x:c>
      <x:c r="AB1453" s="28" t="n">
        <x:f>J1453-K1453</x:f>
        <x:v>2</x:v>
      </x:c>
      <x:c r="AC1453" s="32" t="n">
        <x:f>F1453-G1453</x:f>
        <x:v>-2</x:v>
      </x:c>
    </x:row>
    <x:row r="1454">
      <x:c r="A1454" s="4" t="str">
        <x:v>2022-23</x:v>
      </x:c>
      <x:c r="B1454" s="20" t="n">
        <x:v>45054</x:v>
      </x:c>
      <x:c r="C1454" s="4" t="str">
        <x:v>Nott'm Forest</x:v>
      </x:c>
      <x:c r="D1454" s="4" t="str">
        <x:v>Southampton</x:v>
      </x:c>
      <x:c r="E1454" s="4" t="str">
        <x:v>Home</x:v>
      </x:c>
      <x:c r="F1454" s="28" t="n">
        <x:v>4</x:v>
      </x:c>
      <x:c r="G1454" s="28" t="n">
        <x:v>3</x:v>
      </x:c>
      <x:c r="H1454" s="28" t="n">
        <x:v>9</x:v>
      </x:c>
      <x:c r="I1454" s="28" t="n">
        <x:v>19</x:v>
      </x:c>
      <x:c r="J1454" s="28" t="n">
        <x:v>4</x:v>
      </x:c>
      <x:c r="K1454" s="28" t="n">
        <x:v>5</x:v>
      </x:c>
      <x:c r="L1454" s="28" t="n">
        <x:v>2</x:v>
      </x:c>
      <x:c r="M1454" s="28" t="n">
        <x:v>11</x:v>
      </x:c>
      <x:c r="N1454" s="28" t="n">
        <x:v>1</x:v>
      </x:c>
      <x:c r="O1454" s="28" t="n">
        <x:v>0</x:v>
      </x:c>
      <x:c r="P1454" s="28" t="n">
        <x:v>3</x:v>
      </x:c>
      <x:c r="Q1454" s="24" t="n">
        <x:f>IFERROR(J1454/H1454,0)</x:f>
        <x:v>0.4444444444444444</x:v>
      </x:c>
      <x:c r="R1454" s="24" t="n">
        <x:f>IFERROR(F1454/H1454,0)</x:f>
        <x:v>0.4444444444444444</x:v>
      </x:c>
      <x:c r="S1454" s="24" t="n">
        <x:f>IFERROR(F1454/J1454,0)</x:f>
        <x:v>1</x:v>
      </x:c>
      <x:c r="T1454" s="28" t="n">
        <x:f>H1454-I1454</x:f>
        <x:v>-10</x:v>
      </x:c>
      <x:c r="U1454" s="24" t="n">
        <x:f>IFERROR(J1454/H1454,0)-IFERROR(K1454/I1454,0)</x:f>
        <x:v>0.18128654970760233</x:v>
      </x:c>
      <x:c r="V1454" s="24" t="n">
        <x:f>IFERROR(F1454/J1454,0)-IFERROR(G1454/K1454,0)</x:f>
        <x:v>0.4</x:v>
      </x:c>
      <x:c r="W1454" s="28" t="n">
        <x:f>L1454-M1454</x:f>
        <x:v>-9</x:v>
      </x:c>
      <x:c r="X1454" s="24" t="n">
        <x:f>IFERROR(K1454/I1454,0)</x:f>
        <x:v>0.2631578947368421</x:v>
      </x:c>
      <x:c r="Y1454" s="24" t="n">
        <x:f>IFERROR(G1454/I1454,0)</x:f>
        <x:v>0.15789473684210525</x:v>
      </x:c>
      <x:c r="Z1454" s="24" t="n">
        <x:f>IFERROR(G1454/K1454,0)</x:f>
        <x:v>0.6</x:v>
      </x:c>
      <x:c r="AA1454" s="24" t="n">
        <x:f>IFERROR(F1454/H1454,0)-IFERROR(G1454/I1454,0)</x:f>
        <x:v>0.28654970760233917</x:v>
      </x:c>
      <x:c r="AB1454" s="28" t="n">
        <x:f>J1454-K1454</x:f>
        <x:v>-1</x:v>
      </x:c>
      <x:c r="AC1454" s="32" t="n">
        <x:f>F1454-G1454</x:f>
        <x:v>1</x:v>
      </x:c>
    </x:row>
    <x:row r="1455">
      <x:c r="A1455" s="4" t="str">
        <x:v>2022-23</x:v>
      </x:c>
      <x:c r="B1455" s="20" t="n">
        <x:v>45054</x:v>
      </x:c>
      <x:c r="C1455" s="4" t="str">
        <x:v>Southampton</x:v>
      </x:c>
      <x:c r="D1455" s="4" t="str">
        <x:v>Nott'm Forest</x:v>
      </x:c>
      <x:c r="E1455" s="4" t="str">
        <x:v>Away</x:v>
      </x:c>
      <x:c r="F1455" s="28" t="n">
        <x:v>3</x:v>
      </x:c>
      <x:c r="G1455" s="28" t="n">
        <x:v>4</x:v>
      </x:c>
      <x:c r="H1455" s="28" t="n">
        <x:v>19</x:v>
      </x:c>
      <x:c r="I1455" s="28" t="n">
        <x:v>9</x:v>
      </x:c>
      <x:c r="J1455" s="28" t="n">
        <x:v>5</x:v>
      </x:c>
      <x:c r="K1455" s="28" t="n">
        <x:v>4</x:v>
      </x:c>
      <x:c r="L1455" s="28" t="n">
        <x:v>11</x:v>
      </x:c>
      <x:c r="M1455" s="28" t="n">
        <x:v>2</x:v>
      </x:c>
      <x:c r="N1455" s="28" t="n">
        <x:v>0</x:v>
      </x:c>
      <x:c r="O1455" s="28" t="n">
        <x:v>0</x:v>
      </x:c>
      <x:c r="P1455" s="28" t="n">
        <x:v>0</x:v>
      </x:c>
      <x:c r="Q1455" s="24" t="n">
        <x:f>IFERROR(J1455/H1455,0)</x:f>
        <x:v>0.2631578947368421</x:v>
      </x:c>
      <x:c r="R1455" s="24" t="n">
        <x:f>IFERROR(F1455/H1455,0)</x:f>
        <x:v>0.15789473684210525</x:v>
      </x:c>
      <x:c r="S1455" s="24" t="n">
        <x:f>IFERROR(F1455/J1455,0)</x:f>
        <x:v>0.6</x:v>
      </x:c>
      <x:c r="T1455" s="28" t="n">
        <x:f>H1455-I1455</x:f>
        <x:v>10</x:v>
      </x:c>
      <x:c r="U1455" s="24" t="n">
        <x:f>IFERROR(J1455/H1455,0)-IFERROR(K1455/I1455,0)</x:f>
        <x:v>-0.18128654970760233</x:v>
      </x:c>
      <x:c r="V1455" s="24" t="n">
        <x:f>IFERROR(F1455/J1455,0)-IFERROR(G1455/K1455,0)</x:f>
        <x:v>-0.4</x:v>
      </x:c>
      <x:c r="W1455" s="28" t="n">
        <x:f>L1455-M1455</x:f>
        <x:v>9</x:v>
      </x:c>
      <x:c r="X1455" s="24" t="n">
        <x:f>IFERROR(K1455/I1455,0)</x:f>
        <x:v>0.4444444444444444</x:v>
      </x:c>
      <x:c r="Y1455" s="24" t="n">
        <x:f>IFERROR(G1455/I1455,0)</x:f>
        <x:v>0.4444444444444444</x:v>
      </x:c>
      <x:c r="Z1455" s="24" t="n">
        <x:f>IFERROR(G1455/K1455,0)</x:f>
        <x:v>1</x:v>
      </x:c>
      <x:c r="AA1455" s="24" t="n">
        <x:f>IFERROR(F1455/H1455,0)-IFERROR(G1455/I1455,0)</x:f>
        <x:v>-0.28654970760233917</x:v>
      </x:c>
      <x:c r="AB1455" s="28" t="n">
        <x:f>J1455-K1455</x:f>
        <x:v>1</x:v>
      </x:c>
      <x:c r="AC1455" s="32" t="n">
        <x:f>F1455-G1455</x:f>
        <x:v>-1</x:v>
      </x:c>
    </x:row>
    <x:row r="1456">
      <x:c r="A1456" s="4" t="str">
        <x:v>2022-23</x:v>
      </x:c>
      <x:c r="B1456" s="20" t="n">
        <x:v>45059</x:v>
      </x:c>
      <x:c r="C1456" s="4" t="str">
        <x:v>Aston Villa</x:v>
      </x:c>
      <x:c r="D1456" s="4" t="str">
        <x:v>Tottenham</x:v>
      </x:c>
      <x:c r="E1456" s="4" t="str">
        <x:v>Home</x:v>
      </x:c>
      <x:c r="F1456" s="28" t="n">
        <x:v>2</x:v>
      </x:c>
      <x:c r="G1456" s="28" t="n">
        <x:v>1</x:v>
      </x:c>
      <x:c r="H1456" s="28" t="n">
        <x:v>8</x:v>
      </x:c>
      <x:c r="I1456" s="28" t="n">
        <x:v>5</x:v>
      </x:c>
      <x:c r="J1456" s="28" t="n">
        <x:v>4</x:v>
      </x:c>
      <x:c r="K1456" s="28" t="n">
        <x:v>2</x:v>
      </x:c>
      <x:c r="L1456" s="28" t="n">
        <x:v>8</x:v>
      </x:c>
      <x:c r="M1456" s="28" t="n">
        <x:v>3</x:v>
      </x:c>
      <x:c r="N1456" s="28" t="n">
        <x:v>3</x:v>
      </x:c>
      <x:c r="O1456" s="28" t="n">
        <x:v>0</x:v>
      </x:c>
      <x:c r="P1456" s="28" t="n">
        <x:v>3</x:v>
      </x:c>
      <x:c r="Q1456" s="24" t="n">
        <x:f>IFERROR(J1456/H1456,0)</x:f>
        <x:v>0.5</x:v>
      </x:c>
      <x:c r="R1456" s="24" t="n">
        <x:f>IFERROR(F1456/H1456,0)</x:f>
        <x:v>0.25</x:v>
      </x:c>
      <x:c r="S1456" s="24" t="n">
        <x:f>IFERROR(F1456/J1456,0)</x:f>
        <x:v>0.5</x:v>
      </x:c>
      <x:c r="T1456" s="28" t="n">
        <x:f>H1456-I1456</x:f>
        <x:v>3</x:v>
      </x:c>
      <x:c r="U1456" s="24" t="n">
        <x:f>IFERROR(J1456/H1456,0)-IFERROR(K1456/I1456,0)</x:f>
        <x:v>0.09999999999999998</x:v>
      </x:c>
      <x:c r="V1456" s="24" t="n">
        <x:f>IFERROR(F1456/J1456,0)-IFERROR(G1456/K1456,0)</x:f>
        <x:v>0</x:v>
      </x:c>
      <x:c r="W1456" s="28" t="n">
        <x:f>L1456-M1456</x:f>
        <x:v>5</x:v>
      </x:c>
      <x:c r="X1456" s="24" t="n">
        <x:f>IFERROR(K1456/I1456,0)</x:f>
        <x:v>0.4</x:v>
      </x:c>
      <x:c r="Y1456" s="24" t="n">
        <x:f>IFERROR(G1456/I1456,0)</x:f>
        <x:v>0.2</x:v>
      </x:c>
      <x:c r="Z1456" s="24" t="n">
        <x:f>IFERROR(G1456/K1456,0)</x:f>
        <x:v>0.5</x:v>
      </x:c>
      <x:c r="AA1456" s="24" t="n">
        <x:f>IFERROR(F1456/H1456,0)-IFERROR(G1456/I1456,0)</x:f>
        <x:v>0.04999999999999999</x:v>
      </x:c>
      <x:c r="AB1456" s="28" t="n">
        <x:f>J1456-K1456</x:f>
        <x:v>2</x:v>
      </x:c>
      <x:c r="AC1456" s="32" t="n">
        <x:f>F1456-G1456</x:f>
        <x:v>1</x:v>
      </x:c>
    </x:row>
    <x:row r="1457">
      <x:c r="A1457" s="4" t="str">
        <x:v>2022-23</x:v>
      </x:c>
      <x:c r="B1457" s="20" t="n">
        <x:v>45059</x:v>
      </x:c>
      <x:c r="C1457" s="4" t="str">
        <x:v>Bournemouth</x:v>
      </x:c>
      <x:c r="D1457" s="4" t="str">
        <x:v>Crystal Palace</x:v>
      </x:c>
      <x:c r="E1457" s="4" t="str">
        <x:v>Away</x:v>
      </x:c>
      <x:c r="F1457" s="28" t="n">
        <x:v>0</x:v>
      </x:c>
      <x:c r="G1457" s="28" t="n">
        <x:v>2</x:v>
      </x:c>
      <x:c r="H1457" s="28" t="n">
        <x:v>5</x:v>
      </x:c>
      <x:c r="I1457" s="28" t="n">
        <x:v>17</x:v>
      </x:c>
      <x:c r="J1457" s="28" t="n">
        <x:v>0</x:v>
      </x:c>
      <x:c r="K1457" s="28" t="n">
        <x:v>5</x:v>
      </x:c>
      <x:c r="L1457" s="28" t="n">
        <x:v>2</x:v>
      </x:c>
      <x:c r="M1457" s="28" t="n">
        <x:v>11</x:v>
      </x:c>
      <x:c r="N1457" s="28" t="n">
        <x:v>2</x:v>
      </x:c>
      <x:c r="O1457" s="28" t="n">
        <x:v>0</x:v>
      </x:c>
      <x:c r="P1457" s="28" t="n">
        <x:v>0</x:v>
      </x:c>
      <x:c r="Q1457" s="24" t="n">
        <x:f>IFERROR(J1457/H1457,0)</x:f>
        <x:v>0</x:v>
      </x:c>
      <x:c r="R1457" s="24" t="n">
        <x:f>IFERROR(F1457/H1457,0)</x:f>
        <x:v>0</x:v>
      </x:c>
      <x:c r="S1457" s="24" t="n">
        <x:f>IFERROR(F1457/J1457,0)</x:f>
        <x:v>0</x:v>
      </x:c>
      <x:c r="T1457" s="28" t="n">
        <x:f>H1457-I1457</x:f>
        <x:v>-12</x:v>
      </x:c>
      <x:c r="U1457" s="24" t="n">
        <x:f>IFERROR(J1457/H1457,0)-IFERROR(K1457/I1457,0)</x:f>
        <x:v>-0.29411764705882354</x:v>
      </x:c>
      <x:c r="V1457" s="24" t="n">
        <x:f>IFERROR(F1457/J1457,0)-IFERROR(G1457/K1457,0)</x:f>
        <x:v>-0.4</x:v>
      </x:c>
      <x:c r="W1457" s="28" t="n">
        <x:f>L1457-M1457</x:f>
        <x:v>-9</x:v>
      </x:c>
      <x:c r="X1457" s="24" t="n">
        <x:f>IFERROR(K1457/I1457,0)</x:f>
        <x:v>0.29411764705882354</x:v>
      </x:c>
      <x:c r="Y1457" s="24" t="n">
        <x:f>IFERROR(G1457/I1457,0)</x:f>
        <x:v>0.11764705882352941</x:v>
      </x:c>
      <x:c r="Z1457" s="24" t="n">
        <x:f>IFERROR(G1457/K1457,0)</x:f>
        <x:v>0.4</x:v>
      </x:c>
      <x:c r="AA1457" s="24" t="n">
        <x:f>IFERROR(F1457/H1457,0)-IFERROR(G1457/I1457,0)</x:f>
        <x:v>-0.11764705882352941</x:v>
      </x:c>
      <x:c r="AB1457" s="28" t="n">
        <x:f>J1457-K1457</x:f>
        <x:v>-5</x:v>
      </x:c>
      <x:c r="AC1457" s="32" t="n">
        <x:f>F1457-G1457</x:f>
        <x:v>-2</x:v>
      </x:c>
    </x:row>
    <x:row r="1458">
      <x:c r="A1458" s="4" t="str">
        <x:v>2022-23</x:v>
      </x:c>
      <x:c r="B1458" s="20" t="n">
        <x:v>45059</x:v>
      </x:c>
      <x:c r="C1458" s="4" t="str">
        <x:v>Chelsea</x:v>
      </x:c>
      <x:c r="D1458" s="4" t="str">
        <x:v>Nott'm Forest</x:v>
      </x:c>
      <x:c r="E1458" s="4" t="str">
        <x:v>Home</x:v>
      </x:c>
      <x:c r="F1458" s="28" t="n">
        <x:v>2</x:v>
      </x:c>
      <x:c r="G1458" s="28" t="n">
        <x:v>2</x:v>
      </x:c>
      <x:c r="H1458" s="28" t="n">
        <x:v>14</x:v>
      </x:c>
      <x:c r="I1458" s="28" t="n">
        <x:v>11</x:v>
      </x:c>
      <x:c r="J1458" s="28" t="n">
        <x:v>6</x:v>
      </x:c>
      <x:c r="K1458" s="28" t="n">
        <x:v>2</x:v>
      </x:c>
      <x:c r="L1458" s="28" t="n">
        <x:v>2</x:v>
      </x:c>
      <x:c r="M1458" s="28" t="n">
        <x:v>5</x:v>
      </x:c>
      <x:c r="N1458" s="28" t="n">
        <x:v>3</x:v>
      </x:c>
      <x:c r="O1458" s="28" t="n">
        <x:v>0</x:v>
      </x:c>
      <x:c r="P1458" s="28" t="n">
        <x:v>1</x:v>
      </x:c>
      <x:c r="Q1458" s="24" t="n">
        <x:f>IFERROR(J1458/H1458,0)</x:f>
        <x:v>0.42857142857142855</x:v>
      </x:c>
      <x:c r="R1458" s="24" t="n">
        <x:f>IFERROR(F1458/H1458,0)</x:f>
        <x:v>0.14285714285714285</x:v>
      </x:c>
      <x:c r="S1458" s="24" t="n">
        <x:f>IFERROR(F1458/J1458,0)</x:f>
        <x:v>0.3333333333333333</x:v>
      </x:c>
      <x:c r="T1458" s="28" t="n">
        <x:f>H1458-I1458</x:f>
        <x:v>3</x:v>
      </x:c>
      <x:c r="U1458" s="24" t="n">
        <x:f>IFERROR(J1458/H1458,0)-IFERROR(K1458/I1458,0)</x:f>
        <x:v>0.24675324675324672</x:v>
      </x:c>
      <x:c r="V1458" s="24" t="n">
        <x:f>IFERROR(F1458/J1458,0)-IFERROR(G1458/K1458,0)</x:f>
        <x:v>-0.6666666666666667</x:v>
      </x:c>
      <x:c r="W1458" s="28" t="n">
        <x:f>L1458-M1458</x:f>
        <x:v>-3</x:v>
      </x:c>
      <x:c r="X1458" s="24" t="n">
        <x:f>IFERROR(K1458/I1458,0)</x:f>
        <x:v>0.18181818181818182</x:v>
      </x:c>
      <x:c r="Y1458" s="24" t="n">
        <x:f>IFERROR(G1458/I1458,0)</x:f>
        <x:v>0.18181818181818182</x:v>
      </x:c>
      <x:c r="Z1458" s="24" t="n">
        <x:f>IFERROR(G1458/K1458,0)</x:f>
        <x:v>1</x:v>
      </x:c>
      <x:c r="AA1458" s="24" t="n">
        <x:f>IFERROR(F1458/H1458,0)-IFERROR(G1458/I1458,0)</x:f>
        <x:v>-0.038961038961038974</x:v>
      </x:c>
      <x:c r="AB1458" s="28" t="n">
        <x:f>J1458-K1458</x:f>
        <x:v>4</x:v>
      </x:c>
      <x:c r="AC1458" s="32" t="n">
        <x:f>F1458-G1458</x:f>
        <x:v>0</x:v>
      </x:c>
    </x:row>
    <x:row r="1459">
      <x:c r="A1459" s="4" t="str">
        <x:v>2022-23</x:v>
      </x:c>
      <x:c r="B1459" s="20" t="n">
        <x:v>45059</x:v>
      </x:c>
      <x:c r="C1459" s="4" t="str">
        <x:v>Crystal Palace</x:v>
      </x:c>
      <x:c r="D1459" s="4" t="str">
        <x:v>Bournemouth</x:v>
      </x:c>
      <x:c r="E1459" s="4" t="str">
        <x:v>Home</x:v>
      </x:c>
      <x:c r="F1459" s="28" t="n">
        <x:v>2</x:v>
      </x:c>
      <x:c r="G1459" s="28" t="n">
        <x:v>0</x:v>
      </x:c>
      <x:c r="H1459" s="28" t="n">
        <x:v>17</x:v>
      </x:c>
      <x:c r="I1459" s="28" t="n">
        <x:v>5</x:v>
      </x:c>
      <x:c r="J1459" s="28" t="n">
        <x:v>5</x:v>
      </x:c>
      <x:c r="K1459" s="28" t="n">
        <x:v>0</x:v>
      </x:c>
      <x:c r="L1459" s="28" t="n">
        <x:v>11</x:v>
      </x:c>
      <x:c r="M1459" s="28" t="n">
        <x:v>2</x:v>
      </x:c>
      <x:c r="N1459" s="28" t="n">
        <x:v>0</x:v>
      </x:c>
      <x:c r="O1459" s="28" t="n">
        <x:v>0</x:v>
      </x:c>
      <x:c r="P1459" s="28" t="n">
        <x:v>3</x:v>
      </x:c>
      <x:c r="Q1459" s="24" t="n">
        <x:f>IFERROR(J1459/H1459,0)</x:f>
        <x:v>0.29411764705882354</x:v>
      </x:c>
      <x:c r="R1459" s="24" t="n">
        <x:f>IFERROR(F1459/H1459,0)</x:f>
        <x:v>0.11764705882352941</x:v>
      </x:c>
      <x:c r="S1459" s="24" t="n">
        <x:f>IFERROR(F1459/J1459,0)</x:f>
        <x:v>0.4</x:v>
      </x:c>
      <x:c r="T1459" s="28" t="n">
        <x:f>H1459-I1459</x:f>
        <x:v>12</x:v>
      </x:c>
      <x:c r="U1459" s="24" t="n">
        <x:f>IFERROR(J1459/H1459,0)-IFERROR(K1459/I1459,0)</x:f>
        <x:v>0.29411764705882354</x:v>
      </x:c>
      <x:c r="V1459" s="24" t="n">
        <x:f>IFERROR(F1459/J1459,0)-IFERROR(G1459/K1459,0)</x:f>
        <x:v>0.4</x:v>
      </x:c>
      <x:c r="W1459" s="28" t="n">
        <x:f>L1459-M1459</x:f>
        <x:v>9</x:v>
      </x:c>
      <x:c r="X1459" s="24" t="n">
        <x:f>IFERROR(K1459/I1459,0)</x:f>
        <x:v>0</x:v>
      </x:c>
      <x:c r="Y1459" s="24" t="n">
        <x:f>IFERROR(G1459/I1459,0)</x:f>
        <x:v>0</x:v>
      </x:c>
      <x:c r="Z1459" s="24" t="n">
        <x:f>IFERROR(G1459/K1459,0)</x:f>
        <x:v>0</x:v>
      </x:c>
      <x:c r="AA1459" s="24" t="n">
        <x:f>IFERROR(F1459/H1459,0)-IFERROR(G1459/I1459,0)</x:f>
        <x:v>0.11764705882352941</x:v>
      </x:c>
      <x:c r="AB1459" s="28" t="n">
        <x:f>J1459-K1459</x:f>
        <x:v>5</x:v>
      </x:c>
      <x:c r="AC1459" s="32" t="n">
        <x:f>F1459-G1459</x:f>
        <x:v>2</x:v>
      </x:c>
    </x:row>
    <x:row r="1460">
      <x:c r="A1460" s="4" t="str">
        <x:v>2022-23</x:v>
      </x:c>
      <x:c r="B1460" s="20" t="n">
        <x:v>45059</x:v>
      </x:c>
      <x:c r="C1460" s="4" t="str">
        <x:v>Fulham</x:v>
      </x:c>
      <x:c r="D1460" s="4" t="str">
        <x:v>Southampton</x:v>
      </x:c>
      <x:c r="E1460" s="4" t="str">
        <x:v>Away</x:v>
      </x:c>
      <x:c r="F1460" s="28" t="n">
        <x:v>2</x:v>
      </x:c>
      <x:c r="G1460" s="28" t="n">
        <x:v>0</x:v>
      </x:c>
      <x:c r="H1460" s="28" t="n">
        <x:v>9</x:v>
      </x:c>
      <x:c r="I1460" s="28" t="n">
        <x:v>5</x:v>
      </x:c>
      <x:c r="J1460" s="28" t="n">
        <x:v>4</x:v>
      </x:c>
      <x:c r="K1460" s="28" t="n">
        <x:v>1</x:v>
      </x:c>
      <x:c r="L1460" s="28" t="n">
        <x:v>8</x:v>
      </x:c>
      <x:c r="M1460" s="28" t="n">
        <x:v>1</x:v>
      </x:c>
      <x:c r="N1460" s="28" t="n">
        <x:v>0</x:v>
      </x:c>
      <x:c r="O1460" s="28" t="n">
        <x:v>0</x:v>
      </x:c>
      <x:c r="P1460" s="28" t="n">
        <x:v>3</x:v>
      </x:c>
      <x:c r="Q1460" s="24" t="n">
        <x:f>IFERROR(J1460/H1460,0)</x:f>
        <x:v>0.4444444444444444</x:v>
      </x:c>
      <x:c r="R1460" s="24" t="n">
        <x:f>IFERROR(F1460/H1460,0)</x:f>
        <x:v>0.2222222222222222</x:v>
      </x:c>
      <x:c r="S1460" s="24" t="n">
        <x:f>IFERROR(F1460/J1460,0)</x:f>
        <x:v>0.5</x:v>
      </x:c>
      <x:c r="T1460" s="28" t="n">
        <x:f>H1460-I1460</x:f>
        <x:v>4</x:v>
      </x:c>
      <x:c r="U1460" s="24" t="n">
        <x:f>IFERROR(J1460/H1460,0)-IFERROR(K1460/I1460,0)</x:f>
        <x:v>0.2444444444444444</x:v>
      </x:c>
      <x:c r="V1460" s="24" t="n">
        <x:f>IFERROR(F1460/J1460,0)-IFERROR(G1460/K1460,0)</x:f>
        <x:v>0.5</x:v>
      </x:c>
      <x:c r="W1460" s="28" t="n">
        <x:f>L1460-M1460</x:f>
        <x:v>7</x:v>
      </x:c>
      <x:c r="X1460" s="24" t="n">
        <x:f>IFERROR(K1460/I1460,0)</x:f>
        <x:v>0.2</x:v>
      </x:c>
      <x:c r="Y1460" s="24" t="n">
        <x:f>IFERROR(G1460/I1460,0)</x:f>
        <x:v>0</x:v>
      </x:c>
      <x:c r="Z1460" s="24" t="n">
        <x:f>IFERROR(G1460/K1460,0)</x:f>
        <x:v>0</x:v>
      </x:c>
      <x:c r="AA1460" s="24" t="n">
        <x:f>IFERROR(F1460/H1460,0)-IFERROR(G1460/I1460,0)</x:f>
        <x:v>0.2222222222222222</x:v>
      </x:c>
      <x:c r="AB1460" s="28" t="n">
        <x:f>J1460-K1460</x:f>
        <x:v>3</x:v>
      </x:c>
      <x:c r="AC1460" s="32" t="n">
        <x:f>F1460-G1460</x:f>
        <x:v>2</x:v>
      </x:c>
    </x:row>
    <x:row r="1461">
      <x:c r="A1461" s="4" t="str">
        <x:v>2022-23</x:v>
      </x:c>
      <x:c r="B1461" s="20" t="n">
        <x:v>45059</x:v>
      </x:c>
      <x:c r="C1461" s="4" t="str">
        <x:v>Leeds</x:v>
      </x:c>
      <x:c r="D1461" s="4" t="str">
        <x:v>Newcastle</x:v>
      </x:c>
      <x:c r="E1461" s="4" t="str">
        <x:v>Home</x:v>
      </x:c>
      <x:c r="F1461" s="28" t="n">
        <x:v>2</x:v>
      </x:c>
      <x:c r="G1461" s="28" t="n">
        <x:v>2</x:v>
      </x:c>
      <x:c r="H1461" s="28" t="n">
        <x:v>9</x:v>
      </x:c>
      <x:c r="I1461" s="28" t="n">
        <x:v>18</x:v>
      </x:c>
      <x:c r="J1461" s="28" t="n">
        <x:v>4</x:v>
      </x:c>
      <x:c r="K1461" s="28" t="n">
        <x:v>5</x:v>
      </x:c>
      <x:c r="L1461" s="28" t="n">
        <x:v>2</x:v>
      </x:c>
      <x:c r="M1461" s="28" t="n">
        <x:v>6</x:v>
      </x:c>
      <x:c r="N1461" s="28" t="n">
        <x:v>3</x:v>
      </x:c>
      <x:c r="O1461" s="28" t="n">
        <x:v>1</x:v>
      </x:c>
      <x:c r="P1461" s="28" t="n">
        <x:v>1</x:v>
      </x:c>
      <x:c r="Q1461" s="24" t="n">
        <x:f>IFERROR(J1461/H1461,0)</x:f>
        <x:v>0.4444444444444444</x:v>
      </x:c>
      <x:c r="R1461" s="24" t="n">
        <x:f>IFERROR(F1461/H1461,0)</x:f>
        <x:v>0.2222222222222222</x:v>
      </x:c>
      <x:c r="S1461" s="24" t="n">
        <x:f>IFERROR(F1461/J1461,0)</x:f>
        <x:v>0.5</x:v>
      </x:c>
      <x:c r="T1461" s="28" t="n">
        <x:f>H1461-I1461</x:f>
        <x:v>-9</x:v>
      </x:c>
      <x:c r="U1461" s="24" t="n">
        <x:f>IFERROR(J1461/H1461,0)-IFERROR(K1461/I1461,0)</x:f>
        <x:v>0.16666666666666663</x:v>
      </x:c>
      <x:c r="V1461" s="24" t="n">
        <x:f>IFERROR(F1461/J1461,0)-IFERROR(G1461/K1461,0)</x:f>
        <x:v>0.09999999999999998</x:v>
      </x:c>
      <x:c r="W1461" s="28" t="n">
        <x:f>L1461-M1461</x:f>
        <x:v>-4</x:v>
      </x:c>
      <x:c r="X1461" s="24" t="n">
        <x:f>IFERROR(K1461/I1461,0)</x:f>
        <x:v>0.2777777777777778</x:v>
      </x:c>
      <x:c r="Y1461" s="24" t="n">
        <x:f>IFERROR(G1461/I1461,0)</x:f>
        <x:v>0.1111111111111111</x:v>
      </x:c>
      <x:c r="Z1461" s="24" t="n">
        <x:f>IFERROR(G1461/K1461,0)</x:f>
        <x:v>0.4</x:v>
      </x:c>
      <x:c r="AA1461" s="24" t="n">
        <x:f>IFERROR(F1461/H1461,0)-IFERROR(G1461/I1461,0)</x:f>
        <x:v>0.1111111111111111</x:v>
      </x:c>
      <x:c r="AB1461" s="28" t="n">
        <x:f>J1461-K1461</x:f>
        <x:v>-1</x:v>
      </x:c>
      <x:c r="AC1461" s="32" t="n">
        <x:f>F1461-G1461</x:f>
        <x:v>0</x:v>
      </x:c>
    </x:row>
    <x:row r="1462">
      <x:c r="A1462" s="4" t="str">
        <x:v>2022-23</x:v>
      </x:c>
      <x:c r="B1462" s="20" t="n">
        <x:v>45059</x:v>
      </x:c>
      <x:c r="C1462" s="4" t="str">
        <x:v>Man United</x:v>
      </x:c>
      <x:c r="D1462" s="4" t="str">
        <x:v>Wolves</x:v>
      </x:c>
      <x:c r="E1462" s="4" t="str">
        <x:v>Home</x:v>
      </x:c>
      <x:c r="F1462" s="28" t="n">
        <x:v>2</x:v>
      </x:c>
      <x:c r="G1462" s="28" t="n">
        <x:v>0</x:v>
      </x:c>
      <x:c r="H1462" s="28" t="n">
        <x:v>27</x:v>
      </x:c>
      <x:c r="I1462" s="28" t="n">
        <x:v>5</x:v>
      </x:c>
      <x:c r="J1462" s="28" t="n">
        <x:v>9</x:v>
      </x:c>
      <x:c r="K1462" s="28" t="n">
        <x:v>0</x:v>
      </x:c>
      <x:c r="L1462" s="28" t="n">
        <x:v>11</x:v>
      </x:c>
      <x:c r="M1462" s="28" t="n">
        <x:v>7</x:v>
      </x:c>
      <x:c r="N1462" s="28" t="n">
        <x:v>3</x:v>
      </x:c>
      <x:c r="O1462" s="28" t="n">
        <x:v>0</x:v>
      </x:c>
      <x:c r="P1462" s="28" t="n">
        <x:v>3</x:v>
      </x:c>
      <x:c r="Q1462" s="24" t="n">
        <x:f>IFERROR(J1462/H1462,0)</x:f>
        <x:v>0.3333333333333333</x:v>
      </x:c>
      <x:c r="R1462" s="24" t="n">
        <x:f>IFERROR(F1462/H1462,0)</x:f>
        <x:v>0.07407407407407407</x:v>
      </x:c>
      <x:c r="S1462" s="24" t="n">
        <x:f>IFERROR(F1462/J1462,0)</x:f>
        <x:v>0.2222222222222222</x:v>
      </x:c>
      <x:c r="T1462" s="28" t="n">
        <x:f>H1462-I1462</x:f>
        <x:v>22</x:v>
      </x:c>
      <x:c r="U1462" s="24" t="n">
        <x:f>IFERROR(J1462/H1462,0)-IFERROR(K1462/I1462,0)</x:f>
        <x:v>0.3333333333333333</x:v>
      </x:c>
      <x:c r="V1462" s="24" t="n">
        <x:f>IFERROR(F1462/J1462,0)-IFERROR(G1462/K1462,0)</x:f>
        <x:v>0.2222222222222222</x:v>
      </x:c>
      <x:c r="W1462" s="28" t="n">
        <x:f>L1462-M1462</x:f>
        <x:v>4</x:v>
      </x:c>
      <x:c r="X1462" s="24" t="n">
        <x:f>IFERROR(K1462/I1462,0)</x:f>
        <x:v>0</x:v>
      </x:c>
      <x:c r="Y1462" s="24" t="n">
        <x:f>IFERROR(G1462/I1462,0)</x:f>
        <x:v>0</x:v>
      </x:c>
      <x:c r="Z1462" s="24" t="n">
        <x:f>IFERROR(G1462/K1462,0)</x:f>
        <x:v>0</x:v>
      </x:c>
      <x:c r="AA1462" s="24" t="n">
        <x:f>IFERROR(F1462/H1462,0)-IFERROR(G1462/I1462,0)</x:f>
        <x:v>0.07407407407407407</x:v>
      </x:c>
      <x:c r="AB1462" s="28" t="n">
        <x:f>J1462-K1462</x:f>
        <x:v>9</x:v>
      </x:c>
      <x:c r="AC1462" s="32" t="n">
        <x:f>F1462-G1462</x:f>
        <x:v>2</x:v>
      </x:c>
    </x:row>
    <x:row r="1463">
      <x:c r="A1463" s="4" t="str">
        <x:v>2022-23</x:v>
      </x:c>
      <x:c r="B1463" s="20" t="n">
        <x:v>45059</x:v>
      </x:c>
      <x:c r="C1463" s="4" t="str">
        <x:v>Newcastle</x:v>
      </x:c>
      <x:c r="D1463" s="4" t="str">
        <x:v>Leeds</x:v>
      </x:c>
      <x:c r="E1463" s="4" t="str">
        <x:v>Away</x:v>
      </x:c>
      <x:c r="F1463" s="28" t="n">
        <x:v>2</x:v>
      </x:c>
      <x:c r="G1463" s="28" t="n">
        <x:v>2</x:v>
      </x:c>
      <x:c r="H1463" s="28" t="n">
        <x:v>18</x:v>
      </x:c>
      <x:c r="I1463" s="28" t="n">
        <x:v>9</x:v>
      </x:c>
      <x:c r="J1463" s="28" t="n">
        <x:v>5</x:v>
      </x:c>
      <x:c r="K1463" s="28" t="n">
        <x:v>4</x:v>
      </x:c>
      <x:c r="L1463" s="28" t="n">
        <x:v>6</x:v>
      </x:c>
      <x:c r="M1463" s="28" t="n">
        <x:v>2</x:v>
      </x:c>
      <x:c r="N1463" s="28" t="n">
        <x:v>2</x:v>
      </x:c>
      <x:c r="O1463" s="28" t="n">
        <x:v>0</x:v>
      </x:c>
      <x:c r="P1463" s="28" t="n">
        <x:v>1</x:v>
      </x:c>
      <x:c r="Q1463" s="24" t="n">
        <x:f>IFERROR(J1463/H1463,0)</x:f>
        <x:v>0.2777777777777778</x:v>
      </x:c>
      <x:c r="R1463" s="24" t="n">
        <x:f>IFERROR(F1463/H1463,0)</x:f>
        <x:v>0.1111111111111111</x:v>
      </x:c>
      <x:c r="S1463" s="24" t="n">
        <x:f>IFERROR(F1463/J1463,0)</x:f>
        <x:v>0.4</x:v>
      </x:c>
      <x:c r="T1463" s="28" t="n">
        <x:f>H1463-I1463</x:f>
        <x:v>9</x:v>
      </x:c>
      <x:c r="U1463" s="24" t="n">
        <x:f>IFERROR(J1463/H1463,0)-IFERROR(K1463/I1463,0)</x:f>
        <x:v>-0.16666666666666663</x:v>
      </x:c>
      <x:c r="V1463" s="24" t="n">
        <x:f>IFERROR(F1463/J1463,0)-IFERROR(G1463/K1463,0)</x:f>
        <x:v>-0.09999999999999998</x:v>
      </x:c>
      <x:c r="W1463" s="28" t="n">
        <x:f>L1463-M1463</x:f>
        <x:v>4</x:v>
      </x:c>
      <x:c r="X1463" s="24" t="n">
        <x:f>IFERROR(K1463/I1463,0)</x:f>
        <x:v>0.4444444444444444</x:v>
      </x:c>
      <x:c r="Y1463" s="24" t="n">
        <x:f>IFERROR(G1463/I1463,0)</x:f>
        <x:v>0.2222222222222222</x:v>
      </x:c>
      <x:c r="Z1463" s="24" t="n">
        <x:f>IFERROR(G1463/K1463,0)</x:f>
        <x:v>0.5</x:v>
      </x:c>
      <x:c r="AA1463" s="24" t="n">
        <x:f>IFERROR(F1463/H1463,0)-IFERROR(G1463/I1463,0)</x:f>
        <x:v>-0.1111111111111111</x:v>
      </x:c>
      <x:c r="AB1463" s="28" t="n">
        <x:f>J1463-K1463</x:f>
        <x:v>1</x:v>
      </x:c>
      <x:c r="AC1463" s="32" t="n">
        <x:f>F1463-G1463</x:f>
        <x:v>0</x:v>
      </x:c>
    </x:row>
    <x:row r="1464">
      <x:c r="A1464" s="4" t="str">
        <x:v>2022-23</x:v>
      </x:c>
      <x:c r="B1464" s="20" t="n">
        <x:v>45059</x:v>
      </x:c>
      <x:c r="C1464" s="4" t="str">
        <x:v>Nott'm Forest</x:v>
      </x:c>
      <x:c r="D1464" s="4" t="str">
        <x:v>Chelsea</x:v>
      </x:c>
      <x:c r="E1464" s="4" t="str">
        <x:v>Away</x:v>
      </x:c>
      <x:c r="F1464" s="28" t="n">
        <x:v>2</x:v>
      </x:c>
      <x:c r="G1464" s="28" t="n">
        <x:v>2</x:v>
      </x:c>
      <x:c r="H1464" s="28" t="n">
        <x:v>11</x:v>
      </x:c>
      <x:c r="I1464" s="28" t="n">
        <x:v>14</x:v>
      </x:c>
      <x:c r="J1464" s="28" t="n">
        <x:v>2</x:v>
      </x:c>
      <x:c r="K1464" s="28" t="n">
        <x:v>6</x:v>
      </x:c>
      <x:c r="L1464" s="28" t="n">
        <x:v>5</x:v>
      </x:c>
      <x:c r="M1464" s="28" t="n">
        <x:v>2</x:v>
      </x:c>
      <x:c r="N1464" s="28" t="n">
        <x:v>1</x:v>
      </x:c>
      <x:c r="O1464" s="28" t="n">
        <x:v>0</x:v>
      </x:c>
      <x:c r="P1464" s="28" t="n">
        <x:v>1</x:v>
      </x:c>
      <x:c r="Q1464" s="24" t="n">
        <x:f>IFERROR(J1464/H1464,0)</x:f>
        <x:v>0.18181818181818182</x:v>
      </x:c>
      <x:c r="R1464" s="24" t="n">
        <x:f>IFERROR(F1464/H1464,0)</x:f>
        <x:v>0.18181818181818182</x:v>
      </x:c>
      <x:c r="S1464" s="24" t="n">
        <x:f>IFERROR(F1464/J1464,0)</x:f>
        <x:v>1</x:v>
      </x:c>
      <x:c r="T1464" s="28" t="n">
        <x:f>H1464-I1464</x:f>
        <x:v>-3</x:v>
      </x:c>
      <x:c r="U1464" s="24" t="n">
        <x:f>IFERROR(J1464/H1464,0)-IFERROR(K1464/I1464,0)</x:f>
        <x:v>-0.24675324675324672</x:v>
      </x:c>
      <x:c r="V1464" s="24" t="n">
        <x:f>IFERROR(F1464/J1464,0)-IFERROR(G1464/K1464,0)</x:f>
        <x:v>0.6666666666666667</x:v>
      </x:c>
      <x:c r="W1464" s="28" t="n">
        <x:f>L1464-M1464</x:f>
        <x:v>3</x:v>
      </x:c>
      <x:c r="X1464" s="24" t="n">
        <x:f>IFERROR(K1464/I1464,0)</x:f>
        <x:v>0.42857142857142855</x:v>
      </x:c>
      <x:c r="Y1464" s="24" t="n">
        <x:f>IFERROR(G1464/I1464,0)</x:f>
        <x:v>0.14285714285714285</x:v>
      </x:c>
      <x:c r="Z1464" s="24" t="n">
        <x:f>IFERROR(G1464/K1464,0)</x:f>
        <x:v>0.3333333333333333</x:v>
      </x:c>
      <x:c r="AA1464" s="24" t="n">
        <x:f>IFERROR(F1464/H1464,0)-IFERROR(G1464/I1464,0)</x:f>
        <x:v>0.038961038961038974</x:v>
      </x:c>
      <x:c r="AB1464" s="28" t="n">
        <x:f>J1464-K1464</x:f>
        <x:v>-4</x:v>
      </x:c>
      <x:c r="AC1464" s="32" t="n">
        <x:f>F1464-G1464</x:f>
        <x:v>0</x:v>
      </x:c>
    </x:row>
    <x:row r="1465">
      <x:c r="A1465" s="4" t="str">
        <x:v>2022-23</x:v>
      </x:c>
      <x:c r="B1465" s="20" t="n">
        <x:v>45059</x:v>
      </x:c>
      <x:c r="C1465" s="4" t="str">
        <x:v>Southampton</x:v>
      </x:c>
      <x:c r="D1465" s="4" t="str">
        <x:v>Fulham</x:v>
      </x:c>
      <x:c r="E1465" s="4" t="str">
        <x:v>Home</x:v>
      </x:c>
      <x:c r="F1465" s="28" t="n">
        <x:v>0</x:v>
      </x:c>
      <x:c r="G1465" s="28" t="n">
        <x:v>2</x:v>
      </x:c>
      <x:c r="H1465" s="28" t="n">
        <x:v>5</x:v>
      </x:c>
      <x:c r="I1465" s="28" t="n">
        <x:v>9</x:v>
      </x:c>
      <x:c r="J1465" s="28" t="n">
        <x:v>1</x:v>
      </x:c>
      <x:c r="K1465" s="28" t="n">
        <x:v>4</x:v>
      </x:c>
      <x:c r="L1465" s="28" t="n">
        <x:v>1</x:v>
      </x:c>
      <x:c r="M1465" s="28" t="n">
        <x:v>8</x:v>
      </x:c>
      <x:c r="N1465" s="28" t="n">
        <x:v>2</x:v>
      </x:c>
      <x:c r="O1465" s="28" t="n">
        <x:v>0</x:v>
      </x:c>
      <x:c r="P1465" s="28" t="n">
        <x:v>0</x:v>
      </x:c>
      <x:c r="Q1465" s="24" t="n">
        <x:f>IFERROR(J1465/H1465,0)</x:f>
        <x:v>0.2</x:v>
      </x:c>
      <x:c r="R1465" s="24" t="n">
        <x:f>IFERROR(F1465/H1465,0)</x:f>
        <x:v>0</x:v>
      </x:c>
      <x:c r="S1465" s="24" t="n">
        <x:f>IFERROR(F1465/J1465,0)</x:f>
        <x:v>0</x:v>
      </x:c>
      <x:c r="T1465" s="28" t="n">
        <x:f>H1465-I1465</x:f>
        <x:v>-4</x:v>
      </x:c>
      <x:c r="U1465" s="24" t="n">
        <x:f>IFERROR(J1465/H1465,0)-IFERROR(K1465/I1465,0)</x:f>
        <x:v>-0.2444444444444444</x:v>
      </x:c>
      <x:c r="V1465" s="24" t="n">
        <x:f>IFERROR(F1465/J1465,0)-IFERROR(G1465/K1465,0)</x:f>
        <x:v>-0.5</x:v>
      </x:c>
      <x:c r="W1465" s="28" t="n">
        <x:f>L1465-M1465</x:f>
        <x:v>-7</x:v>
      </x:c>
      <x:c r="X1465" s="24" t="n">
        <x:f>IFERROR(K1465/I1465,0)</x:f>
        <x:v>0.4444444444444444</x:v>
      </x:c>
      <x:c r="Y1465" s="24" t="n">
        <x:f>IFERROR(G1465/I1465,0)</x:f>
        <x:v>0.2222222222222222</x:v>
      </x:c>
      <x:c r="Z1465" s="24" t="n">
        <x:f>IFERROR(G1465/K1465,0)</x:f>
        <x:v>0.5</x:v>
      </x:c>
      <x:c r="AA1465" s="24" t="n">
        <x:f>IFERROR(F1465/H1465,0)-IFERROR(G1465/I1465,0)</x:f>
        <x:v>-0.2222222222222222</x:v>
      </x:c>
      <x:c r="AB1465" s="28" t="n">
        <x:f>J1465-K1465</x:f>
        <x:v>-3</x:v>
      </x:c>
      <x:c r="AC1465" s="32" t="n">
        <x:f>F1465-G1465</x:f>
        <x:v>-2</x:v>
      </x:c>
    </x:row>
    <x:row r="1466">
      <x:c r="A1466" s="4" t="str">
        <x:v>2022-23</x:v>
      </x:c>
      <x:c r="B1466" s="20" t="n">
        <x:v>45059</x:v>
      </x:c>
      <x:c r="C1466" s="4" t="str">
        <x:v>Tottenham</x:v>
      </x:c>
      <x:c r="D1466" s="4" t="str">
        <x:v>Aston Villa</x:v>
      </x:c>
      <x:c r="E1466" s="4" t="str">
        <x:v>Away</x:v>
      </x:c>
      <x:c r="F1466" s="28" t="n">
        <x:v>1</x:v>
      </x:c>
      <x:c r="G1466" s="28" t="n">
        <x:v>2</x:v>
      </x:c>
      <x:c r="H1466" s="28" t="n">
        <x:v>5</x:v>
      </x:c>
      <x:c r="I1466" s="28" t="n">
        <x:v>8</x:v>
      </x:c>
      <x:c r="J1466" s="28" t="n">
        <x:v>2</x:v>
      </x:c>
      <x:c r="K1466" s="28" t="n">
        <x:v>4</x:v>
      </x:c>
      <x:c r="L1466" s="28" t="n">
        <x:v>3</x:v>
      </x:c>
      <x:c r="M1466" s="28" t="n">
        <x:v>8</x:v>
      </x:c>
      <x:c r="N1466" s="28" t="n">
        <x:v>3</x:v>
      </x:c>
      <x:c r="O1466" s="28" t="n">
        <x:v>0</x:v>
      </x:c>
      <x:c r="P1466" s="28" t="n">
        <x:v>0</x:v>
      </x:c>
      <x:c r="Q1466" s="24" t="n">
        <x:f>IFERROR(J1466/H1466,0)</x:f>
        <x:v>0.4</x:v>
      </x:c>
      <x:c r="R1466" s="24" t="n">
        <x:f>IFERROR(F1466/H1466,0)</x:f>
        <x:v>0.2</x:v>
      </x:c>
      <x:c r="S1466" s="24" t="n">
        <x:f>IFERROR(F1466/J1466,0)</x:f>
        <x:v>0.5</x:v>
      </x:c>
      <x:c r="T1466" s="28" t="n">
        <x:f>H1466-I1466</x:f>
        <x:v>-3</x:v>
      </x:c>
      <x:c r="U1466" s="24" t="n">
        <x:f>IFERROR(J1466/H1466,0)-IFERROR(K1466/I1466,0)</x:f>
        <x:v>-0.09999999999999998</x:v>
      </x:c>
      <x:c r="V1466" s="24" t="n">
        <x:f>IFERROR(F1466/J1466,0)-IFERROR(G1466/K1466,0)</x:f>
        <x:v>0</x:v>
      </x:c>
      <x:c r="W1466" s="28" t="n">
        <x:f>L1466-M1466</x:f>
        <x:v>-5</x:v>
      </x:c>
      <x:c r="X1466" s="24" t="n">
        <x:f>IFERROR(K1466/I1466,0)</x:f>
        <x:v>0.5</x:v>
      </x:c>
      <x:c r="Y1466" s="24" t="n">
        <x:f>IFERROR(G1466/I1466,0)</x:f>
        <x:v>0.25</x:v>
      </x:c>
      <x:c r="Z1466" s="24" t="n">
        <x:f>IFERROR(G1466/K1466,0)</x:f>
        <x:v>0.5</x:v>
      </x:c>
      <x:c r="AA1466" s="24" t="n">
        <x:f>IFERROR(F1466/H1466,0)-IFERROR(G1466/I1466,0)</x:f>
        <x:v>-0.04999999999999999</x:v>
      </x:c>
      <x:c r="AB1466" s="28" t="n">
        <x:f>J1466-K1466</x:f>
        <x:v>-2</x:v>
      </x:c>
      <x:c r="AC1466" s="32" t="n">
        <x:f>F1466-G1466</x:f>
        <x:v>-1</x:v>
      </x:c>
    </x:row>
    <x:row r="1467">
      <x:c r="A1467" s="4" t="str">
        <x:v>2022-23</x:v>
      </x:c>
      <x:c r="B1467" s="20" t="n">
        <x:v>45059</x:v>
      </x:c>
      <x:c r="C1467" s="4" t="str">
        <x:v>Wolves</x:v>
      </x:c>
      <x:c r="D1467" s="4" t="str">
        <x:v>Man United</x:v>
      </x:c>
      <x:c r="E1467" s="4" t="str">
        <x:v>Away</x:v>
      </x:c>
      <x:c r="F1467" s="28" t="n">
        <x:v>0</x:v>
      </x:c>
      <x:c r="G1467" s="28" t="n">
        <x:v>2</x:v>
      </x:c>
      <x:c r="H1467" s="28" t="n">
        <x:v>5</x:v>
      </x:c>
      <x:c r="I1467" s="28" t="n">
        <x:v>27</x:v>
      </x:c>
      <x:c r="J1467" s="28" t="n">
        <x:v>0</x:v>
      </x:c>
      <x:c r="K1467" s="28" t="n">
        <x:v>9</x:v>
      </x:c>
      <x:c r="L1467" s="28" t="n">
        <x:v>7</x:v>
      </x:c>
      <x:c r="M1467" s="28" t="n">
        <x:v>11</x:v>
      </x:c>
      <x:c r="N1467" s="28" t="n">
        <x:v>2</x:v>
      </x:c>
      <x:c r="O1467" s="28" t="n">
        <x:v>0</x:v>
      </x:c>
      <x:c r="P1467" s="28" t="n">
        <x:v>0</x:v>
      </x:c>
      <x:c r="Q1467" s="24" t="n">
        <x:f>IFERROR(J1467/H1467,0)</x:f>
        <x:v>0</x:v>
      </x:c>
      <x:c r="R1467" s="24" t="n">
        <x:f>IFERROR(F1467/H1467,0)</x:f>
        <x:v>0</x:v>
      </x:c>
      <x:c r="S1467" s="24" t="n">
        <x:f>IFERROR(F1467/J1467,0)</x:f>
        <x:v>0</x:v>
      </x:c>
      <x:c r="T1467" s="28" t="n">
        <x:f>H1467-I1467</x:f>
        <x:v>-22</x:v>
      </x:c>
      <x:c r="U1467" s="24" t="n">
        <x:f>IFERROR(J1467/H1467,0)-IFERROR(K1467/I1467,0)</x:f>
        <x:v>-0.3333333333333333</x:v>
      </x:c>
      <x:c r="V1467" s="24" t="n">
        <x:f>IFERROR(F1467/J1467,0)-IFERROR(G1467/K1467,0)</x:f>
        <x:v>-0.2222222222222222</x:v>
      </x:c>
      <x:c r="W1467" s="28" t="n">
        <x:f>L1467-M1467</x:f>
        <x:v>-4</x:v>
      </x:c>
      <x:c r="X1467" s="24" t="n">
        <x:f>IFERROR(K1467/I1467,0)</x:f>
        <x:v>0.3333333333333333</x:v>
      </x:c>
      <x:c r="Y1467" s="24" t="n">
        <x:f>IFERROR(G1467/I1467,0)</x:f>
        <x:v>0.07407407407407407</x:v>
      </x:c>
      <x:c r="Z1467" s="24" t="n">
        <x:f>IFERROR(G1467/K1467,0)</x:f>
        <x:v>0.2222222222222222</x:v>
      </x:c>
      <x:c r="AA1467" s="24" t="n">
        <x:f>IFERROR(F1467/H1467,0)-IFERROR(G1467/I1467,0)</x:f>
        <x:v>-0.07407407407407407</x:v>
      </x:c>
      <x:c r="AB1467" s="28" t="n">
        <x:f>J1467-K1467</x:f>
        <x:v>-9</x:v>
      </x:c>
      <x:c r="AC1467" s="32" t="n">
        <x:f>F1467-G1467</x:f>
        <x:v>-2</x:v>
      </x:c>
    </x:row>
    <x:row r="1468">
      <x:c r="A1468" s="4" t="str">
        <x:v>2022-23</x:v>
      </x:c>
      <x:c r="B1468" s="20" t="n">
        <x:v>45060</x:v>
      </x:c>
      <x:c r="C1468" s="4" t="str">
        <x:v>Arsenal</x:v>
      </x:c>
      <x:c r="D1468" s="4" t="str">
        <x:v>Brighton</x:v>
      </x:c>
      <x:c r="E1468" s="4" t="str">
        <x:v>Home</x:v>
      </x:c>
      <x:c r="F1468" s="28" t="n">
        <x:v>0</x:v>
      </x:c>
      <x:c r="G1468" s="28" t="n">
        <x:v>3</x:v>
      </x:c>
      <x:c r="H1468" s="28" t="n">
        <x:v>14</x:v>
      </x:c>
      <x:c r="I1468" s="28" t="n">
        <x:v>12</x:v>
      </x:c>
      <x:c r="J1468" s="28" t="n">
        <x:v>2</x:v>
      </x:c>
      <x:c r="K1468" s="28" t="n">
        <x:v>6</x:v>
      </x:c>
      <x:c r="L1468" s="28" t="n">
        <x:v>5</x:v>
      </x:c>
      <x:c r="M1468" s="28" t="n">
        <x:v>2</x:v>
      </x:c>
      <x:c r="N1468" s="28" t="n">
        <x:v>1</x:v>
      </x:c>
      <x:c r="O1468" s="28" t="n">
        <x:v>0</x:v>
      </x:c>
      <x:c r="P1468" s="28" t="n">
        <x:v>0</x:v>
      </x:c>
      <x:c r="Q1468" s="24" t="n">
        <x:f>IFERROR(J1468/H1468,0)</x:f>
        <x:v>0.14285714285714285</x:v>
      </x:c>
      <x:c r="R1468" s="24" t="n">
        <x:f>IFERROR(F1468/H1468,0)</x:f>
        <x:v>0</x:v>
      </x:c>
      <x:c r="S1468" s="24" t="n">
        <x:f>IFERROR(F1468/J1468,0)</x:f>
        <x:v>0</x:v>
      </x:c>
      <x:c r="T1468" s="28" t="n">
        <x:f>H1468-I1468</x:f>
        <x:v>2</x:v>
      </x:c>
      <x:c r="U1468" s="24" t="n">
        <x:f>IFERROR(J1468/H1468,0)-IFERROR(K1468/I1468,0)</x:f>
        <x:v>-0.35714285714285715</x:v>
      </x:c>
      <x:c r="V1468" s="24" t="n">
        <x:f>IFERROR(F1468/J1468,0)-IFERROR(G1468/K1468,0)</x:f>
        <x:v>-0.5</x:v>
      </x:c>
      <x:c r="W1468" s="28" t="n">
        <x:f>L1468-M1468</x:f>
        <x:v>3</x:v>
      </x:c>
      <x:c r="X1468" s="24" t="n">
        <x:f>IFERROR(K1468/I1468,0)</x:f>
        <x:v>0.5</x:v>
      </x:c>
      <x:c r="Y1468" s="24" t="n">
        <x:f>IFERROR(G1468/I1468,0)</x:f>
        <x:v>0.25</x:v>
      </x:c>
      <x:c r="Z1468" s="24" t="n">
        <x:f>IFERROR(G1468/K1468,0)</x:f>
        <x:v>0.5</x:v>
      </x:c>
      <x:c r="AA1468" s="24" t="n">
        <x:f>IFERROR(F1468/H1468,0)-IFERROR(G1468/I1468,0)</x:f>
        <x:v>-0.25</x:v>
      </x:c>
      <x:c r="AB1468" s="28" t="n">
        <x:f>J1468-K1468</x:f>
        <x:v>-4</x:v>
      </x:c>
      <x:c r="AC1468" s="32" t="n">
        <x:f>F1468-G1468</x:f>
        <x:v>-3</x:v>
      </x:c>
    </x:row>
    <x:row r="1469">
      <x:c r="A1469" s="4" t="str">
        <x:v>2022-23</x:v>
      </x:c>
      <x:c r="B1469" s="20" t="n">
        <x:v>45060</x:v>
      </x:c>
      <x:c r="C1469" s="4" t="str">
        <x:v>Brentford</x:v>
      </x:c>
      <x:c r="D1469" s="4" t="str">
        <x:v>West Ham</x:v>
      </x:c>
      <x:c r="E1469" s="4" t="str">
        <x:v>Home</x:v>
      </x:c>
      <x:c r="F1469" s="28" t="n">
        <x:v>2</x:v>
      </x:c>
      <x:c r="G1469" s="28" t="n">
        <x:v>0</x:v>
      </x:c>
      <x:c r="H1469" s="28" t="n">
        <x:v>24</x:v>
      </x:c>
      <x:c r="I1469" s="28" t="n">
        <x:v>4</x:v>
      </x:c>
      <x:c r="J1469" s="28" t="n">
        <x:v>10</x:v>
      </x:c>
      <x:c r="K1469" s="28" t="n">
        <x:v>4</x:v>
      </x:c>
      <x:c r="L1469" s="28" t="n">
        <x:v>7</x:v>
      </x:c>
      <x:c r="M1469" s="28" t="n">
        <x:v>5</x:v>
      </x:c>
      <x:c r="N1469" s="28" t="n">
        <x:v>1</x:v>
      </x:c>
      <x:c r="O1469" s="28" t="n">
        <x:v>0</x:v>
      </x:c>
      <x:c r="P1469" s="28" t="n">
        <x:v>3</x:v>
      </x:c>
      <x:c r="Q1469" s="24" t="n">
        <x:f>IFERROR(J1469/H1469,0)</x:f>
        <x:v>0.4166666666666667</x:v>
      </x:c>
      <x:c r="R1469" s="24" t="n">
        <x:f>IFERROR(F1469/H1469,0)</x:f>
        <x:v>0.08333333333333333</x:v>
      </x:c>
      <x:c r="S1469" s="24" t="n">
        <x:f>IFERROR(F1469/J1469,0)</x:f>
        <x:v>0.2</x:v>
      </x:c>
      <x:c r="T1469" s="28" t="n">
        <x:f>H1469-I1469</x:f>
        <x:v>20</x:v>
      </x:c>
      <x:c r="U1469" s="24" t="n">
        <x:f>IFERROR(J1469/H1469,0)-IFERROR(K1469/I1469,0)</x:f>
        <x:v>-0.5833333333333333</x:v>
      </x:c>
      <x:c r="V1469" s="24" t="n">
        <x:f>IFERROR(F1469/J1469,0)-IFERROR(G1469/K1469,0)</x:f>
        <x:v>0.2</x:v>
      </x:c>
      <x:c r="W1469" s="28" t="n">
        <x:f>L1469-M1469</x:f>
        <x:v>2</x:v>
      </x:c>
      <x:c r="X1469" s="24" t="n">
        <x:f>IFERROR(K1469/I1469,0)</x:f>
        <x:v>1</x:v>
      </x:c>
      <x:c r="Y1469" s="24" t="n">
        <x:f>IFERROR(G1469/I1469,0)</x:f>
        <x:v>0</x:v>
      </x:c>
      <x:c r="Z1469" s="24" t="n">
        <x:f>IFERROR(G1469/K1469,0)</x:f>
        <x:v>0</x:v>
      </x:c>
      <x:c r="AA1469" s="24" t="n">
        <x:f>IFERROR(F1469/H1469,0)-IFERROR(G1469/I1469,0)</x:f>
        <x:v>0.08333333333333333</x:v>
      </x:c>
      <x:c r="AB1469" s="28" t="n">
        <x:f>J1469-K1469</x:f>
        <x:v>6</x:v>
      </x:c>
      <x:c r="AC1469" s="32" t="n">
        <x:f>F1469-G1469</x:f>
        <x:v>2</x:v>
      </x:c>
    </x:row>
    <x:row r="1470">
      <x:c r="A1470" s="4" t="str">
        <x:v>2022-23</x:v>
      </x:c>
      <x:c r="B1470" s="20" t="n">
        <x:v>45060</x:v>
      </x:c>
      <x:c r="C1470" s="4" t="str">
        <x:v>Brighton</x:v>
      </x:c>
      <x:c r="D1470" s="4" t="str">
        <x:v>Arsenal</x:v>
      </x:c>
      <x:c r="E1470" s="4" t="str">
        <x:v>Away</x:v>
      </x:c>
      <x:c r="F1470" s="28" t="n">
        <x:v>3</x:v>
      </x:c>
      <x:c r="G1470" s="28" t="n">
        <x:v>0</x:v>
      </x:c>
      <x:c r="H1470" s="28" t="n">
        <x:v>12</x:v>
      </x:c>
      <x:c r="I1470" s="28" t="n">
        <x:v>14</x:v>
      </x:c>
      <x:c r="J1470" s="28" t="n">
        <x:v>6</x:v>
      </x:c>
      <x:c r="K1470" s="28" t="n">
        <x:v>2</x:v>
      </x:c>
      <x:c r="L1470" s="28" t="n">
        <x:v>2</x:v>
      </x:c>
      <x:c r="M1470" s="28" t="n">
        <x:v>5</x:v>
      </x:c>
      <x:c r="N1470" s="28" t="n">
        <x:v>2</x:v>
      </x:c>
      <x:c r="O1470" s="28" t="n">
        <x:v>0</x:v>
      </x:c>
      <x:c r="P1470" s="28" t="n">
        <x:v>3</x:v>
      </x:c>
      <x:c r="Q1470" s="24" t="n">
        <x:f>IFERROR(J1470/H1470,0)</x:f>
        <x:v>0.5</x:v>
      </x:c>
      <x:c r="R1470" s="24" t="n">
        <x:f>IFERROR(F1470/H1470,0)</x:f>
        <x:v>0.25</x:v>
      </x:c>
      <x:c r="S1470" s="24" t="n">
        <x:f>IFERROR(F1470/J1470,0)</x:f>
        <x:v>0.5</x:v>
      </x:c>
      <x:c r="T1470" s="28" t="n">
        <x:f>H1470-I1470</x:f>
        <x:v>-2</x:v>
      </x:c>
      <x:c r="U1470" s="24" t="n">
        <x:f>IFERROR(J1470/H1470,0)-IFERROR(K1470/I1470,0)</x:f>
        <x:v>0.35714285714285715</x:v>
      </x:c>
      <x:c r="V1470" s="24" t="n">
        <x:f>IFERROR(F1470/J1470,0)-IFERROR(G1470/K1470,0)</x:f>
        <x:v>0.5</x:v>
      </x:c>
      <x:c r="W1470" s="28" t="n">
        <x:f>L1470-M1470</x:f>
        <x:v>-3</x:v>
      </x:c>
      <x:c r="X1470" s="24" t="n">
        <x:f>IFERROR(K1470/I1470,0)</x:f>
        <x:v>0.14285714285714285</x:v>
      </x:c>
      <x:c r="Y1470" s="24" t="n">
        <x:f>IFERROR(G1470/I1470,0)</x:f>
        <x:v>0</x:v>
      </x:c>
      <x:c r="Z1470" s="24" t="n">
        <x:f>IFERROR(G1470/K1470,0)</x:f>
        <x:v>0</x:v>
      </x:c>
      <x:c r="AA1470" s="24" t="n">
        <x:f>IFERROR(F1470/H1470,0)-IFERROR(G1470/I1470,0)</x:f>
        <x:v>0.25</x:v>
      </x:c>
      <x:c r="AB1470" s="28" t="n">
        <x:f>J1470-K1470</x:f>
        <x:v>4</x:v>
      </x:c>
      <x:c r="AC1470" s="32" t="n">
        <x:f>F1470-G1470</x:f>
        <x:v>3</x:v>
      </x:c>
    </x:row>
    <x:row r="1471">
      <x:c r="A1471" s="4" t="str">
        <x:v>2022-23</x:v>
      </x:c>
      <x:c r="B1471" s="20" t="n">
        <x:v>45060</x:v>
      </x:c>
      <x:c r="C1471" s="4" t="str">
        <x:v>Everton</x:v>
      </x:c>
      <x:c r="D1471" s="4" t="str">
        <x:v>Man City</x:v>
      </x:c>
      <x:c r="E1471" s="4" t="str">
        <x:v>Home</x:v>
      </x:c>
      <x:c r="F1471" s="28" t="n">
        <x:v>0</x:v>
      </x:c>
      <x:c r="G1471" s="28" t="n">
        <x:v>3</x:v>
      </x:c>
      <x:c r="H1471" s="28" t="n">
        <x:v>7</x:v>
      </x:c>
      <x:c r="I1471" s="28" t="n">
        <x:v>9</x:v>
      </x:c>
      <x:c r="J1471" s="28" t="n">
        <x:v>3</x:v>
      </x:c>
      <x:c r="K1471" s="28" t="n">
        <x:v>4</x:v>
      </x:c>
      <x:c r="L1471" s="28" t="n">
        <x:v>8</x:v>
      </x:c>
      <x:c r="M1471" s="28" t="n">
        <x:v>6</x:v>
      </x:c>
      <x:c r="N1471" s="28" t="n">
        <x:v>1</x:v>
      </x:c>
      <x:c r="O1471" s="28" t="n">
        <x:v>0</x:v>
      </x:c>
      <x:c r="P1471" s="28" t="n">
        <x:v>0</x:v>
      </x:c>
      <x:c r="Q1471" s="24" t="n">
        <x:f>IFERROR(J1471/H1471,0)</x:f>
        <x:v>0.42857142857142855</x:v>
      </x:c>
      <x:c r="R1471" s="24" t="n">
        <x:f>IFERROR(F1471/H1471,0)</x:f>
        <x:v>0</x:v>
      </x:c>
      <x:c r="S1471" s="24" t="n">
        <x:f>IFERROR(F1471/J1471,0)</x:f>
        <x:v>0</x:v>
      </x:c>
      <x:c r="T1471" s="28" t="n">
        <x:f>H1471-I1471</x:f>
        <x:v>-2</x:v>
      </x:c>
      <x:c r="U1471" s="24" t="n">
        <x:f>IFERROR(J1471/H1471,0)-IFERROR(K1471/I1471,0)</x:f>
        <x:v>-0.015873015873015872</x:v>
      </x:c>
      <x:c r="V1471" s="24" t="n">
        <x:f>IFERROR(F1471/J1471,0)-IFERROR(G1471/K1471,0)</x:f>
        <x:v>-0.75</x:v>
      </x:c>
      <x:c r="W1471" s="28" t="n">
        <x:f>L1471-M1471</x:f>
        <x:v>2</x:v>
      </x:c>
      <x:c r="X1471" s="24" t="n">
        <x:f>IFERROR(K1471/I1471,0)</x:f>
        <x:v>0.4444444444444444</x:v>
      </x:c>
      <x:c r="Y1471" s="24" t="n">
        <x:f>IFERROR(G1471/I1471,0)</x:f>
        <x:v>0.3333333333333333</x:v>
      </x:c>
      <x:c r="Z1471" s="24" t="n">
        <x:f>IFERROR(G1471/K1471,0)</x:f>
        <x:v>0.75</x:v>
      </x:c>
      <x:c r="AA1471" s="24" t="n">
        <x:f>IFERROR(F1471/H1471,0)-IFERROR(G1471/I1471,0)</x:f>
        <x:v>-0.3333333333333333</x:v>
      </x:c>
      <x:c r="AB1471" s="28" t="n">
        <x:f>J1471-K1471</x:f>
        <x:v>-1</x:v>
      </x:c>
      <x:c r="AC1471" s="32" t="n">
        <x:f>F1471-G1471</x:f>
        <x:v>-3</x:v>
      </x:c>
    </x:row>
    <x:row r="1472">
      <x:c r="A1472" s="4" t="str">
        <x:v>2022-23</x:v>
      </x:c>
      <x:c r="B1472" s="20" t="n">
        <x:v>45060</x:v>
      </x:c>
      <x:c r="C1472" s="4" t="str">
        <x:v>Man City</x:v>
      </x:c>
      <x:c r="D1472" s="4" t="str">
        <x:v>Everton</x:v>
      </x:c>
      <x:c r="E1472" s="4" t="str">
        <x:v>Away</x:v>
      </x:c>
      <x:c r="F1472" s="28" t="n">
        <x:v>3</x:v>
      </x:c>
      <x:c r="G1472" s="28" t="n">
        <x:v>0</x:v>
      </x:c>
      <x:c r="H1472" s="28" t="n">
        <x:v>9</x:v>
      </x:c>
      <x:c r="I1472" s="28" t="n">
        <x:v>7</x:v>
      </x:c>
      <x:c r="J1472" s="28" t="n">
        <x:v>4</x:v>
      </x:c>
      <x:c r="K1472" s="28" t="n">
        <x:v>3</x:v>
      </x:c>
      <x:c r="L1472" s="28" t="n">
        <x:v>6</x:v>
      </x:c>
      <x:c r="M1472" s="28" t="n">
        <x:v>8</x:v>
      </x:c>
      <x:c r="N1472" s="28" t="n">
        <x:v>0</x:v>
      </x:c>
      <x:c r="O1472" s="28" t="n">
        <x:v>0</x:v>
      </x:c>
      <x:c r="P1472" s="28" t="n">
        <x:v>3</x:v>
      </x:c>
      <x:c r="Q1472" s="24" t="n">
        <x:f>IFERROR(J1472/H1472,0)</x:f>
        <x:v>0.4444444444444444</x:v>
      </x:c>
      <x:c r="R1472" s="24" t="n">
        <x:f>IFERROR(F1472/H1472,0)</x:f>
        <x:v>0.3333333333333333</x:v>
      </x:c>
      <x:c r="S1472" s="24" t="n">
        <x:f>IFERROR(F1472/J1472,0)</x:f>
        <x:v>0.75</x:v>
      </x:c>
      <x:c r="T1472" s="28" t="n">
        <x:f>H1472-I1472</x:f>
        <x:v>2</x:v>
      </x:c>
      <x:c r="U1472" s="24" t="n">
        <x:f>IFERROR(J1472/H1472,0)-IFERROR(K1472/I1472,0)</x:f>
        <x:v>0.015873015873015872</x:v>
      </x:c>
      <x:c r="V1472" s="24" t="n">
        <x:f>IFERROR(F1472/J1472,0)-IFERROR(G1472/K1472,0)</x:f>
        <x:v>0.75</x:v>
      </x:c>
      <x:c r="W1472" s="28" t="n">
        <x:f>L1472-M1472</x:f>
        <x:v>-2</x:v>
      </x:c>
      <x:c r="X1472" s="24" t="n">
        <x:f>IFERROR(K1472/I1472,0)</x:f>
        <x:v>0.42857142857142855</x:v>
      </x:c>
      <x:c r="Y1472" s="24" t="n">
        <x:f>IFERROR(G1472/I1472,0)</x:f>
        <x:v>0</x:v>
      </x:c>
      <x:c r="Z1472" s="24" t="n">
        <x:f>IFERROR(G1472/K1472,0)</x:f>
        <x:v>0</x:v>
      </x:c>
      <x:c r="AA1472" s="24" t="n">
        <x:f>IFERROR(F1472/H1472,0)-IFERROR(G1472/I1472,0)</x:f>
        <x:v>0.3333333333333333</x:v>
      </x:c>
      <x:c r="AB1472" s="28" t="n">
        <x:f>J1472-K1472</x:f>
        <x:v>1</x:v>
      </x:c>
      <x:c r="AC1472" s="32" t="n">
        <x:f>F1472-G1472</x:f>
        <x:v>3</x:v>
      </x:c>
    </x:row>
    <x:row r="1473">
      <x:c r="A1473" s="4" t="str">
        <x:v>2022-23</x:v>
      </x:c>
      <x:c r="B1473" s="20" t="n">
        <x:v>45060</x:v>
      </x:c>
      <x:c r="C1473" s="4" t="str">
        <x:v>West Ham</x:v>
      </x:c>
      <x:c r="D1473" s="4" t="str">
        <x:v>Brentford</x:v>
      </x:c>
      <x:c r="E1473" s="4" t="str">
        <x:v>Away</x:v>
      </x:c>
      <x:c r="F1473" s="28" t="n">
        <x:v>0</x:v>
      </x:c>
      <x:c r="G1473" s="28" t="n">
        <x:v>2</x:v>
      </x:c>
      <x:c r="H1473" s="28" t="n">
        <x:v>4</x:v>
      </x:c>
      <x:c r="I1473" s="28" t="n">
        <x:v>24</x:v>
      </x:c>
      <x:c r="J1473" s="28" t="n">
        <x:v>4</x:v>
      </x:c>
      <x:c r="K1473" s="28" t="n">
        <x:v>10</x:v>
      </x:c>
      <x:c r="L1473" s="28" t="n">
        <x:v>5</x:v>
      </x:c>
      <x:c r="M1473" s="28" t="n">
        <x:v>7</x:v>
      </x:c>
      <x:c r="N1473" s="28" t="n">
        <x:v>0</x:v>
      </x:c>
      <x:c r="O1473" s="28" t="n">
        <x:v>0</x:v>
      </x:c>
      <x:c r="P1473" s="28" t="n">
        <x:v>0</x:v>
      </x:c>
      <x:c r="Q1473" s="24" t="n">
        <x:f>IFERROR(J1473/H1473,0)</x:f>
        <x:v>1</x:v>
      </x:c>
      <x:c r="R1473" s="24" t="n">
        <x:f>IFERROR(F1473/H1473,0)</x:f>
        <x:v>0</x:v>
      </x:c>
      <x:c r="S1473" s="24" t="n">
        <x:f>IFERROR(F1473/J1473,0)</x:f>
        <x:v>0</x:v>
      </x:c>
      <x:c r="T1473" s="28" t="n">
        <x:f>H1473-I1473</x:f>
        <x:v>-20</x:v>
      </x:c>
      <x:c r="U1473" s="24" t="n">
        <x:f>IFERROR(J1473/H1473,0)-IFERROR(K1473/I1473,0)</x:f>
        <x:v>0.5833333333333333</x:v>
      </x:c>
      <x:c r="V1473" s="24" t="n">
        <x:f>IFERROR(F1473/J1473,0)-IFERROR(G1473/K1473,0)</x:f>
        <x:v>-0.2</x:v>
      </x:c>
      <x:c r="W1473" s="28" t="n">
        <x:f>L1473-M1473</x:f>
        <x:v>-2</x:v>
      </x:c>
      <x:c r="X1473" s="24" t="n">
        <x:f>IFERROR(K1473/I1473,0)</x:f>
        <x:v>0.4166666666666667</x:v>
      </x:c>
      <x:c r="Y1473" s="24" t="n">
        <x:f>IFERROR(G1473/I1473,0)</x:f>
        <x:v>0.08333333333333333</x:v>
      </x:c>
      <x:c r="Z1473" s="24" t="n">
        <x:f>IFERROR(G1473/K1473,0)</x:f>
        <x:v>0.2</x:v>
      </x:c>
      <x:c r="AA1473" s="24" t="n">
        <x:f>IFERROR(F1473/H1473,0)-IFERROR(G1473/I1473,0)</x:f>
        <x:v>-0.08333333333333333</x:v>
      </x:c>
      <x:c r="AB1473" s="28" t="n">
        <x:f>J1473-K1473</x:f>
        <x:v>-6</x:v>
      </x:c>
      <x:c r="AC1473" s="32" t="n">
        <x:f>F1473-G1473</x:f>
        <x:v>-2</x:v>
      </x:c>
    </x:row>
    <x:row r="1474">
      <x:c r="A1474" s="4" t="str">
        <x:v>2022-23</x:v>
      </x:c>
      <x:c r="B1474" s="20" t="n">
        <x:v>45061</x:v>
      </x:c>
      <x:c r="C1474" s="4" t="str">
        <x:v>Leicester</x:v>
      </x:c>
      <x:c r="D1474" s="4" t="str">
        <x:v>Liverpool</x:v>
      </x:c>
      <x:c r="E1474" s="4" t="str">
        <x:v>Home</x:v>
      </x:c>
      <x:c r="F1474" s="28" t="n">
        <x:v>0</x:v>
      </x:c>
      <x:c r="G1474" s="28" t="n">
        <x:v>3</x:v>
      </x:c>
      <x:c r="H1474" s="28" t="n">
        <x:v>4</x:v>
      </x:c>
      <x:c r="I1474" s="28" t="n">
        <x:v>16</x:v>
      </x:c>
      <x:c r="J1474" s="28" t="n">
        <x:v>4</x:v>
      </x:c>
      <x:c r="K1474" s="28" t="n">
        <x:v>5</x:v>
      </x:c>
      <x:c r="L1474" s="28" t="n">
        <x:v>4</x:v>
      </x:c>
      <x:c r="M1474" s="28" t="n">
        <x:v>4</x:v>
      </x:c>
      <x:c r="N1474" s="28" t="n">
        <x:v>2</x:v>
      </x:c>
      <x:c r="O1474" s="28" t="n">
        <x:v>0</x:v>
      </x:c>
      <x:c r="P1474" s="28" t="n">
        <x:v>0</x:v>
      </x:c>
      <x:c r="Q1474" s="24" t="n">
        <x:f>IFERROR(J1474/H1474,0)</x:f>
        <x:v>1</x:v>
      </x:c>
      <x:c r="R1474" s="24" t="n">
        <x:f>IFERROR(F1474/H1474,0)</x:f>
        <x:v>0</x:v>
      </x:c>
      <x:c r="S1474" s="24" t="n">
        <x:f>IFERROR(F1474/J1474,0)</x:f>
        <x:v>0</x:v>
      </x:c>
      <x:c r="T1474" s="28" t="n">
        <x:f>H1474-I1474</x:f>
        <x:v>-12</x:v>
      </x:c>
      <x:c r="U1474" s="24" t="n">
        <x:f>IFERROR(J1474/H1474,0)-IFERROR(K1474/I1474,0)</x:f>
        <x:v>0.6875</x:v>
      </x:c>
      <x:c r="V1474" s="24" t="n">
        <x:f>IFERROR(F1474/J1474,0)-IFERROR(G1474/K1474,0)</x:f>
        <x:v>-0.6</x:v>
      </x:c>
      <x:c r="W1474" s="28" t="n">
        <x:f>L1474-M1474</x:f>
        <x:v>0</x:v>
      </x:c>
      <x:c r="X1474" s="24" t="n">
        <x:f>IFERROR(K1474/I1474,0)</x:f>
        <x:v>0.3125</x:v>
      </x:c>
      <x:c r="Y1474" s="24" t="n">
        <x:f>IFERROR(G1474/I1474,0)</x:f>
        <x:v>0.1875</x:v>
      </x:c>
      <x:c r="Z1474" s="24" t="n">
        <x:f>IFERROR(G1474/K1474,0)</x:f>
        <x:v>0.6</x:v>
      </x:c>
      <x:c r="AA1474" s="24" t="n">
        <x:f>IFERROR(F1474/H1474,0)-IFERROR(G1474/I1474,0)</x:f>
        <x:v>-0.1875</x:v>
      </x:c>
      <x:c r="AB1474" s="28" t="n">
        <x:f>J1474-K1474</x:f>
        <x:v>-1</x:v>
      </x:c>
      <x:c r="AC1474" s="32" t="n">
        <x:f>F1474-G1474</x:f>
        <x:v>-3</x:v>
      </x:c>
    </x:row>
    <x:row r="1475">
      <x:c r="A1475" s="4" t="str">
        <x:v>2022-23</x:v>
      </x:c>
      <x:c r="B1475" s="20" t="n">
        <x:v>45061</x:v>
      </x:c>
      <x:c r="C1475" s="4" t="str">
        <x:v>Liverpool</x:v>
      </x:c>
      <x:c r="D1475" s="4" t="str">
        <x:v>Leicester</x:v>
      </x:c>
      <x:c r="E1475" s="4" t="str">
        <x:v>Away</x:v>
      </x:c>
      <x:c r="F1475" s="28" t="n">
        <x:v>3</x:v>
      </x:c>
      <x:c r="G1475" s="28" t="n">
        <x:v>0</x:v>
      </x:c>
      <x:c r="H1475" s="28" t="n">
        <x:v>16</x:v>
      </x:c>
      <x:c r="I1475" s="28" t="n">
        <x:v>4</x:v>
      </x:c>
      <x:c r="J1475" s="28" t="n">
        <x:v>5</x:v>
      </x:c>
      <x:c r="K1475" s="28" t="n">
        <x:v>4</x:v>
      </x:c>
      <x:c r="L1475" s="28" t="n">
        <x:v>4</x:v>
      </x:c>
      <x:c r="M1475" s="28" t="n">
        <x:v>4</x:v>
      </x:c>
      <x:c r="N1475" s="28" t="n">
        <x:v>1</x:v>
      </x:c>
      <x:c r="O1475" s="28" t="n">
        <x:v>0</x:v>
      </x:c>
      <x:c r="P1475" s="28" t="n">
        <x:v>3</x:v>
      </x:c>
      <x:c r="Q1475" s="24" t="n">
        <x:f>IFERROR(J1475/H1475,0)</x:f>
        <x:v>0.3125</x:v>
      </x:c>
      <x:c r="R1475" s="24" t="n">
        <x:f>IFERROR(F1475/H1475,0)</x:f>
        <x:v>0.1875</x:v>
      </x:c>
      <x:c r="S1475" s="24" t="n">
        <x:f>IFERROR(F1475/J1475,0)</x:f>
        <x:v>0.6</x:v>
      </x:c>
      <x:c r="T1475" s="28" t="n">
        <x:f>H1475-I1475</x:f>
        <x:v>12</x:v>
      </x:c>
      <x:c r="U1475" s="24" t="n">
        <x:f>IFERROR(J1475/H1475,0)-IFERROR(K1475/I1475,0)</x:f>
        <x:v>-0.6875</x:v>
      </x:c>
      <x:c r="V1475" s="24" t="n">
        <x:f>IFERROR(F1475/J1475,0)-IFERROR(G1475/K1475,0)</x:f>
        <x:v>0.6</x:v>
      </x:c>
      <x:c r="W1475" s="28" t="n">
        <x:f>L1475-M1475</x:f>
        <x:v>0</x:v>
      </x:c>
      <x:c r="X1475" s="24" t="n">
        <x:f>IFERROR(K1475/I1475,0)</x:f>
        <x:v>1</x:v>
      </x:c>
      <x:c r="Y1475" s="24" t="n">
        <x:f>IFERROR(G1475/I1475,0)</x:f>
        <x:v>0</x:v>
      </x:c>
      <x:c r="Z1475" s="24" t="n">
        <x:f>IFERROR(G1475/K1475,0)</x:f>
        <x:v>0</x:v>
      </x:c>
      <x:c r="AA1475" s="24" t="n">
        <x:f>IFERROR(F1475/H1475,0)-IFERROR(G1475/I1475,0)</x:f>
        <x:v>0.1875</x:v>
      </x:c>
      <x:c r="AB1475" s="28" t="n">
        <x:f>J1475-K1475</x:f>
        <x:v>1</x:v>
      </x:c>
      <x:c r="AC1475" s="32" t="n">
        <x:f>F1475-G1475</x:f>
        <x:v>3</x:v>
      </x:c>
    </x:row>
    <x:row r="1476">
      <x:c r="A1476" s="4" t="str">
        <x:v>2022-23</x:v>
      </x:c>
      <x:c r="B1476" s="20" t="n">
        <x:v>45064</x:v>
      </x:c>
      <x:c r="C1476" s="4" t="str">
        <x:v>Brighton</x:v>
      </x:c>
      <x:c r="D1476" s="4" t="str">
        <x:v>Newcastle</x:v>
      </x:c>
      <x:c r="E1476" s="4" t="str">
        <x:v>Away</x:v>
      </x:c>
      <x:c r="F1476" s="28" t="n">
        <x:v>1</x:v>
      </x:c>
      <x:c r="G1476" s="28" t="n">
        <x:v>4</x:v>
      </x:c>
      <x:c r="H1476" s="28" t="n">
        <x:v>8</x:v>
      </x:c>
      <x:c r="I1476" s="28" t="n">
        <x:v>22</x:v>
      </x:c>
      <x:c r="J1476" s="28" t="n">
        <x:v>2</x:v>
      </x:c>
      <x:c r="K1476" s="28" t="n">
        <x:v>9</x:v>
      </x:c>
      <x:c r="L1476" s="28" t="n">
        <x:v>1</x:v>
      </x:c>
      <x:c r="M1476" s="28" t="n">
        <x:v>6</x:v>
      </x:c>
      <x:c r="N1476" s="28" t="n">
        <x:v>4</x:v>
      </x:c>
      <x:c r="O1476" s="28" t="n">
        <x:v>0</x:v>
      </x:c>
      <x:c r="P1476" s="28" t="n">
        <x:v>0</x:v>
      </x:c>
      <x:c r="Q1476" s="24" t="n">
        <x:f>IFERROR(J1476/H1476,0)</x:f>
        <x:v>0.25</x:v>
      </x:c>
      <x:c r="R1476" s="24" t="n">
        <x:f>IFERROR(F1476/H1476,0)</x:f>
        <x:v>0.125</x:v>
      </x:c>
      <x:c r="S1476" s="24" t="n">
        <x:f>IFERROR(F1476/J1476,0)</x:f>
        <x:v>0.5</x:v>
      </x:c>
      <x:c r="T1476" s="28" t="n">
        <x:f>H1476-I1476</x:f>
        <x:v>-14</x:v>
      </x:c>
      <x:c r="U1476" s="24" t="n">
        <x:f>IFERROR(J1476/H1476,0)-IFERROR(K1476/I1476,0)</x:f>
        <x:v>-0.15909090909090912</x:v>
      </x:c>
      <x:c r="V1476" s="24" t="n">
        <x:f>IFERROR(F1476/J1476,0)-IFERROR(G1476/K1476,0)</x:f>
        <x:v>0.05555555555555558</x:v>
      </x:c>
      <x:c r="W1476" s="28" t="n">
        <x:f>L1476-M1476</x:f>
        <x:v>-5</x:v>
      </x:c>
      <x:c r="X1476" s="24" t="n">
        <x:f>IFERROR(K1476/I1476,0)</x:f>
        <x:v>0.4090909090909091</x:v>
      </x:c>
      <x:c r="Y1476" s="24" t="n">
        <x:f>IFERROR(G1476/I1476,0)</x:f>
        <x:v>0.18181818181818182</x:v>
      </x:c>
      <x:c r="Z1476" s="24" t="n">
        <x:f>IFERROR(G1476/K1476,0)</x:f>
        <x:v>0.4444444444444444</x:v>
      </x:c>
      <x:c r="AA1476" s="24" t="n">
        <x:f>IFERROR(F1476/H1476,0)-IFERROR(G1476/I1476,0)</x:f>
        <x:v>-0.05681818181818182</x:v>
      </x:c>
      <x:c r="AB1476" s="28" t="n">
        <x:f>J1476-K1476</x:f>
        <x:v>-7</x:v>
      </x:c>
      <x:c r="AC1476" s="32" t="n">
        <x:f>F1476-G1476</x:f>
        <x:v>-3</x:v>
      </x:c>
    </x:row>
    <x:row r="1477">
      <x:c r="A1477" s="4" t="str">
        <x:v>2022-23</x:v>
      </x:c>
      <x:c r="B1477" s="20" t="n">
        <x:v>45064</x:v>
      </x:c>
      <x:c r="C1477" s="4" t="str">
        <x:v>Newcastle</x:v>
      </x:c>
      <x:c r="D1477" s="4" t="str">
        <x:v>Brighton</x:v>
      </x:c>
      <x:c r="E1477" s="4" t="str">
        <x:v>Home</x:v>
      </x:c>
      <x:c r="F1477" s="28" t="n">
        <x:v>4</x:v>
      </x:c>
      <x:c r="G1477" s="28" t="n">
        <x:v>1</x:v>
      </x:c>
      <x:c r="H1477" s="28" t="n">
        <x:v>22</x:v>
      </x:c>
      <x:c r="I1477" s="28" t="n">
        <x:v>8</x:v>
      </x:c>
      <x:c r="J1477" s="28" t="n">
        <x:v>9</x:v>
      </x:c>
      <x:c r="K1477" s="28" t="n">
        <x:v>2</x:v>
      </x:c>
      <x:c r="L1477" s="28" t="n">
        <x:v>6</x:v>
      </x:c>
      <x:c r="M1477" s="28" t="n">
        <x:v>1</x:v>
      </x:c>
      <x:c r="N1477" s="28" t="n">
        <x:v>2</x:v>
      </x:c>
      <x:c r="O1477" s="28" t="n">
        <x:v>0</x:v>
      </x:c>
      <x:c r="P1477" s="28" t="n">
        <x:v>3</x:v>
      </x:c>
      <x:c r="Q1477" s="24" t="n">
        <x:f>IFERROR(J1477/H1477,0)</x:f>
        <x:v>0.4090909090909091</x:v>
      </x:c>
      <x:c r="R1477" s="24" t="n">
        <x:f>IFERROR(F1477/H1477,0)</x:f>
        <x:v>0.18181818181818182</x:v>
      </x:c>
      <x:c r="S1477" s="24" t="n">
        <x:f>IFERROR(F1477/J1477,0)</x:f>
        <x:v>0.4444444444444444</x:v>
      </x:c>
      <x:c r="T1477" s="28" t="n">
        <x:f>H1477-I1477</x:f>
        <x:v>14</x:v>
      </x:c>
      <x:c r="U1477" s="24" t="n">
        <x:f>IFERROR(J1477/H1477,0)-IFERROR(K1477/I1477,0)</x:f>
        <x:v>0.15909090909090912</x:v>
      </x:c>
      <x:c r="V1477" s="24" t="n">
        <x:f>IFERROR(F1477/J1477,0)-IFERROR(G1477/K1477,0)</x:f>
        <x:v>-0.05555555555555558</x:v>
      </x:c>
      <x:c r="W1477" s="28" t="n">
        <x:f>L1477-M1477</x:f>
        <x:v>5</x:v>
      </x:c>
      <x:c r="X1477" s="24" t="n">
        <x:f>IFERROR(K1477/I1477,0)</x:f>
        <x:v>0.25</x:v>
      </x:c>
      <x:c r="Y1477" s="24" t="n">
        <x:f>IFERROR(G1477/I1477,0)</x:f>
        <x:v>0.125</x:v>
      </x:c>
      <x:c r="Z1477" s="24" t="n">
        <x:f>IFERROR(G1477/K1477,0)</x:f>
        <x:v>0.5</x:v>
      </x:c>
      <x:c r="AA1477" s="24" t="n">
        <x:f>IFERROR(F1477/H1477,0)-IFERROR(G1477/I1477,0)</x:f>
        <x:v>0.05681818181818182</x:v>
      </x:c>
      <x:c r="AB1477" s="28" t="n">
        <x:f>J1477-K1477</x:f>
        <x:v>7</x:v>
      </x:c>
      <x:c r="AC1477" s="32" t="n">
        <x:f>F1477-G1477</x:f>
        <x:v>3</x:v>
      </x:c>
    </x:row>
    <x:row r="1478">
      <x:c r="A1478" s="4" t="str">
        <x:v>2022-23</x:v>
      </x:c>
      <x:c r="B1478" s="20" t="n">
        <x:v>45066</x:v>
      </x:c>
      <x:c r="C1478" s="4" t="str">
        <x:v>Arsenal</x:v>
      </x:c>
      <x:c r="D1478" s="4" t="str">
        <x:v>Nott'm Forest</x:v>
      </x:c>
      <x:c r="E1478" s="4" t="str">
        <x:v>Away</x:v>
      </x:c>
      <x:c r="F1478" s="28" t="n">
        <x:v>0</x:v>
      </x:c>
      <x:c r="G1478" s="28" t="n">
        <x:v>1</x:v>
      </x:c>
      <x:c r="H1478" s="28" t="n">
        <x:v>11</x:v>
      </x:c>
      <x:c r="I1478" s="28" t="n">
        <x:v>6</x:v>
      </x:c>
      <x:c r="J1478" s="28" t="n">
        <x:v>3</x:v>
      </x:c>
      <x:c r="K1478" s="28" t="n">
        <x:v>2</x:v>
      </x:c>
      <x:c r="L1478" s="28" t="n">
        <x:v>6</x:v>
      </x:c>
      <x:c r="M1478" s="28" t="n">
        <x:v>3</x:v>
      </x:c>
      <x:c r="N1478" s="28" t="n">
        <x:v>2</x:v>
      </x:c>
      <x:c r="O1478" s="28" t="n">
        <x:v>0</x:v>
      </x:c>
      <x:c r="P1478" s="28" t="n">
        <x:v>0</x:v>
      </x:c>
      <x:c r="Q1478" s="24" t="n">
        <x:f>IFERROR(J1478/H1478,0)</x:f>
        <x:v>0.2727272727272727</x:v>
      </x:c>
      <x:c r="R1478" s="24" t="n">
        <x:f>IFERROR(F1478/H1478,0)</x:f>
        <x:v>0</x:v>
      </x:c>
      <x:c r="S1478" s="24" t="n">
        <x:f>IFERROR(F1478/J1478,0)</x:f>
        <x:v>0</x:v>
      </x:c>
      <x:c r="T1478" s="28" t="n">
        <x:f>H1478-I1478</x:f>
        <x:v>5</x:v>
      </x:c>
      <x:c r="U1478" s="24" t="n">
        <x:f>IFERROR(J1478/H1478,0)-IFERROR(K1478/I1478,0)</x:f>
        <x:v>-0.06060606060606061</x:v>
      </x:c>
      <x:c r="V1478" s="24" t="n">
        <x:f>IFERROR(F1478/J1478,0)-IFERROR(G1478/K1478,0)</x:f>
        <x:v>-0.5</x:v>
      </x:c>
      <x:c r="W1478" s="28" t="n">
        <x:f>L1478-M1478</x:f>
        <x:v>3</x:v>
      </x:c>
      <x:c r="X1478" s="24" t="n">
        <x:f>IFERROR(K1478/I1478,0)</x:f>
        <x:v>0.3333333333333333</x:v>
      </x:c>
      <x:c r="Y1478" s="24" t="n">
        <x:f>IFERROR(G1478/I1478,0)</x:f>
        <x:v>0.16666666666666666</x:v>
      </x:c>
      <x:c r="Z1478" s="24" t="n">
        <x:f>IFERROR(G1478/K1478,0)</x:f>
        <x:v>0.5</x:v>
      </x:c>
      <x:c r="AA1478" s="24" t="n">
        <x:f>IFERROR(F1478/H1478,0)-IFERROR(G1478/I1478,0)</x:f>
        <x:v>-0.16666666666666666</x:v>
      </x:c>
      <x:c r="AB1478" s="28" t="n">
        <x:f>J1478-K1478</x:f>
        <x:v>1</x:v>
      </x:c>
      <x:c r="AC1478" s="32" t="n">
        <x:f>F1478-G1478</x:f>
        <x:v>-1</x:v>
      </x:c>
    </x:row>
    <x:row r="1479">
      <x:c r="A1479" s="4" t="str">
        <x:v>2022-23</x:v>
      </x:c>
      <x:c r="B1479" s="20" t="n">
        <x:v>45066</x:v>
      </x:c>
      <x:c r="C1479" s="4" t="str">
        <x:v>Aston Villa</x:v>
      </x:c>
      <x:c r="D1479" s="4" t="str">
        <x:v>Liverpool</x:v>
      </x:c>
      <x:c r="E1479" s="4" t="str">
        <x:v>Away</x:v>
      </x:c>
      <x:c r="F1479" s="28" t="n">
        <x:v>1</x:v>
      </x:c>
      <x:c r="G1479" s="28" t="n">
        <x:v>1</x:v>
      </x:c>
      <x:c r="H1479" s="28" t="n">
        <x:v>6</x:v>
      </x:c>
      <x:c r="I1479" s="28" t="n">
        <x:v>10</x:v>
      </x:c>
      <x:c r="J1479" s="28" t="n">
        <x:v>3</x:v>
      </x:c>
      <x:c r="K1479" s="28" t="n">
        <x:v>5</x:v>
      </x:c>
      <x:c r="L1479" s="28" t="n">
        <x:v>4</x:v>
      </x:c>
      <x:c r="M1479" s="28" t="n">
        <x:v>9</x:v>
      </x:c>
      <x:c r="N1479" s="28" t="n">
        <x:v>5</x:v>
      </x:c>
      <x:c r="O1479" s="28" t="n">
        <x:v>0</x:v>
      </x:c>
      <x:c r="P1479" s="28" t="n">
        <x:v>1</x:v>
      </x:c>
      <x:c r="Q1479" s="24" t="n">
        <x:f>IFERROR(J1479/H1479,0)</x:f>
        <x:v>0.5</x:v>
      </x:c>
      <x:c r="R1479" s="24" t="n">
        <x:f>IFERROR(F1479/H1479,0)</x:f>
        <x:v>0.16666666666666666</x:v>
      </x:c>
      <x:c r="S1479" s="24" t="n">
        <x:f>IFERROR(F1479/J1479,0)</x:f>
        <x:v>0.3333333333333333</x:v>
      </x:c>
      <x:c r="T1479" s="28" t="n">
        <x:f>H1479-I1479</x:f>
        <x:v>-4</x:v>
      </x:c>
      <x:c r="U1479" s="24" t="n">
        <x:f>IFERROR(J1479/H1479,0)-IFERROR(K1479/I1479,0)</x:f>
        <x:v>0</x:v>
      </x:c>
      <x:c r="V1479" s="24" t="n">
        <x:f>IFERROR(F1479/J1479,0)-IFERROR(G1479/K1479,0)</x:f>
        <x:v>0.1333333333333333</x:v>
      </x:c>
      <x:c r="W1479" s="28" t="n">
        <x:f>L1479-M1479</x:f>
        <x:v>-5</x:v>
      </x:c>
      <x:c r="X1479" s="24" t="n">
        <x:f>IFERROR(K1479/I1479,0)</x:f>
        <x:v>0.5</x:v>
      </x:c>
      <x:c r="Y1479" s="24" t="n">
        <x:f>IFERROR(G1479/I1479,0)</x:f>
        <x:v>0.1</x:v>
      </x:c>
      <x:c r="Z1479" s="24" t="n">
        <x:f>IFERROR(G1479/K1479,0)</x:f>
        <x:v>0.2</x:v>
      </x:c>
      <x:c r="AA1479" s="24" t="n">
        <x:f>IFERROR(F1479/H1479,0)-IFERROR(G1479/I1479,0)</x:f>
        <x:v>0.06666666666666665</x:v>
      </x:c>
      <x:c r="AB1479" s="28" t="n">
        <x:f>J1479-K1479</x:f>
        <x:v>-2</x:v>
      </x:c>
      <x:c r="AC1479" s="32" t="n">
        <x:f>F1479-G1479</x:f>
        <x:v>0</x:v>
      </x:c>
    </x:row>
    <x:row r="1480">
      <x:c r="A1480" s="4" t="str">
        <x:v>2022-23</x:v>
      </x:c>
      <x:c r="B1480" s="20" t="n">
        <x:v>45066</x:v>
      </x:c>
      <x:c r="C1480" s="4" t="str">
        <x:v>Bournemouth</x:v>
      </x:c>
      <x:c r="D1480" s="4" t="str">
        <x:v>Man United</x:v>
      </x:c>
      <x:c r="E1480" s="4" t="str">
        <x:v>Home</x:v>
      </x:c>
      <x:c r="F1480" s="28" t="n">
        <x:v>0</x:v>
      </x:c>
      <x:c r="G1480" s="28" t="n">
        <x:v>1</x:v>
      </x:c>
      <x:c r="H1480" s="28" t="n">
        <x:v>10</x:v>
      </x:c>
      <x:c r="I1480" s="28" t="n">
        <x:v>20</x:v>
      </x:c>
      <x:c r="J1480" s="28" t="n">
        <x:v>4</x:v>
      </x:c>
      <x:c r="K1480" s="28" t="n">
        <x:v>5</x:v>
      </x:c>
      <x:c r="L1480" s="28" t="n">
        <x:v>3</x:v>
      </x:c>
      <x:c r="M1480" s="28" t="n">
        <x:v>6</x:v>
      </x:c>
      <x:c r="N1480" s="28" t="n">
        <x:v>1</x:v>
      </x:c>
      <x:c r="O1480" s="28" t="n">
        <x:v>0</x:v>
      </x:c>
      <x:c r="P1480" s="28" t="n">
        <x:v>0</x:v>
      </x:c>
      <x:c r="Q1480" s="24" t="n">
        <x:f>IFERROR(J1480/H1480,0)</x:f>
        <x:v>0.4</x:v>
      </x:c>
      <x:c r="R1480" s="24" t="n">
        <x:f>IFERROR(F1480/H1480,0)</x:f>
        <x:v>0</x:v>
      </x:c>
      <x:c r="S1480" s="24" t="n">
        <x:f>IFERROR(F1480/J1480,0)</x:f>
        <x:v>0</x:v>
      </x:c>
      <x:c r="T1480" s="28" t="n">
        <x:f>H1480-I1480</x:f>
        <x:v>-10</x:v>
      </x:c>
      <x:c r="U1480" s="24" t="n">
        <x:f>IFERROR(J1480/H1480,0)-IFERROR(K1480/I1480,0)</x:f>
        <x:v>0.15000000000000002</x:v>
      </x:c>
      <x:c r="V1480" s="24" t="n">
        <x:f>IFERROR(F1480/J1480,0)-IFERROR(G1480/K1480,0)</x:f>
        <x:v>-0.2</x:v>
      </x:c>
      <x:c r="W1480" s="28" t="n">
        <x:f>L1480-M1480</x:f>
        <x:v>-3</x:v>
      </x:c>
      <x:c r="X1480" s="24" t="n">
        <x:f>IFERROR(K1480/I1480,0)</x:f>
        <x:v>0.25</x:v>
      </x:c>
      <x:c r="Y1480" s="24" t="n">
        <x:f>IFERROR(G1480/I1480,0)</x:f>
        <x:v>0.05</x:v>
      </x:c>
      <x:c r="Z1480" s="24" t="n">
        <x:f>IFERROR(G1480/K1480,0)</x:f>
        <x:v>0.2</x:v>
      </x:c>
      <x:c r="AA1480" s="24" t="n">
        <x:f>IFERROR(F1480/H1480,0)-IFERROR(G1480/I1480,0)</x:f>
        <x:v>-0.05</x:v>
      </x:c>
      <x:c r="AB1480" s="28" t="n">
        <x:f>J1480-K1480</x:f>
        <x:v>-1</x:v>
      </x:c>
      <x:c r="AC1480" s="32" t="n">
        <x:f>F1480-G1480</x:f>
        <x:v>-1</x:v>
      </x:c>
    </x:row>
    <x:row r="1481">
      <x:c r="A1481" s="4" t="str">
        <x:v>2022-23</x:v>
      </x:c>
      <x:c r="B1481" s="20" t="n">
        <x:v>45066</x:v>
      </x:c>
      <x:c r="C1481" s="4" t="str">
        <x:v>Brentford</x:v>
      </x:c>
      <x:c r="D1481" s="4" t="str">
        <x:v>Tottenham</x:v>
      </x:c>
      <x:c r="E1481" s="4" t="str">
        <x:v>Away</x:v>
      </x:c>
      <x:c r="F1481" s="28" t="n">
        <x:v>3</x:v>
      </x:c>
      <x:c r="G1481" s="28" t="n">
        <x:v>1</x:v>
      </x:c>
      <x:c r="H1481" s="28" t="n">
        <x:v>11</x:v>
      </x:c>
      <x:c r="I1481" s="28" t="n">
        <x:v>22</x:v>
      </x:c>
      <x:c r="J1481" s="28" t="n">
        <x:v>4</x:v>
      </x:c>
      <x:c r="K1481" s="28" t="n">
        <x:v>8</x:v>
      </x:c>
      <x:c r="L1481" s="28" t="n">
        <x:v>2</x:v>
      </x:c>
      <x:c r="M1481" s="28" t="n">
        <x:v>8</x:v>
      </x:c>
      <x:c r="N1481" s="28" t="n">
        <x:v>1</x:v>
      </x:c>
      <x:c r="O1481" s="28" t="n">
        <x:v>0</x:v>
      </x:c>
      <x:c r="P1481" s="28" t="n">
        <x:v>3</x:v>
      </x:c>
      <x:c r="Q1481" s="24" t="n">
        <x:f>IFERROR(J1481/H1481,0)</x:f>
        <x:v>0.36363636363636365</x:v>
      </x:c>
      <x:c r="R1481" s="24" t="n">
        <x:f>IFERROR(F1481/H1481,0)</x:f>
        <x:v>0.2727272727272727</x:v>
      </x:c>
      <x:c r="S1481" s="24" t="n">
        <x:f>IFERROR(F1481/J1481,0)</x:f>
        <x:v>0.75</x:v>
      </x:c>
      <x:c r="T1481" s="28" t="n">
        <x:f>H1481-I1481</x:f>
        <x:v>-11</x:v>
      </x:c>
      <x:c r="U1481" s="24" t="n">
        <x:f>IFERROR(J1481/H1481,0)-IFERROR(K1481/I1481,0)</x:f>
        <x:v>0</x:v>
      </x:c>
      <x:c r="V1481" s="24" t="n">
        <x:f>IFERROR(F1481/J1481,0)-IFERROR(G1481/K1481,0)</x:f>
        <x:v>0.625</x:v>
      </x:c>
      <x:c r="W1481" s="28" t="n">
        <x:f>L1481-M1481</x:f>
        <x:v>-6</x:v>
      </x:c>
      <x:c r="X1481" s="24" t="n">
        <x:f>IFERROR(K1481/I1481,0)</x:f>
        <x:v>0.36363636363636365</x:v>
      </x:c>
      <x:c r="Y1481" s="24" t="n">
        <x:f>IFERROR(G1481/I1481,0)</x:f>
        <x:v>0.045454545454545456</x:v>
      </x:c>
      <x:c r="Z1481" s="24" t="n">
        <x:f>IFERROR(G1481/K1481,0)</x:f>
        <x:v>0.125</x:v>
      </x:c>
      <x:c r="AA1481" s="24" t="n">
        <x:f>IFERROR(F1481/H1481,0)-IFERROR(G1481/I1481,0)</x:f>
        <x:v>0.22727272727272724</x:v>
      </x:c>
      <x:c r="AB1481" s="28" t="n">
        <x:f>J1481-K1481</x:f>
        <x:v>-4</x:v>
      </x:c>
      <x:c r="AC1481" s="32" t="n">
        <x:f>F1481-G1481</x:f>
        <x:v>2</x:v>
      </x:c>
    </x:row>
    <x:row r="1482">
      <x:c r="A1482" s="4" t="str">
        <x:v>2022-23</x:v>
      </x:c>
      <x:c r="B1482" s="20" t="n">
        <x:v>45066</x:v>
      </x:c>
      <x:c r="C1482" s="4" t="str">
        <x:v>Crystal Palace</x:v>
      </x:c>
      <x:c r="D1482" s="4" t="str">
        <x:v>Fulham</x:v>
      </x:c>
      <x:c r="E1482" s="4" t="str">
        <x:v>Away</x:v>
      </x:c>
      <x:c r="F1482" s="28" t="n">
        <x:v>2</x:v>
      </x:c>
      <x:c r="G1482" s="28" t="n">
        <x:v>2</x:v>
      </x:c>
      <x:c r="H1482" s="28" t="n">
        <x:v>11</x:v>
      </x:c>
      <x:c r="I1482" s="28" t="n">
        <x:v>11</x:v>
      </x:c>
      <x:c r="J1482" s="28" t="n">
        <x:v>5</x:v>
      </x:c>
      <x:c r="K1482" s="28" t="n">
        <x:v>4</x:v>
      </x:c>
      <x:c r="L1482" s="28" t="n">
        <x:v>4</x:v>
      </x:c>
      <x:c r="M1482" s="28" t="n">
        <x:v>7</x:v>
      </x:c>
      <x:c r="N1482" s="28" t="n">
        <x:v>0</x:v>
      </x:c>
      <x:c r="O1482" s="28" t="n">
        <x:v>0</x:v>
      </x:c>
      <x:c r="P1482" s="28" t="n">
        <x:v>1</x:v>
      </x:c>
      <x:c r="Q1482" s="24" t="n">
        <x:f>IFERROR(J1482/H1482,0)</x:f>
        <x:v>0.45454545454545453</x:v>
      </x:c>
      <x:c r="R1482" s="24" t="n">
        <x:f>IFERROR(F1482/H1482,0)</x:f>
        <x:v>0.18181818181818182</x:v>
      </x:c>
      <x:c r="S1482" s="24" t="n">
        <x:f>IFERROR(F1482/J1482,0)</x:f>
        <x:v>0.4</x:v>
      </x:c>
      <x:c r="T1482" s="28" t="n">
        <x:f>H1482-I1482</x:f>
        <x:v>0</x:v>
      </x:c>
      <x:c r="U1482" s="24" t="n">
        <x:f>IFERROR(J1482/H1482,0)-IFERROR(K1482/I1482,0)</x:f>
        <x:v>0.09090909090909088</x:v>
      </x:c>
      <x:c r="V1482" s="24" t="n">
        <x:f>IFERROR(F1482/J1482,0)-IFERROR(G1482/K1482,0)</x:f>
        <x:v>-0.09999999999999998</x:v>
      </x:c>
      <x:c r="W1482" s="28" t="n">
        <x:f>L1482-M1482</x:f>
        <x:v>-3</x:v>
      </x:c>
      <x:c r="X1482" s="24" t="n">
        <x:f>IFERROR(K1482/I1482,0)</x:f>
        <x:v>0.36363636363636365</x:v>
      </x:c>
      <x:c r="Y1482" s="24" t="n">
        <x:f>IFERROR(G1482/I1482,0)</x:f>
        <x:v>0.18181818181818182</x:v>
      </x:c>
      <x:c r="Z1482" s="24" t="n">
        <x:f>IFERROR(G1482/K1482,0)</x:f>
        <x:v>0.5</x:v>
      </x:c>
      <x:c r="AA1482" s="24" t="n">
        <x:f>IFERROR(F1482/H1482,0)-IFERROR(G1482/I1482,0)</x:f>
        <x:v>0</x:v>
      </x:c>
      <x:c r="AB1482" s="28" t="n">
        <x:f>J1482-K1482</x:f>
        <x:v>1</x:v>
      </x:c>
      <x:c r="AC1482" s="32" t="n">
        <x:f>F1482-G1482</x:f>
        <x:v>0</x:v>
      </x:c>
    </x:row>
    <x:row r="1483">
      <x:c r="A1483" s="4" t="str">
        <x:v>2022-23</x:v>
      </x:c>
      <x:c r="B1483" s="20" t="n">
        <x:v>45066</x:v>
      </x:c>
      <x:c r="C1483" s="4" t="str">
        <x:v>Everton</x:v>
      </x:c>
      <x:c r="D1483" s="4" t="str">
        <x:v>Wolves</x:v>
      </x:c>
      <x:c r="E1483" s="4" t="str">
        <x:v>Away</x:v>
      </x:c>
      <x:c r="F1483" s="28" t="n">
        <x:v>1</x:v>
      </x:c>
      <x:c r="G1483" s="28" t="n">
        <x:v>1</x:v>
      </x:c>
      <x:c r="H1483" s="28" t="n">
        <x:v>19</x:v>
      </x:c>
      <x:c r="I1483" s="28" t="n">
        <x:v>13</x:v>
      </x:c>
      <x:c r="J1483" s="28" t="n">
        <x:v>4</x:v>
      </x:c>
      <x:c r="K1483" s="28" t="n">
        <x:v>5</x:v>
      </x:c>
      <x:c r="L1483" s="28" t="n">
        <x:v>7</x:v>
      </x:c>
      <x:c r="M1483" s="28" t="n">
        <x:v>1</x:v>
      </x:c>
      <x:c r="N1483" s="28" t="n">
        <x:v>1</x:v>
      </x:c>
      <x:c r="O1483" s="28" t="n">
        <x:v>0</x:v>
      </x:c>
      <x:c r="P1483" s="28" t="n">
        <x:v>1</x:v>
      </x:c>
      <x:c r="Q1483" s="24" t="n">
        <x:f>IFERROR(J1483/H1483,0)</x:f>
        <x:v>0.21052631578947367</x:v>
      </x:c>
      <x:c r="R1483" s="24" t="n">
        <x:f>IFERROR(F1483/H1483,0)</x:f>
        <x:v>0.05263157894736842</x:v>
      </x:c>
      <x:c r="S1483" s="24" t="n">
        <x:f>IFERROR(F1483/J1483,0)</x:f>
        <x:v>0.25</x:v>
      </x:c>
      <x:c r="T1483" s="28" t="n">
        <x:f>H1483-I1483</x:f>
        <x:v>6</x:v>
      </x:c>
      <x:c r="U1483" s="24" t="n">
        <x:f>IFERROR(J1483/H1483,0)-IFERROR(K1483/I1483,0)</x:f>
        <x:v>-0.17408906882591096</x:v>
      </x:c>
      <x:c r="V1483" s="24" t="n">
        <x:f>IFERROR(F1483/J1483,0)-IFERROR(G1483/K1483,0)</x:f>
        <x:v>0.04999999999999999</x:v>
      </x:c>
      <x:c r="W1483" s="28" t="n">
        <x:f>L1483-M1483</x:f>
        <x:v>6</x:v>
      </x:c>
      <x:c r="X1483" s="24" t="n">
        <x:f>IFERROR(K1483/I1483,0)</x:f>
        <x:v>0.38461538461538464</x:v>
      </x:c>
      <x:c r="Y1483" s="24" t="n">
        <x:f>IFERROR(G1483/I1483,0)</x:f>
        <x:v>0.07692307692307693</x:v>
      </x:c>
      <x:c r="Z1483" s="24" t="n">
        <x:f>IFERROR(G1483/K1483,0)</x:f>
        <x:v>0.2</x:v>
      </x:c>
      <x:c r="AA1483" s="24" t="n">
        <x:f>IFERROR(F1483/H1483,0)-IFERROR(G1483/I1483,0)</x:f>
        <x:v>-0.02429149797570851</x:v>
      </x:c>
      <x:c r="AB1483" s="28" t="n">
        <x:f>J1483-K1483</x:f>
        <x:v>-1</x:v>
      </x:c>
      <x:c r="AC1483" s="32" t="n">
        <x:f>F1483-G1483</x:f>
        <x:v>0</x:v>
      </x:c>
    </x:row>
    <x:row r="1484">
      <x:c r="A1484" s="4" t="str">
        <x:v>2022-23</x:v>
      </x:c>
      <x:c r="B1484" s="20" t="n">
        <x:v>45066</x:v>
      </x:c>
      <x:c r="C1484" s="4" t="str">
        <x:v>Fulham</x:v>
      </x:c>
      <x:c r="D1484" s="4" t="str">
        <x:v>Crystal Palace</x:v>
      </x:c>
      <x:c r="E1484" s="4" t="str">
        <x:v>Home</x:v>
      </x:c>
      <x:c r="F1484" s="28" t="n">
        <x:v>2</x:v>
      </x:c>
      <x:c r="G1484" s="28" t="n">
        <x:v>2</x:v>
      </x:c>
      <x:c r="H1484" s="28" t="n">
        <x:v>11</x:v>
      </x:c>
      <x:c r="I1484" s="28" t="n">
        <x:v>11</x:v>
      </x:c>
      <x:c r="J1484" s="28" t="n">
        <x:v>4</x:v>
      </x:c>
      <x:c r="K1484" s="28" t="n">
        <x:v>5</x:v>
      </x:c>
      <x:c r="L1484" s="28" t="n">
        <x:v>7</x:v>
      </x:c>
      <x:c r="M1484" s="28" t="n">
        <x:v>4</x:v>
      </x:c>
      <x:c r="N1484" s="28" t="n">
        <x:v>3</x:v>
      </x:c>
      <x:c r="O1484" s="28" t="n">
        <x:v>0</x:v>
      </x:c>
      <x:c r="P1484" s="28" t="n">
        <x:v>1</x:v>
      </x:c>
      <x:c r="Q1484" s="24" t="n">
        <x:f>IFERROR(J1484/H1484,0)</x:f>
        <x:v>0.36363636363636365</x:v>
      </x:c>
      <x:c r="R1484" s="24" t="n">
        <x:f>IFERROR(F1484/H1484,0)</x:f>
        <x:v>0.18181818181818182</x:v>
      </x:c>
      <x:c r="S1484" s="24" t="n">
        <x:f>IFERROR(F1484/J1484,0)</x:f>
        <x:v>0.5</x:v>
      </x:c>
      <x:c r="T1484" s="28" t="n">
        <x:f>H1484-I1484</x:f>
        <x:v>0</x:v>
      </x:c>
      <x:c r="U1484" s="24" t="n">
        <x:f>IFERROR(J1484/H1484,0)-IFERROR(K1484/I1484,0)</x:f>
        <x:v>-0.09090909090909088</x:v>
      </x:c>
      <x:c r="V1484" s="24" t="n">
        <x:f>IFERROR(F1484/J1484,0)-IFERROR(G1484/K1484,0)</x:f>
        <x:v>0.09999999999999998</x:v>
      </x:c>
      <x:c r="W1484" s="28" t="n">
        <x:f>L1484-M1484</x:f>
        <x:v>3</x:v>
      </x:c>
      <x:c r="X1484" s="24" t="n">
        <x:f>IFERROR(K1484/I1484,0)</x:f>
        <x:v>0.45454545454545453</x:v>
      </x:c>
      <x:c r="Y1484" s="24" t="n">
        <x:f>IFERROR(G1484/I1484,0)</x:f>
        <x:v>0.18181818181818182</x:v>
      </x:c>
      <x:c r="Z1484" s="24" t="n">
        <x:f>IFERROR(G1484/K1484,0)</x:f>
        <x:v>0.4</x:v>
      </x:c>
      <x:c r="AA1484" s="24" t="n">
        <x:f>IFERROR(F1484/H1484,0)-IFERROR(G1484/I1484,0)</x:f>
        <x:v>0</x:v>
      </x:c>
      <x:c r="AB1484" s="28" t="n">
        <x:f>J1484-K1484</x:f>
        <x:v>-1</x:v>
      </x:c>
      <x:c r="AC1484" s="32" t="n">
        <x:f>F1484-G1484</x:f>
        <x:v>0</x:v>
      </x:c>
    </x:row>
    <x:row r="1485">
      <x:c r="A1485" s="4" t="str">
        <x:v>2022-23</x:v>
      </x:c>
      <x:c r="B1485" s="20" t="n">
        <x:v>45066</x:v>
      </x:c>
      <x:c r="C1485" s="4" t="str">
        <x:v>Liverpool</x:v>
      </x:c>
      <x:c r="D1485" s="4" t="str">
        <x:v>Aston Villa</x:v>
      </x:c>
      <x:c r="E1485" s="4" t="str">
        <x:v>Home</x:v>
      </x:c>
      <x:c r="F1485" s="28" t="n">
        <x:v>1</x:v>
      </x:c>
      <x:c r="G1485" s="28" t="n">
        <x:v>1</x:v>
      </x:c>
      <x:c r="H1485" s="28" t="n">
        <x:v>10</x:v>
      </x:c>
      <x:c r="I1485" s="28" t="n">
        <x:v>6</x:v>
      </x:c>
      <x:c r="J1485" s="28" t="n">
        <x:v>5</x:v>
      </x:c>
      <x:c r="K1485" s="28" t="n">
        <x:v>3</x:v>
      </x:c>
      <x:c r="L1485" s="28" t="n">
        <x:v>9</x:v>
      </x:c>
      <x:c r="M1485" s="28" t="n">
        <x:v>4</x:v>
      </x:c>
      <x:c r="N1485" s="28" t="n">
        <x:v>3</x:v>
      </x:c>
      <x:c r="O1485" s="28" t="n">
        <x:v>0</x:v>
      </x:c>
      <x:c r="P1485" s="28" t="n">
        <x:v>1</x:v>
      </x:c>
      <x:c r="Q1485" s="24" t="n">
        <x:f>IFERROR(J1485/H1485,0)</x:f>
        <x:v>0.5</x:v>
      </x:c>
      <x:c r="R1485" s="24" t="n">
        <x:f>IFERROR(F1485/H1485,0)</x:f>
        <x:v>0.1</x:v>
      </x:c>
      <x:c r="S1485" s="24" t="n">
        <x:f>IFERROR(F1485/J1485,0)</x:f>
        <x:v>0.2</x:v>
      </x:c>
      <x:c r="T1485" s="28" t="n">
        <x:f>H1485-I1485</x:f>
        <x:v>4</x:v>
      </x:c>
      <x:c r="U1485" s="24" t="n">
        <x:f>IFERROR(J1485/H1485,0)-IFERROR(K1485/I1485,0)</x:f>
        <x:v>0</x:v>
      </x:c>
      <x:c r="V1485" s="24" t="n">
        <x:f>IFERROR(F1485/J1485,0)-IFERROR(G1485/K1485,0)</x:f>
        <x:v>-0.1333333333333333</x:v>
      </x:c>
      <x:c r="W1485" s="28" t="n">
        <x:f>L1485-M1485</x:f>
        <x:v>5</x:v>
      </x:c>
      <x:c r="X1485" s="24" t="n">
        <x:f>IFERROR(K1485/I1485,0)</x:f>
        <x:v>0.5</x:v>
      </x:c>
      <x:c r="Y1485" s="24" t="n">
        <x:f>IFERROR(G1485/I1485,0)</x:f>
        <x:v>0.16666666666666666</x:v>
      </x:c>
      <x:c r="Z1485" s="24" t="n">
        <x:f>IFERROR(G1485/K1485,0)</x:f>
        <x:v>0.3333333333333333</x:v>
      </x:c>
      <x:c r="AA1485" s="24" t="n">
        <x:f>IFERROR(F1485/H1485,0)-IFERROR(G1485/I1485,0)</x:f>
        <x:v>-0.06666666666666665</x:v>
      </x:c>
      <x:c r="AB1485" s="28" t="n">
        <x:f>J1485-K1485</x:f>
        <x:v>2</x:v>
      </x:c>
      <x:c r="AC1485" s="32" t="n">
        <x:f>F1485-G1485</x:f>
        <x:v>0</x:v>
      </x:c>
    </x:row>
    <x:row r="1486">
      <x:c r="A1486" s="4" t="str">
        <x:v>2022-23</x:v>
      </x:c>
      <x:c r="B1486" s="20" t="n">
        <x:v>45066</x:v>
      </x:c>
      <x:c r="C1486" s="4" t="str">
        <x:v>Man United</x:v>
      </x:c>
      <x:c r="D1486" s="4" t="str">
        <x:v>Bournemouth</x:v>
      </x:c>
      <x:c r="E1486" s="4" t="str">
        <x:v>Away</x:v>
      </x:c>
      <x:c r="F1486" s="28" t="n">
        <x:v>1</x:v>
      </x:c>
      <x:c r="G1486" s="28" t="n">
        <x:v>0</x:v>
      </x:c>
      <x:c r="H1486" s="28" t="n">
        <x:v>20</x:v>
      </x:c>
      <x:c r="I1486" s="28" t="n">
        <x:v>10</x:v>
      </x:c>
      <x:c r="J1486" s="28" t="n">
        <x:v>5</x:v>
      </x:c>
      <x:c r="K1486" s="28" t="n">
        <x:v>4</x:v>
      </x:c>
      <x:c r="L1486" s="28" t="n">
        <x:v>6</x:v>
      </x:c>
      <x:c r="M1486" s="28" t="n">
        <x:v>3</x:v>
      </x:c>
      <x:c r="N1486" s="28" t="n">
        <x:v>0</x:v>
      </x:c>
      <x:c r="O1486" s="28" t="n">
        <x:v>0</x:v>
      </x:c>
      <x:c r="P1486" s="28" t="n">
        <x:v>3</x:v>
      </x:c>
      <x:c r="Q1486" s="24" t="n">
        <x:f>IFERROR(J1486/H1486,0)</x:f>
        <x:v>0.25</x:v>
      </x:c>
      <x:c r="R1486" s="24" t="n">
        <x:f>IFERROR(F1486/H1486,0)</x:f>
        <x:v>0.05</x:v>
      </x:c>
      <x:c r="S1486" s="24" t="n">
        <x:f>IFERROR(F1486/J1486,0)</x:f>
        <x:v>0.2</x:v>
      </x:c>
      <x:c r="T1486" s="28" t="n">
        <x:f>H1486-I1486</x:f>
        <x:v>10</x:v>
      </x:c>
      <x:c r="U1486" s="24" t="n">
        <x:f>IFERROR(J1486/H1486,0)-IFERROR(K1486/I1486,0)</x:f>
        <x:v>-0.15000000000000002</x:v>
      </x:c>
      <x:c r="V1486" s="24" t="n">
        <x:f>IFERROR(F1486/J1486,0)-IFERROR(G1486/K1486,0)</x:f>
        <x:v>0.2</x:v>
      </x:c>
      <x:c r="W1486" s="28" t="n">
        <x:f>L1486-M1486</x:f>
        <x:v>3</x:v>
      </x:c>
      <x:c r="X1486" s="24" t="n">
        <x:f>IFERROR(K1486/I1486,0)</x:f>
        <x:v>0.4</x:v>
      </x:c>
      <x:c r="Y1486" s="24" t="n">
        <x:f>IFERROR(G1486/I1486,0)</x:f>
        <x:v>0</x:v>
      </x:c>
      <x:c r="Z1486" s="24" t="n">
        <x:f>IFERROR(G1486/K1486,0)</x:f>
        <x:v>0</x:v>
      </x:c>
      <x:c r="AA1486" s="24" t="n">
        <x:f>IFERROR(F1486/H1486,0)-IFERROR(G1486/I1486,0)</x:f>
        <x:v>0.05</x:v>
      </x:c>
      <x:c r="AB1486" s="28" t="n">
        <x:f>J1486-K1486</x:f>
        <x:v>1</x:v>
      </x:c>
      <x:c r="AC1486" s="32" t="n">
        <x:f>F1486-G1486</x:f>
        <x:v>1</x:v>
      </x:c>
    </x:row>
    <x:row r="1487">
      <x:c r="A1487" s="4" t="str">
        <x:v>2022-23</x:v>
      </x:c>
      <x:c r="B1487" s="20" t="n">
        <x:v>45066</x:v>
      </x:c>
      <x:c r="C1487" s="4" t="str">
        <x:v>Nott'm Forest</x:v>
      </x:c>
      <x:c r="D1487" s="4" t="str">
        <x:v>Arsenal</x:v>
      </x:c>
      <x:c r="E1487" s="4" t="str">
        <x:v>Home</x:v>
      </x:c>
      <x:c r="F1487" s="28" t="n">
        <x:v>1</x:v>
      </x:c>
      <x:c r="G1487" s="28" t="n">
        <x:v>0</x:v>
      </x:c>
      <x:c r="H1487" s="28" t="n">
        <x:v>6</x:v>
      </x:c>
      <x:c r="I1487" s="28" t="n">
        <x:v>11</x:v>
      </x:c>
      <x:c r="J1487" s="28" t="n">
        <x:v>2</x:v>
      </x:c>
      <x:c r="K1487" s="28" t="n">
        <x:v>3</x:v>
      </x:c>
      <x:c r="L1487" s="28" t="n">
        <x:v>3</x:v>
      </x:c>
      <x:c r="M1487" s="28" t="n">
        <x:v>6</x:v>
      </x:c>
      <x:c r="N1487" s="28" t="n">
        <x:v>3</x:v>
      </x:c>
      <x:c r="O1487" s="28" t="n">
        <x:v>0</x:v>
      </x:c>
      <x:c r="P1487" s="28" t="n">
        <x:v>3</x:v>
      </x:c>
      <x:c r="Q1487" s="24" t="n">
        <x:f>IFERROR(J1487/H1487,0)</x:f>
        <x:v>0.3333333333333333</x:v>
      </x:c>
      <x:c r="R1487" s="24" t="n">
        <x:f>IFERROR(F1487/H1487,0)</x:f>
        <x:v>0.16666666666666666</x:v>
      </x:c>
      <x:c r="S1487" s="24" t="n">
        <x:f>IFERROR(F1487/J1487,0)</x:f>
        <x:v>0.5</x:v>
      </x:c>
      <x:c r="T1487" s="28" t="n">
        <x:f>H1487-I1487</x:f>
        <x:v>-5</x:v>
      </x:c>
      <x:c r="U1487" s="24" t="n">
        <x:f>IFERROR(J1487/H1487,0)-IFERROR(K1487/I1487,0)</x:f>
        <x:v>0.06060606060606061</x:v>
      </x:c>
      <x:c r="V1487" s="24" t="n">
        <x:f>IFERROR(F1487/J1487,0)-IFERROR(G1487/K1487,0)</x:f>
        <x:v>0.5</x:v>
      </x:c>
      <x:c r="W1487" s="28" t="n">
        <x:f>L1487-M1487</x:f>
        <x:v>-3</x:v>
      </x:c>
      <x:c r="X1487" s="24" t="n">
        <x:f>IFERROR(K1487/I1487,0)</x:f>
        <x:v>0.2727272727272727</x:v>
      </x:c>
      <x:c r="Y1487" s="24" t="n">
        <x:f>IFERROR(G1487/I1487,0)</x:f>
        <x:v>0</x:v>
      </x:c>
      <x:c r="Z1487" s="24" t="n">
        <x:f>IFERROR(G1487/K1487,0)</x:f>
        <x:v>0</x:v>
      </x:c>
      <x:c r="AA1487" s="24" t="n">
        <x:f>IFERROR(F1487/H1487,0)-IFERROR(G1487/I1487,0)</x:f>
        <x:v>0.16666666666666666</x:v>
      </x:c>
      <x:c r="AB1487" s="28" t="n">
        <x:f>J1487-K1487</x:f>
        <x:v>-1</x:v>
      </x:c>
      <x:c r="AC1487" s="32" t="n">
        <x:f>F1487-G1487</x:f>
        <x:v>1</x:v>
      </x:c>
    </x:row>
    <x:row r="1488">
      <x:c r="A1488" s="4" t="str">
        <x:v>2022-23</x:v>
      </x:c>
      <x:c r="B1488" s="20" t="n">
        <x:v>45066</x:v>
      </x:c>
      <x:c r="C1488" s="4" t="str">
        <x:v>Tottenham</x:v>
      </x:c>
      <x:c r="D1488" s="4" t="str">
        <x:v>Brentford</x:v>
      </x:c>
      <x:c r="E1488" s="4" t="str">
        <x:v>Home</x:v>
      </x:c>
      <x:c r="F1488" s="28" t="n">
        <x:v>1</x:v>
      </x:c>
      <x:c r="G1488" s="28" t="n">
        <x:v>3</x:v>
      </x:c>
      <x:c r="H1488" s="28" t="n">
        <x:v>22</x:v>
      </x:c>
      <x:c r="I1488" s="28" t="n">
        <x:v>11</x:v>
      </x:c>
      <x:c r="J1488" s="28" t="n">
        <x:v>8</x:v>
      </x:c>
      <x:c r="K1488" s="28" t="n">
        <x:v>4</x:v>
      </x:c>
      <x:c r="L1488" s="28" t="n">
        <x:v>8</x:v>
      </x:c>
      <x:c r="M1488" s="28" t="n">
        <x:v>2</x:v>
      </x:c>
      <x:c r="N1488" s="28" t="n">
        <x:v>1</x:v>
      </x:c>
      <x:c r="O1488" s="28" t="n">
        <x:v>0</x:v>
      </x:c>
      <x:c r="P1488" s="28" t="n">
        <x:v>0</x:v>
      </x:c>
      <x:c r="Q1488" s="24" t="n">
        <x:f>IFERROR(J1488/H1488,0)</x:f>
        <x:v>0.36363636363636365</x:v>
      </x:c>
      <x:c r="R1488" s="24" t="n">
        <x:f>IFERROR(F1488/H1488,0)</x:f>
        <x:v>0.045454545454545456</x:v>
      </x:c>
      <x:c r="S1488" s="24" t="n">
        <x:f>IFERROR(F1488/J1488,0)</x:f>
        <x:v>0.125</x:v>
      </x:c>
      <x:c r="T1488" s="28" t="n">
        <x:f>H1488-I1488</x:f>
        <x:v>11</x:v>
      </x:c>
      <x:c r="U1488" s="24" t="n">
        <x:f>IFERROR(J1488/H1488,0)-IFERROR(K1488/I1488,0)</x:f>
        <x:v>0</x:v>
      </x:c>
      <x:c r="V1488" s="24" t="n">
        <x:f>IFERROR(F1488/J1488,0)-IFERROR(G1488/K1488,0)</x:f>
        <x:v>-0.625</x:v>
      </x:c>
      <x:c r="W1488" s="28" t="n">
        <x:f>L1488-M1488</x:f>
        <x:v>6</x:v>
      </x:c>
      <x:c r="X1488" s="24" t="n">
        <x:f>IFERROR(K1488/I1488,0)</x:f>
        <x:v>0.36363636363636365</x:v>
      </x:c>
      <x:c r="Y1488" s="24" t="n">
        <x:f>IFERROR(G1488/I1488,0)</x:f>
        <x:v>0.2727272727272727</x:v>
      </x:c>
      <x:c r="Z1488" s="24" t="n">
        <x:f>IFERROR(G1488/K1488,0)</x:f>
        <x:v>0.75</x:v>
      </x:c>
      <x:c r="AA1488" s="24" t="n">
        <x:f>IFERROR(F1488/H1488,0)-IFERROR(G1488/I1488,0)</x:f>
        <x:v>-0.22727272727272724</x:v>
      </x:c>
      <x:c r="AB1488" s="28" t="n">
        <x:f>J1488-K1488</x:f>
        <x:v>4</x:v>
      </x:c>
      <x:c r="AC1488" s="32" t="n">
        <x:f>F1488-G1488</x:f>
        <x:v>-2</x:v>
      </x:c>
    </x:row>
    <x:row r="1489">
      <x:c r="A1489" s="4" t="str">
        <x:v>2022-23</x:v>
      </x:c>
      <x:c r="B1489" s="20" t="n">
        <x:v>45066</x:v>
      </x:c>
      <x:c r="C1489" s="4" t="str">
        <x:v>Wolves</x:v>
      </x:c>
      <x:c r="D1489" s="4" t="str">
        <x:v>Everton</x:v>
      </x:c>
      <x:c r="E1489" s="4" t="str">
        <x:v>Home</x:v>
      </x:c>
      <x:c r="F1489" s="28" t="n">
        <x:v>1</x:v>
      </x:c>
      <x:c r="G1489" s="28" t="n">
        <x:v>1</x:v>
      </x:c>
      <x:c r="H1489" s="28" t="n">
        <x:v>13</x:v>
      </x:c>
      <x:c r="I1489" s="28" t="n">
        <x:v>19</x:v>
      </x:c>
      <x:c r="J1489" s="28" t="n">
        <x:v>5</x:v>
      </x:c>
      <x:c r="K1489" s="28" t="n">
        <x:v>4</x:v>
      </x:c>
      <x:c r="L1489" s="28" t="n">
        <x:v>1</x:v>
      </x:c>
      <x:c r="M1489" s="28" t="n">
        <x:v>7</x:v>
      </x:c>
      <x:c r="N1489" s="28" t="n">
        <x:v>5</x:v>
      </x:c>
      <x:c r="O1489" s="28" t="n">
        <x:v>0</x:v>
      </x:c>
      <x:c r="P1489" s="28" t="n">
        <x:v>1</x:v>
      </x:c>
      <x:c r="Q1489" s="24" t="n">
        <x:f>IFERROR(J1489/H1489,0)</x:f>
        <x:v>0.38461538461538464</x:v>
      </x:c>
      <x:c r="R1489" s="24" t="n">
        <x:f>IFERROR(F1489/H1489,0)</x:f>
        <x:v>0.07692307692307693</x:v>
      </x:c>
      <x:c r="S1489" s="24" t="n">
        <x:f>IFERROR(F1489/J1489,0)</x:f>
        <x:v>0.2</x:v>
      </x:c>
      <x:c r="T1489" s="28" t="n">
        <x:f>H1489-I1489</x:f>
        <x:v>-6</x:v>
      </x:c>
      <x:c r="U1489" s="24" t="n">
        <x:f>IFERROR(J1489/H1489,0)-IFERROR(K1489/I1489,0)</x:f>
        <x:v>0.17408906882591096</x:v>
      </x:c>
      <x:c r="V1489" s="24" t="n">
        <x:f>IFERROR(F1489/J1489,0)-IFERROR(G1489/K1489,0)</x:f>
        <x:v>-0.04999999999999999</x:v>
      </x:c>
      <x:c r="W1489" s="28" t="n">
        <x:f>L1489-M1489</x:f>
        <x:v>-6</x:v>
      </x:c>
      <x:c r="X1489" s="24" t="n">
        <x:f>IFERROR(K1489/I1489,0)</x:f>
        <x:v>0.21052631578947367</x:v>
      </x:c>
      <x:c r="Y1489" s="24" t="n">
        <x:f>IFERROR(G1489/I1489,0)</x:f>
        <x:v>0.05263157894736842</x:v>
      </x:c>
      <x:c r="Z1489" s="24" t="n">
        <x:f>IFERROR(G1489/K1489,0)</x:f>
        <x:v>0.25</x:v>
      </x:c>
      <x:c r="AA1489" s="24" t="n">
        <x:f>IFERROR(F1489/H1489,0)-IFERROR(G1489/I1489,0)</x:f>
        <x:v>0.02429149797570851</x:v>
      </x:c>
      <x:c r="AB1489" s="28" t="n">
        <x:f>J1489-K1489</x:f>
        <x:v>1</x:v>
      </x:c>
      <x:c r="AC1489" s="32" t="n">
        <x:f>F1489-G1489</x:f>
        <x:v>0</x:v>
      </x:c>
    </x:row>
    <x:row r="1490">
      <x:c r="A1490" s="4" t="str">
        <x:v>2022-23</x:v>
      </x:c>
      <x:c r="B1490" s="20" t="n">
        <x:v>45067</x:v>
      </x:c>
      <x:c r="C1490" s="4" t="str">
        <x:v>Brighton</x:v>
      </x:c>
      <x:c r="D1490" s="4" t="str">
        <x:v>Southampton</x:v>
      </x:c>
      <x:c r="E1490" s="4" t="str">
        <x:v>Home</x:v>
      </x:c>
      <x:c r="F1490" s="28" t="n">
        <x:v>3</x:v>
      </x:c>
      <x:c r="G1490" s="28" t="n">
        <x:v>1</x:v>
      </x:c>
      <x:c r="H1490" s="28" t="n">
        <x:v>26</x:v>
      </x:c>
      <x:c r="I1490" s="28" t="n">
        <x:v>5</x:v>
      </x:c>
      <x:c r="J1490" s="28" t="n">
        <x:v>8</x:v>
      </x:c>
      <x:c r="K1490" s="28" t="n">
        <x:v>1</x:v>
      </x:c>
      <x:c r="L1490" s="28" t="n">
        <x:v>4</x:v>
      </x:c>
      <x:c r="M1490" s="28" t="n">
        <x:v>3</x:v>
      </x:c>
      <x:c r="N1490" s="28" t="n">
        <x:v>2</x:v>
      </x:c>
      <x:c r="O1490" s="28" t="n">
        <x:v>0</x:v>
      </x:c>
      <x:c r="P1490" s="28" t="n">
        <x:v>3</x:v>
      </x:c>
      <x:c r="Q1490" s="24" t="n">
        <x:f>IFERROR(J1490/H1490,0)</x:f>
        <x:v>0.3076923076923077</x:v>
      </x:c>
      <x:c r="R1490" s="24" t="n">
        <x:f>IFERROR(F1490/H1490,0)</x:f>
        <x:v>0.11538461538461539</x:v>
      </x:c>
      <x:c r="S1490" s="24" t="n">
        <x:f>IFERROR(F1490/J1490,0)</x:f>
        <x:v>0.375</x:v>
      </x:c>
      <x:c r="T1490" s="28" t="n">
        <x:f>H1490-I1490</x:f>
        <x:v>21</x:v>
      </x:c>
      <x:c r="U1490" s="24" t="n">
        <x:f>IFERROR(J1490/H1490,0)-IFERROR(K1490/I1490,0)</x:f>
        <x:v>0.1076923076923077</x:v>
      </x:c>
      <x:c r="V1490" s="24" t="n">
        <x:f>IFERROR(F1490/J1490,0)-IFERROR(G1490/K1490,0)</x:f>
        <x:v>-0.625</x:v>
      </x:c>
      <x:c r="W1490" s="28" t="n">
        <x:f>L1490-M1490</x:f>
        <x:v>1</x:v>
      </x:c>
      <x:c r="X1490" s="24" t="n">
        <x:f>IFERROR(K1490/I1490,0)</x:f>
        <x:v>0.2</x:v>
      </x:c>
      <x:c r="Y1490" s="24" t="n">
        <x:f>IFERROR(G1490/I1490,0)</x:f>
        <x:v>0.2</x:v>
      </x:c>
      <x:c r="Z1490" s="24" t="n">
        <x:f>IFERROR(G1490/K1490,0)</x:f>
        <x:v>1</x:v>
      </x:c>
      <x:c r="AA1490" s="24" t="n">
        <x:f>IFERROR(F1490/H1490,0)-IFERROR(G1490/I1490,0)</x:f>
        <x:v>-0.08461538461538462</x:v>
      </x:c>
      <x:c r="AB1490" s="28" t="n">
        <x:f>J1490-K1490</x:f>
        <x:v>7</x:v>
      </x:c>
      <x:c r="AC1490" s="32" t="n">
        <x:f>F1490-G1490</x:f>
        <x:v>2</x:v>
      </x:c>
    </x:row>
    <x:row r="1491">
      <x:c r="A1491" s="4" t="str">
        <x:v>2022-23</x:v>
      </x:c>
      <x:c r="B1491" s="20" t="n">
        <x:v>45067</x:v>
      </x:c>
      <x:c r="C1491" s="4" t="str">
        <x:v>Chelsea</x:v>
      </x:c>
      <x:c r="D1491" s="4" t="str">
        <x:v>Man City</x:v>
      </x:c>
      <x:c r="E1491" s="4" t="str">
        <x:v>Away</x:v>
      </x:c>
      <x:c r="F1491" s="28" t="n">
        <x:v>0</x:v>
      </x:c>
      <x:c r="G1491" s="28" t="n">
        <x:v>1</x:v>
      </x:c>
      <x:c r="H1491" s="28" t="n">
        <x:v>13</x:v>
      </x:c>
      <x:c r="I1491" s="28" t="n">
        <x:v>15</x:v>
      </x:c>
      <x:c r="J1491" s="28" t="n">
        <x:v>6</x:v>
      </x:c>
      <x:c r="K1491" s="28" t="n">
        <x:v>2</x:v>
      </x:c>
      <x:c r="L1491" s="28" t="n">
        <x:v>2</x:v>
      </x:c>
      <x:c r="M1491" s="28" t="n">
        <x:v>5</x:v>
      </x:c>
      <x:c r="N1491" s="28" t="n">
        <x:v>2</x:v>
      </x:c>
      <x:c r="O1491" s="28" t="n">
        <x:v>0</x:v>
      </x:c>
      <x:c r="P1491" s="28" t="n">
        <x:v>0</x:v>
      </x:c>
      <x:c r="Q1491" s="24" t="n">
        <x:f>IFERROR(J1491/H1491,0)</x:f>
        <x:v>0.46153846153846156</x:v>
      </x:c>
      <x:c r="R1491" s="24" t="n">
        <x:f>IFERROR(F1491/H1491,0)</x:f>
        <x:v>0</x:v>
      </x:c>
      <x:c r="S1491" s="24" t="n">
        <x:f>IFERROR(F1491/J1491,0)</x:f>
        <x:v>0</x:v>
      </x:c>
      <x:c r="T1491" s="28" t="n">
        <x:f>H1491-I1491</x:f>
        <x:v>-2</x:v>
      </x:c>
      <x:c r="U1491" s="24" t="n">
        <x:f>IFERROR(J1491/H1491,0)-IFERROR(K1491/I1491,0)</x:f>
        <x:v>0.32820512820512826</x:v>
      </x:c>
      <x:c r="V1491" s="24" t="n">
        <x:f>IFERROR(F1491/J1491,0)-IFERROR(G1491/K1491,0)</x:f>
        <x:v>-0.5</x:v>
      </x:c>
      <x:c r="W1491" s="28" t="n">
        <x:f>L1491-M1491</x:f>
        <x:v>-3</x:v>
      </x:c>
      <x:c r="X1491" s="24" t="n">
        <x:f>IFERROR(K1491/I1491,0)</x:f>
        <x:v>0.13333333333333333</x:v>
      </x:c>
      <x:c r="Y1491" s="24" t="n">
        <x:f>IFERROR(G1491/I1491,0)</x:f>
        <x:v>0.06666666666666667</x:v>
      </x:c>
      <x:c r="Z1491" s="24" t="n">
        <x:f>IFERROR(G1491/K1491,0)</x:f>
        <x:v>0.5</x:v>
      </x:c>
      <x:c r="AA1491" s="24" t="n">
        <x:f>IFERROR(F1491/H1491,0)-IFERROR(G1491/I1491,0)</x:f>
        <x:v>-0.06666666666666667</x:v>
      </x:c>
      <x:c r="AB1491" s="28" t="n">
        <x:f>J1491-K1491</x:f>
        <x:v>4</x:v>
      </x:c>
      <x:c r="AC1491" s="32" t="n">
        <x:f>F1491-G1491</x:f>
        <x:v>-1</x:v>
      </x:c>
    </x:row>
    <x:row r="1492">
      <x:c r="A1492" s="4" t="str">
        <x:v>2022-23</x:v>
      </x:c>
      <x:c r="B1492" s="20" t="n">
        <x:v>45067</x:v>
      </x:c>
      <x:c r="C1492" s="4" t="str">
        <x:v>Leeds</x:v>
      </x:c>
      <x:c r="D1492" s="4" t="str">
        <x:v>West Ham</x:v>
      </x:c>
      <x:c r="E1492" s="4" t="str">
        <x:v>Away</x:v>
      </x:c>
      <x:c r="F1492" s="28" t="n">
        <x:v>1</x:v>
      </x:c>
      <x:c r="G1492" s="28" t="n">
        <x:v>3</x:v>
      </x:c>
      <x:c r="H1492" s="28" t="n">
        <x:v>12</x:v>
      </x:c>
      <x:c r="I1492" s="28" t="n">
        <x:v>19</x:v>
      </x:c>
      <x:c r="J1492" s="28" t="n">
        <x:v>3</x:v>
      </x:c>
      <x:c r="K1492" s="28" t="n">
        <x:v>9</x:v>
      </x:c>
      <x:c r="L1492" s="28" t="n">
        <x:v>5</x:v>
      </x:c>
      <x:c r="M1492" s="28" t="n">
        <x:v>9</x:v>
      </x:c>
      <x:c r="N1492" s="28" t="n">
        <x:v>3</x:v>
      </x:c>
      <x:c r="O1492" s="28" t="n">
        <x:v>0</x:v>
      </x:c>
      <x:c r="P1492" s="28" t="n">
        <x:v>0</x:v>
      </x:c>
      <x:c r="Q1492" s="24" t="n">
        <x:f>IFERROR(J1492/H1492,0)</x:f>
        <x:v>0.25</x:v>
      </x:c>
      <x:c r="R1492" s="24" t="n">
        <x:f>IFERROR(F1492/H1492,0)</x:f>
        <x:v>0.08333333333333333</x:v>
      </x:c>
      <x:c r="S1492" s="24" t="n">
        <x:f>IFERROR(F1492/J1492,0)</x:f>
        <x:v>0.3333333333333333</x:v>
      </x:c>
      <x:c r="T1492" s="28" t="n">
        <x:f>H1492-I1492</x:f>
        <x:v>-7</x:v>
      </x:c>
      <x:c r="U1492" s="24" t="n">
        <x:f>IFERROR(J1492/H1492,0)-IFERROR(K1492/I1492,0)</x:f>
        <x:v>-0.22368421052631576</x:v>
      </x:c>
      <x:c r="V1492" s="24" t="n">
        <x:f>IFERROR(F1492/J1492,0)-IFERROR(G1492/K1492,0)</x:f>
        <x:v>0</x:v>
      </x:c>
      <x:c r="W1492" s="28" t="n">
        <x:f>L1492-M1492</x:f>
        <x:v>-4</x:v>
      </x:c>
      <x:c r="X1492" s="24" t="n">
        <x:f>IFERROR(K1492/I1492,0)</x:f>
        <x:v>0.47368421052631576</x:v>
      </x:c>
      <x:c r="Y1492" s="24" t="n">
        <x:f>IFERROR(G1492/I1492,0)</x:f>
        <x:v>0.15789473684210525</x:v>
      </x:c>
      <x:c r="Z1492" s="24" t="n">
        <x:f>IFERROR(G1492/K1492,0)</x:f>
        <x:v>0.3333333333333333</x:v>
      </x:c>
      <x:c r="AA1492" s="24" t="n">
        <x:f>IFERROR(F1492/H1492,0)-IFERROR(G1492/I1492,0)</x:f>
        <x:v>-0.07456140350877193</x:v>
      </x:c>
      <x:c r="AB1492" s="28" t="n">
        <x:f>J1492-K1492</x:f>
        <x:v>-6</x:v>
      </x:c>
      <x:c r="AC1492" s="32" t="n">
        <x:f>F1492-G1492</x:f>
        <x:v>-2</x:v>
      </x:c>
    </x:row>
    <x:row r="1493">
      <x:c r="A1493" s="4" t="str">
        <x:v>2022-23</x:v>
      </x:c>
      <x:c r="B1493" s="20" t="n">
        <x:v>45067</x:v>
      </x:c>
      <x:c r="C1493" s="4" t="str">
        <x:v>Man City</x:v>
      </x:c>
      <x:c r="D1493" s="4" t="str">
        <x:v>Chelsea</x:v>
      </x:c>
      <x:c r="E1493" s="4" t="str">
        <x:v>Home</x:v>
      </x:c>
      <x:c r="F1493" s="28" t="n">
        <x:v>1</x:v>
      </x:c>
      <x:c r="G1493" s="28" t="n">
        <x:v>0</x:v>
      </x:c>
      <x:c r="H1493" s="28" t="n">
        <x:v>15</x:v>
      </x:c>
      <x:c r="I1493" s="28" t="n">
        <x:v>13</x:v>
      </x:c>
      <x:c r="J1493" s="28" t="n">
        <x:v>2</x:v>
      </x:c>
      <x:c r="K1493" s="28" t="n">
        <x:v>6</x:v>
      </x:c>
      <x:c r="L1493" s="28" t="n">
        <x:v>5</x:v>
      </x:c>
      <x:c r="M1493" s="28" t="n">
        <x:v>2</x:v>
      </x:c>
      <x:c r="N1493" s="28" t="n">
        <x:v>0</x:v>
      </x:c>
      <x:c r="O1493" s="28" t="n">
        <x:v>0</x:v>
      </x:c>
      <x:c r="P1493" s="28" t="n">
        <x:v>3</x:v>
      </x:c>
      <x:c r="Q1493" s="24" t="n">
        <x:f>IFERROR(J1493/H1493,0)</x:f>
        <x:v>0.13333333333333333</x:v>
      </x:c>
      <x:c r="R1493" s="24" t="n">
        <x:f>IFERROR(F1493/H1493,0)</x:f>
        <x:v>0.06666666666666667</x:v>
      </x:c>
      <x:c r="S1493" s="24" t="n">
        <x:f>IFERROR(F1493/J1493,0)</x:f>
        <x:v>0.5</x:v>
      </x:c>
      <x:c r="T1493" s="28" t="n">
        <x:f>H1493-I1493</x:f>
        <x:v>2</x:v>
      </x:c>
      <x:c r="U1493" s="24" t="n">
        <x:f>IFERROR(J1493/H1493,0)-IFERROR(K1493/I1493,0)</x:f>
        <x:v>-0.32820512820512826</x:v>
      </x:c>
      <x:c r="V1493" s="24" t="n">
        <x:f>IFERROR(F1493/J1493,0)-IFERROR(G1493/K1493,0)</x:f>
        <x:v>0.5</x:v>
      </x:c>
      <x:c r="W1493" s="28" t="n">
        <x:f>L1493-M1493</x:f>
        <x:v>3</x:v>
      </x:c>
      <x:c r="X1493" s="24" t="n">
        <x:f>IFERROR(K1493/I1493,0)</x:f>
        <x:v>0.46153846153846156</x:v>
      </x:c>
      <x:c r="Y1493" s="24" t="n">
        <x:f>IFERROR(G1493/I1493,0)</x:f>
        <x:v>0</x:v>
      </x:c>
      <x:c r="Z1493" s="24" t="n">
        <x:f>IFERROR(G1493/K1493,0)</x:f>
        <x:v>0</x:v>
      </x:c>
      <x:c r="AA1493" s="24" t="n">
        <x:f>IFERROR(F1493/H1493,0)-IFERROR(G1493/I1493,0)</x:f>
        <x:v>0.06666666666666667</x:v>
      </x:c>
      <x:c r="AB1493" s="28" t="n">
        <x:f>J1493-K1493</x:f>
        <x:v>-4</x:v>
      </x:c>
      <x:c r="AC1493" s="32" t="n">
        <x:f>F1493-G1493</x:f>
        <x:v>1</x:v>
      </x:c>
    </x:row>
    <x:row r="1494">
      <x:c r="A1494" s="4" t="str">
        <x:v>2022-23</x:v>
      </x:c>
      <x:c r="B1494" s="20" t="n">
        <x:v>45067</x:v>
      </x:c>
      <x:c r="C1494" s="4" t="str">
        <x:v>Southampton</x:v>
      </x:c>
      <x:c r="D1494" s="4" t="str">
        <x:v>Brighton</x:v>
      </x:c>
      <x:c r="E1494" s="4" t="str">
        <x:v>Away</x:v>
      </x:c>
      <x:c r="F1494" s="28" t="n">
        <x:v>1</x:v>
      </x:c>
      <x:c r="G1494" s="28" t="n">
        <x:v>3</x:v>
      </x:c>
      <x:c r="H1494" s="28" t="n">
        <x:v>5</x:v>
      </x:c>
      <x:c r="I1494" s="28" t="n">
        <x:v>26</x:v>
      </x:c>
      <x:c r="J1494" s="28" t="n">
        <x:v>1</x:v>
      </x:c>
      <x:c r="K1494" s="28" t="n">
        <x:v>8</x:v>
      </x:c>
      <x:c r="L1494" s="28" t="n">
        <x:v>3</x:v>
      </x:c>
      <x:c r="M1494" s="28" t="n">
        <x:v>4</x:v>
      </x:c>
      <x:c r="N1494" s="28" t="n">
        <x:v>5</x:v>
      </x:c>
      <x:c r="O1494" s="28" t="n">
        <x:v>0</x:v>
      </x:c>
      <x:c r="P1494" s="28" t="n">
        <x:v>0</x:v>
      </x:c>
      <x:c r="Q1494" s="24" t="n">
        <x:f>IFERROR(J1494/H1494,0)</x:f>
        <x:v>0.2</x:v>
      </x:c>
      <x:c r="R1494" s="24" t="n">
        <x:f>IFERROR(F1494/H1494,0)</x:f>
        <x:v>0.2</x:v>
      </x:c>
      <x:c r="S1494" s="24" t="n">
        <x:f>IFERROR(F1494/J1494,0)</x:f>
        <x:v>1</x:v>
      </x:c>
      <x:c r="T1494" s="28" t="n">
        <x:f>H1494-I1494</x:f>
        <x:v>-21</x:v>
      </x:c>
      <x:c r="U1494" s="24" t="n">
        <x:f>IFERROR(J1494/H1494,0)-IFERROR(K1494/I1494,0)</x:f>
        <x:v>-0.1076923076923077</x:v>
      </x:c>
      <x:c r="V1494" s="24" t="n">
        <x:f>IFERROR(F1494/J1494,0)-IFERROR(G1494/K1494,0)</x:f>
        <x:v>0.625</x:v>
      </x:c>
      <x:c r="W1494" s="28" t="n">
        <x:f>L1494-M1494</x:f>
        <x:v>-1</x:v>
      </x:c>
      <x:c r="X1494" s="24" t="n">
        <x:f>IFERROR(K1494/I1494,0)</x:f>
        <x:v>0.3076923076923077</x:v>
      </x:c>
      <x:c r="Y1494" s="24" t="n">
        <x:f>IFERROR(G1494/I1494,0)</x:f>
        <x:v>0.11538461538461539</x:v>
      </x:c>
      <x:c r="Z1494" s="24" t="n">
        <x:f>IFERROR(G1494/K1494,0)</x:f>
        <x:v>0.375</x:v>
      </x:c>
      <x:c r="AA1494" s="24" t="n">
        <x:f>IFERROR(F1494/H1494,0)-IFERROR(G1494/I1494,0)</x:f>
        <x:v>0.08461538461538462</x:v>
      </x:c>
      <x:c r="AB1494" s="28" t="n">
        <x:f>J1494-K1494</x:f>
        <x:v>-7</x:v>
      </x:c>
      <x:c r="AC1494" s="32" t="n">
        <x:f>F1494-G1494</x:f>
        <x:v>-2</x:v>
      </x:c>
    </x:row>
    <x:row r="1495">
      <x:c r="A1495" s="4" t="str">
        <x:v>2022-23</x:v>
      </x:c>
      <x:c r="B1495" s="20" t="n">
        <x:v>45067</x:v>
      </x:c>
      <x:c r="C1495" s="4" t="str">
        <x:v>West Ham</x:v>
      </x:c>
      <x:c r="D1495" s="4" t="str">
        <x:v>Leeds</x:v>
      </x:c>
      <x:c r="E1495" s="4" t="str">
        <x:v>Home</x:v>
      </x:c>
      <x:c r="F1495" s="28" t="n">
        <x:v>3</x:v>
      </x:c>
      <x:c r="G1495" s="28" t="n">
        <x:v>1</x:v>
      </x:c>
      <x:c r="H1495" s="28" t="n">
        <x:v>19</x:v>
      </x:c>
      <x:c r="I1495" s="28" t="n">
        <x:v>12</x:v>
      </x:c>
      <x:c r="J1495" s="28" t="n">
        <x:v>9</x:v>
      </x:c>
      <x:c r="K1495" s="28" t="n">
        <x:v>3</x:v>
      </x:c>
      <x:c r="L1495" s="28" t="n">
        <x:v>9</x:v>
      </x:c>
      <x:c r="M1495" s="28" t="n">
        <x:v>5</x:v>
      </x:c>
      <x:c r="N1495" s="28" t="n">
        <x:v>1</x:v>
      </x:c>
      <x:c r="O1495" s="28" t="n">
        <x:v>0</x:v>
      </x:c>
      <x:c r="P1495" s="28" t="n">
        <x:v>3</x:v>
      </x:c>
      <x:c r="Q1495" s="24" t="n">
        <x:f>IFERROR(J1495/H1495,0)</x:f>
        <x:v>0.47368421052631576</x:v>
      </x:c>
      <x:c r="R1495" s="24" t="n">
        <x:f>IFERROR(F1495/H1495,0)</x:f>
        <x:v>0.15789473684210525</x:v>
      </x:c>
      <x:c r="S1495" s="24" t="n">
        <x:f>IFERROR(F1495/J1495,0)</x:f>
        <x:v>0.3333333333333333</x:v>
      </x:c>
      <x:c r="T1495" s="28" t="n">
        <x:f>H1495-I1495</x:f>
        <x:v>7</x:v>
      </x:c>
      <x:c r="U1495" s="24" t="n">
        <x:f>IFERROR(J1495/H1495,0)-IFERROR(K1495/I1495,0)</x:f>
        <x:v>0.22368421052631576</x:v>
      </x:c>
      <x:c r="V1495" s="24" t="n">
        <x:f>IFERROR(F1495/J1495,0)-IFERROR(G1495/K1495,0)</x:f>
        <x:v>0</x:v>
      </x:c>
      <x:c r="W1495" s="28" t="n">
        <x:f>L1495-M1495</x:f>
        <x:v>4</x:v>
      </x:c>
      <x:c r="X1495" s="24" t="n">
        <x:f>IFERROR(K1495/I1495,0)</x:f>
        <x:v>0.25</x:v>
      </x:c>
      <x:c r="Y1495" s="24" t="n">
        <x:f>IFERROR(G1495/I1495,0)</x:f>
        <x:v>0.08333333333333333</x:v>
      </x:c>
      <x:c r="Z1495" s="24" t="n">
        <x:f>IFERROR(G1495/K1495,0)</x:f>
        <x:v>0.3333333333333333</x:v>
      </x:c>
      <x:c r="AA1495" s="24" t="n">
        <x:f>IFERROR(F1495/H1495,0)-IFERROR(G1495/I1495,0)</x:f>
        <x:v>0.07456140350877193</x:v>
      </x:c>
      <x:c r="AB1495" s="28" t="n">
        <x:f>J1495-K1495</x:f>
        <x:v>6</x:v>
      </x:c>
      <x:c r="AC1495" s="32" t="n">
        <x:f>F1495-G1495</x:f>
        <x:v>2</x:v>
      </x:c>
    </x:row>
    <x:row r="1496">
      <x:c r="A1496" s="4" t="str">
        <x:v>2022-23</x:v>
      </x:c>
      <x:c r="B1496" s="20" t="n">
        <x:v>45068</x:v>
      </x:c>
      <x:c r="C1496" s="4" t="str">
        <x:v>Leicester</x:v>
      </x:c>
      <x:c r="D1496" s="4" t="str">
        <x:v>Newcastle</x:v>
      </x:c>
      <x:c r="E1496" s="4" t="str">
        <x:v>Away</x:v>
      </x:c>
      <x:c r="F1496" s="28" t="n">
        <x:v>0</x:v>
      </x:c>
      <x:c r="G1496" s="28" t="n">
        <x:v>0</x:v>
      </x:c>
      <x:c r="H1496" s="28" t="n">
        <x:v>1</x:v>
      </x:c>
      <x:c r="I1496" s="28" t="n">
        <x:v>23</x:v>
      </x:c>
      <x:c r="J1496" s="28" t="n">
        <x:v>1</x:v>
      </x:c>
      <x:c r="K1496" s="28" t="n">
        <x:v>4</x:v>
      </x:c>
      <x:c r="L1496" s="28" t="n">
        <x:v>1</x:v>
      </x:c>
      <x:c r="M1496" s="28" t="n">
        <x:v>12</x:v>
      </x:c>
      <x:c r="N1496" s="28" t="n">
        <x:v>0</x:v>
      </x:c>
      <x:c r="O1496" s="28" t="n">
        <x:v>0</x:v>
      </x:c>
      <x:c r="P1496" s="28" t="n">
        <x:v>1</x:v>
      </x:c>
      <x:c r="Q1496" s="24" t="n">
        <x:f>IFERROR(J1496/H1496,0)</x:f>
        <x:v>1</x:v>
      </x:c>
      <x:c r="R1496" s="24" t="n">
        <x:f>IFERROR(F1496/H1496,0)</x:f>
        <x:v>0</x:v>
      </x:c>
      <x:c r="S1496" s="24" t="n">
        <x:f>IFERROR(F1496/J1496,0)</x:f>
        <x:v>0</x:v>
      </x:c>
      <x:c r="T1496" s="28" t="n">
        <x:f>H1496-I1496</x:f>
        <x:v>-22</x:v>
      </x:c>
      <x:c r="U1496" s="24" t="n">
        <x:f>IFERROR(J1496/H1496,0)-IFERROR(K1496/I1496,0)</x:f>
        <x:v>0.8260869565217391</x:v>
      </x:c>
      <x:c r="V1496" s="24" t="n">
        <x:f>IFERROR(F1496/J1496,0)-IFERROR(G1496/K1496,0)</x:f>
        <x:v>0</x:v>
      </x:c>
      <x:c r="W1496" s="28" t="n">
        <x:f>L1496-M1496</x:f>
        <x:v>-11</x:v>
      </x:c>
      <x:c r="X1496" s="24" t="n">
        <x:f>IFERROR(K1496/I1496,0)</x:f>
        <x:v>0.17391304347826086</x:v>
      </x:c>
      <x:c r="Y1496" s="24" t="n">
        <x:f>IFERROR(G1496/I1496,0)</x:f>
        <x:v>0</x:v>
      </x:c>
      <x:c r="Z1496" s="24" t="n">
        <x:f>IFERROR(G1496/K1496,0)</x:f>
        <x:v>0</x:v>
      </x:c>
      <x:c r="AA1496" s="24" t="n">
        <x:f>IFERROR(F1496/H1496,0)-IFERROR(G1496/I1496,0)</x:f>
        <x:v>0</x:v>
      </x:c>
      <x:c r="AB1496" s="28" t="n">
        <x:f>J1496-K1496</x:f>
        <x:v>-3</x:v>
      </x:c>
      <x:c r="AC1496" s="32" t="n">
        <x:f>F1496-G1496</x:f>
        <x:v>0</x:v>
      </x:c>
    </x:row>
    <x:row r="1497">
      <x:c r="A1497" s="4" t="str">
        <x:v>2022-23</x:v>
      </x:c>
      <x:c r="B1497" s="20" t="n">
        <x:v>45068</x:v>
      </x:c>
      <x:c r="C1497" s="4" t="str">
        <x:v>Newcastle</x:v>
      </x:c>
      <x:c r="D1497" s="4" t="str">
        <x:v>Leicester</x:v>
      </x:c>
      <x:c r="E1497" s="4" t="str">
        <x:v>Home</x:v>
      </x:c>
      <x:c r="F1497" s="28" t="n">
        <x:v>0</x:v>
      </x:c>
      <x:c r="G1497" s="28" t="n">
        <x:v>0</x:v>
      </x:c>
      <x:c r="H1497" s="28" t="n">
        <x:v>23</x:v>
      </x:c>
      <x:c r="I1497" s="28" t="n">
        <x:v>1</x:v>
      </x:c>
      <x:c r="J1497" s="28" t="n">
        <x:v>4</x:v>
      </x:c>
      <x:c r="K1497" s="28" t="n">
        <x:v>1</x:v>
      </x:c>
      <x:c r="L1497" s="28" t="n">
        <x:v>12</x:v>
      </x:c>
      <x:c r="M1497" s="28" t="n">
        <x:v>1</x:v>
      </x:c>
      <x:c r="N1497" s="28" t="n">
        <x:v>2</x:v>
      </x:c>
      <x:c r="O1497" s="28" t="n">
        <x:v>0</x:v>
      </x:c>
      <x:c r="P1497" s="28" t="n">
        <x:v>1</x:v>
      </x:c>
      <x:c r="Q1497" s="24" t="n">
        <x:f>IFERROR(J1497/H1497,0)</x:f>
        <x:v>0.17391304347826086</x:v>
      </x:c>
      <x:c r="R1497" s="24" t="n">
        <x:f>IFERROR(F1497/H1497,0)</x:f>
        <x:v>0</x:v>
      </x:c>
      <x:c r="S1497" s="24" t="n">
        <x:f>IFERROR(F1497/J1497,0)</x:f>
        <x:v>0</x:v>
      </x:c>
      <x:c r="T1497" s="28" t="n">
        <x:f>H1497-I1497</x:f>
        <x:v>22</x:v>
      </x:c>
      <x:c r="U1497" s="24" t="n">
        <x:f>IFERROR(J1497/H1497,0)-IFERROR(K1497/I1497,0)</x:f>
        <x:v>-0.8260869565217391</x:v>
      </x:c>
      <x:c r="V1497" s="24" t="n">
        <x:f>IFERROR(F1497/J1497,0)-IFERROR(G1497/K1497,0)</x:f>
        <x:v>0</x:v>
      </x:c>
      <x:c r="W1497" s="28" t="n">
        <x:f>L1497-M1497</x:f>
        <x:v>11</x:v>
      </x:c>
      <x:c r="X1497" s="24" t="n">
        <x:f>IFERROR(K1497/I1497,0)</x:f>
        <x:v>1</x:v>
      </x:c>
      <x:c r="Y1497" s="24" t="n">
        <x:f>IFERROR(G1497/I1497,0)</x:f>
        <x:v>0</x:v>
      </x:c>
      <x:c r="Z1497" s="24" t="n">
        <x:f>IFERROR(G1497/K1497,0)</x:f>
        <x:v>0</x:v>
      </x:c>
      <x:c r="AA1497" s="24" t="n">
        <x:f>IFERROR(F1497/H1497,0)-IFERROR(G1497/I1497,0)</x:f>
        <x:v>0</x:v>
      </x:c>
      <x:c r="AB1497" s="28" t="n">
        <x:f>J1497-K1497</x:f>
        <x:v>3</x:v>
      </x:c>
      <x:c r="AC1497" s="32" t="n">
        <x:f>F1497-G1497</x:f>
        <x:v>0</x:v>
      </x:c>
    </x:row>
    <x:row r="1498">
      <x:c r="A1498" s="4" t="str">
        <x:v>2022-23</x:v>
      </x:c>
      <x:c r="B1498" s="20" t="n">
        <x:v>45070</x:v>
      </x:c>
      <x:c r="C1498" s="4" t="str">
        <x:v>Brighton</x:v>
      </x:c>
      <x:c r="D1498" s="4" t="str">
        <x:v>Man City</x:v>
      </x:c>
      <x:c r="E1498" s="4" t="str">
        <x:v>Home</x:v>
      </x:c>
      <x:c r="F1498" s="28" t="n">
        <x:v>1</x:v>
      </x:c>
      <x:c r="G1498" s="28" t="n">
        <x:v>1</x:v>
      </x:c>
      <x:c r="H1498" s="28" t="n">
        <x:v>20</x:v>
      </x:c>
      <x:c r="I1498" s="28" t="n">
        <x:v>13</x:v>
      </x:c>
      <x:c r="J1498" s="28" t="n">
        <x:v>7</x:v>
      </x:c>
      <x:c r="K1498" s="28" t="n">
        <x:v>4</x:v>
      </x:c>
      <x:c r="L1498" s="28" t="n">
        <x:v>5</x:v>
      </x:c>
      <x:c r="M1498" s="28" t="n">
        <x:v>1</x:v>
      </x:c>
      <x:c r="N1498" s="28" t="n">
        <x:v>2</x:v>
      </x:c>
      <x:c r="O1498" s="28" t="n">
        <x:v>0</x:v>
      </x:c>
      <x:c r="P1498" s="28" t="n">
        <x:v>1</x:v>
      </x:c>
      <x:c r="Q1498" s="24" t="n">
        <x:f>IFERROR(J1498/H1498,0)</x:f>
        <x:v>0.35</x:v>
      </x:c>
      <x:c r="R1498" s="24" t="n">
        <x:f>IFERROR(F1498/H1498,0)</x:f>
        <x:v>0.05</x:v>
      </x:c>
      <x:c r="S1498" s="24" t="n">
        <x:f>IFERROR(F1498/J1498,0)</x:f>
        <x:v>0.14285714285714285</x:v>
      </x:c>
      <x:c r="T1498" s="28" t="n">
        <x:f>H1498-I1498</x:f>
        <x:v>7</x:v>
      </x:c>
      <x:c r="U1498" s="24" t="n">
        <x:f>IFERROR(J1498/H1498,0)-IFERROR(K1498/I1498,0)</x:f>
        <x:v>0.04230769230769227</x:v>
      </x:c>
      <x:c r="V1498" s="24" t="n">
        <x:f>IFERROR(F1498/J1498,0)-IFERROR(G1498/K1498,0)</x:f>
        <x:v>-0.10714285714285715</x:v>
      </x:c>
      <x:c r="W1498" s="28" t="n">
        <x:f>L1498-M1498</x:f>
        <x:v>4</x:v>
      </x:c>
      <x:c r="X1498" s="24" t="n">
        <x:f>IFERROR(K1498/I1498,0)</x:f>
        <x:v>0.3076923076923077</x:v>
      </x:c>
      <x:c r="Y1498" s="24" t="n">
        <x:f>IFERROR(G1498/I1498,0)</x:f>
        <x:v>0.07692307692307693</x:v>
      </x:c>
      <x:c r="Z1498" s="24" t="n">
        <x:f>IFERROR(G1498/K1498,0)</x:f>
        <x:v>0.25</x:v>
      </x:c>
      <x:c r="AA1498" s="24" t="n">
        <x:f>IFERROR(F1498/H1498,0)-IFERROR(G1498/I1498,0)</x:f>
        <x:v>-0.026923076923076925</x:v>
      </x:c>
      <x:c r="AB1498" s="28" t="n">
        <x:f>J1498-K1498</x:f>
        <x:v>3</x:v>
      </x:c>
      <x:c r="AC1498" s="32" t="n">
        <x:f>F1498-G1498</x:f>
        <x:v>0</x:v>
      </x:c>
    </x:row>
    <x:row r="1499">
      <x:c r="A1499" s="4" t="str">
        <x:v>2022-23</x:v>
      </x:c>
      <x:c r="B1499" s="20" t="n">
        <x:v>45070</x:v>
      </x:c>
      <x:c r="C1499" s="4" t="str">
        <x:v>Man City</x:v>
      </x:c>
      <x:c r="D1499" s="4" t="str">
        <x:v>Brighton</x:v>
      </x:c>
      <x:c r="E1499" s="4" t="str">
        <x:v>Away</x:v>
      </x:c>
      <x:c r="F1499" s="28" t="n">
        <x:v>1</x:v>
      </x:c>
      <x:c r="G1499" s="28" t="n">
        <x:v>1</x:v>
      </x:c>
      <x:c r="H1499" s="28" t="n">
        <x:v>13</x:v>
      </x:c>
      <x:c r="I1499" s="28" t="n">
        <x:v>20</x:v>
      </x:c>
      <x:c r="J1499" s="28" t="n">
        <x:v>4</x:v>
      </x:c>
      <x:c r="K1499" s="28" t="n">
        <x:v>7</x:v>
      </x:c>
      <x:c r="L1499" s="28" t="n">
        <x:v>1</x:v>
      </x:c>
      <x:c r="M1499" s="28" t="n">
        <x:v>5</x:v>
      </x:c>
      <x:c r="N1499" s="28" t="n">
        <x:v>1</x:v>
      </x:c>
      <x:c r="O1499" s="28" t="n">
        <x:v>0</x:v>
      </x:c>
      <x:c r="P1499" s="28" t="n">
        <x:v>1</x:v>
      </x:c>
      <x:c r="Q1499" s="24" t="n">
        <x:f>IFERROR(J1499/H1499,0)</x:f>
        <x:v>0.3076923076923077</x:v>
      </x:c>
      <x:c r="R1499" s="24" t="n">
        <x:f>IFERROR(F1499/H1499,0)</x:f>
        <x:v>0.07692307692307693</x:v>
      </x:c>
      <x:c r="S1499" s="24" t="n">
        <x:f>IFERROR(F1499/J1499,0)</x:f>
        <x:v>0.25</x:v>
      </x:c>
      <x:c r="T1499" s="28" t="n">
        <x:f>H1499-I1499</x:f>
        <x:v>-7</x:v>
      </x:c>
      <x:c r="U1499" s="24" t="n">
        <x:f>IFERROR(J1499/H1499,0)-IFERROR(K1499/I1499,0)</x:f>
        <x:v>-0.04230769230769227</x:v>
      </x:c>
      <x:c r="V1499" s="24" t="n">
        <x:f>IFERROR(F1499/J1499,0)-IFERROR(G1499/K1499,0)</x:f>
        <x:v>0.10714285714285715</x:v>
      </x:c>
      <x:c r="W1499" s="28" t="n">
        <x:f>L1499-M1499</x:f>
        <x:v>-4</x:v>
      </x:c>
      <x:c r="X1499" s="24" t="n">
        <x:f>IFERROR(K1499/I1499,0)</x:f>
        <x:v>0.35</x:v>
      </x:c>
      <x:c r="Y1499" s="24" t="n">
        <x:f>IFERROR(G1499/I1499,0)</x:f>
        <x:v>0.05</x:v>
      </x:c>
      <x:c r="Z1499" s="24" t="n">
        <x:f>IFERROR(G1499/K1499,0)</x:f>
        <x:v>0.14285714285714285</x:v>
      </x:c>
      <x:c r="AA1499" s="24" t="n">
        <x:f>IFERROR(F1499/H1499,0)-IFERROR(G1499/I1499,0)</x:f>
        <x:v>0.026923076923076925</x:v>
      </x:c>
      <x:c r="AB1499" s="28" t="n">
        <x:f>J1499-K1499</x:f>
        <x:v>-3</x:v>
      </x:c>
      <x:c r="AC1499" s="32" t="n">
        <x:f>F1499-G1499</x:f>
        <x:v>0</x:v>
      </x:c>
    </x:row>
    <x:row r="1500">
      <x:c r="A1500" s="4" t="str">
        <x:v>2022-23</x:v>
      </x:c>
      <x:c r="B1500" s="20" t="n">
        <x:v>45071</x:v>
      </x:c>
      <x:c r="C1500" s="4" t="str">
        <x:v>Chelsea</x:v>
      </x:c>
      <x:c r="D1500" s="4" t="str">
        <x:v>Man United</x:v>
      </x:c>
      <x:c r="E1500" s="4" t="str">
        <x:v>Away</x:v>
      </x:c>
      <x:c r="F1500" s="28" t="n">
        <x:v>1</x:v>
      </x:c>
      <x:c r="G1500" s="28" t="n">
        <x:v>4</x:v>
      </x:c>
      <x:c r="H1500" s="28" t="n">
        <x:v>14</x:v>
      </x:c>
      <x:c r="I1500" s="28" t="n">
        <x:v>18</x:v>
      </x:c>
      <x:c r="J1500" s="28" t="n">
        <x:v>5</x:v>
      </x:c>
      <x:c r="K1500" s="28" t="n">
        <x:v>9</x:v>
      </x:c>
      <x:c r="L1500" s="28" t="n">
        <x:v>4</x:v>
      </x:c>
      <x:c r="M1500" s="28" t="n">
        <x:v>3</x:v>
      </x:c>
      <x:c r="N1500" s="28" t="n">
        <x:v>1</x:v>
      </x:c>
      <x:c r="O1500" s="28" t="n">
        <x:v>0</x:v>
      </x:c>
      <x:c r="P1500" s="28" t="n">
        <x:v>0</x:v>
      </x:c>
      <x:c r="Q1500" s="24" t="n">
        <x:f>IFERROR(J1500/H1500,0)</x:f>
        <x:v>0.35714285714285715</x:v>
      </x:c>
      <x:c r="R1500" s="24" t="n">
        <x:f>IFERROR(F1500/H1500,0)</x:f>
        <x:v>0.07142857142857142</x:v>
      </x:c>
      <x:c r="S1500" s="24" t="n">
        <x:f>IFERROR(F1500/J1500,0)</x:f>
        <x:v>0.2</x:v>
      </x:c>
      <x:c r="T1500" s="28" t="n">
        <x:f>H1500-I1500</x:f>
        <x:v>-4</x:v>
      </x:c>
      <x:c r="U1500" s="24" t="n">
        <x:f>IFERROR(J1500/H1500,0)-IFERROR(K1500/I1500,0)</x:f>
        <x:v>-0.14285714285714285</x:v>
      </x:c>
      <x:c r="V1500" s="24" t="n">
        <x:f>IFERROR(F1500/J1500,0)-IFERROR(G1500/K1500,0)</x:f>
        <x:v>-0.2444444444444444</x:v>
      </x:c>
      <x:c r="W1500" s="28" t="n">
        <x:f>L1500-M1500</x:f>
        <x:v>1</x:v>
      </x:c>
      <x:c r="X1500" s="24" t="n">
        <x:f>IFERROR(K1500/I1500,0)</x:f>
        <x:v>0.5</x:v>
      </x:c>
      <x:c r="Y1500" s="24" t="n">
        <x:f>IFERROR(G1500/I1500,0)</x:f>
        <x:v>0.2222222222222222</x:v>
      </x:c>
      <x:c r="Z1500" s="24" t="n">
        <x:f>IFERROR(G1500/K1500,0)</x:f>
        <x:v>0.4444444444444444</x:v>
      </x:c>
      <x:c r="AA1500" s="24" t="n">
        <x:f>IFERROR(F1500/H1500,0)-IFERROR(G1500/I1500,0)</x:f>
        <x:v>-0.15079365079365079</x:v>
      </x:c>
      <x:c r="AB1500" s="28" t="n">
        <x:f>J1500-K1500</x:f>
        <x:v>-4</x:v>
      </x:c>
      <x:c r="AC1500" s="32" t="n">
        <x:f>F1500-G1500</x:f>
        <x:v>-3</x:v>
      </x:c>
    </x:row>
    <x:row r="1501">
      <x:c r="A1501" s="4" t="str">
        <x:v>2022-23</x:v>
      </x:c>
      <x:c r="B1501" s="20" t="n">
        <x:v>45071</x:v>
      </x:c>
      <x:c r="C1501" s="4" t="str">
        <x:v>Man United</x:v>
      </x:c>
      <x:c r="D1501" s="4" t="str">
        <x:v>Chelsea</x:v>
      </x:c>
      <x:c r="E1501" s="4" t="str">
        <x:v>Home</x:v>
      </x:c>
      <x:c r="F1501" s="28" t="n">
        <x:v>4</x:v>
      </x:c>
      <x:c r="G1501" s="28" t="n">
        <x:v>1</x:v>
      </x:c>
      <x:c r="H1501" s="28" t="n">
        <x:v>18</x:v>
      </x:c>
      <x:c r="I1501" s="28" t="n">
        <x:v>14</x:v>
      </x:c>
      <x:c r="J1501" s="28" t="n">
        <x:v>9</x:v>
      </x:c>
      <x:c r="K1501" s="28" t="n">
        <x:v>5</x:v>
      </x:c>
      <x:c r="L1501" s="28" t="n">
        <x:v>3</x:v>
      </x:c>
      <x:c r="M1501" s="28" t="n">
        <x:v>4</x:v>
      </x:c>
      <x:c r="N1501" s="28" t="n">
        <x:v>1</x:v>
      </x:c>
      <x:c r="O1501" s="28" t="n">
        <x:v>0</x:v>
      </x:c>
      <x:c r="P1501" s="28" t="n">
        <x:v>3</x:v>
      </x:c>
      <x:c r="Q1501" s="24" t="n">
        <x:f>IFERROR(J1501/H1501,0)</x:f>
        <x:v>0.5</x:v>
      </x:c>
      <x:c r="R1501" s="24" t="n">
        <x:f>IFERROR(F1501/H1501,0)</x:f>
        <x:v>0.2222222222222222</x:v>
      </x:c>
      <x:c r="S1501" s="24" t="n">
        <x:f>IFERROR(F1501/J1501,0)</x:f>
        <x:v>0.4444444444444444</x:v>
      </x:c>
      <x:c r="T1501" s="28" t="n">
        <x:f>H1501-I1501</x:f>
        <x:v>4</x:v>
      </x:c>
      <x:c r="U1501" s="24" t="n">
        <x:f>IFERROR(J1501/H1501,0)-IFERROR(K1501/I1501,0)</x:f>
        <x:v>0.14285714285714285</x:v>
      </x:c>
      <x:c r="V1501" s="24" t="n">
        <x:f>IFERROR(F1501/J1501,0)-IFERROR(G1501/K1501,0)</x:f>
        <x:v>0.2444444444444444</x:v>
      </x:c>
      <x:c r="W1501" s="28" t="n">
        <x:f>L1501-M1501</x:f>
        <x:v>-1</x:v>
      </x:c>
      <x:c r="X1501" s="24" t="n">
        <x:f>IFERROR(K1501/I1501,0)</x:f>
        <x:v>0.35714285714285715</x:v>
      </x:c>
      <x:c r="Y1501" s="24" t="n">
        <x:f>IFERROR(G1501/I1501,0)</x:f>
        <x:v>0.07142857142857142</x:v>
      </x:c>
      <x:c r="Z1501" s="24" t="n">
        <x:f>IFERROR(G1501/K1501,0)</x:f>
        <x:v>0.2</x:v>
      </x:c>
      <x:c r="AA1501" s="24" t="n">
        <x:f>IFERROR(F1501/H1501,0)-IFERROR(G1501/I1501,0)</x:f>
        <x:v>0.15079365079365079</x:v>
      </x:c>
      <x:c r="AB1501" s="28" t="n">
        <x:f>J1501-K1501</x:f>
        <x:v>4</x:v>
      </x:c>
      <x:c r="AC1501" s="32" t="n">
        <x:f>F1501-G1501</x:f>
        <x:v>3</x:v>
      </x:c>
    </x:row>
    <x:row r="1502">
      <x:c r="A1502" s="4" t="str">
        <x:v>2022-23</x:v>
      </x:c>
      <x:c r="B1502" s="20" t="n">
        <x:v>45074</x:v>
      </x:c>
      <x:c r="C1502" s="4" t="str">
        <x:v>Arsenal</x:v>
      </x:c>
      <x:c r="D1502" s="4" t="str">
        <x:v>Wolves</x:v>
      </x:c>
      <x:c r="E1502" s="4" t="str">
        <x:v>Home</x:v>
      </x:c>
      <x:c r="F1502" s="28" t="n">
        <x:v>5</x:v>
      </x:c>
      <x:c r="G1502" s="28" t="n">
        <x:v>0</x:v>
      </x:c>
      <x:c r="H1502" s="28" t="n">
        <x:v>14</x:v>
      </x:c>
      <x:c r="I1502" s="28" t="n">
        <x:v>6</x:v>
      </x:c>
      <x:c r="J1502" s="28" t="n">
        <x:v>8</x:v>
      </x:c>
      <x:c r="K1502" s="28" t="n">
        <x:v>0</x:v>
      </x:c>
      <x:c r="L1502" s="28" t="n">
        <x:v>8</x:v>
      </x:c>
      <x:c r="M1502" s="28" t="n">
        <x:v>4</x:v>
      </x:c>
      <x:c r="N1502" s="28" t="n">
        <x:v>0</x:v>
      </x:c>
      <x:c r="O1502" s="28" t="n">
        <x:v>0</x:v>
      </x:c>
      <x:c r="P1502" s="28" t="n">
        <x:v>3</x:v>
      </x:c>
      <x:c r="Q1502" s="24" t="n">
        <x:f>IFERROR(J1502/H1502,0)</x:f>
        <x:v>0.5714285714285714</x:v>
      </x:c>
      <x:c r="R1502" s="24" t="n">
        <x:f>IFERROR(F1502/H1502,0)</x:f>
        <x:v>0.35714285714285715</x:v>
      </x:c>
      <x:c r="S1502" s="24" t="n">
        <x:f>IFERROR(F1502/J1502,0)</x:f>
        <x:v>0.625</x:v>
      </x:c>
      <x:c r="T1502" s="28" t="n">
        <x:f>H1502-I1502</x:f>
        <x:v>8</x:v>
      </x:c>
      <x:c r="U1502" s="24" t="n">
        <x:f>IFERROR(J1502/H1502,0)-IFERROR(K1502/I1502,0)</x:f>
        <x:v>0.5714285714285714</x:v>
      </x:c>
      <x:c r="V1502" s="24" t="n">
        <x:f>IFERROR(F1502/J1502,0)-IFERROR(G1502/K1502,0)</x:f>
        <x:v>0.625</x:v>
      </x:c>
      <x:c r="W1502" s="28" t="n">
        <x:f>L1502-M1502</x:f>
        <x:v>4</x:v>
      </x:c>
      <x:c r="X1502" s="24" t="n">
        <x:f>IFERROR(K1502/I1502,0)</x:f>
        <x:v>0</x:v>
      </x:c>
      <x:c r="Y1502" s="24" t="n">
        <x:f>IFERROR(G1502/I1502,0)</x:f>
        <x:v>0</x:v>
      </x:c>
      <x:c r="Z1502" s="24" t="n">
        <x:f>IFERROR(G1502/K1502,0)</x:f>
        <x:v>0</x:v>
      </x:c>
      <x:c r="AA1502" s="24" t="n">
        <x:f>IFERROR(F1502/H1502,0)-IFERROR(G1502/I1502,0)</x:f>
        <x:v>0.35714285714285715</x:v>
      </x:c>
      <x:c r="AB1502" s="28" t="n">
        <x:f>J1502-K1502</x:f>
        <x:v>8</x:v>
      </x:c>
      <x:c r="AC1502" s="32" t="n">
        <x:f>F1502-G1502</x:f>
        <x:v>5</x:v>
      </x:c>
    </x:row>
    <x:row r="1503">
      <x:c r="A1503" s="4" t="str">
        <x:v>2022-23</x:v>
      </x:c>
      <x:c r="B1503" s="20" t="n">
        <x:v>45074</x:v>
      </x:c>
      <x:c r="C1503" s="4" t="str">
        <x:v>Aston Villa</x:v>
      </x:c>
      <x:c r="D1503" s="4" t="str">
        <x:v>Brighton</x:v>
      </x:c>
      <x:c r="E1503" s="4" t="str">
        <x:v>Home</x:v>
      </x:c>
      <x:c r="F1503" s="28" t="n">
        <x:v>2</x:v>
      </x:c>
      <x:c r="G1503" s="28" t="n">
        <x:v>1</x:v>
      </x:c>
      <x:c r="H1503" s="28" t="n">
        <x:v>12</x:v>
      </x:c>
      <x:c r="I1503" s="28" t="n">
        <x:v>8</x:v>
      </x:c>
      <x:c r="J1503" s="28" t="n">
        <x:v>5</x:v>
      </x:c>
      <x:c r="K1503" s="28" t="n">
        <x:v>4</x:v>
      </x:c>
      <x:c r="L1503" s="28" t="n">
        <x:v>4</x:v>
      </x:c>
      <x:c r="M1503" s="28" t="n">
        <x:v>3</x:v>
      </x:c>
      <x:c r="N1503" s="28" t="n">
        <x:v>4</x:v>
      </x:c>
      <x:c r="O1503" s="28" t="n">
        <x:v>0</x:v>
      </x:c>
      <x:c r="P1503" s="28" t="n">
        <x:v>3</x:v>
      </x:c>
      <x:c r="Q1503" s="24" t="n">
        <x:f>IFERROR(J1503/H1503,0)</x:f>
        <x:v>0.4166666666666667</x:v>
      </x:c>
      <x:c r="R1503" s="24" t="n">
        <x:f>IFERROR(F1503/H1503,0)</x:f>
        <x:v>0.16666666666666666</x:v>
      </x:c>
      <x:c r="S1503" s="24" t="n">
        <x:f>IFERROR(F1503/J1503,0)</x:f>
        <x:v>0.4</x:v>
      </x:c>
      <x:c r="T1503" s="28" t="n">
        <x:f>H1503-I1503</x:f>
        <x:v>4</x:v>
      </x:c>
      <x:c r="U1503" s="24" t="n">
        <x:f>IFERROR(J1503/H1503,0)-IFERROR(K1503/I1503,0)</x:f>
        <x:v>-0.08333333333333331</x:v>
      </x:c>
      <x:c r="V1503" s="24" t="n">
        <x:f>IFERROR(F1503/J1503,0)-IFERROR(G1503/K1503,0)</x:f>
        <x:v>0.15000000000000002</x:v>
      </x:c>
      <x:c r="W1503" s="28" t="n">
        <x:f>L1503-M1503</x:f>
        <x:v>1</x:v>
      </x:c>
      <x:c r="X1503" s="24" t="n">
        <x:f>IFERROR(K1503/I1503,0)</x:f>
        <x:v>0.5</x:v>
      </x:c>
      <x:c r="Y1503" s="24" t="n">
        <x:f>IFERROR(G1503/I1503,0)</x:f>
        <x:v>0.125</x:v>
      </x:c>
      <x:c r="Z1503" s="24" t="n">
        <x:f>IFERROR(G1503/K1503,0)</x:f>
        <x:v>0.25</x:v>
      </x:c>
      <x:c r="AA1503" s="24" t="n">
        <x:f>IFERROR(F1503/H1503,0)-IFERROR(G1503/I1503,0)</x:f>
        <x:v>0.04166666666666666</x:v>
      </x:c>
      <x:c r="AB1503" s="28" t="n">
        <x:f>J1503-K1503</x:f>
        <x:v>1</x:v>
      </x:c>
      <x:c r="AC1503" s="32" t="n">
        <x:f>F1503-G1503</x:f>
        <x:v>1</x:v>
      </x:c>
    </x:row>
    <x:row r="1504">
      <x:c r="A1504" s="4" t="str">
        <x:v>2022-23</x:v>
      </x:c>
      <x:c r="B1504" s="20" t="n">
        <x:v>45074</x:v>
      </x:c>
      <x:c r="C1504" s="4" t="str">
        <x:v>Bournemouth</x:v>
      </x:c>
      <x:c r="D1504" s="4" t="str">
        <x:v>Everton</x:v>
      </x:c>
      <x:c r="E1504" s="4" t="str">
        <x:v>Away</x:v>
      </x:c>
      <x:c r="F1504" s="28" t="n">
        <x:v>0</x:v>
      </x:c>
      <x:c r="G1504" s="28" t="n">
        <x:v>1</x:v>
      </x:c>
      <x:c r="H1504" s="28" t="n">
        <x:v>7</x:v>
      </x:c>
      <x:c r="I1504" s="28" t="n">
        <x:v>13</x:v>
      </x:c>
      <x:c r="J1504" s="28" t="n">
        <x:v>2</x:v>
      </x:c>
      <x:c r="K1504" s="28" t="n">
        <x:v>6</x:v>
      </x:c>
      <x:c r="L1504" s="28" t="n">
        <x:v>3</x:v>
      </x:c>
      <x:c r="M1504" s="28" t="n">
        <x:v>9</x:v>
      </x:c>
      <x:c r="N1504" s="28" t="n">
        <x:v>3</x:v>
      </x:c>
      <x:c r="O1504" s="28" t="n">
        <x:v>0</x:v>
      </x:c>
      <x:c r="P1504" s="28" t="n">
        <x:v>0</x:v>
      </x:c>
      <x:c r="Q1504" s="24" t="n">
        <x:f>IFERROR(J1504/H1504,0)</x:f>
        <x:v>0.2857142857142857</x:v>
      </x:c>
      <x:c r="R1504" s="24" t="n">
        <x:f>IFERROR(F1504/H1504,0)</x:f>
        <x:v>0</x:v>
      </x:c>
      <x:c r="S1504" s="24" t="n">
        <x:f>IFERROR(F1504/J1504,0)</x:f>
        <x:v>0</x:v>
      </x:c>
      <x:c r="T1504" s="28" t="n">
        <x:f>H1504-I1504</x:f>
        <x:v>-6</x:v>
      </x:c>
      <x:c r="U1504" s="24" t="n">
        <x:f>IFERROR(J1504/H1504,0)-IFERROR(K1504/I1504,0)</x:f>
        <x:v>-0.17582417582417587</x:v>
      </x:c>
      <x:c r="V1504" s="24" t="n">
        <x:f>IFERROR(F1504/J1504,0)-IFERROR(G1504/K1504,0)</x:f>
        <x:v>-0.16666666666666666</x:v>
      </x:c>
      <x:c r="W1504" s="28" t="n">
        <x:f>L1504-M1504</x:f>
        <x:v>-6</x:v>
      </x:c>
      <x:c r="X1504" s="24" t="n">
        <x:f>IFERROR(K1504/I1504,0)</x:f>
        <x:v>0.46153846153846156</x:v>
      </x:c>
      <x:c r="Y1504" s="24" t="n">
        <x:f>IFERROR(G1504/I1504,0)</x:f>
        <x:v>0.07692307692307693</x:v>
      </x:c>
      <x:c r="Z1504" s="24" t="n">
        <x:f>IFERROR(G1504/K1504,0)</x:f>
        <x:v>0.16666666666666666</x:v>
      </x:c>
      <x:c r="AA1504" s="24" t="n">
        <x:f>IFERROR(F1504/H1504,0)-IFERROR(G1504/I1504,0)</x:f>
        <x:v>-0.07692307692307693</x:v>
      </x:c>
      <x:c r="AB1504" s="28" t="n">
        <x:f>J1504-K1504</x:f>
        <x:v>-4</x:v>
      </x:c>
      <x:c r="AC1504" s="32" t="n">
        <x:f>F1504-G1504</x:f>
        <x:v>-1</x:v>
      </x:c>
    </x:row>
    <x:row r="1505">
      <x:c r="A1505" s="4" t="str">
        <x:v>2022-23</x:v>
      </x:c>
      <x:c r="B1505" s="20" t="n">
        <x:v>45074</x:v>
      </x:c>
      <x:c r="C1505" s="4" t="str">
        <x:v>Brentford</x:v>
      </x:c>
      <x:c r="D1505" s="4" t="str">
        <x:v>Man City</x:v>
      </x:c>
      <x:c r="E1505" s="4" t="str">
        <x:v>Home</x:v>
      </x:c>
      <x:c r="F1505" s="28" t="n">
        <x:v>1</x:v>
      </x:c>
      <x:c r="G1505" s="28" t="n">
        <x:v>0</x:v>
      </x:c>
      <x:c r="H1505" s="28" t="n">
        <x:v>11</x:v>
      </x:c>
      <x:c r="I1505" s="28" t="n">
        <x:v>17</x:v>
      </x:c>
      <x:c r="J1505" s="28" t="n">
        <x:v>4</x:v>
      </x:c>
      <x:c r="K1505" s="28" t="n">
        <x:v>3</x:v>
      </x:c>
      <x:c r="L1505" s="28" t="n">
        <x:v>3</x:v>
      </x:c>
      <x:c r="M1505" s="28" t="n">
        <x:v>4</x:v>
      </x:c>
      <x:c r="N1505" s="28" t="n">
        <x:v>4</x:v>
      </x:c>
      <x:c r="O1505" s="28" t="n">
        <x:v>0</x:v>
      </x:c>
      <x:c r="P1505" s="28" t="n">
        <x:v>3</x:v>
      </x:c>
      <x:c r="Q1505" s="24" t="n">
        <x:f>IFERROR(J1505/H1505,0)</x:f>
        <x:v>0.36363636363636365</x:v>
      </x:c>
      <x:c r="R1505" s="24" t="n">
        <x:f>IFERROR(F1505/H1505,0)</x:f>
        <x:v>0.09090909090909091</x:v>
      </x:c>
      <x:c r="S1505" s="24" t="n">
        <x:f>IFERROR(F1505/J1505,0)</x:f>
        <x:v>0.25</x:v>
      </x:c>
      <x:c r="T1505" s="28" t="n">
        <x:f>H1505-I1505</x:f>
        <x:v>-6</x:v>
      </x:c>
      <x:c r="U1505" s="24" t="n">
        <x:f>IFERROR(J1505/H1505,0)-IFERROR(K1505/I1505,0)</x:f>
        <x:v>0.18716577540106952</x:v>
      </x:c>
      <x:c r="V1505" s="24" t="n">
        <x:f>IFERROR(F1505/J1505,0)-IFERROR(G1505/K1505,0)</x:f>
        <x:v>0.25</x:v>
      </x:c>
      <x:c r="W1505" s="28" t="n">
        <x:f>L1505-M1505</x:f>
        <x:v>-1</x:v>
      </x:c>
      <x:c r="X1505" s="24" t="n">
        <x:f>IFERROR(K1505/I1505,0)</x:f>
        <x:v>0.17647058823529413</x:v>
      </x:c>
      <x:c r="Y1505" s="24" t="n">
        <x:f>IFERROR(G1505/I1505,0)</x:f>
        <x:v>0</x:v>
      </x:c>
      <x:c r="Z1505" s="24" t="n">
        <x:f>IFERROR(G1505/K1505,0)</x:f>
        <x:v>0</x:v>
      </x:c>
      <x:c r="AA1505" s="24" t="n">
        <x:f>IFERROR(F1505/H1505,0)-IFERROR(G1505/I1505,0)</x:f>
        <x:v>0.09090909090909091</x:v>
      </x:c>
      <x:c r="AB1505" s="28" t="n">
        <x:f>J1505-K1505</x:f>
        <x:v>1</x:v>
      </x:c>
      <x:c r="AC1505" s="32" t="n">
        <x:f>F1505-G1505</x:f>
        <x:v>1</x:v>
      </x:c>
    </x:row>
    <x:row r="1506">
      <x:c r="A1506" s="4" t="str">
        <x:v>2022-23</x:v>
      </x:c>
      <x:c r="B1506" s="20" t="n">
        <x:v>45074</x:v>
      </x:c>
      <x:c r="C1506" s="4" t="str">
        <x:v>Brighton</x:v>
      </x:c>
      <x:c r="D1506" s="4" t="str">
        <x:v>Aston Villa</x:v>
      </x:c>
      <x:c r="E1506" s="4" t="str">
        <x:v>Away</x:v>
      </x:c>
      <x:c r="F1506" s="28" t="n">
        <x:v>1</x:v>
      </x:c>
      <x:c r="G1506" s="28" t="n">
        <x:v>2</x:v>
      </x:c>
      <x:c r="H1506" s="28" t="n">
        <x:v>8</x:v>
      </x:c>
      <x:c r="I1506" s="28" t="n">
        <x:v>12</x:v>
      </x:c>
      <x:c r="J1506" s="28" t="n">
        <x:v>4</x:v>
      </x:c>
      <x:c r="K1506" s="28" t="n">
        <x:v>5</x:v>
      </x:c>
      <x:c r="L1506" s="28" t="n">
        <x:v>3</x:v>
      </x:c>
      <x:c r="M1506" s="28" t="n">
        <x:v>4</x:v>
      </x:c>
      <x:c r="N1506" s="28" t="n">
        <x:v>4</x:v>
      </x:c>
      <x:c r="O1506" s="28" t="n">
        <x:v>0</x:v>
      </x:c>
      <x:c r="P1506" s="28" t="n">
        <x:v>0</x:v>
      </x:c>
      <x:c r="Q1506" s="24" t="n">
        <x:f>IFERROR(J1506/H1506,0)</x:f>
        <x:v>0.5</x:v>
      </x:c>
      <x:c r="R1506" s="24" t="n">
        <x:f>IFERROR(F1506/H1506,0)</x:f>
        <x:v>0.125</x:v>
      </x:c>
      <x:c r="S1506" s="24" t="n">
        <x:f>IFERROR(F1506/J1506,0)</x:f>
        <x:v>0.25</x:v>
      </x:c>
      <x:c r="T1506" s="28" t="n">
        <x:f>H1506-I1506</x:f>
        <x:v>-4</x:v>
      </x:c>
      <x:c r="U1506" s="24" t="n">
        <x:f>IFERROR(J1506/H1506,0)-IFERROR(K1506/I1506,0)</x:f>
        <x:v>0.08333333333333331</x:v>
      </x:c>
      <x:c r="V1506" s="24" t="n">
        <x:f>IFERROR(F1506/J1506,0)-IFERROR(G1506/K1506,0)</x:f>
        <x:v>-0.15000000000000002</x:v>
      </x:c>
      <x:c r="W1506" s="28" t="n">
        <x:f>L1506-M1506</x:f>
        <x:v>-1</x:v>
      </x:c>
      <x:c r="X1506" s="24" t="n">
        <x:f>IFERROR(K1506/I1506,0)</x:f>
        <x:v>0.4166666666666667</x:v>
      </x:c>
      <x:c r="Y1506" s="24" t="n">
        <x:f>IFERROR(G1506/I1506,0)</x:f>
        <x:v>0.16666666666666666</x:v>
      </x:c>
      <x:c r="Z1506" s="24" t="n">
        <x:f>IFERROR(G1506/K1506,0)</x:f>
        <x:v>0.4</x:v>
      </x:c>
      <x:c r="AA1506" s="24" t="n">
        <x:f>IFERROR(F1506/H1506,0)-IFERROR(G1506/I1506,0)</x:f>
        <x:v>-0.04166666666666666</x:v>
      </x:c>
      <x:c r="AB1506" s="28" t="n">
        <x:f>J1506-K1506</x:f>
        <x:v>-1</x:v>
      </x:c>
      <x:c r="AC1506" s="32" t="n">
        <x:f>F1506-G1506</x:f>
        <x:v>-1</x:v>
      </x:c>
    </x:row>
    <x:row r="1507">
      <x:c r="A1507" s="4" t="str">
        <x:v>2022-23</x:v>
      </x:c>
      <x:c r="B1507" s="20" t="n">
        <x:v>45074</x:v>
      </x:c>
      <x:c r="C1507" s="4" t="str">
        <x:v>Chelsea</x:v>
      </x:c>
      <x:c r="D1507" s="4" t="str">
        <x:v>Newcastle</x:v>
      </x:c>
      <x:c r="E1507" s="4" t="str">
        <x:v>Home</x:v>
      </x:c>
      <x:c r="F1507" s="28" t="n">
        <x:v>1</x:v>
      </x:c>
      <x:c r="G1507" s="28" t="n">
        <x:v>1</x:v>
      </x:c>
      <x:c r="H1507" s="28" t="n">
        <x:v>22</x:v>
      </x:c>
      <x:c r="I1507" s="28" t="n">
        <x:v>13</x:v>
      </x:c>
      <x:c r="J1507" s="28" t="n">
        <x:v>5</x:v>
      </x:c>
      <x:c r="K1507" s="28" t="n">
        <x:v>4</x:v>
      </x:c>
      <x:c r="L1507" s="28" t="n">
        <x:v>10</x:v>
      </x:c>
      <x:c r="M1507" s="28" t="n">
        <x:v>3</x:v>
      </x:c>
      <x:c r="N1507" s="28" t="n">
        <x:v>0</x:v>
      </x:c>
      <x:c r="O1507" s="28" t="n">
        <x:v>0</x:v>
      </x:c>
      <x:c r="P1507" s="28" t="n">
        <x:v>1</x:v>
      </x:c>
      <x:c r="Q1507" s="24" t="n">
        <x:f>IFERROR(J1507/H1507,0)</x:f>
        <x:v>0.22727272727272727</x:v>
      </x:c>
      <x:c r="R1507" s="24" t="n">
        <x:f>IFERROR(F1507/H1507,0)</x:f>
        <x:v>0.045454545454545456</x:v>
      </x:c>
      <x:c r="S1507" s="24" t="n">
        <x:f>IFERROR(F1507/J1507,0)</x:f>
        <x:v>0.2</x:v>
      </x:c>
      <x:c r="T1507" s="28" t="n">
        <x:f>H1507-I1507</x:f>
        <x:v>9</x:v>
      </x:c>
      <x:c r="U1507" s="24" t="n">
        <x:f>IFERROR(J1507/H1507,0)-IFERROR(K1507/I1507,0)</x:f>
        <x:v>-0.08041958041958044</x:v>
      </x:c>
      <x:c r="V1507" s="24" t="n">
        <x:f>IFERROR(F1507/J1507,0)-IFERROR(G1507/K1507,0)</x:f>
        <x:v>-0.04999999999999999</x:v>
      </x:c>
      <x:c r="W1507" s="28" t="n">
        <x:f>L1507-M1507</x:f>
        <x:v>7</x:v>
      </x:c>
      <x:c r="X1507" s="24" t="n">
        <x:f>IFERROR(K1507/I1507,0)</x:f>
        <x:v>0.3076923076923077</x:v>
      </x:c>
      <x:c r="Y1507" s="24" t="n">
        <x:f>IFERROR(G1507/I1507,0)</x:f>
        <x:v>0.07692307692307693</x:v>
      </x:c>
      <x:c r="Z1507" s="24" t="n">
        <x:f>IFERROR(G1507/K1507,0)</x:f>
        <x:v>0.25</x:v>
      </x:c>
      <x:c r="AA1507" s="24" t="n">
        <x:f>IFERROR(F1507/H1507,0)-IFERROR(G1507/I1507,0)</x:f>
        <x:v>-0.03146853146853147</x:v>
      </x:c>
      <x:c r="AB1507" s="28" t="n">
        <x:f>J1507-K1507</x:f>
        <x:v>1</x:v>
      </x:c>
      <x:c r="AC1507" s="32" t="n">
        <x:f>F1507-G1507</x:f>
        <x:v>0</x:v>
      </x:c>
    </x:row>
    <x:row r="1508">
      <x:c r="A1508" s="4" t="str">
        <x:v>2022-23</x:v>
      </x:c>
      <x:c r="B1508" s="20" t="n">
        <x:v>45074</x:v>
      </x:c>
      <x:c r="C1508" s="4" t="str">
        <x:v>Crystal Palace</x:v>
      </x:c>
      <x:c r="D1508" s="4" t="str">
        <x:v>Nott'm Forest</x:v>
      </x:c>
      <x:c r="E1508" s="4" t="str">
        <x:v>Home</x:v>
      </x:c>
      <x:c r="F1508" s="28" t="n">
        <x:v>1</x:v>
      </x:c>
      <x:c r="G1508" s="28" t="n">
        <x:v>1</x:v>
      </x:c>
      <x:c r="H1508" s="28" t="n">
        <x:v>16</x:v>
      </x:c>
      <x:c r="I1508" s="28" t="n">
        <x:v>7</x:v>
      </x:c>
      <x:c r="J1508" s="28" t="n">
        <x:v>4</x:v>
      </x:c>
      <x:c r="K1508" s="28" t="n">
        <x:v>4</x:v>
      </x:c>
      <x:c r="L1508" s="28" t="n">
        <x:v>5</x:v>
      </x:c>
      <x:c r="M1508" s="28" t="n">
        <x:v>4</x:v>
      </x:c>
      <x:c r="N1508" s="28" t="n">
        <x:v>0</x:v>
      </x:c>
      <x:c r="O1508" s="28" t="n">
        <x:v>0</x:v>
      </x:c>
      <x:c r="P1508" s="28" t="n">
        <x:v>1</x:v>
      </x:c>
      <x:c r="Q1508" s="24" t="n">
        <x:f>IFERROR(J1508/H1508,0)</x:f>
        <x:v>0.25</x:v>
      </x:c>
      <x:c r="R1508" s="24" t="n">
        <x:f>IFERROR(F1508/H1508,0)</x:f>
        <x:v>0.0625</x:v>
      </x:c>
      <x:c r="S1508" s="24" t="n">
        <x:f>IFERROR(F1508/J1508,0)</x:f>
        <x:v>0.25</x:v>
      </x:c>
      <x:c r="T1508" s="28" t="n">
        <x:f>H1508-I1508</x:f>
        <x:v>9</x:v>
      </x:c>
      <x:c r="U1508" s="24" t="n">
        <x:f>IFERROR(J1508/H1508,0)-IFERROR(K1508/I1508,0)</x:f>
        <x:v>-0.3214285714285714</x:v>
      </x:c>
      <x:c r="V1508" s="24" t="n">
        <x:f>IFERROR(F1508/J1508,0)-IFERROR(G1508/K1508,0)</x:f>
        <x:v>0</x:v>
      </x:c>
      <x:c r="W1508" s="28" t="n">
        <x:f>L1508-M1508</x:f>
        <x:v>1</x:v>
      </x:c>
      <x:c r="X1508" s="24" t="n">
        <x:f>IFERROR(K1508/I1508,0)</x:f>
        <x:v>0.5714285714285714</x:v>
      </x:c>
      <x:c r="Y1508" s="24" t="n">
        <x:f>IFERROR(G1508/I1508,0)</x:f>
        <x:v>0.14285714285714285</x:v>
      </x:c>
      <x:c r="Z1508" s="24" t="n">
        <x:f>IFERROR(G1508/K1508,0)</x:f>
        <x:v>0.25</x:v>
      </x:c>
      <x:c r="AA1508" s="24" t="n">
        <x:f>IFERROR(F1508/H1508,0)-IFERROR(G1508/I1508,0)</x:f>
        <x:v>-0.08035714285714285</x:v>
      </x:c>
      <x:c r="AB1508" s="28" t="n">
        <x:f>J1508-K1508</x:f>
        <x:v>0</x:v>
      </x:c>
      <x:c r="AC1508" s="32" t="n">
        <x:f>F1508-G1508</x:f>
        <x:v>0</x:v>
      </x:c>
    </x:row>
    <x:row r="1509">
      <x:c r="A1509" s="4" t="str">
        <x:v>2022-23</x:v>
      </x:c>
      <x:c r="B1509" s="20" t="n">
        <x:v>45074</x:v>
      </x:c>
      <x:c r="C1509" s="4" t="str">
        <x:v>Everton</x:v>
      </x:c>
      <x:c r="D1509" s="4" t="str">
        <x:v>Bournemouth</x:v>
      </x:c>
      <x:c r="E1509" s="4" t="str">
        <x:v>Home</x:v>
      </x:c>
      <x:c r="F1509" s="28" t="n">
        <x:v>1</x:v>
      </x:c>
      <x:c r="G1509" s="28" t="n">
        <x:v>0</x:v>
      </x:c>
      <x:c r="H1509" s="28" t="n">
        <x:v>13</x:v>
      </x:c>
      <x:c r="I1509" s="28" t="n">
        <x:v>7</x:v>
      </x:c>
      <x:c r="J1509" s="28" t="n">
        <x:v>6</x:v>
      </x:c>
      <x:c r="K1509" s="28" t="n">
        <x:v>2</x:v>
      </x:c>
      <x:c r="L1509" s="28" t="n">
        <x:v>9</x:v>
      </x:c>
      <x:c r="M1509" s="28" t="n">
        <x:v>3</x:v>
      </x:c>
      <x:c r="N1509" s="28" t="n">
        <x:v>1</x:v>
      </x:c>
      <x:c r="O1509" s="28" t="n">
        <x:v>0</x:v>
      </x:c>
      <x:c r="P1509" s="28" t="n">
        <x:v>3</x:v>
      </x:c>
      <x:c r="Q1509" s="24" t="n">
        <x:f>IFERROR(J1509/H1509,0)</x:f>
        <x:v>0.46153846153846156</x:v>
      </x:c>
      <x:c r="R1509" s="24" t="n">
        <x:f>IFERROR(F1509/H1509,0)</x:f>
        <x:v>0.07692307692307693</x:v>
      </x:c>
      <x:c r="S1509" s="24" t="n">
        <x:f>IFERROR(F1509/J1509,0)</x:f>
        <x:v>0.16666666666666666</x:v>
      </x:c>
      <x:c r="T1509" s="28" t="n">
        <x:f>H1509-I1509</x:f>
        <x:v>6</x:v>
      </x:c>
      <x:c r="U1509" s="24" t="n">
        <x:f>IFERROR(J1509/H1509,0)-IFERROR(K1509/I1509,0)</x:f>
        <x:v>0.17582417582417587</x:v>
      </x:c>
      <x:c r="V1509" s="24" t="n">
        <x:f>IFERROR(F1509/J1509,0)-IFERROR(G1509/K1509,0)</x:f>
        <x:v>0.16666666666666666</x:v>
      </x:c>
      <x:c r="W1509" s="28" t="n">
        <x:f>L1509-M1509</x:f>
        <x:v>6</x:v>
      </x:c>
      <x:c r="X1509" s="24" t="n">
        <x:f>IFERROR(K1509/I1509,0)</x:f>
        <x:v>0.2857142857142857</x:v>
      </x:c>
      <x:c r="Y1509" s="24" t="n">
        <x:f>IFERROR(G1509/I1509,0)</x:f>
        <x:v>0</x:v>
      </x:c>
      <x:c r="Z1509" s="24" t="n">
        <x:f>IFERROR(G1509/K1509,0)</x:f>
        <x:v>0</x:v>
      </x:c>
      <x:c r="AA1509" s="24" t="n">
        <x:f>IFERROR(F1509/H1509,0)-IFERROR(G1509/I1509,0)</x:f>
        <x:v>0.07692307692307693</x:v>
      </x:c>
      <x:c r="AB1509" s="28" t="n">
        <x:f>J1509-K1509</x:f>
        <x:v>4</x:v>
      </x:c>
      <x:c r="AC1509" s="32" t="n">
        <x:f>F1509-G1509</x:f>
        <x:v>1</x:v>
      </x:c>
    </x:row>
    <x:row r="1510">
      <x:c r="A1510" s="4" t="str">
        <x:v>2022-23</x:v>
      </x:c>
      <x:c r="B1510" s="20" t="n">
        <x:v>45074</x:v>
      </x:c>
      <x:c r="C1510" s="4" t="str">
        <x:v>Fulham</x:v>
      </x:c>
      <x:c r="D1510" s="4" t="str">
        <x:v>Man United</x:v>
      </x:c>
      <x:c r="E1510" s="4" t="str">
        <x:v>Away</x:v>
      </x:c>
      <x:c r="F1510" s="28" t="n">
        <x:v>1</x:v>
      </x:c>
      <x:c r="G1510" s="28" t="n">
        <x:v>2</x:v>
      </x:c>
      <x:c r="H1510" s="28" t="n">
        <x:v>10</x:v>
      </x:c>
      <x:c r="I1510" s="28" t="n">
        <x:v>21</x:v>
      </x:c>
      <x:c r="J1510" s="28" t="n">
        <x:v>3</x:v>
      </x:c>
      <x:c r="K1510" s="28" t="n">
        <x:v>8</x:v>
      </x:c>
      <x:c r="L1510" s="28" t="n">
        <x:v>4</x:v>
      </x:c>
      <x:c r="M1510" s="28" t="n">
        <x:v>5</x:v>
      </x:c>
      <x:c r="N1510" s="28" t="n">
        <x:v>2</x:v>
      </x:c>
      <x:c r="O1510" s="28" t="n">
        <x:v>0</x:v>
      </x:c>
      <x:c r="P1510" s="28" t="n">
        <x:v>0</x:v>
      </x:c>
      <x:c r="Q1510" s="24" t="n">
        <x:f>IFERROR(J1510/H1510,0)</x:f>
        <x:v>0.3</x:v>
      </x:c>
      <x:c r="R1510" s="24" t="n">
        <x:f>IFERROR(F1510/H1510,0)</x:f>
        <x:v>0.1</x:v>
      </x:c>
      <x:c r="S1510" s="24" t="n">
        <x:f>IFERROR(F1510/J1510,0)</x:f>
        <x:v>0.3333333333333333</x:v>
      </x:c>
      <x:c r="T1510" s="28" t="n">
        <x:f>H1510-I1510</x:f>
        <x:v>-11</x:v>
      </x:c>
      <x:c r="U1510" s="24" t="n">
        <x:f>IFERROR(J1510/H1510,0)-IFERROR(K1510/I1510,0)</x:f>
        <x:v>-0.08095238095238094</x:v>
      </x:c>
      <x:c r="V1510" s="24" t="n">
        <x:f>IFERROR(F1510/J1510,0)-IFERROR(G1510/K1510,0)</x:f>
        <x:v>0.08333333333333331</x:v>
      </x:c>
      <x:c r="W1510" s="28" t="n">
        <x:f>L1510-M1510</x:f>
        <x:v>-1</x:v>
      </x:c>
      <x:c r="X1510" s="24" t="n">
        <x:f>IFERROR(K1510/I1510,0)</x:f>
        <x:v>0.38095238095238093</x:v>
      </x:c>
      <x:c r="Y1510" s="24" t="n">
        <x:f>IFERROR(G1510/I1510,0)</x:f>
        <x:v>0.09523809523809523</x:v>
      </x:c>
      <x:c r="Z1510" s="24" t="n">
        <x:f>IFERROR(G1510/K1510,0)</x:f>
        <x:v>0.25</x:v>
      </x:c>
      <x:c r="AA1510" s="24" t="n">
        <x:f>IFERROR(F1510/H1510,0)-IFERROR(G1510/I1510,0)</x:f>
        <x:v>0.004761904761904773</x:v>
      </x:c>
      <x:c r="AB1510" s="28" t="n">
        <x:f>J1510-K1510</x:f>
        <x:v>-5</x:v>
      </x:c>
      <x:c r="AC1510" s="32" t="n">
        <x:f>F1510-G1510</x:f>
        <x:v>-1</x:v>
      </x:c>
    </x:row>
    <x:row r="1511">
      <x:c r="A1511" s="4" t="str">
        <x:v>2022-23</x:v>
      </x:c>
      <x:c r="B1511" s="20" t="n">
        <x:v>45074</x:v>
      </x:c>
      <x:c r="C1511" s="4" t="str">
        <x:v>Leeds</x:v>
      </x:c>
      <x:c r="D1511" s="4" t="str">
        <x:v>Tottenham</x:v>
      </x:c>
      <x:c r="E1511" s="4" t="str">
        <x:v>Home</x:v>
      </x:c>
      <x:c r="F1511" s="28" t="n">
        <x:v>1</x:v>
      </x:c>
      <x:c r="G1511" s="28" t="n">
        <x:v>4</x:v>
      </x:c>
      <x:c r="H1511" s="28" t="n">
        <x:v>19</x:v>
      </x:c>
      <x:c r="I1511" s="28" t="n">
        <x:v>11</x:v>
      </x:c>
      <x:c r="J1511" s="28" t="n">
        <x:v>2</x:v>
      </x:c>
      <x:c r="K1511" s="28" t="n">
        <x:v>7</x:v>
      </x:c>
      <x:c r="L1511" s="28" t="n">
        <x:v>12</x:v>
      </x:c>
      <x:c r="M1511" s="28" t="n">
        <x:v>3</x:v>
      </x:c>
      <x:c r="N1511" s="28" t="n">
        <x:v>3</x:v>
      </x:c>
      <x:c r="O1511" s="28" t="n">
        <x:v>0</x:v>
      </x:c>
      <x:c r="P1511" s="28" t="n">
        <x:v>0</x:v>
      </x:c>
      <x:c r="Q1511" s="24" t="n">
        <x:f>IFERROR(J1511/H1511,0)</x:f>
        <x:v>0.10526315789473684</x:v>
      </x:c>
      <x:c r="R1511" s="24" t="n">
        <x:f>IFERROR(F1511/H1511,0)</x:f>
        <x:v>0.05263157894736842</x:v>
      </x:c>
      <x:c r="S1511" s="24" t="n">
        <x:f>IFERROR(F1511/J1511,0)</x:f>
        <x:v>0.5</x:v>
      </x:c>
      <x:c r="T1511" s="28" t="n">
        <x:f>H1511-I1511</x:f>
        <x:v>8</x:v>
      </x:c>
      <x:c r="U1511" s="24" t="n">
        <x:f>IFERROR(J1511/H1511,0)-IFERROR(K1511/I1511,0)</x:f>
        <x:v>-0.5311004784688995</x:v>
      </x:c>
      <x:c r="V1511" s="24" t="n">
        <x:f>IFERROR(F1511/J1511,0)-IFERROR(G1511/K1511,0)</x:f>
        <x:v>-0.0714285714285714</x:v>
      </x:c>
      <x:c r="W1511" s="28" t="n">
        <x:f>L1511-M1511</x:f>
        <x:v>9</x:v>
      </x:c>
      <x:c r="X1511" s="24" t="n">
        <x:f>IFERROR(K1511/I1511,0)</x:f>
        <x:v>0.6363636363636364</x:v>
      </x:c>
      <x:c r="Y1511" s="24" t="n">
        <x:f>IFERROR(G1511/I1511,0)</x:f>
        <x:v>0.36363636363636365</x:v>
      </x:c>
      <x:c r="Z1511" s="24" t="n">
        <x:f>IFERROR(G1511/K1511,0)</x:f>
        <x:v>0.5714285714285714</x:v>
      </x:c>
      <x:c r="AA1511" s="24" t="n">
        <x:f>IFERROR(F1511/H1511,0)-IFERROR(G1511/I1511,0)</x:f>
        <x:v>-0.31100478468899523</x:v>
      </x:c>
      <x:c r="AB1511" s="28" t="n">
        <x:f>J1511-K1511</x:f>
        <x:v>-5</x:v>
      </x:c>
      <x:c r="AC1511" s="32" t="n">
        <x:f>F1511-G1511</x:f>
        <x:v>-3</x:v>
      </x:c>
    </x:row>
    <x:row r="1512">
      <x:c r="A1512" s="4" t="str">
        <x:v>2022-23</x:v>
      </x:c>
      <x:c r="B1512" s="20" t="n">
        <x:v>45074</x:v>
      </x:c>
      <x:c r="C1512" s="4" t="str">
        <x:v>Leicester</x:v>
      </x:c>
      <x:c r="D1512" s="4" t="str">
        <x:v>West Ham</x:v>
      </x:c>
      <x:c r="E1512" s="4" t="str">
        <x:v>Home</x:v>
      </x:c>
      <x:c r="F1512" s="28" t="n">
        <x:v>2</x:v>
      </x:c>
      <x:c r="G1512" s="28" t="n">
        <x:v>1</x:v>
      </x:c>
      <x:c r="H1512" s="28" t="n">
        <x:v>13</x:v>
      </x:c>
      <x:c r="I1512" s="28" t="n">
        <x:v>16</x:v>
      </x:c>
      <x:c r="J1512" s="28" t="n">
        <x:v>4</x:v>
      </x:c>
      <x:c r="K1512" s="28" t="n">
        <x:v>3</x:v>
      </x:c>
      <x:c r="L1512" s="28" t="n">
        <x:v>3</x:v>
      </x:c>
      <x:c r="M1512" s="28" t="n">
        <x:v>5</x:v>
      </x:c>
      <x:c r="N1512" s="28" t="n">
        <x:v>1</x:v>
      </x:c>
      <x:c r="O1512" s="28" t="n">
        <x:v>0</x:v>
      </x:c>
      <x:c r="P1512" s="28" t="n">
        <x:v>3</x:v>
      </x:c>
      <x:c r="Q1512" s="24" t="n">
        <x:f>IFERROR(J1512/H1512,0)</x:f>
        <x:v>0.3076923076923077</x:v>
      </x:c>
      <x:c r="R1512" s="24" t="n">
        <x:f>IFERROR(F1512/H1512,0)</x:f>
        <x:v>0.15384615384615385</x:v>
      </x:c>
      <x:c r="S1512" s="24" t="n">
        <x:f>IFERROR(F1512/J1512,0)</x:f>
        <x:v>0.5</x:v>
      </x:c>
      <x:c r="T1512" s="28" t="n">
        <x:f>H1512-I1512</x:f>
        <x:v>-3</x:v>
      </x:c>
      <x:c r="U1512" s="24" t="n">
        <x:f>IFERROR(J1512/H1512,0)-IFERROR(K1512/I1512,0)</x:f>
        <x:v>0.12019230769230771</x:v>
      </x:c>
      <x:c r="V1512" s="24" t="n">
        <x:f>IFERROR(F1512/J1512,0)-IFERROR(G1512/K1512,0)</x:f>
        <x:v>0.16666666666666669</x:v>
      </x:c>
      <x:c r="W1512" s="28" t="n">
        <x:f>L1512-M1512</x:f>
        <x:v>-2</x:v>
      </x:c>
      <x:c r="X1512" s="24" t="n">
        <x:f>IFERROR(K1512/I1512,0)</x:f>
        <x:v>0.1875</x:v>
      </x:c>
      <x:c r="Y1512" s="24" t="n">
        <x:f>IFERROR(G1512/I1512,0)</x:f>
        <x:v>0.0625</x:v>
      </x:c>
      <x:c r="Z1512" s="24" t="n">
        <x:f>IFERROR(G1512/K1512,0)</x:f>
        <x:v>0.3333333333333333</x:v>
      </x:c>
      <x:c r="AA1512" s="24" t="n">
        <x:f>IFERROR(F1512/H1512,0)-IFERROR(G1512/I1512,0)</x:f>
        <x:v>0.09134615384615385</x:v>
      </x:c>
      <x:c r="AB1512" s="28" t="n">
        <x:f>J1512-K1512</x:f>
        <x:v>1</x:v>
      </x:c>
      <x:c r="AC1512" s="32" t="n">
        <x:f>F1512-G1512</x:f>
        <x:v>1</x:v>
      </x:c>
    </x:row>
    <x:row r="1513">
      <x:c r="A1513" s="4" t="str">
        <x:v>2022-23</x:v>
      </x:c>
      <x:c r="B1513" s="20" t="n">
        <x:v>45074</x:v>
      </x:c>
      <x:c r="C1513" s="4" t="str">
        <x:v>Liverpool</x:v>
      </x:c>
      <x:c r="D1513" s="4" t="str">
        <x:v>Southampton</x:v>
      </x:c>
      <x:c r="E1513" s="4" t="str">
        <x:v>Away</x:v>
      </x:c>
      <x:c r="F1513" s="28" t="n">
        <x:v>4</x:v>
      </x:c>
      <x:c r="G1513" s="28" t="n">
        <x:v>4</x:v>
      </x:c>
      <x:c r="H1513" s="28" t="n">
        <x:v>30</x:v>
      </x:c>
      <x:c r="I1513" s="28" t="n">
        <x:v>15</x:v>
      </x:c>
      <x:c r="J1513" s="28" t="n">
        <x:v>8</x:v>
      </x:c>
      <x:c r="K1513" s="28" t="n">
        <x:v>10</x:v>
      </x:c>
      <x:c r="L1513" s="28" t="n">
        <x:v>9</x:v>
      </x:c>
      <x:c r="M1513" s="28" t="n">
        <x:v>2</x:v>
      </x:c>
      <x:c r="N1513" s="28" t="n">
        <x:v>2</x:v>
      </x:c>
      <x:c r="O1513" s="28" t="n">
        <x:v>0</x:v>
      </x:c>
      <x:c r="P1513" s="28" t="n">
        <x:v>1</x:v>
      </x:c>
      <x:c r="Q1513" s="24" t="n">
        <x:f>IFERROR(J1513/H1513,0)</x:f>
        <x:v>0.26666666666666666</x:v>
      </x:c>
      <x:c r="R1513" s="24" t="n">
        <x:f>IFERROR(F1513/H1513,0)</x:f>
        <x:v>0.13333333333333333</x:v>
      </x:c>
      <x:c r="S1513" s="24" t="n">
        <x:f>IFERROR(F1513/J1513,0)</x:f>
        <x:v>0.5</x:v>
      </x:c>
      <x:c r="T1513" s="28" t="n">
        <x:f>H1513-I1513</x:f>
        <x:v>15</x:v>
      </x:c>
      <x:c r="U1513" s="24" t="n">
        <x:f>IFERROR(J1513/H1513,0)-IFERROR(K1513/I1513,0)</x:f>
        <x:v>-0.39999999999999997</x:v>
      </x:c>
      <x:c r="V1513" s="24" t="n">
        <x:f>IFERROR(F1513/J1513,0)-IFERROR(G1513/K1513,0)</x:f>
        <x:v>0.09999999999999998</x:v>
      </x:c>
      <x:c r="W1513" s="28" t="n">
        <x:f>L1513-M1513</x:f>
        <x:v>7</x:v>
      </x:c>
      <x:c r="X1513" s="24" t="n">
        <x:f>IFERROR(K1513/I1513,0)</x:f>
        <x:v>0.6666666666666666</x:v>
      </x:c>
      <x:c r="Y1513" s="24" t="n">
        <x:f>IFERROR(G1513/I1513,0)</x:f>
        <x:v>0.26666666666666666</x:v>
      </x:c>
      <x:c r="Z1513" s="24" t="n">
        <x:f>IFERROR(G1513/K1513,0)</x:f>
        <x:v>0.4</x:v>
      </x:c>
      <x:c r="AA1513" s="24" t="n">
        <x:f>IFERROR(F1513/H1513,0)-IFERROR(G1513/I1513,0)</x:f>
        <x:v>-0.13333333333333333</x:v>
      </x:c>
      <x:c r="AB1513" s="28" t="n">
        <x:f>J1513-K1513</x:f>
        <x:v>-2</x:v>
      </x:c>
      <x:c r="AC1513" s="32" t="n">
        <x:f>F1513-G1513</x:f>
        <x:v>0</x:v>
      </x:c>
    </x:row>
    <x:row r="1514">
      <x:c r="A1514" s="4" t="str">
        <x:v>2022-23</x:v>
      </x:c>
      <x:c r="B1514" s="20" t="n">
        <x:v>45074</x:v>
      </x:c>
      <x:c r="C1514" s="4" t="str">
        <x:v>Man City</x:v>
      </x:c>
      <x:c r="D1514" s="4" t="str">
        <x:v>Brentford</x:v>
      </x:c>
      <x:c r="E1514" s="4" t="str">
        <x:v>Away</x:v>
      </x:c>
      <x:c r="F1514" s="28" t="n">
        <x:v>0</x:v>
      </x:c>
      <x:c r="G1514" s="28" t="n">
        <x:v>1</x:v>
      </x:c>
      <x:c r="H1514" s="28" t="n">
        <x:v>17</x:v>
      </x:c>
      <x:c r="I1514" s="28" t="n">
        <x:v>11</x:v>
      </x:c>
      <x:c r="J1514" s="28" t="n">
        <x:v>3</x:v>
      </x:c>
      <x:c r="K1514" s="28" t="n">
        <x:v>4</x:v>
      </x:c>
      <x:c r="L1514" s="28" t="n">
        <x:v>4</x:v>
      </x:c>
      <x:c r="M1514" s="28" t="n">
        <x:v>3</x:v>
      </x:c>
      <x:c r="N1514" s="28" t="n">
        <x:v>0</x:v>
      </x:c>
      <x:c r="O1514" s="28" t="n">
        <x:v>0</x:v>
      </x:c>
      <x:c r="P1514" s="28" t="n">
        <x:v>0</x:v>
      </x:c>
      <x:c r="Q1514" s="24" t="n">
        <x:f>IFERROR(J1514/H1514,0)</x:f>
        <x:v>0.17647058823529413</x:v>
      </x:c>
      <x:c r="R1514" s="24" t="n">
        <x:f>IFERROR(F1514/H1514,0)</x:f>
        <x:v>0</x:v>
      </x:c>
      <x:c r="S1514" s="24" t="n">
        <x:f>IFERROR(F1514/J1514,0)</x:f>
        <x:v>0</x:v>
      </x:c>
      <x:c r="T1514" s="28" t="n">
        <x:f>H1514-I1514</x:f>
        <x:v>6</x:v>
      </x:c>
      <x:c r="U1514" s="24" t="n">
        <x:f>IFERROR(J1514/H1514,0)-IFERROR(K1514/I1514,0)</x:f>
        <x:v>-0.18716577540106952</x:v>
      </x:c>
      <x:c r="V1514" s="24" t="n">
        <x:f>IFERROR(F1514/J1514,0)-IFERROR(G1514/K1514,0)</x:f>
        <x:v>-0.25</x:v>
      </x:c>
      <x:c r="W1514" s="28" t="n">
        <x:f>L1514-M1514</x:f>
        <x:v>1</x:v>
      </x:c>
      <x:c r="X1514" s="24" t="n">
        <x:f>IFERROR(K1514/I1514,0)</x:f>
        <x:v>0.36363636363636365</x:v>
      </x:c>
      <x:c r="Y1514" s="24" t="n">
        <x:f>IFERROR(G1514/I1514,0)</x:f>
        <x:v>0.09090909090909091</x:v>
      </x:c>
      <x:c r="Z1514" s="24" t="n">
        <x:f>IFERROR(G1514/K1514,0)</x:f>
        <x:v>0.25</x:v>
      </x:c>
      <x:c r="AA1514" s="24" t="n">
        <x:f>IFERROR(F1514/H1514,0)-IFERROR(G1514/I1514,0)</x:f>
        <x:v>-0.09090909090909091</x:v>
      </x:c>
      <x:c r="AB1514" s="28" t="n">
        <x:f>J1514-K1514</x:f>
        <x:v>-1</x:v>
      </x:c>
      <x:c r="AC1514" s="32" t="n">
        <x:f>F1514-G1514</x:f>
        <x:v>-1</x:v>
      </x:c>
    </x:row>
    <x:row r="1515">
      <x:c r="A1515" s="4" t="str">
        <x:v>2022-23</x:v>
      </x:c>
      <x:c r="B1515" s="20" t="n">
        <x:v>45074</x:v>
      </x:c>
      <x:c r="C1515" s="4" t="str">
        <x:v>Man United</x:v>
      </x:c>
      <x:c r="D1515" s="4" t="str">
        <x:v>Fulham</x:v>
      </x:c>
      <x:c r="E1515" s="4" t="str">
        <x:v>Home</x:v>
      </x:c>
      <x:c r="F1515" s="28" t="n">
        <x:v>2</x:v>
      </x:c>
      <x:c r="G1515" s="28" t="n">
        <x:v>1</x:v>
      </x:c>
      <x:c r="H1515" s="28" t="n">
        <x:v>21</x:v>
      </x:c>
      <x:c r="I1515" s="28" t="n">
        <x:v>10</x:v>
      </x:c>
      <x:c r="J1515" s="28" t="n">
        <x:v>8</x:v>
      </x:c>
      <x:c r="K1515" s="28" t="n">
        <x:v>3</x:v>
      </x:c>
      <x:c r="L1515" s="28" t="n">
        <x:v>5</x:v>
      </x:c>
      <x:c r="M1515" s="28" t="n">
        <x:v>4</x:v>
      </x:c>
      <x:c r="N1515" s="28" t="n">
        <x:v>1</x:v>
      </x:c>
      <x:c r="O1515" s="28" t="n">
        <x:v>0</x:v>
      </x:c>
      <x:c r="P1515" s="28" t="n">
        <x:v>3</x:v>
      </x:c>
      <x:c r="Q1515" s="24" t="n">
        <x:f>IFERROR(J1515/H1515,0)</x:f>
        <x:v>0.38095238095238093</x:v>
      </x:c>
      <x:c r="R1515" s="24" t="n">
        <x:f>IFERROR(F1515/H1515,0)</x:f>
        <x:v>0.09523809523809523</x:v>
      </x:c>
      <x:c r="S1515" s="24" t="n">
        <x:f>IFERROR(F1515/J1515,0)</x:f>
        <x:v>0.25</x:v>
      </x:c>
      <x:c r="T1515" s="28" t="n">
        <x:f>H1515-I1515</x:f>
        <x:v>11</x:v>
      </x:c>
      <x:c r="U1515" s="24" t="n">
        <x:f>IFERROR(J1515/H1515,0)-IFERROR(K1515/I1515,0)</x:f>
        <x:v>0.08095238095238094</x:v>
      </x:c>
      <x:c r="V1515" s="24" t="n">
        <x:f>IFERROR(F1515/J1515,0)-IFERROR(G1515/K1515,0)</x:f>
        <x:v>-0.08333333333333331</x:v>
      </x:c>
      <x:c r="W1515" s="28" t="n">
        <x:f>L1515-M1515</x:f>
        <x:v>1</x:v>
      </x:c>
      <x:c r="X1515" s="24" t="n">
        <x:f>IFERROR(K1515/I1515,0)</x:f>
        <x:v>0.3</x:v>
      </x:c>
      <x:c r="Y1515" s="24" t="n">
        <x:f>IFERROR(G1515/I1515,0)</x:f>
        <x:v>0.1</x:v>
      </x:c>
      <x:c r="Z1515" s="24" t="n">
        <x:f>IFERROR(G1515/K1515,0)</x:f>
        <x:v>0.3333333333333333</x:v>
      </x:c>
      <x:c r="AA1515" s="24" t="n">
        <x:f>IFERROR(F1515/H1515,0)-IFERROR(G1515/I1515,0)</x:f>
        <x:v>-0.004761904761904773</x:v>
      </x:c>
      <x:c r="AB1515" s="28" t="n">
        <x:f>J1515-K1515</x:f>
        <x:v>5</x:v>
      </x:c>
      <x:c r="AC1515" s="32" t="n">
        <x:f>F1515-G1515</x:f>
        <x:v>1</x:v>
      </x:c>
    </x:row>
    <x:row r="1516">
      <x:c r="A1516" s="4" t="str">
        <x:v>2022-23</x:v>
      </x:c>
      <x:c r="B1516" s="20" t="n">
        <x:v>45074</x:v>
      </x:c>
      <x:c r="C1516" s="4" t="str">
        <x:v>Newcastle</x:v>
      </x:c>
      <x:c r="D1516" s="4" t="str">
        <x:v>Chelsea</x:v>
      </x:c>
      <x:c r="E1516" s="4" t="str">
        <x:v>Away</x:v>
      </x:c>
      <x:c r="F1516" s="28" t="n">
        <x:v>1</x:v>
      </x:c>
      <x:c r="G1516" s="28" t="n">
        <x:v>1</x:v>
      </x:c>
      <x:c r="H1516" s="28" t="n">
        <x:v>13</x:v>
      </x:c>
      <x:c r="I1516" s="28" t="n">
        <x:v>22</x:v>
      </x:c>
      <x:c r="J1516" s="28" t="n">
        <x:v>4</x:v>
      </x:c>
      <x:c r="K1516" s="28" t="n">
        <x:v>5</x:v>
      </x:c>
      <x:c r="L1516" s="28" t="n">
        <x:v>3</x:v>
      </x:c>
      <x:c r="M1516" s="28" t="n">
        <x:v>10</x:v>
      </x:c>
      <x:c r="N1516" s="28" t="n">
        <x:v>0</x:v>
      </x:c>
      <x:c r="O1516" s="28" t="n">
        <x:v>0</x:v>
      </x:c>
      <x:c r="P1516" s="28" t="n">
        <x:v>1</x:v>
      </x:c>
      <x:c r="Q1516" s="24" t="n">
        <x:f>IFERROR(J1516/H1516,0)</x:f>
        <x:v>0.3076923076923077</x:v>
      </x:c>
      <x:c r="R1516" s="24" t="n">
        <x:f>IFERROR(F1516/H1516,0)</x:f>
        <x:v>0.07692307692307693</x:v>
      </x:c>
      <x:c r="S1516" s="24" t="n">
        <x:f>IFERROR(F1516/J1516,0)</x:f>
        <x:v>0.25</x:v>
      </x:c>
      <x:c r="T1516" s="28" t="n">
        <x:f>H1516-I1516</x:f>
        <x:v>-9</x:v>
      </x:c>
      <x:c r="U1516" s="24" t="n">
        <x:f>IFERROR(J1516/H1516,0)-IFERROR(K1516/I1516,0)</x:f>
        <x:v>0.08041958041958044</x:v>
      </x:c>
      <x:c r="V1516" s="24" t="n">
        <x:f>IFERROR(F1516/J1516,0)-IFERROR(G1516/K1516,0)</x:f>
        <x:v>0.04999999999999999</x:v>
      </x:c>
      <x:c r="W1516" s="28" t="n">
        <x:f>L1516-M1516</x:f>
        <x:v>-7</x:v>
      </x:c>
      <x:c r="X1516" s="24" t="n">
        <x:f>IFERROR(K1516/I1516,0)</x:f>
        <x:v>0.22727272727272727</x:v>
      </x:c>
      <x:c r="Y1516" s="24" t="n">
        <x:f>IFERROR(G1516/I1516,0)</x:f>
        <x:v>0.045454545454545456</x:v>
      </x:c>
      <x:c r="Z1516" s="24" t="n">
        <x:f>IFERROR(G1516/K1516,0)</x:f>
        <x:v>0.2</x:v>
      </x:c>
      <x:c r="AA1516" s="24" t="n">
        <x:f>IFERROR(F1516/H1516,0)-IFERROR(G1516/I1516,0)</x:f>
        <x:v>0.03146853146853147</x:v>
      </x:c>
      <x:c r="AB1516" s="28" t="n">
        <x:f>J1516-K1516</x:f>
        <x:v>-1</x:v>
      </x:c>
      <x:c r="AC1516" s="32" t="n">
        <x:f>F1516-G1516</x:f>
        <x:v>0</x:v>
      </x:c>
    </x:row>
    <x:row r="1517">
      <x:c r="A1517" s="4" t="str">
        <x:v>2022-23</x:v>
      </x:c>
      <x:c r="B1517" s="20" t="n">
        <x:v>45074</x:v>
      </x:c>
      <x:c r="C1517" s="4" t="str">
        <x:v>Nott'm Forest</x:v>
      </x:c>
      <x:c r="D1517" s="4" t="str">
        <x:v>Crystal Palace</x:v>
      </x:c>
      <x:c r="E1517" s="4" t="str">
        <x:v>Away</x:v>
      </x:c>
      <x:c r="F1517" s="28" t="n">
        <x:v>1</x:v>
      </x:c>
      <x:c r="G1517" s="28" t="n">
        <x:v>1</x:v>
      </x:c>
      <x:c r="H1517" s="28" t="n">
        <x:v>7</x:v>
      </x:c>
      <x:c r="I1517" s="28" t="n">
        <x:v>16</x:v>
      </x:c>
      <x:c r="J1517" s="28" t="n">
        <x:v>4</x:v>
      </x:c>
      <x:c r="K1517" s="28" t="n">
        <x:v>4</x:v>
      </x:c>
      <x:c r="L1517" s="28" t="n">
        <x:v>4</x:v>
      </x:c>
      <x:c r="M1517" s="28" t="n">
        <x:v>5</x:v>
      </x:c>
      <x:c r="N1517" s="28" t="n">
        <x:v>2</x:v>
      </x:c>
      <x:c r="O1517" s="28" t="n">
        <x:v>0</x:v>
      </x:c>
      <x:c r="P1517" s="28" t="n">
        <x:v>1</x:v>
      </x:c>
      <x:c r="Q1517" s="24" t="n">
        <x:f>IFERROR(J1517/H1517,0)</x:f>
        <x:v>0.5714285714285714</x:v>
      </x:c>
      <x:c r="R1517" s="24" t="n">
        <x:f>IFERROR(F1517/H1517,0)</x:f>
        <x:v>0.14285714285714285</x:v>
      </x:c>
      <x:c r="S1517" s="24" t="n">
        <x:f>IFERROR(F1517/J1517,0)</x:f>
        <x:v>0.25</x:v>
      </x:c>
      <x:c r="T1517" s="28" t="n">
        <x:f>H1517-I1517</x:f>
        <x:v>-9</x:v>
      </x:c>
      <x:c r="U1517" s="24" t="n">
        <x:f>IFERROR(J1517/H1517,0)-IFERROR(K1517/I1517,0)</x:f>
        <x:v>0.3214285714285714</x:v>
      </x:c>
      <x:c r="V1517" s="24" t="n">
        <x:f>IFERROR(F1517/J1517,0)-IFERROR(G1517/K1517,0)</x:f>
        <x:v>0</x:v>
      </x:c>
      <x:c r="W1517" s="28" t="n">
        <x:f>L1517-M1517</x:f>
        <x:v>-1</x:v>
      </x:c>
      <x:c r="X1517" s="24" t="n">
        <x:f>IFERROR(K1517/I1517,0)</x:f>
        <x:v>0.25</x:v>
      </x:c>
      <x:c r="Y1517" s="24" t="n">
        <x:f>IFERROR(G1517/I1517,0)</x:f>
        <x:v>0.0625</x:v>
      </x:c>
      <x:c r="Z1517" s="24" t="n">
        <x:f>IFERROR(G1517/K1517,0)</x:f>
        <x:v>0.25</x:v>
      </x:c>
      <x:c r="AA1517" s="24" t="n">
        <x:f>IFERROR(F1517/H1517,0)-IFERROR(G1517/I1517,0)</x:f>
        <x:v>0.08035714285714285</x:v>
      </x:c>
      <x:c r="AB1517" s="28" t="n">
        <x:f>J1517-K1517</x:f>
        <x:v>0</x:v>
      </x:c>
      <x:c r="AC1517" s="32" t="n">
        <x:f>F1517-G1517</x:f>
        <x:v>0</x:v>
      </x:c>
    </x:row>
    <x:row r="1518">
      <x:c r="A1518" s="4" t="str">
        <x:v>2022-23</x:v>
      </x:c>
      <x:c r="B1518" s="20" t="n">
        <x:v>45074</x:v>
      </x:c>
      <x:c r="C1518" s="4" t="str">
        <x:v>Southampton</x:v>
      </x:c>
      <x:c r="D1518" s="4" t="str">
        <x:v>Liverpool</x:v>
      </x:c>
      <x:c r="E1518" s="4" t="str">
        <x:v>Home</x:v>
      </x:c>
      <x:c r="F1518" s="28" t="n">
        <x:v>4</x:v>
      </x:c>
      <x:c r="G1518" s="28" t="n">
        <x:v>4</x:v>
      </x:c>
      <x:c r="H1518" s="28" t="n">
        <x:v>15</x:v>
      </x:c>
      <x:c r="I1518" s="28" t="n">
        <x:v>30</x:v>
      </x:c>
      <x:c r="J1518" s="28" t="n">
        <x:v>10</x:v>
      </x:c>
      <x:c r="K1518" s="28" t="n">
        <x:v>8</x:v>
      </x:c>
      <x:c r="L1518" s="28" t="n">
        <x:v>2</x:v>
      </x:c>
      <x:c r="M1518" s="28" t="n">
        <x:v>9</x:v>
      </x:c>
      <x:c r="N1518" s="28" t="n">
        <x:v>0</x:v>
      </x:c>
      <x:c r="O1518" s="28" t="n">
        <x:v>0</x:v>
      </x:c>
      <x:c r="P1518" s="28" t="n">
        <x:v>1</x:v>
      </x:c>
      <x:c r="Q1518" s="24" t="n">
        <x:f>IFERROR(J1518/H1518,0)</x:f>
        <x:v>0.6666666666666666</x:v>
      </x:c>
      <x:c r="R1518" s="24" t="n">
        <x:f>IFERROR(F1518/H1518,0)</x:f>
        <x:v>0.26666666666666666</x:v>
      </x:c>
      <x:c r="S1518" s="24" t="n">
        <x:f>IFERROR(F1518/J1518,0)</x:f>
        <x:v>0.4</x:v>
      </x:c>
      <x:c r="T1518" s="28" t="n">
        <x:f>H1518-I1518</x:f>
        <x:v>-15</x:v>
      </x:c>
      <x:c r="U1518" s="24" t="n">
        <x:f>IFERROR(J1518/H1518,0)-IFERROR(K1518/I1518,0)</x:f>
        <x:v>0.39999999999999997</x:v>
      </x:c>
      <x:c r="V1518" s="24" t="n">
        <x:f>IFERROR(F1518/J1518,0)-IFERROR(G1518/K1518,0)</x:f>
        <x:v>-0.09999999999999998</x:v>
      </x:c>
      <x:c r="W1518" s="28" t="n">
        <x:f>L1518-M1518</x:f>
        <x:v>-7</x:v>
      </x:c>
      <x:c r="X1518" s="24" t="n">
        <x:f>IFERROR(K1518/I1518,0)</x:f>
        <x:v>0.26666666666666666</x:v>
      </x:c>
      <x:c r="Y1518" s="24" t="n">
        <x:f>IFERROR(G1518/I1518,0)</x:f>
        <x:v>0.13333333333333333</x:v>
      </x:c>
      <x:c r="Z1518" s="24" t="n">
        <x:f>IFERROR(G1518/K1518,0)</x:f>
        <x:v>0.5</x:v>
      </x:c>
      <x:c r="AA1518" s="24" t="n">
        <x:f>IFERROR(F1518/H1518,0)-IFERROR(G1518/I1518,0)</x:f>
        <x:v>0.13333333333333333</x:v>
      </x:c>
      <x:c r="AB1518" s="28" t="n">
        <x:f>J1518-K1518</x:f>
        <x:v>2</x:v>
      </x:c>
      <x:c r="AC1518" s="32" t="n">
        <x:f>F1518-G1518</x:f>
        <x:v>0</x:v>
      </x:c>
    </x:row>
    <x:row r="1519">
      <x:c r="A1519" s="4" t="str">
        <x:v>2022-23</x:v>
      </x:c>
      <x:c r="B1519" s="20" t="n">
        <x:v>45074</x:v>
      </x:c>
      <x:c r="C1519" s="4" t="str">
        <x:v>Tottenham</x:v>
      </x:c>
      <x:c r="D1519" s="4" t="str">
        <x:v>Leeds</x:v>
      </x:c>
      <x:c r="E1519" s="4" t="str">
        <x:v>Away</x:v>
      </x:c>
      <x:c r="F1519" s="28" t="n">
        <x:v>4</x:v>
      </x:c>
      <x:c r="G1519" s="28" t="n">
        <x:v>1</x:v>
      </x:c>
      <x:c r="H1519" s="28" t="n">
        <x:v>11</x:v>
      </x:c>
      <x:c r="I1519" s="28" t="n">
        <x:v>19</x:v>
      </x:c>
      <x:c r="J1519" s="28" t="n">
        <x:v>7</x:v>
      </x:c>
      <x:c r="K1519" s="28" t="n">
        <x:v>2</x:v>
      </x:c>
      <x:c r="L1519" s="28" t="n">
        <x:v>3</x:v>
      </x:c>
      <x:c r="M1519" s="28" t="n">
        <x:v>12</x:v>
      </x:c>
      <x:c r="N1519" s="28" t="n">
        <x:v>0</x:v>
      </x:c>
      <x:c r="O1519" s="28" t="n">
        <x:v>0</x:v>
      </x:c>
      <x:c r="P1519" s="28" t="n">
        <x:v>3</x:v>
      </x:c>
      <x:c r="Q1519" s="24" t="n">
        <x:f>IFERROR(J1519/H1519,0)</x:f>
        <x:v>0.6363636363636364</x:v>
      </x:c>
      <x:c r="R1519" s="24" t="n">
        <x:f>IFERROR(F1519/H1519,0)</x:f>
        <x:v>0.36363636363636365</x:v>
      </x:c>
      <x:c r="S1519" s="24" t="n">
        <x:f>IFERROR(F1519/J1519,0)</x:f>
        <x:v>0.5714285714285714</x:v>
      </x:c>
      <x:c r="T1519" s="28" t="n">
        <x:f>H1519-I1519</x:f>
        <x:v>-8</x:v>
      </x:c>
      <x:c r="U1519" s="24" t="n">
        <x:f>IFERROR(J1519/H1519,0)-IFERROR(K1519/I1519,0)</x:f>
        <x:v>0.5311004784688995</x:v>
      </x:c>
      <x:c r="V1519" s="24" t="n">
        <x:f>IFERROR(F1519/J1519,0)-IFERROR(G1519/K1519,0)</x:f>
        <x:v>0.0714285714285714</x:v>
      </x:c>
      <x:c r="W1519" s="28" t="n">
        <x:f>L1519-M1519</x:f>
        <x:v>-9</x:v>
      </x:c>
      <x:c r="X1519" s="24" t="n">
        <x:f>IFERROR(K1519/I1519,0)</x:f>
        <x:v>0.10526315789473684</x:v>
      </x:c>
      <x:c r="Y1519" s="24" t="n">
        <x:f>IFERROR(G1519/I1519,0)</x:f>
        <x:v>0.05263157894736842</x:v>
      </x:c>
      <x:c r="Z1519" s="24" t="n">
        <x:f>IFERROR(G1519/K1519,0)</x:f>
        <x:v>0.5</x:v>
      </x:c>
      <x:c r="AA1519" s="24" t="n">
        <x:f>IFERROR(F1519/H1519,0)-IFERROR(G1519/I1519,0)</x:f>
        <x:v>0.31100478468899523</x:v>
      </x:c>
      <x:c r="AB1519" s="28" t="n">
        <x:f>J1519-K1519</x:f>
        <x:v>5</x:v>
      </x:c>
      <x:c r="AC1519" s="32" t="n">
        <x:f>F1519-G1519</x:f>
        <x:v>3</x:v>
      </x:c>
    </x:row>
    <x:row r="1520">
      <x:c r="A1520" s="4" t="str">
        <x:v>2022-23</x:v>
      </x:c>
      <x:c r="B1520" s="20" t="n">
        <x:v>45074</x:v>
      </x:c>
      <x:c r="C1520" s="4" t="str">
        <x:v>West Ham</x:v>
      </x:c>
      <x:c r="D1520" s="4" t="str">
        <x:v>Leicester</x:v>
      </x:c>
      <x:c r="E1520" s="4" t="str">
        <x:v>Away</x:v>
      </x:c>
      <x:c r="F1520" s="28" t="n">
        <x:v>1</x:v>
      </x:c>
      <x:c r="G1520" s="28" t="n">
        <x:v>2</x:v>
      </x:c>
      <x:c r="H1520" s="28" t="n">
        <x:v>16</x:v>
      </x:c>
      <x:c r="I1520" s="28" t="n">
        <x:v>13</x:v>
      </x:c>
      <x:c r="J1520" s="28" t="n">
        <x:v>3</x:v>
      </x:c>
      <x:c r="K1520" s="28" t="n">
        <x:v>4</x:v>
      </x:c>
      <x:c r="L1520" s="28" t="n">
        <x:v>5</x:v>
      </x:c>
      <x:c r="M1520" s="28" t="n">
        <x:v>3</x:v>
      </x:c>
      <x:c r="N1520" s="28" t="n">
        <x:v>1</x:v>
      </x:c>
      <x:c r="O1520" s="28" t="n">
        <x:v>0</x:v>
      </x:c>
      <x:c r="P1520" s="28" t="n">
        <x:v>0</x:v>
      </x:c>
      <x:c r="Q1520" s="24" t="n">
        <x:f>IFERROR(J1520/H1520,0)</x:f>
        <x:v>0.1875</x:v>
      </x:c>
      <x:c r="R1520" s="24" t="n">
        <x:f>IFERROR(F1520/H1520,0)</x:f>
        <x:v>0.0625</x:v>
      </x:c>
      <x:c r="S1520" s="24" t="n">
        <x:f>IFERROR(F1520/J1520,0)</x:f>
        <x:v>0.3333333333333333</x:v>
      </x:c>
      <x:c r="T1520" s="28" t="n">
        <x:f>H1520-I1520</x:f>
        <x:v>3</x:v>
      </x:c>
      <x:c r="U1520" s="24" t="n">
        <x:f>IFERROR(J1520/H1520,0)-IFERROR(K1520/I1520,0)</x:f>
        <x:v>-0.12019230769230771</x:v>
      </x:c>
      <x:c r="V1520" s="24" t="n">
        <x:f>IFERROR(F1520/J1520,0)-IFERROR(G1520/K1520,0)</x:f>
        <x:v>-0.16666666666666669</x:v>
      </x:c>
      <x:c r="W1520" s="28" t="n">
        <x:f>L1520-M1520</x:f>
        <x:v>2</x:v>
      </x:c>
      <x:c r="X1520" s="24" t="n">
        <x:f>IFERROR(K1520/I1520,0)</x:f>
        <x:v>0.3076923076923077</x:v>
      </x:c>
      <x:c r="Y1520" s="24" t="n">
        <x:f>IFERROR(G1520/I1520,0)</x:f>
        <x:v>0.15384615384615385</x:v>
      </x:c>
      <x:c r="Z1520" s="24" t="n">
        <x:f>IFERROR(G1520/K1520,0)</x:f>
        <x:v>0.5</x:v>
      </x:c>
      <x:c r="AA1520" s="24" t="n">
        <x:f>IFERROR(F1520/H1520,0)-IFERROR(G1520/I1520,0)</x:f>
        <x:v>-0.09134615384615385</x:v>
      </x:c>
      <x:c r="AB1520" s="28" t="n">
        <x:f>J1520-K1520</x:f>
        <x:v>-1</x:v>
      </x:c>
      <x:c r="AC1520" s="32" t="n">
        <x:f>F1520-G1520</x:f>
        <x:v>-1</x:v>
      </x:c>
    </x:row>
    <x:row r="1521">
      <x:c r="A1521" s="4" t="str">
        <x:v>2022-23</x:v>
      </x:c>
      <x:c r="B1521" s="20" t="n">
        <x:v>45074</x:v>
      </x:c>
      <x:c r="C1521" s="4" t="str">
        <x:v>Wolves</x:v>
      </x:c>
      <x:c r="D1521" s="4" t="str">
        <x:v>Arsenal</x:v>
      </x:c>
      <x:c r="E1521" s="4" t="str">
        <x:v>Away</x:v>
      </x:c>
      <x:c r="F1521" s="28" t="n">
        <x:v>0</x:v>
      </x:c>
      <x:c r="G1521" s="28" t="n">
        <x:v>5</x:v>
      </x:c>
      <x:c r="H1521" s="28" t="n">
        <x:v>6</x:v>
      </x:c>
      <x:c r="I1521" s="28" t="n">
        <x:v>14</x:v>
      </x:c>
      <x:c r="J1521" s="28" t="n">
        <x:v>0</x:v>
      </x:c>
      <x:c r="K1521" s="28" t="n">
        <x:v>8</x:v>
      </x:c>
      <x:c r="L1521" s="28" t="n">
        <x:v>4</x:v>
      </x:c>
      <x:c r="M1521" s="28" t="n">
        <x:v>8</x:v>
      </x:c>
      <x:c r="N1521" s="28" t="n">
        <x:v>0</x:v>
      </x:c>
      <x:c r="O1521" s="28" t="n">
        <x:v>0</x:v>
      </x:c>
      <x:c r="P1521" s="28" t="n">
        <x:v>0</x:v>
      </x:c>
      <x:c r="Q1521" s="24" t="n">
        <x:f>IFERROR(J1521/H1521,0)</x:f>
        <x:v>0</x:v>
      </x:c>
      <x:c r="R1521" s="24" t="n">
        <x:f>IFERROR(F1521/H1521,0)</x:f>
        <x:v>0</x:v>
      </x:c>
      <x:c r="S1521" s="24" t="n">
        <x:f>IFERROR(F1521/J1521,0)</x:f>
        <x:v>0</x:v>
      </x:c>
      <x:c r="T1521" s="28" t="n">
        <x:f>H1521-I1521</x:f>
        <x:v>-8</x:v>
      </x:c>
      <x:c r="U1521" s="24" t="n">
        <x:f>IFERROR(J1521/H1521,0)-IFERROR(K1521/I1521,0)</x:f>
        <x:v>-0.5714285714285714</x:v>
      </x:c>
      <x:c r="V1521" s="24" t="n">
        <x:f>IFERROR(F1521/J1521,0)-IFERROR(G1521/K1521,0)</x:f>
        <x:v>-0.625</x:v>
      </x:c>
      <x:c r="W1521" s="28" t="n">
        <x:f>L1521-M1521</x:f>
        <x:v>-4</x:v>
      </x:c>
      <x:c r="X1521" s="24" t="n">
        <x:f>IFERROR(K1521/I1521,0)</x:f>
        <x:v>0.5714285714285714</x:v>
      </x:c>
      <x:c r="Y1521" s="24" t="n">
        <x:f>IFERROR(G1521/I1521,0)</x:f>
        <x:v>0.35714285714285715</x:v>
      </x:c>
      <x:c r="Z1521" s="24" t="n">
        <x:f>IFERROR(G1521/K1521,0)</x:f>
        <x:v>0.625</x:v>
      </x:c>
      <x:c r="AA1521" s="24" t="n">
        <x:f>IFERROR(F1521/H1521,0)-IFERROR(G1521/I1521,0)</x:f>
        <x:v>-0.35714285714285715</x:v>
      </x:c>
      <x:c r="AB1521" s="28" t="n">
        <x:f>J1521-K1521</x:f>
        <x:v>-8</x:v>
      </x:c>
      <x:c r="AC1521" s="32" t="n">
        <x:f>F1521-G1521</x:f>
        <x:v>-5</x:v>
      </x:c>
    </x:row>
    <x:row r="1522">
      <x:c r="A1522" s="4" t="str">
        <x:v>2023-24</x:v>
      </x:c>
      <x:c r="B1522" s="20" t="n">
        <x:v>45149</x:v>
      </x:c>
      <x:c r="C1522" s="4" t="str">
        <x:v>Burnley</x:v>
      </x:c>
      <x:c r="D1522" s="4" t="str">
        <x:v>Man City</x:v>
      </x:c>
      <x:c r="E1522" s="4" t="str">
        <x:v>Home</x:v>
      </x:c>
      <x:c r="F1522" s="28" t="n">
        <x:v>0</x:v>
      </x:c>
      <x:c r="G1522" s="28" t="n">
        <x:v>3</x:v>
      </x:c>
      <x:c r="H1522" s="28" t="n">
        <x:v>6</x:v>
      </x:c>
      <x:c r="I1522" s="28" t="n">
        <x:v>17</x:v>
      </x:c>
      <x:c r="J1522" s="28" t="n">
        <x:v>1</x:v>
      </x:c>
      <x:c r="K1522" s="28" t="n">
        <x:v>8</x:v>
      </x:c>
      <x:c r="L1522" s="28" t="n">
        <x:v>6</x:v>
      </x:c>
      <x:c r="M1522" s="28" t="n">
        <x:v>5</x:v>
      </x:c>
      <x:c r="N1522" s="28" t="n">
        <x:v>0</x:v>
      </x:c>
      <x:c r="O1522" s="28" t="n">
        <x:v>1</x:v>
      </x:c>
      <x:c r="P1522" s="28" t="n">
        <x:v>0</x:v>
      </x:c>
      <x:c r="Q1522" s="24" t="n">
        <x:f>IFERROR(J1522/H1522,0)</x:f>
        <x:v>0.16666666666666666</x:v>
      </x:c>
      <x:c r="R1522" s="24" t="n">
        <x:f>IFERROR(F1522/H1522,0)</x:f>
        <x:v>0</x:v>
      </x:c>
      <x:c r="S1522" s="24" t="n">
        <x:f>IFERROR(F1522/J1522,0)</x:f>
        <x:v>0</x:v>
      </x:c>
      <x:c r="T1522" s="28" t="n">
        <x:f>H1522-I1522</x:f>
        <x:v>-11</x:v>
      </x:c>
      <x:c r="U1522" s="24" t="n">
        <x:f>IFERROR(J1522/H1522,0)-IFERROR(K1522/I1522,0)</x:f>
        <x:v>-0.303921568627451</x:v>
      </x:c>
      <x:c r="V1522" s="24" t="n">
        <x:f>IFERROR(F1522/J1522,0)-IFERROR(G1522/K1522,0)</x:f>
        <x:v>-0.375</x:v>
      </x:c>
      <x:c r="W1522" s="28" t="n">
        <x:f>L1522-M1522</x:f>
        <x:v>1</x:v>
      </x:c>
      <x:c r="X1522" s="24" t="n">
        <x:f>IFERROR(K1522/I1522,0)</x:f>
        <x:v>0.47058823529411764</x:v>
      </x:c>
      <x:c r="Y1522" s="24" t="n">
        <x:f>IFERROR(G1522/I1522,0)</x:f>
        <x:v>0.17647058823529413</x:v>
      </x:c>
      <x:c r="Z1522" s="24" t="n">
        <x:f>IFERROR(G1522/K1522,0)</x:f>
        <x:v>0.375</x:v>
      </x:c>
      <x:c r="AA1522" s="24" t="n">
        <x:f>IFERROR(F1522/H1522,0)-IFERROR(G1522/I1522,0)</x:f>
        <x:v>-0.17647058823529413</x:v>
      </x:c>
      <x:c r="AB1522" s="28" t="n">
        <x:f>J1522-K1522</x:f>
        <x:v>-7</x:v>
      </x:c>
      <x:c r="AC1522" s="32" t="n">
        <x:f>F1522-G1522</x:f>
        <x:v>-3</x:v>
      </x:c>
    </x:row>
    <x:row r="1523">
      <x:c r="A1523" s="4" t="str">
        <x:v>2023-24</x:v>
      </x:c>
      <x:c r="B1523" s="20" t="n">
        <x:v>45149</x:v>
      </x:c>
      <x:c r="C1523" s="4" t="str">
        <x:v>Man City</x:v>
      </x:c>
      <x:c r="D1523" s="4" t="str">
        <x:v>Burnley</x:v>
      </x:c>
      <x:c r="E1523" s="4" t="str">
        <x:v>Away</x:v>
      </x:c>
      <x:c r="F1523" s="28" t="n">
        <x:v>3</x:v>
      </x:c>
      <x:c r="G1523" s="28" t="n">
        <x:v>0</x:v>
      </x:c>
      <x:c r="H1523" s="28" t="n">
        <x:v>17</x:v>
      </x:c>
      <x:c r="I1523" s="28" t="n">
        <x:v>6</x:v>
      </x:c>
      <x:c r="J1523" s="28" t="n">
        <x:v>8</x:v>
      </x:c>
      <x:c r="K1523" s="28" t="n">
        <x:v>1</x:v>
      </x:c>
      <x:c r="L1523" s="28" t="n">
        <x:v>5</x:v>
      </x:c>
      <x:c r="M1523" s="28" t="n">
        <x:v>6</x:v>
      </x:c>
      <x:c r="N1523" s="28" t="n">
        <x:v>0</x:v>
      </x:c>
      <x:c r="O1523" s="28" t="n">
        <x:v>0</x:v>
      </x:c>
      <x:c r="P1523" s="28" t="n">
        <x:v>3</x:v>
      </x:c>
      <x:c r="Q1523" s="24" t="n">
        <x:f>IFERROR(J1523/H1523,0)</x:f>
        <x:v>0.47058823529411764</x:v>
      </x:c>
      <x:c r="R1523" s="24" t="n">
        <x:f>IFERROR(F1523/H1523,0)</x:f>
        <x:v>0.17647058823529413</x:v>
      </x:c>
      <x:c r="S1523" s="24" t="n">
        <x:f>IFERROR(F1523/J1523,0)</x:f>
        <x:v>0.375</x:v>
      </x:c>
      <x:c r="T1523" s="28" t="n">
        <x:f>H1523-I1523</x:f>
        <x:v>11</x:v>
      </x:c>
      <x:c r="U1523" s="24" t="n">
        <x:f>IFERROR(J1523/H1523,0)-IFERROR(K1523/I1523,0)</x:f>
        <x:v>0.303921568627451</x:v>
      </x:c>
      <x:c r="V1523" s="24" t="n">
        <x:f>IFERROR(F1523/J1523,0)-IFERROR(G1523/K1523,0)</x:f>
        <x:v>0.375</x:v>
      </x:c>
      <x:c r="W1523" s="28" t="n">
        <x:f>L1523-M1523</x:f>
        <x:v>-1</x:v>
      </x:c>
      <x:c r="X1523" s="24" t="n">
        <x:f>IFERROR(K1523/I1523,0)</x:f>
        <x:v>0.16666666666666666</x:v>
      </x:c>
      <x:c r="Y1523" s="24" t="n">
        <x:f>IFERROR(G1523/I1523,0)</x:f>
        <x:v>0</x:v>
      </x:c>
      <x:c r="Z1523" s="24" t="n">
        <x:f>IFERROR(G1523/K1523,0)</x:f>
        <x:v>0</x:v>
      </x:c>
      <x:c r="AA1523" s="24" t="n">
        <x:f>IFERROR(F1523/H1523,0)-IFERROR(G1523/I1523,0)</x:f>
        <x:v>0.17647058823529413</x:v>
      </x:c>
      <x:c r="AB1523" s="28" t="n">
        <x:f>J1523-K1523</x:f>
        <x:v>7</x:v>
      </x:c>
      <x:c r="AC1523" s="32" t="n">
        <x:f>F1523-G1523</x:f>
        <x:v>3</x:v>
      </x:c>
    </x:row>
    <x:row r="1524">
      <x:c r="A1524" s="4" t="str">
        <x:v>2023-24</x:v>
      </x:c>
      <x:c r="B1524" s="20" t="n">
        <x:v>45150</x:v>
      </x:c>
      <x:c r="C1524" s="4" t="str">
        <x:v>Arsenal</x:v>
      </x:c>
      <x:c r="D1524" s="4" t="str">
        <x:v>Nott'm Forest</x:v>
      </x:c>
      <x:c r="E1524" s="4" t="str">
        <x:v>Home</x:v>
      </x:c>
      <x:c r="F1524" s="28" t="n">
        <x:v>2</x:v>
      </x:c>
      <x:c r="G1524" s="28" t="n">
        <x:v>1</x:v>
      </x:c>
      <x:c r="H1524" s="28" t="n">
        <x:v>15</x:v>
      </x:c>
      <x:c r="I1524" s="28" t="n">
        <x:v>6</x:v>
      </x:c>
      <x:c r="J1524" s="28" t="n">
        <x:v>7</x:v>
      </x:c>
      <x:c r="K1524" s="28" t="n">
        <x:v>2</x:v>
      </x:c>
      <x:c r="L1524" s="28" t="n">
        <x:v>8</x:v>
      </x:c>
      <x:c r="M1524" s="28" t="n">
        <x:v>3</x:v>
      </x:c>
      <x:c r="N1524" s="28" t="n">
        <x:v>2</x:v>
      </x:c>
      <x:c r="O1524" s="28" t="n">
        <x:v>0</x:v>
      </x:c>
      <x:c r="P1524" s="28" t="n">
        <x:v>3</x:v>
      </x:c>
      <x:c r="Q1524" s="24" t="n">
        <x:f>IFERROR(J1524/H1524,0)</x:f>
        <x:v>0.4666666666666667</x:v>
      </x:c>
      <x:c r="R1524" s="24" t="n">
        <x:f>IFERROR(F1524/H1524,0)</x:f>
        <x:v>0.13333333333333333</x:v>
      </x:c>
      <x:c r="S1524" s="24" t="n">
        <x:f>IFERROR(F1524/J1524,0)</x:f>
        <x:v>0.2857142857142857</x:v>
      </x:c>
      <x:c r="T1524" s="28" t="n">
        <x:f>H1524-I1524</x:f>
        <x:v>9</x:v>
      </x:c>
      <x:c r="U1524" s="24" t="n">
        <x:f>IFERROR(J1524/H1524,0)-IFERROR(K1524/I1524,0)</x:f>
        <x:v>0.13333333333333336</x:v>
      </x:c>
      <x:c r="V1524" s="24" t="n">
        <x:f>IFERROR(F1524/J1524,0)-IFERROR(G1524/K1524,0)</x:f>
        <x:v>-0.2142857142857143</x:v>
      </x:c>
      <x:c r="W1524" s="28" t="n">
        <x:f>L1524-M1524</x:f>
        <x:v>5</x:v>
      </x:c>
      <x:c r="X1524" s="24" t="n">
        <x:f>IFERROR(K1524/I1524,0)</x:f>
        <x:v>0.3333333333333333</x:v>
      </x:c>
      <x:c r="Y1524" s="24" t="n">
        <x:f>IFERROR(G1524/I1524,0)</x:f>
        <x:v>0.16666666666666666</x:v>
      </x:c>
      <x:c r="Z1524" s="24" t="n">
        <x:f>IFERROR(G1524/K1524,0)</x:f>
        <x:v>0.5</x:v>
      </x:c>
      <x:c r="AA1524" s="24" t="n">
        <x:f>IFERROR(F1524/H1524,0)-IFERROR(G1524/I1524,0)</x:f>
        <x:v>-0.033333333333333326</x:v>
      </x:c>
      <x:c r="AB1524" s="28" t="n">
        <x:f>J1524-K1524</x:f>
        <x:v>5</x:v>
      </x:c>
      <x:c r="AC1524" s="32" t="n">
        <x:f>F1524-G1524</x:f>
        <x:v>1</x:v>
      </x:c>
    </x:row>
    <x:row r="1525">
      <x:c r="A1525" s="4" t="str">
        <x:v>2023-24</x:v>
      </x:c>
      <x:c r="B1525" s="20" t="n">
        <x:v>45150</x:v>
      </x:c>
      <x:c r="C1525" s="4" t="str">
        <x:v>Aston Villa</x:v>
      </x:c>
      <x:c r="D1525" s="4" t="str">
        <x:v>Newcastle</x:v>
      </x:c>
      <x:c r="E1525" s="4" t="str">
        <x:v>Away</x:v>
      </x:c>
      <x:c r="F1525" s="28" t="n">
        <x:v>1</x:v>
      </x:c>
      <x:c r="G1525" s="28" t="n">
        <x:v>5</x:v>
      </x:c>
      <x:c r="H1525" s="28" t="n">
        <x:v>16</x:v>
      </x:c>
      <x:c r="I1525" s="28" t="n">
        <x:v>17</x:v>
      </x:c>
      <x:c r="J1525" s="28" t="n">
        <x:v>6</x:v>
      </x:c>
      <x:c r="K1525" s="28" t="n">
        <x:v>13</x:v>
      </x:c>
      <x:c r="L1525" s="28" t="n">
        <x:v>5</x:v>
      </x:c>
      <x:c r="M1525" s="28" t="n">
        <x:v>6</x:v>
      </x:c>
      <x:c r="N1525" s="28" t="n">
        <x:v>4</x:v>
      </x:c>
      <x:c r="O1525" s="28" t="n">
        <x:v>0</x:v>
      </x:c>
      <x:c r="P1525" s="28" t="n">
        <x:v>0</x:v>
      </x:c>
      <x:c r="Q1525" s="24" t="n">
        <x:f>IFERROR(J1525/H1525,0)</x:f>
        <x:v>0.375</x:v>
      </x:c>
      <x:c r="R1525" s="24" t="n">
        <x:f>IFERROR(F1525/H1525,0)</x:f>
        <x:v>0.0625</x:v>
      </x:c>
      <x:c r="S1525" s="24" t="n">
        <x:f>IFERROR(F1525/J1525,0)</x:f>
        <x:v>0.16666666666666666</x:v>
      </x:c>
      <x:c r="T1525" s="28" t="n">
        <x:f>H1525-I1525</x:f>
        <x:v>-1</x:v>
      </x:c>
      <x:c r="U1525" s="24" t="n">
        <x:f>IFERROR(J1525/H1525,0)-IFERROR(K1525/I1525,0)</x:f>
        <x:v>-0.3897058823529411</x:v>
      </x:c>
      <x:c r="V1525" s="24" t="n">
        <x:f>IFERROR(F1525/J1525,0)-IFERROR(G1525/K1525,0)</x:f>
        <x:v>-0.21794871794871798</x:v>
      </x:c>
      <x:c r="W1525" s="28" t="n">
        <x:f>L1525-M1525</x:f>
        <x:v>-1</x:v>
      </x:c>
      <x:c r="X1525" s="24" t="n">
        <x:f>IFERROR(K1525/I1525,0)</x:f>
        <x:v>0.7647058823529411</x:v>
      </x:c>
      <x:c r="Y1525" s="24" t="n">
        <x:f>IFERROR(G1525/I1525,0)</x:f>
        <x:v>0.29411764705882354</x:v>
      </x:c>
      <x:c r="Z1525" s="24" t="n">
        <x:f>IFERROR(G1525/K1525,0)</x:f>
        <x:v>0.38461538461538464</x:v>
      </x:c>
      <x:c r="AA1525" s="24" t="n">
        <x:f>IFERROR(F1525/H1525,0)-IFERROR(G1525/I1525,0)</x:f>
        <x:v>-0.23161764705882354</x:v>
      </x:c>
      <x:c r="AB1525" s="28" t="n">
        <x:f>J1525-K1525</x:f>
        <x:v>-7</x:v>
      </x:c>
      <x:c r="AC1525" s="32" t="n">
        <x:f>F1525-G1525</x:f>
        <x:v>-4</x:v>
      </x:c>
    </x:row>
    <x:row r="1526">
      <x:c r="A1526" s="4" t="str">
        <x:v>2023-24</x:v>
      </x:c>
      <x:c r="B1526" s="20" t="n">
        <x:v>45150</x:v>
      </x:c>
      <x:c r="C1526" s="4" t="str">
        <x:v>Bournemouth</x:v>
      </x:c>
      <x:c r="D1526" s="4" t="str">
        <x:v>West Ham</x:v>
      </x:c>
      <x:c r="E1526" s="4" t="str">
        <x:v>Home</x:v>
      </x:c>
      <x:c r="F1526" s="28" t="n">
        <x:v>1</x:v>
      </x:c>
      <x:c r="G1526" s="28" t="n">
        <x:v>1</x:v>
      </x:c>
      <x:c r="H1526" s="28" t="n">
        <x:v>14</x:v>
      </x:c>
      <x:c r="I1526" s="28" t="n">
        <x:v>16</x:v>
      </x:c>
      <x:c r="J1526" s="28" t="n">
        <x:v>5</x:v>
      </x:c>
      <x:c r="K1526" s="28" t="n">
        <x:v>3</x:v>
      </x:c>
      <x:c r="L1526" s="28" t="n">
        <x:v>10</x:v>
      </x:c>
      <x:c r="M1526" s="28" t="n">
        <x:v>4</x:v>
      </x:c>
      <x:c r="N1526" s="28" t="n">
        <x:v>1</x:v>
      </x:c>
      <x:c r="O1526" s="28" t="n">
        <x:v>0</x:v>
      </x:c>
      <x:c r="P1526" s="28" t="n">
        <x:v>1</x:v>
      </x:c>
      <x:c r="Q1526" s="24" t="n">
        <x:f>IFERROR(J1526/H1526,0)</x:f>
        <x:v>0.35714285714285715</x:v>
      </x:c>
      <x:c r="R1526" s="24" t="n">
        <x:f>IFERROR(F1526/H1526,0)</x:f>
        <x:v>0.07142857142857142</x:v>
      </x:c>
      <x:c r="S1526" s="24" t="n">
        <x:f>IFERROR(F1526/J1526,0)</x:f>
        <x:v>0.2</x:v>
      </x:c>
      <x:c r="T1526" s="28" t="n">
        <x:f>H1526-I1526</x:f>
        <x:v>-2</x:v>
      </x:c>
      <x:c r="U1526" s="24" t="n">
        <x:f>IFERROR(J1526/H1526,0)-IFERROR(K1526/I1526,0)</x:f>
        <x:v>0.16964285714285715</x:v>
      </x:c>
      <x:c r="V1526" s="24" t="n">
        <x:f>IFERROR(F1526/J1526,0)-IFERROR(G1526/K1526,0)</x:f>
        <x:v>-0.1333333333333333</x:v>
      </x:c>
      <x:c r="W1526" s="28" t="n">
        <x:f>L1526-M1526</x:f>
        <x:v>6</x:v>
      </x:c>
      <x:c r="X1526" s="24" t="n">
        <x:f>IFERROR(K1526/I1526,0)</x:f>
        <x:v>0.1875</x:v>
      </x:c>
      <x:c r="Y1526" s="24" t="n">
        <x:f>IFERROR(G1526/I1526,0)</x:f>
        <x:v>0.0625</x:v>
      </x:c>
      <x:c r="Z1526" s="24" t="n">
        <x:f>IFERROR(G1526/K1526,0)</x:f>
        <x:v>0.3333333333333333</x:v>
      </x:c>
      <x:c r="AA1526" s="24" t="n">
        <x:f>IFERROR(F1526/H1526,0)-IFERROR(G1526/I1526,0)</x:f>
        <x:v>0.008928571428571425</x:v>
      </x:c>
      <x:c r="AB1526" s="28" t="n">
        <x:f>J1526-K1526</x:f>
        <x:v>2</x:v>
      </x:c>
      <x:c r="AC1526" s="32" t="n">
        <x:f>F1526-G1526</x:f>
        <x:v>0</x:v>
      </x:c>
    </x:row>
    <x:row r="1527">
      <x:c r="A1527" s="4" t="str">
        <x:v>2023-24</x:v>
      </x:c>
      <x:c r="B1527" s="20" t="n">
        <x:v>45150</x:v>
      </x:c>
      <x:c r="C1527" s="4" t="str">
        <x:v>Brighton</x:v>
      </x:c>
      <x:c r="D1527" s="4" t="str">
        <x:v>Luton</x:v>
      </x:c>
      <x:c r="E1527" s="4" t="str">
        <x:v>Home</x:v>
      </x:c>
      <x:c r="F1527" s="28" t="n">
        <x:v>4</x:v>
      </x:c>
      <x:c r="G1527" s="28" t="n">
        <x:v>1</x:v>
      </x:c>
      <x:c r="H1527" s="28" t="n">
        <x:v>27</x:v>
      </x:c>
      <x:c r="I1527" s="28" t="n">
        <x:v>9</x:v>
      </x:c>
      <x:c r="J1527" s="28" t="n">
        <x:v>12</x:v>
      </x:c>
      <x:c r="K1527" s="28" t="n">
        <x:v>3</x:v>
      </x:c>
      <x:c r="L1527" s="28" t="n">
        <x:v>6</x:v>
      </x:c>
      <x:c r="M1527" s="28" t="n">
        <x:v>7</x:v>
      </x:c>
      <x:c r="N1527" s="28" t="n">
        <x:v>2</x:v>
      </x:c>
      <x:c r="O1527" s="28" t="n">
        <x:v>0</x:v>
      </x:c>
      <x:c r="P1527" s="28" t="n">
        <x:v>3</x:v>
      </x:c>
      <x:c r="Q1527" s="24" t="n">
        <x:f>IFERROR(J1527/H1527,0)</x:f>
        <x:v>0.4444444444444444</x:v>
      </x:c>
      <x:c r="R1527" s="24" t="n">
        <x:f>IFERROR(F1527/H1527,0)</x:f>
        <x:v>0.14814814814814814</x:v>
      </x:c>
      <x:c r="S1527" s="24" t="n">
        <x:f>IFERROR(F1527/J1527,0)</x:f>
        <x:v>0.3333333333333333</x:v>
      </x:c>
      <x:c r="T1527" s="28" t="n">
        <x:f>H1527-I1527</x:f>
        <x:v>18</x:v>
      </x:c>
      <x:c r="U1527" s="24" t="n">
        <x:f>IFERROR(J1527/H1527,0)-IFERROR(K1527/I1527,0)</x:f>
        <x:v>0.1111111111111111</x:v>
      </x:c>
      <x:c r="V1527" s="24" t="n">
        <x:f>IFERROR(F1527/J1527,0)-IFERROR(G1527/K1527,0)</x:f>
        <x:v>0</x:v>
      </x:c>
      <x:c r="W1527" s="28" t="n">
        <x:f>L1527-M1527</x:f>
        <x:v>-1</x:v>
      </x:c>
      <x:c r="X1527" s="24" t="n">
        <x:f>IFERROR(K1527/I1527,0)</x:f>
        <x:v>0.3333333333333333</x:v>
      </x:c>
      <x:c r="Y1527" s="24" t="n">
        <x:f>IFERROR(G1527/I1527,0)</x:f>
        <x:v>0.1111111111111111</x:v>
      </x:c>
      <x:c r="Z1527" s="24" t="n">
        <x:f>IFERROR(G1527/K1527,0)</x:f>
        <x:v>0.3333333333333333</x:v>
      </x:c>
      <x:c r="AA1527" s="24" t="n">
        <x:f>IFERROR(F1527/H1527,0)-IFERROR(G1527/I1527,0)</x:f>
        <x:v>0.037037037037037035</x:v>
      </x:c>
      <x:c r="AB1527" s="28" t="n">
        <x:f>J1527-K1527</x:f>
        <x:v>9</x:v>
      </x:c>
      <x:c r="AC1527" s="32" t="n">
        <x:f>F1527-G1527</x:f>
        <x:v>3</x:v>
      </x:c>
    </x:row>
    <x:row r="1528">
      <x:c r="A1528" s="4" t="str">
        <x:v>2023-24</x:v>
      </x:c>
      <x:c r="B1528" s="20" t="n">
        <x:v>45150</x:v>
      </x:c>
      <x:c r="C1528" s="4" t="str">
        <x:v>Crystal Palace</x:v>
      </x:c>
      <x:c r="D1528" s="4" t="str">
        <x:v>Sheffield United</x:v>
      </x:c>
      <x:c r="E1528" s="4" t="str">
        <x:v>Away</x:v>
      </x:c>
      <x:c r="F1528" s="28" t="n">
        <x:v>1</x:v>
      </x:c>
      <x:c r="G1528" s="28" t="n">
        <x:v>0</x:v>
      </x:c>
      <x:c r="H1528" s="28" t="n">
        <x:v>24</x:v>
      </x:c>
      <x:c r="I1528" s="28" t="n">
        <x:v>8</x:v>
      </x:c>
      <x:c r="J1528" s="28" t="n">
        <x:v>8</x:v>
      </x:c>
      <x:c r="K1528" s="28" t="n">
        <x:v>1</x:v>
      </x:c>
      <x:c r="L1528" s="28" t="n">
        <x:v>5</x:v>
      </x:c>
      <x:c r="M1528" s="28" t="n">
        <x:v>5</x:v>
      </x:c>
      <x:c r="N1528" s="28" t="n">
        <x:v>0</x:v>
      </x:c>
      <x:c r="O1528" s="28" t="n">
        <x:v>0</x:v>
      </x:c>
      <x:c r="P1528" s="28" t="n">
        <x:v>3</x:v>
      </x:c>
      <x:c r="Q1528" s="24" t="n">
        <x:f>IFERROR(J1528/H1528,0)</x:f>
        <x:v>0.3333333333333333</x:v>
      </x:c>
      <x:c r="R1528" s="24" t="n">
        <x:f>IFERROR(F1528/H1528,0)</x:f>
        <x:v>0.041666666666666664</x:v>
      </x:c>
      <x:c r="S1528" s="24" t="n">
        <x:f>IFERROR(F1528/J1528,0)</x:f>
        <x:v>0.125</x:v>
      </x:c>
      <x:c r="T1528" s="28" t="n">
        <x:f>H1528-I1528</x:f>
        <x:v>16</x:v>
      </x:c>
      <x:c r="U1528" s="24" t="n">
        <x:f>IFERROR(J1528/H1528,0)-IFERROR(K1528/I1528,0)</x:f>
        <x:v>0.20833333333333331</x:v>
      </x:c>
      <x:c r="V1528" s="24" t="n">
        <x:f>IFERROR(F1528/J1528,0)-IFERROR(G1528/K1528,0)</x:f>
        <x:v>0.125</x:v>
      </x:c>
      <x:c r="W1528" s="28" t="n">
        <x:f>L1528-M1528</x:f>
        <x:v>0</x:v>
      </x:c>
      <x:c r="X1528" s="24" t="n">
        <x:f>IFERROR(K1528/I1528,0)</x:f>
        <x:v>0.125</x:v>
      </x:c>
      <x:c r="Y1528" s="24" t="n">
        <x:f>IFERROR(G1528/I1528,0)</x:f>
        <x:v>0</x:v>
      </x:c>
      <x:c r="Z1528" s="24" t="n">
        <x:f>IFERROR(G1528/K1528,0)</x:f>
        <x:v>0</x:v>
      </x:c>
      <x:c r="AA1528" s="24" t="n">
        <x:f>IFERROR(F1528/H1528,0)-IFERROR(G1528/I1528,0)</x:f>
        <x:v>0.041666666666666664</x:v>
      </x:c>
      <x:c r="AB1528" s="28" t="n">
        <x:f>J1528-K1528</x:f>
        <x:v>7</x:v>
      </x:c>
      <x:c r="AC1528" s="32" t="n">
        <x:f>F1528-G1528</x:f>
        <x:v>1</x:v>
      </x:c>
    </x:row>
    <x:row r="1529">
      <x:c r="A1529" s="4" t="str">
        <x:v>2023-24</x:v>
      </x:c>
      <x:c r="B1529" s="20" t="n">
        <x:v>45150</x:v>
      </x:c>
      <x:c r="C1529" s="4" t="str">
        <x:v>Everton</x:v>
      </x:c>
      <x:c r="D1529" s="4" t="str">
        <x:v>Fulham</x:v>
      </x:c>
      <x:c r="E1529" s="4" t="str">
        <x:v>Home</x:v>
      </x:c>
      <x:c r="F1529" s="28" t="n">
        <x:v>0</x:v>
      </x:c>
      <x:c r="G1529" s="28" t="n">
        <x:v>1</x:v>
      </x:c>
      <x:c r="H1529" s="28" t="n">
        <x:v>19</x:v>
      </x:c>
      <x:c r="I1529" s="28" t="n">
        <x:v>9</x:v>
      </x:c>
      <x:c r="J1529" s="28" t="n">
        <x:v>9</x:v>
      </x:c>
      <x:c r="K1529" s="28" t="n">
        <x:v>2</x:v>
      </x:c>
      <x:c r="L1529" s="28" t="n">
        <x:v>10</x:v>
      </x:c>
      <x:c r="M1529" s="28" t="n">
        <x:v>4</x:v>
      </x:c>
      <x:c r="N1529" s="28" t="n">
        <x:v>0</x:v>
      </x:c>
      <x:c r="O1529" s="28" t="n">
        <x:v>0</x:v>
      </x:c>
      <x:c r="P1529" s="28" t="n">
        <x:v>0</x:v>
      </x:c>
      <x:c r="Q1529" s="24" t="n">
        <x:f>IFERROR(J1529/H1529,0)</x:f>
        <x:v>0.47368421052631576</x:v>
      </x:c>
      <x:c r="R1529" s="24" t="n">
        <x:f>IFERROR(F1529/H1529,0)</x:f>
        <x:v>0</x:v>
      </x:c>
      <x:c r="S1529" s="24" t="n">
        <x:f>IFERROR(F1529/J1529,0)</x:f>
        <x:v>0</x:v>
      </x:c>
      <x:c r="T1529" s="28" t="n">
        <x:f>H1529-I1529</x:f>
        <x:v>10</x:v>
      </x:c>
      <x:c r="U1529" s="24" t="n">
        <x:f>IFERROR(J1529/H1529,0)-IFERROR(K1529/I1529,0)</x:f>
        <x:v>0.25146198830409355</x:v>
      </x:c>
      <x:c r="V1529" s="24" t="n">
        <x:f>IFERROR(F1529/J1529,0)-IFERROR(G1529/K1529,0)</x:f>
        <x:v>-0.5</x:v>
      </x:c>
      <x:c r="W1529" s="28" t="n">
        <x:f>L1529-M1529</x:f>
        <x:v>6</x:v>
      </x:c>
      <x:c r="X1529" s="24" t="n">
        <x:f>IFERROR(K1529/I1529,0)</x:f>
        <x:v>0.2222222222222222</x:v>
      </x:c>
      <x:c r="Y1529" s="24" t="n">
        <x:f>IFERROR(G1529/I1529,0)</x:f>
        <x:v>0.1111111111111111</x:v>
      </x:c>
      <x:c r="Z1529" s="24" t="n">
        <x:f>IFERROR(G1529/K1529,0)</x:f>
        <x:v>0.5</x:v>
      </x:c>
      <x:c r="AA1529" s="24" t="n">
        <x:f>IFERROR(F1529/H1529,0)-IFERROR(G1529/I1529,0)</x:f>
        <x:v>-0.1111111111111111</x:v>
      </x:c>
      <x:c r="AB1529" s="28" t="n">
        <x:f>J1529-K1529</x:f>
        <x:v>7</x:v>
      </x:c>
      <x:c r="AC1529" s="32" t="n">
        <x:f>F1529-G1529</x:f>
        <x:v>-1</x:v>
      </x:c>
    </x:row>
    <x:row r="1530">
      <x:c r="A1530" s="4" t="str">
        <x:v>2023-24</x:v>
      </x:c>
      <x:c r="B1530" s="20" t="n">
        <x:v>45150</x:v>
      </x:c>
      <x:c r="C1530" s="4" t="str">
        <x:v>Fulham</x:v>
      </x:c>
      <x:c r="D1530" s="4" t="str">
        <x:v>Everton</x:v>
      </x:c>
      <x:c r="E1530" s="4" t="str">
        <x:v>Away</x:v>
      </x:c>
      <x:c r="F1530" s="28" t="n">
        <x:v>1</x:v>
      </x:c>
      <x:c r="G1530" s="28" t="n">
        <x:v>0</x:v>
      </x:c>
      <x:c r="H1530" s="28" t="n">
        <x:v>9</x:v>
      </x:c>
      <x:c r="I1530" s="28" t="n">
        <x:v>19</x:v>
      </x:c>
      <x:c r="J1530" s="28" t="n">
        <x:v>2</x:v>
      </x:c>
      <x:c r="K1530" s="28" t="n">
        <x:v>9</x:v>
      </x:c>
      <x:c r="L1530" s="28" t="n">
        <x:v>4</x:v>
      </x:c>
      <x:c r="M1530" s="28" t="n">
        <x:v>10</x:v>
      </x:c>
      <x:c r="N1530" s="28" t="n">
        <x:v>2</x:v>
      </x:c>
      <x:c r="O1530" s="28" t="n">
        <x:v>0</x:v>
      </x:c>
      <x:c r="P1530" s="28" t="n">
        <x:v>3</x:v>
      </x:c>
      <x:c r="Q1530" s="24" t="n">
        <x:f>IFERROR(J1530/H1530,0)</x:f>
        <x:v>0.2222222222222222</x:v>
      </x:c>
      <x:c r="R1530" s="24" t="n">
        <x:f>IFERROR(F1530/H1530,0)</x:f>
        <x:v>0.1111111111111111</x:v>
      </x:c>
      <x:c r="S1530" s="24" t="n">
        <x:f>IFERROR(F1530/J1530,0)</x:f>
        <x:v>0.5</x:v>
      </x:c>
      <x:c r="T1530" s="28" t="n">
        <x:f>H1530-I1530</x:f>
        <x:v>-10</x:v>
      </x:c>
      <x:c r="U1530" s="24" t="n">
        <x:f>IFERROR(J1530/H1530,0)-IFERROR(K1530/I1530,0)</x:f>
        <x:v>-0.25146198830409355</x:v>
      </x:c>
      <x:c r="V1530" s="24" t="n">
        <x:f>IFERROR(F1530/J1530,0)-IFERROR(G1530/K1530,0)</x:f>
        <x:v>0.5</x:v>
      </x:c>
      <x:c r="W1530" s="28" t="n">
        <x:f>L1530-M1530</x:f>
        <x:v>-6</x:v>
      </x:c>
      <x:c r="X1530" s="24" t="n">
        <x:f>IFERROR(K1530/I1530,0)</x:f>
        <x:v>0.47368421052631576</x:v>
      </x:c>
      <x:c r="Y1530" s="24" t="n">
        <x:f>IFERROR(G1530/I1530,0)</x:f>
        <x:v>0</x:v>
      </x:c>
      <x:c r="Z1530" s="24" t="n">
        <x:f>IFERROR(G1530/K1530,0)</x:f>
        <x:v>0</x:v>
      </x:c>
      <x:c r="AA1530" s="24" t="n">
        <x:f>IFERROR(F1530/H1530,0)-IFERROR(G1530/I1530,0)</x:f>
        <x:v>0.1111111111111111</x:v>
      </x:c>
      <x:c r="AB1530" s="28" t="n">
        <x:f>J1530-K1530</x:f>
        <x:v>-7</x:v>
      </x:c>
      <x:c r="AC1530" s="32" t="n">
        <x:f>F1530-G1530</x:f>
        <x:v>1</x:v>
      </x:c>
    </x:row>
    <x:row r="1531">
      <x:c r="A1531" s="4" t="str">
        <x:v>2023-24</x:v>
      </x:c>
      <x:c r="B1531" s="20" t="n">
        <x:v>45150</x:v>
      </x:c>
      <x:c r="C1531" s="4" t="str">
        <x:v>Luton</x:v>
      </x:c>
      <x:c r="D1531" s="4" t="str">
        <x:v>Brighton</x:v>
      </x:c>
      <x:c r="E1531" s="4" t="str">
        <x:v>Away</x:v>
      </x:c>
      <x:c r="F1531" s="28" t="n">
        <x:v>1</x:v>
      </x:c>
      <x:c r="G1531" s="28" t="n">
        <x:v>4</x:v>
      </x:c>
      <x:c r="H1531" s="28" t="n">
        <x:v>9</x:v>
      </x:c>
      <x:c r="I1531" s="28" t="n">
        <x:v>27</x:v>
      </x:c>
      <x:c r="J1531" s="28" t="n">
        <x:v>3</x:v>
      </x:c>
      <x:c r="K1531" s="28" t="n">
        <x:v>12</x:v>
      </x:c>
      <x:c r="L1531" s="28" t="n">
        <x:v>7</x:v>
      </x:c>
      <x:c r="M1531" s="28" t="n">
        <x:v>6</x:v>
      </x:c>
      <x:c r="N1531" s="28" t="n">
        <x:v>2</x:v>
      </x:c>
      <x:c r="O1531" s="28" t="n">
        <x:v>0</x:v>
      </x:c>
      <x:c r="P1531" s="28" t="n">
        <x:v>0</x:v>
      </x:c>
      <x:c r="Q1531" s="24" t="n">
        <x:f>IFERROR(J1531/H1531,0)</x:f>
        <x:v>0.3333333333333333</x:v>
      </x:c>
      <x:c r="R1531" s="24" t="n">
        <x:f>IFERROR(F1531/H1531,0)</x:f>
        <x:v>0.1111111111111111</x:v>
      </x:c>
      <x:c r="S1531" s="24" t="n">
        <x:f>IFERROR(F1531/J1531,0)</x:f>
        <x:v>0.3333333333333333</x:v>
      </x:c>
      <x:c r="T1531" s="28" t="n">
        <x:f>H1531-I1531</x:f>
        <x:v>-18</x:v>
      </x:c>
      <x:c r="U1531" s="24" t="n">
        <x:f>IFERROR(J1531/H1531,0)-IFERROR(K1531/I1531,0)</x:f>
        <x:v>-0.1111111111111111</x:v>
      </x:c>
      <x:c r="V1531" s="24" t="n">
        <x:f>IFERROR(F1531/J1531,0)-IFERROR(G1531/K1531,0)</x:f>
        <x:v>0</x:v>
      </x:c>
      <x:c r="W1531" s="28" t="n">
        <x:f>L1531-M1531</x:f>
        <x:v>1</x:v>
      </x:c>
      <x:c r="X1531" s="24" t="n">
        <x:f>IFERROR(K1531/I1531,0)</x:f>
        <x:v>0.4444444444444444</x:v>
      </x:c>
      <x:c r="Y1531" s="24" t="n">
        <x:f>IFERROR(G1531/I1531,0)</x:f>
        <x:v>0.14814814814814814</x:v>
      </x:c>
      <x:c r="Z1531" s="24" t="n">
        <x:f>IFERROR(G1531/K1531,0)</x:f>
        <x:v>0.3333333333333333</x:v>
      </x:c>
      <x:c r="AA1531" s="24" t="n">
        <x:f>IFERROR(F1531/H1531,0)-IFERROR(G1531/I1531,0)</x:f>
        <x:v>-0.037037037037037035</x:v>
      </x:c>
      <x:c r="AB1531" s="28" t="n">
        <x:f>J1531-K1531</x:f>
        <x:v>-9</x:v>
      </x:c>
      <x:c r="AC1531" s="32" t="n">
        <x:f>F1531-G1531</x:f>
        <x:v>-3</x:v>
      </x:c>
    </x:row>
    <x:row r="1532">
      <x:c r="A1532" s="4" t="str">
        <x:v>2023-24</x:v>
      </x:c>
      <x:c r="B1532" s="20" t="n">
        <x:v>45150</x:v>
      </x:c>
      <x:c r="C1532" s="4" t="str">
        <x:v>Newcastle</x:v>
      </x:c>
      <x:c r="D1532" s="4" t="str">
        <x:v>Aston Villa</x:v>
      </x:c>
      <x:c r="E1532" s="4" t="str">
        <x:v>Home</x:v>
      </x:c>
      <x:c r="F1532" s="28" t="n">
        <x:v>5</x:v>
      </x:c>
      <x:c r="G1532" s="28" t="n">
        <x:v>1</x:v>
      </x:c>
      <x:c r="H1532" s="28" t="n">
        <x:v>17</x:v>
      </x:c>
      <x:c r="I1532" s="28" t="n">
        <x:v>16</x:v>
      </x:c>
      <x:c r="J1532" s="28" t="n">
        <x:v>13</x:v>
      </x:c>
      <x:c r="K1532" s="28" t="n">
        <x:v>6</x:v>
      </x:c>
      <x:c r="L1532" s="28" t="n">
        <x:v>6</x:v>
      </x:c>
      <x:c r="M1532" s="28" t="n">
        <x:v>5</x:v>
      </x:c>
      <x:c r="N1532" s="28" t="n">
        <x:v>4</x:v>
      </x:c>
      <x:c r="O1532" s="28" t="n">
        <x:v>0</x:v>
      </x:c>
      <x:c r="P1532" s="28" t="n">
        <x:v>3</x:v>
      </x:c>
      <x:c r="Q1532" s="24" t="n">
        <x:f>IFERROR(J1532/H1532,0)</x:f>
        <x:v>0.7647058823529411</x:v>
      </x:c>
      <x:c r="R1532" s="24" t="n">
        <x:f>IFERROR(F1532/H1532,0)</x:f>
        <x:v>0.29411764705882354</x:v>
      </x:c>
      <x:c r="S1532" s="24" t="n">
        <x:f>IFERROR(F1532/J1532,0)</x:f>
        <x:v>0.38461538461538464</x:v>
      </x:c>
      <x:c r="T1532" s="28" t="n">
        <x:f>H1532-I1532</x:f>
        <x:v>1</x:v>
      </x:c>
      <x:c r="U1532" s="24" t="n">
        <x:f>IFERROR(J1532/H1532,0)-IFERROR(K1532/I1532,0)</x:f>
        <x:v>0.3897058823529411</x:v>
      </x:c>
      <x:c r="V1532" s="24" t="n">
        <x:f>IFERROR(F1532/J1532,0)-IFERROR(G1532/K1532,0)</x:f>
        <x:v>0.21794871794871798</x:v>
      </x:c>
      <x:c r="W1532" s="28" t="n">
        <x:f>L1532-M1532</x:f>
        <x:v>1</x:v>
      </x:c>
      <x:c r="X1532" s="24" t="n">
        <x:f>IFERROR(K1532/I1532,0)</x:f>
        <x:v>0.375</x:v>
      </x:c>
      <x:c r="Y1532" s="24" t="n">
        <x:f>IFERROR(G1532/I1532,0)</x:f>
        <x:v>0.0625</x:v>
      </x:c>
      <x:c r="Z1532" s="24" t="n">
        <x:f>IFERROR(G1532/K1532,0)</x:f>
        <x:v>0.16666666666666666</x:v>
      </x:c>
      <x:c r="AA1532" s="24" t="n">
        <x:f>IFERROR(F1532/H1532,0)-IFERROR(G1532/I1532,0)</x:f>
        <x:v>0.23161764705882354</x:v>
      </x:c>
      <x:c r="AB1532" s="28" t="n">
        <x:f>J1532-K1532</x:f>
        <x:v>7</x:v>
      </x:c>
      <x:c r="AC1532" s="32" t="n">
        <x:f>F1532-G1532</x:f>
        <x:v>4</x:v>
      </x:c>
    </x:row>
    <x:row r="1533">
      <x:c r="A1533" s="4" t="str">
        <x:v>2023-24</x:v>
      </x:c>
      <x:c r="B1533" s="20" t="n">
        <x:v>45150</x:v>
      </x:c>
      <x:c r="C1533" s="4" t="str">
        <x:v>Nott'm Forest</x:v>
      </x:c>
      <x:c r="D1533" s="4" t="str">
        <x:v>Arsenal</x:v>
      </x:c>
      <x:c r="E1533" s="4" t="str">
        <x:v>Away</x:v>
      </x:c>
      <x:c r="F1533" s="28" t="n">
        <x:v>1</x:v>
      </x:c>
      <x:c r="G1533" s="28" t="n">
        <x:v>2</x:v>
      </x:c>
      <x:c r="H1533" s="28" t="n">
        <x:v>6</x:v>
      </x:c>
      <x:c r="I1533" s="28" t="n">
        <x:v>15</x:v>
      </x:c>
      <x:c r="J1533" s="28" t="n">
        <x:v>2</x:v>
      </x:c>
      <x:c r="K1533" s="28" t="n">
        <x:v>7</x:v>
      </x:c>
      <x:c r="L1533" s="28" t="n">
        <x:v>3</x:v>
      </x:c>
      <x:c r="M1533" s="28" t="n">
        <x:v>8</x:v>
      </x:c>
      <x:c r="N1533" s="28" t="n">
        <x:v>2</x:v>
      </x:c>
      <x:c r="O1533" s="28" t="n">
        <x:v>0</x:v>
      </x:c>
      <x:c r="P1533" s="28" t="n">
        <x:v>0</x:v>
      </x:c>
      <x:c r="Q1533" s="24" t="n">
        <x:f>IFERROR(J1533/H1533,0)</x:f>
        <x:v>0.3333333333333333</x:v>
      </x:c>
      <x:c r="R1533" s="24" t="n">
        <x:f>IFERROR(F1533/H1533,0)</x:f>
        <x:v>0.16666666666666666</x:v>
      </x:c>
      <x:c r="S1533" s="24" t="n">
        <x:f>IFERROR(F1533/J1533,0)</x:f>
        <x:v>0.5</x:v>
      </x:c>
      <x:c r="T1533" s="28" t="n">
        <x:f>H1533-I1533</x:f>
        <x:v>-9</x:v>
      </x:c>
      <x:c r="U1533" s="24" t="n">
        <x:f>IFERROR(J1533/H1533,0)-IFERROR(K1533/I1533,0)</x:f>
        <x:v>-0.13333333333333336</x:v>
      </x:c>
      <x:c r="V1533" s="24" t="n">
        <x:f>IFERROR(F1533/J1533,0)-IFERROR(G1533/K1533,0)</x:f>
        <x:v>0.2142857142857143</x:v>
      </x:c>
      <x:c r="W1533" s="28" t="n">
        <x:f>L1533-M1533</x:f>
        <x:v>-5</x:v>
      </x:c>
      <x:c r="X1533" s="24" t="n">
        <x:f>IFERROR(K1533/I1533,0)</x:f>
        <x:v>0.4666666666666667</x:v>
      </x:c>
      <x:c r="Y1533" s="24" t="n">
        <x:f>IFERROR(G1533/I1533,0)</x:f>
        <x:v>0.13333333333333333</x:v>
      </x:c>
      <x:c r="Z1533" s="24" t="n">
        <x:f>IFERROR(G1533/K1533,0)</x:f>
        <x:v>0.2857142857142857</x:v>
      </x:c>
      <x:c r="AA1533" s="24" t="n">
        <x:f>IFERROR(F1533/H1533,0)-IFERROR(G1533/I1533,0)</x:f>
        <x:v>0.033333333333333326</x:v>
      </x:c>
      <x:c r="AB1533" s="28" t="n">
        <x:f>J1533-K1533</x:f>
        <x:v>-5</x:v>
      </x:c>
      <x:c r="AC1533" s="32" t="n">
        <x:f>F1533-G1533</x:f>
        <x:v>-1</x:v>
      </x:c>
    </x:row>
    <x:row r="1534">
      <x:c r="A1534" s="4" t="str">
        <x:v>2023-24</x:v>
      </x:c>
      <x:c r="B1534" s="20" t="n">
        <x:v>45150</x:v>
      </x:c>
      <x:c r="C1534" s="4" t="str">
        <x:v>Sheffield United</x:v>
      </x:c>
      <x:c r="D1534" s="4" t="str">
        <x:v>Crystal Palace</x:v>
      </x:c>
      <x:c r="E1534" s="4" t="str">
        <x:v>Home</x:v>
      </x:c>
      <x:c r="F1534" s="28" t="n">
        <x:v>0</x:v>
      </x:c>
      <x:c r="G1534" s="28" t="n">
        <x:v>1</x:v>
      </x:c>
      <x:c r="H1534" s="28" t="n">
        <x:v>8</x:v>
      </x:c>
      <x:c r="I1534" s="28" t="n">
        <x:v>24</x:v>
      </x:c>
      <x:c r="J1534" s="28" t="n">
        <x:v>1</x:v>
      </x:c>
      <x:c r="K1534" s="28" t="n">
        <x:v>8</x:v>
      </x:c>
      <x:c r="L1534" s="28" t="n">
        <x:v>5</x:v>
      </x:c>
      <x:c r="M1534" s="28" t="n">
        <x:v>5</x:v>
      </x:c>
      <x:c r="N1534" s="28" t="n">
        <x:v>3</x:v>
      </x:c>
      <x:c r="O1534" s="28" t="n">
        <x:v>0</x:v>
      </x:c>
      <x:c r="P1534" s="28" t="n">
        <x:v>0</x:v>
      </x:c>
      <x:c r="Q1534" s="24" t="n">
        <x:f>IFERROR(J1534/H1534,0)</x:f>
        <x:v>0.125</x:v>
      </x:c>
      <x:c r="R1534" s="24" t="n">
        <x:f>IFERROR(F1534/H1534,0)</x:f>
        <x:v>0</x:v>
      </x:c>
      <x:c r="S1534" s="24" t="n">
        <x:f>IFERROR(F1534/J1534,0)</x:f>
        <x:v>0</x:v>
      </x:c>
      <x:c r="T1534" s="28" t="n">
        <x:f>H1534-I1534</x:f>
        <x:v>-16</x:v>
      </x:c>
      <x:c r="U1534" s="24" t="n">
        <x:f>IFERROR(J1534/H1534,0)-IFERROR(K1534/I1534,0)</x:f>
        <x:v>-0.20833333333333331</x:v>
      </x:c>
      <x:c r="V1534" s="24" t="n">
        <x:f>IFERROR(F1534/J1534,0)-IFERROR(G1534/K1534,0)</x:f>
        <x:v>-0.125</x:v>
      </x:c>
      <x:c r="W1534" s="28" t="n">
        <x:f>L1534-M1534</x:f>
        <x:v>0</x:v>
      </x:c>
      <x:c r="X1534" s="24" t="n">
        <x:f>IFERROR(K1534/I1534,0)</x:f>
        <x:v>0.3333333333333333</x:v>
      </x:c>
      <x:c r="Y1534" s="24" t="n">
        <x:f>IFERROR(G1534/I1534,0)</x:f>
        <x:v>0.041666666666666664</x:v>
      </x:c>
      <x:c r="Z1534" s="24" t="n">
        <x:f>IFERROR(G1534/K1534,0)</x:f>
        <x:v>0.125</x:v>
      </x:c>
      <x:c r="AA1534" s="24" t="n">
        <x:f>IFERROR(F1534/H1534,0)-IFERROR(G1534/I1534,0)</x:f>
        <x:v>-0.041666666666666664</x:v>
      </x:c>
      <x:c r="AB1534" s="28" t="n">
        <x:f>J1534-K1534</x:f>
        <x:v>-7</x:v>
      </x:c>
      <x:c r="AC1534" s="32" t="n">
        <x:f>F1534-G1534</x:f>
        <x:v>-1</x:v>
      </x:c>
    </x:row>
    <x:row r="1535">
      <x:c r="A1535" s="4" t="str">
        <x:v>2023-24</x:v>
      </x:c>
      <x:c r="B1535" s="20" t="n">
        <x:v>45150</x:v>
      </x:c>
      <x:c r="C1535" s="4" t="str">
        <x:v>West Ham</x:v>
      </x:c>
      <x:c r="D1535" s="4" t="str">
        <x:v>Bournemouth</x:v>
      </x:c>
      <x:c r="E1535" s="4" t="str">
        <x:v>Away</x:v>
      </x:c>
      <x:c r="F1535" s="28" t="n">
        <x:v>1</x:v>
      </x:c>
      <x:c r="G1535" s="28" t="n">
        <x:v>1</x:v>
      </x:c>
      <x:c r="H1535" s="28" t="n">
        <x:v>16</x:v>
      </x:c>
      <x:c r="I1535" s="28" t="n">
        <x:v>14</x:v>
      </x:c>
      <x:c r="J1535" s="28" t="n">
        <x:v>3</x:v>
      </x:c>
      <x:c r="K1535" s="28" t="n">
        <x:v>5</x:v>
      </x:c>
      <x:c r="L1535" s="28" t="n">
        <x:v>4</x:v>
      </x:c>
      <x:c r="M1535" s="28" t="n">
        <x:v>10</x:v>
      </x:c>
      <x:c r="N1535" s="28" t="n">
        <x:v>4</x:v>
      </x:c>
      <x:c r="O1535" s="28" t="n">
        <x:v>0</x:v>
      </x:c>
      <x:c r="P1535" s="28" t="n">
        <x:v>1</x:v>
      </x:c>
      <x:c r="Q1535" s="24" t="n">
        <x:f>IFERROR(J1535/H1535,0)</x:f>
        <x:v>0.1875</x:v>
      </x:c>
      <x:c r="R1535" s="24" t="n">
        <x:f>IFERROR(F1535/H1535,0)</x:f>
        <x:v>0.0625</x:v>
      </x:c>
      <x:c r="S1535" s="24" t="n">
        <x:f>IFERROR(F1535/J1535,0)</x:f>
        <x:v>0.3333333333333333</x:v>
      </x:c>
      <x:c r="T1535" s="28" t="n">
        <x:f>H1535-I1535</x:f>
        <x:v>2</x:v>
      </x:c>
      <x:c r="U1535" s="24" t="n">
        <x:f>IFERROR(J1535/H1535,0)-IFERROR(K1535/I1535,0)</x:f>
        <x:v>-0.16964285714285715</x:v>
      </x:c>
      <x:c r="V1535" s="24" t="n">
        <x:f>IFERROR(F1535/J1535,0)-IFERROR(G1535/K1535,0)</x:f>
        <x:v>0.1333333333333333</x:v>
      </x:c>
      <x:c r="W1535" s="28" t="n">
        <x:f>L1535-M1535</x:f>
        <x:v>-6</x:v>
      </x:c>
      <x:c r="X1535" s="24" t="n">
        <x:f>IFERROR(K1535/I1535,0)</x:f>
        <x:v>0.35714285714285715</x:v>
      </x:c>
      <x:c r="Y1535" s="24" t="n">
        <x:f>IFERROR(G1535/I1535,0)</x:f>
        <x:v>0.07142857142857142</x:v>
      </x:c>
      <x:c r="Z1535" s="24" t="n">
        <x:f>IFERROR(G1535/K1535,0)</x:f>
        <x:v>0.2</x:v>
      </x:c>
      <x:c r="AA1535" s="24" t="n">
        <x:f>IFERROR(F1535/H1535,0)-IFERROR(G1535/I1535,0)</x:f>
        <x:v>-0.008928571428571425</x:v>
      </x:c>
      <x:c r="AB1535" s="28" t="n">
        <x:f>J1535-K1535</x:f>
        <x:v>-2</x:v>
      </x:c>
      <x:c r="AC1535" s="32" t="n">
        <x:f>F1535-G1535</x:f>
        <x:v>0</x:v>
      </x:c>
    </x:row>
    <x:row r="1536">
      <x:c r="A1536" s="4" t="str">
        <x:v>2023-24</x:v>
      </x:c>
      <x:c r="B1536" s="20" t="n">
        <x:v>45151</x:v>
      </x:c>
      <x:c r="C1536" s="4" t="str">
        <x:v>Brentford</x:v>
      </x:c>
      <x:c r="D1536" s="4" t="str">
        <x:v>Tottenham</x:v>
      </x:c>
      <x:c r="E1536" s="4" t="str">
        <x:v>Home</x:v>
      </x:c>
      <x:c r="F1536" s="28" t="n">
        <x:v>2</x:v>
      </x:c>
      <x:c r="G1536" s="28" t="n">
        <x:v>2</x:v>
      </x:c>
      <x:c r="H1536" s="28" t="n">
        <x:v>11</x:v>
      </x:c>
      <x:c r="I1536" s="28" t="n">
        <x:v>18</x:v>
      </x:c>
      <x:c r="J1536" s="28" t="n">
        <x:v>6</x:v>
      </x:c>
      <x:c r="K1536" s="28" t="n">
        <x:v>6</x:v>
      </x:c>
      <x:c r="L1536" s="28" t="n">
        <x:v>3</x:v>
      </x:c>
      <x:c r="M1536" s="28" t="n">
        <x:v>6</x:v>
      </x:c>
      <x:c r="N1536" s="28" t="n">
        <x:v>1</x:v>
      </x:c>
      <x:c r="O1536" s="28" t="n">
        <x:v>0</x:v>
      </x:c>
      <x:c r="P1536" s="28" t="n">
        <x:v>1</x:v>
      </x:c>
      <x:c r="Q1536" s="24" t="n">
        <x:f>IFERROR(J1536/H1536,0)</x:f>
        <x:v>0.5454545454545454</x:v>
      </x:c>
      <x:c r="R1536" s="24" t="n">
        <x:f>IFERROR(F1536/H1536,0)</x:f>
        <x:v>0.18181818181818182</x:v>
      </x:c>
      <x:c r="S1536" s="24" t="n">
        <x:f>IFERROR(F1536/J1536,0)</x:f>
        <x:v>0.3333333333333333</x:v>
      </x:c>
      <x:c r="T1536" s="28" t="n">
        <x:f>H1536-I1536</x:f>
        <x:v>-7</x:v>
      </x:c>
      <x:c r="U1536" s="24" t="n">
        <x:f>IFERROR(J1536/H1536,0)-IFERROR(K1536/I1536,0)</x:f>
        <x:v>0.2121212121212121</x:v>
      </x:c>
      <x:c r="V1536" s="24" t="n">
        <x:f>IFERROR(F1536/J1536,0)-IFERROR(G1536/K1536,0)</x:f>
        <x:v>0</x:v>
      </x:c>
      <x:c r="W1536" s="28" t="n">
        <x:f>L1536-M1536</x:f>
        <x:v>-3</x:v>
      </x:c>
      <x:c r="X1536" s="24" t="n">
        <x:f>IFERROR(K1536/I1536,0)</x:f>
        <x:v>0.3333333333333333</x:v>
      </x:c>
      <x:c r="Y1536" s="24" t="n">
        <x:f>IFERROR(G1536/I1536,0)</x:f>
        <x:v>0.1111111111111111</x:v>
      </x:c>
      <x:c r="Z1536" s="24" t="n">
        <x:f>IFERROR(G1536/K1536,0)</x:f>
        <x:v>0.3333333333333333</x:v>
      </x:c>
      <x:c r="AA1536" s="24" t="n">
        <x:f>IFERROR(F1536/H1536,0)-IFERROR(G1536/I1536,0)</x:f>
        <x:v>0.07070707070707072</x:v>
      </x:c>
      <x:c r="AB1536" s="28" t="n">
        <x:f>J1536-K1536</x:f>
        <x:v>0</x:v>
      </x:c>
      <x:c r="AC1536" s="32" t="n">
        <x:f>F1536-G1536</x:f>
        <x:v>0</x:v>
      </x:c>
    </x:row>
    <x:row r="1537">
      <x:c r="A1537" s="4" t="str">
        <x:v>2023-24</x:v>
      </x:c>
      <x:c r="B1537" s="20" t="n">
        <x:v>45151</x:v>
      </x:c>
      <x:c r="C1537" s="4" t="str">
        <x:v>Chelsea</x:v>
      </x:c>
      <x:c r="D1537" s="4" t="str">
        <x:v>Liverpool</x:v>
      </x:c>
      <x:c r="E1537" s="4" t="str">
        <x:v>Home</x:v>
      </x:c>
      <x:c r="F1537" s="28" t="n">
        <x:v>1</x:v>
      </x:c>
      <x:c r="G1537" s="28" t="n">
        <x:v>1</x:v>
      </x:c>
      <x:c r="H1537" s="28" t="n">
        <x:v>10</x:v>
      </x:c>
      <x:c r="I1537" s="28" t="n">
        <x:v>13</x:v>
      </x:c>
      <x:c r="J1537" s="28" t="n">
        <x:v>4</x:v>
      </x:c>
      <x:c r="K1537" s="28" t="n">
        <x:v>1</x:v>
      </x:c>
      <x:c r="L1537" s="28" t="n">
        <x:v>4</x:v>
      </x:c>
      <x:c r="M1537" s="28" t="n">
        <x:v>4</x:v>
      </x:c>
      <x:c r="N1537" s="28" t="n">
        <x:v>3</x:v>
      </x:c>
      <x:c r="O1537" s="28" t="n">
        <x:v>0</x:v>
      </x:c>
      <x:c r="P1537" s="28" t="n">
        <x:v>1</x:v>
      </x:c>
      <x:c r="Q1537" s="24" t="n">
        <x:f>IFERROR(J1537/H1537,0)</x:f>
        <x:v>0.4</x:v>
      </x:c>
      <x:c r="R1537" s="24" t="n">
        <x:f>IFERROR(F1537/H1537,0)</x:f>
        <x:v>0.1</x:v>
      </x:c>
      <x:c r="S1537" s="24" t="n">
        <x:f>IFERROR(F1537/J1537,0)</x:f>
        <x:v>0.25</x:v>
      </x:c>
      <x:c r="T1537" s="28" t="n">
        <x:f>H1537-I1537</x:f>
        <x:v>-3</x:v>
      </x:c>
      <x:c r="U1537" s="24" t="n">
        <x:f>IFERROR(J1537/H1537,0)-IFERROR(K1537/I1537,0)</x:f>
        <x:v>0.3230769230769231</x:v>
      </x:c>
      <x:c r="V1537" s="24" t="n">
        <x:f>IFERROR(F1537/J1537,0)-IFERROR(G1537/K1537,0)</x:f>
        <x:v>-0.75</x:v>
      </x:c>
      <x:c r="W1537" s="28" t="n">
        <x:f>L1537-M1537</x:f>
        <x:v>0</x:v>
      </x:c>
      <x:c r="X1537" s="24" t="n">
        <x:f>IFERROR(K1537/I1537,0)</x:f>
        <x:v>0.07692307692307693</x:v>
      </x:c>
      <x:c r="Y1537" s="24" t="n">
        <x:f>IFERROR(G1537/I1537,0)</x:f>
        <x:v>0.07692307692307693</x:v>
      </x:c>
      <x:c r="Z1537" s="24" t="n">
        <x:f>IFERROR(G1537/K1537,0)</x:f>
        <x:v>1</x:v>
      </x:c>
      <x:c r="AA1537" s="24" t="n">
        <x:f>IFERROR(F1537/H1537,0)-IFERROR(G1537/I1537,0)</x:f>
        <x:v>0.023076923076923078</x:v>
      </x:c>
      <x:c r="AB1537" s="28" t="n">
        <x:f>J1537-K1537</x:f>
        <x:v>3</x:v>
      </x:c>
      <x:c r="AC1537" s="32" t="n">
        <x:f>F1537-G1537</x:f>
        <x:v>0</x:v>
      </x:c>
    </x:row>
    <x:row r="1538">
      <x:c r="A1538" s="4" t="str">
        <x:v>2023-24</x:v>
      </x:c>
      <x:c r="B1538" s="20" t="n">
        <x:v>45151</x:v>
      </x:c>
      <x:c r="C1538" s="4" t="str">
        <x:v>Liverpool</x:v>
      </x:c>
      <x:c r="D1538" s="4" t="str">
        <x:v>Chelsea</x:v>
      </x:c>
      <x:c r="E1538" s="4" t="str">
        <x:v>Away</x:v>
      </x:c>
      <x:c r="F1538" s="28" t="n">
        <x:v>1</x:v>
      </x:c>
      <x:c r="G1538" s="28" t="n">
        <x:v>1</x:v>
      </x:c>
      <x:c r="H1538" s="28" t="n">
        <x:v>13</x:v>
      </x:c>
      <x:c r="I1538" s="28" t="n">
        <x:v>10</x:v>
      </x:c>
      <x:c r="J1538" s="28" t="n">
        <x:v>1</x:v>
      </x:c>
      <x:c r="K1538" s="28" t="n">
        <x:v>4</x:v>
      </x:c>
      <x:c r="L1538" s="28" t="n">
        <x:v>4</x:v>
      </x:c>
      <x:c r="M1538" s="28" t="n">
        <x:v>4</x:v>
      </x:c>
      <x:c r="N1538" s="28" t="n">
        <x:v>3</x:v>
      </x:c>
      <x:c r="O1538" s="28" t="n">
        <x:v>0</x:v>
      </x:c>
      <x:c r="P1538" s="28" t="n">
        <x:v>1</x:v>
      </x:c>
      <x:c r="Q1538" s="24" t="n">
        <x:f>IFERROR(J1538/H1538,0)</x:f>
        <x:v>0.07692307692307693</x:v>
      </x:c>
      <x:c r="R1538" s="24" t="n">
        <x:f>IFERROR(F1538/H1538,0)</x:f>
        <x:v>0.07692307692307693</x:v>
      </x:c>
      <x:c r="S1538" s="24" t="n">
        <x:f>IFERROR(F1538/J1538,0)</x:f>
        <x:v>1</x:v>
      </x:c>
      <x:c r="T1538" s="28" t="n">
        <x:f>H1538-I1538</x:f>
        <x:v>3</x:v>
      </x:c>
      <x:c r="U1538" s="24" t="n">
        <x:f>IFERROR(J1538/H1538,0)-IFERROR(K1538/I1538,0)</x:f>
        <x:v>-0.3230769230769231</x:v>
      </x:c>
      <x:c r="V1538" s="24" t="n">
        <x:f>IFERROR(F1538/J1538,0)-IFERROR(G1538/K1538,0)</x:f>
        <x:v>0.75</x:v>
      </x:c>
      <x:c r="W1538" s="28" t="n">
        <x:f>L1538-M1538</x:f>
        <x:v>0</x:v>
      </x:c>
      <x:c r="X1538" s="24" t="n">
        <x:f>IFERROR(K1538/I1538,0)</x:f>
        <x:v>0.4</x:v>
      </x:c>
      <x:c r="Y1538" s="24" t="n">
        <x:f>IFERROR(G1538/I1538,0)</x:f>
        <x:v>0.1</x:v>
      </x:c>
      <x:c r="Z1538" s="24" t="n">
        <x:f>IFERROR(G1538/K1538,0)</x:f>
        <x:v>0.25</x:v>
      </x:c>
      <x:c r="AA1538" s="24" t="n">
        <x:f>IFERROR(F1538/H1538,0)-IFERROR(G1538/I1538,0)</x:f>
        <x:v>-0.023076923076923078</x:v>
      </x:c>
      <x:c r="AB1538" s="28" t="n">
        <x:f>J1538-K1538</x:f>
        <x:v>-3</x:v>
      </x:c>
      <x:c r="AC1538" s="32" t="n">
        <x:f>F1538-G1538</x:f>
        <x:v>0</x:v>
      </x:c>
    </x:row>
    <x:row r="1539">
      <x:c r="A1539" s="4" t="str">
        <x:v>2023-24</x:v>
      </x:c>
      <x:c r="B1539" s="20" t="n">
        <x:v>45151</x:v>
      </x:c>
      <x:c r="C1539" s="4" t="str">
        <x:v>Tottenham</x:v>
      </x:c>
      <x:c r="D1539" s="4" t="str">
        <x:v>Brentford</x:v>
      </x:c>
      <x:c r="E1539" s="4" t="str">
        <x:v>Away</x:v>
      </x:c>
      <x:c r="F1539" s="28" t="n">
        <x:v>2</x:v>
      </x:c>
      <x:c r="G1539" s="28" t="n">
        <x:v>2</x:v>
      </x:c>
      <x:c r="H1539" s="28" t="n">
        <x:v>18</x:v>
      </x:c>
      <x:c r="I1539" s="28" t="n">
        <x:v>11</x:v>
      </x:c>
      <x:c r="J1539" s="28" t="n">
        <x:v>6</x:v>
      </x:c>
      <x:c r="K1539" s="28" t="n">
        <x:v>6</x:v>
      </x:c>
      <x:c r="L1539" s="28" t="n">
        <x:v>6</x:v>
      </x:c>
      <x:c r="M1539" s="28" t="n">
        <x:v>3</x:v>
      </x:c>
      <x:c r="N1539" s="28" t="n">
        <x:v>4</x:v>
      </x:c>
      <x:c r="O1539" s="28" t="n">
        <x:v>0</x:v>
      </x:c>
      <x:c r="P1539" s="28" t="n">
        <x:v>1</x:v>
      </x:c>
      <x:c r="Q1539" s="24" t="n">
        <x:f>IFERROR(J1539/H1539,0)</x:f>
        <x:v>0.3333333333333333</x:v>
      </x:c>
      <x:c r="R1539" s="24" t="n">
        <x:f>IFERROR(F1539/H1539,0)</x:f>
        <x:v>0.1111111111111111</x:v>
      </x:c>
      <x:c r="S1539" s="24" t="n">
        <x:f>IFERROR(F1539/J1539,0)</x:f>
        <x:v>0.3333333333333333</x:v>
      </x:c>
      <x:c r="T1539" s="28" t="n">
        <x:f>H1539-I1539</x:f>
        <x:v>7</x:v>
      </x:c>
      <x:c r="U1539" s="24" t="n">
        <x:f>IFERROR(J1539/H1539,0)-IFERROR(K1539/I1539,0)</x:f>
        <x:v>-0.2121212121212121</x:v>
      </x:c>
      <x:c r="V1539" s="24" t="n">
        <x:f>IFERROR(F1539/J1539,0)-IFERROR(G1539/K1539,0)</x:f>
        <x:v>0</x:v>
      </x:c>
      <x:c r="W1539" s="28" t="n">
        <x:f>L1539-M1539</x:f>
        <x:v>3</x:v>
      </x:c>
      <x:c r="X1539" s="24" t="n">
        <x:f>IFERROR(K1539/I1539,0)</x:f>
        <x:v>0.5454545454545454</x:v>
      </x:c>
      <x:c r="Y1539" s="24" t="n">
        <x:f>IFERROR(G1539/I1539,0)</x:f>
        <x:v>0.18181818181818182</x:v>
      </x:c>
      <x:c r="Z1539" s="24" t="n">
        <x:f>IFERROR(G1539/K1539,0)</x:f>
        <x:v>0.3333333333333333</x:v>
      </x:c>
      <x:c r="AA1539" s="24" t="n">
        <x:f>IFERROR(F1539/H1539,0)-IFERROR(G1539/I1539,0)</x:f>
        <x:v>-0.07070707070707072</x:v>
      </x:c>
      <x:c r="AB1539" s="28" t="n">
        <x:f>J1539-K1539</x:f>
        <x:v>0</x:v>
      </x:c>
      <x:c r="AC1539" s="32" t="n">
        <x:f>F1539-G1539</x:f>
        <x:v>0</x:v>
      </x:c>
    </x:row>
    <x:row r="1540">
      <x:c r="A1540" s="4" t="str">
        <x:v>2023-24</x:v>
      </x:c>
      <x:c r="B1540" s="20" t="n">
        <x:v>45152</x:v>
      </x:c>
      <x:c r="C1540" s="4" t="str">
        <x:v>Man United</x:v>
      </x:c>
      <x:c r="D1540" s="4" t="str">
        <x:v>Wolves</x:v>
      </x:c>
      <x:c r="E1540" s="4" t="str">
        <x:v>Home</x:v>
      </x:c>
      <x:c r="F1540" s="28" t="n">
        <x:v>1</x:v>
      </x:c>
      <x:c r="G1540" s="28" t="n">
        <x:v>0</x:v>
      </x:c>
      <x:c r="H1540" s="28" t="n">
        <x:v>15</x:v>
      </x:c>
      <x:c r="I1540" s="28" t="n">
        <x:v>23</x:v>
      </x:c>
      <x:c r="J1540" s="28" t="n">
        <x:v>3</x:v>
      </x:c>
      <x:c r="K1540" s="28" t="n">
        <x:v>6</x:v>
      </x:c>
      <x:c r="L1540" s="28" t="n">
        <x:v>8</x:v>
      </x:c>
      <x:c r="M1540" s="28" t="n">
        <x:v>7</x:v>
      </x:c>
      <x:c r="N1540" s="28" t="n">
        <x:v>2</x:v>
      </x:c>
      <x:c r="O1540" s="28" t="n">
        <x:v>0</x:v>
      </x:c>
      <x:c r="P1540" s="28" t="n">
        <x:v>3</x:v>
      </x:c>
      <x:c r="Q1540" s="24" t="n">
        <x:f>IFERROR(J1540/H1540,0)</x:f>
        <x:v>0.2</x:v>
      </x:c>
      <x:c r="R1540" s="24" t="n">
        <x:f>IFERROR(F1540/H1540,0)</x:f>
        <x:v>0.06666666666666667</x:v>
      </x:c>
      <x:c r="S1540" s="24" t="n">
        <x:f>IFERROR(F1540/J1540,0)</x:f>
        <x:v>0.3333333333333333</x:v>
      </x:c>
      <x:c r="T1540" s="28" t="n">
        <x:f>H1540-I1540</x:f>
        <x:v>-8</x:v>
      </x:c>
      <x:c r="U1540" s="24" t="n">
        <x:f>IFERROR(J1540/H1540,0)-IFERROR(K1540/I1540,0)</x:f>
        <x:v>-0.060869565217391286</x:v>
      </x:c>
      <x:c r="V1540" s="24" t="n">
        <x:f>IFERROR(F1540/J1540,0)-IFERROR(G1540/K1540,0)</x:f>
        <x:v>0.3333333333333333</x:v>
      </x:c>
      <x:c r="W1540" s="28" t="n">
        <x:f>L1540-M1540</x:f>
        <x:v>1</x:v>
      </x:c>
      <x:c r="X1540" s="24" t="n">
        <x:f>IFERROR(K1540/I1540,0)</x:f>
        <x:v>0.2608695652173913</x:v>
      </x:c>
      <x:c r="Y1540" s="24" t="n">
        <x:f>IFERROR(G1540/I1540,0)</x:f>
        <x:v>0</x:v>
      </x:c>
      <x:c r="Z1540" s="24" t="n">
        <x:f>IFERROR(G1540/K1540,0)</x:f>
        <x:v>0</x:v>
      </x:c>
      <x:c r="AA1540" s="24" t="n">
        <x:f>IFERROR(F1540/H1540,0)-IFERROR(G1540/I1540,0)</x:f>
        <x:v>0.06666666666666667</x:v>
      </x:c>
      <x:c r="AB1540" s="28" t="n">
        <x:f>J1540-K1540</x:f>
        <x:v>-3</x:v>
      </x:c>
      <x:c r="AC1540" s="32" t="n">
        <x:f>F1540-G1540</x:f>
        <x:v>1</x:v>
      </x:c>
    </x:row>
    <x:row r="1541">
      <x:c r="A1541" s="4" t="str">
        <x:v>2023-24</x:v>
      </x:c>
      <x:c r="B1541" s="20" t="n">
        <x:v>45152</x:v>
      </x:c>
      <x:c r="C1541" s="4" t="str">
        <x:v>Wolves</x:v>
      </x:c>
      <x:c r="D1541" s="4" t="str">
        <x:v>Man United</x:v>
      </x:c>
      <x:c r="E1541" s="4" t="str">
        <x:v>Away</x:v>
      </x:c>
      <x:c r="F1541" s="28" t="n">
        <x:v>0</x:v>
      </x:c>
      <x:c r="G1541" s="28" t="n">
        <x:v>1</x:v>
      </x:c>
      <x:c r="H1541" s="28" t="n">
        <x:v>23</x:v>
      </x:c>
      <x:c r="I1541" s="28" t="n">
        <x:v>15</x:v>
      </x:c>
      <x:c r="J1541" s="28" t="n">
        <x:v>6</x:v>
      </x:c>
      <x:c r="K1541" s="28" t="n">
        <x:v>3</x:v>
      </x:c>
      <x:c r="L1541" s="28" t="n">
        <x:v>7</x:v>
      </x:c>
      <x:c r="M1541" s="28" t="n">
        <x:v>8</x:v>
      </x:c>
      <x:c r="N1541" s="28" t="n">
        <x:v>3</x:v>
      </x:c>
      <x:c r="O1541" s="28" t="n">
        <x:v>0</x:v>
      </x:c>
      <x:c r="P1541" s="28" t="n">
        <x:v>0</x:v>
      </x:c>
      <x:c r="Q1541" s="24" t="n">
        <x:f>IFERROR(J1541/H1541,0)</x:f>
        <x:v>0.2608695652173913</x:v>
      </x:c>
      <x:c r="R1541" s="24" t="n">
        <x:f>IFERROR(F1541/H1541,0)</x:f>
        <x:v>0</x:v>
      </x:c>
      <x:c r="S1541" s="24" t="n">
        <x:f>IFERROR(F1541/J1541,0)</x:f>
        <x:v>0</x:v>
      </x:c>
      <x:c r="T1541" s="28" t="n">
        <x:f>H1541-I1541</x:f>
        <x:v>8</x:v>
      </x:c>
      <x:c r="U1541" s="24" t="n">
        <x:f>IFERROR(J1541/H1541,0)-IFERROR(K1541/I1541,0)</x:f>
        <x:v>0.060869565217391286</x:v>
      </x:c>
      <x:c r="V1541" s="24" t="n">
        <x:f>IFERROR(F1541/J1541,0)-IFERROR(G1541/K1541,0)</x:f>
        <x:v>-0.3333333333333333</x:v>
      </x:c>
      <x:c r="W1541" s="28" t="n">
        <x:f>L1541-M1541</x:f>
        <x:v>-1</x:v>
      </x:c>
      <x:c r="X1541" s="24" t="n">
        <x:f>IFERROR(K1541/I1541,0)</x:f>
        <x:v>0.2</x:v>
      </x:c>
      <x:c r="Y1541" s="24" t="n">
        <x:f>IFERROR(G1541/I1541,0)</x:f>
        <x:v>0.06666666666666667</x:v>
      </x:c>
      <x:c r="Z1541" s="24" t="n">
        <x:f>IFERROR(G1541/K1541,0)</x:f>
        <x:v>0.3333333333333333</x:v>
      </x:c>
      <x:c r="AA1541" s="24" t="n">
        <x:f>IFERROR(F1541/H1541,0)-IFERROR(G1541/I1541,0)</x:f>
        <x:v>-0.06666666666666667</x:v>
      </x:c>
      <x:c r="AB1541" s="28" t="n">
        <x:f>J1541-K1541</x:f>
        <x:v>3</x:v>
      </x:c>
      <x:c r="AC1541" s="32" t="n">
        <x:f>F1541-G1541</x:f>
        <x:v>-1</x:v>
      </x:c>
    </x:row>
    <x:row r="1542">
      <x:c r="A1542" s="4" t="str">
        <x:v>2023-24</x:v>
      </x:c>
      <x:c r="B1542" s="20" t="n">
        <x:v>45156</x:v>
      </x:c>
      <x:c r="C1542" s="4" t="str">
        <x:v>Nott'm Forest</x:v>
      </x:c>
      <x:c r="D1542" s="4" t="str">
        <x:v>Sheffield United</x:v>
      </x:c>
      <x:c r="E1542" s="4" t="str">
        <x:v>Home</x:v>
      </x:c>
      <x:c r="F1542" s="28" t="n">
        <x:v>2</x:v>
      </x:c>
      <x:c r="G1542" s="28" t="n">
        <x:v>1</x:v>
      </x:c>
      <x:c r="H1542" s="28" t="n">
        <x:v>16</x:v>
      </x:c>
      <x:c r="I1542" s="28" t="n">
        <x:v>7</x:v>
      </x:c>
      <x:c r="J1542" s="28" t="n">
        <x:v>4</x:v>
      </x:c>
      <x:c r="K1542" s="28" t="n">
        <x:v>3</x:v>
      </x:c>
      <x:c r="L1542" s="28" t="n">
        <x:v>6</x:v>
      </x:c>
      <x:c r="M1542" s="28" t="n">
        <x:v>7</x:v>
      </x:c>
      <x:c r="N1542" s="28" t="n">
        <x:v>2</x:v>
      </x:c>
      <x:c r="O1542" s="28" t="n">
        <x:v>0</x:v>
      </x:c>
      <x:c r="P1542" s="28" t="n">
        <x:v>3</x:v>
      </x:c>
      <x:c r="Q1542" s="24" t="n">
        <x:f>IFERROR(J1542/H1542,0)</x:f>
        <x:v>0.25</x:v>
      </x:c>
      <x:c r="R1542" s="24" t="n">
        <x:f>IFERROR(F1542/H1542,0)</x:f>
        <x:v>0.125</x:v>
      </x:c>
      <x:c r="S1542" s="24" t="n">
        <x:f>IFERROR(F1542/J1542,0)</x:f>
        <x:v>0.5</x:v>
      </x:c>
      <x:c r="T1542" s="28" t="n">
        <x:f>H1542-I1542</x:f>
        <x:v>9</x:v>
      </x:c>
      <x:c r="U1542" s="24" t="n">
        <x:f>IFERROR(J1542/H1542,0)-IFERROR(K1542/I1542,0)</x:f>
        <x:v>-0.17857142857142855</x:v>
      </x:c>
      <x:c r="V1542" s="24" t="n">
        <x:f>IFERROR(F1542/J1542,0)-IFERROR(G1542/K1542,0)</x:f>
        <x:v>0.16666666666666669</x:v>
      </x:c>
      <x:c r="W1542" s="28" t="n">
        <x:f>L1542-M1542</x:f>
        <x:v>-1</x:v>
      </x:c>
      <x:c r="X1542" s="24" t="n">
        <x:f>IFERROR(K1542/I1542,0)</x:f>
        <x:v>0.42857142857142855</x:v>
      </x:c>
      <x:c r="Y1542" s="24" t="n">
        <x:f>IFERROR(G1542/I1542,0)</x:f>
        <x:v>0.14285714285714285</x:v>
      </x:c>
      <x:c r="Z1542" s="24" t="n">
        <x:f>IFERROR(G1542/K1542,0)</x:f>
        <x:v>0.3333333333333333</x:v>
      </x:c>
      <x:c r="AA1542" s="24" t="n">
        <x:f>IFERROR(F1542/H1542,0)-IFERROR(G1542/I1542,0)</x:f>
        <x:v>-0.01785714285714285</x:v>
      </x:c>
      <x:c r="AB1542" s="28" t="n">
        <x:f>J1542-K1542</x:f>
        <x:v>1</x:v>
      </x:c>
      <x:c r="AC1542" s="32" t="n">
        <x:f>F1542-G1542</x:f>
        <x:v>1</x:v>
      </x:c>
    </x:row>
    <x:row r="1543">
      <x:c r="A1543" s="4" t="str">
        <x:v>2023-24</x:v>
      </x:c>
      <x:c r="B1543" s="20" t="n">
        <x:v>45156</x:v>
      </x:c>
      <x:c r="C1543" s="4" t="str">
        <x:v>Sheffield United</x:v>
      </x:c>
      <x:c r="D1543" s="4" t="str">
        <x:v>Nott'm Forest</x:v>
      </x:c>
      <x:c r="E1543" s="4" t="str">
        <x:v>Away</x:v>
      </x:c>
      <x:c r="F1543" s="28" t="n">
        <x:v>1</x:v>
      </x:c>
      <x:c r="G1543" s="28" t="n">
        <x:v>2</x:v>
      </x:c>
      <x:c r="H1543" s="28" t="n">
        <x:v>7</x:v>
      </x:c>
      <x:c r="I1543" s="28" t="n">
        <x:v>16</x:v>
      </x:c>
      <x:c r="J1543" s="28" t="n">
        <x:v>3</x:v>
      </x:c>
      <x:c r="K1543" s="28" t="n">
        <x:v>4</x:v>
      </x:c>
      <x:c r="L1543" s="28" t="n">
        <x:v>7</x:v>
      </x:c>
      <x:c r="M1543" s="28" t="n">
        <x:v>6</x:v>
      </x:c>
      <x:c r="N1543" s="28" t="n">
        <x:v>3</x:v>
      </x:c>
      <x:c r="O1543" s="28" t="n">
        <x:v>0</x:v>
      </x:c>
      <x:c r="P1543" s="28" t="n">
        <x:v>0</x:v>
      </x:c>
      <x:c r="Q1543" s="24" t="n">
        <x:f>IFERROR(J1543/H1543,0)</x:f>
        <x:v>0.42857142857142855</x:v>
      </x:c>
      <x:c r="R1543" s="24" t="n">
        <x:f>IFERROR(F1543/H1543,0)</x:f>
        <x:v>0.14285714285714285</x:v>
      </x:c>
      <x:c r="S1543" s="24" t="n">
        <x:f>IFERROR(F1543/J1543,0)</x:f>
        <x:v>0.3333333333333333</x:v>
      </x:c>
      <x:c r="T1543" s="28" t="n">
        <x:f>H1543-I1543</x:f>
        <x:v>-9</x:v>
      </x:c>
      <x:c r="U1543" s="24" t="n">
        <x:f>IFERROR(J1543/H1543,0)-IFERROR(K1543/I1543,0)</x:f>
        <x:v>0.17857142857142855</x:v>
      </x:c>
      <x:c r="V1543" s="24" t="n">
        <x:f>IFERROR(F1543/J1543,0)-IFERROR(G1543/K1543,0)</x:f>
        <x:v>-0.16666666666666669</x:v>
      </x:c>
      <x:c r="W1543" s="28" t="n">
        <x:f>L1543-M1543</x:f>
        <x:v>1</x:v>
      </x:c>
      <x:c r="X1543" s="24" t="n">
        <x:f>IFERROR(K1543/I1543,0)</x:f>
        <x:v>0.25</x:v>
      </x:c>
      <x:c r="Y1543" s="24" t="n">
        <x:f>IFERROR(G1543/I1543,0)</x:f>
        <x:v>0.125</x:v>
      </x:c>
      <x:c r="Z1543" s="24" t="n">
        <x:f>IFERROR(G1543/K1543,0)</x:f>
        <x:v>0.5</x:v>
      </x:c>
      <x:c r="AA1543" s="24" t="n">
        <x:f>IFERROR(F1543/H1543,0)-IFERROR(G1543/I1543,0)</x:f>
        <x:v>0.01785714285714285</x:v>
      </x:c>
      <x:c r="AB1543" s="28" t="n">
        <x:f>J1543-K1543</x:f>
        <x:v>-1</x:v>
      </x:c>
      <x:c r="AC1543" s="32" t="n">
        <x:f>F1543-G1543</x:f>
        <x:v>-1</x:v>
      </x:c>
    </x:row>
    <x:row r="1544">
      <x:c r="A1544" s="4" t="str">
        <x:v>2023-24</x:v>
      </x:c>
      <x:c r="B1544" s="20" t="n">
        <x:v>45157</x:v>
      </x:c>
      <x:c r="C1544" s="4" t="str">
        <x:v>Bournemouth</x:v>
      </x:c>
      <x:c r="D1544" s="4" t="str">
        <x:v>Liverpool</x:v>
      </x:c>
      <x:c r="E1544" s="4" t="str">
        <x:v>Away</x:v>
      </x:c>
      <x:c r="F1544" s="28" t="n">
        <x:v>1</x:v>
      </x:c>
      <x:c r="G1544" s="28" t="n">
        <x:v>3</x:v>
      </x:c>
      <x:c r="H1544" s="28" t="n">
        <x:v>13</x:v>
      </x:c>
      <x:c r="I1544" s="28" t="n">
        <x:v>26</x:v>
      </x:c>
      <x:c r="J1544" s="28" t="n">
        <x:v>5</x:v>
      </x:c>
      <x:c r="K1544" s="28" t="n">
        <x:v>10</x:v>
      </x:c>
      <x:c r="L1544" s="28" t="n">
        <x:v>2</x:v>
      </x:c>
      <x:c r="M1544" s="28" t="n">
        <x:v>10</x:v>
      </x:c>
      <x:c r="N1544" s="28" t="n">
        <x:v>3</x:v>
      </x:c>
      <x:c r="O1544" s="28" t="n">
        <x:v>0</x:v>
      </x:c>
      <x:c r="P1544" s="28" t="n">
        <x:v>0</x:v>
      </x:c>
      <x:c r="Q1544" s="24" t="n">
        <x:f>IFERROR(J1544/H1544,0)</x:f>
        <x:v>0.38461538461538464</x:v>
      </x:c>
      <x:c r="R1544" s="24" t="n">
        <x:f>IFERROR(F1544/H1544,0)</x:f>
        <x:v>0.07692307692307693</x:v>
      </x:c>
      <x:c r="S1544" s="24" t="n">
        <x:f>IFERROR(F1544/J1544,0)</x:f>
        <x:v>0.2</x:v>
      </x:c>
      <x:c r="T1544" s="28" t="n">
        <x:f>H1544-I1544</x:f>
        <x:v>-13</x:v>
      </x:c>
      <x:c r="U1544" s="24" t="n">
        <x:f>IFERROR(J1544/H1544,0)-IFERROR(K1544/I1544,0)</x:f>
        <x:v>0</x:v>
      </x:c>
      <x:c r="V1544" s="24" t="n">
        <x:f>IFERROR(F1544/J1544,0)-IFERROR(G1544/K1544,0)</x:f>
        <x:v>-0.09999999999999998</x:v>
      </x:c>
      <x:c r="W1544" s="28" t="n">
        <x:f>L1544-M1544</x:f>
        <x:v>-8</x:v>
      </x:c>
      <x:c r="X1544" s="24" t="n">
        <x:f>IFERROR(K1544/I1544,0)</x:f>
        <x:v>0.38461538461538464</x:v>
      </x:c>
      <x:c r="Y1544" s="24" t="n">
        <x:f>IFERROR(G1544/I1544,0)</x:f>
        <x:v>0.11538461538461539</x:v>
      </x:c>
      <x:c r="Z1544" s="24" t="n">
        <x:f>IFERROR(G1544/K1544,0)</x:f>
        <x:v>0.3</x:v>
      </x:c>
      <x:c r="AA1544" s="24" t="n">
        <x:f>IFERROR(F1544/H1544,0)-IFERROR(G1544/I1544,0)</x:f>
        <x:v>-0.038461538461538464</x:v>
      </x:c>
      <x:c r="AB1544" s="28" t="n">
        <x:f>J1544-K1544</x:f>
        <x:v>-5</x:v>
      </x:c>
      <x:c r="AC1544" s="32" t="n">
        <x:f>F1544-G1544</x:f>
        <x:v>-2</x:v>
      </x:c>
    </x:row>
    <x:row r="1545">
      <x:c r="A1545" s="4" t="str">
        <x:v>2023-24</x:v>
      </x:c>
      <x:c r="B1545" s="20" t="n">
        <x:v>45157</x:v>
      </x:c>
      <x:c r="C1545" s="4" t="str">
        <x:v>Brentford</x:v>
      </x:c>
      <x:c r="D1545" s="4" t="str">
        <x:v>Fulham</x:v>
      </x:c>
      <x:c r="E1545" s="4" t="str">
        <x:v>Away</x:v>
      </x:c>
      <x:c r="F1545" s="28" t="n">
        <x:v>3</x:v>
      </x:c>
      <x:c r="G1545" s="28" t="n">
        <x:v>0</x:v>
      </x:c>
      <x:c r="H1545" s="28" t="n">
        <x:v>17</x:v>
      </x:c>
      <x:c r="I1545" s="28" t="n">
        <x:v>10</x:v>
      </x:c>
      <x:c r="J1545" s="28" t="n">
        <x:v>8</x:v>
      </x:c>
      <x:c r="K1545" s="28" t="n">
        <x:v>2</x:v>
      </x:c>
      <x:c r="L1545" s="28" t="n">
        <x:v>5</x:v>
      </x:c>
      <x:c r="M1545" s="28" t="n">
        <x:v>5</x:v>
      </x:c>
      <x:c r="N1545" s="28" t="n">
        <x:v>2</x:v>
      </x:c>
      <x:c r="O1545" s="28" t="n">
        <x:v>0</x:v>
      </x:c>
      <x:c r="P1545" s="28" t="n">
        <x:v>3</x:v>
      </x:c>
      <x:c r="Q1545" s="24" t="n">
        <x:f>IFERROR(J1545/H1545,0)</x:f>
        <x:v>0.47058823529411764</x:v>
      </x:c>
      <x:c r="R1545" s="24" t="n">
        <x:f>IFERROR(F1545/H1545,0)</x:f>
        <x:v>0.17647058823529413</x:v>
      </x:c>
      <x:c r="S1545" s="24" t="n">
        <x:f>IFERROR(F1545/J1545,0)</x:f>
        <x:v>0.375</x:v>
      </x:c>
      <x:c r="T1545" s="28" t="n">
        <x:f>H1545-I1545</x:f>
        <x:v>7</x:v>
      </x:c>
      <x:c r="U1545" s="24" t="n">
        <x:f>IFERROR(J1545/H1545,0)-IFERROR(K1545/I1545,0)</x:f>
        <x:v>0.27058823529411763</x:v>
      </x:c>
      <x:c r="V1545" s="24" t="n">
        <x:f>IFERROR(F1545/J1545,0)-IFERROR(G1545/K1545,0)</x:f>
        <x:v>0.375</x:v>
      </x:c>
      <x:c r="W1545" s="28" t="n">
        <x:f>L1545-M1545</x:f>
        <x:v>0</x:v>
      </x:c>
      <x:c r="X1545" s="24" t="n">
        <x:f>IFERROR(K1545/I1545,0)</x:f>
        <x:v>0.2</x:v>
      </x:c>
      <x:c r="Y1545" s="24" t="n">
        <x:f>IFERROR(G1545/I1545,0)</x:f>
        <x:v>0</x:v>
      </x:c>
      <x:c r="Z1545" s="24" t="n">
        <x:f>IFERROR(G1545/K1545,0)</x:f>
        <x:v>0</x:v>
      </x:c>
      <x:c r="AA1545" s="24" t="n">
        <x:f>IFERROR(F1545/H1545,0)-IFERROR(G1545/I1545,0)</x:f>
        <x:v>0.17647058823529413</x:v>
      </x:c>
      <x:c r="AB1545" s="28" t="n">
        <x:f>J1545-K1545</x:f>
        <x:v>6</x:v>
      </x:c>
      <x:c r="AC1545" s="32" t="n">
        <x:f>F1545-G1545</x:f>
        <x:v>3</x:v>
      </x:c>
    </x:row>
    <x:row r="1546">
      <x:c r="A1546" s="4" t="str">
        <x:v>2023-24</x:v>
      </x:c>
      <x:c r="B1546" s="20" t="n">
        <x:v>45157</x:v>
      </x:c>
      <x:c r="C1546" s="4" t="str">
        <x:v>Brighton</x:v>
      </x:c>
      <x:c r="D1546" s="4" t="str">
        <x:v>Wolves</x:v>
      </x:c>
      <x:c r="E1546" s="4" t="str">
        <x:v>Away</x:v>
      </x:c>
      <x:c r="F1546" s="28" t="n">
        <x:v>4</x:v>
      </x:c>
      <x:c r="G1546" s="28" t="n">
        <x:v>1</x:v>
      </x:c>
      <x:c r="H1546" s="28" t="n">
        <x:v>16</x:v>
      </x:c>
      <x:c r="I1546" s="28" t="n">
        <x:v>16</x:v>
      </x:c>
      <x:c r="J1546" s="28" t="n">
        <x:v>8</x:v>
      </x:c>
      <x:c r="K1546" s="28" t="n">
        <x:v>5</x:v>
      </x:c>
      <x:c r="L1546" s="28" t="n">
        <x:v>3</x:v>
      </x:c>
      <x:c r="M1546" s="28" t="n">
        <x:v>5</x:v>
      </x:c>
      <x:c r="N1546" s="28" t="n">
        <x:v>6</x:v>
      </x:c>
      <x:c r="O1546" s="28" t="n">
        <x:v>0</x:v>
      </x:c>
      <x:c r="P1546" s="28" t="n">
        <x:v>3</x:v>
      </x:c>
      <x:c r="Q1546" s="24" t="n">
        <x:f>IFERROR(J1546/H1546,0)</x:f>
        <x:v>0.5</x:v>
      </x:c>
      <x:c r="R1546" s="24" t="n">
        <x:f>IFERROR(F1546/H1546,0)</x:f>
        <x:v>0.25</x:v>
      </x:c>
      <x:c r="S1546" s="24" t="n">
        <x:f>IFERROR(F1546/J1546,0)</x:f>
        <x:v>0.5</x:v>
      </x:c>
      <x:c r="T1546" s="28" t="n">
        <x:f>H1546-I1546</x:f>
        <x:v>0</x:v>
      </x:c>
      <x:c r="U1546" s="24" t="n">
        <x:f>IFERROR(J1546/H1546,0)-IFERROR(K1546/I1546,0)</x:f>
        <x:v>0.1875</x:v>
      </x:c>
      <x:c r="V1546" s="24" t="n">
        <x:f>IFERROR(F1546/J1546,0)-IFERROR(G1546/K1546,0)</x:f>
        <x:v>0.3</x:v>
      </x:c>
      <x:c r="W1546" s="28" t="n">
        <x:f>L1546-M1546</x:f>
        <x:v>-2</x:v>
      </x:c>
      <x:c r="X1546" s="24" t="n">
        <x:f>IFERROR(K1546/I1546,0)</x:f>
        <x:v>0.3125</x:v>
      </x:c>
      <x:c r="Y1546" s="24" t="n">
        <x:f>IFERROR(G1546/I1546,0)</x:f>
        <x:v>0.0625</x:v>
      </x:c>
      <x:c r="Z1546" s="24" t="n">
        <x:f>IFERROR(G1546/K1546,0)</x:f>
        <x:v>0.2</x:v>
      </x:c>
      <x:c r="AA1546" s="24" t="n">
        <x:f>IFERROR(F1546/H1546,0)-IFERROR(G1546/I1546,0)</x:f>
        <x:v>0.1875</x:v>
      </x:c>
      <x:c r="AB1546" s="28" t="n">
        <x:f>J1546-K1546</x:f>
        <x:v>3</x:v>
      </x:c>
      <x:c r="AC1546" s="32" t="n">
        <x:f>F1546-G1546</x:f>
        <x:v>3</x:v>
      </x:c>
    </x:row>
    <x:row r="1547">
      <x:c r="A1547" s="4" t="str">
        <x:v>2023-24</x:v>
      </x:c>
      <x:c r="B1547" s="20" t="n">
        <x:v>45157</x:v>
      </x:c>
      <x:c r="C1547" s="4" t="str">
        <x:v>Fulham</x:v>
      </x:c>
      <x:c r="D1547" s="4" t="str">
        <x:v>Brentford</x:v>
      </x:c>
      <x:c r="E1547" s="4" t="str">
        <x:v>Home</x:v>
      </x:c>
      <x:c r="F1547" s="28" t="n">
        <x:v>0</x:v>
      </x:c>
      <x:c r="G1547" s="28" t="n">
        <x:v>3</x:v>
      </x:c>
      <x:c r="H1547" s="28" t="n">
        <x:v>10</x:v>
      </x:c>
      <x:c r="I1547" s="28" t="n">
        <x:v>17</x:v>
      </x:c>
      <x:c r="J1547" s="28" t="n">
        <x:v>2</x:v>
      </x:c>
      <x:c r="K1547" s="28" t="n">
        <x:v>8</x:v>
      </x:c>
      <x:c r="L1547" s="28" t="n">
        <x:v>5</x:v>
      </x:c>
      <x:c r="M1547" s="28" t="n">
        <x:v>5</x:v>
      </x:c>
      <x:c r="N1547" s="28" t="n">
        <x:v>2</x:v>
      </x:c>
      <x:c r="O1547" s="28" t="n">
        <x:v>1</x:v>
      </x:c>
      <x:c r="P1547" s="28" t="n">
        <x:v>0</x:v>
      </x:c>
      <x:c r="Q1547" s="24" t="n">
        <x:f>IFERROR(J1547/H1547,0)</x:f>
        <x:v>0.2</x:v>
      </x:c>
      <x:c r="R1547" s="24" t="n">
        <x:f>IFERROR(F1547/H1547,0)</x:f>
        <x:v>0</x:v>
      </x:c>
      <x:c r="S1547" s="24" t="n">
        <x:f>IFERROR(F1547/J1547,0)</x:f>
        <x:v>0</x:v>
      </x:c>
      <x:c r="T1547" s="28" t="n">
        <x:f>H1547-I1547</x:f>
        <x:v>-7</x:v>
      </x:c>
      <x:c r="U1547" s="24" t="n">
        <x:f>IFERROR(J1547/H1547,0)-IFERROR(K1547/I1547,0)</x:f>
        <x:v>-0.27058823529411763</x:v>
      </x:c>
      <x:c r="V1547" s="24" t="n">
        <x:f>IFERROR(F1547/J1547,0)-IFERROR(G1547/K1547,0)</x:f>
        <x:v>-0.375</x:v>
      </x:c>
      <x:c r="W1547" s="28" t="n">
        <x:f>L1547-M1547</x:f>
        <x:v>0</x:v>
      </x:c>
      <x:c r="X1547" s="24" t="n">
        <x:f>IFERROR(K1547/I1547,0)</x:f>
        <x:v>0.47058823529411764</x:v>
      </x:c>
      <x:c r="Y1547" s="24" t="n">
        <x:f>IFERROR(G1547/I1547,0)</x:f>
        <x:v>0.17647058823529413</x:v>
      </x:c>
      <x:c r="Z1547" s="24" t="n">
        <x:f>IFERROR(G1547/K1547,0)</x:f>
        <x:v>0.375</x:v>
      </x:c>
      <x:c r="AA1547" s="24" t="n">
        <x:f>IFERROR(F1547/H1547,0)-IFERROR(G1547/I1547,0)</x:f>
        <x:v>-0.17647058823529413</x:v>
      </x:c>
      <x:c r="AB1547" s="28" t="n">
        <x:f>J1547-K1547</x:f>
        <x:v>-6</x:v>
      </x:c>
      <x:c r="AC1547" s="32" t="n">
        <x:f>F1547-G1547</x:f>
        <x:v>-3</x:v>
      </x:c>
    </x:row>
    <x:row r="1548">
      <x:c r="A1548" s="4" t="str">
        <x:v>2023-24</x:v>
      </x:c>
      <x:c r="B1548" s="20" t="n">
        <x:v>45157</x:v>
      </x:c>
      <x:c r="C1548" s="4" t="str">
        <x:v>Liverpool</x:v>
      </x:c>
      <x:c r="D1548" s="4" t="str">
        <x:v>Bournemouth</x:v>
      </x:c>
      <x:c r="E1548" s="4" t="str">
        <x:v>Home</x:v>
      </x:c>
      <x:c r="F1548" s="28" t="n">
        <x:v>3</x:v>
      </x:c>
      <x:c r="G1548" s="28" t="n">
        <x:v>1</x:v>
      </x:c>
      <x:c r="H1548" s="28" t="n">
        <x:v>26</x:v>
      </x:c>
      <x:c r="I1548" s="28" t="n">
        <x:v>13</x:v>
      </x:c>
      <x:c r="J1548" s="28" t="n">
        <x:v>10</x:v>
      </x:c>
      <x:c r="K1548" s="28" t="n">
        <x:v>5</x:v>
      </x:c>
      <x:c r="L1548" s="28" t="n">
        <x:v>10</x:v>
      </x:c>
      <x:c r="M1548" s="28" t="n">
        <x:v>2</x:v>
      </x:c>
      <x:c r="N1548" s="28" t="n">
        <x:v>1</x:v>
      </x:c>
      <x:c r="O1548" s="28" t="n">
        <x:v>1</x:v>
      </x:c>
      <x:c r="P1548" s="28" t="n">
        <x:v>3</x:v>
      </x:c>
      <x:c r="Q1548" s="24" t="n">
        <x:f>IFERROR(J1548/H1548,0)</x:f>
        <x:v>0.38461538461538464</x:v>
      </x:c>
      <x:c r="R1548" s="24" t="n">
        <x:f>IFERROR(F1548/H1548,0)</x:f>
        <x:v>0.11538461538461539</x:v>
      </x:c>
      <x:c r="S1548" s="24" t="n">
        <x:f>IFERROR(F1548/J1548,0)</x:f>
        <x:v>0.3</x:v>
      </x:c>
      <x:c r="T1548" s="28" t="n">
        <x:f>H1548-I1548</x:f>
        <x:v>13</x:v>
      </x:c>
      <x:c r="U1548" s="24" t="n">
        <x:f>IFERROR(J1548/H1548,0)-IFERROR(K1548/I1548,0)</x:f>
        <x:v>0</x:v>
      </x:c>
      <x:c r="V1548" s="24" t="n">
        <x:f>IFERROR(F1548/J1548,0)-IFERROR(G1548/K1548,0)</x:f>
        <x:v>0.09999999999999998</x:v>
      </x:c>
      <x:c r="W1548" s="28" t="n">
        <x:f>L1548-M1548</x:f>
        <x:v>8</x:v>
      </x:c>
      <x:c r="X1548" s="24" t="n">
        <x:f>IFERROR(K1548/I1548,0)</x:f>
        <x:v>0.38461538461538464</x:v>
      </x:c>
      <x:c r="Y1548" s="24" t="n">
        <x:f>IFERROR(G1548/I1548,0)</x:f>
        <x:v>0.07692307692307693</x:v>
      </x:c>
      <x:c r="Z1548" s="24" t="n">
        <x:f>IFERROR(G1548/K1548,0)</x:f>
        <x:v>0.2</x:v>
      </x:c>
      <x:c r="AA1548" s="24" t="n">
        <x:f>IFERROR(F1548/H1548,0)-IFERROR(G1548/I1548,0)</x:f>
        <x:v>0.038461538461538464</x:v>
      </x:c>
      <x:c r="AB1548" s="28" t="n">
        <x:f>J1548-K1548</x:f>
        <x:v>5</x:v>
      </x:c>
      <x:c r="AC1548" s="32" t="n">
        <x:f>F1548-G1548</x:f>
        <x:v>2</x:v>
      </x:c>
    </x:row>
    <x:row r="1549">
      <x:c r="A1549" s="4" t="str">
        <x:v>2023-24</x:v>
      </x:c>
      <x:c r="B1549" s="20" t="n">
        <x:v>45157</x:v>
      </x:c>
      <x:c r="C1549" s="4" t="str">
        <x:v>Man City</x:v>
      </x:c>
      <x:c r="D1549" s="4" t="str">
        <x:v>Newcastle</x:v>
      </x:c>
      <x:c r="E1549" s="4" t="str">
        <x:v>Home</x:v>
      </x:c>
      <x:c r="F1549" s="28" t="n">
        <x:v>1</x:v>
      </x:c>
      <x:c r="G1549" s="28" t="n">
        <x:v>0</x:v>
      </x:c>
      <x:c r="H1549" s="28" t="n">
        <x:v>14</x:v>
      </x:c>
      <x:c r="I1549" s="28" t="n">
        <x:v>7</x:v>
      </x:c>
      <x:c r="J1549" s="28" t="n">
        <x:v>4</x:v>
      </x:c>
      <x:c r="K1549" s="28" t="n">
        <x:v>1</x:v>
      </x:c>
      <x:c r="L1549" s="28" t="n">
        <x:v>3</x:v>
      </x:c>
      <x:c r="M1549" s="28" t="n">
        <x:v>0</x:v>
      </x:c>
      <x:c r="N1549" s="28" t="n">
        <x:v>1</x:v>
      </x:c>
      <x:c r="O1549" s="28" t="n">
        <x:v>0</x:v>
      </x:c>
      <x:c r="P1549" s="28" t="n">
        <x:v>3</x:v>
      </x:c>
      <x:c r="Q1549" s="24" t="n">
        <x:f>IFERROR(J1549/H1549,0)</x:f>
        <x:v>0.2857142857142857</x:v>
      </x:c>
      <x:c r="R1549" s="24" t="n">
        <x:f>IFERROR(F1549/H1549,0)</x:f>
        <x:v>0.07142857142857142</x:v>
      </x:c>
      <x:c r="S1549" s="24" t="n">
        <x:f>IFERROR(F1549/J1549,0)</x:f>
        <x:v>0.25</x:v>
      </x:c>
      <x:c r="T1549" s="28" t="n">
        <x:f>H1549-I1549</x:f>
        <x:v>7</x:v>
      </x:c>
      <x:c r="U1549" s="24" t="n">
        <x:f>IFERROR(J1549/H1549,0)-IFERROR(K1549/I1549,0)</x:f>
        <x:v>0.14285714285714285</x:v>
      </x:c>
      <x:c r="V1549" s="24" t="n">
        <x:f>IFERROR(F1549/J1549,0)-IFERROR(G1549/K1549,0)</x:f>
        <x:v>0.25</x:v>
      </x:c>
      <x:c r="W1549" s="28" t="n">
        <x:f>L1549-M1549</x:f>
        <x:v>3</x:v>
      </x:c>
      <x:c r="X1549" s="24" t="n">
        <x:f>IFERROR(K1549/I1549,0)</x:f>
        <x:v>0.14285714285714285</x:v>
      </x:c>
      <x:c r="Y1549" s="24" t="n">
        <x:f>IFERROR(G1549/I1549,0)</x:f>
        <x:v>0</x:v>
      </x:c>
      <x:c r="Z1549" s="24" t="n">
        <x:f>IFERROR(G1549/K1549,0)</x:f>
        <x:v>0</x:v>
      </x:c>
      <x:c r="AA1549" s="24" t="n">
        <x:f>IFERROR(F1549/H1549,0)-IFERROR(G1549/I1549,0)</x:f>
        <x:v>0.07142857142857142</x:v>
      </x:c>
      <x:c r="AB1549" s="28" t="n">
        <x:f>J1549-K1549</x:f>
        <x:v>3</x:v>
      </x:c>
      <x:c r="AC1549" s="32" t="n">
        <x:f>F1549-G1549</x:f>
        <x:v>1</x:v>
      </x:c>
    </x:row>
    <x:row r="1550">
      <x:c r="A1550" s="4" t="str">
        <x:v>2023-24</x:v>
      </x:c>
      <x:c r="B1550" s="20" t="n">
        <x:v>45157</x:v>
      </x:c>
      <x:c r="C1550" s="4" t="str">
        <x:v>Man United</x:v>
      </x:c>
      <x:c r="D1550" s="4" t="str">
        <x:v>Tottenham</x:v>
      </x:c>
      <x:c r="E1550" s="4" t="str">
        <x:v>Away</x:v>
      </x:c>
      <x:c r="F1550" s="28" t="n">
        <x:v>0</x:v>
      </x:c>
      <x:c r="G1550" s="28" t="n">
        <x:v>2</x:v>
      </x:c>
      <x:c r="H1550" s="28" t="n">
        <x:v>22</x:v>
      </x:c>
      <x:c r="I1550" s="28" t="n">
        <x:v>17</x:v>
      </x:c>
      <x:c r="J1550" s="28" t="n">
        <x:v>6</x:v>
      </x:c>
      <x:c r="K1550" s="28" t="n">
        <x:v>6</x:v>
      </x:c>
      <x:c r="L1550" s="28" t="n">
        <x:v>6</x:v>
      </x:c>
      <x:c r="M1550" s="28" t="n">
        <x:v>5</x:v>
      </x:c>
      <x:c r="N1550" s="28" t="n">
        <x:v>3</x:v>
      </x:c>
      <x:c r="O1550" s="28" t="n">
        <x:v>0</x:v>
      </x:c>
      <x:c r="P1550" s="28" t="n">
        <x:v>0</x:v>
      </x:c>
      <x:c r="Q1550" s="24" t="n">
        <x:f>IFERROR(J1550/H1550,0)</x:f>
        <x:v>0.2727272727272727</x:v>
      </x:c>
      <x:c r="R1550" s="24" t="n">
        <x:f>IFERROR(F1550/H1550,0)</x:f>
        <x:v>0</x:v>
      </x:c>
      <x:c r="S1550" s="24" t="n">
        <x:f>IFERROR(F1550/J1550,0)</x:f>
        <x:v>0</x:v>
      </x:c>
      <x:c r="T1550" s="28" t="n">
        <x:f>H1550-I1550</x:f>
        <x:v>5</x:v>
      </x:c>
      <x:c r="U1550" s="24" t="n">
        <x:f>IFERROR(J1550/H1550,0)-IFERROR(K1550/I1550,0)</x:f>
        <x:v>-0.08021390374331555</x:v>
      </x:c>
      <x:c r="V1550" s="24" t="n">
        <x:f>IFERROR(F1550/J1550,0)-IFERROR(G1550/K1550,0)</x:f>
        <x:v>-0.3333333333333333</x:v>
      </x:c>
      <x:c r="W1550" s="28" t="n">
        <x:f>L1550-M1550</x:f>
        <x:v>1</x:v>
      </x:c>
      <x:c r="X1550" s="24" t="n">
        <x:f>IFERROR(K1550/I1550,0)</x:f>
        <x:v>0.35294117647058826</x:v>
      </x:c>
      <x:c r="Y1550" s="24" t="n">
        <x:f>IFERROR(G1550/I1550,0)</x:f>
        <x:v>0.11764705882352941</x:v>
      </x:c>
      <x:c r="Z1550" s="24" t="n">
        <x:f>IFERROR(G1550/K1550,0)</x:f>
        <x:v>0.3333333333333333</x:v>
      </x:c>
      <x:c r="AA1550" s="24" t="n">
        <x:f>IFERROR(F1550/H1550,0)-IFERROR(G1550/I1550,0)</x:f>
        <x:v>-0.11764705882352941</x:v>
      </x:c>
      <x:c r="AB1550" s="28" t="n">
        <x:f>J1550-K1550</x:f>
        <x:v>0</x:v>
      </x:c>
      <x:c r="AC1550" s="32" t="n">
        <x:f>F1550-G1550</x:f>
        <x:v>-2</x:v>
      </x:c>
    </x:row>
    <x:row r="1551">
      <x:c r="A1551" s="4" t="str">
        <x:v>2023-24</x:v>
      </x:c>
      <x:c r="B1551" s="20" t="n">
        <x:v>45157</x:v>
      </x:c>
      <x:c r="C1551" s="4" t="str">
        <x:v>Newcastle</x:v>
      </x:c>
      <x:c r="D1551" s="4" t="str">
        <x:v>Man City</x:v>
      </x:c>
      <x:c r="E1551" s="4" t="str">
        <x:v>Away</x:v>
      </x:c>
      <x:c r="F1551" s="28" t="n">
        <x:v>0</x:v>
      </x:c>
      <x:c r="G1551" s="28" t="n">
        <x:v>1</x:v>
      </x:c>
      <x:c r="H1551" s="28" t="n">
        <x:v>7</x:v>
      </x:c>
      <x:c r="I1551" s="28" t="n">
        <x:v>14</x:v>
      </x:c>
      <x:c r="J1551" s="28" t="n">
        <x:v>1</x:v>
      </x:c>
      <x:c r="K1551" s="28" t="n">
        <x:v>4</x:v>
      </x:c>
      <x:c r="L1551" s="28" t="n">
        <x:v>0</x:v>
      </x:c>
      <x:c r="M1551" s="28" t="n">
        <x:v>3</x:v>
      </x:c>
      <x:c r="N1551" s="28" t="n">
        <x:v>5</x:v>
      </x:c>
      <x:c r="O1551" s="28" t="n">
        <x:v>0</x:v>
      </x:c>
      <x:c r="P1551" s="28" t="n">
        <x:v>0</x:v>
      </x:c>
      <x:c r="Q1551" s="24" t="n">
        <x:f>IFERROR(J1551/H1551,0)</x:f>
        <x:v>0.14285714285714285</x:v>
      </x:c>
      <x:c r="R1551" s="24" t="n">
        <x:f>IFERROR(F1551/H1551,0)</x:f>
        <x:v>0</x:v>
      </x:c>
      <x:c r="S1551" s="24" t="n">
        <x:f>IFERROR(F1551/J1551,0)</x:f>
        <x:v>0</x:v>
      </x:c>
      <x:c r="T1551" s="28" t="n">
        <x:f>H1551-I1551</x:f>
        <x:v>-7</x:v>
      </x:c>
      <x:c r="U1551" s="24" t="n">
        <x:f>IFERROR(J1551/H1551,0)-IFERROR(K1551/I1551,0)</x:f>
        <x:v>-0.14285714285714285</x:v>
      </x:c>
      <x:c r="V1551" s="24" t="n">
        <x:f>IFERROR(F1551/J1551,0)-IFERROR(G1551/K1551,0)</x:f>
        <x:v>-0.25</x:v>
      </x:c>
      <x:c r="W1551" s="28" t="n">
        <x:f>L1551-M1551</x:f>
        <x:v>-3</x:v>
      </x:c>
      <x:c r="X1551" s="24" t="n">
        <x:f>IFERROR(K1551/I1551,0)</x:f>
        <x:v>0.2857142857142857</x:v>
      </x:c>
      <x:c r="Y1551" s="24" t="n">
        <x:f>IFERROR(G1551/I1551,0)</x:f>
        <x:v>0.07142857142857142</x:v>
      </x:c>
      <x:c r="Z1551" s="24" t="n">
        <x:f>IFERROR(G1551/K1551,0)</x:f>
        <x:v>0.25</x:v>
      </x:c>
      <x:c r="AA1551" s="24" t="n">
        <x:f>IFERROR(F1551/H1551,0)-IFERROR(G1551/I1551,0)</x:f>
        <x:v>-0.07142857142857142</x:v>
      </x:c>
      <x:c r="AB1551" s="28" t="n">
        <x:f>J1551-K1551</x:f>
        <x:v>-3</x:v>
      </x:c>
      <x:c r="AC1551" s="32" t="n">
        <x:f>F1551-G1551</x:f>
        <x:v>-1</x:v>
      </x:c>
    </x:row>
    <x:row r="1552">
      <x:c r="A1552" s="4" t="str">
        <x:v>2023-24</x:v>
      </x:c>
      <x:c r="B1552" s="20" t="n">
        <x:v>45157</x:v>
      </x:c>
      <x:c r="C1552" s="4" t="str">
        <x:v>Tottenham</x:v>
      </x:c>
      <x:c r="D1552" s="4" t="str">
        <x:v>Man United</x:v>
      </x:c>
      <x:c r="E1552" s="4" t="str">
        <x:v>Home</x:v>
      </x:c>
      <x:c r="F1552" s="28" t="n">
        <x:v>2</x:v>
      </x:c>
      <x:c r="G1552" s="28" t="n">
        <x:v>0</x:v>
      </x:c>
      <x:c r="H1552" s="28" t="n">
        <x:v>17</x:v>
      </x:c>
      <x:c r="I1552" s="28" t="n">
        <x:v>22</x:v>
      </x:c>
      <x:c r="J1552" s="28" t="n">
        <x:v>6</x:v>
      </x:c>
      <x:c r="K1552" s="28" t="n">
        <x:v>6</x:v>
      </x:c>
      <x:c r="L1552" s="28" t="n">
        <x:v>5</x:v>
      </x:c>
      <x:c r="M1552" s="28" t="n">
        <x:v>6</x:v>
      </x:c>
      <x:c r="N1552" s="28" t="n">
        <x:v>1</x:v>
      </x:c>
      <x:c r="O1552" s="28" t="n">
        <x:v>0</x:v>
      </x:c>
      <x:c r="P1552" s="28" t="n">
        <x:v>3</x:v>
      </x:c>
      <x:c r="Q1552" s="24" t="n">
        <x:f>IFERROR(J1552/H1552,0)</x:f>
        <x:v>0.35294117647058826</x:v>
      </x:c>
      <x:c r="R1552" s="24" t="n">
        <x:f>IFERROR(F1552/H1552,0)</x:f>
        <x:v>0.11764705882352941</x:v>
      </x:c>
      <x:c r="S1552" s="24" t="n">
        <x:f>IFERROR(F1552/J1552,0)</x:f>
        <x:v>0.3333333333333333</x:v>
      </x:c>
      <x:c r="T1552" s="28" t="n">
        <x:f>H1552-I1552</x:f>
        <x:v>-5</x:v>
      </x:c>
      <x:c r="U1552" s="24" t="n">
        <x:f>IFERROR(J1552/H1552,0)-IFERROR(K1552/I1552,0)</x:f>
        <x:v>0.08021390374331555</x:v>
      </x:c>
      <x:c r="V1552" s="24" t="n">
        <x:f>IFERROR(F1552/J1552,0)-IFERROR(G1552/K1552,0)</x:f>
        <x:v>0.3333333333333333</x:v>
      </x:c>
      <x:c r="W1552" s="28" t="n">
        <x:f>L1552-M1552</x:f>
        <x:v>-1</x:v>
      </x:c>
      <x:c r="X1552" s="24" t="n">
        <x:f>IFERROR(K1552/I1552,0)</x:f>
        <x:v>0.2727272727272727</x:v>
      </x:c>
      <x:c r="Y1552" s="24" t="n">
        <x:f>IFERROR(G1552/I1552,0)</x:f>
        <x:v>0</x:v>
      </x:c>
      <x:c r="Z1552" s="24" t="n">
        <x:f>IFERROR(G1552/K1552,0)</x:f>
        <x:v>0</x:v>
      </x:c>
      <x:c r="AA1552" s="24" t="n">
        <x:f>IFERROR(F1552/H1552,0)-IFERROR(G1552/I1552,0)</x:f>
        <x:v>0.11764705882352941</x:v>
      </x:c>
      <x:c r="AB1552" s="28" t="n">
        <x:f>J1552-K1552</x:f>
        <x:v>0</x:v>
      </x:c>
      <x:c r="AC1552" s="32" t="n">
        <x:f>F1552-G1552</x:f>
        <x:v>2</x:v>
      </x:c>
    </x:row>
    <x:row r="1553">
      <x:c r="A1553" s="4" t="str">
        <x:v>2023-24</x:v>
      </x:c>
      <x:c r="B1553" s="20" t="n">
        <x:v>45157</x:v>
      </x:c>
      <x:c r="C1553" s="4" t="str">
        <x:v>Wolves</x:v>
      </x:c>
      <x:c r="D1553" s="4" t="str">
        <x:v>Brighton</x:v>
      </x:c>
      <x:c r="E1553" s="4" t="str">
        <x:v>Home</x:v>
      </x:c>
      <x:c r="F1553" s="28" t="n">
        <x:v>1</x:v>
      </x:c>
      <x:c r="G1553" s="28" t="n">
        <x:v>4</x:v>
      </x:c>
      <x:c r="H1553" s="28" t="n">
        <x:v>16</x:v>
      </x:c>
      <x:c r="I1553" s="28" t="n">
        <x:v>16</x:v>
      </x:c>
      <x:c r="J1553" s="28" t="n">
        <x:v>5</x:v>
      </x:c>
      <x:c r="K1553" s="28" t="n">
        <x:v>8</x:v>
      </x:c>
      <x:c r="L1553" s="28" t="n">
        <x:v>5</x:v>
      </x:c>
      <x:c r="M1553" s="28" t="n">
        <x:v>3</x:v>
      </x:c>
      <x:c r="N1553" s="28" t="n">
        <x:v>3</x:v>
      </x:c>
      <x:c r="O1553" s="28" t="n">
        <x:v>1</x:v>
      </x:c>
      <x:c r="P1553" s="28" t="n">
        <x:v>0</x:v>
      </x:c>
      <x:c r="Q1553" s="24" t="n">
        <x:f>IFERROR(J1553/H1553,0)</x:f>
        <x:v>0.3125</x:v>
      </x:c>
      <x:c r="R1553" s="24" t="n">
        <x:f>IFERROR(F1553/H1553,0)</x:f>
        <x:v>0.0625</x:v>
      </x:c>
      <x:c r="S1553" s="24" t="n">
        <x:f>IFERROR(F1553/J1553,0)</x:f>
        <x:v>0.2</x:v>
      </x:c>
      <x:c r="T1553" s="28" t="n">
        <x:f>H1553-I1553</x:f>
        <x:v>0</x:v>
      </x:c>
      <x:c r="U1553" s="24" t="n">
        <x:f>IFERROR(J1553/H1553,0)-IFERROR(K1553/I1553,0)</x:f>
        <x:v>-0.1875</x:v>
      </x:c>
      <x:c r="V1553" s="24" t="n">
        <x:f>IFERROR(F1553/J1553,0)-IFERROR(G1553/K1553,0)</x:f>
        <x:v>-0.3</x:v>
      </x:c>
      <x:c r="W1553" s="28" t="n">
        <x:f>L1553-M1553</x:f>
        <x:v>2</x:v>
      </x:c>
      <x:c r="X1553" s="24" t="n">
        <x:f>IFERROR(K1553/I1553,0)</x:f>
        <x:v>0.5</x:v>
      </x:c>
      <x:c r="Y1553" s="24" t="n">
        <x:f>IFERROR(G1553/I1553,0)</x:f>
        <x:v>0.25</x:v>
      </x:c>
      <x:c r="Z1553" s="24" t="n">
        <x:f>IFERROR(G1553/K1553,0)</x:f>
        <x:v>0.5</x:v>
      </x:c>
      <x:c r="AA1553" s="24" t="n">
        <x:f>IFERROR(F1553/H1553,0)-IFERROR(G1553/I1553,0)</x:f>
        <x:v>-0.1875</x:v>
      </x:c>
      <x:c r="AB1553" s="28" t="n">
        <x:f>J1553-K1553</x:f>
        <x:v>-3</x:v>
      </x:c>
      <x:c r="AC1553" s="32" t="n">
        <x:f>F1553-G1553</x:f>
        <x:v>-3</x:v>
      </x:c>
    </x:row>
    <x:row r="1554">
      <x:c r="A1554" s="4" t="str">
        <x:v>2023-24</x:v>
      </x:c>
      <x:c r="B1554" s="20" t="n">
        <x:v>45158</x:v>
      </x:c>
      <x:c r="C1554" s="4" t="str">
        <x:v>Aston Villa</x:v>
      </x:c>
      <x:c r="D1554" s="4" t="str">
        <x:v>Everton</x:v>
      </x:c>
      <x:c r="E1554" s="4" t="str">
        <x:v>Home</x:v>
      </x:c>
      <x:c r="F1554" s="28" t="n">
        <x:v>4</x:v>
      </x:c>
      <x:c r="G1554" s="28" t="n">
        <x:v>0</x:v>
      </x:c>
      <x:c r="H1554" s="28" t="n">
        <x:v>13</x:v>
      </x:c>
      <x:c r="I1554" s="28" t="n">
        <x:v>9</x:v>
      </x:c>
      <x:c r="J1554" s="28" t="n">
        <x:v>7</x:v>
      </x:c>
      <x:c r="K1554" s="28" t="n">
        <x:v>2</x:v>
      </x:c>
      <x:c r="L1554" s="28" t="n">
        <x:v>7</x:v>
      </x:c>
      <x:c r="M1554" s="28" t="n">
        <x:v>6</x:v>
      </x:c>
      <x:c r="N1554" s="28" t="n">
        <x:v>3</x:v>
      </x:c>
      <x:c r="O1554" s="28" t="n">
        <x:v>0</x:v>
      </x:c>
      <x:c r="P1554" s="28" t="n">
        <x:v>3</x:v>
      </x:c>
      <x:c r="Q1554" s="24" t="n">
        <x:f>IFERROR(J1554/H1554,0)</x:f>
        <x:v>0.5384615384615384</x:v>
      </x:c>
      <x:c r="R1554" s="24" t="n">
        <x:f>IFERROR(F1554/H1554,0)</x:f>
        <x:v>0.3076923076923077</x:v>
      </x:c>
      <x:c r="S1554" s="24" t="n">
        <x:f>IFERROR(F1554/J1554,0)</x:f>
        <x:v>0.5714285714285714</x:v>
      </x:c>
      <x:c r="T1554" s="28" t="n">
        <x:f>H1554-I1554</x:f>
        <x:v>4</x:v>
      </x:c>
      <x:c r="U1554" s="24" t="n">
        <x:f>IFERROR(J1554/H1554,0)-IFERROR(K1554/I1554,0)</x:f>
        <x:v>0.3162393162393162</x:v>
      </x:c>
      <x:c r="V1554" s="24" t="n">
        <x:f>IFERROR(F1554/J1554,0)-IFERROR(G1554/K1554,0)</x:f>
        <x:v>0.5714285714285714</x:v>
      </x:c>
      <x:c r="W1554" s="28" t="n">
        <x:f>L1554-M1554</x:f>
        <x:v>1</x:v>
      </x:c>
      <x:c r="X1554" s="24" t="n">
        <x:f>IFERROR(K1554/I1554,0)</x:f>
        <x:v>0.2222222222222222</x:v>
      </x:c>
      <x:c r="Y1554" s="24" t="n">
        <x:f>IFERROR(G1554/I1554,0)</x:f>
        <x:v>0</x:v>
      </x:c>
      <x:c r="Z1554" s="24" t="n">
        <x:f>IFERROR(G1554/K1554,0)</x:f>
        <x:v>0</x:v>
      </x:c>
      <x:c r="AA1554" s="24" t="n">
        <x:f>IFERROR(F1554/H1554,0)-IFERROR(G1554/I1554,0)</x:f>
        <x:v>0.3076923076923077</x:v>
      </x:c>
      <x:c r="AB1554" s="28" t="n">
        <x:f>J1554-K1554</x:f>
        <x:v>5</x:v>
      </x:c>
      <x:c r="AC1554" s="32" t="n">
        <x:f>F1554-G1554</x:f>
        <x:v>4</x:v>
      </x:c>
    </x:row>
    <x:row r="1555">
      <x:c r="A1555" s="4" t="str">
        <x:v>2023-24</x:v>
      </x:c>
      <x:c r="B1555" s="20" t="n">
        <x:v>45158</x:v>
      </x:c>
      <x:c r="C1555" s="4" t="str">
        <x:v>Chelsea</x:v>
      </x:c>
      <x:c r="D1555" s="4" t="str">
        <x:v>West Ham</x:v>
      </x:c>
      <x:c r="E1555" s="4" t="str">
        <x:v>Away</x:v>
      </x:c>
      <x:c r="F1555" s="28" t="n">
        <x:v>1</x:v>
      </x:c>
      <x:c r="G1555" s="28" t="n">
        <x:v>3</x:v>
      </x:c>
      <x:c r="H1555" s="28" t="n">
        <x:v>17</x:v>
      </x:c>
      <x:c r="I1555" s="28" t="n">
        <x:v>12</x:v>
      </x:c>
      <x:c r="J1555" s="28" t="n">
        <x:v>4</x:v>
      </x:c>
      <x:c r="K1555" s="28" t="n">
        <x:v>6</x:v>
      </x:c>
      <x:c r="L1555" s="28" t="n">
        <x:v>9</x:v>
      </x:c>
      <x:c r="M1555" s="28" t="n">
        <x:v>3</x:v>
      </x:c>
      <x:c r="N1555" s="28" t="n">
        <x:v>3</x:v>
      </x:c>
      <x:c r="O1555" s="28" t="n">
        <x:v>0</x:v>
      </x:c>
      <x:c r="P1555" s="28" t="n">
        <x:v>0</x:v>
      </x:c>
      <x:c r="Q1555" s="24" t="n">
        <x:f>IFERROR(J1555/H1555,0)</x:f>
        <x:v>0.23529411764705882</x:v>
      </x:c>
      <x:c r="R1555" s="24" t="n">
        <x:f>IFERROR(F1555/H1555,0)</x:f>
        <x:v>0.058823529411764705</x:v>
      </x:c>
      <x:c r="S1555" s="24" t="n">
        <x:f>IFERROR(F1555/J1555,0)</x:f>
        <x:v>0.25</x:v>
      </x:c>
      <x:c r="T1555" s="28" t="n">
        <x:f>H1555-I1555</x:f>
        <x:v>5</x:v>
      </x:c>
      <x:c r="U1555" s="24" t="n">
        <x:f>IFERROR(J1555/H1555,0)-IFERROR(K1555/I1555,0)</x:f>
        <x:v>-0.2647058823529412</x:v>
      </x:c>
      <x:c r="V1555" s="24" t="n">
        <x:f>IFERROR(F1555/J1555,0)-IFERROR(G1555/K1555,0)</x:f>
        <x:v>-0.25</x:v>
      </x:c>
      <x:c r="W1555" s="28" t="n">
        <x:f>L1555-M1555</x:f>
        <x:v>6</x:v>
      </x:c>
      <x:c r="X1555" s="24" t="n">
        <x:f>IFERROR(K1555/I1555,0)</x:f>
        <x:v>0.5</x:v>
      </x:c>
      <x:c r="Y1555" s="24" t="n">
        <x:f>IFERROR(G1555/I1555,0)</x:f>
        <x:v>0.25</x:v>
      </x:c>
      <x:c r="Z1555" s="24" t="n">
        <x:f>IFERROR(G1555/K1555,0)</x:f>
        <x:v>0.5</x:v>
      </x:c>
      <x:c r="AA1555" s="24" t="n">
        <x:f>IFERROR(F1555/H1555,0)-IFERROR(G1555/I1555,0)</x:f>
        <x:v>-0.19117647058823528</x:v>
      </x:c>
      <x:c r="AB1555" s="28" t="n">
        <x:f>J1555-K1555</x:f>
        <x:v>-2</x:v>
      </x:c>
      <x:c r="AC1555" s="32" t="n">
        <x:f>F1555-G1555</x:f>
        <x:v>-2</x:v>
      </x:c>
    </x:row>
    <x:row r="1556">
      <x:c r="A1556" s="4" t="str">
        <x:v>2023-24</x:v>
      </x:c>
      <x:c r="B1556" s="20" t="n">
        <x:v>45158</x:v>
      </x:c>
      <x:c r="C1556" s="4" t="str">
        <x:v>Everton</x:v>
      </x:c>
      <x:c r="D1556" s="4" t="str">
        <x:v>Aston Villa</x:v>
      </x:c>
      <x:c r="E1556" s="4" t="str">
        <x:v>Away</x:v>
      </x:c>
      <x:c r="F1556" s="28" t="n">
        <x:v>0</x:v>
      </x:c>
      <x:c r="G1556" s="28" t="n">
        <x:v>4</x:v>
      </x:c>
      <x:c r="H1556" s="28" t="n">
        <x:v>9</x:v>
      </x:c>
      <x:c r="I1556" s="28" t="n">
        <x:v>13</x:v>
      </x:c>
      <x:c r="J1556" s="28" t="n">
        <x:v>2</x:v>
      </x:c>
      <x:c r="K1556" s="28" t="n">
        <x:v>7</x:v>
      </x:c>
      <x:c r="L1556" s="28" t="n">
        <x:v>6</x:v>
      </x:c>
      <x:c r="M1556" s="28" t="n">
        <x:v>7</x:v>
      </x:c>
      <x:c r="N1556" s="28" t="n">
        <x:v>4</x:v>
      </x:c>
      <x:c r="O1556" s="28" t="n">
        <x:v>0</x:v>
      </x:c>
      <x:c r="P1556" s="28" t="n">
        <x:v>0</x:v>
      </x:c>
      <x:c r="Q1556" s="24" t="n">
        <x:f>IFERROR(J1556/H1556,0)</x:f>
        <x:v>0.2222222222222222</x:v>
      </x:c>
      <x:c r="R1556" s="24" t="n">
        <x:f>IFERROR(F1556/H1556,0)</x:f>
        <x:v>0</x:v>
      </x:c>
      <x:c r="S1556" s="24" t="n">
        <x:f>IFERROR(F1556/J1556,0)</x:f>
        <x:v>0</x:v>
      </x:c>
      <x:c r="T1556" s="28" t="n">
        <x:f>H1556-I1556</x:f>
        <x:v>-4</x:v>
      </x:c>
      <x:c r="U1556" s="24" t="n">
        <x:f>IFERROR(J1556/H1556,0)-IFERROR(K1556/I1556,0)</x:f>
        <x:v>-0.3162393162393162</x:v>
      </x:c>
      <x:c r="V1556" s="24" t="n">
        <x:f>IFERROR(F1556/J1556,0)-IFERROR(G1556/K1556,0)</x:f>
        <x:v>-0.5714285714285714</x:v>
      </x:c>
      <x:c r="W1556" s="28" t="n">
        <x:f>L1556-M1556</x:f>
        <x:v>-1</x:v>
      </x:c>
      <x:c r="X1556" s="24" t="n">
        <x:f>IFERROR(K1556/I1556,0)</x:f>
        <x:v>0.5384615384615384</x:v>
      </x:c>
      <x:c r="Y1556" s="24" t="n">
        <x:f>IFERROR(G1556/I1556,0)</x:f>
        <x:v>0.3076923076923077</x:v>
      </x:c>
      <x:c r="Z1556" s="24" t="n">
        <x:f>IFERROR(G1556/K1556,0)</x:f>
        <x:v>0.5714285714285714</x:v>
      </x:c>
      <x:c r="AA1556" s="24" t="n">
        <x:f>IFERROR(F1556/H1556,0)-IFERROR(G1556/I1556,0)</x:f>
        <x:v>-0.3076923076923077</x:v>
      </x:c>
      <x:c r="AB1556" s="28" t="n">
        <x:f>J1556-K1556</x:f>
        <x:v>-5</x:v>
      </x:c>
      <x:c r="AC1556" s="32" t="n">
        <x:f>F1556-G1556</x:f>
        <x:v>-4</x:v>
      </x:c>
    </x:row>
    <x:row r="1557">
      <x:c r="A1557" s="4" t="str">
        <x:v>2023-24</x:v>
      </x:c>
      <x:c r="B1557" s="20" t="n">
        <x:v>45158</x:v>
      </x:c>
      <x:c r="C1557" s="4" t="str">
        <x:v>West Ham</x:v>
      </x:c>
      <x:c r="D1557" s="4" t="str">
        <x:v>Chelsea</x:v>
      </x:c>
      <x:c r="E1557" s="4" t="str">
        <x:v>Home</x:v>
      </x:c>
      <x:c r="F1557" s="28" t="n">
        <x:v>3</x:v>
      </x:c>
      <x:c r="G1557" s="28" t="n">
        <x:v>1</x:v>
      </x:c>
      <x:c r="H1557" s="28" t="n">
        <x:v>12</x:v>
      </x:c>
      <x:c r="I1557" s="28" t="n">
        <x:v>17</x:v>
      </x:c>
      <x:c r="J1557" s="28" t="n">
        <x:v>6</x:v>
      </x:c>
      <x:c r="K1557" s="28" t="n">
        <x:v>4</x:v>
      </x:c>
      <x:c r="L1557" s="28" t="n">
        <x:v>3</x:v>
      </x:c>
      <x:c r="M1557" s="28" t="n">
        <x:v>9</x:v>
      </x:c>
      <x:c r="N1557" s="28" t="n">
        <x:v>2</x:v>
      </x:c>
      <x:c r="O1557" s="28" t="n">
        <x:v>1</x:v>
      </x:c>
      <x:c r="P1557" s="28" t="n">
        <x:v>3</x:v>
      </x:c>
      <x:c r="Q1557" s="24" t="n">
        <x:f>IFERROR(J1557/H1557,0)</x:f>
        <x:v>0.5</x:v>
      </x:c>
      <x:c r="R1557" s="24" t="n">
        <x:f>IFERROR(F1557/H1557,0)</x:f>
        <x:v>0.25</x:v>
      </x:c>
      <x:c r="S1557" s="24" t="n">
        <x:f>IFERROR(F1557/J1557,0)</x:f>
        <x:v>0.5</x:v>
      </x:c>
      <x:c r="T1557" s="28" t="n">
        <x:f>H1557-I1557</x:f>
        <x:v>-5</x:v>
      </x:c>
      <x:c r="U1557" s="24" t="n">
        <x:f>IFERROR(J1557/H1557,0)-IFERROR(K1557/I1557,0)</x:f>
        <x:v>0.2647058823529412</x:v>
      </x:c>
      <x:c r="V1557" s="24" t="n">
        <x:f>IFERROR(F1557/J1557,0)-IFERROR(G1557/K1557,0)</x:f>
        <x:v>0.25</x:v>
      </x:c>
      <x:c r="W1557" s="28" t="n">
        <x:f>L1557-M1557</x:f>
        <x:v>-6</x:v>
      </x:c>
      <x:c r="X1557" s="24" t="n">
        <x:f>IFERROR(K1557/I1557,0)</x:f>
        <x:v>0.23529411764705882</x:v>
      </x:c>
      <x:c r="Y1557" s="24" t="n">
        <x:f>IFERROR(G1557/I1557,0)</x:f>
        <x:v>0.058823529411764705</x:v>
      </x:c>
      <x:c r="Z1557" s="24" t="n">
        <x:f>IFERROR(G1557/K1557,0)</x:f>
        <x:v>0.25</x:v>
      </x:c>
      <x:c r="AA1557" s="24" t="n">
        <x:f>IFERROR(F1557/H1557,0)-IFERROR(G1557/I1557,0)</x:f>
        <x:v>0.19117647058823528</x:v>
      </x:c>
      <x:c r="AB1557" s="28" t="n">
        <x:f>J1557-K1557</x:f>
        <x:v>2</x:v>
      </x:c>
      <x:c r="AC1557" s="32" t="n">
        <x:f>F1557-G1557</x:f>
        <x:v>2</x:v>
      </x:c>
    </x:row>
    <x:row r="1558">
      <x:c r="A1558" s="4" t="str">
        <x:v>2023-24</x:v>
      </x:c>
      <x:c r="B1558" s="20" t="n">
        <x:v>45159</x:v>
      </x:c>
      <x:c r="C1558" s="4" t="str">
        <x:v>Arsenal</x:v>
      </x:c>
      <x:c r="D1558" s="4" t="str">
        <x:v>Crystal Palace</x:v>
      </x:c>
      <x:c r="E1558" s="4" t="str">
        <x:v>Away</x:v>
      </x:c>
      <x:c r="F1558" s="28" t="n">
        <x:v>1</x:v>
      </x:c>
      <x:c r="G1558" s="28" t="n">
        <x:v>0</x:v>
      </x:c>
      <x:c r="H1558" s="28" t="n">
        <x:v>14</x:v>
      </x:c>
      <x:c r="I1558" s="28" t="n">
        <x:v>14</x:v>
      </x:c>
      <x:c r="J1558" s="28" t="n">
        <x:v>3</x:v>
      </x:c>
      <x:c r="K1558" s="28" t="n">
        <x:v>2</x:v>
      </x:c>
      <x:c r="L1558" s="28" t="n">
        <x:v>8</x:v>
      </x:c>
      <x:c r="M1558" s="28" t="n">
        <x:v>1</x:v>
      </x:c>
      <x:c r="N1558" s="28" t="n">
        <x:v>1</x:v>
      </x:c>
      <x:c r="O1558" s="28" t="n">
        <x:v>1</x:v>
      </x:c>
      <x:c r="P1558" s="28" t="n">
        <x:v>3</x:v>
      </x:c>
      <x:c r="Q1558" s="24" t="n">
        <x:f>IFERROR(J1558/H1558,0)</x:f>
        <x:v>0.21428571428571427</x:v>
      </x:c>
      <x:c r="R1558" s="24" t="n">
        <x:f>IFERROR(F1558/H1558,0)</x:f>
        <x:v>0.07142857142857142</x:v>
      </x:c>
      <x:c r="S1558" s="24" t="n">
        <x:f>IFERROR(F1558/J1558,0)</x:f>
        <x:v>0.3333333333333333</x:v>
      </x:c>
      <x:c r="T1558" s="28" t="n">
        <x:f>H1558-I1558</x:f>
        <x:v>0</x:v>
      </x:c>
      <x:c r="U1558" s="24" t="n">
        <x:f>IFERROR(J1558/H1558,0)-IFERROR(K1558/I1558,0)</x:f>
        <x:v>0.07142857142857142</x:v>
      </x:c>
      <x:c r="V1558" s="24" t="n">
        <x:f>IFERROR(F1558/J1558,0)-IFERROR(G1558/K1558,0)</x:f>
        <x:v>0.3333333333333333</x:v>
      </x:c>
      <x:c r="W1558" s="28" t="n">
        <x:f>L1558-M1558</x:f>
        <x:v>7</x:v>
      </x:c>
      <x:c r="X1558" s="24" t="n">
        <x:f>IFERROR(K1558/I1558,0)</x:f>
        <x:v>0.14285714285714285</x:v>
      </x:c>
      <x:c r="Y1558" s="24" t="n">
        <x:f>IFERROR(G1558/I1558,0)</x:f>
        <x:v>0</x:v>
      </x:c>
      <x:c r="Z1558" s="24" t="n">
        <x:f>IFERROR(G1558/K1558,0)</x:f>
        <x:v>0</x:v>
      </x:c>
      <x:c r="AA1558" s="24" t="n">
        <x:f>IFERROR(F1558/H1558,0)-IFERROR(G1558/I1558,0)</x:f>
        <x:v>0.07142857142857142</x:v>
      </x:c>
      <x:c r="AB1558" s="28" t="n">
        <x:f>J1558-K1558</x:f>
        <x:v>1</x:v>
      </x:c>
      <x:c r="AC1558" s="32" t="n">
        <x:f>F1558-G1558</x:f>
        <x:v>1</x:v>
      </x:c>
    </x:row>
    <x:row r="1559">
      <x:c r="A1559" s="4" t="str">
        <x:v>2023-24</x:v>
      </x:c>
      <x:c r="B1559" s="20" t="n">
        <x:v>45159</x:v>
      </x:c>
      <x:c r="C1559" s="4" t="str">
        <x:v>Crystal Palace</x:v>
      </x:c>
      <x:c r="D1559" s="4" t="str">
        <x:v>Arsenal</x:v>
      </x:c>
      <x:c r="E1559" s="4" t="str">
        <x:v>Home</x:v>
      </x:c>
      <x:c r="F1559" s="28" t="n">
        <x:v>0</x:v>
      </x:c>
      <x:c r="G1559" s="28" t="n">
        <x:v>1</x:v>
      </x:c>
      <x:c r="H1559" s="28" t="n">
        <x:v>14</x:v>
      </x:c>
      <x:c r="I1559" s="28" t="n">
        <x:v>14</x:v>
      </x:c>
      <x:c r="J1559" s="28" t="n">
        <x:v>2</x:v>
      </x:c>
      <x:c r="K1559" s="28" t="n">
        <x:v>3</x:v>
      </x:c>
      <x:c r="L1559" s="28" t="n">
        <x:v>1</x:v>
      </x:c>
      <x:c r="M1559" s="28" t="n">
        <x:v>8</x:v>
      </x:c>
      <x:c r="N1559" s="28" t="n">
        <x:v>2</x:v>
      </x:c>
      <x:c r="O1559" s="28" t="n">
        <x:v>0</x:v>
      </x:c>
      <x:c r="P1559" s="28" t="n">
        <x:v>0</x:v>
      </x:c>
      <x:c r="Q1559" s="24" t="n">
        <x:f>IFERROR(J1559/H1559,0)</x:f>
        <x:v>0.14285714285714285</x:v>
      </x:c>
      <x:c r="R1559" s="24" t="n">
        <x:f>IFERROR(F1559/H1559,0)</x:f>
        <x:v>0</x:v>
      </x:c>
      <x:c r="S1559" s="24" t="n">
        <x:f>IFERROR(F1559/J1559,0)</x:f>
        <x:v>0</x:v>
      </x:c>
      <x:c r="T1559" s="28" t="n">
        <x:f>H1559-I1559</x:f>
        <x:v>0</x:v>
      </x:c>
      <x:c r="U1559" s="24" t="n">
        <x:f>IFERROR(J1559/H1559,0)-IFERROR(K1559/I1559,0)</x:f>
        <x:v>-0.07142857142857142</x:v>
      </x:c>
      <x:c r="V1559" s="24" t="n">
        <x:f>IFERROR(F1559/J1559,0)-IFERROR(G1559/K1559,0)</x:f>
        <x:v>-0.3333333333333333</x:v>
      </x:c>
      <x:c r="W1559" s="28" t="n">
        <x:f>L1559-M1559</x:f>
        <x:v>-7</x:v>
      </x:c>
      <x:c r="X1559" s="24" t="n">
        <x:f>IFERROR(K1559/I1559,0)</x:f>
        <x:v>0.21428571428571427</x:v>
      </x:c>
      <x:c r="Y1559" s="24" t="n">
        <x:f>IFERROR(G1559/I1559,0)</x:f>
        <x:v>0.07142857142857142</x:v>
      </x:c>
      <x:c r="Z1559" s="24" t="n">
        <x:f>IFERROR(G1559/K1559,0)</x:f>
        <x:v>0.3333333333333333</x:v>
      </x:c>
      <x:c r="AA1559" s="24" t="n">
        <x:f>IFERROR(F1559/H1559,0)-IFERROR(G1559/I1559,0)</x:f>
        <x:v>-0.07142857142857142</x:v>
      </x:c>
      <x:c r="AB1559" s="28" t="n">
        <x:f>J1559-K1559</x:f>
        <x:v>-1</x:v>
      </x:c>
      <x:c r="AC1559" s="32" t="n">
        <x:f>F1559-G1559</x:f>
        <x:v>-1</x:v>
      </x:c>
    </x:row>
    <x:row r="1560">
      <x:c r="A1560" s="4" t="str">
        <x:v>2023-24</x:v>
      </x:c>
      <x:c r="B1560" s="20" t="n">
        <x:v>45163</x:v>
      </x:c>
      <x:c r="C1560" s="4" t="str">
        <x:v>Chelsea</x:v>
      </x:c>
      <x:c r="D1560" s="4" t="str">
        <x:v>Luton</x:v>
      </x:c>
      <x:c r="E1560" s="4" t="str">
        <x:v>Home</x:v>
      </x:c>
      <x:c r="F1560" s="28" t="n">
        <x:v>3</x:v>
      </x:c>
      <x:c r="G1560" s="28" t="n">
        <x:v>0</x:v>
      </x:c>
      <x:c r="H1560" s="28" t="n">
        <x:v>19</x:v>
      </x:c>
      <x:c r="I1560" s="28" t="n">
        <x:v>11</x:v>
      </x:c>
      <x:c r="J1560" s="28" t="n">
        <x:v>8</x:v>
      </x:c>
      <x:c r="K1560" s="28" t="n">
        <x:v>1</x:v>
      </x:c>
      <x:c r="L1560" s="28" t="n">
        <x:v>6</x:v>
      </x:c>
      <x:c r="M1560" s="28" t="n">
        <x:v>4</x:v>
      </x:c>
      <x:c r="N1560" s="28" t="n">
        <x:v>2</x:v>
      </x:c>
      <x:c r="O1560" s="28" t="n">
        <x:v>0</x:v>
      </x:c>
      <x:c r="P1560" s="28" t="n">
        <x:v>3</x:v>
      </x:c>
      <x:c r="Q1560" s="24" t="n">
        <x:f>IFERROR(J1560/H1560,0)</x:f>
        <x:v>0.42105263157894735</x:v>
      </x:c>
      <x:c r="R1560" s="24" t="n">
        <x:f>IFERROR(F1560/H1560,0)</x:f>
        <x:v>0.15789473684210525</x:v>
      </x:c>
      <x:c r="S1560" s="24" t="n">
        <x:f>IFERROR(F1560/J1560,0)</x:f>
        <x:v>0.375</x:v>
      </x:c>
      <x:c r="T1560" s="28" t="n">
        <x:f>H1560-I1560</x:f>
        <x:v>8</x:v>
      </x:c>
      <x:c r="U1560" s="24" t="n">
        <x:f>IFERROR(J1560/H1560,0)-IFERROR(K1560/I1560,0)</x:f>
        <x:v>0.3301435406698564</x:v>
      </x:c>
      <x:c r="V1560" s="24" t="n">
        <x:f>IFERROR(F1560/J1560,0)-IFERROR(G1560/K1560,0)</x:f>
        <x:v>0.375</x:v>
      </x:c>
      <x:c r="W1560" s="28" t="n">
        <x:f>L1560-M1560</x:f>
        <x:v>2</x:v>
      </x:c>
      <x:c r="X1560" s="24" t="n">
        <x:f>IFERROR(K1560/I1560,0)</x:f>
        <x:v>0.09090909090909091</x:v>
      </x:c>
      <x:c r="Y1560" s="24" t="n">
        <x:f>IFERROR(G1560/I1560,0)</x:f>
        <x:v>0</x:v>
      </x:c>
      <x:c r="Z1560" s="24" t="n">
        <x:f>IFERROR(G1560/K1560,0)</x:f>
        <x:v>0</x:v>
      </x:c>
      <x:c r="AA1560" s="24" t="n">
        <x:f>IFERROR(F1560/H1560,0)-IFERROR(G1560/I1560,0)</x:f>
        <x:v>0.15789473684210525</x:v>
      </x:c>
      <x:c r="AB1560" s="28" t="n">
        <x:f>J1560-K1560</x:f>
        <x:v>7</x:v>
      </x:c>
      <x:c r="AC1560" s="32" t="n">
        <x:f>F1560-G1560</x:f>
        <x:v>3</x:v>
      </x:c>
    </x:row>
    <x:row r="1561">
      <x:c r="A1561" s="4" t="str">
        <x:v>2023-24</x:v>
      </x:c>
      <x:c r="B1561" s="20" t="n">
        <x:v>45163</x:v>
      </x:c>
      <x:c r="C1561" s="4" t="str">
        <x:v>Luton</x:v>
      </x:c>
      <x:c r="D1561" s="4" t="str">
        <x:v>Chelsea</x:v>
      </x:c>
      <x:c r="E1561" s="4" t="str">
        <x:v>Away</x:v>
      </x:c>
      <x:c r="F1561" s="28" t="n">
        <x:v>0</x:v>
      </x:c>
      <x:c r="G1561" s="28" t="n">
        <x:v>3</x:v>
      </x:c>
      <x:c r="H1561" s="28" t="n">
        <x:v>11</x:v>
      </x:c>
      <x:c r="I1561" s="28" t="n">
        <x:v>19</x:v>
      </x:c>
      <x:c r="J1561" s="28" t="n">
        <x:v>1</x:v>
      </x:c>
      <x:c r="K1561" s="28" t="n">
        <x:v>8</x:v>
      </x:c>
      <x:c r="L1561" s="28" t="n">
        <x:v>4</x:v>
      </x:c>
      <x:c r="M1561" s="28" t="n">
        <x:v>6</x:v>
      </x:c>
      <x:c r="N1561" s="28" t="n">
        <x:v>3</x:v>
      </x:c>
      <x:c r="O1561" s="28" t="n">
        <x:v>0</x:v>
      </x:c>
      <x:c r="P1561" s="28" t="n">
        <x:v>0</x:v>
      </x:c>
      <x:c r="Q1561" s="24" t="n">
        <x:f>IFERROR(J1561/H1561,0)</x:f>
        <x:v>0.09090909090909091</x:v>
      </x:c>
      <x:c r="R1561" s="24" t="n">
        <x:f>IFERROR(F1561/H1561,0)</x:f>
        <x:v>0</x:v>
      </x:c>
      <x:c r="S1561" s="24" t="n">
        <x:f>IFERROR(F1561/J1561,0)</x:f>
        <x:v>0</x:v>
      </x:c>
      <x:c r="T1561" s="28" t="n">
        <x:f>H1561-I1561</x:f>
        <x:v>-8</x:v>
      </x:c>
      <x:c r="U1561" s="24" t="n">
        <x:f>IFERROR(J1561/H1561,0)-IFERROR(K1561/I1561,0)</x:f>
        <x:v>-0.3301435406698564</x:v>
      </x:c>
      <x:c r="V1561" s="24" t="n">
        <x:f>IFERROR(F1561/J1561,0)-IFERROR(G1561/K1561,0)</x:f>
        <x:v>-0.375</x:v>
      </x:c>
      <x:c r="W1561" s="28" t="n">
        <x:f>L1561-M1561</x:f>
        <x:v>-2</x:v>
      </x:c>
      <x:c r="X1561" s="24" t="n">
        <x:f>IFERROR(K1561/I1561,0)</x:f>
        <x:v>0.42105263157894735</x:v>
      </x:c>
      <x:c r="Y1561" s="24" t="n">
        <x:f>IFERROR(G1561/I1561,0)</x:f>
        <x:v>0.15789473684210525</x:v>
      </x:c>
      <x:c r="Z1561" s="24" t="n">
        <x:f>IFERROR(G1561/K1561,0)</x:f>
        <x:v>0.375</x:v>
      </x:c>
      <x:c r="AA1561" s="24" t="n">
        <x:f>IFERROR(F1561/H1561,0)-IFERROR(G1561/I1561,0)</x:f>
        <x:v>-0.15789473684210525</x:v>
      </x:c>
      <x:c r="AB1561" s="28" t="n">
        <x:f>J1561-K1561</x:f>
        <x:v>-7</x:v>
      </x:c>
      <x:c r="AC1561" s="32" t="n">
        <x:f>F1561-G1561</x:f>
        <x:v>-3</x:v>
      </x:c>
    </x:row>
    <x:row r="1562">
      <x:c r="A1562" s="4" t="str">
        <x:v>2023-24</x:v>
      </x:c>
      <x:c r="B1562" s="20" t="n">
        <x:v>45164</x:v>
      </x:c>
      <x:c r="C1562" s="4" t="str">
        <x:v>Arsenal</x:v>
      </x:c>
      <x:c r="D1562" s="4" t="str">
        <x:v>Fulham</x:v>
      </x:c>
      <x:c r="E1562" s="4" t="str">
        <x:v>Home</x:v>
      </x:c>
      <x:c r="F1562" s="28" t="n">
        <x:v>2</x:v>
      </x:c>
      <x:c r="G1562" s="28" t="n">
        <x:v>2</x:v>
      </x:c>
      <x:c r="H1562" s="28" t="n">
        <x:v>19</x:v>
      </x:c>
      <x:c r="I1562" s="28" t="n">
        <x:v>8</x:v>
      </x:c>
      <x:c r="J1562" s="28" t="n">
        <x:v>11</x:v>
      </x:c>
      <x:c r="K1562" s="28" t="n">
        <x:v>3</x:v>
      </x:c>
      <x:c r="L1562" s="28" t="n">
        <x:v>8</x:v>
      </x:c>
      <x:c r="M1562" s="28" t="n">
        <x:v>3</x:v>
      </x:c>
      <x:c r="N1562" s="28" t="n">
        <x:v>0</x:v>
      </x:c>
      <x:c r="O1562" s="28" t="n">
        <x:v>0</x:v>
      </x:c>
      <x:c r="P1562" s="28" t="n">
        <x:v>1</x:v>
      </x:c>
      <x:c r="Q1562" s="24" t="n">
        <x:f>IFERROR(J1562/H1562,0)</x:f>
        <x:v>0.5789473684210527</x:v>
      </x:c>
      <x:c r="R1562" s="24" t="n">
        <x:f>IFERROR(F1562/H1562,0)</x:f>
        <x:v>0.10526315789473684</x:v>
      </x:c>
      <x:c r="S1562" s="24" t="n">
        <x:f>IFERROR(F1562/J1562,0)</x:f>
        <x:v>0.18181818181818182</x:v>
      </x:c>
      <x:c r="T1562" s="28" t="n">
        <x:f>H1562-I1562</x:f>
        <x:v>11</x:v>
      </x:c>
      <x:c r="U1562" s="24" t="n">
        <x:f>IFERROR(J1562/H1562,0)-IFERROR(K1562/I1562,0)</x:f>
        <x:v>0.20394736842105265</x:v>
      </x:c>
      <x:c r="V1562" s="24" t="n">
        <x:f>IFERROR(F1562/J1562,0)-IFERROR(G1562/K1562,0)</x:f>
        <x:v>-0.4848484848484848</x:v>
      </x:c>
      <x:c r="W1562" s="28" t="n">
        <x:f>L1562-M1562</x:f>
        <x:v>5</x:v>
      </x:c>
      <x:c r="X1562" s="24" t="n">
        <x:f>IFERROR(K1562/I1562,0)</x:f>
        <x:v>0.375</x:v>
      </x:c>
      <x:c r="Y1562" s="24" t="n">
        <x:f>IFERROR(G1562/I1562,0)</x:f>
        <x:v>0.25</x:v>
      </x:c>
      <x:c r="Z1562" s="24" t="n">
        <x:f>IFERROR(G1562/K1562,0)</x:f>
        <x:v>0.6666666666666666</x:v>
      </x:c>
      <x:c r="AA1562" s="24" t="n">
        <x:f>IFERROR(F1562/H1562,0)-IFERROR(G1562/I1562,0)</x:f>
        <x:v>-0.14473684210526316</x:v>
      </x:c>
      <x:c r="AB1562" s="28" t="n">
        <x:f>J1562-K1562</x:f>
        <x:v>8</x:v>
      </x:c>
      <x:c r="AC1562" s="32" t="n">
        <x:f>F1562-G1562</x:f>
        <x:v>0</x:v>
      </x:c>
    </x:row>
    <x:row r="1563">
      <x:c r="A1563" s="4" t="str">
        <x:v>2023-24</x:v>
      </x:c>
      <x:c r="B1563" s="20" t="n">
        <x:v>45164</x:v>
      </x:c>
      <x:c r="C1563" s="4" t="str">
        <x:v>Bournemouth</x:v>
      </x:c>
      <x:c r="D1563" s="4" t="str">
        <x:v>Tottenham</x:v>
      </x:c>
      <x:c r="E1563" s="4" t="str">
        <x:v>Home</x:v>
      </x:c>
      <x:c r="F1563" s="28" t="n">
        <x:v>0</x:v>
      </x:c>
      <x:c r="G1563" s="28" t="n">
        <x:v>2</x:v>
      </x:c>
      <x:c r="H1563" s="28" t="n">
        <x:v>11</x:v>
      </x:c>
      <x:c r="I1563" s="28" t="n">
        <x:v>17</x:v>
      </x:c>
      <x:c r="J1563" s="28" t="n">
        <x:v>3</x:v>
      </x:c>
      <x:c r="K1563" s="28" t="n">
        <x:v>6</x:v>
      </x:c>
      <x:c r="L1563" s="28" t="n">
        <x:v>6</x:v>
      </x:c>
      <x:c r="M1563" s="28" t="n">
        <x:v>2</x:v>
      </x:c>
      <x:c r="N1563" s="28" t="n">
        <x:v>1</x:v>
      </x:c>
      <x:c r="O1563" s="28" t="n">
        <x:v>0</x:v>
      </x:c>
      <x:c r="P1563" s="28" t="n">
        <x:v>0</x:v>
      </x:c>
      <x:c r="Q1563" s="24" t="n">
        <x:f>IFERROR(J1563/H1563,0)</x:f>
        <x:v>0.2727272727272727</x:v>
      </x:c>
      <x:c r="R1563" s="24" t="n">
        <x:f>IFERROR(F1563/H1563,0)</x:f>
        <x:v>0</x:v>
      </x:c>
      <x:c r="S1563" s="24" t="n">
        <x:f>IFERROR(F1563/J1563,0)</x:f>
        <x:v>0</x:v>
      </x:c>
      <x:c r="T1563" s="28" t="n">
        <x:f>H1563-I1563</x:f>
        <x:v>-6</x:v>
      </x:c>
      <x:c r="U1563" s="24" t="n">
        <x:f>IFERROR(J1563/H1563,0)-IFERROR(K1563/I1563,0)</x:f>
        <x:v>-0.08021390374331555</x:v>
      </x:c>
      <x:c r="V1563" s="24" t="n">
        <x:f>IFERROR(F1563/J1563,0)-IFERROR(G1563/K1563,0)</x:f>
        <x:v>-0.3333333333333333</x:v>
      </x:c>
      <x:c r="W1563" s="28" t="n">
        <x:f>L1563-M1563</x:f>
        <x:v>4</x:v>
      </x:c>
      <x:c r="X1563" s="24" t="n">
        <x:f>IFERROR(K1563/I1563,0)</x:f>
        <x:v>0.35294117647058826</x:v>
      </x:c>
      <x:c r="Y1563" s="24" t="n">
        <x:f>IFERROR(G1563/I1563,0)</x:f>
        <x:v>0.11764705882352941</x:v>
      </x:c>
      <x:c r="Z1563" s="24" t="n">
        <x:f>IFERROR(G1563/K1563,0)</x:f>
        <x:v>0.3333333333333333</x:v>
      </x:c>
      <x:c r="AA1563" s="24" t="n">
        <x:f>IFERROR(F1563/H1563,0)-IFERROR(G1563/I1563,0)</x:f>
        <x:v>-0.11764705882352941</x:v>
      </x:c>
      <x:c r="AB1563" s="28" t="n">
        <x:f>J1563-K1563</x:f>
        <x:v>-3</x:v>
      </x:c>
      <x:c r="AC1563" s="32" t="n">
        <x:f>F1563-G1563</x:f>
        <x:v>-2</x:v>
      </x:c>
    </x:row>
    <x:row r="1564">
      <x:c r="A1564" s="4" t="str">
        <x:v>2023-24</x:v>
      </x:c>
      <x:c r="B1564" s="20" t="n">
        <x:v>45164</x:v>
      </x:c>
      <x:c r="C1564" s="4" t="str">
        <x:v>Brentford</x:v>
      </x:c>
      <x:c r="D1564" s="4" t="str">
        <x:v>Crystal Palace</x:v>
      </x:c>
      <x:c r="E1564" s="4" t="str">
        <x:v>Home</x:v>
      </x:c>
      <x:c r="F1564" s="28" t="n">
        <x:v>1</x:v>
      </x:c>
      <x:c r="G1564" s="28" t="n">
        <x:v>1</x:v>
      </x:c>
      <x:c r="H1564" s="28" t="n">
        <x:v>12</x:v>
      </x:c>
      <x:c r="I1564" s="28" t="n">
        <x:v>15</x:v>
      </x:c>
      <x:c r="J1564" s="28" t="n">
        <x:v>1</x:v>
      </x:c>
      <x:c r="K1564" s="28" t="n">
        <x:v>5</x:v>
      </x:c>
      <x:c r="L1564" s="28" t="n">
        <x:v>8</x:v>
      </x:c>
      <x:c r="M1564" s="28" t="n">
        <x:v>6</x:v>
      </x:c>
      <x:c r="N1564" s="28" t="n">
        <x:v>0</x:v>
      </x:c>
      <x:c r="O1564" s="28" t="n">
        <x:v>0</x:v>
      </x:c>
      <x:c r="P1564" s="28" t="n">
        <x:v>1</x:v>
      </x:c>
      <x:c r="Q1564" s="24" t="n">
        <x:f>IFERROR(J1564/H1564,0)</x:f>
        <x:v>0.08333333333333333</x:v>
      </x:c>
      <x:c r="R1564" s="24" t="n">
        <x:f>IFERROR(F1564/H1564,0)</x:f>
        <x:v>0.08333333333333333</x:v>
      </x:c>
      <x:c r="S1564" s="24" t="n">
        <x:f>IFERROR(F1564/J1564,0)</x:f>
        <x:v>1</x:v>
      </x:c>
      <x:c r="T1564" s="28" t="n">
        <x:f>H1564-I1564</x:f>
        <x:v>-3</x:v>
      </x:c>
      <x:c r="U1564" s="24" t="n">
        <x:f>IFERROR(J1564/H1564,0)-IFERROR(K1564/I1564,0)</x:f>
        <x:v>-0.25</x:v>
      </x:c>
      <x:c r="V1564" s="24" t="n">
        <x:f>IFERROR(F1564/J1564,0)-IFERROR(G1564/K1564,0)</x:f>
        <x:v>0.8</x:v>
      </x:c>
      <x:c r="W1564" s="28" t="n">
        <x:f>L1564-M1564</x:f>
        <x:v>2</x:v>
      </x:c>
      <x:c r="X1564" s="24" t="n">
        <x:f>IFERROR(K1564/I1564,0)</x:f>
        <x:v>0.3333333333333333</x:v>
      </x:c>
      <x:c r="Y1564" s="24" t="n">
        <x:f>IFERROR(G1564/I1564,0)</x:f>
        <x:v>0.06666666666666667</x:v>
      </x:c>
      <x:c r="Z1564" s="24" t="n">
        <x:f>IFERROR(G1564/K1564,0)</x:f>
        <x:v>0.2</x:v>
      </x:c>
      <x:c r="AA1564" s="24" t="n">
        <x:f>IFERROR(F1564/H1564,0)-IFERROR(G1564/I1564,0)</x:f>
        <x:v>0.016666666666666663</x:v>
      </x:c>
      <x:c r="AB1564" s="28" t="n">
        <x:f>J1564-K1564</x:f>
        <x:v>-4</x:v>
      </x:c>
      <x:c r="AC1564" s="32" t="n">
        <x:f>F1564-G1564</x:f>
        <x:v>0</x:v>
      </x:c>
    </x:row>
    <x:row r="1565">
      <x:c r="A1565" s="4" t="str">
        <x:v>2023-24</x:v>
      </x:c>
      <x:c r="B1565" s="20" t="n">
        <x:v>45164</x:v>
      </x:c>
      <x:c r="C1565" s="4" t="str">
        <x:v>Brighton</x:v>
      </x:c>
      <x:c r="D1565" s="4" t="str">
        <x:v>West Ham</x:v>
      </x:c>
      <x:c r="E1565" s="4" t="str">
        <x:v>Home</x:v>
      </x:c>
      <x:c r="F1565" s="28" t="n">
        <x:v>1</x:v>
      </x:c>
      <x:c r="G1565" s="28" t="n">
        <x:v>3</x:v>
      </x:c>
      <x:c r="H1565" s="28" t="n">
        <x:v>25</x:v>
      </x:c>
      <x:c r="I1565" s="28" t="n">
        <x:v>12</x:v>
      </x:c>
      <x:c r="J1565" s="28" t="n">
        <x:v>10</x:v>
      </x:c>
      <x:c r="K1565" s="28" t="n">
        <x:v>3</x:v>
      </x:c>
      <x:c r="L1565" s="28" t="n">
        <x:v>17</x:v>
      </x:c>
      <x:c r="M1565" s="28" t="n">
        <x:v>4</x:v>
      </x:c>
      <x:c r="N1565" s="28" t="n">
        <x:v>1</x:v>
      </x:c>
      <x:c r="O1565" s="28" t="n">
        <x:v>0</x:v>
      </x:c>
      <x:c r="P1565" s="28" t="n">
        <x:v>0</x:v>
      </x:c>
      <x:c r="Q1565" s="24" t="n">
        <x:f>IFERROR(J1565/H1565,0)</x:f>
        <x:v>0.4</x:v>
      </x:c>
      <x:c r="R1565" s="24" t="n">
        <x:f>IFERROR(F1565/H1565,0)</x:f>
        <x:v>0.04</x:v>
      </x:c>
      <x:c r="S1565" s="24" t="n">
        <x:f>IFERROR(F1565/J1565,0)</x:f>
        <x:v>0.1</x:v>
      </x:c>
      <x:c r="T1565" s="28" t="n">
        <x:f>H1565-I1565</x:f>
        <x:v>13</x:v>
      </x:c>
      <x:c r="U1565" s="24" t="n">
        <x:f>IFERROR(J1565/H1565,0)-IFERROR(K1565/I1565,0)</x:f>
        <x:v>0.15000000000000002</x:v>
      </x:c>
      <x:c r="V1565" s="24" t="n">
        <x:f>IFERROR(F1565/J1565,0)-IFERROR(G1565/K1565,0)</x:f>
        <x:v>-0.9</x:v>
      </x:c>
      <x:c r="W1565" s="28" t="n">
        <x:f>L1565-M1565</x:f>
        <x:v>13</x:v>
      </x:c>
      <x:c r="X1565" s="24" t="n">
        <x:f>IFERROR(K1565/I1565,0)</x:f>
        <x:v>0.25</x:v>
      </x:c>
      <x:c r="Y1565" s="24" t="n">
        <x:f>IFERROR(G1565/I1565,0)</x:f>
        <x:v>0.25</x:v>
      </x:c>
      <x:c r="Z1565" s="24" t="n">
        <x:f>IFERROR(G1565/K1565,0)</x:f>
        <x:v>1</x:v>
      </x:c>
      <x:c r="AA1565" s="24" t="n">
        <x:f>IFERROR(F1565/H1565,0)-IFERROR(G1565/I1565,0)</x:f>
        <x:v>-0.21</x:v>
      </x:c>
      <x:c r="AB1565" s="28" t="n">
        <x:f>J1565-K1565</x:f>
        <x:v>7</x:v>
      </x:c>
      <x:c r="AC1565" s="32" t="n">
        <x:f>F1565-G1565</x:f>
        <x:v>-2</x:v>
      </x:c>
    </x:row>
    <x:row r="1566">
      <x:c r="A1566" s="4" t="str">
        <x:v>2023-24</x:v>
      </x:c>
      <x:c r="B1566" s="20" t="n">
        <x:v>45164</x:v>
      </x:c>
      <x:c r="C1566" s="4" t="str">
        <x:v>Crystal Palace</x:v>
      </x:c>
      <x:c r="D1566" s="4" t="str">
        <x:v>Brentford</x:v>
      </x:c>
      <x:c r="E1566" s="4" t="str">
        <x:v>Away</x:v>
      </x:c>
      <x:c r="F1566" s="28" t="n">
        <x:v>1</x:v>
      </x:c>
      <x:c r="G1566" s="28" t="n">
        <x:v>1</x:v>
      </x:c>
      <x:c r="H1566" s="28" t="n">
        <x:v>15</x:v>
      </x:c>
      <x:c r="I1566" s="28" t="n">
        <x:v>12</x:v>
      </x:c>
      <x:c r="J1566" s="28" t="n">
        <x:v>5</x:v>
      </x:c>
      <x:c r="K1566" s="28" t="n">
        <x:v>1</x:v>
      </x:c>
      <x:c r="L1566" s="28" t="n">
        <x:v>6</x:v>
      </x:c>
      <x:c r="M1566" s="28" t="n">
        <x:v>8</x:v>
      </x:c>
      <x:c r="N1566" s="28" t="n">
        <x:v>0</x:v>
      </x:c>
      <x:c r="O1566" s="28" t="n">
        <x:v>0</x:v>
      </x:c>
      <x:c r="P1566" s="28" t="n">
        <x:v>1</x:v>
      </x:c>
      <x:c r="Q1566" s="24" t="n">
        <x:f>IFERROR(J1566/H1566,0)</x:f>
        <x:v>0.3333333333333333</x:v>
      </x:c>
      <x:c r="R1566" s="24" t="n">
        <x:f>IFERROR(F1566/H1566,0)</x:f>
        <x:v>0.06666666666666667</x:v>
      </x:c>
      <x:c r="S1566" s="24" t="n">
        <x:f>IFERROR(F1566/J1566,0)</x:f>
        <x:v>0.2</x:v>
      </x:c>
      <x:c r="T1566" s="28" t="n">
        <x:f>H1566-I1566</x:f>
        <x:v>3</x:v>
      </x:c>
      <x:c r="U1566" s="24" t="n">
        <x:f>IFERROR(J1566/H1566,0)-IFERROR(K1566/I1566,0)</x:f>
        <x:v>0.25</x:v>
      </x:c>
      <x:c r="V1566" s="24" t="n">
        <x:f>IFERROR(F1566/J1566,0)-IFERROR(G1566/K1566,0)</x:f>
        <x:v>-0.8</x:v>
      </x:c>
      <x:c r="W1566" s="28" t="n">
        <x:f>L1566-M1566</x:f>
        <x:v>-2</x:v>
      </x:c>
      <x:c r="X1566" s="24" t="n">
        <x:f>IFERROR(K1566/I1566,0)</x:f>
        <x:v>0.08333333333333333</x:v>
      </x:c>
      <x:c r="Y1566" s="24" t="n">
        <x:f>IFERROR(G1566/I1566,0)</x:f>
        <x:v>0.08333333333333333</x:v>
      </x:c>
      <x:c r="Z1566" s="24" t="n">
        <x:f>IFERROR(G1566/K1566,0)</x:f>
        <x:v>1</x:v>
      </x:c>
      <x:c r="AA1566" s="24" t="n">
        <x:f>IFERROR(F1566/H1566,0)-IFERROR(G1566/I1566,0)</x:f>
        <x:v>-0.016666666666666663</x:v>
      </x:c>
      <x:c r="AB1566" s="28" t="n">
        <x:f>J1566-K1566</x:f>
        <x:v>4</x:v>
      </x:c>
      <x:c r="AC1566" s="32" t="n">
        <x:f>F1566-G1566</x:f>
        <x:v>0</x:v>
      </x:c>
    </x:row>
    <x:row r="1567">
      <x:c r="A1567" s="4" t="str">
        <x:v>2023-24</x:v>
      </x:c>
      <x:c r="B1567" s="20" t="n">
        <x:v>45164</x:v>
      </x:c>
      <x:c r="C1567" s="4" t="str">
        <x:v>Everton</x:v>
      </x:c>
      <x:c r="D1567" s="4" t="str">
        <x:v>Wolves</x:v>
      </x:c>
      <x:c r="E1567" s="4" t="str">
        <x:v>Home</x:v>
      </x:c>
      <x:c r="F1567" s="28" t="n">
        <x:v>0</x:v>
      </x:c>
      <x:c r="G1567" s="28" t="n">
        <x:v>1</x:v>
      </x:c>
      <x:c r="H1567" s="28" t="n">
        <x:v>15</x:v>
      </x:c>
      <x:c r="I1567" s="28" t="n">
        <x:v>11</x:v>
      </x:c>
      <x:c r="J1567" s="28" t="n">
        <x:v>7</x:v>
      </x:c>
      <x:c r="K1567" s="28" t="n">
        <x:v>2</x:v>
      </x:c>
      <x:c r="L1567" s="28" t="n">
        <x:v>7</x:v>
      </x:c>
      <x:c r="M1567" s="28" t="n">
        <x:v>0</x:v>
      </x:c>
      <x:c r="N1567" s="28" t="n">
        <x:v>3</x:v>
      </x:c>
      <x:c r="O1567" s="28" t="n">
        <x:v>0</x:v>
      </x:c>
      <x:c r="P1567" s="28" t="n">
        <x:v>0</x:v>
      </x:c>
      <x:c r="Q1567" s="24" t="n">
        <x:f>IFERROR(J1567/H1567,0)</x:f>
        <x:v>0.4666666666666667</x:v>
      </x:c>
      <x:c r="R1567" s="24" t="n">
        <x:f>IFERROR(F1567/H1567,0)</x:f>
        <x:v>0</x:v>
      </x:c>
      <x:c r="S1567" s="24" t="n">
        <x:f>IFERROR(F1567/J1567,0)</x:f>
        <x:v>0</x:v>
      </x:c>
      <x:c r="T1567" s="28" t="n">
        <x:f>H1567-I1567</x:f>
        <x:v>4</x:v>
      </x:c>
      <x:c r="U1567" s="24" t="n">
        <x:f>IFERROR(J1567/H1567,0)-IFERROR(K1567/I1567,0)</x:f>
        <x:v>0.28484848484848485</x:v>
      </x:c>
      <x:c r="V1567" s="24" t="n">
        <x:f>IFERROR(F1567/J1567,0)-IFERROR(G1567/K1567,0)</x:f>
        <x:v>-0.5</x:v>
      </x:c>
      <x:c r="W1567" s="28" t="n">
        <x:f>L1567-M1567</x:f>
        <x:v>7</x:v>
      </x:c>
      <x:c r="X1567" s="24" t="n">
        <x:f>IFERROR(K1567/I1567,0)</x:f>
        <x:v>0.18181818181818182</x:v>
      </x:c>
      <x:c r="Y1567" s="24" t="n">
        <x:f>IFERROR(G1567/I1567,0)</x:f>
        <x:v>0.09090909090909091</x:v>
      </x:c>
      <x:c r="Z1567" s="24" t="n">
        <x:f>IFERROR(G1567/K1567,0)</x:f>
        <x:v>0.5</x:v>
      </x:c>
      <x:c r="AA1567" s="24" t="n">
        <x:f>IFERROR(F1567/H1567,0)-IFERROR(G1567/I1567,0)</x:f>
        <x:v>-0.09090909090909091</x:v>
      </x:c>
      <x:c r="AB1567" s="28" t="n">
        <x:f>J1567-K1567</x:f>
        <x:v>5</x:v>
      </x:c>
      <x:c r="AC1567" s="32" t="n">
        <x:f>F1567-G1567</x:f>
        <x:v>-1</x:v>
      </x:c>
    </x:row>
    <x:row r="1568">
      <x:c r="A1568" s="4" t="str">
        <x:v>2023-24</x:v>
      </x:c>
      <x:c r="B1568" s="20" t="n">
        <x:v>45164</x:v>
      </x:c>
      <x:c r="C1568" s="4" t="str">
        <x:v>Fulham</x:v>
      </x:c>
      <x:c r="D1568" s="4" t="str">
        <x:v>Arsenal</x:v>
      </x:c>
      <x:c r="E1568" s="4" t="str">
        <x:v>Away</x:v>
      </x:c>
      <x:c r="F1568" s="28" t="n">
        <x:v>2</x:v>
      </x:c>
      <x:c r="G1568" s="28" t="n">
        <x:v>2</x:v>
      </x:c>
      <x:c r="H1568" s="28" t="n">
        <x:v>8</x:v>
      </x:c>
      <x:c r="I1568" s="28" t="n">
        <x:v>19</x:v>
      </x:c>
      <x:c r="J1568" s="28" t="n">
        <x:v>3</x:v>
      </x:c>
      <x:c r="K1568" s="28" t="n">
        <x:v>11</x:v>
      </x:c>
      <x:c r="L1568" s="28" t="n">
        <x:v>3</x:v>
      </x:c>
      <x:c r="M1568" s="28" t="n">
        <x:v>8</x:v>
      </x:c>
      <x:c r="N1568" s="28" t="n">
        <x:v>3</x:v>
      </x:c>
      <x:c r="O1568" s="28" t="n">
        <x:v>1</x:v>
      </x:c>
      <x:c r="P1568" s="28" t="n">
        <x:v>1</x:v>
      </x:c>
      <x:c r="Q1568" s="24" t="n">
        <x:f>IFERROR(J1568/H1568,0)</x:f>
        <x:v>0.375</x:v>
      </x:c>
      <x:c r="R1568" s="24" t="n">
        <x:f>IFERROR(F1568/H1568,0)</x:f>
        <x:v>0.25</x:v>
      </x:c>
      <x:c r="S1568" s="24" t="n">
        <x:f>IFERROR(F1568/J1568,0)</x:f>
        <x:v>0.6666666666666666</x:v>
      </x:c>
      <x:c r="T1568" s="28" t="n">
        <x:f>H1568-I1568</x:f>
        <x:v>-11</x:v>
      </x:c>
      <x:c r="U1568" s="24" t="n">
        <x:f>IFERROR(J1568/H1568,0)-IFERROR(K1568/I1568,0)</x:f>
        <x:v>-0.20394736842105265</x:v>
      </x:c>
      <x:c r="V1568" s="24" t="n">
        <x:f>IFERROR(F1568/J1568,0)-IFERROR(G1568/K1568,0)</x:f>
        <x:v>0.4848484848484848</x:v>
      </x:c>
      <x:c r="W1568" s="28" t="n">
        <x:f>L1568-M1568</x:f>
        <x:v>-5</x:v>
      </x:c>
      <x:c r="X1568" s="24" t="n">
        <x:f>IFERROR(K1568/I1568,0)</x:f>
        <x:v>0.5789473684210527</x:v>
      </x:c>
      <x:c r="Y1568" s="24" t="n">
        <x:f>IFERROR(G1568/I1568,0)</x:f>
        <x:v>0.10526315789473684</x:v>
      </x:c>
      <x:c r="Z1568" s="24" t="n">
        <x:f>IFERROR(G1568/K1568,0)</x:f>
        <x:v>0.18181818181818182</x:v>
      </x:c>
      <x:c r="AA1568" s="24" t="n">
        <x:f>IFERROR(F1568/H1568,0)-IFERROR(G1568/I1568,0)</x:f>
        <x:v>0.14473684210526316</x:v>
      </x:c>
      <x:c r="AB1568" s="28" t="n">
        <x:f>J1568-K1568</x:f>
        <x:v>-8</x:v>
      </x:c>
      <x:c r="AC1568" s="32" t="n">
        <x:f>F1568-G1568</x:f>
        <x:v>0</x:v>
      </x:c>
    </x:row>
    <x:row r="1569">
      <x:c r="A1569" s="4" t="str">
        <x:v>2023-24</x:v>
      </x:c>
      <x:c r="B1569" s="20" t="n">
        <x:v>45164</x:v>
      </x:c>
      <x:c r="C1569" s="4" t="str">
        <x:v>Man United</x:v>
      </x:c>
      <x:c r="D1569" s="4" t="str">
        <x:v>Nott'm Forest</x:v>
      </x:c>
      <x:c r="E1569" s="4" t="str">
        <x:v>Home</x:v>
      </x:c>
      <x:c r="F1569" s="28" t="n">
        <x:v>3</x:v>
      </x:c>
      <x:c r="G1569" s="28" t="n">
        <x:v>2</x:v>
      </x:c>
      <x:c r="H1569" s="28" t="n">
        <x:v>18</x:v>
      </x:c>
      <x:c r="I1569" s="28" t="n">
        <x:v>9</x:v>
      </x:c>
      <x:c r="J1569" s="28" t="n">
        <x:v>9</x:v>
      </x:c>
      <x:c r="K1569" s="28" t="n">
        <x:v>4</x:v>
      </x:c>
      <x:c r="L1569" s="28" t="n">
        <x:v>11</x:v>
      </x:c>
      <x:c r="M1569" s="28" t="n">
        <x:v>3</x:v>
      </x:c>
      <x:c r="N1569" s="28" t="n">
        <x:v>4</x:v>
      </x:c>
      <x:c r="O1569" s="28" t="n">
        <x:v>0</x:v>
      </x:c>
      <x:c r="P1569" s="28" t="n">
        <x:v>3</x:v>
      </x:c>
      <x:c r="Q1569" s="24" t="n">
        <x:f>IFERROR(J1569/H1569,0)</x:f>
        <x:v>0.5</x:v>
      </x:c>
      <x:c r="R1569" s="24" t="n">
        <x:f>IFERROR(F1569/H1569,0)</x:f>
        <x:v>0.16666666666666666</x:v>
      </x:c>
      <x:c r="S1569" s="24" t="n">
        <x:f>IFERROR(F1569/J1569,0)</x:f>
        <x:v>0.3333333333333333</x:v>
      </x:c>
      <x:c r="T1569" s="28" t="n">
        <x:f>H1569-I1569</x:f>
        <x:v>9</x:v>
      </x:c>
      <x:c r="U1569" s="24" t="n">
        <x:f>IFERROR(J1569/H1569,0)-IFERROR(K1569/I1569,0)</x:f>
        <x:v>0.05555555555555558</x:v>
      </x:c>
      <x:c r="V1569" s="24" t="n">
        <x:f>IFERROR(F1569/J1569,0)-IFERROR(G1569/K1569,0)</x:f>
        <x:v>-0.16666666666666669</x:v>
      </x:c>
      <x:c r="W1569" s="28" t="n">
        <x:f>L1569-M1569</x:f>
        <x:v>8</x:v>
      </x:c>
      <x:c r="X1569" s="24" t="n">
        <x:f>IFERROR(K1569/I1569,0)</x:f>
        <x:v>0.4444444444444444</x:v>
      </x:c>
      <x:c r="Y1569" s="24" t="n">
        <x:f>IFERROR(G1569/I1569,0)</x:f>
        <x:v>0.2222222222222222</x:v>
      </x:c>
      <x:c r="Z1569" s="24" t="n">
        <x:f>IFERROR(G1569/K1569,0)</x:f>
        <x:v>0.5</x:v>
      </x:c>
      <x:c r="AA1569" s="24" t="n">
        <x:f>IFERROR(F1569/H1569,0)-IFERROR(G1569/I1569,0)</x:f>
        <x:v>-0.05555555555555555</x:v>
      </x:c>
      <x:c r="AB1569" s="28" t="n">
        <x:f>J1569-K1569</x:f>
        <x:v>5</x:v>
      </x:c>
      <x:c r="AC1569" s="32" t="n">
        <x:f>F1569-G1569</x:f>
        <x:v>1</x:v>
      </x:c>
    </x:row>
    <x:row r="1570">
      <x:c r="A1570" s="4" t="str">
        <x:v>2023-24</x:v>
      </x:c>
      <x:c r="B1570" s="20" t="n">
        <x:v>45164</x:v>
      </x:c>
      <x:c r="C1570" s="4" t="str">
        <x:v>Nott'm Forest</x:v>
      </x:c>
      <x:c r="D1570" s="4" t="str">
        <x:v>Man United</x:v>
      </x:c>
      <x:c r="E1570" s="4" t="str">
        <x:v>Away</x:v>
      </x:c>
      <x:c r="F1570" s="28" t="n">
        <x:v>2</x:v>
      </x:c>
      <x:c r="G1570" s="28" t="n">
        <x:v>3</x:v>
      </x:c>
      <x:c r="H1570" s="28" t="n">
        <x:v>9</x:v>
      </x:c>
      <x:c r="I1570" s="28" t="n">
        <x:v>18</x:v>
      </x:c>
      <x:c r="J1570" s="28" t="n">
        <x:v>4</x:v>
      </x:c>
      <x:c r="K1570" s="28" t="n">
        <x:v>9</x:v>
      </x:c>
      <x:c r="L1570" s="28" t="n">
        <x:v>3</x:v>
      </x:c>
      <x:c r="M1570" s="28" t="n">
        <x:v>11</x:v>
      </x:c>
      <x:c r="N1570" s="28" t="n">
        <x:v>4</x:v>
      </x:c>
      <x:c r="O1570" s="28" t="n">
        <x:v>1</x:v>
      </x:c>
      <x:c r="P1570" s="28" t="n">
        <x:v>0</x:v>
      </x:c>
      <x:c r="Q1570" s="24" t="n">
        <x:f>IFERROR(J1570/H1570,0)</x:f>
        <x:v>0.4444444444444444</x:v>
      </x:c>
      <x:c r="R1570" s="24" t="n">
        <x:f>IFERROR(F1570/H1570,0)</x:f>
        <x:v>0.2222222222222222</x:v>
      </x:c>
      <x:c r="S1570" s="24" t="n">
        <x:f>IFERROR(F1570/J1570,0)</x:f>
        <x:v>0.5</x:v>
      </x:c>
      <x:c r="T1570" s="28" t="n">
        <x:f>H1570-I1570</x:f>
        <x:v>-9</x:v>
      </x:c>
      <x:c r="U1570" s="24" t="n">
        <x:f>IFERROR(J1570/H1570,0)-IFERROR(K1570/I1570,0)</x:f>
        <x:v>-0.05555555555555558</x:v>
      </x:c>
      <x:c r="V1570" s="24" t="n">
        <x:f>IFERROR(F1570/J1570,0)-IFERROR(G1570/K1570,0)</x:f>
        <x:v>0.16666666666666669</x:v>
      </x:c>
      <x:c r="W1570" s="28" t="n">
        <x:f>L1570-M1570</x:f>
        <x:v>-8</x:v>
      </x:c>
      <x:c r="X1570" s="24" t="n">
        <x:f>IFERROR(K1570/I1570,0)</x:f>
        <x:v>0.5</x:v>
      </x:c>
      <x:c r="Y1570" s="24" t="n">
        <x:f>IFERROR(G1570/I1570,0)</x:f>
        <x:v>0.16666666666666666</x:v>
      </x:c>
      <x:c r="Z1570" s="24" t="n">
        <x:f>IFERROR(G1570/K1570,0)</x:f>
        <x:v>0.3333333333333333</x:v>
      </x:c>
      <x:c r="AA1570" s="24" t="n">
        <x:f>IFERROR(F1570/H1570,0)-IFERROR(G1570/I1570,0)</x:f>
        <x:v>0.05555555555555555</x:v>
      </x:c>
      <x:c r="AB1570" s="28" t="n">
        <x:f>J1570-K1570</x:f>
        <x:v>-5</x:v>
      </x:c>
      <x:c r="AC1570" s="32" t="n">
        <x:f>F1570-G1570</x:f>
        <x:v>-1</x:v>
      </x:c>
    </x:row>
    <x:row r="1571">
      <x:c r="A1571" s="4" t="str">
        <x:v>2023-24</x:v>
      </x:c>
      <x:c r="B1571" s="20" t="n">
        <x:v>45164</x:v>
      </x:c>
      <x:c r="C1571" s="4" t="str">
        <x:v>Tottenham</x:v>
      </x:c>
      <x:c r="D1571" s="4" t="str">
        <x:v>Bournemouth</x:v>
      </x:c>
      <x:c r="E1571" s="4" t="str">
        <x:v>Away</x:v>
      </x:c>
      <x:c r="F1571" s="28" t="n">
        <x:v>2</x:v>
      </x:c>
      <x:c r="G1571" s="28" t="n">
        <x:v>0</x:v>
      </x:c>
      <x:c r="H1571" s="28" t="n">
        <x:v>17</x:v>
      </x:c>
      <x:c r="I1571" s="28" t="n">
        <x:v>11</x:v>
      </x:c>
      <x:c r="J1571" s="28" t="n">
        <x:v>6</x:v>
      </x:c>
      <x:c r="K1571" s="28" t="n">
        <x:v>3</x:v>
      </x:c>
      <x:c r="L1571" s="28" t="n">
        <x:v>2</x:v>
      </x:c>
      <x:c r="M1571" s="28" t="n">
        <x:v>6</x:v>
      </x:c>
      <x:c r="N1571" s="28" t="n">
        <x:v>3</x:v>
      </x:c>
      <x:c r="O1571" s="28" t="n">
        <x:v>0</x:v>
      </x:c>
      <x:c r="P1571" s="28" t="n">
        <x:v>3</x:v>
      </x:c>
      <x:c r="Q1571" s="24" t="n">
        <x:f>IFERROR(J1571/H1571,0)</x:f>
        <x:v>0.35294117647058826</x:v>
      </x:c>
      <x:c r="R1571" s="24" t="n">
        <x:f>IFERROR(F1571/H1571,0)</x:f>
        <x:v>0.11764705882352941</x:v>
      </x:c>
      <x:c r="S1571" s="24" t="n">
        <x:f>IFERROR(F1571/J1571,0)</x:f>
        <x:v>0.3333333333333333</x:v>
      </x:c>
      <x:c r="T1571" s="28" t="n">
        <x:f>H1571-I1571</x:f>
        <x:v>6</x:v>
      </x:c>
      <x:c r="U1571" s="24" t="n">
        <x:f>IFERROR(J1571/H1571,0)-IFERROR(K1571/I1571,0)</x:f>
        <x:v>0.08021390374331555</x:v>
      </x:c>
      <x:c r="V1571" s="24" t="n">
        <x:f>IFERROR(F1571/J1571,0)-IFERROR(G1571/K1571,0)</x:f>
        <x:v>0.3333333333333333</x:v>
      </x:c>
      <x:c r="W1571" s="28" t="n">
        <x:f>L1571-M1571</x:f>
        <x:v>-4</x:v>
      </x:c>
      <x:c r="X1571" s="24" t="n">
        <x:f>IFERROR(K1571/I1571,0)</x:f>
        <x:v>0.2727272727272727</x:v>
      </x:c>
      <x:c r="Y1571" s="24" t="n">
        <x:f>IFERROR(G1571/I1571,0)</x:f>
        <x:v>0</x:v>
      </x:c>
      <x:c r="Z1571" s="24" t="n">
        <x:f>IFERROR(G1571/K1571,0)</x:f>
        <x:v>0</x:v>
      </x:c>
      <x:c r="AA1571" s="24" t="n">
        <x:f>IFERROR(F1571/H1571,0)-IFERROR(G1571/I1571,0)</x:f>
        <x:v>0.11764705882352941</x:v>
      </x:c>
      <x:c r="AB1571" s="28" t="n">
        <x:f>J1571-K1571</x:f>
        <x:v>3</x:v>
      </x:c>
      <x:c r="AC1571" s="32" t="n">
        <x:f>F1571-G1571</x:f>
        <x:v>2</x:v>
      </x:c>
    </x:row>
    <x:row r="1572">
      <x:c r="A1572" s="4" t="str">
        <x:v>2023-24</x:v>
      </x:c>
      <x:c r="B1572" s="20" t="n">
        <x:v>45164</x:v>
      </x:c>
      <x:c r="C1572" s="4" t="str">
        <x:v>West Ham</x:v>
      </x:c>
      <x:c r="D1572" s="4" t="str">
        <x:v>Brighton</x:v>
      </x:c>
      <x:c r="E1572" s="4" t="str">
        <x:v>Away</x:v>
      </x:c>
      <x:c r="F1572" s="28" t="n">
        <x:v>3</x:v>
      </x:c>
      <x:c r="G1572" s="28" t="n">
        <x:v>1</x:v>
      </x:c>
      <x:c r="H1572" s="28" t="n">
        <x:v>12</x:v>
      </x:c>
      <x:c r="I1572" s="28" t="n">
        <x:v>25</x:v>
      </x:c>
      <x:c r="J1572" s="28" t="n">
        <x:v>3</x:v>
      </x:c>
      <x:c r="K1572" s="28" t="n">
        <x:v>10</x:v>
      </x:c>
      <x:c r="L1572" s="28" t="n">
        <x:v>4</x:v>
      </x:c>
      <x:c r="M1572" s="28" t="n">
        <x:v>17</x:v>
      </x:c>
      <x:c r="N1572" s="28" t="n">
        <x:v>3</x:v>
      </x:c>
      <x:c r="O1572" s="28" t="n">
        <x:v>0</x:v>
      </x:c>
      <x:c r="P1572" s="28" t="n">
        <x:v>3</x:v>
      </x:c>
      <x:c r="Q1572" s="24" t="n">
        <x:f>IFERROR(J1572/H1572,0)</x:f>
        <x:v>0.25</x:v>
      </x:c>
      <x:c r="R1572" s="24" t="n">
        <x:f>IFERROR(F1572/H1572,0)</x:f>
        <x:v>0.25</x:v>
      </x:c>
      <x:c r="S1572" s="24" t="n">
        <x:f>IFERROR(F1572/J1572,0)</x:f>
        <x:v>1</x:v>
      </x:c>
      <x:c r="T1572" s="28" t="n">
        <x:f>H1572-I1572</x:f>
        <x:v>-13</x:v>
      </x:c>
      <x:c r="U1572" s="24" t="n">
        <x:f>IFERROR(J1572/H1572,0)-IFERROR(K1572/I1572,0)</x:f>
        <x:v>-0.15000000000000002</x:v>
      </x:c>
      <x:c r="V1572" s="24" t="n">
        <x:f>IFERROR(F1572/J1572,0)-IFERROR(G1572/K1572,0)</x:f>
        <x:v>0.9</x:v>
      </x:c>
      <x:c r="W1572" s="28" t="n">
        <x:f>L1572-M1572</x:f>
        <x:v>-13</x:v>
      </x:c>
      <x:c r="X1572" s="24" t="n">
        <x:f>IFERROR(K1572/I1572,0)</x:f>
        <x:v>0.4</x:v>
      </x:c>
      <x:c r="Y1572" s="24" t="n">
        <x:f>IFERROR(G1572/I1572,0)</x:f>
        <x:v>0.04</x:v>
      </x:c>
      <x:c r="Z1572" s="24" t="n">
        <x:f>IFERROR(G1572/K1572,0)</x:f>
        <x:v>0.1</x:v>
      </x:c>
      <x:c r="AA1572" s="24" t="n">
        <x:f>IFERROR(F1572/H1572,0)-IFERROR(G1572/I1572,0)</x:f>
        <x:v>0.21</x:v>
      </x:c>
      <x:c r="AB1572" s="28" t="n">
        <x:f>J1572-K1572</x:f>
        <x:v>-7</x:v>
      </x:c>
      <x:c r="AC1572" s="32" t="n">
        <x:f>F1572-G1572</x:f>
        <x:v>2</x:v>
      </x:c>
    </x:row>
    <x:row r="1573">
      <x:c r="A1573" s="4" t="str">
        <x:v>2023-24</x:v>
      </x:c>
      <x:c r="B1573" s="20" t="n">
        <x:v>45164</x:v>
      </x:c>
      <x:c r="C1573" s="4" t="str">
        <x:v>Wolves</x:v>
      </x:c>
      <x:c r="D1573" s="4" t="str">
        <x:v>Everton</x:v>
      </x:c>
      <x:c r="E1573" s="4" t="str">
        <x:v>Away</x:v>
      </x:c>
      <x:c r="F1573" s="28" t="n">
        <x:v>1</x:v>
      </x:c>
      <x:c r="G1573" s="28" t="n">
        <x:v>0</x:v>
      </x:c>
      <x:c r="H1573" s="28" t="n">
        <x:v>11</x:v>
      </x:c>
      <x:c r="I1573" s="28" t="n">
        <x:v>15</x:v>
      </x:c>
      <x:c r="J1573" s="28" t="n">
        <x:v>2</x:v>
      </x:c>
      <x:c r="K1573" s="28" t="n">
        <x:v>7</x:v>
      </x:c>
      <x:c r="L1573" s="28" t="n">
        <x:v>0</x:v>
      </x:c>
      <x:c r="M1573" s="28" t="n">
        <x:v>7</x:v>
      </x:c>
      <x:c r="N1573" s="28" t="n">
        <x:v>4</x:v>
      </x:c>
      <x:c r="O1573" s="28" t="n">
        <x:v>0</x:v>
      </x:c>
      <x:c r="P1573" s="28" t="n">
        <x:v>3</x:v>
      </x:c>
      <x:c r="Q1573" s="24" t="n">
        <x:f>IFERROR(J1573/H1573,0)</x:f>
        <x:v>0.18181818181818182</x:v>
      </x:c>
      <x:c r="R1573" s="24" t="n">
        <x:f>IFERROR(F1573/H1573,0)</x:f>
        <x:v>0.09090909090909091</x:v>
      </x:c>
      <x:c r="S1573" s="24" t="n">
        <x:f>IFERROR(F1573/J1573,0)</x:f>
        <x:v>0.5</x:v>
      </x:c>
      <x:c r="T1573" s="28" t="n">
        <x:f>H1573-I1573</x:f>
        <x:v>-4</x:v>
      </x:c>
      <x:c r="U1573" s="24" t="n">
        <x:f>IFERROR(J1573/H1573,0)-IFERROR(K1573/I1573,0)</x:f>
        <x:v>-0.28484848484848485</x:v>
      </x:c>
      <x:c r="V1573" s="24" t="n">
        <x:f>IFERROR(F1573/J1573,0)-IFERROR(G1573/K1573,0)</x:f>
        <x:v>0.5</x:v>
      </x:c>
      <x:c r="W1573" s="28" t="n">
        <x:f>L1573-M1573</x:f>
        <x:v>-7</x:v>
      </x:c>
      <x:c r="X1573" s="24" t="n">
        <x:f>IFERROR(K1573/I1573,0)</x:f>
        <x:v>0.4666666666666667</x:v>
      </x:c>
      <x:c r="Y1573" s="24" t="n">
        <x:f>IFERROR(G1573/I1573,0)</x:f>
        <x:v>0</x:v>
      </x:c>
      <x:c r="Z1573" s="24" t="n">
        <x:f>IFERROR(G1573/K1573,0)</x:f>
        <x:v>0</x:v>
      </x:c>
      <x:c r="AA1573" s="24" t="n">
        <x:f>IFERROR(F1573/H1573,0)-IFERROR(G1573/I1573,0)</x:f>
        <x:v>0.09090909090909091</x:v>
      </x:c>
      <x:c r="AB1573" s="28" t="n">
        <x:f>J1573-K1573</x:f>
        <x:v>-5</x:v>
      </x:c>
      <x:c r="AC1573" s="32" t="n">
        <x:f>F1573-G1573</x:f>
        <x:v>1</x:v>
      </x:c>
    </x:row>
    <x:row r="1574">
      <x:c r="A1574" s="4" t="str">
        <x:v>2023-24</x:v>
      </x:c>
      <x:c r="B1574" s="20" t="n">
        <x:v>45165</x:v>
      </x:c>
      <x:c r="C1574" s="4" t="str">
        <x:v>Aston Villa</x:v>
      </x:c>
      <x:c r="D1574" s="4" t="str">
        <x:v>Burnley</x:v>
      </x:c>
      <x:c r="E1574" s="4" t="str">
        <x:v>Away</x:v>
      </x:c>
      <x:c r="F1574" s="28" t="n">
        <x:v>3</x:v>
      </x:c>
      <x:c r="G1574" s="28" t="n">
        <x:v>1</x:v>
      </x:c>
      <x:c r="H1574" s="28" t="n">
        <x:v>16</x:v>
      </x:c>
      <x:c r="I1574" s="28" t="n">
        <x:v>9</x:v>
      </x:c>
      <x:c r="J1574" s="28" t="n">
        <x:v>6</x:v>
      </x:c>
      <x:c r="K1574" s="28" t="n">
        <x:v>2</x:v>
      </x:c>
      <x:c r="L1574" s="28" t="n">
        <x:v>6</x:v>
      </x:c>
      <x:c r="M1574" s="28" t="n">
        <x:v>4</x:v>
      </x:c>
      <x:c r="N1574" s="28" t="n">
        <x:v>0</x:v>
      </x:c>
      <x:c r="O1574" s="28" t="n">
        <x:v>0</x:v>
      </x:c>
      <x:c r="P1574" s="28" t="n">
        <x:v>3</x:v>
      </x:c>
      <x:c r="Q1574" s="24" t="n">
        <x:f>IFERROR(J1574/H1574,0)</x:f>
        <x:v>0.375</x:v>
      </x:c>
      <x:c r="R1574" s="24" t="n">
        <x:f>IFERROR(F1574/H1574,0)</x:f>
        <x:v>0.1875</x:v>
      </x:c>
      <x:c r="S1574" s="24" t="n">
        <x:f>IFERROR(F1574/J1574,0)</x:f>
        <x:v>0.5</x:v>
      </x:c>
      <x:c r="T1574" s="28" t="n">
        <x:f>H1574-I1574</x:f>
        <x:v>7</x:v>
      </x:c>
      <x:c r="U1574" s="24" t="n">
        <x:f>IFERROR(J1574/H1574,0)-IFERROR(K1574/I1574,0)</x:f>
        <x:v>0.1527777777777778</x:v>
      </x:c>
      <x:c r="V1574" s="24" t="n">
        <x:f>IFERROR(F1574/J1574,0)-IFERROR(G1574/K1574,0)</x:f>
        <x:v>0</x:v>
      </x:c>
      <x:c r="W1574" s="28" t="n">
        <x:f>L1574-M1574</x:f>
        <x:v>2</x:v>
      </x:c>
      <x:c r="X1574" s="24" t="n">
        <x:f>IFERROR(K1574/I1574,0)</x:f>
        <x:v>0.2222222222222222</x:v>
      </x:c>
      <x:c r="Y1574" s="24" t="n">
        <x:f>IFERROR(G1574/I1574,0)</x:f>
        <x:v>0.1111111111111111</x:v>
      </x:c>
      <x:c r="Z1574" s="24" t="n">
        <x:f>IFERROR(G1574/K1574,0)</x:f>
        <x:v>0.5</x:v>
      </x:c>
      <x:c r="AA1574" s="24" t="n">
        <x:f>IFERROR(F1574/H1574,0)-IFERROR(G1574/I1574,0)</x:f>
        <x:v>0.0763888888888889</x:v>
      </x:c>
      <x:c r="AB1574" s="28" t="n">
        <x:f>J1574-K1574</x:f>
        <x:v>4</x:v>
      </x:c>
      <x:c r="AC1574" s="32" t="n">
        <x:f>F1574-G1574</x:f>
        <x:v>2</x:v>
      </x:c>
    </x:row>
    <x:row r="1575">
      <x:c r="A1575" s="4" t="str">
        <x:v>2023-24</x:v>
      </x:c>
      <x:c r="B1575" s="20" t="n">
        <x:v>45165</x:v>
      </x:c>
      <x:c r="C1575" s="4" t="str">
        <x:v>Burnley</x:v>
      </x:c>
      <x:c r="D1575" s="4" t="str">
        <x:v>Aston Villa</x:v>
      </x:c>
      <x:c r="E1575" s="4" t="str">
        <x:v>Home</x:v>
      </x:c>
      <x:c r="F1575" s="28" t="n">
        <x:v>1</x:v>
      </x:c>
      <x:c r="G1575" s="28" t="n">
        <x:v>3</x:v>
      </x:c>
      <x:c r="H1575" s="28" t="n">
        <x:v>9</x:v>
      </x:c>
      <x:c r="I1575" s="28" t="n">
        <x:v>16</x:v>
      </x:c>
      <x:c r="J1575" s="28" t="n">
        <x:v>2</x:v>
      </x:c>
      <x:c r="K1575" s="28" t="n">
        <x:v>6</x:v>
      </x:c>
      <x:c r="L1575" s="28" t="n">
        <x:v>4</x:v>
      </x:c>
      <x:c r="M1575" s="28" t="n">
        <x:v>6</x:v>
      </x:c>
      <x:c r="N1575" s="28" t="n">
        <x:v>2</x:v>
      </x:c>
      <x:c r="O1575" s="28" t="n">
        <x:v>0</x:v>
      </x:c>
      <x:c r="P1575" s="28" t="n">
        <x:v>0</x:v>
      </x:c>
      <x:c r="Q1575" s="24" t="n">
        <x:f>IFERROR(J1575/H1575,0)</x:f>
        <x:v>0.2222222222222222</x:v>
      </x:c>
      <x:c r="R1575" s="24" t="n">
        <x:f>IFERROR(F1575/H1575,0)</x:f>
        <x:v>0.1111111111111111</x:v>
      </x:c>
      <x:c r="S1575" s="24" t="n">
        <x:f>IFERROR(F1575/J1575,0)</x:f>
        <x:v>0.5</x:v>
      </x:c>
      <x:c r="T1575" s="28" t="n">
        <x:f>H1575-I1575</x:f>
        <x:v>-7</x:v>
      </x:c>
      <x:c r="U1575" s="24" t="n">
        <x:f>IFERROR(J1575/H1575,0)-IFERROR(K1575/I1575,0)</x:f>
        <x:v>-0.1527777777777778</x:v>
      </x:c>
      <x:c r="V1575" s="24" t="n">
        <x:f>IFERROR(F1575/J1575,0)-IFERROR(G1575/K1575,0)</x:f>
        <x:v>0</x:v>
      </x:c>
      <x:c r="W1575" s="28" t="n">
        <x:f>L1575-M1575</x:f>
        <x:v>-2</x:v>
      </x:c>
      <x:c r="X1575" s="24" t="n">
        <x:f>IFERROR(K1575/I1575,0)</x:f>
        <x:v>0.375</x:v>
      </x:c>
      <x:c r="Y1575" s="24" t="n">
        <x:f>IFERROR(G1575/I1575,0)</x:f>
        <x:v>0.1875</x:v>
      </x:c>
      <x:c r="Z1575" s="24" t="n">
        <x:f>IFERROR(G1575/K1575,0)</x:f>
        <x:v>0.5</x:v>
      </x:c>
      <x:c r="AA1575" s="24" t="n">
        <x:f>IFERROR(F1575/H1575,0)-IFERROR(G1575/I1575,0)</x:f>
        <x:v>-0.0763888888888889</x:v>
      </x:c>
      <x:c r="AB1575" s="28" t="n">
        <x:f>J1575-K1575</x:f>
        <x:v>-4</x:v>
      </x:c>
      <x:c r="AC1575" s="32" t="n">
        <x:f>F1575-G1575</x:f>
        <x:v>-2</x:v>
      </x:c>
    </x:row>
    <x:row r="1576">
      <x:c r="A1576" s="4" t="str">
        <x:v>2023-24</x:v>
      </x:c>
      <x:c r="B1576" s="20" t="n">
        <x:v>45165</x:v>
      </x:c>
      <x:c r="C1576" s="4" t="str">
        <x:v>Liverpool</x:v>
      </x:c>
      <x:c r="D1576" s="4" t="str">
        <x:v>Newcastle</x:v>
      </x:c>
      <x:c r="E1576" s="4" t="str">
        <x:v>Away</x:v>
      </x:c>
      <x:c r="F1576" s="28" t="n">
        <x:v>2</x:v>
      </x:c>
      <x:c r="G1576" s="28" t="n">
        <x:v>1</x:v>
      </x:c>
      <x:c r="H1576" s="28" t="n">
        <x:v>9</x:v>
      </x:c>
      <x:c r="I1576" s="28" t="n">
        <x:v>23</x:v>
      </x:c>
      <x:c r="J1576" s="28" t="n">
        <x:v>4</x:v>
      </x:c>
      <x:c r="K1576" s="28" t="n">
        <x:v>8</x:v>
      </x:c>
      <x:c r="L1576" s="28" t="n">
        <x:v>9</x:v>
      </x:c>
      <x:c r="M1576" s="28" t="n">
        <x:v>5</x:v>
      </x:c>
      <x:c r="N1576" s="28" t="n">
        <x:v>2</x:v>
      </x:c>
      <x:c r="O1576" s="28" t="n">
        <x:v>1</x:v>
      </x:c>
      <x:c r="P1576" s="28" t="n">
        <x:v>3</x:v>
      </x:c>
      <x:c r="Q1576" s="24" t="n">
        <x:f>IFERROR(J1576/H1576,0)</x:f>
        <x:v>0.4444444444444444</x:v>
      </x:c>
      <x:c r="R1576" s="24" t="n">
        <x:f>IFERROR(F1576/H1576,0)</x:f>
        <x:v>0.2222222222222222</x:v>
      </x:c>
      <x:c r="S1576" s="24" t="n">
        <x:f>IFERROR(F1576/J1576,0)</x:f>
        <x:v>0.5</x:v>
      </x:c>
      <x:c r="T1576" s="28" t="n">
        <x:f>H1576-I1576</x:f>
        <x:v>-14</x:v>
      </x:c>
      <x:c r="U1576" s="24" t="n">
        <x:f>IFERROR(J1576/H1576,0)-IFERROR(K1576/I1576,0)</x:f>
        <x:v>0.09661835748792269</x:v>
      </x:c>
      <x:c r="V1576" s="24" t="n">
        <x:f>IFERROR(F1576/J1576,0)-IFERROR(G1576/K1576,0)</x:f>
        <x:v>0.375</x:v>
      </x:c>
      <x:c r="W1576" s="28" t="n">
        <x:f>L1576-M1576</x:f>
        <x:v>4</x:v>
      </x:c>
      <x:c r="X1576" s="24" t="n">
        <x:f>IFERROR(K1576/I1576,0)</x:f>
        <x:v>0.34782608695652173</x:v>
      </x:c>
      <x:c r="Y1576" s="24" t="n">
        <x:f>IFERROR(G1576/I1576,0)</x:f>
        <x:v>0.043478260869565216</x:v>
      </x:c>
      <x:c r="Z1576" s="24" t="n">
        <x:f>IFERROR(G1576/K1576,0)</x:f>
        <x:v>0.125</x:v>
      </x:c>
      <x:c r="AA1576" s="24" t="n">
        <x:f>IFERROR(F1576/H1576,0)-IFERROR(G1576/I1576,0)</x:f>
        <x:v>0.178743961352657</x:v>
      </x:c>
      <x:c r="AB1576" s="28" t="n">
        <x:f>J1576-K1576</x:f>
        <x:v>-4</x:v>
      </x:c>
      <x:c r="AC1576" s="32" t="n">
        <x:f>F1576-G1576</x:f>
        <x:v>1</x:v>
      </x:c>
    </x:row>
    <x:row r="1577">
      <x:c r="A1577" s="4" t="str">
        <x:v>2023-24</x:v>
      </x:c>
      <x:c r="B1577" s="20" t="n">
        <x:v>45165</x:v>
      </x:c>
      <x:c r="C1577" s="4" t="str">
        <x:v>Man City</x:v>
      </x:c>
      <x:c r="D1577" s="4" t="str">
        <x:v>Sheffield United</x:v>
      </x:c>
      <x:c r="E1577" s="4" t="str">
        <x:v>Away</x:v>
      </x:c>
      <x:c r="F1577" s="28" t="n">
        <x:v>2</x:v>
      </x:c>
      <x:c r="G1577" s="28" t="n">
        <x:v>1</x:v>
      </x:c>
      <x:c r="H1577" s="28" t="n">
        <x:v>30</x:v>
      </x:c>
      <x:c r="I1577" s="28" t="n">
        <x:v>6</x:v>
      </x:c>
      <x:c r="J1577" s="28" t="n">
        <x:v>9</x:v>
      </x:c>
      <x:c r="K1577" s="28" t="n">
        <x:v>2</x:v>
      </x:c>
      <x:c r="L1577" s="28" t="n">
        <x:v>12</x:v>
      </x:c>
      <x:c r="M1577" s="28" t="n">
        <x:v>1</x:v>
      </x:c>
      <x:c r="N1577" s="28" t="n">
        <x:v>0</x:v>
      </x:c>
      <x:c r="O1577" s="28" t="n">
        <x:v>0</x:v>
      </x:c>
      <x:c r="P1577" s="28" t="n">
        <x:v>3</x:v>
      </x:c>
      <x:c r="Q1577" s="24" t="n">
        <x:f>IFERROR(J1577/H1577,0)</x:f>
        <x:v>0.3</x:v>
      </x:c>
      <x:c r="R1577" s="24" t="n">
        <x:f>IFERROR(F1577/H1577,0)</x:f>
        <x:v>0.06666666666666667</x:v>
      </x:c>
      <x:c r="S1577" s="24" t="n">
        <x:f>IFERROR(F1577/J1577,0)</x:f>
        <x:v>0.2222222222222222</x:v>
      </x:c>
      <x:c r="T1577" s="28" t="n">
        <x:f>H1577-I1577</x:f>
        <x:v>24</x:v>
      </x:c>
      <x:c r="U1577" s="24" t="n">
        <x:f>IFERROR(J1577/H1577,0)-IFERROR(K1577/I1577,0)</x:f>
        <x:v>-0.033333333333333326</x:v>
      </x:c>
      <x:c r="V1577" s="24" t="n">
        <x:f>IFERROR(F1577/J1577,0)-IFERROR(G1577/K1577,0)</x:f>
        <x:v>-0.2777777777777778</x:v>
      </x:c>
      <x:c r="W1577" s="28" t="n">
        <x:f>L1577-M1577</x:f>
        <x:v>11</x:v>
      </x:c>
      <x:c r="X1577" s="24" t="n">
        <x:f>IFERROR(K1577/I1577,0)</x:f>
        <x:v>0.3333333333333333</x:v>
      </x:c>
      <x:c r="Y1577" s="24" t="n">
        <x:f>IFERROR(G1577/I1577,0)</x:f>
        <x:v>0.16666666666666666</x:v>
      </x:c>
      <x:c r="Z1577" s="24" t="n">
        <x:f>IFERROR(G1577/K1577,0)</x:f>
        <x:v>0.5</x:v>
      </x:c>
      <x:c r="AA1577" s="24" t="n">
        <x:f>IFERROR(F1577/H1577,0)-IFERROR(G1577/I1577,0)</x:f>
        <x:v>-0.09999999999999999</x:v>
      </x:c>
      <x:c r="AB1577" s="28" t="n">
        <x:f>J1577-K1577</x:f>
        <x:v>7</x:v>
      </x:c>
      <x:c r="AC1577" s="32" t="n">
        <x:f>F1577-G1577</x:f>
        <x:v>1</x:v>
      </x:c>
    </x:row>
    <x:row r="1578">
      <x:c r="A1578" s="4" t="str">
        <x:v>2023-24</x:v>
      </x:c>
      <x:c r="B1578" s="20" t="n">
        <x:v>45165</x:v>
      </x:c>
      <x:c r="C1578" s="4" t="str">
        <x:v>Newcastle</x:v>
      </x:c>
      <x:c r="D1578" s="4" t="str">
        <x:v>Liverpool</x:v>
      </x:c>
      <x:c r="E1578" s="4" t="str">
        <x:v>Home</x:v>
      </x:c>
      <x:c r="F1578" s="28" t="n">
        <x:v>1</x:v>
      </x:c>
      <x:c r="G1578" s="28" t="n">
        <x:v>2</x:v>
      </x:c>
      <x:c r="H1578" s="28" t="n">
        <x:v>23</x:v>
      </x:c>
      <x:c r="I1578" s="28" t="n">
        <x:v>9</x:v>
      </x:c>
      <x:c r="J1578" s="28" t="n">
        <x:v>8</x:v>
      </x:c>
      <x:c r="K1578" s="28" t="n">
        <x:v>4</x:v>
      </x:c>
      <x:c r="L1578" s="28" t="n">
        <x:v>5</x:v>
      </x:c>
      <x:c r="M1578" s="28" t="n">
        <x:v>9</x:v>
      </x:c>
      <x:c r="N1578" s="28" t="n">
        <x:v>1</x:v>
      </x:c>
      <x:c r="O1578" s="28" t="n">
        <x:v>0</x:v>
      </x:c>
      <x:c r="P1578" s="28" t="n">
        <x:v>0</x:v>
      </x:c>
      <x:c r="Q1578" s="24" t="n">
        <x:f>IFERROR(J1578/H1578,0)</x:f>
        <x:v>0.34782608695652173</x:v>
      </x:c>
      <x:c r="R1578" s="24" t="n">
        <x:f>IFERROR(F1578/H1578,0)</x:f>
        <x:v>0.043478260869565216</x:v>
      </x:c>
      <x:c r="S1578" s="24" t="n">
        <x:f>IFERROR(F1578/J1578,0)</x:f>
        <x:v>0.125</x:v>
      </x:c>
      <x:c r="T1578" s="28" t="n">
        <x:f>H1578-I1578</x:f>
        <x:v>14</x:v>
      </x:c>
      <x:c r="U1578" s="24" t="n">
        <x:f>IFERROR(J1578/H1578,0)-IFERROR(K1578/I1578,0)</x:f>
        <x:v>-0.09661835748792269</x:v>
      </x:c>
      <x:c r="V1578" s="24" t="n">
        <x:f>IFERROR(F1578/J1578,0)-IFERROR(G1578/K1578,0)</x:f>
        <x:v>-0.375</x:v>
      </x:c>
      <x:c r="W1578" s="28" t="n">
        <x:f>L1578-M1578</x:f>
        <x:v>-4</x:v>
      </x:c>
      <x:c r="X1578" s="24" t="n">
        <x:f>IFERROR(K1578/I1578,0)</x:f>
        <x:v>0.4444444444444444</x:v>
      </x:c>
      <x:c r="Y1578" s="24" t="n">
        <x:f>IFERROR(G1578/I1578,0)</x:f>
        <x:v>0.2222222222222222</x:v>
      </x:c>
      <x:c r="Z1578" s="24" t="n">
        <x:f>IFERROR(G1578/K1578,0)</x:f>
        <x:v>0.5</x:v>
      </x:c>
      <x:c r="AA1578" s="24" t="n">
        <x:f>IFERROR(F1578/H1578,0)-IFERROR(G1578/I1578,0)</x:f>
        <x:v>-0.178743961352657</x:v>
      </x:c>
      <x:c r="AB1578" s="28" t="n">
        <x:f>J1578-K1578</x:f>
        <x:v>4</x:v>
      </x:c>
      <x:c r="AC1578" s="32" t="n">
        <x:f>F1578-G1578</x:f>
        <x:v>-1</x:v>
      </x:c>
    </x:row>
    <x:row r="1579">
      <x:c r="A1579" s="4" t="str">
        <x:v>2023-24</x:v>
      </x:c>
      <x:c r="B1579" s="20" t="n">
        <x:v>45165</x:v>
      </x:c>
      <x:c r="C1579" s="4" t="str">
        <x:v>Sheffield United</x:v>
      </x:c>
      <x:c r="D1579" s="4" t="str">
        <x:v>Man City</x:v>
      </x:c>
      <x:c r="E1579" s="4" t="str">
        <x:v>Home</x:v>
      </x:c>
      <x:c r="F1579" s="28" t="n">
        <x:v>1</x:v>
      </x:c>
      <x:c r="G1579" s="28" t="n">
        <x:v>2</x:v>
      </x:c>
      <x:c r="H1579" s="28" t="n">
        <x:v>6</x:v>
      </x:c>
      <x:c r="I1579" s="28" t="n">
        <x:v>30</x:v>
      </x:c>
      <x:c r="J1579" s="28" t="n">
        <x:v>2</x:v>
      </x:c>
      <x:c r="K1579" s="28" t="n">
        <x:v>9</x:v>
      </x:c>
      <x:c r="L1579" s="28" t="n">
        <x:v>1</x:v>
      </x:c>
      <x:c r="M1579" s="28" t="n">
        <x:v>12</x:v>
      </x:c>
      <x:c r="N1579" s="28" t="n">
        <x:v>3</x:v>
      </x:c>
      <x:c r="O1579" s="28" t="n">
        <x:v>0</x:v>
      </x:c>
      <x:c r="P1579" s="28" t="n">
        <x:v>0</x:v>
      </x:c>
      <x:c r="Q1579" s="24" t="n">
        <x:f>IFERROR(J1579/H1579,0)</x:f>
        <x:v>0.3333333333333333</x:v>
      </x:c>
      <x:c r="R1579" s="24" t="n">
        <x:f>IFERROR(F1579/H1579,0)</x:f>
        <x:v>0.16666666666666666</x:v>
      </x:c>
      <x:c r="S1579" s="24" t="n">
        <x:f>IFERROR(F1579/J1579,0)</x:f>
        <x:v>0.5</x:v>
      </x:c>
      <x:c r="T1579" s="28" t="n">
        <x:f>H1579-I1579</x:f>
        <x:v>-24</x:v>
      </x:c>
      <x:c r="U1579" s="24" t="n">
        <x:f>IFERROR(J1579/H1579,0)-IFERROR(K1579/I1579,0)</x:f>
        <x:v>0.033333333333333326</x:v>
      </x:c>
      <x:c r="V1579" s="24" t="n">
        <x:f>IFERROR(F1579/J1579,0)-IFERROR(G1579/K1579,0)</x:f>
        <x:v>0.2777777777777778</x:v>
      </x:c>
      <x:c r="W1579" s="28" t="n">
        <x:f>L1579-M1579</x:f>
        <x:v>-11</x:v>
      </x:c>
      <x:c r="X1579" s="24" t="n">
        <x:f>IFERROR(K1579/I1579,0)</x:f>
        <x:v>0.3</x:v>
      </x:c>
      <x:c r="Y1579" s="24" t="n">
        <x:f>IFERROR(G1579/I1579,0)</x:f>
        <x:v>0.06666666666666667</x:v>
      </x:c>
      <x:c r="Z1579" s="24" t="n">
        <x:f>IFERROR(G1579/K1579,0)</x:f>
        <x:v>0.2222222222222222</x:v>
      </x:c>
      <x:c r="AA1579" s="24" t="n">
        <x:f>IFERROR(F1579/H1579,0)-IFERROR(G1579/I1579,0)</x:f>
        <x:v>0.09999999999999999</x:v>
      </x:c>
      <x:c r="AB1579" s="28" t="n">
        <x:f>J1579-K1579</x:f>
        <x:v>-7</x:v>
      </x:c>
      <x:c r="AC1579" s="32" t="n">
        <x:f>F1579-G1579</x:f>
        <x:v>-1</x:v>
      </x:c>
    </x:row>
    <x:row r="1580">
      <x:c r="A1580" s="4" t="str">
        <x:v>2023-24</x:v>
      </x:c>
      <x:c r="B1580" s="20" t="n">
        <x:v>45170</x:v>
      </x:c>
      <x:c r="C1580" s="4" t="str">
        <x:v>Luton</x:v>
      </x:c>
      <x:c r="D1580" s="4" t="str">
        <x:v>West Ham</x:v>
      </x:c>
      <x:c r="E1580" s="4" t="str">
        <x:v>Home</x:v>
      </x:c>
      <x:c r="F1580" s="28" t="n">
        <x:v>1</x:v>
      </x:c>
      <x:c r="G1580" s="28" t="n">
        <x:v>2</x:v>
      </x:c>
      <x:c r="H1580" s="28" t="n">
        <x:v>16</x:v>
      </x:c>
      <x:c r="I1580" s="28" t="n">
        <x:v>9</x:v>
      </x:c>
      <x:c r="J1580" s="28" t="n">
        <x:v>1</x:v>
      </x:c>
      <x:c r="K1580" s="28" t="n">
        <x:v>3</x:v>
      </x:c>
      <x:c r="L1580" s="28" t="n">
        <x:v>9</x:v>
      </x:c>
      <x:c r="M1580" s="28" t="n">
        <x:v>6</x:v>
      </x:c>
      <x:c r="N1580" s="28" t="n">
        <x:v>1</x:v>
      </x:c>
      <x:c r="O1580" s="28" t="n">
        <x:v>0</x:v>
      </x:c>
      <x:c r="P1580" s="28" t="n">
        <x:v>0</x:v>
      </x:c>
      <x:c r="Q1580" s="24" t="n">
        <x:f>IFERROR(J1580/H1580,0)</x:f>
        <x:v>0.0625</x:v>
      </x:c>
      <x:c r="R1580" s="24" t="n">
        <x:f>IFERROR(F1580/H1580,0)</x:f>
        <x:v>0.0625</x:v>
      </x:c>
      <x:c r="S1580" s="24" t="n">
        <x:f>IFERROR(F1580/J1580,0)</x:f>
        <x:v>1</x:v>
      </x:c>
      <x:c r="T1580" s="28" t="n">
        <x:f>H1580-I1580</x:f>
        <x:v>7</x:v>
      </x:c>
      <x:c r="U1580" s="24" t="n">
        <x:f>IFERROR(J1580/H1580,0)-IFERROR(K1580/I1580,0)</x:f>
        <x:v>-0.2708333333333333</x:v>
      </x:c>
      <x:c r="V1580" s="24" t="n">
        <x:f>IFERROR(F1580/J1580,0)-IFERROR(G1580/K1580,0)</x:f>
        <x:v>0.33333333333333337</x:v>
      </x:c>
      <x:c r="W1580" s="28" t="n">
        <x:f>L1580-M1580</x:f>
        <x:v>3</x:v>
      </x:c>
      <x:c r="X1580" s="24" t="n">
        <x:f>IFERROR(K1580/I1580,0)</x:f>
        <x:v>0.3333333333333333</x:v>
      </x:c>
      <x:c r="Y1580" s="24" t="n">
        <x:f>IFERROR(G1580/I1580,0)</x:f>
        <x:v>0.2222222222222222</x:v>
      </x:c>
      <x:c r="Z1580" s="24" t="n">
        <x:f>IFERROR(G1580/K1580,0)</x:f>
        <x:v>0.6666666666666666</x:v>
      </x:c>
      <x:c r="AA1580" s="24" t="n">
        <x:f>IFERROR(F1580/H1580,0)-IFERROR(G1580/I1580,0)</x:f>
        <x:v>-0.1597222222222222</x:v>
      </x:c>
      <x:c r="AB1580" s="28" t="n">
        <x:f>J1580-K1580</x:f>
        <x:v>-2</x:v>
      </x:c>
      <x:c r="AC1580" s="32" t="n">
        <x:f>F1580-G1580</x:f>
        <x:v>-1</x:v>
      </x:c>
    </x:row>
    <x:row r="1581">
      <x:c r="A1581" s="4" t="str">
        <x:v>2023-24</x:v>
      </x:c>
      <x:c r="B1581" s="20" t="n">
        <x:v>45170</x:v>
      </x:c>
      <x:c r="C1581" s="4" t="str">
        <x:v>West Ham</x:v>
      </x:c>
      <x:c r="D1581" s="4" t="str">
        <x:v>Luton</x:v>
      </x:c>
      <x:c r="E1581" s="4" t="str">
        <x:v>Away</x:v>
      </x:c>
      <x:c r="F1581" s="28" t="n">
        <x:v>2</x:v>
      </x:c>
      <x:c r="G1581" s="28" t="n">
        <x:v>1</x:v>
      </x:c>
      <x:c r="H1581" s="28" t="n">
        <x:v>9</x:v>
      </x:c>
      <x:c r="I1581" s="28" t="n">
        <x:v>16</x:v>
      </x:c>
      <x:c r="J1581" s="28" t="n">
        <x:v>3</x:v>
      </x:c>
      <x:c r="K1581" s="28" t="n">
        <x:v>1</x:v>
      </x:c>
      <x:c r="L1581" s="28" t="n">
        <x:v>6</x:v>
      </x:c>
      <x:c r="M1581" s="28" t="n">
        <x:v>9</x:v>
      </x:c>
      <x:c r="N1581" s="28" t="n">
        <x:v>1</x:v>
      </x:c>
      <x:c r="O1581" s="28" t="n">
        <x:v>0</x:v>
      </x:c>
      <x:c r="P1581" s="28" t="n">
        <x:v>3</x:v>
      </x:c>
      <x:c r="Q1581" s="24" t="n">
        <x:f>IFERROR(J1581/H1581,0)</x:f>
        <x:v>0.3333333333333333</x:v>
      </x:c>
      <x:c r="R1581" s="24" t="n">
        <x:f>IFERROR(F1581/H1581,0)</x:f>
        <x:v>0.2222222222222222</x:v>
      </x:c>
      <x:c r="S1581" s="24" t="n">
        <x:f>IFERROR(F1581/J1581,0)</x:f>
        <x:v>0.6666666666666666</x:v>
      </x:c>
      <x:c r="T1581" s="28" t="n">
        <x:f>H1581-I1581</x:f>
        <x:v>-7</x:v>
      </x:c>
      <x:c r="U1581" s="24" t="n">
        <x:f>IFERROR(J1581/H1581,0)-IFERROR(K1581/I1581,0)</x:f>
        <x:v>0.2708333333333333</x:v>
      </x:c>
      <x:c r="V1581" s="24" t="n">
        <x:f>IFERROR(F1581/J1581,0)-IFERROR(G1581/K1581,0)</x:f>
        <x:v>-0.33333333333333337</x:v>
      </x:c>
      <x:c r="W1581" s="28" t="n">
        <x:f>L1581-M1581</x:f>
        <x:v>-3</x:v>
      </x:c>
      <x:c r="X1581" s="24" t="n">
        <x:f>IFERROR(K1581/I1581,0)</x:f>
        <x:v>0.0625</x:v>
      </x:c>
      <x:c r="Y1581" s="24" t="n">
        <x:f>IFERROR(G1581/I1581,0)</x:f>
        <x:v>0.0625</x:v>
      </x:c>
      <x:c r="Z1581" s="24" t="n">
        <x:f>IFERROR(G1581/K1581,0)</x:f>
        <x:v>1</x:v>
      </x:c>
      <x:c r="AA1581" s="24" t="n">
        <x:f>IFERROR(F1581/H1581,0)-IFERROR(G1581/I1581,0)</x:f>
        <x:v>0.1597222222222222</x:v>
      </x:c>
      <x:c r="AB1581" s="28" t="n">
        <x:f>J1581-K1581</x:f>
        <x:v>2</x:v>
      </x:c>
      <x:c r="AC1581" s="32" t="n">
        <x:f>F1581-G1581</x:f>
        <x:v>1</x:v>
      </x:c>
    </x:row>
    <x:row r="1582">
      <x:c r="A1582" s="4" t="str">
        <x:v>2023-24</x:v>
      </x:c>
      <x:c r="B1582" s="20" t="n">
        <x:v>45171</x:v>
      </x:c>
      <x:c r="C1582" s="4" t="str">
        <x:v>Bournemouth</x:v>
      </x:c>
      <x:c r="D1582" s="4" t="str">
        <x:v>Brentford</x:v>
      </x:c>
      <x:c r="E1582" s="4" t="str">
        <x:v>Away</x:v>
      </x:c>
      <x:c r="F1582" s="28" t="n">
        <x:v>2</x:v>
      </x:c>
      <x:c r="G1582" s="28" t="n">
        <x:v>2</x:v>
      </x:c>
      <x:c r="H1582" s="28" t="n">
        <x:v>12</x:v>
      </x:c>
      <x:c r="I1582" s="28" t="n">
        <x:v>21</x:v>
      </x:c>
      <x:c r="J1582" s="28" t="n">
        <x:v>5</x:v>
      </x:c>
      <x:c r="K1582" s="28" t="n">
        <x:v>7</x:v>
      </x:c>
      <x:c r="L1582" s="28" t="n">
        <x:v>2</x:v>
      </x:c>
      <x:c r="M1582" s="28" t="n">
        <x:v>5</x:v>
      </x:c>
      <x:c r="N1582" s="28" t="n">
        <x:v>2</x:v>
      </x:c>
      <x:c r="O1582" s="28" t="n">
        <x:v>0</x:v>
      </x:c>
      <x:c r="P1582" s="28" t="n">
        <x:v>1</x:v>
      </x:c>
      <x:c r="Q1582" s="24" t="n">
        <x:f>IFERROR(J1582/H1582,0)</x:f>
        <x:v>0.4166666666666667</x:v>
      </x:c>
      <x:c r="R1582" s="24" t="n">
        <x:f>IFERROR(F1582/H1582,0)</x:f>
        <x:v>0.16666666666666666</x:v>
      </x:c>
      <x:c r="S1582" s="24" t="n">
        <x:f>IFERROR(F1582/J1582,0)</x:f>
        <x:v>0.4</x:v>
      </x:c>
      <x:c r="T1582" s="28" t="n">
        <x:f>H1582-I1582</x:f>
        <x:v>-9</x:v>
      </x:c>
      <x:c r="U1582" s="24" t="n">
        <x:f>IFERROR(J1582/H1582,0)-IFERROR(K1582/I1582,0)</x:f>
        <x:v>0.08333333333333337</x:v>
      </x:c>
      <x:c r="V1582" s="24" t="n">
        <x:f>IFERROR(F1582/J1582,0)-IFERROR(G1582/K1582,0)</x:f>
        <x:v>0.11428571428571432</x:v>
      </x:c>
      <x:c r="W1582" s="28" t="n">
        <x:f>L1582-M1582</x:f>
        <x:v>-3</x:v>
      </x:c>
      <x:c r="X1582" s="24" t="n">
        <x:f>IFERROR(K1582/I1582,0)</x:f>
        <x:v>0.3333333333333333</x:v>
      </x:c>
      <x:c r="Y1582" s="24" t="n">
        <x:f>IFERROR(G1582/I1582,0)</x:f>
        <x:v>0.09523809523809523</x:v>
      </x:c>
      <x:c r="Z1582" s="24" t="n">
        <x:f>IFERROR(G1582/K1582,0)</x:f>
        <x:v>0.2857142857142857</x:v>
      </x:c>
      <x:c r="AA1582" s="24" t="n">
        <x:f>IFERROR(F1582/H1582,0)-IFERROR(G1582/I1582,0)</x:f>
        <x:v>0.07142857142857142</x:v>
      </x:c>
      <x:c r="AB1582" s="28" t="n">
        <x:f>J1582-K1582</x:f>
        <x:v>-2</x:v>
      </x:c>
      <x:c r="AC1582" s="32" t="n">
        <x:f>F1582-G1582</x:f>
        <x:v>0</x:v>
      </x:c>
    </x:row>
    <x:row r="1583">
      <x:c r="A1583" s="4" t="str">
        <x:v>2023-24</x:v>
      </x:c>
      <x:c r="B1583" s="20" t="n">
        <x:v>45171</x:v>
      </x:c>
      <x:c r="C1583" s="4" t="str">
        <x:v>Brentford</x:v>
      </x:c>
      <x:c r="D1583" s="4" t="str">
        <x:v>Bournemouth</x:v>
      </x:c>
      <x:c r="E1583" s="4" t="str">
        <x:v>Home</x:v>
      </x:c>
      <x:c r="F1583" s="28" t="n">
        <x:v>2</x:v>
      </x:c>
      <x:c r="G1583" s="28" t="n">
        <x:v>2</x:v>
      </x:c>
      <x:c r="H1583" s="28" t="n">
        <x:v>21</x:v>
      </x:c>
      <x:c r="I1583" s="28" t="n">
        <x:v>12</x:v>
      </x:c>
      <x:c r="J1583" s="28" t="n">
        <x:v>7</x:v>
      </x:c>
      <x:c r="K1583" s="28" t="n">
        <x:v>5</x:v>
      </x:c>
      <x:c r="L1583" s="28" t="n">
        <x:v>5</x:v>
      </x:c>
      <x:c r="M1583" s="28" t="n">
        <x:v>2</x:v>
      </x:c>
      <x:c r="N1583" s="28" t="n">
        <x:v>1</x:v>
      </x:c>
      <x:c r="O1583" s="28" t="n">
        <x:v>0</x:v>
      </x:c>
      <x:c r="P1583" s="28" t="n">
        <x:v>1</x:v>
      </x:c>
      <x:c r="Q1583" s="24" t="n">
        <x:f>IFERROR(J1583/H1583,0)</x:f>
        <x:v>0.3333333333333333</x:v>
      </x:c>
      <x:c r="R1583" s="24" t="n">
        <x:f>IFERROR(F1583/H1583,0)</x:f>
        <x:v>0.09523809523809523</x:v>
      </x:c>
      <x:c r="S1583" s="24" t="n">
        <x:f>IFERROR(F1583/J1583,0)</x:f>
        <x:v>0.2857142857142857</x:v>
      </x:c>
      <x:c r="T1583" s="28" t="n">
        <x:f>H1583-I1583</x:f>
        <x:v>9</x:v>
      </x:c>
      <x:c r="U1583" s="24" t="n">
        <x:f>IFERROR(J1583/H1583,0)-IFERROR(K1583/I1583,0)</x:f>
        <x:v>-0.08333333333333337</x:v>
      </x:c>
      <x:c r="V1583" s="24" t="n">
        <x:f>IFERROR(F1583/J1583,0)-IFERROR(G1583/K1583,0)</x:f>
        <x:v>-0.11428571428571432</x:v>
      </x:c>
      <x:c r="W1583" s="28" t="n">
        <x:f>L1583-M1583</x:f>
        <x:v>3</x:v>
      </x:c>
      <x:c r="X1583" s="24" t="n">
        <x:f>IFERROR(K1583/I1583,0)</x:f>
        <x:v>0.4166666666666667</x:v>
      </x:c>
      <x:c r="Y1583" s="24" t="n">
        <x:f>IFERROR(G1583/I1583,0)</x:f>
        <x:v>0.16666666666666666</x:v>
      </x:c>
      <x:c r="Z1583" s="24" t="n">
        <x:f>IFERROR(G1583/K1583,0)</x:f>
        <x:v>0.4</x:v>
      </x:c>
      <x:c r="AA1583" s="24" t="n">
        <x:f>IFERROR(F1583/H1583,0)-IFERROR(G1583/I1583,0)</x:f>
        <x:v>-0.07142857142857142</x:v>
      </x:c>
      <x:c r="AB1583" s="28" t="n">
        <x:f>J1583-K1583</x:f>
        <x:v>2</x:v>
      </x:c>
      <x:c r="AC1583" s="32" t="n">
        <x:f>F1583-G1583</x:f>
        <x:v>0</x:v>
      </x:c>
    </x:row>
    <x:row r="1584">
      <x:c r="A1584" s="4" t="str">
        <x:v>2023-24</x:v>
      </x:c>
      <x:c r="B1584" s="20" t="n">
        <x:v>45171</x:v>
      </x:c>
      <x:c r="C1584" s="4" t="str">
        <x:v>Brighton</x:v>
      </x:c>
      <x:c r="D1584" s="4" t="str">
        <x:v>Newcastle</x:v>
      </x:c>
      <x:c r="E1584" s="4" t="str">
        <x:v>Home</x:v>
      </x:c>
      <x:c r="F1584" s="28" t="n">
        <x:v>3</x:v>
      </x:c>
      <x:c r="G1584" s="28" t="n">
        <x:v>1</x:v>
      </x:c>
      <x:c r="H1584" s="28" t="n">
        <x:v>15</x:v>
      </x:c>
      <x:c r="I1584" s="28" t="n">
        <x:v>9</x:v>
      </x:c>
      <x:c r="J1584" s="28" t="n">
        <x:v>6</x:v>
      </x:c>
      <x:c r="K1584" s="28" t="n">
        <x:v>2</x:v>
      </x:c>
      <x:c r="L1584" s="28" t="n">
        <x:v>5</x:v>
      </x:c>
      <x:c r="M1584" s="28" t="n">
        <x:v>3</x:v>
      </x:c>
      <x:c r="N1584" s="28" t="n">
        <x:v>4</x:v>
      </x:c>
      <x:c r="O1584" s="28" t="n">
        <x:v>0</x:v>
      </x:c>
      <x:c r="P1584" s="28" t="n">
        <x:v>3</x:v>
      </x:c>
      <x:c r="Q1584" s="24" t="n">
        <x:f>IFERROR(J1584/H1584,0)</x:f>
        <x:v>0.4</x:v>
      </x:c>
      <x:c r="R1584" s="24" t="n">
        <x:f>IFERROR(F1584/H1584,0)</x:f>
        <x:v>0.2</x:v>
      </x:c>
      <x:c r="S1584" s="24" t="n">
        <x:f>IFERROR(F1584/J1584,0)</x:f>
        <x:v>0.5</x:v>
      </x:c>
      <x:c r="T1584" s="28" t="n">
        <x:f>H1584-I1584</x:f>
        <x:v>6</x:v>
      </x:c>
      <x:c r="U1584" s="24" t="n">
        <x:f>IFERROR(J1584/H1584,0)-IFERROR(K1584/I1584,0)</x:f>
        <x:v>0.1777777777777778</x:v>
      </x:c>
      <x:c r="V1584" s="24" t="n">
        <x:f>IFERROR(F1584/J1584,0)-IFERROR(G1584/K1584,0)</x:f>
        <x:v>0</x:v>
      </x:c>
      <x:c r="W1584" s="28" t="n">
        <x:f>L1584-M1584</x:f>
        <x:v>2</x:v>
      </x:c>
      <x:c r="X1584" s="24" t="n">
        <x:f>IFERROR(K1584/I1584,0)</x:f>
        <x:v>0.2222222222222222</x:v>
      </x:c>
      <x:c r="Y1584" s="24" t="n">
        <x:f>IFERROR(G1584/I1584,0)</x:f>
        <x:v>0.1111111111111111</x:v>
      </x:c>
      <x:c r="Z1584" s="24" t="n">
        <x:f>IFERROR(G1584/K1584,0)</x:f>
        <x:v>0.5</x:v>
      </x:c>
      <x:c r="AA1584" s="24" t="n">
        <x:f>IFERROR(F1584/H1584,0)-IFERROR(G1584/I1584,0)</x:f>
        <x:v>0.0888888888888889</x:v>
      </x:c>
      <x:c r="AB1584" s="28" t="n">
        <x:f>J1584-K1584</x:f>
        <x:v>4</x:v>
      </x:c>
      <x:c r="AC1584" s="32" t="n">
        <x:f>F1584-G1584</x:f>
        <x:v>2</x:v>
      </x:c>
    </x:row>
    <x:row r="1585">
      <x:c r="A1585" s="4" t="str">
        <x:v>2023-24</x:v>
      </x:c>
      <x:c r="B1585" s="20" t="n">
        <x:v>45171</x:v>
      </x:c>
      <x:c r="C1585" s="4" t="str">
        <x:v>Burnley</x:v>
      </x:c>
      <x:c r="D1585" s="4" t="str">
        <x:v>Tottenham</x:v>
      </x:c>
      <x:c r="E1585" s="4" t="str">
        <x:v>Home</x:v>
      </x:c>
      <x:c r="F1585" s="28" t="n">
        <x:v>2</x:v>
      </x:c>
      <x:c r="G1585" s="28" t="n">
        <x:v>5</x:v>
      </x:c>
      <x:c r="H1585" s="28" t="n">
        <x:v>16</x:v>
      </x:c>
      <x:c r="I1585" s="28" t="n">
        <x:v>20</x:v>
      </x:c>
      <x:c r="J1585" s="28" t="n">
        <x:v>4</x:v>
      </x:c>
      <x:c r="K1585" s="28" t="n">
        <x:v>10</x:v>
      </x:c>
      <x:c r="L1585" s="28" t="n">
        <x:v>7</x:v>
      </x:c>
      <x:c r="M1585" s="28" t="n">
        <x:v>4</x:v>
      </x:c>
      <x:c r="N1585" s="28" t="n">
        <x:v>4</x:v>
      </x:c>
      <x:c r="O1585" s="28" t="n">
        <x:v>0</x:v>
      </x:c>
      <x:c r="P1585" s="28" t="n">
        <x:v>0</x:v>
      </x:c>
      <x:c r="Q1585" s="24" t="n">
        <x:f>IFERROR(J1585/H1585,0)</x:f>
        <x:v>0.25</x:v>
      </x:c>
      <x:c r="R1585" s="24" t="n">
        <x:f>IFERROR(F1585/H1585,0)</x:f>
        <x:v>0.125</x:v>
      </x:c>
      <x:c r="S1585" s="24" t="n">
        <x:f>IFERROR(F1585/J1585,0)</x:f>
        <x:v>0.5</x:v>
      </x:c>
      <x:c r="T1585" s="28" t="n">
        <x:f>H1585-I1585</x:f>
        <x:v>-4</x:v>
      </x:c>
      <x:c r="U1585" s="24" t="n">
        <x:f>IFERROR(J1585/H1585,0)-IFERROR(K1585/I1585,0)</x:f>
        <x:v>-0.25</x:v>
      </x:c>
      <x:c r="V1585" s="24" t="n">
        <x:f>IFERROR(F1585/J1585,0)-IFERROR(G1585/K1585,0)</x:f>
        <x:v>0</x:v>
      </x:c>
      <x:c r="W1585" s="28" t="n">
        <x:f>L1585-M1585</x:f>
        <x:v>3</x:v>
      </x:c>
      <x:c r="X1585" s="24" t="n">
        <x:f>IFERROR(K1585/I1585,0)</x:f>
        <x:v>0.5</x:v>
      </x:c>
      <x:c r="Y1585" s="24" t="n">
        <x:f>IFERROR(G1585/I1585,0)</x:f>
        <x:v>0.25</x:v>
      </x:c>
      <x:c r="Z1585" s="24" t="n">
        <x:f>IFERROR(G1585/K1585,0)</x:f>
        <x:v>0.5</x:v>
      </x:c>
      <x:c r="AA1585" s="24" t="n">
        <x:f>IFERROR(F1585/H1585,0)-IFERROR(G1585/I1585,0)</x:f>
        <x:v>-0.125</x:v>
      </x:c>
      <x:c r="AB1585" s="28" t="n">
        <x:f>J1585-K1585</x:f>
        <x:v>-6</x:v>
      </x:c>
      <x:c r="AC1585" s="32" t="n">
        <x:f>F1585-G1585</x:f>
        <x:v>-3</x:v>
      </x:c>
    </x:row>
    <x:row r="1586">
      <x:c r="A1586" s="4" t="str">
        <x:v>2023-24</x:v>
      </x:c>
      <x:c r="B1586" s="20" t="n">
        <x:v>45171</x:v>
      </x:c>
      <x:c r="C1586" s="4" t="str">
        <x:v>Chelsea</x:v>
      </x:c>
      <x:c r="D1586" s="4" t="str">
        <x:v>Nott'm Forest</x:v>
      </x:c>
      <x:c r="E1586" s="4" t="str">
        <x:v>Home</x:v>
      </x:c>
      <x:c r="F1586" s="28" t="n">
        <x:v>0</x:v>
      </x:c>
      <x:c r="G1586" s="28" t="n">
        <x:v>1</x:v>
      </x:c>
      <x:c r="H1586" s="28" t="n">
        <x:v>21</x:v>
      </x:c>
      <x:c r="I1586" s="28" t="n">
        <x:v>7</x:v>
      </x:c>
      <x:c r="J1586" s="28" t="n">
        <x:v>2</x:v>
      </x:c>
      <x:c r="K1586" s="28" t="n">
        <x:v>3</x:v>
      </x:c>
      <x:c r="L1586" s="28" t="n">
        <x:v>8</x:v>
      </x:c>
      <x:c r="M1586" s="28" t="n">
        <x:v>0</x:v>
      </x:c>
      <x:c r="N1586" s="28" t="n">
        <x:v>3</x:v>
      </x:c>
      <x:c r="O1586" s="28" t="n">
        <x:v>0</x:v>
      </x:c>
      <x:c r="P1586" s="28" t="n">
        <x:v>0</x:v>
      </x:c>
      <x:c r="Q1586" s="24" t="n">
        <x:f>IFERROR(J1586/H1586,0)</x:f>
        <x:v>0.09523809523809523</x:v>
      </x:c>
      <x:c r="R1586" s="24" t="n">
        <x:f>IFERROR(F1586/H1586,0)</x:f>
        <x:v>0</x:v>
      </x:c>
      <x:c r="S1586" s="24" t="n">
        <x:f>IFERROR(F1586/J1586,0)</x:f>
        <x:v>0</x:v>
      </x:c>
      <x:c r="T1586" s="28" t="n">
        <x:f>H1586-I1586</x:f>
        <x:v>14</x:v>
      </x:c>
      <x:c r="U1586" s="24" t="n">
        <x:f>IFERROR(J1586/H1586,0)-IFERROR(K1586/I1586,0)</x:f>
        <x:v>-0.3333333333333333</x:v>
      </x:c>
      <x:c r="V1586" s="24" t="n">
        <x:f>IFERROR(F1586/J1586,0)-IFERROR(G1586/K1586,0)</x:f>
        <x:v>-0.3333333333333333</x:v>
      </x:c>
      <x:c r="W1586" s="28" t="n">
        <x:f>L1586-M1586</x:f>
        <x:v>8</x:v>
      </x:c>
      <x:c r="X1586" s="24" t="n">
        <x:f>IFERROR(K1586/I1586,0)</x:f>
        <x:v>0.42857142857142855</x:v>
      </x:c>
      <x:c r="Y1586" s="24" t="n">
        <x:f>IFERROR(G1586/I1586,0)</x:f>
        <x:v>0.14285714285714285</x:v>
      </x:c>
      <x:c r="Z1586" s="24" t="n">
        <x:f>IFERROR(G1586/K1586,0)</x:f>
        <x:v>0.3333333333333333</x:v>
      </x:c>
      <x:c r="AA1586" s="24" t="n">
        <x:f>IFERROR(F1586/H1586,0)-IFERROR(G1586/I1586,0)</x:f>
        <x:v>-0.14285714285714285</x:v>
      </x:c>
      <x:c r="AB1586" s="28" t="n">
        <x:f>J1586-K1586</x:f>
        <x:v>-1</x:v>
      </x:c>
      <x:c r="AC1586" s="32" t="n">
        <x:f>F1586-G1586</x:f>
        <x:v>-1</x:v>
      </x:c>
    </x:row>
    <x:row r="1587">
      <x:c r="A1587" s="4" t="str">
        <x:v>2023-24</x:v>
      </x:c>
      <x:c r="B1587" s="20" t="n">
        <x:v>45171</x:v>
      </x:c>
      <x:c r="C1587" s="4" t="str">
        <x:v>Everton</x:v>
      </x:c>
      <x:c r="D1587" s="4" t="str">
        <x:v>Sheffield United</x:v>
      </x:c>
      <x:c r="E1587" s="4" t="str">
        <x:v>Away</x:v>
      </x:c>
      <x:c r="F1587" s="28" t="n">
        <x:v>2</x:v>
      </x:c>
      <x:c r="G1587" s="28" t="n">
        <x:v>2</x:v>
      </x:c>
      <x:c r="H1587" s="28" t="n">
        <x:v>16</x:v>
      </x:c>
      <x:c r="I1587" s="28" t="n">
        <x:v>13</x:v>
      </x:c>
      <x:c r="J1587" s="28" t="n">
        <x:v>6</x:v>
      </x:c>
      <x:c r="K1587" s="28" t="n">
        <x:v>8</x:v>
      </x:c>
      <x:c r="L1587" s="28" t="n">
        <x:v>6</x:v>
      </x:c>
      <x:c r="M1587" s="28" t="n">
        <x:v>4</x:v>
      </x:c>
      <x:c r="N1587" s="28" t="n">
        <x:v>2</x:v>
      </x:c>
      <x:c r="O1587" s="28" t="n">
        <x:v>0</x:v>
      </x:c>
      <x:c r="P1587" s="28" t="n">
        <x:v>1</x:v>
      </x:c>
      <x:c r="Q1587" s="24" t="n">
        <x:f>IFERROR(J1587/H1587,0)</x:f>
        <x:v>0.375</x:v>
      </x:c>
      <x:c r="R1587" s="24" t="n">
        <x:f>IFERROR(F1587/H1587,0)</x:f>
        <x:v>0.125</x:v>
      </x:c>
      <x:c r="S1587" s="24" t="n">
        <x:f>IFERROR(F1587/J1587,0)</x:f>
        <x:v>0.3333333333333333</x:v>
      </x:c>
      <x:c r="T1587" s="28" t="n">
        <x:f>H1587-I1587</x:f>
        <x:v>3</x:v>
      </x:c>
      <x:c r="U1587" s="24" t="n">
        <x:f>IFERROR(J1587/H1587,0)-IFERROR(K1587/I1587,0)</x:f>
        <x:v>-0.24038461538461542</x:v>
      </x:c>
      <x:c r="V1587" s="24" t="n">
        <x:f>IFERROR(F1587/J1587,0)-IFERROR(G1587/K1587,0)</x:f>
        <x:v>0.08333333333333331</x:v>
      </x:c>
      <x:c r="W1587" s="28" t="n">
        <x:f>L1587-M1587</x:f>
        <x:v>2</x:v>
      </x:c>
      <x:c r="X1587" s="24" t="n">
        <x:f>IFERROR(K1587/I1587,0)</x:f>
        <x:v>0.6153846153846154</x:v>
      </x:c>
      <x:c r="Y1587" s="24" t="n">
        <x:f>IFERROR(G1587/I1587,0)</x:f>
        <x:v>0.15384615384615385</x:v>
      </x:c>
      <x:c r="Z1587" s="24" t="n">
        <x:f>IFERROR(G1587/K1587,0)</x:f>
        <x:v>0.25</x:v>
      </x:c>
      <x:c r="AA1587" s="24" t="n">
        <x:f>IFERROR(F1587/H1587,0)-IFERROR(G1587/I1587,0)</x:f>
        <x:v>-0.028846153846153855</x:v>
      </x:c>
      <x:c r="AB1587" s="28" t="n">
        <x:f>J1587-K1587</x:f>
        <x:v>-2</x:v>
      </x:c>
      <x:c r="AC1587" s="32" t="n">
        <x:f>F1587-G1587</x:f>
        <x:v>0</x:v>
      </x:c>
    </x:row>
    <x:row r="1588">
      <x:c r="A1588" s="4" t="str">
        <x:v>2023-24</x:v>
      </x:c>
      <x:c r="B1588" s="20" t="n">
        <x:v>45171</x:v>
      </x:c>
      <x:c r="C1588" s="4" t="str">
        <x:v>Fulham</x:v>
      </x:c>
      <x:c r="D1588" s="4" t="str">
        <x:v>Man City</x:v>
      </x:c>
      <x:c r="E1588" s="4" t="str">
        <x:v>Away</x:v>
      </x:c>
      <x:c r="F1588" s="28" t="n">
        <x:v>1</x:v>
      </x:c>
      <x:c r="G1588" s="28" t="n">
        <x:v>5</x:v>
      </x:c>
      <x:c r="H1588" s="28" t="n">
        <x:v>6</x:v>
      </x:c>
      <x:c r="I1588" s="28" t="n">
        <x:v>7</x:v>
      </x:c>
      <x:c r="J1588" s="28" t="n">
        <x:v>4</x:v>
      </x:c>
      <x:c r="K1588" s="28" t="n">
        <x:v>5</x:v>
      </x:c>
      <x:c r="L1588" s="28" t="n">
        <x:v>5</x:v>
      </x:c>
      <x:c r="M1588" s="28" t="n">
        <x:v>4</x:v>
      </x:c>
      <x:c r="N1588" s="28" t="n">
        <x:v>4</x:v>
      </x:c>
      <x:c r="O1588" s="28" t="n">
        <x:v>0</x:v>
      </x:c>
      <x:c r="P1588" s="28" t="n">
        <x:v>0</x:v>
      </x:c>
      <x:c r="Q1588" s="24" t="n">
        <x:f>IFERROR(J1588/H1588,0)</x:f>
        <x:v>0.6666666666666666</x:v>
      </x:c>
      <x:c r="R1588" s="24" t="n">
        <x:f>IFERROR(F1588/H1588,0)</x:f>
        <x:v>0.16666666666666666</x:v>
      </x:c>
      <x:c r="S1588" s="24" t="n">
        <x:f>IFERROR(F1588/J1588,0)</x:f>
        <x:v>0.25</x:v>
      </x:c>
      <x:c r="T1588" s="28" t="n">
        <x:f>H1588-I1588</x:f>
        <x:v>-1</x:v>
      </x:c>
      <x:c r="U1588" s="24" t="n">
        <x:f>IFERROR(J1588/H1588,0)-IFERROR(K1588/I1588,0)</x:f>
        <x:v>-0.04761904761904767</x:v>
      </x:c>
      <x:c r="V1588" s="24" t="n">
        <x:f>IFERROR(F1588/J1588,0)-IFERROR(G1588/K1588,0)</x:f>
        <x:v>-0.75</x:v>
      </x:c>
      <x:c r="W1588" s="28" t="n">
        <x:f>L1588-M1588</x:f>
        <x:v>1</x:v>
      </x:c>
      <x:c r="X1588" s="24" t="n">
        <x:f>IFERROR(K1588/I1588,0)</x:f>
        <x:v>0.7142857142857143</x:v>
      </x:c>
      <x:c r="Y1588" s="24" t="n">
        <x:f>IFERROR(G1588/I1588,0)</x:f>
        <x:v>0.7142857142857143</x:v>
      </x:c>
      <x:c r="Z1588" s="24" t="n">
        <x:f>IFERROR(G1588/K1588,0)</x:f>
        <x:v>1</x:v>
      </x:c>
      <x:c r="AA1588" s="24" t="n">
        <x:f>IFERROR(F1588/H1588,0)-IFERROR(G1588/I1588,0)</x:f>
        <x:v>-0.5476190476190477</x:v>
      </x:c>
      <x:c r="AB1588" s="28" t="n">
        <x:f>J1588-K1588</x:f>
        <x:v>-1</x:v>
      </x:c>
      <x:c r="AC1588" s="32" t="n">
        <x:f>F1588-G1588</x:f>
        <x:v>-4</x:v>
      </x:c>
    </x:row>
    <x:row r="1589">
      <x:c r="A1589" s="4" t="str">
        <x:v>2023-24</x:v>
      </x:c>
      <x:c r="B1589" s="20" t="n">
        <x:v>45171</x:v>
      </x:c>
      <x:c r="C1589" s="4" t="str">
        <x:v>Man City</x:v>
      </x:c>
      <x:c r="D1589" s="4" t="str">
        <x:v>Fulham</x:v>
      </x:c>
      <x:c r="E1589" s="4" t="str">
        <x:v>Home</x:v>
      </x:c>
      <x:c r="F1589" s="28" t="n">
        <x:v>5</x:v>
      </x:c>
      <x:c r="G1589" s="28" t="n">
        <x:v>1</x:v>
      </x:c>
      <x:c r="H1589" s="28" t="n">
        <x:v>7</x:v>
      </x:c>
      <x:c r="I1589" s="28" t="n">
        <x:v>6</x:v>
      </x:c>
      <x:c r="J1589" s="28" t="n">
        <x:v>5</x:v>
      </x:c>
      <x:c r="K1589" s="28" t="n">
        <x:v>4</x:v>
      </x:c>
      <x:c r="L1589" s="28" t="n">
        <x:v>4</x:v>
      </x:c>
      <x:c r="M1589" s="28" t="n">
        <x:v>5</x:v>
      </x:c>
      <x:c r="N1589" s="28" t="n">
        <x:v>2</x:v>
      </x:c>
      <x:c r="O1589" s="28" t="n">
        <x:v>0</x:v>
      </x:c>
      <x:c r="P1589" s="28" t="n">
        <x:v>3</x:v>
      </x:c>
      <x:c r="Q1589" s="24" t="n">
        <x:f>IFERROR(J1589/H1589,0)</x:f>
        <x:v>0.7142857142857143</x:v>
      </x:c>
      <x:c r="R1589" s="24" t="n">
        <x:f>IFERROR(F1589/H1589,0)</x:f>
        <x:v>0.7142857142857143</x:v>
      </x:c>
      <x:c r="S1589" s="24" t="n">
        <x:f>IFERROR(F1589/J1589,0)</x:f>
        <x:v>1</x:v>
      </x:c>
      <x:c r="T1589" s="28" t="n">
        <x:f>H1589-I1589</x:f>
        <x:v>1</x:v>
      </x:c>
      <x:c r="U1589" s="24" t="n">
        <x:f>IFERROR(J1589/H1589,0)-IFERROR(K1589/I1589,0)</x:f>
        <x:v>0.04761904761904767</x:v>
      </x:c>
      <x:c r="V1589" s="24" t="n">
        <x:f>IFERROR(F1589/J1589,0)-IFERROR(G1589/K1589,0)</x:f>
        <x:v>0.75</x:v>
      </x:c>
      <x:c r="W1589" s="28" t="n">
        <x:f>L1589-M1589</x:f>
        <x:v>-1</x:v>
      </x:c>
      <x:c r="X1589" s="24" t="n">
        <x:f>IFERROR(K1589/I1589,0)</x:f>
        <x:v>0.6666666666666666</x:v>
      </x:c>
      <x:c r="Y1589" s="24" t="n">
        <x:f>IFERROR(G1589/I1589,0)</x:f>
        <x:v>0.16666666666666666</x:v>
      </x:c>
      <x:c r="Z1589" s="24" t="n">
        <x:f>IFERROR(G1589/K1589,0)</x:f>
        <x:v>0.25</x:v>
      </x:c>
      <x:c r="AA1589" s="24" t="n">
        <x:f>IFERROR(F1589/H1589,0)-IFERROR(G1589/I1589,0)</x:f>
        <x:v>0.5476190476190477</x:v>
      </x:c>
      <x:c r="AB1589" s="28" t="n">
        <x:f>J1589-K1589</x:f>
        <x:v>1</x:v>
      </x:c>
      <x:c r="AC1589" s="32" t="n">
        <x:f>F1589-G1589</x:f>
        <x:v>4</x:v>
      </x:c>
    </x:row>
    <x:row r="1590">
      <x:c r="A1590" s="4" t="str">
        <x:v>2023-24</x:v>
      </x:c>
      <x:c r="B1590" s="20" t="n">
        <x:v>45171</x:v>
      </x:c>
      <x:c r="C1590" s="4" t="str">
        <x:v>Newcastle</x:v>
      </x:c>
      <x:c r="D1590" s="4" t="str">
        <x:v>Brighton</x:v>
      </x:c>
      <x:c r="E1590" s="4" t="str">
        <x:v>Away</x:v>
      </x:c>
      <x:c r="F1590" s="28" t="n">
        <x:v>1</x:v>
      </x:c>
      <x:c r="G1590" s="28" t="n">
        <x:v>3</x:v>
      </x:c>
      <x:c r="H1590" s="28" t="n">
        <x:v>9</x:v>
      </x:c>
      <x:c r="I1590" s="28" t="n">
        <x:v>15</x:v>
      </x:c>
      <x:c r="J1590" s="28" t="n">
        <x:v>2</x:v>
      </x:c>
      <x:c r="K1590" s="28" t="n">
        <x:v>6</x:v>
      </x:c>
      <x:c r="L1590" s="28" t="n">
        <x:v>3</x:v>
      </x:c>
      <x:c r="M1590" s="28" t="n">
        <x:v>5</x:v>
      </x:c>
      <x:c r="N1590" s="28" t="n">
        <x:v>4</x:v>
      </x:c>
      <x:c r="O1590" s="28" t="n">
        <x:v>0</x:v>
      </x:c>
      <x:c r="P1590" s="28" t="n">
        <x:v>0</x:v>
      </x:c>
      <x:c r="Q1590" s="24" t="n">
        <x:f>IFERROR(J1590/H1590,0)</x:f>
        <x:v>0.2222222222222222</x:v>
      </x:c>
      <x:c r="R1590" s="24" t="n">
        <x:f>IFERROR(F1590/H1590,0)</x:f>
        <x:v>0.1111111111111111</x:v>
      </x:c>
      <x:c r="S1590" s="24" t="n">
        <x:f>IFERROR(F1590/J1590,0)</x:f>
        <x:v>0.5</x:v>
      </x:c>
      <x:c r="T1590" s="28" t="n">
        <x:f>H1590-I1590</x:f>
        <x:v>-6</x:v>
      </x:c>
      <x:c r="U1590" s="24" t="n">
        <x:f>IFERROR(J1590/H1590,0)-IFERROR(K1590/I1590,0)</x:f>
        <x:v>-0.1777777777777778</x:v>
      </x:c>
      <x:c r="V1590" s="24" t="n">
        <x:f>IFERROR(F1590/J1590,0)-IFERROR(G1590/K1590,0)</x:f>
        <x:v>0</x:v>
      </x:c>
      <x:c r="W1590" s="28" t="n">
        <x:f>L1590-M1590</x:f>
        <x:v>-2</x:v>
      </x:c>
      <x:c r="X1590" s="24" t="n">
        <x:f>IFERROR(K1590/I1590,0)</x:f>
        <x:v>0.4</x:v>
      </x:c>
      <x:c r="Y1590" s="24" t="n">
        <x:f>IFERROR(G1590/I1590,0)</x:f>
        <x:v>0.2</x:v>
      </x:c>
      <x:c r="Z1590" s="24" t="n">
        <x:f>IFERROR(G1590/K1590,0)</x:f>
        <x:v>0.5</x:v>
      </x:c>
      <x:c r="AA1590" s="24" t="n">
        <x:f>IFERROR(F1590/H1590,0)-IFERROR(G1590/I1590,0)</x:f>
        <x:v>-0.0888888888888889</x:v>
      </x:c>
      <x:c r="AB1590" s="28" t="n">
        <x:f>J1590-K1590</x:f>
        <x:v>-4</x:v>
      </x:c>
      <x:c r="AC1590" s="32" t="n">
        <x:f>F1590-G1590</x:f>
        <x:v>-2</x:v>
      </x:c>
    </x:row>
    <x:row r="1591">
      <x:c r="A1591" s="4" t="str">
        <x:v>2023-24</x:v>
      </x:c>
      <x:c r="B1591" s="20" t="n">
        <x:v>45171</x:v>
      </x:c>
      <x:c r="C1591" s="4" t="str">
        <x:v>Nott'm Forest</x:v>
      </x:c>
      <x:c r="D1591" s="4" t="str">
        <x:v>Chelsea</x:v>
      </x:c>
      <x:c r="E1591" s="4" t="str">
        <x:v>Away</x:v>
      </x:c>
      <x:c r="F1591" s="28" t="n">
        <x:v>1</x:v>
      </x:c>
      <x:c r="G1591" s="28" t="n">
        <x:v>0</x:v>
      </x:c>
      <x:c r="H1591" s="28" t="n">
        <x:v>7</x:v>
      </x:c>
      <x:c r="I1591" s="28" t="n">
        <x:v>21</x:v>
      </x:c>
      <x:c r="J1591" s="28" t="n">
        <x:v>3</x:v>
      </x:c>
      <x:c r="K1591" s="28" t="n">
        <x:v>2</x:v>
      </x:c>
      <x:c r="L1591" s="28" t="n">
        <x:v>0</x:v>
      </x:c>
      <x:c r="M1591" s="28" t="n">
        <x:v>8</x:v>
      </x:c>
      <x:c r="N1591" s="28" t="n">
        <x:v>4</x:v>
      </x:c>
      <x:c r="O1591" s="28" t="n">
        <x:v>0</x:v>
      </x:c>
      <x:c r="P1591" s="28" t="n">
        <x:v>3</x:v>
      </x:c>
      <x:c r="Q1591" s="24" t="n">
        <x:f>IFERROR(J1591/H1591,0)</x:f>
        <x:v>0.42857142857142855</x:v>
      </x:c>
      <x:c r="R1591" s="24" t="n">
        <x:f>IFERROR(F1591/H1591,0)</x:f>
        <x:v>0.14285714285714285</x:v>
      </x:c>
      <x:c r="S1591" s="24" t="n">
        <x:f>IFERROR(F1591/J1591,0)</x:f>
        <x:v>0.3333333333333333</x:v>
      </x:c>
      <x:c r="T1591" s="28" t="n">
        <x:f>H1591-I1591</x:f>
        <x:v>-14</x:v>
      </x:c>
      <x:c r="U1591" s="24" t="n">
        <x:f>IFERROR(J1591/H1591,0)-IFERROR(K1591/I1591,0)</x:f>
        <x:v>0.3333333333333333</x:v>
      </x:c>
      <x:c r="V1591" s="24" t="n">
        <x:f>IFERROR(F1591/J1591,0)-IFERROR(G1591/K1591,0)</x:f>
        <x:v>0.3333333333333333</x:v>
      </x:c>
      <x:c r="W1591" s="28" t="n">
        <x:f>L1591-M1591</x:f>
        <x:v>-8</x:v>
      </x:c>
      <x:c r="X1591" s="24" t="n">
        <x:f>IFERROR(K1591/I1591,0)</x:f>
        <x:v>0.09523809523809523</x:v>
      </x:c>
      <x:c r="Y1591" s="24" t="n">
        <x:f>IFERROR(G1591/I1591,0)</x:f>
        <x:v>0</x:v>
      </x:c>
      <x:c r="Z1591" s="24" t="n">
        <x:f>IFERROR(G1591/K1591,0)</x:f>
        <x:v>0</x:v>
      </x:c>
      <x:c r="AA1591" s="24" t="n">
        <x:f>IFERROR(F1591/H1591,0)-IFERROR(G1591/I1591,0)</x:f>
        <x:v>0.14285714285714285</x:v>
      </x:c>
      <x:c r="AB1591" s="28" t="n">
        <x:f>J1591-K1591</x:f>
        <x:v>1</x:v>
      </x:c>
      <x:c r="AC1591" s="32" t="n">
        <x:f>F1591-G1591</x:f>
        <x:v>1</x:v>
      </x:c>
    </x:row>
    <x:row r="1592">
      <x:c r="A1592" s="4" t="str">
        <x:v>2023-24</x:v>
      </x:c>
      <x:c r="B1592" s="20" t="n">
        <x:v>45171</x:v>
      </x:c>
      <x:c r="C1592" s="4" t="str">
        <x:v>Sheffield United</x:v>
      </x:c>
      <x:c r="D1592" s="4" t="str">
        <x:v>Everton</x:v>
      </x:c>
      <x:c r="E1592" s="4" t="str">
        <x:v>Home</x:v>
      </x:c>
      <x:c r="F1592" s="28" t="n">
        <x:v>2</x:v>
      </x:c>
      <x:c r="G1592" s="28" t="n">
        <x:v>2</x:v>
      </x:c>
      <x:c r="H1592" s="28" t="n">
        <x:v>13</x:v>
      </x:c>
      <x:c r="I1592" s="28" t="n">
        <x:v>16</x:v>
      </x:c>
      <x:c r="J1592" s="28" t="n">
        <x:v>8</x:v>
      </x:c>
      <x:c r="K1592" s="28" t="n">
        <x:v>6</x:v>
      </x:c>
      <x:c r="L1592" s="28" t="n">
        <x:v>4</x:v>
      </x:c>
      <x:c r="M1592" s="28" t="n">
        <x:v>6</x:v>
      </x:c>
      <x:c r="N1592" s="28" t="n">
        <x:v>1</x:v>
      </x:c>
      <x:c r="O1592" s="28" t="n">
        <x:v>0</x:v>
      </x:c>
      <x:c r="P1592" s="28" t="n">
        <x:v>1</x:v>
      </x:c>
      <x:c r="Q1592" s="24" t="n">
        <x:f>IFERROR(J1592/H1592,0)</x:f>
        <x:v>0.6153846153846154</x:v>
      </x:c>
      <x:c r="R1592" s="24" t="n">
        <x:f>IFERROR(F1592/H1592,0)</x:f>
        <x:v>0.15384615384615385</x:v>
      </x:c>
      <x:c r="S1592" s="24" t="n">
        <x:f>IFERROR(F1592/J1592,0)</x:f>
        <x:v>0.25</x:v>
      </x:c>
      <x:c r="T1592" s="28" t="n">
        <x:f>H1592-I1592</x:f>
        <x:v>-3</x:v>
      </x:c>
      <x:c r="U1592" s="24" t="n">
        <x:f>IFERROR(J1592/H1592,0)-IFERROR(K1592/I1592,0)</x:f>
        <x:v>0.24038461538461542</x:v>
      </x:c>
      <x:c r="V1592" s="24" t="n">
        <x:f>IFERROR(F1592/J1592,0)-IFERROR(G1592/K1592,0)</x:f>
        <x:v>-0.08333333333333331</x:v>
      </x:c>
      <x:c r="W1592" s="28" t="n">
        <x:f>L1592-M1592</x:f>
        <x:v>-2</x:v>
      </x:c>
      <x:c r="X1592" s="24" t="n">
        <x:f>IFERROR(K1592/I1592,0)</x:f>
        <x:v>0.375</x:v>
      </x:c>
      <x:c r="Y1592" s="24" t="n">
        <x:f>IFERROR(G1592/I1592,0)</x:f>
        <x:v>0.125</x:v>
      </x:c>
      <x:c r="Z1592" s="24" t="n">
        <x:f>IFERROR(G1592/K1592,0)</x:f>
        <x:v>0.3333333333333333</x:v>
      </x:c>
      <x:c r="AA1592" s="24" t="n">
        <x:f>IFERROR(F1592/H1592,0)-IFERROR(G1592/I1592,0)</x:f>
        <x:v>0.028846153846153855</x:v>
      </x:c>
      <x:c r="AB1592" s="28" t="n">
        <x:f>J1592-K1592</x:f>
        <x:v>2</x:v>
      </x:c>
      <x:c r="AC1592" s="32" t="n">
        <x:f>F1592-G1592</x:f>
        <x:v>0</x:v>
      </x:c>
    </x:row>
    <x:row r="1593">
      <x:c r="A1593" s="4" t="str">
        <x:v>2023-24</x:v>
      </x:c>
      <x:c r="B1593" s="20" t="n">
        <x:v>45171</x:v>
      </x:c>
      <x:c r="C1593" s="4" t="str">
        <x:v>Tottenham</x:v>
      </x:c>
      <x:c r="D1593" s="4" t="str">
        <x:v>Burnley</x:v>
      </x:c>
      <x:c r="E1593" s="4" t="str">
        <x:v>Away</x:v>
      </x:c>
      <x:c r="F1593" s="28" t="n">
        <x:v>5</x:v>
      </x:c>
      <x:c r="G1593" s="28" t="n">
        <x:v>2</x:v>
      </x:c>
      <x:c r="H1593" s="28" t="n">
        <x:v>20</x:v>
      </x:c>
      <x:c r="I1593" s="28" t="n">
        <x:v>16</x:v>
      </x:c>
      <x:c r="J1593" s="28" t="n">
        <x:v>10</x:v>
      </x:c>
      <x:c r="K1593" s="28" t="n">
        <x:v>4</x:v>
      </x:c>
      <x:c r="L1593" s="28" t="n">
        <x:v>4</x:v>
      </x:c>
      <x:c r="M1593" s="28" t="n">
        <x:v>7</x:v>
      </x:c>
      <x:c r="N1593" s="28" t="n">
        <x:v>3</x:v>
      </x:c>
      <x:c r="O1593" s="28" t="n">
        <x:v>0</x:v>
      </x:c>
      <x:c r="P1593" s="28" t="n">
        <x:v>3</x:v>
      </x:c>
      <x:c r="Q1593" s="24" t="n">
        <x:f>IFERROR(J1593/H1593,0)</x:f>
        <x:v>0.5</x:v>
      </x:c>
      <x:c r="R1593" s="24" t="n">
        <x:f>IFERROR(F1593/H1593,0)</x:f>
        <x:v>0.25</x:v>
      </x:c>
      <x:c r="S1593" s="24" t="n">
        <x:f>IFERROR(F1593/J1593,0)</x:f>
        <x:v>0.5</x:v>
      </x:c>
      <x:c r="T1593" s="28" t="n">
        <x:f>H1593-I1593</x:f>
        <x:v>4</x:v>
      </x:c>
      <x:c r="U1593" s="24" t="n">
        <x:f>IFERROR(J1593/H1593,0)-IFERROR(K1593/I1593,0)</x:f>
        <x:v>0.25</x:v>
      </x:c>
      <x:c r="V1593" s="24" t="n">
        <x:f>IFERROR(F1593/J1593,0)-IFERROR(G1593/K1593,0)</x:f>
        <x:v>0</x:v>
      </x:c>
      <x:c r="W1593" s="28" t="n">
        <x:f>L1593-M1593</x:f>
        <x:v>-3</x:v>
      </x:c>
      <x:c r="X1593" s="24" t="n">
        <x:f>IFERROR(K1593/I1593,0)</x:f>
        <x:v>0.25</x:v>
      </x:c>
      <x:c r="Y1593" s="24" t="n">
        <x:f>IFERROR(G1593/I1593,0)</x:f>
        <x:v>0.125</x:v>
      </x:c>
      <x:c r="Z1593" s="24" t="n">
        <x:f>IFERROR(G1593/K1593,0)</x:f>
        <x:v>0.5</x:v>
      </x:c>
      <x:c r="AA1593" s="24" t="n">
        <x:f>IFERROR(F1593/H1593,0)-IFERROR(G1593/I1593,0)</x:f>
        <x:v>0.125</x:v>
      </x:c>
      <x:c r="AB1593" s="28" t="n">
        <x:f>J1593-K1593</x:f>
        <x:v>6</x:v>
      </x:c>
      <x:c r="AC1593" s="32" t="n">
        <x:f>F1593-G1593</x:f>
        <x:v>3</x:v>
      </x:c>
    </x:row>
    <x:row r="1594">
      <x:c r="A1594" s="4" t="str">
        <x:v>2023-24</x:v>
      </x:c>
      <x:c r="B1594" s="20" t="n">
        <x:v>45172</x:v>
      </x:c>
      <x:c r="C1594" s="4" t="str">
        <x:v>Arsenal</x:v>
      </x:c>
      <x:c r="D1594" s="4" t="str">
        <x:v>Man United</x:v>
      </x:c>
      <x:c r="E1594" s="4" t="str">
        <x:v>Home</x:v>
      </x:c>
      <x:c r="F1594" s="28" t="n">
        <x:v>3</x:v>
      </x:c>
      <x:c r="G1594" s="28" t="n">
        <x:v>1</x:v>
      </x:c>
      <x:c r="H1594" s="28" t="n">
        <x:v>17</x:v>
      </x:c>
      <x:c r="I1594" s="28" t="n">
        <x:v>10</x:v>
      </x:c>
      <x:c r="J1594" s="28" t="n">
        <x:v>5</x:v>
      </x:c>
      <x:c r="K1594" s="28" t="n">
        <x:v>2</x:v>
      </x:c>
      <x:c r="L1594" s="28" t="n">
        <x:v>12</x:v>
      </x:c>
      <x:c r="M1594" s="28" t="n">
        <x:v>3</x:v>
      </x:c>
      <x:c r="N1594" s="28" t="n">
        <x:v>2</x:v>
      </x:c>
      <x:c r="O1594" s="28" t="n">
        <x:v>0</x:v>
      </x:c>
      <x:c r="P1594" s="28" t="n">
        <x:v>3</x:v>
      </x:c>
      <x:c r="Q1594" s="24" t="n">
        <x:f>IFERROR(J1594/H1594,0)</x:f>
        <x:v>0.29411764705882354</x:v>
      </x:c>
      <x:c r="R1594" s="24" t="n">
        <x:f>IFERROR(F1594/H1594,0)</x:f>
        <x:v>0.17647058823529413</x:v>
      </x:c>
      <x:c r="S1594" s="24" t="n">
        <x:f>IFERROR(F1594/J1594,0)</x:f>
        <x:v>0.6</x:v>
      </x:c>
      <x:c r="T1594" s="28" t="n">
        <x:f>H1594-I1594</x:f>
        <x:v>7</x:v>
      </x:c>
      <x:c r="U1594" s="24" t="n">
        <x:f>IFERROR(J1594/H1594,0)-IFERROR(K1594/I1594,0)</x:f>
        <x:v>0.09411764705882353</x:v>
      </x:c>
      <x:c r="V1594" s="24" t="n">
        <x:f>IFERROR(F1594/J1594,0)-IFERROR(G1594/K1594,0)</x:f>
        <x:v>0.09999999999999998</x:v>
      </x:c>
      <x:c r="W1594" s="28" t="n">
        <x:f>L1594-M1594</x:f>
        <x:v>9</x:v>
      </x:c>
      <x:c r="X1594" s="24" t="n">
        <x:f>IFERROR(K1594/I1594,0)</x:f>
        <x:v>0.2</x:v>
      </x:c>
      <x:c r="Y1594" s="24" t="n">
        <x:f>IFERROR(G1594/I1594,0)</x:f>
        <x:v>0.1</x:v>
      </x:c>
      <x:c r="Z1594" s="24" t="n">
        <x:f>IFERROR(G1594/K1594,0)</x:f>
        <x:v>0.5</x:v>
      </x:c>
      <x:c r="AA1594" s="24" t="n">
        <x:f>IFERROR(F1594/H1594,0)-IFERROR(G1594/I1594,0)</x:f>
        <x:v>0.07647058823529412</x:v>
      </x:c>
      <x:c r="AB1594" s="28" t="n">
        <x:f>J1594-K1594</x:f>
        <x:v>3</x:v>
      </x:c>
      <x:c r="AC1594" s="32" t="n">
        <x:f>F1594-G1594</x:f>
        <x:v>2</x:v>
      </x:c>
    </x:row>
    <x:row r="1595">
      <x:c r="A1595" s="4" t="str">
        <x:v>2023-24</x:v>
      </x:c>
      <x:c r="B1595" s="20" t="n">
        <x:v>45172</x:v>
      </x:c>
      <x:c r="C1595" s="4" t="str">
        <x:v>Aston Villa</x:v>
      </x:c>
      <x:c r="D1595" s="4" t="str">
        <x:v>Liverpool</x:v>
      </x:c>
      <x:c r="E1595" s="4" t="str">
        <x:v>Away</x:v>
      </x:c>
      <x:c r="F1595" s="28" t="n">
        <x:v>0</x:v>
      </x:c>
      <x:c r="G1595" s="28" t="n">
        <x:v>3</x:v>
      </x:c>
      <x:c r="H1595" s="28" t="n">
        <x:v>9</x:v>
      </x:c>
      <x:c r="I1595" s="28" t="n">
        <x:v>17</x:v>
      </x:c>
      <x:c r="J1595" s="28" t="n">
        <x:v>3</x:v>
      </x:c>
      <x:c r="K1595" s="28" t="n">
        <x:v>4</x:v>
      </x:c>
      <x:c r="L1595" s="28" t="n">
        <x:v>3</x:v>
      </x:c>
      <x:c r="M1595" s="28" t="n">
        <x:v>7</x:v>
      </x:c>
      <x:c r="N1595" s="28" t="n">
        <x:v>1</x:v>
      </x:c>
      <x:c r="O1595" s="28" t="n">
        <x:v>0</x:v>
      </x:c>
      <x:c r="P1595" s="28" t="n">
        <x:v>0</x:v>
      </x:c>
      <x:c r="Q1595" s="24" t="n">
        <x:f>IFERROR(J1595/H1595,0)</x:f>
        <x:v>0.3333333333333333</x:v>
      </x:c>
      <x:c r="R1595" s="24" t="n">
        <x:f>IFERROR(F1595/H1595,0)</x:f>
        <x:v>0</x:v>
      </x:c>
      <x:c r="S1595" s="24" t="n">
        <x:f>IFERROR(F1595/J1595,0)</x:f>
        <x:v>0</x:v>
      </x:c>
      <x:c r="T1595" s="28" t="n">
        <x:f>H1595-I1595</x:f>
        <x:v>-8</x:v>
      </x:c>
      <x:c r="U1595" s="24" t="n">
        <x:f>IFERROR(J1595/H1595,0)-IFERROR(K1595/I1595,0)</x:f>
        <x:v>0.0980392156862745</x:v>
      </x:c>
      <x:c r="V1595" s="24" t="n">
        <x:f>IFERROR(F1595/J1595,0)-IFERROR(G1595/K1595,0)</x:f>
        <x:v>-0.75</x:v>
      </x:c>
      <x:c r="W1595" s="28" t="n">
        <x:f>L1595-M1595</x:f>
        <x:v>-4</x:v>
      </x:c>
      <x:c r="X1595" s="24" t="n">
        <x:f>IFERROR(K1595/I1595,0)</x:f>
        <x:v>0.23529411764705882</x:v>
      </x:c>
      <x:c r="Y1595" s="24" t="n">
        <x:f>IFERROR(G1595/I1595,0)</x:f>
        <x:v>0.17647058823529413</x:v>
      </x:c>
      <x:c r="Z1595" s="24" t="n">
        <x:f>IFERROR(G1595/K1595,0)</x:f>
        <x:v>0.75</x:v>
      </x:c>
      <x:c r="AA1595" s="24" t="n">
        <x:f>IFERROR(F1595/H1595,0)-IFERROR(G1595/I1595,0)</x:f>
        <x:v>-0.17647058823529413</x:v>
      </x:c>
      <x:c r="AB1595" s="28" t="n">
        <x:f>J1595-K1595</x:f>
        <x:v>-1</x:v>
      </x:c>
      <x:c r="AC1595" s="32" t="n">
        <x:f>F1595-G1595</x:f>
        <x:v>-3</x:v>
      </x:c>
    </x:row>
    <x:row r="1596">
      <x:c r="A1596" s="4" t="str">
        <x:v>2023-24</x:v>
      </x:c>
      <x:c r="B1596" s="20" t="n">
        <x:v>45172</x:v>
      </x:c>
      <x:c r="C1596" s="4" t="str">
        <x:v>Crystal Palace</x:v>
      </x:c>
      <x:c r="D1596" s="4" t="str">
        <x:v>Wolves</x:v>
      </x:c>
      <x:c r="E1596" s="4" t="str">
        <x:v>Home</x:v>
      </x:c>
      <x:c r="F1596" s="28" t="n">
        <x:v>3</x:v>
      </x:c>
      <x:c r="G1596" s="28" t="n">
        <x:v>2</x:v>
      </x:c>
      <x:c r="H1596" s="28" t="n">
        <x:v>16</x:v>
      </x:c>
      <x:c r="I1596" s="28" t="n">
        <x:v>12</x:v>
      </x:c>
      <x:c r="J1596" s="28" t="n">
        <x:v>11</x:v>
      </x:c>
      <x:c r="K1596" s="28" t="n">
        <x:v>4</x:v>
      </x:c>
      <x:c r="L1596" s="28" t="n">
        <x:v>4</x:v>
      </x:c>
      <x:c r="M1596" s="28" t="n">
        <x:v>2</x:v>
      </x:c>
      <x:c r="N1596" s="28" t="n">
        <x:v>1</x:v>
      </x:c>
      <x:c r="O1596" s="28" t="n">
        <x:v>0</x:v>
      </x:c>
      <x:c r="P1596" s="28" t="n">
        <x:v>3</x:v>
      </x:c>
      <x:c r="Q1596" s="24" t="n">
        <x:f>IFERROR(J1596/H1596,0)</x:f>
        <x:v>0.6875</x:v>
      </x:c>
      <x:c r="R1596" s="24" t="n">
        <x:f>IFERROR(F1596/H1596,0)</x:f>
        <x:v>0.1875</x:v>
      </x:c>
      <x:c r="S1596" s="24" t="n">
        <x:f>IFERROR(F1596/J1596,0)</x:f>
        <x:v>0.2727272727272727</x:v>
      </x:c>
      <x:c r="T1596" s="28" t="n">
        <x:f>H1596-I1596</x:f>
        <x:v>4</x:v>
      </x:c>
      <x:c r="U1596" s="24" t="n">
        <x:f>IFERROR(J1596/H1596,0)-IFERROR(K1596/I1596,0)</x:f>
        <x:v>0.3541666666666667</x:v>
      </x:c>
      <x:c r="V1596" s="24" t="n">
        <x:f>IFERROR(F1596/J1596,0)-IFERROR(G1596/K1596,0)</x:f>
        <x:v>-0.2272727272727273</x:v>
      </x:c>
      <x:c r="W1596" s="28" t="n">
        <x:f>L1596-M1596</x:f>
        <x:v>2</x:v>
      </x:c>
      <x:c r="X1596" s="24" t="n">
        <x:f>IFERROR(K1596/I1596,0)</x:f>
        <x:v>0.3333333333333333</x:v>
      </x:c>
      <x:c r="Y1596" s="24" t="n">
        <x:f>IFERROR(G1596/I1596,0)</x:f>
        <x:v>0.16666666666666666</x:v>
      </x:c>
      <x:c r="Z1596" s="24" t="n">
        <x:f>IFERROR(G1596/K1596,0)</x:f>
        <x:v>0.5</x:v>
      </x:c>
      <x:c r="AA1596" s="24" t="n">
        <x:f>IFERROR(F1596/H1596,0)-IFERROR(G1596/I1596,0)</x:f>
        <x:v>0.020833333333333343</x:v>
      </x:c>
      <x:c r="AB1596" s="28" t="n">
        <x:f>J1596-K1596</x:f>
        <x:v>7</x:v>
      </x:c>
      <x:c r="AC1596" s="32" t="n">
        <x:f>F1596-G1596</x:f>
        <x:v>1</x:v>
      </x:c>
    </x:row>
    <x:row r="1597">
      <x:c r="A1597" s="4" t="str">
        <x:v>2023-24</x:v>
      </x:c>
      <x:c r="B1597" s="20" t="n">
        <x:v>45172</x:v>
      </x:c>
      <x:c r="C1597" s="4" t="str">
        <x:v>Liverpool</x:v>
      </x:c>
      <x:c r="D1597" s="4" t="str">
        <x:v>Aston Villa</x:v>
      </x:c>
      <x:c r="E1597" s="4" t="str">
        <x:v>Home</x:v>
      </x:c>
      <x:c r="F1597" s="28" t="n">
        <x:v>3</x:v>
      </x:c>
      <x:c r="G1597" s="28" t="n">
        <x:v>0</x:v>
      </x:c>
      <x:c r="H1597" s="28" t="n">
        <x:v>17</x:v>
      </x:c>
      <x:c r="I1597" s="28" t="n">
        <x:v>9</x:v>
      </x:c>
      <x:c r="J1597" s="28" t="n">
        <x:v>4</x:v>
      </x:c>
      <x:c r="K1597" s="28" t="n">
        <x:v>3</x:v>
      </x:c>
      <x:c r="L1597" s="28" t="n">
        <x:v>7</x:v>
      </x:c>
      <x:c r="M1597" s="28" t="n">
        <x:v>3</x:v>
      </x:c>
      <x:c r="N1597" s="28" t="n">
        <x:v>0</x:v>
      </x:c>
      <x:c r="O1597" s="28" t="n">
        <x:v>0</x:v>
      </x:c>
      <x:c r="P1597" s="28" t="n">
        <x:v>3</x:v>
      </x:c>
      <x:c r="Q1597" s="24" t="n">
        <x:f>IFERROR(J1597/H1597,0)</x:f>
        <x:v>0.23529411764705882</x:v>
      </x:c>
      <x:c r="R1597" s="24" t="n">
        <x:f>IFERROR(F1597/H1597,0)</x:f>
        <x:v>0.17647058823529413</x:v>
      </x:c>
      <x:c r="S1597" s="24" t="n">
        <x:f>IFERROR(F1597/J1597,0)</x:f>
        <x:v>0.75</x:v>
      </x:c>
      <x:c r="T1597" s="28" t="n">
        <x:f>H1597-I1597</x:f>
        <x:v>8</x:v>
      </x:c>
      <x:c r="U1597" s="24" t="n">
        <x:f>IFERROR(J1597/H1597,0)-IFERROR(K1597/I1597,0)</x:f>
        <x:v>-0.0980392156862745</x:v>
      </x:c>
      <x:c r="V1597" s="24" t="n">
        <x:f>IFERROR(F1597/J1597,0)-IFERROR(G1597/K1597,0)</x:f>
        <x:v>0.75</x:v>
      </x:c>
      <x:c r="W1597" s="28" t="n">
        <x:f>L1597-M1597</x:f>
        <x:v>4</x:v>
      </x:c>
      <x:c r="X1597" s="24" t="n">
        <x:f>IFERROR(K1597/I1597,0)</x:f>
        <x:v>0.3333333333333333</x:v>
      </x:c>
      <x:c r="Y1597" s="24" t="n">
        <x:f>IFERROR(G1597/I1597,0)</x:f>
        <x:v>0</x:v>
      </x:c>
      <x:c r="Z1597" s="24" t="n">
        <x:f>IFERROR(G1597/K1597,0)</x:f>
        <x:v>0</x:v>
      </x:c>
      <x:c r="AA1597" s="24" t="n">
        <x:f>IFERROR(F1597/H1597,0)-IFERROR(G1597/I1597,0)</x:f>
        <x:v>0.17647058823529413</x:v>
      </x:c>
      <x:c r="AB1597" s="28" t="n">
        <x:f>J1597-K1597</x:f>
        <x:v>1</x:v>
      </x:c>
      <x:c r="AC1597" s="32" t="n">
        <x:f>F1597-G1597</x:f>
        <x:v>3</x:v>
      </x:c>
    </x:row>
    <x:row r="1598">
      <x:c r="A1598" s="4" t="str">
        <x:v>2023-24</x:v>
      </x:c>
      <x:c r="B1598" s="20" t="n">
        <x:v>45172</x:v>
      </x:c>
      <x:c r="C1598" s="4" t="str">
        <x:v>Man United</x:v>
      </x:c>
      <x:c r="D1598" s="4" t="str">
        <x:v>Arsenal</x:v>
      </x:c>
      <x:c r="E1598" s="4" t="str">
        <x:v>Away</x:v>
      </x:c>
      <x:c r="F1598" s="28" t="n">
        <x:v>1</x:v>
      </x:c>
      <x:c r="G1598" s="28" t="n">
        <x:v>3</x:v>
      </x:c>
      <x:c r="H1598" s="28" t="n">
        <x:v>10</x:v>
      </x:c>
      <x:c r="I1598" s="28" t="n">
        <x:v>17</x:v>
      </x:c>
      <x:c r="J1598" s="28" t="n">
        <x:v>2</x:v>
      </x:c>
      <x:c r="K1598" s="28" t="n">
        <x:v>5</x:v>
      </x:c>
      <x:c r="L1598" s="28" t="n">
        <x:v>3</x:v>
      </x:c>
      <x:c r="M1598" s="28" t="n">
        <x:v>12</x:v>
      </x:c>
      <x:c r="N1598" s="28" t="n">
        <x:v>3</x:v>
      </x:c>
      <x:c r="O1598" s="28" t="n">
        <x:v>0</x:v>
      </x:c>
      <x:c r="P1598" s="28" t="n">
        <x:v>0</x:v>
      </x:c>
      <x:c r="Q1598" s="24" t="n">
        <x:f>IFERROR(J1598/H1598,0)</x:f>
        <x:v>0.2</x:v>
      </x:c>
      <x:c r="R1598" s="24" t="n">
        <x:f>IFERROR(F1598/H1598,0)</x:f>
        <x:v>0.1</x:v>
      </x:c>
      <x:c r="S1598" s="24" t="n">
        <x:f>IFERROR(F1598/J1598,0)</x:f>
        <x:v>0.5</x:v>
      </x:c>
      <x:c r="T1598" s="28" t="n">
        <x:f>H1598-I1598</x:f>
        <x:v>-7</x:v>
      </x:c>
      <x:c r="U1598" s="24" t="n">
        <x:f>IFERROR(J1598/H1598,0)-IFERROR(K1598/I1598,0)</x:f>
        <x:v>-0.09411764705882353</x:v>
      </x:c>
      <x:c r="V1598" s="24" t="n">
        <x:f>IFERROR(F1598/J1598,0)-IFERROR(G1598/K1598,0)</x:f>
        <x:v>-0.09999999999999998</x:v>
      </x:c>
      <x:c r="W1598" s="28" t="n">
        <x:f>L1598-M1598</x:f>
        <x:v>-9</x:v>
      </x:c>
      <x:c r="X1598" s="24" t="n">
        <x:f>IFERROR(K1598/I1598,0)</x:f>
        <x:v>0.29411764705882354</x:v>
      </x:c>
      <x:c r="Y1598" s="24" t="n">
        <x:f>IFERROR(G1598/I1598,0)</x:f>
        <x:v>0.17647058823529413</x:v>
      </x:c>
      <x:c r="Z1598" s="24" t="n">
        <x:f>IFERROR(G1598/K1598,0)</x:f>
        <x:v>0.6</x:v>
      </x:c>
      <x:c r="AA1598" s="24" t="n">
        <x:f>IFERROR(F1598/H1598,0)-IFERROR(G1598/I1598,0)</x:f>
        <x:v>-0.07647058823529412</x:v>
      </x:c>
      <x:c r="AB1598" s="28" t="n">
        <x:f>J1598-K1598</x:f>
        <x:v>-3</x:v>
      </x:c>
      <x:c r="AC1598" s="32" t="n">
        <x:f>F1598-G1598</x:f>
        <x:v>-2</x:v>
      </x:c>
    </x:row>
    <x:row r="1599">
      <x:c r="A1599" s="4" t="str">
        <x:v>2023-24</x:v>
      </x:c>
      <x:c r="B1599" s="20" t="n">
        <x:v>45172</x:v>
      </x:c>
      <x:c r="C1599" s="4" t="str">
        <x:v>Wolves</x:v>
      </x:c>
      <x:c r="D1599" s="4" t="str">
        <x:v>Crystal Palace</x:v>
      </x:c>
      <x:c r="E1599" s="4" t="str">
        <x:v>Away</x:v>
      </x:c>
      <x:c r="F1599" s="28" t="n">
        <x:v>2</x:v>
      </x:c>
      <x:c r="G1599" s="28" t="n">
        <x:v>3</x:v>
      </x:c>
      <x:c r="H1599" s="28" t="n">
        <x:v>12</x:v>
      </x:c>
      <x:c r="I1599" s="28" t="n">
        <x:v>16</x:v>
      </x:c>
      <x:c r="J1599" s="28" t="n">
        <x:v>4</x:v>
      </x:c>
      <x:c r="K1599" s="28" t="n">
        <x:v>11</x:v>
      </x:c>
      <x:c r="L1599" s="28" t="n">
        <x:v>2</x:v>
      </x:c>
      <x:c r="M1599" s="28" t="n">
        <x:v>4</x:v>
      </x:c>
      <x:c r="N1599" s="28" t="n">
        <x:v>3</x:v>
      </x:c>
      <x:c r="O1599" s="28" t="n">
        <x:v>0</x:v>
      </x:c>
      <x:c r="P1599" s="28" t="n">
        <x:v>0</x:v>
      </x:c>
      <x:c r="Q1599" s="24" t="n">
        <x:f>IFERROR(J1599/H1599,0)</x:f>
        <x:v>0.3333333333333333</x:v>
      </x:c>
      <x:c r="R1599" s="24" t="n">
        <x:f>IFERROR(F1599/H1599,0)</x:f>
        <x:v>0.16666666666666666</x:v>
      </x:c>
      <x:c r="S1599" s="24" t="n">
        <x:f>IFERROR(F1599/J1599,0)</x:f>
        <x:v>0.5</x:v>
      </x:c>
      <x:c r="T1599" s="28" t="n">
        <x:f>H1599-I1599</x:f>
        <x:v>-4</x:v>
      </x:c>
      <x:c r="U1599" s="24" t="n">
        <x:f>IFERROR(J1599/H1599,0)-IFERROR(K1599/I1599,0)</x:f>
        <x:v>-0.3541666666666667</x:v>
      </x:c>
      <x:c r="V1599" s="24" t="n">
        <x:f>IFERROR(F1599/J1599,0)-IFERROR(G1599/K1599,0)</x:f>
        <x:v>0.2272727272727273</x:v>
      </x:c>
      <x:c r="W1599" s="28" t="n">
        <x:f>L1599-M1599</x:f>
        <x:v>-2</x:v>
      </x:c>
      <x:c r="X1599" s="24" t="n">
        <x:f>IFERROR(K1599/I1599,0)</x:f>
        <x:v>0.6875</x:v>
      </x:c>
      <x:c r="Y1599" s="24" t="n">
        <x:f>IFERROR(G1599/I1599,0)</x:f>
        <x:v>0.1875</x:v>
      </x:c>
      <x:c r="Z1599" s="24" t="n">
        <x:f>IFERROR(G1599/K1599,0)</x:f>
        <x:v>0.2727272727272727</x:v>
      </x:c>
      <x:c r="AA1599" s="24" t="n">
        <x:f>IFERROR(F1599/H1599,0)-IFERROR(G1599/I1599,0)</x:f>
        <x:v>-0.020833333333333343</x:v>
      </x:c>
      <x:c r="AB1599" s="28" t="n">
        <x:f>J1599-K1599</x:f>
        <x:v>-7</x:v>
      </x:c>
      <x:c r="AC1599" s="32" t="n">
        <x:f>F1599-G1599</x:f>
        <x:v>-1</x:v>
      </x:c>
    </x:row>
    <x:row r="1600">
      <x:c r="A1600" s="4" t="str">
        <x:v>2023-24</x:v>
      </x:c>
      <x:c r="B1600" s="20" t="n">
        <x:v>45185</x:v>
      </x:c>
      <x:c r="C1600" s="4" t="str">
        <x:v>Aston Villa</x:v>
      </x:c>
      <x:c r="D1600" s="4" t="str">
        <x:v>Crystal Palace</x:v>
      </x:c>
      <x:c r="E1600" s="4" t="str">
        <x:v>Home</x:v>
      </x:c>
      <x:c r="F1600" s="28" t="n">
        <x:v>3</x:v>
      </x:c>
      <x:c r="G1600" s="28" t="n">
        <x:v>1</x:v>
      </x:c>
      <x:c r="H1600" s="28" t="n">
        <x:v>16</x:v>
      </x:c>
      <x:c r="I1600" s="28" t="n">
        <x:v>6</x:v>
      </x:c>
      <x:c r="J1600" s="28" t="n">
        <x:v>5</x:v>
      </x:c>
      <x:c r="K1600" s="28" t="n">
        <x:v>3</x:v>
      </x:c>
      <x:c r="L1600" s="28" t="n">
        <x:v>4</x:v>
      </x:c>
      <x:c r="M1600" s="28" t="n">
        <x:v>2</x:v>
      </x:c>
      <x:c r="N1600" s="28" t="n">
        <x:v>5</x:v>
      </x:c>
      <x:c r="O1600" s="28" t="n">
        <x:v>0</x:v>
      </x:c>
      <x:c r="P1600" s="28" t="n">
        <x:v>3</x:v>
      </x:c>
      <x:c r="Q1600" s="24" t="n">
        <x:f>IFERROR(J1600/H1600,0)</x:f>
        <x:v>0.3125</x:v>
      </x:c>
      <x:c r="R1600" s="24" t="n">
        <x:f>IFERROR(F1600/H1600,0)</x:f>
        <x:v>0.1875</x:v>
      </x:c>
      <x:c r="S1600" s="24" t="n">
        <x:f>IFERROR(F1600/J1600,0)</x:f>
        <x:v>0.6</x:v>
      </x:c>
      <x:c r="T1600" s="28" t="n">
        <x:f>H1600-I1600</x:f>
        <x:v>10</x:v>
      </x:c>
      <x:c r="U1600" s="24" t="n">
        <x:f>IFERROR(J1600/H1600,0)-IFERROR(K1600/I1600,0)</x:f>
        <x:v>-0.1875</x:v>
      </x:c>
      <x:c r="V1600" s="24" t="n">
        <x:f>IFERROR(F1600/J1600,0)-IFERROR(G1600/K1600,0)</x:f>
        <x:v>0.26666666666666666</x:v>
      </x:c>
      <x:c r="W1600" s="28" t="n">
        <x:f>L1600-M1600</x:f>
        <x:v>2</x:v>
      </x:c>
      <x:c r="X1600" s="24" t="n">
        <x:f>IFERROR(K1600/I1600,0)</x:f>
        <x:v>0.5</x:v>
      </x:c>
      <x:c r="Y1600" s="24" t="n">
        <x:f>IFERROR(G1600/I1600,0)</x:f>
        <x:v>0.16666666666666666</x:v>
      </x:c>
      <x:c r="Z1600" s="24" t="n">
        <x:f>IFERROR(G1600/K1600,0)</x:f>
        <x:v>0.3333333333333333</x:v>
      </x:c>
      <x:c r="AA1600" s="24" t="n">
        <x:f>IFERROR(F1600/H1600,0)-IFERROR(G1600/I1600,0)</x:f>
        <x:v>0.020833333333333343</x:v>
      </x:c>
      <x:c r="AB1600" s="28" t="n">
        <x:f>J1600-K1600</x:f>
        <x:v>2</x:v>
      </x:c>
      <x:c r="AC1600" s="32" t="n">
        <x:f>F1600-G1600</x:f>
        <x:v>2</x:v>
      </x:c>
    </x:row>
    <x:row r="1601">
      <x:c r="A1601" s="4" t="str">
        <x:v>2023-24</x:v>
      </x:c>
      <x:c r="B1601" s="20" t="n">
        <x:v>45185</x:v>
      </x:c>
      <x:c r="C1601" s="4" t="str">
        <x:v>Brentford</x:v>
      </x:c>
      <x:c r="D1601" s="4" t="str">
        <x:v>Newcastle</x:v>
      </x:c>
      <x:c r="E1601" s="4" t="str">
        <x:v>Away</x:v>
      </x:c>
      <x:c r="F1601" s="28" t="n">
        <x:v>0</x:v>
      </x:c>
      <x:c r="G1601" s="28" t="n">
        <x:v>1</x:v>
      </x:c>
      <x:c r="H1601" s="28" t="n">
        <x:v>11</x:v>
      </x:c>
      <x:c r="I1601" s="28" t="n">
        <x:v>9</x:v>
      </x:c>
      <x:c r="J1601" s="28" t="n">
        <x:v>2</x:v>
      </x:c>
      <x:c r="K1601" s="28" t="n">
        <x:v>2</x:v>
      </x:c>
      <x:c r="L1601" s="28" t="n">
        <x:v>3</x:v>
      </x:c>
      <x:c r="M1601" s="28" t="n">
        <x:v>8</x:v>
      </x:c>
      <x:c r="N1601" s="28" t="n">
        <x:v>5</x:v>
      </x:c>
      <x:c r="O1601" s="28" t="n">
        <x:v>0</x:v>
      </x:c>
      <x:c r="P1601" s="28" t="n">
        <x:v>0</x:v>
      </x:c>
      <x:c r="Q1601" s="24" t="n">
        <x:f>IFERROR(J1601/H1601,0)</x:f>
        <x:v>0.18181818181818182</x:v>
      </x:c>
      <x:c r="R1601" s="24" t="n">
        <x:f>IFERROR(F1601/H1601,0)</x:f>
        <x:v>0</x:v>
      </x:c>
      <x:c r="S1601" s="24" t="n">
        <x:f>IFERROR(F1601/J1601,0)</x:f>
        <x:v>0</x:v>
      </x:c>
      <x:c r="T1601" s="28" t="n">
        <x:f>H1601-I1601</x:f>
        <x:v>2</x:v>
      </x:c>
      <x:c r="U1601" s="24" t="n">
        <x:f>IFERROR(J1601/H1601,0)-IFERROR(K1601/I1601,0)</x:f>
        <x:v>-0.04040404040404039</x:v>
      </x:c>
      <x:c r="V1601" s="24" t="n">
        <x:f>IFERROR(F1601/J1601,0)-IFERROR(G1601/K1601,0)</x:f>
        <x:v>-0.5</x:v>
      </x:c>
      <x:c r="W1601" s="28" t="n">
        <x:f>L1601-M1601</x:f>
        <x:v>-5</x:v>
      </x:c>
      <x:c r="X1601" s="24" t="n">
        <x:f>IFERROR(K1601/I1601,0)</x:f>
        <x:v>0.2222222222222222</x:v>
      </x:c>
      <x:c r="Y1601" s="24" t="n">
        <x:f>IFERROR(G1601/I1601,0)</x:f>
        <x:v>0.1111111111111111</x:v>
      </x:c>
      <x:c r="Z1601" s="24" t="n">
        <x:f>IFERROR(G1601/K1601,0)</x:f>
        <x:v>0.5</x:v>
      </x:c>
      <x:c r="AA1601" s="24" t="n">
        <x:f>IFERROR(F1601/H1601,0)-IFERROR(G1601/I1601,0)</x:f>
        <x:v>-0.1111111111111111</x:v>
      </x:c>
      <x:c r="AB1601" s="28" t="n">
        <x:f>J1601-K1601</x:f>
        <x:v>0</x:v>
      </x:c>
      <x:c r="AC1601" s="32" t="n">
        <x:f>F1601-G1601</x:f>
        <x:v>-1</x:v>
      </x:c>
    </x:row>
    <x:row r="1602">
      <x:c r="A1602" s="4" t="str">
        <x:v>2023-24</x:v>
      </x:c>
      <x:c r="B1602" s="20" t="n">
        <x:v>45185</x:v>
      </x:c>
      <x:c r="C1602" s="4" t="str">
        <x:v>Brighton</x:v>
      </x:c>
      <x:c r="D1602" s="4" t="str">
        <x:v>Man United</x:v>
      </x:c>
      <x:c r="E1602" s="4" t="str">
        <x:v>Away</x:v>
      </x:c>
      <x:c r="F1602" s="28" t="n">
        <x:v>3</x:v>
      </x:c>
      <x:c r="G1602" s="28" t="n">
        <x:v>1</x:v>
      </x:c>
      <x:c r="H1602" s="28" t="n">
        <x:v>10</x:v>
      </x:c>
      <x:c r="I1602" s="28" t="n">
        <x:v>14</x:v>
      </x:c>
      <x:c r="J1602" s="28" t="n">
        <x:v>8</x:v>
      </x:c>
      <x:c r="K1602" s="28" t="n">
        <x:v>4</x:v>
      </x:c>
      <x:c r="L1602" s="28" t="n">
        <x:v>1</x:v>
      </x:c>
      <x:c r="M1602" s="28" t="n">
        <x:v>8</x:v>
      </x:c>
      <x:c r="N1602" s="28" t="n">
        <x:v>2</x:v>
      </x:c>
      <x:c r="O1602" s="28" t="n">
        <x:v>0</x:v>
      </x:c>
      <x:c r="P1602" s="28" t="n">
        <x:v>3</x:v>
      </x:c>
      <x:c r="Q1602" s="24" t="n">
        <x:f>IFERROR(J1602/H1602,0)</x:f>
        <x:v>0.8</x:v>
      </x:c>
      <x:c r="R1602" s="24" t="n">
        <x:f>IFERROR(F1602/H1602,0)</x:f>
        <x:v>0.3</x:v>
      </x:c>
      <x:c r="S1602" s="24" t="n">
        <x:f>IFERROR(F1602/J1602,0)</x:f>
        <x:v>0.375</x:v>
      </x:c>
      <x:c r="T1602" s="28" t="n">
        <x:f>H1602-I1602</x:f>
        <x:v>-4</x:v>
      </x:c>
      <x:c r="U1602" s="24" t="n">
        <x:f>IFERROR(J1602/H1602,0)-IFERROR(K1602/I1602,0)</x:f>
        <x:v>0.5142857142857143</x:v>
      </x:c>
      <x:c r="V1602" s="24" t="n">
        <x:f>IFERROR(F1602/J1602,0)-IFERROR(G1602/K1602,0)</x:f>
        <x:v>0.125</x:v>
      </x:c>
      <x:c r="W1602" s="28" t="n">
        <x:f>L1602-M1602</x:f>
        <x:v>-7</x:v>
      </x:c>
      <x:c r="X1602" s="24" t="n">
        <x:f>IFERROR(K1602/I1602,0)</x:f>
        <x:v>0.2857142857142857</x:v>
      </x:c>
      <x:c r="Y1602" s="24" t="n">
        <x:f>IFERROR(G1602/I1602,0)</x:f>
        <x:v>0.07142857142857142</x:v>
      </x:c>
      <x:c r="Z1602" s="24" t="n">
        <x:f>IFERROR(G1602/K1602,0)</x:f>
        <x:v>0.25</x:v>
      </x:c>
      <x:c r="AA1602" s="24" t="n">
        <x:f>IFERROR(F1602/H1602,0)-IFERROR(G1602/I1602,0)</x:f>
        <x:v>0.22857142857142856</x:v>
      </x:c>
      <x:c r="AB1602" s="28" t="n">
        <x:f>J1602-K1602</x:f>
        <x:v>4</x:v>
      </x:c>
      <x:c r="AC1602" s="32" t="n">
        <x:f>F1602-G1602</x:f>
        <x:v>2</x:v>
      </x:c>
    </x:row>
    <x:row r="1603">
      <x:c r="A1603" s="4" t="str">
        <x:v>2023-24</x:v>
      </x:c>
      <x:c r="B1603" s="20" t="n">
        <x:v>45185</x:v>
      </x:c>
      <x:c r="C1603" s="4" t="str">
        <x:v>Crystal Palace</x:v>
      </x:c>
      <x:c r="D1603" s="4" t="str">
        <x:v>Aston Villa</x:v>
      </x:c>
      <x:c r="E1603" s="4" t="str">
        <x:v>Away</x:v>
      </x:c>
      <x:c r="F1603" s="28" t="n">
        <x:v>1</x:v>
      </x:c>
      <x:c r="G1603" s="28" t="n">
        <x:v>3</x:v>
      </x:c>
      <x:c r="H1603" s="28" t="n">
        <x:v>6</x:v>
      </x:c>
      <x:c r="I1603" s="28" t="n">
        <x:v>16</x:v>
      </x:c>
      <x:c r="J1603" s="28" t="n">
        <x:v>3</x:v>
      </x:c>
      <x:c r="K1603" s="28" t="n">
        <x:v>5</x:v>
      </x:c>
      <x:c r="L1603" s="28" t="n">
        <x:v>2</x:v>
      </x:c>
      <x:c r="M1603" s="28" t="n">
        <x:v>4</x:v>
      </x:c>
      <x:c r="N1603" s="28" t="n">
        <x:v>3</x:v>
      </x:c>
      <x:c r="O1603" s="28" t="n">
        <x:v>0</x:v>
      </x:c>
      <x:c r="P1603" s="28" t="n">
        <x:v>0</x:v>
      </x:c>
      <x:c r="Q1603" s="24" t="n">
        <x:f>IFERROR(J1603/H1603,0)</x:f>
        <x:v>0.5</x:v>
      </x:c>
      <x:c r="R1603" s="24" t="n">
        <x:f>IFERROR(F1603/H1603,0)</x:f>
        <x:v>0.16666666666666666</x:v>
      </x:c>
      <x:c r="S1603" s="24" t="n">
        <x:f>IFERROR(F1603/J1603,0)</x:f>
        <x:v>0.3333333333333333</x:v>
      </x:c>
      <x:c r="T1603" s="28" t="n">
        <x:f>H1603-I1603</x:f>
        <x:v>-10</x:v>
      </x:c>
      <x:c r="U1603" s="24" t="n">
        <x:f>IFERROR(J1603/H1603,0)-IFERROR(K1603/I1603,0)</x:f>
        <x:v>0.1875</x:v>
      </x:c>
      <x:c r="V1603" s="24" t="n">
        <x:f>IFERROR(F1603/J1603,0)-IFERROR(G1603/K1603,0)</x:f>
        <x:v>-0.26666666666666666</x:v>
      </x:c>
      <x:c r="W1603" s="28" t="n">
        <x:f>L1603-M1603</x:f>
        <x:v>-2</x:v>
      </x:c>
      <x:c r="X1603" s="24" t="n">
        <x:f>IFERROR(K1603/I1603,0)</x:f>
        <x:v>0.3125</x:v>
      </x:c>
      <x:c r="Y1603" s="24" t="n">
        <x:f>IFERROR(G1603/I1603,0)</x:f>
        <x:v>0.1875</x:v>
      </x:c>
      <x:c r="Z1603" s="24" t="n">
        <x:f>IFERROR(G1603/K1603,0)</x:f>
        <x:v>0.6</x:v>
      </x:c>
      <x:c r="AA1603" s="24" t="n">
        <x:f>IFERROR(F1603/H1603,0)-IFERROR(G1603/I1603,0)</x:f>
        <x:v>-0.020833333333333343</x:v>
      </x:c>
      <x:c r="AB1603" s="28" t="n">
        <x:f>J1603-K1603</x:f>
        <x:v>-2</x:v>
      </x:c>
      <x:c r="AC1603" s="32" t="n">
        <x:f>F1603-G1603</x:f>
        <x:v>-2</x:v>
      </x:c>
    </x:row>
    <x:row r="1604">
      <x:c r="A1604" s="4" t="str">
        <x:v>2023-24</x:v>
      </x:c>
      <x:c r="B1604" s="20" t="n">
        <x:v>45185</x:v>
      </x:c>
      <x:c r="C1604" s="4" t="str">
        <x:v>Fulham</x:v>
      </x:c>
      <x:c r="D1604" s="4" t="str">
        <x:v>Luton</x:v>
      </x:c>
      <x:c r="E1604" s="4" t="str">
        <x:v>Home</x:v>
      </x:c>
      <x:c r="F1604" s="28" t="n">
        <x:v>1</x:v>
      </x:c>
      <x:c r="G1604" s="28" t="n">
        <x:v>0</x:v>
      </x:c>
      <x:c r="H1604" s="28" t="n">
        <x:v>13</x:v>
      </x:c>
      <x:c r="I1604" s="28" t="n">
        <x:v>7</x:v>
      </x:c>
      <x:c r="J1604" s="28" t="n">
        <x:v>2</x:v>
      </x:c>
      <x:c r="K1604" s="28" t="n">
        <x:v>2</x:v>
      </x:c>
      <x:c r="L1604" s="28" t="n">
        <x:v>6</x:v>
      </x:c>
      <x:c r="M1604" s="28" t="n">
        <x:v>2</x:v>
      </x:c>
      <x:c r="N1604" s="28" t="n">
        <x:v>2</x:v>
      </x:c>
      <x:c r="O1604" s="28" t="n">
        <x:v>0</x:v>
      </x:c>
      <x:c r="P1604" s="28" t="n">
        <x:v>3</x:v>
      </x:c>
      <x:c r="Q1604" s="24" t="n">
        <x:f>IFERROR(J1604/H1604,0)</x:f>
        <x:v>0.15384615384615385</x:v>
      </x:c>
      <x:c r="R1604" s="24" t="n">
        <x:f>IFERROR(F1604/H1604,0)</x:f>
        <x:v>0.07692307692307693</x:v>
      </x:c>
      <x:c r="S1604" s="24" t="n">
        <x:f>IFERROR(F1604/J1604,0)</x:f>
        <x:v>0.5</x:v>
      </x:c>
      <x:c r="T1604" s="28" t="n">
        <x:f>H1604-I1604</x:f>
        <x:v>6</x:v>
      </x:c>
      <x:c r="U1604" s="24" t="n">
        <x:f>IFERROR(J1604/H1604,0)-IFERROR(K1604/I1604,0)</x:f>
        <x:v>-0.13186813186813184</x:v>
      </x:c>
      <x:c r="V1604" s="24" t="n">
        <x:f>IFERROR(F1604/J1604,0)-IFERROR(G1604/K1604,0)</x:f>
        <x:v>0.5</x:v>
      </x:c>
      <x:c r="W1604" s="28" t="n">
        <x:f>L1604-M1604</x:f>
        <x:v>4</x:v>
      </x:c>
      <x:c r="X1604" s="24" t="n">
        <x:f>IFERROR(K1604/I1604,0)</x:f>
        <x:v>0.2857142857142857</x:v>
      </x:c>
      <x:c r="Y1604" s="24" t="n">
        <x:f>IFERROR(G1604/I1604,0)</x:f>
        <x:v>0</x:v>
      </x:c>
      <x:c r="Z1604" s="24" t="n">
        <x:f>IFERROR(G1604/K1604,0)</x:f>
        <x:v>0</x:v>
      </x:c>
      <x:c r="AA1604" s="24" t="n">
        <x:f>IFERROR(F1604/H1604,0)-IFERROR(G1604/I1604,0)</x:f>
        <x:v>0.07692307692307693</x:v>
      </x:c>
      <x:c r="AB1604" s="28" t="n">
        <x:f>J1604-K1604</x:f>
        <x:v>0</x:v>
      </x:c>
      <x:c r="AC1604" s="32" t="n">
        <x:f>F1604-G1604</x:f>
        <x:v>1</x:v>
      </x:c>
    </x:row>
    <x:row r="1605">
      <x:c r="A1605" s="4" t="str">
        <x:v>2023-24</x:v>
      </x:c>
      <x:c r="B1605" s="20" t="n">
        <x:v>45185</x:v>
      </x:c>
      <x:c r="C1605" s="4" t="str">
        <x:v>Liverpool</x:v>
      </x:c>
      <x:c r="D1605" s="4" t="str">
        <x:v>Wolves</x:v>
      </x:c>
      <x:c r="E1605" s="4" t="str">
        <x:v>Away</x:v>
      </x:c>
      <x:c r="F1605" s="28" t="n">
        <x:v>3</x:v>
      </x:c>
      <x:c r="G1605" s="28" t="n">
        <x:v>1</x:v>
      </x:c>
      <x:c r="H1605" s="28" t="n">
        <x:v>16</x:v>
      </x:c>
      <x:c r="I1605" s="28" t="n">
        <x:v>11</x:v>
      </x:c>
      <x:c r="J1605" s="28" t="n">
        <x:v>6</x:v>
      </x:c>
      <x:c r="K1605" s="28" t="n">
        <x:v>2</x:v>
      </x:c>
      <x:c r="L1605" s="28" t="n">
        <x:v>4</x:v>
      </x:c>
      <x:c r="M1605" s="28" t="n">
        <x:v>4</x:v>
      </x:c>
      <x:c r="N1605" s="28" t="n">
        <x:v>3</x:v>
      </x:c>
      <x:c r="O1605" s="28" t="n">
        <x:v>0</x:v>
      </x:c>
      <x:c r="P1605" s="28" t="n">
        <x:v>3</x:v>
      </x:c>
      <x:c r="Q1605" s="24" t="n">
        <x:f>IFERROR(J1605/H1605,0)</x:f>
        <x:v>0.375</x:v>
      </x:c>
      <x:c r="R1605" s="24" t="n">
        <x:f>IFERROR(F1605/H1605,0)</x:f>
        <x:v>0.1875</x:v>
      </x:c>
      <x:c r="S1605" s="24" t="n">
        <x:f>IFERROR(F1605/J1605,0)</x:f>
        <x:v>0.5</x:v>
      </x:c>
      <x:c r="T1605" s="28" t="n">
        <x:f>H1605-I1605</x:f>
        <x:v>5</x:v>
      </x:c>
      <x:c r="U1605" s="24" t="n">
        <x:f>IFERROR(J1605/H1605,0)-IFERROR(K1605/I1605,0)</x:f>
        <x:v>0.19318181818181818</x:v>
      </x:c>
      <x:c r="V1605" s="24" t="n">
        <x:f>IFERROR(F1605/J1605,0)-IFERROR(G1605/K1605,0)</x:f>
        <x:v>0</x:v>
      </x:c>
      <x:c r="W1605" s="28" t="n">
        <x:f>L1605-M1605</x:f>
        <x:v>0</x:v>
      </x:c>
      <x:c r="X1605" s="24" t="n">
        <x:f>IFERROR(K1605/I1605,0)</x:f>
        <x:v>0.18181818181818182</x:v>
      </x:c>
      <x:c r="Y1605" s="24" t="n">
        <x:f>IFERROR(G1605/I1605,0)</x:f>
        <x:v>0.09090909090909091</x:v>
      </x:c>
      <x:c r="Z1605" s="24" t="n">
        <x:f>IFERROR(G1605/K1605,0)</x:f>
        <x:v>0.5</x:v>
      </x:c>
      <x:c r="AA1605" s="24" t="n">
        <x:f>IFERROR(F1605/H1605,0)-IFERROR(G1605/I1605,0)</x:f>
        <x:v>0.09659090909090909</x:v>
      </x:c>
      <x:c r="AB1605" s="28" t="n">
        <x:f>J1605-K1605</x:f>
        <x:v>4</x:v>
      </x:c>
      <x:c r="AC1605" s="32" t="n">
        <x:f>F1605-G1605</x:f>
        <x:v>2</x:v>
      </x:c>
    </x:row>
    <x:row r="1606">
      <x:c r="A1606" s="4" t="str">
        <x:v>2023-24</x:v>
      </x:c>
      <x:c r="B1606" s="20" t="n">
        <x:v>45185</x:v>
      </x:c>
      <x:c r="C1606" s="4" t="str">
        <x:v>Luton</x:v>
      </x:c>
      <x:c r="D1606" s="4" t="str">
        <x:v>Fulham</x:v>
      </x:c>
      <x:c r="E1606" s="4" t="str">
        <x:v>Away</x:v>
      </x:c>
      <x:c r="F1606" s="28" t="n">
        <x:v>0</x:v>
      </x:c>
      <x:c r="G1606" s="28" t="n">
        <x:v>1</x:v>
      </x:c>
      <x:c r="H1606" s="28" t="n">
        <x:v>7</x:v>
      </x:c>
      <x:c r="I1606" s="28" t="n">
        <x:v>13</x:v>
      </x:c>
      <x:c r="J1606" s="28" t="n">
        <x:v>2</x:v>
      </x:c>
      <x:c r="K1606" s="28" t="n">
        <x:v>2</x:v>
      </x:c>
      <x:c r="L1606" s="28" t="n">
        <x:v>2</x:v>
      </x:c>
      <x:c r="M1606" s="28" t="n">
        <x:v>6</x:v>
      </x:c>
      <x:c r="N1606" s="28" t="n">
        <x:v>2</x:v>
      </x:c>
      <x:c r="O1606" s="28" t="n">
        <x:v>0</x:v>
      </x:c>
      <x:c r="P1606" s="28" t="n">
        <x:v>0</x:v>
      </x:c>
      <x:c r="Q1606" s="24" t="n">
        <x:f>IFERROR(J1606/H1606,0)</x:f>
        <x:v>0.2857142857142857</x:v>
      </x:c>
      <x:c r="R1606" s="24" t="n">
        <x:f>IFERROR(F1606/H1606,0)</x:f>
        <x:v>0</x:v>
      </x:c>
      <x:c r="S1606" s="24" t="n">
        <x:f>IFERROR(F1606/J1606,0)</x:f>
        <x:v>0</x:v>
      </x:c>
      <x:c r="T1606" s="28" t="n">
        <x:f>H1606-I1606</x:f>
        <x:v>-6</x:v>
      </x:c>
      <x:c r="U1606" s="24" t="n">
        <x:f>IFERROR(J1606/H1606,0)-IFERROR(K1606/I1606,0)</x:f>
        <x:v>0.13186813186813184</x:v>
      </x:c>
      <x:c r="V1606" s="24" t="n">
        <x:f>IFERROR(F1606/J1606,0)-IFERROR(G1606/K1606,0)</x:f>
        <x:v>-0.5</x:v>
      </x:c>
      <x:c r="W1606" s="28" t="n">
        <x:f>L1606-M1606</x:f>
        <x:v>-4</x:v>
      </x:c>
      <x:c r="X1606" s="24" t="n">
        <x:f>IFERROR(K1606/I1606,0)</x:f>
        <x:v>0.15384615384615385</x:v>
      </x:c>
      <x:c r="Y1606" s="24" t="n">
        <x:f>IFERROR(G1606/I1606,0)</x:f>
        <x:v>0.07692307692307693</x:v>
      </x:c>
      <x:c r="Z1606" s="24" t="n">
        <x:f>IFERROR(G1606/K1606,0)</x:f>
        <x:v>0.5</x:v>
      </x:c>
      <x:c r="AA1606" s="24" t="n">
        <x:f>IFERROR(F1606/H1606,0)-IFERROR(G1606/I1606,0)</x:f>
        <x:v>-0.07692307692307693</x:v>
      </x:c>
      <x:c r="AB1606" s="28" t="n">
        <x:f>J1606-K1606</x:f>
        <x:v>0</x:v>
      </x:c>
      <x:c r="AC1606" s="32" t="n">
        <x:f>F1606-G1606</x:f>
        <x:v>-1</x:v>
      </x:c>
    </x:row>
    <x:row r="1607">
      <x:c r="A1607" s="4" t="str">
        <x:v>2023-24</x:v>
      </x:c>
      <x:c r="B1607" s="20" t="n">
        <x:v>45185</x:v>
      </x:c>
      <x:c r="C1607" s="4" t="str">
        <x:v>Man City</x:v>
      </x:c>
      <x:c r="D1607" s="4" t="str">
        <x:v>West Ham</x:v>
      </x:c>
      <x:c r="E1607" s="4" t="str">
        <x:v>Away</x:v>
      </x:c>
      <x:c r="F1607" s="28" t="n">
        <x:v>3</x:v>
      </x:c>
      <x:c r="G1607" s="28" t="n">
        <x:v>1</x:v>
      </x:c>
      <x:c r="H1607" s="28" t="n">
        <x:v>29</x:v>
      </x:c>
      <x:c r="I1607" s="28" t="n">
        <x:v>6</x:v>
      </x:c>
      <x:c r="J1607" s="28" t="n">
        <x:v>15</x:v>
      </x:c>
      <x:c r="K1607" s="28" t="n">
        <x:v>3</x:v>
      </x:c>
      <x:c r="L1607" s="28" t="n">
        <x:v>11</x:v>
      </x:c>
      <x:c r="M1607" s="28" t="n">
        <x:v>4</x:v>
      </x:c>
      <x:c r="N1607" s="28" t="n">
        <x:v>2</x:v>
      </x:c>
      <x:c r="O1607" s="28" t="n">
        <x:v>0</x:v>
      </x:c>
      <x:c r="P1607" s="28" t="n">
        <x:v>3</x:v>
      </x:c>
      <x:c r="Q1607" s="24" t="n">
        <x:f>IFERROR(J1607/H1607,0)</x:f>
        <x:v>0.5172413793103449</x:v>
      </x:c>
      <x:c r="R1607" s="24" t="n">
        <x:f>IFERROR(F1607/H1607,0)</x:f>
        <x:v>0.10344827586206896</x:v>
      </x:c>
      <x:c r="S1607" s="24" t="n">
        <x:f>IFERROR(F1607/J1607,0)</x:f>
        <x:v>0.2</x:v>
      </x:c>
      <x:c r="T1607" s="28" t="n">
        <x:f>H1607-I1607</x:f>
        <x:v>23</x:v>
      </x:c>
      <x:c r="U1607" s="24" t="n">
        <x:f>IFERROR(J1607/H1607,0)-IFERROR(K1607/I1607,0)</x:f>
        <x:v>0.017241379310344862</x:v>
      </x:c>
      <x:c r="V1607" s="24" t="n">
        <x:f>IFERROR(F1607/J1607,0)-IFERROR(G1607/K1607,0)</x:f>
        <x:v>-0.1333333333333333</x:v>
      </x:c>
      <x:c r="W1607" s="28" t="n">
        <x:f>L1607-M1607</x:f>
        <x:v>7</x:v>
      </x:c>
      <x:c r="X1607" s="24" t="n">
        <x:f>IFERROR(K1607/I1607,0)</x:f>
        <x:v>0.5</x:v>
      </x:c>
      <x:c r="Y1607" s="24" t="n">
        <x:f>IFERROR(G1607/I1607,0)</x:f>
        <x:v>0.16666666666666666</x:v>
      </x:c>
      <x:c r="Z1607" s="24" t="n">
        <x:f>IFERROR(G1607/K1607,0)</x:f>
        <x:v>0.3333333333333333</x:v>
      </x:c>
      <x:c r="AA1607" s="24" t="n">
        <x:f>IFERROR(F1607/H1607,0)-IFERROR(G1607/I1607,0)</x:f>
        <x:v>-0.0632183908045977</x:v>
      </x:c>
      <x:c r="AB1607" s="28" t="n">
        <x:f>J1607-K1607</x:f>
        <x:v>12</x:v>
      </x:c>
      <x:c r="AC1607" s="32" t="n">
        <x:f>F1607-G1607</x:f>
        <x:v>2</x:v>
      </x:c>
    </x:row>
    <x:row r="1608">
      <x:c r="A1608" s="4" t="str">
        <x:v>2023-24</x:v>
      </x:c>
      <x:c r="B1608" s="20" t="n">
        <x:v>45185</x:v>
      </x:c>
      <x:c r="C1608" s="4" t="str">
        <x:v>Man United</x:v>
      </x:c>
      <x:c r="D1608" s="4" t="str">
        <x:v>Brighton</x:v>
      </x:c>
      <x:c r="E1608" s="4" t="str">
        <x:v>Home</x:v>
      </x:c>
      <x:c r="F1608" s="28" t="n">
        <x:v>1</x:v>
      </x:c>
      <x:c r="G1608" s="28" t="n">
        <x:v>3</x:v>
      </x:c>
      <x:c r="H1608" s="28" t="n">
        <x:v>14</x:v>
      </x:c>
      <x:c r="I1608" s="28" t="n">
        <x:v>10</x:v>
      </x:c>
      <x:c r="J1608" s="28" t="n">
        <x:v>4</x:v>
      </x:c>
      <x:c r="K1608" s="28" t="n">
        <x:v>8</x:v>
      </x:c>
      <x:c r="L1608" s="28" t="n">
        <x:v>8</x:v>
      </x:c>
      <x:c r="M1608" s="28" t="n">
        <x:v>1</x:v>
      </x:c>
      <x:c r="N1608" s="28" t="n">
        <x:v>2</x:v>
      </x:c>
      <x:c r="O1608" s="28" t="n">
        <x:v>0</x:v>
      </x:c>
      <x:c r="P1608" s="28" t="n">
        <x:v>0</x:v>
      </x:c>
      <x:c r="Q1608" s="24" t="n">
        <x:f>IFERROR(J1608/H1608,0)</x:f>
        <x:v>0.2857142857142857</x:v>
      </x:c>
      <x:c r="R1608" s="24" t="n">
        <x:f>IFERROR(F1608/H1608,0)</x:f>
        <x:v>0.07142857142857142</x:v>
      </x:c>
      <x:c r="S1608" s="24" t="n">
        <x:f>IFERROR(F1608/J1608,0)</x:f>
        <x:v>0.25</x:v>
      </x:c>
      <x:c r="T1608" s="28" t="n">
        <x:f>H1608-I1608</x:f>
        <x:v>4</x:v>
      </x:c>
      <x:c r="U1608" s="24" t="n">
        <x:f>IFERROR(J1608/H1608,0)-IFERROR(K1608/I1608,0)</x:f>
        <x:v>-0.5142857142857143</x:v>
      </x:c>
      <x:c r="V1608" s="24" t="n">
        <x:f>IFERROR(F1608/J1608,0)-IFERROR(G1608/K1608,0)</x:f>
        <x:v>-0.125</x:v>
      </x:c>
      <x:c r="W1608" s="28" t="n">
        <x:f>L1608-M1608</x:f>
        <x:v>7</x:v>
      </x:c>
      <x:c r="X1608" s="24" t="n">
        <x:f>IFERROR(K1608/I1608,0)</x:f>
        <x:v>0.8</x:v>
      </x:c>
      <x:c r="Y1608" s="24" t="n">
        <x:f>IFERROR(G1608/I1608,0)</x:f>
        <x:v>0.3</x:v>
      </x:c>
      <x:c r="Z1608" s="24" t="n">
        <x:f>IFERROR(G1608/K1608,0)</x:f>
        <x:v>0.375</x:v>
      </x:c>
      <x:c r="AA1608" s="24" t="n">
        <x:f>IFERROR(F1608/H1608,0)-IFERROR(G1608/I1608,0)</x:f>
        <x:v>-0.22857142857142856</x:v>
      </x:c>
      <x:c r="AB1608" s="28" t="n">
        <x:f>J1608-K1608</x:f>
        <x:v>-4</x:v>
      </x:c>
      <x:c r="AC1608" s="32" t="n">
        <x:f>F1608-G1608</x:f>
        <x:v>-2</x:v>
      </x:c>
    </x:row>
    <x:row r="1609">
      <x:c r="A1609" s="4" t="str">
        <x:v>2023-24</x:v>
      </x:c>
      <x:c r="B1609" s="20" t="n">
        <x:v>45185</x:v>
      </x:c>
      <x:c r="C1609" s="4" t="str">
        <x:v>Newcastle</x:v>
      </x:c>
      <x:c r="D1609" s="4" t="str">
        <x:v>Brentford</x:v>
      </x:c>
      <x:c r="E1609" s="4" t="str">
        <x:v>Home</x:v>
      </x:c>
      <x:c r="F1609" s="28" t="n">
        <x:v>1</x:v>
      </x:c>
      <x:c r="G1609" s="28" t="n">
        <x:v>0</x:v>
      </x:c>
      <x:c r="H1609" s="28" t="n">
        <x:v>9</x:v>
      </x:c>
      <x:c r="I1609" s="28" t="n">
        <x:v>11</x:v>
      </x:c>
      <x:c r="J1609" s="28" t="n">
        <x:v>2</x:v>
      </x:c>
      <x:c r="K1609" s="28" t="n">
        <x:v>2</x:v>
      </x:c>
      <x:c r="L1609" s="28" t="n">
        <x:v>8</x:v>
      </x:c>
      <x:c r="M1609" s="28" t="n">
        <x:v>3</x:v>
      </x:c>
      <x:c r="N1609" s="28" t="n">
        <x:v>3</x:v>
      </x:c>
      <x:c r="O1609" s="28" t="n">
        <x:v>0</x:v>
      </x:c>
      <x:c r="P1609" s="28" t="n">
        <x:v>3</x:v>
      </x:c>
      <x:c r="Q1609" s="24" t="n">
        <x:f>IFERROR(J1609/H1609,0)</x:f>
        <x:v>0.2222222222222222</x:v>
      </x:c>
      <x:c r="R1609" s="24" t="n">
        <x:f>IFERROR(F1609/H1609,0)</x:f>
        <x:v>0.1111111111111111</x:v>
      </x:c>
      <x:c r="S1609" s="24" t="n">
        <x:f>IFERROR(F1609/J1609,0)</x:f>
        <x:v>0.5</x:v>
      </x:c>
      <x:c r="T1609" s="28" t="n">
        <x:f>H1609-I1609</x:f>
        <x:v>-2</x:v>
      </x:c>
      <x:c r="U1609" s="24" t="n">
        <x:f>IFERROR(J1609/H1609,0)-IFERROR(K1609/I1609,0)</x:f>
        <x:v>0.04040404040404039</x:v>
      </x:c>
      <x:c r="V1609" s="24" t="n">
        <x:f>IFERROR(F1609/J1609,0)-IFERROR(G1609/K1609,0)</x:f>
        <x:v>0.5</x:v>
      </x:c>
      <x:c r="W1609" s="28" t="n">
        <x:f>L1609-M1609</x:f>
        <x:v>5</x:v>
      </x:c>
      <x:c r="X1609" s="24" t="n">
        <x:f>IFERROR(K1609/I1609,0)</x:f>
        <x:v>0.18181818181818182</x:v>
      </x:c>
      <x:c r="Y1609" s="24" t="n">
        <x:f>IFERROR(G1609/I1609,0)</x:f>
        <x:v>0</x:v>
      </x:c>
      <x:c r="Z1609" s="24" t="n">
        <x:f>IFERROR(G1609/K1609,0)</x:f>
        <x:v>0</x:v>
      </x:c>
      <x:c r="AA1609" s="24" t="n">
        <x:f>IFERROR(F1609/H1609,0)-IFERROR(G1609/I1609,0)</x:f>
        <x:v>0.1111111111111111</x:v>
      </x:c>
      <x:c r="AB1609" s="28" t="n">
        <x:f>J1609-K1609</x:f>
        <x:v>0</x:v>
      </x:c>
      <x:c r="AC1609" s="32" t="n">
        <x:f>F1609-G1609</x:f>
        <x:v>1</x:v>
      </x:c>
    </x:row>
    <x:row r="1610">
      <x:c r="A1610" s="4" t="str">
        <x:v>2023-24</x:v>
      </x:c>
      <x:c r="B1610" s="20" t="n">
        <x:v>45185</x:v>
      </x:c>
      <x:c r="C1610" s="4" t="str">
        <x:v>Sheffield United</x:v>
      </x:c>
      <x:c r="D1610" s="4" t="str">
        <x:v>Tottenham</x:v>
      </x:c>
      <x:c r="E1610" s="4" t="str">
        <x:v>Away</x:v>
      </x:c>
      <x:c r="F1610" s="28" t="n">
        <x:v>1</x:v>
      </x:c>
      <x:c r="G1610" s="28" t="n">
        <x:v>2</x:v>
      </x:c>
      <x:c r="H1610" s="28" t="n">
        <x:v>7</x:v>
      </x:c>
      <x:c r="I1610" s="28" t="n">
        <x:v>28</x:v>
      </x:c>
      <x:c r="J1610" s="28" t="n">
        <x:v>5</x:v>
      </x:c>
      <x:c r="K1610" s="28" t="n">
        <x:v>10</x:v>
      </x:c>
      <x:c r="L1610" s="28" t="n">
        <x:v>2</x:v>
      </x:c>
      <x:c r="M1610" s="28" t="n">
        <x:v>15</x:v>
      </x:c>
      <x:c r="N1610" s="28" t="n">
        <x:v>5</x:v>
      </x:c>
      <x:c r="O1610" s="28" t="n">
        <x:v>1</x:v>
      </x:c>
      <x:c r="P1610" s="28" t="n">
        <x:v>0</x:v>
      </x:c>
      <x:c r="Q1610" s="24" t="n">
        <x:f>IFERROR(J1610/H1610,0)</x:f>
        <x:v>0.7142857142857143</x:v>
      </x:c>
      <x:c r="R1610" s="24" t="n">
        <x:f>IFERROR(F1610/H1610,0)</x:f>
        <x:v>0.14285714285714285</x:v>
      </x:c>
      <x:c r="S1610" s="24" t="n">
        <x:f>IFERROR(F1610/J1610,0)</x:f>
        <x:v>0.2</x:v>
      </x:c>
      <x:c r="T1610" s="28" t="n">
        <x:f>H1610-I1610</x:f>
        <x:v>-21</x:v>
      </x:c>
      <x:c r="U1610" s="24" t="n">
        <x:f>IFERROR(J1610/H1610,0)-IFERROR(K1610/I1610,0)</x:f>
        <x:v>0.35714285714285715</x:v>
      </x:c>
      <x:c r="V1610" s="24" t="n">
        <x:f>IFERROR(F1610/J1610,0)-IFERROR(G1610/K1610,0)</x:f>
        <x:v>0</x:v>
      </x:c>
      <x:c r="W1610" s="28" t="n">
        <x:f>L1610-M1610</x:f>
        <x:v>-13</x:v>
      </x:c>
      <x:c r="X1610" s="24" t="n">
        <x:f>IFERROR(K1610/I1610,0)</x:f>
        <x:v>0.35714285714285715</x:v>
      </x:c>
      <x:c r="Y1610" s="24" t="n">
        <x:f>IFERROR(G1610/I1610,0)</x:f>
        <x:v>0.07142857142857142</x:v>
      </x:c>
      <x:c r="Z1610" s="24" t="n">
        <x:f>IFERROR(G1610/K1610,0)</x:f>
        <x:v>0.2</x:v>
      </x:c>
      <x:c r="AA1610" s="24" t="n">
        <x:f>IFERROR(F1610/H1610,0)-IFERROR(G1610/I1610,0)</x:f>
        <x:v>0.07142857142857142</x:v>
      </x:c>
      <x:c r="AB1610" s="28" t="n">
        <x:f>J1610-K1610</x:f>
        <x:v>-5</x:v>
      </x:c>
      <x:c r="AC1610" s="32" t="n">
        <x:f>F1610-G1610</x:f>
        <x:v>-1</x:v>
      </x:c>
    </x:row>
    <x:row r="1611">
      <x:c r="A1611" s="4" t="str">
        <x:v>2023-24</x:v>
      </x:c>
      <x:c r="B1611" s="20" t="n">
        <x:v>45185</x:v>
      </x:c>
      <x:c r="C1611" s="4" t="str">
        <x:v>Tottenham</x:v>
      </x:c>
      <x:c r="D1611" s="4" t="str">
        <x:v>Sheffield United</x:v>
      </x:c>
      <x:c r="E1611" s="4" t="str">
        <x:v>Home</x:v>
      </x:c>
      <x:c r="F1611" s="28" t="n">
        <x:v>2</x:v>
      </x:c>
      <x:c r="G1611" s="28" t="n">
        <x:v>1</x:v>
      </x:c>
      <x:c r="H1611" s="28" t="n">
        <x:v>28</x:v>
      </x:c>
      <x:c r="I1611" s="28" t="n">
        <x:v>7</x:v>
      </x:c>
      <x:c r="J1611" s="28" t="n">
        <x:v>10</x:v>
      </x:c>
      <x:c r="K1611" s="28" t="n">
        <x:v>5</x:v>
      </x:c>
      <x:c r="L1611" s="28" t="n">
        <x:v>15</x:v>
      </x:c>
      <x:c r="M1611" s="28" t="n">
        <x:v>2</x:v>
      </x:c>
      <x:c r="N1611" s="28" t="n">
        <x:v>6</x:v>
      </x:c>
      <x:c r="O1611" s="28" t="n">
        <x:v>0</x:v>
      </x:c>
      <x:c r="P1611" s="28" t="n">
        <x:v>3</x:v>
      </x:c>
      <x:c r="Q1611" s="24" t="n">
        <x:f>IFERROR(J1611/H1611,0)</x:f>
        <x:v>0.35714285714285715</x:v>
      </x:c>
      <x:c r="R1611" s="24" t="n">
        <x:f>IFERROR(F1611/H1611,0)</x:f>
        <x:v>0.07142857142857142</x:v>
      </x:c>
      <x:c r="S1611" s="24" t="n">
        <x:f>IFERROR(F1611/J1611,0)</x:f>
        <x:v>0.2</x:v>
      </x:c>
      <x:c r="T1611" s="28" t="n">
        <x:f>H1611-I1611</x:f>
        <x:v>21</x:v>
      </x:c>
      <x:c r="U1611" s="24" t="n">
        <x:f>IFERROR(J1611/H1611,0)-IFERROR(K1611/I1611,0)</x:f>
        <x:v>-0.35714285714285715</x:v>
      </x:c>
      <x:c r="V1611" s="24" t="n">
        <x:f>IFERROR(F1611/J1611,0)-IFERROR(G1611/K1611,0)</x:f>
        <x:v>0</x:v>
      </x:c>
      <x:c r="W1611" s="28" t="n">
        <x:f>L1611-M1611</x:f>
        <x:v>13</x:v>
      </x:c>
      <x:c r="X1611" s="24" t="n">
        <x:f>IFERROR(K1611/I1611,0)</x:f>
        <x:v>0.7142857142857143</x:v>
      </x:c>
      <x:c r="Y1611" s="24" t="n">
        <x:f>IFERROR(G1611/I1611,0)</x:f>
        <x:v>0.14285714285714285</x:v>
      </x:c>
      <x:c r="Z1611" s="24" t="n">
        <x:f>IFERROR(G1611/K1611,0)</x:f>
        <x:v>0.2</x:v>
      </x:c>
      <x:c r="AA1611" s="24" t="n">
        <x:f>IFERROR(F1611/H1611,0)-IFERROR(G1611/I1611,0)</x:f>
        <x:v>-0.07142857142857142</x:v>
      </x:c>
      <x:c r="AB1611" s="28" t="n">
        <x:f>J1611-K1611</x:f>
        <x:v>5</x:v>
      </x:c>
      <x:c r="AC1611" s="32" t="n">
        <x:f>F1611-G1611</x:f>
        <x:v>1</x:v>
      </x:c>
    </x:row>
    <x:row r="1612">
      <x:c r="A1612" s="4" t="str">
        <x:v>2023-24</x:v>
      </x:c>
      <x:c r="B1612" s="20" t="n">
        <x:v>45185</x:v>
      </x:c>
      <x:c r="C1612" s="4" t="str">
        <x:v>West Ham</x:v>
      </x:c>
      <x:c r="D1612" s="4" t="str">
        <x:v>Man City</x:v>
      </x:c>
      <x:c r="E1612" s="4" t="str">
        <x:v>Home</x:v>
      </x:c>
      <x:c r="F1612" s="28" t="n">
        <x:v>1</x:v>
      </x:c>
      <x:c r="G1612" s="28" t="n">
        <x:v>3</x:v>
      </x:c>
      <x:c r="H1612" s="28" t="n">
        <x:v>6</x:v>
      </x:c>
      <x:c r="I1612" s="28" t="n">
        <x:v>29</x:v>
      </x:c>
      <x:c r="J1612" s="28" t="n">
        <x:v>3</x:v>
      </x:c>
      <x:c r="K1612" s="28" t="n">
        <x:v>15</x:v>
      </x:c>
      <x:c r="L1612" s="28" t="n">
        <x:v>4</x:v>
      </x:c>
      <x:c r="M1612" s="28" t="n">
        <x:v>11</x:v>
      </x:c>
      <x:c r="N1612" s="28" t="n">
        <x:v>3</x:v>
      </x:c>
      <x:c r="O1612" s="28" t="n">
        <x:v>0</x:v>
      </x:c>
      <x:c r="P1612" s="28" t="n">
        <x:v>0</x:v>
      </x:c>
      <x:c r="Q1612" s="24" t="n">
        <x:f>IFERROR(J1612/H1612,0)</x:f>
        <x:v>0.5</x:v>
      </x:c>
      <x:c r="R1612" s="24" t="n">
        <x:f>IFERROR(F1612/H1612,0)</x:f>
        <x:v>0.16666666666666666</x:v>
      </x:c>
      <x:c r="S1612" s="24" t="n">
        <x:f>IFERROR(F1612/J1612,0)</x:f>
        <x:v>0.3333333333333333</x:v>
      </x:c>
      <x:c r="T1612" s="28" t="n">
        <x:f>H1612-I1612</x:f>
        <x:v>-23</x:v>
      </x:c>
      <x:c r="U1612" s="24" t="n">
        <x:f>IFERROR(J1612/H1612,0)-IFERROR(K1612/I1612,0)</x:f>
        <x:v>-0.017241379310344862</x:v>
      </x:c>
      <x:c r="V1612" s="24" t="n">
        <x:f>IFERROR(F1612/J1612,0)-IFERROR(G1612/K1612,0)</x:f>
        <x:v>0.1333333333333333</x:v>
      </x:c>
      <x:c r="W1612" s="28" t="n">
        <x:f>L1612-M1612</x:f>
        <x:v>-7</x:v>
      </x:c>
      <x:c r="X1612" s="24" t="n">
        <x:f>IFERROR(K1612/I1612,0)</x:f>
        <x:v>0.5172413793103449</x:v>
      </x:c>
      <x:c r="Y1612" s="24" t="n">
        <x:f>IFERROR(G1612/I1612,0)</x:f>
        <x:v>0.10344827586206896</x:v>
      </x:c>
      <x:c r="Z1612" s="24" t="n">
        <x:f>IFERROR(G1612/K1612,0)</x:f>
        <x:v>0.2</x:v>
      </x:c>
      <x:c r="AA1612" s="24" t="n">
        <x:f>IFERROR(F1612/H1612,0)-IFERROR(G1612/I1612,0)</x:f>
        <x:v>0.0632183908045977</x:v>
      </x:c>
      <x:c r="AB1612" s="28" t="n">
        <x:f>J1612-K1612</x:f>
        <x:v>-12</x:v>
      </x:c>
      <x:c r="AC1612" s="32" t="n">
        <x:f>F1612-G1612</x:f>
        <x:v>-2</x:v>
      </x:c>
    </x:row>
    <x:row r="1613">
      <x:c r="A1613" s="4" t="str">
        <x:v>2023-24</x:v>
      </x:c>
      <x:c r="B1613" s="20" t="n">
        <x:v>45185</x:v>
      </x:c>
      <x:c r="C1613" s="4" t="str">
        <x:v>Wolves</x:v>
      </x:c>
      <x:c r="D1613" s="4" t="str">
        <x:v>Liverpool</x:v>
      </x:c>
      <x:c r="E1613" s="4" t="str">
        <x:v>Home</x:v>
      </x:c>
      <x:c r="F1613" s="28" t="n">
        <x:v>1</x:v>
      </x:c>
      <x:c r="G1613" s="28" t="n">
        <x:v>3</x:v>
      </x:c>
      <x:c r="H1613" s="28" t="n">
        <x:v>11</x:v>
      </x:c>
      <x:c r="I1613" s="28" t="n">
        <x:v>16</x:v>
      </x:c>
      <x:c r="J1613" s="28" t="n">
        <x:v>2</x:v>
      </x:c>
      <x:c r="K1613" s="28" t="n">
        <x:v>6</x:v>
      </x:c>
      <x:c r="L1613" s="28" t="n">
        <x:v>4</x:v>
      </x:c>
      <x:c r="M1613" s="28" t="n">
        <x:v>4</x:v>
      </x:c>
      <x:c r="N1613" s="28" t="n">
        <x:v>1</x:v>
      </x:c>
      <x:c r="O1613" s="28" t="n">
        <x:v>0</x:v>
      </x:c>
      <x:c r="P1613" s="28" t="n">
        <x:v>0</x:v>
      </x:c>
      <x:c r="Q1613" s="24" t="n">
        <x:f>IFERROR(J1613/H1613,0)</x:f>
        <x:v>0.18181818181818182</x:v>
      </x:c>
      <x:c r="R1613" s="24" t="n">
        <x:f>IFERROR(F1613/H1613,0)</x:f>
        <x:v>0.09090909090909091</x:v>
      </x:c>
      <x:c r="S1613" s="24" t="n">
        <x:f>IFERROR(F1613/J1613,0)</x:f>
        <x:v>0.5</x:v>
      </x:c>
      <x:c r="T1613" s="28" t="n">
        <x:f>H1613-I1613</x:f>
        <x:v>-5</x:v>
      </x:c>
      <x:c r="U1613" s="24" t="n">
        <x:f>IFERROR(J1613/H1613,0)-IFERROR(K1613/I1613,0)</x:f>
        <x:v>-0.19318181818181818</x:v>
      </x:c>
      <x:c r="V1613" s="24" t="n">
        <x:f>IFERROR(F1613/J1613,0)-IFERROR(G1613/K1613,0)</x:f>
        <x:v>0</x:v>
      </x:c>
      <x:c r="W1613" s="28" t="n">
        <x:f>L1613-M1613</x:f>
        <x:v>0</x:v>
      </x:c>
      <x:c r="X1613" s="24" t="n">
        <x:f>IFERROR(K1613/I1613,0)</x:f>
        <x:v>0.375</x:v>
      </x:c>
      <x:c r="Y1613" s="24" t="n">
        <x:f>IFERROR(G1613/I1613,0)</x:f>
        <x:v>0.1875</x:v>
      </x:c>
      <x:c r="Z1613" s="24" t="n">
        <x:f>IFERROR(G1613/K1613,0)</x:f>
        <x:v>0.5</x:v>
      </x:c>
      <x:c r="AA1613" s="24" t="n">
        <x:f>IFERROR(F1613/H1613,0)-IFERROR(G1613/I1613,0)</x:f>
        <x:v>-0.09659090909090909</x:v>
      </x:c>
      <x:c r="AB1613" s="28" t="n">
        <x:f>J1613-K1613</x:f>
        <x:v>-4</x:v>
      </x:c>
      <x:c r="AC1613" s="32" t="n">
        <x:f>F1613-G1613</x:f>
        <x:v>-2</x:v>
      </x:c>
    </x:row>
    <x:row r="1614">
      <x:c r="A1614" s="4" t="str">
        <x:v>2023-24</x:v>
      </x:c>
      <x:c r="B1614" s="20" t="n">
        <x:v>45186</x:v>
      </x:c>
      <x:c r="C1614" s="4" t="str">
        <x:v>Arsenal</x:v>
      </x:c>
      <x:c r="D1614" s="4" t="str">
        <x:v>Everton</x:v>
      </x:c>
      <x:c r="E1614" s="4" t="str">
        <x:v>Away</x:v>
      </x:c>
      <x:c r="F1614" s="28" t="n">
        <x:v>1</x:v>
      </x:c>
      <x:c r="G1614" s="28" t="n">
        <x:v>0</x:v>
      </x:c>
      <x:c r="H1614" s="28" t="n">
        <x:v>13</x:v>
      </x:c>
      <x:c r="I1614" s="28" t="n">
        <x:v>8</x:v>
      </x:c>
      <x:c r="J1614" s="28" t="n">
        <x:v>4</x:v>
      </x:c>
      <x:c r="K1614" s="28" t="n">
        <x:v>1</x:v>
      </x:c>
      <x:c r="L1614" s="28" t="n">
        <x:v>11</x:v>
      </x:c>
      <x:c r="M1614" s="28" t="n">
        <x:v>1</x:v>
      </x:c>
      <x:c r="N1614" s="28" t="n">
        <x:v>1</x:v>
      </x:c>
      <x:c r="O1614" s="28" t="n">
        <x:v>0</x:v>
      </x:c>
      <x:c r="P1614" s="28" t="n">
        <x:v>3</x:v>
      </x:c>
      <x:c r="Q1614" s="24" t="n">
        <x:f>IFERROR(J1614/H1614,0)</x:f>
        <x:v>0.3076923076923077</x:v>
      </x:c>
      <x:c r="R1614" s="24" t="n">
        <x:f>IFERROR(F1614/H1614,0)</x:f>
        <x:v>0.07692307692307693</x:v>
      </x:c>
      <x:c r="S1614" s="24" t="n">
        <x:f>IFERROR(F1614/J1614,0)</x:f>
        <x:v>0.25</x:v>
      </x:c>
      <x:c r="T1614" s="28" t="n">
        <x:f>H1614-I1614</x:f>
        <x:v>5</x:v>
      </x:c>
      <x:c r="U1614" s="24" t="n">
        <x:f>IFERROR(J1614/H1614,0)-IFERROR(K1614/I1614,0)</x:f>
        <x:v>0.1826923076923077</x:v>
      </x:c>
      <x:c r="V1614" s="24" t="n">
        <x:f>IFERROR(F1614/J1614,0)-IFERROR(G1614/K1614,0)</x:f>
        <x:v>0.25</x:v>
      </x:c>
      <x:c r="W1614" s="28" t="n">
        <x:f>L1614-M1614</x:f>
        <x:v>10</x:v>
      </x:c>
      <x:c r="X1614" s="24" t="n">
        <x:f>IFERROR(K1614/I1614,0)</x:f>
        <x:v>0.125</x:v>
      </x:c>
      <x:c r="Y1614" s="24" t="n">
        <x:f>IFERROR(G1614/I1614,0)</x:f>
        <x:v>0</x:v>
      </x:c>
      <x:c r="Z1614" s="24" t="n">
        <x:f>IFERROR(G1614/K1614,0)</x:f>
        <x:v>0</x:v>
      </x:c>
      <x:c r="AA1614" s="24" t="n">
        <x:f>IFERROR(F1614/H1614,0)-IFERROR(G1614/I1614,0)</x:f>
        <x:v>0.07692307692307693</x:v>
      </x:c>
      <x:c r="AB1614" s="28" t="n">
        <x:f>J1614-K1614</x:f>
        <x:v>3</x:v>
      </x:c>
      <x:c r="AC1614" s="32" t="n">
        <x:f>F1614-G1614</x:f>
        <x:v>1</x:v>
      </x:c>
    </x:row>
    <x:row r="1615">
      <x:c r="A1615" s="4" t="str">
        <x:v>2023-24</x:v>
      </x:c>
      <x:c r="B1615" s="20" t="n">
        <x:v>45186</x:v>
      </x:c>
      <x:c r="C1615" s="4" t="str">
        <x:v>Bournemouth</x:v>
      </x:c>
      <x:c r="D1615" s="4" t="str">
        <x:v>Chelsea</x:v>
      </x:c>
      <x:c r="E1615" s="4" t="str">
        <x:v>Home</x:v>
      </x:c>
      <x:c r="F1615" s="28" t="n">
        <x:v>0</x:v>
      </x:c>
      <x:c r="G1615" s="28" t="n">
        <x:v>0</x:v>
      </x:c>
      <x:c r="H1615" s="28" t="n">
        <x:v>13</x:v>
      </x:c>
      <x:c r="I1615" s="28" t="n">
        <x:v>14</x:v>
      </x:c>
      <x:c r="J1615" s="28" t="n">
        <x:v>4</x:v>
      </x:c>
      <x:c r="K1615" s="28" t="n">
        <x:v>6</x:v>
      </x:c>
      <x:c r="L1615" s="28" t="n">
        <x:v>1</x:v>
      </x:c>
      <x:c r="M1615" s="28" t="n">
        <x:v>7</x:v>
      </x:c>
      <x:c r="N1615" s="28" t="n">
        <x:v>1</x:v>
      </x:c>
      <x:c r="O1615" s="28" t="n">
        <x:v>0</x:v>
      </x:c>
      <x:c r="P1615" s="28" t="n">
        <x:v>1</x:v>
      </x:c>
      <x:c r="Q1615" s="24" t="n">
        <x:f>IFERROR(J1615/H1615,0)</x:f>
        <x:v>0.3076923076923077</x:v>
      </x:c>
      <x:c r="R1615" s="24" t="n">
        <x:f>IFERROR(F1615/H1615,0)</x:f>
        <x:v>0</x:v>
      </x:c>
      <x:c r="S1615" s="24" t="n">
        <x:f>IFERROR(F1615/J1615,0)</x:f>
        <x:v>0</x:v>
      </x:c>
      <x:c r="T1615" s="28" t="n">
        <x:f>H1615-I1615</x:f>
        <x:v>-1</x:v>
      </x:c>
      <x:c r="U1615" s="24" t="n">
        <x:f>IFERROR(J1615/H1615,0)-IFERROR(K1615/I1615,0)</x:f>
        <x:v>-0.12087912087912084</x:v>
      </x:c>
      <x:c r="V1615" s="24" t="n">
        <x:f>IFERROR(F1615/J1615,0)-IFERROR(G1615/K1615,0)</x:f>
        <x:v>0</x:v>
      </x:c>
      <x:c r="W1615" s="28" t="n">
        <x:f>L1615-M1615</x:f>
        <x:v>-6</x:v>
      </x:c>
      <x:c r="X1615" s="24" t="n">
        <x:f>IFERROR(K1615/I1615,0)</x:f>
        <x:v>0.42857142857142855</x:v>
      </x:c>
      <x:c r="Y1615" s="24" t="n">
        <x:f>IFERROR(G1615/I1615,0)</x:f>
        <x:v>0</x:v>
      </x:c>
      <x:c r="Z1615" s="24" t="n">
        <x:f>IFERROR(G1615/K1615,0)</x:f>
        <x:v>0</x:v>
      </x:c>
      <x:c r="AA1615" s="24" t="n">
        <x:f>IFERROR(F1615/H1615,0)-IFERROR(G1615/I1615,0)</x:f>
        <x:v>0</x:v>
      </x:c>
      <x:c r="AB1615" s="28" t="n">
        <x:f>J1615-K1615</x:f>
        <x:v>-2</x:v>
      </x:c>
      <x:c r="AC1615" s="32" t="n">
        <x:f>F1615-G1615</x:f>
        <x:v>0</x:v>
      </x:c>
    </x:row>
    <x:row r="1616">
      <x:c r="A1616" s="4" t="str">
        <x:v>2023-24</x:v>
      </x:c>
      <x:c r="B1616" s="20" t="n">
        <x:v>45186</x:v>
      </x:c>
      <x:c r="C1616" s="4" t="str">
        <x:v>Chelsea</x:v>
      </x:c>
      <x:c r="D1616" s="4" t="str">
        <x:v>Bournemouth</x:v>
      </x:c>
      <x:c r="E1616" s="4" t="str">
        <x:v>Away</x:v>
      </x:c>
      <x:c r="F1616" s="28" t="n">
        <x:v>0</x:v>
      </x:c>
      <x:c r="G1616" s="28" t="n">
        <x:v>0</x:v>
      </x:c>
      <x:c r="H1616" s="28" t="n">
        <x:v>14</x:v>
      </x:c>
      <x:c r="I1616" s="28" t="n">
        <x:v>13</x:v>
      </x:c>
      <x:c r="J1616" s="28" t="n">
        <x:v>6</x:v>
      </x:c>
      <x:c r="K1616" s="28" t="n">
        <x:v>4</x:v>
      </x:c>
      <x:c r="L1616" s="28" t="n">
        <x:v>7</x:v>
      </x:c>
      <x:c r="M1616" s="28" t="n">
        <x:v>1</x:v>
      </x:c>
      <x:c r="N1616" s="28" t="n">
        <x:v>5</x:v>
      </x:c>
      <x:c r="O1616" s="28" t="n">
        <x:v>0</x:v>
      </x:c>
      <x:c r="P1616" s="28" t="n">
        <x:v>1</x:v>
      </x:c>
      <x:c r="Q1616" s="24" t="n">
        <x:f>IFERROR(J1616/H1616,0)</x:f>
        <x:v>0.42857142857142855</x:v>
      </x:c>
      <x:c r="R1616" s="24" t="n">
        <x:f>IFERROR(F1616/H1616,0)</x:f>
        <x:v>0</x:v>
      </x:c>
      <x:c r="S1616" s="24" t="n">
        <x:f>IFERROR(F1616/J1616,0)</x:f>
        <x:v>0</x:v>
      </x:c>
      <x:c r="T1616" s="28" t="n">
        <x:f>H1616-I1616</x:f>
        <x:v>1</x:v>
      </x:c>
      <x:c r="U1616" s="24" t="n">
        <x:f>IFERROR(J1616/H1616,0)-IFERROR(K1616/I1616,0)</x:f>
        <x:v>0.12087912087912084</x:v>
      </x:c>
      <x:c r="V1616" s="24" t="n">
        <x:f>IFERROR(F1616/J1616,0)-IFERROR(G1616/K1616,0)</x:f>
        <x:v>0</x:v>
      </x:c>
      <x:c r="W1616" s="28" t="n">
        <x:f>L1616-M1616</x:f>
        <x:v>6</x:v>
      </x:c>
      <x:c r="X1616" s="24" t="n">
        <x:f>IFERROR(K1616/I1616,0)</x:f>
        <x:v>0.3076923076923077</x:v>
      </x:c>
      <x:c r="Y1616" s="24" t="n">
        <x:f>IFERROR(G1616/I1616,0)</x:f>
        <x:v>0</x:v>
      </x:c>
      <x:c r="Z1616" s="24" t="n">
        <x:f>IFERROR(G1616/K1616,0)</x:f>
        <x:v>0</x:v>
      </x:c>
      <x:c r="AA1616" s="24" t="n">
        <x:f>IFERROR(F1616/H1616,0)-IFERROR(G1616/I1616,0)</x:f>
        <x:v>0</x:v>
      </x:c>
      <x:c r="AB1616" s="28" t="n">
        <x:f>J1616-K1616</x:f>
        <x:v>2</x:v>
      </x:c>
      <x:c r="AC1616" s="32" t="n">
        <x:f>F1616-G1616</x:f>
        <x:v>0</x:v>
      </x:c>
    </x:row>
    <x:row r="1617">
      <x:c r="A1617" s="4" t="str">
        <x:v>2023-24</x:v>
      </x:c>
      <x:c r="B1617" s="20" t="n">
        <x:v>45186</x:v>
      </x:c>
      <x:c r="C1617" s="4" t="str">
        <x:v>Everton</x:v>
      </x:c>
      <x:c r="D1617" s="4" t="str">
        <x:v>Arsenal</x:v>
      </x:c>
      <x:c r="E1617" s="4" t="str">
        <x:v>Home</x:v>
      </x:c>
      <x:c r="F1617" s="28" t="n">
        <x:v>0</x:v>
      </x:c>
      <x:c r="G1617" s="28" t="n">
        <x:v>1</x:v>
      </x:c>
      <x:c r="H1617" s="28" t="n">
        <x:v>8</x:v>
      </x:c>
      <x:c r="I1617" s="28" t="n">
        <x:v>13</x:v>
      </x:c>
      <x:c r="J1617" s="28" t="n">
        <x:v>1</x:v>
      </x:c>
      <x:c r="K1617" s="28" t="n">
        <x:v>4</x:v>
      </x:c>
      <x:c r="L1617" s="28" t="n">
        <x:v>1</x:v>
      </x:c>
      <x:c r="M1617" s="28" t="n">
        <x:v>11</x:v>
      </x:c>
      <x:c r="N1617" s="28" t="n">
        <x:v>1</x:v>
      </x:c>
      <x:c r="O1617" s="28" t="n">
        <x:v>0</x:v>
      </x:c>
      <x:c r="P1617" s="28" t="n">
        <x:v>0</x:v>
      </x:c>
      <x:c r="Q1617" s="24" t="n">
        <x:f>IFERROR(J1617/H1617,0)</x:f>
        <x:v>0.125</x:v>
      </x:c>
      <x:c r="R1617" s="24" t="n">
        <x:f>IFERROR(F1617/H1617,0)</x:f>
        <x:v>0</x:v>
      </x:c>
      <x:c r="S1617" s="24" t="n">
        <x:f>IFERROR(F1617/J1617,0)</x:f>
        <x:v>0</x:v>
      </x:c>
      <x:c r="T1617" s="28" t="n">
        <x:f>H1617-I1617</x:f>
        <x:v>-5</x:v>
      </x:c>
      <x:c r="U1617" s="24" t="n">
        <x:f>IFERROR(J1617/H1617,0)-IFERROR(K1617/I1617,0)</x:f>
        <x:v>-0.1826923076923077</x:v>
      </x:c>
      <x:c r="V1617" s="24" t="n">
        <x:f>IFERROR(F1617/J1617,0)-IFERROR(G1617/K1617,0)</x:f>
        <x:v>-0.25</x:v>
      </x:c>
      <x:c r="W1617" s="28" t="n">
        <x:f>L1617-M1617</x:f>
        <x:v>-10</x:v>
      </x:c>
      <x:c r="X1617" s="24" t="n">
        <x:f>IFERROR(K1617/I1617,0)</x:f>
        <x:v>0.3076923076923077</x:v>
      </x:c>
      <x:c r="Y1617" s="24" t="n">
        <x:f>IFERROR(G1617/I1617,0)</x:f>
        <x:v>0.07692307692307693</x:v>
      </x:c>
      <x:c r="Z1617" s="24" t="n">
        <x:f>IFERROR(G1617/K1617,0)</x:f>
        <x:v>0.25</x:v>
      </x:c>
      <x:c r="AA1617" s="24" t="n">
        <x:f>IFERROR(F1617/H1617,0)-IFERROR(G1617/I1617,0)</x:f>
        <x:v>-0.07692307692307693</x:v>
      </x:c>
      <x:c r="AB1617" s="28" t="n">
        <x:f>J1617-K1617</x:f>
        <x:v>-3</x:v>
      </x:c>
      <x:c r="AC1617" s="32" t="n">
        <x:f>F1617-G1617</x:f>
        <x:v>-1</x:v>
      </x:c>
    </x:row>
    <x:row r="1618">
      <x:c r="A1618" s="4" t="str">
        <x:v>2023-24</x:v>
      </x:c>
      <x:c r="B1618" s="20" t="n">
        <x:v>45187</x:v>
      </x:c>
      <x:c r="C1618" s="4" t="str">
        <x:v>Burnley</x:v>
      </x:c>
      <x:c r="D1618" s="4" t="str">
        <x:v>Nott'm Forest</x:v>
      </x:c>
      <x:c r="E1618" s="4" t="str">
        <x:v>Away</x:v>
      </x:c>
      <x:c r="F1618" s="28" t="n">
        <x:v>1</x:v>
      </x:c>
      <x:c r="G1618" s="28" t="n">
        <x:v>1</x:v>
      </x:c>
      <x:c r="H1618" s="28" t="n">
        <x:v>10</x:v>
      </x:c>
      <x:c r="I1618" s="28" t="n">
        <x:v>14</x:v>
      </x:c>
      <x:c r="J1618" s="28" t="n">
        <x:v>3</x:v>
      </x:c>
      <x:c r="K1618" s="28" t="n">
        <x:v>4</x:v>
      </x:c>
      <x:c r="L1618" s="28" t="n">
        <x:v>4</x:v>
      </x:c>
      <x:c r="M1618" s="28" t="n">
        <x:v>5</x:v>
      </x:c>
      <x:c r="N1618" s="28" t="n">
        <x:v>3</x:v>
      </x:c>
      <x:c r="O1618" s="28" t="n">
        <x:v>1</x:v>
      </x:c>
      <x:c r="P1618" s="28" t="n">
        <x:v>1</x:v>
      </x:c>
      <x:c r="Q1618" s="24" t="n">
        <x:f>IFERROR(J1618/H1618,0)</x:f>
        <x:v>0.3</x:v>
      </x:c>
      <x:c r="R1618" s="24" t="n">
        <x:f>IFERROR(F1618/H1618,0)</x:f>
        <x:v>0.1</x:v>
      </x:c>
      <x:c r="S1618" s="24" t="n">
        <x:f>IFERROR(F1618/J1618,0)</x:f>
        <x:v>0.3333333333333333</x:v>
      </x:c>
      <x:c r="T1618" s="28" t="n">
        <x:f>H1618-I1618</x:f>
        <x:v>-4</x:v>
      </x:c>
      <x:c r="U1618" s="24" t="n">
        <x:f>IFERROR(J1618/H1618,0)-IFERROR(K1618/I1618,0)</x:f>
        <x:v>0.01428571428571429</x:v>
      </x:c>
      <x:c r="V1618" s="24" t="n">
        <x:f>IFERROR(F1618/J1618,0)-IFERROR(G1618/K1618,0)</x:f>
        <x:v>0.08333333333333331</x:v>
      </x:c>
      <x:c r="W1618" s="28" t="n">
        <x:f>L1618-M1618</x:f>
        <x:v>-1</x:v>
      </x:c>
      <x:c r="X1618" s="24" t="n">
        <x:f>IFERROR(K1618/I1618,0)</x:f>
        <x:v>0.2857142857142857</x:v>
      </x:c>
      <x:c r="Y1618" s="24" t="n">
        <x:f>IFERROR(G1618/I1618,0)</x:f>
        <x:v>0.07142857142857142</x:v>
      </x:c>
      <x:c r="Z1618" s="24" t="n">
        <x:f>IFERROR(G1618/K1618,0)</x:f>
        <x:v>0.25</x:v>
      </x:c>
      <x:c r="AA1618" s="24" t="n">
        <x:f>IFERROR(F1618/H1618,0)-IFERROR(G1618/I1618,0)</x:f>
        <x:v>0.02857142857142858</x:v>
      </x:c>
      <x:c r="AB1618" s="28" t="n">
        <x:f>J1618-K1618</x:f>
        <x:v>-1</x:v>
      </x:c>
      <x:c r="AC1618" s="32" t="n">
        <x:f>F1618-G1618</x:f>
        <x:v>0</x:v>
      </x:c>
    </x:row>
    <x:row r="1619">
      <x:c r="A1619" s="4" t="str">
        <x:v>2023-24</x:v>
      </x:c>
      <x:c r="B1619" s="20" t="n">
        <x:v>45187</x:v>
      </x:c>
      <x:c r="C1619" s="4" t="str">
        <x:v>Nott'm Forest</x:v>
      </x:c>
      <x:c r="D1619" s="4" t="str">
        <x:v>Burnley</x:v>
      </x:c>
      <x:c r="E1619" s="4" t="str">
        <x:v>Home</x:v>
      </x:c>
      <x:c r="F1619" s="28" t="n">
        <x:v>1</x:v>
      </x:c>
      <x:c r="G1619" s="28" t="n">
        <x:v>1</x:v>
      </x:c>
      <x:c r="H1619" s="28" t="n">
        <x:v>14</x:v>
      </x:c>
      <x:c r="I1619" s="28" t="n">
        <x:v>10</x:v>
      </x:c>
      <x:c r="J1619" s="28" t="n">
        <x:v>4</x:v>
      </x:c>
      <x:c r="K1619" s="28" t="n">
        <x:v>3</x:v>
      </x:c>
      <x:c r="L1619" s="28" t="n">
        <x:v>5</x:v>
      </x:c>
      <x:c r="M1619" s="28" t="n">
        <x:v>4</x:v>
      </x:c>
      <x:c r="N1619" s="28" t="n">
        <x:v>2</x:v>
      </x:c>
      <x:c r="O1619" s="28" t="n">
        <x:v>0</x:v>
      </x:c>
      <x:c r="P1619" s="28" t="n">
        <x:v>1</x:v>
      </x:c>
      <x:c r="Q1619" s="24" t="n">
        <x:f>IFERROR(J1619/H1619,0)</x:f>
        <x:v>0.2857142857142857</x:v>
      </x:c>
      <x:c r="R1619" s="24" t="n">
        <x:f>IFERROR(F1619/H1619,0)</x:f>
        <x:v>0.07142857142857142</x:v>
      </x:c>
      <x:c r="S1619" s="24" t="n">
        <x:f>IFERROR(F1619/J1619,0)</x:f>
        <x:v>0.25</x:v>
      </x:c>
      <x:c r="T1619" s="28" t="n">
        <x:f>H1619-I1619</x:f>
        <x:v>4</x:v>
      </x:c>
      <x:c r="U1619" s="24" t="n">
        <x:f>IFERROR(J1619/H1619,0)-IFERROR(K1619/I1619,0)</x:f>
        <x:v>-0.01428571428571429</x:v>
      </x:c>
      <x:c r="V1619" s="24" t="n">
        <x:f>IFERROR(F1619/J1619,0)-IFERROR(G1619/K1619,0)</x:f>
        <x:v>-0.08333333333333331</x:v>
      </x:c>
      <x:c r="W1619" s="28" t="n">
        <x:f>L1619-M1619</x:f>
        <x:v>1</x:v>
      </x:c>
      <x:c r="X1619" s="24" t="n">
        <x:f>IFERROR(K1619/I1619,0)</x:f>
        <x:v>0.3</x:v>
      </x:c>
      <x:c r="Y1619" s="24" t="n">
        <x:f>IFERROR(G1619/I1619,0)</x:f>
        <x:v>0.1</x:v>
      </x:c>
      <x:c r="Z1619" s="24" t="n">
        <x:f>IFERROR(G1619/K1619,0)</x:f>
        <x:v>0.3333333333333333</x:v>
      </x:c>
      <x:c r="AA1619" s="24" t="n">
        <x:f>IFERROR(F1619/H1619,0)-IFERROR(G1619/I1619,0)</x:f>
        <x:v>-0.02857142857142858</x:v>
      </x:c>
      <x:c r="AB1619" s="28" t="n">
        <x:f>J1619-K1619</x:f>
        <x:v>1</x:v>
      </x:c>
      <x:c r="AC1619" s="32" t="n">
        <x:f>F1619-G1619</x:f>
        <x:v>0</x:v>
      </x:c>
    </x:row>
    <x:row r="1620">
      <x:c r="A1620" s="4" t="str">
        <x:v>2023-24</x:v>
      </x:c>
      <x:c r="B1620" s="20" t="n">
        <x:v>45192</x:v>
      </x:c>
      <x:c r="C1620" s="4" t="str">
        <x:v>Brentford</x:v>
      </x:c>
      <x:c r="D1620" s="4" t="str">
        <x:v>Everton</x:v>
      </x:c>
      <x:c r="E1620" s="4" t="str">
        <x:v>Home</x:v>
      </x:c>
      <x:c r="F1620" s="28" t="n">
        <x:v>1</x:v>
      </x:c>
      <x:c r="G1620" s="28" t="n">
        <x:v>3</x:v>
      </x:c>
      <x:c r="H1620" s="28" t="n">
        <x:v>12</x:v>
      </x:c>
      <x:c r="I1620" s="28" t="n">
        <x:v>18</x:v>
      </x:c>
      <x:c r="J1620" s="28" t="n">
        <x:v>2</x:v>
      </x:c>
      <x:c r="K1620" s="28" t="n">
        <x:v>6</x:v>
      </x:c>
      <x:c r="L1620" s="28" t="n">
        <x:v>1</x:v>
      </x:c>
      <x:c r="M1620" s="28" t="n">
        <x:v>4</x:v>
      </x:c>
      <x:c r="N1620" s="28" t="n">
        <x:v>2</x:v>
      </x:c>
      <x:c r="O1620" s="28" t="n">
        <x:v>0</x:v>
      </x:c>
      <x:c r="P1620" s="28" t="n">
        <x:v>0</x:v>
      </x:c>
      <x:c r="Q1620" s="24" t="n">
        <x:f>IFERROR(J1620/H1620,0)</x:f>
        <x:v>0.16666666666666666</x:v>
      </x:c>
      <x:c r="R1620" s="24" t="n">
        <x:f>IFERROR(F1620/H1620,0)</x:f>
        <x:v>0.08333333333333333</x:v>
      </x:c>
      <x:c r="S1620" s="24" t="n">
        <x:f>IFERROR(F1620/J1620,0)</x:f>
        <x:v>0.5</x:v>
      </x:c>
      <x:c r="T1620" s="28" t="n">
        <x:f>H1620-I1620</x:f>
        <x:v>-6</x:v>
      </x:c>
      <x:c r="U1620" s="24" t="n">
        <x:f>IFERROR(J1620/H1620,0)-IFERROR(K1620/I1620,0)</x:f>
        <x:v>-0.16666666666666666</x:v>
      </x:c>
      <x:c r="V1620" s="24" t="n">
        <x:f>IFERROR(F1620/J1620,0)-IFERROR(G1620/K1620,0)</x:f>
        <x:v>0</x:v>
      </x:c>
      <x:c r="W1620" s="28" t="n">
        <x:f>L1620-M1620</x:f>
        <x:v>-3</x:v>
      </x:c>
      <x:c r="X1620" s="24" t="n">
        <x:f>IFERROR(K1620/I1620,0)</x:f>
        <x:v>0.3333333333333333</x:v>
      </x:c>
      <x:c r="Y1620" s="24" t="n">
        <x:f>IFERROR(G1620/I1620,0)</x:f>
        <x:v>0.16666666666666666</x:v>
      </x:c>
      <x:c r="Z1620" s="24" t="n">
        <x:f>IFERROR(G1620/K1620,0)</x:f>
        <x:v>0.5</x:v>
      </x:c>
      <x:c r="AA1620" s="24" t="n">
        <x:f>IFERROR(F1620/H1620,0)-IFERROR(G1620/I1620,0)</x:f>
        <x:v>-0.08333333333333333</x:v>
      </x:c>
      <x:c r="AB1620" s="28" t="n">
        <x:f>J1620-K1620</x:f>
        <x:v>-4</x:v>
      </x:c>
      <x:c r="AC1620" s="32" t="n">
        <x:f>F1620-G1620</x:f>
        <x:v>-2</x:v>
      </x:c>
    </x:row>
    <x:row r="1621">
      <x:c r="A1621" s="4" t="str">
        <x:v>2023-24</x:v>
      </x:c>
      <x:c r="B1621" s="20" t="n">
        <x:v>45192</x:v>
      </x:c>
      <x:c r="C1621" s="4" t="str">
        <x:v>Burnley</x:v>
      </x:c>
      <x:c r="D1621" s="4" t="str">
        <x:v>Man United</x:v>
      </x:c>
      <x:c r="E1621" s="4" t="str">
        <x:v>Home</x:v>
      </x:c>
      <x:c r="F1621" s="28" t="n">
        <x:v>0</x:v>
      </x:c>
      <x:c r="G1621" s="28" t="n">
        <x:v>1</x:v>
      </x:c>
      <x:c r="H1621" s="28" t="n">
        <x:v>12</x:v>
      </x:c>
      <x:c r="I1621" s="28" t="n">
        <x:v>11</x:v>
      </x:c>
      <x:c r="J1621" s="28" t="n">
        <x:v>4</x:v>
      </x:c>
      <x:c r="K1621" s="28" t="n">
        <x:v>4</x:v>
      </x:c>
      <x:c r="L1621" s="28" t="n">
        <x:v>9</x:v>
      </x:c>
      <x:c r="M1621" s="28" t="n">
        <x:v>5</x:v>
      </x:c>
      <x:c r="N1621" s="28" t="n">
        <x:v>1</x:v>
      </x:c>
      <x:c r="O1621" s="28" t="n">
        <x:v>0</x:v>
      </x:c>
      <x:c r="P1621" s="28" t="n">
        <x:v>0</x:v>
      </x:c>
      <x:c r="Q1621" s="24" t="n">
        <x:f>IFERROR(J1621/H1621,0)</x:f>
        <x:v>0.3333333333333333</x:v>
      </x:c>
      <x:c r="R1621" s="24" t="n">
        <x:f>IFERROR(F1621/H1621,0)</x:f>
        <x:v>0</x:v>
      </x:c>
      <x:c r="S1621" s="24" t="n">
        <x:f>IFERROR(F1621/J1621,0)</x:f>
        <x:v>0</x:v>
      </x:c>
      <x:c r="T1621" s="28" t="n">
        <x:f>H1621-I1621</x:f>
        <x:v>1</x:v>
      </x:c>
      <x:c r="U1621" s="24" t="n">
        <x:f>IFERROR(J1621/H1621,0)-IFERROR(K1621/I1621,0)</x:f>
        <x:v>-0.03030303030303033</x:v>
      </x:c>
      <x:c r="V1621" s="24" t="n">
        <x:f>IFERROR(F1621/J1621,0)-IFERROR(G1621/K1621,0)</x:f>
        <x:v>-0.25</x:v>
      </x:c>
      <x:c r="W1621" s="28" t="n">
        <x:f>L1621-M1621</x:f>
        <x:v>4</x:v>
      </x:c>
      <x:c r="X1621" s="24" t="n">
        <x:f>IFERROR(K1621/I1621,0)</x:f>
        <x:v>0.36363636363636365</x:v>
      </x:c>
      <x:c r="Y1621" s="24" t="n">
        <x:f>IFERROR(G1621/I1621,0)</x:f>
        <x:v>0.09090909090909091</x:v>
      </x:c>
      <x:c r="Z1621" s="24" t="n">
        <x:f>IFERROR(G1621/K1621,0)</x:f>
        <x:v>0.25</x:v>
      </x:c>
      <x:c r="AA1621" s="24" t="n">
        <x:f>IFERROR(F1621/H1621,0)-IFERROR(G1621/I1621,0)</x:f>
        <x:v>-0.09090909090909091</x:v>
      </x:c>
      <x:c r="AB1621" s="28" t="n">
        <x:f>J1621-K1621</x:f>
        <x:v>0</x:v>
      </x:c>
      <x:c r="AC1621" s="32" t="n">
        <x:f>F1621-G1621</x:f>
        <x:v>-1</x:v>
      </x:c>
    </x:row>
    <x:row r="1622">
      <x:c r="A1622" s="4" t="str">
        <x:v>2023-24</x:v>
      </x:c>
      <x:c r="B1622" s="20" t="n">
        <x:v>45192</x:v>
      </x:c>
      <x:c r="C1622" s="4" t="str">
        <x:v>Crystal Palace</x:v>
      </x:c>
      <x:c r="D1622" s="4" t="str">
        <x:v>Fulham</x:v>
      </x:c>
      <x:c r="E1622" s="4" t="str">
        <x:v>Home</x:v>
      </x:c>
      <x:c r="F1622" s="28" t="n">
        <x:v>0</x:v>
      </x:c>
      <x:c r="G1622" s="28" t="n">
        <x:v>0</x:v>
      </x:c>
      <x:c r="H1622" s="28" t="n">
        <x:v>7</x:v>
      </x:c>
      <x:c r="I1622" s="28" t="n">
        <x:v>10</x:v>
      </x:c>
      <x:c r="J1622" s="28" t="n">
        <x:v>3</x:v>
      </x:c>
      <x:c r="K1622" s="28" t="n">
        <x:v>5</x:v>
      </x:c>
      <x:c r="L1622" s="28" t="n">
        <x:v>3</x:v>
      </x:c>
      <x:c r="M1622" s="28" t="n">
        <x:v>2</x:v>
      </x:c>
      <x:c r="N1622" s="28" t="n">
        <x:v>3</x:v>
      </x:c>
      <x:c r="O1622" s="28" t="n">
        <x:v>0</x:v>
      </x:c>
      <x:c r="P1622" s="28" t="n">
        <x:v>1</x:v>
      </x:c>
      <x:c r="Q1622" s="24" t="n">
        <x:f>IFERROR(J1622/H1622,0)</x:f>
        <x:v>0.42857142857142855</x:v>
      </x:c>
      <x:c r="R1622" s="24" t="n">
        <x:f>IFERROR(F1622/H1622,0)</x:f>
        <x:v>0</x:v>
      </x:c>
      <x:c r="S1622" s="24" t="n">
        <x:f>IFERROR(F1622/J1622,0)</x:f>
        <x:v>0</x:v>
      </x:c>
      <x:c r="T1622" s="28" t="n">
        <x:f>H1622-I1622</x:f>
        <x:v>-3</x:v>
      </x:c>
      <x:c r="U1622" s="24" t="n">
        <x:f>IFERROR(J1622/H1622,0)-IFERROR(K1622/I1622,0)</x:f>
        <x:v>-0.07142857142857145</x:v>
      </x:c>
      <x:c r="V1622" s="24" t="n">
        <x:f>IFERROR(F1622/J1622,0)-IFERROR(G1622/K1622,0)</x:f>
        <x:v>0</x:v>
      </x:c>
      <x:c r="W1622" s="28" t="n">
        <x:f>L1622-M1622</x:f>
        <x:v>1</x:v>
      </x:c>
      <x:c r="X1622" s="24" t="n">
        <x:f>IFERROR(K1622/I1622,0)</x:f>
        <x:v>0.5</x:v>
      </x:c>
      <x:c r="Y1622" s="24" t="n">
        <x:f>IFERROR(G1622/I1622,0)</x:f>
        <x:v>0</x:v>
      </x:c>
      <x:c r="Z1622" s="24" t="n">
        <x:f>IFERROR(G1622/K1622,0)</x:f>
        <x:v>0</x:v>
      </x:c>
      <x:c r="AA1622" s="24" t="n">
        <x:f>IFERROR(F1622/H1622,0)-IFERROR(G1622/I1622,0)</x:f>
        <x:v>0</x:v>
      </x:c>
      <x:c r="AB1622" s="28" t="n">
        <x:f>J1622-K1622</x:f>
        <x:v>-2</x:v>
      </x:c>
      <x:c r="AC1622" s="32" t="n">
        <x:f>F1622-G1622</x:f>
        <x:v>0</x:v>
      </x:c>
    </x:row>
    <x:row r="1623">
      <x:c r="A1623" s="4" t="str">
        <x:v>2023-24</x:v>
      </x:c>
      <x:c r="B1623" s="20" t="n">
        <x:v>45192</x:v>
      </x:c>
      <x:c r="C1623" s="4" t="str">
        <x:v>Everton</x:v>
      </x:c>
      <x:c r="D1623" s="4" t="str">
        <x:v>Brentford</x:v>
      </x:c>
      <x:c r="E1623" s="4" t="str">
        <x:v>Away</x:v>
      </x:c>
      <x:c r="F1623" s="28" t="n">
        <x:v>3</x:v>
      </x:c>
      <x:c r="G1623" s="28" t="n">
        <x:v>1</x:v>
      </x:c>
      <x:c r="H1623" s="28" t="n">
        <x:v>18</x:v>
      </x:c>
      <x:c r="I1623" s="28" t="n">
        <x:v>12</x:v>
      </x:c>
      <x:c r="J1623" s="28" t="n">
        <x:v>6</x:v>
      </x:c>
      <x:c r="K1623" s="28" t="n">
        <x:v>2</x:v>
      </x:c>
      <x:c r="L1623" s="28" t="n">
        <x:v>4</x:v>
      </x:c>
      <x:c r="M1623" s="28" t="n">
        <x:v>1</x:v>
      </x:c>
      <x:c r="N1623" s="28" t="n">
        <x:v>2</x:v>
      </x:c>
      <x:c r="O1623" s="28" t="n">
        <x:v>0</x:v>
      </x:c>
      <x:c r="P1623" s="28" t="n">
        <x:v>3</x:v>
      </x:c>
      <x:c r="Q1623" s="24" t="n">
        <x:f>IFERROR(J1623/H1623,0)</x:f>
        <x:v>0.3333333333333333</x:v>
      </x:c>
      <x:c r="R1623" s="24" t="n">
        <x:f>IFERROR(F1623/H1623,0)</x:f>
        <x:v>0.16666666666666666</x:v>
      </x:c>
      <x:c r="S1623" s="24" t="n">
        <x:f>IFERROR(F1623/J1623,0)</x:f>
        <x:v>0.5</x:v>
      </x:c>
      <x:c r="T1623" s="28" t="n">
        <x:f>H1623-I1623</x:f>
        <x:v>6</x:v>
      </x:c>
      <x:c r="U1623" s="24" t="n">
        <x:f>IFERROR(J1623/H1623,0)-IFERROR(K1623/I1623,0)</x:f>
        <x:v>0.16666666666666666</x:v>
      </x:c>
      <x:c r="V1623" s="24" t="n">
        <x:f>IFERROR(F1623/J1623,0)-IFERROR(G1623/K1623,0)</x:f>
        <x:v>0</x:v>
      </x:c>
      <x:c r="W1623" s="28" t="n">
        <x:f>L1623-M1623</x:f>
        <x:v>3</x:v>
      </x:c>
      <x:c r="X1623" s="24" t="n">
        <x:f>IFERROR(K1623/I1623,0)</x:f>
        <x:v>0.16666666666666666</x:v>
      </x:c>
      <x:c r="Y1623" s="24" t="n">
        <x:f>IFERROR(G1623/I1623,0)</x:f>
        <x:v>0.08333333333333333</x:v>
      </x:c>
      <x:c r="Z1623" s="24" t="n">
        <x:f>IFERROR(G1623/K1623,0)</x:f>
        <x:v>0.5</x:v>
      </x:c>
      <x:c r="AA1623" s="24" t="n">
        <x:f>IFERROR(F1623/H1623,0)-IFERROR(G1623/I1623,0)</x:f>
        <x:v>0.08333333333333333</x:v>
      </x:c>
      <x:c r="AB1623" s="28" t="n">
        <x:f>J1623-K1623</x:f>
        <x:v>4</x:v>
      </x:c>
      <x:c r="AC1623" s="32" t="n">
        <x:f>F1623-G1623</x:f>
        <x:v>2</x:v>
      </x:c>
    </x:row>
    <x:row r="1624">
      <x:c r="A1624" s="4" t="str">
        <x:v>2023-24</x:v>
      </x:c>
      <x:c r="B1624" s="20" t="n">
        <x:v>45192</x:v>
      </x:c>
      <x:c r="C1624" s="4" t="str">
        <x:v>Fulham</x:v>
      </x:c>
      <x:c r="D1624" s="4" t="str">
        <x:v>Crystal Palace</x:v>
      </x:c>
      <x:c r="E1624" s="4" t="str">
        <x:v>Away</x:v>
      </x:c>
      <x:c r="F1624" s="28" t="n">
        <x:v>0</x:v>
      </x:c>
      <x:c r="G1624" s="28" t="n">
        <x:v>0</x:v>
      </x:c>
      <x:c r="H1624" s="28" t="n">
        <x:v>10</x:v>
      </x:c>
      <x:c r="I1624" s="28" t="n">
        <x:v>7</x:v>
      </x:c>
      <x:c r="J1624" s="28" t="n">
        <x:v>5</x:v>
      </x:c>
      <x:c r="K1624" s="28" t="n">
        <x:v>3</x:v>
      </x:c>
      <x:c r="L1624" s="28" t="n">
        <x:v>2</x:v>
      </x:c>
      <x:c r="M1624" s="28" t="n">
        <x:v>3</x:v>
      </x:c>
      <x:c r="N1624" s="28" t="n">
        <x:v>2</x:v>
      </x:c>
      <x:c r="O1624" s="28" t="n">
        <x:v>0</x:v>
      </x:c>
      <x:c r="P1624" s="28" t="n">
        <x:v>1</x:v>
      </x:c>
      <x:c r="Q1624" s="24" t="n">
        <x:f>IFERROR(J1624/H1624,0)</x:f>
        <x:v>0.5</x:v>
      </x:c>
      <x:c r="R1624" s="24" t="n">
        <x:f>IFERROR(F1624/H1624,0)</x:f>
        <x:v>0</x:v>
      </x:c>
      <x:c r="S1624" s="24" t="n">
        <x:f>IFERROR(F1624/J1624,0)</x:f>
        <x:v>0</x:v>
      </x:c>
      <x:c r="T1624" s="28" t="n">
        <x:f>H1624-I1624</x:f>
        <x:v>3</x:v>
      </x:c>
      <x:c r="U1624" s="24" t="n">
        <x:f>IFERROR(J1624/H1624,0)-IFERROR(K1624/I1624,0)</x:f>
        <x:v>0.07142857142857145</x:v>
      </x:c>
      <x:c r="V1624" s="24" t="n">
        <x:f>IFERROR(F1624/J1624,0)-IFERROR(G1624/K1624,0)</x:f>
        <x:v>0</x:v>
      </x:c>
      <x:c r="W1624" s="28" t="n">
        <x:f>L1624-M1624</x:f>
        <x:v>-1</x:v>
      </x:c>
      <x:c r="X1624" s="24" t="n">
        <x:f>IFERROR(K1624/I1624,0)</x:f>
        <x:v>0.42857142857142855</x:v>
      </x:c>
      <x:c r="Y1624" s="24" t="n">
        <x:f>IFERROR(G1624/I1624,0)</x:f>
        <x:v>0</x:v>
      </x:c>
      <x:c r="Z1624" s="24" t="n">
        <x:f>IFERROR(G1624/K1624,0)</x:f>
        <x:v>0</x:v>
      </x:c>
      <x:c r="AA1624" s="24" t="n">
        <x:f>IFERROR(F1624/H1624,0)-IFERROR(G1624/I1624,0)</x:f>
        <x:v>0</x:v>
      </x:c>
      <x:c r="AB1624" s="28" t="n">
        <x:f>J1624-K1624</x:f>
        <x:v>2</x:v>
      </x:c>
      <x:c r="AC1624" s="32" t="n">
        <x:f>F1624-G1624</x:f>
        <x:v>0</x:v>
      </x:c>
    </x:row>
    <x:row r="1625">
      <x:c r="A1625" s="4" t="str">
        <x:v>2023-24</x:v>
      </x:c>
      <x:c r="B1625" s="20" t="n">
        <x:v>45192</x:v>
      </x:c>
      <x:c r="C1625" s="4" t="str">
        <x:v>Luton</x:v>
      </x:c>
      <x:c r="D1625" s="4" t="str">
        <x:v>Wolves</x:v>
      </x:c>
      <x:c r="E1625" s="4" t="str">
        <x:v>Home</x:v>
      </x:c>
      <x:c r="F1625" s="28" t="n">
        <x:v>1</x:v>
      </x:c>
      <x:c r="G1625" s="28" t="n">
        <x:v>1</x:v>
      </x:c>
      <x:c r="H1625" s="28" t="n">
        <x:v>20</x:v>
      </x:c>
      <x:c r="I1625" s="28" t="n">
        <x:v>3</x:v>
      </x:c>
      <x:c r="J1625" s="28" t="n">
        <x:v>4</x:v>
      </x:c>
      <x:c r="K1625" s="28" t="n">
        <x:v>3</x:v>
      </x:c>
      <x:c r="L1625" s="28" t="n">
        <x:v>10</x:v>
      </x:c>
      <x:c r="M1625" s="28" t="n">
        <x:v>1</x:v>
      </x:c>
      <x:c r="N1625" s="28" t="n">
        <x:v>0</x:v>
      </x:c>
      <x:c r="O1625" s="28" t="n">
        <x:v>0</x:v>
      </x:c>
      <x:c r="P1625" s="28" t="n">
        <x:v>1</x:v>
      </x:c>
      <x:c r="Q1625" s="24" t="n">
        <x:f>IFERROR(J1625/H1625,0)</x:f>
        <x:v>0.2</x:v>
      </x:c>
      <x:c r="R1625" s="24" t="n">
        <x:f>IFERROR(F1625/H1625,0)</x:f>
        <x:v>0.05</x:v>
      </x:c>
      <x:c r="S1625" s="24" t="n">
        <x:f>IFERROR(F1625/J1625,0)</x:f>
        <x:v>0.25</x:v>
      </x:c>
      <x:c r="T1625" s="28" t="n">
        <x:f>H1625-I1625</x:f>
        <x:v>17</x:v>
      </x:c>
      <x:c r="U1625" s="24" t="n">
        <x:f>IFERROR(J1625/H1625,0)-IFERROR(K1625/I1625,0)</x:f>
        <x:v>-0.8</x:v>
      </x:c>
      <x:c r="V1625" s="24" t="n">
        <x:f>IFERROR(F1625/J1625,0)-IFERROR(G1625/K1625,0)</x:f>
        <x:v>-0.08333333333333331</x:v>
      </x:c>
      <x:c r="W1625" s="28" t="n">
        <x:f>L1625-M1625</x:f>
        <x:v>9</x:v>
      </x:c>
      <x:c r="X1625" s="24" t="n">
        <x:f>IFERROR(K1625/I1625,0)</x:f>
        <x:v>1</x:v>
      </x:c>
      <x:c r="Y1625" s="24" t="n">
        <x:f>IFERROR(G1625/I1625,0)</x:f>
        <x:v>0.3333333333333333</x:v>
      </x:c>
      <x:c r="Z1625" s="24" t="n">
        <x:f>IFERROR(G1625/K1625,0)</x:f>
        <x:v>0.3333333333333333</x:v>
      </x:c>
      <x:c r="AA1625" s="24" t="n">
        <x:f>IFERROR(F1625/H1625,0)-IFERROR(G1625/I1625,0)</x:f>
        <x:v>-0.2833333333333333</x:v>
      </x:c>
      <x:c r="AB1625" s="28" t="n">
        <x:f>J1625-K1625</x:f>
        <x:v>1</x:v>
      </x:c>
      <x:c r="AC1625" s="32" t="n">
        <x:f>F1625-G1625</x:f>
        <x:v>0</x:v>
      </x:c>
    </x:row>
    <x:row r="1626">
      <x:c r="A1626" s="4" t="str">
        <x:v>2023-24</x:v>
      </x:c>
      <x:c r="B1626" s="20" t="n">
        <x:v>45192</x:v>
      </x:c>
      <x:c r="C1626" s="4" t="str">
        <x:v>Man City</x:v>
      </x:c>
      <x:c r="D1626" s="4" t="str">
        <x:v>Nott'm Forest</x:v>
      </x:c>
      <x:c r="E1626" s="4" t="str">
        <x:v>Home</x:v>
      </x:c>
      <x:c r="F1626" s="28" t="n">
        <x:v>2</x:v>
      </x:c>
      <x:c r="G1626" s="28" t="n">
        <x:v>0</x:v>
      </x:c>
      <x:c r="H1626" s="28" t="n">
        <x:v>7</x:v>
      </x:c>
      <x:c r="I1626" s="28" t="n">
        <x:v>10</x:v>
      </x:c>
      <x:c r="J1626" s="28" t="n">
        <x:v>4</x:v>
      </x:c>
      <x:c r="K1626" s="28" t="n">
        <x:v>3</x:v>
      </x:c>
      <x:c r="L1626" s="28" t="n">
        <x:v>6</x:v>
      </x:c>
      <x:c r="M1626" s="28" t="n">
        <x:v>6</x:v>
      </x:c>
      <x:c r="N1626" s="28" t="n">
        <x:v>3</x:v>
      </x:c>
      <x:c r="O1626" s="28" t="n">
        <x:v>1</x:v>
      </x:c>
      <x:c r="P1626" s="28" t="n">
        <x:v>3</x:v>
      </x:c>
      <x:c r="Q1626" s="24" t="n">
        <x:f>IFERROR(J1626/H1626,0)</x:f>
        <x:v>0.5714285714285714</x:v>
      </x:c>
      <x:c r="R1626" s="24" t="n">
        <x:f>IFERROR(F1626/H1626,0)</x:f>
        <x:v>0.2857142857142857</x:v>
      </x:c>
      <x:c r="S1626" s="24" t="n">
        <x:f>IFERROR(F1626/J1626,0)</x:f>
        <x:v>0.5</x:v>
      </x:c>
      <x:c r="T1626" s="28" t="n">
        <x:f>H1626-I1626</x:f>
        <x:v>-3</x:v>
      </x:c>
      <x:c r="U1626" s="24" t="n">
        <x:f>IFERROR(J1626/H1626,0)-IFERROR(K1626/I1626,0)</x:f>
        <x:v>0.2714285714285714</x:v>
      </x:c>
      <x:c r="V1626" s="24" t="n">
        <x:f>IFERROR(F1626/J1626,0)-IFERROR(G1626/K1626,0)</x:f>
        <x:v>0.5</x:v>
      </x:c>
      <x:c r="W1626" s="28" t="n">
        <x:f>L1626-M1626</x:f>
        <x:v>0</x:v>
      </x:c>
      <x:c r="X1626" s="24" t="n">
        <x:f>IFERROR(K1626/I1626,0)</x:f>
        <x:v>0.3</x:v>
      </x:c>
      <x:c r="Y1626" s="24" t="n">
        <x:f>IFERROR(G1626/I1626,0)</x:f>
        <x:v>0</x:v>
      </x:c>
      <x:c r="Z1626" s="24" t="n">
        <x:f>IFERROR(G1626/K1626,0)</x:f>
        <x:v>0</x:v>
      </x:c>
      <x:c r="AA1626" s="24" t="n">
        <x:f>IFERROR(F1626/H1626,0)-IFERROR(G1626/I1626,0)</x:f>
        <x:v>0.2857142857142857</x:v>
      </x:c>
      <x:c r="AB1626" s="28" t="n">
        <x:f>J1626-K1626</x:f>
        <x:v>1</x:v>
      </x:c>
      <x:c r="AC1626" s="32" t="n">
        <x:f>F1626-G1626</x:f>
        <x:v>2</x:v>
      </x:c>
    </x:row>
    <x:row r="1627">
      <x:c r="A1627" s="4" t="str">
        <x:v>2023-24</x:v>
      </x:c>
      <x:c r="B1627" s="20" t="n">
        <x:v>45192</x:v>
      </x:c>
      <x:c r="C1627" s="4" t="str">
        <x:v>Man United</x:v>
      </x:c>
      <x:c r="D1627" s="4" t="str">
        <x:v>Burnley</x:v>
      </x:c>
      <x:c r="E1627" s="4" t="str">
        <x:v>Away</x:v>
      </x:c>
      <x:c r="F1627" s="28" t="n">
        <x:v>1</x:v>
      </x:c>
      <x:c r="G1627" s="28" t="n">
        <x:v>0</x:v>
      </x:c>
      <x:c r="H1627" s="28" t="n">
        <x:v>11</x:v>
      </x:c>
      <x:c r="I1627" s="28" t="n">
        <x:v>12</x:v>
      </x:c>
      <x:c r="J1627" s="28" t="n">
        <x:v>4</x:v>
      </x:c>
      <x:c r="K1627" s="28" t="n">
        <x:v>4</x:v>
      </x:c>
      <x:c r="L1627" s="28" t="n">
        <x:v>5</x:v>
      </x:c>
      <x:c r="M1627" s="28" t="n">
        <x:v>9</x:v>
      </x:c>
      <x:c r="N1627" s="28" t="n">
        <x:v>2</x:v>
      </x:c>
      <x:c r="O1627" s="28" t="n">
        <x:v>0</x:v>
      </x:c>
      <x:c r="P1627" s="28" t="n">
        <x:v>3</x:v>
      </x:c>
      <x:c r="Q1627" s="24" t="n">
        <x:f>IFERROR(J1627/H1627,0)</x:f>
        <x:v>0.36363636363636365</x:v>
      </x:c>
      <x:c r="R1627" s="24" t="n">
        <x:f>IFERROR(F1627/H1627,0)</x:f>
        <x:v>0.09090909090909091</x:v>
      </x:c>
      <x:c r="S1627" s="24" t="n">
        <x:f>IFERROR(F1627/J1627,0)</x:f>
        <x:v>0.25</x:v>
      </x:c>
      <x:c r="T1627" s="28" t="n">
        <x:f>H1627-I1627</x:f>
        <x:v>-1</x:v>
      </x:c>
      <x:c r="U1627" s="24" t="n">
        <x:f>IFERROR(J1627/H1627,0)-IFERROR(K1627/I1627,0)</x:f>
        <x:v>0.03030303030303033</x:v>
      </x:c>
      <x:c r="V1627" s="24" t="n">
        <x:f>IFERROR(F1627/J1627,0)-IFERROR(G1627/K1627,0)</x:f>
        <x:v>0.25</x:v>
      </x:c>
      <x:c r="W1627" s="28" t="n">
        <x:f>L1627-M1627</x:f>
        <x:v>-4</x:v>
      </x:c>
      <x:c r="X1627" s="24" t="n">
        <x:f>IFERROR(K1627/I1627,0)</x:f>
        <x:v>0.3333333333333333</x:v>
      </x:c>
      <x:c r="Y1627" s="24" t="n">
        <x:f>IFERROR(G1627/I1627,0)</x:f>
        <x:v>0</x:v>
      </x:c>
      <x:c r="Z1627" s="24" t="n">
        <x:f>IFERROR(G1627/K1627,0)</x:f>
        <x:v>0</x:v>
      </x:c>
      <x:c r="AA1627" s="24" t="n">
        <x:f>IFERROR(F1627/H1627,0)-IFERROR(G1627/I1627,0)</x:f>
        <x:v>0.09090909090909091</x:v>
      </x:c>
      <x:c r="AB1627" s="28" t="n">
        <x:f>J1627-K1627</x:f>
        <x:v>0</x:v>
      </x:c>
      <x:c r="AC1627" s="32" t="n">
        <x:f>F1627-G1627</x:f>
        <x:v>1</x:v>
      </x:c>
    </x:row>
    <x:row r="1628">
      <x:c r="A1628" s="4" t="str">
        <x:v>2023-24</x:v>
      </x:c>
      <x:c r="B1628" s="20" t="n">
        <x:v>45192</x:v>
      </x:c>
      <x:c r="C1628" s="4" t="str">
        <x:v>Nott'm Forest</x:v>
      </x:c>
      <x:c r="D1628" s="4" t="str">
        <x:v>Man City</x:v>
      </x:c>
      <x:c r="E1628" s="4" t="str">
        <x:v>Away</x:v>
      </x:c>
      <x:c r="F1628" s="28" t="n">
        <x:v>0</x:v>
      </x:c>
      <x:c r="G1628" s="28" t="n">
        <x:v>2</x:v>
      </x:c>
      <x:c r="H1628" s="28" t="n">
        <x:v>10</x:v>
      </x:c>
      <x:c r="I1628" s="28" t="n">
        <x:v>7</x:v>
      </x:c>
      <x:c r="J1628" s="28" t="n">
        <x:v>3</x:v>
      </x:c>
      <x:c r="K1628" s="28" t="n">
        <x:v>4</x:v>
      </x:c>
      <x:c r="L1628" s="28" t="n">
        <x:v>6</x:v>
      </x:c>
      <x:c r="M1628" s="28" t="n">
        <x:v>6</x:v>
      </x:c>
      <x:c r="N1628" s="28" t="n">
        <x:v>7</x:v>
      </x:c>
      <x:c r="O1628" s="28" t="n">
        <x:v>0</x:v>
      </x:c>
      <x:c r="P1628" s="28" t="n">
        <x:v>0</x:v>
      </x:c>
      <x:c r="Q1628" s="24" t="n">
        <x:f>IFERROR(J1628/H1628,0)</x:f>
        <x:v>0.3</x:v>
      </x:c>
      <x:c r="R1628" s="24" t="n">
        <x:f>IFERROR(F1628/H1628,0)</x:f>
        <x:v>0</x:v>
      </x:c>
      <x:c r="S1628" s="24" t="n">
        <x:f>IFERROR(F1628/J1628,0)</x:f>
        <x:v>0</x:v>
      </x:c>
      <x:c r="T1628" s="28" t="n">
        <x:f>H1628-I1628</x:f>
        <x:v>3</x:v>
      </x:c>
      <x:c r="U1628" s="24" t="n">
        <x:f>IFERROR(J1628/H1628,0)-IFERROR(K1628/I1628,0)</x:f>
        <x:v>-0.2714285714285714</x:v>
      </x:c>
      <x:c r="V1628" s="24" t="n">
        <x:f>IFERROR(F1628/J1628,0)-IFERROR(G1628/K1628,0)</x:f>
        <x:v>-0.5</x:v>
      </x:c>
      <x:c r="W1628" s="28" t="n">
        <x:f>L1628-M1628</x:f>
        <x:v>0</x:v>
      </x:c>
      <x:c r="X1628" s="24" t="n">
        <x:f>IFERROR(K1628/I1628,0)</x:f>
        <x:v>0.5714285714285714</x:v>
      </x:c>
      <x:c r="Y1628" s="24" t="n">
        <x:f>IFERROR(G1628/I1628,0)</x:f>
        <x:v>0.2857142857142857</x:v>
      </x:c>
      <x:c r="Z1628" s="24" t="n">
        <x:f>IFERROR(G1628/K1628,0)</x:f>
        <x:v>0.5</x:v>
      </x:c>
      <x:c r="AA1628" s="24" t="n">
        <x:f>IFERROR(F1628/H1628,0)-IFERROR(G1628/I1628,0)</x:f>
        <x:v>-0.2857142857142857</x:v>
      </x:c>
      <x:c r="AB1628" s="28" t="n">
        <x:f>J1628-K1628</x:f>
        <x:v>-1</x:v>
      </x:c>
      <x:c r="AC1628" s="32" t="n">
        <x:f>F1628-G1628</x:f>
        <x:v>-2</x:v>
      </x:c>
    </x:row>
    <x:row r="1629">
      <x:c r="A1629" s="4" t="str">
        <x:v>2023-24</x:v>
      </x:c>
      <x:c r="B1629" s="20" t="n">
        <x:v>45192</x:v>
      </x:c>
      <x:c r="C1629" s="4" t="str">
        <x:v>Wolves</x:v>
      </x:c>
      <x:c r="D1629" s="4" t="str">
        <x:v>Luton</x:v>
      </x:c>
      <x:c r="E1629" s="4" t="str">
        <x:v>Away</x:v>
      </x:c>
      <x:c r="F1629" s="28" t="n">
        <x:v>1</x:v>
      </x:c>
      <x:c r="G1629" s="28" t="n">
        <x:v>1</x:v>
      </x:c>
      <x:c r="H1629" s="28" t="n">
        <x:v>3</x:v>
      </x:c>
      <x:c r="I1629" s="28" t="n">
        <x:v>20</x:v>
      </x:c>
      <x:c r="J1629" s="28" t="n">
        <x:v>3</x:v>
      </x:c>
      <x:c r="K1629" s="28" t="n">
        <x:v>4</x:v>
      </x:c>
      <x:c r="L1629" s="28" t="n">
        <x:v>1</x:v>
      </x:c>
      <x:c r="M1629" s="28" t="n">
        <x:v>10</x:v>
      </x:c>
      <x:c r="N1629" s="28" t="n">
        <x:v>2</x:v>
      </x:c>
      <x:c r="O1629" s="28" t="n">
        <x:v>1</x:v>
      </x:c>
      <x:c r="P1629" s="28" t="n">
        <x:v>1</x:v>
      </x:c>
      <x:c r="Q1629" s="24" t="n">
        <x:f>IFERROR(J1629/H1629,0)</x:f>
        <x:v>1</x:v>
      </x:c>
      <x:c r="R1629" s="24" t="n">
        <x:f>IFERROR(F1629/H1629,0)</x:f>
        <x:v>0.3333333333333333</x:v>
      </x:c>
      <x:c r="S1629" s="24" t="n">
        <x:f>IFERROR(F1629/J1629,0)</x:f>
        <x:v>0.3333333333333333</x:v>
      </x:c>
      <x:c r="T1629" s="28" t="n">
        <x:f>H1629-I1629</x:f>
        <x:v>-17</x:v>
      </x:c>
      <x:c r="U1629" s="24" t="n">
        <x:f>IFERROR(J1629/H1629,0)-IFERROR(K1629/I1629,0)</x:f>
        <x:v>0.8</x:v>
      </x:c>
      <x:c r="V1629" s="24" t="n">
        <x:f>IFERROR(F1629/J1629,0)-IFERROR(G1629/K1629,0)</x:f>
        <x:v>0.08333333333333331</x:v>
      </x:c>
      <x:c r="W1629" s="28" t="n">
        <x:f>L1629-M1629</x:f>
        <x:v>-9</x:v>
      </x:c>
      <x:c r="X1629" s="24" t="n">
        <x:f>IFERROR(K1629/I1629,0)</x:f>
        <x:v>0.2</x:v>
      </x:c>
      <x:c r="Y1629" s="24" t="n">
        <x:f>IFERROR(G1629/I1629,0)</x:f>
        <x:v>0.05</x:v>
      </x:c>
      <x:c r="Z1629" s="24" t="n">
        <x:f>IFERROR(G1629/K1629,0)</x:f>
        <x:v>0.25</x:v>
      </x:c>
      <x:c r="AA1629" s="24" t="n">
        <x:f>IFERROR(F1629/H1629,0)-IFERROR(G1629/I1629,0)</x:f>
        <x:v>0.2833333333333333</x:v>
      </x:c>
      <x:c r="AB1629" s="28" t="n">
        <x:f>J1629-K1629</x:f>
        <x:v>-1</x:v>
      </x:c>
      <x:c r="AC1629" s="32" t="n">
        <x:f>F1629-G1629</x:f>
        <x:v>0</x:v>
      </x:c>
    </x:row>
    <x:row r="1630">
      <x:c r="A1630" s="4" t="str">
        <x:v>2023-24</x:v>
      </x:c>
      <x:c r="B1630" s="20" t="n">
        <x:v>45193</x:v>
      </x:c>
      <x:c r="C1630" s="4" t="str">
        <x:v>Arsenal</x:v>
      </x:c>
      <x:c r="D1630" s="4" t="str">
        <x:v>Tottenham</x:v>
      </x:c>
      <x:c r="E1630" s="4" t="str">
        <x:v>Home</x:v>
      </x:c>
      <x:c r="F1630" s="28" t="n">
        <x:v>2</x:v>
      </x:c>
      <x:c r="G1630" s="28" t="n">
        <x:v>2</x:v>
      </x:c>
      <x:c r="H1630" s="28" t="n">
        <x:v>13</x:v>
      </x:c>
      <x:c r="I1630" s="28" t="n">
        <x:v>13</x:v>
      </x:c>
      <x:c r="J1630" s="28" t="n">
        <x:v>6</x:v>
      </x:c>
      <x:c r="K1630" s="28" t="n">
        <x:v>5</x:v>
      </x:c>
      <x:c r="L1630" s="28" t="n">
        <x:v>11</x:v>
      </x:c>
      <x:c r="M1630" s="28" t="n">
        <x:v>4</x:v>
      </x:c>
      <x:c r="N1630" s="28" t="n">
        <x:v>3</x:v>
      </x:c>
      <x:c r="O1630" s="28" t="n">
        <x:v>0</x:v>
      </x:c>
      <x:c r="P1630" s="28" t="n">
        <x:v>1</x:v>
      </x:c>
      <x:c r="Q1630" s="24" t="n">
        <x:f>IFERROR(J1630/H1630,0)</x:f>
        <x:v>0.46153846153846156</x:v>
      </x:c>
      <x:c r="R1630" s="24" t="n">
        <x:f>IFERROR(F1630/H1630,0)</x:f>
        <x:v>0.15384615384615385</x:v>
      </x:c>
      <x:c r="S1630" s="24" t="n">
        <x:f>IFERROR(F1630/J1630,0)</x:f>
        <x:v>0.3333333333333333</x:v>
      </x:c>
      <x:c r="T1630" s="28" t="n">
        <x:f>H1630-I1630</x:f>
        <x:v>0</x:v>
      </x:c>
      <x:c r="U1630" s="24" t="n">
        <x:f>IFERROR(J1630/H1630,0)-IFERROR(K1630/I1630,0)</x:f>
        <x:v>0.07692307692307693</x:v>
      </x:c>
      <x:c r="V1630" s="24" t="n">
        <x:f>IFERROR(F1630/J1630,0)-IFERROR(G1630/K1630,0)</x:f>
        <x:v>-0.06666666666666671</x:v>
      </x:c>
      <x:c r="W1630" s="28" t="n">
        <x:f>L1630-M1630</x:f>
        <x:v>7</x:v>
      </x:c>
      <x:c r="X1630" s="24" t="n">
        <x:f>IFERROR(K1630/I1630,0)</x:f>
        <x:v>0.38461538461538464</x:v>
      </x:c>
      <x:c r="Y1630" s="24" t="n">
        <x:f>IFERROR(G1630/I1630,0)</x:f>
        <x:v>0.15384615384615385</x:v>
      </x:c>
      <x:c r="Z1630" s="24" t="n">
        <x:f>IFERROR(G1630/K1630,0)</x:f>
        <x:v>0.4</x:v>
      </x:c>
      <x:c r="AA1630" s="24" t="n">
        <x:f>IFERROR(F1630/H1630,0)-IFERROR(G1630/I1630,0)</x:f>
        <x:v>0</x:v>
      </x:c>
      <x:c r="AB1630" s="28" t="n">
        <x:f>J1630-K1630</x:f>
        <x:v>1</x:v>
      </x:c>
      <x:c r="AC1630" s="32" t="n">
        <x:f>F1630-G1630</x:f>
        <x:v>0</x:v>
      </x:c>
    </x:row>
    <x:row r="1631">
      <x:c r="A1631" s="4" t="str">
        <x:v>2023-24</x:v>
      </x:c>
      <x:c r="B1631" s="20" t="n">
        <x:v>45193</x:v>
      </x:c>
      <x:c r="C1631" s="4" t="str">
        <x:v>Aston Villa</x:v>
      </x:c>
      <x:c r="D1631" s="4" t="str">
        <x:v>Chelsea</x:v>
      </x:c>
      <x:c r="E1631" s="4" t="str">
        <x:v>Away</x:v>
      </x:c>
      <x:c r="F1631" s="28" t="n">
        <x:v>1</x:v>
      </x:c>
      <x:c r="G1631" s="28" t="n">
        <x:v>0</x:v>
      </x:c>
      <x:c r="H1631" s="28" t="n">
        <x:v>15</x:v>
      </x:c>
      <x:c r="I1631" s="28" t="n">
        <x:v>10</x:v>
      </x:c>
      <x:c r="J1631" s="28" t="n">
        <x:v>7</x:v>
      </x:c>
      <x:c r="K1631" s="28" t="n">
        <x:v>4</x:v>
      </x:c>
      <x:c r="L1631" s="28" t="n">
        <x:v>11</x:v>
      </x:c>
      <x:c r="M1631" s="28" t="n">
        <x:v>5</x:v>
      </x:c>
      <x:c r="N1631" s="28" t="n">
        <x:v>3</x:v>
      </x:c>
      <x:c r="O1631" s="28" t="n">
        <x:v>0</x:v>
      </x:c>
      <x:c r="P1631" s="28" t="n">
        <x:v>3</x:v>
      </x:c>
      <x:c r="Q1631" s="24" t="n">
        <x:f>IFERROR(J1631/H1631,0)</x:f>
        <x:v>0.4666666666666667</x:v>
      </x:c>
      <x:c r="R1631" s="24" t="n">
        <x:f>IFERROR(F1631/H1631,0)</x:f>
        <x:v>0.06666666666666667</x:v>
      </x:c>
      <x:c r="S1631" s="24" t="n">
        <x:f>IFERROR(F1631/J1631,0)</x:f>
        <x:v>0.14285714285714285</x:v>
      </x:c>
      <x:c r="T1631" s="28" t="n">
        <x:f>H1631-I1631</x:f>
        <x:v>5</x:v>
      </x:c>
      <x:c r="U1631" s="24" t="n">
        <x:f>IFERROR(J1631/H1631,0)-IFERROR(K1631/I1631,0)</x:f>
        <x:v>0.06666666666666665</x:v>
      </x:c>
      <x:c r="V1631" s="24" t="n">
        <x:f>IFERROR(F1631/J1631,0)-IFERROR(G1631/K1631,0)</x:f>
        <x:v>0.14285714285714285</x:v>
      </x:c>
      <x:c r="W1631" s="28" t="n">
        <x:f>L1631-M1631</x:f>
        <x:v>6</x:v>
      </x:c>
      <x:c r="X1631" s="24" t="n">
        <x:f>IFERROR(K1631/I1631,0)</x:f>
        <x:v>0.4</x:v>
      </x:c>
      <x:c r="Y1631" s="24" t="n">
        <x:f>IFERROR(G1631/I1631,0)</x:f>
        <x:v>0</x:v>
      </x:c>
      <x:c r="Z1631" s="24" t="n">
        <x:f>IFERROR(G1631/K1631,0)</x:f>
        <x:v>0</x:v>
      </x:c>
      <x:c r="AA1631" s="24" t="n">
        <x:f>IFERROR(F1631/H1631,0)-IFERROR(G1631/I1631,0)</x:f>
        <x:v>0.06666666666666667</x:v>
      </x:c>
      <x:c r="AB1631" s="28" t="n">
        <x:f>J1631-K1631</x:f>
        <x:v>3</x:v>
      </x:c>
      <x:c r="AC1631" s="32" t="n">
        <x:f>F1631-G1631</x:f>
        <x:v>1</x:v>
      </x:c>
    </x:row>
    <x:row r="1632">
      <x:c r="A1632" s="4" t="str">
        <x:v>2023-24</x:v>
      </x:c>
      <x:c r="B1632" s="20" t="n">
        <x:v>45193</x:v>
      </x:c>
      <x:c r="C1632" s="4" t="str">
        <x:v>Bournemouth</x:v>
      </x:c>
      <x:c r="D1632" s="4" t="str">
        <x:v>Brighton</x:v>
      </x:c>
      <x:c r="E1632" s="4" t="str">
        <x:v>Away</x:v>
      </x:c>
      <x:c r="F1632" s="28" t="n">
        <x:v>1</x:v>
      </x:c>
      <x:c r="G1632" s="28" t="n">
        <x:v>3</x:v>
      </x:c>
      <x:c r="H1632" s="28" t="n">
        <x:v>12</x:v>
      </x:c>
      <x:c r="I1632" s="28" t="n">
        <x:v>13</x:v>
      </x:c>
      <x:c r="J1632" s="28" t="n">
        <x:v>4</x:v>
      </x:c>
      <x:c r="K1632" s="28" t="n">
        <x:v>4</x:v>
      </x:c>
      <x:c r="L1632" s="28" t="n">
        <x:v>4</x:v>
      </x:c>
      <x:c r="M1632" s="28" t="n">
        <x:v>4</x:v>
      </x:c>
      <x:c r="N1632" s="28" t="n">
        <x:v>3</x:v>
      </x:c>
      <x:c r="O1632" s="28" t="n">
        <x:v>0</x:v>
      </x:c>
      <x:c r="P1632" s="28" t="n">
        <x:v>0</x:v>
      </x:c>
      <x:c r="Q1632" s="24" t="n">
        <x:f>IFERROR(J1632/H1632,0)</x:f>
        <x:v>0.3333333333333333</x:v>
      </x:c>
      <x:c r="R1632" s="24" t="n">
        <x:f>IFERROR(F1632/H1632,0)</x:f>
        <x:v>0.08333333333333333</x:v>
      </x:c>
      <x:c r="S1632" s="24" t="n">
        <x:f>IFERROR(F1632/J1632,0)</x:f>
        <x:v>0.25</x:v>
      </x:c>
      <x:c r="T1632" s="28" t="n">
        <x:f>H1632-I1632</x:f>
        <x:v>-1</x:v>
      </x:c>
      <x:c r="U1632" s="24" t="n">
        <x:f>IFERROR(J1632/H1632,0)-IFERROR(K1632/I1632,0)</x:f>
        <x:v>0.025641025641025605</x:v>
      </x:c>
      <x:c r="V1632" s="24" t="n">
        <x:f>IFERROR(F1632/J1632,0)-IFERROR(G1632/K1632,0)</x:f>
        <x:v>-0.5</x:v>
      </x:c>
      <x:c r="W1632" s="28" t="n">
        <x:f>L1632-M1632</x:f>
        <x:v>0</x:v>
      </x:c>
      <x:c r="X1632" s="24" t="n">
        <x:f>IFERROR(K1632/I1632,0)</x:f>
        <x:v>0.3076923076923077</x:v>
      </x:c>
      <x:c r="Y1632" s="24" t="n">
        <x:f>IFERROR(G1632/I1632,0)</x:f>
        <x:v>0.23076923076923078</x:v>
      </x:c>
      <x:c r="Z1632" s="24" t="n">
        <x:f>IFERROR(G1632/K1632,0)</x:f>
        <x:v>0.75</x:v>
      </x:c>
      <x:c r="AA1632" s="24" t="n">
        <x:f>IFERROR(F1632/H1632,0)-IFERROR(G1632/I1632,0)</x:f>
        <x:v>-0.14743589743589747</x:v>
      </x:c>
      <x:c r="AB1632" s="28" t="n">
        <x:f>J1632-K1632</x:f>
        <x:v>0</x:v>
      </x:c>
      <x:c r="AC1632" s="32" t="n">
        <x:f>F1632-G1632</x:f>
        <x:v>-2</x:v>
      </x:c>
    </x:row>
    <x:row r="1633">
      <x:c r="A1633" s="4" t="str">
        <x:v>2023-24</x:v>
      </x:c>
      <x:c r="B1633" s="20" t="n">
        <x:v>45193</x:v>
      </x:c>
      <x:c r="C1633" s="4" t="str">
        <x:v>Brighton</x:v>
      </x:c>
      <x:c r="D1633" s="4" t="str">
        <x:v>Bournemouth</x:v>
      </x:c>
      <x:c r="E1633" s="4" t="str">
        <x:v>Home</x:v>
      </x:c>
      <x:c r="F1633" s="28" t="n">
        <x:v>3</x:v>
      </x:c>
      <x:c r="G1633" s="28" t="n">
        <x:v>1</x:v>
      </x:c>
      <x:c r="H1633" s="28" t="n">
        <x:v>13</x:v>
      </x:c>
      <x:c r="I1633" s="28" t="n">
        <x:v>12</x:v>
      </x:c>
      <x:c r="J1633" s="28" t="n">
        <x:v>4</x:v>
      </x:c>
      <x:c r="K1633" s="28" t="n">
        <x:v>4</x:v>
      </x:c>
      <x:c r="L1633" s="28" t="n">
        <x:v>4</x:v>
      </x:c>
      <x:c r="M1633" s="28" t="n">
        <x:v>4</x:v>
      </x:c>
      <x:c r="N1633" s="28" t="n">
        <x:v>3</x:v>
      </x:c>
      <x:c r="O1633" s="28" t="n">
        <x:v>0</x:v>
      </x:c>
      <x:c r="P1633" s="28" t="n">
        <x:v>3</x:v>
      </x:c>
      <x:c r="Q1633" s="24" t="n">
        <x:f>IFERROR(J1633/H1633,0)</x:f>
        <x:v>0.3076923076923077</x:v>
      </x:c>
      <x:c r="R1633" s="24" t="n">
        <x:f>IFERROR(F1633/H1633,0)</x:f>
        <x:v>0.23076923076923078</x:v>
      </x:c>
      <x:c r="S1633" s="24" t="n">
        <x:f>IFERROR(F1633/J1633,0)</x:f>
        <x:v>0.75</x:v>
      </x:c>
      <x:c r="T1633" s="28" t="n">
        <x:f>H1633-I1633</x:f>
        <x:v>1</x:v>
      </x:c>
      <x:c r="U1633" s="24" t="n">
        <x:f>IFERROR(J1633/H1633,0)-IFERROR(K1633/I1633,0)</x:f>
        <x:v>-0.025641025641025605</x:v>
      </x:c>
      <x:c r="V1633" s="24" t="n">
        <x:f>IFERROR(F1633/J1633,0)-IFERROR(G1633/K1633,0)</x:f>
        <x:v>0.5</x:v>
      </x:c>
      <x:c r="W1633" s="28" t="n">
        <x:f>L1633-M1633</x:f>
        <x:v>0</x:v>
      </x:c>
      <x:c r="X1633" s="24" t="n">
        <x:f>IFERROR(K1633/I1633,0)</x:f>
        <x:v>0.3333333333333333</x:v>
      </x:c>
      <x:c r="Y1633" s="24" t="n">
        <x:f>IFERROR(G1633/I1633,0)</x:f>
        <x:v>0.08333333333333333</x:v>
      </x:c>
      <x:c r="Z1633" s="24" t="n">
        <x:f>IFERROR(G1633/K1633,0)</x:f>
        <x:v>0.25</x:v>
      </x:c>
      <x:c r="AA1633" s="24" t="n">
        <x:f>IFERROR(F1633/H1633,0)-IFERROR(G1633/I1633,0)</x:f>
        <x:v>0.14743589743589747</x:v>
      </x:c>
      <x:c r="AB1633" s="28" t="n">
        <x:f>J1633-K1633</x:f>
        <x:v>0</x:v>
      </x:c>
      <x:c r="AC1633" s="32" t="n">
        <x:f>F1633-G1633</x:f>
        <x:v>2</x:v>
      </x:c>
    </x:row>
    <x:row r="1634">
      <x:c r="A1634" s="4" t="str">
        <x:v>2023-24</x:v>
      </x:c>
      <x:c r="B1634" s="20" t="n">
        <x:v>45193</x:v>
      </x:c>
      <x:c r="C1634" s="4" t="str">
        <x:v>Chelsea</x:v>
      </x:c>
      <x:c r="D1634" s="4" t="str">
        <x:v>Aston Villa</x:v>
      </x:c>
      <x:c r="E1634" s="4" t="str">
        <x:v>Home</x:v>
      </x:c>
      <x:c r="F1634" s="28" t="n">
        <x:v>0</x:v>
      </x:c>
      <x:c r="G1634" s="28" t="n">
        <x:v>1</x:v>
      </x:c>
      <x:c r="H1634" s="28" t="n">
        <x:v>10</x:v>
      </x:c>
      <x:c r="I1634" s="28" t="n">
        <x:v>15</x:v>
      </x:c>
      <x:c r="J1634" s="28" t="n">
        <x:v>4</x:v>
      </x:c>
      <x:c r="K1634" s="28" t="n">
        <x:v>7</x:v>
      </x:c>
      <x:c r="L1634" s="28" t="n">
        <x:v>5</x:v>
      </x:c>
      <x:c r="M1634" s="28" t="n">
        <x:v>11</x:v>
      </x:c>
      <x:c r="N1634" s="28" t="n">
        <x:v>2</x:v>
      </x:c>
      <x:c r="O1634" s="28" t="n">
        <x:v>0</x:v>
      </x:c>
      <x:c r="P1634" s="28" t="n">
        <x:v>0</x:v>
      </x:c>
      <x:c r="Q1634" s="24" t="n">
        <x:f>IFERROR(J1634/H1634,0)</x:f>
        <x:v>0.4</x:v>
      </x:c>
      <x:c r="R1634" s="24" t="n">
        <x:f>IFERROR(F1634/H1634,0)</x:f>
        <x:v>0</x:v>
      </x:c>
      <x:c r="S1634" s="24" t="n">
        <x:f>IFERROR(F1634/J1634,0)</x:f>
        <x:v>0</x:v>
      </x:c>
      <x:c r="T1634" s="28" t="n">
        <x:f>H1634-I1634</x:f>
        <x:v>-5</x:v>
      </x:c>
      <x:c r="U1634" s="24" t="n">
        <x:f>IFERROR(J1634/H1634,0)-IFERROR(K1634/I1634,0)</x:f>
        <x:v>-0.06666666666666665</x:v>
      </x:c>
      <x:c r="V1634" s="24" t="n">
        <x:f>IFERROR(F1634/J1634,0)-IFERROR(G1634/K1634,0)</x:f>
        <x:v>-0.14285714285714285</x:v>
      </x:c>
      <x:c r="W1634" s="28" t="n">
        <x:f>L1634-M1634</x:f>
        <x:v>-6</x:v>
      </x:c>
      <x:c r="X1634" s="24" t="n">
        <x:f>IFERROR(K1634/I1634,0)</x:f>
        <x:v>0.4666666666666667</x:v>
      </x:c>
      <x:c r="Y1634" s="24" t="n">
        <x:f>IFERROR(G1634/I1634,0)</x:f>
        <x:v>0.06666666666666667</x:v>
      </x:c>
      <x:c r="Z1634" s="24" t="n">
        <x:f>IFERROR(G1634/K1634,0)</x:f>
        <x:v>0.14285714285714285</x:v>
      </x:c>
      <x:c r="AA1634" s="24" t="n">
        <x:f>IFERROR(F1634/H1634,0)-IFERROR(G1634/I1634,0)</x:f>
        <x:v>-0.06666666666666667</x:v>
      </x:c>
      <x:c r="AB1634" s="28" t="n">
        <x:f>J1634-K1634</x:f>
        <x:v>-3</x:v>
      </x:c>
      <x:c r="AC1634" s="32" t="n">
        <x:f>F1634-G1634</x:f>
        <x:v>-1</x:v>
      </x:c>
    </x:row>
    <x:row r="1635">
      <x:c r="A1635" s="4" t="str">
        <x:v>2023-24</x:v>
      </x:c>
      <x:c r="B1635" s="20" t="n">
        <x:v>45193</x:v>
      </x:c>
      <x:c r="C1635" s="4" t="str">
        <x:v>Liverpool</x:v>
      </x:c>
      <x:c r="D1635" s="4" t="str">
        <x:v>West Ham</x:v>
      </x:c>
      <x:c r="E1635" s="4" t="str">
        <x:v>Home</x:v>
      </x:c>
      <x:c r="F1635" s="28" t="n">
        <x:v>3</x:v>
      </x:c>
      <x:c r="G1635" s="28" t="n">
        <x:v>1</x:v>
      </x:c>
      <x:c r="H1635" s="28" t="n">
        <x:v>22</x:v>
      </x:c>
      <x:c r="I1635" s="28" t="n">
        <x:v>11</x:v>
      </x:c>
      <x:c r="J1635" s="28" t="n">
        <x:v>7</x:v>
      </x:c>
      <x:c r="K1635" s="28" t="n">
        <x:v>4</x:v>
      </x:c>
      <x:c r="L1635" s="28" t="n">
        <x:v>7</x:v>
      </x:c>
      <x:c r="M1635" s="28" t="n">
        <x:v>4</x:v>
      </x:c>
      <x:c r="N1635" s="28" t="n">
        <x:v>0</x:v>
      </x:c>
      <x:c r="O1635" s="28" t="n">
        <x:v>0</x:v>
      </x:c>
      <x:c r="P1635" s="28" t="n">
        <x:v>3</x:v>
      </x:c>
      <x:c r="Q1635" s="24" t="n">
        <x:f>IFERROR(J1635/H1635,0)</x:f>
        <x:v>0.3181818181818182</x:v>
      </x:c>
      <x:c r="R1635" s="24" t="n">
        <x:f>IFERROR(F1635/H1635,0)</x:f>
        <x:v>0.13636363636363635</x:v>
      </x:c>
      <x:c r="S1635" s="24" t="n">
        <x:f>IFERROR(F1635/J1635,0)</x:f>
        <x:v>0.42857142857142855</x:v>
      </x:c>
      <x:c r="T1635" s="28" t="n">
        <x:f>H1635-I1635</x:f>
        <x:v>11</x:v>
      </x:c>
      <x:c r="U1635" s="24" t="n">
        <x:f>IFERROR(J1635/H1635,0)-IFERROR(K1635/I1635,0)</x:f>
        <x:v>-0.04545454545454547</x:v>
      </x:c>
      <x:c r="V1635" s="24" t="n">
        <x:f>IFERROR(F1635/J1635,0)-IFERROR(G1635/K1635,0)</x:f>
        <x:v>0.17857142857142855</x:v>
      </x:c>
      <x:c r="W1635" s="28" t="n">
        <x:f>L1635-M1635</x:f>
        <x:v>3</x:v>
      </x:c>
      <x:c r="X1635" s="24" t="n">
        <x:f>IFERROR(K1635/I1635,0)</x:f>
        <x:v>0.36363636363636365</x:v>
      </x:c>
      <x:c r="Y1635" s="24" t="n">
        <x:f>IFERROR(G1635/I1635,0)</x:f>
        <x:v>0.09090909090909091</x:v>
      </x:c>
      <x:c r="Z1635" s="24" t="n">
        <x:f>IFERROR(G1635/K1635,0)</x:f>
        <x:v>0.25</x:v>
      </x:c>
      <x:c r="AA1635" s="24" t="n">
        <x:f>IFERROR(F1635/H1635,0)-IFERROR(G1635/I1635,0)</x:f>
        <x:v>0.04545454545454544</x:v>
      </x:c>
      <x:c r="AB1635" s="28" t="n">
        <x:f>J1635-K1635</x:f>
        <x:v>3</x:v>
      </x:c>
      <x:c r="AC1635" s="32" t="n">
        <x:f>F1635-G1635</x:f>
        <x:v>2</x:v>
      </x:c>
    </x:row>
    <x:row r="1636">
      <x:c r="A1636" s="4" t="str">
        <x:v>2023-24</x:v>
      </x:c>
      <x:c r="B1636" s="20" t="n">
        <x:v>45193</x:v>
      </x:c>
      <x:c r="C1636" s="4" t="str">
        <x:v>Newcastle</x:v>
      </x:c>
      <x:c r="D1636" s="4" t="str">
        <x:v>Sheffield United</x:v>
      </x:c>
      <x:c r="E1636" s="4" t="str">
        <x:v>Away</x:v>
      </x:c>
      <x:c r="F1636" s="28" t="n">
        <x:v>8</x:v>
      </x:c>
      <x:c r="G1636" s="28" t="n">
        <x:v>0</x:v>
      </x:c>
      <x:c r="H1636" s="28" t="n">
        <x:v>22</x:v>
      </x:c>
      <x:c r="I1636" s="28" t="n">
        <x:v>9</x:v>
      </x:c>
      <x:c r="J1636" s="28" t="n">
        <x:v>15</x:v>
      </x:c>
      <x:c r="K1636" s="28" t="n">
        <x:v>1</x:v>
      </x:c>
      <x:c r="L1636" s="28" t="n">
        <x:v>6</x:v>
      </x:c>
      <x:c r="M1636" s="28" t="n">
        <x:v>2</x:v>
      </x:c>
      <x:c r="N1636" s="28" t="n">
        <x:v>0</x:v>
      </x:c>
      <x:c r="O1636" s="28" t="n">
        <x:v>0</x:v>
      </x:c>
      <x:c r="P1636" s="28" t="n">
        <x:v>3</x:v>
      </x:c>
      <x:c r="Q1636" s="24" t="n">
        <x:f>IFERROR(J1636/H1636,0)</x:f>
        <x:v>0.6818181818181818</x:v>
      </x:c>
      <x:c r="R1636" s="24" t="n">
        <x:f>IFERROR(F1636/H1636,0)</x:f>
        <x:v>0.36363636363636365</x:v>
      </x:c>
      <x:c r="S1636" s="24" t="n">
        <x:f>IFERROR(F1636/J1636,0)</x:f>
        <x:v>0.5333333333333333</x:v>
      </x:c>
      <x:c r="T1636" s="28" t="n">
        <x:f>H1636-I1636</x:f>
        <x:v>13</x:v>
      </x:c>
      <x:c r="U1636" s="24" t="n">
        <x:f>IFERROR(J1636/H1636,0)-IFERROR(K1636/I1636,0)</x:f>
        <x:v>0.5707070707070707</x:v>
      </x:c>
      <x:c r="V1636" s="24" t="n">
        <x:f>IFERROR(F1636/J1636,0)-IFERROR(G1636/K1636,0)</x:f>
        <x:v>0.5333333333333333</x:v>
      </x:c>
      <x:c r="W1636" s="28" t="n">
        <x:f>L1636-M1636</x:f>
        <x:v>4</x:v>
      </x:c>
      <x:c r="X1636" s="24" t="n">
        <x:f>IFERROR(K1636/I1636,0)</x:f>
        <x:v>0.1111111111111111</x:v>
      </x:c>
      <x:c r="Y1636" s="24" t="n">
        <x:f>IFERROR(G1636/I1636,0)</x:f>
        <x:v>0</x:v>
      </x:c>
      <x:c r="Z1636" s="24" t="n">
        <x:f>IFERROR(G1636/K1636,0)</x:f>
        <x:v>0</x:v>
      </x:c>
      <x:c r="AA1636" s="24" t="n">
        <x:f>IFERROR(F1636/H1636,0)-IFERROR(G1636/I1636,0)</x:f>
        <x:v>0.36363636363636365</x:v>
      </x:c>
      <x:c r="AB1636" s="28" t="n">
        <x:f>J1636-K1636</x:f>
        <x:v>14</x:v>
      </x:c>
      <x:c r="AC1636" s="32" t="n">
        <x:f>F1636-G1636</x:f>
        <x:v>8</x:v>
      </x:c>
    </x:row>
    <x:row r="1637">
      <x:c r="A1637" s="4" t="str">
        <x:v>2023-24</x:v>
      </x:c>
      <x:c r="B1637" s="20" t="n">
        <x:v>45193</x:v>
      </x:c>
      <x:c r="C1637" s="4" t="str">
        <x:v>Sheffield United</x:v>
      </x:c>
      <x:c r="D1637" s="4" t="str">
        <x:v>Newcastle</x:v>
      </x:c>
      <x:c r="E1637" s="4" t="str">
        <x:v>Home</x:v>
      </x:c>
      <x:c r="F1637" s="28" t="n">
        <x:v>0</x:v>
      </x:c>
      <x:c r="G1637" s="28" t="n">
        <x:v>8</x:v>
      </x:c>
      <x:c r="H1637" s="28" t="n">
        <x:v>9</x:v>
      </x:c>
      <x:c r="I1637" s="28" t="n">
        <x:v>22</x:v>
      </x:c>
      <x:c r="J1637" s="28" t="n">
        <x:v>1</x:v>
      </x:c>
      <x:c r="K1637" s="28" t="n">
        <x:v>15</x:v>
      </x:c>
      <x:c r="L1637" s="28" t="n">
        <x:v>2</x:v>
      </x:c>
      <x:c r="M1637" s="28" t="n">
        <x:v>6</x:v>
      </x:c>
      <x:c r="N1637" s="28" t="n">
        <x:v>3</x:v>
      </x:c>
      <x:c r="O1637" s="28" t="n">
        <x:v>0</x:v>
      </x:c>
      <x:c r="P1637" s="28" t="n">
        <x:v>0</x:v>
      </x:c>
      <x:c r="Q1637" s="24" t="n">
        <x:f>IFERROR(J1637/H1637,0)</x:f>
        <x:v>0.1111111111111111</x:v>
      </x:c>
      <x:c r="R1637" s="24" t="n">
        <x:f>IFERROR(F1637/H1637,0)</x:f>
        <x:v>0</x:v>
      </x:c>
      <x:c r="S1637" s="24" t="n">
        <x:f>IFERROR(F1637/J1637,0)</x:f>
        <x:v>0</x:v>
      </x:c>
      <x:c r="T1637" s="28" t="n">
        <x:f>H1637-I1637</x:f>
        <x:v>-13</x:v>
      </x:c>
      <x:c r="U1637" s="24" t="n">
        <x:f>IFERROR(J1637/H1637,0)-IFERROR(K1637/I1637,0)</x:f>
        <x:v>-0.5707070707070707</x:v>
      </x:c>
      <x:c r="V1637" s="24" t="n">
        <x:f>IFERROR(F1637/J1637,0)-IFERROR(G1637/K1637,0)</x:f>
        <x:v>-0.5333333333333333</x:v>
      </x:c>
      <x:c r="W1637" s="28" t="n">
        <x:f>L1637-M1637</x:f>
        <x:v>-4</x:v>
      </x:c>
      <x:c r="X1637" s="24" t="n">
        <x:f>IFERROR(K1637/I1637,0)</x:f>
        <x:v>0.6818181818181818</x:v>
      </x:c>
      <x:c r="Y1637" s="24" t="n">
        <x:f>IFERROR(G1637/I1637,0)</x:f>
        <x:v>0.36363636363636365</x:v>
      </x:c>
      <x:c r="Z1637" s="24" t="n">
        <x:f>IFERROR(G1637/K1637,0)</x:f>
        <x:v>0.5333333333333333</x:v>
      </x:c>
      <x:c r="AA1637" s="24" t="n">
        <x:f>IFERROR(F1637/H1637,0)-IFERROR(G1637/I1637,0)</x:f>
        <x:v>-0.36363636363636365</x:v>
      </x:c>
      <x:c r="AB1637" s="28" t="n">
        <x:f>J1637-K1637</x:f>
        <x:v>-14</x:v>
      </x:c>
      <x:c r="AC1637" s="32" t="n">
        <x:f>F1637-G1637</x:f>
        <x:v>-8</x:v>
      </x:c>
    </x:row>
    <x:row r="1638">
      <x:c r="A1638" s="4" t="str">
        <x:v>2023-24</x:v>
      </x:c>
      <x:c r="B1638" s="20" t="n">
        <x:v>45193</x:v>
      </x:c>
      <x:c r="C1638" s="4" t="str">
        <x:v>Tottenham</x:v>
      </x:c>
      <x:c r="D1638" s="4" t="str">
        <x:v>Arsenal</x:v>
      </x:c>
      <x:c r="E1638" s="4" t="str">
        <x:v>Away</x:v>
      </x:c>
      <x:c r="F1638" s="28" t="n">
        <x:v>2</x:v>
      </x:c>
      <x:c r="G1638" s="28" t="n">
        <x:v>2</x:v>
      </x:c>
      <x:c r="H1638" s="28" t="n">
        <x:v>13</x:v>
      </x:c>
      <x:c r="I1638" s="28" t="n">
        <x:v>13</x:v>
      </x:c>
      <x:c r="J1638" s="28" t="n">
        <x:v>5</x:v>
      </x:c>
      <x:c r="K1638" s="28" t="n">
        <x:v>6</x:v>
      </x:c>
      <x:c r="L1638" s="28" t="n">
        <x:v>4</x:v>
      </x:c>
      <x:c r="M1638" s="28" t="n">
        <x:v>11</x:v>
      </x:c>
      <x:c r="N1638" s="28" t="n">
        <x:v>4</x:v>
      </x:c>
      <x:c r="O1638" s="28" t="n">
        <x:v>0</x:v>
      </x:c>
      <x:c r="P1638" s="28" t="n">
        <x:v>1</x:v>
      </x:c>
      <x:c r="Q1638" s="24" t="n">
        <x:f>IFERROR(J1638/H1638,0)</x:f>
        <x:v>0.38461538461538464</x:v>
      </x:c>
      <x:c r="R1638" s="24" t="n">
        <x:f>IFERROR(F1638/H1638,0)</x:f>
        <x:v>0.15384615384615385</x:v>
      </x:c>
      <x:c r="S1638" s="24" t="n">
        <x:f>IFERROR(F1638/J1638,0)</x:f>
        <x:v>0.4</x:v>
      </x:c>
      <x:c r="T1638" s="28" t="n">
        <x:f>H1638-I1638</x:f>
        <x:v>0</x:v>
      </x:c>
      <x:c r="U1638" s="24" t="n">
        <x:f>IFERROR(J1638/H1638,0)-IFERROR(K1638/I1638,0)</x:f>
        <x:v>-0.07692307692307693</x:v>
      </x:c>
      <x:c r="V1638" s="24" t="n">
        <x:f>IFERROR(F1638/J1638,0)-IFERROR(G1638/K1638,0)</x:f>
        <x:v>0.06666666666666671</x:v>
      </x:c>
      <x:c r="W1638" s="28" t="n">
        <x:f>L1638-M1638</x:f>
        <x:v>-7</x:v>
      </x:c>
      <x:c r="X1638" s="24" t="n">
        <x:f>IFERROR(K1638/I1638,0)</x:f>
        <x:v>0.46153846153846156</x:v>
      </x:c>
      <x:c r="Y1638" s="24" t="n">
        <x:f>IFERROR(G1638/I1638,0)</x:f>
        <x:v>0.15384615384615385</x:v>
      </x:c>
      <x:c r="Z1638" s="24" t="n">
        <x:f>IFERROR(G1638/K1638,0)</x:f>
        <x:v>0.3333333333333333</x:v>
      </x:c>
      <x:c r="AA1638" s="24" t="n">
        <x:f>IFERROR(F1638/H1638,0)-IFERROR(G1638/I1638,0)</x:f>
        <x:v>0</x:v>
      </x:c>
      <x:c r="AB1638" s="28" t="n">
        <x:f>J1638-K1638</x:f>
        <x:v>-1</x:v>
      </x:c>
      <x:c r="AC1638" s="32" t="n">
        <x:f>F1638-G1638</x:f>
        <x:v>0</x:v>
      </x:c>
    </x:row>
    <x:row r="1639">
      <x:c r="A1639" s="4" t="str">
        <x:v>2023-24</x:v>
      </x:c>
      <x:c r="B1639" s="20" t="n">
        <x:v>45193</x:v>
      </x:c>
      <x:c r="C1639" s="4" t="str">
        <x:v>West Ham</x:v>
      </x:c>
      <x:c r="D1639" s="4" t="str">
        <x:v>Liverpool</x:v>
      </x:c>
      <x:c r="E1639" s="4" t="str">
        <x:v>Away</x:v>
      </x:c>
      <x:c r="F1639" s="28" t="n">
        <x:v>1</x:v>
      </x:c>
      <x:c r="G1639" s="28" t="n">
        <x:v>3</x:v>
      </x:c>
      <x:c r="H1639" s="28" t="n">
        <x:v>11</x:v>
      </x:c>
      <x:c r="I1639" s="28" t="n">
        <x:v>22</x:v>
      </x:c>
      <x:c r="J1639" s="28" t="n">
        <x:v>4</x:v>
      </x:c>
      <x:c r="K1639" s="28" t="n">
        <x:v>7</x:v>
      </x:c>
      <x:c r="L1639" s="28" t="n">
        <x:v>4</x:v>
      </x:c>
      <x:c r="M1639" s="28" t="n">
        <x:v>7</x:v>
      </x:c>
      <x:c r="N1639" s="28" t="n">
        <x:v>2</x:v>
      </x:c>
      <x:c r="O1639" s="28" t="n">
        <x:v>0</x:v>
      </x:c>
      <x:c r="P1639" s="28" t="n">
        <x:v>0</x:v>
      </x:c>
      <x:c r="Q1639" s="24" t="n">
        <x:f>IFERROR(J1639/H1639,0)</x:f>
        <x:v>0.36363636363636365</x:v>
      </x:c>
      <x:c r="R1639" s="24" t="n">
        <x:f>IFERROR(F1639/H1639,0)</x:f>
        <x:v>0.09090909090909091</x:v>
      </x:c>
      <x:c r="S1639" s="24" t="n">
        <x:f>IFERROR(F1639/J1639,0)</x:f>
        <x:v>0.25</x:v>
      </x:c>
      <x:c r="T1639" s="28" t="n">
        <x:f>H1639-I1639</x:f>
        <x:v>-11</x:v>
      </x:c>
      <x:c r="U1639" s="24" t="n">
        <x:f>IFERROR(J1639/H1639,0)-IFERROR(K1639/I1639,0)</x:f>
        <x:v>0.04545454545454547</x:v>
      </x:c>
      <x:c r="V1639" s="24" t="n">
        <x:f>IFERROR(F1639/J1639,0)-IFERROR(G1639/K1639,0)</x:f>
        <x:v>-0.17857142857142855</x:v>
      </x:c>
      <x:c r="W1639" s="28" t="n">
        <x:f>L1639-M1639</x:f>
        <x:v>-3</x:v>
      </x:c>
      <x:c r="X1639" s="24" t="n">
        <x:f>IFERROR(K1639/I1639,0)</x:f>
        <x:v>0.3181818181818182</x:v>
      </x:c>
      <x:c r="Y1639" s="24" t="n">
        <x:f>IFERROR(G1639/I1639,0)</x:f>
        <x:v>0.13636363636363635</x:v>
      </x:c>
      <x:c r="Z1639" s="24" t="n">
        <x:f>IFERROR(G1639/K1639,0)</x:f>
        <x:v>0.42857142857142855</x:v>
      </x:c>
      <x:c r="AA1639" s="24" t="n">
        <x:f>IFERROR(F1639/H1639,0)-IFERROR(G1639/I1639,0)</x:f>
        <x:v>-0.04545454545454544</x:v>
      </x:c>
      <x:c r="AB1639" s="28" t="n">
        <x:f>J1639-K1639</x:f>
        <x:v>-3</x:v>
      </x:c>
      <x:c r="AC1639" s="32" t="n">
        <x:f>F1639-G1639</x:f>
        <x:v>-2</x:v>
      </x:c>
    </x:row>
    <x:row r="1640">
      <x:c r="A1640" s="4" t="str">
        <x:v>2023-24</x:v>
      </x:c>
      <x:c r="B1640" s="20" t="n">
        <x:v>45199</x:v>
      </x:c>
      <x:c r="C1640" s="4" t="str">
        <x:v>Arsenal</x:v>
      </x:c>
      <x:c r="D1640" s="4" t="str">
        <x:v>Bournemouth</x:v>
      </x:c>
      <x:c r="E1640" s="4" t="str">
        <x:v>Away</x:v>
      </x:c>
      <x:c r="F1640" s="28" t="n">
        <x:v>4</x:v>
      </x:c>
      <x:c r="G1640" s="28" t="n">
        <x:v>0</x:v>
      </x:c>
      <x:c r="H1640" s="28" t="n">
        <x:v>15</x:v>
      </x:c>
      <x:c r="I1640" s="28" t="n">
        <x:v>8</x:v>
      </x:c>
      <x:c r="J1640" s="28" t="n">
        <x:v>8</x:v>
      </x:c>
      <x:c r="K1640" s="28" t="n">
        <x:v>1</x:v>
      </x:c>
      <x:c r="L1640" s="28" t="n">
        <x:v>6</x:v>
      </x:c>
      <x:c r="M1640" s="28" t="n">
        <x:v>6</x:v>
      </x:c>
      <x:c r="N1640" s="28" t="n">
        <x:v>1</x:v>
      </x:c>
      <x:c r="O1640" s="28" t="n">
        <x:v>0</x:v>
      </x:c>
      <x:c r="P1640" s="28" t="n">
        <x:v>3</x:v>
      </x:c>
      <x:c r="Q1640" s="24" t="n">
        <x:f>IFERROR(J1640/H1640,0)</x:f>
        <x:v>0.5333333333333333</x:v>
      </x:c>
      <x:c r="R1640" s="24" t="n">
        <x:f>IFERROR(F1640/H1640,0)</x:f>
        <x:v>0.26666666666666666</x:v>
      </x:c>
      <x:c r="S1640" s="24" t="n">
        <x:f>IFERROR(F1640/J1640,0)</x:f>
        <x:v>0.5</x:v>
      </x:c>
      <x:c r="T1640" s="28" t="n">
        <x:f>H1640-I1640</x:f>
        <x:v>7</x:v>
      </x:c>
      <x:c r="U1640" s="24" t="n">
        <x:f>IFERROR(J1640/H1640,0)-IFERROR(K1640/I1640,0)</x:f>
        <x:v>0.4083333333333333</x:v>
      </x:c>
      <x:c r="V1640" s="24" t="n">
        <x:f>IFERROR(F1640/J1640,0)-IFERROR(G1640/K1640,0)</x:f>
        <x:v>0.5</x:v>
      </x:c>
      <x:c r="W1640" s="28" t="n">
        <x:f>L1640-M1640</x:f>
        <x:v>0</x:v>
      </x:c>
      <x:c r="X1640" s="24" t="n">
        <x:f>IFERROR(K1640/I1640,0)</x:f>
        <x:v>0.125</x:v>
      </x:c>
      <x:c r="Y1640" s="24" t="n">
        <x:f>IFERROR(G1640/I1640,0)</x:f>
        <x:v>0</x:v>
      </x:c>
      <x:c r="Z1640" s="24" t="n">
        <x:f>IFERROR(G1640/K1640,0)</x:f>
        <x:v>0</x:v>
      </x:c>
      <x:c r="AA1640" s="24" t="n">
        <x:f>IFERROR(F1640/H1640,0)-IFERROR(G1640/I1640,0)</x:f>
        <x:v>0.26666666666666666</x:v>
      </x:c>
      <x:c r="AB1640" s="28" t="n">
        <x:f>J1640-K1640</x:f>
        <x:v>7</x:v>
      </x:c>
      <x:c r="AC1640" s="32" t="n">
        <x:f>F1640-G1640</x:f>
        <x:v>4</x:v>
      </x:c>
    </x:row>
    <x:row r="1641">
      <x:c r="A1641" s="4" t="str">
        <x:v>2023-24</x:v>
      </x:c>
      <x:c r="B1641" s="20" t="n">
        <x:v>45199</x:v>
      </x:c>
      <x:c r="C1641" s="4" t="str">
        <x:v>Aston Villa</x:v>
      </x:c>
      <x:c r="D1641" s="4" t="str">
        <x:v>Brighton</x:v>
      </x:c>
      <x:c r="E1641" s="4" t="str">
        <x:v>Home</x:v>
      </x:c>
      <x:c r="F1641" s="28" t="n">
        <x:v>6</x:v>
      </x:c>
      <x:c r="G1641" s="28" t="n">
        <x:v>1</x:v>
      </x:c>
      <x:c r="H1641" s="28" t="n">
        <x:v>19</x:v>
      </x:c>
      <x:c r="I1641" s="28" t="n">
        <x:v>11</x:v>
      </x:c>
      <x:c r="J1641" s="28" t="n">
        <x:v>9</x:v>
      </x:c>
      <x:c r="K1641" s="28" t="n">
        <x:v>3</x:v>
      </x:c>
      <x:c r="L1641" s="28" t="n">
        <x:v>1</x:v>
      </x:c>
      <x:c r="M1641" s="28" t="n">
        <x:v>3</x:v>
      </x:c>
      <x:c r="N1641" s="28" t="n">
        <x:v>4</x:v>
      </x:c>
      <x:c r="O1641" s="28" t="n">
        <x:v>0</x:v>
      </x:c>
      <x:c r="P1641" s="28" t="n">
        <x:v>3</x:v>
      </x:c>
      <x:c r="Q1641" s="24" t="n">
        <x:f>IFERROR(J1641/H1641,0)</x:f>
        <x:v>0.47368421052631576</x:v>
      </x:c>
      <x:c r="R1641" s="24" t="n">
        <x:f>IFERROR(F1641/H1641,0)</x:f>
        <x:v>0.3157894736842105</x:v>
      </x:c>
      <x:c r="S1641" s="24" t="n">
        <x:f>IFERROR(F1641/J1641,0)</x:f>
        <x:v>0.6666666666666666</x:v>
      </x:c>
      <x:c r="T1641" s="28" t="n">
        <x:f>H1641-I1641</x:f>
        <x:v>8</x:v>
      </x:c>
      <x:c r="U1641" s="24" t="n">
        <x:f>IFERROR(J1641/H1641,0)-IFERROR(K1641/I1641,0)</x:f>
        <x:v>0.20095693779904306</x:v>
      </x:c>
      <x:c r="V1641" s="24" t="n">
        <x:f>IFERROR(F1641/J1641,0)-IFERROR(G1641/K1641,0)</x:f>
        <x:v>0.3333333333333333</x:v>
      </x:c>
      <x:c r="W1641" s="28" t="n">
        <x:f>L1641-M1641</x:f>
        <x:v>-2</x:v>
      </x:c>
      <x:c r="X1641" s="24" t="n">
        <x:f>IFERROR(K1641/I1641,0)</x:f>
        <x:v>0.2727272727272727</x:v>
      </x:c>
      <x:c r="Y1641" s="24" t="n">
        <x:f>IFERROR(G1641/I1641,0)</x:f>
        <x:v>0.09090909090909091</x:v>
      </x:c>
      <x:c r="Z1641" s="24" t="n">
        <x:f>IFERROR(G1641/K1641,0)</x:f>
        <x:v>0.3333333333333333</x:v>
      </x:c>
      <x:c r="AA1641" s="24" t="n">
        <x:f>IFERROR(F1641/H1641,0)-IFERROR(G1641/I1641,0)</x:f>
        <x:v>0.2248803827751196</x:v>
      </x:c>
      <x:c r="AB1641" s="28" t="n">
        <x:f>J1641-K1641</x:f>
        <x:v>6</x:v>
      </x:c>
      <x:c r="AC1641" s="32" t="n">
        <x:f>F1641-G1641</x:f>
        <x:v>5</x:v>
      </x:c>
    </x:row>
    <x:row r="1642">
      <x:c r="A1642" s="4" t="str">
        <x:v>2023-24</x:v>
      </x:c>
      <x:c r="B1642" s="20" t="n">
        <x:v>45199</x:v>
      </x:c>
      <x:c r="C1642" s="4" t="str">
        <x:v>Bournemouth</x:v>
      </x:c>
      <x:c r="D1642" s="4" t="str">
        <x:v>Arsenal</x:v>
      </x:c>
      <x:c r="E1642" s="4" t="str">
        <x:v>Home</x:v>
      </x:c>
      <x:c r="F1642" s="28" t="n">
        <x:v>0</x:v>
      </x:c>
      <x:c r="G1642" s="28" t="n">
        <x:v>4</x:v>
      </x:c>
      <x:c r="H1642" s="28" t="n">
        <x:v>8</x:v>
      </x:c>
      <x:c r="I1642" s="28" t="n">
        <x:v>15</x:v>
      </x:c>
      <x:c r="J1642" s="28" t="n">
        <x:v>1</x:v>
      </x:c>
      <x:c r="K1642" s="28" t="n">
        <x:v>8</x:v>
      </x:c>
      <x:c r="L1642" s="28" t="n">
        <x:v>6</x:v>
      </x:c>
      <x:c r="M1642" s="28" t="n">
        <x:v>6</x:v>
      </x:c>
      <x:c r="N1642" s="28" t="n">
        <x:v>0</x:v>
      </x:c>
      <x:c r="O1642" s="28" t="n">
        <x:v>0</x:v>
      </x:c>
      <x:c r="P1642" s="28" t="n">
        <x:v>0</x:v>
      </x:c>
      <x:c r="Q1642" s="24" t="n">
        <x:f>IFERROR(J1642/H1642,0)</x:f>
        <x:v>0.125</x:v>
      </x:c>
      <x:c r="R1642" s="24" t="n">
        <x:f>IFERROR(F1642/H1642,0)</x:f>
        <x:v>0</x:v>
      </x:c>
      <x:c r="S1642" s="24" t="n">
        <x:f>IFERROR(F1642/J1642,0)</x:f>
        <x:v>0</x:v>
      </x:c>
      <x:c r="T1642" s="28" t="n">
        <x:f>H1642-I1642</x:f>
        <x:v>-7</x:v>
      </x:c>
      <x:c r="U1642" s="24" t="n">
        <x:f>IFERROR(J1642/H1642,0)-IFERROR(K1642/I1642,0)</x:f>
        <x:v>-0.4083333333333333</x:v>
      </x:c>
      <x:c r="V1642" s="24" t="n">
        <x:f>IFERROR(F1642/J1642,0)-IFERROR(G1642/K1642,0)</x:f>
        <x:v>-0.5</x:v>
      </x:c>
      <x:c r="W1642" s="28" t="n">
        <x:f>L1642-M1642</x:f>
        <x:v>0</x:v>
      </x:c>
      <x:c r="X1642" s="24" t="n">
        <x:f>IFERROR(K1642/I1642,0)</x:f>
        <x:v>0.5333333333333333</x:v>
      </x:c>
      <x:c r="Y1642" s="24" t="n">
        <x:f>IFERROR(G1642/I1642,0)</x:f>
        <x:v>0.26666666666666666</x:v>
      </x:c>
      <x:c r="Z1642" s="24" t="n">
        <x:f>IFERROR(G1642/K1642,0)</x:f>
        <x:v>0.5</x:v>
      </x:c>
      <x:c r="AA1642" s="24" t="n">
        <x:f>IFERROR(F1642/H1642,0)-IFERROR(G1642/I1642,0)</x:f>
        <x:v>-0.26666666666666666</x:v>
      </x:c>
      <x:c r="AB1642" s="28" t="n">
        <x:f>J1642-K1642</x:f>
        <x:v>-7</x:v>
      </x:c>
      <x:c r="AC1642" s="32" t="n">
        <x:f>F1642-G1642</x:f>
        <x:v>-4</x:v>
      </x:c>
    </x:row>
    <x:row r="1643">
      <x:c r="A1643" s="4" t="str">
        <x:v>2023-24</x:v>
      </x:c>
      <x:c r="B1643" s="20" t="n">
        <x:v>45199</x:v>
      </x:c>
      <x:c r="C1643" s="4" t="str">
        <x:v>Brighton</x:v>
      </x:c>
      <x:c r="D1643" s="4" t="str">
        <x:v>Aston Villa</x:v>
      </x:c>
      <x:c r="E1643" s="4" t="str">
        <x:v>Away</x:v>
      </x:c>
      <x:c r="F1643" s="28" t="n">
        <x:v>1</x:v>
      </x:c>
      <x:c r="G1643" s="28" t="n">
        <x:v>6</x:v>
      </x:c>
      <x:c r="H1643" s="28" t="n">
        <x:v>11</x:v>
      </x:c>
      <x:c r="I1643" s="28" t="n">
        <x:v>19</x:v>
      </x:c>
      <x:c r="J1643" s="28" t="n">
        <x:v>3</x:v>
      </x:c>
      <x:c r="K1643" s="28" t="n">
        <x:v>9</x:v>
      </x:c>
      <x:c r="L1643" s="28" t="n">
        <x:v>3</x:v>
      </x:c>
      <x:c r="M1643" s="28" t="n">
        <x:v>1</x:v>
      </x:c>
      <x:c r="N1643" s="28" t="n">
        <x:v>4</x:v>
      </x:c>
      <x:c r="O1643" s="28" t="n">
        <x:v>0</x:v>
      </x:c>
      <x:c r="P1643" s="28" t="n">
        <x:v>0</x:v>
      </x:c>
      <x:c r="Q1643" s="24" t="n">
        <x:f>IFERROR(J1643/H1643,0)</x:f>
        <x:v>0.2727272727272727</x:v>
      </x:c>
      <x:c r="R1643" s="24" t="n">
        <x:f>IFERROR(F1643/H1643,0)</x:f>
        <x:v>0.09090909090909091</x:v>
      </x:c>
      <x:c r="S1643" s="24" t="n">
        <x:f>IFERROR(F1643/J1643,0)</x:f>
        <x:v>0.3333333333333333</x:v>
      </x:c>
      <x:c r="T1643" s="28" t="n">
        <x:f>H1643-I1643</x:f>
        <x:v>-8</x:v>
      </x:c>
      <x:c r="U1643" s="24" t="n">
        <x:f>IFERROR(J1643/H1643,0)-IFERROR(K1643/I1643,0)</x:f>
        <x:v>-0.20095693779904306</x:v>
      </x:c>
      <x:c r="V1643" s="24" t="n">
        <x:f>IFERROR(F1643/J1643,0)-IFERROR(G1643/K1643,0)</x:f>
        <x:v>-0.3333333333333333</x:v>
      </x:c>
      <x:c r="W1643" s="28" t="n">
        <x:f>L1643-M1643</x:f>
        <x:v>2</x:v>
      </x:c>
      <x:c r="X1643" s="24" t="n">
        <x:f>IFERROR(K1643/I1643,0)</x:f>
        <x:v>0.47368421052631576</x:v>
      </x:c>
      <x:c r="Y1643" s="24" t="n">
        <x:f>IFERROR(G1643/I1643,0)</x:f>
        <x:v>0.3157894736842105</x:v>
      </x:c>
      <x:c r="Z1643" s="24" t="n">
        <x:f>IFERROR(G1643/K1643,0)</x:f>
        <x:v>0.6666666666666666</x:v>
      </x:c>
      <x:c r="AA1643" s="24" t="n">
        <x:f>IFERROR(F1643/H1643,0)-IFERROR(G1643/I1643,0)</x:f>
        <x:v>-0.2248803827751196</x:v>
      </x:c>
      <x:c r="AB1643" s="28" t="n">
        <x:f>J1643-K1643</x:f>
        <x:v>-6</x:v>
      </x:c>
      <x:c r="AC1643" s="32" t="n">
        <x:f>F1643-G1643</x:f>
        <x:v>-5</x:v>
      </x:c>
    </x:row>
    <x:row r="1644">
      <x:c r="A1644" s="4" t="str">
        <x:v>2023-24</x:v>
      </x:c>
      <x:c r="B1644" s="20" t="n">
        <x:v>45199</x:v>
      </x:c>
      <x:c r="C1644" s="4" t="str">
        <x:v>Burnley</x:v>
      </x:c>
      <x:c r="D1644" s="4" t="str">
        <x:v>Newcastle</x:v>
      </x:c>
      <x:c r="E1644" s="4" t="str">
        <x:v>Away</x:v>
      </x:c>
      <x:c r="F1644" s="28" t="n">
        <x:v>0</x:v>
      </x:c>
      <x:c r="G1644" s="28" t="n">
        <x:v>2</x:v>
      </x:c>
      <x:c r="H1644" s="28" t="n">
        <x:v>8</x:v>
      </x:c>
      <x:c r="I1644" s="28" t="n">
        <x:v>20</x:v>
      </x:c>
      <x:c r="J1644" s="28" t="n">
        <x:v>2</x:v>
      </x:c>
      <x:c r="K1644" s="28" t="n">
        <x:v>8</x:v>
      </x:c>
      <x:c r="L1644" s="28" t="n">
        <x:v>3</x:v>
      </x:c>
      <x:c r="M1644" s="28" t="n">
        <x:v>5</x:v>
      </x:c>
      <x:c r="N1644" s="28" t="n">
        <x:v>3</x:v>
      </x:c>
      <x:c r="O1644" s="28" t="n">
        <x:v>0</x:v>
      </x:c>
      <x:c r="P1644" s="28" t="n">
        <x:v>0</x:v>
      </x:c>
      <x:c r="Q1644" s="24" t="n">
        <x:f>IFERROR(J1644/H1644,0)</x:f>
        <x:v>0.25</x:v>
      </x:c>
      <x:c r="R1644" s="24" t="n">
        <x:f>IFERROR(F1644/H1644,0)</x:f>
        <x:v>0</x:v>
      </x:c>
      <x:c r="S1644" s="24" t="n">
        <x:f>IFERROR(F1644/J1644,0)</x:f>
        <x:v>0</x:v>
      </x:c>
      <x:c r="T1644" s="28" t="n">
        <x:f>H1644-I1644</x:f>
        <x:v>-12</x:v>
      </x:c>
      <x:c r="U1644" s="24" t="n">
        <x:f>IFERROR(J1644/H1644,0)-IFERROR(K1644/I1644,0)</x:f>
        <x:v>-0.15000000000000002</x:v>
      </x:c>
      <x:c r="V1644" s="24" t="n">
        <x:f>IFERROR(F1644/J1644,0)-IFERROR(G1644/K1644,0)</x:f>
        <x:v>-0.25</x:v>
      </x:c>
      <x:c r="W1644" s="28" t="n">
        <x:f>L1644-M1644</x:f>
        <x:v>-2</x:v>
      </x:c>
      <x:c r="X1644" s="24" t="n">
        <x:f>IFERROR(K1644/I1644,0)</x:f>
        <x:v>0.4</x:v>
      </x:c>
      <x:c r="Y1644" s="24" t="n">
        <x:f>IFERROR(G1644/I1644,0)</x:f>
        <x:v>0.1</x:v>
      </x:c>
      <x:c r="Z1644" s="24" t="n">
        <x:f>IFERROR(G1644/K1644,0)</x:f>
        <x:v>0.25</x:v>
      </x:c>
      <x:c r="AA1644" s="24" t="n">
        <x:f>IFERROR(F1644/H1644,0)-IFERROR(G1644/I1644,0)</x:f>
        <x:v>-0.1</x:v>
      </x:c>
      <x:c r="AB1644" s="28" t="n">
        <x:f>J1644-K1644</x:f>
        <x:v>-6</x:v>
      </x:c>
      <x:c r="AC1644" s="32" t="n">
        <x:f>F1644-G1644</x:f>
        <x:v>-2</x:v>
      </x:c>
    </x:row>
    <x:row r="1645">
      <x:c r="A1645" s="4" t="str">
        <x:v>2023-24</x:v>
      </x:c>
      <x:c r="B1645" s="20" t="n">
        <x:v>45199</x:v>
      </x:c>
      <x:c r="C1645" s="4" t="str">
        <x:v>Crystal Palace</x:v>
      </x:c>
      <x:c r="D1645" s="4" t="str">
        <x:v>Man United</x:v>
      </x:c>
      <x:c r="E1645" s="4" t="str">
        <x:v>Away</x:v>
      </x:c>
      <x:c r="F1645" s="28" t="n">
        <x:v>1</x:v>
      </x:c>
      <x:c r="G1645" s="28" t="n">
        <x:v>0</x:v>
      </x:c>
      <x:c r="H1645" s="28" t="n">
        <x:v>8</x:v>
      </x:c>
      <x:c r="I1645" s="28" t="n">
        <x:v>19</x:v>
      </x:c>
      <x:c r="J1645" s="28" t="n">
        <x:v>2</x:v>
      </x:c>
      <x:c r="K1645" s="28" t="n">
        <x:v>4</x:v>
      </x:c>
      <x:c r="L1645" s="28" t="n">
        <x:v>4</x:v>
      </x:c>
      <x:c r="M1645" s="28" t="n">
        <x:v>10</x:v>
      </x:c>
      <x:c r="N1645" s="28" t="n">
        <x:v>2</x:v>
      </x:c>
      <x:c r="O1645" s="28" t="n">
        <x:v>0</x:v>
      </x:c>
      <x:c r="P1645" s="28" t="n">
        <x:v>3</x:v>
      </x:c>
      <x:c r="Q1645" s="24" t="n">
        <x:f>IFERROR(J1645/H1645,0)</x:f>
        <x:v>0.25</x:v>
      </x:c>
      <x:c r="R1645" s="24" t="n">
        <x:f>IFERROR(F1645/H1645,0)</x:f>
        <x:v>0.125</x:v>
      </x:c>
      <x:c r="S1645" s="24" t="n">
        <x:f>IFERROR(F1645/J1645,0)</x:f>
        <x:v>0.5</x:v>
      </x:c>
      <x:c r="T1645" s="28" t="n">
        <x:f>H1645-I1645</x:f>
        <x:v>-11</x:v>
      </x:c>
      <x:c r="U1645" s="24" t="n">
        <x:f>IFERROR(J1645/H1645,0)-IFERROR(K1645/I1645,0)</x:f>
        <x:v>0.03947368421052633</x:v>
      </x:c>
      <x:c r="V1645" s="24" t="n">
        <x:f>IFERROR(F1645/J1645,0)-IFERROR(G1645/K1645,0)</x:f>
        <x:v>0.5</x:v>
      </x:c>
      <x:c r="W1645" s="28" t="n">
        <x:f>L1645-M1645</x:f>
        <x:v>-6</x:v>
      </x:c>
      <x:c r="X1645" s="24" t="n">
        <x:f>IFERROR(K1645/I1645,0)</x:f>
        <x:v>0.21052631578947367</x:v>
      </x:c>
      <x:c r="Y1645" s="24" t="n">
        <x:f>IFERROR(G1645/I1645,0)</x:f>
        <x:v>0</x:v>
      </x:c>
      <x:c r="Z1645" s="24" t="n">
        <x:f>IFERROR(G1645/K1645,0)</x:f>
        <x:v>0</x:v>
      </x:c>
      <x:c r="AA1645" s="24" t="n">
        <x:f>IFERROR(F1645/H1645,0)-IFERROR(G1645/I1645,0)</x:f>
        <x:v>0.125</x:v>
      </x:c>
      <x:c r="AB1645" s="28" t="n">
        <x:f>J1645-K1645</x:f>
        <x:v>-2</x:v>
      </x:c>
      <x:c r="AC1645" s="32" t="n">
        <x:f>F1645-G1645</x:f>
        <x:v>1</x:v>
      </x:c>
    </x:row>
    <x:row r="1646">
      <x:c r="A1646" s="4" t="str">
        <x:v>2023-24</x:v>
      </x:c>
      <x:c r="B1646" s="20" t="n">
        <x:v>45199</x:v>
      </x:c>
      <x:c r="C1646" s="4" t="str">
        <x:v>Everton</x:v>
      </x:c>
      <x:c r="D1646" s="4" t="str">
        <x:v>Luton</x:v>
      </x:c>
      <x:c r="E1646" s="4" t="str">
        <x:v>Home</x:v>
      </x:c>
      <x:c r="F1646" s="28" t="n">
        <x:v>1</x:v>
      </x:c>
      <x:c r="G1646" s="28" t="n">
        <x:v>2</x:v>
      </x:c>
      <x:c r="H1646" s="28" t="n">
        <x:v>23</x:v>
      </x:c>
      <x:c r="I1646" s="28" t="n">
        <x:v>9</x:v>
      </x:c>
      <x:c r="J1646" s="28" t="n">
        <x:v>5</x:v>
      </x:c>
      <x:c r="K1646" s="28" t="n">
        <x:v>2</x:v>
      </x:c>
      <x:c r="L1646" s="28" t="n">
        <x:v>3</x:v>
      </x:c>
      <x:c r="M1646" s="28" t="n">
        <x:v>6</x:v>
      </x:c>
      <x:c r="N1646" s="28" t="n">
        <x:v>0</x:v>
      </x:c>
      <x:c r="O1646" s="28" t="n">
        <x:v>0</x:v>
      </x:c>
      <x:c r="P1646" s="28" t="n">
        <x:v>0</x:v>
      </x:c>
      <x:c r="Q1646" s="24" t="n">
        <x:f>IFERROR(J1646/H1646,0)</x:f>
        <x:v>0.21739130434782608</x:v>
      </x:c>
      <x:c r="R1646" s="24" t="n">
        <x:f>IFERROR(F1646/H1646,0)</x:f>
        <x:v>0.043478260869565216</x:v>
      </x:c>
      <x:c r="S1646" s="24" t="n">
        <x:f>IFERROR(F1646/J1646,0)</x:f>
        <x:v>0.2</x:v>
      </x:c>
      <x:c r="T1646" s="28" t="n">
        <x:f>H1646-I1646</x:f>
        <x:v>14</x:v>
      </x:c>
      <x:c r="U1646" s="24" t="n">
        <x:f>IFERROR(J1646/H1646,0)-IFERROR(K1646/I1646,0)</x:f>
        <x:v>-0.004830917874396129</x:v>
      </x:c>
      <x:c r="V1646" s="24" t="n">
        <x:f>IFERROR(F1646/J1646,0)-IFERROR(G1646/K1646,0)</x:f>
        <x:v>-0.8</x:v>
      </x:c>
      <x:c r="W1646" s="28" t="n">
        <x:f>L1646-M1646</x:f>
        <x:v>-3</x:v>
      </x:c>
      <x:c r="X1646" s="24" t="n">
        <x:f>IFERROR(K1646/I1646,0)</x:f>
        <x:v>0.2222222222222222</x:v>
      </x:c>
      <x:c r="Y1646" s="24" t="n">
        <x:f>IFERROR(G1646/I1646,0)</x:f>
        <x:v>0.2222222222222222</x:v>
      </x:c>
      <x:c r="Z1646" s="24" t="n">
        <x:f>IFERROR(G1646/K1646,0)</x:f>
        <x:v>1</x:v>
      </x:c>
      <x:c r="AA1646" s="24" t="n">
        <x:f>IFERROR(F1646/H1646,0)-IFERROR(G1646/I1646,0)</x:f>
        <x:v>-0.178743961352657</x:v>
      </x:c>
      <x:c r="AB1646" s="28" t="n">
        <x:f>J1646-K1646</x:f>
        <x:v>3</x:v>
      </x:c>
      <x:c r="AC1646" s="32" t="n">
        <x:f>F1646-G1646</x:f>
        <x:v>-1</x:v>
      </x:c>
    </x:row>
    <x:row r="1647">
      <x:c r="A1647" s="4" t="str">
        <x:v>2023-24</x:v>
      </x:c>
      <x:c r="B1647" s="20" t="n">
        <x:v>45199</x:v>
      </x:c>
      <x:c r="C1647" s="4" t="str">
        <x:v>Liverpool</x:v>
      </x:c>
      <x:c r="D1647" s="4" t="str">
        <x:v>Tottenham</x:v>
      </x:c>
      <x:c r="E1647" s="4" t="str">
        <x:v>Away</x:v>
      </x:c>
      <x:c r="F1647" s="28" t="n">
        <x:v>1</x:v>
      </x:c>
      <x:c r="G1647" s="28" t="n">
        <x:v>2</x:v>
      </x:c>
      <x:c r="H1647" s="28" t="n">
        <x:v>12</x:v>
      </x:c>
      <x:c r="I1647" s="28" t="n">
        <x:v>24</x:v>
      </x:c>
      <x:c r="J1647" s="28" t="n">
        <x:v>4</x:v>
      </x:c>
      <x:c r="K1647" s="28" t="n">
        <x:v>8</x:v>
      </x:c>
      <x:c r="L1647" s="28" t="n">
        <x:v>5</x:v>
      </x:c>
      <x:c r="M1647" s="28" t="n">
        <x:v>12</x:v>
      </x:c>
      <x:c r="N1647" s="28" t="n">
        <x:v>4</x:v>
      </x:c>
      <x:c r="O1647" s="28" t="n">
        <x:v>2</x:v>
      </x:c>
      <x:c r="P1647" s="28" t="n">
        <x:v>0</x:v>
      </x:c>
      <x:c r="Q1647" s="24" t="n">
        <x:f>IFERROR(J1647/H1647,0)</x:f>
        <x:v>0.3333333333333333</x:v>
      </x:c>
      <x:c r="R1647" s="24" t="n">
        <x:f>IFERROR(F1647/H1647,0)</x:f>
        <x:v>0.08333333333333333</x:v>
      </x:c>
      <x:c r="S1647" s="24" t="n">
        <x:f>IFERROR(F1647/J1647,0)</x:f>
        <x:v>0.25</x:v>
      </x:c>
      <x:c r="T1647" s="28" t="n">
        <x:f>H1647-I1647</x:f>
        <x:v>-12</x:v>
      </x:c>
      <x:c r="U1647" s="24" t="n">
        <x:f>IFERROR(J1647/H1647,0)-IFERROR(K1647/I1647,0)</x:f>
        <x:v>0</x:v>
      </x:c>
      <x:c r="V1647" s="24" t="n">
        <x:f>IFERROR(F1647/J1647,0)-IFERROR(G1647/K1647,0)</x:f>
        <x:v>0</x:v>
      </x:c>
      <x:c r="W1647" s="28" t="n">
        <x:f>L1647-M1647</x:f>
        <x:v>-7</x:v>
      </x:c>
      <x:c r="X1647" s="24" t="n">
        <x:f>IFERROR(K1647/I1647,0)</x:f>
        <x:v>0.3333333333333333</x:v>
      </x:c>
      <x:c r="Y1647" s="24" t="n">
        <x:f>IFERROR(G1647/I1647,0)</x:f>
        <x:v>0.08333333333333333</x:v>
      </x:c>
      <x:c r="Z1647" s="24" t="n">
        <x:f>IFERROR(G1647/K1647,0)</x:f>
        <x:v>0.25</x:v>
      </x:c>
      <x:c r="AA1647" s="24" t="n">
        <x:f>IFERROR(F1647/H1647,0)-IFERROR(G1647/I1647,0)</x:f>
        <x:v>0</x:v>
      </x:c>
      <x:c r="AB1647" s="28" t="n">
        <x:f>J1647-K1647</x:f>
        <x:v>-4</x:v>
      </x:c>
      <x:c r="AC1647" s="32" t="n">
        <x:f>F1647-G1647</x:f>
        <x:v>-1</x:v>
      </x:c>
    </x:row>
    <x:row r="1648">
      <x:c r="A1648" s="4" t="str">
        <x:v>2023-24</x:v>
      </x:c>
      <x:c r="B1648" s="20" t="n">
        <x:v>45199</x:v>
      </x:c>
      <x:c r="C1648" s="4" t="str">
        <x:v>Luton</x:v>
      </x:c>
      <x:c r="D1648" s="4" t="str">
        <x:v>Everton</x:v>
      </x:c>
      <x:c r="E1648" s="4" t="str">
        <x:v>Away</x:v>
      </x:c>
      <x:c r="F1648" s="28" t="n">
        <x:v>2</x:v>
      </x:c>
      <x:c r="G1648" s="28" t="n">
        <x:v>1</x:v>
      </x:c>
      <x:c r="H1648" s="28" t="n">
        <x:v>9</x:v>
      </x:c>
      <x:c r="I1648" s="28" t="n">
        <x:v>23</x:v>
      </x:c>
      <x:c r="J1648" s="28" t="n">
        <x:v>2</x:v>
      </x:c>
      <x:c r="K1648" s="28" t="n">
        <x:v>5</x:v>
      </x:c>
      <x:c r="L1648" s="28" t="n">
        <x:v>6</x:v>
      </x:c>
      <x:c r="M1648" s="28" t="n">
        <x:v>3</x:v>
      </x:c>
      <x:c r="N1648" s="28" t="n">
        <x:v>1</x:v>
      </x:c>
      <x:c r="O1648" s="28" t="n">
        <x:v>0</x:v>
      </x:c>
      <x:c r="P1648" s="28" t="n">
        <x:v>3</x:v>
      </x:c>
      <x:c r="Q1648" s="24" t="n">
        <x:f>IFERROR(J1648/H1648,0)</x:f>
        <x:v>0.2222222222222222</x:v>
      </x:c>
      <x:c r="R1648" s="24" t="n">
        <x:f>IFERROR(F1648/H1648,0)</x:f>
        <x:v>0.2222222222222222</x:v>
      </x:c>
      <x:c r="S1648" s="24" t="n">
        <x:f>IFERROR(F1648/J1648,0)</x:f>
        <x:v>1</x:v>
      </x:c>
      <x:c r="T1648" s="28" t="n">
        <x:f>H1648-I1648</x:f>
        <x:v>-14</x:v>
      </x:c>
      <x:c r="U1648" s="24" t="n">
        <x:f>IFERROR(J1648/H1648,0)-IFERROR(K1648/I1648,0)</x:f>
        <x:v>0.004830917874396129</x:v>
      </x:c>
      <x:c r="V1648" s="24" t="n">
        <x:f>IFERROR(F1648/J1648,0)-IFERROR(G1648/K1648,0)</x:f>
        <x:v>0.8</x:v>
      </x:c>
      <x:c r="W1648" s="28" t="n">
        <x:f>L1648-M1648</x:f>
        <x:v>3</x:v>
      </x:c>
      <x:c r="X1648" s="24" t="n">
        <x:f>IFERROR(K1648/I1648,0)</x:f>
        <x:v>0.21739130434782608</x:v>
      </x:c>
      <x:c r="Y1648" s="24" t="n">
        <x:f>IFERROR(G1648/I1648,0)</x:f>
        <x:v>0.043478260869565216</x:v>
      </x:c>
      <x:c r="Z1648" s="24" t="n">
        <x:f>IFERROR(G1648/K1648,0)</x:f>
        <x:v>0.2</x:v>
      </x:c>
      <x:c r="AA1648" s="24" t="n">
        <x:f>IFERROR(F1648/H1648,0)-IFERROR(G1648/I1648,0)</x:f>
        <x:v>0.178743961352657</x:v>
      </x:c>
      <x:c r="AB1648" s="28" t="n">
        <x:f>J1648-K1648</x:f>
        <x:v>-3</x:v>
      </x:c>
      <x:c r="AC1648" s="32" t="n">
        <x:f>F1648-G1648</x:f>
        <x:v>1</x:v>
      </x:c>
    </x:row>
    <x:row r="1649">
      <x:c r="A1649" s="4" t="str">
        <x:v>2023-24</x:v>
      </x:c>
      <x:c r="B1649" s="20" t="n">
        <x:v>45199</x:v>
      </x:c>
      <x:c r="C1649" s="4" t="str">
        <x:v>Man City</x:v>
      </x:c>
      <x:c r="D1649" s="4" t="str">
        <x:v>Wolves</x:v>
      </x:c>
      <x:c r="E1649" s="4" t="str">
        <x:v>Away</x:v>
      </x:c>
      <x:c r="F1649" s="28" t="n">
        <x:v>1</x:v>
      </x:c>
      <x:c r="G1649" s="28" t="n">
        <x:v>2</x:v>
      </x:c>
      <x:c r="H1649" s="28" t="n">
        <x:v>23</x:v>
      </x:c>
      <x:c r="I1649" s="28" t="n">
        <x:v>3</x:v>
      </x:c>
      <x:c r="J1649" s="28" t="n">
        <x:v>8</x:v>
      </x:c>
      <x:c r="K1649" s="28" t="n">
        <x:v>1</x:v>
      </x:c>
      <x:c r="L1649" s="28" t="n">
        <x:v>6</x:v>
      </x:c>
      <x:c r="M1649" s="28" t="n">
        <x:v>0</x:v>
      </x:c>
      <x:c r="N1649" s="28" t="n">
        <x:v>4</x:v>
      </x:c>
      <x:c r="O1649" s="28" t="n">
        <x:v>0</x:v>
      </x:c>
      <x:c r="P1649" s="28" t="n">
        <x:v>0</x:v>
      </x:c>
      <x:c r="Q1649" s="24" t="n">
        <x:f>IFERROR(J1649/H1649,0)</x:f>
        <x:v>0.34782608695652173</x:v>
      </x:c>
      <x:c r="R1649" s="24" t="n">
        <x:f>IFERROR(F1649/H1649,0)</x:f>
        <x:v>0.043478260869565216</x:v>
      </x:c>
      <x:c r="S1649" s="24" t="n">
        <x:f>IFERROR(F1649/J1649,0)</x:f>
        <x:v>0.125</x:v>
      </x:c>
      <x:c r="T1649" s="28" t="n">
        <x:f>H1649-I1649</x:f>
        <x:v>20</x:v>
      </x:c>
      <x:c r="U1649" s="24" t="n">
        <x:f>IFERROR(J1649/H1649,0)-IFERROR(K1649/I1649,0)</x:f>
        <x:v>0.014492753623188415</x:v>
      </x:c>
      <x:c r="V1649" s="24" t="n">
        <x:f>IFERROR(F1649/J1649,0)-IFERROR(G1649/K1649,0)</x:f>
        <x:v>-1.875</x:v>
      </x:c>
      <x:c r="W1649" s="28" t="n">
        <x:f>L1649-M1649</x:f>
        <x:v>6</x:v>
      </x:c>
      <x:c r="X1649" s="24" t="n">
        <x:f>IFERROR(K1649/I1649,0)</x:f>
        <x:v>0.3333333333333333</x:v>
      </x:c>
      <x:c r="Y1649" s="24" t="n">
        <x:f>IFERROR(G1649/I1649,0)</x:f>
        <x:v>0.6666666666666666</x:v>
      </x:c>
      <x:c r="Z1649" s="24" t="n">
        <x:f>IFERROR(G1649/K1649,0)</x:f>
        <x:v>2</x:v>
      </x:c>
      <x:c r="AA1649" s="24" t="n">
        <x:f>IFERROR(F1649/H1649,0)-IFERROR(G1649/I1649,0)</x:f>
        <x:v>-0.6231884057971014</x:v>
      </x:c>
      <x:c r="AB1649" s="28" t="n">
        <x:f>J1649-K1649</x:f>
        <x:v>7</x:v>
      </x:c>
      <x:c r="AC1649" s="32" t="n">
        <x:f>F1649-G1649</x:f>
        <x:v>-1</x:v>
      </x:c>
    </x:row>
    <x:row r="1650">
      <x:c r="A1650" s="4" t="str">
        <x:v>2023-24</x:v>
      </x:c>
      <x:c r="B1650" s="20" t="n">
        <x:v>45199</x:v>
      </x:c>
      <x:c r="C1650" s="4" t="str">
        <x:v>Man United</x:v>
      </x:c>
      <x:c r="D1650" s="4" t="str">
        <x:v>Crystal Palace</x:v>
      </x:c>
      <x:c r="E1650" s="4" t="str">
        <x:v>Home</x:v>
      </x:c>
      <x:c r="F1650" s="28" t="n">
        <x:v>0</x:v>
      </x:c>
      <x:c r="G1650" s="28" t="n">
        <x:v>1</x:v>
      </x:c>
      <x:c r="H1650" s="28" t="n">
        <x:v>19</x:v>
      </x:c>
      <x:c r="I1650" s="28" t="n">
        <x:v>8</x:v>
      </x:c>
      <x:c r="J1650" s="28" t="n">
        <x:v>4</x:v>
      </x:c>
      <x:c r="K1650" s="28" t="n">
        <x:v>2</x:v>
      </x:c>
      <x:c r="L1650" s="28" t="n">
        <x:v>10</x:v>
      </x:c>
      <x:c r="M1650" s="28" t="n">
        <x:v>4</x:v>
      </x:c>
      <x:c r="N1650" s="28" t="n">
        <x:v>3</x:v>
      </x:c>
      <x:c r="O1650" s="28" t="n">
        <x:v>0</x:v>
      </x:c>
      <x:c r="P1650" s="28" t="n">
        <x:v>0</x:v>
      </x:c>
      <x:c r="Q1650" s="24" t="n">
        <x:f>IFERROR(J1650/H1650,0)</x:f>
        <x:v>0.21052631578947367</x:v>
      </x:c>
      <x:c r="R1650" s="24" t="n">
        <x:f>IFERROR(F1650/H1650,0)</x:f>
        <x:v>0</x:v>
      </x:c>
      <x:c r="S1650" s="24" t="n">
        <x:f>IFERROR(F1650/J1650,0)</x:f>
        <x:v>0</x:v>
      </x:c>
      <x:c r="T1650" s="28" t="n">
        <x:f>H1650-I1650</x:f>
        <x:v>11</x:v>
      </x:c>
      <x:c r="U1650" s="24" t="n">
        <x:f>IFERROR(J1650/H1650,0)-IFERROR(K1650/I1650,0)</x:f>
        <x:v>-0.03947368421052633</x:v>
      </x:c>
      <x:c r="V1650" s="24" t="n">
        <x:f>IFERROR(F1650/J1650,0)-IFERROR(G1650/K1650,0)</x:f>
        <x:v>-0.5</x:v>
      </x:c>
      <x:c r="W1650" s="28" t="n">
        <x:f>L1650-M1650</x:f>
        <x:v>6</x:v>
      </x:c>
      <x:c r="X1650" s="24" t="n">
        <x:f>IFERROR(K1650/I1650,0)</x:f>
        <x:v>0.25</x:v>
      </x:c>
      <x:c r="Y1650" s="24" t="n">
        <x:f>IFERROR(G1650/I1650,0)</x:f>
        <x:v>0.125</x:v>
      </x:c>
      <x:c r="Z1650" s="24" t="n">
        <x:f>IFERROR(G1650/K1650,0)</x:f>
        <x:v>0.5</x:v>
      </x:c>
      <x:c r="AA1650" s="24" t="n">
        <x:f>IFERROR(F1650/H1650,0)-IFERROR(G1650/I1650,0)</x:f>
        <x:v>-0.125</x:v>
      </x:c>
      <x:c r="AB1650" s="28" t="n">
        <x:f>J1650-K1650</x:f>
        <x:v>2</x:v>
      </x:c>
      <x:c r="AC1650" s="32" t="n">
        <x:f>F1650-G1650</x:f>
        <x:v>-1</x:v>
      </x:c>
    </x:row>
    <x:row r="1651">
      <x:c r="A1651" s="4" t="str">
        <x:v>2023-24</x:v>
      </x:c>
      <x:c r="B1651" s="20" t="n">
        <x:v>45199</x:v>
      </x:c>
      <x:c r="C1651" s="4" t="str">
        <x:v>Newcastle</x:v>
      </x:c>
      <x:c r="D1651" s="4" t="str">
        <x:v>Burnley</x:v>
      </x:c>
      <x:c r="E1651" s="4" t="str">
        <x:v>Home</x:v>
      </x:c>
      <x:c r="F1651" s="28" t="n">
        <x:v>2</x:v>
      </x:c>
      <x:c r="G1651" s="28" t="n">
        <x:v>0</x:v>
      </x:c>
      <x:c r="H1651" s="28" t="n">
        <x:v>20</x:v>
      </x:c>
      <x:c r="I1651" s="28" t="n">
        <x:v>8</x:v>
      </x:c>
      <x:c r="J1651" s="28" t="n">
        <x:v>8</x:v>
      </x:c>
      <x:c r="K1651" s="28" t="n">
        <x:v>2</x:v>
      </x:c>
      <x:c r="L1651" s="28" t="n">
        <x:v>5</x:v>
      </x:c>
      <x:c r="M1651" s="28" t="n">
        <x:v>3</x:v>
      </x:c>
      <x:c r="N1651" s="28" t="n">
        <x:v>1</x:v>
      </x:c>
      <x:c r="O1651" s="28" t="n">
        <x:v>0</x:v>
      </x:c>
      <x:c r="P1651" s="28" t="n">
        <x:v>3</x:v>
      </x:c>
      <x:c r="Q1651" s="24" t="n">
        <x:f>IFERROR(J1651/H1651,0)</x:f>
        <x:v>0.4</x:v>
      </x:c>
      <x:c r="R1651" s="24" t="n">
        <x:f>IFERROR(F1651/H1651,0)</x:f>
        <x:v>0.1</x:v>
      </x:c>
      <x:c r="S1651" s="24" t="n">
        <x:f>IFERROR(F1651/J1651,0)</x:f>
        <x:v>0.25</x:v>
      </x:c>
      <x:c r="T1651" s="28" t="n">
        <x:f>H1651-I1651</x:f>
        <x:v>12</x:v>
      </x:c>
      <x:c r="U1651" s="24" t="n">
        <x:f>IFERROR(J1651/H1651,0)-IFERROR(K1651/I1651,0)</x:f>
        <x:v>0.15000000000000002</x:v>
      </x:c>
      <x:c r="V1651" s="24" t="n">
        <x:f>IFERROR(F1651/J1651,0)-IFERROR(G1651/K1651,0)</x:f>
        <x:v>0.25</x:v>
      </x:c>
      <x:c r="W1651" s="28" t="n">
        <x:f>L1651-M1651</x:f>
        <x:v>2</x:v>
      </x:c>
      <x:c r="X1651" s="24" t="n">
        <x:f>IFERROR(K1651/I1651,0)</x:f>
        <x:v>0.25</x:v>
      </x:c>
      <x:c r="Y1651" s="24" t="n">
        <x:f>IFERROR(G1651/I1651,0)</x:f>
        <x:v>0</x:v>
      </x:c>
      <x:c r="Z1651" s="24" t="n">
        <x:f>IFERROR(G1651/K1651,0)</x:f>
        <x:v>0</x:v>
      </x:c>
      <x:c r="AA1651" s="24" t="n">
        <x:f>IFERROR(F1651/H1651,0)-IFERROR(G1651/I1651,0)</x:f>
        <x:v>0.1</x:v>
      </x:c>
      <x:c r="AB1651" s="28" t="n">
        <x:f>J1651-K1651</x:f>
        <x:v>6</x:v>
      </x:c>
      <x:c r="AC1651" s="32" t="n">
        <x:f>F1651-G1651</x:f>
        <x:v>2</x:v>
      </x:c>
    </x:row>
    <x:row r="1652">
      <x:c r="A1652" s="4" t="str">
        <x:v>2023-24</x:v>
      </x:c>
      <x:c r="B1652" s="20" t="n">
        <x:v>45199</x:v>
      </x:c>
      <x:c r="C1652" s="4" t="str">
        <x:v>Sheffield United</x:v>
      </x:c>
      <x:c r="D1652" s="4" t="str">
        <x:v>West Ham</x:v>
      </x:c>
      <x:c r="E1652" s="4" t="str">
        <x:v>Away</x:v>
      </x:c>
      <x:c r="F1652" s="28" t="n">
        <x:v>0</x:v>
      </x:c>
      <x:c r="G1652" s="28" t="n">
        <x:v>2</x:v>
      </x:c>
      <x:c r="H1652" s="28" t="n">
        <x:v>16</x:v>
      </x:c>
      <x:c r="I1652" s="28" t="n">
        <x:v>20</x:v>
      </x:c>
      <x:c r="J1652" s="28" t="n">
        <x:v>2</x:v>
      </x:c>
      <x:c r="K1652" s="28" t="n">
        <x:v>9</x:v>
      </x:c>
      <x:c r="L1652" s="28" t="n">
        <x:v>4</x:v>
      </x:c>
      <x:c r="M1652" s="28" t="n">
        <x:v>7</x:v>
      </x:c>
      <x:c r="N1652" s="28" t="n">
        <x:v>1</x:v>
      </x:c>
      <x:c r="O1652" s="28" t="n">
        <x:v>0</x:v>
      </x:c>
      <x:c r="P1652" s="28" t="n">
        <x:v>0</x:v>
      </x:c>
      <x:c r="Q1652" s="24" t="n">
        <x:f>IFERROR(J1652/H1652,0)</x:f>
        <x:v>0.125</x:v>
      </x:c>
      <x:c r="R1652" s="24" t="n">
        <x:f>IFERROR(F1652/H1652,0)</x:f>
        <x:v>0</x:v>
      </x:c>
      <x:c r="S1652" s="24" t="n">
        <x:f>IFERROR(F1652/J1652,0)</x:f>
        <x:v>0</x:v>
      </x:c>
      <x:c r="T1652" s="28" t="n">
        <x:f>H1652-I1652</x:f>
        <x:v>-4</x:v>
      </x:c>
      <x:c r="U1652" s="24" t="n">
        <x:f>IFERROR(J1652/H1652,0)-IFERROR(K1652/I1652,0)</x:f>
        <x:v>-0.325</x:v>
      </x:c>
      <x:c r="V1652" s="24" t="n">
        <x:f>IFERROR(F1652/J1652,0)-IFERROR(G1652/K1652,0)</x:f>
        <x:v>-0.2222222222222222</x:v>
      </x:c>
      <x:c r="W1652" s="28" t="n">
        <x:f>L1652-M1652</x:f>
        <x:v>-3</x:v>
      </x:c>
      <x:c r="X1652" s="24" t="n">
        <x:f>IFERROR(K1652/I1652,0)</x:f>
        <x:v>0.45</x:v>
      </x:c>
      <x:c r="Y1652" s="24" t="n">
        <x:f>IFERROR(G1652/I1652,0)</x:f>
        <x:v>0.1</x:v>
      </x:c>
      <x:c r="Z1652" s="24" t="n">
        <x:f>IFERROR(G1652/K1652,0)</x:f>
        <x:v>0.2222222222222222</x:v>
      </x:c>
      <x:c r="AA1652" s="24" t="n">
        <x:f>IFERROR(F1652/H1652,0)-IFERROR(G1652/I1652,0)</x:f>
        <x:v>-0.1</x:v>
      </x:c>
      <x:c r="AB1652" s="28" t="n">
        <x:f>J1652-K1652</x:f>
        <x:v>-7</x:v>
      </x:c>
      <x:c r="AC1652" s="32" t="n">
        <x:f>F1652-G1652</x:f>
        <x:v>-2</x:v>
      </x:c>
    </x:row>
    <x:row r="1653">
      <x:c r="A1653" s="4" t="str">
        <x:v>2023-24</x:v>
      </x:c>
      <x:c r="B1653" s="20" t="n">
        <x:v>45199</x:v>
      </x:c>
      <x:c r="C1653" s="4" t="str">
        <x:v>Tottenham</x:v>
      </x:c>
      <x:c r="D1653" s="4" t="str">
        <x:v>Liverpool</x:v>
      </x:c>
      <x:c r="E1653" s="4" t="str">
        <x:v>Home</x:v>
      </x:c>
      <x:c r="F1653" s="28" t="n">
        <x:v>2</x:v>
      </x:c>
      <x:c r="G1653" s="28" t="n">
        <x:v>1</x:v>
      </x:c>
      <x:c r="H1653" s="28" t="n">
        <x:v>24</x:v>
      </x:c>
      <x:c r="I1653" s="28" t="n">
        <x:v>12</x:v>
      </x:c>
      <x:c r="J1653" s="28" t="n">
        <x:v>8</x:v>
      </x:c>
      <x:c r="K1653" s="28" t="n">
        <x:v>4</x:v>
      </x:c>
      <x:c r="L1653" s="28" t="n">
        <x:v>12</x:v>
      </x:c>
      <x:c r="M1653" s="28" t="n">
        <x:v>5</x:v>
      </x:c>
      <x:c r="N1653" s="28" t="n">
        <x:v>5</x:v>
      </x:c>
      <x:c r="O1653" s="28" t="n">
        <x:v>0</x:v>
      </x:c>
      <x:c r="P1653" s="28" t="n">
        <x:v>3</x:v>
      </x:c>
      <x:c r="Q1653" s="24" t="n">
        <x:f>IFERROR(J1653/H1653,0)</x:f>
        <x:v>0.3333333333333333</x:v>
      </x:c>
      <x:c r="R1653" s="24" t="n">
        <x:f>IFERROR(F1653/H1653,0)</x:f>
        <x:v>0.08333333333333333</x:v>
      </x:c>
      <x:c r="S1653" s="24" t="n">
        <x:f>IFERROR(F1653/J1653,0)</x:f>
        <x:v>0.25</x:v>
      </x:c>
      <x:c r="T1653" s="28" t="n">
        <x:f>H1653-I1653</x:f>
        <x:v>12</x:v>
      </x:c>
      <x:c r="U1653" s="24" t="n">
        <x:f>IFERROR(J1653/H1653,0)-IFERROR(K1653/I1653,0)</x:f>
        <x:v>0</x:v>
      </x:c>
      <x:c r="V1653" s="24" t="n">
        <x:f>IFERROR(F1653/J1653,0)-IFERROR(G1653/K1653,0)</x:f>
        <x:v>0</x:v>
      </x:c>
      <x:c r="W1653" s="28" t="n">
        <x:f>L1653-M1653</x:f>
        <x:v>7</x:v>
      </x:c>
      <x:c r="X1653" s="24" t="n">
        <x:f>IFERROR(K1653/I1653,0)</x:f>
        <x:v>0.3333333333333333</x:v>
      </x:c>
      <x:c r="Y1653" s="24" t="n">
        <x:f>IFERROR(G1653/I1653,0)</x:f>
        <x:v>0.08333333333333333</x:v>
      </x:c>
      <x:c r="Z1653" s="24" t="n">
        <x:f>IFERROR(G1653/K1653,0)</x:f>
        <x:v>0.25</x:v>
      </x:c>
      <x:c r="AA1653" s="24" t="n">
        <x:f>IFERROR(F1653/H1653,0)-IFERROR(G1653/I1653,0)</x:f>
        <x:v>0</x:v>
      </x:c>
      <x:c r="AB1653" s="28" t="n">
        <x:f>J1653-K1653</x:f>
        <x:v>4</x:v>
      </x:c>
      <x:c r="AC1653" s="32" t="n">
        <x:f>F1653-G1653</x:f>
        <x:v>1</x:v>
      </x:c>
    </x:row>
    <x:row r="1654">
      <x:c r="A1654" s="4" t="str">
        <x:v>2023-24</x:v>
      </x:c>
      <x:c r="B1654" s="20" t="n">
        <x:v>45199</x:v>
      </x:c>
      <x:c r="C1654" s="4" t="str">
        <x:v>West Ham</x:v>
      </x:c>
      <x:c r="D1654" s="4" t="str">
        <x:v>Sheffield United</x:v>
      </x:c>
      <x:c r="E1654" s="4" t="str">
        <x:v>Home</x:v>
      </x:c>
      <x:c r="F1654" s="28" t="n">
        <x:v>2</x:v>
      </x:c>
      <x:c r="G1654" s="28" t="n">
        <x:v>0</x:v>
      </x:c>
      <x:c r="H1654" s="28" t="n">
        <x:v>20</x:v>
      </x:c>
      <x:c r="I1654" s="28" t="n">
        <x:v>16</x:v>
      </x:c>
      <x:c r="J1654" s="28" t="n">
        <x:v>9</x:v>
      </x:c>
      <x:c r="K1654" s="28" t="n">
        <x:v>2</x:v>
      </x:c>
      <x:c r="L1654" s="28" t="n">
        <x:v>7</x:v>
      </x:c>
      <x:c r="M1654" s="28" t="n">
        <x:v>4</x:v>
      </x:c>
      <x:c r="N1654" s="28" t="n">
        <x:v>1</x:v>
      </x:c>
      <x:c r="O1654" s="28" t="n">
        <x:v>0</x:v>
      </x:c>
      <x:c r="P1654" s="28" t="n">
        <x:v>3</x:v>
      </x:c>
      <x:c r="Q1654" s="24" t="n">
        <x:f>IFERROR(J1654/H1654,0)</x:f>
        <x:v>0.45</x:v>
      </x:c>
      <x:c r="R1654" s="24" t="n">
        <x:f>IFERROR(F1654/H1654,0)</x:f>
        <x:v>0.1</x:v>
      </x:c>
      <x:c r="S1654" s="24" t="n">
        <x:f>IFERROR(F1654/J1654,0)</x:f>
        <x:v>0.2222222222222222</x:v>
      </x:c>
      <x:c r="T1654" s="28" t="n">
        <x:f>H1654-I1654</x:f>
        <x:v>4</x:v>
      </x:c>
      <x:c r="U1654" s="24" t="n">
        <x:f>IFERROR(J1654/H1654,0)-IFERROR(K1654/I1654,0)</x:f>
        <x:v>0.325</x:v>
      </x:c>
      <x:c r="V1654" s="24" t="n">
        <x:f>IFERROR(F1654/J1654,0)-IFERROR(G1654/K1654,0)</x:f>
        <x:v>0.2222222222222222</x:v>
      </x:c>
      <x:c r="W1654" s="28" t="n">
        <x:f>L1654-M1654</x:f>
        <x:v>3</x:v>
      </x:c>
      <x:c r="X1654" s="24" t="n">
        <x:f>IFERROR(K1654/I1654,0)</x:f>
        <x:v>0.125</x:v>
      </x:c>
      <x:c r="Y1654" s="24" t="n">
        <x:f>IFERROR(G1654/I1654,0)</x:f>
        <x:v>0</x:v>
      </x:c>
      <x:c r="Z1654" s="24" t="n">
        <x:f>IFERROR(G1654/K1654,0)</x:f>
        <x:v>0</x:v>
      </x:c>
      <x:c r="AA1654" s="24" t="n">
        <x:f>IFERROR(F1654/H1654,0)-IFERROR(G1654/I1654,0)</x:f>
        <x:v>0.1</x:v>
      </x:c>
      <x:c r="AB1654" s="28" t="n">
        <x:f>J1654-K1654</x:f>
        <x:v>7</x:v>
      </x:c>
      <x:c r="AC1654" s="32" t="n">
        <x:f>F1654-G1654</x:f>
        <x:v>2</x:v>
      </x:c>
    </x:row>
    <x:row r="1655">
      <x:c r="A1655" s="4" t="str">
        <x:v>2023-24</x:v>
      </x:c>
      <x:c r="B1655" s="20" t="n">
        <x:v>45199</x:v>
      </x:c>
      <x:c r="C1655" s="4" t="str">
        <x:v>Wolves</x:v>
      </x:c>
      <x:c r="D1655" s="4" t="str">
        <x:v>Man City</x:v>
      </x:c>
      <x:c r="E1655" s="4" t="str">
        <x:v>Home</x:v>
      </x:c>
      <x:c r="F1655" s="28" t="n">
        <x:v>2</x:v>
      </x:c>
      <x:c r="G1655" s="28" t="n">
        <x:v>1</x:v>
      </x:c>
      <x:c r="H1655" s="28" t="n">
        <x:v>3</x:v>
      </x:c>
      <x:c r="I1655" s="28" t="n">
        <x:v>23</x:v>
      </x:c>
      <x:c r="J1655" s="28" t="n">
        <x:v>1</x:v>
      </x:c>
      <x:c r="K1655" s="28" t="n">
        <x:v>8</x:v>
      </x:c>
      <x:c r="L1655" s="28" t="n">
        <x:v>0</x:v>
      </x:c>
      <x:c r="M1655" s="28" t="n">
        <x:v>6</x:v>
      </x:c>
      <x:c r="N1655" s="28" t="n">
        <x:v>5</x:v>
      </x:c>
      <x:c r="O1655" s="28" t="n">
        <x:v>0</x:v>
      </x:c>
      <x:c r="P1655" s="28" t="n">
        <x:v>3</x:v>
      </x:c>
      <x:c r="Q1655" s="24" t="n">
        <x:f>IFERROR(J1655/H1655,0)</x:f>
        <x:v>0.3333333333333333</x:v>
      </x:c>
      <x:c r="R1655" s="24" t="n">
        <x:f>IFERROR(F1655/H1655,0)</x:f>
        <x:v>0.6666666666666666</x:v>
      </x:c>
      <x:c r="S1655" s="24" t="n">
        <x:f>IFERROR(F1655/J1655,0)</x:f>
        <x:v>2</x:v>
      </x:c>
      <x:c r="T1655" s="28" t="n">
        <x:f>H1655-I1655</x:f>
        <x:v>-20</x:v>
      </x:c>
      <x:c r="U1655" s="24" t="n">
        <x:f>IFERROR(J1655/H1655,0)-IFERROR(K1655/I1655,0)</x:f>
        <x:v>-0.014492753623188415</x:v>
      </x:c>
      <x:c r="V1655" s="24" t="n">
        <x:f>IFERROR(F1655/J1655,0)-IFERROR(G1655/K1655,0)</x:f>
        <x:v>1.875</x:v>
      </x:c>
      <x:c r="W1655" s="28" t="n">
        <x:f>L1655-M1655</x:f>
        <x:v>-6</x:v>
      </x:c>
      <x:c r="X1655" s="24" t="n">
        <x:f>IFERROR(K1655/I1655,0)</x:f>
        <x:v>0.34782608695652173</x:v>
      </x:c>
      <x:c r="Y1655" s="24" t="n">
        <x:f>IFERROR(G1655/I1655,0)</x:f>
        <x:v>0.043478260869565216</x:v>
      </x:c>
      <x:c r="Z1655" s="24" t="n">
        <x:f>IFERROR(G1655/K1655,0)</x:f>
        <x:v>0.125</x:v>
      </x:c>
      <x:c r="AA1655" s="24" t="n">
        <x:f>IFERROR(F1655/H1655,0)-IFERROR(G1655/I1655,0)</x:f>
        <x:v>0.6231884057971014</x:v>
      </x:c>
      <x:c r="AB1655" s="28" t="n">
        <x:f>J1655-K1655</x:f>
        <x:v>-7</x:v>
      </x:c>
      <x:c r="AC1655" s="32" t="n">
        <x:f>F1655-G1655</x:f>
        <x:v>1</x:v>
      </x:c>
    </x:row>
    <x:row r="1656">
      <x:c r="A1656" s="4" t="str">
        <x:v>2023-24</x:v>
      </x:c>
      <x:c r="B1656" s="20" t="n">
        <x:v>45200</x:v>
      </x:c>
      <x:c r="C1656" s="4" t="str">
        <x:v>Brentford</x:v>
      </x:c>
      <x:c r="D1656" s="4" t="str">
        <x:v>Nott'm Forest</x:v>
      </x:c>
      <x:c r="E1656" s="4" t="str">
        <x:v>Away</x:v>
      </x:c>
      <x:c r="F1656" s="28" t="n">
        <x:v>1</x:v>
      </x:c>
      <x:c r="G1656" s="28" t="n">
        <x:v>1</x:v>
      </x:c>
      <x:c r="H1656" s="28" t="n">
        <x:v>18</x:v>
      </x:c>
      <x:c r="I1656" s="28" t="n">
        <x:v>6</x:v>
      </x:c>
      <x:c r="J1656" s="28" t="n">
        <x:v>5</x:v>
      </x:c>
      <x:c r="K1656" s="28" t="n">
        <x:v>1</x:v>
      </x:c>
      <x:c r="L1656" s="28" t="n">
        <x:v>11</x:v>
      </x:c>
      <x:c r="M1656" s="28" t="n">
        <x:v>1</x:v>
      </x:c>
      <x:c r="N1656" s="28" t="n">
        <x:v>2</x:v>
      </x:c>
      <x:c r="O1656" s="28" t="n">
        <x:v>0</x:v>
      </x:c>
      <x:c r="P1656" s="28" t="n">
        <x:v>1</x:v>
      </x:c>
      <x:c r="Q1656" s="24" t="n">
        <x:f>IFERROR(J1656/H1656,0)</x:f>
        <x:v>0.2777777777777778</x:v>
      </x:c>
      <x:c r="R1656" s="24" t="n">
        <x:f>IFERROR(F1656/H1656,0)</x:f>
        <x:v>0.05555555555555555</x:v>
      </x:c>
      <x:c r="S1656" s="24" t="n">
        <x:f>IFERROR(F1656/J1656,0)</x:f>
        <x:v>0.2</x:v>
      </x:c>
      <x:c r="T1656" s="28" t="n">
        <x:f>H1656-I1656</x:f>
        <x:v>12</x:v>
      </x:c>
      <x:c r="U1656" s="24" t="n">
        <x:f>IFERROR(J1656/H1656,0)-IFERROR(K1656/I1656,0)</x:f>
        <x:v>0.11111111111111113</x:v>
      </x:c>
      <x:c r="V1656" s="24" t="n">
        <x:f>IFERROR(F1656/J1656,0)-IFERROR(G1656/K1656,0)</x:f>
        <x:v>-0.8</x:v>
      </x:c>
      <x:c r="W1656" s="28" t="n">
        <x:f>L1656-M1656</x:f>
        <x:v>10</x:v>
      </x:c>
      <x:c r="X1656" s="24" t="n">
        <x:f>IFERROR(K1656/I1656,0)</x:f>
        <x:v>0.16666666666666666</x:v>
      </x:c>
      <x:c r="Y1656" s="24" t="n">
        <x:f>IFERROR(G1656/I1656,0)</x:f>
        <x:v>0.16666666666666666</x:v>
      </x:c>
      <x:c r="Z1656" s="24" t="n">
        <x:f>IFERROR(G1656/K1656,0)</x:f>
        <x:v>1</x:v>
      </x:c>
      <x:c r="AA1656" s="24" t="n">
        <x:f>IFERROR(F1656/H1656,0)-IFERROR(G1656/I1656,0)</x:f>
        <x:v>-0.1111111111111111</x:v>
      </x:c>
      <x:c r="AB1656" s="28" t="n">
        <x:f>J1656-K1656</x:f>
        <x:v>4</x:v>
      </x:c>
      <x:c r="AC1656" s="32" t="n">
        <x:f>F1656-G1656</x:f>
        <x:v>0</x:v>
      </x:c>
    </x:row>
    <x:row r="1657">
      <x:c r="A1657" s="4" t="str">
        <x:v>2023-24</x:v>
      </x:c>
      <x:c r="B1657" s="20" t="n">
        <x:v>45200</x:v>
      </x:c>
      <x:c r="C1657" s="4" t="str">
        <x:v>Nott'm Forest</x:v>
      </x:c>
      <x:c r="D1657" s="4" t="str">
        <x:v>Brentford</x:v>
      </x:c>
      <x:c r="E1657" s="4" t="str">
        <x:v>Home</x:v>
      </x:c>
      <x:c r="F1657" s="28" t="n">
        <x:v>1</x:v>
      </x:c>
      <x:c r="G1657" s="28" t="n">
        <x:v>1</x:v>
      </x:c>
      <x:c r="H1657" s="28" t="n">
        <x:v>6</x:v>
      </x:c>
      <x:c r="I1657" s="28" t="n">
        <x:v>18</x:v>
      </x:c>
      <x:c r="J1657" s="28" t="n">
        <x:v>1</x:v>
      </x:c>
      <x:c r="K1657" s="28" t="n">
        <x:v>5</x:v>
      </x:c>
      <x:c r="L1657" s="28" t="n">
        <x:v>1</x:v>
      </x:c>
      <x:c r="M1657" s="28" t="n">
        <x:v>11</x:v>
      </x:c>
      <x:c r="N1657" s="28" t="n">
        <x:v>1</x:v>
      </x:c>
      <x:c r="O1657" s="28" t="n">
        <x:v>1</x:v>
      </x:c>
      <x:c r="P1657" s="28" t="n">
        <x:v>1</x:v>
      </x:c>
      <x:c r="Q1657" s="24" t="n">
        <x:f>IFERROR(J1657/H1657,0)</x:f>
        <x:v>0.16666666666666666</x:v>
      </x:c>
      <x:c r="R1657" s="24" t="n">
        <x:f>IFERROR(F1657/H1657,0)</x:f>
        <x:v>0.16666666666666666</x:v>
      </x:c>
      <x:c r="S1657" s="24" t="n">
        <x:f>IFERROR(F1657/J1657,0)</x:f>
        <x:v>1</x:v>
      </x:c>
      <x:c r="T1657" s="28" t="n">
        <x:f>H1657-I1657</x:f>
        <x:v>-12</x:v>
      </x:c>
      <x:c r="U1657" s="24" t="n">
        <x:f>IFERROR(J1657/H1657,0)-IFERROR(K1657/I1657,0)</x:f>
        <x:v>-0.11111111111111113</x:v>
      </x:c>
      <x:c r="V1657" s="24" t="n">
        <x:f>IFERROR(F1657/J1657,0)-IFERROR(G1657/K1657,0)</x:f>
        <x:v>0.8</x:v>
      </x:c>
      <x:c r="W1657" s="28" t="n">
        <x:f>L1657-M1657</x:f>
        <x:v>-10</x:v>
      </x:c>
      <x:c r="X1657" s="24" t="n">
        <x:f>IFERROR(K1657/I1657,0)</x:f>
        <x:v>0.2777777777777778</x:v>
      </x:c>
      <x:c r="Y1657" s="24" t="n">
        <x:f>IFERROR(G1657/I1657,0)</x:f>
        <x:v>0.05555555555555555</x:v>
      </x:c>
      <x:c r="Z1657" s="24" t="n">
        <x:f>IFERROR(G1657/K1657,0)</x:f>
        <x:v>0.2</x:v>
      </x:c>
      <x:c r="AA1657" s="24" t="n">
        <x:f>IFERROR(F1657/H1657,0)-IFERROR(G1657/I1657,0)</x:f>
        <x:v>0.1111111111111111</x:v>
      </x:c>
      <x:c r="AB1657" s="28" t="n">
        <x:f>J1657-K1657</x:f>
        <x:v>-4</x:v>
      </x:c>
      <x:c r="AC1657" s="32" t="n">
        <x:f>F1657-G1657</x:f>
        <x:v>0</x:v>
      </x:c>
    </x:row>
    <x:row r="1658">
      <x:c r="A1658" s="4" t="str">
        <x:v>2023-24</x:v>
      </x:c>
      <x:c r="B1658" s="20" t="n">
        <x:v>45201</x:v>
      </x:c>
      <x:c r="C1658" s="4" t="str">
        <x:v>Chelsea</x:v>
      </x:c>
      <x:c r="D1658" s="4" t="str">
        <x:v>Fulham</x:v>
      </x:c>
      <x:c r="E1658" s="4" t="str">
        <x:v>Away</x:v>
      </x:c>
      <x:c r="F1658" s="28" t="n">
        <x:v>2</x:v>
      </x:c>
      <x:c r="G1658" s="28" t="n">
        <x:v>0</x:v>
      </x:c>
      <x:c r="H1658" s="28" t="n">
        <x:v>11</x:v>
      </x:c>
      <x:c r="I1658" s="28" t="n">
        <x:v>10</x:v>
      </x:c>
      <x:c r="J1658" s="28" t="n">
        <x:v>4</x:v>
      </x:c>
      <x:c r="K1658" s="28" t="n">
        <x:v>3</x:v>
      </x:c>
      <x:c r="L1658" s="28" t="n">
        <x:v>1</x:v>
      </x:c>
      <x:c r="M1658" s="28" t="n">
        <x:v>8</x:v>
      </x:c>
      <x:c r="N1658" s="28" t="n">
        <x:v>4</x:v>
      </x:c>
      <x:c r="O1658" s="28" t="n">
        <x:v>0</x:v>
      </x:c>
      <x:c r="P1658" s="28" t="n">
        <x:v>3</x:v>
      </x:c>
      <x:c r="Q1658" s="24" t="n">
        <x:f>IFERROR(J1658/H1658,0)</x:f>
        <x:v>0.36363636363636365</x:v>
      </x:c>
      <x:c r="R1658" s="24" t="n">
        <x:f>IFERROR(F1658/H1658,0)</x:f>
        <x:v>0.18181818181818182</x:v>
      </x:c>
      <x:c r="S1658" s="24" t="n">
        <x:f>IFERROR(F1658/J1658,0)</x:f>
        <x:v>0.5</x:v>
      </x:c>
      <x:c r="T1658" s="28" t="n">
        <x:f>H1658-I1658</x:f>
        <x:v>1</x:v>
      </x:c>
      <x:c r="U1658" s="24" t="n">
        <x:f>IFERROR(J1658/H1658,0)-IFERROR(K1658/I1658,0)</x:f>
        <x:v>0.06363636363636366</x:v>
      </x:c>
      <x:c r="V1658" s="24" t="n">
        <x:f>IFERROR(F1658/J1658,0)-IFERROR(G1658/K1658,0)</x:f>
        <x:v>0.5</x:v>
      </x:c>
      <x:c r="W1658" s="28" t="n">
        <x:f>L1658-M1658</x:f>
        <x:v>-7</x:v>
      </x:c>
      <x:c r="X1658" s="24" t="n">
        <x:f>IFERROR(K1658/I1658,0)</x:f>
        <x:v>0.3</x:v>
      </x:c>
      <x:c r="Y1658" s="24" t="n">
        <x:f>IFERROR(G1658/I1658,0)</x:f>
        <x:v>0</x:v>
      </x:c>
      <x:c r="Z1658" s="24" t="n">
        <x:f>IFERROR(G1658/K1658,0)</x:f>
        <x:v>0</x:v>
      </x:c>
      <x:c r="AA1658" s="24" t="n">
        <x:f>IFERROR(F1658/H1658,0)-IFERROR(G1658/I1658,0)</x:f>
        <x:v>0.18181818181818182</x:v>
      </x:c>
      <x:c r="AB1658" s="28" t="n">
        <x:f>J1658-K1658</x:f>
        <x:v>1</x:v>
      </x:c>
      <x:c r="AC1658" s="32" t="n">
        <x:f>F1658-G1658</x:f>
        <x:v>2</x:v>
      </x:c>
    </x:row>
    <x:row r="1659">
      <x:c r="A1659" s="4" t="str">
        <x:v>2023-24</x:v>
      </x:c>
      <x:c r="B1659" s="20" t="n">
        <x:v>45201</x:v>
      </x:c>
      <x:c r="C1659" s="4" t="str">
        <x:v>Fulham</x:v>
      </x:c>
      <x:c r="D1659" s="4" t="str">
        <x:v>Chelsea</x:v>
      </x:c>
      <x:c r="E1659" s="4" t="str">
        <x:v>Home</x:v>
      </x:c>
      <x:c r="F1659" s="28" t="n">
        <x:v>0</x:v>
      </x:c>
      <x:c r="G1659" s="28" t="n">
        <x:v>2</x:v>
      </x:c>
      <x:c r="H1659" s="28" t="n">
        <x:v>10</x:v>
      </x:c>
      <x:c r="I1659" s="28" t="n">
        <x:v>11</x:v>
      </x:c>
      <x:c r="J1659" s="28" t="n">
        <x:v>3</x:v>
      </x:c>
      <x:c r="K1659" s="28" t="n">
        <x:v>4</x:v>
      </x:c>
      <x:c r="L1659" s="28" t="n">
        <x:v>8</x:v>
      </x:c>
      <x:c r="M1659" s="28" t="n">
        <x:v>1</x:v>
      </x:c>
      <x:c r="N1659" s="28" t="n">
        <x:v>1</x:v>
      </x:c>
      <x:c r="O1659" s="28" t="n">
        <x:v>0</x:v>
      </x:c>
      <x:c r="P1659" s="28" t="n">
        <x:v>0</x:v>
      </x:c>
      <x:c r="Q1659" s="24" t="n">
        <x:f>IFERROR(J1659/H1659,0)</x:f>
        <x:v>0.3</x:v>
      </x:c>
      <x:c r="R1659" s="24" t="n">
        <x:f>IFERROR(F1659/H1659,0)</x:f>
        <x:v>0</x:v>
      </x:c>
      <x:c r="S1659" s="24" t="n">
        <x:f>IFERROR(F1659/J1659,0)</x:f>
        <x:v>0</x:v>
      </x:c>
      <x:c r="T1659" s="28" t="n">
        <x:f>H1659-I1659</x:f>
        <x:v>-1</x:v>
      </x:c>
      <x:c r="U1659" s="24" t="n">
        <x:f>IFERROR(J1659/H1659,0)-IFERROR(K1659/I1659,0)</x:f>
        <x:v>-0.06363636363636366</x:v>
      </x:c>
      <x:c r="V1659" s="24" t="n">
        <x:f>IFERROR(F1659/J1659,0)-IFERROR(G1659/K1659,0)</x:f>
        <x:v>-0.5</x:v>
      </x:c>
      <x:c r="W1659" s="28" t="n">
        <x:f>L1659-M1659</x:f>
        <x:v>7</x:v>
      </x:c>
      <x:c r="X1659" s="24" t="n">
        <x:f>IFERROR(K1659/I1659,0)</x:f>
        <x:v>0.36363636363636365</x:v>
      </x:c>
      <x:c r="Y1659" s="24" t="n">
        <x:f>IFERROR(G1659/I1659,0)</x:f>
        <x:v>0.18181818181818182</x:v>
      </x:c>
      <x:c r="Z1659" s="24" t="n">
        <x:f>IFERROR(G1659/K1659,0)</x:f>
        <x:v>0.5</x:v>
      </x:c>
      <x:c r="AA1659" s="24" t="n">
        <x:f>IFERROR(F1659/H1659,0)-IFERROR(G1659/I1659,0)</x:f>
        <x:v>-0.18181818181818182</x:v>
      </x:c>
      <x:c r="AB1659" s="28" t="n">
        <x:f>J1659-K1659</x:f>
        <x:v>-1</x:v>
      </x:c>
      <x:c r="AC1659" s="32" t="n">
        <x:f>F1659-G1659</x:f>
        <x:v>-2</x:v>
      </x:c>
    </x:row>
    <x:row r="1660">
      <x:c r="A1660" s="4" t="str">
        <x:v>2023-24</x:v>
      </x:c>
      <x:c r="B1660" s="20" t="n">
        <x:v>45202</x:v>
      </x:c>
      <x:c r="C1660" s="4" t="str">
        <x:v>Burnley</x:v>
      </x:c>
      <x:c r="D1660" s="4" t="str">
        <x:v>Luton</x:v>
      </x:c>
      <x:c r="E1660" s="4" t="str">
        <x:v>Away</x:v>
      </x:c>
      <x:c r="F1660" s="28" t="n">
        <x:v>2</x:v>
      </x:c>
      <x:c r="G1660" s="28" t="n">
        <x:v>1</x:v>
      </x:c>
      <x:c r="H1660" s="28" t="n">
        <x:v>14</x:v>
      </x:c>
      <x:c r="I1660" s="28" t="n">
        <x:v>18</x:v>
      </x:c>
      <x:c r="J1660" s="28" t="n">
        <x:v>4</x:v>
      </x:c>
      <x:c r="K1660" s="28" t="n">
        <x:v>3</x:v>
      </x:c>
      <x:c r="L1660" s="28" t="n">
        <x:v>6</x:v>
      </x:c>
      <x:c r="M1660" s="28" t="n">
        <x:v>7</x:v>
      </x:c>
      <x:c r="N1660" s="28" t="n">
        <x:v>2</x:v>
      </x:c>
      <x:c r="O1660" s="28" t="n">
        <x:v>0</x:v>
      </x:c>
      <x:c r="P1660" s="28" t="n">
        <x:v>3</x:v>
      </x:c>
      <x:c r="Q1660" s="24" t="n">
        <x:f>IFERROR(J1660/H1660,0)</x:f>
        <x:v>0.2857142857142857</x:v>
      </x:c>
      <x:c r="R1660" s="24" t="n">
        <x:f>IFERROR(F1660/H1660,0)</x:f>
        <x:v>0.14285714285714285</x:v>
      </x:c>
      <x:c r="S1660" s="24" t="n">
        <x:f>IFERROR(F1660/J1660,0)</x:f>
        <x:v>0.5</x:v>
      </x:c>
      <x:c r="T1660" s="28" t="n">
        <x:f>H1660-I1660</x:f>
        <x:v>-4</x:v>
      </x:c>
      <x:c r="U1660" s="24" t="n">
        <x:f>IFERROR(J1660/H1660,0)-IFERROR(K1660/I1660,0)</x:f>
        <x:v>0.11904761904761904</x:v>
      </x:c>
      <x:c r="V1660" s="24" t="n">
        <x:f>IFERROR(F1660/J1660,0)-IFERROR(G1660/K1660,0)</x:f>
        <x:v>0.16666666666666669</x:v>
      </x:c>
      <x:c r="W1660" s="28" t="n">
        <x:f>L1660-M1660</x:f>
        <x:v>-1</x:v>
      </x:c>
      <x:c r="X1660" s="24" t="n">
        <x:f>IFERROR(K1660/I1660,0)</x:f>
        <x:v>0.16666666666666666</x:v>
      </x:c>
      <x:c r="Y1660" s="24" t="n">
        <x:f>IFERROR(G1660/I1660,0)</x:f>
        <x:v>0.05555555555555555</x:v>
      </x:c>
      <x:c r="Z1660" s="24" t="n">
        <x:f>IFERROR(G1660/K1660,0)</x:f>
        <x:v>0.3333333333333333</x:v>
      </x:c>
      <x:c r="AA1660" s="24" t="n">
        <x:f>IFERROR(F1660/H1660,0)-IFERROR(G1660/I1660,0)</x:f>
        <x:v>0.0873015873015873</x:v>
      </x:c>
      <x:c r="AB1660" s="28" t="n">
        <x:f>J1660-K1660</x:f>
        <x:v>1</x:v>
      </x:c>
      <x:c r="AC1660" s="32" t="n">
        <x:f>F1660-G1660</x:f>
        <x:v>1</x:v>
      </x:c>
    </x:row>
    <x:row r="1661">
      <x:c r="A1661" s="4" t="str">
        <x:v>2023-24</x:v>
      </x:c>
      <x:c r="B1661" s="20" t="n">
        <x:v>45202</x:v>
      </x:c>
      <x:c r="C1661" s="4" t="str">
        <x:v>Luton</x:v>
      </x:c>
      <x:c r="D1661" s="4" t="str">
        <x:v>Burnley</x:v>
      </x:c>
      <x:c r="E1661" s="4" t="str">
        <x:v>Home</x:v>
      </x:c>
      <x:c r="F1661" s="28" t="n">
        <x:v>1</x:v>
      </x:c>
      <x:c r="G1661" s="28" t="n">
        <x:v>2</x:v>
      </x:c>
      <x:c r="H1661" s="28" t="n">
        <x:v>18</x:v>
      </x:c>
      <x:c r="I1661" s="28" t="n">
        <x:v>14</x:v>
      </x:c>
      <x:c r="J1661" s="28" t="n">
        <x:v>3</x:v>
      </x:c>
      <x:c r="K1661" s="28" t="n">
        <x:v>4</x:v>
      </x:c>
      <x:c r="L1661" s="28" t="n">
        <x:v>7</x:v>
      </x:c>
      <x:c r="M1661" s="28" t="n">
        <x:v>6</x:v>
      </x:c>
      <x:c r="N1661" s="28" t="n">
        <x:v>4</x:v>
      </x:c>
      <x:c r="O1661" s="28" t="n">
        <x:v>0</x:v>
      </x:c>
      <x:c r="P1661" s="28" t="n">
        <x:v>0</x:v>
      </x:c>
      <x:c r="Q1661" s="24" t="n">
        <x:f>IFERROR(J1661/H1661,0)</x:f>
        <x:v>0.16666666666666666</x:v>
      </x:c>
      <x:c r="R1661" s="24" t="n">
        <x:f>IFERROR(F1661/H1661,0)</x:f>
        <x:v>0.05555555555555555</x:v>
      </x:c>
      <x:c r="S1661" s="24" t="n">
        <x:f>IFERROR(F1661/J1661,0)</x:f>
        <x:v>0.3333333333333333</x:v>
      </x:c>
      <x:c r="T1661" s="28" t="n">
        <x:f>H1661-I1661</x:f>
        <x:v>4</x:v>
      </x:c>
      <x:c r="U1661" s="24" t="n">
        <x:f>IFERROR(J1661/H1661,0)-IFERROR(K1661/I1661,0)</x:f>
        <x:v>-0.11904761904761904</x:v>
      </x:c>
      <x:c r="V1661" s="24" t="n">
        <x:f>IFERROR(F1661/J1661,0)-IFERROR(G1661/K1661,0)</x:f>
        <x:v>-0.16666666666666669</x:v>
      </x:c>
      <x:c r="W1661" s="28" t="n">
        <x:f>L1661-M1661</x:f>
        <x:v>1</x:v>
      </x:c>
      <x:c r="X1661" s="24" t="n">
        <x:f>IFERROR(K1661/I1661,0)</x:f>
        <x:v>0.2857142857142857</x:v>
      </x:c>
      <x:c r="Y1661" s="24" t="n">
        <x:f>IFERROR(G1661/I1661,0)</x:f>
        <x:v>0.14285714285714285</x:v>
      </x:c>
      <x:c r="Z1661" s="24" t="n">
        <x:f>IFERROR(G1661/K1661,0)</x:f>
        <x:v>0.5</x:v>
      </x:c>
      <x:c r="AA1661" s="24" t="n">
        <x:f>IFERROR(F1661/H1661,0)-IFERROR(G1661/I1661,0)</x:f>
        <x:v>-0.0873015873015873</x:v>
      </x:c>
      <x:c r="AB1661" s="28" t="n">
        <x:f>J1661-K1661</x:f>
        <x:v>-1</x:v>
      </x:c>
      <x:c r="AC1661" s="32" t="n">
        <x:f>F1661-G1661</x:f>
        <x:v>-1</x:v>
      </x:c>
    </x:row>
    <x:row r="1662">
      <x:c r="A1662" s="4" t="str">
        <x:v>2023-24</x:v>
      </x:c>
      <x:c r="B1662" s="20" t="n">
        <x:v>45206</x:v>
      </x:c>
      <x:c r="C1662" s="4" t="str">
        <x:v>Bournemouth</x:v>
      </x:c>
      <x:c r="D1662" s="4" t="str">
        <x:v>Everton</x:v>
      </x:c>
      <x:c r="E1662" s="4" t="str">
        <x:v>Away</x:v>
      </x:c>
      <x:c r="F1662" s="28" t="n">
        <x:v>0</x:v>
      </x:c>
      <x:c r="G1662" s="28" t="n">
        <x:v>3</x:v>
      </x:c>
      <x:c r="H1662" s="28" t="n">
        <x:v>11</x:v>
      </x:c>
      <x:c r="I1662" s="28" t="n">
        <x:v>25</x:v>
      </x:c>
      <x:c r="J1662" s="28" t="n">
        <x:v>4</x:v>
      </x:c>
      <x:c r="K1662" s="28" t="n">
        <x:v>8</x:v>
      </x:c>
      <x:c r="L1662" s="28" t="n">
        <x:v>7</x:v>
      </x:c>
      <x:c r="M1662" s="28" t="n">
        <x:v>8</x:v>
      </x:c>
      <x:c r="N1662" s="28" t="n">
        <x:v>2</x:v>
      </x:c>
      <x:c r="O1662" s="28" t="n">
        <x:v>0</x:v>
      </x:c>
      <x:c r="P1662" s="28" t="n">
        <x:v>0</x:v>
      </x:c>
      <x:c r="Q1662" s="24" t="n">
        <x:f>IFERROR(J1662/H1662,0)</x:f>
        <x:v>0.36363636363636365</x:v>
      </x:c>
      <x:c r="R1662" s="24" t="n">
        <x:f>IFERROR(F1662/H1662,0)</x:f>
        <x:v>0</x:v>
      </x:c>
      <x:c r="S1662" s="24" t="n">
        <x:f>IFERROR(F1662/J1662,0)</x:f>
        <x:v>0</x:v>
      </x:c>
      <x:c r="T1662" s="28" t="n">
        <x:f>H1662-I1662</x:f>
        <x:v>-14</x:v>
      </x:c>
      <x:c r="U1662" s="24" t="n">
        <x:f>IFERROR(J1662/H1662,0)-IFERROR(K1662/I1662,0)</x:f>
        <x:v>0.04363636363636364</x:v>
      </x:c>
      <x:c r="V1662" s="24" t="n">
        <x:f>IFERROR(F1662/J1662,0)-IFERROR(G1662/K1662,0)</x:f>
        <x:v>-0.375</x:v>
      </x:c>
      <x:c r="W1662" s="28" t="n">
        <x:f>L1662-M1662</x:f>
        <x:v>-1</x:v>
      </x:c>
      <x:c r="X1662" s="24" t="n">
        <x:f>IFERROR(K1662/I1662,0)</x:f>
        <x:v>0.32</x:v>
      </x:c>
      <x:c r="Y1662" s="24" t="n">
        <x:f>IFERROR(G1662/I1662,0)</x:f>
        <x:v>0.12</x:v>
      </x:c>
      <x:c r="Z1662" s="24" t="n">
        <x:f>IFERROR(G1662/K1662,0)</x:f>
        <x:v>0.375</x:v>
      </x:c>
      <x:c r="AA1662" s="24" t="n">
        <x:f>IFERROR(F1662/H1662,0)-IFERROR(G1662/I1662,0)</x:f>
        <x:v>-0.12</x:v>
      </x:c>
      <x:c r="AB1662" s="28" t="n">
        <x:f>J1662-K1662</x:f>
        <x:v>-4</x:v>
      </x:c>
      <x:c r="AC1662" s="32" t="n">
        <x:f>F1662-G1662</x:f>
        <x:v>-3</x:v>
      </x:c>
    </x:row>
    <x:row r="1663">
      <x:c r="A1663" s="4" t="str">
        <x:v>2023-24</x:v>
      </x:c>
      <x:c r="B1663" s="20" t="n">
        <x:v>45206</x:v>
      </x:c>
      <x:c r="C1663" s="4" t="str">
        <x:v>Brentford</x:v>
      </x:c>
      <x:c r="D1663" s="4" t="str">
        <x:v>Man United</x:v>
      </x:c>
      <x:c r="E1663" s="4" t="str">
        <x:v>Away</x:v>
      </x:c>
      <x:c r="F1663" s="28" t="n">
        <x:v>1</x:v>
      </x:c>
      <x:c r="G1663" s="28" t="n">
        <x:v>2</x:v>
      </x:c>
      <x:c r="H1663" s="28" t="n">
        <x:v>11</x:v>
      </x:c>
      <x:c r="I1663" s="28" t="n">
        <x:v>21</x:v>
      </x:c>
      <x:c r="J1663" s="28" t="n">
        <x:v>3</x:v>
      </x:c>
      <x:c r="K1663" s="28" t="n">
        <x:v>8</x:v>
      </x:c>
      <x:c r="L1663" s="28" t="n">
        <x:v>5</x:v>
      </x:c>
      <x:c r="M1663" s="28" t="n">
        <x:v>7</x:v>
      </x:c>
      <x:c r="N1663" s="28" t="n">
        <x:v>5</x:v>
      </x:c>
      <x:c r="O1663" s="28" t="n">
        <x:v>0</x:v>
      </x:c>
      <x:c r="P1663" s="28" t="n">
        <x:v>0</x:v>
      </x:c>
      <x:c r="Q1663" s="24" t="n">
        <x:f>IFERROR(J1663/H1663,0)</x:f>
        <x:v>0.2727272727272727</x:v>
      </x:c>
      <x:c r="R1663" s="24" t="n">
        <x:f>IFERROR(F1663/H1663,0)</x:f>
        <x:v>0.09090909090909091</x:v>
      </x:c>
      <x:c r="S1663" s="24" t="n">
        <x:f>IFERROR(F1663/J1663,0)</x:f>
        <x:v>0.3333333333333333</x:v>
      </x:c>
      <x:c r="T1663" s="28" t="n">
        <x:f>H1663-I1663</x:f>
        <x:v>-10</x:v>
      </x:c>
      <x:c r="U1663" s="24" t="n">
        <x:f>IFERROR(J1663/H1663,0)-IFERROR(K1663/I1663,0)</x:f>
        <x:v>-0.10822510822510822</x:v>
      </x:c>
      <x:c r="V1663" s="24" t="n">
        <x:f>IFERROR(F1663/J1663,0)-IFERROR(G1663/K1663,0)</x:f>
        <x:v>0.08333333333333331</x:v>
      </x:c>
      <x:c r="W1663" s="28" t="n">
        <x:f>L1663-M1663</x:f>
        <x:v>-2</x:v>
      </x:c>
      <x:c r="X1663" s="24" t="n">
        <x:f>IFERROR(K1663/I1663,0)</x:f>
        <x:v>0.38095238095238093</x:v>
      </x:c>
      <x:c r="Y1663" s="24" t="n">
        <x:f>IFERROR(G1663/I1663,0)</x:f>
        <x:v>0.09523809523809523</x:v>
      </x:c>
      <x:c r="Z1663" s="24" t="n">
        <x:f>IFERROR(G1663/K1663,0)</x:f>
        <x:v>0.25</x:v>
      </x:c>
      <x:c r="AA1663" s="24" t="n">
        <x:f>IFERROR(F1663/H1663,0)-IFERROR(G1663/I1663,0)</x:f>
        <x:v>-0.004329004329004321</x:v>
      </x:c>
      <x:c r="AB1663" s="28" t="n">
        <x:f>J1663-K1663</x:f>
        <x:v>-5</x:v>
      </x:c>
      <x:c r="AC1663" s="32" t="n">
        <x:f>F1663-G1663</x:f>
        <x:v>-1</x:v>
      </x:c>
    </x:row>
    <x:row r="1664">
      <x:c r="A1664" s="4" t="str">
        <x:v>2023-24</x:v>
      </x:c>
      <x:c r="B1664" s="20" t="n">
        <x:v>45206</x:v>
      </x:c>
      <x:c r="C1664" s="4" t="str">
        <x:v>Burnley</x:v>
      </x:c>
      <x:c r="D1664" s="4" t="str">
        <x:v>Chelsea</x:v>
      </x:c>
      <x:c r="E1664" s="4" t="str">
        <x:v>Home</x:v>
      </x:c>
      <x:c r="F1664" s="28" t="n">
        <x:v>1</x:v>
      </x:c>
      <x:c r="G1664" s="28" t="n">
        <x:v>4</x:v>
      </x:c>
      <x:c r="H1664" s="28" t="n">
        <x:v>10</x:v>
      </x:c>
      <x:c r="I1664" s="28" t="n">
        <x:v>9</x:v>
      </x:c>
      <x:c r="J1664" s="28" t="n">
        <x:v>3</x:v>
      </x:c>
      <x:c r="K1664" s="28" t="n">
        <x:v>5</x:v>
      </x:c>
      <x:c r="L1664" s="28" t="n">
        <x:v>7</x:v>
      </x:c>
      <x:c r="M1664" s="28" t="n">
        <x:v>3</x:v>
      </x:c>
      <x:c r="N1664" s="28" t="n">
        <x:v>2</x:v>
      </x:c>
      <x:c r="O1664" s="28" t="n">
        <x:v>0</x:v>
      </x:c>
      <x:c r="P1664" s="28" t="n">
        <x:v>0</x:v>
      </x:c>
      <x:c r="Q1664" s="24" t="n">
        <x:f>IFERROR(J1664/H1664,0)</x:f>
        <x:v>0.3</x:v>
      </x:c>
      <x:c r="R1664" s="24" t="n">
        <x:f>IFERROR(F1664/H1664,0)</x:f>
        <x:v>0.1</x:v>
      </x:c>
      <x:c r="S1664" s="24" t="n">
        <x:f>IFERROR(F1664/J1664,0)</x:f>
        <x:v>0.3333333333333333</x:v>
      </x:c>
      <x:c r="T1664" s="28" t="n">
        <x:f>H1664-I1664</x:f>
        <x:v>1</x:v>
      </x:c>
      <x:c r="U1664" s="24" t="n">
        <x:f>IFERROR(J1664/H1664,0)-IFERROR(K1664/I1664,0)</x:f>
        <x:v>-0.2555555555555556</x:v>
      </x:c>
      <x:c r="V1664" s="24" t="n">
        <x:f>IFERROR(F1664/J1664,0)-IFERROR(G1664/K1664,0)</x:f>
        <x:v>-0.46666666666666673</x:v>
      </x:c>
      <x:c r="W1664" s="28" t="n">
        <x:f>L1664-M1664</x:f>
        <x:v>4</x:v>
      </x:c>
      <x:c r="X1664" s="24" t="n">
        <x:f>IFERROR(K1664/I1664,0)</x:f>
        <x:v>0.5555555555555556</x:v>
      </x:c>
      <x:c r="Y1664" s="24" t="n">
        <x:f>IFERROR(G1664/I1664,0)</x:f>
        <x:v>0.4444444444444444</x:v>
      </x:c>
      <x:c r="Z1664" s="24" t="n">
        <x:f>IFERROR(G1664/K1664,0)</x:f>
        <x:v>0.8</x:v>
      </x:c>
      <x:c r="AA1664" s="24" t="n">
        <x:f>IFERROR(F1664/H1664,0)-IFERROR(G1664/I1664,0)</x:f>
        <x:v>-0.34444444444444444</x:v>
      </x:c>
      <x:c r="AB1664" s="28" t="n">
        <x:f>J1664-K1664</x:f>
        <x:v>-2</x:v>
      </x:c>
      <x:c r="AC1664" s="32" t="n">
        <x:f>F1664-G1664</x:f>
        <x:v>-3</x:v>
      </x:c>
    </x:row>
    <x:row r="1665">
      <x:c r="A1665" s="4" t="str">
        <x:v>2023-24</x:v>
      </x:c>
      <x:c r="B1665" s="20" t="n">
        <x:v>45206</x:v>
      </x:c>
      <x:c r="C1665" s="4" t="str">
        <x:v>Chelsea</x:v>
      </x:c>
      <x:c r="D1665" s="4" t="str">
        <x:v>Burnley</x:v>
      </x:c>
      <x:c r="E1665" s="4" t="str">
        <x:v>Away</x:v>
      </x:c>
      <x:c r="F1665" s="28" t="n">
        <x:v>4</x:v>
      </x:c>
      <x:c r="G1665" s="28" t="n">
        <x:v>1</x:v>
      </x:c>
      <x:c r="H1665" s="28" t="n">
        <x:v>9</x:v>
      </x:c>
      <x:c r="I1665" s="28" t="n">
        <x:v>10</x:v>
      </x:c>
      <x:c r="J1665" s="28" t="n">
        <x:v>5</x:v>
      </x:c>
      <x:c r="K1665" s="28" t="n">
        <x:v>3</x:v>
      </x:c>
      <x:c r="L1665" s="28" t="n">
        <x:v>3</x:v>
      </x:c>
      <x:c r="M1665" s="28" t="n">
        <x:v>7</x:v>
      </x:c>
      <x:c r="N1665" s="28" t="n">
        <x:v>4</x:v>
      </x:c>
      <x:c r="O1665" s="28" t="n">
        <x:v>0</x:v>
      </x:c>
      <x:c r="P1665" s="28" t="n">
        <x:v>3</x:v>
      </x:c>
      <x:c r="Q1665" s="24" t="n">
        <x:f>IFERROR(J1665/H1665,0)</x:f>
        <x:v>0.5555555555555556</x:v>
      </x:c>
      <x:c r="R1665" s="24" t="n">
        <x:f>IFERROR(F1665/H1665,0)</x:f>
        <x:v>0.4444444444444444</x:v>
      </x:c>
      <x:c r="S1665" s="24" t="n">
        <x:f>IFERROR(F1665/J1665,0)</x:f>
        <x:v>0.8</x:v>
      </x:c>
      <x:c r="T1665" s="28" t="n">
        <x:f>H1665-I1665</x:f>
        <x:v>-1</x:v>
      </x:c>
      <x:c r="U1665" s="24" t="n">
        <x:f>IFERROR(J1665/H1665,0)-IFERROR(K1665/I1665,0)</x:f>
        <x:v>0.2555555555555556</x:v>
      </x:c>
      <x:c r="V1665" s="24" t="n">
        <x:f>IFERROR(F1665/J1665,0)-IFERROR(G1665/K1665,0)</x:f>
        <x:v>0.46666666666666673</x:v>
      </x:c>
      <x:c r="W1665" s="28" t="n">
        <x:f>L1665-M1665</x:f>
        <x:v>-4</x:v>
      </x:c>
      <x:c r="X1665" s="24" t="n">
        <x:f>IFERROR(K1665/I1665,0)</x:f>
        <x:v>0.3</x:v>
      </x:c>
      <x:c r="Y1665" s="24" t="n">
        <x:f>IFERROR(G1665/I1665,0)</x:f>
        <x:v>0.1</x:v>
      </x:c>
      <x:c r="Z1665" s="24" t="n">
        <x:f>IFERROR(G1665/K1665,0)</x:f>
        <x:v>0.3333333333333333</x:v>
      </x:c>
      <x:c r="AA1665" s="24" t="n">
        <x:f>IFERROR(F1665/H1665,0)-IFERROR(G1665/I1665,0)</x:f>
        <x:v>0.34444444444444444</x:v>
      </x:c>
      <x:c r="AB1665" s="28" t="n">
        <x:f>J1665-K1665</x:f>
        <x:v>2</x:v>
      </x:c>
      <x:c r="AC1665" s="32" t="n">
        <x:f>F1665-G1665</x:f>
        <x:v>3</x:v>
      </x:c>
    </x:row>
    <x:row r="1666">
      <x:c r="A1666" s="4" t="str">
        <x:v>2023-24</x:v>
      </x:c>
      <x:c r="B1666" s="20" t="n">
        <x:v>45206</x:v>
      </x:c>
      <x:c r="C1666" s="4" t="str">
        <x:v>Crystal Palace</x:v>
      </x:c>
      <x:c r="D1666" s="4" t="str">
        <x:v>Nott'm Forest</x:v>
      </x:c>
      <x:c r="E1666" s="4" t="str">
        <x:v>Home</x:v>
      </x:c>
      <x:c r="F1666" s="28" t="n">
        <x:v>0</x:v>
      </x:c>
      <x:c r="G1666" s="28" t="n">
        <x:v>0</x:v>
      </x:c>
      <x:c r="H1666" s="28" t="n">
        <x:v>8</x:v>
      </x:c>
      <x:c r="I1666" s="28" t="n">
        <x:v>16</x:v>
      </x:c>
      <x:c r="J1666" s="28" t="n">
        <x:v>2</x:v>
      </x:c>
      <x:c r="K1666" s="28" t="n">
        <x:v>5</x:v>
      </x:c>
      <x:c r="L1666" s="28" t="n">
        <x:v>3</x:v>
      </x:c>
      <x:c r="M1666" s="28" t="n">
        <x:v>7</x:v>
      </x:c>
      <x:c r="N1666" s="28" t="n">
        <x:v>0</x:v>
      </x:c>
      <x:c r="O1666" s="28" t="n">
        <x:v>0</x:v>
      </x:c>
      <x:c r="P1666" s="28" t="n">
        <x:v>1</x:v>
      </x:c>
      <x:c r="Q1666" s="24" t="n">
        <x:f>IFERROR(J1666/H1666,0)</x:f>
        <x:v>0.25</x:v>
      </x:c>
      <x:c r="R1666" s="24" t="n">
        <x:f>IFERROR(F1666/H1666,0)</x:f>
        <x:v>0</x:v>
      </x:c>
      <x:c r="S1666" s="24" t="n">
        <x:f>IFERROR(F1666/J1666,0)</x:f>
        <x:v>0</x:v>
      </x:c>
      <x:c r="T1666" s="28" t="n">
        <x:f>H1666-I1666</x:f>
        <x:v>-8</x:v>
      </x:c>
      <x:c r="U1666" s="24" t="n">
        <x:f>IFERROR(J1666/H1666,0)-IFERROR(K1666/I1666,0)</x:f>
        <x:v>-0.0625</x:v>
      </x:c>
      <x:c r="V1666" s="24" t="n">
        <x:f>IFERROR(F1666/J1666,0)-IFERROR(G1666/K1666,0)</x:f>
        <x:v>0</x:v>
      </x:c>
      <x:c r="W1666" s="28" t="n">
        <x:f>L1666-M1666</x:f>
        <x:v>-4</x:v>
      </x:c>
      <x:c r="X1666" s="24" t="n">
        <x:f>IFERROR(K1666/I1666,0)</x:f>
        <x:v>0.3125</x:v>
      </x:c>
      <x:c r="Y1666" s="24" t="n">
        <x:f>IFERROR(G1666/I1666,0)</x:f>
        <x:v>0</x:v>
      </x:c>
      <x:c r="Z1666" s="24" t="n">
        <x:f>IFERROR(G1666/K1666,0)</x:f>
        <x:v>0</x:v>
      </x:c>
      <x:c r="AA1666" s="24" t="n">
        <x:f>IFERROR(F1666/H1666,0)-IFERROR(G1666/I1666,0)</x:f>
        <x:v>0</x:v>
      </x:c>
      <x:c r="AB1666" s="28" t="n">
        <x:f>J1666-K1666</x:f>
        <x:v>-3</x:v>
      </x:c>
      <x:c r="AC1666" s="32" t="n">
        <x:f>F1666-G1666</x:f>
        <x:v>0</x:v>
      </x:c>
    </x:row>
    <x:row r="1667">
      <x:c r="A1667" s="4" t="str">
        <x:v>2023-24</x:v>
      </x:c>
      <x:c r="B1667" s="20" t="n">
        <x:v>45206</x:v>
      </x:c>
      <x:c r="C1667" s="4" t="str">
        <x:v>Everton</x:v>
      </x:c>
      <x:c r="D1667" s="4" t="str">
        <x:v>Bournemouth</x:v>
      </x:c>
      <x:c r="E1667" s="4" t="str">
        <x:v>Home</x:v>
      </x:c>
      <x:c r="F1667" s="28" t="n">
        <x:v>3</x:v>
      </x:c>
      <x:c r="G1667" s="28" t="n">
        <x:v>0</x:v>
      </x:c>
      <x:c r="H1667" s="28" t="n">
        <x:v>25</x:v>
      </x:c>
      <x:c r="I1667" s="28" t="n">
        <x:v>11</x:v>
      </x:c>
      <x:c r="J1667" s="28" t="n">
        <x:v>8</x:v>
      </x:c>
      <x:c r="K1667" s="28" t="n">
        <x:v>4</x:v>
      </x:c>
      <x:c r="L1667" s="28" t="n">
        <x:v>8</x:v>
      </x:c>
      <x:c r="M1667" s="28" t="n">
        <x:v>7</x:v>
      </x:c>
      <x:c r="N1667" s="28" t="n">
        <x:v>1</x:v>
      </x:c>
      <x:c r="O1667" s="28" t="n">
        <x:v>0</x:v>
      </x:c>
      <x:c r="P1667" s="28" t="n">
        <x:v>3</x:v>
      </x:c>
      <x:c r="Q1667" s="24" t="n">
        <x:f>IFERROR(J1667/H1667,0)</x:f>
        <x:v>0.32</x:v>
      </x:c>
      <x:c r="R1667" s="24" t="n">
        <x:f>IFERROR(F1667/H1667,0)</x:f>
        <x:v>0.12</x:v>
      </x:c>
      <x:c r="S1667" s="24" t="n">
        <x:f>IFERROR(F1667/J1667,0)</x:f>
        <x:v>0.375</x:v>
      </x:c>
      <x:c r="T1667" s="28" t="n">
        <x:f>H1667-I1667</x:f>
        <x:v>14</x:v>
      </x:c>
      <x:c r="U1667" s="24" t="n">
        <x:f>IFERROR(J1667/H1667,0)-IFERROR(K1667/I1667,0)</x:f>
        <x:v>-0.04363636363636364</x:v>
      </x:c>
      <x:c r="V1667" s="24" t="n">
        <x:f>IFERROR(F1667/J1667,0)-IFERROR(G1667/K1667,0)</x:f>
        <x:v>0.375</x:v>
      </x:c>
      <x:c r="W1667" s="28" t="n">
        <x:f>L1667-M1667</x:f>
        <x:v>1</x:v>
      </x:c>
      <x:c r="X1667" s="24" t="n">
        <x:f>IFERROR(K1667/I1667,0)</x:f>
        <x:v>0.36363636363636365</x:v>
      </x:c>
      <x:c r="Y1667" s="24" t="n">
        <x:f>IFERROR(G1667/I1667,0)</x:f>
        <x:v>0</x:v>
      </x:c>
      <x:c r="Z1667" s="24" t="n">
        <x:f>IFERROR(G1667/K1667,0)</x:f>
        <x:v>0</x:v>
      </x:c>
      <x:c r="AA1667" s="24" t="n">
        <x:f>IFERROR(F1667/H1667,0)-IFERROR(G1667/I1667,0)</x:f>
        <x:v>0.12</x:v>
      </x:c>
      <x:c r="AB1667" s="28" t="n">
        <x:f>J1667-K1667</x:f>
        <x:v>4</x:v>
      </x:c>
      <x:c r="AC1667" s="32" t="n">
        <x:f>F1667-G1667</x:f>
        <x:v>3</x:v>
      </x:c>
    </x:row>
    <x:row r="1668">
      <x:c r="A1668" s="4" t="str">
        <x:v>2023-24</x:v>
      </x:c>
      <x:c r="B1668" s="20" t="n">
        <x:v>45206</x:v>
      </x:c>
      <x:c r="C1668" s="4" t="str">
        <x:v>Fulham</x:v>
      </x:c>
      <x:c r="D1668" s="4" t="str">
        <x:v>Sheffield United</x:v>
      </x:c>
      <x:c r="E1668" s="4" t="str">
        <x:v>Home</x:v>
      </x:c>
      <x:c r="F1668" s="28" t="n">
        <x:v>3</x:v>
      </x:c>
      <x:c r="G1668" s="28" t="n">
        <x:v>1</x:v>
      </x:c>
      <x:c r="H1668" s="28" t="n">
        <x:v>20</x:v>
      </x:c>
      <x:c r="I1668" s="28" t="n">
        <x:v>5</x:v>
      </x:c>
      <x:c r="J1668" s="28" t="n">
        <x:v>6</x:v>
      </x:c>
      <x:c r="K1668" s="28" t="n">
        <x:v>2</x:v>
      </x:c>
      <x:c r="L1668" s="28" t="n">
        <x:v>9</x:v>
      </x:c>
      <x:c r="M1668" s="28" t="n">
        <x:v>4</x:v>
      </x:c>
      <x:c r="N1668" s="28" t="n">
        <x:v>1</x:v>
      </x:c>
      <x:c r="O1668" s="28" t="n">
        <x:v>0</x:v>
      </x:c>
      <x:c r="P1668" s="28" t="n">
        <x:v>3</x:v>
      </x:c>
      <x:c r="Q1668" s="24" t="n">
        <x:f>IFERROR(J1668/H1668,0)</x:f>
        <x:v>0.3</x:v>
      </x:c>
      <x:c r="R1668" s="24" t="n">
        <x:f>IFERROR(F1668/H1668,0)</x:f>
        <x:v>0.15</x:v>
      </x:c>
      <x:c r="S1668" s="24" t="n">
        <x:f>IFERROR(F1668/J1668,0)</x:f>
        <x:v>0.5</x:v>
      </x:c>
      <x:c r="T1668" s="28" t="n">
        <x:f>H1668-I1668</x:f>
        <x:v>15</x:v>
      </x:c>
      <x:c r="U1668" s="24" t="n">
        <x:f>IFERROR(J1668/H1668,0)-IFERROR(K1668/I1668,0)</x:f>
        <x:v>-0.10000000000000003</x:v>
      </x:c>
      <x:c r="V1668" s="24" t="n">
        <x:f>IFERROR(F1668/J1668,0)-IFERROR(G1668/K1668,0)</x:f>
        <x:v>0</x:v>
      </x:c>
      <x:c r="W1668" s="28" t="n">
        <x:f>L1668-M1668</x:f>
        <x:v>5</x:v>
      </x:c>
      <x:c r="X1668" s="24" t="n">
        <x:f>IFERROR(K1668/I1668,0)</x:f>
        <x:v>0.4</x:v>
      </x:c>
      <x:c r="Y1668" s="24" t="n">
        <x:f>IFERROR(G1668/I1668,0)</x:f>
        <x:v>0.2</x:v>
      </x:c>
      <x:c r="Z1668" s="24" t="n">
        <x:f>IFERROR(G1668/K1668,0)</x:f>
        <x:v>0.5</x:v>
      </x:c>
      <x:c r="AA1668" s="24" t="n">
        <x:f>IFERROR(F1668/H1668,0)-IFERROR(G1668/I1668,0)</x:f>
        <x:v>-0.05000000000000002</x:v>
      </x:c>
      <x:c r="AB1668" s="28" t="n">
        <x:f>J1668-K1668</x:f>
        <x:v>4</x:v>
      </x:c>
      <x:c r="AC1668" s="32" t="n">
        <x:f>F1668-G1668</x:f>
        <x:v>2</x:v>
      </x:c>
    </x:row>
    <x:row r="1669">
      <x:c r="A1669" s="4" t="str">
        <x:v>2023-24</x:v>
      </x:c>
      <x:c r="B1669" s="20" t="n">
        <x:v>45206</x:v>
      </x:c>
      <x:c r="C1669" s="4" t="str">
        <x:v>Luton</x:v>
      </x:c>
      <x:c r="D1669" s="4" t="str">
        <x:v>Tottenham</x:v>
      </x:c>
      <x:c r="E1669" s="4" t="str">
        <x:v>Home</x:v>
      </x:c>
      <x:c r="F1669" s="28" t="n">
        <x:v>0</x:v>
      </x:c>
      <x:c r="G1669" s="28" t="n">
        <x:v>1</x:v>
      </x:c>
      <x:c r="H1669" s="28" t="n">
        <x:v>12</x:v>
      </x:c>
      <x:c r="I1669" s="28" t="n">
        <x:v>15</x:v>
      </x:c>
      <x:c r="J1669" s="28" t="n">
        <x:v>2</x:v>
      </x:c>
      <x:c r="K1669" s="28" t="n">
        <x:v>4</x:v>
      </x:c>
      <x:c r="L1669" s="28" t="n">
        <x:v>5</x:v>
      </x:c>
      <x:c r="M1669" s="28" t="n">
        <x:v>6</x:v>
      </x:c>
      <x:c r="N1669" s="28" t="n">
        <x:v>2</x:v>
      </x:c>
      <x:c r="O1669" s="28" t="n">
        <x:v>0</x:v>
      </x:c>
      <x:c r="P1669" s="28" t="n">
        <x:v>0</x:v>
      </x:c>
      <x:c r="Q1669" s="24" t="n">
        <x:f>IFERROR(J1669/H1669,0)</x:f>
        <x:v>0.16666666666666666</x:v>
      </x:c>
      <x:c r="R1669" s="24" t="n">
        <x:f>IFERROR(F1669/H1669,0)</x:f>
        <x:v>0</x:v>
      </x:c>
      <x:c r="S1669" s="24" t="n">
        <x:f>IFERROR(F1669/J1669,0)</x:f>
        <x:v>0</x:v>
      </x:c>
      <x:c r="T1669" s="28" t="n">
        <x:f>H1669-I1669</x:f>
        <x:v>-3</x:v>
      </x:c>
      <x:c r="U1669" s="24" t="n">
        <x:f>IFERROR(J1669/H1669,0)-IFERROR(K1669/I1669,0)</x:f>
        <x:v>-0.1</x:v>
      </x:c>
      <x:c r="V1669" s="24" t="n">
        <x:f>IFERROR(F1669/J1669,0)-IFERROR(G1669/K1669,0)</x:f>
        <x:v>-0.25</x:v>
      </x:c>
      <x:c r="W1669" s="28" t="n">
        <x:f>L1669-M1669</x:f>
        <x:v>-1</x:v>
      </x:c>
      <x:c r="X1669" s="24" t="n">
        <x:f>IFERROR(K1669/I1669,0)</x:f>
        <x:v>0.26666666666666666</x:v>
      </x:c>
      <x:c r="Y1669" s="24" t="n">
        <x:f>IFERROR(G1669/I1669,0)</x:f>
        <x:v>0.06666666666666667</x:v>
      </x:c>
      <x:c r="Z1669" s="24" t="n">
        <x:f>IFERROR(G1669/K1669,0)</x:f>
        <x:v>0.25</x:v>
      </x:c>
      <x:c r="AA1669" s="24" t="n">
        <x:f>IFERROR(F1669/H1669,0)-IFERROR(G1669/I1669,0)</x:f>
        <x:v>-0.06666666666666667</x:v>
      </x:c>
      <x:c r="AB1669" s="28" t="n">
        <x:f>J1669-K1669</x:f>
        <x:v>-2</x:v>
      </x:c>
      <x:c r="AC1669" s="32" t="n">
        <x:f>F1669-G1669</x:f>
        <x:v>-1</x:v>
      </x:c>
    </x:row>
    <x:row r="1670">
      <x:c r="A1670" s="4" t="str">
        <x:v>2023-24</x:v>
      </x:c>
      <x:c r="B1670" s="20" t="n">
        <x:v>45206</x:v>
      </x:c>
      <x:c r="C1670" s="4" t="str">
        <x:v>Man United</x:v>
      </x:c>
      <x:c r="D1670" s="4" t="str">
        <x:v>Brentford</x:v>
      </x:c>
      <x:c r="E1670" s="4" t="str">
        <x:v>Home</x:v>
      </x:c>
      <x:c r="F1670" s="28" t="n">
        <x:v>2</x:v>
      </x:c>
      <x:c r="G1670" s="28" t="n">
        <x:v>1</x:v>
      </x:c>
      <x:c r="H1670" s="28" t="n">
        <x:v>21</x:v>
      </x:c>
      <x:c r="I1670" s="28" t="n">
        <x:v>11</x:v>
      </x:c>
      <x:c r="J1670" s="28" t="n">
        <x:v>8</x:v>
      </x:c>
      <x:c r="K1670" s="28" t="n">
        <x:v>3</x:v>
      </x:c>
      <x:c r="L1670" s="28" t="n">
        <x:v>7</x:v>
      </x:c>
      <x:c r="M1670" s="28" t="n">
        <x:v>5</x:v>
      </x:c>
      <x:c r="N1670" s="28" t="n">
        <x:v>0</x:v>
      </x:c>
      <x:c r="O1670" s="28" t="n">
        <x:v>0</x:v>
      </x:c>
      <x:c r="P1670" s="28" t="n">
        <x:v>3</x:v>
      </x:c>
      <x:c r="Q1670" s="24" t="n">
        <x:f>IFERROR(J1670/H1670,0)</x:f>
        <x:v>0.38095238095238093</x:v>
      </x:c>
      <x:c r="R1670" s="24" t="n">
        <x:f>IFERROR(F1670/H1670,0)</x:f>
        <x:v>0.09523809523809523</x:v>
      </x:c>
      <x:c r="S1670" s="24" t="n">
        <x:f>IFERROR(F1670/J1670,0)</x:f>
        <x:v>0.25</x:v>
      </x:c>
      <x:c r="T1670" s="28" t="n">
        <x:f>H1670-I1670</x:f>
        <x:v>10</x:v>
      </x:c>
      <x:c r="U1670" s="24" t="n">
        <x:f>IFERROR(J1670/H1670,0)-IFERROR(K1670/I1670,0)</x:f>
        <x:v>0.10822510822510822</x:v>
      </x:c>
      <x:c r="V1670" s="24" t="n">
        <x:f>IFERROR(F1670/J1670,0)-IFERROR(G1670/K1670,0)</x:f>
        <x:v>-0.08333333333333331</x:v>
      </x:c>
      <x:c r="W1670" s="28" t="n">
        <x:f>L1670-M1670</x:f>
        <x:v>2</x:v>
      </x:c>
      <x:c r="X1670" s="24" t="n">
        <x:f>IFERROR(K1670/I1670,0)</x:f>
        <x:v>0.2727272727272727</x:v>
      </x:c>
      <x:c r="Y1670" s="24" t="n">
        <x:f>IFERROR(G1670/I1670,0)</x:f>
        <x:v>0.09090909090909091</x:v>
      </x:c>
      <x:c r="Z1670" s="24" t="n">
        <x:f>IFERROR(G1670/K1670,0)</x:f>
        <x:v>0.3333333333333333</x:v>
      </x:c>
      <x:c r="AA1670" s="24" t="n">
        <x:f>IFERROR(F1670/H1670,0)-IFERROR(G1670/I1670,0)</x:f>
        <x:v>0.004329004329004321</x:v>
      </x:c>
      <x:c r="AB1670" s="28" t="n">
        <x:f>J1670-K1670</x:f>
        <x:v>5</x:v>
      </x:c>
      <x:c r="AC1670" s="32" t="n">
        <x:f>F1670-G1670</x:f>
        <x:v>1</x:v>
      </x:c>
    </x:row>
    <x:row r="1671">
      <x:c r="A1671" s="4" t="str">
        <x:v>2023-24</x:v>
      </x:c>
      <x:c r="B1671" s="20" t="n">
        <x:v>45206</x:v>
      </x:c>
      <x:c r="C1671" s="4" t="str">
        <x:v>Nott'm Forest</x:v>
      </x:c>
      <x:c r="D1671" s="4" t="str">
        <x:v>Crystal Palace</x:v>
      </x:c>
      <x:c r="E1671" s="4" t="str">
        <x:v>Away</x:v>
      </x:c>
      <x:c r="F1671" s="28" t="n">
        <x:v>0</x:v>
      </x:c>
      <x:c r="G1671" s="28" t="n">
        <x:v>0</x:v>
      </x:c>
      <x:c r="H1671" s="28" t="n">
        <x:v>16</x:v>
      </x:c>
      <x:c r="I1671" s="28" t="n">
        <x:v>8</x:v>
      </x:c>
      <x:c r="J1671" s="28" t="n">
        <x:v>5</x:v>
      </x:c>
      <x:c r="K1671" s="28" t="n">
        <x:v>2</x:v>
      </x:c>
      <x:c r="L1671" s="28" t="n">
        <x:v>7</x:v>
      </x:c>
      <x:c r="M1671" s="28" t="n">
        <x:v>3</x:v>
      </x:c>
      <x:c r="N1671" s="28" t="n">
        <x:v>1</x:v>
      </x:c>
      <x:c r="O1671" s="28" t="n">
        <x:v>0</x:v>
      </x:c>
      <x:c r="P1671" s="28" t="n">
        <x:v>1</x:v>
      </x:c>
      <x:c r="Q1671" s="24" t="n">
        <x:f>IFERROR(J1671/H1671,0)</x:f>
        <x:v>0.3125</x:v>
      </x:c>
      <x:c r="R1671" s="24" t="n">
        <x:f>IFERROR(F1671/H1671,0)</x:f>
        <x:v>0</x:v>
      </x:c>
      <x:c r="S1671" s="24" t="n">
        <x:f>IFERROR(F1671/J1671,0)</x:f>
        <x:v>0</x:v>
      </x:c>
      <x:c r="T1671" s="28" t="n">
        <x:f>H1671-I1671</x:f>
        <x:v>8</x:v>
      </x:c>
      <x:c r="U1671" s="24" t="n">
        <x:f>IFERROR(J1671/H1671,0)-IFERROR(K1671/I1671,0)</x:f>
        <x:v>0.0625</x:v>
      </x:c>
      <x:c r="V1671" s="24" t="n">
        <x:f>IFERROR(F1671/J1671,0)-IFERROR(G1671/K1671,0)</x:f>
        <x:v>0</x:v>
      </x:c>
      <x:c r="W1671" s="28" t="n">
        <x:f>L1671-M1671</x:f>
        <x:v>4</x:v>
      </x:c>
      <x:c r="X1671" s="24" t="n">
        <x:f>IFERROR(K1671/I1671,0)</x:f>
        <x:v>0.25</x:v>
      </x:c>
      <x:c r="Y1671" s="24" t="n">
        <x:f>IFERROR(G1671/I1671,0)</x:f>
        <x:v>0</x:v>
      </x:c>
      <x:c r="Z1671" s="24" t="n">
        <x:f>IFERROR(G1671/K1671,0)</x:f>
        <x:v>0</x:v>
      </x:c>
      <x:c r="AA1671" s="24" t="n">
        <x:f>IFERROR(F1671/H1671,0)-IFERROR(G1671/I1671,0)</x:f>
        <x:v>0</x:v>
      </x:c>
      <x:c r="AB1671" s="28" t="n">
        <x:f>J1671-K1671</x:f>
        <x:v>3</x:v>
      </x:c>
      <x:c r="AC1671" s="32" t="n">
        <x:f>F1671-G1671</x:f>
        <x:v>0</x:v>
      </x:c>
    </x:row>
    <x:row r="1672">
      <x:c r="A1672" s="4" t="str">
        <x:v>2023-24</x:v>
      </x:c>
      <x:c r="B1672" s="20" t="n">
        <x:v>45206</x:v>
      </x:c>
      <x:c r="C1672" s="4" t="str">
        <x:v>Sheffield United</x:v>
      </x:c>
      <x:c r="D1672" s="4" t="str">
        <x:v>Fulham</x:v>
      </x:c>
      <x:c r="E1672" s="4" t="str">
        <x:v>Away</x:v>
      </x:c>
      <x:c r="F1672" s="28" t="n">
        <x:v>1</x:v>
      </x:c>
      <x:c r="G1672" s="28" t="n">
        <x:v>3</x:v>
      </x:c>
      <x:c r="H1672" s="28" t="n">
        <x:v>5</x:v>
      </x:c>
      <x:c r="I1672" s="28" t="n">
        <x:v>20</x:v>
      </x:c>
      <x:c r="J1672" s="28" t="n">
        <x:v>2</x:v>
      </x:c>
      <x:c r="K1672" s="28" t="n">
        <x:v>6</x:v>
      </x:c>
      <x:c r="L1672" s="28" t="n">
        <x:v>4</x:v>
      </x:c>
      <x:c r="M1672" s="28" t="n">
        <x:v>9</x:v>
      </x:c>
      <x:c r="N1672" s="28" t="n">
        <x:v>2</x:v>
      </x:c>
      <x:c r="O1672" s="28" t="n">
        <x:v>0</x:v>
      </x:c>
      <x:c r="P1672" s="28" t="n">
        <x:v>0</x:v>
      </x:c>
      <x:c r="Q1672" s="24" t="n">
        <x:f>IFERROR(J1672/H1672,0)</x:f>
        <x:v>0.4</x:v>
      </x:c>
      <x:c r="R1672" s="24" t="n">
        <x:f>IFERROR(F1672/H1672,0)</x:f>
        <x:v>0.2</x:v>
      </x:c>
      <x:c r="S1672" s="24" t="n">
        <x:f>IFERROR(F1672/J1672,0)</x:f>
        <x:v>0.5</x:v>
      </x:c>
      <x:c r="T1672" s="28" t="n">
        <x:f>H1672-I1672</x:f>
        <x:v>-15</x:v>
      </x:c>
      <x:c r="U1672" s="24" t="n">
        <x:f>IFERROR(J1672/H1672,0)-IFERROR(K1672/I1672,0)</x:f>
        <x:v>0.10000000000000003</x:v>
      </x:c>
      <x:c r="V1672" s="24" t="n">
        <x:f>IFERROR(F1672/J1672,0)-IFERROR(G1672/K1672,0)</x:f>
        <x:v>0</x:v>
      </x:c>
      <x:c r="W1672" s="28" t="n">
        <x:f>L1672-M1672</x:f>
        <x:v>-5</x:v>
      </x:c>
      <x:c r="X1672" s="24" t="n">
        <x:f>IFERROR(K1672/I1672,0)</x:f>
        <x:v>0.3</x:v>
      </x:c>
      <x:c r="Y1672" s="24" t="n">
        <x:f>IFERROR(G1672/I1672,0)</x:f>
        <x:v>0.15</x:v>
      </x:c>
      <x:c r="Z1672" s="24" t="n">
        <x:f>IFERROR(G1672/K1672,0)</x:f>
        <x:v>0.5</x:v>
      </x:c>
      <x:c r="AA1672" s="24" t="n">
        <x:f>IFERROR(F1672/H1672,0)-IFERROR(G1672/I1672,0)</x:f>
        <x:v>0.05000000000000002</x:v>
      </x:c>
      <x:c r="AB1672" s="28" t="n">
        <x:f>J1672-K1672</x:f>
        <x:v>-4</x:v>
      </x:c>
      <x:c r="AC1672" s="32" t="n">
        <x:f>F1672-G1672</x:f>
        <x:v>-2</x:v>
      </x:c>
    </x:row>
    <x:row r="1673">
      <x:c r="A1673" s="4" t="str">
        <x:v>2023-24</x:v>
      </x:c>
      <x:c r="B1673" s="20" t="n">
        <x:v>45206</x:v>
      </x:c>
      <x:c r="C1673" s="4" t="str">
        <x:v>Tottenham</x:v>
      </x:c>
      <x:c r="D1673" s="4" t="str">
        <x:v>Luton</x:v>
      </x:c>
      <x:c r="E1673" s="4" t="str">
        <x:v>Away</x:v>
      </x:c>
      <x:c r="F1673" s="28" t="n">
        <x:v>1</x:v>
      </x:c>
      <x:c r="G1673" s="28" t="n">
        <x:v>0</x:v>
      </x:c>
      <x:c r="H1673" s="28" t="n">
        <x:v>15</x:v>
      </x:c>
      <x:c r="I1673" s="28" t="n">
        <x:v>12</x:v>
      </x:c>
      <x:c r="J1673" s="28" t="n">
        <x:v>4</x:v>
      </x:c>
      <x:c r="K1673" s="28" t="n">
        <x:v>2</x:v>
      </x:c>
      <x:c r="L1673" s="28" t="n">
        <x:v>6</x:v>
      </x:c>
      <x:c r="M1673" s="28" t="n">
        <x:v>5</x:v>
      </x:c>
      <x:c r="N1673" s="28" t="n">
        <x:v>1</x:v>
      </x:c>
      <x:c r="O1673" s="28" t="n">
        <x:v>1</x:v>
      </x:c>
      <x:c r="P1673" s="28" t="n">
        <x:v>3</x:v>
      </x:c>
      <x:c r="Q1673" s="24" t="n">
        <x:f>IFERROR(J1673/H1673,0)</x:f>
        <x:v>0.26666666666666666</x:v>
      </x:c>
      <x:c r="R1673" s="24" t="n">
        <x:f>IFERROR(F1673/H1673,0)</x:f>
        <x:v>0.06666666666666667</x:v>
      </x:c>
      <x:c r="S1673" s="24" t="n">
        <x:f>IFERROR(F1673/J1673,0)</x:f>
        <x:v>0.25</x:v>
      </x:c>
      <x:c r="T1673" s="28" t="n">
        <x:f>H1673-I1673</x:f>
        <x:v>3</x:v>
      </x:c>
      <x:c r="U1673" s="24" t="n">
        <x:f>IFERROR(J1673/H1673,0)-IFERROR(K1673/I1673,0)</x:f>
        <x:v>0.1</x:v>
      </x:c>
      <x:c r="V1673" s="24" t="n">
        <x:f>IFERROR(F1673/J1673,0)-IFERROR(G1673/K1673,0)</x:f>
        <x:v>0.25</x:v>
      </x:c>
      <x:c r="W1673" s="28" t="n">
        <x:f>L1673-M1673</x:f>
        <x:v>1</x:v>
      </x:c>
      <x:c r="X1673" s="24" t="n">
        <x:f>IFERROR(K1673/I1673,0)</x:f>
        <x:v>0.16666666666666666</x:v>
      </x:c>
      <x:c r="Y1673" s="24" t="n">
        <x:f>IFERROR(G1673/I1673,0)</x:f>
        <x:v>0</x:v>
      </x:c>
      <x:c r="Z1673" s="24" t="n">
        <x:f>IFERROR(G1673/K1673,0)</x:f>
        <x:v>0</x:v>
      </x:c>
      <x:c r="AA1673" s="24" t="n">
        <x:f>IFERROR(F1673/H1673,0)-IFERROR(G1673/I1673,0)</x:f>
        <x:v>0.06666666666666667</x:v>
      </x:c>
      <x:c r="AB1673" s="28" t="n">
        <x:f>J1673-K1673</x:f>
        <x:v>2</x:v>
      </x:c>
      <x:c r="AC1673" s="32" t="n">
        <x:f>F1673-G1673</x:f>
        <x:v>1</x:v>
      </x:c>
    </x:row>
    <x:row r="1674">
      <x:c r="A1674" s="4" t="str">
        <x:v>2023-24</x:v>
      </x:c>
      <x:c r="B1674" s="20" t="n">
        <x:v>45207</x:v>
      </x:c>
      <x:c r="C1674" s="4" t="str">
        <x:v>Arsenal</x:v>
      </x:c>
      <x:c r="D1674" s="4" t="str">
        <x:v>Man City</x:v>
      </x:c>
      <x:c r="E1674" s="4" t="str">
        <x:v>Home</x:v>
      </x:c>
      <x:c r="F1674" s="28" t="n">
        <x:v>1</x:v>
      </x:c>
      <x:c r="G1674" s="28" t="n">
        <x:v>0</x:v>
      </x:c>
      <x:c r="H1674" s="28" t="n">
        <x:v>12</x:v>
      </x:c>
      <x:c r="I1674" s="28" t="n">
        <x:v>4</x:v>
      </x:c>
      <x:c r="J1674" s="28" t="n">
        <x:v>2</x:v>
      </x:c>
      <x:c r="K1674" s="28" t="n">
        <x:v>1</x:v>
      </x:c>
      <x:c r="L1674" s="28" t="n">
        <x:v>5</x:v>
      </x:c>
      <x:c r="M1674" s="28" t="n">
        <x:v>4</x:v>
      </x:c>
      <x:c r="N1674" s="28" t="n">
        <x:v>2</x:v>
      </x:c>
      <x:c r="O1674" s="28" t="n">
        <x:v>0</x:v>
      </x:c>
      <x:c r="P1674" s="28" t="n">
        <x:v>3</x:v>
      </x:c>
      <x:c r="Q1674" s="24" t="n">
        <x:f>IFERROR(J1674/H1674,0)</x:f>
        <x:v>0.16666666666666666</x:v>
      </x:c>
      <x:c r="R1674" s="24" t="n">
        <x:f>IFERROR(F1674/H1674,0)</x:f>
        <x:v>0.08333333333333333</x:v>
      </x:c>
      <x:c r="S1674" s="24" t="n">
        <x:f>IFERROR(F1674/J1674,0)</x:f>
        <x:v>0.5</x:v>
      </x:c>
      <x:c r="T1674" s="28" t="n">
        <x:f>H1674-I1674</x:f>
        <x:v>8</x:v>
      </x:c>
      <x:c r="U1674" s="24" t="n">
        <x:f>IFERROR(J1674/H1674,0)-IFERROR(K1674/I1674,0)</x:f>
        <x:v>-0.08333333333333334</x:v>
      </x:c>
      <x:c r="V1674" s="24" t="n">
        <x:f>IFERROR(F1674/J1674,0)-IFERROR(G1674/K1674,0)</x:f>
        <x:v>0.5</x:v>
      </x:c>
      <x:c r="W1674" s="28" t="n">
        <x:f>L1674-M1674</x:f>
        <x:v>1</x:v>
      </x:c>
      <x:c r="X1674" s="24" t="n">
        <x:f>IFERROR(K1674/I1674,0)</x:f>
        <x:v>0.25</x:v>
      </x:c>
      <x:c r="Y1674" s="24" t="n">
        <x:f>IFERROR(G1674/I1674,0)</x:f>
        <x:v>0</x:v>
      </x:c>
      <x:c r="Z1674" s="24" t="n">
        <x:f>IFERROR(G1674/K1674,0)</x:f>
        <x:v>0</x:v>
      </x:c>
      <x:c r="AA1674" s="24" t="n">
        <x:f>IFERROR(F1674/H1674,0)-IFERROR(G1674/I1674,0)</x:f>
        <x:v>0.08333333333333333</x:v>
      </x:c>
      <x:c r="AB1674" s="28" t="n">
        <x:f>J1674-K1674</x:f>
        <x:v>1</x:v>
      </x:c>
      <x:c r="AC1674" s="32" t="n">
        <x:f>F1674-G1674</x:f>
        <x:v>1</x:v>
      </x:c>
    </x:row>
    <x:row r="1675">
      <x:c r="A1675" s="4" t="str">
        <x:v>2023-24</x:v>
      </x:c>
      <x:c r="B1675" s="20" t="n">
        <x:v>45207</x:v>
      </x:c>
      <x:c r="C1675" s="4" t="str">
        <x:v>Aston Villa</x:v>
      </x:c>
      <x:c r="D1675" s="4" t="str">
        <x:v>Wolves</x:v>
      </x:c>
      <x:c r="E1675" s="4" t="str">
        <x:v>Away</x:v>
      </x:c>
      <x:c r="F1675" s="28" t="n">
        <x:v>1</x:v>
      </x:c>
      <x:c r="G1675" s="28" t="n">
        <x:v>1</x:v>
      </x:c>
      <x:c r="H1675" s="28" t="n">
        <x:v>18</x:v>
      </x:c>
      <x:c r="I1675" s="28" t="n">
        <x:v>8</x:v>
      </x:c>
      <x:c r="J1675" s="28" t="n">
        <x:v>4</x:v>
      </x:c>
      <x:c r="K1675" s="28" t="n">
        <x:v>3</x:v>
      </x:c>
      <x:c r="L1675" s="28" t="n">
        <x:v>10</x:v>
      </x:c>
      <x:c r="M1675" s="28" t="n">
        <x:v>2</x:v>
      </x:c>
      <x:c r="N1675" s="28" t="n">
        <x:v>2</x:v>
      </x:c>
      <x:c r="O1675" s="28" t="n">
        <x:v>0</x:v>
      </x:c>
      <x:c r="P1675" s="28" t="n">
        <x:v>1</x:v>
      </x:c>
      <x:c r="Q1675" s="24" t="n">
        <x:f>IFERROR(J1675/H1675,0)</x:f>
        <x:v>0.2222222222222222</x:v>
      </x:c>
      <x:c r="R1675" s="24" t="n">
        <x:f>IFERROR(F1675/H1675,0)</x:f>
        <x:v>0.05555555555555555</x:v>
      </x:c>
      <x:c r="S1675" s="24" t="n">
        <x:f>IFERROR(F1675/J1675,0)</x:f>
        <x:v>0.25</x:v>
      </x:c>
      <x:c r="T1675" s="28" t="n">
        <x:f>H1675-I1675</x:f>
        <x:v>10</x:v>
      </x:c>
      <x:c r="U1675" s="24" t="n">
        <x:f>IFERROR(J1675/H1675,0)-IFERROR(K1675/I1675,0)</x:f>
        <x:v>-0.1527777777777778</x:v>
      </x:c>
      <x:c r="V1675" s="24" t="n">
        <x:f>IFERROR(F1675/J1675,0)-IFERROR(G1675/K1675,0)</x:f>
        <x:v>-0.08333333333333331</x:v>
      </x:c>
      <x:c r="W1675" s="28" t="n">
        <x:f>L1675-M1675</x:f>
        <x:v>8</x:v>
      </x:c>
      <x:c r="X1675" s="24" t="n">
        <x:f>IFERROR(K1675/I1675,0)</x:f>
        <x:v>0.375</x:v>
      </x:c>
      <x:c r="Y1675" s="24" t="n">
        <x:f>IFERROR(G1675/I1675,0)</x:f>
        <x:v>0.125</x:v>
      </x:c>
      <x:c r="Z1675" s="24" t="n">
        <x:f>IFERROR(G1675/K1675,0)</x:f>
        <x:v>0.3333333333333333</x:v>
      </x:c>
      <x:c r="AA1675" s="24" t="n">
        <x:f>IFERROR(F1675/H1675,0)-IFERROR(G1675/I1675,0)</x:f>
        <x:v>-0.06944444444444445</x:v>
      </x:c>
      <x:c r="AB1675" s="28" t="n">
        <x:f>J1675-K1675</x:f>
        <x:v>1</x:v>
      </x:c>
      <x:c r="AC1675" s="32" t="n">
        <x:f>F1675-G1675</x:f>
        <x:v>0</x:v>
      </x:c>
    </x:row>
    <x:row r="1676">
      <x:c r="A1676" s="4" t="str">
        <x:v>2023-24</x:v>
      </x:c>
      <x:c r="B1676" s="20" t="n">
        <x:v>45207</x:v>
      </x:c>
      <x:c r="C1676" s="4" t="str">
        <x:v>Brighton</x:v>
      </x:c>
      <x:c r="D1676" s="4" t="str">
        <x:v>Liverpool</x:v>
      </x:c>
      <x:c r="E1676" s="4" t="str">
        <x:v>Home</x:v>
      </x:c>
      <x:c r="F1676" s="28" t="n">
        <x:v>2</x:v>
      </x:c>
      <x:c r="G1676" s="28" t="n">
        <x:v>2</x:v>
      </x:c>
      <x:c r="H1676" s="28" t="n">
        <x:v>14</x:v>
      </x:c>
      <x:c r="I1676" s="28" t="n">
        <x:v>14</x:v>
      </x:c>
      <x:c r="J1676" s="28" t="n">
        <x:v>3</x:v>
      </x:c>
      <x:c r="K1676" s="28" t="n">
        <x:v>4</x:v>
      </x:c>
      <x:c r="L1676" s="28" t="n">
        <x:v>8</x:v>
      </x:c>
      <x:c r="M1676" s="28" t="n">
        <x:v>1</x:v>
      </x:c>
      <x:c r="N1676" s="28" t="n">
        <x:v>1</x:v>
      </x:c>
      <x:c r="O1676" s="28" t="n">
        <x:v>0</x:v>
      </x:c>
      <x:c r="P1676" s="28" t="n">
        <x:v>1</x:v>
      </x:c>
      <x:c r="Q1676" s="24" t="n">
        <x:f>IFERROR(J1676/H1676,0)</x:f>
        <x:v>0.21428571428571427</x:v>
      </x:c>
      <x:c r="R1676" s="24" t="n">
        <x:f>IFERROR(F1676/H1676,0)</x:f>
        <x:v>0.14285714285714285</x:v>
      </x:c>
      <x:c r="S1676" s="24" t="n">
        <x:f>IFERROR(F1676/J1676,0)</x:f>
        <x:v>0.6666666666666666</x:v>
      </x:c>
      <x:c r="T1676" s="28" t="n">
        <x:f>H1676-I1676</x:f>
        <x:v>0</x:v>
      </x:c>
      <x:c r="U1676" s="24" t="n">
        <x:f>IFERROR(J1676/H1676,0)-IFERROR(K1676/I1676,0)</x:f>
        <x:v>-0.07142857142857142</x:v>
      </x:c>
      <x:c r="V1676" s="24" t="n">
        <x:f>IFERROR(F1676/J1676,0)-IFERROR(G1676/K1676,0)</x:f>
        <x:v>0.16666666666666663</x:v>
      </x:c>
      <x:c r="W1676" s="28" t="n">
        <x:f>L1676-M1676</x:f>
        <x:v>7</x:v>
      </x:c>
      <x:c r="X1676" s="24" t="n">
        <x:f>IFERROR(K1676/I1676,0)</x:f>
        <x:v>0.2857142857142857</x:v>
      </x:c>
      <x:c r="Y1676" s="24" t="n">
        <x:f>IFERROR(G1676/I1676,0)</x:f>
        <x:v>0.14285714285714285</x:v>
      </x:c>
      <x:c r="Z1676" s="24" t="n">
        <x:f>IFERROR(G1676/K1676,0)</x:f>
        <x:v>0.5</x:v>
      </x:c>
      <x:c r="AA1676" s="24" t="n">
        <x:f>IFERROR(F1676/H1676,0)-IFERROR(G1676/I1676,0)</x:f>
        <x:v>0</x:v>
      </x:c>
      <x:c r="AB1676" s="28" t="n">
        <x:f>J1676-K1676</x:f>
        <x:v>-1</x:v>
      </x:c>
      <x:c r="AC1676" s="32" t="n">
        <x:f>F1676-G1676</x:f>
        <x:v>0</x:v>
      </x:c>
    </x:row>
    <x:row r="1677">
      <x:c r="A1677" s="4" t="str">
        <x:v>2023-24</x:v>
      </x:c>
      <x:c r="B1677" s="20" t="n">
        <x:v>45207</x:v>
      </x:c>
      <x:c r="C1677" s="4" t="str">
        <x:v>Liverpool</x:v>
      </x:c>
      <x:c r="D1677" s="4" t="str">
        <x:v>Brighton</x:v>
      </x:c>
      <x:c r="E1677" s="4" t="str">
        <x:v>Away</x:v>
      </x:c>
      <x:c r="F1677" s="28" t="n">
        <x:v>2</x:v>
      </x:c>
      <x:c r="G1677" s="28" t="n">
        <x:v>2</x:v>
      </x:c>
      <x:c r="H1677" s="28" t="n">
        <x:v>14</x:v>
      </x:c>
      <x:c r="I1677" s="28" t="n">
        <x:v>14</x:v>
      </x:c>
      <x:c r="J1677" s="28" t="n">
        <x:v>4</x:v>
      </x:c>
      <x:c r="K1677" s="28" t="n">
        <x:v>3</x:v>
      </x:c>
      <x:c r="L1677" s="28" t="n">
        <x:v>1</x:v>
      </x:c>
      <x:c r="M1677" s="28" t="n">
        <x:v>8</x:v>
      </x:c>
      <x:c r="N1677" s="28" t="n">
        <x:v>2</x:v>
      </x:c>
      <x:c r="O1677" s="28" t="n">
        <x:v>0</x:v>
      </x:c>
      <x:c r="P1677" s="28" t="n">
        <x:v>1</x:v>
      </x:c>
      <x:c r="Q1677" s="24" t="n">
        <x:f>IFERROR(J1677/H1677,0)</x:f>
        <x:v>0.2857142857142857</x:v>
      </x:c>
      <x:c r="R1677" s="24" t="n">
        <x:f>IFERROR(F1677/H1677,0)</x:f>
        <x:v>0.14285714285714285</x:v>
      </x:c>
      <x:c r="S1677" s="24" t="n">
        <x:f>IFERROR(F1677/J1677,0)</x:f>
        <x:v>0.5</x:v>
      </x:c>
      <x:c r="T1677" s="28" t="n">
        <x:f>H1677-I1677</x:f>
        <x:v>0</x:v>
      </x:c>
      <x:c r="U1677" s="24" t="n">
        <x:f>IFERROR(J1677/H1677,0)-IFERROR(K1677/I1677,0)</x:f>
        <x:v>0.07142857142857142</x:v>
      </x:c>
      <x:c r="V1677" s="24" t="n">
        <x:f>IFERROR(F1677/J1677,0)-IFERROR(G1677/K1677,0)</x:f>
        <x:v>-0.16666666666666663</x:v>
      </x:c>
      <x:c r="W1677" s="28" t="n">
        <x:f>L1677-M1677</x:f>
        <x:v>-7</x:v>
      </x:c>
      <x:c r="X1677" s="24" t="n">
        <x:f>IFERROR(K1677/I1677,0)</x:f>
        <x:v>0.21428571428571427</x:v>
      </x:c>
      <x:c r="Y1677" s="24" t="n">
        <x:f>IFERROR(G1677/I1677,0)</x:f>
        <x:v>0.14285714285714285</x:v>
      </x:c>
      <x:c r="Z1677" s="24" t="n">
        <x:f>IFERROR(G1677/K1677,0)</x:f>
        <x:v>0.6666666666666666</x:v>
      </x:c>
      <x:c r="AA1677" s="24" t="n">
        <x:f>IFERROR(F1677/H1677,0)-IFERROR(G1677/I1677,0)</x:f>
        <x:v>0</x:v>
      </x:c>
      <x:c r="AB1677" s="28" t="n">
        <x:f>J1677-K1677</x:f>
        <x:v>1</x:v>
      </x:c>
      <x:c r="AC1677" s="32" t="n">
        <x:f>F1677-G1677</x:f>
        <x:v>0</x:v>
      </x:c>
    </x:row>
    <x:row r="1678">
      <x:c r="A1678" s="4" t="str">
        <x:v>2023-24</x:v>
      </x:c>
      <x:c r="B1678" s="20" t="n">
        <x:v>45207</x:v>
      </x:c>
      <x:c r="C1678" s="4" t="str">
        <x:v>Man City</x:v>
      </x:c>
      <x:c r="D1678" s="4" t="str">
        <x:v>Arsenal</x:v>
      </x:c>
      <x:c r="E1678" s="4" t="str">
        <x:v>Away</x:v>
      </x:c>
      <x:c r="F1678" s="28" t="n">
        <x:v>0</x:v>
      </x:c>
      <x:c r="G1678" s="28" t="n">
        <x:v>1</x:v>
      </x:c>
      <x:c r="H1678" s="28" t="n">
        <x:v>4</x:v>
      </x:c>
      <x:c r="I1678" s="28" t="n">
        <x:v>12</x:v>
      </x:c>
      <x:c r="J1678" s="28" t="n">
        <x:v>1</x:v>
      </x:c>
      <x:c r="K1678" s="28" t="n">
        <x:v>2</x:v>
      </x:c>
      <x:c r="L1678" s="28" t="n">
        <x:v>4</x:v>
      </x:c>
      <x:c r="M1678" s="28" t="n">
        <x:v>5</x:v>
      </x:c>
      <x:c r="N1678" s="28" t="n">
        <x:v>3</x:v>
      </x:c>
      <x:c r="O1678" s="28" t="n">
        <x:v>0</x:v>
      </x:c>
      <x:c r="P1678" s="28" t="n">
        <x:v>0</x:v>
      </x:c>
      <x:c r="Q1678" s="24" t="n">
        <x:f>IFERROR(J1678/H1678,0)</x:f>
        <x:v>0.25</x:v>
      </x:c>
      <x:c r="R1678" s="24" t="n">
        <x:f>IFERROR(F1678/H1678,0)</x:f>
        <x:v>0</x:v>
      </x:c>
      <x:c r="S1678" s="24" t="n">
        <x:f>IFERROR(F1678/J1678,0)</x:f>
        <x:v>0</x:v>
      </x:c>
      <x:c r="T1678" s="28" t="n">
        <x:f>H1678-I1678</x:f>
        <x:v>-8</x:v>
      </x:c>
      <x:c r="U1678" s="24" t="n">
        <x:f>IFERROR(J1678/H1678,0)-IFERROR(K1678/I1678,0)</x:f>
        <x:v>0.08333333333333334</x:v>
      </x:c>
      <x:c r="V1678" s="24" t="n">
        <x:f>IFERROR(F1678/J1678,0)-IFERROR(G1678/K1678,0)</x:f>
        <x:v>-0.5</x:v>
      </x:c>
      <x:c r="W1678" s="28" t="n">
        <x:f>L1678-M1678</x:f>
        <x:v>-1</x:v>
      </x:c>
      <x:c r="X1678" s="24" t="n">
        <x:f>IFERROR(K1678/I1678,0)</x:f>
        <x:v>0.16666666666666666</x:v>
      </x:c>
      <x:c r="Y1678" s="24" t="n">
        <x:f>IFERROR(G1678/I1678,0)</x:f>
        <x:v>0.08333333333333333</x:v>
      </x:c>
      <x:c r="Z1678" s="24" t="n">
        <x:f>IFERROR(G1678/K1678,0)</x:f>
        <x:v>0.5</x:v>
      </x:c>
      <x:c r="AA1678" s="24" t="n">
        <x:f>IFERROR(F1678/H1678,0)-IFERROR(G1678/I1678,0)</x:f>
        <x:v>-0.08333333333333333</x:v>
      </x:c>
      <x:c r="AB1678" s="28" t="n">
        <x:f>J1678-K1678</x:f>
        <x:v>-1</x:v>
      </x:c>
      <x:c r="AC1678" s="32" t="n">
        <x:f>F1678-G1678</x:f>
        <x:v>-1</x:v>
      </x:c>
    </x:row>
    <x:row r="1679">
      <x:c r="A1679" s="4" t="str">
        <x:v>2023-24</x:v>
      </x:c>
      <x:c r="B1679" s="20" t="n">
        <x:v>45207</x:v>
      </x:c>
      <x:c r="C1679" s="4" t="str">
        <x:v>Newcastle</x:v>
      </x:c>
      <x:c r="D1679" s="4" t="str">
        <x:v>West Ham</x:v>
      </x:c>
      <x:c r="E1679" s="4" t="str">
        <x:v>Away</x:v>
      </x:c>
      <x:c r="F1679" s="28" t="n">
        <x:v>2</x:v>
      </x:c>
      <x:c r="G1679" s="28" t="n">
        <x:v>2</x:v>
      </x:c>
      <x:c r="H1679" s="28" t="n">
        <x:v>10</x:v>
      </x:c>
      <x:c r="I1679" s="28" t="n">
        <x:v>5</x:v>
      </x:c>
      <x:c r="J1679" s="28" t="n">
        <x:v>3</x:v>
      </x:c>
      <x:c r="K1679" s="28" t="n">
        <x:v>3</x:v>
      </x:c>
      <x:c r="L1679" s="28" t="n">
        <x:v>2</x:v>
      </x:c>
      <x:c r="M1679" s="28" t="n">
        <x:v>4</x:v>
      </x:c>
      <x:c r="N1679" s="28" t="n">
        <x:v>3</x:v>
      </x:c>
      <x:c r="O1679" s="28" t="n">
        <x:v>0</x:v>
      </x:c>
      <x:c r="P1679" s="28" t="n">
        <x:v>1</x:v>
      </x:c>
      <x:c r="Q1679" s="24" t="n">
        <x:f>IFERROR(J1679/H1679,0)</x:f>
        <x:v>0.3</x:v>
      </x:c>
      <x:c r="R1679" s="24" t="n">
        <x:f>IFERROR(F1679/H1679,0)</x:f>
        <x:v>0.2</x:v>
      </x:c>
      <x:c r="S1679" s="24" t="n">
        <x:f>IFERROR(F1679/J1679,0)</x:f>
        <x:v>0.6666666666666666</x:v>
      </x:c>
      <x:c r="T1679" s="28" t="n">
        <x:f>H1679-I1679</x:f>
        <x:v>5</x:v>
      </x:c>
      <x:c r="U1679" s="24" t="n">
        <x:f>IFERROR(J1679/H1679,0)-IFERROR(K1679/I1679,0)</x:f>
        <x:v>-0.3</x:v>
      </x:c>
      <x:c r="V1679" s="24" t="n">
        <x:f>IFERROR(F1679/J1679,0)-IFERROR(G1679/K1679,0)</x:f>
        <x:v>0</x:v>
      </x:c>
      <x:c r="W1679" s="28" t="n">
        <x:f>L1679-M1679</x:f>
        <x:v>-2</x:v>
      </x:c>
      <x:c r="X1679" s="24" t="n">
        <x:f>IFERROR(K1679/I1679,0)</x:f>
        <x:v>0.6</x:v>
      </x:c>
      <x:c r="Y1679" s="24" t="n">
        <x:f>IFERROR(G1679/I1679,0)</x:f>
        <x:v>0.4</x:v>
      </x:c>
      <x:c r="Z1679" s="24" t="n">
        <x:f>IFERROR(G1679/K1679,0)</x:f>
        <x:v>0.6666666666666666</x:v>
      </x:c>
      <x:c r="AA1679" s="24" t="n">
        <x:f>IFERROR(F1679/H1679,0)-IFERROR(G1679/I1679,0)</x:f>
        <x:v>-0.2</x:v>
      </x:c>
      <x:c r="AB1679" s="28" t="n">
        <x:f>J1679-K1679</x:f>
        <x:v>0</x:v>
      </x:c>
      <x:c r="AC1679" s="32" t="n">
        <x:f>F1679-G1679</x:f>
        <x:v>0</x:v>
      </x:c>
    </x:row>
    <x:row r="1680">
      <x:c r="A1680" s="4" t="str">
        <x:v>2023-24</x:v>
      </x:c>
      <x:c r="B1680" s="20" t="n">
        <x:v>45207</x:v>
      </x:c>
      <x:c r="C1680" s="4" t="str">
        <x:v>West Ham</x:v>
      </x:c>
      <x:c r="D1680" s="4" t="str">
        <x:v>Newcastle</x:v>
      </x:c>
      <x:c r="E1680" s="4" t="str">
        <x:v>Home</x:v>
      </x:c>
      <x:c r="F1680" s="28" t="n">
        <x:v>2</x:v>
      </x:c>
      <x:c r="G1680" s="28" t="n">
        <x:v>2</x:v>
      </x:c>
      <x:c r="H1680" s="28" t="n">
        <x:v>5</x:v>
      </x:c>
      <x:c r="I1680" s="28" t="n">
        <x:v>10</x:v>
      </x:c>
      <x:c r="J1680" s="28" t="n">
        <x:v>3</x:v>
      </x:c>
      <x:c r="K1680" s="28" t="n">
        <x:v>3</x:v>
      </x:c>
      <x:c r="L1680" s="28" t="n">
        <x:v>4</x:v>
      </x:c>
      <x:c r="M1680" s="28" t="n">
        <x:v>2</x:v>
      </x:c>
      <x:c r="N1680" s="28" t="n">
        <x:v>3</x:v>
      </x:c>
      <x:c r="O1680" s="28" t="n">
        <x:v>0</x:v>
      </x:c>
      <x:c r="P1680" s="28" t="n">
        <x:v>1</x:v>
      </x:c>
      <x:c r="Q1680" s="24" t="n">
        <x:f>IFERROR(J1680/H1680,0)</x:f>
        <x:v>0.6</x:v>
      </x:c>
      <x:c r="R1680" s="24" t="n">
        <x:f>IFERROR(F1680/H1680,0)</x:f>
        <x:v>0.4</x:v>
      </x:c>
      <x:c r="S1680" s="24" t="n">
        <x:f>IFERROR(F1680/J1680,0)</x:f>
        <x:v>0.6666666666666666</x:v>
      </x:c>
      <x:c r="T1680" s="28" t="n">
        <x:f>H1680-I1680</x:f>
        <x:v>-5</x:v>
      </x:c>
      <x:c r="U1680" s="24" t="n">
        <x:f>IFERROR(J1680/H1680,0)-IFERROR(K1680/I1680,0)</x:f>
        <x:v>0.3</x:v>
      </x:c>
      <x:c r="V1680" s="24" t="n">
        <x:f>IFERROR(F1680/J1680,0)-IFERROR(G1680/K1680,0)</x:f>
        <x:v>0</x:v>
      </x:c>
      <x:c r="W1680" s="28" t="n">
        <x:f>L1680-M1680</x:f>
        <x:v>2</x:v>
      </x:c>
      <x:c r="X1680" s="24" t="n">
        <x:f>IFERROR(K1680/I1680,0)</x:f>
        <x:v>0.3</x:v>
      </x:c>
      <x:c r="Y1680" s="24" t="n">
        <x:f>IFERROR(G1680/I1680,0)</x:f>
        <x:v>0.2</x:v>
      </x:c>
      <x:c r="Z1680" s="24" t="n">
        <x:f>IFERROR(G1680/K1680,0)</x:f>
        <x:v>0.6666666666666666</x:v>
      </x:c>
      <x:c r="AA1680" s="24" t="n">
        <x:f>IFERROR(F1680/H1680,0)-IFERROR(G1680/I1680,0)</x:f>
        <x:v>0.2</x:v>
      </x:c>
      <x:c r="AB1680" s="28" t="n">
        <x:f>J1680-K1680</x:f>
        <x:v>0</x:v>
      </x:c>
      <x:c r="AC1680" s="32" t="n">
        <x:f>F1680-G1680</x:f>
        <x:v>0</x:v>
      </x:c>
    </x:row>
    <x:row r="1681">
      <x:c r="A1681" s="4" t="str">
        <x:v>2023-24</x:v>
      </x:c>
      <x:c r="B1681" s="20" t="n">
        <x:v>45207</x:v>
      </x:c>
      <x:c r="C1681" s="4" t="str">
        <x:v>Wolves</x:v>
      </x:c>
      <x:c r="D1681" s="4" t="str">
        <x:v>Aston Villa</x:v>
      </x:c>
      <x:c r="E1681" s="4" t="str">
        <x:v>Home</x:v>
      </x:c>
      <x:c r="F1681" s="28" t="n">
        <x:v>1</x:v>
      </x:c>
      <x:c r="G1681" s="28" t="n">
        <x:v>1</x:v>
      </x:c>
      <x:c r="H1681" s="28" t="n">
        <x:v>8</x:v>
      </x:c>
      <x:c r="I1681" s="28" t="n">
        <x:v>18</x:v>
      </x:c>
      <x:c r="J1681" s="28" t="n">
        <x:v>3</x:v>
      </x:c>
      <x:c r="K1681" s="28" t="n">
        <x:v>4</x:v>
      </x:c>
      <x:c r="L1681" s="28" t="n">
        <x:v>2</x:v>
      </x:c>
      <x:c r="M1681" s="28" t="n">
        <x:v>10</x:v>
      </x:c>
      <x:c r="N1681" s="28" t="n">
        <x:v>2</x:v>
      </x:c>
      <x:c r="O1681" s="28" t="n">
        <x:v>1</x:v>
      </x:c>
      <x:c r="P1681" s="28" t="n">
        <x:v>1</x:v>
      </x:c>
      <x:c r="Q1681" s="24" t="n">
        <x:f>IFERROR(J1681/H1681,0)</x:f>
        <x:v>0.375</x:v>
      </x:c>
      <x:c r="R1681" s="24" t="n">
        <x:f>IFERROR(F1681/H1681,0)</x:f>
        <x:v>0.125</x:v>
      </x:c>
      <x:c r="S1681" s="24" t="n">
        <x:f>IFERROR(F1681/J1681,0)</x:f>
        <x:v>0.3333333333333333</x:v>
      </x:c>
      <x:c r="T1681" s="28" t="n">
        <x:f>H1681-I1681</x:f>
        <x:v>-10</x:v>
      </x:c>
      <x:c r="U1681" s="24" t="n">
        <x:f>IFERROR(J1681/H1681,0)-IFERROR(K1681/I1681,0)</x:f>
        <x:v>0.1527777777777778</x:v>
      </x:c>
      <x:c r="V1681" s="24" t="n">
        <x:f>IFERROR(F1681/J1681,0)-IFERROR(G1681/K1681,0)</x:f>
        <x:v>0.08333333333333331</x:v>
      </x:c>
      <x:c r="W1681" s="28" t="n">
        <x:f>L1681-M1681</x:f>
        <x:v>-8</x:v>
      </x:c>
      <x:c r="X1681" s="24" t="n">
        <x:f>IFERROR(K1681/I1681,0)</x:f>
        <x:v>0.2222222222222222</x:v>
      </x:c>
      <x:c r="Y1681" s="24" t="n">
        <x:f>IFERROR(G1681/I1681,0)</x:f>
        <x:v>0.05555555555555555</x:v>
      </x:c>
      <x:c r="Z1681" s="24" t="n">
        <x:f>IFERROR(G1681/K1681,0)</x:f>
        <x:v>0.25</x:v>
      </x:c>
      <x:c r="AA1681" s="24" t="n">
        <x:f>IFERROR(F1681/H1681,0)-IFERROR(G1681/I1681,0)</x:f>
        <x:v>0.06944444444444445</x:v>
      </x:c>
      <x:c r="AB1681" s="28" t="n">
        <x:f>J1681-K1681</x:f>
        <x:v>-1</x:v>
      </x:c>
      <x:c r="AC1681" s="32" t="n">
        <x:f>F1681-G1681</x:f>
        <x:v>0</x:v>
      </x:c>
    </x:row>
    <x:row r="1682">
      <x:c r="A1682" s="4" t="str">
        <x:v>2023-24</x:v>
      </x:c>
      <x:c r="B1682" s="20" t="n">
        <x:v>45220</x:v>
      </x:c>
      <x:c r="C1682" s="4" t="str">
        <x:v>Arsenal</x:v>
      </x:c>
      <x:c r="D1682" s="4" t="str">
        <x:v>Chelsea</x:v>
      </x:c>
      <x:c r="E1682" s="4" t="str">
        <x:v>Away</x:v>
      </x:c>
      <x:c r="F1682" s="28" t="n">
        <x:v>2</x:v>
      </x:c>
      <x:c r="G1682" s="28" t="n">
        <x:v>2</x:v>
      </x:c>
      <x:c r="H1682" s="28" t="n">
        <x:v>13</x:v>
      </x:c>
      <x:c r="I1682" s="28" t="n">
        <x:v>11</x:v>
      </x:c>
      <x:c r="J1682" s="28" t="n">
        <x:v>3</x:v>
      </x:c>
      <x:c r="K1682" s="28" t="n">
        <x:v>5</x:v>
      </x:c>
      <x:c r="L1682" s="28" t="n">
        <x:v>7</x:v>
      </x:c>
      <x:c r="M1682" s="28" t="n">
        <x:v>2</x:v>
      </x:c>
      <x:c r="N1682" s="28" t="n">
        <x:v>3</x:v>
      </x:c>
      <x:c r="O1682" s="28" t="n">
        <x:v>0</x:v>
      </x:c>
      <x:c r="P1682" s="28" t="n">
        <x:v>1</x:v>
      </x:c>
      <x:c r="Q1682" s="24" t="n">
        <x:f>IFERROR(J1682/H1682,0)</x:f>
        <x:v>0.23076923076923078</x:v>
      </x:c>
      <x:c r="R1682" s="24" t="n">
        <x:f>IFERROR(F1682/H1682,0)</x:f>
        <x:v>0.15384615384615385</x:v>
      </x:c>
      <x:c r="S1682" s="24" t="n">
        <x:f>IFERROR(F1682/J1682,0)</x:f>
        <x:v>0.6666666666666666</x:v>
      </x:c>
      <x:c r="T1682" s="28" t="n">
        <x:f>H1682-I1682</x:f>
        <x:v>2</x:v>
      </x:c>
      <x:c r="U1682" s="24" t="n">
        <x:f>IFERROR(J1682/H1682,0)-IFERROR(K1682/I1682,0)</x:f>
        <x:v>-0.22377622377622375</x:v>
      </x:c>
      <x:c r="V1682" s="24" t="n">
        <x:f>IFERROR(F1682/J1682,0)-IFERROR(G1682/K1682,0)</x:f>
        <x:v>0.2666666666666666</x:v>
      </x:c>
      <x:c r="W1682" s="28" t="n">
        <x:f>L1682-M1682</x:f>
        <x:v>5</x:v>
      </x:c>
      <x:c r="X1682" s="24" t="n">
        <x:f>IFERROR(K1682/I1682,0)</x:f>
        <x:v>0.45454545454545453</x:v>
      </x:c>
      <x:c r="Y1682" s="24" t="n">
        <x:f>IFERROR(G1682/I1682,0)</x:f>
        <x:v>0.18181818181818182</x:v>
      </x:c>
      <x:c r="Z1682" s="24" t="n">
        <x:f>IFERROR(G1682/K1682,0)</x:f>
        <x:v>0.4</x:v>
      </x:c>
      <x:c r="AA1682" s="24" t="n">
        <x:f>IFERROR(F1682/H1682,0)-IFERROR(G1682/I1682,0)</x:f>
        <x:v>-0.02797202797202797</x:v>
      </x:c>
      <x:c r="AB1682" s="28" t="n">
        <x:f>J1682-K1682</x:f>
        <x:v>-2</x:v>
      </x:c>
      <x:c r="AC1682" s="32" t="n">
        <x:f>F1682-G1682</x:f>
        <x:v>0</x:v>
      </x:c>
    </x:row>
    <x:row r="1683">
      <x:c r="A1683" s="4" t="str">
        <x:v>2023-24</x:v>
      </x:c>
      <x:c r="B1683" s="20" t="n">
        <x:v>45220</x:v>
      </x:c>
      <x:c r="C1683" s="4" t="str">
        <x:v>Bournemouth</x:v>
      </x:c>
      <x:c r="D1683" s="4" t="str">
        <x:v>Wolves</x:v>
      </x:c>
      <x:c r="E1683" s="4" t="str">
        <x:v>Home</x:v>
      </x:c>
      <x:c r="F1683" s="28" t="n">
        <x:v>1</x:v>
      </x:c>
      <x:c r="G1683" s="28" t="n">
        <x:v>2</x:v>
      </x:c>
      <x:c r="H1683" s="28" t="n">
        <x:v>7</x:v>
      </x:c>
      <x:c r="I1683" s="28" t="n">
        <x:v>20</x:v>
      </x:c>
      <x:c r="J1683" s="28" t="n">
        <x:v>4</x:v>
      </x:c>
      <x:c r="K1683" s="28" t="n">
        <x:v>7</x:v>
      </x:c>
      <x:c r="L1683" s="28" t="n">
        <x:v>3</x:v>
      </x:c>
      <x:c r="M1683" s="28" t="n">
        <x:v>12</x:v>
      </x:c>
      <x:c r="N1683" s="28" t="n">
        <x:v>2</x:v>
      </x:c>
      <x:c r="O1683" s="28" t="n">
        <x:v>1</x:v>
      </x:c>
      <x:c r="P1683" s="28" t="n">
        <x:v>0</x:v>
      </x:c>
      <x:c r="Q1683" s="24" t="n">
        <x:f>IFERROR(J1683/H1683,0)</x:f>
        <x:v>0.5714285714285714</x:v>
      </x:c>
      <x:c r="R1683" s="24" t="n">
        <x:f>IFERROR(F1683/H1683,0)</x:f>
        <x:v>0.14285714285714285</x:v>
      </x:c>
      <x:c r="S1683" s="24" t="n">
        <x:f>IFERROR(F1683/J1683,0)</x:f>
        <x:v>0.25</x:v>
      </x:c>
      <x:c r="T1683" s="28" t="n">
        <x:f>H1683-I1683</x:f>
        <x:v>-13</x:v>
      </x:c>
      <x:c r="U1683" s="24" t="n">
        <x:f>IFERROR(J1683/H1683,0)-IFERROR(K1683/I1683,0)</x:f>
        <x:v>0.22142857142857142</x:v>
      </x:c>
      <x:c r="V1683" s="24" t="n">
        <x:f>IFERROR(F1683/J1683,0)-IFERROR(G1683/K1683,0)</x:f>
        <x:v>-0.0357142857142857</x:v>
      </x:c>
      <x:c r="W1683" s="28" t="n">
        <x:f>L1683-M1683</x:f>
        <x:v>-9</x:v>
      </x:c>
      <x:c r="X1683" s="24" t="n">
        <x:f>IFERROR(K1683/I1683,0)</x:f>
        <x:v>0.35</x:v>
      </x:c>
      <x:c r="Y1683" s="24" t="n">
        <x:f>IFERROR(G1683/I1683,0)</x:f>
        <x:v>0.1</x:v>
      </x:c>
      <x:c r="Z1683" s="24" t="n">
        <x:f>IFERROR(G1683/K1683,0)</x:f>
        <x:v>0.2857142857142857</x:v>
      </x:c>
      <x:c r="AA1683" s="24" t="n">
        <x:f>IFERROR(F1683/H1683,0)-IFERROR(G1683/I1683,0)</x:f>
        <x:v>0.042857142857142844</x:v>
      </x:c>
      <x:c r="AB1683" s="28" t="n">
        <x:f>J1683-K1683</x:f>
        <x:v>-3</x:v>
      </x:c>
      <x:c r="AC1683" s="32" t="n">
        <x:f>F1683-G1683</x:f>
        <x:v>-1</x:v>
      </x:c>
    </x:row>
    <x:row r="1684">
      <x:c r="A1684" s="4" t="str">
        <x:v>2023-24</x:v>
      </x:c>
      <x:c r="B1684" s="20" t="n">
        <x:v>45220</x:v>
      </x:c>
      <x:c r="C1684" s="4" t="str">
        <x:v>Brentford</x:v>
      </x:c>
      <x:c r="D1684" s="4" t="str">
        <x:v>Burnley</x:v>
      </x:c>
      <x:c r="E1684" s="4" t="str">
        <x:v>Home</x:v>
      </x:c>
      <x:c r="F1684" s="28" t="n">
        <x:v>3</x:v>
      </x:c>
      <x:c r="G1684" s="28" t="n">
        <x:v>0</x:v>
      </x:c>
      <x:c r="H1684" s="28" t="n">
        <x:v>23</x:v>
      </x:c>
      <x:c r="I1684" s="28" t="n">
        <x:v>6</x:v>
      </x:c>
      <x:c r="J1684" s="28" t="n">
        <x:v>10</x:v>
      </x:c>
      <x:c r="K1684" s="28" t="n">
        <x:v>1</x:v>
      </x:c>
      <x:c r="L1684" s="28" t="n">
        <x:v>5</x:v>
      </x:c>
      <x:c r="M1684" s="28" t="n">
        <x:v>5</x:v>
      </x:c>
      <x:c r="N1684" s="28" t="n">
        <x:v>5</x:v>
      </x:c>
      <x:c r="O1684" s="28" t="n">
        <x:v>0</x:v>
      </x:c>
      <x:c r="P1684" s="28" t="n">
        <x:v>3</x:v>
      </x:c>
      <x:c r="Q1684" s="24" t="n">
        <x:f>IFERROR(J1684/H1684,0)</x:f>
        <x:v>0.43478260869565216</x:v>
      </x:c>
      <x:c r="R1684" s="24" t="n">
        <x:f>IFERROR(F1684/H1684,0)</x:f>
        <x:v>0.13043478260869565</x:v>
      </x:c>
      <x:c r="S1684" s="24" t="n">
        <x:f>IFERROR(F1684/J1684,0)</x:f>
        <x:v>0.3</x:v>
      </x:c>
      <x:c r="T1684" s="28" t="n">
        <x:f>H1684-I1684</x:f>
        <x:v>17</x:v>
      </x:c>
      <x:c r="U1684" s="24" t="n">
        <x:f>IFERROR(J1684/H1684,0)-IFERROR(K1684/I1684,0)</x:f>
        <x:v>0.2681159420289855</x:v>
      </x:c>
      <x:c r="V1684" s="24" t="n">
        <x:f>IFERROR(F1684/J1684,0)-IFERROR(G1684/K1684,0)</x:f>
        <x:v>0.3</x:v>
      </x:c>
      <x:c r="W1684" s="28" t="n">
        <x:f>L1684-M1684</x:f>
        <x:v>0</x:v>
      </x:c>
      <x:c r="X1684" s="24" t="n">
        <x:f>IFERROR(K1684/I1684,0)</x:f>
        <x:v>0.16666666666666666</x:v>
      </x:c>
      <x:c r="Y1684" s="24" t="n">
        <x:f>IFERROR(G1684/I1684,0)</x:f>
        <x:v>0</x:v>
      </x:c>
      <x:c r="Z1684" s="24" t="n">
        <x:f>IFERROR(G1684/K1684,0)</x:f>
        <x:v>0</x:v>
      </x:c>
      <x:c r="AA1684" s="24" t="n">
        <x:f>IFERROR(F1684/H1684,0)-IFERROR(G1684/I1684,0)</x:f>
        <x:v>0.13043478260869565</x:v>
      </x:c>
      <x:c r="AB1684" s="28" t="n">
        <x:f>J1684-K1684</x:f>
        <x:v>9</x:v>
      </x:c>
      <x:c r="AC1684" s="32" t="n">
        <x:f>F1684-G1684</x:f>
        <x:v>3</x:v>
      </x:c>
    </x:row>
    <x:row r="1685">
      <x:c r="A1685" s="4" t="str">
        <x:v>2023-24</x:v>
      </x:c>
      <x:c r="B1685" s="20" t="n">
        <x:v>45220</x:v>
      </x:c>
      <x:c r="C1685" s="4" t="str">
        <x:v>Brighton</x:v>
      </x:c>
      <x:c r="D1685" s="4" t="str">
        <x:v>Man City</x:v>
      </x:c>
      <x:c r="E1685" s="4" t="str">
        <x:v>Away</x:v>
      </x:c>
      <x:c r="F1685" s="28" t="n">
        <x:v>1</x:v>
      </x:c>
      <x:c r="G1685" s="28" t="n">
        <x:v>2</x:v>
      </x:c>
      <x:c r="H1685" s="28" t="n">
        <x:v>5</x:v>
      </x:c>
      <x:c r="I1685" s="28" t="n">
        <x:v>10</x:v>
      </x:c>
      <x:c r="J1685" s="28" t="n">
        <x:v>3</x:v>
      </x:c>
      <x:c r="K1685" s="28" t="n">
        <x:v>6</x:v>
      </x:c>
      <x:c r="L1685" s="28" t="n">
        <x:v>2</x:v>
      </x:c>
      <x:c r="M1685" s="28" t="n">
        <x:v>2</x:v>
      </x:c>
      <x:c r="N1685" s="28" t="n">
        <x:v>2</x:v>
      </x:c>
      <x:c r="O1685" s="28" t="n">
        <x:v>0</x:v>
      </x:c>
      <x:c r="P1685" s="28" t="n">
        <x:v>0</x:v>
      </x:c>
      <x:c r="Q1685" s="24" t="n">
        <x:f>IFERROR(J1685/H1685,0)</x:f>
        <x:v>0.6</x:v>
      </x:c>
      <x:c r="R1685" s="24" t="n">
        <x:f>IFERROR(F1685/H1685,0)</x:f>
        <x:v>0.2</x:v>
      </x:c>
      <x:c r="S1685" s="24" t="n">
        <x:f>IFERROR(F1685/J1685,0)</x:f>
        <x:v>0.3333333333333333</x:v>
      </x:c>
      <x:c r="T1685" s="28" t="n">
        <x:f>H1685-I1685</x:f>
        <x:v>-5</x:v>
      </x:c>
      <x:c r="U1685" s="24" t="n">
        <x:f>IFERROR(J1685/H1685,0)-IFERROR(K1685/I1685,0)</x:f>
        <x:v>0</x:v>
      </x:c>
      <x:c r="V1685" s="24" t="n">
        <x:f>IFERROR(F1685/J1685,0)-IFERROR(G1685/K1685,0)</x:f>
        <x:v>0</x:v>
      </x:c>
      <x:c r="W1685" s="28" t="n">
        <x:f>L1685-M1685</x:f>
        <x:v>0</x:v>
      </x:c>
      <x:c r="X1685" s="24" t="n">
        <x:f>IFERROR(K1685/I1685,0)</x:f>
        <x:v>0.6</x:v>
      </x:c>
      <x:c r="Y1685" s="24" t="n">
        <x:f>IFERROR(G1685/I1685,0)</x:f>
        <x:v>0.2</x:v>
      </x:c>
      <x:c r="Z1685" s="24" t="n">
        <x:f>IFERROR(G1685/K1685,0)</x:f>
        <x:v>0.3333333333333333</x:v>
      </x:c>
      <x:c r="AA1685" s="24" t="n">
        <x:f>IFERROR(F1685/H1685,0)-IFERROR(G1685/I1685,0)</x:f>
        <x:v>0</x:v>
      </x:c>
      <x:c r="AB1685" s="28" t="n">
        <x:f>J1685-K1685</x:f>
        <x:v>-3</x:v>
      </x:c>
      <x:c r="AC1685" s="32" t="n">
        <x:f>F1685-G1685</x:f>
        <x:v>-1</x:v>
      </x:c>
    </x:row>
    <x:row r="1686">
      <x:c r="A1686" s="4" t="str">
        <x:v>2023-24</x:v>
      </x:c>
      <x:c r="B1686" s="20" t="n">
        <x:v>45220</x:v>
      </x:c>
      <x:c r="C1686" s="4" t="str">
        <x:v>Burnley</x:v>
      </x:c>
      <x:c r="D1686" s="4" t="str">
        <x:v>Brentford</x:v>
      </x:c>
      <x:c r="E1686" s="4" t="str">
        <x:v>Away</x:v>
      </x:c>
      <x:c r="F1686" s="28" t="n">
        <x:v>0</x:v>
      </x:c>
      <x:c r="G1686" s="28" t="n">
        <x:v>3</x:v>
      </x:c>
      <x:c r="H1686" s="28" t="n">
        <x:v>6</x:v>
      </x:c>
      <x:c r="I1686" s="28" t="n">
        <x:v>23</x:v>
      </x:c>
      <x:c r="J1686" s="28" t="n">
        <x:v>1</x:v>
      </x:c>
      <x:c r="K1686" s="28" t="n">
        <x:v>10</x:v>
      </x:c>
      <x:c r="L1686" s="28" t="n">
        <x:v>5</x:v>
      </x:c>
      <x:c r="M1686" s="28" t="n">
        <x:v>5</x:v>
      </x:c>
      <x:c r="N1686" s="28" t="n">
        <x:v>2</x:v>
      </x:c>
      <x:c r="O1686" s="28" t="n">
        <x:v>1</x:v>
      </x:c>
      <x:c r="P1686" s="28" t="n">
        <x:v>0</x:v>
      </x:c>
      <x:c r="Q1686" s="24" t="n">
        <x:f>IFERROR(J1686/H1686,0)</x:f>
        <x:v>0.16666666666666666</x:v>
      </x:c>
      <x:c r="R1686" s="24" t="n">
        <x:f>IFERROR(F1686/H1686,0)</x:f>
        <x:v>0</x:v>
      </x:c>
      <x:c r="S1686" s="24" t="n">
        <x:f>IFERROR(F1686/J1686,0)</x:f>
        <x:v>0</x:v>
      </x:c>
      <x:c r="T1686" s="28" t="n">
        <x:f>H1686-I1686</x:f>
        <x:v>-17</x:v>
      </x:c>
      <x:c r="U1686" s="24" t="n">
        <x:f>IFERROR(J1686/H1686,0)-IFERROR(K1686/I1686,0)</x:f>
        <x:v>-0.2681159420289855</x:v>
      </x:c>
      <x:c r="V1686" s="24" t="n">
        <x:f>IFERROR(F1686/J1686,0)-IFERROR(G1686/K1686,0)</x:f>
        <x:v>-0.3</x:v>
      </x:c>
      <x:c r="W1686" s="28" t="n">
        <x:f>L1686-M1686</x:f>
        <x:v>0</x:v>
      </x:c>
      <x:c r="X1686" s="24" t="n">
        <x:f>IFERROR(K1686/I1686,0)</x:f>
        <x:v>0.43478260869565216</x:v>
      </x:c>
      <x:c r="Y1686" s="24" t="n">
        <x:f>IFERROR(G1686/I1686,0)</x:f>
        <x:v>0.13043478260869565</x:v>
      </x:c>
      <x:c r="Z1686" s="24" t="n">
        <x:f>IFERROR(G1686/K1686,0)</x:f>
        <x:v>0.3</x:v>
      </x:c>
      <x:c r="AA1686" s="24" t="n">
        <x:f>IFERROR(F1686/H1686,0)-IFERROR(G1686/I1686,0)</x:f>
        <x:v>-0.13043478260869565</x:v>
      </x:c>
      <x:c r="AB1686" s="28" t="n">
        <x:f>J1686-K1686</x:f>
        <x:v>-9</x:v>
      </x:c>
      <x:c r="AC1686" s="32" t="n">
        <x:f>F1686-G1686</x:f>
        <x:v>-3</x:v>
      </x:c>
    </x:row>
    <x:row r="1687">
      <x:c r="A1687" s="4" t="str">
        <x:v>2023-24</x:v>
      </x:c>
      <x:c r="B1687" s="20" t="n">
        <x:v>45220</x:v>
      </x:c>
      <x:c r="C1687" s="4" t="str">
        <x:v>Chelsea</x:v>
      </x:c>
      <x:c r="D1687" s="4" t="str">
        <x:v>Arsenal</x:v>
      </x:c>
      <x:c r="E1687" s="4" t="str">
        <x:v>Home</x:v>
      </x:c>
      <x:c r="F1687" s="28" t="n">
        <x:v>2</x:v>
      </x:c>
      <x:c r="G1687" s="28" t="n">
        <x:v>2</x:v>
      </x:c>
      <x:c r="H1687" s="28" t="n">
        <x:v>11</x:v>
      </x:c>
      <x:c r="I1687" s="28" t="n">
        <x:v>13</x:v>
      </x:c>
      <x:c r="J1687" s="28" t="n">
        <x:v>5</x:v>
      </x:c>
      <x:c r="K1687" s="28" t="n">
        <x:v>3</x:v>
      </x:c>
      <x:c r="L1687" s="28" t="n">
        <x:v>2</x:v>
      </x:c>
      <x:c r="M1687" s="28" t="n">
        <x:v>7</x:v>
      </x:c>
      <x:c r="N1687" s="28" t="n">
        <x:v>3</x:v>
      </x:c>
      <x:c r="O1687" s="28" t="n">
        <x:v>0</x:v>
      </x:c>
      <x:c r="P1687" s="28" t="n">
        <x:v>1</x:v>
      </x:c>
      <x:c r="Q1687" s="24" t="n">
        <x:f>IFERROR(J1687/H1687,0)</x:f>
        <x:v>0.45454545454545453</x:v>
      </x:c>
      <x:c r="R1687" s="24" t="n">
        <x:f>IFERROR(F1687/H1687,0)</x:f>
        <x:v>0.18181818181818182</x:v>
      </x:c>
      <x:c r="S1687" s="24" t="n">
        <x:f>IFERROR(F1687/J1687,0)</x:f>
        <x:v>0.4</x:v>
      </x:c>
      <x:c r="T1687" s="28" t="n">
        <x:f>H1687-I1687</x:f>
        <x:v>-2</x:v>
      </x:c>
      <x:c r="U1687" s="24" t="n">
        <x:f>IFERROR(J1687/H1687,0)-IFERROR(K1687/I1687,0)</x:f>
        <x:v>0.22377622377622375</x:v>
      </x:c>
      <x:c r="V1687" s="24" t="n">
        <x:f>IFERROR(F1687/J1687,0)-IFERROR(G1687/K1687,0)</x:f>
        <x:v>-0.2666666666666666</x:v>
      </x:c>
      <x:c r="W1687" s="28" t="n">
        <x:f>L1687-M1687</x:f>
        <x:v>-5</x:v>
      </x:c>
      <x:c r="X1687" s="24" t="n">
        <x:f>IFERROR(K1687/I1687,0)</x:f>
        <x:v>0.23076923076923078</x:v>
      </x:c>
      <x:c r="Y1687" s="24" t="n">
        <x:f>IFERROR(G1687/I1687,0)</x:f>
        <x:v>0.15384615384615385</x:v>
      </x:c>
      <x:c r="Z1687" s="24" t="n">
        <x:f>IFERROR(G1687/K1687,0)</x:f>
        <x:v>0.6666666666666666</x:v>
      </x:c>
      <x:c r="AA1687" s="24" t="n">
        <x:f>IFERROR(F1687/H1687,0)-IFERROR(G1687/I1687,0)</x:f>
        <x:v>0.02797202797202797</x:v>
      </x:c>
      <x:c r="AB1687" s="28" t="n">
        <x:f>J1687-K1687</x:f>
        <x:v>2</x:v>
      </x:c>
      <x:c r="AC1687" s="32" t="n">
        <x:f>F1687-G1687</x:f>
        <x:v>0</x:v>
      </x:c>
    </x:row>
    <x:row r="1688">
      <x:c r="A1688" s="4" t="str">
        <x:v>2023-24</x:v>
      </x:c>
      <x:c r="B1688" s="20" t="n">
        <x:v>45220</x:v>
      </x:c>
      <x:c r="C1688" s="4" t="str">
        <x:v>Crystal Palace</x:v>
      </x:c>
      <x:c r="D1688" s="4" t="str">
        <x:v>Newcastle</x:v>
      </x:c>
      <x:c r="E1688" s="4" t="str">
        <x:v>Away</x:v>
      </x:c>
      <x:c r="F1688" s="28" t="n">
        <x:v>0</x:v>
      </x:c>
      <x:c r="G1688" s="28" t="n">
        <x:v>4</x:v>
      </x:c>
      <x:c r="H1688" s="28" t="n">
        <x:v>17</x:v>
      </x:c>
      <x:c r="I1688" s="28" t="n">
        <x:v>10</x:v>
      </x:c>
      <x:c r="J1688" s="28" t="n">
        <x:v>3</x:v>
      </x:c>
      <x:c r="K1688" s="28" t="n">
        <x:v>7</x:v>
      </x:c>
      <x:c r="L1688" s="28" t="n">
        <x:v>8</x:v>
      </x:c>
      <x:c r="M1688" s="28" t="n">
        <x:v>6</x:v>
      </x:c>
      <x:c r="N1688" s="28" t="n">
        <x:v>3</x:v>
      </x:c>
      <x:c r="O1688" s="28" t="n">
        <x:v>0</x:v>
      </x:c>
      <x:c r="P1688" s="28" t="n">
        <x:v>0</x:v>
      </x:c>
      <x:c r="Q1688" s="24" t="n">
        <x:f>IFERROR(J1688/H1688,0)</x:f>
        <x:v>0.17647058823529413</x:v>
      </x:c>
      <x:c r="R1688" s="24" t="n">
        <x:f>IFERROR(F1688/H1688,0)</x:f>
        <x:v>0</x:v>
      </x:c>
      <x:c r="S1688" s="24" t="n">
        <x:f>IFERROR(F1688/J1688,0)</x:f>
        <x:v>0</x:v>
      </x:c>
      <x:c r="T1688" s="28" t="n">
        <x:f>H1688-I1688</x:f>
        <x:v>7</x:v>
      </x:c>
      <x:c r="U1688" s="24" t="n">
        <x:f>IFERROR(J1688/H1688,0)-IFERROR(K1688/I1688,0)</x:f>
        <x:v>-0.5235294117647058</x:v>
      </x:c>
      <x:c r="V1688" s="24" t="n">
        <x:f>IFERROR(F1688/J1688,0)-IFERROR(G1688/K1688,0)</x:f>
        <x:v>-0.5714285714285714</x:v>
      </x:c>
      <x:c r="W1688" s="28" t="n">
        <x:f>L1688-M1688</x:f>
        <x:v>2</x:v>
      </x:c>
      <x:c r="X1688" s="24" t="n">
        <x:f>IFERROR(K1688/I1688,0)</x:f>
        <x:v>0.7</x:v>
      </x:c>
      <x:c r="Y1688" s="24" t="n">
        <x:f>IFERROR(G1688/I1688,0)</x:f>
        <x:v>0.4</x:v>
      </x:c>
      <x:c r="Z1688" s="24" t="n">
        <x:f>IFERROR(G1688/K1688,0)</x:f>
        <x:v>0.5714285714285714</x:v>
      </x:c>
      <x:c r="AA1688" s="24" t="n">
        <x:f>IFERROR(F1688/H1688,0)-IFERROR(G1688/I1688,0)</x:f>
        <x:v>-0.4</x:v>
      </x:c>
      <x:c r="AB1688" s="28" t="n">
        <x:f>J1688-K1688</x:f>
        <x:v>-4</x:v>
      </x:c>
      <x:c r="AC1688" s="32" t="n">
        <x:f>F1688-G1688</x:f>
        <x:v>-4</x:v>
      </x:c>
    </x:row>
    <x:row r="1689">
      <x:c r="A1689" s="4" t="str">
        <x:v>2023-24</x:v>
      </x:c>
      <x:c r="B1689" s="20" t="n">
        <x:v>45220</x:v>
      </x:c>
      <x:c r="C1689" s="4" t="str">
        <x:v>Everton</x:v>
      </x:c>
      <x:c r="D1689" s="4" t="str">
        <x:v>Liverpool</x:v>
      </x:c>
      <x:c r="E1689" s="4" t="str">
        <x:v>Away</x:v>
      </x:c>
      <x:c r="F1689" s="28" t="n">
        <x:v>0</x:v>
      </x:c>
      <x:c r="G1689" s="28" t="n">
        <x:v>2</x:v>
      </x:c>
      <x:c r="H1689" s="28" t="n">
        <x:v>6</x:v>
      </x:c>
      <x:c r="I1689" s="28" t="n">
        <x:v>26</x:v>
      </x:c>
      <x:c r="J1689" s="28" t="n">
        <x:v>1</x:v>
      </x:c>
      <x:c r="K1689" s="28" t="n">
        <x:v>6</x:v>
      </x:c>
      <x:c r="L1689" s="28" t="n">
        <x:v>4</x:v>
      </x:c>
      <x:c r="M1689" s="28" t="n">
        <x:v>12</x:v>
      </x:c>
      <x:c r="N1689" s="28" t="n">
        <x:v>1</x:v>
      </x:c>
      <x:c r="O1689" s="28" t="n">
        <x:v>1</x:v>
      </x:c>
      <x:c r="P1689" s="28" t="n">
        <x:v>0</x:v>
      </x:c>
      <x:c r="Q1689" s="24" t="n">
        <x:f>IFERROR(J1689/H1689,0)</x:f>
        <x:v>0.16666666666666666</x:v>
      </x:c>
      <x:c r="R1689" s="24" t="n">
        <x:f>IFERROR(F1689/H1689,0)</x:f>
        <x:v>0</x:v>
      </x:c>
      <x:c r="S1689" s="24" t="n">
        <x:f>IFERROR(F1689/J1689,0)</x:f>
        <x:v>0</x:v>
      </x:c>
      <x:c r="T1689" s="28" t="n">
        <x:f>H1689-I1689</x:f>
        <x:v>-20</x:v>
      </x:c>
      <x:c r="U1689" s="24" t="n">
        <x:f>IFERROR(J1689/H1689,0)-IFERROR(K1689/I1689,0)</x:f>
        <x:v>-0.06410256410256412</x:v>
      </x:c>
      <x:c r="V1689" s="24" t="n">
        <x:f>IFERROR(F1689/J1689,0)-IFERROR(G1689/K1689,0)</x:f>
        <x:v>-0.3333333333333333</x:v>
      </x:c>
      <x:c r="W1689" s="28" t="n">
        <x:f>L1689-M1689</x:f>
        <x:v>-8</x:v>
      </x:c>
      <x:c r="X1689" s="24" t="n">
        <x:f>IFERROR(K1689/I1689,0)</x:f>
        <x:v>0.23076923076923078</x:v>
      </x:c>
      <x:c r="Y1689" s="24" t="n">
        <x:f>IFERROR(G1689/I1689,0)</x:f>
        <x:v>0.07692307692307693</x:v>
      </x:c>
      <x:c r="Z1689" s="24" t="n">
        <x:f>IFERROR(G1689/K1689,0)</x:f>
        <x:v>0.3333333333333333</x:v>
      </x:c>
      <x:c r="AA1689" s="24" t="n">
        <x:f>IFERROR(F1689/H1689,0)-IFERROR(G1689/I1689,0)</x:f>
        <x:v>-0.07692307692307693</x:v>
      </x:c>
      <x:c r="AB1689" s="28" t="n">
        <x:f>J1689-K1689</x:f>
        <x:v>-5</x:v>
      </x:c>
      <x:c r="AC1689" s="32" t="n">
        <x:f>F1689-G1689</x:f>
        <x:v>-2</x:v>
      </x:c>
    </x:row>
    <x:row r="1690">
      <x:c r="A1690" s="4" t="str">
        <x:v>2023-24</x:v>
      </x:c>
      <x:c r="B1690" s="20" t="n">
        <x:v>45220</x:v>
      </x:c>
      <x:c r="C1690" s="4" t="str">
        <x:v>Liverpool</x:v>
      </x:c>
      <x:c r="D1690" s="4" t="str">
        <x:v>Everton</x:v>
      </x:c>
      <x:c r="E1690" s="4" t="str">
        <x:v>Home</x:v>
      </x:c>
      <x:c r="F1690" s="28" t="n">
        <x:v>2</x:v>
      </x:c>
      <x:c r="G1690" s="28" t="n">
        <x:v>0</x:v>
      </x:c>
      <x:c r="H1690" s="28" t="n">
        <x:v>26</x:v>
      </x:c>
      <x:c r="I1690" s="28" t="n">
        <x:v>6</x:v>
      </x:c>
      <x:c r="J1690" s="28" t="n">
        <x:v>6</x:v>
      </x:c>
      <x:c r="K1690" s="28" t="n">
        <x:v>1</x:v>
      </x:c>
      <x:c r="L1690" s="28" t="n">
        <x:v>12</x:v>
      </x:c>
      <x:c r="M1690" s="28" t="n">
        <x:v>4</x:v>
      </x:c>
      <x:c r="N1690" s="28" t="n">
        <x:v>1</x:v>
      </x:c>
      <x:c r="O1690" s="28" t="n">
        <x:v>0</x:v>
      </x:c>
      <x:c r="P1690" s="28" t="n">
        <x:v>3</x:v>
      </x:c>
      <x:c r="Q1690" s="24" t="n">
        <x:f>IFERROR(J1690/H1690,0)</x:f>
        <x:v>0.23076923076923078</x:v>
      </x:c>
      <x:c r="R1690" s="24" t="n">
        <x:f>IFERROR(F1690/H1690,0)</x:f>
        <x:v>0.07692307692307693</x:v>
      </x:c>
      <x:c r="S1690" s="24" t="n">
        <x:f>IFERROR(F1690/J1690,0)</x:f>
        <x:v>0.3333333333333333</x:v>
      </x:c>
      <x:c r="T1690" s="28" t="n">
        <x:f>H1690-I1690</x:f>
        <x:v>20</x:v>
      </x:c>
      <x:c r="U1690" s="24" t="n">
        <x:f>IFERROR(J1690/H1690,0)-IFERROR(K1690/I1690,0)</x:f>
        <x:v>0.06410256410256412</x:v>
      </x:c>
      <x:c r="V1690" s="24" t="n">
        <x:f>IFERROR(F1690/J1690,0)-IFERROR(G1690/K1690,0)</x:f>
        <x:v>0.3333333333333333</x:v>
      </x:c>
      <x:c r="W1690" s="28" t="n">
        <x:f>L1690-M1690</x:f>
        <x:v>8</x:v>
      </x:c>
      <x:c r="X1690" s="24" t="n">
        <x:f>IFERROR(K1690/I1690,0)</x:f>
        <x:v>0.16666666666666666</x:v>
      </x:c>
      <x:c r="Y1690" s="24" t="n">
        <x:f>IFERROR(G1690/I1690,0)</x:f>
        <x:v>0</x:v>
      </x:c>
      <x:c r="Z1690" s="24" t="n">
        <x:f>IFERROR(G1690/K1690,0)</x:f>
        <x:v>0</x:v>
      </x:c>
      <x:c r="AA1690" s="24" t="n">
        <x:f>IFERROR(F1690/H1690,0)-IFERROR(G1690/I1690,0)</x:f>
        <x:v>0.07692307692307693</x:v>
      </x:c>
      <x:c r="AB1690" s="28" t="n">
        <x:f>J1690-K1690</x:f>
        <x:v>5</x:v>
      </x:c>
      <x:c r="AC1690" s="32" t="n">
        <x:f>F1690-G1690</x:f>
        <x:v>2</x:v>
      </x:c>
    </x:row>
    <x:row r="1691">
      <x:c r="A1691" s="4" t="str">
        <x:v>2023-24</x:v>
      </x:c>
      <x:c r="B1691" s="20" t="n">
        <x:v>45220</x:v>
      </x:c>
      <x:c r="C1691" s="4" t="str">
        <x:v>Luton</x:v>
      </x:c>
      <x:c r="D1691" s="4" t="str">
        <x:v>Nott'm Forest</x:v>
      </x:c>
      <x:c r="E1691" s="4" t="str">
        <x:v>Away</x:v>
      </x:c>
      <x:c r="F1691" s="28" t="n">
        <x:v>2</x:v>
      </x:c>
      <x:c r="G1691" s="28" t="n">
        <x:v>2</x:v>
      </x:c>
      <x:c r="H1691" s="28" t="n">
        <x:v>13</x:v>
      </x:c>
      <x:c r="I1691" s="28" t="n">
        <x:v>19</x:v>
      </x:c>
      <x:c r="J1691" s="28" t="n">
        <x:v>4</x:v>
      </x:c>
      <x:c r="K1691" s="28" t="n">
        <x:v>8</x:v>
      </x:c>
      <x:c r="L1691" s="28" t="n">
        <x:v>2</x:v>
      </x:c>
      <x:c r="M1691" s="28" t="n">
        <x:v>4</x:v>
      </x:c>
      <x:c r="N1691" s="28" t="n">
        <x:v>0</x:v>
      </x:c>
      <x:c r="O1691" s="28" t="n">
        <x:v>0</x:v>
      </x:c>
      <x:c r="P1691" s="28" t="n">
        <x:v>1</x:v>
      </x:c>
      <x:c r="Q1691" s="24" t="n">
        <x:f>IFERROR(J1691/H1691,0)</x:f>
        <x:v>0.3076923076923077</x:v>
      </x:c>
      <x:c r="R1691" s="24" t="n">
        <x:f>IFERROR(F1691/H1691,0)</x:f>
        <x:v>0.15384615384615385</x:v>
      </x:c>
      <x:c r="S1691" s="24" t="n">
        <x:f>IFERROR(F1691/J1691,0)</x:f>
        <x:v>0.5</x:v>
      </x:c>
      <x:c r="T1691" s="28" t="n">
        <x:f>H1691-I1691</x:f>
        <x:v>-6</x:v>
      </x:c>
      <x:c r="U1691" s="24" t="n">
        <x:f>IFERROR(J1691/H1691,0)-IFERROR(K1691/I1691,0)</x:f>
        <x:v>-0.11336032388663964</x:v>
      </x:c>
      <x:c r="V1691" s="24" t="n">
        <x:f>IFERROR(F1691/J1691,0)-IFERROR(G1691/K1691,0)</x:f>
        <x:v>0.25</x:v>
      </x:c>
      <x:c r="W1691" s="28" t="n">
        <x:f>L1691-M1691</x:f>
        <x:v>-2</x:v>
      </x:c>
      <x:c r="X1691" s="24" t="n">
        <x:f>IFERROR(K1691/I1691,0)</x:f>
        <x:v>0.42105263157894735</x:v>
      </x:c>
      <x:c r="Y1691" s="24" t="n">
        <x:f>IFERROR(G1691/I1691,0)</x:f>
        <x:v>0.10526315789473684</x:v>
      </x:c>
      <x:c r="Z1691" s="24" t="n">
        <x:f>IFERROR(G1691/K1691,0)</x:f>
        <x:v>0.25</x:v>
      </x:c>
      <x:c r="AA1691" s="24" t="n">
        <x:f>IFERROR(F1691/H1691,0)-IFERROR(G1691/I1691,0)</x:f>
        <x:v>0.04858299595141702</x:v>
      </x:c>
      <x:c r="AB1691" s="28" t="n">
        <x:f>J1691-K1691</x:f>
        <x:v>-4</x:v>
      </x:c>
      <x:c r="AC1691" s="32" t="n">
        <x:f>F1691-G1691</x:f>
        <x:v>0</x:v>
      </x:c>
    </x:row>
    <x:row r="1692">
      <x:c r="A1692" s="4" t="str">
        <x:v>2023-24</x:v>
      </x:c>
      <x:c r="B1692" s="20" t="n">
        <x:v>45220</x:v>
      </x:c>
      <x:c r="C1692" s="4" t="str">
        <x:v>Man City</x:v>
      </x:c>
      <x:c r="D1692" s="4" t="str">
        <x:v>Brighton</x:v>
      </x:c>
      <x:c r="E1692" s="4" t="str">
        <x:v>Home</x:v>
      </x:c>
      <x:c r="F1692" s="28" t="n">
        <x:v>2</x:v>
      </x:c>
      <x:c r="G1692" s="28" t="n">
        <x:v>1</x:v>
      </x:c>
      <x:c r="H1692" s="28" t="n">
        <x:v>10</x:v>
      </x:c>
      <x:c r="I1692" s="28" t="n">
        <x:v>5</x:v>
      </x:c>
      <x:c r="J1692" s="28" t="n">
        <x:v>6</x:v>
      </x:c>
      <x:c r="K1692" s="28" t="n">
        <x:v>3</x:v>
      </x:c>
      <x:c r="L1692" s="28" t="n">
        <x:v>2</x:v>
      </x:c>
      <x:c r="M1692" s="28" t="n">
        <x:v>2</x:v>
      </x:c>
      <x:c r="N1692" s="28" t="n">
        <x:v>2</x:v>
      </x:c>
      <x:c r="O1692" s="28" t="n">
        <x:v>1</x:v>
      </x:c>
      <x:c r="P1692" s="28" t="n">
        <x:v>3</x:v>
      </x:c>
      <x:c r="Q1692" s="24" t="n">
        <x:f>IFERROR(J1692/H1692,0)</x:f>
        <x:v>0.6</x:v>
      </x:c>
      <x:c r="R1692" s="24" t="n">
        <x:f>IFERROR(F1692/H1692,0)</x:f>
        <x:v>0.2</x:v>
      </x:c>
      <x:c r="S1692" s="24" t="n">
        <x:f>IFERROR(F1692/J1692,0)</x:f>
        <x:v>0.3333333333333333</x:v>
      </x:c>
      <x:c r="T1692" s="28" t="n">
        <x:f>H1692-I1692</x:f>
        <x:v>5</x:v>
      </x:c>
      <x:c r="U1692" s="24" t="n">
        <x:f>IFERROR(J1692/H1692,0)-IFERROR(K1692/I1692,0)</x:f>
        <x:v>0</x:v>
      </x:c>
      <x:c r="V1692" s="24" t="n">
        <x:f>IFERROR(F1692/J1692,0)-IFERROR(G1692/K1692,0)</x:f>
        <x:v>0</x:v>
      </x:c>
      <x:c r="W1692" s="28" t="n">
        <x:f>L1692-M1692</x:f>
        <x:v>0</x:v>
      </x:c>
      <x:c r="X1692" s="24" t="n">
        <x:f>IFERROR(K1692/I1692,0)</x:f>
        <x:v>0.6</x:v>
      </x:c>
      <x:c r="Y1692" s="24" t="n">
        <x:f>IFERROR(G1692/I1692,0)</x:f>
        <x:v>0.2</x:v>
      </x:c>
      <x:c r="Z1692" s="24" t="n">
        <x:f>IFERROR(G1692/K1692,0)</x:f>
        <x:v>0.3333333333333333</x:v>
      </x:c>
      <x:c r="AA1692" s="24" t="n">
        <x:f>IFERROR(F1692/H1692,0)-IFERROR(G1692/I1692,0)</x:f>
        <x:v>0</x:v>
      </x:c>
      <x:c r="AB1692" s="28" t="n">
        <x:f>J1692-K1692</x:f>
        <x:v>3</x:v>
      </x:c>
      <x:c r="AC1692" s="32" t="n">
        <x:f>F1692-G1692</x:f>
        <x:v>1</x:v>
      </x:c>
    </x:row>
    <x:row r="1693">
      <x:c r="A1693" s="4" t="str">
        <x:v>2023-24</x:v>
      </x:c>
      <x:c r="B1693" s="20" t="n">
        <x:v>45220</x:v>
      </x:c>
      <x:c r="C1693" s="4" t="str">
        <x:v>Man United</x:v>
      </x:c>
      <x:c r="D1693" s="4" t="str">
        <x:v>Sheffield United</x:v>
      </x:c>
      <x:c r="E1693" s="4" t="str">
        <x:v>Away</x:v>
      </x:c>
      <x:c r="F1693" s="28" t="n">
        <x:v>2</x:v>
      </x:c>
      <x:c r="G1693" s="28" t="n">
        <x:v>1</x:v>
      </x:c>
      <x:c r="H1693" s="28" t="n">
        <x:v>14</x:v>
      </x:c>
      <x:c r="I1693" s="28" t="n">
        <x:v>12</x:v>
      </x:c>
      <x:c r="J1693" s="28" t="n">
        <x:v>5</x:v>
      </x:c>
      <x:c r="K1693" s="28" t="n">
        <x:v>6</x:v>
      </x:c>
      <x:c r="L1693" s="28" t="n">
        <x:v>4</x:v>
      </x:c>
      <x:c r="M1693" s="28" t="n">
        <x:v>5</x:v>
      </x:c>
      <x:c r="N1693" s="28" t="n">
        <x:v>1</x:v>
      </x:c>
      <x:c r="O1693" s="28" t="n">
        <x:v>0</x:v>
      </x:c>
      <x:c r="P1693" s="28" t="n">
        <x:v>3</x:v>
      </x:c>
      <x:c r="Q1693" s="24" t="n">
        <x:f>IFERROR(J1693/H1693,0)</x:f>
        <x:v>0.35714285714285715</x:v>
      </x:c>
      <x:c r="R1693" s="24" t="n">
        <x:f>IFERROR(F1693/H1693,0)</x:f>
        <x:v>0.14285714285714285</x:v>
      </x:c>
      <x:c r="S1693" s="24" t="n">
        <x:f>IFERROR(F1693/J1693,0)</x:f>
        <x:v>0.4</x:v>
      </x:c>
      <x:c r="T1693" s="28" t="n">
        <x:f>H1693-I1693</x:f>
        <x:v>2</x:v>
      </x:c>
      <x:c r="U1693" s="24" t="n">
        <x:f>IFERROR(J1693/H1693,0)-IFERROR(K1693/I1693,0)</x:f>
        <x:v>-0.14285714285714285</x:v>
      </x:c>
      <x:c r="V1693" s="24" t="n">
        <x:f>IFERROR(F1693/J1693,0)-IFERROR(G1693/K1693,0)</x:f>
        <x:v>0.23333333333333336</x:v>
      </x:c>
      <x:c r="W1693" s="28" t="n">
        <x:f>L1693-M1693</x:f>
        <x:v>-1</x:v>
      </x:c>
      <x:c r="X1693" s="24" t="n">
        <x:f>IFERROR(K1693/I1693,0)</x:f>
        <x:v>0.5</x:v>
      </x:c>
      <x:c r="Y1693" s="24" t="n">
        <x:f>IFERROR(G1693/I1693,0)</x:f>
        <x:v>0.08333333333333333</x:v>
      </x:c>
      <x:c r="Z1693" s="24" t="n">
        <x:f>IFERROR(G1693/K1693,0)</x:f>
        <x:v>0.16666666666666666</x:v>
      </x:c>
      <x:c r="AA1693" s="24" t="n">
        <x:f>IFERROR(F1693/H1693,0)-IFERROR(G1693/I1693,0)</x:f>
        <x:v>0.05952380952380952</x:v>
      </x:c>
      <x:c r="AB1693" s="28" t="n">
        <x:f>J1693-K1693</x:f>
        <x:v>-1</x:v>
      </x:c>
      <x:c r="AC1693" s="32" t="n">
        <x:f>F1693-G1693</x:f>
        <x:v>1</x:v>
      </x:c>
    </x:row>
    <x:row r="1694">
      <x:c r="A1694" s="4" t="str">
        <x:v>2023-24</x:v>
      </x:c>
      <x:c r="B1694" s="20" t="n">
        <x:v>45220</x:v>
      </x:c>
      <x:c r="C1694" s="4" t="str">
        <x:v>Newcastle</x:v>
      </x:c>
      <x:c r="D1694" s="4" t="str">
        <x:v>Crystal Palace</x:v>
      </x:c>
      <x:c r="E1694" s="4" t="str">
        <x:v>Home</x:v>
      </x:c>
      <x:c r="F1694" s="28" t="n">
        <x:v>4</x:v>
      </x:c>
      <x:c r="G1694" s="28" t="n">
        <x:v>0</x:v>
      </x:c>
      <x:c r="H1694" s="28" t="n">
        <x:v>10</x:v>
      </x:c>
      <x:c r="I1694" s="28" t="n">
        <x:v>17</x:v>
      </x:c>
      <x:c r="J1694" s="28" t="n">
        <x:v>7</x:v>
      </x:c>
      <x:c r="K1694" s="28" t="n">
        <x:v>3</x:v>
      </x:c>
      <x:c r="L1694" s="28" t="n">
        <x:v>6</x:v>
      </x:c>
      <x:c r="M1694" s="28" t="n">
        <x:v>8</x:v>
      </x:c>
      <x:c r="N1694" s="28" t="n">
        <x:v>2</x:v>
      </x:c>
      <x:c r="O1694" s="28" t="n">
        <x:v>0</x:v>
      </x:c>
      <x:c r="P1694" s="28" t="n">
        <x:v>3</x:v>
      </x:c>
      <x:c r="Q1694" s="24" t="n">
        <x:f>IFERROR(J1694/H1694,0)</x:f>
        <x:v>0.7</x:v>
      </x:c>
      <x:c r="R1694" s="24" t="n">
        <x:f>IFERROR(F1694/H1694,0)</x:f>
        <x:v>0.4</x:v>
      </x:c>
      <x:c r="S1694" s="24" t="n">
        <x:f>IFERROR(F1694/J1694,0)</x:f>
        <x:v>0.5714285714285714</x:v>
      </x:c>
      <x:c r="T1694" s="28" t="n">
        <x:f>H1694-I1694</x:f>
        <x:v>-7</x:v>
      </x:c>
      <x:c r="U1694" s="24" t="n">
        <x:f>IFERROR(J1694/H1694,0)-IFERROR(K1694/I1694,0)</x:f>
        <x:v>0.5235294117647058</x:v>
      </x:c>
      <x:c r="V1694" s="24" t="n">
        <x:f>IFERROR(F1694/J1694,0)-IFERROR(G1694/K1694,0)</x:f>
        <x:v>0.5714285714285714</x:v>
      </x:c>
      <x:c r="W1694" s="28" t="n">
        <x:f>L1694-M1694</x:f>
        <x:v>-2</x:v>
      </x:c>
      <x:c r="X1694" s="24" t="n">
        <x:f>IFERROR(K1694/I1694,0)</x:f>
        <x:v>0.17647058823529413</x:v>
      </x:c>
      <x:c r="Y1694" s="24" t="n">
        <x:f>IFERROR(G1694/I1694,0)</x:f>
        <x:v>0</x:v>
      </x:c>
      <x:c r="Z1694" s="24" t="n">
        <x:f>IFERROR(G1694/K1694,0)</x:f>
        <x:v>0</x:v>
      </x:c>
      <x:c r="AA1694" s="24" t="n">
        <x:f>IFERROR(F1694/H1694,0)-IFERROR(G1694/I1694,0)</x:f>
        <x:v>0.4</x:v>
      </x:c>
      <x:c r="AB1694" s="28" t="n">
        <x:f>J1694-K1694</x:f>
        <x:v>4</x:v>
      </x:c>
      <x:c r="AC1694" s="32" t="n">
        <x:f>F1694-G1694</x:f>
        <x:v>4</x:v>
      </x:c>
    </x:row>
    <x:row r="1695">
      <x:c r="A1695" s="4" t="str">
        <x:v>2023-24</x:v>
      </x:c>
      <x:c r="B1695" s="20" t="n">
        <x:v>45220</x:v>
      </x:c>
      <x:c r="C1695" s="4" t="str">
        <x:v>Nott'm Forest</x:v>
      </x:c>
      <x:c r="D1695" s="4" t="str">
        <x:v>Luton</x:v>
      </x:c>
      <x:c r="E1695" s="4" t="str">
        <x:v>Home</x:v>
      </x:c>
      <x:c r="F1695" s="28" t="n">
        <x:v>2</x:v>
      </x:c>
      <x:c r="G1695" s="28" t="n">
        <x:v>2</x:v>
      </x:c>
      <x:c r="H1695" s="28" t="n">
        <x:v>19</x:v>
      </x:c>
      <x:c r="I1695" s="28" t="n">
        <x:v>13</x:v>
      </x:c>
      <x:c r="J1695" s="28" t="n">
        <x:v>8</x:v>
      </x:c>
      <x:c r="K1695" s="28" t="n">
        <x:v>4</x:v>
      </x:c>
      <x:c r="L1695" s="28" t="n">
        <x:v>4</x:v>
      </x:c>
      <x:c r="M1695" s="28" t="n">
        <x:v>2</x:v>
      </x:c>
      <x:c r="N1695" s="28" t="n">
        <x:v>3</x:v>
      </x:c>
      <x:c r="O1695" s="28" t="n">
        <x:v>0</x:v>
      </x:c>
      <x:c r="P1695" s="28" t="n">
        <x:v>1</x:v>
      </x:c>
      <x:c r="Q1695" s="24" t="n">
        <x:f>IFERROR(J1695/H1695,0)</x:f>
        <x:v>0.42105263157894735</x:v>
      </x:c>
      <x:c r="R1695" s="24" t="n">
        <x:f>IFERROR(F1695/H1695,0)</x:f>
        <x:v>0.10526315789473684</x:v>
      </x:c>
      <x:c r="S1695" s="24" t="n">
        <x:f>IFERROR(F1695/J1695,0)</x:f>
        <x:v>0.25</x:v>
      </x:c>
      <x:c r="T1695" s="28" t="n">
        <x:f>H1695-I1695</x:f>
        <x:v>6</x:v>
      </x:c>
      <x:c r="U1695" s="24" t="n">
        <x:f>IFERROR(J1695/H1695,0)-IFERROR(K1695/I1695,0)</x:f>
        <x:v>0.11336032388663964</x:v>
      </x:c>
      <x:c r="V1695" s="24" t="n">
        <x:f>IFERROR(F1695/J1695,0)-IFERROR(G1695/K1695,0)</x:f>
        <x:v>-0.25</x:v>
      </x:c>
      <x:c r="W1695" s="28" t="n">
        <x:f>L1695-M1695</x:f>
        <x:v>2</x:v>
      </x:c>
      <x:c r="X1695" s="24" t="n">
        <x:f>IFERROR(K1695/I1695,0)</x:f>
        <x:v>0.3076923076923077</x:v>
      </x:c>
      <x:c r="Y1695" s="24" t="n">
        <x:f>IFERROR(G1695/I1695,0)</x:f>
        <x:v>0.15384615384615385</x:v>
      </x:c>
      <x:c r="Z1695" s="24" t="n">
        <x:f>IFERROR(G1695/K1695,0)</x:f>
        <x:v>0.5</x:v>
      </x:c>
      <x:c r="AA1695" s="24" t="n">
        <x:f>IFERROR(F1695/H1695,0)-IFERROR(G1695/I1695,0)</x:f>
        <x:v>-0.04858299595141702</x:v>
      </x:c>
      <x:c r="AB1695" s="28" t="n">
        <x:f>J1695-K1695</x:f>
        <x:v>4</x:v>
      </x:c>
      <x:c r="AC1695" s="32" t="n">
        <x:f>F1695-G1695</x:f>
        <x:v>0</x:v>
      </x:c>
    </x:row>
    <x:row r="1696">
      <x:c r="A1696" s="4" t="str">
        <x:v>2023-24</x:v>
      </x:c>
      <x:c r="B1696" s="20" t="n">
        <x:v>45220</x:v>
      </x:c>
      <x:c r="C1696" s="4" t="str">
        <x:v>Sheffield United</x:v>
      </x:c>
      <x:c r="D1696" s="4" t="str">
        <x:v>Man United</x:v>
      </x:c>
      <x:c r="E1696" s="4" t="str">
        <x:v>Home</x:v>
      </x:c>
      <x:c r="F1696" s="28" t="n">
        <x:v>1</x:v>
      </x:c>
      <x:c r="G1696" s="28" t="n">
        <x:v>2</x:v>
      </x:c>
      <x:c r="H1696" s="28" t="n">
        <x:v>12</x:v>
      </x:c>
      <x:c r="I1696" s="28" t="n">
        <x:v>14</x:v>
      </x:c>
      <x:c r="J1696" s="28" t="n">
        <x:v>6</x:v>
      </x:c>
      <x:c r="K1696" s="28" t="n">
        <x:v>5</x:v>
      </x:c>
      <x:c r="L1696" s="28" t="n">
        <x:v>5</x:v>
      </x:c>
      <x:c r="M1696" s="28" t="n">
        <x:v>4</x:v>
      </x:c>
      <x:c r="N1696" s="28" t="n">
        <x:v>3</x:v>
      </x:c>
      <x:c r="O1696" s="28" t="n">
        <x:v>0</x:v>
      </x:c>
      <x:c r="P1696" s="28" t="n">
        <x:v>0</x:v>
      </x:c>
      <x:c r="Q1696" s="24" t="n">
        <x:f>IFERROR(J1696/H1696,0)</x:f>
        <x:v>0.5</x:v>
      </x:c>
      <x:c r="R1696" s="24" t="n">
        <x:f>IFERROR(F1696/H1696,0)</x:f>
        <x:v>0.08333333333333333</x:v>
      </x:c>
      <x:c r="S1696" s="24" t="n">
        <x:f>IFERROR(F1696/J1696,0)</x:f>
        <x:v>0.16666666666666666</x:v>
      </x:c>
      <x:c r="T1696" s="28" t="n">
        <x:f>H1696-I1696</x:f>
        <x:v>-2</x:v>
      </x:c>
      <x:c r="U1696" s="24" t="n">
        <x:f>IFERROR(J1696/H1696,0)-IFERROR(K1696/I1696,0)</x:f>
        <x:v>0.14285714285714285</x:v>
      </x:c>
      <x:c r="V1696" s="24" t="n">
        <x:f>IFERROR(F1696/J1696,0)-IFERROR(G1696/K1696,0)</x:f>
        <x:v>-0.23333333333333336</x:v>
      </x:c>
      <x:c r="W1696" s="28" t="n">
        <x:f>L1696-M1696</x:f>
        <x:v>1</x:v>
      </x:c>
      <x:c r="X1696" s="24" t="n">
        <x:f>IFERROR(K1696/I1696,0)</x:f>
        <x:v>0.35714285714285715</x:v>
      </x:c>
      <x:c r="Y1696" s="24" t="n">
        <x:f>IFERROR(G1696/I1696,0)</x:f>
        <x:v>0.14285714285714285</x:v>
      </x:c>
      <x:c r="Z1696" s="24" t="n">
        <x:f>IFERROR(G1696/K1696,0)</x:f>
        <x:v>0.4</x:v>
      </x:c>
      <x:c r="AA1696" s="24" t="n">
        <x:f>IFERROR(F1696/H1696,0)-IFERROR(G1696/I1696,0)</x:f>
        <x:v>-0.05952380952380952</x:v>
      </x:c>
      <x:c r="AB1696" s="28" t="n">
        <x:f>J1696-K1696</x:f>
        <x:v>1</x:v>
      </x:c>
      <x:c r="AC1696" s="32" t="n">
        <x:f>F1696-G1696</x:f>
        <x:v>-1</x:v>
      </x:c>
    </x:row>
    <x:row r="1697">
      <x:c r="A1697" s="4" t="str">
        <x:v>2023-24</x:v>
      </x:c>
      <x:c r="B1697" s="20" t="n">
        <x:v>45220</x:v>
      </x:c>
      <x:c r="C1697" s="4" t="str">
        <x:v>Wolves</x:v>
      </x:c>
      <x:c r="D1697" s="4" t="str">
        <x:v>Bournemouth</x:v>
      </x:c>
      <x:c r="E1697" s="4" t="str">
        <x:v>Away</x:v>
      </x:c>
      <x:c r="F1697" s="28" t="n">
        <x:v>2</x:v>
      </x:c>
      <x:c r="G1697" s="28" t="n">
        <x:v>1</x:v>
      </x:c>
      <x:c r="H1697" s="28" t="n">
        <x:v>20</x:v>
      </x:c>
      <x:c r="I1697" s="28" t="n">
        <x:v>7</x:v>
      </x:c>
      <x:c r="J1697" s="28" t="n">
        <x:v>7</x:v>
      </x:c>
      <x:c r="K1697" s="28" t="n">
        <x:v>4</x:v>
      </x:c>
      <x:c r="L1697" s="28" t="n">
        <x:v>12</x:v>
      </x:c>
      <x:c r="M1697" s="28" t="n">
        <x:v>3</x:v>
      </x:c>
      <x:c r="N1697" s="28" t="n">
        <x:v>6</x:v>
      </x:c>
      <x:c r="O1697" s="28" t="n">
        <x:v>0</x:v>
      </x:c>
      <x:c r="P1697" s="28" t="n">
        <x:v>3</x:v>
      </x:c>
      <x:c r="Q1697" s="24" t="n">
        <x:f>IFERROR(J1697/H1697,0)</x:f>
        <x:v>0.35</x:v>
      </x:c>
      <x:c r="R1697" s="24" t="n">
        <x:f>IFERROR(F1697/H1697,0)</x:f>
        <x:v>0.1</x:v>
      </x:c>
      <x:c r="S1697" s="24" t="n">
        <x:f>IFERROR(F1697/J1697,0)</x:f>
        <x:v>0.2857142857142857</x:v>
      </x:c>
      <x:c r="T1697" s="28" t="n">
        <x:f>H1697-I1697</x:f>
        <x:v>13</x:v>
      </x:c>
      <x:c r="U1697" s="24" t="n">
        <x:f>IFERROR(J1697/H1697,0)-IFERROR(K1697/I1697,0)</x:f>
        <x:v>-0.22142857142857142</x:v>
      </x:c>
      <x:c r="V1697" s="24" t="n">
        <x:f>IFERROR(F1697/J1697,0)-IFERROR(G1697/K1697,0)</x:f>
        <x:v>0.0357142857142857</x:v>
      </x:c>
      <x:c r="W1697" s="28" t="n">
        <x:f>L1697-M1697</x:f>
        <x:v>9</x:v>
      </x:c>
      <x:c r="X1697" s="24" t="n">
        <x:f>IFERROR(K1697/I1697,0)</x:f>
        <x:v>0.5714285714285714</x:v>
      </x:c>
      <x:c r="Y1697" s="24" t="n">
        <x:f>IFERROR(G1697/I1697,0)</x:f>
        <x:v>0.14285714285714285</x:v>
      </x:c>
      <x:c r="Z1697" s="24" t="n">
        <x:f>IFERROR(G1697/K1697,0)</x:f>
        <x:v>0.25</x:v>
      </x:c>
      <x:c r="AA1697" s="24" t="n">
        <x:f>IFERROR(F1697/H1697,0)-IFERROR(G1697/I1697,0)</x:f>
        <x:v>-0.042857142857142844</x:v>
      </x:c>
      <x:c r="AB1697" s="28" t="n">
        <x:f>J1697-K1697</x:f>
        <x:v>3</x:v>
      </x:c>
      <x:c r="AC1697" s="32" t="n">
        <x:f>F1697-G1697</x:f>
        <x:v>1</x:v>
      </x:c>
    </x:row>
    <x:row r="1698">
      <x:c r="A1698" s="4" t="str">
        <x:v>2023-24</x:v>
      </x:c>
      <x:c r="B1698" s="20" t="n">
        <x:v>45221</x:v>
      </x:c>
      <x:c r="C1698" s="4" t="str">
        <x:v>Aston Villa</x:v>
      </x:c>
      <x:c r="D1698" s="4" t="str">
        <x:v>West Ham</x:v>
      </x:c>
      <x:c r="E1698" s="4" t="str">
        <x:v>Home</x:v>
      </x:c>
      <x:c r="F1698" s="28" t="n">
        <x:v>4</x:v>
      </x:c>
      <x:c r="G1698" s="28" t="n">
        <x:v>1</x:v>
      </x:c>
      <x:c r="H1698" s="28" t="n">
        <x:v>15</x:v>
      </x:c>
      <x:c r="I1698" s="28" t="n">
        <x:v>14</x:v>
      </x:c>
      <x:c r="J1698" s="28" t="n">
        <x:v>7</x:v>
      </x:c>
      <x:c r="K1698" s="28" t="n">
        <x:v>4</x:v>
      </x:c>
      <x:c r="L1698" s="28" t="n">
        <x:v>8</x:v>
      </x:c>
      <x:c r="M1698" s="28" t="n">
        <x:v>7</x:v>
      </x:c>
      <x:c r="N1698" s="28" t="n">
        <x:v>0</x:v>
      </x:c>
      <x:c r="O1698" s="28" t="n">
        <x:v>0</x:v>
      </x:c>
      <x:c r="P1698" s="28" t="n">
        <x:v>3</x:v>
      </x:c>
      <x:c r="Q1698" s="24" t="n">
        <x:f>IFERROR(J1698/H1698,0)</x:f>
        <x:v>0.4666666666666667</x:v>
      </x:c>
      <x:c r="R1698" s="24" t="n">
        <x:f>IFERROR(F1698/H1698,0)</x:f>
        <x:v>0.26666666666666666</x:v>
      </x:c>
      <x:c r="S1698" s="24" t="n">
        <x:f>IFERROR(F1698/J1698,0)</x:f>
        <x:v>0.5714285714285714</x:v>
      </x:c>
      <x:c r="T1698" s="28" t="n">
        <x:f>H1698-I1698</x:f>
        <x:v>1</x:v>
      </x:c>
      <x:c r="U1698" s="24" t="n">
        <x:f>IFERROR(J1698/H1698,0)-IFERROR(K1698/I1698,0)</x:f>
        <x:v>0.18095238095238098</x:v>
      </x:c>
      <x:c r="V1698" s="24" t="n">
        <x:f>IFERROR(F1698/J1698,0)-IFERROR(G1698/K1698,0)</x:f>
        <x:v>0.3214285714285714</x:v>
      </x:c>
      <x:c r="W1698" s="28" t="n">
        <x:f>L1698-M1698</x:f>
        <x:v>1</x:v>
      </x:c>
      <x:c r="X1698" s="24" t="n">
        <x:f>IFERROR(K1698/I1698,0)</x:f>
        <x:v>0.2857142857142857</x:v>
      </x:c>
      <x:c r="Y1698" s="24" t="n">
        <x:f>IFERROR(G1698/I1698,0)</x:f>
        <x:v>0.07142857142857142</x:v>
      </x:c>
      <x:c r="Z1698" s="24" t="n">
        <x:f>IFERROR(G1698/K1698,0)</x:f>
        <x:v>0.25</x:v>
      </x:c>
      <x:c r="AA1698" s="24" t="n">
        <x:f>IFERROR(F1698/H1698,0)-IFERROR(G1698/I1698,0)</x:f>
        <x:v>0.19523809523809524</x:v>
      </x:c>
      <x:c r="AB1698" s="28" t="n">
        <x:f>J1698-K1698</x:f>
        <x:v>3</x:v>
      </x:c>
      <x:c r="AC1698" s="32" t="n">
        <x:f>F1698-G1698</x:f>
        <x:v>3</x:v>
      </x:c>
    </x:row>
    <x:row r="1699">
      <x:c r="A1699" s="4" t="str">
        <x:v>2023-24</x:v>
      </x:c>
      <x:c r="B1699" s="20" t="n">
        <x:v>45221</x:v>
      </x:c>
      <x:c r="C1699" s="4" t="str">
        <x:v>West Ham</x:v>
      </x:c>
      <x:c r="D1699" s="4" t="str">
        <x:v>Aston Villa</x:v>
      </x:c>
      <x:c r="E1699" s="4" t="str">
        <x:v>Away</x:v>
      </x:c>
      <x:c r="F1699" s="28" t="n">
        <x:v>1</x:v>
      </x:c>
      <x:c r="G1699" s="28" t="n">
        <x:v>4</x:v>
      </x:c>
      <x:c r="H1699" s="28" t="n">
        <x:v>14</x:v>
      </x:c>
      <x:c r="I1699" s="28" t="n">
        <x:v>15</x:v>
      </x:c>
      <x:c r="J1699" s="28" t="n">
        <x:v>4</x:v>
      </x:c>
      <x:c r="K1699" s="28" t="n">
        <x:v>7</x:v>
      </x:c>
      <x:c r="L1699" s="28" t="n">
        <x:v>7</x:v>
      </x:c>
      <x:c r="M1699" s="28" t="n">
        <x:v>8</x:v>
      </x:c>
      <x:c r="N1699" s="28" t="n">
        <x:v>1</x:v>
      </x:c>
      <x:c r="O1699" s="28" t="n">
        <x:v>0</x:v>
      </x:c>
      <x:c r="P1699" s="28" t="n">
        <x:v>0</x:v>
      </x:c>
      <x:c r="Q1699" s="24" t="n">
        <x:f>IFERROR(J1699/H1699,0)</x:f>
        <x:v>0.2857142857142857</x:v>
      </x:c>
      <x:c r="R1699" s="24" t="n">
        <x:f>IFERROR(F1699/H1699,0)</x:f>
        <x:v>0.07142857142857142</x:v>
      </x:c>
      <x:c r="S1699" s="24" t="n">
        <x:f>IFERROR(F1699/J1699,0)</x:f>
        <x:v>0.25</x:v>
      </x:c>
      <x:c r="T1699" s="28" t="n">
        <x:f>H1699-I1699</x:f>
        <x:v>-1</x:v>
      </x:c>
      <x:c r="U1699" s="24" t="n">
        <x:f>IFERROR(J1699/H1699,0)-IFERROR(K1699/I1699,0)</x:f>
        <x:v>-0.18095238095238098</x:v>
      </x:c>
      <x:c r="V1699" s="24" t="n">
        <x:f>IFERROR(F1699/J1699,0)-IFERROR(G1699/K1699,0)</x:f>
        <x:v>-0.3214285714285714</x:v>
      </x:c>
      <x:c r="W1699" s="28" t="n">
        <x:f>L1699-M1699</x:f>
        <x:v>-1</x:v>
      </x:c>
      <x:c r="X1699" s="24" t="n">
        <x:f>IFERROR(K1699/I1699,0)</x:f>
        <x:v>0.4666666666666667</x:v>
      </x:c>
      <x:c r="Y1699" s="24" t="n">
        <x:f>IFERROR(G1699/I1699,0)</x:f>
        <x:v>0.26666666666666666</x:v>
      </x:c>
      <x:c r="Z1699" s="24" t="n">
        <x:f>IFERROR(G1699/K1699,0)</x:f>
        <x:v>0.5714285714285714</x:v>
      </x:c>
      <x:c r="AA1699" s="24" t="n">
        <x:f>IFERROR(F1699/H1699,0)-IFERROR(G1699/I1699,0)</x:f>
        <x:v>-0.19523809523809524</x:v>
      </x:c>
      <x:c r="AB1699" s="28" t="n">
        <x:f>J1699-K1699</x:f>
        <x:v>-3</x:v>
      </x:c>
      <x:c r="AC1699" s="32" t="n">
        <x:f>F1699-G1699</x:f>
        <x:v>-3</x:v>
      </x:c>
    </x:row>
    <x:row r="1700">
      <x:c r="A1700" s="4" t="str">
        <x:v>2023-24</x:v>
      </x:c>
      <x:c r="B1700" s="20" t="n">
        <x:v>45222</x:v>
      </x:c>
      <x:c r="C1700" s="4" t="str">
        <x:v>Fulham</x:v>
      </x:c>
      <x:c r="D1700" s="4" t="str">
        <x:v>Tottenham</x:v>
      </x:c>
      <x:c r="E1700" s="4" t="str">
        <x:v>Away</x:v>
      </x:c>
      <x:c r="F1700" s="28" t="n">
        <x:v>0</x:v>
      </x:c>
      <x:c r="G1700" s="28" t="n">
        <x:v>2</x:v>
      </x:c>
      <x:c r="H1700" s="28" t="n">
        <x:v>10</x:v>
      </x:c>
      <x:c r="I1700" s="28" t="n">
        <x:v>15</x:v>
      </x:c>
      <x:c r="J1700" s="28" t="n">
        <x:v>3</x:v>
      </x:c>
      <x:c r="K1700" s="28" t="n">
        <x:v>5</x:v>
      </x:c>
      <x:c r="L1700" s="28" t="n">
        <x:v>5</x:v>
      </x:c>
      <x:c r="M1700" s="28" t="n">
        <x:v>3</x:v>
      </x:c>
      <x:c r="N1700" s="28" t="n">
        <x:v>0</x:v>
      </x:c>
      <x:c r="O1700" s="28" t="n">
        <x:v>0</x:v>
      </x:c>
      <x:c r="P1700" s="28" t="n">
        <x:v>0</x:v>
      </x:c>
      <x:c r="Q1700" s="24" t="n">
        <x:f>IFERROR(J1700/H1700,0)</x:f>
        <x:v>0.3</x:v>
      </x:c>
      <x:c r="R1700" s="24" t="n">
        <x:f>IFERROR(F1700/H1700,0)</x:f>
        <x:v>0</x:v>
      </x:c>
      <x:c r="S1700" s="24" t="n">
        <x:f>IFERROR(F1700/J1700,0)</x:f>
        <x:v>0</x:v>
      </x:c>
      <x:c r="T1700" s="28" t="n">
        <x:f>H1700-I1700</x:f>
        <x:v>-5</x:v>
      </x:c>
      <x:c r="U1700" s="24" t="n">
        <x:f>IFERROR(J1700/H1700,0)-IFERROR(K1700/I1700,0)</x:f>
        <x:v>-0.033333333333333326</x:v>
      </x:c>
      <x:c r="V1700" s="24" t="n">
        <x:f>IFERROR(F1700/J1700,0)-IFERROR(G1700/K1700,0)</x:f>
        <x:v>-0.4</x:v>
      </x:c>
      <x:c r="W1700" s="28" t="n">
        <x:f>L1700-M1700</x:f>
        <x:v>2</x:v>
      </x:c>
      <x:c r="X1700" s="24" t="n">
        <x:f>IFERROR(K1700/I1700,0)</x:f>
        <x:v>0.3333333333333333</x:v>
      </x:c>
      <x:c r="Y1700" s="24" t="n">
        <x:f>IFERROR(G1700/I1700,0)</x:f>
        <x:v>0.13333333333333333</x:v>
      </x:c>
      <x:c r="Z1700" s="24" t="n">
        <x:f>IFERROR(G1700/K1700,0)</x:f>
        <x:v>0.4</x:v>
      </x:c>
      <x:c r="AA1700" s="24" t="n">
        <x:f>IFERROR(F1700/H1700,0)-IFERROR(G1700/I1700,0)</x:f>
        <x:v>-0.13333333333333333</x:v>
      </x:c>
      <x:c r="AB1700" s="28" t="n">
        <x:f>J1700-K1700</x:f>
        <x:v>-2</x:v>
      </x:c>
      <x:c r="AC1700" s="32" t="n">
        <x:f>F1700-G1700</x:f>
        <x:v>-2</x:v>
      </x:c>
    </x:row>
    <x:row r="1701">
      <x:c r="A1701" s="4" t="str">
        <x:v>2023-24</x:v>
      </x:c>
      <x:c r="B1701" s="20" t="n">
        <x:v>45222</x:v>
      </x:c>
      <x:c r="C1701" s="4" t="str">
        <x:v>Tottenham</x:v>
      </x:c>
      <x:c r="D1701" s="4" t="str">
        <x:v>Fulham</x:v>
      </x:c>
      <x:c r="E1701" s="4" t="str">
        <x:v>Home</x:v>
      </x:c>
      <x:c r="F1701" s="28" t="n">
        <x:v>2</x:v>
      </x:c>
      <x:c r="G1701" s="28" t="n">
        <x:v>0</x:v>
      </x:c>
      <x:c r="H1701" s="28" t="n">
        <x:v>15</x:v>
      </x:c>
      <x:c r="I1701" s="28" t="n">
        <x:v>10</x:v>
      </x:c>
      <x:c r="J1701" s="28" t="n">
        <x:v>5</x:v>
      </x:c>
      <x:c r="K1701" s="28" t="n">
        <x:v>3</x:v>
      </x:c>
      <x:c r="L1701" s="28" t="n">
        <x:v>3</x:v>
      </x:c>
      <x:c r="M1701" s="28" t="n">
        <x:v>5</x:v>
      </x:c>
      <x:c r="N1701" s="28" t="n">
        <x:v>2</x:v>
      </x:c>
      <x:c r="O1701" s="28" t="n">
        <x:v>0</x:v>
      </x:c>
      <x:c r="P1701" s="28" t="n">
        <x:v>3</x:v>
      </x:c>
      <x:c r="Q1701" s="24" t="n">
        <x:f>IFERROR(J1701/H1701,0)</x:f>
        <x:v>0.3333333333333333</x:v>
      </x:c>
      <x:c r="R1701" s="24" t="n">
        <x:f>IFERROR(F1701/H1701,0)</x:f>
        <x:v>0.13333333333333333</x:v>
      </x:c>
      <x:c r="S1701" s="24" t="n">
        <x:f>IFERROR(F1701/J1701,0)</x:f>
        <x:v>0.4</x:v>
      </x:c>
      <x:c r="T1701" s="28" t="n">
        <x:f>H1701-I1701</x:f>
        <x:v>5</x:v>
      </x:c>
      <x:c r="U1701" s="24" t="n">
        <x:f>IFERROR(J1701/H1701,0)-IFERROR(K1701/I1701,0)</x:f>
        <x:v>0.033333333333333326</x:v>
      </x:c>
      <x:c r="V1701" s="24" t="n">
        <x:f>IFERROR(F1701/J1701,0)-IFERROR(G1701/K1701,0)</x:f>
        <x:v>0.4</x:v>
      </x:c>
      <x:c r="W1701" s="28" t="n">
        <x:f>L1701-M1701</x:f>
        <x:v>-2</x:v>
      </x:c>
      <x:c r="X1701" s="24" t="n">
        <x:f>IFERROR(K1701/I1701,0)</x:f>
        <x:v>0.3</x:v>
      </x:c>
      <x:c r="Y1701" s="24" t="n">
        <x:f>IFERROR(G1701/I1701,0)</x:f>
        <x:v>0</x:v>
      </x:c>
      <x:c r="Z1701" s="24" t="n">
        <x:f>IFERROR(G1701/K1701,0)</x:f>
        <x:v>0</x:v>
      </x:c>
      <x:c r="AA1701" s="24" t="n">
        <x:f>IFERROR(F1701/H1701,0)-IFERROR(G1701/I1701,0)</x:f>
        <x:v>0.13333333333333333</x:v>
      </x:c>
      <x:c r="AB1701" s="28" t="n">
        <x:f>J1701-K1701</x:f>
        <x:v>2</x:v>
      </x:c>
      <x:c r="AC1701" s="32" t="n">
        <x:f>F1701-G1701</x:f>
        <x:v>2</x:v>
      </x:c>
    </x:row>
    <x:row r="1702">
      <x:c r="A1702" s="4" t="str">
        <x:v>2023-24</x:v>
      </x:c>
      <x:c r="B1702" s="20" t="n">
        <x:v>45226</x:v>
      </x:c>
      <x:c r="C1702" s="4" t="str">
        <x:v>Crystal Palace</x:v>
      </x:c>
      <x:c r="D1702" s="4" t="str">
        <x:v>Tottenham</x:v>
      </x:c>
      <x:c r="E1702" s="4" t="str">
        <x:v>Home</x:v>
      </x:c>
      <x:c r="F1702" s="28" t="n">
        <x:v>1</x:v>
      </x:c>
      <x:c r="G1702" s="28" t="n">
        <x:v>2</x:v>
      </x:c>
      <x:c r="H1702" s="28" t="n">
        <x:v>13</x:v>
      </x:c>
      <x:c r="I1702" s="28" t="n">
        <x:v>10</x:v>
      </x:c>
      <x:c r="J1702" s="28" t="n">
        <x:v>3</x:v>
      </x:c>
      <x:c r="K1702" s="28" t="n">
        <x:v>1</x:v>
      </x:c>
      <x:c r="L1702" s="28" t="n">
        <x:v>11</x:v>
      </x:c>
      <x:c r="M1702" s="28" t="n">
        <x:v>2</x:v>
      </x:c>
      <x:c r="N1702" s="28" t="n">
        <x:v>2</x:v>
      </x:c>
      <x:c r="O1702" s="28" t="n">
        <x:v>0</x:v>
      </x:c>
      <x:c r="P1702" s="28" t="n">
        <x:v>0</x:v>
      </x:c>
      <x:c r="Q1702" s="24" t="n">
        <x:f>IFERROR(J1702/H1702,0)</x:f>
        <x:v>0.23076923076923078</x:v>
      </x:c>
      <x:c r="R1702" s="24" t="n">
        <x:f>IFERROR(F1702/H1702,0)</x:f>
        <x:v>0.07692307692307693</x:v>
      </x:c>
      <x:c r="S1702" s="24" t="n">
        <x:f>IFERROR(F1702/J1702,0)</x:f>
        <x:v>0.3333333333333333</x:v>
      </x:c>
      <x:c r="T1702" s="28" t="n">
        <x:f>H1702-I1702</x:f>
        <x:v>3</x:v>
      </x:c>
      <x:c r="U1702" s="24" t="n">
        <x:f>IFERROR(J1702/H1702,0)-IFERROR(K1702/I1702,0)</x:f>
        <x:v>0.13076923076923078</x:v>
      </x:c>
      <x:c r="V1702" s="24" t="n">
        <x:f>IFERROR(F1702/J1702,0)-IFERROR(G1702/K1702,0)</x:f>
        <x:v>-1.6666666666666667</x:v>
      </x:c>
      <x:c r="W1702" s="28" t="n">
        <x:f>L1702-M1702</x:f>
        <x:v>9</x:v>
      </x:c>
      <x:c r="X1702" s="24" t="n">
        <x:f>IFERROR(K1702/I1702,0)</x:f>
        <x:v>0.1</x:v>
      </x:c>
      <x:c r="Y1702" s="24" t="n">
        <x:f>IFERROR(G1702/I1702,0)</x:f>
        <x:v>0.2</x:v>
      </x:c>
      <x:c r="Z1702" s="24" t="n">
        <x:f>IFERROR(G1702/K1702,0)</x:f>
        <x:v>2</x:v>
      </x:c>
      <x:c r="AA1702" s="24" t="n">
        <x:f>IFERROR(F1702/H1702,0)-IFERROR(G1702/I1702,0)</x:f>
        <x:v>-0.12307692307692308</x:v>
      </x:c>
      <x:c r="AB1702" s="28" t="n">
        <x:f>J1702-K1702</x:f>
        <x:v>2</x:v>
      </x:c>
      <x:c r="AC1702" s="32" t="n">
        <x:f>F1702-G1702</x:f>
        <x:v>-1</x:v>
      </x:c>
    </x:row>
    <x:row r="1703">
      <x:c r="A1703" s="4" t="str">
        <x:v>2023-24</x:v>
      </x:c>
      <x:c r="B1703" s="20" t="n">
        <x:v>45226</x:v>
      </x:c>
      <x:c r="C1703" s="4" t="str">
        <x:v>Tottenham</x:v>
      </x:c>
      <x:c r="D1703" s="4" t="str">
        <x:v>Crystal Palace</x:v>
      </x:c>
      <x:c r="E1703" s="4" t="str">
        <x:v>Away</x:v>
      </x:c>
      <x:c r="F1703" s="28" t="n">
        <x:v>2</x:v>
      </x:c>
      <x:c r="G1703" s="28" t="n">
        <x:v>1</x:v>
      </x:c>
      <x:c r="H1703" s="28" t="n">
        <x:v>10</x:v>
      </x:c>
      <x:c r="I1703" s="28" t="n">
        <x:v>13</x:v>
      </x:c>
      <x:c r="J1703" s="28" t="n">
        <x:v>1</x:v>
      </x:c>
      <x:c r="K1703" s="28" t="n">
        <x:v>3</x:v>
      </x:c>
      <x:c r="L1703" s="28" t="n">
        <x:v>2</x:v>
      </x:c>
      <x:c r="M1703" s="28" t="n">
        <x:v>11</x:v>
      </x:c>
      <x:c r="N1703" s="28" t="n">
        <x:v>1</x:v>
      </x:c>
      <x:c r="O1703" s="28" t="n">
        <x:v>0</x:v>
      </x:c>
      <x:c r="P1703" s="28" t="n">
        <x:v>3</x:v>
      </x:c>
      <x:c r="Q1703" s="24" t="n">
        <x:f>IFERROR(J1703/H1703,0)</x:f>
        <x:v>0.1</x:v>
      </x:c>
      <x:c r="R1703" s="24" t="n">
        <x:f>IFERROR(F1703/H1703,0)</x:f>
        <x:v>0.2</x:v>
      </x:c>
      <x:c r="S1703" s="24" t="n">
        <x:f>IFERROR(F1703/J1703,0)</x:f>
        <x:v>2</x:v>
      </x:c>
      <x:c r="T1703" s="28" t="n">
        <x:f>H1703-I1703</x:f>
        <x:v>-3</x:v>
      </x:c>
      <x:c r="U1703" s="24" t="n">
        <x:f>IFERROR(J1703/H1703,0)-IFERROR(K1703/I1703,0)</x:f>
        <x:v>-0.13076923076923078</x:v>
      </x:c>
      <x:c r="V1703" s="24" t="n">
        <x:f>IFERROR(F1703/J1703,0)-IFERROR(G1703/K1703,0)</x:f>
        <x:v>1.6666666666666667</x:v>
      </x:c>
      <x:c r="W1703" s="28" t="n">
        <x:f>L1703-M1703</x:f>
        <x:v>-9</x:v>
      </x:c>
      <x:c r="X1703" s="24" t="n">
        <x:f>IFERROR(K1703/I1703,0)</x:f>
        <x:v>0.23076923076923078</x:v>
      </x:c>
      <x:c r="Y1703" s="24" t="n">
        <x:f>IFERROR(G1703/I1703,0)</x:f>
        <x:v>0.07692307692307693</x:v>
      </x:c>
      <x:c r="Z1703" s="24" t="n">
        <x:f>IFERROR(G1703/K1703,0)</x:f>
        <x:v>0.3333333333333333</x:v>
      </x:c>
      <x:c r="AA1703" s="24" t="n">
        <x:f>IFERROR(F1703/H1703,0)-IFERROR(G1703/I1703,0)</x:f>
        <x:v>0.12307692307692308</x:v>
      </x:c>
      <x:c r="AB1703" s="28" t="n">
        <x:f>J1703-K1703</x:f>
        <x:v>-2</x:v>
      </x:c>
      <x:c r="AC1703" s="32" t="n">
        <x:f>F1703-G1703</x:f>
        <x:v>1</x:v>
      </x:c>
    </x:row>
    <x:row r="1704">
      <x:c r="A1704" s="4" t="str">
        <x:v>2023-24</x:v>
      </x:c>
      <x:c r="B1704" s="20" t="n">
        <x:v>45227</x:v>
      </x:c>
      <x:c r="C1704" s="4" t="str">
        <x:v>Arsenal</x:v>
      </x:c>
      <x:c r="D1704" s="4" t="str">
        <x:v>Sheffield United</x:v>
      </x:c>
      <x:c r="E1704" s="4" t="str">
        <x:v>Home</x:v>
      </x:c>
      <x:c r="F1704" s="28" t="n">
        <x:v>5</x:v>
      </x:c>
      <x:c r="G1704" s="28" t="n">
        <x:v>0</x:v>
      </x:c>
      <x:c r="H1704" s="28" t="n">
        <x:v>13</x:v>
      </x:c>
      <x:c r="I1704" s="28" t="n">
        <x:v>2</x:v>
      </x:c>
      <x:c r="J1704" s="28" t="n">
        <x:v>8</x:v>
      </x:c>
      <x:c r="K1704" s="28" t="n">
        <x:v>0</x:v>
      </x:c>
      <x:c r="L1704" s="28" t="n">
        <x:v>6</x:v>
      </x:c>
      <x:c r="M1704" s="28" t="n">
        <x:v>1</x:v>
      </x:c>
      <x:c r="N1704" s="28" t="n">
        <x:v>0</x:v>
      </x:c>
      <x:c r="O1704" s="28" t="n">
        <x:v>0</x:v>
      </x:c>
      <x:c r="P1704" s="28" t="n">
        <x:v>3</x:v>
      </x:c>
      <x:c r="Q1704" s="24" t="n">
        <x:f>IFERROR(J1704/H1704,0)</x:f>
        <x:v>0.6153846153846154</x:v>
      </x:c>
      <x:c r="R1704" s="24" t="n">
        <x:f>IFERROR(F1704/H1704,0)</x:f>
        <x:v>0.38461538461538464</x:v>
      </x:c>
      <x:c r="S1704" s="24" t="n">
        <x:f>IFERROR(F1704/J1704,0)</x:f>
        <x:v>0.625</x:v>
      </x:c>
      <x:c r="T1704" s="28" t="n">
        <x:f>H1704-I1704</x:f>
        <x:v>11</x:v>
      </x:c>
      <x:c r="U1704" s="24" t="n">
        <x:f>IFERROR(J1704/H1704,0)-IFERROR(K1704/I1704,0)</x:f>
        <x:v>0.6153846153846154</x:v>
      </x:c>
      <x:c r="V1704" s="24" t="n">
        <x:f>IFERROR(F1704/J1704,0)-IFERROR(G1704/K1704,0)</x:f>
        <x:v>0.625</x:v>
      </x:c>
      <x:c r="W1704" s="28" t="n">
        <x:f>L1704-M1704</x:f>
        <x:v>5</x:v>
      </x:c>
      <x:c r="X1704" s="24" t="n">
        <x:f>IFERROR(K1704/I1704,0)</x:f>
        <x:v>0</x:v>
      </x:c>
      <x:c r="Y1704" s="24" t="n">
        <x:f>IFERROR(G1704/I1704,0)</x:f>
        <x:v>0</x:v>
      </x:c>
      <x:c r="Z1704" s="24" t="n">
        <x:f>IFERROR(G1704/K1704,0)</x:f>
        <x:v>0</x:v>
      </x:c>
      <x:c r="AA1704" s="24" t="n">
        <x:f>IFERROR(F1704/H1704,0)-IFERROR(G1704/I1704,0)</x:f>
        <x:v>0.38461538461538464</x:v>
      </x:c>
      <x:c r="AB1704" s="28" t="n">
        <x:f>J1704-K1704</x:f>
        <x:v>8</x:v>
      </x:c>
      <x:c r="AC1704" s="32" t="n">
        <x:f>F1704-G1704</x:f>
        <x:v>5</x:v>
      </x:c>
    </x:row>
    <x:row r="1705">
      <x:c r="A1705" s="4" t="str">
        <x:v>2023-24</x:v>
      </x:c>
      <x:c r="B1705" s="20" t="n">
        <x:v>45227</x:v>
      </x:c>
      <x:c r="C1705" s="4" t="str">
        <x:v>Bournemouth</x:v>
      </x:c>
      <x:c r="D1705" s="4" t="str">
        <x:v>Burnley</x:v>
      </x:c>
      <x:c r="E1705" s="4" t="str">
        <x:v>Home</x:v>
      </x:c>
      <x:c r="F1705" s="28" t="n">
        <x:v>2</x:v>
      </x:c>
      <x:c r="G1705" s="28" t="n">
        <x:v>1</x:v>
      </x:c>
      <x:c r="H1705" s="28" t="n">
        <x:v>13</x:v>
      </x:c>
      <x:c r="I1705" s="28" t="n">
        <x:v>6</x:v>
      </x:c>
      <x:c r="J1705" s="28" t="n">
        <x:v>6</x:v>
      </x:c>
      <x:c r="K1705" s="28" t="n">
        <x:v>3</x:v>
      </x:c>
      <x:c r="L1705" s="28" t="n">
        <x:v>10</x:v>
      </x:c>
      <x:c r="M1705" s="28" t="n">
        <x:v>5</x:v>
      </x:c>
      <x:c r="N1705" s="28" t="n">
        <x:v>2</x:v>
      </x:c>
      <x:c r="O1705" s="28" t="n">
        <x:v>0</x:v>
      </x:c>
      <x:c r="P1705" s="28" t="n">
        <x:v>3</x:v>
      </x:c>
      <x:c r="Q1705" s="24" t="n">
        <x:f>IFERROR(J1705/H1705,0)</x:f>
        <x:v>0.46153846153846156</x:v>
      </x:c>
      <x:c r="R1705" s="24" t="n">
        <x:f>IFERROR(F1705/H1705,0)</x:f>
        <x:v>0.15384615384615385</x:v>
      </x:c>
      <x:c r="S1705" s="24" t="n">
        <x:f>IFERROR(F1705/J1705,0)</x:f>
        <x:v>0.3333333333333333</x:v>
      </x:c>
      <x:c r="T1705" s="28" t="n">
        <x:f>H1705-I1705</x:f>
        <x:v>7</x:v>
      </x:c>
      <x:c r="U1705" s="24" t="n">
        <x:f>IFERROR(J1705/H1705,0)-IFERROR(K1705/I1705,0)</x:f>
        <x:v>-0.038461538461538436</x:v>
      </x:c>
      <x:c r="V1705" s="24" t="n">
        <x:f>IFERROR(F1705/J1705,0)-IFERROR(G1705/K1705,0)</x:f>
        <x:v>0</x:v>
      </x:c>
      <x:c r="W1705" s="28" t="n">
        <x:f>L1705-M1705</x:f>
        <x:v>5</x:v>
      </x:c>
      <x:c r="X1705" s="24" t="n">
        <x:f>IFERROR(K1705/I1705,0)</x:f>
        <x:v>0.5</x:v>
      </x:c>
      <x:c r="Y1705" s="24" t="n">
        <x:f>IFERROR(G1705/I1705,0)</x:f>
        <x:v>0.16666666666666666</x:v>
      </x:c>
      <x:c r="Z1705" s="24" t="n">
        <x:f>IFERROR(G1705/K1705,0)</x:f>
        <x:v>0.3333333333333333</x:v>
      </x:c>
      <x:c r="AA1705" s="24" t="n">
        <x:f>IFERROR(F1705/H1705,0)-IFERROR(G1705/I1705,0)</x:f>
        <x:v>-0.012820512820512803</x:v>
      </x:c>
      <x:c r="AB1705" s="28" t="n">
        <x:f>J1705-K1705</x:f>
        <x:v>3</x:v>
      </x:c>
      <x:c r="AC1705" s="32" t="n">
        <x:f>F1705-G1705</x:f>
        <x:v>1</x:v>
      </x:c>
    </x:row>
    <x:row r="1706">
      <x:c r="A1706" s="4" t="str">
        <x:v>2023-24</x:v>
      </x:c>
      <x:c r="B1706" s="20" t="n">
        <x:v>45227</x:v>
      </x:c>
      <x:c r="C1706" s="4" t="str">
        <x:v>Brentford</x:v>
      </x:c>
      <x:c r="D1706" s="4" t="str">
        <x:v>Chelsea</x:v>
      </x:c>
      <x:c r="E1706" s="4" t="str">
        <x:v>Away</x:v>
      </x:c>
      <x:c r="F1706" s="28" t="n">
        <x:v>2</x:v>
      </x:c>
      <x:c r="G1706" s="28" t="n">
        <x:v>0</x:v>
      </x:c>
      <x:c r="H1706" s="28" t="n">
        <x:v>7</x:v>
      </x:c>
      <x:c r="I1706" s="28" t="n">
        <x:v>17</x:v>
      </x:c>
      <x:c r="J1706" s="28" t="n">
        <x:v>5</x:v>
      </x:c>
      <x:c r="K1706" s="28" t="n">
        <x:v>2</x:v>
      </x:c>
      <x:c r="L1706" s="28" t="n">
        <x:v>1</x:v>
      </x:c>
      <x:c r="M1706" s="28" t="n">
        <x:v>10</x:v>
      </x:c>
      <x:c r="N1706" s="28" t="n">
        <x:v>4</x:v>
      </x:c>
      <x:c r="O1706" s="28" t="n">
        <x:v>0</x:v>
      </x:c>
      <x:c r="P1706" s="28" t="n">
        <x:v>3</x:v>
      </x:c>
      <x:c r="Q1706" s="24" t="n">
        <x:f>IFERROR(J1706/H1706,0)</x:f>
        <x:v>0.7142857142857143</x:v>
      </x:c>
      <x:c r="R1706" s="24" t="n">
        <x:f>IFERROR(F1706/H1706,0)</x:f>
        <x:v>0.2857142857142857</x:v>
      </x:c>
      <x:c r="S1706" s="24" t="n">
        <x:f>IFERROR(F1706/J1706,0)</x:f>
        <x:v>0.4</x:v>
      </x:c>
      <x:c r="T1706" s="28" t="n">
        <x:f>H1706-I1706</x:f>
        <x:v>-10</x:v>
      </x:c>
      <x:c r="U1706" s="24" t="n">
        <x:f>IFERROR(J1706/H1706,0)-IFERROR(K1706/I1706,0)</x:f>
        <x:v>0.5966386554621849</x:v>
      </x:c>
      <x:c r="V1706" s="24" t="n">
        <x:f>IFERROR(F1706/J1706,0)-IFERROR(G1706/K1706,0)</x:f>
        <x:v>0.4</x:v>
      </x:c>
      <x:c r="W1706" s="28" t="n">
        <x:f>L1706-M1706</x:f>
        <x:v>-9</x:v>
      </x:c>
      <x:c r="X1706" s="24" t="n">
        <x:f>IFERROR(K1706/I1706,0)</x:f>
        <x:v>0.11764705882352941</x:v>
      </x:c>
      <x:c r="Y1706" s="24" t="n">
        <x:f>IFERROR(G1706/I1706,0)</x:f>
        <x:v>0</x:v>
      </x:c>
      <x:c r="Z1706" s="24" t="n">
        <x:f>IFERROR(G1706/K1706,0)</x:f>
        <x:v>0</x:v>
      </x:c>
      <x:c r="AA1706" s="24" t="n">
        <x:f>IFERROR(F1706/H1706,0)-IFERROR(G1706/I1706,0)</x:f>
        <x:v>0.2857142857142857</x:v>
      </x:c>
      <x:c r="AB1706" s="28" t="n">
        <x:f>J1706-K1706</x:f>
        <x:v>3</x:v>
      </x:c>
      <x:c r="AC1706" s="32" t="n">
        <x:f>F1706-G1706</x:f>
        <x:v>2</x:v>
      </x:c>
    </x:row>
    <x:row r="1707">
      <x:c r="A1707" s="4" t="str">
        <x:v>2023-24</x:v>
      </x:c>
      <x:c r="B1707" s="20" t="n">
        <x:v>45227</x:v>
      </x:c>
      <x:c r="C1707" s="4" t="str">
        <x:v>Burnley</x:v>
      </x:c>
      <x:c r="D1707" s="4" t="str">
        <x:v>Bournemouth</x:v>
      </x:c>
      <x:c r="E1707" s="4" t="str">
        <x:v>Away</x:v>
      </x:c>
      <x:c r="F1707" s="28" t="n">
        <x:v>1</x:v>
      </x:c>
      <x:c r="G1707" s="28" t="n">
        <x:v>2</x:v>
      </x:c>
      <x:c r="H1707" s="28" t="n">
        <x:v>6</x:v>
      </x:c>
      <x:c r="I1707" s="28" t="n">
        <x:v>13</x:v>
      </x:c>
      <x:c r="J1707" s="28" t="n">
        <x:v>3</x:v>
      </x:c>
      <x:c r="K1707" s="28" t="n">
        <x:v>6</x:v>
      </x:c>
      <x:c r="L1707" s="28" t="n">
        <x:v>5</x:v>
      </x:c>
      <x:c r="M1707" s="28" t="n">
        <x:v>10</x:v>
      </x:c>
      <x:c r="N1707" s="28" t="n">
        <x:v>3</x:v>
      </x:c>
      <x:c r="O1707" s="28" t="n">
        <x:v>0</x:v>
      </x:c>
      <x:c r="P1707" s="28" t="n">
        <x:v>0</x:v>
      </x:c>
      <x:c r="Q1707" s="24" t="n">
        <x:f>IFERROR(J1707/H1707,0)</x:f>
        <x:v>0.5</x:v>
      </x:c>
      <x:c r="R1707" s="24" t="n">
        <x:f>IFERROR(F1707/H1707,0)</x:f>
        <x:v>0.16666666666666666</x:v>
      </x:c>
      <x:c r="S1707" s="24" t="n">
        <x:f>IFERROR(F1707/J1707,0)</x:f>
        <x:v>0.3333333333333333</x:v>
      </x:c>
      <x:c r="T1707" s="28" t="n">
        <x:f>H1707-I1707</x:f>
        <x:v>-7</x:v>
      </x:c>
      <x:c r="U1707" s="24" t="n">
        <x:f>IFERROR(J1707/H1707,0)-IFERROR(K1707/I1707,0)</x:f>
        <x:v>0.038461538461538436</x:v>
      </x:c>
      <x:c r="V1707" s="24" t="n">
        <x:f>IFERROR(F1707/J1707,0)-IFERROR(G1707/K1707,0)</x:f>
        <x:v>0</x:v>
      </x:c>
      <x:c r="W1707" s="28" t="n">
        <x:f>L1707-M1707</x:f>
        <x:v>-5</x:v>
      </x:c>
      <x:c r="X1707" s="24" t="n">
        <x:f>IFERROR(K1707/I1707,0)</x:f>
        <x:v>0.46153846153846156</x:v>
      </x:c>
      <x:c r="Y1707" s="24" t="n">
        <x:f>IFERROR(G1707/I1707,0)</x:f>
        <x:v>0.15384615384615385</x:v>
      </x:c>
      <x:c r="Z1707" s="24" t="n">
        <x:f>IFERROR(G1707/K1707,0)</x:f>
        <x:v>0.3333333333333333</x:v>
      </x:c>
      <x:c r="AA1707" s="24" t="n">
        <x:f>IFERROR(F1707/H1707,0)-IFERROR(G1707/I1707,0)</x:f>
        <x:v>0.012820512820512803</x:v>
      </x:c>
      <x:c r="AB1707" s="28" t="n">
        <x:f>J1707-K1707</x:f>
        <x:v>-3</x:v>
      </x:c>
      <x:c r="AC1707" s="32" t="n">
        <x:f>F1707-G1707</x:f>
        <x:v>-1</x:v>
      </x:c>
    </x:row>
    <x:row r="1708">
      <x:c r="A1708" s="4" t="str">
        <x:v>2023-24</x:v>
      </x:c>
      <x:c r="B1708" s="20" t="n">
        <x:v>45227</x:v>
      </x:c>
      <x:c r="C1708" s="4" t="str">
        <x:v>Chelsea</x:v>
      </x:c>
      <x:c r="D1708" s="4" t="str">
        <x:v>Brentford</x:v>
      </x:c>
      <x:c r="E1708" s="4" t="str">
        <x:v>Home</x:v>
      </x:c>
      <x:c r="F1708" s="28" t="n">
        <x:v>0</x:v>
      </x:c>
      <x:c r="G1708" s="28" t="n">
        <x:v>2</x:v>
      </x:c>
      <x:c r="H1708" s="28" t="n">
        <x:v>17</x:v>
      </x:c>
      <x:c r="I1708" s="28" t="n">
        <x:v>7</x:v>
      </x:c>
      <x:c r="J1708" s="28" t="n">
        <x:v>2</x:v>
      </x:c>
      <x:c r="K1708" s="28" t="n">
        <x:v>5</x:v>
      </x:c>
      <x:c r="L1708" s="28" t="n">
        <x:v>10</x:v>
      </x:c>
      <x:c r="M1708" s="28" t="n">
        <x:v>1</x:v>
      </x:c>
      <x:c r="N1708" s="28" t="n">
        <x:v>1</x:v>
      </x:c>
      <x:c r="O1708" s="28" t="n">
        <x:v>0</x:v>
      </x:c>
      <x:c r="P1708" s="28" t="n">
        <x:v>0</x:v>
      </x:c>
      <x:c r="Q1708" s="24" t="n">
        <x:f>IFERROR(J1708/H1708,0)</x:f>
        <x:v>0.11764705882352941</x:v>
      </x:c>
      <x:c r="R1708" s="24" t="n">
        <x:f>IFERROR(F1708/H1708,0)</x:f>
        <x:v>0</x:v>
      </x:c>
      <x:c r="S1708" s="24" t="n">
        <x:f>IFERROR(F1708/J1708,0)</x:f>
        <x:v>0</x:v>
      </x:c>
      <x:c r="T1708" s="28" t="n">
        <x:f>H1708-I1708</x:f>
        <x:v>10</x:v>
      </x:c>
      <x:c r="U1708" s="24" t="n">
        <x:f>IFERROR(J1708/H1708,0)-IFERROR(K1708/I1708,0)</x:f>
        <x:v>-0.5966386554621849</x:v>
      </x:c>
      <x:c r="V1708" s="24" t="n">
        <x:f>IFERROR(F1708/J1708,0)-IFERROR(G1708/K1708,0)</x:f>
        <x:v>-0.4</x:v>
      </x:c>
      <x:c r="W1708" s="28" t="n">
        <x:f>L1708-M1708</x:f>
        <x:v>9</x:v>
      </x:c>
      <x:c r="X1708" s="24" t="n">
        <x:f>IFERROR(K1708/I1708,0)</x:f>
        <x:v>0.7142857142857143</x:v>
      </x:c>
      <x:c r="Y1708" s="24" t="n">
        <x:f>IFERROR(G1708/I1708,0)</x:f>
        <x:v>0.2857142857142857</x:v>
      </x:c>
      <x:c r="Z1708" s="24" t="n">
        <x:f>IFERROR(G1708/K1708,0)</x:f>
        <x:v>0.4</x:v>
      </x:c>
      <x:c r="AA1708" s="24" t="n">
        <x:f>IFERROR(F1708/H1708,0)-IFERROR(G1708/I1708,0)</x:f>
        <x:v>-0.2857142857142857</x:v>
      </x:c>
      <x:c r="AB1708" s="28" t="n">
        <x:f>J1708-K1708</x:f>
        <x:v>-3</x:v>
      </x:c>
      <x:c r="AC1708" s="32" t="n">
        <x:f>F1708-G1708</x:f>
        <x:v>-2</x:v>
      </x:c>
    </x:row>
    <x:row r="1709">
      <x:c r="A1709" s="4" t="str">
        <x:v>2023-24</x:v>
      </x:c>
      <x:c r="B1709" s="20" t="n">
        <x:v>45227</x:v>
      </x:c>
      <x:c r="C1709" s="4" t="str">
        <x:v>Newcastle</x:v>
      </x:c>
      <x:c r="D1709" s="4" t="str">
        <x:v>Wolves</x:v>
      </x:c>
      <x:c r="E1709" s="4" t="str">
        <x:v>Away</x:v>
      </x:c>
      <x:c r="F1709" s="28" t="n">
        <x:v>2</x:v>
      </x:c>
      <x:c r="G1709" s="28" t="n">
        <x:v>2</x:v>
      </x:c>
      <x:c r="H1709" s="28" t="n">
        <x:v>13</x:v>
      </x:c>
      <x:c r="I1709" s="28" t="n">
        <x:v>11</x:v>
      </x:c>
      <x:c r="J1709" s="28" t="n">
        <x:v>5</x:v>
      </x:c>
      <x:c r="K1709" s="28" t="n">
        <x:v>6</x:v>
      </x:c>
      <x:c r="L1709" s="28" t="n">
        <x:v>7</x:v>
      </x:c>
      <x:c r="M1709" s="28" t="n">
        <x:v>8</x:v>
      </x:c>
      <x:c r="N1709" s="28" t="n">
        <x:v>4</x:v>
      </x:c>
      <x:c r="O1709" s="28" t="n">
        <x:v>0</x:v>
      </x:c>
      <x:c r="P1709" s="28" t="n">
        <x:v>1</x:v>
      </x:c>
      <x:c r="Q1709" s="24" t="n">
        <x:f>IFERROR(J1709/H1709,0)</x:f>
        <x:v>0.38461538461538464</x:v>
      </x:c>
      <x:c r="R1709" s="24" t="n">
        <x:f>IFERROR(F1709/H1709,0)</x:f>
        <x:v>0.15384615384615385</x:v>
      </x:c>
      <x:c r="S1709" s="24" t="n">
        <x:f>IFERROR(F1709/J1709,0)</x:f>
        <x:v>0.4</x:v>
      </x:c>
      <x:c r="T1709" s="28" t="n">
        <x:f>H1709-I1709</x:f>
        <x:v>2</x:v>
      </x:c>
      <x:c r="U1709" s="24" t="n">
        <x:f>IFERROR(J1709/H1709,0)-IFERROR(K1709/I1709,0)</x:f>
        <x:v>-0.16083916083916078</x:v>
      </x:c>
      <x:c r="V1709" s="24" t="n">
        <x:f>IFERROR(F1709/J1709,0)-IFERROR(G1709/K1709,0)</x:f>
        <x:v>0.06666666666666671</x:v>
      </x:c>
      <x:c r="W1709" s="28" t="n">
        <x:f>L1709-M1709</x:f>
        <x:v>-1</x:v>
      </x:c>
      <x:c r="X1709" s="24" t="n">
        <x:f>IFERROR(K1709/I1709,0)</x:f>
        <x:v>0.5454545454545454</x:v>
      </x:c>
      <x:c r="Y1709" s="24" t="n">
        <x:f>IFERROR(G1709/I1709,0)</x:f>
        <x:v>0.18181818181818182</x:v>
      </x:c>
      <x:c r="Z1709" s="24" t="n">
        <x:f>IFERROR(G1709/K1709,0)</x:f>
        <x:v>0.3333333333333333</x:v>
      </x:c>
      <x:c r="AA1709" s="24" t="n">
        <x:f>IFERROR(F1709/H1709,0)-IFERROR(G1709/I1709,0)</x:f>
        <x:v>-0.02797202797202797</x:v>
      </x:c>
      <x:c r="AB1709" s="28" t="n">
        <x:f>J1709-K1709</x:f>
        <x:v>-1</x:v>
      </x:c>
      <x:c r="AC1709" s="32" t="n">
        <x:f>F1709-G1709</x:f>
        <x:v>0</x:v>
      </x:c>
    </x:row>
    <x:row r="1710">
      <x:c r="A1710" s="4" t="str">
        <x:v>2023-24</x:v>
      </x:c>
      <x:c r="B1710" s="20" t="n">
        <x:v>45227</x:v>
      </x:c>
      <x:c r="C1710" s="4" t="str">
        <x:v>Sheffield United</x:v>
      </x:c>
      <x:c r="D1710" s="4" t="str">
        <x:v>Arsenal</x:v>
      </x:c>
      <x:c r="E1710" s="4" t="str">
        <x:v>Away</x:v>
      </x:c>
      <x:c r="F1710" s="28" t="n">
        <x:v>0</x:v>
      </x:c>
      <x:c r="G1710" s="28" t="n">
        <x:v>5</x:v>
      </x:c>
      <x:c r="H1710" s="28" t="n">
        <x:v>2</x:v>
      </x:c>
      <x:c r="I1710" s="28" t="n">
        <x:v>13</x:v>
      </x:c>
      <x:c r="J1710" s="28" t="n">
        <x:v>0</x:v>
      </x:c>
      <x:c r="K1710" s="28" t="n">
        <x:v>8</x:v>
      </x:c>
      <x:c r="L1710" s="28" t="n">
        <x:v>1</x:v>
      </x:c>
      <x:c r="M1710" s="28" t="n">
        <x:v>6</x:v>
      </x:c>
      <x:c r="N1710" s="28" t="n">
        <x:v>3</x:v>
      </x:c>
      <x:c r="O1710" s="28" t="n">
        <x:v>0</x:v>
      </x:c>
      <x:c r="P1710" s="28" t="n">
        <x:v>0</x:v>
      </x:c>
      <x:c r="Q1710" s="24" t="n">
        <x:f>IFERROR(J1710/H1710,0)</x:f>
        <x:v>0</x:v>
      </x:c>
      <x:c r="R1710" s="24" t="n">
        <x:f>IFERROR(F1710/H1710,0)</x:f>
        <x:v>0</x:v>
      </x:c>
      <x:c r="S1710" s="24" t="n">
        <x:f>IFERROR(F1710/J1710,0)</x:f>
        <x:v>0</x:v>
      </x:c>
      <x:c r="T1710" s="28" t="n">
        <x:f>H1710-I1710</x:f>
        <x:v>-11</x:v>
      </x:c>
      <x:c r="U1710" s="24" t="n">
        <x:f>IFERROR(J1710/H1710,0)-IFERROR(K1710/I1710,0)</x:f>
        <x:v>-0.6153846153846154</x:v>
      </x:c>
      <x:c r="V1710" s="24" t="n">
        <x:f>IFERROR(F1710/J1710,0)-IFERROR(G1710/K1710,0)</x:f>
        <x:v>-0.625</x:v>
      </x:c>
      <x:c r="W1710" s="28" t="n">
        <x:f>L1710-M1710</x:f>
        <x:v>-5</x:v>
      </x:c>
      <x:c r="X1710" s="24" t="n">
        <x:f>IFERROR(K1710/I1710,0)</x:f>
        <x:v>0.6153846153846154</x:v>
      </x:c>
      <x:c r="Y1710" s="24" t="n">
        <x:f>IFERROR(G1710/I1710,0)</x:f>
        <x:v>0.38461538461538464</x:v>
      </x:c>
      <x:c r="Z1710" s="24" t="n">
        <x:f>IFERROR(G1710/K1710,0)</x:f>
        <x:v>0.625</x:v>
      </x:c>
      <x:c r="AA1710" s="24" t="n">
        <x:f>IFERROR(F1710/H1710,0)-IFERROR(G1710/I1710,0)</x:f>
        <x:v>-0.38461538461538464</x:v>
      </x:c>
      <x:c r="AB1710" s="28" t="n">
        <x:f>J1710-K1710</x:f>
        <x:v>-8</x:v>
      </x:c>
      <x:c r="AC1710" s="32" t="n">
        <x:f>F1710-G1710</x:f>
        <x:v>-5</x:v>
      </x:c>
    </x:row>
    <x:row r="1711">
      <x:c r="A1711" s="4" t="str">
        <x:v>2023-24</x:v>
      </x:c>
      <x:c r="B1711" s="20" t="n">
        <x:v>45227</x:v>
      </x:c>
      <x:c r="C1711" s="4" t="str">
        <x:v>Wolves</x:v>
      </x:c>
      <x:c r="D1711" s="4" t="str">
        <x:v>Newcastle</x:v>
      </x:c>
      <x:c r="E1711" s="4" t="str">
        <x:v>Home</x:v>
      </x:c>
      <x:c r="F1711" s="28" t="n">
        <x:v>2</x:v>
      </x:c>
      <x:c r="G1711" s="28" t="n">
        <x:v>2</x:v>
      </x:c>
      <x:c r="H1711" s="28" t="n">
        <x:v>11</x:v>
      </x:c>
      <x:c r="I1711" s="28" t="n">
        <x:v>13</x:v>
      </x:c>
      <x:c r="J1711" s="28" t="n">
        <x:v>6</x:v>
      </x:c>
      <x:c r="K1711" s="28" t="n">
        <x:v>5</x:v>
      </x:c>
      <x:c r="L1711" s="28" t="n">
        <x:v>8</x:v>
      </x:c>
      <x:c r="M1711" s="28" t="n">
        <x:v>7</x:v>
      </x:c>
      <x:c r="N1711" s="28" t="n">
        <x:v>1</x:v>
      </x:c>
      <x:c r="O1711" s="28" t="n">
        <x:v>0</x:v>
      </x:c>
      <x:c r="P1711" s="28" t="n">
        <x:v>1</x:v>
      </x:c>
      <x:c r="Q1711" s="24" t="n">
        <x:f>IFERROR(J1711/H1711,0)</x:f>
        <x:v>0.5454545454545454</x:v>
      </x:c>
      <x:c r="R1711" s="24" t="n">
        <x:f>IFERROR(F1711/H1711,0)</x:f>
        <x:v>0.18181818181818182</x:v>
      </x:c>
      <x:c r="S1711" s="24" t="n">
        <x:f>IFERROR(F1711/J1711,0)</x:f>
        <x:v>0.3333333333333333</x:v>
      </x:c>
      <x:c r="T1711" s="28" t="n">
        <x:f>H1711-I1711</x:f>
        <x:v>-2</x:v>
      </x:c>
      <x:c r="U1711" s="24" t="n">
        <x:f>IFERROR(J1711/H1711,0)-IFERROR(K1711/I1711,0)</x:f>
        <x:v>0.16083916083916078</x:v>
      </x:c>
      <x:c r="V1711" s="24" t="n">
        <x:f>IFERROR(F1711/J1711,0)-IFERROR(G1711/K1711,0)</x:f>
        <x:v>-0.06666666666666671</x:v>
      </x:c>
      <x:c r="W1711" s="28" t="n">
        <x:f>L1711-M1711</x:f>
        <x:v>1</x:v>
      </x:c>
      <x:c r="X1711" s="24" t="n">
        <x:f>IFERROR(K1711/I1711,0)</x:f>
        <x:v>0.38461538461538464</x:v>
      </x:c>
      <x:c r="Y1711" s="24" t="n">
        <x:f>IFERROR(G1711/I1711,0)</x:f>
        <x:v>0.15384615384615385</x:v>
      </x:c>
      <x:c r="Z1711" s="24" t="n">
        <x:f>IFERROR(G1711/K1711,0)</x:f>
        <x:v>0.4</x:v>
      </x:c>
      <x:c r="AA1711" s="24" t="n">
        <x:f>IFERROR(F1711/H1711,0)-IFERROR(G1711/I1711,0)</x:f>
        <x:v>0.02797202797202797</x:v>
      </x:c>
      <x:c r="AB1711" s="28" t="n">
        <x:f>J1711-K1711</x:f>
        <x:v>1</x:v>
      </x:c>
      <x:c r="AC1711" s="32" t="n">
        <x:f>F1711-G1711</x:f>
        <x:v>0</x:v>
      </x:c>
    </x:row>
    <x:row r="1712">
      <x:c r="A1712" s="4" t="str">
        <x:v>2023-24</x:v>
      </x:c>
      <x:c r="B1712" s="20" t="n">
        <x:v>45228</x:v>
      </x:c>
      <x:c r="C1712" s="4" t="str">
        <x:v>Aston Villa</x:v>
      </x:c>
      <x:c r="D1712" s="4" t="str">
        <x:v>Luton</x:v>
      </x:c>
      <x:c r="E1712" s="4" t="str">
        <x:v>Home</x:v>
      </x:c>
      <x:c r="F1712" s="28" t="n">
        <x:v>3</x:v>
      </x:c>
      <x:c r="G1712" s="28" t="n">
        <x:v>1</x:v>
      </x:c>
      <x:c r="H1712" s="28" t="n">
        <x:v>17</x:v>
      </x:c>
      <x:c r="I1712" s="28" t="n">
        <x:v>7</x:v>
      </x:c>
      <x:c r="J1712" s="28" t="n">
        <x:v>6</x:v>
      </x:c>
      <x:c r="K1712" s="28" t="n">
        <x:v>1</x:v>
      </x:c>
      <x:c r="L1712" s="28" t="n">
        <x:v>6</x:v>
      </x:c>
      <x:c r="M1712" s="28" t="n">
        <x:v>4</x:v>
      </x:c>
      <x:c r="N1712" s="28" t="n">
        <x:v>3</x:v>
      </x:c>
      <x:c r="O1712" s="28" t="n">
        <x:v>0</x:v>
      </x:c>
      <x:c r="P1712" s="28" t="n">
        <x:v>3</x:v>
      </x:c>
      <x:c r="Q1712" s="24" t="n">
        <x:f>IFERROR(J1712/H1712,0)</x:f>
        <x:v>0.35294117647058826</x:v>
      </x:c>
      <x:c r="R1712" s="24" t="n">
        <x:f>IFERROR(F1712/H1712,0)</x:f>
        <x:v>0.17647058823529413</x:v>
      </x:c>
      <x:c r="S1712" s="24" t="n">
        <x:f>IFERROR(F1712/J1712,0)</x:f>
        <x:v>0.5</x:v>
      </x:c>
      <x:c r="T1712" s="28" t="n">
        <x:f>H1712-I1712</x:f>
        <x:v>10</x:v>
      </x:c>
      <x:c r="U1712" s="24" t="n">
        <x:f>IFERROR(J1712/H1712,0)-IFERROR(K1712/I1712,0)</x:f>
        <x:v>0.2100840336134454</x:v>
      </x:c>
      <x:c r="V1712" s="24" t="n">
        <x:f>IFERROR(F1712/J1712,0)-IFERROR(G1712/K1712,0)</x:f>
        <x:v>-0.5</x:v>
      </x:c>
      <x:c r="W1712" s="28" t="n">
        <x:f>L1712-M1712</x:f>
        <x:v>2</x:v>
      </x:c>
      <x:c r="X1712" s="24" t="n">
        <x:f>IFERROR(K1712/I1712,0)</x:f>
        <x:v>0.14285714285714285</x:v>
      </x:c>
      <x:c r="Y1712" s="24" t="n">
        <x:f>IFERROR(G1712/I1712,0)</x:f>
        <x:v>0.14285714285714285</x:v>
      </x:c>
      <x:c r="Z1712" s="24" t="n">
        <x:f>IFERROR(G1712/K1712,0)</x:f>
        <x:v>1</x:v>
      </x:c>
      <x:c r="AA1712" s="24" t="n">
        <x:f>IFERROR(F1712/H1712,0)-IFERROR(G1712/I1712,0)</x:f>
        <x:v>0.03361344537815128</x:v>
      </x:c>
      <x:c r="AB1712" s="28" t="n">
        <x:f>J1712-K1712</x:f>
        <x:v>5</x:v>
      </x:c>
      <x:c r="AC1712" s="32" t="n">
        <x:f>F1712-G1712</x:f>
        <x:v>2</x:v>
      </x:c>
    </x:row>
    <x:row r="1713">
      <x:c r="A1713" s="4" t="str">
        <x:v>2023-24</x:v>
      </x:c>
      <x:c r="B1713" s="20" t="n">
        <x:v>45228</x:v>
      </x:c>
      <x:c r="C1713" s="4" t="str">
        <x:v>Brighton</x:v>
      </x:c>
      <x:c r="D1713" s="4" t="str">
        <x:v>Fulham</x:v>
      </x:c>
      <x:c r="E1713" s="4" t="str">
        <x:v>Home</x:v>
      </x:c>
      <x:c r="F1713" s="28" t="n">
        <x:v>1</x:v>
      </x:c>
      <x:c r="G1713" s="28" t="n">
        <x:v>1</x:v>
      </x:c>
      <x:c r="H1713" s="28" t="n">
        <x:v>18</x:v>
      </x:c>
      <x:c r="I1713" s="28" t="n">
        <x:v>10</x:v>
      </x:c>
      <x:c r="J1713" s="28" t="n">
        <x:v>7</x:v>
      </x:c>
      <x:c r="K1713" s="28" t="n">
        <x:v>5</x:v>
      </x:c>
      <x:c r="L1713" s="28" t="n">
        <x:v>7</x:v>
      </x:c>
      <x:c r="M1713" s="28" t="n">
        <x:v>3</x:v>
      </x:c>
      <x:c r="N1713" s="28" t="n">
        <x:v>0</x:v>
      </x:c>
      <x:c r="O1713" s="28" t="n">
        <x:v>0</x:v>
      </x:c>
      <x:c r="P1713" s="28" t="n">
        <x:v>1</x:v>
      </x:c>
      <x:c r="Q1713" s="24" t="n">
        <x:f>IFERROR(J1713/H1713,0)</x:f>
        <x:v>0.3888888888888889</x:v>
      </x:c>
      <x:c r="R1713" s="24" t="n">
        <x:f>IFERROR(F1713/H1713,0)</x:f>
        <x:v>0.05555555555555555</x:v>
      </x:c>
      <x:c r="S1713" s="24" t="n">
        <x:f>IFERROR(F1713/J1713,0)</x:f>
        <x:v>0.14285714285714285</x:v>
      </x:c>
      <x:c r="T1713" s="28" t="n">
        <x:f>H1713-I1713</x:f>
        <x:v>8</x:v>
      </x:c>
      <x:c r="U1713" s="24" t="n">
        <x:f>IFERROR(J1713/H1713,0)-IFERROR(K1713/I1713,0)</x:f>
        <x:v>-0.1111111111111111</x:v>
      </x:c>
      <x:c r="V1713" s="24" t="n">
        <x:f>IFERROR(F1713/J1713,0)-IFERROR(G1713/K1713,0)</x:f>
        <x:v>-0.05714285714285716</x:v>
      </x:c>
      <x:c r="W1713" s="28" t="n">
        <x:f>L1713-M1713</x:f>
        <x:v>4</x:v>
      </x:c>
      <x:c r="X1713" s="24" t="n">
        <x:f>IFERROR(K1713/I1713,0)</x:f>
        <x:v>0.5</x:v>
      </x:c>
      <x:c r="Y1713" s="24" t="n">
        <x:f>IFERROR(G1713/I1713,0)</x:f>
        <x:v>0.1</x:v>
      </x:c>
      <x:c r="Z1713" s="24" t="n">
        <x:f>IFERROR(G1713/K1713,0)</x:f>
        <x:v>0.2</x:v>
      </x:c>
      <x:c r="AA1713" s="24" t="n">
        <x:f>IFERROR(F1713/H1713,0)-IFERROR(G1713/I1713,0)</x:f>
        <x:v>-0.04444444444444445</x:v>
      </x:c>
      <x:c r="AB1713" s="28" t="n">
        <x:f>J1713-K1713</x:f>
        <x:v>2</x:v>
      </x:c>
      <x:c r="AC1713" s="32" t="n">
        <x:f>F1713-G1713</x:f>
        <x:v>0</x:v>
      </x:c>
    </x:row>
    <x:row r="1714">
      <x:c r="A1714" s="4" t="str">
        <x:v>2023-24</x:v>
      </x:c>
      <x:c r="B1714" s="20" t="n">
        <x:v>45228</x:v>
      </x:c>
      <x:c r="C1714" s="4" t="str">
        <x:v>Everton</x:v>
      </x:c>
      <x:c r="D1714" s="4" t="str">
        <x:v>West Ham</x:v>
      </x:c>
      <x:c r="E1714" s="4" t="str">
        <x:v>Away</x:v>
      </x:c>
      <x:c r="F1714" s="28" t="n">
        <x:v>1</x:v>
      </x:c>
      <x:c r="G1714" s="28" t="n">
        <x:v>0</x:v>
      </x:c>
      <x:c r="H1714" s="28" t="n">
        <x:v>10</x:v>
      </x:c>
      <x:c r="I1714" s="28" t="n">
        <x:v>12</x:v>
      </x:c>
      <x:c r="J1714" s="28" t="n">
        <x:v>4</x:v>
      </x:c>
      <x:c r="K1714" s="28" t="n">
        <x:v>2</x:v>
      </x:c>
      <x:c r="L1714" s="28" t="n">
        <x:v>3</x:v>
      </x:c>
      <x:c r="M1714" s="28" t="n">
        <x:v>4</x:v>
      </x:c>
      <x:c r="N1714" s="28" t="n">
        <x:v>1</x:v>
      </x:c>
      <x:c r="O1714" s="28" t="n">
        <x:v>0</x:v>
      </x:c>
      <x:c r="P1714" s="28" t="n">
        <x:v>3</x:v>
      </x:c>
      <x:c r="Q1714" s="24" t="n">
        <x:f>IFERROR(J1714/H1714,0)</x:f>
        <x:v>0.4</x:v>
      </x:c>
      <x:c r="R1714" s="24" t="n">
        <x:f>IFERROR(F1714/H1714,0)</x:f>
        <x:v>0.1</x:v>
      </x:c>
      <x:c r="S1714" s="24" t="n">
        <x:f>IFERROR(F1714/J1714,0)</x:f>
        <x:v>0.25</x:v>
      </x:c>
      <x:c r="T1714" s="28" t="n">
        <x:f>H1714-I1714</x:f>
        <x:v>-2</x:v>
      </x:c>
      <x:c r="U1714" s="24" t="n">
        <x:f>IFERROR(J1714/H1714,0)-IFERROR(K1714/I1714,0)</x:f>
        <x:v>0.23333333333333336</x:v>
      </x:c>
      <x:c r="V1714" s="24" t="n">
        <x:f>IFERROR(F1714/J1714,0)-IFERROR(G1714/K1714,0)</x:f>
        <x:v>0.25</x:v>
      </x:c>
      <x:c r="W1714" s="28" t="n">
        <x:f>L1714-M1714</x:f>
        <x:v>-1</x:v>
      </x:c>
      <x:c r="X1714" s="24" t="n">
        <x:f>IFERROR(K1714/I1714,0)</x:f>
        <x:v>0.16666666666666666</x:v>
      </x:c>
      <x:c r="Y1714" s="24" t="n">
        <x:f>IFERROR(G1714/I1714,0)</x:f>
        <x:v>0</x:v>
      </x:c>
      <x:c r="Z1714" s="24" t="n">
        <x:f>IFERROR(G1714/K1714,0)</x:f>
        <x:v>0</x:v>
      </x:c>
      <x:c r="AA1714" s="24" t="n">
        <x:f>IFERROR(F1714/H1714,0)-IFERROR(G1714/I1714,0)</x:f>
        <x:v>0.1</x:v>
      </x:c>
      <x:c r="AB1714" s="28" t="n">
        <x:f>J1714-K1714</x:f>
        <x:v>2</x:v>
      </x:c>
      <x:c r="AC1714" s="32" t="n">
        <x:f>F1714-G1714</x:f>
        <x:v>1</x:v>
      </x:c>
    </x:row>
    <x:row r="1715">
      <x:c r="A1715" s="4" t="str">
        <x:v>2023-24</x:v>
      </x:c>
      <x:c r="B1715" s="20" t="n">
        <x:v>45228</x:v>
      </x:c>
      <x:c r="C1715" s="4" t="str">
        <x:v>Fulham</x:v>
      </x:c>
      <x:c r="D1715" s="4" t="str">
        <x:v>Brighton</x:v>
      </x:c>
      <x:c r="E1715" s="4" t="str">
        <x:v>Away</x:v>
      </x:c>
      <x:c r="F1715" s="28" t="n">
        <x:v>1</x:v>
      </x:c>
      <x:c r="G1715" s="28" t="n">
        <x:v>1</x:v>
      </x:c>
      <x:c r="H1715" s="28" t="n">
        <x:v>10</x:v>
      </x:c>
      <x:c r="I1715" s="28" t="n">
        <x:v>18</x:v>
      </x:c>
      <x:c r="J1715" s="28" t="n">
        <x:v>5</x:v>
      </x:c>
      <x:c r="K1715" s="28" t="n">
        <x:v>7</x:v>
      </x:c>
      <x:c r="L1715" s="28" t="n">
        <x:v>3</x:v>
      </x:c>
      <x:c r="M1715" s="28" t="n">
        <x:v>7</x:v>
      </x:c>
      <x:c r="N1715" s="28" t="n">
        <x:v>3</x:v>
      </x:c>
      <x:c r="O1715" s="28" t="n">
        <x:v>0</x:v>
      </x:c>
      <x:c r="P1715" s="28" t="n">
        <x:v>1</x:v>
      </x:c>
      <x:c r="Q1715" s="24" t="n">
        <x:f>IFERROR(J1715/H1715,0)</x:f>
        <x:v>0.5</x:v>
      </x:c>
      <x:c r="R1715" s="24" t="n">
        <x:f>IFERROR(F1715/H1715,0)</x:f>
        <x:v>0.1</x:v>
      </x:c>
      <x:c r="S1715" s="24" t="n">
        <x:f>IFERROR(F1715/J1715,0)</x:f>
        <x:v>0.2</x:v>
      </x:c>
      <x:c r="T1715" s="28" t="n">
        <x:f>H1715-I1715</x:f>
        <x:v>-8</x:v>
      </x:c>
      <x:c r="U1715" s="24" t="n">
        <x:f>IFERROR(J1715/H1715,0)-IFERROR(K1715/I1715,0)</x:f>
        <x:v>0.1111111111111111</x:v>
      </x:c>
      <x:c r="V1715" s="24" t="n">
        <x:f>IFERROR(F1715/J1715,0)-IFERROR(G1715/K1715,0)</x:f>
        <x:v>0.05714285714285716</x:v>
      </x:c>
      <x:c r="W1715" s="28" t="n">
        <x:f>L1715-M1715</x:f>
        <x:v>-4</x:v>
      </x:c>
      <x:c r="X1715" s="24" t="n">
        <x:f>IFERROR(K1715/I1715,0)</x:f>
        <x:v>0.3888888888888889</x:v>
      </x:c>
      <x:c r="Y1715" s="24" t="n">
        <x:f>IFERROR(G1715/I1715,0)</x:f>
        <x:v>0.05555555555555555</x:v>
      </x:c>
      <x:c r="Z1715" s="24" t="n">
        <x:f>IFERROR(G1715/K1715,0)</x:f>
        <x:v>0.14285714285714285</x:v>
      </x:c>
      <x:c r="AA1715" s="24" t="n">
        <x:f>IFERROR(F1715/H1715,0)-IFERROR(G1715/I1715,0)</x:f>
        <x:v>0.04444444444444445</x:v>
      </x:c>
      <x:c r="AB1715" s="28" t="n">
        <x:f>J1715-K1715</x:f>
        <x:v>-2</x:v>
      </x:c>
      <x:c r="AC1715" s="32" t="n">
        <x:f>F1715-G1715</x:f>
        <x:v>0</x:v>
      </x:c>
    </x:row>
    <x:row r="1716">
      <x:c r="A1716" s="4" t="str">
        <x:v>2023-24</x:v>
      </x:c>
      <x:c r="B1716" s="20" t="n">
        <x:v>45228</x:v>
      </x:c>
      <x:c r="C1716" s="4" t="str">
        <x:v>Liverpool</x:v>
      </x:c>
      <x:c r="D1716" s="4" t="str">
        <x:v>Nott'm Forest</x:v>
      </x:c>
      <x:c r="E1716" s="4" t="str">
        <x:v>Home</x:v>
      </x:c>
      <x:c r="F1716" s="28" t="n">
        <x:v>3</x:v>
      </x:c>
      <x:c r="G1716" s="28" t="n">
        <x:v>0</x:v>
      </x:c>
      <x:c r="H1716" s="28" t="n">
        <x:v>21</x:v>
      </x:c>
      <x:c r="I1716" s="28" t="n">
        <x:v>9</x:v>
      </x:c>
      <x:c r="J1716" s="28" t="n">
        <x:v>8</x:v>
      </x:c>
      <x:c r="K1716" s="28" t="n">
        <x:v>1</x:v>
      </x:c>
      <x:c r="L1716" s="28" t="n">
        <x:v>8</x:v>
      </x:c>
      <x:c r="M1716" s="28" t="n">
        <x:v>3</x:v>
      </x:c>
      <x:c r="N1716" s="28" t="n">
        <x:v>2</x:v>
      </x:c>
      <x:c r="O1716" s="28" t="n">
        <x:v>0</x:v>
      </x:c>
      <x:c r="P1716" s="28" t="n">
        <x:v>3</x:v>
      </x:c>
      <x:c r="Q1716" s="24" t="n">
        <x:f>IFERROR(J1716/H1716,0)</x:f>
        <x:v>0.38095238095238093</x:v>
      </x:c>
      <x:c r="R1716" s="24" t="n">
        <x:f>IFERROR(F1716/H1716,0)</x:f>
        <x:v>0.14285714285714285</x:v>
      </x:c>
      <x:c r="S1716" s="24" t="n">
        <x:f>IFERROR(F1716/J1716,0)</x:f>
        <x:v>0.375</x:v>
      </x:c>
      <x:c r="T1716" s="28" t="n">
        <x:f>H1716-I1716</x:f>
        <x:v>12</x:v>
      </x:c>
      <x:c r="U1716" s="24" t="n">
        <x:f>IFERROR(J1716/H1716,0)-IFERROR(K1716/I1716,0)</x:f>
        <x:v>0.2698412698412698</x:v>
      </x:c>
      <x:c r="V1716" s="24" t="n">
        <x:f>IFERROR(F1716/J1716,0)-IFERROR(G1716/K1716,0)</x:f>
        <x:v>0.375</x:v>
      </x:c>
      <x:c r="W1716" s="28" t="n">
        <x:f>L1716-M1716</x:f>
        <x:v>5</x:v>
      </x:c>
      <x:c r="X1716" s="24" t="n">
        <x:f>IFERROR(K1716/I1716,0)</x:f>
        <x:v>0.1111111111111111</x:v>
      </x:c>
      <x:c r="Y1716" s="24" t="n">
        <x:f>IFERROR(G1716/I1716,0)</x:f>
        <x:v>0</x:v>
      </x:c>
      <x:c r="Z1716" s="24" t="n">
        <x:f>IFERROR(G1716/K1716,0)</x:f>
        <x:v>0</x:v>
      </x:c>
      <x:c r="AA1716" s="24" t="n">
        <x:f>IFERROR(F1716/H1716,0)-IFERROR(G1716/I1716,0)</x:f>
        <x:v>0.14285714285714285</x:v>
      </x:c>
      <x:c r="AB1716" s="28" t="n">
        <x:f>J1716-K1716</x:f>
        <x:v>7</x:v>
      </x:c>
      <x:c r="AC1716" s="32" t="n">
        <x:f>F1716-G1716</x:f>
        <x:v>3</x:v>
      </x:c>
    </x:row>
    <x:row r="1717">
      <x:c r="A1717" s="4" t="str">
        <x:v>2023-24</x:v>
      </x:c>
      <x:c r="B1717" s="20" t="n">
        <x:v>45228</x:v>
      </x:c>
      <x:c r="C1717" s="4" t="str">
        <x:v>Luton</x:v>
      </x:c>
      <x:c r="D1717" s="4" t="str">
        <x:v>Aston Villa</x:v>
      </x:c>
      <x:c r="E1717" s="4" t="str">
        <x:v>Away</x:v>
      </x:c>
      <x:c r="F1717" s="28" t="n">
        <x:v>1</x:v>
      </x:c>
      <x:c r="G1717" s="28" t="n">
        <x:v>3</x:v>
      </x:c>
      <x:c r="H1717" s="28" t="n">
        <x:v>7</x:v>
      </x:c>
      <x:c r="I1717" s="28" t="n">
        <x:v>17</x:v>
      </x:c>
      <x:c r="J1717" s="28" t="n">
        <x:v>1</x:v>
      </x:c>
      <x:c r="K1717" s="28" t="n">
        <x:v>6</x:v>
      </x:c>
      <x:c r="L1717" s="28" t="n">
        <x:v>4</x:v>
      </x:c>
      <x:c r="M1717" s="28" t="n">
        <x:v>6</x:v>
      </x:c>
      <x:c r="N1717" s="28" t="n">
        <x:v>2</x:v>
      </x:c>
      <x:c r="O1717" s="28" t="n">
        <x:v>0</x:v>
      </x:c>
      <x:c r="P1717" s="28" t="n">
        <x:v>0</x:v>
      </x:c>
      <x:c r="Q1717" s="24" t="n">
        <x:f>IFERROR(J1717/H1717,0)</x:f>
        <x:v>0.14285714285714285</x:v>
      </x:c>
      <x:c r="R1717" s="24" t="n">
        <x:f>IFERROR(F1717/H1717,0)</x:f>
        <x:v>0.14285714285714285</x:v>
      </x:c>
      <x:c r="S1717" s="24" t="n">
        <x:f>IFERROR(F1717/J1717,0)</x:f>
        <x:v>1</x:v>
      </x:c>
      <x:c r="T1717" s="28" t="n">
        <x:f>H1717-I1717</x:f>
        <x:v>-10</x:v>
      </x:c>
      <x:c r="U1717" s="24" t="n">
        <x:f>IFERROR(J1717/H1717,0)-IFERROR(K1717/I1717,0)</x:f>
        <x:v>-0.2100840336134454</x:v>
      </x:c>
      <x:c r="V1717" s="24" t="n">
        <x:f>IFERROR(F1717/J1717,0)-IFERROR(G1717/K1717,0)</x:f>
        <x:v>0.5</x:v>
      </x:c>
      <x:c r="W1717" s="28" t="n">
        <x:f>L1717-M1717</x:f>
        <x:v>-2</x:v>
      </x:c>
      <x:c r="X1717" s="24" t="n">
        <x:f>IFERROR(K1717/I1717,0)</x:f>
        <x:v>0.35294117647058826</x:v>
      </x:c>
      <x:c r="Y1717" s="24" t="n">
        <x:f>IFERROR(G1717/I1717,0)</x:f>
        <x:v>0.17647058823529413</x:v>
      </x:c>
      <x:c r="Z1717" s="24" t="n">
        <x:f>IFERROR(G1717/K1717,0)</x:f>
        <x:v>0.5</x:v>
      </x:c>
      <x:c r="AA1717" s="24" t="n">
        <x:f>IFERROR(F1717/H1717,0)-IFERROR(G1717/I1717,0)</x:f>
        <x:v>-0.03361344537815128</x:v>
      </x:c>
      <x:c r="AB1717" s="28" t="n">
        <x:f>J1717-K1717</x:f>
        <x:v>-5</x:v>
      </x:c>
      <x:c r="AC1717" s="32" t="n">
        <x:f>F1717-G1717</x:f>
        <x:v>-2</x:v>
      </x:c>
    </x:row>
    <x:row r="1718">
      <x:c r="A1718" s="4" t="str">
        <x:v>2023-24</x:v>
      </x:c>
      <x:c r="B1718" s="20" t="n">
        <x:v>45228</x:v>
      </x:c>
      <x:c r="C1718" s="4" t="str">
        <x:v>Man City</x:v>
      </x:c>
      <x:c r="D1718" s="4" t="str">
        <x:v>Man United</x:v>
      </x:c>
      <x:c r="E1718" s="4" t="str">
        <x:v>Away</x:v>
      </x:c>
      <x:c r="F1718" s="28" t="n">
        <x:v>3</x:v>
      </x:c>
      <x:c r="G1718" s="28" t="n">
        <x:v>0</x:v>
      </x:c>
      <x:c r="H1718" s="28" t="n">
        <x:v>21</x:v>
      </x:c>
      <x:c r="I1718" s="28" t="n">
        <x:v>7</x:v>
      </x:c>
      <x:c r="J1718" s="28" t="n">
        <x:v>10</x:v>
      </x:c>
      <x:c r="K1718" s="28" t="n">
        <x:v>3</x:v>
      </x:c>
      <x:c r="L1718" s="28" t="n">
        <x:v>12</x:v>
      </x:c>
      <x:c r="M1718" s="28" t="n">
        <x:v>7</x:v>
      </x:c>
      <x:c r="N1718" s="28" t="n">
        <x:v>1</x:v>
      </x:c>
      <x:c r="O1718" s="28" t="n">
        <x:v>0</x:v>
      </x:c>
      <x:c r="P1718" s="28" t="n">
        <x:v>3</x:v>
      </x:c>
      <x:c r="Q1718" s="24" t="n">
        <x:f>IFERROR(J1718/H1718,0)</x:f>
        <x:v>0.47619047619047616</x:v>
      </x:c>
      <x:c r="R1718" s="24" t="n">
        <x:f>IFERROR(F1718/H1718,0)</x:f>
        <x:v>0.14285714285714285</x:v>
      </x:c>
      <x:c r="S1718" s="24" t="n">
        <x:f>IFERROR(F1718/J1718,0)</x:f>
        <x:v>0.3</x:v>
      </x:c>
      <x:c r="T1718" s="28" t="n">
        <x:f>H1718-I1718</x:f>
        <x:v>14</x:v>
      </x:c>
      <x:c r="U1718" s="24" t="n">
        <x:f>IFERROR(J1718/H1718,0)-IFERROR(K1718/I1718,0)</x:f>
        <x:v>0.047619047619047616</x:v>
      </x:c>
      <x:c r="V1718" s="24" t="n">
        <x:f>IFERROR(F1718/J1718,0)-IFERROR(G1718/K1718,0)</x:f>
        <x:v>0.3</x:v>
      </x:c>
      <x:c r="W1718" s="28" t="n">
        <x:f>L1718-M1718</x:f>
        <x:v>5</x:v>
      </x:c>
      <x:c r="X1718" s="24" t="n">
        <x:f>IFERROR(K1718/I1718,0)</x:f>
        <x:v>0.42857142857142855</x:v>
      </x:c>
      <x:c r="Y1718" s="24" t="n">
        <x:f>IFERROR(G1718/I1718,0)</x:f>
        <x:v>0</x:v>
      </x:c>
      <x:c r="Z1718" s="24" t="n">
        <x:f>IFERROR(G1718/K1718,0)</x:f>
        <x:v>0</x:v>
      </x:c>
      <x:c r="AA1718" s="24" t="n">
        <x:f>IFERROR(F1718/H1718,0)-IFERROR(G1718/I1718,0)</x:f>
        <x:v>0.14285714285714285</x:v>
      </x:c>
      <x:c r="AB1718" s="28" t="n">
        <x:f>J1718-K1718</x:f>
        <x:v>7</x:v>
      </x:c>
      <x:c r="AC1718" s="32" t="n">
        <x:f>F1718-G1718</x:f>
        <x:v>3</x:v>
      </x:c>
    </x:row>
    <x:row r="1719">
      <x:c r="A1719" s="4" t="str">
        <x:v>2023-24</x:v>
      </x:c>
      <x:c r="B1719" s="20" t="n">
        <x:v>45228</x:v>
      </x:c>
      <x:c r="C1719" s="4" t="str">
        <x:v>Man United</x:v>
      </x:c>
      <x:c r="D1719" s="4" t="str">
        <x:v>Man City</x:v>
      </x:c>
      <x:c r="E1719" s="4" t="str">
        <x:v>Home</x:v>
      </x:c>
      <x:c r="F1719" s="28" t="n">
        <x:v>0</x:v>
      </x:c>
      <x:c r="G1719" s="28" t="n">
        <x:v>3</x:v>
      </x:c>
      <x:c r="H1719" s="28" t="n">
        <x:v>7</x:v>
      </x:c>
      <x:c r="I1719" s="28" t="n">
        <x:v>21</x:v>
      </x:c>
      <x:c r="J1719" s="28" t="n">
        <x:v>3</x:v>
      </x:c>
      <x:c r="K1719" s="28" t="n">
        <x:v>10</x:v>
      </x:c>
      <x:c r="L1719" s="28" t="n">
        <x:v>7</x:v>
      </x:c>
      <x:c r="M1719" s="28" t="n">
        <x:v>12</x:v>
      </x:c>
      <x:c r="N1719" s="28" t="n">
        <x:v>4</x:v>
      </x:c>
      <x:c r="O1719" s="28" t="n">
        <x:v>0</x:v>
      </x:c>
      <x:c r="P1719" s="28" t="n">
        <x:v>0</x:v>
      </x:c>
      <x:c r="Q1719" s="24" t="n">
        <x:f>IFERROR(J1719/H1719,0)</x:f>
        <x:v>0.42857142857142855</x:v>
      </x:c>
      <x:c r="R1719" s="24" t="n">
        <x:f>IFERROR(F1719/H1719,0)</x:f>
        <x:v>0</x:v>
      </x:c>
      <x:c r="S1719" s="24" t="n">
        <x:f>IFERROR(F1719/J1719,0)</x:f>
        <x:v>0</x:v>
      </x:c>
      <x:c r="T1719" s="28" t="n">
        <x:f>H1719-I1719</x:f>
        <x:v>-14</x:v>
      </x:c>
      <x:c r="U1719" s="24" t="n">
        <x:f>IFERROR(J1719/H1719,0)-IFERROR(K1719/I1719,0)</x:f>
        <x:v>-0.047619047619047616</x:v>
      </x:c>
      <x:c r="V1719" s="24" t="n">
        <x:f>IFERROR(F1719/J1719,0)-IFERROR(G1719/K1719,0)</x:f>
        <x:v>-0.3</x:v>
      </x:c>
      <x:c r="W1719" s="28" t="n">
        <x:f>L1719-M1719</x:f>
        <x:v>-5</x:v>
      </x:c>
      <x:c r="X1719" s="24" t="n">
        <x:f>IFERROR(K1719/I1719,0)</x:f>
        <x:v>0.47619047619047616</x:v>
      </x:c>
      <x:c r="Y1719" s="24" t="n">
        <x:f>IFERROR(G1719/I1719,0)</x:f>
        <x:v>0.14285714285714285</x:v>
      </x:c>
      <x:c r="Z1719" s="24" t="n">
        <x:f>IFERROR(G1719/K1719,0)</x:f>
        <x:v>0.3</x:v>
      </x:c>
      <x:c r="AA1719" s="24" t="n">
        <x:f>IFERROR(F1719/H1719,0)-IFERROR(G1719/I1719,0)</x:f>
        <x:v>-0.14285714285714285</x:v>
      </x:c>
      <x:c r="AB1719" s="28" t="n">
        <x:f>J1719-K1719</x:f>
        <x:v>-7</x:v>
      </x:c>
      <x:c r="AC1719" s="32" t="n">
        <x:f>F1719-G1719</x:f>
        <x:v>-3</x:v>
      </x:c>
    </x:row>
    <x:row r="1720">
      <x:c r="A1720" s="4" t="str">
        <x:v>2023-24</x:v>
      </x:c>
      <x:c r="B1720" s="20" t="n">
        <x:v>45228</x:v>
      </x:c>
      <x:c r="C1720" s="4" t="str">
        <x:v>Nott'm Forest</x:v>
      </x:c>
      <x:c r="D1720" s="4" t="str">
        <x:v>Liverpool</x:v>
      </x:c>
      <x:c r="E1720" s="4" t="str">
        <x:v>Away</x:v>
      </x:c>
      <x:c r="F1720" s="28" t="n">
        <x:v>0</x:v>
      </x:c>
      <x:c r="G1720" s="28" t="n">
        <x:v>3</x:v>
      </x:c>
      <x:c r="H1720" s="28" t="n">
        <x:v>9</x:v>
      </x:c>
      <x:c r="I1720" s="28" t="n">
        <x:v>21</x:v>
      </x:c>
      <x:c r="J1720" s="28" t="n">
        <x:v>1</x:v>
      </x:c>
      <x:c r="K1720" s="28" t="n">
        <x:v>8</x:v>
      </x:c>
      <x:c r="L1720" s="28" t="n">
        <x:v>3</x:v>
      </x:c>
      <x:c r="M1720" s="28" t="n">
        <x:v>8</x:v>
      </x:c>
      <x:c r="N1720" s="28" t="n">
        <x:v>3</x:v>
      </x:c>
      <x:c r="O1720" s="28" t="n">
        <x:v>0</x:v>
      </x:c>
      <x:c r="P1720" s="28" t="n">
        <x:v>0</x:v>
      </x:c>
      <x:c r="Q1720" s="24" t="n">
        <x:f>IFERROR(J1720/H1720,0)</x:f>
        <x:v>0.1111111111111111</x:v>
      </x:c>
      <x:c r="R1720" s="24" t="n">
        <x:f>IFERROR(F1720/H1720,0)</x:f>
        <x:v>0</x:v>
      </x:c>
      <x:c r="S1720" s="24" t="n">
        <x:f>IFERROR(F1720/J1720,0)</x:f>
        <x:v>0</x:v>
      </x:c>
      <x:c r="T1720" s="28" t="n">
        <x:f>H1720-I1720</x:f>
        <x:v>-12</x:v>
      </x:c>
      <x:c r="U1720" s="24" t="n">
        <x:f>IFERROR(J1720/H1720,0)-IFERROR(K1720/I1720,0)</x:f>
        <x:v>-0.2698412698412698</x:v>
      </x:c>
      <x:c r="V1720" s="24" t="n">
        <x:f>IFERROR(F1720/J1720,0)-IFERROR(G1720/K1720,0)</x:f>
        <x:v>-0.375</x:v>
      </x:c>
      <x:c r="W1720" s="28" t="n">
        <x:f>L1720-M1720</x:f>
        <x:v>-5</x:v>
      </x:c>
      <x:c r="X1720" s="24" t="n">
        <x:f>IFERROR(K1720/I1720,0)</x:f>
        <x:v>0.38095238095238093</x:v>
      </x:c>
      <x:c r="Y1720" s="24" t="n">
        <x:f>IFERROR(G1720/I1720,0)</x:f>
        <x:v>0.14285714285714285</x:v>
      </x:c>
      <x:c r="Z1720" s="24" t="n">
        <x:f>IFERROR(G1720/K1720,0)</x:f>
        <x:v>0.375</x:v>
      </x:c>
      <x:c r="AA1720" s="24" t="n">
        <x:f>IFERROR(F1720/H1720,0)-IFERROR(G1720/I1720,0)</x:f>
        <x:v>-0.14285714285714285</x:v>
      </x:c>
      <x:c r="AB1720" s="28" t="n">
        <x:f>J1720-K1720</x:f>
        <x:v>-7</x:v>
      </x:c>
      <x:c r="AC1720" s="32" t="n">
        <x:f>F1720-G1720</x:f>
        <x:v>-3</x:v>
      </x:c>
    </x:row>
    <x:row r="1721">
      <x:c r="A1721" s="4" t="str">
        <x:v>2023-24</x:v>
      </x:c>
      <x:c r="B1721" s="20" t="n">
        <x:v>45228</x:v>
      </x:c>
      <x:c r="C1721" s="4" t="str">
        <x:v>West Ham</x:v>
      </x:c>
      <x:c r="D1721" s="4" t="str">
        <x:v>Everton</x:v>
      </x:c>
      <x:c r="E1721" s="4" t="str">
        <x:v>Home</x:v>
      </x:c>
      <x:c r="F1721" s="28" t="n">
        <x:v>0</x:v>
      </x:c>
      <x:c r="G1721" s="28" t="n">
        <x:v>1</x:v>
      </x:c>
      <x:c r="H1721" s="28" t="n">
        <x:v>12</x:v>
      </x:c>
      <x:c r="I1721" s="28" t="n">
        <x:v>10</x:v>
      </x:c>
      <x:c r="J1721" s="28" t="n">
        <x:v>2</x:v>
      </x:c>
      <x:c r="K1721" s="28" t="n">
        <x:v>4</x:v>
      </x:c>
      <x:c r="L1721" s="28" t="n">
        <x:v>4</x:v>
      </x:c>
      <x:c r="M1721" s="28" t="n">
        <x:v>3</x:v>
      </x:c>
      <x:c r="N1721" s="28" t="n">
        <x:v>4</x:v>
      </x:c>
      <x:c r="O1721" s="28" t="n">
        <x:v>0</x:v>
      </x:c>
      <x:c r="P1721" s="28" t="n">
        <x:v>0</x:v>
      </x:c>
      <x:c r="Q1721" s="24" t="n">
        <x:f>IFERROR(J1721/H1721,0)</x:f>
        <x:v>0.16666666666666666</x:v>
      </x:c>
      <x:c r="R1721" s="24" t="n">
        <x:f>IFERROR(F1721/H1721,0)</x:f>
        <x:v>0</x:v>
      </x:c>
      <x:c r="S1721" s="24" t="n">
        <x:f>IFERROR(F1721/J1721,0)</x:f>
        <x:v>0</x:v>
      </x:c>
      <x:c r="T1721" s="28" t="n">
        <x:f>H1721-I1721</x:f>
        <x:v>2</x:v>
      </x:c>
      <x:c r="U1721" s="24" t="n">
        <x:f>IFERROR(J1721/H1721,0)-IFERROR(K1721/I1721,0)</x:f>
        <x:v>-0.23333333333333336</x:v>
      </x:c>
      <x:c r="V1721" s="24" t="n">
        <x:f>IFERROR(F1721/J1721,0)-IFERROR(G1721/K1721,0)</x:f>
        <x:v>-0.25</x:v>
      </x:c>
      <x:c r="W1721" s="28" t="n">
        <x:f>L1721-M1721</x:f>
        <x:v>1</x:v>
      </x:c>
      <x:c r="X1721" s="24" t="n">
        <x:f>IFERROR(K1721/I1721,0)</x:f>
        <x:v>0.4</x:v>
      </x:c>
      <x:c r="Y1721" s="24" t="n">
        <x:f>IFERROR(G1721/I1721,0)</x:f>
        <x:v>0.1</x:v>
      </x:c>
      <x:c r="Z1721" s="24" t="n">
        <x:f>IFERROR(G1721/K1721,0)</x:f>
        <x:v>0.25</x:v>
      </x:c>
      <x:c r="AA1721" s="24" t="n">
        <x:f>IFERROR(F1721/H1721,0)-IFERROR(G1721/I1721,0)</x:f>
        <x:v>-0.1</x:v>
      </x:c>
      <x:c r="AB1721" s="28" t="n">
        <x:f>J1721-K1721</x:f>
        <x:v>-2</x:v>
      </x:c>
      <x:c r="AC1721" s="32" t="n">
        <x:f>F1721-G1721</x:f>
        <x:v>-1</x:v>
      </x:c>
    </x:row>
    <x:row r="1722">
      <x:c r="A1722" s="4" t="str">
        <x:v>2023-24</x:v>
      </x:c>
      <x:c r="B1722" s="20" t="n">
        <x:v>45234</x:v>
      </x:c>
      <x:c r="C1722" s="4" t="str">
        <x:v>Arsenal</x:v>
      </x:c>
      <x:c r="D1722" s="4" t="str">
        <x:v>Newcastle</x:v>
      </x:c>
      <x:c r="E1722" s="4" t="str">
        <x:v>Away</x:v>
      </x:c>
      <x:c r="F1722" s="28" t="n">
        <x:v>0</x:v>
      </x:c>
      <x:c r="G1722" s="28" t="n">
        <x:v>1</x:v>
      </x:c>
      <x:c r="H1722" s="28" t="n">
        <x:v>14</x:v>
      </x:c>
      <x:c r="I1722" s="28" t="n">
        <x:v>9</x:v>
      </x:c>
      <x:c r="J1722" s="28" t="n">
        <x:v>1</x:v>
      </x:c>
      <x:c r="K1722" s="28" t="n">
        <x:v>2</x:v>
      </x:c>
      <x:c r="L1722" s="28" t="n">
        <x:v>11</x:v>
      </x:c>
      <x:c r="M1722" s="28" t="n">
        <x:v>0</x:v>
      </x:c>
      <x:c r="N1722" s="28" t="n">
        <x:v>1</x:v>
      </x:c>
      <x:c r="O1722" s="28" t="n">
        <x:v>0</x:v>
      </x:c>
      <x:c r="P1722" s="28" t="n">
        <x:v>0</x:v>
      </x:c>
      <x:c r="Q1722" s="24" t="n">
        <x:f>IFERROR(J1722/H1722,0)</x:f>
        <x:v>0.07142857142857142</x:v>
      </x:c>
      <x:c r="R1722" s="24" t="n">
        <x:f>IFERROR(F1722/H1722,0)</x:f>
        <x:v>0</x:v>
      </x:c>
      <x:c r="S1722" s="24" t="n">
        <x:f>IFERROR(F1722/J1722,0)</x:f>
        <x:v>0</x:v>
      </x:c>
      <x:c r="T1722" s="28" t="n">
        <x:f>H1722-I1722</x:f>
        <x:v>5</x:v>
      </x:c>
      <x:c r="U1722" s="24" t="n">
        <x:f>IFERROR(J1722/H1722,0)-IFERROR(K1722/I1722,0)</x:f>
        <x:v>-0.15079365079365079</x:v>
      </x:c>
      <x:c r="V1722" s="24" t="n">
        <x:f>IFERROR(F1722/J1722,0)-IFERROR(G1722/K1722,0)</x:f>
        <x:v>-0.5</x:v>
      </x:c>
      <x:c r="W1722" s="28" t="n">
        <x:f>L1722-M1722</x:f>
        <x:v>11</x:v>
      </x:c>
      <x:c r="X1722" s="24" t="n">
        <x:f>IFERROR(K1722/I1722,0)</x:f>
        <x:v>0.2222222222222222</x:v>
      </x:c>
      <x:c r="Y1722" s="24" t="n">
        <x:f>IFERROR(G1722/I1722,0)</x:f>
        <x:v>0.1111111111111111</x:v>
      </x:c>
      <x:c r="Z1722" s="24" t="n">
        <x:f>IFERROR(G1722/K1722,0)</x:f>
        <x:v>0.5</x:v>
      </x:c>
      <x:c r="AA1722" s="24" t="n">
        <x:f>IFERROR(F1722/H1722,0)-IFERROR(G1722/I1722,0)</x:f>
        <x:v>-0.1111111111111111</x:v>
      </x:c>
      <x:c r="AB1722" s="28" t="n">
        <x:f>J1722-K1722</x:f>
        <x:v>-1</x:v>
      </x:c>
      <x:c r="AC1722" s="32" t="n">
        <x:f>F1722-G1722</x:f>
        <x:v>-1</x:v>
      </x:c>
    </x:row>
    <x:row r="1723">
      <x:c r="A1723" s="4" t="str">
        <x:v>2023-24</x:v>
      </x:c>
      <x:c r="B1723" s="20" t="n">
        <x:v>45234</x:v>
      </x:c>
      <x:c r="C1723" s="4" t="str">
        <x:v>Bournemouth</x:v>
      </x:c>
      <x:c r="D1723" s="4" t="str">
        <x:v>Man City</x:v>
      </x:c>
      <x:c r="E1723" s="4" t="str">
        <x:v>Away</x:v>
      </x:c>
      <x:c r="F1723" s="28" t="n">
        <x:v>1</x:v>
      </x:c>
      <x:c r="G1723" s="28" t="n">
        <x:v>6</x:v>
      </x:c>
      <x:c r="H1723" s="28" t="n">
        <x:v>5</x:v>
      </x:c>
      <x:c r="I1723" s="28" t="n">
        <x:v>21</x:v>
      </x:c>
      <x:c r="J1723" s="28" t="n">
        <x:v>1</x:v>
      </x:c>
      <x:c r="K1723" s="28" t="n">
        <x:v>8</x:v>
      </x:c>
      <x:c r="L1723" s="28" t="n">
        <x:v>1</x:v>
      </x:c>
      <x:c r="M1723" s="28" t="n">
        <x:v>12</x:v>
      </x:c>
      <x:c r="N1723" s="28" t="n">
        <x:v>1</x:v>
      </x:c>
      <x:c r="O1723" s="28" t="n">
        <x:v>0</x:v>
      </x:c>
      <x:c r="P1723" s="28" t="n">
        <x:v>0</x:v>
      </x:c>
      <x:c r="Q1723" s="24" t="n">
        <x:f>IFERROR(J1723/H1723,0)</x:f>
        <x:v>0.2</x:v>
      </x:c>
      <x:c r="R1723" s="24" t="n">
        <x:f>IFERROR(F1723/H1723,0)</x:f>
        <x:v>0.2</x:v>
      </x:c>
      <x:c r="S1723" s="24" t="n">
        <x:f>IFERROR(F1723/J1723,0)</x:f>
        <x:v>1</x:v>
      </x:c>
      <x:c r="T1723" s="28" t="n">
        <x:f>H1723-I1723</x:f>
        <x:v>-16</x:v>
      </x:c>
      <x:c r="U1723" s="24" t="n">
        <x:f>IFERROR(J1723/H1723,0)-IFERROR(K1723/I1723,0)</x:f>
        <x:v>-0.18095238095238092</x:v>
      </x:c>
      <x:c r="V1723" s="24" t="n">
        <x:f>IFERROR(F1723/J1723,0)-IFERROR(G1723/K1723,0)</x:f>
        <x:v>0.25</x:v>
      </x:c>
      <x:c r="W1723" s="28" t="n">
        <x:f>L1723-M1723</x:f>
        <x:v>-11</x:v>
      </x:c>
      <x:c r="X1723" s="24" t="n">
        <x:f>IFERROR(K1723/I1723,0)</x:f>
        <x:v>0.38095238095238093</x:v>
      </x:c>
      <x:c r="Y1723" s="24" t="n">
        <x:f>IFERROR(G1723/I1723,0)</x:f>
        <x:v>0.2857142857142857</x:v>
      </x:c>
      <x:c r="Z1723" s="24" t="n">
        <x:f>IFERROR(G1723/K1723,0)</x:f>
        <x:v>0.75</x:v>
      </x:c>
      <x:c r="AA1723" s="24" t="n">
        <x:f>IFERROR(F1723/H1723,0)-IFERROR(G1723/I1723,0)</x:f>
        <x:v>-0.08571428571428569</x:v>
      </x:c>
      <x:c r="AB1723" s="28" t="n">
        <x:f>J1723-K1723</x:f>
        <x:v>-7</x:v>
      </x:c>
      <x:c r="AC1723" s="32" t="n">
        <x:f>F1723-G1723</x:f>
        <x:v>-5</x:v>
      </x:c>
    </x:row>
    <x:row r="1724">
      <x:c r="A1724" s="4" t="str">
        <x:v>2023-24</x:v>
      </x:c>
      <x:c r="B1724" s="20" t="n">
        <x:v>45234</x:v>
      </x:c>
      <x:c r="C1724" s="4" t="str">
        <x:v>Brentford</x:v>
      </x:c>
      <x:c r="D1724" s="4" t="str">
        <x:v>West Ham</x:v>
      </x:c>
      <x:c r="E1724" s="4" t="str">
        <x:v>Home</x:v>
      </x:c>
      <x:c r="F1724" s="28" t="n">
        <x:v>3</x:v>
      </x:c>
      <x:c r="G1724" s="28" t="n">
        <x:v>2</x:v>
      </x:c>
      <x:c r="H1724" s="28" t="n">
        <x:v>16</x:v>
      </x:c>
      <x:c r="I1724" s="28" t="n">
        <x:v>12</x:v>
      </x:c>
      <x:c r="J1724" s="28" t="n">
        <x:v>4</x:v>
      </x:c>
      <x:c r="K1724" s="28" t="n">
        <x:v>2</x:v>
      </x:c>
      <x:c r="L1724" s="28" t="n">
        <x:v>4</x:v>
      </x:c>
      <x:c r="M1724" s="28" t="n">
        <x:v>3</x:v>
      </x:c>
      <x:c r="N1724" s="28" t="n">
        <x:v>1</x:v>
      </x:c>
      <x:c r="O1724" s="28" t="n">
        <x:v>0</x:v>
      </x:c>
      <x:c r="P1724" s="28" t="n">
        <x:v>3</x:v>
      </x:c>
      <x:c r="Q1724" s="24" t="n">
        <x:f>IFERROR(J1724/H1724,0)</x:f>
        <x:v>0.25</x:v>
      </x:c>
      <x:c r="R1724" s="24" t="n">
        <x:f>IFERROR(F1724/H1724,0)</x:f>
        <x:v>0.1875</x:v>
      </x:c>
      <x:c r="S1724" s="24" t="n">
        <x:f>IFERROR(F1724/J1724,0)</x:f>
        <x:v>0.75</x:v>
      </x:c>
      <x:c r="T1724" s="28" t="n">
        <x:f>H1724-I1724</x:f>
        <x:v>4</x:v>
      </x:c>
      <x:c r="U1724" s="24" t="n">
        <x:f>IFERROR(J1724/H1724,0)-IFERROR(K1724/I1724,0)</x:f>
        <x:v>0.08333333333333334</x:v>
      </x:c>
      <x:c r="V1724" s="24" t="n">
        <x:f>IFERROR(F1724/J1724,0)-IFERROR(G1724/K1724,0)</x:f>
        <x:v>-0.25</x:v>
      </x:c>
      <x:c r="W1724" s="28" t="n">
        <x:f>L1724-M1724</x:f>
        <x:v>1</x:v>
      </x:c>
      <x:c r="X1724" s="24" t="n">
        <x:f>IFERROR(K1724/I1724,0)</x:f>
        <x:v>0.16666666666666666</x:v>
      </x:c>
      <x:c r="Y1724" s="24" t="n">
        <x:f>IFERROR(G1724/I1724,0)</x:f>
        <x:v>0.16666666666666666</x:v>
      </x:c>
      <x:c r="Z1724" s="24" t="n">
        <x:f>IFERROR(G1724/K1724,0)</x:f>
        <x:v>1</x:v>
      </x:c>
      <x:c r="AA1724" s="24" t="n">
        <x:f>IFERROR(F1724/H1724,0)-IFERROR(G1724/I1724,0)</x:f>
        <x:v>0.020833333333333343</x:v>
      </x:c>
      <x:c r="AB1724" s="28" t="n">
        <x:f>J1724-K1724</x:f>
        <x:v>2</x:v>
      </x:c>
      <x:c r="AC1724" s="32" t="n">
        <x:f>F1724-G1724</x:f>
        <x:v>1</x:v>
      </x:c>
    </x:row>
    <x:row r="1725">
      <x:c r="A1725" s="4" t="str">
        <x:v>2023-24</x:v>
      </x:c>
      <x:c r="B1725" s="20" t="n">
        <x:v>45234</x:v>
      </x:c>
      <x:c r="C1725" s="4" t="str">
        <x:v>Brighton</x:v>
      </x:c>
      <x:c r="D1725" s="4" t="str">
        <x:v>Everton</x:v>
      </x:c>
      <x:c r="E1725" s="4" t="str">
        <x:v>Away</x:v>
      </x:c>
      <x:c r="F1725" s="28" t="n">
        <x:v>1</x:v>
      </x:c>
      <x:c r="G1725" s="28" t="n">
        <x:v>1</x:v>
      </x:c>
      <x:c r="H1725" s="28" t="n">
        <x:v>7</x:v>
      </x:c>
      <x:c r="I1725" s="28" t="n">
        <x:v>10</x:v>
      </x:c>
      <x:c r="J1725" s="28" t="n">
        <x:v>2</x:v>
      </x:c>
      <x:c r="K1725" s="28" t="n">
        <x:v>4</x:v>
      </x:c>
      <x:c r="L1725" s="28" t="n">
        <x:v>3</x:v>
      </x:c>
      <x:c r="M1725" s="28" t="n">
        <x:v>3</x:v>
      </x:c>
      <x:c r="N1725" s="28" t="n">
        <x:v>2</x:v>
      </x:c>
      <x:c r="O1725" s="28" t="n">
        <x:v>0</x:v>
      </x:c>
      <x:c r="P1725" s="28" t="n">
        <x:v>1</x:v>
      </x:c>
      <x:c r="Q1725" s="24" t="n">
        <x:f>IFERROR(J1725/H1725,0)</x:f>
        <x:v>0.2857142857142857</x:v>
      </x:c>
      <x:c r="R1725" s="24" t="n">
        <x:f>IFERROR(F1725/H1725,0)</x:f>
        <x:v>0.14285714285714285</x:v>
      </x:c>
      <x:c r="S1725" s="24" t="n">
        <x:f>IFERROR(F1725/J1725,0)</x:f>
        <x:v>0.5</x:v>
      </x:c>
      <x:c r="T1725" s="28" t="n">
        <x:f>H1725-I1725</x:f>
        <x:v>-3</x:v>
      </x:c>
      <x:c r="U1725" s="24" t="n">
        <x:f>IFERROR(J1725/H1725,0)-IFERROR(K1725/I1725,0)</x:f>
        <x:v>-0.11428571428571432</x:v>
      </x:c>
      <x:c r="V1725" s="24" t="n">
        <x:f>IFERROR(F1725/J1725,0)-IFERROR(G1725/K1725,0)</x:f>
        <x:v>0.25</x:v>
      </x:c>
      <x:c r="W1725" s="28" t="n">
        <x:f>L1725-M1725</x:f>
        <x:v>0</x:v>
      </x:c>
      <x:c r="X1725" s="24" t="n">
        <x:f>IFERROR(K1725/I1725,0)</x:f>
        <x:v>0.4</x:v>
      </x:c>
      <x:c r="Y1725" s="24" t="n">
        <x:f>IFERROR(G1725/I1725,0)</x:f>
        <x:v>0.1</x:v>
      </x:c>
      <x:c r="Z1725" s="24" t="n">
        <x:f>IFERROR(G1725/K1725,0)</x:f>
        <x:v>0.25</x:v>
      </x:c>
      <x:c r="AA1725" s="24" t="n">
        <x:f>IFERROR(F1725/H1725,0)-IFERROR(G1725/I1725,0)</x:f>
        <x:v>0.042857142857142844</x:v>
      </x:c>
      <x:c r="AB1725" s="28" t="n">
        <x:f>J1725-K1725</x:f>
        <x:v>-2</x:v>
      </x:c>
      <x:c r="AC1725" s="32" t="n">
        <x:f>F1725-G1725</x:f>
        <x:v>0</x:v>
      </x:c>
    </x:row>
    <x:row r="1726">
      <x:c r="A1726" s="4" t="str">
        <x:v>2023-24</x:v>
      </x:c>
      <x:c r="B1726" s="20" t="n">
        <x:v>45234</x:v>
      </x:c>
      <x:c r="C1726" s="4" t="str">
        <x:v>Burnley</x:v>
      </x:c>
      <x:c r="D1726" s="4" t="str">
        <x:v>Crystal Palace</x:v>
      </x:c>
      <x:c r="E1726" s="4" t="str">
        <x:v>Home</x:v>
      </x:c>
      <x:c r="F1726" s="28" t="n">
        <x:v>0</x:v>
      </x:c>
      <x:c r="G1726" s="28" t="n">
        <x:v>2</x:v>
      </x:c>
      <x:c r="H1726" s="28" t="n">
        <x:v>17</x:v>
      </x:c>
      <x:c r="I1726" s="28" t="n">
        <x:v>4</x:v>
      </x:c>
      <x:c r="J1726" s="28" t="n">
        <x:v>5</x:v>
      </x:c>
      <x:c r="K1726" s="28" t="n">
        <x:v>3</x:v>
      </x:c>
      <x:c r="L1726" s="28" t="n">
        <x:v>12</x:v>
      </x:c>
      <x:c r="M1726" s="28" t="n">
        <x:v>1</x:v>
      </x:c>
      <x:c r="N1726" s="28" t="n">
        <x:v>0</x:v>
      </x:c>
      <x:c r="O1726" s="28" t="n">
        <x:v>0</x:v>
      </x:c>
      <x:c r="P1726" s="28" t="n">
        <x:v>0</x:v>
      </x:c>
      <x:c r="Q1726" s="24" t="n">
        <x:f>IFERROR(J1726/H1726,0)</x:f>
        <x:v>0.29411764705882354</x:v>
      </x:c>
      <x:c r="R1726" s="24" t="n">
        <x:f>IFERROR(F1726/H1726,0)</x:f>
        <x:v>0</x:v>
      </x:c>
      <x:c r="S1726" s="24" t="n">
        <x:f>IFERROR(F1726/J1726,0)</x:f>
        <x:v>0</x:v>
      </x:c>
      <x:c r="T1726" s="28" t="n">
        <x:f>H1726-I1726</x:f>
        <x:v>13</x:v>
      </x:c>
      <x:c r="U1726" s="24" t="n">
        <x:f>IFERROR(J1726/H1726,0)-IFERROR(K1726/I1726,0)</x:f>
        <x:v>-0.45588235294117646</x:v>
      </x:c>
      <x:c r="V1726" s="24" t="n">
        <x:f>IFERROR(F1726/J1726,0)-IFERROR(G1726/K1726,0)</x:f>
        <x:v>-0.6666666666666666</x:v>
      </x:c>
      <x:c r="W1726" s="28" t="n">
        <x:f>L1726-M1726</x:f>
        <x:v>11</x:v>
      </x:c>
      <x:c r="X1726" s="24" t="n">
        <x:f>IFERROR(K1726/I1726,0)</x:f>
        <x:v>0.75</x:v>
      </x:c>
      <x:c r="Y1726" s="24" t="n">
        <x:f>IFERROR(G1726/I1726,0)</x:f>
        <x:v>0.5</x:v>
      </x:c>
      <x:c r="Z1726" s="24" t="n">
        <x:f>IFERROR(G1726/K1726,0)</x:f>
        <x:v>0.6666666666666666</x:v>
      </x:c>
      <x:c r="AA1726" s="24" t="n">
        <x:f>IFERROR(F1726/H1726,0)-IFERROR(G1726/I1726,0)</x:f>
        <x:v>-0.5</x:v>
      </x:c>
      <x:c r="AB1726" s="28" t="n">
        <x:f>J1726-K1726</x:f>
        <x:v>2</x:v>
      </x:c>
      <x:c r="AC1726" s="32" t="n">
        <x:f>F1726-G1726</x:f>
        <x:v>-2</x:v>
      </x:c>
    </x:row>
    <x:row r="1727">
      <x:c r="A1727" s="4" t="str">
        <x:v>2023-24</x:v>
      </x:c>
      <x:c r="B1727" s="20" t="n">
        <x:v>45234</x:v>
      </x:c>
      <x:c r="C1727" s="4" t="str">
        <x:v>Crystal Palace</x:v>
      </x:c>
      <x:c r="D1727" s="4" t="str">
        <x:v>Burnley</x:v>
      </x:c>
      <x:c r="E1727" s="4" t="str">
        <x:v>Away</x:v>
      </x:c>
      <x:c r="F1727" s="28" t="n">
        <x:v>2</x:v>
      </x:c>
      <x:c r="G1727" s="28" t="n">
        <x:v>0</x:v>
      </x:c>
      <x:c r="H1727" s="28" t="n">
        <x:v>4</x:v>
      </x:c>
      <x:c r="I1727" s="28" t="n">
        <x:v>17</x:v>
      </x:c>
      <x:c r="J1727" s="28" t="n">
        <x:v>3</x:v>
      </x:c>
      <x:c r="K1727" s="28" t="n">
        <x:v>5</x:v>
      </x:c>
      <x:c r="L1727" s="28" t="n">
        <x:v>1</x:v>
      </x:c>
      <x:c r="M1727" s="28" t="n">
        <x:v>12</x:v>
      </x:c>
      <x:c r="N1727" s="28" t="n">
        <x:v>5</x:v>
      </x:c>
      <x:c r="O1727" s="28" t="n">
        <x:v>0</x:v>
      </x:c>
      <x:c r="P1727" s="28" t="n">
        <x:v>3</x:v>
      </x:c>
      <x:c r="Q1727" s="24" t="n">
        <x:f>IFERROR(J1727/H1727,0)</x:f>
        <x:v>0.75</x:v>
      </x:c>
      <x:c r="R1727" s="24" t="n">
        <x:f>IFERROR(F1727/H1727,0)</x:f>
        <x:v>0.5</x:v>
      </x:c>
      <x:c r="S1727" s="24" t="n">
        <x:f>IFERROR(F1727/J1727,0)</x:f>
        <x:v>0.6666666666666666</x:v>
      </x:c>
      <x:c r="T1727" s="28" t="n">
        <x:f>H1727-I1727</x:f>
        <x:v>-13</x:v>
      </x:c>
      <x:c r="U1727" s="24" t="n">
        <x:f>IFERROR(J1727/H1727,0)-IFERROR(K1727/I1727,0)</x:f>
        <x:v>0.45588235294117646</x:v>
      </x:c>
      <x:c r="V1727" s="24" t="n">
        <x:f>IFERROR(F1727/J1727,0)-IFERROR(G1727/K1727,0)</x:f>
        <x:v>0.6666666666666666</x:v>
      </x:c>
      <x:c r="W1727" s="28" t="n">
        <x:f>L1727-M1727</x:f>
        <x:v>-11</x:v>
      </x:c>
      <x:c r="X1727" s="24" t="n">
        <x:f>IFERROR(K1727/I1727,0)</x:f>
        <x:v>0.29411764705882354</x:v>
      </x:c>
      <x:c r="Y1727" s="24" t="n">
        <x:f>IFERROR(G1727/I1727,0)</x:f>
        <x:v>0</x:v>
      </x:c>
      <x:c r="Z1727" s="24" t="n">
        <x:f>IFERROR(G1727/K1727,0)</x:f>
        <x:v>0</x:v>
      </x:c>
      <x:c r="AA1727" s="24" t="n">
        <x:f>IFERROR(F1727/H1727,0)-IFERROR(G1727/I1727,0)</x:f>
        <x:v>0.5</x:v>
      </x:c>
      <x:c r="AB1727" s="28" t="n">
        <x:f>J1727-K1727</x:f>
        <x:v>-2</x:v>
      </x:c>
      <x:c r="AC1727" s="32" t="n">
        <x:f>F1727-G1727</x:f>
        <x:v>2</x:v>
      </x:c>
    </x:row>
    <x:row r="1728">
      <x:c r="A1728" s="4" t="str">
        <x:v>2023-24</x:v>
      </x:c>
      <x:c r="B1728" s="20" t="n">
        <x:v>45234</x:v>
      </x:c>
      <x:c r="C1728" s="4" t="str">
        <x:v>Everton</x:v>
      </x:c>
      <x:c r="D1728" s="4" t="str">
        <x:v>Brighton</x:v>
      </x:c>
      <x:c r="E1728" s="4" t="str">
        <x:v>Home</x:v>
      </x:c>
      <x:c r="F1728" s="28" t="n">
        <x:v>1</x:v>
      </x:c>
      <x:c r="G1728" s="28" t="n">
        <x:v>1</x:v>
      </x:c>
      <x:c r="H1728" s="28" t="n">
        <x:v>10</x:v>
      </x:c>
      <x:c r="I1728" s="28" t="n">
        <x:v>7</x:v>
      </x:c>
      <x:c r="J1728" s="28" t="n">
        <x:v>4</x:v>
      </x:c>
      <x:c r="K1728" s="28" t="n">
        <x:v>2</x:v>
      </x:c>
      <x:c r="L1728" s="28" t="n">
        <x:v>3</x:v>
      </x:c>
      <x:c r="M1728" s="28" t="n">
        <x:v>3</x:v>
      </x:c>
      <x:c r="N1728" s="28" t="n">
        <x:v>4</x:v>
      </x:c>
      <x:c r="O1728" s="28" t="n">
        <x:v>0</x:v>
      </x:c>
      <x:c r="P1728" s="28" t="n">
        <x:v>1</x:v>
      </x:c>
      <x:c r="Q1728" s="24" t="n">
        <x:f>IFERROR(J1728/H1728,0)</x:f>
        <x:v>0.4</x:v>
      </x:c>
      <x:c r="R1728" s="24" t="n">
        <x:f>IFERROR(F1728/H1728,0)</x:f>
        <x:v>0.1</x:v>
      </x:c>
      <x:c r="S1728" s="24" t="n">
        <x:f>IFERROR(F1728/J1728,0)</x:f>
        <x:v>0.25</x:v>
      </x:c>
      <x:c r="T1728" s="28" t="n">
        <x:f>H1728-I1728</x:f>
        <x:v>3</x:v>
      </x:c>
      <x:c r="U1728" s="24" t="n">
        <x:f>IFERROR(J1728/H1728,0)-IFERROR(K1728/I1728,0)</x:f>
        <x:v>0.11428571428571432</x:v>
      </x:c>
      <x:c r="V1728" s="24" t="n">
        <x:f>IFERROR(F1728/J1728,0)-IFERROR(G1728/K1728,0)</x:f>
        <x:v>-0.25</x:v>
      </x:c>
      <x:c r="W1728" s="28" t="n">
        <x:f>L1728-M1728</x:f>
        <x:v>0</x:v>
      </x:c>
      <x:c r="X1728" s="24" t="n">
        <x:f>IFERROR(K1728/I1728,0)</x:f>
        <x:v>0.2857142857142857</x:v>
      </x:c>
      <x:c r="Y1728" s="24" t="n">
        <x:f>IFERROR(G1728/I1728,0)</x:f>
        <x:v>0.14285714285714285</x:v>
      </x:c>
      <x:c r="Z1728" s="24" t="n">
        <x:f>IFERROR(G1728/K1728,0)</x:f>
        <x:v>0.5</x:v>
      </x:c>
      <x:c r="AA1728" s="24" t="n">
        <x:f>IFERROR(F1728/H1728,0)-IFERROR(G1728/I1728,0)</x:f>
        <x:v>-0.042857142857142844</x:v>
      </x:c>
      <x:c r="AB1728" s="28" t="n">
        <x:f>J1728-K1728</x:f>
        <x:v>2</x:v>
      </x:c>
      <x:c r="AC1728" s="32" t="n">
        <x:f>F1728-G1728</x:f>
        <x:v>0</x:v>
      </x:c>
    </x:row>
    <x:row r="1729">
      <x:c r="A1729" s="4" t="str">
        <x:v>2023-24</x:v>
      </x:c>
      <x:c r="B1729" s="20" t="n">
        <x:v>45234</x:v>
      </x:c>
      <x:c r="C1729" s="4" t="str">
        <x:v>Fulham</x:v>
      </x:c>
      <x:c r="D1729" s="4" t="str">
        <x:v>Man United</x:v>
      </x:c>
      <x:c r="E1729" s="4" t="str">
        <x:v>Home</x:v>
      </x:c>
      <x:c r="F1729" s="28" t="n">
        <x:v>0</x:v>
      </x:c>
      <x:c r="G1729" s="28" t="n">
        <x:v>1</x:v>
      </x:c>
      <x:c r="H1729" s="28" t="n">
        <x:v>18</x:v>
      </x:c>
      <x:c r="I1729" s="28" t="n">
        <x:v>12</x:v>
      </x:c>
      <x:c r="J1729" s="28" t="n">
        <x:v>3</x:v>
      </x:c>
      <x:c r="K1729" s="28" t="n">
        <x:v>5</x:v>
      </x:c>
      <x:c r="L1729" s="28" t="n">
        <x:v>9</x:v>
      </x:c>
      <x:c r="M1729" s="28" t="n">
        <x:v>4</x:v>
      </x:c>
      <x:c r="N1729" s="28" t="n">
        <x:v>5</x:v>
      </x:c>
      <x:c r="O1729" s="28" t="n">
        <x:v>0</x:v>
      </x:c>
      <x:c r="P1729" s="28" t="n">
        <x:v>0</x:v>
      </x:c>
      <x:c r="Q1729" s="24" t="n">
        <x:f>IFERROR(J1729/H1729,0)</x:f>
        <x:v>0.16666666666666666</x:v>
      </x:c>
      <x:c r="R1729" s="24" t="n">
        <x:f>IFERROR(F1729/H1729,0)</x:f>
        <x:v>0</x:v>
      </x:c>
      <x:c r="S1729" s="24" t="n">
        <x:f>IFERROR(F1729/J1729,0)</x:f>
        <x:v>0</x:v>
      </x:c>
      <x:c r="T1729" s="28" t="n">
        <x:f>H1729-I1729</x:f>
        <x:v>6</x:v>
      </x:c>
      <x:c r="U1729" s="24" t="n">
        <x:f>IFERROR(J1729/H1729,0)-IFERROR(K1729/I1729,0)</x:f>
        <x:v>-0.25</x:v>
      </x:c>
      <x:c r="V1729" s="24" t="n">
        <x:f>IFERROR(F1729/J1729,0)-IFERROR(G1729/K1729,0)</x:f>
        <x:v>-0.2</x:v>
      </x:c>
      <x:c r="W1729" s="28" t="n">
        <x:f>L1729-M1729</x:f>
        <x:v>5</x:v>
      </x:c>
      <x:c r="X1729" s="24" t="n">
        <x:f>IFERROR(K1729/I1729,0)</x:f>
        <x:v>0.4166666666666667</x:v>
      </x:c>
      <x:c r="Y1729" s="24" t="n">
        <x:f>IFERROR(G1729/I1729,0)</x:f>
        <x:v>0.08333333333333333</x:v>
      </x:c>
      <x:c r="Z1729" s="24" t="n">
        <x:f>IFERROR(G1729/K1729,0)</x:f>
        <x:v>0.2</x:v>
      </x:c>
      <x:c r="AA1729" s="24" t="n">
        <x:f>IFERROR(F1729/H1729,0)-IFERROR(G1729/I1729,0)</x:f>
        <x:v>-0.08333333333333333</x:v>
      </x:c>
      <x:c r="AB1729" s="28" t="n">
        <x:f>J1729-K1729</x:f>
        <x:v>-2</x:v>
      </x:c>
      <x:c r="AC1729" s="32" t="n">
        <x:f>F1729-G1729</x:f>
        <x:v>-1</x:v>
      </x:c>
    </x:row>
    <x:row r="1730">
      <x:c r="A1730" s="4" t="str">
        <x:v>2023-24</x:v>
      </x:c>
      <x:c r="B1730" s="20" t="n">
        <x:v>45234</x:v>
      </x:c>
      <x:c r="C1730" s="4" t="str">
        <x:v>Man City</x:v>
      </x:c>
      <x:c r="D1730" s="4" t="str">
        <x:v>Bournemouth</x:v>
      </x:c>
      <x:c r="E1730" s="4" t="str">
        <x:v>Home</x:v>
      </x:c>
      <x:c r="F1730" s="28" t="n">
        <x:v>6</x:v>
      </x:c>
      <x:c r="G1730" s="28" t="n">
        <x:v>1</x:v>
      </x:c>
      <x:c r="H1730" s="28" t="n">
        <x:v>21</x:v>
      </x:c>
      <x:c r="I1730" s="28" t="n">
        <x:v>5</x:v>
      </x:c>
      <x:c r="J1730" s="28" t="n">
        <x:v>8</x:v>
      </x:c>
      <x:c r="K1730" s="28" t="n">
        <x:v>1</x:v>
      </x:c>
      <x:c r="L1730" s="28" t="n">
        <x:v>12</x:v>
      </x:c>
      <x:c r="M1730" s="28" t="n">
        <x:v>1</x:v>
      </x:c>
      <x:c r="N1730" s="28" t="n">
        <x:v>0</x:v>
      </x:c>
      <x:c r="O1730" s="28" t="n">
        <x:v>0</x:v>
      </x:c>
      <x:c r="P1730" s="28" t="n">
        <x:v>3</x:v>
      </x:c>
      <x:c r="Q1730" s="24" t="n">
        <x:f>IFERROR(J1730/H1730,0)</x:f>
        <x:v>0.38095238095238093</x:v>
      </x:c>
      <x:c r="R1730" s="24" t="n">
        <x:f>IFERROR(F1730/H1730,0)</x:f>
        <x:v>0.2857142857142857</x:v>
      </x:c>
      <x:c r="S1730" s="24" t="n">
        <x:f>IFERROR(F1730/J1730,0)</x:f>
        <x:v>0.75</x:v>
      </x:c>
      <x:c r="T1730" s="28" t="n">
        <x:f>H1730-I1730</x:f>
        <x:v>16</x:v>
      </x:c>
      <x:c r="U1730" s="24" t="n">
        <x:f>IFERROR(J1730/H1730,0)-IFERROR(K1730/I1730,0)</x:f>
        <x:v>0.18095238095238092</x:v>
      </x:c>
      <x:c r="V1730" s="24" t="n">
        <x:f>IFERROR(F1730/J1730,0)-IFERROR(G1730/K1730,0)</x:f>
        <x:v>-0.25</x:v>
      </x:c>
      <x:c r="W1730" s="28" t="n">
        <x:f>L1730-M1730</x:f>
        <x:v>11</x:v>
      </x:c>
      <x:c r="X1730" s="24" t="n">
        <x:f>IFERROR(K1730/I1730,0)</x:f>
        <x:v>0.2</x:v>
      </x:c>
      <x:c r="Y1730" s="24" t="n">
        <x:f>IFERROR(G1730/I1730,0)</x:f>
        <x:v>0.2</x:v>
      </x:c>
      <x:c r="Z1730" s="24" t="n">
        <x:f>IFERROR(G1730/K1730,0)</x:f>
        <x:v>1</x:v>
      </x:c>
      <x:c r="AA1730" s="24" t="n">
        <x:f>IFERROR(F1730/H1730,0)-IFERROR(G1730/I1730,0)</x:f>
        <x:v>0.08571428571428569</x:v>
      </x:c>
      <x:c r="AB1730" s="28" t="n">
        <x:f>J1730-K1730</x:f>
        <x:v>7</x:v>
      </x:c>
      <x:c r="AC1730" s="32" t="n">
        <x:f>F1730-G1730</x:f>
        <x:v>5</x:v>
      </x:c>
    </x:row>
    <x:row r="1731">
      <x:c r="A1731" s="4" t="str">
        <x:v>2023-24</x:v>
      </x:c>
      <x:c r="B1731" s="20" t="n">
        <x:v>45234</x:v>
      </x:c>
      <x:c r="C1731" s="4" t="str">
        <x:v>Man United</x:v>
      </x:c>
      <x:c r="D1731" s="4" t="str">
        <x:v>Fulham</x:v>
      </x:c>
      <x:c r="E1731" s="4" t="str">
        <x:v>Away</x:v>
      </x:c>
      <x:c r="F1731" s="28" t="n">
        <x:v>1</x:v>
      </x:c>
      <x:c r="G1731" s="28" t="n">
        <x:v>0</x:v>
      </x:c>
      <x:c r="H1731" s="28" t="n">
        <x:v>12</x:v>
      </x:c>
      <x:c r="I1731" s="28" t="n">
        <x:v>18</x:v>
      </x:c>
      <x:c r="J1731" s="28" t="n">
        <x:v>5</x:v>
      </x:c>
      <x:c r="K1731" s="28" t="n">
        <x:v>3</x:v>
      </x:c>
      <x:c r="L1731" s="28" t="n">
        <x:v>4</x:v>
      </x:c>
      <x:c r="M1731" s="28" t="n">
        <x:v>9</x:v>
      </x:c>
      <x:c r="N1731" s="28" t="n">
        <x:v>2</x:v>
      </x:c>
      <x:c r="O1731" s="28" t="n">
        <x:v>0</x:v>
      </x:c>
      <x:c r="P1731" s="28" t="n">
        <x:v>3</x:v>
      </x:c>
      <x:c r="Q1731" s="24" t="n">
        <x:f>IFERROR(J1731/H1731,0)</x:f>
        <x:v>0.4166666666666667</x:v>
      </x:c>
      <x:c r="R1731" s="24" t="n">
        <x:f>IFERROR(F1731/H1731,0)</x:f>
        <x:v>0.08333333333333333</x:v>
      </x:c>
      <x:c r="S1731" s="24" t="n">
        <x:f>IFERROR(F1731/J1731,0)</x:f>
        <x:v>0.2</x:v>
      </x:c>
      <x:c r="T1731" s="28" t="n">
        <x:f>H1731-I1731</x:f>
        <x:v>-6</x:v>
      </x:c>
      <x:c r="U1731" s="24" t="n">
        <x:f>IFERROR(J1731/H1731,0)-IFERROR(K1731/I1731,0)</x:f>
        <x:v>0.25</x:v>
      </x:c>
      <x:c r="V1731" s="24" t="n">
        <x:f>IFERROR(F1731/J1731,0)-IFERROR(G1731/K1731,0)</x:f>
        <x:v>0.2</x:v>
      </x:c>
      <x:c r="W1731" s="28" t="n">
        <x:f>L1731-M1731</x:f>
        <x:v>-5</x:v>
      </x:c>
      <x:c r="X1731" s="24" t="n">
        <x:f>IFERROR(K1731/I1731,0)</x:f>
        <x:v>0.16666666666666666</x:v>
      </x:c>
      <x:c r="Y1731" s="24" t="n">
        <x:f>IFERROR(G1731/I1731,0)</x:f>
        <x:v>0</x:v>
      </x:c>
      <x:c r="Z1731" s="24" t="n">
        <x:f>IFERROR(G1731/K1731,0)</x:f>
        <x:v>0</x:v>
      </x:c>
      <x:c r="AA1731" s="24" t="n">
        <x:f>IFERROR(F1731/H1731,0)-IFERROR(G1731/I1731,0)</x:f>
        <x:v>0.08333333333333333</x:v>
      </x:c>
      <x:c r="AB1731" s="28" t="n">
        <x:f>J1731-K1731</x:f>
        <x:v>2</x:v>
      </x:c>
      <x:c r="AC1731" s="32" t="n">
        <x:f>F1731-G1731</x:f>
        <x:v>1</x:v>
      </x:c>
    </x:row>
    <x:row r="1732">
      <x:c r="A1732" s="4" t="str">
        <x:v>2023-24</x:v>
      </x:c>
      <x:c r="B1732" s="20" t="n">
        <x:v>45234</x:v>
      </x:c>
      <x:c r="C1732" s="4" t="str">
        <x:v>Newcastle</x:v>
      </x:c>
      <x:c r="D1732" s="4" t="str">
        <x:v>Arsenal</x:v>
      </x:c>
      <x:c r="E1732" s="4" t="str">
        <x:v>Home</x:v>
      </x:c>
      <x:c r="F1732" s="28" t="n">
        <x:v>1</x:v>
      </x:c>
      <x:c r="G1732" s="28" t="n">
        <x:v>0</x:v>
      </x:c>
      <x:c r="H1732" s="28" t="n">
        <x:v>9</x:v>
      </x:c>
      <x:c r="I1732" s="28" t="n">
        <x:v>14</x:v>
      </x:c>
      <x:c r="J1732" s="28" t="n">
        <x:v>2</x:v>
      </x:c>
      <x:c r="K1732" s="28" t="n">
        <x:v>1</x:v>
      </x:c>
      <x:c r="L1732" s="28" t="n">
        <x:v>0</x:v>
      </x:c>
      <x:c r="M1732" s="28" t="n">
        <x:v>11</x:v>
      </x:c>
      <x:c r="N1732" s="28" t="n">
        <x:v>5</x:v>
      </x:c>
      <x:c r="O1732" s="28" t="n">
        <x:v>0</x:v>
      </x:c>
      <x:c r="P1732" s="28" t="n">
        <x:v>3</x:v>
      </x:c>
      <x:c r="Q1732" s="24" t="n">
        <x:f>IFERROR(J1732/H1732,0)</x:f>
        <x:v>0.2222222222222222</x:v>
      </x:c>
      <x:c r="R1732" s="24" t="n">
        <x:f>IFERROR(F1732/H1732,0)</x:f>
        <x:v>0.1111111111111111</x:v>
      </x:c>
      <x:c r="S1732" s="24" t="n">
        <x:f>IFERROR(F1732/J1732,0)</x:f>
        <x:v>0.5</x:v>
      </x:c>
      <x:c r="T1732" s="28" t="n">
        <x:f>H1732-I1732</x:f>
        <x:v>-5</x:v>
      </x:c>
      <x:c r="U1732" s="24" t="n">
        <x:f>IFERROR(J1732/H1732,0)-IFERROR(K1732/I1732,0)</x:f>
        <x:v>0.15079365079365079</x:v>
      </x:c>
      <x:c r="V1732" s="24" t="n">
        <x:f>IFERROR(F1732/J1732,0)-IFERROR(G1732/K1732,0)</x:f>
        <x:v>0.5</x:v>
      </x:c>
      <x:c r="W1732" s="28" t="n">
        <x:f>L1732-M1732</x:f>
        <x:v>-11</x:v>
      </x:c>
      <x:c r="X1732" s="24" t="n">
        <x:f>IFERROR(K1732/I1732,0)</x:f>
        <x:v>0.07142857142857142</x:v>
      </x:c>
      <x:c r="Y1732" s="24" t="n">
        <x:f>IFERROR(G1732/I1732,0)</x:f>
        <x:v>0</x:v>
      </x:c>
      <x:c r="Z1732" s="24" t="n">
        <x:f>IFERROR(G1732/K1732,0)</x:f>
        <x:v>0</x:v>
      </x:c>
      <x:c r="AA1732" s="24" t="n">
        <x:f>IFERROR(F1732/H1732,0)-IFERROR(G1732/I1732,0)</x:f>
        <x:v>0.1111111111111111</x:v>
      </x:c>
      <x:c r="AB1732" s="28" t="n">
        <x:f>J1732-K1732</x:f>
        <x:v>1</x:v>
      </x:c>
      <x:c r="AC1732" s="32" t="n">
        <x:f>F1732-G1732</x:f>
        <x:v>1</x:v>
      </x:c>
    </x:row>
    <x:row r="1733">
      <x:c r="A1733" s="4" t="str">
        <x:v>2023-24</x:v>
      </x:c>
      <x:c r="B1733" s="20" t="n">
        <x:v>45234</x:v>
      </x:c>
      <x:c r="C1733" s="4" t="str">
        <x:v>Sheffield United</x:v>
      </x:c>
      <x:c r="D1733" s="4" t="str">
        <x:v>Wolves</x:v>
      </x:c>
      <x:c r="E1733" s="4" t="str">
        <x:v>Home</x:v>
      </x:c>
      <x:c r="F1733" s="28" t="n">
        <x:v>2</x:v>
      </x:c>
      <x:c r="G1733" s="28" t="n">
        <x:v>1</x:v>
      </x:c>
      <x:c r="H1733" s="28" t="n">
        <x:v>11</x:v>
      </x:c>
      <x:c r="I1733" s="28" t="n">
        <x:v>10</x:v>
      </x:c>
      <x:c r="J1733" s="28" t="n">
        <x:v>2</x:v>
      </x:c>
      <x:c r="K1733" s="28" t="n">
        <x:v>3</x:v>
      </x:c>
      <x:c r="L1733" s="28" t="n">
        <x:v>4</x:v>
      </x:c>
      <x:c r="M1733" s="28" t="n">
        <x:v>4</x:v>
      </x:c>
      <x:c r="N1733" s="28" t="n">
        <x:v>2</x:v>
      </x:c>
      <x:c r="O1733" s="28" t="n">
        <x:v>0</x:v>
      </x:c>
      <x:c r="P1733" s="28" t="n">
        <x:v>3</x:v>
      </x:c>
      <x:c r="Q1733" s="24" t="n">
        <x:f>IFERROR(J1733/H1733,0)</x:f>
        <x:v>0.18181818181818182</x:v>
      </x:c>
      <x:c r="R1733" s="24" t="n">
        <x:f>IFERROR(F1733/H1733,0)</x:f>
        <x:v>0.18181818181818182</x:v>
      </x:c>
      <x:c r="S1733" s="24" t="n">
        <x:f>IFERROR(F1733/J1733,0)</x:f>
        <x:v>1</x:v>
      </x:c>
      <x:c r="T1733" s="28" t="n">
        <x:f>H1733-I1733</x:f>
        <x:v>1</x:v>
      </x:c>
      <x:c r="U1733" s="24" t="n">
        <x:f>IFERROR(J1733/H1733,0)-IFERROR(K1733/I1733,0)</x:f>
        <x:v>-0.11818181818181817</x:v>
      </x:c>
      <x:c r="V1733" s="24" t="n">
        <x:f>IFERROR(F1733/J1733,0)-IFERROR(G1733/K1733,0)</x:f>
        <x:v>0.6666666666666667</x:v>
      </x:c>
      <x:c r="W1733" s="28" t="n">
        <x:f>L1733-M1733</x:f>
        <x:v>0</x:v>
      </x:c>
      <x:c r="X1733" s="24" t="n">
        <x:f>IFERROR(K1733/I1733,0)</x:f>
        <x:v>0.3</x:v>
      </x:c>
      <x:c r="Y1733" s="24" t="n">
        <x:f>IFERROR(G1733/I1733,0)</x:f>
        <x:v>0.1</x:v>
      </x:c>
      <x:c r="Z1733" s="24" t="n">
        <x:f>IFERROR(G1733/K1733,0)</x:f>
        <x:v>0.3333333333333333</x:v>
      </x:c>
      <x:c r="AA1733" s="24" t="n">
        <x:f>IFERROR(F1733/H1733,0)-IFERROR(G1733/I1733,0)</x:f>
        <x:v>0.08181818181818182</x:v>
      </x:c>
      <x:c r="AB1733" s="28" t="n">
        <x:f>J1733-K1733</x:f>
        <x:v>-1</x:v>
      </x:c>
      <x:c r="AC1733" s="32" t="n">
        <x:f>F1733-G1733</x:f>
        <x:v>1</x:v>
      </x:c>
    </x:row>
    <x:row r="1734">
      <x:c r="A1734" s="4" t="str">
        <x:v>2023-24</x:v>
      </x:c>
      <x:c r="B1734" s="20" t="n">
        <x:v>45234</x:v>
      </x:c>
      <x:c r="C1734" s="4" t="str">
        <x:v>West Ham</x:v>
      </x:c>
      <x:c r="D1734" s="4" t="str">
        <x:v>Brentford</x:v>
      </x:c>
      <x:c r="E1734" s="4" t="str">
        <x:v>Away</x:v>
      </x:c>
      <x:c r="F1734" s="28" t="n">
        <x:v>2</x:v>
      </x:c>
      <x:c r="G1734" s="28" t="n">
        <x:v>3</x:v>
      </x:c>
      <x:c r="H1734" s="28" t="n">
        <x:v>12</x:v>
      </x:c>
      <x:c r="I1734" s="28" t="n">
        <x:v>16</x:v>
      </x:c>
      <x:c r="J1734" s="28" t="n">
        <x:v>2</x:v>
      </x:c>
      <x:c r="K1734" s="28" t="n">
        <x:v>4</x:v>
      </x:c>
      <x:c r="L1734" s="28" t="n">
        <x:v>3</x:v>
      </x:c>
      <x:c r="M1734" s="28" t="n">
        <x:v>4</x:v>
      </x:c>
      <x:c r="N1734" s="28" t="n">
        <x:v>4</x:v>
      </x:c>
      <x:c r="O1734" s="28" t="n">
        <x:v>0</x:v>
      </x:c>
      <x:c r="P1734" s="28" t="n">
        <x:v>0</x:v>
      </x:c>
      <x:c r="Q1734" s="24" t="n">
        <x:f>IFERROR(J1734/H1734,0)</x:f>
        <x:v>0.16666666666666666</x:v>
      </x:c>
      <x:c r="R1734" s="24" t="n">
        <x:f>IFERROR(F1734/H1734,0)</x:f>
        <x:v>0.16666666666666666</x:v>
      </x:c>
      <x:c r="S1734" s="24" t="n">
        <x:f>IFERROR(F1734/J1734,0)</x:f>
        <x:v>1</x:v>
      </x:c>
      <x:c r="T1734" s="28" t="n">
        <x:f>H1734-I1734</x:f>
        <x:v>-4</x:v>
      </x:c>
      <x:c r="U1734" s="24" t="n">
        <x:f>IFERROR(J1734/H1734,0)-IFERROR(K1734/I1734,0)</x:f>
        <x:v>-0.08333333333333334</x:v>
      </x:c>
      <x:c r="V1734" s="24" t="n">
        <x:f>IFERROR(F1734/J1734,0)-IFERROR(G1734/K1734,0)</x:f>
        <x:v>0.25</x:v>
      </x:c>
      <x:c r="W1734" s="28" t="n">
        <x:f>L1734-M1734</x:f>
        <x:v>-1</x:v>
      </x:c>
      <x:c r="X1734" s="24" t="n">
        <x:f>IFERROR(K1734/I1734,0)</x:f>
        <x:v>0.25</x:v>
      </x:c>
      <x:c r="Y1734" s="24" t="n">
        <x:f>IFERROR(G1734/I1734,0)</x:f>
        <x:v>0.1875</x:v>
      </x:c>
      <x:c r="Z1734" s="24" t="n">
        <x:f>IFERROR(G1734/K1734,0)</x:f>
        <x:v>0.75</x:v>
      </x:c>
      <x:c r="AA1734" s="24" t="n">
        <x:f>IFERROR(F1734/H1734,0)-IFERROR(G1734/I1734,0)</x:f>
        <x:v>-0.020833333333333343</x:v>
      </x:c>
      <x:c r="AB1734" s="28" t="n">
        <x:f>J1734-K1734</x:f>
        <x:v>-2</x:v>
      </x:c>
      <x:c r="AC1734" s="32" t="n">
        <x:f>F1734-G1734</x:f>
        <x:v>-1</x:v>
      </x:c>
    </x:row>
    <x:row r="1735">
      <x:c r="A1735" s="4" t="str">
        <x:v>2023-24</x:v>
      </x:c>
      <x:c r="B1735" s="20" t="n">
        <x:v>45234</x:v>
      </x:c>
      <x:c r="C1735" s="4" t="str">
        <x:v>Wolves</x:v>
      </x:c>
      <x:c r="D1735" s="4" t="str">
        <x:v>Sheffield United</x:v>
      </x:c>
      <x:c r="E1735" s="4" t="str">
        <x:v>Away</x:v>
      </x:c>
      <x:c r="F1735" s="28" t="n">
        <x:v>1</x:v>
      </x:c>
      <x:c r="G1735" s="28" t="n">
        <x:v>2</x:v>
      </x:c>
      <x:c r="H1735" s="28" t="n">
        <x:v>10</x:v>
      </x:c>
      <x:c r="I1735" s="28" t="n">
        <x:v>11</x:v>
      </x:c>
      <x:c r="J1735" s="28" t="n">
        <x:v>3</x:v>
      </x:c>
      <x:c r="K1735" s="28" t="n">
        <x:v>2</x:v>
      </x:c>
      <x:c r="L1735" s="28" t="n">
        <x:v>4</x:v>
      </x:c>
      <x:c r="M1735" s="28" t="n">
        <x:v>4</x:v>
      </x:c>
      <x:c r="N1735" s="28" t="n">
        <x:v>3</x:v>
      </x:c>
      <x:c r="O1735" s="28" t="n">
        <x:v>0</x:v>
      </x:c>
      <x:c r="P1735" s="28" t="n">
        <x:v>0</x:v>
      </x:c>
      <x:c r="Q1735" s="24" t="n">
        <x:f>IFERROR(J1735/H1735,0)</x:f>
        <x:v>0.3</x:v>
      </x:c>
      <x:c r="R1735" s="24" t="n">
        <x:f>IFERROR(F1735/H1735,0)</x:f>
        <x:v>0.1</x:v>
      </x:c>
      <x:c r="S1735" s="24" t="n">
        <x:f>IFERROR(F1735/J1735,0)</x:f>
        <x:v>0.3333333333333333</x:v>
      </x:c>
      <x:c r="T1735" s="28" t="n">
        <x:f>H1735-I1735</x:f>
        <x:v>-1</x:v>
      </x:c>
      <x:c r="U1735" s="24" t="n">
        <x:f>IFERROR(J1735/H1735,0)-IFERROR(K1735/I1735,0)</x:f>
        <x:v>0.11818181818181817</x:v>
      </x:c>
      <x:c r="V1735" s="24" t="n">
        <x:f>IFERROR(F1735/J1735,0)-IFERROR(G1735/K1735,0)</x:f>
        <x:v>-0.6666666666666667</x:v>
      </x:c>
      <x:c r="W1735" s="28" t="n">
        <x:f>L1735-M1735</x:f>
        <x:v>0</x:v>
      </x:c>
      <x:c r="X1735" s="24" t="n">
        <x:f>IFERROR(K1735/I1735,0)</x:f>
        <x:v>0.18181818181818182</x:v>
      </x:c>
      <x:c r="Y1735" s="24" t="n">
        <x:f>IFERROR(G1735/I1735,0)</x:f>
        <x:v>0.18181818181818182</x:v>
      </x:c>
      <x:c r="Z1735" s="24" t="n">
        <x:f>IFERROR(G1735/K1735,0)</x:f>
        <x:v>1</x:v>
      </x:c>
      <x:c r="AA1735" s="24" t="n">
        <x:f>IFERROR(F1735/H1735,0)-IFERROR(G1735/I1735,0)</x:f>
        <x:v>-0.08181818181818182</x:v>
      </x:c>
      <x:c r="AB1735" s="28" t="n">
        <x:f>J1735-K1735</x:f>
        <x:v>1</x:v>
      </x:c>
      <x:c r="AC1735" s="32" t="n">
        <x:f>F1735-G1735</x:f>
        <x:v>-1</x:v>
      </x:c>
    </x:row>
    <x:row r="1736">
      <x:c r="A1736" s="4" t="str">
        <x:v>2023-24</x:v>
      </x:c>
      <x:c r="B1736" s="20" t="n">
        <x:v>45235</x:v>
      </x:c>
      <x:c r="C1736" s="4" t="str">
        <x:v>Aston Villa</x:v>
      </x:c>
      <x:c r="D1736" s="4" t="str">
        <x:v>Nott'm Forest</x:v>
      </x:c>
      <x:c r="E1736" s="4" t="str">
        <x:v>Away</x:v>
      </x:c>
      <x:c r="F1736" s="28" t="n">
        <x:v>0</x:v>
      </x:c>
      <x:c r="G1736" s="28" t="n">
        <x:v>2</x:v>
      </x:c>
      <x:c r="H1736" s="28" t="n">
        <x:v>13</x:v>
      </x:c>
      <x:c r="I1736" s="28" t="n">
        <x:v>5</x:v>
      </x:c>
      <x:c r="J1736" s="28" t="n">
        <x:v>3</x:v>
      </x:c>
      <x:c r="K1736" s="28" t="n">
        <x:v>3</x:v>
      </x:c>
      <x:c r="L1736" s="28" t="n">
        <x:v>10</x:v>
      </x:c>
      <x:c r="M1736" s="28" t="n">
        <x:v>0</x:v>
      </x:c>
      <x:c r="N1736" s="28" t="n">
        <x:v>1</x:v>
      </x:c>
      <x:c r="O1736" s="28" t="n">
        <x:v>0</x:v>
      </x:c>
      <x:c r="P1736" s="28" t="n">
        <x:v>0</x:v>
      </x:c>
      <x:c r="Q1736" s="24" t="n">
        <x:f>IFERROR(J1736/H1736,0)</x:f>
        <x:v>0.23076923076923078</x:v>
      </x:c>
      <x:c r="R1736" s="24" t="n">
        <x:f>IFERROR(F1736/H1736,0)</x:f>
        <x:v>0</x:v>
      </x:c>
      <x:c r="S1736" s="24" t="n">
        <x:f>IFERROR(F1736/J1736,0)</x:f>
        <x:v>0</x:v>
      </x:c>
      <x:c r="T1736" s="28" t="n">
        <x:f>H1736-I1736</x:f>
        <x:v>8</x:v>
      </x:c>
      <x:c r="U1736" s="24" t="n">
        <x:f>IFERROR(J1736/H1736,0)-IFERROR(K1736/I1736,0)</x:f>
        <x:v>-0.3692307692307692</x:v>
      </x:c>
      <x:c r="V1736" s="24" t="n">
        <x:f>IFERROR(F1736/J1736,0)-IFERROR(G1736/K1736,0)</x:f>
        <x:v>-0.6666666666666666</x:v>
      </x:c>
      <x:c r="W1736" s="28" t="n">
        <x:f>L1736-M1736</x:f>
        <x:v>10</x:v>
      </x:c>
      <x:c r="X1736" s="24" t="n">
        <x:f>IFERROR(K1736/I1736,0)</x:f>
        <x:v>0.6</x:v>
      </x:c>
      <x:c r="Y1736" s="24" t="n">
        <x:f>IFERROR(G1736/I1736,0)</x:f>
        <x:v>0.4</x:v>
      </x:c>
      <x:c r="Z1736" s="24" t="n">
        <x:f>IFERROR(G1736/K1736,0)</x:f>
        <x:v>0.6666666666666666</x:v>
      </x:c>
      <x:c r="AA1736" s="24" t="n">
        <x:f>IFERROR(F1736/H1736,0)-IFERROR(G1736/I1736,0)</x:f>
        <x:v>-0.4</x:v>
      </x:c>
      <x:c r="AB1736" s="28" t="n">
        <x:f>J1736-K1736</x:f>
        <x:v>0</x:v>
      </x:c>
      <x:c r="AC1736" s="32" t="n">
        <x:f>F1736-G1736</x:f>
        <x:v>-2</x:v>
      </x:c>
    </x:row>
    <x:row r="1737">
      <x:c r="A1737" s="4" t="str">
        <x:v>2023-24</x:v>
      </x:c>
      <x:c r="B1737" s="20" t="n">
        <x:v>45235</x:v>
      </x:c>
      <x:c r="C1737" s="4" t="str">
        <x:v>Liverpool</x:v>
      </x:c>
      <x:c r="D1737" s="4" t="str">
        <x:v>Luton</x:v>
      </x:c>
      <x:c r="E1737" s="4" t="str">
        <x:v>Away</x:v>
      </x:c>
      <x:c r="F1737" s="28" t="n">
        <x:v>1</x:v>
      </x:c>
      <x:c r="G1737" s="28" t="n">
        <x:v>1</x:v>
      </x:c>
      <x:c r="H1737" s="28" t="n">
        <x:v>24</x:v>
      </x:c>
      <x:c r="I1737" s="28" t="n">
        <x:v>8</x:v>
      </x:c>
      <x:c r="J1737" s="28" t="n">
        <x:v>6</x:v>
      </x:c>
      <x:c r="K1737" s="28" t="n">
        <x:v>5</x:v>
      </x:c>
      <x:c r="L1737" s="28" t="n">
        <x:v>7</x:v>
      </x:c>
      <x:c r="M1737" s="28" t="n">
        <x:v>4</x:v>
      </x:c>
      <x:c r="N1737" s="28" t="n">
        <x:v>1</x:v>
      </x:c>
      <x:c r="O1737" s="28" t="n">
        <x:v>0</x:v>
      </x:c>
      <x:c r="P1737" s="28" t="n">
        <x:v>1</x:v>
      </x:c>
      <x:c r="Q1737" s="24" t="n">
        <x:f>IFERROR(J1737/H1737,0)</x:f>
        <x:v>0.25</x:v>
      </x:c>
      <x:c r="R1737" s="24" t="n">
        <x:f>IFERROR(F1737/H1737,0)</x:f>
        <x:v>0.041666666666666664</x:v>
      </x:c>
      <x:c r="S1737" s="24" t="n">
        <x:f>IFERROR(F1737/J1737,0)</x:f>
        <x:v>0.16666666666666666</x:v>
      </x:c>
      <x:c r="T1737" s="28" t="n">
        <x:f>H1737-I1737</x:f>
        <x:v>16</x:v>
      </x:c>
      <x:c r="U1737" s="24" t="n">
        <x:f>IFERROR(J1737/H1737,0)-IFERROR(K1737/I1737,0)</x:f>
        <x:v>-0.375</x:v>
      </x:c>
      <x:c r="V1737" s="24" t="n">
        <x:f>IFERROR(F1737/J1737,0)-IFERROR(G1737/K1737,0)</x:f>
        <x:v>-0.033333333333333354</x:v>
      </x:c>
      <x:c r="W1737" s="28" t="n">
        <x:f>L1737-M1737</x:f>
        <x:v>3</x:v>
      </x:c>
      <x:c r="X1737" s="24" t="n">
        <x:f>IFERROR(K1737/I1737,0)</x:f>
        <x:v>0.625</x:v>
      </x:c>
      <x:c r="Y1737" s="24" t="n">
        <x:f>IFERROR(G1737/I1737,0)</x:f>
        <x:v>0.125</x:v>
      </x:c>
      <x:c r="Z1737" s="24" t="n">
        <x:f>IFERROR(G1737/K1737,0)</x:f>
        <x:v>0.2</x:v>
      </x:c>
      <x:c r="AA1737" s="24" t="n">
        <x:f>IFERROR(F1737/H1737,0)-IFERROR(G1737/I1737,0)</x:f>
        <x:v>-0.08333333333333334</x:v>
      </x:c>
      <x:c r="AB1737" s="28" t="n">
        <x:f>J1737-K1737</x:f>
        <x:v>1</x:v>
      </x:c>
      <x:c r="AC1737" s="32" t="n">
        <x:f>F1737-G1737</x:f>
        <x:v>0</x:v>
      </x:c>
    </x:row>
    <x:row r="1738">
      <x:c r="A1738" s="4" t="str">
        <x:v>2023-24</x:v>
      </x:c>
      <x:c r="B1738" s="20" t="n">
        <x:v>45235</x:v>
      </x:c>
      <x:c r="C1738" s="4" t="str">
        <x:v>Luton</x:v>
      </x:c>
      <x:c r="D1738" s="4" t="str">
        <x:v>Liverpool</x:v>
      </x:c>
      <x:c r="E1738" s="4" t="str">
        <x:v>Home</x:v>
      </x:c>
      <x:c r="F1738" s="28" t="n">
        <x:v>1</x:v>
      </x:c>
      <x:c r="G1738" s="28" t="n">
        <x:v>1</x:v>
      </x:c>
      <x:c r="H1738" s="28" t="n">
        <x:v>8</x:v>
      </x:c>
      <x:c r="I1738" s="28" t="n">
        <x:v>24</x:v>
      </x:c>
      <x:c r="J1738" s="28" t="n">
        <x:v>5</x:v>
      </x:c>
      <x:c r="K1738" s="28" t="n">
        <x:v>6</x:v>
      </x:c>
      <x:c r="L1738" s="28" t="n">
        <x:v>4</x:v>
      </x:c>
      <x:c r="M1738" s="28" t="n">
        <x:v>7</x:v>
      </x:c>
      <x:c r="N1738" s="28" t="n">
        <x:v>1</x:v>
      </x:c>
      <x:c r="O1738" s="28" t="n">
        <x:v>0</x:v>
      </x:c>
      <x:c r="P1738" s="28" t="n">
        <x:v>1</x:v>
      </x:c>
      <x:c r="Q1738" s="24" t="n">
        <x:f>IFERROR(J1738/H1738,0)</x:f>
        <x:v>0.625</x:v>
      </x:c>
      <x:c r="R1738" s="24" t="n">
        <x:f>IFERROR(F1738/H1738,0)</x:f>
        <x:v>0.125</x:v>
      </x:c>
      <x:c r="S1738" s="24" t="n">
        <x:f>IFERROR(F1738/J1738,0)</x:f>
        <x:v>0.2</x:v>
      </x:c>
      <x:c r="T1738" s="28" t="n">
        <x:f>H1738-I1738</x:f>
        <x:v>-16</x:v>
      </x:c>
      <x:c r="U1738" s="24" t="n">
        <x:f>IFERROR(J1738/H1738,0)-IFERROR(K1738/I1738,0)</x:f>
        <x:v>0.375</x:v>
      </x:c>
      <x:c r="V1738" s="24" t="n">
        <x:f>IFERROR(F1738/J1738,0)-IFERROR(G1738/K1738,0)</x:f>
        <x:v>0.033333333333333354</x:v>
      </x:c>
      <x:c r="W1738" s="28" t="n">
        <x:f>L1738-M1738</x:f>
        <x:v>-3</x:v>
      </x:c>
      <x:c r="X1738" s="24" t="n">
        <x:f>IFERROR(K1738/I1738,0)</x:f>
        <x:v>0.25</x:v>
      </x:c>
      <x:c r="Y1738" s="24" t="n">
        <x:f>IFERROR(G1738/I1738,0)</x:f>
        <x:v>0.041666666666666664</x:v>
      </x:c>
      <x:c r="Z1738" s="24" t="n">
        <x:f>IFERROR(G1738/K1738,0)</x:f>
        <x:v>0.16666666666666666</x:v>
      </x:c>
      <x:c r="AA1738" s="24" t="n">
        <x:f>IFERROR(F1738/H1738,0)-IFERROR(G1738/I1738,0)</x:f>
        <x:v>0.08333333333333334</x:v>
      </x:c>
      <x:c r="AB1738" s="28" t="n">
        <x:f>J1738-K1738</x:f>
        <x:v>-1</x:v>
      </x:c>
      <x:c r="AC1738" s="32" t="n">
        <x:f>F1738-G1738</x:f>
        <x:v>0</x:v>
      </x:c>
    </x:row>
    <x:row r="1739">
      <x:c r="A1739" s="4" t="str">
        <x:v>2023-24</x:v>
      </x:c>
      <x:c r="B1739" s="20" t="n">
        <x:v>45235</x:v>
      </x:c>
      <x:c r="C1739" s="4" t="str">
        <x:v>Nott'm Forest</x:v>
      </x:c>
      <x:c r="D1739" s="4" t="str">
        <x:v>Aston Villa</x:v>
      </x:c>
      <x:c r="E1739" s="4" t="str">
        <x:v>Home</x:v>
      </x:c>
      <x:c r="F1739" s="28" t="n">
        <x:v>2</x:v>
      </x:c>
      <x:c r="G1739" s="28" t="n">
        <x:v>0</x:v>
      </x:c>
      <x:c r="H1739" s="28" t="n">
        <x:v>5</x:v>
      </x:c>
      <x:c r="I1739" s="28" t="n">
        <x:v>13</x:v>
      </x:c>
      <x:c r="J1739" s="28" t="n">
        <x:v>3</x:v>
      </x:c>
      <x:c r="K1739" s="28" t="n">
        <x:v>3</x:v>
      </x:c>
      <x:c r="L1739" s="28" t="n">
        <x:v>0</x:v>
      </x:c>
      <x:c r="M1739" s="28" t="n">
        <x:v>10</x:v>
      </x:c>
      <x:c r="N1739" s="28" t="n">
        <x:v>1</x:v>
      </x:c>
      <x:c r="O1739" s="28" t="n">
        <x:v>0</x:v>
      </x:c>
      <x:c r="P1739" s="28" t="n">
        <x:v>3</x:v>
      </x:c>
      <x:c r="Q1739" s="24" t="n">
        <x:f>IFERROR(J1739/H1739,0)</x:f>
        <x:v>0.6</x:v>
      </x:c>
      <x:c r="R1739" s="24" t="n">
        <x:f>IFERROR(F1739/H1739,0)</x:f>
        <x:v>0.4</x:v>
      </x:c>
      <x:c r="S1739" s="24" t="n">
        <x:f>IFERROR(F1739/J1739,0)</x:f>
        <x:v>0.6666666666666666</x:v>
      </x:c>
      <x:c r="T1739" s="28" t="n">
        <x:f>H1739-I1739</x:f>
        <x:v>-8</x:v>
      </x:c>
      <x:c r="U1739" s="24" t="n">
        <x:f>IFERROR(J1739/H1739,0)-IFERROR(K1739/I1739,0)</x:f>
        <x:v>0.3692307692307692</x:v>
      </x:c>
      <x:c r="V1739" s="24" t="n">
        <x:f>IFERROR(F1739/J1739,0)-IFERROR(G1739/K1739,0)</x:f>
        <x:v>0.6666666666666666</x:v>
      </x:c>
      <x:c r="W1739" s="28" t="n">
        <x:f>L1739-M1739</x:f>
        <x:v>-10</x:v>
      </x:c>
      <x:c r="X1739" s="24" t="n">
        <x:f>IFERROR(K1739/I1739,0)</x:f>
        <x:v>0.23076923076923078</x:v>
      </x:c>
      <x:c r="Y1739" s="24" t="n">
        <x:f>IFERROR(G1739/I1739,0)</x:f>
        <x:v>0</x:v>
      </x:c>
      <x:c r="Z1739" s="24" t="n">
        <x:f>IFERROR(G1739/K1739,0)</x:f>
        <x:v>0</x:v>
      </x:c>
      <x:c r="AA1739" s="24" t="n">
        <x:f>IFERROR(F1739/H1739,0)-IFERROR(G1739/I1739,0)</x:f>
        <x:v>0.4</x:v>
      </x:c>
      <x:c r="AB1739" s="28" t="n">
        <x:f>J1739-K1739</x:f>
        <x:v>0</x:v>
      </x:c>
      <x:c r="AC1739" s="32" t="n">
        <x:f>F1739-G1739</x:f>
        <x:v>2</x:v>
      </x:c>
    </x:row>
    <x:row r="1740">
      <x:c r="A1740" s="4" t="str">
        <x:v>2023-24</x:v>
      </x:c>
      <x:c r="B1740" s="20" t="n">
        <x:v>45236</x:v>
      </x:c>
      <x:c r="C1740" s="4" t="str">
        <x:v>Chelsea</x:v>
      </x:c>
      <x:c r="D1740" s="4" t="str">
        <x:v>Tottenham</x:v>
      </x:c>
      <x:c r="E1740" s="4" t="str">
        <x:v>Away</x:v>
      </x:c>
      <x:c r="F1740" s="28" t="n">
        <x:v>4</x:v>
      </x:c>
      <x:c r="G1740" s="28" t="n">
        <x:v>1</x:v>
      </x:c>
      <x:c r="H1740" s="28" t="n">
        <x:v>17</x:v>
      </x:c>
      <x:c r="I1740" s="28" t="n">
        <x:v>8</x:v>
      </x:c>
      <x:c r="J1740" s="28" t="n">
        <x:v>8</x:v>
      </x:c>
      <x:c r="K1740" s="28" t="n">
        <x:v>5</x:v>
      </x:c>
      <x:c r="L1740" s="28" t="n">
        <x:v>6</x:v>
      </x:c>
      <x:c r="M1740" s="28" t="n">
        <x:v>1</x:v>
      </x:c>
      <x:c r="N1740" s="28" t="n">
        <x:v>5</x:v>
      </x:c>
      <x:c r="O1740" s="28" t="n">
        <x:v>0</x:v>
      </x:c>
      <x:c r="P1740" s="28" t="n">
        <x:v>3</x:v>
      </x:c>
      <x:c r="Q1740" s="24" t="n">
        <x:f>IFERROR(J1740/H1740,0)</x:f>
        <x:v>0.47058823529411764</x:v>
      </x:c>
      <x:c r="R1740" s="24" t="n">
        <x:f>IFERROR(F1740/H1740,0)</x:f>
        <x:v>0.23529411764705882</x:v>
      </x:c>
      <x:c r="S1740" s="24" t="n">
        <x:f>IFERROR(F1740/J1740,0)</x:f>
        <x:v>0.5</x:v>
      </x:c>
      <x:c r="T1740" s="28" t="n">
        <x:f>H1740-I1740</x:f>
        <x:v>9</x:v>
      </x:c>
      <x:c r="U1740" s="24" t="n">
        <x:f>IFERROR(J1740/H1740,0)-IFERROR(K1740/I1740,0)</x:f>
        <x:v>-0.15441176470588236</x:v>
      </x:c>
      <x:c r="V1740" s="24" t="n">
        <x:f>IFERROR(F1740/J1740,0)-IFERROR(G1740/K1740,0)</x:f>
        <x:v>0.3</x:v>
      </x:c>
      <x:c r="W1740" s="28" t="n">
        <x:f>L1740-M1740</x:f>
        <x:v>5</x:v>
      </x:c>
      <x:c r="X1740" s="24" t="n">
        <x:f>IFERROR(K1740/I1740,0)</x:f>
        <x:v>0.625</x:v>
      </x:c>
      <x:c r="Y1740" s="24" t="n">
        <x:f>IFERROR(G1740/I1740,0)</x:f>
        <x:v>0.125</x:v>
      </x:c>
      <x:c r="Z1740" s="24" t="n">
        <x:f>IFERROR(G1740/K1740,0)</x:f>
        <x:v>0.2</x:v>
      </x:c>
      <x:c r="AA1740" s="24" t="n">
        <x:f>IFERROR(F1740/H1740,0)-IFERROR(G1740/I1740,0)</x:f>
        <x:v>0.11029411764705882</x:v>
      </x:c>
      <x:c r="AB1740" s="28" t="n">
        <x:f>J1740-K1740</x:f>
        <x:v>3</x:v>
      </x:c>
      <x:c r="AC1740" s="32" t="n">
        <x:f>F1740-G1740</x:f>
        <x:v>3</x:v>
      </x:c>
    </x:row>
    <x:row r="1741">
      <x:c r="A1741" s="4" t="str">
        <x:v>2023-24</x:v>
      </x:c>
      <x:c r="B1741" s="20" t="n">
        <x:v>45236</x:v>
      </x:c>
      <x:c r="C1741" s="4" t="str">
        <x:v>Tottenham</x:v>
      </x:c>
      <x:c r="D1741" s="4" t="str">
        <x:v>Chelsea</x:v>
      </x:c>
      <x:c r="E1741" s="4" t="str">
        <x:v>Home</x:v>
      </x:c>
      <x:c r="F1741" s="28" t="n">
        <x:v>1</x:v>
      </x:c>
      <x:c r="G1741" s="28" t="n">
        <x:v>4</x:v>
      </x:c>
      <x:c r="H1741" s="28" t="n">
        <x:v>8</x:v>
      </x:c>
      <x:c r="I1741" s="28" t="n">
        <x:v>17</x:v>
      </x:c>
      <x:c r="J1741" s="28" t="n">
        <x:v>5</x:v>
      </x:c>
      <x:c r="K1741" s="28" t="n">
        <x:v>8</x:v>
      </x:c>
      <x:c r="L1741" s="28" t="n">
        <x:v>1</x:v>
      </x:c>
      <x:c r="M1741" s="28" t="n">
        <x:v>6</x:v>
      </x:c>
      <x:c r="N1741" s="28" t="n">
        <x:v>1</x:v>
      </x:c>
      <x:c r="O1741" s="28" t="n">
        <x:v>2</x:v>
      </x:c>
      <x:c r="P1741" s="28" t="n">
        <x:v>0</x:v>
      </x:c>
      <x:c r="Q1741" s="24" t="n">
        <x:f>IFERROR(J1741/H1741,0)</x:f>
        <x:v>0.625</x:v>
      </x:c>
      <x:c r="R1741" s="24" t="n">
        <x:f>IFERROR(F1741/H1741,0)</x:f>
        <x:v>0.125</x:v>
      </x:c>
      <x:c r="S1741" s="24" t="n">
        <x:f>IFERROR(F1741/J1741,0)</x:f>
        <x:v>0.2</x:v>
      </x:c>
      <x:c r="T1741" s="28" t="n">
        <x:f>H1741-I1741</x:f>
        <x:v>-9</x:v>
      </x:c>
      <x:c r="U1741" s="24" t="n">
        <x:f>IFERROR(J1741/H1741,0)-IFERROR(K1741/I1741,0)</x:f>
        <x:v>0.15441176470588236</x:v>
      </x:c>
      <x:c r="V1741" s="24" t="n">
        <x:f>IFERROR(F1741/J1741,0)-IFERROR(G1741/K1741,0)</x:f>
        <x:v>-0.3</x:v>
      </x:c>
      <x:c r="W1741" s="28" t="n">
        <x:f>L1741-M1741</x:f>
        <x:v>-5</x:v>
      </x:c>
      <x:c r="X1741" s="24" t="n">
        <x:f>IFERROR(K1741/I1741,0)</x:f>
        <x:v>0.47058823529411764</x:v>
      </x:c>
      <x:c r="Y1741" s="24" t="n">
        <x:f>IFERROR(G1741/I1741,0)</x:f>
        <x:v>0.23529411764705882</x:v>
      </x:c>
      <x:c r="Z1741" s="24" t="n">
        <x:f>IFERROR(G1741/K1741,0)</x:f>
        <x:v>0.5</x:v>
      </x:c>
      <x:c r="AA1741" s="24" t="n">
        <x:f>IFERROR(F1741/H1741,0)-IFERROR(G1741/I1741,0)</x:f>
        <x:v>-0.11029411764705882</x:v>
      </x:c>
      <x:c r="AB1741" s="28" t="n">
        <x:f>J1741-K1741</x:f>
        <x:v>-3</x:v>
      </x:c>
      <x:c r="AC1741" s="32" t="n">
        <x:f>F1741-G1741</x:f>
        <x:v>-3</x:v>
      </x:c>
    </x:row>
    <x:row r="1742">
      <x:c r="A1742" s="4" t="str">
        <x:v>2023-24</x:v>
      </x:c>
      <x:c r="B1742" s="20" t="n">
        <x:v>45241</x:v>
      </x:c>
      <x:c r="C1742" s="4" t="str">
        <x:v>Arsenal</x:v>
      </x:c>
      <x:c r="D1742" s="4" t="str">
        <x:v>Burnley</x:v>
      </x:c>
      <x:c r="E1742" s="4" t="str">
        <x:v>Home</x:v>
      </x:c>
      <x:c r="F1742" s="28" t="n">
        <x:v>3</x:v>
      </x:c>
      <x:c r="G1742" s="28" t="n">
        <x:v>1</x:v>
      </x:c>
      <x:c r="H1742" s="28" t="n">
        <x:v>16</x:v>
      </x:c>
      <x:c r="I1742" s="28" t="n">
        <x:v>8</x:v>
      </x:c>
      <x:c r="J1742" s="28" t="n">
        <x:v>6</x:v>
      </x:c>
      <x:c r="K1742" s="28" t="n">
        <x:v>5</x:v>
      </x:c>
      <x:c r="L1742" s="28" t="n">
        <x:v>3</x:v>
      </x:c>
      <x:c r="M1742" s="28" t="n">
        <x:v>3</x:v>
      </x:c>
      <x:c r="N1742" s="28" t="n">
        <x:v>0</x:v>
      </x:c>
      <x:c r="O1742" s="28" t="n">
        <x:v>1</x:v>
      </x:c>
      <x:c r="P1742" s="28" t="n">
        <x:v>3</x:v>
      </x:c>
      <x:c r="Q1742" s="24" t="n">
        <x:f>IFERROR(J1742/H1742,0)</x:f>
        <x:v>0.375</x:v>
      </x:c>
      <x:c r="R1742" s="24" t="n">
        <x:f>IFERROR(F1742/H1742,0)</x:f>
        <x:v>0.1875</x:v>
      </x:c>
      <x:c r="S1742" s="24" t="n">
        <x:f>IFERROR(F1742/J1742,0)</x:f>
        <x:v>0.5</x:v>
      </x:c>
      <x:c r="T1742" s="28" t="n">
        <x:f>H1742-I1742</x:f>
        <x:v>8</x:v>
      </x:c>
      <x:c r="U1742" s="24" t="n">
        <x:f>IFERROR(J1742/H1742,0)-IFERROR(K1742/I1742,0)</x:f>
        <x:v>-0.25</x:v>
      </x:c>
      <x:c r="V1742" s="24" t="n">
        <x:f>IFERROR(F1742/J1742,0)-IFERROR(G1742/K1742,0)</x:f>
        <x:v>0.3</x:v>
      </x:c>
      <x:c r="W1742" s="28" t="n">
        <x:f>L1742-M1742</x:f>
        <x:v>0</x:v>
      </x:c>
      <x:c r="X1742" s="24" t="n">
        <x:f>IFERROR(K1742/I1742,0)</x:f>
        <x:v>0.625</x:v>
      </x:c>
      <x:c r="Y1742" s="24" t="n">
        <x:f>IFERROR(G1742/I1742,0)</x:f>
        <x:v>0.125</x:v>
      </x:c>
      <x:c r="Z1742" s="24" t="n">
        <x:f>IFERROR(G1742/K1742,0)</x:f>
        <x:v>0.2</x:v>
      </x:c>
      <x:c r="AA1742" s="24" t="n">
        <x:f>IFERROR(F1742/H1742,0)-IFERROR(G1742/I1742,0)</x:f>
        <x:v>0.0625</x:v>
      </x:c>
      <x:c r="AB1742" s="28" t="n">
        <x:f>J1742-K1742</x:f>
        <x:v>1</x:v>
      </x:c>
      <x:c r="AC1742" s="32" t="n">
        <x:f>F1742-G1742</x:f>
        <x:v>2</x:v>
      </x:c>
    </x:row>
    <x:row r="1743">
      <x:c r="A1743" s="4" t="str">
        <x:v>2023-24</x:v>
      </x:c>
      <x:c r="B1743" s="20" t="n">
        <x:v>45241</x:v>
      </x:c>
      <x:c r="C1743" s="4" t="str">
        <x:v>Bournemouth</x:v>
      </x:c>
      <x:c r="D1743" s="4" t="str">
        <x:v>Newcastle</x:v>
      </x:c>
      <x:c r="E1743" s="4" t="str">
        <x:v>Home</x:v>
      </x:c>
      <x:c r="F1743" s="28" t="n">
        <x:v>2</x:v>
      </x:c>
      <x:c r="G1743" s="28" t="n">
        <x:v>0</x:v>
      </x:c>
      <x:c r="H1743" s="28" t="n">
        <x:v>19</x:v>
      </x:c>
      <x:c r="I1743" s="28" t="n">
        <x:v>8</x:v>
      </x:c>
      <x:c r="J1743" s="28" t="n">
        <x:v>10</x:v>
      </x:c>
      <x:c r="K1743" s="28" t="n">
        <x:v>5</x:v>
      </x:c>
      <x:c r="L1743" s="28" t="n">
        <x:v>6</x:v>
      </x:c>
      <x:c r="M1743" s="28" t="n">
        <x:v>5</x:v>
      </x:c>
      <x:c r="N1743" s="28" t="n">
        <x:v>2</x:v>
      </x:c>
      <x:c r="O1743" s="28" t="n">
        <x:v>0</x:v>
      </x:c>
      <x:c r="P1743" s="28" t="n">
        <x:v>3</x:v>
      </x:c>
      <x:c r="Q1743" s="24" t="n">
        <x:f>IFERROR(J1743/H1743,0)</x:f>
        <x:v>0.5263157894736842</x:v>
      </x:c>
      <x:c r="R1743" s="24" t="n">
        <x:f>IFERROR(F1743/H1743,0)</x:f>
        <x:v>0.10526315789473684</x:v>
      </x:c>
      <x:c r="S1743" s="24" t="n">
        <x:f>IFERROR(F1743/J1743,0)</x:f>
        <x:v>0.2</x:v>
      </x:c>
      <x:c r="T1743" s="28" t="n">
        <x:f>H1743-I1743</x:f>
        <x:v>11</x:v>
      </x:c>
      <x:c r="U1743" s="24" t="n">
        <x:f>IFERROR(J1743/H1743,0)-IFERROR(K1743/I1743,0)</x:f>
        <x:v>-0.09868421052631582</x:v>
      </x:c>
      <x:c r="V1743" s="24" t="n">
        <x:f>IFERROR(F1743/J1743,0)-IFERROR(G1743/K1743,0)</x:f>
        <x:v>0.2</x:v>
      </x:c>
      <x:c r="W1743" s="28" t="n">
        <x:f>L1743-M1743</x:f>
        <x:v>1</x:v>
      </x:c>
      <x:c r="X1743" s="24" t="n">
        <x:f>IFERROR(K1743/I1743,0)</x:f>
        <x:v>0.625</x:v>
      </x:c>
      <x:c r="Y1743" s="24" t="n">
        <x:f>IFERROR(G1743/I1743,0)</x:f>
        <x:v>0</x:v>
      </x:c>
      <x:c r="Z1743" s="24" t="n">
        <x:f>IFERROR(G1743/K1743,0)</x:f>
        <x:v>0</x:v>
      </x:c>
      <x:c r="AA1743" s="24" t="n">
        <x:f>IFERROR(F1743/H1743,0)-IFERROR(G1743/I1743,0)</x:f>
        <x:v>0.10526315789473684</x:v>
      </x:c>
      <x:c r="AB1743" s="28" t="n">
        <x:f>J1743-K1743</x:f>
        <x:v>5</x:v>
      </x:c>
      <x:c r="AC1743" s="32" t="n">
        <x:f>F1743-G1743</x:f>
        <x:v>2</x:v>
      </x:c>
    </x:row>
    <x:row r="1744">
      <x:c r="A1744" s="4" t="str">
        <x:v>2023-24</x:v>
      </x:c>
      <x:c r="B1744" s="20" t="n">
        <x:v>45241</x:v>
      </x:c>
      <x:c r="C1744" s="4" t="str">
        <x:v>Burnley</x:v>
      </x:c>
      <x:c r="D1744" s="4" t="str">
        <x:v>Arsenal</x:v>
      </x:c>
      <x:c r="E1744" s="4" t="str">
        <x:v>Away</x:v>
      </x:c>
      <x:c r="F1744" s="28" t="n">
        <x:v>1</x:v>
      </x:c>
      <x:c r="G1744" s="28" t="n">
        <x:v>3</x:v>
      </x:c>
      <x:c r="H1744" s="28" t="n">
        <x:v>8</x:v>
      </x:c>
      <x:c r="I1744" s="28" t="n">
        <x:v>16</x:v>
      </x:c>
      <x:c r="J1744" s="28" t="n">
        <x:v>5</x:v>
      </x:c>
      <x:c r="K1744" s="28" t="n">
        <x:v>6</x:v>
      </x:c>
      <x:c r="L1744" s="28" t="n">
        <x:v>3</x:v>
      </x:c>
      <x:c r="M1744" s="28" t="n">
        <x:v>3</x:v>
      </x:c>
      <x:c r="N1744" s="28" t="n">
        <x:v>1</x:v>
      </x:c>
      <x:c r="O1744" s="28" t="n">
        <x:v>0</x:v>
      </x:c>
      <x:c r="P1744" s="28" t="n">
        <x:v>0</x:v>
      </x:c>
      <x:c r="Q1744" s="24" t="n">
        <x:f>IFERROR(J1744/H1744,0)</x:f>
        <x:v>0.625</x:v>
      </x:c>
      <x:c r="R1744" s="24" t="n">
        <x:f>IFERROR(F1744/H1744,0)</x:f>
        <x:v>0.125</x:v>
      </x:c>
      <x:c r="S1744" s="24" t="n">
        <x:f>IFERROR(F1744/J1744,0)</x:f>
        <x:v>0.2</x:v>
      </x:c>
      <x:c r="T1744" s="28" t="n">
        <x:f>H1744-I1744</x:f>
        <x:v>-8</x:v>
      </x:c>
      <x:c r="U1744" s="24" t="n">
        <x:f>IFERROR(J1744/H1744,0)-IFERROR(K1744/I1744,0)</x:f>
        <x:v>0.25</x:v>
      </x:c>
      <x:c r="V1744" s="24" t="n">
        <x:f>IFERROR(F1744/J1744,0)-IFERROR(G1744/K1744,0)</x:f>
        <x:v>-0.3</x:v>
      </x:c>
      <x:c r="W1744" s="28" t="n">
        <x:f>L1744-M1744</x:f>
        <x:v>0</x:v>
      </x:c>
      <x:c r="X1744" s="24" t="n">
        <x:f>IFERROR(K1744/I1744,0)</x:f>
        <x:v>0.375</x:v>
      </x:c>
      <x:c r="Y1744" s="24" t="n">
        <x:f>IFERROR(G1744/I1744,0)</x:f>
        <x:v>0.1875</x:v>
      </x:c>
      <x:c r="Z1744" s="24" t="n">
        <x:f>IFERROR(G1744/K1744,0)</x:f>
        <x:v>0.5</x:v>
      </x:c>
      <x:c r="AA1744" s="24" t="n">
        <x:f>IFERROR(F1744/H1744,0)-IFERROR(G1744/I1744,0)</x:f>
        <x:v>-0.0625</x:v>
      </x:c>
      <x:c r="AB1744" s="28" t="n">
        <x:f>J1744-K1744</x:f>
        <x:v>-1</x:v>
      </x:c>
      <x:c r="AC1744" s="32" t="n">
        <x:f>F1744-G1744</x:f>
        <x:v>-2</x:v>
      </x:c>
    </x:row>
    <x:row r="1745">
      <x:c r="A1745" s="4" t="str">
        <x:v>2023-24</x:v>
      </x:c>
      <x:c r="B1745" s="20" t="n">
        <x:v>45241</x:v>
      </x:c>
      <x:c r="C1745" s="4" t="str">
        <x:v>Crystal Palace</x:v>
      </x:c>
      <x:c r="D1745" s="4" t="str">
        <x:v>Everton</x:v>
      </x:c>
      <x:c r="E1745" s="4" t="str">
        <x:v>Home</x:v>
      </x:c>
      <x:c r="F1745" s="28" t="n">
        <x:v>2</x:v>
      </x:c>
      <x:c r="G1745" s="28" t="n">
        <x:v>3</x:v>
      </x:c>
      <x:c r="H1745" s="28" t="n">
        <x:v>13</x:v>
      </x:c>
      <x:c r="I1745" s="28" t="n">
        <x:v>8</x:v>
      </x:c>
      <x:c r="J1745" s="28" t="n">
        <x:v>4</x:v>
      </x:c>
      <x:c r="K1745" s="28" t="n">
        <x:v>4</x:v>
      </x:c>
      <x:c r="L1745" s="28" t="n">
        <x:v>9</x:v>
      </x:c>
      <x:c r="M1745" s="28" t="n">
        <x:v>2</x:v>
      </x:c>
      <x:c r="N1745" s="28" t="n">
        <x:v>1</x:v>
      </x:c>
      <x:c r="O1745" s="28" t="n">
        <x:v>0</x:v>
      </x:c>
      <x:c r="P1745" s="28" t="n">
        <x:v>0</x:v>
      </x:c>
      <x:c r="Q1745" s="24" t="n">
        <x:f>IFERROR(J1745/H1745,0)</x:f>
        <x:v>0.3076923076923077</x:v>
      </x:c>
      <x:c r="R1745" s="24" t="n">
        <x:f>IFERROR(F1745/H1745,0)</x:f>
        <x:v>0.15384615384615385</x:v>
      </x:c>
      <x:c r="S1745" s="24" t="n">
        <x:f>IFERROR(F1745/J1745,0)</x:f>
        <x:v>0.5</x:v>
      </x:c>
      <x:c r="T1745" s="28" t="n">
        <x:f>H1745-I1745</x:f>
        <x:v>5</x:v>
      </x:c>
      <x:c r="U1745" s="24" t="n">
        <x:f>IFERROR(J1745/H1745,0)-IFERROR(K1745/I1745,0)</x:f>
        <x:v>-0.1923076923076923</x:v>
      </x:c>
      <x:c r="V1745" s="24" t="n">
        <x:f>IFERROR(F1745/J1745,0)-IFERROR(G1745/K1745,0)</x:f>
        <x:v>-0.25</x:v>
      </x:c>
      <x:c r="W1745" s="28" t="n">
        <x:f>L1745-M1745</x:f>
        <x:v>7</x:v>
      </x:c>
      <x:c r="X1745" s="24" t="n">
        <x:f>IFERROR(K1745/I1745,0)</x:f>
        <x:v>0.5</x:v>
      </x:c>
      <x:c r="Y1745" s="24" t="n">
        <x:f>IFERROR(G1745/I1745,0)</x:f>
        <x:v>0.375</x:v>
      </x:c>
      <x:c r="Z1745" s="24" t="n">
        <x:f>IFERROR(G1745/K1745,0)</x:f>
        <x:v>0.75</x:v>
      </x:c>
      <x:c r="AA1745" s="24" t="n">
        <x:f>IFERROR(F1745/H1745,0)-IFERROR(G1745/I1745,0)</x:f>
        <x:v>-0.22115384615384615</x:v>
      </x:c>
      <x:c r="AB1745" s="28" t="n">
        <x:f>J1745-K1745</x:f>
        <x:v>0</x:v>
      </x:c>
      <x:c r="AC1745" s="32" t="n">
        <x:f>F1745-G1745</x:f>
        <x:v>-1</x:v>
      </x:c>
    </x:row>
    <x:row r="1746">
      <x:c r="A1746" s="4" t="str">
        <x:v>2023-24</x:v>
      </x:c>
      <x:c r="B1746" s="20" t="n">
        <x:v>45241</x:v>
      </x:c>
      <x:c r="C1746" s="4" t="str">
        <x:v>Everton</x:v>
      </x:c>
      <x:c r="D1746" s="4" t="str">
        <x:v>Crystal Palace</x:v>
      </x:c>
      <x:c r="E1746" s="4" t="str">
        <x:v>Away</x:v>
      </x:c>
      <x:c r="F1746" s="28" t="n">
        <x:v>3</x:v>
      </x:c>
      <x:c r="G1746" s="28" t="n">
        <x:v>2</x:v>
      </x:c>
      <x:c r="H1746" s="28" t="n">
        <x:v>8</x:v>
      </x:c>
      <x:c r="I1746" s="28" t="n">
        <x:v>13</x:v>
      </x:c>
      <x:c r="J1746" s="28" t="n">
        <x:v>4</x:v>
      </x:c>
      <x:c r="K1746" s="28" t="n">
        <x:v>4</x:v>
      </x:c>
      <x:c r="L1746" s="28" t="n">
        <x:v>2</x:v>
      </x:c>
      <x:c r="M1746" s="28" t="n">
        <x:v>9</x:v>
      </x:c>
      <x:c r="N1746" s="28" t="n">
        <x:v>4</x:v>
      </x:c>
      <x:c r="O1746" s="28" t="n">
        <x:v>0</x:v>
      </x:c>
      <x:c r="P1746" s="28" t="n">
        <x:v>3</x:v>
      </x:c>
      <x:c r="Q1746" s="24" t="n">
        <x:f>IFERROR(J1746/H1746,0)</x:f>
        <x:v>0.5</x:v>
      </x:c>
      <x:c r="R1746" s="24" t="n">
        <x:f>IFERROR(F1746/H1746,0)</x:f>
        <x:v>0.375</x:v>
      </x:c>
      <x:c r="S1746" s="24" t="n">
        <x:f>IFERROR(F1746/J1746,0)</x:f>
        <x:v>0.75</x:v>
      </x:c>
      <x:c r="T1746" s="28" t="n">
        <x:f>H1746-I1746</x:f>
        <x:v>-5</x:v>
      </x:c>
      <x:c r="U1746" s="24" t="n">
        <x:f>IFERROR(J1746/H1746,0)-IFERROR(K1746/I1746,0)</x:f>
        <x:v>0.1923076923076923</x:v>
      </x:c>
      <x:c r="V1746" s="24" t="n">
        <x:f>IFERROR(F1746/J1746,0)-IFERROR(G1746/K1746,0)</x:f>
        <x:v>0.25</x:v>
      </x:c>
      <x:c r="W1746" s="28" t="n">
        <x:f>L1746-M1746</x:f>
        <x:v>-7</x:v>
      </x:c>
      <x:c r="X1746" s="24" t="n">
        <x:f>IFERROR(K1746/I1746,0)</x:f>
        <x:v>0.3076923076923077</x:v>
      </x:c>
      <x:c r="Y1746" s="24" t="n">
        <x:f>IFERROR(G1746/I1746,0)</x:f>
        <x:v>0.15384615384615385</x:v>
      </x:c>
      <x:c r="Z1746" s="24" t="n">
        <x:f>IFERROR(G1746/K1746,0)</x:f>
        <x:v>0.5</x:v>
      </x:c>
      <x:c r="AA1746" s="24" t="n">
        <x:f>IFERROR(F1746/H1746,0)-IFERROR(G1746/I1746,0)</x:f>
        <x:v>0.22115384615384615</x:v>
      </x:c>
      <x:c r="AB1746" s="28" t="n">
        <x:f>J1746-K1746</x:f>
        <x:v>0</x:v>
      </x:c>
      <x:c r="AC1746" s="32" t="n">
        <x:f>F1746-G1746</x:f>
        <x:v>1</x:v>
      </x:c>
    </x:row>
    <x:row r="1747">
      <x:c r="A1747" s="4" t="str">
        <x:v>2023-24</x:v>
      </x:c>
      <x:c r="B1747" s="20" t="n">
        <x:v>45241</x:v>
      </x:c>
      <x:c r="C1747" s="4" t="str">
        <x:v>Luton</x:v>
      </x:c>
      <x:c r="D1747" s="4" t="str">
        <x:v>Man United</x:v>
      </x:c>
      <x:c r="E1747" s="4" t="str">
        <x:v>Away</x:v>
      </x:c>
      <x:c r="F1747" s="28" t="n">
        <x:v>0</x:v>
      </x:c>
      <x:c r="G1747" s="28" t="n">
        <x:v>1</x:v>
      </x:c>
      <x:c r="H1747" s="28" t="n">
        <x:v>10</x:v>
      </x:c>
      <x:c r="I1747" s="28" t="n">
        <x:v>15</x:v>
      </x:c>
      <x:c r="J1747" s="28" t="n">
        <x:v>4</x:v>
      </x:c>
      <x:c r="K1747" s="28" t="n">
        <x:v>4</x:v>
      </x:c>
      <x:c r="L1747" s="28" t="n">
        <x:v>3</x:v>
      </x:c>
      <x:c r="M1747" s="28" t="n">
        <x:v>11</x:v>
      </x:c>
      <x:c r="N1747" s="28" t="n">
        <x:v>2</x:v>
      </x:c>
      <x:c r="O1747" s="28" t="n">
        <x:v>0</x:v>
      </x:c>
      <x:c r="P1747" s="28" t="n">
        <x:v>0</x:v>
      </x:c>
      <x:c r="Q1747" s="24" t="n">
        <x:f>IFERROR(J1747/H1747,0)</x:f>
        <x:v>0.4</x:v>
      </x:c>
      <x:c r="R1747" s="24" t="n">
        <x:f>IFERROR(F1747/H1747,0)</x:f>
        <x:v>0</x:v>
      </x:c>
      <x:c r="S1747" s="24" t="n">
        <x:f>IFERROR(F1747/J1747,0)</x:f>
        <x:v>0</x:v>
      </x:c>
      <x:c r="T1747" s="28" t="n">
        <x:f>H1747-I1747</x:f>
        <x:v>-5</x:v>
      </x:c>
      <x:c r="U1747" s="24" t="n">
        <x:f>IFERROR(J1747/H1747,0)-IFERROR(K1747/I1747,0)</x:f>
        <x:v>0.13333333333333336</x:v>
      </x:c>
      <x:c r="V1747" s="24" t="n">
        <x:f>IFERROR(F1747/J1747,0)-IFERROR(G1747/K1747,0)</x:f>
        <x:v>-0.25</x:v>
      </x:c>
      <x:c r="W1747" s="28" t="n">
        <x:f>L1747-M1747</x:f>
        <x:v>-8</x:v>
      </x:c>
      <x:c r="X1747" s="24" t="n">
        <x:f>IFERROR(K1747/I1747,0)</x:f>
        <x:v>0.26666666666666666</x:v>
      </x:c>
      <x:c r="Y1747" s="24" t="n">
        <x:f>IFERROR(G1747/I1747,0)</x:f>
        <x:v>0.06666666666666667</x:v>
      </x:c>
      <x:c r="Z1747" s="24" t="n">
        <x:f>IFERROR(G1747/K1747,0)</x:f>
        <x:v>0.25</x:v>
      </x:c>
      <x:c r="AA1747" s="24" t="n">
        <x:f>IFERROR(F1747/H1747,0)-IFERROR(G1747/I1747,0)</x:f>
        <x:v>-0.06666666666666667</x:v>
      </x:c>
      <x:c r="AB1747" s="28" t="n">
        <x:f>J1747-K1747</x:f>
        <x:v>0</x:v>
      </x:c>
      <x:c r="AC1747" s="32" t="n">
        <x:f>F1747-G1747</x:f>
        <x:v>-1</x:v>
      </x:c>
    </x:row>
    <x:row r="1748">
      <x:c r="A1748" s="4" t="str">
        <x:v>2023-24</x:v>
      </x:c>
      <x:c r="B1748" s="20" t="n">
        <x:v>45241</x:v>
      </x:c>
      <x:c r="C1748" s="4" t="str">
        <x:v>Man United</x:v>
      </x:c>
      <x:c r="D1748" s="4" t="str">
        <x:v>Luton</x:v>
      </x:c>
      <x:c r="E1748" s="4" t="str">
        <x:v>Home</x:v>
      </x:c>
      <x:c r="F1748" s="28" t="n">
        <x:v>1</x:v>
      </x:c>
      <x:c r="G1748" s="28" t="n">
        <x:v>0</x:v>
      </x:c>
      <x:c r="H1748" s="28" t="n">
        <x:v>15</x:v>
      </x:c>
      <x:c r="I1748" s="28" t="n">
        <x:v>10</x:v>
      </x:c>
      <x:c r="J1748" s="28" t="n">
        <x:v>4</x:v>
      </x:c>
      <x:c r="K1748" s="28" t="n">
        <x:v>4</x:v>
      </x:c>
      <x:c r="L1748" s="28" t="n">
        <x:v>11</x:v>
      </x:c>
      <x:c r="M1748" s="28" t="n">
        <x:v>3</x:v>
      </x:c>
      <x:c r="N1748" s="28" t="n">
        <x:v>0</x:v>
      </x:c>
      <x:c r="O1748" s="28" t="n">
        <x:v>0</x:v>
      </x:c>
      <x:c r="P1748" s="28" t="n">
        <x:v>3</x:v>
      </x:c>
      <x:c r="Q1748" s="24" t="n">
        <x:f>IFERROR(J1748/H1748,0)</x:f>
        <x:v>0.26666666666666666</x:v>
      </x:c>
      <x:c r="R1748" s="24" t="n">
        <x:f>IFERROR(F1748/H1748,0)</x:f>
        <x:v>0.06666666666666667</x:v>
      </x:c>
      <x:c r="S1748" s="24" t="n">
        <x:f>IFERROR(F1748/J1748,0)</x:f>
        <x:v>0.25</x:v>
      </x:c>
      <x:c r="T1748" s="28" t="n">
        <x:f>H1748-I1748</x:f>
        <x:v>5</x:v>
      </x:c>
      <x:c r="U1748" s="24" t="n">
        <x:f>IFERROR(J1748/H1748,0)-IFERROR(K1748/I1748,0)</x:f>
        <x:v>-0.13333333333333336</x:v>
      </x:c>
      <x:c r="V1748" s="24" t="n">
        <x:f>IFERROR(F1748/J1748,0)-IFERROR(G1748/K1748,0)</x:f>
        <x:v>0.25</x:v>
      </x:c>
      <x:c r="W1748" s="28" t="n">
        <x:f>L1748-M1748</x:f>
        <x:v>8</x:v>
      </x:c>
      <x:c r="X1748" s="24" t="n">
        <x:f>IFERROR(K1748/I1748,0)</x:f>
        <x:v>0.4</x:v>
      </x:c>
      <x:c r="Y1748" s="24" t="n">
        <x:f>IFERROR(G1748/I1748,0)</x:f>
        <x:v>0</x:v>
      </x:c>
      <x:c r="Z1748" s="24" t="n">
        <x:f>IFERROR(G1748/K1748,0)</x:f>
        <x:v>0</x:v>
      </x:c>
      <x:c r="AA1748" s="24" t="n">
        <x:f>IFERROR(F1748/H1748,0)-IFERROR(G1748/I1748,0)</x:f>
        <x:v>0.06666666666666667</x:v>
      </x:c>
      <x:c r="AB1748" s="28" t="n">
        <x:f>J1748-K1748</x:f>
        <x:v>0</x:v>
      </x:c>
      <x:c r="AC1748" s="32" t="n">
        <x:f>F1748-G1748</x:f>
        <x:v>1</x:v>
      </x:c>
    </x:row>
    <x:row r="1749">
      <x:c r="A1749" s="4" t="str">
        <x:v>2023-24</x:v>
      </x:c>
      <x:c r="B1749" s="20" t="n">
        <x:v>45241</x:v>
      </x:c>
      <x:c r="C1749" s="4" t="str">
        <x:v>Newcastle</x:v>
      </x:c>
      <x:c r="D1749" s="4" t="str">
        <x:v>Bournemouth</x:v>
      </x:c>
      <x:c r="E1749" s="4" t="str">
        <x:v>Away</x:v>
      </x:c>
      <x:c r="F1749" s="28" t="n">
        <x:v>0</x:v>
      </x:c>
      <x:c r="G1749" s="28" t="n">
        <x:v>2</x:v>
      </x:c>
      <x:c r="H1749" s="28" t="n">
        <x:v>8</x:v>
      </x:c>
      <x:c r="I1749" s="28" t="n">
        <x:v>19</x:v>
      </x:c>
      <x:c r="J1749" s="28" t="n">
        <x:v>5</x:v>
      </x:c>
      <x:c r="K1749" s="28" t="n">
        <x:v>10</x:v>
      </x:c>
      <x:c r="L1749" s="28" t="n">
        <x:v>5</x:v>
      </x:c>
      <x:c r="M1749" s="28" t="n">
        <x:v>6</x:v>
      </x:c>
      <x:c r="N1749" s="28" t="n">
        <x:v>1</x:v>
      </x:c>
      <x:c r="O1749" s="28" t="n">
        <x:v>0</x:v>
      </x:c>
      <x:c r="P1749" s="28" t="n">
        <x:v>0</x:v>
      </x:c>
      <x:c r="Q1749" s="24" t="n">
        <x:f>IFERROR(J1749/H1749,0)</x:f>
        <x:v>0.625</x:v>
      </x:c>
      <x:c r="R1749" s="24" t="n">
        <x:f>IFERROR(F1749/H1749,0)</x:f>
        <x:v>0</x:v>
      </x:c>
      <x:c r="S1749" s="24" t="n">
        <x:f>IFERROR(F1749/J1749,0)</x:f>
        <x:v>0</x:v>
      </x:c>
      <x:c r="T1749" s="28" t="n">
        <x:f>H1749-I1749</x:f>
        <x:v>-11</x:v>
      </x:c>
      <x:c r="U1749" s="24" t="n">
        <x:f>IFERROR(J1749/H1749,0)-IFERROR(K1749/I1749,0)</x:f>
        <x:v>0.09868421052631582</x:v>
      </x:c>
      <x:c r="V1749" s="24" t="n">
        <x:f>IFERROR(F1749/J1749,0)-IFERROR(G1749/K1749,0)</x:f>
        <x:v>-0.2</x:v>
      </x:c>
      <x:c r="W1749" s="28" t="n">
        <x:f>L1749-M1749</x:f>
        <x:v>-1</x:v>
      </x:c>
      <x:c r="X1749" s="24" t="n">
        <x:f>IFERROR(K1749/I1749,0)</x:f>
        <x:v>0.5263157894736842</x:v>
      </x:c>
      <x:c r="Y1749" s="24" t="n">
        <x:f>IFERROR(G1749/I1749,0)</x:f>
        <x:v>0.10526315789473684</x:v>
      </x:c>
      <x:c r="Z1749" s="24" t="n">
        <x:f>IFERROR(G1749/K1749,0)</x:f>
        <x:v>0.2</x:v>
      </x:c>
      <x:c r="AA1749" s="24" t="n">
        <x:f>IFERROR(F1749/H1749,0)-IFERROR(G1749/I1749,0)</x:f>
        <x:v>-0.10526315789473684</x:v>
      </x:c>
      <x:c r="AB1749" s="28" t="n">
        <x:f>J1749-K1749</x:f>
        <x:v>-5</x:v>
      </x:c>
      <x:c r="AC1749" s="32" t="n">
        <x:f>F1749-G1749</x:f>
        <x:v>-2</x:v>
      </x:c>
    </x:row>
    <x:row r="1750">
      <x:c r="A1750" s="4" t="str">
        <x:v>2023-24</x:v>
      </x:c>
      <x:c r="B1750" s="20" t="n">
        <x:v>45241</x:v>
      </x:c>
      <x:c r="C1750" s="4" t="str">
        <x:v>Tottenham</x:v>
      </x:c>
      <x:c r="D1750" s="4" t="str">
        <x:v>Wolves</x:v>
      </x:c>
      <x:c r="E1750" s="4" t="str">
        <x:v>Away</x:v>
      </x:c>
      <x:c r="F1750" s="28" t="n">
        <x:v>1</x:v>
      </x:c>
      <x:c r="G1750" s="28" t="n">
        <x:v>2</x:v>
      </x:c>
      <x:c r="H1750" s="28" t="n">
        <x:v>6</x:v>
      </x:c>
      <x:c r="I1750" s="28" t="n">
        <x:v>17</x:v>
      </x:c>
      <x:c r="J1750" s="28" t="n">
        <x:v>2</x:v>
      </x:c>
      <x:c r="K1750" s="28" t="n">
        <x:v>4</x:v>
      </x:c>
      <x:c r="L1750" s="28" t="n">
        <x:v>3</x:v>
      </x:c>
      <x:c r="M1750" s="28" t="n">
        <x:v>11</x:v>
      </x:c>
      <x:c r="N1750" s="28" t="n">
        <x:v>3</x:v>
      </x:c>
      <x:c r="O1750" s="28" t="n">
        <x:v>0</x:v>
      </x:c>
      <x:c r="P1750" s="28" t="n">
        <x:v>0</x:v>
      </x:c>
      <x:c r="Q1750" s="24" t="n">
        <x:f>IFERROR(J1750/H1750,0)</x:f>
        <x:v>0.3333333333333333</x:v>
      </x:c>
      <x:c r="R1750" s="24" t="n">
        <x:f>IFERROR(F1750/H1750,0)</x:f>
        <x:v>0.16666666666666666</x:v>
      </x:c>
      <x:c r="S1750" s="24" t="n">
        <x:f>IFERROR(F1750/J1750,0)</x:f>
        <x:v>0.5</x:v>
      </x:c>
      <x:c r="T1750" s="28" t="n">
        <x:f>H1750-I1750</x:f>
        <x:v>-11</x:v>
      </x:c>
      <x:c r="U1750" s="24" t="n">
        <x:f>IFERROR(J1750/H1750,0)-IFERROR(K1750/I1750,0)</x:f>
        <x:v>0.0980392156862745</x:v>
      </x:c>
      <x:c r="V1750" s="24" t="n">
        <x:f>IFERROR(F1750/J1750,0)-IFERROR(G1750/K1750,0)</x:f>
        <x:v>0</x:v>
      </x:c>
      <x:c r="W1750" s="28" t="n">
        <x:f>L1750-M1750</x:f>
        <x:v>-8</x:v>
      </x:c>
      <x:c r="X1750" s="24" t="n">
        <x:f>IFERROR(K1750/I1750,0)</x:f>
        <x:v>0.23529411764705882</x:v>
      </x:c>
      <x:c r="Y1750" s="24" t="n">
        <x:f>IFERROR(G1750/I1750,0)</x:f>
        <x:v>0.11764705882352941</x:v>
      </x:c>
      <x:c r="Z1750" s="24" t="n">
        <x:f>IFERROR(G1750/K1750,0)</x:f>
        <x:v>0.5</x:v>
      </x:c>
      <x:c r="AA1750" s="24" t="n">
        <x:f>IFERROR(F1750/H1750,0)-IFERROR(G1750/I1750,0)</x:f>
        <x:v>0.04901960784313725</x:v>
      </x:c>
      <x:c r="AB1750" s="28" t="n">
        <x:f>J1750-K1750</x:f>
        <x:v>-2</x:v>
      </x:c>
      <x:c r="AC1750" s="32" t="n">
        <x:f>F1750-G1750</x:f>
        <x:v>-1</x:v>
      </x:c>
    </x:row>
    <x:row r="1751">
      <x:c r="A1751" s="4" t="str">
        <x:v>2023-24</x:v>
      </x:c>
      <x:c r="B1751" s="20" t="n">
        <x:v>45241</x:v>
      </x:c>
      <x:c r="C1751" s="4" t="str">
        <x:v>Wolves</x:v>
      </x:c>
      <x:c r="D1751" s="4" t="str">
        <x:v>Tottenham</x:v>
      </x:c>
      <x:c r="E1751" s="4" t="str">
        <x:v>Home</x:v>
      </x:c>
      <x:c r="F1751" s="28" t="n">
        <x:v>2</x:v>
      </x:c>
      <x:c r="G1751" s="28" t="n">
        <x:v>1</x:v>
      </x:c>
      <x:c r="H1751" s="28" t="n">
        <x:v>17</x:v>
      </x:c>
      <x:c r="I1751" s="28" t="n">
        <x:v>6</x:v>
      </x:c>
      <x:c r="J1751" s="28" t="n">
        <x:v>4</x:v>
      </x:c>
      <x:c r="K1751" s="28" t="n">
        <x:v>2</x:v>
      </x:c>
      <x:c r="L1751" s="28" t="n">
        <x:v>11</x:v>
      </x:c>
      <x:c r="M1751" s="28" t="n">
        <x:v>3</x:v>
      </x:c>
      <x:c r="N1751" s="28" t="n">
        <x:v>4</x:v>
      </x:c>
      <x:c r="O1751" s="28" t="n">
        <x:v>0</x:v>
      </x:c>
      <x:c r="P1751" s="28" t="n">
        <x:v>3</x:v>
      </x:c>
      <x:c r="Q1751" s="24" t="n">
        <x:f>IFERROR(J1751/H1751,0)</x:f>
        <x:v>0.23529411764705882</x:v>
      </x:c>
      <x:c r="R1751" s="24" t="n">
        <x:f>IFERROR(F1751/H1751,0)</x:f>
        <x:v>0.11764705882352941</x:v>
      </x:c>
      <x:c r="S1751" s="24" t="n">
        <x:f>IFERROR(F1751/J1751,0)</x:f>
        <x:v>0.5</x:v>
      </x:c>
      <x:c r="T1751" s="28" t="n">
        <x:f>H1751-I1751</x:f>
        <x:v>11</x:v>
      </x:c>
      <x:c r="U1751" s="24" t="n">
        <x:f>IFERROR(J1751/H1751,0)-IFERROR(K1751/I1751,0)</x:f>
        <x:v>-0.0980392156862745</x:v>
      </x:c>
      <x:c r="V1751" s="24" t="n">
        <x:f>IFERROR(F1751/J1751,0)-IFERROR(G1751/K1751,0)</x:f>
        <x:v>0</x:v>
      </x:c>
      <x:c r="W1751" s="28" t="n">
        <x:f>L1751-M1751</x:f>
        <x:v>8</x:v>
      </x:c>
      <x:c r="X1751" s="24" t="n">
        <x:f>IFERROR(K1751/I1751,0)</x:f>
        <x:v>0.3333333333333333</x:v>
      </x:c>
      <x:c r="Y1751" s="24" t="n">
        <x:f>IFERROR(G1751/I1751,0)</x:f>
        <x:v>0.16666666666666666</x:v>
      </x:c>
      <x:c r="Z1751" s="24" t="n">
        <x:f>IFERROR(G1751/K1751,0)</x:f>
        <x:v>0.5</x:v>
      </x:c>
      <x:c r="AA1751" s="24" t="n">
        <x:f>IFERROR(F1751/H1751,0)-IFERROR(G1751/I1751,0)</x:f>
        <x:v>-0.04901960784313725</x:v>
      </x:c>
      <x:c r="AB1751" s="28" t="n">
        <x:f>J1751-K1751</x:f>
        <x:v>2</x:v>
      </x:c>
      <x:c r="AC1751" s="32" t="n">
        <x:f>F1751-G1751</x:f>
        <x:v>1</x:v>
      </x:c>
    </x:row>
    <x:row r="1752">
      <x:c r="A1752" s="4" t="str">
        <x:v>2023-24</x:v>
      </x:c>
      <x:c r="B1752" s="20" t="n">
        <x:v>45242</x:v>
      </x:c>
      <x:c r="C1752" s="4" t="str">
        <x:v>Aston Villa</x:v>
      </x:c>
      <x:c r="D1752" s="4" t="str">
        <x:v>Fulham</x:v>
      </x:c>
      <x:c r="E1752" s="4" t="str">
        <x:v>Home</x:v>
      </x:c>
      <x:c r="F1752" s="28" t="n">
        <x:v>3</x:v>
      </x:c>
      <x:c r="G1752" s="28" t="n">
        <x:v>1</x:v>
      </x:c>
      <x:c r="H1752" s="28" t="n">
        <x:v>12</x:v>
      </x:c>
      <x:c r="I1752" s="28" t="n">
        <x:v>9</x:v>
      </x:c>
      <x:c r="J1752" s="28" t="n">
        <x:v>6</x:v>
      </x:c>
      <x:c r="K1752" s="28" t="n">
        <x:v>5</x:v>
      </x:c>
      <x:c r="L1752" s="28" t="n">
        <x:v>2</x:v>
      </x:c>
      <x:c r="M1752" s="28" t="n">
        <x:v>2</x:v>
      </x:c>
      <x:c r="N1752" s="28" t="n">
        <x:v>2</x:v>
      </x:c>
      <x:c r="O1752" s="28" t="n">
        <x:v>0</x:v>
      </x:c>
      <x:c r="P1752" s="28" t="n">
        <x:v>3</x:v>
      </x:c>
      <x:c r="Q1752" s="24" t="n">
        <x:f>IFERROR(J1752/H1752,0)</x:f>
        <x:v>0.5</x:v>
      </x:c>
      <x:c r="R1752" s="24" t="n">
        <x:f>IFERROR(F1752/H1752,0)</x:f>
        <x:v>0.25</x:v>
      </x:c>
      <x:c r="S1752" s="24" t="n">
        <x:f>IFERROR(F1752/J1752,0)</x:f>
        <x:v>0.5</x:v>
      </x:c>
      <x:c r="T1752" s="28" t="n">
        <x:f>H1752-I1752</x:f>
        <x:v>3</x:v>
      </x:c>
      <x:c r="U1752" s="24" t="n">
        <x:f>IFERROR(J1752/H1752,0)-IFERROR(K1752/I1752,0)</x:f>
        <x:v>-0.05555555555555558</x:v>
      </x:c>
      <x:c r="V1752" s="24" t="n">
        <x:f>IFERROR(F1752/J1752,0)-IFERROR(G1752/K1752,0)</x:f>
        <x:v>0.3</x:v>
      </x:c>
      <x:c r="W1752" s="28" t="n">
        <x:f>L1752-M1752</x:f>
        <x:v>0</x:v>
      </x:c>
      <x:c r="X1752" s="24" t="n">
        <x:f>IFERROR(K1752/I1752,0)</x:f>
        <x:v>0.5555555555555556</x:v>
      </x:c>
      <x:c r="Y1752" s="24" t="n">
        <x:f>IFERROR(G1752/I1752,0)</x:f>
        <x:v>0.1111111111111111</x:v>
      </x:c>
      <x:c r="Z1752" s="24" t="n">
        <x:f>IFERROR(G1752/K1752,0)</x:f>
        <x:v>0.2</x:v>
      </x:c>
      <x:c r="AA1752" s="24" t="n">
        <x:f>IFERROR(F1752/H1752,0)-IFERROR(G1752/I1752,0)</x:f>
        <x:v>0.1388888888888889</x:v>
      </x:c>
      <x:c r="AB1752" s="28" t="n">
        <x:f>J1752-K1752</x:f>
        <x:v>1</x:v>
      </x:c>
      <x:c r="AC1752" s="32" t="n">
        <x:f>F1752-G1752</x:f>
        <x:v>2</x:v>
      </x:c>
    </x:row>
    <x:row r="1753">
      <x:c r="A1753" s="4" t="str">
        <x:v>2023-24</x:v>
      </x:c>
      <x:c r="B1753" s="20" t="n">
        <x:v>45242</x:v>
      </x:c>
      <x:c r="C1753" s="4" t="str">
        <x:v>Brentford</x:v>
      </x:c>
      <x:c r="D1753" s="4" t="str">
        <x:v>Liverpool</x:v>
      </x:c>
      <x:c r="E1753" s="4" t="str">
        <x:v>Away</x:v>
      </x:c>
      <x:c r="F1753" s="28" t="n">
        <x:v>0</x:v>
      </x:c>
      <x:c r="G1753" s="28" t="n">
        <x:v>3</x:v>
      </x:c>
      <x:c r="H1753" s="28" t="n">
        <x:v>16</x:v>
      </x:c>
      <x:c r="I1753" s="28" t="n">
        <x:v>17</x:v>
      </x:c>
      <x:c r="J1753" s="28" t="n">
        <x:v>3</x:v>
      </x:c>
      <x:c r="K1753" s="28" t="n">
        <x:v>10</x:v>
      </x:c>
      <x:c r="L1753" s="28" t="n">
        <x:v>8</x:v>
      </x:c>
      <x:c r="M1753" s="28" t="n">
        <x:v>6</x:v>
      </x:c>
      <x:c r="N1753" s="28" t="n">
        <x:v>2</x:v>
      </x:c>
      <x:c r="O1753" s="28" t="n">
        <x:v>0</x:v>
      </x:c>
      <x:c r="P1753" s="28" t="n">
        <x:v>0</x:v>
      </x:c>
      <x:c r="Q1753" s="24" t="n">
        <x:f>IFERROR(J1753/H1753,0)</x:f>
        <x:v>0.1875</x:v>
      </x:c>
      <x:c r="R1753" s="24" t="n">
        <x:f>IFERROR(F1753/H1753,0)</x:f>
        <x:v>0</x:v>
      </x:c>
      <x:c r="S1753" s="24" t="n">
        <x:f>IFERROR(F1753/J1753,0)</x:f>
        <x:v>0</x:v>
      </x:c>
      <x:c r="T1753" s="28" t="n">
        <x:f>H1753-I1753</x:f>
        <x:v>-1</x:v>
      </x:c>
      <x:c r="U1753" s="24" t="n">
        <x:f>IFERROR(J1753/H1753,0)-IFERROR(K1753/I1753,0)</x:f>
        <x:v>-0.4007352941176471</x:v>
      </x:c>
      <x:c r="V1753" s="24" t="n">
        <x:f>IFERROR(F1753/J1753,0)-IFERROR(G1753/K1753,0)</x:f>
        <x:v>-0.3</x:v>
      </x:c>
      <x:c r="W1753" s="28" t="n">
        <x:f>L1753-M1753</x:f>
        <x:v>2</x:v>
      </x:c>
      <x:c r="X1753" s="24" t="n">
        <x:f>IFERROR(K1753/I1753,0)</x:f>
        <x:v>0.5882352941176471</x:v>
      </x:c>
      <x:c r="Y1753" s="24" t="n">
        <x:f>IFERROR(G1753/I1753,0)</x:f>
        <x:v>0.17647058823529413</x:v>
      </x:c>
      <x:c r="Z1753" s="24" t="n">
        <x:f>IFERROR(G1753/K1753,0)</x:f>
        <x:v>0.3</x:v>
      </x:c>
      <x:c r="AA1753" s="24" t="n">
        <x:f>IFERROR(F1753/H1753,0)-IFERROR(G1753/I1753,0)</x:f>
        <x:v>-0.17647058823529413</x:v>
      </x:c>
      <x:c r="AB1753" s="28" t="n">
        <x:f>J1753-K1753</x:f>
        <x:v>-7</x:v>
      </x:c>
      <x:c r="AC1753" s="32" t="n">
        <x:f>F1753-G1753</x:f>
        <x:v>-3</x:v>
      </x:c>
    </x:row>
    <x:row r="1754">
      <x:c r="A1754" s="4" t="str">
        <x:v>2023-24</x:v>
      </x:c>
      <x:c r="B1754" s="20" t="n">
        <x:v>45242</x:v>
      </x:c>
      <x:c r="C1754" s="4" t="str">
        <x:v>Brighton</x:v>
      </x:c>
      <x:c r="D1754" s="4" t="str">
        <x:v>Sheffield United</x:v>
      </x:c>
      <x:c r="E1754" s="4" t="str">
        <x:v>Home</x:v>
      </x:c>
      <x:c r="F1754" s="28" t="n">
        <x:v>1</x:v>
      </x:c>
      <x:c r="G1754" s="28" t="n">
        <x:v>1</x:v>
      </x:c>
      <x:c r="H1754" s="28" t="n">
        <x:v>11</x:v>
      </x:c>
      <x:c r="I1754" s="28" t="n">
        <x:v>9</x:v>
      </x:c>
      <x:c r="J1754" s="28" t="n">
        <x:v>6</x:v>
      </x:c>
      <x:c r="K1754" s="28" t="n">
        <x:v>1</x:v>
      </x:c>
      <x:c r="L1754" s="28" t="n">
        <x:v>6</x:v>
      </x:c>
      <x:c r="M1754" s="28" t="n">
        <x:v>3</x:v>
      </x:c>
      <x:c r="N1754" s="28" t="n">
        <x:v>3</x:v>
      </x:c>
      <x:c r="O1754" s="28" t="n">
        <x:v>1</x:v>
      </x:c>
      <x:c r="P1754" s="28" t="n">
        <x:v>1</x:v>
      </x:c>
      <x:c r="Q1754" s="24" t="n">
        <x:f>IFERROR(J1754/H1754,0)</x:f>
        <x:v>0.5454545454545454</x:v>
      </x:c>
      <x:c r="R1754" s="24" t="n">
        <x:f>IFERROR(F1754/H1754,0)</x:f>
        <x:v>0.09090909090909091</x:v>
      </x:c>
      <x:c r="S1754" s="24" t="n">
        <x:f>IFERROR(F1754/J1754,0)</x:f>
        <x:v>0.16666666666666666</x:v>
      </x:c>
      <x:c r="T1754" s="28" t="n">
        <x:f>H1754-I1754</x:f>
        <x:v>2</x:v>
      </x:c>
      <x:c r="U1754" s="24" t="n">
        <x:f>IFERROR(J1754/H1754,0)-IFERROR(K1754/I1754,0)</x:f>
        <x:v>0.4343434343434343</x:v>
      </x:c>
      <x:c r="V1754" s="24" t="n">
        <x:f>IFERROR(F1754/J1754,0)-IFERROR(G1754/K1754,0)</x:f>
        <x:v>-0.8333333333333334</x:v>
      </x:c>
      <x:c r="W1754" s="28" t="n">
        <x:f>L1754-M1754</x:f>
        <x:v>3</x:v>
      </x:c>
      <x:c r="X1754" s="24" t="n">
        <x:f>IFERROR(K1754/I1754,0)</x:f>
        <x:v>0.1111111111111111</x:v>
      </x:c>
      <x:c r="Y1754" s="24" t="n">
        <x:f>IFERROR(G1754/I1754,0)</x:f>
        <x:v>0.1111111111111111</x:v>
      </x:c>
      <x:c r="Z1754" s="24" t="n">
        <x:f>IFERROR(G1754/K1754,0)</x:f>
        <x:v>1</x:v>
      </x:c>
      <x:c r="AA1754" s="24" t="n">
        <x:f>IFERROR(F1754/H1754,0)-IFERROR(G1754/I1754,0)</x:f>
        <x:v>-0.020202020202020193</x:v>
      </x:c>
      <x:c r="AB1754" s="28" t="n">
        <x:f>J1754-K1754</x:f>
        <x:v>5</x:v>
      </x:c>
      <x:c r="AC1754" s="32" t="n">
        <x:f>F1754-G1754</x:f>
        <x:v>0</x:v>
      </x:c>
    </x:row>
    <x:row r="1755">
      <x:c r="A1755" s="4" t="str">
        <x:v>2023-24</x:v>
      </x:c>
      <x:c r="B1755" s="20" t="n">
        <x:v>45242</x:v>
      </x:c>
      <x:c r="C1755" s="4" t="str">
        <x:v>Chelsea</x:v>
      </x:c>
      <x:c r="D1755" s="4" t="str">
        <x:v>Man City</x:v>
      </x:c>
      <x:c r="E1755" s="4" t="str">
        <x:v>Home</x:v>
      </x:c>
      <x:c r="F1755" s="28" t="n">
        <x:v>4</x:v>
      </x:c>
      <x:c r="G1755" s="28" t="n">
        <x:v>4</x:v>
      </x:c>
      <x:c r="H1755" s="28" t="n">
        <x:v>17</x:v>
      </x:c>
      <x:c r="I1755" s="28" t="n">
        <x:v>15</x:v>
      </x:c>
      <x:c r="J1755" s="28" t="n">
        <x:v>9</x:v>
      </x:c>
      <x:c r="K1755" s="28" t="n">
        <x:v>10</x:v>
      </x:c>
      <x:c r="L1755" s="28" t="n">
        <x:v>3</x:v>
      </x:c>
      <x:c r="M1755" s="28" t="n">
        <x:v>3</x:v>
      </x:c>
      <x:c r="N1755" s="28" t="n">
        <x:v>5</x:v>
      </x:c>
      <x:c r="O1755" s="28" t="n">
        <x:v>0</x:v>
      </x:c>
      <x:c r="P1755" s="28" t="n">
        <x:v>1</x:v>
      </x:c>
      <x:c r="Q1755" s="24" t="n">
        <x:f>IFERROR(J1755/H1755,0)</x:f>
        <x:v>0.5294117647058824</x:v>
      </x:c>
      <x:c r="R1755" s="24" t="n">
        <x:f>IFERROR(F1755/H1755,0)</x:f>
        <x:v>0.23529411764705882</x:v>
      </x:c>
      <x:c r="S1755" s="24" t="n">
        <x:f>IFERROR(F1755/J1755,0)</x:f>
        <x:v>0.4444444444444444</x:v>
      </x:c>
      <x:c r="T1755" s="28" t="n">
        <x:f>H1755-I1755</x:f>
        <x:v>2</x:v>
      </x:c>
      <x:c r="U1755" s="24" t="n">
        <x:f>IFERROR(J1755/H1755,0)-IFERROR(K1755/I1755,0)</x:f>
        <x:v>-0.13725490196078427</x:v>
      </x:c>
      <x:c r="V1755" s="24" t="n">
        <x:f>IFERROR(F1755/J1755,0)-IFERROR(G1755/K1755,0)</x:f>
        <x:v>0.0444444444444444</x:v>
      </x:c>
      <x:c r="W1755" s="28" t="n">
        <x:f>L1755-M1755</x:f>
        <x:v>0</x:v>
      </x:c>
      <x:c r="X1755" s="24" t="n">
        <x:f>IFERROR(K1755/I1755,0)</x:f>
        <x:v>0.6666666666666666</x:v>
      </x:c>
      <x:c r="Y1755" s="24" t="n">
        <x:f>IFERROR(G1755/I1755,0)</x:f>
        <x:v>0.26666666666666666</x:v>
      </x:c>
      <x:c r="Z1755" s="24" t="n">
        <x:f>IFERROR(G1755/K1755,0)</x:f>
        <x:v>0.4</x:v>
      </x:c>
      <x:c r="AA1755" s="24" t="n">
        <x:f>IFERROR(F1755/H1755,0)-IFERROR(G1755/I1755,0)</x:f>
        <x:v>-0.03137254901960784</x:v>
      </x:c>
      <x:c r="AB1755" s="28" t="n">
        <x:f>J1755-K1755</x:f>
        <x:v>-1</x:v>
      </x:c>
      <x:c r="AC1755" s="32" t="n">
        <x:f>F1755-G1755</x:f>
        <x:v>0</x:v>
      </x:c>
    </x:row>
    <x:row r="1756">
      <x:c r="A1756" s="4" t="str">
        <x:v>2023-24</x:v>
      </x:c>
      <x:c r="B1756" s="20" t="n">
        <x:v>45242</x:v>
      </x:c>
      <x:c r="C1756" s="4" t="str">
        <x:v>Fulham</x:v>
      </x:c>
      <x:c r="D1756" s="4" t="str">
        <x:v>Aston Villa</x:v>
      </x:c>
      <x:c r="E1756" s="4" t="str">
        <x:v>Away</x:v>
      </x:c>
      <x:c r="F1756" s="28" t="n">
        <x:v>1</x:v>
      </x:c>
      <x:c r="G1756" s="28" t="n">
        <x:v>3</x:v>
      </x:c>
      <x:c r="H1756" s="28" t="n">
        <x:v>9</x:v>
      </x:c>
      <x:c r="I1756" s="28" t="n">
        <x:v>12</x:v>
      </x:c>
      <x:c r="J1756" s="28" t="n">
        <x:v>5</x:v>
      </x:c>
      <x:c r="K1756" s="28" t="n">
        <x:v>6</x:v>
      </x:c>
      <x:c r="L1756" s="28" t="n">
        <x:v>2</x:v>
      </x:c>
      <x:c r="M1756" s="28" t="n">
        <x:v>2</x:v>
      </x:c>
      <x:c r="N1756" s="28" t="n">
        <x:v>5</x:v>
      </x:c>
      <x:c r="O1756" s="28" t="n">
        <x:v>0</x:v>
      </x:c>
      <x:c r="P1756" s="28" t="n">
        <x:v>0</x:v>
      </x:c>
      <x:c r="Q1756" s="24" t="n">
        <x:f>IFERROR(J1756/H1756,0)</x:f>
        <x:v>0.5555555555555556</x:v>
      </x:c>
      <x:c r="R1756" s="24" t="n">
        <x:f>IFERROR(F1756/H1756,0)</x:f>
        <x:v>0.1111111111111111</x:v>
      </x:c>
      <x:c r="S1756" s="24" t="n">
        <x:f>IFERROR(F1756/J1756,0)</x:f>
        <x:v>0.2</x:v>
      </x:c>
      <x:c r="T1756" s="28" t="n">
        <x:f>H1756-I1756</x:f>
        <x:v>-3</x:v>
      </x:c>
      <x:c r="U1756" s="24" t="n">
        <x:f>IFERROR(J1756/H1756,0)-IFERROR(K1756/I1756,0)</x:f>
        <x:v>0.05555555555555558</x:v>
      </x:c>
      <x:c r="V1756" s="24" t="n">
        <x:f>IFERROR(F1756/J1756,0)-IFERROR(G1756/K1756,0)</x:f>
        <x:v>-0.3</x:v>
      </x:c>
      <x:c r="W1756" s="28" t="n">
        <x:f>L1756-M1756</x:f>
        <x:v>0</x:v>
      </x:c>
      <x:c r="X1756" s="24" t="n">
        <x:f>IFERROR(K1756/I1756,0)</x:f>
        <x:v>0.5</x:v>
      </x:c>
      <x:c r="Y1756" s="24" t="n">
        <x:f>IFERROR(G1756/I1756,0)</x:f>
        <x:v>0.25</x:v>
      </x:c>
      <x:c r="Z1756" s="24" t="n">
        <x:f>IFERROR(G1756/K1756,0)</x:f>
        <x:v>0.5</x:v>
      </x:c>
      <x:c r="AA1756" s="24" t="n">
        <x:f>IFERROR(F1756/H1756,0)-IFERROR(G1756/I1756,0)</x:f>
        <x:v>-0.1388888888888889</x:v>
      </x:c>
      <x:c r="AB1756" s="28" t="n">
        <x:f>J1756-K1756</x:f>
        <x:v>-1</x:v>
      </x:c>
      <x:c r="AC1756" s="32" t="n">
        <x:f>F1756-G1756</x:f>
        <x:v>-2</x:v>
      </x:c>
    </x:row>
    <x:row r="1757">
      <x:c r="A1757" s="4" t="str">
        <x:v>2023-24</x:v>
      </x:c>
      <x:c r="B1757" s="20" t="n">
        <x:v>45242</x:v>
      </x:c>
      <x:c r="C1757" s="4" t="str">
        <x:v>Liverpool</x:v>
      </x:c>
      <x:c r="D1757" s="4" t="str">
        <x:v>Brentford</x:v>
      </x:c>
      <x:c r="E1757" s="4" t="str">
        <x:v>Home</x:v>
      </x:c>
      <x:c r="F1757" s="28" t="n">
        <x:v>3</x:v>
      </x:c>
      <x:c r="G1757" s="28" t="n">
        <x:v>0</x:v>
      </x:c>
      <x:c r="H1757" s="28" t="n">
        <x:v>17</x:v>
      </x:c>
      <x:c r="I1757" s="28" t="n">
        <x:v>16</x:v>
      </x:c>
      <x:c r="J1757" s="28" t="n">
        <x:v>10</x:v>
      </x:c>
      <x:c r="K1757" s="28" t="n">
        <x:v>3</x:v>
      </x:c>
      <x:c r="L1757" s="28" t="n">
        <x:v>6</x:v>
      </x:c>
      <x:c r="M1757" s="28" t="n">
        <x:v>8</x:v>
      </x:c>
      <x:c r="N1757" s="28" t="n">
        <x:v>1</x:v>
      </x:c>
      <x:c r="O1757" s="28" t="n">
        <x:v>0</x:v>
      </x:c>
      <x:c r="P1757" s="28" t="n">
        <x:v>3</x:v>
      </x:c>
      <x:c r="Q1757" s="24" t="n">
        <x:f>IFERROR(J1757/H1757,0)</x:f>
        <x:v>0.5882352941176471</x:v>
      </x:c>
      <x:c r="R1757" s="24" t="n">
        <x:f>IFERROR(F1757/H1757,0)</x:f>
        <x:v>0.17647058823529413</x:v>
      </x:c>
      <x:c r="S1757" s="24" t="n">
        <x:f>IFERROR(F1757/J1757,0)</x:f>
        <x:v>0.3</x:v>
      </x:c>
      <x:c r="T1757" s="28" t="n">
        <x:f>H1757-I1757</x:f>
        <x:v>1</x:v>
      </x:c>
      <x:c r="U1757" s="24" t="n">
        <x:f>IFERROR(J1757/H1757,0)-IFERROR(K1757/I1757,0)</x:f>
        <x:v>0.4007352941176471</x:v>
      </x:c>
      <x:c r="V1757" s="24" t="n">
        <x:f>IFERROR(F1757/J1757,0)-IFERROR(G1757/K1757,0)</x:f>
        <x:v>0.3</x:v>
      </x:c>
      <x:c r="W1757" s="28" t="n">
        <x:f>L1757-M1757</x:f>
        <x:v>-2</x:v>
      </x:c>
      <x:c r="X1757" s="24" t="n">
        <x:f>IFERROR(K1757/I1757,0)</x:f>
        <x:v>0.1875</x:v>
      </x:c>
      <x:c r="Y1757" s="24" t="n">
        <x:f>IFERROR(G1757/I1757,0)</x:f>
        <x:v>0</x:v>
      </x:c>
      <x:c r="Z1757" s="24" t="n">
        <x:f>IFERROR(G1757/K1757,0)</x:f>
        <x:v>0</x:v>
      </x:c>
      <x:c r="AA1757" s="24" t="n">
        <x:f>IFERROR(F1757/H1757,0)-IFERROR(G1757/I1757,0)</x:f>
        <x:v>0.17647058823529413</x:v>
      </x:c>
      <x:c r="AB1757" s="28" t="n">
        <x:f>J1757-K1757</x:f>
        <x:v>7</x:v>
      </x:c>
      <x:c r="AC1757" s="32" t="n">
        <x:f>F1757-G1757</x:f>
        <x:v>3</x:v>
      </x:c>
    </x:row>
    <x:row r="1758">
      <x:c r="A1758" s="4" t="str">
        <x:v>2023-24</x:v>
      </x:c>
      <x:c r="B1758" s="20" t="n">
        <x:v>45242</x:v>
      </x:c>
      <x:c r="C1758" s="4" t="str">
        <x:v>Man City</x:v>
      </x:c>
      <x:c r="D1758" s="4" t="str">
        <x:v>Chelsea</x:v>
      </x:c>
      <x:c r="E1758" s="4" t="str">
        <x:v>Away</x:v>
      </x:c>
      <x:c r="F1758" s="28" t="n">
        <x:v>4</x:v>
      </x:c>
      <x:c r="G1758" s="28" t="n">
        <x:v>4</x:v>
      </x:c>
      <x:c r="H1758" s="28" t="n">
        <x:v>15</x:v>
      </x:c>
      <x:c r="I1758" s="28" t="n">
        <x:v>17</x:v>
      </x:c>
      <x:c r="J1758" s="28" t="n">
        <x:v>10</x:v>
      </x:c>
      <x:c r="K1758" s="28" t="n">
        <x:v>9</x:v>
      </x:c>
      <x:c r="L1758" s="28" t="n">
        <x:v>3</x:v>
      </x:c>
      <x:c r="M1758" s="28" t="n">
        <x:v>3</x:v>
      </x:c>
      <x:c r="N1758" s="28" t="n">
        <x:v>3</x:v>
      </x:c>
      <x:c r="O1758" s="28" t="n">
        <x:v>0</x:v>
      </x:c>
      <x:c r="P1758" s="28" t="n">
        <x:v>1</x:v>
      </x:c>
      <x:c r="Q1758" s="24" t="n">
        <x:f>IFERROR(J1758/H1758,0)</x:f>
        <x:v>0.6666666666666666</x:v>
      </x:c>
      <x:c r="R1758" s="24" t="n">
        <x:f>IFERROR(F1758/H1758,0)</x:f>
        <x:v>0.26666666666666666</x:v>
      </x:c>
      <x:c r="S1758" s="24" t="n">
        <x:f>IFERROR(F1758/J1758,0)</x:f>
        <x:v>0.4</x:v>
      </x:c>
      <x:c r="T1758" s="28" t="n">
        <x:f>H1758-I1758</x:f>
        <x:v>-2</x:v>
      </x:c>
      <x:c r="U1758" s="24" t="n">
        <x:f>IFERROR(J1758/H1758,0)-IFERROR(K1758/I1758,0)</x:f>
        <x:v>0.13725490196078427</x:v>
      </x:c>
      <x:c r="V1758" s="24" t="n">
        <x:f>IFERROR(F1758/J1758,0)-IFERROR(G1758/K1758,0)</x:f>
        <x:v>-0.0444444444444444</x:v>
      </x:c>
      <x:c r="W1758" s="28" t="n">
        <x:f>L1758-M1758</x:f>
        <x:v>0</x:v>
      </x:c>
      <x:c r="X1758" s="24" t="n">
        <x:f>IFERROR(K1758/I1758,0)</x:f>
        <x:v>0.5294117647058824</x:v>
      </x:c>
      <x:c r="Y1758" s="24" t="n">
        <x:f>IFERROR(G1758/I1758,0)</x:f>
        <x:v>0.23529411764705882</x:v>
      </x:c>
      <x:c r="Z1758" s="24" t="n">
        <x:f>IFERROR(G1758/K1758,0)</x:f>
        <x:v>0.4444444444444444</x:v>
      </x:c>
      <x:c r="AA1758" s="24" t="n">
        <x:f>IFERROR(F1758/H1758,0)-IFERROR(G1758/I1758,0)</x:f>
        <x:v>0.03137254901960784</x:v>
      </x:c>
      <x:c r="AB1758" s="28" t="n">
        <x:f>J1758-K1758</x:f>
        <x:v>1</x:v>
      </x:c>
      <x:c r="AC1758" s="32" t="n">
        <x:f>F1758-G1758</x:f>
        <x:v>0</x:v>
      </x:c>
    </x:row>
    <x:row r="1759">
      <x:c r="A1759" s="4" t="str">
        <x:v>2023-24</x:v>
      </x:c>
      <x:c r="B1759" s="20" t="n">
        <x:v>45242</x:v>
      </x:c>
      <x:c r="C1759" s="4" t="str">
        <x:v>Nott'm Forest</x:v>
      </x:c>
      <x:c r="D1759" s="4" t="str">
        <x:v>West Ham</x:v>
      </x:c>
      <x:c r="E1759" s="4" t="str">
        <x:v>Away</x:v>
      </x:c>
      <x:c r="F1759" s="28" t="n">
        <x:v>2</x:v>
      </x:c>
      <x:c r="G1759" s="28" t="n">
        <x:v>3</x:v>
      </x:c>
      <x:c r="H1759" s="28" t="n">
        <x:v>10</x:v>
      </x:c>
      <x:c r="I1759" s="28" t="n">
        <x:v>16</x:v>
      </x:c>
      <x:c r="J1759" s="28" t="n">
        <x:v>5</x:v>
      </x:c>
      <x:c r="K1759" s="28" t="n">
        <x:v>6</x:v>
      </x:c>
      <x:c r="L1759" s="28" t="n">
        <x:v>4</x:v>
      </x:c>
      <x:c r="M1759" s="28" t="n">
        <x:v>9</x:v>
      </x:c>
      <x:c r="N1759" s="28" t="n">
        <x:v>2</x:v>
      </x:c>
      <x:c r="O1759" s="28" t="n">
        <x:v>0</x:v>
      </x:c>
      <x:c r="P1759" s="28" t="n">
        <x:v>0</x:v>
      </x:c>
      <x:c r="Q1759" s="24" t="n">
        <x:f>IFERROR(J1759/H1759,0)</x:f>
        <x:v>0.5</x:v>
      </x:c>
      <x:c r="R1759" s="24" t="n">
        <x:f>IFERROR(F1759/H1759,0)</x:f>
        <x:v>0.2</x:v>
      </x:c>
      <x:c r="S1759" s="24" t="n">
        <x:f>IFERROR(F1759/J1759,0)</x:f>
        <x:v>0.4</x:v>
      </x:c>
      <x:c r="T1759" s="28" t="n">
        <x:f>H1759-I1759</x:f>
        <x:v>-6</x:v>
      </x:c>
      <x:c r="U1759" s="24" t="n">
        <x:f>IFERROR(J1759/H1759,0)-IFERROR(K1759/I1759,0)</x:f>
        <x:v>0.125</x:v>
      </x:c>
      <x:c r="V1759" s="24" t="n">
        <x:f>IFERROR(F1759/J1759,0)-IFERROR(G1759/K1759,0)</x:f>
        <x:v>-0.09999999999999998</x:v>
      </x:c>
      <x:c r="W1759" s="28" t="n">
        <x:f>L1759-M1759</x:f>
        <x:v>-5</x:v>
      </x:c>
      <x:c r="X1759" s="24" t="n">
        <x:f>IFERROR(K1759/I1759,0)</x:f>
        <x:v>0.375</x:v>
      </x:c>
      <x:c r="Y1759" s="24" t="n">
        <x:f>IFERROR(G1759/I1759,0)</x:f>
        <x:v>0.1875</x:v>
      </x:c>
      <x:c r="Z1759" s="24" t="n">
        <x:f>IFERROR(G1759/K1759,0)</x:f>
        <x:v>0.5</x:v>
      </x:c>
      <x:c r="AA1759" s="24" t="n">
        <x:f>IFERROR(F1759/H1759,0)-IFERROR(G1759/I1759,0)</x:f>
        <x:v>0.012500000000000011</x:v>
      </x:c>
      <x:c r="AB1759" s="28" t="n">
        <x:f>J1759-K1759</x:f>
        <x:v>-1</x:v>
      </x:c>
      <x:c r="AC1759" s="32" t="n">
        <x:f>F1759-G1759</x:f>
        <x:v>-1</x:v>
      </x:c>
    </x:row>
    <x:row r="1760">
      <x:c r="A1760" s="4" t="str">
        <x:v>2023-24</x:v>
      </x:c>
      <x:c r="B1760" s="20" t="n">
        <x:v>45242</x:v>
      </x:c>
      <x:c r="C1760" s="4" t="str">
        <x:v>Sheffield United</x:v>
      </x:c>
      <x:c r="D1760" s="4" t="str">
        <x:v>Brighton</x:v>
      </x:c>
      <x:c r="E1760" s="4" t="str">
        <x:v>Away</x:v>
      </x:c>
      <x:c r="F1760" s="28" t="n">
        <x:v>1</x:v>
      </x:c>
      <x:c r="G1760" s="28" t="n">
        <x:v>1</x:v>
      </x:c>
      <x:c r="H1760" s="28" t="n">
        <x:v>9</x:v>
      </x:c>
      <x:c r="I1760" s="28" t="n">
        <x:v>11</x:v>
      </x:c>
      <x:c r="J1760" s="28" t="n">
        <x:v>1</x:v>
      </x:c>
      <x:c r="K1760" s="28" t="n">
        <x:v>6</x:v>
      </x:c>
      <x:c r="L1760" s="28" t="n">
        <x:v>3</x:v>
      </x:c>
      <x:c r="M1760" s="28" t="n">
        <x:v>6</x:v>
      </x:c>
      <x:c r="N1760" s="28" t="n">
        <x:v>2</x:v>
      </x:c>
      <x:c r="O1760" s="28" t="n">
        <x:v>0</x:v>
      </x:c>
      <x:c r="P1760" s="28" t="n">
        <x:v>1</x:v>
      </x:c>
      <x:c r="Q1760" s="24" t="n">
        <x:f>IFERROR(J1760/H1760,0)</x:f>
        <x:v>0.1111111111111111</x:v>
      </x:c>
      <x:c r="R1760" s="24" t="n">
        <x:f>IFERROR(F1760/H1760,0)</x:f>
        <x:v>0.1111111111111111</x:v>
      </x:c>
      <x:c r="S1760" s="24" t="n">
        <x:f>IFERROR(F1760/J1760,0)</x:f>
        <x:v>1</x:v>
      </x:c>
      <x:c r="T1760" s="28" t="n">
        <x:f>H1760-I1760</x:f>
        <x:v>-2</x:v>
      </x:c>
      <x:c r="U1760" s="24" t="n">
        <x:f>IFERROR(J1760/H1760,0)-IFERROR(K1760/I1760,0)</x:f>
        <x:v>-0.4343434343434343</x:v>
      </x:c>
      <x:c r="V1760" s="24" t="n">
        <x:f>IFERROR(F1760/J1760,0)-IFERROR(G1760/K1760,0)</x:f>
        <x:v>0.8333333333333334</x:v>
      </x:c>
      <x:c r="W1760" s="28" t="n">
        <x:f>L1760-M1760</x:f>
        <x:v>-3</x:v>
      </x:c>
      <x:c r="X1760" s="24" t="n">
        <x:f>IFERROR(K1760/I1760,0)</x:f>
        <x:v>0.5454545454545454</x:v>
      </x:c>
      <x:c r="Y1760" s="24" t="n">
        <x:f>IFERROR(G1760/I1760,0)</x:f>
        <x:v>0.09090909090909091</x:v>
      </x:c>
      <x:c r="Z1760" s="24" t="n">
        <x:f>IFERROR(G1760/K1760,0)</x:f>
        <x:v>0.16666666666666666</x:v>
      </x:c>
      <x:c r="AA1760" s="24" t="n">
        <x:f>IFERROR(F1760/H1760,0)-IFERROR(G1760/I1760,0)</x:f>
        <x:v>0.020202020202020193</x:v>
      </x:c>
      <x:c r="AB1760" s="28" t="n">
        <x:f>J1760-K1760</x:f>
        <x:v>-5</x:v>
      </x:c>
      <x:c r="AC1760" s="32" t="n">
        <x:f>F1760-G1760</x:f>
        <x:v>0</x:v>
      </x:c>
    </x:row>
    <x:row r="1761">
      <x:c r="A1761" s="4" t="str">
        <x:v>2023-24</x:v>
      </x:c>
      <x:c r="B1761" s="20" t="n">
        <x:v>45242</x:v>
      </x:c>
      <x:c r="C1761" s="4" t="str">
        <x:v>West Ham</x:v>
      </x:c>
      <x:c r="D1761" s="4" t="str">
        <x:v>Nott'm Forest</x:v>
      </x:c>
      <x:c r="E1761" s="4" t="str">
        <x:v>Home</x:v>
      </x:c>
      <x:c r="F1761" s="28" t="n">
        <x:v>3</x:v>
      </x:c>
      <x:c r="G1761" s="28" t="n">
        <x:v>2</x:v>
      </x:c>
      <x:c r="H1761" s="28" t="n">
        <x:v>16</x:v>
      </x:c>
      <x:c r="I1761" s="28" t="n">
        <x:v>10</x:v>
      </x:c>
      <x:c r="J1761" s="28" t="n">
        <x:v>6</x:v>
      </x:c>
      <x:c r="K1761" s="28" t="n">
        <x:v>5</x:v>
      </x:c>
      <x:c r="L1761" s="28" t="n">
        <x:v>9</x:v>
      </x:c>
      <x:c r="M1761" s="28" t="n">
        <x:v>4</x:v>
      </x:c>
      <x:c r="N1761" s="28" t="n">
        <x:v>2</x:v>
      </x:c>
      <x:c r="O1761" s="28" t="n">
        <x:v>0</x:v>
      </x:c>
      <x:c r="P1761" s="28" t="n">
        <x:v>3</x:v>
      </x:c>
      <x:c r="Q1761" s="24" t="n">
        <x:f>IFERROR(J1761/H1761,0)</x:f>
        <x:v>0.375</x:v>
      </x:c>
      <x:c r="R1761" s="24" t="n">
        <x:f>IFERROR(F1761/H1761,0)</x:f>
        <x:v>0.1875</x:v>
      </x:c>
      <x:c r="S1761" s="24" t="n">
        <x:f>IFERROR(F1761/J1761,0)</x:f>
        <x:v>0.5</x:v>
      </x:c>
      <x:c r="T1761" s="28" t="n">
        <x:f>H1761-I1761</x:f>
        <x:v>6</x:v>
      </x:c>
      <x:c r="U1761" s="24" t="n">
        <x:f>IFERROR(J1761/H1761,0)-IFERROR(K1761/I1761,0)</x:f>
        <x:v>-0.125</x:v>
      </x:c>
      <x:c r="V1761" s="24" t="n">
        <x:f>IFERROR(F1761/J1761,0)-IFERROR(G1761/K1761,0)</x:f>
        <x:v>0.09999999999999998</x:v>
      </x:c>
      <x:c r="W1761" s="28" t="n">
        <x:f>L1761-M1761</x:f>
        <x:v>5</x:v>
      </x:c>
      <x:c r="X1761" s="24" t="n">
        <x:f>IFERROR(K1761/I1761,0)</x:f>
        <x:v>0.5</x:v>
      </x:c>
      <x:c r="Y1761" s="24" t="n">
        <x:f>IFERROR(G1761/I1761,0)</x:f>
        <x:v>0.2</x:v>
      </x:c>
      <x:c r="Z1761" s="24" t="n">
        <x:f>IFERROR(G1761/K1761,0)</x:f>
        <x:v>0.4</x:v>
      </x:c>
      <x:c r="AA1761" s="24" t="n">
        <x:f>IFERROR(F1761/H1761,0)-IFERROR(G1761/I1761,0)</x:f>
        <x:v>-0.012500000000000011</x:v>
      </x:c>
      <x:c r="AB1761" s="28" t="n">
        <x:f>J1761-K1761</x:f>
        <x:v>1</x:v>
      </x:c>
      <x:c r="AC1761" s="32" t="n">
        <x:f>F1761-G1761</x:f>
        <x:v>1</x:v>
      </x:c>
    </x:row>
    <x:row r="1762">
      <x:c r="A1762" s="4" t="str">
        <x:v>2023-24</x:v>
      </x:c>
      <x:c r="B1762" s="20" t="n">
        <x:v>45255</x:v>
      </x:c>
      <x:c r="C1762" s="4" t="str">
        <x:v>Arsenal</x:v>
      </x:c>
      <x:c r="D1762" s="4" t="str">
        <x:v>Brentford</x:v>
      </x:c>
      <x:c r="E1762" s="4" t="str">
        <x:v>Away</x:v>
      </x:c>
      <x:c r="F1762" s="28" t="n">
        <x:v>1</x:v>
      </x:c>
      <x:c r="G1762" s="28" t="n">
        <x:v>0</x:v>
      </x:c>
      <x:c r="H1762" s="28" t="n">
        <x:v>15</x:v>
      </x:c>
      <x:c r="I1762" s="28" t="n">
        <x:v>9</x:v>
      </x:c>
      <x:c r="J1762" s="28" t="n">
        <x:v>4</x:v>
      </x:c>
      <x:c r="K1762" s="28" t="n">
        <x:v>3</x:v>
      </x:c>
      <x:c r="L1762" s="28" t="n">
        <x:v>8</x:v>
      </x:c>
      <x:c r="M1762" s="28" t="n">
        <x:v>1</x:v>
      </x:c>
      <x:c r="N1762" s="28" t="n">
        <x:v>1</x:v>
      </x:c>
      <x:c r="O1762" s="28" t="n">
        <x:v>0</x:v>
      </x:c>
      <x:c r="P1762" s="28" t="n">
        <x:v>3</x:v>
      </x:c>
      <x:c r="Q1762" s="24" t="n">
        <x:f>IFERROR(J1762/H1762,0)</x:f>
        <x:v>0.26666666666666666</x:v>
      </x:c>
      <x:c r="R1762" s="24" t="n">
        <x:f>IFERROR(F1762/H1762,0)</x:f>
        <x:v>0.06666666666666667</x:v>
      </x:c>
      <x:c r="S1762" s="24" t="n">
        <x:f>IFERROR(F1762/J1762,0)</x:f>
        <x:v>0.25</x:v>
      </x:c>
      <x:c r="T1762" s="28" t="n">
        <x:f>H1762-I1762</x:f>
        <x:v>6</x:v>
      </x:c>
      <x:c r="U1762" s="24" t="n">
        <x:f>IFERROR(J1762/H1762,0)-IFERROR(K1762/I1762,0)</x:f>
        <x:v>-0.06666666666666665</x:v>
      </x:c>
      <x:c r="V1762" s="24" t="n">
        <x:f>IFERROR(F1762/J1762,0)-IFERROR(G1762/K1762,0)</x:f>
        <x:v>0.25</x:v>
      </x:c>
      <x:c r="W1762" s="28" t="n">
        <x:f>L1762-M1762</x:f>
        <x:v>7</x:v>
      </x:c>
      <x:c r="X1762" s="24" t="n">
        <x:f>IFERROR(K1762/I1762,0)</x:f>
        <x:v>0.3333333333333333</x:v>
      </x:c>
      <x:c r="Y1762" s="24" t="n">
        <x:f>IFERROR(G1762/I1762,0)</x:f>
        <x:v>0</x:v>
      </x:c>
      <x:c r="Z1762" s="24" t="n">
        <x:f>IFERROR(G1762/K1762,0)</x:f>
        <x:v>0</x:v>
      </x:c>
      <x:c r="AA1762" s="24" t="n">
        <x:f>IFERROR(F1762/H1762,0)-IFERROR(G1762/I1762,0)</x:f>
        <x:v>0.06666666666666667</x:v>
      </x:c>
      <x:c r="AB1762" s="28" t="n">
        <x:f>J1762-K1762</x:f>
        <x:v>1</x:v>
      </x:c>
      <x:c r="AC1762" s="32" t="n">
        <x:f>F1762-G1762</x:f>
        <x:v>1</x:v>
      </x:c>
    </x:row>
    <x:row r="1763">
      <x:c r="A1763" s="4" t="str">
        <x:v>2023-24</x:v>
      </x:c>
      <x:c r="B1763" s="20" t="n">
        <x:v>45255</x:v>
      </x:c>
      <x:c r="C1763" s="4" t="str">
        <x:v>Bournemouth</x:v>
      </x:c>
      <x:c r="D1763" s="4" t="str">
        <x:v>Sheffield United</x:v>
      </x:c>
      <x:c r="E1763" s="4" t="str">
        <x:v>Away</x:v>
      </x:c>
      <x:c r="F1763" s="28" t="n">
        <x:v>3</x:v>
      </x:c>
      <x:c r="G1763" s="28" t="n">
        <x:v>1</x:v>
      </x:c>
      <x:c r="H1763" s="28" t="n">
        <x:v>23</x:v>
      </x:c>
      <x:c r="I1763" s="28" t="n">
        <x:v>10</x:v>
      </x:c>
      <x:c r="J1763" s="28" t="n">
        <x:v>11</x:v>
      </x:c>
      <x:c r="K1763" s="28" t="n">
        <x:v>2</x:v>
      </x:c>
      <x:c r="L1763" s="28" t="n">
        <x:v>7</x:v>
      </x:c>
      <x:c r="M1763" s="28" t="n">
        <x:v>4</x:v>
      </x:c>
      <x:c r="N1763" s="28" t="n">
        <x:v>1</x:v>
      </x:c>
      <x:c r="O1763" s="28" t="n">
        <x:v>0</x:v>
      </x:c>
      <x:c r="P1763" s="28" t="n">
        <x:v>3</x:v>
      </x:c>
      <x:c r="Q1763" s="24" t="n">
        <x:f>IFERROR(J1763/H1763,0)</x:f>
        <x:v>0.4782608695652174</x:v>
      </x:c>
      <x:c r="R1763" s="24" t="n">
        <x:f>IFERROR(F1763/H1763,0)</x:f>
        <x:v>0.13043478260869565</x:v>
      </x:c>
      <x:c r="S1763" s="24" t="n">
        <x:f>IFERROR(F1763/J1763,0)</x:f>
        <x:v>0.2727272727272727</x:v>
      </x:c>
      <x:c r="T1763" s="28" t="n">
        <x:f>H1763-I1763</x:f>
        <x:v>13</x:v>
      </x:c>
      <x:c r="U1763" s="24" t="n">
        <x:f>IFERROR(J1763/H1763,0)-IFERROR(K1763/I1763,0)</x:f>
        <x:v>0.2782608695652174</x:v>
      </x:c>
      <x:c r="V1763" s="24" t="n">
        <x:f>IFERROR(F1763/J1763,0)-IFERROR(G1763/K1763,0)</x:f>
        <x:v>-0.2272727272727273</x:v>
      </x:c>
      <x:c r="W1763" s="28" t="n">
        <x:f>L1763-M1763</x:f>
        <x:v>3</x:v>
      </x:c>
      <x:c r="X1763" s="24" t="n">
        <x:f>IFERROR(K1763/I1763,0)</x:f>
        <x:v>0.2</x:v>
      </x:c>
      <x:c r="Y1763" s="24" t="n">
        <x:f>IFERROR(G1763/I1763,0)</x:f>
        <x:v>0.1</x:v>
      </x:c>
      <x:c r="Z1763" s="24" t="n">
        <x:f>IFERROR(G1763/K1763,0)</x:f>
        <x:v>0.5</x:v>
      </x:c>
      <x:c r="AA1763" s="24" t="n">
        <x:f>IFERROR(F1763/H1763,0)-IFERROR(G1763/I1763,0)</x:f>
        <x:v>0.030434782608695643</x:v>
      </x:c>
      <x:c r="AB1763" s="28" t="n">
        <x:f>J1763-K1763</x:f>
        <x:v>9</x:v>
      </x:c>
      <x:c r="AC1763" s="32" t="n">
        <x:f>F1763-G1763</x:f>
        <x:v>2</x:v>
      </x:c>
    </x:row>
    <x:row r="1764">
      <x:c r="A1764" s="4" t="str">
        <x:v>2023-24</x:v>
      </x:c>
      <x:c r="B1764" s="20" t="n">
        <x:v>45255</x:v>
      </x:c>
      <x:c r="C1764" s="4" t="str">
        <x:v>Brentford</x:v>
      </x:c>
      <x:c r="D1764" s="4" t="str">
        <x:v>Arsenal</x:v>
      </x:c>
      <x:c r="E1764" s="4" t="str">
        <x:v>Home</x:v>
      </x:c>
      <x:c r="F1764" s="28" t="n">
        <x:v>0</x:v>
      </x:c>
      <x:c r="G1764" s="28" t="n">
        <x:v>1</x:v>
      </x:c>
      <x:c r="H1764" s="28" t="n">
        <x:v>9</x:v>
      </x:c>
      <x:c r="I1764" s="28" t="n">
        <x:v>15</x:v>
      </x:c>
      <x:c r="J1764" s="28" t="n">
        <x:v>3</x:v>
      </x:c>
      <x:c r="K1764" s="28" t="n">
        <x:v>4</x:v>
      </x:c>
      <x:c r="L1764" s="28" t="n">
        <x:v>1</x:v>
      </x:c>
      <x:c r="M1764" s="28" t="n">
        <x:v>8</x:v>
      </x:c>
      <x:c r="N1764" s="28" t="n">
        <x:v>1</x:v>
      </x:c>
      <x:c r="O1764" s="28" t="n">
        <x:v>0</x:v>
      </x:c>
      <x:c r="P1764" s="28" t="n">
        <x:v>0</x:v>
      </x:c>
      <x:c r="Q1764" s="24" t="n">
        <x:f>IFERROR(J1764/H1764,0)</x:f>
        <x:v>0.3333333333333333</x:v>
      </x:c>
      <x:c r="R1764" s="24" t="n">
        <x:f>IFERROR(F1764/H1764,0)</x:f>
        <x:v>0</x:v>
      </x:c>
      <x:c r="S1764" s="24" t="n">
        <x:f>IFERROR(F1764/J1764,0)</x:f>
        <x:v>0</x:v>
      </x:c>
      <x:c r="T1764" s="28" t="n">
        <x:f>H1764-I1764</x:f>
        <x:v>-6</x:v>
      </x:c>
      <x:c r="U1764" s="24" t="n">
        <x:f>IFERROR(J1764/H1764,0)-IFERROR(K1764/I1764,0)</x:f>
        <x:v>0.06666666666666665</x:v>
      </x:c>
      <x:c r="V1764" s="24" t="n">
        <x:f>IFERROR(F1764/J1764,0)-IFERROR(G1764/K1764,0)</x:f>
        <x:v>-0.25</x:v>
      </x:c>
      <x:c r="W1764" s="28" t="n">
        <x:f>L1764-M1764</x:f>
        <x:v>-7</x:v>
      </x:c>
      <x:c r="X1764" s="24" t="n">
        <x:f>IFERROR(K1764/I1764,0)</x:f>
        <x:v>0.26666666666666666</x:v>
      </x:c>
      <x:c r="Y1764" s="24" t="n">
        <x:f>IFERROR(G1764/I1764,0)</x:f>
        <x:v>0.06666666666666667</x:v>
      </x:c>
      <x:c r="Z1764" s="24" t="n">
        <x:f>IFERROR(G1764/K1764,0)</x:f>
        <x:v>0.25</x:v>
      </x:c>
      <x:c r="AA1764" s="24" t="n">
        <x:f>IFERROR(F1764/H1764,0)-IFERROR(G1764/I1764,0)</x:f>
        <x:v>-0.06666666666666667</x:v>
      </x:c>
      <x:c r="AB1764" s="28" t="n">
        <x:f>J1764-K1764</x:f>
        <x:v>-1</x:v>
      </x:c>
      <x:c r="AC1764" s="32" t="n">
        <x:f>F1764-G1764</x:f>
        <x:v>-1</x:v>
      </x:c>
    </x:row>
    <x:row r="1765">
      <x:c r="A1765" s="4" t="str">
        <x:v>2023-24</x:v>
      </x:c>
      <x:c r="B1765" s="20" t="n">
        <x:v>45255</x:v>
      </x:c>
      <x:c r="C1765" s="4" t="str">
        <x:v>Brighton</x:v>
      </x:c>
      <x:c r="D1765" s="4" t="str">
        <x:v>Nott'm Forest</x:v>
      </x:c>
      <x:c r="E1765" s="4" t="str">
        <x:v>Away</x:v>
      </x:c>
      <x:c r="F1765" s="28" t="n">
        <x:v>3</x:v>
      </x:c>
      <x:c r="G1765" s="28" t="n">
        <x:v>2</x:v>
      </x:c>
      <x:c r="H1765" s="28" t="n">
        <x:v>11</x:v>
      </x:c>
      <x:c r="I1765" s="28" t="n">
        <x:v>18</x:v>
      </x:c>
      <x:c r="J1765" s="28" t="n">
        <x:v>5</x:v>
      </x:c>
      <x:c r="K1765" s="28" t="n">
        <x:v>5</x:v>
      </x:c>
      <x:c r="L1765" s="28" t="n">
        <x:v>4</x:v>
      </x:c>
      <x:c r="M1765" s="28" t="n">
        <x:v>6</x:v>
      </x:c>
      <x:c r="N1765" s="28" t="n">
        <x:v>4</x:v>
      </x:c>
      <x:c r="O1765" s="28" t="n">
        <x:v>1</x:v>
      </x:c>
      <x:c r="P1765" s="28" t="n">
        <x:v>3</x:v>
      </x:c>
      <x:c r="Q1765" s="24" t="n">
        <x:f>IFERROR(J1765/H1765,0)</x:f>
        <x:v>0.45454545454545453</x:v>
      </x:c>
      <x:c r="R1765" s="24" t="n">
        <x:f>IFERROR(F1765/H1765,0)</x:f>
        <x:v>0.2727272727272727</x:v>
      </x:c>
      <x:c r="S1765" s="24" t="n">
        <x:f>IFERROR(F1765/J1765,0)</x:f>
        <x:v>0.6</x:v>
      </x:c>
      <x:c r="T1765" s="28" t="n">
        <x:f>H1765-I1765</x:f>
        <x:v>-7</x:v>
      </x:c>
      <x:c r="U1765" s="24" t="n">
        <x:f>IFERROR(J1765/H1765,0)-IFERROR(K1765/I1765,0)</x:f>
        <x:v>0.17676767676767674</x:v>
      </x:c>
      <x:c r="V1765" s="24" t="n">
        <x:f>IFERROR(F1765/J1765,0)-IFERROR(G1765/K1765,0)</x:f>
        <x:v>0.19999999999999996</x:v>
      </x:c>
      <x:c r="W1765" s="28" t="n">
        <x:f>L1765-M1765</x:f>
        <x:v>-2</x:v>
      </x:c>
      <x:c r="X1765" s="24" t="n">
        <x:f>IFERROR(K1765/I1765,0)</x:f>
        <x:v>0.2777777777777778</x:v>
      </x:c>
      <x:c r="Y1765" s="24" t="n">
        <x:f>IFERROR(G1765/I1765,0)</x:f>
        <x:v>0.1111111111111111</x:v>
      </x:c>
      <x:c r="Z1765" s="24" t="n">
        <x:f>IFERROR(G1765/K1765,0)</x:f>
        <x:v>0.4</x:v>
      </x:c>
      <x:c r="AA1765" s="24" t="n">
        <x:f>IFERROR(F1765/H1765,0)-IFERROR(G1765/I1765,0)</x:f>
        <x:v>0.1616161616161616</x:v>
      </x:c>
      <x:c r="AB1765" s="28" t="n">
        <x:f>J1765-K1765</x:f>
        <x:v>0</x:v>
      </x:c>
      <x:c r="AC1765" s="32" t="n">
        <x:f>F1765-G1765</x:f>
        <x:v>1</x:v>
      </x:c>
    </x:row>
    <x:row r="1766">
      <x:c r="A1766" s="4" t="str">
        <x:v>2023-24</x:v>
      </x:c>
      <x:c r="B1766" s="20" t="n">
        <x:v>45255</x:v>
      </x:c>
      <x:c r="C1766" s="4" t="str">
        <x:v>Burnley</x:v>
      </x:c>
      <x:c r="D1766" s="4" t="str">
        <x:v>West Ham</x:v>
      </x:c>
      <x:c r="E1766" s="4" t="str">
        <x:v>Home</x:v>
      </x:c>
      <x:c r="F1766" s="28" t="n">
        <x:v>1</x:v>
      </x:c>
      <x:c r="G1766" s="28" t="n">
        <x:v>2</x:v>
      </x:c>
      <x:c r="H1766" s="28" t="n">
        <x:v>11</x:v>
      </x:c>
      <x:c r="I1766" s="28" t="n">
        <x:v>11</x:v>
      </x:c>
      <x:c r="J1766" s="28" t="n">
        <x:v>5</x:v>
      </x:c>
      <x:c r="K1766" s="28" t="n">
        <x:v>3</x:v>
      </x:c>
      <x:c r="L1766" s="28" t="n">
        <x:v>4</x:v>
      </x:c>
      <x:c r="M1766" s="28" t="n">
        <x:v>5</x:v>
      </x:c>
      <x:c r="N1766" s="28" t="n">
        <x:v>1</x:v>
      </x:c>
      <x:c r="O1766" s="28" t="n">
        <x:v>0</x:v>
      </x:c>
      <x:c r="P1766" s="28" t="n">
        <x:v>0</x:v>
      </x:c>
      <x:c r="Q1766" s="24" t="n">
        <x:f>IFERROR(J1766/H1766,0)</x:f>
        <x:v>0.45454545454545453</x:v>
      </x:c>
      <x:c r="R1766" s="24" t="n">
        <x:f>IFERROR(F1766/H1766,0)</x:f>
        <x:v>0.09090909090909091</x:v>
      </x:c>
      <x:c r="S1766" s="24" t="n">
        <x:f>IFERROR(F1766/J1766,0)</x:f>
        <x:v>0.2</x:v>
      </x:c>
      <x:c r="T1766" s="28" t="n">
        <x:f>H1766-I1766</x:f>
        <x:v>0</x:v>
      </x:c>
      <x:c r="U1766" s="24" t="n">
        <x:f>IFERROR(J1766/H1766,0)-IFERROR(K1766/I1766,0)</x:f>
        <x:v>0.18181818181818182</x:v>
      </x:c>
      <x:c r="V1766" s="24" t="n">
        <x:f>IFERROR(F1766/J1766,0)-IFERROR(G1766/K1766,0)</x:f>
        <x:v>-0.4666666666666666</x:v>
      </x:c>
      <x:c r="W1766" s="28" t="n">
        <x:f>L1766-M1766</x:f>
        <x:v>-1</x:v>
      </x:c>
      <x:c r="X1766" s="24" t="n">
        <x:f>IFERROR(K1766/I1766,0)</x:f>
        <x:v>0.2727272727272727</x:v>
      </x:c>
      <x:c r="Y1766" s="24" t="n">
        <x:f>IFERROR(G1766/I1766,0)</x:f>
        <x:v>0.18181818181818182</x:v>
      </x:c>
      <x:c r="Z1766" s="24" t="n">
        <x:f>IFERROR(G1766/K1766,0)</x:f>
        <x:v>0.6666666666666666</x:v>
      </x:c>
      <x:c r="AA1766" s="24" t="n">
        <x:f>IFERROR(F1766/H1766,0)-IFERROR(G1766/I1766,0)</x:f>
        <x:v>-0.09090909090909091</x:v>
      </x:c>
      <x:c r="AB1766" s="28" t="n">
        <x:f>J1766-K1766</x:f>
        <x:v>2</x:v>
      </x:c>
      <x:c r="AC1766" s="32" t="n">
        <x:f>F1766-G1766</x:f>
        <x:v>-1</x:v>
      </x:c>
    </x:row>
    <x:row r="1767">
      <x:c r="A1767" s="4" t="str">
        <x:v>2023-24</x:v>
      </x:c>
      <x:c r="B1767" s="20" t="n">
        <x:v>45255</x:v>
      </x:c>
      <x:c r="C1767" s="4" t="str">
        <x:v>Chelsea</x:v>
      </x:c>
      <x:c r="D1767" s="4" t="str">
        <x:v>Newcastle</x:v>
      </x:c>
      <x:c r="E1767" s="4" t="str">
        <x:v>Away</x:v>
      </x:c>
      <x:c r="F1767" s="28" t="n">
        <x:v>1</x:v>
      </x:c>
      <x:c r="G1767" s="28" t="n">
        <x:v>4</x:v>
      </x:c>
      <x:c r="H1767" s="28" t="n">
        <x:v>7</x:v>
      </x:c>
      <x:c r="I1767" s="28" t="n">
        <x:v>14</x:v>
      </x:c>
      <x:c r="J1767" s="28" t="n">
        <x:v>4</x:v>
      </x:c>
      <x:c r="K1767" s="28" t="n">
        <x:v>5</x:v>
      </x:c>
      <x:c r="L1767" s="28" t="n">
        <x:v>2</x:v>
      </x:c>
      <x:c r="M1767" s="28" t="n">
        <x:v>4</x:v>
      </x:c>
      <x:c r="N1767" s="28" t="n">
        <x:v>4</x:v>
      </x:c>
      <x:c r="O1767" s="28" t="n">
        <x:v>1</x:v>
      </x:c>
      <x:c r="P1767" s="28" t="n">
        <x:v>0</x:v>
      </x:c>
      <x:c r="Q1767" s="24" t="n">
        <x:f>IFERROR(J1767/H1767,0)</x:f>
        <x:v>0.5714285714285714</x:v>
      </x:c>
      <x:c r="R1767" s="24" t="n">
        <x:f>IFERROR(F1767/H1767,0)</x:f>
        <x:v>0.14285714285714285</x:v>
      </x:c>
      <x:c r="S1767" s="24" t="n">
        <x:f>IFERROR(F1767/J1767,0)</x:f>
        <x:v>0.25</x:v>
      </x:c>
      <x:c r="T1767" s="28" t="n">
        <x:f>H1767-I1767</x:f>
        <x:v>-7</x:v>
      </x:c>
      <x:c r="U1767" s="24" t="n">
        <x:f>IFERROR(J1767/H1767,0)-IFERROR(K1767/I1767,0)</x:f>
        <x:v>0.21428571428571425</x:v>
      </x:c>
      <x:c r="V1767" s="24" t="n">
        <x:f>IFERROR(F1767/J1767,0)-IFERROR(G1767/K1767,0)</x:f>
        <x:v>-0.55</x:v>
      </x:c>
      <x:c r="W1767" s="28" t="n">
        <x:f>L1767-M1767</x:f>
        <x:v>-2</x:v>
      </x:c>
      <x:c r="X1767" s="24" t="n">
        <x:f>IFERROR(K1767/I1767,0)</x:f>
        <x:v>0.35714285714285715</x:v>
      </x:c>
      <x:c r="Y1767" s="24" t="n">
        <x:f>IFERROR(G1767/I1767,0)</x:f>
        <x:v>0.2857142857142857</x:v>
      </x:c>
      <x:c r="Z1767" s="24" t="n">
        <x:f>IFERROR(G1767/K1767,0)</x:f>
        <x:v>0.8</x:v>
      </x:c>
      <x:c r="AA1767" s="24" t="n">
        <x:f>IFERROR(F1767/H1767,0)-IFERROR(G1767/I1767,0)</x:f>
        <x:v>-0.14285714285714285</x:v>
      </x:c>
      <x:c r="AB1767" s="28" t="n">
        <x:f>J1767-K1767</x:f>
        <x:v>-1</x:v>
      </x:c>
      <x:c r="AC1767" s="32" t="n">
        <x:f>F1767-G1767</x:f>
        <x:v>-3</x:v>
      </x:c>
    </x:row>
    <x:row r="1768">
      <x:c r="A1768" s="4" t="str">
        <x:v>2023-24</x:v>
      </x:c>
      <x:c r="B1768" s="20" t="n">
        <x:v>45255</x:v>
      </x:c>
      <x:c r="C1768" s="4" t="str">
        <x:v>Crystal Palace</x:v>
      </x:c>
      <x:c r="D1768" s="4" t="str">
        <x:v>Luton</x:v>
      </x:c>
      <x:c r="E1768" s="4" t="str">
        <x:v>Away</x:v>
      </x:c>
      <x:c r="F1768" s="28" t="n">
        <x:v>1</x:v>
      </x:c>
      <x:c r="G1768" s="28" t="n">
        <x:v>2</x:v>
      </x:c>
      <x:c r="H1768" s="28" t="n">
        <x:v>16</x:v>
      </x:c>
      <x:c r="I1768" s="28" t="n">
        <x:v>8</x:v>
      </x:c>
      <x:c r="J1768" s="28" t="n">
        <x:v>8</x:v>
      </x:c>
      <x:c r="K1768" s="28" t="n">
        <x:v>3</x:v>
      </x:c>
      <x:c r="L1768" s="28" t="n">
        <x:v>5</x:v>
      </x:c>
      <x:c r="M1768" s="28" t="n">
        <x:v>4</x:v>
      </x:c>
      <x:c r="N1768" s="28" t="n">
        <x:v>1</x:v>
      </x:c>
      <x:c r="O1768" s="28" t="n">
        <x:v>0</x:v>
      </x:c>
      <x:c r="P1768" s="28" t="n">
        <x:v>0</x:v>
      </x:c>
      <x:c r="Q1768" s="24" t="n">
        <x:f>IFERROR(J1768/H1768,0)</x:f>
        <x:v>0.5</x:v>
      </x:c>
      <x:c r="R1768" s="24" t="n">
        <x:f>IFERROR(F1768/H1768,0)</x:f>
        <x:v>0.0625</x:v>
      </x:c>
      <x:c r="S1768" s="24" t="n">
        <x:f>IFERROR(F1768/J1768,0)</x:f>
        <x:v>0.125</x:v>
      </x:c>
      <x:c r="T1768" s="28" t="n">
        <x:f>H1768-I1768</x:f>
        <x:v>8</x:v>
      </x:c>
      <x:c r="U1768" s="24" t="n">
        <x:f>IFERROR(J1768/H1768,0)-IFERROR(K1768/I1768,0)</x:f>
        <x:v>0.125</x:v>
      </x:c>
      <x:c r="V1768" s="24" t="n">
        <x:f>IFERROR(F1768/J1768,0)-IFERROR(G1768/K1768,0)</x:f>
        <x:v>-0.5416666666666666</x:v>
      </x:c>
      <x:c r="W1768" s="28" t="n">
        <x:f>L1768-M1768</x:f>
        <x:v>1</x:v>
      </x:c>
      <x:c r="X1768" s="24" t="n">
        <x:f>IFERROR(K1768/I1768,0)</x:f>
        <x:v>0.375</x:v>
      </x:c>
      <x:c r="Y1768" s="24" t="n">
        <x:f>IFERROR(G1768/I1768,0)</x:f>
        <x:v>0.25</x:v>
      </x:c>
      <x:c r="Z1768" s="24" t="n">
        <x:f>IFERROR(G1768/K1768,0)</x:f>
        <x:v>0.6666666666666666</x:v>
      </x:c>
      <x:c r="AA1768" s="24" t="n">
        <x:f>IFERROR(F1768/H1768,0)-IFERROR(G1768/I1768,0)</x:f>
        <x:v>-0.1875</x:v>
      </x:c>
      <x:c r="AB1768" s="28" t="n">
        <x:f>J1768-K1768</x:f>
        <x:v>5</x:v>
      </x:c>
      <x:c r="AC1768" s="32" t="n">
        <x:f>F1768-G1768</x:f>
        <x:v>-1</x:v>
      </x:c>
    </x:row>
    <x:row r="1769">
      <x:c r="A1769" s="4" t="str">
        <x:v>2023-24</x:v>
      </x:c>
      <x:c r="B1769" s="20" t="n">
        <x:v>45255</x:v>
      </x:c>
      <x:c r="C1769" s="4" t="str">
        <x:v>Liverpool</x:v>
      </x:c>
      <x:c r="D1769" s="4" t="str">
        <x:v>Man City</x:v>
      </x:c>
      <x:c r="E1769" s="4" t="str">
        <x:v>Away</x:v>
      </x:c>
      <x:c r="F1769" s="28" t="n">
        <x:v>1</x:v>
      </x:c>
      <x:c r="G1769" s="28" t="n">
        <x:v>1</x:v>
      </x:c>
      <x:c r="H1769" s="28" t="n">
        <x:v>8</x:v>
      </x:c>
      <x:c r="I1769" s="28" t="n">
        <x:v>16</x:v>
      </x:c>
      <x:c r="J1769" s="28" t="n">
        <x:v>3</x:v>
      </x:c>
      <x:c r="K1769" s="28" t="n">
        <x:v>5</x:v>
      </x:c>
      <x:c r="L1769" s="28" t="n">
        <x:v>6</x:v>
      </x:c>
      <x:c r="M1769" s="28" t="n">
        <x:v>9</x:v>
      </x:c>
      <x:c r="N1769" s="28" t="n">
        <x:v>3</x:v>
      </x:c>
      <x:c r="O1769" s="28" t="n">
        <x:v>0</x:v>
      </x:c>
      <x:c r="P1769" s="28" t="n">
        <x:v>1</x:v>
      </x:c>
      <x:c r="Q1769" s="24" t="n">
        <x:f>IFERROR(J1769/H1769,0)</x:f>
        <x:v>0.375</x:v>
      </x:c>
      <x:c r="R1769" s="24" t="n">
        <x:f>IFERROR(F1769/H1769,0)</x:f>
        <x:v>0.125</x:v>
      </x:c>
      <x:c r="S1769" s="24" t="n">
        <x:f>IFERROR(F1769/J1769,0)</x:f>
        <x:v>0.3333333333333333</x:v>
      </x:c>
      <x:c r="T1769" s="28" t="n">
        <x:f>H1769-I1769</x:f>
        <x:v>-8</x:v>
      </x:c>
      <x:c r="U1769" s="24" t="n">
        <x:f>IFERROR(J1769/H1769,0)-IFERROR(K1769/I1769,0)</x:f>
        <x:v>0.0625</x:v>
      </x:c>
      <x:c r="V1769" s="24" t="n">
        <x:f>IFERROR(F1769/J1769,0)-IFERROR(G1769/K1769,0)</x:f>
        <x:v>0.1333333333333333</x:v>
      </x:c>
      <x:c r="W1769" s="28" t="n">
        <x:f>L1769-M1769</x:f>
        <x:v>-3</x:v>
      </x:c>
      <x:c r="X1769" s="24" t="n">
        <x:f>IFERROR(K1769/I1769,0)</x:f>
        <x:v>0.3125</x:v>
      </x:c>
      <x:c r="Y1769" s="24" t="n">
        <x:f>IFERROR(G1769/I1769,0)</x:f>
        <x:v>0.0625</x:v>
      </x:c>
      <x:c r="Z1769" s="24" t="n">
        <x:f>IFERROR(G1769/K1769,0)</x:f>
        <x:v>0.2</x:v>
      </x:c>
      <x:c r="AA1769" s="24" t="n">
        <x:f>IFERROR(F1769/H1769,0)-IFERROR(G1769/I1769,0)</x:f>
        <x:v>0.0625</x:v>
      </x:c>
      <x:c r="AB1769" s="28" t="n">
        <x:f>J1769-K1769</x:f>
        <x:v>-2</x:v>
      </x:c>
      <x:c r="AC1769" s="32" t="n">
        <x:f>F1769-G1769</x:f>
        <x:v>0</x:v>
      </x:c>
    </x:row>
    <x:row r="1770">
      <x:c r="A1770" s="4" t="str">
        <x:v>2023-24</x:v>
      </x:c>
      <x:c r="B1770" s="20" t="n">
        <x:v>45255</x:v>
      </x:c>
      <x:c r="C1770" s="4" t="str">
        <x:v>Luton</x:v>
      </x:c>
      <x:c r="D1770" s="4" t="str">
        <x:v>Crystal Palace</x:v>
      </x:c>
      <x:c r="E1770" s="4" t="str">
        <x:v>Home</x:v>
      </x:c>
      <x:c r="F1770" s="28" t="n">
        <x:v>2</x:v>
      </x:c>
      <x:c r="G1770" s="28" t="n">
        <x:v>1</x:v>
      </x:c>
      <x:c r="H1770" s="28" t="n">
        <x:v>8</x:v>
      </x:c>
      <x:c r="I1770" s="28" t="n">
        <x:v>16</x:v>
      </x:c>
      <x:c r="J1770" s="28" t="n">
        <x:v>3</x:v>
      </x:c>
      <x:c r="K1770" s="28" t="n">
        <x:v>8</x:v>
      </x:c>
      <x:c r="L1770" s="28" t="n">
        <x:v>4</x:v>
      </x:c>
      <x:c r="M1770" s="28" t="n">
        <x:v>5</x:v>
      </x:c>
      <x:c r="N1770" s="28" t="n">
        <x:v>6</x:v>
      </x:c>
      <x:c r="O1770" s="28" t="n">
        <x:v>0</x:v>
      </x:c>
      <x:c r="P1770" s="28" t="n">
        <x:v>3</x:v>
      </x:c>
      <x:c r="Q1770" s="24" t="n">
        <x:f>IFERROR(J1770/H1770,0)</x:f>
        <x:v>0.375</x:v>
      </x:c>
      <x:c r="R1770" s="24" t="n">
        <x:f>IFERROR(F1770/H1770,0)</x:f>
        <x:v>0.25</x:v>
      </x:c>
      <x:c r="S1770" s="24" t="n">
        <x:f>IFERROR(F1770/J1770,0)</x:f>
        <x:v>0.6666666666666666</x:v>
      </x:c>
      <x:c r="T1770" s="28" t="n">
        <x:f>H1770-I1770</x:f>
        <x:v>-8</x:v>
      </x:c>
      <x:c r="U1770" s="24" t="n">
        <x:f>IFERROR(J1770/H1770,0)-IFERROR(K1770/I1770,0)</x:f>
        <x:v>-0.125</x:v>
      </x:c>
      <x:c r="V1770" s="24" t="n">
        <x:f>IFERROR(F1770/J1770,0)-IFERROR(G1770/K1770,0)</x:f>
        <x:v>0.5416666666666666</x:v>
      </x:c>
      <x:c r="W1770" s="28" t="n">
        <x:f>L1770-M1770</x:f>
        <x:v>-1</x:v>
      </x:c>
      <x:c r="X1770" s="24" t="n">
        <x:f>IFERROR(K1770/I1770,0)</x:f>
        <x:v>0.5</x:v>
      </x:c>
      <x:c r="Y1770" s="24" t="n">
        <x:f>IFERROR(G1770/I1770,0)</x:f>
        <x:v>0.0625</x:v>
      </x:c>
      <x:c r="Z1770" s="24" t="n">
        <x:f>IFERROR(G1770/K1770,0)</x:f>
        <x:v>0.125</x:v>
      </x:c>
      <x:c r="AA1770" s="24" t="n">
        <x:f>IFERROR(F1770/H1770,0)-IFERROR(G1770/I1770,0)</x:f>
        <x:v>0.1875</x:v>
      </x:c>
      <x:c r="AB1770" s="28" t="n">
        <x:f>J1770-K1770</x:f>
        <x:v>-5</x:v>
      </x:c>
      <x:c r="AC1770" s="32" t="n">
        <x:f>F1770-G1770</x:f>
        <x:v>1</x:v>
      </x:c>
    </x:row>
    <x:row r="1771">
      <x:c r="A1771" s="4" t="str">
        <x:v>2023-24</x:v>
      </x:c>
      <x:c r="B1771" s="20" t="n">
        <x:v>45255</x:v>
      </x:c>
      <x:c r="C1771" s="4" t="str">
        <x:v>Man City</x:v>
      </x:c>
      <x:c r="D1771" s="4" t="str">
        <x:v>Liverpool</x:v>
      </x:c>
      <x:c r="E1771" s="4" t="str">
        <x:v>Home</x:v>
      </x:c>
      <x:c r="F1771" s="28" t="n">
        <x:v>1</x:v>
      </x:c>
      <x:c r="G1771" s="28" t="n">
        <x:v>1</x:v>
      </x:c>
      <x:c r="H1771" s="28" t="n">
        <x:v>16</x:v>
      </x:c>
      <x:c r="I1771" s="28" t="n">
        <x:v>8</x:v>
      </x:c>
      <x:c r="J1771" s="28" t="n">
        <x:v>5</x:v>
      </x:c>
      <x:c r="K1771" s="28" t="n">
        <x:v>3</x:v>
      </x:c>
      <x:c r="L1771" s="28" t="n">
        <x:v>9</x:v>
      </x:c>
      <x:c r="M1771" s="28" t="n">
        <x:v>6</x:v>
      </x:c>
      <x:c r="N1771" s="28" t="n">
        <x:v>1</x:v>
      </x:c>
      <x:c r="O1771" s="28" t="n">
        <x:v>0</x:v>
      </x:c>
      <x:c r="P1771" s="28" t="n">
        <x:v>1</x:v>
      </x:c>
      <x:c r="Q1771" s="24" t="n">
        <x:f>IFERROR(J1771/H1771,0)</x:f>
        <x:v>0.3125</x:v>
      </x:c>
      <x:c r="R1771" s="24" t="n">
        <x:f>IFERROR(F1771/H1771,0)</x:f>
        <x:v>0.0625</x:v>
      </x:c>
      <x:c r="S1771" s="24" t="n">
        <x:f>IFERROR(F1771/J1771,0)</x:f>
        <x:v>0.2</x:v>
      </x:c>
      <x:c r="T1771" s="28" t="n">
        <x:f>H1771-I1771</x:f>
        <x:v>8</x:v>
      </x:c>
      <x:c r="U1771" s="24" t="n">
        <x:f>IFERROR(J1771/H1771,0)-IFERROR(K1771/I1771,0)</x:f>
        <x:v>-0.0625</x:v>
      </x:c>
      <x:c r="V1771" s="24" t="n">
        <x:f>IFERROR(F1771/J1771,0)-IFERROR(G1771/K1771,0)</x:f>
        <x:v>-0.1333333333333333</x:v>
      </x:c>
      <x:c r="W1771" s="28" t="n">
        <x:f>L1771-M1771</x:f>
        <x:v>3</x:v>
      </x:c>
      <x:c r="X1771" s="24" t="n">
        <x:f>IFERROR(K1771/I1771,0)</x:f>
        <x:v>0.375</x:v>
      </x:c>
      <x:c r="Y1771" s="24" t="n">
        <x:f>IFERROR(G1771/I1771,0)</x:f>
        <x:v>0.125</x:v>
      </x:c>
      <x:c r="Z1771" s="24" t="n">
        <x:f>IFERROR(G1771/K1771,0)</x:f>
        <x:v>0.3333333333333333</x:v>
      </x:c>
      <x:c r="AA1771" s="24" t="n">
        <x:f>IFERROR(F1771/H1771,0)-IFERROR(G1771/I1771,0)</x:f>
        <x:v>-0.0625</x:v>
      </x:c>
      <x:c r="AB1771" s="28" t="n">
        <x:f>J1771-K1771</x:f>
        <x:v>2</x:v>
      </x:c>
      <x:c r="AC1771" s="32" t="n">
        <x:f>F1771-G1771</x:f>
        <x:v>0</x:v>
      </x:c>
    </x:row>
    <x:row r="1772">
      <x:c r="A1772" s="4" t="str">
        <x:v>2023-24</x:v>
      </x:c>
      <x:c r="B1772" s="20" t="n">
        <x:v>45255</x:v>
      </x:c>
      <x:c r="C1772" s="4" t="str">
        <x:v>Newcastle</x:v>
      </x:c>
      <x:c r="D1772" s="4" t="str">
        <x:v>Chelsea</x:v>
      </x:c>
      <x:c r="E1772" s="4" t="str">
        <x:v>Home</x:v>
      </x:c>
      <x:c r="F1772" s="28" t="n">
        <x:v>4</x:v>
      </x:c>
      <x:c r="G1772" s="28" t="n">
        <x:v>1</x:v>
      </x:c>
      <x:c r="H1772" s="28" t="n">
        <x:v>14</x:v>
      </x:c>
      <x:c r="I1772" s="28" t="n">
        <x:v>7</x:v>
      </x:c>
      <x:c r="J1772" s="28" t="n">
        <x:v>5</x:v>
      </x:c>
      <x:c r="K1772" s="28" t="n">
        <x:v>4</x:v>
      </x:c>
      <x:c r="L1772" s="28" t="n">
        <x:v>4</x:v>
      </x:c>
      <x:c r="M1772" s="28" t="n">
        <x:v>2</x:v>
      </x:c>
      <x:c r="N1772" s="28" t="n">
        <x:v>4</x:v>
      </x:c>
      <x:c r="O1772" s="28" t="n">
        <x:v>0</x:v>
      </x:c>
      <x:c r="P1772" s="28" t="n">
        <x:v>3</x:v>
      </x:c>
      <x:c r="Q1772" s="24" t="n">
        <x:f>IFERROR(J1772/H1772,0)</x:f>
        <x:v>0.35714285714285715</x:v>
      </x:c>
      <x:c r="R1772" s="24" t="n">
        <x:f>IFERROR(F1772/H1772,0)</x:f>
        <x:v>0.2857142857142857</x:v>
      </x:c>
      <x:c r="S1772" s="24" t="n">
        <x:f>IFERROR(F1772/J1772,0)</x:f>
        <x:v>0.8</x:v>
      </x:c>
      <x:c r="T1772" s="28" t="n">
        <x:f>H1772-I1772</x:f>
        <x:v>7</x:v>
      </x:c>
      <x:c r="U1772" s="24" t="n">
        <x:f>IFERROR(J1772/H1772,0)-IFERROR(K1772/I1772,0)</x:f>
        <x:v>-0.21428571428571425</x:v>
      </x:c>
      <x:c r="V1772" s="24" t="n">
        <x:f>IFERROR(F1772/J1772,0)-IFERROR(G1772/K1772,0)</x:f>
        <x:v>0.55</x:v>
      </x:c>
      <x:c r="W1772" s="28" t="n">
        <x:f>L1772-M1772</x:f>
        <x:v>2</x:v>
      </x:c>
      <x:c r="X1772" s="24" t="n">
        <x:f>IFERROR(K1772/I1772,0)</x:f>
        <x:v>0.5714285714285714</x:v>
      </x:c>
      <x:c r="Y1772" s="24" t="n">
        <x:f>IFERROR(G1772/I1772,0)</x:f>
        <x:v>0.14285714285714285</x:v>
      </x:c>
      <x:c r="Z1772" s="24" t="n">
        <x:f>IFERROR(G1772/K1772,0)</x:f>
        <x:v>0.25</x:v>
      </x:c>
      <x:c r="AA1772" s="24" t="n">
        <x:f>IFERROR(F1772/H1772,0)-IFERROR(G1772/I1772,0)</x:f>
        <x:v>0.14285714285714285</x:v>
      </x:c>
      <x:c r="AB1772" s="28" t="n">
        <x:f>J1772-K1772</x:f>
        <x:v>1</x:v>
      </x:c>
      <x:c r="AC1772" s="32" t="n">
        <x:f>F1772-G1772</x:f>
        <x:v>3</x:v>
      </x:c>
    </x:row>
    <x:row r="1773">
      <x:c r="A1773" s="4" t="str">
        <x:v>2023-24</x:v>
      </x:c>
      <x:c r="B1773" s="20" t="n">
        <x:v>45255</x:v>
      </x:c>
      <x:c r="C1773" s="4" t="str">
        <x:v>Nott'm Forest</x:v>
      </x:c>
      <x:c r="D1773" s="4" t="str">
        <x:v>Brighton</x:v>
      </x:c>
      <x:c r="E1773" s="4" t="str">
        <x:v>Home</x:v>
      </x:c>
      <x:c r="F1773" s="28" t="n">
        <x:v>2</x:v>
      </x:c>
      <x:c r="G1773" s="28" t="n">
        <x:v>3</x:v>
      </x:c>
      <x:c r="H1773" s="28" t="n">
        <x:v>18</x:v>
      </x:c>
      <x:c r="I1773" s="28" t="n">
        <x:v>11</x:v>
      </x:c>
      <x:c r="J1773" s="28" t="n">
        <x:v>5</x:v>
      </x:c>
      <x:c r="K1773" s="28" t="n">
        <x:v>5</x:v>
      </x:c>
      <x:c r="L1773" s="28" t="n">
        <x:v>6</x:v>
      </x:c>
      <x:c r="M1773" s="28" t="n">
        <x:v>4</x:v>
      </x:c>
      <x:c r="N1773" s="28" t="n">
        <x:v>2</x:v>
      </x:c>
      <x:c r="O1773" s="28" t="n">
        <x:v>0</x:v>
      </x:c>
      <x:c r="P1773" s="28" t="n">
        <x:v>0</x:v>
      </x:c>
      <x:c r="Q1773" s="24" t="n">
        <x:f>IFERROR(J1773/H1773,0)</x:f>
        <x:v>0.2777777777777778</x:v>
      </x:c>
      <x:c r="R1773" s="24" t="n">
        <x:f>IFERROR(F1773/H1773,0)</x:f>
        <x:v>0.1111111111111111</x:v>
      </x:c>
      <x:c r="S1773" s="24" t="n">
        <x:f>IFERROR(F1773/J1773,0)</x:f>
        <x:v>0.4</x:v>
      </x:c>
      <x:c r="T1773" s="28" t="n">
        <x:f>H1773-I1773</x:f>
        <x:v>7</x:v>
      </x:c>
      <x:c r="U1773" s="24" t="n">
        <x:f>IFERROR(J1773/H1773,0)-IFERROR(K1773/I1773,0)</x:f>
        <x:v>-0.17676767676767674</x:v>
      </x:c>
      <x:c r="V1773" s="24" t="n">
        <x:f>IFERROR(F1773/J1773,0)-IFERROR(G1773/K1773,0)</x:f>
        <x:v>-0.19999999999999996</x:v>
      </x:c>
      <x:c r="W1773" s="28" t="n">
        <x:f>L1773-M1773</x:f>
        <x:v>2</x:v>
      </x:c>
      <x:c r="X1773" s="24" t="n">
        <x:f>IFERROR(K1773/I1773,0)</x:f>
        <x:v>0.45454545454545453</x:v>
      </x:c>
      <x:c r="Y1773" s="24" t="n">
        <x:f>IFERROR(G1773/I1773,0)</x:f>
        <x:v>0.2727272727272727</x:v>
      </x:c>
      <x:c r="Z1773" s="24" t="n">
        <x:f>IFERROR(G1773/K1773,0)</x:f>
        <x:v>0.6</x:v>
      </x:c>
      <x:c r="AA1773" s="24" t="n">
        <x:f>IFERROR(F1773/H1773,0)-IFERROR(G1773/I1773,0)</x:f>
        <x:v>-0.1616161616161616</x:v>
      </x:c>
      <x:c r="AB1773" s="28" t="n">
        <x:f>J1773-K1773</x:f>
        <x:v>0</x:v>
      </x:c>
      <x:c r="AC1773" s="32" t="n">
        <x:f>F1773-G1773</x:f>
        <x:v>-1</x:v>
      </x:c>
    </x:row>
    <x:row r="1774">
      <x:c r="A1774" s="4" t="str">
        <x:v>2023-24</x:v>
      </x:c>
      <x:c r="B1774" s="20" t="n">
        <x:v>45255</x:v>
      </x:c>
      <x:c r="C1774" s="4" t="str">
        <x:v>Sheffield United</x:v>
      </x:c>
      <x:c r="D1774" s="4" t="str">
        <x:v>Bournemouth</x:v>
      </x:c>
      <x:c r="E1774" s="4" t="str">
        <x:v>Home</x:v>
      </x:c>
      <x:c r="F1774" s="28" t="n">
        <x:v>1</x:v>
      </x:c>
      <x:c r="G1774" s="28" t="n">
        <x:v>3</x:v>
      </x:c>
      <x:c r="H1774" s="28" t="n">
        <x:v>10</x:v>
      </x:c>
      <x:c r="I1774" s="28" t="n">
        <x:v>23</x:v>
      </x:c>
      <x:c r="J1774" s="28" t="n">
        <x:v>2</x:v>
      </x:c>
      <x:c r="K1774" s="28" t="n">
        <x:v>11</x:v>
      </x:c>
      <x:c r="L1774" s="28" t="n">
        <x:v>4</x:v>
      </x:c>
      <x:c r="M1774" s="28" t="n">
        <x:v>7</x:v>
      </x:c>
      <x:c r="N1774" s="28" t="n">
        <x:v>4</x:v>
      </x:c>
      <x:c r="O1774" s="28" t="n">
        <x:v>0</x:v>
      </x:c>
      <x:c r="P1774" s="28" t="n">
        <x:v>0</x:v>
      </x:c>
      <x:c r="Q1774" s="24" t="n">
        <x:f>IFERROR(J1774/H1774,0)</x:f>
        <x:v>0.2</x:v>
      </x:c>
      <x:c r="R1774" s="24" t="n">
        <x:f>IFERROR(F1774/H1774,0)</x:f>
        <x:v>0.1</x:v>
      </x:c>
      <x:c r="S1774" s="24" t="n">
        <x:f>IFERROR(F1774/J1774,0)</x:f>
        <x:v>0.5</x:v>
      </x:c>
      <x:c r="T1774" s="28" t="n">
        <x:f>H1774-I1774</x:f>
        <x:v>-13</x:v>
      </x:c>
      <x:c r="U1774" s="24" t="n">
        <x:f>IFERROR(J1774/H1774,0)-IFERROR(K1774/I1774,0)</x:f>
        <x:v>-0.2782608695652174</x:v>
      </x:c>
      <x:c r="V1774" s="24" t="n">
        <x:f>IFERROR(F1774/J1774,0)-IFERROR(G1774/K1774,0)</x:f>
        <x:v>0.2272727272727273</x:v>
      </x:c>
      <x:c r="W1774" s="28" t="n">
        <x:f>L1774-M1774</x:f>
        <x:v>-3</x:v>
      </x:c>
      <x:c r="X1774" s="24" t="n">
        <x:f>IFERROR(K1774/I1774,0)</x:f>
        <x:v>0.4782608695652174</x:v>
      </x:c>
      <x:c r="Y1774" s="24" t="n">
        <x:f>IFERROR(G1774/I1774,0)</x:f>
        <x:v>0.13043478260869565</x:v>
      </x:c>
      <x:c r="Z1774" s="24" t="n">
        <x:f>IFERROR(G1774/K1774,0)</x:f>
        <x:v>0.2727272727272727</x:v>
      </x:c>
      <x:c r="AA1774" s="24" t="n">
        <x:f>IFERROR(F1774/H1774,0)-IFERROR(G1774/I1774,0)</x:f>
        <x:v>-0.030434782608695643</x:v>
      </x:c>
      <x:c r="AB1774" s="28" t="n">
        <x:f>J1774-K1774</x:f>
        <x:v>-9</x:v>
      </x:c>
      <x:c r="AC1774" s="32" t="n">
        <x:f>F1774-G1774</x:f>
        <x:v>-2</x:v>
      </x:c>
    </x:row>
    <x:row r="1775">
      <x:c r="A1775" s="4" t="str">
        <x:v>2023-24</x:v>
      </x:c>
      <x:c r="B1775" s="20" t="n">
        <x:v>45255</x:v>
      </x:c>
      <x:c r="C1775" s="4" t="str">
        <x:v>West Ham</x:v>
      </x:c>
      <x:c r="D1775" s="4" t="str">
        <x:v>Burnley</x:v>
      </x:c>
      <x:c r="E1775" s="4" t="str">
        <x:v>Away</x:v>
      </x:c>
      <x:c r="F1775" s="28" t="n">
        <x:v>2</x:v>
      </x:c>
      <x:c r="G1775" s="28" t="n">
        <x:v>1</x:v>
      </x:c>
      <x:c r="H1775" s="28" t="n">
        <x:v>11</x:v>
      </x:c>
      <x:c r="I1775" s="28" t="n">
        <x:v>11</x:v>
      </x:c>
      <x:c r="J1775" s="28" t="n">
        <x:v>3</x:v>
      </x:c>
      <x:c r="K1775" s="28" t="n">
        <x:v>5</x:v>
      </x:c>
      <x:c r="L1775" s="28" t="n">
        <x:v>5</x:v>
      </x:c>
      <x:c r="M1775" s="28" t="n">
        <x:v>4</x:v>
      </x:c>
      <x:c r="N1775" s="28" t="n">
        <x:v>3</x:v>
      </x:c>
      <x:c r="O1775" s="28" t="n">
        <x:v>0</x:v>
      </x:c>
      <x:c r="P1775" s="28" t="n">
        <x:v>3</x:v>
      </x:c>
      <x:c r="Q1775" s="24" t="n">
        <x:f>IFERROR(J1775/H1775,0)</x:f>
        <x:v>0.2727272727272727</x:v>
      </x:c>
      <x:c r="R1775" s="24" t="n">
        <x:f>IFERROR(F1775/H1775,0)</x:f>
        <x:v>0.18181818181818182</x:v>
      </x:c>
      <x:c r="S1775" s="24" t="n">
        <x:f>IFERROR(F1775/J1775,0)</x:f>
        <x:v>0.6666666666666666</x:v>
      </x:c>
      <x:c r="T1775" s="28" t="n">
        <x:f>H1775-I1775</x:f>
        <x:v>0</x:v>
      </x:c>
      <x:c r="U1775" s="24" t="n">
        <x:f>IFERROR(J1775/H1775,0)-IFERROR(K1775/I1775,0)</x:f>
        <x:v>-0.18181818181818182</x:v>
      </x:c>
      <x:c r="V1775" s="24" t="n">
        <x:f>IFERROR(F1775/J1775,0)-IFERROR(G1775/K1775,0)</x:f>
        <x:v>0.4666666666666666</x:v>
      </x:c>
      <x:c r="W1775" s="28" t="n">
        <x:f>L1775-M1775</x:f>
        <x:v>1</x:v>
      </x:c>
      <x:c r="X1775" s="24" t="n">
        <x:f>IFERROR(K1775/I1775,0)</x:f>
        <x:v>0.45454545454545453</x:v>
      </x:c>
      <x:c r="Y1775" s="24" t="n">
        <x:f>IFERROR(G1775/I1775,0)</x:f>
        <x:v>0.09090909090909091</x:v>
      </x:c>
      <x:c r="Z1775" s="24" t="n">
        <x:f>IFERROR(G1775/K1775,0)</x:f>
        <x:v>0.2</x:v>
      </x:c>
      <x:c r="AA1775" s="24" t="n">
        <x:f>IFERROR(F1775/H1775,0)-IFERROR(G1775/I1775,0)</x:f>
        <x:v>0.09090909090909091</x:v>
      </x:c>
      <x:c r="AB1775" s="28" t="n">
        <x:f>J1775-K1775</x:f>
        <x:v>-2</x:v>
      </x:c>
      <x:c r="AC1775" s="32" t="n">
        <x:f>F1775-G1775</x:f>
        <x:v>1</x:v>
      </x:c>
    </x:row>
    <x:row r="1776">
      <x:c r="A1776" s="4" t="str">
        <x:v>2023-24</x:v>
      </x:c>
      <x:c r="B1776" s="20" t="n">
        <x:v>45256</x:v>
      </x:c>
      <x:c r="C1776" s="4" t="str">
        <x:v>Aston Villa</x:v>
      </x:c>
      <x:c r="D1776" s="4" t="str">
        <x:v>Tottenham</x:v>
      </x:c>
      <x:c r="E1776" s="4" t="str">
        <x:v>Away</x:v>
      </x:c>
      <x:c r="F1776" s="28" t="n">
        <x:v>2</x:v>
      </x:c>
      <x:c r="G1776" s="28" t="n">
        <x:v>1</x:v>
      </x:c>
      <x:c r="H1776" s="28" t="n">
        <x:v>15</x:v>
      </x:c>
      <x:c r="I1776" s="28" t="n">
        <x:v>18</x:v>
      </x:c>
      <x:c r="J1776" s="28" t="n">
        <x:v>5</x:v>
      </x:c>
      <x:c r="K1776" s="28" t="n">
        <x:v>8</x:v>
      </x:c>
      <x:c r="L1776" s="28" t="n">
        <x:v>3</x:v>
      </x:c>
      <x:c r="M1776" s="28" t="n">
        <x:v>9</x:v>
      </x:c>
      <x:c r="N1776" s="28" t="n">
        <x:v>4</x:v>
      </x:c>
      <x:c r="O1776" s="28" t="n">
        <x:v>0</x:v>
      </x:c>
      <x:c r="P1776" s="28" t="n">
        <x:v>3</x:v>
      </x:c>
      <x:c r="Q1776" s="24" t="n">
        <x:f>IFERROR(J1776/H1776,0)</x:f>
        <x:v>0.3333333333333333</x:v>
      </x:c>
      <x:c r="R1776" s="24" t="n">
        <x:f>IFERROR(F1776/H1776,0)</x:f>
        <x:v>0.13333333333333333</x:v>
      </x:c>
      <x:c r="S1776" s="24" t="n">
        <x:f>IFERROR(F1776/J1776,0)</x:f>
        <x:v>0.4</x:v>
      </x:c>
      <x:c r="T1776" s="28" t="n">
        <x:f>H1776-I1776</x:f>
        <x:v>-3</x:v>
      </x:c>
      <x:c r="U1776" s="24" t="n">
        <x:f>IFERROR(J1776/H1776,0)-IFERROR(K1776/I1776,0)</x:f>
        <x:v>-0.1111111111111111</x:v>
      </x:c>
      <x:c r="V1776" s="24" t="n">
        <x:f>IFERROR(F1776/J1776,0)-IFERROR(G1776/K1776,0)</x:f>
        <x:v>0.275</x:v>
      </x:c>
      <x:c r="W1776" s="28" t="n">
        <x:f>L1776-M1776</x:f>
        <x:v>-6</x:v>
      </x:c>
      <x:c r="X1776" s="24" t="n">
        <x:f>IFERROR(K1776/I1776,0)</x:f>
        <x:v>0.4444444444444444</x:v>
      </x:c>
      <x:c r="Y1776" s="24" t="n">
        <x:f>IFERROR(G1776/I1776,0)</x:f>
        <x:v>0.05555555555555555</x:v>
      </x:c>
      <x:c r="Z1776" s="24" t="n">
        <x:f>IFERROR(G1776/K1776,0)</x:f>
        <x:v>0.125</x:v>
      </x:c>
      <x:c r="AA1776" s="24" t="n">
        <x:f>IFERROR(F1776/H1776,0)-IFERROR(G1776/I1776,0)</x:f>
        <x:v>0.07777777777777778</x:v>
      </x:c>
      <x:c r="AB1776" s="28" t="n">
        <x:f>J1776-K1776</x:f>
        <x:v>-3</x:v>
      </x:c>
      <x:c r="AC1776" s="32" t="n">
        <x:f>F1776-G1776</x:f>
        <x:v>1</x:v>
      </x:c>
    </x:row>
    <x:row r="1777">
      <x:c r="A1777" s="4" t="str">
        <x:v>2023-24</x:v>
      </x:c>
      <x:c r="B1777" s="20" t="n">
        <x:v>45256</x:v>
      </x:c>
      <x:c r="C1777" s="4" t="str">
        <x:v>Everton</x:v>
      </x:c>
      <x:c r="D1777" s="4" t="str">
        <x:v>Man United</x:v>
      </x:c>
      <x:c r="E1777" s="4" t="str">
        <x:v>Home</x:v>
      </x:c>
      <x:c r="F1777" s="28" t="n">
        <x:v>0</x:v>
      </x:c>
      <x:c r="G1777" s="28" t="n">
        <x:v>3</x:v>
      </x:c>
      <x:c r="H1777" s="28" t="n">
        <x:v>24</x:v>
      </x:c>
      <x:c r="I1777" s="28" t="n">
        <x:v>9</x:v>
      </x:c>
      <x:c r="J1777" s="28" t="n">
        <x:v>6</x:v>
      </x:c>
      <x:c r="K1777" s="28" t="n">
        <x:v>4</x:v>
      </x:c>
      <x:c r="L1777" s="28" t="n">
        <x:v>6</x:v>
      </x:c>
      <x:c r="M1777" s="28" t="n">
        <x:v>5</x:v>
      </x:c>
      <x:c r="N1777" s="28" t="n">
        <x:v>3</x:v>
      </x:c>
      <x:c r="O1777" s="28" t="n">
        <x:v>0</x:v>
      </x:c>
      <x:c r="P1777" s="28" t="n">
        <x:v>0</x:v>
      </x:c>
      <x:c r="Q1777" s="24" t="n">
        <x:f>IFERROR(J1777/H1777,0)</x:f>
        <x:v>0.25</x:v>
      </x:c>
      <x:c r="R1777" s="24" t="n">
        <x:f>IFERROR(F1777/H1777,0)</x:f>
        <x:v>0</x:v>
      </x:c>
      <x:c r="S1777" s="24" t="n">
        <x:f>IFERROR(F1777/J1777,0)</x:f>
        <x:v>0</x:v>
      </x:c>
      <x:c r="T1777" s="28" t="n">
        <x:f>H1777-I1777</x:f>
        <x:v>15</x:v>
      </x:c>
      <x:c r="U1777" s="24" t="n">
        <x:f>IFERROR(J1777/H1777,0)-IFERROR(K1777/I1777,0)</x:f>
        <x:v>-0.19444444444444442</x:v>
      </x:c>
      <x:c r="V1777" s="24" t="n">
        <x:f>IFERROR(F1777/J1777,0)-IFERROR(G1777/K1777,0)</x:f>
        <x:v>-0.75</x:v>
      </x:c>
      <x:c r="W1777" s="28" t="n">
        <x:f>L1777-M1777</x:f>
        <x:v>1</x:v>
      </x:c>
      <x:c r="X1777" s="24" t="n">
        <x:f>IFERROR(K1777/I1777,0)</x:f>
        <x:v>0.4444444444444444</x:v>
      </x:c>
      <x:c r="Y1777" s="24" t="n">
        <x:f>IFERROR(G1777/I1777,0)</x:f>
        <x:v>0.3333333333333333</x:v>
      </x:c>
      <x:c r="Z1777" s="24" t="n">
        <x:f>IFERROR(G1777/K1777,0)</x:f>
        <x:v>0.75</x:v>
      </x:c>
      <x:c r="AA1777" s="24" t="n">
        <x:f>IFERROR(F1777/H1777,0)-IFERROR(G1777/I1777,0)</x:f>
        <x:v>-0.3333333333333333</x:v>
      </x:c>
      <x:c r="AB1777" s="28" t="n">
        <x:f>J1777-K1777</x:f>
        <x:v>2</x:v>
      </x:c>
      <x:c r="AC1777" s="32" t="n">
        <x:f>F1777-G1777</x:f>
        <x:v>-3</x:v>
      </x:c>
    </x:row>
    <x:row r="1778">
      <x:c r="A1778" s="4" t="str">
        <x:v>2023-24</x:v>
      </x:c>
      <x:c r="B1778" s="20" t="n">
        <x:v>45256</x:v>
      </x:c>
      <x:c r="C1778" s="4" t="str">
        <x:v>Man United</x:v>
      </x:c>
      <x:c r="D1778" s="4" t="str">
        <x:v>Everton</x:v>
      </x:c>
      <x:c r="E1778" s="4" t="str">
        <x:v>Away</x:v>
      </x:c>
      <x:c r="F1778" s="28" t="n">
        <x:v>3</x:v>
      </x:c>
      <x:c r="G1778" s="28" t="n">
        <x:v>0</x:v>
      </x:c>
      <x:c r="H1778" s="28" t="n">
        <x:v>9</x:v>
      </x:c>
      <x:c r="I1778" s="28" t="n">
        <x:v>24</x:v>
      </x:c>
      <x:c r="J1778" s="28" t="n">
        <x:v>4</x:v>
      </x:c>
      <x:c r="K1778" s="28" t="n">
        <x:v>6</x:v>
      </x:c>
      <x:c r="L1778" s="28" t="n">
        <x:v>5</x:v>
      </x:c>
      <x:c r="M1778" s="28" t="n">
        <x:v>6</x:v>
      </x:c>
      <x:c r="N1778" s="28" t="n">
        <x:v>0</x:v>
      </x:c>
      <x:c r="O1778" s="28" t="n">
        <x:v>0</x:v>
      </x:c>
      <x:c r="P1778" s="28" t="n">
        <x:v>3</x:v>
      </x:c>
      <x:c r="Q1778" s="24" t="n">
        <x:f>IFERROR(J1778/H1778,0)</x:f>
        <x:v>0.4444444444444444</x:v>
      </x:c>
      <x:c r="R1778" s="24" t="n">
        <x:f>IFERROR(F1778/H1778,0)</x:f>
        <x:v>0.3333333333333333</x:v>
      </x:c>
      <x:c r="S1778" s="24" t="n">
        <x:f>IFERROR(F1778/J1778,0)</x:f>
        <x:v>0.75</x:v>
      </x:c>
      <x:c r="T1778" s="28" t="n">
        <x:f>H1778-I1778</x:f>
        <x:v>-15</x:v>
      </x:c>
      <x:c r="U1778" s="24" t="n">
        <x:f>IFERROR(J1778/H1778,0)-IFERROR(K1778/I1778,0)</x:f>
        <x:v>0.19444444444444442</x:v>
      </x:c>
      <x:c r="V1778" s="24" t="n">
        <x:f>IFERROR(F1778/J1778,0)-IFERROR(G1778/K1778,0)</x:f>
        <x:v>0.75</x:v>
      </x:c>
      <x:c r="W1778" s="28" t="n">
        <x:f>L1778-M1778</x:f>
        <x:v>-1</x:v>
      </x:c>
      <x:c r="X1778" s="24" t="n">
        <x:f>IFERROR(K1778/I1778,0)</x:f>
        <x:v>0.25</x:v>
      </x:c>
      <x:c r="Y1778" s="24" t="n">
        <x:f>IFERROR(G1778/I1778,0)</x:f>
        <x:v>0</x:v>
      </x:c>
      <x:c r="Z1778" s="24" t="n">
        <x:f>IFERROR(G1778/K1778,0)</x:f>
        <x:v>0</x:v>
      </x:c>
      <x:c r="AA1778" s="24" t="n">
        <x:f>IFERROR(F1778/H1778,0)-IFERROR(G1778/I1778,0)</x:f>
        <x:v>0.3333333333333333</x:v>
      </x:c>
      <x:c r="AB1778" s="28" t="n">
        <x:f>J1778-K1778</x:f>
        <x:v>-2</x:v>
      </x:c>
      <x:c r="AC1778" s="32" t="n">
        <x:f>F1778-G1778</x:f>
        <x:v>3</x:v>
      </x:c>
    </x:row>
    <x:row r="1779">
      <x:c r="A1779" s="4" t="str">
        <x:v>2023-24</x:v>
      </x:c>
      <x:c r="B1779" s="20" t="n">
        <x:v>45256</x:v>
      </x:c>
      <x:c r="C1779" s="4" t="str">
        <x:v>Tottenham</x:v>
      </x:c>
      <x:c r="D1779" s="4" t="str">
        <x:v>Aston Villa</x:v>
      </x:c>
      <x:c r="E1779" s="4" t="str">
        <x:v>Home</x:v>
      </x:c>
      <x:c r="F1779" s="28" t="n">
        <x:v>1</x:v>
      </x:c>
      <x:c r="G1779" s="28" t="n">
        <x:v>2</x:v>
      </x:c>
      <x:c r="H1779" s="28" t="n">
        <x:v>18</x:v>
      </x:c>
      <x:c r="I1779" s="28" t="n">
        <x:v>15</x:v>
      </x:c>
      <x:c r="J1779" s="28" t="n">
        <x:v>8</x:v>
      </x:c>
      <x:c r="K1779" s="28" t="n">
        <x:v>5</x:v>
      </x:c>
      <x:c r="L1779" s="28" t="n">
        <x:v>9</x:v>
      </x:c>
      <x:c r="M1779" s="28" t="n">
        <x:v>3</x:v>
      </x:c>
      <x:c r="N1779" s="28" t="n">
        <x:v>0</x:v>
      </x:c>
      <x:c r="O1779" s="28" t="n">
        <x:v>0</x:v>
      </x:c>
      <x:c r="P1779" s="28" t="n">
        <x:v>0</x:v>
      </x:c>
      <x:c r="Q1779" s="24" t="n">
        <x:f>IFERROR(J1779/H1779,0)</x:f>
        <x:v>0.4444444444444444</x:v>
      </x:c>
      <x:c r="R1779" s="24" t="n">
        <x:f>IFERROR(F1779/H1779,0)</x:f>
        <x:v>0.05555555555555555</x:v>
      </x:c>
      <x:c r="S1779" s="24" t="n">
        <x:f>IFERROR(F1779/J1779,0)</x:f>
        <x:v>0.125</x:v>
      </x:c>
      <x:c r="T1779" s="28" t="n">
        <x:f>H1779-I1779</x:f>
        <x:v>3</x:v>
      </x:c>
      <x:c r="U1779" s="24" t="n">
        <x:f>IFERROR(J1779/H1779,0)-IFERROR(K1779/I1779,0)</x:f>
        <x:v>0.1111111111111111</x:v>
      </x:c>
      <x:c r="V1779" s="24" t="n">
        <x:f>IFERROR(F1779/J1779,0)-IFERROR(G1779/K1779,0)</x:f>
        <x:v>-0.275</x:v>
      </x:c>
      <x:c r="W1779" s="28" t="n">
        <x:f>L1779-M1779</x:f>
        <x:v>6</x:v>
      </x:c>
      <x:c r="X1779" s="24" t="n">
        <x:f>IFERROR(K1779/I1779,0)</x:f>
        <x:v>0.3333333333333333</x:v>
      </x:c>
      <x:c r="Y1779" s="24" t="n">
        <x:f>IFERROR(G1779/I1779,0)</x:f>
        <x:v>0.13333333333333333</x:v>
      </x:c>
      <x:c r="Z1779" s="24" t="n">
        <x:f>IFERROR(G1779/K1779,0)</x:f>
        <x:v>0.4</x:v>
      </x:c>
      <x:c r="AA1779" s="24" t="n">
        <x:f>IFERROR(F1779/H1779,0)-IFERROR(G1779/I1779,0)</x:f>
        <x:v>-0.07777777777777778</x:v>
      </x:c>
      <x:c r="AB1779" s="28" t="n">
        <x:f>J1779-K1779</x:f>
        <x:v>3</x:v>
      </x:c>
      <x:c r="AC1779" s="32" t="n">
        <x:f>F1779-G1779</x:f>
        <x:v>-1</x:v>
      </x:c>
    </x:row>
    <x:row r="1780">
      <x:c r="A1780" s="4" t="str">
        <x:v>2023-24</x:v>
      </x:c>
      <x:c r="B1780" s="20" t="n">
        <x:v>45257</x:v>
      </x:c>
      <x:c r="C1780" s="4" t="str">
        <x:v>Fulham</x:v>
      </x:c>
      <x:c r="D1780" s="4" t="str">
        <x:v>Wolves</x:v>
      </x:c>
      <x:c r="E1780" s="4" t="str">
        <x:v>Home</x:v>
      </x:c>
      <x:c r="F1780" s="28" t="n">
        <x:v>3</x:v>
      </x:c>
      <x:c r="G1780" s="28" t="n">
        <x:v>2</x:v>
      </x:c>
      <x:c r="H1780" s="28" t="n">
        <x:v>12</x:v>
      </x:c>
      <x:c r="I1780" s="28" t="n">
        <x:v>10</x:v>
      </x:c>
      <x:c r="J1780" s="28" t="n">
        <x:v>6</x:v>
      </x:c>
      <x:c r="K1780" s="28" t="n">
        <x:v>6</x:v>
      </x:c>
      <x:c r="L1780" s="28" t="n">
        <x:v>6</x:v>
      </x:c>
      <x:c r="M1780" s="28" t="n">
        <x:v>2</x:v>
      </x:c>
      <x:c r="N1780" s="28" t="n">
        <x:v>2</x:v>
      </x:c>
      <x:c r="O1780" s="28" t="n">
        <x:v>0</x:v>
      </x:c>
      <x:c r="P1780" s="28" t="n">
        <x:v>3</x:v>
      </x:c>
      <x:c r="Q1780" s="24" t="n">
        <x:f>IFERROR(J1780/H1780,0)</x:f>
        <x:v>0.5</x:v>
      </x:c>
      <x:c r="R1780" s="24" t="n">
        <x:f>IFERROR(F1780/H1780,0)</x:f>
        <x:v>0.25</x:v>
      </x:c>
      <x:c r="S1780" s="24" t="n">
        <x:f>IFERROR(F1780/J1780,0)</x:f>
        <x:v>0.5</x:v>
      </x:c>
      <x:c r="T1780" s="28" t="n">
        <x:f>H1780-I1780</x:f>
        <x:v>2</x:v>
      </x:c>
      <x:c r="U1780" s="24" t="n">
        <x:f>IFERROR(J1780/H1780,0)-IFERROR(K1780/I1780,0)</x:f>
        <x:v>-0.09999999999999998</x:v>
      </x:c>
      <x:c r="V1780" s="24" t="n">
        <x:f>IFERROR(F1780/J1780,0)-IFERROR(G1780/K1780,0)</x:f>
        <x:v>0.16666666666666669</x:v>
      </x:c>
      <x:c r="W1780" s="28" t="n">
        <x:f>L1780-M1780</x:f>
        <x:v>4</x:v>
      </x:c>
      <x:c r="X1780" s="24" t="n">
        <x:f>IFERROR(K1780/I1780,0)</x:f>
        <x:v>0.6</x:v>
      </x:c>
      <x:c r="Y1780" s="24" t="n">
        <x:f>IFERROR(G1780/I1780,0)</x:f>
        <x:v>0.2</x:v>
      </x:c>
      <x:c r="Z1780" s="24" t="n">
        <x:f>IFERROR(G1780/K1780,0)</x:f>
        <x:v>0.3333333333333333</x:v>
      </x:c>
      <x:c r="AA1780" s="24" t="n">
        <x:f>IFERROR(F1780/H1780,0)-IFERROR(G1780/I1780,0)</x:f>
        <x:v>0.04999999999999999</x:v>
      </x:c>
      <x:c r="AB1780" s="28" t="n">
        <x:f>J1780-K1780</x:f>
        <x:v>0</x:v>
      </x:c>
      <x:c r="AC1780" s="32" t="n">
        <x:f>F1780-G1780</x:f>
        <x:v>1</x:v>
      </x:c>
    </x:row>
    <x:row r="1781">
      <x:c r="A1781" s="4" t="str">
        <x:v>2023-24</x:v>
      </x:c>
      <x:c r="B1781" s="20" t="n">
        <x:v>45257</x:v>
      </x:c>
      <x:c r="C1781" s="4" t="str">
        <x:v>Wolves</x:v>
      </x:c>
      <x:c r="D1781" s="4" t="str">
        <x:v>Fulham</x:v>
      </x:c>
      <x:c r="E1781" s="4" t="str">
        <x:v>Away</x:v>
      </x:c>
      <x:c r="F1781" s="28" t="n">
        <x:v>2</x:v>
      </x:c>
      <x:c r="G1781" s="28" t="n">
        <x:v>3</x:v>
      </x:c>
      <x:c r="H1781" s="28" t="n">
        <x:v>10</x:v>
      </x:c>
      <x:c r="I1781" s="28" t="n">
        <x:v>12</x:v>
      </x:c>
      <x:c r="J1781" s="28" t="n">
        <x:v>6</x:v>
      </x:c>
      <x:c r="K1781" s="28" t="n">
        <x:v>6</x:v>
      </x:c>
      <x:c r="L1781" s="28" t="n">
        <x:v>2</x:v>
      </x:c>
      <x:c r="M1781" s="28" t="n">
        <x:v>6</x:v>
      </x:c>
      <x:c r="N1781" s="28" t="n">
        <x:v>2</x:v>
      </x:c>
      <x:c r="O1781" s="28" t="n">
        <x:v>0</x:v>
      </x:c>
      <x:c r="P1781" s="28" t="n">
        <x:v>0</x:v>
      </x:c>
      <x:c r="Q1781" s="24" t="n">
        <x:f>IFERROR(J1781/H1781,0)</x:f>
        <x:v>0.6</x:v>
      </x:c>
      <x:c r="R1781" s="24" t="n">
        <x:f>IFERROR(F1781/H1781,0)</x:f>
        <x:v>0.2</x:v>
      </x:c>
      <x:c r="S1781" s="24" t="n">
        <x:f>IFERROR(F1781/J1781,0)</x:f>
        <x:v>0.3333333333333333</x:v>
      </x:c>
      <x:c r="T1781" s="28" t="n">
        <x:f>H1781-I1781</x:f>
        <x:v>-2</x:v>
      </x:c>
      <x:c r="U1781" s="24" t="n">
        <x:f>IFERROR(J1781/H1781,0)-IFERROR(K1781/I1781,0)</x:f>
        <x:v>0.09999999999999998</x:v>
      </x:c>
      <x:c r="V1781" s="24" t="n">
        <x:f>IFERROR(F1781/J1781,0)-IFERROR(G1781/K1781,0)</x:f>
        <x:v>-0.16666666666666669</x:v>
      </x:c>
      <x:c r="W1781" s="28" t="n">
        <x:f>L1781-M1781</x:f>
        <x:v>-4</x:v>
      </x:c>
      <x:c r="X1781" s="24" t="n">
        <x:f>IFERROR(K1781/I1781,0)</x:f>
        <x:v>0.5</x:v>
      </x:c>
      <x:c r="Y1781" s="24" t="n">
        <x:f>IFERROR(G1781/I1781,0)</x:f>
        <x:v>0.25</x:v>
      </x:c>
      <x:c r="Z1781" s="24" t="n">
        <x:f>IFERROR(G1781/K1781,0)</x:f>
        <x:v>0.5</x:v>
      </x:c>
      <x:c r="AA1781" s="24" t="n">
        <x:f>IFERROR(F1781/H1781,0)-IFERROR(G1781/I1781,0)</x:f>
        <x:v>-0.04999999999999999</x:v>
      </x:c>
      <x:c r="AB1781" s="28" t="n">
        <x:f>J1781-K1781</x:f>
        <x:v>0</x:v>
      </x:c>
      <x:c r="AC1781" s="32" t="n">
        <x:f>F1781-G1781</x:f>
        <x:v>-1</x:v>
      </x:c>
    </x:row>
    <x:row r="1782">
      <x:c r="A1782" s="4" t="str">
        <x:v>2023-24</x:v>
      </x:c>
      <x:c r="B1782" s="20" t="n">
        <x:v>45262</x:v>
      </x:c>
      <x:c r="C1782" s="4" t="str">
        <x:v>Arsenal</x:v>
      </x:c>
      <x:c r="D1782" s="4" t="str">
        <x:v>Wolves</x:v>
      </x:c>
      <x:c r="E1782" s="4" t="str">
        <x:v>Home</x:v>
      </x:c>
      <x:c r="F1782" s="28" t="n">
        <x:v>2</x:v>
      </x:c>
      <x:c r="G1782" s="28" t="n">
        <x:v>1</x:v>
      </x:c>
      <x:c r="H1782" s="28" t="n">
        <x:v>19</x:v>
      </x:c>
      <x:c r="I1782" s="28" t="n">
        <x:v>6</x:v>
      </x:c>
      <x:c r="J1782" s="28" t="n">
        <x:v>6</x:v>
      </x:c>
      <x:c r="K1782" s="28" t="n">
        <x:v>3</x:v>
      </x:c>
      <x:c r="L1782" s="28" t="n">
        <x:v>4</x:v>
      </x:c>
      <x:c r="M1782" s="28" t="n">
        <x:v>0</x:v>
      </x:c>
      <x:c r="N1782" s="28" t="n">
        <x:v>1</x:v>
      </x:c>
      <x:c r="O1782" s="28" t="n">
        <x:v>0</x:v>
      </x:c>
      <x:c r="P1782" s="28" t="n">
        <x:v>3</x:v>
      </x:c>
      <x:c r="Q1782" s="24" t="n">
        <x:f>IFERROR(J1782/H1782,0)</x:f>
        <x:v>0.3157894736842105</x:v>
      </x:c>
      <x:c r="R1782" s="24" t="n">
        <x:f>IFERROR(F1782/H1782,0)</x:f>
        <x:v>0.10526315789473684</x:v>
      </x:c>
      <x:c r="S1782" s="24" t="n">
        <x:f>IFERROR(F1782/J1782,0)</x:f>
        <x:v>0.3333333333333333</x:v>
      </x:c>
      <x:c r="T1782" s="28" t="n">
        <x:f>H1782-I1782</x:f>
        <x:v>13</x:v>
      </x:c>
      <x:c r="U1782" s="24" t="n">
        <x:f>IFERROR(J1782/H1782,0)-IFERROR(K1782/I1782,0)</x:f>
        <x:v>-0.1842105263157895</x:v>
      </x:c>
      <x:c r="V1782" s="24" t="n">
        <x:f>IFERROR(F1782/J1782,0)-IFERROR(G1782/K1782,0)</x:f>
        <x:v>0</x:v>
      </x:c>
      <x:c r="W1782" s="28" t="n">
        <x:f>L1782-M1782</x:f>
        <x:v>4</x:v>
      </x:c>
      <x:c r="X1782" s="24" t="n">
        <x:f>IFERROR(K1782/I1782,0)</x:f>
        <x:v>0.5</x:v>
      </x:c>
      <x:c r="Y1782" s="24" t="n">
        <x:f>IFERROR(G1782/I1782,0)</x:f>
        <x:v>0.16666666666666666</x:v>
      </x:c>
      <x:c r="Z1782" s="24" t="n">
        <x:f>IFERROR(G1782/K1782,0)</x:f>
        <x:v>0.3333333333333333</x:v>
      </x:c>
      <x:c r="AA1782" s="24" t="n">
        <x:f>IFERROR(F1782/H1782,0)-IFERROR(G1782/I1782,0)</x:f>
        <x:v>-0.06140350877192982</x:v>
      </x:c>
      <x:c r="AB1782" s="28" t="n">
        <x:f>J1782-K1782</x:f>
        <x:v>3</x:v>
      </x:c>
      <x:c r="AC1782" s="32" t="n">
        <x:f>F1782-G1782</x:f>
        <x:v>1</x:v>
      </x:c>
    </x:row>
    <x:row r="1783">
      <x:c r="A1783" s="4" t="str">
        <x:v>2023-24</x:v>
      </x:c>
      <x:c r="B1783" s="20" t="n">
        <x:v>45262</x:v>
      </x:c>
      <x:c r="C1783" s="4" t="str">
        <x:v>Brentford</x:v>
      </x:c>
      <x:c r="D1783" s="4" t="str">
        <x:v>Luton</x:v>
      </x:c>
      <x:c r="E1783" s="4" t="str">
        <x:v>Home</x:v>
      </x:c>
      <x:c r="F1783" s="28" t="n">
        <x:v>3</x:v>
      </x:c>
      <x:c r="G1783" s="28" t="n">
        <x:v>1</x:v>
      </x:c>
      <x:c r="H1783" s="28" t="n">
        <x:v>27</x:v>
      </x:c>
      <x:c r="I1783" s="28" t="n">
        <x:v>7</x:v>
      </x:c>
      <x:c r="J1783" s="28" t="n">
        <x:v>6</x:v>
      </x:c>
      <x:c r="K1783" s="28" t="n">
        <x:v>1</x:v>
      </x:c>
      <x:c r="L1783" s="28" t="n">
        <x:v>7</x:v>
      </x:c>
      <x:c r="M1783" s="28" t="n">
        <x:v>5</x:v>
      </x:c>
      <x:c r="N1783" s="28" t="n">
        <x:v>1</x:v>
      </x:c>
      <x:c r="O1783" s="28" t="n">
        <x:v>0</x:v>
      </x:c>
      <x:c r="P1783" s="28" t="n">
        <x:v>3</x:v>
      </x:c>
      <x:c r="Q1783" s="24" t="n">
        <x:f>IFERROR(J1783/H1783,0)</x:f>
        <x:v>0.2222222222222222</x:v>
      </x:c>
      <x:c r="R1783" s="24" t="n">
        <x:f>IFERROR(F1783/H1783,0)</x:f>
        <x:v>0.1111111111111111</x:v>
      </x:c>
      <x:c r="S1783" s="24" t="n">
        <x:f>IFERROR(F1783/J1783,0)</x:f>
        <x:v>0.5</x:v>
      </x:c>
      <x:c r="T1783" s="28" t="n">
        <x:f>H1783-I1783</x:f>
        <x:v>20</x:v>
      </x:c>
      <x:c r="U1783" s="24" t="n">
        <x:f>IFERROR(J1783/H1783,0)-IFERROR(K1783/I1783,0)</x:f>
        <x:v>0.07936507936507936</x:v>
      </x:c>
      <x:c r="V1783" s="24" t="n">
        <x:f>IFERROR(F1783/J1783,0)-IFERROR(G1783/K1783,0)</x:f>
        <x:v>-0.5</x:v>
      </x:c>
      <x:c r="W1783" s="28" t="n">
        <x:f>L1783-M1783</x:f>
        <x:v>2</x:v>
      </x:c>
      <x:c r="X1783" s="24" t="n">
        <x:f>IFERROR(K1783/I1783,0)</x:f>
        <x:v>0.14285714285714285</x:v>
      </x:c>
      <x:c r="Y1783" s="24" t="n">
        <x:f>IFERROR(G1783/I1783,0)</x:f>
        <x:v>0.14285714285714285</x:v>
      </x:c>
      <x:c r="Z1783" s="24" t="n">
        <x:f>IFERROR(G1783/K1783,0)</x:f>
        <x:v>1</x:v>
      </x:c>
      <x:c r="AA1783" s="24" t="n">
        <x:f>IFERROR(F1783/H1783,0)-IFERROR(G1783/I1783,0)</x:f>
        <x:v>-0.031746031746031744</x:v>
      </x:c>
      <x:c r="AB1783" s="28" t="n">
        <x:f>J1783-K1783</x:f>
        <x:v>5</x:v>
      </x:c>
      <x:c r="AC1783" s="32" t="n">
        <x:f>F1783-G1783</x:f>
        <x:v>2</x:v>
      </x:c>
    </x:row>
    <x:row r="1784">
      <x:c r="A1784" s="4" t="str">
        <x:v>2023-24</x:v>
      </x:c>
      <x:c r="B1784" s="20" t="n">
        <x:v>45262</x:v>
      </x:c>
      <x:c r="C1784" s="4" t="str">
        <x:v>Burnley</x:v>
      </x:c>
      <x:c r="D1784" s="4" t="str">
        <x:v>Sheffield United</x:v>
      </x:c>
      <x:c r="E1784" s="4" t="str">
        <x:v>Home</x:v>
      </x:c>
      <x:c r="F1784" s="28" t="n">
        <x:v>5</x:v>
      </x:c>
      <x:c r="G1784" s="28" t="n">
        <x:v>0</x:v>
      </x:c>
      <x:c r="H1784" s="28" t="n">
        <x:v>19</x:v>
      </x:c>
      <x:c r="I1784" s="28" t="n">
        <x:v>6</x:v>
      </x:c>
      <x:c r="J1784" s="28" t="n">
        <x:v>7</x:v>
      </x:c>
      <x:c r="K1784" s="28" t="n">
        <x:v>3</x:v>
      </x:c>
      <x:c r="L1784" s="28" t="n">
        <x:v>6</x:v>
      </x:c>
      <x:c r="M1784" s="28" t="n">
        <x:v>1</x:v>
      </x:c>
      <x:c r="N1784" s="28" t="n">
        <x:v>2</x:v>
      </x:c>
      <x:c r="O1784" s="28" t="n">
        <x:v>0</x:v>
      </x:c>
      <x:c r="P1784" s="28" t="n">
        <x:v>3</x:v>
      </x:c>
      <x:c r="Q1784" s="24" t="n">
        <x:f>IFERROR(J1784/H1784,0)</x:f>
        <x:v>0.3684210526315789</x:v>
      </x:c>
      <x:c r="R1784" s="24" t="n">
        <x:f>IFERROR(F1784/H1784,0)</x:f>
        <x:v>0.2631578947368421</x:v>
      </x:c>
      <x:c r="S1784" s="24" t="n">
        <x:f>IFERROR(F1784/J1784,0)</x:f>
        <x:v>0.7142857142857143</x:v>
      </x:c>
      <x:c r="T1784" s="28" t="n">
        <x:f>H1784-I1784</x:f>
        <x:v>13</x:v>
      </x:c>
      <x:c r="U1784" s="24" t="n">
        <x:f>IFERROR(J1784/H1784,0)-IFERROR(K1784/I1784,0)</x:f>
        <x:v>-0.13157894736842107</x:v>
      </x:c>
      <x:c r="V1784" s="24" t="n">
        <x:f>IFERROR(F1784/J1784,0)-IFERROR(G1784/K1784,0)</x:f>
        <x:v>0.7142857142857143</x:v>
      </x:c>
      <x:c r="W1784" s="28" t="n">
        <x:f>L1784-M1784</x:f>
        <x:v>5</x:v>
      </x:c>
      <x:c r="X1784" s="24" t="n">
        <x:f>IFERROR(K1784/I1784,0)</x:f>
        <x:v>0.5</x:v>
      </x:c>
      <x:c r="Y1784" s="24" t="n">
        <x:f>IFERROR(G1784/I1784,0)</x:f>
        <x:v>0</x:v>
      </x:c>
      <x:c r="Z1784" s="24" t="n">
        <x:f>IFERROR(G1784/K1784,0)</x:f>
        <x:v>0</x:v>
      </x:c>
      <x:c r="AA1784" s="24" t="n">
        <x:f>IFERROR(F1784/H1784,0)-IFERROR(G1784/I1784,0)</x:f>
        <x:v>0.2631578947368421</x:v>
      </x:c>
      <x:c r="AB1784" s="28" t="n">
        <x:f>J1784-K1784</x:f>
        <x:v>4</x:v>
      </x:c>
      <x:c r="AC1784" s="32" t="n">
        <x:f>F1784-G1784</x:f>
        <x:v>5</x:v>
      </x:c>
    </x:row>
    <x:row r="1785">
      <x:c r="A1785" s="4" t="str">
        <x:v>2023-24</x:v>
      </x:c>
      <x:c r="B1785" s="20" t="n">
        <x:v>45262</x:v>
      </x:c>
      <x:c r="C1785" s="4" t="str">
        <x:v>Everton</x:v>
      </x:c>
      <x:c r="D1785" s="4" t="str">
        <x:v>Nott'm Forest</x:v>
      </x:c>
      <x:c r="E1785" s="4" t="str">
        <x:v>Away</x:v>
      </x:c>
      <x:c r="F1785" s="28" t="n">
        <x:v>1</x:v>
      </x:c>
      <x:c r="G1785" s="28" t="n">
        <x:v>0</x:v>
      </x:c>
      <x:c r="H1785" s="28" t="n">
        <x:v>12</x:v>
      </x:c>
      <x:c r="I1785" s="28" t="n">
        <x:v>13</x:v>
      </x:c>
      <x:c r="J1785" s="28" t="n">
        <x:v>3</x:v>
      </x:c>
      <x:c r="K1785" s="28" t="n">
        <x:v>2</x:v>
      </x:c>
      <x:c r="L1785" s="28" t="n">
        <x:v>3</x:v>
      </x:c>
      <x:c r="M1785" s="28" t="n">
        <x:v>4</x:v>
      </x:c>
      <x:c r="N1785" s="28" t="n">
        <x:v>0</x:v>
      </x:c>
      <x:c r="O1785" s="28" t="n">
        <x:v>0</x:v>
      </x:c>
      <x:c r="P1785" s="28" t="n">
        <x:v>3</x:v>
      </x:c>
      <x:c r="Q1785" s="24" t="n">
        <x:f>IFERROR(J1785/H1785,0)</x:f>
        <x:v>0.25</x:v>
      </x:c>
      <x:c r="R1785" s="24" t="n">
        <x:f>IFERROR(F1785/H1785,0)</x:f>
        <x:v>0.08333333333333333</x:v>
      </x:c>
      <x:c r="S1785" s="24" t="n">
        <x:f>IFERROR(F1785/J1785,0)</x:f>
        <x:v>0.3333333333333333</x:v>
      </x:c>
      <x:c r="T1785" s="28" t="n">
        <x:f>H1785-I1785</x:f>
        <x:v>-1</x:v>
      </x:c>
      <x:c r="U1785" s="24" t="n">
        <x:f>IFERROR(J1785/H1785,0)-IFERROR(K1785/I1785,0)</x:f>
        <x:v>0.09615384615384615</x:v>
      </x:c>
      <x:c r="V1785" s="24" t="n">
        <x:f>IFERROR(F1785/J1785,0)-IFERROR(G1785/K1785,0)</x:f>
        <x:v>0.3333333333333333</x:v>
      </x:c>
      <x:c r="W1785" s="28" t="n">
        <x:f>L1785-M1785</x:f>
        <x:v>-1</x:v>
      </x:c>
      <x:c r="X1785" s="24" t="n">
        <x:f>IFERROR(K1785/I1785,0)</x:f>
        <x:v>0.15384615384615385</x:v>
      </x:c>
      <x:c r="Y1785" s="24" t="n">
        <x:f>IFERROR(G1785/I1785,0)</x:f>
        <x:v>0</x:v>
      </x:c>
      <x:c r="Z1785" s="24" t="n">
        <x:f>IFERROR(G1785/K1785,0)</x:f>
        <x:v>0</x:v>
      </x:c>
      <x:c r="AA1785" s="24" t="n">
        <x:f>IFERROR(F1785/H1785,0)-IFERROR(G1785/I1785,0)</x:f>
        <x:v>0.08333333333333333</x:v>
      </x:c>
      <x:c r="AB1785" s="28" t="n">
        <x:f>J1785-K1785</x:f>
        <x:v>1</x:v>
      </x:c>
      <x:c r="AC1785" s="32" t="n">
        <x:f>F1785-G1785</x:f>
        <x:v>1</x:v>
      </x:c>
    </x:row>
    <x:row r="1786">
      <x:c r="A1786" s="4" t="str">
        <x:v>2023-24</x:v>
      </x:c>
      <x:c r="B1786" s="20" t="n">
        <x:v>45262</x:v>
      </x:c>
      <x:c r="C1786" s="4" t="str">
        <x:v>Luton</x:v>
      </x:c>
      <x:c r="D1786" s="4" t="str">
        <x:v>Brentford</x:v>
      </x:c>
      <x:c r="E1786" s="4" t="str">
        <x:v>Away</x:v>
      </x:c>
      <x:c r="F1786" s="28" t="n">
        <x:v>1</x:v>
      </x:c>
      <x:c r="G1786" s="28" t="n">
        <x:v>3</x:v>
      </x:c>
      <x:c r="H1786" s="28" t="n">
        <x:v>7</x:v>
      </x:c>
      <x:c r="I1786" s="28" t="n">
        <x:v>27</x:v>
      </x:c>
      <x:c r="J1786" s="28" t="n">
        <x:v>1</x:v>
      </x:c>
      <x:c r="K1786" s="28" t="n">
        <x:v>6</x:v>
      </x:c>
      <x:c r="L1786" s="28" t="n">
        <x:v>5</x:v>
      </x:c>
      <x:c r="M1786" s="28" t="n">
        <x:v>7</x:v>
      </x:c>
      <x:c r="N1786" s="28" t="n">
        <x:v>2</x:v>
      </x:c>
      <x:c r="O1786" s="28" t="n">
        <x:v>0</x:v>
      </x:c>
      <x:c r="P1786" s="28" t="n">
        <x:v>0</x:v>
      </x:c>
      <x:c r="Q1786" s="24" t="n">
        <x:f>IFERROR(J1786/H1786,0)</x:f>
        <x:v>0.14285714285714285</x:v>
      </x:c>
      <x:c r="R1786" s="24" t="n">
        <x:f>IFERROR(F1786/H1786,0)</x:f>
        <x:v>0.14285714285714285</x:v>
      </x:c>
      <x:c r="S1786" s="24" t="n">
        <x:f>IFERROR(F1786/J1786,0)</x:f>
        <x:v>1</x:v>
      </x:c>
      <x:c r="T1786" s="28" t="n">
        <x:f>H1786-I1786</x:f>
        <x:v>-20</x:v>
      </x:c>
      <x:c r="U1786" s="24" t="n">
        <x:f>IFERROR(J1786/H1786,0)-IFERROR(K1786/I1786,0)</x:f>
        <x:v>-0.07936507936507936</x:v>
      </x:c>
      <x:c r="V1786" s="24" t="n">
        <x:f>IFERROR(F1786/J1786,0)-IFERROR(G1786/K1786,0)</x:f>
        <x:v>0.5</x:v>
      </x:c>
      <x:c r="W1786" s="28" t="n">
        <x:f>L1786-M1786</x:f>
        <x:v>-2</x:v>
      </x:c>
      <x:c r="X1786" s="24" t="n">
        <x:f>IFERROR(K1786/I1786,0)</x:f>
        <x:v>0.2222222222222222</x:v>
      </x:c>
      <x:c r="Y1786" s="24" t="n">
        <x:f>IFERROR(G1786/I1786,0)</x:f>
        <x:v>0.1111111111111111</x:v>
      </x:c>
      <x:c r="Z1786" s="24" t="n">
        <x:f>IFERROR(G1786/K1786,0)</x:f>
        <x:v>0.5</x:v>
      </x:c>
      <x:c r="AA1786" s="24" t="n">
        <x:f>IFERROR(F1786/H1786,0)-IFERROR(G1786/I1786,0)</x:f>
        <x:v>0.031746031746031744</x:v>
      </x:c>
      <x:c r="AB1786" s="28" t="n">
        <x:f>J1786-K1786</x:f>
        <x:v>-5</x:v>
      </x:c>
      <x:c r="AC1786" s="32" t="n">
        <x:f>F1786-G1786</x:f>
        <x:v>-2</x:v>
      </x:c>
    </x:row>
    <x:row r="1787">
      <x:c r="A1787" s="4" t="str">
        <x:v>2023-24</x:v>
      </x:c>
      <x:c r="B1787" s="20" t="n">
        <x:v>45262</x:v>
      </x:c>
      <x:c r="C1787" s="4" t="str">
        <x:v>Man United</x:v>
      </x:c>
      <x:c r="D1787" s="4" t="str">
        <x:v>Newcastle</x:v>
      </x:c>
      <x:c r="E1787" s="4" t="str">
        <x:v>Away</x:v>
      </x:c>
      <x:c r="F1787" s="28" t="n">
        <x:v>0</x:v>
      </x:c>
      <x:c r="G1787" s="28" t="n">
        <x:v>1</x:v>
      </x:c>
      <x:c r="H1787" s="28" t="n">
        <x:v>8</x:v>
      </x:c>
      <x:c r="I1787" s="28" t="n">
        <x:v>22</x:v>
      </x:c>
      <x:c r="J1787" s="28" t="n">
        <x:v>1</x:v>
      </x:c>
      <x:c r="K1787" s="28" t="n">
        <x:v>4</x:v>
      </x:c>
      <x:c r="L1787" s="28" t="n">
        <x:v>3</x:v>
      </x:c>
      <x:c r="M1787" s="28" t="n">
        <x:v>7</x:v>
      </x:c>
      <x:c r="N1787" s="28" t="n">
        <x:v>2</x:v>
      </x:c>
      <x:c r="O1787" s="28" t="n">
        <x:v>0</x:v>
      </x:c>
      <x:c r="P1787" s="28" t="n">
        <x:v>0</x:v>
      </x:c>
      <x:c r="Q1787" s="24" t="n">
        <x:f>IFERROR(J1787/H1787,0)</x:f>
        <x:v>0.125</x:v>
      </x:c>
      <x:c r="R1787" s="24" t="n">
        <x:f>IFERROR(F1787/H1787,0)</x:f>
        <x:v>0</x:v>
      </x:c>
      <x:c r="S1787" s="24" t="n">
        <x:f>IFERROR(F1787/J1787,0)</x:f>
        <x:v>0</x:v>
      </x:c>
      <x:c r="T1787" s="28" t="n">
        <x:f>H1787-I1787</x:f>
        <x:v>-14</x:v>
      </x:c>
      <x:c r="U1787" s="24" t="n">
        <x:f>IFERROR(J1787/H1787,0)-IFERROR(K1787/I1787,0)</x:f>
        <x:v>-0.05681818181818182</x:v>
      </x:c>
      <x:c r="V1787" s="24" t="n">
        <x:f>IFERROR(F1787/J1787,0)-IFERROR(G1787/K1787,0)</x:f>
        <x:v>-0.25</x:v>
      </x:c>
      <x:c r="W1787" s="28" t="n">
        <x:f>L1787-M1787</x:f>
        <x:v>-4</x:v>
      </x:c>
      <x:c r="X1787" s="24" t="n">
        <x:f>IFERROR(K1787/I1787,0)</x:f>
        <x:v>0.18181818181818182</x:v>
      </x:c>
      <x:c r="Y1787" s="24" t="n">
        <x:f>IFERROR(G1787/I1787,0)</x:f>
        <x:v>0.045454545454545456</x:v>
      </x:c>
      <x:c r="Z1787" s="24" t="n">
        <x:f>IFERROR(G1787/K1787,0)</x:f>
        <x:v>0.25</x:v>
      </x:c>
      <x:c r="AA1787" s="24" t="n">
        <x:f>IFERROR(F1787/H1787,0)-IFERROR(G1787/I1787,0)</x:f>
        <x:v>-0.045454545454545456</x:v>
      </x:c>
      <x:c r="AB1787" s="28" t="n">
        <x:f>J1787-K1787</x:f>
        <x:v>-3</x:v>
      </x:c>
      <x:c r="AC1787" s="32" t="n">
        <x:f>F1787-G1787</x:f>
        <x:v>-1</x:v>
      </x:c>
    </x:row>
    <x:row r="1788">
      <x:c r="A1788" s="4" t="str">
        <x:v>2023-24</x:v>
      </x:c>
      <x:c r="B1788" s="20" t="n">
        <x:v>45262</x:v>
      </x:c>
      <x:c r="C1788" s="4" t="str">
        <x:v>Newcastle</x:v>
      </x:c>
      <x:c r="D1788" s="4" t="str">
        <x:v>Man United</x:v>
      </x:c>
      <x:c r="E1788" s="4" t="str">
        <x:v>Home</x:v>
      </x:c>
      <x:c r="F1788" s="28" t="n">
        <x:v>1</x:v>
      </x:c>
      <x:c r="G1788" s="28" t="n">
        <x:v>0</x:v>
      </x:c>
      <x:c r="H1788" s="28" t="n">
        <x:v>22</x:v>
      </x:c>
      <x:c r="I1788" s="28" t="n">
        <x:v>8</x:v>
      </x:c>
      <x:c r="J1788" s="28" t="n">
        <x:v>4</x:v>
      </x:c>
      <x:c r="K1788" s="28" t="n">
        <x:v>1</x:v>
      </x:c>
      <x:c r="L1788" s="28" t="n">
        <x:v>7</x:v>
      </x:c>
      <x:c r="M1788" s="28" t="n">
        <x:v>3</x:v>
      </x:c>
      <x:c r="N1788" s="28" t="n">
        <x:v>1</x:v>
      </x:c>
      <x:c r="O1788" s="28" t="n">
        <x:v>0</x:v>
      </x:c>
      <x:c r="P1788" s="28" t="n">
        <x:v>3</x:v>
      </x:c>
      <x:c r="Q1788" s="24" t="n">
        <x:f>IFERROR(J1788/H1788,0)</x:f>
        <x:v>0.18181818181818182</x:v>
      </x:c>
      <x:c r="R1788" s="24" t="n">
        <x:f>IFERROR(F1788/H1788,0)</x:f>
        <x:v>0.045454545454545456</x:v>
      </x:c>
      <x:c r="S1788" s="24" t="n">
        <x:f>IFERROR(F1788/J1788,0)</x:f>
        <x:v>0.25</x:v>
      </x:c>
      <x:c r="T1788" s="28" t="n">
        <x:f>H1788-I1788</x:f>
        <x:v>14</x:v>
      </x:c>
      <x:c r="U1788" s="24" t="n">
        <x:f>IFERROR(J1788/H1788,0)-IFERROR(K1788/I1788,0)</x:f>
        <x:v>0.05681818181818182</x:v>
      </x:c>
      <x:c r="V1788" s="24" t="n">
        <x:f>IFERROR(F1788/J1788,0)-IFERROR(G1788/K1788,0)</x:f>
        <x:v>0.25</x:v>
      </x:c>
      <x:c r="W1788" s="28" t="n">
        <x:f>L1788-M1788</x:f>
        <x:v>4</x:v>
      </x:c>
      <x:c r="X1788" s="24" t="n">
        <x:f>IFERROR(K1788/I1788,0)</x:f>
        <x:v>0.125</x:v>
      </x:c>
      <x:c r="Y1788" s="24" t="n">
        <x:f>IFERROR(G1788/I1788,0)</x:f>
        <x:v>0</x:v>
      </x:c>
      <x:c r="Z1788" s="24" t="n">
        <x:f>IFERROR(G1788/K1788,0)</x:f>
        <x:v>0</x:v>
      </x:c>
      <x:c r="AA1788" s="24" t="n">
        <x:f>IFERROR(F1788/H1788,0)-IFERROR(G1788/I1788,0)</x:f>
        <x:v>0.045454545454545456</x:v>
      </x:c>
      <x:c r="AB1788" s="28" t="n">
        <x:f>J1788-K1788</x:f>
        <x:v>3</x:v>
      </x:c>
      <x:c r="AC1788" s="32" t="n">
        <x:f>F1788-G1788</x:f>
        <x:v>1</x:v>
      </x:c>
    </x:row>
    <x:row r="1789">
      <x:c r="A1789" s="4" t="str">
        <x:v>2023-24</x:v>
      </x:c>
      <x:c r="B1789" s="20" t="n">
        <x:v>45262</x:v>
      </x:c>
      <x:c r="C1789" s="4" t="str">
        <x:v>Nott'm Forest</x:v>
      </x:c>
      <x:c r="D1789" s="4" t="str">
        <x:v>Everton</x:v>
      </x:c>
      <x:c r="E1789" s="4" t="str">
        <x:v>Home</x:v>
      </x:c>
      <x:c r="F1789" s="28" t="n">
        <x:v>0</x:v>
      </x:c>
      <x:c r="G1789" s="28" t="n">
        <x:v>1</x:v>
      </x:c>
      <x:c r="H1789" s="28" t="n">
        <x:v>13</x:v>
      </x:c>
      <x:c r="I1789" s="28" t="n">
        <x:v>12</x:v>
      </x:c>
      <x:c r="J1789" s="28" t="n">
        <x:v>2</x:v>
      </x:c>
      <x:c r="K1789" s="28" t="n">
        <x:v>3</x:v>
      </x:c>
      <x:c r="L1789" s="28" t="n">
        <x:v>4</x:v>
      </x:c>
      <x:c r="M1789" s="28" t="n">
        <x:v>3</x:v>
      </x:c>
      <x:c r="N1789" s="28" t="n">
        <x:v>1</x:v>
      </x:c>
      <x:c r="O1789" s="28" t="n">
        <x:v>0</x:v>
      </x:c>
      <x:c r="P1789" s="28" t="n">
        <x:v>0</x:v>
      </x:c>
      <x:c r="Q1789" s="24" t="n">
        <x:f>IFERROR(J1789/H1789,0)</x:f>
        <x:v>0.15384615384615385</x:v>
      </x:c>
      <x:c r="R1789" s="24" t="n">
        <x:f>IFERROR(F1789/H1789,0)</x:f>
        <x:v>0</x:v>
      </x:c>
      <x:c r="S1789" s="24" t="n">
        <x:f>IFERROR(F1789/J1789,0)</x:f>
        <x:v>0</x:v>
      </x:c>
      <x:c r="T1789" s="28" t="n">
        <x:f>H1789-I1789</x:f>
        <x:v>1</x:v>
      </x:c>
      <x:c r="U1789" s="24" t="n">
        <x:f>IFERROR(J1789/H1789,0)-IFERROR(K1789/I1789,0)</x:f>
        <x:v>-0.09615384615384615</x:v>
      </x:c>
      <x:c r="V1789" s="24" t="n">
        <x:f>IFERROR(F1789/J1789,0)-IFERROR(G1789/K1789,0)</x:f>
        <x:v>-0.3333333333333333</x:v>
      </x:c>
      <x:c r="W1789" s="28" t="n">
        <x:f>L1789-M1789</x:f>
        <x:v>1</x:v>
      </x:c>
      <x:c r="X1789" s="24" t="n">
        <x:f>IFERROR(K1789/I1789,0)</x:f>
        <x:v>0.25</x:v>
      </x:c>
      <x:c r="Y1789" s="24" t="n">
        <x:f>IFERROR(G1789/I1789,0)</x:f>
        <x:v>0.08333333333333333</x:v>
      </x:c>
      <x:c r="Z1789" s="24" t="n">
        <x:f>IFERROR(G1789/K1789,0)</x:f>
        <x:v>0.3333333333333333</x:v>
      </x:c>
      <x:c r="AA1789" s="24" t="n">
        <x:f>IFERROR(F1789/H1789,0)-IFERROR(G1789/I1789,0)</x:f>
        <x:v>-0.08333333333333333</x:v>
      </x:c>
      <x:c r="AB1789" s="28" t="n">
        <x:f>J1789-K1789</x:f>
        <x:v>-1</x:v>
      </x:c>
      <x:c r="AC1789" s="32" t="n">
        <x:f>F1789-G1789</x:f>
        <x:v>-1</x:v>
      </x:c>
    </x:row>
    <x:row r="1790">
      <x:c r="A1790" s="4" t="str">
        <x:v>2023-24</x:v>
      </x:c>
      <x:c r="B1790" s="20" t="n">
        <x:v>45262</x:v>
      </x:c>
      <x:c r="C1790" s="4" t="str">
        <x:v>Sheffield United</x:v>
      </x:c>
      <x:c r="D1790" s="4" t="str">
        <x:v>Burnley</x:v>
      </x:c>
      <x:c r="E1790" s="4" t="str">
        <x:v>Away</x:v>
      </x:c>
      <x:c r="F1790" s="28" t="n">
        <x:v>0</x:v>
      </x:c>
      <x:c r="G1790" s="28" t="n">
        <x:v>5</x:v>
      </x:c>
      <x:c r="H1790" s="28" t="n">
        <x:v>6</x:v>
      </x:c>
      <x:c r="I1790" s="28" t="n">
        <x:v>19</x:v>
      </x:c>
      <x:c r="J1790" s="28" t="n">
        <x:v>3</x:v>
      </x:c>
      <x:c r="K1790" s="28" t="n">
        <x:v>7</x:v>
      </x:c>
      <x:c r="L1790" s="28" t="n">
        <x:v>1</x:v>
      </x:c>
      <x:c r="M1790" s="28" t="n">
        <x:v>6</x:v>
      </x:c>
      <x:c r="N1790" s="28" t="n">
        <x:v>5</x:v>
      </x:c>
      <x:c r="O1790" s="28" t="n">
        <x:v>1</x:v>
      </x:c>
      <x:c r="P1790" s="28" t="n">
        <x:v>0</x:v>
      </x:c>
      <x:c r="Q1790" s="24" t="n">
        <x:f>IFERROR(J1790/H1790,0)</x:f>
        <x:v>0.5</x:v>
      </x:c>
      <x:c r="R1790" s="24" t="n">
        <x:f>IFERROR(F1790/H1790,0)</x:f>
        <x:v>0</x:v>
      </x:c>
      <x:c r="S1790" s="24" t="n">
        <x:f>IFERROR(F1790/J1790,0)</x:f>
        <x:v>0</x:v>
      </x:c>
      <x:c r="T1790" s="28" t="n">
        <x:f>H1790-I1790</x:f>
        <x:v>-13</x:v>
      </x:c>
      <x:c r="U1790" s="24" t="n">
        <x:f>IFERROR(J1790/H1790,0)-IFERROR(K1790/I1790,0)</x:f>
        <x:v>0.13157894736842107</x:v>
      </x:c>
      <x:c r="V1790" s="24" t="n">
        <x:f>IFERROR(F1790/J1790,0)-IFERROR(G1790/K1790,0)</x:f>
        <x:v>-0.7142857142857143</x:v>
      </x:c>
      <x:c r="W1790" s="28" t="n">
        <x:f>L1790-M1790</x:f>
        <x:v>-5</x:v>
      </x:c>
      <x:c r="X1790" s="24" t="n">
        <x:f>IFERROR(K1790/I1790,0)</x:f>
        <x:v>0.3684210526315789</x:v>
      </x:c>
      <x:c r="Y1790" s="24" t="n">
        <x:f>IFERROR(G1790/I1790,0)</x:f>
        <x:v>0.2631578947368421</x:v>
      </x:c>
      <x:c r="Z1790" s="24" t="n">
        <x:f>IFERROR(G1790/K1790,0)</x:f>
        <x:v>0.7142857142857143</x:v>
      </x:c>
      <x:c r="AA1790" s="24" t="n">
        <x:f>IFERROR(F1790/H1790,0)-IFERROR(G1790/I1790,0)</x:f>
        <x:v>-0.2631578947368421</x:v>
      </x:c>
      <x:c r="AB1790" s="28" t="n">
        <x:f>J1790-K1790</x:f>
        <x:v>-4</x:v>
      </x:c>
      <x:c r="AC1790" s="32" t="n">
        <x:f>F1790-G1790</x:f>
        <x:v>-5</x:v>
      </x:c>
    </x:row>
    <x:row r="1791">
      <x:c r="A1791" s="4" t="str">
        <x:v>2023-24</x:v>
      </x:c>
      <x:c r="B1791" s="20" t="n">
        <x:v>45262</x:v>
      </x:c>
      <x:c r="C1791" s="4" t="str">
        <x:v>Wolves</x:v>
      </x:c>
      <x:c r="D1791" s="4" t="str">
        <x:v>Arsenal</x:v>
      </x:c>
      <x:c r="E1791" s="4" t="str">
        <x:v>Away</x:v>
      </x:c>
      <x:c r="F1791" s="28" t="n">
        <x:v>1</x:v>
      </x:c>
      <x:c r="G1791" s="28" t="n">
        <x:v>2</x:v>
      </x:c>
      <x:c r="H1791" s="28" t="n">
        <x:v>6</x:v>
      </x:c>
      <x:c r="I1791" s="28" t="n">
        <x:v>19</x:v>
      </x:c>
      <x:c r="J1791" s="28" t="n">
        <x:v>3</x:v>
      </x:c>
      <x:c r="K1791" s="28" t="n">
        <x:v>6</x:v>
      </x:c>
      <x:c r="L1791" s="28" t="n">
        <x:v>0</x:v>
      </x:c>
      <x:c r="M1791" s="28" t="n">
        <x:v>4</x:v>
      </x:c>
      <x:c r="N1791" s="28" t="n">
        <x:v>2</x:v>
      </x:c>
      <x:c r="O1791" s="28" t="n">
        <x:v>0</x:v>
      </x:c>
      <x:c r="P1791" s="28" t="n">
        <x:v>0</x:v>
      </x:c>
      <x:c r="Q1791" s="24" t="n">
        <x:f>IFERROR(J1791/H1791,0)</x:f>
        <x:v>0.5</x:v>
      </x:c>
      <x:c r="R1791" s="24" t="n">
        <x:f>IFERROR(F1791/H1791,0)</x:f>
        <x:v>0.16666666666666666</x:v>
      </x:c>
      <x:c r="S1791" s="24" t="n">
        <x:f>IFERROR(F1791/J1791,0)</x:f>
        <x:v>0.3333333333333333</x:v>
      </x:c>
      <x:c r="T1791" s="28" t="n">
        <x:f>H1791-I1791</x:f>
        <x:v>-13</x:v>
      </x:c>
      <x:c r="U1791" s="24" t="n">
        <x:f>IFERROR(J1791/H1791,0)-IFERROR(K1791/I1791,0)</x:f>
        <x:v>0.1842105263157895</x:v>
      </x:c>
      <x:c r="V1791" s="24" t="n">
        <x:f>IFERROR(F1791/J1791,0)-IFERROR(G1791/K1791,0)</x:f>
        <x:v>0</x:v>
      </x:c>
      <x:c r="W1791" s="28" t="n">
        <x:f>L1791-M1791</x:f>
        <x:v>-4</x:v>
      </x:c>
      <x:c r="X1791" s="24" t="n">
        <x:f>IFERROR(K1791/I1791,0)</x:f>
        <x:v>0.3157894736842105</x:v>
      </x:c>
      <x:c r="Y1791" s="24" t="n">
        <x:f>IFERROR(G1791/I1791,0)</x:f>
        <x:v>0.10526315789473684</x:v>
      </x:c>
      <x:c r="Z1791" s="24" t="n">
        <x:f>IFERROR(G1791/K1791,0)</x:f>
        <x:v>0.3333333333333333</x:v>
      </x:c>
      <x:c r="AA1791" s="24" t="n">
        <x:f>IFERROR(F1791/H1791,0)-IFERROR(G1791/I1791,0)</x:f>
        <x:v>0.06140350877192982</x:v>
      </x:c>
      <x:c r="AB1791" s="28" t="n">
        <x:f>J1791-K1791</x:f>
        <x:v>-3</x:v>
      </x:c>
      <x:c r="AC1791" s="32" t="n">
        <x:f>F1791-G1791</x:f>
        <x:v>-1</x:v>
      </x:c>
    </x:row>
    <x:row r="1792">
      <x:c r="A1792" s="4" t="str">
        <x:v>2023-24</x:v>
      </x:c>
      <x:c r="B1792" s="20" t="n">
        <x:v>45263</x:v>
      </x:c>
      <x:c r="C1792" s="4" t="str">
        <x:v>Aston Villa</x:v>
      </x:c>
      <x:c r="D1792" s="4" t="str">
        <x:v>Bournemouth</x:v>
      </x:c>
      <x:c r="E1792" s="4" t="str">
        <x:v>Away</x:v>
      </x:c>
      <x:c r="F1792" s="28" t="n">
        <x:v>2</x:v>
      </x:c>
      <x:c r="G1792" s="28" t="n">
        <x:v>2</x:v>
      </x:c>
      <x:c r="H1792" s="28" t="n">
        <x:v>11</x:v>
      </x:c>
      <x:c r="I1792" s="28" t="n">
        <x:v>15</x:v>
      </x:c>
      <x:c r="J1792" s="28" t="n">
        <x:v>3</x:v>
      </x:c>
      <x:c r="K1792" s="28" t="n">
        <x:v>7</x:v>
      </x:c>
      <x:c r="L1792" s="28" t="n">
        <x:v>7</x:v>
      </x:c>
      <x:c r="M1792" s="28" t="n">
        <x:v>7</x:v>
      </x:c>
      <x:c r="N1792" s="28" t="n">
        <x:v>3</x:v>
      </x:c>
      <x:c r="O1792" s="28" t="n">
        <x:v>0</x:v>
      </x:c>
      <x:c r="P1792" s="28" t="n">
        <x:v>1</x:v>
      </x:c>
      <x:c r="Q1792" s="24" t="n">
        <x:f>IFERROR(J1792/H1792,0)</x:f>
        <x:v>0.2727272727272727</x:v>
      </x:c>
      <x:c r="R1792" s="24" t="n">
        <x:f>IFERROR(F1792/H1792,0)</x:f>
        <x:v>0.18181818181818182</x:v>
      </x:c>
      <x:c r="S1792" s="24" t="n">
        <x:f>IFERROR(F1792/J1792,0)</x:f>
        <x:v>0.6666666666666666</x:v>
      </x:c>
      <x:c r="T1792" s="28" t="n">
        <x:f>H1792-I1792</x:f>
        <x:v>-4</x:v>
      </x:c>
      <x:c r="U1792" s="24" t="n">
        <x:f>IFERROR(J1792/H1792,0)-IFERROR(K1792/I1792,0)</x:f>
        <x:v>-0.19393939393939397</x:v>
      </x:c>
      <x:c r="V1792" s="24" t="n">
        <x:f>IFERROR(F1792/J1792,0)-IFERROR(G1792/K1792,0)</x:f>
        <x:v>0.38095238095238093</x:v>
      </x:c>
      <x:c r="W1792" s="28" t="n">
        <x:f>L1792-M1792</x:f>
        <x:v>0</x:v>
      </x:c>
      <x:c r="X1792" s="24" t="n">
        <x:f>IFERROR(K1792/I1792,0)</x:f>
        <x:v>0.4666666666666667</x:v>
      </x:c>
      <x:c r="Y1792" s="24" t="n">
        <x:f>IFERROR(G1792/I1792,0)</x:f>
        <x:v>0.13333333333333333</x:v>
      </x:c>
      <x:c r="Z1792" s="24" t="n">
        <x:f>IFERROR(G1792/K1792,0)</x:f>
        <x:v>0.2857142857142857</x:v>
      </x:c>
      <x:c r="AA1792" s="24" t="n">
        <x:f>IFERROR(F1792/H1792,0)-IFERROR(G1792/I1792,0)</x:f>
        <x:v>0.04848484848484849</x:v>
      </x:c>
      <x:c r="AB1792" s="28" t="n">
        <x:f>J1792-K1792</x:f>
        <x:v>-4</x:v>
      </x:c>
      <x:c r="AC1792" s="32" t="n">
        <x:f>F1792-G1792</x:f>
        <x:v>0</x:v>
      </x:c>
    </x:row>
    <x:row r="1793">
      <x:c r="A1793" s="4" t="str">
        <x:v>2023-24</x:v>
      </x:c>
      <x:c r="B1793" s="20" t="n">
        <x:v>45263</x:v>
      </x:c>
      <x:c r="C1793" s="4" t="str">
        <x:v>Bournemouth</x:v>
      </x:c>
      <x:c r="D1793" s="4" t="str">
        <x:v>Aston Villa</x:v>
      </x:c>
      <x:c r="E1793" s="4" t="str">
        <x:v>Home</x:v>
      </x:c>
      <x:c r="F1793" s="28" t="n">
        <x:v>2</x:v>
      </x:c>
      <x:c r="G1793" s="28" t="n">
        <x:v>2</x:v>
      </x:c>
      <x:c r="H1793" s="28" t="n">
        <x:v>15</x:v>
      </x:c>
      <x:c r="I1793" s="28" t="n">
        <x:v>11</x:v>
      </x:c>
      <x:c r="J1793" s="28" t="n">
        <x:v>7</x:v>
      </x:c>
      <x:c r="K1793" s="28" t="n">
        <x:v>3</x:v>
      </x:c>
      <x:c r="L1793" s="28" t="n">
        <x:v>7</x:v>
      </x:c>
      <x:c r="M1793" s="28" t="n">
        <x:v>7</x:v>
      </x:c>
      <x:c r="N1793" s="28" t="n">
        <x:v>5</x:v>
      </x:c>
      <x:c r="O1793" s="28" t="n">
        <x:v>0</x:v>
      </x:c>
      <x:c r="P1793" s="28" t="n">
        <x:v>1</x:v>
      </x:c>
      <x:c r="Q1793" s="24" t="n">
        <x:f>IFERROR(J1793/H1793,0)</x:f>
        <x:v>0.4666666666666667</x:v>
      </x:c>
      <x:c r="R1793" s="24" t="n">
        <x:f>IFERROR(F1793/H1793,0)</x:f>
        <x:v>0.13333333333333333</x:v>
      </x:c>
      <x:c r="S1793" s="24" t="n">
        <x:f>IFERROR(F1793/J1793,0)</x:f>
        <x:v>0.2857142857142857</x:v>
      </x:c>
      <x:c r="T1793" s="28" t="n">
        <x:f>H1793-I1793</x:f>
        <x:v>4</x:v>
      </x:c>
      <x:c r="U1793" s="24" t="n">
        <x:f>IFERROR(J1793/H1793,0)-IFERROR(K1793/I1793,0)</x:f>
        <x:v>0.19393939393939397</x:v>
      </x:c>
      <x:c r="V1793" s="24" t="n">
        <x:f>IFERROR(F1793/J1793,0)-IFERROR(G1793/K1793,0)</x:f>
        <x:v>-0.38095238095238093</x:v>
      </x:c>
      <x:c r="W1793" s="28" t="n">
        <x:f>L1793-M1793</x:f>
        <x:v>0</x:v>
      </x:c>
      <x:c r="X1793" s="24" t="n">
        <x:f>IFERROR(K1793/I1793,0)</x:f>
        <x:v>0.2727272727272727</x:v>
      </x:c>
      <x:c r="Y1793" s="24" t="n">
        <x:f>IFERROR(G1793/I1793,0)</x:f>
        <x:v>0.18181818181818182</x:v>
      </x:c>
      <x:c r="Z1793" s="24" t="n">
        <x:f>IFERROR(G1793/K1793,0)</x:f>
        <x:v>0.6666666666666666</x:v>
      </x:c>
      <x:c r="AA1793" s="24" t="n">
        <x:f>IFERROR(F1793/H1793,0)-IFERROR(G1793/I1793,0)</x:f>
        <x:v>-0.04848484848484849</x:v>
      </x:c>
      <x:c r="AB1793" s="28" t="n">
        <x:f>J1793-K1793</x:f>
        <x:v>4</x:v>
      </x:c>
      <x:c r="AC1793" s="32" t="n">
        <x:f>F1793-G1793</x:f>
        <x:v>0</x:v>
      </x:c>
    </x:row>
    <x:row r="1794">
      <x:c r="A1794" s="4" t="str">
        <x:v>2023-24</x:v>
      </x:c>
      <x:c r="B1794" s="20" t="n">
        <x:v>45263</x:v>
      </x:c>
      <x:c r="C1794" s="4" t="str">
        <x:v>Brighton</x:v>
      </x:c>
      <x:c r="D1794" s="4" t="str">
        <x:v>Chelsea</x:v>
      </x:c>
      <x:c r="E1794" s="4" t="str">
        <x:v>Away</x:v>
      </x:c>
      <x:c r="F1794" s="28" t="n">
        <x:v>2</x:v>
      </x:c>
      <x:c r="G1794" s="28" t="n">
        <x:v>3</x:v>
      </x:c>
      <x:c r="H1794" s="28" t="n">
        <x:v>18</x:v>
      </x:c>
      <x:c r="I1794" s="28" t="n">
        <x:v>8</x:v>
      </x:c>
      <x:c r="J1794" s="28" t="n">
        <x:v>9</x:v>
      </x:c>
      <x:c r="K1794" s="28" t="n">
        <x:v>5</x:v>
      </x:c>
      <x:c r="L1794" s="28" t="n">
        <x:v>8</x:v>
      </x:c>
      <x:c r="M1794" s="28" t="n">
        <x:v>5</x:v>
      </x:c>
      <x:c r="N1794" s="28" t="n">
        <x:v>5</x:v>
      </x:c>
      <x:c r="O1794" s="28" t="n">
        <x:v>0</x:v>
      </x:c>
      <x:c r="P1794" s="28" t="n">
        <x:v>0</x:v>
      </x:c>
      <x:c r="Q1794" s="24" t="n">
        <x:f>IFERROR(J1794/H1794,0)</x:f>
        <x:v>0.5</x:v>
      </x:c>
      <x:c r="R1794" s="24" t="n">
        <x:f>IFERROR(F1794/H1794,0)</x:f>
        <x:v>0.1111111111111111</x:v>
      </x:c>
      <x:c r="S1794" s="24" t="n">
        <x:f>IFERROR(F1794/J1794,0)</x:f>
        <x:v>0.2222222222222222</x:v>
      </x:c>
      <x:c r="T1794" s="28" t="n">
        <x:f>H1794-I1794</x:f>
        <x:v>10</x:v>
      </x:c>
      <x:c r="U1794" s="24" t="n">
        <x:f>IFERROR(J1794/H1794,0)-IFERROR(K1794/I1794,0)</x:f>
        <x:v>-0.125</x:v>
      </x:c>
      <x:c r="V1794" s="24" t="n">
        <x:f>IFERROR(F1794/J1794,0)-IFERROR(G1794/K1794,0)</x:f>
        <x:v>-0.37777777777777777</x:v>
      </x:c>
      <x:c r="W1794" s="28" t="n">
        <x:f>L1794-M1794</x:f>
        <x:v>3</x:v>
      </x:c>
      <x:c r="X1794" s="24" t="n">
        <x:f>IFERROR(K1794/I1794,0)</x:f>
        <x:v>0.625</x:v>
      </x:c>
      <x:c r="Y1794" s="24" t="n">
        <x:f>IFERROR(G1794/I1794,0)</x:f>
        <x:v>0.375</x:v>
      </x:c>
      <x:c r="Z1794" s="24" t="n">
        <x:f>IFERROR(G1794/K1794,0)</x:f>
        <x:v>0.6</x:v>
      </x:c>
      <x:c r="AA1794" s="24" t="n">
        <x:f>IFERROR(F1794/H1794,0)-IFERROR(G1794/I1794,0)</x:f>
        <x:v>-0.2638888888888889</x:v>
      </x:c>
      <x:c r="AB1794" s="28" t="n">
        <x:f>J1794-K1794</x:f>
        <x:v>4</x:v>
      </x:c>
      <x:c r="AC1794" s="32" t="n">
        <x:f>F1794-G1794</x:f>
        <x:v>-1</x:v>
      </x:c>
    </x:row>
    <x:row r="1795">
      <x:c r="A1795" s="4" t="str">
        <x:v>2023-24</x:v>
      </x:c>
      <x:c r="B1795" s="20" t="n">
        <x:v>45263</x:v>
      </x:c>
      <x:c r="C1795" s="4" t="str">
        <x:v>Chelsea</x:v>
      </x:c>
      <x:c r="D1795" s="4" t="str">
        <x:v>Brighton</x:v>
      </x:c>
      <x:c r="E1795" s="4" t="str">
        <x:v>Home</x:v>
      </x:c>
      <x:c r="F1795" s="28" t="n">
        <x:v>3</x:v>
      </x:c>
      <x:c r="G1795" s="28" t="n">
        <x:v>2</x:v>
      </x:c>
      <x:c r="H1795" s="28" t="n">
        <x:v>8</x:v>
      </x:c>
      <x:c r="I1795" s="28" t="n">
        <x:v>18</x:v>
      </x:c>
      <x:c r="J1795" s="28" t="n">
        <x:v>5</x:v>
      </x:c>
      <x:c r="K1795" s="28" t="n">
        <x:v>9</x:v>
      </x:c>
      <x:c r="L1795" s="28" t="n">
        <x:v>5</x:v>
      </x:c>
      <x:c r="M1795" s="28" t="n">
        <x:v>8</x:v>
      </x:c>
      <x:c r="N1795" s="28" t="n">
        <x:v>3</x:v>
      </x:c>
      <x:c r="O1795" s="28" t="n">
        <x:v>1</x:v>
      </x:c>
      <x:c r="P1795" s="28" t="n">
        <x:v>3</x:v>
      </x:c>
      <x:c r="Q1795" s="24" t="n">
        <x:f>IFERROR(J1795/H1795,0)</x:f>
        <x:v>0.625</x:v>
      </x:c>
      <x:c r="R1795" s="24" t="n">
        <x:f>IFERROR(F1795/H1795,0)</x:f>
        <x:v>0.375</x:v>
      </x:c>
      <x:c r="S1795" s="24" t="n">
        <x:f>IFERROR(F1795/J1795,0)</x:f>
        <x:v>0.6</x:v>
      </x:c>
      <x:c r="T1795" s="28" t="n">
        <x:f>H1795-I1795</x:f>
        <x:v>-10</x:v>
      </x:c>
      <x:c r="U1795" s="24" t="n">
        <x:f>IFERROR(J1795/H1795,0)-IFERROR(K1795/I1795,0)</x:f>
        <x:v>0.125</x:v>
      </x:c>
      <x:c r="V1795" s="24" t="n">
        <x:f>IFERROR(F1795/J1795,0)-IFERROR(G1795/K1795,0)</x:f>
        <x:v>0.37777777777777777</x:v>
      </x:c>
      <x:c r="W1795" s="28" t="n">
        <x:f>L1795-M1795</x:f>
        <x:v>-3</x:v>
      </x:c>
      <x:c r="X1795" s="24" t="n">
        <x:f>IFERROR(K1795/I1795,0)</x:f>
        <x:v>0.5</x:v>
      </x:c>
      <x:c r="Y1795" s="24" t="n">
        <x:f>IFERROR(G1795/I1795,0)</x:f>
        <x:v>0.1111111111111111</x:v>
      </x:c>
      <x:c r="Z1795" s="24" t="n">
        <x:f>IFERROR(G1795/K1795,0)</x:f>
        <x:v>0.2222222222222222</x:v>
      </x:c>
      <x:c r="AA1795" s="24" t="n">
        <x:f>IFERROR(F1795/H1795,0)-IFERROR(G1795/I1795,0)</x:f>
        <x:v>0.2638888888888889</x:v>
      </x:c>
      <x:c r="AB1795" s="28" t="n">
        <x:f>J1795-K1795</x:f>
        <x:v>-4</x:v>
      </x:c>
      <x:c r="AC1795" s="32" t="n">
        <x:f>F1795-G1795</x:f>
        <x:v>1</x:v>
      </x:c>
    </x:row>
    <x:row r="1796">
      <x:c r="A1796" s="4" t="str">
        <x:v>2023-24</x:v>
      </x:c>
      <x:c r="B1796" s="20" t="n">
        <x:v>45263</x:v>
      </x:c>
      <x:c r="C1796" s="4" t="str">
        <x:v>Crystal Palace</x:v>
      </x:c>
      <x:c r="D1796" s="4" t="str">
        <x:v>West Ham</x:v>
      </x:c>
      <x:c r="E1796" s="4" t="str">
        <x:v>Away</x:v>
      </x:c>
      <x:c r="F1796" s="28" t="n">
        <x:v>1</x:v>
      </x:c>
      <x:c r="G1796" s="28" t="n">
        <x:v>1</x:v>
      </x:c>
      <x:c r="H1796" s="28" t="n">
        <x:v>9</x:v>
      </x:c>
      <x:c r="I1796" s="28" t="n">
        <x:v>9</x:v>
      </x:c>
      <x:c r="J1796" s="28" t="n">
        <x:v>2</x:v>
      </x:c>
      <x:c r="K1796" s="28" t="n">
        <x:v>3</x:v>
      </x:c>
      <x:c r="L1796" s="28" t="n">
        <x:v>3</x:v>
      </x:c>
      <x:c r="M1796" s="28" t="n">
        <x:v>2</x:v>
      </x:c>
      <x:c r="N1796" s="28" t="n">
        <x:v>0</x:v>
      </x:c>
      <x:c r="O1796" s="28" t="n">
        <x:v>0</x:v>
      </x:c>
      <x:c r="P1796" s="28" t="n">
        <x:v>1</x:v>
      </x:c>
      <x:c r="Q1796" s="24" t="n">
        <x:f>IFERROR(J1796/H1796,0)</x:f>
        <x:v>0.2222222222222222</x:v>
      </x:c>
      <x:c r="R1796" s="24" t="n">
        <x:f>IFERROR(F1796/H1796,0)</x:f>
        <x:v>0.1111111111111111</x:v>
      </x:c>
      <x:c r="S1796" s="24" t="n">
        <x:f>IFERROR(F1796/J1796,0)</x:f>
        <x:v>0.5</x:v>
      </x:c>
      <x:c r="T1796" s="28" t="n">
        <x:f>H1796-I1796</x:f>
        <x:v>0</x:v>
      </x:c>
      <x:c r="U1796" s="24" t="n">
        <x:f>IFERROR(J1796/H1796,0)-IFERROR(K1796/I1796,0)</x:f>
        <x:v>-0.1111111111111111</x:v>
      </x:c>
      <x:c r="V1796" s="24" t="n">
        <x:f>IFERROR(F1796/J1796,0)-IFERROR(G1796/K1796,0)</x:f>
        <x:v>0.16666666666666669</x:v>
      </x:c>
      <x:c r="W1796" s="28" t="n">
        <x:f>L1796-M1796</x:f>
        <x:v>1</x:v>
      </x:c>
      <x:c r="X1796" s="24" t="n">
        <x:f>IFERROR(K1796/I1796,0)</x:f>
        <x:v>0.3333333333333333</x:v>
      </x:c>
      <x:c r="Y1796" s="24" t="n">
        <x:f>IFERROR(G1796/I1796,0)</x:f>
        <x:v>0.1111111111111111</x:v>
      </x:c>
      <x:c r="Z1796" s="24" t="n">
        <x:f>IFERROR(G1796/K1796,0)</x:f>
        <x:v>0.3333333333333333</x:v>
      </x:c>
      <x:c r="AA1796" s="24" t="n">
        <x:f>IFERROR(F1796/H1796,0)-IFERROR(G1796/I1796,0)</x:f>
        <x:v>0</x:v>
      </x:c>
      <x:c r="AB1796" s="28" t="n">
        <x:f>J1796-K1796</x:f>
        <x:v>-1</x:v>
      </x:c>
      <x:c r="AC1796" s="32" t="n">
        <x:f>F1796-G1796</x:f>
        <x:v>0</x:v>
      </x:c>
    </x:row>
    <x:row r="1797">
      <x:c r="A1797" s="4" t="str">
        <x:v>2023-24</x:v>
      </x:c>
      <x:c r="B1797" s="20" t="n">
        <x:v>45263</x:v>
      </x:c>
      <x:c r="C1797" s="4" t="str">
        <x:v>Fulham</x:v>
      </x:c>
      <x:c r="D1797" s="4" t="str">
        <x:v>Liverpool</x:v>
      </x:c>
      <x:c r="E1797" s="4" t="str">
        <x:v>Away</x:v>
      </x:c>
      <x:c r="F1797" s="28" t="n">
        <x:v>3</x:v>
      </x:c>
      <x:c r="G1797" s="28" t="n">
        <x:v>4</x:v>
      </x:c>
      <x:c r="H1797" s="28" t="n">
        <x:v>9</x:v>
      </x:c>
      <x:c r="I1797" s="28" t="n">
        <x:v>26</x:v>
      </x:c>
      <x:c r="J1797" s="28" t="n">
        <x:v>5</x:v>
      </x:c>
      <x:c r="K1797" s="28" t="n">
        <x:v>12</x:v>
      </x:c>
      <x:c r="L1797" s="28" t="n">
        <x:v>4</x:v>
      </x:c>
      <x:c r="M1797" s="28" t="n">
        <x:v>3</x:v>
      </x:c>
      <x:c r="N1797" s="28" t="n">
        <x:v>0</x:v>
      </x:c>
      <x:c r="O1797" s="28" t="n">
        <x:v>0</x:v>
      </x:c>
      <x:c r="P1797" s="28" t="n">
        <x:v>0</x:v>
      </x:c>
      <x:c r="Q1797" s="24" t="n">
        <x:f>IFERROR(J1797/H1797,0)</x:f>
        <x:v>0.5555555555555556</x:v>
      </x:c>
      <x:c r="R1797" s="24" t="n">
        <x:f>IFERROR(F1797/H1797,0)</x:f>
        <x:v>0.3333333333333333</x:v>
      </x:c>
      <x:c r="S1797" s="24" t="n">
        <x:f>IFERROR(F1797/J1797,0)</x:f>
        <x:v>0.6</x:v>
      </x:c>
      <x:c r="T1797" s="28" t="n">
        <x:f>H1797-I1797</x:f>
        <x:v>-17</x:v>
      </x:c>
      <x:c r="U1797" s="24" t="n">
        <x:f>IFERROR(J1797/H1797,0)-IFERROR(K1797/I1797,0)</x:f>
        <x:v>0.09401709401709402</x:v>
      </x:c>
      <x:c r="V1797" s="24" t="n">
        <x:f>IFERROR(F1797/J1797,0)-IFERROR(G1797/K1797,0)</x:f>
        <x:v>0.26666666666666666</x:v>
      </x:c>
      <x:c r="W1797" s="28" t="n">
        <x:f>L1797-M1797</x:f>
        <x:v>1</x:v>
      </x:c>
      <x:c r="X1797" s="24" t="n">
        <x:f>IFERROR(K1797/I1797,0)</x:f>
        <x:v>0.46153846153846156</x:v>
      </x:c>
      <x:c r="Y1797" s="24" t="n">
        <x:f>IFERROR(G1797/I1797,0)</x:f>
        <x:v>0.15384615384615385</x:v>
      </x:c>
      <x:c r="Z1797" s="24" t="n">
        <x:f>IFERROR(G1797/K1797,0)</x:f>
        <x:v>0.3333333333333333</x:v>
      </x:c>
      <x:c r="AA1797" s="24" t="n">
        <x:f>IFERROR(F1797/H1797,0)-IFERROR(G1797/I1797,0)</x:f>
        <x:v>0.17948717948717946</x:v>
      </x:c>
      <x:c r="AB1797" s="28" t="n">
        <x:f>J1797-K1797</x:f>
        <x:v>-7</x:v>
      </x:c>
      <x:c r="AC1797" s="32" t="n">
        <x:f>F1797-G1797</x:f>
        <x:v>-1</x:v>
      </x:c>
    </x:row>
    <x:row r="1798">
      <x:c r="A1798" s="4" t="str">
        <x:v>2023-24</x:v>
      </x:c>
      <x:c r="B1798" s="20" t="n">
        <x:v>45263</x:v>
      </x:c>
      <x:c r="C1798" s="4" t="str">
        <x:v>Liverpool</x:v>
      </x:c>
      <x:c r="D1798" s="4" t="str">
        <x:v>Fulham</x:v>
      </x:c>
      <x:c r="E1798" s="4" t="str">
        <x:v>Home</x:v>
      </x:c>
      <x:c r="F1798" s="28" t="n">
        <x:v>4</x:v>
      </x:c>
      <x:c r="G1798" s="28" t="n">
        <x:v>3</x:v>
      </x:c>
      <x:c r="H1798" s="28" t="n">
        <x:v>26</x:v>
      </x:c>
      <x:c r="I1798" s="28" t="n">
        <x:v>9</x:v>
      </x:c>
      <x:c r="J1798" s="28" t="n">
        <x:v>12</x:v>
      </x:c>
      <x:c r="K1798" s="28" t="n">
        <x:v>5</x:v>
      </x:c>
      <x:c r="L1798" s="28" t="n">
        <x:v>3</x:v>
      </x:c>
      <x:c r="M1798" s="28" t="n">
        <x:v>4</x:v>
      </x:c>
      <x:c r="N1798" s="28" t="n">
        <x:v>0</x:v>
      </x:c>
      <x:c r="O1798" s="28" t="n">
        <x:v>0</x:v>
      </x:c>
      <x:c r="P1798" s="28" t="n">
        <x:v>3</x:v>
      </x:c>
      <x:c r="Q1798" s="24" t="n">
        <x:f>IFERROR(J1798/H1798,0)</x:f>
        <x:v>0.46153846153846156</x:v>
      </x:c>
      <x:c r="R1798" s="24" t="n">
        <x:f>IFERROR(F1798/H1798,0)</x:f>
        <x:v>0.15384615384615385</x:v>
      </x:c>
      <x:c r="S1798" s="24" t="n">
        <x:f>IFERROR(F1798/J1798,0)</x:f>
        <x:v>0.3333333333333333</x:v>
      </x:c>
      <x:c r="T1798" s="28" t="n">
        <x:f>H1798-I1798</x:f>
        <x:v>17</x:v>
      </x:c>
      <x:c r="U1798" s="24" t="n">
        <x:f>IFERROR(J1798/H1798,0)-IFERROR(K1798/I1798,0)</x:f>
        <x:v>-0.09401709401709402</x:v>
      </x:c>
      <x:c r="V1798" s="24" t="n">
        <x:f>IFERROR(F1798/J1798,0)-IFERROR(G1798/K1798,0)</x:f>
        <x:v>-0.26666666666666666</x:v>
      </x:c>
      <x:c r="W1798" s="28" t="n">
        <x:f>L1798-M1798</x:f>
        <x:v>-1</x:v>
      </x:c>
      <x:c r="X1798" s="24" t="n">
        <x:f>IFERROR(K1798/I1798,0)</x:f>
        <x:v>0.5555555555555556</x:v>
      </x:c>
      <x:c r="Y1798" s="24" t="n">
        <x:f>IFERROR(G1798/I1798,0)</x:f>
        <x:v>0.3333333333333333</x:v>
      </x:c>
      <x:c r="Z1798" s="24" t="n">
        <x:f>IFERROR(G1798/K1798,0)</x:f>
        <x:v>0.6</x:v>
      </x:c>
      <x:c r="AA1798" s="24" t="n">
        <x:f>IFERROR(F1798/H1798,0)-IFERROR(G1798/I1798,0)</x:f>
        <x:v>-0.17948717948717946</x:v>
      </x:c>
      <x:c r="AB1798" s="28" t="n">
        <x:f>J1798-K1798</x:f>
        <x:v>7</x:v>
      </x:c>
      <x:c r="AC1798" s="32" t="n">
        <x:f>F1798-G1798</x:f>
        <x:v>1</x:v>
      </x:c>
    </x:row>
    <x:row r="1799">
      <x:c r="A1799" s="4" t="str">
        <x:v>2023-24</x:v>
      </x:c>
      <x:c r="B1799" s="20" t="n">
        <x:v>45263</x:v>
      </x:c>
      <x:c r="C1799" s="4" t="str">
        <x:v>Man City</x:v>
      </x:c>
      <x:c r="D1799" s="4" t="str">
        <x:v>Tottenham</x:v>
      </x:c>
      <x:c r="E1799" s="4" t="str">
        <x:v>Home</x:v>
      </x:c>
      <x:c r="F1799" s="28" t="n">
        <x:v>3</x:v>
      </x:c>
      <x:c r="G1799" s="28" t="n">
        <x:v>3</x:v>
      </x:c>
      <x:c r="H1799" s="28" t="n">
        <x:v>18</x:v>
      </x:c>
      <x:c r="I1799" s="28" t="n">
        <x:v>8</x:v>
      </x:c>
      <x:c r="J1799" s="28" t="n">
        <x:v>4</x:v>
      </x:c>
      <x:c r="K1799" s="28" t="n">
        <x:v>4</x:v>
      </x:c>
      <x:c r="L1799" s="28" t="n">
        <x:v>10</x:v>
      </x:c>
      <x:c r="M1799" s="28" t="n">
        <x:v>8</x:v>
      </x:c>
      <x:c r="N1799" s="28" t="n">
        <x:v>4</x:v>
      </x:c>
      <x:c r="O1799" s="28" t="n">
        <x:v>0</x:v>
      </x:c>
      <x:c r="P1799" s="28" t="n">
        <x:v>1</x:v>
      </x:c>
      <x:c r="Q1799" s="24" t="n">
        <x:f>IFERROR(J1799/H1799,0)</x:f>
        <x:v>0.2222222222222222</x:v>
      </x:c>
      <x:c r="R1799" s="24" t="n">
        <x:f>IFERROR(F1799/H1799,0)</x:f>
        <x:v>0.16666666666666666</x:v>
      </x:c>
      <x:c r="S1799" s="24" t="n">
        <x:f>IFERROR(F1799/J1799,0)</x:f>
        <x:v>0.75</x:v>
      </x:c>
      <x:c r="T1799" s="28" t="n">
        <x:f>H1799-I1799</x:f>
        <x:v>10</x:v>
      </x:c>
      <x:c r="U1799" s="24" t="n">
        <x:f>IFERROR(J1799/H1799,0)-IFERROR(K1799/I1799,0)</x:f>
        <x:v>-0.2777777777777778</x:v>
      </x:c>
      <x:c r="V1799" s="24" t="n">
        <x:f>IFERROR(F1799/J1799,0)-IFERROR(G1799/K1799,0)</x:f>
        <x:v>0</x:v>
      </x:c>
      <x:c r="W1799" s="28" t="n">
        <x:f>L1799-M1799</x:f>
        <x:v>2</x:v>
      </x:c>
      <x:c r="X1799" s="24" t="n">
        <x:f>IFERROR(K1799/I1799,0)</x:f>
        <x:v>0.5</x:v>
      </x:c>
      <x:c r="Y1799" s="24" t="n">
        <x:f>IFERROR(G1799/I1799,0)</x:f>
        <x:v>0.375</x:v>
      </x:c>
      <x:c r="Z1799" s="24" t="n">
        <x:f>IFERROR(G1799/K1799,0)</x:f>
        <x:v>0.75</x:v>
      </x:c>
      <x:c r="AA1799" s="24" t="n">
        <x:f>IFERROR(F1799/H1799,0)-IFERROR(G1799/I1799,0)</x:f>
        <x:v>-0.20833333333333334</x:v>
      </x:c>
      <x:c r="AB1799" s="28" t="n">
        <x:f>J1799-K1799</x:f>
        <x:v>0</x:v>
      </x:c>
      <x:c r="AC1799" s="32" t="n">
        <x:f>F1799-G1799</x:f>
        <x:v>0</x:v>
      </x:c>
    </x:row>
    <x:row r="1800">
      <x:c r="A1800" s="4" t="str">
        <x:v>2023-24</x:v>
      </x:c>
      <x:c r="B1800" s="20" t="n">
        <x:v>45263</x:v>
      </x:c>
      <x:c r="C1800" s="4" t="str">
        <x:v>Tottenham</x:v>
      </x:c>
      <x:c r="D1800" s="4" t="str">
        <x:v>Man City</x:v>
      </x:c>
      <x:c r="E1800" s="4" t="str">
        <x:v>Away</x:v>
      </x:c>
      <x:c r="F1800" s="28" t="n">
        <x:v>3</x:v>
      </x:c>
      <x:c r="G1800" s="28" t="n">
        <x:v>3</x:v>
      </x:c>
      <x:c r="H1800" s="28" t="n">
        <x:v>8</x:v>
      </x:c>
      <x:c r="I1800" s="28" t="n">
        <x:v>18</x:v>
      </x:c>
      <x:c r="J1800" s="28" t="n">
        <x:v>4</x:v>
      </x:c>
      <x:c r="K1800" s="28" t="n">
        <x:v>4</x:v>
      </x:c>
      <x:c r="L1800" s="28" t="n">
        <x:v>8</x:v>
      </x:c>
      <x:c r="M1800" s="28" t="n">
        <x:v>10</x:v>
      </x:c>
      <x:c r="N1800" s="28" t="n">
        <x:v>4</x:v>
      </x:c>
      <x:c r="O1800" s="28" t="n">
        <x:v>0</x:v>
      </x:c>
      <x:c r="P1800" s="28" t="n">
        <x:v>1</x:v>
      </x:c>
      <x:c r="Q1800" s="24" t="n">
        <x:f>IFERROR(J1800/H1800,0)</x:f>
        <x:v>0.5</x:v>
      </x:c>
      <x:c r="R1800" s="24" t="n">
        <x:f>IFERROR(F1800/H1800,0)</x:f>
        <x:v>0.375</x:v>
      </x:c>
      <x:c r="S1800" s="24" t="n">
        <x:f>IFERROR(F1800/J1800,0)</x:f>
        <x:v>0.75</x:v>
      </x:c>
      <x:c r="T1800" s="28" t="n">
        <x:f>H1800-I1800</x:f>
        <x:v>-10</x:v>
      </x:c>
      <x:c r="U1800" s="24" t="n">
        <x:f>IFERROR(J1800/H1800,0)-IFERROR(K1800/I1800,0)</x:f>
        <x:v>0.2777777777777778</x:v>
      </x:c>
      <x:c r="V1800" s="24" t="n">
        <x:f>IFERROR(F1800/J1800,0)-IFERROR(G1800/K1800,0)</x:f>
        <x:v>0</x:v>
      </x:c>
      <x:c r="W1800" s="28" t="n">
        <x:f>L1800-M1800</x:f>
        <x:v>-2</x:v>
      </x:c>
      <x:c r="X1800" s="24" t="n">
        <x:f>IFERROR(K1800/I1800,0)</x:f>
        <x:v>0.2222222222222222</x:v>
      </x:c>
      <x:c r="Y1800" s="24" t="n">
        <x:f>IFERROR(G1800/I1800,0)</x:f>
        <x:v>0.16666666666666666</x:v>
      </x:c>
      <x:c r="Z1800" s="24" t="n">
        <x:f>IFERROR(G1800/K1800,0)</x:f>
        <x:v>0.75</x:v>
      </x:c>
      <x:c r="AA1800" s="24" t="n">
        <x:f>IFERROR(F1800/H1800,0)-IFERROR(G1800/I1800,0)</x:f>
        <x:v>0.20833333333333334</x:v>
      </x:c>
      <x:c r="AB1800" s="28" t="n">
        <x:f>J1800-K1800</x:f>
        <x:v>0</x:v>
      </x:c>
      <x:c r="AC1800" s="32" t="n">
        <x:f>F1800-G1800</x:f>
        <x:v>0</x:v>
      </x:c>
    </x:row>
    <x:row r="1801">
      <x:c r="A1801" s="4" t="str">
        <x:v>2023-24</x:v>
      </x:c>
      <x:c r="B1801" s="20" t="n">
        <x:v>45263</x:v>
      </x:c>
      <x:c r="C1801" s="4" t="str">
        <x:v>West Ham</x:v>
      </x:c>
      <x:c r="D1801" s="4" t="str">
        <x:v>Crystal Palace</x:v>
      </x:c>
      <x:c r="E1801" s="4" t="str">
        <x:v>Home</x:v>
      </x:c>
      <x:c r="F1801" s="28" t="n">
        <x:v>1</x:v>
      </x:c>
      <x:c r="G1801" s="28" t="n">
        <x:v>1</x:v>
      </x:c>
      <x:c r="H1801" s="28" t="n">
        <x:v>9</x:v>
      </x:c>
      <x:c r="I1801" s="28" t="n">
        <x:v>9</x:v>
      </x:c>
      <x:c r="J1801" s="28" t="n">
        <x:v>3</x:v>
      </x:c>
      <x:c r="K1801" s="28" t="n">
        <x:v>2</x:v>
      </x:c>
      <x:c r="L1801" s="28" t="n">
        <x:v>2</x:v>
      </x:c>
      <x:c r="M1801" s="28" t="n">
        <x:v>3</x:v>
      </x:c>
      <x:c r="N1801" s="28" t="n">
        <x:v>2</x:v>
      </x:c>
      <x:c r="O1801" s="28" t="n">
        <x:v>0</x:v>
      </x:c>
      <x:c r="P1801" s="28" t="n">
        <x:v>1</x:v>
      </x:c>
      <x:c r="Q1801" s="24" t="n">
        <x:f>IFERROR(J1801/H1801,0)</x:f>
        <x:v>0.3333333333333333</x:v>
      </x:c>
      <x:c r="R1801" s="24" t="n">
        <x:f>IFERROR(F1801/H1801,0)</x:f>
        <x:v>0.1111111111111111</x:v>
      </x:c>
      <x:c r="S1801" s="24" t="n">
        <x:f>IFERROR(F1801/J1801,0)</x:f>
        <x:v>0.3333333333333333</x:v>
      </x:c>
      <x:c r="T1801" s="28" t="n">
        <x:f>H1801-I1801</x:f>
        <x:v>0</x:v>
      </x:c>
      <x:c r="U1801" s="24" t="n">
        <x:f>IFERROR(J1801/H1801,0)-IFERROR(K1801/I1801,0)</x:f>
        <x:v>0.1111111111111111</x:v>
      </x:c>
      <x:c r="V1801" s="24" t="n">
        <x:f>IFERROR(F1801/J1801,0)-IFERROR(G1801/K1801,0)</x:f>
        <x:v>-0.16666666666666669</x:v>
      </x:c>
      <x:c r="W1801" s="28" t="n">
        <x:f>L1801-M1801</x:f>
        <x:v>-1</x:v>
      </x:c>
      <x:c r="X1801" s="24" t="n">
        <x:f>IFERROR(K1801/I1801,0)</x:f>
        <x:v>0.2222222222222222</x:v>
      </x:c>
      <x:c r="Y1801" s="24" t="n">
        <x:f>IFERROR(G1801/I1801,0)</x:f>
        <x:v>0.1111111111111111</x:v>
      </x:c>
      <x:c r="Z1801" s="24" t="n">
        <x:f>IFERROR(G1801/K1801,0)</x:f>
        <x:v>0.5</x:v>
      </x:c>
      <x:c r="AA1801" s="24" t="n">
        <x:f>IFERROR(F1801/H1801,0)-IFERROR(G1801/I1801,0)</x:f>
        <x:v>0</x:v>
      </x:c>
      <x:c r="AB1801" s="28" t="n">
        <x:f>J1801-K1801</x:f>
        <x:v>1</x:v>
      </x:c>
      <x:c r="AC1801" s="32" t="n">
        <x:f>F1801-G1801</x:f>
        <x:v>0</x:v>
      </x:c>
    </x:row>
    <x:row r="1802">
      <x:c r="A1802" s="4" t="str">
        <x:v>2023-24</x:v>
      </x:c>
      <x:c r="B1802" s="20" t="n">
        <x:v>45265</x:v>
      </x:c>
      <x:c r="C1802" s="4" t="str">
        <x:v>Arsenal</x:v>
      </x:c>
      <x:c r="D1802" s="4" t="str">
        <x:v>Luton</x:v>
      </x:c>
      <x:c r="E1802" s="4" t="str">
        <x:v>Away</x:v>
      </x:c>
      <x:c r="F1802" s="28" t="n">
        <x:v>4</x:v>
      </x:c>
      <x:c r="G1802" s="28" t="n">
        <x:v>3</x:v>
      </x:c>
      <x:c r="H1802" s="28" t="n">
        <x:v>23</x:v>
      </x:c>
      <x:c r="I1802" s="28" t="n">
        <x:v>6</x:v>
      </x:c>
      <x:c r="J1802" s="28" t="n">
        <x:v>9</x:v>
      </x:c>
      <x:c r="K1802" s="28" t="n">
        <x:v>4</x:v>
      </x:c>
      <x:c r="L1802" s="28" t="n">
        <x:v>8</x:v>
      </x:c>
      <x:c r="M1802" s="28" t="n">
        <x:v>3</x:v>
      </x:c>
      <x:c r="N1802" s="28" t="n">
        <x:v>1</x:v>
      </x:c>
      <x:c r="O1802" s="28" t="n">
        <x:v>0</x:v>
      </x:c>
      <x:c r="P1802" s="28" t="n">
        <x:v>3</x:v>
      </x:c>
      <x:c r="Q1802" s="24" t="n">
        <x:f>IFERROR(J1802/H1802,0)</x:f>
        <x:v>0.391304347826087</x:v>
      </x:c>
      <x:c r="R1802" s="24" t="n">
        <x:f>IFERROR(F1802/H1802,0)</x:f>
        <x:v>0.17391304347826086</x:v>
      </x:c>
      <x:c r="S1802" s="24" t="n">
        <x:f>IFERROR(F1802/J1802,0)</x:f>
        <x:v>0.4444444444444444</x:v>
      </x:c>
      <x:c r="T1802" s="28" t="n">
        <x:f>H1802-I1802</x:f>
        <x:v>17</x:v>
      </x:c>
      <x:c r="U1802" s="24" t="n">
        <x:f>IFERROR(J1802/H1802,0)-IFERROR(K1802/I1802,0)</x:f>
        <x:v>-0.27536231884057966</x:v>
      </x:c>
      <x:c r="V1802" s="24" t="n">
        <x:f>IFERROR(F1802/J1802,0)-IFERROR(G1802/K1802,0)</x:f>
        <x:v>-0.3055555555555556</x:v>
      </x:c>
      <x:c r="W1802" s="28" t="n">
        <x:f>L1802-M1802</x:f>
        <x:v>5</x:v>
      </x:c>
      <x:c r="X1802" s="24" t="n">
        <x:f>IFERROR(K1802/I1802,0)</x:f>
        <x:v>0.6666666666666666</x:v>
      </x:c>
      <x:c r="Y1802" s="24" t="n">
        <x:f>IFERROR(G1802/I1802,0)</x:f>
        <x:v>0.5</x:v>
      </x:c>
      <x:c r="Z1802" s="24" t="n">
        <x:f>IFERROR(G1802/K1802,0)</x:f>
        <x:v>0.75</x:v>
      </x:c>
      <x:c r="AA1802" s="24" t="n">
        <x:f>IFERROR(F1802/H1802,0)-IFERROR(G1802/I1802,0)</x:f>
        <x:v>-0.32608695652173914</x:v>
      </x:c>
      <x:c r="AB1802" s="28" t="n">
        <x:f>J1802-K1802</x:f>
        <x:v>5</x:v>
      </x:c>
      <x:c r="AC1802" s="32" t="n">
        <x:f>F1802-G1802</x:f>
        <x:v>1</x:v>
      </x:c>
    </x:row>
    <x:row r="1803">
      <x:c r="A1803" s="4" t="str">
        <x:v>2023-24</x:v>
      </x:c>
      <x:c r="B1803" s="20" t="n">
        <x:v>45265</x:v>
      </x:c>
      <x:c r="C1803" s="4" t="str">
        <x:v>Burnley</x:v>
      </x:c>
      <x:c r="D1803" s="4" t="str">
        <x:v>Wolves</x:v>
      </x:c>
      <x:c r="E1803" s="4" t="str">
        <x:v>Away</x:v>
      </x:c>
      <x:c r="F1803" s="28" t="n">
        <x:v>0</x:v>
      </x:c>
      <x:c r="G1803" s="28" t="n">
        <x:v>1</x:v>
      </x:c>
      <x:c r="H1803" s="28" t="n">
        <x:v>12</x:v>
      </x:c>
      <x:c r="I1803" s="28" t="n">
        <x:v>7</x:v>
      </x:c>
      <x:c r="J1803" s="28" t="n">
        <x:v>3</x:v>
      </x:c>
      <x:c r="K1803" s="28" t="n">
        <x:v>4</x:v>
      </x:c>
      <x:c r="L1803" s="28" t="n">
        <x:v>8</x:v>
      </x:c>
      <x:c r="M1803" s="28" t="n">
        <x:v>6</x:v>
      </x:c>
      <x:c r="N1803" s="28" t="n">
        <x:v>4</x:v>
      </x:c>
      <x:c r="O1803" s="28" t="n">
        <x:v>0</x:v>
      </x:c>
      <x:c r="P1803" s="28" t="n">
        <x:v>0</x:v>
      </x:c>
      <x:c r="Q1803" s="24" t="n">
        <x:f>IFERROR(J1803/H1803,0)</x:f>
        <x:v>0.25</x:v>
      </x:c>
      <x:c r="R1803" s="24" t="n">
        <x:f>IFERROR(F1803/H1803,0)</x:f>
        <x:v>0</x:v>
      </x:c>
      <x:c r="S1803" s="24" t="n">
        <x:f>IFERROR(F1803/J1803,0)</x:f>
        <x:v>0</x:v>
      </x:c>
      <x:c r="T1803" s="28" t="n">
        <x:f>H1803-I1803</x:f>
        <x:v>5</x:v>
      </x:c>
      <x:c r="U1803" s="24" t="n">
        <x:f>IFERROR(J1803/H1803,0)-IFERROR(K1803/I1803,0)</x:f>
        <x:v>-0.3214285714285714</x:v>
      </x:c>
      <x:c r="V1803" s="24" t="n">
        <x:f>IFERROR(F1803/J1803,0)-IFERROR(G1803/K1803,0)</x:f>
        <x:v>-0.25</x:v>
      </x:c>
      <x:c r="W1803" s="28" t="n">
        <x:f>L1803-M1803</x:f>
        <x:v>2</x:v>
      </x:c>
      <x:c r="X1803" s="24" t="n">
        <x:f>IFERROR(K1803/I1803,0)</x:f>
        <x:v>0.5714285714285714</x:v>
      </x:c>
      <x:c r="Y1803" s="24" t="n">
        <x:f>IFERROR(G1803/I1803,0)</x:f>
        <x:v>0.14285714285714285</x:v>
      </x:c>
      <x:c r="Z1803" s="24" t="n">
        <x:f>IFERROR(G1803/K1803,0)</x:f>
        <x:v>0.25</x:v>
      </x:c>
      <x:c r="AA1803" s="24" t="n">
        <x:f>IFERROR(F1803/H1803,0)-IFERROR(G1803/I1803,0)</x:f>
        <x:v>-0.14285714285714285</x:v>
      </x:c>
      <x:c r="AB1803" s="28" t="n">
        <x:f>J1803-K1803</x:f>
        <x:v>-1</x:v>
      </x:c>
      <x:c r="AC1803" s="32" t="n">
        <x:f>F1803-G1803</x:f>
        <x:v>-1</x:v>
      </x:c>
    </x:row>
    <x:row r="1804">
      <x:c r="A1804" s="4" t="str">
        <x:v>2023-24</x:v>
      </x:c>
      <x:c r="B1804" s="20" t="n">
        <x:v>45265</x:v>
      </x:c>
      <x:c r="C1804" s="4" t="str">
        <x:v>Luton</x:v>
      </x:c>
      <x:c r="D1804" s="4" t="str">
        <x:v>Arsenal</x:v>
      </x:c>
      <x:c r="E1804" s="4" t="str">
        <x:v>Home</x:v>
      </x:c>
      <x:c r="F1804" s="28" t="n">
        <x:v>3</x:v>
      </x:c>
      <x:c r="G1804" s="28" t="n">
        <x:v>4</x:v>
      </x:c>
      <x:c r="H1804" s="28" t="n">
        <x:v>6</x:v>
      </x:c>
      <x:c r="I1804" s="28" t="n">
        <x:v>23</x:v>
      </x:c>
      <x:c r="J1804" s="28" t="n">
        <x:v>4</x:v>
      </x:c>
      <x:c r="K1804" s="28" t="n">
        <x:v>9</x:v>
      </x:c>
      <x:c r="L1804" s="28" t="n">
        <x:v>3</x:v>
      </x:c>
      <x:c r="M1804" s="28" t="n">
        <x:v>8</x:v>
      </x:c>
      <x:c r="N1804" s="28" t="n">
        <x:v>2</x:v>
      </x:c>
      <x:c r="O1804" s="28" t="n">
        <x:v>0</x:v>
      </x:c>
      <x:c r="P1804" s="28" t="n">
        <x:v>0</x:v>
      </x:c>
      <x:c r="Q1804" s="24" t="n">
        <x:f>IFERROR(J1804/H1804,0)</x:f>
        <x:v>0.6666666666666666</x:v>
      </x:c>
      <x:c r="R1804" s="24" t="n">
        <x:f>IFERROR(F1804/H1804,0)</x:f>
        <x:v>0.5</x:v>
      </x:c>
      <x:c r="S1804" s="24" t="n">
        <x:f>IFERROR(F1804/J1804,0)</x:f>
        <x:v>0.75</x:v>
      </x:c>
      <x:c r="T1804" s="28" t="n">
        <x:f>H1804-I1804</x:f>
        <x:v>-17</x:v>
      </x:c>
      <x:c r="U1804" s="24" t="n">
        <x:f>IFERROR(J1804/H1804,0)-IFERROR(K1804/I1804,0)</x:f>
        <x:v>0.27536231884057966</x:v>
      </x:c>
      <x:c r="V1804" s="24" t="n">
        <x:f>IFERROR(F1804/J1804,0)-IFERROR(G1804/K1804,0)</x:f>
        <x:v>0.3055555555555556</x:v>
      </x:c>
      <x:c r="W1804" s="28" t="n">
        <x:f>L1804-M1804</x:f>
        <x:v>-5</x:v>
      </x:c>
      <x:c r="X1804" s="24" t="n">
        <x:f>IFERROR(K1804/I1804,0)</x:f>
        <x:v>0.391304347826087</x:v>
      </x:c>
      <x:c r="Y1804" s="24" t="n">
        <x:f>IFERROR(G1804/I1804,0)</x:f>
        <x:v>0.17391304347826086</x:v>
      </x:c>
      <x:c r="Z1804" s="24" t="n">
        <x:f>IFERROR(G1804/K1804,0)</x:f>
        <x:v>0.4444444444444444</x:v>
      </x:c>
      <x:c r="AA1804" s="24" t="n">
        <x:f>IFERROR(F1804/H1804,0)-IFERROR(G1804/I1804,0)</x:f>
        <x:v>0.32608695652173914</x:v>
      </x:c>
      <x:c r="AB1804" s="28" t="n">
        <x:f>J1804-K1804</x:f>
        <x:v>-5</x:v>
      </x:c>
      <x:c r="AC1804" s="32" t="n">
        <x:f>F1804-G1804</x:f>
        <x:v>-1</x:v>
      </x:c>
    </x:row>
    <x:row r="1805">
      <x:c r="A1805" s="4" t="str">
        <x:v>2023-24</x:v>
      </x:c>
      <x:c r="B1805" s="20" t="n">
        <x:v>45265</x:v>
      </x:c>
      <x:c r="C1805" s="4" t="str">
        <x:v>Wolves</x:v>
      </x:c>
      <x:c r="D1805" s="4" t="str">
        <x:v>Burnley</x:v>
      </x:c>
      <x:c r="E1805" s="4" t="str">
        <x:v>Home</x:v>
      </x:c>
      <x:c r="F1805" s="28" t="n">
        <x:v>1</x:v>
      </x:c>
      <x:c r="G1805" s="28" t="n">
        <x:v>0</x:v>
      </x:c>
      <x:c r="H1805" s="28" t="n">
        <x:v>7</x:v>
      </x:c>
      <x:c r="I1805" s="28" t="n">
        <x:v>12</x:v>
      </x:c>
      <x:c r="J1805" s="28" t="n">
        <x:v>4</x:v>
      </x:c>
      <x:c r="K1805" s="28" t="n">
        <x:v>3</x:v>
      </x:c>
      <x:c r="L1805" s="28" t="n">
        <x:v>6</x:v>
      </x:c>
      <x:c r="M1805" s="28" t="n">
        <x:v>8</x:v>
      </x:c>
      <x:c r="N1805" s="28" t="n">
        <x:v>2</x:v>
      </x:c>
      <x:c r="O1805" s="28" t="n">
        <x:v>0</x:v>
      </x:c>
      <x:c r="P1805" s="28" t="n">
        <x:v>3</x:v>
      </x:c>
      <x:c r="Q1805" s="24" t="n">
        <x:f>IFERROR(J1805/H1805,0)</x:f>
        <x:v>0.5714285714285714</x:v>
      </x:c>
      <x:c r="R1805" s="24" t="n">
        <x:f>IFERROR(F1805/H1805,0)</x:f>
        <x:v>0.14285714285714285</x:v>
      </x:c>
      <x:c r="S1805" s="24" t="n">
        <x:f>IFERROR(F1805/J1805,0)</x:f>
        <x:v>0.25</x:v>
      </x:c>
      <x:c r="T1805" s="28" t="n">
        <x:f>H1805-I1805</x:f>
        <x:v>-5</x:v>
      </x:c>
      <x:c r="U1805" s="24" t="n">
        <x:f>IFERROR(J1805/H1805,0)-IFERROR(K1805/I1805,0)</x:f>
        <x:v>0.3214285714285714</x:v>
      </x:c>
      <x:c r="V1805" s="24" t="n">
        <x:f>IFERROR(F1805/J1805,0)-IFERROR(G1805/K1805,0)</x:f>
        <x:v>0.25</x:v>
      </x:c>
      <x:c r="W1805" s="28" t="n">
        <x:f>L1805-M1805</x:f>
        <x:v>-2</x:v>
      </x:c>
      <x:c r="X1805" s="24" t="n">
        <x:f>IFERROR(K1805/I1805,0)</x:f>
        <x:v>0.25</x:v>
      </x:c>
      <x:c r="Y1805" s="24" t="n">
        <x:f>IFERROR(G1805/I1805,0)</x:f>
        <x:v>0</x:v>
      </x:c>
      <x:c r="Z1805" s="24" t="n">
        <x:f>IFERROR(G1805/K1805,0)</x:f>
        <x:v>0</x:v>
      </x:c>
      <x:c r="AA1805" s="24" t="n">
        <x:f>IFERROR(F1805/H1805,0)-IFERROR(G1805/I1805,0)</x:f>
        <x:v>0.14285714285714285</x:v>
      </x:c>
      <x:c r="AB1805" s="28" t="n">
        <x:f>J1805-K1805</x:f>
        <x:v>1</x:v>
      </x:c>
      <x:c r="AC1805" s="32" t="n">
        <x:f>F1805-G1805</x:f>
        <x:v>1</x:v>
      </x:c>
    </x:row>
    <x:row r="1806">
      <x:c r="A1806" s="4" t="str">
        <x:v>2023-24</x:v>
      </x:c>
      <x:c r="B1806" s="20" t="n">
        <x:v>45266</x:v>
      </x:c>
      <x:c r="C1806" s="4" t="str">
        <x:v>Aston Villa</x:v>
      </x:c>
      <x:c r="D1806" s="4" t="str">
        <x:v>Man City</x:v>
      </x:c>
      <x:c r="E1806" s="4" t="str">
        <x:v>Home</x:v>
      </x:c>
      <x:c r="F1806" s="28" t="n">
        <x:v>1</x:v>
      </x:c>
      <x:c r="G1806" s="28" t="n">
        <x:v>0</x:v>
      </x:c>
      <x:c r="H1806" s="28" t="n">
        <x:v>22</x:v>
      </x:c>
      <x:c r="I1806" s="28" t="n">
        <x:v>2</x:v>
      </x:c>
      <x:c r="J1806" s="28" t="n">
        <x:v>7</x:v>
      </x:c>
      <x:c r="K1806" s="28" t="n">
        <x:v>2</x:v>
      </x:c>
      <x:c r="L1806" s="28" t="n">
        <x:v>6</x:v>
      </x:c>
      <x:c r="M1806" s="28" t="n">
        <x:v>0</x:v>
      </x:c>
      <x:c r="N1806" s="28" t="n">
        <x:v>2</x:v>
      </x:c>
      <x:c r="O1806" s="28" t="n">
        <x:v>0</x:v>
      </x:c>
      <x:c r="P1806" s="28" t="n">
        <x:v>3</x:v>
      </x:c>
      <x:c r="Q1806" s="24" t="n">
        <x:f>IFERROR(J1806/H1806,0)</x:f>
        <x:v>0.3181818181818182</x:v>
      </x:c>
      <x:c r="R1806" s="24" t="n">
        <x:f>IFERROR(F1806/H1806,0)</x:f>
        <x:v>0.045454545454545456</x:v>
      </x:c>
      <x:c r="S1806" s="24" t="n">
        <x:f>IFERROR(F1806/J1806,0)</x:f>
        <x:v>0.14285714285714285</x:v>
      </x:c>
      <x:c r="T1806" s="28" t="n">
        <x:f>H1806-I1806</x:f>
        <x:v>20</x:v>
      </x:c>
      <x:c r="U1806" s="24" t="n">
        <x:f>IFERROR(J1806/H1806,0)-IFERROR(K1806/I1806,0)</x:f>
        <x:v>-0.6818181818181819</x:v>
      </x:c>
      <x:c r="V1806" s="24" t="n">
        <x:f>IFERROR(F1806/J1806,0)-IFERROR(G1806/K1806,0)</x:f>
        <x:v>0.14285714285714285</x:v>
      </x:c>
      <x:c r="W1806" s="28" t="n">
        <x:f>L1806-M1806</x:f>
        <x:v>6</x:v>
      </x:c>
      <x:c r="X1806" s="24" t="n">
        <x:f>IFERROR(K1806/I1806,0)</x:f>
        <x:v>1</x:v>
      </x:c>
      <x:c r="Y1806" s="24" t="n">
        <x:f>IFERROR(G1806/I1806,0)</x:f>
        <x:v>0</x:v>
      </x:c>
      <x:c r="Z1806" s="24" t="n">
        <x:f>IFERROR(G1806/K1806,0)</x:f>
        <x:v>0</x:v>
      </x:c>
      <x:c r="AA1806" s="24" t="n">
        <x:f>IFERROR(F1806/H1806,0)-IFERROR(G1806/I1806,0)</x:f>
        <x:v>0.045454545454545456</x:v>
      </x:c>
      <x:c r="AB1806" s="28" t="n">
        <x:f>J1806-K1806</x:f>
        <x:v>5</x:v>
      </x:c>
      <x:c r="AC1806" s="32" t="n">
        <x:f>F1806-G1806</x:f>
        <x:v>1</x:v>
      </x:c>
    </x:row>
    <x:row r="1807">
      <x:c r="A1807" s="4" t="str">
        <x:v>2023-24</x:v>
      </x:c>
      <x:c r="B1807" s="20" t="n">
        <x:v>45266</x:v>
      </x:c>
      <x:c r="C1807" s="4" t="str">
        <x:v>Bournemouth</x:v>
      </x:c>
      <x:c r="D1807" s="4" t="str">
        <x:v>Crystal Palace</x:v>
      </x:c>
      <x:c r="E1807" s="4" t="str">
        <x:v>Away</x:v>
      </x:c>
      <x:c r="F1807" s="28" t="n">
        <x:v>2</x:v>
      </x:c>
      <x:c r="G1807" s="28" t="n">
        <x:v>0</x:v>
      </x:c>
      <x:c r="H1807" s="28" t="n">
        <x:v>11</x:v>
      </x:c>
      <x:c r="I1807" s="28" t="n">
        <x:v>16</x:v>
      </x:c>
      <x:c r="J1807" s="28" t="n">
        <x:v>4</x:v>
      </x:c>
      <x:c r="K1807" s="28" t="n">
        <x:v>3</x:v>
      </x:c>
      <x:c r="L1807" s="28" t="n">
        <x:v>9</x:v>
      </x:c>
      <x:c r="M1807" s="28" t="n">
        <x:v>3</x:v>
      </x:c>
      <x:c r="N1807" s="28" t="n">
        <x:v>3</x:v>
      </x:c>
      <x:c r="O1807" s="28" t="n">
        <x:v>0</x:v>
      </x:c>
      <x:c r="P1807" s="28" t="n">
        <x:v>3</x:v>
      </x:c>
      <x:c r="Q1807" s="24" t="n">
        <x:f>IFERROR(J1807/H1807,0)</x:f>
        <x:v>0.36363636363636365</x:v>
      </x:c>
      <x:c r="R1807" s="24" t="n">
        <x:f>IFERROR(F1807/H1807,0)</x:f>
        <x:v>0.18181818181818182</x:v>
      </x:c>
      <x:c r="S1807" s="24" t="n">
        <x:f>IFERROR(F1807/J1807,0)</x:f>
        <x:v>0.5</x:v>
      </x:c>
      <x:c r="T1807" s="28" t="n">
        <x:f>H1807-I1807</x:f>
        <x:v>-5</x:v>
      </x:c>
      <x:c r="U1807" s="24" t="n">
        <x:f>IFERROR(J1807/H1807,0)-IFERROR(K1807/I1807,0)</x:f>
        <x:v>0.17613636363636365</x:v>
      </x:c>
      <x:c r="V1807" s="24" t="n">
        <x:f>IFERROR(F1807/J1807,0)-IFERROR(G1807/K1807,0)</x:f>
        <x:v>0.5</x:v>
      </x:c>
      <x:c r="W1807" s="28" t="n">
        <x:f>L1807-M1807</x:f>
        <x:v>6</x:v>
      </x:c>
      <x:c r="X1807" s="24" t="n">
        <x:f>IFERROR(K1807/I1807,0)</x:f>
        <x:v>0.1875</x:v>
      </x:c>
      <x:c r="Y1807" s="24" t="n">
        <x:f>IFERROR(G1807/I1807,0)</x:f>
        <x:v>0</x:v>
      </x:c>
      <x:c r="Z1807" s="24" t="n">
        <x:f>IFERROR(G1807/K1807,0)</x:f>
        <x:v>0</x:v>
      </x:c>
      <x:c r="AA1807" s="24" t="n">
        <x:f>IFERROR(F1807/H1807,0)-IFERROR(G1807/I1807,0)</x:f>
        <x:v>0.18181818181818182</x:v>
      </x:c>
      <x:c r="AB1807" s="28" t="n">
        <x:f>J1807-K1807</x:f>
        <x:v>1</x:v>
      </x:c>
      <x:c r="AC1807" s="32" t="n">
        <x:f>F1807-G1807</x:f>
        <x:v>2</x:v>
      </x:c>
    </x:row>
    <x:row r="1808">
      <x:c r="A1808" s="4" t="str">
        <x:v>2023-24</x:v>
      </x:c>
      <x:c r="B1808" s="20" t="n">
        <x:v>45266</x:v>
      </x:c>
      <x:c r="C1808" s="4" t="str">
        <x:v>Brentford</x:v>
      </x:c>
      <x:c r="D1808" s="4" t="str">
        <x:v>Brighton</x:v>
      </x:c>
      <x:c r="E1808" s="4" t="str">
        <x:v>Away</x:v>
      </x:c>
      <x:c r="F1808" s="28" t="n">
        <x:v>1</x:v>
      </x:c>
      <x:c r="G1808" s="28" t="n">
        <x:v>2</x:v>
      </x:c>
      <x:c r="H1808" s="28" t="n">
        <x:v>8</x:v>
      </x:c>
      <x:c r="I1808" s="28" t="n">
        <x:v>18</x:v>
      </x:c>
      <x:c r="J1808" s="28" t="n">
        <x:v>2</x:v>
      </x:c>
      <x:c r="K1808" s="28" t="n">
        <x:v>7</x:v>
      </x:c>
      <x:c r="L1808" s="28" t="n">
        <x:v>3</x:v>
      </x:c>
      <x:c r="M1808" s="28" t="n">
        <x:v>7</x:v>
      </x:c>
      <x:c r="N1808" s="28" t="n">
        <x:v>1</x:v>
      </x:c>
      <x:c r="O1808" s="28" t="n">
        <x:v>0</x:v>
      </x:c>
      <x:c r="P1808" s="28" t="n">
        <x:v>0</x:v>
      </x:c>
      <x:c r="Q1808" s="24" t="n">
        <x:f>IFERROR(J1808/H1808,0)</x:f>
        <x:v>0.25</x:v>
      </x:c>
      <x:c r="R1808" s="24" t="n">
        <x:f>IFERROR(F1808/H1808,0)</x:f>
        <x:v>0.125</x:v>
      </x:c>
      <x:c r="S1808" s="24" t="n">
        <x:f>IFERROR(F1808/J1808,0)</x:f>
        <x:v>0.5</x:v>
      </x:c>
      <x:c r="T1808" s="28" t="n">
        <x:f>H1808-I1808</x:f>
        <x:v>-10</x:v>
      </x:c>
      <x:c r="U1808" s="24" t="n">
        <x:f>IFERROR(J1808/H1808,0)-IFERROR(K1808/I1808,0)</x:f>
        <x:v>-0.1388888888888889</x:v>
      </x:c>
      <x:c r="V1808" s="24" t="n">
        <x:f>IFERROR(F1808/J1808,0)-IFERROR(G1808/K1808,0)</x:f>
        <x:v>0.2142857142857143</x:v>
      </x:c>
      <x:c r="W1808" s="28" t="n">
        <x:f>L1808-M1808</x:f>
        <x:v>-4</x:v>
      </x:c>
      <x:c r="X1808" s="24" t="n">
        <x:f>IFERROR(K1808/I1808,0)</x:f>
        <x:v>0.3888888888888889</x:v>
      </x:c>
      <x:c r="Y1808" s="24" t="n">
        <x:f>IFERROR(G1808/I1808,0)</x:f>
        <x:v>0.1111111111111111</x:v>
      </x:c>
      <x:c r="Z1808" s="24" t="n">
        <x:f>IFERROR(G1808/K1808,0)</x:f>
        <x:v>0.2857142857142857</x:v>
      </x:c>
      <x:c r="AA1808" s="24" t="n">
        <x:f>IFERROR(F1808/H1808,0)-IFERROR(G1808/I1808,0)</x:f>
        <x:v>0.013888888888888895</x:v>
      </x:c>
      <x:c r="AB1808" s="28" t="n">
        <x:f>J1808-K1808</x:f>
        <x:v>-5</x:v>
      </x:c>
      <x:c r="AC1808" s="32" t="n">
        <x:f>F1808-G1808</x:f>
        <x:v>-1</x:v>
      </x:c>
    </x:row>
    <x:row r="1809">
      <x:c r="A1809" s="4" t="str">
        <x:v>2023-24</x:v>
      </x:c>
      <x:c r="B1809" s="20" t="n">
        <x:v>45266</x:v>
      </x:c>
      <x:c r="C1809" s="4" t="str">
        <x:v>Brighton</x:v>
      </x:c>
      <x:c r="D1809" s="4" t="str">
        <x:v>Brentford</x:v>
      </x:c>
      <x:c r="E1809" s="4" t="str">
        <x:v>Home</x:v>
      </x:c>
      <x:c r="F1809" s="28" t="n">
        <x:v>2</x:v>
      </x:c>
      <x:c r="G1809" s="28" t="n">
        <x:v>1</x:v>
      </x:c>
      <x:c r="H1809" s="28" t="n">
        <x:v>18</x:v>
      </x:c>
      <x:c r="I1809" s="28" t="n">
        <x:v>8</x:v>
      </x:c>
      <x:c r="J1809" s="28" t="n">
        <x:v>7</x:v>
      </x:c>
      <x:c r="K1809" s="28" t="n">
        <x:v>2</x:v>
      </x:c>
      <x:c r="L1809" s="28" t="n">
        <x:v>7</x:v>
      </x:c>
      <x:c r="M1809" s="28" t="n">
        <x:v>3</x:v>
      </x:c>
      <x:c r="N1809" s="28" t="n">
        <x:v>3</x:v>
      </x:c>
      <x:c r="O1809" s="28" t="n">
        <x:v>0</x:v>
      </x:c>
      <x:c r="P1809" s="28" t="n">
        <x:v>3</x:v>
      </x:c>
      <x:c r="Q1809" s="24" t="n">
        <x:f>IFERROR(J1809/H1809,0)</x:f>
        <x:v>0.3888888888888889</x:v>
      </x:c>
      <x:c r="R1809" s="24" t="n">
        <x:f>IFERROR(F1809/H1809,0)</x:f>
        <x:v>0.1111111111111111</x:v>
      </x:c>
      <x:c r="S1809" s="24" t="n">
        <x:f>IFERROR(F1809/J1809,0)</x:f>
        <x:v>0.2857142857142857</x:v>
      </x:c>
      <x:c r="T1809" s="28" t="n">
        <x:f>H1809-I1809</x:f>
        <x:v>10</x:v>
      </x:c>
      <x:c r="U1809" s="24" t="n">
        <x:f>IFERROR(J1809/H1809,0)-IFERROR(K1809/I1809,0)</x:f>
        <x:v>0.1388888888888889</x:v>
      </x:c>
      <x:c r="V1809" s="24" t="n">
        <x:f>IFERROR(F1809/J1809,0)-IFERROR(G1809/K1809,0)</x:f>
        <x:v>-0.2142857142857143</x:v>
      </x:c>
      <x:c r="W1809" s="28" t="n">
        <x:f>L1809-M1809</x:f>
        <x:v>4</x:v>
      </x:c>
      <x:c r="X1809" s="24" t="n">
        <x:f>IFERROR(K1809/I1809,0)</x:f>
        <x:v>0.25</x:v>
      </x:c>
      <x:c r="Y1809" s="24" t="n">
        <x:f>IFERROR(G1809/I1809,0)</x:f>
        <x:v>0.125</x:v>
      </x:c>
      <x:c r="Z1809" s="24" t="n">
        <x:f>IFERROR(G1809/K1809,0)</x:f>
        <x:v>0.5</x:v>
      </x:c>
      <x:c r="AA1809" s="24" t="n">
        <x:f>IFERROR(F1809/H1809,0)-IFERROR(G1809/I1809,0)</x:f>
        <x:v>-0.013888888888888895</x:v>
      </x:c>
      <x:c r="AB1809" s="28" t="n">
        <x:f>J1809-K1809</x:f>
        <x:v>5</x:v>
      </x:c>
      <x:c r="AC1809" s="32" t="n">
        <x:f>F1809-G1809</x:f>
        <x:v>1</x:v>
      </x:c>
    </x:row>
    <x:row r="1810">
      <x:c r="A1810" s="4" t="str">
        <x:v>2023-24</x:v>
      </x:c>
      <x:c r="B1810" s="20" t="n">
        <x:v>45266</x:v>
      </x:c>
      <x:c r="C1810" s="4" t="str">
        <x:v>Chelsea</x:v>
      </x:c>
      <x:c r="D1810" s="4" t="str">
        <x:v>Man United</x:v>
      </x:c>
      <x:c r="E1810" s="4" t="str">
        <x:v>Away</x:v>
      </x:c>
      <x:c r="F1810" s="28" t="n">
        <x:v>1</x:v>
      </x:c>
      <x:c r="G1810" s="28" t="n">
        <x:v>2</x:v>
      </x:c>
      <x:c r="H1810" s="28" t="n">
        <x:v>13</x:v>
      </x:c>
      <x:c r="I1810" s="28" t="n">
        <x:v>28</x:v>
      </x:c>
      <x:c r="J1810" s="28" t="n">
        <x:v>3</x:v>
      </x:c>
      <x:c r="K1810" s="28" t="n">
        <x:v>9</x:v>
      </x:c>
      <x:c r="L1810" s="28" t="n">
        <x:v>4</x:v>
      </x:c>
      <x:c r="M1810" s="28" t="n">
        <x:v>12</x:v>
      </x:c>
      <x:c r="N1810" s="28" t="n">
        <x:v>0</x:v>
      </x:c>
      <x:c r="O1810" s="28" t="n">
        <x:v>0</x:v>
      </x:c>
      <x:c r="P1810" s="28" t="n">
        <x:v>0</x:v>
      </x:c>
      <x:c r="Q1810" s="24" t="n">
        <x:f>IFERROR(J1810/H1810,0)</x:f>
        <x:v>0.23076923076923078</x:v>
      </x:c>
      <x:c r="R1810" s="24" t="n">
        <x:f>IFERROR(F1810/H1810,0)</x:f>
        <x:v>0.07692307692307693</x:v>
      </x:c>
      <x:c r="S1810" s="24" t="n">
        <x:f>IFERROR(F1810/J1810,0)</x:f>
        <x:v>0.3333333333333333</x:v>
      </x:c>
      <x:c r="T1810" s="28" t="n">
        <x:f>H1810-I1810</x:f>
        <x:v>-15</x:v>
      </x:c>
      <x:c r="U1810" s="24" t="n">
        <x:f>IFERROR(J1810/H1810,0)-IFERROR(K1810/I1810,0)</x:f>
        <x:v>-0.09065934065934067</x:v>
      </x:c>
      <x:c r="V1810" s="24" t="n">
        <x:f>IFERROR(F1810/J1810,0)-IFERROR(G1810/K1810,0)</x:f>
        <x:v>0.1111111111111111</x:v>
      </x:c>
      <x:c r="W1810" s="28" t="n">
        <x:f>L1810-M1810</x:f>
        <x:v>-8</x:v>
      </x:c>
      <x:c r="X1810" s="24" t="n">
        <x:f>IFERROR(K1810/I1810,0)</x:f>
        <x:v>0.32142857142857145</x:v>
      </x:c>
      <x:c r="Y1810" s="24" t="n">
        <x:f>IFERROR(G1810/I1810,0)</x:f>
        <x:v>0.07142857142857142</x:v>
      </x:c>
      <x:c r="Z1810" s="24" t="n">
        <x:f>IFERROR(G1810/K1810,0)</x:f>
        <x:v>0.2222222222222222</x:v>
      </x:c>
      <x:c r="AA1810" s="24" t="n">
        <x:f>IFERROR(F1810/H1810,0)-IFERROR(G1810/I1810,0)</x:f>
        <x:v>0.005494505494505503</x:v>
      </x:c>
      <x:c r="AB1810" s="28" t="n">
        <x:f>J1810-K1810</x:f>
        <x:v>-6</x:v>
      </x:c>
      <x:c r="AC1810" s="32" t="n">
        <x:f>F1810-G1810</x:f>
        <x:v>-1</x:v>
      </x:c>
    </x:row>
    <x:row r="1811">
      <x:c r="A1811" s="4" t="str">
        <x:v>2023-24</x:v>
      </x:c>
      <x:c r="B1811" s="20" t="n">
        <x:v>45266</x:v>
      </x:c>
      <x:c r="C1811" s="4" t="str">
        <x:v>Crystal Palace</x:v>
      </x:c>
      <x:c r="D1811" s="4" t="str">
        <x:v>Bournemouth</x:v>
      </x:c>
      <x:c r="E1811" s="4" t="str">
        <x:v>Home</x:v>
      </x:c>
      <x:c r="F1811" s="28" t="n">
        <x:v>0</x:v>
      </x:c>
      <x:c r="G1811" s="28" t="n">
        <x:v>2</x:v>
      </x:c>
      <x:c r="H1811" s="28" t="n">
        <x:v>16</x:v>
      </x:c>
      <x:c r="I1811" s="28" t="n">
        <x:v>11</x:v>
      </x:c>
      <x:c r="J1811" s="28" t="n">
        <x:v>3</x:v>
      </x:c>
      <x:c r="K1811" s="28" t="n">
        <x:v>4</x:v>
      </x:c>
      <x:c r="L1811" s="28" t="n">
        <x:v>3</x:v>
      </x:c>
      <x:c r="M1811" s="28" t="n">
        <x:v>9</x:v>
      </x:c>
      <x:c r="N1811" s="28" t="n">
        <x:v>1</x:v>
      </x:c>
      <x:c r="O1811" s="28" t="n">
        <x:v>0</x:v>
      </x:c>
      <x:c r="P1811" s="28" t="n">
        <x:v>0</x:v>
      </x:c>
      <x:c r="Q1811" s="24" t="n">
        <x:f>IFERROR(J1811/H1811,0)</x:f>
        <x:v>0.1875</x:v>
      </x:c>
      <x:c r="R1811" s="24" t="n">
        <x:f>IFERROR(F1811/H1811,0)</x:f>
        <x:v>0</x:v>
      </x:c>
      <x:c r="S1811" s="24" t="n">
        <x:f>IFERROR(F1811/J1811,0)</x:f>
        <x:v>0</x:v>
      </x:c>
      <x:c r="T1811" s="28" t="n">
        <x:f>H1811-I1811</x:f>
        <x:v>5</x:v>
      </x:c>
      <x:c r="U1811" s="24" t="n">
        <x:f>IFERROR(J1811/H1811,0)-IFERROR(K1811/I1811,0)</x:f>
        <x:v>-0.17613636363636365</x:v>
      </x:c>
      <x:c r="V1811" s="24" t="n">
        <x:f>IFERROR(F1811/J1811,0)-IFERROR(G1811/K1811,0)</x:f>
        <x:v>-0.5</x:v>
      </x:c>
      <x:c r="W1811" s="28" t="n">
        <x:f>L1811-M1811</x:f>
        <x:v>-6</x:v>
      </x:c>
      <x:c r="X1811" s="24" t="n">
        <x:f>IFERROR(K1811/I1811,0)</x:f>
        <x:v>0.36363636363636365</x:v>
      </x:c>
      <x:c r="Y1811" s="24" t="n">
        <x:f>IFERROR(G1811/I1811,0)</x:f>
        <x:v>0.18181818181818182</x:v>
      </x:c>
      <x:c r="Z1811" s="24" t="n">
        <x:f>IFERROR(G1811/K1811,0)</x:f>
        <x:v>0.5</x:v>
      </x:c>
      <x:c r="AA1811" s="24" t="n">
        <x:f>IFERROR(F1811/H1811,0)-IFERROR(G1811/I1811,0)</x:f>
        <x:v>-0.18181818181818182</x:v>
      </x:c>
      <x:c r="AB1811" s="28" t="n">
        <x:f>J1811-K1811</x:f>
        <x:v>-1</x:v>
      </x:c>
      <x:c r="AC1811" s="32" t="n">
        <x:f>F1811-G1811</x:f>
        <x:v>-2</x:v>
      </x:c>
    </x:row>
    <x:row r="1812">
      <x:c r="A1812" s="4" t="str">
        <x:v>2023-24</x:v>
      </x:c>
      <x:c r="B1812" s="20" t="n">
        <x:v>45266</x:v>
      </x:c>
      <x:c r="C1812" s="4" t="str">
        <x:v>Fulham</x:v>
      </x:c>
      <x:c r="D1812" s="4" t="str">
        <x:v>Nott'm Forest</x:v>
      </x:c>
      <x:c r="E1812" s="4" t="str">
        <x:v>Home</x:v>
      </x:c>
      <x:c r="F1812" s="28" t="n">
        <x:v>5</x:v>
      </x:c>
      <x:c r="G1812" s="28" t="n">
        <x:v>0</x:v>
      </x:c>
      <x:c r="H1812" s="28" t="n">
        <x:v>14</x:v>
      </x:c>
      <x:c r="I1812" s="28" t="n">
        <x:v>4</x:v>
      </x:c>
      <x:c r="J1812" s="28" t="n">
        <x:v>6</x:v>
      </x:c>
      <x:c r="K1812" s="28" t="n">
        <x:v>1</x:v>
      </x:c>
      <x:c r="L1812" s="28" t="n">
        <x:v>6</x:v>
      </x:c>
      <x:c r="M1812" s="28" t="n">
        <x:v>1</x:v>
      </x:c>
      <x:c r="N1812" s="28" t="n">
        <x:v>0</x:v>
      </x:c>
      <x:c r="O1812" s="28" t="n">
        <x:v>0</x:v>
      </x:c>
      <x:c r="P1812" s="28" t="n">
        <x:v>3</x:v>
      </x:c>
      <x:c r="Q1812" s="24" t="n">
        <x:f>IFERROR(J1812/H1812,0)</x:f>
        <x:v>0.42857142857142855</x:v>
      </x:c>
      <x:c r="R1812" s="24" t="n">
        <x:f>IFERROR(F1812/H1812,0)</x:f>
        <x:v>0.35714285714285715</x:v>
      </x:c>
      <x:c r="S1812" s="24" t="n">
        <x:f>IFERROR(F1812/J1812,0)</x:f>
        <x:v>0.8333333333333334</x:v>
      </x:c>
      <x:c r="T1812" s="28" t="n">
        <x:f>H1812-I1812</x:f>
        <x:v>10</x:v>
      </x:c>
      <x:c r="U1812" s="24" t="n">
        <x:f>IFERROR(J1812/H1812,0)-IFERROR(K1812/I1812,0)</x:f>
        <x:v>0.17857142857142855</x:v>
      </x:c>
      <x:c r="V1812" s="24" t="n">
        <x:f>IFERROR(F1812/J1812,0)-IFERROR(G1812/K1812,0)</x:f>
        <x:v>0.8333333333333334</x:v>
      </x:c>
      <x:c r="W1812" s="28" t="n">
        <x:f>L1812-M1812</x:f>
        <x:v>5</x:v>
      </x:c>
      <x:c r="X1812" s="24" t="n">
        <x:f>IFERROR(K1812/I1812,0)</x:f>
        <x:v>0.25</x:v>
      </x:c>
      <x:c r="Y1812" s="24" t="n">
        <x:f>IFERROR(G1812/I1812,0)</x:f>
        <x:v>0</x:v>
      </x:c>
      <x:c r="Z1812" s="24" t="n">
        <x:f>IFERROR(G1812/K1812,0)</x:f>
        <x:v>0</x:v>
      </x:c>
      <x:c r="AA1812" s="24" t="n">
        <x:f>IFERROR(F1812/H1812,0)-IFERROR(G1812/I1812,0)</x:f>
        <x:v>0.35714285714285715</x:v>
      </x:c>
      <x:c r="AB1812" s="28" t="n">
        <x:f>J1812-K1812</x:f>
        <x:v>5</x:v>
      </x:c>
      <x:c r="AC1812" s="32" t="n">
        <x:f>F1812-G1812</x:f>
        <x:v>5</x:v>
      </x:c>
    </x:row>
    <x:row r="1813">
      <x:c r="A1813" s="4" t="str">
        <x:v>2023-24</x:v>
      </x:c>
      <x:c r="B1813" s="20" t="n">
        <x:v>45266</x:v>
      </x:c>
      <x:c r="C1813" s="4" t="str">
        <x:v>Liverpool</x:v>
      </x:c>
      <x:c r="D1813" s="4" t="str">
        <x:v>Sheffield United</x:v>
      </x:c>
      <x:c r="E1813" s="4" t="str">
        <x:v>Away</x:v>
      </x:c>
      <x:c r="F1813" s="28" t="n">
        <x:v>2</x:v>
      </x:c>
      <x:c r="G1813" s="28" t="n">
        <x:v>0</x:v>
      </x:c>
      <x:c r="H1813" s="28" t="n">
        <x:v>15</x:v>
      </x:c>
      <x:c r="I1813" s="28" t="n">
        <x:v>6</x:v>
      </x:c>
      <x:c r="J1813" s="28" t="n">
        <x:v>8</x:v>
      </x:c>
      <x:c r="K1813" s="28" t="n">
        <x:v>1</x:v>
      </x:c>
      <x:c r="L1813" s="28" t="n">
        <x:v>12</x:v>
      </x:c>
      <x:c r="M1813" s="28" t="n">
        <x:v>2</x:v>
      </x:c>
      <x:c r="N1813" s="28" t="n">
        <x:v>3</x:v>
      </x:c>
      <x:c r="O1813" s="28" t="n">
        <x:v>0</x:v>
      </x:c>
      <x:c r="P1813" s="28" t="n">
        <x:v>3</x:v>
      </x:c>
      <x:c r="Q1813" s="24" t="n">
        <x:f>IFERROR(J1813/H1813,0)</x:f>
        <x:v>0.5333333333333333</x:v>
      </x:c>
      <x:c r="R1813" s="24" t="n">
        <x:f>IFERROR(F1813/H1813,0)</x:f>
        <x:v>0.13333333333333333</x:v>
      </x:c>
      <x:c r="S1813" s="24" t="n">
        <x:f>IFERROR(F1813/J1813,0)</x:f>
        <x:v>0.25</x:v>
      </x:c>
      <x:c r="T1813" s="28" t="n">
        <x:f>H1813-I1813</x:f>
        <x:v>9</x:v>
      </x:c>
      <x:c r="U1813" s="24" t="n">
        <x:f>IFERROR(J1813/H1813,0)-IFERROR(K1813/I1813,0)</x:f>
        <x:v>0.3666666666666667</x:v>
      </x:c>
      <x:c r="V1813" s="24" t="n">
        <x:f>IFERROR(F1813/J1813,0)-IFERROR(G1813/K1813,0)</x:f>
        <x:v>0.25</x:v>
      </x:c>
      <x:c r="W1813" s="28" t="n">
        <x:f>L1813-M1813</x:f>
        <x:v>10</x:v>
      </x:c>
      <x:c r="X1813" s="24" t="n">
        <x:f>IFERROR(K1813/I1813,0)</x:f>
        <x:v>0.16666666666666666</x:v>
      </x:c>
      <x:c r="Y1813" s="24" t="n">
        <x:f>IFERROR(G1813/I1813,0)</x:f>
        <x:v>0</x:v>
      </x:c>
      <x:c r="Z1813" s="24" t="n">
        <x:f>IFERROR(G1813/K1813,0)</x:f>
        <x:v>0</x:v>
      </x:c>
      <x:c r="AA1813" s="24" t="n">
        <x:f>IFERROR(F1813/H1813,0)-IFERROR(G1813/I1813,0)</x:f>
        <x:v>0.13333333333333333</x:v>
      </x:c>
      <x:c r="AB1813" s="28" t="n">
        <x:f>J1813-K1813</x:f>
        <x:v>7</x:v>
      </x:c>
      <x:c r="AC1813" s="32" t="n">
        <x:f>F1813-G1813</x:f>
        <x:v>2</x:v>
      </x:c>
    </x:row>
    <x:row r="1814">
      <x:c r="A1814" s="4" t="str">
        <x:v>2023-24</x:v>
      </x:c>
      <x:c r="B1814" s="20" t="n">
        <x:v>45266</x:v>
      </x:c>
      <x:c r="C1814" s="4" t="str">
        <x:v>Man City</x:v>
      </x:c>
      <x:c r="D1814" s="4" t="str">
        <x:v>Aston Villa</x:v>
      </x:c>
      <x:c r="E1814" s="4" t="str">
        <x:v>Away</x:v>
      </x:c>
      <x:c r="F1814" s="28" t="n">
        <x:v>0</x:v>
      </x:c>
      <x:c r="G1814" s="28" t="n">
        <x:v>1</x:v>
      </x:c>
      <x:c r="H1814" s="28" t="n">
        <x:v>2</x:v>
      </x:c>
      <x:c r="I1814" s="28" t="n">
        <x:v>22</x:v>
      </x:c>
      <x:c r="J1814" s="28" t="n">
        <x:v>2</x:v>
      </x:c>
      <x:c r="K1814" s="28" t="n">
        <x:v>7</x:v>
      </x:c>
      <x:c r="L1814" s="28" t="n">
        <x:v>0</x:v>
      </x:c>
      <x:c r="M1814" s="28" t="n">
        <x:v>6</x:v>
      </x:c>
      <x:c r="N1814" s="28" t="n">
        <x:v>2</x:v>
      </x:c>
      <x:c r="O1814" s="28" t="n">
        <x:v>0</x:v>
      </x:c>
      <x:c r="P1814" s="28" t="n">
        <x:v>0</x:v>
      </x:c>
      <x:c r="Q1814" s="24" t="n">
        <x:f>IFERROR(J1814/H1814,0)</x:f>
        <x:v>1</x:v>
      </x:c>
      <x:c r="R1814" s="24" t="n">
        <x:f>IFERROR(F1814/H1814,0)</x:f>
        <x:v>0</x:v>
      </x:c>
      <x:c r="S1814" s="24" t="n">
        <x:f>IFERROR(F1814/J1814,0)</x:f>
        <x:v>0</x:v>
      </x:c>
      <x:c r="T1814" s="28" t="n">
        <x:f>H1814-I1814</x:f>
        <x:v>-20</x:v>
      </x:c>
      <x:c r="U1814" s="24" t="n">
        <x:f>IFERROR(J1814/H1814,0)-IFERROR(K1814/I1814,0)</x:f>
        <x:v>0.6818181818181819</x:v>
      </x:c>
      <x:c r="V1814" s="24" t="n">
        <x:f>IFERROR(F1814/J1814,0)-IFERROR(G1814/K1814,0)</x:f>
        <x:v>-0.14285714285714285</x:v>
      </x:c>
      <x:c r="W1814" s="28" t="n">
        <x:f>L1814-M1814</x:f>
        <x:v>-6</x:v>
      </x:c>
      <x:c r="X1814" s="24" t="n">
        <x:f>IFERROR(K1814/I1814,0)</x:f>
        <x:v>0.3181818181818182</x:v>
      </x:c>
      <x:c r="Y1814" s="24" t="n">
        <x:f>IFERROR(G1814/I1814,0)</x:f>
        <x:v>0.045454545454545456</x:v>
      </x:c>
      <x:c r="Z1814" s="24" t="n">
        <x:f>IFERROR(G1814/K1814,0)</x:f>
        <x:v>0.14285714285714285</x:v>
      </x:c>
      <x:c r="AA1814" s="24" t="n">
        <x:f>IFERROR(F1814/H1814,0)-IFERROR(G1814/I1814,0)</x:f>
        <x:v>-0.045454545454545456</x:v>
      </x:c>
      <x:c r="AB1814" s="28" t="n">
        <x:f>J1814-K1814</x:f>
        <x:v>-5</x:v>
      </x:c>
      <x:c r="AC1814" s="32" t="n">
        <x:f>F1814-G1814</x:f>
        <x:v>-1</x:v>
      </x:c>
    </x:row>
    <x:row r="1815">
      <x:c r="A1815" s="4" t="str">
        <x:v>2023-24</x:v>
      </x:c>
      <x:c r="B1815" s="20" t="n">
        <x:v>45266</x:v>
      </x:c>
      <x:c r="C1815" s="4" t="str">
        <x:v>Man United</x:v>
      </x:c>
      <x:c r="D1815" s="4" t="str">
        <x:v>Chelsea</x:v>
      </x:c>
      <x:c r="E1815" s="4" t="str">
        <x:v>Home</x:v>
      </x:c>
      <x:c r="F1815" s="28" t="n">
        <x:v>2</x:v>
      </x:c>
      <x:c r="G1815" s="28" t="n">
        <x:v>1</x:v>
      </x:c>
      <x:c r="H1815" s="28" t="n">
        <x:v>28</x:v>
      </x:c>
      <x:c r="I1815" s="28" t="n">
        <x:v>13</x:v>
      </x:c>
      <x:c r="J1815" s="28" t="n">
        <x:v>9</x:v>
      </x:c>
      <x:c r="K1815" s="28" t="n">
        <x:v>3</x:v>
      </x:c>
      <x:c r="L1815" s="28" t="n">
        <x:v>12</x:v>
      </x:c>
      <x:c r="M1815" s="28" t="n">
        <x:v>4</x:v>
      </x:c>
      <x:c r="N1815" s="28" t="n">
        <x:v>4</x:v>
      </x:c>
      <x:c r="O1815" s="28" t="n">
        <x:v>0</x:v>
      </x:c>
      <x:c r="P1815" s="28" t="n">
        <x:v>3</x:v>
      </x:c>
      <x:c r="Q1815" s="24" t="n">
        <x:f>IFERROR(J1815/H1815,0)</x:f>
        <x:v>0.32142857142857145</x:v>
      </x:c>
      <x:c r="R1815" s="24" t="n">
        <x:f>IFERROR(F1815/H1815,0)</x:f>
        <x:v>0.07142857142857142</x:v>
      </x:c>
      <x:c r="S1815" s="24" t="n">
        <x:f>IFERROR(F1815/J1815,0)</x:f>
        <x:v>0.2222222222222222</x:v>
      </x:c>
      <x:c r="T1815" s="28" t="n">
        <x:f>H1815-I1815</x:f>
        <x:v>15</x:v>
      </x:c>
      <x:c r="U1815" s="24" t="n">
        <x:f>IFERROR(J1815/H1815,0)-IFERROR(K1815/I1815,0)</x:f>
        <x:v>0.09065934065934067</x:v>
      </x:c>
      <x:c r="V1815" s="24" t="n">
        <x:f>IFERROR(F1815/J1815,0)-IFERROR(G1815/K1815,0)</x:f>
        <x:v>-0.1111111111111111</x:v>
      </x:c>
      <x:c r="W1815" s="28" t="n">
        <x:f>L1815-M1815</x:f>
        <x:v>8</x:v>
      </x:c>
      <x:c r="X1815" s="24" t="n">
        <x:f>IFERROR(K1815/I1815,0)</x:f>
        <x:v>0.23076923076923078</x:v>
      </x:c>
      <x:c r="Y1815" s="24" t="n">
        <x:f>IFERROR(G1815/I1815,0)</x:f>
        <x:v>0.07692307692307693</x:v>
      </x:c>
      <x:c r="Z1815" s="24" t="n">
        <x:f>IFERROR(G1815/K1815,0)</x:f>
        <x:v>0.3333333333333333</x:v>
      </x:c>
      <x:c r="AA1815" s="24" t="n">
        <x:f>IFERROR(F1815/H1815,0)-IFERROR(G1815/I1815,0)</x:f>
        <x:v>-0.005494505494505503</x:v>
      </x:c>
      <x:c r="AB1815" s="28" t="n">
        <x:f>J1815-K1815</x:f>
        <x:v>6</x:v>
      </x:c>
      <x:c r="AC1815" s="32" t="n">
        <x:f>F1815-G1815</x:f>
        <x:v>1</x:v>
      </x:c>
    </x:row>
    <x:row r="1816">
      <x:c r="A1816" s="4" t="str">
        <x:v>2023-24</x:v>
      </x:c>
      <x:c r="B1816" s="20" t="n">
        <x:v>45266</x:v>
      </x:c>
      <x:c r="C1816" s="4" t="str">
        <x:v>Nott'm Forest</x:v>
      </x:c>
      <x:c r="D1816" s="4" t="str">
        <x:v>Fulham</x:v>
      </x:c>
      <x:c r="E1816" s="4" t="str">
        <x:v>Away</x:v>
      </x:c>
      <x:c r="F1816" s="28" t="n">
        <x:v>0</x:v>
      </x:c>
      <x:c r="G1816" s="28" t="n">
        <x:v>5</x:v>
      </x:c>
      <x:c r="H1816" s="28" t="n">
        <x:v>4</x:v>
      </x:c>
      <x:c r="I1816" s="28" t="n">
        <x:v>14</x:v>
      </x:c>
      <x:c r="J1816" s="28" t="n">
        <x:v>1</x:v>
      </x:c>
      <x:c r="K1816" s="28" t="n">
        <x:v>6</x:v>
      </x:c>
      <x:c r="L1816" s="28" t="n">
        <x:v>1</x:v>
      </x:c>
      <x:c r="M1816" s="28" t="n">
        <x:v>6</x:v>
      </x:c>
      <x:c r="N1816" s="28" t="n">
        <x:v>1</x:v>
      </x:c>
      <x:c r="O1816" s="28" t="n">
        <x:v>0</x:v>
      </x:c>
      <x:c r="P1816" s="28" t="n">
        <x:v>0</x:v>
      </x:c>
      <x:c r="Q1816" s="24" t="n">
        <x:f>IFERROR(J1816/H1816,0)</x:f>
        <x:v>0.25</x:v>
      </x:c>
      <x:c r="R1816" s="24" t="n">
        <x:f>IFERROR(F1816/H1816,0)</x:f>
        <x:v>0</x:v>
      </x:c>
      <x:c r="S1816" s="24" t="n">
        <x:f>IFERROR(F1816/J1816,0)</x:f>
        <x:v>0</x:v>
      </x:c>
      <x:c r="T1816" s="28" t="n">
        <x:f>H1816-I1816</x:f>
        <x:v>-10</x:v>
      </x:c>
      <x:c r="U1816" s="24" t="n">
        <x:f>IFERROR(J1816/H1816,0)-IFERROR(K1816/I1816,0)</x:f>
        <x:v>-0.17857142857142855</x:v>
      </x:c>
      <x:c r="V1816" s="24" t="n">
        <x:f>IFERROR(F1816/J1816,0)-IFERROR(G1816/K1816,0)</x:f>
        <x:v>-0.8333333333333334</x:v>
      </x:c>
      <x:c r="W1816" s="28" t="n">
        <x:f>L1816-M1816</x:f>
        <x:v>-5</x:v>
      </x:c>
      <x:c r="X1816" s="24" t="n">
        <x:f>IFERROR(K1816/I1816,0)</x:f>
        <x:v>0.42857142857142855</x:v>
      </x:c>
      <x:c r="Y1816" s="24" t="n">
        <x:f>IFERROR(G1816/I1816,0)</x:f>
        <x:v>0.35714285714285715</x:v>
      </x:c>
      <x:c r="Z1816" s="24" t="n">
        <x:f>IFERROR(G1816/K1816,0)</x:f>
        <x:v>0.8333333333333334</x:v>
      </x:c>
      <x:c r="AA1816" s="24" t="n">
        <x:f>IFERROR(F1816/H1816,0)-IFERROR(G1816/I1816,0)</x:f>
        <x:v>-0.35714285714285715</x:v>
      </x:c>
      <x:c r="AB1816" s="28" t="n">
        <x:f>J1816-K1816</x:f>
        <x:v>-5</x:v>
      </x:c>
      <x:c r="AC1816" s="32" t="n">
        <x:f>F1816-G1816</x:f>
        <x:v>-5</x:v>
      </x:c>
    </x:row>
    <x:row r="1817">
      <x:c r="A1817" s="4" t="str">
        <x:v>2023-24</x:v>
      </x:c>
      <x:c r="B1817" s="20" t="n">
        <x:v>45266</x:v>
      </x:c>
      <x:c r="C1817" s="4" t="str">
        <x:v>Sheffield United</x:v>
      </x:c>
      <x:c r="D1817" s="4" t="str">
        <x:v>Liverpool</x:v>
      </x:c>
      <x:c r="E1817" s="4" t="str">
        <x:v>Home</x:v>
      </x:c>
      <x:c r="F1817" s="28" t="n">
        <x:v>0</x:v>
      </x:c>
      <x:c r="G1817" s="28" t="n">
        <x:v>2</x:v>
      </x:c>
      <x:c r="H1817" s="28" t="n">
        <x:v>6</x:v>
      </x:c>
      <x:c r="I1817" s="28" t="n">
        <x:v>15</x:v>
      </x:c>
      <x:c r="J1817" s="28" t="n">
        <x:v>1</x:v>
      </x:c>
      <x:c r="K1817" s="28" t="n">
        <x:v>8</x:v>
      </x:c>
      <x:c r="L1817" s="28" t="n">
        <x:v>2</x:v>
      </x:c>
      <x:c r="M1817" s="28" t="n">
        <x:v>12</x:v>
      </x:c>
      <x:c r="N1817" s="28" t="n">
        <x:v>2</x:v>
      </x:c>
      <x:c r="O1817" s="28" t="n">
        <x:v>0</x:v>
      </x:c>
      <x:c r="P1817" s="28" t="n">
        <x:v>0</x:v>
      </x:c>
      <x:c r="Q1817" s="24" t="n">
        <x:f>IFERROR(J1817/H1817,0)</x:f>
        <x:v>0.16666666666666666</x:v>
      </x:c>
      <x:c r="R1817" s="24" t="n">
        <x:f>IFERROR(F1817/H1817,0)</x:f>
        <x:v>0</x:v>
      </x:c>
      <x:c r="S1817" s="24" t="n">
        <x:f>IFERROR(F1817/J1817,0)</x:f>
        <x:v>0</x:v>
      </x:c>
      <x:c r="T1817" s="28" t="n">
        <x:f>H1817-I1817</x:f>
        <x:v>-9</x:v>
      </x:c>
      <x:c r="U1817" s="24" t="n">
        <x:f>IFERROR(J1817/H1817,0)-IFERROR(K1817/I1817,0)</x:f>
        <x:v>-0.3666666666666667</x:v>
      </x:c>
      <x:c r="V1817" s="24" t="n">
        <x:f>IFERROR(F1817/J1817,0)-IFERROR(G1817/K1817,0)</x:f>
        <x:v>-0.25</x:v>
      </x:c>
      <x:c r="W1817" s="28" t="n">
        <x:f>L1817-M1817</x:f>
        <x:v>-10</x:v>
      </x:c>
      <x:c r="X1817" s="24" t="n">
        <x:f>IFERROR(K1817/I1817,0)</x:f>
        <x:v>0.5333333333333333</x:v>
      </x:c>
      <x:c r="Y1817" s="24" t="n">
        <x:f>IFERROR(G1817/I1817,0)</x:f>
        <x:v>0.13333333333333333</x:v>
      </x:c>
      <x:c r="Z1817" s="24" t="n">
        <x:f>IFERROR(G1817/K1817,0)</x:f>
        <x:v>0.25</x:v>
      </x:c>
      <x:c r="AA1817" s="24" t="n">
        <x:f>IFERROR(F1817/H1817,0)-IFERROR(G1817/I1817,0)</x:f>
        <x:v>-0.13333333333333333</x:v>
      </x:c>
      <x:c r="AB1817" s="28" t="n">
        <x:f>J1817-K1817</x:f>
        <x:v>-7</x:v>
      </x:c>
      <x:c r="AC1817" s="32" t="n">
        <x:f>F1817-G1817</x:f>
        <x:v>-2</x:v>
      </x:c>
    </x:row>
    <x:row r="1818">
      <x:c r="A1818" s="4" t="str">
        <x:v>2023-24</x:v>
      </x:c>
      <x:c r="B1818" s="20" t="n">
        <x:v>45267</x:v>
      </x:c>
      <x:c r="C1818" s="4" t="str">
        <x:v>Everton</x:v>
      </x:c>
      <x:c r="D1818" s="4" t="str">
        <x:v>Newcastle</x:v>
      </x:c>
      <x:c r="E1818" s="4" t="str">
        <x:v>Home</x:v>
      </x:c>
      <x:c r="F1818" s="28" t="n">
        <x:v>3</x:v>
      </x:c>
      <x:c r="G1818" s="28" t="n">
        <x:v>0</x:v>
      </x:c>
      <x:c r="H1818" s="28" t="n">
        <x:v>21</x:v>
      </x:c>
      <x:c r="I1818" s="28" t="n">
        <x:v>13</x:v>
      </x:c>
      <x:c r="J1818" s="28" t="n">
        <x:v>6</x:v>
      </x:c>
      <x:c r="K1818" s="28" t="n">
        <x:v>3</x:v>
      </x:c>
      <x:c r="L1818" s="28" t="n">
        <x:v>5</x:v>
      </x:c>
      <x:c r="M1818" s="28" t="n">
        <x:v>2</x:v>
      </x:c>
      <x:c r="N1818" s="28" t="n">
        <x:v>3</x:v>
      </x:c>
      <x:c r="O1818" s="28" t="n">
        <x:v>0</x:v>
      </x:c>
      <x:c r="P1818" s="28" t="n">
        <x:v>3</x:v>
      </x:c>
      <x:c r="Q1818" s="24" t="n">
        <x:f>IFERROR(J1818/H1818,0)</x:f>
        <x:v>0.2857142857142857</x:v>
      </x:c>
      <x:c r="R1818" s="24" t="n">
        <x:f>IFERROR(F1818/H1818,0)</x:f>
        <x:v>0.14285714285714285</x:v>
      </x:c>
      <x:c r="S1818" s="24" t="n">
        <x:f>IFERROR(F1818/J1818,0)</x:f>
        <x:v>0.5</x:v>
      </x:c>
      <x:c r="T1818" s="28" t="n">
        <x:f>H1818-I1818</x:f>
        <x:v>8</x:v>
      </x:c>
      <x:c r="U1818" s="24" t="n">
        <x:f>IFERROR(J1818/H1818,0)-IFERROR(K1818/I1818,0)</x:f>
        <x:v>0.054945054945054916</x:v>
      </x:c>
      <x:c r="V1818" s="24" t="n">
        <x:f>IFERROR(F1818/J1818,0)-IFERROR(G1818/K1818,0)</x:f>
        <x:v>0.5</x:v>
      </x:c>
      <x:c r="W1818" s="28" t="n">
        <x:f>L1818-M1818</x:f>
        <x:v>3</x:v>
      </x:c>
      <x:c r="X1818" s="24" t="n">
        <x:f>IFERROR(K1818/I1818,0)</x:f>
        <x:v>0.23076923076923078</x:v>
      </x:c>
      <x:c r="Y1818" s="24" t="n">
        <x:f>IFERROR(G1818/I1818,0)</x:f>
        <x:v>0</x:v>
      </x:c>
      <x:c r="Z1818" s="24" t="n">
        <x:f>IFERROR(G1818/K1818,0)</x:f>
        <x:v>0</x:v>
      </x:c>
      <x:c r="AA1818" s="24" t="n">
        <x:f>IFERROR(F1818/H1818,0)-IFERROR(G1818/I1818,0)</x:f>
        <x:v>0.14285714285714285</x:v>
      </x:c>
      <x:c r="AB1818" s="28" t="n">
        <x:f>J1818-K1818</x:f>
        <x:v>3</x:v>
      </x:c>
      <x:c r="AC1818" s="32" t="n">
        <x:f>F1818-G1818</x:f>
        <x:v>3</x:v>
      </x:c>
    </x:row>
    <x:row r="1819">
      <x:c r="A1819" s="4" t="str">
        <x:v>2023-24</x:v>
      </x:c>
      <x:c r="B1819" s="20" t="n">
        <x:v>45267</x:v>
      </x:c>
      <x:c r="C1819" s="4" t="str">
        <x:v>Newcastle</x:v>
      </x:c>
      <x:c r="D1819" s="4" t="str">
        <x:v>Everton</x:v>
      </x:c>
      <x:c r="E1819" s="4" t="str">
        <x:v>Away</x:v>
      </x:c>
      <x:c r="F1819" s="28" t="n">
        <x:v>0</x:v>
      </x:c>
      <x:c r="G1819" s="28" t="n">
        <x:v>3</x:v>
      </x:c>
      <x:c r="H1819" s="28" t="n">
        <x:v>13</x:v>
      </x:c>
      <x:c r="I1819" s="28" t="n">
        <x:v>21</x:v>
      </x:c>
      <x:c r="J1819" s="28" t="n">
        <x:v>3</x:v>
      </x:c>
      <x:c r="K1819" s="28" t="n">
        <x:v>6</x:v>
      </x:c>
      <x:c r="L1819" s="28" t="n">
        <x:v>2</x:v>
      </x:c>
      <x:c r="M1819" s="28" t="n">
        <x:v>5</x:v>
      </x:c>
      <x:c r="N1819" s="28" t="n">
        <x:v>0</x:v>
      </x:c>
      <x:c r="O1819" s="28" t="n">
        <x:v>0</x:v>
      </x:c>
      <x:c r="P1819" s="28" t="n">
        <x:v>0</x:v>
      </x:c>
      <x:c r="Q1819" s="24" t="n">
        <x:f>IFERROR(J1819/H1819,0)</x:f>
        <x:v>0.23076923076923078</x:v>
      </x:c>
      <x:c r="R1819" s="24" t="n">
        <x:f>IFERROR(F1819/H1819,0)</x:f>
        <x:v>0</x:v>
      </x:c>
      <x:c r="S1819" s="24" t="n">
        <x:f>IFERROR(F1819/J1819,0)</x:f>
        <x:v>0</x:v>
      </x:c>
      <x:c r="T1819" s="28" t="n">
        <x:f>H1819-I1819</x:f>
        <x:v>-8</x:v>
      </x:c>
      <x:c r="U1819" s="24" t="n">
        <x:f>IFERROR(J1819/H1819,0)-IFERROR(K1819/I1819,0)</x:f>
        <x:v>-0.054945054945054916</x:v>
      </x:c>
      <x:c r="V1819" s="24" t="n">
        <x:f>IFERROR(F1819/J1819,0)-IFERROR(G1819/K1819,0)</x:f>
        <x:v>-0.5</x:v>
      </x:c>
      <x:c r="W1819" s="28" t="n">
        <x:f>L1819-M1819</x:f>
        <x:v>-3</x:v>
      </x:c>
      <x:c r="X1819" s="24" t="n">
        <x:f>IFERROR(K1819/I1819,0)</x:f>
        <x:v>0.2857142857142857</x:v>
      </x:c>
      <x:c r="Y1819" s="24" t="n">
        <x:f>IFERROR(G1819/I1819,0)</x:f>
        <x:v>0.14285714285714285</x:v>
      </x:c>
      <x:c r="Z1819" s="24" t="n">
        <x:f>IFERROR(G1819/K1819,0)</x:f>
        <x:v>0.5</x:v>
      </x:c>
      <x:c r="AA1819" s="24" t="n">
        <x:f>IFERROR(F1819/H1819,0)-IFERROR(G1819/I1819,0)</x:f>
        <x:v>-0.14285714285714285</x:v>
      </x:c>
      <x:c r="AB1819" s="28" t="n">
        <x:f>J1819-K1819</x:f>
        <x:v>-3</x:v>
      </x:c>
      <x:c r="AC1819" s="32" t="n">
        <x:f>F1819-G1819</x:f>
        <x:v>-3</x:v>
      </x:c>
    </x:row>
    <x:row r="1820">
      <x:c r="A1820" s="4" t="str">
        <x:v>2023-24</x:v>
      </x:c>
      <x:c r="B1820" s="20" t="n">
        <x:v>45267</x:v>
      </x:c>
      <x:c r="C1820" s="4" t="str">
        <x:v>Tottenham</x:v>
      </x:c>
      <x:c r="D1820" s="4" t="str">
        <x:v>West Ham</x:v>
      </x:c>
      <x:c r="E1820" s="4" t="str">
        <x:v>Home</x:v>
      </x:c>
      <x:c r="F1820" s="28" t="n">
        <x:v>1</x:v>
      </x:c>
      <x:c r="G1820" s="28" t="n">
        <x:v>2</x:v>
      </x:c>
      <x:c r="H1820" s="28" t="n">
        <x:v>23</x:v>
      </x:c>
      <x:c r="I1820" s="28" t="n">
        <x:v>11</x:v>
      </x:c>
      <x:c r="J1820" s="28" t="n">
        <x:v>7</x:v>
      </x:c>
      <x:c r="K1820" s="28" t="n">
        <x:v>5</x:v>
      </x:c>
      <x:c r="L1820" s="28" t="n">
        <x:v>8</x:v>
      </x:c>
      <x:c r="M1820" s="28" t="n">
        <x:v>4</x:v>
      </x:c>
      <x:c r="N1820" s="28" t="n">
        <x:v>3</x:v>
      </x:c>
      <x:c r="O1820" s="28" t="n">
        <x:v>0</x:v>
      </x:c>
      <x:c r="P1820" s="28" t="n">
        <x:v>0</x:v>
      </x:c>
      <x:c r="Q1820" s="24" t="n">
        <x:f>IFERROR(J1820/H1820,0)</x:f>
        <x:v>0.30434782608695654</x:v>
      </x:c>
      <x:c r="R1820" s="24" t="n">
        <x:f>IFERROR(F1820/H1820,0)</x:f>
        <x:v>0.043478260869565216</x:v>
      </x:c>
      <x:c r="S1820" s="24" t="n">
        <x:f>IFERROR(F1820/J1820,0)</x:f>
        <x:v>0.14285714285714285</x:v>
      </x:c>
      <x:c r="T1820" s="28" t="n">
        <x:f>H1820-I1820</x:f>
        <x:v>12</x:v>
      </x:c>
      <x:c r="U1820" s="24" t="n">
        <x:f>IFERROR(J1820/H1820,0)-IFERROR(K1820/I1820,0)</x:f>
        <x:v>-0.150197628458498</x:v>
      </x:c>
      <x:c r="V1820" s="24" t="n">
        <x:f>IFERROR(F1820/J1820,0)-IFERROR(G1820/K1820,0)</x:f>
        <x:v>-0.2571428571428572</x:v>
      </x:c>
      <x:c r="W1820" s="28" t="n">
        <x:f>L1820-M1820</x:f>
        <x:v>4</x:v>
      </x:c>
      <x:c r="X1820" s="24" t="n">
        <x:f>IFERROR(K1820/I1820,0)</x:f>
        <x:v>0.45454545454545453</x:v>
      </x:c>
      <x:c r="Y1820" s="24" t="n">
        <x:f>IFERROR(G1820/I1820,0)</x:f>
        <x:v>0.18181818181818182</x:v>
      </x:c>
      <x:c r="Z1820" s="24" t="n">
        <x:f>IFERROR(G1820/K1820,0)</x:f>
        <x:v>0.4</x:v>
      </x:c>
      <x:c r="AA1820" s="24" t="n">
        <x:f>IFERROR(F1820/H1820,0)-IFERROR(G1820/I1820,0)</x:f>
        <x:v>-0.1383399209486166</x:v>
      </x:c>
      <x:c r="AB1820" s="28" t="n">
        <x:f>J1820-K1820</x:f>
        <x:v>2</x:v>
      </x:c>
      <x:c r="AC1820" s="32" t="n">
        <x:f>F1820-G1820</x:f>
        <x:v>-1</x:v>
      </x:c>
    </x:row>
    <x:row r="1821">
      <x:c r="A1821" s="4" t="str">
        <x:v>2023-24</x:v>
      </x:c>
      <x:c r="B1821" s="20" t="n">
        <x:v>45267</x:v>
      </x:c>
      <x:c r="C1821" s="4" t="str">
        <x:v>West Ham</x:v>
      </x:c>
      <x:c r="D1821" s="4" t="str">
        <x:v>Tottenham</x:v>
      </x:c>
      <x:c r="E1821" s="4" t="str">
        <x:v>Away</x:v>
      </x:c>
      <x:c r="F1821" s="28" t="n">
        <x:v>2</x:v>
      </x:c>
      <x:c r="G1821" s="28" t="n">
        <x:v>1</x:v>
      </x:c>
      <x:c r="H1821" s="28" t="n">
        <x:v>11</x:v>
      </x:c>
      <x:c r="I1821" s="28" t="n">
        <x:v>23</x:v>
      </x:c>
      <x:c r="J1821" s="28" t="n">
        <x:v>5</x:v>
      </x:c>
      <x:c r="K1821" s="28" t="n">
        <x:v>7</x:v>
      </x:c>
      <x:c r="L1821" s="28" t="n">
        <x:v>4</x:v>
      </x:c>
      <x:c r="M1821" s="28" t="n">
        <x:v>8</x:v>
      </x:c>
      <x:c r="N1821" s="28" t="n">
        <x:v>3</x:v>
      </x:c>
      <x:c r="O1821" s="28" t="n">
        <x:v>0</x:v>
      </x:c>
      <x:c r="P1821" s="28" t="n">
        <x:v>3</x:v>
      </x:c>
      <x:c r="Q1821" s="24" t="n">
        <x:f>IFERROR(J1821/H1821,0)</x:f>
        <x:v>0.45454545454545453</x:v>
      </x:c>
      <x:c r="R1821" s="24" t="n">
        <x:f>IFERROR(F1821/H1821,0)</x:f>
        <x:v>0.18181818181818182</x:v>
      </x:c>
      <x:c r="S1821" s="24" t="n">
        <x:f>IFERROR(F1821/J1821,0)</x:f>
        <x:v>0.4</x:v>
      </x:c>
      <x:c r="T1821" s="28" t="n">
        <x:f>H1821-I1821</x:f>
        <x:v>-12</x:v>
      </x:c>
      <x:c r="U1821" s="24" t="n">
        <x:f>IFERROR(J1821/H1821,0)-IFERROR(K1821/I1821,0)</x:f>
        <x:v>0.150197628458498</x:v>
      </x:c>
      <x:c r="V1821" s="24" t="n">
        <x:f>IFERROR(F1821/J1821,0)-IFERROR(G1821/K1821,0)</x:f>
        <x:v>0.2571428571428572</x:v>
      </x:c>
      <x:c r="W1821" s="28" t="n">
        <x:f>L1821-M1821</x:f>
        <x:v>-4</x:v>
      </x:c>
      <x:c r="X1821" s="24" t="n">
        <x:f>IFERROR(K1821/I1821,0)</x:f>
        <x:v>0.30434782608695654</x:v>
      </x:c>
      <x:c r="Y1821" s="24" t="n">
        <x:f>IFERROR(G1821/I1821,0)</x:f>
        <x:v>0.043478260869565216</x:v>
      </x:c>
      <x:c r="Z1821" s="24" t="n">
        <x:f>IFERROR(G1821/K1821,0)</x:f>
        <x:v>0.14285714285714285</x:v>
      </x:c>
      <x:c r="AA1821" s="24" t="n">
        <x:f>IFERROR(F1821/H1821,0)-IFERROR(G1821/I1821,0)</x:f>
        <x:v>0.1383399209486166</x:v>
      </x:c>
      <x:c r="AB1821" s="28" t="n">
        <x:f>J1821-K1821</x:f>
        <x:v>-2</x:v>
      </x:c>
      <x:c r="AC1821" s="32" t="n">
        <x:f>F1821-G1821</x:f>
        <x:v>1</x:v>
      </x:c>
    </x:row>
    <x:row r="1822">
      <x:c r="A1822" s="4" t="str">
        <x:v>2023-24</x:v>
      </x:c>
      <x:c r="B1822" s="20" t="n">
        <x:v>45269</x:v>
      </x:c>
      <x:c r="C1822" s="4" t="str">
        <x:v>Arsenal</x:v>
      </x:c>
      <x:c r="D1822" s="4" t="str">
        <x:v>Aston Villa</x:v>
      </x:c>
      <x:c r="E1822" s="4" t="str">
        <x:v>Away</x:v>
      </x:c>
      <x:c r="F1822" s="28" t="n">
        <x:v>0</x:v>
      </x:c>
      <x:c r="G1822" s="28" t="n">
        <x:v>1</x:v>
      </x:c>
      <x:c r="H1822" s="28" t="n">
        <x:v>12</x:v>
      </x:c>
      <x:c r="I1822" s="28" t="n">
        <x:v>10</x:v>
      </x:c>
      <x:c r="J1822" s="28" t="n">
        <x:v>5</x:v>
      </x:c>
      <x:c r="K1822" s="28" t="n">
        <x:v>3</x:v>
      </x:c>
      <x:c r="L1822" s="28" t="n">
        <x:v>3</x:v>
      </x:c>
      <x:c r="M1822" s="28" t="n">
        <x:v>3</x:v>
      </x:c>
      <x:c r="N1822" s="28" t="n">
        <x:v>2</x:v>
      </x:c>
      <x:c r="O1822" s="28" t="n">
        <x:v>0</x:v>
      </x:c>
      <x:c r="P1822" s="28" t="n">
        <x:v>0</x:v>
      </x:c>
      <x:c r="Q1822" s="24" t="n">
        <x:f>IFERROR(J1822/H1822,0)</x:f>
        <x:v>0.4166666666666667</x:v>
      </x:c>
      <x:c r="R1822" s="24" t="n">
        <x:f>IFERROR(F1822/H1822,0)</x:f>
        <x:v>0</x:v>
      </x:c>
      <x:c r="S1822" s="24" t="n">
        <x:f>IFERROR(F1822/J1822,0)</x:f>
        <x:v>0</x:v>
      </x:c>
      <x:c r="T1822" s="28" t="n">
        <x:f>H1822-I1822</x:f>
        <x:v>2</x:v>
      </x:c>
      <x:c r="U1822" s="24" t="n">
        <x:f>IFERROR(J1822/H1822,0)-IFERROR(K1822/I1822,0)</x:f>
        <x:v>0.1166666666666667</x:v>
      </x:c>
      <x:c r="V1822" s="24" t="n">
        <x:f>IFERROR(F1822/J1822,0)-IFERROR(G1822/K1822,0)</x:f>
        <x:v>-0.3333333333333333</x:v>
      </x:c>
      <x:c r="W1822" s="28" t="n">
        <x:f>L1822-M1822</x:f>
        <x:v>0</x:v>
      </x:c>
      <x:c r="X1822" s="24" t="n">
        <x:f>IFERROR(K1822/I1822,0)</x:f>
        <x:v>0.3</x:v>
      </x:c>
      <x:c r="Y1822" s="24" t="n">
        <x:f>IFERROR(G1822/I1822,0)</x:f>
        <x:v>0.1</x:v>
      </x:c>
      <x:c r="Z1822" s="24" t="n">
        <x:f>IFERROR(G1822/K1822,0)</x:f>
        <x:v>0.3333333333333333</x:v>
      </x:c>
      <x:c r="AA1822" s="24" t="n">
        <x:f>IFERROR(F1822/H1822,0)-IFERROR(G1822/I1822,0)</x:f>
        <x:v>-0.1</x:v>
      </x:c>
      <x:c r="AB1822" s="28" t="n">
        <x:f>J1822-K1822</x:f>
        <x:v>2</x:v>
      </x:c>
      <x:c r="AC1822" s="32" t="n">
        <x:f>F1822-G1822</x:f>
        <x:v>-1</x:v>
      </x:c>
    </x:row>
    <x:row r="1823">
      <x:c r="A1823" s="4" t="str">
        <x:v>2023-24</x:v>
      </x:c>
      <x:c r="B1823" s="20" t="n">
        <x:v>45269</x:v>
      </x:c>
      <x:c r="C1823" s="4" t="str">
        <x:v>Aston Villa</x:v>
      </x:c>
      <x:c r="D1823" s="4" t="str">
        <x:v>Arsenal</x:v>
      </x:c>
      <x:c r="E1823" s="4" t="str">
        <x:v>Home</x:v>
      </x:c>
      <x:c r="F1823" s="28" t="n">
        <x:v>1</x:v>
      </x:c>
      <x:c r="G1823" s="28" t="n">
        <x:v>0</x:v>
      </x:c>
      <x:c r="H1823" s="28" t="n">
        <x:v>10</x:v>
      </x:c>
      <x:c r="I1823" s="28" t="n">
        <x:v>12</x:v>
      </x:c>
      <x:c r="J1823" s="28" t="n">
        <x:v>3</x:v>
      </x:c>
      <x:c r="K1823" s="28" t="n">
        <x:v>5</x:v>
      </x:c>
      <x:c r="L1823" s="28" t="n">
        <x:v>3</x:v>
      </x:c>
      <x:c r="M1823" s="28" t="n">
        <x:v>3</x:v>
      </x:c>
      <x:c r="N1823" s="28" t="n">
        <x:v>4</x:v>
      </x:c>
      <x:c r="O1823" s="28" t="n">
        <x:v>0</x:v>
      </x:c>
      <x:c r="P1823" s="28" t="n">
        <x:v>3</x:v>
      </x:c>
      <x:c r="Q1823" s="24" t="n">
        <x:f>IFERROR(J1823/H1823,0)</x:f>
        <x:v>0.3</x:v>
      </x:c>
      <x:c r="R1823" s="24" t="n">
        <x:f>IFERROR(F1823/H1823,0)</x:f>
        <x:v>0.1</x:v>
      </x:c>
      <x:c r="S1823" s="24" t="n">
        <x:f>IFERROR(F1823/J1823,0)</x:f>
        <x:v>0.3333333333333333</x:v>
      </x:c>
      <x:c r="T1823" s="28" t="n">
        <x:f>H1823-I1823</x:f>
        <x:v>-2</x:v>
      </x:c>
      <x:c r="U1823" s="24" t="n">
        <x:f>IFERROR(J1823/H1823,0)-IFERROR(K1823/I1823,0)</x:f>
        <x:v>-0.1166666666666667</x:v>
      </x:c>
      <x:c r="V1823" s="24" t="n">
        <x:f>IFERROR(F1823/J1823,0)-IFERROR(G1823/K1823,0)</x:f>
        <x:v>0.3333333333333333</x:v>
      </x:c>
      <x:c r="W1823" s="28" t="n">
        <x:f>L1823-M1823</x:f>
        <x:v>0</x:v>
      </x:c>
      <x:c r="X1823" s="24" t="n">
        <x:f>IFERROR(K1823/I1823,0)</x:f>
        <x:v>0.4166666666666667</x:v>
      </x:c>
      <x:c r="Y1823" s="24" t="n">
        <x:f>IFERROR(G1823/I1823,0)</x:f>
        <x:v>0</x:v>
      </x:c>
      <x:c r="Z1823" s="24" t="n">
        <x:f>IFERROR(G1823/K1823,0)</x:f>
        <x:v>0</x:v>
      </x:c>
      <x:c r="AA1823" s="24" t="n">
        <x:f>IFERROR(F1823/H1823,0)-IFERROR(G1823/I1823,0)</x:f>
        <x:v>0.1</x:v>
      </x:c>
      <x:c r="AB1823" s="28" t="n">
        <x:f>J1823-K1823</x:f>
        <x:v>-2</x:v>
      </x:c>
      <x:c r="AC1823" s="32" t="n">
        <x:f>F1823-G1823</x:f>
        <x:v>1</x:v>
      </x:c>
    </x:row>
    <x:row r="1824">
      <x:c r="A1824" s="4" t="str">
        <x:v>2023-24</x:v>
      </x:c>
      <x:c r="B1824" s="20" t="n">
        <x:v>45269</x:v>
      </x:c>
      <x:c r="C1824" s="4" t="str">
        <x:v>Bournemouth</x:v>
      </x:c>
      <x:c r="D1824" s="4" t="str">
        <x:v>Man United</x:v>
      </x:c>
      <x:c r="E1824" s="4" t="str">
        <x:v>Away</x:v>
      </x:c>
      <x:c r="F1824" s="28" t="n">
        <x:v>3</x:v>
      </x:c>
      <x:c r="G1824" s="28" t="n">
        <x:v>0</x:v>
      </x:c>
      <x:c r="H1824" s="28" t="n">
        <x:v>10</x:v>
      </x:c>
      <x:c r="I1824" s="28" t="n">
        <x:v>20</x:v>
      </x:c>
      <x:c r="J1824" s="28" t="n">
        <x:v>4</x:v>
      </x:c>
      <x:c r="K1824" s="28" t="n">
        <x:v>3</x:v>
      </x:c>
      <x:c r="L1824" s="28" t="n">
        <x:v>4</x:v>
      </x:c>
      <x:c r="M1824" s="28" t="n">
        <x:v>10</x:v>
      </x:c>
      <x:c r="N1824" s="28" t="n">
        <x:v>1</x:v>
      </x:c>
      <x:c r="O1824" s="28" t="n">
        <x:v>0</x:v>
      </x:c>
      <x:c r="P1824" s="28" t="n">
        <x:v>3</x:v>
      </x:c>
      <x:c r="Q1824" s="24" t="n">
        <x:f>IFERROR(J1824/H1824,0)</x:f>
        <x:v>0.4</x:v>
      </x:c>
      <x:c r="R1824" s="24" t="n">
        <x:f>IFERROR(F1824/H1824,0)</x:f>
        <x:v>0.3</x:v>
      </x:c>
      <x:c r="S1824" s="24" t="n">
        <x:f>IFERROR(F1824/J1824,0)</x:f>
        <x:v>0.75</x:v>
      </x:c>
      <x:c r="T1824" s="28" t="n">
        <x:f>H1824-I1824</x:f>
        <x:v>-10</x:v>
      </x:c>
      <x:c r="U1824" s="24" t="n">
        <x:f>IFERROR(J1824/H1824,0)-IFERROR(K1824/I1824,0)</x:f>
        <x:v>0.25</x:v>
      </x:c>
      <x:c r="V1824" s="24" t="n">
        <x:f>IFERROR(F1824/J1824,0)-IFERROR(G1824/K1824,0)</x:f>
        <x:v>0.75</x:v>
      </x:c>
      <x:c r="W1824" s="28" t="n">
        <x:f>L1824-M1824</x:f>
        <x:v>-6</x:v>
      </x:c>
      <x:c r="X1824" s="24" t="n">
        <x:f>IFERROR(K1824/I1824,0)</x:f>
        <x:v>0.15</x:v>
      </x:c>
      <x:c r="Y1824" s="24" t="n">
        <x:f>IFERROR(G1824/I1824,0)</x:f>
        <x:v>0</x:v>
      </x:c>
      <x:c r="Z1824" s="24" t="n">
        <x:f>IFERROR(G1824/K1824,0)</x:f>
        <x:v>0</x:v>
      </x:c>
      <x:c r="AA1824" s="24" t="n">
        <x:f>IFERROR(F1824/H1824,0)-IFERROR(G1824/I1824,0)</x:f>
        <x:v>0.3</x:v>
      </x:c>
      <x:c r="AB1824" s="28" t="n">
        <x:f>J1824-K1824</x:f>
        <x:v>1</x:v>
      </x:c>
      <x:c r="AC1824" s="32" t="n">
        <x:f>F1824-G1824</x:f>
        <x:v>3</x:v>
      </x:c>
    </x:row>
    <x:row r="1825">
      <x:c r="A1825" s="4" t="str">
        <x:v>2023-24</x:v>
      </x:c>
      <x:c r="B1825" s="20" t="n">
        <x:v>45269</x:v>
      </x:c>
      <x:c r="C1825" s="4" t="str">
        <x:v>Brentford</x:v>
      </x:c>
      <x:c r="D1825" s="4" t="str">
        <x:v>Sheffield United</x:v>
      </x:c>
      <x:c r="E1825" s="4" t="str">
        <x:v>Away</x:v>
      </x:c>
      <x:c r="F1825" s="28" t="n">
        <x:v>0</x:v>
      </x:c>
      <x:c r="G1825" s="28" t="n">
        <x:v>1</x:v>
      </x:c>
      <x:c r="H1825" s="28" t="n">
        <x:v>10</x:v>
      </x:c>
      <x:c r="I1825" s="28" t="n">
        <x:v>9</x:v>
      </x:c>
      <x:c r="J1825" s="28" t="n">
        <x:v>4</x:v>
      </x:c>
      <x:c r="K1825" s="28" t="n">
        <x:v>4</x:v>
      </x:c>
      <x:c r="L1825" s="28" t="n">
        <x:v>4</x:v>
      </x:c>
      <x:c r="M1825" s="28" t="n">
        <x:v>3</x:v>
      </x:c>
      <x:c r="N1825" s="28" t="n">
        <x:v>1</x:v>
      </x:c>
      <x:c r="O1825" s="28" t="n">
        <x:v>0</x:v>
      </x:c>
      <x:c r="P1825" s="28" t="n">
        <x:v>0</x:v>
      </x:c>
      <x:c r="Q1825" s="24" t="n">
        <x:f>IFERROR(J1825/H1825,0)</x:f>
        <x:v>0.4</x:v>
      </x:c>
      <x:c r="R1825" s="24" t="n">
        <x:f>IFERROR(F1825/H1825,0)</x:f>
        <x:v>0</x:v>
      </x:c>
      <x:c r="S1825" s="24" t="n">
        <x:f>IFERROR(F1825/J1825,0)</x:f>
        <x:v>0</x:v>
      </x:c>
      <x:c r="T1825" s="28" t="n">
        <x:f>H1825-I1825</x:f>
        <x:v>1</x:v>
      </x:c>
      <x:c r="U1825" s="24" t="n">
        <x:f>IFERROR(J1825/H1825,0)-IFERROR(K1825/I1825,0)</x:f>
        <x:v>-0.0444444444444444</x:v>
      </x:c>
      <x:c r="V1825" s="24" t="n">
        <x:f>IFERROR(F1825/J1825,0)-IFERROR(G1825/K1825,0)</x:f>
        <x:v>-0.25</x:v>
      </x:c>
      <x:c r="W1825" s="28" t="n">
        <x:f>L1825-M1825</x:f>
        <x:v>1</x:v>
      </x:c>
      <x:c r="X1825" s="24" t="n">
        <x:f>IFERROR(K1825/I1825,0)</x:f>
        <x:v>0.4444444444444444</x:v>
      </x:c>
      <x:c r="Y1825" s="24" t="n">
        <x:f>IFERROR(G1825/I1825,0)</x:f>
        <x:v>0.1111111111111111</x:v>
      </x:c>
      <x:c r="Z1825" s="24" t="n">
        <x:f>IFERROR(G1825/K1825,0)</x:f>
        <x:v>0.25</x:v>
      </x:c>
      <x:c r="AA1825" s="24" t="n">
        <x:f>IFERROR(F1825/H1825,0)-IFERROR(G1825/I1825,0)</x:f>
        <x:v>-0.1111111111111111</x:v>
      </x:c>
      <x:c r="AB1825" s="28" t="n">
        <x:f>J1825-K1825</x:f>
        <x:v>0</x:v>
      </x:c>
      <x:c r="AC1825" s="32" t="n">
        <x:f>F1825-G1825</x:f>
        <x:v>-1</x:v>
      </x:c>
    </x:row>
    <x:row r="1826">
      <x:c r="A1826" s="4" t="str">
        <x:v>2023-24</x:v>
      </x:c>
      <x:c r="B1826" s="20" t="n">
        <x:v>45269</x:v>
      </x:c>
      <x:c r="C1826" s="4" t="str">
        <x:v>Brighton</x:v>
      </x:c>
      <x:c r="D1826" s="4" t="str">
        <x:v>Burnley</x:v>
      </x:c>
      <x:c r="E1826" s="4" t="str">
        <x:v>Home</x:v>
      </x:c>
      <x:c r="F1826" s="28" t="n">
        <x:v>1</x:v>
      </x:c>
      <x:c r="G1826" s="28" t="n">
        <x:v>1</x:v>
      </x:c>
      <x:c r="H1826" s="28" t="n">
        <x:v>29</x:v>
      </x:c>
      <x:c r="I1826" s="28" t="n">
        <x:v>6</x:v>
      </x:c>
      <x:c r="J1826" s="28" t="n">
        <x:v>11</x:v>
      </x:c>
      <x:c r="K1826" s="28" t="n">
        <x:v>3</x:v>
      </x:c>
      <x:c r="L1826" s="28" t="n">
        <x:v>9</x:v>
      </x:c>
      <x:c r="M1826" s="28" t="n">
        <x:v>1</x:v>
      </x:c>
      <x:c r="N1826" s="28" t="n">
        <x:v>0</x:v>
      </x:c>
      <x:c r="O1826" s="28" t="n">
        <x:v>0</x:v>
      </x:c>
      <x:c r="P1826" s="28" t="n">
        <x:v>1</x:v>
      </x:c>
      <x:c r="Q1826" s="24" t="n">
        <x:f>IFERROR(J1826/H1826,0)</x:f>
        <x:v>0.3793103448275862</x:v>
      </x:c>
      <x:c r="R1826" s="24" t="n">
        <x:f>IFERROR(F1826/H1826,0)</x:f>
        <x:v>0.034482758620689655</x:v>
      </x:c>
      <x:c r="S1826" s="24" t="n">
        <x:f>IFERROR(F1826/J1826,0)</x:f>
        <x:v>0.09090909090909091</x:v>
      </x:c>
      <x:c r="T1826" s="28" t="n">
        <x:f>H1826-I1826</x:f>
        <x:v>23</x:v>
      </x:c>
      <x:c r="U1826" s="24" t="n">
        <x:f>IFERROR(J1826/H1826,0)-IFERROR(K1826/I1826,0)</x:f>
        <x:v>-0.12068965517241381</x:v>
      </x:c>
      <x:c r="V1826" s="24" t="n">
        <x:f>IFERROR(F1826/J1826,0)-IFERROR(G1826/K1826,0)</x:f>
        <x:v>-0.2424242424242424</x:v>
      </x:c>
      <x:c r="W1826" s="28" t="n">
        <x:f>L1826-M1826</x:f>
        <x:v>8</x:v>
      </x:c>
      <x:c r="X1826" s="24" t="n">
        <x:f>IFERROR(K1826/I1826,0)</x:f>
        <x:v>0.5</x:v>
      </x:c>
      <x:c r="Y1826" s="24" t="n">
        <x:f>IFERROR(G1826/I1826,0)</x:f>
        <x:v>0.16666666666666666</x:v>
      </x:c>
      <x:c r="Z1826" s="24" t="n">
        <x:f>IFERROR(G1826/K1826,0)</x:f>
        <x:v>0.3333333333333333</x:v>
      </x:c>
      <x:c r="AA1826" s="24" t="n">
        <x:f>IFERROR(F1826/H1826,0)-IFERROR(G1826/I1826,0)</x:f>
        <x:v>-0.13218390804597702</x:v>
      </x:c>
      <x:c r="AB1826" s="28" t="n">
        <x:f>J1826-K1826</x:f>
        <x:v>8</x:v>
      </x:c>
      <x:c r="AC1826" s="32" t="n">
        <x:f>F1826-G1826</x:f>
        <x:v>0</x:v>
      </x:c>
    </x:row>
    <x:row r="1827">
      <x:c r="A1827" s="4" t="str">
        <x:v>2023-24</x:v>
      </x:c>
      <x:c r="B1827" s="20" t="n">
        <x:v>45269</x:v>
      </x:c>
      <x:c r="C1827" s="4" t="str">
        <x:v>Burnley</x:v>
      </x:c>
      <x:c r="D1827" s="4" t="str">
        <x:v>Brighton</x:v>
      </x:c>
      <x:c r="E1827" s="4" t="str">
        <x:v>Away</x:v>
      </x:c>
      <x:c r="F1827" s="28" t="n">
        <x:v>1</x:v>
      </x:c>
      <x:c r="G1827" s="28" t="n">
        <x:v>1</x:v>
      </x:c>
      <x:c r="H1827" s="28" t="n">
        <x:v>6</x:v>
      </x:c>
      <x:c r="I1827" s="28" t="n">
        <x:v>29</x:v>
      </x:c>
      <x:c r="J1827" s="28" t="n">
        <x:v>3</x:v>
      </x:c>
      <x:c r="K1827" s="28" t="n">
        <x:v>11</x:v>
      </x:c>
      <x:c r="L1827" s="28" t="n">
        <x:v>1</x:v>
      </x:c>
      <x:c r="M1827" s="28" t="n">
        <x:v>9</x:v>
      </x:c>
      <x:c r="N1827" s="28" t="n">
        <x:v>4</x:v>
      </x:c>
      <x:c r="O1827" s="28" t="n">
        <x:v>0</x:v>
      </x:c>
      <x:c r="P1827" s="28" t="n">
        <x:v>1</x:v>
      </x:c>
      <x:c r="Q1827" s="24" t="n">
        <x:f>IFERROR(J1827/H1827,0)</x:f>
        <x:v>0.5</x:v>
      </x:c>
      <x:c r="R1827" s="24" t="n">
        <x:f>IFERROR(F1827/H1827,0)</x:f>
        <x:v>0.16666666666666666</x:v>
      </x:c>
      <x:c r="S1827" s="24" t="n">
        <x:f>IFERROR(F1827/J1827,0)</x:f>
        <x:v>0.3333333333333333</x:v>
      </x:c>
      <x:c r="T1827" s="28" t="n">
        <x:f>H1827-I1827</x:f>
        <x:v>-23</x:v>
      </x:c>
      <x:c r="U1827" s="24" t="n">
        <x:f>IFERROR(J1827/H1827,0)-IFERROR(K1827/I1827,0)</x:f>
        <x:v>0.12068965517241381</x:v>
      </x:c>
      <x:c r="V1827" s="24" t="n">
        <x:f>IFERROR(F1827/J1827,0)-IFERROR(G1827/K1827,0)</x:f>
        <x:v>0.2424242424242424</x:v>
      </x:c>
      <x:c r="W1827" s="28" t="n">
        <x:f>L1827-M1827</x:f>
        <x:v>-8</x:v>
      </x:c>
      <x:c r="X1827" s="24" t="n">
        <x:f>IFERROR(K1827/I1827,0)</x:f>
        <x:v>0.3793103448275862</x:v>
      </x:c>
      <x:c r="Y1827" s="24" t="n">
        <x:f>IFERROR(G1827/I1827,0)</x:f>
        <x:v>0.034482758620689655</x:v>
      </x:c>
      <x:c r="Z1827" s="24" t="n">
        <x:f>IFERROR(G1827/K1827,0)</x:f>
        <x:v>0.09090909090909091</x:v>
      </x:c>
      <x:c r="AA1827" s="24" t="n">
        <x:f>IFERROR(F1827/H1827,0)-IFERROR(G1827/I1827,0)</x:f>
        <x:v>0.13218390804597702</x:v>
      </x:c>
      <x:c r="AB1827" s="28" t="n">
        <x:f>J1827-K1827</x:f>
        <x:v>-8</x:v>
      </x:c>
      <x:c r="AC1827" s="32" t="n">
        <x:f>F1827-G1827</x:f>
        <x:v>0</x:v>
      </x:c>
    </x:row>
    <x:row r="1828">
      <x:c r="A1828" s="4" t="str">
        <x:v>2023-24</x:v>
      </x:c>
      <x:c r="B1828" s="20" t="n">
        <x:v>45269</x:v>
      </x:c>
      <x:c r="C1828" s="4" t="str">
        <x:v>Crystal Palace</x:v>
      </x:c>
      <x:c r="D1828" s="4" t="str">
        <x:v>Liverpool</x:v>
      </x:c>
      <x:c r="E1828" s="4" t="str">
        <x:v>Home</x:v>
      </x:c>
      <x:c r="F1828" s="28" t="n">
        <x:v>1</x:v>
      </x:c>
      <x:c r="G1828" s="28" t="n">
        <x:v>2</x:v>
      </x:c>
      <x:c r="H1828" s="28" t="n">
        <x:v>8</x:v>
      </x:c>
      <x:c r="I1828" s="28" t="n">
        <x:v>14</x:v>
      </x:c>
      <x:c r="J1828" s="28" t="n">
        <x:v>4</x:v>
      </x:c>
      <x:c r="K1828" s="28" t="n">
        <x:v>2</x:v>
      </x:c>
      <x:c r="L1828" s="28" t="n">
        <x:v>6</x:v>
      </x:c>
      <x:c r="M1828" s="28" t="n">
        <x:v>5</x:v>
      </x:c>
      <x:c r="N1828" s="28" t="n">
        <x:v>5</x:v>
      </x:c>
      <x:c r="O1828" s="28" t="n">
        <x:v>1</x:v>
      </x:c>
      <x:c r="P1828" s="28" t="n">
        <x:v>0</x:v>
      </x:c>
      <x:c r="Q1828" s="24" t="n">
        <x:f>IFERROR(J1828/H1828,0)</x:f>
        <x:v>0.5</x:v>
      </x:c>
      <x:c r="R1828" s="24" t="n">
        <x:f>IFERROR(F1828/H1828,0)</x:f>
        <x:v>0.125</x:v>
      </x:c>
      <x:c r="S1828" s="24" t="n">
        <x:f>IFERROR(F1828/J1828,0)</x:f>
        <x:v>0.25</x:v>
      </x:c>
      <x:c r="T1828" s="28" t="n">
        <x:f>H1828-I1828</x:f>
        <x:v>-6</x:v>
      </x:c>
      <x:c r="U1828" s="24" t="n">
        <x:f>IFERROR(J1828/H1828,0)-IFERROR(K1828/I1828,0)</x:f>
        <x:v>0.35714285714285715</x:v>
      </x:c>
      <x:c r="V1828" s="24" t="n">
        <x:f>IFERROR(F1828/J1828,0)-IFERROR(G1828/K1828,0)</x:f>
        <x:v>-0.75</x:v>
      </x:c>
      <x:c r="W1828" s="28" t="n">
        <x:f>L1828-M1828</x:f>
        <x:v>1</x:v>
      </x:c>
      <x:c r="X1828" s="24" t="n">
        <x:f>IFERROR(K1828/I1828,0)</x:f>
        <x:v>0.14285714285714285</x:v>
      </x:c>
      <x:c r="Y1828" s="24" t="n">
        <x:f>IFERROR(G1828/I1828,0)</x:f>
        <x:v>0.14285714285714285</x:v>
      </x:c>
      <x:c r="Z1828" s="24" t="n">
        <x:f>IFERROR(G1828/K1828,0)</x:f>
        <x:v>1</x:v>
      </x:c>
      <x:c r="AA1828" s="24" t="n">
        <x:f>IFERROR(F1828/H1828,0)-IFERROR(G1828/I1828,0)</x:f>
        <x:v>-0.01785714285714285</x:v>
      </x:c>
      <x:c r="AB1828" s="28" t="n">
        <x:f>J1828-K1828</x:f>
        <x:v>2</x:v>
      </x:c>
      <x:c r="AC1828" s="32" t="n">
        <x:f>F1828-G1828</x:f>
        <x:v>-1</x:v>
      </x:c>
    </x:row>
    <x:row r="1829">
      <x:c r="A1829" s="4" t="str">
        <x:v>2023-24</x:v>
      </x:c>
      <x:c r="B1829" s="20" t="n">
        <x:v>45269</x:v>
      </x:c>
      <x:c r="C1829" s="4" t="str">
        <x:v>Liverpool</x:v>
      </x:c>
      <x:c r="D1829" s="4" t="str">
        <x:v>Crystal Palace</x:v>
      </x:c>
      <x:c r="E1829" s="4" t="str">
        <x:v>Away</x:v>
      </x:c>
      <x:c r="F1829" s="28" t="n">
        <x:v>2</x:v>
      </x:c>
      <x:c r="G1829" s="28" t="n">
        <x:v>1</x:v>
      </x:c>
      <x:c r="H1829" s="28" t="n">
        <x:v>14</x:v>
      </x:c>
      <x:c r="I1829" s="28" t="n">
        <x:v>8</x:v>
      </x:c>
      <x:c r="J1829" s="28" t="n">
        <x:v>2</x:v>
      </x:c>
      <x:c r="K1829" s="28" t="n">
        <x:v>4</x:v>
      </x:c>
      <x:c r="L1829" s="28" t="n">
        <x:v>5</x:v>
      </x:c>
      <x:c r="M1829" s="28" t="n">
        <x:v>6</x:v>
      </x:c>
      <x:c r="N1829" s="28" t="n">
        <x:v>2</x:v>
      </x:c>
      <x:c r="O1829" s="28" t="n">
        <x:v>0</x:v>
      </x:c>
      <x:c r="P1829" s="28" t="n">
        <x:v>3</x:v>
      </x:c>
      <x:c r="Q1829" s="24" t="n">
        <x:f>IFERROR(J1829/H1829,0)</x:f>
        <x:v>0.14285714285714285</x:v>
      </x:c>
      <x:c r="R1829" s="24" t="n">
        <x:f>IFERROR(F1829/H1829,0)</x:f>
        <x:v>0.14285714285714285</x:v>
      </x:c>
      <x:c r="S1829" s="24" t="n">
        <x:f>IFERROR(F1829/J1829,0)</x:f>
        <x:v>1</x:v>
      </x:c>
      <x:c r="T1829" s="28" t="n">
        <x:f>H1829-I1829</x:f>
        <x:v>6</x:v>
      </x:c>
      <x:c r="U1829" s="24" t="n">
        <x:f>IFERROR(J1829/H1829,0)-IFERROR(K1829/I1829,0)</x:f>
        <x:v>-0.35714285714285715</x:v>
      </x:c>
      <x:c r="V1829" s="24" t="n">
        <x:f>IFERROR(F1829/J1829,0)-IFERROR(G1829/K1829,0)</x:f>
        <x:v>0.75</x:v>
      </x:c>
      <x:c r="W1829" s="28" t="n">
        <x:f>L1829-M1829</x:f>
        <x:v>-1</x:v>
      </x:c>
      <x:c r="X1829" s="24" t="n">
        <x:f>IFERROR(K1829/I1829,0)</x:f>
        <x:v>0.5</x:v>
      </x:c>
      <x:c r="Y1829" s="24" t="n">
        <x:f>IFERROR(G1829/I1829,0)</x:f>
        <x:v>0.125</x:v>
      </x:c>
      <x:c r="Z1829" s="24" t="n">
        <x:f>IFERROR(G1829/K1829,0)</x:f>
        <x:v>0.25</x:v>
      </x:c>
      <x:c r="AA1829" s="24" t="n">
        <x:f>IFERROR(F1829/H1829,0)-IFERROR(G1829/I1829,0)</x:f>
        <x:v>0.01785714285714285</x:v>
      </x:c>
      <x:c r="AB1829" s="28" t="n">
        <x:f>J1829-K1829</x:f>
        <x:v>-2</x:v>
      </x:c>
      <x:c r="AC1829" s="32" t="n">
        <x:f>F1829-G1829</x:f>
        <x:v>1</x:v>
      </x:c>
    </x:row>
    <x:row r="1830">
      <x:c r="A1830" s="4" t="str">
        <x:v>2023-24</x:v>
      </x:c>
      <x:c r="B1830" s="20" t="n">
        <x:v>45269</x:v>
      </x:c>
      <x:c r="C1830" s="4" t="str">
        <x:v>Man United</x:v>
      </x:c>
      <x:c r="D1830" s="4" t="str">
        <x:v>Bournemouth</x:v>
      </x:c>
      <x:c r="E1830" s="4" t="str">
        <x:v>Home</x:v>
      </x:c>
      <x:c r="F1830" s="28" t="n">
        <x:v>0</x:v>
      </x:c>
      <x:c r="G1830" s="28" t="n">
        <x:v>3</x:v>
      </x:c>
      <x:c r="H1830" s="28" t="n">
        <x:v>20</x:v>
      </x:c>
      <x:c r="I1830" s="28" t="n">
        <x:v>10</x:v>
      </x:c>
      <x:c r="J1830" s="28" t="n">
        <x:v>3</x:v>
      </x:c>
      <x:c r="K1830" s="28" t="n">
        <x:v>4</x:v>
      </x:c>
      <x:c r="L1830" s="28" t="n">
        <x:v>10</x:v>
      </x:c>
      <x:c r="M1830" s="28" t="n">
        <x:v>4</x:v>
      </x:c>
      <x:c r="N1830" s="28" t="n">
        <x:v>3</x:v>
      </x:c>
      <x:c r="O1830" s="28" t="n">
        <x:v>0</x:v>
      </x:c>
      <x:c r="P1830" s="28" t="n">
        <x:v>0</x:v>
      </x:c>
      <x:c r="Q1830" s="24" t="n">
        <x:f>IFERROR(J1830/H1830,0)</x:f>
        <x:v>0.15</x:v>
      </x:c>
      <x:c r="R1830" s="24" t="n">
        <x:f>IFERROR(F1830/H1830,0)</x:f>
        <x:v>0</x:v>
      </x:c>
      <x:c r="S1830" s="24" t="n">
        <x:f>IFERROR(F1830/J1830,0)</x:f>
        <x:v>0</x:v>
      </x:c>
      <x:c r="T1830" s="28" t="n">
        <x:f>H1830-I1830</x:f>
        <x:v>10</x:v>
      </x:c>
      <x:c r="U1830" s="24" t="n">
        <x:f>IFERROR(J1830/H1830,0)-IFERROR(K1830/I1830,0)</x:f>
        <x:v>-0.25</x:v>
      </x:c>
      <x:c r="V1830" s="24" t="n">
        <x:f>IFERROR(F1830/J1830,0)-IFERROR(G1830/K1830,0)</x:f>
        <x:v>-0.75</x:v>
      </x:c>
      <x:c r="W1830" s="28" t="n">
        <x:f>L1830-M1830</x:f>
        <x:v>6</x:v>
      </x:c>
      <x:c r="X1830" s="24" t="n">
        <x:f>IFERROR(K1830/I1830,0)</x:f>
        <x:v>0.4</x:v>
      </x:c>
      <x:c r="Y1830" s="24" t="n">
        <x:f>IFERROR(G1830/I1830,0)</x:f>
        <x:v>0.3</x:v>
      </x:c>
      <x:c r="Z1830" s="24" t="n">
        <x:f>IFERROR(G1830/K1830,0)</x:f>
        <x:v>0.75</x:v>
      </x:c>
      <x:c r="AA1830" s="24" t="n">
        <x:f>IFERROR(F1830/H1830,0)-IFERROR(G1830/I1830,0)</x:f>
        <x:v>-0.3</x:v>
      </x:c>
      <x:c r="AB1830" s="28" t="n">
        <x:f>J1830-K1830</x:f>
        <x:v>-1</x:v>
      </x:c>
      <x:c r="AC1830" s="32" t="n">
        <x:f>F1830-G1830</x:f>
        <x:v>-3</x:v>
      </x:c>
    </x:row>
    <x:row r="1831">
      <x:c r="A1831" s="4" t="str">
        <x:v>2023-24</x:v>
      </x:c>
      <x:c r="B1831" s="20" t="n">
        <x:v>45269</x:v>
      </x:c>
      <x:c r="C1831" s="4" t="str">
        <x:v>Nott'm Forest</x:v>
      </x:c>
      <x:c r="D1831" s="4" t="str">
        <x:v>Wolves</x:v>
      </x:c>
      <x:c r="E1831" s="4" t="str">
        <x:v>Away</x:v>
      </x:c>
      <x:c r="F1831" s="28" t="n">
        <x:v>1</x:v>
      </x:c>
      <x:c r="G1831" s="28" t="n">
        <x:v>1</x:v>
      </x:c>
      <x:c r="H1831" s="28" t="n">
        <x:v>8</x:v>
      </x:c>
      <x:c r="I1831" s="28" t="n">
        <x:v>10</x:v>
      </x:c>
      <x:c r="J1831" s="28" t="n">
        <x:v>2</x:v>
      </x:c>
      <x:c r="K1831" s="28" t="n">
        <x:v>4</x:v>
      </x:c>
      <x:c r="L1831" s="28" t="n">
        <x:v>3</x:v>
      </x:c>
      <x:c r="M1831" s="28" t="n">
        <x:v>4</x:v>
      </x:c>
      <x:c r="N1831" s="28" t="n">
        <x:v>1</x:v>
      </x:c>
      <x:c r="O1831" s="28" t="n">
        <x:v>0</x:v>
      </x:c>
      <x:c r="P1831" s="28" t="n">
        <x:v>1</x:v>
      </x:c>
      <x:c r="Q1831" s="24" t="n">
        <x:f>IFERROR(J1831/H1831,0)</x:f>
        <x:v>0.25</x:v>
      </x:c>
      <x:c r="R1831" s="24" t="n">
        <x:f>IFERROR(F1831/H1831,0)</x:f>
        <x:v>0.125</x:v>
      </x:c>
      <x:c r="S1831" s="24" t="n">
        <x:f>IFERROR(F1831/J1831,0)</x:f>
        <x:v>0.5</x:v>
      </x:c>
      <x:c r="T1831" s="28" t="n">
        <x:f>H1831-I1831</x:f>
        <x:v>-2</x:v>
      </x:c>
      <x:c r="U1831" s="24" t="n">
        <x:f>IFERROR(J1831/H1831,0)-IFERROR(K1831/I1831,0)</x:f>
        <x:v>-0.15000000000000002</x:v>
      </x:c>
      <x:c r="V1831" s="24" t="n">
        <x:f>IFERROR(F1831/J1831,0)-IFERROR(G1831/K1831,0)</x:f>
        <x:v>0.25</x:v>
      </x:c>
      <x:c r="W1831" s="28" t="n">
        <x:f>L1831-M1831</x:f>
        <x:v>-1</x:v>
      </x:c>
      <x:c r="X1831" s="24" t="n">
        <x:f>IFERROR(K1831/I1831,0)</x:f>
        <x:v>0.4</x:v>
      </x:c>
      <x:c r="Y1831" s="24" t="n">
        <x:f>IFERROR(G1831/I1831,0)</x:f>
        <x:v>0.1</x:v>
      </x:c>
      <x:c r="Z1831" s="24" t="n">
        <x:f>IFERROR(G1831/K1831,0)</x:f>
        <x:v>0.25</x:v>
      </x:c>
      <x:c r="AA1831" s="24" t="n">
        <x:f>IFERROR(F1831/H1831,0)-IFERROR(G1831/I1831,0)</x:f>
        <x:v>0.024999999999999994</x:v>
      </x:c>
      <x:c r="AB1831" s="28" t="n">
        <x:f>J1831-K1831</x:f>
        <x:v>-2</x:v>
      </x:c>
      <x:c r="AC1831" s="32" t="n">
        <x:f>F1831-G1831</x:f>
        <x:v>0</x:v>
      </x:c>
    </x:row>
    <x:row r="1832">
      <x:c r="A1832" s="4" t="str">
        <x:v>2023-24</x:v>
      </x:c>
      <x:c r="B1832" s="20" t="n">
        <x:v>45269</x:v>
      </x:c>
      <x:c r="C1832" s="4" t="str">
        <x:v>Sheffield United</x:v>
      </x:c>
      <x:c r="D1832" s="4" t="str">
        <x:v>Brentford</x:v>
      </x:c>
      <x:c r="E1832" s="4" t="str">
        <x:v>Home</x:v>
      </x:c>
      <x:c r="F1832" s="28" t="n">
        <x:v>1</x:v>
      </x:c>
      <x:c r="G1832" s="28" t="n">
        <x:v>0</x:v>
      </x:c>
      <x:c r="H1832" s="28" t="n">
        <x:v>9</x:v>
      </x:c>
      <x:c r="I1832" s="28" t="n">
        <x:v>10</x:v>
      </x:c>
      <x:c r="J1832" s="28" t="n">
        <x:v>4</x:v>
      </x:c>
      <x:c r="K1832" s="28" t="n">
        <x:v>4</x:v>
      </x:c>
      <x:c r="L1832" s="28" t="n">
        <x:v>3</x:v>
      </x:c>
      <x:c r="M1832" s="28" t="n">
        <x:v>4</x:v>
      </x:c>
      <x:c r="N1832" s="28" t="n">
        <x:v>5</x:v>
      </x:c>
      <x:c r="O1832" s="28" t="n">
        <x:v>0</x:v>
      </x:c>
      <x:c r="P1832" s="28" t="n">
        <x:v>3</x:v>
      </x:c>
      <x:c r="Q1832" s="24" t="n">
        <x:f>IFERROR(J1832/H1832,0)</x:f>
        <x:v>0.4444444444444444</x:v>
      </x:c>
      <x:c r="R1832" s="24" t="n">
        <x:f>IFERROR(F1832/H1832,0)</x:f>
        <x:v>0.1111111111111111</x:v>
      </x:c>
      <x:c r="S1832" s="24" t="n">
        <x:f>IFERROR(F1832/J1832,0)</x:f>
        <x:v>0.25</x:v>
      </x:c>
      <x:c r="T1832" s="28" t="n">
        <x:f>H1832-I1832</x:f>
        <x:v>-1</x:v>
      </x:c>
      <x:c r="U1832" s="24" t="n">
        <x:f>IFERROR(J1832/H1832,0)-IFERROR(K1832/I1832,0)</x:f>
        <x:v>0.0444444444444444</x:v>
      </x:c>
      <x:c r="V1832" s="24" t="n">
        <x:f>IFERROR(F1832/J1832,0)-IFERROR(G1832/K1832,0)</x:f>
        <x:v>0.25</x:v>
      </x:c>
      <x:c r="W1832" s="28" t="n">
        <x:f>L1832-M1832</x:f>
        <x:v>-1</x:v>
      </x:c>
      <x:c r="X1832" s="24" t="n">
        <x:f>IFERROR(K1832/I1832,0)</x:f>
        <x:v>0.4</x:v>
      </x:c>
      <x:c r="Y1832" s="24" t="n">
        <x:f>IFERROR(G1832/I1832,0)</x:f>
        <x:v>0</x:v>
      </x:c>
      <x:c r="Z1832" s="24" t="n">
        <x:f>IFERROR(G1832/K1832,0)</x:f>
        <x:v>0</x:v>
      </x:c>
      <x:c r="AA1832" s="24" t="n">
        <x:f>IFERROR(F1832/H1832,0)-IFERROR(G1832/I1832,0)</x:f>
        <x:v>0.1111111111111111</x:v>
      </x:c>
      <x:c r="AB1832" s="28" t="n">
        <x:f>J1832-K1832</x:f>
        <x:v>0</x:v>
      </x:c>
      <x:c r="AC1832" s="32" t="n">
        <x:f>F1832-G1832</x:f>
        <x:v>1</x:v>
      </x:c>
    </x:row>
    <x:row r="1833">
      <x:c r="A1833" s="4" t="str">
        <x:v>2023-24</x:v>
      </x:c>
      <x:c r="B1833" s="20" t="n">
        <x:v>45269</x:v>
      </x:c>
      <x:c r="C1833" s="4" t="str">
        <x:v>Wolves</x:v>
      </x:c>
      <x:c r="D1833" s="4" t="str">
        <x:v>Nott'm Forest</x:v>
      </x:c>
      <x:c r="E1833" s="4" t="str">
        <x:v>Home</x:v>
      </x:c>
      <x:c r="F1833" s="28" t="n">
        <x:v>1</x:v>
      </x:c>
      <x:c r="G1833" s="28" t="n">
        <x:v>1</x:v>
      </x:c>
      <x:c r="H1833" s="28" t="n">
        <x:v>10</x:v>
      </x:c>
      <x:c r="I1833" s="28" t="n">
        <x:v>8</x:v>
      </x:c>
      <x:c r="J1833" s="28" t="n">
        <x:v>4</x:v>
      </x:c>
      <x:c r="K1833" s="28" t="n">
        <x:v>2</x:v>
      </x:c>
      <x:c r="L1833" s="28" t="n">
        <x:v>4</x:v>
      </x:c>
      <x:c r="M1833" s="28" t="n">
        <x:v>3</x:v>
      </x:c>
      <x:c r="N1833" s="28" t="n">
        <x:v>0</x:v>
      </x:c>
      <x:c r="O1833" s="28" t="n">
        <x:v>0</x:v>
      </x:c>
      <x:c r="P1833" s="28" t="n">
        <x:v>1</x:v>
      </x:c>
      <x:c r="Q1833" s="24" t="n">
        <x:f>IFERROR(J1833/H1833,0)</x:f>
        <x:v>0.4</x:v>
      </x:c>
      <x:c r="R1833" s="24" t="n">
        <x:f>IFERROR(F1833/H1833,0)</x:f>
        <x:v>0.1</x:v>
      </x:c>
      <x:c r="S1833" s="24" t="n">
        <x:f>IFERROR(F1833/J1833,0)</x:f>
        <x:v>0.25</x:v>
      </x:c>
      <x:c r="T1833" s="28" t="n">
        <x:f>H1833-I1833</x:f>
        <x:v>2</x:v>
      </x:c>
      <x:c r="U1833" s="24" t="n">
        <x:f>IFERROR(J1833/H1833,0)-IFERROR(K1833/I1833,0)</x:f>
        <x:v>0.15000000000000002</x:v>
      </x:c>
      <x:c r="V1833" s="24" t="n">
        <x:f>IFERROR(F1833/J1833,0)-IFERROR(G1833/K1833,0)</x:f>
        <x:v>-0.25</x:v>
      </x:c>
      <x:c r="W1833" s="28" t="n">
        <x:f>L1833-M1833</x:f>
        <x:v>1</x:v>
      </x:c>
      <x:c r="X1833" s="24" t="n">
        <x:f>IFERROR(K1833/I1833,0)</x:f>
        <x:v>0.25</x:v>
      </x:c>
      <x:c r="Y1833" s="24" t="n">
        <x:f>IFERROR(G1833/I1833,0)</x:f>
        <x:v>0.125</x:v>
      </x:c>
      <x:c r="Z1833" s="24" t="n">
        <x:f>IFERROR(G1833/K1833,0)</x:f>
        <x:v>0.5</x:v>
      </x:c>
      <x:c r="AA1833" s="24" t="n">
        <x:f>IFERROR(F1833/H1833,0)-IFERROR(G1833/I1833,0)</x:f>
        <x:v>-0.024999999999999994</x:v>
      </x:c>
      <x:c r="AB1833" s="28" t="n">
        <x:f>J1833-K1833</x:f>
        <x:v>2</x:v>
      </x:c>
      <x:c r="AC1833" s="32" t="n">
        <x:f>F1833-G1833</x:f>
        <x:v>0</x:v>
      </x:c>
    </x:row>
    <x:row r="1834">
      <x:c r="A1834" s="4" t="str">
        <x:v>2023-24</x:v>
      </x:c>
      <x:c r="B1834" s="20" t="n">
        <x:v>45270</x:v>
      </x:c>
      <x:c r="C1834" s="4" t="str">
        <x:v>Chelsea</x:v>
      </x:c>
      <x:c r="D1834" s="4" t="str">
        <x:v>Everton</x:v>
      </x:c>
      <x:c r="E1834" s="4" t="str">
        <x:v>Away</x:v>
      </x:c>
      <x:c r="F1834" s="28" t="n">
        <x:v>0</x:v>
      </x:c>
      <x:c r="G1834" s="28" t="n">
        <x:v>2</x:v>
      </x:c>
      <x:c r="H1834" s="28" t="n">
        <x:v>16</x:v>
      </x:c>
      <x:c r="I1834" s="28" t="n">
        <x:v>9</x:v>
      </x:c>
      <x:c r="J1834" s="28" t="n">
        <x:v>4</x:v>
      </x:c>
      <x:c r="K1834" s="28" t="n">
        <x:v>5</x:v>
      </x:c>
      <x:c r="L1834" s="28" t="n">
        <x:v>8</x:v>
      </x:c>
      <x:c r="M1834" s="28" t="n">
        <x:v>4</x:v>
      </x:c>
      <x:c r="N1834" s="28" t="n">
        <x:v>2</x:v>
      </x:c>
      <x:c r="O1834" s="28" t="n">
        <x:v>0</x:v>
      </x:c>
      <x:c r="P1834" s="28" t="n">
        <x:v>0</x:v>
      </x:c>
      <x:c r="Q1834" s="24" t="n">
        <x:f>IFERROR(J1834/H1834,0)</x:f>
        <x:v>0.25</x:v>
      </x:c>
      <x:c r="R1834" s="24" t="n">
        <x:f>IFERROR(F1834/H1834,0)</x:f>
        <x:v>0</x:v>
      </x:c>
      <x:c r="S1834" s="24" t="n">
        <x:f>IFERROR(F1834/J1834,0)</x:f>
        <x:v>0</x:v>
      </x:c>
      <x:c r="T1834" s="28" t="n">
        <x:f>H1834-I1834</x:f>
        <x:v>7</x:v>
      </x:c>
      <x:c r="U1834" s="24" t="n">
        <x:f>IFERROR(J1834/H1834,0)-IFERROR(K1834/I1834,0)</x:f>
        <x:v>-0.3055555555555556</x:v>
      </x:c>
      <x:c r="V1834" s="24" t="n">
        <x:f>IFERROR(F1834/J1834,0)-IFERROR(G1834/K1834,0)</x:f>
        <x:v>-0.4</x:v>
      </x:c>
      <x:c r="W1834" s="28" t="n">
        <x:f>L1834-M1834</x:f>
        <x:v>4</x:v>
      </x:c>
      <x:c r="X1834" s="24" t="n">
        <x:f>IFERROR(K1834/I1834,0)</x:f>
        <x:v>0.5555555555555556</x:v>
      </x:c>
      <x:c r="Y1834" s="24" t="n">
        <x:f>IFERROR(G1834/I1834,0)</x:f>
        <x:v>0.2222222222222222</x:v>
      </x:c>
      <x:c r="Z1834" s="24" t="n">
        <x:f>IFERROR(G1834/K1834,0)</x:f>
        <x:v>0.4</x:v>
      </x:c>
      <x:c r="AA1834" s="24" t="n">
        <x:f>IFERROR(F1834/H1834,0)-IFERROR(G1834/I1834,0)</x:f>
        <x:v>-0.2222222222222222</x:v>
      </x:c>
      <x:c r="AB1834" s="28" t="n">
        <x:f>J1834-K1834</x:f>
        <x:v>-1</x:v>
      </x:c>
      <x:c r="AC1834" s="32" t="n">
        <x:f>F1834-G1834</x:f>
        <x:v>-2</x:v>
      </x:c>
    </x:row>
    <x:row r="1835">
      <x:c r="A1835" s="4" t="str">
        <x:v>2023-24</x:v>
      </x:c>
      <x:c r="B1835" s="20" t="n">
        <x:v>45270</x:v>
      </x:c>
      <x:c r="C1835" s="4" t="str">
        <x:v>Everton</x:v>
      </x:c>
      <x:c r="D1835" s="4" t="str">
        <x:v>Chelsea</x:v>
      </x:c>
      <x:c r="E1835" s="4" t="str">
        <x:v>Home</x:v>
      </x:c>
      <x:c r="F1835" s="28" t="n">
        <x:v>2</x:v>
      </x:c>
      <x:c r="G1835" s="28" t="n">
        <x:v>0</x:v>
      </x:c>
      <x:c r="H1835" s="28" t="n">
        <x:v>9</x:v>
      </x:c>
      <x:c r="I1835" s="28" t="n">
        <x:v>16</x:v>
      </x:c>
      <x:c r="J1835" s="28" t="n">
        <x:v>5</x:v>
      </x:c>
      <x:c r="K1835" s="28" t="n">
        <x:v>4</x:v>
      </x:c>
      <x:c r="L1835" s="28" t="n">
        <x:v>4</x:v>
      </x:c>
      <x:c r="M1835" s="28" t="n">
        <x:v>8</x:v>
      </x:c>
      <x:c r="N1835" s="28" t="n">
        <x:v>2</x:v>
      </x:c>
      <x:c r="O1835" s="28" t="n">
        <x:v>0</x:v>
      </x:c>
      <x:c r="P1835" s="28" t="n">
        <x:v>3</x:v>
      </x:c>
      <x:c r="Q1835" s="24" t="n">
        <x:f>IFERROR(J1835/H1835,0)</x:f>
        <x:v>0.5555555555555556</x:v>
      </x:c>
      <x:c r="R1835" s="24" t="n">
        <x:f>IFERROR(F1835/H1835,0)</x:f>
        <x:v>0.2222222222222222</x:v>
      </x:c>
      <x:c r="S1835" s="24" t="n">
        <x:f>IFERROR(F1835/J1835,0)</x:f>
        <x:v>0.4</x:v>
      </x:c>
      <x:c r="T1835" s="28" t="n">
        <x:f>H1835-I1835</x:f>
        <x:v>-7</x:v>
      </x:c>
      <x:c r="U1835" s="24" t="n">
        <x:f>IFERROR(J1835/H1835,0)-IFERROR(K1835/I1835,0)</x:f>
        <x:v>0.3055555555555556</x:v>
      </x:c>
      <x:c r="V1835" s="24" t="n">
        <x:f>IFERROR(F1835/J1835,0)-IFERROR(G1835/K1835,0)</x:f>
        <x:v>0.4</x:v>
      </x:c>
      <x:c r="W1835" s="28" t="n">
        <x:f>L1835-M1835</x:f>
        <x:v>-4</x:v>
      </x:c>
      <x:c r="X1835" s="24" t="n">
        <x:f>IFERROR(K1835/I1835,0)</x:f>
        <x:v>0.25</x:v>
      </x:c>
      <x:c r="Y1835" s="24" t="n">
        <x:f>IFERROR(G1835/I1835,0)</x:f>
        <x:v>0</x:v>
      </x:c>
      <x:c r="Z1835" s="24" t="n">
        <x:f>IFERROR(G1835/K1835,0)</x:f>
        <x:v>0</x:v>
      </x:c>
      <x:c r="AA1835" s="24" t="n">
        <x:f>IFERROR(F1835/H1835,0)-IFERROR(G1835/I1835,0)</x:f>
        <x:v>0.2222222222222222</x:v>
      </x:c>
      <x:c r="AB1835" s="28" t="n">
        <x:f>J1835-K1835</x:f>
        <x:v>1</x:v>
      </x:c>
      <x:c r="AC1835" s="32" t="n">
        <x:f>F1835-G1835</x:f>
        <x:v>2</x:v>
      </x:c>
    </x:row>
    <x:row r="1836">
      <x:c r="A1836" s="4" t="str">
        <x:v>2023-24</x:v>
      </x:c>
      <x:c r="B1836" s="20" t="n">
        <x:v>45270</x:v>
      </x:c>
      <x:c r="C1836" s="4" t="str">
        <x:v>Fulham</x:v>
      </x:c>
      <x:c r="D1836" s="4" t="str">
        <x:v>West Ham</x:v>
      </x:c>
      <x:c r="E1836" s="4" t="str">
        <x:v>Home</x:v>
      </x:c>
      <x:c r="F1836" s="28" t="n">
        <x:v>5</x:v>
      </x:c>
      <x:c r="G1836" s="28" t="n">
        <x:v>0</x:v>
      </x:c>
      <x:c r="H1836" s="28" t="n">
        <x:v>14</x:v>
      </x:c>
      <x:c r="I1836" s="28" t="n">
        <x:v>9</x:v>
      </x:c>
      <x:c r="J1836" s="28" t="n">
        <x:v>8</x:v>
      </x:c>
      <x:c r="K1836" s="28" t="n">
        <x:v>5</x:v>
      </x:c>
      <x:c r="L1836" s="28" t="n">
        <x:v>3</x:v>
      </x:c>
      <x:c r="M1836" s="28" t="n">
        <x:v>6</x:v>
      </x:c>
      <x:c r="N1836" s="28" t="n">
        <x:v>2</x:v>
      </x:c>
      <x:c r="O1836" s="28" t="n">
        <x:v>0</x:v>
      </x:c>
      <x:c r="P1836" s="28" t="n">
        <x:v>3</x:v>
      </x:c>
      <x:c r="Q1836" s="24" t="n">
        <x:f>IFERROR(J1836/H1836,0)</x:f>
        <x:v>0.5714285714285714</x:v>
      </x:c>
      <x:c r="R1836" s="24" t="n">
        <x:f>IFERROR(F1836/H1836,0)</x:f>
        <x:v>0.35714285714285715</x:v>
      </x:c>
      <x:c r="S1836" s="24" t="n">
        <x:f>IFERROR(F1836/J1836,0)</x:f>
        <x:v>0.625</x:v>
      </x:c>
      <x:c r="T1836" s="28" t="n">
        <x:f>H1836-I1836</x:f>
        <x:v>5</x:v>
      </x:c>
      <x:c r="U1836" s="24" t="n">
        <x:f>IFERROR(J1836/H1836,0)-IFERROR(K1836/I1836,0)</x:f>
        <x:v>0.015873015873015817</x:v>
      </x:c>
      <x:c r="V1836" s="24" t="n">
        <x:f>IFERROR(F1836/J1836,0)-IFERROR(G1836/K1836,0)</x:f>
        <x:v>0.625</x:v>
      </x:c>
      <x:c r="W1836" s="28" t="n">
        <x:f>L1836-M1836</x:f>
        <x:v>-3</x:v>
      </x:c>
      <x:c r="X1836" s="24" t="n">
        <x:f>IFERROR(K1836/I1836,0)</x:f>
        <x:v>0.5555555555555556</x:v>
      </x:c>
      <x:c r="Y1836" s="24" t="n">
        <x:f>IFERROR(G1836/I1836,0)</x:f>
        <x:v>0</x:v>
      </x:c>
      <x:c r="Z1836" s="24" t="n">
        <x:f>IFERROR(G1836/K1836,0)</x:f>
        <x:v>0</x:v>
      </x:c>
      <x:c r="AA1836" s="24" t="n">
        <x:f>IFERROR(F1836/H1836,0)-IFERROR(G1836/I1836,0)</x:f>
        <x:v>0.35714285714285715</x:v>
      </x:c>
      <x:c r="AB1836" s="28" t="n">
        <x:f>J1836-K1836</x:f>
        <x:v>3</x:v>
      </x:c>
      <x:c r="AC1836" s="32" t="n">
        <x:f>F1836-G1836</x:f>
        <x:v>5</x:v>
      </x:c>
    </x:row>
    <x:row r="1837">
      <x:c r="A1837" s="4" t="str">
        <x:v>2023-24</x:v>
      </x:c>
      <x:c r="B1837" s="20" t="n">
        <x:v>45270</x:v>
      </x:c>
      <x:c r="C1837" s="4" t="str">
        <x:v>Luton</x:v>
      </x:c>
      <x:c r="D1837" s="4" t="str">
        <x:v>Man City</x:v>
      </x:c>
      <x:c r="E1837" s="4" t="str">
        <x:v>Home</x:v>
      </x:c>
      <x:c r="F1837" s="28" t="n">
        <x:v>1</x:v>
      </x:c>
      <x:c r="G1837" s="28" t="n">
        <x:v>2</x:v>
      </x:c>
      <x:c r="H1837" s="28" t="n">
        <x:v>4</x:v>
      </x:c>
      <x:c r="I1837" s="28" t="n">
        <x:v>18</x:v>
      </x:c>
      <x:c r="J1837" s="28" t="n">
        <x:v>2</x:v>
      </x:c>
      <x:c r="K1837" s="28" t="n">
        <x:v>6</x:v>
      </x:c>
      <x:c r="L1837" s="28" t="n">
        <x:v>6</x:v>
      </x:c>
      <x:c r="M1837" s="28" t="n">
        <x:v>3</x:v>
      </x:c>
      <x:c r="N1837" s="28" t="n">
        <x:v>2</x:v>
      </x:c>
      <x:c r="O1837" s="28" t="n">
        <x:v>0</x:v>
      </x:c>
      <x:c r="P1837" s="28" t="n">
        <x:v>0</x:v>
      </x:c>
      <x:c r="Q1837" s="24" t="n">
        <x:f>IFERROR(J1837/H1837,0)</x:f>
        <x:v>0.5</x:v>
      </x:c>
      <x:c r="R1837" s="24" t="n">
        <x:f>IFERROR(F1837/H1837,0)</x:f>
        <x:v>0.25</x:v>
      </x:c>
      <x:c r="S1837" s="24" t="n">
        <x:f>IFERROR(F1837/J1837,0)</x:f>
        <x:v>0.5</x:v>
      </x:c>
      <x:c r="T1837" s="28" t="n">
        <x:f>H1837-I1837</x:f>
        <x:v>-14</x:v>
      </x:c>
      <x:c r="U1837" s="24" t="n">
        <x:f>IFERROR(J1837/H1837,0)-IFERROR(K1837/I1837,0)</x:f>
        <x:v>0.16666666666666669</x:v>
      </x:c>
      <x:c r="V1837" s="24" t="n">
        <x:f>IFERROR(F1837/J1837,0)-IFERROR(G1837/K1837,0)</x:f>
        <x:v>0.16666666666666669</x:v>
      </x:c>
      <x:c r="W1837" s="28" t="n">
        <x:f>L1837-M1837</x:f>
        <x:v>3</x:v>
      </x:c>
      <x:c r="X1837" s="24" t="n">
        <x:f>IFERROR(K1837/I1837,0)</x:f>
        <x:v>0.3333333333333333</x:v>
      </x:c>
      <x:c r="Y1837" s="24" t="n">
        <x:f>IFERROR(G1837/I1837,0)</x:f>
        <x:v>0.1111111111111111</x:v>
      </x:c>
      <x:c r="Z1837" s="24" t="n">
        <x:f>IFERROR(G1837/K1837,0)</x:f>
        <x:v>0.3333333333333333</x:v>
      </x:c>
      <x:c r="AA1837" s="24" t="n">
        <x:f>IFERROR(F1837/H1837,0)-IFERROR(G1837/I1837,0)</x:f>
        <x:v>0.1388888888888889</x:v>
      </x:c>
      <x:c r="AB1837" s="28" t="n">
        <x:f>J1837-K1837</x:f>
        <x:v>-4</x:v>
      </x:c>
      <x:c r="AC1837" s="32" t="n">
        <x:f>F1837-G1837</x:f>
        <x:v>-1</x:v>
      </x:c>
    </x:row>
    <x:row r="1838">
      <x:c r="A1838" s="4" t="str">
        <x:v>2023-24</x:v>
      </x:c>
      <x:c r="B1838" s="20" t="n">
        <x:v>45270</x:v>
      </x:c>
      <x:c r="C1838" s="4" t="str">
        <x:v>Man City</x:v>
      </x:c>
      <x:c r="D1838" s="4" t="str">
        <x:v>Luton</x:v>
      </x:c>
      <x:c r="E1838" s="4" t="str">
        <x:v>Away</x:v>
      </x:c>
      <x:c r="F1838" s="28" t="n">
        <x:v>2</x:v>
      </x:c>
      <x:c r="G1838" s="28" t="n">
        <x:v>1</x:v>
      </x:c>
      <x:c r="H1838" s="28" t="n">
        <x:v>18</x:v>
      </x:c>
      <x:c r="I1838" s="28" t="n">
        <x:v>4</x:v>
      </x:c>
      <x:c r="J1838" s="28" t="n">
        <x:v>6</x:v>
      </x:c>
      <x:c r="K1838" s="28" t="n">
        <x:v>2</x:v>
      </x:c>
      <x:c r="L1838" s="28" t="n">
        <x:v>3</x:v>
      </x:c>
      <x:c r="M1838" s="28" t="n">
        <x:v>6</x:v>
      </x:c>
      <x:c r="N1838" s="28" t="n">
        <x:v>1</x:v>
      </x:c>
      <x:c r="O1838" s="28" t="n">
        <x:v>0</x:v>
      </x:c>
      <x:c r="P1838" s="28" t="n">
        <x:v>3</x:v>
      </x:c>
      <x:c r="Q1838" s="24" t="n">
        <x:f>IFERROR(J1838/H1838,0)</x:f>
        <x:v>0.3333333333333333</x:v>
      </x:c>
      <x:c r="R1838" s="24" t="n">
        <x:f>IFERROR(F1838/H1838,0)</x:f>
        <x:v>0.1111111111111111</x:v>
      </x:c>
      <x:c r="S1838" s="24" t="n">
        <x:f>IFERROR(F1838/J1838,0)</x:f>
        <x:v>0.3333333333333333</x:v>
      </x:c>
      <x:c r="T1838" s="28" t="n">
        <x:f>H1838-I1838</x:f>
        <x:v>14</x:v>
      </x:c>
      <x:c r="U1838" s="24" t="n">
        <x:f>IFERROR(J1838/H1838,0)-IFERROR(K1838/I1838,0)</x:f>
        <x:v>-0.16666666666666669</x:v>
      </x:c>
      <x:c r="V1838" s="24" t="n">
        <x:f>IFERROR(F1838/J1838,0)-IFERROR(G1838/K1838,0)</x:f>
        <x:v>-0.16666666666666669</x:v>
      </x:c>
      <x:c r="W1838" s="28" t="n">
        <x:f>L1838-M1838</x:f>
        <x:v>-3</x:v>
      </x:c>
      <x:c r="X1838" s="24" t="n">
        <x:f>IFERROR(K1838/I1838,0)</x:f>
        <x:v>0.5</x:v>
      </x:c>
      <x:c r="Y1838" s="24" t="n">
        <x:f>IFERROR(G1838/I1838,0)</x:f>
        <x:v>0.25</x:v>
      </x:c>
      <x:c r="Z1838" s="24" t="n">
        <x:f>IFERROR(G1838/K1838,0)</x:f>
        <x:v>0.5</x:v>
      </x:c>
      <x:c r="AA1838" s="24" t="n">
        <x:f>IFERROR(F1838/H1838,0)-IFERROR(G1838/I1838,0)</x:f>
        <x:v>-0.1388888888888889</x:v>
      </x:c>
      <x:c r="AB1838" s="28" t="n">
        <x:f>J1838-K1838</x:f>
        <x:v>4</x:v>
      </x:c>
      <x:c r="AC1838" s="32" t="n">
        <x:f>F1838-G1838</x:f>
        <x:v>1</x:v>
      </x:c>
    </x:row>
    <x:row r="1839">
      <x:c r="A1839" s="4" t="str">
        <x:v>2023-24</x:v>
      </x:c>
      <x:c r="B1839" s="20" t="n">
        <x:v>45270</x:v>
      </x:c>
      <x:c r="C1839" s="4" t="str">
        <x:v>Newcastle</x:v>
      </x:c>
      <x:c r="D1839" s="4" t="str">
        <x:v>Tottenham</x:v>
      </x:c>
      <x:c r="E1839" s="4" t="str">
        <x:v>Away</x:v>
      </x:c>
      <x:c r="F1839" s="28" t="n">
        <x:v>1</x:v>
      </x:c>
      <x:c r="G1839" s="28" t="n">
        <x:v>4</x:v>
      </x:c>
      <x:c r="H1839" s="28" t="n">
        <x:v>9</x:v>
      </x:c>
      <x:c r="I1839" s="28" t="n">
        <x:v>23</x:v>
      </x:c>
      <x:c r="J1839" s="28" t="n">
        <x:v>3</x:v>
      </x:c>
      <x:c r="K1839" s="28" t="n">
        <x:v>12</x:v>
      </x:c>
      <x:c r="L1839" s="28" t="n">
        <x:v>6</x:v>
      </x:c>
      <x:c r="M1839" s="28" t="n">
        <x:v>3</x:v>
      </x:c>
      <x:c r="N1839" s="28" t="n">
        <x:v>3</x:v>
      </x:c>
      <x:c r="O1839" s="28" t="n">
        <x:v>0</x:v>
      </x:c>
      <x:c r="P1839" s="28" t="n">
        <x:v>0</x:v>
      </x:c>
      <x:c r="Q1839" s="24" t="n">
        <x:f>IFERROR(J1839/H1839,0)</x:f>
        <x:v>0.3333333333333333</x:v>
      </x:c>
      <x:c r="R1839" s="24" t="n">
        <x:f>IFERROR(F1839/H1839,0)</x:f>
        <x:v>0.1111111111111111</x:v>
      </x:c>
      <x:c r="S1839" s="24" t="n">
        <x:f>IFERROR(F1839/J1839,0)</x:f>
        <x:v>0.3333333333333333</x:v>
      </x:c>
      <x:c r="T1839" s="28" t="n">
        <x:f>H1839-I1839</x:f>
        <x:v>-14</x:v>
      </x:c>
      <x:c r="U1839" s="24" t="n">
        <x:f>IFERROR(J1839/H1839,0)-IFERROR(K1839/I1839,0)</x:f>
        <x:v>-0.18840579710144928</x:v>
      </x:c>
      <x:c r="V1839" s="24" t="n">
        <x:f>IFERROR(F1839/J1839,0)-IFERROR(G1839/K1839,0)</x:f>
        <x:v>0</x:v>
      </x:c>
      <x:c r="W1839" s="28" t="n">
        <x:f>L1839-M1839</x:f>
        <x:v>3</x:v>
      </x:c>
      <x:c r="X1839" s="24" t="n">
        <x:f>IFERROR(K1839/I1839,0)</x:f>
        <x:v>0.5217391304347826</x:v>
      </x:c>
      <x:c r="Y1839" s="24" t="n">
        <x:f>IFERROR(G1839/I1839,0)</x:f>
        <x:v>0.17391304347826086</x:v>
      </x:c>
      <x:c r="Z1839" s="24" t="n">
        <x:f>IFERROR(G1839/K1839,0)</x:f>
        <x:v>0.3333333333333333</x:v>
      </x:c>
      <x:c r="AA1839" s="24" t="n">
        <x:f>IFERROR(F1839/H1839,0)-IFERROR(G1839/I1839,0)</x:f>
        <x:v>-0.06280193236714976</x:v>
      </x:c>
      <x:c r="AB1839" s="28" t="n">
        <x:f>J1839-K1839</x:f>
        <x:v>-9</x:v>
      </x:c>
      <x:c r="AC1839" s="32" t="n">
        <x:f>F1839-G1839</x:f>
        <x:v>-3</x:v>
      </x:c>
    </x:row>
    <x:row r="1840">
      <x:c r="A1840" s="4" t="str">
        <x:v>2023-24</x:v>
      </x:c>
      <x:c r="B1840" s="20" t="n">
        <x:v>45270</x:v>
      </x:c>
      <x:c r="C1840" s="4" t="str">
        <x:v>Tottenham</x:v>
      </x:c>
      <x:c r="D1840" s="4" t="str">
        <x:v>Newcastle</x:v>
      </x:c>
      <x:c r="E1840" s="4" t="str">
        <x:v>Home</x:v>
      </x:c>
      <x:c r="F1840" s="28" t="n">
        <x:v>4</x:v>
      </x:c>
      <x:c r="G1840" s="28" t="n">
        <x:v>1</x:v>
      </x:c>
      <x:c r="H1840" s="28" t="n">
        <x:v>23</x:v>
      </x:c>
      <x:c r="I1840" s="28" t="n">
        <x:v>9</x:v>
      </x:c>
      <x:c r="J1840" s="28" t="n">
        <x:v>12</x:v>
      </x:c>
      <x:c r="K1840" s="28" t="n">
        <x:v>3</x:v>
      </x:c>
      <x:c r="L1840" s="28" t="n">
        <x:v>3</x:v>
      </x:c>
      <x:c r="M1840" s="28" t="n">
        <x:v>6</x:v>
      </x:c>
      <x:c r="N1840" s="28" t="n">
        <x:v>1</x:v>
      </x:c>
      <x:c r="O1840" s="28" t="n">
        <x:v>0</x:v>
      </x:c>
      <x:c r="P1840" s="28" t="n">
        <x:v>3</x:v>
      </x:c>
      <x:c r="Q1840" s="24" t="n">
        <x:f>IFERROR(J1840/H1840,0)</x:f>
        <x:v>0.5217391304347826</x:v>
      </x:c>
      <x:c r="R1840" s="24" t="n">
        <x:f>IFERROR(F1840/H1840,0)</x:f>
        <x:v>0.17391304347826086</x:v>
      </x:c>
      <x:c r="S1840" s="24" t="n">
        <x:f>IFERROR(F1840/J1840,0)</x:f>
        <x:v>0.3333333333333333</x:v>
      </x:c>
      <x:c r="T1840" s="28" t="n">
        <x:f>H1840-I1840</x:f>
        <x:v>14</x:v>
      </x:c>
      <x:c r="U1840" s="24" t="n">
        <x:f>IFERROR(J1840/H1840,0)-IFERROR(K1840/I1840,0)</x:f>
        <x:v>0.18840579710144928</x:v>
      </x:c>
      <x:c r="V1840" s="24" t="n">
        <x:f>IFERROR(F1840/J1840,0)-IFERROR(G1840/K1840,0)</x:f>
        <x:v>0</x:v>
      </x:c>
      <x:c r="W1840" s="28" t="n">
        <x:f>L1840-M1840</x:f>
        <x:v>-3</x:v>
      </x:c>
      <x:c r="X1840" s="24" t="n">
        <x:f>IFERROR(K1840/I1840,0)</x:f>
        <x:v>0.3333333333333333</x:v>
      </x:c>
      <x:c r="Y1840" s="24" t="n">
        <x:f>IFERROR(G1840/I1840,0)</x:f>
        <x:v>0.1111111111111111</x:v>
      </x:c>
      <x:c r="Z1840" s="24" t="n">
        <x:f>IFERROR(G1840/K1840,0)</x:f>
        <x:v>0.3333333333333333</x:v>
      </x:c>
      <x:c r="AA1840" s="24" t="n">
        <x:f>IFERROR(F1840/H1840,0)-IFERROR(G1840/I1840,0)</x:f>
        <x:v>0.06280193236714976</x:v>
      </x:c>
      <x:c r="AB1840" s="28" t="n">
        <x:f>J1840-K1840</x:f>
        <x:v>9</x:v>
      </x:c>
      <x:c r="AC1840" s="32" t="n">
        <x:f>F1840-G1840</x:f>
        <x:v>3</x:v>
      </x:c>
    </x:row>
    <x:row r="1841">
      <x:c r="A1841" s="4" t="str">
        <x:v>2023-24</x:v>
      </x:c>
      <x:c r="B1841" s="20" t="n">
        <x:v>45270</x:v>
      </x:c>
      <x:c r="C1841" s="4" t="str">
        <x:v>West Ham</x:v>
      </x:c>
      <x:c r="D1841" s="4" t="str">
        <x:v>Fulham</x:v>
      </x:c>
      <x:c r="E1841" s="4" t="str">
        <x:v>Away</x:v>
      </x:c>
      <x:c r="F1841" s="28" t="n">
        <x:v>0</x:v>
      </x:c>
      <x:c r="G1841" s="28" t="n">
        <x:v>5</x:v>
      </x:c>
      <x:c r="H1841" s="28" t="n">
        <x:v>9</x:v>
      </x:c>
      <x:c r="I1841" s="28" t="n">
        <x:v>14</x:v>
      </x:c>
      <x:c r="J1841" s="28" t="n">
        <x:v>5</x:v>
      </x:c>
      <x:c r="K1841" s="28" t="n">
        <x:v>8</x:v>
      </x:c>
      <x:c r="L1841" s="28" t="n">
        <x:v>6</x:v>
      </x:c>
      <x:c r="M1841" s="28" t="n">
        <x:v>3</x:v>
      </x:c>
      <x:c r="N1841" s="28" t="n">
        <x:v>1</x:v>
      </x:c>
      <x:c r="O1841" s="28" t="n">
        <x:v>0</x:v>
      </x:c>
      <x:c r="P1841" s="28" t="n">
        <x:v>0</x:v>
      </x:c>
      <x:c r="Q1841" s="24" t="n">
        <x:f>IFERROR(J1841/H1841,0)</x:f>
        <x:v>0.5555555555555556</x:v>
      </x:c>
      <x:c r="R1841" s="24" t="n">
        <x:f>IFERROR(F1841/H1841,0)</x:f>
        <x:v>0</x:v>
      </x:c>
      <x:c r="S1841" s="24" t="n">
        <x:f>IFERROR(F1841/J1841,0)</x:f>
        <x:v>0</x:v>
      </x:c>
      <x:c r="T1841" s="28" t="n">
        <x:f>H1841-I1841</x:f>
        <x:v>-5</x:v>
      </x:c>
      <x:c r="U1841" s="24" t="n">
        <x:f>IFERROR(J1841/H1841,0)-IFERROR(K1841/I1841,0)</x:f>
        <x:v>-0.015873015873015817</x:v>
      </x:c>
      <x:c r="V1841" s="24" t="n">
        <x:f>IFERROR(F1841/J1841,0)-IFERROR(G1841/K1841,0)</x:f>
        <x:v>-0.625</x:v>
      </x:c>
      <x:c r="W1841" s="28" t="n">
        <x:f>L1841-M1841</x:f>
        <x:v>3</x:v>
      </x:c>
      <x:c r="X1841" s="24" t="n">
        <x:f>IFERROR(K1841/I1841,0)</x:f>
        <x:v>0.5714285714285714</x:v>
      </x:c>
      <x:c r="Y1841" s="24" t="n">
        <x:f>IFERROR(G1841/I1841,0)</x:f>
        <x:v>0.35714285714285715</x:v>
      </x:c>
      <x:c r="Z1841" s="24" t="n">
        <x:f>IFERROR(G1841/K1841,0)</x:f>
        <x:v>0.625</x:v>
      </x:c>
      <x:c r="AA1841" s="24" t="n">
        <x:f>IFERROR(F1841/H1841,0)-IFERROR(G1841/I1841,0)</x:f>
        <x:v>-0.35714285714285715</x:v>
      </x:c>
      <x:c r="AB1841" s="28" t="n">
        <x:f>J1841-K1841</x:f>
        <x:v>-3</x:v>
      </x:c>
      <x:c r="AC1841" s="32" t="n">
        <x:f>F1841-G1841</x:f>
        <x:v>-5</x:v>
      </x:c>
    </x:row>
    <x:row r="1842">
      <x:c r="A1842" s="4" t="str">
        <x:v>2023-24</x:v>
      </x:c>
      <x:c r="B1842" s="20" t="n">
        <x:v>45275</x:v>
      </x:c>
      <x:c r="C1842" s="4" t="str">
        <x:v>Nott'm Forest</x:v>
      </x:c>
      <x:c r="D1842" s="4" t="str">
        <x:v>Tottenham</x:v>
      </x:c>
      <x:c r="E1842" s="4" t="str">
        <x:v>Home</x:v>
      </x:c>
      <x:c r="F1842" s="28" t="n">
        <x:v>0</x:v>
      </x:c>
      <x:c r="G1842" s="28" t="n">
        <x:v>2</x:v>
      </x:c>
      <x:c r="H1842" s="28" t="n">
        <x:v>15</x:v>
      </x:c>
      <x:c r="I1842" s="28" t="n">
        <x:v>12</x:v>
      </x:c>
      <x:c r="J1842" s="28" t="n">
        <x:v>1</x:v>
      </x:c>
      <x:c r="K1842" s="28" t="n">
        <x:v>6</x:v>
      </x:c>
      <x:c r="L1842" s="28" t="n">
        <x:v>6</x:v>
      </x:c>
      <x:c r="M1842" s="28" t="n">
        <x:v>4</x:v>
      </x:c>
      <x:c r="N1842" s="28" t="n">
        <x:v>2</x:v>
      </x:c>
      <x:c r="O1842" s="28" t="n">
        <x:v>0</x:v>
      </x:c>
      <x:c r="P1842" s="28" t="n">
        <x:v>0</x:v>
      </x:c>
      <x:c r="Q1842" s="24" t="n">
        <x:f>IFERROR(J1842/H1842,0)</x:f>
        <x:v>0.06666666666666667</x:v>
      </x:c>
      <x:c r="R1842" s="24" t="n">
        <x:f>IFERROR(F1842/H1842,0)</x:f>
        <x:v>0</x:v>
      </x:c>
      <x:c r="S1842" s="24" t="n">
        <x:f>IFERROR(F1842/J1842,0)</x:f>
        <x:v>0</x:v>
      </x:c>
      <x:c r="T1842" s="28" t="n">
        <x:f>H1842-I1842</x:f>
        <x:v>3</x:v>
      </x:c>
      <x:c r="U1842" s="24" t="n">
        <x:f>IFERROR(J1842/H1842,0)-IFERROR(K1842/I1842,0)</x:f>
        <x:v>-0.43333333333333335</x:v>
      </x:c>
      <x:c r="V1842" s="24" t="n">
        <x:f>IFERROR(F1842/J1842,0)-IFERROR(G1842/K1842,0)</x:f>
        <x:v>-0.3333333333333333</x:v>
      </x:c>
      <x:c r="W1842" s="28" t="n">
        <x:f>L1842-M1842</x:f>
        <x:v>2</x:v>
      </x:c>
      <x:c r="X1842" s="24" t="n">
        <x:f>IFERROR(K1842/I1842,0)</x:f>
        <x:v>0.5</x:v>
      </x:c>
      <x:c r="Y1842" s="24" t="n">
        <x:f>IFERROR(G1842/I1842,0)</x:f>
        <x:v>0.16666666666666666</x:v>
      </x:c>
      <x:c r="Z1842" s="24" t="n">
        <x:f>IFERROR(G1842/K1842,0)</x:f>
        <x:v>0.3333333333333333</x:v>
      </x:c>
      <x:c r="AA1842" s="24" t="n">
        <x:f>IFERROR(F1842/H1842,0)-IFERROR(G1842/I1842,0)</x:f>
        <x:v>-0.16666666666666666</x:v>
      </x:c>
      <x:c r="AB1842" s="28" t="n">
        <x:f>J1842-K1842</x:f>
        <x:v>-5</x:v>
      </x:c>
      <x:c r="AC1842" s="32" t="n">
        <x:f>F1842-G1842</x:f>
        <x:v>-2</x:v>
      </x:c>
    </x:row>
    <x:row r="1843">
      <x:c r="A1843" s="4" t="str">
        <x:v>2023-24</x:v>
      </x:c>
      <x:c r="B1843" s="20" t="n">
        <x:v>45275</x:v>
      </x:c>
      <x:c r="C1843" s="4" t="str">
        <x:v>Tottenham</x:v>
      </x:c>
      <x:c r="D1843" s="4" t="str">
        <x:v>Nott'm Forest</x:v>
      </x:c>
      <x:c r="E1843" s="4" t="str">
        <x:v>Away</x:v>
      </x:c>
      <x:c r="F1843" s="28" t="n">
        <x:v>2</x:v>
      </x:c>
      <x:c r="G1843" s="28" t="n">
        <x:v>0</x:v>
      </x:c>
      <x:c r="H1843" s="28" t="n">
        <x:v>12</x:v>
      </x:c>
      <x:c r="I1843" s="28" t="n">
        <x:v>15</x:v>
      </x:c>
      <x:c r="J1843" s="28" t="n">
        <x:v>6</x:v>
      </x:c>
      <x:c r="K1843" s="28" t="n">
        <x:v>1</x:v>
      </x:c>
      <x:c r="L1843" s="28" t="n">
        <x:v>4</x:v>
      </x:c>
      <x:c r="M1843" s="28" t="n">
        <x:v>6</x:v>
      </x:c>
      <x:c r="N1843" s="28" t="n">
        <x:v>4</x:v>
      </x:c>
      <x:c r="O1843" s="28" t="n">
        <x:v>1</x:v>
      </x:c>
      <x:c r="P1843" s="28" t="n">
        <x:v>3</x:v>
      </x:c>
      <x:c r="Q1843" s="24" t="n">
        <x:f>IFERROR(J1843/H1843,0)</x:f>
        <x:v>0.5</x:v>
      </x:c>
      <x:c r="R1843" s="24" t="n">
        <x:f>IFERROR(F1843/H1843,0)</x:f>
        <x:v>0.16666666666666666</x:v>
      </x:c>
      <x:c r="S1843" s="24" t="n">
        <x:f>IFERROR(F1843/J1843,0)</x:f>
        <x:v>0.3333333333333333</x:v>
      </x:c>
      <x:c r="T1843" s="28" t="n">
        <x:f>H1843-I1843</x:f>
        <x:v>-3</x:v>
      </x:c>
      <x:c r="U1843" s="24" t="n">
        <x:f>IFERROR(J1843/H1843,0)-IFERROR(K1843/I1843,0)</x:f>
        <x:v>0.43333333333333335</x:v>
      </x:c>
      <x:c r="V1843" s="24" t="n">
        <x:f>IFERROR(F1843/J1843,0)-IFERROR(G1843/K1843,0)</x:f>
        <x:v>0.3333333333333333</x:v>
      </x:c>
      <x:c r="W1843" s="28" t="n">
        <x:f>L1843-M1843</x:f>
        <x:v>-2</x:v>
      </x:c>
      <x:c r="X1843" s="24" t="n">
        <x:f>IFERROR(K1843/I1843,0)</x:f>
        <x:v>0.06666666666666667</x:v>
      </x:c>
      <x:c r="Y1843" s="24" t="n">
        <x:f>IFERROR(G1843/I1843,0)</x:f>
        <x:v>0</x:v>
      </x:c>
      <x:c r="Z1843" s="24" t="n">
        <x:f>IFERROR(G1843/K1843,0)</x:f>
        <x:v>0</x:v>
      </x:c>
      <x:c r="AA1843" s="24" t="n">
        <x:f>IFERROR(F1843/H1843,0)-IFERROR(G1843/I1843,0)</x:f>
        <x:v>0.16666666666666666</x:v>
      </x:c>
      <x:c r="AB1843" s="28" t="n">
        <x:f>J1843-K1843</x:f>
        <x:v>5</x:v>
      </x:c>
      <x:c r="AC1843" s="32" t="n">
        <x:f>F1843-G1843</x:f>
        <x:v>2</x:v>
      </x:c>
    </x:row>
    <x:row r="1844">
      <x:c r="A1844" s="4" t="str">
        <x:v>2023-24</x:v>
      </x:c>
      <x:c r="B1844" s="20" t="n">
        <x:v>45276</x:v>
      </x:c>
      <x:c r="C1844" s="4" t="str">
        <x:v>Burnley</x:v>
      </x:c>
      <x:c r="D1844" s="4" t="str">
        <x:v>Everton</x:v>
      </x:c>
      <x:c r="E1844" s="4" t="str">
        <x:v>Home</x:v>
      </x:c>
      <x:c r="F1844" s="28" t="n">
        <x:v>0</x:v>
      </x:c>
      <x:c r="G1844" s="28" t="n">
        <x:v>2</x:v>
      </x:c>
      <x:c r="H1844" s="28" t="n">
        <x:v>14</x:v>
      </x:c>
      <x:c r="I1844" s="28" t="n">
        <x:v>9</x:v>
      </x:c>
      <x:c r="J1844" s="28" t="n">
        <x:v>2</x:v>
      </x:c>
      <x:c r="K1844" s="28" t="n">
        <x:v>6</x:v>
      </x:c>
      <x:c r="L1844" s="28" t="n">
        <x:v>8</x:v>
      </x:c>
      <x:c r="M1844" s="28" t="n">
        <x:v>6</x:v>
      </x:c>
      <x:c r="N1844" s="28" t="n">
        <x:v>0</x:v>
      </x:c>
      <x:c r="O1844" s="28" t="n">
        <x:v>0</x:v>
      </x:c>
      <x:c r="P1844" s="28" t="n">
        <x:v>0</x:v>
      </x:c>
      <x:c r="Q1844" s="24" t="n">
        <x:f>IFERROR(J1844/H1844,0)</x:f>
        <x:v>0.14285714285714285</x:v>
      </x:c>
      <x:c r="R1844" s="24" t="n">
        <x:f>IFERROR(F1844/H1844,0)</x:f>
        <x:v>0</x:v>
      </x:c>
      <x:c r="S1844" s="24" t="n">
        <x:f>IFERROR(F1844/J1844,0)</x:f>
        <x:v>0</x:v>
      </x:c>
      <x:c r="T1844" s="28" t="n">
        <x:f>H1844-I1844</x:f>
        <x:v>5</x:v>
      </x:c>
      <x:c r="U1844" s="24" t="n">
        <x:f>IFERROR(J1844/H1844,0)-IFERROR(K1844/I1844,0)</x:f>
        <x:v>-0.5238095238095237</x:v>
      </x:c>
      <x:c r="V1844" s="24" t="n">
        <x:f>IFERROR(F1844/J1844,0)-IFERROR(G1844/K1844,0)</x:f>
        <x:v>-0.3333333333333333</x:v>
      </x:c>
      <x:c r="W1844" s="28" t="n">
        <x:f>L1844-M1844</x:f>
        <x:v>2</x:v>
      </x:c>
      <x:c r="X1844" s="24" t="n">
        <x:f>IFERROR(K1844/I1844,0)</x:f>
        <x:v>0.6666666666666666</x:v>
      </x:c>
      <x:c r="Y1844" s="24" t="n">
        <x:f>IFERROR(G1844/I1844,0)</x:f>
        <x:v>0.2222222222222222</x:v>
      </x:c>
      <x:c r="Z1844" s="24" t="n">
        <x:f>IFERROR(G1844/K1844,0)</x:f>
        <x:v>0.3333333333333333</x:v>
      </x:c>
      <x:c r="AA1844" s="24" t="n">
        <x:f>IFERROR(F1844/H1844,0)-IFERROR(G1844/I1844,0)</x:f>
        <x:v>-0.2222222222222222</x:v>
      </x:c>
      <x:c r="AB1844" s="28" t="n">
        <x:f>J1844-K1844</x:f>
        <x:v>-4</x:v>
      </x:c>
      <x:c r="AC1844" s="32" t="n">
        <x:f>F1844-G1844</x:f>
        <x:v>-2</x:v>
      </x:c>
    </x:row>
    <x:row r="1845">
      <x:c r="A1845" s="4" t="str">
        <x:v>2023-24</x:v>
      </x:c>
      <x:c r="B1845" s="20" t="n">
        <x:v>45276</x:v>
      </x:c>
      <x:c r="C1845" s="4" t="str">
        <x:v>Chelsea</x:v>
      </x:c>
      <x:c r="D1845" s="4" t="str">
        <x:v>Sheffield United</x:v>
      </x:c>
      <x:c r="E1845" s="4" t="str">
        <x:v>Home</x:v>
      </x:c>
      <x:c r="F1845" s="28" t="n">
        <x:v>2</x:v>
      </x:c>
      <x:c r="G1845" s="28" t="n">
        <x:v>0</x:v>
      </x:c>
      <x:c r="H1845" s="28" t="n">
        <x:v>15</x:v>
      </x:c>
      <x:c r="I1845" s="28" t="n">
        <x:v>6</x:v>
      </x:c>
      <x:c r="J1845" s="28" t="n">
        <x:v>6</x:v>
      </x:c>
      <x:c r="K1845" s="28" t="n">
        <x:v>1</x:v>
      </x:c>
      <x:c r="L1845" s="28" t="n">
        <x:v>7</x:v>
      </x:c>
      <x:c r="M1845" s="28" t="n">
        <x:v>6</x:v>
      </x:c>
      <x:c r="N1845" s="28" t="n">
        <x:v>1</x:v>
      </x:c>
      <x:c r="O1845" s="28" t="n">
        <x:v>0</x:v>
      </x:c>
      <x:c r="P1845" s="28" t="n">
        <x:v>3</x:v>
      </x:c>
      <x:c r="Q1845" s="24" t="n">
        <x:f>IFERROR(J1845/H1845,0)</x:f>
        <x:v>0.4</x:v>
      </x:c>
      <x:c r="R1845" s="24" t="n">
        <x:f>IFERROR(F1845/H1845,0)</x:f>
        <x:v>0.13333333333333333</x:v>
      </x:c>
      <x:c r="S1845" s="24" t="n">
        <x:f>IFERROR(F1845/J1845,0)</x:f>
        <x:v>0.3333333333333333</x:v>
      </x:c>
      <x:c r="T1845" s="28" t="n">
        <x:f>H1845-I1845</x:f>
        <x:v>9</x:v>
      </x:c>
      <x:c r="U1845" s="24" t="n">
        <x:f>IFERROR(J1845/H1845,0)-IFERROR(K1845/I1845,0)</x:f>
        <x:v>0.23333333333333336</x:v>
      </x:c>
      <x:c r="V1845" s="24" t="n">
        <x:f>IFERROR(F1845/J1845,0)-IFERROR(G1845/K1845,0)</x:f>
        <x:v>0.3333333333333333</x:v>
      </x:c>
      <x:c r="W1845" s="28" t="n">
        <x:f>L1845-M1845</x:f>
        <x:v>1</x:v>
      </x:c>
      <x:c r="X1845" s="24" t="n">
        <x:f>IFERROR(K1845/I1845,0)</x:f>
        <x:v>0.16666666666666666</x:v>
      </x:c>
      <x:c r="Y1845" s="24" t="n">
        <x:f>IFERROR(G1845/I1845,0)</x:f>
        <x:v>0</x:v>
      </x:c>
      <x:c r="Z1845" s="24" t="n">
        <x:f>IFERROR(G1845/K1845,0)</x:f>
        <x:v>0</x:v>
      </x:c>
      <x:c r="AA1845" s="24" t="n">
        <x:f>IFERROR(F1845/H1845,0)-IFERROR(G1845/I1845,0)</x:f>
        <x:v>0.13333333333333333</x:v>
      </x:c>
      <x:c r="AB1845" s="28" t="n">
        <x:f>J1845-K1845</x:f>
        <x:v>5</x:v>
      </x:c>
      <x:c r="AC1845" s="32" t="n">
        <x:f>F1845-G1845</x:f>
        <x:v>2</x:v>
      </x:c>
    </x:row>
    <x:row r="1846">
      <x:c r="A1846" s="4" t="str">
        <x:v>2023-24</x:v>
      </x:c>
      <x:c r="B1846" s="20" t="n">
        <x:v>45276</x:v>
      </x:c>
      <x:c r="C1846" s="4" t="str">
        <x:v>Crystal Palace</x:v>
      </x:c>
      <x:c r="D1846" s="4" t="str">
        <x:v>Man City</x:v>
      </x:c>
      <x:c r="E1846" s="4" t="str">
        <x:v>Away</x:v>
      </x:c>
      <x:c r="F1846" s="28" t="n">
        <x:v>2</x:v>
      </x:c>
      <x:c r="G1846" s="28" t="n">
        <x:v>2</x:v>
      </x:c>
      <x:c r="H1846" s="28" t="n">
        <x:v>5</x:v>
      </x:c>
      <x:c r="I1846" s="28" t="n">
        <x:v>19</x:v>
      </x:c>
      <x:c r="J1846" s="28" t="n">
        <x:v>2</x:v>
      </x:c>
      <x:c r="K1846" s="28" t="n">
        <x:v>9</x:v>
      </x:c>
      <x:c r="L1846" s="28" t="n">
        <x:v>1</x:v>
      </x:c>
      <x:c r="M1846" s="28" t="n">
        <x:v>6</x:v>
      </x:c>
      <x:c r="N1846" s="28" t="n">
        <x:v>1</x:v>
      </x:c>
      <x:c r="O1846" s="28" t="n">
        <x:v>0</x:v>
      </x:c>
      <x:c r="P1846" s="28" t="n">
        <x:v>1</x:v>
      </x:c>
      <x:c r="Q1846" s="24" t="n">
        <x:f>IFERROR(J1846/H1846,0)</x:f>
        <x:v>0.4</x:v>
      </x:c>
      <x:c r="R1846" s="24" t="n">
        <x:f>IFERROR(F1846/H1846,0)</x:f>
        <x:v>0.4</x:v>
      </x:c>
      <x:c r="S1846" s="24" t="n">
        <x:f>IFERROR(F1846/J1846,0)</x:f>
        <x:v>1</x:v>
      </x:c>
      <x:c r="T1846" s="28" t="n">
        <x:f>H1846-I1846</x:f>
        <x:v>-14</x:v>
      </x:c>
      <x:c r="U1846" s="24" t="n">
        <x:f>IFERROR(J1846/H1846,0)-IFERROR(K1846/I1846,0)</x:f>
        <x:v>-0.07368421052631574</x:v>
      </x:c>
      <x:c r="V1846" s="24" t="n">
        <x:f>IFERROR(F1846/J1846,0)-IFERROR(G1846/K1846,0)</x:f>
        <x:v>0.7777777777777778</x:v>
      </x:c>
      <x:c r="W1846" s="28" t="n">
        <x:f>L1846-M1846</x:f>
        <x:v>-5</x:v>
      </x:c>
      <x:c r="X1846" s="24" t="n">
        <x:f>IFERROR(K1846/I1846,0)</x:f>
        <x:v>0.47368421052631576</x:v>
      </x:c>
      <x:c r="Y1846" s="24" t="n">
        <x:f>IFERROR(G1846/I1846,0)</x:f>
        <x:v>0.10526315789473684</x:v>
      </x:c>
      <x:c r="Z1846" s="24" t="n">
        <x:f>IFERROR(G1846/K1846,0)</x:f>
        <x:v>0.2222222222222222</x:v>
      </x:c>
      <x:c r="AA1846" s="24" t="n">
        <x:f>IFERROR(F1846/H1846,0)-IFERROR(G1846/I1846,0)</x:f>
        <x:v>0.2947368421052632</x:v>
      </x:c>
      <x:c r="AB1846" s="28" t="n">
        <x:f>J1846-K1846</x:f>
        <x:v>-7</x:v>
      </x:c>
      <x:c r="AC1846" s="32" t="n">
        <x:f>F1846-G1846</x:f>
        <x:v>0</x:v>
      </x:c>
    </x:row>
    <x:row r="1847">
      <x:c r="A1847" s="4" t="str">
        <x:v>2023-24</x:v>
      </x:c>
      <x:c r="B1847" s="20" t="n">
        <x:v>45276</x:v>
      </x:c>
      <x:c r="C1847" s="4" t="str">
        <x:v>Everton</x:v>
      </x:c>
      <x:c r="D1847" s="4" t="str">
        <x:v>Burnley</x:v>
      </x:c>
      <x:c r="E1847" s="4" t="str">
        <x:v>Away</x:v>
      </x:c>
      <x:c r="F1847" s="28" t="n">
        <x:v>2</x:v>
      </x:c>
      <x:c r="G1847" s="28" t="n">
        <x:v>0</x:v>
      </x:c>
      <x:c r="H1847" s="28" t="n">
        <x:v>9</x:v>
      </x:c>
      <x:c r="I1847" s="28" t="n">
        <x:v>14</x:v>
      </x:c>
      <x:c r="J1847" s="28" t="n">
        <x:v>6</x:v>
      </x:c>
      <x:c r="K1847" s="28" t="n">
        <x:v>2</x:v>
      </x:c>
      <x:c r="L1847" s="28" t="n">
        <x:v>6</x:v>
      </x:c>
      <x:c r="M1847" s="28" t="n">
        <x:v>8</x:v>
      </x:c>
      <x:c r="N1847" s="28" t="n">
        <x:v>1</x:v>
      </x:c>
      <x:c r="O1847" s="28" t="n">
        <x:v>0</x:v>
      </x:c>
      <x:c r="P1847" s="28" t="n">
        <x:v>3</x:v>
      </x:c>
      <x:c r="Q1847" s="24" t="n">
        <x:f>IFERROR(J1847/H1847,0)</x:f>
        <x:v>0.6666666666666666</x:v>
      </x:c>
      <x:c r="R1847" s="24" t="n">
        <x:f>IFERROR(F1847/H1847,0)</x:f>
        <x:v>0.2222222222222222</x:v>
      </x:c>
      <x:c r="S1847" s="24" t="n">
        <x:f>IFERROR(F1847/J1847,0)</x:f>
        <x:v>0.3333333333333333</x:v>
      </x:c>
      <x:c r="T1847" s="28" t="n">
        <x:f>H1847-I1847</x:f>
        <x:v>-5</x:v>
      </x:c>
      <x:c r="U1847" s="24" t="n">
        <x:f>IFERROR(J1847/H1847,0)-IFERROR(K1847/I1847,0)</x:f>
        <x:v>0.5238095238095237</x:v>
      </x:c>
      <x:c r="V1847" s="24" t="n">
        <x:f>IFERROR(F1847/J1847,0)-IFERROR(G1847/K1847,0)</x:f>
        <x:v>0.3333333333333333</x:v>
      </x:c>
      <x:c r="W1847" s="28" t="n">
        <x:f>L1847-M1847</x:f>
        <x:v>-2</x:v>
      </x:c>
      <x:c r="X1847" s="24" t="n">
        <x:f>IFERROR(K1847/I1847,0)</x:f>
        <x:v>0.14285714285714285</x:v>
      </x:c>
      <x:c r="Y1847" s="24" t="n">
        <x:f>IFERROR(G1847/I1847,0)</x:f>
        <x:v>0</x:v>
      </x:c>
      <x:c r="Z1847" s="24" t="n">
        <x:f>IFERROR(G1847/K1847,0)</x:f>
        <x:v>0</x:v>
      </x:c>
      <x:c r="AA1847" s="24" t="n">
        <x:f>IFERROR(F1847/H1847,0)-IFERROR(G1847/I1847,0)</x:f>
        <x:v>0.2222222222222222</x:v>
      </x:c>
      <x:c r="AB1847" s="28" t="n">
        <x:f>J1847-K1847</x:f>
        <x:v>4</x:v>
      </x:c>
      <x:c r="AC1847" s="32" t="n">
        <x:f>F1847-G1847</x:f>
        <x:v>2</x:v>
      </x:c>
    </x:row>
    <x:row r="1848">
      <x:c r="A1848" s="4" t="str">
        <x:v>2023-24</x:v>
      </x:c>
      <x:c r="B1848" s="20" t="n">
        <x:v>45276</x:v>
      </x:c>
      <x:c r="C1848" s="4" t="str">
        <x:v>Fulham</x:v>
      </x:c>
      <x:c r="D1848" s="4" t="str">
        <x:v>Newcastle</x:v>
      </x:c>
      <x:c r="E1848" s="4" t="str">
        <x:v>Away</x:v>
      </x:c>
      <x:c r="F1848" s="28" t="n">
        <x:v>0</x:v>
      </x:c>
      <x:c r="G1848" s="28" t="n">
        <x:v>3</x:v>
      </x:c>
      <x:c r="H1848" s="28" t="n">
        <x:v>6</x:v>
      </x:c>
      <x:c r="I1848" s="28" t="n">
        <x:v>27</x:v>
      </x:c>
      <x:c r="J1848" s="28" t="n">
        <x:v>4</x:v>
      </x:c>
      <x:c r="K1848" s="28" t="n">
        <x:v>10</x:v>
      </x:c>
      <x:c r="L1848" s="28" t="n">
        <x:v>1</x:v>
      </x:c>
      <x:c r="M1848" s="28" t="n">
        <x:v>5</x:v>
      </x:c>
      <x:c r="N1848" s="28" t="n">
        <x:v>2</x:v>
      </x:c>
      <x:c r="O1848" s="28" t="n">
        <x:v>1</x:v>
      </x:c>
      <x:c r="P1848" s="28" t="n">
        <x:v>0</x:v>
      </x:c>
      <x:c r="Q1848" s="24" t="n">
        <x:f>IFERROR(J1848/H1848,0)</x:f>
        <x:v>0.6666666666666666</x:v>
      </x:c>
      <x:c r="R1848" s="24" t="n">
        <x:f>IFERROR(F1848/H1848,0)</x:f>
        <x:v>0</x:v>
      </x:c>
      <x:c r="S1848" s="24" t="n">
        <x:f>IFERROR(F1848/J1848,0)</x:f>
        <x:v>0</x:v>
      </x:c>
      <x:c r="T1848" s="28" t="n">
        <x:f>H1848-I1848</x:f>
        <x:v>-21</x:v>
      </x:c>
      <x:c r="U1848" s="24" t="n">
        <x:f>IFERROR(J1848/H1848,0)-IFERROR(K1848/I1848,0)</x:f>
        <x:v>0.2962962962962963</x:v>
      </x:c>
      <x:c r="V1848" s="24" t="n">
        <x:f>IFERROR(F1848/J1848,0)-IFERROR(G1848/K1848,0)</x:f>
        <x:v>-0.3</x:v>
      </x:c>
      <x:c r="W1848" s="28" t="n">
        <x:f>L1848-M1848</x:f>
        <x:v>-4</x:v>
      </x:c>
      <x:c r="X1848" s="24" t="n">
        <x:f>IFERROR(K1848/I1848,0)</x:f>
        <x:v>0.37037037037037035</x:v>
      </x:c>
      <x:c r="Y1848" s="24" t="n">
        <x:f>IFERROR(G1848/I1848,0)</x:f>
        <x:v>0.1111111111111111</x:v>
      </x:c>
      <x:c r="Z1848" s="24" t="n">
        <x:f>IFERROR(G1848/K1848,0)</x:f>
        <x:v>0.3</x:v>
      </x:c>
      <x:c r="AA1848" s="24" t="n">
        <x:f>IFERROR(F1848/H1848,0)-IFERROR(G1848/I1848,0)</x:f>
        <x:v>-0.1111111111111111</x:v>
      </x:c>
      <x:c r="AB1848" s="28" t="n">
        <x:f>J1848-K1848</x:f>
        <x:v>-6</x:v>
      </x:c>
      <x:c r="AC1848" s="32" t="n">
        <x:f>F1848-G1848</x:f>
        <x:v>-3</x:v>
      </x:c>
    </x:row>
    <x:row r="1849">
      <x:c r="A1849" s="4" t="str">
        <x:v>2023-24</x:v>
      </x:c>
      <x:c r="B1849" s="20" t="n">
        <x:v>45276</x:v>
      </x:c>
      <x:c r="C1849" s="4" t="str">
        <x:v>Man City</x:v>
      </x:c>
      <x:c r="D1849" s="4" t="str">
        <x:v>Crystal Palace</x:v>
      </x:c>
      <x:c r="E1849" s="4" t="str">
        <x:v>Home</x:v>
      </x:c>
      <x:c r="F1849" s="28" t="n">
        <x:v>2</x:v>
      </x:c>
      <x:c r="G1849" s="28" t="n">
        <x:v>2</x:v>
      </x:c>
      <x:c r="H1849" s="28" t="n">
        <x:v>19</x:v>
      </x:c>
      <x:c r="I1849" s="28" t="n">
        <x:v>5</x:v>
      </x:c>
      <x:c r="J1849" s="28" t="n">
        <x:v>9</x:v>
      </x:c>
      <x:c r="K1849" s="28" t="n">
        <x:v>2</x:v>
      </x:c>
      <x:c r="L1849" s="28" t="n">
        <x:v>6</x:v>
      </x:c>
      <x:c r="M1849" s="28" t="n">
        <x:v>1</x:v>
      </x:c>
      <x:c r="N1849" s="28" t="n">
        <x:v>1</x:v>
      </x:c>
      <x:c r="O1849" s="28" t="n">
        <x:v>0</x:v>
      </x:c>
      <x:c r="P1849" s="28" t="n">
        <x:v>1</x:v>
      </x:c>
      <x:c r="Q1849" s="24" t="n">
        <x:f>IFERROR(J1849/H1849,0)</x:f>
        <x:v>0.47368421052631576</x:v>
      </x:c>
      <x:c r="R1849" s="24" t="n">
        <x:f>IFERROR(F1849/H1849,0)</x:f>
        <x:v>0.10526315789473684</x:v>
      </x:c>
      <x:c r="S1849" s="24" t="n">
        <x:f>IFERROR(F1849/J1849,0)</x:f>
        <x:v>0.2222222222222222</x:v>
      </x:c>
      <x:c r="T1849" s="28" t="n">
        <x:f>H1849-I1849</x:f>
        <x:v>14</x:v>
      </x:c>
      <x:c r="U1849" s="24" t="n">
        <x:f>IFERROR(J1849/H1849,0)-IFERROR(K1849/I1849,0)</x:f>
        <x:v>0.07368421052631574</x:v>
      </x:c>
      <x:c r="V1849" s="24" t="n">
        <x:f>IFERROR(F1849/J1849,0)-IFERROR(G1849/K1849,0)</x:f>
        <x:v>-0.7777777777777778</x:v>
      </x:c>
      <x:c r="W1849" s="28" t="n">
        <x:f>L1849-M1849</x:f>
        <x:v>5</x:v>
      </x:c>
      <x:c r="X1849" s="24" t="n">
        <x:f>IFERROR(K1849/I1849,0)</x:f>
        <x:v>0.4</x:v>
      </x:c>
      <x:c r="Y1849" s="24" t="n">
        <x:f>IFERROR(G1849/I1849,0)</x:f>
        <x:v>0.4</x:v>
      </x:c>
      <x:c r="Z1849" s="24" t="n">
        <x:f>IFERROR(G1849/K1849,0)</x:f>
        <x:v>1</x:v>
      </x:c>
      <x:c r="AA1849" s="24" t="n">
        <x:f>IFERROR(F1849/H1849,0)-IFERROR(G1849/I1849,0)</x:f>
        <x:v>-0.2947368421052632</x:v>
      </x:c>
      <x:c r="AB1849" s="28" t="n">
        <x:f>J1849-K1849</x:f>
        <x:v>7</x:v>
      </x:c>
      <x:c r="AC1849" s="32" t="n">
        <x:f>F1849-G1849</x:f>
        <x:v>0</x:v>
      </x:c>
    </x:row>
    <x:row r="1850">
      <x:c r="A1850" s="4" t="str">
        <x:v>2023-24</x:v>
      </x:c>
      <x:c r="B1850" s="20" t="n">
        <x:v>45276</x:v>
      </x:c>
      <x:c r="C1850" s="4" t="str">
        <x:v>Newcastle</x:v>
      </x:c>
      <x:c r="D1850" s="4" t="str">
        <x:v>Fulham</x:v>
      </x:c>
      <x:c r="E1850" s="4" t="str">
        <x:v>Home</x:v>
      </x:c>
      <x:c r="F1850" s="28" t="n">
        <x:v>3</x:v>
      </x:c>
      <x:c r="G1850" s="28" t="n">
        <x:v>0</x:v>
      </x:c>
      <x:c r="H1850" s="28" t="n">
        <x:v>27</x:v>
      </x:c>
      <x:c r="I1850" s="28" t="n">
        <x:v>6</x:v>
      </x:c>
      <x:c r="J1850" s="28" t="n">
        <x:v>10</x:v>
      </x:c>
      <x:c r="K1850" s="28" t="n">
        <x:v>4</x:v>
      </x:c>
      <x:c r="L1850" s="28" t="n">
        <x:v>5</x:v>
      </x:c>
      <x:c r="M1850" s="28" t="n">
        <x:v>1</x:v>
      </x:c>
      <x:c r="N1850" s="28" t="n">
        <x:v>0</x:v>
      </x:c>
      <x:c r="O1850" s="28" t="n">
        <x:v>0</x:v>
      </x:c>
      <x:c r="P1850" s="28" t="n">
        <x:v>3</x:v>
      </x:c>
      <x:c r="Q1850" s="24" t="n">
        <x:f>IFERROR(J1850/H1850,0)</x:f>
        <x:v>0.37037037037037035</x:v>
      </x:c>
      <x:c r="R1850" s="24" t="n">
        <x:f>IFERROR(F1850/H1850,0)</x:f>
        <x:v>0.1111111111111111</x:v>
      </x:c>
      <x:c r="S1850" s="24" t="n">
        <x:f>IFERROR(F1850/J1850,0)</x:f>
        <x:v>0.3</x:v>
      </x:c>
      <x:c r="T1850" s="28" t="n">
        <x:f>H1850-I1850</x:f>
        <x:v>21</x:v>
      </x:c>
      <x:c r="U1850" s="24" t="n">
        <x:f>IFERROR(J1850/H1850,0)-IFERROR(K1850/I1850,0)</x:f>
        <x:v>-0.2962962962962963</x:v>
      </x:c>
      <x:c r="V1850" s="24" t="n">
        <x:f>IFERROR(F1850/J1850,0)-IFERROR(G1850/K1850,0)</x:f>
        <x:v>0.3</x:v>
      </x:c>
      <x:c r="W1850" s="28" t="n">
        <x:f>L1850-M1850</x:f>
        <x:v>4</x:v>
      </x:c>
      <x:c r="X1850" s="24" t="n">
        <x:f>IFERROR(K1850/I1850,0)</x:f>
        <x:v>0.6666666666666666</x:v>
      </x:c>
      <x:c r="Y1850" s="24" t="n">
        <x:f>IFERROR(G1850/I1850,0)</x:f>
        <x:v>0</x:v>
      </x:c>
      <x:c r="Z1850" s="24" t="n">
        <x:f>IFERROR(G1850/K1850,0)</x:f>
        <x:v>0</x:v>
      </x:c>
      <x:c r="AA1850" s="24" t="n">
        <x:f>IFERROR(F1850/H1850,0)-IFERROR(G1850/I1850,0)</x:f>
        <x:v>0.1111111111111111</x:v>
      </x:c>
      <x:c r="AB1850" s="28" t="n">
        <x:f>J1850-K1850</x:f>
        <x:v>6</x:v>
      </x:c>
      <x:c r="AC1850" s="32" t="n">
        <x:f>F1850-G1850</x:f>
        <x:v>3</x:v>
      </x:c>
    </x:row>
    <x:row r="1851">
      <x:c r="A1851" s="4" t="str">
        <x:v>2023-24</x:v>
      </x:c>
      <x:c r="B1851" s="20" t="n">
        <x:v>45276</x:v>
      </x:c>
      <x:c r="C1851" s="4" t="str">
        <x:v>Sheffield United</x:v>
      </x:c>
      <x:c r="D1851" s="4" t="str">
        <x:v>Chelsea</x:v>
      </x:c>
      <x:c r="E1851" s="4" t="str">
        <x:v>Away</x:v>
      </x:c>
      <x:c r="F1851" s="28" t="n">
        <x:v>0</x:v>
      </x:c>
      <x:c r="G1851" s="28" t="n">
        <x:v>2</x:v>
      </x:c>
      <x:c r="H1851" s="28" t="n">
        <x:v>6</x:v>
      </x:c>
      <x:c r="I1851" s="28" t="n">
        <x:v>15</x:v>
      </x:c>
      <x:c r="J1851" s="28" t="n">
        <x:v>1</x:v>
      </x:c>
      <x:c r="K1851" s="28" t="n">
        <x:v>6</x:v>
      </x:c>
      <x:c r="L1851" s="28" t="n">
        <x:v>6</x:v>
      </x:c>
      <x:c r="M1851" s="28" t="n">
        <x:v>7</x:v>
      </x:c>
      <x:c r="N1851" s="28" t="n">
        <x:v>3</x:v>
      </x:c>
      <x:c r="O1851" s="28" t="n">
        <x:v>0</x:v>
      </x:c>
      <x:c r="P1851" s="28" t="n">
        <x:v>0</x:v>
      </x:c>
      <x:c r="Q1851" s="24" t="n">
        <x:f>IFERROR(J1851/H1851,0)</x:f>
        <x:v>0.16666666666666666</x:v>
      </x:c>
      <x:c r="R1851" s="24" t="n">
        <x:f>IFERROR(F1851/H1851,0)</x:f>
        <x:v>0</x:v>
      </x:c>
      <x:c r="S1851" s="24" t="n">
        <x:f>IFERROR(F1851/J1851,0)</x:f>
        <x:v>0</x:v>
      </x:c>
      <x:c r="T1851" s="28" t="n">
        <x:f>H1851-I1851</x:f>
        <x:v>-9</x:v>
      </x:c>
      <x:c r="U1851" s="24" t="n">
        <x:f>IFERROR(J1851/H1851,0)-IFERROR(K1851/I1851,0)</x:f>
        <x:v>-0.23333333333333336</x:v>
      </x:c>
      <x:c r="V1851" s="24" t="n">
        <x:f>IFERROR(F1851/J1851,0)-IFERROR(G1851/K1851,0)</x:f>
        <x:v>-0.3333333333333333</x:v>
      </x:c>
      <x:c r="W1851" s="28" t="n">
        <x:f>L1851-M1851</x:f>
        <x:v>-1</x:v>
      </x:c>
      <x:c r="X1851" s="24" t="n">
        <x:f>IFERROR(K1851/I1851,0)</x:f>
        <x:v>0.4</x:v>
      </x:c>
      <x:c r="Y1851" s="24" t="n">
        <x:f>IFERROR(G1851/I1851,0)</x:f>
        <x:v>0.13333333333333333</x:v>
      </x:c>
      <x:c r="Z1851" s="24" t="n">
        <x:f>IFERROR(G1851/K1851,0)</x:f>
        <x:v>0.3333333333333333</x:v>
      </x:c>
      <x:c r="AA1851" s="24" t="n">
        <x:f>IFERROR(F1851/H1851,0)-IFERROR(G1851/I1851,0)</x:f>
        <x:v>-0.13333333333333333</x:v>
      </x:c>
      <x:c r="AB1851" s="28" t="n">
        <x:f>J1851-K1851</x:f>
        <x:v>-5</x:v>
      </x:c>
      <x:c r="AC1851" s="32" t="n">
        <x:f>F1851-G1851</x:f>
        <x:v>-2</x:v>
      </x:c>
    </x:row>
    <x:row r="1852">
      <x:c r="A1852" s="4" t="str">
        <x:v>2023-24</x:v>
      </x:c>
      <x:c r="B1852" s="20" t="n">
        <x:v>45277</x:v>
      </x:c>
      <x:c r="C1852" s="4" t="str">
        <x:v>Arsenal</x:v>
      </x:c>
      <x:c r="D1852" s="4" t="str">
        <x:v>Brighton</x:v>
      </x:c>
      <x:c r="E1852" s="4" t="str">
        <x:v>Home</x:v>
      </x:c>
      <x:c r="F1852" s="28" t="n">
        <x:v>2</x:v>
      </x:c>
      <x:c r="G1852" s="28" t="n">
        <x:v>0</x:v>
      </x:c>
      <x:c r="H1852" s="28" t="n">
        <x:v>26</x:v>
      </x:c>
      <x:c r="I1852" s="28" t="n">
        <x:v>6</x:v>
      </x:c>
      <x:c r="J1852" s="28" t="n">
        <x:v>9</x:v>
      </x:c>
      <x:c r="K1852" s="28" t="n">
        <x:v>1</x:v>
      </x:c>
      <x:c r="L1852" s="28" t="n">
        <x:v>10</x:v>
      </x:c>
      <x:c r="M1852" s="28" t="n">
        <x:v>1</x:v>
      </x:c>
      <x:c r="N1852" s="28" t="n">
        <x:v>1</x:v>
      </x:c>
      <x:c r="O1852" s="28" t="n">
        <x:v>0</x:v>
      </x:c>
      <x:c r="P1852" s="28" t="n">
        <x:v>3</x:v>
      </x:c>
      <x:c r="Q1852" s="24" t="n">
        <x:f>IFERROR(J1852/H1852,0)</x:f>
        <x:v>0.34615384615384615</x:v>
      </x:c>
      <x:c r="R1852" s="24" t="n">
        <x:f>IFERROR(F1852/H1852,0)</x:f>
        <x:v>0.07692307692307693</x:v>
      </x:c>
      <x:c r="S1852" s="24" t="n">
        <x:f>IFERROR(F1852/J1852,0)</x:f>
        <x:v>0.2222222222222222</x:v>
      </x:c>
      <x:c r="T1852" s="28" t="n">
        <x:f>H1852-I1852</x:f>
        <x:v>20</x:v>
      </x:c>
      <x:c r="U1852" s="24" t="n">
        <x:f>IFERROR(J1852/H1852,0)-IFERROR(K1852/I1852,0)</x:f>
        <x:v>0.1794871794871795</x:v>
      </x:c>
      <x:c r="V1852" s="24" t="n">
        <x:f>IFERROR(F1852/J1852,0)-IFERROR(G1852/K1852,0)</x:f>
        <x:v>0.2222222222222222</x:v>
      </x:c>
      <x:c r="W1852" s="28" t="n">
        <x:f>L1852-M1852</x:f>
        <x:v>9</x:v>
      </x:c>
      <x:c r="X1852" s="24" t="n">
        <x:f>IFERROR(K1852/I1852,0)</x:f>
        <x:v>0.16666666666666666</x:v>
      </x:c>
      <x:c r="Y1852" s="24" t="n">
        <x:f>IFERROR(G1852/I1852,0)</x:f>
        <x:v>0</x:v>
      </x:c>
      <x:c r="Z1852" s="24" t="n">
        <x:f>IFERROR(G1852/K1852,0)</x:f>
        <x:v>0</x:v>
      </x:c>
      <x:c r="AA1852" s="24" t="n">
        <x:f>IFERROR(F1852/H1852,0)-IFERROR(G1852/I1852,0)</x:f>
        <x:v>0.07692307692307693</x:v>
      </x:c>
      <x:c r="AB1852" s="28" t="n">
        <x:f>J1852-K1852</x:f>
        <x:v>8</x:v>
      </x:c>
      <x:c r="AC1852" s="32" t="n">
        <x:f>F1852-G1852</x:f>
        <x:v>2</x:v>
      </x:c>
    </x:row>
    <x:row r="1853">
      <x:c r="A1853" s="4" t="str">
        <x:v>2023-24</x:v>
      </x:c>
      <x:c r="B1853" s="20" t="n">
        <x:v>45277</x:v>
      </x:c>
      <x:c r="C1853" s="4" t="str">
        <x:v>Aston Villa</x:v>
      </x:c>
      <x:c r="D1853" s="4" t="str">
        <x:v>Brentford</x:v>
      </x:c>
      <x:c r="E1853" s="4" t="str">
        <x:v>Away</x:v>
      </x:c>
      <x:c r="F1853" s="28" t="n">
        <x:v>2</x:v>
      </x:c>
      <x:c r="G1853" s="28" t="n">
        <x:v>1</x:v>
      </x:c>
      <x:c r="H1853" s="28" t="n">
        <x:v>15</x:v>
      </x:c>
      <x:c r="I1853" s="28" t="n">
        <x:v>4</x:v>
      </x:c>
      <x:c r="J1853" s="28" t="n">
        <x:v>5</x:v>
      </x:c>
      <x:c r="K1853" s="28" t="n">
        <x:v>3</x:v>
      </x:c>
      <x:c r="L1853" s="28" t="n">
        <x:v>12</x:v>
      </x:c>
      <x:c r="M1853" s="28" t="n">
        <x:v>7</x:v>
      </x:c>
      <x:c r="N1853" s="28" t="n">
        <x:v>4</x:v>
      </x:c>
      <x:c r="O1853" s="28" t="n">
        <x:v>1</x:v>
      </x:c>
      <x:c r="P1853" s="28" t="n">
        <x:v>3</x:v>
      </x:c>
      <x:c r="Q1853" s="24" t="n">
        <x:f>IFERROR(J1853/H1853,0)</x:f>
        <x:v>0.3333333333333333</x:v>
      </x:c>
      <x:c r="R1853" s="24" t="n">
        <x:f>IFERROR(F1853/H1853,0)</x:f>
        <x:v>0.13333333333333333</x:v>
      </x:c>
      <x:c r="S1853" s="24" t="n">
        <x:f>IFERROR(F1853/J1853,0)</x:f>
        <x:v>0.4</x:v>
      </x:c>
      <x:c r="T1853" s="28" t="n">
        <x:f>H1853-I1853</x:f>
        <x:v>11</x:v>
      </x:c>
      <x:c r="U1853" s="24" t="n">
        <x:f>IFERROR(J1853/H1853,0)-IFERROR(K1853/I1853,0)</x:f>
        <x:v>-0.4166666666666667</x:v>
      </x:c>
      <x:c r="V1853" s="24" t="n">
        <x:f>IFERROR(F1853/J1853,0)-IFERROR(G1853/K1853,0)</x:f>
        <x:v>0.06666666666666671</x:v>
      </x:c>
      <x:c r="W1853" s="28" t="n">
        <x:f>L1853-M1853</x:f>
        <x:v>5</x:v>
      </x:c>
      <x:c r="X1853" s="24" t="n">
        <x:f>IFERROR(K1853/I1853,0)</x:f>
        <x:v>0.75</x:v>
      </x:c>
      <x:c r="Y1853" s="24" t="n">
        <x:f>IFERROR(G1853/I1853,0)</x:f>
        <x:v>0.25</x:v>
      </x:c>
      <x:c r="Z1853" s="24" t="n">
        <x:f>IFERROR(G1853/K1853,0)</x:f>
        <x:v>0.3333333333333333</x:v>
      </x:c>
      <x:c r="AA1853" s="24" t="n">
        <x:f>IFERROR(F1853/H1853,0)-IFERROR(G1853/I1853,0)</x:f>
        <x:v>-0.11666666666666667</x:v>
      </x:c>
      <x:c r="AB1853" s="28" t="n">
        <x:f>J1853-K1853</x:f>
        <x:v>2</x:v>
      </x:c>
      <x:c r="AC1853" s="32" t="n">
        <x:f>F1853-G1853</x:f>
        <x:v>1</x:v>
      </x:c>
    </x:row>
    <x:row r="1854">
      <x:c r="A1854" s="4" t="str">
        <x:v>2023-24</x:v>
      </x:c>
      <x:c r="B1854" s="20" t="n">
        <x:v>45277</x:v>
      </x:c>
      <x:c r="C1854" s="4" t="str">
        <x:v>Brentford</x:v>
      </x:c>
      <x:c r="D1854" s="4" t="str">
        <x:v>Aston Villa</x:v>
      </x:c>
      <x:c r="E1854" s="4" t="str">
        <x:v>Home</x:v>
      </x:c>
      <x:c r="F1854" s="28" t="n">
        <x:v>1</x:v>
      </x:c>
      <x:c r="G1854" s="28" t="n">
        <x:v>2</x:v>
      </x:c>
      <x:c r="H1854" s="28" t="n">
        <x:v>4</x:v>
      </x:c>
      <x:c r="I1854" s="28" t="n">
        <x:v>15</x:v>
      </x:c>
      <x:c r="J1854" s="28" t="n">
        <x:v>3</x:v>
      </x:c>
      <x:c r="K1854" s="28" t="n">
        <x:v>5</x:v>
      </x:c>
      <x:c r="L1854" s="28" t="n">
        <x:v>7</x:v>
      </x:c>
      <x:c r="M1854" s="28" t="n">
        <x:v>12</x:v>
      </x:c>
      <x:c r="N1854" s="28" t="n">
        <x:v>6</x:v>
      </x:c>
      <x:c r="O1854" s="28" t="n">
        <x:v>1</x:v>
      </x:c>
      <x:c r="P1854" s="28" t="n">
        <x:v>0</x:v>
      </x:c>
      <x:c r="Q1854" s="24" t="n">
        <x:f>IFERROR(J1854/H1854,0)</x:f>
        <x:v>0.75</x:v>
      </x:c>
      <x:c r="R1854" s="24" t="n">
        <x:f>IFERROR(F1854/H1854,0)</x:f>
        <x:v>0.25</x:v>
      </x:c>
      <x:c r="S1854" s="24" t="n">
        <x:f>IFERROR(F1854/J1854,0)</x:f>
        <x:v>0.3333333333333333</x:v>
      </x:c>
      <x:c r="T1854" s="28" t="n">
        <x:f>H1854-I1854</x:f>
        <x:v>-11</x:v>
      </x:c>
      <x:c r="U1854" s="24" t="n">
        <x:f>IFERROR(J1854/H1854,0)-IFERROR(K1854/I1854,0)</x:f>
        <x:v>0.4166666666666667</x:v>
      </x:c>
      <x:c r="V1854" s="24" t="n">
        <x:f>IFERROR(F1854/J1854,0)-IFERROR(G1854/K1854,0)</x:f>
        <x:v>-0.06666666666666671</x:v>
      </x:c>
      <x:c r="W1854" s="28" t="n">
        <x:f>L1854-M1854</x:f>
        <x:v>-5</x:v>
      </x:c>
      <x:c r="X1854" s="24" t="n">
        <x:f>IFERROR(K1854/I1854,0)</x:f>
        <x:v>0.3333333333333333</x:v>
      </x:c>
      <x:c r="Y1854" s="24" t="n">
        <x:f>IFERROR(G1854/I1854,0)</x:f>
        <x:v>0.13333333333333333</x:v>
      </x:c>
      <x:c r="Z1854" s="24" t="n">
        <x:f>IFERROR(G1854/K1854,0)</x:f>
        <x:v>0.4</x:v>
      </x:c>
      <x:c r="AA1854" s="24" t="n">
        <x:f>IFERROR(F1854/H1854,0)-IFERROR(G1854/I1854,0)</x:f>
        <x:v>0.11666666666666667</x:v>
      </x:c>
      <x:c r="AB1854" s="28" t="n">
        <x:f>J1854-K1854</x:f>
        <x:v>-2</x:v>
      </x:c>
      <x:c r="AC1854" s="32" t="n">
        <x:f>F1854-G1854</x:f>
        <x:v>-1</x:v>
      </x:c>
    </x:row>
    <x:row r="1855">
      <x:c r="A1855" s="4" t="str">
        <x:v>2023-24</x:v>
      </x:c>
      <x:c r="B1855" s="20" t="n">
        <x:v>45277</x:v>
      </x:c>
      <x:c r="C1855" s="4" t="str">
        <x:v>Brighton</x:v>
      </x:c>
      <x:c r="D1855" s="4" t="str">
        <x:v>Arsenal</x:v>
      </x:c>
      <x:c r="E1855" s="4" t="str">
        <x:v>Away</x:v>
      </x:c>
      <x:c r="F1855" s="28" t="n">
        <x:v>0</x:v>
      </x:c>
      <x:c r="G1855" s="28" t="n">
        <x:v>2</x:v>
      </x:c>
      <x:c r="H1855" s="28" t="n">
        <x:v>6</x:v>
      </x:c>
      <x:c r="I1855" s="28" t="n">
        <x:v>26</x:v>
      </x:c>
      <x:c r="J1855" s="28" t="n">
        <x:v>1</x:v>
      </x:c>
      <x:c r="K1855" s="28" t="n">
        <x:v>9</x:v>
      </x:c>
      <x:c r="L1855" s="28" t="n">
        <x:v>1</x:v>
      </x:c>
      <x:c r="M1855" s="28" t="n">
        <x:v>10</x:v>
      </x:c>
      <x:c r="N1855" s="28" t="n">
        <x:v>3</x:v>
      </x:c>
      <x:c r="O1855" s="28" t="n">
        <x:v>0</x:v>
      </x:c>
      <x:c r="P1855" s="28" t="n">
        <x:v>0</x:v>
      </x:c>
      <x:c r="Q1855" s="24" t="n">
        <x:f>IFERROR(J1855/H1855,0)</x:f>
        <x:v>0.16666666666666666</x:v>
      </x:c>
      <x:c r="R1855" s="24" t="n">
        <x:f>IFERROR(F1855/H1855,0)</x:f>
        <x:v>0</x:v>
      </x:c>
      <x:c r="S1855" s="24" t="n">
        <x:f>IFERROR(F1855/J1855,0)</x:f>
        <x:v>0</x:v>
      </x:c>
      <x:c r="T1855" s="28" t="n">
        <x:f>H1855-I1855</x:f>
        <x:v>-20</x:v>
      </x:c>
      <x:c r="U1855" s="24" t="n">
        <x:f>IFERROR(J1855/H1855,0)-IFERROR(K1855/I1855,0)</x:f>
        <x:v>-0.1794871794871795</x:v>
      </x:c>
      <x:c r="V1855" s="24" t="n">
        <x:f>IFERROR(F1855/J1855,0)-IFERROR(G1855/K1855,0)</x:f>
        <x:v>-0.2222222222222222</x:v>
      </x:c>
      <x:c r="W1855" s="28" t="n">
        <x:f>L1855-M1855</x:f>
        <x:v>-9</x:v>
      </x:c>
      <x:c r="X1855" s="24" t="n">
        <x:f>IFERROR(K1855/I1855,0)</x:f>
        <x:v>0.34615384615384615</x:v>
      </x:c>
      <x:c r="Y1855" s="24" t="n">
        <x:f>IFERROR(G1855/I1855,0)</x:f>
        <x:v>0.07692307692307693</x:v>
      </x:c>
      <x:c r="Z1855" s="24" t="n">
        <x:f>IFERROR(G1855/K1855,0)</x:f>
        <x:v>0.2222222222222222</x:v>
      </x:c>
      <x:c r="AA1855" s="24" t="n">
        <x:f>IFERROR(F1855/H1855,0)-IFERROR(G1855/I1855,0)</x:f>
        <x:v>-0.07692307692307693</x:v>
      </x:c>
      <x:c r="AB1855" s="28" t="n">
        <x:f>J1855-K1855</x:f>
        <x:v>-8</x:v>
      </x:c>
      <x:c r="AC1855" s="32" t="n">
        <x:f>F1855-G1855</x:f>
        <x:v>-2</x:v>
      </x:c>
    </x:row>
    <x:row r="1856">
      <x:c r="A1856" s="4" t="str">
        <x:v>2023-24</x:v>
      </x:c>
      <x:c r="B1856" s="20" t="n">
        <x:v>45277</x:v>
      </x:c>
      <x:c r="C1856" s="4" t="str">
        <x:v>Liverpool</x:v>
      </x:c>
      <x:c r="D1856" s="4" t="str">
        <x:v>Man United</x:v>
      </x:c>
      <x:c r="E1856" s="4" t="str">
        <x:v>Home</x:v>
      </x:c>
      <x:c r="F1856" s="28" t="n">
        <x:v>0</x:v>
      </x:c>
      <x:c r="G1856" s="28" t="n">
        <x:v>0</x:v>
      </x:c>
      <x:c r="H1856" s="28" t="n">
        <x:v>34</x:v>
      </x:c>
      <x:c r="I1856" s="28" t="n">
        <x:v>6</x:v>
      </x:c>
      <x:c r="J1856" s="28" t="n">
        <x:v>8</x:v>
      </x:c>
      <x:c r="K1856" s="28" t="n">
        <x:v>1</x:v>
      </x:c>
      <x:c r="L1856" s="28" t="n">
        <x:v>12</x:v>
      </x:c>
      <x:c r="M1856" s="28" t="n">
        <x:v>0</x:v>
      </x:c>
      <x:c r="N1856" s="28" t="n">
        <x:v>2</x:v>
      </x:c>
      <x:c r="O1856" s="28" t="n">
        <x:v>0</x:v>
      </x:c>
      <x:c r="P1856" s="28" t="n">
        <x:v>1</x:v>
      </x:c>
      <x:c r="Q1856" s="24" t="n">
        <x:f>IFERROR(J1856/H1856,0)</x:f>
        <x:v>0.23529411764705882</x:v>
      </x:c>
      <x:c r="R1856" s="24" t="n">
        <x:f>IFERROR(F1856/H1856,0)</x:f>
        <x:v>0</x:v>
      </x:c>
      <x:c r="S1856" s="24" t="n">
        <x:f>IFERROR(F1856/J1856,0)</x:f>
        <x:v>0</x:v>
      </x:c>
      <x:c r="T1856" s="28" t="n">
        <x:f>H1856-I1856</x:f>
        <x:v>28</x:v>
      </x:c>
      <x:c r="U1856" s="24" t="n">
        <x:f>IFERROR(J1856/H1856,0)-IFERROR(K1856/I1856,0)</x:f>
        <x:v>0.06862745098039216</x:v>
      </x:c>
      <x:c r="V1856" s="24" t="n">
        <x:f>IFERROR(F1856/J1856,0)-IFERROR(G1856/K1856,0)</x:f>
        <x:v>0</x:v>
      </x:c>
      <x:c r="W1856" s="28" t="n">
        <x:f>L1856-M1856</x:f>
        <x:v>12</x:v>
      </x:c>
      <x:c r="X1856" s="24" t="n">
        <x:f>IFERROR(K1856/I1856,0)</x:f>
        <x:v>0.16666666666666666</x:v>
      </x:c>
      <x:c r="Y1856" s="24" t="n">
        <x:f>IFERROR(G1856/I1856,0)</x:f>
        <x:v>0</x:v>
      </x:c>
      <x:c r="Z1856" s="24" t="n">
        <x:f>IFERROR(G1856/K1856,0)</x:f>
        <x:v>0</x:v>
      </x:c>
      <x:c r="AA1856" s="24" t="n">
        <x:f>IFERROR(F1856/H1856,0)-IFERROR(G1856/I1856,0)</x:f>
        <x:v>0</x:v>
      </x:c>
      <x:c r="AB1856" s="28" t="n">
        <x:f>J1856-K1856</x:f>
        <x:v>7</x:v>
      </x:c>
      <x:c r="AC1856" s="32" t="n">
        <x:f>F1856-G1856</x:f>
        <x:v>0</x:v>
      </x:c>
    </x:row>
    <x:row r="1857">
      <x:c r="A1857" s="4" t="str">
        <x:v>2023-24</x:v>
      </x:c>
      <x:c r="B1857" s="20" t="n">
        <x:v>45277</x:v>
      </x:c>
      <x:c r="C1857" s="4" t="str">
        <x:v>Man United</x:v>
      </x:c>
      <x:c r="D1857" s="4" t="str">
        <x:v>Liverpool</x:v>
      </x:c>
      <x:c r="E1857" s="4" t="str">
        <x:v>Away</x:v>
      </x:c>
      <x:c r="F1857" s="28" t="n">
        <x:v>0</x:v>
      </x:c>
      <x:c r="G1857" s="28" t="n">
        <x:v>0</x:v>
      </x:c>
      <x:c r="H1857" s="28" t="n">
        <x:v>6</x:v>
      </x:c>
      <x:c r="I1857" s="28" t="n">
        <x:v>34</x:v>
      </x:c>
      <x:c r="J1857" s="28" t="n">
        <x:v>1</x:v>
      </x:c>
      <x:c r="K1857" s="28" t="n">
        <x:v>8</x:v>
      </x:c>
      <x:c r="L1857" s="28" t="n">
        <x:v>0</x:v>
      </x:c>
      <x:c r="M1857" s="28" t="n">
        <x:v>12</x:v>
      </x:c>
      <x:c r="N1857" s="28" t="n">
        <x:v>4</x:v>
      </x:c>
      <x:c r="O1857" s="28" t="n">
        <x:v>1</x:v>
      </x:c>
      <x:c r="P1857" s="28" t="n">
        <x:v>1</x:v>
      </x:c>
      <x:c r="Q1857" s="24" t="n">
        <x:f>IFERROR(J1857/H1857,0)</x:f>
        <x:v>0.16666666666666666</x:v>
      </x:c>
      <x:c r="R1857" s="24" t="n">
        <x:f>IFERROR(F1857/H1857,0)</x:f>
        <x:v>0</x:v>
      </x:c>
      <x:c r="S1857" s="24" t="n">
        <x:f>IFERROR(F1857/J1857,0)</x:f>
        <x:v>0</x:v>
      </x:c>
      <x:c r="T1857" s="28" t="n">
        <x:f>H1857-I1857</x:f>
        <x:v>-28</x:v>
      </x:c>
      <x:c r="U1857" s="24" t="n">
        <x:f>IFERROR(J1857/H1857,0)-IFERROR(K1857/I1857,0)</x:f>
        <x:v>-0.06862745098039216</x:v>
      </x:c>
      <x:c r="V1857" s="24" t="n">
        <x:f>IFERROR(F1857/J1857,0)-IFERROR(G1857/K1857,0)</x:f>
        <x:v>0</x:v>
      </x:c>
      <x:c r="W1857" s="28" t="n">
        <x:f>L1857-M1857</x:f>
        <x:v>-12</x:v>
      </x:c>
      <x:c r="X1857" s="24" t="n">
        <x:f>IFERROR(K1857/I1857,0)</x:f>
        <x:v>0.23529411764705882</x:v>
      </x:c>
      <x:c r="Y1857" s="24" t="n">
        <x:f>IFERROR(G1857/I1857,0)</x:f>
        <x:v>0</x:v>
      </x:c>
      <x:c r="Z1857" s="24" t="n">
        <x:f>IFERROR(G1857/K1857,0)</x:f>
        <x:v>0</x:v>
      </x:c>
      <x:c r="AA1857" s="24" t="n">
        <x:f>IFERROR(F1857/H1857,0)-IFERROR(G1857/I1857,0)</x:f>
        <x:v>0</x:v>
      </x:c>
      <x:c r="AB1857" s="28" t="n">
        <x:f>J1857-K1857</x:f>
        <x:v>-7</x:v>
      </x:c>
      <x:c r="AC1857" s="32" t="n">
        <x:f>F1857-G1857</x:f>
        <x:v>0</x:v>
      </x:c>
    </x:row>
    <x:row r="1858">
      <x:c r="A1858" s="4" t="str">
        <x:v>2023-24</x:v>
      </x:c>
      <x:c r="B1858" s="20" t="n">
        <x:v>45277</x:v>
      </x:c>
      <x:c r="C1858" s="4" t="str">
        <x:v>West Ham</x:v>
      </x:c>
      <x:c r="D1858" s="4" t="str">
        <x:v>Wolves</x:v>
      </x:c>
      <x:c r="E1858" s="4" t="str">
        <x:v>Home</x:v>
      </x:c>
      <x:c r="F1858" s="28" t="n">
        <x:v>3</x:v>
      </x:c>
      <x:c r="G1858" s="28" t="n">
        <x:v>0</x:v>
      </x:c>
      <x:c r="H1858" s="28" t="n">
        <x:v>13</x:v>
      </x:c>
      <x:c r="I1858" s="28" t="n">
        <x:v>14</x:v>
      </x:c>
      <x:c r="J1858" s="28" t="n">
        <x:v>4</x:v>
      </x:c>
      <x:c r="K1858" s="28" t="n">
        <x:v>3</x:v>
      </x:c>
      <x:c r="L1858" s="28" t="n">
        <x:v>6</x:v>
      </x:c>
      <x:c r="M1858" s="28" t="n">
        <x:v>6</x:v>
      </x:c>
      <x:c r="N1858" s="28" t="n">
        <x:v>3</x:v>
      </x:c>
      <x:c r="O1858" s="28" t="n">
        <x:v>0</x:v>
      </x:c>
      <x:c r="P1858" s="28" t="n">
        <x:v>3</x:v>
      </x:c>
      <x:c r="Q1858" s="24" t="n">
        <x:f>IFERROR(J1858/H1858,0)</x:f>
        <x:v>0.3076923076923077</x:v>
      </x:c>
      <x:c r="R1858" s="24" t="n">
        <x:f>IFERROR(F1858/H1858,0)</x:f>
        <x:v>0.23076923076923078</x:v>
      </x:c>
      <x:c r="S1858" s="24" t="n">
        <x:f>IFERROR(F1858/J1858,0)</x:f>
        <x:v>0.75</x:v>
      </x:c>
      <x:c r="T1858" s="28" t="n">
        <x:f>H1858-I1858</x:f>
        <x:v>-1</x:v>
      </x:c>
      <x:c r="U1858" s="24" t="n">
        <x:f>IFERROR(J1858/H1858,0)-IFERROR(K1858/I1858,0)</x:f>
        <x:v>0.09340659340659344</x:v>
      </x:c>
      <x:c r="V1858" s="24" t="n">
        <x:f>IFERROR(F1858/J1858,0)-IFERROR(G1858/K1858,0)</x:f>
        <x:v>0.75</x:v>
      </x:c>
      <x:c r="W1858" s="28" t="n">
        <x:f>L1858-M1858</x:f>
        <x:v>0</x:v>
      </x:c>
      <x:c r="X1858" s="24" t="n">
        <x:f>IFERROR(K1858/I1858,0)</x:f>
        <x:v>0.21428571428571427</x:v>
      </x:c>
      <x:c r="Y1858" s="24" t="n">
        <x:f>IFERROR(G1858/I1858,0)</x:f>
        <x:v>0</x:v>
      </x:c>
      <x:c r="Z1858" s="24" t="n">
        <x:f>IFERROR(G1858/K1858,0)</x:f>
        <x:v>0</x:v>
      </x:c>
      <x:c r="AA1858" s="24" t="n">
        <x:f>IFERROR(F1858/H1858,0)-IFERROR(G1858/I1858,0)</x:f>
        <x:v>0.23076923076923078</x:v>
      </x:c>
      <x:c r="AB1858" s="28" t="n">
        <x:f>J1858-K1858</x:f>
        <x:v>1</x:v>
      </x:c>
      <x:c r="AC1858" s="32" t="n">
        <x:f>F1858-G1858</x:f>
        <x:v>3</x:v>
      </x:c>
    </x:row>
    <x:row r="1859">
      <x:c r="A1859" s="4" t="str">
        <x:v>2023-24</x:v>
      </x:c>
      <x:c r="B1859" s="20" t="n">
        <x:v>45277</x:v>
      </x:c>
      <x:c r="C1859" s="4" t="str">
        <x:v>Wolves</x:v>
      </x:c>
      <x:c r="D1859" s="4" t="str">
        <x:v>West Ham</x:v>
      </x:c>
      <x:c r="E1859" s="4" t="str">
        <x:v>Away</x:v>
      </x:c>
      <x:c r="F1859" s="28" t="n">
        <x:v>0</x:v>
      </x:c>
      <x:c r="G1859" s="28" t="n">
        <x:v>3</x:v>
      </x:c>
      <x:c r="H1859" s="28" t="n">
        <x:v>14</x:v>
      </x:c>
      <x:c r="I1859" s="28" t="n">
        <x:v>13</x:v>
      </x:c>
      <x:c r="J1859" s="28" t="n">
        <x:v>3</x:v>
      </x:c>
      <x:c r="K1859" s="28" t="n">
        <x:v>4</x:v>
      </x:c>
      <x:c r="L1859" s="28" t="n">
        <x:v>6</x:v>
      </x:c>
      <x:c r="M1859" s="28" t="n">
        <x:v>6</x:v>
      </x:c>
      <x:c r="N1859" s="28" t="n">
        <x:v>1</x:v>
      </x:c>
      <x:c r="O1859" s="28" t="n">
        <x:v>0</x:v>
      </x:c>
      <x:c r="P1859" s="28" t="n">
        <x:v>0</x:v>
      </x:c>
      <x:c r="Q1859" s="24" t="n">
        <x:f>IFERROR(J1859/H1859,0)</x:f>
        <x:v>0.21428571428571427</x:v>
      </x:c>
      <x:c r="R1859" s="24" t="n">
        <x:f>IFERROR(F1859/H1859,0)</x:f>
        <x:v>0</x:v>
      </x:c>
      <x:c r="S1859" s="24" t="n">
        <x:f>IFERROR(F1859/J1859,0)</x:f>
        <x:v>0</x:v>
      </x:c>
      <x:c r="T1859" s="28" t="n">
        <x:f>H1859-I1859</x:f>
        <x:v>1</x:v>
      </x:c>
      <x:c r="U1859" s="24" t="n">
        <x:f>IFERROR(J1859/H1859,0)-IFERROR(K1859/I1859,0)</x:f>
        <x:v>-0.09340659340659344</x:v>
      </x:c>
      <x:c r="V1859" s="24" t="n">
        <x:f>IFERROR(F1859/J1859,0)-IFERROR(G1859/K1859,0)</x:f>
        <x:v>-0.75</x:v>
      </x:c>
      <x:c r="W1859" s="28" t="n">
        <x:f>L1859-M1859</x:f>
        <x:v>0</x:v>
      </x:c>
      <x:c r="X1859" s="24" t="n">
        <x:f>IFERROR(K1859/I1859,0)</x:f>
        <x:v>0.3076923076923077</x:v>
      </x:c>
      <x:c r="Y1859" s="24" t="n">
        <x:f>IFERROR(G1859/I1859,0)</x:f>
        <x:v>0.23076923076923078</x:v>
      </x:c>
      <x:c r="Z1859" s="24" t="n">
        <x:f>IFERROR(G1859/K1859,0)</x:f>
        <x:v>0.75</x:v>
      </x:c>
      <x:c r="AA1859" s="24" t="n">
        <x:f>IFERROR(F1859/H1859,0)-IFERROR(G1859/I1859,0)</x:f>
        <x:v>-0.23076923076923078</x:v>
      </x:c>
      <x:c r="AB1859" s="28" t="n">
        <x:f>J1859-K1859</x:f>
        <x:v>-1</x:v>
      </x:c>
      <x:c r="AC1859" s="32" t="n">
        <x:f>F1859-G1859</x:f>
        <x:v>-3</x:v>
      </x:c>
    </x:row>
    <x:row r="1860">
      <x:c r="A1860" s="4" t="str">
        <x:v>2023-24</x:v>
      </x:c>
      <x:c r="B1860" s="20" t="n">
        <x:v>45281</x:v>
      </x:c>
      <x:c r="C1860" s="4" t="str">
        <x:v>Brighton</x:v>
      </x:c>
      <x:c r="D1860" s="4" t="str">
        <x:v>Crystal Palace</x:v>
      </x:c>
      <x:c r="E1860" s="4" t="str">
        <x:v>Away</x:v>
      </x:c>
      <x:c r="F1860" s="28" t="n">
        <x:v>1</x:v>
      </x:c>
      <x:c r="G1860" s="28" t="n">
        <x:v>1</x:v>
      </x:c>
      <x:c r="H1860" s="28" t="n">
        <x:v>18</x:v>
      </x:c>
      <x:c r="I1860" s="28" t="n">
        <x:v>11</x:v>
      </x:c>
      <x:c r="J1860" s="28" t="n">
        <x:v>6</x:v>
      </x:c>
      <x:c r="K1860" s="28" t="n">
        <x:v>3</x:v>
      </x:c>
      <x:c r="L1860" s="28" t="n">
        <x:v>1</x:v>
      </x:c>
      <x:c r="M1860" s="28" t="n">
        <x:v>3</x:v>
      </x:c>
      <x:c r="N1860" s="28" t="n">
        <x:v>2</x:v>
      </x:c>
      <x:c r="O1860" s="28" t="n">
        <x:v>0</x:v>
      </x:c>
      <x:c r="P1860" s="28" t="n">
        <x:v>1</x:v>
      </x:c>
      <x:c r="Q1860" s="24" t="n">
        <x:f>IFERROR(J1860/H1860,0)</x:f>
        <x:v>0.3333333333333333</x:v>
      </x:c>
      <x:c r="R1860" s="24" t="n">
        <x:f>IFERROR(F1860/H1860,0)</x:f>
        <x:v>0.05555555555555555</x:v>
      </x:c>
      <x:c r="S1860" s="24" t="n">
        <x:f>IFERROR(F1860/J1860,0)</x:f>
        <x:v>0.16666666666666666</x:v>
      </x:c>
      <x:c r="T1860" s="28" t="n">
        <x:f>H1860-I1860</x:f>
        <x:v>7</x:v>
      </x:c>
      <x:c r="U1860" s="24" t="n">
        <x:f>IFERROR(J1860/H1860,0)-IFERROR(K1860/I1860,0)</x:f>
        <x:v>0.06060606060606061</x:v>
      </x:c>
      <x:c r="V1860" s="24" t="n">
        <x:f>IFERROR(F1860/J1860,0)-IFERROR(G1860/K1860,0)</x:f>
        <x:v>-0.16666666666666666</x:v>
      </x:c>
      <x:c r="W1860" s="28" t="n">
        <x:f>L1860-M1860</x:f>
        <x:v>-2</x:v>
      </x:c>
      <x:c r="X1860" s="24" t="n">
        <x:f>IFERROR(K1860/I1860,0)</x:f>
        <x:v>0.2727272727272727</x:v>
      </x:c>
      <x:c r="Y1860" s="24" t="n">
        <x:f>IFERROR(G1860/I1860,0)</x:f>
        <x:v>0.09090909090909091</x:v>
      </x:c>
      <x:c r="Z1860" s="24" t="n">
        <x:f>IFERROR(G1860/K1860,0)</x:f>
        <x:v>0.3333333333333333</x:v>
      </x:c>
      <x:c r="AA1860" s="24" t="n">
        <x:f>IFERROR(F1860/H1860,0)-IFERROR(G1860/I1860,0)</x:f>
        <x:v>-0.03535353535353536</x:v>
      </x:c>
      <x:c r="AB1860" s="28" t="n">
        <x:f>J1860-K1860</x:f>
        <x:v>3</x:v>
      </x:c>
      <x:c r="AC1860" s="32" t="n">
        <x:f>F1860-G1860</x:f>
        <x:v>0</x:v>
      </x:c>
    </x:row>
    <x:row r="1861">
      <x:c r="A1861" s="4" t="str">
        <x:v>2023-24</x:v>
      </x:c>
      <x:c r="B1861" s="20" t="n">
        <x:v>45281</x:v>
      </x:c>
      <x:c r="C1861" s="4" t="str">
        <x:v>Crystal Palace</x:v>
      </x:c>
      <x:c r="D1861" s="4" t="str">
        <x:v>Brighton</x:v>
      </x:c>
      <x:c r="E1861" s="4" t="str">
        <x:v>Home</x:v>
      </x:c>
      <x:c r="F1861" s="28" t="n">
        <x:v>1</x:v>
      </x:c>
      <x:c r="G1861" s="28" t="n">
        <x:v>1</x:v>
      </x:c>
      <x:c r="H1861" s="28" t="n">
        <x:v>11</x:v>
      </x:c>
      <x:c r="I1861" s="28" t="n">
        <x:v>18</x:v>
      </x:c>
      <x:c r="J1861" s="28" t="n">
        <x:v>3</x:v>
      </x:c>
      <x:c r="K1861" s="28" t="n">
        <x:v>6</x:v>
      </x:c>
      <x:c r="L1861" s="28" t="n">
        <x:v>3</x:v>
      </x:c>
      <x:c r="M1861" s="28" t="n">
        <x:v>1</x:v>
      </x:c>
      <x:c r="N1861" s="28" t="n">
        <x:v>5</x:v>
      </x:c>
      <x:c r="O1861" s="28" t="n">
        <x:v>0</x:v>
      </x:c>
      <x:c r="P1861" s="28" t="n">
        <x:v>1</x:v>
      </x:c>
      <x:c r="Q1861" s="24" t="n">
        <x:f>IFERROR(J1861/H1861,0)</x:f>
        <x:v>0.2727272727272727</x:v>
      </x:c>
      <x:c r="R1861" s="24" t="n">
        <x:f>IFERROR(F1861/H1861,0)</x:f>
        <x:v>0.09090909090909091</x:v>
      </x:c>
      <x:c r="S1861" s="24" t="n">
        <x:f>IFERROR(F1861/J1861,0)</x:f>
        <x:v>0.3333333333333333</x:v>
      </x:c>
      <x:c r="T1861" s="28" t="n">
        <x:f>H1861-I1861</x:f>
        <x:v>-7</x:v>
      </x:c>
      <x:c r="U1861" s="24" t="n">
        <x:f>IFERROR(J1861/H1861,0)-IFERROR(K1861/I1861,0)</x:f>
        <x:v>-0.06060606060606061</x:v>
      </x:c>
      <x:c r="V1861" s="24" t="n">
        <x:f>IFERROR(F1861/J1861,0)-IFERROR(G1861/K1861,0)</x:f>
        <x:v>0.16666666666666666</x:v>
      </x:c>
      <x:c r="W1861" s="28" t="n">
        <x:f>L1861-M1861</x:f>
        <x:v>2</x:v>
      </x:c>
      <x:c r="X1861" s="24" t="n">
        <x:f>IFERROR(K1861/I1861,0)</x:f>
        <x:v>0.3333333333333333</x:v>
      </x:c>
      <x:c r="Y1861" s="24" t="n">
        <x:f>IFERROR(G1861/I1861,0)</x:f>
        <x:v>0.05555555555555555</x:v>
      </x:c>
      <x:c r="Z1861" s="24" t="n">
        <x:f>IFERROR(G1861/K1861,0)</x:f>
        <x:v>0.16666666666666666</x:v>
      </x:c>
      <x:c r="AA1861" s="24" t="n">
        <x:f>IFERROR(F1861/H1861,0)-IFERROR(G1861/I1861,0)</x:f>
        <x:v>0.03535353535353536</x:v>
      </x:c>
      <x:c r="AB1861" s="28" t="n">
        <x:f>J1861-K1861</x:f>
        <x:v>-3</x:v>
      </x:c>
      <x:c r="AC1861" s="32" t="n">
        <x:f>F1861-G1861</x:f>
        <x:v>0</x:v>
      </x:c>
    </x:row>
    <x:row r="1862">
      <x:c r="A1862" s="4" t="str">
        <x:v>2023-24</x:v>
      </x:c>
      <x:c r="B1862" s="20" t="n">
        <x:v>45282</x:v>
      </x:c>
      <x:c r="C1862" s="4" t="str">
        <x:v>Aston Villa</x:v>
      </x:c>
      <x:c r="D1862" s="4" t="str">
        <x:v>Sheffield United</x:v>
      </x:c>
      <x:c r="E1862" s="4" t="str">
        <x:v>Home</x:v>
      </x:c>
      <x:c r="F1862" s="28" t="n">
        <x:v>1</x:v>
      </x:c>
      <x:c r="G1862" s="28" t="n">
        <x:v>1</x:v>
      </x:c>
      <x:c r="H1862" s="28" t="n">
        <x:v>12</x:v>
      </x:c>
      <x:c r="I1862" s="28" t="n">
        <x:v>5</x:v>
      </x:c>
      <x:c r="J1862" s="28" t="n">
        <x:v>4</x:v>
      </x:c>
      <x:c r="K1862" s="28" t="n">
        <x:v>2</x:v>
      </x:c>
      <x:c r="L1862" s="28" t="n">
        <x:v>9</x:v>
      </x:c>
      <x:c r="M1862" s="28" t="n">
        <x:v>1</x:v>
      </x:c>
      <x:c r="N1862" s="28" t="n">
        <x:v>3</x:v>
      </x:c>
      <x:c r="O1862" s="28" t="n">
        <x:v>0</x:v>
      </x:c>
      <x:c r="P1862" s="28" t="n">
        <x:v>1</x:v>
      </x:c>
      <x:c r="Q1862" s="24" t="n">
        <x:f>IFERROR(J1862/H1862,0)</x:f>
        <x:v>0.3333333333333333</x:v>
      </x:c>
      <x:c r="R1862" s="24" t="n">
        <x:f>IFERROR(F1862/H1862,0)</x:f>
        <x:v>0.08333333333333333</x:v>
      </x:c>
      <x:c r="S1862" s="24" t="n">
        <x:f>IFERROR(F1862/J1862,0)</x:f>
        <x:v>0.25</x:v>
      </x:c>
      <x:c r="T1862" s="28" t="n">
        <x:f>H1862-I1862</x:f>
        <x:v>7</x:v>
      </x:c>
      <x:c r="U1862" s="24" t="n">
        <x:f>IFERROR(J1862/H1862,0)-IFERROR(K1862/I1862,0)</x:f>
        <x:v>-0.06666666666666671</x:v>
      </x:c>
      <x:c r="V1862" s="24" t="n">
        <x:f>IFERROR(F1862/J1862,0)-IFERROR(G1862/K1862,0)</x:f>
        <x:v>-0.25</x:v>
      </x:c>
      <x:c r="W1862" s="28" t="n">
        <x:f>L1862-M1862</x:f>
        <x:v>8</x:v>
      </x:c>
      <x:c r="X1862" s="24" t="n">
        <x:f>IFERROR(K1862/I1862,0)</x:f>
        <x:v>0.4</x:v>
      </x:c>
      <x:c r="Y1862" s="24" t="n">
        <x:f>IFERROR(G1862/I1862,0)</x:f>
        <x:v>0.2</x:v>
      </x:c>
      <x:c r="Z1862" s="24" t="n">
        <x:f>IFERROR(G1862/K1862,0)</x:f>
        <x:v>0.5</x:v>
      </x:c>
      <x:c r="AA1862" s="24" t="n">
        <x:f>IFERROR(F1862/H1862,0)-IFERROR(G1862/I1862,0)</x:f>
        <x:v>-0.11666666666666668</x:v>
      </x:c>
      <x:c r="AB1862" s="28" t="n">
        <x:f>J1862-K1862</x:f>
        <x:v>2</x:v>
      </x:c>
      <x:c r="AC1862" s="32" t="n">
        <x:f>F1862-G1862</x:f>
        <x:v>0</x:v>
      </x:c>
    </x:row>
    <x:row r="1863">
      <x:c r="A1863" s="4" t="str">
        <x:v>2023-24</x:v>
      </x:c>
      <x:c r="B1863" s="20" t="n">
        <x:v>45282</x:v>
      </x:c>
      <x:c r="C1863" s="4" t="str">
        <x:v>Sheffield United</x:v>
      </x:c>
      <x:c r="D1863" s="4" t="str">
        <x:v>Aston Villa</x:v>
      </x:c>
      <x:c r="E1863" s="4" t="str">
        <x:v>Away</x:v>
      </x:c>
      <x:c r="F1863" s="28" t="n">
        <x:v>1</x:v>
      </x:c>
      <x:c r="G1863" s="28" t="n">
        <x:v>1</x:v>
      </x:c>
      <x:c r="H1863" s="28" t="n">
        <x:v>5</x:v>
      </x:c>
      <x:c r="I1863" s="28" t="n">
        <x:v>12</x:v>
      </x:c>
      <x:c r="J1863" s="28" t="n">
        <x:v>2</x:v>
      </x:c>
      <x:c r="K1863" s="28" t="n">
        <x:v>4</x:v>
      </x:c>
      <x:c r="L1863" s="28" t="n">
        <x:v>1</x:v>
      </x:c>
      <x:c r="M1863" s="28" t="n">
        <x:v>9</x:v>
      </x:c>
      <x:c r="N1863" s="28" t="n">
        <x:v>3</x:v>
      </x:c>
      <x:c r="O1863" s="28" t="n">
        <x:v>0</x:v>
      </x:c>
      <x:c r="P1863" s="28" t="n">
        <x:v>1</x:v>
      </x:c>
      <x:c r="Q1863" s="24" t="n">
        <x:f>IFERROR(J1863/H1863,0)</x:f>
        <x:v>0.4</x:v>
      </x:c>
      <x:c r="R1863" s="24" t="n">
        <x:f>IFERROR(F1863/H1863,0)</x:f>
        <x:v>0.2</x:v>
      </x:c>
      <x:c r="S1863" s="24" t="n">
        <x:f>IFERROR(F1863/J1863,0)</x:f>
        <x:v>0.5</x:v>
      </x:c>
      <x:c r="T1863" s="28" t="n">
        <x:f>H1863-I1863</x:f>
        <x:v>-7</x:v>
      </x:c>
      <x:c r="U1863" s="24" t="n">
        <x:f>IFERROR(J1863/H1863,0)-IFERROR(K1863/I1863,0)</x:f>
        <x:v>0.06666666666666671</x:v>
      </x:c>
      <x:c r="V1863" s="24" t="n">
        <x:f>IFERROR(F1863/J1863,0)-IFERROR(G1863/K1863,0)</x:f>
        <x:v>0.25</x:v>
      </x:c>
      <x:c r="W1863" s="28" t="n">
        <x:f>L1863-M1863</x:f>
        <x:v>-8</x:v>
      </x:c>
      <x:c r="X1863" s="24" t="n">
        <x:f>IFERROR(K1863/I1863,0)</x:f>
        <x:v>0.3333333333333333</x:v>
      </x:c>
      <x:c r="Y1863" s="24" t="n">
        <x:f>IFERROR(G1863/I1863,0)</x:f>
        <x:v>0.08333333333333333</x:v>
      </x:c>
      <x:c r="Z1863" s="24" t="n">
        <x:f>IFERROR(G1863/K1863,0)</x:f>
        <x:v>0.25</x:v>
      </x:c>
      <x:c r="AA1863" s="24" t="n">
        <x:f>IFERROR(F1863/H1863,0)-IFERROR(G1863/I1863,0)</x:f>
        <x:v>0.11666666666666668</x:v>
      </x:c>
      <x:c r="AB1863" s="28" t="n">
        <x:f>J1863-K1863</x:f>
        <x:v>-2</x:v>
      </x:c>
      <x:c r="AC1863" s="32" t="n">
        <x:f>F1863-G1863</x:f>
        <x:v>0</x:v>
      </x:c>
    </x:row>
    <x:row r="1864">
      <x:c r="A1864" s="4" t="str">
        <x:v>2023-24</x:v>
      </x:c>
      <x:c r="B1864" s="20" t="n">
        <x:v>45283</x:v>
      </x:c>
      <x:c r="C1864" s="4" t="str">
        <x:v>Arsenal</x:v>
      </x:c>
      <x:c r="D1864" s="4" t="str">
        <x:v>Liverpool</x:v>
      </x:c>
      <x:c r="E1864" s="4" t="str">
        <x:v>Away</x:v>
      </x:c>
      <x:c r="F1864" s="28" t="n">
        <x:v>1</x:v>
      </x:c>
      <x:c r="G1864" s="28" t="n">
        <x:v>1</x:v>
      </x:c>
      <x:c r="H1864" s="28" t="n">
        <x:v>13</x:v>
      </x:c>
      <x:c r="I1864" s="28" t="n">
        <x:v>13</x:v>
      </x:c>
      <x:c r="J1864" s="28" t="n">
        <x:v>2</x:v>
      </x:c>
      <x:c r="K1864" s="28" t="n">
        <x:v>3</x:v>
      </x:c>
      <x:c r="L1864" s="28" t="n">
        <x:v>5</x:v>
      </x:c>
      <x:c r="M1864" s="28" t="n">
        <x:v>4</x:v>
      </x:c>
      <x:c r="N1864" s="28" t="n">
        <x:v>5</x:v>
      </x:c>
      <x:c r="O1864" s="28" t="n">
        <x:v>0</x:v>
      </x:c>
      <x:c r="P1864" s="28" t="n">
        <x:v>1</x:v>
      </x:c>
      <x:c r="Q1864" s="24" t="n">
        <x:f>IFERROR(J1864/H1864,0)</x:f>
        <x:v>0.15384615384615385</x:v>
      </x:c>
      <x:c r="R1864" s="24" t="n">
        <x:f>IFERROR(F1864/H1864,0)</x:f>
        <x:v>0.07692307692307693</x:v>
      </x:c>
      <x:c r="S1864" s="24" t="n">
        <x:f>IFERROR(F1864/J1864,0)</x:f>
        <x:v>0.5</x:v>
      </x:c>
      <x:c r="T1864" s="28" t="n">
        <x:f>H1864-I1864</x:f>
        <x:v>0</x:v>
      </x:c>
      <x:c r="U1864" s="24" t="n">
        <x:f>IFERROR(J1864/H1864,0)-IFERROR(K1864/I1864,0)</x:f>
        <x:v>-0.07692307692307693</x:v>
      </x:c>
      <x:c r="V1864" s="24" t="n">
        <x:f>IFERROR(F1864/J1864,0)-IFERROR(G1864/K1864,0)</x:f>
        <x:v>0.16666666666666669</x:v>
      </x:c>
      <x:c r="W1864" s="28" t="n">
        <x:f>L1864-M1864</x:f>
        <x:v>1</x:v>
      </x:c>
      <x:c r="X1864" s="24" t="n">
        <x:f>IFERROR(K1864/I1864,0)</x:f>
        <x:v>0.23076923076923078</x:v>
      </x:c>
      <x:c r="Y1864" s="24" t="n">
        <x:f>IFERROR(G1864/I1864,0)</x:f>
        <x:v>0.07692307692307693</x:v>
      </x:c>
      <x:c r="Z1864" s="24" t="n">
        <x:f>IFERROR(G1864/K1864,0)</x:f>
        <x:v>0.3333333333333333</x:v>
      </x:c>
      <x:c r="AA1864" s="24" t="n">
        <x:f>IFERROR(F1864/H1864,0)-IFERROR(G1864/I1864,0)</x:f>
        <x:v>0</x:v>
      </x:c>
      <x:c r="AB1864" s="28" t="n">
        <x:f>J1864-K1864</x:f>
        <x:v>-1</x:v>
      </x:c>
      <x:c r="AC1864" s="32" t="n">
        <x:f>F1864-G1864</x:f>
        <x:v>0</x:v>
      </x:c>
    </x:row>
    <x:row r="1865">
      <x:c r="A1865" s="4" t="str">
        <x:v>2023-24</x:v>
      </x:c>
      <x:c r="B1865" s="20" t="n">
        <x:v>45283</x:v>
      </x:c>
      <x:c r="C1865" s="4" t="str">
        <x:v>Bournemouth</x:v>
      </x:c>
      <x:c r="D1865" s="4" t="str">
        <x:v>Nott'm Forest</x:v>
      </x:c>
      <x:c r="E1865" s="4" t="str">
        <x:v>Away</x:v>
      </x:c>
      <x:c r="F1865" s="28" t="n">
        <x:v>3</x:v>
      </x:c>
      <x:c r="G1865" s="28" t="n">
        <x:v>2</x:v>
      </x:c>
      <x:c r="H1865" s="28" t="n">
        <x:v>18</x:v>
      </x:c>
      <x:c r="I1865" s="28" t="n">
        <x:v>11</x:v>
      </x:c>
      <x:c r="J1865" s="28" t="n">
        <x:v>7</x:v>
      </x:c>
      <x:c r="K1865" s="28" t="n">
        <x:v>5</x:v>
      </x:c>
      <x:c r="L1865" s="28" t="n">
        <x:v>6</x:v>
      </x:c>
      <x:c r="M1865" s="28" t="n">
        <x:v>6</x:v>
      </x:c>
      <x:c r="N1865" s="28" t="n">
        <x:v>3</x:v>
      </x:c>
      <x:c r="O1865" s="28" t="n">
        <x:v>0</x:v>
      </x:c>
      <x:c r="P1865" s="28" t="n">
        <x:v>3</x:v>
      </x:c>
      <x:c r="Q1865" s="24" t="n">
        <x:f>IFERROR(J1865/H1865,0)</x:f>
        <x:v>0.3888888888888889</x:v>
      </x:c>
      <x:c r="R1865" s="24" t="n">
        <x:f>IFERROR(F1865/H1865,0)</x:f>
        <x:v>0.16666666666666666</x:v>
      </x:c>
      <x:c r="S1865" s="24" t="n">
        <x:f>IFERROR(F1865/J1865,0)</x:f>
        <x:v>0.42857142857142855</x:v>
      </x:c>
      <x:c r="T1865" s="28" t="n">
        <x:f>H1865-I1865</x:f>
        <x:v>7</x:v>
      </x:c>
      <x:c r="U1865" s="24" t="n">
        <x:f>IFERROR(J1865/H1865,0)-IFERROR(K1865/I1865,0)</x:f>
        <x:v>-0.06565656565656564</x:v>
      </x:c>
      <x:c r="V1865" s="24" t="n">
        <x:f>IFERROR(F1865/J1865,0)-IFERROR(G1865/K1865,0)</x:f>
        <x:v>0.028571428571428525</x:v>
      </x:c>
      <x:c r="W1865" s="28" t="n">
        <x:f>L1865-M1865</x:f>
        <x:v>0</x:v>
      </x:c>
      <x:c r="X1865" s="24" t="n">
        <x:f>IFERROR(K1865/I1865,0)</x:f>
        <x:v>0.45454545454545453</x:v>
      </x:c>
      <x:c r="Y1865" s="24" t="n">
        <x:f>IFERROR(G1865/I1865,0)</x:f>
        <x:v>0.18181818181818182</x:v>
      </x:c>
      <x:c r="Z1865" s="24" t="n">
        <x:f>IFERROR(G1865/K1865,0)</x:f>
        <x:v>0.4</x:v>
      </x:c>
      <x:c r="AA1865" s="24" t="n">
        <x:f>IFERROR(F1865/H1865,0)-IFERROR(G1865/I1865,0)</x:f>
        <x:v>-0.015151515151515166</x:v>
      </x:c>
      <x:c r="AB1865" s="28" t="n">
        <x:f>J1865-K1865</x:f>
        <x:v>2</x:v>
      </x:c>
      <x:c r="AC1865" s="32" t="n">
        <x:f>F1865-G1865</x:f>
        <x:v>1</x:v>
      </x:c>
    </x:row>
    <x:row r="1866">
      <x:c r="A1866" s="4" t="str">
        <x:v>2023-24</x:v>
      </x:c>
      <x:c r="B1866" s="20" t="n">
        <x:v>45283</x:v>
      </x:c>
      <x:c r="C1866" s="4" t="str">
        <x:v>Burnley</x:v>
      </x:c>
      <x:c r="D1866" s="4" t="str">
        <x:v>Fulham</x:v>
      </x:c>
      <x:c r="E1866" s="4" t="str">
        <x:v>Away</x:v>
      </x:c>
      <x:c r="F1866" s="28" t="n">
        <x:v>2</x:v>
      </x:c>
      <x:c r="G1866" s="28" t="n">
        <x:v>0</x:v>
      </x:c>
      <x:c r="H1866" s="28" t="n">
        <x:v>7</x:v>
      </x:c>
      <x:c r="I1866" s="28" t="n">
        <x:v>19</x:v>
      </x:c>
      <x:c r="J1866" s="28" t="n">
        <x:v>2</x:v>
      </x:c>
      <x:c r="K1866" s="28" t="n">
        <x:v>5</x:v>
      </x:c>
      <x:c r="L1866" s="28" t="n">
        <x:v>6</x:v>
      </x:c>
      <x:c r="M1866" s="28" t="n">
        <x:v>8</x:v>
      </x:c>
      <x:c r="N1866" s="28" t="n">
        <x:v>1</x:v>
      </x:c>
      <x:c r="O1866" s="28" t="n">
        <x:v>0</x:v>
      </x:c>
      <x:c r="P1866" s="28" t="n">
        <x:v>3</x:v>
      </x:c>
      <x:c r="Q1866" s="24" t="n">
        <x:f>IFERROR(J1866/H1866,0)</x:f>
        <x:v>0.2857142857142857</x:v>
      </x:c>
      <x:c r="R1866" s="24" t="n">
        <x:f>IFERROR(F1866/H1866,0)</x:f>
        <x:v>0.2857142857142857</x:v>
      </x:c>
      <x:c r="S1866" s="24" t="n">
        <x:f>IFERROR(F1866/J1866,0)</x:f>
        <x:v>1</x:v>
      </x:c>
      <x:c r="T1866" s="28" t="n">
        <x:f>H1866-I1866</x:f>
        <x:v>-12</x:v>
      </x:c>
      <x:c r="U1866" s="24" t="n">
        <x:f>IFERROR(J1866/H1866,0)-IFERROR(K1866/I1866,0)</x:f>
        <x:v>0.022556390977443608</x:v>
      </x:c>
      <x:c r="V1866" s="24" t="n">
        <x:f>IFERROR(F1866/J1866,0)-IFERROR(G1866/K1866,0)</x:f>
        <x:v>1</x:v>
      </x:c>
      <x:c r="W1866" s="28" t="n">
        <x:f>L1866-M1866</x:f>
        <x:v>-2</x:v>
      </x:c>
      <x:c r="X1866" s="24" t="n">
        <x:f>IFERROR(K1866/I1866,0)</x:f>
        <x:v>0.2631578947368421</x:v>
      </x:c>
      <x:c r="Y1866" s="24" t="n">
        <x:f>IFERROR(G1866/I1866,0)</x:f>
        <x:v>0</x:v>
      </x:c>
      <x:c r="Z1866" s="24" t="n">
        <x:f>IFERROR(G1866/K1866,0)</x:f>
        <x:v>0</x:v>
      </x:c>
      <x:c r="AA1866" s="24" t="n">
        <x:f>IFERROR(F1866/H1866,0)-IFERROR(G1866/I1866,0)</x:f>
        <x:v>0.2857142857142857</x:v>
      </x:c>
      <x:c r="AB1866" s="28" t="n">
        <x:f>J1866-K1866</x:f>
        <x:v>-3</x:v>
      </x:c>
      <x:c r="AC1866" s="32" t="n">
        <x:f>F1866-G1866</x:f>
        <x:v>2</x:v>
      </x:c>
    </x:row>
    <x:row r="1867">
      <x:c r="A1867" s="4" t="str">
        <x:v>2023-24</x:v>
      </x:c>
      <x:c r="B1867" s="20" t="n">
        <x:v>45283</x:v>
      </x:c>
      <x:c r="C1867" s="4" t="str">
        <x:v>Everton</x:v>
      </x:c>
      <x:c r="D1867" s="4" t="str">
        <x:v>Tottenham</x:v>
      </x:c>
      <x:c r="E1867" s="4" t="str">
        <x:v>Away</x:v>
      </x:c>
      <x:c r="F1867" s="28" t="n">
        <x:v>1</x:v>
      </x:c>
      <x:c r="G1867" s="28" t="n">
        <x:v>2</x:v>
      </x:c>
      <x:c r="H1867" s="28" t="n">
        <x:v>18</x:v>
      </x:c>
      <x:c r="I1867" s="28" t="n">
        <x:v>13</x:v>
      </x:c>
      <x:c r="J1867" s="28" t="n">
        <x:v>8</x:v>
      </x:c>
      <x:c r="K1867" s="28" t="n">
        <x:v>6</x:v>
      </x:c>
      <x:c r="L1867" s="28" t="n">
        <x:v>8</x:v>
      </x:c>
      <x:c r="M1867" s="28" t="n">
        <x:v>3</x:v>
      </x:c>
      <x:c r="N1867" s="28" t="n">
        <x:v>4</x:v>
      </x:c>
      <x:c r="O1867" s="28" t="n">
        <x:v>0</x:v>
      </x:c>
      <x:c r="P1867" s="28" t="n">
        <x:v>0</x:v>
      </x:c>
      <x:c r="Q1867" s="24" t="n">
        <x:f>IFERROR(J1867/H1867,0)</x:f>
        <x:v>0.4444444444444444</x:v>
      </x:c>
      <x:c r="R1867" s="24" t="n">
        <x:f>IFERROR(F1867/H1867,0)</x:f>
        <x:v>0.05555555555555555</x:v>
      </x:c>
      <x:c r="S1867" s="24" t="n">
        <x:f>IFERROR(F1867/J1867,0)</x:f>
        <x:v>0.125</x:v>
      </x:c>
      <x:c r="T1867" s="28" t="n">
        <x:f>H1867-I1867</x:f>
        <x:v>5</x:v>
      </x:c>
      <x:c r="U1867" s="24" t="n">
        <x:f>IFERROR(J1867/H1867,0)-IFERROR(K1867/I1867,0)</x:f>
        <x:v>-0.017094017094017144</x:v>
      </x:c>
      <x:c r="V1867" s="24" t="n">
        <x:f>IFERROR(F1867/J1867,0)-IFERROR(G1867/K1867,0)</x:f>
        <x:v>-0.20833333333333331</x:v>
      </x:c>
      <x:c r="W1867" s="28" t="n">
        <x:f>L1867-M1867</x:f>
        <x:v>5</x:v>
      </x:c>
      <x:c r="X1867" s="24" t="n">
        <x:f>IFERROR(K1867/I1867,0)</x:f>
        <x:v>0.46153846153846156</x:v>
      </x:c>
      <x:c r="Y1867" s="24" t="n">
        <x:f>IFERROR(G1867/I1867,0)</x:f>
        <x:v>0.15384615384615385</x:v>
      </x:c>
      <x:c r="Z1867" s="24" t="n">
        <x:f>IFERROR(G1867/K1867,0)</x:f>
        <x:v>0.3333333333333333</x:v>
      </x:c>
      <x:c r="AA1867" s="24" t="n">
        <x:f>IFERROR(F1867/H1867,0)-IFERROR(G1867/I1867,0)</x:f>
        <x:v>-0.0982905982905983</x:v>
      </x:c>
      <x:c r="AB1867" s="28" t="n">
        <x:f>J1867-K1867</x:f>
        <x:v>2</x:v>
      </x:c>
      <x:c r="AC1867" s="32" t="n">
        <x:f>F1867-G1867</x:f>
        <x:v>-1</x:v>
      </x:c>
    </x:row>
    <x:row r="1868">
      <x:c r="A1868" s="4" t="str">
        <x:v>2023-24</x:v>
      </x:c>
      <x:c r="B1868" s="20" t="n">
        <x:v>45283</x:v>
      </x:c>
      <x:c r="C1868" s="4" t="str">
        <x:v>Fulham</x:v>
      </x:c>
      <x:c r="D1868" s="4" t="str">
        <x:v>Burnley</x:v>
      </x:c>
      <x:c r="E1868" s="4" t="str">
        <x:v>Home</x:v>
      </x:c>
      <x:c r="F1868" s="28" t="n">
        <x:v>0</x:v>
      </x:c>
      <x:c r="G1868" s="28" t="n">
        <x:v>2</x:v>
      </x:c>
      <x:c r="H1868" s="28" t="n">
        <x:v>19</x:v>
      </x:c>
      <x:c r="I1868" s="28" t="n">
        <x:v>7</x:v>
      </x:c>
      <x:c r="J1868" s="28" t="n">
        <x:v>5</x:v>
      </x:c>
      <x:c r="K1868" s="28" t="n">
        <x:v>2</x:v>
      </x:c>
      <x:c r="L1868" s="28" t="n">
        <x:v>8</x:v>
      </x:c>
      <x:c r="M1868" s="28" t="n">
        <x:v>6</x:v>
      </x:c>
      <x:c r="N1868" s="28" t="n">
        <x:v>2</x:v>
      </x:c>
      <x:c r="O1868" s="28" t="n">
        <x:v>0</x:v>
      </x:c>
      <x:c r="P1868" s="28" t="n">
        <x:v>0</x:v>
      </x:c>
      <x:c r="Q1868" s="24" t="n">
        <x:f>IFERROR(J1868/H1868,0)</x:f>
        <x:v>0.2631578947368421</x:v>
      </x:c>
      <x:c r="R1868" s="24" t="n">
        <x:f>IFERROR(F1868/H1868,0)</x:f>
        <x:v>0</x:v>
      </x:c>
      <x:c r="S1868" s="24" t="n">
        <x:f>IFERROR(F1868/J1868,0)</x:f>
        <x:v>0</x:v>
      </x:c>
      <x:c r="T1868" s="28" t="n">
        <x:f>H1868-I1868</x:f>
        <x:v>12</x:v>
      </x:c>
      <x:c r="U1868" s="24" t="n">
        <x:f>IFERROR(J1868/H1868,0)-IFERROR(K1868/I1868,0)</x:f>
        <x:v>-0.022556390977443608</x:v>
      </x:c>
      <x:c r="V1868" s="24" t="n">
        <x:f>IFERROR(F1868/J1868,0)-IFERROR(G1868/K1868,0)</x:f>
        <x:v>-1</x:v>
      </x:c>
      <x:c r="W1868" s="28" t="n">
        <x:f>L1868-M1868</x:f>
        <x:v>2</x:v>
      </x:c>
      <x:c r="X1868" s="24" t="n">
        <x:f>IFERROR(K1868/I1868,0)</x:f>
        <x:v>0.2857142857142857</x:v>
      </x:c>
      <x:c r="Y1868" s="24" t="n">
        <x:f>IFERROR(G1868/I1868,0)</x:f>
        <x:v>0.2857142857142857</x:v>
      </x:c>
      <x:c r="Z1868" s="24" t="n">
        <x:f>IFERROR(G1868/K1868,0)</x:f>
        <x:v>1</x:v>
      </x:c>
      <x:c r="AA1868" s="24" t="n">
        <x:f>IFERROR(F1868/H1868,0)-IFERROR(G1868/I1868,0)</x:f>
        <x:v>-0.2857142857142857</x:v>
      </x:c>
      <x:c r="AB1868" s="28" t="n">
        <x:f>J1868-K1868</x:f>
        <x:v>3</x:v>
      </x:c>
      <x:c r="AC1868" s="32" t="n">
        <x:f>F1868-G1868</x:f>
        <x:v>-2</x:v>
      </x:c>
    </x:row>
    <x:row r="1869">
      <x:c r="A1869" s="4" t="str">
        <x:v>2023-24</x:v>
      </x:c>
      <x:c r="B1869" s="20" t="n">
        <x:v>45283</x:v>
      </x:c>
      <x:c r="C1869" s="4" t="str">
        <x:v>Liverpool</x:v>
      </x:c>
      <x:c r="D1869" s="4" t="str">
        <x:v>Arsenal</x:v>
      </x:c>
      <x:c r="E1869" s="4" t="str">
        <x:v>Home</x:v>
      </x:c>
      <x:c r="F1869" s="28" t="n">
        <x:v>1</x:v>
      </x:c>
      <x:c r="G1869" s="28" t="n">
        <x:v>1</x:v>
      </x:c>
      <x:c r="H1869" s="28" t="n">
        <x:v>13</x:v>
      </x:c>
      <x:c r="I1869" s="28" t="n">
        <x:v>13</x:v>
      </x:c>
      <x:c r="J1869" s="28" t="n">
        <x:v>3</x:v>
      </x:c>
      <x:c r="K1869" s="28" t="n">
        <x:v>2</x:v>
      </x:c>
      <x:c r="L1869" s="28" t="n">
        <x:v>4</x:v>
      </x:c>
      <x:c r="M1869" s="28" t="n">
        <x:v>5</x:v>
      </x:c>
      <x:c r="N1869" s="28" t="n">
        <x:v>2</x:v>
      </x:c>
      <x:c r="O1869" s="28" t="n">
        <x:v>0</x:v>
      </x:c>
      <x:c r="P1869" s="28" t="n">
        <x:v>1</x:v>
      </x:c>
      <x:c r="Q1869" s="24" t="n">
        <x:f>IFERROR(J1869/H1869,0)</x:f>
        <x:v>0.23076923076923078</x:v>
      </x:c>
      <x:c r="R1869" s="24" t="n">
        <x:f>IFERROR(F1869/H1869,0)</x:f>
        <x:v>0.07692307692307693</x:v>
      </x:c>
      <x:c r="S1869" s="24" t="n">
        <x:f>IFERROR(F1869/J1869,0)</x:f>
        <x:v>0.3333333333333333</x:v>
      </x:c>
      <x:c r="T1869" s="28" t="n">
        <x:f>H1869-I1869</x:f>
        <x:v>0</x:v>
      </x:c>
      <x:c r="U1869" s="24" t="n">
        <x:f>IFERROR(J1869/H1869,0)-IFERROR(K1869/I1869,0)</x:f>
        <x:v>0.07692307692307693</x:v>
      </x:c>
      <x:c r="V1869" s="24" t="n">
        <x:f>IFERROR(F1869/J1869,0)-IFERROR(G1869/K1869,0)</x:f>
        <x:v>-0.16666666666666669</x:v>
      </x:c>
      <x:c r="W1869" s="28" t="n">
        <x:f>L1869-M1869</x:f>
        <x:v>-1</x:v>
      </x:c>
      <x:c r="X1869" s="24" t="n">
        <x:f>IFERROR(K1869/I1869,0)</x:f>
        <x:v>0.15384615384615385</x:v>
      </x:c>
      <x:c r="Y1869" s="24" t="n">
        <x:f>IFERROR(G1869/I1869,0)</x:f>
        <x:v>0.07692307692307693</x:v>
      </x:c>
      <x:c r="Z1869" s="24" t="n">
        <x:f>IFERROR(G1869/K1869,0)</x:f>
        <x:v>0.5</x:v>
      </x:c>
      <x:c r="AA1869" s="24" t="n">
        <x:f>IFERROR(F1869/H1869,0)-IFERROR(G1869/I1869,0)</x:f>
        <x:v>0</x:v>
      </x:c>
      <x:c r="AB1869" s="28" t="n">
        <x:f>J1869-K1869</x:f>
        <x:v>1</x:v>
      </x:c>
      <x:c r="AC1869" s="32" t="n">
        <x:f>F1869-G1869</x:f>
        <x:v>0</x:v>
      </x:c>
    </x:row>
    <x:row r="1870">
      <x:c r="A1870" s="4" t="str">
        <x:v>2023-24</x:v>
      </x:c>
      <x:c r="B1870" s="20" t="n">
        <x:v>45283</x:v>
      </x:c>
      <x:c r="C1870" s="4" t="str">
        <x:v>Luton</x:v>
      </x:c>
      <x:c r="D1870" s="4" t="str">
        <x:v>Newcastle</x:v>
      </x:c>
      <x:c r="E1870" s="4" t="str">
        <x:v>Home</x:v>
      </x:c>
      <x:c r="F1870" s="28" t="n">
        <x:v>1</x:v>
      </x:c>
      <x:c r="G1870" s="28" t="n">
        <x:v>0</x:v>
      </x:c>
      <x:c r="H1870" s="28" t="n">
        <x:v>16</x:v>
      </x:c>
      <x:c r="I1870" s="28" t="n">
        <x:v>15</x:v>
      </x:c>
      <x:c r="J1870" s="28" t="n">
        <x:v>5</x:v>
      </x:c>
      <x:c r="K1870" s="28" t="n">
        <x:v>2</x:v>
      </x:c>
      <x:c r="L1870" s="28" t="n">
        <x:v>6</x:v>
      </x:c>
      <x:c r="M1870" s="28" t="n">
        <x:v>7</x:v>
      </x:c>
      <x:c r="N1870" s="28" t="n">
        <x:v>2</x:v>
      </x:c>
      <x:c r="O1870" s="28" t="n">
        <x:v>0</x:v>
      </x:c>
      <x:c r="P1870" s="28" t="n">
        <x:v>3</x:v>
      </x:c>
      <x:c r="Q1870" s="24" t="n">
        <x:f>IFERROR(J1870/H1870,0)</x:f>
        <x:v>0.3125</x:v>
      </x:c>
      <x:c r="R1870" s="24" t="n">
        <x:f>IFERROR(F1870/H1870,0)</x:f>
        <x:v>0.0625</x:v>
      </x:c>
      <x:c r="S1870" s="24" t="n">
        <x:f>IFERROR(F1870/J1870,0)</x:f>
        <x:v>0.2</x:v>
      </x:c>
      <x:c r="T1870" s="28" t="n">
        <x:f>H1870-I1870</x:f>
        <x:v>1</x:v>
      </x:c>
      <x:c r="U1870" s="24" t="n">
        <x:f>IFERROR(J1870/H1870,0)-IFERROR(K1870/I1870,0)</x:f>
        <x:v>0.17916666666666667</x:v>
      </x:c>
      <x:c r="V1870" s="24" t="n">
        <x:f>IFERROR(F1870/J1870,0)-IFERROR(G1870/K1870,0)</x:f>
        <x:v>0.2</x:v>
      </x:c>
      <x:c r="W1870" s="28" t="n">
        <x:f>L1870-M1870</x:f>
        <x:v>-1</x:v>
      </x:c>
      <x:c r="X1870" s="24" t="n">
        <x:f>IFERROR(K1870/I1870,0)</x:f>
        <x:v>0.13333333333333333</x:v>
      </x:c>
      <x:c r="Y1870" s="24" t="n">
        <x:f>IFERROR(G1870/I1870,0)</x:f>
        <x:v>0</x:v>
      </x:c>
      <x:c r="Z1870" s="24" t="n">
        <x:f>IFERROR(G1870/K1870,0)</x:f>
        <x:v>0</x:v>
      </x:c>
      <x:c r="AA1870" s="24" t="n">
        <x:f>IFERROR(F1870/H1870,0)-IFERROR(G1870/I1870,0)</x:f>
        <x:v>0.0625</x:v>
      </x:c>
      <x:c r="AB1870" s="28" t="n">
        <x:f>J1870-K1870</x:f>
        <x:v>3</x:v>
      </x:c>
      <x:c r="AC1870" s="32" t="n">
        <x:f>F1870-G1870</x:f>
        <x:v>1</x:v>
      </x:c>
    </x:row>
    <x:row r="1871">
      <x:c r="A1871" s="4" t="str">
        <x:v>2023-24</x:v>
      </x:c>
      <x:c r="B1871" s="20" t="n">
        <x:v>45283</x:v>
      </x:c>
      <x:c r="C1871" s="4" t="str">
        <x:v>Man United</x:v>
      </x:c>
      <x:c r="D1871" s="4" t="str">
        <x:v>West Ham</x:v>
      </x:c>
      <x:c r="E1871" s="4" t="str">
        <x:v>Away</x:v>
      </x:c>
      <x:c r="F1871" s="28" t="n">
        <x:v>0</x:v>
      </x:c>
      <x:c r="G1871" s="28" t="n">
        <x:v>2</x:v>
      </x:c>
      <x:c r="H1871" s="28" t="n">
        <x:v>11</x:v>
      </x:c>
      <x:c r="I1871" s="28" t="n">
        <x:v>12</x:v>
      </x:c>
      <x:c r="J1871" s="28" t="n">
        <x:v>3</x:v>
      </x:c>
      <x:c r="K1871" s="28" t="n">
        <x:v>5</x:v>
      </x:c>
      <x:c r="L1871" s="28" t="n">
        <x:v>4</x:v>
      </x:c>
      <x:c r="M1871" s="28" t="n">
        <x:v>4</x:v>
      </x:c>
      <x:c r="N1871" s="28" t="n">
        <x:v>3</x:v>
      </x:c>
      <x:c r="O1871" s="28" t="n">
        <x:v>0</x:v>
      </x:c>
      <x:c r="P1871" s="28" t="n">
        <x:v>0</x:v>
      </x:c>
      <x:c r="Q1871" s="24" t="n">
        <x:f>IFERROR(J1871/H1871,0)</x:f>
        <x:v>0.2727272727272727</x:v>
      </x:c>
      <x:c r="R1871" s="24" t="n">
        <x:f>IFERROR(F1871/H1871,0)</x:f>
        <x:v>0</x:v>
      </x:c>
      <x:c r="S1871" s="24" t="n">
        <x:f>IFERROR(F1871/J1871,0)</x:f>
        <x:v>0</x:v>
      </x:c>
      <x:c r="T1871" s="28" t="n">
        <x:f>H1871-I1871</x:f>
        <x:v>-1</x:v>
      </x:c>
      <x:c r="U1871" s="24" t="n">
        <x:f>IFERROR(J1871/H1871,0)-IFERROR(K1871/I1871,0)</x:f>
        <x:v>-0.14393939393939398</x:v>
      </x:c>
      <x:c r="V1871" s="24" t="n">
        <x:f>IFERROR(F1871/J1871,0)-IFERROR(G1871/K1871,0)</x:f>
        <x:v>-0.4</x:v>
      </x:c>
      <x:c r="W1871" s="28" t="n">
        <x:f>L1871-M1871</x:f>
        <x:v>0</x:v>
      </x:c>
      <x:c r="X1871" s="24" t="n">
        <x:f>IFERROR(K1871/I1871,0)</x:f>
        <x:v>0.4166666666666667</x:v>
      </x:c>
      <x:c r="Y1871" s="24" t="n">
        <x:f>IFERROR(G1871/I1871,0)</x:f>
        <x:v>0.16666666666666666</x:v>
      </x:c>
      <x:c r="Z1871" s="24" t="n">
        <x:f>IFERROR(G1871/K1871,0)</x:f>
        <x:v>0.4</x:v>
      </x:c>
      <x:c r="AA1871" s="24" t="n">
        <x:f>IFERROR(F1871/H1871,0)-IFERROR(G1871/I1871,0)</x:f>
        <x:v>-0.16666666666666666</x:v>
      </x:c>
      <x:c r="AB1871" s="28" t="n">
        <x:f>J1871-K1871</x:f>
        <x:v>-2</x:v>
      </x:c>
      <x:c r="AC1871" s="32" t="n">
        <x:f>F1871-G1871</x:f>
        <x:v>-2</x:v>
      </x:c>
    </x:row>
    <x:row r="1872">
      <x:c r="A1872" s="4" t="str">
        <x:v>2023-24</x:v>
      </x:c>
      <x:c r="B1872" s="20" t="n">
        <x:v>45283</x:v>
      </x:c>
      <x:c r="C1872" s="4" t="str">
        <x:v>Newcastle</x:v>
      </x:c>
      <x:c r="D1872" s="4" t="str">
        <x:v>Luton</x:v>
      </x:c>
      <x:c r="E1872" s="4" t="str">
        <x:v>Away</x:v>
      </x:c>
      <x:c r="F1872" s="28" t="n">
        <x:v>0</x:v>
      </x:c>
      <x:c r="G1872" s="28" t="n">
        <x:v>1</x:v>
      </x:c>
      <x:c r="H1872" s="28" t="n">
        <x:v>15</x:v>
      </x:c>
      <x:c r="I1872" s="28" t="n">
        <x:v>16</x:v>
      </x:c>
      <x:c r="J1872" s="28" t="n">
        <x:v>2</x:v>
      </x:c>
      <x:c r="K1872" s="28" t="n">
        <x:v>5</x:v>
      </x:c>
      <x:c r="L1872" s="28" t="n">
        <x:v>7</x:v>
      </x:c>
      <x:c r="M1872" s="28" t="n">
        <x:v>6</x:v>
      </x:c>
      <x:c r="N1872" s="28" t="n">
        <x:v>1</x:v>
      </x:c>
      <x:c r="O1872" s="28" t="n">
        <x:v>0</x:v>
      </x:c>
      <x:c r="P1872" s="28" t="n">
        <x:v>0</x:v>
      </x:c>
      <x:c r="Q1872" s="24" t="n">
        <x:f>IFERROR(J1872/H1872,0)</x:f>
        <x:v>0.13333333333333333</x:v>
      </x:c>
      <x:c r="R1872" s="24" t="n">
        <x:f>IFERROR(F1872/H1872,0)</x:f>
        <x:v>0</x:v>
      </x:c>
      <x:c r="S1872" s="24" t="n">
        <x:f>IFERROR(F1872/J1872,0)</x:f>
        <x:v>0</x:v>
      </x:c>
      <x:c r="T1872" s="28" t="n">
        <x:f>H1872-I1872</x:f>
        <x:v>-1</x:v>
      </x:c>
      <x:c r="U1872" s="24" t="n">
        <x:f>IFERROR(J1872/H1872,0)-IFERROR(K1872/I1872,0)</x:f>
        <x:v>-0.17916666666666667</x:v>
      </x:c>
      <x:c r="V1872" s="24" t="n">
        <x:f>IFERROR(F1872/J1872,0)-IFERROR(G1872/K1872,0)</x:f>
        <x:v>-0.2</x:v>
      </x:c>
      <x:c r="W1872" s="28" t="n">
        <x:f>L1872-M1872</x:f>
        <x:v>1</x:v>
      </x:c>
      <x:c r="X1872" s="24" t="n">
        <x:f>IFERROR(K1872/I1872,0)</x:f>
        <x:v>0.3125</x:v>
      </x:c>
      <x:c r="Y1872" s="24" t="n">
        <x:f>IFERROR(G1872/I1872,0)</x:f>
        <x:v>0.0625</x:v>
      </x:c>
      <x:c r="Z1872" s="24" t="n">
        <x:f>IFERROR(G1872/K1872,0)</x:f>
        <x:v>0.2</x:v>
      </x:c>
      <x:c r="AA1872" s="24" t="n">
        <x:f>IFERROR(F1872/H1872,0)-IFERROR(G1872/I1872,0)</x:f>
        <x:v>-0.0625</x:v>
      </x:c>
      <x:c r="AB1872" s="28" t="n">
        <x:f>J1872-K1872</x:f>
        <x:v>-3</x:v>
      </x:c>
      <x:c r="AC1872" s="32" t="n">
        <x:f>F1872-G1872</x:f>
        <x:v>-1</x:v>
      </x:c>
    </x:row>
    <x:row r="1873">
      <x:c r="A1873" s="4" t="str">
        <x:v>2023-24</x:v>
      </x:c>
      <x:c r="B1873" s="20" t="n">
        <x:v>45283</x:v>
      </x:c>
      <x:c r="C1873" s="4" t="str">
        <x:v>Nott'm Forest</x:v>
      </x:c>
      <x:c r="D1873" s="4" t="str">
        <x:v>Bournemouth</x:v>
      </x:c>
      <x:c r="E1873" s="4" t="str">
        <x:v>Home</x:v>
      </x:c>
      <x:c r="F1873" s="28" t="n">
        <x:v>2</x:v>
      </x:c>
      <x:c r="G1873" s="28" t="n">
        <x:v>3</x:v>
      </x:c>
      <x:c r="H1873" s="28" t="n">
        <x:v>11</x:v>
      </x:c>
      <x:c r="I1873" s="28" t="n">
        <x:v>18</x:v>
      </x:c>
      <x:c r="J1873" s="28" t="n">
        <x:v>5</x:v>
      </x:c>
      <x:c r="K1873" s="28" t="n">
        <x:v>7</x:v>
      </x:c>
      <x:c r="L1873" s="28" t="n">
        <x:v>6</x:v>
      </x:c>
      <x:c r="M1873" s="28" t="n">
        <x:v>6</x:v>
      </x:c>
      <x:c r="N1873" s="28" t="n">
        <x:v>0</x:v>
      </x:c>
      <x:c r="O1873" s="28" t="n">
        <x:v>1</x:v>
      </x:c>
      <x:c r="P1873" s="28" t="n">
        <x:v>0</x:v>
      </x:c>
      <x:c r="Q1873" s="24" t="n">
        <x:f>IFERROR(J1873/H1873,0)</x:f>
        <x:v>0.45454545454545453</x:v>
      </x:c>
      <x:c r="R1873" s="24" t="n">
        <x:f>IFERROR(F1873/H1873,0)</x:f>
        <x:v>0.18181818181818182</x:v>
      </x:c>
      <x:c r="S1873" s="24" t="n">
        <x:f>IFERROR(F1873/J1873,0)</x:f>
        <x:v>0.4</x:v>
      </x:c>
      <x:c r="T1873" s="28" t="n">
        <x:f>H1873-I1873</x:f>
        <x:v>-7</x:v>
      </x:c>
      <x:c r="U1873" s="24" t="n">
        <x:f>IFERROR(J1873/H1873,0)-IFERROR(K1873/I1873,0)</x:f>
        <x:v>0.06565656565656564</x:v>
      </x:c>
      <x:c r="V1873" s="24" t="n">
        <x:f>IFERROR(F1873/J1873,0)-IFERROR(G1873/K1873,0)</x:f>
        <x:v>-0.028571428571428525</x:v>
      </x:c>
      <x:c r="W1873" s="28" t="n">
        <x:f>L1873-M1873</x:f>
        <x:v>0</x:v>
      </x:c>
      <x:c r="X1873" s="24" t="n">
        <x:f>IFERROR(K1873/I1873,0)</x:f>
        <x:v>0.3888888888888889</x:v>
      </x:c>
      <x:c r="Y1873" s="24" t="n">
        <x:f>IFERROR(G1873/I1873,0)</x:f>
        <x:v>0.16666666666666666</x:v>
      </x:c>
      <x:c r="Z1873" s="24" t="n">
        <x:f>IFERROR(G1873/K1873,0)</x:f>
        <x:v>0.42857142857142855</x:v>
      </x:c>
      <x:c r="AA1873" s="24" t="n">
        <x:f>IFERROR(F1873/H1873,0)-IFERROR(G1873/I1873,0)</x:f>
        <x:v>0.015151515151515166</x:v>
      </x:c>
      <x:c r="AB1873" s="28" t="n">
        <x:f>J1873-K1873</x:f>
        <x:v>-2</x:v>
      </x:c>
      <x:c r="AC1873" s="32" t="n">
        <x:f>F1873-G1873</x:f>
        <x:v>-1</x:v>
      </x:c>
    </x:row>
    <x:row r="1874">
      <x:c r="A1874" s="4" t="str">
        <x:v>2023-24</x:v>
      </x:c>
      <x:c r="B1874" s="20" t="n">
        <x:v>45283</x:v>
      </x:c>
      <x:c r="C1874" s="4" t="str">
        <x:v>Tottenham</x:v>
      </x:c>
      <x:c r="D1874" s="4" t="str">
        <x:v>Everton</x:v>
      </x:c>
      <x:c r="E1874" s="4" t="str">
        <x:v>Home</x:v>
      </x:c>
      <x:c r="F1874" s="28" t="n">
        <x:v>2</x:v>
      </x:c>
      <x:c r="G1874" s="28" t="n">
        <x:v>1</x:v>
      </x:c>
      <x:c r="H1874" s="28" t="n">
        <x:v>13</x:v>
      </x:c>
      <x:c r="I1874" s="28" t="n">
        <x:v>18</x:v>
      </x:c>
      <x:c r="J1874" s="28" t="n">
        <x:v>6</x:v>
      </x:c>
      <x:c r="K1874" s="28" t="n">
        <x:v>8</x:v>
      </x:c>
      <x:c r="L1874" s="28" t="n">
        <x:v>3</x:v>
      </x:c>
      <x:c r="M1874" s="28" t="n">
        <x:v>8</x:v>
      </x:c>
      <x:c r="N1874" s="28" t="n">
        <x:v>1</x:v>
      </x:c>
      <x:c r="O1874" s="28" t="n">
        <x:v>0</x:v>
      </x:c>
      <x:c r="P1874" s="28" t="n">
        <x:v>3</x:v>
      </x:c>
      <x:c r="Q1874" s="24" t="n">
        <x:f>IFERROR(J1874/H1874,0)</x:f>
        <x:v>0.46153846153846156</x:v>
      </x:c>
      <x:c r="R1874" s="24" t="n">
        <x:f>IFERROR(F1874/H1874,0)</x:f>
        <x:v>0.15384615384615385</x:v>
      </x:c>
      <x:c r="S1874" s="24" t="n">
        <x:f>IFERROR(F1874/J1874,0)</x:f>
        <x:v>0.3333333333333333</x:v>
      </x:c>
      <x:c r="T1874" s="28" t="n">
        <x:f>H1874-I1874</x:f>
        <x:v>-5</x:v>
      </x:c>
      <x:c r="U1874" s="24" t="n">
        <x:f>IFERROR(J1874/H1874,0)-IFERROR(K1874/I1874,0)</x:f>
        <x:v>0.017094017094017144</x:v>
      </x:c>
      <x:c r="V1874" s="24" t="n">
        <x:f>IFERROR(F1874/J1874,0)-IFERROR(G1874/K1874,0)</x:f>
        <x:v>0.20833333333333331</x:v>
      </x:c>
      <x:c r="W1874" s="28" t="n">
        <x:f>L1874-M1874</x:f>
        <x:v>-5</x:v>
      </x:c>
      <x:c r="X1874" s="24" t="n">
        <x:f>IFERROR(K1874/I1874,0)</x:f>
        <x:v>0.4444444444444444</x:v>
      </x:c>
      <x:c r="Y1874" s="24" t="n">
        <x:f>IFERROR(G1874/I1874,0)</x:f>
        <x:v>0.05555555555555555</x:v>
      </x:c>
      <x:c r="Z1874" s="24" t="n">
        <x:f>IFERROR(G1874/K1874,0)</x:f>
        <x:v>0.125</x:v>
      </x:c>
      <x:c r="AA1874" s="24" t="n">
        <x:f>IFERROR(F1874/H1874,0)-IFERROR(G1874/I1874,0)</x:f>
        <x:v>0.0982905982905983</x:v>
      </x:c>
      <x:c r="AB1874" s="28" t="n">
        <x:f>J1874-K1874</x:f>
        <x:v>-2</x:v>
      </x:c>
      <x:c r="AC1874" s="32" t="n">
        <x:f>F1874-G1874</x:f>
        <x:v>1</x:v>
      </x:c>
    </x:row>
    <x:row r="1875">
      <x:c r="A1875" s="4" t="str">
        <x:v>2023-24</x:v>
      </x:c>
      <x:c r="B1875" s="20" t="n">
        <x:v>45283</x:v>
      </x:c>
      <x:c r="C1875" s="4" t="str">
        <x:v>West Ham</x:v>
      </x:c>
      <x:c r="D1875" s="4" t="str">
        <x:v>Man United</x:v>
      </x:c>
      <x:c r="E1875" s="4" t="str">
        <x:v>Home</x:v>
      </x:c>
      <x:c r="F1875" s="28" t="n">
        <x:v>2</x:v>
      </x:c>
      <x:c r="G1875" s="28" t="n">
        <x:v>0</x:v>
      </x:c>
      <x:c r="H1875" s="28" t="n">
        <x:v>12</x:v>
      </x:c>
      <x:c r="I1875" s="28" t="n">
        <x:v>11</x:v>
      </x:c>
      <x:c r="J1875" s="28" t="n">
        <x:v>5</x:v>
      </x:c>
      <x:c r="K1875" s="28" t="n">
        <x:v>3</x:v>
      </x:c>
      <x:c r="L1875" s="28" t="n">
        <x:v>4</x:v>
      </x:c>
      <x:c r="M1875" s="28" t="n">
        <x:v>4</x:v>
      </x:c>
      <x:c r="N1875" s="28" t="n">
        <x:v>2</x:v>
      </x:c>
      <x:c r="O1875" s="28" t="n">
        <x:v>0</x:v>
      </x:c>
      <x:c r="P1875" s="28" t="n">
        <x:v>3</x:v>
      </x:c>
      <x:c r="Q1875" s="24" t="n">
        <x:f>IFERROR(J1875/H1875,0)</x:f>
        <x:v>0.4166666666666667</x:v>
      </x:c>
      <x:c r="R1875" s="24" t="n">
        <x:f>IFERROR(F1875/H1875,0)</x:f>
        <x:v>0.16666666666666666</x:v>
      </x:c>
      <x:c r="S1875" s="24" t="n">
        <x:f>IFERROR(F1875/J1875,0)</x:f>
        <x:v>0.4</x:v>
      </x:c>
      <x:c r="T1875" s="28" t="n">
        <x:f>H1875-I1875</x:f>
        <x:v>1</x:v>
      </x:c>
      <x:c r="U1875" s="24" t="n">
        <x:f>IFERROR(J1875/H1875,0)-IFERROR(K1875/I1875,0)</x:f>
        <x:v>0.14393939393939398</x:v>
      </x:c>
      <x:c r="V1875" s="24" t="n">
        <x:f>IFERROR(F1875/J1875,0)-IFERROR(G1875/K1875,0)</x:f>
        <x:v>0.4</x:v>
      </x:c>
      <x:c r="W1875" s="28" t="n">
        <x:f>L1875-M1875</x:f>
        <x:v>0</x:v>
      </x:c>
      <x:c r="X1875" s="24" t="n">
        <x:f>IFERROR(K1875/I1875,0)</x:f>
        <x:v>0.2727272727272727</x:v>
      </x:c>
      <x:c r="Y1875" s="24" t="n">
        <x:f>IFERROR(G1875/I1875,0)</x:f>
        <x:v>0</x:v>
      </x:c>
      <x:c r="Z1875" s="24" t="n">
        <x:f>IFERROR(G1875/K1875,0)</x:f>
        <x:v>0</x:v>
      </x:c>
      <x:c r="AA1875" s="24" t="n">
        <x:f>IFERROR(F1875/H1875,0)-IFERROR(G1875/I1875,0)</x:f>
        <x:v>0.16666666666666666</x:v>
      </x:c>
      <x:c r="AB1875" s="28" t="n">
        <x:f>J1875-K1875</x:f>
        <x:v>2</x:v>
      </x:c>
      <x:c r="AC1875" s="32" t="n">
        <x:f>F1875-G1875</x:f>
        <x:v>2</x:v>
      </x:c>
    </x:row>
    <x:row r="1876">
      <x:c r="A1876" s="4" t="str">
        <x:v>2023-24</x:v>
      </x:c>
      <x:c r="B1876" s="20" t="n">
        <x:v>45284</x:v>
      </x:c>
      <x:c r="C1876" s="4" t="str">
        <x:v>Chelsea</x:v>
      </x:c>
      <x:c r="D1876" s="4" t="str">
        <x:v>Wolves</x:v>
      </x:c>
      <x:c r="E1876" s="4" t="str">
        <x:v>Away</x:v>
      </x:c>
      <x:c r="F1876" s="28" t="n">
        <x:v>1</x:v>
      </x:c>
      <x:c r="G1876" s="28" t="n">
        <x:v>2</x:v>
      </x:c>
      <x:c r="H1876" s="28" t="n">
        <x:v>16</x:v>
      </x:c>
      <x:c r="I1876" s="28" t="n">
        <x:v>14</x:v>
      </x:c>
      <x:c r="J1876" s="28" t="n">
        <x:v>5</x:v>
      </x:c>
      <x:c r="K1876" s="28" t="n">
        <x:v>6</x:v>
      </x:c>
      <x:c r="L1876" s="28" t="n">
        <x:v>6</x:v>
      </x:c>
      <x:c r="M1876" s="28" t="n">
        <x:v>10</x:v>
      </x:c>
      <x:c r="N1876" s="28" t="n">
        <x:v>5</x:v>
      </x:c>
      <x:c r="O1876" s="28" t="n">
        <x:v>0</x:v>
      </x:c>
      <x:c r="P1876" s="28" t="n">
        <x:v>0</x:v>
      </x:c>
      <x:c r="Q1876" s="24" t="n">
        <x:f>IFERROR(J1876/H1876,0)</x:f>
        <x:v>0.3125</x:v>
      </x:c>
      <x:c r="R1876" s="24" t="n">
        <x:f>IFERROR(F1876/H1876,0)</x:f>
        <x:v>0.0625</x:v>
      </x:c>
      <x:c r="S1876" s="24" t="n">
        <x:f>IFERROR(F1876/J1876,0)</x:f>
        <x:v>0.2</x:v>
      </x:c>
      <x:c r="T1876" s="28" t="n">
        <x:f>H1876-I1876</x:f>
        <x:v>2</x:v>
      </x:c>
      <x:c r="U1876" s="24" t="n">
        <x:f>IFERROR(J1876/H1876,0)-IFERROR(K1876/I1876,0)</x:f>
        <x:v>-0.11607142857142855</x:v>
      </x:c>
      <x:c r="V1876" s="24" t="n">
        <x:f>IFERROR(F1876/J1876,0)-IFERROR(G1876/K1876,0)</x:f>
        <x:v>-0.1333333333333333</x:v>
      </x:c>
      <x:c r="W1876" s="28" t="n">
        <x:f>L1876-M1876</x:f>
        <x:v>-4</x:v>
      </x:c>
      <x:c r="X1876" s="24" t="n">
        <x:f>IFERROR(K1876/I1876,0)</x:f>
        <x:v>0.42857142857142855</x:v>
      </x:c>
      <x:c r="Y1876" s="24" t="n">
        <x:f>IFERROR(G1876/I1876,0)</x:f>
        <x:v>0.14285714285714285</x:v>
      </x:c>
      <x:c r="Z1876" s="24" t="n">
        <x:f>IFERROR(G1876/K1876,0)</x:f>
        <x:v>0.3333333333333333</x:v>
      </x:c>
      <x:c r="AA1876" s="24" t="n">
        <x:f>IFERROR(F1876/H1876,0)-IFERROR(G1876/I1876,0)</x:f>
        <x:v>-0.08035714285714285</x:v>
      </x:c>
      <x:c r="AB1876" s="28" t="n">
        <x:f>J1876-K1876</x:f>
        <x:v>-1</x:v>
      </x:c>
      <x:c r="AC1876" s="32" t="n">
        <x:f>F1876-G1876</x:f>
        <x:v>-1</x:v>
      </x:c>
    </x:row>
    <x:row r="1877">
      <x:c r="A1877" s="4" t="str">
        <x:v>2023-24</x:v>
      </x:c>
      <x:c r="B1877" s="20" t="n">
        <x:v>45284</x:v>
      </x:c>
      <x:c r="C1877" s="4" t="str">
        <x:v>Wolves</x:v>
      </x:c>
      <x:c r="D1877" s="4" t="str">
        <x:v>Chelsea</x:v>
      </x:c>
      <x:c r="E1877" s="4" t="str">
        <x:v>Home</x:v>
      </x:c>
      <x:c r="F1877" s="28" t="n">
        <x:v>2</x:v>
      </x:c>
      <x:c r="G1877" s="28" t="n">
        <x:v>1</x:v>
      </x:c>
      <x:c r="H1877" s="28" t="n">
        <x:v>14</x:v>
      </x:c>
      <x:c r="I1877" s="28" t="n">
        <x:v>16</x:v>
      </x:c>
      <x:c r="J1877" s="28" t="n">
        <x:v>6</x:v>
      </x:c>
      <x:c r="K1877" s="28" t="n">
        <x:v>5</x:v>
      </x:c>
      <x:c r="L1877" s="28" t="n">
        <x:v>10</x:v>
      </x:c>
      <x:c r="M1877" s="28" t="n">
        <x:v>6</x:v>
      </x:c>
      <x:c r="N1877" s="28" t="n">
        <x:v>3</x:v>
      </x:c>
      <x:c r="O1877" s="28" t="n">
        <x:v>0</x:v>
      </x:c>
      <x:c r="P1877" s="28" t="n">
        <x:v>3</x:v>
      </x:c>
      <x:c r="Q1877" s="24" t="n">
        <x:f>IFERROR(J1877/H1877,0)</x:f>
        <x:v>0.42857142857142855</x:v>
      </x:c>
      <x:c r="R1877" s="24" t="n">
        <x:f>IFERROR(F1877/H1877,0)</x:f>
        <x:v>0.14285714285714285</x:v>
      </x:c>
      <x:c r="S1877" s="24" t="n">
        <x:f>IFERROR(F1877/J1877,0)</x:f>
        <x:v>0.3333333333333333</x:v>
      </x:c>
      <x:c r="T1877" s="28" t="n">
        <x:f>H1877-I1877</x:f>
        <x:v>-2</x:v>
      </x:c>
      <x:c r="U1877" s="24" t="n">
        <x:f>IFERROR(J1877/H1877,0)-IFERROR(K1877/I1877,0)</x:f>
        <x:v>0.11607142857142855</x:v>
      </x:c>
      <x:c r="V1877" s="24" t="n">
        <x:f>IFERROR(F1877/J1877,0)-IFERROR(G1877/K1877,0)</x:f>
        <x:v>0.1333333333333333</x:v>
      </x:c>
      <x:c r="W1877" s="28" t="n">
        <x:f>L1877-M1877</x:f>
        <x:v>4</x:v>
      </x:c>
      <x:c r="X1877" s="24" t="n">
        <x:f>IFERROR(K1877/I1877,0)</x:f>
        <x:v>0.3125</x:v>
      </x:c>
      <x:c r="Y1877" s="24" t="n">
        <x:f>IFERROR(G1877/I1877,0)</x:f>
        <x:v>0.0625</x:v>
      </x:c>
      <x:c r="Z1877" s="24" t="n">
        <x:f>IFERROR(G1877/K1877,0)</x:f>
        <x:v>0.2</x:v>
      </x:c>
      <x:c r="AA1877" s="24" t="n">
        <x:f>IFERROR(F1877/H1877,0)-IFERROR(G1877/I1877,0)</x:f>
        <x:v>0.08035714285714285</x:v>
      </x:c>
      <x:c r="AB1877" s="28" t="n">
        <x:f>J1877-K1877</x:f>
        <x:v>1</x:v>
      </x:c>
      <x:c r="AC1877" s="32" t="n">
        <x:f>F1877-G1877</x:f>
        <x:v>1</x:v>
      </x:c>
    </x:row>
    <x:row r="1878">
      <x:c r="A1878" s="4" t="str">
        <x:v>2023-24</x:v>
      </x:c>
      <x:c r="B1878" s="20" t="n">
        <x:v>45286</x:v>
      </x:c>
      <x:c r="C1878" s="4" t="str">
        <x:v>Aston Villa</x:v>
      </x:c>
      <x:c r="D1878" s="4" t="str">
        <x:v>Man United</x:v>
      </x:c>
      <x:c r="E1878" s="4" t="str">
        <x:v>Away</x:v>
      </x:c>
      <x:c r="F1878" s="28" t="n">
        <x:v>2</x:v>
      </x:c>
      <x:c r="G1878" s="28" t="n">
        <x:v>3</x:v>
      </x:c>
      <x:c r="H1878" s="28" t="n">
        <x:v>10</x:v>
      </x:c>
      <x:c r="I1878" s="28" t="n">
        <x:v>13</x:v>
      </x:c>
      <x:c r="J1878" s="28" t="n">
        <x:v>4</x:v>
      </x:c>
      <x:c r="K1878" s="28" t="n">
        <x:v>7</x:v>
      </x:c>
      <x:c r="L1878" s="28" t="n">
        <x:v>6</x:v>
      </x:c>
      <x:c r="M1878" s="28" t="n">
        <x:v>3</x:v>
      </x:c>
      <x:c r="N1878" s="28" t="n">
        <x:v>3</x:v>
      </x:c>
      <x:c r="O1878" s="28" t="n">
        <x:v>0</x:v>
      </x:c>
      <x:c r="P1878" s="28" t="n">
        <x:v>0</x:v>
      </x:c>
      <x:c r="Q1878" s="24" t="n">
        <x:f>IFERROR(J1878/H1878,0)</x:f>
        <x:v>0.4</x:v>
      </x:c>
      <x:c r="R1878" s="24" t="n">
        <x:f>IFERROR(F1878/H1878,0)</x:f>
        <x:v>0.2</x:v>
      </x:c>
      <x:c r="S1878" s="24" t="n">
        <x:f>IFERROR(F1878/J1878,0)</x:f>
        <x:v>0.5</x:v>
      </x:c>
      <x:c r="T1878" s="28" t="n">
        <x:f>H1878-I1878</x:f>
        <x:v>-3</x:v>
      </x:c>
      <x:c r="U1878" s="24" t="n">
        <x:f>IFERROR(J1878/H1878,0)-IFERROR(K1878/I1878,0)</x:f>
        <x:v>-0.1384615384615384</x:v>
      </x:c>
      <x:c r="V1878" s="24" t="n">
        <x:f>IFERROR(F1878/J1878,0)-IFERROR(G1878/K1878,0)</x:f>
        <x:v>0.07142857142857145</x:v>
      </x:c>
      <x:c r="W1878" s="28" t="n">
        <x:f>L1878-M1878</x:f>
        <x:v>3</x:v>
      </x:c>
      <x:c r="X1878" s="24" t="n">
        <x:f>IFERROR(K1878/I1878,0)</x:f>
        <x:v>0.5384615384615384</x:v>
      </x:c>
      <x:c r="Y1878" s="24" t="n">
        <x:f>IFERROR(G1878/I1878,0)</x:f>
        <x:v>0.23076923076923078</x:v>
      </x:c>
      <x:c r="Z1878" s="24" t="n">
        <x:f>IFERROR(G1878/K1878,0)</x:f>
        <x:v>0.42857142857142855</x:v>
      </x:c>
      <x:c r="AA1878" s="24" t="n">
        <x:f>IFERROR(F1878/H1878,0)-IFERROR(G1878/I1878,0)</x:f>
        <x:v>-0.03076923076923077</x:v>
      </x:c>
      <x:c r="AB1878" s="28" t="n">
        <x:f>J1878-K1878</x:f>
        <x:v>-3</x:v>
      </x:c>
      <x:c r="AC1878" s="32" t="n">
        <x:f>F1878-G1878</x:f>
        <x:v>-1</x:v>
      </x:c>
    </x:row>
    <x:row r="1879">
      <x:c r="A1879" s="4" t="str">
        <x:v>2023-24</x:v>
      </x:c>
      <x:c r="B1879" s="20" t="n">
        <x:v>45286</x:v>
      </x:c>
      <x:c r="C1879" s="4" t="str">
        <x:v>Bournemouth</x:v>
      </x:c>
      <x:c r="D1879" s="4" t="str">
        <x:v>Fulham</x:v>
      </x:c>
      <x:c r="E1879" s="4" t="str">
        <x:v>Home</x:v>
      </x:c>
      <x:c r="F1879" s="28" t="n">
        <x:v>3</x:v>
      </x:c>
      <x:c r="G1879" s="28" t="n">
        <x:v>0</x:v>
      </x:c>
      <x:c r="H1879" s="28" t="n">
        <x:v>16</x:v>
      </x:c>
      <x:c r="I1879" s="28" t="n">
        <x:v>8</x:v>
      </x:c>
      <x:c r="J1879" s="28" t="n">
        <x:v>4</x:v>
      </x:c>
      <x:c r="K1879" s="28" t="n">
        <x:v>3</x:v>
      </x:c>
      <x:c r="L1879" s="28" t="n">
        <x:v>6</x:v>
      </x:c>
      <x:c r="M1879" s="28" t="n">
        <x:v>5</x:v>
      </x:c>
      <x:c r="N1879" s="28" t="n">
        <x:v>0</x:v>
      </x:c>
      <x:c r="O1879" s="28" t="n">
        <x:v>0</x:v>
      </x:c>
      <x:c r="P1879" s="28" t="n">
        <x:v>3</x:v>
      </x:c>
      <x:c r="Q1879" s="24" t="n">
        <x:f>IFERROR(J1879/H1879,0)</x:f>
        <x:v>0.25</x:v>
      </x:c>
      <x:c r="R1879" s="24" t="n">
        <x:f>IFERROR(F1879/H1879,0)</x:f>
        <x:v>0.1875</x:v>
      </x:c>
      <x:c r="S1879" s="24" t="n">
        <x:f>IFERROR(F1879/J1879,0)</x:f>
        <x:v>0.75</x:v>
      </x:c>
      <x:c r="T1879" s="28" t="n">
        <x:f>H1879-I1879</x:f>
        <x:v>8</x:v>
      </x:c>
      <x:c r="U1879" s="24" t="n">
        <x:f>IFERROR(J1879/H1879,0)-IFERROR(K1879/I1879,0)</x:f>
        <x:v>-0.125</x:v>
      </x:c>
      <x:c r="V1879" s="24" t="n">
        <x:f>IFERROR(F1879/J1879,0)-IFERROR(G1879/K1879,0)</x:f>
        <x:v>0.75</x:v>
      </x:c>
      <x:c r="W1879" s="28" t="n">
        <x:f>L1879-M1879</x:f>
        <x:v>1</x:v>
      </x:c>
      <x:c r="X1879" s="24" t="n">
        <x:f>IFERROR(K1879/I1879,0)</x:f>
        <x:v>0.375</x:v>
      </x:c>
      <x:c r="Y1879" s="24" t="n">
        <x:f>IFERROR(G1879/I1879,0)</x:f>
        <x:v>0</x:v>
      </x:c>
      <x:c r="Z1879" s="24" t="n">
        <x:f>IFERROR(G1879/K1879,0)</x:f>
        <x:v>0</x:v>
      </x:c>
      <x:c r="AA1879" s="24" t="n">
        <x:f>IFERROR(F1879/H1879,0)-IFERROR(G1879/I1879,0)</x:f>
        <x:v>0.1875</x:v>
      </x:c>
      <x:c r="AB1879" s="28" t="n">
        <x:f>J1879-K1879</x:f>
        <x:v>1</x:v>
      </x:c>
      <x:c r="AC1879" s="32" t="n">
        <x:f>F1879-G1879</x:f>
        <x:v>3</x:v>
      </x:c>
    </x:row>
    <x:row r="1880">
      <x:c r="A1880" s="4" t="str">
        <x:v>2023-24</x:v>
      </x:c>
      <x:c r="B1880" s="20" t="n">
        <x:v>45286</x:v>
      </x:c>
      <x:c r="C1880" s="4" t="str">
        <x:v>Burnley</x:v>
      </x:c>
      <x:c r="D1880" s="4" t="str">
        <x:v>Liverpool</x:v>
      </x:c>
      <x:c r="E1880" s="4" t="str">
        <x:v>Home</x:v>
      </x:c>
      <x:c r="F1880" s="28" t="n">
        <x:v>0</x:v>
      </x:c>
      <x:c r="G1880" s="28" t="n">
        <x:v>2</x:v>
      </x:c>
      <x:c r="H1880" s="28" t="n">
        <x:v>9</x:v>
      </x:c>
      <x:c r="I1880" s="28" t="n">
        <x:v>19</x:v>
      </x:c>
      <x:c r="J1880" s="28" t="n">
        <x:v>0</x:v>
      </x:c>
      <x:c r="K1880" s="28" t="n">
        <x:v>10</x:v>
      </x:c>
      <x:c r="L1880" s="28" t="n">
        <x:v>4</x:v>
      </x:c>
      <x:c r="M1880" s="28" t="n">
        <x:v>4</x:v>
      </x:c>
      <x:c r="N1880" s="28" t="n">
        <x:v>2</x:v>
      </x:c>
      <x:c r="O1880" s="28" t="n">
        <x:v>0</x:v>
      </x:c>
      <x:c r="P1880" s="28" t="n">
        <x:v>0</x:v>
      </x:c>
      <x:c r="Q1880" s="24" t="n">
        <x:f>IFERROR(J1880/H1880,0)</x:f>
        <x:v>0</x:v>
      </x:c>
      <x:c r="R1880" s="24" t="n">
        <x:f>IFERROR(F1880/H1880,0)</x:f>
        <x:v>0</x:v>
      </x:c>
      <x:c r="S1880" s="24" t="n">
        <x:f>IFERROR(F1880/J1880,0)</x:f>
        <x:v>0</x:v>
      </x:c>
      <x:c r="T1880" s="28" t="n">
        <x:f>H1880-I1880</x:f>
        <x:v>-10</x:v>
      </x:c>
      <x:c r="U1880" s="24" t="n">
        <x:f>IFERROR(J1880/H1880,0)-IFERROR(K1880/I1880,0)</x:f>
        <x:v>-0.5263157894736842</x:v>
      </x:c>
      <x:c r="V1880" s="24" t="n">
        <x:f>IFERROR(F1880/J1880,0)-IFERROR(G1880/K1880,0)</x:f>
        <x:v>-0.2</x:v>
      </x:c>
      <x:c r="W1880" s="28" t="n">
        <x:f>L1880-M1880</x:f>
        <x:v>0</x:v>
      </x:c>
      <x:c r="X1880" s="24" t="n">
        <x:f>IFERROR(K1880/I1880,0)</x:f>
        <x:v>0.5263157894736842</x:v>
      </x:c>
      <x:c r="Y1880" s="24" t="n">
        <x:f>IFERROR(G1880/I1880,0)</x:f>
        <x:v>0.10526315789473684</x:v>
      </x:c>
      <x:c r="Z1880" s="24" t="n">
        <x:f>IFERROR(G1880/K1880,0)</x:f>
        <x:v>0.2</x:v>
      </x:c>
      <x:c r="AA1880" s="24" t="n">
        <x:f>IFERROR(F1880/H1880,0)-IFERROR(G1880/I1880,0)</x:f>
        <x:v>-0.10526315789473684</x:v>
      </x:c>
      <x:c r="AB1880" s="28" t="n">
        <x:f>J1880-K1880</x:f>
        <x:v>-10</x:v>
      </x:c>
      <x:c r="AC1880" s="32" t="n">
        <x:f>F1880-G1880</x:f>
        <x:v>-2</x:v>
      </x:c>
    </x:row>
    <x:row r="1881">
      <x:c r="A1881" s="4" t="str">
        <x:v>2023-24</x:v>
      </x:c>
      <x:c r="B1881" s="20" t="n">
        <x:v>45286</x:v>
      </x:c>
      <x:c r="C1881" s="4" t="str">
        <x:v>Fulham</x:v>
      </x:c>
      <x:c r="D1881" s="4" t="str">
        <x:v>Bournemouth</x:v>
      </x:c>
      <x:c r="E1881" s="4" t="str">
        <x:v>Away</x:v>
      </x:c>
      <x:c r="F1881" s="28" t="n">
        <x:v>0</x:v>
      </x:c>
      <x:c r="G1881" s="28" t="n">
        <x:v>3</x:v>
      </x:c>
      <x:c r="H1881" s="28" t="n">
        <x:v>8</x:v>
      </x:c>
      <x:c r="I1881" s="28" t="n">
        <x:v>16</x:v>
      </x:c>
      <x:c r="J1881" s="28" t="n">
        <x:v>3</x:v>
      </x:c>
      <x:c r="K1881" s="28" t="n">
        <x:v>4</x:v>
      </x:c>
      <x:c r="L1881" s="28" t="n">
        <x:v>5</x:v>
      </x:c>
      <x:c r="M1881" s="28" t="n">
        <x:v>6</x:v>
      </x:c>
      <x:c r="N1881" s="28" t="n">
        <x:v>2</x:v>
      </x:c>
      <x:c r="O1881" s="28" t="n">
        <x:v>0</x:v>
      </x:c>
      <x:c r="P1881" s="28" t="n">
        <x:v>0</x:v>
      </x:c>
      <x:c r="Q1881" s="24" t="n">
        <x:f>IFERROR(J1881/H1881,0)</x:f>
        <x:v>0.375</x:v>
      </x:c>
      <x:c r="R1881" s="24" t="n">
        <x:f>IFERROR(F1881/H1881,0)</x:f>
        <x:v>0</x:v>
      </x:c>
      <x:c r="S1881" s="24" t="n">
        <x:f>IFERROR(F1881/J1881,0)</x:f>
        <x:v>0</x:v>
      </x:c>
      <x:c r="T1881" s="28" t="n">
        <x:f>H1881-I1881</x:f>
        <x:v>-8</x:v>
      </x:c>
      <x:c r="U1881" s="24" t="n">
        <x:f>IFERROR(J1881/H1881,0)-IFERROR(K1881/I1881,0)</x:f>
        <x:v>0.125</x:v>
      </x:c>
      <x:c r="V1881" s="24" t="n">
        <x:f>IFERROR(F1881/J1881,0)-IFERROR(G1881/K1881,0)</x:f>
        <x:v>-0.75</x:v>
      </x:c>
      <x:c r="W1881" s="28" t="n">
        <x:f>L1881-M1881</x:f>
        <x:v>-1</x:v>
      </x:c>
      <x:c r="X1881" s="24" t="n">
        <x:f>IFERROR(K1881/I1881,0)</x:f>
        <x:v>0.25</x:v>
      </x:c>
      <x:c r="Y1881" s="24" t="n">
        <x:f>IFERROR(G1881/I1881,0)</x:f>
        <x:v>0.1875</x:v>
      </x:c>
      <x:c r="Z1881" s="24" t="n">
        <x:f>IFERROR(G1881/K1881,0)</x:f>
        <x:v>0.75</x:v>
      </x:c>
      <x:c r="AA1881" s="24" t="n">
        <x:f>IFERROR(F1881/H1881,0)-IFERROR(G1881/I1881,0)</x:f>
        <x:v>-0.1875</x:v>
      </x:c>
      <x:c r="AB1881" s="28" t="n">
        <x:f>J1881-K1881</x:f>
        <x:v>-1</x:v>
      </x:c>
      <x:c r="AC1881" s="32" t="n">
        <x:f>F1881-G1881</x:f>
        <x:v>-3</x:v>
      </x:c>
    </x:row>
    <x:row r="1882">
      <x:c r="A1882" s="4" t="str">
        <x:v>2023-24</x:v>
      </x:c>
      <x:c r="B1882" s="20" t="n">
        <x:v>45286</x:v>
      </x:c>
      <x:c r="C1882" s="4" t="str">
        <x:v>Liverpool</x:v>
      </x:c>
      <x:c r="D1882" s="4" t="str">
        <x:v>Burnley</x:v>
      </x:c>
      <x:c r="E1882" s="4" t="str">
        <x:v>Away</x:v>
      </x:c>
      <x:c r="F1882" s="28" t="n">
        <x:v>2</x:v>
      </x:c>
      <x:c r="G1882" s="28" t="n">
        <x:v>0</x:v>
      </x:c>
      <x:c r="H1882" s="28" t="n">
        <x:v>19</x:v>
      </x:c>
      <x:c r="I1882" s="28" t="n">
        <x:v>9</x:v>
      </x:c>
      <x:c r="J1882" s="28" t="n">
        <x:v>10</x:v>
      </x:c>
      <x:c r="K1882" s="28" t="n">
        <x:v>0</x:v>
      </x:c>
      <x:c r="L1882" s="28" t="n">
        <x:v>4</x:v>
      </x:c>
      <x:c r="M1882" s="28" t="n">
        <x:v>4</x:v>
      </x:c>
      <x:c r="N1882" s="28" t="n">
        <x:v>1</x:v>
      </x:c>
      <x:c r="O1882" s="28" t="n">
        <x:v>0</x:v>
      </x:c>
      <x:c r="P1882" s="28" t="n">
        <x:v>3</x:v>
      </x:c>
      <x:c r="Q1882" s="24" t="n">
        <x:f>IFERROR(J1882/H1882,0)</x:f>
        <x:v>0.5263157894736842</x:v>
      </x:c>
      <x:c r="R1882" s="24" t="n">
        <x:f>IFERROR(F1882/H1882,0)</x:f>
        <x:v>0.10526315789473684</x:v>
      </x:c>
      <x:c r="S1882" s="24" t="n">
        <x:f>IFERROR(F1882/J1882,0)</x:f>
        <x:v>0.2</x:v>
      </x:c>
      <x:c r="T1882" s="28" t="n">
        <x:f>H1882-I1882</x:f>
        <x:v>10</x:v>
      </x:c>
      <x:c r="U1882" s="24" t="n">
        <x:f>IFERROR(J1882/H1882,0)-IFERROR(K1882/I1882,0)</x:f>
        <x:v>0.5263157894736842</x:v>
      </x:c>
      <x:c r="V1882" s="24" t="n">
        <x:f>IFERROR(F1882/J1882,0)-IFERROR(G1882/K1882,0)</x:f>
        <x:v>0.2</x:v>
      </x:c>
      <x:c r="W1882" s="28" t="n">
        <x:f>L1882-M1882</x:f>
        <x:v>0</x:v>
      </x:c>
      <x:c r="X1882" s="24" t="n">
        <x:f>IFERROR(K1882/I1882,0)</x:f>
        <x:v>0</x:v>
      </x:c>
      <x:c r="Y1882" s="24" t="n">
        <x:f>IFERROR(G1882/I1882,0)</x:f>
        <x:v>0</x:v>
      </x:c>
      <x:c r="Z1882" s="24" t="n">
        <x:f>IFERROR(G1882/K1882,0)</x:f>
        <x:v>0</x:v>
      </x:c>
      <x:c r="AA1882" s="24" t="n">
        <x:f>IFERROR(F1882/H1882,0)-IFERROR(G1882/I1882,0)</x:f>
        <x:v>0.10526315789473684</x:v>
      </x:c>
      <x:c r="AB1882" s="28" t="n">
        <x:f>J1882-K1882</x:f>
        <x:v>10</x:v>
      </x:c>
      <x:c r="AC1882" s="32" t="n">
        <x:f>F1882-G1882</x:f>
        <x:v>2</x:v>
      </x:c>
    </x:row>
    <x:row r="1883">
      <x:c r="A1883" s="4" t="str">
        <x:v>2023-24</x:v>
      </x:c>
      <x:c r="B1883" s="20" t="n">
        <x:v>45286</x:v>
      </x:c>
      <x:c r="C1883" s="4" t="str">
        <x:v>Luton</x:v>
      </x:c>
      <x:c r="D1883" s="4" t="str">
        <x:v>Sheffield United</x:v>
      </x:c>
      <x:c r="E1883" s="4" t="str">
        <x:v>Away</x:v>
      </x:c>
      <x:c r="F1883" s="28" t="n">
        <x:v>3</x:v>
      </x:c>
      <x:c r="G1883" s="28" t="n">
        <x:v>2</x:v>
      </x:c>
      <x:c r="H1883" s="28" t="n">
        <x:v>12</x:v>
      </x:c>
      <x:c r="I1883" s="28" t="n">
        <x:v>21</x:v>
      </x:c>
      <x:c r="J1883" s="28" t="n">
        <x:v>4</x:v>
      </x:c>
      <x:c r="K1883" s="28" t="n">
        <x:v>6</x:v>
      </x:c>
      <x:c r="L1883" s="28" t="n">
        <x:v>4</x:v>
      </x:c>
      <x:c r="M1883" s="28" t="n">
        <x:v>9</x:v>
      </x:c>
      <x:c r="N1883" s="28" t="n">
        <x:v>0</x:v>
      </x:c>
      <x:c r="O1883" s="28" t="n">
        <x:v>0</x:v>
      </x:c>
      <x:c r="P1883" s="28" t="n">
        <x:v>3</x:v>
      </x:c>
      <x:c r="Q1883" s="24" t="n">
        <x:f>IFERROR(J1883/H1883,0)</x:f>
        <x:v>0.3333333333333333</x:v>
      </x:c>
      <x:c r="R1883" s="24" t="n">
        <x:f>IFERROR(F1883/H1883,0)</x:f>
        <x:v>0.25</x:v>
      </x:c>
      <x:c r="S1883" s="24" t="n">
        <x:f>IFERROR(F1883/J1883,0)</x:f>
        <x:v>0.75</x:v>
      </x:c>
      <x:c r="T1883" s="28" t="n">
        <x:f>H1883-I1883</x:f>
        <x:v>-9</x:v>
      </x:c>
      <x:c r="U1883" s="24" t="n">
        <x:f>IFERROR(J1883/H1883,0)-IFERROR(K1883/I1883,0)</x:f>
        <x:v>0.047619047619047616</x:v>
      </x:c>
      <x:c r="V1883" s="24" t="n">
        <x:f>IFERROR(F1883/J1883,0)-IFERROR(G1883/K1883,0)</x:f>
        <x:v>0.4166666666666667</x:v>
      </x:c>
      <x:c r="W1883" s="28" t="n">
        <x:f>L1883-M1883</x:f>
        <x:v>-5</x:v>
      </x:c>
      <x:c r="X1883" s="24" t="n">
        <x:f>IFERROR(K1883/I1883,0)</x:f>
        <x:v>0.2857142857142857</x:v>
      </x:c>
      <x:c r="Y1883" s="24" t="n">
        <x:f>IFERROR(G1883/I1883,0)</x:f>
        <x:v>0.09523809523809523</x:v>
      </x:c>
      <x:c r="Z1883" s="24" t="n">
        <x:f>IFERROR(G1883/K1883,0)</x:f>
        <x:v>0.3333333333333333</x:v>
      </x:c>
      <x:c r="AA1883" s="24" t="n">
        <x:f>IFERROR(F1883/H1883,0)-IFERROR(G1883/I1883,0)</x:f>
        <x:v>0.15476190476190477</x:v>
      </x:c>
      <x:c r="AB1883" s="28" t="n">
        <x:f>J1883-K1883</x:f>
        <x:v>-2</x:v>
      </x:c>
      <x:c r="AC1883" s="32" t="n">
        <x:f>F1883-G1883</x:f>
        <x:v>1</x:v>
      </x:c>
    </x:row>
    <x:row r="1884">
      <x:c r="A1884" s="4" t="str">
        <x:v>2023-24</x:v>
      </x:c>
      <x:c r="B1884" s="20" t="n">
        <x:v>45286</x:v>
      </x:c>
      <x:c r="C1884" s="4" t="str">
        <x:v>Man United</x:v>
      </x:c>
      <x:c r="D1884" s="4" t="str">
        <x:v>Aston Villa</x:v>
      </x:c>
      <x:c r="E1884" s="4" t="str">
        <x:v>Home</x:v>
      </x:c>
      <x:c r="F1884" s="28" t="n">
        <x:v>3</x:v>
      </x:c>
      <x:c r="G1884" s="28" t="n">
        <x:v>2</x:v>
      </x:c>
      <x:c r="H1884" s="28" t="n">
        <x:v>13</x:v>
      </x:c>
      <x:c r="I1884" s="28" t="n">
        <x:v>10</x:v>
      </x:c>
      <x:c r="J1884" s="28" t="n">
        <x:v>7</x:v>
      </x:c>
      <x:c r="K1884" s="28" t="n">
        <x:v>4</x:v>
      </x:c>
      <x:c r="L1884" s="28" t="n">
        <x:v>3</x:v>
      </x:c>
      <x:c r="M1884" s="28" t="n">
        <x:v>6</x:v>
      </x:c>
      <x:c r="N1884" s="28" t="n">
        <x:v>1</x:v>
      </x:c>
      <x:c r="O1884" s="28" t="n">
        <x:v>0</x:v>
      </x:c>
      <x:c r="P1884" s="28" t="n">
        <x:v>3</x:v>
      </x:c>
      <x:c r="Q1884" s="24" t="n">
        <x:f>IFERROR(J1884/H1884,0)</x:f>
        <x:v>0.5384615384615384</x:v>
      </x:c>
      <x:c r="R1884" s="24" t="n">
        <x:f>IFERROR(F1884/H1884,0)</x:f>
        <x:v>0.23076923076923078</x:v>
      </x:c>
      <x:c r="S1884" s="24" t="n">
        <x:f>IFERROR(F1884/J1884,0)</x:f>
        <x:v>0.42857142857142855</x:v>
      </x:c>
      <x:c r="T1884" s="28" t="n">
        <x:f>H1884-I1884</x:f>
        <x:v>3</x:v>
      </x:c>
      <x:c r="U1884" s="24" t="n">
        <x:f>IFERROR(J1884/H1884,0)-IFERROR(K1884/I1884,0)</x:f>
        <x:v>0.1384615384615384</x:v>
      </x:c>
      <x:c r="V1884" s="24" t="n">
        <x:f>IFERROR(F1884/J1884,0)-IFERROR(G1884/K1884,0)</x:f>
        <x:v>-0.07142857142857145</x:v>
      </x:c>
      <x:c r="W1884" s="28" t="n">
        <x:f>L1884-M1884</x:f>
        <x:v>-3</x:v>
      </x:c>
      <x:c r="X1884" s="24" t="n">
        <x:f>IFERROR(K1884/I1884,0)</x:f>
        <x:v>0.4</x:v>
      </x:c>
      <x:c r="Y1884" s="24" t="n">
        <x:f>IFERROR(G1884/I1884,0)</x:f>
        <x:v>0.2</x:v>
      </x:c>
      <x:c r="Z1884" s="24" t="n">
        <x:f>IFERROR(G1884/K1884,0)</x:f>
        <x:v>0.5</x:v>
      </x:c>
      <x:c r="AA1884" s="24" t="n">
        <x:f>IFERROR(F1884/H1884,0)-IFERROR(G1884/I1884,0)</x:f>
        <x:v>0.03076923076923077</x:v>
      </x:c>
      <x:c r="AB1884" s="28" t="n">
        <x:f>J1884-K1884</x:f>
        <x:v>3</x:v>
      </x:c>
      <x:c r="AC1884" s="32" t="n">
        <x:f>F1884-G1884</x:f>
        <x:v>1</x:v>
      </x:c>
    </x:row>
    <x:row r="1885">
      <x:c r="A1885" s="4" t="str">
        <x:v>2023-24</x:v>
      </x:c>
      <x:c r="B1885" s="20" t="n">
        <x:v>45286</x:v>
      </x:c>
      <x:c r="C1885" s="4" t="str">
        <x:v>Newcastle</x:v>
      </x:c>
      <x:c r="D1885" s="4" t="str">
        <x:v>Nott'm Forest</x:v>
      </x:c>
      <x:c r="E1885" s="4" t="str">
        <x:v>Home</x:v>
      </x:c>
      <x:c r="F1885" s="28" t="n">
        <x:v>1</x:v>
      </x:c>
      <x:c r="G1885" s="28" t="n">
        <x:v>3</x:v>
      </x:c>
      <x:c r="H1885" s="28" t="n">
        <x:v>19</x:v>
      </x:c>
      <x:c r="I1885" s="28" t="n">
        <x:v>15</x:v>
      </x:c>
      <x:c r="J1885" s="28" t="n">
        <x:v>7</x:v>
      </x:c>
      <x:c r="K1885" s="28" t="n">
        <x:v>6</x:v>
      </x:c>
      <x:c r="L1885" s="28" t="n">
        <x:v>10</x:v>
      </x:c>
      <x:c r="M1885" s="28" t="n">
        <x:v>2</x:v>
      </x:c>
      <x:c r="N1885" s="28" t="n">
        <x:v>3</x:v>
      </x:c>
      <x:c r="O1885" s="28" t="n">
        <x:v>0</x:v>
      </x:c>
      <x:c r="P1885" s="28" t="n">
        <x:v>0</x:v>
      </x:c>
      <x:c r="Q1885" s="24" t="n">
        <x:f>IFERROR(J1885/H1885,0)</x:f>
        <x:v>0.3684210526315789</x:v>
      </x:c>
      <x:c r="R1885" s="24" t="n">
        <x:f>IFERROR(F1885/H1885,0)</x:f>
        <x:v>0.05263157894736842</x:v>
      </x:c>
      <x:c r="S1885" s="24" t="n">
        <x:f>IFERROR(F1885/J1885,0)</x:f>
        <x:v>0.14285714285714285</x:v>
      </x:c>
      <x:c r="T1885" s="28" t="n">
        <x:f>H1885-I1885</x:f>
        <x:v>4</x:v>
      </x:c>
      <x:c r="U1885" s="24" t="n">
        <x:f>IFERROR(J1885/H1885,0)-IFERROR(K1885/I1885,0)</x:f>
        <x:v>-0.031578947368421095</x:v>
      </x:c>
      <x:c r="V1885" s="24" t="n">
        <x:f>IFERROR(F1885/J1885,0)-IFERROR(G1885/K1885,0)</x:f>
        <x:v>-0.35714285714285715</x:v>
      </x:c>
      <x:c r="W1885" s="28" t="n">
        <x:f>L1885-M1885</x:f>
        <x:v>8</x:v>
      </x:c>
      <x:c r="X1885" s="24" t="n">
        <x:f>IFERROR(K1885/I1885,0)</x:f>
        <x:v>0.4</x:v>
      </x:c>
      <x:c r="Y1885" s="24" t="n">
        <x:f>IFERROR(G1885/I1885,0)</x:f>
        <x:v>0.2</x:v>
      </x:c>
      <x:c r="Z1885" s="24" t="n">
        <x:f>IFERROR(G1885/K1885,0)</x:f>
        <x:v>0.5</x:v>
      </x:c>
      <x:c r="AA1885" s="24" t="n">
        <x:f>IFERROR(F1885/H1885,0)-IFERROR(G1885/I1885,0)</x:f>
        <x:v>-0.1473684210526316</x:v>
      </x:c>
      <x:c r="AB1885" s="28" t="n">
        <x:f>J1885-K1885</x:f>
        <x:v>1</x:v>
      </x:c>
      <x:c r="AC1885" s="32" t="n">
        <x:f>F1885-G1885</x:f>
        <x:v>-2</x:v>
      </x:c>
    </x:row>
    <x:row r="1886">
      <x:c r="A1886" s="4" t="str">
        <x:v>2023-24</x:v>
      </x:c>
      <x:c r="B1886" s="20" t="n">
        <x:v>45286</x:v>
      </x:c>
      <x:c r="C1886" s="4" t="str">
        <x:v>Nott'm Forest</x:v>
      </x:c>
      <x:c r="D1886" s="4" t="str">
        <x:v>Newcastle</x:v>
      </x:c>
      <x:c r="E1886" s="4" t="str">
        <x:v>Away</x:v>
      </x:c>
      <x:c r="F1886" s="28" t="n">
        <x:v>3</x:v>
      </x:c>
      <x:c r="G1886" s="28" t="n">
        <x:v>1</x:v>
      </x:c>
      <x:c r="H1886" s="28" t="n">
        <x:v>15</x:v>
      </x:c>
      <x:c r="I1886" s="28" t="n">
        <x:v>19</x:v>
      </x:c>
      <x:c r="J1886" s="28" t="n">
        <x:v>6</x:v>
      </x:c>
      <x:c r="K1886" s="28" t="n">
        <x:v>7</x:v>
      </x:c>
      <x:c r="L1886" s="28" t="n">
        <x:v>2</x:v>
      </x:c>
      <x:c r="M1886" s="28" t="n">
        <x:v>10</x:v>
      </x:c>
      <x:c r="N1886" s="28" t="n">
        <x:v>3</x:v>
      </x:c>
      <x:c r="O1886" s="28" t="n">
        <x:v>0</x:v>
      </x:c>
      <x:c r="P1886" s="28" t="n">
        <x:v>3</x:v>
      </x:c>
      <x:c r="Q1886" s="24" t="n">
        <x:f>IFERROR(J1886/H1886,0)</x:f>
        <x:v>0.4</x:v>
      </x:c>
      <x:c r="R1886" s="24" t="n">
        <x:f>IFERROR(F1886/H1886,0)</x:f>
        <x:v>0.2</x:v>
      </x:c>
      <x:c r="S1886" s="24" t="n">
        <x:f>IFERROR(F1886/J1886,0)</x:f>
        <x:v>0.5</x:v>
      </x:c>
      <x:c r="T1886" s="28" t="n">
        <x:f>H1886-I1886</x:f>
        <x:v>-4</x:v>
      </x:c>
      <x:c r="U1886" s="24" t="n">
        <x:f>IFERROR(J1886/H1886,0)-IFERROR(K1886/I1886,0)</x:f>
        <x:v>0.031578947368421095</x:v>
      </x:c>
      <x:c r="V1886" s="24" t="n">
        <x:f>IFERROR(F1886/J1886,0)-IFERROR(G1886/K1886,0)</x:f>
        <x:v>0.35714285714285715</x:v>
      </x:c>
      <x:c r="W1886" s="28" t="n">
        <x:f>L1886-M1886</x:f>
        <x:v>-8</x:v>
      </x:c>
      <x:c r="X1886" s="24" t="n">
        <x:f>IFERROR(K1886/I1886,0)</x:f>
        <x:v>0.3684210526315789</x:v>
      </x:c>
      <x:c r="Y1886" s="24" t="n">
        <x:f>IFERROR(G1886/I1886,0)</x:f>
        <x:v>0.05263157894736842</x:v>
      </x:c>
      <x:c r="Z1886" s="24" t="n">
        <x:f>IFERROR(G1886/K1886,0)</x:f>
        <x:v>0.14285714285714285</x:v>
      </x:c>
      <x:c r="AA1886" s="24" t="n">
        <x:f>IFERROR(F1886/H1886,0)-IFERROR(G1886/I1886,0)</x:f>
        <x:v>0.1473684210526316</x:v>
      </x:c>
      <x:c r="AB1886" s="28" t="n">
        <x:f>J1886-K1886</x:f>
        <x:v>-1</x:v>
      </x:c>
      <x:c r="AC1886" s="32" t="n">
        <x:f>F1886-G1886</x:f>
        <x:v>2</x:v>
      </x:c>
    </x:row>
    <x:row r="1887">
      <x:c r="A1887" s="4" t="str">
        <x:v>2023-24</x:v>
      </x:c>
      <x:c r="B1887" s="20" t="n">
        <x:v>45286</x:v>
      </x:c>
      <x:c r="C1887" s="4" t="str">
        <x:v>Sheffield United</x:v>
      </x:c>
      <x:c r="D1887" s="4" t="str">
        <x:v>Luton</x:v>
      </x:c>
      <x:c r="E1887" s="4" t="str">
        <x:v>Home</x:v>
      </x:c>
      <x:c r="F1887" s="28" t="n">
        <x:v>2</x:v>
      </x:c>
      <x:c r="G1887" s="28" t="n">
        <x:v>3</x:v>
      </x:c>
      <x:c r="H1887" s="28" t="n">
        <x:v>21</x:v>
      </x:c>
      <x:c r="I1887" s="28" t="n">
        <x:v>12</x:v>
      </x:c>
      <x:c r="J1887" s="28" t="n">
        <x:v>6</x:v>
      </x:c>
      <x:c r="K1887" s="28" t="n">
        <x:v>4</x:v>
      </x:c>
      <x:c r="L1887" s="28" t="n">
        <x:v>9</x:v>
      </x:c>
      <x:c r="M1887" s="28" t="n">
        <x:v>4</x:v>
      </x:c>
      <x:c r="N1887" s="28" t="n">
        <x:v>5</x:v>
      </x:c>
      <x:c r="O1887" s="28" t="n">
        <x:v>0</x:v>
      </x:c>
      <x:c r="P1887" s="28" t="n">
        <x:v>0</x:v>
      </x:c>
      <x:c r="Q1887" s="24" t="n">
        <x:f>IFERROR(J1887/H1887,0)</x:f>
        <x:v>0.2857142857142857</x:v>
      </x:c>
      <x:c r="R1887" s="24" t="n">
        <x:f>IFERROR(F1887/H1887,0)</x:f>
        <x:v>0.09523809523809523</x:v>
      </x:c>
      <x:c r="S1887" s="24" t="n">
        <x:f>IFERROR(F1887/J1887,0)</x:f>
        <x:v>0.3333333333333333</x:v>
      </x:c>
      <x:c r="T1887" s="28" t="n">
        <x:f>H1887-I1887</x:f>
        <x:v>9</x:v>
      </x:c>
      <x:c r="U1887" s="24" t="n">
        <x:f>IFERROR(J1887/H1887,0)-IFERROR(K1887/I1887,0)</x:f>
        <x:v>-0.047619047619047616</x:v>
      </x:c>
      <x:c r="V1887" s="24" t="n">
        <x:f>IFERROR(F1887/J1887,0)-IFERROR(G1887/K1887,0)</x:f>
        <x:v>-0.4166666666666667</x:v>
      </x:c>
      <x:c r="W1887" s="28" t="n">
        <x:f>L1887-M1887</x:f>
        <x:v>5</x:v>
      </x:c>
      <x:c r="X1887" s="24" t="n">
        <x:f>IFERROR(K1887/I1887,0)</x:f>
        <x:v>0.3333333333333333</x:v>
      </x:c>
      <x:c r="Y1887" s="24" t="n">
        <x:f>IFERROR(G1887/I1887,0)</x:f>
        <x:v>0.25</x:v>
      </x:c>
      <x:c r="Z1887" s="24" t="n">
        <x:f>IFERROR(G1887/K1887,0)</x:f>
        <x:v>0.75</x:v>
      </x:c>
      <x:c r="AA1887" s="24" t="n">
        <x:f>IFERROR(F1887/H1887,0)-IFERROR(G1887/I1887,0)</x:f>
        <x:v>-0.15476190476190477</x:v>
      </x:c>
      <x:c r="AB1887" s="28" t="n">
        <x:f>J1887-K1887</x:f>
        <x:v>2</x:v>
      </x:c>
      <x:c r="AC1887" s="32" t="n">
        <x:f>F1887-G1887</x:f>
        <x:v>-1</x:v>
      </x:c>
    </x:row>
    <x:row r="1888">
      <x:c r="A1888" s="4" t="str">
        <x:v>2023-24</x:v>
      </x:c>
      <x:c r="B1888" s="20" t="n">
        <x:v>45287</x:v>
      </x:c>
      <x:c r="C1888" s="4" t="str">
        <x:v>Brentford</x:v>
      </x:c>
      <x:c r="D1888" s="4" t="str">
        <x:v>Wolves</x:v>
      </x:c>
      <x:c r="E1888" s="4" t="str">
        <x:v>Home</x:v>
      </x:c>
      <x:c r="F1888" s="28" t="n">
        <x:v>1</x:v>
      </x:c>
      <x:c r="G1888" s="28" t="n">
        <x:v>4</x:v>
      </x:c>
      <x:c r="H1888" s="28" t="n">
        <x:v>14</x:v>
      </x:c>
      <x:c r="I1888" s="28" t="n">
        <x:v>11</x:v>
      </x:c>
      <x:c r="J1888" s="28" t="n">
        <x:v>4</x:v>
      </x:c>
      <x:c r="K1888" s="28" t="n">
        <x:v>5</x:v>
      </x:c>
      <x:c r="L1888" s="28" t="n">
        <x:v>8</x:v>
      </x:c>
      <x:c r="M1888" s="28" t="n">
        <x:v>2</x:v>
      </x:c>
      <x:c r="N1888" s="28" t="n">
        <x:v>1</x:v>
      </x:c>
      <x:c r="O1888" s="28" t="n">
        <x:v>0</x:v>
      </x:c>
      <x:c r="P1888" s="28" t="n">
        <x:v>0</x:v>
      </x:c>
      <x:c r="Q1888" s="24" t="n">
        <x:f>IFERROR(J1888/H1888,0)</x:f>
        <x:v>0.2857142857142857</x:v>
      </x:c>
      <x:c r="R1888" s="24" t="n">
        <x:f>IFERROR(F1888/H1888,0)</x:f>
        <x:v>0.07142857142857142</x:v>
      </x:c>
      <x:c r="S1888" s="24" t="n">
        <x:f>IFERROR(F1888/J1888,0)</x:f>
        <x:v>0.25</x:v>
      </x:c>
      <x:c r="T1888" s="28" t="n">
        <x:f>H1888-I1888</x:f>
        <x:v>3</x:v>
      </x:c>
      <x:c r="U1888" s="24" t="n">
        <x:f>IFERROR(J1888/H1888,0)-IFERROR(K1888/I1888,0)</x:f>
        <x:v>-0.16883116883116883</x:v>
      </x:c>
      <x:c r="V1888" s="24" t="n">
        <x:f>IFERROR(F1888/J1888,0)-IFERROR(G1888/K1888,0)</x:f>
        <x:v>-0.55</x:v>
      </x:c>
      <x:c r="W1888" s="28" t="n">
        <x:f>L1888-M1888</x:f>
        <x:v>6</x:v>
      </x:c>
      <x:c r="X1888" s="24" t="n">
        <x:f>IFERROR(K1888/I1888,0)</x:f>
        <x:v>0.45454545454545453</x:v>
      </x:c>
      <x:c r="Y1888" s="24" t="n">
        <x:f>IFERROR(G1888/I1888,0)</x:f>
        <x:v>0.36363636363636365</x:v>
      </x:c>
      <x:c r="Z1888" s="24" t="n">
        <x:f>IFERROR(G1888/K1888,0)</x:f>
        <x:v>0.8</x:v>
      </x:c>
      <x:c r="AA1888" s="24" t="n">
        <x:f>IFERROR(F1888/H1888,0)-IFERROR(G1888/I1888,0)</x:f>
        <x:v>-0.29220779220779225</x:v>
      </x:c>
      <x:c r="AB1888" s="28" t="n">
        <x:f>J1888-K1888</x:f>
        <x:v>-1</x:v>
      </x:c>
      <x:c r="AC1888" s="32" t="n">
        <x:f>F1888-G1888</x:f>
        <x:v>-3</x:v>
      </x:c>
    </x:row>
    <x:row r="1889">
      <x:c r="A1889" s="4" t="str">
        <x:v>2023-24</x:v>
      </x:c>
      <x:c r="B1889" s="20" t="n">
        <x:v>45287</x:v>
      </x:c>
      <x:c r="C1889" s="4" t="str">
        <x:v>Chelsea</x:v>
      </x:c>
      <x:c r="D1889" s="4" t="str">
        <x:v>Crystal Palace</x:v>
      </x:c>
      <x:c r="E1889" s="4" t="str">
        <x:v>Home</x:v>
      </x:c>
      <x:c r="F1889" s="28" t="n">
        <x:v>2</x:v>
      </x:c>
      <x:c r="G1889" s="28" t="n">
        <x:v>1</x:v>
      </x:c>
      <x:c r="H1889" s="28" t="n">
        <x:v>9</x:v>
      </x:c>
      <x:c r="I1889" s="28" t="n">
        <x:v>13</x:v>
      </x:c>
      <x:c r="J1889" s="28" t="n">
        <x:v>4</x:v>
      </x:c>
      <x:c r="K1889" s="28" t="n">
        <x:v>5</x:v>
      </x:c>
      <x:c r="L1889" s="28" t="n">
        <x:v>4</x:v>
      </x:c>
      <x:c r="M1889" s="28" t="n">
        <x:v>3</x:v>
      </x:c>
      <x:c r="N1889" s="28" t="n">
        <x:v>3</x:v>
      </x:c>
      <x:c r="O1889" s="28" t="n">
        <x:v>0</x:v>
      </x:c>
      <x:c r="P1889" s="28" t="n">
        <x:v>3</x:v>
      </x:c>
      <x:c r="Q1889" s="24" t="n">
        <x:f>IFERROR(J1889/H1889,0)</x:f>
        <x:v>0.4444444444444444</x:v>
      </x:c>
      <x:c r="R1889" s="24" t="n">
        <x:f>IFERROR(F1889/H1889,0)</x:f>
        <x:v>0.2222222222222222</x:v>
      </x:c>
      <x:c r="S1889" s="24" t="n">
        <x:f>IFERROR(F1889/J1889,0)</x:f>
        <x:v>0.5</x:v>
      </x:c>
      <x:c r="T1889" s="28" t="n">
        <x:f>H1889-I1889</x:f>
        <x:v>-4</x:v>
      </x:c>
      <x:c r="U1889" s="24" t="n">
        <x:f>IFERROR(J1889/H1889,0)-IFERROR(K1889/I1889,0)</x:f>
        <x:v>0.05982905982905978</x:v>
      </x:c>
      <x:c r="V1889" s="24" t="n">
        <x:f>IFERROR(F1889/J1889,0)-IFERROR(G1889/K1889,0)</x:f>
        <x:v>0.3</x:v>
      </x:c>
      <x:c r="W1889" s="28" t="n">
        <x:f>L1889-M1889</x:f>
        <x:v>1</x:v>
      </x:c>
      <x:c r="X1889" s="24" t="n">
        <x:f>IFERROR(K1889/I1889,0)</x:f>
        <x:v>0.38461538461538464</x:v>
      </x:c>
      <x:c r="Y1889" s="24" t="n">
        <x:f>IFERROR(G1889/I1889,0)</x:f>
        <x:v>0.07692307692307693</x:v>
      </x:c>
      <x:c r="Z1889" s="24" t="n">
        <x:f>IFERROR(G1889/K1889,0)</x:f>
        <x:v>0.2</x:v>
      </x:c>
      <x:c r="AA1889" s="24" t="n">
        <x:f>IFERROR(F1889/H1889,0)-IFERROR(G1889/I1889,0)</x:f>
        <x:v>0.14529914529914528</x:v>
      </x:c>
      <x:c r="AB1889" s="28" t="n">
        <x:f>J1889-K1889</x:f>
        <x:v>-1</x:v>
      </x:c>
      <x:c r="AC1889" s="32" t="n">
        <x:f>F1889-G1889</x:f>
        <x:v>1</x:v>
      </x:c>
    </x:row>
    <x:row r="1890">
      <x:c r="A1890" s="4" t="str">
        <x:v>2023-24</x:v>
      </x:c>
      <x:c r="B1890" s="20" t="n">
        <x:v>45287</x:v>
      </x:c>
      <x:c r="C1890" s="4" t="str">
        <x:v>Crystal Palace</x:v>
      </x:c>
      <x:c r="D1890" s="4" t="str">
        <x:v>Chelsea</x:v>
      </x:c>
      <x:c r="E1890" s="4" t="str">
        <x:v>Away</x:v>
      </x:c>
      <x:c r="F1890" s="28" t="n">
        <x:v>1</x:v>
      </x:c>
      <x:c r="G1890" s="28" t="n">
        <x:v>2</x:v>
      </x:c>
      <x:c r="H1890" s="28" t="n">
        <x:v>13</x:v>
      </x:c>
      <x:c r="I1890" s="28" t="n">
        <x:v>9</x:v>
      </x:c>
      <x:c r="J1890" s="28" t="n">
        <x:v>5</x:v>
      </x:c>
      <x:c r="K1890" s="28" t="n">
        <x:v>4</x:v>
      </x:c>
      <x:c r="L1890" s="28" t="n">
        <x:v>3</x:v>
      </x:c>
      <x:c r="M1890" s="28" t="n">
        <x:v>4</x:v>
      </x:c>
      <x:c r="N1890" s="28" t="n">
        <x:v>2</x:v>
      </x:c>
      <x:c r="O1890" s="28" t="n">
        <x:v>0</x:v>
      </x:c>
      <x:c r="P1890" s="28" t="n">
        <x:v>0</x:v>
      </x:c>
      <x:c r="Q1890" s="24" t="n">
        <x:f>IFERROR(J1890/H1890,0)</x:f>
        <x:v>0.38461538461538464</x:v>
      </x:c>
      <x:c r="R1890" s="24" t="n">
        <x:f>IFERROR(F1890/H1890,0)</x:f>
        <x:v>0.07692307692307693</x:v>
      </x:c>
      <x:c r="S1890" s="24" t="n">
        <x:f>IFERROR(F1890/J1890,0)</x:f>
        <x:v>0.2</x:v>
      </x:c>
      <x:c r="T1890" s="28" t="n">
        <x:f>H1890-I1890</x:f>
        <x:v>4</x:v>
      </x:c>
      <x:c r="U1890" s="24" t="n">
        <x:f>IFERROR(J1890/H1890,0)-IFERROR(K1890/I1890,0)</x:f>
        <x:v>-0.05982905982905978</x:v>
      </x:c>
      <x:c r="V1890" s="24" t="n">
        <x:f>IFERROR(F1890/J1890,0)-IFERROR(G1890/K1890,0)</x:f>
        <x:v>-0.3</x:v>
      </x:c>
      <x:c r="W1890" s="28" t="n">
        <x:f>L1890-M1890</x:f>
        <x:v>-1</x:v>
      </x:c>
      <x:c r="X1890" s="24" t="n">
        <x:f>IFERROR(K1890/I1890,0)</x:f>
        <x:v>0.4444444444444444</x:v>
      </x:c>
      <x:c r="Y1890" s="24" t="n">
        <x:f>IFERROR(G1890/I1890,0)</x:f>
        <x:v>0.2222222222222222</x:v>
      </x:c>
      <x:c r="Z1890" s="24" t="n">
        <x:f>IFERROR(G1890/K1890,0)</x:f>
        <x:v>0.5</x:v>
      </x:c>
      <x:c r="AA1890" s="24" t="n">
        <x:f>IFERROR(F1890/H1890,0)-IFERROR(G1890/I1890,0)</x:f>
        <x:v>-0.14529914529914528</x:v>
      </x:c>
      <x:c r="AB1890" s="28" t="n">
        <x:f>J1890-K1890</x:f>
        <x:v>1</x:v>
      </x:c>
      <x:c r="AC1890" s="32" t="n">
        <x:f>F1890-G1890</x:f>
        <x:v>-1</x:v>
      </x:c>
    </x:row>
    <x:row r="1891">
      <x:c r="A1891" s="4" t="str">
        <x:v>2023-24</x:v>
      </x:c>
      <x:c r="B1891" s="20" t="n">
        <x:v>45287</x:v>
      </x:c>
      <x:c r="C1891" s="4" t="str">
        <x:v>Everton</x:v>
      </x:c>
      <x:c r="D1891" s="4" t="str">
        <x:v>Man City</x:v>
      </x:c>
      <x:c r="E1891" s="4" t="str">
        <x:v>Home</x:v>
      </x:c>
      <x:c r="F1891" s="28" t="n">
        <x:v>1</x:v>
      </x:c>
      <x:c r="G1891" s="28" t="n">
        <x:v>3</x:v>
      </x:c>
      <x:c r="H1891" s="28" t="n">
        <x:v>7</x:v>
      </x:c>
      <x:c r="I1891" s="28" t="n">
        <x:v>23</x:v>
      </x:c>
      <x:c r="J1891" s="28" t="n">
        <x:v>2</x:v>
      </x:c>
      <x:c r="K1891" s="28" t="n">
        <x:v>9</x:v>
      </x:c>
      <x:c r="L1891" s="28" t="n">
        <x:v>8</x:v>
      </x:c>
      <x:c r="M1891" s="28" t="n">
        <x:v>4</x:v>
      </x:c>
      <x:c r="N1891" s="28" t="n">
        <x:v>4</x:v>
      </x:c>
      <x:c r="O1891" s="28" t="n">
        <x:v>0</x:v>
      </x:c>
      <x:c r="P1891" s="28" t="n">
        <x:v>0</x:v>
      </x:c>
      <x:c r="Q1891" s="24" t="n">
        <x:f>IFERROR(J1891/H1891,0)</x:f>
        <x:v>0.2857142857142857</x:v>
      </x:c>
      <x:c r="R1891" s="24" t="n">
        <x:f>IFERROR(F1891/H1891,0)</x:f>
        <x:v>0.14285714285714285</x:v>
      </x:c>
      <x:c r="S1891" s="24" t="n">
        <x:f>IFERROR(F1891/J1891,0)</x:f>
        <x:v>0.5</x:v>
      </x:c>
      <x:c r="T1891" s="28" t="n">
        <x:f>H1891-I1891</x:f>
        <x:v>-16</x:v>
      </x:c>
      <x:c r="U1891" s="24" t="n">
        <x:f>IFERROR(J1891/H1891,0)-IFERROR(K1891/I1891,0)</x:f>
        <x:v>-0.10559006211180127</x:v>
      </x:c>
      <x:c r="V1891" s="24" t="n">
        <x:f>IFERROR(F1891/J1891,0)-IFERROR(G1891/K1891,0)</x:f>
        <x:v>0.16666666666666669</x:v>
      </x:c>
      <x:c r="W1891" s="28" t="n">
        <x:f>L1891-M1891</x:f>
        <x:v>4</x:v>
      </x:c>
      <x:c r="X1891" s="24" t="n">
        <x:f>IFERROR(K1891/I1891,0)</x:f>
        <x:v>0.391304347826087</x:v>
      </x:c>
      <x:c r="Y1891" s="24" t="n">
        <x:f>IFERROR(G1891/I1891,0)</x:f>
        <x:v>0.13043478260869565</x:v>
      </x:c>
      <x:c r="Z1891" s="24" t="n">
        <x:f>IFERROR(G1891/K1891,0)</x:f>
        <x:v>0.3333333333333333</x:v>
      </x:c>
      <x:c r="AA1891" s="24" t="n">
        <x:f>IFERROR(F1891/H1891,0)-IFERROR(G1891/I1891,0)</x:f>
        <x:v>0.0124223602484472</x:v>
      </x:c>
      <x:c r="AB1891" s="28" t="n">
        <x:f>J1891-K1891</x:f>
        <x:v>-7</x:v>
      </x:c>
      <x:c r="AC1891" s="32" t="n">
        <x:f>F1891-G1891</x:f>
        <x:v>-2</x:v>
      </x:c>
    </x:row>
    <x:row r="1892">
      <x:c r="A1892" s="4" t="str">
        <x:v>2023-24</x:v>
      </x:c>
      <x:c r="B1892" s="20" t="n">
        <x:v>45287</x:v>
      </x:c>
      <x:c r="C1892" s="4" t="str">
        <x:v>Man City</x:v>
      </x:c>
      <x:c r="D1892" s="4" t="str">
        <x:v>Everton</x:v>
      </x:c>
      <x:c r="E1892" s="4" t="str">
        <x:v>Away</x:v>
      </x:c>
      <x:c r="F1892" s="28" t="n">
        <x:v>3</x:v>
      </x:c>
      <x:c r="G1892" s="28" t="n">
        <x:v>1</x:v>
      </x:c>
      <x:c r="H1892" s="28" t="n">
        <x:v>23</x:v>
      </x:c>
      <x:c r="I1892" s="28" t="n">
        <x:v>7</x:v>
      </x:c>
      <x:c r="J1892" s="28" t="n">
        <x:v>9</x:v>
      </x:c>
      <x:c r="K1892" s="28" t="n">
        <x:v>2</x:v>
      </x:c>
      <x:c r="L1892" s="28" t="n">
        <x:v>4</x:v>
      </x:c>
      <x:c r="M1892" s="28" t="n">
        <x:v>8</x:v>
      </x:c>
      <x:c r="N1892" s="28" t="n">
        <x:v>2</x:v>
      </x:c>
      <x:c r="O1892" s="28" t="n">
        <x:v>0</x:v>
      </x:c>
      <x:c r="P1892" s="28" t="n">
        <x:v>3</x:v>
      </x:c>
      <x:c r="Q1892" s="24" t="n">
        <x:f>IFERROR(J1892/H1892,0)</x:f>
        <x:v>0.391304347826087</x:v>
      </x:c>
      <x:c r="R1892" s="24" t="n">
        <x:f>IFERROR(F1892/H1892,0)</x:f>
        <x:v>0.13043478260869565</x:v>
      </x:c>
      <x:c r="S1892" s="24" t="n">
        <x:f>IFERROR(F1892/J1892,0)</x:f>
        <x:v>0.3333333333333333</x:v>
      </x:c>
      <x:c r="T1892" s="28" t="n">
        <x:f>H1892-I1892</x:f>
        <x:v>16</x:v>
      </x:c>
      <x:c r="U1892" s="24" t="n">
        <x:f>IFERROR(J1892/H1892,0)-IFERROR(K1892/I1892,0)</x:f>
        <x:v>0.10559006211180127</x:v>
      </x:c>
      <x:c r="V1892" s="24" t="n">
        <x:f>IFERROR(F1892/J1892,0)-IFERROR(G1892/K1892,0)</x:f>
        <x:v>-0.16666666666666669</x:v>
      </x:c>
      <x:c r="W1892" s="28" t="n">
        <x:f>L1892-M1892</x:f>
        <x:v>-4</x:v>
      </x:c>
      <x:c r="X1892" s="24" t="n">
        <x:f>IFERROR(K1892/I1892,0)</x:f>
        <x:v>0.2857142857142857</x:v>
      </x:c>
      <x:c r="Y1892" s="24" t="n">
        <x:f>IFERROR(G1892/I1892,0)</x:f>
        <x:v>0.14285714285714285</x:v>
      </x:c>
      <x:c r="Z1892" s="24" t="n">
        <x:f>IFERROR(G1892/K1892,0)</x:f>
        <x:v>0.5</x:v>
      </x:c>
      <x:c r="AA1892" s="24" t="n">
        <x:f>IFERROR(F1892/H1892,0)-IFERROR(G1892/I1892,0)</x:f>
        <x:v>-0.0124223602484472</x:v>
      </x:c>
      <x:c r="AB1892" s="28" t="n">
        <x:f>J1892-K1892</x:f>
        <x:v>7</x:v>
      </x:c>
      <x:c r="AC1892" s="32" t="n">
        <x:f>F1892-G1892</x:f>
        <x:v>2</x:v>
      </x:c>
    </x:row>
    <x:row r="1893">
      <x:c r="A1893" s="4" t="str">
        <x:v>2023-24</x:v>
      </x:c>
      <x:c r="B1893" s="20" t="n">
        <x:v>45287</x:v>
      </x:c>
      <x:c r="C1893" s="4" t="str">
        <x:v>Wolves</x:v>
      </x:c>
      <x:c r="D1893" s="4" t="str">
        <x:v>Brentford</x:v>
      </x:c>
      <x:c r="E1893" s="4" t="str">
        <x:v>Away</x:v>
      </x:c>
      <x:c r="F1893" s="28" t="n">
        <x:v>4</x:v>
      </x:c>
      <x:c r="G1893" s="28" t="n">
        <x:v>1</x:v>
      </x:c>
      <x:c r="H1893" s="28" t="n">
        <x:v>11</x:v>
      </x:c>
      <x:c r="I1893" s="28" t="n">
        <x:v>14</x:v>
      </x:c>
      <x:c r="J1893" s="28" t="n">
        <x:v>5</x:v>
      </x:c>
      <x:c r="K1893" s="28" t="n">
        <x:v>4</x:v>
      </x:c>
      <x:c r="L1893" s="28" t="n">
        <x:v>2</x:v>
      </x:c>
      <x:c r="M1893" s="28" t="n">
        <x:v>8</x:v>
      </x:c>
      <x:c r="N1893" s="28" t="n">
        <x:v>1</x:v>
      </x:c>
      <x:c r="O1893" s="28" t="n">
        <x:v>0</x:v>
      </x:c>
      <x:c r="P1893" s="28" t="n">
        <x:v>3</x:v>
      </x:c>
      <x:c r="Q1893" s="24" t="n">
        <x:f>IFERROR(J1893/H1893,0)</x:f>
        <x:v>0.45454545454545453</x:v>
      </x:c>
      <x:c r="R1893" s="24" t="n">
        <x:f>IFERROR(F1893/H1893,0)</x:f>
        <x:v>0.36363636363636365</x:v>
      </x:c>
      <x:c r="S1893" s="24" t="n">
        <x:f>IFERROR(F1893/J1893,0)</x:f>
        <x:v>0.8</x:v>
      </x:c>
      <x:c r="T1893" s="28" t="n">
        <x:f>H1893-I1893</x:f>
        <x:v>-3</x:v>
      </x:c>
      <x:c r="U1893" s="24" t="n">
        <x:f>IFERROR(J1893/H1893,0)-IFERROR(K1893/I1893,0)</x:f>
        <x:v>0.16883116883116883</x:v>
      </x:c>
      <x:c r="V1893" s="24" t="n">
        <x:f>IFERROR(F1893/J1893,0)-IFERROR(G1893/K1893,0)</x:f>
        <x:v>0.55</x:v>
      </x:c>
      <x:c r="W1893" s="28" t="n">
        <x:f>L1893-M1893</x:f>
        <x:v>-6</x:v>
      </x:c>
      <x:c r="X1893" s="24" t="n">
        <x:f>IFERROR(K1893/I1893,0)</x:f>
        <x:v>0.2857142857142857</x:v>
      </x:c>
      <x:c r="Y1893" s="24" t="n">
        <x:f>IFERROR(G1893/I1893,0)</x:f>
        <x:v>0.07142857142857142</x:v>
      </x:c>
      <x:c r="Z1893" s="24" t="n">
        <x:f>IFERROR(G1893/K1893,0)</x:f>
        <x:v>0.25</x:v>
      </x:c>
      <x:c r="AA1893" s="24" t="n">
        <x:f>IFERROR(F1893/H1893,0)-IFERROR(G1893/I1893,0)</x:f>
        <x:v>0.29220779220779225</x:v>
      </x:c>
      <x:c r="AB1893" s="28" t="n">
        <x:f>J1893-K1893</x:f>
        <x:v>1</x:v>
      </x:c>
      <x:c r="AC1893" s="32" t="n">
        <x:f>F1893-G1893</x:f>
        <x:v>3</x:v>
      </x:c>
    </x:row>
    <x:row r="1894">
      <x:c r="A1894" s="4" t="str">
        <x:v>2023-24</x:v>
      </x:c>
      <x:c r="B1894" s="20" t="n">
        <x:v>45288</x:v>
      </x:c>
      <x:c r="C1894" s="4" t="str">
        <x:v>Arsenal</x:v>
      </x:c>
      <x:c r="D1894" s="4" t="str">
        <x:v>West Ham</x:v>
      </x:c>
      <x:c r="E1894" s="4" t="str">
        <x:v>Home</x:v>
      </x:c>
      <x:c r="F1894" s="28" t="n">
        <x:v>0</x:v>
      </x:c>
      <x:c r="G1894" s="28" t="n">
        <x:v>2</x:v>
      </x:c>
      <x:c r="H1894" s="28" t="n">
        <x:v>30</x:v>
      </x:c>
      <x:c r="I1894" s="28" t="n">
        <x:v>6</x:v>
      </x:c>
      <x:c r="J1894" s="28" t="n">
        <x:v>8</x:v>
      </x:c>
      <x:c r="K1894" s="28" t="n">
        <x:v>3</x:v>
      </x:c>
      <x:c r="L1894" s="28" t="n">
        <x:v>10</x:v>
      </x:c>
      <x:c r="M1894" s="28" t="n">
        <x:v>3</x:v>
      </x:c>
      <x:c r="N1894" s="28" t="n">
        <x:v>2</x:v>
      </x:c>
      <x:c r="O1894" s="28" t="n">
        <x:v>0</x:v>
      </x:c>
      <x:c r="P1894" s="28" t="n">
        <x:v>0</x:v>
      </x:c>
      <x:c r="Q1894" s="24" t="n">
        <x:f>IFERROR(J1894/H1894,0)</x:f>
        <x:v>0.26666666666666666</x:v>
      </x:c>
      <x:c r="R1894" s="24" t="n">
        <x:f>IFERROR(F1894/H1894,0)</x:f>
        <x:v>0</x:v>
      </x:c>
      <x:c r="S1894" s="24" t="n">
        <x:f>IFERROR(F1894/J1894,0)</x:f>
        <x:v>0</x:v>
      </x:c>
      <x:c r="T1894" s="28" t="n">
        <x:f>H1894-I1894</x:f>
        <x:v>24</x:v>
      </x:c>
      <x:c r="U1894" s="24" t="n">
        <x:f>IFERROR(J1894/H1894,0)-IFERROR(K1894/I1894,0)</x:f>
        <x:v>-0.23333333333333334</x:v>
      </x:c>
      <x:c r="V1894" s="24" t="n">
        <x:f>IFERROR(F1894/J1894,0)-IFERROR(G1894/K1894,0)</x:f>
        <x:v>-0.6666666666666666</x:v>
      </x:c>
      <x:c r="W1894" s="28" t="n">
        <x:f>L1894-M1894</x:f>
        <x:v>7</x:v>
      </x:c>
      <x:c r="X1894" s="24" t="n">
        <x:f>IFERROR(K1894/I1894,0)</x:f>
        <x:v>0.5</x:v>
      </x:c>
      <x:c r="Y1894" s="24" t="n">
        <x:f>IFERROR(G1894/I1894,0)</x:f>
        <x:v>0.3333333333333333</x:v>
      </x:c>
      <x:c r="Z1894" s="24" t="n">
        <x:f>IFERROR(G1894/K1894,0)</x:f>
        <x:v>0.6666666666666666</x:v>
      </x:c>
      <x:c r="AA1894" s="24" t="n">
        <x:f>IFERROR(F1894/H1894,0)-IFERROR(G1894/I1894,0)</x:f>
        <x:v>-0.3333333333333333</x:v>
      </x:c>
      <x:c r="AB1894" s="28" t="n">
        <x:f>J1894-K1894</x:f>
        <x:v>5</x:v>
      </x:c>
      <x:c r="AC1894" s="32" t="n">
        <x:f>F1894-G1894</x:f>
        <x:v>-2</x:v>
      </x:c>
    </x:row>
    <x:row r="1895">
      <x:c r="A1895" s="4" t="str">
        <x:v>2023-24</x:v>
      </x:c>
      <x:c r="B1895" s="20" t="n">
        <x:v>45288</x:v>
      </x:c>
      <x:c r="C1895" s="4" t="str">
        <x:v>Brighton</x:v>
      </x:c>
      <x:c r="D1895" s="4" t="str">
        <x:v>Tottenham</x:v>
      </x:c>
      <x:c r="E1895" s="4" t="str">
        <x:v>Home</x:v>
      </x:c>
      <x:c r="F1895" s="28" t="n">
        <x:v>4</x:v>
      </x:c>
      <x:c r="G1895" s="28" t="n">
        <x:v>2</x:v>
      </x:c>
      <x:c r="H1895" s="28" t="n">
        <x:v>15</x:v>
      </x:c>
      <x:c r="I1895" s="28" t="n">
        <x:v>19</x:v>
      </x:c>
      <x:c r="J1895" s="28" t="n">
        <x:v>9</x:v>
      </x:c>
      <x:c r="K1895" s="28" t="n">
        <x:v>3</x:v>
      </x:c>
      <x:c r="L1895" s="28" t="n">
        <x:v>7</x:v>
      </x:c>
      <x:c r="M1895" s="28" t="n">
        <x:v>6</x:v>
      </x:c>
      <x:c r="N1895" s="28" t="n">
        <x:v>3</x:v>
      </x:c>
      <x:c r="O1895" s="28" t="n">
        <x:v>0</x:v>
      </x:c>
      <x:c r="P1895" s="28" t="n">
        <x:v>3</x:v>
      </x:c>
      <x:c r="Q1895" s="24" t="n">
        <x:f>IFERROR(J1895/H1895,0)</x:f>
        <x:v>0.6</x:v>
      </x:c>
      <x:c r="R1895" s="24" t="n">
        <x:f>IFERROR(F1895/H1895,0)</x:f>
        <x:v>0.26666666666666666</x:v>
      </x:c>
      <x:c r="S1895" s="24" t="n">
        <x:f>IFERROR(F1895/J1895,0)</x:f>
        <x:v>0.4444444444444444</x:v>
      </x:c>
      <x:c r="T1895" s="28" t="n">
        <x:f>H1895-I1895</x:f>
        <x:v>-4</x:v>
      </x:c>
      <x:c r="U1895" s="24" t="n">
        <x:f>IFERROR(J1895/H1895,0)-IFERROR(K1895/I1895,0)</x:f>
        <x:v>0.4421052631578947</x:v>
      </x:c>
      <x:c r="V1895" s="24" t="n">
        <x:f>IFERROR(F1895/J1895,0)-IFERROR(G1895/K1895,0)</x:f>
        <x:v>-0.2222222222222222</x:v>
      </x:c>
      <x:c r="W1895" s="28" t="n">
        <x:f>L1895-M1895</x:f>
        <x:v>1</x:v>
      </x:c>
      <x:c r="X1895" s="24" t="n">
        <x:f>IFERROR(K1895/I1895,0)</x:f>
        <x:v>0.15789473684210525</x:v>
      </x:c>
      <x:c r="Y1895" s="24" t="n">
        <x:f>IFERROR(G1895/I1895,0)</x:f>
        <x:v>0.10526315789473684</x:v>
      </x:c>
      <x:c r="Z1895" s="24" t="n">
        <x:f>IFERROR(G1895/K1895,0)</x:f>
        <x:v>0.6666666666666666</x:v>
      </x:c>
      <x:c r="AA1895" s="24" t="n">
        <x:f>IFERROR(F1895/H1895,0)-IFERROR(G1895/I1895,0)</x:f>
        <x:v>0.16140350877192983</x:v>
      </x:c>
      <x:c r="AB1895" s="28" t="n">
        <x:f>J1895-K1895</x:f>
        <x:v>6</x:v>
      </x:c>
      <x:c r="AC1895" s="32" t="n">
        <x:f>F1895-G1895</x:f>
        <x:v>2</x:v>
      </x:c>
    </x:row>
    <x:row r="1896">
      <x:c r="A1896" s="4" t="str">
        <x:v>2023-24</x:v>
      </x:c>
      <x:c r="B1896" s="20" t="n">
        <x:v>45288</x:v>
      </x:c>
      <x:c r="C1896" s="4" t="str">
        <x:v>Tottenham</x:v>
      </x:c>
      <x:c r="D1896" s="4" t="str">
        <x:v>Brighton</x:v>
      </x:c>
      <x:c r="E1896" s="4" t="str">
        <x:v>Away</x:v>
      </x:c>
      <x:c r="F1896" s="28" t="n">
        <x:v>2</x:v>
      </x:c>
      <x:c r="G1896" s="28" t="n">
        <x:v>4</x:v>
      </x:c>
      <x:c r="H1896" s="28" t="n">
        <x:v>19</x:v>
      </x:c>
      <x:c r="I1896" s="28" t="n">
        <x:v>15</x:v>
      </x:c>
      <x:c r="J1896" s="28" t="n">
        <x:v>3</x:v>
      </x:c>
      <x:c r="K1896" s="28" t="n">
        <x:v>9</x:v>
      </x:c>
      <x:c r="L1896" s="28" t="n">
        <x:v>6</x:v>
      </x:c>
      <x:c r="M1896" s="28" t="n">
        <x:v>7</x:v>
      </x:c>
      <x:c r="N1896" s="28" t="n">
        <x:v>2</x:v>
      </x:c>
      <x:c r="O1896" s="28" t="n">
        <x:v>0</x:v>
      </x:c>
      <x:c r="P1896" s="28" t="n">
        <x:v>0</x:v>
      </x:c>
      <x:c r="Q1896" s="24" t="n">
        <x:f>IFERROR(J1896/H1896,0)</x:f>
        <x:v>0.15789473684210525</x:v>
      </x:c>
      <x:c r="R1896" s="24" t="n">
        <x:f>IFERROR(F1896/H1896,0)</x:f>
        <x:v>0.10526315789473684</x:v>
      </x:c>
      <x:c r="S1896" s="24" t="n">
        <x:f>IFERROR(F1896/J1896,0)</x:f>
        <x:v>0.6666666666666666</x:v>
      </x:c>
      <x:c r="T1896" s="28" t="n">
        <x:f>H1896-I1896</x:f>
        <x:v>4</x:v>
      </x:c>
      <x:c r="U1896" s="24" t="n">
        <x:f>IFERROR(J1896/H1896,0)-IFERROR(K1896/I1896,0)</x:f>
        <x:v>-0.4421052631578947</x:v>
      </x:c>
      <x:c r="V1896" s="24" t="n">
        <x:f>IFERROR(F1896/J1896,0)-IFERROR(G1896/K1896,0)</x:f>
        <x:v>0.2222222222222222</x:v>
      </x:c>
      <x:c r="W1896" s="28" t="n">
        <x:f>L1896-M1896</x:f>
        <x:v>-1</x:v>
      </x:c>
      <x:c r="X1896" s="24" t="n">
        <x:f>IFERROR(K1896/I1896,0)</x:f>
        <x:v>0.6</x:v>
      </x:c>
      <x:c r="Y1896" s="24" t="n">
        <x:f>IFERROR(G1896/I1896,0)</x:f>
        <x:v>0.26666666666666666</x:v>
      </x:c>
      <x:c r="Z1896" s="24" t="n">
        <x:f>IFERROR(G1896/K1896,0)</x:f>
        <x:v>0.4444444444444444</x:v>
      </x:c>
      <x:c r="AA1896" s="24" t="n">
        <x:f>IFERROR(F1896/H1896,0)-IFERROR(G1896/I1896,0)</x:f>
        <x:v>-0.16140350877192983</x:v>
      </x:c>
      <x:c r="AB1896" s="28" t="n">
        <x:f>J1896-K1896</x:f>
        <x:v>-6</x:v>
      </x:c>
      <x:c r="AC1896" s="32" t="n">
        <x:f>F1896-G1896</x:f>
        <x:v>-2</x:v>
      </x:c>
    </x:row>
    <x:row r="1897">
      <x:c r="A1897" s="4" t="str">
        <x:v>2023-24</x:v>
      </x:c>
      <x:c r="B1897" s="20" t="n">
        <x:v>45288</x:v>
      </x:c>
      <x:c r="C1897" s="4" t="str">
        <x:v>West Ham</x:v>
      </x:c>
      <x:c r="D1897" s="4" t="str">
        <x:v>Arsenal</x:v>
      </x:c>
      <x:c r="E1897" s="4" t="str">
        <x:v>Away</x:v>
      </x:c>
      <x:c r="F1897" s="28" t="n">
        <x:v>2</x:v>
      </x:c>
      <x:c r="G1897" s="28" t="n">
        <x:v>0</x:v>
      </x:c>
      <x:c r="H1897" s="28" t="n">
        <x:v>6</x:v>
      </x:c>
      <x:c r="I1897" s="28" t="n">
        <x:v>30</x:v>
      </x:c>
      <x:c r="J1897" s="28" t="n">
        <x:v>3</x:v>
      </x:c>
      <x:c r="K1897" s="28" t="n">
        <x:v>8</x:v>
      </x:c>
      <x:c r="L1897" s="28" t="n">
        <x:v>3</x:v>
      </x:c>
      <x:c r="M1897" s="28" t="n">
        <x:v>10</x:v>
      </x:c>
      <x:c r="N1897" s="28" t="n">
        <x:v>0</x:v>
      </x:c>
      <x:c r="O1897" s="28" t="n">
        <x:v>0</x:v>
      </x:c>
      <x:c r="P1897" s="28" t="n">
        <x:v>3</x:v>
      </x:c>
      <x:c r="Q1897" s="24" t="n">
        <x:f>IFERROR(J1897/H1897,0)</x:f>
        <x:v>0.5</x:v>
      </x:c>
      <x:c r="R1897" s="24" t="n">
        <x:f>IFERROR(F1897/H1897,0)</x:f>
        <x:v>0.3333333333333333</x:v>
      </x:c>
      <x:c r="S1897" s="24" t="n">
        <x:f>IFERROR(F1897/J1897,0)</x:f>
        <x:v>0.6666666666666666</x:v>
      </x:c>
      <x:c r="T1897" s="28" t="n">
        <x:f>H1897-I1897</x:f>
        <x:v>-24</x:v>
      </x:c>
      <x:c r="U1897" s="24" t="n">
        <x:f>IFERROR(J1897/H1897,0)-IFERROR(K1897/I1897,0)</x:f>
        <x:v>0.23333333333333334</x:v>
      </x:c>
      <x:c r="V1897" s="24" t="n">
        <x:f>IFERROR(F1897/J1897,0)-IFERROR(G1897/K1897,0)</x:f>
        <x:v>0.6666666666666666</x:v>
      </x:c>
      <x:c r="W1897" s="28" t="n">
        <x:f>L1897-M1897</x:f>
        <x:v>-7</x:v>
      </x:c>
      <x:c r="X1897" s="24" t="n">
        <x:f>IFERROR(K1897/I1897,0)</x:f>
        <x:v>0.26666666666666666</x:v>
      </x:c>
      <x:c r="Y1897" s="24" t="n">
        <x:f>IFERROR(G1897/I1897,0)</x:f>
        <x:v>0</x:v>
      </x:c>
      <x:c r="Z1897" s="24" t="n">
        <x:f>IFERROR(G1897/K1897,0)</x:f>
        <x:v>0</x:v>
      </x:c>
      <x:c r="AA1897" s="24" t="n">
        <x:f>IFERROR(F1897/H1897,0)-IFERROR(G1897/I1897,0)</x:f>
        <x:v>0.3333333333333333</x:v>
      </x:c>
      <x:c r="AB1897" s="28" t="n">
        <x:f>J1897-K1897</x:f>
        <x:v>-5</x:v>
      </x:c>
      <x:c r="AC1897" s="32" t="n">
        <x:f>F1897-G1897</x:f>
        <x:v>2</x:v>
      </x:c>
    </x:row>
    <x:row r="1898">
      <x:c r="A1898" s="4" t="str">
        <x:v>2023-24</x:v>
      </x:c>
      <x:c r="B1898" s="20" t="n">
        <x:v>45290</x:v>
      </x:c>
      <x:c r="C1898" s="4" t="str">
        <x:v>Aston Villa</x:v>
      </x:c>
      <x:c r="D1898" s="4" t="str">
        <x:v>Burnley</x:v>
      </x:c>
      <x:c r="E1898" s="4" t="str">
        <x:v>Home</x:v>
      </x:c>
      <x:c r="F1898" s="28" t="n">
        <x:v>3</x:v>
      </x:c>
      <x:c r="G1898" s="28" t="n">
        <x:v>2</x:v>
      </x:c>
      <x:c r="H1898" s="28" t="n">
        <x:v>19</x:v>
      </x:c>
      <x:c r="I1898" s="28" t="n">
        <x:v>9</x:v>
      </x:c>
      <x:c r="J1898" s="28" t="n">
        <x:v>7</x:v>
      </x:c>
      <x:c r="K1898" s="28" t="n">
        <x:v>5</x:v>
      </x:c>
      <x:c r="L1898" s="28" t="n">
        <x:v>6</x:v>
      </x:c>
      <x:c r="M1898" s="28" t="n">
        <x:v>2</x:v>
      </x:c>
      <x:c r="N1898" s="28" t="n">
        <x:v>4</x:v>
      </x:c>
      <x:c r="O1898" s="28" t="n">
        <x:v>0</x:v>
      </x:c>
      <x:c r="P1898" s="28" t="n">
        <x:v>3</x:v>
      </x:c>
      <x:c r="Q1898" s="24" t="n">
        <x:f>IFERROR(J1898/H1898,0)</x:f>
        <x:v>0.3684210526315789</x:v>
      </x:c>
      <x:c r="R1898" s="24" t="n">
        <x:f>IFERROR(F1898/H1898,0)</x:f>
        <x:v>0.15789473684210525</x:v>
      </x:c>
      <x:c r="S1898" s="24" t="n">
        <x:f>IFERROR(F1898/J1898,0)</x:f>
        <x:v>0.42857142857142855</x:v>
      </x:c>
      <x:c r="T1898" s="28" t="n">
        <x:f>H1898-I1898</x:f>
        <x:v>10</x:v>
      </x:c>
      <x:c r="U1898" s="24" t="n">
        <x:f>IFERROR(J1898/H1898,0)-IFERROR(K1898/I1898,0)</x:f>
        <x:v>-0.18713450292397665</x:v>
      </x:c>
      <x:c r="V1898" s="24" t="n">
        <x:f>IFERROR(F1898/J1898,0)-IFERROR(G1898/K1898,0)</x:f>
        <x:v>0.028571428571428525</x:v>
      </x:c>
      <x:c r="W1898" s="28" t="n">
        <x:f>L1898-M1898</x:f>
        <x:v>4</x:v>
      </x:c>
      <x:c r="X1898" s="24" t="n">
        <x:f>IFERROR(K1898/I1898,0)</x:f>
        <x:v>0.5555555555555556</x:v>
      </x:c>
      <x:c r="Y1898" s="24" t="n">
        <x:f>IFERROR(G1898/I1898,0)</x:f>
        <x:v>0.2222222222222222</x:v>
      </x:c>
      <x:c r="Z1898" s="24" t="n">
        <x:f>IFERROR(G1898/K1898,0)</x:f>
        <x:v>0.4</x:v>
      </x:c>
      <x:c r="AA1898" s="24" t="n">
        <x:f>IFERROR(F1898/H1898,0)-IFERROR(G1898/I1898,0)</x:f>
        <x:v>-0.06432748538011696</x:v>
      </x:c>
      <x:c r="AB1898" s="28" t="n">
        <x:f>J1898-K1898</x:f>
        <x:v>2</x:v>
      </x:c>
      <x:c r="AC1898" s="32" t="n">
        <x:f>F1898-G1898</x:f>
        <x:v>1</x:v>
      </x:c>
    </x:row>
    <x:row r="1899">
      <x:c r="A1899" s="4" t="str">
        <x:v>2023-24</x:v>
      </x:c>
      <x:c r="B1899" s="20" t="n">
        <x:v>45290</x:v>
      </x:c>
      <x:c r="C1899" s="4" t="str">
        <x:v>Brentford</x:v>
      </x:c>
      <x:c r="D1899" s="4" t="str">
        <x:v>Crystal Palace</x:v>
      </x:c>
      <x:c r="E1899" s="4" t="str">
        <x:v>Away</x:v>
      </x:c>
      <x:c r="F1899" s="28" t="n">
        <x:v>1</x:v>
      </x:c>
      <x:c r="G1899" s="28" t="n">
        <x:v>3</x:v>
      </x:c>
      <x:c r="H1899" s="28" t="n">
        <x:v>9</x:v>
      </x:c>
      <x:c r="I1899" s="28" t="n">
        <x:v>13</x:v>
      </x:c>
      <x:c r="J1899" s="28" t="n">
        <x:v>4</x:v>
      </x:c>
      <x:c r="K1899" s="28" t="n">
        <x:v>6</x:v>
      </x:c>
      <x:c r="L1899" s="28" t="n">
        <x:v>4</x:v>
      </x:c>
      <x:c r="M1899" s="28" t="n">
        <x:v>7</x:v>
      </x:c>
      <x:c r="N1899" s="28" t="n">
        <x:v>1</x:v>
      </x:c>
      <x:c r="O1899" s="28" t="n">
        <x:v>0</x:v>
      </x:c>
      <x:c r="P1899" s="28" t="n">
        <x:v>0</x:v>
      </x:c>
      <x:c r="Q1899" s="24" t="n">
        <x:f>IFERROR(J1899/H1899,0)</x:f>
        <x:v>0.4444444444444444</x:v>
      </x:c>
      <x:c r="R1899" s="24" t="n">
        <x:f>IFERROR(F1899/H1899,0)</x:f>
        <x:v>0.1111111111111111</x:v>
      </x:c>
      <x:c r="S1899" s="24" t="n">
        <x:f>IFERROR(F1899/J1899,0)</x:f>
        <x:v>0.25</x:v>
      </x:c>
      <x:c r="T1899" s="28" t="n">
        <x:f>H1899-I1899</x:f>
        <x:v>-4</x:v>
      </x:c>
      <x:c r="U1899" s="24" t="n">
        <x:f>IFERROR(J1899/H1899,0)-IFERROR(K1899/I1899,0)</x:f>
        <x:v>-0.017094017094017144</x:v>
      </x:c>
      <x:c r="V1899" s="24" t="n">
        <x:f>IFERROR(F1899/J1899,0)-IFERROR(G1899/K1899,0)</x:f>
        <x:v>-0.25</x:v>
      </x:c>
      <x:c r="W1899" s="28" t="n">
        <x:f>L1899-M1899</x:f>
        <x:v>-3</x:v>
      </x:c>
      <x:c r="X1899" s="24" t="n">
        <x:f>IFERROR(K1899/I1899,0)</x:f>
        <x:v>0.46153846153846156</x:v>
      </x:c>
      <x:c r="Y1899" s="24" t="n">
        <x:f>IFERROR(G1899/I1899,0)</x:f>
        <x:v>0.23076923076923078</x:v>
      </x:c>
      <x:c r="Z1899" s="24" t="n">
        <x:f>IFERROR(G1899/K1899,0)</x:f>
        <x:v>0.5</x:v>
      </x:c>
      <x:c r="AA1899" s="24" t="n">
        <x:f>IFERROR(F1899/H1899,0)-IFERROR(G1899/I1899,0)</x:f>
        <x:v>-0.11965811965811968</x:v>
      </x:c>
      <x:c r="AB1899" s="28" t="n">
        <x:f>J1899-K1899</x:f>
        <x:v>-2</x:v>
      </x:c>
      <x:c r="AC1899" s="32" t="n">
        <x:f>F1899-G1899</x:f>
        <x:v>-2</x:v>
      </x:c>
    </x:row>
    <x:row r="1900">
      <x:c r="A1900" s="4" t="str">
        <x:v>2023-24</x:v>
      </x:c>
      <x:c r="B1900" s="20" t="n">
        <x:v>45290</x:v>
      </x:c>
      <x:c r="C1900" s="4" t="str">
        <x:v>Burnley</x:v>
      </x:c>
      <x:c r="D1900" s="4" t="str">
        <x:v>Aston Villa</x:v>
      </x:c>
      <x:c r="E1900" s="4" t="str">
        <x:v>Away</x:v>
      </x:c>
      <x:c r="F1900" s="28" t="n">
        <x:v>2</x:v>
      </x:c>
      <x:c r="G1900" s="28" t="n">
        <x:v>3</x:v>
      </x:c>
      <x:c r="H1900" s="28" t="n">
        <x:v>9</x:v>
      </x:c>
      <x:c r="I1900" s="28" t="n">
        <x:v>19</x:v>
      </x:c>
      <x:c r="J1900" s="28" t="n">
        <x:v>5</x:v>
      </x:c>
      <x:c r="K1900" s="28" t="n">
        <x:v>7</x:v>
      </x:c>
      <x:c r="L1900" s="28" t="n">
        <x:v>2</x:v>
      </x:c>
      <x:c r="M1900" s="28" t="n">
        <x:v>6</x:v>
      </x:c>
      <x:c r="N1900" s="28" t="n">
        <x:v>1</x:v>
      </x:c>
      <x:c r="O1900" s="28" t="n">
        <x:v>1</x:v>
      </x:c>
      <x:c r="P1900" s="28" t="n">
        <x:v>0</x:v>
      </x:c>
      <x:c r="Q1900" s="24" t="n">
        <x:f>IFERROR(J1900/H1900,0)</x:f>
        <x:v>0.5555555555555556</x:v>
      </x:c>
      <x:c r="R1900" s="24" t="n">
        <x:f>IFERROR(F1900/H1900,0)</x:f>
        <x:v>0.2222222222222222</x:v>
      </x:c>
      <x:c r="S1900" s="24" t="n">
        <x:f>IFERROR(F1900/J1900,0)</x:f>
        <x:v>0.4</x:v>
      </x:c>
      <x:c r="T1900" s="28" t="n">
        <x:f>H1900-I1900</x:f>
        <x:v>-10</x:v>
      </x:c>
      <x:c r="U1900" s="24" t="n">
        <x:f>IFERROR(J1900/H1900,0)-IFERROR(K1900/I1900,0)</x:f>
        <x:v>0.18713450292397665</x:v>
      </x:c>
      <x:c r="V1900" s="24" t="n">
        <x:f>IFERROR(F1900/J1900,0)-IFERROR(G1900/K1900,0)</x:f>
        <x:v>-0.028571428571428525</x:v>
      </x:c>
      <x:c r="W1900" s="28" t="n">
        <x:f>L1900-M1900</x:f>
        <x:v>-4</x:v>
      </x:c>
      <x:c r="X1900" s="24" t="n">
        <x:f>IFERROR(K1900/I1900,0)</x:f>
        <x:v>0.3684210526315789</x:v>
      </x:c>
      <x:c r="Y1900" s="24" t="n">
        <x:f>IFERROR(G1900/I1900,0)</x:f>
        <x:v>0.15789473684210525</x:v>
      </x:c>
      <x:c r="Z1900" s="24" t="n">
        <x:f>IFERROR(G1900/K1900,0)</x:f>
        <x:v>0.42857142857142855</x:v>
      </x:c>
      <x:c r="AA1900" s="24" t="n">
        <x:f>IFERROR(F1900/H1900,0)-IFERROR(G1900/I1900,0)</x:f>
        <x:v>0.06432748538011696</x:v>
      </x:c>
      <x:c r="AB1900" s="28" t="n">
        <x:f>J1900-K1900</x:f>
        <x:v>-2</x:v>
      </x:c>
      <x:c r="AC1900" s="32" t="n">
        <x:f>F1900-G1900</x:f>
        <x:v>-1</x:v>
      </x:c>
    </x:row>
    <x:row r="1901">
      <x:c r="A1901" s="4" t="str">
        <x:v>2023-24</x:v>
      </x:c>
      <x:c r="B1901" s="20" t="n">
        <x:v>45290</x:v>
      </x:c>
      <x:c r="C1901" s="4" t="str">
        <x:v>Chelsea</x:v>
      </x:c>
      <x:c r="D1901" s="4" t="str">
        <x:v>Luton</x:v>
      </x:c>
      <x:c r="E1901" s="4" t="str">
        <x:v>Away</x:v>
      </x:c>
      <x:c r="F1901" s="28" t="n">
        <x:v>3</x:v>
      </x:c>
      <x:c r="G1901" s="28" t="n">
        <x:v>2</x:v>
      </x:c>
      <x:c r="H1901" s="28" t="n">
        <x:v>12</x:v>
      </x:c>
      <x:c r="I1901" s="28" t="n">
        <x:v>15</x:v>
      </x:c>
      <x:c r="J1901" s="28" t="n">
        <x:v>8</x:v>
      </x:c>
      <x:c r="K1901" s="28" t="n">
        <x:v>6</x:v>
      </x:c>
      <x:c r="L1901" s="28" t="n">
        <x:v>2</x:v>
      </x:c>
      <x:c r="M1901" s="28" t="n">
        <x:v>7</x:v>
      </x:c>
      <x:c r="N1901" s="28" t="n">
        <x:v>2</x:v>
      </x:c>
      <x:c r="O1901" s="28" t="n">
        <x:v>0</x:v>
      </x:c>
      <x:c r="P1901" s="28" t="n">
        <x:v>3</x:v>
      </x:c>
      <x:c r="Q1901" s="24" t="n">
        <x:f>IFERROR(J1901/H1901,0)</x:f>
        <x:v>0.6666666666666666</x:v>
      </x:c>
      <x:c r="R1901" s="24" t="n">
        <x:f>IFERROR(F1901/H1901,0)</x:f>
        <x:v>0.25</x:v>
      </x:c>
      <x:c r="S1901" s="24" t="n">
        <x:f>IFERROR(F1901/J1901,0)</x:f>
        <x:v>0.375</x:v>
      </x:c>
      <x:c r="T1901" s="28" t="n">
        <x:f>H1901-I1901</x:f>
        <x:v>-3</x:v>
      </x:c>
      <x:c r="U1901" s="24" t="n">
        <x:f>IFERROR(J1901/H1901,0)-IFERROR(K1901/I1901,0)</x:f>
        <x:v>0.2666666666666666</x:v>
      </x:c>
      <x:c r="V1901" s="24" t="n">
        <x:f>IFERROR(F1901/J1901,0)-IFERROR(G1901/K1901,0)</x:f>
        <x:v>0.041666666666666685</x:v>
      </x:c>
      <x:c r="W1901" s="28" t="n">
        <x:f>L1901-M1901</x:f>
        <x:v>-5</x:v>
      </x:c>
      <x:c r="X1901" s="24" t="n">
        <x:f>IFERROR(K1901/I1901,0)</x:f>
        <x:v>0.4</x:v>
      </x:c>
      <x:c r="Y1901" s="24" t="n">
        <x:f>IFERROR(G1901/I1901,0)</x:f>
        <x:v>0.13333333333333333</x:v>
      </x:c>
      <x:c r="Z1901" s="24" t="n">
        <x:f>IFERROR(G1901/K1901,0)</x:f>
        <x:v>0.3333333333333333</x:v>
      </x:c>
      <x:c r="AA1901" s="24" t="n">
        <x:f>IFERROR(F1901/H1901,0)-IFERROR(G1901/I1901,0)</x:f>
        <x:v>0.11666666666666667</x:v>
      </x:c>
      <x:c r="AB1901" s="28" t="n">
        <x:f>J1901-K1901</x:f>
        <x:v>2</x:v>
      </x:c>
      <x:c r="AC1901" s="32" t="n">
        <x:f>F1901-G1901</x:f>
        <x:v>1</x:v>
      </x:c>
    </x:row>
    <x:row r="1902">
      <x:c r="A1902" s="4" t="str">
        <x:v>2023-24</x:v>
      </x:c>
      <x:c r="B1902" s="20" t="n">
        <x:v>45290</x:v>
      </x:c>
      <x:c r="C1902" s="4" t="str">
        <x:v>Crystal Palace</x:v>
      </x:c>
      <x:c r="D1902" s="4" t="str">
        <x:v>Brentford</x:v>
      </x:c>
      <x:c r="E1902" s="4" t="str">
        <x:v>Home</x:v>
      </x:c>
      <x:c r="F1902" s="28" t="n">
        <x:v>3</x:v>
      </x:c>
      <x:c r="G1902" s="28" t="n">
        <x:v>1</x:v>
      </x:c>
      <x:c r="H1902" s="28" t="n">
        <x:v>13</x:v>
      </x:c>
      <x:c r="I1902" s="28" t="n">
        <x:v>9</x:v>
      </x:c>
      <x:c r="J1902" s="28" t="n">
        <x:v>6</x:v>
      </x:c>
      <x:c r="K1902" s="28" t="n">
        <x:v>4</x:v>
      </x:c>
      <x:c r="L1902" s="28" t="n">
        <x:v>7</x:v>
      </x:c>
      <x:c r="M1902" s="28" t="n">
        <x:v>4</x:v>
      </x:c>
      <x:c r="N1902" s="28" t="n">
        <x:v>0</x:v>
      </x:c>
      <x:c r="O1902" s="28" t="n">
        <x:v>0</x:v>
      </x:c>
      <x:c r="P1902" s="28" t="n">
        <x:v>3</x:v>
      </x:c>
      <x:c r="Q1902" s="24" t="n">
        <x:f>IFERROR(J1902/H1902,0)</x:f>
        <x:v>0.46153846153846156</x:v>
      </x:c>
      <x:c r="R1902" s="24" t="n">
        <x:f>IFERROR(F1902/H1902,0)</x:f>
        <x:v>0.23076923076923078</x:v>
      </x:c>
      <x:c r="S1902" s="24" t="n">
        <x:f>IFERROR(F1902/J1902,0)</x:f>
        <x:v>0.5</x:v>
      </x:c>
      <x:c r="T1902" s="28" t="n">
        <x:f>H1902-I1902</x:f>
        <x:v>4</x:v>
      </x:c>
      <x:c r="U1902" s="24" t="n">
        <x:f>IFERROR(J1902/H1902,0)-IFERROR(K1902/I1902,0)</x:f>
        <x:v>0.017094017094017144</x:v>
      </x:c>
      <x:c r="V1902" s="24" t="n">
        <x:f>IFERROR(F1902/J1902,0)-IFERROR(G1902/K1902,0)</x:f>
        <x:v>0.25</x:v>
      </x:c>
      <x:c r="W1902" s="28" t="n">
        <x:f>L1902-M1902</x:f>
        <x:v>3</x:v>
      </x:c>
      <x:c r="X1902" s="24" t="n">
        <x:f>IFERROR(K1902/I1902,0)</x:f>
        <x:v>0.4444444444444444</x:v>
      </x:c>
      <x:c r="Y1902" s="24" t="n">
        <x:f>IFERROR(G1902/I1902,0)</x:f>
        <x:v>0.1111111111111111</x:v>
      </x:c>
      <x:c r="Z1902" s="24" t="n">
        <x:f>IFERROR(G1902/K1902,0)</x:f>
        <x:v>0.25</x:v>
      </x:c>
      <x:c r="AA1902" s="24" t="n">
        <x:f>IFERROR(F1902/H1902,0)-IFERROR(G1902/I1902,0)</x:f>
        <x:v>0.11965811965811968</x:v>
      </x:c>
      <x:c r="AB1902" s="28" t="n">
        <x:f>J1902-K1902</x:f>
        <x:v>2</x:v>
      </x:c>
      <x:c r="AC1902" s="32" t="n">
        <x:f>F1902-G1902</x:f>
        <x:v>2</x:v>
      </x:c>
    </x:row>
    <x:row r="1903">
      <x:c r="A1903" s="4" t="str">
        <x:v>2023-24</x:v>
      </x:c>
      <x:c r="B1903" s="20" t="n">
        <x:v>45290</x:v>
      </x:c>
      <x:c r="C1903" s="4" t="str">
        <x:v>Everton</x:v>
      </x:c>
      <x:c r="D1903" s="4" t="str">
        <x:v>Wolves</x:v>
      </x:c>
      <x:c r="E1903" s="4" t="str">
        <x:v>Away</x:v>
      </x:c>
      <x:c r="F1903" s="28" t="n">
        <x:v>0</x:v>
      </x:c>
      <x:c r="G1903" s="28" t="n">
        <x:v>3</x:v>
      </x:c>
      <x:c r="H1903" s="28" t="n">
        <x:v>10</x:v>
      </x:c>
      <x:c r="I1903" s="28" t="n">
        <x:v>12</x:v>
      </x:c>
      <x:c r="J1903" s="28" t="n">
        <x:v>0</x:v>
      </x:c>
      <x:c r="K1903" s="28" t="n">
        <x:v>6</x:v>
      </x:c>
      <x:c r="L1903" s="28" t="n">
        <x:v>2</x:v>
      </x:c>
      <x:c r="M1903" s="28" t="n">
        <x:v>5</x:v>
      </x:c>
      <x:c r="N1903" s="28" t="n">
        <x:v>3</x:v>
      </x:c>
      <x:c r="O1903" s="28" t="n">
        <x:v>0</x:v>
      </x:c>
      <x:c r="P1903" s="28" t="n">
        <x:v>0</x:v>
      </x:c>
      <x:c r="Q1903" s="24" t="n">
        <x:f>IFERROR(J1903/H1903,0)</x:f>
        <x:v>0</x:v>
      </x:c>
      <x:c r="R1903" s="24" t="n">
        <x:f>IFERROR(F1903/H1903,0)</x:f>
        <x:v>0</x:v>
      </x:c>
      <x:c r="S1903" s="24" t="n">
        <x:f>IFERROR(F1903/J1903,0)</x:f>
        <x:v>0</x:v>
      </x:c>
      <x:c r="T1903" s="28" t="n">
        <x:f>H1903-I1903</x:f>
        <x:v>-2</x:v>
      </x:c>
      <x:c r="U1903" s="24" t="n">
        <x:f>IFERROR(J1903/H1903,0)-IFERROR(K1903/I1903,0)</x:f>
        <x:v>-0.5</x:v>
      </x:c>
      <x:c r="V1903" s="24" t="n">
        <x:f>IFERROR(F1903/J1903,0)-IFERROR(G1903/K1903,0)</x:f>
        <x:v>-0.5</x:v>
      </x:c>
      <x:c r="W1903" s="28" t="n">
        <x:f>L1903-M1903</x:f>
        <x:v>-3</x:v>
      </x:c>
      <x:c r="X1903" s="24" t="n">
        <x:f>IFERROR(K1903/I1903,0)</x:f>
        <x:v>0.5</x:v>
      </x:c>
      <x:c r="Y1903" s="24" t="n">
        <x:f>IFERROR(G1903/I1903,0)</x:f>
        <x:v>0.25</x:v>
      </x:c>
      <x:c r="Z1903" s="24" t="n">
        <x:f>IFERROR(G1903/K1903,0)</x:f>
        <x:v>0.5</x:v>
      </x:c>
      <x:c r="AA1903" s="24" t="n">
        <x:f>IFERROR(F1903/H1903,0)-IFERROR(G1903/I1903,0)</x:f>
        <x:v>-0.25</x:v>
      </x:c>
      <x:c r="AB1903" s="28" t="n">
        <x:f>J1903-K1903</x:f>
        <x:v>-6</x:v>
      </x:c>
      <x:c r="AC1903" s="32" t="n">
        <x:f>F1903-G1903</x:f>
        <x:v>-3</x:v>
      </x:c>
    </x:row>
    <x:row r="1904">
      <x:c r="A1904" s="4" t="str">
        <x:v>2023-24</x:v>
      </x:c>
      <x:c r="B1904" s="20" t="n">
        <x:v>45290</x:v>
      </x:c>
      <x:c r="C1904" s="4" t="str">
        <x:v>Luton</x:v>
      </x:c>
      <x:c r="D1904" s="4" t="str">
        <x:v>Chelsea</x:v>
      </x:c>
      <x:c r="E1904" s="4" t="str">
        <x:v>Home</x:v>
      </x:c>
      <x:c r="F1904" s="28" t="n">
        <x:v>2</x:v>
      </x:c>
      <x:c r="G1904" s="28" t="n">
        <x:v>3</x:v>
      </x:c>
      <x:c r="H1904" s="28" t="n">
        <x:v>15</x:v>
      </x:c>
      <x:c r="I1904" s="28" t="n">
        <x:v>12</x:v>
      </x:c>
      <x:c r="J1904" s="28" t="n">
        <x:v>6</x:v>
      </x:c>
      <x:c r="K1904" s="28" t="n">
        <x:v>8</x:v>
      </x:c>
      <x:c r="L1904" s="28" t="n">
        <x:v>7</x:v>
      </x:c>
      <x:c r="M1904" s="28" t="n">
        <x:v>2</x:v>
      </x:c>
      <x:c r="N1904" s="28" t="n">
        <x:v>2</x:v>
      </x:c>
      <x:c r="O1904" s="28" t="n">
        <x:v>0</x:v>
      </x:c>
      <x:c r="P1904" s="28" t="n">
        <x:v>0</x:v>
      </x:c>
      <x:c r="Q1904" s="24" t="n">
        <x:f>IFERROR(J1904/H1904,0)</x:f>
        <x:v>0.4</x:v>
      </x:c>
      <x:c r="R1904" s="24" t="n">
        <x:f>IFERROR(F1904/H1904,0)</x:f>
        <x:v>0.13333333333333333</x:v>
      </x:c>
      <x:c r="S1904" s="24" t="n">
        <x:f>IFERROR(F1904/J1904,0)</x:f>
        <x:v>0.3333333333333333</x:v>
      </x:c>
      <x:c r="T1904" s="28" t="n">
        <x:f>H1904-I1904</x:f>
        <x:v>3</x:v>
      </x:c>
      <x:c r="U1904" s="24" t="n">
        <x:f>IFERROR(J1904/H1904,0)-IFERROR(K1904/I1904,0)</x:f>
        <x:v>-0.2666666666666666</x:v>
      </x:c>
      <x:c r="V1904" s="24" t="n">
        <x:f>IFERROR(F1904/J1904,0)-IFERROR(G1904/K1904,0)</x:f>
        <x:v>-0.041666666666666685</x:v>
      </x:c>
      <x:c r="W1904" s="28" t="n">
        <x:f>L1904-M1904</x:f>
        <x:v>5</x:v>
      </x:c>
      <x:c r="X1904" s="24" t="n">
        <x:f>IFERROR(K1904/I1904,0)</x:f>
        <x:v>0.6666666666666666</x:v>
      </x:c>
      <x:c r="Y1904" s="24" t="n">
        <x:f>IFERROR(G1904/I1904,0)</x:f>
        <x:v>0.25</x:v>
      </x:c>
      <x:c r="Z1904" s="24" t="n">
        <x:f>IFERROR(G1904/K1904,0)</x:f>
        <x:v>0.375</x:v>
      </x:c>
      <x:c r="AA1904" s="24" t="n">
        <x:f>IFERROR(F1904/H1904,0)-IFERROR(G1904/I1904,0)</x:f>
        <x:v>-0.11666666666666667</x:v>
      </x:c>
      <x:c r="AB1904" s="28" t="n">
        <x:f>J1904-K1904</x:f>
        <x:v>-2</x:v>
      </x:c>
      <x:c r="AC1904" s="32" t="n">
        <x:f>F1904-G1904</x:f>
        <x:v>-1</x:v>
      </x:c>
    </x:row>
    <x:row r="1905">
      <x:c r="A1905" s="4" t="str">
        <x:v>2023-24</x:v>
      </x:c>
      <x:c r="B1905" s="20" t="n">
        <x:v>45290</x:v>
      </x:c>
      <x:c r="C1905" s="4" t="str">
        <x:v>Man City</x:v>
      </x:c>
      <x:c r="D1905" s="4" t="str">
        <x:v>Sheffield United</x:v>
      </x:c>
      <x:c r="E1905" s="4" t="str">
        <x:v>Home</x:v>
      </x:c>
      <x:c r="F1905" s="28" t="n">
        <x:v>2</x:v>
      </x:c>
      <x:c r="G1905" s="28" t="n">
        <x:v>0</x:v>
      </x:c>
      <x:c r="H1905" s="28" t="n">
        <x:v>18</x:v>
      </x:c>
      <x:c r="I1905" s="28" t="n">
        <x:v>4</x:v>
      </x:c>
      <x:c r="J1905" s="28" t="n">
        <x:v>4</x:v>
      </x:c>
      <x:c r="K1905" s="28" t="n">
        <x:v>2</x:v>
      </x:c>
      <x:c r="L1905" s="28" t="n">
        <x:v>12</x:v>
      </x:c>
      <x:c r="M1905" s="28" t="n">
        <x:v>2</x:v>
      </x:c>
      <x:c r="N1905" s="28" t="n">
        <x:v>1</x:v>
      </x:c>
      <x:c r="O1905" s="28" t="n">
        <x:v>0</x:v>
      </x:c>
      <x:c r="P1905" s="28" t="n">
        <x:v>3</x:v>
      </x:c>
      <x:c r="Q1905" s="24" t="n">
        <x:f>IFERROR(J1905/H1905,0)</x:f>
        <x:v>0.2222222222222222</x:v>
      </x:c>
      <x:c r="R1905" s="24" t="n">
        <x:f>IFERROR(F1905/H1905,0)</x:f>
        <x:v>0.1111111111111111</x:v>
      </x:c>
      <x:c r="S1905" s="24" t="n">
        <x:f>IFERROR(F1905/J1905,0)</x:f>
        <x:v>0.5</x:v>
      </x:c>
      <x:c r="T1905" s="28" t="n">
        <x:f>H1905-I1905</x:f>
        <x:v>14</x:v>
      </x:c>
      <x:c r="U1905" s="24" t="n">
        <x:f>IFERROR(J1905/H1905,0)-IFERROR(K1905/I1905,0)</x:f>
        <x:v>-0.2777777777777778</x:v>
      </x:c>
      <x:c r="V1905" s="24" t="n">
        <x:f>IFERROR(F1905/J1905,0)-IFERROR(G1905/K1905,0)</x:f>
        <x:v>0.5</x:v>
      </x:c>
      <x:c r="W1905" s="28" t="n">
        <x:f>L1905-M1905</x:f>
        <x:v>10</x:v>
      </x:c>
      <x:c r="X1905" s="24" t="n">
        <x:f>IFERROR(K1905/I1905,0)</x:f>
        <x:v>0.5</x:v>
      </x:c>
      <x:c r="Y1905" s="24" t="n">
        <x:f>IFERROR(G1905/I1905,0)</x:f>
        <x:v>0</x:v>
      </x:c>
      <x:c r="Z1905" s="24" t="n">
        <x:f>IFERROR(G1905/K1905,0)</x:f>
        <x:v>0</x:v>
      </x:c>
      <x:c r="AA1905" s="24" t="n">
        <x:f>IFERROR(F1905/H1905,0)-IFERROR(G1905/I1905,0)</x:f>
        <x:v>0.1111111111111111</x:v>
      </x:c>
      <x:c r="AB1905" s="28" t="n">
        <x:f>J1905-K1905</x:f>
        <x:v>2</x:v>
      </x:c>
      <x:c r="AC1905" s="32" t="n">
        <x:f>F1905-G1905</x:f>
        <x:v>2</x:v>
      </x:c>
    </x:row>
    <x:row r="1906">
      <x:c r="A1906" s="4" t="str">
        <x:v>2023-24</x:v>
      </x:c>
      <x:c r="B1906" s="20" t="n">
        <x:v>45290</x:v>
      </x:c>
      <x:c r="C1906" s="4" t="str">
        <x:v>Man United</x:v>
      </x:c>
      <x:c r="D1906" s="4" t="str">
        <x:v>Nott'm Forest</x:v>
      </x:c>
      <x:c r="E1906" s="4" t="str">
        <x:v>Away</x:v>
      </x:c>
      <x:c r="F1906" s="28" t="n">
        <x:v>1</x:v>
      </x:c>
      <x:c r="G1906" s="28" t="n">
        <x:v>2</x:v>
      </x:c>
      <x:c r="H1906" s="28" t="n">
        <x:v>10</x:v>
      </x:c>
      <x:c r="I1906" s="28" t="n">
        <x:v>8</x:v>
      </x:c>
      <x:c r="J1906" s="28" t="n">
        <x:v>5</x:v>
      </x:c>
      <x:c r="K1906" s="28" t="n">
        <x:v>2</x:v>
      </x:c>
      <x:c r="L1906" s="28" t="n">
        <x:v>5</x:v>
      </x:c>
      <x:c r="M1906" s="28" t="n">
        <x:v>4</x:v>
      </x:c>
      <x:c r="N1906" s="28" t="n">
        <x:v>4</x:v>
      </x:c>
      <x:c r="O1906" s="28" t="n">
        <x:v>0</x:v>
      </x:c>
      <x:c r="P1906" s="28" t="n">
        <x:v>0</x:v>
      </x:c>
      <x:c r="Q1906" s="24" t="n">
        <x:f>IFERROR(J1906/H1906,0)</x:f>
        <x:v>0.5</x:v>
      </x:c>
      <x:c r="R1906" s="24" t="n">
        <x:f>IFERROR(F1906/H1906,0)</x:f>
        <x:v>0.1</x:v>
      </x:c>
      <x:c r="S1906" s="24" t="n">
        <x:f>IFERROR(F1906/J1906,0)</x:f>
        <x:v>0.2</x:v>
      </x:c>
      <x:c r="T1906" s="28" t="n">
        <x:f>H1906-I1906</x:f>
        <x:v>2</x:v>
      </x:c>
      <x:c r="U1906" s="24" t="n">
        <x:f>IFERROR(J1906/H1906,0)-IFERROR(K1906/I1906,0)</x:f>
        <x:v>0.25</x:v>
      </x:c>
      <x:c r="V1906" s="24" t="n">
        <x:f>IFERROR(F1906/J1906,0)-IFERROR(G1906/K1906,0)</x:f>
        <x:v>-0.8</x:v>
      </x:c>
      <x:c r="W1906" s="28" t="n">
        <x:f>L1906-M1906</x:f>
        <x:v>1</x:v>
      </x:c>
      <x:c r="X1906" s="24" t="n">
        <x:f>IFERROR(K1906/I1906,0)</x:f>
        <x:v>0.25</x:v>
      </x:c>
      <x:c r="Y1906" s="24" t="n">
        <x:f>IFERROR(G1906/I1906,0)</x:f>
        <x:v>0.25</x:v>
      </x:c>
      <x:c r="Z1906" s="24" t="n">
        <x:f>IFERROR(G1906/K1906,0)</x:f>
        <x:v>1</x:v>
      </x:c>
      <x:c r="AA1906" s="24" t="n">
        <x:f>IFERROR(F1906/H1906,0)-IFERROR(G1906/I1906,0)</x:f>
        <x:v>-0.15</x:v>
      </x:c>
      <x:c r="AB1906" s="28" t="n">
        <x:f>J1906-K1906</x:f>
        <x:v>3</x:v>
      </x:c>
      <x:c r="AC1906" s="32" t="n">
        <x:f>F1906-G1906</x:f>
        <x:v>-1</x:v>
      </x:c>
    </x:row>
    <x:row r="1907">
      <x:c r="A1907" s="4" t="str">
        <x:v>2023-24</x:v>
      </x:c>
      <x:c r="B1907" s="20" t="n">
        <x:v>45290</x:v>
      </x:c>
      <x:c r="C1907" s="4" t="str">
        <x:v>Nott'm Forest</x:v>
      </x:c>
      <x:c r="D1907" s="4" t="str">
        <x:v>Man United</x:v>
      </x:c>
      <x:c r="E1907" s="4" t="str">
        <x:v>Home</x:v>
      </x:c>
      <x:c r="F1907" s="28" t="n">
        <x:v>2</x:v>
      </x:c>
      <x:c r="G1907" s="28" t="n">
        <x:v>1</x:v>
      </x:c>
      <x:c r="H1907" s="28" t="n">
        <x:v>8</x:v>
      </x:c>
      <x:c r="I1907" s="28" t="n">
        <x:v>10</x:v>
      </x:c>
      <x:c r="J1907" s="28" t="n">
        <x:v>2</x:v>
      </x:c>
      <x:c r="K1907" s="28" t="n">
        <x:v>5</x:v>
      </x:c>
      <x:c r="L1907" s="28" t="n">
        <x:v>4</x:v>
      </x:c>
      <x:c r="M1907" s="28" t="n">
        <x:v>5</x:v>
      </x:c>
      <x:c r="N1907" s="28" t="n">
        <x:v>2</x:v>
      </x:c>
      <x:c r="O1907" s="28" t="n">
        <x:v>0</x:v>
      </x:c>
      <x:c r="P1907" s="28" t="n">
        <x:v>3</x:v>
      </x:c>
      <x:c r="Q1907" s="24" t="n">
        <x:f>IFERROR(J1907/H1907,0)</x:f>
        <x:v>0.25</x:v>
      </x:c>
      <x:c r="R1907" s="24" t="n">
        <x:f>IFERROR(F1907/H1907,0)</x:f>
        <x:v>0.25</x:v>
      </x:c>
      <x:c r="S1907" s="24" t="n">
        <x:f>IFERROR(F1907/J1907,0)</x:f>
        <x:v>1</x:v>
      </x:c>
      <x:c r="T1907" s="28" t="n">
        <x:f>H1907-I1907</x:f>
        <x:v>-2</x:v>
      </x:c>
      <x:c r="U1907" s="24" t="n">
        <x:f>IFERROR(J1907/H1907,0)-IFERROR(K1907/I1907,0)</x:f>
        <x:v>-0.25</x:v>
      </x:c>
      <x:c r="V1907" s="24" t="n">
        <x:f>IFERROR(F1907/J1907,0)-IFERROR(G1907/K1907,0)</x:f>
        <x:v>0.8</x:v>
      </x:c>
      <x:c r="W1907" s="28" t="n">
        <x:f>L1907-M1907</x:f>
        <x:v>-1</x:v>
      </x:c>
      <x:c r="X1907" s="24" t="n">
        <x:f>IFERROR(K1907/I1907,0)</x:f>
        <x:v>0.5</x:v>
      </x:c>
      <x:c r="Y1907" s="24" t="n">
        <x:f>IFERROR(G1907/I1907,0)</x:f>
        <x:v>0.1</x:v>
      </x:c>
      <x:c r="Z1907" s="24" t="n">
        <x:f>IFERROR(G1907/K1907,0)</x:f>
        <x:v>0.2</x:v>
      </x:c>
      <x:c r="AA1907" s="24" t="n">
        <x:f>IFERROR(F1907/H1907,0)-IFERROR(G1907/I1907,0)</x:f>
        <x:v>0.15</x:v>
      </x:c>
      <x:c r="AB1907" s="28" t="n">
        <x:f>J1907-K1907</x:f>
        <x:v>-3</x:v>
      </x:c>
      <x:c r="AC1907" s="32" t="n">
        <x:f>F1907-G1907</x:f>
        <x:v>1</x:v>
      </x:c>
    </x:row>
    <x:row r="1908">
      <x:c r="A1908" s="4" t="str">
        <x:v>2023-24</x:v>
      </x:c>
      <x:c r="B1908" s="20" t="n">
        <x:v>45290</x:v>
      </x:c>
      <x:c r="C1908" s="4" t="str">
        <x:v>Sheffield United</x:v>
      </x:c>
      <x:c r="D1908" s="4" t="str">
        <x:v>Man City</x:v>
      </x:c>
      <x:c r="E1908" s="4" t="str">
        <x:v>Away</x:v>
      </x:c>
      <x:c r="F1908" s="28" t="n">
        <x:v>0</x:v>
      </x:c>
      <x:c r="G1908" s="28" t="n">
        <x:v>2</x:v>
      </x:c>
      <x:c r="H1908" s="28" t="n">
        <x:v>4</x:v>
      </x:c>
      <x:c r="I1908" s="28" t="n">
        <x:v>18</x:v>
      </x:c>
      <x:c r="J1908" s="28" t="n">
        <x:v>2</x:v>
      </x:c>
      <x:c r="K1908" s="28" t="n">
        <x:v>4</x:v>
      </x:c>
      <x:c r="L1908" s="28" t="n">
        <x:v>2</x:v>
      </x:c>
      <x:c r="M1908" s="28" t="n">
        <x:v>12</x:v>
      </x:c>
      <x:c r="N1908" s="28" t="n">
        <x:v>1</x:v>
      </x:c>
      <x:c r="O1908" s="28" t="n">
        <x:v>0</x:v>
      </x:c>
      <x:c r="P1908" s="28" t="n">
        <x:v>0</x:v>
      </x:c>
      <x:c r="Q1908" s="24" t="n">
        <x:f>IFERROR(J1908/H1908,0)</x:f>
        <x:v>0.5</x:v>
      </x:c>
      <x:c r="R1908" s="24" t="n">
        <x:f>IFERROR(F1908/H1908,0)</x:f>
        <x:v>0</x:v>
      </x:c>
      <x:c r="S1908" s="24" t="n">
        <x:f>IFERROR(F1908/J1908,0)</x:f>
        <x:v>0</x:v>
      </x:c>
      <x:c r="T1908" s="28" t="n">
        <x:f>H1908-I1908</x:f>
        <x:v>-14</x:v>
      </x:c>
      <x:c r="U1908" s="24" t="n">
        <x:f>IFERROR(J1908/H1908,0)-IFERROR(K1908/I1908,0)</x:f>
        <x:v>0.2777777777777778</x:v>
      </x:c>
      <x:c r="V1908" s="24" t="n">
        <x:f>IFERROR(F1908/J1908,0)-IFERROR(G1908/K1908,0)</x:f>
        <x:v>-0.5</x:v>
      </x:c>
      <x:c r="W1908" s="28" t="n">
        <x:f>L1908-M1908</x:f>
        <x:v>-10</x:v>
      </x:c>
      <x:c r="X1908" s="24" t="n">
        <x:f>IFERROR(K1908/I1908,0)</x:f>
        <x:v>0.2222222222222222</x:v>
      </x:c>
      <x:c r="Y1908" s="24" t="n">
        <x:f>IFERROR(G1908/I1908,0)</x:f>
        <x:v>0.1111111111111111</x:v>
      </x:c>
      <x:c r="Z1908" s="24" t="n">
        <x:f>IFERROR(G1908/K1908,0)</x:f>
        <x:v>0.5</x:v>
      </x:c>
      <x:c r="AA1908" s="24" t="n">
        <x:f>IFERROR(F1908/H1908,0)-IFERROR(G1908/I1908,0)</x:f>
        <x:v>-0.1111111111111111</x:v>
      </x:c>
      <x:c r="AB1908" s="28" t="n">
        <x:f>J1908-K1908</x:f>
        <x:v>-2</x:v>
      </x:c>
      <x:c r="AC1908" s="32" t="n">
        <x:f>F1908-G1908</x:f>
        <x:v>-2</x:v>
      </x:c>
    </x:row>
    <x:row r="1909">
      <x:c r="A1909" s="4" t="str">
        <x:v>2023-24</x:v>
      </x:c>
      <x:c r="B1909" s="20" t="n">
        <x:v>45290</x:v>
      </x:c>
      <x:c r="C1909" s="4" t="str">
        <x:v>Wolves</x:v>
      </x:c>
      <x:c r="D1909" s="4" t="str">
        <x:v>Everton</x:v>
      </x:c>
      <x:c r="E1909" s="4" t="str">
        <x:v>Home</x:v>
      </x:c>
      <x:c r="F1909" s="28" t="n">
        <x:v>3</x:v>
      </x:c>
      <x:c r="G1909" s="28" t="n">
        <x:v>0</x:v>
      </x:c>
      <x:c r="H1909" s="28" t="n">
        <x:v>12</x:v>
      </x:c>
      <x:c r="I1909" s="28" t="n">
        <x:v>10</x:v>
      </x:c>
      <x:c r="J1909" s="28" t="n">
        <x:v>6</x:v>
      </x:c>
      <x:c r="K1909" s="28" t="n">
        <x:v>0</x:v>
      </x:c>
      <x:c r="L1909" s="28" t="n">
        <x:v>5</x:v>
      </x:c>
      <x:c r="M1909" s="28" t="n">
        <x:v>2</x:v>
      </x:c>
      <x:c r="N1909" s="28" t="n">
        <x:v>2</x:v>
      </x:c>
      <x:c r="O1909" s="28" t="n">
        <x:v>0</x:v>
      </x:c>
      <x:c r="P1909" s="28" t="n">
        <x:v>3</x:v>
      </x:c>
      <x:c r="Q1909" s="24" t="n">
        <x:f>IFERROR(J1909/H1909,0)</x:f>
        <x:v>0.5</x:v>
      </x:c>
      <x:c r="R1909" s="24" t="n">
        <x:f>IFERROR(F1909/H1909,0)</x:f>
        <x:v>0.25</x:v>
      </x:c>
      <x:c r="S1909" s="24" t="n">
        <x:f>IFERROR(F1909/J1909,0)</x:f>
        <x:v>0.5</x:v>
      </x:c>
      <x:c r="T1909" s="28" t="n">
        <x:f>H1909-I1909</x:f>
        <x:v>2</x:v>
      </x:c>
      <x:c r="U1909" s="24" t="n">
        <x:f>IFERROR(J1909/H1909,0)-IFERROR(K1909/I1909,0)</x:f>
        <x:v>0.5</x:v>
      </x:c>
      <x:c r="V1909" s="24" t="n">
        <x:f>IFERROR(F1909/J1909,0)-IFERROR(G1909/K1909,0)</x:f>
        <x:v>0.5</x:v>
      </x:c>
      <x:c r="W1909" s="28" t="n">
        <x:f>L1909-M1909</x:f>
        <x:v>3</x:v>
      </x:c>
      <x:c r="X1909" s="24" t="n">
        <x:f>IFERROR(K1909/I1909,0)</x:f>
        <x:v>0</x:v>
      </x:c>
      <x:c r="Y1909" s="24" t="n">
        <x:f>IFERROR(G1909/I1909,0)</x:f>
        <x:v>0</x:v>
      </x:c>
      <x:c r="Z1909" s="24" t="n">
        <x:f>IFERROR(G1909/K1909,0)</x:f>
        <x:v>0</x:v>
      </x:c>
      <x:c r="AA1909" s="24" t="n">
        <x:f>IFERROR(F1909/H1909,0)-IFERROR(G1909/I1909,0)</x:f>
        <x:v>0.25</x:v>
      </x:c>
      <x:c r="AB1909" s="28" t="n">
        <x:f>J1909-K1909</x:f>
        <x:v>6</x:v>
      </x:c>
      <x:c r="AC1909" s="32" t="n">
        <x:f>F1909-G1909</x:f>
        <x:v>3</x:v>
      </x:c>
    </x:row>
    <x:row r="1910">
      <x:c r="A1910" s="4" t="str">
        <x:v>2023-24</x:v>
      </x:c>
      <x:c r="B1910" s="20" t="n">
        <x:v>45291</x:v>
      </x:c>
      <x:c r="C1910" s="4" t="str">
        <x:v>Arsenal</x:v>
      </x:c>
      <x:c r="D1910" s="4" t="str">
        <x:v>Fulham</x:v>
      </x:c>
      <x:c r="E1910" s="4" t="str">
        <x:v>Away</x:v>
      </x:c>
      <x:c r="F1910" s="28" t="n">
        <x:v>1</x:v>
      </x:c>
      <x:c r="G1910" s="28" t="n">
        <x:v>2</x:v>
      </x:c>
      <x:c r="H1910" s="28" t="n">
        <x:v>13</x:v>
      </x:c>
      <x:c r="I1910" s="28" t="n">
        <x:v>15</x:v>
      </x:c>
      <x:c r="J1910" s="28" t="n">
        <x:v>3</x:v>
      </x:c>
      <x:c r="K1910" s="28" t="n">
        <x:v>4</x:v>
      </x:c>
      <x:c r="L1910" s="28" t="n">
        <x:v>4</x:v>
      </x:c>
      <x:c r="M1910" s="28" t="n">
        <x:v>5</x:v>
      </x:c>
      <x:c r="N1910" s="28" t="n">
        <x:v>1</x:v>
      </x:c>
      <x:c r="O1910" s="28" t="n">
        <x:v>0</x:v>
      </x:c>
      <x:c r="P1910" s="28" t="n">
        <x:v>0</x:v>
      </x:c>
      <x:c r="Q1910" s="24" t="n">
        <x:f>IFERROR(J1910/H1910,0)</x:f>
        <x:v>0.23076923076923078</x:v>
      </x:c>
      <x:c r="R1910" s="24" t="n">
        <x:f>IFERROR(F1910/H1910,0)</x:f>
        <x:v>0.07692307692307693</x:v>
      </x:c>
      <x:c r="S1910" s="24" t="n">
        <x:f>IFERROR(F1910/J1910,0)</x:f>
        <x:v>0.3333333333333333</x:v>
      </x:c>
      <x:c r="T1910" s="28" t="n">
        <x:f>H1910-I1910</x:f>
        <x:v>-2</x:v>
      </x:c>
      <x:c r="U1910" s="24" t="n">
        <x:f>IFERROR(J1910/H1910,0)-IFERROR(K1910/I1910,0)</x:f>
        <x:v>-0.03589743589743588</x:v>
      </x:c>
      <x:c r="V1910" s="24" t="n">
        <x:f>IFERROR(F1910/J1910,0)-IFERROR(G1910/K1910,0)</x:f>
        <x:v>-0.16666666666666669</x:v>
      </x:c>
      <x:c r="W1910" s="28" t="n">
        <x:f>L1910-M1910</x:f>
        <x:v>-1</x:v>
      </x:c>
      <x:c r="X1910" s="24" t="n">
        <x:f>IFERROR(K1910/I1910,0)</x:f>
        <x:v>0.26666666666666666</x:v>
      </x:c>
      <x:c r="Y1910" s="24" t="n">
        <x:f>IFERROR(G1910/I1910,0)</x:f>
        <x:v>0.13333333333333333</x:v>
      </x:c>
      <x:c r="Z1910" s="24" t="n">
        <x:f>IFERROR(G1910/K1910,0)</x:f>
        <x:v>0.5</x:v>
      </x:c>
      <x:c r="AA1910" s="24" t="n">
        <x:f>IFERROR(F1910/H1910,0)-IFERROR(G1910/I1910,0)</x:f>
        <x:v>-0.056410256410256404</x:v>
      </x:c>
      <x:c r="AB1910" s="28" t="n">
        <x:f>J1910-K1910</x:f>
        <x:v>-1</x:v>
      </x:c>
      <x:c r="AC1910" s="32" t="n">
        <x:f>F1910-G1910</x:f>
        <x:v>-1</x:v>
      </x:c>
    </x:row>
    <x:row r="1911">
      <x:c r="A1911" s="4" t="str">
        <x:v>2023-24</x:v>
      </x:c>
      <x:c r="B1911" s="20" t="n">
        <x:v>45291</x:v>
      </x:c>
      <x:c r="C1911" s="4" t="str">
        <x:v>Bournemouth</x:v>
      </x:c>
      <x:c r="D1911" s="4" t="str">
        <x:v>Tottenham</x:v>
      </x:c>
      <x:c r="E1911" s="4" t="str">
        <x:v>Away</x:v>
      </x:c>
      <x:c r="F1911" s="28" t="n">
        <x:v>1</x:v>
      </x:c>
      <x:c r="G1911" s="28" t="n">
        <x:v>3</x:v>
      </x:c>
      <x:c r="H1911" s="28" t="n">
        <x:v>24</x:v>
      </x:c>
      <x:c r="I1911" s="28" t="n">
        <x:v>12</x:v>
      </x:c>
      <x:c r="J1911" s="28" t="n">
        <x:v>4</x:v>
      </x:c>
      <x:c r="K1911" s="28" t="n">
        <x:v>6</x:v>
      </x:c>
      <x:c r="L1911" s="28" t="n">
        <x:v>13</x:v>
      </x:c>
      <x:c r="M1911" s="28" t="n">
        <x:v>4</x:v>
      </x:c>
      <x:c r="N1911" s="28" t="n">
        <x:v>3</x:v>
      </x:c>
      <x:c r="O1911" s="28" t="n">
        <x:v>0</x:v>
      </x:c>
      <x:c r="P1911" s="28" t="n">
        <x:v>0</x:v>
      </x:c>
      <x:c r="Q1911" s="24" t="n">
        <x:f>IFERROR(J1911/H1911,0)</x:f>
        <x:v>0.16666666666666666</x:v>
      </x:c>
      <x:c r="R1911" s="24" t="n">
        <x:f>IFERROR(F1911/H1911,0)</x:f>
        <x:v>0.041666666666666664</x:v>
      </x:c>
      <x:c r="S1911" s="24" t="n">
        <x:f>IFERROR(F1911/J1911,0)</x:f>
        <x:v>0.25</x:v>
      </x:c>
      <x:c r="T1911" s="28" t="n">
        <x:f>H1911-I1911</x:f>
        <x:v>12</x:v>
      </x:c>
      <x:c r="U1911" s="24" t="n">
        <x:f>IFERROR(J1911/H1911,0)-IFERROR(K1911/I1911,0)</x:f>
        <x:v>-0.33333333333333337</x:v>
      </x:c>
      <x:c r="V1911" s="24" t="n">
        <x:f>IFERROR(F1911/J1911,0)-IFERROR(G1911/K1911,0)</x:f>
        <x:v>-0.25</x:v>
      </x:c>
      <x:c r="W1911" s="28" t="n">
        <x:f>L1911-M1911</x:f>
        <x:v>9</x:v>
      </x:c>
      <x:c r="X1911" s="24" t="n">
        <x:f>IFERROR(K1911/I1911,0)</x:f>
        <x:v>0.5</x:v>
      </x:c>
      <x:c r="Y1911" s="24" t="n">
        <x:f>IFERROR(G1911/I1911,0)</x:f>
        <x:v>0.25</x:v>
      </x:c>
      <x:c r="Z1911" s="24" t="n">
        <x:f>IFERROR(G1911/K1911,0)</x:f>
        <x:v>0.5</x:v>
      </x:c>
      <x:c r="AA1911" s="24" t="n">
        <x:f>IFERROR(F1911/H1911,0)-IFERROR(G1911/I1911,0)</x:f>
        <x:v>-0.20833333333333334</x:v>
      </x:c>
      <x:c r="AB1911" s="28" t="n">
        <x:f>J1911-K1911</x:f>
        <x:v>-2</x:v>
      </x:c>
      <x:c r="AC1911" s="32" t="n">
        <x:f>F1911-G1911</x:f>
        <x:v>-2</x:v>
      </x:c>
    </x:row>
    <x:row r="1912">
      <x:c r="A1912" s="4" t="str">
        <x:v>2023-24</x:v>
      </x:c>
      <x:c r="B1912" s="20" t="n">
        <x:v>45291</x:v>
      </x:c>
      <x:c r="C1912" s="4" t="str">
        <x:v>Fulham</x:v>
      </x:c>
      <x:c r="D1912" s="4" t="str">
        <x:v>Arsenal</x:v>
      </x:c>
      <x:c r="E1912" s="4" t="str">
        <x:v>Home</x:v>
      </x:c>
      <x:c r="F1912" s="28" t="n">
        <x:v>2</x:v>
      </x:c>
      <x:c r="G1912" s="28" t="n">
        <x:v>1</x:v>
      </x:c>
      <x:c r="H1912" s="28" t="n">
        <x:v>15</x:v>
      </x:c>
      <x:c r="I1912" s="28" t="n">
        <x:v>13</x:v>
      </x:c>
      <x:c r="J1912" s="28" t="n">
        <x:v>4</x:v>
      </x:c>
      <x:c r="K1912" s="28" t="n">
        <x:v>3</x:v>
      </x:c>
      <x:c r="L1912" s="28" t="n">
        <x:v>5</x:v>
      </x:c>
      <x:c r="M1912" s="28" t="n">
        <x:v>4</x:v>
      </x:c>
      <x:c r="N1912" s="28" t="n">
        <x:v>4</x:v>
      </x:c>
      <x:c r="O1912" s="28" t="n">
        <x:v>0</x:v>
      </x:c>
      <x:c r="P1912" s="28" t="n">
        <x:v>3</x:v>
      </x:c>
      <x:c r="Q1912" s="24" t="n">
        <x:f>IFERROR(J1912/H1912,0)</x:f>
        <x:v>0.26666666666666666</x:v>
      </x:c>
      <x:c r="R1912" s="24" t="n">
        <x:f>IFERROR(F1912/H1912,0)</x:f>
        <x:v>0.13333333333333333</x:v>
      </x:c>
      <x:c r="S1912" s="24" t="n">
        <x:f>IFERROR(F1912/J1912,0)</x:f>
        <x:v>0.5</x:v>
      </x:c>
      <x:c r="T1912" s="28" t="n">
        <x:f>H1912-I1912</x:f>
        <x:v>2</x:v>
      </x:c>
      <x:c r="U1912" s="24" t="n">
        <x:f>IFERROR(J1912/H1912,0)-IFERROR(K1912/I1912,0)</x:f>
        <x:v>0.03589743589743588</x:v>
      </x:c>
      <x:c r="V1912" s="24" t="n">
        <x:f>IFERROR(F1912/J1912,0)-IFERROR(G1912/K1912,0)</x:f>
        <x:v>0.16666666666666669</x:v>
      </x:c>
      <x:c r="W1912" s="28" t="n">
        <x:f>L1912-M1912</x:f>
        <x:v>1</x:v>
      </x:c>
      <x:c r="X1912" s="24" t="n">
        <x:f>IFERROR(K1912/I1912,0)</x:f>
        <x:v>0.23076923076923078</x:v>
      </x:c>
      <x:c r="Y1912" s="24" t="n">
        <x:f>IFERROR(G1912/I1912,0)</x:f>
        <x:v>0.07692307692307693</x:v>
      </x:c>
      <x:c r="Z1912" s="24" t="n">
        <x:f>IFERROR(G1912/K1912,0)</x:f>
        <x:v>0.3333333333333333</x:v>
      </x:c>
      <x:c r="AA1912" s="24" t="n">
        <x:f>IFERROR(F1912/H1912,0)-IFERROR(G1912/I1912,0)</x:f>
        <x:v>0.056410256410256404</x:v>
      </x:c>
      <x:c r="AB1912" s="28" t="n">
        <x:f>J1912-K1912</x:f>
        <x:v>1</x:v>
      </x:c>
      <x:c r="AC1912" s="32" t="n">
        <x:f>F1912-G1912</x:f>
        <x:v>1</x:v>
      </x:c>
    </x:row>
    <x:row r="1913">
      <x:c r="A1913" s="4" t="str">
        <x:v>2023-24</x:v>
      </x:c>
      <x:c r="B1913" s="20" t="n">
        <x:v>45291</x:v>
      </x:c>
      <x:c r="C1913" s="4" t="str">
        <x:v>Tottenham</x:v>
      </x:c>
      <x:c r="D1913" s="4" t="str">
        <x:v>Bournemouth</x:v>
      </x:c>
      <x:c r="E1913" s="4" t="str">
        <x:v>Home</x:v>
      </x:c>
      <x:c r="F1913" s="28" t="n">
        <x:v>3</x:v>
      </x:c>
      <x:c r="G1913" s="28" t="n">
        <x:v>1</x:v>
      </x:c>
      <x:c r="H1913" s="28" t="n">
        <x:v>12</x:v>
      </x:c>
      <x:c r="I1913" s="28" t="n">
        <x:v>24</x:v>
      </x:c>
      <x:c r="J1913" s="28" t="n">
        <x:v>6</x:v>
      </x:c>
      <x:c r="K1913" s="28" t="n">
        <x:v>4</x:v>
      </x:c>
      <x:c r="L1913" s="28" t="n">
        <x:v>4</x:v>
      </x:c>
      <x:c r="M1913" s="28" t="n">
        <x:v>13</x:v>
      </x:c>
      <x:c r="N1913" s="28" t="n">
        <x:v>3</x:v>
      </x:c>
      <x:c r="O1913" s="28" t="n">
        <x:v>0</x:v>
      </x:c>
      <x:c r="P1913" s="28" t="n">
        <x:v>3</x:v>
      </x:c>
      <x:c r="Q1913" s="24" t="n">
        <x:f>IFERROR(J1913/H1913,0)</x:f>
        <x:v>0.5</x:v>
      </x:c>
      <x:c r="R1913" s="24" t="n">
        <x:f>IFERROR(F1913/H1913,0)</x:f>
        <x:v>0.25</x:v>
      </x:c>
      <x:c r="S1913" s="24" t="n">
        <x:f>IFERROR(F1913/J1913,0)</x:f>
        <x:v>0.5</x:v>
      </x:c>
      <x:c r="T1913" s="28" t="n">
        <x:f>H1913-I1913</x:f>
        <x:v>-12</x:v>
      </x:c>
      <x:c r="U1913" s="24" t="n">
        <x:f>IFERROR(J1913/H1913,0)-IFERROR(K1913/I1913,0)</x:f>
        <x:v>0.33333333333333337</x:v>
      </x:c>
      <x:c r="V1913" s="24" t="n">
        <x:f>IFERROR(F1913/J1913,0)-IFERROR(G1913/K1913,0)</x:f>
        <x:v>0.25</x:v>
      </x:c>
      <x:c r="W1913" s="28" t="n">
        <x:f>L1913-M1913</x:f>
        <x:v>-9</x:v>
      </x:c>
      <x:c r="X1913" s="24" t="n">
        <x:f>IFERROR(K1913/I1913,0)</x:f>
        <x:v>0.16666666666666666</x:v>
      </x:c>
      <x:c r="Y1913" s="24" t="n">
        <x:f>IFERROR(G1913/I1913,0)</x:f>
        <x:v>0.041666666666666664</x:v>
      </x:c>
      <x:c r="Z1913" s="24" t="n">
        <x:f>IFERROR(G1913/K1913,0)</x:f>
        <x:v>0.25</x:v>
      </x:c>
      <x:c r="AA1913" s="24" t="n">
        <x:f>IFERROR(F1913/H1913,0)-IFERROR(G1913/I1913,0)</x:f>
        <x:v>0.20833333333333334</x:v>
      </x:c>
      <x:c r="AB1913" s="28" t="n">
        <x:f>J1913-K1913</x:f>
        <x:v>2</x:v>
      </x:c>
      <x:c r="AC1913" s="32" t="n">
        <x:f>F1913-G1913</x:f>
        <x:v>2</x:v>
      </x:c>
    </x:row>
    <x:row r="1914">
      <x:c r="A1914" s="4" t="str">
        <x:v>2023-24</x:v>
      </x:c>
      <x:c r="B1914" s="20" t="n">
        <x:v>45292</x:v>
      </x:c>
      <x:c r="C1914" s="4" t="str">
        <x:v>Liverpool</x:v>
      </x:c>
      <x:c r="D1914" s="4" t="str">
        <x:v>Newcastle</x:v>
      </x:c>
      <x:c r="E1914" s="4" t="str">
        <x:v>Home</x:v>
      </x:c>
      <x:c r="F1914" s="28" t="n">
        <x:v>4</x:v>
      </x:c>
      <x:c r="G1914" s="28" t="n">
        <x:v>2</x:v>
      </x:c>
      <x:c r="H1914" s="28" t="n">
        <x:v>34</x:v>
      </x:c>
      <x:c r="I1914" s="28" t="n">
        <x:v>5</x:v>
      </x:c>
      <x:c r="J1914" s="28" t="n">
        <x:v>15</x:v>
      </x:c>
      <x:c r="K1914" s="28" t="n">
        <x:v>3</x:v>
      </x:c>
      <x:c r="L1914" s="28" t="n">
        <x:v>7</x:v>
      </x:c>
      <x:c r="M1914" s="28" t="n">
        <x:v>3</x:v>
      </x:c>
      <x:c r="N1914" s="28" t="n">
        <x:v>3</x:v>
      </x:c>
      <x:c r="O1914" s="28" t="n">
        <x:v>0</x:v>
      </x:c>
      <x:c r="P1914" s="28" t="n">
        <x:v>3</x:v>
      </x:c>
      <x:c r="Q1914" s="24" t="n">
        <x:f>IFERROR(J1914/H1914,0)</x:f>
        <x:v>0.4411764705882353</x:v>
      </x:c>
      <x:c r="R1914" s="24" t="n">
        <x:f>IFERROR(F1914/H1914,0)</x:f>
        <x:v>0.11764705882352941</x:v>
      </x:c>
      <x:c r="S1914" s="24" t="n">
        <x:f>IFERROR(F1914/J1914,0)</x:f>
        <x:v>0.26666666666666666</x:v>
      </x:c>
      <x:c r="T1914" s="28" t="n">
        <x:f>H1914-I1914</x:f>
        <x:v>29</x:v>
      </x:c>
      <x:c r="U1914" s="24" t="n">
        <x:f>IFERROR(J1914/H1914,0)-IFERROR(K1914/I1914,0)</x:f>
        <x:v>-0.1588235294117647</x:v>
      </x:c>
      <x:c r="V1914" s="24" t="n">
        <x:f>IFERROR(F1914/J1914,0)-IFERROR(G1914/K1914,0)</x:f>
        <x:v>-0.39999999999999997</x:v>
      </x:c>
      <x:c r="W1914" s="28" t="n">
        <x:f>L1914-M1914</x:f>
        <x:v>4</x:v>
      </x:c>
      <x:c r="X1914" s="24" t="n">
        <x:f>IFERROR(K1914/I1914,0)</x:f>
        <x:v>0.6</x:v>
      </x:c>
      <x:c r="Y1914" s="24" t="n">
        <x:f>IFERROR(G1914/I1914,0)</x:f>
        <x:v>0.4</x:v>
      </x:c>
      <x:c r="Z1914" s="24" t="n">
        <x:f>IFERROR(G1914/K1914,0)</x:f>
        <x:v>0.6666666666666666</x:v>
      </x:c>
      <x:c r="AA1914" s="24" t="n">
        <x:f>IFERROR(F1914/H1914,0)-IFERROR(G1914/I1914,0)</x:f>
        <x:v>-0.2823529411764706</x:v>
      </x:c>
      <x:c r="AB1914" s="28" t="n">
        <x:f>J1914-K1914</x:f>
        <x:v>12</x:v>
      </x:c>
      <x:c r="AC1914" s="32" t="n">
        <x:f>F1914-G1914</x:f>
        <x:v>2</x:v>
      </x:c>
    </x:row>
    <x:row r="1915">
      <x:c r="A1915" s="4" t="str">
        <x:v>2023-24</x:v>
      </x:c>
      <x:c r="B1915" s="20" t="n">
        <x:v>45292</x:v>
      </x:c>
      <x:c r="C1915" s="4" t="str">
        <x:v>Newcastle</x:v>
      </x:c>
      <x:c r="D1915" s="4" t="str">
        <x:v>Liverpool</x:v>
      </x:c>
      <x:c r="E1915" s="4" t="str">
        <x:v>Away</x:v>
      </x:c>
      <x:c r="F1915" s="28" t="n">
        <x:v>2</x:v>
      </x:c>
      <x:c r="G1915" s="28" t="n">
        <x:v>4</x:v>
      </x:c>
      <x:c r="H1915" s="28" t="n">
        <x:v>5</x:v>
      </x:c>
      <x:c r="I1915" s="28" t="n">
        <x:v>34</x:v>
      </x:c>
      <x:c r="J1915" s="28" t="n">
        <x:v>3</x:v>
      </x:c>
      <x:c r="K1915" s="28" t="n">
        <x:v>15</x:v>
      </x:c>
      <x:c r="L1915" s="28" t="n">
        <x:v>3</x:v>
      </x:c>
      <x:c r="M1915" s="28" t="n">
        <x:v>7</x:v>
      </x:c>
      <x:c r="N1915" s="28" t="n">
        <x:v>5</x:v>
      </x:c>
      <x:c r="O1915" s="28" t="n">
        <x:v>0</x:v>
      </x:c>
      <x:c r="P1915" s="28" t="n">
        <x:v>0</x:v>
      </x:c>
      <x:c r="Q1915" s="24" t="n">
        <x:f>IFERROR(J1915/H1915,0)</x:f>
        <x:v>0.6</x:v>
      </x:c>
      <x:c r="R1915" s="24" t="n">
        <x:f>IFERROR(F1915/H1915,0)</x:f>
        <x:v>0.4</x:v>
      </x:c>
      <x:c r="S1915" s="24" t="n">
        <x:f>IFERROR(F1915/J1915,0)</x:f>
        <x:v>0.6666666666666666</x:v>
      </x:c>
      <x:c r="T1915" s="28" t="n">
        <x:f>H1915-I1915</x:f>
        <x:v>-29</x:v>
      </x:c>
      <x:c r="U1915" s="24" t="n">
        <x:f>IFERROR(J1915/H1915,0)-IFERROR(K1915/I1915,0)</x:f>
        <x:v>0.1588235294117647</x:v>
      </x:c>
      <x:c r="V1915" s="24" t="n">
        <x:f>IFERROR(F1915/J1915,0)-IFERROR(G1915/K1915,0)</x:f>
        <x:v>0.39999999999999997</x:v>
      </x:c>
      <x:c r="W1915" s="28" t="n">
        <x:f>L1915-M1915</x:f>
        <x:v>-4</x:v>
      </x:c>
      <x:c r="X1915" s="24" t="n">
        <x:f>IFERROR(K1915/I1915,0)</x:f>
        <x:v>0.4411764705882353</x:v>
      </x:c>
      <x:c r="Y1915" s="24" t="n">
        <x:f>IFERROR(G1915/I1915,0)</x:f>
        <x:v>0.11764705882352941</x:v>
      </x:c>
      <x:c r="Z1915" s="24" t="n">
        <x:f>IFERROR(G1915/K1915,0)</x:f>
        <x:v>0.26666666666666666</x:v>
      </x:c>
      <x:c r="AA1915" s="24" t="n">
        <x:f>IFERROR(F1915/H1915,0)-IFERROR(G1915/I1915,0)</x:f>
        <x:v>0.2823529411764706</x:v>
      </x:c>
      <x:c r="AB1915" s="28" t="n">
        <x:f>J1915-K1915</x:f>
        <x:v>-12</x:v>
      </x:c>
      <x:c r="AC1915" s="32" t="n">
        <x:f>F1915-G1915</x:f>
        <x:v>-2</x:v>
      </x:c>
    </x:row>
    <x:row r="1916">
      <x:c r="A1916" s="4" t="str">
        <x:v>2023-24</x:v>
      </x:c>
      <x:c r="B1916" s="20" t="n">
        <x:v>45293</x:v>
      </x:c>
      <x:c r="C1916" s="4" t="str">
        <x:v>Brighton</x:v>
      </x:c>
      <x:c r="D1916" s="4" t="str">
        <x:v>West Ham</x:v>
      </x:c>
      <x:c r="E1916" s="4" t="str">
        <x:v>Away</x:v>
      </x:c>
      <x:c r="F1916" s="28" t="n">
        <x:v>0</x:v>
      </x:c>
      <x:c r="G1916" s="28" t="n">
        <x:v>0</x:v>
      </x:c>
      <x:c r="H1916" s="28" t="n">
        <x:v>22</x:v>
      </x:c>
      <x:c r="I1916" s="28" t="n">
        <x:v>6</x:v>
      </x:c>
      <x:c r="J1916" s="28" t="n">
        <x:v>8</x:v>
      </x:c>
      <x:c r="K1916" s="28" t="n">
        <x:v>2</x:v>
      </x:c>
      <x:c r="L1916" s="28" t="n">
        <x:v>0</x:v>
      </x:c>
      <x:c r="M1916" s="28" t="n">
        <x:v>2</x:v>
      </x:c>
      <x:c r="N1916" s="28" t="n">
        <x:v>0</x:v>
      </x:c>
      <x:c r="O1916" s="28" t="n">
        <x:v>0</x:v>
      </x:c>
      <x:c r="P1916" s="28" t="n">
        <x:v>1</x:v>
      </x:c>
      <x:c r="Q1916" s="24" t="n">
        <x:f>IFERROR(J1916/H1916,0)</x:f>
        <x:v>0.36363636363636365</x:v>
      </x:c>
      <x:c r="R1916" s="24" t="n">
        <x:f>IFERROR(F1916/H1916,0)</x:f>
        <x:v>0</x:v>
      </x:c>
      <x:c r="S1916" s="24" t="n">
        <x:f>IFERROR(F1916/J1916,0)</x:f>
        <x:v>0</x:v>
      </x:c>
      <x:c r="T1916" s="28" t="n">
        <x:f>H1916-I1916</x:f>
        <x:v>16</x:v>
      </x:c>
      <x:c r="U1916" s="24" t="n">
        <x:f>IFERROR(J1916/H1916,0)-IFERROR(K1916/I1916,0)</x:f>
        <x:v>0.03030303030303033</x:v>
      </x:c>
      <x:c r="V1916" s="24" t="n">
        <x:f>IFERROR(F1916/J1916,0)-IFERROR(G1916/K1916,0)</x:f>
        <x:v>0</x:v>
      </x:c>
      <x:c r="W1916" s="28" t="n">
        <x:f>L1916-M1916</x:f>
        <x:v>-2</x:v>
      </x:c>
      <x:c r="X1916" s="24" t="n">
        <x:f>IFERROR(K1916/I1916,0)</x:f>
        <x:v>0.3333333333333333</x:v>
      </x:c>
      <x:c r="Y1916" s="24" t="n">
        <x:f>IFERROR(G1916/I1916,0)</x:f>
        <x:v>0</x:v>
      </x:c>
      <x:c r="Z1916" s="24" t="n">
        <x:f>IFERROR(G1916/K1916,0)</x:f>
        <x:v>0</x:v>
      </x:c>
      <x:c r="AA1916" s="24" t="n">
        <x:f>IFERROR(F1916/H1916,0)-IFERROR(G1916/I1916,0)</x:f>
        <x:v>0</x:v>
      </x:c>
      <x:c r="AB1916" s="28" t="n">
        <x:f>J1916-K1916</x:f>
        <x:v>6</x:v>
      </x:c>
      <x:c r="AC1916" s="32" t="n">
        <x:f>F1916-G1916</x:f>
        <x:v>0</x:v>
      </x:c>
    </x:row>
    <x:row r="1917">
      <x:c r="A1917" s="4" t="str">
        <x:v>2023-24</x:v>
      </x:c>
      <x:c r="B1917" s="20" t="n">
        <x:v>45293</x:v>
      </x:c>
      <x:c r="C1917" s="4" t="str">
        <x:v>West Ham</x:v>
      </x:c>
      <x:c r="D1917" s="4" t="str">
        <x:v>Brighton</x:v>
      </x:c>
      <x:c r="E1917" s="4" t="str">
        <x:v>Home</x:v>
      </x:c>
      <x:c r="F1917" s="28" t="n">
        <x:v>0</x:v>
      </x:c>
      <x:c r="G1917" s="28" t="n">
        <x:v>0</x:v>
      </x:c>
      <x:c r="H1917" s="28" t="n">
        <x:v>6</x:v>
      </x:c>
      <x:c r="I1917" s="28" t="n">
        <x:v>22</x:v>
      </x:c>
      <x:c r="J1917" s="28" t="n">
        <x:v>2</x:v>
      </x:c>
      <x:c r="K1917" s="28" t="n">
        <x:v>8</x:v>
      </x:c>
      <x:c r="L1917" s="28" t="n">
        <x:v>2</x:v>
      </x:c>
      <x:c r="M1917" s="28" t="n">
        <x:v>0</x:v>
      </x:c>
      <x:c r="N1917" s="28" t="n">
        <x:v>1</x:v>
      </x:c>
      <x:c r="O1917" s="28" t="n">
        <x:v>0</x:v>
      </x:c>
      <x:c r="P1917" s="28" t="n">
        <x:v>1</x:v>
      </x:c>
      <x:c r="Q1917" s="24" t="n">
        <x:f>IFERROR(J1917/H1917,0)</x:f>
        <x:v>0.3333333333333333</x:v>
      </x:c>
      <x:c r="R1917" s="24" t="n">
        <x:f>IFERROR(F1917/H1917,0)</x:f>
        <x:v>0</x:v>
      </x:c>
      <x:c r="S1917" s="24" t="n">
        <x:f>IFERROR(F1917/J1917,0)</x:f>
        <x:v>0</x:v>
      </x:c>
      <x:c r="T1917" s="28" t="n">
        <x:f>H1917-I1917</x:f>
        <x:v>-16</x:v>
      </x:c>
      <x:c r="U1917" s="24" t="n">
        <x:f>IFERROR(J1917/H1917,0)-IFERROR(K1917/I1917,0)</x:f>
        <x:v>-0.03030303030303033</x:v>
      </x:c>
      <x:c r="V1917" s="24" t="n">
        <x:f>IFERROR(F1917/J1917,0)-IFERROR(G1917/K1917,0)</x:f>
        <x:v>0</x:v>
      </x:c>
      <x:c r="W1917" s="28" t="n">
        <x:f>L1917-M1917</x:f>
        <x:v>2</x:v>
      </x:c>
      <x:c r="X1917" s="24" t="n">
        <x:f>IFERROR(K1917/I1917,0)</x:f>
        <x:v>0.36363636363636365</x:v>
      </x:c>
      <x:c r="Y1917" s="24" t="n">
        <x:f>IFERROR(G1917/I1917,0)</x:f>
        <x:v>0</x:v>
      </x:c>
      <x:c r="Z1917" s="24" t="n">
        <x:f>IFERROR(G1917/K1917,0)</x:f>
        <x:v>0</x:v>
      </x:c>
      <x:c r="AA1917" s="24" t="n">
        <x:f>IFERROR(F1917/H1917,0)-IFERROR(G1917/I1917,0)</x:f>
        <x:v>0</x:v>
      </x:c>
      <x:c r="AB1917" s="28" t="n">
        <x:f>J1917-K1917</x:f>
        <x:v>-6</x:v>
      </x:c>
      <x:c r="AC1917" s="32" t="n">
        <x:f>F1917-G1917</x:f>
        <x:v>0</x:v>
      </x:c>
    </x:row>
    <x:row r="1918">
      <x:c r="A1918" s="4" t="str">
        <x:v>2023-24</x:v>
      </x:c>
      <x:c r="B1918" s="20" t="n">
        <x:v>45303</x:v>
      </x:c>
      <x:c r="C1918" s="4" t="str">
        <x:v>Burnley</x:v>
      </x:c>
      <x:c r="D1918" s="4" t="str">
        <x:v>Luton</x:v>
      </x:c>
      <x:c r="E1918" s="4" t="str">
        <x:v>Home</x:v>
      </x:c>
      <x:c r="F1918" s="28" t="n">
        <x:v>1</x:v>
      </x:c>
      <x:c r="G1918" s="28" t="n">
        <x:v>1</x:v>
      </x:c>
      <x:c r="H1918" s="28" t="n">
        <x:v>13</x:v>
      </x:c>
      <x:c r="I1918" s="28" t="n">
        <x:v>14</x:v>
      </x:c>
      <x:c r="J1918" s="28" t="n">
        <x:v>7</x:v>
      </x:c>
      <x:c r="K1918" s="28" t="n">
        <x:v>5</x:v>
      </x:c>
      <x:c r="L1918" s="28" t="n">
        <x:v>2</x:v>
      </x:c>
      <x:c r="M1918" s="28" t="n">
        <x:v>8</x:v>
      </x:c>
      <x:c r="N1918" s="28" t="n">
        <x:v>1</x:v>
      </x:c>
      <x:c r="O1918" s="28" t="n">
        <x:v>0</x:v>
      </x:c>
      <x:c r="P1918" s="28" t="n">
        <x:v>1</x:v>
      </x:c>
      <x:c r="Q1918" s="24" t="n">
        <x:f>IFERROR(J1918/H1918,0)</x:f>
        <x:v>0.5384615384615384</x:v>
      </x:c>
      <x:c r="R1918" s="24" t="n">
        <x:f>IFERROR(F1918/H1918,0)</x:f>
        <x:v>0.07692307692307693</x:v>
      </x:c>
      <x:c r="S1918" s="24" t="n">
        <x:f>IFERROR(F1918/J1918,0)</x:f>
        <x:v>0.14285714285714285</x:v>
      </x:c>
      <x:c r="T1918" s="28" t="n">
        <x:f>H1918-I1918</x:f>
        <x:v>-1</x:v>
      </x:c>
      <x:c r="U1918" s="24" t="n">
        <x:f>IFERROR(J1918/H1918,0)-IFERROR(K1918/I1918,0)</x:f>
        <x:v>0.18131868131868129</x:v>
      </x:c>
      <x:c r="V1918" s="24" t="n">
        <x:f>IFERROR(F1918/J1918,0)-IFERROR(G1918/K1918,0)</x:f>
        <x:v>-0.05714285714285716</x:v>
      </x:c>
      <x:c r="W1918" s="28" t="n">
        <x:f>L1918-M1918</x:f>
        <x:v>-6</x:v>
      </x:c>
      <x:c r="X1918" s="24" t="n">
        <x:f>IFERROR(K1918/I1918,0)</x:f>
        <x:v>0.35714285714285715</x:v>
      </x:c>
      <x:c r="Y1918" s="24" t="n">
        <x:f>IFERROR(G1918/I1918,0)</x:f>
        <x:v>0.07142857142857142</x:v>
      </x:c>
      <x:c r="Z1918" s="24" t="n">
        <x:f>IFERROR(G1918/K1918,0)</x:f>
        <x:v>0.2</x:v>
      </x:c>
      <x:c r="AA1918" s="24" t="n">
        <x:f>IFERROR(F1918/H1918,0)-IFERROR(G1918/I1918,0)</x:f>
        <x:v>0.005494505494505503</x:v>
      </x:c>
      <x:c r="AB1918" s="28" t="n">
        <x:f>J1918-K1918</x:f>
        <x:v>2</x:v>
      </x:c>
      <x:c r="AC1918" s="32" t="n">
        <x:f>F1918-G1918</x:f>
        <x:v>0</x:v>
      </x:c>
    </x:row>
    <x:row r="1919">
      <x:c r="A1919" s="4" t="str">
        <x:v>2023-24</x:v>
      </x:c>
      <x:c r="B1919" s="20" t="n">
        <x:v>45303</x:v>
      </x:c>
      <x:c r="C1919" s="4" t="str">
        <x:v>Luton</x:v>
      </x:c>
      <x:c r="D1919" s="4" t="str">
        <x:v>Burnley</x:v>
      </x:c>
      <x:c r="E1919" s="4" t="str">
        <x:v>Away</x:v>
      </x:c>
      <x:c r="F1919" s="28" t="n">
        <x:v>1</x:v>
      </x:c>
      <x:c r="G1919" s="28" t="n">
        <x:v>1</x:v>
      </x:c>
      <x:c r="H1919" s="28" t="n">
        <x:v>14</x:v>
      </x:c>
      <x:c r="I1919" s="28" t="n">
        <x:v>13</x:v>
      </x:c>
      <x:c r="J1919" s="28" t="n">
        <x:v>5</x:v>
      </x:c>
      <x:c r="K1919" s="28" t="n">
        <x:v>7</x:v>
      </x:c>
      <x:c r="L1919" s="28" t="n">
        <x:v>8</x:v>
      </x:c>
      <x:c r="M1919" s="28" t="n">
        <x:v>2</x:v>
      </x:c>
      <x:c r="N1919" s="28" t="n">
        <x:v>0</x:v>
      </x:c>
      <x:c r="O1919" s="28" t="n">
        <x:v>0</x:v>
      </x:c>
      <x:c r="P1919" s="28" t="n">
        <x:v>1</x:v>
      </x:c>
      <x:c r="Q1919" s="24" t="n">
        <x:f>IFERROR(J1919/H1919,0)</x:f>
        <x:v>0.35714285714285715</x:v>
      </x:c>
      <x:c r="R1919" s="24" t="n">
        <x:f>IFERROR(F1919/H1919,0)</x:f>
        <x:v>0.07142857142857142</x:v>
      </x:c>
      <x:c r="S1919" s="24" t="n">
        <x:f>IFERROR(F1919/J1919,0)</x:f>
        <x:v>0.2</x:v>
      </x:c>
      <x:c r="T1919" s="28" t="n">
        <x:f>H1919-I1919</x:f>
        <x:v>1</x:v>
      </x:c>
      <x:c r="U1919" s="24" t="n">
        <x:f>IFERROR(J1919/H1919,0)-IFERROR(K1919/I1919,0)</x:f>
        <x:v>-0.18131868131868129</x:v>
      </x:c>
      <x:c r="V1919" s="24" t="n">
        <x:f>IFERROR(F1919/J1919,0)-IFERROR(G1919/K1919,0)</x:f>
        <x:v>0.05714285714285716</x:v>
      </x:c>
      <x:c r="W1919" s="28" t="n">
        <x:f>L1919-M1919</x:f>
        <x:v>6</x:v>
      </x:c>
      <x:c r="X1919" s="24" t="n">
        <x:f>IFERROR(K1919/I1919,0)</x:f>
        <x:v>0.5384615384615384</x:v>
      </x:c>
      <x:c r="Y1919" s="24" t="n">
        <x:f>IFERROR(G1919/I1919,0)</x:f>
        <x:v>0.07692307692307693</x:v>
      </x:c>
      <x:c r="Z1919" s="24" t="n">
        <x:f>IFERROR(G1919/K1919,0)</x:f>
        <x:v>0.14285714285714285</x:v>
      </x:c>
      <x:c r="AA1919" s="24" t="n">
        <x:f>IFERROR(F1919/H1919,0)-IFERROR(G1919/I1919,0)</x:f>
        <x:v>-0.005494505494505503</x:v>
      </x:c>
      <x:c r="AB1919" s="28" t="n">
        <x:f>J1919-K1919</x:f>
        <x:v>-2</x:v>
      </x:c>
      <x:c r="AC1919" s="32" t="n">
        <x:f>F1919-G1919</x:f>
        <x:v>0</x:v>
      </x:c>
    </x:row>
    <x:row r="1920">
      <x:c r="A1920" s="4" t="str">
        <x:v>2023-24</x:v>
      </x:c>
      <x:c r="B1920" s="20" t="n">
        <x:v>45304</x:v>
      </x:c>
      <x:c r="C1920" s="4" t="str">
        <x:v>Chelsea</x:v>
      </x:c>
      <x:c r="D1920" s="4" t="str">
        <x:v>Fulham</x:v>
      </x:c>
      <x:c r="E1920" s="4" t="str">
        <x:v>Home</x:v>
      </x:c>
      <x:c r="F1920" s="28" t="n">
        <x:v>1</x:v>
      </x:c>
      <x:c r="G1920" s="28" t="n">
        <x:v>0</x:v>
      </x:c>
      <x:c r="H1920" s="28" t="n">
        <x:v>17</x:v>
      </x:c>
      <x:c r="I1920" s="28" t="n">
        <x:v>14</x:v>
      </x:c>
      <x:c r="J1920" s="28" t="n">
        <x:v>3</x:v>
      </x:c>
      <x:c r="K1920" s="28" t="n">
        <x:v>4</x:v>
      </x:c>
      <x:c r="L1920" s="28" t="n">
        <x:v>6</x:v>
      </x:c>
      <x:c r="M1920" s="28" t="n">
        <x:v>4</x:v>
      </x:c>
      <x:c r="N1920" s="28" t="n">
        <x:v>5</x:v>
      </x:c>
      <x:c r="O1920" s="28" t="n">
        <x:v>0</x:v>
      </x:c>
      <x:c r="P1920" s="28" t="n">
        <x:v>3</x:v>
      </x:c>
      <x:c r="Q1920" s="24" t="n">
        <x:f>IFERROR(J1920/H1920,0)</x:f>
        <x:v>0.17647058823529413</x:v>
      </x:c>
      <x:c r="R1920" s="24" t="n">
        <x:f>IFERROR(F1920/H1920,0)</x:f>
        <x:v>0.058823529411764705</x:v>
      </x:c>
      <x:c r="S1920" s="24" t="n">
        <x:f>IFERROR(F1920/J1920,0)</x:f>
        <x:v>0.3333333333333333</x:v>
      </x:c>
      <x:c r="T1920" s="28" t="n">
        <x:f>H1920-I1920</x:f>
        <x:v>3</x:v>
      </x:c>
      <x:c r="U1920" s="24" t="n">
        <x:f>IFERROR(J1920/H1920,0)-IFERROR(K1920/I1920,0)</x:f>
        <x:v>-0.10924369747899157</x:v>
      </x:c>
      <x:c r="V1920" s="24" t="n">
        <x:f>IFERROR(F1920/J1920,0)-IFERROR(G1920/K1920,0)</x:f>
        <x:v>0.3333333333333333</x:v>
      </x:c>
      <x:c r="W1920" s="28" t="n">
        <x:f>L1920-M1920</x:f>
        <x:v>2</x:v>
      </x:c>
      <x:c r="X1920" s="24" t="n">
        <x:f>IFERROR(K1920/I1920,0)</x:f>
        <x:v>0.2857142857142857</x:v>
      </x:c>
      <x:c r="Y1920" s="24" t="n">
        <x:f>IFERROR(G1920/I1920,0)</x:f>
        <x:v>0</x:v>
      </x:c>
      <x:c r="Z1920" s="24" t="n">
        <x:f>IFERROR(G1920/K1920,0)</x:f>
        <x:v>0</x:v>
      </x:c>
      <x:c r="AA1920" s="24" t="n">
        <x:f>IFERROR(F1920/H1920,0)-IFERROR(G1920/I1920,0)</x:f>
        <x:v>0.058823529411764705</x:v>
      </x:c>
      <x:c r="AB1920" s="28" t="n">
        <x:f>J1920-K1920</x:f>
        <x:v>-1</x:v>
      </x:c>
      <x:c r="AC1920" s="32" t="n">
        <x:f>F1920-G1920</x:f>
        <x:v>1</x:v>
      </x:c>
    </x:row>
    <x:row r="1921">
      <x:c r="A1921" s="4" t="str">
        <x:v>2023-24</x:v>
      </x:c>
      <x:c r="B1921" s="20" t="n">
        <x:v>45304</x:v>
      </x:c>
      <x:c r="C1921" s="4" t="str">
        <x:v>Fulham</x:v>
      </x:c>
      <x:c r="D1921" s="4" t="str">
        <x:v>Chelsea</x:v>
      </x:c>
      <x:c r="E1921" s="4" t="str">
        <x:v>Away</x:v>
      </x:c>
      <x:c r="F1921" s="28" t="n">
        <x:v>0</x:v>
      </x:c>
      <x:c r="G1921" s="28" t="n">
        <x:v>1</x:v>
      </x:c>
      <x:c r="H1921" s="28" t="n">
        <x:v>14</x:v>
      </x:c>
      <x:c r="I1921" s="28" t="n">
        <x:v>17</x:v>
      </x:c>
      <x:c r="J1921" s="28" t="n">
        <x:v>4</x:v>
      </x:c>
      <x:c r="K1921" s="28" t="n">
        <x:v>3</x:v>
      </x:c>
      <x:c r="L1921" s="28" t="n">
        <x:v>4</x:v>
      </x:c>
      <x:c r="M1921" s="28" t="n">
        <x:v>6</x:v>
      </x:c>
      <x:c r="N1921" s="28" t="n">
        <x:v>1</x:v>
      </x:c>
      <x:c r="O1921" s="28" t="n">
        <x:v>0</x:v>
      </x:c>
      <x:c r="P1921" s="28" t="n">
        <x:v>0</x:v>
      </x:c>
      <x:c r="Q1921" s="24" t="n">
        <x:f>IFERROR(J1921/H1921,0)</x:f>
        <x:v>0.2857142857142857</x:v>
      </x:c>
      <x:c r="R1921" s="24" t="n">
        <x:f>IFERROR(F1921/H1921,0)</x:f>
        <x:v>0</x:v>
      </x:c>
      <x:c r="S1921" s="24" t="n">
        <x:f>IFERROR(F1921/J1921,0)</x:f>
        <x:v>0</x:v>
      </x:c>
      <x:c r="T1921" s="28" t="n">
        <x:f>H1921-I1921</x:f>
        <x:v>-3</x:v>
      </x:c>
      <x:c r="U1921" s="24" t="n">
        <x:f>IFERROR(J1921/H1921,0)-IFERROR(K1921/I1921,0)</x:f>
        <x:v>0.10924369747899157</x:v>
      </x:c>
      <x:c r="V1921" s="24" t="n">
        <x:f>IFERROR(F1921/J1921,0)-IFERROR(G1921/K1921,0)</x:f>
        <x:v>-0.3333333333333333</x:v>
      </x:c>
      <x:c r="W1921" s="28" t="n">
        <x:f>L1921-M1921</x:f>
        <x:v>-2</x:v>
      </x:c>
      <x:c r="X1921" s="24" t="n">
        <x:f>IFERROR(K1921/I1921,0)</x:f>
        <x:v>0.17647058823529413</x:v>
      </x:c>
      <x:c r="Y1921" s="24" t="n">
        <x:f>IFERROR(G1921/I1921,0)</x:f>
        <x:v>0.058823529411764705</x:v>
      </x:c>
      <x:c r="Z1921" s="24" t="n">
        <x:f>IFERROR(G1921/K1921,0)</x:f>
        <x:v>0.3333333333333333</x:v>
      </x:c>
      <x:c r="AA1921" s="24" t="n">
        <x:f>IFERROR(F1921/H1921,0)-IFERROR(G1921/I1921,0)</x:f>
        <x:v>-0.058823529411764705</x:v>
      </x:c>
      <x:c r="AB1921" s="28" t="n">
        <x:f>J1921-K1921</x:f>
        <x:v>1</x:v>
      </x:c>
      <x:c r="AC1921" s="32" t="n">
        <x:f>F1921-G1921</x:f>
        <x:v>-1</x:v>
      </x:c>
    </x:row>
    <x:row r="1922">
      <x:c r="A1922" s="4" t="str">
        <x:v>2023-24</x:v>
      </x:c>
      <x:c r="B1922" s="20" t="n">
        <x:v>45304</x:v>
      </x:c>
      <x:c r="C1922" s="4" t="str">
        <x:v>Man City</x:v>
      </x:c>
      <x:c r="D1922" s="4" t="str">
        <x:v>Newcastle</x:v>
      </x:c>
      <x:c r="E1922" s="4" t="str">
        <x:v>Away</x:v>
      </x:c>
      <x:c r="F1922" s="28" t="n">
        <x:v>3</x:v>
      </x:c>
      <x:c r="G1922" s="28" t="n">
        <x:v>2</x:v>
      </x:c>
      <x:c r="H1922" s="28" t="n">
        <x:v>27</x:v>
      </x:c>
      <x:c r="I1922" s="28" t="n">
        <x:v>12</x:v>
      </x:c>
      <x:c r="J1922" s="28" t="n">
        <x:v>11</x:v>
      </x:c>
      <x:c r="K1922" s="28" t="n">
        <x:v>5</x:v>
      </x:c>
      <x:c r="L1922" s="28" t="n">
        <x:v>13</x:v>
      </x:c>
      <x:c r="M1922" s="28" t="n">
        <x:v>3</x:v>
      </x:c>
      <x:c r="N1922" s="28" t="n">
        <x:v>2</x:v>
      </x:c>
      <x:c r="O1922" s="28" t="n">
        <x:v>0</x:v>
      </x:c>
      <x:c r="P1922" s="28" t="n">
        <x:v>3</x:v>
      </x:c>
      <x:c r="Q1922" s="24" t="n">
        <x:f>IFERROR(J1922/H1922,0)</x:f>
        <x:v>0.4074074074074074</x:v>
      </x:c>
      <x:c r="R1922" s="24" t="n">
        <x:f>IFERROR(F1922/H1922,0)</x:f>
        <x:v>0.1111111111111111</x:v>
      </x:c>
      <x:c r="S1922" s="24" t="n">
        <x:f>IFERROR(F1922/J1922,0)</x:f>
        <x:v>0.2727272727272727</x:v>
      </x:c>
      <x:c r="T1922" s="28" t="n">
        <x:f>H1922-I1922</x:f>
        <x:v>15</x:v>
      </x:c>
      <x:c r="U1922" s="24" t="n">
        <x:f>IFERROR(J1922/H1922,0)-IFERROR(K1922/I1922,0)</x:f>
        <x:v>-0.0092592592592593</x:v>
      </x:c>
      <x:c r="V1922" s="24" t="n">
        <x:f>IFERROR(F1922/J1922,0)-IFERROR(G1922/K1922,0)</x:f>
        <x:v>-0.12727272727272732</x:v>
      </x:c>
      <x:c r="W1922" s="28" t="n">
        <x:f>L1922-M1922</x:f>
        <x:v>10</x:v>
      </x:c>
      <x:c r="X1922" s="24" t="n">
        <x:f>IFERROR(K1922/I1922,0)</x:f>
        <x:v>0.4166666666666667</x:v>
      </x:c>
      <x:c r="Y1922" s="24" t="n">
        <x:f>IFERROR(G1922/I1922,0)</x:f>
        <x:v>0.16666666666666666</x:v>
      </x:c>
      <x:c r="Z1922" s="24" t="n">
        <x:f>IFERROR(G1922/K1922,0)</x:f>
        <x:v>0.4</x:v>
      </x:c>
      <x:c r="AA1922" s="24" t="n">
        <x:f>IFERROR(F1922/H1922,0)-IFERROR(G1922/I1922,0)</x:f>
        <x:v>-0.05555555555555555</x:v>
      </x:c>
      <x:c r="AB1922" s="28" t="n">
        <x:f>J1922-K1922</x:f>
        <x:v>6</x:v>
      </x:c>
      <x:c r="AC1922" s="32" t="n">
        <x:f>F1922-G1922</x:f>
        <x:v>1</x:v>
      </x:c>
    </x:row>
    <x:row r="1923">
      <x:c r="A1923" s="4" t="str">
        <x:v>2023-24</x:v>
      </x:c>
      <x:c r="B1923" s="20" t="n">
        <x:v>45304</x:v>
      </x:c>
      <x:c r="C1923" s="4" t="str">
        <x:v>Newcastle</x:v>
      </x:c>
      <x:c r="D1923" s="4" t="str">
        <x:v>Man City</x:v>
      </x:c>
      <x:c r="E1923" s="4" t="str">
        <x:v>Home</x:v>
      </x:c>
      <x:c r="F1923" s="28" t="n">
        <x:v>2</x:v>
      </x:c>
      <x:c r="G1923" s="28" t="n">
        <x:v>3</x:v>
      </x:c>
      <x:c r="H1923" s="28" t="n">
        <x:v>12</x:v>
      </x:c>
      <x:c r="I1923" s="28" t="n">
        <x:v>27</x:v>
      </x:c>
      <x:c r="J1923" s="28" t="n">
        <x:v>5</x:v>
      </x:c>
      <x:c r="K1923" s="28" t="n">
        <x:v>11</x:v>
      </x:c>
      <x:c r="L1923" s="28" t="n">
        <x:v>3</x:v>
      </x:c>
      <x:c r="M1923" s="28" t="n">
        <x:v>13</x:v>
      </x:c>
      <x:c r="N1923" s="28" t="n">
        <x:v>1</x:v>
      </x:c>
      <x:c r="O1923" s="28" t="n">
        <x:v>0</x:v>
      </x:c>
      <x:c r="P1923" s="28" t="n">
        <x:v>0</x:v>
      </x:c>
      <x:c r="Q1923" s="24" t="n">
        <x:f>IFERROR(J1923/H1923,0)</x:f>
        <x:v>0.4166666666666667</x:v>
      </x:c>
      <x:c r="R1923" s="24" t="n">
        <x:f>IFERROR(F1923/H1923,0)</x:f>
        <x:v>0.16666666666666666</x:v>
      </x:c>
      <x:c r="S1923" s="24" t="n">
        <x:f>IFERROR(F1923/J1923,0)</x:f>
        <x:v>0.4</x:v>
      </x:c>
      <x:c r="T1923" s="28" t="n">
        <x:f>H1923-I1923</x:f>
        <x:v>-15</x:v>
      </x:c>
      <x:c r="U1923" s="24" t="n">
        <x:f>IFERROR(J1923/H1923,0)-IFERROR(K1923/I1923,0)</x:f>
        <x:v>0.0092592592592593</x:v>
      </x:c>
      <x:c r="V1923" s="24" t="n">
        <x:f>IFERROR(F1923/J1923,0)-IFERROR(G1923/K1923,0)</x:f>
        <x:v>0.12727272727272732</x:v>
      </x:c>
      <x:c r="W1923" s="28" t="n">
        <x:f>L1923-M1923</x:f>
        <x:v>-10</x:v>
      </x:c>
      <x:c r="X1923" s="24" t="n">
        <x:f>IFERROR(K1923/I1923,0)</x:f>
        <x:v>0.4074074074074074</x:v>
      </x:c>
      <x:c r="Y1923" s="24" t="n">
        <x:f>IFERROR(G1923/I1923,0)</x:f>
        <x:v>0.1111111111111111</x:v>
      </x:c>
      <x:c r="Z1923" s="24" t="n">
        <x:f>IFERROR(G1923/K1923,0)</x:f>
        <x:v>0.2727272727272727</x:v>
      </x:c>
      <x:c r="AA1923" s="24" t="n">
        <x:f>IFERROR(F1923/H1923,0)-IFERROR(G1923/I1923,0)</x:f>
        <x:v>0.05555555555555555</x:v>
      </x:c>
      <x:c r="AB1923" s="28" t="n">
        <x:f>J1923-K1923</x:f>
        <x:v>-6</x:v>
      </x:c>
      <x:c r="AC1923" s="32" t="n">
        <x:f>F1923-G1923</x:f>
        <x:v>-1</x:v>
      </x:c>
    </x:row>
    <x:row r="1924">
      <x:c r="A1924" s="4" t="str">
        <x:v>2023-24</x:v>
      </x:c>
      <x:c r="B1924" s="20" t="n">
        <x:v>45305</x:v>
      </x:c>
      <x:c r="C1924" s="4" t="str">
        <x:v>Aston Villa</x:v>
      </x:c>
      <x:c r="D1924" s="4" t="str">
        <x:v>Everton</x:v>
      </x:c>
      <x:c r="E1924" s="4" t="str">
        <x:v>Away</x:v>
      </x:c>
      <x:c r="F1924" s="28" t="n">
        <x:v>0</x:v>
      </x:c>
      <x:c r="G1924" s="28" t="n">
        <x:v>0</x:v>
      </x:c>
      <x:c r="H1924" s="28" t="n">
        <x:v>16</x:v>
      </x:c>
      <x:c r="I1924" s="28" t="n">
        <x:v>10</x:v>
      </x:c>
      <x:c r="J1924" s="28" t="n">
        <x:v>5</x:v>
      </x:c>
      <x:c r="K1924" s="28" t="n">
        <x:v>2</x:v>
      </x:c>
      <x:c r="L1924" s="28" t="n">
        <x:v>5</x:v>
      </x:c>
      <x:c r="M1924" s="28" t="n">
        <x:v>4</x:v>
      </x:c>
      <x:c r="N1924" s="28" t="n">
        <x:v>4</x:v>
      </x:c>
      <x:c r="O1924" s="28" t="n">
        <x:v>0</x:v>
      </x:c>
      <x:c r="P1924" s="28" t="n">
        <x:v>1</x:v>
      </x:c>
      <x:c r="Q1924" s="24" t="n">
        <x:f>IFERROR(J1924/H1924,0)</x:f>
        <x:v>0.3125</x:v>
      </x:c>
      <x:c r="R1924" s="24" t="n">
        <x:f>IFERROR(F1924/H1924,0)</x:f>
        <x:v>0</x:v>
      </x:c>
      <x:c r="S1924" s="24" t="n">
        <x:f>IFERROR(F1924/J1924,0)</x:f>
        <x:v>0</x:v>
      </x:c>
      <x:c r="T1924" s="28" t="n">
        <x:f>H1924-I1924</x:f>
        <x:v>6</x:v>
      </x:c>
      <x:c r="U1924" s="24" t="n">
        <x:f>IFERROR(J1924/H1924,0)-IFERROR(K1924/I1924,0)</x:f>
        <x:v>0.11249999999999999</x:v>
      </x:c>
      <x:c r="V1924" s="24" t="n">
        <x:f>IFERROR(F1924/J1924,0)-IFERROR(G1924/K1924,0)</x:f>
        <x:v>0</x:v>
      </x:c>
      <x:c r="W1924" s="28" t="n">
        <x:f>L1924-M1924</x:f>
        <x:v>1</x:v>
      </x:c>
      <x:c r="X1924" s="24" t="n">
        <x:f>IFERROR(K1924/I1924,0)</x:f>
        <x:v>0.2</x:v>
      </x:c>
      <x:c r="Y1924" s="24" t="n">
        <x:f>IFERROR(G1924/I1924,0)</x:f>
        <x:v>0</x:v>
      </x:c>
      <x:c r="Z1924" s="24" t="n">
        <x:f>IFERROR(G1924/K1924,0)</x:f>
        <x:v>0</x:v>
      </x:c>
      <x:c r="AA1924" s="24" t="n">
        <x:f>IFERROR(F1924/H1924,0)-IFERROR(G1924/I1924,0)</x:f>
        <x:v>0</x:v>
      </x:c>
      <x:c r="AB1924" s="28" t="n">
        <x:f>J1924-K1924</x:f>
        <x:v>3</x:v>
      </x:c>
      <x:c r="AC1924" s="32" t="n">
        <x:f>F1924-G1924</x:f>
        <x:v>0</x:v>
      </x:c>
    </x:row>
    <x:row r="1925">
      <x:c r="A1925" s="4" t="str">
        <x:v>2023-24</x:v>
      </x:c>
      <x:c r="B1925" s="20" t="n">
        <x:v>45305</x:v>
      </x:c>
      <x:c r="C1925" s="4" t="str">
        <x:v>Everton</x:v>
      </x:c>
      <x:c r="D1925" s="4" t="str">
        <x:v>Aston Villa</x:v>
      </x:c>
      <x:c r="E1925" s="4" t="str">
        <x:v>Home</x:v>
      </x:c>
      <x:c r="F1925" s="28" t="n">
        <x:v>0</x:v>
      </x:c>
      <x:c r="G1925" s="28" t="n">
        <x:v>0</x:v>
      </x:c>
      <x:c r="H1925" s="28" t="n">
        <x:v>10</x:v>
      </x:c>
      <x:c r="I1925" s="28" t="n">
        <x:v>16</x:v>
      </x:c>
      <x:c r="J1925" s="28" t="n">
        <x:v>2</x:v>
      </x:c>
      <x:c r="K1925" s="28" t="n">
        <x:v>5</x:v>
      </x:c>
      <x:c r="L1925" s="28" t="n">
        <x:v>4</x:v>
      </x:c>
      <x:c r="M1925" s="28" t="n">
        <x:v>5</x:v>
      </x:c>
      <x:c r="N1925" s="28" t="n">
        <x:v>1</x:v>
      </x:c>
      <x:c r="O1925" s="28" t="n">
        <x:v>0</x:v>
      </x:c>
      <x:c r="P1925" s="28" t="n">
        <x:v>1</x:v>
      </x:c>
      <x:c r="Q1925" s="24" t="n">
        <x:f>IFERROR(J1925/H1925,0)</x:f>
        <x:v>0.2</x:v>
      </x:c>
      <x:c r="R1925" s="24" t="n">
        <x:f>IFERROR(F1925/H1925,0)</x:f>
        <x:v>0</x:v>
      </x:c>
      <x:c r="S1925" s="24" t="n">
        <x:f>IFERROR(F1925/J1925,0)</x:f>
        <x:v>0</x:v>
      </x:c>
      <x:c r="T1925" s="28" t="n">
        <x:f>H1925-I1925</x:f>
        <x:v>-6</x:v>
      </x:c>
      <x:c r="U1925" s="24" t="n">
        <x:f>IFERROR(J1925/H1925,0)-IFERROR(K1925/I1925,0)</x:f>
        <x:v>-0.11249999999999999</x:v>
      </x:c>
      <x:c r="V1925" s="24" t="n">
        <x:f>IFERROR(F1925/J1925,0)-IFERROR(G1925/K1925,0)</x:f>
        <x:v>0</x:v>
      </x:c>
      <x:c r="W1925" s="28" t="n">
        <x:f>L1925-M1925</x:f>
        <x:v>-1</x:v>
      </x:c>
      <x:c r="X1925" s="24" t="n">
        <x:f>IFERROR(K1925/I1925,0)</x:f>
        <x:v>0.3125</x:v>
      </x:c>
      <x:c r="Y1925" s="24" t="n">
        <x:f>IFERROR(G1925/I1925,0)</x:f>
        <x:v>0</x:v>
      </x:c>
      <x:c r="Z1925" s="24" t="n">
        <x:f>IFERROR(G1925/K1925,0)</x:f>
        <x:v>0</x:v>
      </x:c>
      <x:c r="AA1925" s="24" t="n">
        <x:f>IFERROR(F1925/H1925,0)-IFERROR(G1925/I1925,0)</x:f>
        <x:v>0</x:v>
      </x:c>
      <x:c r="AB1925" s="28" t="n">
        <x:f>J1925-K1925</x:f>
        <x:v>-3</x:v>
      </x:c>
      <x:c r="AC1925" s="32" t="n">
        <x:f>F1925-G1925</x:f>
        <x:v>0</x:v>
      </x:c>
    </x:row>
    <x:row r="1926">
      <x:c r="A1926" s="4" t="str">
        <x:v>2023-24</x:v>
      </x:c>
      <x:c r="B1926" s="20" t="n">
        <x:v>45305</x:v>
      </x:c>
      <x:c r="C1926" s="4" t="str">
        <x:v>Man United</x:v>
      </x:c>
      <x:c r="D1926" s="4" t="str">
        <x:v>Tottenham</x:v>
      </x:c>
      <x:c r="E1926" s="4" t="str">
        <x:v>Home</x:v>
      </x:c>
      <x:c r="F1926" s="28" t="n">
        <x:v>2</x:v>
      </x:c>
      <x:c r="G1926" s="28" t="n">
        <x:v>2</x:v>
      </x:c>
      <x:c r="H1926" s="28" t="n">
        <x:v>9</x:v>
      </x:c>
      <x:c r="I1926" s="28" t="n">
        <x:v>16</x:v>
      </x:c>
      <x:c r="J1926" s="28" t="n">
        <x:v>2</x:v>
      </x:c>
      <x:c r="K1926" s="28" t="n">
        <x:v>6</x:v>
      </x:c>
      <x:c r="L1926" s="28" t="n">
        <x:v>8</x:v>
      </x:c>
      <x:c r="M1926" s="28" t="n">
        <x:v>13</x:v>
      </x:c>
      <x:c r="N1926" s="28" t="n">
        <x:v>2</x:v>
      </x:c>
      <x:c r="O1926" s="28" t="n">
        <x:v>0</x:v>
      </x:c>
      <x:c r="P1926" s="28" t="n">
        <x:v>1</x:v>
      </x:c>
      <x:c r="Q1926" s="24" t="n">
        <x:f>IFERROR(J1926/H1926,0)</x:f>
        <x:v>0.2222222222222222</x:v>
      </x:c>
      <x:c r="R1926" s="24" t="n">
        <x:f>IFERROR(F1926/H1926,0)</x:f>
        <x:v>0.2222222222222222</x:v>
      </x:c>
      <x:c r="S1926" s="24" t="n">
        <x:f>IFERROR(F1926/J1926,0)</x:f>
        <x:v>1</x:v>
      </x:c>
      <x:c r="T1926" s="28" t="n">
        <x:f>H1926-I1926</x:f>
        <x:v>-7</x:v>
      </x:c>
      <x:c r="U1926" s="24" t="n">
        <x:f>IFERROR(J1926/H1926,0)-IFERROR(K1926/I1926,0)</x:f>
        <x:v>-0.1527777777777778</x:v>
      </x:c>
      <x:c r="V1926" s="24" t="n">
        <x:f>IFERROR(F1926/J1926,0)-IFERROR(G1926/K1926,0)</x:f>
        <x:v>0.6666666666666667</x:v>
      </x:c>
      <x:c r="W1926" s="28" t="n">
        <x:f>L1926-M1926</x:f>
        <x:v>-5</x:v>
      </x:c>
      <x:c r="X1926" s="24" t="n">
        <x:f>IFERROR(K1926/I1926,0)</x:f>
        <x:v>0.375</x:v>
      </x:c>
      <x:c r="Y1926" s="24" t="n">
        <x:f>IFERROR(G1926/I1926,0)</x:f>
        <x:v>0.125</x:v>
      </x:c>
      <x:c r="Z1926" s="24" t="n">
        <x:f>IFERROR(G1926/K1926,0)</x:f>
        <x:v>0.3333333333333333</x:v>
      </x:c>
      <x:c r="AA1926" s="24" t="n">
        <x:f>IFERROR(F1926/H1926,0)-IFERROR(G1926/I1926,0)</x:f>
        <x:v>0.09722222222222221</x:v>
      </x:c>
      <x:c r="AB1926" s="28" t="n">
        <x:f>J1926-K1926</x:f>
        <x:v>-4</x:v>
      </x:c>
      <x:c r="AC1926" s="32" t="n">
        <x:f>F1926-G1926</x:f>
        <x:v>0</x:v>
      </x:c>
    </x:row>
    <x:row r="1927">
      <x:c r="A1927" s="4" t="str">
        <x:v>2023-24</x:v>
      </x:c>
      <x:c r="B1927" s="20" t="n">
        <x:v>45305</x:v>
      </x:c>
      <x:c r="C1927" s="4" t="str">
        <x:v>Tottenham</x:v>
      </x:c>
      <x:c r="D1927" s="4" t="str">
        <x:v>Man United</x:v>
      </x:c>
      <x:c r="E1927" s="4" t="str">
        <x:v>Away</x:v>
      </x:c>
      <x:c r="F1927" s="28" t="n">
        <x:v>2</x:v>
      </x:c>
      <x:c r="G1927" s="28" t="n">
        <x:v>2</x:v>
      </x:c>
      <x:c r="H1927" s="28" t="n">
        <x:v>16</x:v>
      </x:c>
      <x:c r="I1927" s="28" t="n">
        <x:v>9</x:v>
      </x:c>
      <x:c r="J1927" s="28" t="n">
        <x:v>6</x:v>
      </x:c>
      <x:c r="K1927" s="28" t="n">
        <x:v>2</x:v>
      </x:c>
      <x:c r="L1927" s="28" t="n">
        <x:v>13</x:v>
      </x:c>
      <x:c r="M1927" s="28" t="n">
        <x:v>8</x:v>
      </x:c>
      <x:c r="N1927" s="28" t="n">
        <x:v>1</x:v>
      </x:c>
      <x:c r="O1927" s="28" t="n">
        <x:v>0</x:v>
      </x:c>
      <x:c r="P1927" s="28" t="n">
        <x:v>1</x:v>
      </x:c>
      <x:c r="Q1927" s="24" t="n">
        <x:f>IFERROR(J1927/H1927,0)</x:f>
        <x:v>0.375</x:v>
      </x:c>
      <x:c r="R1927" s="24" t="n">
        <x:f>IFERROR(F1927/H1927,0)</x:f>
        <x:v>0.125</x:v>
      </x:c>
      <x:c r="S1927" s="24" t="n">
        <x:f>IFERROR(F1927/J1927,0)</x:f>
        <x:v>0.3333333333333333</x:v>
      </x:c>
      <x:c r="T1927" s="28" t="n">
        <x:f>H1927-I1927</x:f>
        <x:v>7</x:v>
      </x:c>
      <x:c r="U1927" s="24" t="n">
        <x:f>IFERROR(J1927/H1927,0)-IFERROR(K1927/I1927,0)</x:f>
        <x:v>0.1527777777777778</x:v>
      </x:c>
      <x:c r="V1927" s="24" t="n">
        <x:f>IFERROR(F1927/J1927,0)-IFERROR(G1927/K1927,0)</x:f>
        <x:v>-0.6666666666666667</x:v>
      </x:c>
      <x:c r="W1927" s="28" t="n">
        <x:f>L1927-M1927</x:f>
        <x:v>5</x:v>
      </x:c>
      <x:c r="X1927" s="24" t="n">
        <x:f>IFERROR(K1927/I1927,0)</x:f>
        <x:v>0.2222222222222222</x:v>
      </x:c>
      <x:c r="Y1927" s="24" t="n">
        <x:f>IFERROR(G1927/I1927,0)</x:f>
        <x:v>0.2222222222222222</x:v>
      </x:c>
      <x:c r="Z1927" s="24" t="n">
        <x:f>IFERROR(G1927/K1927,0)</x:f>
        <x:v>1</x:v>
      </x:c>
      <x:c r="AA1927" s="24" t="n">
        <x:f>IFERROR(F1927/H1927,0)-IFERROR(G1927/I1927,0)</x:f>
        <x:v>-0.09722222222222221</x:v>
      </x:c>
      <x:c r="AB1927" s="28" t="n">
        <x:f>J1927-K1927</x:f>
        <x:v>4</x:v>
      </x:c>
      <x:c r="AC1927" s="32" t="n">
        <x:f>F1927-G1927</x:f>
        <x:v>0</x:v>
      </x:c>
    </x:row>
    <x:row r="1928">
      <x:c r="A1928" s="4" t="str">
        <x:v>2023-24</x:v>
      </x:c>
      <x:c r="B1928" s="20" t="n">
        <x:v>45311</x:v>
      </x:c>
      <x:c r="C1928" s="4" t="str">
        <x:v>Arsenal</x:v>
      </x:c>
      <x:c r="D1928" s="4" t="str">
        <x:v>Crystal Palace</x:v>
      </x:c>
      <x:c r="E1928" s="4" t="str">
        <x:v>Home</x:v>
      </x:c>
      <x:c r="F1928" s="28" t="n">
        <x:v>5</x:v>
      </x:c>
      <x:c r="G1928" s="28" t="n">
        <x:v>0</x:v>
      </x:c>
      <x:c r="H1928" s="28" t="n">
        <x:v>21</x:v>
      </x:c>
      <x:c r="I1928" s="28" t="n">
        <x:v>12</x:v>
      </x:c>
      <x:c r="J1928" s="28" t="n">
        <x:v>6</x:v>
      </x:c>
      <x:c r="K1928" s="28" t="n">
        <x:v>5</x:v>
      </x:c>
      <x:c r="L1928" s="28" t="n">
        <x:v>6</x:v>
      </x:c>
      <x:c r="M1928" s="28" t="n">
        <x:v>7</x:v>
      </x:c>
      <x:c r="N1928" s="28" t="n">
        <x:v>0</x:v>
      </x:c>
      <x:c r="O1928" s="28" t="n">
        <x:v>0</x:v>
      </x:c>
      <x:c r="P1928" s="28" t="n">
        <x:v>3</x:v>
      </x:c>
      <x:c r="Q1928" s="24" t="n">
        <x:f>IFERROR(J1928/H1928,0)</x:f>
        <x:v>0.2857142857142857</x:v>
      </x:c>
      <x:c r="R1928" s="24" t="n">
        <x:f>IFERROR(F1928/H1928,0)</x:f>
        <x:v>0.23809523809523808</x:v>
      </x:c>
      <x:c r="S1928" s="24" t="n">
        <x:f>IFERROR(F1928/J1928,0)</x:f>
        <x:v>0.8333333333333334</x:v>
      </x:c>
      <x:c r="T1928" s="28" t="n">
        <x:f>H1928-I1928</x:f>
        <x:v>9</x:v>
      </x:c>
      <x:c r="U1928" s="24" t="n">
        <x:f>IFERROR(J1928/H1928,0)-IFERROR(K1928/I1928,0)</x:f>
        <x:v>-0.130952380952381</x:v>
      </x:c>
      <x:c r="V1928" s="24" t="n">
        <x:f>IFERROR(F1928/J1928,0)-IFERROR(G1928/K1928,0)</x:f>
        <x:v>0.8333333333333334</x:v>
      </x:c>
      <x:c r="W1928" s="28" t="n">
        <x:f>L1928-M1928</x:f>
        <x:v>-1</x:v>
      </x:c>
      <x:c r="X1928" s="24" t="n">
        <x:f>IFERROR(K1928/I1928,0)</x:f>
        <x:v>0.4166666666666667</x:v>
      </x:c>
      <x:c r="Y1928" s="24" t="n">
        <x:f>IFERROR(G1928/I1928,0)</x:f>
        <x:v>0</x:v>
      </x:c>
      <x:c r="Z1928" s="24" t="n">
        <x:f>IFERROR(G1928/K1928,0)</x:f>
        <x:v>0</x:v>
      </x:c>
      <x:c r="AA1928" s="24" t="n">
        <x:f>IFERROR(F1928/H1928,0)-IFERROR(G1928/I1928,0)</x:f>
        <x:v>0.23809523809523808</x:v>
      </x:c>
      <x:c r="AB1928" s="28" t="n">
        <x:f>J1928-K1928</x:f>
        <x:v>1</x:v>
      </x:c>
      <x:c r="AC1928" s="32" t="n">
        <x:f>F1928-G1928</x:f>
        <x:v>5</x:v>
      </x:c>
    </x:row>
    <x:row r="1929">
      <x:c r="A1929" s="4" t="str">
        <x:v>2023-24</x:v>
      </x:c>
      <x:c r="B1929" s="20" t="n">
        <x:v>45311</x:v>
      </x:c>
      <x:c r="C1929" s="4" t="str">
        <x:v>Brentford</x:v>
      </x:c>
      <x:c r="D1929" s="4" t="str">
        <x:v>Nott'm Forest</x:v>
      </x:c>
      <x:c r="E1929" s="4" t="str">
        <x:v>Home</x:v>
      </x:c>
      <x:c r="F1929" s="28" t="n">
        <x:v>3</x:v>
      </x:c>
      <x:c r="G1929" s="28" t="n">
        <x:v>2</x:v>
      </x:c>
      <x:c r="H1929" s="28" t="n">
        <x:v>11</x:v>
      </x:c>
      <x:c r="I1929" s="28" t="n">
        <x:v>12</x:v>
      </x:c>
      <x:c r="J1929" s="28" t="n">
        <x:v>5</x:v>
      </x:c>
      <x:c r="K1929" s="28" t="n">
        <x:v>3</x:v>
      </x:c>
      <x:c r="L1929" s="28" t="n">
        <x:v>6</x:v>
      </x:c>
      <x:c r="M1929" s="28" t="n">
        <x:v>4</x:v>
      </x:c>
      <x:c r="N1929" s="28" t="n">
        <x:v>1</x:v>
      </x:c>
      <x:c r="O1929" s="28" t="n">
        <x:v>0</x:v>
      </x:c>
      <x:c r="P1929" s="28" t="n">
        <x:v>3</x:v>
      </x:c>
      <x:c r="Q1929" s="24" t="n">
        <x:f>IFERROR(J1929/H1929,0)</x:f>
        <x:v>0.45454545454545453</x:v>
      </x:c>
      <x:c r="R1929" s="24" t="n">
        <x:f>IFERROR(F1929/H1929,0)</x:f>
        <x:v>0.2727272727272727</x:v>
      </x:c>
      <x:c r="S1929" s="24" t="n">
        <x:f>IFERROR(F1929/J1929,0)</x:f>
        <x:v>0.6</x:v>
      </x:c>
      <x:c r="T1929" s="28" t="n">
        <x:f>H1929-I1929</x:f>
        <x:v>-1</x:v>
      </x:c>
      <x:c r="U1929" s="24" t="n">
        <x:f>IFERROR(J1929/H1929,0)-IFERROR(K1929/I1929,0)</x:f>
        <x:v>0.20454545454545453</x:v>
      </x:c>
      <x:c r="V1929" s="24" t="n">
        <x:f>IFERROR(F1929/J1929,0)-IFERROR(G1929/K1929,0)</x:f>
        <x:v>-0.06666666666666665</x:v>
      </x:c>
      <x:c r="W1929" s="28" t="n">
        <x:f>L1929-M1929</x:f>
        <x:v>2</x:v>
      </x:c>
      <x:c r="X1929" s="24" t="n">
        <x:f>IFERROR(K1929/I1929,0)</x:f>
        <x:v>0.25</x:v>
      </x:c>
      <x:c r="Y1929" s="24" t="n">
        <x:f>IFERROR(G1929/I1929,0)</x:f>
        <x:v>0.16666666666666666</x:v>
      </x:c>
      <x:c r="Z1929" s="24" t="n">
        <x:f>IFERROR(G1929/K1929,0)</x:f>
        <x:v>0.6666666666666666</x:v>
      </x:c>
      <x:c r="AA1929" s="24" t="n">
        <x:f>IFERROR(F1929/H1929,0)-IFERROR(G1929/I1929,0)</x:f>
        <x:v>0.10606060606060605</x:v>
      </x:c>
      <x:c r="AB1929" s="28" t="n">
        <x:f>J1929-K1929</x:f>
        <x:v>2</x:v>
      </x:c>
      <x:c r="AC1929" s="32" t="n">
        <x:f>F1929-G1929</x:f>
        <x:v>1</x:v>
      </x:c>
    </x:row>
    <x:row r="1930">
      <x:c r="A1930" s="4" t="str">
        <x:v>2023-24</x:v>
      </x:c>
      <x:c r="B1930" s="20" t="n">
        <x:v>45311</x:v>
      </x:c>
      <x:c r="C1930" s="4" t="str">
        <x:v>Crystal Palace</x:v>
      </x:c>
      <x:c r="D1930" s="4" t="str">
        <x:v>Arsenal</x:v>
      </x:c>
      <x:c r="E1930" s="4" t="str">
        <x:v>Away</x:v>
      </x:c>
      <x:c r="F1930" s="28" t="n">
        <x:v>0</x:v>
      </x:c>
      <x:c r="G1930" s="28" t="n">
        <x:v>5</x:v>
      </x:c>
      <x:c r="H1930" s="28" t="n">
        <x:v>12</x:v>
      </x:c>
      <x:c r="I1930" s="28" t="n">
        <x:v>21</x:v>
      </x:c>
      <x:c r="J1930" s="28" t="n">
        <x:v>5</x:v>
      </x:c>
      <x:c r="K1930" s="28" t="n">
        <x:v>6</x:v>
      </x:c>
      <x:c r="L1930" s="28" t="n">
        <x:v>7</x:v>
      </x:c>
      <x:c r="M1930" s="28" t="n">
        <x:v>6</x:v>
      </x:c>
      <x:c r="N1930" s="28" t="n">
        <x:v>0</x:v>
      </x:c>
      <x:c r="O1930" s="28" t="n">
        <x:v>0</x:v>
      </x:c>
      <x:c r="P1930" s="28" t="n">
        <x:v>0</x:v>
      </x:c>
      <x:c r="Q1930" s="24" t="n">
        <x:f>IFERROR(J1930/H1930,0)</x:f>
        <x:v>0.4166666666666667</x:v>
      </x:c>
      <x:c r="R1930" s="24" t="n">
        <x:f>IFERROR(F1930/H1930,0)</x:f>
        <x:v>0</x:v>
      </x:c>
      <x:c r="S1930" s="24" t="n">
        <x:f>IFERROR(F1930/J1930,0)</x:f>
        <x:v>0</x:v>
      </x:c>
      <x:c r="T1930" s="28" t="n">
        <x:f>H1930-I1930</x:f>
        <x:v>-9</x:v>
      </x:c>
      <x:c r="U1930" s="24" t="n">
        <x:f>IFERROR(J1930/H1930,0)-IFERROR(K1930/I1930,0)</x:f>
        <x:v>0.130952380952381</x:v>
      </x:c>
      <x:c r="V1930" s="24" t="n">
        <x:f>IFERROR(F1930/J1930,0)-IFERROR(G1930/K1930,0)</x:f>
        <x:v>-0.8333333333333334</x:v>
      </x:c>
      <x:c r="W1930" s="28" t="n">
        <x:f>L1930-M1930</x:f>
        <x:v>1</x:v>
      </x:c>
      <x:c r="X1930" s="24" t="n">
        <x:f>IFERROR(K1930/I1930,0)</x:f>
        <x:v>0.2857142857142857</x:v>
      </x:c>
      <x:c r="Y1930" s="24" t="n">
        <x:f>IFERROR(G1930/I1930,0)</x:f>
        <x:v>0.23809523809523808</x:v>
      </x:c>
      <x:c r="Z1930" s="24" t="n">
        <x:f>IFERROR(G1930/K1930,0)</x:f>
        <x:v>0.8333333333333334</x:v>
      </x:c>
      <x:c r="AA1930" s="24" t="n">
        <x:f>IFERROR(F1930/H1930,0)-IFERROR(G1930/I1930,0)</x:f>
        <x:v>-0.23809523809523808</x:v>
      </x:c>
      <x:c r="AB1930" s="28" t="n">
        <x:f>J1930-K1930</x:f>
        <x:v>-1</x:v>
      </x:c>
      <x:c r="AC1930" s="32" t="n">
        <x:f>F1930-G1930</x:f>
        <x:v>-5</x:v>
      </x:c>
    </x:row>
    <x:row r="1931">
      <x:c r="A1931" s="4" t="str">
        <x:v>2023-24</x:v>
      </x:c>
      <x:c r="B1931" s="20" t="n">
        <x:v>45311</x:v>
      </x:c>
      <x:c r="C1931" s="4" t="str">
        <x:v>Nott'm Forest</x:v>
      </x:c>
      <x:c r="D1931" s="4" t="str">
        <x:v>Brentford</x:v>
      </x:c>
      <x:c r="E1931" s="4" t="str">
        <x:v>Away</x:v>
      </x:c>
      <x:c r="F1931" s="28" t="n">
        <x:v>2</x:v>
      </x:c>
      <x:c r="G1931" s="28" t="n">
        <x:v>3</x:v>
      </x:c>
      <x:c r="H1931" s="28" t="n">
        <x:v>12</x:v>
      </x:c>
      <x:c r="I1931" s="28" t="n">
        <x:v>11</x:v>
      </x:c>
      <x:c r="J1931" s="28" t="n">
        <x:v>3</x:v>
      </x:c>
      <x:c r="K1931" s="28" t="n">
        <x:v>5</x:v>
      </x:c>
      <x:c r="L1931" s="28" t="n">
        <x:v>4</x:v>
      </x:c>
      <x:c r="M1931" s="28" t="n">
        <x:v>6</x:v>
      </x:c>
      <x:c r="N1931" s="28" t="n">
        <x:v>3</x:v>
      </x:c>
      <x:c r="O1931" s="28" t="n">
        <x:v>0</x:v>
      </x:c>
      <x:c r="P1931" s="28" t="n">
        <x:v>0</x:v>
      </x:c>
      <x:c r="Q1931" s="24" t="n">
        <x:f>IFERROR(J1931/H1931,0)</x:f>
        <x:v>0.25</x:v>
      </x:c>
      <x:c r="R1931" s="24" t="n">
        <x:f>IFERROR(F1931/H1931,0)</x:f>
        <x:v>0.16666666666666666</x:v>
      </x:c>
      <x:c r="S1931" s="24" t="n">
        <x:f>IFERROR(F1931/J1931,0)</x:f>
        <x:v>0.6666666666666666</x:v>
      </x:c>
      <x:c r="T1931" s="28" t="n">
        <x:f>H1931-I1931</x:f>
        <x:v>1</x:v>
      </x:c>
      <x:c r="U1931" s="24" t="n">
        <x:f>IFERROR(J1931/H1931,0)-IFERROR(K1931/I1931,0)</x:f>
        <x:v>-0.20454545454545453</x:v>
      </x:c>
      <x:c r="V1931" s="24" t="n">
        <x:f>IFERROR(F1931/J1931,0)-IFERROR(G1931/K1931,0)</x:f>
        <x:v>0.06666666666666665</x:v>
      </x:c>
      <x:c r="W1931" s="28" t="n">
        <x:f>L1931-M1931</x:f>
        <x:v>-2</x:v>
      </x:c>
      <x:c r="X1931" s="24" t="n">
        <x:f>IFERROR(K1931/I1931,0)</x:f>
        <x:v>0.45454545454545453</x:v>
      </x:c>
      <x:c r="Y1931" s="24" t="n">
        <x:f>IFERROR(G1931/I1931,0)</x:f>
        <x:v>0.2727272727272727</x:v>
      </x:c>
      <x:c r="Z1931" s="24" t="n">
        <x:f>IFERROR(G1931/K1931,0)</x:f>
        <x:v>0.6</x:v>
      </x:c>
      <x:c r="AA1931" s="24" t="n">
        <x:f>IFERROR(F1931/H1931,0)-IFERROR(G1931/I1931,0)</x:f>
        <x:v>-0.10606060606060605</x:v>
      </x:c>
      <x:c r="AB1931" s="28" t="n">
        <x:f>J1931-K1931</x:f>
        <x:v>-2</x:v>
      </x:c>
      <x:c r="AC1931" s="32" t="n">
        <x:f>F1931-G1931</x:f>
        <x:v>-1</x:v>
      </x:c>
    </x:row>
    <x:row r="1932">
      <x:c r="A1932" s="4" t="str">
        <x:v>2023-24</x:v>
      </x:c>
      <x:c r="B1932" s="20" t="n">
        <x:v>45312</x:v>
      </x:c>
      <x:c r="C1932" s="4" t="str">
        <x:v>Bournemouth</x:v>
      </x:c>
      <x:c r="D1932" s="4" t="str">
        <x:v>Liverpool</x:v>
      </x:c>
      <x:c r="E1932" s="4" t="str">
        <x:v>Home</x:v>
      </x:c>
      <x:c r="F1932" s="28" t="n">
        <x:v>0</x:v>
      </x:c>
      <x:c r="G1932" s="28" t="n">
        <x:v>4</x:v>
      </x:c>
      <x:c r="H1932" s="28" t="n">
        <x:v>11</x:v>
      </x:c>
      <x:c r="I1932" s="28" t="n">
        <x:v>14</x:v>
      </x:c>
      <x:c r="J1932" s="28" t="n">
        <x:v>1</x:v>
      </x:c>
      <x:c r="K1932" s="28" t="n">
        <x:v>7</x:v>
      </x:c>
      <x:c r="L1932" s="28" t="n">
        <x:v>8</x:v>
      </x:c>
      <x:c r="M1932" s="28" t="n">
        <x:v>5</x:v>
      </x:c>
      <x:c r="N1932" s="28" t="n">
        <x:v>1</x:v>
      </x:c>
      <x:c r="O1932" s="28" t="n">
        <x:v>0</x:v>
      </x:c>
      <x:c r="P1932" s="28" t="n">
        <x:v>0</x:v>
      </x:c>
      <x:c r="Q1932" s="24" t="n">
        <x:f>IFERROR(J1932/H1932,0)</x:f>
        <x:v>0.09090909090909091</x:v>
      </x:c>
      <x:c r="R1932" s="24" t="n">
        <x:f>IFERROR(F1932/H1932,0)</x:f>
        <x:v>0</x:v>
      </x:c>
      <x:c r="S1932" s="24" t="n">
        <x:f>IFERROR(F1932/J1932,0)</x:f>
        <x:v>0</x:v>
      </x:c>
      <x:c r="T1932" s="28" t="n">
        <x:f>H1932-I1932</x:f>
        <x:v>-3</x:v>
      </x:c>
      <x:c r="U1932" s="24" t="n">
        <x:f>IFERROR(J1932/H1932,0)-IFERROR(K1932/I1932,0)</x:f>
        <x:v>-0.40909090909090906</x:v>
      </x:c>
      <x:c r="V1932" s="24" t="n">
        <x:f>IFERROR(F1932/J1932,0)-IFERROR(G1932/K1932,0)</x:f>
        <x:v>-0.5714285714285714</x:v>
      </x:c>
      <x:c r="W1932" s="28" t="n">
        <x:f>L1932-M1932</x:f>
        <x:v>3</x:v>
      </x:c>
      <x:c r="X1932" s="24" t="n">
        <x:f>IFERROR(K1932/I1932,0)</x:f>
        <x:v>0.5</x:v>
      </x:c>
      <x:c r="Y1932" s="24" t="n">
        <x:f>IFERROR(G1932/I1932,0)</x:f>
        <x:v>0.2857142857142857</x:v>
      </x:c>
      <x:c r="Z1932" s="24" t="n">
        <x:f>IFERROR(G1932/K1932,0)</x:f>
        <x:v>0.5714285714285714</x:v>
      </x:c>
      <x:c r="AA1932" s="24" t="n">
        <x:f>IFERROR(F1932/H1932,0)-IFERROR(G1932/I1932,0)</x:f>
        <x:v>-0.2857142857142857</x:v>
      </x:c>
      <x:c r="AB1932" s="28" t="n">
        <x:f>J1932-K1932</x:f>
        <x:v>-6</x:v>
      </x:c>
      <x:c r="AC1932" s="32" t="n">
        <x:f>F1932-G1932</x:f>
        <x:v>-4</x:v>
      </x:c>
    </x:row>
    <x:row r="1933">
      <x:c r="A1933" s="4" t="str">
        <x:v>2023-24</x:v>
      </x:c>
      <x:c r="B1933" s="20" t="n">
        <x:v>45312</x:v>
      </x:c>
      <x:c r="C1933" s="4" t="str">
        <x:v>Liverpool</x:v>
      </x:c>
      <x:c r="D1933" s="4" t="str">
        <x:v>Bournemouth</x:v>
      </x:c>
      <x:c r="E1933" s="4" t="str">
        <x:v>Away</x:v>
      </x:c>
      <x:c r="F1933" s="28" t="n">
        <x:v>4</x:v>
      </x:c>
      <x:c r="G1933" s="28" t="n">
        <x:v>0</x:v>
      </x:c>
      <x:c r="H1933" s="28" t="n">
        <x:v>14</x:v>
      </x:c>
      <x:c r="I1933" s="28" t="n">
        <x:v>11</x:v>
      </x:c>
      <x:c r="J1933" s="28" t="n">
        <x:v>7</x:v>
      </x:c>
      <x:c r="K1933" s="28" t="n">
        <x:v>1</x:v>
      </x:c>
      <x:c r="L1933" s="28" t="n">
        <x:v>5</x:v>
      </x:c>
      <x:c r="M1933" s="28" t="n">
        <x:v>8</x:v>
      </x:c>
      <x:c r="N1933" s="28" t="n">
        <x:v>2</x:v>
      </x:c>
      <x:c r="O1933" s="28" t="n">
        <x:v>0</x:v>
      </x:c>
      <x:c r="P1933" s="28" t="n">
        <x:v>3</x:v>
      </x:c>
      <x:c r="Q1933" s="24" t="n">
        <x:f>IFERROR(J1933/H1933,0)</x:f>
        <x:v>0.5</x:v>
      </x:c>
      <x:c r="R1933" s="24" t="n">
        <x:f>IFERROR(F1933/H1933,0)</x:f>
        <x:v>0.2857142857142857</x:v>
      </x:c>
      <x:c r="S1933" s="24" t="n">
        <x:f>IFERROR(F1933/J1933,0)</x:f>
        <x:v>0.5714285714285714</x:v>
      </x:c>
      <x:c r="T1933" s="28" t="n">
        <x:f>H1933-I1933</x:f>
        <x:v>3</x:v>
      </x:c>
      <x:c r="U1933" s="24" t="n">
        <x:f>IFERROR(J1933/H1933,0)-IFERROR(K1933/I1933,0)</x:f>
        <x:v>0.40909090909090906</x:v>
      </x:c>
      <x:c r="V1933" s="24" t="n">
        <x:f>IFERROR(F1933/J1933,0)-IFERROR(G1933/K1933,0)</x:f>
        <x:v>0.5714285714285714</x:v>
      </x:c>
      <x:c r="W1933" s="28" t="n">
        <x:f>L1933-M1933</x:f>
        <x:v>-3</x:v>
      </x:c>
      <x:c r="X1933" s="24" t="n">
        <x:f>IFERROR(K1933/I1933,0)</x:f>
        <x:v>0.09090909090909091</x:v>
      </x:c>
      <x:c r="Y1933" s="24" t="n">
        <x:f>IFERROR(G1933/I1933,0)</x:f>
        <x:v>0</x:v>
      </x:c>
      <x:c r="Z1933" s="24" t="n">
        <x:f>IFERROR(G1933/K1933,0)</x:f>
        <x:v>0</x:v>
      </x:c>
      <x:c r="AA1933" s="24" t="n">
        <x:f>IFERROR(F1933/H1933,0)-IFERROR(G1933/I1933,0)</x:f>
        <x:v>0.2857142857142857</x:v>
      </x:c>
      <x:c r="AB1933" s="28" t="n">
        <x:f>J1933-K1933</x:f>
        <x:v>6</x:v>
      </x:c>
      <x:c r="AC1933" s="32" t="n">
        <x:f>F1933-G1933</x:f>
        <x:v>4</x:v>
      </x:c>
    </x:row>
    <x:row r="1934">
      <x:c r="A1934" s="4" t="str">
        <x:v>2023-24</x:v>
      </x:c>
      <x:c r="B1934" s="20" t="n">
        <x:v>45312</x:v>
      </x:c>
      <x:c r="C1934" s="4" t="str">
        <x:v>Sheffield United</x:v>
      </x:c>
      <x:c r="D1934" s="4" t="str">
        <x:v>West Ham</x:v>
      </x:c>
      <x:c r="E1934" s="4" t="str">
        <x:v>Home</x:v>
      </x:c>
      <x:c r="F1934" s="28" t="n">
        <x:v>2</x:v>
      </x:c>
      <x:c r="G1934" s="28" t="n">
        <x:v>2</x:v>
      </x:c>
      <x:c r="H1934" s="28" t="n">
        <x:v>21</x:v>
      </x:c>
      <x:c r="I1934" s="28" t="n">
        <x:v>16</x:v>
      </x:c>
      <x:c r="J1934" s="28" t="n">
        <x:v>6</x:v>
      </x:c>
      <x:c r="K1934" s="28" t="n">
        <x:v>5</x:v>
      </x:c>
      <x:c r="L1934" s="28" t="n">
        <x:v>4</x:v>
      </x:c>
      <x:c r="M1934" s="28" t="n">
        <x:v>1</x:v>
      </x:c>
      <x:c r="N1934" s="28" t="n">
        <x:v>3</x:v>
      </x:c>
      <x:c r="O1934" s="28" t="n">
        <x:v>1</x:v>
      </x:c>
      <x:c r="P1934" s="28" t="n">
        <x:v>1</x:v>
      </x:c>
      <x:c r="Q1934" s="24" t="n">
        <x:f>IFERROR(J1934/H1934,0)</x:f>
        <x:v>0.2857142857142857</x:v>
      </x:c>
      <x:c r="R1934" s="24" t="n">
        <x:f>IFERROR(F1934/H1934,0)</x:f>
        <x:v>0.09523809523809523</x:v>
      </x:c>
      <x:c r="S1934" s="24" t="n">
        <x:f>IFERROR(F1934/J1934,0)</x:f>
        <x:v>0.3333333333333333</x:v>
      </x:c>
      <x:c r="T1934" s="28" t="n">
        <x:f>H1934-I1934</x:f>
        <x:v>5</x:v>
      </x:c>
      <x:c r="U1934" s="24" t="n">
        <x:f>IFERROR(J1934/H1934,0)-IFERROR(K1934/I1934,0)</x:f>
        <x:v>-0.0267857142857143</x:v>
      </x:c>
      <x:c r="V1934" s="24" t="n">
        <x:f>IFERROR(F1934/J1934,0)-IFERROR(G1934/K1934,0)</x:f>
        <x:v>-0.06666666666666671</x:v>
      </x:c>
      <x:c r="W1934" s="28" t="n">
        <x:f>L1934-M1934</x:f>
        <x:v>3</x:v>
      </x:c>
      <x:c r="X1934" s="24" t="n">
        <x:f>IFERROR(K1934/I1934,0)</x:f>
        <x:v>0.3125</x:v>
      </x:c>
      <x:c r="Y1934" s="24" t="n">
        <x:f>IFERROR(G1934/I1934,0)</x:f>
        <x:v>0.125</x:v>
      </x:c>
      <x:c r="Z1934" s="24" t="n">
        <x:f>IFERROR(G1934/K1934,0)</x:f>
        <x:v>0.4</x:v>
      </x:c>
      <x:c r="AA1934" s="24" t="n">
        <x:f>IFERROR(F1934/H1934,0)-IFERROR(G1934/I1934,0)</x:f>
        <x:v>-0.029761904761904767</x:v>
      </x:c>
      <x:c r="AB1934" s="28" t="n">
        <x:f>J1934-K1934</x:f>
        <x:v>1</x:v>
      </x:c>
      <x:c r="AC1934" s="32" t="n">
        <x:f>F1934-G1934</x:f>
        <x:v>0</x:v>
      </x:c>
    </x:row>
    <x:row r="1935">
      <x:c r="A1935" s="4" t="str">
        <x:v>2023-24</x:v>
      </x:c>
      <x:c r="B1935" s="20" t="n">
        <x:v>45312</x:v>
      </x:c>
      <x:c r="C1935" s="4" t="str">
        <x:v>West Ham</x:v>
      </x:c>
      <x:c r="D1935" s="4" t="str">
        <x:v>Sheffield United</x:v>
      </x:c>
      <x:c r="E1935" s="4" t="str">
        <x:v>Away</x:v>
      </x:c>
      <x:c r="F1935" s="28" t="n">
        <x:v>2</x:v>
      </x:c>
      <x:c r="G1935" s="28" t="n">
        <x:v>2</x:v>
      </x:c>
      <x:c r="H1935" s="28" t="n">
        <x:v>16</x:v>
      </x:c>
      <x:c r="I1935" s="28" t="n">
        <x:v>21</x:v>
      </x:c>
      <x:c r="J1935" s="28" t="n">
        <x:v>5</x:v>
      </x:c>
      <x:c r="K1935" s="28" t="n">
        <x:v>6</x:v>
      </x:c>
      <x:c r="L1935" s="28" t="n">
        <x:v>1</x:v>
      </x:c>
      <x:c r="M1935" s="28" t="n">
        <x:v>4</x:v>
      </x:c>
      <x:c r="N1935" s="28" t="n">
        <x:v>1</x:v>
      </x:c>
      <x:c r="O1935" s="28" t="n">
        <x:v>1</x:v>
      </x:c>
      <x:c r="P1935" s="28" t="n">
        <x:v>1</x:v>
      </x:c>
      <x:c r="Q1935" s="24" t="n">
        <x:f>IFERROR(J1935/H1935,0)</x:f>
        <x:v>0.3125</x:v>
      </x:c>
      <x:c r="R1935" s="24" t="n">
        <x:f>IFERROR(F1935/H1935,0)</x:f>
        <x:v>0.125</x:v>
      </x:c>
      <x:c r="S1935" s="24" t="n">
        <x:f>IFERROR(F1935/J1935,0)</x:f>
        <x:v>0.4</x:v>
      </x:c>
      <x:c r="T1935" s="28" t="n">
        <x:f>H1935-I1935</x:f>
        <x:v>-5</x:v>
      </x:c>
      <x:c r="U1935" s="24" t="n">
        <x:f>IFERROR(J1935/H1935,0)-IFERROR(K1935/I1935,0)</x:f>
        <x:v>0.0267857142857143</x:v>
      </x:c>
      <x:c r="V1935" s="24" t="n">
        <x:f>IFERROR(F1935/J1935,0)-IFERROR(G1935/K1935,0)</x:f>
        <x:v>0.06666666666666671</x:v>
      </x:c>
      <x:c r="W1935" s="28" t="n">
        <x:f>L1935-M1935</x:f>
        <x:v>-3</x:v>
      </x:c>
      <x:c r="X1935" s="24" t="n">
        <x:f>IFERROR(K1935/I1935,0)</x:f>
        <x:v>0.2857142857142857</x:v>
      </x:c>
      <x:c r="Y1935" s="24" t="n">
        <x:f>IFERROR(G1935/I1935,0)</x:f>
        <x:v>0.09523809523809523</x:v>
      </x:c>
      <x:c r="Z1935" s="24" t="n">
        <x:f>IFERROR(G1935/K1935,0)</x:f>
        <x:v>0.3333333333333333</x:v>
      </x:c>
      <x:c r="AA1935" s="24" t="n">
        <x:f>IFERROR(F1935/H1935,0)-IFERROR(G1935/I1935,0)</x:f>
        <x:v>0.029761904761904767</x:v>
      </x:c>
      <x:c r="AB1935" s="28" t="n">
        <x:f>J1935-K1935</x:f>
        <x:v>-1</x:v>
      </x:c>
      <x:c r="AC1935" s="32" t="n">
        <x:f>F1935-G1935</x:f>
        <x:v>0</x:v>
      </x:c>
    </x:row>
    <x:row r="1936">
      <x:c r="A1936" s="4" t="str">
        <x:v>2023-24</x:v>
      </x:c>
      <x:c r="B1936" s="20" t="n">
        <x:v>45313</x:v>
      </x:c>
      <x:c r="C1936" s="4" t="str">
        <x:v>Brighton</x:v>
      </x:c>
      <x:c r="D1936" s="4" t="str">
        <x:v>Wolves</x:v>
      </x:c>
      <x:c r="E1936" s="4" t="str">
        <x:v>Home</x:v>
      </x:c>
      <x:c r="F1936" s="28" t="n">
        <x:v>0</x:v>
      </x:c>
      <x:c r="G1936" s="28" t="n">
        <x:v>0</x:v>
      </x:c>
      <x:c r="H1936" s="28" t="n">
        <x:v>11</x:v>
      </x:c>
      <x:c r="I1936" s="28" t="n">
        <x:v>8</x:v>
      </x:c>
      <x:c r="J1936" s="28" t="n">
        <x:v>4</x:v>
      </x:c>
      <x:c r="K1936" s="28" t="n">
        <x:v>3</x:v>
      </x:c>
      <x:c r="L1936" s="28" t="n">
        <x:v>8</x:v>
      </x:c>
      <x:c r="M1936" s="28" t="n">
        <x:v>2</x:v>
      </x:c>
      <x:c r="N1936" s="28" t="n">
        <x:v>1</x:v>
      </x:c>
      <x:c r="O1936" s="28" t="n">
        <x:v>0</x:v>
      </x:c>
      <x:c r="P1936" s="28" t="n">
        <x:v>1</x:v>
      </x:c>
      <x:c r="Q1936" s="24" t="n">
        <x:f>IFERROR(J1936/H1936,0)</x:f>
        <x:v>0.36363636363636365</x:v>
      </x:c>
      <x:c r="R1936" s="24" t="n">
        <x:f>IFERROR(F1936/H1936,0)</x:f>
        <x:v>0</x:v>
      </x:c>
      <x:c r="S1936" s="24" t="n">
        <x:f>IFERROR(F1936/J1936,0)</x:f>
        <x:v>0</x:v>
      </x:c>
      <x:c r="T1936" s="28" t="n">
        <x:f>H1936-I1936</x:f>
        <x:v>3</x:v>
      </x:c>
      <x:c r="U1936" s="24" t="n">
        <x:f>IFERROR(J1936/H1936,0)-IFERROR(K1936/I1936,0)</x:f>
        <x:v>-0.011363636363636354</x:v>
      </x:c>
      <x:c r="V1936" s="24" t="n">
        <x:f>IFERROR(F1936/J1936,0)-IFERROR(G1936/K1936,0)</x:f>
        <x:v>0</x:v>
      </x:c>
      <x:c r="W1936" s="28" t="n">
        <x:f>L1936-M1936</x:f>
        <x:v>6</x:v>
      </x:c>
      <x:c r="X1936" s="24" t="n">
        <x:f>IFERROR(K1936/I1936,0)</x:f>
        <x:v>0.375</x:v>
      </x:c>
      <x:c r="Y1936" s="24" t="n">
        <x:f>IFERROR(G1936/I1936,0)</x:f>
        <x:v>0</x:v>
      </x:c>
      <x:c r="Z1936" s="24" t="n">
        <x:f>IFERROR(G1936/K1936,0)</x:f>
        <x:v>0</x:v>
      </x:c>
      <x:c r="AA1936" s="24" t="n">
        <x:f>IFERROR(F1936/H1936,0)-IFERROR(G1936/I1936,0)</x:f>
        <x:v>0</x:v>
      </x:c>
      <x:c r="AB1936" s="28" t="n">
        <x:f>J1936-K1936</x:f>
        <x:v>1</x:v>
      </x:c>
      <x:c r="AC1936" s="32" t="n">
        <x:f>F1936-G1936</x:f>
        <x:v>0</x:v>
      </x:c>
    </x:row>
    <x:row r="1937">
      <x:c r="A1937" s="4" t="str">
        <x:v>2023-24</x:v>
      </x:c>
      <x:c r="B1937" s="20" t="n">
        <x:v>45313</x:v>
      </x:c>
      <x:c r="C1937" s="4" t="str">
        <x:v>Wolves</x:v>
      </x:c>
      <x:c r="D1937" s="4" t="str">
        <x:v>Brighton</x:v>
      </x:c>
      <x:c r="E1937" s="4" t="str">
        <x:v>Away</x:v>
      </x:c>
      <x:c r="F1937" s="28" t="n">
        <x:v>0</x:v>
      </x:c>
      <x:c r="G1937" s="28" t="n">
        <x:v>0</x:v>
      </x:c>
      <x:c r="H1937" s="28" t="n">
        <x:v>8</x:v>
      </x:c>
      <x:c r="I1937" s="28" t="n">
        <x:v>11</x:v>
      </x:c>
      <x:c r="J1937" s="28" t="n">
        <x:v>3</x:v>
      </x:c>
      <x:c r="K1937" s="28" t="n">
        <x:v>4</x:v>
      </x:c>
      <x:c r="L1937" s="28" t="n">
        <x:v>2</x:v>
      </x:c>
      <x:c r="M1937" s="28" t="n">
        <x:v>8</x:v>
      </x:c>
      <x:c r="N1937" s="28" t="n">
        <x:v>4</x:v>
      </x:c>
      <x:c r="O1937" s="28" t="n">
        <x:v>0</x:v>
      </x:c>
      <x:c r="P1937" s="28" t="n">
        <x:v>1</x:v>
      </x:c>
      <x:c r="Q1937" s="24" t="n">
        <x:f>IFERROR(J1937/H1937,0)</x:f>
        <x:v>0.375</x:v>
      </x:c>
      <x:c r="R1937" s="24" t="n">
        <x:f>IFERROR(F1937/H1937,0)</x:f>
        <x:v>0</x:v>
      </x:c>
      <x:c r="S1937" s="24" t="n">
        <x:f>IFERROR(F1937/J1937,0)</x:f>
        <x:v>0</x:v>
      </x:c>
      <x:c r="T1937" s="28" t="n">
        <x:f>H1937-I1937</x:f>
        <x:v>-3</x:v>
      </x:c>
      <x:c r="U1937" s="24" t="n">
        <x:f>IFERROR(J1937/H1937,0)-IFERROR(K1937/I1937,0)</x:f>
        <x:v>0.011363636363636354</x:v>
      </x:c>
      <x:c r="V1937" s="24" t="n">
        <x:f>IFERROR(F1937/J1937,0)-IFERROR(G1937/K1937,0)</x:f>
        <x:v>0</x:v>
      </x:c>
      <x:c r="W1937" s="28" t="n">
        <x:f>L1937-M1937</x:f>
        <x:v>-6</x:v>
      </x:c>
      <x:c r="X1937" s="24" t="n">
        <x:f>IFERROR(K1937/I1937,0)</x:f>
        <x:v>0.36363636363636365</x:v>
      </x:c>
      <x:c r="Y1937" s="24" t="n">
        <x:f>IFERROR(G1937/I1937,0)</x:f>
        <x:v>0</x:v>
      </x:c>
      <x:c r="Z1937" s="24" t="n">
        <x:f>IFERROR(G1937/K1937,0)</x:f>
        <x:v>0</x:v>
      </x:c>
      <x:c r="AA1937" s="24" t="n">
        <x:f>IFERROR(F1937/H1937,0)-IFERROR(G1937/I1937,0)</x:f>
        <x:v>0</x:v>
      </x:c>
      <x:c r="AB1937" s="28" t="n">
        <x:f>J1937-K1937</x:f>
        <x:v>-1</x:v>
      </x:c>
      <x:c r="AC1937" s="32" t="n">
        <x:f>F1937-G1937</x:f>
        <x:v>0</x:v>
      </x:c>
    </x:row>
    <x:row r="1938">
      <x:c r="A1938" s="4" t="str">
        <x:v>2023-24</x:v>
      </x:c>
      <x:c r="B1938" s="20" t="n">
        <x:v>45321</x:v>
      </x:c>
      <x:c r="C1938" s="4" t="str">
        <x:v>Arsenal</x:v>
      </x:c>
      <x:c r="D1938" s="4" t="str">
        <x:v>Nott'm Forest</x:v>
      </x:c>
      <x:c r="E1938" s="4" t="str">
        <x:v>Away</x:v>
      </x:c>
      <x:c r="F1938" s="28" t="n">
        <x:v>2</x:v>
      </x:c>
      <x:c r="G1938" s="28" t="n">
        <x:v>1</x:v>
      </x:c>
      <x:c r="H1938" s="28" t="n">
        <x:v>19</x:v>
      </x:c>
      <x:c r="I1938" s="28" t="n">
        <x:v>9</x:v>
      </x:c>
      <x:c r="J1938" s="28" t="n">
        <x:v>3</x:v>
      </x:c>
      <x:c r="K1938" s="28" t="n">
        <x:v>3</x:v>
      </x:c>
      <x:c r="L1938" s="28" t="n">
        <x:v>11</x:v>
      </x:c>
      <x:c r="M1938" s="28" t="n">
        <x:v>2</x:v>
      </x:c>
      <x:c r="N1938" s="28" t="n">
        <x:v>1</x:v>
      </x:c>
      <x:c r="O1938" s="28" t="n">
        <x:v>0</x:v>
      </x:c>
      <x:c r="P1938" s="28" t="n">
        <x:v>3</x:v>
      </x:c>
      <x:c r="Q1938" s="24" t="n">
        <x:f>IFERROR(J1938/H1938,0)</x:f>
        <x:v>0.15789473684210525</x:v>
      </x:c>
      <x:c r="R1938" s="24" t="n">
        <x:f>IFERROR(F1938/H1938,0)</x:f>
        <x:v>0.10526315789473684</x:v>
      </x:c>
      <x:c r="S1938" s="24" t="n">
        <x:f>IFERROR(F1938/J1938,0)</x:f>
        <x:v>0.6666666666666666</x:v>
      </x:c>
      <x:c r="T1938" s="28" t="n">
        <x:f>H1938-I1938</x:f>
        <x:v>10</x:v>
      </x:c>
      <x:c r="U1938" s="24" t="n">
        <x:f>IFERROR(J1938/H1938,0)-IFERROR(K1938/I1938,0)</x:f>
        <x:v>-0.17543859649122806</x:v>
      </x:c>
      <x:c r="V1938" s="24" t="n">
        <x:f>IFERROR(F1938/J1938,0)-IFERROR(G1938/K1938,0)</x:f>
        <x:v>0.3333333333333333</x:v>
      </x:c>
      <x:c r="W1938" s="28" t="n">
        <x:f>L1938-M1938</x:f>
        <x:v>9</x:v>
      </x:c>
      <x:c r="X1938" s="24" t="n">
        <x:f>IFERROR(K1938/I1938,0)</x:f>
        <x:v>0.3333333333333333</x:v>
      </x:c>
      <x:c r="Y1938" s="24" t="n">
        <x:f>IFERROR(G1938/I1938,0)</x:f>
        <x:v>0.1111111111111111</x:v>
      </x:c>
      <x:c r="Z1938" s="24" t="n">
        <x:f>IFERROR(G1938/K1938,0)</x:f>
        <x:v>0.3333333333333333</x:v>
      </x:c>
      <x:c r="AA1938" s="24" t="n">
        <x:f>IFERROR(F1938/H1938,0)-IFERROR(G1938/I1938,0)</x:f>
        <x:v>-0.005847953216374269</x:v>
      </x:c>
      <x:c r="AB1938" s="28" t="n">
        <x:f>J1938-K1938</x:f>
        <x:v>0</x:v>
      </x:c>
      <x:c r="AC1938" s="32" t="n">
        <x:f>F1938-G1938</x:f>
        <x:v>1</x:v>
      </x:c>
    </x:row>
    <x:row r="1939">
      <x:c r="A1939" s="4" t="str">
        <x:v>2023-24</x:v>
      </x:c>
      <x:c r="B1939" s="20" t="n">
        <x:v>45321</x:v>
      </x:c>
      <x:c r="C1939" s="4" t="str">
        <x:v>Aston Villa</x:v>
      </x:c>
      <x:c r="D1939" s="4" t="str">
        <x:v>Newcastle</x:v>
      </x:c>
      <x:c r="E1939" s="4" t="str">
        <x:v>Home</x:v>
      </x:c>
      <x:c r="F1939" s="28" t="n">
        <x:v>1</x:v>
      </x:c>
      <x:c r="G1939" s="28" t="n">
        <x:v>3</x:v>
      </x:c>
      <x:c r="H1939" s="28" t="n">
        <x:v>12</x:v>
      </x:c>
      <x:c r="I1939" s="28" t="n">
        <x:v>14</x:v>
      </x:c>
      <x:c r="J1939" s="28" t="n">
        <x:v>6</x:v>
      </x:c>
      <x:c r="K1939" s="28" t="n">
        <x:v>5</x:v>
      </x:c>
      <x:c r="L1939" s="28" t="n">
        <x:v>8</x:v>
      </x:c>
      <x:c r="M1939" s="28" t="n">
        <x:v>7</x:v>
      </x:c>
      <x:c r="N1939" s="28" t="n">
        <x:v>4</x:v>
      </x:c>
      <x:c r="O1939" s="28" t="n">
        <x:v>0</x:v>
      </x:c>
      <x:c r="P1939" s="28" t="n">
        <x:v>0</x:v>
      </x:c>
      <x:c r="Q1939" s="24" t="n">
        <x:f>IFERROR(J1939/H1939,0)</x:f>
        <x:v>0.5</x:v>
      </x:c>
      <x:c r="R1939" s="24" t="n">
        <x:f>IFERROR(F1939/H1939,0)</x:f>
        <x:v>0.08333333333333333</x:v>
      </x:c>
      <x:c r="S1939" s="24" t="n">
        <x:f>IFERROR(F1939/J1939,0)</x:f>
        <x:v>0.16666666666666666</x:v>
      </x:c>
      <x:c r="T1939" s="28" t="n">
        <x:f>H1939-I1939</x:f>
        <x:v>-2</x:v>
      </x:c>
      <x:c r="U1939" s="24" t="n">
        <x:f>IFERROR(J1939/H1939,0)-IFERROR(K1939/I1939,0)</x:f>
        <x:v>0.14285714285714285</x:v>
      </x:c>
      <x:c r="V1939" s="24" t="n">
        <x:f>IFERROR(F1939/J1939,0)-IFERROR(G1939/K1939,0)</x:f>
        <x:v>-0.43333333333333335</x:v>
      </x:c>
      <x:c r="W1939" s="28" t="n">
        <x:f>L1939-M1939</x:f>
        <x:v>1</x:v>
      </x:c>
      <x:c r="X1939" s="24" t="n">
        <x:f>IFERROR(K1939/I1939,0)</x:f>
        <x:v>0.35714285714285715</x:v>
      </x:c>
      <x:c r="Y1939" s="24" t="n">
        <x:f>IFERROR(G1939/I1939,0)</x:f>
        <x:v>0.21428571428571427</x:v>
      </x:c>
      <x:c r="Z1939" s="24" t="n">
        <x:f>IFERROR(G1939/K1939,0)</x:f>
        <x:v>0.6</x:v>
      </x:c>
      <x:c r="AA1939" s="24" t="n">
        <x:f>IFERROR(F1939/H1939,0)-IFERROR(G1939/I1939,0)</x:f>
        <x:v>-0.13095238095238093</x:v>
      </x:c>
      <x:c r="AB1939" s="28" t="n">
        <x:f>J1939-K1939</x:f>
        <x:v>1</x:v>
      </x:c>
      <x:c r="AC1939" s="32" t="n">
        <x:f>F1939-G1939</x:f>
        <x:v>-2</x:v>
      </x:c>
    </x:row>
    <x:row r="1940">
      <x:c r="A1940" s="4" t="str">
        <x:v>2023-24</x:v>
      </x:c>
      <x:c r="B1940" s="20" t="n">
        <x:v>45321</x:v>
      </x:c>
      <x:c r="C1940" s="4" t="str">
        <x:v>Brighton</x:v>
      </x:c>
      <x:c r="D1940" s="4" t="str">
        <x:v>Luton</x:v>
      </x:c>
      <x:c r="E1940" s="4" t="str">
        <x:v>Away</x:v>
      </x:c>
      <x:c r="F1940" s="28" t="n">
        <x:v>0</x:v>
      </x:c>
      <x:c r="G1940" s="28" t="n">
        <x:v>4</x:v>
      </x:c>
      <x:c r="H1940" s="28" t="n">
        <x:v>9</x:v>
      </x:c>
      <x:c r="I1940" s="28" t="n">
        <x:v>18</x:v>
      </x:c>
      <x:c r="J1940" s="28" t="n">
        <x:v>2</x:v>
      </x:c>
      <x:c r="K1940" s="28" t="n">
        <x:v>8</x:v>
      </x:c>
      <x:c r="L1940" s="28" t="n">
        <x:v>4</x:v>
      </x:c>
      <x:c r="M1940" s="28" t="n">
        <x:v>7</x:v>
      </x:c>
      <x:c r="N1940" s="28" t="n">
        <x:v>2</x:v>
      </x:c>
      <x:c r="O1940" s="28" t="n">
        <x:v>0</x:v>
      </x:c>
      <x:c r="P1940" s="28" t="n">
        <x:v>0</x:v>
      </x:c>
      <x:c r="Q1940" s="24" t="n">
        <x:f>IFERROR(J1940/H1940,0)</x:f>
        <x:v>0.2222222222222222</x:v>
      </x:c>
      <x:c r="R1940" s="24" t="n">
        <x:f>IFERROR(F1940/H1940,0)</x:f>
        <x:v>0</x:v>
      </x:c>
      <x:c r="S1940" s="24" t="n">
        <x:f>IFERROR(F1940/J1940,0)</x:f>
        <x:v>0</x:v>
      </x:c>
      <x:c r="T1940" s="28" t="n">
        <x:f>H1940-I1940</x:f>
        <x:v>-9</x:v>
      </x:c>
      <x:c r="U1940" s="24" t="n">
        <x:f>IFERROR(J1940/H1940,0)-IFERROR(K1940/I1940,0)</x:f>
        <x:v>-0.2222222222222222</x:v>
      </x:c>
      <x:c r="V1940" s="24" t="n">
        <x:f>IFERROR(F1940/J1940,0)-IFERROR(G1940/K1940,0)</x:f>
        <x:v>-0.5</x:v>
      </x:c>
      <x:c r="W1940" s="28" t="n">
        <x:f>L1940-M1940</x:f>
        <x:v>-3</x:v>
      </x:c>
      <x:c r="X1940" s="24" t="n">
        <x:f>IFERROR(K1940/I1940,0)</x:f>
        <x:v>0.4444444444444444</x:v>
      </x:c>
      <x:c r="Y1940" s="24" t="n">
        <x:f>IFERROR(G1940/I1940,0)</x:f>
        <x:v>0.2222222222222222</x:v>
      </x:c>
      <x:c r="Z1940" s="24" t="n">
        <x:f>IFERROR(G1940/K1940,0)</x:f>
        <x:v>0.5</x:v>
      </x:c>
      <x:c r="AA1940" s="24" t="n">
        <x:f>IFERROR(F1940/H1940,0)-IFERROR(G1940/I1940,0)</x:f>
        <x:v>-0.2222222222222222</x:v>
      </x:c>
      <x:c r="AB1940" s="28" t="n">
        <x:f>J1940-K1940</x:f>
        <x:v>-6</x:v>
      </x:c>
      <x:c r="AC1940" s="32" t="n">
        <x:f>F1940-G1940</x:f>
        <x:v>-4</x:v>
      </x:c>
    </x:row>
    <x:row r="1941">
      <x:c r="A1941" s="4" t="str">
        <x:v>2023-24</x:v>
      </x:c>
      <x:c r="B1941" s="20" t="n">
        <x:v>45321</x:v>
      </x:c>
      <x:c r="C1941" s="4" t="str">
        <x:v>Crystal Palace</x:v>
      </x:c>
      <x:c r="D1941" s="4" t="str">
        <x:v>Sheffield United</x:v>
      </x:c>
      <x:c r="E1941" s="4" t="str">
        <x:v>Home</x:v>
      </x:c>
      <x:c r="F1941" s="28" t="n">
        <x:v>3</x:v>
      </x:c>
      <x:c r="G1941" s="28" t="n">
        <x:v>2</x:v>
      </x:c>
      <x:c r="H1941" s="28" t="n">
        <x:v>12</x:v>
      </x:c>
      <x:c r="I1941" s="28" t="n">
        <x:v>9</x:v>
      </x:c>
      <x:c r="J1941" s="28" t="n">
        <x:v>4</x:v>
      </x:c>
      <x:c r="K1941" s="28" t="n">
        <x:v>5</x:v>
      </x:c>
      <x:c r="L1941" s="28" t="n">
        <x:v>11</x:v>
      </x:c>
      <x:c r="M1941" s="28" t="n">
        <x:v>1</x:v>
      </x:c>
      <x:c r="N1941" s="28" t="n">
        <x:v>1</x:v>
      </x:c>
      <x:c r="O1941" s="28" t="n">
        <x:v>0</x:v>
      </x:c>
      <x:c r="P1941" s="28" t="n">
        <x:v>3</x:v>
      </x:c>
      <x:c r="Q1941" s="24" t="n">
        <x:f>IFERROR(J1941/H1941,0)</x:f>
        <x:v>0.3333333333333333</x:v>
      </x:c>
      <x:c r="R1941" s="24" t="n">
        <x:f>IFERROR(F1941/H1941,0)</x:f>
        <x:v>0.25</x:v>
      </x:c>
      <x:c r="S1941" s="24" t="n">
        <x:f>IFERROR(F1941/J1941,0)</x:f>
        <x:v>0.75</x:v>
      </x:c>
      <x:c r="T1941" s="28" t="n">
        <x:f>H1941-I1941</x:f>
        <x:v>3</x:v>
      </x:c>
      <x:c r="U1941" s="24" t="n">
        <x:f>IFERROR(J1941/H1941,0)-IFERROR(K1941/I1941,0)</x:f>
        <x:v>-0.22222222222222227</x:v>
      </x:c>
      <x:c r="V1941" s="24" t="n">
        <x:f>IFERROR(F1941/J1941,0)-IFERROR(G1941/K1941,0)</x:f>
        <x:v>0.35</x:v>
      </x:c>
      <x:c r="W1941" s="28" t="n">
        <x:f>L1941-M1941</x:f>
        <x:v>10</x:v>
      </x:c>
      <x:c r="X1941" s="24" t="n">
        <x:f>IFERROR(K1941/I1941,0)</x:f>
        <x:v>0.5555555555555556</x:v>
      </x:c>
      <x:c r="Y1941" s="24" t="n">
        <x:f>IFERROR(G1941/I1941,0)</x:f>
        <x:v>0.2222222222222222</x:v>
      </x:c>
      <x:c r="Z1941" s="24" t="n">
        <x:f>IFERROR(G1941/K1941,0)</x:f>
        <x:v>0.4</x:v>
      </x:c>
      <x:c r="AA1941" s="24" t="n">
        <x:f>IFERROR(F1941/H1941,0)-IFERROR(G1941/I1941,0)</x:f>
        <x:v>0.02777777777777779</x:v>
      </x:c>
      <x:c r="AB1941" s="28" t="n">
        <x:f>J1941-K1941</x:f>
        <x:v>-1</x:v>
      </x:c>
      <x:c r="AC1941" s="32" t="n">
        <x:f>F1941-G1941</x:f>
        <x:v>1</x:v>
      </x:c>
    </x:row>
    <x:row r="1942">
      <x:c r="A1942" s="4" t="str">
        <x:v>2023-24</x:v>
      </x:c>
      <x:c r="B1942" s="20" t="n">
        <x:v>45321</x:v>
      </x:c>
      <x:c r="C1942" s="4" t="str">
        <x:v>Everton</x:v>
      </x:c>
      <x:c r="D1942" s="4" t="str">
        <x:v>Fulham</x:v>
      </x:c>
      <x:c r="E1942" s="4" t="str">
        <x:v>Away</x:v>
      </x:c>
      <x:c r="F1942" s="28" t="n">
        <x:v>0</x:v>
      </x:c>
      <x:c r="G1942" s="28" t="n">
        <x:v>0</x:v>
      </x:c>
      <x:c r="H1942" s="28" t="n">
        <x:v>21</x:v>
      </x:c>
      <x:c r="I1942" s="28" t="n">
        <x:v>25</x:v>
      </x:c>
      <x:c r="J1942" s="28" t="n">
        <x:v>4</x:v>
      </x:c>
      <x:c r="K1942" s="28" t="n">
        <x:v>6</x:v>
      </x:c>
      <x:c r="L1942" s="28" t="n">
        <x:v>6</x:v>
      </x:c>
      <x:c r="M1942" s="28" t="n">
        <x:v>15</x:v>
      </x:c>
      <x:c r="N1942" s="28" t="n">
        <x:v>2</x:v>
      </x:c>
      <x:c r="O1942" s="28" t="n">
        <x:v>0</x:v>
      </x:c>
      <x:c r="P1942" s="28" t="n">
        <x:v>1</x:v>
      </x:c>
      <x:c r="Q1942" s="24" t="n">
        <x:f>IFERROR(J1942/H1942,0)</x:f>
        <x:v>0.19047619047619047</x:v>
      </x:c>
      <x:c r="R1942" s="24" t="n">
        <x:f>IFERROR(F1942/H1942,0)</x:f>
        <x:v>0</x:v>
      </x:c>
      <x:c r="S1942" s="24" t="n">
        <x:f>IFERROR(F1942/J1942,0)</x:f>
        <x:v>0</x:v>
      </x:c>
      <x:c r="T1942" s="28" t="n">
        <x:f>H1942-I1942</x:f>
        <x:v>-4</x:v>
      </x:c>
      <x:c r="U1942" s="24" t="n">
        <x:f>IFERROR(J1942/H1942,0)-IFERROR(K1942/I1942,0)</x:f>
        <x:v>-0.049523809523809526</x:v>
      </x:c>
      <x:c r="V1942" s="24" t="n">
        <x:f>IFERROR(F1942/J1942,0)-IFERROR(G1942/K1942,0)</x:f>
        <x:v>0</x:v>
      </x:c>
      <x:c r="W1942" s="28" t="n">
        <x:f>L1942-M1942</x:f>
        <x:v>-9</x:v>
      </x:c>
      <x:c r="X1942" s="24" t="n">
        <x:f>IFERROR(K1942/I1942,0)</x:f>
        <x:v>0.24</x:v>
      </x:c>
      <x:c r="Y1942" s="24" t="n">
        <x:f>IFERROR(G1942/I1942,0)</x:f>
        <x:v>0</x:v>
      </x:c>
      <x:c r="Z1942" s="24" t="n">
        <x:f>IFERROR(G1942/K1942,0)</x:f>
        <x:v>0</x:v>
      </x:c>
      <x:c r="AA1942" s="24" t="n">
        <x:f>IFERROR(F1942/H1942,0)-IFERROR(G1942/I1942,0)</x:f>
        <x:v>0</x:v>
      </x:c>
      <x:c r="AB1942" s="28" t="n">
        <x:f>J1942-K1942</x:f>
        <x:v>-2</x:v>
      </x:c>
      <x:c r="AC1942" s="32" t="n">
        <x:f>F1942-G1942</x:f>
        <x:v>0</x:v>
      </x:c>
    </x:row>
    <x:row r="1943">
      <x:c r="A1943" s="4" t="str">
        <x:v>2023-24</x:v>
      </x:c>
      <x:c r="B1943" s="20" t="n">
        <x:v>45321</x:v>
      </x:c>
      <x:c r="C1943" s="4" t="str">
        <x:v>Fulham</x:v>
      </x:c>
      <x:c r="D1943" s="4" t="str">
        <x:v>Everton</x:v>
      </x:c>
      <x:c r="E1943" s="4" t="str">
        <x:v>Home</x:v>
      </x:c>
      <x:c r="F1943" s="28" t="n">
        <x:v>0</x:v>
      </x:c>
      <x:c r="G1943" s="28" t="n">
        <x:v>0</x:v>
      </x:c>
      <x:c r="H1943" s="28" t="n">
        <x:v>25</x:v>
      </x:c>
      <x:c r="I1943" s="28" t="n">
        <x:v>21</x:v>
      </x:c>
      <x:c r="J1943" s="28" t="n">
        <x:v>6</x:v>
      </x:c>
      <x:c r="K1943" s="28" t="n">
        <x:v>4</x:v>
      </x:c>
      <x:c r="L1943" s="28" t="n">
        <x:v>15</x:v>
      </x:c>
      <x:c r="M1943" s="28" t="n">
        <x:v>6</x:v>
      </x:c>
      <x:c r="N1943" s="28" t="n">
        <x:v>1</x:v>
      </x:c>
      <x:c r="O1943" s="28" t="n">
        <x:v>0</x:v>
      </x:c>
      <x:c r="P1943" s="28" t="n">
        <x:v>1</x:v>
      </x:c>
      <x:c r="Q1943" s="24" t="n">
        <x:f>IFERROR(J1943/H1943,0)</x:f>
        <x:v>0.24</x:v>
      </x:c>
      <x:c r="R1943" s="24" t="n">
        <x:f>IFERROR(F1943/H1943,0)</x:f>
        <x:v>0</x:v>
      </x:c>
      <x:c r="S1943" s="24" t="n">
        <x:f>IFERROR(F1943/J1943,0)</x:f>
        <x:v>0</x:v>
      </x:c>
      <x:c r="T1943" s="28" t="n">
        <x:f>H1943-I1943</x:f>
        <x:v>4</x:v>
      </x:c>
      <x:c r="U1943" s="24" t="n">
        <x:f>IFERROR(J1943/H1943,0)-IFERROR(K1943/I1943,0)</x:f>
        <x:v>0.049523809523809526</x:v>
      </x:c>
      <x:c r="V1943" s="24" t="n">
        <x:f>IFERROR(F1943/J1943,0)-IFERROR(G1943/K1943,0)</x:f>
        <x:v>0</x:v>
      </x:c>
      <x:c r="W1943" s="28" t="n">
        <x:f>L1943-M1943</x:f>
        <x:v>9</x:v>
      </x:c>
      <x:c r="X1943" s="24" t="n">
        <x:f>IFERROR(K1943/I1943,0)</x:f>
        <x:v>0.19047619047619047</x:v>
      </x:c>
      <x:c r="Y1943" s="24" t="n">
        <x:f>IFERROR(G1943/I1943,0)</x:f>
        <x:v>0</x:v>
      </x:c>
      <x:c r="Z1943" s="24" t="n">
        <x:f>IFERROR(G1943/K1943,0)</x:f>
        <x:v>0</x:v>
      </x:c>
      <x:c r="AA1943" s="24" t="n">
        <x:f>IFERROR(F1943/H1943,0)-IFERROR(G1943/I1943,0)</x:f>
        <x:v>0</x:v>
      </x:c>
      <x:c r="AB1943" s="28" t="n">
        <x:f>J1943-K1943</x:f>
        <x:v>2</x:v>
      </x:c>
      <x:c r="AC1943" s="32" t="n">
        <x:f>F1943-G1943</x:f>
        <x:v>0</x:v>
      </x:c>
    </x:row>
    <x:row r="1944">
      <x:c r="A1944" s="4" t="str">
        <x:v>2023-24</x:v>
      </x:c>
      <x:c r="B1944" s="20" t="n">
        <x:v>45321</x:v>
      </x:c>
      <x:c r="C1944" s="4" t="str">
        <x:v>Luton</x:v>
      </x:c>
      <x:c r="D1944" s="4" t="str">
        <x:v>Brighton</x:v>
      </x:c>
      <x:c r="E1944" s="4" t="str">
        <x:v>Home</x:v>
      </x:c>
      <x:c r="F1944" s="28" t="n">
        <x:v>4</x:v>
      </x:c>
      <x:c r="G1944" s="28" t="n">
        <x:v>0</x:v>
      </x:c>
      <x:c r="H1944" s="28" t="n">
        <x:v>18</x:v>
      </x:c>
      <x:c r="I1944" s="28" t="n">
        <x:v>9</x:v>
      </x:c>
      <x:c r="J1944" s="28" t="n">
        <x:v>8</x:v>
      </x:c>
      <x:c r="K1944" s="28" t="n">
        <x:v>2</x:v>
      </x:c>
      <x:c r="L1944" s="28" t="n">
        <x:v>7</x:v>
      </x:c>
      <x:c r="M1944" s="28" t="n">
        <x:v>4</x:v>
      </x:c>
      <x:c r="N1944" s="28" t="n">
        <x:v>2</x:v>
      </x:c>
      <x:c r="O1944" s="28" t="n">
        <x:v>0</x:v>
      </x:c>
      <x:c r="P1944" s="28" t="n">
        <x:v>3</x:v>
      </x:c>
      <x:c r="Q1944" s="24" t="n">
        <x:f>IFERROR(J1944/H1944,0)</x:f>
        <x:v>0.4444444444444444</x:v>
      </x:c>
      <x:c r="R1944" s="24" t="n">
        <x:f>IFERROR(F1944/H1944,0)</x:f>
        <x:v>0.2222222222222222</x:v>
      </x:c>
      <x:c r="S1944" s="24" t="n">
        <x:f>IFERROR(F1944/J1944,0)</x:f>
        <x:v>0.5</x:v>
      </x:c>
      <x:c r="T1944" s="28" t="n">
        <x:f>H1944-I1944</x:f>
        <x:v>9</x:v>
      </x:c>
      <x:c r="U1944" s="24" t="n">
        <x:f>IFERROR(J1944/H1944,0)-IFERROR(K1944/I1944,0)</x:f>
        <x:v>0.2222222222222222</x:v>
      </x:c>
      <x:c r="V1944" s="24" t="n">
        <x:f>IFERROR(F1944/J1944,0)-IFERROR(G1944/K1944,0)</x:f>
        <x:v>0.5</x:v>
      </x:c>
      <x:c r="W1944" s="28" t="n">
        <x:f>L1944-M1944</x:f>
        <x:v>3</x:v>
      </x:c>
      <x:c r="X1944" s="24" t="n">
        <x:f>IFERROR(K1944/I1944,0)</x:f>
        <x:v>0.2222222222222222</x:v>
      </x:c>
      <x:c r="Y1944" s="24" t="n">
        <x:f>IFERROR(G1944/I1944,0)</x:f>
        <x:v>0</x:v>
      </x:c>
      <x:c r="Z1944" s="24" t="n">
        <x:f>IFERROR(G1944/K1944,0)</x:f>
        <x:v>0</x:v>
      </x:c>
      <x:c r="AA1944" s="24" t="n">
        <x:f>IFERROR(F1944/H1944,0)-IFERROR(G1944/I1944,0)</x:f>
        <x:v>0.2222222222222222</x:v>
      </x:c>
      <x:c r="AB1944" s="28" t="n">
        <x:f>J1944-K1944</x:f>
        <x:v>6</x:v>
      </x:c>
      <x:c r="AC1944" s="32" t="n">
        <x:f>F1944-G1944</x:f>
        <x:v>4</x:v>
      </x:c>
    </x:row>
    <x:row r="1945">
      <x:c r="A1945" s="4" t="str">
        <x:v>2023-24</x:v>
      </x:c>
      <x:c r="B1945" s="20" t="n">
        <x:v>45321</x:v>
      </x:c>
      <x:c r="C1945" s="4" t="str">
        <x:v>Newcastle</x:v>
      </x:c>
      <x:c r="D1945" s="4" t="str">
        <x:v>Aston Villa</x:v>
      </x:c>
      <x:c r="E1945" s="4" t="str">
        <x:v>Away</x:v>
      </x:c>
      <x:c r="F1945" s="28" t="n">
        <x:v>3</x:v>
      </x:c>
      <x:c r="G1945" s="28" t="n">
        <x:v>1</x:v>
      </x:c>
      <x:c r="H1945" s="28" t="n">
        <x:v>14</x:v>
      </x:c>
      <x:c r="I1945" s="28" t="n">
        <x:v>12</x:v>
      </x:c>
      <x:c r="J1945" s="28" t="n">
        <x:v>5</x:v>
      </x:c>
      <x:c r="K1945" s="28" t="n">
        <x:v>6</x:v>
      </x:c>
      <x:c r="L1945" s="28" t="n">
        <x:v>7</x:v>
      </x:c>
      <x:c r="M1945" s="28" t="n">
        <x:v>8</x:v>
      </x:c>
      <x:c r="N1945" s="28" t="n">
        <x:v>1</x:v>
      </x:c>
      <x:c r="O1945" s="28" t="n">
        <x:v>0</x:v>
      </x:c>
      <x:c r="P1945" s="28" t="n">
        <x:v>3</x:v>
      </x:c>
      <x:c r="Q1945" s="24" t="n">
        <x:f>IFERROR(J1945/H1945,0)</x:f>
        <x:v>0.35714285714285715</x:v>
      </x:c>
      <x:c r="R1945" s="24" t="n">
        <x:f>IFERROR(F1945/H1945,0)</x:f>
        <x:v>0.21428571428571427</x:v>
      </x:c>
      <x:c r="S1945" s="24" t="n">
        <x:f>IFERROR(F1945/J1945,0)</x:f>
        <x:v>0.6</x:v>
      </x:c>
      <x:c r="T1945" s="28" t="n">
        <x:f>H1945-I1945</x:f>
        <x:v>2</x:v>
      </x:c>
      <x:c r="U1945" s="24" t="n">
        <x:f>IFERROR(J1945/H1945,0)-IFERROR(K1945/I1945,0)</x:f>
        <x:v>-0.14285714285714285</x:v>
      </x:c>
      <x:c r="V1945" s="24" t="n">
        <x:f>IFERROR(F1945/J1945,0)-IFERROR(G1945/K1945,0)</x:f>
        <x:v>0.43333333333333335</x:v>
      </x:c>
      <x:c r="W1945" s="28" t="n">
        <x:f>L1945-M1945</x:f>
        <x:v>-1</x:v>
      </x:c>
      <x:c r="X1945" s="24" t="n">
        <x:f>IFERROR(K1945/I1945,0)</x:f>
        <x:v>0.5</x:v>
      </x:c>
      <x:c r="Y1945" s="24" t="n">
        <x:f>IFERROR(G1945/I1945,0)</x:f>
        <x:v>0.08333333333333333</x:v>
      </x:c>
      <x:c r="Z1945" s="24" t="n">
        <x:f>IFERROR(G1945/K1945,0)</x:f>
        <x:v>0.16666666666666666</x:v>
      </x:c>
      <x:c r="AA1945" s="24" t="n">
        <x:f>IFERROR(F1945/H1945,0)-IFERROR(G1945/I1945,0)</x:f>
        <x:v>0.13095238095238093</x:v>
      </x:c>
      <x:c r="AB1945" s="28" t="n">
        <x:f>J1945-K1945</x:f>
        <x:v>-1</x:v>
      </x:c>
      <x:c r="AC1945" s="32" t="n">
        <x:f>F1945-G1945</x:f>
        <x:v>2</x:v>
      </x:c>
    </x:row>
    <x:row r="1946">
      <x:c r="A1946" s="4" t="str">
        <x:v>2023-24</x:v>
      </x:c>
      <x:c r="B1946" s="20" t="n">
        <x:v>45321</x:v>
      </x:c>
      <x:c r="C1946" s="4" t="str">
        <x:v>Nott'm Forest</x:v>
      </x:c>
      <x:c r="D1946" s="4" t="str">
        <x:v>Arsenal</x:v>
      </x:c>
      <x:c r="E1946" s="4" t="str">
        <x:v>Home</x:v>
      </x:c>
      <x:c r="F1946" s="28" t="n">
        <x:v>1</x:v>
      </x:c>
      <x:c r="G1946" s="28" t="n">
        <x:v>2</x:v>
      </x:c>
      <x:c r="H1946" s="28" t="n">
        <x:v>9</x:v>
      </x:c>
      <x:c r="I1946" s="28" t="n">
        <x:v>19</x:v>
      </x:c>
      <x:c r="J1946" s="28" t="n">
        <x:v>3</x:v>
      </x:c>
      <x:c r="K1946" s="28" t="n">
        <x:v>3</x:v>
      </x:c>
      <x:c r="L1946" s="28" t="n">
        <x:v>2</x:v>
      </x:c>
      <x:c r="M1946" s="28" t="n">
        <x:v>11</x:v>
      </x:c>
      <x:c r="N1946" s="28" t="n">
        <x:v>0</x:v>
      </x:c>
      <x:c r="O1946" s="28" t="n">
        <x:v>0</x:v>
      </x:c>
      <x:c r="P1946" s="28" t="n">
        <x:v>0</x:v>
      </x:c>
      <x:c r="Q1946" s="24" t="n">
        <x:f>IFERROR(J1946/H1946,0)</x:f>
        <x:v>0.3333333333333333</x:v>
      </x:c>
      <x:c r="R1946" s="24" t="n">
        <x:f>IFERROR(F1946/H1946,0)</x:f>
        <x:v>0.1111111111111111</x:v>
      </x:c>
      <x:c r="S1946" s="24" t="n">
        <x:f>IFERROR(F1946/J1946,0)</x:f>
        <x:v>0.3333333333333333</x:v>
      </x:c>
      <x:c r="T1946" s="28" t="n">
        <x:f>H1946-I1946</x:f>
        <x:v>-10</x:v>
      </x:c>
      <x:c r="U1946" s="24" t="n">
        <x:f>IFERROR(J1946/H1946,0)-IFERROR(K1946/I1946,0)</x:f>
        <x:v>0.17543859649122806</x:v>
      </x:c>
      <x:c r="V1946" s="24" t="n">
        <x:f>IFERROR(F1946/J1946,0)-IFERROR(G1946/K1946,0)</x:f>
        <x:v>-0.3333333333333333</x:v>
      </x:c>
      <x:c r="W1946" s="28" t="n">
        <x:f>L1946-M1946</x:f>
        <x:v>-9</x:v>
      </x:c>
      <x:c r="X1946" s="24" t="n">
        <x:f>IFERROR(K1946/I1946,0)</x:f>
        <x:v>0.15789473684210525</x:v>
      </x:c>
      <x:c r="Y1946" s="24" t="n">
        <x:f>IFERROR(G1946/I1946,0)</x:f>
        <x:v>0.10526315789473684</x:v>
      </x:c>
      <x:c r="Z1946" s="24" t="n">
        <x:f>IFERROR(G1946/K1946,0)</x:f>
        <x:v>0.6666666666666666</x:v>
      </x:c>
      <x:c r="AA1946" s="24" t="n">
        <x:f>IFERROR(F1946/H1946,0)-IFERROR(G1946/I1946,0)</x:f>
        <x:v>0.005847953216374269</x:v>
      </x:c>
      <x:c r="AB1946" s="28" t="n">
        <x:f>J1946-K1946</x:f>
        <x:v>0</x:v>
      </x:c>
      <x:c r="AC1946" s="32" t="n">
        <x:f>F1946-G1946</x:f>
        <x:v>-1</x:v>
      </x:c>
    </x:row>
    <x:row r="1947">
      <x:c r="A1947" s="4" t="str">
        <x:v>2023-24</x:v>
      </x:c>
      <x:c r="B1947" s="20" t="n">
        <x:v>45321</x:v>
      </x:c>
      <x:c r="C1947" s="4" t="str">
        <x:v>Sheffield United</x:v>
      </x:c>
      <x:c r="D1947" s="4" t="str">
        <x:v>Crystal Palace</x:v>
      </x:c>
      <x:c r="E1947" s="4" t="str">
        <x:v>Away</x:v>
      </x:c>
      <x:c r="F1947" s="28" t="n">
        <x:v>2</x:v>
      </x:c>
      <x:c r="G1947" s="28" t="n">
        <x:v>3</x:v>
      </x:c>
      <x:c r="H1947" s="28" t="n">
        <x:v>9</x:v>
      </x:c>
      <x:c r="I1947" s="28" t="n">
        <x:v>12</x:v>
      </x:c>
      <x:c r="J1947" s="28" t="n">
        <x:v>5</x:v>
      </x:c>
      <x:c r="K1947" s="28" t="n">
        <x:v>4</x:v>
      </x:c>
      <x:c r="L1947" s="28" t="n">
        <x:v>1</x:v>
      </x:c>
      <x:c r="M1947" s="28" t="n">
        <x:v>11</x:v>
      </x:c>
      <x:c r="N1947" s="28" t="n">
        <x:v>4</x:v>
      </x:c>
      <x:c r="O1947" s="28" t="n">
        <x:v>0</x:v>
      </x:c>
      <x:c r="P1947" s="28" t="n">
        <x:v>0</x:v>
      </x:c>
      <x:c r="Q1947" s="24" t="n">
        <x:f>IFERROR(J1947/H1947,0)</x:f>
        <x:v>0.5555555555555556</x:v>
      </x:c>
      <x:c r="R1947" s="24" t="n">
        <x:f>IFERROR(F1947/H1947,0)</x:f>
        <x:v>0.2222222222222222</x:v>
      </x:c>
      <x:c r="S1947" s="24" t="n">
        <x:f>IFERROR(F1947/J1947,0)</x:f>
        <x:v>0.4</x:v>
      </x:c>
      <x:c r="T1947" s="28" t="n">
        <x:f>H1947-I1947</x:f>
        <x:v>-3</x:v>
      </x:c>
      <x:c r="U1947" s="24" t="n">
        <x:f>IFERROR(J1947/H1947,0)-IFERROR(K1947/I1947,0)</x:f>
        <x:v>0.22222222222222227</x:v>
      </x:c>
      <x:c r="V1947" s="24" t="n">
        <x:f>IFERROR(F1947/J1947,0)-IFERROR(G1947/K1947,0)</x:f>
        <x:v>-0.35</x:v>
      </x:c>
      <x:c r="W1947" s="28" t="n">
        <x:f>L1947-M1947</x:f>
        <x:v>-10</x:v>
      </x:c>
      <x:c r="X1947" s="24" t="n">
        <x:f>IFERROR(K1947/I1947,0)</x:f>
        <x:v>0.3333333333333333</x:v>
      </x:c>
      <x:c r="Y1947" s="24" t="n">
        <x:f>IFERROR(G1947/I1947,0)</x:f>
        <x:v>0.25</x:v>
      </x:c>
      <x:c r="Z1947" s="24" t="n">
        <x:f>IFERROR(G1947/K1947,0)</x:f>
        <x:v>0.75</x:v>
      </x:c>
      <x:c r="AA1947" s="24" t="n">
        <x:f>IFERROR(F1947/H1947,0)-IFERROR(G1947/I1947,0)</x:f>
        <x:v>-0.02777777777777779</x:v>
      </x:c>
      <x:c r="AB1947" s="28" t="n">
        <x:f>J1947-K1947</x:f>
        <x:v>1</x:v>
      </x:c>
      <x:c r="AC1947" s="32" t="n">
        <x:f>F1947-G1947</x:f>
        <x:v>-1</x:v>
      </x:c>
    </x:row>
    <x:row r="1948">
      <x:c r="A1948" s="4" t="str">
        <x:v>2023-24</x:v>
      </x:c>
      <x:c r="B1948" s="20" t="n">
        <x:v>45322</x:v>
      </x:c>
      <x:c r="C1948" s="4" t="str">
        <x:v>Brentford</x:v>
      </x:c>
      <x:c r="D1948" s="4" t="str">
        <x:v>Tottenham</x:v>
      </x:c>
      <x:c r="E1948" s="4" t="str">
        <x:v>Away</x:v>
      </x:c>
      <x:c r="F1948" s="28" t="n">
        <x:v>2</x:v>
      </x:c>
      <x:c r="G1948" s="28" t="n">
        <x:v>3</x:v>
      </x:c>
      <x:c r="H1948" s="28" t="n">
        <x:v>9</x:v>
      </x:c>
      <x:c r="I1948" s="28" t="n">
        <x:v>19</x:v>
      </x:c>
      <x:c r="J1948" s="28" t="n">
        <x:v>5</x:v>
      </x:c>
      <x:c r="K1948" s="28" t="n">
        <x:v>5</x:v>
      </x:c>
      <x:c r="L1948" s="28" t="n">
        <x:v>3</x:v>
      </x:c>
      <x:c r="M1948" s="28" t="n">
        <x:v>5</x:v>
      </x:c>
      <x:c r="N1948" s="28" t="n">
        <x:v>3</x:v>
      </x:c>
      <x:c r="O1948" s="28" t="n">
        <x:v>0</x:v>
      </x:c>
      <x:c r="P1948" s="28" t="n">
        <x:v>0</x:v>
      </x:c>
      <x:c r="Q1948" s="24" t="n">
        <x:f>IFERROR(J1948/H1948,0)</x:f>
        <x:v>0.5555555555555556</x:v>
      </x:c>
      <x:c r="R1948" s="24" t="n">
        <x:f>IFERROR(F1948/H1948,0)</x:f>
        <x:v>0.2222222222222222</x:v>
      </x:c>
      <x:c r="S1948" s="24" t="n">
        <x:f>IFERROR(F1948/J1948,0)</x:f>
        <x:v>0.4</x:v>
      </x:c>
      <x:c r="T1948" s="28" t="n">
        <x:f>H1948-I1948</x:f>
        <x:v>-10</x:v>
      </x:c>
      <x:c r="U1948" s="24" t="n">
        <x:f>IFERROR(J1948/H1948,0)-IFERROR(K1948/I1948,0)</x:f>
        <x:v>0.2923976608187135</x:v>
      </x:c>
      <x:c r="V1948" s="24" t="n">
        <x:f>IFERROR(F1948/J1948,0)-IFERROR(G1948/K1948,0)</x:f>
        <x:v>-0.19999999999999996</x:v>
      </x:c>
      <x:c r="W1948" s="28" t="n">
        <x:f>L1948-M1948</x:f>
        <x:v>-2</x:v>
      </x:c>
      <x:c r="X1948" s="24" t="n">
        <x:f>IFERROR(K1948/I1948,0)</x:f>
        <x:v>0.2631578947368421</x:v>
      </x:c>
      <x:c r="Y1948" s="24" t="n">
        <x:f>IFERROR(G1948/I1948,0)</x:f>
        <x:v>0.15789473684210525</x:v>
      </x:c>
      <x:c r="Z1948" s="24" t="n">
        <x:f>IFERROR(G1948/K1948,0)</x:f>
        <x:v>0.6</x:v>
      </x:c>
      <x:c r="AA1948" s="24" t="n">
        <x:f>IFERROR(F1948/H1948,0)-IFERROR(G1948/I1948,0)</x:f>
        <x:v>0.06432748538011696</x:v>
      </x:c>
      <x:c r="AB1948" s="28" t="n">
        <x:f>J1948-K1948</x:f>
        <x:v>0</x:v>
      </x:c>
      <x:c r="AC1948" s="32" t="n">
        <x:f>F1948-G1948</x:f>
        <x:v>-1</x:v>
      </x:c>
    </x:row>
    <x:row r="1949">
      <x:c r="A1949" s="4" t="str">
        <x:v>2023-24</x:v>
      </x:c>
      <x:c r="B1949" s="20" t="n">
        <x:v>45322</x:v>
      </x:c>
      <x:c r="C1949" s="4" t="str">
        <x:v>Burnley</x:v>
      </x:c>
      <x:c r="D1949" s="4" t="str">
        <x:v>Man City</x:v>
      </x:c>
      <x:c r="E1949" s="4" t="str">
        <x:v>Away</x:v>
      </x:c>
      <x:c r="F1949" s="28" t="n">
        <x:v>1</x:v>
      </x:c>
      <x:c r="G1949" s="28" t="n">
        <x:v>3</x:v>
      </x:c>
      <x:c r="H1949" s="28" t="n">
        <x:v>8</x:v>
      </x:c>
      <x:c r="I1949" s="28" t="n">
        <x:v>14</x:v>
      </x:c>
      <x:c r="J1949" s="28" t="n">
        <x:v>3</x:v>
      </x:c>
      <x:c r="K1949" s="28" t="n">
        <x:v>4</x:v>
      </x:c>
      <x:c r="L1949" s="28" t="n">
        <x:v>3</x:v>
      </x:c>
      <x:c r="M1949" s="28" t="n">
        <x:v>7</x:v>
      </x:c>
      <x:c r="N1949" s="28" t="n">
        <x:v>2</x:v>
      </x:c>
      <x:c r="O1949" s="28" t="n">
        <x:v>0</x:v>
      </x:c>
      <x:c r="P1949" s="28" t="n">
        <x:v>0</x:v>
      </x:c>
      <x:c r="Q1949" s="24" t="n">
        <x:f>IFERROR(J1949/H1949,0)</x:f>
        <x:v>0.375</x:v>
      </x:c>
      <x:c r="R1949" s="24" t="n">
        <x:f>IFERROR(F1949/H1949,0)</x:f>
        <x:v>0.125</x:v>
      </x:c>
      <x:c r="S1949" s="24" t="n">
        <x:f>IFERROR(F1949/J1949,0)</x:f>
        <x:v>0.3333333333333333</x:v>
      </x:c>
      <x:c r="T1949" s="28" t="n">
        <x:f>H1949-I1949</x:f>
        <x:v>-6</x:v>
      </x:c>
      <x:c r="U1949" s="24" t="n">
        <x:f>IFERROR(J1949/H1949,0)-IFERROR(K1949/I1949,0)</x:f>
        <x:v>0.0892857142857143</x:v>
      </x:c>
      <x:c r="V1949" s="24" t="n">
        <x:f>IFERROR(F1949/J1949,0)-IFERROR(G1949/K1949,0)</x:f>
        <x:v>-0.4166666666666667</x:v>
      </x:c>
      <x:c r="W1949" s="28" t="n">
        <x:f>L1949-M1949</x:f>
        <x:v>-4</x:v>
      </x:c>
      <x:c r="X1949" s="24" t="n">
        <x:f>IFERROR(K1949/I1949,0)</x:f>
        <x:v>0.2857142857142857</x:v>
      </x:c>
      <x:c r="Y1949" s="24" t="n">
        <x:f>IFERROR(G1949/I1949,0)</x:f>
        <x:v>0.21428571428571427</x:v>
      </x:c>
      <x:c r="Z1949" s="24" t="n">
        <x:f>IFERROR(G1949/K1949,0)</x:f>
        <x:v>0.75</x:v>
      </x:c>
      <x:c r="AA1949" s="24" t="n">
        <x:f>IFERROR(F1949/H1949,0)-IFERROR(G1949/I1949,0)</x:f>
        <x:v>-0.08928571428571427</x:v>
      </x:c>
      <x:c r="AB1949" s="28" t="n">
        <x:f>J1949-K1949</x:f>
        <x:v>-1</x:v>
      </x:c>
      <x:c r="AC1949" s="32" t="n">
        <x:f>F1949-G1949</x:f>
        <x:v>-2</x:v>
      </x:c>
    </x:row>
    <x:row r="1950">
      <x:c r="A1950" s="4" t="str">
        <x:v>2023-24</x:v>
      </x:c>
      <x:c r="B1950" s="20" t="n">
        <x:v>45322</x:v>
      </x:c>
      <x:c r="C1950" s="4" t="str">
        <x:v>Chelsea</x:v>
      </x:c>
      <x:c r="D1950" s="4" t="str">
        <x:v>Liverpool</x:v>
      </x:c>
      <x:c r="E1950" s="4" t="str">
        <x:v>Away</x:v>
      </x:c>
      <x:c r="F1950" s="28" t="n">
        <x:v>1</x:v>
      </x:c>
      <x:c r="G1950" s="28" t="n">
        <x:v>4</x:v>
      </x:c>
      <x:c r="H1950" s="28" t="n">
        <x:v>4</x:v>
      </x:c>
      <x:c r="I1950" s="28" t="n">
        <x:v>28</x:v>
      </x:c>
      <x:c r="J1950" s="28" t="n">
        <x:v>3</x:v>
      </x:c>
      <x:c r="K1950" s="28" t="n">
        <x:v>13</x:v>
      </x:c>
      <x:c r="L1950" s="28" t="n">
        <x:v>1</x:v>
      </x:c>
      <x:c r="M1950" s="28" t="n">
        <x:v>8</x:v>
      </x:c>
      <x:c r="N1950" s="28" t="n">
        <x:v>4</x:v>
      </x:c>
      <x:c r="O1950" s="28" t="n">
        <x:v>0</x:v>
      </x:c>
      <x:c r="P1950" s="28" t="n">
        <x:v>0</x:v>
      </x:c>
      <x:c r="Q1950" s="24" t="n">
        <x:f>IFERROR(J1950/H1950,0)</x:f>
        <x:v>0.75</x:v>
      </x:c>
      <x:c r="R1950" s="24" t="n">
        <x:f>IFERROR(F1950/H1950,0)</x:f>
        <x:v>0.25</x:v>
      </x:c>
      <x:c r="S1950" s="24" t="n">
        <x:f>IFERROR(F1950/J1950,0)</x:f>
        <x:v>0.3333333333333333</x:v>
      </x:c>
      <x:c r="T1950" s="28" t="n">
        <x:f>H1950-I1950</x:f>
        <x:v>-24</x:v>
      </x:c>
      <x:c r="U1950" s="24" t="n">
        <x:f>IFERROR(J1950/H1950,0)-IFERROR(K1950/I1950,0)</x:f>
        <x:v>0.2857142857142857</x:v>
      </x:c>
      <x:c r="V1950" s="24" t="n">
        <x:f>IFERROR(F1950/J1950,0)-IFERROR(G1950/K1950,0)</x:f>
        <x:v>0.025641025641025605</x:v>
      </x:c>
      <x:c r="W1950" s="28" t="n">
        <x:f>L1950-M1950</x:f>
        <x:v>-7</x:v>
      </x:c>
      <x:c r="X1950" s="24" t="n">
        <x:f>IFERROR(K1950/I1950,0)</x:f>
        <x:v>0.4642857142857143</x:v>
      </x:c>
      <x:c r="Y1950" s="24" t="n">
        <x:f>IFERROR(G1950/I1950,0)</x:f>
        <x:v>0.14285714285714285</x:v>
      </x:c>
      <x:c r="Z1950" s="24" t="n">
        <x:f>IFERROR(G1950/K1950,0)</x:f>
        <x:v>0.3076923076923077</x:v>
      </x:c>
      <x:c r="AA1950" s="24" t="n">
        <x:f>IFERROR(F1950/H1950,0)-IFERROR(G1950/I1950,0)</x:f>
        <x:v>0.10714285714285715</x:v>
      </x:c>
      <x:c r="AB1950" s="28" t="n">
        <x:f>J1950-K1950</x:f>
        <x:v>-10</x:v>
      </x:c>
      <x:c r="AC1950" s="32" t="n">
        <x:f>F1950-G1950</x:f>
        <x:v>-3</x:v>
      </x:c>
    </x:row>
    <x:row r="1951">
      <x:c r="A1951" s="4" t="str">
        <x:v>2023-24</x:v>
      </x:c>
      <x:c r="B1951" s="20" t="n">
        <x:v>45322</x:v>
      </x:c>
      <x:c r="C1951" s="4" t="str">
        <x:v>Liverpool</x:v>
      </x:c>
      <x:c r="D1951" s="4" t="str">
        <x:v>Chelsea</x:v>
      </x:c>
      <x:c r="E1951" s="4" t="str">
        <x:v>Home</x:v>
      </x:c>
      <x:c r="F1951" s="28" t="n">
        <x:v>4</x:v>
      </x:c>
      <x:c r="G1951" s="28" t="n">
        <x:v>1</x:v>
      </x:c>
      <x:c r="H1951" s="28" t="n">
        <x:v>28</x:v>
      </x:c>
      <x:c r="I1951" s="28" t="n">
        <x:v>4</x:v>
      </x:c>
      <x:c r="J1951" s="28" t="n">
        <x:v>13</x:v>
      </x:c>
      <x:c r="K1951" s="28" t="n">
        <x:v>3</x:v>
      </x:c>
      <x:c r="L1951" s="28" t="n">
        <x:v>8</x:v>
      </x:c>
      <x:c r="M1951" s="28" t="n">
        <x:v>1</x:v>
      </x:c>
      <x:c r="N1951" s="28" t="n">
        <x:v>2</x:v>
      </x:c>
      <x:c r="O1951" s="28" t="n">
        <x:v>0</x:v>
      </x:c>
      <x:c r="P1951" s="28" t="n">
        <x:v>3</x:v>
      </x:c>
      <x:c r="Q1951" s="24" t="n">
        <x:f>IFERROR(J1951/H1951,0)</x:f>
        <x:v>0.4642857142857143</x:v>
      </x:c>
      <x:c r="R1951" s="24" t="n">
        <x:f>IFERROR(F1951/H1951,0)</x:f>
        <x:v>0.14285714285714285</x:v>
      </x:c>
      <x:c r="S1951" s="24" t="n">
        <x:f>IFERROR(F1951/J1951,0)</x:f>
        <x:v>0.3076923076923077</x:v>
      </x:c>
      <x:c r="T1951" s="28" t="n">
        <x:f>H1951-I1951</x:f>
        <x:v>24</x:v>
      </x:c>
      <x:c r="U1951" s="24" t="n">
        <x:f>IFERROR(J1951/H1951,0)-IFERROR(K1951/I1951,0)</x:f>
        <x:v>-0.2857142857142857</x:v>
      </x:c>
      <x:c r="V1951" s="24" t="n">
        <x:f>IFERROR(F1951/J1951,0)-IFERROR(G1951/K1951,0)</x:f>
        <x:v>-0.025641025641025605</x:v>
      </x:c>
      <x:c r="W1951" s="28" t="n">
        <x:f>L1951-M1951</x:f>
        <x:v>7</x:v>
      </x:c>
      <x:c r="X1951" s="24" t="n">
        <x:f>IFERROR(K1951/I1951,0)</x:f>
        <x:v>0.75</x:v>
      </x:c>
      <x:c r="Y1951" s="24" t="n">
        <x:f>IFERROR(G1951/I1951,0)</x:f>
        <x:v>0.25</x:v>
      </x:c>
      <x:c r="Z1951" s="24" t="n">
        <x:f>IFERROR(G1951/K1951,0)</x:f>
        <x:v>0.3333333333333333</x:v>
      </x:c>
      <x:c r="AA1951" s="24" t="n">
        <x:f>IFERROR(F1951/H1951,0)-IFERROR(G1951/I1951,0)</x:f>
        <x:v>-0.10714285714285715</x:v>
      </x:c>
      <x:c r="AB1951" s="28" t="n">
        <x:f>J1951-K1951</x:f>
        <x:v>10</x:v>
      </x:c>
      <x:c r="AC1951" s="32" t="n">
        <x:f>F1951-G1951</x:f>
        <x:v>3</x:v>
      </x:c>
    </x:row>
    <x:row r="1952">
      <x:c r="A1952" s="4" t="str">
        <x:v>2023-24</x:v>
      </x:c>
      <x:c r="B1952" s="20" t="n">
        <x:v>45322</x:v>
      </x:c>
      <x:c r="C1952" s="4" t="str">
        <x:v>Man City</x:v>
      </x:c>
      <x:c r="D1952" s="4" t="str">
        <x:v>Burnley</x:v>
      </x:c>
      <x:c r="E1952" s="4" t="str">
        <x:v>Home</x:v>
      </x:c>
      <x:c r="F1952" s="28" t="n">
        <x:v>3</x:v>
      </x:c>
      <x:c r="G1952" s="28" t="n">
        <x:v>1</x:v>
      </x:c>
      <x:c r="H1952" s="28" t="n">
        <x:v>14</x:v>
      </x:c>
      <x:c r="I1952" s="28" t="n">
        <x:v>8</x:v>
      </x:c>
      <x:c r="J1952" s="28" t="n">
        <x:v>4</x:v>
      </x:c>
      <x:c r="K1952" s="28" t="n">
        <x:v>3</x:v>
      </x:c>
      <x:c r="L1952" s="28" t="n">
        <x:v>7</x:v>
      </x:c>
      <x:c r="M1952" s="28" t="n">
        <x:v>3</x:v>
      </x:c>
      <x:c r="N1952" s="28" t="n">
        <x:v>2</x:v>
      </x:c>
      <x:c r="O1952" s="28" t="n">
        <x:v>0</x:v>
      </x:c>
      <x:c r="P1952" s="28" t="n">
        <x:v>3</x:v>
      </x:c>
      <x:c r="Q1952" s="24" t="n">
        <x:f>IFERROR(J1952/H1952,0)</x:f>
        <x:v>0.2857142857142857</x:v>
      </x:c>
      <x:c r="R1952" s="24" t="n">
        <x:f>IFERROR(F1952/H1952,0)</x:f>
        <x:v>0.21428571428571427</x:v>
      </x:c>
      <x:c r="S1952" s="24" t="n">
        <x:f>IFERROR(F1952/J1952,0)</x:f>
        <x:v>0.75</x:v>
      </x:c>
      <x:c r="T1952" s="28" t="n">
        <x:f>H1952-I1952</x:f>
        <x:v>6</x:v>
      </x:c>
      <x:c r="U1952" s="24" t="n">
        <x:f>IFERROR(J1952/H1952,0)-IFERROR(K1952/I1952,0)</x:f>
        <x:v>-0.0892857142857143</x:v>
      </x:c>
      <x:c r="V1952" s="24" t="n">
        <x:f>IFERROR(F1952/J1952,0)-IFERROR(G1952/K1952,0)</x:f>
        <x:v>0.4166666666666667</x:v>
      </x:c>
      <x:c r="W1952" s="28" t="n">
        <x:f>L1952-M1952</x:f>
        <x:v>4</x:v>
      </x:c>
      <x:c r="X1952" s="24" t="n">
        <x:f>IFERROR(K1952/I1952,0)</x:f>
        <x:v>0.375</x:v>
      </x:c>
      <x:c r="Y1952" s="24" t="n">
        <x:f>IFERROR(G1952/I1952,0)</x:f>
        <x:v>0.125</x:v>
      </x:c>
      <x:c r="Z1952" s="24" t="n">
        <x:f>IFERROR(G1952/K1952,0)</x:f>
        <x:v>0.3333333333333333</x:v>
      </x:c>
      <x:c r="AA1952" s="24" t="n">
        <x:f>IFERROR(F1952/H1952,0)-IFERROR(G1952/I1952,0)</x:f>
        <x:v>0.08928571428571427</x:v>
      </x:c>
      <x:c r="AB1952" s="28" t="n">
        <x:f>J1952-K1952</x:f>
        <x:v>1</x:v>
      </x:c>
      <x:c r="AC1952" s="32" t="n">
        <x:f>F1952-G1952</x:f>
        <x:v>2</x:v>
      </x:c>
    </x:row>
    <x:row r="1953">
      <x:c r="A1953" s="4" t="str">
        <x:v>2023-24</x:v>
      </x:c>
      <x:c r="B1953" s="20" t="n">
        <x:v>45322</x:v>
      </x:c>
      <x:c r="C1953" s="4" t="str">
        <x:v>Tottenham</x:v>
      </x:c>
      <x:c r="D1953" s="4" t="str">
        <x:v>Brentford</x:v>
      </x:c>
      <x:c r="E1953" s="4" t="str">
        <x:v>Home</x:v>
      </x:c>
      <x:c r="F1953" s="28" t="n">
        <x:v>3</x:v>
      </x:c>
      <x:c r="G1953" s="28" t="n">
        <x:v>2</x:v>
      </x:c>
      <x:c r="H1953" s="28" t="n">
        <x:v>19</x:v>
      </x:c>
      <x:c r="I1953" s="28" t="n">
        <x:v>9</x:v>
      </x:c>
      <x:c r="J1953" s="28" t="n">
        <x:v>5</x:v>
      </x:c>
      <x:c r="K1953" s="28" t="n">
        <x:v>5</x:v>
      </x:c>
      <x:c r="L1953" s="28" t="n">
        <x:v>5</x:v>
      </x:c>
      <x:c r="M1953" s="28" t="n">
        <x:v>3</x:v>
      </x:c>
      <x:c r="N1953" s="28" t="n">
        <x:v>2</x:v>
      </x:c>
      <x:c r="O1953" s="28" t="n">
        <x:v>0</x:v>
      </x:c>
      <x:c r="P1953" s="28" t="n">
        <x:v>3</x:v>
      </x:c>
      <x:c r="Q1953" s="24" t="n">
        <x:f>IFERROR(J1953/H1953,0)</x:f>
        <x:v>0.2631578947368421</x:v>
      </x:c>
      <x:c r="R1953" s="24" t="n">
        <x:f>IFERROR(F1953/H1953,0)</x:f>
        <x:v>0.15789473684210525</x:v>
      </x:c>
      <x:c r="S1953" s="24" t="n">
        <x:f>IFERROR(F1953/J1953,0)</x:f>
        <x:v>0.6</x:v>
      </x:c>
      <x:c r="T1953" s="28" t="n">
        <x:f>H1953-I1953</x:f>
        <x:v>10</x:v>
      </x:c>
      <x:c r="U1953" s="24" t="n">
        <x:f>IFERROR(J1953/H1953,0)-IFERROR(K1953/I1953,0)</x:f>
        <x:v>-0.2923976608187135</x:v>
      </x:c>
      <x:c r="V1953" s="24" t="n">
        <x:f>IFERROR(F1953/J1953,0)-IFERROR(G1953/K1953,0)</x:f>
        <x:v>0.19999999999999996</x:v>
      </x:c>
      <x:c r="W1953" s="28" t="n">
        <x:f>L1953-M1953</x:f>
        <x:v>2</x:v>
      </x:c>
      <x:c r="X1953" s="24" t="n">
        <x:f>IFERROR(K1953/I1953,0)</x:f>
        <x:v>0.5555555555555556</x:v>
      </x:c>
      <x:c r="Y1953" s="24" t="n">
        <x:f>IFERROR(G1953/I1953,0)</x:f>
        <x:v>0.2222222222222222</x:v>
      </x:c>
      <x:c r="Z1953" s="24" t="n">
        <x:f>IFERROR(G1953/K1953,0)</x:f>
        <x:v>0.4</x:v>
      </x:c>
      <x:c r="AA1953" s="24" t="n">
        <x:f>IFERROR(F1953/H1953,0)-IFERROR(G1953/I1953,0)</x:f>
        <x:v>-0.06432748538011696</x:v>
      </x:c>
      <x:c r="AB1953" s="28" t="n">
        <x:f>J1953-K1953</x:f>
        <x:v>0</x:v>
      </x:c>
      <x:c r="AC1953" s="32" t="n">
        <x:f>F1953-G1953</x:f>
        <x:v>1</x:v>
      </x:c>
    </x:row>
    <x:row r="1954">
      <x:c r="A1954" s="4" t="str">
        <x:v>2023-24</x:v>
      </x:c>
      <x:c r="B1954" s="20" t="n">
        <x:v>45323</x:v>
      </x:c>
      <x:c r="C1954" s="4" t="str">
        <x:v>Bournemouth</x:v>
      </x:c>
      <x:c r="D1954" s="4" t="str">
        <x:v>West Ham</x:v>
      </x:c>
      <x:c r="E1954" s="4" t="str">
        <x:v>Away</x:v>
      </x:c>
      <x:c r="F1954" s="28" t="n">
        <x:v>1</x:v>
      </x:c>
      <x:c r="G1954" s="28" t="n">
        <x:v>1</x:v>
      </x:c>
      <x:c r="H1954" s="28" t="n">
        <x:v>9</x:v>
      </x:c>
      <x:c r="I1954" s="28" t="n">
        <x:v>9</x:v>
      </x:c>
      <x:c r="J1954" s="28" t="n">
        <x:v>4</x:v>
      </x:c>
      <x:c r="K1954" s="28" t="n">
        <x:v>3</x:v>
      </x:c>
      <x:c r="L1954" s="28" t="n">
        <x:v>5</x:v>
      </x:c>
      <x:c r="M1954" s="28" t="n">
        <x:v>1</x:v>
      </x:c>
      <x:c r="N1954" s="28" t="n">
        <x:v>3</x:v>
      </x:c>
      <x:c r="O1954" s="28" t="n">
        <x:v>0</x:v>
      </x:c>
      <x:c r="P1954" s="28" t="n">
        <x:v>1</x:v>
      </x:c>
      <x:c r="Q1954" s="24" t="n">
        <x:f>IFERROR(J1954/H1954,0)</x:f>
        <x:v>0.4444444444444444</x:v>
      </x:c>
      <x:c r="R1954" s="24" t="n">
        <x:f>IFERROR(F1954/H1954,0)</x:f>
        <x:v>0.1111111111111111</x:v>
      </x:c>
      <x:c r="S1954" s="24" t="n">
        <x:f>IFERROR(F1954/J1954,0)</x:f>
        <x:v>0.25</x:v>
      </x:c>
      <x:c r="T1954" s="28" t="n">
        <x:f>H1954-I1954</x:f>
        <x:v>0</x:v>
      </x:c>
      <x:c r="U1954" s="24" t="n">
        <x:f>IFERROR(J1954/H1954,0)-IFERROR(K1954/I1954,0)</x:f>
        <x:v>0.1111111111111111</x:v>
      </x:c>
      <x:c r="V1954" s="24" t="n">
        <x:f>IFERROR(F1954/J1954,0)-IFERROR(G1954/K1954,0)</x:f>
        <x:v>-0.08333333333333331</x:v>
      </x:c>
      <x:c r="W1954" s="28" t="n">
        <x:f>L1954-M1954</x:f>
        <x:v>4</x:v>
      </x:c>
      <x:c r="X1954" s="24" t="n">
        <x:f>IFERROR(K1954/I1954,0)</x:f>
        <x:v>0.3333333333333333</x:v>
      </x:c>
      <x:c r="Y1954" s="24" t="n">
        <x:f>IFERROR(G1954/I1954,0)</x:f>
        <x:v>0.1111111111111111</x:v>
      </x:c>
      <x:c r="Z1954" s="24" t="n">
        <x:f>IFERROR(G1954/K1954,0)</x:f>
        <x:v>0.3333333333333333</x:v>
      </x:c>
      <x:c r="AA1954" s="24" t="n">
        <x:f>IFERROR(F1954/H1954,0)-IFERROR(G1954/I1954,0)</x:f>
        <x:v>0</x:v>
      </x:c>
      <x:c r="AB1954" s="28" t="n">
        <x:f>J1954-K1954</x:f>
        <x:v>1</x:v>
      </x:c>
      <x:c r="AC1954" s="32" t="n">
        <x:f>F1954-G1954</x:f>
        <x:v>0</x:v>
      </x:c>
    </x:row>
    <x:row r="1955">
      <x:c r="A1955" s="4" t="str">
        <x:v>2023-24</x:v>
      </x:c>
      <x:c r="B1955" s="20" t="n">
        <x:v>45323</x:v>
      </x:c>
      <x:c r="C1955" s="4" t="str">
        <x:v>Man United</x:v>
      </x:c>
      <x:c r="D1955" s="4" t="str">
        <x:v>Wolves</x:v>
      </x:c>
      <x:c r="E1955" s="4" t="str">
        <x:v>Away</x:v>
      </x:c>
      <x:c r="F1955" s="28" t="n">
        <x:v>4</x:v>
      </x:c>
      <x:c r="G1955" s="28" t="n">
        <x:v>3</x:v>
      </x:c>
      <x:c r="H1955" s="28" t="n">
        <x:v>21</x:v>
      </x:c>
      <x:c r="I1955" s="28" t="n">
        <x:v>16</x:v>
      </x:c>
      <x:c r="J1955" s="28" t="n">
        <x:v>8</x:v>
      </x:c>
      <x:c r="K1955" s="28" t="n">
        <x:v>7</x:v>
      </x:c>
      <x:c r="L1955" s="28" t="n">
        <x:v>5</x:v>
      </x:c>
      <x:c r="M1955" s="28" t="n">
        <x:v>4</x:v>
      </x:c>
      <x:c r="N1955" s="28" t="n">
        <x:v>5</x:v>
      </x:c>
      <x:c r="O1955" s="28" t="n">
        <x:v>0</x:v>
      </x:c>
      <x:c r="P1955" s="28" t="n">
        <x:v>3</x:v>
      </x:c>
      <x:c r="Q1955" s="24" t="n">
        <x:f>IFERROR(J1955/H1955,0)</x:f>
        <x:v>0.38095238095238093</x:v>
      </x:c>
      <x:c r="R1955" s="24" t="n">
        <x:f>IFERROR(F1955/H1955,0)</x:f>
        <x:v>0.19047619047619047</x:v>
      </x:c>
      <x:c r="S1955" s="24" t="n">
        <x:f>IFERROR(F1955/J1955,0)</x:f>
        <x:v>0.5</x:v>
      </x:c>
      <x:c r="T1955" s="28" t="n">
        <x:f>H1955-I1955</x:f>
        <x:v>5</x:v>
      </x:c>
      <x:c r="U1955" s="24" t="n">
        <x:f>IFERROR(J1955/H1955,0)-IFERROR(K1955/I1955,0)</x:f>
        <x:v>-0.05654761904761907</x:v>
      </x:c>
      <x:c r="V1955" s="24" t="n">
        <x:f>IFERROR(F1955/J1955,0)-IFERROR(G1955/K1955,0)</x:f>
        <x:v>0.07142857142857145</x:v>
      </x:c>
      <x:c r="W1955" s="28" t="n">
        <x:f>L1955-M1955</x:f>
        <x:v>1</x:v>
      </x:c>
      <x:c r="X1955" s="24" t="n">
        <x:f>IFERROR(K1955/I1955,0)</x:f>
        <x:v>0.4375</x:v>
      </x:c>
      <x:c r="Y1955" s="24" t="n">
        <x:f>IFERROR(G1955/I1955,0)</x:f>
        <x:v>0.1875</x:v>
      </x:c>
      <x:c r="Z1955" s="24" t="n">
        <x:f>IFERROR(G1955/K1955,0)</x:f>
        <x:v>0.42857142857142855</x:v>
      </x:c>
      <x:c r="AA1955" s="24" t="n">
        <x:f>IFERROR(F1955/H1955,0)-IFERROR(G1955/I1955,0)</x:f>
        <x:v>0.0029761904761904656</x:v>
      </x:c>
      <x:c r="AB1955" s="28" t="n">
        <x:f>J1955-K1955</x:f>
        <x:v>1</x:v>
      </x:c>
      <x:c r="AC1955" s="32" t="n">
        <x:f>F1955-G1955</x:f>
        <x:v>1</x:v>
      </x:c>
    </x:row>
    <x:row r="1956">
      <x:c r="A1956" s="4" t="str">
        <x:v>2023-24</x:v>
      </x:c>
      <x:c r="B1956" s="20" t="n">
        <x:v>45323</x:v>
      </x:c>
      <x:c r="C1956" s="4" t="str">
        <x:v>West Ham</x:v>
      </x:c>
      <x:c r="D1956" s="4" t="str">
        <x:v>Bournemouth</x:v>
      </x:c>
      <x:c r="E1956" s="4" t="str">
        <x:v>Home</x:v>
      </x:c>
      <x:c r="F1956" s="28" t="n">
        <x:v>1</x:v>
      </x:c>
      <x:c r="G1956" s="28" t="n">
        <x:v>1</x:v>
      </x:c>
      <x:c r="H1956" s="28" t="n">
        <x:v>9</x:v>
      </x:c>
      <x:c r="I1956" s="28" t="n">
        <x:v>9</x:v>
      </x:c>
      <x:c r="J1956" s="28" t="n">
        <x:v>3</x:v>
      </x:c>
      <x:c r="K1956" s="28" t="n">
        <x:v>4</x:v>
      </x:c>
      <x:c r="L1956" s="28" t="n">
        <x:v>1</x:v>
      </x:c>
      <x:c r="M1956" s="28" t="n">
        <x:v>5</x:v>
      </x:c>
      <x:c r="N1956" s="28" t="n">
        <x:v>1</x:v>
      </x:c>
      <x:c r="O1956" s="28" t="n">
        <x:v>0</x:v>
      </x:c>
      <x:c r="P1956" s="28" t="n">
        <x:v>1</x:v>
      </x:c>
      <x:c r="Q1956" s="24" t="n">
        <x:f>IFERROR(J1956/H1956,0)</x:f>
        <x:v>0.3333333333333333</x:v>
      </x:c>
      <x:c r="R1956" s="24" t="n">
        <x:f>IFERROR(F1956/H1956,0)</x:f>
        <x:v>0.1111111111111111</x:v>
      </x:c>
      <x:c r="S1956" s="24" t="n">
        <x:f>IFERROR(F1956/J1956,0)</x:f>
        <x:v>0.3333333333333333</x:v>
      </x:c>
      <x:c r="T1956" s="28" t="n">
        <x:f>H1956-I1956</x:f>
        <x:v>0</x:v>
      </x:c>
      <x:c r="U1956" s="24" t="n">
        <x:f>IFERROR(J1956/H1956,0)-IFERROR(K1956/I1956,0)</x:f>
        <x:v>-0.1111111111111111</x:v>
      </x:c>
      <x:c r="V1956" s="24" t="n">
        <x:f>IFERROR(F1956/J1956,0)-IFERROR(G1956/K1956,0)</x:f>
        <x:v>0.08333333333333331</x:v>
      </x:c>
      <x:c r="W1956" s="28" t="n">
        <x:f>L1956-M1956</x:f>
        <x:v>-4</x:v>
      </x:c>
      <x:c r="X1956" s="24" t="n">
        <x:f>IFERROR(K1956/I1956,0)</x:f>
        <x:v>0.4444444444444444</x:v>
      </x:c>
      <x:c r="Y1956" s="24" t="n">
        <x:f>IFERROR(G1956/I1956,0)</x:f>
        <x:v>0.1111111111111111</x:v>
      </x:c>
      <x:c r="Z1956" s="24" t="n">
        <x:f>IFERROR(G1956/K1956,0)</x:f>
        <x:v>0.25</x:v>
      </x:c>
      <x:c r="AA1956" s="24" t="n">
        <x:f>IFERROR(F1956/H1956,0)-IFERROR(G1956/I1956,0)</x:f>
        <x:v>0</x:v>
      </x:c>
      <x:c r="AB1956" s="28" t="n">
        <x:f>J1956-K1956</x:f>
        <x:v>-1</x:v>
      </x:c>
      <x:c r="AC1956" s="32" t="n">
        <x:f>F1956-G1956</x:f>
        <x:v>0</x:v>
      </x:c>
    </x:row>
    <x:row r="1957">
      <x:c r="A1957" s="4" t="str">
        <x:v>2023-24</x:v>
      </x:c>
      <x:c r="B1957" s="20" t="n">
        <x:v>45323</x:v>
      </x:c>
      <x:c r="C1957" s="4" t="str">
        <x:v>Wolves</x:v>
      </x:c>
      <x:c r="D1957" s="4" t="str">
        <x:v>Man United</x:v>
      </x:c>
      <x:c r="E1957" s="4" t="str">
        <x:v>Home</x:v>
      </x:c>
      <x:c r="F1957" s="28" t="n">
        <x:v>3</x:v>
      </x:c>
      <x:c r="G1957" s="28" t="n">
        <x:v>4</x:v>
      </x:c>
      <x:c r="H1957" s="28" t="n">
        <x:v>16</x:v>
      </x:c>
      <x:c r="I1957" s="28" t="n">
        <x:v>21</x:v>
      </x:c>
      <x:c r="J1957" s="28" t="n">
        <x:v>7</x:v>
      </x:c>
      <x:c r="K1957" s="28" t="n">
        <x:v>8</x:v>
      </x:c>
      <x:c r="L1957" s="28" t="n">
        <x:v>4</x:v>
      </x:c>
      <x:c r="M1957" s="28" t="n">
        <x:v>5</x:v>
      </x:c>
      <x:c r="N1957" s="28" t="n">
        <x:v>2</x:v>
      </x:c>
      <x:c r="O1957" s="28" t="n">
        <x:v>0</x:v>
      </x:c>
      <x:c r="P1957" s="28" t="n">
        <x:v>0</x:v>
      </x:c>
      <x:c r="Q1957" s="24" t="n">
        <x:f>IFERROR(J1957/H1957,0)</x:f>
        <x:v>0.4375</x:v>
      </x:c>
      <x:c r="R1957" s="24" t="n">
        <x:f>IFERROR(F1957/H1957,0)</x:f>
        <x:v>0.1875</x:v>
      </x:c>
      <x:c r="S1957" s="24" t="n">
        <x:f>IFERROR(F1957/J1957,0)</x:f>
        <x:v>0.42857142857142855</x:v>
      </x:c>
      <x:c r="T1957" s="28" t="n">
        <x:f>H1957-I1957</x:f>
        <x:v>-5</x:v>
      </x:c>
      <x:c r="U1957" s="24" t="n">
        <x:f>IFERROR(J1957/H1957,0)-IFERROR(K1957/I1957,0)</x:f>
        <x:v>0.05654761904761907</x:v>
      </x:c>
      <x:c r="V1957" s="24" t="n">
        <x:f>IFERROR(F1957/J1957,0)-IFERROR(G1957/K1957,0)</x:f>
        <x:v>-0.07142857142857145</x:v>
      </x:c>
      <x:c r="W1957" s="28" t="n">
        <x:f>L1957-M1957</x:f>
        <x:v>-1</x:v>
      </x:c>
      <x:c r="X1957" s="24" t="n">
        <x:f>IFERROR(K1957/I1957,0)</x:f>
        <x:v>0.38095238095238093</x:v>
      </x:c>
      <x:c r="Y1957" s="24" t="n">
        <x:f>IFERROR(G1957/I1957,0)</x:f>
        <x:v>0.19047619047619047</x:v>
      </x:c>
      <x:c r="Z1957" s="24" t="n">
        <x:f>IFERROR(G1957/K1957,0)</x:f>
        <x:v>0.5</x:v>
      </x:c>
      <x:c r="AA1957" s="24" t="n">
        <x:f>IFERROR(F1957/H1957,0)-IFERROR(G1957/I1957,0)</x:f>
        <x:v>-0.0029761904761904656</x:v>
      </x:c>
      <x:c r="AB1957" s="28" t="n">
        <x:f>J1957-K1957</x:f>
        <x:v>-1</x:v>
      </x:c>
      <x:c r="AC1957" s="32" t="n">
        <x:f>F1957-G1957</x:f>
        <x:v>-1</x:v>
      </x:c>
    </x:row>
    <x:row r="1958">
      <x:c r="A1958" s="4" t="str">
        <x:v>2023-24</x:v>
      </x:c>
      <x:c r="B1958" s="20" t="n">
        <x:v>45325</x:v>
      </x:c>
      <x:c r="C1958" s="4" t="str">
        <x:v>Aston Villa</x:v>
      </x:c>
      <x:c r="D1958" s="4" t="str">
        <x:v>Sheffield United</x:v>
      </x:c>
      <x:c r="E1958" s="4" t="str">
        <x:v>Away</x:v>
      </x:c>
      <x:c r="F1958" s="28" t="n">
        <x:v>5</x:v>
      </x:c>
      <x:c r="G1958" s="28" t="n">
        <x:v>0</x:v>
      </x:c>
      <x:c r="H1958" s="28" t="n">
        <x:v>14</x:v>
      </x:c>
      <x:c r="I1958" s="28" t="n">
        <x:v>10</x:v>
      </x:c>
      <x:c r="J1958" s="28" t="n">
        <x:v>10</x:v>
      </x:c>
      <x:c r="K1958" s="28" t="n">
        <x:v>5</x:v>
      </x:c>
      <x:c r="L1958" s="28" t="n">
        <x:v>4</x:v>
      </x:c>
      <x:c r="M1958" s="28" t="n">
        <x:v>3</x:v>
      </x:c>
      <x:c r="N1958" s="28" t="n">
        <x:v>0</x:v>
      </x:c>
      <x:c r="O1958" s="28" t="n">
        <x:v>0</x:v>
      </x:c>
      <x:c r="P1958" s="28" t="n">
        <x:v>3</x:v>
      </x:c>
      <x:c r="Q1958" s="24" t="n">
        <x:f>IFERROR(J1958/H1958,0)</x:f>
        <x:v>0.7142857142857143</x:v>
      </x:c>
      <x:c r="R1958" s="24" t="n">
        <x:f>IFERROR(F1958/H1958,0)</x:f>
        <x:v>0.35714285714285715</x:v>
      </x:c>
      <x:c r="S1958" s="24" t="n">
        <x:f>IFERROR(F1958/J1958,0)</x:f>
        <x:v>0.5</x:v>
      </x:c>
      <x:c r="T1958" s="28" t="n">
        <x:f>H1958-I1958</x:f>
        <x:v>4</x:v>
      </x:c>
      <x:c r="U1958" s="24" t="n">
        <x:f>IFERROR(J1958/H1958,0)-IFERROR(K1958/I1958,0)</x:f>
        <x:v>0.2142857142857143</x:v>
      </x:c>
      <x:c r="V1958" s="24" t="n">
        <x:f>IFERROR(F1958/J1958,0)-IFERROR(G1958/K1958,0)</x:f>
        <x:v>0.5</x:v>
      </x:c>
      <x:c r="W1958" s="28" t="n">
        <x:f>L1958-M1958</x:f>
        <x:v>1</x:v>
      </x:c>
      <x:c r="X1958" s="24" t="n">
        <x:f>IFERROR(K1958/I1958,0)</x:f>
        <x:v>0.5</x:v>
      </x:c>
      <x:c r="Y1958" s="24" t="n">
        <x:f>IFERROR(G1958/I1958,0)</x:f>
        <x:v>0</x:v>
      </x:c>
      <x:c r="Z1958" s="24" t="n">
        <x:f>IFERROR(G1958/K1958,0)</x:f>
        <x:v>0</x:v>
      </x:c>
      <x:c r="AA1958" s="24" t="n">
        <x:f>IFERROR(F1958/H1958,0)-IFERROR(G1958/I1958,0)</x:f>
        <x:v>0.35714285714285715</x:v>
      </x:c>
      <x:c r="AB1958" s="28" t="n">
        <x:f>J1958-K1958</x:f>
        <x:v>5</x:v>
      </x:c>
      <x:c r="AC1958" s="32" t="n">
        <x:f>F1958-G1958</x:f>
        <x:v>5</x:v>
      </x:c>
    </x:row>
    <x:row r="1959">
      <x:c r="A1959" s="4" t="str">
        <x:v>2023-24</x:v>
      </x:c>
      <x:c r="B1959" s="20" t="n">
        <x:v>45325</x:v>
      </x:c>
      <x:c r="C1959" s="4" t="str">
        <x:v>Brighton</x:v>
      </x:c>
      <x:c r="D1959" s="4" t="str">
        <x:v>Crystal Palace</x:v>
      </x:c>
      <x:c r="E1959" s="4" t="str">
        <x:v>Home</x:v>
      </x:c>
      <x:c r="F1959" s="28" t="n">
        <x:v>4</x:v>
      </x:c>
      <x:c r="G1959" s="28" t="n">
        <x:v>1</x:v>
      </x:c>
      <x:c r="H1959" s="28" t="n">
        <x:v>13</x:v>
      </x:c>
      <x:c r="I1959" s="28" t="n">
        <x:v>7</x:v>
      </x:c>
      <x:c r="J1959" s="28" t="n">
        <x:v>6</x:v>
      </x:c>
      <x:c r="K1959" s="28" t="n">
        <x:v>5</x:v>
      </x:c>
      <x:c r="L1959" s="28" t="n">
        <x:v>3</x:v>
      </x:c>
      <x:c r="M1959" s="28" t="n">
        <x:v>2</x:v>
      </x:c>
      <x:c r="N1959" s="28" t="n">
        <x:v>1</x:v>
      </x:c>
      <x:c r="O1959" s="28" t="n">
        <x:v>0</x:v>
      </x:c>
      <x:c r="P1959" s="28" t="n">
        <x:v>3</x:v>
      </x:c>
      <x:c r="Q1959" s="24" t="n">
        <x:f>IFERROR(J1959/H1959,0)</x:f>
        <x:v>0.46153846153846156</x:v>
      </x:c>
      <x:c r="R1959" s="24" t="n">
        <x:f>IFERROR(F1959/H1959,0)</x:f>
        <x:v>0.3076923076923077</x:v>
      </x:c>
      <x:c r="S1959" s="24" t="n">
        <x:f>IFERROR(F1959/J1959,0)</x:f>
        <x:v>0.6666666666666666</x:v>
      </x:c>
      <x:c r="T1959" s="28" t="n">
        <x:f>H1959-I1959</x:f>
        <x:v>6</x:v>
      </x:c>
      <x:c r="U1959" s="24" t="n">
        <x:f>IFERROR(J1959/H1959,0)-IFERROR(K1959/I1959,0)</x:f>
        <x:v>-0.25274725274725274</x:v>
      </x:c>
      <x:c r="V1959" s="24" t="n">
        <x:f>IFERROR(F1959/J1959,0)-IFERROR(G1959/K1959,0)</x:f>
        <x:v>0.4666666666666666</x:v>
      </x:c>
      <x:c r="W1959" s="28" t="n">
        <x:f>L1959-M1959</x:f>
        <x:v>1</x:v>
      </x:c>
      <x:c r="X1959" s="24" t="n">
        <x:f>IFERROR(K1959/I1959,0)</x:f>
        <x:v>0.7142857142857143</x:v>
      </x:c>
      <x:c r="Y1959" s="24" t="n">
        <x:f>IFERROR(G1959/I1959,0)</x:f>
        <x:v>0.14285714285714285</x:v>
      </x:c>
      <x:c r="Z1959" s="24" t="n">
        <x:f>IFERROR(G1959/K1959,0)</x:f>
        <x:v>0.2</x:v>
      </x:c>
      <x:c r="AA1959" s="24" t="n">
        <x:f>IFERROR(F1959/H1959,0)-IFERROR(G1959/I1959,0)</x:f>
        <x:v>0.16483516483516486</x:v>
      </x:c>
      <x:c r="AB1959" s="28" t="n">
        <x:f>J1959-K1959</x:f>
        <x:v>1</x:v>
      </x:c>
      <x:c r="AC1959" s="32" t="n">
        <x:f>F1959-G1959</x:f>
        <x:v>3</x:v>
      </x:c>
    </x:row>
    <x:row r="1960">
      <x:c r="A1960" s="4" t="str">
        <x:v>2023-24</x:v>
      </x:c>
      <x:c r="B1960" s="20" t="n">
        <x:v>45325</x:v>
      </x:c>
      <x:c r="C1960" s="4" t="str">
        <x:v>Burnley</x:v>
      </x:c>
      <x:c r="D1960" s="4" t="str">
        <x:v>Fulham</x:v>
      </x:c>
      <x:c r="E1960" s="4" t="str">
        <x:v>Home</x:v>
      </x:c>
      <x:c r="F1960" s="28" t="n">
        <x:v>2</x:v>
      </x:c>
      <x:c r="G1960" s="28" t="n">
        <x:v>2</x:v>
      </x:c>
      <x:c r="H1960" s="28" t="n">
        <x:v>12</x:v>
      </x:c>
      <x:c r="I1960" s="28" t="n">
        <x:v>15</x:v>
      </x:c>
      <x:c r="J1960" s="28" t="n">
        <x:v>4</x:v>
      </x:c>
      <x:c r="K1960" s="28" t="n">
        <x:v>7</x:v>
      </x:c>
      <x:c r="L1960" s="28" t="n">
        <x:v>2</x:v>
      </x:c>
      <x:c r="M1960" s="28" t="n">
        <x:v>13</x:v>
      </x:c>
      <x:c r="N1960" s="28" t="n">
        <x:v>2</x:v>
      </x:c>
      <x:c r="O1960" s="28" t="n">
        <x:v>0</x:v>
      </x:c>
      <x:c r="P1960" s="28" t="n">
        <x:v>1</x:v>
      </x:c>
      <x:c r="Q1960" s="24" t="n">
        <x:f>IFERROR(J1960/H1960,0)</x:f>
        <x:v>0.3333333333333333</x:v>
      </x:c>
      <x:c r="R1960" s="24" t="n">
        <x:f>IFERROR(F1960/H1960,0)</x:f>
        <x:v>0.16666666666666666</x:v>
      </x:c>
      <x:c r="S1960" s="24" t="n">
        <x:f>IFERROR(F1960/J1960,0)</x:f>
        <x:v>0.5</x:v>
      </x:c>
      <x:c r="T1960" s="28" t="n">
        <x:f>H1960-I1960</x:f>
        <x:v>-3</x:v>
      </x:c>
      <x:c r="U1960" s="24" t="n">
        <x:f>IFERROR(J1960/H1960,0)-IFERROR(K1960/I1960,0)</x:f>
        <x:v>-0.13333333333333336</x:v>
      </x:c>
      <x:c r="V1960" s="24" t="n">
        <x:f>IFERROR(F1960/J1960,0)-IFERROR(G1960/K1960,0)</x:f>
        <x:v>0.2142857142857143</x:v>
      </x:c>
      <x:c r="W1960" s="28" t="n">
        <x:f>L1960-M1960</x:f>
        <x:v>-11</x:v>
      </x:c>
      <x:c r="X1960" s="24" t="n">
        <x:f>IFERROR(K1960/I1960,0)</x:f>
        <x:v>0.4666666666666667</x:v>
      </x:c>
      <x:c r="Y1960" s="24" t="n">
        <x:f>IFERROR(G1960/I1960,0)</x:f>
        <x:v>0.13333333333333333</x:v>
      </x:c>
      <x:c r="Z1960" s="24" t="n">
        <x:f>IFERROR(G1960/K1960,0)</x:f>
        <x:v>0.2857142857142857</x:v>
      </x:c>
      <x:c r="AA1960" s="24" t="n">
        <x:f>IFERROR(F1960/H1960,0)-IFERROR(G1960/I1960,0)</x:f>
        <x:v>0.033333333333333326</x:v>
      </x:c>
      <x:c r="AB1960" s="28" t="n">
        <x:f>J1960-K1960</x:f>
        <x:v>-3</x:v>
      </x:c>
      <x:c r="AC1960" s="32" t="n">
        <x:f>F1960-G1960</x:f>
        <x:v>0</x:v>
      </x:c>
    </x:row>
    <x:row r="1961">
      <x:c r="A1961" s="4" t="str">
        <x:v>2023-24</x:v>
      </x:c>
      <x:c r="B1961" s="20" t="n">
        <x:v>45325</x:v>
      </x:c>
      <x:c r="C1961" s="4" t="str">
        <x:v>Crystal Palace</x:v>
      </x:c>
      <x:c r="D1961" s="4" t="str">
        <x:v>Brighton</x:v>
      </x:c>
      <x:c r="E1961" s="4" t="str">
        <x:v>Away</x:v>
      </x:c>
      <x:c r="F1961" s="28" t="n">
        <x:v>1</x:v>
      </x:c>
      <x:c r="G1961" s="28" t="n">
        <x:v>4</x:v>
      </x:c>
      <x:c r="H1961" s="28" t="n">
        <x:v>7</x:v>
      </x:c>
      <x:c r="I1961" s="28" t="n">
        <x:v>13</x:v>
      </x:c>
      <x:c r="J1961" s="28" t="n">
        <x:v>5</x:v>
      </x:c>
      <x:c r="K1961" s="28" t="n">
        <x:v>6</x:v>
      </x:c>
      <x:c r="L1961" s="28" t="n">
        <x:v>2</x:v>
      </x:c>
      <x:c r="M1961" s="28" t="n">
        <x:v>3</x:v>
      </x:c>
      <x:c r="N1961" s="28" t="n">
        <x:v>3</x:v>
      </x:c>
      <x:c r="O1961" s="28" t="n">
        <x:v>0</x:v>
      </x:c>
      <x:c r="P1961" s="28" t="n">
        <x:v>0</x:v>
      </x:c>
      <x:c r="Q1961" s="24" t="n">
        <x:f>IFERROR(J1961/H1961,0)</x:f>
        <x:v>0.7142857142857143</x:v>
      </x:c>
      <x:c r="R1961" s="24" t="n">
        <x:f>IFERROR(F1961/H1961,0)</x:f>
        <x:v>0.14285714285714285</x:v>
      </x:c>
      <x:c r="S1961" s="24" t="n">
        <x:f>IFERROR(F1961/J1961,0)</x:f>
        <x:v>0.2</x:v>
      </x:c>
      <x:c r="T1961" s="28" t="n">
        <x:f>H1961-I1961</x:f>
        <x:v>-6</x:v>
      </x:c>
      <x:c r="U1961" s="24" t="n">
        <x:f>IFERROR(J1961/H1961,0)-IFERROR(K1961/I1961,0)</x:f>
        <x:v>0.25274725274725274</x:v>
      </x:c>
      <x:c r="V1961" s="24" t="n">
        <x:f>IFERROR(F1961/J1961,0)-IFERROR(G1961/K1961,0)</x:f>
        <x:v>-0.4666666666666666</x:v>
      </x:c>
      <x:c r="W1961" s="28" t="n">
        <x:f>L1961-M1961</x:f>
        <x:v>-1</x:v>
      </x:c>
      <x:c r="X1961" s="24" t="n">
        <x:f>IFERROR(K1961/I1961,0)</x:f>
        <x:v>0.46153846153846156</x:v>
      </x:c>
      <x:c r="Y1961" s="24" t="n">
        <x:f>IFERROR(G1961/I1961,0)</x:f>
        <x:v>0.3076923076923077</x:v>
      </x:c>
      <x:c r="Z1961" s="24" t="n">
        <x:f>IFERROR(G1961/K1961,0)</x:f>
        <x:v>0.6666666666666666</x:v>
      </x:c>
      <x:c r="AA1961" s="24" t="n">
        <x:f>IFERROR(F1961/H1961,0)-IFERROR(G1961/I1961,0)</x:f>
        <x:v>-0.16483516483516486</x:v>
      </x:c>
      <x:c r="AB1961" s="28" t="n">
        <x:f>J1961-K1961</x:f>
        <x:v>-1</x:v>
      </x:c>
      <x:c r="AC1961" s="32" t="n">
        <x:f>F1961-G1961</x:f>
        <x:v>-3</x:v>
      </x:c>
    </x:row>
    <x:row r="1962">
      <x:c r="A1962" s="4" t="str">
        <x:v>2023-24</x:v>
      </x:c>
      <x:c r="B1962" s="20" t="n">
        <x:v>45325</x:v>
      </x:c>
      <x:c r="C1962" s="4" t="str">
        <x:v>Everton</x:v>
      </x:c>
      <x:c r="D1962" s="4" t="str">
        <x:v>Tottenham</x:v>
      </x:c>
      <x:c r="E1962" s="4" t="str">
        <x:v>Home</x:v>
      </x:c>
      <x:c r="F1962" s="28" t="n">
        <x:v>2</x:v>
      </x:c>
      <x:c r="G1962" s="28" t="n">
        <x:v>2</x:v>
      </x:c>
      <x:c r="H1962" s="28" t="n">
        <x:v>14</x:v>
      </x:c>
      <x:c r="I1962" s="28" t="n">
        <x:v>9</x:v>
      </x:c>
      <x:c r="J1962" s="28" t="n">
        <x:v>5</x:v>
      </x:c>
      <x:c r="K1962" s="28" t="n">
        <x:v>6</x:v>
      </x:c>
      <x:c r="L1962" s="28" t="n">
        <x:v>9</x:v>
      </x:c>
      <x:c r="M1962" s="28" t="n">
        <x:v>5</x:v>
      </x:c>
      <x:c r="N1962" s="28" t="n">
        <x:v>3</x:v>
      </x:c>
      <x:c r="O1962" s="28" t="n">
        <x:v>0</x:v>
      </x:c>
      <x:c r="P1962" s="28" t="n">
        <x:v>1</x:v>
      </x:c>
      <x:c r="Q1962" s="24" t="n">
        <x:f>IFERROR(J1962/H1962,0)</x:f>
        <x:v>0.35714285714285715</x:v>
      </x:c>
      <x:c r="R1962" s="24" t="n">
        <x:f>IFERROR(F1962/H1962,0)</x:f>
        <x:v>0.14285714285714285</x:v>
      </x:c>
      <x:c r="S1962" s="24" t="n">
        <x:f>IFERROR(F1962/J1962,0)</x:f>
        <x:v>0.4</x:v>
      </x:c>
      <x:c r="T1962" s="28" t="n">
        <x:f>H1962-I1962</x:f>
        <x:v>5</x:v>
      </x:c>
      <x:c r="U1962" s="24" t="n">
        <x:f>IFERROR(J1962/H1962,0)-IFERROR(K1962/I1962,0)</x:f>
        <x:v>-0.3095238095238095</x:v>
      </x:c>
      <x:c r="V1962" s="24" t="n">
        <x:f>IFERROR(F1962/J1962,0)-IFERROR(G1962/K1962,0)</x:f>
        <x:v>0.06666666666666671</x:v>
      </x:c>
      <x:c r="W1962" s="28" t="n">
        <x:f>L1962-M1962</x:f>
        <x:v>4</x:v>
      </x:c>
      <x:c r="X1962" s="24" t="n">
        <x:f>IFERROR(K1962/I1962,0)</x:f>
        <x:v>0.6666666666666666</x:v>
      </x:c>
      <x:c r="Y1962" s="24" t="n">
        <x:f>IFERROR(G1962/I1962,0)</x:f>
        <x:v>0.2222222222222222</x:v>
      </x:c>
      <x:c r="Z1962" s="24" t="n">
        <x:f>IFERROR(G1962/K1962,0)</x:f>
        <x:v>0.3333333333333333</x:v>
      </x:c>
      <x:c r="AA1962" s="24" t="n">
        <x:f>IFERROR(F1962/H1962,0)-IFERROR(G1962/I1962,0)</x:f>
        <x:v>-0.07936507936507936</x:v>
      </x:c>
      <x:c r="AB1962" s="28" t="n">
        <x:f>J1962-K1962</x:f>
        <x:v>-1</x:v>
      </x:c>
      <x:c r="AC1962" s="32" t="n">
        <x:f>F1962-G1962</x:f>
        <x:v>0</x:v>
      </x:c>
    </x:row>
    <x:row r="1963">
      <x:c r="A1963" s="4" t="str">
        <x:v>2023-24</x:v>
      </x:c>
      <x:c r="B1963" s="20" t="n">
        <x:v>45325</x:v>
      </x:c>
      <x:c r="C1963" s="4" t="str">
        <x:v>Fulham</x:v>
      </x:c>
      <x:c r="D1963" s="4" t="str">
        <x:v>Burnley</x:v>
      </x:c>
      <x:c r="E1963" s="4" t="str">
        <x:v>Away</x:v>
      </x:c>
      <x:c r="F1963" s="28" t="n">
        <x:v>2</x:v>
      </x:c>
      <x:c r="G1963" s="28" t="n">
        <x:v>2</x:v>
      </x:c>
      <x:c r="H1963" s="28" t="n">
        <x:v>15</x:v>
      </x:c>
      <x:c r="I1963" s="28" t="n">
        <x:v>12</x:v>
      </x:c>
      <x:c r="J1963" s="28" t="n">
        <x:v>7</x:v>
      </x:c>
      <x:c r="K1963" s="28" t="n">
        <x:v>4</x:v>
      </x:c>
      <x:c r="L1963" s="28" t="n">
        <x:v>13</x:v>
      </x:c>
      <x:c r="M1963" s="28" t="n">
        <x:v>2</x:v>
      </x:c>
      <x:c r="N1963" s="28" t="n">
        <x:v>2</x:v>
      </x:c>
      <x:c r="O1963" s="28" t="n">
        <x:v>0</x:v>
      </x:c>
      <x:c r="P1963" s="28" t="n">
        <x:v>1</x:v>
      </x:c>
      <x:c r="Q1963" s="24" t="n">
        <x:f>IFERROR(J1963/H1963,0)</x:f>
        <x:v>0.4666666666666667</x:v>
      </x:c>
      <x:c r="R1963" s="24" t="n">
        <x:f>IFERROR(F1963/H1963,0)</x:f>
        <x:v>0.13333333333333333</x:v>
      </x:c>
      <x:c r="S1963" s="24" t="n">
        <x:f>IFERROR(F1963/J1963,0)</x:f>
        <x:v>0.2857142857142857</x:v>
      </x:c>
      <x:c r="T1963" s="28" t="n">
        <x:f>H1963-I1963</x:f>
        <x:v>3</x:v>
      </x:c>
      <x:c r="U1963" s="24" t="n">
        <x:f>IFERROR(J1963/H1963,0)-IFERROR(K1963/I1963,0)</x:f>
        <x:v>0.13333333333333336</x:v>
      </x:c>
      <x:c r="V1963" s="24" t="n">
        <x:f>IFERROR(F1963/J1963,0)-IFERROR(G1963/K1963,0)</x:f>
        <x:v>-0.2142857142857143</x:v>
      </x:c>
      <x:c r="W1963" s="28" t="n">
        <x:f>L1963-M1963</x:f>
        <x:v>11</x:v>
      </x:c>
      <x:c r="X1963" s="24" t="n">
        <x:f>IFERROR(K1963/I1963,0)</x:f>
        <x:v>0.3333333333333333</x:v>
      </x:c>
      <x:c r="Y1963" s="24" t="n">
        <x:f>IFERROR(G1963/I1963,0)</x:f>
        <x:v>0.16666666666666666</x:v>
      </x:c>
      <x:c r="Z1963" s="24" t="n">
        <x:f>IFERROR(G1963/K1963,0)</x:f>
        <x:v>0.5</x:v>
      </x:c>
      <x:c r="AA1963" s="24" t="n">
        <x:f>IFERROR(F1963/H1963,0)-IFERROR(G1963/I1963,0)</x:f>
        <x:v>-0.033333333333333326</x:v>
      </x:c>
      <x:c r="AB1963" s="28" t="n">
        <x:f>J1963-K1963</x:f>
        <x:v>3</x:v>
      </x:c>
      <x:c r="AC1963" s="32" t="n">
        <x:f>F1963-G1963</x:f>
        <x:v>0</x:v>
      </x:c>
    </x:row>
    <x:row r="1964">
      <x:c r="A1964" s="4" t="str">
        <x:v>2023-24</x:v>
      </x:c>
      <x:c r="B1964" s="20" t="n">
        <x:v>45325</x:v>
      </x:c>
      <x:c r="C1964" s="4" t="str">
        <x:v>Luton</x:v>
      </x:c>
      <x:c r="D1964" s="4" t="str">
        <x:v>Newcastle</x:v>
      </x:c>
      <x:c r="E1964" s="4" t="str">
        <x:v>Away</x:v>
      </x:c>
      <x:c r="F1964" s="28" t="n">
        <x:v>4</x:v>
      </x:c>
      <x:c r="G1964" s="28" t="n">
        <x:v>4</x:v>
      </x:c>
      <x:c r="H1964" s="28" t="n">
        <x:v>11</x:v>
      </x:c>
      <x:c r="I1964" s="28" t="n">
        <x:v>19</x:v>
      </x:c>
      <x:c r="J1964" s="28" t="n">
        <x:v>8</x:v>
      </x:c>
      <x:c r="K1964" s="28" t="n">
        <x:v>6</x:v>
      </x:c>
      <x:c r="L1964" s="28" t="n">
        <x:v>2</x:v>
      </x:c>
      <x:c r="M1964" s="28" t="n">
        <x:v>8</x:v>
      </x:c>
      <x:c r="N1964" s="28" t="n">
        <x:v>2</x:v>
      </x:c>
      <x:c r="O1964" s="28" t="n">
        <x:v>0</x:v>
      </x:c>
      <x:c r="P1964" s="28" t="n">
        <x:v>1</x:v>
      </x:c>
      <x:c r="Q1964" s="24" t="n">
        <x:f>IFERROR(J1964/H1964,0)</x:f>
        <x:v>0.7272727272727273</x:v>
      </x:c>
      <x:c r="R1964" s="24" t="n">
        <x:f>IFERROR(F1964/H1964,0)</x:f>
        <x:v>0.36363636363636365</x:v>
      </x:c>
      <x:c r="S1964" s="24" t="n">
        <x:f>IFERROR(F1964/J1964,0)</x:f>
        <x:v>0.5</x:v>
      </x:c>
      <x:c r="T1964" s="28" t="n">
        <x:f>H1964-I1964</x:f>
        <x:v>-8</x:v>
      </x:c>
      <x:c r="U1964" s="24" t="n">
        <x:f>IFERROR(J1964/H1964,0)-IFERROR(K1964/I1964,0)</x:f>
        <x:v>0.4114832535885168</x:v>
      </x:c>
      <x:c r="V1964" s="24" t="n">
        <x:f>IFERROR(F1964/J1964,0)-IFERROR(G1964/K1964,0)</x:f>
        <x:v>-0.16666666666666663</x:v>
      </x:c>
      <x:c r="W1964" s="28" t="n">
        <x:f>L1964-M1964</x:f>
        <x:v>-6</x:v>
      </x:c>
      <x:c r="X1964" s="24" t="n">
        <x:f>IFERROR(K1964/I1964,0)</x:f>
        <x:v>0.3157894736842105</x:v>
      </x:c>
      <x:c r="Y1964" s="24" t="n">
        <x:f>IFERROR(G1964/I1964,0)</x:f>
        <x:v>0.21052631578947367</x:v>
      </x:c>
      <x:c r="Z1964" s="24" t="n">
        <x:f>IFERROR(G1964/K1964,0)</x:f>
        <x:v>0.6666666666666666</x:v>
      </x:c>
      <x:c r="AA1964" s="24" t="n">
        <x:f>IFERROR(F1964/H1964,0)-IFERROR(G1964/I1964,0)</x:f>
        <x:v>0.15311004784688997</x:v>
      </x:c>
      <x:c r="AB1964" s="28" t="n">
        <x:f>J1964-K1964</x:f>
        <x:v>2</x:v>
      </x:c>
      <x:c r="AC1964" s="32" t="n">
        <x:f>F1964-G1964</x:f>
        <x:v>0</x:v>
      </x:c>
    </x:row>
    <x:row r="1965">
      <x:c r="A1965" s="4" t="str">
        <x:v>2023-24</x:v>
      </x:c>
      <x:c r="B1965" s="20" t="n">
        <x:v>45325</x:v>
      </x:c>
      <x:c r="C1965" s="4" t="str">
        <x:v>Newcastle</x:v>
      </x:c>
      <x:c r="D1965" s="4" t="str">
        <x:v>Luton</x:v>
      </x:c>
      <x:c r="E1965" s="4" t="str">
        <x:v>Home</x:v>
      </x:c>
      <x:c r="F1965" s="28" t="n">
        <x:v>4</x:v>
      </x:c>
      <x:c r="G1965" s="28" t="n">
        <x:v>4</x:v>
      </x:c>
      <x:c r="H1965" s="28" t="n">
        <x:v>19</x:v>
      </x:c>
      <x:c r="I1965" s="28" t="n">
        <x:v>11</x:v>
      </x:c>
      <x:c r="J1965" s="28" t="n">
        <x:v>6</x:v>
      </x:c>
      <x:c r="K1965" s="28" t="n">
        <x:v>8</x:v>
      </x:c>
      <x:c r="L1965" s="28" t="n">
        <x:v>8</x:v>
      </x:c>
      <x:c r="M1965" s="28" t="n">
        <x:v>2</x:v>
      </x:c>
      <x:c r="N1965" s="28" t="n">
        <x:v>2</x:v>
      </x:c>
      <x:c r="O1965" s="28" t="n">
        <x:v>0</x:v>
      </x:c>
      <x:c r="P1965" s="28" t="n">
        <x:v>1</x:v>
      </x:c>
      <x:c r="Q1965" s="24" t="n">
        <x:f>IFERROR(J1965/H1965,0)</x:f>
        <x:v>0.3157894736842105</x:v>
      </x:c>
      <x:c r="R1965" s="24" t="n">
        <x:f>IFERROR(F1965/H1965,0)</x:f>
        <x:v>0.21052631578947367</x:v>
      </x:c>
      <x:c r="S1965" s="24" t="n">
        <x:f>IFERROR(F1965/J1965,0)</x:f>
        <x:v>0.6666666666666666</x:v>
      </x:c>
      <x:c r="T1965" s="28" t="n">
        <x:f>H1965-I1965</x:f>
        <x:v>8</x:v>
      </x:c>
      <x:c r="U1965" s="24" t="n">
        <x:f>IFERROR(J1965/H1965,0)-IFERROR(K1965/I1965,0)</x:f>
        <x:v>-0.4114832535885168</x:v>
      </x:c>
      <x:c r="V1965" s="24" t="n">
        <x:f>IFERROR(F1965/J1965,0)-IFERROR(G1965/K1965,0)</x:f>
        <x:v>0.16666666666666663</x:v>
      </x:c>
      <x:c r="W1965" s="28" t="n">
        <x:f>L1965-M1965</x:f>
        <x:v>6</x:v>
      </x:c>
      <x:c r="X1965" s="24" t="n">
        <x:f>IFERROR(K1965/I1965,0)</x:f>
        <x:v>0.7272727272727273</x:v>
      </x:c>
      <x:c r="Y1965" s="24" t="n">
        <x:f>IFERROR(G1965/I1965,0)</x:f>
        <x:v>0.36363636363636365</x:v>
      </x:c>
      <x:c r="Z1965" s="24" t="n">
        <x:f>IFERROR(G1965/K1965,0)</x:f>
        <x:v>0.5</x:v>
      </x:c>
      <x:c r="AA1965" s="24" t="n">
        <x:f>IFERROR(F1965/H1965,0)-IFERROR(G1965/I1965,0)</x:f>
        <x:v>-0.15311004784688997</x:v>
      </x:c>
      <x:c r="AB1965" s="28" t="n">
        <x:f>J1965-K1965</x:f>
        <x:v>-2</x:v>
      </x:c>
      <x:c r="AC1965" s="32" t="n">
        <x:f>F1965-G1965</x:f>
        <x:v>0</x:v>
      </x:c>
    </x:row>
    <x:row r="1966">
      <x:c r="A1966" s="4" t="str">
        <x:v>2023-24</x:v>
      </x:c>
      <x:c r="B1966" s="20" t="n">
        <x:v>45325</x:v>
      </x:c>
      <x:c r="C1966" s="4" t="str">
        <x:v>Sheffield United</x:v>
      </x:c>
      <x:c r="D1966" s="4" t="str">
        <x:v>Aston Villa</x:v>
      </x:c>
      <x:c r="E1966" s="4" t="str">
        <x:v>Home</x:v>
      </x:c>
      <x:c r="F1966" s="28" t="n">
        <x:v>0</x:v>
      </x:c>
      <x:c r="G1966" s="28" t="n">
        <x:v>5</x:v>
      </x:c>
      <x:c r="H1966" s="28" t="n">
        <x:v>10</x:v>
      </x:c>
      <x:c r="I1966" s="28" t="n">
        <x:v>14</x:v>
      </x:c>
      <x:c r="J1966" s="28" t="n">
        <x:v>5</x:v>
      </x:c>
      <x:c r="K1966" s="28" t="n">
        <x:v>10</x:v>
      </x:c>
      <x:c r="L1966" s="28" t="n">
        <x:v>3</x:v>
      </x:c>
      <x:c r="M1966" s="28" t="n">
        <x:v>4</x:v>
      </x:c>
      <x:c r="N1966" s="28" t="n">
        <x:v>1</x:v>
      </x:c>
      <x:c r="O1966" s="28" t="n">
        <x:v>0</x:v>
      </x:c>
      <x:c r="P1966" s="28" t="n">
        <x:v>0</x:v>
      </x:c>
      <x:c r="Q1966" s="24" t="n">
        <x:f>IFERROR(J1966/H1966,0)</x:f>
        <x:v>0.5</x:v>
      </x:c>
      <x:c r="R1966" s="24" t="n">
        <x:f>IFERROR(F1966/H1966,0)</x:f>
        <x:v>0</x:v>
      </x:c>
      <x:c r="S1966" s="24" t="n">
        <x:f>IFERROR(F1966/J1966,0)</x:f>
        <x:v>0</x:v>
      </x:c>
      <x:c r="T1966" s="28" t="n">
        <x:f>H1966-I1966</x:f>
        <x:v>-4</x:v>
      </x:c>
      <x:c r="U1966" s="24" t="n">
        <x:f>IFERROR(J1966/H1966,0)-IFERROR(K1966/I1966,0)</x:f>
        <x:v>-0.2142857142857143</x:v>
      </x:c>
      <x:c r="V1966" s="24" t="n">
        <x:f>IFERROR(F1966/J1966,0)-IFERROR(G1966/K1966,0)</x:f>
        <x:v>-0.5</x:v>
      </x:c>
      <x:c r="W1966" s="28" t="n">
        <x:f>L1966-M1966</x:f>
        <x:v>-1</x:v>
      </x:c>
      <x:c r="X1966" s="24" t="n">
        <x:f>IFERROR(K1966/I1966,0)</x:f>
        <x:v>0.7142857142857143</x:v>
      </x:c>
      <x:c r="Y1966" s="24" t="n">
        <x:f>IFERROR(G1966/I1966,0)</x:f>
        <x:v>0.35714285714285715</x:v>
      </x:c>
      <x:c r="Z1966" s="24" t="n">
        <x:f>IFERROR(G1966/K1966,0)</x:f>
        <x:v>0.5</x:v>
      </x:c>
      <x:c r="AA1966" s="24" t="n">
        <x:f>IFERROR(F1966/H1966,0)-IFERROR(G1966/I1966,0)</x:f>
        <x:v>-0.35714285714285715</x:v>
      </x:c>
      <x:c r="AB1966" s="28" t="n">
        <x:f>J1966-K1966</x:f>
        <x:v>-5</x:v>
      </x:c>
      <x:c r="AC1966" s="32" t="n">
        <x:f>F1966-G1966</x:f>
        <x:v>-5</x:v>
      </x:c>
    </x:row>
    <x:row r="1967">
      <x:c r="A1967" s="4" t="str">
        <x:v>2023-24</x:v>
      </x:c>
      <x:c r="B1967" s="20" t="n">
        <x:v>45325</x:v>
      </x:c>
      <x:c r="C1967" s="4" t="str">
        <x:v>Tottenham</x:v>
      </x:c>
      <x:c r="D1967" s="4" t="str">
        <x:v>Everton</x:v>
      </x:c>
      <x:c r="E1967" s="4" t="str">
        <x:v>Away</x:v>
      </x:c>
      <x:c r="F1967" s="28" t="n">
        <x:v>2</x:v>
      </x:c>
      <x:c r="G1967" s="28" t="n">
        <x:v>2</x:v>
      </x:c>
      <x:c r="H1967" s="28" t="n">
        <x:v>9</x:v>
      </x:c>
      <x:c r="I1967" s="28" t="n">
        <x:v>14</x:v>
      </x:c>
      <x:c r="J1967" s="28" t="n">
        <x:v>6</x:v>
      </x:c>
      <x:c r="K1967" s="28" t="n">
        <x:v>5</x:v>
      </x:c>
      <x:c r="L1967" s="28" t="n">
        <x:v>5</x:v>
      </x:c>
      <x:c r="M1967" s="28" t="n">
        <x:v>9</x:v>
      </x:c>
      <x:c r="N1967" s="28" t="n">
        <x:v>0</x:v>
      </x:c>
      <x:c r="O1967" s="28" t="n">
        <x:v>0</x:v>
      </x:c>
      <x:c r="P1967" s="28" t="n">
        <x:v>1</x:v>
      </x:c>
      <x:c r="Q1967" s="24" t="n">
        <x:f>IFERROR(J1967/H1967,0)</x:f>
        <x:v>0.6666666666666666</x:v>
      </x:c>
      <x:c r="R1967" s="24" t="n">
        <x:f>IFERROR(F1967/H1967,0)</x:f>
        <x:v>0.2222222222222222</x:v>
      </x:c>
      <x:c r="S1967" s="24" t="n">
        <x:f>IFERROR(F1967/J1967,0)</x:f>
        <x:v>0.3333333333333333</x:v>
      </x:c>
      <x:c r="T1967" s="28" t="n">
        <x:f>H1967-I1967</x:f>
        <x:v>-5</x:v>
      </x:c>
      <x:c r="U1967" s="24" t="n">
        <x:f>IFERROR(J1967/H1967,0)-IFERROR(K1967/I1967,0)</x:f>
        <x:v>0.3095238095238095</x:v>
      </x:c>
      <x:c r="V1967" s="24" t="n">
        <x:f>IFERROR(F1967/J1967,0)-IFERROR(G1967/K1967,0)</x:f>
        <x:v>-0.06666666666666671</x:v>
      </x:c>
      <x:c r="W1967" s="28" t="n">
        <x:f>L1967-M1967</x:f>
        <x:v>-4</x:v>
      </x:c>
      <x:c r="X1967" s="24" t="n">
        <x:f>IFERROR(K1967/I1967,0)</x:f>
        <x:v>0.35714285714285715</x:v>
      </x:c>
      <x:c r="Y1967" s="24" t="n">
        <x:f>IFERROR(G1967/I1967,0)</x:f>
        <x:v>0.14285714285714285</x:v>
      </x:c>
      <x:c r="Z1967" s="24" t="n">
        <x:f>IFERROR(G1967/K1967,0)</x:f>
        <x:v>0.4</x:v>
      </x:c>
      <x:c r="AA1967" s="24" t="n">
        <x:f>IFERROR(F1967/H1967,0)-IFERROR(G1967/I1967,0)</x:f>
        <x:v>0.07936507936507936</x:v>
      </x:c>
      <x:c r="AB1967" s="28" t="n">
        <x:f>J1967-K1967</x:f>
        <x:v>1</x:v>
      </x:c>
      <x:c r="AC1967" s="32" t="n">
        <x:f>F1967-G1967</x:f>
        <x:v>0</x:v>
      </x:c>
    </x:row>
    <x:row r="1968">
      <x:c r="A1968" s="4" t="str">
        <x:v>2023-24</x:v>
      </x:c>
      <x:c r="B1968" s="20" t="n">
        <x:v>45326</x:v>
      </x:c>
      <x:c r="C1968" s="4" t="str">
        <x:v>Arsenal</x:v>
      </x:c>
      <x:c r="D1968" s="4" t="str">
        <x:v>Liverpool</x:v>
      </x:c>
      <x:c r="E1968" s="4" t="str">
        <x:v>Home</x:v>
      </x:c>
      <x:c r="F1968" s="28" t="n">
        <x:v>3</x:v>
      </x:c>
      <x:c r="G1968" s="28" t="n">
        <x:v>1</x:v>
      </x:c>
      <x:c r="H1968" s="28" t="n">
        <x:v>15</x:v>
      </x:c>
      <x:c r="I1968" s="28" t="n">
        <x:v>10</x:v>
      </x:c>
      <x:c r="J1968" s="28" t="n">
        <x:v>7</x:v>
      </x:c>
      <x:c r="K1968" s="28" t="n">
        <x:v>1</x:v>
      </x:c>
      <x:c r="L1968" s="28" t="n">
        <x:v>2</x:v>
      </x:c>
      <x:c r="M1968" s="28" t="n">
        <x:v>4</x:v>
      </x:c>
      <x:c r="N1968" s="28" t="n">
        <x:v>6</x:v>
      </x:c>
      <x:c r="O1968" s="28" t="n">
        <x:v>0</x:v>
      </x:c>
      <x:c r="P1968" s="28" t="n">
        <x:v>3</x:v>
      </x:c>
      <x:c r="Q1968" s="24" t="n">
        <x:f>IFERROR(J1968/H1968,0)</x:f>
        <x:v>0.4666666666666667</x:v>
      </x:c>
      <x:c r="R1968" s="24" t="n">
        <x:f>IFERROR(F1968/H1968,0)</x:f>
        <x:v>0.2</x:v>
      </x:c>
      <x:c r="S1968" s="24" t="n">
        <x:f>IFERROR(F1968/J1968,0)</x:f>
        <x:v>0.42857142857142855</x:v>
      </x:c>
      <x:c r="T1968" s="28" t="n">
        <x:f>H1968-I1968</x:f>
        <x:v>5</x:v>
      </x:c>
      <x:c r="U1968" s="24" t="n">
        <x:f>IFERROR(J1968/H1968,0)-IFERROR(K1968/I1968,0)</x:f>
        <x:v>0.3666666666666667</x:v>
      </x:c>
      <x:c r="V1968" s="24" t="n">
        <x:f>IFERROR(F1968/J1968,0)-IFERROR(G1968/K1968,0)</x:f>
        <x:v>-0.5714285714285714</x:v>
      </x:c>
      <x:c r="W1968" s="28" t="n">
        <x:f>L1968-M1968</x:f>
        <x:v>-2</x:v>
      </x:c>
      <x:c r="X1968" s="24" t="n">
        <x:f>IFERROR(K1968/I1968,0)</x:f>
        <x:v>0.1</x:v>
      </x:c>
      <x:c r="Y1968" s="24" t="n">
        <x:f>IFERROR(G1968/I1968,0)</x:f>
        <x:v>0.1</x:v>
      </x:c>
      <x:c r="Z1968" s="24" t="n">
        <x:f>IFERROR(G1968/K1968,0)</x:f>
        <x:v>1</x:v>
      </x:c>
      <x:c r="AA1968" s="24" t="n">
        <x:f>IFERROR(F1968/H1968,0)-IFERROR(G1968/I1968,0)</x:f>
        <x:v>0.1</x:v>
      </x:c>
      <x:c r="AB1968" s="28" t="n">
        <x:f>J1968-K1968</x:f>
        <x:v>6</x:v>
      </x:c>
      <x:c r="AC1968" s="32" t="n">
        <x:f>F1968-G1968</x:f>
        <x:v>2</x:v>
      </x:c>
    </x:row>
    <x:row r="1969">
      <x:c r="A1969" s="4" t="str">
        <x:v>2023-24</x:v>
      </x:c>
      <x:c r="B1969" s="20" t="n">
        <x:v>45326</x:v>
      </x:c>
      <x:c r="C1969" s="4" t="str">
        <x:v>Bournemouth</x:v>
      </x:c>
      <x:c r="D1969" s="4" t="str">
        <x:v>Nott'm Forest</x:v>
      </x:c>
      <x:c r="E1969" s="4" t="str">
        <x:v>Home</x:v>
      </x:c>
      <x:c r="F1969" s="28" t="n">
        <x:v>1</x:v>
      </x:c>
      <x:c r="G1969" s="28" t="n">
        <x:v>1</x:v>
      </x:c>
      <x:c r="H1969" s="28" t="n">
        <x:v>9</x:v>
      </x:c>
      <x:c r="I1969" s="28" t="n">
        <x:v>8</x:v>
      </x:c>
      <x:c r="J1969" s="28" t="n">
        <x:v>2</x:v>
      </x:c>
      <x:c r="K1969" s="28" t="n">
        <x:v>6</x:v>
      </x:c>
      <x:c r="L1969" s="28" t="n">
        <x:v>11</x:v>
      </x:c>
      <x:c r="M1969" s="28" t="n">
        <x:v>6</x:v>
      </x:c>
      <x:c r="N1969" s="28" t="n">
        <x:v>3</x:v>
      </x:c>
      <x:c r="O1969" s="28" t="n">
        <x:v>1</x:v>
      </x:c>
      <x:c r="P1969" s="28" t="n">
        <x:v>1</x:v>
      </x:c>
      <x:c r="Q1969" s="24" t="n">
        <x:f>IFERROR(J1969/H1969,0)</x:f>
        <x:v>0.2222222222222222</x:v>
      </x:c>
      <x:c r="R1969" s="24" t="n">
        <x:f>IFERROR(F1969/H1969,0)</x:f>
        <x:v>0.1111111111111111</x:v>
      </x:c>
      <x:c r="S1969" s="24" t="n">
        <x:f>IFERROR(F1969/J1969,0)</x:f>
        <x:v>0.5</x:v>
      </x:c>
      <x:c r="T1969" s="28" t="n">
        <x:f>H1969-I1969</x:f>
        <x:v>1</x:v>
      </x:c>
      <x:c r="U1969" s="24" t="n">
        <x:f>IFERROR(J1969/H1969,0)-IFERROR(K1969/I1969,0)</x:f>
        <x:v>-0.5277777777777778</x:v>
      </x:c>
      <x:c r="V1969" s="24" t="n">
        <x:f>IFERROR(F1969/J1969,0)-IFERROR(G1969/K1969,0)</x:f>
        <x:v>0.33333333333333337</x:v>
      </x:c>
      <x:c r="W1969" s="28" t="n">
        <x:f>L1969-M1969</x:f>
        <x:v>5</x:v>
      </x:c>
      <x:c r="X1969" s="24" t="n">
        <x:f>IFERROR(K1969/I1969,0)</x:f>
        <x:v>0.75</x:v>
      </x:c>
      <x:c r="Y1969" s="24" t="n">
        <x:f>IFERROR(G1969/I1969,0)</x:f>
        <x:v>0.125</x:v>
      </x:c>
      <x:c r="Z1969" s="24" t="n">
        <x:f>IFERROR(G1969/K1969,0)</x:f>
        <x:v>0.16666666666666666</x:v>
      </x:c>
      <x:c r="AA1969" s="24" t="n">
        <x:f>IFERROR(F1969/H1969,0)-IFERROR(G1969/I1969,0)</x:f>
        <x:v>-0.013888888888888895</x:v>
      </x:c>
      <x:c r="AB1969" s="28" t="n">
        <x:f>J1969-K1969</x:f>
        <x:v>-4</x:v>
      </x:c>
      <x:c r="AC1969" s="32" t="n">
        <x:f>F1969-G1969</x:f>
        <x:v>0</x:v>
      </x:c>
    </x:row>
    <x:row r="1970">
      <x:c r="A1970" s="4" t="str">
        <x:v>2023-24</x:v>
      </x:c>
      <x:c r="B1970" s="20" t="n">
        <x:v>45326</x:v>
      </x:c>
      <x:c r="C1970" s="4" t="str">
        <x:v>Chelsea</x:v>
      </x:c>
      <x:c r="D1970" s="4" t="str">
        <x:v>Wolves</x:v>
      </x:c>
      <x:c r="E1970" s="4" t="str">
        <x:v>Home</x:v>
      </x:c>
      <x:c r="F1970" s="28" t="n">
        <x:v>2</x:v>
      </x:c>
      <x:c r="G1970" s="28" t="n">
        <x:v>4</x:v>
      </x:c>
      <x:c r="H1970" s="28" t="n">
        <x:v>15</x:v>
      </x:c>
      <x:c r="I1970" s="28" t="n">
        <x:v>14</x:v>
      </x:c>
      <x:c r="J1970" s="28" t="n">
        <x:v>6</x:v>
      </x:c>
      <x:c r="K1970" s="28" t="n">
        <x:v>7</x:v>
      </x:c>
      <x:c r="L1970" s="28" t="n">
        <x:v>10</x:v>
      </x:c>
      <x:c r="M1970" s="28" t="n">
        <x:v>1</x:v>
      </x:c>
      <x:c r="N1970" s="28" t="n">
        <x:v>3</x:v>
      </x:c>
      <x:c r="O1970" s="28" t="n">
        <x:v>0</x:v>
      </x:c>
      <x:c r="P1970" s="28" t="n">
        <x:v>0</x:v>
      </x:c>
      <x:c r="Q1970" s="24" t="n">
        <x:f>IFERROR(J1970/H1970,0)</x:f>
        <x:v>0.4</x:v>
      </x:c>
      <x:c r="R1970" s="24" t="n">
        <x:f>IFERROR(F1970/H1970,0)</x:f>
        <x:v>0.13333333333333333</x:v>
      </x:c>
      <x:c r="S1970" s="24" t="n">
        <x:f>IFERROR(F1970/J1970,0)</x:f>
        <x:v>0.3333333333333333</x:v>
      </x:c>
      <x:c r="T1970" s="28" t="n">
        <x:f>H1970-I1970</x:f>
        <x:v>1</x:v>
      </x:c>
      <x:c r="U1970" s="24" t="n">
        <x:f>IFERROR(J1970/H1970,0)-IFERROR(K1970/I1970,0)</x:f>
        <x:v>-0.09999999999999998</x:v>
      </x:c>
      <x:c r="V1970" s="24" t="n">
        <x:f>IFERROR(F1970/J1970,0)-IFERROR(G1970/K1970,0)</x:f>
        <x:v>-0.23809523809523808</x:v>
      </x:c>
      <x:c r="W1970" s="28" t="n">
        <x:f>L1970-M1970</x:f>
        <x:v>9</x:v>
      </x:c>
      <x:c r="X1970" s="24" t="n">
        <x:f>IFERROR(K1970/I1970,0)</x:f>
        <x:v>0.5</x:v>
      </x:c>
      <x:c r="Y1970" s="24" t="n">
        <x:f>IFERROR(G1970/I1970,0)</x:f>
        <x:v>0.2857142857142857</x:v>
      </x:c>
      <x:c r="Z1970" s="24" t="n">
        <x:f>IFERROR(G1970/K1970,0)</x:f>
        <x:v>0.5714285714285714</x:v>
      </x:c>
      <x:c r="AA1970" s="24" t="n">
        <x:f>IFERROR(F1970/H1970,0)-IFERROR(G1970/I1970,0)</x:f>
        <x:v>-0.15238095238095237</x:v>
      </x:c>
      <x:c r="AB1970" s="28" t="n">
        <x:f>J1970-K1970</x:f>
        <x:v>-1</x:v>
      </x:c>
      <x:c r="AC1970" s="32" t="n">
        <x:f>F1970-G1970</x:f>
        <x:v>-2</x:v>
      </x:c>
    </x:row>
    <x:row r="1971">
      <x:c r="A1971" s="4" t="str">
        <x:v>2023-24</x:v>
      </x:c>
      <x:c r="B1971" s="20" t="n">
        <x:v>45326</x:v>
      </x:c>
      <x:c r="C1971" s="4" t="str">
        <x:v>Liverpool</x:v>
      </x:c>
      <x:c r="D1971" s="4" t="str">
        <x:v>Arsenal</x:v>
      </x:c>
      <x:c r="E1971" s="4" t="str">
        <x:v>Away</x:v>
      </x:c>
      <x:c r="F1971" s="28" t="n">
        <x:v>1</x:v>
      </x:c>
      <x:c r="G1971" s="28" t="n">
        <x:v>3</x:v>
      </x:c>
      <x:c r="H1971" s="28" t="n">
        <x:v>10</x:v>
      </x:c>
      <x:c r="I1971" s="28" t="n">
        <x:v>15</x:v>
      </x:c>
      <x:c r="J1971" s="28" t="n">
        <x:v>1</x:v>
      </x:c>
      <x:c r="K1971" s="28" t="n">
        <x:v>7</x:v>
      </x:c>
      <x:c r="L1971" s="28" t="n">
        <x:v>4</x:v>
      </x:c>
      <x:c r="M1971" s="28" t="n">
        <x:v>2</x:v>
      </x:c>
      <x:c r="N1971" s="28" t="n">
        <x:v>2</x:v>
      </x:c>
      <x:c r="O1971" s="28" t="n">
        <x:v>1</x:v>
      </x:c>
      <x:c r="P1971" s="28" t="n">
        <x:v>0</x:v>
      </x:c>
      <x:c r="Q1971" s="24" t="n">
        <x:f>IFERROR(J1971/H1971,0)</x:f>
        <x:v>0.1</x:v>
      </x:c>
      <x:c r="R1971" s="24" t="n">
        <x:f>IFERROR(F1971/H1971,0)</x:f>
        <x:v>0.1</x:v>
      </x:c>
      <x:c r="S1971" s="24" t="n">
        <x:f>IFERROR(F1971/J1971,0)</x:f>
        <x:v>1</x:v>
      </x:c>
      <x:c r="T1971" s="28" t="n">
        <x:f>H1971-I1971</x:f>
        <x:v>-5</x:v>
      </x:c>
      <x:c r="U1971" s="24" t="n">
        <x:f>IFERROR(J1971/H1971,0)-IFERROR(K1971/I1971,0)</x:f>
        <x:v>-0.3666666666666667</x:v>
      </x:c>
      <x:c r="V1971" s="24" t="n">
        <x:f>IFERROR(F1971/J1971,0)-IFERROR(G1971/K1971,0)</x:f>
        <x:v>0.5714285714285714</x:v>
      </x:c>
      <x:c r="W1971" s="28" t="n">
        <x:f>L1971-M1971</x:f>
        <x:v>2</x:v>
      </x:c>
      <x:c r="X1971" s="24" t="n">
        <x:f>IFERROR(K1971/I1971,0)</x:f>
        <x:v>0.4666666666666667</x:v>
      </x:c>
      <x:c r="Y1971" s="24" t="n">
        <x:f>IFERROR(G1971/I1971,0)</x:f>
        <x:v>0.2</x:v>
      </x:c>
      <x:c r="Z1971" s="24" t="n">
        <x:f>IFERROR(G1971/K1971,0)</x:f>
        <x:v>0.42857142857142855</x:v>
      </x:c>
      <x:c r="AA1971" s="24" t="n">
        <x:f>IFERROR(F1971/H1971,0)-IFERROR(G1971/I1971,0)</x:f>
        <x:v>-0.1</x:v>
      </x:c>
      <x:c r="AB1971" s="28" t="n">
        <x:f>J1971-K1971</x:f>
        <x:v>-6</x:v>
      </x:c>
      <x:c r="AC1971" s="32" t="n">
        <x:f>F1971-G1971</x:f>
        <x:v>-2</x:v>
      </x:c>
    </x:row>
    <x:row r="1972">
      <x:c r="A1972" s="4" t="str">
        <x:v>2023-24</x:v>
      </x:c>
      <x:c r="B1972" s="20" t="n">
        <x:v>45326</x:v>
      </x:c>
      <x:c r="C1972" s="4" t="str">
        <x:v>Man United</x:v>
      </x:c>
      <x:c r="D1972" s="4" t="str">
        <x:v>West Ham</x:v>
      </x:c>
      <x:c r="E1972" s="4" t="str">
        <x:v>Home</x:v>
      </x:c>
      <x:c r="F1972" s="28" t="n">
        <x:v>3</x:v>
      </x:c>
      <x:c r="G1972" s="28" t="n">
        <x:v>0</x:v>
      </x:c>
      <x:c r="H1972" s="28" t="n">
        <x:v>12</x:v>
      </x:c>
      <x:c r="I1972" s="28" t="n">
        <x:v>22</x:v>
      </x:c>
      <x:c r="J1972" s="28" t="n">
        <x:v>5</x:v>
      </x:c>
      <x:c r="K1972" s="28" t="n">
        <x:v>3</x:v>
      </x:c>
      <x:c r="L1972" s="28" t="n">
        <x:v>5</x:v>
      </x:c>
      <x:c r="M1972" s="28" t="n">
        <x:v>8</x:v>
      </x:c>
      <x:c r="N1972" s="28" t="n">
        <x:v>0</x:v>
      </x:c>
      <x:c r="O1972" s="28" t="n">
        <x:v>0</x:v>
      </x:c>
      <x:c r="P1972" s="28" t="n">
        <x:v>3</x:v>
      </x:c>
      <x:c r="Q1972" s="24" t="n">
        <x:f>IFERROR(J1972/H1972,0)</x:f>
        <x:v>0.4166666666666667</x:v>
      </x:c>
      <x:c r="R1972" s="24" t="n">
        <x:f>IFERROR(F1972/H1972,0)</x:f>
        <x:v>0.25</x:v>
      </x:c>
      <x:c r="S1972" s="24" t="n">
        <x:f>IFERROR(F1972/J1972,0)</x:f>
        <x:v>0.6</x:v>
      </x:c>
      <x:c r="T1972" s="28" t="n">
        <x:f>H1972-I1972</x:f>
        <x:v>-10</x:v>
      </x:c>
      <x:c r="U1972" s="24" t="n">
        <x:f>IFERROR(J1972/H1972,0)-IFERROR(K1972/I1972,0)</x:f>
        <x:v>0.28030303030303033</x:v>
      </x:c>
      <x:c r="V1972" s="24" t="n">
        <x:f>IFERROR(F1972/J1972,0)-IFERROR(G1972/K1972,0)</x:f>
        <x:v>0.6</x:v>
      </x:c>
      <x:c r="W1972" s="28" t="n">
        <x:f>L1972-M1972</x:f>
        <x:v>-3</x:v>
      </x:c>
      <x:c r="X1972" s="24" t="n">
        <x:f>IFERROR(K1972/I1972,0)</x:f>
        <x:v>0.13636363636363635</x:v>
      </x:c>
      <x:c r="Y1972" s="24" t="n">
        <x:f>IFERROR(G1972/I1972,0)</x:f>
        <x:v>0</x:v>
      </x:c>
      <x:c r="Z1972" s="24" t="n">
        <x:f>IFERROR(G1972/K1972,0)</x:f>
        <x:v>0</x:v>
      </x:c>
      <x:c r="AA1972" s="24" t="n">
        <x:f>IFERROR(F1972/H1972,0)-IFERROR(G1972/I1972,0)</x:f>
        <x:v>0.25</x:v>
      </x:c>
      <x:c r="AB1972" s="28" t="n">
        <x:f>J1972-K1972</x:f>
        <x:v>2</x:v>
      </x:c>
      <x:c r="AC1972" s="32" t="n">
        <x:f>F1972-G1972</x:f>
        <x:v>3</x:v>
      </x:c>
    </x:row>
    <x:row r="1973">
      <x:c r="A1973" s="4" t="str">
        <x:v>2023-24</x:v>
      </x:c>
      <x:c r="B1973" s="20" t="n">
        <x:v>45326</x:v>
      </x:c>
      <x:c r="C1973" s="4" t="str">
        <x:v>Nott'm Forest</x:v>
      </x:c>
      <x:c r="D1973" s="4" t="str">
        <x:v>Bournemouth</x:v>
      </x:c>
      <x:c r="E1973" s="4" t="str">
        <x:v>Away</x:v>
      </x:c>
      <x:c r="F1973" s="28" t="n">
        <x:v>1</x:v>
      </x:c>
      <x:c r="G1973" s="28" t="n">
        <x:v>1</x:v>
      </x:c>
      <x:c r="H1973" s="28" t="n">
        <x:v>8</x:v>
      </x:c>
      <x:c r="I1973" s="28" t="n">
        <x:v>9</x:v>
      </x:c>
      <x:c r="J1973" s="28" t="n">
        <x:v>6</x:v>
      </x:c>
      <x:c r="K1973" s="28" t="n">
        <x:v>2</x:v>
      </x:c>
      <x:c r="L1973" s="28" t="n">
        <x:v>6</x:v>
      </x:c>
      <x:c r="M1973" s="28" t="n">
        <x:v>11</x:v>
      </x:c>
      <x:c r="N1973" s="28" t="n">
        <x:v>2</x:v>
      </x:c>
      <x:c r="O1973" s="28" t="n">
        <x:v>0</x:v>
      </x:c>
      <x:c r="P1973" s="28" t="n">
        <x:v>1</x:v>
      </x:c>
      <x:c r="Q1973" s="24" t="n">
        <x:f>IFERROR(J1973/H1973,0)</x:f>
        <x:v>0.75</x:v>
      </x:c>
      <x:c r="R1973" s="24" t="n">
        <x:f>IFERROR(F1973/H1973,0)</x:f>
        <x:v>0.125</x:v>
      </x:c>
      <x:c r="S1973" s="24" t="n">
        <x:f>IFERROR(F1973/J1973,0)</x:f>
        <x:v>0.16666666666666666</x:v>
      </x:c>
      <x:c r="T1973" s="28" t="n">
        <x:f>H1973-I1973</x:f>
        <x:v>-1</x:v>
      </x:c>
      <x:c r="U1973" s="24" t="n">
        <x:f>IFERROR(J1973/H1973,0)-IFERROR(K1973/I1973,0)</x:f>
        <x:v>0.5277777777777778</x:v>
      </x:c>
      <x:c r="V1973" s="24" t="n">
        <x:f>IFERROR(F1973/J1973,0)-IFERROR(G1973/K1973,0)</x:f>
        <x:v>-0.33333333333333337</x:v>
      </x:c>
      <x:c r="W1973" s="28" t="n">
        <x:f>L1973-M1973</x:f>
        <x:v>-5</x:v>
      </x:c>
      <x:c r="X1973" s="24" t="n">
        <x:f>IFERROR(K1973/I1973,0)</x:f>
        <x:v>0.2222222222222222</x:v>
      </x:c>
      <x:c r="Y1973" s="24" t="n">
        <x:f>IFERROR(G1973/I1973,0)</x:f>
        <x:v>0.1111111111111111</x:v>
      </x:c>
      <x:c r="Z1973" s="24" t="n">
        <x:f>IFERROR(G1973/K1973,0)</x:f>
        <x:v>0.5</x:v>
      </x:c>
      <x:c r="AA1973" s="24" t="n">
        <x:f>IFERROR(F1973/H1973,0)-IFERROR(G1973/I1973,0)</x:f>
        <x:v>0.013888888888888895</x:v>
      </x:c>
      <x:c r="AB1973" s="28" t="n">
        <x:f>J1973-K1973</x:f>
        <x:v>4</x:v>
      </x:c>
      <x:c r="AC1973" s="32" t="n">
        <x:f>F1973-G1973</x:f>
        <x:v>0</x:v>
      </x:c>
    </x:row>
    <x:row r="1974">
      <x:c r="A1974" s="4" t="str">
        <x:v>2023-24</x:v>
      </x:c>
      <x:c r="B1974" s="20" t="n">
        <x:v>45326</x:v>
      </x:c>
      <x:c r="C1974" s="4" t="str">
        <x:v>West Ham</x:v>
      </x:c>
      <x:c r="D1974" s="4" t="str">
        <x:v>Man United</x:v>
      </x:c>
      <x:c r="E1974" s="4" t="str">
        <x:v>Away</x:v>
      </x:c>
      <x:c r="F1974" s="28" t="n">
        <x:v>0</x:v>
      </x:c>
      <x:c r="G1974" s="28" t="n">
        <x:v>3</x:v>
      </x:c>
      <x:c r="H1974" s="28" t="n">
        <x:v>22</x:v>
      </x:c>
      <x:c r="I1974" s="28" t="n">
        <x:v>12</x:v>
      </x:c>
      <x:c r="J1974" s="28" t="n">
        <x:v>3</x:v>
      </x:c>
      <x:c r="K1974" s="28" t="n">
        <x:v>5</x:v>
      </x:c>
      <x:c r="L1974" s="28" t="n">
        <x:v>8</x:v>
      </x:c>
      <x:c r="M1974" s="28" t="n">
        <x:v>5</x:v>
      </x:c>
      <x:c r="N1974" s="28" t="n">
        <x:v>1</x:v>
      </x:c>
      <x:c r="O1974" s="28" t="n">
        <x:v>0</x:v>
      </x:c>
      <x:c r="P1974" s="28" t="n">
        <x:v>0</x:v>
      </x:c>
      <x:c r="Q1974" s="24" t="n">
        <x:f>IFERROR(J1974/H1974,0)</x:f>
        <x:v>0.13636363636363635</x:v>
      </x:c>
      <x:c r="R1974" s="24" t="n">
        <x:f>IFERROR(F1974/H1974,0)</x:f>
        <x:v>0</x:v>
      </x:c>
      <x:c r="S1974" s="24" t="n">
        <x:f>IFERROR(F1974/J1974,0)</x:f>
        <x:v>0</x:v>
      </x:c>
      <x:c r="T1974" s="28" t="n">
        <x:f>H1974-I1974</x:f>
        <x:v>10</x:v>
      </x:c>
      <x:c r="U1974" s="24" t="n">
        <x:f>IFERROR(J1974/H1974,0)-IFERROR(K1974/I1974,0)</x:f>
        <x:v>-0.28030303030303033</x:v>
      </x:c>
      <x:c r="V1974" s="24" t="n">
        <x:f>IFERROR(F1974/J1974,0)-IFERROR(G1974/K1974,0)</x:f>
        <x:v>-0.6</x:v>
      </x:c>
      <x:c r="W1974" s="28" t="n">
        <x:f>L1974-M1974</x:f>
        <x:v>3</x:v>
      </x:c>
      <x:c r="X1974" s="24" t="n">
        <x:f>IFERROR(K1974/I1974,0)</x:f>
        <x:v>0.4166666666666667</x:v>
      </x:c>
      <x:c r="Y1974" s="24" t="n">
        <x:f>IFERROR(G1974/I1974,0)</x:f>
        <x:v>0.25</x:v>
      </x:c>
      <x:c r="Z1974" s="24" t="n">
        <x:f>IFERROR(G1974/K1974,0)</x:f>
        <x:v>0.6</x:v>
      </x:c>
      <x:c r="AA1974" s="24" t="n">
        <x:f>IFERROR(F1974/H1974,0)-IFERROR(G1974/I1974,0)</x:f>
        <x:v>-0.25</x:v>
      </x:c>
      <x:c r="AB1974" s="28" t="n">
        <x:f>J1974-K1974</x:f>
        <x:v>-2</x:v>
      </x:c>
      <x:c r="AC1974" s="32" t="n">
        <x:f>F1974-G1974</x:f>
        <x:v>-3</x:v>
      </x:c>
    </x:row>
    <x:row r="1975">
      <x:c r="A1975" s="4" t="str">
        <x:v>2023-24</x:v>
      </x:c>
      <x:c r="B1975" s="20" t="n">
        <x:v>45326</x:v>
      </x:c>
      <x:c r="C1975" s="4" t="str">
        <x:v>Wolves</x:v>
      </x:c>
      <x:c r="D1975" s="4" t="str">
        <x:v>Chelsea</x:v>
      </x:c>
      <x:c r="E1975" s="4" t="str">
        <x:v>Away</x:v>
      </x:c>
      <x:c r="F1975" s="28" t="n">
        <x:v>4</x:v>
      </x:c>
      <x:c r="G1975" s="28" t="n">
        <x:v>2</x:v>
      </x:c>
      <x:c r="H1975" s="28" t="n">
        <x:v>14</x:v>
      </x:c>
      <x:c r="I1975" s="28" t="n">
        <x:v>15</x:v>
      </x:c>
      <x:c r="J1975" s="28" t="n">
        <x:v>7</x:v>
      </x:c>
      <x:c r="K1975" s="28" t="n">
        <x:v>6</x:v>
      </x:c>
      <x:c r="L1975" s="28" t="n">
        <x:v>1</x:v>
      </x:c>
      <x:c r="M1975" s="28" t="n">
        <x:v>10</x:v>
      </x:c>
      <x:c r="N1975" s="28" t="n">
        <x:v>2</x:v>
      </x:c>
      <x:c r="O1975" s="28" t="n">
        <x:v>0</x:v>
      </x:c>
      <x:c r="P1975" s="28" t="n">
        <x:v>3</x:v>
      </x:c>
      <x:c r="Q1975" s="24" t="n">
        <x:f>IFERROR(J1975/H1975,0)</x:f>
        <x:v>0.5</x:v>
      </x:c>
      <x:c r="R1975" s="24" t="n">
        <x:f>IFERROR(F1975/H1975,0)</x:f>
        <x:v>0.2857142857142857</x:v>
      </x:c>
      <x:c r="S1975" s="24" t="n">
        <x:f>IFERROR(F1975/J1975,0)</x:f>
        <x:v>0.5714285714285714</x:v>
      </x:c>
      <x:c r="T1975" s="28" t="n">
        <x:f>H1975-I1975</x:f>
        <x:v>-1</x:v>
      </x:c>
      <x:c r="U1975" s="24" t="n">
        <x:f>IFERROR(J1975/H1975,0)-IFERROR(K1975/I1975,0)</x:f>
        <x:v>0.09999999999999998</x:v>
      </x:c>
      <x:c r="V1975" s="24" t="n">
        <x:f>IFERROR(F1975/J1975,0)-IFERROR(G1975/K1975,0)</x:f>
        <x:v>0.23809523809523808</x:v>
      </x:c>
      <x:c r="W1975" s="28" t="n">
        <x:f>L1975-M1975</x:f>
        <x:v>-9</x:v>
      </x:c>
      <x:c r="X1975" s="24" t="n">
        <x:f>IFERROR(K1975/I1975,0)</x:f>
        <x:v>0.4</x:v>
      </x:c>
      <x:c r="Y1975" s="24" t="n">
        <x:f>IFERROR(G1975/I1975,0)</x:f>
        <x:v>0.13333333333333333</x:v>
      </x:c>
      <x:c r="Z1975" s="24" t="n">
        <x:f>IFERROR(G1975/K1975,0)</x:f>
        <x:v>0.3333333333333333</x:v>
      </x:c>
      <x:c r="AA1975" s="24" t="n">
        <x:f>IFERROR(F1975/H1975,0)-IFERROR(G1975/I1975,0)</x:f>
        <x:v>0.15238095238095237</x:v>
      </x:c>
      <x:c r="AB1975" s="28" t="n">
        <x:f>J1975-K1975</x:f>
        <x:v>1</x:v>
      </x:c>
      <x:c r="AC1975" s="32" t="n">
        <x:f>F1975-G1975</x:f>
        <x:v>2</x:v>
      </x:c>
    </x:row>
    <x:row r="1976">
      <x:c r="A1976" s="4" t="str">
        <x:v>2023-24</x:v>
      </x:c>
      <x:c r="B1976" s="20" t="n">
        <x:v>45327</x:v>
      </x:c>
      <x:c r="C1976" s="4" t="str">
        <x:v>Brentford</x:v>
      </x:c>
      <x:c r="D1976" s="4" t="str">
        <x:v>Man City</x:v>
      </x:c>
      <x:c r="E1976" s="4" t="str">
        <x:v>Home</x:v>
      </x:c>
      <x:c r="F1976" s="28" t="n">
        <x:v>1</x:v>
      </x:c>
      <x:c r="G1976" s="28" t="n">
        <x:v>3</x:v>
      </x:c>
      <x:c r="H1976" s="28" t="n">
        <x:v>9</x:v>
      </x:c>
      <x:c r="I1976" s="28" t="n">
        <x:v>25</x:v>
      </x:c>
      <x:c r="J1976" s="28" t="n">
        <x:v>3</x:v>
      </x:c>
      <x:c r="K1976" s="28" t="n">
        <x:v>15</x:v>
      </x:c>
      <x:c r="L1976" s="28" t="n">
        <x:v>8</x:v>
      </x:c>
      <x:c r="M1976" s="28" t="n">
        <x:v>13</x:v>
      </x:c>
      <x:c r="N1976" s="28" t="n">
        <x:v>1</x:v>
      </x:c>
      <x:c r="O1976" s="28" t="n">
        <x:v>0</x:v>
      </x:c>
      <x:c r="P1976" s="28" t="n">
        <x:v>0</x:v>
      </x:c>
      <x:c r="Q1976" s="24" t="n">
        <x:f>IFERROR(J1976/H1976,0)</x:f>
        <x:v>0.3333333333333333</x:v>
      </x:c>
      <x:c r="R1976" s="24" t="n">
        <x:f>IFERROR(F1976/H1976,0)</x:f>
        <x:v>0.1111111111111111</x:v>
      </x:c>
      <x:c r="S1976" s="24" t="n">
        <x:f>IFERROR(F1976/J1976,0)</x:f>
        <x:v>0.3333333333333333</x:v>
      </x:c>
      <x:c r="T1976" s="28" t="n">
        <x:f>H1976-I1976</x:f>
        <x:v>-16</x:v>
      </x:c>
      <x:c r="U1976" s="24" t="n">
        <x:f>IFERROR(J1976/H1976,0)-IFERROR(K1976/I1976,0)</x:f>
        <x:v>-0.26666666666666666</x:v>
      </x:c>
      <x:c r="V1976" s="24" t="n">
        <x:f>IFERROR(F1976/J1976,0)-IFERROR(G1976/K1976,0)</x:f>
        <x:v>0.1333333333333333</x:v>
      </x:c>
      <x:c r="W1976" s="28" t="n">
        <x:f>L1976-M1976</x:f>
        <x:v>-5</x:v>
      </x:c>
      <x:c r="X1976" s="24" t="n">
        <x:f>IFERROR(K1976/I1976,0)</x:f>
        <x:v>0.6</x:v>
      </x:c>
      <x:c r="Y1976" s="24" t="n">
        <x:f>IFERROR(G1976/I1976,0)</x:f>
        <x:v>0.12</x:v>
      </x:c>
      <x:c r="Z1976" s="24" t="n">
        <x:f>IFERROR(G1976/K1976,0)</x:f>
        <x:v>0.2</x:v>
      </x:c>
      <x:c r="AA1976" s="24" t="n">
        <x:f>IFERROR(F1976/H1976,0)-IFERROR(G1976/I1976,0)</x:f>
        <x:v>-0.00888888888888889</x:v>
      </x:c>
      <x:c r="AB1976" s="28" t="n">
        <x:f>J1976-K1976</x:f>
        <x:v>-12</x:v>
      </x:c>
      <x:c r="AC1976" s="32" t="n">
        <x:f>F1976-G1976</x:f>
        <x:v>-2</x:v>
      </x:c>
    </x:row>
    <x:row r="1977">
      <x:c r="A1977" s="4" t="str">
        <x:v>2023-24</x:v>
      </x:c>
      <x:c r="B1977" s="20" t="n">
        <x:v>45327</x:v>
      </x:c>
      <x:c r="C1977" s="4" t="str">
        <x:v>Man City</x:v>
      </x:c>
      <x:c r="D1977" s="4" t="str">
        <x:v>Brentford</x:v>
      </x:c>
      <x:c r="E1977" s="4" t="str">
        <x:v>Away</x:v>
      </x:c>
      <x:c r="F1977" s="28" t="n">
        <x:v>3</x:v>
      </x:c>
      <x:c r="G1977" s="28" t="n">
        <x:v>1</x:v>
      </x:c>
      <x:c r="H1977" s="28" t="n">
        <x:v>25</x:v>
      </x:c>
      <x:c r="I1977" s="28" t="n">
        <x:v>9</x:v>
      </x:c>
      <x:c r="J1977" s="28" t="n">
        <x:v>15</x:v>
      </x:c>
      <x:c r="K1977" s="28" t="n">
        <x:v>3</x:v>
      </x:c>
      <x:c r="L1977" s="28" t="n">
        <x:v>13</x:v>
      </x:c>
      <x:c r="M1977" s="28" t="n">
        <x:v>8</x:v>
      </x:c>
      <x:c r="N1977" s="28" t="n">
        <x:v>0</x:v>
      </x:c>
      <x:c r="O1977" s="28" t="n">
        <x:v>0</x:v>
      </x:c>
      <x:c r="P1977" s="28" t="n">
        <x:v>3</x:v>
      </x:c>
      <x:c r="Q1977" s="24" t="n">
        <x:f>IFERROR(J1977/H1977,0)</x:f>
        <x:v>0.6</x:v>
      </x:c>
      <x:c r="R1977" s="24" t="n">
        <x:f>IFERROR(F1977/H1977,0)</x:f>
        <x:v>0.12</x:v>
      </x:c>
      <x:c r="S1977" s="24" t="n">
        <x:f>IFERROR(F1977/J1977,0)</x:f>
        <x:v>0.2</x:v>
      </x:c>
      <x:c r="T1977" s="28" t="n">
        <x:f>H1977-I1977</x:f>
        <x:v>16</x:v>
      </x:c>
      <x:c r="U1977" s="24" t="n">
        <x:f>IFERROR(J1977/H1977,0)-IFERROR(K1977/I1977,0)</x:f>
        <x:v>0.26666666666666666</x:v>
      </x:c>
      <x:c r="V1977" s="24" t="n">
        <x:f>IFERROR(F1977/J1977,0)-IFERROR(G1977/K1977,0)</x:f>
        <x:v>-0.1333333333333333</x:v>
      </x:c>
      <x:c r="W1977" s="28" t="n">
        <x:f>L1977-M1977</x:f>
        <x:v>5</x:v>
      </x:c>
      <x:c r="X1977" s="24" t="n">
        <x:f>IFERROR(K1977/I1977,0)</x:f>
        <x:v>0.3333333333333333</x:v>
      </x:c>
      <x:c r="Y1977" s="24" t="n">
        <x:f>IFERROR(G1977/I1977,0)</x:f>
        <x:v>0.1111111111111111</x:v>
      </x:c>
      <x:c r="Z1977" s="24" t="n">
        <x:f>IFERROR(G1977/K1977,0)</x:f>
        <x:v>0.3333333333333333</x:v>
      </x:c>
      <x:c r="AA1977" s="24" t="n">
        <x:f>IFERROR(F1977/H1977,0)-IFERROR(G1977/I1977,0)</x:f>
        <x:v>0.00888888888888889</x:v>
      </x:c>
      <x:c r="AB1977" s="28" t="n">
        <x:f>J1977-K1977</x:f>
        <x:v>12</x:v>
      </x:c>
      <x:c r="AC1977" s="32" t="n">
        <x:f>F1977-G1977</x:f>
        <x:v>2</x:v>
      </x:c>
    </x:row>
    <x:row r="1978">
      <x:c r="A1978" s="4" t="str">
        <x:v>2023-24</x:v>
      </x:c>
      <x:c r="B1978" s="20" t="n">
        <x:v>45332</x:v>
      </x:c>
      <x:c r="C1978" s="4" t="str">
        <x:v>Bournemouth</x:v>
      </x:c>
      <x:c r="D1978" s="4" t="str">
        <x:v>Fulham</x:v>
      </x:c>
      <x:c r="E1978" s="4" t="str">
        <x:v>Away</x:v>
      </x:c>
      <x:c r="F1978" s="28" t="n">
        <x:v>1</x:v>
      </x:c>
      <x:c r="G1978" s="28" t="n">
        <x:v>3</x:v>
      </x:c>
      <x:c r="H1978" s="28" t="n">
        <x:v>25</x:v>
      </x:c>
      <x:c r="I1978" s="28" t="n">
        <x:v>7</x:v>
      </x:c>
      <x:c r="J1978" s="28" t="n">
        <x:v>4</x:v>
      </x:c>
      <x:c r="K1978" s="28" t="n">
        <x:v>6</x:v>
      </x:c>
      <x:c r="L1978" s="28" t="n">
        <x:v>14</x:v>
      </x:c>
      <x:c r="M1978" s="28" t="n">
        <x:v>1</x:v>
      </x:c>
      <x:c r="N1978" s="28" t="n">
        <x:v>2</x:v>
      </x:c>
      <x:c r="O1978" s="28" t="n">
        <x:v>0</x:v>
      </x:c>
      <x:c r="P1978" s="28" t="n">
        <x:v>0</x:v>
      </x:c>
      <x:c r="Q1978" s="24" t="n">
        <x:f>IFERROR(J1978/H1978,0)</x:f>
        <x:v>0.16</x:v>
      </x:c>
      <x:c r="R1978" s="24" t="n">
        <x:f>IFERROR(F1978/H1978,0)</x:f>
        <x:v>0.04</x:v>
      </x:c>
      <x:c r="S1978" s="24" t="n">
        <x:f>IFERROR(F1978/J1978,0)</x:f>
        <x:v>0.25</x:v>
      </x:c>
      <x:c r="T1978" s="28" t="n">
        <x:f>H1978-I1978</x:f>
        <x:v>18</x:v>
      </x:c>
      <x:c r="U1978" s="24" t="n">
        <x:f>IFERROR(J1978/H1978,0)-IFERROR(K1978/I1978,0)</x:f>
        <x:v>-0.6971428571428571</x:v>
      </x:c>
      <x:c r="V1978" s="24" t="n">
        <x:f>IFERROR(F1978/J1978,0)-IFERROR(G1978/K1978,0)</x:f>
        <x:v>-0.25</x:v>
      </x:c>
      <x:c r="W1978" s="28" t="n">
        <x:f>L1978-M1978</x:f>
        <x:v>13</x:v>
      </x:c>
      <x:c r="X1978" s="24" t="n">
        <x:f>IFERROR(K1978/I1978,0)</x:f>
        <x:v>0.8571428571428571</x:v>
      </x:c>
      <x:c r="Y1978" s="24" t="n">
        <x:f>IFERROR(G1978/I1978,0)</x:f>
        <x:v>0.42857142857142855</x:v>
      </x:c>
      <x:c r="Z1978" s="24" t="n">
        <x:f>IFERROR(G1978/K1978,0)</x:f>
        <x:v>0.5</x:v>
      </x:c>
      <x:c r="AA1978" s="24" t="n">
        <x:f>IFERROR(F1978/H1978,0)-IFERROR(G1978/I1978,0)</x:f>
        <x:v>-0.38857142857142857</x:v>
      </x:c>
      <x:c r="AB1978" s="28" t="n">
        <x:f>J1978-K1978</x:f>
        <x:v>-2</x:v>
      </x:c>
      <x:c r="AC1978" s="32" t="n">
        <x:f>F1978-G1978</x:f>
        <x:v>-2</x:v>
      </x:c>
    </x:row>
    <x:row r="1979">
      <x:c r="A1979" s="4" t="str">
        <x:v>2023-24</x:v>
      </x:c>
      <x:c r="B1979" s="20" t="n">
        <x:v>45332</x:v>
      </x:c>
      <x:c r="C1979" s="4" t="str">
        <x:v>Brentford</x:v>
      </x:c>
      <x:c r="D1979" s="4" t="str">
        <x:v>Wolves</x:v>
      </x:c>
      <x:c r="E1979" s="4" t="str">
        <x:v>Away</x:v>
      </x:c>
      <x:c r="F1979" s="28" t="n">
        <x:v>2</x:v>
      </x:c>
      <x:c r="G1979" s="28" t="n">
        <x:v>0</x:v>
      </x:c>
      <x:c r="H1979" s="28" t="n">
        <x:v>9</x:v>
      </x:c>
      <x:c r="I1979" s="28" t="n">
        <x:v>17</x:v>
      </x:c>
      <x:c r="J1979" s="28" t="n">
        <x:v>6</x:v>
      </x:c>
      <x:c r="K1979" s="28" t="n">
        <x:v>5</x:v>
      </x:c>
      <x:c r="L1979" s="28" t="n">
        <x:v>4</x:v>
      </x:c>
      <x:c r="M1979" s="28" t="n">
        <x:v>7</x:v>
      </x:c>
      <x:c r="N1979" s="28" t="n">
        <x:v>3</x:v>
      </x:c>
      <x:c r="O1979" s="28" t="n">
        <x:v>0</x:v>
      </x:c>
      <x:c r="P1979" s="28" t="n">
        <x:v>3</x:v>
      </x:c>
      <x:c r="Q1979" s="24" t="n">
        <x:f>IFERROR(J1979/H1979,0)</x:f>
        <x:v>0.6666666666666666</x:v>
      </x:c>
      <x:c r="R1979" s="24" t="n">
        <x:f>IFERROR(F1979/H1979,0)</x:f>
        <x:v>0.2222222222222222</x:v>
      </x:c>
      <x:c r="S1979" s="24" t="n">
        <x:f>IFERROR(F1979/J1979,0)</x:f>
        <x:v>0.3333333333333333</x:v>
      </x:c>
      <x:c r="T1979" s="28" t="n">
        <x:f>H1979-I1979</x:f>
        <x:v>-8</x:v>
      </x:c>
      <x:c r="U1979" s="24" t="n">
        <x:f>IFERROR(J1979/H1979,0)-IFERROR(K1979/I1979,0)</x:f>
        <x:v>0.3725490196078431</x:v>
      </x:c>
      <x:c r="V1979" s="24" t="n">
        <x:f>IFERROR(F1979/J1979,0)-IFERROR(G1979/K1979,0)</x:f>
        <x:v>0.3333333333333333</x:v>
      </x:c>
      <x:c r="W1979" s="28" t="n">
        <x:f>L1979-M1979</x:f>
        <x:v>-3</x:v>
      </x:c>
      <x:c r="X1979" s="24" t="n">
        <x:f>IFERROR(K1979/I1979,0)</x:f>
        <x:v>0.29411764705882354</x:v>
      </x:c>
      <x:c r="Y1979" s="24" t="n">
        <x:f>IFERROR(G1979/I1979,0)</x:f>
        <x:v>0</x:v>
      </x:c>
      <x:c r="Z1979" s="24" t="n">
        <x:f>IFERROR(G1979/K1979,0)</x:f>
        <x:v>0</x:v>
      </x:c>
      <x:c r="AA1979" s="24" t="n">
        <x:f>IFERROR(F1979/H1979,0)-IFERROR(G1979/I1979,0)</x:f>
        <x:v>0.2222222222222222</x:v>
      </x:c>
      <x:c r="AB1979" s="28" t="n">
        <x:f>J1979-K1979</x:f>
        <x:v>1</x:v>
      </x:c>
      <x:c r="AC1979" s="32" t="n">
        <x:f>F1979-G1979</x:f>
        <x:v>2</x:v>
      </x:c>
    </x:row>
    <x:row r="1980">
      <x:c r="A1980" s="4" t="str">
        <x:v>2023-24</x:v>
      </x:c>
      <x:c r="B1980" s="20" t="n">
        <x:v>45332</x:v>
      </x:c>
      <x:c r="C1980" s="4" t="str">
        <x:v>Brighton</x:v>
      </x:c>
      <x:c r="D1980" s="4" t="str">
        <x:v>Tottenham</x:v>
      </x:c>
      <x:c r="E1980" s="4" t="str">
        <x:v>Away</x:v>
      </x:c>
      <x:c r="F1980" s="28" t="n">
        <x:v>1</x:v>
      </x:c>
      <x:c r="G1980" s="28" t="n">
        <x:v>2</x:v>
      </x:c>
      <x:c r="H1980" s="28" t="n">
        <x:v>6</x:v>
      </x:c>
      <x:c r="I1980" s="28" t="n">
        <x:v>16</x:v>
      </x:c>
      <x:c r="J1980" s="28" t="n">
        <x:v>3</x:v>
      </x:c>
      <x:c r="K1980" s="28" t="n">
        <x:v>6</x:v>
      </x:c>
      <x:c r="L1980" s="28" t="n">
        <x:v>6</x:v>
      </x:c>
      <x:c r="M1980" s="28" t="n">
        <x:v>9</x:v>
      </x:c>
      <x:c r="N1980" s="28" t="n">
        <x:v>3</x:v>
      </x:c>
      <x:c r="O1980" s="28" t="n">
        <x:v>0</x:v>
      </x:c>
      <x:c r="P1980" s="28" t="n">
        <x:v>0</x:v>
      </x:c>
      <x:c r="Q1980" s="24" t="n">
        <x:f>IFERROR(J1980/H1980,0)</x:f>
        <x:v>0.5</x:v>
      </x:c>
      <x:c r="R1980" s="24" t="n">
        <x:f>IFERROR(F1980/H1980,0)</x:f>
        <x:v>0.16666666666666666</x:v>
      </x:c>
      <x:c r="S1980" s="24" t="n">
        <x:f>IFERROR(F1980/J1980,0)</x:f>
        <x:v>0.3333333333333333</x:v>
      </x:c>
      <x:c r="T1980" s="28" t="n">
        <x:f>H1980-I1980</x:f>
        <x:v>-10</x:v>
      </x:c>
      <x:c r="U1980" s="24" t="n">
        <x:f>IFERROR(J1980/H1980,0)-IFERROR(K1980/I1980,0)</x:f>
        <x:v>0.125</x:v>
      </x:c>
      <x:c r="V1980" s="24" t="n">
        <x:f>IFERROR(F1980/J1980,0)-IFERROR(G1980/K1980,0)</x:f>
        <x:v>0</x:v>
      </x:c>
      <x:c r="W1980" s="28" t="n">
        <x:f>L1980-M1980</x:f>
        <x:v>-3</x:v>
      </x:c>
      <x:c r="X1980" s="24" t="n">
        <x:f>IFERROR(K1980/I1980,0)</x:f>
        <x:v>0.375</x:v>
      </x:c>
      <x:c r="Y1980" s="24" t="n">
        <x:f>IFERROR(G1980/I1980,0)</x:f>
        <x:v>0.125</x:v>
      </x:c>
      <x:c r="Z1980" s="24" t="n">
        <x:f>IFERROR(G1980/K1980,0)</x:f>
        <x:v>0.3333333333333333</x:v>
      </x:c>
      <x:c r="AA1980" s="24" t="n">
        <x:f>IFERROR(F1980/H1980,0)-IFERROR(G1980/I1980,0)</x:f>
        <x:v>0.04166666666666666</x:v>
      </x:c>
      <x:c r="AB1980" s="28" t="n">
        <x:f>J1980-K1980</x:f>
        <x:v>-3</x:v>
      </x:c>
      <x:c r="AC1980" s="32" t="n">
        <x:f>F1980-G1980</x:f>
        <x:v>-1</x:v>
      </x:c>
    </x:row>
    <x:row r="1981">
      <x:c r="A1981" s="4" t="str">
        <x:v>2023-24</x:v>
      </x:c>
      <x:c r="B1981" s="20" t="n">
        <x:v>45332</x:v>
      </x:c>
      <x:c r="C1981" s="4" t="str">
        <x:v>Burnley</x:v>
      </x:c>
      <x:c r="D1981" s="4" t="str">
        <x:v>Liverpool</x:v>
      </x:c>
      <x:c r="E1981" s="4" t="str">
        <x:v>Away</x:v>
      </x:c>
      <x:c r="F1981" s="28" t="n">
        <x:v>1</x:v>
      </x:c>
      <x:c r="G1981" s="28" t="n">
        <x:v>3</x:v>
      </x:c>
      <x:c r="H1981" s="28" t="n">
        <x:v>9</x:v>
      </x:c>
      <x:c r="I1981" s="28" t="n">
        <x:v>25</x:v>
      </x:c>
      <x:c r="J1981" s="28" t="n">
        <x:v>4</x:v>
      </x:c>
      <x:c r="K1981" s="28" t="n">
        <x:v>10</x:v>
      </x:c>
      <x:c r="L1981" s="28" t="n">
        <x:v>3</x:v>
      </x:c>
      <x:c r="M1981" s="28" t="n">
        <x:v>9</x:v>
      </x:c>
      <x:c r="N1981" s="28" t="n">
        <x:v>2</x:v>
      </x:c>
      <x:c r="O1981" s="28" t="n">
        <x:v>0</x:v>
      </x:c>
      <x:c r="P1981" s="28" t="n">
        <x:v>0</x:v>
      </x:c>
      <x:c r="Q1981" s="24" t="n">
        <x:f>IFERROR(J1981/H1981,0)</x:f>
        <x:v>0.4444444444444444</x:v>
      </x:c>
      <x:c r="R1981" s="24" t="n">
        <x:f>IFERROR(F1981/H1981,0)</x:f>
        <x:v>0.1111111111111111</x:v>
      </x:c>
      <x:c r="S1981" s="24" t="n">
        <x:f>IFERROR(F1981/J1981,0)</x:f>
        <x:v>0.25</x:v>
      </x:c>
      <x:c r="T1981" s="28" t="n">
        <x:f>H1981-I1981</x:f>
        <x:v>-16</x:v>
      </x:c>
      <x:c r="U1981" s="24" t="n">
        <x:f>IFERROR(J1981/H1981,0)-IFERROR(K1981/I1981,0)</x:f>
        <x:v>0.0444444444444444</x:v>
      </x:c>
      <x:c r="V1981" s="24" t="n">
        <x:f>IFERROR(F1981/J1981,0)-IFERROR(G1981/K1981,0)</x:f>
        <x:v>-0.04999999999999999</x:v>
      </x:c>
      <x:c r="W1981" s="28" t="n">
        <x:f>L1981-M1981</x:f>
        <x:v>-6</x:v>
      </x:c>
      <x:c r="X1981" s="24" t="n">
        <x:f>IFERROR(K1981/I1981,0)</x:f>
        <x:v>0.4</x:v>
      </x:c>
      <x:c r="Y1981" s="24" t="n">
        <x:f>IFERROR(G1981/I1981,0)</x:f>
        <x:v>0.12</x:v>
      </x:c>
      <x:c r="Z1981" s="24" t="n">
        <x:f>IFERROR(G1981/K1981,0)</x:f>
        <x:v>0.3</x:v>
      </x:c>
      <x:c r="AA1981" s="24" t="n">
        <x:f>IFERROR(F1981/H1981,0)-IFERROR(G1981/I1981,0)</x:f>
        <x:v>-0.00888888888888889</x:v>
      </x:c>
      <x:c r="AB1981" s="28" t="n">
        <x:f>J1981-K1981</x:f>
        <x:v>-6</x:v>
      </x:c>
      <x:c r="AC1981" s="32" t="n">
        <x:f>F1981-G1981</x:f>
        <x:v>-2</x:v>
      </x:c>
    </x:row>
    <x:row r="1982">
      <x:c r="A1982" s="4" t="str">
        <x:v>2023-24</x:v>
      </x:c>
      <x:c r="B1982" s="20" t="n">
        <x:v>45332</x:v>
      </x:c>
      <x:c r="C1982" s="4" t="str">
        <x:v>Everton</x:v>
      </x:c>
      <x:c r="D1982" s="4" t="str">
        <x:v>Man City</x:v>
      </x:c>
      <x:c r="E1982" s="4" t="str">
        <x:v>Away</x:v>
      </x:c>
      <x:c r="F1982" s="28" t="n">
        <x:v>0</x:v>
      </x:c>
      <x:c r="G1982" s="28" t="n">
        <x:v>2</x:v>
      </x:c>
      <x:c r="H1982" s="28" t="n">
        <x:v>5</x:v>
      </x:c>
      <x:c r="I1982" s="28" t="n">
        <x:v>19</x:v>
      </x:c>
      <x:c r="J1982" s="28" t="n">
        <x:v>1</x:v>
      </x:c>
      <x:c r="K1982" s="28" t="n">
        <x:v>3</x:v>
      </x:c>
      <x:c r="L1982" s="28" t="n">
        <x:v>0</x:v>
      </x:c>
      <x:c r="M1982" s="28" t="n">
        <x:v>9</x:v>
      </x:c>
      <x:c r="N1982" s="28" t="n">
        <x:v>2</x:v>
      </x:c>
      <x:c r="O1982" s="28" t="n">
        <x:v>0</x:v>
      </x:c>
      <x:c r="P1982" s="28" t="n">
        <x:v>0</x:v>
      </x:c>
      <x:c r="Q1982" s="24" t="n">
        <x:f>IFERROR(J1982/H1982,0)</x:f>
        <x:v>0.2</x:v>
      </x:c>
      <x:c r="R1982" s="24" t="n">
        <x:f>IFERROR(F1982/H1982,0)</x:f>
        <x:v>0</x:v>
      </x:c>
      <x:c r="S1982" s="24" t="n">
        <x:f>IFERROR(F1982/J1982,0)</x:f>
        <x:v>0</x:v>
      </x:c>
      <x:c r="T1982" s="28" t="n">
        <x:f>H1982-I1982</x:f>
        <x:v>-14</x:v>
      </x:c>
      <x:c r="U1982" s="24" t="n">
        <x:f>IFERROR(J1982/H1982,0)-IFERROR(K1982/I1982,0)</x:f>
        <x:v>0.04210526315789476</x:v>
      </x:c>
      <x:c r="V1982" s="24" t="n">
        <x:f>IFERROR(F1982/J1982,0)-IFERROR(G1982/K1982,0)</x:f>
        <x:v>-0.6666666666666666</x:v>
      </x:c>
      <x:c r="W1982" s="28" t="n">
        <x:f>L1982-M1982</x:f>
        <x:v>-9</x:v>
      </x:c>
      <x:c r="X1982" s="24" t="n">
        <x:f>IFERROR(K1982/I1982,0)</x:f>
        <x:v>0.15789473684210525</x:v>
      </x:c>
      <x:c r="Y1982" s="24" t="n">
        <x:f>IFERROR(G1982/I1982,0)</x:f>
        <x:v>0.10526315789473684</x:v>
      </x:c>
      <x:c r="Z1982" s="24" t="n">
        <x:f>IFERROR(G1982/K1982,0)</x:f>
        <x:v>0.6666666666666666</x:v>
      </x:c>
      <x:c r="AA1982" s="24" t="n">
        <x:f>IFERROR(F1982/H1982,0)-IFERROR(G1982/I1982,0)</x:f>
        <x:v>-0.10526315789473684</x:v>
      </x:c>
      <x:c r="AB1982" s="28" t="n">
        <x:f>J1982-K1982</x:f>
        <x:v>-2</x:v>
      </x:c>
      <x:c r="AC1982" s="32" t="n">
        <x:f>F1982-G1982</x:f>
        <x:v>-2</x:v>
      </x:c>
    </x:row>
    <x:row r="1983">
      <x:c r="A1983" s="4" t="str">
        <x:v>2023-24</x:v>
      </x:c>
      <x:c r="B1983" s="20" t="n">
        <x:v>45332</x:v>
      </x:c>
      <x:c r="C1983" s="4" t="str">
        <x:v>Fulham</x:v>
      </x:c>
      <x:c r="D1983" s="4" t="str">
        <x:v>Bournemouth</x:v>
      </x:c>
      <x:c r="E1983" s="4" t="str">
        <x:v>Home</x:v>
      </x:c>
      <x:c r="F1983" s="28" t="n">
        <x:v>3</x:v>
      </x:c>
      <x:c r="G1983" s="28" t="n">
        <x:v>1</x:v>
      </x:c>
      <x:c r="H1983" s="28" t="n">
        <x:v>7</x:v>
      </x:c>
      <x:c r="I1983" s="28" t="n">
        <x:v>25</x:v>
      </x:c>
      <x:c r="J1983" s="28" t="n">
        <x:v>6</x:v>
      </x:c>
      <x:c r="K1983" s="28" t="n">
        <x:v>4</x:v>
      </x:c>
      <x:c r="L1983" s="28" t="n">
        <x:v>1</x:v>
      </x:c>
      <x:c r="M1983" s="28" t="n">
        <x:v>14</x:v>
      </x:c>
      <x:c r="N1983" s="28" t="n">
        <x:v>1</x:v>
      </x:c>
      <x:c r="O1983" s="28" t="n">
        <x:v>0</x:v>
      </x:c>
      <x:c r="P1983" s="28" t="n">
        <x:v>3</x:v>
      </x:c>
      <x:c r="Q1983" s="24" t="n">
        <x:f>IFERROR(J1983/H1983,0)</x:f>
        <x:v>0.8571428571428571</x:v>
      </x:c>
      <x:c r="R1983" s="24" t="n">
        <x:f>IFERROR(F1983/H1983,0)</x:f>
        <x:v>0.42857142857142855</x:v>
      </x:c>
      <x:c r="S1983" s="24" t="n">
        <x:f>IFERROR(F1983/J1983,0)</x:f>
        <x:v>0.5</x:v>
      </x:c>
      <x:c r="T1983" s="28" t="n">
        <x:f>H1983-I1983</x:f>
        <x:v>-18</x:v>
      </x:c>
      <x:c r="U1983" s="24" t="n">
        <x:f>IFERROR(J1983/H1983,0)-IFERROR(K1983/I1983,0)</x:f>
        <x:v>0.6971428571428571</x:v>
      </x:c>
      <x:c r="V1983" s="24" t="n">
        <x:f>IFERROR(F1983/J1983,0)-IFERROR(G1983/K1983,0)</x:f>
        <x:v>0.25</x:v>
      </x:c>
      <x:c r="W1983" s="28" t="n">
        <x:f>L1983-M1983</x:f>
        <x:v>-13</x:v>
      </x:c>
      <x:c r="X1983" s="24" t="n">
        <x:f>IFERROR(K1983/I1983,0)</x:f>
        <x:v>0.16</x:v>
      </x:c>
      <x:c r="Y1983" s="24" t="n">
        <x:f>IFERROR(G1983/I1983,0)</x:f>
        <x:v>0.04</x:v>
      </x:c>
      <x:c r="Z1983" s="24" t="n">
        <x:f>IFERROR(G1983/K1983,0)</x:f>
        <x:v>0.25</x:v>
      </x:c>
      <x:c r="AA1983" s="24" t="n">
        <x:f>IFERROR(F1983/H1983,0)-IFERROR(G1983/I1983,0)</x:f>
        <x:v>0.38857142857142857</x:v>
      </x:c>
      <x:c r="AB1983" s="28" t="n">
        <x:f>J1983-K1983</x:f>
        <x:v>2</x:v>
      </x:c>
      <x:c r="AC1983" s="32" t="n">
        <x:f>F1983-G1983</x:f>
        <x:v>2</x:v>
      </x:c>
    </x:row>
    <x:row r="1984">
      <x:c r="A1984" s="4" t="str">
        <x:v>2023-24</x:v>
      </x:c>
      <x:c r="B1984" s="20" t="n">
        <x:v>45332</x:v>
      </x:c>
      <x:c r="C1984" s="4" t="str">
        <x:v>Liverpool</x:v>
      </x:c>
      <x:c r="D1984" s="4" t="str">
        <x:v>Burnley</x:v>
      </x:c>
      <x:c r="E1984" s="4" t="str">
        <x:v>Home</x:v>
      </x:c>
      <x:c r="F1984" s="28" t="n">
        <x:v>3</x:v>
      </x:c>
      <x:c r="G1984" s="28" t="n">
        <x:v>1</x:v>
      </x:c>
      <x:c r="H1984" s="28" t="n">
        <x:v>25</x:v>
      </x:c>
      <x:c r="I1984" s="28" t="n">
        <x:v>9</x:v>
      </x:c>
      <x:c r="J1984" s="28" t="n">
        <x:v>10</x:v>
      </x:c>
      <x:c r="K1984" s="28" t="n">
        <x:v>4</x:v>
      </x:c>
      <x:c r="L1984" s="28" t="n">
        <x:v>9</x:v>
      </x:c>
      <x:c r="M1984" s="28" t="n">
        <x:v>3</x:v>
      </x:c>
      <x:c r="N1984" s="28" t="n">
        <x:v>3</x:v>
      </x:c>
      <x:c r="O1984" s="28" t="n">
        <x:v>0</x:v>
      </x:c>
      <x:c r="P1984" s="28" t="n">
        <x:v>3</x:v>
      </x:c>
      <x:c r="Q1984" s="24" t="n">
        <x:f>IFERROR(J1984/H1984,0)</x:f>
        <x:v>0.4</x:v>
      </x:c>
      <x:c r="R1984" s="24" t="n">
        <x:f>IFERROR(F1984/H1984,0)</x:f>
        <x:v>0.12</x:v>
      </x:c>
      <x:c r="S1984" s="24" t="n">
        <x:f>IFERROR(F1984/J1984,0)</x:f>
        <x:v>0.3</x:v>
      </x:c>
      <x:c r="T1984" s="28" t="n">
        <x:f>H1984-I1984</x:f>
        <x:v>16</x:v>
      </x:c>
      <x:c r="U1984" s="24" t="n">
        <x:f>IFERROR(J1984/H1984,0)-IFERROR(K1984/I1984,0)</x:f>
        <x:v>-0.0444444444444444</x:v>
      </x:c>
      <x:c r="V1984" s="24" t="n">
        <x:f>IFERROR(F1984/J1984,0)-IFERROR(G1984/K1984,0)</x:f>
        <x:v>0.04999999999999999</x:v>
      </x:c>
      <x:c r="W1984" s="28" t="n">
        <x:f>L1984-M1984</x:f>
        <x:v>6</x:v>
      </x:c>
      <x:c r="X1984" s="24" t="n">
        <x:f>IFERROR(K1984/I1984,0)</x:f>
        <x:v>0.4444444444444444</x:v>
      </x:c>
      <x:c r="Y1984" s="24" t="n">
        <x:f>IFERROR(G1984/I1984,0)</x:f>
        <x:v>0.1111111111111111</x:v>
      </x:c>
      <x:c r="Z1984" s="24" t="n">
        <x:f>IFERROR(G1984/K1984,0)</x:f>
        <x:v>0.25</x:v>
      </x:c>
      <x:c r="AA1984" s="24" t="n">
        <x:f>IFERROR(F1984/H1984,0)-IFERROR(G1984/I1984,0)</x:f>
        <x:v>0.00888888888888889</x:v>
      </x:c>
      <x:c r="AB1984" s="28" t="n">
        <x:f>J1984-K1984</x:f>
        <x:v>6</x:v>
      </x:c>
      <x:c r="AC1984" s="32" t="n">
        <x:f>F1984-G1984</x:f>
        <x:v>2</x:v>
      </x:c>
    </x:row>
    <x:row r="1985">
      <x:c r="A1985" s="4" t="str">
        <x:v>2023-24</x:v>
      </x:c>
      <x:c r="B1985" s="20" t="n">
        <x:v>45332</x:v>
      </x:c>
      <x:c r="C1985" s="4" t="str">
        <x:v>Luton</x:v>
      </x:c>
      <x:c r="D1985" s="4" t="str">
        <x:v>Sheffield United</x:v>
      </x:c>
      <x:c r="E1985" s="4" t="str">
        <x:v>Home</x:v>
      </x:c>
      <x:c r="F1985" s="28" t="n">
        <x:v>1</x:v>
      </x:c>
      <x:c r="G1985" s="28" t="n">
        <x:v>3</x:v>
      </x:c>
      <x:c r="H1985" s="28" t="n">
        <x:v>20</x:v>
      </x:c>
      <x:c r="I1985" s="28" t="n">
        <x:v>7</x:v>
      </x:c>
      <x:c r="J1985" s="28" t="n">
        <x:v>5</x:v>
      </x:c>
      <x:c r="K1985" s="28" t="n">
        <x:v>3</x:v>
      </x:c>
      <x:c r="L1985" s="28" t="n">
        <x:v>13</x:v>
      </x:c>
      <x:c r="M1985" s="28" t="n">
        <x:v>1</x:v>
      </x:c>
      <x:c r="N1985" s="28" t="n">
        <x:v>1</x:v>
      </x:c>
      <x:c r="O1985" s="28" t="n">
        <x:v>0</x:v>
      </x:c>
      <x:c r="P1985" s="28" t="n">
        <x:v>0</x:v>
      </x:c>
      <x:c r="Q1985" s="24" t="n">
        <x:f>IFERROR(J1985/H1985,0)</x:f>
        <x:v>0.25</x:v>
      </x:c>
      <x:c r="R1985" s="24" t="n">
        <x:f>IFERROR(F1985/H1985,0)</x:f>
        <x:v>0.05</x:v>
      </x:c>
      <x:c r="S1985" s="24" t="n">
        <x:f>IFERROR(F1985/J1985,0)</x:f>
        <x:v>0.2</x:v>
      </x:c>
      <x:c r="T1985" s="28" t="n">
        <x:f>H1985-I1985</x:f>
        <x:v>13</x:v>
      </x:c>
      <x:c r="U1985" s="24" t="n">
        <x:f>IFERROR(J1985/H1985,0)-IFERROR(K1985/I1985,0)</x:f>
        <x:v>-0.17857142857142855</x:v>
      </x:c>
      <x:c r="V1985" s="24" t="n">
        <x:f>IFERROR(F1985/J1985,0)-IFERROR(G1985/K1985,0)</x:f>
        <x:v>-0.8</x:v>
      </x:c>
      <x:c r="W1985" s="28" t="n">
        <x:f>L1985-M1985</x:f>
        <x:v>12</x:v>
      </x:c>
      <x:c r="X1985" s="24" t="n">
        <x:f>IFERROR(K1985/I1985,0)</x:f>
        <x:v>0.42857142857142855</x:v>
      </x:c>
      <x:c r="Y1985" s="24" t="n">
        <x:f>IFERROR(G1985/I1985,0)</x:f>
        <x:v>0.42857142857142855</x:v>
      </x:c>
      <x:c r="Z1985" s="24" t="n">
        <x:f>IFERROR(G1985/K1985,0)</x:f>
        <x:v>1</x:v>
      </x:c>
      <x:c r="AA1985" s="24" t="n">
        <x:f>IFERROR(F1985/H1985,0)-IFERROR(G1985/I1985,0)</x:f>
        <x:v>-0.37857142857142856</x:v>
      </x:c>
      <x:c r="AB1985" s="28" t="n">
        <x:f>J1985-K1985</x:f>
        <x:v>2</x:v>
      </x:c>
      <x:c r="AC1985" s="32" t="n">
        <x:f>F1985-G1985</x:f>
        <x:v>-2</x:v>
      </x:c>
    </x:row>
    <x:row r="1986">
      <x:c r="A1986" s="4" t="str">
        <x:v>2023-24</x:v>
      </x:c>
      <x:c r="B1986" s="20" t="n">
        <x:v>45332</x:v>
      </x:c>
      <x:c r="C1986" s="4" t="str">
        <x:v>Man City</x:v>
      </x:c>
      <x:c r="D1986" s="4" t="str">
        <x:v>Everton</x:v>
      </x:c>
      <x:c r="E1986" s="4" t="str">
        <x:v>Home</x:v>
      </x:c>
      <x:c r="F1986" s="28" t="n">
        <x:v>2</x:v>
      </x:c>
      <x:c r="G1986" s="28" t="n">
        <x:v>0</x:v>
      </x:c>
      <x:c r="H1986" s="28" t="n">
        <x:v>19</x:v>
      </x:c>
      <x:c r="I1986" s="28" t="n">
        <x:v>5</x:v>
      </x:c>
      <x:c r="J1986" s="28" t="n">
        <x:v>3</x:v>
      </x:c>
      <x:c r="K1986" s="28" t="n">
        <x:v>1</x:v>
      </x:c>
      <x:c r="L1986" s="28" t="n">
        <x:v>9</x:v>
      </x:c>
      <x:c r="M1986" s="28" t="n">
        <x:v>0</x:v>
      </x:c>
      <x:c r="N1986" s="28" t="n">
        <x:v>0</x:v>
      </x:c>
      <x:c r="O1986" s="28" t="n">
        <x:v>0</x:v>
      </x:c>
      <x:c r="P1986" s="28" t="n">
        <x:v>3</x:v>
      </x:c>
      <x:c r="Q1986" s="24" t="n">
        <x:f>IFERROR(J1986/H1986,0)</x:f>
        <x:v>0.15789473684210525</x:v>
      </x:c>
      <x:c r="R1986" s="24" t="n">
        <x:f>IFERROR(F1986/H1986,0)</x:f>
        <x:v>0.10526315789473684</x:v>
      </x:c>
      <x:c r="S1986" s="24" t="n">
        <x:f>IFERROR(F1986/J1986,0)</x:f>
        <x:v>0.6666666666666666</x:v>
      </x:c>
      <x:c r="T1986" s="28" t="n">
        <x:f>H1986-I1986</x:f>
        <x:v>14</x:v>
      </x:c>
      <x:c r="U1986" s="24" t="n">
        <x:f>IFERROR(J1986/H1986,0)-IFERROR(K1986/I1986,0)</x:f>
        <x:v>-0.04210526315789476</x:v>
      </x:c>
      <x:c r="V1986" s="24" t="n">
        <x:f>IFERROR(F1986/J1986,0)-IFERROR(G1986/K1986,0)</x:f>
        <x:v>0.6666666666666666</x:v>
      </x:c>
      <x:c r="W1986" s="28" t="n">
        <x:f>L1986-M1986</x:f>
        <x:v>9</x:v>
      </x:c>
      <x:c r="X1986" s="24" t="n">
        <x:f>IFERROR(K1986/I1986,0)</x:f>
        <x:v>0.2</x:v>
      </x:c>
      <x:c r="Y1986" s="24" t="n">
        <x:f>IFERROR(G1986/I1986,0)</x:f>
        <x:v>0</x:v>
      </x:c>
      <x:c r="Z1986" s="24" t="n">
        <x:f>IFERROR(G1986/K1986,0)</x:f>
        <x:v>0</x:v>
      </x:c>
      <x:c r="AA1986" s="24" t="n">
        <x:f>IFERROR(F1986/H1986,0)-IFERROR(G1986/I1986,0)</x:f>
        <x:v>0.10526315789473684</x:v>
      </x:c>
      <x:c r="AB1986" s="28" t="n">
        <x:f>J1986-K1986</x:f>
        <x:v>2</x:v>
      </x:c>
      <x:c r="AC1986" s="32" t="n">
        <x:f>F1986-G1986</x:f>
        <x:v>2</x:v>
      </x:c>
    </x:row>
    <x:row r="1987">
      <x:c r="A1987" s="4" t="str">
        <x:v>2023-24</x:v>
      </x:c>
      <x:c r="B1987" s="20" t="n">
        <x:v>45332</x:v>
      </x:c>
      <x:c r="C1987" s="4" t="str">
        <x:v>Newcastle</x:v>
      </x:c>
      <x:c r="D1987" s="4" t="str">
        <x:v>Nott'm Forest</x:v>
      </x:c>
      <x:c r="E1987" s="4" t="str">
        <x:v>Away</x:v>
      </x:c>
      <x:c r="F1987" s="28" t="n">
        <x:v>3</x:v>
      </x:c>
      <x:c r="G1987" s="28" t="n">
        <x:v>2</x:v>
      </x:c>
      <x:c r="H1987" s="28" t="n">
        <x:v>7</x:v>
      </x:c>
      <x:c r="I1987" s="28" t="n">
        <x:v>13</x:v>
      </x:c>
      <x:c r="J1987" s="28" t="n">
        <x:v>5</x:v>
      </x:c>
      <x:c r="K1987" s="28" t="n">
        <x:v>3</x:v>
      </x:c>
      <x:c r="L1987" s="28" t="n">
        <x:v>4</x:v>
      </x:c>
      <x:c r="M1987" s="28" t="n">
        <x:v>4</x:v>
      </x:c>
      <x:c r="N1987" s="28" t="n">
        <x:v>2</x:v>
      </x:c>
      <x:c r="O1987" s="28" t="n">
        <x:v>0</x:v>
      </x:c>
      <x:c r="P1987" s="28" t="n">
        <x:v>3</x:v>
      </x:c>
      <x:c r="Q1987" s="24" t="n">
        <x:f>IFERROR(J1987/H1987,0)</x:f>
        <x:v>0.7142857142857143</x:v>
      </x:c>
      <x:c r="R1987" s="24" t="n">
        <x:f>IFERROR(F1987/H1987,0)</x:f>
        <x:v>0.42857142857142855</x:v>
      </x:c>
      <x:c r="S1987" s="24" t="n">
        <x:f>IFERROR(F1987/J1987,0)</x:f>
        <x:v>0.6</x:v>
      </x:c>
      <x:c r="T1987" s="28" t="n">
        <x:f>H1987-I1987</x:f>
        <x:v>-6</x:v>
      </x:c>
      <x:c r="U1987" s="24" t="n">
        <x:f>IFERROR(J1987/H1987,0)-IFERROR(K1987/I1987,0)</x:f>
        <x:v>0.4835164835164835</x:v>
      </x:c>
      <x:c r="V1987" s="24" t="n">
        <x:f>IFERROR(F1987/J1987,0)-IFERROR(G1987/K1987,0)</x:f>
        <x:v>-0.06666666666666665</x:v>
      </x:c>
      <x:c r="W1987" s="28" t="n">
        <x:f>L1987-M1987</x:f>
        <x:v>0</x:v>
      </x:c>
      <x:c r="X1987" s="24" t="n">
        <x:f>IFERROR(K1987/I1987,0)</x:f>
        <x:v>0.23076923076923078</x:v>
      </x:c>
      <x:c r="Y1987" s="24" t="n">
        <x:f>IFERROR(G1987/I1987,0)</x:f>
        <x:v>0.15384615384615385</x:v>
      </x:c>
      <x:c r="Z1987" s="24" t="n">
        <x:f>IFERROR(G1987/K1987,0)</x:f>
        <x:v>0.6666666666666666</x:v>
      </x:c>
      <x:c r="AA1987" s="24" t="n">
        <x:f>IFERROR(F1987/H1987,0)-IFERROR(G1987/I1987,0)</x:f>
        <x:v>0.2747252747252747</x:v>
      </x:c>
      <x:c r="AB1987" s="28" t="n">
        <x:f>J1987-K1987</x:f>
        <x:v>2</x:v>
      </x:c>
      <x:c r="AC1987" s="32" t="n">
        <x:f>F1987-G1987</x:f>
        <x:v>1</x:v>
      </x:c>
    </x:row>
    <x:row r="1988">
      <x:c r="A1988" s="4" t="str">
        <x:v>2023-24</x:v>
      </x:c>
      <x:c r="B1988" s="20" t="n">
        <x:v>45332</x:v>
      </x:c>
      <x:c r="C1988" s="4" t="str">
        <x:v>Nott'm Forest</x:v>
      </x:c>
      <x:c r="D1988" s="4" t="str">
        <x:v>Newcastle</x:v>
      </x:c>
      <x:c r="E1988" s="4" t="str">
        <x:v>Home</x:v>
      </x:c>
      <x:c r="F1988" s="28" t="n">
        <x:v>2</x:v>
      </x:c>
      <x:c r="G1988" s="28" t="n">
        <x:v>3</x:v>
      </x:c>
      <x:c r="H1988" s="28" t="n">
        <x:v>13</x:v>
      </x:c>
      <x:c r="I1988" s="28" t="n">
        <x:v>7</x:v>
      </x:c>
      <x:c r="J1988" s="28" t="n">
        <x:v>3</x:v>
      </x:c>
      <x:c r="K1988" s="28" t="n">
        <x:v>5</x:v>
      </x:c>
      <x:c r="L1988" s="28" t="n">
        <x:v>4</x:v>
      </x:c>
      <x:c r="M1988" s="28" t="n">
        <x:v>4</x:v>
      </x:c>
      <x:c r="N1988" s="28" t="n">
        <x:v>1</x:v>
      </x:c>
      <x:c r="O1988" s="28" t="n">
        <x:v>0</x:v>
      </x:c>
      <x:c r="P1988" s="28" t="n">
        <x:v>0</x:v>
      </x:c>
      <x:c r="Q1988" s="24" t="n">
        <x:f>IFERROR(J1988/H1988,0)</x:f>
        <x:v>0.23076923076923078</x:v>
      </x:c>
      <x:c r="R1988" s="24" t="n">
        <x:f>IFERROR(F1988/H1988,0)</x:f>
        <x:v>0.15384615384615385</x:v>
      </x:c>
      <x:c r="S1988" s="24" t="n">
        <x:f>IFERROR(F1988/J1988,0)</x:f>
        <x:v>0.6666666666666666</x:v>
      </x:c>
      <x:c r="T1988" s="28" t="n">
        <x:f>H1988-I1988</x:f>
        <x:v>6</x:v>
      </x:c>
      <x:c r="U1988" s="24" t="n">
        <x:f>IFERROR(J1988/H1988,0)-IFERROR(K1988/I1988,0)</x:f>
        <x:v>-0.4835164835164835</x:v>
      </x:c>
      <x:c r="V1988" s="24" t="n">
        <x:f>IFERROR(F1988/J1988,0)-IFERROR(G1988/K1988,0)</x:f>
        <x:v>0.06666666666666665</x:v>
      </x:c>
      <x:c r="W1988" s="28" t="n">
        <x:f>L1988-M1988</x:f>
        <x:v>0</x:v>
      </x:c>
      <x:c r="X1988" s="24" t="n">
        <x:f>IFERROR(K1988/I1988,0)</x:f>
        <x:v>0.7142857142857143</x:v>
      </x:c>
      <x:c r="Y1988" s="24" t="n">
        <x:f>IFERROR(G1988/I1988,0)</x:f>
        <x:v>0.42857142857142855</x:v>
      </x:c>
      <x:c r="Z1988" s="24" t="n">
        <x:f>IFERROR(G1988/K1988,0)</x:f>
        <x:v>0.6</x:v>
      </x:c>
      <x:c r="AA1988" s="24" t="n">
        <x:f>IFERROR(F1988/H1988,0)-IFERROR(G1988/I1988,0)</x:f>
        <x:v>-0.2747252747252747</x:v>
      </x:c>
      <x:c r="AB1988" s="28" t="n">
        <x:f>J1988-K1988</x:f>
        <x:v>-2</x:v>
      </x:c>
      <x:c r="AC1988" s="32" t="n">
        <x:f>F1988-G1988</x:f>
        <x:v>-1</x:v>
      </x:c>
    </x:row>
    <x:row r="1989">
      <x:c r="A1989" s="4" t="str">
        <x:v>2023-24</x:v>
      </x:c>
      <x:c r="B1989" s="20" t="n">
        <x:v>45332</x:v>
      </x:c>
      <x:c r="C1989" s="4" t="str">
        <x:v>Sheffield United</x:v>
      </x:c>
      <x:c r="D1989" s="4" t="str">
        <x:v>Luton</x:v>
      </x:c>
      <x:c r="E1989" s="4" t="str">
        <x:v>Away</x:v>
      </x:c>
      <x:c r="F1989" s="28" t="n">
        <x:v>3</x:v>
      </x:c>
      <x:c r="G1989" s="28" t="n">
        <x:v>1</x:v>
      </x:c>
      <x:c r="H1989" s="28" t="n">
        <x:v>7</x:v>
      </x:c>
      <x:c r="I1989" s="28" t="n">
        <x:v>20</x:v>
      </x:c>
      <x:c r="J1989" s="28" t="n">
        <x:v>3</x:v>
      </x:c>
      <x:c r="K1989" s="28" t="n">
        <x:v>5</x:v>
      </x:c>
      <x:c r="L1989" s="28" t="n">
        <x:v>1</x:v>
      </x:c>
      <x:c r="M1989" s="28" t="n">
        <x:v>13</x:v>
      </x:c>
      <x:c r="N1989" s="28" t="n">
        <x:v>2</x:v>
      </x:c>
      <x:c r="O1989" s="28" t="n">
        <x:v>0</x:v>
      </x:c>
      <x:c r="P1989" s="28" t="n">
        <x:v>3</x:v>
      </x:c>
      <x:c r="Q1989" s="24" t="n">
        <x:f>IFERROR(J1989/H1989,0)</x:f>
        <x:v>0.42857142857142855</x:v>
      </x:c>
      <x:c r="R1989" s="24" t="n">
        <x:f>IFERROR(F1989/H1989,0)</x:f>
        <x:v>0.42857142857142855</x:v>
      </x:c>
      <x:c r="S1989" s="24" t="n">
        <x:f>IFERROR(F1989/J1989,0)</x:f>
        <x:v>1</x:v>
      </x:c>
      <x:c r="T1989" s="28" t="n">
        <x:f>H1989-I1989</x:f>
        <x:v>-13</x:v>
      </x:c>
      <x:c r="U1989" s="24" t="n">
        <x:f>IFERROR(J1989/H1989,0)-IFERROR(K1989/I1989,0)</x:f>
        <x:v>0.17857142857142855</x:v>
      </x:c>
      <x:c r="V1989" s="24" t="n">
        <x:f>IFERROR(F1989/J1989,0)-IFERROR(G1989/K1989,0)</x:f>
        <x:v>0.8</x:v>
      </x:c>
      <x:c r="W1989" s="28" t="n">
        <x:f>L1989-M1989</x:f>
        <x:v>-12</x:v>
      </x:c>
      <x:c r="X1989" s="24" t="n">
        <x:f>IFERROR(K1989/I1989,0)</x:f>
        <x:v>0.25</x:v>
      </x:c>
      <x:c r="Y1989" s="24" t="n">
        <x:f>IFERROR(G1989/I1989,0)</x:f>
        <x:v>0.05</x:v>
      </x:c>
      <x:c r="Z1989" s="24" t="n">
        <x:f>IFERROR(G1989/K1989,0)</x:f>
        <x:v>0.2</x:v>
      </x:c>
      <x:c r="AA1989" s="24" t="n">
        <x:f>IFERROR(F1989/H1989,0)-IFERROR(G1989/I1989,0)</x:f>
        <x:v>0.37857142857142856</x:v>
      </x:c>
      <x:c r="AB1989" s="28" t="n">
        <x:f>J1989-K1989</x:f>
        <x:v>-2</x:v>
      </x:c>
      <x:c r="AC1989" s="32" t="n">
        <x:f>F1989-G1989</x:f>
        <x:v>2</x:v>
      </x:c>
    </x:row>
    <x:row r="1990">
      <x:c r="A1990" s="4" t="str">
        <x:v>2023-24</x:v>
      </x:c>
      <x:c r="B1990" s="20" t="n">
        <x:v>45332</x:v>
      </x:c>
      <x:c r="C1990" s="4" t="str">
        <x:v>Tottenham</x:v>
      </x:c>
      <x:c r="D1990" s="4" t="str">
        <x:v>Brighton</x:v>
      </x:c>
      <x:c r="E1990" s="4" t="str">
        <x:v>Home</x:v>
      </x:c>
      <x:c r="F1990" s="28" t="n">
        <x:v>2</x:v>
      </x:c>
      <x:c r="G1990" s="28" t="n">
        <x:v>1</x:v>
      </x:c>
      <x:c r="H1990" s="28" t="n">
        <x:v>16</x:v>
      </x:c>
      <x:c r="I1990" s="28" t="n">
        <x:v>6</x:v>
      </x:c>
      <x:c r="J1990" s="28" t="n">
        <x:v>6</x:v>
      </x:c>
      <x:c r="K1990" s="28" t="n">
        <x:v>3</x:v>
      </x:c>
      <x:c r="L1990" s="28" t="n">
        <x:v>9</x:v>
      </x:c>
      <x:c r="M1990" s="28" t="n">
        <x:v>6</x:v>
      </x:c>
      <x:c r="N1990" s="28" t="n">
        <x:v>2</x:v>
      </x:c>
      <x:c r="O1990" s="28" t="n">
        <x:v>0</x:v>
      </x:c>
      <x:c r="P1990" s="28" t="n">
        <x:v>3</x:v>
      </x:c>
      <x:c r="Q1990" s="24" t="n">
        <x:f>IFERROR(J1990/H1990,0)</x:f>
        <x:v>0.375</x:v>
      </x:c>
      <x:c r="R1990" s="24" t="n">
        <x:f>IFERROR(F1990/H1990,0)</x:f>
        <x:v>0.125</x:v>
      </x:c>
      <x:c r="S1990" s="24" t="n">
        <x:f>IFERROR(F1990/J1990,0)</x:f>
        <x:v>0.3333333333333333</x:v>
      </x:c>
      <x:c r="T1990" s="28" t="n">
        <x:f>H1990-I1990</x:f>
        <x:v>10</x:v>
      </x:c>
      <x:c r="U1990" s="24" t="n">
        <x:f>IFERROR(J1990/H1990,0)-IFERROR(K1990/I1990,0)</x:f>
        <x:v>-0.125</x:v>
      </x:c>
      <x:c r="V1990" s="24" t="n">
        <x:f>IFERROR(F1990/J1990,0)-IFERROR(G1990/K1990,0)</x:f>
        <x:v>0</x:v>
      </x:c>
      <x:c r="W1990" s="28" t="n">
        <x:f>L1990-M1990</x:f>
        <x:v>3</x:v>
      </x:c>
      <x:c r="X1990" s="24" t="n">
        <x:f>IFERROR(K1990/I1990,0)</x:f>
        <x:v>0.5</x:v>
      </x:c>
      <x:c r="Y1990" s="24" t="n">
        <x:f>IFERROR(G1990/I1990,0)</x:f>
        <x:v>0.16666666666666666</x:v>
      </x:c>
      <x:c r="Z1990" s="24" t="n">
        <x:f>IFERROR(G1990/K1990,0)</x:f>
        <x:v>0.3333333333333333</x:v>
      </x:c>
      <x:c r="AA1990" s="24" t="n">
        <x:f>IFERROR(F1990/H1990,0)-IFERROR(G1990/I1990,0)</x:f>
        <x:v>-0.04166666666666666</x:v>
      </x:c>
      <x:c r="AB1990" s="28" t="n">
        <x:f>J1990-K1990</x:f>
        <x:v>3</x:v>
      </x:c>
      <x:c r="AC1990" s="32" t="n">
        <x:f>F1990-G1990</x:f>
        <x:v>1</x:v>
      </x:c>
    </x:row>
    <x:row r="1991">
      <x:c r="A1991" s="4" t="str">
        <x:v>2023-24</x:v>
      </x:c>
      <x:c r="B1991" s="20" t="n">
        <x:v>45332</x:v>
      </x:c>
      <x:c r="C1991" s="4" t="str">
        <x:v>Wolves</x:v>
      </x:c>
      <x:c r="D1991" s="4" t="str">
        <x:v>Brentford</x:v>
      </x:c>
      <x:c r="E1991" s="4" t="str">
        <x:v>Home</x:v>
      </x:c>
      <x:c r="F1991" s="28" t="n">
        <x:v>0</x:v>
      </x:c>
      <x:c r="G1991" s="28" t="n">
        <x:v>2</x:v>
      </x:c>
      <x:c r="H1991" s="28" t="n">
        <x:v>17</x:v>
      </x:c>
      <x:c r="I1991" s="28" t="n">
        <x:v>9</x:v>
      </x:c>
      <x:c r="J1991" s="28" t="n">
        <x:v>5</x:v>
      </x:c>
      <x:c r="K1991" s="28" t="n">
        <x:v>6</x:v>
      </x:c>
      <x:c r="L1991" s="28" t="n">
        <x:v>7</x:v>
      </x:c>
      <x:c r="M1991" s="28" t="n">
        <x:v>4</x:v>
      </x:c>
      <x:c r="N1991" s="28" t="n">
        <x:v>2</x:v>
      </x:c>
      <x:c r="O1991" s="28" t="n">
        <x:v>0</x:v>
      </x:c>
      <x:c r="P1991" s="28" t="n">
        <x:v>0</x:v>
      </x:c>
      <x:c r="Q1991" s="24" t="n">
        <x:f>IFERROR(J1991/H1991,0)</x:f>
        <x:v>0.29411764705882354</x:v>
      </x:c>
      <x:c r="R1991" s="24" t="n">
        <x:f>IFERROR(F1991/H1991,0)</x:f>
        <x:v>0</x:v>
      </x:c>
      <x:c r="S1991" s="24" t="n">
        <x:f>IFERROR(F1991/J1991,0)</x:f>
        <x:v>0</x:v>
      </x:c>
      <x:c r="T1991" s="28" t="n">
        <x:f>H1991-I1991</x:f>
        <x:v>8</x:v>
      </x:c>
      <x:c r="U1991" s="24" t="n">
        <x:f>IFERROR(J1991/H1991,0)-IFERROR(K1991/I1991,0)</x:f>
        <x:v>-0.3725490196078431</x:v>
      </x:c>
      <x:c r="V1991" s="24" t="n">
        <x:f>IFERROR(F1991/J1991,0)-IFERROR(G1991/K1991,0)</x:f>
        <x:v>-0.3333333333333333</x:v>
      </x:c>
      <x:c r="W1991" s="28" t="n">
        <x:f>L1991-M1991</x:f>
        <x:v>3</x:v>
      </x:c>
      <x:c r="X1991" s="24" t="n">
        <x:f>IFERROR(K1991/I1991,0)</x:f>
        <x:v>0.6666666666666666</x:v>
      </x:c>
      <x:c r="Y1991" s="24" t="n">
        <x:f>IFERROR(G1991/I1991,0)</x:f>
        <x:v>0.2222222222222222</x:v>
      </x:c>
      <x:c r="Z1991" s="24" t="n">
        <x:f>IFERROR(G1991/K1991,0)</x:f>
        <x:v>0.3333333333333333</x:v>
      </x:c>
      <x:c r="AA1991" s="24" t="n">
        <x:f>IFERROR(F1991/H1991,0)-IFERROR(G1991/I1991,0)</x:f>
        <x:v>-0.2222222222222222</x:v>
      </x:c>
      <x:c r="AB1991" s="28" t="n">
        <x:f>J1991-K1991</x:f>
        <x:v>-1</x:v>
      </x:c>
      <x:c r="AC1991" s="32" t="n">
        <x:f>F1991-G1991</x:f>
        <x:v>-2</x:v>
      </x:c>
    </x:row>
    <x:row r="1992">
      <x:c r="A1992" s="4" t="str">
        <x:v>2023-24</x:v>
      </x:c>
      <x:c r="B1992" s="20" t="n">
        <x:v>45333</x:v>
      </x:c>
      <x:c r="C1992" s="4" t="str">
        <x:v>Arsenal</x:v>
      </x:c>
      <x:c r="D1992" s="4" t="str">
        <x:v>West Ham</x:v>
      </x:c>
      <x:c r="E1992" s="4" t="str">
        <x:v>Away</x:v>
      </x:c>
      <x:c r="F1992" s="28" t="n">
        <x:v>6</x:v>
      </x:c>
      <x:c r="G1992" s="28" t="n">
        <x:v>0</x:v>
      </x:c>
      <x:c r="H1992" s="28" t="n">
        <x:v>25</x:v>
      </x:c>
      <x:c r="I1992" s="28" t="n">
        <x:v>5</x:v>
      </x:c>
      <x:c r="J1992" s="28" t="n">
        <x:v>12</x:v>
      </x:c>
      <x:c r="K1992" s="28" t="n">
        <x:v>1</x:v>
      </x:c>
      <x:c r="L1992" s="28" t="n">
        <x:v>6</x:v>
      </x:c>
      <x:c r="M1992" s="28" t="n">
        <x:v>2</x:v>
      </x:c>
      <x:c r="N1992" s="28" t="n">
        <x:v>0</x:v>
      </x:c>
      <x:c r="O1992" s="28" t="n">
        <x:v>0</x:v>
      </x:c>
      <x:c r="P1992" s="28" t="n">
        <x:v>3</x:v>
      </x:c>
      <x:c r="Q1992" s="24" t="n">
        <x:f>IFERROR(J1992/H1992,0)</x:f>
        <x:v>0.48</x:v>
      </x:c>
      <x:c r="R1992" s="24" t="n">
        <x:f>IFERROR(F1992/H1992,0)</x:f>
        <x:v>0.24</x:v>
      </x:c>
      <x:c r="S1992" s="24" t="n">
        <x:f>IFERROR(F1992/J1992,0)</x:f>
        <x:v>0.5</x:v>
      </x:c>
      <x:c r="T1992" s="28" t="n">
        <x:f>H1992-I1992</x:f>
        <x:v>20</x:v>
      </x:c>
      <x:c r="U1992" s="24" t="n">
        <x:f>IFERROR(J1992/H1992,0)-IFERROR(K1992/I1992,0)</x:f>
        <x:v>0.27999999999999997</x:v>
      </x:c>
      <x:c r="V1992" s="24" t="n">
        <x:f>IFERROR(F1992/J1992,0)-IFERROR(G1992/K1992,0)</x:f>
        <x:v>0.5</x:v>
      </x:c>
      <x:c r="W1992" s="28" t="n">
        <x:f>L1992-M1992</x:f>
        <x:v>4</x:v>
      </x:c>
      <x:c r="X1992" s="24" t="n">
        <x:f>IFERROR(K1992/I1992,0)</x:f>
        <x:v>0.2</x:v>
      </x:c>
      <x:c r="Y1992" s="24" t="n">
        <x:f>IFERROR(G1992/I1992,0)</x:f>
        <x:v>0</x:v>
      </x:c>
      <x:c r="Z1992" s="24" t="n">
        <x:f>IFERROR(G1992/K1992,0)</x:f>
        <x:v>0</x:v>
      </x:c>
      <x:c r="AA1992" s="24" t="n">
        <x:f>IFERROR(F1992/H1992,0)-IFERROR(G1992/I1992,0)</x:f>
        <x:v>0.24</x:v>
      </x:c>
      <x:c r="AB1992" s="28" t="n">
        <x:f>J1992-K1992</x:f>
        <x:v>11</x:v>
      </x:c>
      <x:c r="AC1992" s="32" t="n">
        <x:f>F1992-G1992</x:f>
        <x:v>6</x:v>
      </x:c>
    </x:row>
    <x:row r="1993">
      <x:c r="A1993" s="4" t="str">
        <x:v>2023-24</x:v>
      </x:c>
      <x:c r="B1993" s="20" t="n">
        <x:v>45333</x:v>
      </x:c>
      <x:c r="C1993" s="4" t="str">
        <x:v>Aston Villa</x:v>
      </x:c>
      <x:c r="D1993" s="4" t="str">
        <x:v>Man United</x:v>
      </x:c>
      <x:c r="E1993" s="4" t="str">
        <x:v>Home</x:v>
      </x:c>
      <x:c r="F1993" s="28" t="n">
        <x:v>1</x:v>
      </x:c>
      <x:c r="G1993" s="28" t="n">
        <x:v>2</x:v>
      </x:c>
      <x:c r="H1993" s="28" t="n">
        <x:v>23</x:v>
      </x:c>
      <x:c r="I1993" s="28" t="n">
        <x:v>17</x:v>
      </x:c>
      <x:c r="J1993" s="28" t="n">
        <x:v>10</x:v>
      </x:c>
      <x:c r="K1993" s="28" t="n">
        <x:v>5</x:v>
      </x:c>
      <x:c r="L1993" s="28" t="n">
        <x:v>10</x:v>
      </x:c>
      <x:c r="M1993" s="28" t="n">
        <x:v>8</x:v>
      </x:c>
      <x:c r="N1993" s="28" t="n">
        <x:v>3</x:v>
      </x:c>
      <x:c r="O1993" s="28" t="n">
        <x:v>0</x:v>
      </x:c>
      <x:c r="P1993" s="28" t="n">
        <x:v>0</x:v>
      </x:c>
      <x:c r="Q1993" s="24" t="n">
        <x:f>IFERROR(J1993/H1993,0)</x:f>
        <x:v>0.43478260869565216</x:v>
      </x:c>
      <x:c r="R1993" s="24" t="n">
        <x:f>IFERROR(F1993/H1993,0)</x:f>
        <x:v>0.043478260869565216</x:v>
      </x:c>
      <x:c r="S1993" s="24" t="n">
        <x:f>IFERROR(F1993/J1993,0)</x:f>
        <x:v>0.1</x:v>
      </x:c>
      <x:c r="T1993" s="28" t="n">
        <x:f>H1993-I1993</x:f>
        <x:v>6</x:v>
      </x:c>
      <x:c r="U1993" s="24" t="n">
        <x:f>IFERROR(J1993/H1993,0)-IFERROR(K1993/I1993,0)</x:f>
        <x:v>0.14066496163682862</x:v>
      </x:c>
      <x:c r="V1993" s="24" t="n">
        <x:f>IFERROR(F1993/J1993,0)-IFERROR(G1993/K1993,0)</x:f>
        <x:v>-0.30000000000000004</x:v>
      </x:c>
      <x:c r="W1993" s="28" t="n">
        <x:f>L1993-M1993</x:f>
        <x:v>2</x:v>
      </x:c>
      <x:c r="X1993" s="24" t="n">
        <x:f>IFERROR(K1993/I1993,0)</x:f>
        <x:v>0.29411764705882354</x:v>
      </x:c>
      <x:c r="Y1993" s="24" t="n">
        <x:f>IFERROR(G1993/I1993,0)</x:f>
        <x:v>0.11764705882352941</x:v>
      </x:c>
      <x:c r="Z1993" s="24" t="n">
        <x:f>IFERROR(G1993/K1993,0)</x:f>
        <x:v>0.4</x:v>
      </x:c>
      <x:c r="AA1993" s="24" t="n">
        <x:f>IFERROR(F1993/H1993,0)-IFERROR(G1993/I1993,0)</x:f>
        <x:v>-0.0741687979539642</x:v>
      </x:c>
      <x:c r="AB1993" s="28" t="n">
        <x:f>J1993-K1993</x:f>
        <x:v>5</x:v>
      </x:c>
      <x:c r="AC1993" s="32" t="n">
        <x:f>F1993-G1993</x:f>
        <x:v>-1</x:v>
      </x:c>
    </x:row>
    <x:row r="1994">
      <x:c r="A1994" s="4" t="str">
        <x:v>2023-24</x:v>
      </x:c>
      <x:c r="B1994" s="20" t="n">
        <x:v>45333</x:v>
      </x:c>
      <x:c r="C1994" s="4" t="str">
        <x:v>Man United</x:v>
      </x:c>
      <x:c r="D1994" s="4" t="str">
        <x:v>Aston Villa</x:v>
      </x:c>
      <x:c r="E1994" s="4" t="str">
        <x:v>Away</x:v>
      </x:c>
      <x:c r="F1994" s="28" t="n">
        <x:v>2</x:v>
      </x:c>
      <x:c r="G1994" s="28" t="n">
        <x:v>1</x:v>
      </x:c>
      <x:c r="H1994" s="28" t="n">
        <x:v>17</x:v>
      </x:c>
      <x:c r="I1994" s="28" t="n">
        <x:v>23</x:v>
      </x:c>
      <x:c r="J1994" s="28" t="n">
        <x:v>5</x:v>
      </x:c>
      <x:c r="K1994" s="28" t="n">
        <x:v>10</x:v>
      </x:c>
      <x:c r="L1994" s="28" t="n">
        <x:v>8</x:v>
      </x:c>
      <x:c r="M1994" s="28" t="n">
        <x:v>10</x:v>
      </x:c>
      <x:c r="N1994" s="28" t="n">
        <x:v>2</x:v>
      </x:c>
      <x:c r="O1994" s="28" t="n">
        <x:v>0</x:v>
      </x:c>
      <x:c r="P1994" s="28" t="n">
        <x:v>3</x:v>
      </x:c>
      <x:c r="Q1994" s="24" t="n">
        <x:f>IFERROR(J1994/H1994,0)</x:f>
        <x:v>0.29411764705882354</x:v>
      </x:c>
      <x:c r="R1994" s="24" t="n">
        <x:f>IFERROR(F1994/H1994,0)</x:f>
        <x:v>0.11764705882352941</x:v>
      </x:c>
      <x:c r="S1994" s="24" t="n">
        <x:f>IFERROR(F1994/J1994,0)</x:f>
        <x:v>0.4</x:v>
      </x:c>
      <x:c r="T1994" s="28" t="n">
        <x:f>H1994-I1994</x:f>
        <x:v>-6</x:v>
      </x:c>
      <x:c r="U1994" s="24" t="n">
        <x:f>IFERROR(J1994/H1994,0)-IFERROR(K1994/I1994,0)</x:f>
        <x:v>-0.14066496163682862</x:v>
      </x:c>
      <x:c r="V1994" s="24" t="n">
        <x:f>IFERROR(F1994/J1994,0)-IFERROR(G1994/K1994,0)</x:f>
        <x:v>0.30000000000000004</x:v>
      </x:c>
      <x:c r="W1994" s="28" t="n">
        <x:f>L1994-M1994</x:f>
        <x:v>-2</x:v>
      </x:c>
      <x:c r="X1994" s="24" t="n">
        <x:f>IFERROR(K1994/I1994,0)</x:f>
        <x:v>0.43478260869565216</x:v>
      </x:c>
      <x:c r="Y1994" s="24" t="n">
        <x:f>IFERROR(G1994/I1994,0)</x:f>
        <x:v>0.043478260869565216</x:v>
      </x:c>
      <x:c r="Z1994" s="24" t="n">
        <x:f>IFERROR(G1994/K1994,0)</x:f>
        <x:v>0.1</x:v>
      </x:c>
      <x:c r="AA1994" s="24" t="n">
        <x:f>IFERROR(F1994/H1994,0)-IFERROR(G1994/I1994,0)</x:f>
        <x:v>0.0741687979539642</x:v>
      </x:c>
      <x:c r="AB1994" s="28" t="n">
        <x:f>J1994-K1994</x:f>
        <x:v>-5</x:v>
      </x:c>
      <x:c r="AC1994" s="32" t="n">
        <x:f>F1994-G1994</x:f>
        <x:v>1</x:v>
      </x:c>
    </x:row>
    <x:row r="1995">
      <x:c r="A1995" s="4" t="str">
        <x:v>2023-24</x:v>
      </x:c>
      <x:c r="B1995" s="20" t="n">
        <x:v>45333</x:v>
      </x:c>
      <x:c r="C1995" s="4" t="str">
        <x:v>West Ham</x:v>
      </x:c>
      <x:c r="D1995" s="4" t="str">
        <x:v>Arsenal</x:v>
      </x:c>
      <x:c r="E1995" s="4" t="str">
        <x:v>Home</x:v>
      </x:c>
      <x:c r="F1995" s="28" t="n">
        <x:v>0</x:v>
      </x:c>
      <x:c r="G1995" s="28" t="n">
        <x:v>6</x:v>
      </x:c>
      <x:c r="H1995" s="28" t="n">
        <x:v>5</x:v>
      </x:c>
      <x:c r="I1995" s="28" t="n">
        <x:v>25</x:v>
      </x:c>
      <x:c r="J1995" s="28" t="n">
        <x:v>1</x:v>
      </x:c>
      <x:c r="K1995" s="28" t="n">
        <x:v>12</x:v>
      </x:c>
      <x:c r="L1995" s="28" t="n">
        <x:v>2</x:v>
      </x:c>
      <x:c r="M1995" s="28" t="n">
        <x:v>6</x:v>
      </x:c>
      <x:c r="N1995" s="28" t="n">
        <x:v>4</x:v>
      </x:c>
      <x:c r="O1995" s="28" t="n">
        <x:v>0</x:v>
      </x:c>
      <x:c r="P1995" s="28" t="n">
        <x:v>0</x:v>
      </x:c>
      <x:c r="Q1995" s="24" t="n">
        <x:f>IFERROR(J1995/H1995,0)</x:f>
        <x:v>0.2</x:v>
      </x:c>
      <x:c r="R1995" s="24" t="n">
        <x:f>IFERROR(F1995/H1995,0)</x:f>
        <x:v>0</x:v>
      </x:c>
      <x:c r="S1995" s="24" t="n">
        <x:f>IFERROR(F1995/J1995,0)</x:f>
        <x:v>0</x:v>
      </x:c>
      <x:c r="T1995" s="28" t="n">
        <x:f>H1995-I1995</x:f>
        <x:v>-20</x:v>
      </x:c>
      <x:c r="U1995" s="24" t="n">
        <x:f>IFERROR(J1995/H1995,0)-IFERROR(K1995/I1995,0)</x:f>
        <x:v>-0.27999999999999997</x:v>
      </x:c>
      <x:c r="V1995" s="24" t="n">
        <x:f>IFERROR(F1995/J1995,0)-IFERROR(G1995/K1995,0)</x:f>
        <x:v>-0.5</x:v>
      </x:c>
      <x:c r="W1995" s="28" t="n">
        <x:f>L1995-M1995</x:f>
        <x:v>-4</x:v>
      </x:c>
      <x:c r="X1995" s="24" t="n">
        <x:f>IFERROR(K1995/I1995,0)</x:f>
        <x:v>0.48</x:v>
      </x:c>
      <x:c r="Y1995" s="24" t="n">
        <x:f>IFERROR(G1995/I1995,0)</x:f>
        <x:v>0.24</x:v>
      </x:c>
      <x:c r="Z1995" s="24" t="n">
        <x:f>IFERROR(G1995/K1995,0)</x:f>
        <x:v>0.5</x:v>
      </x:c>
      <x:c r="AA1995" s="24" t="n">
        <x:f>IFERROR(F1995/H1995,0)-IFERROR(G1995/I1995,0)</x:f>
        <x:v>-0.24</x:v>
      </x:c>
      <x:c r="AB1995" s="28" t="n">
        <x:f>J1995-K1995</x:f>
        <x:v>-11</x:v>
      </x:c>
      <x:c r="AC1995" s="32" t="n">
        <x:f>F1995-G1995</x:f>
        <x:v>-6</x:v>
      </x:c>
    </x:row>
    <x:row r="1996">
      <x:c r="A1996" s="4" t="str">
        <x:v>2023-24</x:v>
      </x:c>
      <x:c r="B1996" s="20" t="n">
        <x:v>45334</x:v>
      </x:c>
      <x:c r="C1996" s="4" t="str">
        <x:v>Chelsea</x:v>
      </x:c>
      <x:c r="D1996" s="4" t="str">
        <x:v>Crystal Palace</x:v>
      </x:c>
      <x:c r="E1996" s="4" t="str">
        <x:v>Away</x:v>
      </x:c>
      <x:c r="F1996" s="28" t="n">
        <x:v>3</x:v>
      </x:c>
      <x:c r="G1996" s="28" t="n">
        <x:v>1</x:v>
      </x:c>
      <x:c r="H1996" s="28" t="n">
        <x:v>14</x:v>
      </x:c>
      <x:c r="I1996" s="28" t="n">
        <x:v>13</x:v>
      </x:c>
      <x:c r="J1996" s="28" t="n">
        <x:v>5</x:v>
      </x:c>
      <x:c r="K1996" s="28" t="n">
        <x:v>4</x:v>
      </x:c>
      <x:c r="L1996" s="28" t="n">
        <x:v>7</x:v>
      </x:c>
      <x:c r="M1996" s="28" t="n">
        <x:v>1</x:v>
      </x:c>
      <x:c r="N1996" s="28" t="n">
        <x:v>2</x:v>
      </x:c>
      <x:c r="O1996" s="28" t="n">
        <x:v>0</x:v>
      </x:c>
      <x:c r="P1996" s="28" t="n">
        <x:v>3</x:v>
      </x:c>
      <x:c r="Q1996" s="24" t="n">
        <x:f>IFERROR(J1996/H1996,0)</x:f>
        <x:v>0.35714285714285715</x:v>
      </x:c>
      <x:c r="R1996" s="24" t="n">
        <x:f>IFERROR(F1996/H1996,0)</x:f>
        <x:v>0.21428571428571427</x:v>
      </x:c>
      <x:c r="S1996" s="24" t="n">
        <x:f>IFERROR(F1996/J1996,0)</x:f>
        <x:v>0.6</x:v>
      </x:c>
      <x:c r="T1996" s="28" t="n">
        <x:f>H1996-I1996</x:f>
        <x:v>1</x:v>
      </x:c>
      <x:c r="U1996" s="24" t="n">
        <x:f>IFERROR(J1996/H1996,0)-IFERROR(K1996/I1996,0)</x:f>
        <x:v>0.04945054945054944</x:v>
      </x:c>
      <x:c r="V1996" s="24" t="n">
        <x:f>IFERROR(F1996/J1996,0)-IFERROR(G1996/K1996,0)</x:f>
        <x:v>0.35</x:v>
      </x:c>
      <x:c r="W1996" s="28" t="n">
        <x:f>L1996-M1996</x:f>
        <x:v>6</x:v>
      </x:c>
      <x:c r="X1996" s="24" t="n">
        <x:f>IFERROR(K1996/I1996,0)</x:f>
        <x:v>0.3076923076923077</x:v>
      </x:c>
      <x:c r="Y1996" s="24" t="n">
        <x:f>IFERROR(G1996/I1996,0)</x:f>
        <x:v>0.07692307692307693</x:v>
      </x:c>
      <x:c r="Z1996" s="24" t="n">
        <x:f>IFERROR(G1996/K1996,0)</x:f>
        <x:v>0.25</x:v>
      </x:c>
      <x:c r="AA1996" s="24" t="n">
        <x:f>IFERROR(F1996/H1996,0)-IFERROR(G1996/I1996,0)</x:f>
        <x:v>0.13736263736263735</x:v>
      </x:c>
      <x:c r="AB1996" s="28" t="n">
        <x:f>J1996-K1996</x:f>
        <x:v>1</x:v>
      </x:c>
      <x:c r="AC1996" s="32" t="n">
        <x:f>F1996-G1996</x:f>
        <x:v>2</x:v>
      </x:c>
    </x:row>
    <x:row r="1997">
      <x:c r="A1997" s="4" t="str">
        <x:v>2023-24</x:v>
      </x:c>
      <x:c r="B1997" s="20" t="n">
        <x:v>45334</x:v>
      </x:c>
      <x:c r="C1997" s="4" t="str">
        <x:v>Crystal Palace</x:v>
      </x:c>
      <x:c r="D1997" s="4" t="str">
        <x:v>Chelsea</x:v>
      </x:c>
      <x:c r="E1997" s="4" t="str">
        <x:v>Home</x:v>
      </x:c>
      <x:c r="F1997" s="28" t="n">
        <x:v>1</x:v>
      </x:c>
      <x:c r="G1997" s="28" t="n">
        <x:v>3</x:v>
      </x:c>
      <x:c r="H1997" s="28" t="n">
        <x:v>13</x:v>
      </x:c>
      <x:c r="I1997" s="28" t="n">
        <x:v>14</x:v>
      </x:c>
      <x:c r="J1997" s="28" t="n">
        <x:v>4</x:v>
      </x:c>
      <x:c r="K1997" s="28" t="n">
        <x:v>5</x:v>
      </x:c>
      <x:c r="L1997" s="28" t="n">
        <x:v>1</x:v>
      </x:c>
      <x:c r="M1997" s="28" t="n">
        <x:v>7</x:v>
      </x:c>
      <x:c r="N1997" s="28" t="n">
        <x:v>2</x:v>
      </x:c>
      <x:c r="O1997" s="28" t="n">
        <x:v>0</x:v>
      </x:c>
      <x:c r="P1997" s="28" t="n">
        <x:v>0</x:v>
      </x:c>
      <x:c r="Q1997" s="24" t="n">
        <x:f>IFERROR(J1997/H1997,0)</x:f>
        <x:v>0.3076923076923077</x:v>
      </x:c>
      <x:c r="R1997" s="24" t="n">
        <x:f>IFERROR(F1997/H1997,0)</x:f>
        <x:v>0.07692307692307693</x:v>
      </x:c>
      <x:c r="S1997" s="24" t="n">
        <x:f>IFERROR(F1997/J1997,0)</x:f>
        <x:v>0.25</x:v>
      </x:c>
      <x:c r="T1997" s="28" t="n">
        <x:f>H1997-I1997</x:f>
        <x:v>-1</x:v>
      </x:c>
      <x:c r="U1997" s="24" t="n">
        <x:f>IFERROR(J1997/H1997,0)-IFERROR(K1997/I1997,0)</x:f>
        <x:v>-0.04945054945054944</x:v>
      </x:c>
      <x:c r="V1997" s="24" t="n">
        <x:f>IFERROR(F1997/J1997,0)-IFERROR(G1997/K1997,0)</x:f>
        <x:v>-0.35</x:v>
      </x:c>
      <x:c r="W1997" s="28" t="n">
        <x:f>L1997-M1997</x:f>
        <x:v>-6</x:v>
      </x:c>
      <x:c r="X1997" s="24" t="n">
        <x:f>IFERROR(K1997/I1997,0)</x:f>
        <x:v>0.35714285714285715</x:v>
      </x:c>
      <x:c r="Y1997" s="24" t="n">
        <x:f>IFERROR(G1997/I1997,0)</x:f>
        <x:v>0.21428571428571427</x:v>
      </x:c>
      <x:c r="Z1997" s="24" t="n">
        <x:f>IFERROR(G1997/K1997,0)</x:f>
        <x:v>0.6</x:v>
      </x:c>
      <x:c r="AA1997" s="24" t="n">
        <x:f>IFERROR(F1997/H1997,0)-IFERROR(G1997/I1997,0)</x:f>
        <x:v>-0.13736263736263735</x:v>
      </x:c>
      <x:c r="AB1997" s="28" t="n">
        <x:f>J1997-K1997</x:f>
        <x:v>-1</x:v>
      </x:c>
      <x:c r="AC1997" s="32" t="n">
        <x:f>F1997-G1997</x:f>
        <x:v>-2</x:v>
      </x:c>
    </x:row>
    <x:row r="1998">
      <x:c r="A1998" s="4" t="str">
        <x:v>2023-24</x:v>
      </x:c>
      <x:c r="B1998" s="20" t="n">
        <x:v>45339</x:v>
      </x:c>
      <x:c r="C1998" s="4" t="str">
        <x:v>Arsenal</x:v>
      </x:c>
      <x:c r="D1998" s="4" t="str">
        <x:v>Burnley</x:v>
      </x:c>
      <x:c r="E1998" s="4" t="str">
        <x:v>Away</x:v>
      </x:c>
      <x:c r="F1998" s="28" t="n">
        <x:v>5</x:v>
      </x:c>
      <x:c r="G1998" s="28" t="n">
        <x:v>0</x:v>
      </x:c>
      <x:c r="H1998" s="28" t="n">
        <x:v>16</x:v>
      </x:c>
      <x:c r="I1998" s="28" t="n">
        <x:v>8</x:v>
      </x:c>
      <x:c r="J1998" s="28" t="n">
        <x:v>7</x:v>
      </x:c>
      <x:c r="K1998" s="28" t="n">
        <x:v>0</x:v>
      </x:c>
      <x:c r="L1998" s="28" t="n">
        <x:v>6</x:v>
      </x:c>
      <x:c r="M1998" s="28" t="n">
        <x:v>4</x:v>
      </x:c>
      <x:c r="N1998" s="28" t="n">
        <x:v>1</x:v>
      </x:c>
      <x:c r="O1998" s="28" t="n">
        <x:v>0</x:v>
      </x:c>
      <x:c r="P1998" s="28" t="n">
        <x:v>3</x:v>
      </x:c>
      <x:c r="Q1998" s="24" t="n">
        <x:f>IFERROR(J1998/H1998,0)</x:f>
        <x:v>0.4375</x:v>
      </x:c>
      <x:c r="R1998" s="24" t="n">
        <x:f>IFERROR(F1998/H1998,0)</x:f>
        <x:v>0.3125</x:v>
      </x:c>
      <x:c r="S1998" s="24" t="n">
        <x:f>IFERROR(F1998/J1998,0)</x:f>
        <x:v>0.7142857142857143</x:v>
      </x:c>
      <x:c r="T1998" s="28" t="n">
        <x:f>H1998-I1998</x:f>
        <x:v>8</x:v>
      </x:c>
      <x:c r="U1998" s="24" t="n">
        <x:f>IFERROR(J1998/H1998,0)-IFERROR(K1998/I1998,0)</x:f>
        <x:v>0.4375</x:v>
      </x:c>
      <x:c r="V1998" s="24" t="n">
        <x:f>IFERROR(F1998/J1998,0)-IFERROR(G1998/K1998,0)</x:f>
        <x:v>0.7142857142857143</x:v>
      </x:c>
      <x:c r="W1998" s="28" t="n">
        <x:f>L1998-M1998</x:f>
        <x:v>2</x:v>
      </x:c>
      <x:c r="X1998" s="24" t="n">
        <x:f>IFERROR(K1998/I1998,0)</x:f>
        <x:v>0</x:v>
      </x:c>
      <x:c r="Y1998" s="24" t="n">
        <x:f>IFERROR(G1998/I1998,0)</x:f>
        <x:v>0</x:v>
      </x:c>
      <x:c r="Z1998" s="24" t="n">
        <x:f>IFERROR(G1998/K1998,0)</x:f>
        <x:v>0</x:v>
      </x:c>
      <x:c r="AA1998" s="24" t="n">
        <x:f>IFERROR(F1998/H1998,0)-IFERROR(G1998/I1998,0)</x:f>
        <x:v>0.3125</x:v>
      </x:c>
      <x:c r="AB1998" s="28" t="n">
        <x:f>J1998-K1998</x:f>
        <x:v>7</x:v>
      </x:c>
      <x:c r="AC1998" s="32" t="n">
        <x:f>F1998-G1998</x:f>
        <x:v>5</x:v>
      </x:c>
    </x:row>
    <x:row r="1999">
      <x:c r="A1999" s="4" t="str">
        <x:v>2023-24</x:v>
      </x:c>
      <x:c r="B1999" s="20" t="n">
        <x:v>45339</x:v>
      </x:c>
      <x:c r="C1999" s="4" t="str">
        <x:v>Aston Villa</x:v>
      </x:c>
      <x:c r="D1999" s="4" t="str">
        <x:v>Fulham</x:v>
      </x:c>
      <x:c r="E1999" s="4" t="str">
        <x:v>Away</x:v>
      </x:c>
      <x:c r="F1999" s="28" t="n">
        <x:v>2</x:v>
      </x:c>
      <x:c r="G1999" s="28" t="n">
        <x:v>1</x:v>
      </x:c>
      <x:c r="H1999" s="28" t="n">
        <x:v>12</x:v>
      </x:c>
      <x:c r="I1999" s="28" t="n">
        <x:v>15</x:v>
      </x:c>
      <x:c r="J1999" s="28" t="n">
        <x:v>3</x:v>
      </x:c>
      <x:c r="K1999" s="28" t="n">
        <x:v>4</x:v>
      </x:c>
      <x:c r="L1999" s="28" t="n">
        <x:v>4</x:v>
      </x:c>
      <x:c r="M1999" s="28" t="n">
        <x:v>4</x:v>
      </x:c>
      <x:c r="N1999" s="28" t="n">
        <x:v>2</x:v>
      </x:c>
      <x:c r="O1999" s="28" t="n">
        <x:v>0</x:v>
      </x:c>
      <x:c r="P1999" s="28" t="n">
        <x:v>3</x:v>
      </x:c>
      <x:c r="Q1999" s="24" t="n">
        <x:f>IFERROR(J1999/H1999,0)</x:f>
        <x:v>0.25</x:v>
      </x:c>
      <x:c r="R1999" s="24" t="n">
        <x:f>IFERROR(F1999/H1999,0)</x:f>
        <x:v>0.16666666666666666</x:v>
      </x:c>
      <x:c r="S1999" s="24" t="n">
        <x:f>IFERROR(F1999/J1999,0)</x:f>
        <x:v>0.6666666666666666</x:v>
      </x:c>
      <x:c r="T1999" s="28" t="n">
        <x:f>H1999-I1999</x:f>
        <x:v>-3</x:v>
      </x:c>
      <x:c r="U1999" s="24" t="n">
        <x:f>IFERROR(J1999/H1999,0)-IFERROR(K1999/I1999,0)</x:f>
        <x:v>-0.016666666666666663</x:v>
      </x:c>
      <x:c r="V1999" s="24" t="n">
        <x:f>IFERROR(F1999/J1999,0)-IFERROR(G1999/K1999,0)</x:f>
        <x:v>0.41666666666666663</x:v>
      </x:c>
      <x:c r="W1999" s="28" t="n">
        <x:f>L1999-M1999</x:f>
        <x:v>0</x:v>
      </x:c>
      <x:c r="X1999" s="24" t="n">
        <x:f>IFERROR(K1999/I1999,0)</x:f>
        <x:v>0.26666666666666666</x:v>
      </x:c>
      <x:c r="Y1999" s="24" t="n">
        <x:f>IFERROR(G1999/I1999,0)</x:f>
        <x:v>0.06666666666666667</x:v>
      </x:c>
      <x:c r="Z1999" s="24" t="n">
        <x:f>IFERROR(G1999/K1999,0)</x:f>
        <x:v>0.25</x:v>
      </x:c>
      <x:c r="AA1999" s="24" t="n">
        <x:f>IFERROR(F1999/H1999,0)-IFERROR(G1999/I1999,0)</x:f>
        <x:v>0.09999999999999999</x:v>
      </x:c>
      <x:c r="AB1999" s="28" t="n">
        <x:f>J1999-K1999</x:f>
        <x:v>-1</x:v>
      </x:c>
      <x:c r="AC1999" s="32" t="n">
        <x:f>F1999-G1999</x:f>
        <x:v>1</x:v>
      </x:c>
    </x:row>
    <x:row r="2000">
      <x:c r="A2000" s="4" t="str">
        <x:v>2023-24</x:v>
      </x:c>
      <x:c r="B2000" s="20" t="n">
        <x:v>45339</x:v>
      </x:c>
      <x:c r="C2000" s="4" t="str">
        <x:v>Bournemouth</x:v>
      </x:c>
      <x:c r="D2000" s="4" t="str">
        <x:v>Newcastle</x:v>
      </x:c>
      <x:c r="E2000" s="4" t="str">
        <x:v>Away</x:v>
      </x:c>
      <x:c r="F2000" s="28" t="n">
        <x:v>2</x:v>
      </x:c>
      <x:c r="G2000" s="28" t="n">
        <x:v>2</x:v>
      </x:c>
      <x:c r="H2000" s="28" t="n">
        <x:v>12</x:v>
      </x:c>
      <x:c r="I2000" s="28" t="n">
        <x:v>17</x:v>
      </x:c>
      <x:c r="J2000" s="28" t="n">
        <x:v>7</x:v>
      </x:c>
      <x:c r="K2000" s="28" t="n">
        <x:v>5</x:v>
      </x:c>
      <x:c r="L2000" s="28" t="n">
        <x:v>2</x:v>
      </x:c>
      <x:c r="M2000" s="28" t="n">
        <x:v>4</x:v>
      </x:c>
      <x:c r="N2000" s="28" t="n">
        <x:v>3</x:v>
      </x:c>
      <x:c r="O2000" s="28" t="n">
        <x:v>0</x:v>
      </x:c>
      <x:c r="P2000" s="28" t="n">
        <x:v>1</x:v>
      </x:c>
      <x:c r="Q2000" s="24" t="n">
        <x:f>IFERROR(J2000/H2000,0)</x:f>
        <x:v>0.5833333333333334</x:v>
      </x:c>
      <x:c r="R2000" s="24" t="n">
        <x:f>IFERROR(F2000/H2000,0)</x:f>
        <x:v>0.16666666666666666</x:v>
      </x:c>
      <x:c r="S2000" s="24" t="n">
        <x:f>IFERROR(F2000/J2000,0)</x:f>
        <x:v>0.2857142857142857</x:v>
      </x:c>
      <x:c r="T2000" s="28" t="n">
        <x:f>H2000-I2000</x:f>
        <x:v>-5</x:v>
      </x:c>
      <x:c r="U2000" s="24" t="n">
        <x:f>IFERROR(J2000/H2000,0)-IFERROR(K2000/I2000,0)</x:f>
        <x:v>0.28921568627450983</x:v>
      </x:c>
      <x:c r="V2000" s="24" t="n">
        <x:f>IFERROR(F2000/J2000,0)-IFERROR(G2000/K2000,0)</x:f>
        <x:v>-0.11428571428571432</x:v>
      </x:c>
      <x:c r="W2000" s="28" t="n">
        <x:f>L2000-M2000</x:f>
        <x:v>-2</x:v>
      </x:c>
      <x:c r="X2000" s="24" t="n">
        <x:f>IFERROR(K2000/I2000,0)</x:f>
        <x:v>0.29411764705882354</x:v>
      </x:c>
      <x:c r="Y2000" s="24" t="n">
        <x:f>IFERROR(G2000/I2000,0)</x:f>
        <x:v>0.11764705882352941</x:v>
      </x:c>
      <x:c r="Z2000" s="24" t="n">
        <x:f>IFERROR(G2000/K2000,0)</x:f>
        <x:v>0.4</x:v>
      </x:c>
      <x:c r="AA2000" s="24" t="n">
        <x:f>IFERROR(F2000/H2000,0)-IFERROR(G2000/I2000,0)</x:f>
        <x:v>0.04901960784313725</x:v>
      </x:c>
      <x:c r="AB2000" s="28" t="n">
        <x:f>J2000-K2000</x:f>
        <x:v>2</x:v>
      </x:c>
      <x:c r="AC2000" s="32" t="n">
        <x:f>F2000-G2000</x:f>
        <x:v>0</x:v>
      </x:c>
    </x:row>
    <x:row r="2001">
      <x:c r="A2001" s="4" t="str">
        <x:v>2023-24</x:v>
      </x:c>
      <x:c r="B2001" s="20" t="n">
        <x:v>45339</x:v>
      </x:c>
      <x:c r="C2001" s="4" t="str">
        <x:v>Brentford</x:v>
      </x:c>
      <x:c r="D2001" s="4" t="str">
        <x:v>Liverpool</x:v>
      </x:c>
      <x:c r="E2001" s="4" t="str">
        <x:v>Home</x:v>
      </x:c>
      <x:c r="F2001" s="28" t="n">
        <x:v>1</x:v>
      </x:c>
      <x:c r="G2001" s="28" t="n">
        <x:v>4</x:v>
      </x:c>
      <x:c r="H2001" s="28" t="n">
        <x:v>15</x:v>
      </x:c>
      <x:c r="I2001" s="28" t="n">
        <x:v>15</x:v>
      </x:c>
      <x:c r="J2001" s="28" t="n">
        <x:v>6</x:v>
      </x:c>
      <x:c r="K2001" s="28" t="n">
        <x:v>8</x:v>
      </x:c>
      <x:c r="L2001" s="28" t="n">
        <x:v>1</x:v>
      </x:c>
      <x:c r="M2001" s="28" t="n">
        <x:v>6</x:v>
      </x:c>
      <x:c r="N2001" s="28" t="n">
        <x:v>2</x:v>
      </x:c>
      <x:c r="O2001" s="28" t="n">
        <x:v>0</x:v>
      </x:c>
      <x:c r="P2001" s="28" t="n">
        <x:v>0</x:v>
      </x:c>
      <x:c r="Q2001" s="24" t="n">
        <x:f>IFERROR(J2001/H2001,0)</x:f>
        <x:v>0.4</x:v>
      </x:c>
      <x:c r="R2001" s="24" t="n">
        <x:f>IFERROR(F2001/H2001,0)</x:f>
        <x:v>0.06666666666666667</x:v>
      </x:c>
      <x:c r="S2001" s="24" t="n">
        <x:f>IFERROR(F2001/J2001,0)</x:f>
        <x:v>0.16666666666666666</x:v>
      </x:c>
      <x:c r="T2001" s="28" t="n">
        <x:f>H2001-I2001</x:f>
        <x:v>0</x:v>
      </x:c>
      <x:c r="U2001" s="24" t="n">
        <x:f>IFERROR(J2001/H2001,0)-IFERROR(K2001/I2001,0)</x:f>
        <x:v>-0.1333333333333333</x:v>
      </x:c>
      <x:c r="V2001" s="24" t="n">
        <x:f>IFERROR(F2001/J2001,0)-IFERROR(G2001/K2001,0)</x:f>
        <x:v>-0.33333333333333337</x:v>
      </x:c>
      <x:c r="W2001" s="28" t="n">
        <x:f>L2001-M2001</x:f>
        <x:v>-5</x:v>
      </x:c>
      <x:c r="X2001" s="24" t="n">
        <x:f>IFERROR(K2001/I2001,0)</x:f>
        <x:v>0.5333333333333333</x:v>
      </x:c>
      <x:c r="Y2001" s="24" t="n">
        <x:f>IFERROR(G2001/I2001,0)</x:f>
        <x:v>0.26666666666666666</x:v>
      </x:c>
      <x:c r="Z2001" s="24" t="n">
        <x:f>IFERROR(G2001/K2001,0)</x:f>
        <x:v>0.5</x:v>
      </x:c>
      <x:c r="AA2001" s="24" t="n">
        <x:f>IFERROR(F2001/H2001,0)-IFERROR(G2001/I2001,0)</x:f>
        <x:v>-0.2</x:v>
      </x:c>
      <x:c r="AB2001" s="28" t="n">
        <x:f>J2001-K2001</x:f>
        <x:v>-2</x:v>
      </x:c>
      <x:c r="AC2001" s="32" t="n">
        <x:f>F2001-G2001</x:f>
        <x:v>-3</x:v>
      </x:c>
    </x:row>
    <x:row r="2002">
      <x:c r="A2002" s="4" t="str">
        <x:v>2023-24</x:v>
      </x:c>
      <x:c r="B2002" s="20" t="n">
        <x:v>45339</x:v>
      </x:c>
      <x:c r="C2002" s="4" t="str">
        <x:v>Burnley</x:v>
      </x:c>
      <x:c r="D2002" s="4" t="str">
        <x:v>Arsenal</x:v>
      </x:c>
      <x:c r="E2002" s="4" t="str">
        <x:v>Home</x:v>
      </x:c>
      <x:c r="F2002" s="28" t="n">
        <x:v>0</x:v>
      </x:c>
      <x:c r="G2002" s="28" t="n">
        <x:v>5</x:v>
      </x:c>
      <x:c r="H2002" s="28" t="n">
        <x:v>8</x:v>
      </x:c>
      <x:c r="I2002" s="28" t="n">
        <x:v>16</x:v>
      </x:c>
      <x:c r="J2002" s="28" t="n">
        <x:v>0</x:v>
      </x:c>
      <x:c r="K2002" s="28" t="n">
        <x:v>7</x:v>
      </x:c>
      <x:c r="L2002" s="28" t="n">
        <x:v>4</x:v>
      </x:c>
      <x:c r="M2002" s="28" t="n">
        <x:v>6</x:v>
      </x:c>
      <x:c r="N2002" s="28" t="n">
        <x:v>2</x:v>
      </x:c>
      <x:c r="O2002" s="28" t="n">
        <x:v>0</x:v>
      </x:c>
      <x:c r="P2002" s="28" t="n">
        <x:v>0</x:v>
      </x:c>
      <x:c r="Q2002" s="24" t="n">
        <x:f>IFERROR(J2002/H2002,0)</x:f>
        <x:v>0</x:v>
      </x:c>
      <x:c r="R2002" s="24" t="n">
        <x:f>IFERROR(F2002/H2002,0)</x:f>
        <x:v>0</x:v>
      </x:c>
      <x:c r="S2002" s="24" t="n">
        <x:f>IFERROR(F2002/J2002,0)</x:f>
        <x:v>0</x:v>
      </x:c>
      <x:c r="T2002" s="28" t="n">
        <x:f>H2002-I2002</x:f>
        <x:v>-8</x:v>
      </x:c>
      <x:c r="U2002" s="24" t="n">
        <x:f>IFERROR(J2002/H2002,0)-IFERROR(K2002/I2002,0)</x:f>
        <x:v>-0.4375</x:v>
      </x:c>
      <x:c r="V2002" s="24" t="n">
        <x:f>IFERROR(F2002/J2002,0)-IFERROR(G2002/K2002,0)</x:f>
        <x:v>-0.7142857142857143</x:v>
      </x:c>
      <x:c r="W2002" s="28" t="n">
        <x:f>L2002-M2002</x:f>
        <x:v>-2</x:v>
      </x:c>
      <x:c r="X2002" s="24" t="n">
        <x:f>IFERROR(K2002/I2002,0)</x:f>
        <x:v>0.4375</x:v>
      </x:c>
      <x:c r="Y2002" s="24" t="n">
        <x:f>IFERROR(G2002/I2002,0)</x:f>
        <x:v>0.3125</x:v>
      </x:c>
      <x:c r="Z2002" s="24" t="n">
        <x:f>IFERROR(G2002/K2002,0)</x:f>
        <x:v>0.7142857142857143</x:v>
      </x:c>
      <x:c r="AA2002" s="24" t="n">
        <x:f>IFERROR(F2002/H2002,0)-IFERROR(G2002/I2002,0)</x:f>
        <x:v>-0.3125</x:v>
      </x:c>
      <x:c r="AB2002" s="28" t="n">
        <x:f>J2002-K2002</x:f>
        <x:v>-7</x:v>
      </x:c>
      <x:c r="AC2002" s="32" t="n">
        <x:f>F2002-G2002</x:f>
        <x:v>-5</x:v>
      </x:c>
    </x:row>
    <x:row r="2003">
      <x:c r="A2003" s="4" t="str">
        <x:v>2023-24</x:v>
      </x:c>
      <x:c r="B2003" s="20" t="n">
        <x:v>45339</x:v>
      </x:c>
      <x:c r="C2003" s="4" t="str">
        <x:v>Chelsea</x:v>
      </x:c>
      <x:c r="D2003" s="4" t="str">
        <x:v>Man City</x:v>
      </x:c>
      <x:c r="E2003" s="4" t="str">
        <x:v>Away</x:v>
      </x:c>
      <x:c r="F2003" s="28" t="n">
        <x:v>1</x:v>
      </x:c>
      <x:c r="G2003" s="28" t="n">
        <x:v>1</x:v>
      </x:c>
      <x:c r="H2003" s="28" t="n">
        <x:v>9</x:v>
      </x:c>
      <x:c r="I2003" s="28" t="n">
        <x:v>31</x:v>
      </x:c>
      <x:c r="J2003" s="28" t="n">
        <x:v>6</x:v>
      </x:c>
      <x:c r="K2003" s="28" t="n">
        <x:v>5</x:v>
      </x:c>
      <x:c r="L2003" s="28" t="n">
        <x:v>1</x:v>
      </x:c>
      <x:c r="M2003" s="28" t="n">
        <x:v>12</x:v>
      </x:c>
      <x:c r="N2003" s="28" t="n">
        <x:v>3</x:v>
      </x:c>
      <x:c r="O2003" s="28" t="n">
        <x:v>0</x:v>
      </x:c>
      <x:c r="P2003" s="28" t="n">
        <x:v>1</x:v>
      </x:c>
      <x:c r="Q2003" s="24" t="n">
        <x:f>IFERROR(J2003/H2003,0)</x:f>
        <x:v>0.6666666666666666</x:v>
      </x:c>
      <x:c r="R2003" s="24" t="n">
        <x:f>IFERROR(F2003/H2003,0)</x:f>
        <x:v>0.1111111111111111</x:v>
      </x:c>
      <x:c r="S2003" s="24" t="n">
        <x:f>IFERROR(F2003/J2003,0)</x:f>
        <x:v>0.16666666666666666</x:v>
      </x:c>
      <x:c r="T2003" s="28" t="n">
        <x:f>H2003-I2003</x:f>
        <x:v>-22</x:v>
      </x:c>
      <x:c r="U2003" s="24" t="n">
        <x:f>IFERROR(J2003/H2003,0)-IFERROR(K2003/I2003,0)</x:f>
        <x:v>0.5053763440860215</x:v>
      </x:c>
      <x:c r="V2003" s="24" t="n">
        <x:f>IFERROR(F2003/J2003,0)-IFERROR(G2003/K2003,0)</x:f>
        <x:v>-0.033333333333333354</x:v>
      </x:c>
      <x:c r="W2003" s="28" t="n">
        <x:f>L2003-M2003</x:f>
        <x:v>-11</x:v>
      </x:c>
      <x:c r="X2003" s="24" t="n">
        <x:f>IFERROR(K2003/I2003,0)</x:f>
        <x:v>0.16129032258064516</x:v>
      </x:c>
      <x:c r="Y2003" s="24" t="n">
        <x:f>IFERROR(G2003/I2003,0)</x:f>
        <x:v>0.03225806451612903</x:v>
      </x:c>
      <x:c r="Z2003" s="24" t="n">
        <x:f>IFERROR(G2003/K2003,0)</x:f>
        <x:v>0.2</x:v>
      </x:c>
      <x:c r="AA2003" s="24" t="n">
        <x:f>IFERROR(F2003/H2003,0)-IFERROR(G2003/I2003,0)</x:f>
        <x:v>0.07885304659498207</x:v>
      </x:c>
      <x:c r="AB2003" s="28" t="n">
        <x:f>J2003-K2003</x:f>
        <x:v>1</x:v>
      </x:c>
      <x:c r="AC2003" s="32" t="n">
        <x:f>F2003-G2003</x:f>
        <x:v>0</x:v>
      </x:c>
    </x:row>
    <x:row r="2004">
      <x:c r="A2004" s="4" t="str">
        <x:v>2023-24</x:v>
      </x:c>
      <x:c r="B2004" s="20" t="n">
        <x:v>45339</x:v>
      </x:c>
      <x:c r="C2004" s="4" t="str">
        <x:v>Fulham</x:v>
      </x:c>
      <x:c r="D2004" s="4" t="str">
        <x:v>Aston Villa</x:v>
      </x:c>
      <x:c r="E2004" s="4" t="str">
        <x:v>Home</x:v>
      </x:c>
      <x:c r="F2004" s="28" t="n">
        <x:v>1</x:v>
      </x:c>
      <x:c r="G2004" s="28" t="n">
        <x:v>2</x:v>
      </x:c>
      <x:c r="H2004" s="28" t="n">
        <x:v>15</x:v>
      </x:c>
      <x:c r="I2004" s="28" t="n">
        <x:v>12</x:v>
      </x:c>
      <x:c r="J2004" s="28" t="n">
        <x:v>4</x:v>
      </x:c>
      <x:c r="K2004" s="28" t="n">
        <x:v>3</x:v>
      </x:c>
      <x:c r="L2004" s="28" t="n">
        <x:v>4</x:v>
      </x:c>
      <x:c r="M2004" s="28" t="n">
        <x:v>4</x:v>
      </x:c>
      <x:c r="N2004" s="28" t="n">
        <x:v>5</x:v>
      </x:c>
      <x:c r="O2004" s="28" t="n">
        <x:v>0</x:v>
      </x:c>
      <x:c r="P2004" s="28" t="n">
        <x:v>0</x:v>
      </x:c>
      <x:c r="Q2004" s="24" t="n">
        <x:f>IFERROR(J2004/H2004,0)</x:f>
        <x:v>0.26666666666666666</x:v>
      </x:c>
      <x:c r="R2004" s="24" t="n">
        <x:f>IFERROR(F2004/H2004,0)</x:f>
        <x:v>0.06666666666666667</x:v>
      </x:c>
      <x:c r="S2004" s="24" t="n">
        <x:f>IFERROR(F2004/J2004,0)</x:f>
        <x:v>0.25</x:v>
      </x:c>
      <x:c r="T2004" s="28" t="n">
        <x:f>H2004-I2004</x:f>
        <x:v>3</x:v>
      </x:c>
      <x:c r="U2004" s="24" t="n">
        <x:f>IFERROR(J2004/H2004,0)-IFERROR(K2004/I2004,0)</x:f>
        <x:v>0.016666666666666663</x:v>
      </x:c>
      <x:c r="V2004" s="24" t="n">
        <x:f>IFERROR(F2004/J2004,0)-IFERROR(G2004/K2004,0)</x:f>
        <x:v>-0.41666666666666663</x:v>
      </x:c>
      <x:c r="W2004" s="28" t="n">
        <x:f>L2004-M2004</x:f>
        <x:v>0</x:v>
      </x:c>
      <x:c r="X2004" s="24" t="n">
        <x:f>IFERROR(K2004/I2004,0)</x:f>
        <x:v>0.25</x:v>
      </x:c>
      <x:c r="Y2004" s="24" t="n">
        <x:f>IFERROR(G2004/I2004,0)</x:f>
        <x:v>0.16666666666666666</x:v>
      </x:c>
      <x:c r="Z2004" s="24" t="n">
        <x:f>IFERROR(G2004/K2004,0)</x:f>
        <x:v>0.6666666666666666</x:v>
      </x:c>
      <x:c r="AA2004" s="24" t="n">
        <x:f>IFERROR(F2004/H2004,0)-IFERROR(G2004/I2004,0)</x:f>
        <x:v>-0.09999999999999999</x:v>
      </x:c>
      <x:c r="AB2004" s="28" t="n">
        <x:f>J2004-K2004</x:f>
        <x:v>1</x:v>
      </x:c>
      <x:c r="AC2004" s="32" t="n">
        <x:f>F2004-G2004</x:f>
        <x:v>-1</x:v>
      </x:c>
    </x:row>
    <x:row r="2005">
      <x:c r="A2005" s="4" t="str">
        <x:v>2023-24</x:v>
      </x:c>
      <x:c r="B2005" s="20" t="n">
        <x:v>45339</x:v>
      </x:c>
      <x:c r="C2005" s="4" t="str">
        <x:v>Liverpool</x:v>
      </x:c>
      <x:c r="D2005" s="4" t="str">
        <x:v>Brentford</x:v>
      </x:c>
      <x:c r="E2005" s="4" t="str">
        <x:v>Away</x:v>
      </x:c>
      <x:c r="F2005" s="28" t="n">
        <x:v>4</x:v>
      </x:c>
      <x:c r="G2005" s="28" t="n">
        <x:v>1</x:v>
      </x:c>
      <x:c r="H2005" s="28" t="n">
        <x:v>15</x:v>
      </x:c>
      <x:c r="I2005" s="28" t="n">
        <x:v>15</x:v>
      </x:c>
      <x:c r="J2005" s="28" t="n">
        <x:v>8</x:v>
      </x:c>
      <x:c r="K2005" s="28" t="n">
        <x:v>6</x:v>
      </x:c>
      <x:c r="L2005" s="28" t="n">
        <x:v>6</x:v>
      </x:c>
      <x:c r="M2005" s="28" t="n">
        <x:v>1</x:v>
      </x:c>
      <x:c r="N2005" s="28" t="n">
        <x:v>1</x:v>
      </x:c>
      <x:c r="O2005" s="28" t="n">
        <x:v>0</x:v>
      </x:c>
      <x:c r="P2005" s="28" t="n">
        <x:v>3</x:v>
      </x:c>
      <x:c r="Q2005" s="24" t="n">
        <x:f>IFERROR(J2005/H2005,0)</x:f>
        <x:v>0.5333333333333333</x:v>
      </x:c>
      <x:c r="R2005" s="24" t="n">
        <x:f>IFERROR(F2005/H2005,0)</x:f>
        <x:v>0.26666666666666666</x:v>
      </x:c>
      <x:c r="S2005" s="24" t="n">
        <x:f>IFERROR(F2005/J2005,0)</x:f>
        <x:v>0.5</x:v>
      </x:c>
      <x:c r="T2005" s="28" t="n">
        <x:f>H2005-I2005</x:f>
        <x:v>0</x:v>
      </x:c>
      <x:c r="U2005" s="24" t="n">
        <x:f>IFERROR(J2005/H2005,0)-IFERROR(K2005/I2005,0)</x:f>
        <x:v>0.1333333333333333</x:v>
      </x:c>
      <x:c r="V2005" s="24" t="n">
        <x:f>IFERROR(F2005/J2005,0)-IFERROR(G2005/K2005,0)</x:f>
        <x:v>0.33333333333333337</x:v>
      </x:c>
      <x:c r="W2005" s="28" t="n">
        <x:f>L2005-M2005</x:f>
        <x:v>5</x:v>
      </x:c>
      <x:c r="X2005" s="24" t="n">
        <x:f>IFERROR(K2005/I2005,0)</x:f>
        <x:v>0.4</x:v>
      </x:c>
      <x:c r="Y2005" s="24" t="n">
        <x:f>IFERROR(G2005/I2005,0)</x:f>
        <x:v>0.06666666666666667</x:v>
      </x:c>
      <x:c r="Z2005" s="24" t="n">
        <x:f>IFERROR(G2005/K2005,0)</x:f>
        <x:v>0.16666666666666666</x:v>
      </x:c>
      <x:c r="AA2005" s="24" t="n">
        <x:f>IFERROR(F2005/H2005,0)-IFERROR(G2005/I2005,0)</x:f>
        <x:v>0.2</x:v>
      </x:c>
      <x:c r="AB2005" s="28" t="n">
        <x:f>J2005-K2005</x:f>
        <x:v>2</x:v>
      </x:c>
      <x:c r="AC2005" s="32" t="n">
        <x:f>F2005-G2005</x:f>
        <x:v>3</x:v>
      </x:c>
    </x:row>
    <x:row r="2006">
      <x:c r="A2006" s="4" t="str">
        <x:v>2023-24</x:v>
      </x:c>
      <x:c r="B2006" s="20" t="n">
        <x:v>45339</x:v>
      </x:c>
      <x:c r="C2006" s="4" t="str">
        <x:v>Man City</x:v>
      </x:c>
      <x:c r="D2006" s="4" t="str">
        <x:v>Chelsea</x:v>
      </x:c>
      <x:c r="E2006" s="4" t="str">
        <x:v>Home</x:v>
      </x:c>
      <x:c r="F2006" s="28" t="n">
        <x:v>1</x:v>
      </x:c>
      <x:c r="G2006" s="28" t="n">
        <x:v>1</x:v>
      </x:c>
      <x:c r="H2006" s="28" t="n">
        <x:v>31</x:v>
      </x:c>
      <x:c r="I2006" s="28" t="n">
        <x:v>9</x:v>
      </x:c>
      <x:c r="J2006" s="28" t="n">
        <x:v>5</x:v>
      </x:c>
      <x:c r="K2006" s="28" t="n">
        <x:v>6</x:v>
      </x:c>
      <x:c r="L2006" s="28" t="n">
        <x:v>12</x:v>
      </x:c>
      <x:c r="M2006" s="28" t="n">
        <x:v>1</x:v>
      </x:c>
      <x:c r="N2006" s="28" t="n">
        <x:v>1</x:v>
      </x:c>
      <x:c r="O2006" s="28" t="n">
        <x:v>0</x:v>
      </x:c>
      <x:c r="P2006" s="28" t="n">
        <x:v>1</x:v>
      </x:c>
      <x:c r="Q2006" s="24" t="n">
        <x:f>IFERROR(J2006/H2006,0)</x:f>
        <x:v>0.16129032258064516</x:v>
      </x:c>
      <x:c r="R2006" s="24" t="n">
        <x:f>IFERROR(F2006/H2006,0)</x:f>
        <x:v>0.03225806451612903</x:v>
      </x:c>
      <x:c r="S2006" s="24" t="n">
        <x:f>IFERROR(F2006/J2006,0)</x:f>
        <x:v>0.2</x:v>
      </x:c>
      <x:c r="T2006" s="28" t="n">
        <x:f>H2006-I2006</x:f>
        <x:v>22</x:v>
      </x:c>
      <x:c r="U2006" s="24" t="n">
        <x:f>IFERROR(J2006/H2006,0)-IFERROR(K2006/I2006,0)</x:f>
        <x:v>-0.5053763440860215</x:v>
      </x:c>
      <x:c r="V2006" s="24" t="n">
        <x:f>IFERROR(F2006/J2006,0)-IFERROR(G2006/K2006,0)</x:f>
        <x:v>0.033333333333333354</x:v>
      </x:c>
      <x:c r="W2006" s="28" t="n">
        <x:f>L2006-M2006</x:f>
        <x:v>11</x:v>
      </x:c>
      <x:c r="X2006" s="24" t="n">
        <x:f>IFERROR(K2006/I2006,0)</x:f>
        <x:v>0.6666666666666666</x:v>
      </x:c>
      <x:c r="Y2006" s="24" t="n">
        <x:f>IFERROR(G2006/I2006,0)</x:f>
        <x:v>0.1111111111111111</x:v>
      </x:c>
      <x:c r="Z2006" s="24" t="n">
        <x:f>IFERROR(G2006/K2006,0)</x:f>
        <x:v>0.16666666666666666</x:v>
      </x:c>
      <x:c r="AA2006" s="24" t="n">
        <x:f>IFERROR(F2006/H2006,0)-IFERROR(G2006/I2006,0)</x:f>
        <x:v>-0.07885304659498207</x:v>
      </x:c>
      <x:c r="AB2006" s="28" t="n">
        <x:f>J2006-K2006</x:f>
        <x:v>-1</x:v>
      </x:c>
      <x:c r="AC2006" s="32" t="n">
        <x:f>F2006-G2006</x:f>
        <x:v>0</x:v>
      </x:c>
    </x:row>
    <x:row r="2007">
      <x:c r="A2007" s="4" t="str">
        <x:v>2023-24</x:v>
      </x:c>
      <x:c r="B2007" s="20" t="n">
        <x:v>45339</x:v>
      </x:c>
      <x:c r="C2007" s="4" t="str">
        <x:v>Newcastle</x:v>
      </x:c>
      <x:c r="D2007" s="4" t="str">
        <x:v>Bournemouth</x:v>
      </x:c>
      <x:c r="E2007" s="4" t="str">
        <x:v>Home</x:v>
      </x:c>
      <x:c r="F2007" s="28" t="n">
        <x:v>2</x:v>
      </x:c>
      <x:c r="G2007" s="28" t="n">
        <x:v>2</x:v>
      </x:c>
      <x:c r="H2007" s="28" t="n">
        <x:v>17</x:v>
      </x:c>
      <x:c r="I2007" s="28" t="n">
        <x:v>12</x:v>
      </x:c>
      <x:c r="J2007" s="28" t="n">
        <x:v>5</x:v>
      </x:c>
      <x:c r="K2007" s="28" t="n">
        <x:v>7</x:v>
      </x:c>
      <x:c r="L2007" s="28" t="n">
        <x:v>4</x:v>
      </x:c>
      <x:c r="M2007" s="28" t="n">
        <x:v>2</x:v>
      </x:c>
      <x:c r="N2007" s="28" t="n">
        <x:v>1</x:v>
      </x:c>
      <x:c r="O2007" s="28" t="n">
        <x:v>0</x:v>
      </x:c>
      <x:c r="P2007" s="28" t="n">
        <x:v>1</x:v>
      </x:c>
      <x:c r="Q2007" s="24" t="n">
        <x:f>IFERROR(J2007/H2007,0)</x:f>
        <x:v>0.29411764705882354</x:v>
      </x:c>
      <x:c r="R2007" s="24" t="n">
        <x:f>IFERROR(F2007/H2007,0)</x:f>
        <x:v>0.11764705882352941</x:v>
      </x:c>
      <x:c r="S2007" s="24" t="n">
        <x:f>IFERROR(F2007/J2007,0)</x:f>
        <x:v>0.4</x:v>
      </x:c>
      <x:c r="T2007" s="28" t="n">
        <x:f>H2007-I2007</x:f>
        <x:v>5</x:v>
      </x:c>
      <x:c r="U2007" s="24" t="n">
        <x:f>IFERROR(J2007/H2007,0)-IFERROR(K2007/I2007,0)</x:f>
        <x:v>-0.28921568627450983</x:v>
      </x:c>
      <x:c r="V2007" s="24" t="n">
        <x:f>IFERROR(F2007/J2007,0)-IFERROR(G2007/K2007,0)</x:f>
        <x:v>0.11428571428571432</x:v>
      </x:c>
      <x:c r="W2007" s="28" t="n">
        <x:f>L2007-M2007</x:f>
        <x:v>2</x:v>
      </x:c>
      <x:c r="X2007" s="24" t="n">
        <x:f>IFERROR(K2007/I2007,0)</x:f>
        <x:v>0.5833333333333334</x:v>
      </x:c>
      <x:c r="Y2007" s="24" t="n">
        <x:f>IFERROR(G2007/I2007,0)</x:f>
        <x:v>0.16666666666666666</x:v>
      </x:c>
      <x:c r="Z2007" s="24" t="n">
        <x:f>IFERROR(G2007/K2007,0)</x:f>
        <x:v>0.2857142857142857</x:v>
      </x:c>
      <x:c r="AA2007" s="24" t="n">
        <x:f>IFERROR(F2007/H2007,0)-IFERROR(G2007/I2007,0)</x:f>
        <x:v>-0.04901960784313725</x:v>
      </x:c>
      <x:c r="AB2007" s="28" t="n">
        <x:f>J2007-K2007</x:f>
        <x:v>-2</x:v>
      </x:c>
      <x:c r="AC2007" s="32" t="n">
        <x:f>F2007-G2007</x:f>
        <x:v>0</x:v>
      </x:c>
    </x:row>
    <x:row r="2008">
      <x:c r="A2008" s="4" t="str">
        <x:v>2023-24</x:v>
      </x:c>
      <x:c r="B2008" s="20" t="n">
        <x:v>45339</x:v>
      </x:c>
      <x:c r="C2008" s="4" t="str">
        <x:v>Nott'm Forest</x:v>
      </x:c>
      <x:c r="D2008" s="4" t="str">
        <x:v>West Ham</x:v>
      </x:c>
      <x:c r="E2008" s="4" t="str">
        <x:v>Home</x:v>
      </x:c>
      <x:c r="F2008" s="28" t="n">
        <x:v>2</x:v>
      </x:c>
      <x:c r="G2008" s="28" t="n">
        <x:v>0</x:v>
      </x:c>
      <x:c r="H2008" s="28" t="n">
        <x:v>19</x:v>
      </x:c>
      <x:c r="I2008" s="28" t="n">
        <x:v>10</x:v>
      </x:c>
      <x:c r="J2008" s="28" t="n">
        <x:v>8</x:v>
      </x:c>
      <x:c r="K2008" s="28" t="n">
        <x:v>3</x:v>
      </x:c>
      <x:c r="L2008" s="28" t="n">
        <x:v>5</x:v>
      </x:c>
      <x:c r="M2008" s="28" t="n">
        <x:v>3</x:v>
      </x:c>
      <x:c r="N2008" s="28" t="n">
        <x:v>4</x:v>
      </x:c>
      <x:c r="O2008" s="28" t="n">
        <x:v>0</x:v>
      </x:c>
      <x:c r="P2008" s="28" t="n">
        <x:v>3</x:v>
      </x:c>
      <x:c r="Q2008" s="24" t="n">
        <x:f>IFERROR(J2008/H2008,0)</x:f>
        <x:v>0.42105263157894735</x:v>
      </x:c>
      <x:c r="R2008" s="24" t="n">
        <x:f>IFERROR(F2008/H2008,0)</x:f>
        <x:v>0.10526315789473684</x:v>
      </x:c>
      <x:c r="S2008" s="24" t="n">
        <x:f>IFERROR(F2008/J2008,0)</x:f>
        <x:v>0.25</x:v>
      </x:c>
      <x:c r="T2008" s="28" t="n">
        <x:f>H2008-I2008</x:f>
        <x:v>9</x:v>
      </x:c>
      <x:c r="U2008" s="24" t="n">
        <x:f>IFERROR(J2008/H2008,0)-IFERROR(K2008/I2008,0)</x:f>
        <x:v>0.12105263157894736</x:v>
      </x:c>
      <x:c r="V2008" s="24" t="n">
        <x:f>IFERROR(F2008/J2008,0)-IFERROR(G2008/K2008,0)</x:f>
        <x:v>0.25</x:v>
      </x:c>
      <x:c r="W2008" s="28" t="n">
        <x:f>L2008-M2008</x:f>
        <x:v>2</x:v>
      </x:c>
      <x:c r="X2008" s="24" t="n">
        <x:f>IFERROR(K2008/I2008,0)</x:f>
        <x:v>0.3</x:v>
      </x:c>
      <x:c r="Y2008" s="24" t="n">
        <x:f>IFERROR(G2008/I2008,0)</x:f>
        <x:v>0</x:v>
      </x:c>
      <x:c r="Z2008" s="24" t="n">
        <x:f>IFERROR(G2008/K2008,0)</x:f>
        <x:v>0</x:v>
      </x:c>
      <x:c r="AA2008" s="24" t="n">
        <x:f>IFERROR(F2008/H2008,0)-IFERROR(G2008/I2008,0)</x:f>
        <x:v>0.10526315789473684</x:v>
      </x:c>
      <x:c r="AB2008" s="28" t="n">
        <x:f>J2008-K2008</x:f>
        <x:v>5</x:v>
      </x:c>
      <x:c r="AC2008" s="32" t="n">
        <x:f>F2008-G2008</x:f>
        <x:v>2</x:v>
      </x:c>
    </x:row>
    <x:row r="2009">
      <x:c r="A2009" s="4" t="str">
        <x:v>2023-24</x:v>
      </x:c>
      <x:c r="B2009" s="20" t="n">
        <x:v>45339</x:v>
      </x:c>
      <x:c r="C2009" s="4" t="str">
        <x:v>Tottenham</x:v>
      </x:c>
      <x:c r="D2009" s="4" t="str">
        <x:v>Wolves</x:v>
      </x:c>
      <x:c r="E2009" s="4" t="str">
        <x:v>Home</x:v>
      </x:c>
      <x:c r="F2009" s="28" t="n">
        <x:v>1</x:v>
      </x:c>
      <x:c r="G2009" s="28" t="n">
        <x:v>2</x:v>
      </x:c>
      <x:c r="H2009" s="28" t="n">
        <x:v>15</x:v>
      </x:c>
      <x:c r="I2009" s="28" t="n">
        <x:v>12</x:v>
      </x:c>
      <x:c r="J2009" s="28" t="n">
        <x:v>4</x:v>
      </x:c>
      <x:c r="K2009" s="28" t="n">
        <x:v>7</x:v>
      </x:c>
      <x:c r="L2009" s="28" t="n">
        <x:v>10</x:v>
      </x:c>
      <x:c r="M2009" s="28" t="n">
        <x:v>4</x:v>
      </x:c>
      <x:c r="N2009" s="28" t="n">
        <x:v>0</x:v>
      </x:c>
      <x:c r="O2009" s="28" t="n">
        <x:v>0</x:v>
      </x:c>
      <x:c r="P2009" s="28" t="n">
        <x:v>0</x:v>
      </x:c>
      <x:c r="Q2009" s="24" t="n">
        <x:f>IFERROR(J2009/H2009,0)</x:f>
        <x:v>0.26666666666666666</x:v>
      </x:c>
      <x:c r="R2009" s="24" t="n">
        <x:f>IFERROR(F2009/H2009,0)</x:f>
        <x:v>0.06666666666666667</x:v>
      </x:c>
      <x:c r="S2009" s="24" t="n">
        <x:f>IFERROR(F2009/J2009,0)</x:f>
        <x:v>0.25</x:v>
      </x:c>
      <x:c r="T2009" s="28" t="n">
        <x:f>H2009-I2009</x:f>
        <x:v>3</x:v>
      </x:c>
      <x:c r="U2009" s="24" t="n">
        <x:f>IFERROR(J2009/H2009,0)-IFERROR(K2009/I2009,0)</x:f>
        <x:v>-0.3166666666666667</x:v>
      </x:c>
      <x:c r="V2009" s="24" t="n">
        <x:f>IFERROR(F2009/J2009,0)-IFERROR(G2009/K2009,0)</x:f>
        <x:v>-0.0357142857142857</x:v>
      </x:c>
      <x:c r="W2009" s="28" t="n">
        <x:f>L2009-M2009</x:f>
        <x:v>6</x:v>
      </x:c>
      <x:c r="X2009" s="24" t="n">
        <x:f>IFERROR(K2009/I2009,0)</x:f>
        <x:v>0.5833333333333334</x:v>
      </x:c>
      <x:c r="Y2009" s="24" t="n">
        <x:f>IFERROR(G2009/I2009,0)</x:f>
        <x:v>0.16666666666666666</x:v>
      </x:c>
      <x:c r="Z2009" s="24" t="n">
        <x:f>IFERROR(G2009/K2009,0)</x:f>
        <x:v>0.2857142857142857</x:v>
      </x:c>
      <x:c r="AA2009" s="24" t="n">
        <x:f>IFERROR(F2009/H2009,0)-IFERROR(G2009/I2009,0)</x:f>
        <x:v>-0.09999999999999999</x:v>
      </x:c>
      <x:c r="AB2009" s="28" t="n">
        <x:f>J2009-K2009</x:f>
        <x:v>-3</x:v>
      </x:c>
      <x:c r="AC2009" s="32" t="n">
        <x:f>F2009-G2009</x:f>
        <x:v>-1</x:v>
      </x:c>
    </x:row>
    <x:row r="2010">
      <x:c r="A2010" s="4" t="str">
        <x:v>2023-24</x:v>
      </x:c>
      <x:c r="B2010" s="20" t="n">
        <x:v>45339</x:v>
      </x:c>
      <x:c r="C2010" s="4" t="str">
        <x:v>West Ham</x:v>
      </x:c>
      <x:c r="D2010" s="4" t="str">
        <x:v>Nott'm Forest</x:v>
      </x:c>
      <x:c r="E2010" s="4" t="str">
        <x:v>Away</x:v>
      </x:c>
      <x:c r="F2010" s="28" t="n">
        <x:v>0</x:v>
      </x:c>
      <x:c r="G2010" s="28" t="n">
        <x:v>2</x:v>
      </x:c>
      <x:c r="H2010" s="28" t="n">
        <x:v>10</x:v>
      </x:c>
      <x:c r="I2010" s="28" t="n">
        <x:v>19</x:v>
      </x:c>
      <x:c r="J2010" s="28" t="n">
        <x:v>3</x:v>
      </x:c>
      <x:c r="K2010" s="28" t="n">
        <x:v>8</x:v>
      </x:c>
      <x:c r="L2010" s="28" t="n">
        <x:v>3</x:v>
      </x:c>
      <x:c r="M2010" s="28" t="n">
        <x:v>5</x:v>
      </x:c>
      <x:c r="N2010" s="28" t="n">
        <x:v>4</x:v>
      </x:c>
      <x:c r="O2010" s="28" t="n">
        <x:v>1</x:v>
      </x:c>
      <x:c r="P2010" s="28" t="n">
        <x:v>0</x:v>
      </x:c>
      <x:c r="Q2010" s="24" t="n">
        <x:f>IFERROR(J2010/H2010,0)</x:f>
        <x:v>0.3</x:v>
      </x:c>
      <x:c r="R2010" s="24" t="n">
        <x:f>IFERROR(F2010/H2010,0)</x:f>
        <x:v>0</x:v>
      </x:c>
      <x:c r="S2010" s="24" t="n">
        <x:f>IFERROR(F2010/J2010,0)</x:f>
        <x:v>0</x:v>
      </x:c>
      <x:c r="T2010" s="28" t="n">
        <x:f>H2010-I2010</x:f>
        <x:v>-9</x:v>
      </x:c>
      <x:c r="U2010" s="24" t="n">
        <x:f>IFERROR(J2010/H2010,0)-IFERROR(K2010/I2010,0)</x:f>
        <x:v>-0.12105263157894736</x:v>
      </x:c>
      <x:c r="V2010" s="24" t="n">
        <x:f>IFERROR(F2010/J2010,0)-IFERROR(G2010/K2010,0)</x:f>
        <x:v>-0.25</x:v>
      </x:c>
      <x:c r="W2010" s="28" t="n">
        <x:f>L2010-M2010</x:f>
        <x:v>-2</x:v>
      </x:c>
      <x:c r="X2010" s="24" t="n">
        <x:f>IFERROR(K2010/I2010,0)</x:f>
        <x:v>0.42105263157894735</x:v>
      </x:c>
      <x:c r="Y2010" s="24" t="n">
        <x:f>IFERROR(G2010/I2010,0)</x:f>
        <x:v>0.10526315789473684</x:v>
      </x:c>
      <x:c r="Z2010" s="24" t="n">
        <x:f>IFERROR(G2010/K2010,0)</x:f>
        <x:v>0.25</x:v>
      </x:c>
      <x:c r="AA2010" s="24" t="n">
        <x:f>IFERROR(F2010/H2010,0)-IFERROR(G2010/I2010,0)</x:f>
        <x:v>-0.10526315789473684</x:v>
      </x:c>
      <x:c r="AB2010" s="28" t="n">
        <x:f>J2010-K2010</x:f>
        <x:v>-5</x:v>
      </x:c>
      <x:c r="AC2010" s="32" t="n">
        <x:f>F2010-G2010</x:f>
        <x:v>-2</x:v>
      </x:c>
    </x:row>
    <x:row r="2011">
      <x:c r="A2011" s="4" t="str">
        <x:v>2023-24</x:v>
      </x:c>
      <x:c r="B2011" s="20" t="n">
        <x:v>45339</x:v>
      </x:c>
      <x:c r="C2011" s="4" t="str">
        <x:v>Wolves</x:v>
      </x:c>
      <x:c r="D2011" s="4" t="str">
        <x:v>Tottenham</x:v>
      </x:c>
      <x:c r="E2011" s="4" t="str">
        <x:v>Away</x:v>
      </x:c>
      <x:c r="F2011" s="28" t="n">
        <x:v>2</x:v>
      </x:c>
      <x:c r="G2011" s="28" t="n">
        <x:v>1</x:v>
      </x:c>
      <x:c r="H2011" s="28" t="n">
        <x:v>12</x:v>
      </x:c>
      <x:c r="I2011" s="28" t="n">
        <x:v>15</x:v>
      </x:c>
      <x:c r="J2011" s="28" t="n">
        <x:v>7</x:v>
      </x:c>
      <x:c r="K2011" s="28" t="n">
        <x:v>4</x:v>
      </x:c>
      <x:c r="L2011" s="28" t="n">
        <x:v>4</x:v>
      </x:c>
      <x:c r="M2011" s="28" t="n">
        <x:v>10</x:v>
      </x:c>
      <x:c r="N2011" s="28" t="n">
        <x:v>1</x:v>
      </x:c>
      <x:c r="O2011" s="28" t="n">
        <x:v>0</x:v>
      </x:c>
      <x:c r="P2011" s="28" t="n">
        <x:v>3</x:v>
      </x:c>
      <x:c r="Q2011" s="24" t="n">
        <x:f>IFERROR(J2011/H2011,0)</x:f>
        <x:v>0.5833333333333334</x:v>
      </x:c>
      <x:c r="R2011" s="24" t="n">
        <x:f>IFERROR(F2011/H2011,0)</x:f>
        <x:v>0.16666666666666666</x:v>
      </x:c>
      <x:c r="S2011" s="24" t="n">
        <x:f>IFERROR(F2011/J2011,0)</x:f>
        <x:v>0.2857142857142857</x:v>
      </x:c>
      <x:c r="T2011" s="28" t="n">
        <x:f>H2011-I2011</x:f>
        <x:v>-3</x:v>
      </x:c>
      <x:c r="U2011" s="24" t="n">
        <x:f>IFERROR(J2011/H2011,0)-IFERROR(K2011/I2011,0)</x:f>
        <x:v>0.3166666666666667</x:v>
      </x:c>
      <x:c r="V2011" s="24" t="n">
        <x:f>IFERROR(F2011/J2011,0)-IFERROR(G2011/K2011,0)</x:f>
        <x:v>0.0357142857142857</x:v>
      </x:c>
      <x:c r="W2011" s="28" t="n">
        <x:f>L2011-M2011</x:f>
        <x:v>-6</x:v>
      </x:c>
      <x:c r="X2011" s="24" t="n">
        <x:f>IFERROR(K2011/I2011,0)</x:f>
        <x:v>0.26666666666666666</x:v>
      </x:c>
      <x:c r="Y2011" s="24" t="n">
        <x:f>IFERROR(G2011/I2011,0)</x:f>
        <x:v>0.06666666666666667</x:v>
      </x:c>
      <x:c r="Z2011" s="24" t="n">
        <x:f>IFERROR(G2011/K2011,0)</x:f>
        <x:v>0.25</x:v>
      </x:c>
      <x:c r="AA2011" s="24" t="n">
        <x:f>IFERROR(F2011/H2011,0)-IFERROR(G2011/I2011,0)</x:f>
        <x:v>0.09999999999999999</x:v>
      </x:c>
      <x:c r="AB2011" s="28" t="n">
        <x:f>J2011-K2011</x:f>
        <x:v>3</x:v>
      </x:c>
      <x:c r="AC2011" s="32" t="n">
        <x:f>F2011-G2011</x:f>
        <x:v>1</x:v>
      </x:c>
    </x:row>
    <x:row r="2012">
      <x:c r="A2012" s="4" t="str">
        <x:v>2023-24</x:v>
      </x:c>
      <x:c r="B2012" s="20" t="n">
        <x:v>45340</x:v>
      </x:c>
      <x:c r="C2012" s="4" t="str">
        <x:v>Brighton</x:v>
      </x:c>
      <x:c r="D2012" s="4" t="str">
        <x:v>Sheffield United</x:v>
      </x:c>
      <x:c r="E2012" s="4" t="str">
        <x:v>Away</x:v>
      </x:c>
      <x:c r="F2012" s="28" t="n">
        <x:v>5</x:v>
      </x:c>
      <x:c r="G2012" s="28" t="n">
        <x:v>0</x:v>
      </x:c>
      <x:c r="H2012" s="28" t="n">
        <x:v>24</x:v>
      </x:c>
      <x:c r="I2012" s="28" t="n">
        <x:v>6</x:v>
      </x:c>
      <x:c r="J2012" s="28" t="n">
        <x:v>10</x:v>
      </x:c>
      <x:c r="K2012" s="28" t="n">
        <x:v>1</x:v>
      </x:c>
      <x:c r="L2012" s="28" t="n">
        <x:v>10</x:v>
      </x:c>
      <x:c r="M2012" s="28" t="n">
        <x:v>5</x:v>
      </x:c>
      <x:c r="N2012" s="28" t="n">
        <x:v>4</x:v>
      </x:c>
      <x:c r="O2012" s="28" t="n">
        <x:v>0</x:v>
      </x:c>
      <x:c r="P2012" s="28" t="n">
        <x:v>3</x:v>
      </x:c>
      <x:c r="Q2012" s="24" t="n">
        <x:f>IFERROR(J2012/H2012,0)</x:f>
        <x:v>0.4166666666666667</x:v>
      </x:c>
      <x:c r="R2012" s="24" t="n">
        <x:f>IFERROR(F2012/H2012,0)</x:f>
        <x:v>0.20833333333333334</x:v>
      </x:c>
      <x:c r="S2012" s="24" t="n">
        <x:f>IFERROR(F2012/J2012,0)</x:f>
        <x:v>0.5</x:v>
      </x:c>
      <x:c r="T2012" s="28" t="n">
        <x:f>H2012-I2012</x:f>
        <x:v>18</x:v>
      </x:c>
      <x:c r="U2012" s="24" t="n">
        <x:f>IFERROR(J2012/H2012,0)-IFERROR(K2012/I2012,0)</x:f>
        <x:v>0.25</x:v>
      </x:c>
      <x:c r="V2012" s="24" t="n">
        <x:f>IFERROR(F2012/J2012,0)-IFERROR(G2012/K2012,0)</x:f>
        <x:v>0.5</x:v>
      </x:c>
      <x:c r="W2012" s="28" t="n">
        <x:f>L2012-M2012</x:f>
        <x:v>5</x:v>
      </x:c>
      <x:c r="X2012" s="24" t="n">
        <x:f>IFERROR(K2012/I2012,0)</x:f>
        <x:v>0.16666666666666666</x:v>
      </x:c>
      <x:c r="Y2012" s="24" t="n">
        <x:f>IFERROR(G2012/I2012,0)</x:f>
        <x:v>0</x:v>
      </x:c>
      <x:c r="Z2012" s="24" t="n">
        <x:f>IFERROR(G2012/K2012,0)</x:f>
        <x:v>0</x:v>
      </x:c>
      <x:c r="AA2012" s="24" t="n">
        <x:f>IFERROR(F2012/H2012,0)-IFERROR(G2012/I2012,0)</x:f>
        <x:v>0.20833333333333334</x:v>
      </x:c>
      <x:c r="AB2012" s="28" t="n">
        <x:f>J2012-K2012</x:f>
        <x:v>9</x:v>
      </x:c>
      <x:c r="AC2012" s="32" t="n">
        <x:f>F2012-G2012</x:f>
        <x:v>5</x:v>
      </x:c>
    </x:row>
    <x:row r="2013">
      <x:c r="A2013" s="4" t="str">
        <x:v>2023-24</x:v>
      </x:c>
      <x:c r="B2013" s="20" t="n">
        <x:v>45340</x:v>
      </x:c>
      <x:c r="C2013" s="4" t="str">
        <x:v>Luton</x:v>
      </x:c>
      <x:c r="D2013" s="4" t="str">
        <x:v>Man United</x:v>
      </x:c>
      <x:c r="E2013" s="4" t="str">
        <x:v>Home</x:v>
      </x:c>
      <x:c r="F2013" s="28" t="n">
        <x:v>1</x:v>
      </x:c>
      <x:c r="G2013" s="28" t="n">
        <x:v>2</x:v>
      </x:c>
      <x:c r="H2013" s="28" t="n">
        <x:v>22</x:v>
      </x:c>
      <x:c r="I2013" s="28" t="n">
        <x:v>21</x:v>
      </x:c>
      <x:c r="J2013" s="28" t="n">
        <x:v>4</x:v>
      </x:c>
      <x:c r="K2013" s="28" t="n">
        <x:v>9</x:v>
      </x:c>
      <x:c r="L2013" s="28" t="n">
        <x:v>8</x:v>
      </x:c>
      <x:c r="M2013" s="28" t="n">
        <x:v>6</x:v>
      </x:c>
      <x:c r="N2013" s="28" t="n">
        <x:v>3</x:v>
      </x:c>
      <x:c r="O2013" s="28" t="n">
        <x:v>0</x:v>
      </x:c>
      <x:c r="P2013" s="28" t="n">
        <x:v>0</x:v>
      </x:c>
      <x:c r="Q2013" s="24" t="n">
        <x:f>IFERROR(J2013/H2013,0)</x:f>
        <x:v>0.18181818181818182</x:v>
      </x:c>
      <x:c r="R2013" s="24" t="n">
        <x:f>IFERROR(F2013/H2013,0)</x:f>
        <x:v>0.045454545454545456</x:v>
      </x:c>
      <x:c r="S2013" s="24" t="n">
        <x:f>IFERROR(F2013/J2013,0)</x:f>
        <x:v>0.25</x:v>
      </x:c>
      <x:c r="T2013" s="28" t="n">
        <x:f>H2013-I2013</x:f>
        <x:v>1</x:v>
      </x:c>
      <x:c r="U2013" s="24" t="n">
        <x:f>IFERROR(J2013/H2013,0)-IFERROR(K2013/I2013,0)</x:f>
        <x:v>-0.24675324675324672</x:v>
      </x:c>
      <x:c r="V2013" s="24" t="n">
        <x:f>IFERROR(F2013/J2013,0)-IFERROR(G2013/K2013,0)</x:f>
        <x:v>0.02777777777777779</x:v>
      </x:c>
      <x:c r="W2013" s="28" t="n">
        <x:f>L2013-M2013</x:f>
        <x:v>2</x:v>
      </x:c>
      <x:c r="X2013" s="24" t="n">
        <x:f>IFERROR(K2013/I2013,0)</x:f>
        <x:v>0.42857142857142855</x:v>
      </x:c>
      <x:c r="Y2013" s="24" t="n">
        <x:f>IFERROR(G2013/I2013,0)</x:f>
        <x:v>0.09523809523809523</x:v>
      </x:c>
      <x:c r="Z2013" s="24" t="n">
        <x:f>IFERROR(G2013/K2013,0)</x:f>
        <x:v>0.2222222222222222</x:v>
      </x:c>
      <x:c r="AA2013" s="24" t="n">
        <x:f>IFERROR(F2013/H2013,0)-IFERROR(G2013/I2013,0)</x:f>
        <x:v>-0.04978354978354978</x:v>
      </x:c>
      <x:c r="AB2013" s="28" t="n">
        <x:f>J2013-K2013</x:f>
        <x:v>-5</x:v>
      </x:c>
      <x:c r="AC2013" s="32" t="n">
        <x:f>F2013-G2013</x:f>
        <x:v>-1</x:v>
      </x:c>
    </x:row>
    <x:row r="2014">
      <x:c r="A2014" s="4" t="str">
        <x:v>2023-24</x:v>
      </x:c>
      <x:c r="B2014" s="20" t="n">
        <x:v>45340</x:v>
      </x:c>
      <x:c r="C2014" s="4" t="str">
        <x:v>Man United</x:v>
      </x:c>
      <x:c r="D2014" s="4" t="str">
        <x:v>Luton</x:v>
      </x:c>
      <x:c r="E2014" s="4" t="str">
        <x:v>Away</x:v>
      </x:c>
      <x:c r="F2014" s="28" t="n">
        <x:v>2</x:v>
      </x:c>
      <x:c r="G2014" s="28" t="n">
        <x:v>1</x:v>
      </x:c>
      <x:c r="H2014" s="28" t="n">
        <x:v>21</x:v>
      </x:c>
      <x:c r="I2014" s="28" t="n">
        <x:v>22</x:v>
      </x:c>
      <x:c r="J2014" s="28" t="n">
        <x:v>9</x:v>
      </x:c>
      <x:c r="K2014" s="28" t="n">
        <x:v>4</x:v>
      </x:c>
      <x:c r="L2014" s="28" t="n">
        <x:v>6</x:v>
      </x:c>
      <x:c r="M2014" s="28" t="n">
        <x:v>8</x:v>
      </x:c>
      <x:c r="N2014" s="28" t="n">
        <x:v>5</x:v>
      </x:c>
      <x:c r="O2014" s="28" t="n">
        <x:v>0</x:v>
      </x:c>
      <x:c r="P2014" s="28" t="n">
        <x:v>3</x:v>
      </x:c>
      <x:c r="Q2014" s="24" t="n">
        <x:f>IFERROR(J2014/H2014,0)</x:f>
        <x:v>0.42857142857142855</x:v>
      </x:c>
      <x:c r="R2014" s="24" t="n">
        <x:f>IFERROR(F2014/H2014,0)</x:f>
        <x:v>0.09523809523809523</x:v>
      </x:c>
      <x:c r="S2014" s="24" t="n">
        <x:f>IFERROR(F2014/J2014,0)</x:f>
        <x:v>0.2222222222222222</x:v>
      </x:c>
      <x:c r="T2014" s="28" t="n">
        <x:f>H2014-I2014</x:f>
        <x:v>-1</x:v>
      </x:c>
      <x:c r="U2014" s="24" t="n">
        <x:f>IFERROR(J2014/H2014,0)-IFERROR(K2014/I2014,0)</x:f>
        <x:v>0.24675324675324672</x:v>
      </x:c>
      <x:c r="V2014" s="24" t="n">
        <x:f>IFERROR(F2014/J2014,0)-IFERROR(G2014/K2014,0)</x:f>
        <x:v>-0.02777777777777779</x:v>
      </x:c>
      <x:c r="W2014" s="28" t="n">
        <x:f>L2014-M2014</x:f>
        <x:v>-2</x:v>
      </x:c>
      <x:c r="X2014" s="24" t="n">
        <x:f>IFERROR(K2014/I2014,0)</x:f>
        <x:v>0.18181818181818182</x:v>
      </x:c>
      <x:c r="Y2014" s="24" t="n">
        <x:f>IFERROR(G2014/I2014,0)</x:f>
        <x:v>0.045454545454545456</x:v>
      </x:c>
      <x:c r="Z2014" s="24" t="n">
        <x:f>IFERROR(G2014/K2014,0)</x:f>
        <x:v>0.25</x:v>
      </x:c>
      <x:c r="AA2014" s="24" t="n">
        <x:f>IFERROR(F2014/H2014,0)-IFERROR(G2014/I2014,0)</x:f>
        <x:v>0.04978354978354978</x:v>
      </x:c>
      <x:c r="AB2014" s="28" t="n">
        <x:f>J2014-K2014</x:f>
        <x:v>5</x:v>
      </x:c>
      <x:c r="AC2014" s="32" t="n">
        <x:f>F2014-G2014</x:f>
        <x:v>1</x:v>
      </x:c>
    </x:row>
    <x:row r="2015">
      <x:c r="A2015" s="4" t="str">
        <x:v>2023-24</x:v>
      </x:c>
      <x:c r="B2015" s="20" t="n">
        <x:v>45340</x:v>
      </x:c>
      <x:c r="C2015" s="4" t="str">
        <x:v>Sheffield United</x:v>
      </x:c>
      <x:c r="D2015" s="4" t="str">
        <x:v>Brighton</x:v>
      </x:c>
      <x:c r="E2015" s="4" t="str">
        <x:v>Home</x:v>
      </x:c>
      <x:c r="F2015" s="28" t="n">
        <x:v>0</x:v>
      </x:c>
      <x:c r="G2015" s="28" t="n">
        <x:v>5</x:v>
      </x:c>
      <x:c r="H2015" s="28" t="n">
        <x:v>6</x:v>
      </x:c>
      <x:c r="I2015" s="28" t="n">
        <x:v>24</x:v>
      </x:c>
      <x:c r="J2015" s="28" t="n">
        <x:v>1</x:v>
      </x:c>
      <x:c r="K2015" s="28" t="n">
        <x:v>10</x:v>
      </x:c>
      <x:c r="L2015" s="28" t="n">
        <x:v>5</x:v>
      </x:c>
      <x:c r="M2015" s="28" t="n">
        <x:v>10</x:v>
      </x:c>
      <x:c r="N2015" s="28" t="n">
        <x:v>1</x:v>
      </x:c>
      <x:c r="O2015" s="28" t="n">
        <x:v>1</x:v>
      </x:c>
      <x:c r="P2015" s="28" t="n">
        <x:v>0</x:v>
      </x:c>
      <x:c r="Q2015" s="24" t="n">
        <x:f>IFERROR(J2015/H2015,0)</x:f>
        <x:v>0.16666666666666666</x:v>
      </x:c>
      <x:c r="R2015" s="24" t="n">
        <x:f>IFERROR(F2015/H2015,0)</x:f>
        <x:v>0</x:v>
      </x:c>
      <x:c r="S2015" s="24" t="n">
        <x:f>IFERROR(F2015/J2015,0)</x:f>
        <x:v>0</x:v>
      </x:c>
      <x:c r="T2015" s="28" t="n">
        <x:f>H2015-I2015</x:f>
        <x:v>-18</x:v>
      </x:c>
      <x:c r="U2015" s="24" t="n">
        <x:f>IFERROR(J2015/H2015,0)-IFERROR(K2015/I2015,0)</x:f>
        <x:v>-0.25</x:v>
      </x:c>
      <x:c r="V2015" s="24" t="n">
        <x:f>IFERROR(F2015/J2015,0)-IFERROR(G2015/K2015,0)</x:f>
        <x:v>-0.5</x:v>
      </x:c>
      <x:c r="W2015" s="28" t="n">
        <x:f>L2015-M2015</x:f>
        <x:v>-5</x:v>
      </x:c>
      <x:c r="X2015" s="24" t="n">
        <x:f>IFERROR(K2015/I2015,0)</x:f>
        <x:v>0.4166666666666667</x:v>
      </x:c>
      <x:c r="Y2015" s="24" t="n">
        <x:f>IFERROR(G2015/I2015,0)</x:f>
        <x:v>0.20833333333333334</x:v>
      </x:c>
      <x:c r="Z2015" s="24" t="n">
        <x:f>IFERROR(G2015/K2015,0)</x:f>
        <x:v>0.5</x:v>
      </x:c>
      <x:c r="AA2015" s="24" t="n">
        <x:f>IFERROR(F2015/H2015,0)-IFERROR(G2015/I2015,0)</x:f>
        <x:v>-0.20833333333333334</x:v>
      </x:c>
      <x:c r="AB2015" s="28" t="n">
        <x:f>J2015-K2015</x:f>
        <x:v>-9</x:v>
      </x:c>
      <x:c r="AC2015" s="32" t="n">
        <x:f>F2015-G2015</x:f>
        <x:v>-5</x:v>
      </x:c>
    </x:row>
    <x:row r="2016">
      <x:c r="A2016" s="4" t="str">
        <x:v>2023-24</x:v>
      </x:c>
      <x:c r="B2016" s="20" t="n">
        <x:v>45341</x:v>
      </x:c>
      <x:c r="C2016" s="4" t="str">
        <x:v>Crystal Palace</x:v>
      </x:c>
      <x:c r="D2016" s="4" t="str">
        <x:v>Everton</x:v>
      </x:c>
      <x:c r="E2016" s="4" t="str">
        <x:v>Away</x:v>
      </x:c>
      <x:c r="F2016" s="28" t="n">
        <x:v>1</x:v>
      </x:c>
      <x:c r="G2016" s="28" t="n">
        <x:v>1</x:v>
      </x:c>
      <x:c r="H2016" s="28" t="n">
        <x:v>10</x:v>
      </x:c>
      <x:c r="I2016" s="28" t="n">
        <x:v>19</x:v>
      </x:c>
      <x:c r="J2016" s="28" t="n">
        <x:v>4</x:v>
      </x:c>
      <x:c r="K2016" s="28" t="n">
        <x:v>4</x:v>
      </x:c>
      <x:c r="L2016" s="28" t="n">
        <x:v>6</x:v>
      </x:c>
      <x:c r="M2016" s="28" t="n">
        <x:v>3</x:v>
      </x:c>
      <x:c r="N2016" s="28" t="n">
        <x:v>2</x:v>
      </x:c>
      <x:c r="O2016" s="28" t="n">
        <x:v>0</x:v>
      </x:c>
      <x:c r="P2016" s="28" t="n">
        <x:v>1</x:v>
      </x:c>
      <x:c r="Q2016" s="24" t="n">
        <x:f>IFERROR(J2016/H2016,0)</x:f>
        <x:v>0.4</x:v>
      </x:c>
      <x:c r="R2016" s="24" t="n">
        <x:f>IFERROR(F2016/H2016,0)</x:f>
        <x:v>0.1</x:v>
      </x:c>
      <x:c r="S2016" s="24" t="n">
        <x:f>IFERROR(F2016/J2016,0)</x:f>
        <x:v>0.25</x:v>
      </x:c>
      <x:c r="T2016" s="28" t="n">
        <x:f>H2016-I2016</x:f>
        <x:v>-9</x:v>
      </x:c>
      <x:c r="U2016" s="24" t="n">
        <x:f>IFERROR(J2016/H2016,0)-IFERROR(K2016/I2016,0)</x:f>
        <x:v>0.18947368421052635</x:v>
      </x:c>
      <x:c r="V2016" s="24" t="n">
        <x:f>IFERROR(F2016/J2016,0)-IFERROR(G2016/K2016,0)</x:f>
        <x:v>0</x:v>
      </x:c>
      <x:c r="W2016" s="28" t="n">
        <x:f>L2016-M2016</x:f>
        <x:v>3</x:v>
      </x:c>
      <x:c r="X2016" s="24" t="n">
        <x:f>IFERROR(K2016/I2016,0)</x:f>
        <x:v>0.21052631578947367</x:v>
      </x:c>
      <x:c r="Y2016" s="24" t="n">
        <x:f>IFERROR(G2016/I2016,0)</x:f>
        <x:v>0.05263157894736842</x:v>
      </x:c>
      <x:c r="Z2016" s="24" t="n">
        <x:f>IFERROR(G2016/K2016,0)</x:f>
        <x:v>0.25</x:v>
      </x:c>
      <x:c r="AA2016" s="24" t="n">
        <x:f>IFERROR(F2016/H2016,0)-IFERROR(G2016/I2016,0)</x:f>
        <x:v>0.04736842105263159</x:v>
      </x:c>
      <x:c r="AB2016" s="28" t="n">
        <x:f>J2016-K2016</x:f>
        <x:v>0</x:v>
      </x:c>
      <x:c r="AC2016" s="32" t="n">
        <x:f>F2016-G2016</x:f>
        <x:v>0</x:v>
      </x:c>
    </x:row>
    <x:row r="2017">
      <x:c r="A2017" s="4" t="str">
        <x:v>2023-24</x:v>
      </x:c>
      <x:c r="B2017" s="20" t="n">
        <x:v>45341</x:v>
      </x:c>
      <x:c r="C2017" s="4" t="str">
        <x:v>Everton</x:v>
      </x:c>
      <x:c r="D2017" s="4" t="str">
        <x:v>Crystal Palace</x:v>
      </x:c>
      <x:c r="E2017" s="4" t="str">
        <x:v>Home</x:v>
      </x:c>
      <x:c r="F2017" s="28" t="n">
        <x:v>1</x:v>
      </x:c>
      <x:c r="G2017" s="28" t="n">
        <x:v>1</x:v>
      </x:c>
      <x:c r="H2017" s="28" t="n">
        <x:v>19</x:v>
      </x:c>
      <x:c r="I2017" s="28" t="n">
        <x:v>10</x:v>
      </x:c>
      <x:c r="J2017" s="28" t="n">
        <x:v>4</x:v>
      </x:c>
      <x:c r="K2017" s="28" t="n">
        <x:v>4</x:v>
      </x:c>
      <x:c r="L2017" s="28" t="n">
        <x:v>3</x:v>
      </x:c>
      <x:c r="M2017" s="28" t="n">
        <x:v>6</x:v>
      </x:c>
      <x:c r="N2017" s="28" t="n">
        <x:v>0</x:v>
      </x:c>
      <x:c r="O2017" s="28" t="n">
        <x:v>0</x:v>
      </x:c>
      <x:c r="P2017" s="28" t="n">
        <x:v>1</x:v>
      </x:c>
      <x:c r="Q2017" s="24" t="n">
        <x:f>IFERROR(J2017/H2017,0)</x:f>
        <x:v>0.21052631578947367</x:v>
      </x:c>
      <x:c r="R2017" s="24" t="n">
        <x:f>IFERROR(F2017/H2017,0)</x:f>
        <x:v>0.05263157894736842</x:v>
      </x:c>
      <x:c r="S2017" s="24" t="n">
        <x:f>IFERROR(F2017/J2017,0)</x:f>
        <x:v>0.25</x:v>
      </x:c>
      <x:c r="T2017" s="28" t="n">
        <x:f>H2017-I2017</x:f>
        <x:v>9</x:v>
      </x:c>
      <x:c r="U2017" s="24" t="n">
        <x:f>IFERROR(J2017/H2017,0)-IFERROR(K2017/I2017,0)</x:f>
        <x:v>-0.18947368421052635</x:v>
      </x:c>
      <x:c r="V2017" s="24" t="n">
        <x:f>IFERROR(F2017/J2017,0)-IFERROR(G2017/K2017,0)</x:f>
        <x:v>0</x:v>
      </x:c>
      <x:c r="W2017" s="28" t="n">
        <x:f>L2017-M2017</x:f>
        <x:v>-3</x:v>
      </x:c>
      <x:c r="X2017" s="24" t="n">
        <x:f>IFERROR(K2017/I2017,0)</x:f>
        <x:v>0.4</x:v>
      </x:c>
      <x:c r="Y2017" s="24" t="n">
        <x:f>IFERROR(G2017/I2017,0)</x:f>
        <x:v>0.1</x:v>
      </x:c>
      <x:c r="Z2017" s="24" t="n">
        <x:f>IFERROR(G2017/K2017,0)</x:f>
        <x:v>0.25</x:v>
      </x:c>
      <x:c r="AA2017" s="24" t="n">
        <x:f>IFERROR(F2017/H2017,0)-IFERROR(G2017/I2017,0)</x:f>
        <x:v>-0.04736842105263159</x:v>
      </x:c>
      <x:c r="AB2017" s="28" t="n">
        <x:f>J2017-K2017</x:f>
        <x:v>0</x:v>
      </x:c>
      <x:c r="AC2017" s="32" t="n">
        <x:f>F2017-G2017</x:f>
        <x:v>0</x:v>
      </x:c>
    </x:row>
    <x:row r="2018">
      <x:c r="A2018" s="4" t="str">
        <x:v>2023-24</x:v>
      </x:c>
      <x:c r="B2018" s="20" t="n">
        <x:v>45342</x:v>
      </x:c>
      <x:c r="C2018" s="4" t="str">
        <x:v>Brentford</x:v>
      </x:c>
      <x:c r="D2018" s="4" t="str">
        <x:v>Man City</x:v>
      </x:c>
      <x:c r="E2018" s="4" t="str">
        <x:v>Away</x:v>
      </x:c>
      <x:c r="F2018" s="28" t="n">
        <x:v>0</x:v>
      </x:c>
      <x:c r="G2018" s="28" t="n">
        <x:v>1</x:v>
      </x:c>
      <x:c r="H2018" s="28" t="n">
        <x:v>6</x:v>
      </x:c>
      <x:c r="I2018" s="28" t="n">
        <x:v>25</x:v>
      </x:c>
      <x:c r="J2018" s="28" t="n">
        <x:v>2</x:v>
      </x:c>
      <x:c r="K2018" s="28" t="n">
        <x:v>11</x:v>
      </x:c>
      <x:c r="L2018" s="28" t="n">
        <x:v>1</x:v>
      </x:c>
      <x:c r="M2018" s="28" t="n">
        <x:v>10</x:v>
      </x:c>
      <x:c r="N2018" s="28" t="n">
        <x:v>4</x:v>
      </x:c>
      <x:c r="O2018" s="28" t="n">
        <x:v>0</x:v>
      </x:c>
      <x:c r="P2018" s="28" t="n">
        <x:v>0</x:v>
      </x:c>
      <x:c r="Q2018" s="24" t="n">
        <x:f>IFERROR(J2018/H2018,0)</x:f>
        <x:v>0.3333333333333333</x:v>
      </x:c>
      <x:c r="R2018" s="24" t="n">
        <x:f>IFERROR(F2018/H2018,0)</x:f>
        <x:v>0</x:v>
      </x:c>
      <x:c r="S2018" s="24" t="n">
        <x:f>IFERROR(F2018/J2018,0)</x:f>
        <x:v>0</x:v>
      </x:c>
      <x:c r="T2018" s="28" t="n">
        <x:f>H2018-I2018</x:f>
        <x:v>-19</x:v>
      </x:c>
      <x:c r="U2018" s="24" t="n">
        <x:f>IFERROR(J2018/H2018,0)-IFERROR(K2018/I2018,0)</x:f>
        <x:v>-0.10666666666666669</x:v>
      </x:c>
      <x:c r="V2018" s="24" t="n">
        <x:f>IFERROR(F2018/J2018,0)-IFERROR(G2018/K2018,0)</x:f>
        <x:v>-0.09090909090909091</x:v>
      </x:c>
      <x:c r="W2018" s="28" t="n">
        <x:f>L2018-M2018</x:f>
        <x:v>-9</x:v>
      </x:c>
      <x:c r="X2018" s="24" t="n">
        <x:f>IFERROR(K2018/I2018,0)</x:f>
        <x:v>0.44</x:v>
      </x:c>
      <x:c r="Y2018" s="24" t="n">
        <x:f>IFERROR(G2018/I2018,0)</x:f>
        <x:v>0.04</x:v>
      </x:c>
      <x:c r="Z2018" s="24" t="n">
        <x:f>IFERROR(G2018/K2018,0)</x:f>
        <x:v>0.09090909090909091</x:v>
      </x:c>
      <x:c r="AA2018" s="24" t="n">
        <x:f>IFERROR(F2018/H2018,0)-IFERROR(G2018/I2018,0)</x:f>
        <x:v>-0.04</x:v>
      </x:c>
      <x:c r="AB2018" s="28" t="n">
        <x:f>J2018-K2018</x:f>
        <x:v>-9</x:v>
      </x:c>
      <x:c r="AC2018" s="32" t="n">
        <x:f>F2018-G2018</x:f>
        <x:v>-1</x:v>
      </x:c>
    </x:row>
    <x:row r="2019">
      <x:c r="A2019" s="4" t="str">
        <x:v>2023-24</x:v>
      </x:c>
      <x:c r="B2019" s="20" t="n">
        <x:v>45342</x:v>
      </x:c>
      <x:c r="C2019" s="4" t="str">
        <x:v>Man City</x:v>
      </x:c>
      <x:c r="D2019" s="4" t="str">
        <x:v>Brentford</x:v>
      </x:c>
      <x:c r="E2019" s="4" t="str">
        <x:v>Home</x:v>
      </x:c>
      <x:c r="F2019" s="28" t="n">
        <x:v>1</x:v>
      </x:c>
      <x:c r="G2019" s="28" t="n">
        <x:v>0</x:v>
      </x:c>
      <x:c r="H2019" s="28" t="n">
        <x:v>25</x:v>
      </x:c>
      <x:c r="I2019" s="28" t="n">
        <x:v>6</x:v>
      </x:c>
      <x:c r="J2019" s="28" t="n">
        <x:v>11</x:v>
      </x:c>
      <x:c r="K2019" s="28" t="n">
        <x:v>2</x:v>
      </x:c>
      <x:c r="L2019" s="28" t="n">
        <x:v>10</x:v>
      </x:c>
      <x:c r="M2019" s="28" t="n">
        <x:v>1</x:v>
      </x:c>
      <x:c r="N2019" s="28" t="n">
        <x:v>2</x:v>
      </x:c>
      <x:c r="O2019" s="28" t="n">
        <x:v>0</x:v>
      </x:c>
      <x:c r="P2019" s="28" t="n">
        <x:v>3</x:v>
      </x:c>
      <x:c r="Q2019" s="24" t="n">
        <x:f>IFERROR(J2019/H2019,0)</x:f>
        <x:v>0.44</x:v>
      </x:c>
      <x:c r="R2019" s="24" t="n">
        <x:f>IFERROR(F2019/H2019,0)</x:f>
        <x:v>0.04</x:v>
      </x:c>
      <x:c r="S2019" s="24" t="n">
        <x:f>IFERROR(F2019/J2019,0)</x:f>
        <x:v>0.09090909090909091</x:v>
      </x:c>
      <x:c r="T2019" s="28" t="n">
        <x:f>H2019-I2019</x:f>
        <x:v>19</x:v>
      </x:c>
      <x:c r="U2019" s="24" t="n">
        <x:f>IFERROR(J2019/H2019,0)-IFERROR(K2019/I2019,0)</x:f>
        <x:v>0.10666666666666669</x:v>
      </x:c>
      <x:c r="V2019" s="24" t="n">
        <x:f>IFERROR(F2019/J2019,0)-IFERROR(G2019/K2019,0)</x:f>
        <x:v>0.09090909090909091</x:v>
      </x:c>
      <x:c r="W2019" s="28" t="n">
        <x:f>L2019-M2019</x:f>
        <x:v>9</x:v>
      </x:c>
      <x:c r="X2019" s="24" t="n">
        <x:f>IFERROR(K2019/I2019,0)</x:f>
        <x:v>0.3333333333333333</x:v>
      </x:c>
      <x:c r="Y2019" s="24" t="n">
        <x:f>IFERROR(G2019/I2019,0)</x:f>
        <x:v>0</x:v>
      </x:c>
      <x:c r="Z2019" s="24" t="n">
        <x:f>IFERROR(G2019/K2019,0)</x:f>
        <x:v>0</x:v>
      </x:c>
      <x:c r="AA2019" s="24" t="n">
        <x:f>IFERROR(F2019/H2019,0)-IFERROR(G2019/I2019,0)</x:f>
        <x:v>0.04</x:v>
      </x:c>
      <x:c r="AB2019" s="28" t="n">
        <x:f>J2019-K2019</x:f>
        <x:v>9</x:v>
      </x:c>
      <x:c r="AC2019" s="32" t="n">
        <x:f>F2019-G2019</x:f>
        <x:v>1</x:v>
      </x:c>
    </x:row>
    <x:row r="2020">
      <x:c r="A2020" s="4" t="str">
        <x:v>2023-24</x:v>
      </x:c>
      <x:c r="B2020" s="20" t="n">
        <x:v>45343</x:v>
      </x:c>
      <x:c r="C2020" s="4" t="str">
        <x:v>Liverpool</x:v>
      </x:c>
      <x:c r="D2020" s="4" t="str">
        <x:v>Luton</x:v>
      </x:c>
      <x:c r="E2020" s="4" t="str">
        <x:v>Home</x:v>
      </x:c>
      <x:c r="F2020" s="28" t="n">
        <x:v>4</x:v>
      </x:c>
      <x:c r="G2020" s="28" t="n">
        <x:v>1</x:v>
      </x:c>
      <x:c r="H2020" s="28" t="n">
        <x:v>29</x:v>
      </x:c>
      <x:c r="I2020" s="28" t="n">
        <x:v>12</x:v>
      </x:c>
      <x:c r="J2020" s="28" t="n">
        <x:v>13</x:v>
      </x:c>
      <x:c r="K2020" s="28" t="n">
        <x:v>3</x:v>
      </x:c>
      <x:c r="L2020" s="28" t="n">
        <x:v>13</x:v>
      </x:c>
      <x:c r="M2020" s="28" t="n">
        <x:v>4</x:v>
      </x:c>
      <x:c r="N2020" s="28" t="n">
        <x:v>1</x:v>
      </x:c>
      <x:c r="O2020" s="28" t="n">
        <x:v>0</x:v>
      </x:c>
      <x:c r="P2020" s="28" t="n">
        <x:v>3</x:v>
      </x:c>
      <x:c r="Q2020" s="24" t="n">
        <x:f>IFERROR(J2020/H2020,0)</x:f>
        <x:v>0.4482758620689655</x:v>
      </x:c>
      <x:c r="R2020" s="24" t="n">
        <x:f>IFERROR(F2020/H2020,0)</x:f>
        <x:v>0.13793103448275862</x:v>
      </x:c>
      <x:c r="S2020" s="24" t="n">
        <x:f>IFERROR(F2020/J2020,0)</x:f>
        <x:v>0.3076923076923077</x:v>
      </x:c>
      <x:c r="T2020" s="28" t="n">
        <x:f>H2020-I2020</x:f>
        <x:v>17</x:v>
      </x:c>
      <x:c r="U2020" s="24" t="n">
        <x:f>IFERROR(J2020/H2020,0)-IFERROR(K2020/I2020,0)</x:f>
        <x:v>0.19827586206896552</x:v>
      </x:c>
      <x:c r="V2020" s="24" t="n">
        <x:f>IFERROR(F2020/J2020,0)-IFERROR(G2020/K2020,0)</x:f>
        <x:v>-0.025641025641025605</x:v>
      </x:c>
      <x:c r="W2020" s="28" t="n">
        <x:f>L2020-M2020</x:f>
        <x:v>9</x:v>
      </x:c>
      <x:c r="X2020" s="24" t="n">
        <x:f>IFERROR(K2020/I2020,0)</x:f>
        <x:v>0.25</x:v>
      </x:c>
      <x:c r="Y2020" s="24" t="n">
        <x:f>IFERROR(G2020/I2020,0)</x:f>
        <x:v>0.08333333333333333</x:v>
      </x:c>
      <x:c r="Z2020" s="24" t="n">
        <x:f>IFERROR(G2020/K2020,0)</x:f>
        <x:v>0.3333333333333333</x:v>
      </x:c>
      <x:c r="AA2020" s="24" t="n">
        <x:f>IFERROR(F2020/H2020,0)-IFERROR(G2020/I2020,0)</x:f>
        <x:v>0.05459770114942529</x:v>
      </x:c>
      <x:c r="AB2020" s="28" t="n">
        <x:f>J2020-K2020</x:f>
        <x:v>10</x:v>
      </x:c>
      <x:c r="AC2020" s="32" t="n">
        <x:f>F2020-G2020</x:f>
        <x:v>3</x:v>
      </x:c>
    </x:row>
    <x:row r="2021">
      <x:c r="A2021" s="4" t="str">
        <x:v>2023-24</x:v>
      </x:c>
      <x:c r="B2021" s="20" t="n">
        <x:v>45343</x:v>
      </x:c>
      <x:c r="C2021" s="4" t="str">
        <x:v>Luton</x:v>
      </x:c>
      <x:c r="D2021" s="4" t="str">
        <x:v>Liverpool</x:v>
      </x:c>
      <x:c r="E2021" s="4" t="str">
        <x:v>Away</x:v>
      </x:c>
      <x:c r="F2021" s="28" t="n">
        <x:v>1</x:v>
      </x:c>
      <x:c r="G2021" s="28" t="n">
        <x:v>4</x:v>
      </x:c>
      <x:c r="H2021" s="28" t="n">
        <x:v>12</x:v>
      </x:c>
      <x:c r="I2021" s="28" t="n">
        <x:v>29</x:v>
      </x:c>
      <x:c r="J2021" s="28" t="n">
        <x:v>3</x:v>
      </x:c>
      <x:c r="K2021" s="28" t="n">
        <x:v>13</x:v>
      </x:c>
      <x:c r="L2021" s="28" t="n">
        <x:v>4</x:v>
      </x:c>
      <x:c r="M2021" s="28" t="n">
        <x:v>13</x:v>
      </x:c>
      <x:c r="N2021" s="28" t="n">
        <x:v>4</x:v>
      </x:c>
      <x:c r="O2021" s="28" t="n">
        <x:v>0</x:v>
      </x:c>
      <x:c r="P2021" s="28" t="n">
        <x:v>0</x:v>
      </x:c>
      <x:c r="Q2021" s="24" t="n">
        <x:f>IFERROR(J2021/H2021,0)</x:f>
        <x:v>0.25</x:v>
      </x:c>
      <x:c r="R2021" s="24" t="n">
        <x:f>IFERROR(F2021/H2021,0)</x:f>
        <x:v>0.08333333333333333</x:v>
      </x:c>
      <x:c r="S2021" s="24" t="n">
        <x:f>IFERROR(F2021/J2021,0)</x:f>
        <x:v>0.3333333333333333</x:v>
      </x:c>
      <x:c r="T2021" s="28" t="n">
        <x:f>H2021-I2021</x:f>
        <x:v>-17</x:v>
      </x:c>
      <x:c r="U2021" s="24" t="n">
        <x:f>IFERROR(J2021/H2021,0)-IFERROR(K2021/I2021,0)</x:f>
        <x:v>-0.19827586206896552</x:v>
      </x:c>
      <x:c r="V2021" s="24" t="n">
        <x:f>IFERROR(F2021/J2021,0)-IFERROR(G2021/K2021,0)</x:f>
        <x:v>0.025641025641025605</x:v>
      </x:c>
      <x:c r="W2021" s="28" t="n">
        <x:f>L2021-M2021</x:f>
        <x:v>-9</x:v>
      </x:c>
      <x:c r="X2021" s="24" t="n">
        <x:f>IFERROR(K2021/I2021,0)</x:f>
        <x:v>0.4482758620689655</x:v>
      </x:c>
      <x:c r="Y2021" s="24" t="n">
        <x:f>IFERROR(G2021/I2021,0)</x:f>
        <x:v>0.13793103448275862</x:v>
      </x:c>
      <x:c r="Z2021" s="24" t="n">
        <x:f>IFERROR(G2021/K2021,0)</x:f>
        <x:v>0.3076923076923077</x:v>
      </x:c>
      <x:c r="AA2021" s="24" t="n">
        <x:f>IFERROR(F2021/H2021,0)-IFERROR(G2021/I2021,0)</x:f>
        <x:v>-0.05459770114942529</x:v>
      </x:c>
      <x:c r="AB2021" s="28" t="n">
        <x:f>J2021-K2021</x:f>
        <x:v>-10</x:v>
      </x:c>
      <x:c r="AC2021" s="32" t="n">
        <x:f>F2021-G2021</x:f>
        <x:v>-3</x:v>
      </x:c>
    </x:row>
    <x:row r="2022">
      <x:c r="A2022" s="4" t="str">
        <x:v>2023-24</x:v>
      </x:c>
      <x:c r="B2022" s="20" t="n">
        <x:v>45346</x:v>
      </x:c>
      <x:c r="C2022" s="4" t="str">
        <x:v>Arsenal</x:v>
      </x:c>
      <x:c r="D2022" s="4" t="str">
        <x:v>Newcastle</x:v>
      </x:c>
      <x:c r="E2022" s="4" t="str">
        <x:v>Home</x:v>
      </x:c>
      <x:c r="F2022" s="28" t="n">
        <x:v>4</x:v>
      </x:c>
      <x:c r="G2022" s="28" t="n">
        <x:v>1</x:v>
      </x:c>
      <x:c r="H2022" s="28" t="n">
        <x:v>18</x:v>
      </x:c>
      <x:c r="I2022" s="28" t="n">
        <x:v>3</x:v>
      </x:c>
      <x:c r="J2022" s="28" t="n">
        <x:v>8</x:v>
      </x:c>
      <x:c r="K2022" s="28" t="n">
        <x:v>2</x:v>
      </x:c>
      <x:c r="L2022" s="28" t="n">
        <x:v>9</x:v>
      </x:c>
      <x:c r="M2022" s="28" t="n">
        <x:v>0</x:v>
      </x:c>
      <x:c r="N2022" s="28" t="n">
        <x:v>1</x:v>
      </x:c>
      <x:c r="O2022" s="28" t="n">
        <x:v>0</x:v>
      </x:c>
      <x:c r="P2022" s="28" t="n">
        <x:v>3</x:v>
      </x:c>
      <x:c r="Q2022" s="24" t="n">
        <x:f>IFERROR(J2022/H2022,0)</x:f>
        <x:v>0.4444444444444444</x:v>
      </x:c>
      <x:c r="R2022" s="24" t="n">
        <x:f>IFERROR(F2022/H2022,0)</x:f>
        <x:v>0.2222222222222222</x:v>
      </x:c>
      <x:c r="S2022" s="24" t="n">
        <x:f>IFERROR(F2022/J2022,0)</x:f>
        <x:v>0.5</x:v>
      </x:c>
      <x:c r="T2022" s="28" t="n">
        <x:f>H2022-I2022</x:f>
        <x:v>15</x:v>
      </x:c>
      <x:c r="U2022" s="24" t="n">
        <x:f>IFERROR(J2022/H2022,0)-IFERROR(K2022/I2022,0)</x:f>
        <x:v>-0.2222222222222222</x:v>
      </x:c>
      <x:c r="V2022" s="24" t="n">
        <x:f>IFERROR(F2022/J2022,0)-IFERROR(G2022/K2022,0)</x:f>
        <x:v>0</x:v>
      </x:c>
      <x:c r="W2022" s="28" t="n">
        <x:f>L2022-M2022</x:f>
        <x:v>9</x:v>
      </x:c>
      <x:c r="X2022" s="24" t="n">
        <x:f>IFERROR(K2022/I2022,0)</x:f>
        <x:v>0.6666666666666666</x:v>
      </x:c>
      <x:c r="Y2022" s="24" t="n">
        <x:f>IFERROR(G2022/I2022,0)</x:f>
        <x:v>0.3333333333333333</x:v>
      </x:c>
      <x:c r="Z2022" s="24" t="n">
        <x:f>IFERROR(G2022/K2022,0)</x:f>
        <x:v>0.5</x:v>
      </x:c>
      <x:c r="AA2022" s="24" t="n">
        <x:f>IFERROR(F2022/H2022,0)-IFERROR(G2022/I2022,0)</x:f>
        <x:v>-0.1111111111111111</x:v>
      </x:c>
      <x:c r="AB2022" s="28" t="n">
        <x:f>J2022-K2022</x:f>
        <x:v>6</x:v>
      </x:c>
      <x:c r="AC2022" s="32" t="n">
        <x:f>F2022-G2022</x:f>
        <x:v>3</x:v>
      </x:c>
    </x:row>
    <x:row r="2023">
      <x:c r="A2023" s="4" t="str">
        <x:v>2023-24</x:v>
      </x:c>
      <x:c r="B2023" s="20" t="n">
        <x:v>45346</x:v>
      </x:c>
      <x:c r="C2023" s="4" t="str">
        <x:v>Aston Villa</x:v>
      </x:c>
      <x:c r="D2023" s="4" t="str">
        <x:v>Nott'm Forest</x:v>
      </x:c>
      <x:c r="E2023" s="4" t="str">
        <x:v>Home</x:v>
      </x:c>
      <x:c r="F2023" s="28" t="n">
        <x:v>4</x:v>
      </x:c>
      <x:c r="G2023" s="28" t="n">
        <x:v>2</x:v>
      </x:c>
      <x:c r="H2023" s="28" t="n">
        <x:v>16</x:v>
      </x:c>
      <x:c r="I2023" s="28" t="n">
        <x:v>10</x:v>
      </x:c>
      <x:c r="J2023" s="28" t="n">
        <x:v>6</x:v>
      </x:c>
      <x:c r="K2023" s="28" t="n">
        <x:v>3</x:v>
      </x:c>
      <x:c r="L2023" s="28" t="n">
        <x:v>7</x:v>
      </x:c>
      <x:c r="M2023" s="28" t="n">
        <x:v>2</x:v>
      </x:c>
      <x:c r="N2023" s="28" t="n">
        <x:v>1</x:v>
      </x:c>
      <x:c r="O2023" s="28" t="n">
        <x:v>0</x:v>
      </x:c>
      <x:c r="P2023" s="28" t="n">
        <x:v>3</x:v>
      </x:c>
      <x:c r="Q2023" s="24" t="n">
        <x:f>IFERROR(J2023/H2023,0)</x:f>
        <x:v>0.375</x:v>
      </x:c>
      <x:c r="R2023" s="24" t="n">
        <x:f>IFERROR(F2023/H2023,0)</x:f>
        <x:v>0.25</x:v>
      </x:c>
      <x:c r="S2023" s="24" t="n">
        <x:f>IFERROR(F2023/J2023,0)</x:f>
        <x:v>0.6666666666666666</x:v>
      </x:c>
      <x:c r="T2023" s="28" t="n">
        <x:f>H2023-I2023</x:f>
        <x:v>6</x:v>
      </x:c>
      <x:c r="U2023" s="24" t="n">
        <x:f>IFERROR(J2023/H2023,0)-IFERROR(K2023/I2023,0)</x:f>
        <x:v>0.07500000000000001</x:v>
      </x:c>
      <x:c r="V2023" s="24" t="n">
        <x:f>IFERROR(F2023/J2023,0)-IFERROR(G2023/K2023,0)</x:f>
        <x:v>0</x:v>
      </x:c>
      <x:c r="W2023" s="28" t="n">
        <x:f>L2023-M2023</x:f>
        <x:v>5</x:v>
      </x:c>
      <x:c r="X2023" s="24" t="n">
        <x:f>IFERROR(K2023/I2023,0)</x:f>
        <x:v>0.3</x:v>
      </x:c>
      <x:c r="Y2023" s="24" t="n">
        <x:f>IFERROR(G2023/I2023,0)</x:f>
        <x:v>0.2</x:v>
      </x:c>
      <x:c r="Z2023" s="24" t="n">
        <x:f>IFERROR(G2023/K2023,0)</x:f>
        <x:v>0.6666666666666666</x:v>
      </x:c>
      <x:c r="AA2023" s="24" t="n">
        <x:f>IFERROR(F2023/H2023,0)-IFERROR(G2023/I2023,0)</x:f>
        <x:v>0.04999999999999999</x:v>
      </x:c>
      <x:c r="AB2023" s="28" t="n">
        <x:f>J2023-K2023</x:f>
        <x:v>3</x:v>
      </x:c>
      <x:c r="AC2023" s="32" t="n">
        <x:f>F2023-G2023</x:f>
        <x:v>2</x:v>
      </x:c>
    </x:row>
    <x:row r="2024">
      <x:c r="A2024" s="4" t="str">
        <x:v>2023-24</x:v>
      </x:c>
      <x:c r="B2024" s="20" t="n">
        <x:v>45346</x:v>
      </x:c>
      <x:c r="C2024" s="4" t="str">
        <x:v>Bournemouth</x:v>
      </x:c>
      <x:c r="D2024" s="4" t="str">
        <x:v>Man City</x:v>
      </x:c>
      <x:c r="E2024" s="4" t="str">
        <x:v>Home</x:v>
      </x:c>
      <x:c r="F2024" s="28" t="n">
        <x:v>0</x:v>
      </x:c>
      <x:c r="G2024" s="28" t="n">
        <x:v>1</x:v>
      </x:c>
      <x:c r="H2024" s="28" t="n">
        <x:v>13</x:v>
      </x:c>
      <x:c r="I2024" s="28" t="n">
        <x:v>15</x:v>
      </x:c>
      <x:c r="J2024" s="28" t="n">
        <x:v>4</x:v>
      </x:c>
      <x:c r="K2024" s="28" t="n">
        <x:v>6</x:v>
      </x:c>
      <x:c r="L2024" s="28" t="n">
        <x:v>3</x:v>
      </x:c>
      <x:c r="M2024" s="28" t="n">
        <x:v>8</x:v>
      </x:c>
      <x:c r="N2024" s="28" t="n">
        <x:v>2</x:v>
      </x:c>
      <x:c r="O2024" s="28" t="n">
        <x:v>0</x:v>
      </x:c>
      <x:c r="P2024" s="28" t="n">
        <x:v>0</x:v>
      </x:c>
      <x:c r="Q2024" s="24" t="n">
        <x:f>IFERROR(J2024/H2024,0)</x:f>
        <x:v>0.3076923076923077</x:v>
      </x:c>
      <x:c r="R2024" s="24" t="n">
        <x:f>IFERROR(F2024/H2024,0)</x:f>
        <x:v>0</x:v>
      </x:c>
      <x:c r="S2024" s="24" t="n">
        <x:f>IFERROR(F2024/J2024,0)</x:f>
        <x:v>0</x:v>
      </x:c>
      <x:c r="T2024" s="28" t="n">
        <x:f>H2024-I2024</x:f>
        <x:v>-2</x:v>
      </x:c>
      <x:c r="U2024" s="24" t="n">
        <x:f>IFERROR(J2024/H2024,0)-IFERROR(K2024/I2024,0)</x:f>
        <x:v>-0.09230769230769231</x:v>
      </x:c>
      <x:c r="V2024" s="24" t="n">
        <x:f>IFERROR(F2024/J2024,0)-IFERROR(G2024/K2024,0)</x:f>
        <x:v>-0.16666666666666666</x:v>
      </x:c>
      <x:c r="W2024" s="28" t="n">
        <x:f>L2024-M2024</x:f>
        <x:v>-5</x:v>
      </x:c>
      <x:c r="X2024" s="24" t="n">
        <x:f>IFERROR(K2024/I2024,0)</x:f>
        <x:v>0.4</x:v>
      </x:c>
      <x:c r="Y2024" s="24" t="n">
        <x:f>IFERROR(G2024/I2024,0)</x:f>
        <x:v>0.06666666666666667</x:v>
      </x:c>
      <x:c r="Z2024" s="24" t="n">
        <x:f>IFERROR(G2024/K2024,0)</x:f>
        <x:v>0.16666666666666666</x:v>
      </x:c>
      <x:c r="AA2024" s="24" t="n">
        <x:f>IFERROR(F2024/H2024,0)-IFERROR(G2024/I2024,0)</x:f>
        <x:v>-0.06666666666666667</x:v>
      </x:c>
      <x:c r="AB2024" s="28" t="n">
        <x:f>J2024-K2024</x:f>
        <x:v>-2</x:v>
      </x:c>
      <x:c r="AC2024" s="32" t="n">
        <x:f>F2024-G2024</x:f>
        <x:v>-1</x:v>
      </x:c>
    </x:row>
    <x:row r="2025">
      <x:c r="A2025" s="4" t="str">
        <x:v>2023-24</x:v>
      </x:c>
      <x:c r="B2025" s="20" t="n">
        <x:v>45346</x:v>
      </x:c>
      <x:c r="C2025" s="4" t="str">
        <x:v>Brighton</x:v>
      </x:c>
      <x:c r="D2025" s="4" t="str">
        <x:v>Everton</x:v>
      </x:c>
      <x:c r="E2025" s="4" t="str">
        <x:v>Home</x:v>
      </x:c>
      <x:c r="F2025" s="28" t="n">
        <x:v>1</x:v>
      </x:c>
      <x:c r="G2025" s="28" t="n">
        <x:v>1</x:v>
      </x:c>
      <x:c r="H2025" s="28" t="n">
        <x:v>23</x:v>
      </x:c>
      <x:c r="I2025" s="28" t="n">
        <x:v>6</x:v>
      </x:c>
      <x:c r="J2025" s="28" t="n">
        <x:v>7</x:v>
      </x:c>
      <x:c r="K2025" s="28" t="n">
        <x:v>3</x:v>
      </x:c>
      <x:c r="L2025" s="28" t="n">
        <x:v>11</x:v>
      </x:c>
      <x:c r="M2025" s="28" t="n">
        <x:v>3</x:v>
      </x:c>
      <x:c r="N2025" s="28" t="n">
        <x:v>2</x:v>
      </x:c>
      <x:c r="O2025" s="28" t="n">
        <x:v>1</x:v>
      </x:c>
      <x:c r="P2025" s="28" t="n">
        <x:v>1</x:v>
      </x:c>
      <x:c r="Q2025" s="24" t="n">
        <x:f>IFERROR(J2025/H2025,0)</x:f>
        <x:v>0.30434782608695654</x:v>
      </x:c>
      <x:c r="R2025" s="24" t="n">
        <x:f>IFERROR(F2025/H2025,0)</x:f>
        <x:v>0.043478260869565216</x:v>
      </x:c>
      <x:c r="S2025" s="24" t="n">
        <x:f>IFERROR(F2025/J2025,0)</x:f>
        <x:v>0.14285714285714285</x:v>
      </x:c>
      <x:c r="T2025" s="28" t="n">
        <x:f>H2025-I2025</x:f>
        <x:v>17</x:v>
      </x:c>
      <x:c r="U2025" s="24" t="n">
        <x:f>IFERROR(J2025/H2025,0)-IFERROR(K2025/I2025,0)</x:f>
        <x:v>-0.19565217391304346</x:v>
      </x:c>
      <x:c r="V2025" s="24" t="n">
        <x:f>IFERROR(F2025/J2025,0)-IFERROR(G2025/K2025,0)</x:f>
        <x:v>-0.19047619047619047</x:v>
      </x:c>
      <x:c r="W2025" s="28" t="n">
        <x:f>L2025-M2025</x:f>
        <x:v>8</x:v>
      </x:c>
      <x:c r="X2025" s="24" t="n">
        <x:f>IFERROR(K2025/I2025,0)</x:f>
        <x:v>0.5</x:v>
      </x:c>
      <x:c r="Y2025" s="24" t="n">
        <x:f>IFERROR(G2025/I2025,0)</x:f>
        <x:v>0.16666666666666666</x:v>
      </x:c>
      <x:c r="Z2025" s="24" t="n">
        <x:f>IFERROR(G2025/K2025,0)</x:f>
        <x:v>0.3333333333333333</x:v>
      </x:c>
      <x:c r="AA2025" s="24" t="n">
        <x:f>IFERROR(F2025/H2025,0)-IFERROR(G2025/I2025,0)</x:f>
        <x:v>-0.12318840579710144</x:v>
      </x:c>
      <x:c r="AB2025" s="28" t="n">
        <x:f>J2025-K2025</x:f>
        <x:v>4</x:v>
      </x:c>
      <x:c r="AC2025" s="32" t="n">
        <x:f>F2025-G2025</x:f>
        <x:v>0</x:v>
      </x:c>
    </x:row>
    <x:row r="2026">
      <x:c r="A2026" s="4" t="str">
        <x:v>2023-24</x:v>
      </x:c>
      <x:c r="B2026" s="20" t="n">
        <x:v>45346</x:v>
      </x:c>
      <x:c r="C2026" s="4" t="str">
        <x:v>Burnley</x:v>
      </x:c>
      <x:c r="D2026" s="4" t="str">
        <x:v>Crystal Palace</x:v>
      </x:c>
      <x:c r="E2026" s="4" t="str">
        <x:v>Away</x:v>
      </x:c>
      <x:c r="F2026" s="28" t="n">
        <x:v>0</x:v>
      </x:c>
      <x:c r="G2026" s="28" t="n">
        <x:v>3</x:v>
      </x:c>
      <x:c r="H2026" s="28" t="n">
        <x:v>2</x:v>
      </x:c>
      <x:c r="I2026" s="28" t="n">
        <x:v>15</x:v>
      </x:c>
      <x:c r="J2026" s="28" t="n">
        <x:v>0</x:v>
      </x:c>
      <x:c r="K2026" s="28" t="n">
        <x:v>6</x:v>
      </x:c>
      <x:c r="L2026" s="28" t="n">
        <x:v>3</x:v>
      </x:c>
      <x:c r="M2026" s="28" t="n">
        <x:v>12</x:v>
      </x:c>
      <x:c r="N2026" s="28" t="n">
        <x:v>1</x:v>
      </x:c>
      <x:c r="O2026" s="28" t="n">
        <x:v>1</x:v>
      </x:c>
      <x:c r="P2026" s="28" t="n">
        <x:v>0</x:v>
      </x:c>
      <x:c r="Q2026" s="24" t="n">
        <x:f>IFERROR(J2026/H2026,0)</x:f>
        <x:v>0</x:v>
      </x:c>
      <x:c r="R2026" s="24" t="n">
        <x:f>IFERROR(F2026/H2026,0)</x:f>
        <x:v>0</x:v>
      </x:c>
      <x:c r="S2026" s="24" t="n">
        <x:f>IFERROR(F2026/J2026,0)</x:f>
        <x:v>0</x:v>
      </x:c>
      <x:c r="T2026" s="28" t="n">
        <x:f>H2026-I2026</x:f>
        <x:v>-13</x:v>
      </x:c>
      <x:c r="U2026" s="24" t="n">
        <x:f>IFERROR(J2026/H2026,0)-IFERROR(K2026/I2026,0)</x:f>
        <x:v>-0.4</x:v>
      </x:c>
      <x:c r="V2026" s="24" t="n">
        <x:f>IFERROR(F2026/J2026,0)-IFERROR(G2026/K2026,0)</x:f>
        <x:v>-0.5</x:v>
      </x:c>
      <x:c r="W2026" s="28" t="n">
        <x:f>L2026-M2026</x:f>
        <x:v>-9</x:v>
      </x:c>
      <x:c r="X2026" s="24" t="n">
        <x:f>IFERROR(K2026/I2026,0)</x:f>
        <x:v>0.4</x:v>
      </x:c>
      <x:c r="Y2026" s="24" t="n">
        <x:f>IFERROR(G2026/I2026,0)</x:f>
        <x:v>0.2</x:v>
      </x:c>
      <x:c r="Z2026" s="24" t="n">
        <x:f>IFERROR(G2026/K2026,0)</x:f>
        <x:v>0.5</x:v>
      </x:c>
      <x:c r="AA2026" s="24" t="n">
        <x:f>IFERROR(F2026/H2026,0)-IFERROR(G2026/I2026,0)</x:f>
        <x:v>-0.2</x:v>
      </x:c>
      <x:c r="AB2026" s="28" t="n">
        <x:f>J2026-K2026</x:f>
        <x:v>-6</x:v>
      </x:c>
      <x:c r="AC2026" s="32" t="n">
        <x:f>F2026-G2026</x:f>
        <x:v>-3</x:v>
      </x:c>
    </x:row>
    <x:row r="2027">
      <x:c r="A2027" s="4" t="str">
        <x:v>2023-24</x:v>
      </x:c>
      <x:c r="B2027" s="20" t="n">
        <x:v>45346</x:v>
      </x:c>
      <x:c r="C2027" s="4" t="str">
        <x:v>Crystal Palace</x:v>
      </x:c>
      <x:c r="D2027" s="4" t="str">
        <x:v>Burnley</x:v>
      </x:c>
      <x:c r="E2027" s="4" t="str">
        <x:v>Home</x:v>
      </x:c>
      <x:c r="F2027" s="28" t="n">
        <x:v>3</x:v>
      </x:c>
      <x:c r="G2027" s="28" t="n">
        <x:v>0</x:v>
      </x:c>
      <x:c r="H2027" s="28" t="n">
        <x:v>15</x:v>
      </x:c>
      <x:c r="I2027" s="28" t="n">
        <x:v>2</x:v>
      </x:c>
      <x:c r="J2027" s="28" t="n">
        <x:v>6</x:v>
      </x:c>
      <x:c r="K2027" s="28" t="n">
        <x:v>0</x:v>
      </x:c>
      <x:c r="L2027" s="28" t="n">
        <x:v>12</x:v>
      </x:c>
      <x:c r="M2027" s="28" t="n">
        <x:v>3</x:v>
      </x:c>
      <x:c r="N2027" s="28" t="n">
        <x:v>3</x:v>
      </x:c>
      <x:c r="O2027" s="28" t="n">
        <x:v>0</x:v>
      </x:c>
      <x:c r="P2027" s="28" t="n">
        <x:v>3</x:v>
      </x:c>
      <x:c r="Q2027" s="24" t="n">
        <x:f>IFERROR(J2027/H2027,0)</x:f>
        <x:v>0.4</x:v>
      </x:c>
      <x:c r="R2027" s="24" t="n">
        <x:f>IFERROR(F2027/H2027,0)</x:f>
        <x:v>0.2</x:v>
      </x:c>
      <x:c r="S2027" s="24" t="n">
        <x:f>IFERROR(F2027/J2027,0)</x:f>
        <x:v>0.5</x:v>
      </x:c>
      <x:c r="T2027" s="28" t="n">
        <x:f>H2027-I2027</x:f>
        <x:v>13</x:v>
      </x:c>
      <x:c r="U2027" s="24" t="n">
        <x:f>IFERROR(J2027/H2027,0)-IFERROR(K2027/I2027,0)</x:f>
        <x:v>0.4</x:v>
      </x:c>
      <x:c r="V2027" s="24" t="n">
        <x:f>IFERROR(F2027/J2027,0)-IFERROR(G2027/K2027,0)</x:f>
        <x:v>0.5</x:v>
      </x:c>
      <x:c r="W2027" s="28" t="n">
        <x:f>L2027-M2027</x:f>
        <x:v>9</x:v>
      </x:c>
      <x:c r="X2027" s="24" t="n">
        <x:f>IFERROR(K2027/I2027,0)</x:f>
        <x:v>0</x:v>
      </x:c>
      <x:c r="Y2027" s="24" t="n">
        <x:f>IFERROR(G2027/I2027,0)</x:f>
        <x:v>0</x:v>
      </x:c>
      <x:c r="Z2027" s="24" t="n">
        <x:f>IFERROR(G2027/K2027,0)</x:f>
        <x:v>0</x:v>
      </x:c>
      <x:c r="AA2027" s="24" t="n">
        <x:f>IFERROR(F2027/H2027,0)-IFERROR(G2027/I2027,0)</x:f>
        <x:v>0.2</x:v>
      </x:c>
      <x:c r="AB2027" s="28" t="n">
        <x:f>J2027-K2027</x:f>
        <x:v>6</x:v>
      </x:c>
      <x:c r="AC2027" s="32" t="n">
        <x:f>F2027-G2027</x:f>
        <x:v>3</x:v>
      </x:c>
    </x:row>
    <x:row r="2028">
      <x:c r="A2028" s="4" t="str">
        <x:v>2023-24</x:v>
      </x:c>
      <x:c r="B2028" s="20" t="n">
        <x:v>45346</x:v>
      </x:c>
      <x:c r="C2028" s="4" t="str">
        <x:v>Everton</x:v>
      </x:c>
      <x:c r="D2028" s="4" t="str">
        <x:v>Brighton</x:v>
      </x:c>
      <x:c r="E2028" s="4" t="str">
        <x:v>Away</x:v>
      </x:c>
      <x:c r="F2028" s="28" t="n">
        <x:v>1</x:v>
      </x:c>
      <x:c r="G2028" s="28" t="n">
        <x:v>1</x:v>
      </x:c>
      <x:c r="H2028" s="28" t="n">
        <x:v>6</x:v>
      </x:c>
      <x:c r="I2028" s="28" t="n">
        <x:v>23</x:v>
      </x:c>
      <x:c r="J2028" s="28" t="n">
        <x:v>3</x:v>
      </x:c>
      <x:c r="K2028" s="28" t="n">
        <x:v>7</x:v>
      </x:c>
      <x:c r="L2028" s="28" t="n">
        <x:v>3</x:v>
      </x:c>
      <x:c r="M2028" s="28" t="n">
        <x:v>11</x:v>
      </x:c>
      <x:c r="N2028" s="28" t="n">
        <x:v>3</x:v>
      </x:c>
      <x:c r="O2028" s="28" t="n">
        <x:v>0</x:v>
      </x:c>
      <x:c r="P2028" s="28" t="n">
        <x:v>1</x:v>
      </x:c>
      <x:c r="Q2028" s="24" t="n">
        <x:f>IFERROR(J2028/H2028,0)</x:f>
        <x:v>0.5</x:v>
      </x:c>
      <x:c r="R2028" s="24" t="n">
        <x:f>IFERROR(F2028/H2028,0)</x:f>
        <x:v>0.16666666666666666</x:v>
      </x:c>
      <x:c r="S2028" s="24" t="n">
        <x:f>IFERROR(F2028/J2028,0)</x:f>
        <x:v>0.3333333333333333</x:v>
      </x:c>
      <x:c r="T2028" s="28" t="n">
        <x:f>H2028-I2028</x:f>
        <x:v>-17</x:v>
      </x:c>
      <x:c r="U2028" s="24" t="n">
        <x:f>IFERROR(J2028/H2028,0)-IFERROR(K2028/I2028,0)</x:f>
        <x:v>0.19565217391304346</x:v>
      </x:c>
      <x:c r="V2028" s="24" t="n">
        <x:f>IFERROR(F2028/J2028,0)-IFERROR(G2028/K2028,0)</x:f>
        <x:v>0.19047619047619047</x:v>
      </x:c>
      <x:c r="W2028" s="28" t="n">
        <x:f>L2028-M2028</x:f>
        <x:v>-8</x:v>
      </x:c>
      <x:c r="X2028" s="24" t="n">
        <x:f>IFERROR(K2028/I2028,0)</x:f>
        <x:v>0.30434782608695654</x:v>
      </x:c>
      <x:c r="Y2028" s="24" t="n">
        <x:f>IFERROR(G2028/I2028,0)</x:f>
        <x:v>0.043478260869565216</x:v>
      </x:c>
      <x:c r="Z2028" s="24" t="n">
        <x:f>IFERROR(G2028/K2028,0)</x:f>
        <x:v>0.14285714285714285</x:v>
      </x:c>
      <x:c r="AA2028" s="24" t="n">
        <x:f>IFERROR(F2028/H2028,0)-IFERROR(G2028/I2028,0)</x:f>
        <x:v>0.12318840579710144</x:v>
      </x:c>
      <x:c r="AB2028" s="28" t="n">
        <x:f>J2028-K2028</x:f>
        <x:v>-4</x:v>
      </x:c>
      <x:c r="AC2028" s="32" t="n">
        <x:f>F2028-G2028</x:f>
        <x:v>0</x:v>
      </x:c>
    </x:row>
    <x:row r="2029">
      <x:c r="A2029" s="4" t="str">
        <x:v>2023-24</x:v>
      </x:c>
      <x:c r="B2029" s="20" t="n">
        <x:v>45346</x:v>
      </x:c>
      <x:c r="C2029" s="4" t="str">
        <x:v>Fulham</x:v>
      </x:c>
      <x:c r="D2029" s="4" t="str">
        <x:v>Man United</x:v>
      </x:c>
      <x:c r="E2029" s="4" t="str">
        <x:v>Away</x:v>
      </x:c>
      <x:c r="F2029" s="28" t="n">
        <x:v>2</x:v>
      </x:c>
      <x:c r="G2029" s="28" t="n">
        <x:v>1</x:v>
      </x:c>
      <x:c r="H2029" s="28" t="n">
        <x:v>17</x:v>
      </x:c>
      <x:c r="I2029" s="28" t="n">
        <x:v>21</x:v>
      </x:c>
      <x:c r="J2029" s="28" t="n">
        <x:v>5</x:v>
      </x:c>
      <x:c r="K2029" s="28" t="n">
        <x:v>9</x:v>
      </x:c>
      <x:c r="L2029" s="28" t="n">
        <x:v>9</x:v>
      </x:c>
      <x:c r="M2029" s="28" t="n">
        <x:v>10</x:v>
      </x:c>
      <x:c r="N2029" s="28" t="n">
        <x:v>5</x:v>
      </x:c>
      <x:c r="O2029" s="28" t="n">
        <x:v>0</x:v>
      </x:c>
      <x:c r="P2029" s="28" t="n">
        <x:v>3</x:v>
      </x:c>
      <x:c r="Q2029" s="24" t="n">
        <x:f>IFERROR(J2029/H2029,0)</x:f>
        <x:v>0.29411764705882354</x:v>
      </x:c>
      <x:c r="R2029" s="24" t="n">
        <x:f>IFERROR(F2029/H2029,0)</x:f>
        <x:v>0.11764705882352941</x:v>
      </x:c>
      <x:c r="S2029" s="24" t="n">
        <x:f>IFERROR(F2029/J2029,0)</x:f>
        <x:v>0.4</x:v>
      </x:c>
      <x:c r="T2029" s="28" t="n">
        <x:f>H2029-I2029</x:f>
        <x:v>-4</x:v>
      </x:c>
      <x:c r="U2029" s="24" t="n">
        <x:f>IFERROR(J2029/H2029,0)-IFERROR(K2029/I2029,0)</x:f>
        <x:v>-0.134453781512605</x:v>
      </x:c>
      <x:c r="V2029" s="24" t="n">
        <x:f>IFERROR(F2029/J2029,0)-IFERROR(G2029/K2029,0)</x:f>
        <x:v>0.2888888888888889</x:v>
      </x:c>
      <x:c r="W2029" s="28" t="n">
        <x:f>L2029-M2029</x:f>
        <x:v>-1</x:v>
      </x:c>
      <x:c r="X2029" s="24" t="n">
        <x:f>IFERROR(K2029/I2029,0)</x:f>
        <x:v>0.42857142857142855</x:v>
      </x:c>
      <x:c r="Y2029" s="24" t="n">
        <x:f>IFERROR(G2029/I2029,0)</x:f>
        <x:v>0.047619047619047616</x:v>
      </x:c>
      <x:c r="Z2029" s="24" t="n">
        <x:f>IFERROR(G2029/K2029,0)</x:f>
        <x:v>0.1111111111111111</x:v>
      </x:c>
      <x:c r="AA2029" s="24" t="n">
        <x:f>IFERROR(F2029/H2029,0)-IFERROR(G2029/I2029,0)</x:f>
        <x:v>0.0700280112044818</x:v>
      </x:c>
      <x:c r="AB2029" s="28" t="n">
        <x:f>J2029-K2029</x:f>
        <x:v>-4</x:v>
      </x:c>
      <x:c r="AC2029" s="32" t="n">
        <x:f>F2029-G2029</x:f>
        <x:v>1</x:v>
      </x:c>
    </x:row>
    <x:row r="2030">
      <x:c r="A2030" s="4" t="str">
        <x:v>2023-24</x:v>
      </x:c>
      <x:c r="B2030" s="20" t="n">
        <x:v>45346</x:v>
      </x:c>
      <x:c r="C2030" s="4" t="str">
        <x:v>Man City</x:v>
      </x:c>
      <x:c r="D2030" s="4" t="str">
        <x:v>Bournemouth</x:v>
      </x:c>
      <x:c r="E2030" s="4" t="str">
        <x:v>Away</x:v>
      </x:c>
      <x:c r="F2030" s="28" t="n">
        <x:v>1</x:v>
      </x:c>
      <x:c r="G2030" s="28" t="n">
        <x:v>0</x:v>
      </x:c>
      <x:c r="H2030" s="28" t="n">
        <x:v>15</x:v>
      </x:c>
      <x:c r="I2030" s="28" t="n">
        <x:v>13</x:v>
      </x:c>
      <x:c r="J2030" s="28" t="n">
        <x:v>6</x:v>
      </x:c>
      <x:c r="K2030" s="28" t="n">
        <x:v>4</x:v>
      </x:c>
      <x:c r="L2030" s="28" t="n">
        <x:v>8</x:v>
      </x:c>
      <x:c r="M2030" s="28" t="n">
        <x:v>3</x:v>
      </x:c>
      <x:c r="N2030" s="28" t="n">
        <x:v>2</x:v>
      </x:c>
      <x:c r="O2030" s="28" t="n">
        <x:v>0</x:v>
      </x:c>
      <x:c r="P2030" s="28" t="n">
        <x:v>3</x:v>
      </x:c>
      <x:c r="Q2030" s="24" t="n">
        <x:f>IFERROR(J2030/H2030,0)</x:f>
        <x:v>0.4</x:v>
      </x:c>
      <x:c r="R2030" s="24" t="n">
        <x:f>IFERROR(F2030/H2030,0)</x:f>
        <x:v>0.06666666666666667</x:v>
      </x:c>
      <x:c r="S2030" s="24" t="n">
        <x:f>IFERROR(F2030/J2030,0)</x:f>
        <x:v>0.16666666666666666</x:v>
      </x:c>
      <x:c r="T2030" s="28" t="n">
        <x:f>H2030-I2030</x:f>
        <x:v>2</x:v>
      </x:c>
      <x:c r="U2030" s="24" t="n">
        <x:f>IFERROR(J2030/H2030,0)-IFERROR(K2030/I2030,0)</x:f>
        <x:v>0.09230769230769231</x:v>
      </x:c>
      <x:c r="V2030" s="24" t="n">
        <x:f>IFERROR(F2030/J2030,0)-IFERROR(G2030/K2030,0)</x:f>
        <x:v>0.16666666666666666</x:v>
      </x:c>
      <x:c r="W2030" s="28" t="n">
        <x:f>L2030-M2030</x:f>
        <x:v>5</x:v>
      </x:c>
      <x:c r="X2030" s="24" t="n">
        <x:f>IFERROR(K2030/I2030,0)</x:f>
        <x:v>0.3076923076923077</x:v>
      </x:c>
      <x:c r="Y2030" s="24" t="n">
        <x:f>IFERROR(G2030/I2030,0)</x:f>
        <x:v>0</x:v>
      </x:c>
      <x:c r="Z2030" s="24" t="n">
        <x:f>IFERROR(G2030/K2030,0)</x:f>
        <x:v>0</x:v>
      </x:c>
      <x:c r="AA2030" s="24" t="n">
        <x:f>IFERROR(F2030/H2030,0)-IFERROR(G2030/I2030,0)</x:f>
        <x:v>0.06666666666666667</x:v>
      </x:c>
      <x:c r="AB2030" s="28" t="n">
        <x:f>J2030-K2030</x:f>
        <x:v>2</x:v>
      </x:c>
      <x:c r="AC2030" s="32" t="n">
        <x:f>F2030-G2030</x:f>
        <x:v>1</x:v>
      </x:c>
    </x:row>
    <x:row r="2031">
      <x:c r="A2031" s="4" t="str">
        <x:v>2023-24</x:v>
      </x:c>
      <x:c r="B2031" s="20" t="n">
        <x:v>45346</x:v>
      </x:c>
      <x:c r="C2031" s="4" t="str">
        <x:v>Man United</x:v>
      </x:c>
      <x:c r="D2031" s="4" t="str">
        <x:v>Fulham</x:v>
      </x:c>
      <x:c r="E2031" s="4" t="str">
        <x:v>Home</x:v>
      </x:c>
      <x:c r="F2031" s="28" t="n">
        <x:v>1</x:v>
      </x:c>
      <x:c r="G2031" s="28" t="n">
        <x:v>2</x:v>
      </x:c>
      <x:c r="H2031" s="28" t="n">
        <x:v>21</x:v>
      </x:c>
      <x:c r="I2031" s="28" t="n">
        <x:v>17</x:v>
      </x:c>
      <x:c r="J2031" s="28" t="n">
        <x:v>9</x:v>
      </x:c>
      <x:c r="K2031" s="28" t="n">
        <x:v>5</x:v>
      </x:c>
      <x:c r="L2031" s="28" t="n">
        <x:v>10</x:v>
      </x:c>
      <x:c r="M2031" s="28" t="n">
        <x:v>9</x:v>
      </x:c>
      <x:c r="N2031" s="28" t="n">
        <x:v>2</x:v>
      </x:c>
      <x:c r="O2031" s="28" t="n">
        <x:v>0</x:v>
      </x:c>
      <x:c r="P2031" s="28" t="n">
        <x:v>0</x:v>
      </x:c>
      <x:c r="Q2031" s="24" t="n">
        <x:f>IFERROR(J2031/H2031,0)</x:f>
        <x:v>0.42857142857142855</x:v>
      </x:c>
      <x:c r="R2031" s="24" t="n">
        <x:f>IFERROR(F2031/H2031,0)</x:f>
        <x:v>0.047619047619047616</x:v>
      </x:c>
      <x:c r="S2031" s="24" t="n">
        <x:f>IFERROR(F2031/J2031,0)</x:f>
        <x:v>0.1111111111111111</x:v>
      </x:c>
      <x:c r="T2031" s="28" t="n">
        <x:f>H2031-I2031</x:f>
        <x:v>4</x:v>
      </x:c>
      <x:c r="U2031" s="24" t="n">
        <x:f>IFERROR(J2031/H2031,0)-IFERROR(K2031/I2031,0)</x:f>
        <x:v>0.134453781512605</x:v>
      </x:c>
      <x:c r="V2031" s="24" t="n">
        <x:f>IFERROR(F2031/J2031,0)-IFERROR(G2031/K2031,0)</x:f>
        <x:v>-0.2888888888888889</x:v>
      </x:c>
      <x:c r="W2031" s="28" t="n">
        <x:f>L2031-M2031</x:f>
        <x:v>1</x:v>
      </x:c>
      <x:c r="X2031" s="24" t="n">
        <x:f>IFERROR(K2031/I2031,0)</x:f>
        <x:v>0.29411764705882354</x:v>
      </x:c>
      <x:c r="Y2031" s="24" t="n">
        <x:f>IFERROR(G2031/I2031,0)</x:f>
        <x:v>0.11764705882352941</x:v>
      </x:c>
      <x:c r="Z2031" s="24" t="n">
        <x:f>IFERROR(G2031/K2031,0)</x:f>
        <x:v>0.4</x:v>
      </x:c>
      <x:c r="AA2031" s="24" t="n">
        <x:f>IFERROR(F2031/H2031,0)-IFERROR(G2031/I2031,0)</x:f>
        <x:v>-0.0700280112044818</x:v>
      </x:c>
      <x:c r="AB2031" s="28" t="n">
        <x:f>J2031-K2031</x:f>
        <x:v>4</x:v>
      </x:c>
      <x:c r="AC2031" s="32" t="n">
        <x:f>F2031-G2031</x:f>
        <x:v>-1</x:v>
      </x:c>
    </x:row>
    <x:row r="2032">
      <x:c r="A2032" s="4" t="str">
        <x:v>2023-24</x:v>
      </x:c>
      <x:c r="B2032" s="20" t="n">
        <x:v>45346</x:v>
      </x:c>
      <x:c r="C2032" s="4" t="str">
        <x:v>Newcastle</x:v>
      </x:c>
      <x:c r="D2032" s="4" t="str">
        <x:v>Arsenal</x:v>
      </x:c>
      <x:c r="E2032" s="4" t="str">
        <x:v>Away</x:v>
      </x:c>
      <x:c r="F2032" s="28" t="n">
        <x:v>1</x:v>
      </x:c>
      <x:c r="G2032" s="28" t="n">
        <x:v>4</x:v>
      </x:c>
      <x:c r="H2032" s="28" t="n">
        <x:v>3</x:v>
      </x:c>
      <x:c r="I2032" s="28" t="n">
        <x:v>18</x:v>
      </x:c>
      <x:c r="J2032" s="28" t="n">
        <x:v>2</x:v>
      </x:c>
      <x:c r="K2032" s="28" t="n">
        <x:v>8</x:v>
      </x:c>
      <x:c r="L2032" s="28" t="n">
        <x:v>0</x:v>
      </x:c>
      <x:c r="M2032" s="28" t="n">
        <x:v>9</x:v>
      </x:c>
      <x:c r="N2032" s="28" t="n">
        <x:v>0</x:v>
      </x:c>
      <x:c r="O2032" s="28" t="n">
        <x:v>0</x:v>
      </x:c>
      <x:c r="P2032" s="28" t="n">
        <x:v>0</x:v>
      </x:c>
      <x:c r="Q2032" s="24" t="n">
        <x:f>IFERROR(J2032/H2032,0)</x:f>
        <x:v>0.6666666666666666</x:v>
      </x:c>
      <x:c r="R2032" s="24" t="n">
        <x:f>IFERROR(F2032/H2032,0)</x:f>
        <x:v>0.3333333333333333</x:v>
      </x:c>
      <x:c r="S2032" s="24" t="n">
        <x:f>IFERROR(F2032/J2032,0)</x:f>
        <x:v>0.5</x:v>
      </x:c>
      <x:c r="T2032" s="28" t="n">
        <x:f>H2032-I2032</x:f>
        <x:v>-15</x:v>
      </x:c>
      <x:c r="U2032" s="24" t="n">
        <x:f>IFERROR(J2032/H2032,0)-IFERROR(K2032/I2032,0)</x:f>
        <x:v>0.2222222222222222</x:v>
      </x:c>
      <x:c r="V2032" s="24" t="n">
        <x:f>IFERROR(F2032/J2032,0)-IFERROR(G2032/K2032,0)</x:f>
        <x:v>0</x:v>
      </x:c>
      <x:c r="W2032" s="28" t="n">
        <x:f>L2032-M2032</x:f>
        <x:v>-9</x:v>
      </x:c>
      <x:c r="X2032" s="24" t="n">
        <x:f>IFERROR(K2032/I2032,0)</x:f>
        <x:v>0.4444444444444444</x:v>
      </x:c>
      <x:c r="Y2032" s="24" t="n">
        <x:f>IFERROR(G2032/I2032,0)</x:f>
        <x:v>0.2222222222222222</x:v>
      </x:c>
      <x:c r="Z2032" s="24" t="n">
        <x:f>IFERROR(G2032/K2032,0)</x:f>
        <x:v>0.5</x:v>
      </x:c>
      <x:c r="AA2032" s="24" t="n">
        <x:f>IFERROR(F2032/H2032,0)-IFERROR(G2032/I2032,0)</x:f>
        <x:v>0.1111111111111111</x:v>
      </x:c>
      <x:c r="AB2032" s="28" t="n">
        <x:f>J2032-K2032</x:f>
        <x:v>-6</x:v>
      </x:c>
      <x:c r="AC2032" s="32" t="n">
        <x:f>F2032-G2032</x:f>
        <x:v>-3</x:v>
      </x:c>
    </x:row>
    <x:row r="2033">
      <x:c r="A2033" s="4" t="str">
        <x:v>2023-24</x:v>
      </x:c>
      <x:c r="B2033" s="20" t="n">
        <x:v>45346</x:v>
      </x:c>
      <x:c r="C2033" s="4" t="str">
        <x:v>Nott'm Forest</x:v>
      </x:c>
      <x:c r="D2033" s="4" t="str">
        <x:v>Aston Villa</x:v>
      </x:c>
      <x:c r="E2033" s="4" t="str">
        <x:v>Away</x:v>
      </x:c>
      <x:c r="F2033" s="28" t="n">
        <x:v>2</x:v>
      </x:c>
      <x:c r="G2033" s="28" t="n">
        <x:v>4</x:v>
      </x:c>
      <x:c r="H2033" s="28" t="n">
        <x:v>10</x:v>
      </x:c>
      <x:c r="I2033" s="28" t="n">
        <x:v>16</x:v>
      </x:c>
      <x:c r="J2033" s="28" t="n">
        <x:v>3</x:v>
      </x:c>
      <x:c r="K2033" s="28" t="n">
        <x:v>6</x:v>
      </x:c>
      <x:c r="L2033" s="28" t="n">
        <x:v>2</x:v>
      </x:c>
      <x:c r="M2033" s="28" t="n">
        <x:v>7</x:v>
      </x:c>
      <x:c r="N2033" s="28" t="n">
        <x:v>2</x:v>
      </x:c>
      <x:c r="O2033" s="28" t="n">
        <x:v>0</x:v>
      </x:c>
      <x:c r="P2033" s="28" t="n">
        <x:v>0</x:v>
      </x:c>
      <x:c r="Q2033" s="24" t="n">
        <x:f>IFERROR(J2033/H2033,0)</x:f>
        <x:v>0.3</x:v>
      </x:c>
      <x:c r="R2033" s="24" t="n">
        <x:f>IFERROR(F2033/H2033,0)</x:f>
        <x:v>0.2</x:v>
      </x:c>
      <x:c r="S2033" s="24" t="n">
        <x:f>IFERROR(F2033/J2033,0)</x:f>
        <x:v>0.6666666666666666</x:v>
      </x:c>
      <x:c r="T2033" s="28" t="n">
        <x:f>H2033-I2033</x:f>
        <x:v>-6</x:v>
      </x:c>
      <x:c r="U2033" s="24" t="n">
        <x:f>IFERROR(J2033/H2033,0)-IFERROR(K2033/I2033,0)</x:f>
        <x:v>-0.07500000000000001</x:v>
      </x:c>
      <x:c r="V2033" s="24" t="n">
        <x:f>IFERROR(F2033/J2033,0)-IFERROR(G2033/K2033,0)</x:f>
        <x:v>0</x:v>
      </x:c>
      <x:c r="W2033" s="28" t="n">
        <x:f>L2033-M2033</x:f>
        <x:v>-5</x:v>
      </x:c>
      <x:c r="X2033" s="24" t="n">
        <x:f>IFERROR(K2033/I2033,0)</x:f>
        <x:v>0.375</x:v>
      </x:c>
      <x:c r="Y2033" s="24" t="n">
        <x:f>IFERROR(G2033/I2033,0)</x:f>
        <x:v>0.25</x:v>
      </x:c>
      <x:c r="Z2033" s="24" t="n">
        <x:f>IFERROR(G2033/K2033,0)</x:f>
        <x:v>0.6666666666666666</x:v>
      </x:c>
      <x:c r="AA2033" s="24" t="n">
        <x:f>IFERROR(F2033/H2033,0)-IFERROR(G2033/I2033,0)</x:f>
        <x:v>-0.04999999999999999</x:v>
      </x:c>
      <x:c r="AB2033" s="28" t="n">
        <x:f>J2033-K2033</x:f>
        <x:v>-3</x:v>
      </x:c>
      <x:c r="AC2033" s="32" t="n">
        <x:f>F2033-G2033</x:f>
        <x:v>-2</x:v>
      </x:c>
    </x:row>
    <x:row r="2034">
      <x:c r="A2034" s="4" t="str">
        <x:v>2023-24</x:v>
      </x:c>
      <x:c r="B2034" s="20" t="n">
        <x:v>45347</x:v>
      </x:c>
      <x:c r="C2034" s="4" t="str">
        <x:v>Sheffield United</x:v>
      </x:c>
      <x:c r="D2034" s="4" t="str">
        <x:v>Wolves</x:v>
      </x:c>
      <x:c r="E2034" s="4" t="str">
        <x:v>Away</x:v>
      </x:c>
      <x:c r="F2034" s="28" t="n">
        <x:v>0</x:v>
      </x:c>
      <x:c r="G2034" s="28" t="n">
        <x:v>1</x:v>
      </x:c>
      <x:c r="H2034" s="28" t="n">
        <x:v>12</x:v>
      </x:c>
      <x:c r="I2034" s="28" t="n">
        <x:v>13</x:v>
      </x:c>
      <x:c r="J2034" s="28" t="n">
        <x:v>4</x:v>
      </x:c>
      <x:c r="K2034" s="28" t="n">
        <x:v>2</x:v>
      </x:c>
      <x:c r="L2034" s="28" t="n">
        <x:v>6</x:v>
      </x:c>
      <x:c r="M2034" s="28" t="n">
        <x:v>5</x:v>
      </x:c>
      <x:c r="N2034" s="28" t="n">
        <x:v>1</x:v>
      </x:c>
      <x:c r="O2034" s="28" t="n">
        <x:v>0</x:v>
      </x:c>
      <x:c r="P2034" s="28" t="n">
        <x:v>0</x:v>
      </x:c>
      <x:c r="Q2034" s="24" t="n">
        <x:f>IFERROR(J2034/H2034,0)</x:f>
        <x:v>0.3333333333333333</x:v>
      </x:c>
      <x:c r="R2034" s="24" t="n">
        <x:f>IFERROR(F2034/H2034,0)</x:f>
        <x:v>0</x:v>
      </x:c>
      <x:c r="S2034" s="24" t="n">
        <x:f>IFERROR(F2034/J2034,0)</x:f>
        <x:v>0</x:v>
      </x:c>
      <x:c r="T2034" s="28" t="n">
        <x:f>H2034-I2034</x:f>
        <x:v>-1</x:v>
      </x:c>
      <x:c r="U2034" s="24" t="n">
        <x:f>IFERROR(J2034/H2034,0)-IFERROR(K2034/I2034,0)</x:f>
        <x:v>0.17948717948717946</x:v>
      </x:c>
      <x:c r="V2034" s="24" t="n">
        <x:f>IFERROR(F2034/J2034,0)-IFERROR(G2034/K2034,0)</x:f>
        <x:v>-0.5</x:v>
      </x:c>
      <x:c r="W2034" s="28" t="n">
        <x:f>L2034-M2034</x:f>
        <x:v>1</x:v>
      </x:c>
      <x:c r="X2034" s="24" t="n">
        <x:f>IFERROR(K2034/I2034,0)</x:f>
        <x:v>0.15384615384615385</x:v>
      </x:c>
      <x:c r="Y2034" s="24" t="n">
        <x:f>IFERROR(G2034/I2034,0)</x:f>
        <x:v>0.07692307692307693</x:v>
      </x:c>
      <x:c r="Z2034" s="24" t="n">
        <x:f>IFERROR(G2034/K2034,0)</x:f>
        <x:v>0.5</x:v>
      </x:c>
      <x:c r="AA2034" s="24" t="n">
        <x:f>IFERROR(F2034/H2034,0)-IFERROR(G2034/I2034,0)</x:f>
        <x:v>-0.07692307692307693</x:v>
      </x:c>
      <x:c r="AB2034" s="28" t="n">
        <x:f>J2034-K2034</x:f>
        <x:v>2</x:v>
      </x:c>
      <x:c r="AC2034" s="32" t="n">
        <x:f>F2034-G2034</x:f>
        <x:v>-1</x:v>
      </x:c>
    </x:row>
    <x:row r="2035">
      <x:c r="A2035" s="4" t="str">
        <x:v>2023-24</x:v>
      </x:c>
      <x:c r="B2035" s="20" t="n">
        <x:v>45347</x:v>
      </x:c>
      <x:c r="C2035" s="4" t="str">
        <x:v>Wolves</x:v>
      </x:c>
      <x:c r="D2035" s="4" t="str">
        <x:v>Sheffield United</x:v>
      </x:c>
      <x:c r="E2035" s="4" t="str">
        <x:v>Home</x:v>
      </x:c>
      <x:c r="F2035" s="28" t="n">
        <x:v>1</x:v>
      </x:c>
      <x:c r="G2035" s="28" t="n">
        <x:v>0</x:v>
      </x:c>
      <x:c r="H2035" s="28" t="n">
        <x:v>13</x:v>
      </x:c>
      <x:c r="I2035" s="28" t="n">
        <x:v>12</x:v>
      </x:c>
      <x:c r="J2035" s="28" t="n">
        <x:v>2</x:v>
      </x:c>
      <x:c r="K2035" s="28" t="n">
        <x:v>4</x:v>
      </x:c>
      <x:c r="L2035" s="28" t="n">
        <x:v>5</x:v>
      </x:c>
      <x:c r="M2035" s="28" t="n">
        <x:v>6</x:v>
      </x:c>
      <x:c r="N2035" s="28" t="n">
        <x:v>2</x:v>
      </x:c>
      <x:c r="O2035" s="28" t="n">
        <x:v>0</x:v>
      </x:c>
      <x:c r="P2035" s="28" t="n">
        <x:v>3</x:v>
      </x:c>
      <x:c r="Q2035" s="24" t="n">
        <x:f>IFERROR(J2035/H2035,0)</x:f>
        <x:v>0.15384615384615385</x:v>
      </x:c>
      <x:c r="R2035" s="24" t="n">
        <x:f>IFERROR(F2035/H2035,0)</x:f>
        <x:v>0.07692307692307693</x:v>
      </x:c>
      <x:c r="S2035" s="24" t="n">
        <x:f>IFERROR(F2035/J2035,0)</x:f>
        <x:v>0.5</x:v>
      </x:c>
      <x:c r="T2035" s="28" t="n">
        <x:f>H2035-I2035</x:f>
        <x:v>1</x:v>
      </x:c>
      <x:c r="U2035" s="24" t="n">
        <x:f>IFERROR(J2035/H2035,0)-IFERROR(K2035/I2035,0)</x:f>
        <x:v>-0.17948717948717946</x:v>
      </x:c>
      <x:c r="V2035" s="24" t="n">
        <x:f>IFERROR(F2035/J2035,0)-IFERROR(G2035/K2035,0)</x:f>
        <x:v>0.5</x:v>
      </x:c>
      <x:c r="W2035" s="28" t="n">
        <x:f>L2035-M2035</x:f>
        <x:v>-1</x:v>
      </x:c>
      <x:c r="X2035" s="24" t="n">
        <x:f>IFERROR(K2035/I2035,0)</x:f>
        <x:v>0.3333333333333333</x:v>
      </x:c>
      <x:c r="Y2035" s="24" t="n">
        <x:f>IFERROR(G2035/I2035,0)</x:f>
        <x:v>0</x:v>
      </x:c>
      <x:c r="Z2035" s="24" t="n">
        <x:f>IFERROR(G2035/K2035,0)</x:f>
        <x:v>0</x:v>
      </x:c>
      <x:c r="AA2035" s="24" t="n">
        <x:f>IFERROR(F2035/H2035,0)-IFERROR(G2035/I2035,0)</x:f>
        <x:v>0.07692307692307693</x:v>
      </x:c>
      <x:c r="AB2035" s="28" t="n">
        <x:f>J2035-K2035</x:f>
        <x:v>-2</x:v>
      </x:c>
      <x:c r="AC2035" s="32" t="n">
        <x:f>F2035-G2035</x:f>
        <x:v>1</x:v>
      </x:c>
    </x:row>
    <x:row r="2036">
      <x:c r="A2036" s="4" t="str">
        <x:v>2023-24</x:v>
      </x:c>
      <x:c r="B2036" s="20" t="n">
        <x:v>45348</x:v>
      </x:c>
      <x:c r="C2036" s="4" t="str">
        <x:v>Brentford</x:v>
      </x:c>
      <x:c r="D2036" s="4" t="str">
        <x:v>West Ham</x:v>
      </x:c>
      <x:c r="E2036" s="4" t="str">
        <x:v>Away</x:v>
      </x:c>
      <x:c r="F2036" s="28" t="n">
        <x:v>2</x:v>
      </x:c>
      <x:c r="G2036" s="28" t="n">
        <x:v>4</x:v>
      </x:c>
      <x:c r="H2036" s="28" t="n">
        <x:v>14</x:v>
      </x:c>
      <x:c r="I2036" s="28" t="n">
        <x:v>17</x:v>
      </x:c>
      <x:c r="J2036" s="28" t="n">
        <x:v>8</x:v>
      </x:c>
      <x:c r="K2036" s="28" t="n">
        <x:v>6</x:v>
      </x:c>
      <x:c r="L2036" s="28" t="n">
        <x:v>7</x:v>
      </x:c>
      <x:c r="M2036" s="28" t="n">
        <x:v>1</x:v>
      </x:c>
      <x:c r="N2036" s="28" t="n">
        <x:v>2</x:v>
      </x:c>
      <x:c r="O2036" s="28" t="n">
        <x:v>0</x:v>
      </x:c>
      <x:c r="P2036" s="28" t="n">
        <x:v>0</x:v>
      </x:c>
      <x:c r="Q2036" s="24" t="n">
        <x:f>IFERROR(J2036/H2036,0)</x:f>
        <x:v>0.5714285714285714</x:v>
      </x:c>
      <x:c r="R2036" s="24" t="n">
        <x:f>IFERROR(F2036/H2036,0)</x:f>
        <x:v>0.14285714285714285</x:v>
      </x:c>
      <x:c r="S2036" s="24" t="n">
        <x:f>IFERROR(F2036/J2036,0)</x:f>
        <x:v>0.25</x:v>
      </x:c>
      <x:c r="T2036" s="28" t="n">
        <x:f>H2036-I2036</x:f>
        <x:v>-3</x:v>
      </x:c>
      <x:c r="U2036" s="24" t="n">
        <x:f>IFERROR(J2036/H2036,0)-IFERROR(K2036/I2036,0)</x:f>
        <x:v>0.21848739495798314</x:v>
      </x:c>
      <x:c r="V2036" s="24" t="n">
        <x:f>IFERROR(F2036/J2036,0)-IFERROR(G2036/K2036,0)</x:f>
        <x:v>-0.41666666666666663</x:v>
      </x:c>
      <x:c r="W2036" s="28" t="n">
        <x:f>L2036-M2036</x:f>
        <x:v>6</x:v>
      </x:c>
      <x:c r="X2036" s="24" t="n">
        <x:f>IFERROR(K2036/I2036,0)</x:f>
        <x:v>0.35294117647058826</x:v>
      </x:c>
      <x:c r="Y2036" s="24" t="n">
        <x:f>IFERROR(G2036/I2036,0)</x:f>
        <x:v>0.23529411764705882</x:v>
      </x:c>
      <x:c r="Z2036" s="24" t="n">
        <x:f>IFERROR(G2036/K2036,0)</x:f>
        <x:v>0.6666666666666666</x:v>
      </x:c>
      <x:c r="AA2036" s="24" t="n">
        <x:f>IFERROR(F2036/H2036,0)-IFERROR(G2036/I2036,0)</x:f>
        <x:v>-0.09243697478991597</x:v>
      </x:c>
      <x:c r="AB2036" s="28" t="n">
        <x:f>J2036-K2036</x:f>
        <x:v>2</x:v>
      </x:c>
      <x:c r="AC2036" s="32" t="n">
        <x:f>F2036-G2036</x:f>
        <x:v>-2</x:v>
      </x:c>
    </x:row>
    <x:row r="2037">
      <x:c r="A2037" s="4" t="str">
        <x:v>2023-24</x:v>
      </x:c>
      <x:c r="B2037" s="20" t="n">
        <x:v>45348</x:v>
      </x:c>
      <x:c r="C2037" s="4" t="str">
        <x:v>West Ham</x:v>
      </x:c>
      <x:c r="D2037" s="4" t="str">
        <x:v>Brentford</x:v>
      </x:c>
      <x:c r="E2037" s="4" t="str">
        <x:v>Home</x:v>
      </x:c>
      <x:c r="F2037" s="28" t="n">
        <x:v>4</x:v>
      </x:c>
      <x:c r="G2037" s="28" t="n">
        <x:v>2</x:v>
      </x:c>
      <x:c r="H2037" s="28" t="n">
        <x:v>17</x:v>
      </x:c>
      <x:c r="I2037" s="28" t="n">
        <x:v>14</x:v>
      </x:c>
      <x:c r="J2037" s="28" t="n">
        <x:v>6</x:v>
      </x:c>
      <x:c r="K2037" s="28" t="n">
        <x:v>8</x:v>
      </x:c>
      <x:c r="L2037" s="28" t="n">
        <x:v>1</x:v>
      </x:c>
      <x:c r="M2037" s="28" t="n">
        <x:v>7</x:v>
      </x:c>
      <x:c r="N2037" s="28" t="n">
        <x:v>1</x:v>
      </x:c>
      <x:c r="O2037" s="28" t="n">
        <x:v>0</x:v>
      </x:c>
      <x:c r="P2037" s="28" t="n">
        <x:v>3</x:v>
      </x:c>
      <x:c r="Q2037" s="24" t="n">
        <x:f>IFERROR(J2037/H2037,0)</x:f>
        <x:v>0.35294117647058826</x:v>
      </x:c>
      <x:c r="R2037" s="24" t="n">
        <x:f>IFERROR(F2037/H2037,0)</x:f>
        <x:v>0.23529411764705882</x:v>
      </x:c>
      <x:c r="S2037" s="24" t="n">
        <x:f>IFERROR(F2037/J2037,0)</x:f>
        <x:v>0.6666666666666666</x:v>
      </x:c>
      <x:c r="T2037" s="28" t="n">
        <x:f>H2037-I2037</x:f>
        <x:v>3</x:v>
      </x:c>
      <x:c r="U2037" s="24" t="n">
        <x:f>IFERROR(J2037/H2037,0)-IFERROR(K2037/I2037,0)</x:f>
        <x:v>-0.21848739495798314</x:v>
      </x:c>
      <x:c r="V2037" s="24" t="n">
        <x:f>IFERROR(F2037/J2037,0)-IFERROR(G2037/K2037,0)</x:f>
        <x:v>0.41666666666666663</x:v>
      </x:c>
      <x:c r="W2037" s="28" t="n">
        <x:f>L2037-M2037</x:f>
        <x:v>-6</x:v>
      </x:c>
      <x:c r="X2037" s="24" t="n">
        <x:f>IFERROR(K2037/I2037,0)</x:f>
        <x:v>0.5714285714285714</x:v>
      </x:c>
      <x:c r="Y2037" s="24" t="n">
        <x:f>IFERROR(G2037/I2037,0)</x:f>
        <x:v>0.14285714285714285</x:v>
      </x:c>
      <x:c r="Z2037" s="24" t="n">
        <x:f>IFERROR(G2037/K2037,0)</x:f>
        <x:v>0.25</x:v>
      </x:c>
      <x:c r="AA2037" s="24" t="n">
        <x:f>IFERROR(F2037/H2037,0)-IFERROR(G2037/I2037,0)</x:f>
        <x:v>0.09243697478991597</x:v>
      </x:c>
      <x:c r="AB2037" s="28" t="n">
        <x:f>J2037-K2037</x:f>
        <x:v>-2</x:v>
      </x:c>
      <x:c r="AC2037" s="32" t="n">
        <x:f>F2037-G2037</x:f>
        <x:v>2</x:v>
      </x:c>
    </x:row>
    <x:row r="2038">
      <x:c r="A2038" s="4" t="str">
        <x:v>2023-24</x:v>
      </x:c>
      <x:c r="B2038" s="20" t="n">
        <x:v>45353</x:v>
      </x:c>
      <x:c r="C2038" s="4" t="str">
        <x:v>Aston Villa</x:v>
      </x:c>
      <x:c r="D2038" s="4" t="str">
        <x:v>Luton</x:v>
      </x:c>
      <x:c r="E2038" s="4" t="str">
        <x:v>Away</x:v>
      </x:c>
      <x:c r="F2038" s="28" t="n">
        <x:v>3</x:v>
      </x:c>
      <x:c r="G2038" s="28" t="n">
        <x:v>2</x:v>
      </x:c>
      <x:c r="H2038" s="28" t="n">
        <x:v>12</x:v>
      </x:c>
      <x:c r="I2038" s="28" t="n">
        <x:v>13</x:v>
      </x:c>
      <x:c r="J2038" s="28" t="n">
        <x:v>8</x:v>
      </x:c>
      <x:c r="K2038" s="28" t="n">
        <x:v>5</x:v>
      </x:c>
      <x:c r="L2038" s="28" t="n">
        <x:v>6</x:v>
      </x:c>
      <x:c r="M2038" s="28" t="n">
        <x:v>8</x:v>
      </x:c>
      <x:c r="N2038" s="28" t="n">
        <x:v>4</x:v>
      </x:c>
      <x:c r="O2038" s="28" t="n">
        <x:v>0</x:v>
      </x:c>
      <x:c r="P2038" s="28" t="n">
        <x:v>3</x:v>
      </x:c>
      <x:c r="Q2038" s="24" t="n">
        <x:f>IFERROR(J2038/H2038,0)</x:f>
        <x:v>0.6666666666666666</x:v>
      </x:c>
      <x:c r="R2038" s="24" t="n">
        <x:f>IFERROR(F2038/H2038,0)</x:f>
        <x:v>0.25</x:v>
      </x:c>
      <x:c r="S2038" s="24" t="n">
        <x:f>IFERROR(F2038/J2038,0)</x:f>
        <x:v>0.375</x:v>
      </x:c>
      <x:c r="T2038" s="28" t="n">
        <x:f>H2038-I2038</x:f>
        <x:v>-1</x:v>
      </x:c>
      <x:c r="U2038" s="24" t="n">
        <x:f>IFERROR(J2038/H2038,0)-IFERROR(K2038/I2038,0)</x:f>
        <x:v>0.282051282051282</x:v>
      </x:c>
      <x:c r="V2038" s="24" t="n">
        <x:f>IFERROR(F2038/J2038,0)-IFERROR(G2038/K2038,0)</x:f>
        <x:v>-0.025000000000000022</x:v>
      </x:c>
      <x:c r="W2038" s="28" t="n">
        <x:f>L2038-M2038</x:f>
        <x:v>-2</x:v>
      </x:c>
      <x:c r="X2038" s="24" t="n">
        <x:f>IFERROR(K2038/I2038,0)</x:f>
        <x:v>0.38461538461538464</x:v>
      </x:c>
      <x:c r="Y2038" s="24" t="n">
        <x:f>IFERROR(G2038/I2038,0)</x:f>
        <x:v>0.15384615384615385</x:v>
      </x:c>
      <x:c r="Z2038" s="24" t="n">
        <x:f>IFERROR(G2038/K2038,0)</x:f>
        <x:v>0.4</x:v>
      </x:c>
      <x:c r="AA2038" s="24" t="n">
        <x:f>IFERROR(F2038/H2038,0)-IFERROR(G2038/I2038,0)</x:f>
        <x:v>0.09615384615384615</x:v>
      </x:c>
      <x:c r="AB2038" s="28" t="n">
        <x:f>J2038-K2038</x:f>
        <x:v>3</x:v>
      </x:c>
      <x:c r="AC2038" s="32" t="n">
        <x:f>F2038-G2038</x:f>
        <x:v>1</x:v>
      </x:c>
    </x:row>
    <x:row r="2039">
      <x:c r="A2039" s="4" t="str">
        <x:v>2023-24</x:v>
      </x:c>
      <x:c r="B2039" s="20" t="n">
        <x:v>45353</x:v>
      </x:c>
      <x:c r="C2039" s="4" t="str">
        <x:v>Brentford</x:v>
      </x:c>
      <x:c r="D2039" s="4" t="str">
        <x:v>Chelsea</x:v>
      </x:c>
      <x:c r="E2039" s="4" t="str">
        <x:v>Home</x:v>
      </x:c>
      <x:c r="F2039" s="28" t="n">
        <x:v>2</x:v>
      </x:c>
      <x:c r="G2039" s="28" t="n">
        <x:v>2</x:v>
      </x:c>
      <x:c r="H2039" s="28" t="n">
        <x:v>14</x:v>
      </x:c>
      <x:c r="I2039" s="28" t="n">
        <x:v>17</x:v>
      </x:c>
      <x:c r="J2039" s="28" t="n">
        <x:v>5</x:v>
      </x:c>
      <x:c r="K2039" s="28" t="n">
        <x:v>6</x:v>
      </x:c>
      <x:c r="L2039" s="28" t="n">
        <x:v>0</x:v>
      </x:c>
      <x:c r="M2039" s="28" t="n">
        <x:v>6</x:v>
      </x:c>
      <x:c r="N2039" s="28" t="n">
        <x:v>3</x:v>
      </x:c>
      <x:c r="O2039" s="28" t="n">
        <x:v>0</x:v>
      </x:c>
      <x:c r="P2039" s="28" t="n">
        <x:v>1</x:v>
      </x:c>
      <x:c r="Q2039" s="24" t="n">
        <x:f>IFERROR(J2039/H2039,0)</x:f>
        <x:v>0.35714285714285715</x:v>
      </x:c>
      <x:c r="R2039" s="24" t="n">
        <x:f>IFERROR(F2039/H2039,0)</x:f>
        <x:v>0.14285714285714285</x:v>
      </x:c>
      <x:c r="S2039" s="24" t="n">
        <x:f>IFERROR(F2039/J2039,0)</x:f>
        <x:v>0.4</x:v>
      </x:c>
      <x:c r="T2039" s="28" t="n">
        <x:f>H2039-I2039</x:f>
        <x:v>-3</x:v>
      </x:c>
      <x:c r="U2039" s="24" t="n">
        <x:f>IFERROR(J2039/H2039,0)-IFERROR(K2039/I2039,0)</x:f>
        <x:v>0.004201680672268893</x:v>
      </x:c>
      <x:c r="V2039" s="24" t="n">
        <x:f>IFERROR(F2039/J2039,0)-IFERROR(G2039/K2039,0)</x:f>
        <x:v>0.06666666666666671</x:v>
      </x:c>
      <x:c r="W2039" s="28" t="n">
        <x:f>L2039-M2039</x:f>
        <x:v>-6</x:v>
      </x:c>
      <x:c r="X2039" s="24" t="n">
        <x:f>IFERROR(K2039/I2039,0)</x:f>
        <x:v>0.35294117647058826</x:v>
      </x:c>
      <x:c r="Y2039" s="24" t="n">
        <x:f>IFERROR(G2039/I2039,0)</x:f>
        <x:v>0.11764705882352941</x:v>
      </x:c>
      <x:c r="Z2039" s="24" t="n">
        <x:f>IFERROR(G2039/K2039,0)</x:f>
        <x:v>0.3333333333333333</x:v>
      </x:c>
      <x:c r="AA2039" s="24" t="n">
        <x:f>IFERROR(F2039/H2039,0)-IFERROR(G2039/I2039,0)</x:f>
        <x:v>0.02521008403361344</x:v>
      </x:c>
      <x:c r="AB2039" s="28" t="n">
        <x:f>J2039-K2039</x:f>
        <x:v>-1</x:v>
      </x:c>
      <x:c r="AC2039" s="32" t="n">
        <x:f>F2039-G2039</x:f>
        <x:v>0</x:v>
      </x:c>
    </x:row>
    <x:row r="2040">
      <x:c r="A2040" s="4" t="str">
        <x:v>2023-24</x:v>
      </x:c>
      <x:c r="B2040" s="20" t="n">
        <x:v>45353</x:v>
      </x:c>
      <x:c r="C2040" s="4" t="str">
        <x:v>Brighton</x:v>
      </x:c>
      <x:c r="D2040" s="4" t="str">
        <x:v>Fulham</x:v>
      </x:c>
      <x:c r="E2040" s="4" t="str">
        <x:v>Away</x:v>
      </x:c>
      <x:c r="F2040" s="28" t="n">
        <x:v>0</x:v>
      </x:c>
      <x:c r="G2040" s="28" t="n">
        <x:v>3</x:v>
      </x:c>
      <x:c r="H2040" s="28" t="n">
        <x:v>15</x:v>
      </x:c>
      <x:c r="I2040" s="28" t="n">
        <x:v>12</x:v>
      </x:c>
      <x:c r="J2040" s="28" t="n">
        <x:v>5</x:v>
      </x:c>
      <x:c r="K2040" s="28" t="n">
        <x:v>5</x:v>
      </x:c>
      <x:c r="L2040" s="28" t="n">
        <x:v>6</x:v>
      </x:c>
      <x:c r="M2040" s="28" t="n">
        <x:v>2</x:v>
      </x:c>
      <x:c r="N2040" s="28" t="n">
        <x:v>2</x:v>
      </x:c>
      <x:c r="O2040" s="28" t="n">
        <x:v>0</x:v>
      </x:c>
      <x:c r="P2040" s="28" t="n">
        <x:v>0</x:v>
      </x:c>
      <x:c r="Q2040" s="24" t="n">
        <x:f>IFERROR(J2040/H2040,0)</x:f>
        <x:v>0.3333333333333333</x:v>
      </x:c>
      <x:c r="R2040" s="24" t="n">
        <x:f>IFERROR(F2040/H2040,0)</x:f>
        <x:v>0</x:v>
      </x:c>
      <x:c r="S2040" s="24" t="n">
        <x:f>IFERROR(F2040/J2040,0)</x:f>
        <x:v>0</x:v>
      </x:c>
      <x:c r="T2040" s="28" t="n">
        <x:f>H2040-I2040</x:f>
        <x:v>3</x:v>
      </x:c>
      <x:c r="U2040" s="24" t="n">
        <x:f>IFERROR(J2040/H2040,0)-IFERROR(K2040/I2040,0)</x:f>
        <x:v>-0.08333333333333337</x:v>
      </x:c>
      <x:c r="V2040" s="24" t="n">
        <x:f>IFERROR(F2040/J2040,0)-IFERROR(G2040/K2040,0)</x:f>
        <x:v>-0.6</x:v>
      </x:c>
      <x:c r="W2040" s="28" t="n">
        <x:f>L2040-M2040</x:f>
        <x:v>4</x:v>
      </x:c>
      <x:c r="X2040" s="24" t="n">
        <x:f>IFERROR(K2040/I2040,0)</x:f>
        <x:v>0.4166666666666667</x:v>
      </x:c>
      <x:c r="Y2040" s="24" t="n">
        <x:f>IFERROR(G2040/I2040,0)</x:f>
        <x:v>0.25</x:v>
      </x:c>
      <x:c r="Z2040" s="24" t="n">
        <x:f>IFERROR(G2040/K2040,0)</x:f>
        <x:v>0.6</x:v>
      </x:c>
      <x:c r="AA2040" s="24" t="n">
        <x:f>IFERROR(F2040/H2040,0)-IFERROR(G2040/I2040,0)</x:f>
        <x:v>-0.25</x:v>
      </x:c>
      <x:c r="AB2040" s="28" t="n">
        <x:f>J2040-K2040</x:f>
        <x:v>0</x:v>
      </x:c>
      <x:c r="AC2040" s="32" t="n">
        <x:f>F2040-G2040</x:f>
        <x:v>-3</x:v>
      </x:c>
    </x:row>
    <x:row r="2041">
      <x:c r="A2041" s="4" t="str">
        <x:v>2023-24</x:v>
      </x:c>
      <x:c r="B2041" s="20" t="n">
        <x:v>45353</x:v>
      </x:c>
      <x:c r="C2041" s="4" t="str">
        <x:v>Chelsea</x:v>
      </x:c>
      <x:c r="D2041" s="4" t="str">
        <x:v>Brentford</x:v>
      </x:c>
      <x:c r="E2041" s="4" t="str">
        <x:v>Away</x:v>
      </x:c>
      <x:c r="F2041" s="28" t="n">
        <x:v>2</x:v>
      </x:c>
      <x:c r="G2041" s="28" t="n">
        <x:v>2</x:v>
      </x:c>
      <x:c r="H2041" s="28" t="n">
        <x:v>17</x:v>
      </x:c>
      <x:c r="I2041" s="28" t="n">
        <x:v>14</x:v>
      </x:c>
      <x:c r="J2041" s="28" t="n">
        <x:v>6</x:v>
      </x:c>
      <x:c r="K2041" s="28" t="n">
        <x:v>5</x:v>
      </x:c>
      <x:c r="L2041" s="28" t="n">
        <x:v>6</x:v>
      </x:c>
      <x:c r="M2041" s="28" t="n">
        <x:v>0</x:v>
      </x:c>
      <x:c r="N2041" s="28" t="n">
        <x:v>1</x:v>
      </x:c>
      <x:c r="O2041" s="28" t="n">
        <x:v>0</x:v>
      </x:c>
      <x:c r="P2041" s="28" t="n">
        <x:v>1</x:v>
      </x:c>
      <x:c r="Q2041" s="24" t="n">
        <x:f>IFERROR(J2041/H2041,0)</x:f>
        <x:v>0.35294117647058826</x:v>
      </x:c>
      <x:c r="R2041" s="24" t="n">
        <x:f>IFERROR(F2041/H2041,0)</x:f>
        <x:v>0.11764705882352941</x:v>
      </x:c>
      <x:c r="S2041" s="24" t="n">
        <x:f>IFERROR(F2041/J2041,0)</x:f>
        <x:v>0.3333333333333333</x:v>
      </x:c>
      <x:c r="T2041" s="28" t="n">
        <x:f>H2041-I2041</x:f>
        <x:v>3</x:v>
      </x:c>
      <x:c r="U2041" s="24" t="n">
        <x:f>IFERROR(J2041/H2041,0)-IFERROR(K2041/I2041,0)</x:f>
        <x:v>-0.004201680672268893</x:v>
      </x:c>
      <x:c r="V2041" s="24" t="n">
        <x:f>IFERROR(F2041/J2041,0)-IFERROR(G2041/K2041,0)</x:f>
        <x:v>-0.06666666666666671</x:v>
      </x:c>
      <x:c r="W2041" s="28" t="n">
        <x:f>L2041-M2041</x:f>
        <x:v>6</x:v>
      </x:c>
      <x:c r="X2041" s="24" t="n">
        <x:f>IFERROR(K2041/I2041,0)</x:f>
        <x:v>0.35714285714285715</x:v>
      </x:c>
      <x:c r="Y2041" s="24" t="n">
        <x:f>IFERROR(G2041/I2041,0)</x:f>
        <x:v>0.14285714285714285</x:v>
      </x:c>
      <x:c r="Z2041" s="24" t="n">
        <x:f>IFERROR(G2041/K2041,0)</x:f>
        <x:v>0.4</x:v>
      </x:c>
      <x:c r="AA2041" s="24" t="n">
        <x:f>IFERROR(F2041/H2041,0)-IFERROR(G2041/I2041,0)</x:f>
        <x:v>-0.02521008403361344</x:v>
      </x:c>
      <x:c r="AB2041" s="28" t="n">
        <x:f>J2041-K2041</x:f>
        <x:v>1</x:v>
      </x:c>
      <x:c r="AC2041" s="32" t="n">
        <x:f>F2041-G2041</x:f>
        <x:v>0</x:v>
      </x:c>
    </x:row>
    <x:row r="2042">
      <x:c r="A2042" s="4" t="str">
        <x:v>2023-24</x:v>
      </x:c>
      <x:c r="B2042" s="20" t="n">
        <x:v>45353</x:v>
      </x:c>
      <x:c r="C2042" s="4" t="str">
        <x:v>Crystal Palace</x:v>
      </x:c>
      <x:c r="D2042" s="4" t="str">
        <x:v>Tottenham</x:v>
      </x:c>
      <x:c r="E2042" s="4" t="str">
        <x:v>Away</x:v>
      </x:c>
      <x:c r="F2042" s="28" t="n">
        <x:v>1</x:v>
      </x:c>
      <x:c r="G2042" s="28" t="n">
        <x:v>3</x:v>
      </x:c>
      <x:c r="H2042" s="28" t="n">
        <x:v>4</x:v>
      </x:c>
      <x:c r="I2042" s="28" t="n">
        <x:v>14</x:v>
      </x:c>
      <x:c r="J2042" s="28" t="n">
        <x:v>1</x:v>
      </x:c>
      <x:c r="K2042" s="28" t="n">
        <x:v>6</x:v>
      </x:c>
      <x:c r="L2042" s="28" t="n">
        <x:v>1</x:v>
      </x:c>
      <x:c r="M2042" s="28" t="n">
        <x:v>11</x:v>
      </x:c>
      <x:c r="N2042" s="28" t="n">
        <x:v>2</x:v>
      </x:c>
      <x:c r="O2042" s="28" t="n">
        <x:v>0</x:v>
      </x:c>
      <x:c r="P2042" s="28" t="n">
        <x:v>0</x:v>
      </x:c>
      <x:c r="Q2042" s="24" t="n">
        <x:f>IFERROR(J2042/H2042,0)</x:f>
        <x:v>0.25</x:v>
      </x:c>
      <x:c r="R2042" s="24" t="n">
        <x:f>IFERROR(F2042/H2042,0)</x:f>
        <x:v>0.25</x:v>
      </x:c>
      <x:c r="S2042" s="24" t="n">
        <x:f>IFERROR(F2042/J2042,0)</x:f>
        <x:v>1</x:v>
      </x:c>
      <x:c r="T2042" s="28" t="n">
        <x:f>H2042-I2042</x:f>
        <x:v>-10</x:v>
      </x:c>
      <x:c r="U2042" s="24" t="n">
        <x:f>IFERROR(J2042/H2042,0)-IFERROR(K2042/I2042,0)</x:f>
        <x:v>-0.17857142857142855</x:v>
      </x:c>
      <x:c r="V2042" s="24" t="n">
        <x:f>IFERROR(F2042/J2042,0)-IFERROR(G2042/K2042,0)</x:f>
        <x:v>0.5</x:v>
      </x:c>
      <x:c r="W2042" s="28" t="n">
        <x:f>L2042-M2042</x:f>
        <x:v>-10</x:v>
      </x:c>
      <x:c r="X2042" s="24" t="n">
        <x:f>IFERROR(K2042/I2042,0)</x:f>
        <x:v>0.42857142857142855</x:v>
      </x:c>
      <x:c r="Y2042" s="24" t="n">
        <x:f>IFERROR(G2042/I2042,0)</x:f>
        <x:v>0.21428571428571427</x:v>
      </x:c>
      <x:c r="Z2042" s="24" t="n">
        <x:f>IFERROR(G2042/K2042,0)</x:f>
        <x:v>0.5</x:v>
      </x:c>
      <x:c r="AA2042" s="24" t="n">
        <x:f>IFERROR(F2042/H2042,0)-IFERROR(G2042/I2042,0)</x:f>
        <x:v>0.035714285714285726</x:v>
      </x:c>
      <x:c r="AB2042" s="28" t="n">
        <x:f>J2042-K2042</x:f>
        <x:v>-5</x:v>
      </x:c>
      <x:c r="AC2042" s="32" t="n">
        <x:f>F2042-G2042</x:f>
        <x:v>-2</x:v>
      </x:c>
    </x:row>
    <x:row r="2043">
      <x:c r="A2043" s="4" t="str">
        <x:v>2023-24</x:v>
      </x:c>
      <x:c r="B2043" s="20" t="n">
        <x:v>45353</x:v>
      </x:c>
      <x:c r="C2043" s="4" t="str">
        <x:v>Everton</x:v>
      </x:c>
      <x:c r="D2043" s="4" t="str">
        <x:v>West Ham</x:v>
      </x:c>
      <x:c r="E2043" s="4" t="str">
        <x:v>Home</x:v>
      </x:c>
      <x:c r="F2043" s="28" t="n">
        <x:v>1</x:v>
      </x:c>
      <x:c r="G2043" s="28" t="n">
        <x:v>3</x:v>
      </x:c>
      <x:c r="H2043" s="28" t="n">
        <x:v>22</x:v>
      </x:c>
      <x:c r="I2043" s="28" t="n">
        <x:v>12</x:v>
      </x:c>
      <x:c r="J2043" s="28" t="n">
        <x:v>11</x:v>
      </x:c>
      <x:c r="K2043" s="28" t="n">
        <x:v>5</x:v>
      </x:c>
      <x:c r="L2043" s="28" t="n">
        <x:v>4</x:v>
      </x:c>
      <x:c r="M2043" s="28" t="n">
        <x:v>5</x:v>
      </x:c>
      <x:c r="N2043" s="28" t="n">
        <x:v>1</x:v>
      </x:c>
      <x:c r="O2043" s="28" t="n">
        <x:v>0</x:v>
      </x:c>
      <x:c r="P2043" s="28" t="n">
        <x:v>0</x:v>
      </x:c>
      <x:c r="Q2043" s="24" t="n">
        <x:f>IFERROR(J2043/H2043,0)</x:f>
        <x:v>0.5</x:v>
      </x:c>
      <x:c r="R2043" s="24" t="n">
        <x:f>IFERROR(F2043/H2043,0)</x:f>
        <x:v>0.045454545454545456</x:v>
      </x:c>
      <x:c r="S2043" s="24" t="n">
        <x:f>IFERROR(F2043/J2043,0)</x:f>
        <x:v>0.09090909090909091</x:v>
      </x:c>
      <x:c r="T2043" s="28" t="n">
        <x:f>H2043-I2043</x:f>
        <x:v>10</x:v>
      </x:c>
      <x:c r="U2043" s="24" t="n">
        <x:f>IFERROR(J2043/H2043,0)-IFERROR(K2043/I2043,0)</x:f>
        <x:v>0.08333333333333331</x:v>
      </x:c>
      <x:c r="V2043" s="24" t="n">
        <x:f>IFERROR(F2043/J2043,0)-IFERROR(G2043/K2043,0)</x:f>
        <x:v>-0.509090909090909</x:v>
      </x:c>
      <x:c r="W2043" s="28" t="n">
        <x:f>L2043-M2043</x:f>
        <x:v>-1</x:v>
      </x:c>
      <x:c r="X2043" s="24" t="n">
        <x:f>IFERROR(K2043/I2043,0)</x:f>
        <x:v>0.4166666666666667</x:v>
      </x:c>
      <x:c r="Y2043" s="24" t="n">
        <x:f>IFERROR(G2043/I2043,0)</x:f>
        <x:v>0.25</x:v>
      </x:c>
      <x:c r="Z2043" s="24" t="n">
        <x:f>IFERROR(G2043/K2043,0)</x:f>
        <x:v>0.6</x:v>
      </x:c>
      <x:c r="AA2043" s="24" t="n">
        <x:f>IFERROR(F2043/H2043,0)-IFERROR(G2043/I2043,0)</x:f>
        <x:v>-0.20454545454545453</x:v>
      </x:c>
      <x:c r="AB2043" s="28" t="n">
        <x:f>J2043-K2043</x:f>
        <x:v>6</x:v>
      </x:c>
      <x:c r="AC2043" s="32" t="n">
        <x:f>F2043-G2043</x:f>
        <x:v>-2</x:v>
      </x:c>
    </x:row>
    <x:row r="2044">
      <x:c r="A2044" s="4" t="str">
        <x:v>2023-24</x:v>
      </x:c>
      <x:c r="B2044" s="20" t="n">
        <x:v>45353</x:v>
      </x:c>
      <x:c r="C2044" s="4" t="str">
        <x:v>Fulham</x:v>
      </x:c>
      <x:c r="D2044" s="4" t="str">
        <x:v>Brighton</x:v>
      </x:c>
      <x:c r="E2044" s="4" t="str">
        <x:v>Home</x:v>
      </x:c>
      <x:c r="F2044" s="28" t="n">
        <x:v>3</x:v>
      </x:c>
      <x:c r="G2044" s="28" t="n">
        <x:v>0</x:v>
      </x:c>
      <x:c r="H2044" s="28" t="n">
        <x:v>12</x:v>
      </x:c>
      <x:c r="I2044" s="28" t="n">
        <x:v>15</x:v>
      </x:c>
      <x:c r="J2044" s="28" t="n">
        <x:v>5</x:v>
      </x:c>
      <x:c r="K2044" s="28" t="n">
        <x:v>5</x:v>
      </x:c>
      <x:c r="L2044" s="28" t="n">
        <x:v>2</x:v>
      </x:c>
      <x:c r="M2044" s="28" t="n">
        <x:v>6</x:v>
      </x:c>
      <x:c r="N2044" s="28" t="n">
        <x:v>1</x:v>
      </x:c>
      <x:c r="O2044" s="28" t="n">
        <x:v>0</x:v>
      </x:c>
      <x:c r="P2044" s="28" t="n">
        <x:v>3</x:v>
      </x:c>
      <x:c r="Q2044" s="24" t="n">
        <x:f>IFERROR(J2044/H2044,0)</x:f>
        <x:v>0.4166666666666667</x:v>
      </x:c>
      <x:c r="R2044" s="24" t="n">
        <x:f>IFERROR(F2044/H2044,0)</x:f>
        <x:v>0.25</x:v>
      </x:c>
      <x:c r="S2044" s="24" t="n">
        <x:f>IFERROR(F2044/J2044,0)</x:f>
        <x:v>0.6</x:v>
      </x:c>
      <x:c r="T2044" s="28" t="n">
        <x:f>H2044-I2044</x:f>
        <x:v>-3</x:v>
      </x:c>
      <x:c r="U2044" s="24" t="n">
        <x:f>IFERROR(J2044/H2044,0)-IFERROR(K2044/I2044,0)</x:f>
        <x:v>0.08333333333333337</x:v>
      </x:c>
      <x:c r="V2044" s="24" t="n">
        <x:f>IFERROR(F2044/J2044,0)-IFERROR(G2044/K2044,0)</x:f>
        <x:v>0.6</x:v>
      </x:c>
      <x:c r="W2044" s="28" t="n">
        <x:f>L2044-M2044</x:f>
        <x:v>-4</x:v>
      </x:c>
      <x:c r="X2044" s="24" t="n">
        <x:f>IFERROR(K2044/I2044,0)</x:f>
        <x:v>0.3333333333333333</x:v>
      </x:c>
      <x:c r="Y2044" s="24" t="n">
        <x:f>IFERROR(G2044/I2044,0)</x:f>
        <x:v>0</x:v>
      </x:c>
      <x:c r="Z2044" s="24" t="n">
        <x:f>IFERROR(G2044/K2044,0)</x:f>
        <x:v>0</x:v>
      </x:c>
      <x:c r="AA2044" s="24" t="n">
        <x:f>IFERROR(F2044/H2044,0)-IFERROR(G2044/I2044,0)</x:f>
        <x:v>0.25</x:v>
      </x:c>
      <x:c r="AB2044" s="28" t="n">
        <x:f>J2044-K2044</x:f>
        <x:v>0</x:v>
      </x:c>
      <x:c r="AC2044" s="32" t="n">
        <x:f>F2044-G2044</x:f>
        <x:v>3</x:v>
      </x:c>
    </x:row>
    <x:row r="2045">
      <x:c r="A2045" s="4" t="str">
        <x:v>2023-24</x:v>
      </x:c>
      <x:c r="B2045" s="20" t="n">
        <x:v>45353</x:v>
      </x:c>
      <x:c r="C2045" s="4" t="str">
        <x:v>Liverpool</x:v>
      </x:c>
      <x:c r="D2045" s="4" t="str">
        <x:v>Nott'm Forest</x:v>
      </x:c>
      <x:c r="E2045" s="4" t="str">
        <x:v>Away</x:v>
      </x:c>
      <x:c r="F2045" s="28" t="n">
        <x:v>1</x:v>
      </x:c>
      <x:c r="G2045" s="28" t="n">
        <x:v>0</x:v>
      </x:c>
      <x:c r="H2045" s="28" t="n">
        <x:v>22</x:v>
      </x:c>
      <x:c r="I2045" s="28" t="n">
        <x:v>8</x:v>
      </x:c>
      <x:c r="J2045" s="28" t="n">
        <x:v>2</x:v>
      </x:c>
      <x:c r="K2045" s="28" t="n">
        <x:v>2</x:v>
      </x:c>
      <x:c r="L2045" s="28" t="n">
        <x:v>12</x:v>
      </x:c>
      <x:c r="M2045" s="28" t="n">
        <x:v>3</x:v>
      </x:c>
      <x:c r="N2045" s="28" t="n">
        <x:v>2</x:v>
      </x:c>
      <x:c r="O2045" s="28" t="n">
        <x:v>0</x:v>
      </x:c>
      <x:c r="P2045" s="28" t="n">
        <x:v>3</x:v>
      </x:c>
      <x:c r="Q2045" s="24" t="n">
        <x:f>IFERROR(J2045/H2045,0)</x:f>
        <x:v>0.09090909090909091</x:v>
      </x:c>
      <x:c r="R2045" s="24" t="n">
        <x:f>IFERROR(F2045/H2045,0)</x:f>
        <x:v>0.045454545454545456</x:v>
      </x:c>
      <x:c r="S2045" s="24" t="n">
        <x:f>IFERROR(F2045/J2045,0)</x:f>
        <x:v>0.5</x:v>
      </x:c>
      <x:c r="T2045" s="28" t="n">
        <x:f>H2045-I2045</x:f>
        <x:v>14</x:v>
      </x:c>
      <x:c r="U2045" s="24" t="n">
        <x:f>IFERROR(J2045/H2045,0)-IFERROR(K2045/I2045,0)</x:f>
        <x:v>-0.1590909090909091</x:v>
      </x:c>
      <x:c r="V2045" s="24" t="n">
        <x:f>IFERROR(F2045/J2045,0)-IFERROR(G2045/K2045,0)</x:f>
        <x:v>0.5</x:v>
      </x:c>
      <x:c r="W2045" s="28" t="n">
        <x:f>L2045-M2045</x:f>
        <x:v>9</x:v>
      </x:c>
      <x:c r="X2045" s="24" t="n">
        <x:f>IFERROR(K2045/I2045,0)</x:f>
        <x:v>0.25</x:v>
      </x:c>
      <x:c r="Y2045" s="24" t="n">
        <x:f>IFERROR(G2045/I2045,0)</x:f>
        <x:v>0</x:v>
      </x:c>
      <x:c r="Z2045" s="24" t="n">
        <x:f>IFERROR(G2045/K2045,0)</x:f>
        <x:v>0</x:v>
      </x:c>
      <x:c r="AA2045" s="24" t="n">
        <x:f>IFERROR(F2045/H2045,0)-IFERROR(G2045/I2045,0)</x:f>
        <x:v>0.045454545454545456</x:v>
      </x:c>
      <x:c r="AB2045" s="28" t="n">
        <x:f>J2045-K2045</x:f>
        <x:v>0</x:v>
      </x:c>
      <x:c r="AC2045" s="32" t="n">
        <x:f>F2045-G2045</x:f>
        <x:v>1</x:v>
      </x:c>
    </x:row>
    <x:row r="2046">
      <x:c r="A2046" s="4" t="str">
        <x:v>2023-24</x:v>
      </x:c>
      <x:c r="B2046" s="20" t="n">
        <x:v>45353</x:v>
      </x:c>
      <x:c r="C2046" s="4" t="str">
        <x:v>Luton</x:v>
      </x:c>
      <x:c r="D2046" s="4" t="str">
        <x:v>Aston Villa</x:v>
      </x:c>
      <x:c r="E2046" s="4" t="str">
        <x:v>Home</x:v>
      </x:c>
      <x:c r="F2046" s="28" t="n">
        <x:v>2</x:v>
      </x:c>
      <x:c r="G2046" s="28" t="n">
        <x:v>3</x:v>
      </x:c>
      <x:c r="H2046" s="28" t="n">
        <x:v>13</x:v>
      </x:c>
      <x:c r="I2046" s="28" t="n">
        <x:v>12</x:v>
      </x:c>
      <x:c r="J2046" s="28" t="n">
        <x:v>5</x:v>
      </x:c>
      <x:c r="K2046" s="28" t="n">
        <x:v>8</x:v>
      </x:c>
      <x:c r="L2046" s="28" t="n">
        <x:v>8</x:v>
      </x:c>
      <x:c r="M2046" s="28" t="n">
        <x:v>6</x:v>
      </x:c>
      <x:c r="N2046" s="28" t="n">
        <x:v>1</x:v>
      </x:c>
      <x:c r="O2046" s="28" t="n">
        <x:v>0</x:v>
      </x:c>
      <x:c r="P2046" s="28" t="n">
        <x:v>0</x:v>
      </x:c>
      <x:c r="Q2046" s="24" t="n">
        <x:f>IFERROR(J2046/H2046,0)</x:f>
        <x:v>0.38461538461538464</x:v>
      </x:c>
      <x:c r="R2046" s="24" t="n">
        <x:f>IFERROR(F2046/H2046,0)</x:f>
        <x:v>0.15384615384615385</x:v>
      </x:c>
      <x:c r="S2046" s="24" t="n">
        <x:f>IFERROR(F2046/J2046,0)</x:f>
        <x:v>0.4</x:v>
      </x:c>
      <x:c r="T2046" s="28" t="n">
        <x:f>H2046-I2046</x:f>
        <x:v>1</x:v>
      </x:c>
      <x:c r="U2046" s="24" t="n">
        <x:f>IFERROR(J2046/H2046,0)-IFERROR(K2046/I2046,0)</x:f>
        <x:v>-0.282051282051282</x:v>
      </x:c>
      <x:c r="V2046" s="24" t="n">
        <x:f>IFERROR(F2046/J2046,0)-IFERROR(G2046/K2046,0)</x:f>
        <x:v>0.025000000000000022</x:v>
      </x:c>
      <x:c r="W2046" s="28" t="n">
        <x:f>L2046-M2046</x:f>
        <x:v>2</x:v>
      </x:c>
      <x:c r="X2046" s="24" t="n">
        <x:f>IFERROR(K2046/I2046,0)</x:f>
        <x:v>0.6666666666666666</x:v>
      </x:c>
      <x:c r="Y2046" s="24" t="n">
        <x:f>IFERROR(G2046/I2046,0)</x:f>
        <x:v>0.25</x:v>
      </x:c>
      <x:c r="Z2046" s="24" t="n">
        <x:f>IFERROR(G2046/K2046,0)</x:f>
        <x:v>0.375</x:v>
      </x:c>
      <x:c r="AA2046" s="24" t="n">
        <x:f>IFERROR(F2046/H2046,0)-IFERROR(G2046/I2046,0)</x:f>
        <x:v>-0.09615384615384615</x:v>
      </x:c>
      <x:c r="AB2046" s="28" t="n">
        <x:f>J2046-K2046</x:f>
        <x:v>-3</x:v>
      </x:c>
      <x:c r="AC2046" s="32" t="n">
        <x:f>F2046-G2046</x:f>
        <x:v>-1</x:v>
      </x:c>
    </x:row>
    <x:row r="2047">
      <x:c r="A2047" s="4" t="str">
        <x:v>2023-24</x:v>
      </x:c>
      <x:c r="B2047" s="20" t="n">
        <x:v>45353</x:v>
      </x:c>
      <x:c r="C2047" s="4" t="str">
        <x:v>Newcastle</x:v>
      </x:c>
      <x:c r="D2047" s="4" t="str">
        <x:v>Wolves</x:v>
      </x:c>
      <x:c r="E2047" s="4" t="str">
        <x:v>Home</x:v>
      </x:c>
      <x:c r="F2047" s="28" t="n">
        <x:v>3</x:v>
      </x:c>
      <x:c r="G2047" s="28" t="n">
        <x:v>0</x:v>
      </x:c>
      <x:c r="H2047" s="28" t="n">
        <x:v>14</x:v>
      </x:c>
      <x:c r="I2047" s="28" t="n">
        <x:v>12</x:v>
      </x:c>
      <x:c r="J2047" s="28" t="n">
        <x:v>7</x:v>
      </x:c>
      <x:c r="K2047" s="28" t="n">
        <x:v>3</x:v>
      </x:c>
      <x:c r="L2047" s="28" t="n">
        <x:v>3</x:v>
      </x:c>
      <x:c r="M2047" s="28" t="n">
        <x:v>5</x:v>
      </x:c>
      <x:c r="N2047" s="28" t="n">
        <x:v>0</x:v>
      </x:c>
      <x:c r="O2047" s="28" t="n">
        <x:v>0</x:v>
      </x:c>
      <x:c r="P2047" s="28" t="n">
        <x:v>3</x:v>
      </x:c>
      <x:c r="Q2047" s="24" t="n">
        <x:f>IFERROR(J2047/H2047,0)</x:f>
        <x:v>0.5</x:v>
      </x:c>
      <x:c r="R2047" s="24" t="n">
        <x:f>IFERROR(F2047/H2047,0)</x:f>
        <x:v>0.21428571428571427</x:v>
      </x:c>
      <x:c r="S2047" s="24" t="n">
        <x:f>IFERROR(F2047/J2047,0)</x:f>
        <x:v>0.42857142857142855</x:v>
      </x:c>
      <x:c r="T2047" s="28" t="n">
        <x:f>H2047-I2047</x:f>
        <x:v>2</x:v>
      </x:c>
      <x:c r="U2047" s="24" t="n">
        <x:f>IFERROR(J2047/H2047,0)-IFERROR(K2047/I2047,0)</x:f>
        <x:v>0.25</x:v>
      </x:c>
      <x:c r="V2047" s="24" t="n">
        <x:f>IFERROR(F2047/J2047,0)-IFERROR(G2047/K2047,0)</x:f>
        <x:v>0.42857142857142855</x:v>
      </x:c>
      <x:c r="W2047" s="28" t="n">
        <x:f>L2047-M2047</x:f>
        <x:v>-2</x:v>
      </x:c>
      <x:c r="X2047" s="24" t="n">
        <x:f>IFERROR(K2047/I2047,0)</x:f>
        <x:v>0.25</x:v>
      </x:c>
      <x:c r="Y2047" s="24" t="n">
        <x:f>IFERROR(G2047/I2047,0)</x:f>
        <x:v>0</x:v>
      </x:c>
      <x:c r="Z2047" s="24" t="n">
        <x:f>IFERROR(G2047/K2047,0)</x:f>
        <x:v>0</x:v>
      </x:c>
      <x:c r="AA2047" s="24" t="n">
        <x:f>IFERROR(F2047/H2047,0)-IFERROR(G2047/I2047,0)</x:f>
        <x:v>0.21428571428571427</x:v>
      </x:c>
      <x:c r="AB2047" s="28" t="n">
        <x:f>J2047-K2047</x:f>
        <x:v>4</x:v>
      </x:c>
      <x:c r="AC2047" s="32" t="n">
        <x:f>F2047-G2047</x:f>
        <x:v>3</x:v>
      </x:c>
    </x:row>
    <x:row r="2048">
      <x:c r="A2048" s="4" t="str">
        <x:v>2023-24</x:v>
      </x:c>
      <x:c r="B2048" s="20" t="n">
        <x:v>45353</x:v>
      </x:c>
      <x:c r="C2048" s="4" t="str">
        <x:v>Nott'm Forest</x:v>
      </x:c>
      <x:c r="D2048" s="4" t="str">
        <x:v>Liverpool</x:v>
      </x:c>
      <x:c r="E2048" s="4" t="str">
        <x:v>Home</x:v>
      </x:c>
      <x:c r="F2048" s="28" t="n">
        <x:v>0</x:v>
      </x:c>
      <x:c r="G2048" s="28" t="n">
        <x:v>1</x:v>
      </x:c>
      <x:c r="H2048" s="28" t="n">
        <x:v>8</x:v>
      </x:c>
      <x:c r="I2048" s="28" t="n">
        <x:v>22</x:v>
      </x:c>
      <x:c r="J2048" s="28" t="n">
        <x:v>2</x:v>
      </x:c>
      <x:c r="K2048" s="28" t="n">
        <x:v>2</x:v>
      </x:c>
      <x:c r="L2048" s="28" t="n">
        <x:v>3</x:v>
      </x:c>
      <x:c r="M2048" s="28" t="n">
        <x:v>12</x:v>
      </x:c>
      <x:c r="N2048" s="28" t="n">
        <x:v>2</x:v>
      </x:c>
      <x:c r="O2048" s="28" t="n">
        <x:v>0</x:v>
      </x:c>
      <x:c r="P2048" s="28" t="n">
        <x:v>0</x:v>
      </x:c>
      <x:c r="Q2048" s="24" t="n">
        <x:f>IFERROR(J2048/H2048,0)</x:f>
        <x:v>0.25</x:v>
      </x:c>
      <x:c r="R2048" s="24" t="n">
        <x:f>IFERROR(F2048/H2048,0)</x:f>
        <x:v>0</x:v>
      </x:c>
      <x:c r="S2048" s="24" t="n">
        <x:f>IFERROR(F2048/J2048,0)</x:f>
        <x:v>0</x:v>
      </x:c>
      <x:c r="T2048" s="28" t="n">
        <x:f>H2048-I2048</x:f>
        <x:v>-14</x:v>
      </x:c>
      <x:c r="U2048" s="24" t="n">
        <x:f>IFERROR(J2048/H2048,0)-IFERROR(K2048/I2048,0)</x:f>
        <x:v>0.1590909090909091</x:v>
      </x:c>
      <x:c r="V2048" s="24" t="n">
        <x:f>IFERROR(F2048/J2048,0)-IFERROR(G2048/K2048,0)</x:f>
        <x:v>-0.5</x:v>
      </x:c>
      <x:c r="W2048" s="28" t="n">
        <x:f>L2048-M2048</x:f>
        <x:v>-9</x:v>
      </x:c>
      <x:c r="X2048" s="24" t="n">
        <x:f>IFERROR(K2048/I2048,0)</x:f>
        <x:v>0.09090909090909091</x:v>
      </x:c>
      <x:c r="Y2048" s="24" t="n">
        <x:f>IFERROR(G2048/I2048,0)</x:f>
        <x:v>0.045454545454545456</x:v>
      </x:c>
      <x:c r="Z2048" s="24" t="n">
        <x:f>IFERROR(G2048/K2048,0)</x:f>
        <x:v>0.5</x:v>
      </x:c>
      <x:c r="AA2048" s="24" t="n">
        <x:f>IFERROR(F2048/H2048,0)-IFERROR(G2048/I2048,0)</x:f>
        <x:v>-0.045454545454545456</x:v>
      </x:c>
      <x:c r="AB2048" s="28" t="n">
        <x:f>J2048-K2048</x:f>
        <x:v>0</x:v>
      </x:c>
      <x:c r="AC2048" s="32" t="n">
        <x:f>F2048-G2048</x:f>
        <x:v>-1</x:v>
      </x:c>
    </x:row>
    <x:row r="2049">
      <x:c r="A2049" s="4" t="str">
        <x:v>2023-24</x:v>
      </x:c>
      <x:c r="B2049" s="20" t="n">
        <x:v>45353</x:v>
      </x:c>
      <x:c r="C2049" s="4" t="str">
        <x:v>Tottenham</x:v>
      </x:c>
      <x:c r="D2049" s="4" t="str">
        <x:v>Crystal Palace</x:v>
      </x:c>
      <x:c r="E2049" s="4" t="str">
        <x:v>Home</x:v>
      </x:c>
      <x:c r="F2049" s="28" t="n">
        <x:v>3</x:v>
      </x:c>
      <x:c r="G2049" s="28" t="n">
        <x:v>1</x:v>
      </x:c>
      <x:c r="H2049" s="28" t="n">
        <x:v>14</x:v>
      </x:c>
      <x:c r="I2049" s="28" t="n">
        <x:v>4</x:v>
      </x:c>
      <x:c r="J2049" s="28" t="n">
        <x:v>6</x:v>
      </x:c>
      <x:c r="K2049" s="28" t="n">
        <x:v>1</x:v>
      </x:c>
      <x:c r="L2049" s="28" t="n">
        <x:v>11</x:v>
      </x:c>
      <x:c r="M2049" s="28" t="n">
        <x:v>1</x:v>
      </x:c>
      <x:c r="N2049" s="28" t="n">
        <x:v>1</x:v>
      </x:c>
      <x:c r="O2049" s="28" t="n">
        <x:v>0</x:v>
      </x:c>
      <x:c r="P2049" s="28" t="n">
        <x:v>3</x:v>
      </x:c>
      <x:c r="Q2049" s="24" t="n">
        <x:f>IFERROR(J2049/H2049,0)</x:f>
        <x:v>0.42857142857142855</x:v>
      </x:c>
      <x:c r="R2049" s="24" t="n">
        <x:f>IFERROR(F2049/H2049,0)</x:f>
        <x:v>0.21428571428571427</x:v>
      </x:c>
      <x:c r="S2049" s="24" t="n">
        <x:f>IFERROR(F2049/J2049,0)</x:f>
        <x:v>0.5</x:v>
      </x:c>
      <x:c r="T2049" s="28" t="n">
        <x:f>H2049-I2049</x:f>
        <x:v>10</x:v>
      </x:c>
      <x:c r="U2049" s="24" t="n">
        <x:f>IFERROR(J2049/H2049,0)-IFERROR(K2049/I2049,0)</x:f>
        <x:v>0.17857142857142855</x:v>
      </x:c>
      <x:c r="V2049" s="24" t="n">
        <x:f>IFERROR(F2049/J2049,0)-IFERROR(G2049/K2049,0)</x:f>
        <x:v>-0.5</x:v>
      </x:c>
      <x:c r="W2049" s="28" t="n">
        <x:f>L2049-M2049</x:f>
        <x:v>10</x:v>
      </x:c>
      <x:c r="X2049" s="24" t="n">
        <x:f>IFERROR(K2049/I2049,0)</x:f>
        <x:v>0.25</x:v>
      </x:c>
      <x:c r="Y2049" s="24" t="n">
        <x:f>IFERROR(G2049/I2049,0)</x:f>
        <x:v>0.25</x:v>
      </x:c>
      <x:c r="Z2049" s="24" t="n">
        <x:f>IFERROR(G2049/K2049,0)</x:f>
        <x:v>1</x:v>
      </x:c>
      <x:c r="AA2049" s="24" t="n">
        <x:f>IFERROR(F2049/H2049,0)-IFERROR(G2049/I2049,0)</x:f>
        <x:v>-0.035714285714285726</x:v>
      </x:c>
      <x:c r="AB2049" s="28" t="n">
        <x:f>J2049-K2049</x:f>
        <x:v>5</x:v>
      </x:c>
      <x:c r="AC2049" s="32" t="n">
        <x:f>F2049-G2049</x:f>
        <x:v>2</x:v>
      </x:c>
    </x:row>
    <x:row r="2050">
      <x:c r="A2050" s="4" t="str">
        <x:v>2023-24</x:v>
      </x:c>
      <x:c r="B2050" s="20" t="n">
        <x:v>45353</x:v>
      </x:c>
      <x:c r="C2050" s="4" t="str">
        <x:v>West Ham</x:v>
      </x:c>
      <x:c r="D2050" s="4" t="str">
        <x:v>Everton</x:v>
      </x:c>
      <x:c r="E2050" s="4" t="str">
        <x:v>Away</x:v>
      </x:c>
      <x:c r="F2050" s="28" t="n">
        <x:v>3</x:v>
      </x:c>
      <x:c r="G2050" s="28" t="n">
        <x:v>1</x:v>
      </x:c>
      <x:c r="H2050" s="28" t="n">
        <x:v>12</x:v>
      </x:c>
      <x:c r="I2050" s="28" t="n">
        <x:v>22</x:v>
      </x:c>
      <x:c r="J2050" s="28" t="n">
        <x:v>5</x:v>
      </x:c>
      <x:c r="K2050" s="28" t="n">
        <x:v>11</x:v>
      </x:c>
      <x:c r="L2050" s="28" t="n">
        <x:v>5</x:v>
      </x:c>
      <x:c r="M2050" s="28" t="n">
        <x:v>4</x:v>
      </x:c>
      <x:c r="N2050" s="28" t="n">
        <x:v>2</x:v>
      </x:c>
      <x:c r="O2050" s="28" t="n">
        <x:v>0</x:v>
      </x:c>
      <x:c r="P2050" s="28" t="n">
        <x:v>3</x:v>
      </x:c>
      <x:c r="Q2050" s="24" t="n">
        <x:f>IFERROR(J2050/H2050,0)</x:f>
        <x:v>0.4166666666666667</x:v>
      </x:c>
      <x:c r="R2050" s="24" t="n">
        <x:f>IFERROR(F2050/H2050,0)</x:f>
        <x:v>0.25</x:v>
      </x:c>
      <x:c r="S2050" s="24" t="n">
        <x:f>IFERROR(F2050/J2050,0)</x:f>
        <x:v>0.6</x:v>
      </x:c>
      <x:c r="T2050" s="28" t="n">
        <x:f>H2050-I2050</x:f>
        <x:v>-10</x:v>
      </x:c>
      <x:c r="U2050" s="24" t="n">
        <x:f>IFERROR(J2050/H2050,0)-IFERROR(K2050/I2050,0)</x:f>
        <x:v>-0.08333333333333331</x:v>
      </x:c>
      <x:c r="V2050" s="24" t="n">
        <x:f>IFERROR(F2050/J2050,0)-IFERROR(G2050/K2050,0)</x:f>
        <x:v>0.509090909090909</x:v>
      </x:c>
      <x:c r="W2050" s="28" t="n">
        <x:f>L2050-M2050</x:f>
        <x:v>1</x:v>
      </x:c>
      <x:c r="X2050" s="24" t="n">
        <x:f>IFERROR(K2050/I2050,0)</x:f>
        <x:v>0.5</x:v>
      </x:c>
      <x:c r="Y2050" s="24" t="n">
        <x:f>IFERROR(G2050/I2050,0)</x:f>
        <x:v>0.045454545454545456</x:v>
      </x:c>
      <x:c r="Z2050" s="24" t="n">
        <x:f>IFERROR(G2050/K2050,0)</x:f>
        <x:v>0.09090909090909091</x:v>
      </x:c>
      <x:c r="AA2050" s="24" t="n">
        <x:f>IFERROR(F2050/H2050,0)-IFERROR(G2050/I2050,0)</x:f>
        <x:v>0.20454545454545453</x:v>
      </x:c>
      <x:c r="AB2050" s="28" t="n">
        <x:f>J2050-K2050</x:f>
        <x:v>-6</x:v>
      </x:c>
      <x:c r="AC2050" s="32" t="n">
        <x:f>F2050-G2050</x:f>
        <x:v>2</x:v>
      </x:c>
    </x:row>
    <x:row r="2051">
      <x:c r="A2051" s="4" t="str">
        <x:v>2023-24</x:v>
      </x:c>
      <x:c r="B2051" s="20" t="n">
        <x:v>45353</x:v>
      </x:c>
      <x:c r="C2051" s="4" t="str">
        <x:v>Wolves</x:v>
      </x:c>
      <x:c r="D2051" s="4" t="str">
        <x:v>Newcastle</x:v>
      </x:c>
      <x:c r="E2051" s="4" t="str">
        <x:v>Away</x:v>
      </x:c>
      <x:c r="F2051" s="28" t="n">
        <x:v>0</x:v>
      </x:c>
      <x:c r="G2051" s="28" t="n">
        <x:v>3</x:v>
      </x:c>
      <x:c r="H2051" s="28" t="n">
        <x:v>12</x:v>
      </x:c>
      <x:c r="I2051" s="28" t="n">
        <x:v>14</x:v>
      </x:c>
      <x:c r="J2051" s="28" t="n">
        <x:v>3</x:v>
      </x:c>
      <x:c r="K2051" s="28" t="n">
        <x:v>7</x:v>
      </x:c>
      <x:c r="L2051" s="28" t="n">
        <x:v>5</x:v>
      </x:c>
      <x:c r="M2051" s="28" t="n">
        <x:v>3</x:v>
      </x:c>
      <x:c r="N2051" s="28" t="n">
        <x:v>1</x:v>
      </x:c>
      <x:c r="O2051" s="28" t="n">
        <x:v>0</x:v>
      </x:c>
      <x:c r="P2051" s="28" t="n">
        <x:v>0</x:v>
      </x:c>
      <x:c r="Q2051" s="24" t="n">
        <x:f>IFERROR(J2051/H2051,0)</x:f>
        <x:v>0.25</x:v>
      </x:c>
      <x:c r="R2051" s="24" t="n">
        <x:f>IFERROR(F2051/H2051,0)</x:f>
        <x:v>0</x:v>
      </x:c>
      <x:c r="S2051" s="24" t="n">
        <x:f>IFERROR(F2051/J2051,0)</x:f>
        <x:v>0</x:v>
      </x:c>
      <x:c r="T2051" s="28" t="n">
        <x:f>H2051-I2051</x:f>
        <x:v>-2</x:v>
      </x:c>
      <x:c r="U2051" s="24" t="n">
        <x:f>IFERROR(J2051/H2051,0)-IFERROR(K2051/I2051,0)</x:f>
        <x:v>-0.25</x:v>
      </x:c>
      <x:c r="V2051" s="24" t="n">
        <x:f>IFERROR(F2051/J2051,0)-IFERROR(G2051/K2051,0)</x:f>
        <x:v>-0.42857142857142855</x:v>
      </x:c>
      <x:c r="W2051" s="28" t="n">
        <x:f>L2051-M2051</x:f>
        <x:v>2</x:v>
      </x:c>
      <x:c r="X2051" s="24" t="n">
        <x:f>IFERROR(K2051/I2051,0)</x:f>
        <x:v>0.5</x:v>
      </x:c>
      <x:c r="Y2051" s="24" t="n">
        <x:f>IFERROR(G2051/I2051,0)</x:f>
        <x:v>0.21428571428571427</x:v>
      </x:c>
      <x:c r="Z2051" s="24" t="n">
        <x:f>IFERROR(G2051/K2051,0)</x:f>
        <x:v>0.42857142857142855</x:v>
      </x:c>
      <x:c r="AA2051" s="24" t="n">
        <x:f>IFERROR(F2051/H2051,0)-IFERROR(G2051/I2051,0)</x:f>
        <x:v>-0.21428571428571427</x:v>
      </x:c>
      <x:c r="AB2051" s="28" t="n">
        <x:f>J2051-K2051</x:f>
        <x:v>-4</x:v>
      </x:c>
      <x:c r="AC2051" s="32" t="n">
        <x:f>F2051-G2051</x:f>
        <x:v>-3</x:v>
      </x:c>
    </x:row>
    <x:row r="2052">
      <x:c r="A2052" s="4" t="str">
        <x:v>2023-24</x:v>
      </x:c>
      <x:c r="B2052" s="20" t="n">
        <x:v>45354</x:v>
      </x:c>
      <x:c r="C2052" s="4" t="str">
        <x:v>Bournemouth</x:v>
      </x:c>
      <x:c r="D2052" s="4" t="str">
        <x:v>Burnley</x:v>
      </x:c>
      <x:c r="E2052" s="4" t="str">
        <x:v>Away</x:v>
      </x:c>
      <x:c r="F2052" s="28" t="n">
        <x:v>2</x:v>
      </x:c>
      <x:c r="G2052" s="28" t="n">
        <x:v>0</x:v>
      </x:c>
      <x:c r="H2052" s="28" t="n">
        <x:v>10</x:v>
      </x:c>
      <x:c r="I2052" s="28" t="n">
        <x:v>20</x:v>
      </x:c>
      <x:c r="J2052" s="28" t="n">
        <x:v>3</x:v>
      </x:c>
      <x:c r="K2052" s="28" t="n">
        <x:v>6</x:v>
      </x:c>
      <x:c r="L2052" s="28" t="n">
        <x:v>2</x:v>
      </x:c>
      <x:c r="M2052" s="28" t="n">
        <x:v>7</x:v>
      </x:c>
      <x:c r="N2052" s="28" t="n">
        <x:v>4</x:v>
      </x:c>
      <x:c r="O2052" s="28" t="n">
        <x:v>0</x:v>
      </x:c>
      <x:c r="P2052" s="28" t="n">
        <x:v>3</x:v>
      </x:c>
      <x:c r="Q2052" s="24" t="n">
        <x:f>IFERROR(J2052/H2052,0)</x:f>
        <x:v>0.3</x:v>
      </x:c>
      <x:c r="R2052" s="24" t="n">
        <x:f>IFERROR(F2052/H2052,0)</x:f>
        <x:v>0.2</x:v>
      </x:c>
      <x:c r="S2052" s="24" t="n">
        <x:f>IFERROR(F2052/J2052,0)</x:f>
        <x:v>0.6666666666666666</x:v>
      </x:c>
      <x:c r="T2052" s="28" t="n">
        <x:f>H2052-I2052</x:f>
        <x:v>-10</x:v>
      </x:c>
      <x:c r="U2052" s="24" t="n">
        <x:f>IFERROR(J2052/H2052,0)-IFERROR(K2052/I2052,0)</x:f>
        <x:v>0</x:v>
      </x:c>
      <x:c r="V2052" s="24" t="n">
        <x:f>IFERROR(F2052/J2052,0)-IFERROR(G2052/K2052,0)</x:f>
        <x:v>0.6666666666666666</x:v>
      </x:c>
      <x:c r="W2052" s="28" t="n">
        <x:f>L2052-M2052</x:f>
        <x:v>-5</x:v>
      </x:c>
      <x:c r="X2052" s="24" t="n">
        <x:f>IFERROR(K2052/I2052,0)</x:f>
        <x:v>0.3</x:v>
      </x:c>
      <x:c r="Y2052" s="24" t="n">
        <x:f>IFERROR(G2052/I2052,0)</x:f>
        <x:v>0</x:v>
      </x:c>
      <x:c r="Z2052" s="24" t="n">
        <x:f>IFERROR(G2052/K2052,0)</x:f>
        <x:v>0</x:v>
      </x:c>
      <x:c r="AA2052" s="24" t="n">
        <x:f>IFERROR(F2052/H2052,0)-IFERROR(G2052/I2052,0)</x:f>
        <x:v>0.2</x:v>
      </x:c>
      <x:c r="AB2052" s="28" t="n">
        <x:f>J2052-K2052</x:f>
        <x:v>-3</x:v>
      </x:c>
      <x:c r="AC2052" s="32" t="n">
        <x:f>F2052-G2052</x:f>
        <x:v>2</x:v>
      </x:c>
    </x:row>
    <x:row r="2053">
      <x:c r="A2053" s="4" t="str">
        <x:v>2023-24</x:v>
      </x:c>
      <x:c r="B2053" s="20" t="n">
        <x:v>45354</x:v>
      </x:c>
      <x:c r="C2053" s="4" t="str">
        <x:v>Burnley</x:v>
      </x:c>
      <x:c r="D2053" s="4" t="str">
        <x:v>Bournemouth</x:v>
      </x:c>
      <x:c r="E2053" s="4" t="str">
        <x:v>Home</x:v>
      </x:c>
      <x:c r="F2053" s="28" t="n">
        <x:v>0</x:v>
      </x:c>
      <x:c r="G2053" s="28" t="n">
        <x:v>2</x:v>
      </x:c>
      <x:c r="H2053" s="28" t="n">
        <x:v>20</x:v>
      </x:c>
      <x:c r="I2053" s="28" t="n">
        <x:v>10</x:v>
      </x:c>
      <x:c r="J2053" s="28" t="n">
        <x:v>6</x:v>
      </x:c>
      <x:c r="K2053" s="28" t="n">
        <x:v>3</x:v>
      </x:c>
      <x:c r="L2053" s="28" t="n">
        <x:v>7</x:v>
      </x:c>
      <x:c r="M2053" s="28" t="n">
        <x:v>2</x:v>
      </x:c>
      <x:c r="N2053" s="28" t="n">
        <x:v>2</x:v>
      </x:c>
      <x:c r="O2053" s="28" t="n">
        <x:v>0</x:v>
      </x:c>
      <x:c r="P2053" s="28" t="n">
        <x:v>0</x:v>
      </x:c>
      <x:c r="Q2053" s="24" t="n">
        <x:f>IFERROR(J2053/H2053,0)</x:f>
        <x:v>0.3</x:v>
      </x:c>
      <x:c r="R2053" s="24" t="n">
        <x:f>IFERROR(F2053/H2053,0)</x:f>
        <x:v>0</x:v>
      </x:c>
      <x:c r="S2053" s="24" t="n">
        <x:f>IFERROR(F2053/J2053,0)</x:f>
        <x:v>0</x:v>
      </x:c>
      <x:c r="T2053" s="28" t="n">
        <x:f>H2053-I2053</x:f>
        <x:v>10</x:v>
      </x:c>
      <x:c r="U2053" s="24" t="n">
        <x:f>IFERROR(J2053/H2053,0)-IFERROR(K2053/I2053,0)</x:f>
        <x:v>0</x:v>
      </x:c>
      <x:c r="V2053" s="24" t="n">
        <x:f>IFERROR(F2053/J2053,0)-IFERROR(G2053/K2053,0)</x:f>
        <x:v>-0.6666666666666666</x:v>
      </x:c>
      <x:c r="W2053" s="28" t="n">
        <x:f>L2053-M2053</x:f>
        <x:v>5</x:v>
      </x:c>
      <x:c r="X2053" s="24" t="n">
        <x:f>IFERROR(K2053/I2053,0)</x:f>
        <x:v>0.3</x:v>
      </x:c>
      <x:c r="Y2053" s="24" t="n">
        <x:f>IFERROR(G2053/I2053,0)</x:f>
        <x:v>0.2</x:v>
      </x:c>
      <x:c r="Z2053" s="24" t="n">
        <x:f>IFERROR(G2053/K2053,0)</x:f>
        <x:v>0.6666666666666666</x:v>
      </x:c>
      <x:c r="AA2053" s="24" t="n">
        <x:f>IFERROR(F2053/H2053,0)-IFERROR(G2053/I2053,0)</x:f>
        <x:v>-0.2</x:v>
      </x:c>
      <x:c r="AB2053" s="28" t="n">
        <x:f>J2053-K2053</x:f>
        <x:v>3</x:v>
      </x:c>
      <x:c r="AC2053" s="32" t="n">
        <x:f>F2053-G2053</x:f>
        <x:v>-2</x:v>
      </x:c>
    </x:row>
    <x:row r="2054">
      <x:c r="A2054" s="4" t="str">
        <x:v>2023-24</x:v>
      </x:c>
      <x:c r="B2054" s="20" t="n">
        <x:v>45354</x:v>
      </x:c>
      <x:c r="C2054" s="4" t="str">
        <x:v>Man City</x:v>
      </x:c>
      <x:c r="D2054" s="4" t="str">
        <x:v>Man United</x:v>
      </x:c>
      <x:c r="E2054" s="4" t="str">
        <x:v>Home</x:v>
      </x:c>
      <x:c r="F2054" s="28" t="n">
        <x:v>3</x:v>
      </x:c>
      <x:c r="G2054" s="28" t="n">
        <x:v>1</x:v>
      </x:c>
      <x:c r="H2054" s="28" t="n">
        <x:v>27</x:v>
      </x:c>
      <x:c r="I2054" s="28" t="n">
        <x:v>3</x:v>
      </x:c>
      <x:c r="J2054" s="28" t="n">
        <x:v>8</x:v>
      </x:c>
      <x:c r="K2054" s="28" t="n">
        <x:v>1</x:v>
      </x:c>
      <x:c r="L2054" s="28" t="n">
        <x:v>15</x:v>
      </x:c>
      <x:c r="M2054" s="28" t="n">
        <x:v>2</x:v>
      </x:c>
      <x:c r="N2054" s="28" t="n">
        <x:v>0</x:v>
      </x:c>
      <x:c r="O2054" s="28" t="n">
        <x:v>0</x:v>
      </x:c>
      <x:c r="P2054" s="28" t="n">
        <x:v>3</x:v>
      </x:c>
      <x:c r="Q2054" s="24" t="n">
        <x:f>IFERROR(J2054/H2054,0)</x:f>
        <x:v>0.2962962962962963</x:v>
      </x:c>
      <x:c r="R2054" s="24" t="n">
        <x:f>IFERROR(F2054/H2054,0)</x:f>
        <x:v>0.1111111111111111</x:v>
      </x:c>
      <x:c r="S2054" s="24" t="n">
        <x:f>IFERROR(F2054/J2054,0)</x:f>
        <x:v>0.375</x:v>
      </x:c>
      <x:c r="T2054" s="28" t="n">
        <x:f>H2054-I2054</x:f>
        <x:v>24</x:v>
      </x:c>
      <x:c r="U2054" s="24" t="n">
        <x:f>IFERROR(J2054/H2054,0)-IFERROR(K2054/I2054,0)</x:f>
        <x:v>-0.037037037037037035</x:v>
      </x:c>
      <x:c r="V2054" s="24" t="n">
        <x:f>IFERROR(F2054/J2054,0)-IFERROR(G2054/K2054,0)</x:f>
        <x:v>-0.625</x:v>
      </x:c>
      <x:c r="W2054" s="28" t="n">
        <x:f>L2054-M2054</x:f>
        <x:v>13</x:v>
      </x:c>
      <x:c r="X2054" s="24" t="n">
        <x:f>IFERROR(K2054/I2054,0)</x:f>
        <x:v>0.3333333333333333</x:v>
      </x:c>
      <x:c r="Y2054" s="24" t="n">
        <x:f>IFERROR(G2054/I2054,0)</x:f>
        <x:v>0.3333333333333333</x:v>
      </x:c>
      <x:c r="Z2054" s="24" t="n">
        <x:f>IFERROR(G2054/K2054,0)</x:f>
        <x:v>1</x:v>
      </x:c>
      <x:c r="AA2054" s="24" t="n">
        <x:f>IFERROR(F2054/H2054,0)-IFERROR(G2054/I2054,0)</x:f>
        <x:v>-0.2222222222222222</x:v>
      </x:c>
      <x:c r="AB2054" s="28" t="n">
        <x:f>J2054-K2054</x:f>
        <x:v>7</x:v>
      </x:c>
      <x:c r="AC2054" s="32" t="n">
        <x:f>F2054-G2054</x:f>
        <x:v>2</x:v>
      </x:c>
    </x:row>
    <x:row r="2055">
      <x:c r="A2055" s="4" t="str">
        <x:v>2023-24</x:v>
      </x:c>
      <x:c r="B2055" s="20" t="n">
        <x:v>45354</x:v>
      </x:c>
      <x:c r="C2055" s="4" t="str">
        <x:v>Man United</x:v>
      </x:c>
      <x:c r="D2055" s="4" t="str">
        <x:v>Man City</x:v>
      </x:c>
      <x:c r="E2055" s="4" t="str">
        <x:v>Away</x:v>
      </x:c>
      <x:c r="F2055" s="28" t="n">
        <x:v>1</x:v>
      </x:c>
      <x:c r="G2055" s="28" t="n">
        <x:v>3</x:v>
      </x:c>
      <x:c r="H2055" s="28" t="n">
        <x:v>3</x:v>
      </x:c>
      <x:c r="I2055" s="28" t="n">
        <x:v>27</x:v>
      </x:c>
      <x:c r="J2055" s="28" t="n">
        <x:v>1</x:v>
      </x:c>
      <x:c r="K2055" s="28" t="n">
        <x:v>8</x:v>
      </x:c>
      <x:c r="L2055" s="28" t="n">
        <x:v>2</x:v>
      </x:c>
      <x:c r="M2055" s="28" t="n">
        <x:v>15</x:v>
      </x:c>
      <x:c r="N2055" s="28" t="n">
        <x:v>1</x:v>
      </x:c>
      <x:c r="O2055" s="28" t="n">
        <x:v>0</x:v>
      </x:c>
      <x:c r="P2055" s="28" t="n">
        <x:v>0</x:v>
      </x:c>
      <x:c r="Q2055" s="24" t="n">
        <x:f>IFERROR(J2055/H2055,0)</x:f>
        <x:v>0.3333333333333333</x:v>
      </x:c>
      <x:c r="R2055" s="24" t="n">
        <x:f>IFERROR(F2055/H2055,0)</x:f>
        <x:v>0.3333333333333333</x:v>
      </x:c>
      <x:c r="S2055" s="24" t="n">
        <x:f>IFERROR(F2055/J2055,0)</x:f>
        <x:v>1</x:v>
      </x:c>
      <x:c r="T2055" s="28" t="n">
        <x:f>H2055-I2055</x:f>
        <x:v>-24</x:v>
      </x:c>
      <x:c r="U2055" s="24" t="n">
        <x:f>IFERROR(J2055/H2055,0)-IFERROR(K2055/I2055,0)</x:f>
        <x:v>0.037037037037037035</x:v>
      </x:c>
      <x:c r="V2055" s="24" t="n">
        <x:f>IFERROR(F2055/J2055,0)-IFERROR(G2055/K2055,0)</x:f>
        <x:v>0.625</x:v>
      </x:c>
      <x:c r="W2055" s="28" t="n">
        <x:f>L2055-M2055</x:f>
        <x:v>-13</x:v>
      </x:c>
      <x:c r="X2055" s="24" t="n">
        <x:f>IFERROR(K2055/I2055,0)</x:f>
        <x:v>0.2962962962962963</x:v>
      </x:c>
      <x:c r="Y2055" s="24" t="n">
        <x:f>IFERROR(G2055/I2055,0)</x:f>
        <x:v>0.1111111111111111</x:v>
      </x:c>
      <x:c r="Z2055" s="24" t="n">
        <x:f>IFERROR(G2055/K2055,0)</x:f>
        <x:v>0.375</x:v>
      </x:c>
      <x:c r="AA2055" s="24" t="n">
        <x:f>IFERROR(F2055/H2055,0)-IFERROR(G2055/I2055,0)</x:f>
        <x:v>0.2222222222222222</x:v>
      </x:c>
      <x:c r="AB2055" s="28" t="n">
        <x:f>J2055-K2055</x:f>
        <x:v>-7</x:v>
      </x:c>
      <x:c r="AC2055" s="32" t="n">
        <x:f>F2055-G2055</x:f>
        <x:v>-2</x:v>
      </x:c>
    </x:row>
    <x:row r="2056">
      <x:c r="A2056" s="4" t="str">
        <x:v>2023-24</x:v>
      </x:c>
      <x:c r="B2056" s="20" t="n">
        <x:v>45355</x:v>
      </x:c>
      <x:c r="C2056" s="4" t="str">
        <x:v>Arsenal</x:v>
      </x:c>
      <x:c r="D2056" s="4" t="str">
        <x:v>Sheffield United</x:v>
      </x:c>
      <x:c r="E2056" s="4" t="str">
        <x:v>Away</x:v>
      </x:c>
      <x:c r="F2056" s="28" t="n">
        <x:v>6</x:v>
      </x:c>
      <x:c r="G2056" s="28" t="n">
        <x:v>0</x:v>
      </x:c>
      <x:c r="H2056" s="28" t="n">
        <x:v>22</x:v>
      </x:c>
      <x:c r="I2056" s="28" t="n">
        <x:v>4</x:v>
      </x:c>
      <x:c r="J2056" s="28" t="n">
        <x:v>10</x:v>
      </x:c>
      <x:c r="K2056" s="28" t="n">
        <x:v>0</x:v>
      </x:c>
      <x:c r="L2056" s="28" t="n">
        <x:v>7</x:v>
      </x:c>
      <x:c r="M2056" s="28" t="n">
        <x:v>0</x:v>
      </x:c>
      <x:c r="N2056" s="28" t="n">
        <x:v>0</x:v>
      </x:c>
      <x:c r="O2056" s="28" t="n">
        <x:v>0</x:v>
      </x:c>
      <x:c r="P2056" s="28" t="n">
        <x:v>3</x:v>
      </x:c>
      <x:c r="Q2056" s="24" t="n">
        <x:f>IFERROR(J2056/H2056,0)</x:f>
        <x:v>0.45454545454545453</x:v>
      </x:c>
      <x:c r="R2056" s="24" t="n">
        <x:f>IFERROR(F2056/H2056,0)</x:f>
        <x:v>0.2727272727272727</x:v>
      </x:c>
      <x:c r="S2056" s="24" t="n">
        <x:f>IFERROR(F2056/J2056,0)</x:f>
        <x:v>0.6</x:v>
      </x:c>
      <x:c r="T2056" s="28" t="n">
        <x:f>H2056-I2056</x:f>
        <x:v>18</x:v>
      </x:c>
      <x:c r="U2056" s="24" t="n">
        <x:f>IFERROR(J2056/H2056,0)-IFERROR(K2056/I2056,0)</x:f>
        <x:v>0.45454545454545453</x:v>
      </x:c>
      <x:c r="V2056" s="24" t="n">
        <x:f>IFERROR(F2056/J2056,0)-IFERROR(G2056/K2056,0)</x:f>
        <x:v>0.6</x:v>
      </x:c>
      <x:c r="W2056" s="28" t="n">
        <x:f>L2056-M2056</x:f>
        <x:v>7</x:v>
      </x:c>
      <x:c r="X2056" s="24" t="n">
        <x:f>IFERROR(K2056/I2056,0)</x:f>
        <x:v>0</x:v>
      </x:c>
      <x:c r="Y2056" s="24" t="n">
        <x:f>IFERROR(G2056/I2056,0)</x:f>
        <x:v>0</x:v>
      </x:c>
      <x:c r="Z2056" s="24" t="n">
        <x:f>IFERROR(G2056/K2056,0)</x:f>
        <x:v>0</x:v>
      </x:c>
      <x:c r="AA2056" s="24" t="n">
        <x:f>IFERROR(F2056/H2056,0)-IFERROR(G2056/I2056,0)</x:f>
        <x:v>0.2727272727272727</x:v>
      </x:c>
      <x:c r="AB2056" s="28" t="n">
        <x:f>J2056-K2056</x:f>
        <x:v>10</x:v>
      </x:c>
      <x:c r="AC2056" s="32" t="n">
        <x:f>F2056-G2056</x:f>
        <x:v>6</x:v>
      </x:c>
    </x:row>
    <x:row r="2057">
      <x:c r="A2057" s="4" t="str">
        <x:v>2023-24</x:v>
      </x:c>
      <x:c r="B2057" s="20" t="n">
        <x:v>45355</x:v>
      </x:c>
      <x:c r="C2057" s="4" t="str">
        <x:v>Sheffield United</x:v>
      </x:c>
      <x:c r="D2057" s="4" t="str">
        <x:v>Arsenal</x:v>
      </x:c>
      <x:c r="E2057" s="4" t="str">
        <x:v>Home</x:v>
      </x:c>
      <x:c r="F2057" s="28" t="n">
        <x:v>0</x:v>
      </x:c>
      <x:c r="G2057" s="28" t="n">
        <x:v>6</x:v>
      </x:c>
      <x:c r="H2057" s="28" t="n">
        <x:v>4</x:v>
      </x:c>
      <x:c r="I2057" s="28" t="n">
        <x:v>22</x:v>
      </x:c>
      <x:c r="J2057" s="28" t="n">
        <x:v>0</x:v>
      </x:c>
      <x:c r="K2057" s="28" t="n">
        <x:v>10</x:v>
      </x:c>
      <x:c r="L2057" s="28" t="n">
        <x:v>0</x:v>
      </x:c>
      <x:c r="M2057" s="28" t="n">
        <x:v>7</x:v>
      </x:c>
      <x:c r="N2057" s="28" t="n">
        <x:v>1</x:v>
      </x:c>
      <x:c r="O2057" s="28" t="n">
        <x:v>0</x:v>
      </x:c>
      <x:c r="P2057" s="28" t="n">
        <x:v>0</x:v>
      </x:c>
      <x:c r="Q2057" s="24" t="n">
        <x:f>IFERROR(J2057/H2057,0)</x:f>
        <x:v>0</x:v>
      </x:c>
      <x:c r="R2057" s="24" t="n">
        <x:f>IFERROR(F2057/H2057,0)</x:f>
        <x:v>0</x:v>
      </x:c>
      <x:c r="S2057" s="24" t="n">
        <x:f>IFERROR(F2057/J2057,0)</x:f>
        <x:v>0</x:v>
      </x:c>
      <x:c r="T2057" s="28" t="n">
        <x:f>H2057-I2057</x:f>
        <x:v>-18</x:v>
      </x:c>
      <x:c r="U2057" s="24" t="n">
        <x:f>IFERROR(J2057/H2057,0)-IFERROR(K2057/I2057,0)</x:f>
        <x:v>-0.45454545454545453</x:v>
      </x:c>
      <x:c r="V2057" s="24" t="n">
        <x:f>IFERROR(F2057/J2057,0)-IFERROR(G2057/K2057,0)</x:f>
        <x:v>-0.6</x:v>
      </x:c>
      <x:c r="W2057" s="28" t="n">
        <x:f>L2057-M2057</x:f>
        <x:v>-7</x:v>
      </x:c>
      <x:c r="X2057" s="24" t="n">
        <x:f>IFERROR(K2057/I2057,0)</x:f>
        <x:v>0.45454545454545453</x:v>
      </x:c>
      <x:c r="Y2057" s="24" t="n">
        <x:f>IFERROR(G2057/I2057,0)</x:f>
        <x:v>0.2727272727272727</x:v>
      </x:c>
      <x:c r="Z2057" s="24" t="n">
        <x:f>IFERROR(G2057/K2057,0)</x:f>
        <x:v>0.6</x:v>
      </x:c>
      <x:c r="AA2057" s="24" t="n">
        <x:f>IFERROR(F2057/H2057,0)-IFERROR(G2057/I2057,0)</x:f>
        <x:v>-0.2727272727272727</x:v>
      </x:c>
      <x:c r="AB2057" s="28" t="n">
        <x:f>J2057-K2057</x:f>
        <x:v>-10</x:v>
      </x:c>
      <x:c r="AC2057" s="32" t="n">
        <x:f>F2057-G2057</x:f>
        <x:v>-6</x:v>
      </x:c>
    </x:row>
    <x:row r="2058">
      <x:c r="A2058" s="4" t="str">
        <x:v>2023-24</x:v>
      </x:c>
      <x:c r="B2058" s="20" t="n">
        <x:v>45360</x:v>
      </x:c>
      <x:c r="C2058" s="4" t="str">
        <x:v>Arsenal</x:v>
      </x:c>
      <x:c r="D2058" s="4" t="str">
        <x:v>Brentford</x:v>
      </x:c>
      <x:c r="E2058" s="4" t="str">
        <x:v>Home</x:v>
      </x:c>
      <x:c r="F2058" s="28" t="n">
        <x:v>2</x:v>
      </x:c>
      <x:c r="G2058" s="28" t="n">
        <x:v>1</x:v>
      </x:c>
      <x:c r="H2058" s="28" t="n">
        <x:v>17</x:v>
      </x:c>
      <x:c r="I2058" s="28" t="n">
        <x:v>9</x:v>
      </x:c>
      <x:c r="J2058" s="28" t="n">
        <x:v>6</x:v>
      </x:c>
      <x:c r="K2058" s="28" t="n">
        <x:v>4</x:v>
      </x:c>
      <x:c r="L2058" s="28" t="n">
        <x:v>10</x:v>
      </x:c>
      <x:c r="M2058" s="28" t="n">
        <x:v>4</x:v>
      </x:c>
      <x:c r="N2058" s="28" t="n">
        <x:v>2</x:v>
      </x:c>
      <x:c r="O2058" s="28" t="n">
        <x:v>0</x:v>
      </x:c>
      <x:c r="P2058" s="28" t="n">
        <x:v>3</x:v>
      </x:c>
      <x:c r="Q2058" s="24" t="n">
        <x:f>IFERROR(J2058/H2058,0)</x:f>
        <x:v>0.35294117647058826</x:v>
      </x:c>
      <x:c r="R2058" s="24" t="n">
        <x:f>IFERROR(F2058/H2058,0)</x:f>
        <x:v>0.11764705882352941</x:v>
      </x:c>
      <x:c r="S2058" s="24" t="n">
        <x:f>IFERROR(F2058/J2058,0)</x:f>
        <x:v>0.3333333333333333</x:v>
      </x:c>
      <x:c r="T2058" s="28" t="n">
        <x:f>H2058-I2058</x:f>
        <x:v>8</x:v>
      </x:c>
      <x:c r="U2058" s="24" t="n">
        <x:f>IFERROR(J2058/H2058,0)-IFERROR(K2058/I2058,0)</x:f>
        <x:v>-0.09150326797385616</x:v>
      </x:c>
      <x:c r="V2058" s="24" t="n">
        <x:f>IFERROR(F2058/J2058,0)-IFERROR(G2058/K2058,0)</x:f>
        <x:v>0.08333333333333331</x:v>
      </x:c>
      <x:c r="W2058" s="28" t="n">
        <x:f>L2058-M2058</x:f>
        <x:v>6</x:v>
      </x:c>
      <x:c r="X2058" s="24" t="n">
        <x:f>IFERROR(K2058/I2058,0)</x:f>
        <x:v>0.4444444444444444</x:v>
      </x:c>
      <x:c r="Y2058" s="24" t="n">
        <x:f>IFERROR(G2058/I2058,0)</x:f>
        <x:v>0.1111111111111111</x:v>
      </x:c>
      <x:c r="Z2058" s="24" t="n">
        <x:f>IFERROR(G2058/K2058,0)</x:f>
        <x:v>0.25</x:v>
      </x:c>
      <x:c r="AA2058" s="24" t="n">
        <x:f>IFERROR(F2058/H2058,0)-IFERROR(G2058/I2058,0)</x:f>
        <x:v>0.006535947712418305</x:v>
      </x:c>
      <x:c r="AB2058" s="28" t="n">
        <x:f>J2058-K2058</x:f>
        <x:v>2</x:v>
      </x:c>
      <x:c r="AC2058" s="32" t="n">
        <x:f>F2058-G2058</x:f>
        <x:v>1</x:v>
      </x:c>
    </x:row>
    <x:row r="2059">
      <x:c r="A2059" s="4" t="str">
        <x:v>2023-24</x:v>
      </x:c>
      <x:c r="B2059" s="20" t="n">
        <x:v>45360</x:v>
      </x:c>
      <x:c r="C2059" s="4" t="str">
        <x:v>Bournemouth</x:v>
      </x:c>
      <x:c r="D2059" s="4" t="str">
        <x:v>Sheffield United</x:v>
      </x:c>
      <x:c r="E2059" s="4" t="str">
        <x:v>Home</x:v>
      </x:c>
      <x:c r="F2059" s="28" t="n">
        <x:v>2</x:v>
      </x:c>
      <x:c r="G2059" s="28" t="n">
        <x:v>2</x:v>
      </x:c>
      <x:c r="H2059" s="28" t="n">
        <x:v>32</x:v>
      </x:c>
      <x:c r="I2059" s="28" t="n">
        <x:v>13</x:v>
      </x:c>
      <x:c r="J2059" s="28" t="n">
        <x:v>12</x:v>
      </x:c>
      <x:c r="K2059" s="28" t="n">
        <x:v>9</x:v>
      </x:c>
      <x:c r="L2059" s="28" t="n">
        <x:v>10</x:v>
      </x:c>
      <x:c r="M2059" s="28" t="n">
        <x:v>3</x:v>
      </x:c>
      <x:c r="N2059" s="28" t="n">
        <x:v>3</x:v>
      </x:c>
      <x:c r="O2059" s="28" t="n">
        <x:v>0</x:v>
      </x:c>
      <x:c r="P2059" s="28" t="n">
        <x:v>1</x:v>
      </x:c>
      <x:c r="Q2059" s="24" t="n">
        <x:f>IFERROR(J2059/H2059,0)</x:f>
        <x:v>0.375</x:v>
      </x:c>
      <x:c r="R2059" s="24" t="n">
        <x:f>IFERROR(F2059/H2059,0)</x:f>
        <x:v>0.0625</x:v>
      </x:c>
      <x:c r="S2059" s="24" t="n">
        <x:f>IFERROR(F2059/J2059,0)</x:f>
        <x:v>0.16666666666666666</x:v>
      </x:c>
      <x:c r="T2059" s="28" t="n">
        <x:f>H2059-I2059</x:f>
        <x:v>19</x:v>
      </x:c>
      <x:c r="U2059" s="24" t="n">
        <x:f>IFERROR(J2059/H2059,0)-IFERROR(K2059/I2059,0)</x:f>
        <x:v>-0.3173076923076923</x:v>
      </x:c>
      <x:c r="V2059" s="24" t="n">
        <x:f>IFERROR(F2059/J2059,0)-IFERROR(G2059/K2059,0)</x:f>
        <x:v>-0.05555555555555555</x:v>
      </x:c>
      <x:c r="W2059" s="28" t="n">
        <x:f>L2059-M2059</x:f>
        <x:v>7</x:v>
      </x:c>
      <x:c r="X2059" s="24" t="n">
        <x:f>IFERROR(K2059/I2059,0)</x:f>
        <x:v>0.6923076923076923</x:v>
      </x:c>
      <x:c r="Y2059" s="24" t="n">
        <x:f>IFERROR(G2059/I2059,0)</x:f>
        <x:v>0.15384615384615385</x:v>
      </x:c>
      <x:c r="Z2059" s="24" t="n">
        <x:f>IFERROR(G2059/K2059,0)</x:f>
        <x:v>0.2222222222222222</x:v>
      </x:c>
      <x:c r="AA2059" s="24" t="n">
        <x:f>IFERROR(F2059/H2059,0)-IFERROR(G2059/I2059,0)</x:f>
        <x:v>-0.09134615384615385</x:v>
      </x:c>
      <x:c r="AB2059" s="28" t="n">
        <x:f>J2059-K2059</x:f>
        <x:v>3</x:v>
      </x:c>
      <x:c r="AC2059" s="32" t="n">
        <x:f>F2059-G2059</x:f>
        <x:v>0</x:v>
      </x:c>
    </x:row>
    <x:row r="2060">
      <x:c r="A2060" s="4" t="str">
        <x:v>2023-24</x:v>
      </x:c>
      <x:c r="B2060" s="20" t="n">
        <x:v>45360</x:v>
      </x:c>
      <x:c r="C2060" s="4" t="str">
        <x:v>Brentford</x:v>
      </x:c>
      <x:c r="D2060" s="4" t="str">
        <x:v>Arsenal</x:v>
      </x:c>
      <x:c r="E2060" s="4" t="str">
        <x:v>Away</x:v>
      </x:c>
      <x:c r="F2060" s="28" t="n">
        <x:v>1</x:v>
      </x:c>
      <x:c r="G2060" s="28" t="n">
        <x:v>2</x:v>
      </x:c>
      <x:c r="H2060" s="28" t="n">
        <x:v>9</x:v>
      </x:c>
      <x:c r="I2060" s="28" t="n">
        <x:v>17</x:v>
      </x:c>
      <x:c r="J2060" s="28" t="n">
        <x:v>4</x:v>
      </x:c>
      <x:c r="K2060" s="28" t="n">
        <x:v>6</x:v>
      </x:c>
      <x:c r="L2060" s="28" t="n">
        <x:v>4</x:v>
      </x:c>
      <x:c r="M2060" s="28" t="n">
        <x:v>10</x:v>
      </x:c>
      <x:c r="N2060" s="28" t="n">
        <x:v>4</x:v>
      </x:c>
      <x:c r="O2060" s="28" t="n">
        <x:v>0</x:v>
      </x:c>
      <x:c r="P2060" s="28" t="n">
        <x:v>0</x:v>
      </x:c>
      <x:c r="Q2060" s="24" t="n">
        <x:f>IFERROR(J2060/H2060,0)</x:f>
        <x:v>0.4444444444444444</x:v>
      </x:c>
      <x:c r="R2060" s="24" t="n">
        <x:f>IFERROR(F2060/H2060,0)</x:f>
        <x:v>0.1111111111111111</x:v>
      </x:c>
      <x:c r="S2060" s="24" t="n">
        <x:f>IFERROR(F2060/J2060,0)</x:f>
        <x:v>0.25</x:v>
      </x:c>
      <x:c r="T2060" s="28" t="n">
        <x:f>H2060-I2060</x:f>
        <x:v>-8</x:v>
      </x:c>
      <x:c r="U2060" s="24" t="n">
        <x:f>IFERROR(J2060/H2060,0)-IFERROR(K2060/I2060,0)</x:f>
        <x:v>0.09150326797385616</x:v>
      </x:c>
      <x:c r="V2060" s="24" t="n">
        <x:f>IFERROR(F2060/J2060,0)-IFERROR(G2060/K2060,0)</x:f>
        <x:v>-0.08333333333333331</x:v>
      </x:c>
      <x:c r="W2060" s="28" t="n">
        <x:f>L2060-M2060</x:f>
        <x:v>-6</x:v>
      </x:c>
      <x:c r="X2060" s="24" t="n">
        <x:f>IFERROR(K2060/I2060,0)</x:f>
        <x:v>0.35294117647058826</x:v>
      </x:c>
      <x:c r="Y2060" s="24" t="n">
        <x:f>IFERROR(G2060/I2060,0)</x:f>
        <x:v>0.11764705882352941</x:v>
      </x:c>
      <x:c r="Z2060" s="24" t="n">
        <x:f>IFERROR(G2060/K2060,0)</x:f>
        <x:v>0.3333333333333333</x:v>
      </x:c>
      <x:c r="AA2060" s="24" t="n">
        <x:f>IFERROR(F2060/H2060,0)-IFERROR(G2060/I2060,0)</x:f>
        <x:v>-0.006535947712418305</x:v>
      </x:c>
      <x:c r="AB2060" s="28" t="n">
        <x:f>J2060-K2060</x:f>
        <x:v>-2</x:v>
      </x:c>
      <x:c r="AC2060" s="32" t="n">
        <x:f>F2060-G2060</x:f>
        <x:v>-1</x:v>
      </x:c>
    </x:row>
    <x:row r="2061">
      <x:c r="A2061" s="4" t="str">
        <x:v>2023-24</x:v>
      </x:c>
      <x:c r="B2061" s="20" t="n">
        <x:v>45360</x:v>
      </x:c>
      <x:c r="C2061" s="4" t="str">
        <x:v>Crystal Palace</x:v>
      </x:c>
      <x:c r="D2061" s="4" t="str">
        <x:v>Luton</x:v>
      </x:c>
      <x:c r="E2061" s="4" t="str">
        <x:v>Home</x:v>
      </x:c>
      <x:c r="F2061" s="28" t="n">
        <x:v>1</x:v>
      </x:c>
      <x:c r="G2061" s="28" t="n">
        <x:v>1</x:v>
      </x:c>
      <x:c r="H2061" s="28" t="n">
        <x:v>21</x:v>
      </x:c>
      <x:c r="I2061" s="28" t="n">
        <x:v>8</x:v>
      </x:c>
      <x:c r="J2061" s="28" t="n">
        <x:v>4</x:v>
      </x:c>
      <x:c r="K2061" s="28" t="n">
        <x:v>2</x:v>
      </x:c>
      <x:c r="L2061" s="28" t="n">
        <x:v>8</x:v>
      </x:c>
      <x:c r="M2061" s="28" t="n">
        <x:v>6</x:v>
      </x:c>
      <x:c r="N2061" s="28" t="n">
        <x:v>2</x:v>
      </x:c>
      <x:c r="O2061" s="28" t="n">
        <x:v>0</x:v>
      </x:c>
      <x:c r="P2061" s="28" t="n">
        <x:v>1</x:v>
      </x:c>
      <x:c r="Q2061" s="24" t="n">
        <x:f>IFERROR(J2061/H2061,0)</x:f>
        <x:v>0.19047619047619047</x:v>
      </x:c>
      <x:c r="R2061" s="24" t="n">
        <x:f>IFERROR(F2061/H2061,0)</x:f>
        <x:v>0.047619047619047616</x:v>
      </x:c>
      <x:c r="S2061" s="24" t="n">
        <x:f>IFERROR(F2061/J2061,0)</x:f>
        <x:v>0.25</x:v>
      </x:c>
      <x:c r="T2061" s="28" t="n">
        <x:f>H2061-I2061</x:f>
        <x:v>13</x:v>
      </x:c>
      <x:c r="U2061" s="24" t="n">
        <x:f>IFERROR(J2061/H2061,0)-IFERROR(K2061/I2061,0)</x:f>
        <x:v>-0.059523809523809534</x:v>
      </x:c>
      <x:c r="V2061" s="24" t="n">
        <x:f>IFERROR(F2061/J2061,0)-IFERROR(G2061/K2061,0)</x:f>
        <x:v>-0.25</x:v>
      </x:c>
      <x:c r="W2061" s="28" t="n">
        <x:f>L2061-M2061</x:f>
        <x:v>2</x:v>
      </x:c>
      <x:c r="X2061" s="24" t="n">
        <x:f>IFERROR(K2061/I2061,0)</x:f>
        <x:v>0.25</x:v>
      </x:c>
      <x:c r="Y2061" s="24" t="n">
        <x:f>IFERROR(G2061/I2061,0)</x:f>
        <x:v>0.125</x:v>
      </x:c>
      <x:c r="Z2061" s="24" t="n">
        <x:f>IFERROR(G2061/K2061,0)</x:f>
        <x:v>0.5</x:v>
      </x:c>
      <x:c r="AA2061" s="24" t="n">
        <x:f>IFERROR(F2061/H2061,0)-IFERROR(G2061/I2061,0)</x:f>
        <x:v>-0.07738095238095238</x:v>
      </x:c>
      <x:c r="AB2061" s="28" t="n">
        <x:f>J2061-K2061</x:f>
        <x:v>2</x:v>
      </x:c>
      <x:c r="AC2061" s="32" t="n">
        <x:f>F2061-G2061</x:f>
        <x:v>0</x:v>
      </x:c>
    </x:row>
    <x:row r="2062">
      <x:c r="A2062" s="4" t="str">
        <x:v>2023-24</x:v>
      </x:c>
      <x:c r="B2062" s="20" t="n">
        <x:v>45360</x:v>
      </x:c>
      <x:c r="C2062" s="4" t="str">
        <x:v>Everton</x:v>
      </x:c>
      <x:c r="D2062" s="4" t="str">
        <x:v>Man United</x:v>
      </x:c>
      <x:c r="E2062" s="4" t="str">
        <x:v>Away</x:v>
      </x:c>
      <x:c r="F2062" s="28" t="n">
        <x:v>0</x:v>
      </x:c>
      <x:c r="G2062" s="28" t="n">
        <x:v>2</x:v>
      </x:c>
      <x:c r="H2062" s="28" t="n">
        <x:v>23</x:v>
      </x:c>
      <x:c r="I2062" s="28" t="n">
        <x:v>15</x:v>
      </x:c>
      <x:c r="J2062" s="28" t="n">
        <x:v>6</x:v>
      </x:c>
      <x:c r="K2062" s="28" t="n">
        <x:v>8</x:v>
      </x:c>
      <x:c r="L2062" s="28" t="n">
        <x:v>8</x:v>
      </x:c>
      <x:c r="M2062" s="28" t="n">
        <x:v>5</x:v>
      </x:c>
      <x:c r="N2062" s="28" t="n">
        <x:v>2</x:v>
      </x:c>
      <x:c r="O2062" s="28" t="n">
        <x:v>0</x:v>
      </x:c>
      <x:c r="P2062" s="28" t="n">
        <x:v>0</x:v>
      </x:c>
      <x:c r="Q2062" s="24" t="n">
        <x:f>IFERROR(J2062/H2062,0)</x:f>
        <x:v>0.2608695652173913</x:v>
      </x:c>
      <x:c r="R2062" s="24" t="n">
        <x:f>IFERROR(F2062/H2062,0)</x:f>
        <x:v>0</x:v>
      </x:c>
      <x:c r="S2062" s="24" t="n">
        <x:f>IFERROR(F2062/J2062,0)</x:f>
        <x:v>0</x:v>
      </x:c>
      <x:c r="T2062" s="28" t="n">
        <x:f>H2062-I2062</x:f>
        <x:v>8</x:v>
      </x:c>
      <x:c r="U2062" s="24" t="n">
        <x:f>IFERROR(J2062/H2062,0)-IFERROR(K2062/I2062,0)</x:f>
        <x:v>-0.27246376811594203</x:v>
      </x:c>
      <x:c r="V2062" s="24" t="n">
        <x:f>IFERROR(F2062/J2062,0)-IFERROR(G2062/K2062,0)</x:f>
        <x:v>-0.25</x:v>
      </x:c>
      <x:c r="W2062" s="28" t="n">
        <x:f>L2062-M2062</x:f>
        <x:v>3</x:v>
      </x:c>
      <x:c r="X2062" s="24" t="n">
        <x:f>IFERROR(K2062/I2062,0)</x:f>
        <x:v>0.5333333333333333</x:v>
      </x:c>
      <x:c r="Y2062" s="24" t="n">
        <x:f>IFERROR(G2062/I2062,0)</x:f>
        <x:v>0.13333333333333333</x:v>
      </x:c>
      <x:c r="Z2062" s="24" t="n">
        <x:f>IFERROR(G2062/K2062,0)</x:f>
        <x:v>0.25</x:v>
      </x:c>
      <x:c r="AA2062" s="24" t="n">
        <x:f>IFERROR(F2062/H2062,0)-IFERROR(G2062/I2062,0)</x:f>
        <x:v>-0.13333333333333333</x:v>
      </x:c>
      <x:c r="AB2062" s="28" t="n">
        <x:f>J2062-K2062</x:f>
        <x:v>-2</x:v>
      </x:c>
      <x:c r="AC2062" s="32" t="n">
        <x:f>F2062-G2062</x:f>
        <x:v>-2</x:v>
      </x:c>
    </x:row>
    <x:row r="2063">
      <x:c r="A2063" s="4" t="str">
        <x:v>2023-24</x:v>
      </x:c>
      <x:c r="B2063" s="20" t="n">
        <x:v>45360</x:v>
      </x:c>
      <x:c r="C2063" s="4" t="str">
        <x:v>Fulham</x:v>
      </x:c>
      <x:c r="D2063" s="4" t="str">
        <x:v>Wolves</x:v>
      </x:c>
      <x:c r="E2063" s="4" t="str">
        <x:v>Away</x:v>
      </x:c>
      <x:c r="F2063" s="28" t="n">
        <x:v>1</x:v>
      </x:c>
      <x:c r="G2063" s="28" t="n">
        <x:v>2</x:v>
      </x:c>
      <x:c r="H2063" s="28" t="n">
        <x:v>23</x:v>
      </x:c>
      <x:c r="I2063" s="28" t="n">
        <x:v>8</x:v>
      </x:c>
      <x:c r="J2063" s="28" t="n">
        <x:v>6</x:v>
      </x:c>
      <x:c r="K2063" s="28" t="n">
        <x:v>3</x:v>
      </x:c>
      <x:c r="L2063" s="28" t="n">
        <x:v>4</x:v>
      </x:c>
      <x:c r="M2063" s="28" t="n">
        <x:v>3</x:v>
      </x:c>
      <x:c r="N2063" s="28" t="n">
        <x:v>2</x:v>
      </x:c>
      <x:c r="O2063" s="28" t="n">
        <x:v>0</x:v>
      </x:c>
      <x:c r="P2063" s="28" t="n">
        <x:v>0</x:v>
      </x:c>
      <x:c r="Q2063" s="24" t="n">
        <x:f>IFERROR(J2063/H2063,0)</x:f>
        <x:v>0.2608695652173913</x:v>
      </x:c>
      <x:c r="R2063" s="24" t="n">
        <x:f>IFERROR(F2063/H2063,0)</x:f>
        <x:v>0.043478260869565216</x:v>
      </x:c>
      <x:c r="S2063" s="24" t="n">
        <x:f>IFERROR(F2063/J2063,0)</x:f>
        <x:v>0.16666666666666666</x:v>
      </x:c>
      <x:c r="T2063" s="28" t="n">
        <x:f>H2063-I2063</x:f>
        <x:v>15</x:v>
      </x:c>
      <x:c r="U2063" s="24" t="n">
        <x:f>IFERROR(J2063/H2063,0)-IFERROR(K2063/I2063,0)</x:f>
        <x:v>-0.1141304347826087</x:v>
      </x:c>
      <x:c r="V2063" s="24" t="n">
        <x:f>IFERROR(F2063/J2063,0)-IFERROR(G2063/K2063,0)</x:f>
        <x:v>-0.5</x:v>
      </x:c>
      <x:c r="W2063" s="28" t="n">
        <x:f>L2063-M2063</x:f>
        <x:v>1</x:v>
      </x:c>
      <x:c r="X2063" s="24" t="n">
        <x:f>IFERROR(K2063/I2063,0)</x:f>
        <x:v>0.375</x:v>
      </x:c>
      <x:c r="Y2063" s="24" t="n">
        <x:f>IFERROR(G2063/I2063,0)</x:f>
        <x:v>0.25</x:v>
      </x:c>
      <x:c r="Z2063" s="24" t="n">
        <x:f>IFERROR(G2063/K2063,0)</x:f>
        <x:v>0.6666666666666666</x:v>
      </x:c>
      <x:c r="AA2063" s="24" t="n">
        <x:f>IFERROR(F2063/H2063,0)-IFERROR(G2063/I2063,0)</x:f>
        <x:v>-0.20652173913043478</x:v>
      </x:c>
      <x:c r="AB2063" s="28" t="n">
        <x:f>J2063-K2063</x:f>
        <x:v>3</x:v>
      </x:c>
      <x:c r="AC2063" s="32" t="n">
        <x:f>F2063-G2063</x:f>
        <x:v>-1</x:v>
      </x:c>
    </x:row>
    <x:row r="2064">
      <x:c r="A2064" s="4" t="str">
        <x:v>2023-24</x:v>
      </x:c>
      <x:c r="B2064" s="20" t="n">
        <x:v>45360</x:v>
      </x:c>
      <x:c r="C2064" s="4" t="str">
        <x:v>Luton</x:v>
      </x:c>
      <x:c r="D2064" s="4" t="str">
        <x:v>Crystal Palace</x:v>
      </x:c>
      <x:c r="E2064" s="4" t="str">
        <x:v>Away</x:v>
      </x:c>
      <x:c r="F2064" s="28" t="n">
        <x:v>1</x:v>
      </x:c>
      <x:c r="G2064" s="28" t="n">
        <x:v>1</x:v>
      </x:c>
      <x:c r="H2064" s="28" t="n">
        <x:v>8</x:v>
      </x:c>
      <x:c r="I2064" s="28" t="n">
        <x:v>21</x:v>
      </x:c>
      <x:c r="J2064" s="28" t="n">
        <x:v>2</x:v>
      </x:c>
      <x:c r="K2064" s="28" t="n">
        <x:v>4</x:v>
      </x:c>
      <x:c r="L2064" s="28" t="n">
        <x:v>6</x:v>
      </x:c>
      <x:c r="M2064" s="28" t="n">
        <x:v>8</x:v>
      </x:c>
      <x:c r="N2064" s="28" t="n">
        <x:v>3</x:v>
      </x:c>
      <x:c r="O2064" s="28" t="n">
        <x:v>0</x:v>
      </x:c>
      <x:c r="P2064" s="28" t="n">
        <x:v>1</x:v>
      </x:c>
      <x:c r="Q2064" s="24" t="n">
        <x:f>IFERROR(J2064/H2064,0)</x:f>
        <x:v>0.25</x:v>
      </x:c>
      <x:c r="R2064" s="24" t="n">
        <x:f>IFERROR(F2064/H2064,0)</x:f>
        <x:v>0.125</x:v>
      </x:c>
      <x:c r="S2064" s="24" t="n">
        <x:f>IFERROR(F2064/J2064,0)</x:f>
        <x:v>0.5</x:v>
      </x:c>
      <x:c r="T2064" s="28" t="n">
        <x:f>H2064-I2064</x:f>
        <x:v>-13</x:v>
      </x:c>
      <x:c r="U2064" s="24" t="n">
        <x:f>IFERROR(J2064/H2064,0)-IFERROR(K2064/I2064,0)</x:f>
        <x:v>0.059523809523809534</x:v>
      </x:c>
      <x:c r="V2064" s="24" t="n">
        <x:f>IFERROR(F2064/J2064,0)-IFERROR(G2064/K2064,0)</x:f>
        <x:v>0.25</x:v>
      </x:c>
      <x:c r="W2064" s="28" t="n">
        <x:f>L2064-M2064</x:f>
        <x:v>-2</x:v>
      </x:c>
      <x:c r="X2064" s="24" t="n">
        <x:f>IFERROR(K2064/I2064,0)</x:f>
        <x:v>0.19047619047619047</x:v>
      </x:c>
      <x:c r="Y2064" s="24" t="n">
        <x:f>IFERROR(G2064/I2064,0)</x:f>
        <x:v>0.047619047619047616</x:v>
      </x:c>
      <x:c r="Z2064" s="24" t="n">
        <x:f>IFERROR(G2064/K2064,0)</x:f>
        <x:v>0.25</x:v>
      </x:c>
      <x:c r="AA2064" s="24" t="n">
        <x:f>IFERROR(F2064/H2064,0)-IFERROR(G2064/I2064,0)</x:f>
        <x:v>0.07738095238095238</x:v>
      </x:c>
      <x:c r="AB2064" s="28" t="n">
        <x:f>J2064-K2064</x:f>
        <x:v>-2</x:v>
      </x:c>
      <x:c r="AC2064" s="32" t="n">
        <x:f>F2064-G2064</x:f>
        <x:v>0</x:v>
      </x:c>
    </x:row>
    <x:row r="2065">
      <x:c r="A2065" s="4" t="str">
        <x:v>2023-24</x:v>
      </x:c>
      <x:c r="B2065" s="20" t="n">
        <x:v>45360</x:v>
      </x:c>
      <x:c r="C2065" s="4" t="str">
        <x:v>Man United</x:v>
      </x:c>
      <x:c r="D2065" s="4" t="str">
        <x:v>Everton</x:v>
      </x:c>
      <x:c r="E2065" s="4" t="str">
        <x:v>Home</x:v>
      </x:c>
      <x:c r="F2065" s="28" t="n">
        <x:v>2</x:v>
      </x:c>
      <x:c r="G2065" s="28" t="n">
        <x:v>0</x:v>
      </x:c>
      <x:c r="H2065" s="28" t="n">
        <x:v>15</x:v>
      </x:c>
      <x:c r="I2065" s="28" t="n">
        <x:v>23</x:v>
      </x:c>
      <x:c r="J2065" s="28" t="n">
        <x:v>8</x:v>
      </x:c>
      <x:c r="K2065" s="28" t="n">
        <x:v>6</x:v>
      </x:c>
      <x:c r="L2065" s="28" t="n">
        <x:v>5</x:v>
      </x:c>
      <x:c r="M2065" s="28" t="n">
        <x:v>8</x:v>
      </x:c>
      <x:c r="N2065" s="28" t="n">
        <x:v>1</x:v>
      </x:c>
      <x:c r="O2065" s="28" t="n">
        <x:v>0</x:v>
      </x:c>
      <x:c r="P2065" s="28" t="n">
        <x:v>3</x:v>
      </x:c>
      <x:c r="Q2065" s="24" t="n">
        <x:f>IFERROR(J2065/H2065,0)</x:f>
        <x:v>0.5333333333333333</x:v>
      </x:c>
      <x:c r="R2065" s="24" t="n">
        <x:f>IFERROR(F2065/H2065,0)</x:f>
        <x:v>0.13333333333333333</x:v>
      </x:c>
      <x:c r="S2065" s="24" t="n">
        <x:f>IFERROR(F2065/J2065,0)</x:f>
        <x:v>0.25</x:v>
      </x:c>
      <x:c r="T2065" s="28" t="n">
        <x:f>H2065-I2065</x:f>
        <x:v>-8</x:v>
      </x:c>
      <x:c r="U2065" s="24" t="n">
        <x:f>IFERROR(J2065/H2065,0)-IFERROR(K2065/I2065,0)</x:f>
        <x:v>0.27246376811594203</x:v>
      </x:c>
      <x:c r="V2065" s="24" t="n">
        <x:f>IFERROR(F2065/J2065,0)-IFERROR(G2065/K2065,0)</x:f>
        <x:v>0.25</x:v>
      </x:c>
      <x:c r="W2065" s="28" t="n">
        <x:f>L2065-M2065</x:f>
        <x:v>-3</x:v>
      </x:c>
      <x:c r="X2065" s="24" t="n">
        <x:f>IFERROR(K2065/I2065,0)</x:f>
        <x:v>0.2608695652173913</x:v>
      </x:c>
      <x:c r="Y2065" s="24" t="n">
        <x:f>IFERROR(G2065/I2065,0)</x:f>
        <x:v>0</x:v>
      </x:c>
      <x:c r="Z2065" s="24" t="n">
        <x:f>IFERROR(G2065/K2065,0)</x:f>
        <x:v>0</x:v>
      </x:c>
      <x:c r="AA2065" s="24" t="n">
        <x:f>IFERROR(F2065/H2065,0)-IFERROR(G2065/I2065,0)</x:f>
        <x:v>0.13333333333333333</x:v>
      </x:c>
      <x:c r="AB2065" s="28" t="n">
        <x:f>J2065-K2065</x:f>
        <x:v>2</x:v>
      </x:c>
      <x:c r="AC2065" s="32" t="n">
        <x:f>F2065-G2065</x:f>
        <x:v>2</x:v>
      </x:c>
    </x:row>
    <x:row r="2066">
      <x:c r="A2066" s="4" t="str">
        <x:v>2023-24</x:v>
      </x:c>
      <x:c r="B2066" s="20" t="n">
        <x:v>45360</x:v>
      </x:c>
      <x:c r="C2066" s="4" t="str">
        <x:v>Sheffield United</x:v>
      </x:c>
      <x:c r="D2066" s="4" t="str">
        <x:v>Bournemouth</x:v>
      </x:c>
      <x:c r="E2066" s="4" t="str">
        <x:v>Away</x:v>
      </x:c>
      <x:c r="F2066" s="28" t="n">
        <x:v>2</x:v>
      </x:c>
      <x:c r="G2066" s="28" t="n">
        <x:v>2</x:v>
      </x:c>
      <x:c r="H2066" s="28" t="n">
        <x:v>13</x:v>
      </x:c>
      <x:c r="I2066" s="28" t="n">
        <x:v>32</x:v>
      </x:c>
      <x:c r="J2066" s="28" t="n">
        <x:v>9</x:v>
      </x:c>
      <x:c r="K2066" s="28" t="n">
        <x:v>12</x:v>
      </x:c>
      <x:c r="L2066" s="28" t="n">
        <x:v>3</x:v>
      </x:c>
      <x:c r="M2066" s="28" t="n">
        <x:v>10</x:v>
      </x:c>
      <x:c r="N2066" s="28" t="n">
        <x:v>5</x:v>
      </x:c>
      <x:c r="O2066" s="28" t="n">
        <x:v>0</x:v>
      </x:c>
      <x:c r="P2066" s="28" t="n">
        <x:v>1</x:v>
      </x:c>
      <x:c r="Q2066" s="24" t="n">
        <x:f>IFERROR(J2066/H2066,0)</x:f>
        <x:v>0.6923076923076923</x:v>
      </x:c>
      <x:c r="R2066" s="24" t="n">
        <x:f>IFERROR(F2066/H2066,0)</x:f>
        <x:v>0.15384615384615385</x:v>
      </x:c>
      <x:c r="S2066" s="24" t="n">
        <x:f>IFERROR(F2066/J2066,0)</x:f>
        <x:v>0.2222222222222222</x:v>
      </x:c>
      <x:c r="T2066" s="28" t="n">
        <x:f>H2066-I2066</x:f>
        <x:v>-19</x:v>
      </x:c>
      <x:c r="U2066" s="24" t="n">
        <x:f>IFERROR(J2066/H2066,0)-IFERROR(K2066/I2066,0)</x:f>
        <x:v>0.3173076923076923</x:v>
      </x:c>
      <x:c r="V2066" s="24" t="n">
        <x:f>IFERROR(F2066/J2066,0)-IFERROR(G2066/K2066,0)</x:f>
        <x:v>0.05555555555555555</x:v>
      </x:c>
      <x:c r="W2066" s="28" t="n">
        <x:f>L2066-M2066</x:f>
        <x:v>-7</x:v>
      </x:c>
      <x:c r="X2066" s="24" t="n">
        <x:f>IFERROR(K2066/I2066,0)</x:f>
        <x:v>0.375</x:v>
      </x:c>
      <x:c r="Y2066" s="24" t="n">
        <x:f>IFERROR(G2066/I2066,0)</x:f>
        <x:v>0.0625</x:v>
      </x:c>
      <x:c r="Z2066" s="24" t="n">
        <x:f>IFERROR(G2066/K2066,0)</x:f>
        <x:v>0.16666666666666666</x:v>
      </x:c>
      <x:c r="AA2066" s="24" t="n">
        <x:f>IFERROR(F2066/H2066,0)-IFERROR(G2066/I2066,0)</x:f>
        <x:v>0.09134615384615385</x:v>
      </x:c>
      <x:c r="AB2066" s="28" t="n">
        <x:f>J2066-K2066</x:f>
        <x:v>-3</x:v>
      </x:c>
      <x:c r="AC2066" s="32" t="n">
        <x:f>F2066-G2066</x:f>
        <x:v>0</x:v>
      </x:c>
    </x:row>
    <x:row r="2067">
      <x:c r="A2067" s="4" t="str">
        <x:v>2023-24</x:v>
      </x:c>
      <x:c r="B2067" s="20" t="n">
        <x:v>45360</x:v>
      </x:c>
      <x:c r="C2067" s="4" t="str">
        <x:v>Wolves</x:v>
      </x:c>
      <x:c r="D2067" s="4" t="str">
        <x:v>Fulham</x:v>
      </x:c>
      <x:c r="E2067" s="4" t="str">
        <x:v>Home</x:v>
      </x:c>
      <x:c r="F2067" s="28" t="n">
        <x:v>2</x:v>
      </x:c>
      <x:c r="G2067" s="28" t="n">
        <x:v>1</x:v>
      </x:c>
      <x:c r="H2067" s="28" t="n">
        <x:v>8</x:v>
      </x:c>
      <x:c r="I2067" s="28" t="n">
        <x:v>23</x:v>
      </x:c>
      <x:c r="J2067" s="28" t="n">
        <x:v>3</x:v>
      </x:c>
      <x:c r="K2067" s="28" t="n">
        <x:v>6</x:v>
      </x:c>
      <x:c r="L2067" s="28" t="n">
        <x:v>3</x:v>
      </x:c>
      <x:c r="M2067" s="28" t="n">
        <x:v>4</x:v>
      </x:c>
      <x:c r="N2067" s="28" t="n">
        <x:v>2</x:v>
      </x:c>
      <x:c r="O2067" s="28" t="n">
        <x:v>0</x:v>
      </x:c>
      <x:c r="P2067" s="28" t="n">
        <x:v>3</x:v>
      </x:c>
      <x:c r="Q2067" s="24" t="n">
        <x:f>IFERROR(J2067/H2067,0)</x:f>
        <x:v>0.375</x:v>
      </x:c>
      <x:c r="R2067" s="24" t="n">
        <x:f>IFERROR(F2067/H2067,0)</x:f>
        <x:v>0.25</x:v>
      </x:c>
      <x:c r="S2067" s="24" t="n">
        <x:f>IFERROR(F2067/J2067,0)</x:f>
        <x:v>0.6666666666666666</x:v>
      </x:c>
      <x:c r="T2067" s="28" t="n">
        <x:f>H2067-I2067</x:f>
        <x:v>-15</x:v>
      </x:c>
      <x:c r="U2067" s="24" t="n">
        <x:f>IFERROR(J2067/H2067,0)-IFERROR(K2067/I2067,0)</x:f>
        <x:v>0.1141304347826087</x:v>
      </x:c>
      <x:c r="V2067" s="24" t="n">
        <x:f>IFERROR(F2067/J2067,0)-IFERROR(G2067/K2067,0)</x:f>
        <x:v>0.5</x:v>
      </x:c>
      <x:c r="W2067" s="28" t="n">
        <x:f>L2067-M2067</x:f>
        <x:v>-1</x:v>
      </x:c>
      <x:c r="X2067" s="24" t="n">
        <x:f>IFERROR(K2067/I2067,0)</x:f>
        <x:v>0.2608695652173913</x:v>
      </x:c>
      <x:c r="Y2067" s="24" t="n">
        <x:f>IFERROR(G2067/I2067,0)</x:f>
        <x:v>0.043478260869565216</x:v>
      </x:c>
      <x:c r="Z2067" s="24" t="n">
        <x:f>IFERROR(G2067/K2067,0)</x:f>
        <x:v>0.16666666666666666</x:v>
      </x:c>
      <x:c r="AA2067" s="24" t="n">
        <x:f>IFERROR(F2067/H2067,0)-IFERROR(G2067/I2067,0)</x:f>
        <x:v>0.20652173913043478</x:v>
      </x:c>
      <x:c r="AB2067" s="28" t="n">
        <x:f>J2067-K2067</x:f>
        <x:v>-3</x:v>
      </x:c>
      <x:c r="AC2067" s="32" t="n">
        <x:f>F2067-G2067</x:f>
        <x:v>1</x:v>
      </x:c>
    </x:row>
    <x:row r="2068">
      <x:c r="A2068" s="4" t="str">
        <x:v>2023-24</x:v>
      </x:c>
      <x:c r="B2068" s="20" t="n">
        <x:v>45361</x:v>
      </x:c>
      <x:c r="C2068" s="4" t="str">
        <x:v>Aston Villa</x:v>
      </x:c>
      <x:c r="D2068" s="4" t="str">
        <x:v>Tottenham</x:v>
      </x:c>
      <x:c r="E2068" s="4" t="str">
        <x:v>Home</x:v>
      </x:c>
      <x:c r="F2068" s="28" t="n">
        <x:v>0</x:v>
      </x:c>
      <x:c r="G2068" s="28" t="n">
        <x:v>4</x:v>
      </x:c>
      <x:c r="H2068" s="28" t="n">
        <x:v>10</x:v>
      </x:c>
      <x:c r="I2068" s="28" t="n">
        <x:v>9</x:v>
      </x:c>
      <x:c r="J2068" s="28" t="n">
        <x:v>1</x:v>
      </x:c>
      <x:c r="K2068" s="28" t="n">
        <x:v>5</x:v>
      </x:c>
      <x:c r="L2068" s="28" t="n">
        <x:v>6</x:v>
      </x:c>
      <x:c r="M2068" s="28" t="n">
        <x:v>4</x:v>
      </x:c>
      <x:c r="N2068" s="28" t="n">
        <x:v>0</x:v>
      </x:c>
      <x:c r="O2068" s="28" t="n">
        <x:v>1</x:v>
      </x:c>
      <x:c r="P2068" s="28" t="n">
        <x:v>0</x:v>
      </x:c>
      <x:c r="Q2068" s="24" t="n">
        <x:f>IFERROR(J2068/H2068,0)</x:f>
        <x:v>0.1</x:v>
      </x:c>
      <x:c r="R2068" s="24" t="n">
        <x:f>IFERROR(F2068/H2068,0)</x:f>
        <x:v>0</x:v>
      </x:c>
      <x:c r="S2068" s="24" t="n">
        <x:f>IFERROR(F2068/J2068,0)</x:f>
        <x:v>0</x:v>
      </x:c>
      <x:c r="T2068" s="28" t="n">
        <x:f>H2068-I2068</x:f>
        <x:v>1</x:v>
      </x:c>
      <x:c r="U2068" s="24" t="n">
        <x:f>IFERROR(J2068/H2068,0)-IFERROR(K2068/I2068,0)</x:f>
        <x:v>-0.4555555555555556</x:v>
      </x:c>
      <x:c r="V2068" s="24" t="n">
        <x:f>IFERROR(F2068/J2068,0)-IFERROR(G2068/K2068,0)</x:f>
        <x:v>-0.8</x:v>
      </x:c>
      <x:c r="W2068" s="28" t="n">
        <x:f>L2068-M2068</x:f>
        <x:v>2</x:v>
      </x:c>
      <x:c r="X2068" s="24" t="n">
        <x:f>IFERROR(K2068/I2068,0)</x:f>
        <x:v>0.5555555555555556</x:v>
      </x:c>
      <x:c r="Y2068" s="24" t="n">
        <x:f>IFERROR(G2068/I2068,0)</x:f>
        <x:v>0.4444444444444444</x:v>
      </x:c>
      <x:c r="Z2068" s="24" t="n">
        <x:f>IFERROR(G2068/K2068,0)</x:f>
        <x:v>0.8</x:v>
      </x:c>
      <x:c r="AA2068" s="24" t="n">
        <x:f>IFERROR(F2068/H2068,0)-IFERROR(G2068/I2068,0)</x:f>
        <x:v>-0.4444444444444444</x:v>
      </x:c>
      <x:c r="AB2068" s="28" t="n">
        <x:f>J2068-K2068</x:f>
        <x:v>-4</x:v>
      </x:c>
      <x:c r="AC2068" s="32" t="n">
        <x:f>F2068-G2068</x:f>
        <x:v>-4</x:v>
      </x:c>
    </x:row>
    <x:row r="2069">
      <x:c r="A2069" s="4" t="str">
        <x:v>2023-24</x:v>
      </x:c>
      <x:c r="B2069" s="20" t="n">
        <x:v>45361</x:v>
      </x:c>
      <x:c r="C2069" s="4" t="str">
        <x:v>Brighton</x:v>
      </x:c>
      <x:c r="D2069" s="4" t="str">
        <x:v>Nott'm Forest</x:v>
      </x:c>
      <x:c r="E2069" s="4" t="str">
        <x:v>Home</x:v>
      </x:c>
      <x:c r="F2069" s="28" t="n">
        <x:v>1</x:v>
      </x:c>
      <x:c r="G2069" s="28" t="n">
        <x:v>0</x:v>
      </x:c>
      <x:c r="H2069" s="28" t="n">
        <x:v>10</x:v>
      </x:c>
      <x:c r="I2069" s="28" t="n">
        <x:v>9</x:v>
      </x:c>
      <x:c r="J2069" s="28" t="n">
        <x:v>3</x:v>
      </x:c>
      <x:c r="K2069" s="28" t="n">
        <x:v>4</x:v>
      </x:c>
      <x:c r="L2069" s="28" t="n">
        <x:v>6</x:v>
      </x:c>
      <x:c r="M2069" s="28" t="n">
        <x:v>3</x:v>
      </x:c>
      <x:c r="N2069" s="28" t="n">
        <x:v>4</x:v>
      </x:c>
      <x:c r="O2069" s="28" t="n">
        <x:v>0</x:v>
      </x:c>
      <x:c r="P2069" s="28" t="n">
        <x:v>3</x:v>
      </x:c>
      <x:c r="Q2069" s="24" t="n">
        <x:f>IFERROR(J2069/H2069,0)</x:f>
        <x:v>0.3</x:v>
      </x:c>
      <x:c r="R2069" s="24" t="n">
        <x:f>IFERROR(F2069/H2069,0)</x:f>
        <x:v>0.1</x:v>
      </x:c>
      <x:c r="S2069" s="24" t="n">
        <x:f>IFERROR(F2069/J2069,0)</x:f>
        <x:v>0.3333333333333333</x:v>
      </x:c>
      <x:c r="T2069" s="28" t="n">
        <x:f>H2069-I2069</x:f>
        <x:v>1</x:v>
      </x:c>
      <x:c r="U2069" s="24" t="n">
        <x:f>IFERROR(J2069/H2069,0)-IFERROR(K2069/I2069,0)</x:f>
        <x:v>-0.14444444444444443</x:v>
      </x:c>
      <x:c r="V2069" s="24" t="n">
        <x:f>IFERROR(F2069/J2069,0)-IFERROR(G2069/K2069,0)</x:f>
        <x:v>0.3333333333333333</x:v>
      </x:c>
      <x:c r="W2069" s="28" t="n">
        <x:f>L2069-M2069</x:f>
        <x:v>3</x:v>
      </x:c>
      <x:c r="X2069" s="24" t="n">
        <x:f>IFERROR(K2069/I2069,0)</x:f>
        <x:v>0.4444444444444444</x:v>
      </x:c>
      <x:c r="Y2069" s="24" t="n">
        <x:f>IFERROR(G2069/I2069,0)</x:f>
        <x:v>0</x:v>
      </x:c>
      <x:c r="Z2069" s="24" t="n">
        <x:f>IFERROR(G2069/K2069,0)</x:f>
        <x:v>0</x:v>
      </x:c>
      <x:c r="AA2069" s="24" t="n">
        <x:f>IFERROR(F2069/H2069,0)-IFERROR(G2069/I2069,0)</x:f>
        <x:v>0.1</x:v>
      </x:c>
      <x:c r="AB2069" s="28" t="n">
        <x:f>J2069-K2069</x:f>
        <x:v>-1</x:v>
      </x:c>
      <x:c r="AC2069" s="32" t="n">
        <x:f>F2069-G2069</x:f>
        <x:v>1</x:v>
      </x:c>
    </x:row>
    <x:row r="2070">
      <x:c r="A2070" s="4" t="str">
        <x:v>2023-24</x:v>
      </x:c>
      <x:c r="B2070" s="20" t="n">
        <x:v>45361</x:v>
      </x:c>
      <x:c r="C2070" s="4" t="str">
        <x:v>Burnley</x:v>
      </x:c>
      <x:c r="D2070" s="4" t="str">
        <x:v>West Ham</x:v>
      </x:c>
      <x:c r="E2070" s="4" t="str">
        <x:v>Away</x:v>
      </x:c>
      <x:c r="F2070" s="28" t="n">
        <x:v>2</x:v>
      </x:c>
      <x:c r="G2070" s="28" t="n">
        <x:v>2</x:v>
      </x:c>
      <x:c r="H2070" s="28" t="n">
        <x:v>11</x:v>
      </x:c>
      <x:c r="I2070" s="28" t="n">
        <x:v>22</x:v>
      </x:c>
      <x:c r="J2070" s="28" t="n">
        <x:v>4</x:v>
      </x:c>
      <x:c r="K2070" s="28" t="n">
        <x:v>4</x:v>
      </x:c>
      <x:c r="L2070" s="28" t="n">
        <x:v>4</x:v>
      </x:c>
      <x:c r="M2070" s="28" t="n">
        <x:v>4</x:v>
      </x:c>
      <x:c r="N2070" s="28" t="n">
        <x:v>4</x:v>
      </x:c>
      <x:c r="O2070" s="28" t="n">
        <x:v>0</x:v>
      </x:c>
      <x:c r="P2070" s="28" t="n">
        <x:v>1</x:v>
      </x:c>
      <x:c r="Q2070" s="24" t="n">
        <x:f>IFERROR(J2070/H2070,0)</x:f>
        <x:v>0.36363636363636365</x:v>
      </x:c>
      <x:c r="R2070" s="24" t="n">
        <x:f>IFERROR(F2070/H2070,0)</x:f>
        <x:v>0.18181818181818182</x:v>
      </x:c>
      <x:c r="S2070" s="24" t="n">
        <x:f>IFERROR(F2070/J2070,0)</x:f>
        <x:v>0.5</x:v>
      </x:c>
      <x:c r="T2070" s="28" t="n">
        <x:f>H2070-I2070</x:f>
        <x:v>-11</x:v>
      </x:c>
      <x:c r="U2070" s="24" t="n">
        <x:f>IFERROR(J2070/H2070,0)-IFERROR(K2070/I2070,0)</x:f>
        <x:v>0.18181818181818182</x:v>
      </x:c>
      <x:c r="V2070" s="24" t="n">
        <x:f>IFERROR(F2070/J2070,0)-IFERROR(G2070/K2070,0)</x:f>
        <x:v>0</x:v>
      </x:c>
      <x:c r="W2070" s="28" t="n">
        <x:f>L2070-M2070</x:f>
        <x:v>0</x:v>
      </x:c>
      <x:c r="X2070" s="24" t="n">
        <x:f>IFERROR(K2070/I2070,0)</x:f>
        <x:v>0.18181818181818182</x:v>
      </x:c>
      <x:c r="Y2070" s="24" t="n">
        <x:f>IFERROR(G2070/I2070,0)</x:f>
        <x:v>0.09090909090909091</x:v>
      </x:c>
      <x:c r="Z2070" s="24" t="n">
        <x:f>IFERROR(G2070/K2070,0)</x:f>
        <x:v>0.5</x:v>
      </x:c>
      <x:c r="AA2070" s="24" t="n">
        <x:f>IFERROR(F2070/H2070,0)-IFERROR(G2070/I2070,0)</x:f>
        <x:v>0.09090909090909091</x:v>
      </x:c>
      <x:c r="AB2070" s="28" t="n">
        <x:f>J2070-K2070</x:f>
        <x:v>0</x:v>
      </x:c>
      <x:c r="AC2070" s="32" t="n">
        <x:f>F2070-G2070</x:f>
        <x:v>0</x:v>
      </x:c>
    </x:row>
    <x:row r="2071">
      <x:c r="A2071" s="4" t="str">
        <x:v>2023-24</x:v>
      </x:c>
      <x:c r="B2071" s="20" t="n">
        <x:v>45361</x:v>
      </x:c>
      <x:c r="C2071" s="4" t="str">
        <x:v>Liverpool</x:v>
      </x:c>
      <x:c r="D2071" s="4" t="str">
        <x:v>Man City</x:v>
      </x:c>
      <x:c r="E2071" s="4" t="str">
        <x:v>Home</x:v>
      </x:c>
      <x:c r="F2071" s="28" t="n">
        <x:v>1</x:v>
      </x:c>
      <x:c r="G2071" s="28" t="n">
        <x:v>1</x:v>
      </x:c>
      <x:c r="H2071" s="28" t="n">
        <x:v>19</x:v>
      </x:c>
      <x:c r="I2071" s="28" t="n">
        <x:v>10</x:v>
      </x:c>
      <x:c r="J2071" s="28" t="n">
        <x:v>6</x:v>
      </x:c>
      <x:c r="K2071" s="28" t="n">
        <x:v>6</x:v>
      </x:c>
      <x:c r="L2071" s="28" t="n">
        <x:v>7</x:v>
      </x:c>
      <x:c r="M2071" s="28" t="n">
        <x:v>4</x:v>
      </x:c>
      <x:c r="N2071" s="28" t="n">
        <x:v>0</x:v>
      </x:c>
      <x:c r="O2071" s="28" t="n">
        <x:v>0</x:v>
      </x:c>
      <x:c r="P2071" s="28" t="n">
        <x:v>1</x:v>
      </x:c>
      <x:c r="Q2071" s="24" t="n">
        <x:f>IFERROR(J2071/H2071,0)</x:f>
        <x:v>0.3157894736842105</x:v>
      </x:c>
      <x:c r="R2071" s="24" t="n">
        <x:f>IFERROR(F2071/H2071,0)</x:f>
        <x:v>0.05263157894736842</x:v>
      </x:c>
      <x:c r="S2071" s="24" t="n">
        <x:f>IFERROR(F2071/J2071,0)</x:f>
        <x:v>0.16666666666666666</x:v>
      </x:c>
      <x:c r="T2071" s="28" t="n">
        <x:f>H2071-I2071</x:f>
        <x:v>9</x:v>
      </x:c>
      <x:c r="U2071" s="24" t="n">
        <x:f>IFERROR(J2071/H2071,0)-IFERROR(K2071/I2071,0)</x:f>
        <x:v>-0.28421052631578947</x:v>
      </x:c>
      <x:c r="V2071" s="24" t="n">
        <x:f>IFERROR(F2071/J2071,0)-IFERROR(G2071/K2071,0)</x:f>
        <x:v>0</x:v>
      </x:c>
      <x:c r="W2071" s="28" t="n">
        <x:f>L2071-M2071</x:f>
        <x:v>3</x:v>
      </x:c>
      <x:c r="X2071" s="24" t="n">
        <x:f>IFERROR(K2071/I2071,0)</x:f>
        <x:v>0.6</x:v>
      </x:c>
      <x:c r="Y2071" s="24" t="n">
        <x:f>IFERROR(G2071/I2071,0)</x:f>
        <x:v>0.1</x:v>
      </x:c>
      <x:c r="Z2071" s="24" t="n">
        <x:f>IFERROR(G2071/K2071,0)</x:f>
        <x:v>0.16666666666666666</x:v>
      </x:c>
      <x:c r="AA2071" s="24" t="n">
        <x:f>IFERROR(F2071/H2071,0)-IFERROR(G2071/I2071,0)</x:f>
        <x:v>-0.04736842105263159</x:v>
      </x:c>
      <x:c r="AB2071" s="28" t="n">
        <x:f>J2071-K2071</x:f>
        <x:v>0</x:v>
      </x:c>
      <x:c r="AC2071" s="32" t="n">
        <x:f>F2071-G2071</x:f>
        <x:v>0</x:v>
      </x:c>
    </x:row>
    <x:row r="2072">
      <x:c r="A2072" s="4" t="str">
        <x:v>2023-24</x:v>
      </x:c>
      <x:c r="B2072" s="20" t="n">
        <x:v>45361</x:v>
      </x:c>
      <x:c r="C2072" s="4" t="str">
        <x:v>Man City</x:v>
      </x:c>
      <x:c r="D2072" s="4" t="str">
        <x:v>Liverpool</x:v>
      </x:c>
      <x:c r="E2072" s="4" t="str">
        <x:v>Away</x:v>
      </x:c>
      <x:c r="F2072" s="28" t="n">
        <x:v>1</x:v>
      </x:c>
      <x:c r="G2072" s="28" t="n">
        <x:v>1</x:v>
      </x:c>
      <x:c r="H2072" s="28" t="n">
        <x:v>10</x:v>
      </x:c>
      <x:c r="I2072" s="28" t="n">
        <x:v>19</x:v>
      </x:c>
      <x:c r="J2072" s="28" t="n">
        <x:v>6</x:v>
      </x:c>
      <x:c r="K2072" s="28" t="n">
        <x:v>6</x:v>
      </x:c>
      <x:c r="L2072" s="28" t="n">
        <x:v>4</x:v>
      </x:c>
      <x:c r="M2072" s="28" t="n">
        <x:v>7</x:v>
      </x:c>
      <x:c r="N2072" s="28" t="n">
        <x:v>3</x:v>
      </x:c>
      <x:c r="O2072" s="28" t="n">
        <x:v>0</x:v>
      </x:c>
      <x:c r="P2072" s="28" t="n">
        <x:v>1</x:v>
      </x:c>
      <x:c r="Q2072" s="24" t="n">
        <x:f>IFERROR(J2072/H2072,0)</x:f>
        <x:v>0.6</x:v>
      </x:c>
      <x:c r="R2072" s="24" t="n">
        <x:f>IFERROR(F2072/H2072,0)</x:f>
        <x:v>0.1</x:v>
      </x:c>
      <x:c r="S2072" s="24" t="n">
        <x:f>IFERROR(F2072/J2072,0)</x:f>
        <x:v>0.16666666666666666</x:v>
      </x:c>
      <x:c r="T2072" s="28" t="n">
        <x:f>H2072-I2072</x:f>
        <x:v>-9</x:v>
      </x:c>
      <x:c r="U2072" s="24" t="n">
        <x:f>IFERROR(J2072/H2072,0)-IFERROR(K2072/I2072,0)</x:f>
        <x:v>0.28421052631578947</x:v>
      </x:c>
      <x:c r="V2072" s="24" t="n">
        <x:f>IFERROR(F2072/J2072,0)-IFERROR(G2072/K2072,0)</x:f>
        <x:v>0</x:v>
      </x:c>
      <x:c r="W2072" s="28" t="n">
        <x:f>L2072-M2072</x:f>
        <x:v>-3</x:v>
      </x:c>
      <x:c r="X2072" s="24" t="n">
        <x:f>IFERROR(K2072/I2072,0)</x:f>
        <x:v>0.3157894736842105</x:v>
      </x:c>
      <x:c r="Y2072" s="24" t="n">
        <x:f>IFERROR(G2072/I2072,0)</x:f>
        <x:v>0.05263157894736842</x:v>
      </x:c>
      <x:c r="Z2072" s="24" t="n">
        <x:f>IFERROR(G2072/K2072,0)</x:f>
        <x:v>0.16666666666666666</x:v>
      </x:c>
      <x:c r="AA2072" s="24" t="n">
        <x:f>IFERROR(F2072/H2072,0)-IFERROR(G2072/I2072,0)</x:f>
        <x:v>0.04736842105263159</x:v>
      </x:c>
      <x:c r="AB2072" s="28" t="n">
        <x:f>J2072-K2072</x:f>
        <x:v>0</x:v>
      </x:c>
      <x:c r="AC2072" s="32" t="n">
        <x:f>F2072-G2072</x:f>
        <x:v>0</x:v>
      </x:c>
    </x:row>
    <x:row r="2073">
      <x:c r="A2073" s="4" t="str">
        <x:v>2023-24</x:v>
      </x:c>
      <x:c r="B2073" s="20" t="n">
        <x:v>45361</x:v>
      </x:c>
      <x:c r="C2073" s="4" t="str">
        <x:v>Nott'm Forest</x:v>
      </x:c>
      <x:c r="D2073" s="4" t="str">
        <x:v>Brighton</x:v>
      </x:c>
      <x:c r="E2073" s="4" t="str">
        <x:v>Away</x:v>
      </x:c>
      <x:c r="F2073" s="28" t="n">
        <x:v>0</x:v>
      </x:c>
      <x:c r="G2073" s="28" t="n">
        <x:v>1</x:v>
      </x:c>
      <x:c r="H2073" s="28" t="n">
        <x:v>9</x:v>
      </x:c>
      <x:c r="I2073" s="28" t="n">
        <x:v>10</x:v>
      </x:c>
      <x:c r="J2073" s="28" t="n">
        <x:v>4</x:v>
      </x:c>
      <x:c r="K2073" s="28" t="n">
        <x:v>3</x:v>
      </x:c>
      <x:c r="L2073" s="28" t="n">
        <x:v>3</x:v>
      </x:c>
      <x:c r="M2073" s="28" t="n">
        <x:v>6</x:v>
      </x:c>
      <x:c r="N2073" s="28" t="n">
        <x:v>4</x:v>
      </x:c>
      <x:c r="O2073" s="28" t="n">
        <x:v>0</x:v>
      </x:c>
      <x:c r="P2073" s="28" t="n">
        <x:v>0</x:v>
      </x:c>
      <x:c r="Q2073" s="24" t="n">
        <x:f>IFERROR(J2073/H2073,0)</x:f>
        <x:v>0.4444444444444444</x:v>
      </x:c>
      <x:c r="R2073" s="24" t="n">
        <x:f>IFERROR(F2073/H2073,0)</x:f>
        <x:v>0</x:v>
      </x:c>
      <x:c r="S2073" s="24" t="n">
        <x:f>IFERROR(F2073/J2073,0)</x:f>
        <x:v>0</x:v>
      </x:c>
      <x:c r="T2073" s="28" t="n">
        <x:f>H2073-I2073</x:f>
        <x:v>-1</x:v>
      </x:c>
      <x:c r="U2073" s="24" t="n">
        <x:f>IFERROR(J2073/H2073,0)-IFERROR(K2073/I2073,0)</x:f>
        <x:v>0.14444444444444443</x:v>
      </x:c>
      <x:c r="V2073" s="24" t="n">
        <x:f>IFERROR(F2073/J2073,0)-IFERROR(G2073/K2073,0)</x:f>
        <x:v>-0.3333333333333333</x:v>
      </x:c>
      <x:c r="W2073" s="28" t="n">
        <x:f>L2073-M2073</x:f>
        <x:v>-3</x:v>
      </x:c>
      <x:c r="X2073" s="24" t="n">
        <x:f>IFERROR(K2073/I2073,0)</x:f>
        <x:v>0.3</x:v>
      </x:c>
      <x:c r="Y2073" s="24" t="n">
        <x:f>IFERROR(G2073/I2073,0)</x:f>
        <x:v>0.1</x:v>
      </x:c>
      <x:c r="Z2073" s="24" t="n">
        <x:f>IFERROR(G2073/K2073,0)</x:f>
        <x:v>0.3333333333333333</x:v>
      </x:c>
      <x:c r="AA2073" s="24" t="n">
        <x:f>IFERROR(F2073/H2073,0)-IFERROR(G2073/I2073,0)</x:f>
        <x:v>-0.1</x:v>
      </x:c>
      <x:c r="AB2073" s="28" t="n">
        <x:f>J2073-K2073</x:f>
        <x:v>1</x:v>
      </x:c>
      <x:c r="AC2073" s="32" t="n">
        <x:f>F2073-G2073</x:f>
        <x:v>-1</x:v>
      </x:c>
    </x:row>
    <x:row r="2074">
      <x:c r="A2074" s="4" t="str">
        <x:v>2023-24</x:v>
      </x:c>
      <x:c r="B2074" s="20" t="n">
        <x:v>45361</x:v>
      </x:c>
      <x:c r="C2074" s="4" t="str">
        <x:v>Tottenham</x:v>
      </x:c>
      <x:c r="D2074" s="4" t="str">
        <x:v>Aston Villa</x:v>
      </x:c>
      <x:c r="E2074" s="4" t="str">
        <x:v>Away</x:v>
      </x:c>
      <x:c r="F2074" s="28" t="n">
        <x:v>4</x:v>
      </x:c>
      <x:c r="G2074" s="28" t="n">
        <x:v>0</x:v>
      </x:c>
      <x:c r="H2074" s="28" t="n">
        <x:v>9</x:v>
      </x:c>
      <x:c r="I2074" s="28" t="n">
        <x:v>10</x:v>
      </x:c>
      <x:c r="J2074" s="28" t="n">
        <x:v>5</x:v>
      </x:c>
      <x:c r="K2074" s="28" t="n">
        <x:v>1</x:v>
      </x:c>
      <x:c r="L2074" s="28" t="n">
        <x:v>4</x:v>
      </x:c>
      <x:c r="M2074" s="28" t="n">
        <x:v>6</x:v>
      </x:c>
      <x:c r="N2074" s="28" t="n">
        <x:v>2</x:v>
      </x:c>
      <x:c r="O2074" s="28" t="n">
        <x:v>0</x:v>
      </x:c>
      <x:c r="P2074" s="28" t="n">
        <x:v>3</x:v>
      </x:c>
      <x:c r="Q2074" s="24" t="n">
        <x:f>IFERROR(J2074/H2074,0)</x:f>
        <x:v>0.5555555555555556</x:v>
      </x:c>
      <x:c r="R2074" s="24" t="n">
        <x:f>IFERROR(F2074/H2074,0)</x:f>
        <x:v>0.4444444444444444</x:v>
      </x:c>
      <x:c r="S2074" s="24" t="n">
        <x:f>IFERROR(F2074/J2074,0)</x:f>
        <x:v>0.8</x:v>
      </x:c>
      <x:c r="T2074" s="28" t="n">
        <x:f>H2074-I2074</x:f>
        <x:v>-1</x:v>
      </x:c>
      <x:c r="U2074" s="24" t="n">
        <x:f>IFERROR(J2074/H2074,0)-IFERROR(K2074/I2074,0)</x:f>
        <x:v>0.4555555555555556</x:v>
      </x:c>
      <x:c r="V2074" s="24" t="n">
        <x:f>IFERROR(F2074/J2074,0)-IFERROR(G2074/K2074,0)</x:f>
        <x:v>0.8</x:v>
      </x:c>
      <x:c r="W2074" s="28" t="n">
        <x:f>L2074-M2074</x:f>
        <x:v>-2</x:v>
      </x:c>
      <x:c r="X2074" s="24" t="n">
        <x:f>IFERROR(K2074/I2074,0)</x:f>
        <x:v>0.1</x:v>
      </x:c>
      <x:c r="Y2074" s="24" t="n">
        <x:f>IFERROR(G2074/I2074,0)</x:f>
        <x:v>0</x:v>
      </x:c>
      <x:c r="Z2074" s="24" t="n">
        <x:f>IFERROR(G2074/K2074,0)</x:f>
        <x:v>0</x:v>
      </x:c>
      <x:c r="AA2074" s="24" t="n">
        <x:f>IFERROR(F2074/H2074,0)-IFERROR(G2074/I2074,0)</x:f>
        <x:v>0.4444444444444444</x:v>
      </x:c>
      <x:c r="AB2074" s="28" t="n">
        <x:f>J2074-K2074</x:f>
        <x:v>4</x:v>
      </x:c>
      <x:c r="AC2074" s="32" t="n">
        <x:f>F2074-G2074</x:f>
        <x:v>4</x:v>
      </x:c>
    </x:row>
    <x:row r="2075">
      <x:c r="A2075" s="4" t="str">
        <x:v>2023-24</x:v>
      </x:c>
      <x:c r="B2075" s="20" t="n">
        <x:v>45361</x:v>
      </x:c>
      <x:c r="C2075" s="4" t="str">
        <x:v>West Ham</x:v>
      </x:c>
      <x:c r="D2075" s="4" t="str">
        <x:v>Burnley</x:v>
      </x:c>
      <x:c r="E2075" s="4" t="str">
        <x:v>Home</x:v>
      </x:c>
      <x:c r="F2075" s="28" t="n">
        <x:v>2</x:v>
      </x:c>
      <x:c r="G2075" s="28" t="n">
        <x:v>2</x:v>
      </x:c>
      <x:c r="H2075" s="28" t="n">
        <x:v>22</x:v>
      </x:c>
      <x:c r="I2075" s="28" t="n">
        <x:v>11</x:v>
      </x:c>
      <x:c r="J2075" s="28" t="n">
        <x:v>4</x:v>
      </x:c>
      <x:c r="K2075" s="28" t="n">
        <x:v>4</x:v>
      </x:c>
      <x:c r="L2075" s="28" t="n">
        <x:v>4</x:v>
      </x:c>
      <x:c r="M2075" s="28" t="n">
        <x:v>4</x:v>
      </x:c>
      <x:c r="N2075" s="28" t="n">
        <x:v>2</x:v>
      </x:c>
      <x:c r="O2075" s="28" t="n">
        <x:v>0</x:v>
      </x:c>
      <x:c r="P2075" s="28" t="n">
        <x:v>1</x:v>
      </x:c>
      <x:c r="Q2075" s="24" t="n">
        <x:f>IFERROR(J2075/H2075,0)</x:f>
        <x:v>0.18181818181818182</x:v>
      </x:c>
      <x:c r="R2075" s="24" t="n">
        <x:f>IFERROR(F2075/H2075,0)</x:f>
        <x:v>0.09090909090909091</x:v>
      </x:c>
      <x:c r="S2075" s="24" t="n">
        <x:f>IFERROR(F2075/J2075,0)</x:f>
        <x:v>0.5</x:v>
      </x:c>
      <x:c r="T2075" s="28" t="n">
        <x:f>H2075-I2075</x:f>
        <x:v>11</x:v>
      </x:c>
      <x:c r="U2075" s="24" t="n">
        <x:f>IFERROR(J2075/H2075,0)-IFERROR(K2075/I2075,0)</x:f>
        <x:v>-0.18181818181818182</x:v>
      </x:c>
      <x:c r="V2075" s="24" t="n">
        <x:f>IFERROR(F2075/J2075,0)-IFERROR(G2075/K2075,0)</x:f>
        <x:v>0</x:v>
      </x:c>
      <x:c r="W2075" s="28" t="n">
        <x:f>L2075-M2075</x:f>
        <x:v>0</x:v>
      </x:c>
      <x:c r="X2075" s="24" t="n">
        <x:f>IFERROR(K2075/I2075,0)</x:f>
        <x:v>0.36363636363636365</x:v>
      </x:c>
      <x:c r="Y2075" s="24" t="n">
        <x:f>IFERROR(G2075/I2075,0)</x:f>
        <x:v>0.18181818181818182</x:v>
      </x:c>
      <x:c r="Z2075" s="24" t="n">
        <x:f>IFERROR(G2075/K2075,0)</x:f>
        <x:v>0.5</x:v>
      </x:c>
      <x:c r="AA2075" s="24" t="n">
        <x:f>IFERROR(F2075/H2075,0)-IFERROR(G2075/I2075,0)</x:f>
        <x:v>-0.09090909090909091</x:v>
      </x:c>
      <x:c r="AB2075" s="28" t="n">
        <x:f>J2075-K2075</x:f>
        <x:v>0</x:v>
      </x:c>
      <x:c r="AC2075" s="32" t="n">
        <x:f>F2075-G2075</x:f>
        <x:v>0</x:v>
      </x:c>
    </x:row>
    <x:row r="2076">
      <x:c r="A2076" s="4" t="str">
        <x:v>2023-24</x:v>
      </x:c>
      <x:c r="B2076" s="20" t="n">
        <x:v>45362</x:v>
      </x:c>
      <x:c r="C2076" s="4" t="str">
        <x:v>Chelsea</x:v>
      </x:c>
      <x:c r="D2076" s="4" t="str">
        <x:v>Newcastle</x:v>
      </x:c>
      <x:c r="E2076" s="4" t="str">
        <x:v>Home</x:v>
      </x:c>
      <x:c r="F2076" s="28" t="n">
        <x:v>3</x:v>
      </x:c>
      <x:c r="G2076" s="28" t="n">
        <x:v>2</x:v>
      </x:c>
      <x:c r="H2076" s="28" t="n">
        <x:v>12</x:v>
      </x:c>
      <x:c r="I2076" s="28" t="n">
        <x:v>11</x:v>
      </x:c>
      <x:c r="J2076" s="28" t="n">
        <x:v>8</x:v>
      </x:c>
      <x:c r="K2076" s="28" t="n">
        <x:v>3</x:v>
      </x:c>
      <x:c r="L2076" s="28" t="n">
        <x:v>0</x:v>
      </x:c>
      <x:c r="M2076" s="28" t="n">
        <x:v>4</x:v>
      </x:c>
      <x:c r="N2076" s="28" t="n">
        <x:v>3</x:v>
      </x:c>
      <x:c r="O2076" s="28" t="n">
        <x:v>0</x:v>
      </x:c>
      <x:c r="P2076" s="28" t="n">
        <x:v>3</x:v>
      </x:c>
      <x:c r="Q2076" s="24" t="n">
        <x:f>IFERROR(J2076/H2076,0)</x:f>
        <x:v>0.6666666666666666</x:v>
      </x:c>
      <x:c r="R2076" s="24" t="n">
        <x:f>IFERROR(F2076/H2076,0)</x:f>
        <x:v>0.25</x:v>
      </x:c>
      <x:c r="S2076" s="24" t="n">
        <x:f>IFERROR(F2076/J2076,0)</x:f>
        <x:v>0.375</x:v>
      </x:c>
      <x:c r="T2076" s="28" t="n">
        <x:f>H2076-I2076</x:f>
        <x:v>1</x:v>
      </x:c>
      <x:c r="U2076" s="24" t="n">
        <x:f>IFERROR(J2076/H2076,0)-IFERROR(K2076/I2076,0)</x:f>
        <x:v>0.3939393939393939</x:v>
      </x:c>
      <x:c r="V2076" s="24" t="n">
        <x:f>IFERROR(F2076/J2076,0)-IFERROR(G2076/K2076,0)</x:f>
        <x:v>-0.29166666666666663</x:v>
      </x:c>
      <x:c r="W2076" s="28" t="n">
        <x:f>L2076-M2076</x:f>
        <x:v>-4</x:v>
      </x:c>
      <x:c r="X2076" s="24" t="n">
        <x:f>IFERROR(K2076/I2076,0)</x:f>
        <x:v>0.2727272727272727</x:v>
      </x:c>
      <x:c r="Y2076" s="24" t="n">
        <x:f>IFERROR(G2076/I2076,0)</x:f>
        <x:v>0.18181818181818182</x:v>
      </x:c>
      <x:c r="Z2076" s="24" t="n">
        <x:f>IFERROR(G2076/K2076,0)</x:f>
        <x:v>0.6666666666666666</x:v>
      </x:c>
      <x:c r="AA2076" s="24" t="n">
        <x:f>IFERROR(F2076/H2076,0)-IFERROR(G2076/I2076,0)</x:f>
        <x:v>0.06818181818181818</x:v>
      </x:c>
      <x:c r="AB2076" s="28" t="n">
        <x:f>J2076-K2076</x:f>
        <x:v>5</x:v>
      </x:c>
      <x:c r="AC2076" s="32" t="n">
        <x:f>F2076-G2076</x:f>
        <x:v>1</x:v>
      </x:c>
    </x:row>
    <x:row r="2077">
      <x:c r="A2077" s="4" t="str">
        <x:v>2023-24</x:v>
      </x:c>
      <x:c r="B2077" s="20" t="n">
        <x:v>45362</x:v>
      </x:c>
      <x:c r="C2077" s="4" t="str">
        <x:v>Newcastle</x:v>
      </x:c>
      <x:c r="D2077" s="4" t="str">
        <x:v>Chelsea</x:v>
      </x:c>
      <x:c r="E2077" s="4" t="str">
        <x:v>Away</x:v>
      </x:c>
      <x:c r="F2077" s="28" t="n">
        <x:v>2</x:v>
      </x:c>
      <x:c r="G2077" s="28" t="n">
        <x:v>3</x:v>
      </x:c>
      <x:c r="H2077" s="28" t="n">
        <x:v>11</x:v>
      </x:c>
      <x:c r="I2077" s="28" t="n">
        <x:v>12</x:v>
      </x:c>
      <x:c r="J2077" s="28" t="n">
        <x:v>3</x:v>
      </x:c>
      <x:c r="K2077" s="28" t="n">
        <x:v>8</x:v>
      </x:c>
      <x:c r="L2077" s="28" t="n">
        <x:v>4</x:v>
      </x:c>
      <x:c r="M2077" s="28" t="n">
        <x:v>0</x:v>
      </x:c>
      <x:c r="N2077" s="28" t="n">
        <x:v>1</x:v>
      </x:c>
      <x:c r="O2077" s="28" t="n">
        <x:v>0</x:v>
      </x:c>
      <x:c r="P2077" s="28" t="n">
        <x:v>0</x:v>
      </x:c>
      <x:c r="Q2077" s="24" t="n">
        <x:f>IFERROR(J2077/H2077,0)</x:f>
        <x:v>0.2727272727272727</x:v>
      </x:c>
      <x:c r="R2077" s="24" t="n">
        <x:f>IFERROR(F2077/H2077,0)</x:f>
        <x:v>0.18181818181818182</x:v>
      </x:c>
      <x:c r="S2077" s="24" t="n">
        <x:f>IFERROR(F2077/J2077,0)</x:f>
        <x:v>0.6666666666666666</x:v>
      </x:c>
      <x:c r="T2077" s="28" t="n">
        <x:f>H2077-I2077</x:f>
        <x:v>-1</x:v>
      </x:c>
      <x:c r="U2077" s="24" t="n">
        <x:f>IFERROR(J2077/H2077,0)-IFERROR(K2077/I2077,0)</x:f>
        <x:v>-0.3939393939393939</x:v>
      </x:c>
      <x:c r="V2077" s="24" t="n">
        <x:f>IFERROR(F2077/J2077,0)-IFERROR(G2077/K2077,0)</x:f>
        <x:v>0.29166666666666663</x:v>
      </x:c>
      <x:c r="W2077" s="28" t="n">
        <x:f>L2077-M2077</x:f>
        <x:v>4</x:v>
      </x:c>
      <x:c r="X2077" s="24" t="n">
        <x:f>IFERROR(K2077/I2077,0)</x:f>
        <x:v>0.6666666666666666</x:v>
      </x:c>
      <x:c r="Y2077" s="24" t="n">
        <x:f>IFERROR(G2077/I2077,0)</x:f>
        <x:v>0.25</x:v>
      </x:c>
      <x:c r="Z2077" s="24" t="n">
        <x:f>IFERROR(G2077/K2077,0)</x:f>
        <x:v>0.375</x:v>
      </x:c>
      <x:c r="AA2077" s="24" t="n">
        <x:f>IFERROR(F2077/H2077,0)-IFERROR(G2077/I2077,0)</x:f>
        <x:v>-0.06818181818181818</x:v>
      </x:c>
      <x:c r="AB2077" s="28" t="n">
        <x:f>J2077-K2077</x:f>
        <x:v>-5</x:v>
      </x:c>
      <x:c r="AC2077" s="32" t="n">
        <x:f>F2077-G2077</x:f>
        <x:v>-1</x:v>
      </x:c>
    </x:row>
    <x:row r="2078">
      <x:c r="A2078" s="4" t="str">
        <x:v>2023-24</x:v>
      </x:c>
      <x:c r="B2078" s="20" t="n">
        <x:v>45364</x:v>
      </x:c>
      <x:c r="C2078" s="4" t="str">
        <x:v>Bournemouth</x:v>
      </x:c>
      <x:c r="D2078" s="4" t="str">
        <x:v>Luton</x:v>
      </x:c>
      <x:c r="E2078" s="4" t="str">
        <x:v>Home</x:v>
      </x:c>
      <x:c r="F2078" s="28" t="n">
        <x:v>4</x:v>
      </x:c>
      <x:c r="G2078" s="28" t="n">
        <x:v>3</x:v>
      </x:c>
      <x:c r="H2078" s="28" t="n">
        <x:v>24</x:v>
      </x:c>
      <x:c r="I2078" s="28" t="n">
        <x:v>8</x:v>
      </x:c>
      <x:c r="J2078" s="28" t="n">
        <x:v>10</x:v>
      </x:c>
      <x:c r="K2078" s="28" t="n">
        <x:v>4</x:v>
      </x:c>
      <x:c r="L2078" s="28" t="n">
        <x:v>11</x:v>
      </x:c>
      <x:c r="M2078" s="28" t="n">
        <x:v>3</x:v>
      </x:c>
      <x:c r="N2078" s="28" t="n">
        <x:v>1</x:v>
      </x:c>
      <x:c r="O2078" s="28" t="n">
        <x:v>0</x:v>
      </x:c>
      <x:c r="P2078" s="28" t="n">
        <x:v>3</x:v>
      </x:c>
      <x:c r="Q2078" s="24" t="n">
        <x:f>IFERROR(J2078/H2078,0)</x:f>
        <x:v>0.4166666666666667</x:v>
      </x:c>
      <x:c r="R2078" s="24" t="n">
        <x:f>IFERROR(F2078/H2078,0)</x:f>
        <x:v>0.16666666666666666</x:v>
      </x:c>
      <x:c r="S2078" s="24" t="n">
        <x:f>IFERROR(F2078/J2078,0)</x:f>
        <x:v>0.4</x:v>
      </x:c>
      <x:c r="T2078" s="28" t="n">
        <x:f>H2078-I2078</x:f>
        <x:v>16</x:v>
      </x:c>
      <x:c r="U2078" s="24" t="n">
        <x:f>IFERROR(J2078/H2078,0)-IFERROR(K2078/I2078,0)</x:f>
        <x:v>-0.08333333333333331</x:v>
      </x:c>
      <x:c r="V2078" s="24" t="n">
        <x:f>IFERROR(F2078/J2078,0)-IFERROR(G2078/K2078,0)</x:f>
        <x:v>-0.35</x:v>
      </x:c>
      <x:c r="W2078" s="28" t="n">
        <x:f>L2078-M2078</x:f>
        <x:v>8</x:v>
      </x:c>
      <x:c r="X2078" s="24" t="n">
        <x:f>IFERROR(K2078/I2078,0)</x:f>
        <x:v>0.5</x:v>
      </x:c>
      <x:c r="Y2078" s="24" t="n">
        <x:f>IFERROR(G2078/I2078,0)</x:f>
        <x:v>0.375</x:v>
      </x:c>
      <x:c r="Z2078" s="24" t="n">
        <x:f>IFERROR(G2078/K2078,0)</x:f>
        <x:v>0.75</x:v>
      </x:c>
      <x:c r="AA2078" s="24" t="n">
        <x:f>IFERROR(F2078/H2078,0)-IFERROR(G2078/I2078,0)</x:f>
        <x:v>-0.20833333333333334</x:v>
      </x:c>
      <x:c r="AB2078" s="28" t="n">
        <x:f>J2078-K2078</x:f>
        <x:v>6</x:v>
      </x:c>
      <x:c r="AC2078" s="32" t="n">
        <x:f>F2078-G2078</x:f>
        <x:v>1</x:v>
      </x:c>
    </x:row>
    <x:row r="2079">
      <x:c r="A2079" s="4" t="str">
        <x:v>2023-24</x:v>
      </x:c>
      <x:c r="B2079" s="20" t="n">
        <x:v>45364</x:v>
      </x:c>
      <x:c r="C2079" s="4" t="str">
        <x:v>Luton</x:v>
      </x:c>
      <x:c r="D2079" s="4" t="str">
        <x:v>Bournemouth</x:v>
      </x:c>
      <x:c r="E2079" s="4" t="str">
        <x:v>Away</x:v>
      </x:c>
      <x:c r="F2079" s="28" t="n">
        <x:v>3</x:v>
      </x:c>
      <x:c r="G2079" s="28" t="n">
        <x:v>4</x:v>
      </x:c>
      <x:c r="H2079" s="28" t="n">
        <x:v>8</x:v>
      </x:c>
      <x:c r="I2079" s="28" t="n">
        <x:v>24</x:v>
      </x:c>
      <x:c r="J2079" s="28" t="n">
        <x:v>4</x:v>
      </x:c>
      <x:c r="K2079" s="28" t="n">
        <x:v>10</x:v>
      </x:c>
      <x:c r="L2079" s="28" t="n">
        <x:v>3</x:v>
      </x:c>
      <x:c r="M2079" s="28" t="n">
        <x:v>11</x:v>
      </x:c>
      <x:c r="N2079" s="28" t="n">
        <x:v>2</x:v>
      </x:c>
      <x:c r="O2079" s="28" t="n">
        <x:v>0</x:v>
      </x:c>
      <x:c r="P2079" s="28" t="n">
        <x:v>0</x:v>
      </x:c>
      <x:c r="Q2079" s="24" t="n">
        <x:f>IFERROR(J2079/H2079,0)</x:f>
        <x:v>0.5</x:v>
      </x:c>
      <x:c r="R2079" s="24" t="n">
        <x:f>IFERROR(F2079/H2079,0)</x:f>
        <x:v>0.375</x:v>
      </x:c>
      <x:c r="S2079" s="24" t="n">
        <x:f>IFERROR(F2079/J2079,0)</x:f>
        <x:v>0.75</x:v>
      </x:c>
      <x:c r="T2079" s="28" t="n">
        <x:f>H2079-I2079</x:f>
        <x:v>-16</x:v>
      </x:c>
      <x:c r="U2079" s="24" t="n">
        <x:f>IFERROR(J2079/H2079,0)-IFERROR(K2079/I2079,0)</x:f>
        <x:v>0.08333333333333331</x:v>
      </x:c>
      <x:c r="V2079" s="24" t="n">
        <x:f>IFERROR(F2079/J2079,0)-IFERROR(G2079/K2079,0)</x:f>
        <x:v>0.35</x:v>
      </x:c>
      <x:c r="W2079" s="28" t="n">
        <x:f>L2079-M2079</x:f>
        <x:v>-8</x:v>
      </x:c>
      <x:c r="X2079" s="24" t="n">
        <x:f>IFERROR(K2079/I2079,0)</x:f>
        <x:v>0.4166666666666667</x:v>
      </x:c>
      <x:c r="Y2079" s="24" t="n">
        <x:f>IFERROR(G2079/I2079,0)</x:f>
        <x:v>0.16666666666666666</x:v>
      </x:c>
      <x:c r="Z2079" s="24" t="n">
        <x:f>IFERROR(G2079/K2079,0)</x:f>
        <x:v>0.4</x:v>
      </x:c>
      <x:c r="AA2079" s="24" t="n">
        <x:f>IFERROR(F2079/H2079,0)-IFERROR(G2079/I2079,0)</x:f>
        <x:v>0.20833333333333334</x:v>
      </x:c>
      <x:c r="AB2079" s="28" t="n">
        <x:f>J2079-K2079</x:f>
        <x:v>-6</x:v>
      </x:c>
      <x:c r="AC2079" s="32" t="n">
        <x:f>F2079-G2079</x:f>
        <x:v>-1</x:v>
      </x:c>
    </x:row>
    <x:row r="2080">
      <x:c r="A2080" s="4" t="str">
        <x:v>2023-24</x:v>
      </x:c>
      <x:c r="B2080" s="20" t="n">
        <x:v>45367</x:v>
      </x:c>
      <x:c r="C2080" s="4" t="str">
        <x:v>Brentford</x:v>
      </x:c>
      <x:c r="D2080" s="4" t="str">
        <x:v>Burnley</x:v>
      </x:c>
      <x:c r="E2080" s="4" t="str">
        <x:v>Away</x:v>
      </x:c>
      <x:c r="F2080" s="28" t="n">
        <x:v>1</x:v>
      </x:c>
      <x:c r="G2080" s="28" t="n">
        <x:v>2</x:v>
      </x:c>
      <x:c r="H2080" s="28" t="n">
        <x:v>9</x:v>
      </x:c>
      <x:c r="I2080" s="28" t="n">
        <x:v>17</x:v>
      </x:c>
      <x:c r="J2080" s="28" t="n">
        <x:v>5</x:v>
      </x:c>
      <x:c r="K2080" s="28" t="n">
        <x:v>6</x:v>
      </x:c>
      <x:c r="L2080" s="28" t="n">
        <x:v>4</x:v>
      </x:c>
      <x:c r="M2080" s="28" t="n">
        <x:v>5</x:v>
      </x:c>
      <x:c r="N2080" s="28" t="n">
        <x:v>4</x:v>
      </x:c>
      <x:c r="O2080" s="28" t="n">
        <x:v>1</x:v>
      </x:c>
      <x:c r="P2080" s="28" t="n">
        <x:v>0</x:v>
      </x:c>
      <x:c r="Q2080" s="24" t="n">
        <x:f>IFERROR(J2080/H2080,0)</x:f>
        <x:v>0.5555555555555556</x:v>
      </x:c>
      <x:c r="R2080" s="24" t="n">
        <x:f>IFERROR(F2080/H2080,0)</x:f>
        <x:v>0.1111111111111111</x:v>
      </x:c>
      <x:c r="S2080" s="24" t="n">
        <x:f>IFERROR(F2080/J2080,0)</x:f>
        <x:v>0.2</x:v>
      </x:c>
      <x:c r="T2080" s="28" t="n">
        <x:f>H2080-I2080</x:f>
        <x:v>-8</x:v>
      </x:c>
      <x:c r="U2080" s="24" t="n">
        <x:f>IFERROR(J2080/H2080,0)-IFERROR(K2080/I2080,0)</x:f>
        <x:v>0.20261437908496732</x:v>
      </x:c>
      <x:c r="V2080" s="24" t="n">
        <x:f>IFERROR(F2080/J2080,0)-IFERROR(G2080/K2080,0)</x:f>
        <x:v>-0.1333333333333333</x:v>
      </x:c>
      <x:c r="W2080" s="28" t="n">
        <x:f>L2080-M2080</x:f>
        <x:v>-1</x:v>
      </x:c>
      <x:c r="X2080" s="24" t="n">
        <x:f>IFERROR(K2080/I2080,0)</x:f>
        <x:v>0.35294117647058826</x:v>
      </x:c>
      <x:c r="Y2080" s="24" t="n">
        <x:f>IFERROR(G2080/I2080,0)</x:f>
        <x:v>0.11764705882352941</x:v>
      </x:c>
      <x:c r="Z2080" s="24" t="n">
        <x:f>IFERROR(G2080/K2080,0)</x:f>
        <x:v>0.3333333333333333</x:v>
      </x:c>
      <x:c r="AA2080" s="24" t="n">
        <x:f>IFERROR(F2080/H2080,0)-IFERROR(G2080/I2080,0)</x:f>
        <x:v>-0.006535947712418305</x:v>
      </x:c>
      <x:c r="AB2080" s="28" t="n">
        <x:f>J2080-K2080</x:f>
        <x:v>-1</x:v>
      </x:c>
      <x:c r="AC2080" s="32" t="n">
        <x:f>F2080-G2080</x:f>
        <x:v>-1</x:v>
      </x:c>
    </x:row>
    <x:row r="2081">
      <x:c r="A2081" s="4" t="str">
        <x:v>2023-24</x:v>
      </x:c>
      <x:c r="B2081" s="20" t="n">
        <x:v>45367</x:v>
      </x:c>
      <x:c r="C2081" s="4" t="str">
        <x:v>Burnley</x:v>
      </x:c>
      <x:c r="D2081" s="4" t="str">
        <x:v>Brentford</x:v>
      </x:c>
      <x:c r="E2081" s="4" t="str">
        <x:v>Home</x:v>
      </x:c>
      <x:c r="F2081" s="28" t="n">
        <x:v>2</x:v>
      </x:c>
      <x:c r="G2081" s="28" t="n">
        <x:v>1</x:v>
      </x:c>
      <x:c r="H2081" s="28" t="n">
        <x:v>17</x:v>
      </x:c>
      <x:c r="I2081" s="28" t="n">
        <x:v>9</x:v>
      </x:c>
      <x:c r="J2081" s="28" t="n">
        <x:v>6</x:v>
      </x:c>
      <x:c r="K2081" s="28" t="n">
        <x:v>5</x:v>
      </x:c>
      <x:c r="L2081" s="28" t="n">
        <x:v>5</x:v>
      </x:c>
      <x:c r="M2081" s="28" t="n">
        <x:v>4</x:v>
      </x:c>
      <x:c r="N2081" s="28" t="n">
        <x:v>2</x:v>
      </x:c>
      <x:c r="O2081" s="28" t="n">
        <x:v>0</x:v>
      </x:c>
      <x:c r="P2081" s="28" t="n">
        <x:v>3</x:v>
      </x:c>
      <x:c r="Q2081" s="24" t="n">
        <x:f>IFERROR(J2081/H2081,0)</x:f>
        <x:v>0.35294117647058826</x:v>
      </x:c>
      <x:c r="R2081" s="24" t="n">
        <x:f>IFERROR(F2081/H2081,0)</x:f>
        <x:v>0.11764705882352941</x:v>
      </x:c>
      <x:c r="S2081" s="24" t="n">
        <x:f>IFERROR(F2081/J2081,0)</x:f>
        <x:v>0.3333333333333333</x:v>
      </x:c>
      <x:c r="T2081" s="28" t="n">
        <x:f>H2081-I2081</x:f>
        <x:v>8</x:v>
      </x:c>
      <x:c r="U2081" s="24" t="n">
        <x:f>IFERROR(J2081/H2081,0)-IFERROR(K2081/I2081,0)</x:f>
        <x:v>-0.20261437908496732</x:v>
      </x:c>
      <x:c r="V2081" s="24" t="n">
        <x:f>IFERROR(F2081/J2081,0)-IFERROR(G2081/K2081,0)</x:f>
        <x:v>0.1333333333333333</x:v>
      </x:c>
      <x:c r="W2081" s="28" t="n">
        <x:f>L2081-M2081</x:f>
        <x:v>1</x:v>
      </x:c>
      <x:c r="X2081" s="24" t="n">
        <x:f>IFERROR(K2081/I2081,0)</x:f>
        <x:v>0.5555555555555556</x:v>
      </x:c>
      <x:c r="Y2081" s="24" t="n">
        <x:f>IFERROR(G2081/I2081,0)</x:f>
        <x:v>0.1111111111111111</x:v>
      </x:c>
      <x:c r="Z2081" s="24" t="n">
        <x:f>IFERROR(G2081/K2081,0)</x:f>
        <x:v>0.2</x:v>
      </x:c>
      <x:c r="AA2081" s="24" t="n">
        <x:f>IFERROR(F2081/H2081,0)-IFERROR(G2081/I2081,0)</x:f>
        <x:v>0.006535947712418305</x:v>
      </x:c>
      <x:c r="AB2081" s="28" t="n">
        <x:f>J2081-K2081</x:f>
        <x:v>1</x:v>
      </x:c>
      <x:c r="AC2081" s="32" t="n">
        <x:f>F2081-G2081</x:f>
        <x:v>1</x:v>
      </x:c>
    </x:row>
    <x:row r="2082">
      <x:c r="A2082" s="4" t="str">
        <x:v>2023-24</x:v>
      </x:c>
      <x:c r="B2082" s="20" t="n">
        <x:v>45367</x:v>
      </x:c>
      <x:c r="C2082" s="4" t="str">
        <x:v>Fulham</x:v>
      </x:c>
      <x:c r="D2082" s="4" t="str">
        <x:v>Tottenham</x:v>
      </x:c>
      <x:c r="E2082" s="4" t="str">
        <x:v>Home</x:v>
      </x:c>
      <x:c r="F2082" s="28" t="n">
        <x:v>3</x:v>
      </x:c>
      <x:c r="G2082" s="28" t="n">
        <x:v>0</x:v>
      </x:c>
      <x:c r="H2082" s="28" t="n">
        <x:v>16</x:v>
      </x:c>
      <x:c r="I2082" s="28" t="n">
        <x:v>14</x:v>
      </x:c>
      <x:c r="J2082" s="28" t="n">
        <x:v>7</x:v>
      </x:c>
      <x:c r="K2082" s="28" t="n">
        <x:v>5</x:v>
      </x:c>
      <x:c r="L2082" s="28" t="n">
        <x:v>4</x:v>
      </x:c>
      <x:c r="M2082" s="28" t="n">
        <x:v>5</x:v>
      </x:c>
      <x:c r="N2082" s="28" t="n">
        <x:v>2</x:v>
      </x:c>
      <x:c r="O2082" s="28" t="n">
        <x:v>0</x:v>
      </x:c>
      <x:c r="P2082" s="28" t="n">
        <x:v>3</x:v>
      </x:c>
      <x:c r="Q2082" s="24" t="n">
        <x:f>IFERROR(J2082/H2082,0)</x:f>
        <x:v>0.4375</x:v>
      </x:c>
      <x:c r="R2082" s="24" t="n">
        <x:f>IFERROR(F2082/H2082,0)</x:f>
        <x:v>0.1875</x:v>
      </x:c>
      <x:c r="S2082" s="24" t="n">
        <x:f>IFERROR(F2082/J2082,0)</x:f>
        <x:v>0.42857142857142855</x:v>
      </x:c>
      <x:c r="T2082" s="28" t="n">
        <x:f>H2082-I2082</x:f>
        <x:v>2</x:v>
      </x:c>
      <x:c r="U2082" s="24" t="n">
        <x:f>IFERROR(J2082/H2082,0)-IFERROR(K2082/I2082,0)</x:f>
        <x:v>0.08035714285714285</x:v>
      </x:c>
      <x:c r="V2082" s="24" t="n">
        <x:f>IFERROR(F2082/J2082,0)-IFERROR(G2082/K2082,0)</x:f>
        <x:v>0.42857142857142855</x:v>
      </x:c>
      <x:c r="W2082" s="28" t="n">
        <x:f>L2082-M2082</x:f>
        <x:v>-1</x:v>
      </x:c>
      <x:c r="X2082" s="24" t="n">
        <x:f>IFERROR(K2082/I2082,0)</x:f>
        <x:v>0.35714285714285715</x:v>
      </x:c>
      <x:c r="Y2082" s="24" t="n">
        <x:f>IFERROR(G2082/I2082,0)</x:f>
        <x:v>0</x:v>
      </x:c>
      <x:c r="Z2082" s="24" t="n">
        <x:f>IFERROR(G2082/K2082,0)</x:f>
        <x:v>0</x:v>
      </x:c>
      <x:c r="AA2082" s="24" t="n">
        <x:f>IFERROR(F2082/H2082,0)-IFERROR(G2082/I2082,0)</x:f>
        <x:v>0.1875</x:v>
      </x:c>
      <x:c r="AB2082" s="28" t="n">
        <x:f>J2082-K2082</x:f>
        <x:v>2</x:v>
      </x:c>
      <x:c r="AC2082" s="32" t="n">
        <x:f>F2082-G2082</x:f>
        <x:v>3</x:v>
      </x:c>
    </x:row>
    <x:row r="2083">
      <x:c r="A2083" s="4" t="str">
        <x:v>2023-24</x:v>
      </x:c>
      <x:c r="B2083" s="20" t="n">
        <x:v>45367</x:v>
      </x:c>
      <x:c r="C2083" s="4" t="str">
        <x:v>Luton</x:v>
      </x:c>
      <x:c r="D2083" s="4" t="str">
        <x:v>Nott'm Forest</x:v>
      </x:c>
      <x:c r="E2083" s="4" t="str">
        <x:v>Home</x:v>
      </x:c>
      <x:c r="F2083" s="28" t="n">
        <x:v>1</x:v>
      </x:c>
      <x:c r="G2083" s="28" t="n">
        <x:v>1</x:v>
      </x:c>
      <x:c r="H2083" s="28" t="n">
        <x:v>10</x:v>
      </x:c>
      <x:c r="I2083" s="28" t="n">
        <x:v>16</x:v>
      </x:c>
      <x:c r="J2083" s="28" t="n">
        <x:v>4</x:v>
      </x:c>
      <x:c r="K2083" s="28" t="n">
        <x:v>6</x:v>
      </x:c>
      <x:c r="L2083" s="28" t="n">
        <x:v>6</x:v>
      </x:c>
      <x:c r="M2083" s="28" t="n">
        <x:v>7</x:v>
      </x:c>
      <x:c r="N2083" s="28" t="n">
        <x:v>1</x:v>
      </x:c>
      <x:c r="O2083" s="28" t="n">
        <x:v>0</x:v>
      </x:c>
      <x:c r="P2083" s="28" t="n">
        <x:v>1</x:v>
      </x:c>
      <x:c r="Q2083" s="24" t="n">
        <x:f>IFERROR(J2083/H2083,0)</x:f>
        <x:v>0.4</x:v>
      </x:c>
      <x:c r="R2083" s="24" t="n">
        <x:f>IFERROR(F2083/H2083,0)</x:f>
        <x:v>0.1</x:v>
      </x:c>
      <x:c r="S2083" s="24" t="n">
        <x:f>IFERROR(F2083/J2083,0)</x:f>
        <x:v>0.25</x:v>
      </x:c>
      <x:c r="T2083" s="28" t="n">
        <x:f>H2083-I2083</x:f>
        <x:v>-6</x:v>
      </x:c>
      <x:c r="U2083" s="24" t="n">
        <x:f>IFERROR(J2083/H2083,0)-IFERROR(K2083/I2083,0)</x:f>
        <x:v>0.025000000000000022</x:v>
      </x:c>
      <x:c r="V2083" s="24" t="n">
        <x:f>IFERROR(F2083/J2083,0)-IFERROR(G2083/K2083,0)</x:f>
        <x:v>0.08333333333333334</x:v>
      </x:c>
      <x:c r="W2083" s="28" t="n">
        <x:f>L2083-M2083</x:f>
        <x:v>-1</x:v>
      </x:c>
      <x:c r="X2083" s="24" t="n">
        <x:f>IFERROR(K2083/I2083,0)</x:f>
        <x:v>0.375</x:v>
      </x:c>
      <x:c r="Y2083" s="24" t="n">
        <x:f>IFERROR(G2083/I2083,0)</x:f>
        <x:v>0.0625</x:v>
      </x:c>
      <x:c r="Z2083" s="24" t="n">
        <x:f>IFERROR(G2083/K2083,0)</x:f>
        <x:v>0.16666666666666666</x:v>
      </x:c>
      <x:c r="AA2083" s="24" t="n">
        <x:f>IFERROR(F2083/H2083,0)-IFERROR(G2083/I2083,0)</x:f>
        <x:v>0.037500000000000006</x:v>
      </x:c>
      <x:c r="AB2083" s="28" t="n">
        <x:f>J2083-K2083</x:f>
        <x:v>-2</x:v>
      </x:c>
      <x:c r="AC2083" s="32" t="n">
        <x:f>F2083-G2083</x:f>
        <x:v>0</x:v>
      </x:c>
    </x:row>
    <x:row r="2084">
      <x:c r="A2084" s="4" t="str">
        <x:v>2023-24</x:v>
      </x:c>
      <x:c r="B2084" s="20" t="n">
        <x:v>45367</x:v>
      </x:c>
      <x:c r="C2084" s="4" t="str">
        <x:v>Nott'm Forest</x:v>
      </x:c>
      <x:c r="D2084" s="4" t="str">
        <x:v>Luton</x:v>
      </x:c>
      <x:c r="E2084" s="4" t="str">
        <x:v>Away</x:v>
      </x:c>
      <x:c r="F2084" s="28" t="n">
        <x:v>1</x:v>
      </x:c>
      <x:c r="G2084" s="28" t="n">
        <x:v>1</x:v>
      </x:c>
      <x:c r="H2084" s="28" t="n">
        <x:v>16</x:v>
      </x:c>
      <x:c r="I2084" s="28" t="n">
        <x:v>10</x:v>
      </x:c>
      <x:c r="J2084" s="28" t="n">
        <x:v>6</x:v>
      </x:c>
      <x:c r="K2084" s="28" t="n">
        <x:v>4</x:v>
      </x:c>
      <x:c r="L2084" s="28" t="n">
        <x:v>7</x:v>
      </x:c>
      <x:c r="M2084" s="28" t="n">
        <x:v>6</x:v>
      </x:c>
      <x:c r="N2084" s="28" t="n">
        <x:v>2</x:v>
      </x:c>
      <x:c r="O2084" s="28" t="n">
        <x:v>0</x:v>
      </x:c>
      <x:c r="P2084" s="28" t="n">
        <x:v>1</x:v>
      </x:c>
      <x:c r="Q2084" s="24" t="n">
        <x:f>IFERROR(J2084/H2084,0)</x:f>
        <x:v>0.375</x:v>
      </x:c>
      <x:c r="R2084" s="24" t="n">
        <x:f>IFERROR(F2084/H2084,0)</x:f>
        <x:v>0.0625</x:v>
      </x:c>
      <x:c r="S2084" s="24" t="n">
        <x:f>IFERROR(F2084/J2084,0)</x:f>
        <x:v>0.16666666666666666</x:v>
      </x:c>
      <x:c r="T2084" s="28" t="n">
        <x:f>H2084-I2084</x:f>
        <x:v>6</x:v>
      </x:c>
      <x:c r="U2084" s="24" t="n">
        <x:f>IFERROR(J2084/H2084,0)-IFERROR(K2084/I2084,0)</x:f>
        <x:v>-0.025000000000000022</x:v>
      </x:c>
      <x:c r="V2084" s="24" t="n">
        <x:f>IFERROR(F2084/J2084,0)-IFERROR(G2084/K2084,0)</x:f>
        <x:v>-0.08333333333333334</x:v>
      </x:c>
      <x:c r="W2084" s="28" t="n">
        <x:f>L2084-M2084</x:f>
        <x:v>1</x:v>
      </x:c>
      <x:c r="X2084" s="24" t="n">
        <x:f>IFERROR(K2084/I2084,0)</x:f>
        <x:v>0.4</x:v>
      </x:c>
      <x:c r="Y2084" s="24" t="n">
        <x:f>IFERROR(G2084/I2084,0)</x:f>
        <x:v>0.1</x:v>
      </x:c>
      <x:c r="Z2084" s="24" t="n">
        <x:f>IFERROR(G2084/K2084,0)</x:f>
        <x:v>0.25</x:v>
      </x:c>
      <x:c r="AA2084" s="24" t="n">
        <x:f>IFERROR(F2084/H2084,0)-IFERROR(G2084/I2084,0)</x:f>
        <x:v>-0.037500000000000006</x:v>
      </x:c>
      <x:c r="AB2084" s="28" t="n">
        <x:f>J2084-K2084</x:f>
        <x:v>2</x:v>
      </x:c>
      <x:c r="AC2084" s="32" t="n">
        <x:f>F2084-G2084</x:f>
        <x:v>0</x:v>
      </x:c>
    </x:row>
    <x:row r="2085">
      <x:c r="A2085" s="4" t="str">
        <x:v>2023-24</x:v>
      </x:c>
      <x:c r="B2085" s="20" t="n">
        <x:v>45367</x:v>
      </x:c>
      <x:c r="C2085" s="4" t="str">
        <x:v>Tottenham</x:v>
      </x:c>
      <x:c r="D2085" s="4" t="str">
        <x:v>Fulham</x:v>
      </x:c>
      <x:c r="E2085" s="4" t="str">
        <x:v>Away</x:v>
      </x:c>
      <x:c r="F2085" s="28" t="n">
        <x:v>0</x:v>
      </x:c>
      <x:c r="G2085" s="28" t="n">
        <x:v>3</x:v>
      </x:c>
      <x:c r="H2085" s="28" t="n">
        <x:v>14</x:v>
      </x:c>
      <x:c r="I2085" s="28" t="n">
        <x:v>16</x:v>
      </x:c>
      <x:c r="J2085" s="28" t="n">
        <x:v>5</x:v>
      </x:c>
      <x:c r="K2085" s="28" t="n">
        <x:v>7</x:v>
      </x:c>
      <x:c r="L2085" s="28" t="n">
        <x:v>5</x:v>
      </x:c>
      <x:c r="M2085" s="28" t="n">
        <x:v>4</x:v>
      </x:c>
      <x:c r="N2085" s="28" t="n">
        <x:v>3</x:v>
      </x:c>
      <x:c r="O2085" s="28" t="n">
        <x:v>0</x:v>
      </x:c>
      <x:c r="P2085" s="28" t="n">
        <x:v>0</x:v>
      </x:c>
      <x:c r="Q2085" s="24" t="n">
        <x:f>IFERROR(J2085/H2085,0)</x:f>
        <x:v>0.35714285714285715</x:v>
      </x:c>
      <x:c r="R2085" s="24" t="n">
        <x:f>IFERROR(F2085/H2085,0)</x:f>
        <x:v>0</x:v>
      </x:c>
      <x:c r="S2085" s="24" t="n">
        <x:f>IFERROR(F2085/J2085,0)</x:f>
        <x:v>0</x:v>
      </x:c>
      <x:c r="T2085" s="28" t="n">
        <x:f>H2085-I2085</x:f>
        <x:v>-2</x:v>
      </x:c>
      <x:c r="U2085" s="24" t="n">
        <x:f>IFERROR(J2085/H2085,0)-IFERROR(K2085/I2085,0)</x:f>
        <x:v>-0.08035714285714285</x:v>
      </x:c>
      <x:c r="V2085" s="24" t="n">
        <x:f>IFERROR(F2085/J2085,0)-IFERROR(G2085/K2085,0)</x:f>
        <x:v>-0.42857142857142855</x:v>
      </x:c>
      <x:c r="W2085" s="28" t="n">
        <x:f>L2085-M2085</x:f>
        <x:v>1</x:v>
      </x:c>
      <x:c r="X2085" s="24" t="n">
        <x:f>IFERROR(K2085/I2085,0)</x:f>
        <x:v>0.4375</x:v>
      </x:c>
      <x:c r="Y2085" s="24" t="n">
        <x:f>IFERROR(G2085/I2085,0)</x:f>
        <x:v>0.1875</x:v>
      </x:c>
      <x:c r="Z2085" s="24" t="n">
        <x:f>IFERROR(G2085/K2085,0)</x:f>
        <x:v>0.42857142857142855</x:v>
      </x:c>
      <x:c r="AA2085" s="24" t="n">
        <x:f>IFERROR(F2085/H2085,0)-IFERROR(G2085/I2085,0)</x:f>
        <x:v>-0.1875</x:v>
      </x:c>
      <x:c r="AB2085" s="28" t="n">
        <x:f>J2085-K2085</x:f>
        <x:v>-2</x:v>
      </x:c>
      <x:c r="AC2085" s="32" t="n">
        <x:f>F2085-G2085</x:f>
        <x:v>-3</x:v>
      </x:c>
    </x:row>
    <x:row r="2086">
      <x:c r="A2086" s="4" t="str">
        <x:v>2023-24</x:v>
      </x:c>
      <x:c r="B2086" s="20" t="n">
        <x:v>45368</x:v>
      </x:c>
      <x:c r="C2086" s="4" t="str">
        <x:v>Aston Villa</x:v>
      </x:c>
      <x:c r="D2086" s="4" t="str">
        <x:v>West Ham</x:v>
      </x:c>
      <x:c r="E2086" s="4" t="str">
        <x:v>Away</x:v>
      </x:c>
      <x:c r="F2086" s="28" t="n">
        <x:v>1</x:v>
      </x:c>
      <x:c r="G2086" s="28" t="n">
        <x:v>1</x:v>
      </x:c>
      <x:c r="H2086" s="28" t="n">
        <x:v>13</x:v>
      </x:c>
      <x:c r="I2086" s="28" t="n">
        <x:v>13</x:v>
      </x:c>
      <x:c r="J2086" s="28" t="n">
        <x:v>5</x:v>
      </x:c>
      <x:c r="K2086" s="28" t="n">
        <x:v>5</x:v>
      </x:c>
      <x:c r="L2086" s="28" t="n">
        <x:v>11</x:v>
      </x:c>
      <x:c r="M2086" s="28" t="n">
        <x:v>7</x:v>
      </x:c>
      <x:c r="N2086" s="28" t="n">
        <x:v>3</x:v>
      </x:c>
      <x:c r="O2086" s="28" t="n">
        <x:v>0</x:v>
      </x:c>
      <x:c r="P2086" s="28" t="n">
        <x:v>1</x:v>
      </x:c>
      <x:c r="Q2086" s="24" t="n">
        <x:f>IFERROR(J2086/H2086,0)</x:f>
        <x:v>0.38461538461538464</x:v>
      </x:c>
      <x:c r="R2086" s="24" t="n">
        <x:f>IFERROR(F2086/H2086,0)</x:f>
        <x:v>0.07692307692307693</x:v>
      </x:c>
      <x:c r="S2086" s="24" t="n">
        <x:f>IFERROR(F2086/J2086,0)</x:f>
        <x:v>0.2</x:v>
      </x:c>
      <x:c r="T2086" s="28" t="n">
        <x:f>H2086-I2086</x:f>
        <x:v>0</x:v>
      </x:c>
      <x:c r="U2086" s="24" t="n">
        <x:f>IFERROR(J2086/H2086,0)-IFERROR(K2086/I2086,0)</x:f>
        <x:v>0</x:v>
      </x:c>
      <x:c r="V2086" s="24" t="n">
        <x:f>IFERROR(F2086/J2086,0)-IFERROR(G2086/K2086,0)</x:f>
        <x:v>0</x:v>
      </x:c>
      <x:c r="W2086" s="28" t="n">
        <x:f>L2086-M2086</x:f>
        <x:v>4</x:v>
      </x:c>
      <x:c r="X2086" s="24" t="n">
        <x:f>IFERROR(K2086/I2086,0)</x:f>
        <x:v>0.38461538461538464</x:v>
      </x:c>
      <x:c r="Y2086" s="24" t="n">
        <x:f>IFERROR(G2086/I2086,0)</x:f>
        <x:v>0.07692307692307693</x:v>
      </x:c>
      <x:c r="Z2086" s="24" t="n">
        <x:f>IFERROR(G2086/K2086,0)</x:f>
        <x:v>0.2</x:v>
      </x:c>
      <x:c r="AA2086" s="24" t="n">
        <x:f>IFERROR(F2086/H2086,0)-IFERROR(G2086/I2086,0)</x:f>
        <x:v>0</x:v>
      </x:c>
      <x:c r="AB2086" s="28" t="n">
        <x:f>J2086-K2086</x:f>
        <x:v>0</x:v>
      </x:c>
      <x:c r="AC2086" s="32" t="n">
        <x:f>F2086-G2086</x:f>
        <x:v>0</x:v>
      </x:c>
    </x:row>
    <x:row r="2087">
      <x:c r="A2087" s="4" t="str">
        <x:v>2023-24</x:v>
      </x:c>
      <x:c r="B2087" s="20" t="n">
        <x:v>45368</x:v>
      </x:c>
      <x:c r="C2087" s="4" t="str">
        <x:v>West Ham</x:v>
      </x:c>
      <x:c r="D2087" s="4" t="str">
        <x:v>Aston Villa</x:v>
      </x:c>
      <x:c r="E2087" s="4" t="str">
        <x:v>Home</x:v>
      </x:c>
      <x:c r="F2087" s="28" t="n">
        <x:v>1</x:v>
      </x:c>
      <x:c r="G2087" s="28" t="n">
        <x:v>1</x:v>
      </x:c>
      <x:c r="H2087" s="28" t="n">
        <x:v>13</x:v>
      </x:c>
      <x:c r="I2087" s="28" t="n">
        <x:v>13</x:v>
      </x:c>
      <x:c r="J2087" s="28" t="n">
        <x:v>5</x:v>
      </x:c>
      <x:c r="K2087" s="28" t="n">
        <x:v>5</x:v>
      </x:c>
      <x:c r="L2087" s="28" t="n">
        <x:v>7</x:v>
      </x:c>
      <x:c r="M2087" s="28" t="n">
        <x:v>11</x:v>
      </x:c>
      <x:c r="N2087" s="28" t="n">
        <x:v>3</x:v>
      </x:c>
      <x:c r="O2087" s="28" t="n">
        <x:v>0</x:v>
      </x:c>
      <x:c r="P2087" s="28" t="n">
        <x:v>1</x:v>
      </x:c>
      <x:c r="Q2087" s="24" t="n">
        <x:f>IFERROR(J2087/H2087,0)</x:f>
        <x:v>0.38461538461538464</x:v>
      </x:c>
      <x:c r="R2087" s="24" t="n">
        <x:f>IFERROR(F2087/H2087,0)</x:f>
        <x:v>0.07692307692307693</x:v>
      </x:c>
      <x:c r="S2087" s="24" t="n">
        <x:f>IFERROR(F2087/J2087,0)</x:f>
        <x:v>0.2</x:v>
      </x:c>
      <x:c r="T2087" s="28" t="n">
        <x:f>H2087-I2087</x:f>
        <x:v>0</x:v>
      </x:c>
      <x:c r="U2087" s="24" t="n">
        <x:f>IFERROR(J2087/H2087,0)-IFERROR(K2087/I2087,0)</x:f>
        <x:v>0</x:v>
      </x:c>
      <x:c r="V2087" s="24" t="n">
        <x:f>IFERROR(F2087/J2087,0)-IFERROR(G2087/K2087,0)</x:f>
        <x:v>0</x:v>
      </x:c>
      <x:c r="W2087" s="28" t="n">
        <x:f>L2087-M2087</x:f>
        <x:v>-4</x:v>
      </x:c>
      <x:c r="X2087" s="24" t="n">
        <x:f>IFERROR(K2087/I2087,0)</x:f>
        <x:v>0.38461538461538464</x:v>
      </x:c>
      <x:c r="Y2087" s="24" t="n">
        <x:f>IFERROR(G2087/I2087,0)</x:f>
        <x:v>0.07692307692307693</x:v>
      </x:c>
      <x:c r="Z2087" s="24" t="n">
        <x:f>IFERROR(G2087/K2087,0)</x:f>
        <x:v>0.2</x:v>
      </x:c>
      <x:c r="AA2087" s="24" t="n">
        <x:f>IFERROR(F2087/H2087,0)-IFERROR(G2087/I2087,0)</x:f>
        <x:v>0</x:v>
      </x:c>
      <x:c r="AB2087" s="28" t="n">
        <x:f>J2087-K2087</x:f>
        <x:v>0</x:v>
      </x:c>
      <x:c r="AC2087" s="32" t="n">
        <x:f>F2087-G2087</x:f>
        <x:v>0</x:v>
      </x:c>
    </x:row>
    <x:row r="2088">
      <x:c r="A2088" s="4" t="str">
        <x:v>2023-24</x:v>
      </x:c>
      <x:c r="B2088" s="20" t="n">
        <x:v>45381</x:v>
      </x:c>
      <x:c r="C2088" s="4" t="str">
        <x:v>Aston Villa</x:v>
      </x:c>
      <x:c r="D2088" s="4" t="str">
        <x:v>Wolves</x:v>
      </x:c>
      <x:c r="E2088" s="4" t="str">
        <x:v>Home</x:v>
      </x:c>
      <x:c r="F2088" s="28" t="n">
        <x:v>2</x:v>
      </x:c>
      <x:c r="G2088" s="28" t="n">
        <x:v>0</x:v>
      </x:c>
      <x:c r="H2088" s="28" t="n">
        <x:v>11</x:v>
      </x:c>
      <x:c r="I2088" s="28" t="n">
        <x:v>13</x:v>
      </x:c>
      <x:c r="J2088" s="28" t="n">
        <x:v>5</x:v>
      </x:c>
      <x:c r="K2088" s="28" t="n">
        <x:v>3</x:v>
      </x:c>
      <x:c r="L2088" s="28" t="n">
        <x:v>5</x:v>
      </x:c>
      <x:c r="M2088" s="28" t="n">
        <x:v>4</x:v>
      </x:c>
      <x:c r="N2088" s="28" t="n">
        <x:v>3</x:v>
      </x:c>
      <x:c r="O2088" s="28" t="n">
        <x:v>0</x:v>
      </x:c>
      <x:c r="P2088" s="28" t="n">
        <x:v>3</x:v>
      </x:c>
      <x:c r="Q2088" s="24" t="n">
        <x:f>IFERROR(J2088/H2088,0)</x:f>
        <x:v>0.45454545454545453</x:v>
      </x:c>
      <x:c r="R2088" s="24" t="n">
        <x:f>IFERROR(F2088/H2088,0)</x:f>
        <x:v>0.18181818181818182</x:v>
      </x:c>
      <x:c r="S2088" s="24" t="n">
        <x:f>IFERROR(F2088/J2088,0)</x:f>
        <x:v>0.4</x:v>
      </x:c>
      <x:c r="T2088" s="28" t="n">
        <x:f>H2088-I2088</x:f>
        <x:v>-2</x:v>
      </x:c>
      <x:c r="U2088" s="24" t="n">
        <x:f>IFERROR(J2088/H2088,0)-IFERROR(K2088/I2088,0)</x:f>
        <x:v>0.22377622377622375</x:v>
      </x:c>
      <x:c r="V2088" s="24" t="n">
        <x:f>IFERROR(F2088/J2088,0)-IFERROR(G2088/K2088,0)</x:f>
        <x:v>0.4</x:v>
      </x:c>
      <x:c r="W2088" s="28" t="n">
        <x:f>L2088-M2088</x:f>
        <x:v>1</x:v>
      </x:c>
      <x:c r="X2088" s="24" t="n">
        <x:f>IFERROR(K2088/I2088,0)</x:f>
        <x:v>0.23076923076923078</x:v>
      </x:c>
      <x:c r="Y2088" s="24" t="n">
        <x:f>IFERROR(G2088/I2088,0)</x:f>
        <x:v>0</x:v>
      </x:c>
      <x:c r="Z2088" s="24" t="n">
        <x:f>IFERROR(G2088/K2088,0)</x:f>
        <x:v>0</x:v>
      </x:c>
      <x:c r="AA2088" s="24" t="n">
        <x:f>IFERROR(F2088/H2088,0)-IFERROR(G2088/I2088,0)</x:f>
        <x:v>0.18181818181818182</x:v>
      </x:c>
      <x:c r="AB2088" s="28" t="n">
        <x:f>J2088-K2088</x:f>
        <x:v>2</x:v>
      </x:c>
      <x:c r="AC2088" s="32" t="n">
        <x:f>F2088-G2088</x:f>
        <x:v>2</x:v>
      </x:c>
    </x:row>
    <x:row r="2089">
      <x:c r="A2089" s="4" t="str">
        <x:v>2023-24</x:v>
      </x:c>
      <x:c r="B2089" s="20" t="n">
        <x:v>45381</x:v>
      </x:c>
      <x:c r="C2089" s="4" t="str">
        <x:v>Bournemouth</x:v>
      </x:c>
      <x:c r="D2089" s="4" t="str">
        <x:v>Everton</x:v>
      </x:c>
      <x:c r="E2089" s="4" t="str">
        <x:v>Home</x:v>
      </x:c>
      <x:c r="F2089" s="28" t="n">
        <x:v>2</x:v>
      </x:c>
      <x:c r="G2089" s="28" t="n">
        <x:v>1</x:v>
      </x:c>
      <x:c r="H2089" s="28" t="n">
        <x:v>11</x:v>
      </x:c>
      <x:c r="I2089" s="28" t="n">
        <x:v>7</x:v>
      </x:c>
      <x:c r="J2089" s="28" t="n">
        <x:v>4</x:v>
      </x:c>
      <x:c r="K2089" s="28" t="n">
        <x:v>3</x:v>
      </x:c>
      <x:c r="L2089" s="28" t="n">
        <x:v>9</x:v>
      </x:c>
      <x:c r="M2089" s="28" t="n">
        <x:v>8</x:v>
      </x:c>
      <x:c r="N2089" s="28" t="n">
        <x:v>1</x:v>
      </x:c>
      <x:c r="O2089" s="28" t="n">
        <x:v>0</x:v>
      </x:c>
      <x:c r="P2089" s="28" t="n">
        <x:v>3</x:v>
      </x:c>
      <x:c r="Q2089" s="24" t="n">
        <x:f>IFERROR(J2089/H2089,0)</x:f>
        <x:v>0.36363636363636365</x:v>
      </x:c>
      <x:c r="R2089" s="24" t="n">
        <x:f>IFERROR(F2089/H2089,0)</x:f>
        <x:v>0.18181818181818182</x:v>
      </x:c>
      <x:c r="S2089" s="24" t="n">
        <x:f>IFERROR(F2089/J2089,0)</x:f>
        <x:v>0.5</x:v>
      </x:c>
      <x:c r="T2089" s="28" t="n">
        <x:f>H2089-I2089</x:f>
        <x:v>4</x:v>
      </x:c>
      <x:c r="U2089" s="24" t="n">
        <x:f>IFERROR(J2089/H2089,0)-IFERROR(K2089/I2089,0)</x:f>
        <x:v>-0.0649350649350649</x:v>
      </x:c>
      <x:c r="V2089" s="24" t="n">
        <x:f>IFERROR(F2089/J2089,0)-IFERROR(G2089/K2089,0)</x:f>
        <x:v>0.16666666666666669</x:v>
      </x:c>
      <x:c r="W2089" s="28" t="n">
        <x:f>L2089-M2089</x:f>
        <x:v>1</x:v>
      </x:c>
      <x:c r="X2089" s="24" t="n">
        <x:f>IFERROR(K2089/I2089,0)</x:f>
        <x:v>0.42857142857142855</x:v>
      </x:c>
      <x:c r="Y2089" s="24" t="n">
        <x:f>IFERROR(G2089/I2089,0)</x:f>
        <x:v>0.14285714285714285</x:v>
      </x:c>
      <x:c r="Z2089" s="24" t="n">
        <x:f>IFERROR(G2089/K2089,0)</x:f>
        <x:v>0.3333333333333333</x:v>
      </x:c>
      <x:c r="AA2089" s="24" t="n">
        <x:f>IFERROR(F2089/H2089,0)-IFERROR(G2089/I2089,0)</x:f>
        <x:v>0.038961038961038974</x:v>
      </x:c>
      <x:c r="AB2089" s="28" t="n">
        <x:f>J2089-K2089</x:f>
        <x:v>1</x:v>
      </x:c>
      <x:c r="AC2089" s="32" t="n">
        <x:f>F2089-G2089</x:f>
        <x:v>1</x:v>
      </x:c>
    </x:row>
    <x:row r="2090">
      <x:c r="A2090" s="4" t="str">
        <x:v>2023-24</x:v>
      </x:c>
      <x:c r="B2090" s="20" t="n">
        <x:v>45381</x:v>
      </x:c>
      <x:c r="C2090" s="4" t="str">
        <x:v>Brentford</x:v>
      </x:c>
      <x:c r="D2090" s="4" t="str">
        <x:v>Man United</x:v>
      </x:c>
      <x:c r="E2090" s="4" t="str">
        <x:v>Home</x:v>
      </x:c>
      <x:c r="F2090" s="28" t="n">
        <x:v>1</x:v>
      </x:c>
      <x:c r="G2090" s="28" t="n">
        <x:v>1</x:v>
      </x:c>
      <x:c r="H2090" s="28" t="n">
        <x:v>31</x:v>
      </x:c>
      <x:c r="I2090" s="28" t="n">
        <x:v>11</x:v>
      </x:c>
      <x:c r="J2090" s="28" t="n">
        <x:v>5</x:v>
      </x:c>
      <x:c r="K2090" s="28" t="n">
        <x:v>5</x:v>
      </x:c>
      <x:c r="L2090" s="28" t="n">
        <x:v>14</x:v>
      </x:c>
      <x:c r="M2090" s="28" t="n">
        <x:v>4</x:v>
      </x:c>
      <x:c r="N2090" s="28" t="n">
        <x:v>2</x:v>
      </x:c>
      <x:c r="O2090" s="28" t="n">
        <x:v>0</x:v>
      </x:c>
      <x:c r="P2090" s="28" t="n">
        <x:v>1</x:v>
      </x:c>
      <x:c r="Q2090" s="24" t="n">
        <x:f>IFERROR(J2090/H2090,0)</x:f>
        <x:v>0.16129032258064516</x:v>
      </x:c>
      <x:c r="R2090" s="24" t="n">
        <x:f>IFERROR(F2090/H2090,0)</x:f>
        <x:v>0.03225806451612903</x:v>
      </x:c>
      <x:c r="S2090" s="24" t="n">
        <x:f>IFERROR(F2090/J2090,0)</x:f>
        <x:v>0.2</x:v>
      </x:c>
      <x:c r="T2090" s="28" t="n">
        <x:f>H2090-I2090</x:f>
        <x:v>20</x:v>
      </x:c>
      <x:c r="U2090" s="24" t="n">
        <x:f>IFERROR(J2090/H2090,0)-IFERROR(K2090/I2090,0)</x:f>
        <x:v>-0.29325513196480935</x:v>
      </x:c>
      <x:c r="V2090" s="24" t="n">
        <x:f>IFERROR(F2090/J2090,0)-IFERROR(G2090/K2090,0)</x:f>
        <x:v>0</x:v>
      </x:c>
      <x:c r="W2090" s="28" t="n">
        <x:f>L2090-M2090</x:f>
        <x:v>10</x:v>
      </x:c>
      <x:c r="X2090" s="24" t="n">
        <x:f>IFERROR(K2090/I2090,0)</x:f>
        <x:v>0.45454545454545453</x:v>
      </x:c>
      <x:c r="Y2090" s="24" t="n">
        <x:f>IFERROR(G2090/I2090,0)</x:f>
        <x:v>0.09090909090909091</x:v>
      </x:c>
      <x:c r="Z2090" s="24" t="n">
        <x:f>IFERROR(G2090/K2090,0)</x:f>
        <x:v>0.2</x:v>
      </x:c>
      <x:c r="AA2090" s="24" t="n">
        <x:f>IFERROR(F2090/H2090,0)-IFERROR(G2090/I2090,0)</x:f>
        <x:v>-0.05865102639296188</x:v>
      </x:c>
      <x:c r="AB2090" s="28" t="n">
        <x:f>J2090-K2090</x:f>
        <x:v>0</x:v>
      </x:c>
      <x:c r="AC2090" s="32" t="n">
        <x:f>F2090-G2090</x:f>
        <x:v>0</x:v>
      </x:c>
    </x:row>
    <x:row r="2091">
      <x:c r="A2091" s="4" t="str">
        <x:v>2023-24</x:v>
      </x:c>
      <x:c r="B2091" s="20" t="n">
        <x:v>45381</x:v>
      </x:c>
      <x:c r="C2091" s="4" t="str">
        <x:v>Burnley</x:v>
      </x:c>
      <x:c r="D2091" s="4" t="str">
        <x:v>Chelsea</x:v>
      </x:c>
      <x:c r="E2091" s="4" t="str">
        <x:v>Away</x:v>
      </x:c>
      <x:c r="F2091" s="28" t="n">
        <x:v>2</x:v>
      </x:c>
      <x:c r="G2091" s="28" t="n">
        <x:v>2</x:v>
      </x:c>
      <x:c r="H2091" s="28" t="n">
        <x:v>18</x:v>
      </x:c>
      <x:c r="I2091" s="28" t="n">
        <x:v>33</x:v>
      </x:c>
      <x:c r="J2091" s="28" t="n">
        <x:v>7</x:v>
      </x:c>
      <x:c r="K2091" s="28" t="n">
        <x:v>13</x:v>
      </x:c>
      <x:c r="L2091" s="28" t="n">
        <x:v>4</x:v>
      </x:c>
      <x:c r="M2091" s="28" t="n">
        <x:v>12</x:v>
      </x:c>
      <x:c r="N2091" s="28" t="n">
        <x:v>2</x:v>
      </x:c>
      <x:c r="O2091" s="28" t="n">
        <x:v>1</x:v>
      </x:c>
      <x:c r="P2091" s="28" t="n">
        <x:v>1</x:v>
      </x:c>
      <x:c r="Q2091" s="24" t="n">
        <x:f>IFERROR(J2091/H2091,0)</x:f>
        <x:v>0.3888888888888889</x:v>
      </x:c>
      <x:c r="R2091" s="24" t="n">
        <x:f>IFERROR(F2091/H2091,0)</x:f>
        <x:v>0.1111111111111111</x:v>
      </x:c>
      <x:c r="S2091" s="24" t="n">
        <x:f>IFERROR(F2091/J2091,0)</x:f>
        <x:v>0.2857142857142857</x:v>
      </x:c>
      <x:c r="T2091" s="28" t="n">
        <x:f>H2091-I2091</x:f>
        <x:v>-15</x:v>
      </x:c>
      <x:c r="U2091" s="24" t="n">
        <x:f>IFERROR(J2091/H2091,0)-IFERROR(K2091/I2091,0)</x:f>
        <x:v>-0.0050505050505050275</x:v>
      </x:c>
      <x:c r="V2091" s="24" t="n">
        <x:f>IFERROR(F2091/J2091,0)-IFERROR(G2091/K2091,0)</x:f>
        <x:v>0.13186813186813184</x:v>
      </x:c>
      <x:c r="W2091" s="28" t="n">
        <x:f>L2091-M2091</x:f>
        <x:v>-8</x:v>
      </x:c>
      <x:c r="X2091" s="24" t="n">
        <x:f>IFERROR(K2091/I2091,0)</x:f>
        <x:v>0.3939393939393939</x:v>
      </x:c>
      <x:c r="Y2091" s="24" t="n">
        <x:f>IFERROR(G2091/I2091,0)</x:f>
        <x:v>0.06060606060606061</x:v>
      </x:c>
      <x:c r="Z2091" s="24" t="n">
        <x:f>IFERROR(G2091/K2091,0)</x:f>
        <x:v>0.15384615384615385</x:v>
      </x:c>
      <x:c r="AA2091" s="24" t="n">
        <x:f>IFERROR(F2091/H2091,0)-IFERROR(G2091/I2091,0)</x:f>
        <x:v>0.0505050505050505</x:v>
      </x:c>
      <x:c r="AB2091" s="28" t="n">
        <x:f>J2091-K2091</x:f>
        <x:v>-6</x:v>
      </x:c>
      <x:c r="AC2091" s="32" t="n">
        <x:f>F2091-G2091</x:f>
        <x:v>0</x:v>
      </x:c>
    </x:row>
    <x:row r="2092">
      <x:c r="A2092" s="4" t="str">
        <x:v>2023-24</x:v>
      </x:c>
      <x:c r="B2092" s="20" t="n">
        <x:v>45381</x:v>
      </x:c>
      <x:c r="C2092" s="4" t="str">
        <x:v>Chelsea</x:v>
      </x:c>
      <x:c r="D2092" s="4" t="str">
        <x:v>Burnley</x:v>
      </x:c>
      <x:c r="E2092" s="4" t="str">
        <x:v>Home</x:v>
      </x:c>
      <x:c r="F2092" s="28" t="n">
        <x:v>2</x:v>
      </x:c>
      <x:c r="G2092" s="28" t="n">
        <x:v>2</x:v>
      </x:c>
      <x:c r="H2092" s="28" t="n">
        <x:v>33</x:v>
      </x:c>
      <x:c r="I2092" s="28" t="n">
        <x:v>18</x:v>
      </x:c>
      <x:c r="J2092" s="28" t="n">
        <x:v>13</x:v>
      </x:c>
      <x:c r="K2092" s="28" t="n">
        <x:v>7</x:v>
      </x:c>
      <x:c r="L2092" s="28" t="n">
        <x:v>12</x:v>
      </x:c>
      <x:c r="M2092" s="28" t="n">
        <x:v>4</x:v>
      </x:c>
      <x:c r="N2092" s="28" t="n">
        <x:v>2</x:v>
      </x:c>
      <x:c r="O2092" s="28" t="n">
        <x:v>0</x:v>
      </x:c>
      <x:c r="P2092" s="28" t="n">
        <x:v>1</x:v>
      </x:c>
      <x:c r="Q2092" s="24" t="n">
        <x:f>IFERROR(J2092/H2092,0)</x:f>
        <x:v>0.3939393939393939</x:v>
      </x:c>
      <x:c r="R2092" s="24" t="n">
        <x:f>IFERROR(F2092/H2092,0)</x:f>
        <x:v>0.06060606060606061</x:v>
      </x:c>
      <x:c r="S2092" s="24" t="n">
        <x:f>IFERROR(F2092/J2092,0)</x:f>
        <x:v>0.15384615384615385</x:v>
      </x:c>
      <x:c r="T2092" s="28" t="n">
        <x:f>H2092-I2092</x:f>
        <x:v>15</x:v>
      </x:c>
      <x:c r="U2092" s="24" t="n">
        <x:f>IFERROR(J2092/H2092,0)-IFERROR(K2092/I2092,0)</x:f>
        <x:v>0.0050505050505050275</x:v>
      </x:c>
      <x:c r="V2092" s="24" t="n">
        <x:f>IFERROR(F2092/J2092,0)-IFERROR(G2092/K2092,0)</x:f>
        <x:v>-0.13186813186813184</x:v>
      </x:c>
      <x:c r="W2092" s="28" t="n">
        <x:f>L2092-M2092</x:f>
        <x:v>8</x:v>
      </x:c>
      <x:c r="X2092" s="24" t="n">
        <x:f>IFERROR(K2092/I2092,0)</x:f>
        <x:v>0.3888888888888889</x:v>
      </x:c>
      <x:c r="Y2092" s="24" t="n">
        <x:f>IFERROR(G2092/I2092,0)</x:f>
        <x:v>0.1111111111111111</x:v>
      </x:c>
      <x:c r="Z2092" s="24" t="n">
        <x:f>IFERROR(G2092/K2092,0)</x:f>
        <x:v>0.2857142857142857</x:v>
      </x:c>
      <x:c r="AA2092" s="24" t="n">
        <x:f>IFERROR(F2092/H2092,0)-IFERROR(G2092/I2092,0)</x:f>
        <x:v>-0.0505050505050505</x:v>
      </x:c>
      <x:c r="AB2092" s="28" t="n">
        <x:f>J2092-K2092</x:f>
        <x:v>6</x:v>
      </x:c>
      <x:c r="AC2092" s="32" t="n">
        <x:f>F2092-G2092</x:f>
        <x:v>0</x:v>
      </x:c>
    </x:row>
    <x:row r="2093">
      <x:c r="A2093" s="4" t="str">
        <x:v>2023-24</x:v>
      </x:c>
      <x:c r="B2093" s="20" t="n">
        <x:v>45381</x:v>
      </x:c>
      <x:c r="C2093" s="4" t="str">
        <x:v>Crystal Palace</x:v>
      </x:c>
      <x:c r="D2093" s="4" t="str">
        <x:v>Nott'm Forest</x:v>
      </x:c>
      <x:c r="E2093" s="4" t="str">
        <x:v>Away</x:v>
      </x:c>
      <x:c r="F2093" s="28" t="n">
        <x:v>1</x:v>
      </x:c>
      <x:c r="G2093" s="28" t="n">
        <x:v>1</x:v>
      </x:c>
      <x:c r="H2093" s="28" t="n">
        <x:v>10</x:v>
      </x:c>
      <x:c r="I2093" s="28" t="n">
        <x:v>12</x:v>
      </x:c>
      <x:c r="J2093" s="28" t="n">
        <x:v>3</x:v>
      </x:c>
      <x:c r="K2093" s="28" t="n">
        <x:v>5</x:v>
      </x:c>
      <x:c r="L2093" s="28" t="n">
        <x:v>6</x:v>
      </x:c>
      <x:c r="M2093" s="28" t="n">
        <x:v>4</x:v>
      </x:c>
      <x:c r="N2093" s="28" t="n">
        <x:v>1</x:v>
      </x:c>
      <x:c r="O2093" s="28" t="n">
        <x:v>0</x:v>
      </x:c>
      <x:c r="P2093" s="28" t="n">
        <x:v>1</x:v>
      </x:c>
      <x:c r="Q2093" s="24" t="n">
        <x:f>IFERROR(J2093/H2093,0)</x:f>
        <x:v>0.3</x:v>
      </x:c>
      <x:c r="R2093" s="24" t="n">
        <x:f>IFERROR(F2093/H2093,0)</x:f>
        <x:v>0.1</x:v>
      </x:c>
      <x:c r="S2093" s="24" t="n">
        <x:f>IFERROR(F2093/J2093,0)</x:f>
        <x:v>0.3333333333333333</x:v>
      </x:c>
      <x:c r="T2093" s="28" t="n">
        <x:f>H2093-I2093</x:f>
        <x:v>-2</x:v>
      </x:c>
      <x:c r="U2093" s="24" t="n">
        <x:f>IFERROR(J2093/H2093,0)-IFERROR(K2093/I2093,0)</x:f>
        <x:v>-0.1166666666666667</x:v>
      </x:c>
      <x:c r="V2093" s="24" t="n">
        <x:f>IFERROR(F2093/J2093,0)-IFERROR(G2093/K2093,0)</x:f>
        <x:v>0.1333333333333333</x:v>
      </x:c>
      <x:c r="W2093" s="28" t="n">
        <x:f>L2093-M2093</x:f>
        <x:v>2</x:v>
      </x:c>
      <x:c r="X2093" s="24" t="n">
        <x:f>IFERROR(K2093/I2093,0)</x:f>
        <x:v>0.4166666666666667</x:v>
      </x:c>
      <x:c r="Y2093" s="24" t="n">
        <x:f>IFERROR(G2093/I2093,0)</x:f>
        <x:v>0.08333333333333333</x:v>
      </x:c>
      <x:c r="Z2093" s="24" t="n">
        <x:f>IFERROR(G2093/K2093,0)</x:f>
        <x:v>0.2</x:v>
      </x:c>
      <x:c r="AA2093" s="24" t="n">
        <x:f>IFERROR(F2093/H2093,0)-IFERROR(G2093/I2093,0)</x:f>
        <x:v>0.016666666666666677</x:v>
      </x:c>
      <x:c r="AB2093" s="28" t="n">
        <x:f>J2093-K2093</x:f>
        <x:v>-2</x:v>
      </x:c>
      <x:c r="AC2093" s="32" t="n">
        <x:f>F2093-G2093</x:f>
        <x:v>0</x:v>
      </x:c>
    </x:row>
    <x:row r="2094">
      <x:c r="A2094" s="4" t="str">
        <x:v>2023-24</x:v>
      </x:c>
      <x:c r="B2094" s="20" t="n">
        <x:v>45381</x:v>
      </x:c>
      <x:c r="C2094" s="4" t="str">
        <x:v>Everton</x:v>
      </x:c>
      <x:c r="D2094" s="4" t="str">
        <x:v>Bournemouth</x:v>
      </x:c>
      <x:c r="E2094" s="4" t="str">
        <x:v>Away</x:v>
      </x:c>
      <x:c r="F2094" s="28" t="n">
        <x:v>1</x:v>
      </x:c>
      <x:c r="G2094" s="28" t="n">
        <x:v>2</x:v>
      </x:c>
      <x:c r="H2094" s="28" t="n">
        <x:v>7</x:v>
      </x:c>
      <x:c r="I2094" s="28" t="n">
        <x:v>11</x:v>
      </x:c>
      <x:c r="J2094" s="28" t="n">
        <x:v>3</x:v>
      </x:c>
      <x:c r="K2094" s="28" t="n">
        <x:v>4</x:v>
      </x:c>
      <x:c r="L2094" s="28" t="n">
        <x:v>8</x:v>
      </x:c>
      <x:c r="M2094" s="28" t="n">
        <x:v>9</x:v>
      </x:c>
      <x:c r="N2094" s="28" t="n">
        <x:v>2</x:v>
      </x:c>
      <x:c r="O2094" s="28" t="n">
        <x:v>0</x:v>
      </x:c>
      <x:c r="P2094" s="28" t="n">
        <x:v>0</x:v>
      </x:c>
      <x:c r="Q2094" s="24" t="n">
        <x:f>IFERROR(J2094/H2094,0)</x:f>
        <x:v>0.42857142857142855</x:v>
      </x:c>
      <x:c r="R2094" s="24" t="n">
        <x:f>IFERROR(F2094/H2094,0)</x:f>
        <x:v>0.14285714285714285</x:v>
      </x:c>
      <x:c r="S2094" s="24" t="n">
        <x:f>IFERROR(F2094/J2094,0)</x:f>
        <x:v>0.3333333333333333</x:v>
      </x:c>
      <x:c r="T2094" s="28" t="n">
        <x:f>H2094-I2094</x:f>
        <x:v>-4</x:v>
      </x:c>
      <x:c r="U2094" s="24" t="n">
        <x:f>IFERROR(J2094/H2094,0)-IFERROR(K2094/I2094,0)</x:f>
        <x:v>0.0649350649350649</x:v>
      </x:c>
      <x:c r="V2094" s="24" t="n">
        <x:f>IFERROR(F2094/J2094,0)-IFERROR(G2094/K2094,0)</x:f>
        <x:v>-0.16666666666666669</x:v>
      </x:c>
      <x:c r="W2094" s="28" t="n">
        <x:f>L2094-M2094</x:f>
        <x:v>-1</x:v>
      </x:c>
      <x:c r="X2094" s="24" t="n">
        <x:f>IFERROR(K2094/I2094,0)</x:f>
        <x:v>0.36363636363636365</x:v>
      </x:c>
      <x:c r="Y2094" s="24" t="n">
        <x:f>IFERROR(G2094/I2094,0)</x:f>
        <x:v>0.18181818181818182</x:v>
      </x:c>
      <x:c r="Z2094" s="24" t="n">
        <x:f>IFERROR(G2094/K2094,0)</x:f>
        <x:v>0.5</x:v>
      </x:c>
      <x:c r="AA2094" s="24" t="n">
        <x:f>IFERROR(F2094/H2094,0)-IFERROR(G2094/I2094,0)</x:f>
        <x:v>-0.038961038961038974</x:v>
      </x:c>
      <x:c r="AB2094" s="28" t="n">
        <x:f>J2094-K2094</x:f>
        <x:v>-1</x:v>
      </x:c>
      <x:c r="AC2094" s="32" t="n">
        <x:f>F2094-G2094</x:f>
        <x:v>-1</x:v>
      </x:c>
    </x:row>
    <x:row r="2095">
      <x:c r="A2095" s="4" t="str">
        <x:v>2023-24</x:v>
      </x:c>
      <x:c r="B2095" s="20" t="n">
        <x:v>45381</x:v>
      </x:c>
      <x:c r="C2095" s="4" t="str">
        <x:v>Fulham</x:v>
      </x:c>
      <x:c r="D2095" s="4" t="str">
        <x:v>Sheffield United</x:v>
      </x:c>
      <x:c r="E2095" s="4" t="str">
        <x:v>Away</x:v>
      </x:c>
      <x:c r="F2095" s="28" t="n">
        <x:v>3</x:v>
      </x:c>
      <x:c r="G2095" s="28" t="n">
        <x:v>3</x:v>
      </x:c>
      <x:c r="H2095" s="28" t="n">
        <x:v>24</x:v>
      </x:c>
      <x:c r="I2095" s="28" t="n">
        <x:v>8</x:v>
      </x:c>
      <x:c r="J2095" s="28" t="n">
        <x:v>9</x:v>
      </x:c>
      <x:c r="K2095" s="28" t="n">
        <x:v>4</x:v>
      </x:c>
      <x:c r="L2095" s="28" t="n">
        <x:v>15</x:v>
      </x:c>
      <x:c r="M2095" s="28" t="n">
        <x:v>2</x:v>
      </x:c>
      <x:c r="N2095" s="28" t="n">
        <x:v>1</x:v>
      </x:c>
      <x:c r="O2095" s="28" t="n">
        <x:v>0</x:v>
      </x:c>
      <x:c r="P2095" s="28" t="n">
        <x:v>1</x:v>
      </x:c>
      <x:c r="Q2095" s="24" t="n">
        <x:f>IFERROR(J2095/H2095,0)</x:f>
        <x:v>0.375</x:v>
      </x:c>
      <x:c r="R2095" s="24" t="n">
        <x:f>IFERROR(F2095/H2095,0)</x:f>
        <x:v>0.125</x:v>
      </x:c>
      <x:c r="S2095" s="24" t="n">
        <x:f>IFERROR(F2095/J2095,0)</x:f>
        <x:v>0.3333333333333333</x:v>
      </x:c>
      <x:c r="T2095" s="28" t="n">
        <x:f>H2095-I2095</x:f>
        <x:v>16</x:v>
      </x:c>
      <x:c r="U2095" s="24" t="n">
        <x:f>IFERROR(J2095/H2095,0)-IFERROR(K2095/I2095,0)</x:f>
        <x:v>-0.125</x:v>
      </x:c>
      <x:c r="V2095" s="24" t="n">
        <x:f>IFERROR(F2095/J2095,0)-IFERROR(G2095/K2095,0)</x:f>
        <x:v>-0.4166666666666667</x:v>
      </x:c>
      <x:c r="W2095" s="28" t="n">
        <x:f>L2095-M2095</x:f>
        <x:v>13</x:v>
      </x:c>
      <x:c r="X2095" s="24" t="n">
        <x:f>IFERROR(K2095/I2095,0)</x:f>
        <x:v>0.5</x:v>
      </x:c>
      <x:c r="Y2095" s="24" t="n">
        <x:f>IFERROR(G2095/I2095,0)</x:f>
        <x:v>0.375</x:v>
      </x:c>
      <x:c r="Z2095" s="24" t="n">
        <x:f>IFERROR(G2095/K2095,0)</x:f>
        <x:v>0.75</x:v>
      </x:c>
      <x:c r="AA2095" s="24" t="n">
        <x:f>IFERROR(F2095/H2095,0)-IFERROR(G2095/I2095,0)</x:f>
        <x:v>-0.25</x:v>
      </x:c>
      <x:c r="AB2095" s="28" t="n">
        <x:f>J2095-K2095</x:f>
        <x:v>5</x:v>
      </x:c>
      <x:c r="AC2095" s="32" t="n">
        <x:f>F2095-G2095</x:f>
        <x:v>0</x:v>
      </x:c>
    </x:row>
    <x:row r="2096">
      <x:c r="A2096" s="4" t="str">
        <x:v>2023-24</x:v>
      </x:c>
      <x:c r="B2096" s="20" t="n">
        <x:v>45381</x:v>
      </x:c>
      <x:c r="C2096" s="4" t="str">
        <x:v>Luton</x:v>
      </x:c>
      <x:c r="D2096" s="4" t="str">
        <x:v>Tottenham</x:v>
      </x:c>
      <x:c r="E2096" s="4" t="str">
        <x:v>Away</x:v>
      </x:c>
      <x:c r="F2096" s="28" t="n">
        <x:v>1</x:v>
      </x:c>
      <x:c r="G2096" s="28" t="n">
        <x:v>2</x:v>
      </x:c>
      <x:c r="H2096" s="28" t="n">
        <x:v>7</x:v>
      </x:c>
      <x:c r="I2096" s="28" t="n">
        <x:v>17</x:v>
      </x:c>
      <x:c r="J2096" s="28" t="n">
        <x:v>3</x:v>
      </x:c>
      <x:c r="K2096" s="28" t="n">
        <x:v>4</x:v>
      </x:c>
      <x:c r="L2096" s="28" t="n">
        <x:v>6</x:v>
      </x:c>
      <x:c r="M2096" s="28" t="n">
        <x:v>3</x:v>
      </x:c>
      <x:c r="N2096" s="28" t="n">
        <x:v>4</x:v>
      </x:c>
      <x:c r="O2096" s="28" t="n">
        <x:v>0</x:v>
      </x:c>
      <x:c r="P2096" s="28" t="n">
        <x:v>0</x:v>
      </x:c>
      <x:c r="Q2096" s="24" t="n">
        <x:f>IFERROR(J2096/H2096,0)</x:f>
        <x:v>0.42857142857142855</x:v>
      </x:c>
      <x:c r="R2096" s="24" t="n">
        <x:f>IFERROR(F2096/H2096,0)</x:f>
        <x:v>0.14285714285714285</x:v>
      </x:c>
      <x:c r="S2096" s="24" t="n">
        <x:f>IFERROR(F2096/J2096,0)</x:f>
        <x:v>0.3333333333333333</x:v>
      </x:c>
      <x:c r="T2096" s="28" t="n">
        <x:f>H2096-I2096</x:f>
        <x:v>-10</x:v>
      </x:c>
      <x:c r="U2096" s="24" t="n">
        <x:f>IFERROR(J2096/H2096,0)-IFERROR(K2096/I2096,0)</x:f>
        <x:v>0.19327731092436973</x:v>
      </x:c>
      <x:c r="V2096" s="24" t="n">
        <x:f>IFERROR(F2096/J2096,0)-IFERROR(G2096/K2096,0)</x:f>
        <x:v>-0.16666666666666669</x:v>
      </x:c>
      <x:c r="W2096" s="28" t="n">
        <x:f>L2096-M2096</x:f>
        <x:v>3</x:v>
      </x:c>
      <x:c r="X2096" s="24" t="n">
        <x:f>IFERROR(K2096/I2096,0)</x:f>
        <x:v>0.23529411764705882</x:v>
      </x:c>
      <x:c r="Y2096" s="24" t="n">
        <x:f>IFERROR(G2096/I2096,0)</x:f>
        <x:v>0.11764705882352941</x:v>
      </x:c>
      <x:c r="Z2096" s="24" t="n">
        <x:f>IFERROR(G2096/K2096,0)</x:f>
        <x:v>0.5</x:v>
      </x:c>
      <x:c r="AA2096" s="24" t="n">
        <x:f>IFERROR(F2096/H2096,0)-IFERROR(G2096/I2096,0)</x:f>
        <x:v>0.02521008403361344</x:v>
      </x:c>
      <x:c r="AB2096" s="28" t="n">
        <x:f>J2096-K2096</x:f>
        <x:v>-1</x:v>
      </x:c>
      <x:c r="AC2096" s="32" t="n">
        <x:f>F2096-G2096</x:f>
        <x:v>-1</x:v>
      </x:c>
    </x:row>
    <x:row r="2097">
      <x:c r="A2097" s="4" t="str">
        <x:v>2023-24</x:v>
      </x:c>
      <x:c r="B2097" s="20" t="n">
        <x:v>45381</x:v>
      </x:c>
      <x:c r="C2097" s="4" t="str">
        <x:v>Man United</x:v>
      </x:c>
      <x:c r="D2097" s="4" t="str">
        <x:v>Brentford</x:v>
      </x:c>
      <x:c r="E2097" s="4" t="str">
        <x:v>Away</x:v>
      </x:c>
      <x:c r="F2097" s="28" t="n">
        <x:v>1</x:v>
      </x:c>
      <x:c r="G2097" s="28" t="n">
        <x:v>1</x:v>
      </x:c>
      <x:c r="H2097" s="28" t="n">
        <x:v>11</x:v>
      </x:c>
      <x:c r="I2097" s="28" t="n">
        <x:v>31</x:v>
      </x:c>
      <x:c r="J2097" s="28" t="n">
        <x:v>5</x:v>
      </x:c>
      <x:c r="K2097" s="28" t="n">
        <x:v>5</x:v>
      </x:c>
      <x:c r="L2097" s="28" t="n">
        <x:v>4</x:v>
      </x:c>
      <x:c r="M2097" s="28" t="n">
        <x:v>14</x:v>
      </x:c>
      <x:c r="N2097" s="28" t="n">
        <x:v>2</x:v>
      </x:c>
      <x:c r="O2097" s="28" t="n">
        <x:v>0</x:v>
      </x:c>
      <x:c r="P2097" s="28" t="n">
        <x:v>1</x:v>
      </x:c>
      <x:c r="Q2097" s="24" t="n">
        <x:f>IFERROR(J2097/H2097,0)</x:f>
        <x:v>0.45454545454545453</x:v>
      </x:c>
      <x:c r="R2097" s="24" t="n">
        <x:f>IFERROR(F2097/H2097,0)</x:f>
        <x:v>0.09090909090909091</x:v>
      </x:c>
      <x:c r="S2097" s="24" t="n">
        <x:f>IFERROR(F2097/J2097,0)</x:f>
        <x:v>0.2</x:v>
      </x:c>
      <x:c r="T2097" s="28" t="n">
        <x:f>H2097-I2097</x:f>
        <x:v>-20</x:v>
      </x:c>
      <x:c r="U2097" s="24" t="n">
        <x:f>IFERROR(J2097/H2097,0)-IFERROR(K2097/I2097,0)</x:f>
        <x:v>0.29325513196480935</x:v>
      </x:c>
      <x:c r="V2097" s="24" t="n">
        <x:f>IFERROR(F2097/J2097,0)-IFERROR(G2097/K2097,0)</x:f>
        <x:v>0</x:v>
      </x:c>
      <x:c r="W2097" s="28" t="n">
        <x:f>L2097-M2097</x:f>
        <x:v>-10</x:v>
      </x:c>
      <x:c r="X2097" s="24" t="n">
        <x:f>IFERROR(K2097/I2097,0)</x:f>
        <x:v>0.16129032258064516</x:v>
      </x:c>
      <x:c r="Y2097" s="24" t="n">
        <x:f>IFERROR(G2097/I2097,0)</x:f>
        <x:v>0.03225806451612903</x:v>
      </x:c>
      <x:c r="Z2097" s="24" t="n">
        <x:f>IFERROR(G2097/K2097,0)</x:f>
        <x:v>0.2</x:v>
      </x:c>
      <x:c r="AA2097" s="24" t="n">
        <x:f>IFERROR(F2097/H2097,0)-IFERROR(G2097/I2097,0)</x:f>
        <x:v>0.05865102639296188</x:v>
      </x:c>
      <x:c r="AB2097" s="28" t="n">
        <x:f>J2097-K2097</x:f>
        <x:v>0</x:v>
      </x:c>
      <x:c r="AC2097" s="32" t="n">
        <x:f>F2097-G2097</x:f>
        <x:v>0</x:v>
      </x:c>
    </x:row>
    <x:row r="2098">
      <x:c r="A2098" s="4" t="str">
        <x:v>2023-24</x:v>
      </x:c>
      <x:c r="B2098" s="20" t="n">
        <x:v>45381</x:v>
      </x:c>
      <x:c r="C2098" s="4" t="str">
        <x:v>Newcastle</x:v>
      </x:c>
      <x:c r="D2098" s="4" t="str">
        <x:v>West Ham</x:v>
      </x:c>
      <x:c r="E2098" s="4" t="str">
        <x:v>Home</x:v>
      </x:c>
      <x:c r="F2098" s="28" t="n">
        <x:v>4</x:v>
      </x:c>
      <x:c r="G2098" s="28" t="n">
        <x:v>3</x:v>
      </x:c>
      <x:c r="H2098" s="28" t="n">
        <x:v>24</x:v>
      </x:c>
      <x:c r="I2098" s="28" t="n">
        <x:v>10</x:v>
      </x:c>
      <x:c r="J2098" s="28" t="n">
        <x:v>9</x:v>
      </x:c>
      <x:c r="K2098" s="28" t="n">
        <x:v>4</x:v>
      </x:c>
      <x:c r="L2098" s="28" t="n">
        <x:v>3</x:v>
      </x:c>
      <x:c r="M2098" s="28" t="n">
        <x:v>4</x:v>
      </x:c>
      <x:c r="N2098" s="28" t="n">
        <x:v>1</x:v>
      </x:c>
      <x:c r="O2098" s="28" t="n">
        <x:v>1</x:v>
      </x:c>
      <x:c r="P2098" s="28" t="n">
        <x:v>3</x:v>
      </x:c>
      <x:c r="Q2098" s="24" t="n">
        <x:f>IFERROR(J2098/H2098,0)</x:f>
        <x:v>0.375</x:v>
      </x:c>
      <x:c r="R2098" s="24" t="n">
        <x:f>IFERROR(F2098/H2098,0)</x:f>
        <x:v>0.16666666666666666</x:v>
      </x:c>
      <x:c r="S2098" s="24" t="n">
        <x:f>IFERROR(F2098/J2098,0)</x:f>
        <x:v>0.4444444444444444</x:v>
      </x:c>
      <x:c r="T2098" s="28" t="n">
        <x:f>H2098-I2098</x:f>
        <x:v>14</x:v>
      </x:c>
      <x:c r="U2098" s="24" t="n">
        <x:f>IFERROR(J2098/H2098,0)-IFERROR(K2098/I2098,0)</x:f>
        <x:v>-0.025000000000000022</x:v>
      </x:c>
      <x:c r="V2098" s="24" t="n">
        <x:f>IFERROR(F2098/J2098,0)-IFERROR(G2098/K2098,0)</x:f>
        <x:v>-0.3055555555555556</x:v>
      </x:c>
      <x:c r="W2098" s="28" t="n">
        <x:f>L2098-M2098</x:f>
        <x:v>-1</x:v>
      </x:c>
      <x:c r="X2098" s="24" t="n">
        <x:f>IFERROR(K2098/I2098,0)</x:f>
        <x:v>0.4</x:v>
      </x:c>
      <x:c r="Y2098" s="24" t="n">
        <x:f>IFERROR(G2098/I2098,0)</x:f>
        <x:v>0.3</x:v>
      </x:c>
      <x:c r="Z2098" s="24" t="n">
        <x:f>IFERROR(G2098/K2098,0)</x:f>
        <x:v>0.75</x:v>
      </x:c>
      <x:c r="AA2098" s="24" t="n">
        <x:f>IFERROR(F2098/H2098,0)-IFERROR(G2098/I2098,0)</x:f>
        <x:v>-0.13333333333333333</x:v>
      </x:c>
      <x:c r="AB2098" s="28" t="n">
        <x:f>J2098-K2098</x:f>
        <x:v>5</x:v>
      </x:c>
      <x:c r="AC2098" s="32" t="n">
        <x:f>F2098-G2098</x:f>
        <x:v>1</x:v>
      </x:c>
    </x:row>
    <x:row r="2099">
      <x:c r="A2099" s="4" t="str">
        <x:v>2023-24</x:v>
      </x:c>
      <x:c r="B2099" s="20" t="n">
        <x:v>45381</x:v>
      </x:c>
      <x:c r="C2099" s="4" t="str">
        <x:v>Nott'm Forest</x:v>
      </x:c>
      <x:c r="D2099" s="4" t="str">
        <x:v>Crystal Palace</x:v>
      </x:c>
      <x:c r="E2099" s="4" t="str">
        <x:v>Home</x:v>
      </x:c>
      <x:c r="F2099" s="28" t="n">
        <x:v>1</x:v>
      </x:c>
      <x:c r="G2099" s="28" t="n">
        <x:v>1</x:v>
      </x:c>
      <x:c r="H2099" s="28" t="n">
        <x:v>12</x:v>
      </x:c>
      <x:c r="I2099" s="28" t="n">
        <x:v>10</x:v>
      </x:c>
      <x:c r="J2099" s="28" t="n">
        <x:v>5</x:v>
      </x:c>
      <x:c r="K2099" s="28" t="n">
        <x:v>3</x:v>
      </x:c>
      <x:c r="L2099" s="28" t="n">
        <x:v>4</x:v>
      </x:c>
      <x:c r="M2099" s="28" t="n">
        <x:v>6</x:v>
      </x:c>
      <x:c r="N2099" s="28" t="n">
        <x:v>1</x:v>
      </x:c>
      <x:c r="O2099" s="28" t="n">
        <x:v>0</x:v>
      </x:c>
      <x:c r="P2099" s="28" t="n">
        <x:v>1</x:v>
      </x:c>
      <x:c r="Q2099" s="24" t="n">
        <x:f>IFERROR(J2099/H2099,0)</x:f>
        <x:v>0.4166666666666667</x:v>
      </x:c>
      <x:c r="R2099" s="24" t="n">
        <x:f>IFERROR(F2099/H2099,0)</x:f>
        <x:v>0.08333333333333333</x:v>
      </x:c>
      <x:c r="S2099" s="24" t="n">
        <x:f>IFERROR(F2099/J2099,0)</x:f>
        <x:v>0.2</x:v>
      </x:c>
      <x:c r="T2099" s="28" t="n">
        <x:f>H2099-I2099</x:f>
        <x:v>2</x:v>
      </x:c>
      <x:c r="U2099" s="24" t="n">
        <x:f>IFERROR(J2099/H2099,0)-IFERROR(K2099/I2099,0)</x:f>
        <x:v>0.1166666666666667</x:v>
      </x:c>
      <x:c r="V2099" s="24" t="n">
        <x:f>IFERROR(F2099/J2099,0)-IFERROR(G2099/K2099,0)</x:f>
        <x:v>-0.1333333333333333</x:v>
      </x:c>
      <x:c r="W2099" s="28" t="n">
        <x:f>L2099-M2099</x:f>
        <x:v>-2</x:v>
      </x:c>
      <x:c r="X2099" s="24" t="n">
        <x:f>IFERROR(K2099/I2099,0)</x:f>
        <x:v>0.3</x:v>
      </x:c>
      <x:c r="Y2099" s="24" t="n">
        <x:f>IFERROR(G2099/I2099,0)</x:f>
        <x:v>0.1</x:v>
      </x:c>
      <x:c r="Z2099" s="24" t="n">
        <x:f>IFERROR(G2099/K2099,0)</x:f>
        <x:v>0.3333333333333333</x:v>
      </x:c>
      <x:c r="AA2099" s="24" t="n">
        <x:f>IFERROR(F2099/H2099,0)-IFERROR(G2099/I2099,0)</x:f>
        <x:v>-0.016666666666666677</x:v>
      </x:c>
      <x:c r="AB2099" s="28" t="n">
        <x:f>J2099-K2099</x:f>
        <x:v>2</x:v>
      </x:c>
      <x:c r="AC2099" s="32" t="n">
        <x:f>F2099-G2099</x:f>
        <x:v>0</x:v>
      </x:c>
    </x:row>
    <x:row r="2100">
      <x:c r="A2100" s="4" t="str">
        <x:v>2023-24</x:v>
      </x:c>
      <x:c r="B2100" s="20" t="n">
        <x:v>45381</x:v>
      </x:c>
      <x:c r="C2100" s="4" t="str">
        <x:v>Sheffield United</x:v>
      </x:c>
      <x:c r="D2100" s="4" t="str">
        <x:v>Fulham</x:v>
      </x:c>
      <x:c r="E2100" s="4" t="str">
        <x:v>Home</x:v>
      </x:c>
      <x:c r="F2100" s="28" t="n">
        <x:v>3</x:v>
      </x:c>
      <x:c r="G2100" s="28" t="n">
        <x:v>3</x:v>
      </x:c>
      <x:c r="H2100" s="28" t="n">
        <x:v>8</x:v>
      </x:c>
      <x:c r="I2100" s="28" t="n">
        <x:v>24</x:v>
      </x:c>
      <x:c r="J2100" s="28" t="n">
        <x:v>4</x:v>
      </x:c>
      <x:c r="K2100" s="28" t="n">
        <x:v>9</x:v>
      </x:c>
      <x:c r="L2100" s="28" t="n">
        <x:v>2</x:v>
      </x:c>
      <x:c r="M2100" s="28" t="n">
        <x:v>15</x:v>
      </x:c>
      <x:c r="N2100" s="28" t="n">
        <x:v>4</x:v>
      </x:c>
      <x:c r="O2100" s="28" t="n">
        <x:v>0</x:v>
      </x:c>
      <x:c r="P2100" s="28" t="n">
        <x:v>1</x:v>
      </x:c>
      <x:c r="Q2100" s="24" t="n">
        <x:f>IFERROR(J2100/H2100,0)</x:f>
        <x:v>0.5</x:v>
      </x:c>
      <x:c r="R2100" s="24" t="n">
        <x:f>IFERROR(F2100/H2100,0)</x:f>
        <x:v>0.375</x:v>
      </x:c>
      <x:c r="S2100" s="24" t="n">
        <x:f>IFERROR(F2100/J2100,0)</x:f>
        <x:v>0.75</x:v>
      </x:c>
      <x:c r="T2100" s="28" t="n">
        <x:f>H2100-I2100</x:f>
        <x:v>-16</x:v>
      </x:c>
      <x:c r="U2100" s="24" t="n">
        <x:f>IFERROR(J2100/H2100,0)-IFERROR(K2100/I2100,0)</x:f>
        <x:v>0.125</x:v>
      </x:c>
      <x:c r="V2100" s="24" t="n">
        <x:f>IFERROR(F2100/J2100,0)-IFERROR(G2100/K2100,0)</x:f>
        <x:v>0.4166666666666667</x:v>
      </x:c>
      <x:c r="W2100" s="28" t="n">
        <x:f>L2100-M2100</x:f>
        <x:v>-13</x:v>
      </x:c>
      <x:c r="X2100" s="24" t="n">
        <x:f>IFERROR(K2100/I2100,0)</x:f>
        <x:v>0.375</x:v>
      </x:c>
      <x:c r="Y2100" s="24" t="n">
        <x:f>IFERROR(G2100/I2100,0)</x:f>
        <x:v>0.125</x:v>
      </x:c>
      <x:c r="Z2100" s="24" t="n">
        <x:f>IFERROR(G2100/K2100,0)</x:f>
        <x:v>0.3333333333333333</x:v>
      </x:c>
      <x:c r="AA2100" s="24" t="n">
        <x:f>IFERROR(F2100/H2100,0)-IFERROR(G2100/I2100,0)</x:f>
        <x:v>0.25</x:v>
      </x:c>
      <x:c r="AB2100" s="28" t="n">
        <x:f>J2100-K2100</x:f>
        <x:v>-5</x:v>
      </x:c>
      <x:c r="AC2100" s="32" t="n">
        <x:f>F2100-G2100</x:f>
        <x:v>0</x:v>
      </x:c>
    </x:row>
    <x:row r="2101">
      <x:c r="A2101" s="4" t="str">
        <x:v>2023-24</x:v>
      </x:c>
      <x:c r="B2101" s="20" t="n">
        <x:v>45381</x:v>
      </x:c>
      <x:c r="C2101" s="4" t="str">
        <x:v>Tottenham</x:v>
      </x:c>
      <x:c r="D2101" s="4" t="str">
        <x:v>Luton</x:v>
      </x:c>
      <x:c r="E2101" s="4" t="str">
        <x:v>Home</x:v>
      </x:c>
      <x:c r="F2101" s="28" t="n">
        <x:v>2</x:v>
      </x:c>
      <x:c r="G2101" s="28" t="n">
        <x:v>1</x:v>
      </x:c>
      <x:c r="H2101" s="28" t="n">
        <x:v>17</x:v>
      </x:c>
      <x:c r="I2101" s="28" t="n">
        <x:v>7</x:v>
      </x:c>
      <x:c r="J2101" s="28" t="n">
        <x:v>4</x:v>
      </x:c>
      <x:c r="K2101" s="28" t="n">
        <x:v>3</x:v>
      </x:c>
      <x:c r="L2101" s="28" t="n">
        <x:v>3</x:v>
      </x:c>
      <x:c r="M2101" s="28" t="n">
        <x:v>6</x:v>
      </x:c>
      <x:c r="N2101" s="28" t="n">
        <x:v>2</x:v>
      </x:c>
      <x:c r="O2101" s="28" t="n">
        <x:v>0</x:v>
      </x:c>
      <x:c r="P2101" s="28" t="n">
        <x:v>3</x:v>
      </x:c>
      <x:c r="Q2101" s="24" t="n">
        <x:f>IFERROR(J2101/H2101,0)</x:f>
        <x:v>0.23529411764705882</x:v>
      </x:c>
      <x:c r="R2101" s="24" t="n">
        <x:f>IFERROR(F2101/H2101,0)</x:f>
        <x:v>0.11764705882352941</x:v>
      </x:c>
      <x:c r="S2101" s="24" t="n">
        <x:f>IFERROR(F2101/J2101,0)</x:f>
        <x:v>0.5</x:v>
      </x:c>
      <x:c r="T2101" s="28" t="n">
        <x:f>H2101-I2101</x:f>
        <x:v>10</x:v>
      </x:c>
      <x:c r="U2101" s="24" t="n">
        <x:f>IFERROR(J2101/H2101,0)-IFERROR(K2101/I2101,0)</x:f>
        <x:v>-0.19327731092436973</x:v>
      </x:c>
      <x:c r="V2101" s="24" t="n">
        <x:f>IFERROR(F2101/J2101,0)-IFERROR(G2101/K2101,0)</x:f>
        <x:v>0.16666666666666669</x:v>
      </x:c>
      <x:c r="W2101" s="28" t="n">
        <x:f>L2101-M2101</x:f>
        <x:v>-3</x:v>
      </x:c>
      <x:c r="X2101" s="24" t="n">
        <x:f>IFERROR(K2101/I2101,0)</x:f>
        <x:v>0.42857142857142855</x:v>
      </x:c>
      <x:c r="Y2101" s="24" t="n">
        <x:f>IFERROR(G2101/I2101,0)</x:f>
        <x:v>0.14285714285714285</x:v>
      </x:c>
      <x:c r="Z2101" s="24" t="n">
        <x:f>IFERROR(G2101/K2101,0)</x:f>
        <x:v>0.3333333333333333</x:v>
      </x:c>
      <x:c r="AA2101" s="24" t="n">
        <x:f>IFERROR(F2101/H2101,0)-IFERROR(G2101/I2101,0)</x:f>
        <x:v>-0.02521008403361344</x:v>
      </x:c>
      <x:c r="AB2101" s="28" t="n">
        <x:f>J2101-K2101</x:f>
        <x:v>1</x:v>
      </x:c>
      <x:c r="AC2101" s="32" t="n">
        <x:f>F2101-G2101</x:f>
        <x:v>1</x:v>
      </x:c>
    </x:row>
    <x:row r="2102">
      <x:c r="A2102" s="4" t="str">
        <x:v>2023-24</x:v>
      </x:c>
      <x:c r="B2102" s="20" t="n">
        <x:v>45381</x:v>
      </x:c>
      <x:c r="C2102" s="4" t="str">
        <x:v>West Ham</x:v>
      </x:c>
      <x:c r="D2102" s="4" t="str">
        <x:v>Newcastle</x:v>
      </x:c>
      <x:c r="E2102" s="4" t="str">
        <x:v>Away</x:v>
      </x:c>
      <x:c r="F2102" s="28" t="n">
        <x:v>3</x:v>
      </x:c>
      <x:c r="G2102" s="28" t="n">
        <x:v>4</x:v>
      </x:c>
      <x:c r="H2102" s="28" t="n">
        <x:v>10</x:v>
      </x:c>
      <x:c r="I2102" s="28" t="n">
        <x:v>24</x:v>
      </x:c>
      <x:c r="J2102" s="28" t="n">
        <x:v>4</x:v>
      </x:c>
      <x:c r="K2102" s="28" t="n">
        <x:v>9</x:v>
      </x:c>
      <x:c r="L2102" s="28" t="n">
        <x:v>4</x:v>
      </x:c>
      <x:c r="M2102" s="28" t="n">
        <x:v>3</x:v>
      </x:c>
      <x:c r="N2102" s="28" t="n">
        <x:v>1</x:v>
      </x:c>
      <x:c r="O2102" s="28" t="n">
        <x:v>0</x:v>
      </x:c>
      <x:c r="P2102" s="28" t="n">
        <x:v>0</x:v>
      </x:c>
      <x:c r="Q2102" s="24" t="n">
        <x:f>IFERROR(J2102/H2102,0)</x:f>
        <x:v>0.4</x:v>
      </x:c>
      <x:c r="R2102" s="24" t="n">
        <x:f>IFERROR(F2102/H2102,0)</x:f>
        <x:v>0.3</x:v>
      </x:c>
      <x:c r="S2102" s="24" t="n">
        <x:f>IFERROR(F2102/J2102,0)</x:f>
        <x:v>0.75</x:v>
      </x:c>
      <x:c r="T2102" s="28" t="n">
        <x:f>H2102-I2102</x:f>
        <x:v>-14</x:v>
      </x:c>
      <x:c r="U2102" s="24" t="n">
        <x:f>IFERROR(J2102/H2102,0)-IFERROR(K2102/I2102,0)</x:f>
        <x:v>0.025000000000000022</x:v>
      </x:c>
      <x:c r="V2102" s="24" t="n">
        <x:f>IFERROR(F2102/J2102,0)-IFERROR(G2102/K2102,0)</x:f>
        <x:v>0.3055555555555556</x:v>
      </x:c>
      <x:c r="W2102" s="28" t="n">
        <x:f>L2102-M2102</x:f>
        <x:v>1</x:v>
      </x:c>
      <x:c r="X2102" s="24" t="n">
        <x:f>IFERROR(K2102/I2102,0)</x:f>
        <x:v>0.375</x:v>
      </x:c>
      <x:c r="Y2102" s="24" t="n">
        <x:f>IFERROR(G2102/I2102,0)</x:f>
        <x:v>0.16666666666666666</x:v>
      </x:c>
      <x:c r="Z2102" s="24" t="n">
        <x:f>IFERROR(G2102/K2102,0)</x:f>
        <x:v>0.4444444444444444</x:v>
      </x:c>
      <x:c r="AA2102" s="24" t="n">
        <x:f>IFERROR(F2102/H2102,0)-IFERROR(G2102/I2102,0)</x:f>
        <x:v>0.13333333333333333</x:v>
      </x:c>
      <x:c r="AB2102" s="28" t="n">
        <x:f>J2102-K2102</x:f>
        <x:v>-5</x:v>
      </x:c>
      <x:c r="AC2102" s="32" t="n">
        <x:f>F2102-G2102</x:f>
        <x:v>-1</x:v>
      </x:c>
    </x:row>
    <x:row r="2103">
      <x:c r="A2103" s="4" t="str">
        <x:v>2023-24</x:v>
      </x:c>
      <x:c r="B2103" s="20" t="n">
        <x:v>45381</x:v>
      </x:c>
      <x:c r="C2103" s="4" t="str">
        <x:v>Wolves</x:v>
      </x:c>
      <x:c r="D2103" s="4" t="str">
        <x:v>Aston Villa</x:v>
      </x:c>
      <x:c r="E2103" s="4" t="str">
        <x:v>Away</x:v>
      </x:c>
      <x:c r="F2103" s="28" t="n">
        <x:v>0</x:v>
      </x:c>
      <x:c r="G2103" s="28" t="n">
        <x:v>2</x:v>
      </x:c>
      <x:c r="H2103" s="28" t="n">
        <x:v>13</x:v>
      </x:c>
      <x:c r="I2103" s="28" t="n">
        <x:v>11</x:v>
      </x:c>
      <x:c r="J2103" s="28" t="n">
        <x:v>3</x:v>
      </x:c>
      <x:c r="K2103" s="28" t="n">
        <x:v>5</x:v>
      </x:c>
      <x:c r="L2103" s="28" t="n">
        <x:v>4</x:v>
      </x:c>
      <x:c r="M2103" s="28" t="n">
        <x:v>5</x:v>
      </x:c>
      <x:c r="N2103" s="28" t="n">
        <x:v>4</x:v>
      </x:c>
      <x:c r="O2103" s="28" t="n">
        <x:v>0</x:v>
      </x:c>
      <x:c r="P2103" s="28" t="n">
        <x:v>0</x:v>
      </x:c>
      <x:c r="Q2103" s="24" t="n">
        <x:f>IFERROR(J2103/H2103,0)</x:f>
        <x:v>0.23076923076923078</x:v>
      </x:c>
      <x:c r="R2103" s="24" t="n">
        <x:f>IFERROR(F2103/H2103,0)</x:f>
        <x:v>0</x:v>
      </x:c>
      <x:c r="S2103" s="24" t="n">
        <x:f>IFERROR(F2103/J2103,0)</x:f>
        <x:v>0</x:v>
      </x:c>
      <x:c r="T2103" s="28" t="n">
        <x:f>H2103-I2103</x:f>
        <x:v>2</x:v>
      </x:c>
      <x:c r="U2103" s="24" t="n">
        <x:f>IFERROR(J2103/H2103,0)-IFERROR(K2103/I2103,0)</x:f>
        <x:v>-0.22377622377622375</x:v>
      </x:c>
      <x:c r="V2103" s="24" t="n">
        <x:f>IFERROR(F2103/J2103,0)-IFERROR(G2103/K2103,0)</x:f>
        <x:v>-0.4</x:v>
      </x:c>
      <x:c r="W2103" s="28" t="n">
        <x:f>L2103-M2103</x:f>
        <x:v>-1</x:v>
      </x:c>
      <x:c r="X2103" s="24" t="n">
        <x:f>IFERROR(K2103/I2103,0)</x:f>
        <x:v>0.45454545454545453</x:v>
      </x:c>
      <x:c r="Y2103" s="24" t="n">
        <x:f>IFERROR(G2103/I2103,0)</x:f>
        <x:v>0.18181818181818182</x:v>
      </x:c>
      <x:c r="Z2103" s="24" t="n">
        <x:f>IFERROR(G2103/K2103,0)</x:f>
        <x:v>0.4</x:v>
      </x:c>
      <x:c r="AA2103" s="24" t="n">
        <x:f>IFERROR(F2103/H2103,0)-IFERROR(G2103/I2103,0)</x:f>
        <x:v>-0.18181818181818182</x:v>
      </x:c>
      <x:c r="AB2103" s="28" t="n">
        <x:f>J2103-K2103</x:f>
        <x:v>-2</x:v>
      </x:c>
      <x:c r="AC2103" s="32" t="n">
        <x:f>F2103-G2103</x:f>
        <x:v>-2</x:v>
      </x:c>
    </x:row>
    <x:row r="2104">
      <x:c r="A2104" s="4" t="str">
        <x:v>2023-24</x:v>
      </x:c>
      <x:c r="B2104" s="20" t="n">
        <x:v>45382</x:v>
      </x:c>
      <x:c r="C2104" s="4" t="str">
        <x:v>Arsenal</x:v>
      </x:c>
      <x:c r="D2104" s="4" t="str">
        <x:v>Man City</x:v>
      </x:c>
      <x:c r="E2104" s="4" t="str">
        <x:v>Away</x:v>
      </x:c>
      <x:c r="F2104" s="28" t="n">
        <x:v>0</x:v>
      </x:c>
      <x:c r="G2104" s="28" t="n">
        <x:v>0</x:v>
      </x:c>
      <x:c r="H2104" s="28" t="n">
        <x:v>6</x:v>
      </x:c>
      <x:c r="I2104" s="28" t="n">
        <x:v>12</x:v>
      </x:c>
      <x:c r="J2104" s="28" t="n">
        <x:v>2</x:v>
      </x:c>
      <x:c r="K2104" s="28" t="n">
        <x:v>1</x:v>
      </x:c>
      <x:c r="L2104" s="28" t="n">
        <x:v>4</x:v>
      </x:c>
      <x:c r="M2104" s="28" t="n">
        <x:v>7</x:v>
      </x:c>
      <x:c r="N2104" s="28" t="n">
        <x:v>2</x:v>
      </x:c>
      <x:c r="O2104" s="28" t="n">
        <x:v>0</x:v>
      </x:c>
      <x:c r="P2104" s="28" t="n">
        <x:v>1</x:v>
      </x:c>
      <x:c r="Q2104" s="24" t="n">
        <x:f>IFERROR(J2104/H2104,0)</x:f>
        <x:v>0.3333333333333333</x:v>
      </x:c>
      <x:c r="R2104" s="24" t="n">
        <x:f>IFERROR(F2104/H2104,0)</x:f>
        <x:v>0</x:v>
      </x:c>
      <x:c r="S2104" s="24" t="n">
        <x:f>IFERROR(F2104/J2104,0)</x:f>
        <x:v>0</x:v>
      </x:c>
      <x:c r="T2104" s="28" t="n">
        <x:f>H2104-I2104</x:f>
        <x:v>-6</x:v>
      </x:c>
      <x:c r="U2104" s="24" t="n">
        <x:f>IFERROR(J2104/H2104,0)-IFERROR(K2104/I2104,0)</x:f>
        <x:v>0.25</x:v>
      </x:c>
      <x:c r="V2104" s="24" t="n">
        <x:f>IFERROR(F2104/J2104,0)-IFERROR(G2104/K2104,0)</x:f>
        <x:v>0</x:v>
      </x:c>
      <x:c r="W2104" s="28" t="n">
        <x:f>L2104-M2104</x:f>
        <x:v>-3</x:v>
      </x:c>
      <x:c r="X2104" s="24" t="n">
        <x:f>IFERROR(K2104/I2104,0)</x:f>
        <x:v>0.08333333333333333</x:v>
      </x:c>
      <x:c r="Y2104" s="24" t="n">
        <x:f>IFERROR(G2104/I2104,0)</x:f>
        <x:v>0</x:v>
      </x:c>
      <x:c r="Z2104" s="24" t="n">
        <x:f>IFERROR(G2104/K2104,0)</x:f>
        <x:v>0</x:v>
      </x:c>
      <x:c r="AA2104" s="24" t="n">
        <x:f>IFERROR(F2104/H2104,0)-IFERROR(G2104/I2104,0)</x:f>
        <x:v>0</x:v>
      </x:c>
      <x:c r="AB2104" s="28" t="n">
        <x:f>J2104-K2104</x:f>
        <x:v>1</x:v>
      </x:c>
      <x:c r="AC2104" s="32" t="n">
        <x:f>F2104-G2104</x:f>
        <x:v>0</x:v>
      </x:c>
    </x:row>
    <x:row r="2105">
      <x:c r="A2105" s="4" t="str">
        <x:v>2023-24</x:v>
      </x:c>
      <x:c r="B2105" s="20" t="n">
        <x:v>45382</x:v>
      </x:c>
      <x:c r="C2105" s="4" t="str">
        <x:v>Brighton</x:v>
      </x:c>
      <x:c r="D2105" s="4" t="str">
        <x:v>Liverpool</x:v>
      </x:c>
      <x:c r="E2105" s="4" t="str">
        <x:v>Away</x:v>
      </x:c>
      <x:c r="F2105" s="28" t="n">
        <x:v>1</x:v>
      </x:c>
      <x:c r="G2105" s="28" t="n">
        <x:v>2</x:v>
      </x:c>
      <x:c r="H2105" s="28" t="n">
        <x:v>9</x:v>
      </x:c>
      <x:c r="I2105" s="28" t="n">
        <x:v>30</x:v>
      </x:c>
      <x:c r="J2105" s="28" t="n">
        <x:v>3</x:v>
      </x:c>
      <x:c r="K2105" s="28" t="n">
        <x:v>8</x:v>
      </x:c>
      <x:c r="L2105" s="28" t="n">
        <x:v>4</x:v>
      </x:c>
      <x:c r="M2105" s="28" t="n">
        <x:v>8</x:v>
      </x:c>
      <x:c r="N2105" s="28" t="n">
        <x:v>3</x:v>
      </x:c>
      <x:c r="O2105" s="28" t="n">
        <x:v>0</x:v>
      </x:c>
      <x:c r="P2105" s="28" t="n">
        <x:v>0</x:v>
      </x:c>
      <x:c r="Q2105" s="24" t="n">
        <x:f>IFERROR(J2105/H2105,0)</x:f>
        <x:v>0.3333333333333333</x:v>
      </x:c>
      <x:c r="R2105" s="24" t="n">
        <x:f>IFERROR(F2105/H2105,0)</x:f>
        <x:v>0.1111111111111111</x:v>
      </x:c>
      <x:c r="S2105" s="24" t="n">
        <x:f>IFERROR(F2105/J2105,0)</x:f>
        <x:v>0.3333333333333333</x:v>
      </x:c>
      <x:c r="T2105" s="28" t="n">
        <x:f>H2105-I2105</x:f>
        <x:v>-21</x:v>
      </x:c>
      <x:c r="U2105" s="24" t="n">
        <x:f>IFERROR(J2105/H2105,0)-IFERROR(K2105/I2105,0)</x:f>
        <x:v>0.06666666666666665</x:v>
      </x:c>
      <x:c r="V2105" s="24" t="n">
        <x:f>IFERROR(F2105/J2105,0)-IFERROR(G2105/K2105,0)</x:f>
        <x:v>0.08333333333333331</x:v>
      </x:c>
      <x:c r="W2105" s="28" t="n">
        <x:f>L2105-M2105</x:f>
        <x:v>-4</x:v>
      </x:c>
      <x:c r="X2105" s="24" t="n">
        <x:f>IFERROR(K2105/I2105,0)</x:f>
        <x:v>0.26666666666666666</x:v>
      </x:c>
      <x:c r="Y2105" s="24" t="n">
        <x:f>IFERROR(G2105/I2105,0)</x:f>
        <x:v>0.06666666666666667</x:v>
      </x:c>
      <x:c r="Z2105" s="24" t="n">
        <x:f>IFERROR(G2105/K2105,0)</x:f>
        <x:v>0.25</x:v>
      </x:c>
      <x:c r="AA2105" s="24" t="n">
        <x:f>IFERROR(F2105/H2105,0)-IFERROR(G2105/I2105,0)</x:f>
        <x:v>0.04444444444444444</x:v>
      </x:c>
      <x:c r="AB2105" s="28" t="n">
        <x:f>J2105-K2105</x:f>
        <x:v>-5</x:v>
      </x:c>
      <x:c r="AC2105" s="32" t="n">
        <x:f>F2105-G2105</x:f>
        <x:v>-1</x:v>
      </x:c>
    </x:row>
    <x:row r="2106">
      <x:c r="A2106" s="4" t="str">
        <x:v>2023-24</x:v>
      </x:c>
      <x:c r="B2106" s="20" t="n">
        <x:v>45382</x:v>
      </x:c>
      <x:c r="C2106" s="4" t="str">
        <x:v>Liverpool</x:v>
      </x:c>
      <x:c r="D2106" s="4" t="str">
        <x:v>Brighton</x:v>
      </x:c>
      <x:c r="E2106" s="4" t="str">
        <x:v>Home</x:v>
      </x:c>
      <x:c r="F2106" s="28" t="n">
        <x:v>2</x:v>
      </x:c>
      <x:c r="G2106" s="28" t="n">
        <x:v>1</x:v>
      </x:c>
      <x:c r="H2106" s="28" t="n">
        <x:v>30</x:v>
      </x:c>
      <x:c r="I2106" s="28" t="n">
        <x:v>9</x:v>
      </x:c>
      <x:c r="J2106" s="28" t="n">
        <x:v>8</x:v>
      </x:c>
      <x:c r="K2106" s="28" t="n">
        <x:v>3</x:v>
      </x:c>
      <x:c r="L2106" s="28" t="n">
        <x:v>8</x:v>
      </x:c>
      <x:c r="M2106" s="28" t="n">
        <x:v>4</x:v>
      </x:c>
      <x:c r="N2106" s="28" t="n">
        <x:v>5</x:v>
      </x:c>
      <x:c r="O2106" s="28" t="n">
        <x:v>0</x:v>
      </x:c>
      <x:c r="P2106" s="28" t="n">
        <x:v>3</x:v>
      </x:c>
      <x:c r="Q2106" s="24" t="n">
        <x:f>IFERROR(J2106/H2106,0)</x:f>
        <x:v>0.26666666666666666</x:v>
      </x:c>
      <x:c r="R2106" s="24" t="n">
        <x:f>IFERROR(F2106/H2106,0)</x:f>
        <x:v>0.06666666666666667</x:v>
      </x:c>
      <x:c r="S2106" s="24" t="n">
        <x:f>IFERROR(F2106/J2106,0)</x:f>
        <x:v>0.25</x:v>
      </x:c>
      <x:c r="T2106" s="28" t="n">
        <x:f>H2106-I2106</x:f>
        <x:v>21</x:v>
      </x:c>
      <x:c r="U2106" s="24" t="n">
        <x:f>IFERROR(J2106/H2106,0)-IFERROR(K2106/I2106,0)</x:f>
        <x:v>-0.06666666666666665</x:v>
      </x:c>
      <x:c r="V2106" s="24" t="n">
        <x:f>IFERROR(F2106/J2106,0)-IFERROR(G2106/K2106,0)</x:f>
        <x:v>-0.08333333333333331</x:v>
      </x:c>
      <x:c r="W2106" s="28" t="n">
        <x:f>L2106-M2106</x:f>
        <x:v>4</x:v>
      </x:c>
      <x:c r="X2106" s="24" t="n">
        <x:f>IFERROR(K2106/I2106,0)</x:f>
        <x:v>0.3333333333333333</x:v>
      </x:c>
      <x:c r="Y2106" s="24" t="n">
        <x:f>IFERROR(G2106/I2106,0)</x:f>
        <x:v>0.1111111111111111</x:v>
      </x:c>
      <x:c r="Z2106" s="24" t="n">
        <x:f>IFERROR(G2106/K2106,0)</x:f>
        <x:v>0.3333333333333333</x:v>
      </x:c>
      <x:c r="AA2106" s="24" t="n">
        <x:f>IFERROR(F2106/H2106,0)-IFERROR(G2106/I2106,0)</x:f>
        <x:v>-0.04444444444444444</x:v>
      </x:c>
      <x:c r="AB2106" s="28" t="n">
        <x:f>J2106-K2106</x:f>
        <x:v>5</x:v>
      </x:c>
      <x:c r="AC2106" s="32" t="n">
        <x:f>F2106-G2106</x:f>
        <x:v>1</x:v>
      </x:c>
    </x:row>
    <x:row r="2107">
      <x:c r="A2107" s="4" t="str">
        <x:v>2023-24</x:v>
      </x:c>
      <x:c r="B2107" s="20" t="n">
        <x:v>45382</x:v>
      </x:c>
      <x:c r="C2107" s="4" t="str">
        <x:v>Man City</x:v>
      </x:c>
      <x:c r="D2107" s="4" t="str">
        <x:v>Arsenal</x:v>
      </x:c>
      <x:c r="E2107" s="4" t="str">
        <x:v>Home</x:v>
      </x:c>
      <x:c r="F2107" s="28" t="n">
        <x:v>0</x:v>
      </x:c>
      <x:c r="G2107" s="28" t="n">
        <x:v>0</x:v>
      </x:c>
      <x:c r="H2107" s="28" t="n">
        <x:v>12</x:v>
      </x:c>
      <x:c r="I2107" s="28" t="n">
        <x:v>6</x:v>
      </x:c>
      <x:c r="J2107" s="28" t="n">
        <x:v>1</x:v>
      </x:c>
      <x:c r="K2107" s="28" t="n">
        <x:v>2</x:v>
      </x:c>
      <x:c r="L2107" s="28" t="n">
        <x:v>7</x:v>
      </x:c>
      <x:c r="M2107" s="28" t="n">
        <x:v>4</x:v>
      </x:c>
      <x:c r="N2107" s="28" t="n">
        <x:v>0</x:v>
      </x:c>
      <x:c r="O2107" s="28" t="n">
        <x:v>0</x:v>
      </x:c>
      <x:c r="P2107" s="28" t="n">
        <x:v>1</x:v>
      </x:c>
      <x:c r="Q2107" s="24" t="n">
        <x:f>IFERROR(J2107/H2107,0)</x:f>
        <x:v>0.08333333333333333</x:v>
      </x:c>
      <x:c r="R2107" s="24" t="n">
        <x:f>IFERROR(F2107/H2107,0)</x:f>
        <x:v>0</x:v>
      </x:c>
      <x:c r="S2107" s="24" t="n">
        <x:f>IFERROR(F2107/J2107,0)</x:f>
        <x:v>0</x:v>
      </x:c>
      <x:c r="T2107" s="28" t="n">
        <x:f>H2107-I2107</x:f>
        <x:v>6</x:v>
      </x:c>
      <x:c r="U2107" s="24" t="n">
        <x:f>IFERROR(J2107/H2107,0)-IFERROR(K2107/I2107,0)</x:f>
        <x:v>-0.25</x:v>
      </x:c>
      <x:c r="V2107" s="24" t="n">
        <x:f>IFERROR(F2107/J2107,0)-IFERROR(G2107/K2107,0)</x:f>
        <x:v>0</x:v>
      </x:c>
      <x:c r="W2107" s="28" t="n">
        <x:f>L2107-M2107</x:f>
        <x:v>3</x:v>
      </x:c>
      <x:c r="X2107" s="24" t="n">
        <x:f>IFERROR(K2107/I2107,0)</x:f>
        <x:v>0.3333333333333333</x:v>
      </x:c>
      <x:c r="Y2107" s="24" t="n">
        <x:f>IFERROR(G2107/I2107,0)</x:f>
        <x:v>0</x:v>
      </x:c>
      <x:c r="Z2107" s="24" t="n">
        <x:f>IFERROR(G2107/K2107,0)</x:f>
        <x:v>0</x:v>
      </x:c>
      <x:c r="AA2107" s="24" t="n">
        <x:f>IFERROR(F2107/H2107,0)-IFERROR(G2107/I2107,0)</x:f>
        <x:v>0</x:v>
      </x:c>
      <x:c r="AB2107" s="28" t="n">
        <x:f>J2107-K2107</x:f>
        <x:v>-1</x:v>
      </x:c>
      <x:c r="AC2107" s="32" t="n">
        <x:f>F2107-G2107</x:f>
        <x:v>0</x:v>
      </x:c>
    </x:row>
    <x:row r="2108">
      <x:c r="A2108" s="4" t="str">
        <x:v>2023-24</x:v>
      </x:c>
      <x:c r="B2108" s="20" t="n">
        <x:v>45384</x:v>
      </x:c>
      <x:c r="C2108" s="4" t="str">
        <x:v>Bournemouth</x:v>
      </x:c>
      <x:c r="D2108" s="4" t="str">
        <x:v>Crystal Palace</x:v>
      </x:c>
      <x:c r="E2108" s="4" t="str">
        <x:v>Home</x:v>
      </x:c>
      <x:c r="F2108" s="28" t="n">
        <x:v>1</x:v>
      </x:c>
      <x:c r="G2108" s="28" t="n">
        <x:v>0</x:v>
      </x:c>
      <x:c r="H2108" s="28" t="n">
        <x:v>11</x:v>
      </x:c>
      <x:c r="I2108" s="28" t="n">
        <x:v>3</x:v>
      </x:c>
      <x:c r="J2108" s="28" t="n">
        <x:v>6</x:v>
      </x:c>
      <x:c r="K2108" s="28" t="n">
        <x:v>2</x:v>
      </x:c>
      <x:c r="L2108" s="28" t="n">
        <x:v>9</x:v>
      </x:c>
      <x:c r="M2108" s="28" t="n">
        <x:v>2</x:v>
      </x:c>
      <x:c r="N2108" s="28" t="n">
        <x:v>3</x:v>
      </x:c>
      <x:c r="O2108" s="28" t="n">
        <x:v>0</x:v>
      </x:c>
      <x:c r="P2108" s="28" t="n">
        <x:v>3</x:v>
      </x:c>
      <x:c r="Q2108" s="24" t="n">
        <x:f>IFERROR(J2108/H2108,0)</x:f>
        <x:v>0.5454545454545454</x:v>
      </x:c>
      <x:c r="R2108" s="24" t="n">
        <x:f>IFERROR(F2108/H2108,0)</x:f>
        <x:v>0.09090909090909091</x:v>
      </x:c>
      <x:c r="S2108" s="24" t="n">
        <x:f>IFERROR(F2108/J2108,0)</x:f>
        <x:v>0.16666666666666666</x:v>
      </x:c>
      <x:c r="T2108" s="28" t="n">
        <x:f>H2108-I2108</x:f>
        <x:v>8</x:v>
      </x:c>
      <x:c r="U2108" s="24" t="n">
        <x:f>IFERROR(J2108/H2108,0)-IFERROR(K2108/I2108,0)</x:f>
        <x:v>-0.12121212121212122</x:v>
      </x:c>
      <x:c r="V2108" s="24" t="n">
        <x:f>IFERROR(F2108/J2108,0)-IFERROR(G2108/K2108,0)</x:f>
        <x:v>0.16666666666666666</x:v>
      </x:c>
      <x:c r="W2108" s="28" t="n">
        <x:f>L2108-M2108</x:f>
        <x:v>7</x:v>
      </x:c>
      <x:c r="X2108" s="24" t="n">
        <x:f>IFERROR(K2108/I2108,0)</x:f>
        <x:v>0.6666666666666666</x:v>
      </x:c>
      <x:c r="Y2108" s="24" t="n">
        <x:f>IFERROR(G2108/I2108,0)</x:f>
        <x:v>0</x:v>
      </x:c>
      <x:c r="Z2108" s="24" t="n">
        <x:f>IFERROR(G2108/K2108,0)</x:f>
        <x:v>0</x:v>
      </x:c>
      <x:c r="AA2108" s="24" t="n">
        <x:f>IFERROR(F2108/H2108,0)-IFERROR(G2108/I2108,0)</x:f>
        <x:v>0.09090909090909091</x:v>
      </x:c>
      <x:c r="AB2108" s="28" t="n">
        <x:f>J2108-K2108</x:f>
        <x:v>4</x:v>
      </x:c>
      <x:c r="AC2108" s="32" t="n">
        <x:f>F2108-G2108</x:f>
        <x:v>1</x:v>
      </x:c>
    </x:row>
    <x:row r="2109">
      <x:c r="A2109" s="4" t="str">
        <x:v>2023-24</x:v>
      </x:c>
      <x:c r="B2109" s="20" t="n">
        <x:v>45384</x:v>
      </x:c>
      <x:c r="C2109" s="4" t="str">
        <x:v>Burnley</x:v>
      </x:c>
      <x:c r="D2109" s="4" t="str">
        <x:v>Wolves</x:v>
      </x:c>
      <x:c r="E2109" s="4" t="str">
        <x:v>Home</x:v>
      </x:c>
      <x:c r="F2109" s="28" t="n">
        <x:v>1</x:v>
      </x:c>
      <x:c r="G2109" s="28" t="n">
        <x:v>1</x:v>
      </x:c>
      <x:c r="H2109" s="28" t="n">
        <x:v>13</x:v>
      </x:c>
      <x:c r="I2109" s="28" t="n">
        <x:v>8</x:v>
      </x:c>
      <x:c r="J2109" s="28" t="n">
        <x:v>6</x:v>
      </x:c>
      <x:c r="K2109" s="28" t="n">
        <x:v>2</x:v>
      </x:c>
      <x:c r="L2109" s="28" t="n">
        <x:v>7</x:v>
      </x:c>
      <x:c r="M2109" s="28" t="n">
        <x:v>4</x:v>
      </x:c>
      <x:c r="N2109" s="28" t="n">
        <x:v>0</x:v>
      </x:c>
      <x:c r="O2109" s="28" t="n">
        <x:v>0</x:v>
      </x:c>
      <x:c r="P2109" s="28" t="n">
        <x:v>1</x:v>
      </x:c>
      <x:c r="Q2109" s="24" t="n">
        <x:f>IFERROR(J2109/H2109,0)</x:f>
        <x:v>0.46153846153846156</x:v>
      </x:c>
      <x:c r="R2109" s="24" t="n">
        <x:f>IFERROR(F2109/H2109,0)</x:f>
        <x:v>0.07692307692307693</x:v>
      </x:c>
      <x:c r="S2109" s="24" t="n">
        <x:f>IFERROR(F2109/J2109,0)</x:f>
        <x:v>0.16666666666666666</x:v>
      </x:c>
      <x:c r="T2109" s="28" t="n">
        <x:f>H2109-I2109</x:f>
        <x:v>5</x:v>
      </x:c>
      <x:c r="U2109" s="24" t="n">
        <x:f>IFERROR(J2109/H2109,0)-IFERROR(K2109/I2109,0)</x:f>
        <x:v>0.21153846153846156</x:v>
      </x:c>
      <x:c r="V2109" s="24" t="n">
        <x:f>IFERROR(F2109/J2109,0)-IFERROR(G2109/K2109,0)</x:f>
        <x:v>-0.33333333333333337</x:v>
      </x:c>
      <x:c r="W2109" s="28" t="n">
        <x:f>L2109-M2109</x:f>
        <x:v>3</x:v>
      </x:c>
      <x:c r="X2109" s="24" t="n">
        <x:f>IFERROR(K2109/I2109,0)</x:f>
        <x:v>0.25</x:v>
      </x:c>
      <x:c r="Y2109" s="24" t="n">
        <x:f>IFERROR(G2109/I2109,0)</x:f>
        <x:v>0.125</x:v>
      </x:c>
      <x:c r="Z2109" s="24" t="n">
        <x:f>IFERROR(G2109/K2109,0)</x:f>
        <x:v>0.5</x:v>
      </x:c>
      <x:c r="AA2109" s="24" t="n">
        <x:f>IFERROR(F2109/H2109,0)-IFERROR(G2109/I2109,0)</x:f>
        <x:v>-0.04807692307692307</x:v>
      </x:c>
      <x:c r="AB2109" s="28" t="n">
        <x:f>J2109-K2109</x:f>
        <x:v>4</x:v>
      </x:c>
      <x:c r="AC2109" s="32" t="n">
        <x:f>F2109-G2109</x:f>
        <x:v>0</x:v>
      </x:c>
    </x:row>
    <x:row r="2110">
      <x:c r="A2110" s="4" t="str">
        <x:v>2023-24</x:v>
      </x:c>
      <x:c r="B2110" s="20" t="n">
        <x:v>45384</x:v>
      </x:c>
      <x:c r="C2110" s="4" t="str">
        <x:v>Crystal Palace</x:v>
      </x:c>
      <x:c r="D2110" s="4" t="str">
        <x:v>Bournemouth</x:v>
      </x:c>
      <x:c r="E2110" s="4" t="str">
        <x:v>Away</x:v>
      </x:c>
      <x:c r="F2110" s="28" t="n">
        <x:v>0</x:v>
      </x:c>
      <x:c r="G2110" s="28" t="n">
        <x:v>1</x:v>
      </x:c>
      <x:c r="H2110" s="28" t="n">
        <x:v>3</x:v>
      </x:c>
      <x:c r="I2110" s="28" t="n">
        <x:v>11</x:v>
      </x:c>
      <x:c r="J2110" s="28" t="n">
        <x:v>2</x:v>
      </x:c>
      <x:c r="K2110" s="28" t="n">
        <x:v>6</x:v>
      </x:c>
      <x:c r="L2110" s="28" t="n">
        <x:v>2</x:v>
      </x:c>
      <x:c r="M2110" s="28" t="n">
        <x:v>9</x:v>
      </x:c>
      <x:c r="N2110" s="28" t="n">
        <x:v>2</x:v>
      </x:c>
      <x:c r="O2110" s="28" t="n">
        <x:v>0</x:v>
      </x:c>
      <x:c r="P2110" s="28" t="n">
        <x:v>0</x:v>
      </x:c>
      <x:c r="Q2110" s="24" t="n">
        <x:f>IFERROR(J2110/H2110,0)</x:f>
        <x:v>0.6666666666666666</x:v>
      </x:c>
      <x:c r="R2110" s="24" t="n">
        <x:f>IFERROR(F2110/H2110,0)</x:f>
        <x:v>0</x:v>
      </x:c>
      <x:c r="S2110" s="24" t="n">
        <x:f>IFERROR(F2110/J2110,0)</x:f>
        <x:v>0</x:v>
      </x:c>
      <x:c r="T2110" s="28" t="n">
        <x:f>H2110-I2110</x:f>
        <x:v>-8</x:v>
      </x:c>
      <x:c r="U2110" s="24" t="n">
        <x:f>IFERROR(J2110/H2110,0)-IFERROR(K2110/I2110,0)</x:f>
        <x:v>0.12121212121212122</x:v>
      </x:c>
      <x:c r="V2110" s="24" t="n">
        <x:f>IFERROR(F2110/J2110,0)-IFERROR(G2110/K2110,0)</x:f>
        <x:v>-0.16666666666666666</x:v>
      </x:c>
      <x:c r="W2110" s="28" t="n">
        <x:f>L2110-M2110</x:f>
        <x:v>-7</x:v>
      </x:c>
      <x:c r="X2110" s="24" t="n">
        <x:f>IFERROR(K2110/I2110,0)</x:f>
        <x:v>0.5454545454545454</x:v>
      </x:c>
      <x:c r="Y2110" s="24" t="n">
        <x:f>IFERROR(G2110/I2110,0)</x:f>
        <x:v>0.09090909090909091</x:v>
      </x:c>
      <x:c r="Z2110" s="24" t="n">
        <x:f>IFERROR(G2110/K2110,0)</x:f>
        <x:v>0.16666666666666666</x:v>
      </x:c>
      <x:c r="AA2110" s="24" t="n">
        <x:f>IFERROR(F2110/H2110,0)-IFERROR(G2110/I2110,0)</x:f>
        <x:v>-0.09090909090909091</x:v>
      </x:c>
      <x:c r="AB2110" s="28" t="n">
        <x:f>J2110-K2110</x:f>
        <x:v>-4</x:v>
      </x:c>
      <x:c r="AC2110" s="32" t="n">
        <x:f>F2110-G2110</x:f>
        <x:v>-1</x:v>
      </x:c>
    </x:row>
    <x:row r="2111">
      <x:c r="A2111" s="4" t="str">
        <x:v>2023-24</x:v>
      </x:c>
      <x:c r="B2111" s="20" t="n">
        <x:v>45384</x:v>
      </x:c>
      <x:c r="C2111" s="4" t="str">
        <x:v>Everton</x:v>
      </x:c>
      <x:c r="D2111" s="4" t="str">
        <x:v>Newcastle</x:v>
      </x:c>
      <x:c r="E2111" s="4" t="str">
        <x:v>Away</x:v>
      </x:c>
      <x:c r="F2111" s="28" t="n">
        <x:v>1</x:v>
      </x:c>
      <x:c r="G2111" s="28" t="n">
        <x:v>1</x:v>
      </x:c>
      <x:c r="H2111" s="28" t="n">
        <x:v>10</x:v>
      </x:c>
      <x:c r="I2111" s="28" t="n">
        <x:v>18</x:v>
      </x:c>
      <x:c r="J2111" s="28" t="n">
        <x:v>3</x:v>
      </x:c>
      <x:c r="K2111" s="28" t="n">
        <x:v>6</x:v>
      </x:c>
      <x:c r="L2111" s="28" t="n">
        <x:v>3</x:v>
      </x:c>
      <x:c r="M2111" s="28" t="n">
        <x:v>7</x:v>
      </x:c>
      <x:c r="N2111" s="28" t="n">
        <x:v>3</x:v>
      </x:c>
      <x:c r="O2111" s="28" t="n">
        <x:v>0</x:v>
      </x:c>
      <x:c r="P2111" s="28" t="n">
        <x:v>1</x:v>
      </x:c>
      <x:c r="Q2111" s="24" t="n">
        <x:f>IFERROR(J2111/H2111,0)</x:f>
        <x:v>0.3</x:v>
      </x:c>
      <x:c r="R2111" s="24" t="n">
        <x:f>IFERROR(F2111/H2111,0)</x:f>
        <x:v>0.1</x:v>
      </x:c>
      <x:c r="S2111" s="24" t="n">
        <x:f>IFERROR(F2111/J2111,0)</x:f>
        <x:v>0.3333333333333333</x:v>
      </x:c>
      <x:c r="T2111" s="28" t="n">
        <x:f>H2111-I2111</x:f>
        <x:v>-8</x:v>
      </x:c>
      <x:c r="U2111" s="24" t="n">
        <x:f>IFERROR(J2111/H2111,0)-IFERROR(K2111/I2111,0)</x:f>
        <x:v>-0.033333333333333326</x:v>
      </x:c>
      <x:c r="V2111" s="24" t="n">
        <x:f>IFERROR(F2111/J2111,0)-IFERROR(G2111/K2111,0)</x:f>
        <x:v>0.16666666666666666</x:v>
      </x:c>
      <x:c r="W2111" s="28" t="n">
        <x:f>L2111-M2111</x:f>
        <x:v>-4</x:v>
      </x:c>
      <x:c r="X2111" s="24" t="n">
        <x:f>IFERROR(K2111/I2111,0)</x:f>
        <x:v>0.3333333333333333</x:v>
      </x:c>
      <x:c r="Y2111" s="24" t="n">
        <x:f>IFERROR(G2111/I2111,0)</x:f>
        <x:v>0.05555555555555555</x:v>
      </x:c>
      <x:c r="Z2111" s="24" t="n">
        <x:f>IFERROR(G2111/K2111,0)</x:f>
        <x:v>0.16666666666666666</x:v>
      </x:c>
      <x:c r="AA2111" s="24" t="n">
        <x:f>IFERROR(F2111/H2111,0)-IFERROR(G2111/I2111,0)</x:f>
        <x:v>0.04444444444444445</x:v>
      </x:c>
      <x:c r="AB2111" s="28" t="n">
        <x:f>J2111-K2111</x:f>
        <x:v>-3</x:v>
      </x:c>
      <x:c r="AC2111" s="32" t="n">
        <x:f>F2111-G2111</x:f>
        <x:v>0</x:v>
      </x:c>
    </x:row>
    <x:row r="2112">
      <x:c r="A2112" s="4" t="str">
        <x:v>2023-24</x:v>
      </x:c>
      <x:c r="B2112" s="20" t="n">
        <x:v>45384</x:v>
      </x:c>
      <x:c r="C2112" s="4" t="str">
        <x:v>Fulham</x:v>
      </x:c>
      <x:c r="D2112" s="4" t="str">
        <x:v>Nott'm Forest</x:v>
      </x:c>
      <x:c r="E2112" s="4" t="str">
        <x:v>Away</x:v>
      </x:c>
      <x:c r="F2112" s="28" t="n">
        <x:v>1</x:v>
      </x:c>
      <x:c r="G2112" s="28" t="n">
        <x:v>3</x:v>
      </x:c>
      <x:c r="H2112" s="28" t="n">
        <x:v>18</x:v>
      </x:c>
      <x:c r="I2112" s="28" t="n">
        <x:v>16</x:v>
      </x:c>
      <x:c r="J2112" s="28" t="n">
        <x:v>3</x:v>
      </x:c>
      <x:c r="K2112" s="28" t="n">
        <x:v>4</x:v>
      </x:c>
      <x:c r="L2112" s="28" t="n">
        <x:v>8</x:v>
      </x:c>
      <x:c r="M2112" s="28" t="n">
        <x:v>3</x:v>
      </x:c>
      <x:c r="N2112" s="28" t="n">
        <x:v>0</x:v>
      </x:c>
      <x:c r="O2112" s="28" t="n">
        <x:v>0</x:v>
      </x:c>
      <x:c r="P2112" s="28" t="n">
        <x:v>0</x:v>
      </x:c>
      <x:c r="Q2112" s="24" t="n">
        <x:f>IFERROR(J2112/H2112,0)</x:f>
        <x:v>0.16666666666666666</x:v>
      </x:c>
      <x:c r="R2112" s="24" t="n">
        <x:f>IFERROR(F2112/H2112,0)</x:f>
        <x:v>0.05555555555555555</x:v>
      </x:c>
      <x:c r="S2112" s="24" t="n">
        <x:f>IFERROR(F2112/J2112,0)</x:f>
        <x:v>0.3333333333333333</x:v>
      </x:c>
      <x:c r="T2112" s="28" t="n">
        <x:f>H2112-I2112</x:f>
        <x:v>2</x:v>
      </x:c>
      <x:c r="U2112" s="24" t="n">
        <x:f>IFERROR(J2112/H2112,0)-IFERROR(K2112/I2112,0)</x:f>
        <x:v>-0.08333333333333334</x:v>
      </x:c>
      <x:c r="V2112" s="24" t="n">
        <x:f>IFERROR(F2112/J2112,0)-IFERROR(G2112/K2112,0)</x:f>
        <x:v>-0.4166666666666667</x:v>
      </x:c>
      <x:c r="W2112" s="28" t="n">
        <x:f>L2112-M2112</x:f>
        <x:v>5</x:v>
      </x:c>
      <x:c r="X2112" s="24" t="n">
        <x:f>IFERROR(K2112/I2112,0)</x:f>
        <x:v>0.25</x:v>
      </x:c>
      <x:c r="Y2112" s="24" t="n">
        <x:f>IFERROR(G2112/I2112,0)</x:f>
        <x:v>0.1875</x:v>
      </x:c>
      <x:c r="Z2112" s="24" t="n">
        <x:f>IFERROR(G2112/K2112,0)</x:f>
        <x:v>0.75</x:v>
      </x:c>
      <x:c r="AA2112" s="24" t="n">
        <x:f>IFERROR(F2112/H2112,0)-IFERROR(G2112/I2112,0)</x:f>
        <x:v>-0.13194444444444445</x:v>
      </x:c>
      <x:c r="AB2112" s="28" t="n">
        <x:f>J2112-K2112</x:f>
        <x:v>-1</x:v>
      </x:c>
      <x:c r="AC2112" s="32" t="n">
        <x:f>F2112-G2112</x:f>
        <x:v>-2</x:v>
      </x:c>
    </x:row>
    <x:row r="2113">
      <x:c r="A2113" s="4" t="str">
        <x:v>2023-24</x:v>
      </x:c>
      <x:c r="B2113" s="20" t="n">
        <x:v>45384</x:v>
      </x:c>
      <x:c r="C2113" s="4" t="str">
        <x:v>Newcastle</x:v>
      </x:c>
      <x:c r="D2113" s="4" t="str">
        <x:v>Everton</x:v>
      </x:c>
      <x:c r="E2113" s="4" t="str">
        <x:v>Home</x:v>
      </x:c>
      <x:c r="F2113" s="28" t="n">
        <x:v>1</x:v>
      </x:c>
      <x:c r="G2113" s="28" t="n">
        <x:v>1</x:v>
      </x:c>
      <x:c r="H2113" s="28" t="n">
        <x:v>18</x:v>
      </x:c>
      <x:c r="I2113" s="28" t="n">
        <x:v>10</x:v>
      </x:c>
      <x:c r="J2113" s="28" t="n">
        <x:v>6</x:v>
      </x:c>
      <x:c r="K2113" s="28" t="n">
        <x:v>3</x:v>
      </x:c>
      <x:c r="L2113" s="28" t="n">
        <x:v>7</x:v>
      </x:c>
      <x:c r="M2113" s="28" t="n">
        <x:v>3</x:v>
      </x:c>
      <x:c r="N2113" s="28" t="n">
        <x:v>0</x:v>
      </x:c>
      <x:c r="O2113" s="28" t="n">
        <x:v>0</x:v>
      </x:c>
      <x:c r="P2113" s="28" t="n">
        <x:v>1</x:v>
      </x:c>
      <x:c r="Q2113" s="24" t="n">
        <x:f>IFERROR(J2113/H2113,0)</x:f>
        <x:v>0.3333333333333333</x:v>
      </x:c>
      <x:c r="R2113" s="24" t="n">
        <x:f>IFERROR(F2113/H2113,0)</x:f>
        <x:v>0.05555555555555555</x:v>
      </x:c>
      <x:c r="S2113" s="24" t="n">
        <x:f>IFERROR(F2113/J2113,0)</x:f>
        <x:v>0.16666666666666666</x:v>
      </x:c>
      <x:c r="T2113" s="28" t="n">
        <x:f>H2113-I2113</x:f>
        <x:v>8</x:v>
      </x:c>
      <x:c r="U2113" s="24" t="n">
        <x:f>IFERROR(J2113/H2113,0)-IFERROR(K2113/I2113,0)</x:f>
        <x:v>0.033333333333333326</x:v>
      </x:c>
      <x:c r="V2113" s="24" t="n">
        <x:f>IFERROR(F2113/J2113,0)-IFERROR(G2113/K2113,0)</x:f>
        <x:v>-0.16666666666666666</x:v>
      </x:c>
      <x:c r="W2113" s="28" t="n">
        <x:f>L2113-M2113</x:f>
        <x:v>4</x:v>
      </x:c>
      <x:c r="X2113" s="24" t="n">
        <x:f>IFERROR(K2113/I2113,0)</x:f>
        <x:v>0.3</x:v>
      </x:c>
      <x:c r="Y2113" s="24" t="n">
        <x:f>IFERROR(G2113/I2113,0)</x:f>
        <x:v>0.1</x:v>
      </x:c>
      <x:c r="Z2113" s="24" t="n">
        <x:f>IFERROR(G2113/K2113,0)</x:f>
        <x:v>0.3333333333333333</x:v>
      </x:c>
      <x:c r="AA2113" s="24" t="n">
        <x:f>IFERROR(F2113/H2113,0)-IFERROR(G2113/I2113,0)</x:f>
        <x:v>-0.04444444444444445</x:v>
      </x:c>
      <x:c r="AB2113" s="28" t="n">
        <x:f>J2113-K2113</x:f>
        <x:v>3</x:v>
      </x:c>
      <x:c r="AC2113" s="32" t="n">
        <x:f>F2113-G2113</x:f>
        <x:v>0</x:v>
      </x:c>
    </x:row>
    <x:row r="2114">
      <x:c r="A2114" s="4" t="str">
        <x:v>2023-24</x:v>
      </x:c>
      <x:c r="B2114" s="20" t="n">
        <x:v>45384</x:v>
      </x:c>
      <x:c r="C2114" s="4" t="str">
        <x:v>Nott'm Forest</x:v>
      </x:c>
      <x:c r="D2114" s="4" t="str">
        <x:v>Fulham</x:v>
      </x:c>
      <x:c r="E2114" s="4" t="str">
        <x:v>Home</x:v>
      </x:c>
      <x:c r="F2114" s="28" t="n">
        <x:v>3</x:v>
      </x:c>
      <x:c r="G2114" s="28" t="n">
        <x:v>1</x:v>
      </x:c>
      <x:c r="H2114" s="28" t="n">
        <x:v>16</x:v>
      </x:c>
      <x:c r="I2114" s="28" t="n">
        <x:v>18</x:v>
      </x:c>
      <x:c r="J2114" s="28" t="n">
        <x:v>4</x:v>
      </x:c>
      <x:c r="K2114" s="28" t="n">
        <x:v>3</x:v>
      </x:c>
      <x:c r="L2114" s="28" t="n">
        <x:v>3</x:v>
      </x:c>
      <x:c r="M2114" s="28" t="n">
        <x:v>8</x:v>
      </x:c>
      <x:c r="N2114" s="28" t="n">
        <x:v>0</x:v>
      </x:c>
      <x:c r="O2114" s="28" t="n">
        <x:v>0</x:v>
      </x:c>
      <x:c r="P2114" s="28" t="n">
        <x:v>3</x:v>
      </x:c>
      <x:c r="Q2114" s="24" t="n">
        <x:f>IFERROR(J2114/H2114,0)</x:f>
        <x:v>0.25</x:v>
      </x:c>
      <x:c r="R2114" s="24" t="n">
        <x:f>IFERROR(F2114/H2114,0)</x:f>
        <x:v>0.1875</x:v>
      </x:c>
      <x:c r="S2114" s="24" t="n">
        <x:f>IFERROR(F2114/J2114,0)</x:f>
        <x:v>0.75</x:v>
      </x:c>
      <x:c r="T2114" s="28" t="n">
        <x:f>H2114-I2114</x:f>
        <x:v>-2</x:v>
      </x:c>
      <x:c r="U2114" s="24" t="n">
        <x:f>IFERROR(J2114/H2114,0)-IFERROR(K2114/I2114,0)</x:f>
        <x:v>0.08333333333333334</x:v>
      </x:c>
      <x:c r="V2114" s="24" t="n">
        <x:f>IFERROR(F2114/J2114,0)-IFERROR(G2114/K2114,0)</x:f>
        <x:v>0.4166666666666667</x:v>
      </x:c>
      <x:c r="W2114" s="28" t="n">
        <x:f>L2114-M2114</x:f>
        <x:v>-5</x:v>
      </x:c>
      <x:c r="X2114" s="24" t="n">
        <x:f>IFERROR(K2114/I2114,0)</x:f>
        <x:v>0.16666666666666666</x:v>
      </x:c>
      <x:c r="Y2114" s="24" t="n">
        <x:f>IFERROR(G2114/I2114,0)</x:f>
        <x:v>0.05555555555555555</x:v>
      </x:c>
      <x:c r="Z2114" s="24" t="n">
        <x:f>IFERROR(G2114/K2114,0)</x:f>
        <x:v>0.3333333333333333</x:v>
      </x:c>
      <x:c r="AA2114" s="24" t="n">
        <x:f>IFERROR(F2114/H2114,0)-IFERROR(G2114/I2114,0)</x:f>
        <x:v>0.13194444444444445</x:v>
      </x:c>
      <x:c r="AB2114" s="28" t="n">
        <x:f>J2114-K2114</x:f>
        <x:v>1</x:v>
      </x:c>
      <x:c r="AC2114" s="32" t="n">
        <x:f>F2114-G2114</x:f>
        <x:v>2</x:v>
      </x:c>
    </x:row>
    <x:row r="2115">
      <x:c r="A2115" s="4" t="str">
        <x:v>2023-24</x:v>
      </x:c>
      <x:c r="B2115" s="20" t="n">
        <x:v>45384</x:v>
      </x:c>
      <x:c r="C2115" s="4" t="str">
        <x:v>Tottenham</x:v>
      </x:c>
      <x:c r="D2115" s="4" t="str">
        <x:v>West Ham</x:v>
      </x:c>
      <x:c r="E2115" s="4" t="str">
        <x:v>Away</x:v>
      </x:c>
      <x:c r="F2115" s="28" t="n">
        <x:v>1</x:v>
      </x:c>
      <x:c r="G2115" s="28" t="n">
        <x:v>1</x:v>
      </x:c>
      <x:c r="H2115" s="28" t="n">
        <x:v>13</x:v>
      </x:c>
      <x:c r="I2115" s="28" t="n">
        <x:v>11</x:v>
      </x:c>
      <x:c r="J2115" s="28" t="n">
        <x:v>4</x:v>
      </x:c>
      <x:c r="K2115" s="28" t="n">
        <x:v>4</x:v>
      </x:c>
      <x:c r="L2115" s="28" t="n">
        <x:v>5</x:v>
      </x:c>
      <x:c r="M2115" s="28" t="n">
        <x:v>9</x:v>
      </x:c>
      <x:c r="N2115" s="28" t="n">
        <x:v>4</x:v>
      </x:c>
      <x:c r="O2115" s="28" t="n">
        <x:v>0</x:v>
      </x:c>
      <x:c r="P2115" s="28" t="n">
        <x:v>1</x:v>
      </x:c>
      <x:c r="Q2115" s="24" t="n">
        <x:f>IFERROR(J2115/H2115,0)</x:f>
        <x:v>0.3076923076923077</x:v>
      </x:c>
      <x:c r="R2115" s="24" t="n">
        <x:f>IFERROR(F2115/H2115,0)</x:f>
        <x:v>0.07692307692307693</x:v>
      </x:c>
      <x:c r="S2115" s="24" t="n">
        <x:f>IFERROR(F2115/J2115,0)</x:f>
        <x:v>0.25</x:v>
      </x:c>
      <x:c r="T2115" s="28" t="n">
        <x:f>H2115-I2115</x:f>
        <x:v>2</x:v>
      </x:c>
      <x:c r="U2115" s="24" t="n">
        <x:f>IFERROR(J2115/H2115,0)-IFERROR(K2115/I2115,0)</x:f>
        <x:v>-0.05594405594405594</x:v>
      </x:c>
      <x:c r="V2115" s="24" t="n">
        <x:f>IFERROR(F2115/J2115,0)-IFERROR(G2115/K2115,0)</x:f>
        <x:v>0</x:v>
      </x:c>
      <x:c r="W2115" s="28" t="n">
        <x:f>L2115-M2115</x:f>
        <x:v>-4</x:v>
      </x:c>
      <x:c r="X2115" s="24" t="n">
        <x:f>IFERROR(K2115/I2115,0)</x:f>
        <x:v>0.36363636363636365</x:v>
      </x:c>
      <x:c r="Y2115" s="24" t="n">
        <x:f>IFERROR(G2115/I2115,0)</x:f>
        <x:v>0.09090909090909091</x:v>
      </x:c>
      <x:c r="Z2115" s="24" t="n">
        <x:f>IFERROR(G2115/K2115,0)</x:f>
        <x:v>0.25</x:v>
      </x:c>
      <x:c r="AA2115" s="24" t="n">
        <x:f>IFERROR(F2115/H2115,0)-IFERROR(G2115/I2115,0)</x:f>
        <x:v>-0.013986013986013984</x:v>
      </x:c>
      <x:c r="AB2115" s="28" t="n">
        <x:f>J2115-K2115</x:f>
        <x:v>0</x:v>
      </x:c>
      <x:c r="AC2115" s="32" t="n">
        <x:f>F2115-G2115</x:f>
        <x:v>0</x:v>
      </x:c>
    </x:row>
    <x:row r="2116">
      <x:c r="A2116" s="4" t="str">
        <x:v>2023-24</x:v>
      </x:c>
      <x:c r="B2116" s="20" t="n">
        <x:v>45384</x:v>
      </x:c>
      <x:c r="C2116" s="4" t="str">
        <x:v>West Ham</x:v>
      </x:c>
      <x:c r="D2116" s="4" t="str">
        <x:v>Tottenham</x:v>
      </x:c>
      <x:c r="E2116" s="4" t="str">
        <x:v>Home</x:v>
      </x:c>
      <x:c r="F2116" s="28" t="n">
        <x:v>1</x:v>
      </x:c>
      <x:c r="G2116" s="28" t="n">
        <x:v>1</x:v>
      </x:c>
      <x:c r="H2116" s="28" t="n">
        <x:v>11</x:v>
      </x:c>
      <x:c r="I2116" s="28" t="n">
        <x:v>13</x:v>
      </x:c>
      <x:c r="J2116" s="28" t="n">
        <x:v>4</x:v>
      </x:c>
      <x:c r="K2116" s="28" t="n">
        <x:v>4</x:v>
      </x:c>
      <x:c r="L2116" s="28" t="n">
        <x:v>9</x:v>
      </x:c>
      <x:c r="M2116" s="28" t="n">
        <x:v>5</x:v>
      </x:c>
      <x:c r="N2116" s="28" t="n">
        <x:v>1</x:v>
      </x:c>
      <x:c r="O2116" s="28" t="n">
        <x:v>0</x:v>
      </x:c>
      <x:c r="P2116" s="28" t="n">
        <x:v>1</x:v>
      </x:c>
      <x:c r="Q2116" s="24" t="n">
        <x:f>IFERROR(J2116/H2116,0)</x:f>
        <x:v>0.36363636363636365</x:v>
      </x:c>
      <x:c r="R2116" s="24" t="n">
        <x:f>IFERROR(F2116/H2116,0)</x:f>
        <x:v>0.09090909090909091</x:v>
      </x:c>
      <x:c r="S2116" s="24" t="n">
        <x:f>IFERROR(F2116/J2116,0)</x:f>
        <x:v>0.25</x:v>
      </x:c>
      <x:c r="T2116" s="28" t="n">
        <x:f>H2116-I2116</x:f>
        <x:v>-2</x:v>
      </x:c>
      <x:c r="U2116" s="24" t="n">
        <x:f>IFERROR(J2116/H2116,0)-IFERROR(K2116/I2116,0)</x:f>
        <x:v>0.05594405594405594</x:v>
      </x:c>
      <x:c r="V2116" s="24" t="n">
        <x:f>IFERROR(F2116/J2116,0)-IFERROR(G2116/K2116,0)</x:f>
        <x:v>0</x:v>
      </x:c>
      <x:c r="W2116" s="28" t="n">
        <x:f>L2116-M2116</x:f>
        <x:v>4</x:v>
      </x:c>
      <x:c r="X2116" s="24" t="n">
        <x:f>IFERROR(K2116/I2116,0)</x:f>
        <x:v>0.3076923076923077</x:v>
      </x:c>
      <x:c r="Y2116" s="24" t="n">
        <x:f>IFERROR(G2116/I2116,0)</x:f>
        <x:v>0.07692307692307693</x:v>
      </x:c>
      <x:c r="Z2116" s="24" t="n">
        <x:f>IFERROR(G2116/K2116,0)</x:f>
        <x:v>0.25</x:v>
      </x:c>
      <x:c r="AA2116" s="24" t="n">
        <x:f>IFERROR(F2116/H2116,0)-IFERROR(G2116/I2116,0)</x:f>
        <x:v>0.013986013986013984</x:v>
      </x:c>
      <x:c r="AB2116" s="28" t="n">
        <x:f>J2116-K2116</x:f>
        <x:v>0</x:v>
      </x:c>
      <x:c r="AC2116" s="32" t="n">
        <x:f>F2116-G2116</x:f>
        <x:v>0</x:v>
      </x:c>
    </x:row>
    <x:row r="2117">
      <x:c r="A2117" s="4" t="str">
        <x:v>2023-24</x:v>
      </x:c>
      <x:c r="B2117" s="20" t="n">
        <x:v>45384</x:v>
      </x:c>
      <x:c r="C2117" s="4" t="str">
        <x:v>Wolves</x:v>
      </x:c>
      <x:c r="D2117" s="4" t="str">
        <x:v>Burnley</x:v>
      </x:c>
      <x:c r="E2117" s="4" t="str">
        <x:v>Away</x:v>
      </x:c>
      <x:c r="F2117" s="28" t="n">
        <x:v>1</x:v>
      </x:c>
      <x:c r="G2117" s="28" t="n">
        <x:v>1</x:v>
      </x:c>
      <x:c r="H2117" s="28" t="n">
        <x:v>8</x:v>
      </x:c>
      <x:c r="I2117" s="28" t="n">
        <x:v>13</x:v>
      </x:c>
      <x:c r="J2117" s="28" t="n">
        <x:v>2</x:v>
      </x:c>
      <x:c r="K2117" s="28" t="n">
        <x:v>6</x:v>
      </x:c>
      <x:c r="L2117" s="28" t="n">
        <x:v>4</x:v>
      </x:c>
      <x:c r="M2117" s="28" t="n">
        <x:v>7</x:v>
      </x:c>
      <x:c r="N2117" s="28" t="n">
        <x:v>2</x:v>
      </x:c>
      <x:c r="O2117" s="28" t="n">
        <x:v>0</x:v>
      </x:c>
      <x:c r="P2117" s="28" t="n">
        <x:v>1</x:v>
      </x:c>
      <x:c r="Q2117" s="24" t="n">
        <x:f>IFERROR(J2117/H2117,0)</x:f>
        <x:v>0.25</x:v>
      </x:c>
      <x:c r="R2117" s="24" t="n">
        <x:f>IFERROR(F2117/H2117,0)</x:f>
        <x:v>0.125</x:v>
      </x:c>
      <x:c r="S2117" s="24" t="n">
        <x:f>IFERROR(F2117/J2117,0)</x:f>
        <x:v>0.5</x:v>
      </x:c>
      <x:c r="T2117" s="28" t="n">
        <x:f>H2117-I2117</x:f>
        <x:v>-5</x:v>
      </x:c>
      <x:c r="U2117" s="24" t="n">
        <x:f>IFERROR(J2117/H2117,0)-IFERROR(K2117/I2117,0)</x:f>
        <x:v>-0.21153846153846156</x:v>
      </x:c>
      <x:c r="V2117" s="24" t="n">
        <x:f>IFERROR(F2117/J2117,0)-IFERROR(G2117/K2117,0)</x:f>
        <x:v>0.33333333333333337</x:v>
      </x:c>
      <x:c r="W2117" s="28" t="n">
        <x:f>L2117-M2117</x:f>
        <x:v>-3</x:v>
      </x:c>
      <x:c r="X2117" s="24" t="n">
        <x:f>IFERROR(K2117/I2117,0)</x:f>
        <x:v>0.46153846153846156</x:v>
      </x:c>
      <x:c r="Y2117" s="24" t="n">
        <x:f>IFERROR(G2117/I2117,0)</x:f>
        <x:v>0.07692307692307693</x:v>
      </x:c>
      <x:c r="Z2117" s="24" t="n">
        <x:f>IFERROR(G2117/K2117,0)</x:f>
        <x:v>0.16666666666666666</x:v>
      </x:c>
      <x:c r="AA2117" s="24" t="n">
        <x:f>IFERROR(F2117/H2117,0)-IFERROR(G2117/I2117,0)</x:f>
        <x:v>0.04807692307692307</x:v>
      </x:c>
      <x:c r="AB2117" s="28" t="n">
        <x:f>J2117-K2117</x:f>
        <x:v>-4</x:v>
      </x:c>
      <x:c r="AC2117" s="32" t="n">
        <x:f>F2117-G2117</x:f>
        <x:v>0</x:v>
      </x:c>
    </x:row>
    <x:row r="2118">
      <x:c r="A2118" s="4" t="str">
        <x:v>2023-24</x:v>
      </x:c>
      <x:c r="B2118" s="20" t="n">
        <x:v>45385</x:v>
      </x:c>
      <x:c r="C2118" s="4" t="str">
        <x:v>Arsenal</x:v>
      </x:c>
      <x:c r="D2118" s="4" t="str">
        <x:v>Luton</x:v>
      </x:c>
      <x:c r="E2118" s="4" t="str">
        <x:v>Home</x:v>
      </x:c>
      <x:c r="F2118" s="28" t="n">
        <x:v>2</x:v>
      </x:c>
      <x:c r="G2118" s="28" t="n">
        <x:v>0</x:v>
      </x:c>
      <x:c r="H2118" s="28" t="n">
        <x:v>13</x:v>
      </x:c>
      <x:c r="I2118" s="28" t="n">
        <x:v>5</x:v>
      </x:c>
      <x:c r="J2118" s="28" t="n">
        <x:v>4</x:v>
      </x:c>
      <x:c r="K2118" s="28" t="n">
        <x:v>1</x:v>
      </x:c>
      <x:c r="L2118" s="28" t="n">
        <x:v>3</x:v>
      </x:c>
      <x:c r="M2118" s="28" t="n">
        <x:v>1</x:v>
      </x:c>
      <x:c r="N2118" s="28" t="n">
        <x:v>1</x:v>
      </x:c>
      <x:c r="O2118" s="28" t="n">
        <x:v>0</x:v>
      </x:c>
      <x:c r="P2118" s="28" t="n">
        <x:v>3</x:v>
      </x:c>
      <x:c r="Q2118" s="24" t="n">
        <x:f>IFERROR(J2118/H2118,0)</x:f>
        <x:v>0.3076923076923077</x:v>
      </x:c>
      <x:c r="R2118" s="24" t="n">
        <x:f>IFERROR(F2118/H2118,0)</x:f>
        <x:v>0.15384615384615385</x:v>
      </x:c>
      <x:c r="S2118" s="24" t="n">
        <x:f>IFERROR(F2118/J2118,0)</x:f>
        <x:v>0.5</x:v>
      </x:c>
      <x:c r="T2118" s="28" t="n">
        <x:f>H2118-I2118</x:f>
        <x:v>8</x:v>
      </x:c>
      <x:c r="U2118" s="24" t="n">
        <x:f>IFERROR(J2118/H2118,0)-IFERROR(K2118/I2118,0)</x:f>
        <x:v>0.1076923076923077</x:v>
      </x:c>
      <x:c r="V2118" s="24" t="n">
        <x:f>IFERROR(F2118/J2118,0)-IFERROR(G2118/K2118,0)</x:f>
        <x:v>0.5</x:v>
      </x:c>
      <x:c r="W2118" s="28" t="n">
        <x:f>L2118-M2118</x:f>
        <x:v>2</x:v>
      </x:c>
      <x:c r="X2118" s="24" t="n">
        <x:f>IFERROR(K2118/I2118,0)</x:f>
        <x:v>0.2</x:v>
      </x:c>
      <x:c r="Y2118" s="24" t="n">
        <x:f>IFERROR(G2118/I2118,0)</x:f>
        <x:v>0</x:v>
      </x:c>
      <x:c r="Z2118" s="24" t="n">
        <x:f>IFERROR(G2118/K2118,0)</x:f>
        <x:v>0</x:v>
      </x:c>
      <x:c r="AA2118" s="24" t="n">
        <x:f>IFERROR(F2118/H2118,0)-IFERROR(G2118/I2118,0)</x:f>
        <x:v>0.15384615384615385</x:v>
      </x:c>
      <x:c r="AB2118" s="28" t="n">
        <x:f>J2118-K2118</x:f>
        <x:v>3</x:v>
      </x:c>
      <x:c r="AC2118" s="32" t="n">
        <x:f>F2118-G2118</x:f>
        <x:v>2</x:v>
      </x:c>
    </x:row>
    <x:row r="2119">
      <x:c r="A2119" s="4" t="str">
        <x:v>2023-24</x:v>
      </x:c>
      <x:c r="B2119" s="20" t="n">
        <x:v>45385</x:v>
      </x:c>
      <x:c r="C2119" s="4" t="str">
        <x:v>Aston Villa</x:v>
      </x:c>
      <x:c r="D2119" s="4" t="str">
        <x:v>Man City</x:v>
      </x:c>
      <x:c r="E2119" s="4" t="str">
        <x:v>Away</x:v>
      </x:c>
      <x:c r="F2119" s="28" t="n">
        <x:v>1</x:v>
      </x:c>
      <x:c r="G2119" s="28" t="n">
        <x:v>4</x:v>
      </x:c>
      <x:c r="H2119" s="28" t="n">
        <x:v>8</x:v>
      </x:c>
      <x:c r="I2119" s="28" t="n">
        <x:v>25</x:v>
      </x:c>
      <x:c r="J2119" s="28" t="n">
        <x:v>3</x:v>
      </x:c>
      <x:c r="K2119" s="28" t="n">
        <x:v>11</x:v>
      </x:c>
      <x:c r="L2119" s="28" t="n">
        <x:v>3</x:v>
      </x:c>
      <x:c r="M2119" s="28" t="n">
        <x:v>2</x:v>
      </x:c>
      <x:c r="N2119" s="28" t="n">
        <x:v>2</x:v>
      </x:c>
      <x:c r="O2119" s="28" t="n">
        <x:v>0</x:v>
      </x:c>
      <x:c r="P2119" s="28" t="n">
        <x:v>0</x:v>
      </x:c>
      <x:c r="Q2119" s="24" t="n">
        <x:f>IFERROR(J2119/H2119,0)</x:f>
        <x:v>0.375</x:v>
      </x:c>
      <x:c r="R2119" s="24" t="n">
        <x:f>IFERROR(F2119/H2119,0)</x:f>
        <x:v>0.125</x:v>
      </x:c>
      <x:c r="S2119" s="24" t="n">
        <x:f>IFERROR(F2119/J2119,0)</x:f>
        <x:v>0.3333333333333333</x:v>
      </x:c>
      <x:c r="T2119" s="28" t="n">
        <x:f>H2119-I2119</x:f>
        <x:v>-17</x:v>
      </x:c>
      <x:c r="U2119" s="24" t="n">
        <x:f>IFERROR(J2119/H2119,0)-IFERROR(K2119/I2119,0)</x:f>
        <x:v>-0.065</x:v>
      </x:c>
      <x:c r="V2119" s="24" t="n">
        <x:f>IFERROR(F2119/J2119,0)-IFERROR(G2119/K2119,0)</x:f>
        <x:v>-0.03030303030303033</x:v>
      </x:c>
      <x:c r="W2119" s="28" t="n">
        <x:f>L2119-M2119</x:f>
        <x:v>1</x:v>
      </x:c>
      <x:c r="X2119" s="24" t="n">
        <x:f>IFERROR(K2119/I2119,0)</x:f>
        <x:v>0.44</x:v>
      </x:c>
      <x:c r="Y2119" s="24" t="n">
        <x:f>IFERROR(G2119/I2119,0)</x:f>
        <x:v>0.16</x:v>
      </x:c>
      <x:c r="Z2119" s="24" t="n">
        <x:f>IFERROR(G2119/K2119,0)</x:f>
        <x:v>0.36363636363636365</x:v>
      </x:c>
      <x:c r="AA2119" s="24" t="n">
        <x:f>IFERROR(F2119/H2119,0)-IFERROR(G2119/I2119,0)</x:f>
        <x:v>-0.035</x:v>
      </x:c>
      <x:c r="AB2119" s="28" t="n">
        <x:f>J2119-K2119</x:f>
        <x:v>-8</x:v>
      </x:c>
      <x:c r="AC2119" s="32" t="n">
        <x:f>F2119-G2119</x:f>
        <x:v>-3</x:v>
      </x:c>
    </x:row>
    <x:row r="2120">
      <x:c r="A2120" s="4" t="str">
        <x:v>2023-24</x:v>
      </x:c>
      <x:c r="B2120" s="20" t="n">
        <x:v>45385</x:v>
      </x:c>
      <x:c r="C2120" s="4" t="str">
        <x:v>Brentford</x:v>
      </x:c>
      <x:c r="D2120" s="4" t="str">
        <x:v>Brighton</x:v>
      </x:c>
      <x:c r="E2120" s="4" t="str">
        <x:v>Home</x:v>
      </x:c>
      <x:c r="F2120" s="28" t="n">
        <x:v>0</x:v>
      </x:c>
      <x:c r="G2120" s="28" t="n">
        <x:v>0</x:v>
      </x:c>
      <x:c r="H2120" s="28" t="n">
        <x:v>5</x:v>
      </x:c>
      <x:c r="I2120" s="28" t="n">
        <x:v>24</x:v>
      </x:c>
      <x:c r="J2120" s="28" t="n">
        <x:v>2</x:v>
      </x:c>
      <x:c r="K2120" s="28" t="n">
        <x:v>6</x:v>
      </x:c>
      <x:c r="L2120" s="28" t="n">
        <x:v>1</x:v>
      </x:c>
      <x:c r="M2120" s="28" t="n">
        <x:v>5</x:v>
      </x:c>
      <x:c r="N2120" s="28" t="n">
        <x:v>1</x:v>
      </x:c>
      <x:c r="O2120" s="28" t="n">
        <x:v>0</x:v>
      </x:c>
      <x:c r="P2120" s="28" t="n">
        <x:v>1</x:v>
      </x:c>
      <x:c r="Q2120" s="24" t="n">
        <x:f>IFERROR(J2120/H2120,0)</x:f>
        <x:v>0.4</x:v>
      </x:c>
      <x:c r="R2120" s="24" t="n">
        <x:f>IFERROR(F2120/H2120,0)</x:f>
        <x:v>0</x:v>
      </x:c>
      <x:c r="S2120" s="24" t="n">
        <x:f>IFERROR(F2120/J2120,0)</x:f>
        <x:v>0</x:v>
      </x:c>
      <x:c r="T2120" s="28" t="n">
        <x:f>H2120-I2120</x:f>
        <x:v>-19</x:v>
      </x:c>
      <x:c r="U2120" s="24" t="n">
        <x:f>IFERROR(J2120/H2120,0)-IFERROR(K2120/I2120,0)</x:f>
        <x:v>0.15000000000000002</x:v>
      </x:c>
      <x:c r="V2120" s="24" t="n">
        <x:f>IFERROR(F2120/J2120,0)-IFERROR(G2120/K2120,0)</x:f>
        <x:v>0</x:v>
      </x:c>
      <x:c r="W2120" s="28" t="n">
        <x:f>L2120-M2120</x:f>
        <x:v>-4</x:v>
      </x:c>
      <x:c r="X2120" s="24" t="n">
        <x:f>IFERROR(K2120/I2120,0)</x:f>
        <x:v>0.25</x:v>
      </x:c>
      <x:c r="Y2120" s="24" t="n">
        <x:f>IFERROR(G2120/I2120,0)</x:f>
        <x:v>0</x:v>
      </x:c>
      <x:c r="Z2120" s="24" t="n">
        <x:f>IFERROR(G2120/K2120,0)</x:f>
        <x:v>0</x:v>
      </x:c>
      <x:c r="AA2120" s="24" t="n">
        <x:f>IFERROR(F2120/H2120,0)-IFERROR(G2120/I2120,0)</x:f>
        <x:v>0</x:v>
      </x:c>
      <x:c r="AB2120" s="28" t="n">
        <x:f>J2120-K2120</x:f>
        <x:v>-4</x:v>
      </x:c>
      <x:c r="AC2120" s="32" t="n">
        <x:f>F2120-G2120</x:f>
        <x:v>0</x:v>
      </x:c>
    </x:row>
    <x:row r="2121">
      <x:c r="A2121" s="4" t="str">
        <x:v>2023-24</x:v>
      </x:c>
      <x:c r="B2121" s="20" t="n">
        <x:v>45385</x:v>
      </x:c>
      <x:c r="C2121" s="4" t="str">
        <x:v>Brighton</x:v>
      </x:c>
      <x:c r="D2121" s="4" t="str">
        <x:v>Brentford</x:v>
      </x:c>
      <x:c r="E2121" s="4" t="str">
        <x:v>Away</x:v>
      </x:c>
      <x:c r="F2121" s="28" t="n">
        <x:v>0</x:v>
      </x:c>
      <x:c r="G2121" s="28" t="n">
        <x:v>0</x:v>
      </x:c>
      <x:c r="H2121" s="28" t="n">
        <x:v>24</x:v>
      </x:c>
      <x:c r="I2121" s="28" t="n">
        <x:v>5</x:v>
      </x:c>
      <x:c r="J2121" s="28" t="n">
        <x:v>6</x:v>
      </x:c>
      <x:c r="K2121" s="28" t="n">
        <x:v>2</x:v>
      </x:c>
      <x:c r="L2121" s="28" t="n">
        <x:v>5</x:v>
      </x:c>
      <x:c r="M2121" s="28" t="n">
        <x:v>1</x:v>
      </x:c>
      <x:c r="N2121" s="28" t="n">
        <x:v>1</x:v>
      </x:c>
      <x:c r="O2121" s="28" t="n">
        <x:v>0</x:v>
      </x:c>
      <x:c r="P2121" s="28" t="n">
        <x:v>1</x:v>
      </x:c>
      <x:c r="Q2121" s="24" t="n">
        <x:f>IFERROR(J2121/H2121,0)</x:f>
        <x:v>0.25</x:v>
      </x:c>
      <x:c r="R2121" s="24" t="n">
        <x:f>IFERROR(F2121/H2121,0)</x:f>
        <x:v>0</x:v>
      </x:c>
      <x:c r="S2121" s="24" t="n">
        <x:f>IFERROR(F2121/J2121,0)</x:f>
        <x:v>0</x:v>
      </x:c>
      <x:c r="T2121" s="28" t="n">
        <x:f>H2121-I2121</x:f>
        <x:v>19</x:v>
      </x:c>
      <x:c r="U2121" s="24" t="n">
        <x:f>IFERROR(J2121/H2121,0)-IFERROR(K2121/I2121,0)</x:f>
        <x:v>-0.15000000000000002</x:v>
      </x:c>
      <x:c r="V2121" s="24" t="n">
        <x:f>IFERROR(F2121/J2121,0)-IFERROR(G2121/K2121,0)</x:f>
        <x:v>0</x:v>
      </x:c>
      <x:c r="W2121" s="28" t="n">
        <x:f>L2121-M2121</x:f>
        <x:v>4</x:v>
      </x:c>
      <x:c r="X2121" s="24" t="n">
        <x:f>IFERROR(K2121/I2121,0)</x:f>
        <x:v>0.4</x:v>
      </x:c>
      <x:c r="Y2121" s="24" t="n">
        <x:f>IFERROR(G2121/I2121,0)</x:f>
        <x:v>0</x:v>
      </x:c>
      <x:c r="Z2121" s="24" t="n">
        <x:f>IFERROR(G2121/K2121,0)</x:f>
        <x:v>0</x:v>
      </x:c>
      <x:c r="AA2121" s="24" t="n">
        <x:f>IFERROR(F2121/H2121,0)-IFERROR(G2121/I2121,0)</x:f>
        <x:v>0</x:v>
      </x:c>
      <x:c r="AB2121" s="28" t="n">
        <x:f>J2121-K2121</x:f>
        <x:v>4</x:v>
      </x:c>
      <x:c r="AC2121" s="32" t="n">
        <x:f>F2121-G2121</x:f>
        <x:v>0</x:v>
      </x:c>
    </x:row>
    <x:row r="2122">
      <x:c r="A2122" s="4" t="str">
        <x:v>2023-24</x:v>
      </x:c>
      <x:c r="B2122" s="20" t="n">
        <x:v>45385</x:v>
      </x:c>
      <x:c r="C2122" s="4" t="str">
        <x:v>Luton</x:v>
      </x:c>
      <x:c r="D2122" s="4" t="str">
        <x:v>Arsenal</x:v>
      </x:c>
      <x:c r="E2122" s="4" t="str">
        <x:v>Away</x:v>
      </x:c>
      <x:c r="F2122" s="28" t="n">
        <x:v>0</x:v>
      </x:c>
      <x:c r="G2122" s="28" t="n">
        <x:v>2</x:v>
      </x:c>
      <x:c r="H2122" s="28" t="n">
        <x:v>5</x:v>
      </x:c>
      <x:c r="I2122" s="28" t="n">
        <x:v>13</x:v>
      </x:c>
      <x:c r="J2122" s="28" t="n">
        <x:v>1</x:v>
      </x:c>
      <x:c r="K2122" s="28" t="n">
        <x:v>4</x:v>
      </x:c>
      <x:c r="L2122" s="28" t="n">
        <x:v>1</x:v>
      </x:c>
      <x:c r="M2122" s="28" t="n">
        <x:v>3</x:v>
      </x:c>
      <x:c r="N2122" s="28" t="n">
        <x:v>1</x:v>
      </x:c>
      <x:c r="O2122" s="28" t="n">
        <x:v>0</x:v>
      </x:c>
      <x:c r="P2122" s="28" t="n">
        <x:v>0</x:v>
      </x:c>
      <x:c r="Q2122" s="24" t="n">
        <x:f>IFERROR(J2122/H2122,0)</x:f>
        <x:v>0.2</x:v>
      </x:c>
      <x:c r="R2122" s="24" t="n">
        <x:f>IFERROR(F2122/H2122,0)</x:f>
        <x:v>0</x:v>
      </x:c>
      <x:c r="S2122" s="24" t="n">
        <x:f>IFERROR(F2122/J2122,0)</x:f>
        <x:v>0</x:v>
      </x:c>
      <x:c r="T2122" s="28" t="n">
        <x:f>H2122-I2122</x:f>
        <x:v>-8</x:v>
      </x:c>
      <x:c r="U2122" s="24" t="n">
        <x:f>IFERROR(J2122/H2122,0)-IFERROR(K2122/I2122,0)</x:f>
        <x:v>-0.1076923076923077</x:v>
      </x:c>
      <x:c r="V2122" s="24" t="n">
        <x:f>IFERROR(F2122/J2122,0)-IFERROR(G2122/K2122,0)</x:f>
        <x:v>-0.5</x:v>
      </x:c>
      <x:c r="W2122" s="28" t="n">
        <x:f>L2122-M2122</x:f>
        <x:v>-2</x:v>
      </x:c>
      <x:c r="X2122" s="24" t="n">
        <x:f>IFERROR(K2122/I2122,0)</x:f>
        <x:v>0.3076923076923077</x:v>
      </x:c>
      <x:c r="Y2122" s="24" t="n">
        <x:f>IFERROR(G2122/I2122,0)</x:f>
        <x:v>0.15384615384615385</x:v>
      </x:c>
      <x:c r="Z2122" s="24" t="n">
        <x:f>IFERROR(G2122/K2122,0)</x:f>
        <x:v>0.5</x:v>
      </x:c>
      <x:c r="AA2122" s="24" t="n">
        <x:f>IFERROR(F2122/H2122,0)-IFERROR(G2122/I2122,0)</x:f>
        <x:v>-0.15384615384615385</x:v>
      </x:c>
      <x:c r="AB2122" s="28" t="n">
        <x:f>J2122-K2122</x:f>
        <x:v>-3</x:v>
      </x:c>
      <x:c r="AC2122" s="32" t="n">
        <x:f>F2122-G2122</x:f>
        <x:v>-2</x:v>
      </x:c>
    </x:row>
    <x:row r="2123">
      <x:c r="A2123" s="4" t="str">
        <x:v>2023-24</x:v>
      </x:c>
      <x:c r="B2123" s="20" t="n">
        <x:v>45385</x:v>
      </x:c>
      <x:c r="C2123" s="4" t="str">
        <x:v>Man City</x:v>
      </x:c>
      <x:c r="D2123" s="4" t="str">
        <x:v>Aston Villa</x:v>
      </x:c>
      <x:c r="E2123" s="4" t="str">
        <x:v>Home</x:v>
      </x:c>
      <x:c r="F2123" s="28" t="n">
        <x:v>4</x:v>
      </x:c>
      <x:c r="G2123" s="28" t="n">
        <x:v>1</x:v>
      </x:c>
      <x:c r="H2123" s="28" t="n">
        <x:v>25</x:v>
      </x:c>
      <x:c r="I2123" s="28" t="n">
        <x:v>8</x:v>
      </x:c>
      <x:c r="J2123" s="28" t="n">
        <x:v>11</x:v>
      </x:c>
      <x:c r="K2123" s="28" t="n">
        <x:v>3</x:v>
      </x:c>
      <x:c r="L2123" s="28" t="n">
        <x:v>2</x:v>
      </x:c>
      <x:c r="M2123" s="28" t="n">
        <x:v>3</x:v>
      </x:c>
      <x:c r="N2123" s="28" t="n">
        <x:v>1</x:v>
      </x:c>
      <x:c r="O2123" s="28" t="n">
        <x:v>0</x:v>
      </x:c>
      <x:c r="P2123" s="28" t="n">
        <x:v>3</x:v>
      </x:c>
      <x:c r="Q2123" s="24" t="n">
        <x:f>IFERROR(J2123/H2123,0)</x:f>
        <x:v>0.44</x:v>
      </x:c>
      <x:c r="R2123" s="24" t="n">
        <x:f>IFERROR(F2123/H2123,0)</x:f>
        <x:v>0.16</x:v>
      </x:c>
      <x:c r="S2123" s="24" t="n">
        <x:f>IFERROR(F2123/J2123,0)</x:f>
        <x:v>0.36363636363636365</x:v>
      </x:c>
      <x:c r="T2123" s="28" t="n">
        <x:f>H2123-I2123</x:f>
        <x:v>17</x:v>
      </x:c>
      <x:c r="U2123" s="24" t="n">
        <x:f>IFERROR(J2123/H2123,0)-IFERROR(K2123/I2123,0)</x:f>
        <x:v>0.065</x:v>
      </x:c>
      <x:c r="V2123" s="24" t="n">
        <x:f>IFERROR(F2123/J2123,0)-IFERROR(G2123/K2123,0)</x:f>
        <x:v>0.03030303030303033</x:v>
      </x:c>
      <x:c r="W2123" s="28" t="n">
        <x:f>L2123-M2123</x:f>
        <x:v>-1</x:v>
      </x:c>
      <x:c r="X2123" s="24" t="n">
        <x:f>IFERROR(K2123/I2123,0)</x:f>
        <x:v>0.375</x:v>
      </x:c>
      <x:c r="Y2123" s="24" t="n">
        <x:f>IFERROR(G2123/I2123,0)</x:f>
        <x:v>0.125</x:v>
      </x:c>
      <x:c r="Z2123" s="24" t="n">
        <x:f>IFERROR(G2123/K2123,0)</x:f>
        <x:v>0.3333333333333333</x:v>
      </x:c>
      <x:c r="AA2123" s="24" t="n">
        <x:f>IFERROR(F2123/H2123,0)-IFERROR(G2123/I2123,0)</x:f>
        <x:v>0.035</x:v>
      </x:c>
      <x:c r="AB2123" s="28" t="n">
        <x:f>J2123-K2123</x:f>
        <x:v>8</x:v>
      </x:c>
      <x:c r="AC2123" s="32" t="n">
        <x:f>F2123-G2123</x:f>
        <x:v>3</x:v>
      </x:c>
    </x:row>
    <x:row r="2124">
      <x:c r="A2124" s="4" t="str">
        <x:v>2023-24</x:v>
      </x:c>
      <x:c r="B2124" s="20" t="n">
        <x:v>45386</x:v>
      </x:c>
      <x:c r="C2124" s="4" t="str">
        <x:v>Chelsea</x:v>
      </x:c>
      <x:c r="D2124" s="4" t="str">
        <x:v>Man United</x:v>
      </x:c>
      <x:c r="E2124" s="4" t="str">
        <x:v>Home</x:v>
      </x:c>
      <x:c r="F2124" s="28" t="n">
        <x:v>4</x:v>
      </x:c>
      <x:c r="G2124" s="28" t="n">
        <x:v>3</x:v>
      </x:c>
      <x:c r="H2124" s="28" t="n">
        <x:v>28</x:v>
      </x:c>
      <x:c r="I2124" s="28" t="n">
        <x:v>19</x:v>
      </x:c>
      <x:c r="J2124" s="28" t="n">
        <x:v>10</x:v>
      </x:c>
      <x:c r="K2124" s="28" t="n">
        <x:v>5</x:v>
      </x:c>
      <x:c r="L2124" s="28" t="n">
        <x:v>12</x:v>
      </x:c>
      <x:c r="M2124" s="28" t="n">
        <x:v>3</x:v>
      </x:c>
      <x:c r="N2124" s="28" t="n">
        <x:v>3</x:v>
      </x:c>
      <x:c r="O2124" s="28" t="n">
        <x:v>0</x:v>
      </x:c>
      <x:c r="P2124" s="28" t="n">
        <x:v>3</x:v>
      </x:c>
      <x:c r="Q2124" s="24" t="n">
        <x:f>IFERROR(J2124/H2124,0)</x:f>
        <x:v>0.35714285714285715</x:v>
      </x:c>
      <x:c r="R2124" s="24" t="n">
        <x:f>IFERROR(F2124/H2124,0)</x:f>
        <x:v>0.14285714285714285</x:v>
      </x:c>
      <x:c r="S2124" s="24" t="n">
        <x:f>IFERROR(F2124/J2124,0)</x:f>
        <x:v>0.4</x:v>
      </x:c>
      <x:c r="T2124" s="28" t="n">
        <x:f>H2124-I2124</x:f>
        <x:v>9</x:v>
      </x:c>
      <x:c r="U2124" s="24" t="n">
        <x:f>IFERROR(J2124/H2124,0)-IFERROR(K2124/I2124,0)</x:f>
        <x:v>0.09398496240601506</x:v>
      </x:c>
      <x:c r="V2124" s="24" t="n">
        <x:f>IFERROR(F2124/J2124,0)-IFERROR(G2124/K2124,0)</x:f>
        <x:v>-0.19999999999999996</x:v>
      </x:c>
      <x:c r="W2124" s="28" t="n">
        <x:f>L2124-M2124</x:f>
        <x:v>9</x:v>
      </x:c>
      <x:c r="X2124" s="24" t="n">
        <x:f>IFERROR(K2124/I2124,0)</x:f>
        <x:v>0.2631578947368421</x:v>
      </x:c>
      <x:c r="Y2124" s="24" t="n">
        <x:f>IFERROR(G2124/I2124,0)</x:f>
        <x:v>0.15789473684210525</x:v>
      </x:c>
      <x:c r="Z2124" s="24" t="n">
        <x:f>IFERROR(G2124/K2124,0)</x:f>
        <x:v>0.6</x:v>
      </x:c>
      <x:c r="AA2124" s="24" t="n">
        <x:f>IFERROR(F2124/H2124,0)-IFERROR(G2124/I2124,0)</x:f>
        <x:v>-0.015037593984962405</x:v>
      </x:c>
      <x:c r="AB2124" s="28" t="n">
        <x:f>J2124-K2124</x:f>
        <x:v>5</x:v>
      </x:c>
      <x:c r="AC2124" s="32" t="n">
        <x:f>F2124-G2124</x:f>
        <x:v>1</x:v>
      </x:c>
    </x:row>
    <x:row r="2125">
      <x:c r="A2125" s="4" t="str">
        <x:v>2023-24</x:v>
      </x:c>
      <x:c r="B2125" s="20" t="n">
        <x:v>45386</x:v>
      </x:c>
      <x:c r="C2125" s="4" t="str">
        <x:v>Liverpool</x:v>
      </x:c>
      <x:c r="D2125" s="4" t="str">
        <x:v>Sheffield United</x:v>
      </x:c>
      <x:c r="E2125" s="4" t="str">
        <x:v>Home</x:v>
      </x:c>
      <x:c r="F2125" s="28" t="n">
        <x:v>3</x:v>
      </x:c>
      <x:c r="G2125" s="28" t="n">
        <x:v>1</x:v>
      </x:c>
      <x:c r="H2125" s="28" t="n">
        <x:v>29</x:v>
      </x:c>
      <x:c r="I2125" s="28" t="n">
        <x:v>8</x:v>
      </x:c>
      <x:c r="J2125" s="28" t="n">
        <x:v>9</x:v>
      </x:c>
      <x:c r="K2125" s="28" t="n">
        <x:v>3</x:v>
      </x:c>
      <x:c r="L2125" s="28" t="n">
        <x:v>13</x:v>
      </x:c>
      <x:c r="M2125" s="28" t="n">
        <x:v>1</x:v>
      </x:c>
      <x:c r="N2125" s="28" t="n">
        <x:v>0</x:v>
      </x:c>
      <x:c r="O2125" s="28" t="n">
        <x:v>0</x:v>
      </x:c>
      <x:c r="P2125" s="28" t="n">
        <x:v>3</x:v>
      </x:c>
      <x:c r="Q2125" s="24" t="n">
        <x:f>IFERROR(J2125/H2125,0)</x:f>
        <x:v>0.3103448275862069</x:v>
      </x:c>
      <x:c r="R2125" s="24" t="n">
        <x:f>IFERROR(F2125/H2125,0)</x:f>
        <x:v>0.10344827586206896</x:v>
      </x:c>
      <x:c r="S2125" s="24" t="n">
        <x:f>IFERROR(F2125/J2125,0)</x:f>
        <x:v>0.3333333333333333</x:v>
      </x:c>
      <x:c r="T2125" s="28" t="n">
        <x:f>H2125-I2125</x:f>
        <x:v>21</x:v>
      </x:c>
      <x:c r="U2125" s="24" t="n">
        <x:f>IFERROR(J2125/H2125,0)-IFERROR(K2125/I2125,0)</x:f>
        <x:v>-0.0646551724137931</x:v>
      </x:c>
      <x:c r="V2125" s="24" t="n">
        <x:f>IFERROR(F2125/J2125,0)-IFERROR(G2125/K2125,0)</x:f>
        <x:v>0</x:v>
      </x:c>
      <x:c r="W2125" s="28" t="n">
        <x:f>L2125-M2125</x:f>
        <x:v>12</x:v>
      </x:c>
      <x:c r="X2125" s="24" t="n">
        <x:f>IFERROR(K2125/I2125,0)</x:f>
        <x:v>0.375</x:v>
      </x:c>
      <x:c r="Y2125" s="24" t="n">
        <x:f>IFERROR(G2125/I2125,0)</x:f>
        <x:v>0.125</x:v>
      </x:c>
      <x:c r="Z2125" s="24" t="n">
        <x:f>IFERROR(G2125/K2125,0)</x:f>
        <x:v>0.3333333333333333</x:v>
      </x:c>
      <x:c r="AA2125" s="24" t="n">
        <x:f>IFERROR(F2125/H2125,0)-IFERROR(G2125/I2125,0)</x:f>
        <x:v>-0.021551724137931036</x:v>
      </x:c>
      <x:c r="AB2125" s="28" t="n">
        <x:f>J2125-K2125</x:f>
        <x:v>6</x:v>
      </x:c>
      <x:c r="AC2125" s="32" t="n">
        <x:f>F2125-G2125</x:f>
        <x:v>2</x:v>
      </x:c>
    </x:row>
    <x:row r="2126">
      <x:c r="A2126" s="4" t="str">
        <x:v>2023-24</x:v>
      </x:c>
      <x:c r="B2126" s="20" t="n">
        <x:v>45386</x:v>
      </x:c>
      <x:c r="C2126" s="4" t="str">
        <x:v>Man United</x:v>
      </x:c>
      <x:c r="D2126" s="4" t="str">
        <x:v>Chelsea</x:v>
      </x:c>
      <x:c r="E2126" s="4" t="str">
        <x:v>Away</x:v>
      </x:c>
      <x:c r="F2126" s="28" t="n">
        <x:v>3</x:v>
      </x:c>
      <x:c r="G2126" s="28" t="n">
        <x:v>4</x:v>
      </x:c>
      <x:c r="H2126" s="28" t="n">
        <x:v>19</x:v>
      </x:c>
      <x:c r="I2126" s="28" t="n">
        <x:v>28</x:v>
      </x:c>
      <x:c r="J2126" s="28" t="n">
        <x:v>5</x:v>
      </x:c>
      <x:c r="K2126" s="28" t="n">
        <x:v>10</x:v>
      </x:c>
      <x:c r="L2126" s="28" t="n">
        <x:v>3</x:v>
      </x:c>
      <x:c r="M2126" s="28" t="n">
        <x:v>12</x:v>
      </x:c>
      <x:c r="N2126" s="28" t="n">
        <x:v>0</x:v>
      </x:c>
      <x:c r="O2126" s="28" t="n">
        <x:v>0</x:v>
      </x:c>
      <x:c r="P2126" s="28" t="n">
        <x:v>0</x:v>
      </x:c>
      <x:c r="Q2126" s="24" t="n">
        <x:f>IFERROR(J2126/H2126,0)</x:f>
        <x:v>0.2631578947368421</x:v>
      </x:c>
      <x:c r="R2126" s="24" t="n">
        <x:f>IFERROR(F2126/H2126,0)</x:f>
        <x:v>0.15789473684210525</x:v>
      </x:c>
      <x:c r="S2126" s="24" t="n">
        <x:f>IFERROR(F2126/J2126,0)</x:f>
        <x:v>0.6</x:v>
      </x:c>
      <x:c r="T2126" s="28" t="n">
        <x:f>H2126-I2126</x:f>
        <x:v>-9</x:v>
      </x:c>
      <x:c r="U2126" s="24" t="n">
        <x:f>IFERROR(J2126/H2126,0)-IFERROR(K2126/I2126,0)</x:f>
        <x:v>-0.09398496240601506</x:v>
      </x:c>
      <x:c r="V2126" s="24" t="n">
        <x:f>IFERROR(F2126/J2126,0)-IFERROR(G2126/K2126,0)</x:f>
        <x:v>0.19999999999999996</x:v>
      </x:c>
      <x:c r="W2126" s="28" t="n">
        <x:f>L2126-M2126</x:f>
        <x:v>-9</x:v>
      </x:c>
      <x:c r="X2126" s="24" t="n">
        <x:f>IFERROR(K2126/I2126,0)</x:f>
        <x:v>0.35714285714285715</x:v>
      </x:c>
      <x:c r="Y2126" s="24" t="n">
        <x:f>IFERROR(G2126/I2126,0)</x:f>
        <x:v>0.14285714285714285</x:v>
      </x:c>
      <x:c r="Z2126" s="24" t="n">
        <x:f>IFERROR(G2126/K2126,0)</x:f>
        <x:v>0.4</x:v>
      </x:c>
      <x:c r="AA2126" s="24" t="n">
        <x:f>IFERROR(F2126/H2126,0)-IFERROR(G2126/I2126,0)</x:f>
        <x:v>0.015037593984962405</x:v>
      </x:c>
      <x:c r="AB2126" s="28" t="n">
        <x:f>J2126-K2126</x:f>
        <x:v>-5</x:v>
      </x:c>
      <x:c r="AC2126" s="32" t="n">
        <x:f>F2126-G2126</x:f>
        <x:v>-1</x:v>
      </x:c>
    </x:row>
    <x:row r="2127">
      <x:c r="A2127" s="4" t="str">
        <x:v>2023-24</x:v>
      </x:c>
      <x:c r="B2127" s="20" t="n">
        <x:v>45386</x:v>
      </x:c>
      <x:c r="C2127" s="4" t="str">
        <x:v>Sheffield United</x:v>
      </x:c>
      <x:c r="D2127" s="4" t="str">
        <x:v>Liverpool</x:v>
      </x:c>
      <x:c r="E2127" s="4" t="str">
        <x:v>Away</x:v>
      </x:c>
      <x:c r="F2127" s="28" t="n">
        <x:v>1</x:v>
      </x:c>
      <x:c r="G2127" s="28" t="n">
        <x:v>3</x:v>
      </x:c>
      <x:c r="H2127" s="28" t="n">
        <x:v>8</x:v>
      </x:c>
      <x:c r="I2127" s="28" t="n">
        <x:v>29</x:v>
      </x:c>
      <x:c r="J2127" s="28" t="n">
        <x:v>3</x:v>
      </x:c>
      <x:c r="K2127" s="28" t="n">
        <x:v>9</x:v>
      </x:c>
      <x:c r="L2127" s="28" t="n">
        <x:v>1</x:v>
      </x:c>
      <x:c r="M2127" s="28" t="n">
        <x:v>13</x:v>
      </x:c>
      <x:c r="N2127" s="28" t="n">
        <x:v>1</x:v>
      </x:c>
      <x:c r="O2127" s="28" t="n">
        <x:v>0</x:v>
      </x:c>
      <x:c r="P2127" s="28" t="n">
        <x:v>0</x:v>
      </x:c>
      <x:c r="Q2127" s="24" t="n">
        <x:f>IFERROR(J2127/H2127,0)</x:f>
        <x:v>0.375</x:v>
      </x:c>
      <x:c r="R2127" s="24" t="n">
        <x:f>IFERROR(F2127/H2127,0)</x:f>
        <x:v>0.125</x:v>
      </x:c>
      <x:c r="S2127" s="24" t="n">
        <x:f>IFERROR(F2127/J2127,0)</x:f>
        <x:v>0.3333333333333333</x:v>
      </x:c>
      <x:c r="T2127" s="28" t="n">
        <x:f>H2127-I2127</x:f>
        <x:v>-21</x:v>
      </x:c>
      <x:c r="U2127" s="24" t="n">
        <x:f>IFERROR(J2127/H2127,0)-IFERROR(K2127/I2127,0)</x:f>
        <x:v>0.0646551724137931</x:v>
      </x:c>
      <x:c r="V2127" s="24" t="n">
        <x:f>IFERROR(F2127/J2127,0)-IFERROR(G2127/K2127,0)</x:f>
        <x:v>0</x:v>
      </x:c>
      <x:c r="W2127" s="28" t="n">
        <x:f>L2127-M2127</x:f>
        <x:v>-12</x:v>
      </x:c>
      <x:c r="X2127" s="24" t="n">
        <x:f>IFERROR(K2127/I2127,0)</x:f>
        <x:v>0.3103448275862069</x:v>
      </x:c>
      <x:c r="Y2127" s="24" t="n">
        <x:f>IFERROR(G2127/I2127,0)</x:f>
        <x:v>0.10344827586206896</x:v>
      </x:c>
      <x:c r="Z2127" s="24" t="n">
        <x:f>IFERROR(G2127/K2127,0)</x:f>
        <x:v>0.3333333333333333</x:v>
      </x:c>
      <x:c r="AA2127" s="24" t="n">
        <x:f>IFERROR(F2127/H2127,0)-IFERROR(G2127/I2127,0)</x:f>
        <x:v>0.021551724137931036</x:v>
      </x:c>
      <x:c r="AB2127" s="28" t="n">
        <x:f>J2127-K2127</x:f>
        <x:v>-6</x:v>
      </x:c>
      <x:c r="AC2127" s="32" t="n">
        <x:f>F2127-G2127</x:f>
        <x:v>-2</x:v>
      </x:c>
    </x:row>
    <x:row r="2128">
      <x:c r="A2128" s="4" t="str">
        <x:v>2023-24</x:v>
      </x:c>
      <x:c r="B2128" s="20" t="n">
        <x:v>45388</x:v>
      </x:c>
      <x:c r="C2128" s="4" t="str">
        <x:v>Arsenal</x:v>
      </x:c>
      <x:c r="D2128" s="4" t="str">
        <x:v>Brighton</x:v>
      </x:c>
      <x:c r="E2128" s="4" t="str">
        <x:v>Away</x:v>
      </x:c>
      <x:c r="F2128" s="28" t="n">
        <x:v>3</x:v>
      </x:c>
      <x:c r="G2128" s="28" t="n">
        <x:v>0</x:v>
      </x:c>
      <x:c r="H2128" s="28" t="n">
        <x:v>20</x:v>
      </x:c>
      <x:c r="I2128" s="28" t="n">
        <x:v>10</x:v>
      </x:c>
      <x:c r="J2128" s="28" t="n">
        <x:v>7</x:v>
      </x:c>
      <x:c r="K2128" s="28" t="n">
        <x:v>2</x:v>
      </x:c>
      <x:c r="L2128" s="28" t="n">
        <x:v>7</x:v>
      </x:c>
      <x:c r="M2128" s="28" t="n">
        <x:v>8</x:v>
      </x:c>
      <x:c r="N2128" s="28" t="n">
        <x:v>2</x:v>
      </x:c>
      <x:c r="O2128" s="28" t="n">
        <x:v>0</x:v>
      </x:c>
      <x:c r="P2128" s="28" t="n">
        <x:v>3</x:v>
      </x:c>
      <x:c r="Q2128" s="24" t="n">
        <x:f>IFERROR(J2128/H2128,0)</x:f>
        <x:v>0.35</x:v>
      </x:c>
      <x:c r="R2128" s="24" t="n">
        <x:f>IFERROR(F2128/H2128,0)</x:f>
        <x:v>0.15</x:v>
      </x:c>
      <x:c r="S2128" s="24" t="n">
        <x:f>IFERROR(F2128/J2128,0)</x:f>
        <x:v>0.42857142857142855</x:v>
      </x:c>
      <x:c r="T2128" s="28" t="n">
        <x:f>H2128-I2128</x:f>
        <x:v>10</x:v>
      </x:c>
      <x:c r="U2128" s="24" t="n">
        <x:f>IFERROR(J2128/H2128,0)-IFERROR(K2128/I2128,0)</x:f>
        <x:v>0.14999999999999997</x:v>
      </x:c>
      <x:c r="V2128" s="24" t="n">
        <x:f>IFERROR(F2128/J2128,0)-IFERROR(G2128/K2128,0)</x:f>
        <x:v>0.42857142857142855</x:v>
      </x:c>
      <x:c r="W2128" s="28" t="n">
        <x:f>L2128-M2128</x:f>
        <x:v>-1</x:v>
      </x:c>
      <x:c r="X2128" s="24" t="n">
        <x:f>IFERROR(K2128/I2128,0)</x:f>
        <x:v>0.2</x:v>
      </x:c>
      <x:c r="Y2128" s="24" t="n">
        <x:f>IFERROR(G2128/I2128,0)</x:f>
        <x:v>0</x:v>
      </x:c>
      <x:c r="Z2128" s="24" t="n">
        <x:f>IFERROR(G2128/K2128,0)</x:f>
        <x:v>0</x:v>
      </x:c>
      <x:c r="AA2128" s="24" t="n">
        <x:f>IFERROR(F2128/H2128,0)-IFERROR(G2128/I2128,0)</x:f>
        <x:v>0.15</x:v>
      </x:c>
      <x:c r="AB2128" s="28" t="n">
        <x:f>J2128-K2128</x:f>
        <x:v>5</x:v>
      </x:c>
      <x:c r="AC2128" s="32" t="n">
        <x:f>F2128-G2128</x:f>
        <x:v>3</x:v>
      </x:c>
    </x:row>
    <x:row r="2129">
      <x:c r="A2129" s="4" t="str">
        <x:v>2023-24</x:v>
      </x:c>
      <x:c r="B2129" s="20" t="n">
        <x:v>45388</x:v>
      </x:c>
      <x:c r="C2129" s="4" t="str">
        <x:v>Aston Villa</x:v>
      </x:c>
      <x:c r="D2129" s="4" t="str">
        <x:v>Brentford</x:v>
      </x:c>
      <x:c r="E2129" s="4" t="str">
        <x:v>Home</x:v>
      </x:c>
      <x:c r="F2129" s="28" t="n">
        <x:v>3</x:v>
      </x:c>
      <x:c r="G2129" s="28" t="n">
        <x:v>3</x:v>
      </x:c>
      <x:c r="H2129" s="28" t="n">
        <x:v>11</x:v>
      </x:c>
      <x:c r="I2129" s="28" t="n">
        <x:v>8</x:v>
      </x:c>
      <x:c r="J2129" s="28" t="n">
        <x:v>3</x:v>
      </x:c>
      <x:c r="K2129" s="28" t="n">
        <x:v>3</x:v>
      </x:c>
      <x:c r="L2129" s="28" t="n">
        <x:v>11</x:v>
      </x:c>
      <x:c r="M2129" s="28" t="n">
        <x:v>3</x:v>
      </x:c>
      <x:c r="N2129" s="28" t="n">
        <x:v>2</x:v>
      </x:c>
      <x:c r="O2129" s="28" t="n">
        <x:v>0</x:v>
      </x:c>
      <x:c r="P2129" s="28" t="n">
        <x:v>1</x:v>
      </x:c>
      <x:c r="Q2129" s="24" t="n">
        <x:f>IFERROR(J2129/H2129,0)</x:f>
        <x:v>0.2727272727272727</x:v>
      </x:c>
      <x:c r="R2129" s="24" t="n">
        <x:f>IFERROR(F2129/H2129,0)</x:f>
        <x:v>0.2727272727272727</x:v>
      </x:c>
      <x:c r="S2129" s="24" t="n">
        <x:f>IFERROR(F2129/J2129,0)</x:f>
        <x:v>1</x:v>
      </x:c>
      <x:c r="T2129" s="28" t="n">
        <x:f>H2129-I2129</x:f>
        <x:v>3</x:v>
      </x:c>
      <x:c r="U2129" s="24" t="n">
        <x:f>IFERROR(J2129/H2129,0)-IFERROR(K2129/I2129,0)</x:f>
        <x:v>-0.10227272727272729</x:v>
      </x:c>
      <x:c r="V2129" s="24" t="n">
        <x:f>IFERROR(F2129/J2129,0)-IFERROR(G2129/K2129,0)</x:f>
        <x:v>0</x:v>
      </x:c>
      <x:c r="W2129" s="28" t="n">
        <x:f>L2129-M2129</x:f>
        <x:v>8</x:v>
      </x:c>
      <x:c r="X2129" s="24" t="n">
        <x:f>IFERROR(K2129/I2129,0)</x:f>
        <x:v>0.375</x:v>
      </x:c>
      <x:c r="Y2129" s="24" t="n">
        <x:f>IFERROR(G2129/I2129,0)</x:f>
        <x:v>0.375</x:v>
      </x:c>
      <x:c r="Z2129" s="24" t="n">
        <x:f>IFERROR(G2129/K2129,0)</x:f>
        <x:v>1</x:v>
      </x:c>
      <x:c r="AA2129" s="24" t="n">
        <x:f>IFERROR(F2129/H2129,0)-IFERROR(G2129/I2129,0)</x:f>
        <x:v>-0.10227272727272729</x:v>
      </x:c>
      <x:c r="AB2129" s="28" t="n">
        <x:f>J2129-K2129</x:f>
        <x:v>0</x:v>
      </x:c>
      <x:c r="AC2129" s="32" t="n">
        <x:f>F2129-G2129</x:f>
        <x:v>0</x:v>
      </x:c>
    </x:row>
    <x:row r="2130">
      <x:c r="A2130" s="4" t="str">
        <x:v>2023-24</x:v>
      </x:c>
      <x:c r="B2130" s="20" t="n">
        <x:v>45388</x:v>
      </x:c>
      <x:c r="C2130" s="4" t="str">
        <x:v>Bournemouth</x:v>
      </x:c>
      <x:c r="D2130" s="4" t="str">
        <x:v>Luton</x:v>
      </x:c>
      <x:c r="E2130" s="4" t="str">
        <x:v>Away</x:v>
      </x:c>
      <x:c r="F2130" s="28" t="n">
        <x:v>1</x:v>
      </x:c>
      <x:c r="G2130" s="28" t="n">
        <x:v>2</x:v>
      </x:c>
      <x:c r="H2130" s="28" t="n">
        <x:v>8</x:v>
      </x:c>
      <x:c r="I2130" s="28" t="n">
        <x:v>19</x:v>
      </x:c>
      <x:c r="J2130" s="28" t="n">
        <x:v>1</x:v>
      </x:c>
      <x:c r="K2130" s="28" t="n">
        <x:v>9</x:v>
      </x:c>
      <x:c r="L2130" s="28" t="n">
        <x:v>2</x:v>
      </x:c>
      <x:c r="M2130" s="28" t="n">
        <x:v>7</x:v>
      </x:c>
      <x:c r="N2130" s="28" t="n">
        <x:v>0</x:v>
      </x:c>
      <x:c r="O2130" s="28" t="n">
        <x:v>0</x:v>
      </x:c>
      <x:c r="P2130" s="28" t="n">
        <x:v>0</x:v>
      </x:c>
      <x:c r="Q2130" s="24" t="n">
        <x:f>IFERROR(J2130/H2130,0)</x:f>
        <x:v>0.125</x:v>
      </x:c>
      <x:c r="R2130" s="24" t="n">
        <x:f>IFERROR(F2130/H2130,0)</x:f>
        <x:v>0.125</x:v>
      </x:c>
      <x:c r="S2130" s="24" t="n">
        <x:f>IFERROR(F2130/J2130,0)</x:f>
        <x:v>1</x:v>
      </x:c>
      <x:c r="T2130" s="28" t="n">
        <x:f>H2130-I2130</x:f>
        <x:v>-11</x:v>
      </x:c>
      <x:c r="U2130" s="24" t="n">
        <x:f>IFERROR(J2130/H2130,0)-IFERROR(K2130/I2130,0)</x:f>
        <x:v>-0.34868421052631576</x:v>
      </x:c>
      <x:c r="V2130" s="24" t="n">
        <x:f>IFERROR(F2130/J2130,0)-IFERROR(G2130/K2130,0)</x:f>
        <x:v>0.7777777777777778</x:v>
      </x:c>
      <x:c r="W2130" s="28" t="n">
        <x:f>L2130-M2130</x:f>
        <x:v>-5</x:v>
      </x:c>
      <x:c r="X2130" s="24" t="n">
        <x:f>IFERROR(K2130/I2130,0)</x:f>
        <x:v>0.47368421052631576</x:v>
      </x:c>
      <x:c r="Y2130" s="24" t="n">
        <x:f>IFERROR(G2130/I2130,0)</x:f>
        <x:v>0.10526315789473684</x:v>
      </x:c>
      <x:c r="Z2130" s="24" t="n">
        <x:f>IFERROR(G2130/K2130,0)</x:f>
        <x:v>0.2222222222222222</x:v>
      </x:c>
      <x:c r="AA2130" s="24" t="n">
        <x:f>IFERROR(F2130/H2130,0)-IFERROR(G2130/I2130,0)</x:f>
        <x:v>0.019736842105263164</x:v>
      </x:c>
      <x:c r="AB2130" s="28" t="n">
        <x:f>J2130-K2130</x:f>
        <x:v>-8</x:v>
      </x:c>
      <x:c r="AC2130" s="32" t="n">
        <x:f>F2130-G2130</x:f>
        <x:v>-1</x:v>
      </x:c>
    </x:row>
    <x:row r="2131">
      <x:c r="A2131" s="4" t="str">
        <x:v>2023-24</x:v>
      </x:c>
      <x:c r="B2131" s="20" t="n">
        <x:v>45388</x:v>
      </x:c>
      <x:c r="C2131" s="4" t="str">
        <x:v>Brentford</x:v>
      </x:c>
      <x:c r="D2131" s="4" t="str">
        <x:v>Aston Villa</x:v>
      </x:c>
      <x:c r="E2131" s="4" t="str">
        <x:v>Away</x:v>
      </x:c>
      <x:c r="F2131" s="28" t="n">
        <x:v>3</x:v>
      </x:c>
      <x:c r="G2131" s="28" t="n">
        <x:v>3</x:v>
      </x:c>
      <x:c r="H2131" s="28" t="n">
        <x:v>8</x:v>
      </x:c>
      <x:c r="I2131" s="28" t="n">
        <x:v>11</x:v>
      </x:c>
      <x:c r="J2131" s="28" t="n">
        <x:v>3</x:v>
      </x:c>
      <x:c r="K2131" s="28" t="n">
        <x:v>3</x:v>
      </x:c>
      <x:c r="L2131" s="28" t="n">
        <x:v>3</x:v>
      </x:c>
      <x:c r="M2131" s="28" t="n">
        <x:v>11</x:v>
      </x:c>
      <x:c r="N2131" s="28" t="n">
        <x:v>2</x:v>
      </x:c>
      <x:c r="O2131" s="28" t="n">
        <x:v>0</x:v>
      </x:c>
      <x:c r="P2131" s="28" t="n">
        <x:v>1</x:v>
      </x:c>
      <x:c r="Q2131" s="24" t="n">
        <x:f>IFERROR(J2131/H2131,0)</x:f>
        <x:v>0.375</x:v>
      </x:c>
      <x:c r="R2131" s="24" t="n">
        <x:f>IFERROR(F2131/H2131,0)</x:f>
        <x:v>0.375</x:v>
      </x:c>
      <x:c r="S2131" s="24" t="n">
        <x:f>IFERROR(F2131/J2131,0)</x:f>
        <x:v>1</x:v>
      </x:c>
      <x:c r="T2131" s="28" t="n">
        <x:f>H2131-I2131</x:f>
        <x:v>-3</x:v>
      </x:c>
      <x:c r="U2131" s="24" t="n">
        <x:f>IFERROR(J2131/H2131,0)-IFERROR(K2131/I2131,0)</x:f>
        <x:v>0.10227272727272729</x:v>
      </x:c>
      <x:c r="V2131" s="24" t="n">
        <x:f>IFERROR(F2131/J2131,0)-IFERROR(G2131/K2131,0)</x:f>
        <x:v>0</x:v>
      </x:c>
      <x:c r="W2131" s="28" t="n">
        <x:f>L2131-M2131</x:f>
        <x:v>-8</x:v>
      </x:c>
      <x:c r="X2131" s="24" t="n">
        <x:f>IFERROR(K2131/I2131,0)</x:f>
        <x:v>0.2727272727272727</x:v>
      </x:c>
      <x:c r="Y2131" s="24" t="n">
        <x:f>IFERROR(G2131/I2131,0)</x:f>
        <x:v>0.2727272727272727</x:v>
      </x:c>
      <x:c r="Z2131" s="24" t="n">
        <x:f>IFERROR(G2131/K2131,0)</x:f>
        <x:v>1</x:v>
      </x:c>
      <x:c r="AA2131" s="24" t="n">
        <x:f>IFERROR(F2131/H2131,0)-IFERROR(G2131/I2131,0)</x:f>
        <x:v>0.10227272727272729</x:v>
      </x:c>
      <x:c r="AB2131" s="28" t="n">
        <x:f>J2131-K2131</x:f>
        <x:v>0</x:v>
      </x:c>
      <x:c r="AC2131" s="32" t="n">
        <x:f>F2131-G2131</x:f>
        <x:v>0</x:v>
      </x:c>
    </x:row>
    <x:row r="2132">
      <x:c r="A2132" s="4" t="str">
        <x:v>2023-24</x:v>
      </x:c>
      <x:c r="B2132" s="20" t="n">
        <x:v>45388</x:v>
      </x:c>
      <x:c r="C2132" s="4" t="str">
        <x:v>Brighton</x:v>
      </x:c>
      <x:c r="D2132" s="4" t="str">
        <x:v>Arsenal</x:v>
      </x:c>
      <x:c r="E2132" s="4" t="str">
        <x:v>Home</x:v>
      </x:c>
      <x:c r="F2132" s="28" t="n">
        <x:v>0</x:v>
      </x:c>
      <x:c r="G2132" s="28" t="n">
        <x:v>3</x:v>
      </x:c>
      <x:c r="H2132" s="28" t="n">
        <x:v>10</x:v>
      </x:c>
      <x:c r="I2132" s="28" t="n">
        <x:v>20</x:v>
      </x:c>
      <x:c r="J2132" s="28" t="n">
        <x:v>2</x:v>
      </x:c>
      <x:c r="K2132" s="28" t="n">
        <x:v>7</x:v>
      </x:c>
      <x:c r="L2132" s="28" t="n">
        <x:v>8</x:v>
      </x:c>
      <x:c r="M2132" s="28" t="n">
        <x:v>7</x:v>
      </x:c>
      <x:c r="N2132" s="28" t="n">
        <x:v>1</x:v>
      </x:c>
      <x:c r="O2132" s="28" t="n">
        <x:v>0</x:v>
      </x:c>
      <x:c r="P2132" s="28" t="n">
        <x:v>0</x:v>
      </x:c>
      <x:c r="Q2132" s="24" t="n">
        <x:f>IFERROR(J2132/H2132,0)</x:f>
        <x:v>0.2</x:v>
      </x:c>
      <x:c r="R2132" s="24" t="n">
        <x:f>IFERROR(F2132/H2132,0)</x:f>
        <x:v>0</x:v>
      </x:c>
      <x:c r="S2132" s="24" t="n">
        <x:f>IFERROR(F2132/J2132,0)</x:f>
        <x:v>0</x:v>
      </x:c>
      <x:c r="T2132" s="28" t="n">
        <x:f>H2132-I2132</x:f>
        <x:v>-10</x:v>
      </x:c>
      <x:c r="U2132" s="24" t="n">
        <x:f>IFERROR(J2132/H2132,0)-IFERROR(K2132/I2132,0)</x:f>
        <x:v>-0.14999999999999997</x:v>
      </x:c>
      <x:c r="V2132" s="24" t="n">
        <x:f>IFERROR(F2132/J2132,0)-IFERROR(G2132/K2132,0)</x:f>
        <x:v>-0.42857142857142855</x:v>
      </x:c>
      <x:c r="W2132" s="28" t="n">
        <x:f>L2132-M2132</x:f>
        <x:v>1</x:v>
      </x:c>
      <x:c r="X2132" s="24" t="n">
        <x:f>IFERROR(K2132/I2132,0)</x:f>
        <x:v>0.35</x:v>
      </x:c>
      <x:c r="Y2132" s="24" t="n">
        <x:f>IFERROR(G2132/I2132,0)</x:f>
        <x:v>0.15</x:v>
      </x:c>
      <x:c r="Z2132" s="24" t="n">
        <x:f>IFERROR(G2132/K2132,0)</x:f>
        <x:v>0.42857142857142855</x:v>
      </x:c>
      <x:c r="AA2132" s="24" t="n">
        <x:f>IFERROR(F2132/H2132,0)-IFERROR(G2132/I2132,0)</x:f>
        <x:v>-0.15</x:v>
      </x:c>
      <x:c r="AB2132" s="28" t="n">
        <x:f>J2132-K2132</x:f>
        <x:v>-5</x:v>
      </x:c>
      <x:c r="AC2132" s="32" t="n">
        <x:f>F2132-G2132</x:f>
        <x:v>-3</x:v>
      </x:c>
    </x:row>
    <x:row r="2133">
      <x:c r="A2133" s="4" t="str">
        <x:v>2023-24</x:v>
      </x:c>
      <x:c r="B2133" s="20" t="n">
        <x:v>45388</x:v>
      </x:c>
      <x:c r="C2133" s="4" t="str">
        <x:v>Burnley</x:v>
      </x:c>
      <x:c r="D2133" s="4" t="str">
        <x:v>Everton</x:v>
      </x:c>
      <x:c r="E2133" s="4" t="str">
        <x:v>Away</x:v>
      </x:c>
      <x:c r="F2133" s="28" t="n">
        <x:v>0</x:v>
      </x:c>
      <x:c r="G2133" s="28" t="n">
        <x:v>1</x:v>
      </x:c>
      <x:c r="H2133" s="28" t="n">
        <x:v>6</x:v>
      </x:c>
      <x:c r="I2133" s="28" t="n">
        <x:v>12</x:v>
      </x:c>
      <x:c r="J2133" s="28" t="n">
        <x:v>1</x:v>
      </x:c>
      <x:c r="K2133" s="28" t="n">
        <x:v>3</x:v>
      </x:c>
      <x:c r="L2133" s="28" t="n">
        <x:v>5</x:v>
      </x:c>
      <x:c r="M2133" s="28" t="n">
        <x:v>3</x:v>
      </x:c>
      <x:c r="N2133" s="28" t="n">
        <x:v>1</x:v>
      </x:c>
      <x:c r="O2133" s="28" t="n">
        <x:v>1</x:v>
      </x:c>
      <x:c r="P2133" s="28" t="n">
        <x:v>0</x:v>
      </x:c>
      <x:c r="Q2133" s="24" t="n">
        <x:f>IFERROR(J2133/H2133,0)</x:f>
        <x:v>0.16666666666666666</x:v>
      </x:c>
      <x:c r="R2133" s="24" t="n">
        <x:f>IFERROR(F2133/H2133,0)</x:f>
        <x:v>0</x:v>
      </x:c>
      <x:c r="S2133" s="24" t="n">
        <x:f>IFERROR(F2133/J2133,0)</x:f>
        <x:v>0</x:v>
      </x:c>
      <x:c r="T2133" s="28" t="n">
        <x:f>H2133-I2133</x:f>
        <x:v>-6</x:v>
      </x:c>
      <x:c r="U2133" s="24" t="n">
        <x:f>IFERROR(J2133/H2133,0)-IFERROR(K2133/I2133,0)</x:f>
        <x:v>-0.08333333333333334</x:v>
      </x:c>
      <x:c r="V2133" s="24" t="n">
        <x:f>IFERROR(F2133/J2133,0)-IFERROR(G2133/K2133,0)</x:f>
        <x:v>-0.3333333333333333</x:v>
      </x:c>
      <x:c r="W2133" s="28" t="n">
        <x:f>L2133-M2133</x:f>
        <x:v>2</x:v>
      </x:c>
      <x:c r="X2133" s="24" t="n">
        <x:f>IFERROR(K2133/I2133,0)</x:f>
        <x:v>0.25</x:v>
      </x:c>
      <x:c r="Y2133" s="24" t="n">
        <x:f>IFERROR(G2133/I2133,0)</x:f>
        <x:v>0.08333333333333333</x:v>
      </x:c>
      <x:c r="Z2133" s="24" t="n">
        <x:f>IFERROR(G2133/K2133,0)</x:f>
        <x:v>0.3333333333333333</x:v>
      </x:c>
      <x:c r="AA2133" s="24" t="n">
        <x:f>IFERROR(F2133/H2133,0)-IFERROR(G2133/I2133,0)</x:f>
        <x:v>-0.08333333333333333</x:v>
      </x:c>
      <x:c r="AB2133" s="28" t="n">
        <x:f>J2133-K2133</x:f>
        <x:v>-2</x:v>
      </x:c>
      <x:c r="AC2133" s="32" t="n">
        <x:f>F2133-G2133</x:f>
        <x:v>-1</x:v>
      </x:c>
    </x:row>
    <x:row r="2134">
      <x:c r="A2134" s="4" t="str">
        <x:v>2023-24</x:v>
      </x:c>
      <x:c r="B2134" s="20" t="n">
        <x:v>45388</x:v>
      </x:c>
      <x:c r="C2134" s="4" t="str">
        <x:v>Crystal Palace</x:v>
      </x:c>
      <x:c r="D2134" s="4" t="str">
        <x:v>Man City</x:v>
      </x:c>
      <x:c r="E2134" s="4" t="str">
        <x:v>Home</x:v>
      </x:c>
      <x:c r="F2134" s="28" t="n">
        <x:v>2</x:v>
      </x:c>
      <x:c r="G2134" s="28" t="n">
        <x:v>4</x:v>
      </x:c>
      <x:c r="H2134" s="28" t="n">
        <x:v>7</x:v>
      </x:c>
      <x:c r="I2134" s="28" t="n">
        <x:v>18</x:v>
      </x:c>
      <x:c r="J2134" s="28" t="n">
        <x:v>4</x:v>
      </x:c>
      <x:c r="K2134" s="28" t="n">
        <x:v>8</x:v>
      </x:c>
      <x:c r="L2134" s="28" t="n">
        <x:v>2</x:v>
      </x:c>
      <x:c r="M2134" s="28" t="n">
        <x:v>9</x:v>
      </x:c>
      <x:c r="N2134" s="28" t="n">
        <x:v>1</x:v>
      </x:c>
      <x:c r="O2134" s="28" t="n">
        <x:v>0</x:v>
      </x:c>
      <x:c r="P2134" s="28" t="n">
        <x:v>0</x:v>
      </x:c>
      <x:c r="Q2134" s="24" t="n">
        <x:f>IFERROR(J2134/H2134,0)</x:f>
        <x:v>0.5714285714285714</x:v>
      </x:c>
      <x:c r="R2134" s="24" t="n">
        <x:f>IFERROR(F2134/H2134,0)</x:f>
        <x:v>0.2857142857142857</x:v>
      </x:c>
      <x:c r="S2134" s="24" t="n">
        <x:f>IFERROR(F2134/J2134,0)</x:f>
        <x:v>0.5</x:v>
      </x:c>
      <x:c r="T2134" s="28" t="n">
        <x:f>H2134-I2134</x:f>
        <x:v>-11</x:v>
      </x:c>
      <x:c r="U2134" s="24" t="n">
        <x:f>IFERROR(J2134/H2134,0)-IFERROR(K2134/I2134,0)</x:f>
        <x:v>0.12698412698412698</x:v>
      </x:c>
      <x:c r="V2134" s="24" t="n">
        <x:f>IFERROR(F2134/J2134,0)-IFERROR(G2134/K2134,0)</x:f>
        <x:v>0</x:v>
      </x:c>
      <x:c r="W2134" s="28" t="n">
        <x:f>L2134-M2134</x:f>
        <x:v>-7</x:v>
      </x:c>
      <x:c r="X2134" s="24" t="n">
        <x:f>IFERROR(K2134/I2134,0)</x:f>
        <x:v>0.4444444444444444</x:v>
      </x:c>
      <x:c r="Y2134" s="24" t="n">
        <x:f>IFERROR(G2134/I2134,0)</x:f>
        <x:v>0.2222222222222222</x:v>
      </x:c>
      <x:c r="Z2134" s="24" t="n">
        <x:f>IFERROR(G2134/K2134,0)</x:f>
        <x:v>0.5</x:v>
      </x:c>
      <x:c r="AA2134" s="24" t="n">
        <x:f>IFERROR(F2134/H2134,0)-IFERROR(G2134/I2134,0)</x:f>
        <x:v>0.06349206349206349</x:v>
      </x:c>
      <x:c r="AB2134" s="28" t="n">
        <x:f>J2134-K2134</x:f>
        <x:v>-4</x:v>
      </x:c>
      <x:c r="AC2134" s="32" t="n">
        <x:f>F2134-G2134</x:f>
        <x:v>-2</x:v>
      </x:c>
    </x:row>
    <x:row r="2135">
      <x:c r="A2135" s="4" t="str">
        <x:v>2023-24</x:v>
      </x:c>
      <x:c r="B2135" s="20" t="n">
        <x:v>45388</x:v>
      </x:c>
      <x:c r="C2135" s="4" t="str">
        <x:v>Everton</x:v>
      </x:c>
      <x:c r="D2135" s="4" t="str">
        <x:v>Burnley</x:v>
      </x:c>
      <x:c r="E2135" s="4" t="str">
        <x:v>Home</x:v>
      </x:c>
      <x:c r="F2135" s="28" t="n">
        <x:v>1</x:v>
      </x:c>
      <x:c r="G2135" s="28" t="n">
        <x:v>0</x:v>
      </x:c>
      <x:c r="H2135" s="28" t="n">
        <x:v>12</x:v>
      </x:c>
      <x:c r="I2135" s="28" t="n">
        <x:v>6</x:v>
      </x:c>
      <x:c r="J2135" s="28" t="n">
        <x:v>3</x:v>
      </x:c>
      <x:c r="K2135" s="28" t="n">
        <x:v>1</x:v>
      </x:c>
      <x:c r="L2135" s="28" t="n">
        <x:v>3</x:v>
      </x:c>
      <x:c r="M2135" s="28" t="n">
        <x:v>5</x:v>
      </x:c>
      <x:c r="N2135" s="28" t="n">
        <x:v>2</x:v>
      </x:c>
      <x:c r="O2135" s="28" t="n">
        <x:v>0</x:v>
      </x:c>
      <x:c r="P2135" s="28" t="n">
        <x:v>3</x:v>
      </x:c>
      <x:c r="Q2135" s="24" t="n">
        <x:f>IFERROR(J2135/H2135,0)</x:f>
        <x:v>0.25</x:v>
      </x:c>
      <x:c r="R2135" s="24" t="n">
        <x:f>IFERROR(F2135/H2135,0)</x:f>
        <x:v>0.08333333333333333</x:v>
      </x:c>
      <x:c r="S2135" s="24" t="n">
        <x:f>IFERROR(F2135/J2135,0)</x:f>
        <x:v>0.3333333333333333</x:v>
      </x:c>
      <x:c r="T2135" s="28" t="n">
        <x:f>H2135-I2135</x:f>
        <x:v>6</x:v>
      </x:c>
      <x:c r="U2135" s="24" t="n">
        <x:f>IFERROR(J2135/H2135,0)-IFERROR(K2135/I2135,0)</x:f>
        <x:v>0.08333333333333334</x:v>
      </x:c>
      <x:c r="V2135" s="24" t="n">
        <x:f>IFERROR(F2135/J2135,0)-IFERROR(G2135/K2135,0)</x:f>
        <x:v>0.3333333333333333</x:v>
      </x:c>
      <x:c r="W2135" s="28" t="n">
        <x:f>L2135-M2135</x:f>
        <x:v>-2</x:v>
      </x:c>
      <x:c r="X2135" s="24" t="n">
        <x:f>IFERROR(K2135/I2135,0)</x:f>
        <x:v>0.16666666666666666</x:v>
      </x:c>
      <x:c r="Y2135" s="24" t="n">
        <x:f>IFERROR(G2135/I2135,0)</x:f>
        <x:v>0</x:v>
      </x:c>
      <x:c r="Z2135" s="24" t="n">
        <x:f>IFERROR(G2135/K2135,0)</x:f>
        <x:v>0</x:v>
      </x:c>
      <x:c r="AA2135" s="24" t="n">
        <x:f>IFERROR(F2135/H2135,0)-IFERROR(G2135/I2135,0)</x:f>
        <x:v>0.08333333333333333</x:v>
      </x:c>
      <x:c r="AB2135" s="28" t="n">
        <x:f>J2135-K2135</x:f>
        <x:v>2</x:v>
      </x:c>
      <x:c r="AC2135" s="32" t="n">
        <x:f>F2135-G2135</x:f>
        <x:v>1</x:v>
      </x:c>
    </x:row>
    <x:row r="2136">
      <x:c r="A2136" s="4" t="str">
        <x:v>2023-24</x:v>
      </x:c>
      <x:c r="B2136" s="20" t="n">
        <x:v>45388</x:v>
      </x:c>
      <x:c r="C2136" s="4" t="str">
        <x:v>Fulham</x:v>
      </x:c>
      <x:c r="D2136" s="4" t="str">
        <x:v>Newcastle</x:v>
      </x:c>
      <x:c r="E2136" s="4" t="str">
        <x:v>Home</x:v>
      </x:c>
      <x:c r="F2136" s="28" t="n">
        <x:v>0</x:v>
      </x:c>
      <x:c r="G2136" s="28" t="n">
        <x:v>1</x:v>
      </x:c>
      <x:c r="H2136" s="28" t="n">
        <x:v>14</x:v>
      </x:c>
      <x:c r="I2136" s="28" t="n">
        <x:v>12</x:v>
      </x:c>
      <x:c r="J2136" s="28" t="n">
        <x:v>4</x:v>
      </x:c>
      <x:c r="K2136" s="28" t="n">
        <x:v>5</x:v>
      </x:c>
      <x:c r="L2136" s="28" t="n">
        <x:v>14</x:v>
      </x:c>
      <x:c r="M2136" s="28" t="n">
        <x:v>3</x:v>
      </x:c>
      <x:c r="N2136" s="28" t="n">
        <x:v>1</x:v>
      </x:c>
      <x:c r="O2136" s="28" t="n">
        <x:v>0</x:v>
      </x:c>
      <x:c r="P2136" s="28" t="n">
        <x:v>0</x:v>
      </x:c>
      <x:c r="Q2136" s="24" t="n">
        <x:f>IFERROR(J2136/H2136,0)</x:f>
        <x:v>0.2857142857142857</x:v>
      </x:c>
      <x:c r="R2136" s="24" t="n">
        <x:f>IFERROR(F2136/H2136,0)</x:f>
        <x:v>0</x:v>
      </x:c>
      <x:c r="S2136" s="24" t="n">
        <x:f>IFERROR(F2136/J2136,0)</x:f>
        <x:v>0</x:v>
      </x:c>
      <x:c r="T2136" s="28" t="n">
        <x:f>H2136-I2136</x:f>
        <x:v>2</x:v>
      </x:c>
      <x:c r="U2136" s="24" t="n">
        <x:f>IFERROR(J2136/H2136,0)-IFERROR(K2136/I2136,0)</x:f>
        <x:v>-0.130952380952381</x:v>
      </x:c>
      <x:c r="V2136" s="24" t="n">
        <x:f>IFERROR(F2136/J2136,0)-IFERROR(G2136/K2136,0)</x:f>
        <x:v>-0.2</x:v>
      </x:c>
      <x:c r="W2136" s="28" t="n">
        <x:f>L2136-M2136</x:f>
        <x:v>11</x:v>
      </x:c>
      <x:c r="X2136" s="24" t="n">
        <x:f>IFERROR(K2136/I2136,0)</x:f>
        <x:v>0.4166666666666667</x:v>
      </x:c>
      <x:c r="Y2136" s="24" t="n">
        <x:f>IFERROR(G2136/I2136,0)</x:f>
        <x:v>0.08333333333333333</x:v>
      </x:c>
      <x:c r="Z2136" s="24" t="n">
        <x:f>IFERROR(G2136/K2136,0)</x:f>
        <x:v>0.2</x:v>
      </x:c>
      <x:c r="AA2136" s="24" t="n">
        <x:f>IFERROR(F2136/H2136,0)-IFERROR(G2136/I2136,0)</x:f>
        <x:v>-0.08333333333333333</x:v>
      </x:c>
      <x:c r="AB2136" s="28" t="n">
        <x:f>J2136-K2136</x:f>
        <x:v>-1</x:v>
      </x:c>
      <x:c r="AC2136" s="32" t="n">
        <x:f>F2136-G2136</x:f>
        <x:v>-1</x:v>
      </x:c>
    </x:row>
    <x:row r="2137">
      <x:c r="A2137" s="4" t="str">
        <x:v>2023-24</x:v>
      </x:c>
      <x:c r="B2137" s="20" t="n">
        <x:v>45388</x:v>
      </x:c>
      <x:c r="C2137" s="4" t="str">
        <x:v>Luton</x:v>
      </x:c>
      <x:c r="D2137" s="4" t="str">
        <x:v>Bournemouth</x:v>
      </x:c>
      <x:c r="E2137" s="4" t="str">
        <x:v>Home</x:v>
      </x:c>
      <x:c r="F2137" s="28" t="n">
        <x:v>2</x:v>
      </x:c>
      <x:c r="G2137" s="28" t="n">
        <x:v>1</x:v>
      </x:c>
      <x:c r="H2137" s="28" t="n">
        <x:v>19</x:v>
      </x:c>
      <x:c r="I2137" s="28" t="n">
        <x:v>8</x:v>
      </x:c>
      <x:c r="J2137" s="28" t="n">
        <x:v>9</x:v>
      </x:c>
      <x:c r="K2137" s="28" t="n">
        <x:v>1</x:v>
      </x:c>
      <x:c r="L2137" s="28" t="n">
        <x:v>7</x:v>
      </x:c>
      <x:c r="M2137" s="28" t="n">
        <x:v>2</x:v>
      </x:c>
      <x:c r="N2137" s="28" t="n">
        <x:v>0</x:v>
      </x:c>
      <x:c r="O2137" s="28" t="n">
        <x:v>0</x:v>
      </x:c>
      <x:c r="P2137" s="28" t="n">
        <x:v>3</x:v>
      </x:c>
      <x:c r="Q2137" s="24" t="n">
        <x:f>IFERROR(J2137/H2137,0)</x:f>
        <x:v>0.47368421052631576</x:v>
      </x:c>
      <x:c r="R2137" s="24" t="n">
        <x:f>IFERROR(F2137/H2137,0)</x:f>
        <x:v>0.10526315789473684</x:v>
      </x:c>
      <x:c r="S2137" s="24" t="n">
        <x:f>IFERROR(F2137/J2137,0)</x:f>
        <x:v>0.2222222222222222</x:v>
      </x:c>
      <x:c r="T2137" s="28" t="n">
        <x:f>H2137-I2137</x:f>
        <x:v>11</x:v>
      </x:c>
      <x:c r="U2137" s="24" t="n">
        <x:f>IFERROR(J2137/H2137,0)-IFERROR(K2137/I2137,0)</x:f>
        <x:v>0.34868421052631576</x:v>
      </x:c>
      <x:c r="V2137" s="24" t="n">
        <x:f>IFERROR(F2137/J2137,0)-IFERROR(G2137/K2137,0)</x:f>
        <x:v>-0.7777777777777778</x:v>
      </x:c>
      <x:c r="W2137" s="28" t="n">
        <x:f>L2137-M2137</x:f>
        <x:v>5</x:v>
      </x:c>
      <x:c r="X2137" s="24" t="n">
        <x:f>IFERROR(K2137/I2137,0)</x:f>
        <x:v>0.125</x:v>
      </x:c>
      <x:c r="Y2137" s="24" t="n">
        <x:f>IFERROR(G2137/I2137,0)</x:f>
        <x:v>0.125</x:v>
      </x:c>
      <x:c r="Z2137" s="24" t="n">
        <x:f>IFERROR(G2137/K2137,0)</x:f>
        <x:v>1</x:v>
      </x:c>
      <x:c r="AA2137" s="24" t="n">
        <x:f>IFERROR(F2137/H2137,0)-IFERROR(G2137/I2137,0)</x:f>
        <x:v>-0.019736842105263164</x:v>
      </x:c>
      <x:c r="AB2137" s="28" t="n">
        <x:f>J2137-K2137</x:f>
        <x:v>8</x:v>
      </x:c>
      <x:c r="AC2137" s="32" t="n">
        <x:f>F2137-G2137</x:f>
        <x:v>1</x:v>
      </x:c>
    </x:row>
    <x:row r="2138">
      <x:c r="A2138" s="4" t="str">
        <x:v>2023-24</x:v>
      </x:c>
      <x:c r="B2138" s="20" t="n">
        <x:v>45388</x:v>
      </x:c>
      <x:c r="C2138" s="4" t="str">
        <x:v>Man City</x:v>
      </x:c>
      <x:c r="D2138" s="4" t="str">
        <x:v>Crystal Palace</x:v>
      </x:c>
      <x:c r="E2138" s="4" t="str">
        <x:v>Away</x:v>
      </x:c>
      <x:c r="F2138" s="28" t="n">
        <x:v>4</x:v>
      </x:c>
      <x:c r="G2138" s="28" t="n">
        <x:v>2</x:v>
      </x:c>
      <x:c r="H2138" s="28" t="n">
        <x:v>18</x:v>
      </x:c>
      <x:c r="I2138" s="28" t="n">
        <x:v>7</x:v>
      </x:c>
      <x:c r="J2138" s="28" t="n">
        <x:v>8</x:v>
      </x:c>
      <x:c r="K2138" s="28" t="n">
        <x:v>4</x:v>
      </x:c>
      <x:c r="L2138" s="28" t="n">
        <x:v>9</x:v>
      </x:c>
      <x:c r="M2138" s="28" t="n">
        <x:v>2</x:v>
      </x:c>
      <x:c r="N2138" s="28" t="n">
        <x:v>1</x:v>
      </x:c>
      <x:c r="O2138" s="28" t="n">
        <x:v>0</x:v>
      </x:c>
      <x:c r="P2138" s="28" t="n">
        <x:v>3</x:v>
      </x:c>
      <x:c r="Q2138" s="24" t="n">
        <x:f>IFERROR(J2138/H2138,0)</x:f>
        <x:v>0.4444444444444444</x:v>
      </x:c>
      <x:c r="R2138" s="24" t="n">
        <x:f>IFERROR(F2138/H2138,0)</x:f>
        <x:v>0.2222222222222222</x:v>
      </x:c>
      <x:c r="S2138" s="24" t="n">
        <x:f>IFERROR(F2138/J2138,0)</x:f>
        <x:v>0.5</x:v>
      </x:c>
      <x:c r="T2138" s="28" t="n">
        <x:f>H2138-I2138</x:f>
        <x:v>11</x:v>
      </x:c>
      <x:c r="U2138" s="24" t="n">
        <x:f>IFERROR(J2138/H2138,0)-IFERROR(K2138/I2138,0)</x:f>
        <x:v>-0.12698412698412698</x:v>
      </x:c>
      <x:c r="V2138" s="24" t="n">
        <x:f>IFERROR(F2138/J2138,0)-IFERROR(G2138/K2138,0)</x:f>
        <x:v>0</x:v>
      </x:c>
      <x:c r="W2138" s="28" t="n">
        <x:f>L2138-M2138</x:f>
        <x:v>7</x:v>
      </x:c>
      <x:c r="X2138" s="24" t="n">
        <x:f>IFERROR(K2138/I2138,0)</x:f>
        <x:v>0.5714285714285714</x:v>
      </x:c>
      <x:c r="Y2138" s="24" t="n">
        <x:f>IFERROR(G2138/I2138,0)</x:f>
        <x:v>0.2857142857142857</x:v>
      </x:c>
      <x:c r="Z2138" s="24" t="n">
        <x:f>IFERROR(G2138/K2138,0)</x:f>
        <x:v>0.5</x:v>
      </x:c>
      <x:c r="AA2138" s="24" t="n">
        <x:f>IFERROR(F2138/H2138,0)-IFERROR(G2138/I2138,0)</x:f>
        <x:v>-0.06349206349206349</x:v>
      </x:c>
      <x:c r="AB2138" s="28" t="n">
        <x:f>J2138-K2138</x:f>
        <x:v>4</x:v>
      </x:c>
      <x:c r="AC2138" s="32" t="n">
        <x:f>F2138-G2138</x:f>
        <x:v>2</x:v>
      </x:c>
    </x:row>
    <x:row r="2139">
      <x:c r="A2139" s="4" t="str">
        <x:v>2023-24</x:v>
      </x:c>
      <x:c r="B2139" s="20" t="n">
        <x:v>45388</x:v>
      </x:c>
      <x:c r="C2139" s="4" t="str">
        <x:v>Newcastle</x:v>
      </x:c>
      <x:c r="D2139" s="4" t="str">
        <x:v>Fulham</x:v>
      </x:c>
      <x:c r="E2139" s="4" t="str">
        <x:v>Away</x:v>
      </x:c>
      <x:c r="F2139" s="28" t="n">
        <x:v>1</x:v>
      </x:c>
      <x:c r="G2139" s="28" t="n">
        <x:v>0</x:v>
      </x:c>
      <x:c r="H2139" s="28" t="n">
        <x:v>12</x:v>
      </x:c>
      <x:c r="I2139" s="28" t="n">
        <x:v>14</x:v>
      </x:c>
      <x:c r="J2139" s="28" t="n">
        <x:v>5</x:v>
      </x:c>
      <x:c r="K2139" s="28" t="n">
        <x:v>4</x:v>
      </x:c>
      <x:c r="L2139" s="28" t="n">
        <x:v>3</x:v>
      </x:c>
      <x:c r="M2139" s="28" t="n">
        <x:v>14</x:v>
      </x:c>
      <x:c r="N2139" s="28" t="n">
        <x:v>2</x:v>
      </x:c>
      <x:c r="O2139" s="28" t="n">
        <x:v>0</x:v>
      </x:c>
      <x:c r="P2139" s="28" t="n">
        <x:v>3</x:v>
      </x:c>
      <x:c r="Q2139" s="24" t="n">
        <x:f>IFERROR(J2139/H2139,0)</x:f>
        <x:v>0.4166666666666667</x:v>
      </x:c>
      <x:c r="R2139" s="24" t="n">
        <x:f>IFERROR(F2139/H2139,0)</x:f>
        <x:v>0.08333333333333333</x:v>
      </x:c>
      <x:c r="S2139" s="24" t="n">
        <x:f>IFERROR(F2139/J2139,0)</x:f>
        <x:v>0.2</x:v>
      </x:c>
      <x:c r="T2139" s="28" t="n">
        <x:f>H2139-I2139</x:f>
        <x:v>-2</x:v>
      </x:c>
      <x:c r="U2139" s="24" t="n">
        <x:f>IFERROR(J2139/H2139,0)-IFERROR(K2139/I2139,0)</x:f>
        <x:v>0.130952380952381</x:v>
      </x:c>
      <x:c r="V2139" s="24" t="n">
        <x:f>IFERROR(F2139/J2139,0)-IFERROR(G2139/K2139,0)</x:f>
        <x:v>0.2</x:v>
      </x:c>
      <x:c r="W2139" s="28" t="n">
        <x:f>L2139-M2139</x:f>
        <x:v>-11</x:v>
      </x:c>
      <x:c r="X2139" s="24" t="n">
        <x:f>IFERROR(K2139/I2139,0)</x:f>
        <x:v>0.2857142857142857</x:v>
      </x:c>
      <x:c r="Y2139" s="24" t="n">
        <x:f>IFERROR(G2139/I2139,0)</x:f>
        <x:v>0</x:v>
      </x:c>
      <x:c r="Z2139" s="24" t="n">
        <x:f>IFERROR(G2139/K2139,0)</x:f>
        <x:v>0</x:v>
      </x:c>
      <x:c r="AA2139" s="24" t="n">
        <x:f>IFERROR(F2139/H2139,0)-IFERROR(G2139/I2139,0)</x:f>
        <x:v>0.08333333333333333</x:v>
      </x:c>
      <x:c r="AB2139" s="28" t="n">
        <x:f>J2139-K2139</x:f>
        <x:v>1</x:v>
      </x:c>
      <x:c r="AC2139" s="32" t="n">
        <x:f>F2139-G2139</x:f>
        <x:v>1</x:v>
      </x:c>
    </x:row>
    <x:row r="2140">
      <x:c r="A2140" s="4" t="str">
        <x:v>2023-24</x:v>
      </x:c>
      <x:c r="B2140" s="20" t="n">
        <x:v>45388</x:v>
      </x:c>
      <x:c r="C2140" s="4" t="str">
        <x:v>West Ham</x:v>
      </x:c>
      <x:c r="D2140" s="4" t="str">
        <x:v>Wolves</x:v>
      </x:c>
      <x:c r="E2140" s="4" t="str">
        <x:v>Away</x:v>
      </x:c>
      <x:c r="F2140" s="28" t="n">
        <x:v>2</x:v>
      </x:c>
      <x:c r="G2140" s="28" t="n">
        <x:v>1</x:v>
      </x:c>
      <x:c r="H2140" s="28" t="n">
        <x:v>11</x:v>
      </x:c>
      <x:c r="I2140" s="28" t="n">
        <x:v>14</x:v>
      </x:c>
      <x:c r="J2140" s="28" t="n">
        <x:v>4</x:v>
      </x:c>
      <x:c r="K2140" s="28" t="n">
        <x:v>7</x:v>
      </x:c>
      <x:c r="L2140" s="28" t="n">
        <x:v>4</x:v>
      </x:c>
      <x:c r="M2140" s="28" t="n">
        <x:v>4</x:v>
      </x:c>
      <x:c r="N2140" s="28" t="n">
        <x:v>2</x:v>
      </x:c>
      <x:c r="O2140" s="28" t="n">
        <x:v>0</x:v>
      </x:c>
      <x:c r="P2140" s="28" t="n">
        <x:v>3</x:v>
      </x:c>
      <x:c r="Q2140" s="24" t="n">
        <x:f>IFERROR(J2140/H2140,0)</x:f>
        <x:v>0.36363636363636365</x:v>
      </x:c>
      <x:c r="R2140" s="24" t="n">
        <x:f>IFERROR(F2140/H2140,0)</x:f>
        <x:v>0.18181818181818182</x:v>
      </x:c>
      <x:c r="S2140" s="24" t="n">
        <x:f>IFERROR(F2140/J2140,0)</x:f>
        <x:v>0.5</x:v>
      </x:c>
      <x:c r="T2140" s="28" t="n">
        <x:f>H2140-I2140</x:f>
        <x:v>-3</x:v>
      </x:c>
      <x:c r="U2140" s="24" t="n">
        <x:f>IFERROR(J2140/H2140,0)-IFERROR(K2140/I2140,0)</x:f>
        <x:v>-0.13636363636363635</x:v>
      </x:c>
      <x:c r="V2140" s="24" t="n">
        <x:f>IFERROR(F2140/J2140,0)-IFERROR(G2140/K2140,0)</x:f>
        <x:v>0.35714285714285715</x:v>
      </x:c>
      <x:c r="W2140" s="28" t="n">
        <x:f>L2140-M2140</x:f>
        <x:v>0</x:v>
      </x:c>
      <x:c r="X2140" s="24" t="n">
        <x:f>IFERROR(K2140/I2140,0)</x:f>
        <x:v>0.5</x:v>
      </x:c>
      <x:c r="Y2140" s="24" t="n">
        <x:f>IFERROR(G2140/I2140,0)</x:f>
        <x:v>0.07142857142857142</x:v>
      </x:c>
      <x:c r="Z2140" s="24" t="n">
        <x:f>IFERROR(G2140/K2140,0)</x:f>
        <x:v>0.14285714285714285</x:v>
      </x:c>
      <x:c r="AA2140" s="24" t="n">
        <x:f>IFERROR(F2140/H2140,0)-IFERROR(G2140/I2140,0)</x:f>
        <x:v>0.1103896103896104</x:v>
      </x:c>
      <x:c r="AB2140" s="28" t="n">
        <x:f>J2140-K2140</x:f>
        <x:v>-3</x:v>
      </x:c>
      <x:c r="AC2140" s="32" t="n">
        <x:f>F2140-G2140</x:f>
        <x:v>1</x:v>
      </x:c>
    </x:row>
    <x:row r="2141">
      <x:c r="A2141" s="4" t="str">
        <x:v>2023-24</x:v>
      </x:c>
      <x:c r="B2141" s="20" t="n">
        <x:v>45388</x:v>
      </x:c>
      <x:c r="C2141" s="4" t="str">
        <x:v>Wolves</x:v>
      </x:c>
      <x:c r="D2141" s="4" t="str">
        <x:v>West Ham</x:v>
      </x:c>
      <x:c r="E2141" s="4" t="str">
        <x:v>Home</x:v>
      </x:c>
      <x:c r="F2141" s="28" t="n">
        <x:v>1</x:v>
      </x:c>
      <x:c r="G2141" s="28" t="n">
        <x:v>2</x:v>
      </x:c>
      <x:c r="H2141" s="28" t="n">
        <x:v>14</x:v>
      </x:c>
      <x:c r="I2141" s="28" t="n">
        <x:v>11</x:v>
      </x:c>
      <x:c r="J2141" s="28" t="n">
        <x:v>7</x:v>
      </x:c>
      <x:c r="K2141" s="28" t="n">
        <x:v>4</x:v>
      </x:c>
      <x:c r="L2141" s="28" t="n">
        <x:v>4</x:v>
      </x:c>
      <x:c r="M2141" s="28" t="n">
        <x:v>4</x:v>
      </x:c>
      <x:c r="N2141" s="28" t="n">
        <x:v>5</x:v>
      </x:c>
      <x:c r="O2141" s="28" t="n">
        <x:v>0</x:v>
      </x:c>
      <x:c r="P2141" s="28" t="n">
        <x:v>0</x:v>
      </x:c>
      <x:c r="Q2141" s="24" t="n">
        <x:f>IFERROR(J2141/H2141,0)</x:f>
        <x:v>0.5</x:v>
      </x:c>
      <x:c r="R2141" s="24" t="n">
        <x:f>IFERROR(F2141/H2141,0)</x:f>
        <x:v>0.07142857142857142</x:v>
      </x:c>
      <x:c r="S2141" s="24" t="n">
        <x:f>IFERROR(F2141/J2141,0)</x:f>
        <x:v>0.14285714285714285</x:v>
      </x:c>
      <x:c r="T2141" s="28" t="n">
        <x:f>H2141-I2141</x:f>
        <x:v>3</x:v>
      </x:c>
      <x:c r="U2141" s="24" t="n">
        <x:f>IFERROR(J2141/H2141,0)-IFERROR(K2141/I2141,0)</x:f>
        <x:v>0.13636363636363635</x:v>
      </x:c>
      <x:c r="V2141" s="24" t="n">
        <x:f>IFERROR(F2141/J2141,0)-IFERROR(G2141/K2141,0)</x:f>
        <x:v>-0.35714285714285715</x:v>
      </x:c>
      <x:c r="W2141" s="28" t="n">
        <x:f>L2141-M2141</x:f>
        <x:v>0</x:v>
      </x:c>
      <x:c r="X2141" s="24" t="n">
        <x:f>IFERROR(K2141/I2141,0)</x:f>
        <x:v>0.36363636363636365</x:v>
      </x:c>
      <x:c r="Y2141" s="24" t="n">
        <x:f>IFERROR(G2141/I2141,0)</x:f>
        <x:v>0.18181818181818182</x:v>
      </x:c>
      <x:c r="Z2141" s="24" t="n">
        <x:f>IFERROR(G2141/K2141,0)</x:f>
        <x:v>0.5</x:v>
      </x:c>
      <x:c r="AA2141" s="24" t="n">
        <x:f>IFERROR(F2141/H2141,0)-IFERROR(G2141/I2141,0)</x:f>
        <x:v>-0.1103896103896104</x:v>
      </x:c>
      <x:c r="AB2141" s="28" t="n">
        <x:f>J2141-K2141</x:f>
        <x:v>3</x:v>
      </x:c>
      <x:c r="AC2141" s="32" t="n">
        <x:f>F2141-G2141</x:f>
        <x:v>-1</x:v>
      </x:c>
    </x:row>
    <x:row r="2142">
      <x:c r="A2142" s="4" t="str">
        <x:v>2023-24</x:v>
      </x:c>
      <x:c r="B2142" s="20" t="n">
        <x:v>45389</x:v>
      </x:c>
      <x:c r="C2142" s="4" t="str">
        <x:v>Chelsea</x:v>
      </x:c>
      <x:c r="D2142" s="4" t="str">
        <x:v>Sheffield United</x:v>
      </x:c>
      <x:c r="E2142" s="4" t="str">
        <x:v>Away</x:v>
      </x:c>
      <x:c r="F2142" s="28" t="n">
        <x:v>2</x:v>
      </x:c>
      <x:c r="G2142" s="28" t="n">
        <x:v>2</x:v>
      </x:c>
      <x:c r="H2142" s="28" t="n">
        <x:v>6</x:v>
      </x:c>
      <x:c r="I2142" s="28" t="n">
        <x:v>11</x:v>
      </x:c>
      <x:c r="J2142" s="28" t="n">
        <x:v>3</x:v>
      </x:c>
      <x:c r="K2142" s="28" t="n">
        <x:v>6</x:v>
      </x:c>
      <x:c r="L2142" s="28" t="n">
        <x:v>6</x:v>
      </x:c>
      <x:c r="M2142" s="28" t="n">
        <x:v>7</x:v>
      </x:c>
      <x:c r="N2142" s="28" t="n">
        <x:v>2</x:v>
      </x:c>
      <x:c r="O2142" s="28" t="n">
        <x:v>0</x:v>
      </x:c>
      <x:c r="P2142" s="28" t="n">
        <x:v>1</x:v>
      </x:c>
      <x:c r="Q2142" s="24" t="n">
        <x:f>IFERROR(J2142/H2142,0)</x:f>
        <x:v>0.5</x:v>
      </x:c>
      <x:c r="R2142" s="24" t="n">
        <x:f>IFERROR(F2142/H2142,0)</x:f>
        <x:v>0.3333333333333333</x:v>
      </x:c>
      <x:c r="S2142" s="24" t="n">
        <x:f>IFERROR(F2142/J2142,0)</x:f>
        <x:v>0.6666666666666666</x:v>
      </x:c>
      <x:c r="T2142" s="28" t="n">
        <x:f>H2142-I2142</x:f>
        <x:v>-5</x:v>
      </x:c>
      <x:c r="U2142" s="24" t="n">
        <x:f>IFERROR(J2142/H2142,0)-IFERROR(K2142/I2142,0)</x:f>
        <x:v>-0.045454545454545414</x:v>
      </x:c>
      <x:c r="V2142" s="24" t="n">
        <x:f>IFERROR(F2142/J2142,0)-IFERROR(G2142/K2142,0)</x:f>
        <x:v>0.3333333333333333</x:v>
      </x:c>
      <x:c r="W2142" s="28" t="n">
        <x:f>L2142-M2142</x:f>
        <x:v>-1</x:v>
      </x:c>
      <x:c r="X2142" s="24" t="n">
        <x:f>IFERROR(K2142/I2142,0)</x:f>
        <x:v>0.5454545454545454</x:v>
      </x:c>
      <x:c r="Y2142" s="24" t="n">
        <x:f>IFERROR(G2142/I2142,0)</x:f>
        <x:v>0.18181818181818182</x:v>
      </x:c>
      <x:c r="Z2142" s="24" t="n">
        <x:f>IFERROR(G2142/K2142,0)</x:f>
        <x:v>0.3333333333333333</x:v>
      </x:c>
      <x:c r="AA2142" s="24" t="n">
        <x:f>IFERROR(F2142/H2142,0)-IFERROR(G2142/I2142,0)</x:f>
        <x:v>0.1515151515151515</x:v>
      </x:c>
      <x:c r="AB2142" s="28" t="n">
        <x:f>J2142-K2142</x:f>
        <x:v>-3</x:v>
      </x:c>
      <x:c r="AC2142" s="32" t="n">
        <x:f>F2142-G2142</x:f>
        <x:v>0</x:v>
      </x:c>
    </x:row>
    <x:row r="2143">
      <x:c r="A2143" s="4" t="str">
        <x:v>2023-24</x:v>
      </x:c>
      <x:c r="B2143" s="20" t="n">
        <x:v>45389</x:v>
      </x:c>
      <x:c r="C2143" s="4" t="str">
        <x:v>Liverpool</x:v>
      </x:c>
      <x:c r="D2143" s="4" t="str">
        <x:v>Man United</x:v>
      </x:c>
      <x:c r="E2143" s="4" t="str">
        <x:v>Away</x:v>
      </x:c>
      <x:c r="F2143" s="28" t="n">
        <x:v>2</x:v>
      </x:c>
      <x:c r="G2143" s="28" t="n">
        <x:v>2</x:v>
      </x:c>
      <x:c r="H2143" s="28" t="n">
        <x:v>28</x:v>
      </x:c>
      <x:c r="I2143" s="28" t="n">
        <x:v>9</x:v>
      </x:c>
      <x:c r="J2143" s="28" t="n">
        <x:v>7</x:v>
      </x:c>
      <x:c r="K2143" s="28" t="n">
        <x:v>5</x:v>
      </x:c>
      <x:c r="L2143" s="28" t="n">
        <x:v>11</x:v>
      </x:c>
      <x:c r="M2143" s="28" t="n">
        <x:v>6</x:v>
      </x:c>
      <x:c r="N2143" s="28" t="n">
        <x:v>2</x:v>
      </x:c>
      <x:c r="O2143" s="28" t="n">
        <x:v>0</x:v>
      </x:c>
      <x:c r="P2143" s="28" t="n">
        <x:v>1</x:v>
      </x:c>
      <x:c r="Q2143" s="24" t="n">
        <x:f>IFERROR(J2143/H2143,0)</x:f>
        <x:v>0.25</x:v>
      </x:c>
      <x:c r="R2143" s="24" t="n">
        <x:f>IFERROR(F2143/H2143,0)</x:f>
        <x:v>0.07142857142857142</x:v>
      </x:c>
      <x:c r="S2143" s="24" t="n">
        <x:f>IFERROR(F2143/J2143,0)</x:f>
        <x:v>0.2857142857142857</x:v>
      </x:c>
      <x:c r="T2143" s="28" t="n">
        <x:f>H2143-I2143</x:f>
        <x:v>19</x:v>
      </x:c>
      <x:c r="U2143" s="24" t="n">
        <x:f>IFERROR(J2143/H2143,0)-IFERROR(K2143/I2143,0)</x:f>
        <x:v>-0.3055555555555556</x:v>
      </x:c>
      <x:c r="V2143" s="24" t="n">
        <x:f>IFERROR(F2143/J2143,0)-IFERROR(G2143/K2143,0)</x:f>
        <x:v>-0.11428571428571432</x:v>
      </x:c>
      <x:c r="W2143" s="28" t="n">
        <x:f>L2143-M2143</x:f>
        <x:v>5</x:v>
      </x:c>
      <x:c r="X2143" s="24" t="n">
        <x:f>IFERROR(K2143/I2143,0)</x:f>
        <x:v>0.5555555555555556</x:v>
      </x:c>
      <x:c r="Y2143" s="24" t="n">
        <x:f>IFERROR(G2143/I2143,0)</x:f>
        <x:v>0.2222222222222222</x:v>
      </x:c>
      <x:c r="Z2143" s="24" t="n">
        <x:f>IFERROR(G2143/K2143,0)</x:f>
        <x:v>0.4</x:v>
      </x:c>
      <x:c r="AA2143" s="24" t="n">
        <x:f>IFERROR(F2143/H2143,0)-IFERROR(G2143/I2143,0)</x:f>
        <x:v>-0.15079365079365079</x:v>
      </x:c>
      <x:c r="AB2143" s="28" t="n">
        <x:f>J2143-K2143</x:f>
        <x:v>2</x:v>
      </x:c>
      <x:c r="AC2143" s="32" t="n">
        <x:f>F2143-G2143</x:f>
        <x:v>0</x:v>
      </x:c>
    </x:row>
    <x:row r="2144">
      <x:c r="A2144" s="4" t="str">
        <x:v>2023-24</x:v>
      </x:c>
      <x:c r="B2144" s="20" t="n">
        <x:v>45389</x:v>
      </x:c>
      <x:c r="C2144" s="4" t="str">
        <x:v>Man United</x:v>
      </x:c>
      <x:c r="D2144" s="4" t="str">
        <x:v>Liverpool</x:v>
      </x:c>
      <x:c r="E2144" s="4" t="str">
        <x:v>Home</x:v>
      </x:c>
      <x:c r="F2144" s="28" t="n">
        <x:v>2</x:v>
      </x:c>
      <x:c r="G2144" s="28" t="n">
        <x:v>2</x:v>
      </x:c>
      <x:c r="H2144" s="28" t="n">
        <x:v>9</x:v>
      </x:c>
      <x:c r="I2144" s="28" t="n">
        <x:v>28</x:v>
      </x:c>
      <x:c r="J2144" s="28" t="n">
        <x:v>5</x:v>
      </x:c>
      <x:c r="K2144" s="28" t="n">
        <x:v>7</x:v>
      </x:c>
      <x:c r="L2144" s="28" t="n">
        <x:v>6</x:v>
      </x:c>
      <x:c r="M2144" s="28" t="n">
        <x:v>11</x:v>
      </x:c>
      <x:c r="N2144" s="28" t="n">
        <x:v>5</x:v>
      </x:c>
      <x:c r="O2144" s="28" t="n">
        <x:v>0</x:v>
      </x:c>
      <x:c r="P2144" s="28" t="n">
        <x:v>1</x:v>
      </x:c>
      <x:c r="Q2144" s="24" t="n">
        <x:f>IFERROR(J2144/H2144,0)</x:f>
        <x:v>0.5555555555555556</x:v>
      </x:c>
      <x:c r="R2144" s="24" t="n">
        <x:f>IFERROR(F2144/H2144,0)</x:f>
        <x:v>0.2222222222222222</x:v>
      </x:c>
      <x:c r="S2144" s="24" t="n">
        <x:f>IFERROR(F2144/J2144,0)</x:f>
        <x:v>0.4</x:v>
      </x:c>
      <x:c r="T2144" s="28" t="n">
        <x:f>H2144-I2144</x:f>
        <x:v>-19</x:v>
      </x:c>
      <x:c r="U2144" s="24" t="n">
        <x:f>IFERROR(J2144/H2144,0)-IFERROR(K2144/I2144,0)</x:f>
        <x:v>0.3055555555555556</x:v>
      </x:c>
      <x:c r="V2144" s="24" t="n">
        <x:f>IFERROR(F2144/J2144,0)-IFERROR(G2144/K2144,0)</x:f>
        <x:v>0.11428571428571432</x:v>
      </x:c>
      <x:c r="W2144" s="28" t="n">
        <x:f>L2144-M2144</x:f>
        <x:v>-5</x:v>
      </x:c>
      <x:c r="X2144" s="24" t="n">
        <x:f>IFERROR(K2144/I2144,0)</x:f>
        <x:v>0.25</x:v>
      </x:c>
      <x:c r="Y2144" s="24" t="n">
        <x:f>IFERROR(G2144/I2144,0)</x:f>
        <x:v>0.07142857142857142</x:v>
      </x:c>
      <x:c r="Z2144" s="24" t="n">
        <x:f>IFERROR(G2144/K2144,0)</x:f>
        <x:v>0.2857142857142857</x:v>
      </x:c>
      <x:c r="AA2144" s="24" t="n">
        <x:f>IFERROR(F2144/H2144,0)-IFERROR(G2144/I2144,0)</x:f>
        <x:v>0.15079365079365079</x:v>
      </x:c>
      <x:c r="AB2144" s="28" t="n">
        <x:f>J2144-K2144</x:f>
        <x:v>-2</x:v>
      </x:c>
      <x:c r="AC2144" s="32" t="n">
        <x:f>F2144-G2144</x:f>
        <x:v>0</x:v>
      </x:c>
    </x:row>
    <x:row r="2145">
      <x:c r="A2145" s="4" t="str">
        <x:v>2023-24</x:v>
      </x:c>
      <x:c r="B2145" s="20" t="n">
        <x:v>45389</x:v>
      </x:c>
      <x:c r="C2145" s="4" t="str">
        <x:v>Nott'm Forest</x:v>
      </x:c>
      <x:c r="D2145" s="4" t="str">
        <x:v>Tottenham</x:v>
      </x:c>
      <x:c r="E2145" s="4" t="str">
        <x:v>Away</x:v>
      </x:c>
      <x:c r="F2145" s="28" t="n">
        <x:v>1</x:v>
      </x:c>
      <x:c r="G2145" s="28" t="n">
        <x:v>3</x:v>
      </x:c>
      <x:c r="H2145" s="28" t="n">
        <x:v>13</x:v>
      </x:c>
      <x:c r="I2145" s="28" t="n">
        <x:v>17</x:v>
      </x:c>
      <x:c r="J2145" s="28" t="n">
        <x:v>6</x:v>
      </x:c>
      <x:c r="K2145" s="28" t="n">
        <x:v>7</x:v>
      </x:c>
      <x:c r="L2145" s="28" t="n">
        <x:v>2</x:v>
      </x:c>
      <x:c r="M2145" s="28" t="n">
        <x:v>12</x:v>
      </x:c>
      <x:c r="N2145" s="28" t="n">
        <x:v>3</x:v>
      </x:c>
      <x:c r="O2145" s="28" t="n">
        <x:v>0</x:v>
      </x:c>
      <x:c r="P2145" s="28" t="n">
        <x:v>0</x:v>
      </x:c>
      <x:c r="Q2145" s="24" t="n">
        <x:f>IFERROR(J2145/H2145,0)</x:f>
        <x:v>0.46153846153846156</x:v>
      </x:c>
      <x:c r="R2145" s="24" t="n">
        <x:f>IFERROR(F2145/H2145,0)</x:f>
        <x:v>0.07692307692307693</x:v>
      </x:c>
      <x:c r="S2145" s="24" t="n">
        <x:f>IFERROR(F2145/J2145,0)</x:f>
        <x:v>0.16666666666666666</x:v>
      </x:c>
      <x:c r="T2145" s="28" t="n">
        <x:f>H2145-I2145</x:f>
        <x:v>-4</x:v>
      </x:c>
      <x:c r="U2145" s="24" t="n">
        <x:f>IFERROR(J2145/H2145,0)-IFERROR(K2145/I2145,0)</x:f>
        <x:v>0.04977375565610864</x:v>
      </x:c>
      <x:c r="V2145" s="24" t="n">
        <x:f>IFERROR(F2145/J2145,0)-IFERROR(G2145/K2145,0)</x:f>
        <x:v>-0.26190476190476186</x:v>
      </x:c>
      <x:c r="W2145" s="28" t="n">
        <x:f>L2145-M2145</x:f>
        <x:v>-10</x:v>
      </x:c>
      <x:c r="X2145" s="24" t="n">
        <x:f>IFERROR(K2145/I2145,0)</x:f>
        <x:v>0.4117647058823529</x:v>
      </x:c>
      <x:c r="Y2145" s="24" t="n">
        <x:f>IFERROR(G2145/I2145,0)</x:f>
        <x:v>0.17647058823529413</x:v>
      </x:c>
      <x:c r="Z2145" s="24" t="n">
        <x:f>IFERROR(G2145/K2145,0)</x:f>
        <x:v>0.42857142857142855</x:v>
      </x:c>
      <x:c r="AA2145" s="24" t="n">
        <x:f>IFERROR(F2145/H2145,0)-IFERROR(G2145/I2145,0)</x:f>
        <x:v>-0.0995475113122172</x:v>
      </x:c>
      <x:c r="AB2145" s="28" t="n">
        <x:f>J2145-K2145</x:f>
        <x:v>-1</x:v>
      </x:c>
      <x:c r="AC2145" s="32" t="n">
        <x:f>F2145-G2145</x:f>
        <x:v>-2</x:v>
      </x:c>
    </x:row>
    <x:row r="2146">
      <x:c r="A2146" s="4" t="str">
        <x:v>2023-24</x:v>
      </x:c>
      <x:c r="B2146" s="20" t="n">
        <x:v>45389</x:v>
      </x:c>
      <x:c r="C2146" s="4" t="str">
        <x:v>Sheffield United</x:v>
      </x:c>
      <x:c r="D2146" s="4" t="str">
        <x:v>Chelsea</x:v>
      </x:c>
      <x:c r="E2146" s="4" t="str">
        <x:v>Home</x:v>
      </x:c>
      <x:c r="F2146" s="28" t="n">
        <x:v>2</x:v>
      </x:c>
      <x:c r="G2146" s="28" t="n">
        <x:v>2</x:v>
      </x:c>
      <x:c r="H2146" s="28" t="n">
        <x:v>11</x:v>
      </x:c>
      <x:c r="I2146" s="28" t="n">
        <x:v>6</x:v>
      </x:c>
      <x:c r="J2146" s="28" t="n">
        <x:v>6</x:v>
      </x:c>
      <x:c r="K2146" s="28" t="n">
        <x:v>3</x:v>
      </x:c>
      <x:c r="L2146" s="28" t="n">
        <x:v>7</x:v>
      </x:c>
      <x:c r="M2146" s="28" t="n">
        <x:v>6</x:v>
      </x:c>
      <x:c r="N2146" s="28" t="n">
        <x:v>4</x:v>
      </x:c>
      <x:c r="O2146" s="28" t="n">
        <x:v>0</x:v>
      </x:c>
      <x:c r="P2146" s="28" t="n">
        <x:v>1</x:v>
      </x:c>
      <x:c r="Q2146" s="24" t="n">
        <x:f>IFERROR(J2146/H2146,0)</x:f>
        <x:v>0.5454545454545454</x:v>
      </x:c>
      <x:c r="R2146" s="24" t="n">
        <x:f>IFERROR(F2146/H2146,0)</x:f>
        <x:v>0.18181818181818182</x:v>
      </x:c>
      <x:c r="S2146" s="24" t="n">
        <x:f>IFERROR(F2146/J2146,0)</x:f>
        <x:v>0.3333333333333333</x:v>
      </x:c>
      <x:c r="T2146" s="28" t="n">
        <x:f>H2146-I2146</x:f>
        <x:v>5</x:v>
      </x:c>
      <x:c r="U2146" s="24" t="n">
        <x:f>IFERROR(J2146/H2146,0)-IFERROR(K2146/I2146,0)</x:f>
        <x:v>0.045454545454545414</x:v>
      </x:c>
      <x:c r="V2146" s="24" t="n">
        <x:f>IFERROR(F2146/J2146,0)-IFERROR(G2146/K2146,0)</x:f>
        <x:v>-0.3333333333333333</x:v>
      </x:c>
      <x:c r="W2146" s="28" t="n">
        <x:f>L2146-M2146</x:f>
        <x:v>1</x:v>
      </x:c>
      <x:c r="X2146" s="24" t="n">
        <x:f>IFERROR(K2146/I2146,0)</x:f>
        <x:v>0.5</x:v>
      </x:c>
      <x:c r="Y2146" s="24" t="n">
        <x:f>IFERROR(G2146/I2146,0)</x:f>
        <x:v>0.3333333333333333</x:v>
      </x:c>
      <x:c r="Z2146" s="24" t="n">
        <x:f>IFERROR(G2146/K2146,0)</x:f>
        <x:v>0.6666666666666666</x:v>
      </x:c>
      <x:c r="AA2146" s="24" t="n">
        <x:f>IFERROR(F2146/H2146,0)-IFERROR(G2146/I2146,0)</x:f>
        <x:v>-0.1515151515151515</x:v>
      </x:c>
      <x:c r="AB2146" s="28" t="n">
        <x:f>J2146-K2146</x:f>
        <x:v>3</x:v>
      </x:c>
      <x:c r="AC2146" s="32" t="n">
        <x:f>F2146-G2146</x:f>
        <x:v>0</x:v>
      </x:c>
    </x:row>
    <x:row r="2147">
      <x:c r="A2147" s="4" t="str">
        <x:v>2023-24</x:v>
      </x:c>
      <x:c r="B2147" s="20" t="n">
        <x:v>45389</x:v>
      </x:c>
      <x:c r="C2147" s="4" t="str">
        <x:v>Tottenham</x:v>
      </x:c>
      <x:c r="D2147" s="4" t="str">
        <x:v>Nott'm Forest</x:v>
      </x:c>
      <x:c r="E2147" s="4" t="str">
        <x:v>Home</x:v>
      </x:c>
      <x:c r="F2147" s="28" t="n">
        <x:v>3</x:v>
      </x:c>
      <x:c r="G2147" s="28" t="n">
        <x:v>1</x:v>
      </x:c>
      <x:c r="H2147" s="28" t="n">
        <x:v>17</x:v>
      </x:c>
      <x:c r="I2147" s="28" t="n">
        <x:v>13</x:v>
      </x:c>
      <x:c r="J2147" s="28" t="n">
        <x:v>7</x:v>
      </x:c>
      <x:c r="K2147" s="28" t="n">
        <x:v>6</x:v>
      </x:c>
      <x:c r="L2147" s="28" t="n">
        <x:v>12</x:v>
      </x:c>
      <x:c r="M2147" s="28" t="n">
        <x:v>2</x:v>
      </x:c>
      <x:c r="N2147" s="28" t="n">
        <x:v>2</x:v>
      </x:c>
      <x:c r="O2147" s="28" t="n">
        <x:v>0</x:v>
      </x:c>
      <x:c r="P2147" s="28" t="n">
        <x:v>3</x:v>
      </x:c>
      <x:c r="Q2147" s="24" t="n">
        <x:f>IFERROR(J2147/H2147,0)</x:f>
        <x:v>0.4117647058823529</x:v>
      </x:c>
      <x:c r="R2147" s="24" t="n">
        <x:f>IFERROR(F2147/H2147,0)</x:f>
        <x:v>0.17647058823529413</x:v>
      </x:c>
      <x:c r="S2147" s="24" t="n">
        <x:f>IFERROR(F2147/J2147,0)</x:f>
        <x:v>0.42857142857142855</x:v>
      </x:c>
      <x:c r="T2147" s="28" t="n">
        <x:f>H2147-I2147</x:f>
        <x:v>4</x:v>
      </x:c>
      <x:c r="U2147" s="24" t="n">
        <x:f>IFERROR(J2147/H2147,0)-IFERROR(K2147/I2147,0)</x:f>
        <x:v>-0.04977375565610864</x:v>
      </x:c>
      <x:c r="V2147" s="24" t="n">
        <x:f>IFERROR(F2147/J2147,0)-IFERROR(G2147/K2147,0)</x:f>
        <x:v>0.26190476190476186</x:v>
      </x:c>
      <x:c r="W2147" s="28" t="n">
        <x:f>L2147-M2147</x:f>
        <x:v>10</x:v>
      </x:c>
      <x:c r="X2147" s="24" t="n">
        <x:f>IFERROR(K2147/I2147,0)</x:f>
        <x:v>0.46153846153846156</x:v>
      </x:c>
      <x:c r="Y2147" s="24" t="n">
        <x:f>IFERROR(G2147/I2147,0)</x:f>
        <x:v>0.07692307692307693</x:v>
      </x:c>
      <x:c r="Z2147" s="24" t="n">
        <x:f>IFERROR(G2147/K2147,0)</x:f>
        <x:v>0.16666666666666666</x:v>
      </x:c>
      <x:c r="AA2147" s="24" t="n">
        <x:f>IFERROR(F2147/H2147,0)-IFERROR(G2147/I2147,0)</x:f>
        <x:v>0.0995475113122172</x:v>
      </x:c>
      <x:c r="AB2147" s="28" t="n">
        <x:f>J2147-K2147</x:f>
        <x:v>1</x:v>
      </x:c>
      <x:c r="AC2147" s="32" t="n">
        <x:f>F2147-G2147</x:f>
        <x:v>2</x:v>
      </x:c>
    </x:row>
    <x:row r="2148">
      <x:c r="A2148" s="4" t="str">
        <x:v>2023-24</x:v>
      </x:c>
      <x:c r="B2148" s="20" t="n">
        <x:v>45395</x:v>
      </x:c>
      <x:c r="C2148" s="4" t="str">
        <x:v>Bournemouth</x:v>
      </x:c>
      <x:c r="D2148" s="4" t="str">
        <x:v>Man United</x:v>
      </x:c>
      <x:c r="E2148" s="4" t="str">
        <x:v>Home</x:v>
      </x:c>
      <x:c r="F2148" s="28" t="n">
        <x:v>2</x:v>
      </x:c>
      <x:c r="G2148" s="28" t="n">
        <x:v>2</x:v>
      </x:c>
      <x:c r="H2148" s="28" t="n">
        <x:v>20</x:v>
      </x:c>
      <x:c r="I2148" s="28" t="n">
        <x:v>8</x:v>
      </x:c>
      <x:c r="J2148" s="28" t="n">
        <x:v>5</x:v>
      </x:c>
      <x:c r="K2148" s="28" t="n">
        <x:v>2</x:v>
      </x:c>
      <x:c r="L2148" s="28" t="n">
        <x:v>7</x:v>
      </x:c>
      <x:c r="M2148" s="28" t="n">
        <x:v>2</x:v>
      </x:c>
      <x:c r="N2148" s="28" t="n">
        <x:v>4</x:v>
      </x:c>
      <x:c r="O2148" s="28" t="n">
        <x:v>0</x:v>
      </x:c>
      <x:c r="P2148" s="28" t="n">
        <x:v>1</x:v>
      </x:c>
      <x:c r="Q2148" s="24" t="n">
        <x:f>IFERROR(J2148/H2148,0)</x:f>
        <x:v>0.25</x:v>
      </x:c>
      <x:c r="R2148" s="24" t="n">
        <x:f>IFERROR(F2148/H2148,0)</x:f>
        <x:v>0.1</x:v>
      </x:c>
      <x:c r="S2148" s="24" t="n">
        <x:f>IFERROR(F2148/J2148,0)</x:f>
        <x:v>0.4</x:v>
      </x:c>
      <x:c r="T2148" s="28" t="n">
        <x:f>H2148-I2148</x:f>
        <x:v>12</x:v>
      </x:c>
      <x:c r="U2148" s="24" t="n">
        <x:f>IFERROR(J2148/H2148,0)-IFERROR(K2148/I2148,0)</x:f>
        <x:v>0</x:v>
      </x:c>
      <x:c r="V2148" s="24" t="n">
        <x:f>IFERROR(F2148/J2148,0)-IFERROR(G2148/K2148,0)</x:f>
        <x:v>-0.6</x:v>
      </x:c>
      <x:c r="W2148" s="28" t="n">
        <x:f>L2148-M2148</x:f>
        <x:v>5</x:v>
      </x:c>
      <x:c r="X2148" s="24" t="n">
        <x:f>IFERROR(K2148/I2148,0)</x:f>
        <x:v>0.25</x:v>
      </x:c>
      <x:c r="Y2148" s="24" t="n">
        <x:f>IFERROR(G2148/I2148,0)</x:f>
        <x:v>0.25</x:v>
      </x:c>
      <x:c r="Z2148" s="24" t="n">
        <x:f>IFERROR(G2148/K2148,0)</x:f>
        <x:v>1</x:v>
      </x:c>
      <x:c r="AA2148" s="24" t="n">
        <x:f>IFERROR(F2148/H2148,0)-IFERROR(G2148/I2148,0)</x:f>
        <x:v>-0.15</x:v>
      </x:c>
      <x:c r="AB2148" s="28" t="n">
        <x:f>J2148-K2148</x:f>
        <x:v>3</x:v>
      </x:c>
      <x:c r="AC2148" s="32" t="n">
        <x:f>F2148-G2148</x:f>
        <x:v>0</x:v>
      </x:c>
    </x:row>
    <x:row r="2149">
      <x:c r="A2149" s="4" t="str">
        <x:v>2023-24</x:v>
      </x:c>
      <x:c r="B2149" s="20" t="n">
        <x:v>45395</x:v>
      </x:c>
      <x:c r="C2149" s="4" t="str">
        <x:v>Brentford</x:v>
      </x:c>
      <x:c r="D2149" s="4" t="str">
        <x:v>Sheffield United</x:v>
      </x:c>
      <x:c r="E2149" s="4" t="str">
        <x:v>Home</x:v>
      </x:c>
      <x:c r="F2149" s="28" t="n">
        <x:v>2</x:v>
      </x:c>
      <x:c r="G2149" s="28" t="n">
        <x:v>0</x:v>
      </x:c>
      <x:c r="H2149" s="28" t="n">
        <x:v>9</x:v>
      </x:c>
      <x:c r="I2149" s="28" t="n">
        <x:v>8</x:v>
      </x:c>
      <x:c r="J2149" s="28" t="n">
        <x:v>5</x:v>
      </x:c>
      <x:c r="K2149" s="28" t="n">
        <x:v>2</x:v>
      </x:c>
      <x:c r="L2149" s="28" t="n">
        <x:v>3</x:v>
      </x:c>
      <x:c r="M2149" s="28" t="n">
        <x:v>6</x:v>
      </x:c>
      <x:c r="N2149" s="28" t="n">
        <x:v>3</x:v>
      </x:c>
      <x:c r="O2149" s="28" t="n">
        <x:v>0</x:v>
      </x:c>
      <x:c r="P2149" s="28" t="n">
        <x:v>3</x:v>
      </x:c>
      <x:c r="Q2149" s="24" t="n">
        <x:f>IFERROR(J2149/H2149,0)</x:f>
        <x:v>0.5555555555555556</x:v>
      </x:c>
      <x:c r="R2149" s="24" t="n">
        <x:f>IFERROR(F2149/H2149,0)</x:f>
        <x:v>0.2222222222222222</x:v>
      </x:c>
      <x:c r="S2149" s="24" t="n">
        <x:f>IFERROR(F2149/J2149,0)</x:f>
        <x:v>0.4</x:v>
      </x:c>
      <x:c r="T2149" s="28" t="n">
        <x:f>H2149-I2149</x:f>
        <x:v>1</x:v>
      </x:c>
      <x:c r="U2149" s="24" t="n">
        <x:f>IFERROR(J2149/H2149,0)-IFERROR(K2149/I2149,0)</x:f>
        <x:v>0.3055555555555556</x:v>
      </x:c>
      <x:c r="V2149" s="24" t="n">
        <x:f>IFERROR(F2149/J2149,0)-IFERROR(G2149/K2149,0)</x:f>
        <x:v>0.4</x:v>
      </x:c>
      <x:c r="W2149" s="28" t="n">
        <x:f>L2149-M2149</x:f>
        <x:v>-3</x:v>
      </x:c>
      <x:c r="X2149" s="24" t="n">
        <x:f>IFERROR(K2149/I2149,0)</x:f>
        <x:v>0.25</x:v>
      </x:c>
      <x:c r="Y2149" s="24" t="n">
        <x:f>IFERROR(G2149/I2149,0)</x:f>
        <x:v>0</x:v>
      </x:c>
      <x:c r="Z2149" s="24" t="n">
        <x:f>IFERROR(G2149/K2149,0)</x:f>
        <x:v>0</x:v>
      </x:c>
      <x:c r="AA2149" s="24" t="n">
        <x:f>IFERROR(F2149/H2149,0)-IFERROR(G2149/I2149,0)</x:f>
        <x:v>0.2222222222222222</x:v>
      </x:c>
      <x:c r="AB2149" s="28" t="n">
        <x:f>J2149-K2149</x:f>
        <x:v>3</x:v>
      </x:c>
      <x:c r="AC2149" s="32" t="n">
        <x:f>F2149-G2149</x:f>
        <x:v>2</x:v>
      </x:c>
    </x:row>
    <x:row r="2150">
      <x:c r="A2150" s="4" t="str">
        <x:v>2023-24</x:v>
      </x:c>
      <x:c r="B2150" s="20" t="n">
        <x:v>45395</x:v>
      </x:c>
      <x:c r="C2150" s="4" t="str">
        <x:v>Brighton</x:v>
      </x:c>
      <x:c r="D2150" s="4" t="str">
        <x:v>Burnley</x:v>
      </x:c>
      <x:c r="E2150" s="4" t="str">
        <x:v>Away</x:v>
      </x:c>
      <x:c r="F2150" s="28" t="n">
        <x:v>1</x:v>
      </x:c>
      <x:c r="G2150" s="28" t="n">
        <x:v>1</x:v>
      </x:c>
      <x:c r="H2150" s="28" t="n">
        <x:v>20</x:v>
      </x:c>
      <x:c r="I2150" s="28" t="n">
        <x:v>11</x:v>
      </x:c>
      <x:c r="J2150" s="28" t="n">
        <x:v>8</x:v>
      </x:c>
      <x:c r="K2150" s="28" t="n">
        <x:v>3</x:v>
      </x:c>
      <x:c r="L2150" s="28" t="n">
        <x:v>5</x:v>
      </x:c>
      <x:c r="M2150" s="28" t="n">
        <x:v>4</x:v>
      </x:c>
      <x:c r="N2150" s="28" t="n">
        <x:v>2</x:v>
      </x:c>
      <x:c r="O2150" s="28" t="n">
        <x:v>0</x:v>
      </x:c>
      <x:c r="P2150" s="28" t="n">
        <x:v>1</x:v>
      </x:c>
      <x:c r="Q2150" s="24" t="n">
        <x:f>IFERROR(J2150/H2150,0)</x:f>
        <x:v>0.4</x:v>
      </x:c>
      <x:c r="R2150" s="24" t="n">
        <x:f>IFERROR(F2150/H2150,0)</x:f>
        <x:v>0.05</x:v>
      </x:c>
      <x:c r="S2150" s="24" t="n">
        <x:f>IFERROR(F2150/J2150,0)</x:f>
        <x:v>0.125</x:v>
      </x:c>
      <x:c r="T2150" s="28" t="n">
        <x:f>H2150-I2150</x:f>
        <x:v>9</x:v>
      </x:c>
      <x:c r="U2150" s="24" t="n">
        <x:f>IFERROR(J2150/H2150,0)-IFERROR(K2150/I2150,0)</x:f>
        <x:v>0.12727272727272732</x:v>
      </x:c>
      <x:c r="V2150" s="24" t="n">
        <x:f>IFERROR(F2150/J2150,0)-IFERROR(G2150/K2150,0)</x:f>
        <x:v>-0.20833333333333331</x:v>
      </x:c>
      <x:c r="W2150" s="28" t="n">
        <x:f>L2150-M2150</x:f>
        <x:v>1</x:v>
      </x:c>
      <x:c r="X2150" s="24" t="n">
        <x:f>IFERROR(K2150/I2150,0)</x:f>
        <x:v>0.2727272727272727</x:v>
      </x:c>
      <x:c r="Y2150" s="24" t="n">
        <x:f>IFERROR(G2150/I2150,0)</x:f>
        <x:v>0.09090909090909091</x:v>
      </x:c>
      <x:c r="Z2150" s="24" t="n">
        <x:f>IFERROR(G2150/K2150,0)</x:f>
        <x:v>0.3333333333333333</x:v>
      </x:c>
      <x:c r="AA2150" s="24" t="n">
        <x:f>IFERROR(F2150/H2150,0)-IFERROR(G2150/I2150,0)</x:f>
        <x:v>-0.04090909090909091</x:v>
      </x:c>
      <x:c r="AB2150" s="28" t="n">
        <x:f>J2150-K2150</x:f>
        <x:v>5</x:v>
      </x:c>
      <x:c r="AC2150" s="32" t="n">
        <x:f>F2150-G2150</x:f>
        <x:v>0</x:v>
      </x:c>
    </x:row>
    <x:row r="2151">
      <x:c r="A2151" s="4" t="str">
        <x:v>2023-24</x:v>
      </x:c>
      <x:c r="B2151" s="20" t="n">
        <x:v>45395</x:v>
      </x:c>
      <x:c r="C2151" s="4" t="str">
        <x:v>Burnley</x:v>
      </x:c>
      <x:c r="D2151" s="4" t="str">
        <x:v>Brighton</x:v>
      </x:c>
      <x:c r="E2151" s="4" t="str">
        <x:v>Home</x:v>
      </x:c>
      <x:c r="F2151" s="28" t="n">
        <x:v>1</x:v>
      </x:c>
      <x:c r="G2151" s="28" t="n">
        <x:v>1</x:v>
      </x:c>
      <x:c r="H2151" s="28" t="n">
        <x:v>11</x:v>
      </x:c>
      <x:c r="I2151" s="28" t="n">
        <x:v>20</x:v>
      </x:c>
      <x:c r="J2151" s="28" t="n">
        <x:v>3</x:v>
      </x:c>
      <x:c r="K2151" s="28" t="n">
        <x:v>8</x:v>
      </x:c>
      <x:c r="L2151" s="28" t="n">
        <x:v>4</x:v>
      </x:c>
      <x:c r="M2151" s="28" t="n">
        <x:v>5</x:v>
      </x:c>
      <x:c r="N2151" s="28" t="n">
        <x:v>1</x:v>
      </x:c>
      <x:c r="O2151" s="28" t="n">
        <x:v>0</x:v>
      </x:c>
      <x:c r="P2151" s="28" t="n">
        <x:v>1</x:v>
      </x:c>
      <x:c r="Q2151" s="24" t="n">
        <x:f>IFERROR(J2151/H2151,0)</x:f>
        <x:v>0.2727272727272727</x:v>
      </x:c>
      <x:c r="R2151" s="24" t="n">
        <x:f>IFERROR(F2151/H2151,0)</x:f>
        <x:v>0.09090909090909091</x:v>
      </x:c>
      <x:c r="S2151" s="24" t="n">
        <x:f>IFERROR(F2151/J2151,0)</x:f>
        <x:v>0.3333333333333333</x:v>
      </x:c>
      <x:c r="T2151" s="28" t="n">
        <x:f>H2151-I2151</x:f>
        <x:v>-9</x:v>
      </x:c>
      <x:c r="U2151" s="24" t="n">
        <x:f>IFERROR(J2151/H2151,0)-IFERROR(K2151/I2151,0)</x:f>
        <x:v>-0.12727272727272732</x:v>
      </x:c>
      <x:c r="V2151" s="24" t="n">
        <x:f>IFERROR(F2151/J2151,0)-IFERROR(G2151/K2151,0)</x:f>
        <x:v>0.20833333333333331</x:v>
      </x:c>
      <x:c r="W2151" s="28" t="n">
        <x:f>L2151-M2151</x:f>
        <x:v>-1</x:v>
      </x:c>
      <x:c r="X2151" s="24" t="n">
        <x:f>IFERROR(K2151/I2151,0)</x:f>
        <x:v>0.4</x:v>
      </x:c>
      <x:c r="Y2151" s="24" t="n">
        <x:f>IFERROR(G2151/I2151,0)</x:f>
        <x:v>0.05</x:v>
      </x:c>
      <x:c r="Z2151" s="24" t="n">
        <x:f>IFERROR(G2151/K2151,0)</x:f>
        <x:v>0.125</x:v>
      </x:c>
      <x:c r="AA2151" s="24" t="n">
        <x:f>IFERROR(F2151/H2151,0)-IFERROR(G2151/I2151,0)</x:f>
        <x:v>0.04090909090909091</x:v>
      </x:c>
      <x:c r="AB2151" s="28" t="n">
        <x:f>J2151-K2151</x:f>
        <x:v>-5</x:v>
      </x:c>
      <x:c r="AC2151" s="32" t="n">
        <x:f>F2151-G2151</x:f>
        <x:v>0</x:v>
      </x:c>
    </x:row>
    <x:row r="2152">
      <x:c r="A2152" s="4" t="str">
        <x:v>2023-24</x:v>
      </x:c>
      <x:c r="B2152" s="20" t="n">
        <x:v>45395</x:v>
      </x:c>
      <x:c r="C2152" s="4" t="str">
        <x:v>Luton</x:v>
      </x:c>
      <x:c r="D2152" s="4" t="str">
        <x:v>Man City</x:v>
      </x:c>
      <x:c r="E2152" s="4" t="str">
        <x:v>Away</x:v>
      </x:c>
      <x:c r="F2152" s="28" t="n">
        <x:v>1</x:v>
      </x:c>
      <x:c r="G2152" s="28" t="n">
        <x:v>5</x:v>
      </x:c>
      <x:c r="H2152" s="28" t="n">
        <x:v>4</x:v>
      </x:c>
      <x:c r="I2152" s="28" t="n">
        <x:v>33</x:v>
      </x:c>
      <x:c r="J2152" s="28" t="n">
        <x:v>2</x:v>
      </x:c>
      <x:c r="K2152" s="28" t="n">
        <x:v>13</x:v>
      </x:c>
      <x:c r="L2152" s="28" t="n">
        <x:v>1</x:v>
      </x:c>
      <x:c r="M2152" s="28" t="n">
        <x:v>12</x:v>
      </x:c>
      <x:c r="N2152" s="28" t="n">
        <x:v>0</x:v>
      </x:c>
      <x:c r="O2152" s="28" t="n">
        <x:v>0</x:v>
      </x:c>
      <x:c r="P2152" s="28" t="n">
        <x:v>0</x:v>
      </x:c>
      <x:c r="Q2152" s="24" t="n">
        <x:f>IFERROR(J2152/H2152,0)</x:f>
        <x:v>0.5</x:v>
      </x:c>
      <x:c r="R2152" s="24" t="n">
        <x:f>IFERROR(F2152/H2152,0)</x:f>
        <x:v>0.25</x:v>
      </x:c>
      <x:c r="S2152" s="24" t="n">
        <x:f>IFERROR(F2152/J2152,0)</x:f>
        <x:v>0.5</x:v>
      </x:c>
      <x:c r="T2152" s="28" t="n">
        <x:f>H2152-I2152</x:f>
        <x:v>-29</x:v>
      </x:c>
      <x:c r="U2152" s="24" t="n">
        <x:f>IFERROR(J2152/H2152,0)-IFERROR(K2152/I2152,0)</x:f>
        <x:v>0.10606060606060608</x:v>
      </x:c>
      <x:c r="V2152" s="24" t="n">
        <x:f>IFERROR(F2152/J2152,0)-IFERROR(G2152/K2152,0)</x:f>
        <x:v>0.11538461538461536</x:v>
      </x:c>
      <x:c r="W2152" s="28" t="n">
        <x:f>L2152-M2152</x:f>
        <x:v>-11</x:v>
      </x:c>
      <x:c r="X2152" s="24" t="n">
        <x:f>IFERROR(K2152/I2152,0)</x:f>
        <x:v>0.3939393939393939</x:v>
      </x:c>
      <x:c r="Y2152" s="24" t="n">
        <x:f>IFERROR(G2152/I2152,0)</x:f>
        <x:v>0.15151515151515152</x:v>
      </x:c>
      <x:c r="Z2152" s="24" t="n">
        <x:f>IFERROR(G2152/K2152,0)</x:f>
        <x:v>0.38461538461538464</x:v>
      </x:c>
      <x:c r="AA2152" s="24" t="n">
        <x:f>IFERROR(F2152/H2152,0)-IFERROR(G2152/I2152,0)</x:f>
        <x:v>0.09848484848484848</x:v>
      </x:c>
      <x:c r="AB2152" s="28" t="n">
        <x:f>J2152-K2152</x:f>
        <x:v>-11</x:v>
      </x:c>
      <x:c r="AC2152" s="32" t="n">
        <x:f>F2152-G2152</x:f>
        <x:v>-4</x:v>
      </x:c>
    </x:row>
    <x:row r="2153">
      <x:c r="A2153" s="4" t="str">
        <x:v>2023-24</x:v>
      </x:c>
      <x:c r="B2153" s="20" t="n">
        <x:v>45395</x:v>
      </x:c>
      <x:c r="C2153" s="4" t="str">
        <x:v>Man City</x:v>
      </x:c>
      <x:c r="D2153" s="4" t="str">
        <x:v>Luton</x:v>
      </x:c>
      <x:c r="E2153" s="4" t="str">
        <x:v>Home</x:v>
      </x:c>
      <x:c r="F2153" s="28" t="n">
        <x:v>5</x:v>
      </x:c>
      <x:c r="G2153" s="28" t="n">
        <x:v>1</x:v>
      </x:c>
      <x:c r="H2153" s="28" t="n">
        <x:v>33</x:v>
      </x:c>
      <x:c r="I2153" s="28" t="n">
        <x:v>4</x:v>
      </x:c>
      <x:c r="J2153" s="28" t="n">
        <x:v>13</x:v>
      </x:c>
      <x:c r="K2153" s="28" t="n">
        <x:v>2</x:v>
      </x:c>
      <x:c r="L2153" s="28" t="n">
        <x:v>12</x:v>
      </x:c>
      <x:c r="M2153" s="28" t="n">
        <x:v>1</x:v>
      </x:c>
      <x:c r="N2153" s="28" t="n">
        <x:v>1</x:v>
      </x:c>
      <x:c r="O2153" s="28" t="n">
        <x:v>0</x:v>
      </x:c>
      <x:c r="P2153" s="28" t="n">
        <x:v>3</x:v>
      </x:c>
      <x:c r="Q2153" s="24" t="n">
        <x:f>IFERROR(J2153/H2153,0)</x:f>
        <x:v>0.3939393939393939</x:v>
      </x:c>
      <x:c r="R2153" s="24" t="n">
        <x:f>IFERROR(F2153/H2153,0)</x:f>
        <x:v>0.15151515151515152</x:v>
      </x:c>
      <x:c r="S2153" s="24" t="n">
        <x:f>IFERROR(F2153/J2153,0)</x:f>
        <x:v>0.38461538461538464</x:v>
      </x:c>
      <x:c r="T2153" s="28" t="n">
        <x:f>H2153-I2153</x:f>
        <x:v>29</x:v>
      </x:c>
      <x:c r="U2153" s="24" t="n">
        <x:f>IFERROR(J2153/H2153,0)-IFERROR(K2153/I2153,0)</x:f>
        <x:v>-0.10606060606060608</x:v>
      </x:c>
      <x:c r="V2153" s="24" t="n">
        <x:f>IFERROR(F2153/J2153,0)-IFERROR(G2153/K2153,0)</x:f>
        <x:v>-0.11538461538461536</x:v>
      </x:c>
      <x:c r="W2153" s="28" t="n">
        <x:f>L2153-M2153</x:f>
        <x:v>11</x:v>
      </x:c>
      <x:c r="X2153" s="24" t="n">
        <x:f>IFERROR(K2153/I2153,0)</x:f>
        <x:v>0.5</x:v>
      </x:c>
      <x:c r="Y2153" s="24" t="n">
        <x:f>IFERROR(G2153/I2153,0)</x:f>
        <x:v>0.25</x:v>
      </x:c>
      <x:c r="Z2153" s="24" t="n">
        <x:f>IFERROR(G2153/K2153,0)</x:f>
        <x:v>0.5</x:v>
      </x:c>
      <x:c r="AA2153" s="24" t="n">
        <x:f>IFERROR(F2153/H2153,0)-IFERROR(G2153/I2153,0)</x:f>
        <x:v>-0.09848484848484848</x:v>
      </x:c>
      <x:c r="AB2153" s="28" t="n">
        <x:f>J2153-K2153</x:f>
        <x:v>11</x:v>
      </x:c>
      <x:c r="AC2153" s="32" t="n">
        <x:f>F2153-G2153</x:f>
        <x:v>4</x:v>
      </x:c>
    </x:row>
    <x:row r="2154">
      <x:c r="A2154" s="4" t="str">
        <x:v>2023-24</x:v>
      </x:c>
      <x:c r="B2154" s="20" t="n">
        <x:v>45395</x:v>
      </x:c>
      <x:c r="C2154" s="4" t="str">
        <x:v>Man United</x:v>
      </x:c>
      <x:c r="D2154" s="4" t="str">
        <x:v>Bournemouth</x:v>
      </x:c>
      <x:c r="E2154" s="4" t="str">
        <x:v>Away</x:v>
      </x:c>
      <x:c r="F2154" s="28" t="n">
        <x:v>2</x:v>
      </x:c>
      <x:c r="G2154" s="28" t="n">
        <x:v>2</x:v>
      </x:c>
      <x:c r="H2154" s="28" t="n">
        <x:v>8</x:v>
      </x:c>
      <x:c r="I2154" s="28" t="n">
        <x:v>20</x:v>
      </x:c>
      <x:c r="J2154" s="28" t="n">
        <x:v>2</x:v>
      </x:c>
      <x:c r="K2154" s="28" t="n">
        <x:v>5</x:v>
      </x:c>
      <x:c r="L2154" s="28" t="n">
        <x:v>2</x:v>
      </x:c>
      <x:c r="M2154" s="28" t="n">
        <x:v>7</x:v>
      </x:c>
      <x:c r="N2154" s="28" t="n">
        <x:v>0</x:v>
      </x:c>
      <x:c r="O2154" s="28" t="n">
        <x:v>0</x:v>
      </x:c>
      <x:c r="P2154" s="28" t="n">
        <x:v>1</x:v>
      </x:c>
      <x:c r="Q2154" s="24" t="n">
        <x:f>IFERROR(J2154/H2154,0)</x:f>
        <x:v>0.25</x:v>
      </x:c>
      <x:c r="R2154" s="24" t="n">
        <x:f>IFERROR(F2154/H2154,0)</x:f>
        <x:v>0.25</x:v>
      </x:c>
      <x:c r="S2154" s="24" t="n">
        <x:f>IFERROR(F2154/J2154,0)</x:f>
        <x:v>1</x:v>
      </x:c>
      <x:c r="T2154" s="28" t="n">
        <x:f>H2154-I2154</x:f>
        <x:v>-12</x:v>
      </x:c>
      <x:c r="U2154" s="24" t="n">
        <x:f>IFERROR(J2154/H2154,0)-IFERROR(K2154/I2154,0)</x:f>
        <x:v>0</x:v>
      </x:c>
      <x:c r="V2154" s="24" t="n">
        <x:f>IFERROR(F2154/J2154,0)-IFERROR(G2154/K2154,0)</x:f>
        <x:v>0.6</x:v>
      </x:c>
      <x:c r="W2154" s="28" t="n">
        <x:f>L2154-M2154</x:f>
        <x:v>-5</x:v>
      </x:c>
      <x:c r="X2154" s="24" t="n">
        <x:f>IFERROR(K2154/I2154,0)</x:f>
        <x:v>0.25</x:v>
      </x:c>
      <x:c r="Y2154" s="24" t="n">
        <x:f>IFERROR(G2154/I2154,0)</x:f>
        <x:v>0.1</x:v>
      </x:c>
      <x:c r="Z2154" s="24" t="n">
        <x:f>IFERROR(G2154/K2154,0)</x:f>
        <x:v>0.4</x:v>
      </x:c>
      <x:c r="AA2154" s="24" t="n">
        <x:f>IFERROR(F2154/H2154,0)-IFERROR(G2154/I2154,0)</x:f>
        <x:v>0.15</x:v>
      </x:c>
      <x:c r="AB2154" s="28" t="n">
        <x:f>J2154-K2154</x:f>
        <x:v>-3</x:v>
      </x:c>
      <x:c r="AC2154" s="32" t="n">
        <x:f>F2154-G2154</x:f>
        <x:v>0</x:v>
      </x:c>
    </x:row>
    <x:row r="2155">
      <x:c r="A2155" s="4" t="str">
        <x:v>2023-24</x:v>
      </x:c>
      <x:c r="B2155" s="20" t="n">
        <x:v>45395</x:v>
      </x:c>
      <x:c r="C2155" s="4" t="str">
        <x:v>Newcastle</x:v>
      </x:c>
      <x:c r="D2155" s="4" t="str">
        <x:v>Tottenham</x:v>
      </x:c>
      <x:c r="E2155" s="4" t="str">
        <x:v>Home</x:v>
      </x:c>
      <x:c r="F2155" s="28" t="n">
        <x:v>4</x:v>
      </x:c>
      <x:c r="G2155" s="28" t="n">
        <x:v>0</x:v>
      </x:c>
      <x:c r="H2155" s="28" t="n">
        <x:v>18</x:v>
      </x:c>
      <x:c r="I2155" s="28" t="n">
        <x:v>11</x:v>
      </x:c>
      <x:c r="J2155" s="28" t="n">
        <x:v>5</x:v>
      </x:c>
      <x:c r="K2155" s="28" t="n">
        <x:v>2</x:v>
      </x:c>
      <x:c r="L2155" s="28" t="n">
        <x:v>16</x:v>
      </x:c>
      <x:c r="M2155" s="28" t="n">
        <x:v>3</x:v>
      </x:c>
      <x:c r="N2155" s="28" t="n">
        <x:v>0</x:v>
      </x:c>
      <x:c r="O2155" s="28" t="n">
        <x:v>0</x:v>
      </x:c>
      <x:c r="P2155" s="28" t="n">
        <x:v>3</x:v>
      </x:c>
      <x:c r="Q2155" s="24" t="n">
        <x:f>IFERROR(J2155/H2155,0)</x:f>
        <x:v>0.2777777777777778</x:v>
      </x:c>
      <x:c r="R2155" s="24" t="n">
        <x:f>IFERROR(F2155/H2155,0)</x:f>
        <x:v>0.2222222222222222</x:v>
      </x:c>
      <x:c r="S2155" s="24" t="n">
        <x:f>IFERROR(F2155/J2155,0)</x:f>
        <x:v>0.8</x:v>
      </x:c>
      <x:c r="T2155" s="28" t="n">
        <x:f>H2155-I2155</x:f>
        <x:v>7</x:v>
      </x:c>
      <x:c r="U2155" s="24" t="n">
        <x:f>IFERROR(J2155/H2155,0)-IFERROR(K2155/I2155,0)</x:f>
        <x:v>0.09595959595959597</x:v>
      </x:c>
      <x:c r="V2155" s="24" t="n">
        <x:f>IFERROR(F2155/J2155,0)-IFERROR(G2155/K2155,0)</x:f>
        <x:v>0.8</x:v>
      </x:c>
      <x:c r="W2155" s="28" t="n">
        <x:f>L2155-M2155</x:f>
        <x:v>13</x:v>
      </x:c>
      <x:c r="X2155" s="24" t="n">
        <x:f>IFERROR(K2155/I2155,0)</x:f>
        <x:v>0.18181818181818182</x:v>
      </x:c>
      <x:c r="Y2155" s="24" t="n">
        <x:f>IFERROR(G2155/I2155,0)</x:f>
        <x:v>0</x:v>
      </x:c>
      <x:c r="Z2155" s="24" t="n">
        <x:f>IFERROR(G2155/K2155,0)</x:f>
        <x:v>0</x:v>
      </x:c>
      <x:c r="AA2155" s="24" t="n">
        <x:f>IFERROR(F2155/H2155,0)-IFERROR(G2155/I2155,0)</x:f>
        <x:v>0.2222222222222222</x:v>
      </x:c>
      <x:c r="AB2155" s="28" t="n">
        <x:f>J2155-K2155</x:f>
        <x:v>3</x:v>
      </x:c>
      <x:c r="AC2155" s="32" t="n">
        <x:f>F2155-G2155</x:f>
        <x:v>4</x:v>
      </x:c>
    </x:row>
    <x:row r="2156">
      <x:c r="A2156" s="4" t="str">
        <x:v>2023-24</x:v>
      </x:c>
      <x:c r="B2156" s="20" t="n">
        <x:v>45395</x:v>
      </x:c>
      <x:c r="C2156" s="4" t="str">
        <x:v>Nott'm Forest</x:v>
      </x:c>
      <x:c r="D2156" s="4" t="str">
        <x:v>Wolves</x:v>
      </x:c>
      <x:c r="E2156" s="4" t="str">
        <x:v>Home</x:v>
      </x:c>
      <x:c r="F2156" s="28" t="n">
        <x:v>2</x:v>
      </x:c>
      <x:c r="G2156" s="28" t="n">
        <x:v>2</x:v>
      </x:c>
      <x:c r="H2156" s="28" t="n">
        <x:v>18</x:v>
      </x:c>
      <x:c r="I2156" s="28" t="n">
        <x:v>11</x:v>
      </x:c>
      <x:c r="J2156" s="28" t="n">
        <x:v>9</x:v>
      </x:c>
      <x:c r="K2156" s="28" t="n">
        <x:v>4</x:v>
      </x:c>
      <x:c r="L2156" s="28" t="n">
        <x:v>10</x:v>
      </x:c>
      <x:c r="M2156" s="28" t="n">
        <x:v>1</x:v>
      </x:c>
      <x:c r="N2156" s="28" t="n">
        <x:v>2</x:v>
      </x:c>
      <x:c r="O2156" s="28" t="n">
        <x:v>0</x:v>
      </x:c>
      <x:c r="P2156" s="28" t="n">
        <x:v>1</x:v>
      </x:c>
      <x:c r="Q2156" s="24" t="n">
        <x:f>IFERROR(J2156/H2156,0)</x:f>
        <x:v>0.5</x:v>
      </x:c>
      <x:c r="R2156" s="24" t="n">
        <x:f>IFERROR(F2156/H2156,0)</x:f>
        <x:v>0.1111111111111111</x:v>
      </x:c>
      <x:c r="S2156" s="24" t="n">
        <x:f>IFERROR(F2156/J2156,0)</x:f>
        <x:v>0.2222222222222222</x:v>
      </x:c>
      <x:c r="T2156" s="28" t="n">
        <x:f>H2156-I2156</x:f>
        <x:v>7</x:v>
      </x:c>
      <x:c r="U2156" s="24" t="n">
        <x:f>IFERROR(J2156/H2156,0)-IFERROR(K2156/I2156,0)</x:f>
        <x:v>0.13636363636363635</x:v>
      </x:c>
      <x:c r="V2156" s="24" t="n">
        <x:f>IFERROR(F2156/J2156,0)-IFERROR(G2156/K2156,0)</x:f>
        <x:v>-0.2777777777777778</x:v>
      </x:c>
      <x:c r="W2156" s="28" t="n">
        <x:f>L2156-M2156</x:f>
        <x:v>9</x:v>
      </x:c>
      <x:c r="X2156" s="24" t="n">
        <x:f>IFERROR(K2156/I2156,0)</x:f>
        <x:v>0.36363636363636365</x:v>
      </x:c>
      <x:c r="Y2156" s="24" t="n">
        <x:f>IFERROR(G2156/I2156,0)</x:f>
        <x:v>0.18181818181818182</x:v>
      </x:c>
      <x:c r="Z2156" s="24" t="n">
        <x:f>IFERROR(G2156/K2156,0)</x:f>
        <x:v>0.5</x:v>
      </x:c>
      <x:c r="AA2156" s="24" t="n">
        <x:f>IFERROR(F2156/H2156,0)-IFERROR(G2156/I2156,0)</x:f>
        <x:v>-0.07070707070707072</x:v>
      </x:c>
      <x:c r="AB2156" s="28" t="n">
        <x:f>J2156-K2156</x:f>
        <x:v>5</x:v>
      </x:c>
      <x:c r="AC2156" s="32" t="n">
        <x:f>F2156-G2156</x:f>
        <x:v>0</x:v>
      </x:c>
    </x:row>
    <x:row r="2157">
      <x:c r="A2157" s="4" t="str">
        <x:v>2023-24</x:v>
      </x:c>
      <x:c r="B2157" s="20" t="n">
        <x:v>45395</x:v>
      </x:c>
      <x:c r="C2157" s="4" t="str">
        <x:v>Sheffield United</x:v>
      </x:c>
      <x:c r="D2157" s="4" t="str">
        <x:v>Brentford</x:v>
      </x:c>
      <x:c r="E2157" s="4" t="str">
        <x:v>Away</x:v>
      </x:c>
      <x:c r="F2157" s="28" t="n">
        <x:v>0</x:v>
      </x:c>
      <x:c r="G2157" s="28" t="n">
        <x:v>2</x:v>
      </x:c>
      <x:c r="H2157" s="28" t="n">
        <x:v>8</x:v>
      </x:c>
      <x:c r="I2157" s="28" t="n">
        <x:v>9</x:v>
      </x:c>
      <x:c r="J2157" s="28" t="n">
        <x:v>2</x:v>
      </x:c>
      <x:c r="K2157" s="28" t="n">
        <x:v>5</x:v>
      </x:c>
      <x:c r="L2157" s="28" t="n">
        <x:v>6</x:v>
      </x:c>
      <x:c r="M2157" s="28" t="n">
        <x:v>3</x:v>
      </x:c>
      <x:c r="N2157" s="28" t="n">
        <x:v>1</x:v>
      </x:c>
      <x:c r="O2157" s="28" t="n">
        <x:v>0</x:v>
      </x:c>
      <x:c r="P2157" s="28" t="n">
        <x:v>0</x:v>
      </x:c>
      <x:c r="Q2157" s="24" t="n">
        <x:f>IFERROR(J2157/H2157,0)</x:f>
        <x:v>0.25</x:v>
      </x:c>
      <x:c r="R2157" s="24" t="n">
        <x:f>IFERROR(F2157/H2157,0)</x:f>
        <x:v>0</x:v>
      </x:c>
      <x:c r="S2157" s="24" t="n">
        <x:f>IFERROR(F2157/J2157,0)</x:f>
        <x:v>0</x:v>
      </x:c>
      <x:c r="T2157" s="28" t="n">
        <x:f>H2157-I2157</x:f>
        <x:v>-1</x:v>
      </x:c>
      <x:c r="U2157" s="24" t="n">
        <x:f>IFERROR(J2157/H2157,0)-IFERROR(K2157/I2157,0)</x:f>
        <x:v>-0.3055555555555556</x:v>
      </x:c>
      <x:c r="V2157" s="24" t="n">
        <x:f>IFERROR(F2157/J2157,0)-IFERROR(G2157/K2157,0)</x:f>
        <x:v>-0.4</x:v>
      </x:c>
      <x:c r="W2157" s="28" t="n">
        <x:f>L2157-M2157</x:f>
        <x:v>3</x:v>
      </x:c>
      <x:c r="X2157" s="24" t="n">
        <x:f>IFERROR(K2157/I2157,0)</x:f>
        <x:v>0.5555555555555556</x:v>
      </x:c>
      <x:c r="Y2157" s="24" t="n">
        <x:f>IFERROR(G2157/I2157,0)</x:f>
        <x:v>0.2222222222222222</x:v>
      </x:c>
      <x:c r="Z2157" s="24" t="n">
        <x:f>IFERROR(G2157/K2157,0)</x:f>
        <x:v>0.4</x:v>
      </x:c>
      <x:c r="AA2157" s="24" t="n">
        <x:f>IFERROR(F2157/H2157,0)-IFERROR(G2157/I2157,0)</x:f>
        <x:v>-0.2222222222222222</x:v>
      </x:c>
      <x:c r="AB2157" s="28" t="n">
        <x:f>J2157-K2157</x:f>
        <x:v>-3</x:v>
      </x:c>
      <x:c r="AC2157" s="32" t="n">
        <x:f>F2157-G2157</x:f>
        <x:v>-2</x:v>
      </x:c>
    </x:row>
    <x:row r="2158">
      <x:c r="A2158" s="4" t="str">
        <x:v>2023-24</x:v>
      </x:c>
      <x:c r="B2158" s="20" t="n">
        <x:v>45395</x:v>
      </x:c>
      <x:c r="C2158" s="4" t="str">
        <x:v>Tottenham</x:v>
      </x:c>
      <x:c r="D2158" s="4" t="str">
        <x:v>Newcastle</x:v>
      </x:c>
      <x:c r="E2158" s="4" t="str">
        <x:v>Away</x:v>
      </x:c>
      <x:c r="F2158" s="28" t="n">
        <x:v>0</x:v>
      </x:c>
      <x:c r="G2158" s="28" t="n">
        <x:v>4</x:v>
      </x:c>
      <x:c r="H2158" s="28" t="n">
        <x:v>11</x:v>
      </x:c>
      <x:c r="I2158" s="28" t="n">
        <x:v>18</x:v>
      </x:c>
      <x:c r="J2158" s="28" t="n">
        <x:v>2</x:v>
      </x:c>
      <x:c r="K2158" s="28" t="n">
        <x:v>5</x:v>
      </x:c>
      <x:c r="L2158" s="28" t="n">
        <x:v>3</x:v>
      </x:c>
      <x:c r="M2158" s="28" t="n">
        <x:v>16</x:v>
      </x:c>
      <x:c r="N2158" s="28" t="n">
        <x:v>4</x:v>
      </x:c>
      <x:c r="O2158" s="28" t="n">
        <x:v>0</x:v>
      </x:c>
      <x:c r="P2158" s="28" t="n">
        <x:v>0</x:v>
      </x:c>
      <x:c r="Q2158" s="24" t="n">
        <x:f>IFERROR(J2158/H2158,0)</x:f>
        <x:v>0.18181818181818182</x:v>
      </x:c>
      <x:c r="R2158" s="24" t="n">
        <x:f>IFERROR(F2158/H2158,0)</x:f>
        <x:v>0</x:v>
      </x:c>
      <x:c r="S2158" s="24" t="n">
        <x:f>IFERROR(F2158/J2158,0)</x:f>
        <x:v>0</x:v>
      </x:c>
      <x:c r="T2158" s="28" t="n">
        <x:f>H2158-I2158</x:f>
        <x:v>-7</x:v>
      </x:c>
      <x:c r="U2158" s="24" t="n">
        <x:f>IFERROR(J2158/H2158,0)-IFERROR(K2158/I2158,0)</x:f>
        <x:v>-0.09595959595959597</x:v>
      </x:c>
      <x:c r="V2158" s="24" t="n">
        <x:f>IFERROR(F2158/J2158,0)-IFERROR(G2158/K2158,0)</x:f>
        <x:v>-0.8</x:v>
      </x:c>
      <x:c r="W2158" s="28" t="n">
        <x:f>L2158-M2158</x:f>
        <x:v>-13</x:v>
      </x:c>
      <x:c r="X2158" s="24" t="n">
        <x:f>IFERROR(K2158/I2158,0)</x:f>
        <x:v>0.2777777777777778</x:v>
      </x:c>
      <x:c r="Y2158" s="24" t="n">
        <x:f>IFERROR(G2158/I2158,0)</x:f>
        <x:v>0.2222222222222222</x:v>
      </x:c>
      <x:c r="Z2158" s="24" t="n">
        <x:f>IFERROR(G2158/K2158,0)</x:f>
        <x:v>0.8</x:v>
      </x:c>
      <x:c r="AA2158" s="24" t="n">
        <x:f>IFERROR(F2158/H2158,0)-IFERROR(G2158/I2158,0)</x:f>
        <x:v>-0.2222222222222222</x:v>
      </x:c>
      <x:c r="AB2158" s="28" t="n">
        <x:f>J2158-K2158</x:f>
        <x:v>-3</x:v>
      </x:c>
      <x:c r="AC2158" s="32" t="n">
        <x:f>F2158-G2158</x:f>
        <x:v>-4</x:v>
      </x:c>
    </x:row>
    <x:row r="2159">
      <x:c r="A2159" s="4" t="str">
        <x:v>2023-24</x:v>
      </x:c>
      <x:c r="B2159" s="20" t="n">
        <x:v>45395</x:v>
      </x:c>
      <x:c r="C2159" s="4" t="str">
        <x:v>Wolves</x:v>
      </x:c>
      <x:c r="D2159" s="4" t="str">
        <x:v>Nott'm Forest</x:v>
      </x:c>
      <x:c r="E2159" s="4" t="str">
        <x:v>Away</x:v>
      </x:c>
      <x:c r="F2159" s="28" t="n">
        <x:v>2</x:v>
      </x:c>
      <x:c r="G2159" s="28" t="n">
        <x:v>2</x:v>
      </x:c>
      <x:c r="H2159" s="28" t="n">
        <x:v>11</x:v>
      </x:c>
      <x:c r="I2159" s="28" t="n">
        <x:v>18</x:v>
      </x:c>
      <x:c r="J2159" s="28" t="n">
        <x:v>4</x:v>
      </x:c>
      <x:c r="K2159" s="28" t="n">
        <x:v>9</x:v>
      </x:c>
      <x:c r="L2159" s="28" t="n">
        <x:v>1</x:v>
      </x:c>
      <x:c r="M2159" s="28" t="n">
        <x:v>10</x:v>
      </x:c>
      <x:c r="N2159" s="28" t="n">
        <x:v>3</x:v>
      </x:c>
      <x:c r="O2159" s="28" t="n">
        <x:v>0</x:v>
      </x:c>
      <x:c r="P2159" s="28" t="n">
        <x:v>1</x:v>
      </x:c>
      <x:c r="Q2159" s="24" t="n">
        <x:f>IFERROR(J2159/H2159,0)</x:f>
        <x:v>0.36363636363636365</x:v>
      </x:c>
      <x:c r="R2159" s="24" t="n">
        <x:f>IFERROR(F2159/H2159,0)</x:f>
        <x:v>0.18181818181818182</x:v>
      </x:c>
      <x:c r="S2159" s="24" t="n">
        <x:f>IFERROR(F2159/J2159,0)</x:f>
        <x:v>0.5</x:v>
      </x:c>
      <x:c r="T2159" s="28" t="n">
        <x:f>H2159-I2159</x:f>
        <x:v>-7</x:v>
      </x:c>
      <x:c r="U2159" s="24" t="n">
        <x:f>IFERROR(J2159/H2159,0)-IFERROR(K2159/I2159,0)</x:f>
        <x:v>-0.13636363636363635</x:v>
      </x:c>
      <x:c r="V2159" s="24" t="n">
        <x:f>IFERROR(F2159/J2159,0)-IFERROR(G2159/K2159,0)</x:f>
        <x:v>0.2777777777777778</x:v>
      </x:c>
      <x:c r="W2159" s="28" t="n">
        <x:f>L2159-M2159</x:f>
        <x:v>-9</x:v>
      </x:c>
      <x:c r="X2159" s="24" t="n">
        <x:f>IFERROR(K2159/I2159,0)</x:f>
        <x:v>0.5</x:v>
      </x:c>
      <x:c r="Y2159" s="24" t="n">
        <x:f>IFERROR(G2159/I2159,0)</x:f>
        <x:v>0.1111111111111111</x:v>
      </x:c>
      <x:c r="Z2159" s="24" t="n">
        <x:f>IFERROR(G2159/K2159,0)</x:f>
        <x:v>0.2222222222222222</x:v>
      </x:c>
      <x:c r="AA2159" s="24" t="n">
        <x:f>IFERROR(F2159/H2159,0)-IFERROR(G2159/I2159,0)</x:f>
        <x:v>0.07070707070707072</x:v>
      </x:c>
      <x:c r="AB2159" s="28" t="n">
        <x:f>J2159-K2159</x:f>
        <x:v>-5</x:v>
      </x:c>
      <x:c r="AC2159" s="32" t="n">
        <x:f>F2159-G2159</x:f>
        <x:v>0</x:v>
      </x:c>
    </x:row>
    <x:row r="2160">
      <x:c r="A2160" s="4" t="str">
        <x:v>2023-24</x:v>
      </x:c>
      <x:c r="B2160" s="20" t="n">
        <x:v>45396</x:v>
      </x:c>
      <x:c r="C2160" s="4" t="str">
        <x:v>Arsenal</x:v>
      </x:c>
      <x:c r="D2160" s="4" t="str">
        <x:v>Aston Villa</x:v>
      </x:c>
      <x:c r="E2160" s="4" t="str">
        <x:v>Home</x:v>
      </x:c>
      <x:c r="F2160" s="28" t="n">
        <x:v>0</x:v>
      </x:c>
      <x:c r="G2160" s="28" t="n">
        <x:v>2</x:v>
      </x:c>
      <x:c r="H2160" s="28" t="n">
        <x:v>18</x:v>
      </x:c>
      <x:c r="I2160" s="28" t="n">
        <x:v>11</x:v>
      </x:c>
      <x:c r="J2160" s="28" t="n">
        <x:v>4</x:v>
      </x:c>
      <x:c r="K2160" s="28" t="n">
        <x:v>2</x:v>
      </x:c>
      <x:c r="L2160" s="28" t="n">
        <x:v>4</x:v>
      </x:c>
      <x:c r="M2160" s="28" t="n">
        <x:v>6</x:v>
      </x:c>
      <x:c r="N2160" s="28" t="n">
        <x:v>3</x:v>
      </x:c>
      <x:c r="O2160" s="28" t="n">
        <x:v>0</x:v>
      </x:c>
      <x:c r="P2160" s="28" t="n">
        <x:v>0</x:v>
      </x:c>
      <x:c r="Q2160" s="24" t="n">
        <x:f>IFERROR(J2160/H2160,0)</x:f>
        <x:v>0.2222222222222222</x:v>
      </x:c>
      <x:c r="R2160" s="24" t="n">
        <x:f>IFERROR(F2160/H2160,0)</x:f>
        <x:v>0</x:v>
      </x:c>
      <x:c r="S2160" s="24" t="n">
        <x:f>IFERROR(F2160/J2160,0)</x:f>
        <x:v>0</x:v>
      </x:c>
      <x:c r="T2160" s="28" t="n">
        <x:f>H2160-I2160</x:f>
        <x:v>7</x:v>
      </x:c>
      <x:c r="U2160" s="24" t="n">
        <x:f>IFERROR(J2160/H2160,0)-IFERROR(K2160/I2160,0)</x:f>
        <x:v>0.04040404040404039</x:v>
      </x:c>
      <x:c r="V2160" s="24" t="n">
        <x:f>IFERROR(F2160/J2160,0)-IFERROR(G2160/K2160,0)</x:f>
        <x:v>-1</x:v>
      </x:c>
      <x:c r="W2160" s="28" t="n">
        <x:f>L2160-M2160</x:f>
        <x:v>-2</x:v>
      </x:c>
      <x:c r="X2160" s="24" t="n">
        <x:f>IFERROR(K2160/I2160,0)</x:f>
        <x:v>0.18181818181818182</x:v>
      </x:c>
      <x:c r="Y2160" s="24" t="n">
        <x:f>IFERROR(G2160/I2160,0)</x:f>
        <x:v>0.18181818181818182</x:v>
      </x:c>
      <x:c r="Z2160" s="24" t="n">
        <x:f>IFERROR(G2160/K2160,0)</x:f>
        <x:v>1</x:v>
      </x:c>
      <x:c r="AA2160" s="24" t="n">
        <x:f>IFERROR(F2160/H2160,0)-IFERROR(G2160/I2160,0)</x:f>
        <x:v>-0.18181818181818182</x:v>
      </x:c>
      <x:c r="AB2160" s="28" t="n">
        <x:f>J2160-K2160</x:f>
        <x:v>2</x:v>
      </x:c>
      <x:c r="AC2160" s="32" t="n">
        <x:f>F2160-G2160</x:f>
        <x:v>-2</x:v>
      </x:c>
    </x:row>
    <x:row r="2161">
      <x:c r="A2161" s="4" t="str">
        <x:v>2023-24</x:v>
      </x:c>
      <x:c r="B2161" s="20" t="n">
        <x:v>45396</x:v>
      </x:c>
      <x:c r="C2161" s="4" t="str">
        <x:v>Aston Villa</x:v>
      </x:c>
      <x:c r="D2161" s="4" t="str">
        <x:v>Arsenal</x:v>
      </x:c>
      <x:c r="E2161" s="4" t="str">
        <x:v>Away</x:v>
      </x:c>
      <x:c r="F2161" s="28" t="n">
        <x:v>2</x:v>
      </x:c>
      <x:c r="G2161" s="28" t="n">
        <x:v>0</x:v>
      </x:c>
      <x:c r="H2161" s="28" t="n">
        <x:v>11</x:v>
      </x:c>
      <x:c r="I2161" s="28" t="n">
        <x:v>18</x:v>
      </x:c>
      <x:c r="J2161" s="28" t="n">
        <x:v>2</x:v>
      </x:c>
      <x:c r="K2161" s="28" t="n">
        <x:v>4</x:v>
      </x:c>
      <x:c r="L2161" s="28" t="n">
        <x:v>6</x:v>
      </x:c>
      <x:c r="M2161" s="28" t="n">
        <x:v>4</x:v>
      </x:c>
      <x:c r="N2161" s="28" t="n">
        <x:v>1</x:v>
      </x:c>
      <x:c r="O2161" s="28" t="n">
        <x:v>0</x:v>
      </x:c>
      <x:c r="P2161" s="28" t="n">
        <x:v>3</x:v>
      </x:c>
      <x:c r="Q2161" s="24" t="n">
        <x:f>IFERROR(J2161/H2161,0)</x:f>
        <x:v>0.18181818181818182</x:v>
      </x:c>
      <x:c r="R2161" s="24" t="n">
        <x:f>IFERROR(F2161/H2161,0)</x:f>
        <x:v>0.18181818181818182</x:v>
      </x:c>
      <x:c r="S2161" s="24" t="n">
        <x:f>IFERROR(F2161/J2161,0)</x:f>
        <x:v>1</x:v>
      </x:c>
      <x:c r="T2161" s="28" t="n">
        <x:f>H2161-I2161</x:f>
        <x:v>-7</x:v>
      </x:c>
      <x:c r="U2161" s="24" t="n">
        <x:f>IFERROR(J2161/H2161,0)-IFERROR(K2161/I2161,0)</x:f>
        <x:v>-0.04040404040404039</x:v>
      </x:c>
      <x:c r="V2161" s="24" t="n">
        <x:f>IFERROR(F2161/J2161,0)-IFERROR(G2161/K2161,0)</x:f>
        <x:v>1</x:v>
      </x:c>
      <x:c r="W2161" s="28" t="n">
        <x:f>L2161-M2161</x:f>
        <x:v>2</x:v>
      </x:c>
      <x:c r="X2161" s="24" t="n">
        <x:f>IFERROR(K2161/I2161,0)</x:f>
        <x:v>0.2222222222222222</x:v>
      </x:c>
      <x:c r="Y2161" s="24" t="n">
        <x:f>IFERROR(G2161/I2161,0)</x:f>
        <x:v>0</x:v>
      </x:c>
      <x:c r="Z2161" s="24" t="n">
        <x:f>IFERROR(G2161/K2161,0)</x:f>
        <x:v>0</x:v>
      </x:c>
      <x:c r="AA2161" s="24" t="n">
        <x:f>IFERROR(F2161/H2161,0)-IFERROR(G2161/I2161,0)</x:f>
        <x:v>0.18181818181818182</x:v>
      </x:c>
      <x:c r="AB2161" s="28" t="n">
        <x:f>J2161-K2161</x:f>
        <x:v>-2</x:v>
      </x:c>
      <x:c r="AC2161" s="32" t="n">
        <x:f>F2161-G2161</x:f>
        <x:v>2</x:v>
      </x:c>
    </x:row>
    <x:row r="2162">
      <x:c r="A2162" s="4" t="str">
        <x:v>2023-24</x:v>
      </x:c>
      <x:c r="B2162" s="20" t="n">
        <x:v>45396</x:v>
      </x:c>
      <x:c r="C2162" s="4" t="str">
        <x:v>Crystal Palace</x:v>
      </x:c>
      <x:c r="D2162" s="4" t="str">
        <x:v>Liverpool</x:v>
      </x:c>
      <x:c r="E2162" s="4" t="str">
        <x:v>Away</x:v>
      </x:c>
      <x:c r="F2162" s="28" t="n">
        <x:v>1</x:v>
      </x:c>
      <x:c r="G2162" s="28" t="n">
        <x:v>0</x:v>
      </x:c>
      <x:c r="H2162" s="28" t="n">
        <x:v>8</x:v>
      </x:c>
      <x:c r="I2162" s="28" t="n">
        <x:v>21</x:v>
      </x:c>
      <x:c r="J2162" s="28" t="n">
        <x:v>5</x:v>
      </x:c>
      <x:c r="K2162" s="28" t="n">
        <x:v>6</x:v>
      </x:c>
      <x:c r="L2162" s="28" t="n">
        <x:v>1</x:v>
      </x:c>
      <x:c r="M2162" s="28" t="n">
        <x:v>11</x:v>
      </x:c>
      <x:c r="N2162" s="28" t="n">
        <x:v>1</x:v>
      </x:c>
      <x:c r="O2162" s="28" t="n">
        <x:v>0</x:v>
      </x:c>
      <x:c r="P2162" s="28" t="n">
        <x:v>3</x:v>
      </x:c>
      <x:c r="Q2162" s="24" t="n">
        <x:f>IFERROR(J2162/H2162,0)</x:f>
        <x:v>0.625</x:v>
      </x:c>
      <x:c r="R2162" s="24" t="n">
        <x:f>IFERROR(F2162/H2162,0)</x:f>
        <x:v>0.125</x:v>
      </x:c>
      <x:c r="S2162" s="24" t="n">
        <x:f>IFERROR(F2162/J2162,0)</x:f>
        <x:v>0.2</x:v>
      </x:c>
      <x:c r="T2162" s="28" t="n">
        <x:f>H2162-I2162</x:f>
        <x:v>-13</x:v>
      </x:c>
      <x:c r="U2162" s="24" t="n">
        <x:f>IFERROR(J2162/H2162,0)-IFERROR(K2162/I2162,0)</x:f>
        <x:v>0.3392857142857143</x:v>
      </x:c>
      <x:c r="V2162" s="24" t="n">
        <x:f>IFERROR(F2162/J2162,0)-IFERROR(G2162/K2162,0)</x:f>
        <x:v>0.2</x:v>
      </x:c>
      <x:c r="W2162" s="28" t="n">
        <x:f>L2162-M2162</x:f>
        <x:v>-10</x:v>
      </x:c>
      <x:c r="X2162" s="24" t="n">
        <x:f>IFERROR(K2162/I2162,0)</x:f>
        <x:v>0.2857142857142857</x:v>
      </x:c>
      <x:c r="Y2162" s="24" t="n">
        <x:f>IFERROR(G2162/I2162,0)</x:f>
        <x:v>0</x:v>
      </x:c>
      <x:c r="Z2162" s="24" t="n">
        <x:f>IFERROR(G2162/K2162,0)</x:f>
        <x:v>0</x:v>
      </x:c>
      <x:c r="AA2162" s="24" t="n">
        <x:f>IFERROR(F2162/H2162,0)-IFERROR(G2162/I2162,0)</x:f>
        <x:v>0.125</x:v>
      </x:c>
      <x:c r="AB2162" s="28" t="n">
        <x:f>J2162-K2162</x:f>
        <x:v>-1</x:v>
      </x:c>
      <x:c r="AC2162" s="32" t="n">
        <x:f>F2162-G2162</x:f>
        <x:v>1</x:v>
      </x:c>
    </x:row>
    <x:row r="2163">
      <x:c r="A2163" s="4" t="str">
        <x:v>2023-24</x:v>
      </x:c>
      <x:c r="B2163" s="20" t="n">
        <x:v>45396</x:v>
      </x:c>
      <x:c r="C2163" s="4" t="str">
        <x:v>Fulham</x:v>
      </x:c>
      <x:c r="D2163" s="4" t="str">
        <x:v>West Ham</x:v>
      </x:c>
      <x:c r="E2163" s="4" t="str">
        <x:v>Away</x:v>
      </x:c>
      <x:c r="F2163" s="28" t="n">
        <x:v>2</x:v>
      </x:c>
      <x:c r="G2163" s="28" t="n">
        <x:v>0</x:v>
      </x:c>
      <x:c r="H2163" s="28" t="n">
        <x:v>18</x:v>
      </x:c>
      <x:c r="I2163" s="28" t="n">
        <x:v>15</x:v>
      </x:c>
      <x:c r="J2163" s="28" t="n">
        <x:v>10</x:v>
      </x:c>
      <x:c r="K2163" s="28" t="n">
        <x:v>4</x:v>
      </x:c>
      <x:c r="L2163" s="28" t="n">
        <x:v>3</x:v>
      </x:c>
      <x:c r="M2163" s="28" t="n">
        <x:v>8</x:v>
      </x:c>
      <x:c r="N2163" s="28" t="n">
        <x:v>2</x:v>
      </x:c>
      <x:c r="O2163" s="28" t="n">
        <x:v>0</x:v>
      </x:c>
      <x:c r="P2163" s="28" t="n">
        <x:v>3</x:v>
      </x:c>
      <x:c r="Q2163" s="24" t="n">
        <x:f>IFERROR(J2163/H2163,0)</x:f>
        <x:v>0.5555555555555556</x:v>
      </x:c>
      <x:c r="R2163" s="24" t="n">
        <x:f>IFERROR(F2163/H2163,0)</x:f>
        <x:v>0.1111111111111111</x:v>
      </x:c>
      <x:c r="S2163" s="24" t="n">
        <x:f>IFERROR(F2163/J2163,0)</x:f>
        <x:v>0.2</x:v>
      </x:c>
      <x:c r="T2163" s="28" t="n">
        <x:f>H2163-I2163</x:f>
        <x:v>3</x:v>
      </x:c>
      <x:c r="U2163" s="24" t="n">
        <x:f>IFERROR(J2163/H2163,0)-IFERROR(K2163/I2163,0)</x:f>
        <x:v>0.2888888888888889</x:v>
      </x:c>
      <x:c r="V2163" s="24" t="n">
        <x:f>IFERROR(F2163/J2163,0)-IFERROR(G2163/K2163,0)</x:f>
        <x:v>0.2</x:v>
      </x:c>
      <x:c r="W2163" s="28" t="n">
        <x:f>L2163-M2163</x:f>
        <x:v>-5</x:v>
      </x:c>
      <x:c r="X2163" s="24" t="n">
        <x:f>IFERROR(K2163/I2163,0)</x:f>
        <x:v>0.26666666666666666</x:v>
      </x:c>
      <x:c r="Y2163" s="24" t="n">
        <x:f>IFERROR(G2163/I2163,0)</x:f>
        <x:v>0</x:v>
      </x:c>
      <x:c r="Z2163" s="24" t="n">
        <x:f>IFERROR(G2163/K2163,0)</x:f>
        <x:v>0</x:v>
      </x:c>
      <x:c r="AA2163" s="24" t="n">
        <x:f>IFERROR(F2163/H2163,0)-IFERROR(G2163/I2163,0)</x:f>
        <x:v>0.1111111111111111</x:v>
      </x:c>
      <x:c r="AB2163" s="28" t="n">
        <x:f>J2163-K2163</x:f>
        <x:v>6</x:v>
      </x:c>
      <x:c r="AC2163" s="32" t="n">
        <x:f>F2163-G2163</x:f>
        <x:v>2</x:v>
      </x:c>
    </x:row>
    <x:row r="2164">
      <x:c r="A2164" s="4" t="str">
        <x:v>2023-24</x:v>
      </x:c>
      <x:c r="B2164" s="20" t="n">
        <x:v>45396</x:v>
      </x:c>
      <x:c r="C2164" s="4" t="str">
        <x:v>Liverpool</x:v>
      </x:c>
      <x:c r="D2164" s="4" t="str">
        <x:v>Crystal Palace</x:v>
      </x:c>
      <x:c r="E2164" s="4" t="str">
        <x:v>Home</x:v>
      </x:c>
      <x:c r="F2164" s="28" t="n">
        <x:v>0</x:v>
      </x:c>
      <x:c r="G2164" s="28" t="n">
        <x:v>1</x:v>
      </x:c>
      <x:c r="H2164" s="28" t="n">
        <x:v>21</x:v>
      </x:c>
      <x:c r="I2164" s="28" t="n">
        <x:v>8</x:v>
      </x:c>
      <x:c r="J2164" s="28" t="n">
        <x:v>6</x:v>
      </x:c>
      <x:c r="K2164" s="28" t="n">
        <x:v>5</x:v>
      </x:c>
      <x:c r="L2164" s="28" t="n">
        <x:v>11</x:v>
      </x:c>
      <x:c r="M2164" s="28" t="n">
        <x:v>1</x:v>
      </x:c>
      <x:c r="N2164" s="28" t="n">
        <x:v>1</x:v>
      </x:c>
      <x:c r="O2164" s="28" t="n">
        <x:v>0</x:v>
      </x:c>
      <x:c r="P2164" s="28" t="n">
        <x:v>0</x:v>
      </x:c>
      <x:c r="Q2164" s="24" t="n">
        <x:f>IFERROR(J2164/H2164,0)</x:f>
        <x:v>0.2857142857142857</x:v>
      </x:c>
      <x:c r="R2164" s="24" t="n">
        <x:f>IFERROR(F2164/H2164,0)</x:f>
        <x:v>0</x:v>
      </x:c>
      <x:c r="S2164" s="24" t="n">
        <x:f>IFERROR(F2164/J2164,0)</x:f>
        <x:v>0</x:v>
      </x:c>
      <x:c r="T2164" s="28" t="n">
        <x:f>H2164-I2164</x:f>
        <x:v>13</x:v>
      </x:c>
      <x:c r="U2164" s="24" t="n">
        <x:f>IFERROR(J2164/H2164,0)-IFERROR(K2164/I2164,0)</x:f>
        <x:v>-0.3392857142857143</x:v>
      </x:c>
      <x:c r="V2164" s="24" t="n">
        <x:f>IFERROR(F2164/J2164,0)-IFERROR(G2164/K2164,0)</x:f>
        <x:v>-0.2</x:v>
      </x:c>
      <x:c r="W2164" s="28" t="n">
        <x:f>L2164-M2164</x:f>
        <x:v>10</x:v>
      </x:c>
      <x:c r="X2164" s="24" t="n">
        <x:f>IFERROR(K2164/I2164,0)</x:f>
        <x:v>0.625</x:v>
      </x:c>
      <x:c r="Y2164" s="24" t="n">
        <x:f>IFERROR(G2164/I2164,0)</x:f>
        <x:v>0.125</x:v>
      </x:c>
      <x:c r="Z2164" s="24" t="n">
        <x:f>IFERROR(G2164/K2164,0)</x:f>
        <x:v>0.2</x:v>
      </x:c>
      <x:c r="AA2164" s="24" t="n">
        <x:f>IFERROR(F2164/H2164,0)-IFERROR(G2164/I2164,0)</x:f>
        <x:v>-0.125</x:v>
      </x:c>
      <x:c r="AB2164" s="28" t="n">
        <x:f>J2164-K2164</x:f>
        <x:v>1</x:v>
      </x:c>
      <x:c r="AC2164" s="32" t="n">
        <x:f>F2164-G2164</x:f>
        <x:v>-1</x:v>
      </x:c>
    </x:row>
    <x:row r="2165">
      <x:c r="A2165" s="4" t="str">
        <x:v>2023-24</x:v>
      </x:c>
      <x:c r="B2165" s="20" t="n">
        <x:v>45396</x:v>
      </x:c>
      <x:c r="C2165" s="4" t="str">
        <x:v>West Ham</x:v>
      </x:c>
      <x:c r="D2165" s="4" t="str">
        <x:v>Fulham</x:v>
      </x:c>
      <x:c r="E2165" s="4" t="str">
        <x:v>Home</x:v>
      </x:c>
      <x:c r="F2165" s="28" t="n">
        <x:v>0</x:v>
      </x:c>
      <x:c r="G2165" s="28" t="n">
        <x:v>2</x:v>
      </x:c>
      <x:c r="H2165" s="28" t="n">
        <x:v>15</x:v>
      </x:c>
      <x:c r="I2165" s="28" t="n">
        <x:v>18</x:v>
      </x:c>
      <x:c r="J2165" s="28" t="n">
        <x:v>4</x:v>
      </x:c>
      <x:c r="K2165" s="28" t="n">
        <x:v>10</x:v>
      </x:c>
      <x:c r="L2165" s="28" t="n">
        <x:v>8</x:v>
      </x:c>
      <x:c r="M2165" s="28" t="n">
        <x:v>3</x:v>
      </x:c>
      <x:c r="N2165" s="28" t="n">
        <x:v>1</x:v>
      </x:c>
      <x:c r="O2165" s="28" t="n">
        <x:v>0</x:v>
      </x:c>
      <x:c r="P2165" s="28" t="n">
        <x:v>0</x:v>
      </x:c>
      <x:c r="Q2165" s="24" t="n">
        <x:f>IFERROR(J2165/H2165,0)</x:f>
        <x:v>0.26666666666666666</x:v>
      </x:c>
      <x:c r="R2165" s="24" t="n">
        <x:f>IFERROR(F2165/H2165,0)</x:f>
        <x:v>0</x:v>
      </x:c>
      <x:c r="S2165" s="24" t="n">
        <x:f>IFERROR(F2165/J2165,0)</x:f>
        <x:v>0</x:v>
      </x:c>
      <x:c r="T2165" s="28" t="n">
        <x:f>H2165-I2165</x:f>
        <x:v>-3</x:v>
      </x:c>
      <x:c r="U2165" s="24" t="n">
        <x:f>IFERROR(J2165/H2165,0)-IFERROR(K2165/I2165,0)</x:f>
        <x:v>-0.2888888888888889</x:v>
      </x:c>
      <x:c r="V2165" s="24" t="n">
        <x:f>IFERROR(F2165/J2165,0)-IFERROR(G2165/K2165,0)</x:f>
        <x:v>-0.2</x:v>
      </x:c>
      <x:c r="W2165" s="28" t="n">
        <x:f>L2165-M2165</x:f>
        <x:v>5</x:v>
      </x:c>
      <x:c r="X2165" s="24" t="n">
        <x:f>IFERROR(K2165/I2165,0)</x:f>
        <x:v>0.5555555555555556</x:v>
      </x:c>
      <x:c r="Y2165" s="24" t="n">
        <x:f>IFERROR(G2165/I2165,0)</x:f>
        <x:v>0.1111111111111111</x:v>
      </x:c>
      <x:c r="Z2165" s="24" t="n">
        <x:f>IFERROR(G2165/K2165,0)</x:f>
        <x:v>0.2</x:v>
      </x:c>
      <x:c r="AA2165" s="24" t="n">
        <x:f>IFERROR(F2165/H2165,0)-IFERROR(G2165/I2165,0)</x:f>
        <x:v>-0.1111111111111111</x:v>
      </x:c>
      <x:c r="AB2165" s="28" t="n">
        <x:f>J2165-K2165</x:f>
        <x:v>-6</x:v>
      </x:c>
      <x:c r="AC2165" s="32" t="n">
        <x:f>F2165-G2165</x:f>
        <x:v>-2</x:v>
      </x:c>
    </x:row>
    <x:row r="2166">
      <x:c r="A2166" s="4" t="str">
        <x:v>2023-24</x:v>
      </x:c>
      <x:c r="B2166" s="20" t="n">
        <x:v>45397</x:v>
      </x:c>
      <x:c r="C2166" s="4" t="str">
        <x:v>Chelsea</x:v>
      </x:c>
      <x:c r="D2166" s="4" t="str">
        <x:v>Everton</x:v>
      </x:c>
      <x:c r="E2166" s="4" t="str">
        <x:v>Home</x:v>
      </x:c>
      <x:c r="F2166" s="28" t="n">
        <x:v>6</x:v>
      </x:c>
      <x:c r="G2166" s="28" t="n">
        <x:v>0</x:v>
      </x:c>
      <x:c r="H2166" s="28" t="n">
        <x:v>14</x:v>
      </x:c>
      <x:c r="I2166" s="28" t="n">
        <x:v>10</x:v>
      </x:c>
      <x:c r="J2166" s="28" t="n">
        <x:v>10</x:v>
      </x:c>
      <x:c r="K2166" s="28" t="n">
        <x:v>2</x:v>
      </x:c>
      <x:c r="L2166" s="28" t="n">
        <x:v>4</x:v>
      </x:c>
      <x:c r="M2166" s="28" t="n">
        <x:v>8</x:v>
      </x:c>
      <x:c r="N2166" s="28" t="n">
        <x:v>1</x:v>
      </x:c>
      <x:c r="O2166" s="28" t="n">
        <x:v>0</x:v>
      </x:c>
      <x:c r="P2166" s="28" t="n">
        <x:v>3</x:v>
      </x:c>
      <x:c r="Q2166" s="24" t="n">
        <x:f>IFERROR(J2166/H2166,0)</x:f>
        <x:v>0.7142857142857143</x:v>
      </x:c>
      <x:c r="R2166" s="24" t="n">
        <x:f>IFERROR(F2166/H2166,0)</x:f>
        <x:v>0.42857142857142855</x:v>
      </x:c>
      <x:c r="S2166" s="24" t="n">
        <x:f>IFERROR(F2166/J2166,0)</x:f>
        <x:v>0.6</x:v>
      </x:c>
      <x:c r="T2166" s="28" t="n">
        <x:f>H2166-I2166</x:f>
        <x:v>4</x:v>
      </x:c>
      <x:c r="U2166" s="24" t="n">
        <x:f>IFERROR(J2166/H2166,0)-IFERROR(K2166/I2166,0)</x:f>
        <x:v>0.5142857142857142</x:v>
      </x:c>
      <x:c r="V2166" s="24" t="n">
        <x:f>IFERROR(F2166/J2166,0)-IFERROR(G2166/K2166,0)</x:f>
        <x:v>0.6</x:v>
      </x:c>
      <x:c r="W2166" s="28" t="n">
        <x:f>L2166-M2166</x:f>
        <x:v>-4</x:v>
      </x:c>
      <x:c r="X2166" s="24" t="n">
        <x:f>IFERROR(K2166/I2166,0)</x:f>
        <x:v>0.2</x:v>
      </x:c>
      <x:c r="Y2166" s="24" t="n">
        <x:f>IFERROR(G2166/I2166,0)</x:f>
        <x:v>0</x:v>
      </x:c>
      <x:c r="Z2166" s="24" t="n">
        <x:f>IFERROR(G2166/K2166,0)</x:f>
        <x:v>0</x:v>
      </x:c>
      <x:c r="AA2166" s="24" t="n">
        <x:f>IFERROR(F2166/H2166,0)-IFERROR(G2166/I2166,0)</x:f>
        <x:v>0.42857142857142855</x:v>
      </x:c>
      <x:c r="AB2166" s="28" t="n">
        <x:f>J2166-K2166</x:f>
        <x:v>8</x:v>
      </x:c>
      <x:c r="AC2166" s="32" t="n">
        <x:f>F2166-G2166</x:f>
        <x:v>6</x:v>
      </x:c>
    </x:row>
    <x:row r="2167">
      <x:c r="A2167" s="4" t="str">
        <x:v>2023-24</x:v>
      </x:c>
      <x:c r="B2167" s="20" t="n">
        <x:v>45397</x:v>
      </x:c>
      <x:c r="C2167" s="4" t="str">
        <x:v>Everton</x:v>
      </x:c>
      <x:c r="D2167" s="4" t="str">
        <x:v>Chelsea</x:v>
      </x:c>
      <x:c r="E2167" s="4" t="str">
        <x:v>Away</x:v>
      </x:c>
      <x:c r="F2167" s="28" t="n">
        <x:v>0</x:v>
      </x:c>
      <x:c r="G2167" s="28" t="n">
        <x:v>6</x:v>
      </x:c>
      <x:c r="H2167" s="28" t="n">
        <x:v>10</x:v>
      </x:c>
      <x:c r="I2167" s="28" t="n">
        <x:v>14</x:v>
      </x:c>
      <x:c r="J2167" s="28" t="n">
        <x:v>2</x:v>
      </x:c>
      <x:c r="K2167" s="28" t="n">
        <x:v>10</x:v>
      </x:c>
      <x:c r="L2167" s="28" t="n">
        <x:v>8</x:v>
      </x:c>
      <x:c r="M2167" s="28" t="n">
        <x:v>4</x:v>
      </x:c>
      <x:c r="N2167" s="28" t="n">
        <x:v>4</x:v>
      </x:c>
      <x:c r="O2167" s="28" t="n">
        <x:v>0</x:v>
      </x:c>
      <x:c r="P2167" s="28" t="n">
        <x:v>0</x:v>
      </x:c>
      <x:c r="Q2167" s="24" t="n">
        <x:f>IFERROR(J2167/H2167,0)</x:f>
        <x:v>0.2</x:v>
      </x:c>
      <x:c r="R2167" s="24" t="n">
        <x:f>IFERROR(F2167/H2167,0)</x:f>
        <x:v>0</x:v>
      </x:c>
      <x:c r="S2167" s="24" t="n">
        <x:f>IFERROR(F2167/J2167,0)</x:f>
        <x:v>0</x:v>
      </x:c>
      <x:c r="T2167" s="28" t="n">
        <x:f>H2167-I2167</x:f>
        <x:v>-4</x:v>
      </x:c>
      <x:c r="U2167" s="24" t="n">
        <x:f>IFERROR(J2167/H2167,0)-IFERROR(K2167/I2167,0)</x:f>
        <x:v>-0.5142857142857142</x:v>
      </x:c>
      <x:c r="V2167" s="24" t="n">
        <x:f>IFERROR(F2167/J2167,0)-IFERROR(G2167/K2167,0)</x:f>
        <x:v>-0.6</x:v>
      </x:c>
      <x:c r="W2167" s="28" t="n">
        <x:f>L2167-M2167</x:f>
        <x:v>4</x:v>
      </x:c>
      <x:c r="X2167" s="24" t="n">
        <x:f>IFERROR(K2167/I2167,0)</x:f>
        <x:v>0.7142857142857143</x:v>
      </x:c>
      <x:c r="Y2167" s="24" t="n">
        <x:f>IFERROR(G2167/I2167,0)</x:f>
        <x:v>0.42857142857142855</x:v>
      </x:c>
      <x:c r="Z2167" s="24" t="n">
        <x:f>IFERROR(G2167/K2167,0)</x:f>
        <x:v>0.6</x:v>
      </x:c>
      <x:c r="AA2167" s="24" t="n">
        <x:f>IFERROR(F2167/H2167,0)-IFERROR(G2167/I2167,0)</x:f>
        <x:v>-0.42857142857142855</x:v>
      </x:c>
      <x:c r="AB2167" s="28" t="n">
        <x:f>J2167-K2167</x:f>
        <x:v>-8</x:v>
      </x:c>
      <x:c r="AC2167" s="32" t="n">
        <x:f>F2167-G2167</x:f>
        <x:v>-6</x:v>
      </x:c>
    </x:row>
    <x:row r="2168">
      <x:c r="A2168" s="4" t="str">
        <x:v>2023-24</x:v>
      </x:c>
      <x:c r="B2168" s="20" t="n">
        <x:v>45402</x:v>
      </x:c>
      <x:c r="C2168" s="4" t="str">
        <x:v>Arsenal</x:v>
      </x:c>
      <x:c r="D2168" s="4" t="str">
        <x:v>Wolves</x:v>
      </x:c>
      <x:c r="E2168" s="4" t="str">
        <x:v>Away</x:v>
      </x:c>
      <x:c r="F2168" s="28" t="n">
        <x:v>2</x:v>
      </x:c>
      <x:c r="G2168" s="28" t="n">
        <x:v>0</x:v>
      </x:c>
      <x:c r="H2168" s="28" t="n">
        <x:v>24</x:v>
      </x:c>
      <x:c r="I2168" s="28" t="n">
        <x:v>5</x:v>
      </x:c>
      <x:c r="J2168" s="28" t="n">
        <x:v>9</x:v>
      </x:c>
      <x:c r="K2168" s="28" t="n">
        <x:v>3</x:v>
      </x:c>
      <x:c r="L2168" s="28" t="n">
        <x:v>2</x:v>
      </x:c>
      <x:c r="M2168" s="28" t="n">
        <x:v>1</x:v>
      </x:c>
      <x:c r="N2168" s="28" t="n">
        <x:v>2</x:v>
      </x:c>
      <x:c r="O2168" s="28" t="n">
        <x:v>0</x:v>
      </x:c>
      <x:c r="P2168" s="28" t="n">
        <x:v>3</x:v>
      </x:c>
      <x:c r="Q2168" s="24" t="n">
        <x:f>IFERROR(J2168/H2168,0)</x:f>
        <x:v>0.375</x:v>
      </x:c>
      <x:c r="R2168" s="24" t="n">
        <x:f>IFERROR(F2168/H2168,0)</x:f>
        <x:v>0.08333333333333333</x:v>
      </x:c>
      <x:c r="S2168" s="24" t="n">
        <x:f>IFERROR(F2168/J2168,0)</x:f>
        <x:v>0.2222222222222222</x:v>
      </x:c>
      <x:c r="T2168" s="28" t="n">
        <x:f>H2168-I2168</x:f>
        <x:v>19</x:v>
      </x:c>
      <x:c r="U2168" s="24" t="n">
        <x:f>IFERROR(J2168/H2168,0)-IFERROR(K2168/I2168,0)</x:f>
        <x:v>-0.22499999999999998</x:v>
      </x:c>
      <x:c r="V2168" s="24" t="n">
        <x:f>IFERROR(F2168/J2168,0)-IFERROR(G2168/K2168,0)</x:f>
        <x:v>0.2222222222222222</x:v>
      </x:c>
      <x:c r="W2168" s="28" t="n">
        <x:f>L2168-M2168</x:f>
        <x:v>1</x:v>
      </x:c>
      <x:c r="X2168" s="24" t="n">
        <x:f>IFERROR(K2168/I2168,0)</x:f>
        <x:v>0.6</x:v>
      </x:c>
      <x:c r="Y2168" s="24" t="n">
        <x:f>IFERROR(G2168/I2168,0)</x:f>
        <x:v>0</x:v>
      </x:c>
      <x:c r="Z2168" s="24" t="n">
        <x:f>IFERROR(G2168/K2168,0)</x:f>
        <x:v>0</x:v>
      </x:c>
      <x:c r="AA2168" s="24" t="n">
        <x:f>IFERROR(F2168/H2168,0)-IFERROR(G2168/I2168,0)</x:f>
        <x:v>0.08333333333333333</x:v>
      </x:c>
      <x:c r="AB2168" s="28" t="n">
        <x:f>J2168-K2168</x:f>
        <x:v>6</x:v>
      </x:c>
      <x:c r="AC2168" s="32" t="n">
        <x:f>F2168-G2168</x:f>
        <x:v>2</x:v>
      </x:c>
    </x:row>
    <x:row r="2169">
      <x:c r="A2169" s="4" t="str">
        <x:v>2023-24</x:v>
      </x:c>
      <x:c r="B2169" s="20" t="n">
        <x:v>45402</x:v>
      </x:c>
      <x:c r="C2169" s="4" t="str">
        <x:v>Brentford</x:v>
      </x:c>
      <x:c r="D2169" s="4" t="str">
        <x:v>Luton</x:v>
      </x:c>
      <x:c r="E2169" s="4" t="str">
        <x:v>Away</x:v>
      </x:c>
      <x:c r="F2169" s="28" t="n">
        <x:v>5</x:v>
      </x:c>
      <x:c r="G2169" s="28" t="n">
        <x:v>1</x:v>
      </x:c>
      <x:c r="H2169" s="28" t="n">
        <x:v>21</x:v>
      </x:c>
      <x:c r="I2169" s="28" t="n">
        <x:v>6</x:v>
      </x:c>
      <x:c r="J2169" s="28" t="n">
        <x:v>9</x:v>
      </x:c>
      <x:c r="K2169" s="28" t="n">
        <x:v>3</x:v>
      </x:c>
      <x:c r="L2169" s="28" t="n">
        <x:v>9</x:v>
      </x:c>
      <x:c r="M2169" s="28" t="n">
        <x:v>4</x:v>
      </x:c>
      <x:c r="N2169" s="28" t="n">
        <x:v>2</x:v>
      </x:c>
      <x:c r="O2169" s="28" t="n">
        <x:v>0</x:v>
      </x:c>
      <x:c r="P2169" s="28" t="n">
        <x:v>3</x:v>
      </x:c>
      <x:c r="Q2169" s="24" t="n">
        <x:f>IFERROR(J2169/H2169,0)</x:f>
        <x:v>0.42857142857142855</x:v>
      </x:c>
      <x:c r="R2169" s="24" t="n">
        <x:f>IFERROR(F2169/H2169,0)</x:f>
        <x:v>0.23809523809523808</x:v>
      </x:c>
      <x:c r="S2169" s="24" t="n">
        <x:f>IFERROR(F2169/J2169,0)</x:f>
        <x:v>0.5555555555555556</x:v>
      </x:c>
      <x:c r="T2169" s="28" t="n">
        <x:f>H2169-I2169</x:f>
        <x:v>15</x:v>
      </x:c>
      <x:c r="U2169" s="24" t="n">
        <x:f>IFERROR(J2169/H2169,0)-IFERROR(K2169/I2169,0)</x:f>
        <x:v>-0.07142857142857145</x:v>
      </x:c>
      <x:c r="V2169" s="24" t="n">
        <x:f>IFERROR(F2169/J2169,0)-IFERROR(G2169/K2169,0)</x:f>
        <x:v>0.22222222222222227</x:v>
      </x:c>
      <x:c r="W2169" s="28" t="n">
        <x:f>L2169-M2169</x:f>
        <x:v>5</x:v>
      </x:c>
      <x:c r="X2169" s="24" t="n">
        <x:f>IFERROR(K2169/I2169,0)</x:f>
        <x:v>0.5</x:v>
      </x:c>
      <x:c r="Y2169" s="24" t="n">
        <x:f>IFERROR(G2169/I2169,0)</x:f>
        <x:v>0.16666666666666666</x:v>
      </x:c>
      <x:c r="Z2169" s="24" t="n">
        <x:f>IFERROR(G2169/K2169,0)</x:f>
        <x:v>0.3333333333333333</x:v>
      </x:c>
      <x:c r="AA2169" s="24" t="n">
        <x:f>IFERROR(F2169/H2169,0)-IFERROR(G2169/I2169,0)</x:f>
        <x:v>0.07142857142857142</x:v>
      </x:c>
      <x:c r="AB2169" s="28" t="n">
        <x:f>J2169-K2169</x:f>
        <x:v>6</x:v>
      </x:c>
      <x:c r="AC2169" s="32" t="n">
        <x:f>F2169-G2169</x:f>
        <x:v>4</x:v>
      </x:c>
    </x:row>
    <x:row r="2170">
      <x:c r="A2170" s="4" t="str">
        <x:v>2023-24</x:v>
      </x:c>
      <x:c r="B2170" s="20" t="n">
        <x:v>45402</x:v>
      </x:c>
      <x:c r="C2170" s="4" t="str">
        <x:v>Burnley</x:v>
      </x:c>
      <x:c r="D2170" s="4" t="str">
        <x:v>Sheffield United</x:v>
      </x:c>
      <x:c r="E2170" s="4" t="str">
        <x:v>Away</x:v>
      </x:c>
      <x:c r="F2170" s="28" t="n">
        <x:v>4</x:v>
      </x:c>
      <x:c r="G2170" s="28" t="n">
        <x:v>1</x:v>
      </x:c>
      <x:c r="H2170" s="28" t="n">
        <x:v>16</x:v>
      </x:c>
      <x:c r="I2170" s="28" t="n">
        <x:v>18</x:v>
      </x:c>
      <x:c r="J2170" s="28" t="n">
        <x:v>9</x:v>
      </x:c>
      <x:c r="K2170" s="28" t="n">
        <x:v>11</x:v>
      </x:c>
      <x:c r="L2170" s="28" t="n">
        <x:v>2</x:v>
      </x:c>
      <x:c r="M2170" s="28" t="n">
        <x:v>11</x:v>
      </x:c>
      <x:c r="N2170" s="28" t="n">
        <x:v>0</x:v>
      </x:c>
      <x:c r="O2170" s="28" t="n">
        <x:v>0</x:v>
      </x:c>
      <x:c r="P2170" s="28" t="n">
        <x:v>3</x:v>
      </x:c>
      <x:c r="Q2170" s="24" t="n">
        <x:f>IFERROR(J2170/H2170,0)</x:f>
        <x:v>0.5625</x:v>
      </x:c>
      <x:c r="R2170" s="24" t="n">
        <x:f>IFERROR(F2170/H2170,0)</x:f>
        <x:v>0.25</x:v>
      </x:c>
      <x:c r="S2170" s="24" t="n">
        <x:f>IFERROR(F2170/J2170,0)</x:f>
        <x:v>0.4444444444444444</x:v>
      </x:c>
      <x:c r="T2170" s="28" t="n">
        <x:f>H2170-I2170</x:f>
        <x:v>-2</x:v>
      </x:c>
      <x:c r="U2170" s="24" t="n">
        <x:f>IFERROR(J2170/H2170,0)-IFERROR(K2170/I2170,0)</x:f>
        <x:v>-0.04861111111111116</x:v>
      </x:c>
      <x:c r="V2170" s="24" t="n">
        <x:f>IFERROR(F2170/J2170,0)-IFERROR(G2170/K2170,0)</x:f>
        <x:v>0.3535353535353535</x:v>
      </x:c>
      <x:c r="W2170" s="28" t="n">
        <x:f>L2170-M2170</x:f>
        <x:v>-9</x:v>
      </x:c>
      <x:c r="X2170" s="24" t="n">
        <x:f>IFERROR(K2170/I2170,0)</x:f>
        <x:v>0.6111111111111112</x:v>
      </x:c>
      <x:c r="Y2170" s="24" t="n">
        <x:f>IFERROR(G2170/I2170,0)</x:f>
        <x:v>0.05555555555555555</x:v>
      </x:c>
      <x:c r="Z2170" s="24" t="n">
        <x:f>IFERROR(G2170/K2170,0)</x:f>
        <x:v>0.09090909090909091</x:v>
      </x:c>
      <x:c r="AA2170" s="24" t="n">
        <x:f>IFERROR(F2170/H2170,0)-IFERROR(G2170/I2170,0)</x:f>
        <x:v>0.19444444444444445</x:v>
      </x:c>
      <x:c r="AB2170" s="28" t="n">
        <x:f>J2170-K2170</x:f>
        <x:v>-2</x:v>
      </x:c>
      <x:c r="AC2170" s="32" t="n">
        <x:f>F2170-G2170</x:f>
        <x:v>3</x:v>
      </x:c>
    </x:row>
    <x:row r="2171">
      <x:c r="A2171" s="4" t="str">
        <x:v>2023-24</x:v>
      </x:c>
      <x:c r="B2171" s="20" t="n">
        <x:v>45402</x:v>
      </x:c>
      <x:c r="C2171" s="4" t="str">
        <x:v>Luton</x:v>
      </x:c>
      <x:c r="D2171" s="4" t="str">
        <x:v>Brentford</x:v>
      </x:c>
      <x:c r="E2171" s="4" t="str">
        <x:v>Home</x:v>
      </x:c>
      <x:c r="F2171" s="28" t="n">
        <x:v>1</x:v>
      </x:c>
      <x:c r="G2171" s="28" t="n">
        <x:v>5</x:v>
      </x:c>
      <x:c r="H2171" s="28" t="n">
        <x:v>6</x:v>
      </x:c>
      <x:c r="I2171" s="28" t="n">
        <x:v>21</x:v>
      </x:c>
      <x:c r="J2171" s="28" t="n">
        <x:v>3</x:v>
      </x:c>
      <x:c r="K2171" s="28" t="n">
        <x:v>9</x:v>
      </x:c>
      <x:c r="L2171" s="28" t="n">
        <x:v>4</x:v>
      </x:c>
      <x:c r="M2171" s="28" t="n">
        <x:v>9</x:v>
      </x:c>
      <x:c r="N2171" s="28" t="n">
        <x:v>1</x:v>
      </x:c>
      <x:c r="O2171" s="28" t="n">
        <x:v>0</x:v>
      </x:c>
      <x:c r="P2171" s="28" t="n">
        <x:v>0</x:v>
      </x:c>
      <x:c r="Q2171" s="24" t="n">
        <x:f>IFERROR(J2171/H2171,0)</x:f>
        <x:v>0.5</x:v>
      </x:c>
      <x:c r="R2171" s="24" t="n">
        <x:f>IFERROR(F2171/H2171,0)</x:f>
        <x:v>0.16666666666666666</x:v>
      </x:c>
      <x:c r="S2171" s="24" t="n">
        <x:f>IFERROR(F2171/J2171,0)</x:f>
        <x:v>0.3333333333333333</x:v>
      </x:c>
      <x:c r="T2171" s="28" t="n">
        <x:f>H2171-I2171</x:f>
        <x:v>-15</x:v>
      </x:c>
      <x:c r="U2171" s="24" t="n">
        <x:f>IFERROR(J2171/H2171,0)-IFERROR(K2171/I2171,0)</x:f>
        <x:v>0.07142857142857145</x:v>
      </x:c>
      <x:c r="V2171" s="24" t="n">
        <x:f>IFERROR(F2171/J2171,0)-IFERROR(G2171/K2171,0)</x:f>
        <x:v>-0.22222222222222227</x:v>
      </x:c>
      <x:c r="W2171" s="28" t="n">
        <x:f>L2171-M2171</x:f>
        <x:v>-5</x:v>
      </x:c>
      <x:c r="X2171" s="24" t="n">
        <x:f>IFERROR(K2171/I2171,0)</x:f>
        <x:v>0.42857142857142855</x:v>
      </x:c>
      <x:c r="Y2171" s="24" t="n">
        <x:f>IFERROR(G2171/I2171,0)</x:f>
        <x:v>0.23809523809523808</x:v>
      </x:c>
      <x:c r="Z2171" s="24" t="n">
        <x:f>IFERROR(G2171/K2171,0)</x:f>
        <x:v>0.5555555555555556</x:v>
      </x:c>
      <x:c r="AA2171" s="24" t="n">
        <x:f>IFERROR(F2171/H2171,0)-IFERROR(G2171/I2171,0)</x:f>
        <x:v>-0.07142857142857142</x:v>
      </x:c>
      <x:c r="AB2171" s="28" t="n">
        <x:f>J2171-K2171</x:f>
        <x:v>-6</x:v>
      </x:c>
      <x:c r="AC2171" s="32" t="n">
        <x:f>F2171-G2171</x:f>
        <x:v>-4</x:v>
      </x:c>
    </x:row>
    <x:row r="2172">
      <x:c r="A2172" s="4" t="str">
        <x:v>2023-24</x:v>
      </x:c>
      <x:c r="B2172" s="20" t="n">
        <x:v>45402</x:v>
      </x:c>
      <x:c r="C2172" s="4" t="str">
        <x:v>Sheffield United</x:v>
      </x:c>
      <x:c r="D2172" s="4" t="str">
        <x:v>Burnley</x:v>
      </x:c>
      <x:c r="E2172" s="4" t="str">
        <x:v>Home</x:v>
      </x:c>
      <x:c r="F2172" s="28" t="n">
        <x:v>1</x:v>
      </x:c>
      <x:c r="G2172" s="28" t="n">
        <x:v>4</x:v>
      </x:c>
      <x:c r="H2172" s="28" t="n">
        <x:v>18</x:v>
      </x:c>
      <x:c r="I2172" s="28" t="n">
        <x:v>16</x:v>
      </x:c>
      <x:c r="J2172" s="28" t="n">
        <x:v>11</x:v>
      </x:c>
      <x:c r="K2172" s="28" t="n">
        <x:v>9</x:v>
      </x:c>
      <x:c r="L2172" s="28" t="n">
        <x:v>11</x:v>
      </x:c>
      <x:c r="M2172" s="28" t="n">
        <x:v>2</x:v>
      </x:c>
      <x:c r="N2172" s="28" t="n">
        <x:v>1</x:v>
      </x:c>
      <x:c r="O2172" s="28" t="n">
        <x:v>0</x:v>
      </x:c>
      <x:c r="P2172" s="28" t="n">
        <x:v>0</x:v>
      </x:c>
      <x:c r="Q2172" s="24" t="n">
        <x:f>IFERROR(J2172/H2172,0)</x:f>
        <x:v>0.6111111111111112</x:v>
      </x:c>
      <x:c r="R2172" s="24" t="n">
        <x:f>IFERROR(F2172/H2172,0)</x:f>
        <x:v>0.05555555555555555</x:v>
      </x:c>
      <x:c r="S2172" s="24" t="n">
        <x:f>IFERROR(F2172/J2172,0)</x:f>
        <x:v>0.09090909090909091</x:v>
      </x:c>
      <x:c r="T2172" s="28" t="n">
        <x:f>H2172-I2172</x:f>
        <x:v>2</x:v>
      </x:c>
      <x:c r="U2172" s="24" t="n">
        <x:f>IFERROR(J2172/H2172,0)-IFERROR(K2172/I2172,0)</x:f>
        <x:v>0.04861111111111116</x:v>
      </x:c>
      <x:c r="V2172" s="24" t="n">
        <x:f>IFERROR(F2172/J2172,0)-IFERROR(G2172/K2172,0)</x:f>
        <x:v>-0.3535353535353535</x:v>
      </x:c>
      <x:c r="W2172" s="28" t="n">
        <x:f>L2172-M2172</x:f>
        <x:v>9</x:v>
      </x:c>
      <x:c r="X2172" s="24" t="n">
        <x:f>IFERROR(K2172/I2172,0)</x:f>
        <x:v>0.5625</x:v>
      </x:c>
      <x:c r="Y2172" s="24" t="n">
        <x:f>IFERROR(G2172/I2172,0)</x:f>
        <x:v>0.25</x:v>
      </x:c>
      <x:c r="Z2172" s="24" t="n">
        <x:f>IFERROR(G2172/K2172,0)</x:f>
        <x:v>0.4444444444444444</x:v>
      </x:c>
      <x:c r="AA2172" s="24" t="n">
        <x:f>IFERROR(F2172/H2172,0)-IFERROR(G2172/I2172,0)</x:f>
        <x:v>-0.19444444444444445</x:v>
      </x:c>
      <x:c r="AB2172" s="28" t="n">
        <x:f>J2172-K2172</x:f>
        <x:v>2</x:v>
      </x:c>
      <x:c r="AC2172" s="32" t="n">
        <x:f>F2172-G2172</x:f>
        <x:v>-3</x:v>
      </x:c>
    </x:row>
    <x:row r="2173">
      <x:c r="A2173" s="4" t="str">
        <x:v>2023-24</x:v>
      </x:c>
      <x:c r="B2173" s="20" t="n">
        <x:v>45402</x:v>
      </x:c>
      <x:c r="C2173" s="4" t="str">
        <x:v>Wolves</x:v>
      </x:c>
      <x:c r="D2173" s="4" t="str">
        <x:v>Arsenal</x:v>
      </x:c>
      <x:c r="E2173" s="4" t="str">
        <x:v>Home</x:v>
      </x:c>
      <x:c r="F2173" s="28" t="n">
        <x:v>0</x:v>
      </x:c>
      <x:c r="G2173" s="28" t="n">
        <x:v>2</x:v>
      </x:c>
      <x:c r="H2173" s="28" t="n">
        <x:v>5</x:v>
      </x:c>
      <x:c r="I2173" s="28" t="n">
        <x:v>24</x:v>
      </x:c>
      <x:c r="J2173" s="28" t="n">
        <x:v>3</x:v>
      </x:c>
      <x:c r="K2173" s="28" t="n">
        <x:v>9</x:v>
      </x:c>
      <x:c r="L2173" s="28" t="n">
        <x:v>1</x:v>
      </x:c>
      <x:c r="M2173" s="28" t="n">
        <x:v>2</x:v>
      </x:c>
      <x:c r="N2173" s="28" t="n">
        <x:v>3</x:v>
      </x:c>
      <x:c r="O2173" s="28" t="n">
        <x:v>0</x:v>
      </x:c>
      <x:c r="P2173" s="28" t="n">
        <x:v>0</x:v>
      </x:c>
      <x:c r="Q2173" s="24" t="n">
        <x:f>IFERROR(J2173/H2173,0)</x:f>
        <x:v>0.6</x:v>
      </x:c>
      <x:c r="R2173" s="24" t="n">
        <x:f>IFERROR(F2173/H2173,0)</x:f>
        <x:v>0</x:v>
      </x:c>
      <x:c r="S2173" s="24" t="n">
        <x:f>IFERROR(F2173/J2173,0)</x:f>
        <x:v>0</x:v>
      </x:c>
      <x:c r="T2173" s="28" t="n">
        <x:f>H2173-I2173</x:f>
        <x:v>-19</x:v>
      </x:c>
      <x:c r="U2173" s="24" t="n">
        <x:f>IFERROR(J2173/H2173,0)-IFERROR(K2173/I2173,0)</x:f>
        <x:v>0.22499999999999998</x:v>
      </x:c>
      <x:c r="V2173" s="24" t="n">
        <x:f>IFERROR(F2173/J2173,0)-IFERROR(G2173/K2173,0)</x:f>
        <x:v>-0.2222222222222222</x:v>
      </x:c>
      <x:c r="W2173" s="28" t="n">
        <x:f>L2173-M2173</x:f>
        <x:v>-1</x:v>
      </x:c>
      <x:c r="X2173" s="24" t="n">
        <x:f>IFERROR(K2173/I2173,0)</x:f>
        <x:v>0.375</x:v>
      </x:c>
      <x:c r="Y2173" s="24" t="n">
        <x:f>IFERROR(G2173/I2173,0)</x:f>
        <x:v>0.08333333333333333</x:v>
      </x:c>
      <x:c r="Z2173" s="24" t="n">
        <x:f>IFERROR(G2173/K2173,0)</x:f>
        <x:v>0.2222222222222222</x:v>
      </x:c>
      <x:c r="AA2173" s="24" t="n">
        <x:f>IFERROR(F2173/H2173,0)-IFERROR(G2173/I2173,0)</x:f>
        <x:v>-0.08333333333333333</x:v>
      </x:c>
      <x:c r="AB2173" s="28" t="n">
        <x:f>J2173-K2173</x:f>
        <x:v>-6</x:v>
      </x:c>
      <x:c r="AC2173" s="32" t="n">
        <x:f>F2173-G2173</x:f>
        <x:v>-2</x:v>
      </x:c>
    </x:row>
    <x:row r="2174">
      <x:c r="A2174" s="4" t="str">
        <x:v>2023-24</x:v>
      </x:c>
      <x:c r="B2174" s="20" t="n">
        <x:v>45403</x:v>
      </x:c>
      <x:c r="C2174" s="4" t="str">
        <x:v>Aston Villa</x:v>
      </x:c>
      <x:c r="D2174" s="4" t="str">
        <x:v>Bournemouth</x:v>
      </x:c>
      <x:c r="E2174" s="4" t="str">
        <x:v>Home</x:v>
      </x:c>
      <x:c r="F2174" s="28" t="n">
        <x:v>3</x:v>
      </x:c>
      <x:c r="G2174" s="28" t="n">
        <x:v>1</x:v>
      </x:c>
      <x:c r="H2174" s="28" t="n">
        <x:v>14</x:v>
      </x:c>
      <x:c r="I2174" s="28" t="n">
        <x:v>14</x:v>
      </x:c>
      <x:c r="J2174" s="28" t="n">
        <x:v>4</x:v>
      </x:c>
      <x:c r="K2174" s="28" t="n">
        <x:v>6</x:v>
      </x:c>
      <x:c r="L2174" s="28" t="n">
        <x:v>8</x:v>
      </x:c>
      <x:c r="M2174" s="28" t="n">
        <x:v>4</x:v>
      </x:c>
      <x:c r="N2174" s="28" t="n">
        <x:v>1</x:v>
      </x:c>
      <x:c r="O2174" s="28" t="n">
        <x:v>0</x:v>
      </x:c>
      <x:c r="P2174" s="28" t="n">
        <x:v>3</x:v>
      </x:c>
      <x:c r="Q2174" s="24" t="n">
        <x:f>IFERROR(J2174/H2174,0)</x:f>
        <x:v>0.2857142857142857</x:v>
      </x:c>
      <x:c r="R2174" s="24" t="n">
        <x:f>IFERROR(F2174/H2174,0)</x:f>
        <x:v>0.21428571428571427</x:v>
      </x:c>
      <x:c r="S2174" s="24" t="n">
        <x:f>IFERROR(F2174/J2174,0)</x:f>
        <x:v>0.75</x:v>
      </x:c>
      <x:c r="T2174" s="28" t="n">
        <x:f>H2174-I2174</x:f>
        <x:v>0</x:v>
      </x:c>
      <x:c r="U2174" s="24" t="n">
        <x:f>IFERROR(J2174/H2174,0)-IFERROR(K2174/I2174,0)</x:f>
        <x:v>-0.14285714285714285</x:v>
      </x:c>
      <x:c r="V2174" s="24" t="n">
        <x:f>IFERROR(F2174/J2174,0)-IFERROR(G2174/K2174,0)</x:f>
        <x:v>0.5833333333333334</x:v>
      </x:c>
      <x:c r="W2174" s="28" t="n">
        <x:f>L2174-M2174</x:f>
        <x:v>4</x:v>
      </x:c>
      <x:c r="X2174" s="24" t="n">
        <x:f>IFERROR(K2174/I2174,0)</x:f>
        <x:v>0.42857142857142855</x:v>
      </x:c>
      <x:c r="Y2174" s="24" t="n">
        <x:f>IFERROR(G2174/I2174,0)</x:f>
        <x:v>0.07142857142857142</x:v>
      </x:c>
      <x:c r="Z2174" s="24" t="n">
        <x:f>IFERROR(G2174/K2174,0)</x:f>
        <x:v>0.16666666666666666</x:v>
      </x:c>
      <x:c r="AA2174" s="24" t="n">
        <x:f>IFERROR(F2174/H2174,0)-IFERROR(G2174/I2174,0)</x:f>
        <x:v>0.14285714285714285</x:v>
      </x:c>
      <x:c r="AB2174" s="28" t="n">
        <x:f>J2174-K2174</x:f>
        <x:v>-2</x:v>
      </x:c>
      <x:c r="AC2174" s="32" t="n">
        <x:f>F2174-G2174</x:f>
        <x:v>2</x:v>
      </x:c>
    </x:row>
    <x:row r="2175">
      <x:c r="A2175" s="4" t="str">
        <x:v>2023-24</x:v>
      </x:c>
      <x:c r="B2175" s="20" t="n">
        <x:v>45403</x:v>
      </x:c>
      <x:c r="C2175" s="4" t="str">
        <x:v>Bournemouth</x:v>
      </x:c>
      <x:c r="D2175" s="4" t="str">
        <x:v>Aston Villa</x:v>
      </x:c>
      <x:c r="E2175" s="4" t="str">
        <x:v>Away</x:v>
      </x:c>
      <x:c r="F2175" s="28" t="n">
        <x:v>1</x:v>
      </x:c>
      <x:c r="G2175" s="28" t="n">
        <x:v>3</x:v>
      </x:c>
      <x:c r="H2175" s="28" t="n">
        <x:v>14</x:v>
      </x:c>
      <x:c r="I2175" s="28" t="n">
        <x:v>14</x:v>
      </x:c>
      <x:c r="J2175" s="28" t="n">
        <x:v>6</x:v>
      </x:c>
      <x:c r="K2175" s="28" t="n">
        <x:v>4</x:v>
      </x:c>
      <x:c r="L2175" s="28" t="n">
        <x:v>4</x:v>
      </x:c>
      <x:c r="M2175" s="28" t="n">
        <x:v>8</x:v>
      </x:c>
      <x:c r="N2175" s="28" t="n">
        <x:v>3</x:v>
      </x:c>
      <x:c r="O2175" s="28" t="n">
        <x:v>0</x:v>
      </x:c>
      <x:c r="P2175" s="28" t="n">
        <x:v>0</x:v>
      </x:c>
      <x:c r="Q2175" s="24" t="n">
        <x:f>IFERROR(J2175/H2175,0)</x:f>
        <x:v>0.42857142857142855</x:v>
      </x:c>
      <x:c r="R2175" s="24" t="n">
        <x:f>IFERROR(F2175/H2175,0)</x:f>
        <x:v>0.07142857142857142</x:v>
      </x:c>
      <x:c r="S2175" s="24" t="n">
        <x:f>IFERROR(F2175/J2175,0)</x:f>
        <x:v>0.16666666666666666</x:v>
      </x:c>
      <x:c r="T2175" s="28" t="n">
        <x:f>H2175-I2175</x:f>
        <x:v>0</x:v>
      </x:c>
      <x:c r="U2175" s="24" t="n">
        <x:f>IFERROR(J2175/H2175,0)-IFERROR(K2175/I2175,0)</x:f>
        <x:v>0.14285714285714285</x:v>
      </x:c>
      <x:c r="V2175" s="24" t="n">
        <x:f>IFERROR(F2175/J2175,0)-IFERROR(G2175/K2175,0)</x:f>
        <x:v>-0.5833333333333334</x:v>
      </x:c>
      <x:c r="W2175" s="28" t="n">
        <x:f>L2175-M2175</x:f>
        <x:v>-4</x:v>
      </x:c>
      <x:c r="X2175" s="24" t="n">
        <x:f>IFERROR(K2175/I2175,0)</x:f>
        <x:v>0.2857142857142857</x:v>
      </x:c>
      <x:c r="Y2175" s="24" t="n">
        <x:f>IFERROR(G2175/I2175,0)</x:f>
        <x:v>0.21428571428571427</x:v>
      </x:c>
      <x:c r="Z2175" s="24" t="n">
        <x:f>IFERROR(G2175/K2175,0)</x:f>
        <x:v>0.75</x:v>
      </x:c>
      <x:c r="AA2175" s="24" t="n">
        <x:f>IFERROR(F2175/H2175,0)-IFERROR(G2175/I2175,0)</x:f>
        <x:v>-0.14285714285714285</x:v>
      </x:c>
      <x:c r="AB2175" s="28" t="n">
        <x:f>J2175-K2175</x:f>
        <x:v>2</x:v>
      </x:c>
      <x:c r="AC2175" s="32" t="n">
        <x:f>F2175-G2175</x:f>
        <x:v>-2</x:v>
      </x:c>
    </x:row>
    <x:row r="2176">
      <x:c r="A2176" s="4" t="str">
        <x:v>2023-24</x:v>
      </x:c>
      <x:c r="B2176" s="20" t="n">
        <x:v>45403</x:v>
      </x:c>
      <x:c r="C2176" s="4" t="str">
        <x:v>Crystal Palace</x:v>
      </x:c>
      <x:c r="D2176" s="4" t="str">
        <x:v>West Ham</x:v>
      </x:c>
      <x:c r="E2176" s="4" t="str">
        <x:v>Home</x:v>
      </x:c>
      <x:c r="F2176" s="28" t="n">
        <x:v>5</x:v>
      </x:c>
      <x:c r="G2176" s="28" t="n">
        <x:v>2</x:v>
      </x:c>
      <x:c r="H2176" s="28" t="n">
        <x:v>18</x:v>
      </x:c>
      <x:c r="I2176" s="28" t="n">
        <x:v>4</x:v>
      </x:c>
      <x:c r="J2176" s="28" t="n">
        <x:v>7</x:v>
      </x:c>
      <x:c r="K2176" s="28" t="n">
        <x:v>1</x:v>
      </x:c>
      <x:c r="L2176" s="28" t="n">
        <x:v>4</x:v>
      </x:c>
      <x:c r="M2176" s="28" t="n">
        <x:v>0</x:v>
      </x:c>
      <x:c r="N2176" s="28" t="n">
        <x:v>3</x:v>
      </x:c>
      <x:c r="O2176" s="28" t="n">
        <x:v>0</x:v>
      </x:c>
      <x:c r="P2176" s="28" t="n">
        <x:v>3</x:v>
      </x:c>
      <x:c r="Q2176" s="24" t="n">
        <x:f>IFERROR(J2176/H2176,0)</x:f>
        <x:v>0.3888888888888889</x:v>
      </x:c>
      <x:c r="R2176" s="24" t="n">
        <x:f>IFERROR(F2176/H2176,0)</x:f>
        <x:v>0.2777777777777778</x:v>
      </x:c>
      <x:c r="S2176" s="24" t="n">
        <x:f>IFERROR(F2176/J2176,0)</x:f>
        <x:v>0.7142857142857143</x:v>
      </x:c>
      <x:c r="T2176" s="28" t="n">
        <x:f>H2176-I2176</x:f>
        <x:v>14</x:v>
      </x:c>
      <x:c r="U2176" s="24" t="n">
        <x:f>IFERROR(J2176/H2176,0)-IFERROR(K2176/I2176,0)</x:f>
        <x:v>0.1388888888888889</x:v>
      </x:c>
      <x:c r="V2176" s="24" t="n">
        <x:f>IFERROR(F2176/J2176,0)-IFERROR(G2176/K2176,0)</x:f>
        <x:v>-1.2857142857142856</x:v>
      </x:c>
      <x:c r="W2176" s="28" t="n">
        <x:f>L2176-M2176</x:f>
        <x:v>4</x:v>
      </x:c>
      <x:c r="X2176" s="24" t="n">
        <x:f>IFERROR(K2176/I2176,0)</x:f>
        <x:v>0.25</x:v>
      </x:c>
      <x:c r="Y2176" s="24" t="n">
        <x:f>IFERROR(G2176/I2176,0)</x:f>
        <x:v>0.5</x:v>
      </x:c>
      <x:c r="Z2176" s="24" t="n">
        <x:f>IFERROR(G2176/K2176,0)</x:f>
        <x:v>2</x:v>
      </x:c>
      <x:c r="AA2176" s="24" t="n">
        <x:f>IFERROR(F2176/H2176,0)-IFERROR(G2176/I2176,0)</x:f>
        <x:v>-0.2222222222222222</x:v>
      </x:c>
      <x:c r="AB2176" s="28" t="n">
        <x:f>J2176-K2176</x:f>
        <x:v>6</x:v>
      </x:c>
      <x:c r="AC2176" s="32" t="n">
        <x:f>F2176-G2176</x:f>
        <x:v>3</x:v>
      </x:c>
    </x:row>
    <x:row r="2177">
      <x:c r="A2177" s="4" t="str">
        <x:v>2023-24</x:v>
      </x:c>
      <x:c r="B2177" s="20" t="n">
        <x:v>45403</x:v>
      </x:c>
      <x:c r="C2177" s="4" t="str">
        <x:v>Everton</x:v>
      </x:c>
      <x:c r="D2177" s="4" t="str">
        <x:v>Nott'm Forest</x:v>
      </x:c>
      <x:c r="E2177" s="4" t="str">
        <x:v>Home</x:v>
      </x:c>
      <x:c r="F2177" s="28" t="n">
        <x:v>2</x:v>
      </x:c>
      <x:c r="G2177" s="28" t="n">
        <x:v>0</x:v>
      </x:c>
      <x:c r="H2177" s="28" t="n">
        <x:v>7</x:v>
      </x:c>
      <x:c r="I2177" s="28" t="n">
        <x:v>8</x:v>
      </x:c>
      <x:c r="J2177" s="28" t="n">
        <x:v>4</x:v>
      </x:c>
      <x:c r="K2177" s="28" t="n">
        <x:v>3</x:v>
      </x:c>
      <x:c r="L2177" s="28" t="n">
        <x:v>6</x:v>
      </x:c>
      <x:c r="M2177" s="28" t="n">
        <x:v>4</x:v>
      </x:c>
      <x:c r="N2177" s="28" t="n">
        <x:v>3</x:v>
      </x:c>
      <x:c r="O2177" s="28" t="n">
        <x:v>0</x:v>
      </x:c>
      <x:c r="P2177" s="28" t="n">
        <x:v>3</x:v>
      </x:c>
      <x:c r="Q2177" s="24" t="n">
        <x:f>IFERROR(J2177/H2177,0)</x:f>
        <x:v>0.5714285714285714</x:v>
      </x:c>
      <x:c r="R2177" s="24" t="n">
        <x:f>IFERROR(F2177/H2177,0)</x:f>
        <x:v>0.2857142857142857</x:v>
      </x:c>
      <x:c r="S2177" s="24" t="n">
        <x:f>IFERROR(F2177/J2177,0)</x:f>
        <x:v>0.5</x:v>
      </x:c>
      <x:c r="T2177" s="28" t="n">
        <x:f>H2177-I2177</x:f>
        <x:v>-1</x:v>
      </x:c>
      <x:c r="U2177" s="24" t="n">
        <x:f>IFERROR(J2177/H2177,0)-IFERROR(K2177/I2177,0)</x:f>
        <x:v>0.1964285714285714</x:v>
      </x:c>
      <x:c r="V2177" s="24" t="n">
        <x:f>IFERROR(F2177/J2177,0)-IFERROR(G2177/K2177,0)</x:f>
        <x:v>0.5</x:v>
      </x:c>
      <x:c r="W2177" s="28" t="n">
        <x:f>L2177-M2177</x:f>
        <x:v>2</x:v>
      </x:c>
      <x:c r="X2177" s="24" t="n">
        <x:f>IFERROR(K2177/I2177,0)</x:f>
        <x:v>0.375</x:v>
      </x:c>
      <x:c r="Y2177" s="24" t="n">
        <x:f>IFERROR(G2177/I2177,0)</x:f>
        <x:v>0</x:v>
      </x:c>
      <x:c r="Z2177" s="24" t="n">
        <x:f>IFERROR(G2177/K2177,0)</x:f>
        <x:v>0</x:v>
      </x:c>
      <x:c r="AA2177" s="24" t="n">
        <x:f>IFERROR(F2177/H2177,0)-IFERROR(G2177/I2177,0)</x:f>
        <x:v>0.2857142857142857</x:v>
      </x:c>
      <x:c r="AB2177" s="28" t="n">
        <x:f>J2177-K2177</x:f>
        <x:v>1</x:v>
      </x:c>
      <x:c r="AC2177" s="32" t="n">
        <x:f>F2177-G2177</x:f>
        <x:v>2</x:v>
      </x:c>
    </x:row>
    <x:row r="2178">
      <x:c r="A2178" s="4" t="str">
        <x:v>2023-24</x:v>
      </x:c>
      <x:c r="B2178" s="20" t="n">
        <x:v>45403</x:v>
      </x:c>
      <x:c r="C2178" s="4" t="str">
        <x:v>Fulham</x:v>
      </x:c>
      <x:c r="D2178" s="4" t="str">
        <x:v>Liverpool</x:v>
      </x:c>
      <x:c r="E2178" s="4" t="str">
        <x:v>Home</x:v>
      </x:c>
      <x:c r="F2178" s="28" t="n">
        <x:v>1</x:v>
      </x:c>
      <x:c r="G2178" s="28" t="n">
        <x:v>3</x:v>
      </x:c>
      <x:c r="H2178" s="28" t="n">
        <x:v>12</x:v>
      </x:c>
      <x:c r="I2178" s="28" t="n">
        <x:v>14</x:v>
      </x:c>
      <x:c r="J2178" s="28" t="n">
        <x:v>5</x:v>
      </x:c>
      <x:c r="K2178" s="28" t="n">
        <x:v>7</x:v>
      </x:c>
      <x:c r="L2178" s="28" t="n">
        <x:v>1</x:v>
      </x:c>
      <x:c r="M2178" s="28" t="n">
        <x:v>4</x:v>
      </x:c>
      <x:c r="N2178" s="28" t="n">
        <x:v>3</x:v>
      </x:c>
      <x:c r="O2178" s="28" t="n">
        <x:v>0</x:v>
      </x:c>
      <x:c r="P2178" s="28" t="n">
        <x:v>0</x:v>
      </x:c>
      <x:c r="Q2178" s="24" t="n">
        <x:f>IFERROR(J2178/H2178,0)</x:f>
        <x:v>0.4166666666666667</x:v>
      </x:c>
      <x:c r="R2178" s="24" t="n">
        <x:f>IFERROR(F2178/H2178,0)</x:f>
        <x:v>0.08333333333333333</x:v>
      </x:c>
      <x:c r="S2178" s="24" t="n">
        <x:f>IFERROR(F2178/J2178,0)</x:f>
        <x:v>0.2</x:v>
      </x:c>
      <x:c r="T2178" s="28" t="n">
        <x:f>H2178-I2178</x:f>
        <x:v>-2</x:v>
      </x:c>
      <x:c r="U2178" s="24" t="n">
        <x:f>IFERROR(J2178/H2178,0)-IFERROR(K2178/I2178,0)</x:f>
        <x:v>-0.08333333333333331</x:v>
      </x:c>
      <x:c r="V2178" s="24" t="n">
        <x:f>IFERROR(F2178/J2178,0)-IFERROR(G2178/K2178,0)</x:f>
        <x:v>-0.22857142857142854</x:v>
      </x:c>
      <x:c r="W2178" s="28" t="n">
        <x:f>L2178-M2178</x:f>
        <x:v>-3</x:v>
      </x:c>
      <x:c r="X2178" s="24" t="n">
        <x:f>IFERROR(K2178/I2178,0)</x:f>
        <x:v>0.5</x:v>
      </x:c>
      <x:c r="Y2178" s="24" t="n">
        <x:f>IFERROR(G2178/I2178,0)</x:f>
        <x:v>0.21428571428571427</x:v>
      </x:c>
      <x:c r="Z2178" s="24" t="n">
        <x:f>IFERROR(G2178/K2178,0)</x:f>
        <x:v>0.42857142857142855</x:v>
      </x:c>
      <x:c r="AA2178" s="24" t="n">
        <x:f>IFERROR(F2178/H2178,0)-IFERROR(G2178/I2178,0)</x:f>
        <x:v>-0.13095238095238093</x:v>
      </x:c>
      <x:c r="AB2178" s="28" t="n">
        <x:f>J2178-K2178</x:f>
        <x:v>-2</x:v>
      </x:c>
      <x:c r="AC2178" s="32" t="n">
        <x:f>F2178-G2178</x:f>
        <x:v>-2</x:v>
      </x:c>
    </x:row>
    <x:row r="2179">
      <x:c r="A2179" s="4" t="str">
        <x:v>2023-24</x:v>
      </x:c>
      <x:c r="B2179" s="20" t="n">
        <x:v>45403</x:v>
      </x:c>
      <x:c r="C2179" s="4" t="str">
        <x:v>Liverpool</x:v>
      </x:c>
      <x:c r="D2179" s="4" t="str">
        <x:v>Fulham</x:v>
      </x:c>
      <x:c r="E2179" s="4" t="str">
        <x:v>Away</x:v>
      </x:c>
      <x:c r="F2179" s="28" t="n">
        <x:v>3</x:v>
      </x:c>
      <x:c r="G2179" s="28" t="n">
        <x:v>1</x:v>
      </x:c>
      <x:c r="H2179" s="28" t="n">
        <x:v>14</x:v>
      </x:c>
      <x:c r="I2179" s="28" t="n">
        <x:v>12</x:v>
      </x:c>
      <x:c r="J2179" s="28" t="n">
        <x:v>7</x:v>
      </x:c>
      <x:c r="K2179" s="28" t="n">
        <x:v>5</x:v>
      </x:c>
      <x:c r="L2179" s="28" t="n">
        <x:v>4</x:v>
      </x:c>
      <x:c r="M2179" s="28" t="n">
        <x:v>1</x:v>
      </x:c>
      <x:c r="N2179" s="28" t="n">
        <x:v>0</x:v>
      </x:c>
      <x:c r="O2179" s="28" t="n">
        <x:v>0</x:v>
      </x:c>
      <x:c r="P2179" s="28" t="n">
        <x:v>3</x:v>
      </x:c>
      <x:c r="Q2179" s="24" t="n">
        <x:f>IFERROR(J2179/H2179,0)</x:f>
        <x:v>0.5</x:v>
      </x:c>
      <x:c r="R2179" s="24" t="n">
        <x:f>IFERROR(F2179/H2179,0)</x:f>
        <x:v>0.21428571428571427</x:v>
      </x:c>
      <x:c r="S2179" s="24" t="n">
        <x:f>IFERROR(F2179/J2179,0)</x:f>
        <x:v>0.42857142857142855</x:v>
      </x:c>
      <x:c r="T2179" s="28" t="n">
        <x:f>H2179-I2179</x:f>
        <x:v>2</x:v>
      </x:c>
      <x:c r="U2179" s="24" t="n">
        <x:f>IFERROR(J2179/H2179,0)-IFERROR(K2179/I2179,0)</x:f>
        <x:v>0.08333333333333331</x:v>
      </x:c>
      <x:c r="V2179" s="24" t="n">
        <x:f>IFERROR(F2179/J2179,0)-IFERROR(G2179/K2179,0)</x:f>
        <x:v>0.22857142857142854</x:v>
      </x:c>
      <x:c r="W2179" s="28" t="n">
        <x:f>L2179-M2179</x:f>
        <x:v>3</x:v>
      </x:c>
      <x:c r="X2179" s="24" t="n">
        <x:f>IFERROR(K2179/I2179,0)</x:f>
        <x:v>0.4166666666666667</x:v>
      </x:c>
      <x:c r="Y2179" s="24" t="n">
        <x:f>IFERROR(G2179/I2179,0)</x:f>
        <x:v>0.08333333333333333</x:v>
      </x:c>
      <x:c r="Z2179" s="24" t="n">
        <x:f>IFERROR(G2179/K2179,0)</x:f>
        <x:v>0.2</x:v>
      </x:c>
      <x:c r="AA2179" s="24" t="n">
        <x:f>IFERROR(F2179/H2179,0)-IFERROR(G2179/I2179,0)</x:f>
        <x:v>0.13095238095238093</x:v>
      </x:c>
      <x:c r="AB2179" s="28" t="n">
        <x:f>J2179-K2179</x:f>
        <x:v>2</x:v>
      </x:c>
      <x:c r="AC2179" s="32" t="n">
        <x:f>F2179-G2179</x:f>
        <x:v>2</x:v>
      </x:c>
    </x:row>
    <x:row r="2180">
      <x:c r="A2180" s="4" t="str">
        <x:v>2023-24</x:v>
      </x:c>
      <x:c r="B2180" s="20" t="n">
        <x:v>45403</x:v>
      </x:c>
      <x:c r="C2180" s="4" t="str">
        <x:v>Nott'm Forest</x:v>
      </x:c>
      <x:c r="D2180" s="4" t="str">
        <x:v>Everton</x:v>
      </x:c>
      <x:c r="E2180" s="4" t="str">
        <x:v>Away</x:v>
      </x:c>
      <x:c r="F2180" s="28" t="n">
        <x:v>0</x:v>
      </x:c>
      <x:c r="G2180" s="28" t="n">
        <x:v>2</x:v>
      </x:c>
      <x:c r="H2180" s="28" t="n">
        <x:v>8</x:v>
      </x:c>
      <x:c r="I2180" s="28" t="n">
        <x:v>7</x:v>
      </x:c>
      <x:c r="J2180" s="28" t="n">
        <x:v>3</x:v>
      </x:c>
      <x:c r="K2180" s="28" t="n">
        <x:v>4</x:v>
      </x:c>
      <x:c r="L2180" s="28" t="n">
        <x:v>4</x:v>
      </x:c>
      <x:c r="M2180" s="28" t="n">
        <x:v>6</x:v>
      </x:c>
      <x:c r="N2180" s="28" t="n">
        <x:v>2</x:v>
      </x:c>
      <x:c r="O2180" s="28" t="n">
        <x:v>0</x:v>
      </x:c>
      <x:c r="P2180" s="28" t="n">
        <x:v>0</x:v>
      </x:c>
      <x:c r="Q2180" s="24" t="n">
        <x:f>IFERROR(J2180/H2180,0)</x:f>
        <x:v>0.375</x:v>
      </x:c>
      <x:c r="R2180" s="24" t="n">
        <x:f>IFERROR(F2180/H2180,0)</x:f>
        <x:v>0</x:v>
      </x:c>
      <x:c r="S2180" s="24" t="n">
        <x:f>IFERROR(F2180/J2180,0)</x:f>
        <x:v>0</x:v>
      </x:c>
      <x:c r="T2180" s="28" t="n">
        <x:f>H2180-I2180</x:f>
        <x:v>1</x:v>
      </x:c>
      <x:c r="U2180" s="24" t="n">
        <x:f>IFERROR(J2180/H2180,0)-IFERROR(K2180/I2180,0)</x:f>
        <x:v>-0.1964285714285714</x:v>
      </x:c>
      <x:c r="V2180" s="24" t="n">
        <x:f>IFERROR(F2180/J2180,0)-IFERROR(G2180/K2180,0)</x:f>
        <x:v>-0.5</x:v>
      </x:c>
      <x:c r="W2180" s="28" t="n">
        <x:f>L2180-M2180</x:f>
        <x:v>-2</x:v>
      </x:c>
      <x:c r="X2180" s="24" t="n">
        <x:f>IFERROR(K2180/I2180,0)</x:f>
        <x:v>0.5714285714285714</x:v>
      </x:c>
      <x:c r="Y2180" s="24" t="n">
        <x:f>IFERROR(G2180/I2180,0)</x:f>
        <x:v>0.2857142857142857</x:v>
      </x:c>
      <x:c r="Z2180" s="24" t="n">
        <x:f>IFERROR(G2180/K2180,0)</x:f>
        <x:v>0.5</x:v>
      </x:c>
      <x:c r="AA2180" s="24" t="n">
        <x:f>IFERROR(F2180/H2180,0)-IFERROR(G2180/I2180,0)</x:f>
        <x:v>-0.2857142857142857</x:v>
      </x:c>
      <x:c r="AB2180" s="28" t="n">
        <x:f>J2180-K2180</x:f>
        <x:v>-1</x:v>
      </x:c>
      <x:c r="AC2180" s="32" t="n">
        <x:f>F2180-G2180</x:f>
        <x:v>-2</x:v>
      </x:c>
    </x:row>
    <x:row r="2181">
      <x:c r="A2181" s="4" t="str">
        <x:v>2023-24</x:v>
      </x:c>
      <x:c r="B2181" s="20" t="n">
        <x:v>45403</x:v>
      </x:c>
      <x:c r="C2181" s="4" t="str">
        <x:v>West Ham</x:v>
      </x:c>
      <x:c r="D2181" s="4" t="str">
        <x:v>Crystal Palace</x:v>
      </x:c>
      <x:c r="E2181" s="4" t="str">
        <x:v>Away</x:v>
      </x:c>
      <x:c r="F2181" s="28" t="n">
        <x:v>2</x:v>
      </x:c>
      <x:c r="G2181" s="28" t="n">
        <x:v>5</x:v>
      </x:c>
      <x:c r="H2181" s="28" t="n">
        <x:v>4</x:v>
      </x:c>
      <x:c r="I2181" s="28" t="n">
        <x:v>18</x:v>
      </x:c>
      <x:c r="J2181" s="28" t="n">
        <x:v>1</x:v>
      </x:c>
      <x:c r="K2181" s="28" t="n">
        <x:v>7</x:v>
      </x:c>
      <x:c r="L2181" s="28" t="n">
        <x:v>0</x:v>
      </x:c>
      <x:c r="M2181" s="28" t="n">
        <x:v>4</x:v>
      </x:c>
      <x:c r="N2181" s="28" t="n">
        <x:v>2</x:v>
      </x:c>
      <x:c r="O2181" s="28" t="n">
        <x:v>0</x:v>
      </x:c>
      <x:c r="P2181" s="28" t="n">
        <x:v>0</x:v>
      </x:c>
      <x:c r="Q2181" s="24" t="n">
        <x:f>IFERROR(J2181/H2181,0)</x:f>
        <x:v>0.25</x:v>
      </x:c>
      <x:c r="R2181" s="24" t="n">
        <x:f>IFERROR(F2181/H2181,0)</x:f>
        <x:v>0.5</x:v>
      </x:c>
      <x:c r="S2181" s="24" t="n">
        <x:f>IFERROR(F2181/J2181,0)</x:f>
        <x:v>2</x:v>
      </x:c>
      <x:c r="T2181" s="28" t="n">
        <x:f>H2181-I2181</x:f>
        <x:v>-14</x:v>
      </x:c>
      <x:c r="U2181" s="24" t="n">
        <x:f>IFERROR(J2181/H2181,0)-IFERROR(K2181/I2181,0)</x:f>
        <x:v>-0.1388888888888889</x:v>
      </x:c>
      <x:c r="V2181" s="24" t="n">
        <x:f>IFERROR(F2181/J2181,0)-IFERROR(G2181/K2181,0)</x:f>
        <x:v>1.2857142857142856</x:v>
      </x:c>
      <x:c r="W2181" s="28" t="n">
        <x:f>L2181-M2181</x:f>
        <x:v>-4</x:v>
      </x:c>
      <x:c r="X2181" s="24" t="n">
        <x:f>IFERROR(K2181/I2181,0)</x:f>
        <x:v>0.3888888888888889</x:v>
      </x:c>
      <x:c r="Y2181" s="24" t="n">
        <x:f>IFERROR(G2181/I2181,0)</x:f>
        <x:v>0.2777777777777778</x:v>
      </x:c>
      <x:c r="Z2181" s="24" t="n">
        <x:f>IFERROR(G2181/K2181,0)</x:f>
        <x:v>0.7142857142857143</x:v>
      </x:c>
      <x:c r="AA2181" s="24" t="n">
        <x:f>IFERROR(F2181/H2181,0)-IFERROR(G2181/I2181,0)</x:f>
        <x:v>0.2222222222222222</x:v>
      </x:c>
      <x:c r="AB2181" s="28" t="n">
        <x:f>J2181-K2181</x:f>
        <x:v>-6</x:v>
      </x:c>
      <x:c r="AC2181" s="32" t="n">
        <x:f>F2181-G2181</x:f>
        <x:v>-3</x:v>
      </x:c>
    </x:row>
    <x:row r="2182">
      <x:c r="A2182" s="4" t="str">
        <x:v>2023-24</x:v>
      </x:c>
      <x:c r="B2182" s="20" t="n">
        <x:v>45405</x:v>
      </x:c>
      <x:c r="C2182" s="4" t="str">
        <x:v>Arsenal</x:v>
      </x:c>
      <x:c r="D2182" s="4" t="str">
        <x:v>Chelsea</x:v>
      </x:c>
      <x:c r="E2182" s="4" t="str">
        <x:v>Home</x:v>
      </x:c>
      <x:c r="F2182" s="28" t="n">
        <x:v>5</x:v>
      </x:c>
      <x:c r="G2182" s="28" t="n">
        <x:v>0</x:v>
      </x:c>
      <x:c r="H2182" s="28" t="n">
        <x:v>27</x:v>
      </x:c>
      <x:c r="I2182" s="28" t="n">
        <x:v>7</x:v>
      </x:c>
      <x:c r="J2182" s="28" t="n">
        <x:v>10</x:v>
      </x:c>
      <x:c r="K2182" s="28" t="n">
        <x:v>1</x:v>
      </x:c>
      <x:c r="L2182" s="28" t="n">
        <x:v>4</x:v>
      </x:c>
      <x:c r="M2182" s="28" t="n">
        <x:v>2</x:v>
      </x:c>
      <x:c r="N2182" s="28" t="n">
        <x:v>2</x:v>
      </x:c>
      <x:c r="O2182" s="28" t="n">
        <x:v>0</x:v>
      </x:c>
      <x:c r="P2182" s="28" t="n">
        <x:v>3</x:v>
      </x:c>
      <x:c r="Q2182" s="24" t="n">
        <x:f>IFERROR(J2182/H2182,0)</x:f>
        <x:v>0.37037037037037035</x:v>
      </x:c>
      <x:c r="R2182" s="24" t="n">
        <x:f>IFERROR(F2182/H2182,0)</x:f>
        <x:v>0.18518518518518517</x:v>
      </x:c>
      <x:c r="S2182" s="24" t="n">
        <x:f>IFERROR(F2182/J2182,0)</x:f>
        <x:v>0.5</x:v>
      </x:c>
      <x:c r="T2182" s="28" t="n">
        <x:f>H2182-I2182</x:f>
        <x:v>20</x:v>
      </x:c>
      <x:c r="U2182" s="24" t="n">
        <x:f>IFERROR(J2182/H2182,0)-IFERROR(K2182/I2182,0)</x:f>
        <x:v>0.2275132275132275</x:v>
      </x:c>
      <x:c r="V2182" s="24" t="n">
        <x:f>IFERROR(F2182/J2182,0)-IFERROR(G2182/K2182,0)</x:f>
        <x:v>0.5</x:v>
      </x:c>
      <x:c r="W2182" s="28" t="n">
        <x:f>L2182-M2182</x:f>
        <x:v>2</x:v>
      </x:c>
      <x:c r="X2182" s="24" t="n">
        <x:f>IFERROR(K2182/I2182,0)</x:f>
        <x:v>0.14285714285714285</x:v>
      </x:c>
      <x:c r="Y2182" s="24" t="n">
        <x:f>IFERROR(G2182/I2182,0)</x:f>
        <x:v>0</x:v>
      </x:c>
      <x:c r="Z2182" s="24" t="n">
        <x:f>IFERROR(G2182/K2182,0)</x:f>
        <x:v>0</x:v>
      </x:c>
      <x:c r="AA2182" s="24" t="n">
        <x:f>IFERROR(F2182/H2182,0)-IFERROR(G2182/I2182,0)</x:f>
        <x:v>0.18518518518518517</x:v>
      </x:c>
      <x:c r="AB2182" s="28" t="n">
        <x:f>J2182-K2182</x:f>
        <x:v>9</x:v>
      </x:c>
      <x:c r="AC2182" s="32" t="n">
        <x:f>F2182-G2182</x:f>
        <x:v>5</x:v>
      </x:c>
    </x:row>
    <x:row r="2183">
      <x:c r="A2183" s="4" t="str">
        <x:v>2023-24</x:v>
      </x:c>
      <x:c r="B2183" s="20" t="n">
        <x:v>45405</x:v>
      </x:c>
      <x:c r="C2183" s="4" t="str">
        <x:v>Chelsea</x:v>
      </x:c>
      <x:c r="D2183" s="4" t="str">
        <x:v>Arsenal</x:v>
      </x:c>
      <x:c r="E2183" s="4" t="str">
        <x:v>Away</x:v>
      </x:c>
      <x:c r="F2183" s="28" t="n">
        <x:v>0</x:v>
      </x:c>
      <x:c r="G2183" s="28" t="n">
        <x:v>5</x:v>
      </x:c>
      <x:c r="H2183" s="28" t="n">
        <x:v>7</x:v>
      </x:c>
      <x:c r="I2183" s="28" t="n">
        <x:v>27</x:v>
      </x:c>
      <x:c r="J2183" s="28" t="n">
        <x:v>1</x:v>
      </x:c>
      <x:c r="K2183" s="28" t="n">
        <x:v>10</x:v>
      </x:c>
      <x:c r="L2183" s="28" t="n">
        <x:v>2</x:v>
      </x:c>
      <x:c r="M2183" s="28" t="n">
        <x:v>4</x:v>
      </x:c>
      <x:c r="N2183" s="28" t="n">
        <x:v>2</x:v>
      </x:c>
      <x:c r="O2183" s="28" t="n">
        <x:v>0</x:v>
      </x:c>
      <x:c r="P2183" s="28" t="n">
        <x:v>0</x:v>
      </x:c>
      <x:c r="Q2183" s="24" t="n">
        <x:f>IFERROR(J2183/H2183,0)</x:f>
        <x:v>0.14285714285714285</x:v>
      </x:c>
      <x:c r="R2183" s="24" t="n">
        <x:f>IFERROR(F2183/H2183,0)</x:f>
        <x:v>0</x:v>
      </x:c>
      <x:c r="S2183" s="24" t="n">
        <x:f>IFERROR(F2183/J2183,0)</x:f>
        <x:v>0</x:v>
      </x:c>
      <x:c r="T2183" s="28" t="n">
        <x:f>H2183-I2183</x:f>
        <x:v>-20</x:v>
      </x:c>
      <x:c r="U2183" s="24" t="n">
        <x:f>IFERROR(J2183/H2183,0)-IFERROR(K2183/I2183,0)</x:f>
        <x:v>-0.2275132275132275</x:v>
      </x:c>
      <x:c r="V2183" s="24" t="n">
        <x:f>IFERROR(F2183/J2183,0)-IFERROR(G2183/K2183,0)</x:f>
        <x:v>-0.5</x:v>
      </x:c>
      <x:c r="W2183" s="28" t="n">
        <x:f>L2183-M2183</x:f>
        <x:v>-2</x:v>
      </x:c>
      <x:c r="X2183" s="24" t="n">
        <x:f>IFERROR(K2183/I2183,0)</x:f>
        <x:v>0.37037037037037035</x:v>
      </x:c>
      <x:c r="Y2183" s="24" t="n">
        <x:f>IFERROR(G2183/I2183,0)</x:f>
        <x:v>0.18518518518518517</x:v>
      </x:c>
      <x:c r="Z2183" s="24" t="n">
        <x:f>IFERROR(G2183/K2183,0)</x:f>
        <x:v>0.5</x:v>
      </x:c>
      <x:c r="AA2183" s="24" t="n">
        <x:f>IFERROR(F2183/H2183,0)-IFERROR(G2183/I2183,0)</x:f>
        <x:v>-0.18518518518518517</x:v>
      </x:c>
      <x:c r="AB2183" s="28" t="n">
        <x:f>J2183-K2183</x:f>
        <x:v>-9</x:v>
      </x:c>
      <x:c r="AC2183" s="32" t="n">
        <x:f>F2183-G2183</x:f>
        <x:v>-5</x:v>
      </x:c>
    </x:row>
    <x:row r="2184">
      <x:c r="A2184" s="4" t="str">
        <x:v>2023-24</x:v>
      </x:c>
      <x:c r="B2184" s="20" t="n">
        <x:v>45406</x:v>
      </x:c>
      <x:c r="C2184" s="4" t="str">
        <x:v>Bournemouth</x:v>
      </x:c>
      <x:c r="D2184" s="4" t="str">
        <x:v>Wolves</x:v>
      </x:c>
      <x:c r="E2184" s="4" t="str">
        <x:v>Away</x:v>
      </x:c>
      <x:c r="F2184" s="28" t="n">
        <x:v>1</x:v>
      </x:c>
      <x:c r="G2184" s="28" t="n">
        <x:v>0</x:v>
      </x:c>
      <x:c r="H2184" s="28" t="n">
        <x:v>21</x:v>
      </x:c>
      <x:c r="I2184" s="28" t="n">
        <x:v>15</x:v>
      </x:c>
      <x:c r="J2184" s="28" t="n">
        <x:v>6</x:v>
      </x:c>
      <x:c r="K2184" s="28" t="n">
        <x:v>4</x:v>
      </x:c>
      <x:c r="L2184" s="28" t="n">
        <x:v>12</x:v>
      </x:c>
      <x:c r="M2184" s="28" t="n">
        <x:v>8</x:v>
      </x:c>
      <x:c r="N2184" s="28" t="n">
        <x:v>1</x:v>
      </x:c>
      <x:c r="O2184" s="28" t="n">
        <x:v>1</x:v>
      </x:c>
      <x:c r="P2184" s="28" t="n">
        <x:v>3</x:v>
      </x:c>
      <x:c r="Q2184" s="24" t="n">
        <x:f>IFERROR(J2184/H2184,0)</x:f>
        <x:v>0.2857142857142857</x:v>
      </x:c>
      <x:c r="R2184" s="24" t="n">
        <x:f>IFERROR(F2184/H2184,0)</x:f>
        <x:v>0.047619047619047616</x:v>
      </x:c>
      <x:c r="S2184" s="24" t="n">
        <x:f>IFERROR(F2184/J2184,0)</x:f>
        <x:v>0.16666666666666666</x:v>
      </x:c>
      <x:c r="T2184" s="28" t="n">
        <x:f>H2184-I2184</x:f>
        <x:v>6</x:v>
      </x:c>
      <x:c r="U2184" s="24" t="n">
        <x:f>IFERROR(J2184/H2184,0)-IFERROR(K2184/I2184,0)</x:f>
        <x:v>0.019047619047619035</x:v>
      </x:c>
      <x:c r="V2184" s="24" t="n">
        <x:f>IFERROR(F2184/J2184,0)-IFERROR(G2184/K2184,0)</x:f>
        <x:v>0.16666666666666666</x:v>
      </x:c>
      <x:c r="W2184" s="28" t="n">
        <x:f>L2184-M2184</x:f>
        <x:v>4</x:v>
      </x:c>
      <x:c r="X2184" s="24" t="n">
        <x:f>IFERROR(K2184/I2184,0)</x:f>
        <x:v>0.26666666666666666</x:v>
      </x:c>
      <x:c r="Y2184" s="24" t="n">
        <x:f>IFERROR(G2184/I2184,0)</x:f>
        <x:v>0</x:v>
      </x:c>
      <x:c r="Z2184" s="24" t="n">
        <x:f>IFERROR(G2184/K2184,0)</x:f>
        <x:v>0</x:v>
      </x:c>
      <x:c r="AA2184" s="24" t="n">
        <x:f>IFERROR(F2184/H2184,0)-IFERROR(G2184/I2184,0)</x:f>
        <x:v>0.047619047619047616</x:v>
      </x:c>
      <x:c r="AB2184" s="28" t="n">
        <x:f>J2184-K2184</x:f>
        <x:v>2</x:v>
      </x:c>
      <x:c r="AC2184" s="32" t="n">
        <x:f>F2184-G2184</x:f>
        <x:v>1</x:v>
      </x:c>
    </x:row>
    <x:row r="2185">
      <x:c r="A2185" s="4" t="str">
        <x:v>2023-24</x:v>
      </x:c>
      <x:c r="B2185" s="20" t="n">
        <x:v>45406</x:v>
      </x:c>
      <x:c r="C2185" s="4" t="str">
        <x:v>Crystal Palace</x:v>
      </x:c>
      <x:c r="D2185" s="4" t="str">
        <x:v>Newcastle</x:v>
      </x:c>
      <x:c r="E2185" s="4" t="str">
        <x:v>Home</x:v>
      </x:c>
      <x:c r="F2185" s="28" t="n">
        <x:v>2</x:v>
      </x:c>
      <x:c r="G2185" s="28" t="n">
        <x:v>0</x:v>
      </x:c>
      <x:c r="H2185" s="28" t="n">
        <x:v>20</x:v>
      </x:c>
      <x:c r="I2185" s="28" t="n">
        <x:v>7</x:v>
      </x:c>
      <x:c r="J2185" s="28" t="n">
        <x:v>7</x:v>
      </x:c>
      <x:c r="K2185" s="28" t="n">
        <x:v>2</x:v>
      </x:c>
      <x:c r="L2185" s="28" t="n">
        <x:v>7</x:v>
      </x:c>
      <x:c r="M2185" s="28" t="n">
        <x:v>2</x:v>
      </x:c>
      <x:c r="N2185" s="28" t="n">
        <x:v>3</x:v>
      </x:c>
      <x:c r="O2185" s="28" t="n">
        <x:v>0</x:v>
      </x:c>
      <x:c r="P2185" s="28" t="n">
        <x:v>3</x:v>
      </x:c>
      <x:c r="Q2185" s="24" t="n">
        <x:f>IFERROR(J2185/H2185,0)</x:f>
        <x:v>0.35</x:v>
      </x:c>
      <x:c r="R2185" s="24" t="n">
        <x:f>IFERROR(F2185/H2185,0)</x:f>
        <x:v>0.1</x:v>
      </x:c>
      <x:c r="S2185" s="24" t="n">
        <x:f>IFERROR(F2185/J2185,0)</x:f>
        <x:v>0.2857142857142857</x:v>
      </x:c>
      <x:c r="T2185" s="28" t="n">
        <x:f>H2185-I2185</x:f>
        <x:v>13</x:v>
      </x:c>
      <x:c r="U2185" s="24" t="n">
        <x:f>IFERROR(J2185/H2185,0)-IFERROR(K2185/I2185,0)</x:f>
        <x:v>0.06428571428571428</x:v>
      </x:c>
      <x:c r="V2185" s="24" t="n">
        <x:f>IFERROR(F2185/J2185,0)-IFERROR(G2185/K2185,0)</x:f>
        <x:v>0.2857142857142857</x:v>
      </x:c>
      <x:c r="W2185" s="28" t="n">
        <x:f>L2185-M2185</x:f>
        <x:v>5</x:v>
      </x:c>
      <x:c r="X2185" s="24" t="n">
        <x:f>IFERROR(K2185/I2185,0)</x:f>
        <x:v>0.2857142857142857</x:v>
      </x:c>
      <x:c r="Y2185" s="24" t="n">
        <x:f>IFERROR(G2185/I2185,0)</x:f>
        <x:v>0</x:v>
      </x:c>
      <x:c r="Z2185" s="24" t="n">
        <x:f>IFERROR(G2185/K2185,0)</x:f>
        <x:v>0</x:v>
      </x:c>
      <x:c r="AA2185" s="24" t="n">
        <x:f>IFERROR(F2185/H2185,0)-IFERROR(G2185/I2185,0)</x:f>
        <x:v>0.1</x:v>
      </x:c>
      <x:c r="AB2185" s="28" t="n">
        <x:f>J2185-K2185</x:f>
        <x:v>5</x:v>
      </x:c>
      <x:c r="AC2185" s="32" t="n">
        <x:f>F2185-G2185</x:f>
        <x:v>2</x:v>
      </x:c>
    </x:row>
    <x:row r="2186">
      <x:c r="A2186" s="4" t="str">
        <x:v>2023-24</x:v>
      </x:c>
      <x:c r="B2186" s="20" t="n">
        <x:v>45406</x:v>
      </x:c>
      <x:c r="C2186" s="4" t="str">
        <x:v>Everton</x:v>
      </x:c>
      <x:c r="D2186" s="4" t="str">
        <x:v>Liverpool</x:v>
      </x:c>
      <x:c r="E2186" s="4" t="str">
        <x:v>Home</x:v>
      </x:c>
      <x:c r="F2186" s="28" t="n">
        <x:v>2</x:v>
      </x:c>
      <x:c r="G2186" s="28" t="n">
        <x:v>0</x:v>
      </x:c>
      <x:c r="H2186" s="28" t="n">
        <x:v>16</x:v>
      </x:c>
      <x:c r="I2186" s="28" t="n">
        <x:v>23</x:v>
      </x:c>
      <x:c r="J2186" s="28" t="n">
        <x:v>6</x:v>
      </x:c>
      <x:c r="K2186" s="28" t="n">
        <x:v>7</x:v>
      </x:c>
      <x:c r="L2186" s="28" t="n">
        <x:v>4</x:v>
      </x:c>
      <x:c r="M2186" s="28" t="n">
        <x:v>13</x:v>
      </x:c>
      <x:c r="N2186" s="28" t="n">
        <x:v>0</x:v>
      </x:c>
      <x:c r="O2186" s="28" t="n">
        <x:v>0</x:v>
      </x:c>
      <x:c r="P2186" s="28" t="n">
        <x:v>3</x:v>
      </x:c>
      <x:c r="Q2186" s="24" t="n">
        <x:f>IFERROR(J2186/H2186,0)</x:f>
        <x:v>0.375</x:v>
      </x:c>
      <x:c r="R2186" s="24" t="n">
        <x:f>IFERROR(F2186/H2186,0)</x:f>
        <x:v>0.125</x:v>
      </x:c>
      <x:c r="S2186" s="24" t="n">
        <x:f>IFERROR(F2186/J2186,0)</x:f>
        <x:v>0.3333333333333333</x:v>
      </x:c>
      <x:c r="T2186" s="28" t="n">
        <x:f>H2186-I2186</x:f>
        <x:v>-7</x:v>
      </x:c>
      <x:c r="U2186" s="24" t="n">
        <x:f>IFERROR(J2186/H2186,0)-IFERROR(K2186/I2186,0)</x:f>
        <x:v>0.07065217391304346</x:v>
      </x:c>
      <x:c r="V2186" s="24" t="n">
        <x:f>IFERROR(F2186/J2186,0)-IFERROR(G2186/K2186,0)</x:f>
        <x:v>0.3333333333333333</x:v>
      </x:c>
      <x:c r="W2186" s="28" t="n">
        <x:f>L2186-M2186</x:f>
        <x:v>-9</x:v>
      </x:c>
      <x:c r="X2186" s="24" t="n">
        <x:f>IFERROR(K2186/I2186,0)</x:f>
        <x:v>0.30434782608695654</x:v>
      </x:c>
      <x:c r="Y2186" s="24" t="n">
        <x:f>IFERROR(G2186/I2186,0)</x:f>
        <x:v>0</x:v>
      </x:c>
      <x:c r="Z2186" s="24" t="n">
        <x:f>IFERROR(G2186/K2186,0)</x:f>
        <x:v>0</x:v>
      </x:c>
      <x:c r="AA2186" s="24" t="n">
        <x:f>IFERROR(F2186/H2186,0)-IFERROR(G2186/I2186,0)</x:f>
        <x:v>0.125</x:v>
      </x:c>
      <x:c r="AB2186" s="28" t="n">
        <x:f>J2186-K2186</x:f>
        <x:v>-1</x:v>
      </x:c>
      <x:c r="AC2186" s="32" t="n">
        <x:f>F2186-G2186</x:f>
        <x:v>2</x:v>
      </x:c>
    </x:row>
    <x:row r="2187">
      <x:c r="A2187" s="4" t="str">
        <x:v>2023-24</x:v>
      </x:c>
      <x:c r="B2187" s="20" t="n">
        <x:v>45406</x:v>
      </x:c>
      <x:c r="C2187" s="4" t="str">
        <x:v>Liverpool</x:v>
      </x:c>
      <x:c r="D2187" s="4" t="str">
        <x:v>Everton</x:v>
      </x:c>
      <x:c r="E2187" s="4" t="str">
        <x:v>Away</x:v>
      </x:c>
      <x:c r="F2187" s="28" t="n">
        <x:v>0</x:v>
      </x:c>
      <x:c r="G2187" s="28" t="n">
        <x:v>2</x:v>
      </x:c>
      <x:c r="H2187" s="28" t="n">
        <x:v>23</x:v>
      </x:c>
      <x:c r="I2187" s="28" t="n">
        <x:v>16</x:v>
      </x:c>
      <x:c r="J2187" s="28" t="n">
        <x:v>7</x:v>
      </x:c>
      <x:c r="K2187" s="28" t="n">
        <x:v>6</x:v>
      </x:c>
      <x:c r="L2187" s="28" t="n">
        <x:v>13</x:v>
      </x:c>
      <x:c r="M2187" s="28" t="n">
        <x:v>4</x:v>
      </x:c>
      <x:c r="N2187" s="28" t="n">
        <x:v>3</x:v>
      </x:c>
      <x:c r="O2187" s="28" t="n">
        <x:v>0</x:v>
      </x:c>
      <x:c r="P2187" s="28" t="n">
        <x:v>0</x:v>
      </x:c>
      <x:c r="Q2187" s="24" t="n">
        <x:f>IFERROR(J2187/H2187,0)</x:f>
        <x:v>0.30434782608695654</x:v>
      </x:c>
      <x:c r="R2187" s="24" t="n">
        <x:f>IFERROR(F2187/H2187,0)</x:f>
        <x:v>0</x:v>
      </x:c>
      <x:c r="S2187" s="24" t="n">
        <x:f>IFERROR(F2187/J2187,0)</x:f>
        <x:v>0</x:v>
      </x:c>
      <x:c r="T2187" s="28" t="n">
        <x:f>H2187-I2187</x:f>
        <x:v>7</x:v>
      </x:c>
      <x:c r="U2187" s="24" t="n">
        <x:f>IFERROR(J2187/H2187,0)-IFERROR(K2187/I2187,0)</x:f>
        <x:v>-0.07065217391304346</x:v>
      </x:c>
      <x:c r="V2187" s="24" t="n">
        <x:f>IFERROR(F2187/J2187,0)-IFERROR(G2187/K2187,0)</x:f>
        <x:v>-0.3333333333333333</x:v>
      </x:c>
      <x:c r="W2187" s="28" t="n">
        <x:f>L2187-M2187</x:f>
        <x:v>9</x:v>
      </x:c>
      <x:c r="X2187" s="24" t="n">
        <x:f>IFERROR(K2187/I2187,0)</x:f>
        <x:v>0.375</x:v>
      </x:c>
      <x:c r="Y2187" s="24" t="n">
        <x:f>IFERROR(G2187/I2187,0)</x:f>
        <x:v>0.125</x:v>
      </x:c>
      <x:c r="Z2187" s="24" t="n">
        <x:f>IFERROR(G2187/K2187,0)</x:f>
        <x:v>0.3333333333333333</x:v>
      </x:c>
      <x:c r="AA2187" s="24" t="n">
        <x:f>IFERROR(F2187/H2187,0)-IFERROR(G2187/I2187,0)</x:f>
        <x:v>-0.125</x:v>
      </x:c>
      <x:c r="AB2187" s="28" t="n">
        <x:f>J2187-K2187</x:f>
        <x:v>1</x:v>
      </x:c>
      <x:c r="AC2187" s="32" t="n">
        <x:f>F2187-G2187</x:f>
        <x:v>-2</x:v>
      </x:c>
    </x:row>
    <x:row r="2188">
      <x:c r="A2188" s="4" t="str">
        <x:v>2023-24</x:v>
      </x:c>
      <x:c r="B2188" s="20" t="n">
        <x:v>45406</x:v>
      </x:c>
      <x:c r="C2188" s="4" t="str">
        <x:v>Man United</x:v>
      </x:c>
      <x:c r="D2188" s="4" t="str">
        <x:v>Sheffield United</x:v>
      </x:c>
      <x:c r="E2188" s="4" t="str">
        <x:v>Home</x:v>
      </x:c>
      <x:c r="F2188" s="28" t="n">
        <x:v>4</x:v>
      </x:c>
      <x:c r="G2188" s="28" t="n">
        <x:v>2</x:v>
      </x:c>
      <x:c r="H2188" s="28" t="n">
        <x:v>25</x:v>
      </x:c>
      <x:c r="I2188" s="28" t="n">
        <x:v>10</x:v>
      </x:c>
      <x:c r="J2188" s="28" t="n">
        <x:v>13</x:v>
      </x:c>
      <x:c r="K2188" s="28" t="n">
        <x:v>4</x:v>
      </x:c>
      <x:c r="L2188" s="28" t="n">
        <x:v>9</x:v>
      </x:c>
      <x:c r="M2188" s="28" t="n">
        <x:v>4</x:v>
      </x:c>
      <x:c r="N2188" s="28" t="n">
        <x:v>0</x:v>
      </x:c>
      <x:c r="O2188" s="28" t="n">
        <x:v>0</x:v>
      </x:c>
      <x:c r="P2188" s="28" t="n">
        <x:v>3</x:v>
      </x:c>
      <x:c r="Q2188" s="24" t="n">
        <x:f>IFERROR(J2188/H2188,0)</x:f>
        <x:v>0.52</x:v>
      </x:c>
      <x:c r="R2188" s="24" t="n">
        <x:f>IFERROR(F2188/H2188,0)</x:f>
        <x:v>0.16</x:v>
      </x:c>
      <x:c r="S2188" s="24" t="n">
        <x:f>IFERROR(F2188/J2188,0)</x:f>
        <x:v>0.3076923076923077</x:v>
      </x:c>
      <x:c r="T2188" s="28" t="n">
        <x:f>H2188-I2188</x:f>
        <x:v>15</x:v>
      </x:c>
      <x:c r="U2188" s="24" t="n">
        <x:f>IFERROR(J2188/H2188,0)-IFERROR(K2188/I2188,0)</x:f>
        <x:v>0.12</x:v>
      </x:c>
      <x:c r="V2188" s="24" t="n">
        <x:f>IFERROR(F2188/J2188,0)-IFERROR(G2188/K2188,0)</x:f>
        <x:v>-0.1923076923076923</x:v>
      </x:c>
      <x:c r="W2188" s="28" t="n">
        <x:f>L2188-M2188</x:f>
        <x:v>5</x:v>
      </x:c>
      <x:c r="X2188" s="24" t="n">
        <x:f>IFERROR(K2188/I2188,0)</x:f>
        <x:v>0.4</x:v>
      </x:c>
      <x:c r="Y2188" s="24" t="n">
        <x:f>IFERROR(G2188/I2188,0)</x:f>
        <x:v>0.2</x:v>
      </x:c>
      <x:c r="Z2188" s="24" t="n">
        <x:f>IFERROR(G2188/K2188,0)</x:f>
        <x:v>0.5</x:v>
      </x:c>
      <x:c r="AA2188" s="24" t="n">
        <x:f>IFERROR(F2188/H2188,0)-IFERROR(G2188/I2188,0)</x:f>
        <x:v>-0.04000000000000001</x:v>
      </x:c>
      <x:c r="AB2188" s="28" t="n">
        <x:f>J2188-K2188</x:f>
        <x:v>9</x:v>
      </x:c>
      <x:c r="AC2188" s="32" t="n">
        <x:f>F2188-G2188</x:f>
        <x:v>2</x:v>
      </x:c>
    </x:row>
    <x:row r="2189">
      <x:c r="A2189" s="4" t="str">
        <x:v>2023-24</x:v>
      </x:c>
      <x:c r="B2189" s="20" t="n">
        <x:v>45406</x:v>
      </x:c>
      <x:c r="C2189" s="4" t="str">
        <x:v>Newcastle</x:v>
      </x:c>
      <x:c r="D2189" s="4" t="str">
        <x:v>Crystal Palace</x:v>
      </x:c>
      <x:c r="E2189" s="4" t="str">
        <x:v>Away</x:v>
      </x:c>
      <x:c r="F2189" s="28" t="n">
        <x:v>0</x:v>
      </x:c>
      <x:c r="G2189" s="28" t="n">
        <x:v>2</x:v>
      </x:c>
      <x:c r="H2189" s="28" t="n">
        <x:v>7</x:v>
      </x:c>
      <x:c r="I2189" s="28" t="n">
        <x:v>20</x:v>
      </x:c>
      <x:c r="J2189" s="28" t="n">
        <x:v>2</x:v>
      </x:c>
      <x:c r="K2189" s="28" t="n">
        <x:v>7</x:v>
      </x:c>
      <x:c r="L2189" s="28" t="n">
        <x:v>2</x:v>
      </x:c>
      <x:c r="M2189" s="28" t="n">
        <x:v>7</x:v>
      </x:c>
      <x:c r="N2189" s="28" t="n">
        <x:v>3</x:v>
      </x:c>
      <x:c r="O2189" s="28" t="n">
        <x:v>0</x:v>
      </x:c>
      <x:c r="P2189" s="28" t="n">
        <x:v>0</x:v>
      </x:c>
      <x:c r="Q2189" s="24" t="n">
        <x:f>IFERROR(J2189/H2189,0)</x:f>
        <x:v>0.2857142857142857</x:v>
      </x:c>
      <x:c r="R2189" s="24" t="n">
        <x:f>IFERROR(F2189/H2189,0)</x:f>
        <x:v>0</x:v>
      </x:c>
      <x:c r="S2189" s="24" t="n">
        <x:f>IFERROR(F2189/J2189,0)</x:f>
        <x:v>0</x:v>
      </x:c>
      <x:c r="T2189" s="28" t="n">
        <x:f>H2189-I2189</x:f>
        <x:v>-13</x:v>
      </x:c>
      <x:c r="U2189" s="24" t="n">
        <x:f>IFERROR(J2189/H2189,0)-IFERROR(K2189/I2189,0)</x:f>
        <x:v>-0.06428571428571428</x:v>
      </x:c>
      <x:c r="V2189" s="24" t="n">
        <x:f>IFERROR(F2189/J2189,0)-IFERROR(G2189/K2189,0)</x:f>
        <x:v>-0.2857142857142857</x:v>
      </x:c>
      <x:c r="W2189" s="28" t="n">
        <x:f>L2189-M2189</x:f>
        <x:v>-5</x:v>
      </x:c>
      <x:c r="X2189" s="24" t="n">
        <x:f>IFERROR(K2189/I2189,0)</x:f>
        <x:v>0.35</x:v>
      </x:c>
      <x:c r="Y2189" s="24" t="n">
        <x:f>IFERROR(G2189/I2189,0)</x:f>
        <x:v>0.1</x:v>
      </x:c>
      <x:c r="Z2189" s="24" t="n">
        <x:f>IFERROR(G2189/K2189,0)</x:f>
        <x:v>0.2857142857142857</x:v>
      </x:c>
      <x:c r="AA2189" s="24" t="n">
        <x:f>IFERROR(F2189/H2189,0)-IFERROR(G2189/I2189,0)</x:f>
        <x:v>-0.1</x:v>
      </x:c>
      <x:c r="AB2189" s="28" t="n">
        <x:f>J2189-K2189</x:f>
        <x:v>-5</x:v>
      </x:c>
      <x:c r="AC2189" s="32" t="n">
        <x:f>F2189-G2189</x:f>
        <x:v>-2</x:v>
      </x:c>
    </x:row>
    <x:row r="2190">
      <x:c r="A2190" s="4" t="str">
        <x:v>2023-24</x:v>
      </x:c>
      <x:c r="B2190" s="20" t="n">
        <x:v>45406</x:v>
      </x:c>
      <x:c r="C2190" s="4" t="str">
        <x:v>Sheffield United</x:v>
      </x:c>
      <x:c r="D2190" s="4" t="str">
        <x:v>Man United</x:v>
      </x:c>
      <x:c r="E2190" s="4" t="str">
        <x:v>Away</x:v>
      </x:c>
      <x:c r="F2190" s="28" t="n">
        <x:v>2</x:v>
      </x:c>
      <x:c r="G2190" s="28" t="n">
        <x:v>4</x:v>
      </x:c>
      <x:c r="H2190" s="28" t="n">
        <x:v>10</x:v>
      </x:c>
      <x:c r="I2190" s="28" t="n">
        <x:v>25</x:v>
      </x:c>
      <x:c r="J2190" s="28" t="n">
        <x:v>4</x:v>
      </x:c>
      <x:c r="K2190" s="28" t="n">
        <x:v>13</x:v>
      </x:c>
      <x:c r="L2190" s="28" t="n">
        <x:v>4</x:v>
      </x:c>
      <x:c r="M2190" s="28" t="n">
        <x:v>9</x:v>
      </x:c>
      <x:c r="N2190" s="28" t="n">
        <x:v>1</x:v>
      </x:c>
      <x:c r="O2190" s="28" t="n">
        <x:v>0</x:v>
      </x:c>
      <x:c r="P2190" s="28" t="n">
        <x:v>0</x:v>
      </x:c>
      <x:c r="Q2190" s="24" t="n">
        <x:f>IFERROR(J2190/H2190,0)</x:f>
        <x:v>0.4</x:v>
      </x:c>
      <x:c r="R2190" s="24" t="n">
        <x:f>IFERROR(F2190/H2190,0)</x:f>
        <x:v>0.2</x:v>
      </x:c>
      <x:c r="S2190" s="24" t="n">
        <x:f>IFERROR(F2190/J2190,0)</x:f>
        <x:v>0.5</x:v>
      </x:c>
      <x:c r="T2190" s="28" t="n">
        <x:f>H2190-I2190</x:f>
        <x:v>-15</x:v>
      </x:c>
      <x:c r="U2190" s="24" t="n">
        <x:f>IFERROR(J2190/H2190,0)-IFERROR(K2190/I2190,0)</x:f>
        <x:v>-0.12</x:v>
      </x:c>
      <x:c r="V2190" s="24" t="n">
        <x:f>IFERROR(F2190/J2190,0)-IFERROR(G2190/K2190,0)</x:f>
        <x:v>0.1923076923076923</x:v>
      </x:c>
      <x:c r="W2190" s="28" t="n">
        <x:f>L2190-M2190</x:f>
        <x:v>-5</x:v>
      </x:c>
      <x:c r="X2190" s="24" t="n">
        <x:f>IFERROR(K2190/I2190,0)</x:f>
        <x:v>0.52</x:v>
      </x:c>
      <x:c r="Y2190" s="24" t="n">
        <x:f>IFERROR(G2190/I2190,0)</x:f>
        <x:v>0.16</x:v>
      </x:c>
      <x:c r="Z2190" s="24" t="n">
        <x:f>IFERROR(G2190/K2190,0)</x:f>
        <x:v>0.3076923076923077</x:v>
      </x:c>
      <x:c r="AA2190" s="24" t="n">
        <x:f>IFERROR(F2190/H2190,0)-IFERROR(G2190/I2190,0)</x:f>
        <x:v>0.04000000000000001</x:v>
      </x:c>
      <x:c r="AB2190" s="28" t="n">
        <x:f>J2190-K2190</x:f>
        <x:v>-9</x:v>
      </x:c>
      <x:c r="AC2190" s="32" t="n">
        <x:f>F2190-G2190</x:f>
        <x:v>-2</x:v>
      </x:c>
    </x:row>
    <x:row r="2191">
      <x:c r="A2191" s="4" t="str">
        <x:v>2023-24</x:v>
      </x:c>
      <x:c r="B2191" s="20" t="n">
        <x:v>45406</x:v>
      </x:c>
      <x:c r="C2191" s="4" t="str">
        <x:v>Wolves</x:v>
      </x:c>
      <x:c r="D2191" s="4" t="str">
        <x:v>Bournemouth</x:v>
      </x:c>
      <x:c r="E2191" s="4" t="str">
        <x:v>Home</x:v>
      </x:c>
      <x:c r="F2191" s="28" t="n">
        <x:v>0</x:v>
      </x:c>
      <x:c r="G2191" s="28" t="n">
        <x:v>1</x:v>
      </x:c>
      <x:c r="H2191" s="28" t="n">
        <x:v>15</x:v>
      </x:c>
      <x:c r="I2191" s="28" t="n">
        <x:v>21</x:v>
      </x:c>
      <x:c r="J2191" s="28" t="n">
        <x:v>4</x:v>
      </x:c>
      <x:c r="K2191" s="28" t="n">
        <x:v>6</x:v>
      </x:c>
      <x:c r="L2191" s="28" t="n">
        <x:v>8</x:v>
      </x:c>
      <x:c r="M2191" s="28" t="n">
        <x:v>12</x:v>
      </x:c>
      <x:c r="N2191" s="28" t="n">
        <x:v>4</x:v>
      </x:c>
      <x:c r="O2191" s="28" t="n">
        <x:v>0</x:v>
      </x:c>
      <x:c r="P2191" s="28" t="n">
        <x:v>0</x:v>
      </x:c>
      <x:c r="Q2191" s="24" t="n">
        <x:f>IFERROR(J2191/H2191,0)</x:f>
        <x:v>0.26666666666666666</x:v>
      </x:c>
      <x:c r="R2191" s="24" t="n">
        <x:f>IFERROR(F2191/H2191,0)</x:f>
        <x:v>0</x:v>
      </x:c>
      <x:c r="S2191" s="24" t="n">
        <x:f>IFERROR(F2191/J2191,0)</x:f>
        <x:v>0</x:v>
      </x:c>
      <x:c r="T2191" s="28" t="n">
        <x:f>H2191-I2191</x:f>
        <x:v>-6</x:v>
      </x:c>
      <x:c r="U2191" s="24" t="n">
        <x:f>IFERROR(J2191/H2191,0)-IFERROR(K2191/I2191,0)</x:f>
        <x:v>-0.019047619047619035</x:v>
      </x:c>
      <x:c r="V2191" s="24" t="n">
        <x:f>IFERROR(F2191/J2191,0)-IFERROR(G2191/K2191,0)</x:f>
        <x:v>-0.16666666666666666</x:v>
      </x:c>
      <x:c r="W2191" s="28" t="n">
        <x:f>L2191-M2191</x:f>
        <x:v>-4</x:v>
      </x:c>
      <x:c r="X2191" s="24" t="n">
        <x:f>IFERROR(K2191/I2191,0)</x:f>
        <x:v>0.2857142857142857</x:v>
      </x:c>
      <x:c r="Y2191" s="24" t="n">
        <x:f>IFERROR(G2191/I2191,0)</x:f>
        <x:v>0.047619047619047616</x:v>
      </x:c>
      <x:c r="Z2191" s="24" t="n">
        <x:f>IFERROR(G2191/K2191,0)</x:f>
        <x:v>0.16666666666666666</x:v>
      </x:c>
      <x:c r="AA2191" s="24" t="n">
        <x:f>IFERROR(F2191/H2191,0)-IFERROR(G2191/I2191,0)</x:f>
        <x:v>-0.047619047619047616</x:v>
      </x:c>
      <x:c r="AB2191" s="28" t="n">
        <x:f>J2191-K2191</x:f>
        <x:v>-2</x:v>
      </x:c>
      <x:c r="AC2191" s="32" t="n">
        <x:f>F2191-G2191</x:f>
        <x:v>-1</x:v>
      </x:c>
    </x:row>
    <x:row r="2192">
      <x:c r="A2192" s="4" t="str">
        <x:v>2023-24</x:v>
      </x:c>
      <x:c r="B2192" s="20" t="n">
        <x:v>45407</x:v>
      </x:c>
      <x:c r="C2192" s="4" t="str">
        <x:v>Brighton</x:v>
      </x:c>
      <x:c r="D2192" s="4" t="str">
        <x:v>Man City</x:v>
      </x:c>
      <x:c r="E2192" s="4" t="str">
        <x:v>Home</x:v>
      </x:c>
      <x:c r="F2192" s="28" t="n">
        <x:v>0</x:v>
      </x:c>
      <x:c r="G2192" s="28" t="n">
        <x:v>4</x:v>
      </x:c>
      <x:c r="H2192" s="28" t="n">
        <x:v>7</x:v>
      </x:c>
      <x:c r="I2192" s="28" t="n">
        <x:v>14</x:v>
      </x:c>
      <x:c r="J2192" s="28" t="n">
        <x:v>3</x:v>
      </x:c>
      <x:c r="K2192" s="28" t="n">
        <x:v>6</x:v>
      </x:c>
      <x:c r="L2192" s="28" t="n">
        <x:v>4</x:v>
      </x:c>
      <x:c r="M2192" s="28" t="n">
        <x:v>4</x:v>
      </x:c>
      <x:c r="N2192" s="28" t="n">
        <x:v>2</x:v>
      </x:c>
      <x:c r="O2192" s="28" t="n">
        <x:v>0</x:v>
      </x:c>
      <x:c r="P2192" s="28" t="n">
        <x:v>0</x:v>
      </x:c>
      <x:c r="Q2192" s="24" t="n">
        <x:f>IFERROR(J2192/H2192,0)</x:f>
        <x:v>0.42857142857142855</x:v>
      </x:c>
      <x:c r="R2192" s="24" t="n">
        <x:f>IFERROR(F2192/H2192,0)</x:f>
        <x:v>0</x:v>
      </x:c>
      <x:c r="S2192" s="24" t="n">
        <x:f>IFERROR(F2192/J2192,0)</x:f>
        <x:v>0</x:v>
      </x:c>
      <x:c r="T2192" s="28" t="n">
        <x:f>H2192-I2192</x:f>
        <x:v>-7</x:v>
      </x:c>
      <x:c r="U2192" s="24" t="n">
        <x:f>IFERROR(J2192/H2192,0)-IFERROR(K2192/I2192,0)</x:f>
        <x:v>0</x:v>
      </x:c>
      <x:c r="V2192" s="24" t="n">
        <x:f>IFERROR(F2192/J2192,0)-IFERROR(G2192/K2192,0)</x:f>
        <x:v>-0.6666666666666666</x:v>
      </x:c>
      <x:c r="W2192" s="28" t="n">
        <x:f>L2192-M2192</x:f>
        <x:v>0</x:v>
      </x:c>
      <x:c r="X2192" s="24" t="n">
        <x:f>IFERROR(K2192/I2192,0)</x:f>
        <x:v>0.42857142857142855</x:v>
      </x:c>
      <x:c r="Y2192" s="24" t="n">
        <x:f>IFERROR(G2192/I2192,0)</x:f>
        <x:v>0.2857142857142857</x:v>
      </x:c>
      <x:c r="Z2192" s="24" t="n">
        <x:f>IFERROR(G2192/K2192,0)</x:f>
        <x:v>0.6666666666666666</x:v>
      </x:c>
      <x:c r="AA2192" s="24" t="n">
        <x:f>IFERROR(F2192/H2192,0)-IFERROR(G2192/I2192,0)</x:f>
        <x:v>-0.2857142857142857</x:v>
      </x:c>
      <x:c r="AB2192" s="28" t="n">
        <x:f>J2192-K2192</x:f>
        <x:v>-3</x:v>
      </x:c>
      <x:c r="AC2192" s="32" t="n">
        <x:f>F2192-G2192</x:f>
        <x:v>-4</x:v>
      </x:c>
    </x:row>
    <x:row r="2193">
      <x:c r="A2193" s="4" t="str">
        <x:v>2023-24</x:v>
      </x:c>
      <x:c r="B2193" s="20" t="n">
        <x:v>45407</x:v>
      </x:c>
      <x:c r="C2193" s="4" t="str">
        <x:v>Man City</x:v>
      </x:c>
      <x:c r="D2193" s="4" t="str">
        <x:v>Brighton</x:v>
      </x:c>
      <x:c r="E2193" s="4" t="str">
        <x:v>Away</x:v>
      </x:c>
      <x:c r="F2193" s="28" t="n">
        <x:v>4</x:v>
      </x:c>
      <x:c r="G2193" s="28" t="n">
        <x:v>0</x:v>
      </x:c>
      <x:c r="H2193" s="28" t="n">
        <x:v>14</x:v>
      </x:c>
      <x:c r="I2193" s="28" t="n">
        <x:v>7</x:v>
      </x:c>
      <x:c r="J2193" s="28" t="n">
        <x:v>6</x:v>
      </x:c>
      <x:c r="K2193" s="28" t="n">
        <x:v>3</x:v>
      </x:c>
      <x:c r="L2193" s="28" t="n">
        <x:v>4</x:v>
      </x:c>
      <x:c r="M2193" s="28" t="n">
        <x:v>4</x:v>
      </x:c>
      <x:c r="N2193" s="28" t="n">
        <x:v>0</x:v>
      </x:c>
      <x:c r="O2193" s="28" t="n">
        <x:v>0</x:v>
      </x:c>
      <x:c r="P2193" s="28" t="n">
        <x:v>3</x:v>
      </x:c>
      <x:c r="Q2193" s="24" t="n">
        <x:f>IFERROR(J2193/H2193,0)</x:f>
        <x:v>0.42857142857142855</x:v>
      </x:c>
      <x:c r="R2193" s="24" t="n">
        <x:f>IFERROR(F2193/H2193,0)</x:f>
        <x:v>0.2857142857142857</x:v>
      </x:c>
      <x:c r="S2193" s="24" t="n">
        <x:f>IFERROR(F2193/J2193,0)</x:f>
        <x:v>0.6666666666666666</x:v>
      </x:c>
      <x:c r="T2193" s="28" t="n">
        <x:f>H2193-I2193</x:f>
        <x:v>7</x:v>
      </x:c>
      <x:c r="U2193" s="24" t="n">
        <x:f>IFERROR(J2193/H2193,0)-IFERROR(K2193/I2193,0)</x:f>
        <x:v>0</x:v>
      </x:c>
      <x:c r="V2193" s="24" t="n">
        <x:f>IFERROR(F2193/J2193,0)-IFERROR(G2193/K2193,0)</x:f>
        <x:v>0.6666666666666666</x:v>
      </x:c>
      <x:c r="W2193" s="28" t="n">
        <x:f>L2193-M2193</x:f>
        <x:v>0</x:v>
      </x:c>
      <x:c r="X2193" s="24" t="n">
        <x:f>IFERROR(K2193/I2193,0)</x:f>
        <x:v>0.42857142857142855</x:v>
      </x:c>
      <x:c r="Y2193" s="24" t="n">
        <x:f>IFERROR(G2193/I2193,0)</x:f>
        <x:v>0</x:v>
      </x:c>
      <x:c r="Z2193" s="24" t="n">
        <x:f>IFERROR(G2193/K2193,0)</x:f>
        <x:v>0</x:v>
      </x:c>
      <x:c r="AA2193" s="24" t="n">
        <x:f>IFERROR(F2193/H2193,0)-IFERROR(G2193/I2193,0)</x:f>
        <x:v>0.2857142857142857</x:v>
      </x:c>
      <x:c r="AB2193" s="28" t="n">
        <x:f>J2193-K2193</x:f>
        <x:v>3</x:v>
      </x:c>
      <x:c r="AC2193" s="32" t="n">
        <x:f>F2193-G2193</x:f>
        <x:v>4</x:v>
      </x:c>
    </x:row>
    <x:row r="2194">
      <x:c r="A2194" s="4" t="str">
        <x:v>2023-24</x:v>
      </x:c>
      <x:c r="B2194" s="20" t="n">
        <x:v>45409</x:v>
      </x:c>
      <x:c r="C2194" s="4" t="str">
        <x:v>Aston Villa</x:v>
      </x:c>
      <x:c r="D2194" s="4" t="str">
        <x:v>Chelsea</x:v>
      </x:c>
      <x:c r="E2194" s="4" t="str">
        <x:v>Home</x:v>
      </x:c>
      <x:c r="F2194" s="28" t="n">
        <x:v>2</x:v>
      </x:c>
      <x:c r="G2194" s="28" t="n">
        <x:v>2</x:v>
      </x:c>
      <x:c r="H2194" s="28" t="n">
        <x:v>9</x:v>
      </x:c>
      <x:c r="I2194" s="28" t="n">
        <x:v>21</x:v>
      </x:c>
      <x:c r="J2194" s="28" t="n">
        <x:v>4</x:v>
      </x:c>
      <x:c r="K2194" s="28" t="n">
        <x:v>5</x:v>
      </x:c>
      <x:c r="L2194" s="28" t="n">
        <x:v>2</x:v>
      </x:c>
      <x:c r="M2194" s="28" t="n">
        <x:v>4</x:v>
      </x:c>
      <x:c r="N2194" s="28" t="n">
        <x:v>3</x:v>
      </x:c>
      <x:c r="O2194" s="28" t="n">
        <x:v>0</x:v>
      </x:c>
      <x:c r="P2194" s="28" t="n">
        <x:v>1</x:v>
      </x:c>
      <x:c r="Q2194" s="24" t="n">
        <x:f>IFERROR(J2194/H2194,0)</x:f>
        <x:v>0.4444444444444444</x:v>
      </x:c>
      <x:c r="R2194" s="24" t="n">
        <x:f>IFERROR(F2194/H2194,0)</x:f>
        <x:v>0.2222222222222222</x:v>
      </x:c>
      <x:c r="S2194" s="24" t="n">
        <x:f>IFERROR(F2194/J2194,0)</x:f>
        <x:v>0.5</x:v>
      </x:c>
      <x:c r="T2194" s="28" t="n">
        <x:f>H2194-I2194</x:f>
        <x:v>-12</x:v>
      </x:c>
      <x:c r="U2194" s="24" t="n">
        <x:f>IFERROR(J2194/H2194,0)-IFERROR(K2194/I2194,0)</x:f>
        <x:v>0.20634920634920634</x:v>
      </x:c>
      <x:c r="V2194" s="24" t="n">
        <x:f>IFERROR(F2194/J2194,0)-IFERROR(G2194/K2194,0)</x:f>
        <x:v>0.09999999999999998</x:v>
      </x:c>
      <x:c r="W2194" s="28" t="n">
        <x:f>L2194-M2194</x:f>
        <x:v>-2</x:v>
      </x:c>
      <x:c r="X2194" s="24" t="n">
        <x:f>IFERROR(K2194/I2194,0)</x:f>
        <x:v>0.23809523809523808</x:v>
      </x:c>
      <x:c r="Y2194" s="24" t="n">
        <x:f>IFERROR(G2194/I2194,0)</x:f>
        <x:v>0.09523809523809523</x:v>
      </x:c>
      <x:c r="Z2194" s="24" t="n">
        <x:f>IFERROR(G2194/K2194,0)</x:f>
        <x:v>0.4</x:v>
      </x:c>
      <x:c r="AA2194" s="24" t="n">
        <x:f>IFERROR(F2194/H2194,0)-IFERROR(G2194/I2194,0)</x:f>
        <x:v>0.12698412698412698</x:v>
      </x:c>
      <x:c r="AB2194" s="28" t="n">
        <x:f>J2194-K2194</x:f>
        <x:v>-1</x:v>
      </x:c>
      <x:c r="AC2194" s="32" t="n">
        <x:f>F2194-G2194</x:f>
        <x:v>0</x:v>
      </x:c>
    </x:row>
    <x:row r="2195">
      <x:c r="A2195" s="4" t="str">
        <x:v>2023-24</x:v>
      </x:c>
      <x:c r="B2195" s="20" t="n">
        <x:v>45409</x:v>
      </x:c>
      <x:c r="C2195" s="4" t="str">
        <x:v>Brentford</x:v>
      </x:c>
      <x:c r="D2195" s="4" t="str">
        <x:v>Everton</x:v>
      </x:c>
      <x:c r="E2195" s="4" t="str">
        <x:v>Away</x:v>
      </x:c>
      <x:c r="F2195" s="28" t="n">
        <x:v>0</x:v>
      </x:c>
      <x:c r="G2195" s="28" t="n">
        <x:v>1</x:v>
      </x:c>
      <x:c r="H2195" s="28" t="n">
        <x:v>10</x:v>
      </x:c>
      <x:c r="I2195" s="28" t="n">
        <x:v>18</x:v>
      </x:c>
      <x:c r="J2195" s="28" t="n">
        <x:v>4</x:v>
      </x:c>
      <x:c r="K2195" s="28" t="n">
        <x:v>1</x:v>
      </x:c>
      <x:c r="L2195" s="28" t="n">
        <x:v>6</x:v>
      </x:c>
      <x:c r="M2195" s="28" t="n">
        <x:v>6</x:v>
      </x:c>
      <x:c r="N2195" s="28" t="n">
        <x:v>2</x:v>
      </x:c>
      <x:c r="O2195" s="28" t="n">
        <x:v>0</x:v>
      </x:c>
      <x:c r="P2195" s="28" t="n">
        <x:v>0</x:v>
      </x:c>
      <x:c r="Q2195" s="24" t="n">
        <x:f>IFERROR(J2195/H2195,0)</x:f>
        <x:v>0.4</x:v>
      </x:c>
      <x:c r="R2195" s="24" t="n">
        <x:f>IFERROR(F2195/H2195,0)</x:f>
        <x:v>0</x:v>
      </x:c>
      <x:c r="S2195" s="24" t="n">
        <x:f>IFERROR(F2195/J2195,0)</x:f>
        <x:v>0</x:v>
      </x:c>
      <x:c r="T2195" s="28" t="n">
        <x:f>H2195-I2195</x:f>
        <x:v>-8</x:v>
      </x:c>
      <x:c r="U2195" s="24" t="n">
        <x:f>IFERROR(J2195/H2195,0)-IFERROR(K2195/I2195,0)</x:f>
        <x:v>0.34444444444444444</x:v>
      </x:c>
      <x:c r="V2195" s="24" t="n">
        <x:f>IFERROR(F2195/J2195,0)-IFERROR(G2195/K2195,0)</x:f>
        <x:v>-1</x:v>
      </x:c>
      <x:c r="W2195" s="28" t="n">
        <x:f>L2195-M2195</x:f>
        <x:v>0</x:v>
      </x:c>
      <x:c r="X2195" s="24" t="n">
        <x:f>IFERROR(K2195/I2195,0)</x:f>
        <x:v>0.05555555555555555</x:v>
      </x:c>
      <x:c r="Y2195" s="24" t="n">
        <x:f>IFERROR(G2195/I2195,0)</x:f>
        <x:v>0.05555555555555555</x:v>
      </x:c>
      <x:c r="Z2195" s="24" t="n">
        <x:f>IFERROR(G2195/K2195,0)</x:f>
        <x:v>1</x:v>
      </x:c>
      <x:c r="AA2195" s="24" t="n">
        <x:f>IFERROR(F2195/H2195,0)-IFERROR(G2195/I2195,0)</x:f>
        <x:v>-0.05555555555555555</x:v>
      </x:c>
      <x:c r="AB2195" s="28" t="n">
        <x:f>J2195-K2195</x:f>
        <x:v>3</x:v>
      </x:c>
      <x:c r="AC2195" s="32" t="n">
        <x:f>F2195-G2195</x:f>
        <x:v>-1</x:v>
      </x:c>
    </x:row>
    <x:row r="2196">
      <x:c r="A2196" s="4" t="str">
        <x:v>2023-24</x:v>
      </x:c>
      <x:c r="B2196" s="20" t="n">
        <x:v>45409</x:v>
      </x:c>
      <x:c r="C2196" s="4" t="str">
        <x:v>Burnley</x:v>
      </x:c>
      <x:c r="D2196" s="4" t="str">
        <x:v>Man United</x:v>
      </x:c>
      <x:c r="E2196" s="4" t="str">
        <x:v>Away</x:v>
      </x:c>
      <x:c r="F2196" s="28" t="n">
        <x:v>1</x:v>
      </x:c>
      <x:c r="G2196" s="28" t="n">
        <x:v>1</x:v>
      </x:c>
      <x:c r="H2196" s="28" t="n">
        <x:v>16</x:v>
      </x:c>
      <x:c r="I2196" s="28" t="n">
        <x:v>27</x:v>
      </x:c>
      <x:c r="J2196" s="28" t="n">
        <x:v>7</x:v>
      </x:c>
      <x:c r="K2196" s="28" t="n">
        <x:v>10</x:v>
      </x:c>
      <x:c r="L2196" s="28" t="n">
        <x:v>5</x:v>
      </x:c>
      <x:c r="M2196" s="28" t="n">
        <x:v>6</x:v>
      </x:c>
      <x:c r="N2196" s="28" t="n">
        <x:v>3</x:v>
      </x:c>
      <x:c r="O2196" s="28" t="n">
        <x:v>0</x:v>
      </x:c>
      <x:c r="P2196" s="28" t="n">
        <x:v>1</x:v>
      </x:c>
      <x:c r="Q2196" s="24" t="n">
        <x:f>IFERROR(J2196/H2196,0)</x:f>
        <x:v>0.4375</x:v>
      </x:c>
      <x:c r="R2196" s="24" t="n">
        <x:f>IFERROR(F2196/H2196,0)</x:f>
        <x:v>0.0625</x:v>
      </x:c>
      <x:c r="S2196" s="24" t="n">
        <x:f>IFERROR(F2196/J2196,0)</x:f>
        <x:v>0.14285714285714285</x:v>
      </x:c>
      <x:c r="T2196" s="28" t="n">
        <x:f>H2196-I2196</x:f>
        <x:v>-11</x:v>
      </x:c>
      <x:c r="U2196" s="24" t="n">
        <x:f>IFERROR(J2196/H2196,0)-IFERROR(K2196/I2196,0)</x:f>
        <x:v>0.06712962962962965</x:v>
      </x:c>
      <x:c r="V2196" s="24" t="n">
        <x:f>IFERROR(F2196/J2196,0)-IFERROR(G2196/K2196,0)</x:f>
        <x:v>0.042857142857142844</x:v>
      </x:c>
      <x:c r="W2196" s="28" t="n">
        <x:f>L2196-M2196</x:f>
        <x:v>-1</x:v>
      </x:c>
      <x:c r="X2196" s="24" t="n">
        <x:f>IFERROR(K2196/I2196,0)</x:f>
        <x:v>0.37037037037037035</x:v>
      </x:c>
      <x:c r="Y2196" s="24" t="n">
        <x:f>IFERROR(G2196/I2196,0)</x:f>
        <x:v>0.037037037037037035</x:v>
      </x:c>
      <x:c r="Z2196" s="24" t="n">
        <x:f>IFERROR(G2196/K2196,0)</x:f>
        <x:v>0.1</x:v>
      </x:c>
      <x:c r="AA2196" s="24" t="n">
        <x:f>IFERROR(F2196/H2196,0)-IFERROR(G2196/I2196,0)</x:f>
        <x:v>0.025462962962962965</x:v>
      </x:c>
      <x:c r="AB2196" s="28" t="n">
        <x:f>J2196-K2196</x:f>
        <x:v>-3</x:v>
      </x:c>
      <x:c r="AC2196" s="32" t="n">
        <x:f>F2196-G2196</x:f>
        <x:v>0</x:v>
      </x:c>
    </x:row>
    <x:row r="2197">
      <x:c r="A2197" s="4" t="str">
        <x:v>2023-24</x:v>
      </x:c>
      <x:c r="B2197" s="20" t="n">
        <x:v>45409</x:v>
      </x:c>
      <x:c r="C2197" s="4" t="str">
        <x:v>Chelsea</x:v>
      </x:c>
      <x:c r="D2197" s="4" t="str">
        <x:v>Aston Villa</x:v>
      </x:c>
      <x:c r="E2197" s="4" t="str">
        <x:v>Away</x:v>
      </x:c>
      <x:c r="F2197" s="28" t="n">
        <x:v>2</x:v>
      </x:c>
      <x:c r="G2197" s="28" t="n">
        <x:v>2</x:v>
      </x:c>
      <x:c r="H2197" s="28" t="n">
        <x:v>21</x:v>
      </x:c>
      <x:c r="I2197" s="28" t="n">
        <x:v>9</x:v>
      </x:c>
      <x:c r="J2197" s="28" t="n">
        <x:v>5</x:v>
      </x:c>
      <x:c r="K2197" s="28" t="n">
        <x:v>4</x:v>
      </x:c>
      <x:c r="L2197" s="28" t="n">
        <x:v>4</x:v>
      </x:c>
      <x:c r="M2197" s="28" t="n">
        <x:v>2</x:v>
      </x:c>
      <x:c r="N2197" s="28" t="n">
        <x:v>5</x:v>
      </x:c>
      <x:c r="O2197" s="28" t="n">
        <x:v>0</x:v>
      </x:c>
      <x:c r="P2197" s="28" t="n">
        <x:v>1</x:v>
      </x:c>
      <x:c r="Q2197" s="24" t="n">
        <x:f>IFERROR(J2197/H2197,0)</x:f>
        <x:v>0.23809523809523808</x:v>
      </x:c>
      <x:c r="R2197" s="24" t="n">
        <x:f>IFERROR(F2197/H2197,0)</x:f>
        <x:v>0.09523809523809523</x:v>
      </x:c>
      <x:c r="S2197" s="24" t="n">
        <x:f>IFERROR(F2197/J2197,0)</x:f>
        <x:v>0.4</x:v>
      </x:c>
      <x:c r="T2197" s="28" t="n">
        <x:f>H2197-I2197</x:f>
        <x:v>12</x:v>
      </x:c>
      <x:c r="U2197" s="24" t="n">
        <x:f>IFERROR(J2197/H2197,0)-IFERROR(K2197/I2197,0)</x:f>
        <x:v>-0.20634920634920634</x:v>
      </x:c>
      <x:c r="V2197" s="24" t="n">
        <x:f>IFERROR(F2197/J2197,0)-IFERROR(G2197/K2197,0)</x:f>
        <x:v>-0.09999999999999998</x:v>
      </x:c>
      <x:c r="W2197" s="28" t="n">
        <x:f>L2197-M2197</x:f>
        <x:v>2</x:v>
      </x:c>
      <x:c r="X2197" s="24" t="n">
        <x:f>IFERROR(K2197/I2197,0)</x:f>
        <x:v>0.4444444444444444</x:v>
      </x:c>
      <x:c r="Y2197" s="24" t="n">
        <x:f>IFERROR(G2197/I2197,0)</x:f>
        <x:v>0.2222222222222222</x:v>
      </x:c>
      <x:c r="Z2197" s="24" t="n">
        <x:f>IFERROR(G2197/K2197,0)</x:f>
        <x:v>0.5</x:v>
      </x:c>
      <x:c r="AA2197" s="24" t="n">
        <x:f>IFERROR(F2197/H2197,0)-IFERROR(G2197/I2197,0)</x:f>
        <x:v>-0.12698412698412698</x:v>
      </x:c>
      <x:c r="AB2197" s="28" t="n">
        <x:f>J2197-K2197</x:f>
        <x:v>1</x:v>
      </x:c>
      <x:c r="AC2197" s="32" t="n">
        <x:f>F2197-G2197</x:f>
        <x:v>0</x:v>
      </x:c>
    </x:row>
    <x:row r="2198">
      <x:c r="A2198" s="4" t="str">
        <x:v>2023-24</x:v>
      </x:c>
      <x:c r="B2198" s="20" t="n">
        <x:v>45409</x:v>
      </x:c>
      <x:c r="C2198" s="4" t="str">
        <x:v>Crystal Palace</x:v>
      </x:c>
      <x:c r="D2198" s="4" t="str">
        <x:v>Fulham</x:v>
      </x:c>
      <x:c r="E2198" s="4" t="str">
        <x:v>Away</x:v>
      </x:c>
      <x:c r="F2198" s="28" t="n">
        <x:v>1</x:v>
      </x:c>
      <x:c r="G2198" s="28" t="n">
        <x:v>1</x:v>
      </x:c>
      <x:c r="H2198" s="28" t="n">
        <x:v>14</x:v>
      </x:c>
      <x:c r="I2198" s="28" t="n">
        <x:v>9</x:v>
      </x:c>
      <x:c r="J2198" s="28" t="n">
        <x:v>4</x:v>
      </x:c>
      <x:c r="K2198" s="28" t="n">
        <x:v>2</x:v>
      </x:c>
      <x:c r="L2198" s="28" t="n">
        <x:v>9</x:v>
      </x:c>
      <x:c r="M2198" s="28" t="n">
        <x:v>5</x:v>
      </x:c>
      <x:c r="N2198" s="28" t="n">
        <x:v>2</x:v>
      </x:c>
      <x:c r="O2198" s="28" t="n">
        <x:v>0</x:v>
      </x:c>
      <x:c r="P2198" s="28" t="n">
        <x:v>1</x:v>
      </x:c>
      <x:c r="Q2198" s="24" t="n">
        <x:f>IFERROR(J2198/H2198,0)</x:f>
        <x:v>0.2857142857142857</x:v>
      </x:c>
      <x:c r="R2198" s="24" t="n">
        <x:f>IFERROR(F2198/H2198,0)</x:f>
        <x:v>0.07142857142857142</x:v>
      </x:c>
      <x:c r="S2198" s="24" t="n">
        <x:f>IFERROR(F2198/J2198,0)</x:f>
        <x:v>0.25</x:v>
      </x:c>
      <x:c r="T2198" s="28" t="n">
        <x:f>H2198-I2198</x:f>
        <x:v>5</x:v>
      </x:c>
      <x:c r="U2198" s="24" t="n">
        <x:f>IFERROR(J2198/H2198,0)-IFERROR(K2198/I2198,0)</x:f>
        <x:v>0.06349206349206349</x:v>
      </x:c>
      <x:c r="V2198" s="24" t="n">
        <x:f>IFERROR(F2198/J2198,0)-IFERROR(G2198/K2198,0)</x:f>
        <x:v>-0.25</x:v>
      </x:c>
      <x:c r="W2198" s="28" t="n">
        <x:f>L2198-M2198</x:f>
        <x:v>4</x:v>
      </x:c>
      <x:c r="X2198" s="24" t="n">
        <x:f>IFERROR(K2198/I2198,0)</x:f>
        <x:v>0.2222222222222222</x:v>
      </x:c>
      <x:c r="Y2198" s="24" t="n">
        <x:f>IFERROR(G2198/I2198,0)</x:f>
        <x:v>0.1111111111111111</x:v>
      </x:c>
      <x:c r="Z2198" s="24" t="n">
        <x:f>IFERROR(G2198/K2198,0)</x:f>
        <x:v>0.5</x:v>
      </x:c>
      <x:c r="AA2198" s="24" t="n">
        <x:f>IFERROR(F2198/H2198,0)-IFERROR(G2198/I2198,0)</x:f>
        <x:v>-0.03968253968253968</x:v>
      </x:c>
      <x:c r="AB2198" s="28" t="n">
        <x:f>J2198-K2198</x:f>
        <x:v>2</x:v>
      </x:c>
      <x:c r="AC2198" s="32" t="n">
        <x:f>F2198-G2198</x:f>
        <x:v>0</x:v>
      </x:c>
    </x:row>
    <x:row r="2199">
      <x:c r="A2199" s="4" t="str">
        <x:v>2023-24</x:v>
      </x:c>
      <x:c r="B2199" s="20" t="n">
        <x:v>45409</x:v>
      </x:c>
      <x:c r="C2199" s="4" t="str">
        <x:v>Everton</x:v>
      </x:c>
      <x:c r="D2199" s="4" t="str">
        <x:v>Brentford</x:v>
      </x:c>
      <x:c r="E2199" s="4" t="str">
        <x:v>Home</x:v>
      </x:c>
      <x:c r="F2199" s="28" t="n">
        <x:v>1</x:v>
      </x:c>
      <x:c r="G2199" s="28" t="n">
        <x:v>0</x:v>
      </x:c>
      <x:c r="H2199" s="28" t="n">
        <x:v>18</x:v>
      </x:c>
      <x:c r="I2199" s="28" t="n">
        <x:v>10</x:v>
      </x:c>
      <x:c r="J2199" s="28" t="n">
        <x:v>1</x:v>
      </x:c>
      <x:c r="K2199" s="28" t="n">
        <x:v>4</x:v>
      </x:c>
      <x:c r="L2199" s="28" t="n">
        <x:v>6</x:v>
      </x:c>
      <x:c r="M2199" s="28" t="n">
        <x:v>6</x:v>
      </x:c>
      <x:c r="N2199" s="28" t="n">
        <x:v>1</x:v>
      </x:c>
      <x:c r="O2199" s="28" t="n">
        <x:v>0</x:v>
      </x:c>
      <x:c r="P2199" s="28" t="n">
        <x:v>3</x:v>
      </x:c>
      <x:c r="Q2199" s="24" t="n">
        <x:f>IFERROR(J2199/H2199,0)</x:f>
        <x:v>0.05555555555555555</x:v>
      </x:c>
      <x:c r="R2199" s="24" t="n">
        <x:f>IFERROR(F2199/H2199,0)</x:f>
        <x:v>0.05555555555555555</x:v>
      </x:c>
      <x:c r="S2199" s="24" t="n">
        <x:f>IFERROR(F2199/J2199,0)</x:f>
        <x:v>1</x:v>
      </x:c>
      <x:c r="T2199" s="28" t="n">
        <x:f>H2199-I2199</x:f>
        <x:v>8</x:v>
      </x:c>
      <x:c r="U2199" s="24" t="n">
        <x:f>IFERROR(J2199/H2199,0)-IFERROR(K2199/I2199,0)</x:f>
        <x:v>-0.34444444444444444</x:v>
      </x:c>
      <x:c r="V2199" s="24" t="n">
        <x:f>IFERROR(F2199/J2199,0)-IFERROR(G2199/K2199,0)</x:f>
        <x:v>1</x:v>
      </x:c>
      <x:c r="W2199" s="28" t="n">
        <x:f>L2199-M2199</x:f>
        <x:v>0</x:v>
      </x:c>
      <x:c r="X2199" s="24" t="n">
        <x:f>IFERROR(K2199/I2199,0)</x:f>
        <x:v>0.4</x:v>
      </x:c>
      <x:c r="Y2199" s="24" t="n">
        <x:f>IFERROR(G2199/I2199,0)</x:f>
        <x:v>0</x:v>
      </x:c>
      <x:c r="Z2199" s="24" t="n">
        <x:f>IFERROR(G2199/K2199,0)</x:f>
        <x:v>0</x:v>
      </x:c>
      <x:c r="AA2199" s="24" t="n">
        <x:f>IFERROR(F2199/H2199,0)-IFERROR(G2199/I2199,0)</x:f>
        <x:v>0.05555555555555555</x:v>
      </x:c>
      <x:c r="AB2199" s="28" t="n">
        <x:f>J2199-K2199</x:f>
        <x:v>-3</x:v>
      </x:c>
      <x:c r="AC2199" s="32" t="n">
        <x:f>F2199-G2199</x:f>
        <x:v>1</x:v>
      </x:c>
    </x:row>
    <x:row r="2200">
      <x:c r="A2200" s="4" t="str">
        <x:v>2023-24</x:v>
      </x:c>
      <x:c r="B2200" s="20" t="n">
        <x:v>45409</x:v>
      </x:c>
      <x:c r="C2200" s="4" t="str">
        <x:v>Fulham</x:v>
      </x:c>
      <x:c r="D2200" s="4" t="str">
        <x:v>Crystal Palace</x:v>
      </x:c>
      <x:c r="E2200" s="4" t="str">
        <x:v>Home</x:v>
      </x:c>
      <x:c r="F2200" s="28" t="n">
        <x:v>1</x:v>
      </x:c>
      <x:c r="G2200" s="28" t="n">
        <x:v>1</x:v>
      </x:c>
      <x:c r="H2200" s="28" t="n">
        <x:v>9</x:v>
      </x:c>
      <x:c r="I2200" s="28" t="n">
        <x:v>14</x:v>
      </x:c>
      <x:c r="J2200" s="28" t="n">
        <x:v>2</x:v>
      </x:c>
      <x:c r="K2200" s="28" t="n">
        <x:v>4</x:v>
      </x:c>
      <x:c r="L2200" s="28" t="n">
        <x:v>5</x:v>
      </x:c>
      <x:c r="M2200" s="28" t="n">
        <x:v>9</x:v>
      </x:c>
      <x:c r="N2200" s="28" t="n">
        <x:v>0</x:v>
      </x:c>
      <x:c r="O2200" s="28" t="n">
        <x:v>0</x:v>
      </x:c>
      <x:c r="P2200" s="28" t="n">
        <x:v>1</x:v>
      </x:c>
      <x:c r="Q2200" s="24" t="n">
        <x:f>IFERROR(J2200/H2200,0)</x:f>
        <x:v>0.2222222222222222</x:v>
      </x:c>
      <x:c r="R2200" s="24" t="n">
        <x:f>IFERROR(F2200/H2200,0)</x:f>
        <x:v>0.1111111111111111</x:v>
      </x:c>
      <x:c r="S2200" s="24" t="n">
        <x:f>IFERROR(F2200/J2200,0)</x:f>
        <x:v>0.5</x:v>
      </x:c>
      <x:c r="T2200" s="28" t="n">
        <x:f>H2200-I2200</x:f>
        <x:v>-5</x:v>
      </x:c>
      <x:c r="U2200" s="24" t="n">
        <x:f>IFERROR(J2200/H2200,0)-IFERROR(K2200/I2200,0)</x:f>
        <x:v>-0.06349206349206349</x:v>
      </x:c>
      <x:c r="V2200" s="24" t="n">
        <x:f>IFERROR(F2200/J2200,0)-IFERROR(G2200/K2200,0)</x:f>
        <x:v>0.25</x:v>
      </x:c>
      <x:c r="W2200" s="28" t="n">
        <x:f>L2200-M2200</x:f>
        <x:v>-4</x:v>
      </x:c>
      <x:c r="X2200" s="24" t="n">
        <x:f>IFERROR(K2200/I2200,0)</x:f>
        <x:v>0.2857142857142857</x:v>
      </x:c>
      <x:c r="Y2200" s="24" t="n">
        <x:f>IFERROR(G2200/I2200,0)</x:f>
        <x:v>0.07142857142857142</x:v>
      </x:c>
      <x:c r="Z2200" s="24" t="n">
        <x:f>IFERROR(G2200/K2200,0)</x:f>
        <x:v>0.25</x:v>
      </x:c>
      <x:c r="AA2200" s="24" t="n">
        <x:f>IFERROR(F2200/H2200,0)-IFERROR(G2200/I2200,0)</x:f>
        <x:v>0.03968253968253968</x:v>
      </x:c>
      <x:c r="AB2200" s="28" t="n">
        <x:f>J2200-K2200</x:f>
        <x:v>-2</x:v>
      </x:c>
      <x:c r="AC2200" s="32" t="n">
        <x:f>F2200-G2200</x:f>
        <x:v>0</x:v>
      </x:c>
    </x:row>
    <x:row r="2201">
      <x:c r="A2201" s="4" t="str">
        <x:v>2023-24</x:v>
      </x:c>
      <x:c r="B2201" s="20" t="n">
        <x:v>45409</x:v>
      </x:c>
      <x:c r="C2201" s="4" t="str">
        <x:v>Liverpool</x:v>
      </x:c>
      <x:c r="D2201" s="4" t="str">
        <x:v>West Ham</x:v>
      </x:c>
      <x:c r="E2201" s="4" t="str">
        <x:v>Away</x:v>
      </x:c>
      <x:c r="F2201" s="28" t="n">
        <x:v>2</x:v>
      </x:c>
      <x:c r="G2201" s="28" t="n">
        <x:v>2</x:v>
      </x:c>
      <x:c r="H2201" s="28" t="n">
        <x:v>28</x:v>
      </x:c>
      <x:c r="I2201" s="28" t="n">
        <x:v>11</x:v>
      </x:c>
      <x:c r="J2201" s="28" t="n">
        <x:v>8</x:v>
      </x:c>
      <x:c r="K2201" s="28" t="n">
        <x:v>8</x:v>
      </x:c>
      <x:c r="L2201" s="28" t="n">
        <x:v>8</x:v>
      </x:c>
      <x:c r="M2201" s="28" t="n">
        <x:v>5</x:v>
      </x:c>
      <x:c r="N2201" s="28" t="n">
        <x:v>2</x:v>
      </x:c>
      <x:c r="O2201" s="28" t="n">
        <x:v>0</x:v>
      </x:c>
      <x:c r="P2201" s="28" t="n">
        <x:v>1</x:v>
      </x:c>
      <x:c r="Q2201" s="24" t="n">
        <x:f>IFERROR(J2201/H2201,0)</x:f>
        <x:v>0.2857142857142857</x:v>
      </x:c>
      <x:c r="R2201" s="24" t="n">
        <x:f>IFERROR(F2201/H2201,0)</x:f>
        <x:v>0.07142857142857142</x:v>
      </x:c>
      <x:c r="S2201" s="24" t="n">
        <x:f>IFERROR(F2201/J2201,0)</x:f>
        <x:v>0.25</x:v>
      </x:c>
      <x:c r="T2201" s="28" t="n">
        <x:f>H2201-I2201</x:f>
        <x:v>17</x:v>
      </x:c>
      <x:c r="U2201" s="24" t="n">
        <x:f>IFERROR(J2201/H2201,0)-IFERROR(K2201/I2201,0)</x:f>
        <x:v>-0.4415584415584416</x:v>
      </x:c>
      <x:c r="V2201" s="24" t="n">
        <x:f>IFERROR(F2201/J2201,0)-IFERROR(G2201/K2201,0)</x:f>
        <x:v>0</x:v>
      </x:c>
      <x:c r="W2201" s="28" t="n">
        <x:f>L2201-M2201</x:f>
        <x:v>3</x:v>
      </x:c>
      <x:c r="X2201" s="24" t="n">
        <x:f>IFERROR(K2201/I2201,0)</x:f>
        <x:v>0.7272727272727273</x:v>
      </x:c>
      <x:c r="Y2201" s="24" t="n">
        <x:f>IFERROR(G2201/I2201,0)</x:f>
        <x:v>0.18181818181818182</x:v>
      </x:c>
      <x:c r="Z2201" s="24" t="n">
        <x:f>IFERROR(G2201/K2201,0)</x:f>
        <x:v>0.25</x:v>
      </x:c>
      <x:c r="AA2201" s="24" t="n">
        <x:f>IFERROR(F2201/H2201,0)-IFERROR(G2201/I2201,0)</x:f>
        <x:v>-0.1103896103896104</x:v>
      </x:c>
      <x:c r="AB2201" s="28" t="n">
        <x:f>J2201-K2201</x:f>
        <x:v>0</x:v>
      </x:c>
      <x:c r="AC2201" s="32" t="n">
        <x:f>F2201-G2201</x:f>
        <x:v>0</x:v>
      </x:c>
    </x:row>
    <x:row r="2202">
      <x:c r="A2202" s="4" t="str">
        <x:v>2023-24</x:v>
      </x:c>
      <x:c r="B2202" s="20" t="n">
        <x:v>45409</x:v>
      </x:c>
      <x:c r="C2202" s="4" t="str">
        <x:v>Luton</x:v>
      </x:c>
      <x:c r="D2202" s="4" t="str">
        <x:v>Wolves</x:v>
      </x:c>
      <x:c r="E2202" s="4" t="str">
        <x:v>Away</x:v>
      </x:c>
      <x:c r="F2202" s="28" t="n">
        <x:v>1</x:v>
      </x:c>
      <x:c r="G2202" s="28" t="n">
        <x:v>2</x:v>
      </x:c>
      <x:c r="H2202" s="28" t="n">
        <x:v>9</x:v>
      </x:c>
      <x:c r="I2202" s="28" t="n">
        <x:v>13</x:v>
      </x:c>
      <x:c r="J2202" s="28" t="n">
        <x:v>6</x:v>
      </x:c>
      <x:c r="K2202" s="28" t="n">
        <x:v>5</x:v>
      </x:c>
      <x:c r="L2202" s="28" t="n">
        <x:v>4</x:v>
      </x:c>
      <x:c r="M2202" s="28" t="n">
        <x:v>4</x:v>
      </x:c>
      <x:c r="N2202" s="28" t="n">
        <x:v>1</x:v>
      </x:c>
      <x:c r="O2202" s="28" t="n">
        <x:v>0</x:v>
      </x:c>
      <x:c r="P2202" s="28" t="n">
        <x:v>0</x:v>
      </x:c>
      <x:c r="Q2202" s="24" t="n">
        <x:f>IFERROR(J2202/H2202,0)</x:f>
        <x:v>0.6666666666666666</x:v>
      </x:c>
      <x:c r="R2202" s="24" t="n">
        <x:f>IFERROR(F2202/H2202,0)</x:f>
        <x:v>0.1111111111111111</x:v>
      </x:c>
      <x:c r="S2202" s="24" t="n">
        <x:f>IFERROR(F2202/J2202,0)</x:f>
        <x:v>0.16666666666666666</x:v>
      </x:c>
      <x:c r="T2202" s="28" t="n">
        <x:f>H2202-I2202</x:f>
        <x:v>-4</x:v>
      </x:c>
      <x:c r="U2202" s="24" t="n">
        <x:f>IFERROR(J2202/H2202,0)-IFERROR(K2202/I2202,0)</x:f>
        <x:v>0.282051282051282</x:v>
      </x:c>
      <x:c r="V2202" s="24" t="n">
        <x:f>IFERROR(F2202/J2202,0)-IFERROR(G2202/K2202,0)</x:f>
        <x:v>-0.23333333333333336</x:v>
      </x:c>
      <x:c r="W2202" s="28" t="n">
        <x:f>L2202-M2202</x:f>
        <x:v>0</x:v>
      </x:c>
      <x:c r="X2202" s="24" t="n">
        <x:f>IFERROR(K2202/I2202,0)</x:f>
        <x:v>0.38461538461538464</x:v>
      </x:c>
      <x:c r="Y2202" s="24" t="n">
        <x:f>IFERROR(G2202/I2202,0)</x:f>
        <x:v>0.15384615384615385</x:v>
      </x:c>
      <x:c r="Z2202" s="24" t="n">
        <x:f>IFERROR(G2202/K2202,0)</x:f>
        <x:v>0.4</x:v>
      </x:c>
      <x:c r="AA2202" s="24" t="n">
        <x:f>IFERROR(F2202/H2202,0)-IFERROR(G2202/I2202,0)</x:f>
        <x:v>-0.04273504273504275</x:v>
      </x:c>
      <x:c r="AB2202" s="28" t="n">
        <x:f>J2202-K2202</x:f>
        <x:v>1</x:v>
      </x:c>
      <x:c r="AC2202" s="32" t="n">
        <x:f>F2202-G2202</x:f>
        <x:v>-1</x:v>
      </x:c>
    </x:row>
    <x:row r="2203">
      <x:c r="A2203" s="4" t="str">
        <x:v>2023-24</x:v>
      </x:c>
      <x:c r="B2203" s="20" t="n">
        <x:v>45409</x:v>
      </x:c>
      <x:c r="C2203" s="4" t="str">
        <x:v>Man United</x:v>
      </x:c>
      <x:c r="D2203" s="4" t="str">
        <x:v>Burnley</x:v>
      </x:c>
      <x:c r="E2203" s="4" t="str">
        <x:v>Home</x:v>
      </x:c>
      <x:c r="F2203" s="28" t="n">
        <x:v>1</x:v>
      </x:c>
      <x:c r="G2203" s="28" t="n">
        <x:v>1</x:v>
      </x:c>
      <x:c r="H2203" s="28" t="n">
        <x:v>27</x:v>
      </x:c>
      <x:c r="I2203" s="28" t="n">
        <x:v>16</x:v>
      </x:c>
      <x:c r="J2203" s="28" t="n">
        <x:v>10</x:v>
      </x:c>
      <x:c r="K2203" s="28" t="n">
        <x:v>7</x:v>
      </x:c>
      <x:c r="L2203" s="28" t="n">
        <x:v>6</x:v>
      </x:c>
      <x:c r="M2203" s="28" t="n">
        <x:v>5</x:v>
      </x:c>
      <x:c r="N2203" s="28" t="n">
        <x:v>1</x:v>
      </x:c>
      <x:c r="O2203" s="28" t="n">
        <x:v>0</x:v>
      </x:c>
      <x:c r="P2203" s="28" t="n">
        <x:v>1</x:v>
      </x:c>
      <x:c r="Q2203" s="24" t="n">
        <x:f>IFERROR(J2203/H2203,0)</x:f>
        <x:v>0.37037037037037035</x:v>
      </x:c>
      <x:c r="R2203" s="24" t="n">
        <x:f>IFERROR(F2203/H2203,0)</x:f>
        <x:v>0.037037037037037035</x:v>
      </x:c>
      <x:c r="S2203" s="24" t="n">
        <x:f>IFERROR(F2203/J2203,0)</x:f>
        <x:v>0.1</x:v>
      </x:c>
      <x:c r="T2203" s="28" t="n">
        <x:f>H2203-I2203</x:f>
        <x:v>11</x:v>
      </x:c>
      <x:c r="U2203" s="24" t="n">
        <x:f>IFERROR(J2203/H2203,0)-IFERROR(K2203/I2203,0)</x:f>
        <x:v>-0.06712962962962965</x:v>
      </x:c>
      <x:c r="V2203" s="24" t="n">
        <x:f>IFERROR(F2203/J2203,0)-IFERROR(G2203/K2203,0)</x:f>
        <x:v>-0.042857142857142844</x:v>
      </x:c>
      <x:c r="W2203" s="28" t="n">
        <x:f>L2203-M2203</x:f>
        <x:v>1</x:v>
      </x:c>
      <x:c r="X2203" s="24" t="n">
        <x:f>IFERROR(K2203/I2203,0)</x:f>
        <x:v>0.4375</x:v>
      </x:c>
      <x:c r="Y2203" s="24" t="n">
        <x:f>IFERROR(G2203/I2203,0)</x:f>
        <x:v>0.0625</x:v>
      </x:c>
      <x:c r="Z2203" s="24" t="n">
        <x:f>IFERROR(G2203/K2203,0)</x:f>
        <x:v>0.14285714285714285</x:v>
      </x:c>
      <x:c r="AA2203" s="24" t="n">
        <x:f>IFERROR(F2203/H2203,0)-IFERROR(G2203/I2203,0)</x:f>
        <x:v>-0.025462962962962965</x:v>
      </x:c>
      <x:c r="AB2203" s="28" t="n">
        <x:f>J2203-K2203</x:f>
        <x:v>3</x:v>
      </x:c>
      <x:c r="AC2203" s="32" t="n">
        <x:f>F2203-G2203</x:f>
        <x:v>0</x:v>
      </x:c>
    </x:row>
    <x:row r="2204">
      <x:c r="A2204" s="4" t="str">
        <x:v>2023-24</x:v>
      </x:c>
      <x:c r="B2204" s="20" t="n">
        <x:v>45409</x:v>
      </x:c>
      <x:c r="C2204" s="4" t="str">
        <x:v>Newcastle</x:v>
      </x:c>
      <x:c r="D2204" s="4" t="str">
        <x:v>Sheffield United</x:v>
      </x:c>
      <x:c r="E2204" s="4" t="str">
        <x:v>Home</x:v>
      </x:c>
      <x:c r="F2204" s="28" t="n">
        <x:v>5</x:v>
      </x:c>
      <x:c r="G2204" s="28" t="n">
        <x:v>1</x:v>
      </x:c>
      <x:c r="H2204" s="28" t="n">
        <x:v>20</x:v>
      </x:c>
      <x:c r="I2204" s="28" t="n">
        <x:v>15</x:v>
      </x:c>
      <x:c r="J2204" s="28" t="n">
        <x:v>7</x:v>
      </x:c>
      <x:c r="K2204" s="28" t="n">
        <x:v>5</x:v>
      </x:c>
      <x:c r="L2204" s="28" t="n">
        <x:v>4</x:v>
      </x:c>
      <x:c r="M2204" s="28" t="n">
        <x:v>5</x:v>
      </x:c>
      <x:c r="N2204" s="28" t="n">
        <x:v>0</x:v>
      </x:c>
      <x:c r="O2204" s="28" t="n">
        <x:v>0</x:v>
      </x:c>
      <x:c r="P2204" s="28" t="n">
        <x:v>3</x:v>
      </x:c>
      <x:c r="Q2204" s="24" t="n">
        <x:f>IFERROR(J2204/H2204,0)</x:f>
        <x:v>0.35</x:v>
      </x:c>
      <x:c r="R2204" s="24" t="n">
        <x:f>IFERROR(F2204/H2204,0)</x:f>
        <x:v>0.25</x:v>
      </x:c>
      <x:c r="S2204" s="24" t="n">
        <x:f>IFERROR(F2204/J2204,0)</x:f>
        <x:v>0.7142857142857143</x:v>
      </x:c>
      <x:c r="T2204" s="28" t="n">
        <x:f>H2204-I2204</x:f>
        <x:v>5</x:v>
      </x:c>
      <x:c r="U2204" s="24" t="n">
        <x:f>IFERROR(J2204/H2204,0)-IFERROR(K2204/I2204,0)</x:f>
        <x:v>0.016666666666666663</x:v>
      </x:c>
      <x:c r="V2204" s="24" t="n">
        <x:f>IFERROR(F2204/J2204,0)-IFERROR(G2204/K2204,0)</x:f>
        <x:v>0.5142857142857142</x:v>
      </x:c>
      <x:c r="W2204" s="28" t="n">
        <x:f>L2204-M2204</x:f>
        <x:v>-1</x:v>
      </x:c>
      <x:c r="X2204" s="24" t="n">
        <x:f>IFERROR(K2204/I2204,0)</x:f>
        <x:v>0.3333333333333333</x:v>
      </x:c>
      <x:c r="Y2204" s="24" t="n">
        <x:f>IFERROR(G2204/I2204,0)</x:f>
        <x:v>0.06666666666666667</x:v>
      </x:c>
      <x:c r="Z2204" s="24" t="n">
        <x:f>IFERROR(G2204/K2204,0)</x:f>
        <x:v>0.2</x:v>
      </x:c>
      <x:c r="AA2204" s="24" t="n">
        <x:f>IFERROR(F2204/H2204,0)-IFERROR(G2204/I2204,0)</x:f>
        <x:v>0.18333333333333335</x:v>
      </x:c>
      <x:c r="AB2204" s="28" t="n">
        <x:f>J2204-K2204</x:f>
        <x:v>2</x:v>
      </x:c>
      <x:c r="AC2204" s="32" t="n">
        <x:f>F2204-G2204</x:f>
        <x:v>4</x:v>
      </x:c>
    </x:row>
    <x:row r="2205">
      <x:c r="A2205" s="4" t="str">
        <x:v>2023-24</x:v>
      </x:c>
      <x:c r="B2205" s="20" t="n">
        <x:v>45409</x:v>
      </x:c>
      <x:c r="C2205" s="4" t="str">
        <x:v>Sheffield United</x:v>
      </x:c>
      <x:c r="D2205" s="4" t="str">
        <x:v>Newcastle</x:v>
      </x:c>
      <x:c r="E2205" s="4" t="str">
        <x:v>Away</x:v>
      </x:c>
      <x:c r="F2205" s="28" t="n">
        <x:v>1</x:v>
      </x:c>
      <x:c r="G2205" s="28" t="n">
        <x:v>5</x:v>
      </x:c>
      <x:c r="H2205" s="28" t="n">
        <x:v>15</x:v>
      </x:c>
      <x:c r="I2205" s="28" t="n">
        <x:v>20</x:v>
      </x:c>
      <x:c r="J2205" s="28" t="n">
        <x:v>5</x:v>
      </x:c>
      <x:c r="K2205" s="28" t="n">
        <x:v>7</x:v>
      </x:c>
      <x:c r="L2205" s="28" t="n">
        <x:v>5</x:v>
      </x:c>
      <x:c r="M2205" s="28" t="n">
        <x:v>4</x:v>
      </x:c>
      <x:c r="N2205" s="28" t="n">
        <x:v>0</x:v>
      </x:c>
      <x:c r="O2205" s="28" t="n">
        <x:v>0</x:v>
      </x:c>
      <x:c r="P2205" s="28" t="n">
        <x:v>0</x:v>
      </x:c>
      <x:c r="Q2205" s="24" t="n">
        <x:f>IFERROR(J2205/H2205,0)</x:f>
        <x:v>0.3333333333333333</x:v>
      </x:c>
      <x:c r="R2205" s="24" t="n">
        <x:f>IFERROR(F2205/H2205,0)</x:f>
        <x:v>0.06666666666666667</x:v>
      </x:c>
      <x:c r="S2205" s="24" t="n">
        <x:f>IFERROR(F2205/J2205,0)</x:f>
        <x:v>0.2</x:v>
      </x:c>
      <x:c r="T2205" s="28" t="n">
        <x:f>H2205-I2205</x:f>
        <x:v>-5</x:v>
      </x:c>
      <x:c r="U2205" s="24" t="n">
        <x:f>IFERROR(J2205/H2205,0)-IFERROR(K2205/I2205,0)</x:f>
        <x:v>-0.016666666666666663</x:v>
      </x:c>
      <x:c r="V2205" s="24" t="n">
        <x:f>IFERROR(F2205/J2205,0)-IFERROR(G2205/K2205,0)</x:f>
        <x:v>-0.5142857142857142</x:v>
      </x:c>
      <x:c r="W2205" s="28" t="n">
        <x:f>L2205-M2205</x:f>
        <x:v>1</x:v>
      </x:c>
      <x:c r="X2205" s="24" t="n">
        <x:f>IFERROR(K2205/I2205,0)</x:f>
        <x:v>0.35</x:v>
      </x:c>
      <x:c r="Y2205" s="24" t="n">
        <x:f>IFERROR(G2205/I2205,0)</x:f>
        <x:v>0.25</x:v>
      </x:c>
      <x:c r="Z2205" s="24" t="n">
        <x:f>IFERROR(G2205/K2205,0)</x:f>
        <x:v>0.7142857142857143</x:v>
      </x:c>
      <x:c r="AA2205" s="24" t="n">
        <x:f>IFERROR(F2205/H2205,0)-IFERROR(G2205/I2205,0)</x:f>
        <x:v>-0.18333333333333335</x:v>
      </x:c>
      <x:c r="AB2205" s="28" t="n">
        <x:f>J2205-K2205</x:f>
        <x:v>-2</x:v>
      </x:c>
      <x:c r="AC2205" s="32" t="n">
        <x:f>F2205-G2205</x:f>
        <x:v>-4</x:v>
      </x:c>
    </x:row>
    <x:row r="2206">
      <x:c r="A2206" s="4" t="str">
        <x:v>2023-24</x:v>
      </x:c>
      <x:c r="B2206" s="20" t="n">
        <x:v>45409</x:v>
      </x:c>
      <x:c r="C2206" s="4" t="str">
        <x:v>West Ham</x:v>
      </x:c>
      <x:c r="D2206" s="4" t="str">
        <x:v>Liverpool</x:v>
      </x:c>
      <x:c r="E2206" s="4" t="str">
        <x:v>Home</x:v>
      </x:c>
      <x:c r="F2206" s="28" t="n">
        <x:v>2</x:v>
      </x:c>
      <x:c r="G2206" s="28" t="n">
        <x:v>2</x:v>
      </x:c>
      <x:c r="H2206" s="28" t="n">
        <x:v>11</x:v>
      </x:c>
      <x:c r="I2206" s="28" t="n">
        <x:v>28</x:v>
      </x:c>
      <x:c r="J2206" s="28" t="n">
        <x:v>8</x:v>
      </x:c>
      <x:c r="K2206" s="28" t="n">
        <x:v>8</x:v>
      </x:c>
      <x:c r="L2206" s="28" t="n">
        <x:v>5</x:v>
      </x:c>
      <x:c r="M2206" s="28" t="n">
        <x:v>8</x:v>
      </x:c>
      <x:c r="N2206" s="28" t="n">
        <x:v>0</x:v>
      </x:c>
      <x:c r="O2206" s="28" t="n">
        <x:v>0</x:v>
      </x:c>
      <x:c r="P2206" s="28" t="n">
        <x:v>1</x:v>
      </x:c>
      <x:c r="Q2206" s="24" t="n">
        <x:f>IFERROR(J2206/H2206,0)</x:f>
        <x:v>0.7272727272727273</x:v>
      </x:c>
      <x:c r="R2206" s="24" t="n">
        <x:f>IFERROR(F2206/H2206,0)</x:f>
        <x:v>0.18181818181818182</x:v>
      </x:c>
      <x:c r="S2206" s="24" t="n">
        <x:f>IFERROR(F2206/J2206,0)</x:f>
        <x:v>0.25</x:v>
      </x:c>
      <x:c r="T2206" s="28" t="n">
        <x:f>H2206-I2206</x:f>
        <x:v>-17</x:v>
      </x:c>
      <x:c r="U2206" s="24" t="n">
        <x:f>IFERROR(J2206/H2206,0)-IFERROR(K2206/I2206,0)</x:f>
        <x:v>0.4415584415584416</x:v>
      </x:c>
      <x:c r="V2206" s="24" t="n">
        <x:f>IFERROR(F2206/J2206,0)-IFERROR(G2206/K2206,0)</x:f>
        <x:v>0</x:v>
      </x:c>
      <x:c r="W2206" s="28" t="n">
        <x:f>L2206-M2206</x:f>
        <x:v>-3</x:v>
      </x:c>
      <x:c r="X2206" s="24" t="n">
        <x:f>IFERROR(K2206/I2206,0)</x:f>
        <x:v>0.2857142857142857</x:v>
      </x:c>
      <x:c r="Y2206" s="24" t="n">
        <x:f>IFERROR(G2206/I2206,0)</x:f>
        <x:v>0.07142857142857142</x:v>
      </x:c>
      <x:c r="Z2206" s="24" t="n">
        <x:f>IFERROR(G2206/K2206,0)</x:f>
        <x:v>0.25</x:v>
      </x:c>
      <x:c r="AA2206" s="24" t="n">
        <x:f>IFERROR(F2206/H2206,0)-IFERROR(G2206/I2206,0)</x:f>
        <x:v>0.1103896103896104</x:v>
      </x:c>
      <x:c r="AB2206" s="28" t="n">
        <x:f>J2206-K2206</x:f>
        <x:v>0</x:v>
      </x:c>
      <x:c r="AC2206" s="32" t="n">
        <x:f>F2206-G2206</x:f>
        <x:v>0</x:v>
      </x:c>
    </x:row>
    <x:row r="2207">
      <x:c r="A2207" s="4" t="str">
        <x:v>2023-24</x:v>
      </x:c>
      <x:c r="B2207" s="20" t="n">
        <x:v>45409</x:v>
      </x:c>
      <x:c r="C2207" s="4" t="str">
        <x:v>Wolves</x:v>
      </x:c>
      <x:c r="D2207" s="4" t="str">
        <x:v>Luton</x:v>
      </x:c>
      <x:c r="E2207" s="4" t="str">
        <x:v>Home</x:v>
      </x:c>
      <x:c r="F2207" s="28" t="n">
        <x:v>2</x:v>
      </x:c>
      <x:c r="G2207" s="28" t="n">
        <x:v>1</x:v>
      </x:c>
      <x:c r="H2207" s="28" t="n">
        <x:v>13</x:v>
      </x:c>
      <x:c r="I2207" s="28" t="n">
        <x:v>9</x:v>
      </x:c>
      <x:c r="J2207" s="28" t="n">
        <x:v>5</x:v>
      </x:c>
      <x:c r="K2207" s="28" t="n">
        <x:v>6</x:v>
      </x:c>
      <x:c r="L2207" s="28" t="n">
        <x:v>4</x:v>
      </x:c>
      <x:c r="M2207" s="28" t="n">
        <x:v>4</x:v>
      </x:c>
      <x:c r="N2207" s="28" t="n">
        <x:v>3</x:v>
      </x:c>
      <x:c r="O2207" s="28" t="n">
        <x:v>0</x:v>
      </x:c>
      <x:c r="P2207" s="28" t="n">
        <x:v>3</x:v>
      </x:c>
      <x:c r="Q2207" s="24" t="n">
        <x:f>IFERROR(J2207/H2207,0)</x:f>
        <x:v>0.38461538461538464</x:v>
      </x:c>
      <x:c r="R2207" s="24" t="n">
        <x:f>IFERROR(F2207/H2207,0)</x:f>
        <x:v>0.15384615384615385</x:v>
      </x:c>
      <x:c r="S2207" s="24" t="n">
        <x:f>IFERROR(F2207/J2207,0)</x:f>
        <x:v>0.4</x:v>
      </x:c>
      <x:c r="T2207" s="28" t="n">
        <x:f>H2207-I2207</x:f>
        <x:v>4</x:v>
      </x:c>
      <x:c r="U2207" s="24" t="n">
        <x:f>IFERROR(J2207/H2207,0)-IFERROR(K2207/I2207,0)</x:f>
        <x:v>-0.282051282051282</x:v>
      </x:c>
      <x:c r="V2207" s="24" t="n">
        <x:f>IFERROR(F2207/J2207,0)-IFERROR(G2207/K2207,0)</x:f>
        <x:v>0.23333333333333336</x:v>
      </x:c>
      <x:c r="W2207" s="28" t="n">
        <x:f>L2207-M2207</x:f>
        <x:v>0</x:v>
      </x:c>
      <x:c r="X2207" s="24" t="n">
        <x:f>IFERROR(K2207/I2207,0)</x:f>
        <x:v>0.6666666666666666</x:v>
      </x:c>
      <x:c r="Y2207" s="24" t="n">
        <x:f>IFERROR(G2207/I2207,0)</x:f>
        <x:v>0.1111111111111111</x:v>
      </x:c>
      <x:c r="Z2207" s="24" t="n">
        <x:f>IFERROR(G2207/K2207,0)</x:f>
        <x:v>0.16666666666666666</x:v>
      </x:c>
      <x:c r="AA2207" s="24" t="n">
        <x:f>IFERROR(F2207/H2207,0)-IFERROR(G2207/I2207,0)</x:f>
        <x:v>0.04273504273504275</x:v>
      </x:c>
      <x:c r="AB2207" s="28" t="n">
        <x:f>J2207-K2207</x:f>
        <x:v>-1</x:v>
      </x:c>
      <x:c r="AC2207" s="32" t="n">
        <x:f>F2207-G2207</x:f>
        <x:v>1</x:v>
      </x:c>
    </x:row>
    <x:row r="2208">
      <x:c r="A2208" s="4" t="str">
        <x:v>2023-24</x:v>
      </x:c>
      <x:c r="B2208" s="20" t="n">
        <x:v>45410</x:v>
      </x:c>
      <x:c r="C2208" s="4" t="str">
        <x:v>Arsenal</x:v>
      </x:c>
      <x:c r="D2208" s="4" t="str">
        <x:v>Tottenham</x:v>
      </x:c>
      <x:c r="E2208" s="4" t="str">
        <x:v>Away</x:v>
      </x:c>
      <x:c r="F2208" s="28" t="n">
        <x:v>3</x:v>
      </x:c>
      <x:c r="G2208" s="28" t="n">
        <x:v>2</x:v>
      </x:c>
      <x:c r="H2208" s="28" t="n">
        <x:v>9</x:v>
      </x:c>
      <x:c r="I2208" s="28" t="n">
        <x:v>14</x:v>
      </x:c>
      <x:c r="J2208" s="28" t="n">
        <x:v>3</x:v>
      </x:c>
      <x:c r="K2208" s="28" t="n">
        <x:v>2</x:v>
      </x:c>
      <x:c r="L2208" s="28" t="n">
        <x:v>6</x:v>
      </x:c>
      <x:c r="M2208" s="28" t="n">
        <x:v>8</x:v>
      </x:c>
      <x:c r="N2208" s="28" t="n">
        <x:v>1</x:v>
      </x:c>
      <x:c r="O2208" s="28" t="n">
        <x:v>0</x:v>
      </x:c>
      <x:c r="P2208" s="28" t="n">
        <x:v>3</x:v>
      </x:c>
      <x:c r="Q2208" s="24" t="n">
        <x:f>IFERROR(J2208/H2208,0)</x:f>
        <x:v>0.3333333333333333</x:v>
      </x:c>
      <x:c r="R2208" s="24" t="n">
        <x:f>IFERROR(F2208/H2208,0)</x:f>
        <x:v>0.3333333333333333</x:v>
      </x:c>
      <x:c r="S2208" s="24" t="n">
        <x:f>IFERROR(F2208/J2208,0)</x:f>
        <x:v>1</x:v>
      </x:c>
      <x:c r="T2208" s="28" t="n">
        <x:f>H2208-I2208</x:f>
        <x:v>-5</x:v>
      </x:c>
      <x:c r="U2208" s="24" t="n">
        <x:f>IFERROR(J2208/H2208,0)-IFERROR(K2208/I2208,0)</x:f>
        <x:v>0.19047619047619047</x:v>
      </x:c>
      <x:c r="V2208" s="24" t="n">
        <x:f>IFERROR(F2208/J2208,0)-IFERROR(G2208/K2208,0)</x:f>
        <x:v>0</x:v>
      </x:c>
      <x:c r="W2208" s="28" t="n">
        <x:f>L2208-M2208</x:f>
        <x:v>-2</x:v>
      </x:c>
      <x:c r="X2208" s="24" t="n">
        <x:f>IFERROR(K2208/I2208,0)</x:f>
        <x:v>0.14285714285714285</x:v>
      </x:c>
      <x:c r="Y2208" s="24" t="n">
        <x:f>IFERROR(G2208/I2208,0)</x:f>
        <x:v>0.14285714285714285</x:v>
      </x:c>
      <x:c r="Z2208" s="24" t="n">
        <x:f>IFERROR(G2208/K2208,0)</x:f>
        <x:v>1</x:v>
      </x:c>
      <x:c r="AA2208" s="24" t="n">
        <x:f>IFERROR(F2208/H2208,0)-IFERROR(G2208/I2208,0)</x:f>
        <x:v>0.19047619047619047</x:v>
      </x:c>
      <x:c r="AB2208" s="28" t="n">
        <x:f>J2208-K2208</x:f>
        <x:v>1</x:v>
      </x:c>
      <x:c r="AC2208" s="32" t="n">
        <x:f>F2208-G2208</x:f>
        <x:v>1</x:v>
      </x:c>
    </x:row>
    <x:row r="2209">
      <x:c r="A2209" s="4" t="str">
        <x:v>2023-24</x:v>
      </x:c>
      <x:c r="B2209" s="20" t="n">
        <x:v>45410</x:v>
      </x:c>
      <x:c r="C2209" s="4" t="str">
        <x:v>Bournemouth</x:v>
      </x:c>
      <x:c r="D2209" s="4" t="str">
        <x:v>Brighton</x:v>
      </x:c>
      <x:c r="E2209" s="4" t="str">
        <x:v>Home</x:v>
      </x:c>
      <x:c r="F2209" s="28" t="n">
        <x:v>3</x:v>
      </x:c>
      <x:c r="G2209" s="28" t="n">
        <x:v>0</x:v>
      </x:c>
      <x:c r="H2209" s="28" t="n">
        <x:v>15</x:v>
      </x:c>
      <x:c r="I2209" s="28" t="n">
        <x:v>13</x:v>
      </x:c>
      <x:c r="J2209" s="28" t="n">
        <x:v>6</x:v>
      </x:c>
      <x:c r="K2209" s="28" t="n">
        <x:v>1</x:v>
      </x:c>
      <x:c r="L2209" s="28" t="n">
        <x:v>8</x:v>
      </x:c>
      <x:c r="M2209" s="28" t="n">
        <x:v>2</x:v>
      </x:c>
      <x:c r="N2209" s="28" t="n">
        <x:v>2</x:v>
      </x:c>
      <x:c r="O2209" s="28" t="n">
        <x:v>0</x:v>
      </x:c>
      <x:c r="P2209" s="28" t="n">
        <x:v>3</x:v>
      </x:c>
      <x:c r="Q2209" s="24" t="n">
        <x:f>IFERROR(J2209/H2209,0)</x:f>
        <x:v>0.4</x:v>
      </x:c>
      <x:c r="R2209" s="24" t="n">
        <x:f>IFERROR(F2209/H2209,0)</x:f>
        <x:v>0.2</x:v>
      </x:c>
      <x:c r="S2209" s="24" t="n">
        <x:f>IFERROR(F2209/J2209,0)</x:f>
        <x:v>0.5</x:v>
      </x:c>
      <x:c r="T2209" s="28" t="n">
        <x:f>H2209-I2209</x:f>
        <x:v>2</x:v>
      </x:c>
      <x:c r="U2209" s="24" t="n">
        <x:f>IFERROR(J2209/H2209,0)-IFERROR(K2209/I2209,0)</x:f>
        <x:v>0.3230769230769231</x:v>
      </x:c>
      <x:c r="V2209" s="24" t="n">
        <x:f>IFERROR(F2209/J2209,0)-IFERROR(G2209/K2209,0)</x:f>
        <x:v>0.5</x:v>
      </x:c>
      <x:c r="W2209" s="28" t="n">
        <x:f>L2209-M2209</x:f>
        <x:v>6</x:v>
      </x:c>
      <x:c r="X2209" s="24" t="n">
        <x:f>IFERROR(K2209/I2209,0)</x:f>
        <x:v>0.07692307692307693</x:v>
      </x:c>
      <x:c r="Y2209" s="24" t="n">
        <x:f>IFERROR(G2209/I2209,0)</x:f>
        <x:v>0</x:v>
      </x:c>
      <x:c r="Z2209" s="24" t="n">
        <x:f>IFERROR(G2209/K2209,0)</x:f>
        <x:v>0</x:v>
      </x:c>
      <x:c r="AA2209" s="24" t="n">
        <x:f>IFERROR(F2209/H2209,0)-IFERROR(G2209/I2209,0)</x:f>
        <x:v>0.2</x:v>
      </x:c>
      <x:c r="AB2209" s="28" t="n">
        <x:f>J2209-K2209</x:f>
        <x:v>5</x:v>
      </x:c>
      <x:c r="AC2209" s="32" t="n">
        <x:f>F2209-G2209</x:f>
        <x:v>3</x:v>
      </x:c>
    </x:row>
    <x:row r="2210">
      <x:c r="A2210" s="4" t="str">
        <x:v>2023-24</x:v>
      </x:c>
      <x:c r="B2210" s="20" t="n">
        <x:v>45410</x:v>
      </x:c>
      <x:c r="C2210" s="4" t="str">
        <x:v>Brighton</x:v>
      </x:c>
      <x:c r="D2210" s="4" t="str">
        <x:v>Bournemouth</x:v>
      </x:c>
      <x:c r="E2210" s="4" t="str">
        <x:v>Away</x:v>
      </x:c>
      <x:c r="F2210" s="28" t="n">
        <x:v>0</x:v>
      </x:c>
      <x:c r="G2210" s="28" t="n">
        <x:v>3</x:v>
      </x:c>
      <x:c r="H2210" s="28" t="n">
        <x:v>13</x:v>
      </x:c>
      <x:c r="I2210" s="28" t="n">
        <x:v>15</x:v>
      </x:c>
      <x:c r="J2210" s="28" t="n">
        <x:v>1</x:v>
      </x:c>
      <x:c r="K2210" s="28" t="n">
        <x:v>6</x:v>
      </x:c>
      <x:c r="L2210" s="28" t="n">
        <x:v>2</x:v>
      </x:c>
      <x:c r="M2210" s="28" t="n">
        <x:v>8</x:v>
      </x:c>
      <x:c r="N2210" s="28" t="n">
        <x:v>2</x:v>
      </x:c>
      <x:c r="O2210" s="28" t="n">
        <x:v>0</x:v>
      </x:c>
      <x:c r="P2210" s="28" t="n">
        <x:v>0</x:v>
      </x:c>
      <x:c r="Q2210" s="24" t="n">
        <x:f>IFERROR(J2210/H2210,0)</x:f>
        <x:v>0.07692307692307693</x:v>
      </x:c>
      <x:c r="R2210" s="24" t="n">
        <x:f>IFERROR(F2210/H2210,0)</x:f>
        <x:v>0</x:v>
      </x:c>
      <x:c r="S2210" s="24" t="n">
        <x:f>IFERROR(F2210/J2210,0)</x:f>
        <x:v>0</x:v>
      </x:c>
      <x:c r="T2210" s="28" t="n">
        <x:f>H2210-I2210</x:f>
        <x:v>-2</x:v>
      </x:c>
      <x:c r="U2210" s="24" t="n">
        <x:f>IFERROR(J2210/H2210,0)-IFERROR(K2210/I2210,0)</x:f>
        <x:v>-0.3230769230769231</x:v>
      </x:c>
      <x:c r="V2210" s="24" t="n">
        <x:f>IFERROR(F2210/J2210,0)-IFERROR(G2210/K2210,0)</x:f>
        <x:v>-0.5</x:v>
      </x:c>
      <x:c r="W2210" s="28" t="n">
        <x:f>L2210-M2210</x:f>
        <x:v>-6</x:v>
      </x:c>
      <x:c r="X2210" s="24" t="n">
        <x:f>IFERROR(K2210/I2210,0)</x:f>
        <x:v>0.4</x:v>
      </x:c>
      <x:c r="Y2210" s="24" t="n">
        <x:f>IFERROR(G2210/I2210,0)</x:f>
        <x:v>0.2</x:v>
      </x:c>
      <x:c r="Z2210" s="24" t="n">
        <x:f>IFERROR(G2210/K2210,0)</x:f>
        <x:v>0.5</x:v>
      </x:c>
      <x:c r="AA2210" s="24" t="n">
        <x:f>IFERROR(F2210/H2210,0)-IFERROR(G2210/I2210,0)</x:f>
        <x:v>-0.2</x:v>
      </x:c>
      <x:c r="AB2210" s="28" t="n">
        <x:f>J2210-K2210</x:f>
        <x:v>-5</x:v>
      </x:c>
      <x:c r="AC2210" s="32" t="n">
        <x:f>F2210-G2210</x:f>
        <x:v>-3</x:v>
      </x:c>
    </x:row>
    <x:row r="2211">
      <x:c r="A2211" s="4" t="str">
        <x:v>2023-24</x:v>
      </x:c>
      <x:c r="B2211" s="20" t="n">
        <x:v>45410</x:v>
      </x:c>
      <x:c r="C2211" s="4" t="str">
        <x:v>Man City</x:v>
      </x:c>
      <x:c r="D2211" s="4" t="str">
        <x:v>Nott'm Forest</x:v>
      </x:c>
      <x:c r="E2211" s="4" t="str">
        <x:v>Away</x:v>
      </x:c>
      <x:c r="F2211" s="28" t="n">
        <x:v>2</x:v>
      </x:c>
      <x:c r="G2211" s="28" t="n">
        <x:v>0</x:v>
      </x:c>
      <x:c r="H2211" s="28" t="n">
        <x:v>11</x:v>
      </x:c>
      <x:c r="I2211" s="28" t="n">
        <x:v>14</x:v>
      </x:c>
      <x:c r="J2211" s="28" t="n">
        <x:v>5</x:v>
      </x:c>
      <x:c r="K2211" s="28" t="n">
        <x:v>2</x:v>
      </x:c>
      <x:c r="L2211" s="28" t="n">
        <x:v>5</x:v>
      </x:c>
      <x:c r="M2211" s="28" t="n">
        <x:v>4</x:v>
      </x:c>
      <x:c r="N2211" s="28" t="n">
        <x:v>0</x:v>
      </x:c>
      <x:c r="O2211" s="28" t="n">
        <x:v>0</x:v>
      </x:c>
      <x:c r="P2211" s="28" t="n">
        <x:v>3</x:v>
      </x:c>
      <x:c r="Q2211" s="24" t="n">
        <x:f>IFERROR(J2211/H2211,0)</x:f>
        <x:v>0.45454545454545453</x:v>
      </x:c>
      <x:c r="R2211" s="24" t="n">
        <x:f>IFERROR(F2211/H2211,0)</x:f>
        <x:v>0.18181818181818182</x:v>
      </x:c>
      <x:c r="S2211" s="24" t="n">
        <x:f>IFERROR(F2211/J2211,0)</x:f>
        <x:v>0.4</x:v>
      </x:c>
      <x:c r="T2211" s="28" t="n">
        <x:f>H2211-I2211</x:f>
        <x:v>-3</x:v>
      </x:c>
      <x:c r="U2211" s="24" t="n">
        <x:f>IFERROR(J2211/H2211,0)-IFERROR(K2211/I2211,0)</x:f>
        <x:v>0.3116883116883117</x:v>
      </x:c>
      <x:c r="V2211" s="24" t="n">
        <x:f>IFERROR(F2211/J2211,0)-IFERROR(G2211/K2211,0)</x:f>
        <x:v>0.4</x:v>
      </x:c>
      <x:c r="W2211" s="28" t="n">
        <x:f>L2211-M2211</x:f>
        <x:v>1</x:v>
      </x:c>
      <x:c r="X2211" s="24" t="n">
        <x:f>IFERROR(K2211/I2211,0)</x:f>
        <x:v>0.14285714285714285</x:v>
      </x:c>
      <x:c r="Y2211" s="24" t="n">
        <x:f>IFERROR(G2211/I2211,0)</x:f>
        <x:v>0</x:v>
      </x:c>
      <x:c r="Z2211" s="24" t="n">
        <x:f>IFERROR(G2211/K2211,0)</x:f>
        <x:v>0</x:v>
      </x:c>
      <x:c r="AA2211" s="24" t="n">
        <x:f>IFERROR(F2211/H2211,0)-IFERROR(G2211/I2211,0)</x:f>
        <x:v>0.18181818181818182</x:v>
      </x:c>
      <x:c r="AB2211" s="28" t="n">
        <x:f>J2211-K2211</x:f>
        <x:v>3</x:v>
      </x:c>
      <x:c r="AC2211" s="32" t="n">
        <x:f>F2211-G2211</x:f>
        <x:v>2</x:v>
      </x:c>
    </x:row>
    <x:row r="2212">
      <x:c r="A2212" s="4" t="str">
        <x:v>2023-24</x:v>
      </x:c>
      <x:c r="B2212" s="20" t="n">
        <x:v>45410</x:v>
      </x:c>
      <x:c r="C2212" s="4" t="str">
        <x:v>Nott'm Forest</x:v>
      </x:c>
      <x:c r="D2212" s="4" t="str">
        <x:v>Man City</x:v>
      </x:c>
      <x:c r="E2212" s="4" t="str">
        <x:v>Home</x:v>
      </x:c>
      <x:c r="F2212" s="28" t="n">
        <x:v>0</x:v>
      </x:c>
      <x:c r="G2212" s="28" t="n">
        <x:v>2</x:v>
      </x:c>
      <x:c r="H2212" s="28" t="n">
        <x:v>14</x:v>
      </x:c>
      <x:c r="I2212" s="28" t="n">
        <x:v>11</x:v>
      </x:c>
      <x:c r="J2212" s="28" t="n">
        <x:v>2</x:v>
      </x:c>
      <x:c r="K2212" s="28" t="n">
        <x:v>5</x:v>
      </x:c>
      <x:c r="L2212" s="28" t="n">
        <x:v>4</x:v>
      </x:c>
      <x:c r="M2212" s="28" t="n">
        <x:v>5</x:v>
      </x:c>
      <x:c r="N2212" s="28" t="n">
        <x:v>0</x:v>
      </x:c>
      <x:c r="O2212" s="28" t="n">
        <x:v>0</x:v>
      </x:c>
      <x:c r="P2212" s="28" t="n">
        <x:v>0</x:v>
      </x:c>
      <x:c r="Q2212" s="24" t="n">
        <x:f>IFERROR(J2212/H2212,0)</x:f>
        <x:v>0.14285714285714285</x:v>
      </x:c>
      <x:c r="R2212" s="24" t="n">
        <x:f>IFERROR(F2212/H2212,0)</x:f>
        <x:v>0</x:v>
      </x:c>
      <x:c r="S2212" s="24" t="n">
        <x:f>IFERROR(F2212/J2212,0)</x:f>
        <x:v>0</x:v>
      </x:c>
      <x:c r="T2212" s="28" t="n">
        <x:f>H2212-I2212</x:f>
        <x:v>3</x:v>
      </x:c>
      <x:c r="U2212" s="24" t="n">
        <x:f>IFERROR(J2212/H2212,0)-IFERROR(K2212/I2212,0)</x:f>
        <x:v>-0.3116883116883117</x:v>
      </x:c>
      <x:c r="V2212" s="24" t="n">
        <x:f>IFERROR(F2212/J2212,0)-IFERROR(G2212/K2212,0)</x:f>
        <x:v>-0.4</x:v>
      </x:c>
      <x:c r="W2212" s="28" t="n">
        <x:f>L2212-M2212</x:f>
        <x:v>-1</x:v>
      </x:c>
      <x:c r="X2212" s="24" t="n">
        <x:f>IFERROR(K2212/I2212,0)</x:f>
        <x:v>0.45454545454545453</x:v>
      </x:c>
      <x:c r="Y2212" s="24" t="n">
        <x:f>IFERROR(G2212/I2212,0)</x:f>
        <x:v>0.18181818181818182</x:v>
      </x:c>
      <x:c r="Z2212" s="24" t="n">
        <x:f>IFERROR(G2212/K2212,0)</x:f>
        <x:v>0.4</x:v>
      </x:c>
      <x:c r="AA2212" s="24" t="n">
        <x:f>IFERROR(F2212/H2212,0)-IFERROR(G2212/I2212,0)</x:f>
        <x:v>-0.18181818181818182</x:v>
      </x:c>
      <x:c r="AB2212" s="28" t="n">
        <x:f>J2212-K2212</x:f>
        <x:v>-3</x:v>
      </x:c>
      <x:c r="AC2212" s="32" t="n">
        <x:f>F2212-G2212</x:f>
        <x:v>-2</x:v>
      </x:c>
    </x:row>
    <x:row r="2213">
      <x:c r="A2213" s="4" t="str">
        <x:v>2023-24</x:v>
      </x:c>
      <x:c r="B2213" s="20" t="n">
        <x:v>45410</x:v>
      </x:c>
      <x:c r="C2213" s="4" t="str">
        <x:v>Tottenham</x:v>
      </x:c>
      <x:c r="D2213" s="4" t="str">
        <x:v>Arsenal</x:v>
      </x:c>
      <x:c r="E2213" s="4" t="str">
        <x:v>Home</x:v>
      </x:c>
      <x:c r="F2213" s="28" t="n">
        <x:v>2</x:v>
      </x:c>
      <x:c r="G2213" s="28" t="n">
        <x:v>3</x:v>
      </x:c>
      <x:c r="H2213" s="28" t="n">
        <x:v>14</x:v>
      </x:c>
      <x:c r="I2213" s="28" t="n">
        <x:v>9</x:v>
      </x:c>
      <x:c r="J2213" s="28" t="n">
        <x:v>2</x:v>
      </x:c>
      <x:c r="K2213" s="28" t="n">
        <x:v>3</x:v>
      </x:c>
      <x:c r="L2213" s="28" t="n">
        <x:v>8</x:v>
      </x:c>
      <x:c r="M2213" s="28" t="n">
        <x:v>6</x:v>
      </x:c>
      <x:c r="N2213" s="28" t="n">
        <x:v>2</x:v>
      </x:c>
      <x:c r="O2213" s="28" t="n">
        <x:v>0</x:v>
      </x:c>
      <x:c r="P2213" s="28" t="n">
        <x:v>0</x:v>
      </x:c>
      <x:c r="Q2213" s="24" t="n">
        <x:f>IFERROR(J2213/H2213,0)</x:f>
        <x:v>0.14285714285714285</x:v>
      </x:c>
      <x:c r="R2213" s="24" t="n">
        <x:f>IFERROR(F2213/H2213,0)</x:f>
        <x:v>0.14285714285714285</x:v>
      </x:c>
      <x:c r="S2213" s="24" t="n">
        <x:f>IFERROR(F2213/J2213,0)</x:f>
        <x:v>1</x:v>
      </x:c>
      <x:c r="T2213" s="28" t="n">
        <x:f>H2213-I2213</x:f>
        <x:v>5</x:v>
      </x:c>
      <x:c r="U2213" s="24" t="n">
        <x:f>IFERROR(J2213/H2213,0)-IFERROR(K2213/I2213,0)</x:f>
        <x:v>-0.19047619047619047</x:v>
      </x:c>
      <x:c r="V2213" s="24" t="n">
        <x:f>IFERROR(F2213/J2213,0)-IFERROR(G2213/K2213,0)</x:f>
        <x:v>0</x:v>
      </x:c>
      <x:c r="W2213" s="28" t="n">
        <x:f>L2213-M2213</x:f>
        <x:v>2</x:v>
      </x:c>
      <x:c r="X2213" s="24" t="n">
        <x:f>IFERROR(K2213/I2213,0)</x:f>
        <x:v>0.3333333333333333</x:v>
      </x:c>
      <x:c r="Y2213" s="24" t="n">
        <x:f>IFERROR(G2213/I2213,0)</x:f>
        <x:v>0.3333333333333333</x:v>
      </x:c>
      <x:c r="Z2213" s="24" t="n">
        <x:f>IFERROR(G2213/K2213,0)</x:f>
        <x:v>1</x:v>
      </x:c>
      <x:c r="AA2213" s="24" t="n">
        <x:f>IFERROR(F2213/H2213,0)-IFERROR(G2213/I2213,0)</x:f>
        <x:v>-0.19047619047619047</x:v>
      </x:c>
      <x:c r="AB2213" s="28" t="n">
        <x:f>J2213-K2213</x:f>
        <x:v>-1</x:v>
      </x:c>
      <x:c r="AC2213" s="32" t="n">
        <x:f>F2213-G2213</x:f>
        <x:v>-1</x:v>
      </x:c>
    </x:row>
    <x:row r="2214">
      <x:c r="A2214" s="4" t="str">
        <x:v>2023-24</x:v>
      </x:c>
      <x:c r="B2214" s="20" t="n">
        <x:v>45414</x:v>
      </x:c>
      <x:c r="C2214" s="4" t="str">
        <x:v>Chelsea</x:v>
      </x:c>
      <x:c r="D2214" s="4" t="str">
        <x:v>Tottenham</x:v>
      </x:c>
      <x:c r="E2214" s="4" t="str">
        <x:v>Home</x:v>
      </x:c>
      <x:c r="F2214" s="28" t="n">
        <x:v>2</x:v>
      </x:c>
      <x:c r="G2214" s="28" t="n">
        <x:v>0</x:v>
      </x:c>
      <x:c r="H2214" s="28" t="n">
        <x:v>16</x:v>
      </x:c>
      <x:c r="I2214" s="28" t="n">
        <x:v>19</x:v>
      </x:c>
      <x:c r="J2214" s="28" t="n">
        <x:v>5</x:v>
      </x:c>
      <x:c r="K2214" s="28" t="n">
        <x:v>3</x:v>
      </x:c>
      <x:c r="L2214" s="28" t="n">
        <x:v>4</x:v>
      </x:c>
      <x:c r="M2214" s="28" t="n">
        <x:v>9</x:v>
      </x:c>
      <x:c r="N2214" s="28" t="n">
        <x:v>0</x:v>
      </x:c>
      <x:c r="O2214" s="28" t="n">
        <x:v>0</x:v>
      </x:c>
      <x:c r="P2214" s="28" t="n">
        <x:v>3</x:v>
      </x:c>
      <x:c r="Q2214" s="24" t="n">
        <x:f>IFERROR(J2214/H2214,0)</x:f>
        <x:v>0.3125</x:v>
      </x:c>
      <x:c r="R2214" s="24" t="n">
        <x:f>IFERROR(F2214/H2214,0)</x:f>
        <x:v>0.125</x:v>
      </x:c>
      <x:c r="S2214" s="24" t="n">
        <x:f>IFERROR(F2214/J2214,0)</x:f>
        <x:v>0.4</x:v>
      </x:c>
      <x:c r="T2214" s="28" t="n">
        <x:f>H2214-I2214</x:f>
        <x:v>-3</x:v>
      </x:c>
      <x:c r="U2214" s="24" t="n">
        <x:f>IFERROR(J2214/H2214,0)-IFERROR(K2214/I2214,0)</x:f>
        <x:v>0.15460526315789475</x:v>
      </x:c>
      <x:c r="V2214" s="24" t="n">
        <x:f>IFERROR(F2214/J2214,0)-IFERROR(G2214/K2214,0)</x:f>
        <x:v>0.4</x:v>
      </x:c>
      <x:c r="W2214" s="28" t="n">
        <x:f>L2214-M2214</x:f>
        <x:v>-5</x:v>
      </x:c>
      <x:c r="X2214" s="24" t="n">
        <x:f>IFERROR(K2214/I2214,0)</x:f>
        <x:v>0.15789473684210525</x:v>
      </x:c>
      <x:c r="Y2214" s="24" t="n">
        <x:f>IFERROR(G2214/I2214,0)</x:f>
        <x:v>0</x:v>
      </x:c>
      <x:c r="Z2214" s="24" t="n">
        <x:f>IFERROR(G2214/K2214,0)</x:f>
        <x:v>0</x:v>
      </x:c>
      <x:c r="AA2214" s="24" t="n">
        <x:f>IFERROR(F2214/H2214,0)-IFERROR(G2214/I2214,0)</x:f>
        <x:v>0.125</x:v>
      </x:c>
      <x:c r="AB2214" s="28" t="n">
        <x:f>J2214-K2214</x:f>
        <x:v>2</x:v>
      </x:c>
      <x:c r="AC2214" s="32" t="n">
        <x:f>F2214-G2214</x:f>
        <x:v>2</x:v>
      </x:c>
    </x:row>
    <x:row r="2215">
      <x:c r="A2215" s="4" t="str">
        <x:v>2023-24</x:v>
      </x:c>
      <x:c r="B2215" s="20" t="n">
        <x:v>45414</x:v>
      </x:c>
      <x:c r="C2215" s="4" t="str">
        <x:v>Tottenham</x:v>
      </x:c>
      <x:c r="D2215" s="4" t="str">
        <x:v>Chelsea</x:v>
      </x:c>
      <x:c r="E2215" s="4" t="str">
        <x:v>Away</x:v>
      </x:c>
      <x:c r="F2215" s="28" t="n">
        <x:v>0</x:v>
      </x:c>
      <x:c r="G2215" s="28" t="n">
        <x:v>2</x:v>
      </x:c>
      <x:c r="H2215" s="28" t="n">
        <x:v>19</x:v>
      </x:c>
      <x:c r="I2215" s="28" t="n">
        <x:v>16</x:v>
      </x:c>
      <x:c r="J2215" s="28" t="n">
        <x:v>3</x:v>
      </x:c>
      <x:c r="K2215" s="28" t="n">
        <x:v>5</x:v>
      </x:c>
      <x:c r="L2215" s="28" t="n">
        <x:v>9</x:v>
      </x:c>
      <x:c r="M2215" s="28" t="n">
        <x:v>4</x:v>
      </x:c>
      <x:c r="N2215" s="28" t="n">
        <x:v>1</x:v>
      </x:c>
      <x:c r="O2215" s="28" t="n">
        <x:v>0</x:v>
      </x:c>
      <x:c r="P2215" s="28" t="n">
        <x:v>0</x:v>
      </x:c>
      <x:c r="Q2215" s="24" t="n">
        <x:f>IFERROR(J2215/H2215,0)</x:f>
        <x:v>0.15789473684210525</x:v>
      </x:c>
      <x:c r="R2215" s="24" t="n">
        <x:f>IFERROR(F2215/H2215,0)</x:f>
        <x:v>0</x:v>
      </x:c>
      <x:c r="S2215" s="24" t="n">
        <x:f>IFERROR(F2215/J2215,0)</x:f>
        <x:v>0</x:v>
      </x:c>
      <x:c r="T2215" s="28" t="n">
        <x:f>H2215-I2215</x:f>
        <x:v>3</x:v>
      </x:c>
      <x:c r="U2215" s="24" t="n">
        <x:f>IFERROR(J2215/H2215,0)-IFERROR(K2215/I2215,0)</x:f>
        <x:v>-0.15460526315789475</x:v>
      </x:c>
      <x:c r="V2215" s="24" t="n">
        <x:f>IFERROR(F2215/J2215,0)-IFERROR(G2215/K2215,0)</x:f>
        <x:v>-0.4</x:v>
      </x:c>
      <x:c r="W2215" s="28" t="n">
        <x:f>L2215-M2215</x:f>
        <x:v>5</x:v>
      </x:c>
      <x:c r="X2215" s="24" t="n">
        <x:f>IFERROR(K2215/I2215,0)</x:f>
        <x:v>0.3125</x:v>
      </x:c>
      <x:c r="Y2215" s="24" t="n">
        <x:f>IFERROR(G2215/I2215,0)</x:f>
        <x:v>0.125</x:v>
      </x:c>
      <x:c r="Z2215" s="24" t="n">
        <x:f>IFERROR(G2215/K2215,0)</x:f>
        <x:v>0.4</x:v>
      </x:c>
      <x:c r="AA2215" s="24" t="n">
        <x:f>IFERROR(F2215/H2215,0)-IFERROR(G2215/I2215,0)</x:f>
        <x:v>-0.125</x:v>
      </x:c>
      <x:c r="AB2215" s="28" t="n">
        <x:f>J2215-K2215</x:f>
        <x:v>-2</x:v>
      </x:c>
      <x:c r="AC2215" s="32" t="n">
        <x:f>F2215-G2215</x:f>
        <x:v>-2</x:v>
      </x:c>
    </x:row>
    <x:row r="2216">
      <x:c r="A2216" s="4" t="str">
        <x:v>2023-24</x:v>
      </x:c>
      <x:c r="B2216" s="20" t="n">
        <x:v>45415</x:v>
      </x:c>
      <x:c r="C2216" s="4" t="str">
        <x:v>Everton</x:v>
      </x:c>
      <x:c r="D2216" s="4" t="str">
        <x:v>Luton</x:v>
      </x:c>
      <x:c r="E2216" s="4" t="str">
        <x:v>Away</x:v>
      </x:c>
      <x:c r="F2216" s="28" t="n">
        <x:v>1</x:v>
      </x:c>
      <x:c r="G2216" s="28" t="n">
        <x:v>1</x:v>
      </x:c>
      <x:c r="H2216" s="28" t="n">
        <x:v>10</x:v>
      </x:c>
      <x:c r="I2216" s="28" t="n">
        <x:v>18</x:v>
      </x:c>
      <x:c r="J2216" s="28" t="n">
        <x:v>3</x:v>
      </x:c>
      <x:c r="K2216" s="28" t="n">
        <x:v>5</x:v>
      </x:c>
      <x:c r="L2216" s="28" t="n">
        <x:v>7</x:v>
      </x:c>
      <x:c r="M2216" s="28" t="n">
        <x:v>8</x:v>
      </x:c>
      <x:c r="N2216" s="28" t="n">
        <x:v>3</x:v>
      </x:c>
      <x:c r="O2216" s="28" t="n">
        <x:v>0</x:v>
      </x:c>
      <x:c r="P2216" s="28" t="n">
        <x:v>1</x:v>
      </x:c>
      <x:c r="Q2216" s="24" t="n">
        <x:f>IFERROR(J2216/H2216,0)</x:f>
        <x:v>0.3</x:v>
      </x:c>
      <x:c r="R2216" s="24" t="n">
        <x:f>IFERROR(F2216/H2216,0)</x:f>
        <x:v>0.1</x:v>
      </x:c>
      <x:c r="S2216" s="24" t="n">
        <x:f>IFERROR(F2216/J2216,0)</x:f>
        <x:v>0.3333333333333333</x:v>
      </x:c>
      <x:c r="T2216" s="28" t="n">
        <x:f>H2216-I2216</x:f>
        <x:v>-8</x:v>
      </x:c>
      <x:c r="U2216" s="24" t="n">
        <x:f>IFERROR(J2216/H2216,0)-IFERROR(K2216/I2216,0)</x:f>
        <x:v>0.0222222222222222</x:v>
      </x:c>
      <x:c r="V2216" s="24" t="n">
        <x:f>IFERROR(F2216/J2216,0)-IFERROR(G2216/K2216,0)</x:f>
        <x:v>0.1333333333333333</x:v>
      </x:c>
      <x:c r="W2216" s="28" t="n">
        <x:f>L2216-M2216</x:f>
        <x:v>-1</x:v>
      </x:c>
      <x:c r="X2216" s="24" t="n">
        <x:f>IFERROR(K2216/I2216,0)</x:f>
        <x:v>0.2777777777777778</x:v>
      </x:c>
      <x:c r="Y2216" s="24" t="n">
        <x:f>IFERROR(G2216/I2216,0)</x:f>
        <x:v>0.05555555555555555</x:v>
      </x:c>
      <x:c r="Z2216" s="24" t="n">
        <x:f>IFERROR(G2216/K2216,0)</x:f>
        <x:v>0.2</x:v>
      </x:c>
      <x:c r="AA2216" s="24" t="n">
        <x:f>IFERROR(F2216/H2216,0)-IFERROR(G2216/I2216,0)</x:f>
        <x:v>0.04444444444444445</x:v>
      </x:c>
      <x:c r="AB2216" s="28" t="n">
        <x:f>J2216-K2216</x:f>
        <x:v>-2</x:v>
      </x:c>
      <x:c r="AC2216" s="32" t="n">
        <x:f>F2216-G2216</x:f>
        <x:v>0</x:v>
      </x:c>
    </x:row>
    <x:row r="2217">
      <x:c r="A2217" s="4" t="str">
        <x:v>2023-24</x:v>
      </x:c>
      <x:c r="B2217" s="20" t="n">
        <x:v>45415</x:v>
      </x:c>
      <x:c r="C2217" s="4" t="str">
        <x:v>Luton</x:v>
      </x:c>
      <x:c r="D2217" s="4" t="str">
        <x:v>Everton</x:v>
      </x:c>
      <x:c r="E2217" s="4" t="str">
        <x:v>Home</x:v>
      </x:c>
      <x:c r="F2217" s="28" t="n">
        <x:v>1</x:v>
      </x:c>
      <x:c r="G2217" s="28" t="n">
        <x:v>1</x:v>
      </x:c>
      <x:c r="H2217" s="28" t="n">
        <x:v>18</x:v>
      </x:c>
      <x:c r="I2217" s="28" t="n">
        <x:v>10</x:v>
      </x:c>
      <x:c r="J2217" s="28" t="n">
        <x:v>5</x:v>
      </x:c>
      <x:c r="K2217" s="28" t="n">
        <x:v>3</x:v>
      </x:c>
      <x:c r="L2217" s="28" t="n">
        <x:v>8</x:v>
      </x:c>
      <x:c r="M2217" s="28" t="n">
        <x:v>7</x:v>
      </x:c>
      <x:c r="N2217" s="28" t="n">
        <x:v>1</x:v>
      </x:c>
      <x:c r="O2217" s="28" t="n">
        <x:v>0</x:v>
      </x:c>
      <x:c r="P2217" s="28" t="n">
        <x:v>1</x:v>
      </x:c>
      <x:c r="Q2217" s="24" t="n">
        <x:f>IFERROR(J2217/H2217,0)</x:f>
        <x:v>0.2777777777777778</x:v>
      </x:c>
      <x:c r="R2217" s="24" t="n">
        <x:f>IFERROR(F2217/H2217,0)</x:f>
        <x:v>0.05555555555555555</x:v>
      </x:c>
      <x:c r="S2217" s="24" t="n">
        <x:f>IFERROR(F2217/J2217,0)</x:f>
        <x:v>0.2</x:v>
      </x:c>
      <x:c r="T2217" s="28" t="n">
        <x:f>H2217-I2217</x:f>
        <x:v>8</x:v>
      </x:c>
      <x:c r="U2217" s="24" t="n">
        <x:f>IFERROR(J2217/H2217,0)-IFERROR(K2217/I2217,0)</x:f>
        <x:v>-0.0222222222222222</x:v>
      </x:c>
      <x:c r="V2217" s="24" t="n">
        <x:f>IFERROR(F2217/J2217,0)-IFERROR(G2217/K2217,0)</x:f>
        <x:v>-0.1333333333333333</x:v>
      </x:c>
      <x:c r="W2217" s="28" t="n">
        <x:f>L2217-M2217</x:f>
        <x:v>1</x:v>
      </x:c>
      <x:c r="X2217" s="24" t="n">
        <x:f>IFERROR(K2217/I2217,0)</x:f>
        <x:v>0.3</x:v>
      </x:c>
      <x:c r="Y2217" s="24" t="n">
        <x:f>IFERROR(G2217/I2217,0)</x:f>
        <x:v>0.1</x:v>
      </x:c>
      <x:c r="Z2217" s="24" t="n">
        <x:f>IFERROR(G2217/K2217,0)</x:f>
        <x:v>0.3333333333333333</x:v>
      </x:c>
      <x:c r="AA2217" s="24" t="n">
        <x:f>IFERROR(F2217/H2217,0)-IFERROR(G2217/I2217,0)</x:f>
        <x:v>-0.04444444444444445</x:v>
      </x:c>
      <x:c r="AB2217" s="28" t="n">
        <x:f>J2217-K2217</x:f>
        <x:v>2</x:v>
      </x:c>
      <x:c r="AC2217" s="32" t="n">
        <x:f>F2217-G2217</x:f>
        <x:v>0</x:v>
      </x:c>
    </x:row>
    <x:row r="2218">
      <x:c r="A2218" s="4" t="str">
        <x:v>2023-24</x:v>
      </x:c>
      <x:c r="B2218" s="20" t="n">
        <x:v>45416</x:v>
      </x:c>
      <x:c r="C2218" s="4" t="str">
        <x:v>Arsenal</x:v>
      </x:c>
      <x:c r="D2218" s="4" t="str">
        <x:v>Bournemouth</x:v>
      </x:c>
      <x:c r="E2218" s="4" t="str">
        <x:v>Home</x:v>
      </x:c>
      <x:c r="F2218" s="28" t="n">
        <x:v>3</x:v>
      </x:c>
      <x:c r="G2218" s="28" t="n">
        <x:v>0</x:v>
      </x:c>
      <x:c r="H2218" s="28" t="n">
        <x:v>25</x:v>
      </x:c>
      <x:c r="I2218" s="28" t="n">
        <x:v>7</x:v>
      </x:c>
      <x:c r="J2218" s="28" t="n">
        <x:v>9</x:v>
      </x:c>
      <x:c r="K2218" s="28" t="n">
        <x:v>2</x:v>
      </x:c>
      <x:c r="L2218" s="28" t="n">
        <x:v>6</x:v>
      </x:c>
      <x:c r="M2218" s="28" t="n">
        <x:v>1</x:v>
      </x:c>
      <x:c r="N2218" s="28" t="n">
        <x:v>2</x:v>
      </x:c>
      <x:c r="O2218" s="28" t="n">
        <x:v>0</x:v>
      </x:c>
      <x:c r="P2218" s="28" t="n">
        <x:v>3</x:v>
      </x:c>
      <x:c r="Q2218" s="24" t="n">
        <x:f>IFERROR(J2218/H2218,0)</x:f>
        <x:v>0.36</x:v>
      </x:c>
      <x:c r="R2218" s="24" t="n">
        <x:f>IFERROR(F2218/H2218,0)</x:f>
        <x:v>0.12</x:v>
      </x:c>
      <x:c r="S2218" s="24" t="n">
        <x:f>IFERROR(F2218/J2218,0)</x:f>
        <x:v>0.3333333333333333</x:v>
      </x:c>
      <x:c r="T2218" s="28" t="n">
        <x:f>H2218-I2218</x:f>
        <x:v>18</x:v>
      </x:c>
      <x:c r="U2218" s="24" t="n">
        <x:f>IFERROR(J2218/H2218,0)-IFERROR(K2218/I2218,0)</x:f>
        <x:v>0.07428571428571429</x:v>
      </x:c>
      <x:c r="V2218" s="24" t="n">
        <x:f>IFERROR(F2218/J2218,0)-IFERROR(G2218/K2218,0)</x:f>
        <x:v>0.3333333333333333</x:v>
      </x:c>
      <x:c r="W2218" s="28" t="n">
        <x:f>L2218-M2218</x:f>
        <x:v>5</x:v>
      </x:c>
      <x:c r="X2218" s="24" t="n">
        <x:f>IFERROR(K2218/I2218,0)</x:f>
        <x:v>0.2857142857142857</x:v>
      </x:c>
      <x:c r="Y2218" s="24" t="n">
        <x:f>IFERROR(G2218/I2218,0)</x:f>
        <x:v>0</x:v>
      </x:c>
      <x:c r="Z2218" s="24" t="n">
        <x:f>IFERROR(G2218/K2218,0)</x:f>
        <x:v>0</x:v>
      </x:c>
      <x:c r="AA2218" s="24" t="n">
        <x:f>IFERROR(F2218/H2218,0)-IFERROR(G2218/I2218,0)</x:f>
        <x:v>0.12</x:v>
      </x:c>
      <x:c r="AB2218" s="28" t="n">
        <x:f>J2218-K2218</x:f>
        <x:v>7</x:v>
      </x:c>
      <x:c r="AC2218" s="32" t="n">
        <x:f>F2218-G2218</x:f>
        <x:v>3</x:v>
      </x:c>
    </x:row>
    <x:row r="2219">
      <x:c r="A2219" s="4" t="str">
        <x:v>2023-24</x:v>
      </x:c>
      <x:c r="B2219" s="20" t="n">
        <x:v>45416</x:v>
      </x:c>
      <x:c r="C2219" s="4" t="str">
        <x:v>Bournemouth</x:v>
      </x:c>
      <x:c r="D2219" s="4" t="str">
        <x:v>Arsenal</x:v>
      </x:c>
      <x:c r="E2219" s="4" t="str">
        <x:v>Away</x:v>
      </x:c>
      <x:c r="F2219" s="28" t="n">
        <x:v>0</x:v>
      </x:c>
      <x:c r="G2219" s="28" t="n">
        <x:v>3</x:v>
      </x:c>
      <x:c r="H2219" s="28" t="n">
        <x:v>7</x:v>
      </x:c>
      <x:c r="I2219" s="28" t="n">
        <x:v>25</x:v>
      </x:c>
      <x:c r="J2219" s="28" t="n">
        <x:v>2</x:v>
      </x:c>
      <x:c r="K2219" s="28" t="n">
        <x:v>9</x:v>
      </x:c>
      <x:c r="L2219" s="28" t="n">
        <x:v>1</x:v>
      </x:c>
      <x:c r="M2219" s="28" t="n">
        <x:v>6</x:v>
      </x:c>
      <x:c r="N2219" s="28" t="n">
        <x:v>3</x:v>
      </x:c>
      <x:c r="O2219" s="28" t="n">
        <x:v>0</x:v>
      </x:c>
      <x:c r="P2219" s="28" t="n">
        <x:v>0</x:v>
      </x:c>
      <x:c r="Q2219" s="24" t="n">
        <x:f>IFERROR(J2219/H2219,0)</x:f>
        <x:v>0.2857142857142857</x:v>
      </x:c>
      <x:c r="R2219" s="24" t="n">
        <x:f>IFERROR(F2219/H2219,0)</x:f>
        <x:v>0</x:v>
      </x:c>
      <x:c r="S2219" s="24" t="n">
        <x:f>IFERROR(F2219/J2219,0)</x:f>
        <x:v>0</x:v>
      </x:c>
      <x:c r="T2219" s="28" t="n">
        <x:f>H2219-I2219</x:f>
        <x:v>-18</x:v>
      </x:c>
      <x:c r="U2219" s="24" t="n">
        <x:f>IFERROR(J2219/H2219,0)-IFERROR(K2219/I2219,0)</x:f>
        <x:v>-0.07428571428571429</x:v>
      </x:c>
      <x:c r="V2219" s="24" t="n">
        <x:f>IFERROR(F2219/J2219,0)-IFERROR(G2219/K2219,0)</x:f>
        <x:v>-0.3333333333333333</x:v>
      </x:c>
      <x:c r="W2219" s="28" t="n">
        <x:f>L2219-M2219</x:f>
        <x:v>-5</x:v>
      </x:c>
      <x:c r="X2219" s="24" t="n">
        <x:f>IFERROR(K2219/I2219,0)</x:f>
        <x:v>0.36</x:v>
      </x:c>
      <x:c r="Y2219" s="24" t="n">
        <x:f>IFERROR(G2219/I2219,0)</x:f>
        <x:v>0.12</x:v>
      </x:c>
      <x:c r="Z2219" s="24" t="n">
        <x:f>IFERROR(G2219/K2219,0)</x:f>
        <x:v>0.3333333333333333</x:v>
      </x:c>
      <x:c r="AA2219" s="24" t="n">
        <x:f>IFERROR(F2219/H2219,0)-IFERROR(G2219/I2219,0)</x:f>
        <x:v>-0.12</x:v>
      </x:c>
      <x:c r="AB2219" s="28" t="n">
        <x:f>J2219-K2219</x:f>
        <x:v>-7</x:v>
      </x:c>
      <x:c r="AC2219" s="32" t="n">
        <x:f>F2219-G2219</x:f>
        <x:v>-3</x:v>
      </x:c>
    </x:row>
    <x:row r="2220">
      <x:c r="A2220" s="4" t="str">
        <x:v>2023-24</x:v>
      </x:c>
      <x:c r="B2220" s="20" t="n">
        <x:v>45416</x:v>
      </x:c>
      <x:c r="C2220" s="4" t="str">
        <x:v>Brentford</x:v>
      </x:c>
      <x:c r="D2220" s="4" t="str">
        <x:v>Fulham</x:v>
      </x:c>
      <x:c r="E2220" s="4" t="str">
        <x:v>Home</x:v>
      </x:c>
      <x:c r="F2220" s="28" t="n">
        <x:v>0</x:v>
      </x:c>
      <x:c r="G2220" s="28" t="n">
        <x:v>0</x:v>
      </x:c>
      <x:c r="H2220" s="28" t="n">
        <x:v>7</x:v>
      </x:c>
      <x:c r="I2220" s="28" t="n">
        <x:v>15</x:v>
      </x:c>
      <x:c r="J2220" s="28" t="n">
        <x:v>3</x:v>
      </x:c>
      <x:c r="K2220" s="28" t="n">
        <x:v>3</x:v>
      </x:c>
      <x:c r="L2220" s="28" t="n">
        <x:v>7</x:v>
      </x:c>
      <x:c r="M2220" s="28" t="n">
        <x:v>6</x:v>
      </x:c>
      <x:c r="N2220" s="28" t="n">
        <x:v>1</x:v>
      </x:c>
      <x:c r="O2220" s="28" t="n">
        <x:v>0</x:v>
      </x:c>
      <x:c r="P2220" s="28" t="n">
        <x:v>1</x:v>
      </x:c>
      <x:c r="Q2220" s="24" t="n">
        <x:f>IFERROR(J2220/H2220,0)</x:f>
        <x:v>0.42857142857142855</x:v>
      </x:c>
      <x:c r="R2220" s="24" t="n">
        <x:f>IFERROR(F2220/H2220,0)</x:f>
        <x:v>0</x:v>
      </x:c>
      <x:c r="S2220" s="24" t="n">
        <x:f>IFERROR(F2220/J2220,0)</x:f>
        <x:v>0</x:v>
      </x:c>
      <x:c r="T2220" s="28" t="n">
        <x:f>H2220-I2220</x:f>
        <x:v>-8</x:v>
      </x:c>
      <x:c r="U2220" s="24" t="n">
        <x:f>IFERROR(J2220/H2220,0)-IFERROR(K2220/I2220,0)</x:f>
        <x:v>0.22857142857142854</x:v>
      </x:c>
      <x:c r="V2220" s="24" t="n">
        <x:f>IFERROR(F2220/J2220,0)-IFERROR(G2220/K2220,0)</x:f>
        <x:v>0</x:v>
      </x:c>
      <x:c r="W2220" s="28" t="n">
        <x:f>L2220-M2220</x:f>
        <x:v>1</x:v>
      </x:c>
      <x:c r="X2220" s="24" t="n">
        <x:f>IFERROR(K2220/I2220,0)</x:f>
        <x:v>0.2</x:v>
      </x:c>
      <x:c r="Y2220" s="24" t="n">
        <x:f>IFERROR(G2220/I2220,0)</x:f>
        <x:v>0</x:v>
      </x:c>
      <x:c r="Z2220" s="24" t="n">
        <x:f>IFERROR(G2220/K2220,0)</x:f>
        <x:v>0</x:v>
      </x:c>
      <x:c r="AA2220" s="24" t="n">
        <x:f>IFERROR(F2220/H2220,0)-IFERROR(G2220/I2220,0)</x:f>
        <x:v>0</x:v>
      </x:c>
      <x:c r="AB2220" s="28" t="n">
        <x:f>J2220-K2220</x:f>
        <x:v>0</x:v>
      </x:c>
      <x:c r="AC2220" s="32" t="n">
        <x:f>F2220-G2220</x:f>
        <x:v>0</x:v>
      </x:c>
    </x:row>
    <x:row r="2221">
      <x:c r="A2221" s="4" t="str">
        <x:v>2023-24</x:v>
      </x:c>
      <x:c r="B2221" s="20" t="n">
        <x:v>45416</x:v>
      </x:c>
      <x:c r="C2221" s="4" t="str">
        <x:v>Burnley</x:v>
      </x:c>
      <x:c r="D2221" s="4" t="str">
        <x:v>Newcastle</x:v>
      </x:c>
      <x:c r="E2221" s="4" t="str">
        <x:v>Home</x:v>
      </x:c>
      <x:c r="F2221" s="28" t="n">
        <x:v>1</x:v>
      </x:c>
      <x:c r="G2221" s="28" t="n">
        <x:v>4</x:v>
      </x:c>
      <x:c r="H2221" s="28" t="n">
        <x:v>17</x:v>
      </x:c>
      <x:c r="I2221" s="28" t="n">
        <x:v>23</x:v>
      </x:c>
      <x:c r="J2221" s="28" t="n">
        <x:v>5</x:v>
      </x:c>
      <x:c r="K2221" s="28" t="n">
        <x:v>11</x:v>
      </x:c>
      <x:c r="L2221" s="28" t="n">
        <x:v>4</x:v>
      </x:c>
      <x:c r="M2221" s="28" t="n">
        <x:v>11</x:v>
      </x:c>
      <x:c r="N2221" s="28" t="n">
        <x:v>2</x:v>
      </x:c>
      <x:c r="O2221" s="28" t="n">
        <x:v>0</x:v>
      </x:c>
      <x:c r="P2221" s="28" t="n">
        <x:v>0</x:v>
      </x:c>
      <x:c r="Q2221" s="24" t="n">
        <x:f>IFERROR(J2221/H2221,0)</x:f>
        <x:v>0.29411764705882354</x:v>
      </x:c>
      <x:c r="R2221" s="24" t="n">
        <x:f>IFERROR(F2221/H2221,0)</x:f>
        <x:v>0.058823529411764705</x:v>
      </x:c>
      <x:c r="S2221" s="24" t="n">
        <x:f>IFERROR(F2221/J2221,0)</x:f>
        <x:v>0.2</x:v>
      </x:c>
      <x:c r="T2221" s="28" t="n">
        <x:f>H2221-I2221</x:f>
        <x:v>-6</x:v>
      </x:c>
      <x:c r="U2221" s="24" t="n">
        <x:f>IFERROR(J2221/H2221,0)-IFERROR(K2221/I2221,0)</x:f>
        <x:v>-0.18414322250639387</x:v>
      </x:c>
      <x:c r="V2221" s="24" t="n">
        <x:f>IFERROR(F2221/J2221,0)-IFERROR(G2221/K2221,0)</x:f>
        <x:v>-0.16363636363636364</x:v>
      </x:c>
      <x:c r="W2221" s="28" t="n">
        <x:f>L2221-M2221</x:f>
        <x:v>-7</x:v>
      </x:c>
      <x:c r="X2221" s="24" t="n">
        <x:f>IFERROR(K2221/I2221,0)</x:f>
        <x:v>0.4782608695652174</x:v>
      </x:c>
      <x:c r="Y2221" s="24" t="n">
        <x:f>IFERROR(G2221/I2221,0)</x:f>
        <x:v>0.17391304347826086</x:v>
      </x:c>
      <x:c r="Z2221" s="24" t="n">
        <x:f>IFERROR(G2221/K2221,0)</x:f>
        <x:v>0.36363636363636365</x:v>
      </x:c>
      <x:c r="AA2221" s="24" t="n">
        <x:f>IFERROR(F2221/H2221,0)-IFERROR(G2221/I2221,0)</x:f>
        <x:v>-0.11508951406649616</x:v>
      </x:c>
      <x:c r="AB2221" s="28" t="n">
        <x:f>J2221-K2221</x:f>
        <x:v>-6</x:v>
      </x:c>
      <x:c r="AC2221" s="32" t="n">
        <x:f>F2221-G2221</x:f>
        <x:v>-3</x:v>
      </x:c>
    </x:row>
    <x:row r="2222">
      <x:c r="A2222" s="4" t="str">
        <x:v>2023-24</x:v>
      </x:c>
      <x:c r="B2222" s="20" t="n">
        <x:v>45416</x:v>
      </x:c>
      <x:c r="C2222" s="4" t="str">
        <x:v>Fulham</x:v>
      </x:c>
      <x:c r="D2222" s="4" t="str">
        <x:v>Brentford</x:v>
      </x:c>
      <x:c r="E2222" s="4" t="str">
        <x:v>Away</x:v>
      </x:c>
      <x:c r="F2222" s="28" t="n">
        <x:v>0</x:v>
      </x:c>
      <x:c r="G2222" s="28" t="n">
        <x:v>0</x:v>
      </x:c>
      <x:c r="H2222" s="28" t="n">
        <x:v>15</x:v>
      </x:c>
      <x:c r="I2222" s="28" t="n">
        <x:v>7</x:v>
      </x:c>
      <x:c r="J2222" s="28" t="n">
        <x:v>3</x:v>
      </x:c>
      <x:c r="K2222" s="28" t="n">
        <x:v>3</x:v>
      </x:c>
      <x:c r="L2222" s="28" t="n">
        <x:v>6</x:v>
      </x:c>
      <x:c r="M2222" s="28" t="n">
        <x:v>7</x:v>
      </x:c>
      <x:c r="N2222" s="28" t="n">
        <x:v>1</x:v>
      </x:c>
      <x:c r="O2222" s="28" t="n">
        <x:v>0</x:v>
      </x:c>
      <x:c r="P2222" s="28" t="n">
        <x:v>1</x:v>
      </x:c>
      <x:c r="Q2222" s="24" t="n">
        <x:f>IFERROR(J2222/H2222,0)</x:f>
        <x:v>0.2</x:v>
      </x:c>
      <x:c r="R2222" s="24" t="n">
        <x:f>IFERROR(F2222/H2222,0)</x:f>
        <x:v>0</x:v>
      </x:c>
      <x:c r="S2222" s="24" t="n">
        <x:f>IFERROR(F2222/J2222,0)</x:f>
        <x:v>0</x:v>
      </x:c>
      <x:c r="T2222" s="28" t="n">
        <x:f>H2222-I2222</x:f>
        <x:v>8</x:v>
      </x:c>
      <x:c r="U2222" s="24" t="n">
        <x:f>IFERROR(J2222/H2222,0)-IFERROR(K2222/I2222,0)</x:f>
        <x:v>-0.22857142857142854</x:v>
      </x:c>
      <x:c r="V2222" s="24" t="n">
        <x:f>IFERROR(F2222/J2222,0)-IFERROR(G2222/K2222,0)</x:f>
        <x:v>0</x:v>
      </x:c>
      <x:c r="W2222" s="28" t="n">
        <x:f>L2222-M2222</x:f>
        <x:v>-1</x:v>
      </x:c>
      <x:c r="X2222" s="24" t="n">
        <x:f>IFERROR(K2222/I2222,0)</x:f>
        <x:v>0.42857142857142855</x:v>
      </x:c>
      <x:c r="Y2222" s="24" t="n">
        <x:f>IFERROR(G2222/I2222,0)</x:f>
        <x:v>0</x:v>
      </x:c>
      <x:c r="Z2222" s="24" t="n">
        <x:f>IFERROR(G2222/K2222,0)</x:f>
        <x:v>0</x:v>
      </x:c>
      <x:c r="AA2222" s="24" t="n">
        <x:f>IFERROR(F2222/H2222,0)-IFERROR(G2222/I2222,0)</x:f>
        <x:v>0</x:v>
      </x:c>
      <x:c r="AB2222" s="28" t="n">
        <x:f>J2222-K2222</x:f>
        <x:v>0</x:v>
      </x:c>
      <x:c r="AC2222" s="32" t="n">
        <x:f>F2222-G2222</x:f>
        <x:v>0</x:v>
      </x:c>
    </x:row>
    <x:row r="2223">
      <x:c r="A2223" s="4" t="str">
        <x:v>2023-24</x:v>
      </x:c>
      <x:c r="B2223" s="20" t="n">
        <x:v>45416</x:v>
      </x:c>
      <x:c r="C2223" s="4" t="str">
        <x:v>Man City</x:v>
      </x:c>
      <x:c r="D2223" s="4" t="str">
        <x:v>Wolves</x:v>
      </x:c>
      <x:c r="E2223" s="4" t="str">
        <x:v>Home</x:v>
      </x:c>
      <x:c r="F2223" s="28" t="n">
        <x:v>5</x:v>
      </x:c>
      <x:c r="G2223" s="28" t="n">
        <x:v>1</x:v>
      </x:c>
      <x:c r="H2223" s="28" t="n">
        <x:v>20</x:v>
      </x:c>
      <x:c r="I2223" s="28" t="n">
        <x:v>2</x:v>
      </x:c>
      <x:c r="J2223" s="28" t="n">
        <x:v>12</x:v>
      </x:c>
      <x:c r="K2223" s="28" t="n">
        <x:v>1</x:v>
      </x:c>
      <x:c r="L2223" s="28" t="n">
        <x:v>6</x:v>
      </x:c>
      <x:c r="M2223" s="28" t="n">
        <x:v>0</x:v>
      </x:c>
      <x:c r="N2223" s="28" t="n">
        <x:v>0</x:v>
      </x:c>
      <x:c r="O2223" s="28" t="n">
        <x:v>0</x:v>
      </x:c>
      <x:c r="P2223" s="28" t="n">
        <x:v>3</x:v>
      </x:c>
      <x:c r="Q2223" s="24" t="n">
        <x:f>IFERROR(J2223/H2223,0)</x:f>
        <x:v>0.6</x:v>
      </x:c>
      <x:c r="R2223" s="24" t="n">
        <x:f>IFERROR(F2223/H2223,0)</x:f>
        <x:v>0.25</x:v>
      </x:c>
      <x:c r="S2223" s="24" t="n">
        <x:f>IFERROR(F2223/J2223,0)</x:f>
        <x:v>0.4166666666666667</x:v>
      </x:c>
      <x:c r="T2223" s="28" t="n">
        <x:f>H2223-I2223</x:f>
        <x:v>18</x:v>
      </x:c>
      <x:c r="U2223" s="24" t="n">
        <x:f>IFERROR(J2223/H2223,0)-IFERROR(K2223/I2223,0)</x:f>
        <x:v>0.09999999999999998</x:v>
      </x:c>
      <x:c r="V2223" s="24" t="n">
        <x:f>IFERROR(F2223/J2223,0)-IFERROR(G2223/K2223,0)</x:f>
        <x:v>-0.5833333333333333</x:v>
      </x:c>
      <x:c r="W2223" s="28" t="n">
        <x:f>L2223-M2223</x:f>
        <x:v>6</x:v>
      </x:c>
      <x:c r="X2223" s="24" t="n">
        <x:f>IFERROR(K2223/I2223,0)</x:f>
        <x:v>0.5</x:v>
      </x:c>
      <x:c r="Y2223" s="24" t="n">
        <x:f>IFERROR(G2223/I2223,0)</x:f>
        <x:v>0.5</x:v>
      </x:c>
      <x:c r="Z2223" s="24" t="n">
        <x:f>IFERROR(G2223/K2223,0)</x:f>
        <x:v>1</x:v>
      </x:c>
      <x:c r="AA2223" s="24" t="n">
        <x:f>IFERROR(F2223/H2223,0)-IFERROR(G2223/I2223,0)</x:f>
        <x:v>-0.25</x:v>
      </x:c>
      <x:c r="AB2223" s="28" t="n">
        <x:f>J2223-K2223</x:f>
        <x:v>11</x:v>
      </x:c>
      <x:c r="AC2223" s="32" t="n">
        <x:f>F2223-G2223</x:f>
        <x:v>4</x:v>
      </x:c>
    </x:row>
    <x:row r="2224">
      <x:c r="A2224" s="4" t="str">
        <x:v>2023-24</x:v>
      </x:c>
      <x:c r="B2224" s="20" t="n">
        <x:v>45416</x:v>
      </x:c>
      <x:c r="C2224" s="4" t="str">
        <x:v>Newcastle</x:v>
      </x:c>
      <x:c r="D2224" s="4" t="str">
        <x:v>Burnley</x:v>
      </x:c>
      <x:c r="E2224" s="4" t="str">
        <x:v>Away</x:v>
      </x:c>
      <x:c r="F2224" s="28" t="n">
        <x:v>4</x:v>
      </x:c>
      <x:c r="G2224" s="28" t="n">
        <x:v>1</x:v>
      </x:c>
      <x:c r="H2224" s="28" t="n">
        <x:v>23</x:v>
      </x:c>
      <x:c r="I2224" s="28" t="n">
        <x:v>17</x:v>
      </x:c>
      <x:c r="J2224" s="28" t="n">
        <x:v>11</x:v>
      </x:c>
      <x:c r="K2224" s="28" t="n">
        <x:v>5</x:v>
      </x:c>
      <x:c r="L2224" s="28" t="n">
        <x:v>11</x:v>
      </x:c>
      <x:c r="M2224" s="28" t="n">
        <x:v>4</x:v>
      </x:c>
      <x:c r="N2224" s="28" t="n">
        <x:v>2</x:v>
      </x:c>
      <x:c r="O2224" s="28" t="n">
        <x:v>0</x:v>
      </x:c>
      <x:c r="P2224" s="28" t="n">
        <x:v>3</x:v>
      </x:c>
      <x:c r="Q2224" s="24" t="n">
        <x:f>IFERROR(J2224/H2224,0)</x:f>
        <x:v>0.4782608695652174</x:v>
      </x:c>
      <x:c r="R2224" s="24" t="n">
        <x:f>IFERROR(F2224/H2224,0)</x:f>
        <x:v>0.17391304347826086</x:v>
      </x:c>
      <x:c r="S2224" s="24" t="n">
        <x:f>IFERROR(F2224/J2224,0)</x:f>
        <x:v>0.36363636363636365</x:v>
      </x:c>
      <x:c r="T2224" s="28" t="n">
        <x:f>H2224-I2224</x:f>
        <x:v>6</x:v>
      </x:c>
      <x:c r="U2224" s="24" t="n">
        <x:f>IFERROR(J2224/H2224,0)-IFERROR(K2224/I2224,0)</x:f>
        <x:v>0.18414322250639387</x:v>
      </x:c>
      <x:c r="V2224" s="24" t="n">
        <x:f>IFERROR(F2224/J2224,0)-IFERROR(G2224/K2224,0)</x:f>
        <x:v>0.16363636363636364</x:v>
      </x:c>
      <x:c r="W2224" s="28" t="n">
        <x:f>L2224-M2224</x:f>
        <x:v>7</x:v>
      </x:c>
      <x:c r="X2224" s="24" t="n">
        <x:f>IFERROR(K2224/I2224,0)</x:f>
        <x:v>0.29411764705882354</x:v>
      </x:c>
      <x:c r="Y2224" s="24" t="n">
        <x:f>IFERROR(G2224/I2224,0)</x:f>
        <x:v>0.058823529411764705</x:v>
      </x:c>
      <x:c r="Z2224" s="24" t="n">
        <x:f>IFERROR(G2224/K2224,0)</x:f>
        <x:v>0.2</x:v>
      </x:c>
      <x:c r="AA2224" s="24" t="n">
        <x:f>IFERROR(F2224/H2224,0)-IFERROR(G2224/I2224,0)</x:f>
        <x:v>0.11508951406649616</x:v>
      </x:c>
      <x:c r="AB2224" s="28" t="n">
        <x:f>J2224-K2224</x:f>
        <x:v>6</x:v>
      </x:c>
      <x:c r="AC2224" s="32" t="n">
        <x:f>F2224-G2224</x:f>
        <x:v>3</x:v>
      </x:c>
    </x:row>
    <x:row r="2225">
      <x:c r="A2225" s="4" t="str">
        <x:v>2023-24</x:v>
      </x:c>
      <x:c r="B2225" s="20" t="n">
        <x:v>45416</x:v>
      </x:c>
      <x:c r="C2225" s="4" t="str">
        <x:v>Nott'm Forest</x:v>
      </x:c>
      <x:c r="D2225" s="4" t="str">
        <x:v>Sheffield United</x:v>
      </x:c>
      <x:c r="E2225" s="4" t="str">
        <x:v>Away</x:v>
      </x:c>
      <x:c r="F2225" s="28" t="n">
        <x:v>3</x:v>
      </x:c>
      <x:c r="G2225" s="28" t="n">
        <x:v>1</x:v>
      </x:c>
      <x:c r="H2225" s="28" t="n">
        <x:v>15</x:v>
      </x:c>
      <x:c r="I2225" s="28" t="n">
        <x:v>17</x:v>
      </x:c>
      <x:c r="J2225" s="28" t="n">
        <x:v>4</x:v>
      </x:c>
      <x:c r="K2225" s="28" t="n">
        <x:v>5</x:v>
      </x:c>
      <x:c r="L2225" s="28" t="n">
        <x:v>3</x:v>
      </x:c>
      <x:c r="M2225" s="28" t="n">
        <x:v>5</x:v>
      </x:c>
      <x:c r="N2225" s="28" t="n">
        <x:v>1</x:v>
      </x:c>
      <x:c r="O2225" s="28" t="n">
        <x:v>0</x:v>
      </x:c>
      <x:c r="P2225" s="28" t="n">
        <x:v>3</x:v>
      </x:c>
      <x:c r="Q2225" s="24" t="n">
        <x:f>IFERROR(J2225/H2225,0)</x:f>
        <x:v>0.26666666666666666</x:v>
      </x:c>
      <x:c r="R2225" s="24" t="n">
        <x:f>IFERROR(F2225/H2225,0)</x:f>
        <x:v>0.2</x:v>
      </x:c>
      <x:c r="S2225" s="24" t="n">
        <x:f>IFERROR(F2225/J2225,0)</x:f>
        <x:v>0.75</x:v>
      </x:c>
      <x:c r="T2225" s="28" t="n">
        <x:f>H2225-I2225</x:f>
        <x:v>-2</x:v>
      </x:c>
      <x:c r="U2225" s="24" t="n">
        <x:f>IFERROR(J2225/H2225,0)-IFERROR(K2225/I2225,0)</x:f>
        <x:v>-0.027450980392156876</x:v>
      </x:c>
      <x:c r="V2225" s="24" t="n">
        <x:f>IFERROR(F2225/J2225,0)-IFERROR(G2225/K2225,0)</x:f>
        <x:v>0.55</x:v>
      </x:c>
      <x:c r="W2225" s="28" t="n">
        <x:f>L2225-M2225</x:f>
        <x:v>-2</x:v>
      </x:c>
      <x:c r="X2225" s="24" t="n">
        <x:f>IFERROR(K2225/I2225,0)</x:f>
        <x:v>0.29411764705882354</x:v>
      </x:c>
      <x:c r="Y2225" s="24" t="n">
        <x:f>IFERROR(G2225/I2225,0)</x:f>
        <x:v>0.058823529411764705</x:v>
      </x:c>
      <x:c r="Z2225" s="24" t="n">
        <x:f>IFERROR(G2225/K2225,0)</x:f>
        <x:v>0.2</x:v>
      </x:c>
      <x:c r="AA2225" s="24" t="n">
        <x:f>IFERROR(F2225/H2225,0)-IFERROR(G2225/I2225,0)</x:f>
        <x:v>0.1411764705882353</x:v>
      </x:c>
      <x:c r="AB2225" s="28" t="n">
        <x:f>J2225-K2225</x:f>
        <x:v>-1</x:v>
      </x:c>
      <x:c r="AC2225" s="32" t="n">
        <x:f>F2225-G2225</x:f>
        <x:v>2</x:v>
      </x:c>
    </x:row>
    <x:row r="2226">
      <x:c r="A2226" s="4" t="str">
        <x:v>2023-24</x:v>
      </x:c>
      <x:c r="B2226" s="20" t="n">
        <x:v>45416</x:v>
      </x:c>
      <x:c r="C2226" s="4" t="str">
        <x:v>Sheffield United</x:v>
      </x:c>
      <x:c r="D2226" s="4" t="str">
        <x:v>Nott'm Forest</x:v>
      </x:c>
      <x:c r="E2226" s="4" t="str">
        <x:v>Home</x:v>
      </x:c>
      <x:c r="F2226" s="28" t="n">
        <x:v>1</x:v>
      </x:c>
      <x:c r="G2226" s="28" t="n">
        <x:v>3</x:v>
      </x:c>
      <x:c r="H2226" s="28" t="n">
        <x:v>17</x:v>
      </x:c>
      <x:c r="I2226" s="28" t="n">
        <x:v>15</x:v>
      </x:c>
      <x:c r="J2226" s="28" t="n">
        <x:v>5</x:v>
      </x:c>
      <x:c r="K2226" s="28" t="n">
        <x:v>4</x:v>
      </x:c>
      <x:c r="L2226" s="28" t="n">
        <x:v>5</x:v>
      </x:c>
      <x:c r="M2226" s="28" t="n">
        <x:v>3</x:v>
      </x:c>
      <x:c r="N2226" s="28" t="n">
        <x:v>0</x:v>
      </x:c>
      <x:c r="O2226" s="28" t="n">
        <x:v>1</x:v>
      </x:c>
      <x:c r="P2226" s="28" t="n">
        <x:v>0</x:v>
      </x:c>
      <x:c r="Q2226" s="24" t="n">
        <x:f>IFERROR(J2226/H2226,0)</x:f>
        <x:v>0.29411764705882354</x:v>
      </x:c>
      <x:c r="R2226" s="24" t="n">
        <x:f>IFERROR(F2226/H2226,0)</x:f>
        <x:v>0.058823529411764705</x:v>
      </x:c>
      <x:c r="S2226" s="24" t="n">
        <x:f>IFERROR(F2226/J2226,0)</x:f>
        <x:v>0.2</x:v>
      </x:c>
      <x:c r="T2226" s="28" t="n">
        <x:f>H2226-I2226</x:f>
        <x:v>2</x:v>
      </x:c>
      <x:c r="U2226" s="24" t="n">
        <x:f>IFERROR(J2226/H2226,0)-IFERROR(K2226/I2226,0)</x:f>
        <x:v>0.027450980392156876</x:v>
      </x:c>
      <x:c r="V2226" s="24" t="n">
        <x:f>IFERROR(F2226/J2226,0)-IFERROR(G2226/K2226,0)</x:f>
        <x:v>-0.55</x:v>
      </x:c>
      <x:c r="W2226" s="28" t="n">
        <x:f>L2226-M2226</x:f>
        <x:v>2</x:v>
      </x:c>
      <x:c r="X2226" s="24" t="n">
        <x:f>IFERROR(K2226/I2226,0)</x:f>
        <x:v>0.26666666666666666</x:v>
      </x:c>
      <x:c r="Y2226" s="24" t="n">
        <x:f>IFERROR(G2226/I2226,0)</x:f>
        <x:v>0.2</x:v>
      </x:c>
      <x:c r="Z2226" s="24" t="n">
        <x:f>IFERROR(G2226/K2226,0)</x:f>
        <x:v>0.75</x:v>
      </x:c>
      <x:c r="AA2226" s="24" t="n">
        <x:f>IFERROR(F2226/H2226,0)-IFERROR(G2226/I2226,0)</x:f>
        <x:v>-0.1411764705882353</x:v>
      </x:c>
      <x:c r="AB2226" s="28" t="n">
        <x:f>J2226-K2226</x:f>
        <x:v>1</x:v>
      </x:c>
      <x:c r="AC2226" s="32" t="n">
        <x:f>F2226-G2226</x:f>
        <x:v>-2</x:v>
      </x:c>
    </x:row>
    <x:row r="2227">
      <x:c r="A2227" s="4" t="str">
        <x:v>2023-24</x:v>
      </x:c>
      <x:c r="B2227" s="20" t="n">
        <x:v>45416</x:v>
      </x:c>
      <x:c r="C2227" s="4" t="str">
        <x:v>Wolves</x:v>
      </x:c>
      <x:c r="D2227" s="4" t="str">
        <x:v>Man City</x:v>
      </x:c>
      <x:c r="E2227" s="4" t="str">
        <x:v>Away</x:v>
      </x:c>
      <x:c r="F2227" s="28" t="n">
        <x:v>1</x:v>
      </x:c>
      <x:c r="G2227" s="28" t="n">
        <x:v>5</x:v>
      </x:c>
      <x:c r="H2227" s="28" t="n">
        <x:v>2</x:v>
      </x:c>
      <x:c r="I2227" s="28" t="n">
        <x:v>20</x:v>
      </x:c>
      <x:c r="J2227" s="28" t="n">
        <x:v>1</x:v>
      </x:c>
      <x:c r="K2227" s="28" t="n">
        <x:v>12</x:v>
      </x:c>
      <x:c r="L2227" s="28" t="n">
        <x:v>0</x:v>
      </x:c>
      <x:c r="M2227" s="28" t="n">
        <x:v>6</x:v>
      </x:c>
      <x:c r="N2227" s="28" t="n">
        <x:v>4</x:v>
      </x:c>
      <x:c r="O2227" s="28" t="n">
        <x:v>0</x:v>
      </x:c>
      <x:c r="P2227" s="28" t="n">
        <x:v>0</x:v>
      </x:c>
      <x:c r="Q2227" s="24" t="n">
        <x:f>IFERROR(J2227/H2227,0)</x:f>
        <x:v>0.5</x:v>
      </x:c>
      <x:c r="R2227" s="24" t="n">
        <x:f>IFERROR(F2227/H2227,0)</x:f>
        <x:v>0.5</x:v>
      </x:c>
      <x:c r="S2227" s="24" t="n">
        <x:f>IFERROR(F2227/J2227,0)</x:f>
        <x:v>1</x:v>
      </x:c>
      <x:c r="T2227" s="28" t="n">
        <x:f>H2227-I2227</x:f>
        <x:v>-18</x:v>
      </x:c>
      <x:c r="U2227" s="24" t="n">
        <x:f>IFERROR(J2227/H2227,0)-IFERROR(K2227/I2227,0)</x:f>
        <x:v>-0.09999999999999998</x:v>
      </x:c>
      <x:c r="V2227" s="24" t="n">
        <x:f>IFERROR(F2227/J2227,0)-IFERROR(G2227/K2227,0)</x:f>
        <x:v>0.5833333333333333</x:v>
      </x:c>
      <x:c r="W2227" s="28" t="n">
        <x:f>L2227-M2227</x:f>
        <x:v>-6</x:v>
      </x:c>
      <x:c r="X2227" s="24" t="n">
        <x:f>IFERROR(K2227/I2227,0)</x:f>
        <x:v>0.6</x:v>
      </x:c>
      <x:c r="Y2227" s="24" t="n">
        <x:f>IFERROR(G2227/I2227,0)</x:f>
        <x:v>0.25</x:v>
      </x:c>
      <x:c r="Z2227" s="24" t="n">
        <x:f>IFERROR(G2227/K2227,0)</x:f>
        <x:v>0.4166666666666667</x:v>
      </x:c>
      <x:c r="AA2227" s="24" t="n">
        <x:f>IFERROR(F2227/H2227,0)-IFERROR(G2227/I2227,0)</x:f>
        <x:v>0.25</x:v>
      </x:c>
      <x:c r="AB2227" s="28" t="n">
        <x:f>J2227-K2227</x:f>
        <x:v>-11</x:v>
      </x:c>
      <x:c r="AC2227" s="32" t="n">
        <x:f>F2227-G2227</x:f>
        <x:v>-4</x:v>
      </x:c>
    </x:row>
    <x:row r="2228">
      <x:c r="A2228" s="4" t="str">
        <x:v>2023-24</x:v>
      </x:c>
      <x:c r="B2228" s="20" t="n">
        <x:v>45417</x:v>
      </x:c>
      <x:c r="C2228" s="4" t="str">
        <x:v>Aston Villa</x:v>
      </x:c>
      <x:c r="D2228" s="4" t="str">
        <x:v>Brighton</x:v>
      </x:c>
      <x:c r="E2228" s="4" t="str">
        <x:v>Away</x:v>
      </x:c>
      <x:c r="F2228" s="28" t="n">
        <x:v>0</x:v>
      </x:c>
      <x:c r="G2228" s="28" t="n">
        <x:v>1</x:v>
      </x:c>
      <x:c r="H2228" s="28" t="n">
        <x:v>2</x:v>
      </x:c>
      <x:c r="I2228" s="28" t="n">
        <x:v>15</x:v>
      </x:c>
      <x:c r="J2228" s="28" t="n">
        <x:v>1</x:v>
      </x:c>
      <x:c r="K2228" s="28" t="n">
        <x:v>8</x:v>
      </x:c>
      <x:c r="L2228" s="28" t="n">
        <x:v>3</x:v>
      </x:c>
      <x:c r="M2228" s="28" t="n">
        <x:v>7</x:v>
      </x:c>
      <x:c r="N2228" s="28" t="n">
        <x:v>1</x:v>
      </x:c>
      <x:c r="O2228" s="28" t="n">
        <x:v>0</x:v>
      </x:c>
      <x:c r="P2228" s="28" t="n">
        <x:v>0</x:v>
      </x:c>
      <x:c r="Q2228" s="24" t="n">
        <x:f>IFERROR(J2228/H2228,0)</x:f>
        <x:v>0.5</x:v>
      </x:c>
      <x:c r="R2228" s="24" t="n">
        <x:f>IFERROR(F2228/H2228,0)</x:f>
        <x:v>0</x:v>
      </x:c>
      <x:c r="S2228" s="24" t="n">
        <x:f>IFERROR(F2228/J2228,0)</x:f>
        <x:v>0</x:v>
      </x:c>
      <x:c r="T2228" s="28" t="n">
        <x:f>H2228-I2228</x:f>
        <x:v>-13</x:v>
      </x:c>
      <x:c r="U2228" s="24" t="n">
        <x:f>IFERROR(J2228/H2228,0)-IFERROR(K2228/I2228,0)</x:f>
        <x:v>-0.033333333333333326</x:v>
      </x:c>
      <x:c r="V2228" s="24" t="n">
        <x:f>IFERROR(F2228/J2228,0)-IFERROR(G2228/K2228,0)</x:f>
        <x:v>-0.125</x:v>
      </x:c>
      <x:c r="W2228" s="28" t="n">
        <x:f>L2228-M2228</x:f>
        <x:v>-4</x:v>
      </x:c>
      <x:c r="X2228" s="24" t="n">
        <x:f>IFERROR(K2228/I2228,0)</x:f>
        <x:v>0.5333333333333333</x:v>
      </x:c>
      <x:c r="Y2228" s="24" t="n">
        <x:f>IFERROR(G2228/I2228,0)</x:f>
        <x:v>0.06666666666666667</x:v>
      </x:c>
      <x:c r="Z2228" s="24" t="n">
        <x:f>IFERROR(G2228/K2228,0)</x:f>
        <x:v>0.125</x:v>
      </x:c>
      <x:c r="AA2228" s="24" t="n">
        <x:f>IFERROR(F2228/H2228,0)-IFERROR(G2228/I2228,0)</x:f>
        <x:v>-0.06666666666666667</x:v>
      </x:c>
      <x:c r="AB2228" s="28" t="n">
        <x:f>J2228-K2228</x:f>
        <x:v>-7</x:v>
      </x:c>
      <x:c r="AC2228" s="32" t="n">
        <x:f>F2228-G2228</x:f>
        <x:v>-1</x:v>
      </x:c>
    </x:row>
    <x:row r="2229">
      <x:c r="A2229" s="4" t="str">
        <x:v>2023-24</x:v>
      </x:c>
      <x:c r="B2229" s="20" t="n">
        <x:v>45417</x:v>
      </x:c>
      <x:c r="C2229" s="4" t="str">
        <x:v>Brighton</x:v>
      </x:c>
      <x:c r="D2229" s="4" t="str">
        <x:v>Aston Villa</x:v>
      </x:c>
      <x:c r="E2229" s="4" t="str">
        <x:v>Home</x:v>
      </x:c>
      <x:c r="F2229" s="28" t="n">
        <x:v>1</x:v>
      </x:c>
      <x:c r="G2229" s="28" t="n">
        <x:v>0</x:v>
      </x:c>
      <x:c r="H2229" s="28" t="n">
        <x:v>15</x:v>
      </x:c>
      <x:c r="I2229" s="28" t="n">
        <x:v>2</x:v>
      </x:c>
      <x:c r="J2229" s="28" t="n">
        <x:v>8</x:v>
      </x:c>
      <x:c r="K2229" s="28" t="n">
        <x:v>1</x:v>
      </x:c>
      <x:c r="L2229" s="28" t="n">
        <x:v>7</x:v>
      </x:c>
      <x:c r="M2229" s="28" t="n">
        <x:v>3</x:v>
      </x:c>
      <x:c r="N2229" s="28" t="n">
        <x:v>2</x:v>
      </x:c>
      <x:c r="O2229" s="28" t="n">
        <x:v>0</x:v>
      </x:c>
      <x:c r="P2229" s="28" t="n">
        <x:v>3</x:v>
      </x:c>
      <x:c r="Q2229" s="24" t="n">
        <x:f>IFERROR(J2229/H2229,0)</x:f>
        <x:v>0.5333333333333333</x:v>
      </x:c>
      <x:c r="R2229" s="24" t="n">
        <x:f>IFERROR(F2229/H2229,0)</x:f>
        <x:v>0.06666666666666667</x:v>
      </x:c>
      <x:c r="S2229" s="24" t="n">
        <x:f>IFERROR(F2229/J2229,0)</x:f>
        <x:v>0.125</x:v>
      </x:c>
      <x:c r="T2229" s="28" t="n">
        <x:f>H2229-I2229</x:f>
        <x:v>13</x:v>
      </x:c>
      <x:c r="U2229" s="24" t="n">
        <x:f>IFERROR(J2229/H2229,0)-IFERROR(K2229/I2229,0)</x:f>
        <x:v>0.033333333333333326</x:v>
      </x:c>
      <x:c r="V2229" s="24" t="n">
        <x:f>IFERROR(F2229/J2229,0)-IFERROR(G2229/K2229,0)</x:f>
        <x:v>0.125</x:v>
      </x:c>
      <x:c r="W2229" s="28" t="n">
        <x:f>L2229-M2229</x:f>
        <x:v>4</x:v>
      </x:c>
      <x:c r="X2229" s="24" t="n">
        <x:f>IFERROR(K2229/I2229,0)</x:f>
        <x:v>0.5</x:v>
      </x:c>
      <x:c r="Y2229" s="24" t="n">
        <x:f>IFERROR(G2229/I2229,0)</x:f>
        <x:v>0</x:v>
      </x:c>
      <x:c r="Z2229" s="24" t="n">
        <x:f>IFERROR(G2229/K2229,0)</x:f>
        <x:v>0</x:v>
      </x:c>
      <x:c r="AA2229" s="24" t="n">
        <x:f>IFERROR(F2229/H2229,0)-IFERROR(G2229/I2229,0)</x:f>
        <x:v>0.06666666666666667</x:v>
      </x:c>
      <x:c r="AB2229" s="28" t="n">
        <x:f>J2229-K2229</x:f>
        <x:v>7</x:v>
      </x:c>
      <x:c r="AC2229" s="32" t="n">
        <x:f>F2229-G2229</x:f>
        <x:v>1</x:v>
      </x:c>
    </x:row>
    <x:row r="2230">
      <x:c r="A2230" s="4" t="str">
        <x:v>2023-24</x:v>
      </x:c>
      <x:c r="B2230" s="20" t="n">
        <x:v>45417</x:v>
      </x:c>
      <x:c r="C2230" s="4" t="str">
        <x:v>Chelsea</x:v>
      </x:c>
      <x:c r="D2230" s="4" t="str">
        <x:v>West Ham</x:v>
      </x:c>
      <x:c r="E2230" s="4" t="str">
        <x:v>Home</x:v>
      </x:c>
      <x:c r="F2230" s="28" t="n">
        <x:v>5</x:v>
      </x:c>
      <x:c r="G2230" s="28" t="n">
        <x:v>0</x:v>
      </x:c>
      <x:c r="H2230" s="28" t="n">
        <x:v>25</x:v>
      </x:c>
      <x:c r="I2230" s="28" t="n">
        <x:v>13</x:v>
      </x:c>
      <x:c r="J2230" s="28" t="n">
        <x:v>14</x:v>
      </x:c>
      <x:c r="K2230" s="28" t="n">
        <x:v>2</x:v>
      </x:c>
      <x:c r="L2230" s="28" t="n">
        <x:v>8</x:v>
      </x:c>
      <x:c r="M2230" s="28" t="n">
        <x:v>6</x:v>
      </x:c>
      <x:c r="N2230" s="28" t="n">
        <x:v>1</x:v>
      </x:c>
      <x:c r="O2230" s="28" t="n">
        <x:v>0</x:v>
      </x:c>
      <x:c r="P2230" s="28" t="n">
        <x:v>3</x:v>
      </x:c>
      <x:c r="Q2230" s="24" t="n">
        <x:f>IFERROR(J2230/H2230,0)</x:f>
        <x:v>0.56</x:v>
      </x:c>
      <x:c r="R2230" s="24" t="n">
        <x:f>IFERROR(F2230/H2230,0)</x:f>
        <x:v>0.2</x:v>
      </x:c>
      <x:c r="S2230" s="24" t="n">
        <x:f>IFERROR(F2230/J2230,0)</x:f>
        <x:v>0.35714285714285715</x:v>
      </x:c>
      <x:c r="T2230" s="28" t="n">
        <x:f>H2230-I2230</x:f>
        <x:v>12</x:v>
      </x:c>
      <x:c r="U2230" s="24" t="n">
        <x:f>IFERROR(J2230/H2230,0)-IFERROR(K2230/I2230,0)</x:f>
        <x:v>0.4061538461538462</x:v>
      </x:c>
      <x:c r="V2230" s="24" t="n">
        <x:f>IFERROR(F2230/J2230,0)-IFERROR(G2230/K2230,0)</x:f>
        <x:v>0.35714285714285715</x:v>
      </x:c>
      <x:c r="W2230" s="28" t="n">
        <x:f>L2230-M2230</x:f>
        <x:v>2</x:v>
      </x:c>
      <x:c r="X2230" s="24" t="n">
        <x:f>IFERROR(K2230/I2230,0)</x:f>
        <x:v>0.15384615384615385</x:v>
      </x:c>
      <x:c r="Y2230" s="24" t="n">
        <x:f>IFERROR(G2230/I2230,0)</x:f>
        <x:v>0</x:v>
      </x:c>
      <x:c r="Z2230" s="24" t="n">
        <x:f>IFERROR(G2230/K2230,0)</x:f>
        <x:v>0</x:v>
      </x:c>
      <x:c r="AA2230" s="24" t="n">
        <x:f>IFERROR(F2230/H2230,0)-IFERROR(G2230/I2230,0)</x:f>
        <x:v>0.2</x:v>
      </x:c>
      <x:c r="AB2230" s="28" t="n">
        <x:f>J2230-K2230</x:f>
        <x:v>12</x:v>
      </x:c>
      <x:c r="AC2230" s="32" t="n">
        <x:f>F2230-G2230</x:f>
        <x:v>5</x:v>
      </x:c>
    </x:row>
    <x:row r="2231">
      <x:c r="A2231" s="4" t="str">
        <x:v>2023-24</x:v>
      </x:c>
      <x:c r="B2231" s="20" t="n">
        <x:v>45417</x:v>
      </x:c>
      <x:c r="C2231" s="4" t="str">
        <x:v>Liverpool</x:v>
      </x:c>
      <x:c r="D2231" s="4" t="str">
        <x:v>Tottenham</x:v>
      </x:c>
      <x:c r="E2231" s="4" t="str">
        <x:v>Home</x:v>
      </x:c>
      <x:c r="F2231" s="28" t="n">
        <x:v>4</x:v>
      </x:c>
      <x:c r="G2231" s="28" t="n">
        <x:v>2</x:v>
      </x:c>
      <x:c r="H2231" s="28" t="n">
        <x:v>25</x:v>
      </x:c>
      <x:c r="I2231" s="28" t="n">
        <x:v>11</x:v>
      </x:c>
      <x:c r="J2231" s="28" t="n">
        <x:v>13</x:v>
      </x:c>
      <x:c r="K2231" s="28" t="n">
        <x:v>6</x:v>
      </x:c>
      <x:c r="L2231" s="28" t="n">
        <x:v>8</x:v>
      </x:c>
      <x:c r="M2231" s="28" t="n">
        <x:v>3</x:v>
      </x:c>
      <x:c r="N2231" s="28" t="n">
        <x:v>1</x:v>
      </x:c>
      <x:c r="O2231" s="28" t="n">
        <x:v>0</x:v>
      </x:c>
      <x:c r="P2231" s="28" t="n">
        <x:v>3</x:v>
      </x:c>
      <x:c r="Q2231" s="24" t="n">
        <x:f>IFERROR(J2231/H2231,0)</x:f>
        <x:v>0.52</x:v>
      </x:c>
      <x:c r="R2231" s="24" t="n">
        <x:f>IFERROR(F2231/H2231,0)</x:f>
        <x:v>0.16</x:v>
      </x:c>
      <x:c r="S2231" s="24" t="n">
        <x:f>IFERROR(F2231/J2231,0)</x:f>
        <x:v>0.3076923076923077</x:v>
      </x:c>
      <x:c r="T2231" s="28" t="n">
        <x:f>H2231-I2231</x:f>
        <x:v>14</x:v>
      </x:c>
      <x:c r="U2231" s="24" t="n">
        <x:f>IFERROR(J2231/H2231,0)-IFERROR(K2231/I2231,0)</x:f>
        <x:v>-0.025454545454545396</x:v>
      </x:c>
      <x:c r="V2231" s="24" t="n">
        <x:f>IFERROR(F2231/J2231,0)-IFERROR(G2231/K2231,0)</x:f>
        <x:v>-0.025641025641025605</x:v>
      </x:c>
      <x:c r="W2231" s="28" t="n">
        <x:f>L2231-M2231</x:f>
        <x:v>5</x:v>
      </x:c>
      <x:c r="X2231" s="24" t="n">
        <x:f>IFERROR(K2231/I2231,0)</x:f>
        <x:v>0.5454545454545454</x:v>
      </x:c>
      <x:c r="Y2231" s="24" t="n">
        <x:f>IFERROR(G2231/I2231,0)</x:f>
        <x:v>0.18181818181818182</x:v>
      </x:c>
      <x:c r="Z2231" s="24" t="n">
        <x:f>IFERROR(G2231/K2231,0)</x:f>
        <x:v>0.3333333333333333</x:v>
      </x:c>
      <x:c r="AA2231" s="24" t="n">
        <x:f>IFERROR(F2231/H2231,0)-IFERROR(G2231/I2231,0)</x:f>
        <x:v>-0.02181818181818182</x:v>
      </x:c>
      <x:c r="AB2231" s="28" t="n">
        <x:f>J2231-K2231</x:f>
        <x:v>7</x:v>
      </x:c>
      <x:c r="AC2231" s="32" t="n">
        <x:f>F2231-G2231</x:f>
        <x:v>2</x:v>
      </x:c>
    </x:row>
    <x:row r="2232">
      <x:c r="A2232" s="4" t="str">
        <x:v>2023-24</x:v>
      </x:c>
      <x:c r="B2232" s="20" t="n">
        <x:v>45417</x:v>
      </x:c>
      <x:c r="C2232" s="4" t="str">
        <x:v>Tottenham</x:v>
      </x:c>
      <x:c r="D2232" s="4" t="str">
        <x:v>Liverpool</x:v>
      </x:c>
      <x:c r="E2232" s="4" t="str">
        <x:v>Away</x:v>
      </x:c>
      <x:c r="F2232" s="28" t="n">
        <x:v>2</x:v>
      </x:c>
      <x:c r="G2232" s="28" t="n">
        <x:v>4</x:v>
      </x:c>
      <x:c r="H2232" s="28" t="n">
        <x:v>11</x:v>
      </x:c>
      <x:c r="I2232" s="28" t="n">
        <x:v>25</x:v>
      </x:c>
      <x:c r="J2232" s="28" t="n">
        <x:v>6</x:v>
      </x:c>
      <x:c r="K2232" s="28" t="n">
        <x:v>13</x:v>
      </x:c>
      <x:c r="L2232" s="28" t="n">
        <x:v>3</x:v>
      </x:c>
      <x:c r="M2232" s="28" t="n">
        <x:v>8</x:v>
      </x:c>
      <x:c r="N2232" s="28" t="n">
        <x:v>4</x:v>
      </x:c>
      <x:c r="O2232" s="28" t="n">
        <x:v>0</x:v>
      </x:c>
      <x:c r="P2232" s="28" t="n">
        <x:v>0</x:v>
      </x:c>
      <x:c r="Q2232" s="24" t="n">
        <x:f>IFERROR(J2232/H2232,0)</x:f>
        <x:v>0.5454545454545454</x:v>
      </x:c>
      <x:c r="R2232" s="24" t="n">
        <x:f>IFERROR(F2232/H2232,0)</x:f>
        <x:v>0.18181818181818182</x:v>
      </x:c>
      <x:c r="S2232" s="24" t="n">
        <x:f>IFERROR(F2232/J2232,0)</x:f>
        <x:v>0.3333333333333333</x:v>
      </x:c>
      <x:c r="T2232" s="28" t="n">
        <x:f>H2232-I2232</x:f>
        <x:v>-14</x:v>
      </x:c>
      <x:c r="U2232" s="24" t="n">
        <x:f>IFERROR(J2232/H2232,0)-IFERROR(K2232/I2232,0)</x:f>
        <x:v>0.025454545454545396</x:v>
      </x:c>
      <x:c r="V2232" s="24" t="n">
        <x:f>IFERROR(F2232/J2232,0)-IFERROR(G2232/K2232,0)</x:f>
        <x:v>0.025641025641025605</x:v>
      </x:c>
      <x:c r="W2232" s="28" t="n">
        <x:f>L2232-M2232</x:f>
        <x:v>-5</x:v>
      </x:c>
      <x:c r="X2232" s="24" t="n">
        <x:f>IFERROR(K2232/I2232,0)</x:f>
        <x:v>0.52</x:v>
      </x:c>
      <x:c r="Y2232" s="24" t="n">
        <x:f>IFERROR(G2232/I2232,0)</x:f>
        <x:v>0.16</x:v>
      </x:c>
      <x:c r="Z2232" s="24" t="n">
        <x:f>IFERROR(G2232/K2232,0)</x:f>
        <x:v>0.3076923076923077</x:v>
      </x:c>
      <x:c r="AA2232" s="24" t="n">
        <x:f>IFERROR(F2232/H2232,0)-IFERROR(G2232/I2232,0)</x:f>
        <x:v>0.02181818181818182</x:v>
      </x:c>
      <x:c r="AB2232" s="28" t="n">
        <x:f>J2232-K2232</x:f>
        <x:v>-7</x:v>
      </x:c>
      <x:c r="AC2232" s="32" t="n">
        <x:f>F2232-G2232</x:f>
        <x:v>-2</x:v>
      </x:c>
    </x:row>
    <x:row r="2233">
      <x:c r="A2233" s="4" t="str">
        <x:v>2023-24</x:v>
      </x:c>
      <x:c r="B2233" s="20" t="n">
        <x:v>45417</x:v>
      </x:c>
      <x:c r="C2233" s="4" t="str">
        <x:v>West Ham</x:v>
      </x:c>
      <x:c r="D2233" s="4" t="str">
        <x:v>Chelsea</x:v>
      </x:c>
      <x:c r="E2233" s="4" t="str">
        <x:v>Away</x:v>
      </x:c>
      <x:c r="F2233" s="28" t="n">
        <x:v>0</x:v>
      </x:c>
      <x:c r="G2233" s="28" t="n">
        <x:v>5</x:v>
      </x:c>
      <x:c r="H2233" s="28" t="n">
        <x:v>13</x:v>
      </x:c>
      <x:c r="I2233" s="28" t="n">
        <x:v>25</x:v>
      </x:c>
      <x:c r="J2233" s="28" t="n">
        <x:v>2</x:v>
      </x:c>
      <x:c r="K2233" s="28" t="n">
        <x:v>14</x:v>
      </x:c>
      <x:c r="L2233" s="28" t="n">
        <x:v>6</x:v>
      </x:c>
      <x:c r="M2233" s="28" t="n">
        <x:v>8</x:v>
      </x:c>
      <x:c r="N2233" s="28" t="n">
        <x:v>3</x:v>
      </x:c>
      <x:c r="O2233" s="28" t="n">
        <x:v>0</x:v>
      </x:c>
      <x:c r="P2233" s="28" t="n">
        <x:v>0</x:v>
      </x:c>
      <x:c r="Q2233" s="24" t="n">
        <x:f>IFERROR(J2233/H2233,0)</x:f>
        <x:v>0.15384615384615385</x:v>
      </x:c>
      <x:c r="R2233" s="24" t="n">
        <x:f>IFERROR(F2233/H2233,0)</x:f>
        <x:v>0</x:v>
      </x:c>
      <x:c r="S2233" s="24" t="n">
        <x:f>IFERROR(F2233/J2233,0)</x:f>
        <x:v>0</x:v>
      </x:c>
      <x:c r="T2233" s="28" t="n">
        <x:f>H2233-I2233</x:f>
        <x:v>-12</x:v>
      </x:c>
      <x:c r="U2233" s="24" t="n">
        <x:f>IFERROR(J2233/H2233,0)-IFERROR(K2233/I2233,0)</x:f>
        <x:v>-0.4061538461538462</x:v>
      </x:c>
      <x:c r="V2233" s="24" t="n">
        <x:f>IFERROR(F2233/J2233,0)-IFERROR(G2233/K2233,0)</x:f>
        <x:v>-0.35714285714285715</x:v>
      </x:c>
      <x:c r="W2233" s="28" t="n">
        <x:f>L2233-M2233</x:f>
        <x:v>-2</x:v>
      </x:c>
      <x:c r="X2233" s="24" t="n">
        <x:f>IFERROR(K2233/I2233,0)</x:f>
        <x:v>0.56</x:v>
      </x:c>
      <x:c r="Y2233" s="24" t="n">
        <x:f>IFERROR(G2233/I2233,0)</x:f>
        <x:v>0.2</x:v>
      </x:c>
      <x:c r="Z2233" s="24" t="n">
        <x:f>IFERROR(G2233/K2233,0)</x:f>
        <x:v>0.35714285714285715</x:v>
      </x:c>
      <x:c r="AA2233" s="24" t="n">
        <x:f>IFERROR(F2233/H2233,0)-IFERROR(G2233/I2233,0)</x:f>
        <x:v>-0.2</x:v>
      </x:c>
      <x:c r="AB2233" s="28" t="n">
        <x:f>J2233-K2233</x:f>
        <x:v>-12</x:v>
      </x:c>
      <x:c r="AC2233" s="32" t="n">
        <x:f>F2233-G2233</x:f>
        <x:v>-5</x:v>
      </x:c>
    </x:row>
    <x:row r="2234">
      <x:c r="A2234" s="4" t="str">
        <x:v>2023-24</x:v>
      </x:c>
      <x:c r="B2234" s="20" t="n">
        <x:v>45418</x:v>
      </x:c>
      <x:c r="C2234" s="4" t="str">
        <x:v>Crystal Palace</x:v>
      </x:c>
      <x:c r="D2234" s="4" t="str">
        <x:v>Man United</x:v>
      </x:c>
      <x:c r="E2234" s="4" t="str">
        <x:v>Home</x:v>
      </x:c>
      <x:c r="F2234" s="28" t="n">
        <x:v>4</x:v>
      </x:c>
      <x:c r="G2234" s="28" t="n">
        <x:v>0</x:v>
      </x:c>
      <x:c r="H2234" s="28" t="n">
        <x:v>18</x:v>
      </x:c>
      <x:c r="I2234" s="28" t="n">
        <x:v>7</x:v>
      </x:c>
      <x:c r="J2234" s="28" t="n">
        <x:v>10</x:v>
      </x:c>
      <x:c r="K2234" s="28" t="n">
        <x:v>2</x:v>
      </x:c>
      <x:c r="L2234" s="28" t="n">
        <x:v>6</x:v>
      </x:c>
      <x:c r="M2234" s="28" t="n">
        <x:v>3</x:v>
      </x:c>
      <x:c r="N2234" s="28" t="n">
        <x:v>1</x:v>
      </x:c>
      <x:c r="O2234" s="28" t="n">
        <x:v>0</x:v>
      </x:c>
      <x:c r="P2234" s="28" t="n">
        <x:v>3</x:v>
      </x:c>
      <x:c r="Q2234" s="24" t="n">
        <x:f>IFERROR(J2234/H2234,0)</x:f>
        <x:v>0.5555555555555556</x:v>
      </x:c>
      <x:c r="R2234" s="24" t="n">
        <x:f>IFERROR(F2234/H2234,0)</x:f>
        <x:v>0.2222222222222222</x:v>
      </x:c>
      <x:c r="S2234" s="24" t="n">
        <x:f>IFERROR(F2234/J2234,0)</x:f>
        <x:v>0.4</x:v>
      </x:c>
      <x:c r="T2234" s="28" t="n">
        <x:f>H2234-I2234</x:f>
        <x:v>11</x:v>
      </x:c>
      <x:c r="U2234" s="24" t="n">
        <x:f>IFERROR(J2234/H2234,0)-IFERROR(K2234/I2234,0)</x:f>
        <x:v>0.2698412698412699</x:v>
      </x:c>
      <x:c r="V2234" s="24" t="n">
        <x:f>IFERROR(F2234/J2234,0)-IFERROR(G2234/K2234,0)</x:f>
        <x:v>0.4</x:v>
      </x:c>
      <x:c r="W2234" s="28" t="n">
        <x:f>L2234-M2234</x:f>
        <x:v>3</x:v>
      </x:c>
      <x:c r="X2234" s="24" t="n">
        <x:f>IFERROR(K2234/I2234,0)</x:f>
        <x:v>0.2857142857142857</x:v>
      </x:c>
      <x:c r="Y2234" s="24" t="n">
        <x:f>IFERROR(G2234/I2234,0)</x:f>
        <x:v>0</x:v>
      </x:c>
      <x:c r="Z2234" s="24" t="n">
        <x:f>IFERROR(G2234/K2234,0)</x:f>
        <x:v>0</x:v>
      </x:c>
      <x:c r="AA2234" s="24" t="n">
        <x:f>IFERROR(F2234/H2234,0)-IFERROR(G2234/I2234,0)</x:f>
        <x:v>0.2222222222222222</x:v>
      </x:c>
      <x:c r="AB2234" s="28" t="n">
        <x:f>J2234-K2234</x:f>
        <x:v>8</x:v>
      </x:c>
      <x:c r="AC2234" s="32" t="n">
        <x:f>F2234-G2234</x:f>
        <x:v>4</x:v>
      </x:c>
    </x:row>
    <x:row r="2235">
      <x:c r="A2235" s="4" t="str">
        <x:v>2023-24</x:v>
      </x:c>
      <x:c r="B2235" s="20" t="n">
        <x:v>45418</x:v>
      </x:c>
      <x:c r="C2235" s="4" t="str">
        <x:v>Man United</x:v>
      </x:c>
      <x:c r="D2235" s="4" t="str">
        <x:v>Crystal Palace</x:v>
      </x:c>
      <x:c r="E2235" s="4" t="str">
        <x:v>Away</x:v>
      </x:c>
      <x:c r="F2235" s="28" t="n">
        <x:v>0</x:v>
      </x:c>
      <x:c r="G2235" s="28" t="n">
        <x:v>4</x:v>
      </x:c>
      <x:c r="H2235" s="28" t="n">
        <x:v>7</x:v>
      </x:c>
      <x:c r="I2235" s="28" t="n">
        <x:v>18</x:v>
      </x:c>
      <x:c r="J2235" s="28" t="n">
        <x:v>2</x:v>
      </x:c>
      <x:c r="K2235" s="28" t="n">
        <x:v>10</x:v>
      </x:c>
      <x:c r="L2235" s="28" t="n">
        <x:v>3</x:v>
      </x:c>
      <x:c r="M2235" s="28" t="n">
        <x:v>6</x:v>
      </x:c>
      <x:c r="N2235" s="28" t="n">
        <x:v>1</x:v>
      </x:c>
      <x:c r="O2235" s="28" t="n">
        <x:v>0</x:v>
      </x:c>
      <x:c r="P2235" s="28" t="n">
        <x:v>0</x:v>
      </x:c>
      <x:c r="Q2235" s="24" t="n">
        <x:f>IFERROR(J2235/H2235,0)</x:f>
        <x:v>0.2857142857142857</x:v>
      </x:c>
      <x:c r="R2235" s="24" t="n">
        <x:f>IFERROR(F2235/H2235,0)</x:f>
        <x:v>0</x:v>
      </x:c>
      <x:c r="S2235" s="24" t="n">
        <x:f>IFERROR(F2235/J2235,0)</x:f>
        <x:v>0</x:v>
      </x:c>
      <x:c r="T2235" s="28" t="n">
        <x:f>H2235-I2235</x:f>
        <x:v>-11</x:v>
      </x:c>
      <x:c r="U2235" s="24" t="n">
        <x:f>IFERROR(J2235/H2235,0)-IFERROR(K2235/I2235,0)</x:f>
        <x:v>-0.2698412698412699</x:v>
      </x:c>
      <x:c r="V2235" s="24" t="n">
        <x:f>IFERROR(F2235/J2235,0)-IFERROR(G2235/K2235,0)</x:f>
        <x:v>-0.4</x:v>
      </x:c>
      <x:c r="W2235" s="28" t="n">
        <x:f>L2235-M2235</x:f>
        <x:v>-3</x:v>
      </x:c>
      <x:c r="X2235" s="24" t="n">
        <x:f>IFERROR(K2235/I2235,0)</x:f>
        <x:v>0.5555555555555556</x:v>
      </x:c>
      <x:c r="Y2235" s="24" t="n">
        <x:f>IFERROR(G2235/I2235,0)</x:f>
        <x:v>0.2222222222222222</x:v>
      </x:c>
      <x:c r="Z2235" s="24" t="n">
        <x:f>IFERROR(G2235/K2235,0)</x:f>
        <x:v>0.4</x:v>
      </x:c>
      <x:c r="AA2235" s="24" t="n">
        <x:f>IFERROR(F2235/H2235,0)-IFERROR(G2235/I2235,0)</x:f>
        <x:v>-0.2222222222222222</x:v>
      </x:c>
      <x:c r="AB2235" s="28" t="n">
        <x:f>J2235-K2235</x:f>
        <x:v>-8</x:v>
      </x:c>
      <x:c r="AC2235" s="32" t="n">
        <x:f>F2235-G2235</x:f>
        <x:v>-4</x:v>
      </x:c>
    </x:row>
    <x:row r="2236">
      <x:c r="A2236" s="4" t="str">
        <x:v>2023-24</x:v>
      </x:c>
      <x:c r="B2236" s="20" t="n">
        <x:v>45423</x:v>
      </x:c>
      <x:c r="C2236" s="4" t="str">
        <x:v>Bournemouth</x:v>
      </x:c>
      <x:c r="D2236" s="4" t="str">
        <x:v>Brentford</x:v>
      </x:c>
      <x:c r="E2236" s="4" t="str">
        <x:v>Home</x:v>
      </x:c>
      <x:c r="F2236" s="28" t="n">
        <x:v>1</x:v>
      </x:c>
      <x:c r="G2236" s="28" t="n">
        <x:v>2</x:v>
      </x:c>
      <x:c r="H2236" s="28" t="n">
        <x:v>13</x:v>
      </x:c>
      <x:c r="I2236" s="28" t="n">
        <x:v>11</x:v>
      </x:c>
      <x:c r="J2236" s="28" t="n">
        <x:v>4</x:v>
      </x:c>
      <x:c r="K2236" s="28" t="n">
        <x:v>5</x:v>
      </x:c>
      <x:c r="L2236" s="28" t="n">
        <x:v>3</x:v>
      </x:c>
      <x:c r="M2236" s="28" t="n">
        <x:v>8</x:v>
      </x:c>
      <x:c r="N2236" s="28" t="n">
        <x:v>2</x:v>
      </x:c>
      <x:c r="O2236" s="28" t="n">
        <x:v>0</x:v>
      </x:c>
      <x:c r="P2236" s="28" t="n">
        <x:v>0</x:v>
      </x:c>
      <x:c r="Q2236" s="24" t="n">
        <x:f>IFERROR(J2236/H2236,0)</x:f>
        <x:v>0.3076923076923077</x:v>
      </x:c>
      <x:c r="R2236" s="24" t="n">
        <x:f>IFERROR(F2236/H2236,0)</x:f>
        <x:v>0.07692307692307693</x:v>
      </x:c>
      <x:c r="S2236" s="24" t="n">
        <x:f>IFERROR(F2236/J2236,0)</x:f>
        <x:v>0.25</x:v>
      </x:c>
      <x:c r="T2236" s="28" t="n">
        <x:f>H2236-I2236</x:f>
        <x:v>2</x:v>
      </x:c>
      <x:c r="U2236" s="24" t="n">
        <x:f>IFERROR(J2236/H2236,0)-IFERROR(K2236/I2236,0)</x:f>
        <x:v>-0.14685314685314682</x:v>
      </x:c>
      <x:c r="V2236" s="24" t="n">
        <x:f>IFERROR(F2236/J2236,0)-IFERROR(G2236/K2236,0)</x:f>
        <x:v>-0.15000000000000002</x:v>
      </x:c>
      <x:c r="W2236" s="28" t="n">
        <x:f>L2236-M2236</x:f>
        <x:v>-5</x:v>
      </x:c>
      <x:c r="X2236" s="24" t="n">
        <x:f>IFERROR(K2236/I2236,0)</x:f>
        <x:v>0.45454545454545453</x:v>
      </x:c>
      <x:c r="Y2236" s="24" t="n">
        <x:f>IFERROR(G2236/I2236,0)</x:f>
        <x:v>0.18181818181818182</x:v>
      </x:c>
      <x:c r="Z2236" s="24" t="n">
        <x:f>IFERROR(G2236/K2236,0)</x:f>
        <x:v>0.4</x:v>
      </x:c>
      <x:c r="AA2236" s="24" t="n">
        <x:f>IFERROR(F2236/H2236,0)-IFERROR(G2236/I2236,0)</x:f>
        <x:v>-0.1048951048951049</x:v>
      </x:c>
      <x:c r="AB2236" s="28" t="n">
        <x:f>J2236-K2236</x:f>
        <x:v>-1</x:v>
      </x:c>
      <x:c r="AC2236" s="32" t="n">
        <x:f>F2236-G2236</x:f>
        <x:v>-1</x:v>
      </x:c>
    </x:row>
    <x:row r="2237">
      <x:c r="A2237" s="4" t="str">
        <x:v>2023-24</x:v>
      </x:c>
      <x:c r="B2237" s="20" t="n">
        <x:v>45423</x:v>
      </x:c>
      <x:c r="C2237" s="4" t="str">
        <x:v>Brentford</x:v>
      </x:c>
      <x:c r="D2237" s="4" t="str">
        <x:v>Bournemouth</x:v>
      </x:c>
      <x:c r="E2237" s="4" t="str">
        <x:v>Away</x:v>
      </x:c>
      <x:c r="F2237" s="28" t="n">
        <x:v>2</x:v>
      </x:c>
      <x:c r="G2237" s="28" t="n">
        <x:v>1</x:v>
      </x:c>
      <x:c r="H2237" s="28" t="n">
        <x:v>11</x:v>
      </x:c>
      <x:c r="I2237" s="28" t="n">
        <x:v>13</x:v>
      </x:c>
      <x:c r="J2237" s="28" t="n">
        <x:v>5</x:v>
      </x:c>
      <x:c r="K2237" s="28" t="n">
        <x:v>4</x:v>
      </x:c>
      <x:c r="L2237" s="28" t="n">
        <x:v>8</x:v>
      </x:c>
      <x:c r="M2237" s="28" t="n">
        <x:v>3</x:v>
      </x:c>
      <x:c r="N2237" s="28" t="n">
        <x:v>2</x:v>
      </x:c>
      <x:c r="O2237" s="28" t="n">
        <x:v>0</x:v>
      </x:c>
      <x:c r="P2237" s="28" t="n">
        <x:v>3</x:v>
      </x:c>
      <x:c r="Q2237" s="24" t="n">
        <x:f>IFERROR(J2237/H2237,0)</x:f>
        <x:v>0.45454545454545453</x:v>
      </x:c>
      <x:c r="R2237" s="24" t="n">
        <x:f>IFERROR(F2237/H2237,0)</x:f>
        <x:v>0.18181818181818182</x:v>
      </x:c>
      <x:c r="S2237" s="24" t="n">
        <x:f>IFERROR(F2237/J2237,0)</x:f>
        <x:v>0.4</x:v>
      </x:c>
      <x:c r="T2237" s="28" t="n">
        <x:f>H2237-I2237</x:f>
        <x:v>-2</x:v>
      </x:c>
      <x:c r="U2237" s="24" t="n">
        <x:f>IFERROR(J2237/H2237,0)-IFERROR(K2237/I2237,0)</x:f>
        <x:v>0.14685314685314682</x:v>
      </x:c>
      <x:c r="V2237" s="24" t="n">
        <x:f>IFERROR(F2237/J2237,0)-IFERROR(G2237/K2237,0)</x:f>
        <x:v>0.15000000000000002</x:v>
      </x:c>
      <x:c r="W2237" s="28" t="n">
        <x:f>L2237-M2237</x:f>
        <x:v>5</x:v>
      </x:c>
      <x:c r="X2237" s="24" t="n">
        <x:f>IFERROR(K2237/I2237,0)</x:f>
        <x:v>0.3076923076923077</x:v>
      </x:c>
      <x:c r="Y2237" s="24" t="n">
        <x:f>IFERROR(G2237/I2237,0)</x:f>
        <x:v>0.07692307692307693</x:v>
      </x:c>
      <x:c r="Z2237" s="24" t="n">
        <x:f>IFERROR(G2237/K2237,0)</x:f>
        <x:v>0.25</x:v>
      </x:c>
      <x:c r="AA2237" s="24" t="n">
        <x:f>IFERROR(F2237/H2237,0)-IFERROR(G2237/I2237,0)</x:f>
        <x:v>0.1048951048951049</x:v>
      </x:c>
      <x:c r="AB2237" s="28" t="n">
        <x:f>J2237-K2237</x:f>
        <x:v>1</x:v>
      </x:c>
      <x:c r="AC2237" s="32" t="n">
        <x:f>F2237-G2237</x:f>
        <x:v>1</x:v>
      </x:c>
    </x:row>
    <x:row r="2238">
      <x:c r="A2238" s="4" t="str">
        <x:v>2023-24</x:v>
      </x:c>
      <x:c r="B2238" s="20" t="n">
        <x:v>45423</x:v>
      </x:c>
      <x:c r="C2238" s="4" t="str">
        <x:v>Brighton</x:v>
      </x:c>
      <x:c r="D2238" s="4" t="str">
        <x:v>Newcastle</x:v>
      </x:c>
      <x:c r="E2238" s="4" t="str">
        <x:v>Away</x:v>
      </x:c>
      <x:c r="F2238" s="28" t="n">
        <x:v>1</x:v>
      </x:c>
      <x:c r="G2238" s="28" t="n">
        <x:v>1</x:v>
      </x:c>
      <x:c r="H2238" s="28" t="n">
        <x:v>15</x:v>
      </x:c>
      <x:c r="I2238" s="28" t="n">
        <x:v>18</x:v>
      </x:c>
      <x:c r="J2238" s="28" t="n">
        <x:v>4</x:v>
      </x:c>
      <x:c r="K2238" s="28" t="n">
        <x:v>7</x:v>
      </x:c>
      <x:c r="L2238" s="28" t="n">
        <x:v>4</x:v>
      </x:c>
      <x:c r="M2238" s="28" t="n">
        <x:v>8</x:v>
      </x:c>
      <x:c r="N2238" s="28" t="n">
        <x:v>4</x:v>
      </x:c>
      <x:c r="O2238" s="28" t="n">
        <x:v>0</x:v>
      </x:c>
      <x:c r="P2238" s="28" t="n">
        <x:v>1</x:v>
      </x:c>
      <x:c r="Q2238" s="24" t="n">
        <x:f>IFERROR(J2238/H2238,0)</x:f>
        <x:v>0.26666666666666666</x:v>
      </x:c>
      <x:c r="R2238" s="24" t="n">
        <x:f>IFERROR(F2238/H2238,0)</x:f>
        <x:v>0.06666666666666667</x:v>
      </x:c>
      <x:c r="S2238" s="24" t="n">
        <x:f>IFERROR(F2238/J2238,0)</x:f>
        <x:v>0.25</x:v>
      </x:c>
      <x:c r="T2238" s="28" t="n">
        <x:f>H2238-I2238</x:f>
        <x:v>-3</x:v>
      </x:c>
      <x:c r="U2238" s="24" t="n">
        <x:f>IFERROR(J2238/H2238,0)-IFERROR(K2238/I2238,0)</x:f>
        <x:v>-0.12222222222222223</x:v>
      </x:c>
      <x:c r="V2238" s="24" t="n">
        <x:f>IFERROR(F2238/J2238,0)-IFERROR(G2238/K2238,0)</x:f>
        <x:v>0.10714285714285715</x:v>
      </x:c>
      <x:c r="W2238" s="28" t="n">
        <x:f>L2238-M2238</x:f>
        <x:v>-4</x:v>
      </x:c>
      <x:c r="X2238" s="24" t="n">
        <x:f>IFERROR(K2238/I2238,0)</x:f>
        <x:v>0.3888888888888889</x:v>
      </x:c>
      <x:c r="Y2238" s="24" t="n">
        <x:f>IFERROR(G2238/I2238,0)</x:f>
        <x:v>0.05555555555555555</x:v>
      </x:c>
      <x:c r="Z2238" s="24" t="n">
        <x:f>IFERROR(G2238/K2238,0)</x:f>
        <x:v>0.14285714285714285</x:v>
      </x:c>
      <x:c r="AA2238" s="24" t="n">
        <x:f>IFERROR(F2238/H2238,0)-IFERROR(G2238/I2238,0)</x:f>
        <x:v>0.011111111111111113</x:v>
      </x:c>
      <x:c r="AB2238" s="28" t="n">
        <x:f>J2238-K2238</x:f>
        <x:v>-3</x:v>
      </x:c>
      <x:c r="AC2238" s="32" t="n">
        <x:f>F2238-G2238</x:f>
        <x:v>0</x:v>
      </x:c>
    </x:row>
    <x:row r="2239">
      <x:c r="A2239" s="4" t="str">
        <x:v>2023-24</x:v>
      </x:c>
      <x:c r="B2239" s="20" t="n">
        <x:v>45423</x:v>
      </x:c>
      <x:c r="C2239" s="4" t="str">
        <x:v>Burnley</x:v>
      </x:c>
      <x:c r="D2239" s="4" t="str">
        <x:v>Tottenham</x:v>
      </x:c>
      <x:c r="E2239" s="4" t="str">
        <x:v>Away</x:v>
      </x:c>
      <x:c r="F2239" s="28" t="n">
        <x:v>1</x:v>
      </x:c>
      <x:c r="G2239" s="28" t="n">
        <x:v>2</x:v>
      </x:c>
      <x:c r="H2239" s="28" t="n">
        <x:v>7</x:v>
      </x:c>
      <x:c r="I2239" s="28" t="n">
        <x:v>21</x:v>
      </x:c>
      <x:c r="J2239" s="28" t="n">
        <x:v>3</x:v>
      </x:c>
      <x:c r="K2239" s="28" t="n">
        <x:v>9</x:v>
      </x:c>
      <x:c r="L2239" s="28" t="n">
        <x:v>3</x:v>
      </x:c>
      <x:c r="M2239" s="28" t="n">
        <x:v>9</x:v>
      </x:c>
      <x:c r="N2239" s="28" t="n">
        <x:v>5</x:v>
      </x:c>
      <x:c r="O2239" s="28" t="n">
        <x:v>0</x:v>
      </x:c>
      <x:c r="P2239" s="28" t="n">
        <x:v>0</x:v>
      </x:c>
      <x:c r="Q2239" s="24" t="n">
        <x:f>IFERROR(J2239/H2239,0)</x:f>
        <x:v>0.42857142857142855</x:v>
      </x:c>
      <x:c r="R2239" s="24" t="n">
        <x:f>IFERROR(F2239/H2239,0)</x:f>
        <x:v>0.14285714285714285</x:v>
      </x:c>
      <x:c r="S2239" s="24" t="n">
        <x:f>IFERROR(F2239/J2239,0)</x:f>
        <x:v>0.3333333333333333</x:v>
      </x:c>
      <x:c r="T2239" s="28" t="n">
        <x:f>H2239-I2239</x:f>
        <x:v>-14</x:v>
      </x:c>
      <x:c r="U2239" s="24" t="n">
        <x:f>IFERROR(J2239/H2239,0)-IFERROR(K2239/I2239,0)</x:f>
        <x:v>0</x:v>
      </x:c>
      <x:c r="V2239" s="24" t="n">
        <x:f>IFERROR(F2239/J2239,0)-IFERROR(G2239/K2239,0)</x:f>
        <x:v>0.1111111111111111</x:v>
      </x:c>
      <x:c r="W2239" s="28" t="n">
        <x:f>L2239-M2239</x:f>
        <x:v>-6</x:v>
      </x:c>
      <x:c r="X2239" s="24" t="n">
        <x:f>IFERROR(K2239/I2239,0)</x:f>
        <x:v>0.42857142857142855</x:v>
      </x:c>
      <x:c r="Y2239" s="24" t="n">
        <x:f>IFERROR(G2239/I2239,0)</x:f>
        <x:v>0.09523809523809523</x:v>
      </x:c>
      <x:c r="Z2239" s="24" t="n">
        <x:f>IFERROR(G2239/K2239,0)</x:f>
        <x:v>0.2222222222222222</x:v>
      </x:c>
      <x:c r="AA2239" s="24" t="n">
        <x:f>IFERROR(F2239/H2239,0)-IFERROR(G2239/I2239,0)</x:f>
        <x:v>0.047619047619047616</x:v>
      </x:c>
      <x:c r="AB2239" s="28" t="n">
        <x:f>J2239-K2239</x:f>
        <x:v>-6</x:v>
      </x:c>
      <x:c r="AC2239" s="32" t="n">
        <x:f>F2239-G2239</x:f>
        <x:v>-1</x:v>
      </x:c>
    </x:row>
    <x:row r="2240">
      <x:c r="A2240" s="4" t="str">
        <x:v>2023-24</x:v>
      </x:c>
      <x:c r="B2240" s="20" t="n">
        <x:v>45423</x:v>
      </x:c>
      <x:c r="C2240" s="4" t="str">
        <x:v>Chelsea</x:v>
      </x:c>
      <x:c r="D2240" s="4" t="str">
        <x:v>Nott'm Forest</x:v>
      </x:c>
      <x:c r="E2240" s="4" t="str">
        <x:v>Away</x:v>
      </x:c>
      <x:c r="F2240" s="28" t="n">
        <x:v>3</x:v>
      </x:c>
      <x:c r="G2240" s="28" t="n">
        <x:v>2</x:v>
      </x:c>
      <x:c r="H2240" s="28" t="n">
        <x:v>12</x:v>
      </x:c>
      <x:c r="I2240" s="28" t="n">
        <x:v>20</x:v>
      </x:c>
      <x:c r="J2240" s="28" t="n">
        <x:v>5</x:v>
      </x:c>
      <x:c r="K2240" s="28" t="n">
        <x:v>4</x:v>
      </x:c>
      <x:c r="L2240" s="28" t="n">
        <x:v>6</x:v>
      </x:c>
      <x:c r="M2240" s="28" t="n">
        <x:v>5</x:v>
      </x:c>
      <x:c r="N2240" s="28" t="n">
        <x:v>3</x:v>
      </x:c>
      <x:c r="O2240" s="28" t="n">
        <x:v>0</x:v>
      </x:c>
      <x:c r="P2240" s="28" t="n">
        <x:v>3</x:v>
      </x:c>
      <x:c r="Q2240" s="24" t="n">
        <x:f>IFERROR(J2240/H2240,0)</x:f>
        <x:v>0.4166666666666667</x:v>
      </x:c>
      <x:c r="R2240" s="24" t="n">
        <x:f>IFERROR(F2240/H2240,0)</x:f>
        <x:v>0.25</x:v>
      </x:c>
      <x:c r="S2240" s="24" t="n">
        <x:f>IFERROR(F2240/J2240,0)</x:f>
        <x:v>0.6</x:v>
      </x:c>
      <x:c r="T2240" s="28" t="n">
        <x:f>H2240-I2240</x:f>
        <x:v>-8</x:v>
      </x:c>
      <x:c r="U2240" s="24" t="n">
        <x:f>IFERROR(J2240/H2240,0)-IFERROR(K2240/I2240,0)</x:f>
        <x:v>0.21666666666666667</x:v>
      </x:c>
      <x:c r="V2240" s="24" t="n">
        <x:f>IFERROR(F2240/J2240,0)-IFERROR(G2240/K2240,0)</x:f>
        <x:v>0.09999999999999998</x:v>
      </x:c>
      <x:c r="W2240" s="28" t="n">
        <x:f>L2240-M2240</x:f>
        <x:v>1</x:v>
      </x:c>
      <x:c r="X2240" s="24" t="n">
        <x:f>IFERROR(K2240/I2240,0)</x:f>
        <x:v>0.2</x:v>
      </x:c>
      <x:c r="Y2240" s="24" t="n">
        <x:f>IFERROR(G2240/I2240,0)</x:f>
        <x:v>0.1</x:v>
      </x:c>
      <x:c r="Z2240" s="24" t="n">
        <x:f>IFERROR(G2240/K2240,0)</x:f>
        <x:v>0.5</x:v>
      </x:c>
      <x:c r="AA2240" s="24" t="n">
        <x:f>IFERROR(F2240/H2240,0)-IFERROR(G2240/I2240,0)</x:f>
        <x:v>0.15</x:v>
      </x:c>
      <x:c r="AB2240" s="28" t="n">
        <x:f>J2240-K2240</x:f>
        <x:v>1</x:v>
      </x:c>
      <x:c r="AC2240" s="32" t="n">
        <x:f>F2240-G2240</x:f>
        <x:v>1</x:v>
      </x:c>
    </x:row>
    <x:row r="2241">
      <x:c r="A2241" s="4" t="str">
        <x:v>2023-24</x:v>
      </x:c>
      <x:c r="B2241" s="20" t="n">
        <x:v>45423</x:v>
      </x:c>
      <x:c r="C2241" s="4" t="str">
        <x:v>Crystal Palace</x:v>
      </x:c>
      <x:c r="D2241" s="4" t="str">
        <x:v>Wolves</x:v>
      </x:c>
      <x:c r="E2241" s="4" t="str">
        <x:v>Away</x:v>
      </x:c>
      <x:c r="F2241" s="28" t="n">
        <x:v>3</x:v>
      </x:c>
      <x:c r="G2241" s="28" t="n">
        <x:v>1</x:v>
      </x:c>
      <x:c r="H2241" s="28" t="n">
        <x:v>13</x:v>
      </x:c>
      <x:c r="I2241" s="28" t="n">
        <x:v>13</x:v>
      </x:c>
      <x:c r="J2241" s="28" t="n">
        <x:v>3</x:v>
      </x:c>
      <x:c r="K2241" s="28" t="n">
        <x:v>7</x:v>
      </x:c>
      <x:c r="L2241" s="28" t="n">
        <x:v>3</x:v>
      </x:c>
      <x:c r="M2241" s="28" t="n">
        <x:v>8</x:v>
      </x:c>
      <x:c r="N2241" s="28" t="n">
        <x:v>2</x:v>
      </x:c>
      <x:c r="O2241" s="28" t="n">
        <x:v>1</x:v>
      </x:c>
      <x:c r="P2241" s="28" t="n">
        <x:v>3</x:v>
      </x:c>
      <x:c r="Q2241" s="24" t="n">
        <x:f>IFERROR(J2241/H2241,0)</x:f>
        <x:v>0.23076923076923078</x:v>
      </x:c>
      <x:c r="R2241" s="24" t="n">
        <x:f>IFERROR(F2241/H2241,0)</x:f>
        <x:v>0.23076923076923078</x:v>
      </x:c>
      <x:c r="S2241" s="24" t="n">
        <x:f>IFERROR(F2241/J2241,0)</x:f>
        <x:v>1</x:v>
      </x:c>
      <x:c r="T2241" s="28" t="n">
        <x:f>H2241-I2241</x:f>
        <x:v>0</x:v>
      </x:c>
      <x:c r="U2241" s="24" t="n">
        <x:f>IFERROR(J2241/H2241,0)-IFERROR(K2241/I2241,0)</x:f>
        <x:v>-0.30769230769230765</x:v>
      </x:c>
      <x:c r="V2241" s="24" t="n">
        <x:f>IFERROR(F2241/J2241,0)-IFERROR(G2241/K2241,0)</x:f>
        <x:v>0.8571428571428572</x:v>
      </x:c>
      <x:c r="W2241" s="28" t="n">
        <x:f>L2241-M2241</x:f>
        <x:v>-5</x:v>
      </x:c>
      <x:c r="X2241" s="24" t="n">
        <x:f>IFERROR(K2241/I2241,0)</x:f>
        <x:v>0.5384615384615384</x:v>
      </x:c>
      <x:c r="Y2241" s="24" t="n">
        <x:f>IFERROR(G2241/I2241,0)</x:f>
        <x:v>0.07692307692307693</x:v>
      </x:c>
      <x:c r="Z2241" s="24" t="n">
        <x:f>IFERROR(G2241/K2241,0)</x:f>
        <x:v>0.14285714285714285</x:v>
      </x:c>
      <x:c r="AA2241" s="24" t="n">
        <x:f>IFERROR(F2241/H2241,0)-IFERROR(G2241/I2241,0)</x:f>
        <x:v>0.15384615384615385</x:v>
      </x:c>
      <x:c r="AB2241" s="28" t="n">
        <x:f>J2241-K2241</x:f>
        <x:v>-4</x:v>
      </x:c>
      <x:c r="AC2241" s="32" t="n">
        <x:f>F2241-G2241</x:f>
        <x:v>2</x:v>
      </x:c>
    </x:row>
    <x:row r="2242">
      <x:c r="A2242" s="4" t="str">
        <x:v>2023-24</x:v>
      </x:c>
      <x:c r="B2242" s="20" t="n">
        <x:v>45423</x:v>
      </x:c>
      <x:c r="C2242" s="4" t="str">
        <x:v>Everton</x:v>
      </x:c>
      <x:c r="D2242" s="4" t="str">
        <x:v>Sheffield United</x:v>
      </x:c>
      <x:c r="E2242" s="4" t="str">
        <x:v>Home</x:v>
      </x:c>
      <x:c r="F2242" s="28" t="n">
        <x:v>1</x:v>
      </x:c>
      <x:c r="G2242" s="28" t="n">
        <x:v>0</x:v>
      </x:c>
      <x:c r="H2242" s="28" t="n">
        <x:v>15</x:v>
      </x:c>
      <x:c r="I2242" s="28" t="n">
        <x:v>13</x:v>
      </x:c>
      <x:c r="J2242" s="28" t="n">
        <x:v>6</x:v>
      </x:c>
      <x:c r="K2242" s="28" t="n">
        <x:v>1</x:v>
      </x:c>
      <x:c r="L2242" s="28" t="n">
        <x:v>3</x:v>
      </x:c>
      <x:c r="M2242" s="28" t="n">
        <x:v>6</x:v>
      </x:c>
      <x:c r="N2242" s="28" t="n">
        <x:v>1</x:v>
      </x:c>
      <x:c r="O2242" s="28" t="n">
        <x:v>0</x:v>
      </x:c>
      <x:c r="P2242" s="28" t="n">
        <x:v>3</x:v>
      </x:c>
      <x:c r="Q2242" s="24" t="n">
        <x:f>IFERROR(J2242/H2242,0)</x:f>
        <x:v>0.4</x:v>
      </x:c>
      <x:c r="R2242" s="24" t="n">
        <x:f>IFERROR(F2242/H2242,0)</x:f>
        <x:v>0.06666666666666667</x:v>
      </x:c>
      <x:c r="S2242" s="24" t="n">
        <x:f>IFERROR(F2242/J2242,0)</x:f>
        <x:v>0.16666666666666666</x:v>
      </x:c>
      <x:c r="T2242" s="28" t="n">
        <x:f>H2242-I2242</x:f>
        <x:v>2</x:v>
      </x:c>
      <x:c r="U2242" s="24" t="n">
        <x:f>IFERROR(J2242/H2242,0)-IFERROR(K2242/I2242,0)</x:f>
        <x:v>0.3230769230769231</x:v>
      </x:c>
      <x:c r="V2242" s="24" t="n">
        <x:f>IFERROR(F2242/J2242,0)-IFERROR(G2242/K2242,0)</x:f>
        <x:v>0.16666666666666666</x:v>
      </x:c>
      <x:c r="W2242" s="28" t="n">
        <x:f>L2242-M2242</x:f>
        <x:v>-3</x:v>
      </x:c>
      <x:c r="X2242" s="24" t="n">
        <x:f>IFERROR(K2242/I2242,0)</x:f>
        <x:v>0.07692307692307693</x:v>
      </x:c>
      <x:c r="Y2242" s="24" t="n">
        <x:f>IFERROR(G2242/I2242,0)</x:f>
        <x:v>0</x:v>
      </x:c>
      <x:c r="Z2242" s="24" t="n">
        <x:f>IFERROR(G2242/K2242,0)</x:f>
        <x:v>0</x:v>
      </x:c>
      <x:c r="AA2242" s="24" t="n">
        <x:f>IFERROR(F2242/H2242,0)-IFERROR(G2242/I2242,0)</x:f>
        <x:v>0.06666666666666667</x:v>
      </x:c>
      <x:c r="AB2242" s="28" t="n">
        <x:f>J2242-K2242</x:f>
        <x:v>5</x:v>
      </x:c>
      <x:c r="AC2242" s="32" t="n">
        <x:f>F2242-G2242</x:f>
        <x:v>1</x:v>
      </x:c>
    </x:row>
    <x:row r="2243">
      <x:c r="A2243" s="4" t="str">
        <x:v>2023-24</x:v>
      </x:c>
      <x:c r="B2243" s="20" t="n">
        <x:v>45423</x:v>
      </x:c>
      <x:c r="C2243" s="4" t="str">
        <x:v>Fulham</x:v>
      </x:c>
      <x:c r="D2243" s="4" t="str">
        <x:v>Man City</x:v>
      </x:c>
      <x:c r="E2243" s="4" t="str">
        <x:v>Home</x:v>
      </x:c>
      <x:c r="F2243" s="28" t="n">
        <x:v>0</x:v>
      </x:c>
      <x:c r="G2243" s="28" t="n">
        <x:v>4</x:v>
      </x:c>
      <x:c r="H2243" s="28" t="n">
        <x:v>1</x:v>
      </x:c>
      <x:c r="I2243" s="28" t="n">
        <x:v>16</x:v>
      </x:c>
      <x:c r="J2243" s="28" t="n">
        <x:v>1</x:v>
      </x:c>
      <x:c r="K2243" s="28" t="n">
        <x:v>9</x:v>
      </x:c>
      <x:c r="L2243" s="28" t="n">
        <x:v>1</x:v>
      </x:c>
      <x:c r="M2243" s="28" t="n">
        <x:v>7</x:v>
      </x:c>
      <x:c r="N2243" s="28" t="n">
        <x:v>1</x:v>
      </x:c>
      <x:c r="O2243" s="28" t="n">
        <x:v>1</x:v>
      </x:c>
      <x:c r="P2243" s="28" t="n">
        <x:v>0</x:v>
      </x:c>
      <x:c r="Q2243" s="24" t="n">
        <x:f>IFERROR(J2243/H2243,0)</x:f>
        <x:v>1</x:v>
      </x:c>
      <x:c r="R2243" s="24" t="n">
        <x:f>IFERROR(F2243/H2243,0)</x:f>
        <x:v>0</x:v>
      </x:c>
      <x:c r="S2243" s="24" t="n">
        <x:f>IFERROR(F2243/J2243,0)</x:f>
        <x:v>0</x:v>
      </x:c>
      <x:c r="T2243" s="28" t="n">
        <x:f>H2243-I2243</x:f>
        <x:v>-15</x:v>
      </x:c>
      <x:c r="U2243" s="24" t="n">
        <x:f>IFERROR(J2243/H2243,0)-IFERROR(K2243/I2243,0)</x:f>
        <x:v>0.4375</x:v>
      </x:c>
      <x:c r="V2243" s="24" t="n">
        <x:f>IFERROR(F2243/J2243,0)-IFERROR(G2243/K2243,0)</x:f>
        <x:v>-0.4444444444444444</x:v>
      </x:c>
      <x:c r="W2243" s="28" t="n">
        <x:f>L2243-M2243</x:f>
        <x:v>-6</x:v>
      </x:c>
      <x:c r="X2243" s="24" t="n">
        <x:f>IFERROR(K2243/I2243,0)</x:f>
        <x:v>0.5625</x:v>
      </x:c>
      <x:c r="Y2243" s="24" t="n">
        <x:f>IFERROR(G2243/I2243,0)</x:f>
        <x:v>0.25</x:v>
      </x:c>
      <x:c r="Z2243" s="24" t="n">
        <x:f>IFERROR(G2243/K2243,0)</x:f>
        <x:v>0.4444444444444444</x:v>
      </x:c>
      <x:c r="AA2243" s="24" t="n">
        <x:f>IFERROR(F2243/H2243,0)-IFERROR(G2243/I2243,0)</x:f>
        <x:v>-0.25</x:v>
      </x:c>
      <x:c r="AB2243" s="28" t="n">
        <x:f>J2243-K2243</x:f>
        <x:v>-8</x:v>
      </x:c>
      <x:c r="AC2243" s="32" t="n">
        <x:f>F2243-G2243</x:f>
        <x:v>-4</x:v>
      </x:c>
    </x:row>
    <x:row r="2244">
      <x:c r="A2244" s="4" t="str">
        <x:v>2023-24</x:v>
      </x:c>
      <x:c r="B2244" s="20" t="n">
        <x:v>45423</x:v>
      </x:c>
      <x:c r="C2244" s="4" t="str">
        <x:v>Luton</x:v>
      </x:c>
      <x:c r="D2244" s="4" t="str">
        <x:v>West Ham</x:v>
      </x:c>
      <x:c r="E2244" s="4" t="str">
        <x:v>Away</x:v>
      </x:c>
      <x:c r="F2244" s="28" t="n">
        <x:v>1</x:v>
      </x:c>
      <x:c r="G2244" s="28" t="n">
        <x:v>3</x:v>
      </x:c>
      <x:c r="H2244" s="28" t="n">
        <x:v>4</x:v>
      </x:c>
      <x:c r="I2244" s="28" t="n">
        <x:v>24</x:v>
      </x:c>
      <x:c r="J2244" s="28" t="n">
        <x:v>1</x:v>
      </x:c>
      <x:c r="K2244" s="28" t="n">
        <x:v>8</x:v>
      </x:c>
      <x:c r="L2244" s="28" t="n">
        <x:v>6</x:v>
      </x:c>
      <x:c r="M2244" s="28" t="n">
        <x:v>7</x:v>
      </x:c>
      <x:c r="N2244" s="28" t="n">
        <x:v>3</x:v>
      </x:c>
      <x:c r="O2244" s="28" t="n">
        <x:v>0</x:v>
      </x:c>
      <x:c r="P2244" s="28" t="n">
        <x:v>0</x:v>
      </x:c>
      <x:c r="Q2244" s="24" t="n">
        <x:f>IFERROR(J2244/H2244,0)</x:f>
        <x:v>0.25</x:v>
      </x:c>
      <x:c r="R2244" s="24" t="n">
        <x:f>IFERROR(F2244/H2244,0)</x:f>
        <x:v>0.25</x:v>
      </x:c>
      <x:c r="S2244" s="24" t="n">
        <x:f>IFERROR(F2244/J2244,0)</x:f>
        <x:v>1</x:v>
      </x:c>
      <x:c r="T2244" s="28" t="n">
        <x:f>H2244-I2244</x:f>
        <x:v>-20</x:v>
      </x:c>
      <x:c r="U2244" s="24" t="n">
        <x:f>IFERROR(J2244/H2244,0)-IFERROR(K2244/I2244,0)</x:f>
        <x:v>-0.08333333333333331</x:v>
      </x:c>
      <x:c r="V2244" s="24" t="n">
        <x:f>IFERROR(F2244/J2244,0)-IFERROR(G2244/K2244,0)</x:f>
        <x:v>0.625</x:v>
      </x:c>
      <x:c r="W2244" s="28" t="n">
        <x:f>L2244-M2244</x:f>
        <x:v>-1</x:v>
      </x:c>
      <x:c r="X2244" s="24" t="n">
        <x:f>IFERROR(K2244/I2244,0)</x:f>
        <x:v>0.3333333333333333</x:v>
      </x:c>
      <x:c r="Y2244" s="24" t="n">
        <x:f>IFERROR(G2244/I2244,0)</x:f>
        <x:v>0.125</x:v>
      </x:c>
      <x:c r="Z2244" s="24" t="n">
        <x:f>IFERROR(G2244/K2244,0)</x:f>
        <x:v>0.375</x:v>
      </x:c>
      <x:c r="AA2244" s="24" t="n">
        <x:f>IFERROR(F2244/H2244,0)-IFERROR(G2244/I2244,0)</x:f>
        <x:v>0.125</x:v>
      </x:c>
      <x:c r="AB2244" s="28" t="n">
        <x:f>J2244-K2244</x:f>
        <x:v>-7</x:v>
      </x:c>
      <x:c r="AC2244" s="32" t="n">
        <x:f>F2244-G2244</x:f>
        <x:v>-2</x:v>
      </x:c>
    </x:row>
    <x:row r="2245">
      <x:c r="A2245" s="4" t="str">
        <x:v>2023-24</x:v>
      </x:c>
      <x:c r="B2245" s="20" t="n">
        <x:v>45423</x:v>
      </x:c>
      <x:c r="C2245" s="4" t="str">
        <x:v>Man City</x:v>
      </x:c>
      <x:c r="D2245" s="4" t="str">
        <x:v>Fulham</x:v>
      </x:c>
      <x:c r="E2245" s="4" t="str">
        <x:v>Away</x:v>
      </x:c>
      <x:c r="F2245" s="28" t="n">
        <x:v>4</x:v>
      </x:c>
      <x:c r="G2245" s="28" t="n">
        <x:v>0</x:v>
      </x:c>
      <x:c r="H2245" s="28" t="n">
        <x:v>16</x:v>
      </x:c>
      <x:c r="I2245" s="28" t="n">
        <x:v>1</x:v>
      </x:c>
      <x:c r="J2245" s="28" t="n">
        <x:v>9</x:v>
      </x:c>
      <x:c r="K2245" s="28" t="n">
        <x:v>1</x:v>
      </x:c>
      <x:c r="L2245" s="28" t="n">
        <x:v>7</x:v>
      </x:c>
      <x:c r="M2245" s="28" t="n">
        <x:v>1</x:v>
      </x:c>
      <x:c r="N2245" s="28" t="n">
        <x:v>0</x:v>
      </x:c>
      <x:c r="O2245" s="28" t="n">
        <x:v>0</x:v>
      </x:c>
      <x:c r="P2245" s="28" t="n">
        <x:v>3</x:v>
      </x:c>
      <x:c r="Q2245" s="24" t="n">
        <x:f>IFERROR(J2245/H2245,0)</x:f>
        <x:v>0.5625</x:v>
      </x:c>
      <x:c r="R2245" s="24" t="n">
        <x:f>IFERROR(F2245/H2245,0)</x:f>
        <x:v>0.25</x:v>
      </x:c>
      <x:c r="S2245" s="24" t="n">
        <x:f>IFERROR(F2245/J2245,0)</x:f>
        <x:v>0.4444444444444444</x:v>
      </x:c>
      <x:c r="T2245" s="28" t="n">
        <x:f>H2245-I2245</x:f>
        <x:v>15</x:v>
      </x:c>
      <x:c r="U2245" s="24" t="n">
        <x:f>IFERROR(J2245/H2245,0)-IFERROR(K2245/I2245,0)</x:f>
        <x:v>-0.4375</x:v>
      </x:c>
      <x:c r="V2245" s="24" t="n">
        <x:f>IFERROR(F2245/J2245,0)-IFERROR(G2245/K2245,0)</x:f>
        <x:v>0.4444444444444444</x:v>
      </x:c>
      <x:c r="W2245" s="28" t="n">
        <x:f>L2245-M2245</x:f>
        <x:v>6</x:v>
      </x:c>
      <x:c r="X2245" s="24" t="n">
        <x:f>IFERROR(K2245/I2245,0)</x:f>
        <x:v>1</x:v>
      </x:c>
      <x:c r="Y2245" s="24" t="n">
        <x:f>IFERROR(G2245/I2245,0)</x:f>
        <x:v>0</x:v>
      </x:c>
      <x:c r="Z2245" s="24" t="n">
        <x:f>IFERROR(G2245/K2245,0)</x:f>
        <x:v>0</x:v>
      </x:c>
      <x:c r="AA2245" s="24" t="n">
        <x:f>IFERROR(F2245/H2245,0)-IFERROR(G2245/I2245,0)</x:f>
        <x:v>0.25</x:v>
      </x:c>
      <x:c r="AB2245" s="28" t="n">
        <x:f>J2245-K2245</x:f>
        <x:v>8</x:v>
      </x:c>
      <x:c r="AC2245" s="32" t="n">
        <x:f>F2245-G2245</x:f>
        <x:v>4</x:v>
      </x:c>
    </x:row>
    <x:row r="2246">
      <x:c r="A2246" s="4" t="str">
        <x:v>2023-24</x:v>
      </x:c>
      <x:c r="B2246" s="20" t="n">
        <x:v>45423</x:v>
      </x:c>
      <x:c r="C2246" s="4" t="str">
        <x:v>Newcastle</x:v>
      </x:c>
      <x:c r="D2246" s="4" t="str">
        <x:v>Brighton</x:v>
      </x:c>
      <x:c r="E2246" s="4" t="str">
        <x:v>Home</x:v>
      </x:c>
      <x:c r="F2246" s="28" t="n">
        <x:v>1</x:v>
      </x:c>
      <x:c r="G2246" s="28" t="n">
        <x:v>1</x:v>
      </x:c>
      <x:c r="H2246" s="28" t="n">
        <x:v>18</x:v>
      </x:c>
      <x:c r="I2246" s="28" t="n">
        <x:v>15</x:v>
      </x:c>
      <x:c r="J2246" s="28" t="n">
        <x:v>7</x:v>
      </x:c>
      <x:c r="K2246" s="28" t="n">
        <x:v>4</x:v>
      </x:c>
      <x:c r="L2246" s="28" t="n">
        <x:v>8</x:v>
      </x:c>
      <x:c r="M2246" s="28" t="n">
        <x:v>4</x:v>
      </x:c>
      <x:c r="N2246" s="28" t="n">
        <x:v>3</x:v>
      </x:c>
      <x:c r="O2246" s="28" t="n">
        <x:v>0</x:v>
      </x:c>
      <x:c r="P2246" s="28" t="n">
        <x:v>1</x:v>
      </x:c>
      <x:c r="Q2246" s="24" t="n">
        <x:f>IFERROR(J2246/H2246,0)</x:f>
        <x:v>0.3888888888888889</x:v>
      </x:c>
      <x:c r="R2246" s="24" t="n">
        <x:f>IFERROR(F2246/H2246,0)</x:f>
        <x:v>0.05555555555555555</x:v>
      </x:c>
      <x:c r="S2246" s="24" t="n">
        <x:f>IFERROR(F2246/J2246,0)</x:f>
        <x:v>0.14285714285714285</x:v>
      </x:c>
      <x:c r="T2246" s="28" t="n">
        <x:f>H2246-I2246</x:f>
        <x:v>3</x:v>
      </x:c>
      <x:c r="U2246" s="24" t="n">
        <x:f>IFERROR(J2246/H2246,0)-IFERROR(K2246/I2246,0)</x:f>
        <x:v>0.12222222222222223</x:v>
      </x:c>
      <x:c r="V2246" s="24" t="n">
        <x:f>IFERROR(F2246/J2246,0)-IFERROR(G2246/K2246,0)</x:f>
        <x:v>-0.10714285714285715</x:v>
      </x:c>
      <x:c r="W2246" s="28" t="n">
        <x:f>L2246-M2246</x:f>
        <x:v>4</x:v>
      </x:c>
      <x:c r="X2246" s="24" t="n">
        <x:f>IFERROR(K2246/I2246,0)</x:f>
        <x:v>0.26666666666666666</x:v>
      </x:c>
      <x:c r="Y2246" s="24" t="n">
        <x:f>IFERROR(G2246/I2246,0)</x:f>
        <x:v>0.06666666666666667</x:v>
      </x:c>
      <x:c r="Z2246" s="24" t="n">
        <x:f>IFERROR(G2246/K2246,0)</x:f>
        <x:v>0.25</x:v>
      </x:c>
      <x:c r="AA2246" s="24" t="n">
        <x:f>IFERROR(F2246/H2246,0)-IFERROR(G2246/I2246,0)</x:f>
        <x:v>-0.011111111111111113</x:v>
      </x:c>
      <x:c r="AB2246" s="28" t="n">
        <x:f>J2246-K2246</x:f>
        <x:v>3</x:v>
      </x:c>
      <x:c r="AC2246" s="32" t="n">
        <x:f>F2246-G2246</x:f>
        <x:v>0</x:v>
      </x:c>
    </x:row>
    <x:row r="2247">
      <x:c r="A2247" s="4" t="str">
        <x:v>2023-24</x:v>
      </x:c>
      <x:c r="B2247" s="20" t="n">
        <x:v>45423</x:v>
      </x:c>
      <x:c r="C2247" s="4" t="str">
        <x:v>Nott'm Forest</x:v>
      </x:c>
      <x:c r="D2247" s="4" t="str">
        <x:v>Chelsea</x:v>
      </x:c>
      <x:c r="E2247" s="4" t="str">
        <x:v>Home</x:v>
      </x:c>
      <x:c r="F2247" s="28" t="n">
        <x:v>2</x:v>
      </x:c>
      <x:c r="G2247" s="28" t="n">
        <x:v>3</x:v>
      </x:c>
      <x:c r="H2247" s="28" t="n">
        <x:v>20</x:v>
      </x:c>
      <x:c r="I2247" s="28" t="n">
        <x:v>12</x:v>
      </x:c>
      <x:c r="J2247" s="28" t="n">
        <x:v>4</x:v>
      </x:c>
      <x:c r="K2247" s="28" t="n">
        <x:v>5</x:v>
      </x:c>
      <x:c r="L2247" s="28" t="n">
        <x:v>5</x:v>
      </x:c>
      <x:c r="M2247" s="28" t="n">
        <x:v>6</x:v>
      </x:c>
      <x:c r="N2247" s="28" t="n">
        <x:v>2</x:v>
      </x:c>
      <x:c r="O2247" s="28" t="n">
        <x:v>0</x:v>
      </x:c>
      <x:c r="P2247" s="28" t="n">
        <x:v>0</x:v>
      </x:c>
      <x:c r="Q2247" s="24" t="n">
        <x:f>IFERROR(J2247/H2247,0)</x:f>
        <x:v>0.2</x:v>
      </x:c>
      <x:c r="R2247" s="24" t="n">
        <x:f>IFERROR(F2247/H2247,0)</x:f>
        <x:v>0.1</x:v>
      </x:c>
      <x:c r="S2247" s="24" t="n">
        <x:f>IFERROR(F2247/J2247,0)</x:f>
        <x:v>0.5</x:v>
      </x:c>
      <x:c r="T2247" s="28" t="n">
        <x:f>H2247-I2247</x:f>
        <x:v>8</x:v>
      </x:c>
      <x:c r="U2247" s="24" t="n">
        <x:f>IFERROR(J2247/H2247,0)-IFERROR(K2247/I2247,0)</x:f>
        <x:v>-0.21666666666666667</x:v>
      </x:c>
      <x:c r="V2247" s="24" t="n">
        <x:f>IFERROR(F2247/J2247,0)-IFERROR(G2247/K2247,0)</x:f>
        <x:v>-0.09999999999999998</x:v>
      </x:c>
      <x:c r="W2247" s="28" t="n">
        <x:f>L2247-M2247</x:f>
        <x:v>-1</x:v>
      </x:c>
      <x:c r="X2247" s="24" t="n">
        <x:f>IFERROR(K2247/I2247,0)</x:f>
        <x:v>0.4166666666666667</x:v>
      </x:c>
      <x:c r="Y2247" s="24" t="n">
        <x:f>IFERROR(G2247/I2247,0)</x:f>
        <x:v>0.25</x:v>
      </x:c>
      <x:c r="Z2247" s="24" t="n">
        <x:f>IFERROR(G2247/K2247,0)</x:f>
        <x:v>0.6</x:v>
      </x:c>
      <x:c r="AA2247" s="24" t="n">
        <x:f>IFERROR(F2247/H2247,0)-IFERROR(G2247/I2247,0)</x:f>
        <x:v>-0.15</x:v>
      </x:c>
      <x:c r="AB2247" s="28" t="n">
        <x:f>J2247-K2247</x:f>
        <x:v>-1</x:v>
      </x:c>
      <x:c r="AC2247" s="32" t="n">
        <x:f>F2247-G2247</x:f>
        <x:v>-1</x:v>
      </x:c>
    </x:row>
    <x:row r="2248">
      <x:c r="A2248" s="4" t="str">
        <x:v>2023-24</x:v>
      </x:c>
      <x:c r="B2248" s="20" t="n">
        <x:v>45423</x:v>
      </x:c>
      <x:c r="C2248" s="4" t="str">
        <x:v>Sheffield United</x:v>
      </x:c>
      <x:c r="D2248" s="4" t="str">
        <x:v>Everton</x:v>
      </x:c>
      <x:c r="E2248" s="4" t="str">
        <x:v>Away</x:v>
      </x:c>
      <x:c r="F2248" s="28" t="n">
        <x:v>0</x:v>
      </x:c>
      <x:c r="G2248" s="28" t="n">
        <x:v>1</x:v>
      </x:c>
      <x:c r="H2248" s="28" t="n">
        <x:v>13</x:v>
      </x:c>
      <x:c r="I2248" s="28" t="n">
        <x:v>15</x:v>
      </x:c>
      <x:c r="J2248" s="28" t="n">
        <x:v>1</x:v>
      </x:c>
      <x:c r="K2248" s="28" t="n">
        <x:v>6</x:v>
      </x:c>
      <x:c r="L2248" s="28" t="n">
        <x:v>6</x:v>
      </x:c>
      <x:c r="M2248" s="28" t="n">
        <x:v>3</x:v>
      </x:c>
      <x:c r="N2248" s="28" t="n">
        <x:v>2</x:v>
      </x:c>
      <x:c r="O2248" s="28" t="n">
        <x:v>0</x:v>
      </x:c>
      <x:c r="P2248" s="28" t="n">
        <x:v>0</x:v>
      </x:c>
      <x:c r="Q2248" s="24" t="n">
        <x:f>IFERROR(J2248/H2248,0)</x:f>
        <x:v>0.07692307692307693</x:v>
      </x:c>
      <x:c r="R2248" s="24" t="n">
        <x:f>IFERROR(F2248/H2248,0)</x:f>
        <x:v>0</x:v>
      </x:c>
      <x:c r="S2248" s="24" t="n">
        <x:f>IFERROR(F2248/J2248,0)</x:f>
        <x:v>0</x:v>
      </x:c>
      <x:c r="T2248" s="28" t="n">
        <x:f>H2248-I2248</x:f>
        <x:v>-2</x:v>
      </x:c>
      <x:c r="U2248" s="24" t="n">
        <x:f>IFERROR(J2248/H2248,0)-IFERROR(K2248/I2248,0)</x:f>
        <x:v>-0.3230769230769231</x:v>
      </x:c>
      <x:c r="V2248" s="24" t="n">
        <x:f>IFERROR(F2248/J2248,0)-IFERROR(G2248/K2248,0)</x:f>
        <x:v>-0.16666666666666666</x:v>
      </x:c>
      <x:c r="W2248" s="28" t="n">
        <x:f>L2248-M2248</x:f>
        <x:v>3</x:v>
      </x:c>
      <x:c r="X2248" s="24" t="n">
        <x:f>IFERROR(K2248/I2248,0)</x:f>
        <x:v>0.4</x:v>
      </x:c>
      <x:c r="Y2248" s="24" t="n">
        <x:f>IFERROR(G2248/I2248,0)</x:f>
        <x:v>0.06666666666666667</x:v>
      </x:c>
      <x:c r="Z2248" s="24" t="n">
        <x:f>IFERROR(G2248/K2248,0)</x:f>
        <x:v>0.16666666666666666</x:v>
      </x:c>
      <x:c r="AA2248" s="24" t="n">
        <x:f>IFERROR(F2248/H2248,0)-IFERROR(G2248/I2248,0)</x:f>
        <x:v>-0.06666666666666667</x:v>
      </x:c>
      <x:c r="AB2248" s="28" t="n">
        <x:f>J2248-K2248</x:f>
        <x:v>-5</x:v>
      </x:c>
      <x:c r="AC2248" s="32" t="n">
        <x:f>F2248-G2248</x:f>
        <x:v>-1</x:v>
      </x:c>
    </x:row>
    <x:row r="2249">
      <x:c r="A2249" s="4" t="str">
        <x:v>2023-24</x:v>
      </x:c>
      <x:c r="B2249" s="20" t="n">
        <x:v>45423</x:v>
      </x:c>
      <x:c r="C2249" s="4" t="str">
        <x:v>Tottenham</x:v>
      </x:c>
      <x:c r="D2249" s="4" t="str">
        <x:v>Burnley</x:v>
      </x:c>
      <x:c r="E2249" s="4" t="str">
        <x:v>Home</x:v>
      </x:c>
      <x:c r="F2249" s="28" t="n">
        <x:v>2</x:v>
      </x:c>
      <x:c r="G2249" s="28" t="n">
        <x:v>1</x:v>
      </x:c>
      <x:c r="H2249" s="28" t="n">
        <x:v>21</x:v>
      </x:c>
      <x:c r="I2249" s="28" t="n">
        <x:v>7</x:v>
      </x:c>
      <x:c r="J2249" s="28" t="n">
        <x:v>9</x:v>
      </x:c>
      <x:c r="K2249" s="28" t="n">
        <x:v>3</x:v>
      </x:c>
      <x:c r="L2249" s="28" t="n">
        <x:v>9</x:v>
      </x:c>
      <x:c r="M2249" s="28" t="n">
        <x:v>3</x:v>
      </x:c>
      <x:c r="N2249" s="28" t="n">
        <x:v>3</x:v>
      </x:c>
      <x:c r="O2249" s="28" t="n">
        <x:v>0</x:v>
      </x:c>
      <x:c r="P2249" s="28" t="n">
        <x:v>3</x:v>
      </x:c>
      <x:c r="Q2249" s="24" t="n">
        <x:f>IFERROR(J2249/H2249,0)</x:f>
        <x:v>0.42857142857142855</x:v>
      </x:c>
      <x:c r="R2249" s="24" t="n">
        <x:f>IFERROR(F2249/H2249,0)</x:f>
        <x:v>0.09523809523809523</x:v>
      </x:c>
      <x:c r="S2249" s="24" t="n">
        <x:f>IFERROR(F2249/J2249,0)</x:f>
        <x:v>0.2222222222222222</x:v>
      </x:c>
      <x:c r="T2249" s="28" t="n">
        <x:f>H2249-I2249</x:f>
        <x:v>14</x:v>
      </x:c>
      <x:c r="U2249" s="24" t="n">
        <x:f>IFERROR(J2249/H2249,0)-IFERROR(K2249/I2249,0)</x:f>
        <x:v>0</x:v>
      </x:c>
      <x:c r="V2249" s="24" t="n">
        <x:f>IFERROR(F2249/J2249,0)-IFERROR(G2249/K2249,0)</x:f>
        <x:v>-0.1111111111111111</x:v>
      </x:c>
      <x:c r="W2249" s="28" t="n">
        <x:f>L2249-M2249</x:f>
        <x:v>6</x:v>
      </x:c>
      <x:c r="X2249" s="24" t="n">
        <x:f>IFERROR(K2249/I2249,0)</x:f>
        <x:v>0.42857142857142855</x:v>
      </x:c>
      <x:c r="Y2249" s="24" t="n">
        <x:f>IFERROR(G2249/I2249,0)</x:f>
        <x:v>0.14285714285714285</x:v>
      </x:c>
      <x:c r="Z2249" s="24" t="n">
        <x:f>IFERROR(G2249/K2249,0)</x:f>
        <x:v>0.3333333333333333</x:v>
      </x:c>
      <x:c r="AA2249" s="24" t="n">
        <x:f>IFERROR(F2249/H2249,0)-IFERROR(G2249/I2249,0)</x:f>
        <x:v>-0.047619047619047616</x:v>
      </x:c>
      <x:c r="AB2249" s="28" t="n">
        <x:f>J2249-K2249</x:f>
        <x:v>6</x:v>
      </x:c>
      <x:c r="AC2249" s="32" t="n">
        <x:f>F2249-G2249</x:f>
        <x:v>1</x:v>
      </x:c>
    </x:row>
    <x:row r="2250">
      <x:c r="A2250" s="4" t="str">
        <x:v>2023-24</x:v>
      </x:c>
      <x:c r="B2250" s="20" t="n">
        <x:v>45423</x:v>
      </x:c>
      <x:c r="C2250" s="4" t="str">
        <x:v>West Ham</x:v>
      </x:c>
      <x:c r="D2250" s="4" t="str">
        <x:v>Luton</x:v>
      </x:c>
      <x:c r="E2250" s="4" t="str">
        <x:v>Home</x:v>
      </x:c>
      <x:c r="F2250" s="28" t="n">
        <x:v>3</x:v>
      </x:c>
      <x:c r="G2250" s="28" t="n">
        <x:v>1</x:v>
      </x:c>
      <x:c r="H2250" s="28" t="n">
        <x:v>24</x:v>
      </x:c>
      <x:c r="I2250" s="28" t="n">
        <x:v>4</x:v>
      </x:c>
      <x:c r="J2250" s="28" t="n">
        <x:v>8</x:v>
      </x:c>
      <x:c r="K2250" s="28" t="n">
        <x:v>1</x:v>
      </x:c>
      <x:c r="L2250" s="28" t="n">
        <x:v>7</x:v>
      </x:c>
      <x:c r="M2250" s="28" t="n">
        <x:v>6</x:v>
      </x:c>
      <x:c r="N2250" s="28" t="n">
        <x:v>1</x:v>
      </x:c>
      <x:c r="O2250" s="28" t="n">
        <x:v>0</x:v>
      </x:c>
      <x:c r="P2250" s="28" t="n">
        <x:v>3</x:v>
      </x:c>
      <x:c r="Q2250" s="24" t="n">
        <x:f>IFERROR(J2250/H2250,0)</x:f>
        <x:v>0.3333333333333333</x:v>
      </x:c>
      <x:c r="R2250" s="24" t="n">
        <x:f>IFERROR(F2250/H2250,0)</x:f>
        <x:v>0.125</x:v>
      </x:c>
      <x:c r="S2250" s="24" t="n">
        <x:f>IFERROR(F2250/J2250,0)</x:f>
        <x:v>0.375</x:v>
      </x:c>
      <x:c r="T2250" s="28" t="n">
        <x:f>H2250-I2250</x:f>
        <x:v>20</x:v>
      </x:c>
      <x:c r="U2250" s="24" t="n">
        <x:f>IFERROR(J2250/H2250,0)-IFERROR(K2250/I2250,0)</x:f>
        <x:v>0.08333333333333331</x:v>
      </x:c>
      <x:c r="V2250" s="24" t="n">
        <x:f>IFERROR(F2250/J2250,0)-IFERROR(G2250/K2250,0)</x:f>
        <x:v>-0.625</x:v>
      </x:c>
      <x:c r="W2250" s="28" t="n">
        <x:f>L2250-M2250</x:f>
        <x:v>1</x:v>
      </x:c>
      <x:c r="X2250" s="24" t="n">
        <x:f>IFERROR(K2250/I2250,0)</x:f>
        <x:v>0.25</x:v>
      </x:c>
      <x:c r="Y2250" s="24" t="n">
        <x:f>IFERROR(G2250/I2250,0)</x:f>
        <x:v>0.25</x:v>
      </x:c>
      <x:c r="Z2250" s="24" t="n">
        <x:f>IFERROR(G2250/K2250,0)</x:f>
        <x:v>1</x:v>
      </x:c>
      <x:c r="AA2250" s="24" t="n">
        <x:f>IFERROR(F2250/H2250,0)-IFERROR(G2250/I2250,0)</x:f>
        <x:v>-0.125</x:v>
      </x:c>
      <x:c r="AB2250" s="28" t="n">
        <x:f>J2250-K2250</x:f>
        <x:v>7</x:v>
      </x:c>
      <x:c r="AC2250" s="32" t="n">
        <x:f>F2250-G2250</x:f>
        <x:v>2</x:v>
      </x:c>
    </x:row>
    <x:row r="2251">
      <x:c r="A2251" s="4" t="str">
        <x:v>2023-24</x:v>
      </x:c>
      <x:c r="B2251" s="20" t="n">
        <x:v>45423</x:v>
      </x:c>
      <x:c r="C2251" s="4" t="str">
        <x:v>Wolves</x:v>
      </x:c>
      <x:c r="D2251" s="4" t="str">
        <x:v>Crystal Palace</x:v>
      </x:c>
      <x:c r="E2251" s="4" t="str">
        <x:v>Home</x:v>
      </x:c>
      <x:c r="F2251" s="28" t="n">
        <x:v>1</x:v>
      </x:c>
      <x:c r="G2251" s="28" t="n">
        <x:v>3</x:v>
      </x:c>
      <x:c r="H2251" s="28" t="n">
        <x:v>13</x:v>
      </x:c>
      <x:c r="I2251" s="28" t="n">
        <x:v>13</x:v>
      </x:c>
      <x:c r="J2251" s="28" t="n">
        <x:v>7</x:v>
      </x:c>
      <x:c r="K2251" s="28" t="n">
        <x:v>3</x:v>
      </x:c>
      <x:c r="L2251" s="28" t="n">
        <x:v>8</x:v>
      </x:c>
      <x:c r="M2251" s="28" t="n">
        <x:v>3</x:v>
      </x:c>
      <x:c r="N2251" s="28" t="n">
        <x:v>3</x:v>
      </x:c>
      <x:c r="O2251" s="28" t="n">
        <x:v>0</x:v>
      </x:c>
      <x:c r="P2251" s="28" t="n">
        <x:v>0</x:v>
      </x:c>
      <x:c r="Q2251" s="24" t="n">
        <x:f>IFERROR(J2251/H2251,0)</x:f>
        <x:v>0.5384615384615384</x:v>
      </x:c>
      <x:c r="R2251" s="24" t="n">
        <x:f>IFERROR(F2251/H2251,0)</x:f>
        <x:v>0.07692307692307693</x:v>
      </x:c>
      <x:c r="S2251" s="24" t="n">
        <x:f>IFERROR(F2251/J2251,0)</x:f>
        <x:v>0.14285714285714285</x:v>
      </x:c>
      <x:c r="T2251" s="28" t="n">
        <x:f>H2251-I2251</x:f>
        <x:v>0</x:v>
      </x:c>
      <x:c r="U2251" s="24" t="n">
        <x:f>IFERROR(J2251/H2251,0)-IFERROR(K2251/I2251,0)</x:f>
        <x:v>0.30769230769230765</x:v>
      </x:c>
      <x:c r="V2251" s="24" t="n">
        <x:f>IFERROR(F2251/J2251,0)-IFERROR(G2251/K2251,0)</x:f>
        <x:v>-0.8571428571428572</x:v>
      </x:c>
      <x:c r="W2251" s="28" t="n">
        <x:f>L2251-M2251</x:f>
        <x:v>5</x:v>
      </x:c>
      <x:c r="X2251" s="24" t="n">
        <x:f>IFERROR(K2251/I2251,0)</x:f>
        <x:v>0.23076923076923078</x:v>
      </x:c>
      <x:c r="Y2251" s="24" t="n">
        <x:f>IFERROR(G2251/I2251,0)</x:f>
        <x:v>0.23076923076923078</x:v>
      </x:c>
      <x:c r="Z2251" s="24" t="n">
        <x:f>IFERROR(G2251/K2251,0)</x:f>
        <x:v>1</x:v>
      </x:c>
      <x:c r="AA2251" s="24" t="n">
        <x:f>IFERROR(F2251/H2251,0)-IFERROR(G2251/I2251,0)</x:f>
        <x:v>-0.15384615384615385</x:v>
      </x:c>
      <x:c r="AB2251" s="28" t="n">
        <x:f>J2251-K2251</x:f>
        <x:v>4</x:v>
      </x:c>
      <x:c r="AC2251" s="32" t="n">
        <x:f>F2251-G2251</x:f>
        <x:v>-2</x:v>
      </x:c>
    </x:row>
    <x:row r="2252">
      <x:c r="A2252" s="4" t="str">
        <x:v>2023-24</x:v>
      </x:c>
      <x:c r="B2252" s="20" t="n">
        <x:v>45424</x:v>
      </x:c>
      <x:c r="C2252" s="4" t="str">
        <x:v>Arsenal</x:v>
      </x:c>
      <x:c r="D2252" s="4" t="str">
        <x:v>Man United</x:v>
      </x:c>
      <x:c r="E2252" s="4" t="str">
        <x:v>Away</x:v>
      </x:c>
      <x:c r="F2252" s="28" t="n">
        <x:v>1</x:v>
      </x:c>
      <x:c r="G2252" s="28" t="n">
        <x:v>0</x:v>
      </x:c>
      <x:c r="H2252" s="28" t="n">
        <x:v>11</x:v>
      </x:c>
      <x:c r="I2252" s="28" t="n">
        <x:v>14</x:v>
      </x:c>
      <x:c r="J2252" s="28" t="n">
        <x:v>5</x:v>
      </x:c>
      <x:c r="K2252" s="28" t="n">
        <x:v>2</x:v>
      </x:c>
      <x:c r="L2252" s="28" t="n">
        <x:v>7</x:v>
      </x:c>
      <x:c r="M2252" s="28" t="n">
        <x:v>4</x:v>
      </x:c>
      <x:c r="N2252" s="28" t="n">
        <x:v>2</x:v>
      </x:c>
      <x:c r="O2252" s="28" t="n">
        <x:v>0</x:v>
      </x:c>
      <x:c r="P2252" s="28" t="n">
        <x:v>3</x:v>
      </x:c>
      <x:c r="Q2252" s="24" t="n">
        <x:f>IFERROR(J2252/H2252,0)</x:f>
        <x:v>0.45454545454545453</x:v>
      </x:c>
      <x:c r="R2252" s="24" t="n">
        <x:f>IFERROR(F2252/H2252,0)</x:f>
        <x:v>0.09090909090909091</x:v>
      </x:c>
      <x:c r="S2252" s="24" t="n">
        <x:f>IFERROR(F2252/J2252,0)</x:f>
        <x:v>0.2</x:v>
      </x:c>
      <x:c r="T2252" s="28" t="n">
        <x:f>H2252-I2252</x:f>
        <x:v>-3</x:v>
      </x:c>
      <x:c r="U2252" s="24" t="n">
        <x:f>IFERROR(J2252/H2252,0)-IFERROR(K2252/I2252,0)</x:f>
        <x:v>0.3116883116883117</x:v>
      </x:c>
      <x:c r="V2252" s="24" t="n">
        <x:f>IFERROR(F2252/J2252,0)-IFERROR(G2252/K2252,0)</x:f>
        <x:v>0.2</x:v>
      </x:c>
      <x:c r="W2252" s="28" t="n">
        <x:f>L2252-M2252</x:f>
        <x:v>3</x:v>
      </x:c>
      <x:c r="X2252" s="24" t="n">
        <x:f>IFERROR(K2252/I2252,0)</x:f>
        <x:v>0.14285714285714285</x:v>
      </x:c>
      <x:c r="Y2252" s="24" t="n">
        <x:f>IFERROR(G2252/I2252,0)</x:f>
        <x:v>0</x:v>
      </x:c>
      <x:c r="Z2252" s="24" t="n">
        <x:f>IFERROR(G2252/K2252,0)</x:f>
        <x:v>0</x:v>
      </x:c>
      <x:c r="AA2252" s="24" t="n">
        <x:f>IFERROR(F2252/H2252,0)-IFERROR(G2252/I2252,0)</x:f>
        <x:v>0.09090909090909091</x:v>
      </x:c>
      <x:c r="AB2252" s="28" t="n">
        <x:f>J2252-K2252</x:f>
        <x:v>3</x:v>
      </x:c>
      <x:c r="AC2252" s="32" t="n">
        <x:f>F2252-G2252</x:f>
        <x:v>1</x:v>
      </x:c>
    </x:row>
    <x:row r="2253">
      <x:c r="A2253" s="4" t="str">
        <x:v>2023-24</x:v>
      </x:c>
      <x:c r="B2253" s="20" t="n">
        <x:v>45424</x:v>
      </x:c>
      <x:c r="C2253" s="4" t="str">
        <x:v>Man United</x:v>
      </x:c>
      <x:c r="D2253" s="4" t="str">
        <x:v>Arsenal</x:v>
      </x:c>
      <x:c r="E2253" s="4" t="str">
        <x:v>Home</x:v>
      </x:c>
      <x:c r="F2253" s="28" t="n">
        <x:v>0</x:v>
      </x:c>
      <x:c r="G2253" s="28" t="n">
        <x:v>1</x:v>
      </x:c>
      <x:c r="H2253" s="28" t="n">
        <x:v>14</x:v>
      </x:c>
      <x:c r="I2253" s="28" t="n">
        <x:v>11</x:v>
      </x:c>
      <x:c r="J2253" s="28" t="n">
        <x:v>2</x:v>
      </x:c>
      <x:c r="K2253" s="28" t="n">
        <x:v>5</x:v>
      </x:c>
      <x:c r="L2253" s="28" t="n">
        <x:v>4</x:v>
      </x:c>
      <x:c r="M2253" s="28" t="n">
        <x:v>7</x:v>
      </x:c>
      <x:c r="N2253" s="28" t="n">
        <x:v>0</x:v>
      </x:c>
      <x:c r="O2253" s="28" t="n">
        <x:v>0</x:v>
      </x:c>
      <x:c r="P2253" s="28" t="n">
        <x:v>0</x:v>
      </x:c>
      <x:c r="Q2253" s="24" t="n">
        <x:f>IFERROR(J2253/H2253,0)</x:f>
        <x:v>0.14285714285714285</x:v>
      </x:c>
      <x:c r="R2253" s="24" t="n">
        <x:f>IFERROR(F2253/H2253,0)</x:f>
        <x:v>0</x:v>
      </x:c>
      <x:c r="S2253" s="24" t="n">
        <x:f>IFERROR(F2253/J2253,0)</x:f>
        <x:v>0</x:v>
      </x:c>
      <x:c r="T2253" s="28" t="n">
        <x:f>H2253-I2253</x:f>
        <x:v>3</x:v>
      </x:c>
      <x:c r="U2253" s="24" t="n">
        <x:f>IFERROR(J2253/H2253,0)-IFERROR(K2253/I2253,0)</x:f>
        <x:v>-0.3116883116883117</x:v>
      </x:c>
      <x:c r="V2253" s="24" t="n">
        <x:f>IFERROR(F2253/J2253,0)-IFERROR(G2253/K2253,0)</x:f>
        <x:v>-0.2</x:v>
      </x:c>
      <x:c r="W2253" s="28" t="n">
        <x:f>L2253-M2253</x:f>
        <x:v>-3</x:v>
      </x:c>
      <x:c r="X2253" s="24" t="n">
        <x:f>IFERROR(K2253/I2253,0)</x:f>
        <x:v>0.45454545454545453</x:v>
      </x:c>
      <x:c r="Y2253" s="24" t="n">
        <x:f>IFERROR(G2253/I2253,0)</x:f>
        <x:v>0.09090909090909091</x:v>
      </x:c>
      <x:c r="Z2253" s="24" t="n">
        <x:f>IFERROR(G2253/K2253,0)</x:f>
        <x:v>0.2</x:v>
      </x:c>
      <x:c r="AA2253" s="24" t="n">
        <x:f>IFERROR(F2253/H2253,0)-IFERROR(G2253/I2253,0)</x:f>
        <x:v>-0.09090909090909091</x:v>
      </x:c>
      <x:c r="AB2253" s="28" t="n">
        <x:f>J2253-K2253</x:f>
        <x:v>-3</x:v>
      </x:c>
      <x:c r="AC2253" s="32" t="n">
        <x:f>F2253-G2253</x:f>
        <x:v>-1</x:v>
      </x:c>
    </x:row>
    <x:row r="2254">
      <x:c r="A2254" s="4" t="str">
        <x:v>2023-24</x:v>
      </x:c>
      <x:c r="B2254" s="20" t="n">
        <x:v>45425</x:v>
      </x:c>
      <x:c r="C2254" s="4" t="str">
        <x:v>Aston Villa</x:v>
      </x:c>
      <x:c r="D2254" s="4" t="str">
        <x:v>Liverpool</x:v>
      </x:c>
      <x:c r="E2254" s="4" t="str">
        <x:v>Home</x:v>
      </x:c>
      <x:c r="F2254" s="28" t="n">
        <x:v>3</x:v>
      </x:c>
      <x:c r="G2254" s="28" t="n">
        <x:v>3</x:v>
      </x:c>
      <x:c r="H2254" s="28" t="n">
        <x:v>19</x:v>
      </x:c>
      <x:c r="I2254" s="28" t="n">
        <x:v>14</x:v>
      </x:c>
      <x:c r="J2254" s="28" t="n">
        <x:v>5</x:v>
      </x:c>
      <x:c r="K2254" s="28" t="n">
        <x:v>7</x:v>
      </x:c>
      <x:c r="L2254" s="28" t="n">
        <x:v>5</x:v>
      </x:c>
      <x:c r="M2254" s="28" t="n">
        <x:v>4</x:v>
      </x:c>
      <x:c r="N2254" s="28" t="n">
        <x:v>1</x:v>
      </x:c>
      <x:c r="O2254" s="28" t="n">
        <x:v>0</x:v>
      </x:c>
      <x:c r="P2254" s="28" t="n">
        <x:v>1</x:v>
      </x:c>
      <x:c r="Q2254" s="24" t="n">
        <x:f>IFERROR(J2254/H2254,0)</x:f>
        <x:v>0.2631578947368421</x:v>
      </x:c>
      <x:c r="R2254" s="24" t="n">
        <x:f>IFERROR(F2254/H2254,0)</x:f>
        <x:v>0.15789473684210525</x:v>
      </x:c>
      <x:c r="S2254" s="24" t="n">
        <x:f>IFERROR(F2254/J2254,0)</x:f>
        <x:v>0.6</x:v>
      </x:c>
      <x:c r="T2254" s="28" t="n">
        <x:f>H2254-I2254</x:f>
        <x:v>5</x:v>
      </x:c>
      <x:c r="U2254" s="24" t="n">
        <x:f>IFERROR(J2254/H2254,0)-IFERROR(K2254/I2254,0)</x:f>
        <x:v>-0.2368421052631579</x:v>
      </x:c>
      <x:c r="V2254" s="24" t="n">
        <x:f>IFERROR(F2254/J2254,0)-IFERROR(G2254/K2254,0)</x:f>
        <x:v>0.17142857142857143</x:v>
      </x:c>
      <x:c r="W2254" s="28" t="n">
        <x:f>L2254-M2254</x:f>
        <x:v>1</x:v>
      </x:c>
      <x:c r="X2254" s="24" t="n">
        <x:f>IFERROR(K2254/I2254,0)</x:f>
        <x:v>0.5</x:v>
      </x:c>
      <x:c r="Y2254" s="24" t="n">
        <x:f>IFERROR(G2254/I2254,0)</x:f>
        <x:v>0.21428571428571427</x:v>
      </x:c>
      <x:c r="Z2254" s="24" t="n">
        <x:f>IFERROR(G2254/K2254,0)</x:f>
        <x:v>0.42857142857142855</x:v>
      </x:c>
      <x:c r="AA2254" s="24" t="n">
        <x:f>IFERROR(F2254/H2254,0)-IFERROR(G2254/I2254,0)</x:f>
        <x:v>-0.05639097744360902</x:v>
      </x:c>
      <x:c r="AB2254" s="28" t="n">
        <x:f>J2254-K2254</x:f>
        <x:v>-2</x:v>
      </x:c>
      <x:c r="AC2254" s="32" t="n">
        <x:f>F2254-G2254</x:f>
        <x:v>0</x:v>
      </x:c>
    </x:row>
    <x:row r="2255">
      <x:c r="A2255" s="4" t="str">
        <x:v>2023-24</x:v>
      </x:c>
      <x:c r="B2255" s="20" t="n">
        <x:v>45425</x:v>
      </x:c>
      <x:c r="C2255" s="4" t="str">
        <x:v>Liverpool</x:v>
      </x:c>
      <x:c r="D2255" s="4" t="str">
        <x:v>Aston Villa</x:v>
      </x:c>
      <x:c r="E2255" s="4" t="str">
        <x:v>Away</x:v>
      </x:c>
      <x:c r="F2255" s="28" t="n">
        <x:v>3</x:v>
      </x:c>
      <x:c r="G2255" s="28" t="n">
        <x:v>3</x:v>
      </x:c>
      <x:c r="H2255" s="28" t="n">
        <x:v>14</x:v>
      </x:c>
      <x:c r="I2255" s="28" t="n">
        <x:v>19</x:v>
      </x:c>
      <x:c r="J2255" s="28" t="n">
        <x:v>7</x:v>
      </x:c>
      <x:c r="K2255" s="28" t="n">
        <x:v>5</x:v>
      </x:c>
      <x:c r="L2255" s="28" t="n">
        <x:v>4</x:v>
      </x:c>
      <x:c r="M2255" s="28" t="n">
        <x:v>5</x:v>
      </x:c>
      <x:c r="N2255" s="28" t="n">
        <x:v>1</x:v>
      </x:c>
      <x:c r="O2255" s="28" t="n">
        <x:v>0</x:v>
      </x:c>
      <x:c r="P2255" s="28" t="n">
        <x:v>1</x:v>
      </x:c>
      <x:c r="Q2255" s="24" t="n">
        <x:f>IFERROR(J2255/H2255,0)</x:f>
        <x:v>0.5</x:v>
      </x:c>
      <x:c r="R2255" s="24" t="n">
        <x:f>IFERROR(F2255/H2255,0)</x:f>
        <x:v>0.21428571428571427</x:v>
      </x:c>
      <x:c r="S2255" s="24" t="n">
        <x:f>IFERROR(F2255/J2255,0)</x:f>
        <x:v>0.42857142857142855</x:v>
      </x:c>
      <x:c r="T2255" s="28" t="n">
        <x:f>H2255-I2255</x:f>
        <x:v>-5</x:v>
      </x:c>
      <x:c r="U2255" s="24" t="n">
        <x:f>IFERROR(J2255/H2255,0)-IFERROR(K2255/I2255,0)</x:f>
        <x:v>0.2368421052631579</x:v>
      </x:c>
      <x:c r="V2255" s="24" t="n">
        <x:f>IFERROR(F2255/J2255,0)-IFERROR(G2255/K2255,0)</x:f>
        <x:v>-0.17142857142857143</x:v>
      </x:c>
      <x:c r="W2255" s="28" t="n">
        <x:f>L2255-M2255</x:f>
        <x:v>-1</x:v>
      </x:c>
      <x:c r="X2255" s="24" t="n">
        <x:f>IFERROR(K2255/I2255,0)</x:f>
        <x:v>0.2631578947368421</x:v>
      </x:c>
      <x:c r="Y2255" s="24" t="n">
        <x:f>IFERROR(G2255/I2255,0)</x:f>
        <x:v>0.15789473684210525</x:v>
      </x:c>
      <x:c r="Z2255" s="24" t="n">
        <x:f>IFERROR(G2255/K2255,0)</x:f>
        <x:v>0.6</x:v>
      </x:c>
      <x:c r="AA2255" s="24" t="n">
        <x:f>IFERROR(F2255/H2255,0)-IFERROR(G2255/I2255,0)</x:f>
        <x:v>0.05639097744360902</x:v>
      </x:c>
      <x:c r="AB2255" s="28" t="n">
        <x:f>J2255-K2255</x:f>
        <x:v>2</x:v>
      </x:c>
      <x:c r="AC2255" s="32" t="n">
        <x:f>F2255-G2255</x:f>
        <x:v>0</x:v>
      </x:c>
    </x:row>
    <x:row r="2256">
      <x:c r="A2256" s="4" t="str">
        <x:v>2023-24</x:v>
      </x:c>
      <x:c r="B2256" s="20" t="n">
        <x:v>45426</x:v>
      </x:c>
      <x:c r="C2256" s="4" t="str">
        <x:v>Man City</x:v>
      </x:c>
      <x:c r="D2256" s="4" t="str">
        <x:v>Tottenham</x:v>
      </x:c>
      <x:c r="E2256" s="4" t="str">
        <x:v>Away</x:v>
      </x:c>
      <x:c r="F2256" s="28" t="n">
        <x:v>2</x:v>
      </x:c>
      <x:c r="G2256" s="28" t="n">
        <x:v>0</x:v>
      </x:c>
      <x:c r="H2256" s="28" t="n">
        <x:v>8</x:v>
      </x:c>
      <x:c r="I2256" s="28" t="n">
        <x:v>10</x:v>
      </x:c>
      <x:c r="J2256" s="28" t="n">
        <x:v>5</x:v>
      </x:c>
      <x:c r="K2256" s="28" t="n">
        <x:v>5</x:v>
      </x:c>
      <x:c r="L2256" s="28" t="n">
        <x:v>4</x:v>
      </x:c>
      <x:c r="M2256" s="28" t="n">
        <x:v>7</x:v>
      </x:c>
      <x:c r="N2256" s="28" t="n">
        <x:v>3</x:v>
      </x:c>
      <x:c r="O2256" s="28" t="n">
        <x:v>0</x:v>
      </x:c>
      <x:c r="P2256" s="28" t="n">
        <x:v>3</x:v>
      </x:c>
      <x:c r="Q2256" s="24" t="n">
        <x:f>IFERROR(J2256/H2256,0)</x:f>
        <x:v>0.625</x:v>
      </x:c>
      <x:c r="R2256" s="24" t="n">
        <x:f>IFERROR(F2256/H2256,0)</x:f>
        <x:v>0.25</x:v>
      </x:c>
      <x:c r="S2256" s="24" t="n">
        <x:f>IFERROR(F2256/J2256,0)</x:f>
        <x:v>0.4</x:v>
      </x:c>
      <x:c r="T2256" s="28" t="n">
        <x:f>H2256-I2256</x:f>
        <x:v>-2</x:v>
      </x:c>
      <x:c r="U2256" s="24" t="n">
        <x:f>IFERROR(J2256/H2256,0)-IFERROR(K2256/I2256,0)</x:f>
        <x:v>0.125</x:v>
      </x:c>
      <x:c r="V2256" s="24" t="n">
        <x:f>IFERROR(F2256/J2256,0)-IFERROR(G2256/K2256,0)</x:f>
        <x:v>0.4</x:v>
      </x:c>
      <x:c r="W2256" s="28" t="n">
        <x:f>L2256-M2256</x:f>
        <x:v>-3</x:v>
      </x:c>
      <x:c r="X2256" s="24" t="n">
        <x:f>IFERROR(K2256/I2256,0)</x:f>
        <x:v>0.5</x:v>
      </x:c>
      <x:c r="Y2256" s="24" t="n">
        <x:f>IFERROR(G2256/I2256,0)</x:f>
        <x:v>0</x:v>
      </x:c>
      <x:c r="Z2256" s="24" t="n">
        <x:f>IFERROR(G2256/K2256,0)</x:f>
        <x:v>0</x:v>
      </x:c>
      <x:c r="AA2256" s="24" t="n">
        <x:f>IFERROR(F2256/H2256,0)-IFERROR(G2256/I2256,0)</x:f>
        <x:v>0.25</x:v>
      </x:c>
      <x:c r="AB2256" s="28" t="n">
        <x:f>J2256-K2256</x:f>
        <x:v>0</x:v>
      </x:c>
      <x:c r="AC2256" s="32" t="n">
        <x:f>F2256-G2256</x:f>
        <x:v>2</x:v>
      </x:c>
    </x:row>
    <x:row r="2257">
      <x:c r="A2257" s="4" t="str">
        <x:v>2023-24</x:v>
      </x:c>
      <x:c r="B2257" s="20" t="n">
        <x:v>45426</x:v>
      </x:c>
      <x:c r="C2257" s="4" t="str">
        <x:v>Tottenham</x:v>
      </x:c>
      <x:c r="D2257" s="4" t="str">
        <x:v>Man City</x:v>
      </x:c>
      <x:c r="E2257" s="4" t="str">
        <x:v>Home</x:v>
      </x:c>
      <x:c r="F2257" s="28" t="n">
        <x:v>0</x:v>
      </x:c>
      <x:c r="G2257" s="28" t="n">
        <x:v>2</x:v>
      </x:c>
      <x:c r="H2257" s="28" t="n">
        <x:v>10</x:v>
      </x:c>
      <x:c r="I2257" s="28" t="n">
        <x:v>8</x:v>
      </x:c>
      <x:c r="J2257" s="28" t="n">
        <x:v>5</x:v>
      </x:c>
      <x:c r="K2257" s="28" t="n">
        <x:v>5</x:v>
      </x:c>
      <x:c r="L2257" s="28" t="n">
        <x:v>7</x:v>
      </x:c>
      <x:c r="M2257" s="28" t="n">
        <x:v>4</x:v>
      </x:c>
      <x:c r="N2257" s="28" t="n">
        <x:v>3</x:v>
      </x:c>
      <x:c r="O2257" s="28" t="n">
        <x:v>0</x:v>
      </x:c>
      <x:c r="P2257" s="28" t="n">
        <x:v>0</x:v>
      </x:c>
      <x:c r="Q2257" s="24" t="n">
        <x:f>IFERROR(J2257/H2257,0)</x:f>
        <x:v>0.5</x:v>
      </x:c>
      <x:c r="R2257" s="24" t="n">
        <x:f>IFERROR(F2257/H2257,0)</x:f>
        <x:v>0</x:v>
      </x:c>
      <x:c r="S2257" s="24" t="n">
        <x:f>IFERROR(F2257/J2257,0)</x:f>
        <x:v>0</x:v>
      </x:c>
      <x:c r="T2257" s="28" t="n">
        <x:f>H2257-I2257</x:f>
        <x:v>2</x:v>
      </x:c>
      <x:c r="U2257" s="24" t="n">
        <x:f>IFERROR(J2257/H2257,0)-IFERROR(K2257/I2257,0)</x:f>
        <x:v>-0.125</x:v>
      </x:c>
      <x:c r="V2257" s="24" t="n">
        <x:f>IFERROR(F2257/J2257,0)-IFERROR(G2257/K2257,0)</x:f>
        <x:v>-0.4</x:v>
      </x:c>
      <x:c r="W2257" s="28" t="n">
        <x:f>L2257-M2257</x:f>
        <x:v>3</x:v>
      </x:c>
      <x:c r="X2257" s="24" t="n">
        <x:f>IFERROR(K2257/I2257,0)</x:f>
        <x:v>0.625</x:v>
      </x:c>
      <x:c r="Y2257" s="24" t="n">
        <x:f>IFERROR(G2257/I2257,0)</x:f>
        <x:v>0.25</x:v>
      </x:c>
      <x:c r="Z2257" s="24" t="n">
        <x:f>IFERROR(G2257/K2257,0)</x:f>
        <x:v>0.4</x:v>
      </x:c>
      <x:c r="AA2257" s="24" t="n">
        <x:f>IFERROR(F2257/H2257,0)-IFERROR(G2257/I2257,0)</x:f>
        <x:v>-0.25</x:v>
      </x:c>
      <x:c r="AB2257" s="28" t="n">
        <x:f>J2257-K2257</x:f>
        <x:v>0</x:v>
      </x:c>
      <x:c r="AC2257" s="32" t="n">
        <x:f>F2257-G2257</x:f>
        <x:v>-2</x:v>
      </x:c>
    </x:row>
    <x:row r="2258">
      <x:c r="A2258" s="4" t="str">
        <x:v>2023-24</x:v>
      </x:c>
      <x:c r="B2258" s="20" t="n">
        <x:v>45427</x:v>
      </x:c>
      <x:c r="C2258" s="4" t="str">
        <x:v>Brighton</x:v>
      </x:c>
      <x:c r="D2258" s="4" t="str">
        <x:v>Chelsea</x:v>
      </x:c>
      <x:c r="E2258" s="4" t="str">
        <x:v>Home</x:v>
      </x:c>
      <x:c r="F2258" s="28" t="n">
        <x:v>1</x:v>
      </x:c>
      <x:c r="G2258" s="28" t="n">
        <x:v>2</x:v>
      </x:c>
      <x:c r="H2258" s="28" t="n">
        <x:v>12</x:v>
      </x:c>
      <x:c r="I2258" s="28" t="n">
        <x:v>13</x:v>
      </x:c>
      <x:c r="J2258" s="28" t="n">
        <x:v>2</x:v>
      </x:c>
      <x:c r="K2258" s="28" t="n">
        <x:v>6</x:v>
      </x:c>
      <x:c r="L2258" s="28" t="n">
        <x:v>4</x:v>
      </x:c>
      <x:c r="M2258" s="28" t="n">
        <x:v>6</x:v>
      </x:c>
      <x:c r="N2258" s="28" t="n">
        <x:v>2</x:v>
      </x:c>
      <x:c r="O2258" s="28" t="n">
        <x:v>0</x:v>
      </x:c>
      <x:c r="P2258" s="28" t="n">
        <x:v>0</x:v>
      </x:c>
      <x:c r="Q2258" s="24" t="n">
        <x:f>IFERROR(J2258/H2258,0)</x:f>
        <x:v>0.16666666666666666</x:v>
      </x:c>
      <x:c r="R2258" s="24" t="n">
        <x:f>IFERROR(F2258/H2258,0)</x:f>
        <x:v>0.08333333333333333</x:v>
      </x:c>
      <x:c r="S2258" s="24" t="n">
        <x:f>IFERROR(F2258/J2258,0)</x:f>
        <x:v>0.5</x:v>
      </x:c>
      <x:c r="T2258" s="28" t="n">
        <x:f>H2258-I2258</x:f>
        <x:v>-1</x:v>
      </x:c>
      <x:c r="U2258" s="24" t="n">
        <x:f>IFERROR(J2258/H2258,0)-IFERROR(K2258/I2258,0)</x:f>
        <x:v>-0.29487179487179493</x:v>
      </x:c>
      <x:c r="V2258" s="24" t="n">
        <x:f>IFERROR(F2258/J2258,0)-IFERROR(G2258/K2258,0)</x:f>
        <x:v>0.16666666666666669</x:v>
      </x:c>
      <x:c r="W2258" s="28" t="n">
        <x:f>L2258-M2258</x:f>
        <x:v>-2</x:v>
      </x:c>
      <x:c r="X2258" s="24" t="n">
        <x:f>IFERROR(K2258/I2258,0)</x:f>
        <x:v>0.46153846153846156</x:v>
      </x:c>
      <x:c r="Y2258" s="24" t="n">
        <x:f>IFERROR(G2258/I2258,0)</x:f>
        <x:v>0.15384615384615385</x:v>
      </x:c>
      <x:c r="Z2258" s="24" t="n">
        <x:f>IFERROR(G2258/K2258,0)</x:f>
        <x:v>0.3333333333333333</x:v>
      </x:c>
      <x:c r="AA2258" s="24" t="n">
        <x:f>IFERROR(F2258/H2258,0)-IFERROR(G2258/I2258,0)</x:f>
        <x:v>-0.07051282051282053</x:v>
      </x:c>
      <x:c r="AB2258" s="28" t="n">
        <x:f>J2258-K2258</x:f>
        <x:v>-4</x:v>
      </x:c>
      <x:c r="AC2258" s="32" t="n">
        <x:f>F2258-G2258</x:f>
        <x:v>-1</x:v>
      </x:c>
    </x:row>
    <x:row r="2259">
      <x:c r="A2259" s="4" t="str">
        <x:v>2023-24</x:v>
      </x:c>
      <x:c r="B2259" s="20" t="n">
        <x:v>45427</x:v>
      </x:c>
      <x:c r="C2259" s="4" t="str">
        <x:v>Chelsea</x:v>
      </x:c>
      <x:c r="D2259" s="4" t="str">
        <x:v>Brighton</x:v>
      </x:c>
      <x:c r="E2259" s="4" t="str">
        <x:v>Away</x:v>
      </x:c>
      <x:c r="F2259" s="28" t="n">
        <x:v>2</x:v>
      </x:c>
      <x:c r="G2259" s="28" t="n">
        <x:v>1</x:v>
      </x:c>
      <x:c r="H2259" s="28" t="n">
        <x:v>13</x:v>
      </x:c>
      <x:c r="I2259" s="28" t="n">
        <x:v>12</x:v>
      </x:c>
      <x:c r="J2259" s="28" t="n">
        <x:v>6</x:v>
      </x:c>
      <x:c r="K2259" s="28" t="n">
        <x:v>2</x:v>
      </x:c>
      <x:c r="L2259" s="28" t="n">
        <x:v>6</x:v>
      </x:c>
      <x:c r="M2259" s="28" t="n">
        <x:v>4</x:v>
      </x:c>
      <x:c r="N2259" s="28" t="n">
        <x:v>2</x:v>
      </x:c>
      <x:c r="O2259" s="28" t="n">
        <x:v>1</x:v>
      </x:c>
      <x:c r="P2259" s="28" t="n">
        <x:v>3</x:v>
      </x:c>
      <x:c r="Q2259" s="24" t="n">
        <x:f>IFERROR(J2259/H2259,0)</x:f>
        <x:v>0.46153846153846156</x:v>
      </x:c>
      <x:c r="R2259" s="24" t="n">
        <x:f>IFERROR(F2259/H2259,0)</x:f>
        <x:v>0.15384615384615385</x:v>
      </x:c>
      <x:c r="S2259" s="24" t="n">
        <x:f>IFERROR(F2259/J2259,0)</x:f>
        <x:v>0.3333333333333333</x:v>
      </x:c>
      <x:c r="T2259" s="28" t="n">
        <x:f>H2259-I2259</x:f>
        <x:v>1</x:v>
      </x:c>
      <x:c r="U2259" s="24" t="n">
        <x:f>IFERROR(J2259/H2259,0)-IFERROR(K2259/I2259,0)</x:f>
        <x:v>0.29487179487179493</x:v>
      </x:c>
      <x:c r="V2259" s="24" t="n">
        <x:f>IFERROR(F2259/J2259,0)-IFERROR(G2259/K2259,0)</x:f>
        <x:v>-0.16666666666666669</x:v>
      </x:c>
      <x:c r="W2259" s="28" t="n">
        <x:f>L2259-M2259</x:f>
        <x:v>2</x:v>
      </x:c>
      <x:c r="X2259" s="24" t="n">
        <x:f>IFERROR(K2259/I2259,0)</x:f>
        <x:v>0.16666666666666666</x:v>
      </x:c>
      <x:c r="Y2259" s="24" t="n">
        <x:f>IFERROR(G2259/I2259,0)</x:f>
        <x:v>0.08333333333333333</x:v>
      </x:c>
      <x:c r="Z2259" s="24" t="n">
        <x:f>IFERROR(G2259/K2259,0)</x:f>
        <x:v>0.5</x:v>
      </x:c>
      <x:c r="AA2259" s="24" t="n">
        <x:f>IFERROR(F2259/H2259,0)-IFERROR(G2259/I2259,0)</x:f>
        <x:v>0.07051282051282053</x:v>
      </x:c>
      <x:c r="AB2259" s="28" t="n">
        <x:f>J2259-K2259</x:f>
        <x:v>4</x:v>
      </x:c>
      <x:c r="AC2259" s="32" t="n">
        <x:f>F2259-G2259</x:f>
        <x:v>1</x:v>
      </x:c>
    </x:row>
    <x:row r="2260">
      <x:c r="A2260" s="4" t="str">
        <x:v>2023-24</x:v>
      </x:c>
      <x:c r="B2260" s="20" t="n">
        <x:v>45427</x:v>
      </x:c>
      <x:c r="C2260" s="4" t="str">
        <x:v>Man United</x:v>
      </x:c>
      <x:c r="D2260" s="4" t="str">
        <x:v>Newcastle</x:v>
      </x:c>
      <x:c r="E2260" s="4" t="str">
        <x:v>Home</x:v>
      </x:c>
      <x:c r="F2260" s="28" t="n">
        <x:v>3</x:v>
      </x:c>
      <x:c r="G2260" s="28" t="n">
        <x:v>2</x:v>
      </x:c>
      <x:c r="H2260" s="28" t="n">
        <x:v>17</x:v>
      </x:c>
      <x:c r="I2260" s="28" t="n">
        <x:v>21</x:v>
      </x:c>
      <x:c r="J2260" s="28" t="n">
        <x:v>8</x:v>
      </x:c>
      <x:c r="K2260" s="28" t="n">
        <x:v>8</x:v>
      </x:c>
      <x:c r="L2260" s="28" t="n">
        <x:v>9</x:v>
      </x:c>
      <x:c r="M2260" s="28" t="n">
        <x:v>9</x:v>
      </x:c>
      <x:c r="N2260" s="28" t="n">
        <x:v>3</x:v>
      </x:c>
      <x:c r="O2260" s="28" t="n">
        <x:v>0</x:v>
      </x:c>
      <x:c r="P2260" s="28" t="n">
        <x:v>3</x:v>
      </x:c>
      <x:c r="Q2260" s="24" t="n">
        <x:f>IFERROR(J2260/H2260,0)</x:f>
        <x:v>0.47058823529411764</x:v>
      </x:c>
      <x:c r="R2260" s="24" t="n">
        <x:f>IFERROR(F2260/H2260,0)</x:f>
        <x:v>0.17647058823529413</x:v>
      </x:c>
      <x:c r="S2260" s="24" t="n">
        <x:f>IFERROR(F2260/J2260,0)</x:f>
        <x:v>0.375</x:v>
      </x:c>
      <x:c r="T2260" s="28" t="n">
        <x:f>H2260-I2260</x:f>
        <x:v>-4</x:v>
      </x:c>
      <x:c r="U2260" s="24" t="n">
        <x:f>IFERROR(J2260/H2260,0)-IFERROR(K2260/I2260,0)</x:f>
        <x:v>0.08963585434173671</x:v>
      </x:c>
      <x:c r="V2260" s="24" t="n">
        <x:f>IFERROR(F2260/J2260,0)-IFERROR(G2260/K2260,0)</x:f>
        <x:v>0.125</x:v>
      </x:c>
      <x:c r="W2260" s="28" t="n">
        <x:f>L2260-M2260</x:f>
        <x:v>0</x:v>
      </x:c>
      <x:c r="X2260" s="24" t="n">
        <x:f>IFERROR(K2260/I2260,0)</x:f>
        <x:v>0.38095238095238093</x:v>
      </x:c>
      <x:c r="Y2260" s="24" t="n">
        <x:f>IFERROR(G2260/I2260,0)</x:f>
        <x:v>0.09523809523809523</x:v>
      </x:c>
      <x:c r="Z2260" s="24" t="n">
        <x:f>IFERROR(G2260/K2260,0)</x:f>
        <x:v>0.25</x:v>
      </x:c>
      <x:c r="AA2260" s="24" t="n">
        <x:f>IFERROR(F2260/H2260,0)-IFERROR(G2260/I2260,0)</x:f>
        <x:v>0.0812324929971989</x:v>
      </x:c>
      <x:c r="AB2260" s="28" t="n">
        <x:f>J2260-K2260</x:f>
        <x:v>0</x:v>
      </x:c>
      <x:c r="AC2260" s="32" t="n">
        <x:f>F2260-G2260</x:f>
        <x:v>1</x:v>
      </x:c>
    </x:row>
    <x:row r="2261">
      <x:c r="A2261" s="4" t="str">
        <x:v>2023-24</x:v>
      </x:c>
      <x:c r="B2261" s="20" t="n">
        <x:v>45427</x:v>
      </x:c>
      <x:c r="C2261" s="4" t="str">
        <x:v>Newcastle</x:v>
      </x:c>
      <x:c r="D2261" s="4" t="str">
        <x:v>Man United</x:v>
      </x:c>
      <x:c r="E2261" s="4" t="str">
        <x:v>Away</x:v>
      </x:c>
      <x:c r="F2261" s="28" t="n">
        <x:v>2</x:v>
      </x:c>
      <x:c r="G2261" s="28" t="n">
        <x:v>3</x:v>
      </x:c>
      <x:c r="H2261" s="28" t="n">
        <x:v>21</x:v>
      </x:c>
      <x:c r="I2261" s="28" t="n">
        <x:v>17</x:v>
      </x:c>
      <x:c r="J2261" s="28" t="n">
        <x:v>8</x:v>
      </x:c>
      <x:c r="K2261" s="28" t="n">
        <x:v>8</x:v>
      </x:c>
      <x:c r="L2261" s="28" t="n">
        <x:v>9</x:v>
      </x:c>
      <x:c r="M2261" s="28" t="n">
        <x:v>9</x:v>
      </x:c>
      <x:c r="N2261" s="28" t="n">
        <x:v>3</x:v>
      </x:c>
      <x:c r="O2261" s="28" t="n">
        <x:v>0</x:v>
      </x:c>
      <x:c r="P2261" s="28" t="n">
        <x:v>0</x:v>
      </x:c>
      <x:c r="Q2261" s="24" t="n">
        <x:f>IFERROR(J2261/H2261,0)</x:f>
        <x:v>0.38095238095238093</x:v>
      </x:c>
      <x:c r="R2261" s="24" t="n">
        <x:f>IFERROR(F2261/H2261,0)</x:f>
        <x:v>0.09523809523809523</x:v>
      </x:c>
      <x:c r="S2261" s="24" t="n">
        <x:f>IFERROR(F2261/J2261,0)</x:f>
        <x:v>0.25</x:v>
      </x:c>
      <x:c r="T2261" s="28" t="n">
        <x:f>H2261-I2261</x:f>
        <x:v>4</x:v>
      </x:c>
      <x:c r="U2261" s="24" t="n">
        <x:f>IFERROR(J2261/H2261,0)-IFERROR(K2261/I2261,0)</x:f>
        <x:v>-0.08963585434173671</x:v>
      </x:c>
      <x:c r="V2261" s="24" t="n">
        <x:f>IFERROR(F2261/J2261,0)-IFERROR(G2261/K2261,0)</x:f>
        <x:v>-0.125</x:v>
      </x:c>
      <x:c r="W2261" s="28" t="n">
        <x:f>L2261-M2261</x:f>
        <x:v>0</x:v>
      </x:c>
      <x:c r="X2261" s="24" t="n">
        <x:f>IFERROR(K2261/I2261,0)</x:f>
        <x:v>0.47058823529411764</x:v>
      </x:c>
      <x:c r="Y2261" s="24" t="n">
        <x:f>IFERROR(G2261/I2261,0)</x:f>
        <x:v>0.17647058823529413</x:v>
      </x:c>
      <x:c r="Z2261" s="24" t="n">
        <x:f>IFERROR(G2261/K2261,0)</x:f>
        <x:v>0.375</x:v>
      </x:c>
      <x:c r="AA2261" s="24" t="n">
        <x:f>IFERROR(F2261/H2261,0)-IFERROR(G2261/I2261,0)</x:f>
        <x:v>-0.0812324929971989</x:v>
      </x:c>
      <x:c r="AB2261" s="28" t="n">
        <x:f>J2261-K2261</x:f>
        <x:v>0</x:v>
      </x:c>
      <x:c r="AC2261" s="32" t="n">
        <x:f>F2261-G2261</x:f>
        <x:v>-1</x:v>
      </x:c>
    </x:row>
    <x:row r="2262">
      <x:c r="A2262" s="4" t="str">
        <x:v>2023-24</x:v>
      </x:c>
      <x:c r="B2262" s="20" t="n">
        <x:v>45431</x:v>
      </x:c>
      <x:c r="C2262" s="4" t="str">
        <x:v>Arsenal</x:v>
      </x:c>
      <x:c r="D2262" s="4" t="str">
        <x:v>Everton</x:v>
      </x:c>
      <x:c r="E2262" s="4" t="str">
        <x:v>Home</x:v>
      </x:c>
      <x:c r="F2262" s="28" t="n">
        <x:v>2</x:v>
      </x:c>
      <x:c r="G2262" s="28" t="n">
        <x:v>1</x:v>
      </x:c>
      <x:c r="H2262" s="28" t="n">
        <x:v>26</x:v>
      </x:c>
      <x:c r="I2262" s="28" t="n">
        <x:v>5</x:v>
      </x:c>
      <x:c r="J2262" s="28" t="n">
        <x:v>5</x:v>
      </x:c>
      <x:c r="K2262" s="28" t="n">
        <x:v>2</x:v>
      </x:c>
      <x:c r="L2262" s="28" t="n">
        <x:v>8</x:v>
      </x:c>
      <x:c r="M2262" s="28" t="n">
        <x:v>1</x:v>
      </x:c>
      <x:c r="N2262" s="28" t="n">
        <x:v>4</x:v>
      </x:c>
      <x:c r="O2262" s="28" t="n">
        <x:v>0</x:v>
      </x:c>
      <x:c r="P2262" s="28" t="n">
        <x:v>3</x:v>
      </x:c>
      <x:c r="Q2262" s="24" t="n">
        <x:f>IFERROR(J2262/H2262,0)</x:f>
        <x:v>0.19230769230769232</x:v>
      </x:c>
      <x:c r="R2262" s="24" t="n">
        <x:f>IFERROR(F2262/H2262,0)</x:f>
        <x:v>0.07692307692307693</x:v>
      </x:c>
      <x:c r="S2262" s="24" t="n">
        <x:f>IFERROR(F2262/J2262,0)</x:f>
        <x:v>0.4</x:v>
      </x:c>
      <x:c r="T2262" s="28" t="n">
        <x:f>H2262-I2262</x:f>
        <x:v>21</x:v>
      </x:c>
      <x:c r="U2262" s="24" t="n">
        <x:f>IFERROR(J2262/H2262,0)-IFERROR(K2262/I2262,0)</x:f>
        <x:v>-0.2076923076923077</x:v>
      </x:c>
      <x:c r="V2262" s="24" t="n">
        <x:f>IFERROR(F2262/J2262,0)-IFERROR(G2262/K2262,0)</x:f>
        <x:v>-0.09999999999999998</x:v>
      </x:c>
      <x:c r="W2262" s="28" t="n">
        <x:f>L2262-M2262</x:f>
        <x:v>7</x:v>
      </x:c>
      <x:c r="X2262" s="24" t="n">
        <x:f>IFERROR(K2262/I2262,0)</x:f>
        <x:v>0.4</x:v>
      </x:c>
      <x:c r="Y2262" s="24" t="n">
        <x:f>IFERROR(G2262/I2262,0)</x:f>
        <x:v>0.2</x:v>
      </x:c>
      <x:c r="Z2262" s="24" t="n">
        <x:f>IFERROR(G2262/K2262,0)</x:f>
        <x:v>0.5</x:v>
      </x:c>
      <x:c r="AA2262" s="24" t="n">
        <x:f>IFERROR(F2262/H2262,0)-IFERROR(G2262/I2262,0)</x:f>
        <x:v>-0.12307692307692308</x:v>
      </x:c>
      <x:c r="AB2262" s="28" t="n">
        <x:f>J2262-K2262</x:f>
        <x:v>3</x:v>
      </x:c>
      <x:c r="AC2262" s="32" t="n">
        <x:f>F2262-G2262</x:f>
        <x:v>1</x:v>
      </x:c>
    </x:row>
    <x:row r="2263">
      <x:c r="A2263" s="4" t="str">
        <x:v>2023-24</x:v>
      </x:c>
      <x:c r="B2263" s="20" t="n">
        <x:v>45431</x:v>
      </x:c>
      <x:c r="C2263" s="4" t="str">
        <x:v>Aston Villa</x:v>
      </x:c>
      <x:c r="D2263" s="4" t="str">
        <x:v>Crystal Palace</x:v>
      </x:c>
      <x:c r="E2263" s="4" t="str">
        <x:v>Away</x:v>
      </x:c>
      <x:c r="F2263" s="28" t="n">
        <x:v>0</x:v>
      </x:c>
      <x:c r="G2263" s="28" t="n">
        <x:v>5</x:v>
      </x:c>
      <x:c r="H2263" s="28" t="n">
        <x:v>8</x:v>
      </x:c>
      <x:c r="I2263" s="28" t="n">
        <x:v>15</x:v>
      </x:c>
      <x:c r="J2263" s="28" t="n">
        <x:v>2</x:v>
      </x:c>
      <x:c r="K2263" s="28" t="n">
        <x:v>9</x:v>
      </x:c>
      <x:c r="L2263" s="28" t="n">
        <x:v>4</x:v>
      </x:c>
      <x:c r="M2263" s="28" t="n">
        <x:v>2</x:v>
      </x:c>
      <x:c r="N2263" s="28" t="n">
        <x:v>4</x:v>
      </x:c>
      <x:c r="O2263" s="28" t="n">
        <x:v>0</x:v>
      </x:c>
      <x:c r="P2263" s="28" t="n">
        <x:v>0</x:v>
      </x:c>
      <x:c r="Q2263" s="24" t="n">
        <x:f>IFERROR(J2263/H2263,0)</x:f>
        <x:v>0.25</x:v>
      </x:c>
      <x:c r="R2263" s="24" t="n">
        <x:f>IFERROR(F2263/H2263,0)</x:f>
        <x:v>0</x:v>
      </x:c>
      <x:c r="S2263" s="24" t="n">
        <x:f>IFERROR(F2263/J2263,0)</x:f>
        <x:v>0</x:v>
      </x:c>
      <x:c r="T2263" s="28" t="n">
        <x:f>H2263-I2263</x:f>
        <x:v>-7</x:v>
      </x:c>
      <x:c r="U2263" s="24" t="n">
        <x:f>IFERROR(J2263/H2263,0)-IFERROR(K2263/I2263,0)</x:f>
        <x:v>-0.35</x:v>
      </x:c>
      <x:c r="V2263" s="24" t="n">
        <x:f>IFERROR(F2263/J2263,0)-IFERROR(G2263/K2263,0)</x:f>
        <x:v>-0.5555555555555556</x:v>
      </x:c>
      <x:c r="W2263" s="28" t="n">
        <x:f>L2263-M2263</x:f>
        <x:v>2</x:v>
      </x:c>
      <x:c r="X2263" s="24" t="n">
        <x:f>IFERROR(K2263/I2263,0)</x:f>
        <x:v>0.6</x:v>
      </x:c>
      <x:c r="Y2263" s="24" t="n">
        <x:f>IFERROR(G2263/I2263,0)</x:f>
        <x:v>0.3333333333333333</x:v>
      </x:c>
      <x:c r="Z2263" s="24" t="n">
        <x:f>IFERROR(G2263/K2263,0)</x:f>
        <x:v>0.5555555555555556</x:v>
      </x:c>
      <x:c r="AA2263" s="24" t="n">
        <x:f>IFERROR(F2263/H2263,0)-IFERROR(G2263/I2263,0)</x:f>
        <x:v>-0.3333333333333333</x:v>
      </x:c>
      <x:c r="AB2263" s="28" t="n">
        <x:f>J2263-K2263</x:f>
        <x:v>-7</x:v>
      </x:c>
      <x:c r="AC2263" s="32" t="n">
        <x:f>F2263-G2263</x:f>
        <x:v>-5</x:v>
      </x:c>
    </x:row>
    <x:row r="2264">
      <x:c r="A2264" s="4" t="str">
        <x:v>2023-24</x:v>
      </x:c>
      <x:c r="B2264" s="20" t="n">
        <x:v>45431</x:v>
      </x:c>
      <x:c r="C2264" s="4" t="str">
        <x:v>Bournemouth</x:v>
      </x:c>
      <x:c r="D2264" s="4" t="str">
        <x:v>Chelsea</x:v>
      </x:c>
      <x:c r="E2264" s="4" t="str">
        <x:v>Away</x:v>
      </x:c>
      <x:c r="F2264" s="28" t="n">
        <x:v>1</x:v>
      </x:c>
      <x:c r="G2264" s="28" t="n">
        <x:v>2</x:v>
      </x:c>
      <x:c r="H2264" s="28" t="n">
        <x:v>22</x:v>
      </x:c>
      <x:c r="I2264" s="28" t="n">
        <x:v>16</x:v>
      </x:c>
      <x:c r="J2264" s="28" t="n">
        <x:v>5</x:v>
      </x:c>
      <x:c r="K2264" s="28" t="n">
        <x:v>6</x:v>
      </x:c>
      <x:c r="L2264" s="28" t="n">
        <x:v>5</x:v>
      </x:c>
      <x:c r="M2264" s="28" t="n">
        <x:v>6</x:v>
      </x:c>
      <x:c r="N2264" s="28" t="n">
        <x:v>3</x:v>
      </x:c>
      <x:c r="O2264" s="28" t="n">
        <x:v>0</x:v>
      </x:c>
      <x:c r="P2264" s="28" t="n">
        <x:v>0</x:v>
      </x:c>
      <x:c r="Q2264" s="24" t="n">
        <x:f>IFERROR(J2264/H2264,0)</x:f>
        <x:v>0.22727272727272727</x:v>
      </x:c>
      <x:c r="R2264" s="24" t="n">
        <x:f>IFERROR(F2264/H2264,0)</x:f>
        <x:v>0.045454545454545456</x:v>
      </x:c>
      <x:c r="S2264" s="24" t="n">
        <x:f>IFERROR(F2264/J2264,0)</x:f>
        <x:v>0.2</x:v>
      </x:c>
      <x:c r="T2264" s="28" t="n">
        <x:f>H2264-I2264</x:f>
        <x:v>6</x:v>
      </x:c>
      <x:c r="U2264" s="24" t="n">
        <x:f>IFERROR(J2264/H2264,0)-IFERROR(K2264/I2264,0)</x:f>
        <x:v>-0.14772727272727273</x:v>
      </x:c>
      <x:c r="V2264" s="24" t="n">
        <x:f>IFERROR(F2264/J2264,0)-IFERROR(G2264/K2264,0)</x:f>
        <x:v>-0.1333333333333333</x:v>
      </x:c>
      <x:c r="W2264" s="28" t="n">
        <x:f>L2264-M2264</x:f>
        <x:v>-1</x:v>
      </x:c>
      <x:c r="X2264" s="24" t="n">
        <x:f>IFERROR(K2264/I2264,0)</x:f>
        <x:v>0.375</x:v>
      </x:c>
      <x:c r="Y2264" s="24" t="n">
        <x:f>IFERROR(G2264/I2264,0)</x:f>
        <x:v>0.125</x:v>
      </x:c>
      <x:c r="Z2264" s="24" t="n">
        <x:f>IFERROR(G2264/K2264,0)</x:f>
        <x:v>0.3333333333333333</x:v>
      </x:c>
      <x:c r="AA2264" s="24" t="n">
        <x:f>IFERROR(F2264/H2264,0)-IFERROR(G2264/I2264,0)</x:f>
        <x:v>-0.07954545454545454</x:v>
      </x:c>
      <x:c r="AB2264" s="28" t="n">
        <x:f>J2264-K2264</x:f>
        <x:v>-1</x:v>
      </x:c>
      <x:c r="AC2264" s="32" t="n">
        <x:f>F2264-G2264</x:f>
        <x:v>-1</x:v>
      </x:c>
    </x:row>
    <x:row r="2265">
      <x:c r="A2265" s="4" t="str">
        <x:v>2023-24</x:v>
      </x:c>
      <x:c r="B2265" s="20" t="n">
        <x:v>45431</x:v>
      </x:c>
      <x:c r="C2265" s="4" t="str">
        <x:v>Brentford</x:v>
      </x:c>
      <x:c r="D2265" s="4" t="str">
        <x:v>Newcastle</x:v>
      </x:c>
      <x:c r="E2265" s="4" t="str">
        <x:v>Home</x:v>
      </x:c>
      <x:c r="F2265" s="28" t="n">
        <x:v>2</x:v>
      </x:c>
      <x:c r="G2265" s="28" t="n">
        <x:v>4</x:v>
      </x:c>
      <x:c r="H2265" s="28" t="n">
        <x:v>10</x:v>
      </x:c>
      <x:c r="I2265" s="28" t="n">
        <x:v>12</x:v>
      </x:c>
      <x:c r="J2265" s="28" t="n">
        <x:v>5</x:v>
      </x:c>
      <x:c r="K2265" s="28" t="n">
        <x:v>7</x:v>
      </x:c>
      <x:c r="L2265" s="28" t="n">
        <x:v>3</x:v>
      </x:c>
      <x:c r="M2265" s="28" t="n">
        <x:v>0</x:v>
      </x:c>
      <x:c r="N2265" s="28" t="n">
        <x:v>4</x:v>
      </x:c>
      <x:c r="O2265" s="28" t="n">
        <x:v>0</x:v>
      </x:c>
      <x:c r="P2265" s="28" t="n">
        <x:v>0</x:v>
      </x:c>
      <x:c r="Q2265" s="24" t="n">
        <x:f>IFERROR(J2265/H2265,0)</x:f>
        <x:v>0.5</x:v>
      </x:c>
      <x:c r="R2265" s="24" t="n">
        <x:f>IFERROR(F2265/H2265,0)</x:f>
        <x:v>0.2</x:v>
      </x:c>
      <x:c r="S2265" s="24" t="n">
        <x:f>IFERROR(F2265/J2265,0)</x:f>
        <x:v>0.4</x:v>
      </x:c>
      <x:c r="T2265" s="28" t="n">
        <x:f>H2265-I2265</x:f>
        <x:v>-2</x:v>
      </x:c>
      <x:c r="U2265" s="24" t="n">
        <x:f>IFERROR(J2265/H2265,0)-IFERROR(K2265/I2265,0)</x:f>
        <x:v>-0.08333333333333337</x:v>
      </x:c>
      <x:c r="V2265" s="24" t="n">
        <x:f>IFERROR(F2265/J2265,0)-IFERROR(G2265/K2265,0)</x:f>
        <x:v>-0.17142857142857137</x:v>
      </x:c>
      <x:c r="W2265" s="28" t="n">
        <x:f>L2265-M2265</x:f>
        <x:v>3</x:v>
      </x:c>
      <x:c r="X2265" s="24" t="n">
        <x:f>IFERROR(K2265/I2265,0)</x:f>
        <x:v>0.5833333333333334</x:v>
      </x:c>
      <x:c r="Y2265" s="24" t="n">
        <x:f>IFERROR(G2265/I2265,0)</x:f>
        <x:v>0.3333333333333333</x:v>
      </x:c>
      <x:c r="Z2265" s="24" t="n">
        <x:f>IFERROR(G2265/K2265,0)</x:f>
        <x:v>0.5714285714285714</x:v>
      </x:c>
      <x:c r="AA2265" s="24" t="n">
        <x:f>IFERROR(F2265/H2265,0)-IFERROR(G2265/I2265,0)</x:f>
        <x:v>-0.1333333333333333</x:v>
      </x:c>
      <x:c r="AB2265" s="28" t="n">
        <x:f>J2265-K2265</x:f>
        <x:v>-2</x:v>
      </x:c>
      <x:c r="AC2265" s="32" t="n">
        <x:f>F2265-G2265</x:f>
        <x:v>-2</x:v>
      </x:c>
    </x:row>
    <x:row r="2266">
      <x:c r="A2266" s="4" t="str">
        <x:v>2023-24</x:v>
      </x:c>
      <x:c r="B2266" s="20" t="n">
        <x:v>45431</x:v>
      </x:c>
      <x:c r="C2266" s="4" t="str">
        <x:v>Brighton</x:v>
      </x:c>
      <x:c r="D2266" s="4" t="str">
        <x:v>Man United</x:v>
      </x:c>
      <x:c r="E2266" s="4" t="str">
        <x:v>Home</x:v>
      </x:c>
      <x:c r="F2266" s="28" t="n">
        <x:v>0</x:v>
      </x:c>
      <x:c r="G2266" s="28" t="n">
        <x:v>2</x:v>
      </x:c>
      <x:c r="H2266" s="28" t="n">
        <x:v>17</x:v>
      </x:c>
      <x:c r="I2266" s="28" t="n">
        <x:v>11</x:v>
      </x:c>
      <x:c r="J2266" s="28" t="n">
        <x:v>3</x:v>
      </x:c>
      <x:c r="K2266" s="28" t="n">
        <x:v>4</x:v>
      </x:c>
      <x:c r="L2266" s="28" t="n">
        <x:v>7</x:v>
      </x:c>
      <x:c r="M2266" s="28" t="n">
        <x:v>5</x:v>
      </x:c>
      <x:c r="N2266" s="28" t="n">
        <x:v>1</x:v>
      </x:c>
      <x:c r="O2266" s="28" t="n">
        <x:v>0</x:v>
      </x:c>
      <x:c r="P2266" s="28" t="n">
        <x:v>0</x:v>
      </x:c>
      <x:c r="Q2266" s="24" t="n">
        <x:f>IFERROR(J2266/H2266,0)</x:f>
        <x:v>0.17647058823529413</x:v>
      </x:c>
      <x:c r="R2266" s="24" t="n">
        <x:f>IFERROR(F2266/H2266,0)</x:f>
        <x:v>0</x:v>
      </x:c>
      <x:c r="S2266" s="24" t="n">
        <x:f>IFERROR(F2266/J2266,0)</x:f>
        <x:v>0</x:v>
      </x:c>
      <x:c r="T2266" s="28" t="n">
        <x:f>H2266-I2266</x:f>
        <x:v>6</x:v>
      </x:c>
      <x:c r="U2266" s="24" t="n">
        <x:f>IFERROR(J2266/H2266,0)-IFERROR(K2266/I2266,0)</x:f>
        <x:v>-0.18716577540106952</x:v>
      </x:c>
      <x:c r="V2266" s="24" t="n">
        <x:f>IFERROR(F2266/J2266,0)-IFERROR(G2266/K2266,0)</x:f>
        <x:v>-0.5</x:v>
      </x:c>
      <x:c r="W2266" s="28" t="n">
        <x:f>L2266-M2266</x:f>
        <x:v>2</x:v>
      </x:c>
      <x:c r="X2266" s="24" t="n">
        <x:f>IFERROR(K2266/I2266,0)</x:f>
        <x:v>0.36363636363636365</x:v>
      </x:c>
      <x:c r="Y2266" s="24" t="n">
        <x:f>IFERROR(G2266/I2266,0)</x:f>
        <x:v>0.18181818181818182</x:v>
      </x:c>
      <x:c r="Z2266" s="24" t="n">
        <x:f>IFERROR(G2266/K2266,0)</x:f>
        <x:v>0.5</x:v>
      </x:c>
      <x:c r="AA2266" s="24" t="n">
        <x:f>IFERROR(F2266/H2266,0)-IFERROR(G2266/I2266,0)</x:f>
        <x:v>-0.18181818181818182</x:v>
      </x:c>
      <x:c r="AB2266" s="28" t="n">
        <x:f>J2266-K2266</x:f>
        <x:v>-1</x:v>
      </x:c>
      <x:c r="AC2266" s="32" t="n">
        <x:f>F2266-G2266</x:f>
        <x:v>-2</x:v>
      </x:c>
    </x:row>
    <x:row r="2267">
      <x:c r="A2267" s="4" t="str">
        <x:v>2023-24</x:v>
      </x:c>
      <x:c r="B2267" s="20" t="n">
        <x:v>45431</x:v>
      </x:c>
      <x:c r="C2267" s="4" t="str">
        <x:v>Burnley</x:v>
      </x:c>
      <x:c r="D2267" s="4" t="str">
        <x:v>Nott'm Forest</x:v>
      </x:c>
      <x:c r="E2267" s="4" t="str">
        <x:v>Home</x:v>
      </x:c>
      <x:c r="F2267" s="28" t="n">
        <x:v>1</x:v>
      </x:c>
      <x:c r="G2267" s="28" t="n">
        <x:v>2</x:v>
      </x:c>
      <x:c r="H2267" s="28" t="n">
        <x:v>20</x:v>
      </x:c>
      <x:c r="I2267" s="28" t="n">
        <x:v>12</x:v>
      </x:c>
      <x:c r="J2267" s="28" t="n">
        <x:v>3</x:v>
      </x:c>
      <x:c r="K2267" s="28" t="n">
        <x:v>6</x:v>
      </x:c>
      <x:c r="L2267" s="28" t="n">
        <x:v>4</x:v>
      </x:c>
      <x:c r="M2267" s="28" t="n">
        <x:v>3</x:v>
      </x:c>
      <x:c r="N2267" s="28" t="n">
        <x:v>1</x:v>
      </x:c>
      <x:c r="O2267" s="28" t="n">
        <x:v>0</x:v>
      </x:c>
      <x:c r="P2267" s="28" t="n">
        <x:v>0</x:v>
      </x:c>
      <x:c r="Q2267" s="24" t="n">
        <x:f>IFERROR(J2267/H2267,0)</x:f>
        <x:v>0.15</x:v>
      </x:c>
      <x:c r="R2267" s="24" t="n">
        <x:f>IFERROR(F2267/H2267,0)</x:f>
        <x:v>0.05</x:v>
      </x:c>
      <x:c r="S2267" s="24" t="n">
        <x:f>IFERROR(F2267/J2267,0)</x:f>
        <x:v>0.3333333333333333</x:v>
      </x:c>
      <x:c r="T2267" s="28" t="n">
        <x:f>H2267-I2267</x:f>
        <x:v>8</x:v>
      </x:c>
      <x:c r="U2267" s="24" t="n">
        <x:f>IFERROR(J2267/H2267,0)-IFERROR(K2267/I2267,0)</x:f>
        <x:v>-0.35</x:v>
      </x:c>
      <x:c r="V2267" s="24" t="n">
        <x:f>IFERROR(F2267/J2267,0)-IFERROR(G2267/K2267,0)</x:f>
        <x:v>0</x:v>
      </x:c>
      <x:c r="W2267" s="28" t="n">
        <x:f>L2267-M2267</x:f>
        <x:v>1</x:v>
      </x:c>
      <x:c r="X2267" s="24" t="n">
        <x:f>IFERROR(K2267/I2267,0)</x:f>
        <x:v>0.5</x:v>
      </x:c>
      <x:c r="Y2267" s="24" t="n">
        <x:f>IFERROR(G2267/I2267,0)</x:f>
        <x:v>0.16666666666666666</x:v>
      </x:c>
      <x:c r="Z2267" s="24" t="n">
        <x:f>IFERROR(G2267/K2267,0)</x:f>
        <x:v>0.3333333333333333</x:v>
      </x:c>
      <x:c r="AA2267" s="24" t="n">
        <x:f>IFERROR(F2267/H2267,0)-IFERROR(G2267/I2267,0)</x:f>
        <x:v>-0.11666666666666665</x:v>
      </x:c>
      <x:c r="AB2267" s="28" t="n">
        <x:f>J2267-K2267</x:f>
        <x:v>-3</x:v>
      </x:c>
      <x:c r="AC2267" s="32" t="n">
        <x:f>F2267-G2267</x:f>
        <x:v>-1</x:v>
      </x:c>
    </x:row>
    <x:row r="2268">
      <x:c r="A2268" s="4" t="str">
        <x:v>2023-24</x:v>
      </x:c>
      <x:c r="B2268" s="20" t="n">
        <x:v>45431</x:v>
      </x:c>
      <x:c r="C2268" s="4" t="str">
        <x:v>Chelsea</x:v>
      </x:c>
      <x:c r="D2268" s="4" t="str">
        <x:v>Bournemouth</x:v>
      </x:c>
      <x:c r="E2268" s="4" t="str">
        <x:v>Home</x:v>
      </x:c>
      <x:c r="F2268" s="28" t="n">
        <x:v>2</x:v>
      </x:c>
      <x:c r="G2268" s="28" t="n">
        <x:v>1</x:v>
      </x:c>
      <x:c r="H2268" s="28" t="n">
        <x:v>16</x:v>
      </x:c>
      <x:c r="I2268" s="28" t="n">
        <x:v>22</x:v>
      </x:c>
      <x:c r="J2268" s="28" t="n">
        <x:v>6</x:v>
      </x:c>
      <x:c r="K2268" s="28" t="n">
        <x:v>5</x:v>
      </x:c>
      <x:c r="L2268" s="28" t="n">
        <x:v>6</x:v>
      </x:c>
      <x:c r="M2268" s="28" t="n">
        <x:v>5</x:v>
      </x:c>
      <x:c r="N2268" s="28" t="n">
        <x:v>2</x:v>
      </x:c>
      <x:c r="O2268" s="28" t="n">
        <x:v>0</x:v>
      </x:c>
      <x:c r="P2268" s="28" t="n">
        <x:v>3</x:v>
      </x:c>
      <x:c r="Q2268" s="24" t="n">
        <x:f>IFERROR(J2268/H2268,0)</x:f>
        <x:v>0.375</x:v>
      </x:c>
      <x:c r="R2268" s="24" t="n">
        <x:f>IFERROR(F2268/H2268,0)</x:f>
        <x:v>0.125</x:v>
      </x:c>
      <x:c r="S2268" s="24" t="n">
        <x:f>IFERROR(F2268/J2268,0)</x:f>
        <x:v>0.3333333333333333</x:v>
      </x:c>
      <x:c r="T2268" s="28" t="n">
        <x:f>H2268-I2268</x:f>
        <x:v>-6</x:v>
      </x:c>
      <x:c r="U2268" s="24" t="n">
        <x:f>IFERROR(J2268/H2268,0)-IFERROR(K2268/I2268,0)</x:f>
        <x:v>0.14772727272727273</x:v>
      </x:c>
      <x:c r="V2268" s="24" t="n">
        <x:f>IFERROR(F2268/J2268,0)-IFERROR(G2268/K2268,0)</x:f>
        <x:v>0.1333333333333333</x:v>
      </x:c>
      <x:c r="W2268" s="28" t="n">
        <x:f>L2268-M2268</x:f>
        <x:v>1</x:v>
      </x:c>
      <x:c r="X2268" s="24" t="n">
        <x:f>IFERROR(K2268/I2268,0)</x:f>
        <x:v>0.22727272727272727</x:v>
      </x:c>
      <x:c r="Y2268" s="24" t="n">
        <x:f>IFERROR(G2268/I2268,0)</x:f>
        <x:v>0.045454545454545456</x:v>
      </x:c>
      <x:c r="Z2268" s="24" t="n">
        <x:f>IFERROR(G2268/K2268,0)</x:f>
        <x:v>0.2</x:v>
      </x:c>
      <x:c r="AA2268" s="24" t="n">
        <x:f>IFERROR(F2268/H2268,0)-IFERROR(G2268/I2268,0)</x:f>
        <x:v>0.07954545454545454</x:v>
      </x:c>
      <x:c r="AB2268" s="28" t="n">
        <x:f>J2268-K2268</x:f>
        <x:v>1</x:v>
      </x:c>
      <x:c r="AC2268" s="32" t="n">
        <x:f>F2268-G2268</x:f>
        <x:v>1</x:v>
      </x:c>
    </x:row>
    <x:row r="2269">
      <x:c r="A2269" s="4" t="str">
        <x:v>2023-24</x:v>
      </x:c>
      <x:c r="B2269" s="20" t="n">
        <x:v>45431</x:v>
      </x:c>
      <x:c r="C2269" s="4" t="str">
        <x:v>Crystal Palace</x:v>
      </x:c>
      <x:c r="D2269" s="4" t="str">
        <x:v>Aston Villa</x:v>
      </x:c>
      <x:c r="E2269" s="4" t="str">
        <x:v>Home</x:v>
      </x:c>
      <x:c r="F2269" s="28" t="n">
        <x:v>5</x:v>
      </x:c>
      <x:c r="G2269" s="28" t="n">
        <x:v>0</x:v>
      </x:c>
      <x:c r="H2269" s="28" t="n">
        <x:v>15</x:v>
      </x:c>
      <x:c r="I2269" s="28" t="n">
        <x:v>8</x:v>
      </x:c>
      <x:c r="J2269" s="28" t="n">
        <x:v>9</x:v>
      </x:c>
      <x:c r="K2269" s="28" t="n">
        <x:v>2</x:v>
      </x:c>
      <x:c r="L2269" s="28" t="n">
        <x:v>2</x:v>
      </x:c>
      <x:c r="M2269" s="28" t="n">
        <x:v>4</x:v>
      </x:c>
      <x:c r="N2269" s="28" t="n">
        <x:v>1</x:v>
      </x:c>
      <x:c r="O2269" s="28" t="n">
        <x:v>0</x:v>
      </x:c>
      <x:c r="P2269" s="28" t="n">
        <x:v>3</x:v>
      </x:c>
      <x:c r="Q2269" s="24" t="n">
        <x:f>IFERROR(J2269/H2269,0)</x:f>
        <x:v>0.6</x:v>
      </x:c>
      <x:c r="R2269" s="24" t="n">
        <x:f>IFERROR(F2269/H2269,0)</x:f>
        <x:v>0.3333333333333333</x:v>
      </x:c>
      <x:c r="S2269" s="24" t="n">
        <x:f>IFERROR(F2269/J2269,0)</x:f>
        <x:v>0.5555555555555556</x:v>
      </x:c>
      <x:c r="T2269" s="28" t="n">
        <x:f>H2269-I2269</x:f>
        <x:v>7</x:v>
      </x:c>
      <x:c r="U2269" s="24" t="n">
        <x:f>IFERROR(J2269/H2269,0)-IFERROR(K2269/I2269,0)</x:f>
        <x:v>0.35</x:v>
      </x:c>
      <x:c r="V2269" s="24" t="n">
        <x:f>IFERROR(F2269/J2269,0)-IFERROR(G2269/K2269,0)</x:f>
        <x:v>0.5555555555555556</x:v>
      </x:c>
      <x:c r="W2269" s="28" t="n">
        <x:f>L2269-M2269</x:f>
        <x:v>-2</x:v>
      </x:c>
      <x:c r="X2269" s="24" t="n">
        <x:f>IFERROR(K2269/I2269,0)</x:f>
        <x:v>0.25</x:v>
      </x:c>
      <x:c r="Y2269" s="24" t="n">
        <x:f>IFERROR(G2269/I2269,0)</x:f>
        <x:v>0</x:v>
      </x:c>
      <x:c r="Z2269" s="24" t="n">
        <x:f>IFERROR(G2269/K2269,0)</x:f>
        <x:v>0</x:v>
      </x:c>
      <x:c r="AA2269" s="24" t="n">
        <x:f>IFERROR(F2269/H2269,0)-IFERROR(G2269/I2269,0)</x:f>
        <x:v>0.3333333333333333</x:v>
      </x:c>
      <x:c r="AB2269" s="28" t="n">
        <x:f>J2269-K2269</x:f>
        <x:v>7</x:v>
      </x:c>
      <x:c r="AC2269" s="32" t="n">
        <x:f>F2269-G2269</x:f>
        <x:v>5</x:v>
      </x:c>
    </x:row>
    <x:row r="2270">
      <x:c r="A2270" s="4" t="str">
        <x:v>2023-24</x:v>
      </x:c>
      <x:c r="B2270" s="20" t="n">
        <x:v>45431</x:v>
      </x:c>
      <x:c r="C2270" s="4" t="str">
        <x:v>Everton</x:v>
      </x:c>
      <x:c r="D2270" s="4" t="str">
        <x:v>Arsenal</x:v>
      </x:c>
      <x:c r="E2270" s="4" t="str">
        <x:v>Away</x:v>
      </x:c>
      <x:c r="F2270" s="28" t="n">
        <x:v>1</x:v>
      </x:c>
      <x:c r="G2270" s="28" t="n">
        <x:v>2</x:v>
      </x:c>
      <x:c r="H2270" s="28" t="n">
        <x:v>5</x:v>
      </x:c>
      <x:c r="I2270" s="28" t="n">
        <x:v>26</x:v>
      </x:c>
      <x:c r="J2270" s="28" t="n">
        <x:v>2</x:v>
      </x:c>
      <x:c r="K2270" s="28" t="n">
        <x:v>5</x:v>
      </x:c>
      <x:c r="L2270" s="28" t="n">
        <x:v>1</x:v>
      </x:c>
      <x:c r="M2270" s="28" t="n">
        <x:v>8</x:v>
      </x:c>
      <x:c r="N2270" s="28" t="n">
        <x:v>3</x:v>
      </x:c>
      <x:c r="O2270" s="28" t="n">
        <x:v>0</x:v>
      </x:c>
      <x:c r="P2270" s="28" t="n">
        <x:v>0</x:v>
      </x:c>
      <x:c r="Q2270" s="24" t="n">
        <x:f>IFERROR(J2270/H2270,0)</x:f>
        <x:v>0.4</x:v>
      </x:c>
      <x:c r="R2270" s="24" t="n">
        <x:f>IFERROR(F2270/H2270,0)</x:f>
        <x:v>0.2</x:v>
      </x:c>
      <x:c r="S2270" s="24" t="n">
        <x:f>IFERROR(F2270/J2270,0)</x:f>
        <x:v>0.5</x:v>
      </x:c>
      <x:c r="T2270" s="28" t="n">
        <x:f>H2270-I2270</x:f>
        <x:v>-21</x:v>
      </x:c>
      <x:c r="U2270" s="24" t="n">
        <x:f>IFERROR(J2270/H2270,0)-IFERROR(K2270/I2270,0)</x:f>
        <x:v>0.2076923076923077</x:v>
      </x:c>
      <x:c r="V2270" s="24" t="n">
        <x:f>IFERROR(F2270/J2270,0)-IFERROR(G2270/K2270,0)</x:f>
        <x:v>0.09999999999999998</x:v>
      </x:c>
      <x:c r="W2270" s="28" t="n">
        <x:f>L2270-M2270</x:f>
        <x:v>-7</x:v>
      </x:c>
      <x:c r="X2270" s="24" t="n">
        <x:f>IFERROR(K2270/I2270,0)</x:f>
        <x:v>0.19230769230769232</x:v>
      </x:c>
      <x:c r="Y2270" s="24" t="n">
        <x:f>IFERROR(G2270/I2270,0)</x:f>
        <x:v>0.07692307692307693</x:v>
      </x:c>
      <x:c r="Z2270" s="24" t="n">
        <x:f>IFERROR(G2270/K2270,0)</x:f>
        <x:v>0.4</x:v>
      </x:c>
      <x:c r="AA2270" s="24" t="n">
        <x:f>IFERROR(F2270/H2270,0)-IFERROR(G2270/I2270,0)</x:f>
        <x:v>0.12307692307692308</x:v>
      </x:c>
      <x:c r="AB2270" s="28" t="n">
        <x:f>J2270-K2270</x:f>
        <x:v>-3</x:v>
      </x:c>
      <x:c r="AC2270" s="32" t="n">
        <x:f>F2270-G2270</x:f>
        <x:v>-1</x:v>
      </x:c>
    </x:row>
    <x:row r="2271">
      <x:c r="A2271" s="4" t="str">
        <x:v>2023-24</x:v>
      </x:c>
      <x:c r="B2271" s="20" t="n">
        <x:v>45431</x:v>
      </x:c>
      <x:c r="C2271" s="4" t="str">
        <x:v>Fulham</x:v>
      </x:c>
      <x:c r="D2271" s="4" t="str">
        <x:v>Luton</x:v>
      </x:c>
      <x:c r="E2271" s="4" t="str">
        <x:v>Away</x:v>
      </x:c>
      <x:c r="F2271" s="28" t="n">
        <x:v>4</x:v>
      </x:c>
      <x:c r="G2271" s="28" t="n">
        <x:v>2</x:v>
      </x:c>
      <x:c r="H2271" s="28" t="n">
        <x:v>15</x:v>
      </x:c>
      <x:c r="I2271" s="28" t="n">
        <x:v>15</x:v>
      </x:c>
      <x:c r="J2271" s="28" t="n">
        <x:v>7</x:v>
      </x:c>
      <x:c r="K2271" s="28" t="n">
        <x:v>6</x:v>
      </x:c>
      <x:c r="L2271" s="28" t="n">
        <x:v>4</x:v>
      </x:c>
      <x:c r="M2271" s="28" t="n">
        <x:v>4</x:v>
      </x:c>
      <x:c r="N2271" s="28" t="n">
        <x:v>4</x:v>
      </x:c>
      <x:c r="O2271" s="28" t="n">
        <x:v>0</x:v>
      </x:c>
      <x:c r="P2271" s="28" t="n">
        <x:v>3</x:v>
      </x:c>
      <x:c r="Q2271" s="24" t="n">
        <x:f>IFERROR(J2271/H2271,0)</x:f>
        <x:v>0.4666666666666667</x:v>
      </x:c>
      <x:c r="R2271" s="24" t="n">
        <x:f>IFERROR(F2271/H2271,0)</x:f>
        <x:v>0.26666666666666666</x:v>
      </x:c>
      <x:c r="S2271" s="24" t="n">
        <x:f>IFERROR(F2271/J2271,0)</x:f>
        <x:v>0.5714285714285714</x:v>
      </x:c>
      <x:c r="T2271" s="28" t="n">
        <x:f>H2271-I2271</x:f>
        <x:v>0</x:v>
      </x:c>
      <x:c r="U2271" s="24" t="n">
        <x:f>IFERROR(J2271/H2271,0)-IFERROR(K2271/I2271,0)</x:f>
        <x:v>0.06666666666666665</x:v>
      </x:c>
      <x:c r="V2271" s="24" t="n">
        <x:f>IFERROR(F2271/J2271,0)-IFERROR(G2271/K2271,0)</x:f>
        <x:v>0.23809523809523808</x:v>
      </x:c>
      <x:c r="W2271" s="28" t="n">
        <x:f>L2271-M2271</x:f>
        <x:v>0</x:v>
      </x:c>
      <x:c r="X2271" s="24" t="n">
        <x:f>IFERROR(K2271/I2271,0)</x:f>
        <x:v>0.4</x:v>
      </x:c>
      <x:c r="Y2271" s="24" t="n">
        <x:f>IFERROR(G2271/I2271,0)</x:f>
        <x:v>0.13333333333333333</x:v>
      </x:c>
      <x:c r="Z2271" s="24" t="n">
        <x:f>IFERROR(G2271/K2271,0)</x:f>
        <x:v>0.3333333333333333</x:v>
      </x:c>
      <x:c r="AA2271" s="24" t="n">
        <x:f>IFERROR(F2271/H2271,0)-IFERROR(G2271/I2271,0)</x:f>
        <x:v>0.13333333333333333</x:v>
      </x:c>
      <x:c r="AB2271" s="28" t="n">
        <x:f>J2271-K2271</x:f>
        <x:v>1</x:v>
      </x:c>
      <x:c r="AC2271" s="32" t="n">
        <x:f>F2271-G2271</x:f>
        <x:v>2</x:v>
      </x:c>
    </x:row>
    <x:row r="2272">
      <x:c r="A2272" s="4" t="str">
        <x:v>2023-24</x:v>
      </x:c>
      <x:c r="B2272" s="20" t="n">
        <x:v>45431</x:v>
      </x:c>
      <x:c r="C2272" s="4" t="str">
        <x:v>Liverpool</x:v>
      </x:c>
      <x:c r="D2272" s="4" t="str">
        <x:v>Wolves</x:v>
      </x:c>
      <x:c r="E2272" s="4" t="str">
        <x:v>Home</x:v>
      </x:c>
      <x:c r="F2272" s="28" t="n">
        <x:v>2</x:v>
      </x:c>
      <x:c r="G2272" s="28" t="n">
        <x:v>0</x:v>
      </x:c>
      <x:c r="H2272" s="28" t="n">
        <x:v>36</x:v>
      </x:c>
      <x:c r="I2272" s="28" t="n">
        <x:v>4</x:v>
      </x:c>
      <x:c r="J2272" s="28" t="n">
        <x:v>14</x:v>
      </x:c>
      <x:c r="K2272" s="28" t="n">
        <x:v>3</x:v>
      </x:c>
      <x:c r="L2272" s="28" t="n">
        <x:v>10</x:v>
      </x:c>
      <x:c r="M2272" s="28" t="n">
        <x:v>2</x:v>
      </x:c>
      <x:c r="N2272" s="28" t="n">
        <x:v>1</x:v>
      </x:c>
      <x:c r="O2272" s="28" t="n">
        <x:v>0</x:v>
      </x:c>
      <x:c r="P2272" s="28" t="n">
        <x:v>3</x:v>
      </x:c>
      <x:c r="Q2272" s="24" t="n">
        <x:f>IFERROR(J2272/H2272,0)</x:f>
        <x:v>0.3888888888888889</x:v>
      </x:c>
      <x:c r="R2272" s="24" t="n">
        <x:f>IFERROR(F2272/H2272,0)</x:f>
        <x:v>0.05555555555555555</x:v>
      </x:c>
      <x:c r="S2272" s="24" t="n">
        <x:f>IFERROR(F2272/J2272,0)</x:f>
        <x:v>0.14285714285714285</x:v>
      </x:c>
      <x:c r="T2272" s="28" t="n">
        <x:f>H2272-I2272</x:f>
        <x:v>32</x:v>
      </x:c>
      <x:c r="U2272" s="24" t="n">
        <x:f>IFERROR(J2272/H2272,0)-IFERROR(K2272/I2272,0)</x:f>
        <x:v>-0.3611111111111111</x:v>
      </x:c>
      <x:c r="V2272" s="24" t="n">
        <x:f>IFERROR(F2272/J2272,0)-IFERROR(G2272/K2272,0)</x:f>
        <x:v>0.14285714285714285</x:v>
      </x:c>
      <x:c r="W2272" s="28" t="n">
        <x:f>L2272-M2272</x:f>
        <x:v>8</x:v>
      </x:c>
      <x:c r="X2272" s="24" t="n">
        <x:f>IFERROR(K2272/I2272,0)</x:f>
        <x:v>0.75</x:v>
      </x:c>
      <x:c r="Y2272" s="24" t="n">
        <x:f>IFERROR(G2272/I2272,0)</x:f>
        <x:v>0</x:v>
      </x:c>
      <x:c r="Z2272" s="24" t="n">
        <x:f>IFERROR(G2272/K2272,0)</x:f>
        <x:v>0</x:v>
      </x:c>
      <x:c r="AA2272" s="24" t="n">
        <x:f>IFERROR(F2272/H2272,0)-IFERROR(G2272/I2272,0)</x:f>
        <x:v>0.05555555555555555</x:v>
      </x:c>
      <x:c r="AB2272" s="28" t="n">
        <x:f>J2272-K2272</x:f>
        <x:v>11</x:v>
      </x:c>
      <x:c r="AC2272" s="32" t="n">
        <x:f>F2272-G2272</x:f>
        <x:v>2</x:v>
      </x:c>
    </x:row>
    <x:row r="2273">
      <x:c r="A2273" s="4" t="str">
        <x:v>2023-24</x:v>
      </x:c>
      <x:c r="B2273" s="20" t="n">
        <x:v>45431</x:v>
      </x:c>
      <x:c r="C2273" s="4" t="str">
        <x:v>Luton</x:v>
      </x:c>
      <x:c r="D2273" s="4" t="str">
        <x:v>Fulham</x:v>
      </x:c>
      <x:c r="E2273" s="4" t="str">
        <x:v>Home</x:v>
      </x:c>
      <x:c r="F2273" s="28" t="n">
        <x:v>2</x:v>
      </x:c>
      <x:c r="G2273" s="28" t="n">
        <x:v>4</x:v>
      </x:c>
      <x:c r="H2273" s="28" t="n">
        <x:v>15</x:v>
      </x:c>
      <x:c r="I2273" s="28" t="n">
        <x:v>15</x:v>
      </x:c>
      <x:c r="J2273" s="28" t="n">
        <x:v>6</x:v>
      </x:c>
      <x:c r="K2273" s="28" t="n">
        <x:v>7</x:v>
      </x:c>
      <x:c r="L2273" s="28" t="n">
        <x:v>4</x:v>
      </x:c>
      <x:c r="M2273" s="28" t="n">
        <x:v>4</x:v>
      </x:c>
      <x:c r="N2273" s="28" t="n">
        <x:v>5</x:v>
      </x:c>
      <x:c r="O2273" s="28" t="n">
        <x:v>0</x:v>
      </x:c>
      <x:c r="P2273" s="28" t="n">
        <x:v>0</x:v>
      </x:c>
      <x:c r="Q2273" s="24" t="n">
        <x:f>IFERROR(J2273/H2273,0)</x:f>
        <x:v>0.4</x:v>
      </x:c>
      <x:c r="R2273" s="24" t="n">
        <x:f>IFERROR(F2273/H2273,0)</x:f>
        <x:v>0.13333333333333333</x:v>
      </x:c>
      <x:c r="S2273" s="24" t="n">
        <x:f>IFERROR(F2273/J2273,0)</x:f>
        <x:v>0.3333333333333333</x:v>
      </x:c>
      <x:c r="T2273" s="28" t="n">
        <x:f>H2273-I2273</x:f>
        <x:v>0</x:v>
      </x:c>
      <x:c r="U2273" s="24" t="n">
        <x:f>IFERROR(J2273/H2273,0)-IFERROR(K2273/I2273,0)</x:f>
        <x:v>-0.06666666666666665</x:v>
      </x:c>
      <x:c r="V2273" s="24" t="n">
        <x:f>IFERROR(F2273/J2273,0)-IFERROR(G2273/K2273,0)</x:f>
        <x:v>-0.23809523809523808</x:v>
      </x:c>
      <x:c r="W2273" s="28" t="n">
        <x:f>L2273-M2273</x:f>
        <x:v>0</x:v>
      </x:c>
      <x:c r="X2273" s="24" t="n">
        <x:f>IFERROR(K2273/I2273,0)</x:f>
        <x:v>0.4666666666666667</x:v>
      </x:c>
      <x:c r="Y2273" s="24" t="n">
        <x:f>IFERROR(G2273/I2273,0)</x:f>
        <x:v>0.26666666666666666</x:v>
      </x:c>
      <x:c r="Z2273" s="24" t="n">
        <x:f>IFERROR(G2273/K2273,0)</x:f>
        <x:v>0.5714285714285714</x:v>
      </x:c>
      <x:c r="AA2273" s="24" t="n">
        <x:f>IFERROR(F2273/H2273,0)-IFERROR(G2273/I2273,0)</x:f>
        <x:v>-0.13333333333333333</x:v>
      </x:c>
      <x:c r="AB2273" s="28" t="n">
        <x:f>J2273-K2273</x:f>
        <x:v>-1</x:v>
      </x:c>
      <x:c r="AC2273" s="32" t="n">
        <x:f>F2273-G2273</x:f>
        <x:v>-2</x:v>
      </x:c>
    </x:row>
    <x:row r="2274">
      <x:c r="A2274" s="4" t="str">
        <x:v>2023-24</x:v>
      </x:c>
      <x:c r="B2274" s="20" t="n">
        <x:v>45431</x:v>
      </x:c>
      <x:c r="C2274" s="4" t="str">
        <x:v>Man City</x:v>
      </x:c>
      <x:c r="D2274" s="4" t="str">
        <x:v>West Ham</x:v>
      </x:c>
      <x:c r="E2274" s="4" t="str">
        <x:v>Home</x:v>
      </x:c>
      <x:c r="F2274" s="28" t="n">
        <x:v>3</x:v>
      </x:c>
      <x:c r="G2274" s="28" t="n">
        <x:v>1</x:v>
      </x:c>
      <x:c r="H2274" s="28" t="n">
        <x:v>28</x:v>
      </x:c>
      <x:c r="I2274" s="28" t="n">
        <x:v>3</x:v>
      </x:c>
      <x:c r="J2274" s="28" t="n">
        <x:v>12</x:v>
      </x:c>
      <x:c r="K2274" s="28" t="n">
        <x:v>2</x:v>
      </x:c>
      <x:c r="L2274" s="28" t="n">
        <x:v>11</x:v>
      </x:c>
      <x:c r="M2274" s="28" t="n">
        <x:v>2</x:v>
      </x:c>
      <x:c r="N2274" s="28" t="n">
        <x:v>0</x:v>
      </x:c>
      <x:c r="O2274" s="28" t="n">
        <x:v>0</x:v>
      </x:c>
      <x:c r="P2274" s="28" t="n">
        <x:v>3</x:v>
      </x:c>
      <x:c r="Q2274" s="24" t="n">
        <x:f>IFERROR(J2274/H2274,0)</x:f>
        <x:v>0.42857142857142855</x:v>
      </x:c>
      <x:c r="R2274" s="24" t="n">
        <x:f>IFERROR(F2274/H2274,0)</x:f>
        <x:v>0.10714285714285714</x:v>
      </x:c>
      <x:c r="S2274" s="24" t="n">
        <x:f>IFERROR(F2274/J2274,0)</x:f>
        <x:v>0.25</x:v>
      </x:c>
      <x:c r="T2274" s="28" t="n">
        <x:f>H2274-I2274</x:f>
        <x:v>25</x:v>
      </x:c>
      <x:c r="U2274" s="24" t="n">
        <x:f>IFERROR(J2274/H2274,0)-IFERROR(K2274/I2274,0)</x:f>
        <x:v>-0.23809523809523808</x:v>
      </x:c>
      <x:c r="V2274" s="24" t="n">
        <x:f>IFERROR(F2274/J2274,0)-IFERROR(G2274/K2274,0)</x:f>
        <x:v>-0.25</x:v>
      </x:c>
      <x:c r="W2274" s="28" t="n">
        <x:f>L2274-M2274</x:f>
        <x:v>9</x:v>
      </x:c>
      <x:c r="X2274" s="24" t="n">
        <x:f>IFERROR(K2274/I2274,0)</x:f>
        <x:v>0.6666666666666666</x:v>
      </x:c>
      <x:c r="Y2274" s="24" t="n">
        <x:f>IFERROR(G2274/I2274,0)</x:f>
        <x:v>0.3333333333333333</x:v>
      </x:c>
      <x:c r="Z2274" s="24" t="n">
        <x:f>IFERROR(G2274/K2274,0)</x:f>
        <x:v>0.5</x:v>
      </x:c>
      <x:c r="AA2274" s="24" t="n">
        <x:f>IFERROR(F2274/H2274,0)-IFERROR(G2274/I2274,0)</x:f>
        <x:v>-0.22619047619047616</x:v>
      </x:c>
      <x:c r="AB2274" s="28" t="n">
        <x:f>J2274-K2274</x:f>
        <x:v>10</x:v>
      </x:c>
      <x:c r="AC2274" s="32" t="n">
        <x:f>F2274-G2274</x:f>
        <x:v>2</x:v>
      </x:c>
    </x:row>
    <x:row r="2275">
      <x:c r="A2275" s="4" t="str">
        <x:v>2023-24</x:v>
      </x:c>
      <x:c r="B2275" s="20" t="n">
        <x:v>45431</x:v>
      </x:c>
      <x:c r="C2275" s="4" t="str">
        <x:v>Man United</x:v>
      </x:c>
      <x:c r="D2275" s="4" t="str">
        <x:v>Brighton</x:v>
      </x:c>
      <x:c r="E2275" s="4" t="str">
        <x:v>Away</x:v>
      </x:c>
      <x:c r="F2275" s="28" t="n">
        <x:v>2</x:v>
      </x:c>
      <x:c r="G2275" s="28" t="n">
        <x:v>0</x:v>
      </x:c>
      <x:c r="H2275" s="28" t="n">
        <x:v>11</x:v>
      </x:c>
      <x:c r="I2275" s="28" t="n">
        <x:v>17</x:v>
      </x:c>
      <x:c r="J2275" s="28" t="n">
        <x:v>4</x:v>
      </x:c>
      <x:c r="K2275" s="28" t="n">
        <x:v>3</x:v>
      </x:c>
      <x:c r="L2275" s="28" t="n">
        <x:v>5</x:v>
      </x:c>
      <x:c r="M2275" s="28" t="n">
        <x:v>7</x:v>
      </x:c>
      <x:c r="N2275" s="28" t="n">
        <x:v>3</x:v>
      </x:c>
      <x:c r="O2275" s="28" t="n">
        <x:v>0</x:v>
      </x:c>
      <x:c r="P2275" s="28" t="n">
        <x:v>3</x:v>
      </x:c>
      <x:c r="Q2275" s="24" t="n">
        <x:f>IFERROR(J2275/H2275,0)</x:f>
        <x:v>0.36363636363636365</x:v>
      </x:c>
      <x:c r="R2275" s="24" t="n">
        <x:f>IFERROR(F2275/H2275,0)</x:f>
        <x:v>0.18181818181818182</x:v>
      </x:c>
      <x:c r="S2275" s="24" t="n">
        <x:f>IFERROR(F2275/J2275,0)</x:f>
        <x:v>0.5</x:v>
      </x:c>
      <x:c r="T2275" s="28" t="n">
        <x:f>H2275-I2275</x:f>
        <x:v>-6</x:v>
      </x:c>
      <x:c r="U2275" s="24" t="n">
        <x:f>IFERROR(J2275/H2275,0)-IFERROR(K2275/I2275,0)</x:f>
        <x:v>0.18716577540106952</x:v>
      </x:c>
      <x:c r="V2275" s="24" t="n">
        <x:f>IFERROR(F2275/J2275,0)-IFERROR(G2275/K2275,0)</x:f>
        <x:v>0.5</x:v>
      </x:c>
      <x:c r="W2275" s="28" t="n">
        <x:f>L2275-M2275</x:f>
        <x:v>-2</x:v>
      </x:c>
      <x:c r="X2275" s="24" t="n">
        <x:f>IFERROR(K2275/I2275,0)</x:f>
        <x:v>0.17647058823529413</x:v>
      </x:c>
      <x:c r="Y2275" s="24" t="n">
        <x:f>IFERROR(G2275/I2275,0)</x:f>
        <x:v>0</x:v>
      </x:c>
      <x:c r="Z2275" s="24" t="n">
        <x:f>IFERROR(G2275/K2275,0)</x:f>
        <x:v>0</x:v>
      </x:c>
      <x:c r="AA2275" s="24" t="n">
        <x:f>IFERROR(F2275/H2275,0)-IFERROR(G2275/I2275,0)</x:f>
        <x:v>0.18181818181818182</x:v>
      </x:c>
      <x:c r="AB2275" s="28" t="n">
        <x:f>J2275-K2275</x:f>
        <x:v>1</x:v>
      </x:c>
      <x:c r="AC2275" s="32" t="n">
        <x:f>F2275-G2275</x:f>
        <x:v>2</x:v>
      </x:c>
    </x:row>
    <x:row r="2276">
      <x:c r="A2276" s="4" t="str">
        <x:v>2023-24</x:v>
      </x:c>
      <x:c r="B2276" s="20" t="n">
        <x:v>45431</x:v>
      </x:c>
      <x:c r="C2276" s="4" t="str">
        <x:v>Newcastle</x:v>
      </x:c>
      <x:c r="D2276" s="4" t="str">
        <x:v>Brentford</x:v>
      </x:c>
      <x:c r="E2276" s="4" t="str">
        <x:v>Away</x:v>
      </x:c>
      <x:c r="F2276" s="28" t="n">
        <x:v>4</x:v>
      </x:c>
      <x:c r="G2276" s="28" t="n">
        <x:v>2</x:v>
      </x:c>
      <x:c r="H2276" s="28" t="n">
        <x:v>12</x:v>
      </x:c>
      <x:c r="I2276" s="28" t="n">
        <x:v>10</x:v>
      </x:c>
      <x:c r="J2276" s="28" t="n">
        <x:v>7</x:v>
      </x:c>
      <x:c r="K2276" s="28" t="n">
        <x:v>5</x:v>
      </x:c>
      <x:c r="L2276" s="28" t="n">
        <x:v>0</x:v>
      </x:c>
      <x:c r="M2276" s="28" t="n">
        <x:v>3</x:v>
      </x:c>
      <x:c r="N2276" s="28" t="n">
        <x:v>4</x:v>
      </x:c>
      <x:c r="O2276" s="28" t="n">
        <x:v>0</x:v>
      </x:c>
      <x:c r="P2276" s="28" t="n">
        <x:v>3</x:v>
      </x:c>
      <x:c r="Q2276" s="24" t="n">
        <x:f>IFERROR(J2276/H2276,0)</x:f>
        <x:v>0.5833333333333334</x:v>
      </x:c>
      <x:c r="R2276" s="24" t="n">
        <x:f>IFERROR(F2276/H2276,0)</x:f>
        <x:v>0.3333333333333333</x:v>
      </x:c>
      <x:c r="S2276" s="24" t="n">
        <x:f>IFERROR(F2276/J2276,0)</x:f>
        <x:v>0.5714285714285714</x:v>
      </x:c>
      <x:c r="T2276" s="28" t="n">
        <x:f>H2276-I2276</x:f>
        <x:v>2</x:v>
      </x:c>
      <x:c r="U2276" s="24" t="n">
        <x:f>IFERROR(J2276/H2276,0)-IFERROR(K2276/I2276,0)</x:f>
        <x:v>0.08333333333333337</x:v>
      </x:c>
      <x:c r="V2276" s="24" t="n">
        <x:f>IFERROR(F2276/J2276,0)-IFERROR(G2276/K2276,0)</x:f>
        <x:v>0.17142857142857137</x:v>
      </x:c>
      <x:c r="W2276" s="28" t="n">
        <x:f>L2276-M2276</x:f>
        <x:v>-3</x:v>
      </x:c>
      <x:c r="X2276" s="24" t="n">
        <x:f>IFERROR(K2276/I2276,0)</x:f>
        <x:v>0.5</x:v>
      </x:c>
      <x:c r="Y2276" s="24" t="n">
        <x:f>IFERROR(G2276/I2276,0)</x:f>
        <x:v>0.2</x:v>
      </x:c>
      <x:c r="Z2276" s="24" t="n">
        <x:f>IFERROR(G2276/K2276,0)</x:f>
        <x:v>0.4</x:v>
      </x:c>
      <x:c r="AA2276" s="24" t="n">
        <x:f>IFERROR(F2276/H2276,0)-IFERROR(G2276/I2276,0)</x:f>
        <x:v>0.1333333333333333</x:v>
      </x:c>
      <x:c r="AB2276" s="28" t="n">
        <x:f>J2276-K2276</x:f>
        <x:v>2</x:v>
      </x:c>
      <x:c r="AC2276" s="32" t="n">
        <x:f>F2276-G2276</x:f>
        <x:v>2</x:v>
      </x:c>
    </x:row>
    <x:row r="2277">
      <x:c r="A2277" s="4" t="str">
        <x:v>2023-24</x:v>
      </x:c>
      <x:c r="B2277" s="20" t="n">
        <x:v>45431</x:v>
      </x:c>
      <x:c r="C2277" s="4" t="str">
        <x:v>Nott'm Forest</x:v>
      </x:c>
      <x:c r="D2277" s="4" t="str">
        <x:v>Burnley</x:v>
      </x:c>
      <x:c r="E2277" s="4" t="str">
        <x:v>Away</x:v>
      </x:c>
      <x:c r="F2277" s="28" t="n">
        <x:v>2</x:v>
      </x:c>
      <x:c r="G2277" s="28" t="n">
        <x:v>1</x:v>
      </x:c>
      <x:c r="H2277" s="28" t="n">
        <x:v>12</x:v>
      </x:c>
      <x:c r="I2277" s="28" t="n">
        <x:v>20</x:v>
      </x:c>
      <x:c r="J2277" s="28" t="n">
        <x:v>6</x:v>
      </x:c>
      <x:c r="K2277" s="28" t="n">
        <x:v>3</x:v>
      </x:c>
      <x:c r="L2277" s="28" t="n">
        <x:v>3</x:v>
      </x:c>
      <x:c r="M2277" s="28" t="n">
        <x:v>4</x:v>
      </x:c>
      <x:c r="N2277" s="28" t="n">
        <x:v>0</x:v>
      </x:c>
      <x:c r="O2277" s="28" t="n">
        <x:v>0</x:v>
      </x:c>
      <x:c r="P2277" s="28" t="n">
        <x:v>3</x:v>
      </x:c>
      <x:c r="Q2277" s="24" t="n">
        <x:f>IFERROR(J2277/H2277,0)</x:f>
        <x:v>0.5</x:v>
      </x:c>
      <x:c r="R2277" s="24" t="n">
        <x:f>IFERROR(F2277/H2277,0)</x:f>
        <x:v>0.16666666666666666</x:v>
      </x:c>
      <x:c r="S2277" s="24" t="n">
        <x:f>IFERROR(F2277/J2277,0)</x:f>
        <x:v>0.3333333333333333</x:v>
      </x:c>
      <x:c r="T2277" s="28" t="n">
        <x:f>H2277-I2277</x:f>
        <x:v>-8</x:v>
      </x:c>
      <x:c r="U2277" s="24" t="n">
        <x:f>IFERROR(J2277/H2277,0)-IFERROR(K2277/I2277,0)</x:f>
        <x:v>0.35</x:v>
      </x:c>
      <x:c r="V2277" s="24" t="n">
        <x:f>IFERROR(F2277/J2277,0)-IFERROR(G2277/K2277,0)</x:f>
        <x:v>0</x:v>
      </x:c>
      <x:c r="W2277" s="28" t="n">
        <x:f>L2277-M2277</x:f>
        <x:v>-1</x:v>
      </x:c>
      <x:c r="X2277" s="24" t="n">
        <x:f>IFERROR(K2277/I2277,0)</x:f>
        <x:v>0.15</x:v>
      </x:c>
      <x:c r="Y2277" s="24" t="n">
        <x:f>IFERROR(G2277/I2277,0)</x:f>
        <x:v>0.05</x:v>
      </x:c>
      <x:c r="Z2277" s="24" t="n">
        <x:f>IFERROR(G2277/K2277,0)</x:f>
        <x:v>0.3333333333333333</x:v>
      </x:c>
      <x:c r="AA2277" s="24" t="n">
        <x:f>IFERROR(F2277/H2277,0)-IFERROR(G2277/I2277,0)</x:f>
        <x:v>0.11666666666666665</x:v>
      </x:c>
      <x:c r="AB2277" s="28" t="n">
        <x:f>J2277-K2277</x:f>
        <x:v>3</x:v>
      </x:c>
      <x:c r="AC2277" s="32" t="n">
        <x:f>F2277-G2277</x:f>
        <x:v>1</x:v>
      </x:c>
    </x:row>
    <x:row r="2278">
      <x:c r="A2278" s="4" t="str">
        <x:v>2023-24</x:v>
      </x:c>
      <x:c r="B2278" s="20" t="n">
        <x:v>45431</x:v>
      </x:c>
      <x:c r="C2278" s="4" t="str">
        <x:v>Sheffield United</x:v>
      </x:c>
      <x:c r="D2278" s="4" t="str">
        <x:v>Tottenham</x:v>
      </x:c>
      <x:c r="E2278" s="4" t="str">
        <x:v>Home</x:v>
      </x:c>
      <x:c r="F2278" s="28" t="n">
        <x:v>0</x:v>
      </x:c>
      <x:c r="G2278" s="28" t="n">
        <x:v>3</x:v>
      </x:c>
      <x:c r="H2278" s="28" t="n">
        <x:v>6</x:v>
      </x:c>
      <x:c r="I2278" s="28" t="n">
        <x:v>18</x:v>
      </x:c>
      <x:c r="J2278" s="28" t="n">
        <x:v>1</x:v>
      </x:c>
      <x:c r="K2278" s="28" t="n">
        <x:v>9</x:v>
      </x:c>
      <x:c r="L2278" s="28" t="n">
        <x:v>2</x:v>
      </x:c>
      <x:c r="M2278" s="28" t="n">
        <x:v>6</x:v>
      </x:c>
      <x:c r="N2278" s="28" t="n">
        <x:v>2</x:v>
      </x:c>
      <x:c r="O2278" s="28" t="n">
        <x:v>0</x:v>
      </x:c>
      <x:c r="P2278" s="28" t="n">
        <x:v>0</x:v>
      </x:c>
      <x:c r="Q2278" s="24" t="n">
        <x:f>IFERROR(J2278/H2278,0)</x:f>
        <x:v>0.16666666666666666</x:v>
      </x:c>
      <x:c r="R2278" s="24" t="n">
        <x:f>IFERROR(F2278/H2278,0)</x:f>
        <x:v>0</x:v>
      </x:c>
      <x:c r="S2278" s="24" t="n">
        <x:f>IFERROR(F2278/J2278,0)</x:f>
        <x:v>0</x:v>
      </x:c>
      <x:c r="T2278" s="28" t="n">
        <x:f>H2278-I2278</x:f>
        <x:v>-12</x:v>
      </x:c>
      <x:c r="U2278" s="24" t="n">
        <x:f>IFERROR(J2278/H2278,0)-IFERROR(K2278/I2278,0)</x:f>
        <x:v>-0.33333333333333337</x:v>
      </x:c>
      <x:c r="V2278" s="24" t="n">
        <x:f>IFERROR(F2278/J2278,0)-IFERROR(G2278/K2278,0)</x:f>
        <x:v>-0.3333333333333333</x:v>
      </x:c>
      <x:c r="W2278" s="28" t="n">
        <x:f>L2278-M2278</x:f>
        <x:v>-4</x:v>
      </x:c>
      <x:c r="X2278" s="24" t="n">
        <x:f>IFERROR(K2278/I2278,0)</x:f>
        <x:v>0.5</x:v>
      </x:c>
      <x:c r="Y2278" s="24" t="n">
        <x:f>IFERROR(G2278/I2278,0)</x:f>
        <x:v>0.16666666666666666</x:v>
      </x:c>
      <x:c r="Z2278" s="24" t="n">
        <x:f>IFERROR(G2278/K2278,0)</x:f>
        <x:v>0.3333333333333333</x:v>
      </x:c>
      <x:c r="AA2278" s="24" t="n">
        <x:f>IFERROR(F2278/H2278,0)-IFERROR(G2278/I2278,0)</x:f>
        <x:v>-0.16666666666666666</x:v>
      </x:c>
      <x:c r="AB2278" s="28" t="n">
        <x:f>J2278-K2278</x:f>
        <x:v>-8</x:v>
      </x:c>
      <x:c r="AC2278" s="32" t="n">
        <x:f>F2278-G2278</x:f>
        <x:v>-3</x:v>
      </x:c>
    </x:row>
    <x:row r="2279">
      <x:c r="A2279" s="4" t="str">
        <x:v>2023-24</x:v>
      </x:c>
      <x:c r="B2279" s="20" t="n">
        <x:v>45431</x:v>
      </x:c>
      <x:c r="C2279" s="4" t="str">
        <x:v>Tottenham</x:v>
      </x:c>
      <x:c r="D2279" s="4" t="str">
        <x:v>Sheffield United</x:v>
      </x:c>
      <x:c r="E2279" s="4" t="str">
        <x:v>Away</x:v>
      </x:c>
      <x:c r="F2279" s="28" t="n">
        <x:v>3</x:v>
      </x:c>
      <x:c r="G2279" s="28" t="n">
        <x:v>0</x:v>
      </x:c>
      <x:c r="H2279" s="28" t="n">
        <x:v>18</x:v>
      </x:c>
      <x:c r="I2279" s="28" t="n">
        <x:v>6</x:v>
      </x:c>
      <x:c r="J2279" s="28" t="n">
        <x:v>9</x:v>
      </x:c>
      <x:c r="K2279" s="28" t="n">
        <x:v>1</x:v>
      </x:c>
      <x:c r="L2279" s="28" t="n">
        <x:v>6</x:v>
      </x:c>
      <x:c r="M2279" s="28" t="n">
        <x:v>2</x:v>
      </x:c>
      <x:c r="N2279" s="28" t="n">
        <x:v>0</x:v>
      </x:c>
      <x:c r="O2279" s="28" t="n">
        <x:v>0</x:v>
      </x:c>
      <x:c r="P2279" s="28" t="n">
        <x:v>3</x:v>
      </x:c>
      <x:c r="Q2279" s="24" t="n">
        <x:f>IFERROR(J2279/H2279,0)</x:f>
        <x:v>0.5</x:v>
      </x:c>
      <x:c r="R2279" s="24" t="n">
        <x:f>IFERROR(F2279/H2279,0)</x:f>
        <x:v>0.16666666666666666</x:v>
      </x:c>
      <x:c r="S2279" s="24" t="n">
        <x:f>IFERROR(F2279/J2279,0)</x:f>
        <x:v>0.3333333333333333</x:v>
      </x:c>
      <x:c r="T2279" s="28" t="n">
        <x:f>H2279-I2279</x:f>
        <x:v>12</x:v>
      </x:c>
      <x:c r="U2279" s="24" t="n">
        <x:f>IFERROR(J2279/H2279,0)-IFERROR(K2279/I2279,0)</x:f>
        <x:v>0.33333333333333337</x:v>
      </x:c>
      <x:c r="V2279" s="24" t="n">
        <x:f>IFERROR(F2279/J2279,0)-IFERROR(G2279/K2279,0)</x:f>
        <x:v>0.3333333333333333</x:v>
      </x:c>
      <x:c r="W2279" s="28" t="n">
        <x:f>L2279-M2279</x:f>
        <x:v>4</x:v>
      </x:c>
      <x:c r="X2279" s="24" t="n">
        <x:f>IFERROR(K2279/I2279,0)</x:f>
        <x:v>0.16666666666666666</x:v>
      </x:c>
      <x:c r="Y2279" s="24" t="n">
        <x:f>IFERROR(G2279/I2279,0)</x:f>
        <x:v>0</x:v>
      </x:c>
      <x:c r="Z2279" s="24" t="n">
        <x:f>IFERROR(G2279/K2279,0)</x:f>
        <x:v>0</x:v>
      </x:c>
      <x:c r="AA2279" s="24" t="n">
        <x:f>IFERROR(F2279/H2279,0)-IFERROR(G2279/I2279,0)</x:f>
        <x:v>0.16666666666666666</x:v>
      </x:c>
      <x:c r="AB2279" s="28" t="n">
        <x:f>J2279-K2279</x:f>
        <x:v>8</x:v>
      </x:c>
      <x:c r="AC2279" s="32" t="n">
        <x:f>F2279-G2279</x:f>
        <x:v>3</x:v>
      </x:c>
    </x:row>
    <x:row r="2280">
      <x:c r="A2280" s="4" t="str">
        <x:v>2023-24</x:v>
      </x:c>
      <x:c r="B2280" s="20" t="n">
        <x:v>45431</x:v>
      </x:c>
      <x:c r="C2280" s="4" t="str">
        <x:v>West Ham</x:v>
      </x:c>
      <x:c r="D2280" s="4" t="str">
        <x:v>Man City</x:v>
      </x:c>
      <x:c r="E2280" s="4" t="str">
        <x:v>Away</x:v>
      </x:c>
      <x:c r="F2280" s="28" t="n">
        <x:v>1</x:v>
      </x:c>
      <x:c r="G2280" s="28" t="n">
        <x:v>3</x:v>
      </x:c>
      <x:c r="H2280" s="28" t="n">
        <x:v>3</x:v>
      </x:c>
      <x:c r="I2280" s="28" t="n">
        <x:v>28</x:v>
      </x:c>
      <x:c r="J2280" s="28" t="n">
        <x:v>2</x:v>
      </x:c>
      <x:c r="K2280" s="28" t="n">
        <x:v>12</x:v>
      </x:c>
      <x:c r="L2280" s="28" t="n">
        <x:v>2</x:v>
      </x:c>
      <x:c r="M2280" s="28" t="n">
        <x:v>11</x:v>
      </x:c>
      <x:c r="N2280" s="28" t="n">
        <x:v>1</x:v>
      </x:c>
      <x:c r="O2280" s="28" t="n">
        <x:v>0</x:v>
      </x:c>
      <x:c r="P2280" s="28" t="n">
        <x:v>0</x:v>
      </x:c>
      <x:c r="Q2280" s="24" t="n">
        <x:f>IFERROR(J2280/H2280,0)</x:f>
        <x:v>0.6666666666666666</x:v>
      </x:c>
      <x:c r="R2280" s="24" t="n">
        <x:f>IFERROR(F2280/H2280,0)</x:f>
        <x:v>0.3333333333333333</x:v>
      </x:c>
      <x:c r="S2280" s="24" t="n">
        <x:f>IFERROR(F2280/J2280,0)</x:f>
        <x:v>0.5</x:v>
      </x:c>
      <x:c r="T2280" s="28" t="n">
        <x:f>H2280-I2280</x:f>
        <x:v>-25</x:v>
      </x:c>
      <x:c r="U2280" s="24" t="n">
        <x:f>IFERROR(J2280/H2280,0)-IFERROR(K2280/I2280,0)</x:f>
        <x:v>0.23809523809523808</x:v>
      </x:c>
      <x:c r="V2280" s="24" t="n">
        <x:f>IFERROR(F2280/J2280,0)-IFERROR(G2280/K2280,0)</x:f>
        <x:v>0.25</x:v>
      </x:c>
      <x:c r="W2280" s="28" t="n">
        <x:f>L2280-M2280</x:f>
        <x:v>-9</x:v>
      </x:c>
      <x:c r="X2280" s="24" t="n">
        <x:f>IFERROR(K2280/I2280,0)</x:f>
        <x:v>0.42857142857142855</x:v>
      </x:c>
      <x:c r="Y2280" s="24" t="n">
        <x:f>IFERROR(G2280/I2280,0)</x:f>
        <x:v>0.10714285714285714</x:v>
      </x:c>
      <x:c r="Z2280" s="24" t="n">
        <x:f>IFERROR(G2280/K2280,0)</x:f>
        <x:v>0.25</x:v>
      </x:c>
      <x:c r="AA2280" s="24" t="n">
        <x:f>IFERROR(F2280/H2280,0)-IFERROR(G2280/I2280,0)</x:f>
        <x:v>0.22619047619047616</x:v>
      </x:c>
      <x:c r="AB2280" s="28" t="n">
        <x:f>J2280-K2280</x:f>
        <x:v>-10</x:v>
      </x:c>
      <x:c r="AC2280" s="32" t="n">
        <x:f>F2280-G2280</x:f>
        <x:v>-2</x:v>
      </x:c>
    </x:row>
    <x:row r="2281">
      <x:c r="A2281" s="4" t="str">
        <x:v>2023-24</x:v>
      </x:c>
      <x:c r="B2281" s="20" t="n">
        <x:v>45431</x:v>
      </x:c>
      <x:c r="C2281" s="4" t="str">
        <x:v>Wolves</x:v>
      </x:c>
      <x:c r="D2281" s="4" t="str">
        <x:v>Liverpool</x:v>
      </x:c>
      <x:c r="E2281" s="4" t="str">
        <x:v>Away</x:v>
      </x:c>
      <x:c r="F2281" s="28" t="n">
        <x:v>0</x:v>
      </x:c>
      <x:c r="G2281" s="28" t="n">
        <x:v>2</x:v>
      </x:c>
      <x:c r="H2281" s="28" t="n">
        <x:v>4</x:v>
      </x:c>
      <x:c r="I2281" s="28" t="n">
        <x:v>36</x:v>
      </x:c>
      <x:c r="J2281" s="28" t="n">
        <x:v>3</x:v>
      </x:c>
      <x:c r="K2281" s="28" t="n">
        <x:v>14</x:v>
      </x:c>
      <x:c r="L2281" s="28" t="n">
        <x:v>2</x:v>
      </x:c>
      <x:c r="M2281" s="28" t="n">
        <x:v>10</x:v>
      </x:c>
      <x:c r="N2281" s="28" t="n">
        <x:v>1</x:v>
      </x:c>
      <x:c r="O2281" s="28" t="n">
        <x:v>1</x:v>
      </x:c>
      <x:c r="P2281" s="28" t="n">
        <x:v>0</x:v>
      </x:c>
      <x:c r="Q2281" s="24" t="n">
        <x:f>IFERROR(J2281/H2281,0)</x:f>
        <x:v>0.75</x:v>
      </x:c>
      <x:c r="R2281" s="24" t="n">
        <x:f>IFERROR(F2281/H2281,0)</x:f>
        <x:v>0</x:v>
      </x:c>
      <x:c r="S2281" s="24" t="n">
        <x:f>IFERROR(F2281/J2281,0)</x:f>
        <x:v>0</x:v>
      </x:c>
      <x:c r="T2281" s="28" t="n">
        <x:f>H2281-I2281</x:f>
        <x:v>-32</x:v>
      </x:c>
      <x:c r="U2281" s="24" t="n">
        <x:f>IFERROR(J2281/H2281,0)-IFERROR(K2281/I2281,0)</x:f>
        <x:v>0.3611111111111111</x:v>
      </x:c>
      <x:c r="V2281" s="24" t="n">
        <x:f>IFERROR(F2281/J2281,0)-IFERROR(G2281/K2281,0)</x:f>
        <x:v>-0.14285714285714285</x:v>
      </x:c>
      <x:c r="W2281" s="28" t="n">
        <x:f>L2281-M2281</x:f>
        <x:v>-8</x:v>
      </x:c>
      <x:c r="X2281" s="24" t="n">
        <x:f>IFERROR(K2281/I2281,0)</x:f>
        <x:v>0.3888888888888889</x:v>
      </x:c>
      <x:c r="Y2281" s="24" t="n">
        <x:f>IFERROR(G2281/I2281,0)</x:f>
        <x:v>0.05555555555555555</x:v>
      </x:c>
      <x:c r="Z2281" s="24" t="n">
        <x:f>IFERROR(G2281/K2281,0)</x:f>
        <x:v>0.14285714285714285</x:v>
      </x:c>
      <x:c r="AA2281" s="24" t="n">
        <x:f>IFERROR(F2281/H2281,0)-IFERROR(G2281/I2281,0)</x:f>
        <x:v>-0.05555555555555555</x:v>
      </x:c>
      <x:c r="AB2281" s="28" t="n">
        <x:f>J2281-K2281</x:f>
        <x:v>-11</x:v>
      </x:c>
      <x:c r="AC2281" s="32" t="n">
        <x:f>F2281-G2281</x:f>
        <x:v>-2</x:v>
      </x:c>
    </x:row>
    <x:row r="2282">
      <x:c r="A2282" s="4" t="str">
        <x:v>2024-25</x:v>
      </x:c>
      <x:c r="B2282" s="20" t="n">
        <x:v>45520</x:v>
      </x:c>
      <x:c r="C2282" s="4" t="str">
        <x:v>Fulham</x:v>
      </x:c>
      <x:c r="D2282" s="4" t="str">
        <x:v>Man United</x:v>
      </x:c>
      <x:c r="E2282" s="4" t="str">
        <x:v>Away</x:v>
      </x:c>
      <x:c r="F2282" s="28" t="n">
        <x:v>0</x:v>
      </x:c>
      <x:c r="G2282" s="28" t="n">
        <x:v>1</x:v>
      </x:c>
      <x:c r="H2282" s="28" t="n">
        <x:v>10</x:v>
      </x:c>
      <x:c r="I2282" s="28" t="n">
        <x:v>14</x:v>
      </x:c>
      <x:c r="J2282" s="28" t="n">
        <x:v>2</x:v>
      </x:c>
      <x:c r="K2282" s="28" t="n">
        <x:v>5</x:v>
      </x:c>
      <x:c r="L2282" s="28" t="n">
        <x:v>8</x:v>
      </x:c>
      <x:c r="M2282" s="28" t="n">
        <x:v>7</x:v>
      </x:c>
      <x:c r="N2282" s="28" t="n">
        <x:v>3</x:v>
      </x:c>
      <x:c r="O2282" s="28" t="n">
        <x:v>0</x:v>
      </x:c>
      <x:c r="P2282" s="28" t="n">
        <x:v>0</x:v>
      </x:c>
      <x:c r="Q2282" s="24" t="n">
        <x:f>IFERROR(J2282/H2282,0)</x:f>
        <x:v>0.2</x:v>
      </x:c>
      <x:c r="R2282" s="24" t="n">
        <x:f>IFERROR(F2282/H2282,0)</x:f>
        <x:v>0</x:v>
      </x:c>
      <x:c r="S2282" s="24" t="n">
        <x:f>IFERROR(F2282/J2282,0)</x:f>
        <x:v>0</x:v>
      </x:c>
      <x:c r="T2282" s="28" t="n">
        <x:f>H2282-I2282</x:f>
        <x:v>-4</x:v>
      </x:c>
      <x:c r="U2282" s="24" t="n">
        <x:f>IFERROR(J2282/H2282,0)-IFERROR(K2282/I2282,0)</x:f>
        <x:v>-0.15714285714285714</x:v>
      </x:c>
      <x:c r="V2282" s="24" t="n">
        <x:f>IFERROR(F2282/J2282,0)-IFERROR(G2282/K2282,0)</x:f>
        <x:v>-0.2</x:v>
      </x:c>
      <x:c r="W2282" s="28" t="n">
        <x:f>L2282-M2282</x:f>
        <x:v>1</x:v>
      </x:c>
      <x:c r="X2282" s="24" t="n">
        <x:f>IFERROR(K2282/I2282,0)</x:f>
        <x:v>0.35714285714285715</x:v>
      </x:c>
      <x:c r="Y2282" s="24" t="n">
        <x:f>IFERROR(G2282/I2282,0)</x:f>
        <x:v>0.07142857142857142</x:v>
      </x:c>
      <x:c r="Z2282" s="24" t="n">
        <x:f>IFERROR(G2282/K2282,0)</x:f>
        <x:v>0.2</x:v>
      </x:c>
      <x:c r="AA2282" s="24" t="n">
        <x:f>IFERROR(F2282/H2282,0)-IFERROR(G2282/I2282,0)</x:f>
        <x:v>-0.07142857142857142</x:v>
      </x:c>
      <x:c r="AB2282" s="28" t="n">
        <x:f>J2282-K2282</x:f>
        <x:v>-3</x:v>
      </x:c>
      <x:c r="AC2282" s="32" t="n">
        <x:f>F2282-G2282</x:f>
        <x:v>-1</x:v>
      </x:c>
    </x:row>
    <x:row r="2283">
      <x:c r="A2283" s="4" t="str">
        <x:v>2024-25</x:v>
      </x:c>
      <x:c r="B2283" s="20" t="n">
        <x:v>45520</x:v>
      </x:c>
      <x:c r="C2283" s="4" t="str">
        <x:v>Man United</x:v>
      </x:c>
      <x:c r="D2283" s="4" t="str">
        <x:v>Fulham</x:v>
      </x:c>
      <x:c r="E2283" s="4" t="str">
        <x:v>Home</x:v>
      </x:c>
      <x:c r="F2283" s="28" t="n">
        <x:v>1</x:v>
      </x:c>
      <x:c r="G2283" s="28" t="n">
        <x:v>0</x:v>
      </x:c>
      <x:c r="H2283" s="28" t="n">
        <x:v>14</x:v>
      </x:c>
      <x:c r="I2283" s="28" t="n">
        <x:v>10</x:v>
      </x:c>
      <x:c r="J2283" s="28" t="n">
        <x:v>5</x:v>
      </x:c>
      <x:c r="K2283" s="28" t="n">
        <x:v>2</x:v>
      </x:c>
      <x:c r="L2283" s="28" t="n">
        <x:v>7</x:v>
      </x:c>
      <x:c r="M2283" s="28" t="n">
        <x:v>8</x:v>
      </x:c>
      <x:c r="N2283" s="28" t="n">
        <x:v>2</x:v>
      </x:c>
      <x:c r="O2283" s="28" t="n">
        <x:v>0</x:v>
      </x:c>
      <x:c r="P2283" s="28" t="n">
        <x:v>3</x:v>
      </x:c>
      <x:c r="Q2283" s="24" t="n">
        <x:f>IFERROR(J2283/H2283,0)</x:f>
        <x:v>0.35714285714285715</x:v>
      </x:c>
      <x:c r="R2283" s="24" t="n">
        <x:f>IFERROR(F2283/H2283,0)</x:f>
        <x:v>0.07142857142857142</x:v>
      </x:c>
      <x:c r="S2283" s="24" t="n">
        <x:f>IFERROR(F2283/J2283,0)</x:f>
        <x:v>0.2</x:v>
      </x:c>
      <x:c r="T2283" s="28" t="n">
        <x:f>H2283-I2283</x:f>
        <x:v>4</x:v>
      </x:c>
      <x:c r="U2283" s="24" t="n">
        <x:f>IFERROR(J2283/H2283,0)-IFERROR(K2283/I2283,0)</x:f>
        <x:v>0.15714285714285714</x:v>
      </x:c>
      <x:c r="V2283" s="24" t="n">
        <x:f>IFERROR(F2283/J2283,0)-IFERROR(G2283/K2283,0)</x:f>
        <x:v>0.2</x:v>
      </x:c>
      <x:c r="W2283" s="28" t="n">
        <x:f>L2283-M2283</x:f>
        <x:v>-1</x:v>
      </x:c>
      <x:c r="X2283" s="24" t="n">
        <x:f>IFERROR(K2283/I2283,0)</x:f>
        <x:v>0.2</x:v>
      </x:c>
      <x:c r="Y2283" s="24" t="n">
        <x:f>IFERROR(G2283/I2283,0)</x:f>
        <x:v>0</x:v>
      </x:c>
      <x:c r="Z2283" s="24" t="n">
        <x:f>IFERROR(G2283/K2283,0)</x:f>
        <x:v>0</x:v>
      </x:c>
      <x:c r="AA2283" s="24" t="n">
        <x:f>IFERROR(F2283/H2283,0)-IFERROR(G2283/I2283,0)</x:f>
        <x:v>0.07142857142857142</x:v>
      </x:c>
      <x:c r="AB2283" s="28" t="n">
        <x:f>J2283-K2283</x:f>
        <x:v>3</x:v>
      </x:c>
      <x:c r="AC2283" s="32" t="n">
        <x:f>F2283-G2283</x:f>
        <x:v>1</x:v>
      </x:c>
    </x:row>
    <x:row r="2284">
      <x:c r="A2284" s="4" t="str">
        <x:v>2024-25</x:v>
      </x:c>
      <x:c r="B2284" s="20" t="n">
        <x:v>45521</x:v>
      </x:c>
      <x:c r="C2284" s="4" t="str">
        <x:v>Arsenal</x:v>
      </x:c>
      <x:c r="D2284" s="4" t="str">
        <x:v>Wolves</x:v>
      </x:c>
      <x:c r="E2284" s="4" t="str">
        <x:v>Home</x:v>
      </x:c>
      <x:c r="F2284" s="28" t="n">
        <x:v>2</x:v>
      </x:c>
      <x:c r="G2284" s="28" t="n">
        <x:v>0</x:v>
      </x:c>
      <x:c r="H2284" s="28" t="n">
        <x:v>18</x:v>
      </x:c>
      <x:c r="I2284" s="28" t="n">
        <x:v>9</x:v>
      </x:c>
      <x:c r="J2284" s="28" t="n">
        <x:v>6</x:v>
      </x:c>
      <x:c r="K2284" s="28" t="n">
        <x:v>3</x:v>
      </x:c>
      <x:c r="L2284" s="28" t="n">
        <x:v>8</x:v>
      </x:c>
      <x:c r="M2284" s="28" t="n">
        <x:v>2</x:v>
      </x:c>
      <x:c r="N2284" s="28" t="n">
        <x:v>2</x:v>
      </x:c>
      <x:c r="O2284" s="28" t="n">
        <x:v>0</x:v>
      </x:c>
      <x:c r="P2284" s="28" t="n">
        <x:v>3</x:v>
      </x:c>
      <x:c r="Q2284" s="24" t="n">
        <x:f>IFERROR(J2284/H2284,0)</x:f>
        <x:v>0.3333333333333333</x:v>
      </x:c>
      <x:c r="R2284" s="24" t="n">
        <x:f>IFERROR(F2284/H2284,0)</x:f>
        <x:v>0.1111111111111111</x:v>
      </x:c>
      <x:c r="S2284" s="24" t="n">
        <x:f>IFERROR(F2284/J2284,0)</x:f>
        <x:v>0.3333333333333333</x:v>
      </x:c>
      <x:c r="T2284" s="28" t="n">
        <x:f>H2284-I2284</x:f>
        <x:v>9</x:v>
      </x:c>
      <x:c r="U2284" s="24" t="n">
        <x:f>IFERROR(J2284/H2284,0)-IFERROR(K2284/I2284,0)</x:f>
        <x:v>0</x:v>
      </x:c>
      <x:c r="V2284" s="24" t="n">
        <x:f>IFERROR(F2284/J2284,0)-IFERROR(G2284/K2284,0)</x:f>
        <x:v>0.3333333333333333</x:v>
      </x:c>
      <x:c r="W2284" s="28" t="n">
        <x:f>L2284-M2284</x:f>
        <x:v>6</x:v>
      </x:c>
      <x:c r="X2284" s="24" t="n">
        <x:f>IFERROR(K2284/I2284,0)</x:f>
        <x:v>0.3333333333333333</x:v>
      </x:c>
      <x:c r="Y2284" s="24" t="n">
        <x:f>IFERROR(G2284/I2284,0)</x:f>
        <x:v>0</x:v>
      </x:c>
      <x:c r="Z2284" s="24" t="n">
        <x:f>IFERROR(G2284/K2284,0)</x:f>
        <x:v>0</x:v>
      </x:c>
      <x:c r="AA2284" s="24" t="n">
        <x:f>IFERROR(F2284/H2284,0)-IFERROR(G2284/I2284,0)</x:f>
        <x:v>0.1111111111111111</x:v>
      </x:c>
      <x:c r="AB2284" s="28" t="n">
        <x:f>J2284-K2284</x:f>
        <x:v>3</x:v>
      </x:c>
      <x:c r="AC2284" s="32" t="n">
        <x:f>F2284-G2284</x:f>
        <x:v>2</x:v>
      </x:c>
    </x:row>
    <x:row r="2285">
      <x:c r="A2285" s="4" t="str">
        <x:v>2024-25</x:v>
      </x:c>
      <x:c r="B2285" s="20" t="n">
        <x:v>45521</x:v>
      </x:c>
      <x:c r="C2285" s="4" t="str">
        <x:v>Aston Villa</x:v>
      </x:c>
      <x:c r="D2285" s="4" t="str">
        <x:v>West Ham</x:v>
      </x:c>
      <x:c r="E2285" s="4" t="str">
        <x:v>Away</x:v>
      </x:c>
      <x:c r="F2285" s="28" t="n">
        <x:v>2</x:v>
      </x:c>
      <x:c r="G2285" s="28" t="n">
        <x:v>1</x:v>
      </x:c>
      <x:c r="H2285" s="28" t="n">
        <x:v>15</x:v>
      </x:c>
      <x:c r="I2285" s="28" t="n">
        <x:v>14</x:v>
      </x:c>
      <x:c r="J2285" s="28" t="n">
        <x:v>3</x:v>
      </x:c>
      <x:c r="K2285" s="28" t="n">
        <x:v>3</x:v>
      </x:c>
      <x:c r="L2285" s="28" t="n">
        <x:v>3</x:v>
      </x:c>
      <x:c r="M2285" s="28" t="n">
        <x:v>5</x:v>
      </x:c>
      <x:c r="N2285" s="28" t="n">
        <x:v>2</x:v>
      </x:c>
      <x:c r="O2285" s="28" t="n">
        <x:v>0</x:v>
      </x:c>
      <x:c r="P2285" s="28" t="n">
        <x:v>3</x:v>
      </x:c>
      <x:c r="Q2285" s="24" t="n">
        <x:f>IFERROR(J2285/H2285,0)</x:f>
        <x:v>0.2</x:v>
      </x:c>
      <x:c r="R2285" s="24" t="n">
        <x:f>IFERROR(F2285/H2285,0)</x:f>
        <x:v>0.13333333333333333</x:v>
      </x:c>
      <x:c r="S2285" s="24" t="n">
        <x:f>IFERROR(F2285/J2285,0)</x:f>
        <x:v>0.6666666666666666</x:v>
      </x:c>
      <x:c r="T2285" s="28" t="n">
        <x:f>H2285-I2285</x:f>
        <x:v>1</x:v>
      </x:c>
      <x:c r="U2285" s="24" t="n">
        <x:f>IFERROR(J2285/H2285,0)-IFERROR(K2285/I2285,0)</x:f>
        <x:v>-0.014285714285714263</x:v>
      </x:c>
      <x:c r="V2285" s="24" t="n">
        <x:f>IFERROR(F2285/J2285,0)-IFERROR(G2285/K2285,0)</x:f>
        <x:v>0.3333333333333333</x:v>
      </x:c>
      <x:c r="W2285" s="28" t="n">
        <x:f>L2285-M2285</x:f>
        <x:v>-2</x:v>
      </x:c>
      <x:c r="X2285" s="24" t="n">
        <x:f>IFERROR(K2285/I2285,0)</x:f>
        <x:v>0.21428571428571427</x:v>
      </x:c>
      <x:c r="Y2285" s="24" t="n">
        <x:f>IFERROR(G2285/I2285,0)</x:f>
        <x:v>0.07142857142857142</x:v>
      </x:c>
      <x:c r="Z2285" s="24" t="n">
        <x:f>IFERROR(G2285/K2285,0)</x:f>
        <x:v>0.3333333333333333</x:v>
      </x:c>
      <x:c r="AA2285" s="24" t="n">
        <x:f>IFERROR(F2285/H2285,0)-IFERROR(G2285/I2285,0)</x:f>
        <x:v>0.06190476190476191</x:v>
      </x:c>
      <x:c r="AB2285" s="28" t="n">
        <x:f>J2285-K2285</x:f>
        <x:v>0</x:v>
      </x:c>
      <x:c r="AC2285" s="32" t="n">
        <x:f>F2285-G2285</x:f>
        <x:v>1</x:v>
      </x:c>
    </x:row>
    <x:row r="2286">
      <x:c r="A2286" s="4" t="str">
        <x:v>2024-25</x:v>
      </x:c>
      <x:c r="B2286" s="20" t="n">
        <x:v>45521</x:v>
      </x:c>
      <x:c r="C2286" s="4" t="str">
        <x:v>Bournemouth</x:v>
      </x:c>
      <x:c r="D2286" s="4" t="str">
        <x:v>Nott'm Forest</x:v>
      </x:c>
      <x:c r="E2286" s="4" t="str">
        <x:v>Away</x:v>
      </x:c>
      <x:c r="F2286" s="28" t="n">
        <x:v>1</x:v>
      </x:c>
      <x:c r="G2286" s="28" t="n">
        <x:v>1</x:v>
      </x:c>
      <x:c r="H2286" s="28" t="n">
        <x:v>13</x:v>
      </x:c>
      <x:c r="I2286" s="28" t="n">
        <x:v>14</x:v>
      </x:c>
      <x:c r="J2286" s="28" t="n">
        <x:v>4</x:v>
      </x:c>
      <x:c r="K2286" s="28" t="n">
        <x:v>8</x:v>
      </x:c>
      <x:c r="L2286" s="28" t="n">
        <x:v>6</x:v>
      </x:c>
      <x:c r="M2286" s="28" t="n">
        <x:v>2</x:v>
      </x:c>
      <x:c r="N2286" s="28" t="n">
        <x:v>3</x:v>
      </x:c>
      <x:c r="O2286" s="28" t="n">
        <x:v>0</x:v>
      </x:c>
      <x:c r="P2286" s="28" t="n">
        <x:v>1</x:v>
      </x:c>
      <x:c r="Q2286" s="24" t="n">
        <x:f>IFERROR(J2286/H2286,0)</x:f>
        <x:v>0.3076923076923077</x:v>
      </x:c>
      <x:c r="R2286" s="24" t="n">
        <x:f>IFERROR(F2286/H2286,0)</x:f>
        <x:v>0.07692307692307693</x:v>
      </x:c>
      <x:c r="S2286" s="24" t="n">
        <x:f>IFERROR(F2286/J2286,0)</x:f>
        <x:v>0.25</x:v>
      </x:c>
      <x:c r="T2286" s="28" t="n">
        <x:f>H2286-I2286</x:f>
        <x:v>-1</x:v>
      </x:c>
      <x:c r="U2286" s="24" t="n">
        <x:f>IFERROR(J2286/H2286,0)-IFERROR(K2286/I2286,0)</x:f>
        <x:v>-0.2637362637362637</x:v>
      </x:c>
      <x:c r="V2286" s="24" t="n">
        <x:f>IFERROR(F2286/J2286,0)-IFERROR(G2286/K2286,0)</x:f>
        <x:v>0.125</x:v>
      </x:c>
      <x:c r="W2286" s="28" t="n">
        <x:f>L2286-M2286</x:f>
        <x:v>4</x:v>
      </x:c>
      <x:c r="X2286" s="24" t="n">
        <x:f>IFERROR(K2286/I2286,0)</x:f>
        <x:v>0.5714285714285714</x:v>
      </x:c>
      <x:c r="Y2286" s="24" t="n">
        <x:f>IFERROR(G2286/I2286,0)</x:f>
        <x:v>0.07142857142857142</x:v>
      </x:c>
      <x:c r="Z2286" s="24" t="n">
        <x:f>IFERROR(G2286/K2286,0)</x:f>
        <x:v>0.125</x:v>
      </x:c>
      <x:c r="AA2286" s="24" t="n">
        <x:f>IFERROR(F2286/H2286,0)-IFERROR(G2286/I2286,0)</x:f>
        <x:v>0.005494505494505503</x:v>
      </x:c>
      <x:c r="AB2286" s="28" t="n">
        <x:f>J2286-K2286</x:f>
        <x:v>-4</x:v>
      </x:c>
      <x:c r="AC2286" s="32" t="n">
        <x:f>F2286-G2286</x:f>
        <x:v>0</x:v>
      </x:c>
    </x:row>
    <x:row r="2287">
      <x:c r="A2287" s="4" t="str">
        <x:v>2024-25</x:v>
      </x:c>
      <x:c r="B2287" s="20" t="n">
        <x:v>45521</x:v>
      </x:c>
      <x:c r="C2287" s="4" t="str">
        <x:v>Brighton</x:v>
      </x:c>
      <x:c r="D2287" s="4" t="str">
        <x:v>Everton</x:v>
      </x:c>
      <x:c r="E2287" s="4" t="str">
        <x:v>Away</x:v>
      </x:c>
      <x:c r="F2287" s="28" t="n">
        <x:v>3</x:v>
      </x:c>
      <x:c r="G2287" s="28" t="n">
        <x:v>0</x:v>
      </x:c>
      <x:c r="H2287" s="28" t="n">
        <x:v>10</x:v>
      </x:c>
      <x:c r="I2287" s="28" t="n">
        <x:v>9</x:v>
      </x:c>
      <x:c r="J2287" s="28" t="n">
        <x:v>5</x:v>
      </x:c>
      <x:c r="K2287" s="28" t="n">
        <x:v>1</x:v>
      </x:c>
      <x:c r="L2287" s="28" t="n">
        <x:v>5</x:v>
      </x:c>
      <x:c r="M2287" s="28" t="n">
        <x:v>1</x:v>
      </x:c>
      <x:c r="N2287" s="28" t="n">
        <x:v>1</x:v>
      </x:c>
      <x:c r="O2287" s="28" t="n">
        <x:v>0</x:v>
      </x:c>
      <x:c r="P2287" s="28" t="n">
        <x:v>3</x:v>
      </x:c>
      <x:c r="Q2287" s="24" t="n">
        <x:f>IFERROR(J2287/H2287,0)</x:f>
        <x:v>0.5</x:v>
      </x:c>
      <x:c r="R2287" s="24" t="n">
        <x:f>IFERROR(F2287/H2287,0)</x:f>
        <x:v>0.3</x:v>
      </x:c>
      <x:c r="S2287" s="24" t="n">
        <x:f>IFERROR(F2287/J2287,0)</x:f>
        <x:v>0.6</x:v>
      </x:c>
      <x:c r="T2287" s="28" t="n">
        <x:f>H2287-I2287</x:f>
        <x:v>1</x:v>
      </x:c>
      <x:c r="U2287" s="24" t="n">
        <x:f>IFERROR(J2287/H2287,0)-IFERROR(K2287/I2287,0)</x:f>
        <x:v>0.3888888888888889</x:v>
      </x:c>
      <x:c r="V2287" s="24" t="n">
        <x:f>IFERROR(F2287/J2287,0)-IFERROR(G2287/K2287,0)</x:f>
        <x:v>0.6</x:v>
      </x:c>
      <x:c r="W2287" s="28" t="n">
        <x:f>L2287-M2287</x:f>
        <x:v>4</x:v>
      </x:c>
      <x:c r="X2287" s="24" t="n">
        <x:f>IFERROR(K2287/I2287,0)</x:f>
        <x:v>0.1111111111111111</x:v>
      </x:c>
      <x:c r="Y2287" s="24" t="n">
        <x:f>IFERROR(G2287/I2287,0)</x:f>
        <x:v>0</x:v>
      </x:c>
      <x:c r="Z2287" s="24" t="n">
        <x:f>IFERROR(G2287/K2287,0)</x:f>
        <x:v>0</x:v>
      </x:c>
      <x:c r="AA2287" s="24" t="n">
        <x:f>IFERROR(F2287/H2287,0)-IFERROR(G2287/I2287,0)</x:f>
        <x:v>0.3</x:v>
      </x:c>
      <x:c r="AB2287" s="28" t="n">
        <x:f>J2287-K2287</x:f>
        <x:v>4</x:v>
      </x:c>
      <x:c r="AC2287" s="32" t="n">
        <x:f>F2287-G2287</x:f>
        <x:v>3</x:v>
      </x:c>
    </x:row>
    <x:row r="2288">
      <x:c r="A2288" s="4" t="str">
        <x:v>2024-25</x:v>
      </x:c>
      <x:c r="B2288" s="20" t="n">
        <x:v>45521</x:v>
      </x:c>
      <x:c r="C2288" s="4" t="str">
        <x:v>Everton</x:v>
      </x:c>
      <x:c r="D2288" s="4" t="str">
        <x:v>Brighton</x:v>
      </x:c>
      <x:c r="E2288" s="4" t="str">
        <x:v>Home</x:v>
      </x:c>
      <x:c r="F2288" s="28" t="n">
        <x:v>0</x:v>
      </x:c>
      <x:c r="G2288" s="28" t="n">
        <x:v>3</x:v>
      </x:c>
      <x:c r="H2288" s="28" t="n">
        <x:v>9</x:v>
      </x:c>
      <x:c r="I2288" s="28" t="n">
        <x:v>10</x:v>
      </x:c>
      <x:c r="J2288" s="28" t="n">
        <x:v>1</x:v>
      </x:c>
      <x:c r="K2288" s="28" t="n">
        <x:v>5</x:v>
      </x:c>
      <x:c r="L2288" s="28" t="n">
        <x:v>1</x:v>
      </x:c>
      <x:c r="M2288" s="28" t="n">
        <x:v>5</x:v>
      </x:c>
      <x:c r="N2288" s="28" t="n">
        <x:v>1</x:v>
      </x:c>
      <x:c r="O2288" s="28" t="n">
        <x:v>1</x:v>
      </x:c>
      <x:c r="P2288" s="28" t="n">
        <x:v>0</x:v>
      </x:c>
      <x:c r="Q2288" s="24" t="n">
        <x:f>IFERROR(J2288/H2288,0)</x:f>
        <x:v>0.1111111111111111</x:v>
      </x:c>
      <x:c r="R2288" s="24" t="n">
        <x:f>IFERROR(F2288/H2288,0)</x:f>
        <x:v>0</x:v>
      </x:c>
      <x:c r="S2288" s="24" t="n">
        <x:f>IFERROR(F2288/J2288,0)</x:f>
        <x:v>0</x:v>
      </x:c>
      <x:c r="T2288" s="28" t="n">
        <x:f>H2288-I2288</x:f>
        <x:v>-1</x:v>
      </x:c>
      <x:c r="U2288" s="24" t="n">
        <x:f>IFERROR(J2288/H2288,0)-IFERROR(K2288/I2288,0)</x:f>
        <x:v>-0.3888888888888889</x:v>
      </x:c>
      <x:c r="V2288" s="24" t="n">
        <x:f>IFERROR(F2288/J2288,0)-IFERROR(G2288/K2288,0)</x:f>
        <x:v>-0.6</x:v>
      </x:c>
      <x:c r="W2288" s="28" t="n">
        <x:f>L2288-M2288</x:f>
        <x:v>-4</x:v>
      </x:c>
      <x:c r="X2288" s="24" t="n">
        <x:f>IFERROR(K2288/I2288,0)</x:f>
        <x:v>0.5</x:v>
      </x:c>
      <x:c r="Y2288" s="24" t="n">
        <x:f>IFERROR(G2288/I2288,0)</x:f>
        <x:v>0.3</x:v>
      </x:c>
      <x:c r="Z2288" s="24" t="n">
        <x:f>IFERROR(G2288/K2288,0)</x:f>
        <x:v>0.6</x:v>
      </x:c>
      <x:c r="AA2288" s="24" t="n">
        <x:f>IFERROR(F2288/H2288,0)-IFERROR(G2288/I2288,0)</x:f>
        <x:v>-0.3</x:v>
      </x:c>
      <x:c r="AB2288" s="28" t="n">
        <x:f>J2288-K2288</x:f>
        <x:v>-4</x:v>
      </x:c>
      <x:c r="AC2288" s="32" t="n">
        <x:f>F2288-G2288</x:f>
        <x:v>-3</x:v>
      </x:c>
    </x:row>
    <x:row r="2289">
      <x:c r="A2289" s="4" t="str">
        <x:v>2024-25</x:v>
      </x:c>
      <x:c r="B2289" s="20" t="n">
        <x:v>45521</x:v>
      </x:c>
      <x:c r="C2289" s="4" t="str">
        <x:v>Ipswich</x:v>
      </x:c>
      <x:c r="D2289" s="4" t="str">
        <x:v>Liverpool</x:v>
      </x:c>
      <x:c r="E2289" s="4" t="str">
        <x:v>Home</x:v>
      </x:c>
      <x:c r="F2289" s="28" t="n">
        <x:v>0</x:v>
      </x:c>
      <x:c r="G2289" s="28" t="n">
        <x:v>2</x:v>
      </x:c>
      <x:c r="H2289" s="28" t="n">
        <x:v>7</x:v>
      </x:c>
      <x:c r="I2289" s="28" t="n">
        <x:v>18</x:v>
      </x:c>
      <x:c r="J2289" s="28" t="n">
        <x:v>2</x:v>
      </x:c>
      <x:c r="K2289" s="28" t="n">
        <x:v>5</x:v>
      </x:c>
      <x:c r="L2289" s="28" t="n">
        <x:v>2</x:v>
      </x:c>
      <x:c r="M2289" s="28" t="n">
        <x:v>10</x:v>
      </x:c>
      <x:c r="N2289" s="28" t="n">
        <x:v>3</x:v>
      </x:c>
      <x:c r="O2289" s="28" t="n">
        <x:v>0</x:v>
      </x:c>
      <x:c r="P2289" s="28" t="n">
        <x:v>0</x:v>
      </x:c>
      <x:c r="Q2289" s="24" t="n">
        <x:f>IFERROR(J2289/H2289,0)</x:f>
        <x:v>0.2857142857142857</x:v>
      </x:c>
      <x:c r="R2289" s="24" t="n">
        <x:f>IFERROR(F2289/H2289,0)</x:f>
        <x:v>0</x:v>
      </x:c>
      <x:c r="S2289" s="24" t="n">
        <x:f>IFERROR(F2289/J2289,0)</x:f>
        <x:v>0</x:v>
      </x:c>
      <x:c r="T2289" s="28" t="n">
        <x:f>H2289-I2289</x:f>
        <x:v>-11</x:v>
      </x:c>
      <x:c r="U2289" s="24" t="n">
        <x:f>IFERROR(J2289/H2289,0)-IFERROR(K2289/I2289,0)</x:f>
        <x:v>0.007936507936507908</x:v>
      </x:c>
      <x:c r="V2289" s="24" t="n">
        <x:f>IFERROR(F2289/J2289,0)-IFERROR(G2289/K2289,0)</x:f>
        <x:v>-0.4</x:v>
      </x:c>
      <x:c r="W2289" s="28" t="n">
        <x:f>L2289-M2289</x:f>
        <x:v>-8</x:v>
      </x:c>
      <x:c r="X2289" s="24" t="n">
        <x:f>IFERROR(K2289/I2289,0)</x:f>
        <x:v>0.2777777777777778</x:v>
      </x:c>
      <x:c r="Y2289" s="24" t="n">
        <x:f>IFERROR(G2289/I2289,0)</x:f>
        <x:v>0.1111111111111111</x:v>
      </x:c>
      <x:c r="Z2289" s="24" t="n">
        <x:f>IFERROR(G2289/K2289,0)</x:f>
        <x:v>0.4</x:v>
      </x:c>
      <x:c r="AA2289" s="24" t="n">
        <x:f>IFERROR(F2289/H2289,0)-IFERROR(G2289/I2289,0)</x:f>
        <x:v>-0.1111111111111111</x:v>
      </x:c>
      <x:c r="AB2289" s="28" t="n">
        <x:f>J2289-K2289</x:f>
        <x:v>-3</x:v>
      </x:c>
      <x:c r="AC2289" s="32" t="n">
        <x:f>F2289-G2289</x:f>
        <x:v>-2</x:v>
      </x:c>
    </x:row>
    <x:row r="2290">
      <x:c r="A2290" s="4" t="str">
        <x:v>2024-25</x:v>
      </x:c>
      <x:c r="B2290" s="20" t="n">
        <x:v>45521</x:v>
      </x:c>
      <x:c r="C2290" s="4" t="str">
        <x:v>Liverpool</x:v>
      </x:c>
      <x:c r="D2290" s="4" t="str">
        <x:v>Ipswich</x:v>
      </x:c>
      <x:c r="E2290" s="4" t="str">
        <x:v>Away</x:v>
      </x:c>
      <x:c r="F2290" s="28" t="n">
        <x:v>2</x:v>
      </x:c>
      <x:c r="G2290" s="28" t="n">
        <x:v>0</x:v>
      </x:c>
      <x:c r="H2290" s="28" t="n">
        <x:v>18</x:v>
      </x:c>
      <x:c r="I2290" s="28" t="n">
        <x:v>7</x:v>
      </x:c>
      <x:c r="J2290" s="28" t="n">
        <x:v>5</x:v>
      </x:c>
      <x:c r="K2290" s="28" t="n">
        <x:v>2</x:v>
      </x:c>
      <x:c r="L2290" s="28" t="n">
        <x:v>10</x:v>
      </x:c>
      <x:c r="M2290" s="28" t="n">
        <x:v>2</x:v>
      </x:c>
      <x:c r="N2290" s="28" t="n">
        <x:v>1</x:v>
      </x:c>
      <x:c r="O2290" s="28" t="n">
        <x:v>0</x:v>
      </x:c>
      <x:c r="P2290" s="28" t="n">
        <x:v>3</x:v>
      </x:c>
      <x:c r="Q2290" s="24" t="n">
        <x:f>IFERROR(J2290/H2290,0)</x:f>
        <x:v>0.2777777777777778</x:v>
      </x:c>
      <x:c r="R2290" s="24" t="n">
        <x:f>IFERROR(F2290/H2290,0)</x:f>
        <x:v>0.1111111111111111</x:v>
      </x:c>
      <x:c r="S2290" s="24" t="n">
        <x:f>IFERROR(F2290/J2290,0)</x:f>
        <x:v>0.4</x:v>
      </x:c>
      <x:c r="T2290" s="28" t="n">
        <x:f>H2290-I2290</x:f>
        <x:v>11</x:v>
      </x:c>
      <x:c r="U2290" s="24" t="n">
        <x:f>IFERROR(J2290/H2290,0)-IFERROR(K2290/I2290,0)</x:f>
        <x:v>-0.007936507936507908</x:v>
      </x:c>
      <x:c r="V2290" s="24" t="n">
        <x:f>IFERROR(F2290/J2290,0)-IFERROR(G2290/K2290,0)</x:f>
        <x:v>0.4</x:v>
      </x:c>
      <x:c r="W2290" s="28" t="n">
        <x:f>L2290-M2290</x:f>
        <x:v>8</x:v>
      </x:c>
      <x:c r="X2290" s="24" t="n">
        <x:f>IFERROR(K2290/I2290,0)</x:f>
        <x:v>0.2857142857142857</x:v>
      </x:c>
      <x:c r="Y2290" s="24" t="n">
        <x:f>IFERROR(G2290/I2290,0)</x:f>
        <x:v>0</x:v>
      </x:c>
      <x:c r="Z2290" s="24" t="n">
        <x:f>IFERROR(G2290/K2290,0)</x:f>
        <x:v>0</x:v>
      </x:c>
      <x:c r="AA2290" s="24" t="n">
        <x:f>IFERROR(F2290/H2290,0)-IFERROR(G2290/I2290,0)</x:f>
        <x:v>0.1111111111111111</x:v>
      </x:c>
      <x:c r="AB2290" s="28" t="n">
        <x:f>J2290-K2290</x:f>
        <x:v>3</x:v>
      </x:c>
      <x:c r="AC2290" s="32" t="n">
        <x:f>F2290-G2290</x:f>
        <x:v>2</x:v>
      </x:c>
    </x:row>
    <x:row r="2291">
      <x:c r="A2291" s="4" t="str">
        <x:v>2024-25</x:v>
      </x:c>
      <x:c r="B2291" s="20" t="n">
        <x:v>45521</x:v>
      </x:c>
      <x:c r="C2291" s="4" t="str">
        <x:v>Newcastle</x:v>
      </x:c>
      <x:c r="D2291" s="4" t="str">
        <x:v>Southampton</x:v>
      </x:c>
      <x:c r="E2291" s="4" t="str">
        <x:v>Home</x:v>
      </x:c>
      <x:c r="F2291" s="28" t="n">
        <x:v>1</x:v>
      </x:c>
      <x:c r="G2291" s="28" t="n">
        <x:v>0</x:v>
      </x:c>
      <x:c r="H2291" s="28" t="n">
        <x:v>3</x:v>
      </x:c>
      <x:c r="I2291" s="28" t="n">
        <x:v>19</x:v>
      </x:c>
      <x:c r="J2291" s="28" t="n">
        <x:v>1</x:v>
      </x:c>
      <x:c r="K2291" s="28" t="n">
        <x:v>4</x:v>
      </x:c>
      <x:c r="L2291" s="28" t="n">
        <x:v>3</x:v>
      </x:c>
      <x:c r="M2291" s="28" t="n">
        <x:v>12</x:v>
      </x:c>
      <x:c r="N2291" s="28" t="n">
        <x:v>2</x:v>
      </x:c>
      <x:c r="O2291" s="28" t="n">
        <x:v>1</x:v>
      </x:c>
      <x:c r="P2291" s="28" t="n">
        <x:v>3</x:v>
      </x:c>
      <x:c r="Q2291" s="24" t="n">
        <x:f>IFERROR(J2291/H2291,0)</x:f>
        <x:v>0.3333333333333333</x:v>
      </x:c>
      <x:c r="R2291" s="24" t="n">
        <x:f>IFERROR(F2291/H2291,0)</x:f>
        <x:v>0.3333333333333333</x:v>
      </x:c>
      <x:c r="S2291" s="24" t="n">
        <x:f>IFERROR(F2291/J2291,0)</x:f>
        <x:v>1</x:v>
      </x:c>
      <x:c r="T2291" s="28" t="n">
        <x:f>H2291-I2291</x:f>
        <x:v>-16</x:v>
      </x:c>
      <x:c r="U2291" s="24" t="n">
        <x:f>IFERROR(J2291/H2291,0)-IFERROR(K2291/I2291,0)</x:f>
        <x:v>0.12280701754385964</x:v>
      </x:c>
      <x:c r="V2291" s="24" t="n">
        <x:f>IFERROR(F2291/J2291,0)-IFERROR(G2291/K2291,0)</x:f>
        <x:v>1</x:v>
      </x:c>
      <x:c r="W2291" s="28" t="n">
        <x:f>L2291-M2291</x:f>
        <x:v>-9</x:v>
      </x:c>
      <x:c r="X2291" s="24" t="n">
        <x:f>IFERROR(K2291/I2291,0)</x:f>
        <x:v>0.21052631578947367</x:v>
      </x:c>
      <x:c r="Y2291" s="24" t="n">
        <x:f>IFERROR(G2291/I2291,0)</x:f>
        <x:v>0</x:v>
      </x:c>
      <x:c r="Z2291" s="24" t="n">
        <x:f>IFERROR(G2291/K2291,0)</x:f>
        <x:v>0</x:v>
      </x:c>
      <x:c r="AA2291" s="24" t="n">
        <x:f>IFERROR(F2291/H2291,0)-IFERROR(G2291/I2291,0)</x:f>
        <x:v>0.3333333333333333</x:v>
      </x:c>
      <x:c r="AB2291" s="28" t="n">
        <x:f>J2291-K2291</x:f>
        <x:v>-3</x:v>
      </x:c>
      <x:c r="AC2291" s="32" t="n">
        <x:f>F2291-G2291</x:f>
        <x:v>1</x:v>
      </x:c>
    </x:row>
    <x:row r="2292">
      <x:c r="A2292" s="4" t="str">
        <x:v>2024-25</x:v>
      </x:c>
      <x:c r="B2292" s="20" t="n">
        <x:v>45521</x:v>
      </x:c>
      <x:c r="C2292" s="4" t="str">
        <x:v>Nott'm Forest</x:v>
      </x:c>
      <x:c r="D2292" s="4" t="str">
        <x:v>Bournemouth</x:v>
      </x:c>
      <x:c r="E2292" s="4" t="str">
        <x:v>Home</x:v>
      </x:c>
      <x:c r="F2292" s="28" t="n">
        <x:v>1</x:v>
      </x:c>
      <x:c r="G2292" s="28" t="n">
        <x:v>1</x:v>
      </x:c>
      <x:c r="H2292" s="28" t="n">
        <x:v>14</x:v>
      </x:c>
      <x:c r="I2292" s="28" t="n">
        <x:v>13</x:v>
      </x:c>
      <x:c r="J2292" s="28" t="n">
        <x:v>8</x:v>
      </x:c>
      <x:c r="K2292" s="28" t="n">
        <x:v>4</x:v>
      </x:c>
      <x:c r="L2292" s="28" t="n">
        <x:v>2</x:v>
      </x:c>
      <x:c r="M2292" s="28" t="n">
        <x:v>6</x:v>
      </x:c>
      <x:c r="N2292" s="28" t="n">
        <x:v>1</x:v>
      </x:c>
      <x:c r="O2292" s="28" t="n">
        <x:v>0</x:v>
      </x:c>
      <x:c r="P2292" s="28" t="n">
        <x:v>1</x:v>
      </x:c>
      <x:c r="Q2292" s="24" t="n">
        <x:f>IFERROR(J2292/H2292,0)</x:f>
        <x:v>0.5714285714285714</x:v>
      </x:c>
      <x:c r="R2292" s="24" t="n">
        <x:f>IFERROR(F2292/H2292,0)</x:f>
        <x:v>0.07142857142857142</x:v>
      </x:c>
      <x:c r="S2292" s="24" t="n">
        <x:f>IFERROR(F2292/J2292,0)</x:f>
        <x:v>0.125</x:v>
      </x:c>
      <x:c r="T2292" s="28" t="n">
        <x:f>H2292-I2292</x:f>
        <x:v>1</x:v>
      </x:c>
      <x:c r="U2292" s="24" t="n">
        <x:f>IFERROR(J2292/H2292,0)-IFERROR(K2292/I2292,0)</x:f>
        <x:v>0.2637362637362637</x:v>
      </x:c>
      <x:c r="V2292" s="24" t="n">
        <x:f>IFERROR(F2292/J2292,0)-IFERROR(G2292/K2292,0)</x:f>
        <x:v>-0.125</x:v>
      </x:c>
      <x:c r="W2292" s="28" t="n">
        <x:f>L2292-M2292</x:f>
        <x:v>-4</x:v>
      </x:c>
      <x:c r="X2292" s="24" t="n">
        <x:f>IFERROR(K2292/I2292,0)</x:f>
        <x:v>0.3076923076923077</x:v>
      </x:c>
      <x:c r="Y2292" s="24" t="n">
        <x:f>IFERROR(G2292/I2292,0)</x:f>
        <x:v>0.07692307692307693</x:v>
      </x:c>
      <x:c r="Z2292" s="24" t="n">
        <x:f>IFERROR(G2292/K2292,0)</x:f>
        <x:v>0.25</x:v>
      </x:c>
      <x:c r="AA2292" s="24" t="n">
        <x:f>IFERROR(F2292/H2292,0)-IFERROR(G2292/I2292,0)</x:f>
        <x:v>-0.005494505494505503</x:v>
      </x:c>
      <x:c r="AB2292" s="28" t="n">
        <x:f>J2292-K2292</x:f>
        <x:v>4</x:v>
      </x:c>
      <x:c r="AC2292" s="32" t="n">
        <x:f>F2292-G2292</x:f>
        <x:v>0</x:v>
      </x:c>
    </x:row>
    <x:row r="2293">
      <x:c r="A2293" s="4" t="str">
        <x:v>2024-25</x:v>
      </x:c>
      <x:c r="B2293" s="20" t="n">
        <x:v>45521</x:v>
      </x:c>
      <x:c r="C2293" s="4" t="str">
        <x:v>Southampton</x:v>
      </x:c>
      <x:c r="D2293" s="4" t="str">
        <x:v>Newcastle</x:v>
      </x:c>
      <x:c r="E2293" s="4" t="str">
        <x:v>Away</x:v>
      </x:c>
      <x:c r="F2293" s="28" t="n">
        <x:v>0</x:v>
      </x:c>
      <x:c r="G2293" s="28" t="n">
        <x:v>1</x:v>
      </x:c>
      <x:c r="H2293" s="28" t="n">
        <x:v>19</x:v>
      </x:c>
      <x:c r="I2293" s="28" t="n">
        <x:v>3</x:v>
      </x:c>
      <x:c r="J2293" s="28" t="n">
        <x:v>4</x:v>
      </x:c>
      <x:c r="K2293" s="28" t="n">
        <x:v>1</x:v>
      </x:c>
      <x:c r="L2293" s="28" t="n">
        <x:v>12</x:v>
      </x:c>
      <x:c r="M2293" s="28" t="n">
        <x:v>3</x:v>
      </x:c>
      <x:c r="N2293" s="28" t="n">
        <x:v>4</x:v>
      </x:c>
      <x:c r="O2293" s="28" t="n">
        <x:v>0</x:v>
      </x:c>
      <x:c r="P2293" s="28" t="n">
        <x:v>0</x:v>
      </x:c>
      <x:c r="Q2293" s="24" t="n">
        <x:f>IFERROR(J2293/H2293,0)</x:f>
        <x:v>0.21052631578947367</x:v>
      </x:c>
      <x:c r="R2293" s="24" t="n">
        <x:f>IFERROR(F2293/H2293,0)</x:f>
        <x:v>0</x:v>
      </x:c>
      <x:c r="S2293" s="24" t="n">
        <x:f>IFERROR(F2293/J2293,0)</x:f>
        <x:v>0</x:v>
      </x:c>
      <x:c r="T2293" s="28" t="n">
        <x:f>H2293-I2293</x:f>
        <x:v>16</x:v>
      </x:c>
      <x:c r="U2293" s="24" t="n">
        <x:f>IFERROR(J2293/H2293,0)-IFERROR(K2293/I2293,0)</x:f>
        <x:v>-0.12280701754385964</x:v>
      </x:c>
      <x:c r="V2293" s="24" t="n">
        <x:f>IFERROR(F2293/J2293,0)-IFERROR(G2293/K2293,0)</x:f>
        <x:v>-1</x:v>
      </x:c>
      <x:c r="W2293" s="28" t="n">
        <x:f>L2293-M2293</x:f>
        <x:v>9</x:v>
      </x:c>
      <x:c r="X2293" s="24" t="n">
        <x:f>IFERROR(K2293/I2293,0)</x:f>
        <x:v>0.3333333333333333</x:v>
      </x:c>
      <x:c r="Y2293" s="24" t="n">
        <x:f>IFERROR(G2293/I2293,0)</x:f>
        <x:v>0.3333333333333333</x:v>
      </x:c>
      <x:c r="Z2293" s="24" t="n">
        <x:f>IFERROR(G2293/K2293,0)</x:f>
        <x:v>1</x:v>
      </x:c>
      <x:c r="AA2293" s="24" t="n">
        <x:f>IFERROR(F2293/H2293,0)-IFERROR(G2293/I2293,0)</x:f>
        <x:v>-0.3333333333333333</x:v>
      </x:c>
      <x:c r="AB2293" s="28" t="n">
        <x:f>J2293-K2293</x:f>
        <x:v>3</x:v>
      </x:c>
      <x:c r="AC2293" s="32" t="n">
        <x:f>F2293-G2293</x:f>
        <x:v>-1</x:v>
      </x:c>
    </x:row>
    <x:row r="2294">
      <x:c r="A2294" s="4" t="str">
        <x:v>2024-25</x:v>
      </x:c>
      <x:c r="B2294" s="20" t="n">
        <x:v>45521</x:v>
      </x:c>
      <x:c r="C2294" s="4" t="str">
        <x:v>West Ham</x:v>
      </x:c>
      <x:c r="D2294" s="4" t="str">
        <x:v>Aston Villa</x:v>
      </x:c>
      <x:c r="E2294" s="4" t="str">
        <x:v>Home</x:v>
      </x:c>
      <x:c r="F2294" s="28" t="n">
        <x:v>1</x:v>
      </x:c>
      <x:c r="G2294" s="28" t="n">
        <x:v>2</x:v>
      </x:c>
      <x:c r="H2294" s="28" t="n">
        <x:v>14</x:v>
      </x:c>
      <x:c r="I2294" s="28" t="n">
        <x:v>15</x:v>
      </x:c>
      <x:c r="J2294" s="28" t="n">
        <x:v>3</x:v>
      </x:c>
      <x:c r="K2294" s="28" t="n">
        <x:v>3</x:v>
      </x:c>
      <x:c r="L2294" s="28" t="n">
        <x:v>5</x:v>
      </x:c>
      <x:c r="M2294" s="28" t="n">
        <x:v>3</x:v>
      </x:c>
      <x:c r="N2294" s="28" t="n">
        <x:v>1</x:v>
      </x:c>
      <x:c r="O2294" s="28" t="n">
        <x:v>0</x:v>
      </x:c>
      <x:c r="P2294" s="28" t="n">
        <x:v>0</x:v>
      </x:c>
      <x:c r="Q2294" s="24" t="n">
        <x:f>IFERROR(J2294/H2294,0)</x:f>
        <x:v>0.21428571428571427</x:v>
      </x:c>
      <x:c r="R2294" s="24" t="n">
        <x:f>IFERROR(F2294/H2294,0)</x:f>
        <x:v>0.07142857142857142</x:v>
      </x:c>
      <x:c r="S2294" s="24" t="n">
        <x:f>IFERROR(F2294/J2294,0)</x:f>
        <x:v>0.3333333333333333</x:v>
      </x:c>
      <x:c r="T2294" s="28" t="n">
        <x:f>H2294-I2294</x:f>
        <x:v>-1</x:v>
      </x:c>
      <x:c r="U2294" s="24" t="n">
        <x:f>IFERROR(J2294/H2294,0)-IFERROR(K2294/I2294,0)</x:f>
        <x:v>0.014285714285714263</x:v>
      </x:c>
      <x:c r="V2294" s="24" t="n">
        <x:f>IFERROR(F2294/J2294,0)-IFERROR(G2294/K2294,0)</x:f>
        <x:v>-0.3333333333333333</x:v>
      </x:c>
      <x:c r="W2294" s="28" t="n">
        <x:f>L2294-M2294</x:f>
        <x:v>2</x:v>
      </x:c>
      <x:c r="X2294" s="24" t="n">
        <x:f>IFERROR(K2294/I2294,0)</x:f>
        <x:v>0.2</x:v>
      </x:c>
      <x:c r="Y2294" s="24" t="n">
        <x:f>IFERROR(G2294/I2294,0)</x:f>
        <x:v>0.13333333333333333</x:v>
      </x:c>
      <x:c r="Z2294" s="24" t="n">
        <x:f>IFERROR(G2294/K2294,0)</x:f>
        <x:v>0.6666666666666666</x:v>
      </x:c>
      <x:c r="AA2294" s="24" t="n">
        <x:f>IFERROR(F2294/H2294,0)-IFERROR(G2294/I2294,0)</x:f>
        <x:v>-0.06190476190476191</x:v>
      </x:c>
      <x:c r="AB2294" s="28" t="n">
        <x:f>J2294-K2294</x:f>
        <x:v>0</x:v>
      </x:c>
      <x:c r="AC2294" s="32" t="n">
        <x:f>F2294-G2294</x:f>
        <x:v>-1</x:v>
      </x:c>
    </x:row>
    <x:row r="2295">
      <x:c r="A2295" s="4" t="str">
        <x:v>2024-25</x:v>
      </x:c>
      <x:c r="B2295" s="20" t="n">
        <x:v>45521</x:v>
      </x:c>
      <x:c r="C2295" s="4" t="str">
        <x:v>Wolves</x:v>
      </x:c>
      <x:c r="D2295" s="4" t="str">
        <x:v>Arsenal</x:v>
      </x:c>
      <x:c r="E2295" s="4" t="str">
        <x:v>Away</x:v>
      </x:c>
      <x:c r="F2295" s="28" t="n">
        <x:v>0</x:v>
      </x:c>
      <x:c r="G2295" s="28" t="n">
        <x:v>2</x:v>
      </x:c>
      <x:c r="H2295" s="28" t="n">
        <x:v>9</x:v>
      </x:c>
      <x:c r="I2295" s="28" t="n">
        <x:v>18</x:v>
      </x:c>
      <x:c r="J2295" s="28" t="n">
        <x:v>3</x:v>
      </x:c>
      <x:c r="K2295" s="28" t="n">
        <x:v>6</x:v>
      </x:c>
      <x:c r="L2295" s="28" t="n">
        <x:v>2</x:v>
      </x:c>
      <x:c r="M2295" s="28" t="n">
        <x:v>8</x:v>
      </x:c>
      <x:c r="N2295" s="28" t="n">
        <x:v>2</x:v>
      </x:c>
      <x:c r="O2295" s="28" t="n">
        <x:v>0</x:v>
      </x:c>
      <x:c r="P2295" s="28" t="n">
        <x:v>0</x:v>
      </x:c>
      <x:c r="Q2295" s="24" t="n">
        <x:f>IFERROR(J2295/H2295,0)</x:f>
        <x:v>0.3333333333333333</x:v>
      </x:c>
      <x:c r="R2295" s="24" t="n">
        <x:f>IFERROR(F2295/H2295,0)</x:f>
        <x:v>0</x:v>
      </x:c>
      <x:c r="S2295" s="24" t="n">
        <x:f>IFERROR(F2295/J2295,0)</x:f>
        <x:v>0</x:v>
      </x:c>
      <x:c r="T2295" s="28" t="n">
        <x:f>H2295-I2295</x:f>
        <x:v>-9</x:v>
      </x:c>
      <x:c r="U2295" s="24" t="n">
        <x:f>IFERROR(J2295/H2295,0)-IFERROR(K2295/I2295,0)</x:f>
        <x:v>0</x:v>
      </x:c>
      <x:c r="V2295" s="24" t="n">
        <x:f>IFERROR(F2295/J2295,0)-IFERROR(G2295/K2295,0)</x:f>
        <x:v>-0.3333333333333333</x:v>
      </x:c>
      <x:c r="W2295" s="28" t="n">
        <x:f>L2295-M2295</x:f>
        <x:v>-6</x:v>
      </x:c>
      <x:c r="X2295" s="24" t="n">
        <x:f>IFERROR(K2295/I2295,0)</x:f>
        <x:v>0.3333333333333333</x:v>
      </x:c>
      <x:c r="Y2295" s="24" t="n">
        <x:f>IFERROR(G2295/I2295,0)</x:f>
        <x:v>0.1111111111111111</x:v>
      </x:c>
      <x:c r="Z2295" s="24" t="n">
        <x:f>IFERROR(G2295/K2295,0)</x:f>
        <x:v>0.3333333333333333</x:v>
      </x:c>
      <x:c r="AA2295" s="24" t="n">
        <x:f>IFERROR(F2295/H2295,0)-IFERROR(G2295/I2295,0)</x:f>
        <x:v>-0.1111111111111111</x:v>
      </x:c>
      <x:c r="AB2295" s="28" t="n">
        <x:f>J2295-K2295</x:f>
        <x:v>-3</x:v>
      </x:c>
      <x:c r="AC2295" s="32" t="n">
        <x:f>F2295-G2295</x:f>
        <x:v>-2</x:v>
      </x:c>
    </x:row>
    <x:row r="2296">
      <x:c r="A2296" s="4" t="str">
        <x:v>2024-25</x:v>
      </x:c>
      <x:c r="B2296" s="20" t="n">
        <x:v>45522</x:v>
      </x:c>
      <x:c r="C2296" s="4" t="str">
        <x:v>Brentford</x:v>
      </x:c>
      <x:c r="D2296" s="4" t="str">
        <x:v>Crystal Palace</x:v>
      </x:c>
      <x:c r="E2296" s="4" t="str">
        <x:v>Home</x:v>
      </x:c>
      <x:c r="F2296" s="28" t="n">
        <x:v>2</x:v>
      </x:c>
      <x:c r="G2296" s="28" t="n">
        <x:v>1</x:v>
      </x:c>
      <x:c r="H2296" s="28" t="n">
        <x:v>9</x:v>
      </x:c>
      <x:c r="I2296" s="28" t="n">
        <x:v>14</x:v>
      </x:c>
      <x:c r="J2296" s="28" t="n">
        <x:v>5</x:v>
      </x:c>
      <x:c r="K2296" s="28" t="n">
        <x:v>6</x:v>
      </x:c>
      <x:c r="L2296" s="28" t="n">
        <x:v>4</x:v>
      </x:c>
      <x:c r="M2296" s="28" t="n">
        <x:v>7</x:v>
      </x:c>
      <x:c r="N2296" s="28" t="n">
        <x:v>1</x:v>
      </x:c>
      <x:c r="O2296" s="28" t="n">
        <x:v>0</x:v>
      </x:c>
      <x:c r="P2296" s="28" t="n">
        <x:v>3</x:v>
      </x:c>
      <x:c r="Q2296" s="24" t="n">
        <x:f>IFERROR(J2296/H2296,0)</x:f>
        <x:v>0.5555555555555556</x:v>
      </x:c>
      <x:c r="R2296" s="24" t="n">
        <x:f>IFERROR(F2296/H2296,0)</x:f>
        <x:v>0.2222222222222222</x:v>
      </x:c>
      <x:c r="S2296" s="24" t="n">
        <x:f>IFERROR(F2296/J2296,0)</x:f>
        <x:v>0.4</x:v>
      </x:c>
      <x:c r="T2296" s="28" t="n">
        <x:f>H2296-I2296</x:f>
        <x:v>-5</x:v>
      </x:c>
      <x:c r="U2296" s="24" t="n">
        <x:f>IFERROR(J2296/H2296,0)-IFERROR(K2296/I2296,0)</x:f>
        <x:v>0.12698412698412703</x:v>
      </x:c>
      <x:c r="V2296" s="24" t="n">
        <x:f>IFERROR(F2296/J2296,0)-IFERROR(G2296/K2296,0)</x:f>
        <x:v>0.23333333333333336</x:v>
      </x:c>
      <x:c r="W2296" s="28" t="n">
        <x:f>L2296-M2296</x:f>
        <x:v>-3</x:v>
      </x:c>
      <x:c r="X2296" s="24" t="n">
        <x:f>IFERROR(K2296/I2296,0)</x:f>
        <x:v>0.42857142857142855</x:v>
      </x:c>
      <x:c r="Y2296" s="24" t="n">
        <x:f>IFERROR(G2296/I2296,0)</x:f>
        <x:v>0.07142857142857142</x:v>
      </x:c>
      <x:c r="Z2296" s="24" t="n">
        <x:f>IFERROR(G2296/K2296,0)</x:f>
        <x:v>0.16666666666666666</x:v>
      </x:c>
      <x:c r="AA2296" s="24" t="n">
        <x:f>IFERROR(F2296/H2296,0)-IFERROR(G2296/I2296,0)</x:f>
        <x:v>0.15079365079365079</x:v>
      </x:c>
      <x:c r="AB2296" s="28" t="n">
        <x:f>J2296-K2296</x:f>
        <x:v>-1</x:v>
      </x:c>
      <x:c r="AC2296" s="32" t="n">
        <x:f>F2296-G2296</x:f>
        <x:v>1</x:v>
      </x:c>
    </x:row>
    <x:row r="2297">
      <x:c r="A2297" s="4" t="str">
        <x:v>2024-25</x:v>
      </x:c>
      <x:c r="B2297" s="20" t="n">
        <x:v>45522</x:v>
      </x:c>
      <x:c r="C2297" s="4" t="str">
        <x:v>Chelsea</x:v>
      </x:c>
      <x:c r="D2297" s="4" t="str">
        <x:v>Man City</x:v>
      </x:c>
      <x:c r="E2297" s="4" t="str">
        <x:v>Home</x:v>
      </x:c>
      <x:c r="F2297" s="28" t="n">
        <x:v>0</x:v>
      </x:c>
      <x:c r="G2297" s="28" t="n">
        <x:v>2</x:v>
      </x:c>
      <x:c r="H2297" s="28" t="n">
        <x:v>10</x:v>
      </x:c>
      <x:c r="I2297" s="28" t="n">
        <x:v>11</x:v>
      </x:c>
      <x:c r="J2297" s="28" t="n">
        <x:v>3</x:v>
      </x:c>
      <x:c r="K2297" s="28" t="n">
        <x:v>5</x:v>
      </x:c>
      <x:c r="L2297" s="28" t="n">
        <x:v>4</x:v>
      </x:c>
      <x:c r="M2297" s="28" t="n">
        <x:v>3</x:v>
      </x:c>
      <x:c r="N2297" s="28" t="n">
        <x:v>1</x:v>
      </x:c>
      <x:c r="O2297" s="28" t="n">
        <x:v>0</x:v>
      </x:c>
      <x:c r="P2297" s="28" t="n">
        <x:v>0</x:v>
      </x:c>
      <x:c r="Q2297" s="24" t="n">
        <x:f>IFERROR(J2297/H2297,0)</x:f>
        <x:v>0.3</x:v>
      </x:c>
      <x:c r="R2297" s="24" t="n">
        <x:f>IFERROR(F2297/H2297,0)</x:f>
        <x:v>0</x:v>
      </x:c>
      <x:c r="S2297" s="24" t="n">
        <x:f>IFERROR(F2297/J2297,0)</x:f>
        <x:v>0</x:v>
      </x:c>
      <x:c r="T2297" s="28" t="n">
        <x:f>H2297-I2297</x:f>
        <x:v>-1</x:v>
      </x:c>
      <x:c r="U2297" s="24" t="n">
        <x:f>IFERROR(J2297/H2297,0)-IFERROR(K2297/I2297,0)</x:f>
        <x:v>-0.15454545454545454</x:v>
      </x:c>
      <x:c r="V2297" s="24" t="n">
        <x:f>IFERROR(F2297/J2297,0)-IFERROR(G2297/K2297,0)</x:f>
        <x:v>-0.4</x:v>
      </x:c>
      <x:c r="W2297" s="28" t="n">
        <x:f>L2297-M2297</x:f>
        <x:v>1</x:v>
      </x:c>
      <x:c r="X2297" s="24" t="n">
        <x:f>IFERROR(K2297/I2297,0)</x:f>
        <x:v>0.45454545454545453</x:v>
      </x:c>
      <x:c r="Y2297" s="24" t="n">
        <x:f>IFERROR(G2297/I2297,0)</x:f>
        <x:v>0.18181818181818182</x:v>
      </x:c>
      <x:c r="Z2297" s="24" t="n">
        <x:f>IFERROR(G2297/K2297,0)</x:f>
        <x:v>0.4</x:v>
      </x:c>
      <x:c r="AA2297" s="24" t="n">
        <x:f>IFERROR(F2297/H2297,0)-IFERROR(G2297/I2297,0)</x:f>
        <x:v>-0.18181818181818182</x:v>
      </x:c>
      <x:c r="AB2297" s="28" t="n">
        <x:f>J2297-K2297</x:f>
        <x:v>-2</x:v>
      </x:c>
      <x:c r="AC2297" s="32" t="n">
        <x:f>F2297-G2297</x:f>
        <x:v>-2</x:v>
      </x:c>
    </x:row>
    <x:row r="2298">
      <x:c r="A2298" s="4" t="str">
        <x:v>2024-25</x:v>
      </x:c>
      <x:c r="B2298" s="20" t="n">
        <x:v>45522</x:v>
      </x:c>
      <x:c r="C2298" s="4" t="str">
        <x:v>Crystal Palace</x:v>
      </x:c>
      <x:c r="D2298" s="4" t="str">
        <x:v>Brentford</x:v>
      </x:c>
      <x:c r="E2298" s="4" t="str">
        <x:v>Away</x:v>
      </x:c>
      <x:c r="F2298" s="28" t="n">
        <x:v>1</x:v>
      </x:c>
      <x:c r="G2298" s="28" t="n">
        <x:v>2</x:v>
      </x:c>
      <x:c r="H2298" s="28" t="n">
        <x:v>14</x:v>
      </x:c>
      <x:c r="I2298" s="28" t="n">
        <x:v>9</x:v>
      </x:c>
      <x:c r="J2298" s="28" t="n">
        <x:v>6</x:v>
      </x:c>
      <x:c r="K2298" s="28" t="n">
        <x:v>5</x:v>
      </x:c>
      <x:c r="L2298" s="28" t="n">
        <x:v>7</x:v>
      </x:c>
      <x:c r="M2298" s="28" t="n">
        <x:v>4</x:v>
      </x:c>
      <x:c r="N2298" s="28" t="n">
        <x:v>5</x:v>
      </x:c>
      <x:c r="O2298" s="28" t="n">
        <x:v>0</x:v>
      </x:c>
      <x:c r="P2298" s="28" t="n">
        <x:v>0</x:v>
      </x:c>
      <x:c r="Q2298" s="24" t="n">
        <x:f>IFERROR(J2298/H2298,0)</x:f>
        <x:v>0.42857142857142855</x:v>
      </x:c>
      <x:c r="R2298" s="24" t="n">
        <x:f>IFERROR(F2298/H2298,0)</x:f>
        <x:v>0.07142857142857142</x:v>
      </x:c>
      <x:c r="S2298" s="24" t="n">
        <x:f>IFERROR(F2298/J2298,0)</x:f>
        <x:v>0.16666666666666666</x:v>
      </x:c>
      <x:c r="T2298" s="28" t="n">
        <x:f>H2298-I2298</x:f>
        <x:v>5</x:v>
      </x:c>
      <x:c r="U2298" s="24" t="n">
        <x:f>IFERROR(J2298/H2298,0)-IFERROR(K2298/I2298,0)</x:f>
        <x:v>-0.12698412698412703</x:v>
      </x:c>
      <x:c r="V2298" s="24" t="n">
        <x:f>IFERROR(F2298/J2298,0)-IFERROR(G2298/K2298,0)</x:f>
        <x:v>-0.23333333333333336</x:v>
      </x:c>
      <x:c r="W2298" s="28" t="n">
        <x:f>L2298-M2298</x:f>
        <x:v>3</x:v>
      </x:c>
      <x:c r="X2298" s="24" t="n">
        <x:f>IFERROR(K2298/I2298,0)</x:f>
        <x:v>0.5555555555555556</x:v>
      </x:c>
      <x:c r="Y2298" s="24" t="n">
        <x:f>IFERROR(G2298/I2298,0)</x:f>
        <x:v>0.2222222222222222</x:v>
      </x:c>
      <x:c r="Z2298" s="24" t="n">
        <x:f>IFERROR(G2298/K2298,0)</x:f>
        <x:v>0.4</x:v>
      </x:c>
      <x:c r="AA2298" s="24" t="n">
        <x:f>IFERROR(F2298/H2298,0)-IFERROR(G2298/I2298,0)</x:f>
        <x:v>-0.15079365079365079</x:v>
      </x:c>
      <x:c r="AB2298" s="28" t="n">
        <x:f>J2298-K2298</x:f>
        <x:v>1</x:v>
      </x:c>
      <x:c r="AC2298" s="32" t="n">
        <x:f>F2298-G2298</x:f>
        <x:v>-1</x:v>
      </x:c>
    </x:row>
    <x:row r="2299">
      <x:c r="A2299" s="4" t="str">
        <x:v>2024-25</x:v>
      </x:c>
      <x:c r="B2299" s="20" t="n">
        <x:v>45522</x:v>
      </x:c>
      <x:c r="C2299" s="4" t="str">
        <x:v>Man City</x:v>
      </x:c>
      <x:c r="D2299" s="4" t="str">
        <x:v>Chelsea</x:v>
      </x:c>
      <x:c r="E2299" s="4" t="str">
        <x:v>Away</x:v>
      </x:c>
      <x:c r="F2299" s="28" t="n">
        <x:v>2</x:v>
      </x:c>
      <x:c r="G2299" s="28" t="n">
        <x:v>0</x:v>
      </x:c>
      <x:c r="H2299" s="28" t="n">
        <x:v>11</x:v>
      </x:c>
      <x:c r="I2299" s="28" t="n">
        <x:v>10</x:v>
      </x:c>
      <x:c r="J2299" s="28" t="n">
        <x:v>5</x:v>
      </x:c>
      <x:c r="K2299" s="28" t="n">
        <x:v>3</x:v>
      </x:c>
      <x:c r="L2299" s="28" t="n">
        <x:v>3</x:v>
      </x:c>
      <x:c r="M2299" s="28" t="n">
        <x:v>4</x:v>
      </x:c>
      <x:c r="N2299" s="28" t="n">
        <x:v>1</x:v>
      </x:c>
      <x:c r="O2299" s="28" t="n">
        <x:v>0</x:v>
      </x:c>
      <x:c r="P2299" s="28" t="n">
        <x:v>3</x:v>
      </x:c>
      <x:c r="Q2299" s="24" t="n">
        <x:f>IFERROR(J2299/H2299,0)</x:f>
        <x:v>0.45454545454545453</x:v>
      </x:c>
      <x:c r="R2299" s="24" t="n">
        <x:f>IFERROR(F2299/H2299,0)</x:f>
        <x:v>0.18181818181818182</x:v>
      </x:c>
      <x:c r="S2299" s="24" t="n">
        <x:f>IFERROR(F2299/J2299,0)</x:f>
        <x:v>0.4</x:v>
      </x:c>
      <x:c r="T2299" s="28" t="n">
        <x:f>H2299-I2299</x:f>
        <x:v>1</x:v>
      </x:c>
      <x:c r="U2299" s="24" t="n">
        <x:f>IFERROR(J2299/H2299,0)-IFERROR(K2299/I2299,0)</x:f>
        <x:v>0.15454545454545454</x:v>
      </x:c>
      <x:c r="V2299" s="24" t="n">
        <x:f>IFERROR(F2299/J2299,0)-IFERROR(G2299/K2299,0)</x:f>
        <x:v>0.4</x:v>
      </x:c>
      <x:c r="W2299" s="28" t="n">
        <x:f>L2299-M2299</x:f>
        <x:v>-1</x:v>
      </x:c>
      <x:c r="X2299" s="24" t="n">
        <x:f>IFERROR(K2299/I2299,0)</x:f>
        <x:v>0.3</x:v>
      </x:c>
      <x:c r="Y2299" s="24" t="n">
        <x:f>IFERROR(G2299/I2299,0)</x:f>
        <x:v>0</x:v>
      </x:c>
      <x:c r="Z2299" s="24" t="n">
        <x:f>IFERROR(G2299/K2299,0)</x:f>
        <x:v>0</x:v>
      </x:c>
      <x:c r="AA2299" s="24" t="n">
        <x:f>IFERROR(F2299/H2299,0)-IFERROR(G2299/I2299,0)</x:f>
        <x:v>0.18181818181818182</x:v>
      </x:c>
      <x:c r="AB2299" s="28" t="n">
        <x:f>J2299-K2299</x:f>
        <x:v>2</x:v>
      </x:c>
      <x:c r="AC2299" s="32" t="n">
        <x:f>F2299-G2299</x:f>
        <x:v>2</x:v>
      </x:c>
    </x:row>
    <x:row r="2300">
      <x:c r="A2300" s="4" t="str">
        <x:v>2024-25</x:v>
      </x:c>
      <x:c r="B2300" s="20" t="n">
        <x:v>45523</x:v>
      </x:c>
      <x:c r="C2300" s="4" t="str">
        <x:v>Leicester</x:v>
      </x:c>
      <x:c r="D2300" s="4" t="str">
        <x:v>Tottenham</x:v>
      </x:c>
      <x:c r="E2300" s="4" t="str">
        <x:v>Home</x:v>
      </x:c>
      <x:c r="F2300" s="28" t="n">
        <x:v>1</x:v>
      </x:c>
      <x:c r="G2300" s="28" t="n">
        <x:v>1</x:v>
      </x:c>
      <x:c r="H2300" s="28" t="n">
        <x:v>7</x:v>
      </x:c>
      <x:c r="I2300" s="28" t="n">
        <x:v>15</x:v>
      </x:c>
      <x:c r="J2300" s="28" t="n">
        <x:v>3</x:v>
      </x:c>
      <x:c r="K2300" s="28" t="n">
        <x:v>7</x:v>
      </x:c>
      <x:c r="L2300" s="28" t="n">
        <x:v>2</x:v>
      </x:c>
      <x:c r="M2300" s="28" t="n">
        <x:v>13</x:v>
      </x:c>
      <x:c r="N2300" s="28" t="n">
        <x:v>1</x:v>
      </x:c>
      <x:c r="O2300" s="28" t="n">
        <x:v>0</x:v>
      </x:c>
      <x:c r="P2300" s="28" t="n">
        <x:v>1</x:v>
      </x:c>
      <x:c r="Q2300" s="24" t="n">
        <x:f>IFERROR(J2300/H2300,0)</x:f>
        <x:v>0.42857142857142855</x:v>
      </x:c>
      <x:c r="R2300" s="24" t="n">
        <x:f>IFERROR(F2300/H2300,0)</x:f>
        <x:v>0.14285714285714285</x:v>
      </x:c>
      <x:c r="S2300" s="24" t="n">
        <x:f>IFERROR(F2300/J2300,0)</x:f>
        <x:v>0.3333333333333333</x:v>
      </x:c>
      <x:c r="T2300" s="28" t="n">
        <x:f>H2300-I2300</x:f>
        <x:v>-8</x:v>
      </x:c>
      <x:c r="U2300" s="24" t="n">
        <x:f>IFERROR(J2300/H2300,0)-IFERROR(K2300/I2300,0)</x:f>
        <x:v>-0.038095238095238126</x:v>
      </x:c>
      <x:c r="V2300" s="24" t="n">
        <x:f>IFERROR(F2300/J2300,0)-IFERROR(G2300/K2300,0)</x:f>
        <x:v>0.19047619047619047</x:v>
      </x:c>
      <x:c r="W2300" s="28" t="n">
        <x:f>L2300-M2300</x:f>
        <x:v>-11</x:v>
      </x:c>
      <x:c r="X2300" s="24" t="n">
        <x:f>IFERROR(K2300/I2300,0)</x:f>
        <x:v>0.4666666666666667</x:v>
      </x:c>
      <x:c r="Y2300" s="24" t="n">
        <x:f>IFERROR(G2300/I2300,0)</x:f>
        <x:v>0.06666666666666667</x:v>
      </x:c>
      <x:c r="Z2300" s="24" t="n">
        <x:f>IFERROR(G2300/K2300,0)</x:f>
        <x:v>0.14285714285714285</x:v>
      </x:c>
      <x:c r="AA2300" s="24" t="n">
        <x:f>IFERROR(F2300/H2300,0)-IFERROR(G2300/I2300,0)</x:f>
        <x:v>0.07619047619047618</x:v>
      </x:c>
      <x:c r="AB2300" s="28" t="n">
        <x:f>J2300-K2300</x:f>
        <x:v>-4</x:v>
      </x:c>
      <x:c r="AC2300" s="32" t="n">
        <x:f>F2300-G2300</x:f>
        <x:v>0</x:v>
      </x:c>
    </x:row>
    <x:row r="2301">
      <x:c r="A2301" s="4" t="str">
        <x:v>2024-25</x:v>
      </x:c>
      <x:c r="B2301" s="20" t="n">
        <x:v>45523</x:v>
      </x:c>
      <x:c r="C2301" s="4" t="str">
        <x:v>Tottenham</x:v>
      </x:c>
      <x:c r="D2301" s="4" t="str">
        <x:v>Leicester</x:v>
      </x:c>
      <x:c r="E2301" s="4" t="str">
        <x:v>Away</x:v>
      </x:c>
      <x:c r="F2301" s="28" t="n">
        <x:v>1</x:v>
      </x:c>
      <x:c r="G2301" s="28" t="n">
        <x:v>1</x:v>
      </x:c>
      <x:c r="H2301" s="28" t="n">
        <x:v>15</x:v>
      </x:c>
      <x:c r="I2301" s="28" t="n">
        <x:v>7</x:v>
      </x:c>
      <x:c r="J2301" s="28" t="n">
        <x:v>7</x:v>
      </x:c>
      <x:c r="K2301" s="28" t="n">
        <x:v>3</x:v>
      </x:c>
      <x:c r="L2301" s="28" t="n">
        <x:v>13</x:v>
      </x:c>
      <x:c r="M2301" s="28" t="n">
        <x:v>2</x:v>
      </x:c>
      <x:c r="N2301" s="28" t="n">
        <x:v>1</x:v>
      </x:c>
      <x:c r="O2301" s="28" t="n">
        <x:v>0</x:v>
      </x:c>
      <x:c r="P2301" s="28" t="n">
        <x:v>1</x:v>
      </x:c>
      <x:c r="Q2301" s="24" t="n">
        <x:f>IFERROR(J2301/H2301,0)</x:f>
        <x:v>0.4666666666666667</x:v>
      </x:c>
      <x:c r="R2301" s="24" t="n">
        <x:f>IFERROR(F2301/H2301,0)</x:f>
        <x:v>0.06666666666666667</x:v>
      </x:c>
      <x:c r="S2301" s="24" t="n">
        <x:f>IFERROR(F2301/J2301,0)</x:f>
        <x:v>0.14285714285714285</x:v>
      </x:c>
      <x:c r="T2301" s="28" t="n">
        <x:f>H2301-I2301</x:f>
        <x:v>8</x:v>
      </x:c>
      <x:c r="U2301" s="24" t="n">
        <x:f>IFERROR(J2301/H2301,0)-IFERROR(K2301/I2301,0)</x:f>
        <x:v>0.038095238095238126</x:v>
      </x:c>
      <x:c r="V2301" s="24" t="n">
        <x:f>IFERROR(F2301/J2301,0)-IFERROR(G2301/K2301,0)</x:f>
        <x:v>-0.19047619047619047</x:v>
      </x:c>
      <x:c r="W2301" s="28" t="n">
        <x:f>L2301-M2301</x:f>
        <x:v>11</x:v>
      </x:c>
      <x:c r="X2301" s="24" t="n">
        <x:f>IFERROR(K2301/I2301,0)</x:f>
        <x:v>0.42857142857142855</x:v>
      </x:c>
      <x:c r="Y2301" s="24" t="n">
        <x:f>IFERROR(G2301/I2301,0)</x:f>
        <x:v>0.14285714285714285</x:v>
      </x:c>
      <x:c r="Z2301" s="24" t="n">
        <x:f>IFERROR(G2301/K2301,0)</x:f>
        <x:v>0.3333333333333333</x:v>
      </x:c>
      <x:c r="AA2301" s="24" t="n">
        <x:f>IFERROR(F2301/H2301,0)-IFERROR(G2301/I2301,0)</x:f>
        <x:v>-0.07619047619047618</x:v>
      </x:c>
      <x:c r="AB2301" s="28" t="n">
        <x:f>J2301-K2301</x:f>
        <x:v>4</x:v>
      </x:c>
      <x:c r="AC2301" s="32" t="n">
        <x:f>F2301-G2301</x:f>
        <x:v>0</x:v>
      </x:c>
    </x:row>
    <x:row r="2302">
      <x:c r="A2302" s="4" t="str">
        <x:v>2024-25</x:v>
      </x:c>
      <x:c r="B2302" s="20" t="n">
        <x:v>45528</x:v>
      </x:c>
      <x:c r="C2302" s="4" t="str">
        <x:v>Arsenal</x:v>
      </x:c>
      <x:c r="D2302" s="4" t="str">
        <x:v>Aston Villa</x:v>
      </x:c>
      <x:c r="E2302" s="4" t="str">
        <x:v>Away</x:v>
      </x:c>
      <x:c r="F2302" s="28" t="n">
        <x:v>2</x:v>
      </x:c>
      <x:c r="G2302" s="28" t="n">
        <x:v>0</x:v>
      </x:c>
      <x:c r="H2302" s="28" t="n">
        <x:v>9</x:v>
      </x:c>
      <x:c r="I2302" s="28" t="n">
        <x:v>11</x:v>
      </x:c>
      <x:c r="J2302" s="28" t="n">
        <x:v>4</x:v>
      </x:c>
      <x:c r="K2302" s="28" t="n">
        <x:v>3</x:v>
      </x:c>
      <x:c r="L2302" s="28" t="n">
        <x:v>1</x:v>
      </x:c>
      <x:c r="M2302" s="28" t="n">
        <x:v>4</x:v>
      </x:c>
      <x:c r="N2302" s="28" t="n">
        <x:v>3</x:v>
      </x:c>
      <x:c r="O2302" s="28" t="n">
        <x:v>0</x:v>
      </x:c>
      <x:c r="P2302" s="28" t="n">
        <x:v>3</x:v>
      </x:c>
      <x:c r="Q2302" s="24" t="n">
        <x:f>IFERROR(J2302/H2302,0)</x:f>
        <x:v>0.4444444444444444</x:v>
      </x:c>
      <x:c r="R2302" s="24" t="n">
        <x:f>IFERROR(F2302/H2302,0)</x:f>
        <x:v>0.2222222222222222</x:v>
      </x:c>
      <x:c r="S2302" s="24" t="n">
        <x:f>IFERROR(F2302/J2302,0)</x:f>
        <x:v>0.5</x:v>
      </x:c>
      <x:c r="T2302" s="28" t="n">
        <x:f>H2302-I2302</x:f>
        <x:v>-2</x:v>
      </x:c>
      <x:c r="U2302" s="24" t="n">
        <x:f>IFERROR(J2302/H2302,0)-IFERROR(K2302/I2302,0)</x:f>
        <x:v>0.1717171717171717</x:v>
      </x:c>
      <x:c r="V2302" s="24" t="n">
        <x:f>IFERROR(F2302/J2302,0)-IFERROR(G2302/K2302,0)</x:f>
        <x:v>0.5</x:v>
      </x:c>
      <x:c r="W2302" s="28" t="n">
        <x:f>L2302-M2302</x:f>
        <x:v>-3</x:v>
      </x:c>
      <x:c r="X2302" s="24" t="n">
        <x:f>IFERROR(K2302/I2302,0)</x:f>
        <x:v>0.2727272727272727</x:v>
      </x:c>
      <x:c r="Y2302" s="24" t="n">
        <x:f>IFERROR(G2302/I2302,0)</x:f>
        <x:v>0</x:v>
      </x:c>
      <x:c r="Z2302" s="24" t="n">
        <x:f>IFERROR(G2302/K2302,0)</x:f>
        <x:v>0</x:v>
      </x:c>
      <x:c r="AA2302" s="24" t="n">
        <x:f>IFERROR(F2302/H2302,0)-IFERROR(G2302/I2302,0)</x:f>
        <x:v>0.2222222222222222</x:v>
      </x:c>
      <x:c r="AB2302" s="28" t="n">
        <x:f>J2302-K2302</x:f>
        <x:v>1</x:v>
      </x:c>
      <x:c r="AC2302" s="32" t="n">
        <x:f>F2302-G2302</x:f>
        <x:v>2</x:v>
      </x:c>
    </x:row>
    <x:row r="2303">
      <x:c r="A2303" s="4" t="str">
        <x:v>2024-25</x:v>
      </x:c>
      <x:c r="B2303" s="20" t="n">
        <x:v>45528</x:v>
      </x:c>
      <x:c r="C2303" s="4" t="str">
        <x:v>Aston Villa</x:v>
      </x:c>
      <x:c r="D2303" s="4" t="str">
        <x:v>Arsenal</x:v>
      </x:c>
      <x:c r="E2303" s="4" t="str">
        <x:v>Home</x:v>
      </x:c>
      <x:c r="F2303" s="28" t="n">
        <x:v>0</x:v>
      </x:c>
      <x:c r="G2303" s="28" t="n">
        <x:v>2</x:v>
      </x:c>
      <x:c r="H2303" s="28" t="n">
        <x:v>11</x:v>
      </x:c>
      <x:c r="I2303" s="28" t="n">
        <x:v>9</x:v>
      </x:c>
      <x:c r="J2303" s="28" t="n">
        <x:v>3</x:v>
      </x:c>
      <x:c r="K2303" s="28" t="n">
        <x:v>4</x:v>
      </x:c>
      <x:c r="L2303" s="28" t="n">
        <x:v>4</x:v>
      </x:c>
      <x:c r="M2303" s="28" t="n">
        <x:v>1</x:v>
      </x:c>
      <x:c r="N2303" s="28" t="n">
        <x:v>1</x:v>
      </x:c>
      <x:c r="O2303" s="28" t="n">
        <x:v>0</x:v>
      </x:c>
      <x:c r="P2303" s="28" t="n">
        <x:v>0</x:v>
      </x:c>
      <x:c r="Q2303" s="24" t="n">
        <x:f>IFERROR(J2303/H2303,0)</x:f>
        <x:v>0.2727272727272727</x:v>
      </x:c>
      <x:c r="R2303" s="24" t="n">
        <x:f>IFERROR(F2303/H2303,0)</x:f>
        <x:v>0</x:v>
      </x:c>
      <x:c r="S2303" s="24" t="n">
        <x:f>IFERROR(F2303/J2303,0)</x:f>
        <x:v>0</x:v>
      </x:c>
      <x:c r="T2303" s="28" t="n">
        <x:f>H2303-I2303</x:f>
        <x:v>2</x:v>
      </x:c>
      <x:c r="U2303" s="24" t="n">
        <x:f>IFERROR(J2303/H2303,0)-IFERROR(K2303/I2303,0)</x:f>
        <x:v>-0.1717171717171717</x:v>
      </x:c>
      <x:c r="V2303" s="24" t="n">
        <x:f>IFERROR(F2303/J2303,0)-IFERROR(G2303/K2303,0)</x:f>
        <x:v>-0.5</x:v>
      </x:c>
      <x:c r="W2303" s="28" t="n">
        <x:f>L2303-M2303</x:f>
        <x:v>3</x:v>
      </x:c>
      <x:c r="X2303" s="24" t="n">
        <x:f>IFERROR(K2303/I2303,0)</x:f>
        <x:v>0.4444444444444444</x:v>
      </x:c>
      <x:c r="Y2303" s="24" t="n">
        <x:f>IFERROR(G2303/I2303,0)</x:f>
        <x:v>0.2222222222222222</x:v>
      </x:c>
      <x:c r="Z2303" s="24" t="n">
        <x:f>IFERROR(G2303/K2303,0)</x:f>
        <x:v>0.5</x:v>
      </x:c>
      <x:c r="AA2303" s="24" t="n">
        <x:f>IFERROR(F2303/H2303,0)-IFERROR(G2303/I2303,0)</x:f>
        <x:v>-0.2222222222222222</x:v>
      </x:c>
      <x:c r="AB2303" s="28" t="n">
        <x:f>J2303-K2303</x:f>
        <x:v>-1</x:v>
      </x:c>
      <x:c r="AC2303" s="32" t="n">
        <x:f>F2303-G2303</x:f>
        <x:v>-2</x:v>
      </x:c>
    </x:row>
    <x:row r="2304">
      <x:c r="A2304" s="4" t="str">
        <x:v>2024-25</x:v>
      </x:c>
      <x:c r="B2304" s="20" t="n">
        <x:v>45528</x:v>
      </x:c>
      <x:c r="C2304" s="4" t="str">
        <x:v>Brighton</x:v>
      </x:c>
      <x:c r="D2304" s="4" t="str">
        <x:v>Man United</x:v>
      </x:c>
      <x:c r="E2304" s="4" t="str">
        <x:v>Home</x:v>
      </x:c>
      <x:c r="F2304" s="28" t="n">
        <x:v>2</x:v>
      </x:c>
      <x:c r="G2304" s="28" t="n">
        <x:v>1</x:v>
      </x:c>
      <x:c r="H2304" s="28" t="n">
        <x:v>14</x:v>
      </x:c>
      <x:c r="I2304" s="28" t="n">
        <x:v>11</x:v>
      </x:c>
      <x:c r="J2304" s="28" t="n">
        <x:v>5</x:v>
      </x:c>
      <x:c r="K2304" s="28" t="n">
        <x:v>4</x:v>
      </x:c>
      <x:c r="L2304" s="28" t="n">
        <x:v>4</x:v>
      </x:c>
      <x:c r="M2304" s="28" t="n">
        <x:v>4</x:v>
      </x:c>
      <x:c r="N2304" s="28" t="n">
        <x:v>1</x:v>
      </x:c>
      <x:c r="O2304" s="28" t="n">
        <x:v>0</x:v>
      </x:c>
      <x:c r="P2304" s="28" t="n">
        <x:v>3</x:v>
      </x:c>
      <x:c r="Q2304" s="24" t="n">
        <x:f>IFERROR(J2304/H2304,0)</x:f>
        <x:v>0.35714285714285715</x:v>
      </x:c>
      <x:c r="R2304" s="24" t="n">
        <x:f>IFERROR(F2304/H2304,0)</x:f>
        <x:v>0.14285714285714285</x:v>
      </x:c>
      <x:c r="S2304" s="24" t="n">
        <x:f>IFERROR(F2304/J2304,0)</x:f>
        <x:v>0.4</x:v>
      </x:c>
      <x:c r="T2304" s="28" t="n">
        <x:f>H2304-I2304</x:f>
        <x:v>3</x:v>
      </x:c>
      <x:c r="U2304" s="24" t="n">
        <x:f>IFERROR(J2304/H2304,0)-IFERROR(K2304/I2304,0)</x:f>
        <x:v>-0.006493506493506496</x:v>
      </x:c>
      <x:c r="V2304" s="24" t="n">
        <x:f>IFERROR(F2304/J2304,0)-IFERROR(G2304/K2304,0)</x:f>
        <x:v>0.15000000000000002</x:v>
      </x:c>
      <x:c r="W2304" s="28" t="n">
        <x:f>L2304-M2304</x:f>
        <x:v>0</x:v>
      </x:c>
      <x:c r="X2304" s="24" t="n">
        <x:f>IFERROR(K2304/I2304,0)</x:f>
        <x:v>0.36363636363636365</x:v>
      </x:c>
      <x:c r="Y2304" s="24" t="n">
        <x:f>IFERROR(G2304/I2304,0)</x:f>
        <x:v>0.09090909090909091</x:v>
      </x:c>
      <x:c r="Z2304" s="24" t="n">
        <x:f>IFERROR(G2304/K2304,0)</x:f>
        <x:v>0.25</x:v>
      </x:c>
      <x:c r="AA2304" s="24" t="n">
        <x:f>IFERROR(F2304/H2304,0)-IFERROR(G2304/I2304,0)</x:f>
        <x:v>0.05194805194805194</x:v>
      </x:c>
      <x:c r="AB2304" s="28" t="n">
        <x:f>J2304-K2304</x:f>
        <x:v>1</x:v>
      </x:c>
      <x:c r="AC2304" s="32" t="n">
        <x:f>F2304-G2304</x:f>
        <x:v>1</x:v>
      </x:c>
    </x:row>
    <x:row r="2305">
      <x:c r="A2305" s="4" t="str">
        <x:v>2024-25</x:v>
      </x:c>
      <x:c r="B2305" s="20" t="n">
        <x:v>45528</x:v>
      </x:c>
      <x:c r="C2305" s="4" t="str">
        <x:v>Crystal Palace</x:v>
      </x:c>
      <x:c r="D2305" s="4" t="str">
        <x:v>West Ham</x:v>
      </x:c>
      <x:c r="E2305" s="4" t="str">
        <x:v>Home</x:v>
      </x:c>
      <x:c r="F2305" s="28" t="n">
        <x:v>0</x:v>
      </x:c>
      <x:c r="G2305" s="28" t="n">
        <x:v>2</x:v>
      </x:c>
      <x:c r="H2305" s="28" t="n">
        <x:v>14</x:v>
      </x:c>
      <x:c r="I2305" s="28" t="n">
        <x:v>18</x:v>
      </x:c>
      <x:c r="J2305" s="28" t="n">
        <x:v>2</x:v>
      </x:c>
      <x:c r="K2305" s="28" t="n">
        <x:v>3</x:v>
      </x:c>
      <x:c r="L2305" s="28" t="n">
        <x:v>3</x:v>
      </x:c>
      <x:c r="M2305" s="28" t="n">
        <x:v>3</x:v>
      </x:c>
      <x:c r="N2305" s="28" t="n">
        <x:v>1</x:v>
      </x:c>
      <x:c r="O2305" s="28" t="n">
        <x:v>0</x:v>
      </x:c>
      <x:c r="P2305" s="28" t="n">
        <x:v>0</x:v>
      </x:c>
      <x:c r="Q2305" s="24" t="n">
        <x:f>IFERROR(J2305/H2305,0)</x:f>
        <x:v>0.14285714285714285</x:v>
      </x:c>
      <x:c r="R2305" s="24" t="n">
        <x:f>IFERROR(F2305/H2305,0)</x:f>
        <x:v>0</x:v>
      </x:c>
      <x:c r="S2305" s="24" t="n">
        <x:f>IFERROR(F2305/J2305,0)</x:f>
        <x:v>0</x:v>
      </x:c>
      <x:c r="T2305" s="28" t="n">
        <x:f>H2305-I2305</x:f>
        <x:v>-4</x:v>
      </x:c>
      <x:c r="U2305" s="24" t="n">
        <x:f>IFERROR(J2305/H2305,0)-IFERROR(K2305/I2305,0)</x:f>
        <x:v>-0.023809523809523808</x:v>
      </x:c>
      <x:c r="V2305" s="24" t="n">
        <x:f>IFERROR(F2305/J2305,0)-IFERROR(G2305/K2305,0)</x:f>
        <x:v>-0.6666666666666666</x:v>
      </x:c>
      <x:c r="W2305" s="28" t="n">
        <x:f>L2305-M2305</x:f>
        <x:v>0</x:v>
      </x:c>
      <x:c r="X2305" s="24" t="n">
        <x:f>IFERROR(K2305/I2305,0)</x:f>
        <x:v>0.16666666666666666</x:v>
      </x:c>
      <x:c r="Y2305" s="24" t="n">
        <x:f>IFERROR(G2305/I2305,0)</x:f>
        <x:v>0.1111111111111111</x:v>
      </x:c>
      <x:c r="Z2305" s="24" t="n">
        <x:f>IFERROR(G2305/K2305,0)</x:f>
        <x:v>0.6666666666666666</x:v>
      </x:c>
      <x:c r="AA2305" s="24" t="n">
        <x:f>IFERROR(F2305/H2305,0)-IFERROR(G2305/I2305,0)</x:f>
        <x:v>-0.1111111111111111</x:v>
      </x:c>
      <x:c r="AB2305" s="28" t="n">
        <x:f>J2305-K2305</x:f>
        <x:v>-1</x:v>
      </x:c>
      <x:c r="AC2305" s="32" t="n">
        <x:f>F2305-G2305</x:f>
        <x:v>-2</x:v>
      </x:c>
    </x:row>
    <x:row r="2306">
      <x:c r="A2306" s="4" t="str">
        <x:v>2024-25</x:v>
      </x:c>
      <x:c r="B2306" s="20" t="n">
        <x:v>45528</x:v>
      </x:c>
      <x:c r="C2306" s="4" t="str">
        <x:v>Everton</x:v>
      </x:c>
      <x:c r="D2306" s="4" t="str">
        <x:v>Tottenham</x:v>
      </x:c>
      <x:c r="E2306" s="4" t="str">
        <x:v>Away</x:v>
      </x:c>
      <x:c r="F2306" s="28" t="n">
        <x:v>0</x:v>
      </x:c>
      <x:c r="G2306" s="28" t="n">
        <x:v>4</x:v>
      </x:c>
      <x:c r="H2306" s="28" t="n">
        <x:v>10</x:v>
      </x:c>
      <x:c r="I2306" s="28" t="n">
        <x:v>13</x:v>
      </x:c>
      <x:c r="J2306" s="28" t="n">
        <x:v>1</x:v>
      </x:c>
      <x:c r="K2306" s="28" t="n">
        <x:v>7</x:v>
      </x:c>
      <x:c r="L2306" s="28" t="n">
        <x:v>5</x:v>
      </x:c>
      <x:c r="M2306" s="28" t="n">
        <x:v>12</x:v>
      </x:c>
      <x:c r="N2306" s="28" t="n">
        <x:v>0</x:v>
      </x:c>
      <x:c r="O2306" s="28" t="n">
        <x:v>0</x:v>
      </x:c>
      <x:c r="P2306" s="28" t="n">
        <x:v>0</x:v>
      </x:c>
      <x:c r="Q2306" s="24" t="n">
        <x:f>IFERROR(J2306/H2306,0)</x:f>
        <x:v>0.1</x:v>
      </x:c>
      <x:c r="R2306" s="24" t="n">
        <x:f>IFERROR(F2306/H2306,0)</x:f>
        <x:v>0</x:v>
      </x:c>
      <x:c r="S2306" s="24" t="n">
        <x:f>IFERROR(F2306/J2306,0)</x:f>
        <x:v>0</x:v>
      </x:c>
      <x:c r="T2306" s="28" t="n">
        <x:f>H2306-I2306</x:f>
        <x:v>-3</x:v>
      </x:c>
      <x:c r="U2306" s="24" t="n">
        <x:f>IFERROR(J2306/H2306,0)-IFERROR(K2306/I2306,0)</x:f>
        <x:v>-0.43846153846153846</x:v>
      </x:c>
      <x:c r="V2306" s="24" t="n">
        <x:f>IFERROR(F2306/J2306,0)-IFERROR(G2306/K2306,0)</x:f>
        <x:v>-0.5714285714285714</x:v>
      </x:c>
      <x:c r="W2306" s="28" t="n">
        <x:f>L2306-M2306</x:f>
        <x:v>-7</x:v>
      </x:c>
      <x:c r="X2306" s="24" t="n">
        <x:f>IFERROR(K2306/I2306,0)</x:f>
        <x:v>0.5384615384615384</x:v>
      </x:c>
      <x:c r="Y2306" s="24" t="n">
        <x:f>IFERROR(G2306/I2306,0)</x:f>
        <x:v>0.3076923076923077</x:v>
      </x:c>
      <x:c r="Z2306" s="24" t="n">
        <x:f>IFERROR(G2306/K2306,0)</x:f>
        <x:v>0.5714285714285714</x:v>
      </x:c>
      <x:c r="AA2306" s="24" t="n">
        <x:f>IFERROR(F2306/H2306,0)-IFERROR(G2306/I2306,0)</x:f>
        <x:v>-0.3076923076923077</x:v>
      </x:c>
      <x:c r="AB2306" s="28" t="n">
        <x:f>J2306-K2306</x:f>
        <x:v>-6</x:v>
      </x:c>
      <x:c r="AC2306" s="32" t="n">
        <x:f>F2306-G2306</x:f>
        <x:v>-4</x:v>
      </x:c>
    </x:row>
    <x:row r="2307">
      <x:c r="A2307" s="4" t="str">
        <x:v>2024-25</x:v>
      </x:c>
      <x:c r="B2307" s="20" t="n">
        <x:v>45528</x:v>
      </x:c>
      <x:c r="C2307" s="4" t="str">
        <x:v>Fulham</x:v>
      </x:c>
      <x:c r="D2307" s="4" t="str">
        <x:v>Leicester</x:v>
      </x:c>
      <x:c r="E2307" s="4" t="str">
        <x:v>Home</x:v>
      </x:c>
      <x:c r="F2307" s="28" t="n">
        <x:v>2</x:v>
      </x:c>
      <x:c r="G2307" s="28" t="n">
        <x:v>1</x:v>
      </x:c>
      <x:c r="H2307" s="28" t="n">
        <x:v>18</x:v>
      </x:c>
      <x:c r="I2307" s="28" t="n">
        <x:v>10</x:v>
      </x:c>
      <x:c r="J2307" s="28" t="n">
        <x:v>6</x:v>
      </x:c>
      <x:c r="K2307" s="28" t="n">
        <x:v>4</x:v>
      </x:c>
      <x:c r="L2307" s="28" t="n">
        <x:v>7</x:v>
      </x:c>
      <x:c r="M2307" s="28" t="n">
        <x:v>5</x:v>
      </x:c>
      <x:c r="N2307" s="28" t="n">
        <x:v>2</x:v>
      </x:c>
      <x:c r="O2307" s="28" t="n">
        <x:v>0</x:v>
      </x:c>
      <x:c r="P2307" s="28" t="n">
        <x:v>3</x:v>
      </x:c>
      <x:c r="Q2307" s="24" t="n">
        <x:f>IFERROR(J2307/H2307,0)</x:f>
        <x:v>0.3333333333333333</x:v>
      </x:c>
      <x:c r="R2307" s="24" t="n">
        <x:f>IFERROR(F2307/H2307,0)</x:f>
        <x:v>0.1111111111111111</x:v>
      </x:c>
      <x:c r="S2307" s="24" t="n">
        <x:f>IFERROR(F2307/J2307,0)</x:f>
        <x:v>0.3333333333333333</x:v>
      </x:c>
      <x:c r="T2307" s="28" t="n">
        <x:f>H2307-I2307</x:f>
        <x:v>8</x:v>
      </x:c>
      <x:c r="U2307" s="24" t="n">
        <x:f>IFERROR(J2307/H2307,0)-IFERROR(K2307/I2307,0)</x:f>
        <x:v>-0.06666666666666671</x:v>
      </x:c>
      <x:c r="V2307" s="24" t="n">
        <x:f>IFERROR(F2307/J2307,0)-IFERROR(G2307/K2307,0)</x:f>
        <x:v>0.08333333333333331</x:v>
      </x:c>
      <x:c r="W2307" s="28" t="n">
        <x:f>L2307-M2307</x:f>
        <x:v>2</x:v>
      </x:c>
      <x:c r="X2307" s="24" t="n">
        <x:f>IFERROR(K2307/I2307,0)</x:f>
        <x:v>0.4</x:v>
      </x:c>
      <x:c r="Y2307" s="24" t="n">
        <x:f>IFERROR(G2307/I2307,0)</x:f>
        <x:v>0.1</x:v>
      </x:c>
      <x:c r="Z2307" s="24" t="n">
        <x:f>IFERROR(G2307/K2307,0)</x:f>
        <x:v>0.25</x:v>
      </x:c>
      <x:c r="AA2307" s="24" t="n">
        <x:f>IFERROR(F2307/H2307,0)-IFERROR(G2307/I2307,0)</x:f>
        <x:v>0.0111111111111111</x:v>
      </x:c>
      <x:c r="AB2307" s="28" t="n">
        <x:f>J2307-K2307</x:f>
        <x:v>2</x:v>
      </x:c>
      <x:c r="AC2307" s="32" t="n">
        <x:f>F2307-G2307</x:f>
        <x:v>1</x:v>
      </x:c>
    </x:row>
    <x:row r="2308">
      <x:c r="A2308" s="4" t="str">
        <x:v>2024-25</x:v>
      </x:c>
      <x:c r="B2308" s="20" t="n">
        <x:v>45528</x:v>
      </x:c>
      <x:c r="C2308" s="4" t="str">
        <x:v>Ipswich</x:v>
      </x:c>
      <x:c r="D2308" s="4" t="str">
        <x:v>Man City</x:v>
      </x:c>
      <x:c r="E2308" s="4" t="str">
        <x:v>Away</x:v>
      </x:c>
      <x:c r="F2308" s="28" t="n">
        <x:v>1</x:v>
      </x:c>
      <x:c r="G2308" s="28" t="n">
        <x:v>4</x:v>
      </x:c>
      <x:c r="H2308" s="28" t="n">
        <x:v>1</x:v>
      </x:c>
      <x:c r="I2308" s="28" t="n">
        <x:v>14</x:v>
      </x:c>
      <x:c r="J2308" s="28" t="n">
        <x:v>1</x:v>
      </x:c>
      <x:c r="K2308" s="28" t="n">
        <x:v>5</x:v>
      </x:c>
      <x:c r="L2308" s="28" t="n">
        <x:v>1</x:v>
      </x:c>
      <x:c r="M2308" s="28" t="n">
        <x:v>10</x:v>
      </x:c>
      <x:c r="N2308" s="28" t="n">
        <x:v>3</x:v>
      </x:c>
      <x:c r="O2308" s="28" t="n">
        <x:v>0</x:v>
      </x:c>
      <x:c r="P2308" s="28" t="n">
        <x:v>0</x:v>
      </x:c>
      <x:c r="Q2308" s="24" t="n">
        <x:f>IFERROR(J2308/H2308,0)</x:f>
        <x:v>1</x:v>
      </x:c>
      <x:c r="R2308" s="24" t="n">
        <x:f>IFERROR(F2308/H2308,0)</x:f>
        <x:v>1</x:v>
      </x:c>
      <x:c r="S2308" s="24" t="n">
        <x:f>IFERROR(F2308/J2308,0)</x:f>
        <x:v>1</x:v>
      </x:c>
      <x:c r="T2308" s="28" t="n">
        <x:f>H2308-I2308</x:f>
        <x:v>-13</x:v>
      </x:c>
      <x:c r="U2308" s="24" t="n">
        <x:f>IFERROR(J2308/H2308,0)-IFERROR(K2308/I2308,0)</x:f>
        <x:v>0.6428571428571428</x:v>
      </x:c>
      <x:c r="V2308" s="24" t="n">
        <x:f>IFERROR(F2308/J2308,0)-IFERROR(G2308/K2308,0)</x:f>
        <x:v>0.19999999999999996</x:v>
      </x:c>
      <x:c r="W2308" s="28" t="n">
        <x:f>L2308-M2308</x:f>
        <x:v>-9</x:v>
      </x:c>
      <x:c r="X2308" s="24" t="n">
        <x:f>IFERROR(K2308/I2308,0)</x:f>
        <x:v>0.35714285714285715</x:v>
      </x:c>
      <x:c r="Y2308" s="24" t="n">
        <x:f>IFERROR(G2308/I2308,0)</x:f>
        <x:v>0.2857142857142857</x:v>
      </x:c>
      <x:c r="Z2308" s="24" t="n">
        <x:f>IFERROR(G2308/K2308,0)</x:f>
        <x:v>0.8</x:v>
      </x:c>
      <x:c r="AA2308" s="24" t="n">
        <x:f>IFERROR(F2308/H2308,0)-IFERROR(G2308/I2308,0)</x:f>
        <x:v>0.7142857142857143</x:v>
      </x:c>
      <x:c r="AB2308" s="28" t="n">
        <x:f>J2308-K2308</x:f>
        <x:v>-4</x:v>
      </x:c>
      <x:c r="AC2308" s="32" t="n">
        <x:f>F2308-G2308</x:f>
        <x:v>-3</x:v>
      </x:c>
    </x:row>
    <x:row r="2309">
      <x:c r="A2309" s="4" t="str">
        <x:v>2024-25</x:v>
      </x:c>
      <x:c r="B2309" s="20" t="n">
        <x:v>45528</x:v>
      </x:c>
      <x:c r="C2309" s="4" t="str">
        <x:v>Leicester</x:v>
      </x:c>
      <x:c r="D2309" s="4" t="str">
        <x:v>Fulham</x:v>
      </x:c>
      <x:c r="E2309" s="4" t="str">
        <x:v>Away</x:v>
      </x:c>
      <x:c r="F2309" s="28" t="n">
        <x:v>1</x:v>
      </x:c>
      <x:c r="G2309" s="28" t="n">
        <x:v>2</x:v>
      </x:c>
      <x:c r="H2309" s="28" t="n">
        <x:v>10</x:v>
      </x:c>
      <x:c r="I2309" s="28" t="n">
        <x:v>18</x:v>
      </x:c>
      <x:c r="J2309" s="28" t="n">
        <x:v>4</x:v>
      </x:c>
      <x:c r="K2309" s="28" t="n">
        <x:v>6</x:v>
      </x:c>
      <x:c r="L2309" s="28" t="n">
        <x:v>5</x:v>
      </x:c>
      <x:c r="M2309" s="28" t="n">
        <x:v>7</x:v>
      </x:c>
      <x:c r="N2309" s="28" t="n">
        <x:v>2</x:v>
      </x:c>
      <x:c r="O2309" s="28" t="n">
        <x:v>0</x:v>
      </x:c>
      <x:c r="P2309" s="28" t="n">
        <x:v>0</x:v>
      </x:c>
      <x:c r="Q2309" s="24" t="n">
        <x:f>IFERROR(J2309/H2309,0)</x:f>
        <x:v>0.4</x:v>
      </x:c>
      <x:c r="R2309" s="24" t="n">
        <x:f>IFERROR(F2309/H2309,0)</x:f>
        <x:v>0.1</x:v>
      </x:c>
      <x:c r="S2309" s="24" t="n">
        <x:f>IFERROR(F2309/J2309,0)</x:f>
        <x:v>0.25</x:v>
      </x:c>
      <x:c r="T2309" s="28" t="n">
        <x:f>H2309-I2309</x:f>
        <x:v>-8</x:v>
      </x:c>
      <x:c r="U2309" s="24" t="n">
        <x:f>IFERROR(J2309/H2309,0)-IFERROR(K2309/I2309,0)</x:f>
        <x:v>0.06666666666666671</x:v>
      </x:c>
      <x:c r="V2309" s="24" t="n">
        <x:f>IFERROR(F2309/J2309,0)-IFERROR(G2309/K2309,0)</x:f>
        <x:v>-0.08333333333333331</x:v>
      </x:c>
      <x:c r="W2309" s="28" t="n">
        <x:f>L2309-M2309</x:f>
        <x:v>-2</x:v>
      </x:c>
      <x:c r="X2309" s="24" t="n">
        <x:f>IFERROR(K2309/I2309,0)</x:f>
        <x:v>0.3333333333333333</x:v>
      </x:c>
      <x:c r="Y2309" s="24" t="n">
        <x:f>IFERROR(G2309/I2309,0)</x:f>
        <x:v>0.1111111111111111</x:v>
      </x:c>
      <x:c r="Z2309" s="24" t="n">
        <x:f>IFERROR(G2309/K2309,0)</x:f>
        <x:v>0.3333333333333333</x:v>
      </x:c>
      <x:c r="AA2309" s="24" t="n">
        <x:f>IFERROR(F2309/H2309,0)-IFERROR(G2309/I2309,0)</x:f>
        <x:v>-0.0111111111111111</x:v>
      </x:c>
      <x:c r="AB2309" s="28" t="n">
        <x:f>J2309-K2309</x:f>
        <x:v>-2</x:v>
      </x:c>
      <x:c r="AC2309" s="32" t="n">
        <x:f>F2309-G2309</x:f>
        <x:v>-1</x:v>
      </x:c>
    </x:row>
    <x:row r="2310">
      <x:c r="A2310" s="4" t="str">
        <x:v>2024-25</x:v>
      </x:c>
      <x:c r="B2310" s="20" t="n">
        <x:v>45528</x:v>
      </x:c>
      <x:c r="C2310" s="4" t="str">
        <x:v>Man City</x:v>
      </x:c>
      <x:c r="D2310" s="4" t="str">
        <x:v>Ipswich</x:v>
      </x:c>
      <x:c r="E2310" s="4" t="str">
        <x:v>Home</x:v>
      </x:c>
      <x:c r="F2310" s="28" t="n">
        <x:v>4</x:v>
      </x:c>
      <x:c r="G2310" s="28" t="n">
        <x:v>1</x:v>
      </x:c>
      <x:c r="H2310" s="28" t="n">
        <x:v>14</x:v>
      </x:c>
      <x:c r="I2310" s="28" t="n">
        <x:v>1</x:v>
      </x:c>
      <x:c r="J2310" s="28" t="n">
        <x:v>5</x:v>
      </x:c>
      <x:c r="K2310" s="28" t="n">
        <x:v>1</x:v>
      </x:c>
      <x:c r="L2310" s="28" t="n">
        <x:v>10</x:v>
      </x:c>
      <x:c r="M2310" s="28" t="n">
        <x:v>1</x:v>
      </x:c>
      <x:c r="N2310" s="28" t="n">
        <x:v>2</x:v>
      </x:c>
      <x:c r="O2310" s="28" t="n">
        <x:v>0</x:v>
      </x:c>
      <x:c r="P2310" s="28" t="n">
        <x:v>3</x:v>
      </x:c>
      <x:c r="Q2310" s="24" t="n">
        <x:f>IFERROR(J2310/H2310,0)</x:f>
        <x:v>0.35714285714285715</x:v>
      </x:c>
      <x:c r="R2310" s="24" t="n">
        <x:f>IFERROR(F2310/H2310,0)</x:f>
        <x:v>0.2857142857142857</x:v>
      </x:c>
      <x:c r="S2310" s="24" t="n">
        <x:f>IFERROR(F2310/J2310,0)</x:f>
        <x:v>0.8</x:v>
      </x:c>
      <x:c r="T2310" s="28" t="n">
        <x:f>H2310-I2310</x:f>
        <x:v>13</x:v>
      </x:c>
      <x:c r="U2310" s="24" t="n">
        <x:f>IFERROR(J2310/H2310,0)-IFERROR(K2310/I2310,0)</x:f>
        <x:v>-0.6428571428571428</x:v>
      </x:c>
      <x:c r="V2310" s="24" t="n">
        <x:f>IFERROR(F2310/J2310,0)-IFERROR(G2310/K2310,0)</x:f>
        <x:v>-0.19999999999999996</x:v>
      </x:c>
      <x:c r="W2310" s="28" t="n">
        <x:f>L2310-M2310</x:f>
        <x:v>9</x:v>
      </x:c>
      <x:c r="X2310" s="24" t="n">
        <x:f>IFERROR(K2310/I2310,0)</x:f>
        <x:v>1</x:v>
      </x:c>
      <x:c r="Y2310" s="24" t="n">
        <x:f>IFERROR(G2310/I2310,0)</x:f>
        <x:v>1</x:v>
      </x:c>
      <x:c r="Z2310" s="24" t="n">
        <x:f>IFERROR(G2310/K2310,0)</x:f>
        <x:v>1</x:v>
      </x:c>
      <x:c r="AA2310" s="24" t="n">
        <x:f>IFERROR(F2310/H2310,0)-IFERROR(G2310/I2310,0)</x:f>
        <x:v>-0.7142857142857143</x:v>
      </x:c>
      <x:c r="AB2310" s="28" t="n">
        <x:f>J2310-K2310</x:f>
        <x:v>4</x:v>
      </x:c>
      <x:c r="AC2310" s="32" t="n">
        <x:f>F2310-G2310</x:f>
        <x:v>3</x:v>
      </x:c>
    </x:row>
    <x:row r="2311">
      <x:c r="A2311" s="4" t="str">
        <x:v>2024-25</x:v>
      </x:c>
      <x:c r="B2311" s="20" t="n">
        <x:v>45528</x:v>
      </x:c>
      <x:c r="C2311" s="4" t="str">
        <x:v>Man United</x:v>
      </x:c>
      <x:c r="D2311" s="4" t="str">
        <x:v>Brighton</x:v>
      </x:c>
      <x:c r="E2311" s="4" t="str">
        <x:v>Away</x:v>
      </x:c>
      <x:c r="F2311" s="28" t="n">
        <x:v>1</x:v>
      </x:c>
      <x:c r="G2311" s="28" t="n">
        <x:v>2</x:v>
      </x:c>
      <x:c r="H2311" s="28" t="n">
        <x:v>11</x:v>
      </x:c>
      <x:c r="I2311" s="28" t="n">
        <x:v>14</x:v>
      </x:c>
      <x:c r="J2311" s="28" t="n">
        <x:v>4</x:v>
      </x:c>
      <x:c r="K2311" s="28" t="n">
        <x:v>5</x:v>
      </x:c>
      <x:c r="L2311" s="28" t="n">
        <x:v>4</x:v>
      </x:c>
      <x:c r="M2311" s="28" t="n">
        <x:v>4</x:v>
      </x:c>
      <x:c r="N2311" s="28" t="n">
        <x:v>2</x:v>
      </x:c>
      <x:c r="O2311" s="28" t="n">
        <x:v>0</x:v>
      </x:c>
      <x:c r="P2311" s="28" t="n">
        <x:v>0</x:v>
      </x:c>
      <x:c r="Q2311" s="24" t="n">
        <x:f>IFERROR(J2311/H2311,0)</x:f>
        <x:v>0.36363636363636365</x:v>
      </x:c>
      <x:c r="R2311" s="24" t="n">
        <x:f>IFERROR(F2311/H2311,0)</x:f>
        <x:v>0.09090909090909091</x:v>
      </x:c>
      <x:c r="S2311" s="24" t="n">
        <x:f>IFERROR(F2311/J2311,0)</x:f>
        <x:v>0.25</x:v>
      </x:c>
      <x:c r="T2311" s="28" t="n">
        <x:f>H2311-I2311</x:f>
        <x:v>-3</x:v>
      </x:c>
      <x:c r="U2311" s="24" t="n">
        <x:f>IFERROR(J2311/H2311,0)-IFERROR(K2311/I2311,0)</x:f>
        <x:v>0.006493506493506496</x:v>
      </x:c>
      <x:c r="V2311" s="24" t="n">
        <x:f>IFERROR(F2311/J2311,0)-IFERROR(G2311/K2311,0)</x:f>
        <x:v>-0.15000000000000002</x:v>
      </x:c>
      <x:c r="W2311" s="28" t="n">
        <x:f>L2311-M2311</x:f>
        <x:v>0</x:v>
      </x:c>
      <x:c r="X2311" s="24" t="n">
        <x:f>IFERROR(K2311/I2311,0)</x:f>
        <x:v>0.35714285714285715</x:v>
      </x:c>
      <x:c r="Y2311" s="24" t="n">
        <x:f>IFERROR(G2311/I2311,0)</x:f>
        <x:v>0.14285714285714285</x:v>
      </x:c>
      <x:c r="Z2311" s="24" t="n">
        <x:f>IFERROR(G2311/K2311,0)</x:f>
        <x:v>0.4</x:v>
      </x:c>
      <x:c r="AA2311" s="24" t="n">
        <x:f>IFERROR(F2311/H2311,0)-IFERROR(G2311/I2311,0)</x:f>
        <x:v>-0.05194805194805194</x:v>
      </x:c>
      <x:c r="AB2311" s="28" t="n">
        <x:f>J2311-K2311</x:f>
        <x:v>-1</x:v>
      </x:c>
      <x:c r="AC2311" s="32" t="n">
        <x:f>F2311-G2311</x:f>
        <x:v>-1</x:v>
      </x:c>
    </x:row>
    <x:row r="2312">
      <x:c r="A2312" s="4" t="str">
        <x:v>2024-25</x:v>
      </x:c>
      <x:c r="B2312" s="20" t="n">
        <x:v>45528</x:v>
      </x:c>
      <x:c r="C2312" s="4" t="str">
        <x:v>Nott'm Forest</x:v>
      </x:c>
      <x:c r="D2312" s="4" t="str">
        <x:v>Southampton</x:v>
      </x:c>
      <x:c r="E2312" s="4" t="str">
        <x:v>Away</x:v>
      </x:c>
      <x:c r="F2312" s="28" t="n">
        <x:v>1</x:v>
      </x:c>
      <x:c r="G2312" s="28" t="n">
        <x:v>0</x:v>
      </x:c>
      <x:c r="H2312" s="28" t="n">
        <x:v>23</x:v>
      </x:c>
      <x:c r="I2312" s="28" t="n">
        <x:v>5</x:v>
      </x:c>
      <x:c r="J2312" s="28" t="n">
        <x:v>8</x:v>
      </x:c>
      <x:c r="K2312" s="28" t="n">
        <x:v>1</x:v>
      </x:c>
      <x:c r="L2312" s="28" t="n">
        <x:v>10</x:v>
      </x:c>
      <x:c r="M2312" s="28" t="n">
        <x:v>4</x:v>
      </x:c>
      <x:c r="N2312" s="28" t="n">
        <x:v>3</x:v>
      </x:c>
      <x:c r="O2312" s="28" t="n">
        <x:v>0</x:v>
      </x:c>
      <x:c r="P2312" s="28" t="n">
        <x:v>3</x:v>
      </x:c>
      <x:c r="Q2312" s="24" t="n">
        <x:f>IFERROR(J2312/H2312,0)</x:f>
        <x:v>0.34782608695652173</x:v>
      </x:c>
      <x:c r="R2312" s="24" t="n">
        <x:f>IFERROR(F2312/H2312,0)</x:f>
        <x:v>0.043478260869565216</x:v>
      </x:c>
      <x:c r="S2312" s="24" t="n">
        <x:f>IFERROR(F2312/J2312,0)</x:f>
        <x:v>0.125</x:v>
      </x:c>
      <x:c r="T2312" s="28" t="n">
        <x:f>H2312-I2312</x:f>
        <x:v>18</x:v>
      </x:c>
      <x:c r="U2312" s="24" t="n">
        <x:f>IFERROR(J2312/H2312,0)-IFERROR(K2312/I2312,0)</x:f>
        <x:v>0.14782608695652172</x:v>
      </x:c>
      <x:c r="V2312" s="24" t="n">
        <x:f>IFERROR(F2312/J2312,0)-IFERROR(G2312/K2312,0)</x:f>
        <x:v>0.125</x:v>
      </x:c>
      <x:c r="W2312" s="28" t="n">
        <x:f>L2312-M2312</x:f>
        <x:v>6</x:v>
      </x:c>
      <x:c r="X2312" s="24" t="n">
        <x:f>IFERROR(K2312/I2312,0)</x:f>
        <x:v>0.2</x:v>
      </x:c>
      <x:c r="Y2312" s="24" t="n">
        <x:f>IFERROR(G2312/I2312,0)</x:f>
        <x:v>0</x:v>
      </x:c>
      <x:c r="Z2312" s="24" t="n">
        <x:f>IFERROR(G2312/K2312,0)</x:f>
        <x:v>0</x:v>
      </x:c>
      <x:c r="AA2312" s="24" t="n">
        <x:f>IFERROR(F2312/H2312,0)-IFERROR(G2312/I2312,0)</x:f>
        <x:v>0.043478260869565216</x:v>
      </x:c>
      <x:c r="AB2312" s="28" t="n">
        <x:f>J2312-K2312</x:f>
        <x:v>7</x:v>
      </x:c>
      <x:c r="AC2312" s="32" t="n">
        <x:f>F2312-G2312</x:f>
        <x:v>1</x:v>
      </x:c>
    </x:row>
    <x:row r="2313">
      <x:c r="A2313" s="4" t="str">
        <x:v>2024-25</x:v>
      </x:c>
      <x:c r="B2313" s="20" t="n">
        <x:v>45528</x:v>
      </x:c>
      <x:c r="C2313" s="4" t="str">
        <x:v>Southampton</x:v>
      </x:c>
      <x:c r="D2313" s="4" t="str">
        <x:v>Nott'm Forest</x:v>
      </x:c>
      <x:c r="E2313" s="4" t="str">
        <x:v>Home</x:v>
      </x:c>
      <x:c r="F2313" s="28" t="n">
        <x:v>0</x:v>
      </x:c>
      <x:c r="G2313" s="28" t="n">
        <x:v>1</x:v>
      </x:c>
      <x:c r="H2313" s="28" t="n">
        <x:v>5</x:v>
      </x:c>
      <x:c r="I2313" s="28" t="n">
        <x:v>23</x:v>
      </x:c>
      <x:c r="J2313" s="28" t="n">
        <x:v>1</x:v>
      </x:c>
      <x:c r="K2313" s="28" t="n">
        <x:v>8</x:v>
      </x:c>
      <x:c r="L2313" s="28" t="n">
        <x:v>4</x:v>
      </x:c>
      <x:c r="M2313" s="28" t="n">
        <x:v>10</x:v>
      </x:c>
      <x:c r="N2313" s="28" t="n">
        <x:v>3</x:v>
      </x:c>
      <x:c r="O2313" s="28" t="n">
        <x:v>0</x:v>
      </x:c>
      <x:c r="P2313" s="28" t="n">
        <x:v>0</x:v>
      </x:c>
      <x:c r="Q2313" s="24" t="n">
        <x:f>IFERROR(J2313/H2313,0)</x:f>
        <x:v>0.2</x:v>
      </x:c>
      <x:c r="R2313" s="24" t="n">
        <x:f>IFERROR(F2313/H2313,0)</x:f>
        <x:v>0</x:v>
      </x:c>
      <x:c r="S2313" s="24" t="n">
        <x:f>IFERROR(F2313/J2313,0)</x:f>
        <x:v>0</x:v>
      </x:c>
      <x:c r="T2313" s="28" t="n">
        <x:f>H2313-I2313</x:f>
        <x:v>-18</x:v>
      </x:c>
      <x:c r="U2313" s="24" t="n">
        <x:f>IFERROR(J2313/H2313,0)-IFERROR(K2313/I2313,0)</x:f>
        <x:v>-0.14782608695652172</x:v>
      </x:c>
      <x:c r="V2313" s="24" t="n">
        <x:f>IFERROR(F2313/J2313,0)-IFERROR(G2313/K2313,0)</x:f>
        <x:v>-0.125</x:v>
      </x:c>
      <x:c r="W2313" s="28" t="n">
        <x:f>L2313-M2313</x:f>
        <x:v>-6</x:v>
      </x:c>
      <x:c r="X2313" s="24" t="n">
        <x:f>IFERROR(K2313/I2313,0)</x:f>
        <x:v>0.34782608695652173</x:v>
      </x:c>
      <x:c r="Y2313" s="24" t="n">
        <x:f>IFERROR(G2313/I2313,0)</x:f>
        <x:v>0.043478260869565216</x:v>
      </x:c>
      <x:c r="Z2313" s="24" t="n">
        <x:f>IFERROR(G2313/K2313,0)</x:f>
        <x:v>0.125</x:v>
      </x:c>
      <x:c r="AA2313" s="24" t="n">
        <x:f>IFERROR(F2313/H2313,0)-IFERROR(G2313/I2313,0)</x:f>
        <x:v>-0.043478260869565216</x:v>
      </x:c>
      <x:c r="AB2313" s="28" t="n">
        <x:f>J2313-K2313</x:f>
        <x:v>-7</x:v>
      </x:c>
      <x:c r="AC2313" s="32" t="n">
        <x:f>F2313-G2313</x:f>
        <x:v>-1</x:v>
      </x:c>
    </x:row>
    <x:row r="2314">
      <x:c r="A2314" s="4" t="str">
        <x:v>2024-25</x:v>
      </x:c>
      <x:c r="B2314" s="20" t="n">
        <x:v>45528</x:v>
      </x:c>
      <x:c r="C2314" s="4" t="str">
        <x:v>Tottenham</x:v>
      </x:c>
      <x:c r="D2314" s="4" t="str">
        <x:v>Everton</x:v>
      </x:c>
      <x:c r="E2314" s="4" t="str">
        <x:v>Home</x:v>
      </x:c>
      <x:c r="F2314" s="28" t="n">
        <x:v>4</x:v>
      </x:c>
      <x:c r="G2314" s="28" t="n">
        <x:v>0</x:v>
      </x:c>
      <x:c r="H2314" s="28" t="n">
        <x:v>13</x:v>
      </x:c>
      <x:c r="I2314" s="28" t="n">
        <x:v>10</x:v>
      </x:c>
      <x:c r="J2314" s="28" t="n">
        <x:v>7</x:v>
      </x:c>
      <x:c r="K2314" s="28" t="n">
        <x:v>1</x:v>
      </x:c>
      <x:c r="L2314" s="28" t="n">
        <x:v>12</x:v>
      </x:c>
      <x:c r="M2314" s="28" t="n">
        <x:v>5</x:v>
      </x:c>
      <x:c r="N2314" s="28" t="n">
        <x:v>0</x:v>
      </x:c>
      <x:c r="O2314" s="28" t="n">
        <x:v>0</x:v>
      </x:c>
      <x:c r="P2314" s="28" t="n">
        <x:v>3</x:v>
      </x:c>
      <x:c r="Q2314" s="24" t="n">
        <x:f>IFERROR(J2314/H2314,0)</x:f>
        <x:v>0.5384615384615384</x:v>
      </x:c>
      <x:c r="R2314" s="24" t="n">
        <x:f>IFERROR(F2314/H2314,0)</x:f>
        <x:v>0.3076923076923077</x:v>
      </x:c>
      <x:c r="S2314" s="24" t="n">
        <x:f>IFERROR(F2314/J2314,0)</x:f>
        <x:v>0.5714285714285714</x:v>
      </x:c>
      <x:c r="T2314" s="28" t="n">
        <x:f>H2314-I2314</x:f>
        <x:v>3</x:v>
      </x:c>
      <x:c r="U2314" s="24" t="n">
        <x:f>IFERROR(J2314/H2314,0)-IFERROR(K2314/I2314,0)</x:f>
        <x:v>0.43846153846153846</x:v>
      </x:c>
      <x:c r="V2314" s="24" t="n">
        <x:f>IFERROR(F2314/J2314,0)-IFERROR(G2314/K2314,0)</x:f>
        <x:v>0.5714285714285714</x:v>
      </x:c>
      <x:c r="W2314" s="28" t="n">
        <x:f>L2314-M2314</x:f>
        <x:v>7</x:v>
      </x:c>
      <x:c r="X2314" s="24" t="n">
        <x:f>IFERROR(K2314/I2314,0)</x:f>
        <x:v>0.1</x:v>
      </x:c>
      <x:c r="Y2314" s="24" t="n">
        <x:f>IFERROR(G2314/I2314,0)</x:f>
        <x:v>0</x:v>
      </x:c>
      <x:c r="Z2314" s="24" t="n">
        <x:f>IFERROR(G2314/K2314,0)</x:f>
        <x:v>0</x:v>
      </x:c>
      <x:c r="AA2314" s="24" t="n">
        <x:f>IFERROR(F2314/H2314,0)-IFERROR(G2314/I2314,0)</x:f>
        <x:v>0.3076923076923077</x:v>
      </x:c>
      <x:c r="AB2314" s="28" t="n">
        <x:f>J2314-K2314</x:f>
        <x:v>6</x:v>
      </x:c>
      <x:c r="AC2314" s="32" t="n">
        <x:f>F2314-G2314</x:f>
        <x:v>4</x:v>
      </x:c>
    </x:row>
    <x:row r="2315">
      <x:c r="A2315" s="4" t="str">
        <x:v>2024-25</x:v>
      </x:c>
      <x:c r="B2315" s="20" t="n">
        <x:v>45528</x:v>
      </x:c>
      <x:c r="C2315" s="4" t="str">
        <x:v>West Ham</x:v>
      </x:c>
      <x:c r="D2315" s="4" t="str">
        <x:v>Crystal Palace</x:v>
      </x:c>
      <x:c r="E2315" s="4" t="str">
        <x:v>Away</x:v>
      </x:c>
      <x:c r="F2315" s="28" t="n">
        <x:v>2</x:v>
      </x:c>
      <x:c r="G2315" s="28" t="n">
        <x:v>0</x:v>
      </x:c>
      <x:c r="H2315" s="28" t="n">
        <x:v>18</x:v>
      </x:c>
      <x:c r="I2315" s="28" t="n">
        <x:v>14</x:v>
      </x:c>
      <x:c r="J2315" s="28" t="n">
        <x:v>3</x:v>
      </x:c>
      <x:c r="K2315" s="28" t="n">
        <x:v>2</x:v>
      </x:c>
      <x:c r="L2315" s="28" t="n">
        <x:v>3</x:v>
      </x:c>
      <x:c r="M2315" s="28" t="n">
        <x:v>3</x:v>
      </x:c>
      <x:c r="N2315" s="28" t="n">
        <x:v>1</x:v>
      </x:c>
      <x:c r="O2315" s="28" t="n">
        <x:v>0</x:v>
      </x:c>
      <x:c r="P2315" s="28" t="n">
        <x:v>3</x:v>
      </x:c>
      <x:c r="Q2315" s="24" t="n">
        <x:f>IFERROR(J2315/H2315,0)</x:f>
        <x:v>0.16666666666666666</x:v>
      </x:c>
      <x:c r="R2315" s="24" t="n">
        <x:f>IFERROR(F2315/H2315,0)</x:f>
        <x:v>0.1111111111111111</x:v>
      </x:c>
      <x:c r="S2315" s="24" t="n">
        <x:f>IFERROR(F2315/J2315,0)</x:f>
        <x:v>0.6666666666666666</x:v>
      </x:c>
      <x:c r="T2315" s="28" t="n">
        <x:f>H2315-I2315</x:f>
        <x:v>4</x:v>
      </x:c>
      <x:c r="U2315" s="24" t="n">
        <x:f>IFERROR(J2315/H2315,0)-IFERROR(K2315/I2315,0)</x:f>
        <x:v>0.023809523809523808</x:v>
      </x:c>
      <x:c r="V2315" s="24" t="n">
        <x:f>IFERROR(F2315/J2315,0)-IFERROR(G2315/K2315,0)</x:f>
        <x:v>0.6666666666666666</x:v>
      </x:c>
      <x:c r="W2315" s="28" t="n">
        <x:f>L2315-M2315</x:f>
        <x:v>0</x:v>
      </x:c>
      <x:c r="X2315" s="24" t="n">
        <x:f>IFERROR(K2315/I2315,0)</x:f>
        <x:v>0.14285714285714285</x:v>
      </x:c>
      <x:c r="Y2315" s="24" t="n">
        <x:f>IFERROR(G2315/I2315,0)</x:f>
        <x:v>0</x:v>
      </x:c>
      <x:c r="Z2315" s="24" t="n">
        <x:f>IFERROR(G2315/K2315,0)</x:f>
        <x:v>0</x:v>
      </x:c>
      <x:c r="AA2315" s="24" t="n">
        <x:f>IFERROR(F2315/H2315,0)-IFERROR(G2315/I2315,0)</x:f>
        <x:v>0.1111111111111111</x:v>
      </x:c>
      <x:c r="AB2315" s="28" t="n">
        <x:f>J2315-K2315</x:f>
        <x:v>1</x:v>
      </x:c>
      <x:c r="AC2315" s="32" t="n">
        <x:f>F2315-G2315</x:f>
        <x:v>2</x:v>
      </x:c>
    </x:row>
    <x:row r="2316">
      <x:c r="A2316" s="4" t="str">
        <x:v>2024-25</x:v>
      </x:c>
      <x:c r="B2316" s="20" t="n">
        <x:v>45529</x:v>
      </x:c>
      <x:c r="C2316" s="4" t="str">
        <x:v>Bournemouth</x:v>
      </x:c>
      <x:c r="D2316" s="4" t="str">
        <x:v>Newcastle</x:v>
      </x:c>
      <x:c r="E2316" s="4" t="str">
        <x:v>Home</x:v>
      </x:c>
      <x:c r="F2316" s="28" t="n">
        <x:v>1</x:v>
      </x:c>
      <x:c r="G2316" s="28" t="n">
        <x:v>1</x:v>
      </x:c>
      <x:c r="H2316" s="28" t="n">
        <x:v>16</x:v>
      </x:c>
      <x:c r="I2316" s="28" t="n">
        <x:v>14</x:v>
      </x:c>
      <x:c r="J2316" s="28" t="n">
        <x:v>4</x:v>
      </x:c>
      <x:c r="K2316" s="28" t="n">
        <x:v>5</x:v>
      </x:c>
      <x:c r="L2316" s="28" t="n">
        <x:v>8</x:v>
      </x:c>
      <x:c r="M2316" s="28" t="n">
        <x:v>9</x:v>
      </x:c>
      <x:c r="N2316" s="28" t="n">
        <x:v>2</x:v>
      </x:c>
      <x:c r="O2316" s="28" t="n">
        <x:v>0</x:v>
      </x:c>
      <x:c r="P2316" s="28" t="n">
        <x:v>1</x:v>
      </x:c>
      <x:c r="Q2316" s="24" t="n">
        <x:f>IFERROR(J2316/H2316,0)</x:f>
        <x:v>0.25</x:v>
      </x:c>
      <x:c r="R2316" s="24" t="n">
        <x:f>IFERROR(F2316/H2316,0)</x:f>
        <x:v>0.0625</x:v>
      </x:c>
      <x:c r="S2316" s="24" t="n">
        <x:f>IFERROR(F2316/J2316,0)</x:f>
        <x:v>0.25</x:v>
      </x:c>
      <x:c r="T2316" s="28" t="n">
        <x:f>H2316-I2316</x:f>
        <x:v>2</x:v>
      </x:c>
      <x:c r="U2316" s="24" t="n">
        <x:f>IFERROR(J2316/H2316,0)-IFERROR(K2316/I2316,0)</x:f>
        <x:v>-0.10714285714285715</x:v>
      </x:c>
      <x:c r="V2316" s="24" t="n">
        <x:f>IFERROR(F2316/J2316,0)-IFERROR(G2316/K2316,0)</x:f>
        <x:v>0.04999999999999999</x:v>
      </x:c>
      <x:c r="W2316" s="28" t="n">
        <x:f>L2316-M2316</x:f>
        <x:v>-1</x:v>
      </x:c>
      <x:c r="X2316" s="24" t="n">
        <x:f>IFERROR(K2316/I2316,0)</x:f>
        <x:v>0.35714285714285715</x:v>
      </x:c>
      <x:c r="Y2316" s="24" t="n">
        <x:f>IFERROR(G2316/I2316,0)</x:f>
        <x:v>0.07142857142857142</x:v>
      </x:c>
      <x:c r="Z2316" s="24" t="n">
        <x:f>IFERROR(G2316/K2316,0)</x:f>
        <x:v>0.2</x:v>
      </x:c>
      <x:c r="AA2316" s="24" t="n">
        <x:f>IFERROR(F2316/H2316,0)-IFERROR(G2316/I2316,0)</x:f>
        <x:v>-0.008928571428571425</x:v>
      </x:c>
      <x:c r="AB2316" s="28" t="n">
        <x:f>J2316-K2316</x:f>
        <x:v>-1</x:v>
      </x:c>
      <x:c r="AC2316" s="32" t="n">
        <x:f>F2316-G2316</x:f>
        <x:v>0</x:v>
      </x:c>
    </x:row>
    <x:row r="2317">
      <x:c r="A2317" s="4" t="str">
        <x:v>2024-25</x:v>
      </x:c>
      <x:c r="B2317" s="20" t="n">
        <x:v>45529</x:v>
      </x:c>
      <x:c r="C2317" s="4" t="str">
        <x:v>Brentford</x:v>
      </x:c>
      <x:c r="D2317" s="4" t="str">
        <x:v>Liverpool</x:v>
      </x:c>
      <x:c r="E2317" s="4" t="str">
        <x:v>Away</x:v>
      </x:c>
      <x:c r="F2317" s="28" t="n">
        <x:v>0</x:v>
      </x:c>
      <x:c r="G2317" s="28" t="n">
        <x:v>2</x:v>
      </x:c>
      <x:c r="H2317" s="28" t="n">
        <x:v>8</x:v>
      </x:c>
      <x:c r="I2317" s="28" t="n">
        <x:v>19</x:v>
      </x:c>
      <x:c r="J2317" s="28" t="n">
        <x:v>2</x:v>
      </x:c>
      <x:c r="K2317" s="28" t="n">
        <x:v>8</x:v>
      </x:c>
      <x:c r="L2317" s="28" t="n">
        <x:v>4</x:v>
      </x:c>
      <x:c r="M2317" s="28" t="n">
        <x:v>9</x:v>
      </x:c>
      <x:c r="N2317" s="28" t="n">
        <x:v>3</x:v>
      </x:c>
      <x:c r="O2317" s="28" t="n">
        <x:v>0</x:v>
      </x:c>
      <x:c r="P2317" s="28" t="n">
        <x:v>0</x:v>
      </x:c>
      <x:c r="Q2317" s="24" t="n">
        <x:f>IFERROR(J2317/H2317,0)</x:f>
        <x:v>0.25</x:v>
      </x:c>
      <x:c r="R2317" s="24" t="n">
        <x:f>IFERROR(F2317/H2317,0)</x:f>
        <x:v>0</x:v>
      </x:c>
      <x:c r="S2317" s="24" t="n">
        <x:f>IFERROR(F2317/J2317,0)</x:f>
        <x:v>0</x:v>
      </x:c>
      <x:c r="T2317" s="28" t="n">
        <x:f>H2317-I2317</x:f>
        <x:v>-11</x:v>
      </x:c>
      <x:c r="U2317" s="24" t="n">
        <x:f>IFERROR(J2317/H2317,0)-IFERROR(K2317/I2317,0)</x:f>
        <x:v>-0.17105263157894735</x:v>
      </x:c>
      <x:c r="V2317" s="24" t="n">
        <x:f>IFERROR(F2317/J2317,0)-IFERROR(G2317/K2317,0)</x:f>
        <x:v>-0.25</x:v>
      </x:c>
      <x:c r="W2317" s="28" t="n">
        <x:f>L2317-M2317</x:f>
        <x:v>-5</x:v>
      </x:c>
      <x:c r="X2317" s="24" t="n">
        <x:f>IFERROR(K2317/I2317,0)</x:f>
        <x:v>0.42105263157894735</x:v>
      </x:c>
      <x:c r="Y2317" s="24" t="n">
        <x:f>IFERROR(G2317/I2317,0)</x:f>
        <x:v>0.10526315789473684</x:v>
      </x:c>
      <x:c r="Z2317" s="24" t="n">
        <x:f>IFERROR(G2317/K2317,0)</x:f>
        <x:v>0.25</x:v>
      </x:c>
      <x:c r="AA2317" s="24" t="n">
        <x:f>IFERROR(F2317/H2317,0)-IFERROR(G2317/I2317,0)</x:f>
        <x:v>-0.10526315789473684</x:v>
      </x:c>
      <x:c r="AB2317" s="28" t="n">
        <x:f>J2317-K2317</x:f>
        <x:v>-6</x:v>
      </x:c>
      <x:c r="AC2317" s="32" t="n">
        <x:f>F2317-G2317</x:f>
        <x:v>-2</x:v>
      </x:c>
    </x:row>
    <x:row r="2318">
      <x:c r="A2318" s="4" t="str">
        <x:v>2024-25</x:v>
      </x:c>
      <x:c r="B2318" s="20" t="n">
        <x:v>45529</x:v>
      </x:c>
      <x:c r="C2318" s="4" t="str">
        <x:v>Chelsea</x:v>
      </x:c>
      <x:c r="D2318" s="4" t="str">
        <x:v>Wolves</x:v>
      </x:c>
      <x:c r="E2318" s="4" t="str">
        <x:v>Away</x:v>
      </x:c>
      <x:c r="F2318" s="28" t="n">
        <x:v>6</x:v>
      </x:c>
      <x:c r="G2318" s="28" t="n">
        <x:v>2</x:v>
      </x:c>
      <x:c r="H2318" s="28" t="n">
        <x:v>14</x:v>
      </x:c>
      <x:c r="I2318" s="28" t="n">
        <x:v>12</x:v>
      </x:c>
      <x:c r="J2318" s="28" t="n">
        <x:v>8</x:v>
      </x:c>
      <x:c r="K2318" s="28" t="n">
        <x:v>4</x:v>
      </x:c>
      <x:c r="L2318" s="28" t="n">
        <x:v>5</x:v>
      </x:c>
      <x:c r="M2318" s="28" t="n">
        <x:v>5</x:v>
      </x:c>
      <x:c r="N2318" s="28" t="n">
        <x:v>3</x:v>
      </x:c>
      <x:c r="O2318" s="28" t="n">
        <x:v>0</x:v>
      </x:c>
      <x:c r="P2318" s="28" t="n">
        <x:v>3</x:v>
      </x:c>
      <x:c r="Q2318" s="24" t="n">
        <x:f>IFERROR(J2318/H2318,0)</x:f>
        <x:v>0.5714285714285714</x:v>
      </x:c>
      <x:c r="R2318" s="24" t="n">
        <x:f>IFERROR(F2318/H2318,0)</x:f>
        <x:v>0.42857142857142855</x:v>
      </x:c>
      <x:c r="S2318" s="24" t="n">
        <x:f>IFERROR(F2318/J2318,0)</x:f>
        <x:v>0.75</x:v>
      </x:c>
      <x:c r="T2318" s="28" t="n">
        <x:f>H2318-I2318</x:f>
        <x:v>2</x:v>
      </x:c>
      <x:c r="U2318" s="24" t="n">
        <x:f>IFERROR(J2318/H2318,0)-IFERROR(K2318/I2318,0)</x:f>
        <x:v>0.23809523809523808</x:v>
      </x:c>
      <x:c r="V2318" s="24" t="n">
        <x:f>IFERROR(F2318/J2318,0)-IFERROR(G2318/K2318,0)</x:f>
        <x:v>0.25</x:v>
      </x:c>
      <x:c r="W2318" s="28" t="n">
        <x:f>L2318-M2318</x:f>
        <x:v>0</x:v>
      </x:c>
      <x:c r="X2318" s="24" t="n">
        <x:f>IFERROR(K2318/I2318,0)</x:f>
        <x:v>0.3333333333333333</x:v>
      </x:c>
      <x:c r="Y2318" s="24" t="n">
        <x:f>IFERROR(G2318/I2318,0)</x:f>
        <x:v>0.16666666666666666</x:v>
      </x:c>
      <x:c r="Z2318" s="24" t="n">
        <x:f>IFERROR(G2318/K2318,0)</x:f>
        <x:v>0.5</x:v>
      </x:c>
      <x:c r="AA2318" s="24" t="n">
        <x:f>IFERROR(F2318/H2318,0)-IFERROR(G2318/I2318,0)</x:f>
        <x:v>0.26190476190476186</x:v>
      </x:c>
      <x:c r="AB2318" s="28" t="n">
        <x:f>J2318-K2318</x:f>
        <x:v>4</x:v>
      </x:c>
      <x:c r="AC2318" s="32" t="n">
        <x:f>F2318-G2318</x:f>
        <x:v>4</x:v>
      </x:c>
    </x:row>
    <x:row r="2319">
      <x:c r="A2319" s="4" t="str">
        <x:v>2024-25</x:v>
      </x:c>
      <x:c r="B2319" s="20" t="n">
        <x:v>45529</x:v>
      </x:c>
      <x:c r="C2319" s="4" t="str">
        <x:v>Liverpool</x:v>
      </x:c>
      <x:c r="D2319" s="4" t="str">
        <x:v>Brentford</x:v>
      </x:c>
      <x:c r="E2319" s="4" t="str">
        <x:v>Home</x:v>
      </x:c>
      <x:c r="F2319" s="28" t="n">
        <x:v>2</x:v>
      </x:c>
      <x:c r="G2319" s="28" t="n">
        <x:v>0</x:v>
      </x:c>
      <x:c r="H2319" s="28" t="n">
        <x:v>19</x:v>
      </x:c>
      <x:c r="I2319" s="28" t="n">
        <x:v>8</x:v>
      </x:c>
      <x:c r="J2319" s="28" t="n">
        <x:v>8</x:v>
      </x:c>
      <x:c r="K2319" s="28" t="n">
        <x:v>2</x:v>
      </x:c>
      <x:c r="L2319" s="28" t="n">
        <x:v>9</x:v>
      </x:c>
      <x:c r="M2319" s="28" t="n">
        <x:v>4</x:v>
      </x:c>
      <x:c r="N2319" s="28" t="n">
        <x:v>2</x:v>
      </x:c>
      <x:c r="O2319" s="28" t="n">
        <x:v>0</x:v>
      </x:c>
      <x:c r="P2319" s="28" t="n">
        <x:v>3</x:v>
      </x:c>
      <x:c r="Q2319" s="24" t="n">
        <x:f>IFERROR(J2319/H2319,0)</x:f>
        <x:v>0.42105263157894735</x:v>
      </x:c>
      <x:c r="R2319" s="24" t="n">
        <x:f>IFERROR(F2319/H2319,0)</x:f>
        <x:v>0.10526315789473684</x:v>
      </x:c>
      <x:c r="S2319" s="24" t="n">
        <x:f>IFERROR(F2319/J2319,0)</x:f>
        <x:v>0.25</x:v>
      </x:c>
      <x:c r="T2319" s="28" t="n">
        <x:f>H2319-I2319</x:f>
        <x:v>11</x:v>
      </x:c>
      <x:c r="U2319" s="24" t="n">
        <x:f>IFERROR(J2319/H2319,0)-IFERROR(K2319/I2319,0)</x:f>
        <x:v>0.17105263157894735</x:v>
      </x:c>
      <x:c r="V2319" s="24" t="n">
        <x:f>IFERROR(F2319/J2319,0)-IFERROR(G2319/K2319,0)</x:f>
        <x:v>0.25</x:v>
      </x:c>
      <x:c r="W2319" s="28" t="n">
        <x:f>L2319-M2319</x:f>
        <x:v>5</x:v>
      </x:c>
      <x:c r="X2319" s="24" t="n">
        <x:f>IFERROR(K2319/I2319,0)</x:f>
        <x:v>0.25</x:v>
      </x:c>
      <x:c r="Y2319" s="24" t="n">
        <x:f>IFERROR(G2319/I2319,0)</x:f>
        <x:v>0</x:v>
      </x:c>
      <x:c r="Z2319" s="24" t="n">
        <x:f>IFERROR(G2319/K2319,0)</x:f>
        <x:v>0</x:v>
      </x:c>
      <x:c r="AA2319" s="24" t="n">
        <x:f>IFERROR(F2319/H2319,0)-IFERROR(G2319/I2319,0)</x:f>
        <x:v>0.10526315789473684</x:v>
      </x:c>
      <x:c r="AB2319" s="28" t="n">
        <x:f>J2319-K2319</x:f>
        <x:v>6</x:v>
      </x:c>
      <x:c r="AC2319" s="32" t="n">
        <x:f>F2319-G2319</x:f>
        <x:v>2</x:v>
      </x:c>
    </x:row>
    <x:row r="2320">
      <x:c r="A2320" s="4" t="str">
        <x:v>2024-25</x:v>
      </x:c>
      <x:c r="B2320" s="20" t="n">
        <x:v>45529</x:v>
      </x:c>
      <x:c r="C2320" s="4" t="str">
        <x:v>Newcastle</x:v>
      </x:c>
      <x:c r="D2320" s="4" t="str">
        <x:v>Bournemouth</x:v>
      </x:c>
      <x:c r="E2320" s="4" t="str">
        <x:v>Away</x:v>
      </x:c>
      <x:c r="F2320" s="28" t="n">
        <x:v>1</x:v>
      </x:c>
      <x:c r="G2320" s="28" t="n">
        <x:v>1</x:v>
      </x:c>
      <x:c r="H2320" s="28" t="n">
        <x:v>14</x:v>
      </x:c>
      <x:c r="I2320" s="28" t="n">
        <x:v>16</x:v>
      </x:c>
      <x:c r="J2320" s="28" t="n">
        <x:v>5</x:v>
      </x:c>
      <x:c r="K2320" s="28" t="n">
        <x:v>4</x:v>
      </x:c>
      <x:c r="L2320" s="28" t="n">
        <x:v>9</x:v>
      </x:c>
      <x:c r="M2320" s="28" t="n">
        <x:v>8</x:v>
      </x:c>
      <x:c r="N2320" s="28" t="n">
        <x:v>2</x:v>
      </x:c>
      <x:c r="O2320" s="28" t="n">
        <x:v>0</x:v>
      </x:c>
      <x:c r="P2320" s="28" t="n">
        <x:v>1</x:v>
      </x:c>
      <x:c r="Q2320" s="24" t="n">
        <x:f>IFERROR(J2320/H2320,0)</x:f>
        <x:v>0.35714285714285715</x:v>
      </x:c>
      <x:c r="R2320" s="24" t="n">
        <x:f>IFERROR(F2320/H2320,0)</x:f>
        <x:v>0.07142857142857142</x:v>
      </x:c>
      <x:c r="S2320" s="24" t="n">
        <x:f>IFERROR(F2320/J2320,0)</x:f>
        <x:v>0.2</x:v>
      </x:c>
      <x:c r="T2320" s="28" t="n">
        <x:f>H2320-I2320</x:f>
        <x:v>-2</x:v>
      </x:c>
      <x:c r="U2320" s="24" t="n">
        <x:f>IFERROR(J2320/H2320,0)-IFERROR(K2320/I2320,0)</x:f>
        <x:v>0.10714285714285715</x:v>
      </x:c>
      <x:c r="V2320" s="24" t="n">
        <x:f>IFERROR(F2320/J2320,0)-IFERROR(G2320/K2320,0)</x:f>
        <x:v>-0.04999999999999999</x:v>
      </x:c>
      <x:c r="W2320" s="28" t="n">
        <x:f>L2320-M2320</x:f>
        <x:v>1</x:v>
      </x:c>
      <x:c r="X2320" s="24" t="n">
        <x:f>IFERROR(K2320/I2320,0)</x:f>
        <x:v>0.25</x:v>
      </x:c>
      <x:c r="Y2320" s="24" t="n">
        <x:f>IFERROR(G2320/I2320,0)</x:f>
        <x:v>0.0625</x:v>
      </x:c>
      <x:c r="Z2320" s="24" t="n">
        <x:f>IFERROR(G2320/K2320,0)</x:f>
        <x:v>0.25</x:v>
      </x:c>
      <x:c r="AA2320" s="24" t="n">
        <x:f>IFERROR(F2320/H2320,0)-IFERROR(G2320/I2320,0)</x:f>
        <x:v>0.008928571428571425</x:v>
      </x:c>
      <x:c r="AB2320" s="28" t="n">
        <x:f>J2320-K2320</x:f>
        <x:v>1</x:v>
      </x:c>
      <x:c r="AC2320" s="32" t="n">
        <x:f>F2320-G2320</x:f>
        <x:v>0</x:v>
      </x:c>
    </x:row>
    <x:row r="2321">
      <x:c r="A2321" s="4" t="str">
        <x:v>2024-25</x:v>
      </x:c>
      <x:c r="B2321" s="20" t="n">
        <x:v>45529</x:v>
      </x:c>
      <x:c r="C2321" s="4" t="str">
        <x:v>Wolves</x:v>
      </x:c>
      <x:c r="D2321" s="4" t="str">
        <x:v>Chelsea</x:v>
      </x:c>
      <x:c r="E2321" s="4" t="str">
        <x:v>Home</x:v>
      </x:c>
      <x:c r="F2321" s="28" t="n">
        <x:v>2</x:v>
      </x:c>
      <x:c r="G2321" s="28" t="n">
        <x:v>6</x:v>
      </x:c>
      <x:c r="H2321" s="28" t="n">
        <x:v>12</x:v>
      </x:c>
      <x:c r="I2321" s="28" t="n">
        <x:v>14</x:v>
      </x:c>
      <x:c r="J2321" s="28" t="n">
        <x:v>4</x:v>
      </x:c>
      <x:c r="K2321" s="28" t="n">
        <x:v>8</x:v>
      </x:c>
      <x:c r="L2321" s="28" t="n">
        <x:v>5</x:v>
      </x:c>
      <x:c r="M2321" s="28" t="n">
        <x:v>5</x:v>
      </x:c>
      <x:c r="N2321" s="28" t="n">
        <x:v>2</x:v>
      </x:c>
      <x:c r="O2321" s="28" t="n">
        <x:v>0</x:v>
      </x:c>
      <x:c r="P2321" s="28" t="n">
        <x:v>0</x:v>
      </x:c>
      <x:c r="Q2321" s="24" t="n">
        <x:f>IFERROR(J2321/H2321,0)</x:f>
        <x:v>0.3333333333333333</x:v>
      </x:c>
      <x:c r="R2321" s="24" t="n">
        <x:f>IFERROR(F2321/H2321,0)</x:f>
        <x:v>0.16666666666666666</x:v>
      </x:c>
      <x:c r="S2321" s="24" t="n">
        <x:f>IFERROR(F2321/J2321,0)</x:f>
        <x:v>0.5</x:v>
      </x:c>
      <x:c r="T2321" s="28" t="n">
        <x:f>H2321-I2321</x:f>
        <x:v>-2</x:v>
      </x:c>
      <x:c r="U2321" s="24" t="n">
        <x:f>IFERROR(J2321/H2321,0)-IFERROR(K2321/I2321,0)</x:f>
        <x:v>-0.23809523809523808</x:v>
      </x:c>
      <x:c r="V2321" s="24" t="n">
        <x:f>IFERROR(F2321/J2321,0)-IFERROR(G2321/K2321,0)</x:f>
        <x:v>-0.25</x:v>
      </x:c>
      <x:c r="W2321" s="28" t="n">
        <x:f>L2321-M2321</x:f>
        <x:v>0</x:v>
      </x:c>
      <x:c r="X2321" s="24" t="n">
        <x:f>IFERROR(K2321/I2321,0)</x:f>
        <x:v>0.5714285714285714</x:v>
      </x:c>
      <x:c r="Y2321" s="24" t="n">
        <x:f>IFERROR(G2321/I2321,0)</x:f>
        <x:v>0.42857142857142855</x:v>
      </x:c>
      <x:c r="Z2321" s="24" t="n">
        <x:f>IFERROR(G2321/K2321,0)</x:f>
        <x:v>0.75</x:v>
      </x:c>
      <x:c r="AA2321" s="24" t="n">
        <x:f>IFERROR(F2321/H2321,0)-IFERROR(G2321/I2321,0)</x:f>
        <x:v>-0.26190476190476186</x:v>
      </x:c>
      <x:c r="AB2321" s="28" t="n">
        <x:f>J2321-K2321</x:f>
        <x:v>-4</x:v>
      </x:c>
      <x:c r="AC2321" s="32" t="n">
        <x:f>F2321-G2321</x:f>
        <x:v>-4</x:v>
      </x:c>
    </x:row>
    <x:row r="2322">
      <x:c r="A2322" s="4" t="str">
        <x:v>2024-25</x:v>
      </x:c>
      <x:c r="B2322" s="20" t="n">
        <x:v>45535</x:v>
      </x:c>
      <x:c r="C2322" s="4" t="str">
        <x:v>Arsenal</x:v>
      </x:c>
      <x:c r="D2322" s="4" t="str">
        <x:v>Brighton</x:v>
      </x:c>
      <x:c r="E2322" s="4" t="str">
        <x:v>Home</x:v>
      </x:c>
      <x:c r="F2322" s="28" t="n">
        <x:v>1</x:v>
      </x:c>
      <x:c r="G2322" s="28" t="n">
        <x:v>1</x:v>
      </x:c>
      <x:c r="H2322" s="28" t="n">
        <x:v>11</x:v>
      </x:c>
      <x:c r="I2322" s="28" t="n">
        <x:v>22</x:v>
      </x:c>
      <x:c r="J2322" s="28" t="n">
        <x:v>7</x:v>
      </x:c>
      <x:c r="K2322" s="28" t="n">
        <x:v>4</x:v>
      </x:c>
      <x:c r="L2322" s="28" t="n">
        <x:v>3</x:v>
      </x:c>
      <x:c r="M2322" s="28" t="n">
        <x:v>7</x:v>
      </x:c>
      <x:c r="N2322" s="28" t="n">
        <x:v>3</x:v>
      </x:c>
      <x:c r="O2322" s="28" t="n">
        <x:v>1</x:v>
      </x:c>
      <x:c r="P2322" s="28" t="n">
        <x:v>1</x:v>
      </x:c>
      <x:c r="Q2322" s="24" t="n">
        <x:f>IFERROR(J2322/H2322,0)</x:f>
        <x:v>0.6363636363636364</x:v>
      </x:c>
      <x:c r="R2322" s="24" t="n">
        <x:f>IFERROR(F2322/H2322,0)</x:f>
        <x:v>0.09090909090909091</x:v>
      </x:c>
      <x:c r="S2322" s="24" t="n">
        <x:f>IFERROR(F2322/J2322,0)</x:f>
        <x:v>0.14285714285714285</x:v>
      </x:c>
      <x:c r="T2322" s="28" t="n">
        <x:f>H2322-I2322</x:f>
        <x:v>-11</x:v>
      </x:c>
      <x:c r="U2322" s="24" t="n">
        <x:f>IFERROR(J2322/H2322,0)-IFERROR(K2322/I2322,0)</x:f>
        <x:v>0.45454545454545453</x:v>
      </x:c>
      <x:c r="V2322" s="24" t="n">
        <x:f>IFERROR(F2322/J2322,0)-IFERROR(G2322/K2322,0)</x:f>
        <x:v>-0.10714285714285715</x:v>
      </x:c>
      <x:c r="W2322" s="28" t="n">
        <x:f>L2322-M2322</x:f>
        <x:v>-4</x:v>
      </x:c>
      <x:c r="X2322" s="24" t="n">
        <x:f>IFERROR(K2322/I2322,0)</x:f>
        <x:v>0.18181818181818182</x:v>
      </x:c>
      <x:c r="Y2322" s="24" t="n">
        <x:f>IFERROR(G2322/I2322,0)</x:f>
        <x:v>0.045454545454545456</x:v>
      </x:c>
      <x:c r="Z2322" s="24" t="n">
        <x:f>IFERROR(G2322/K2322,0)</x:f>
        <x:v>0.25</x:v>
      </x:c>
      <x:c r="AA2322" s="24" t="n">
        <x:f>IFERROR(F2322/H2322,0)-IFERROR(G2322/I2322,0)</x:f>
        <x:v>0.045454545454545456</x:v>
      </x:c>
      <x:c r="AB2322" s="28" t="n">
        <x:f>J2322-K2322</x:f>
        <x:v>3</x:v>
      </x:c>
      <x:c r="AC2322" s="32" t="n">
        <x:f>F2322-G2322</x:f>
        <x:v>0</x:v>
      </x:c>
    </x:row>
    <x:row r="2323">
      <x:c r="A2323" s="4" t="str">
        <x:v>2024-25</x:v>
      </x:c>
      <x:c r="B2323" s="20" t="n">
        <x:v>45535</x:v>
      </x:c>
      <x:c r="C2323" s="4" t="str">
        <x:v>Aston Villa</x:v>
      </x:c>
      <x:c r="D2323" s="4" t="str">
        <x:v>Leicester</x:v>
      </x:c>
      <x:c r="E2323" s="4" t="str">
        <x:v>Away</x:v>
      </x:c>
      <x:c r="F2323" s="28" t="n">
        <x:v>2</x:v>
      </x:c>
      <x:c r="G2323" s="28" t="n">
        <x:v>1</x:v>
      </x:c>
      <x:c r="H2323" s="28" t="n">
        <x:v>10</x:v>
      </x:c>
      <x:c r="I2323" s="28" t="n">
        <x:v>9</x:v>
      </x:c>
      <x:c r="J2323" s="28" t="n">
        <x:v>5</x:v>
      </x:c>
      <x:c r="K2323" s="28" t="n">
        <x:v>3</x:v>
      </x:c>
      <x:c r="L2323" s="28" t="n">
        <x:v>4</x:v>
      </x:c>
      <x:c r="M2323" s="28" t="n">
        <x:v>1</x:v>
      </x:c>
      <x:c r="N2323" s="28" t="n">
        <x:v>5</x:v>
      </x:c>
      <x:c r="O2323" s="28" t="n">
        <x:v>0</x:v>
      </x:c>
      <x:c r="P2323" s="28" t="n">
        <x:v>3</x:v>
      </x:c>
      <x:c r="Q2323" s="24" t="n">
        <x:f>IFERROR(J2323/H2323,0)</x:f>
        <x:v>0.5</x:v>
      </x:c>
      <x:c r="R2323" s="24" t="n">
        <x:f>IFERROR(F2323/H2323,0)</x:f>
        <x:v>0.2</x:v>
      </x:c>
      <x:c r="S2323" s="24" t="n">
        <x:f>IFERROR(F2323/J2323,0)</x:f>
        <x:v>0.4</x:v>
      </x:c>
      <x:c r="T2323" s="28" t="n">
        <x:f>H2323-I2323</x:f>
        <x:v>1</x:v>
      </x:c>
      <x:c r="U2323" s="24" t="n">
        <x:f>IFERROR(J2323/H2323,0)-IFERROR(K2323/I2323,0)</x:f>
        <x:v>0.16666666666666669</x:v>
      </x:c>
      <x:c r="V2323" s="24" t="n">
        <x:f>IFERROR(F2323/J2323,0)-IFERROR(G2323/K2323,0)</x:f>
        <x:v>0.06666666666666671</x:v>
      </x:c>
      <x:c r="W2323" s="28" t="n">
        <x:f>L2323-M2323</x:f>
        <x:v>3</x:v>
      </x:c>
      <x:c r="X2323" s="24" t="n">
        <x:f>IFERROR(K2323/I2323,0)</x:f>
        <x:v>0.3333333333333333</x:v>
      </x:c>
      <x:c r="Y2323" s="24" t="n">
        <x:f>IFERROR(G2323/I2323,0)</x:f>
        <x:v>0.1111111111111111</x:v>
      </x:c>
      <x:c r="Z2323" s="24" t="n">
        <x:f>IFERROR(G2323/K2323,0)</x:f>
        <x:v>0.3333333333333333</x:v>
      </x:c>
      <x:c r="AA2323" s="24" t="n">
        <x:f>IFERROR(F2323/H2323,0)-IFERROR(G2323/I2323,0)</x:f>
        <x:v>0.0888888888888889</x:v>
      </x:c>
      <x:c r="AB2323" s="28" t="n">
        <x:f>J2323-K2323</x:f>
        <x:v>2</x:v>
      </x:c>
      <x:c r="AC2323" s="32" t="n">
        <x:f>F2323-G2323</x:f>
        <x:v>1</x:v>
      </x:c>
    </x:row>
    <x:row r="2324">
      <x:c r="A2324" s="4" t="str">
        <x:v>2024-25</x:v>
      </x:c>
      <x:c r="B2324" s="20" t="n">
        <x:v>45535</x:v>
      </x:c>
      <x:c r="C2324" s="4" t="str">
        <x:v>Bournemouth</x:v>
      </x:c>
      <x:c r="D2324" s="4" t="str">
        <x:v>Everton</x:v>
      </x:c>
      <x:c r="E2324" s="4" t="str">
        <x:v>Away</x:v>
      </x:c>
      <x:c r="F2324" s="28" t="n">
        <x:v>3</x:v>
      </x:c>
      <x:c r="G2324" s="28" t="n">
        <x:v>2</x:v>
      </x:c>
      <x:c r="H2324" s="28" t="n">
        <x:v>17</x:v>
      </x:c>
      <x:c r="I2324" s="28" t="n">
        <x:v>18</x:v>
      </x:c>
      <x:c r="J2324" s="28" t="n">
        <x:v>7</x:v>
      </x:c>
      <x:c r="K2324" s="28" t="n">
        <x:v>8</x:v>
      </x:c>
      <x:c r="L2324" s="28" t="n">
        <x:v>4</x:v>
      </x:c>
      <x:c r="M2324" s="28" t="n">
        <x:v>8</x:v>
      </x:c>
      <x:c r="N2324" s="28" t="n">
        <x:v>1</x:v>
      </x:c>
      <x:c r="O2324" s="28" t="n">
        <x:v>0</x:v>
      </x:c>
      <x:c r="P2324" s="28" t="n">
        <x:v>3</x:v>
      </x:c>
      <x:c r="Q2324" s="24" t="n">
        <x:f>IFERROR(J2324/H2324,0)</x:f>
        <x:v>0.4117647058823529</x:v>
      </x:c>
      <x:c r="R2324" s="24" t="n">
        <x:f>IFERROR(F2324/H2324,0)</x:f>
        <x:v>0.17647058823529413</x:v>
      </x:c>
      <x:c r="S2324" s="24" t="n">
        <x:f>IFERROR(F2324/J2324,0)</x:f>
        <x:v>0.42857142857142855</x:v>
      </x:c>
      <x:c r="T2324" s="28" t="n">
        <x:f>H2324-I2324</x:f>
        <x:v>-1</x:v>
      </x:c>
      <x:c r="U2324" s="24" t="n">
        <x:f>IFERROR(J2324/H2324,0)-IFERROR(K2324/I2324,0)</x:f>
        <x:v>-0.0326797385620915</x:v>
      </x:c>
      <x:c r="V2324" s="24" t="n">
        <x:f>IFERROR(F2324/J2324,0)-IFERROR(G2324/K2324,0)</x:f>
        <x:v>0.17857142857142855</x:v>
      </x:c>
      <x:c r="W2324" s="28" t="n">
        <x:f>L2324-M2324</x:f>
        <x:v>-4</x:v>
      </x:c>
      <x:c r="X2324" s="24" t="n">
        <x:f>IFERROR(K2324/I2324,0)</x:f>
        <x:v>0.4444444444444444</x:v>
      </x:c>
      <x:c r="Y2324" s="24" t="n">
        <x:f>IFERROR(G2324/I2324,0)</x:f>
        <x:v>0.1111111111111111</x:v>
      </x:c>
      <x:c r="Z2324" s="24" t="n">
        <x:f>IFERROR(G2324/K2324,0)</x:f>
        <x:v>0.25</x:v>
      </x:c>
      <x:c r="AA2324" s="24" t="n">
        <x:f>IFERROR(F2324/H2324,0)-IFERROR(G2324/I2324,0)</x:f>
        <x:v>0.06535947712418302</x:v>
      </x:c>
      <x:c r="AB2324" s="28" t="n">
        <x:f>J2324-K2324</x:f>
        <x:v>-1</x:v>
      </x:c>
      <x:c r="AC2324" s="32" t="n">
        <x:f>F2324-G2324</x:f>
        <x:v>1</x:v>
      </x:c>
    </x:row>
    <x:row r="2325">
      <x:c r="A2325" s="4" t="str">
        <x:v>2024-25</x:v>
      </x:c>
      <x:c r="B2325" s="20" t="n">
        <x:v>45535</x:v>
      </x:c>
      <x:c r="C2325" s="4" t="str">
        <x:v>Brentford</x:v>
      </x:c>
      <x:c r="D2325" s="4" t="str">
        <x:v>Southampton</x:v>
      </x:c>
      <x:c r="E2325" s="4" t="str">
        <x:v>Home</x:v>
      </x:c>
      <x:c r="F2325" s="28" t="n">
        <x:v>3</x:v>
      </x:c>
      <x:c r="G2325" s="28" t="n">
        <x:v>1</x:v>
      </x:c>
      <x:c r="H2325" s="28" t="n">
        <x:v>20</x:v>
      </x:c>
      <x:c r="I2325" s="28" t="n">
        <x:v>18</x:v>
      </x:c>
      <x:c r="J2325" s="28" t="n">
        <x:v>7</x:v>
      </x:c>
      <x:c r="K2325" s="28" t="n">
        <x:v>6</x:v>
      </x:c>
      <x:c r="L2325" s="28" t="n">
        <x:v>2</x:v>
      </x:c>
      <x:c r="M2325" s="28" t="n">
        <x:v>8</x:v>
      </x:c>
      <x:c r="N2325" s="28" t="n">
        <x:v>2</x:v>
      </x:c>
      <x:c r="O2325" s="28" t="n">
        <x:v>0</x:v>
      </x:c>
      <x:c r="P2325" s="28" t="n">
        <x:v>3</x:v>
      </x:c>
      <x:c r="Q2325" s="24" t="n">
        <x:f>IFERROR(J2325/H2325,0)</x:f>
        <x:v>0.35</x:v>
      </x:c>
      <x:c r="R2325" s="24" t="n">
        <x:f>IFERROR(F2325/H2325,0)</x:f>
        <x:v>0.15</x:v>
      </x:c>
      <x:c r="S2325" s="24" t="n">
        <x:f>IFERROR(F2325/J2325,0)</x:f>
        <x:v>0.42857142857142855</x:v>
      </x:c>
      <x:c r="T2325" s="28" t="n">
        <x:f>H2325-I2325</x:f>
        <x:v>2</x:v>
      </x:c>
      <x:c r="U2325" s="24" t="n">
        <x:f>IFERROR(J2325/H2325,0)-IFERROR(K2325/I2325,0)</x:f>
        <x:v>0.016666666666666663</x:v>
      </x:c>
      <x:c r="V2325" s="24" t="n">
        <x:f>IFERROR(F2325/J2325,0)-IFERROR(G2325/K2325,0)</x:f>
        <x:v>0.26190476190476186</x:v>
      </x:c>
      <x:c r="W2325" s="28" t="n">
        <x:f>L2325-M2325</x:f>
        <x:v>-6</x:v>
      </x:c>
      <x:c r="X2325" s="24" t="n">
        <x:f>IFERROR(K2325/I2325,0)</x:f>
        <x:v>0.3333333333333333</x:v>
      </x:c>
      <x:c r="Y2325" s="24" t="n">
        <x:f>IFERROR(G2325/I2325,0)</x:f>
        <x:v>0.05555555555555555</x:v>
      </x:c>
      <x:c r="Z2325" s="24" t="n">
        <x:f>IFERROR(G2325/K2325,0)</x:f>
        <x:v>0.16666666666666666</x:v>
      </x:c>
      <x:c r="AA2325" s="24" t="n">
        <x:f>IFERROR(F2325/H2325,0)-IFERROR(G2325/I2325,0)</x:f>
        <x:v>0.09444444444444444</x:v>
      </x:c>
      <x:c r="AB2325" s="28" t="n">
        <x:f>J2325-K2325</x:f>
        <x:v>1</x:v>
      </x:c>
      <x:c r="AC2325" s="32" t="n">
        <x:f>F2325-G2325</x:f>
        <x:v>2</x:v>
      </x:c>
    </x:row>
    <x:row r="2326">
      <x:c r="A2326" s="4" t="str">
        <x:v>2024-25</x:v>
      </x:c>
      <x:c r="B2326" s="20" t="n">
        <x:v>45535</x:v>
      </x:c>
      <x:c r="C2326" s="4" t="str">
        <x:v>Brighton</x:v>
      </x:c>
      <x:c r="D2326" s="4" t="str">
        <x:v>Arsenal</x:v>
      </x:c>
      <x:c r="E2326" s="4" t="str">
        <x:v>Away</x:v>
      </x:c>
      <x:c r="F2326" s="28" t="n">
        <x:v>1</x:v>
      </x:c>
      <x:c r="G2326" s="28" t="n">
        <x:v>1</x:v>
      </x:c>
      <x:c r="H2326" s="28" t="n">
        <x:v>22</x:v>
      </x:c>
      <x:c r="I2326" s="28" t="n">
        <x:v>11</x:v>
      </x:c>
      <x:c r="J2326" s="28" t="n">
        <x:v>4</x:v>
      </x:c>
      <x:c r="K2326" s="28" t="n">
        <x:v>7</x:v>
      </x:c>
      <x:c r="L2326" s="28" t="n">
        <x:v>7</x:v>
      </x:c>
      <x:c r="M2326" s="28" t="n">
        <x:v>3</x:v>
      </x:c>
      <x:c r="N2326" s="28" t="n">
        <x:v>2</x:v>
      </x:c>
      <x:c r="O2326" s="28" t="n">
        <x:v>0</x:v>
      </x:c>
      <x:c r="P2326" s="28" t="n">
        <x:v>1</x:v>
      </x:c>
      <x:c r="Q2326" s="24" t="n">
        <x:f>IFERROR(J2326/H2326,0)</x:f>
        <x:v>0.18181818181818182</x:v>
      </x:c>
      <x:c r="R2326" s="24" t="n">
        <x:f>IFERROR(F2326/H2326,0)</x:f>
        <x:v>0.045454545454545456</x:v>
      </x:c>
      <x:c r="S2326" s="24" t="n">
        <x:f>IFERROR(F2326/J2326,0)</x:f>
        <x:v>0.25</x:v>
      </x:c>
      <x:c r="T2326" s="28" t="n">
        <x:f>H2326-I2326</x:f>
        <x:v>11</x:v>
      </x:c>
      <x:c r="U2326" s="24" t="n">
        <x:f>IFERROR(J2326/H2326,0)-IFERROR(K2326/I2326,0)</x:f>
        <x:v>-0.45454545454545453</x:v>
      </x:c>
      <x:c r="V2326" s="24" t="n">
        <x:f>IFERROR(F2326/J2326,0)-IFERROR(G2326/K2326,0)</x:f>
        <x:v>0.10714285714285715</x:v>
      </x:c>
      <x:c r="W2326" s="28" t="n">
        <x:f>L2326-M2326</x:f>
        <x:v>4</x:v>
      </x:c>
      <x:c r="X2326" s="24" t="n">
        <x:f>IFERROR(K2326/I2326,0)</x:f>
        <x:v>0.6363636363636364</x:v>
      </x:c>
      <x:c r="Y2326" s="24" t="n">
        <x:f>IFERROR(G2326/I2326,0)</x:f>
        <x:v>0.09090909090909091</x:v>
      </x:c>
      <x:c r="Z2326" s="24" t="n">
        <x:f>IFERROR(G2326/K2326,0)</x:f>
        <x:v>0.14285714285714285</x:v>
      </x:c>
      <x:c r="AA2326" s="24" t="n">
        <x:f>IFERROR(F2326/H2326,0)-IFERROR(G2326/I2326,0)</x:f>
        <x:v>-0.045454545454545456</x:v>
      </x:c>
      <x:c r="AB2326" s="28" t="n">
        <x:f>J2326-K2326</x:f>
        <x:v>-3</x:v>
      </x:c>
      <x:c r="AC2326" s="32" t="n">
        <x:f>F2326-G2326</x:f>
        <x:v>0</x:v>
      </x:c>
    </x:row>
    <x:row r="2327">
      <x:c r="A2327" s="4" t="str">
        <x:v>2024-25</x:v>
      </x:c>
      <x:c r="B2327" s="20" t="n">
        <x:v>45535</x:v>
      </x:c>
      <x:c r="C2327" s="4" t="str">
        <x:v>Everton</x:v>
      </x:c>
      <x:c r="D2327" s="4" t="str">
        <x:v>Bournemouth</x:v>
      </x:c>
      <x:c r="E2327" s="4" t="str">
        <x:v>Home</x:v>
      </x:c>
      <x:c r="F2327" s="28" t="n">
        <x:v>2</x:v>
      </x:c>
      <x:c r="G2327" s="28" t="n">
        <x:v>3</x:v>
      </x:c>
      <x:c r="H2327" s="28" t="n">
        <x:v>18</x:v>
      </x:c>
      <x:c r="I2327" s="28" t="n">
        <x:v>17</x:v>
      </x:c>
      <x:c r="J2327" s="28" t="n">
        <x:v>8</x:v>
      </x:c>
      <x:c r="K2327" s="28" t="n">
        <x:v>7</x:v>
      </x:c>
      <x:c r="L2327" s="28" t="n">
        <x:v>8</x:v>
      </x:c>
      <x:c r="M2327" s="28" t="n">
        <x:v>4</x:v>
      </x:c>
      <x:c r="N2327" s="28" t="n">
        <x:v>2</x:v>
      </x:c>
      <x:c r="O2327" s="28" t="n">
        <x:v>0</x:v>
      </x:c>
      <x:c r="P2327" s="28" t="n">
        <x:v>0</x:v>
      </x:c>
      <x:c r="Q2327" s="24" t="n">
        <x:f>IFERROR(J2327/H2327,0)</x:f>
        <x:v>0.4444444444444444</x:v>
      </x:c>
      <x:c r="R2327" s="24" t="n">
        <x:f>IFERROR(F2327/H2327,0)</x:f>
        <x:v>0.1111111111111111</x:v>
      </x:c>
      <x:c r="S2327" s="24" t="n">
        <x:f>IFERROR(F2327/J2327,0)</x:f>
        <x:v>0.25</x:v>
      </x:c>
      <x:c r="T2327" s="28" t="n">
        <x:f>H2327-I2327</x:f>
        <x:v>1</x:v>
      </x:c>
      <x:c r="U2327" s="24" t="n">
        <x:f>IFERROR(J2327/H2327,0)-IFERROR(K2327/I2327,0)</x:f>
        <x:v>0.0326797385620915</x:v>
      </x:c>
      <x:c r="V2327" s="24" t="n">
        <x:f>IFERROR(F2327/J2327,0)-IFERROR(G2327/K2327,0)</x:f>
        <x:v>-0.17857142857142855</x:v>
      </x:c>
      <x:c r="W2327" s="28" t="n">
        <x:f>L2327-M2327</x:f>
        <x:v>4</x:v>
      </x:c>
      <x:c r="X2327" s="24" t="n">
        <x:f>IFERROR(K2327/I2327,0)</x:f>
        <x:v>0.4117647058823529</x:v>
      </x:c>
      <x:c r="Y2327" s="24" t="n">
        <x:f>IFERROR(G2327/I2327,0)</x:f>
        <x:v>0.17647058823529413</x:v>
      </x:c>
      <x:c r="Z2327" s="24" t="n">
        <x:f>IFERROR(G2327/K2327,0)</x:f>
        <x:v>0.42857142857142855</x:v>
      </x:c>
      <x:c r="AA2327" s="24" t="n">
        <x:f>IFERROR(F2327/H2327,0)-IFERROR(G2327/I2327,0)</x:f>
        <x:v>-0.06535947712418302</x:v>
      </x:c>
      <x:c r="AB2327" s="28" t="n">
        <x:f>J2327-K2327</x:f>
        <x:v>1</x:v>
      </x:c>
      <x:c r="AC2327" s="32" t="n">
        <x:f>F2327-G2327</x:f>
        <x:v>-1</x:v>
      </x:c>
    </x:row>
    <x:row r="2328">
      <x:c r="A2328" s="4" t="str">
        <x:v>2024-25</x:v>
      </x:c>
      <x:c r="B2328" s="20" t="n">
        <x:v>45535</x:v>
      </x:c>
      <x:c r="C2328" s="4" t="str">
        <x:v>Fulham</x:v>
      </x:c>
      <x:c r="D2328" s="4" t="str">
        <x:v>Ipswich</x:v>
      </x:c>
      <x:c r="E2328" s="4" t="str">
        <x:v>Away</x:v>
      </x:c>
      <x:c r="F2328" s="28" t="n">
        <x:v>1</x:v>
      </x:c>
      <x:c r="G2328" s="28" t="n">
        <x:v>1</x:v>
      </x:c>
      <x:c r="H2328" s="28" t="n">
        <x:v>9</x:v>
      </x:c>
      <x:c r="I2328" s="28" t="n">
        <x:v>11</x:v>
      </x:c>
      <x:c r="J2328" s="28" t="n">
        <x:v>4</x:v>
      </x:c>
      <x:c r="K2328" s="28" t="n">
        <x:v>4</x:v>
      </x:c>
      <x:c r="L2328" s="28" t="n">
        <x:v>6</x:v>
      </x:c>
      <x:c r="M2328" s="28" t="n">
        <x:v>8</x:v>
      </x:c>
      <x:c r="N2328" s="28" t="n">
        <x:v>3</x:v>
      </x:c>
      <x:c r="O2328" s="28" t="n">
        <x:v>0</x:v>
      </x:c>
      <x:c r="P2328" s="28" t="n">
        <x:v>1</x:v>
      </x:c>
      <x:c r="Q2328" s="24" t="n">
        <x:f>IFERROR(J2328/H2328,0)</x:f>
        <x:v>0.4444444444444444</x:v>
      </x:c>
      <x:c r="R2328" s="24" t="n">
        <x:f>IFERROR(F2328/H2328,0)</x:f>
        <x:v>0.1111111111111111</x:v>
      </x:c>
      <x:c r="S2328" s="24" t="n">
        <x:f>IFERROR(F2328/J2328,0)</x:f>
        <x:v>0.25</x:v>
      </x:c>
      <x:c r="T2328" s="28" t="n">
        <x:f>H2328-I2328</x:f>
        <x:v>-2</x:v>
      </x:c>
      <x:c r="U2328" s="24" t="n">
        <x:f>IFERROR(J2328/H2328,0)-IFERROR(K2328/I2328,0)</x:f>
        <x:v>0.08080808080808077</x:v>
      </x:c>
      <x:c r="V2328" s="24" t="n">
        <x:f>IFERROR(F2328/J2328,0)-IFERROR(G2328/K2328,0)</x:f>
        <x:v>0</x:v>
      </x:c>
      <x:c r="W2328" s="28" t="n">
        <x:f>L2328-M2328</x:f>
        <x:v>-2</x:v>
      </x:c>
      <x:c r="X2328" s="24" t="n">
        <x:f>IFERROR(K2328/I2328,0)</x:f>
        <x:v>0.36363636363636365</x:v>
      </x:c>
      <x:c r="Y2328" s="24" t="n">
        <x:f>IFERROR(G2328/I2328,0)</x:f>
        <x:v>0.09090909090909091</x:v>
      </x:c>
      <x:c r="Z2328" s="24" t="n">
        <x:f>IFERROR(G2328/K2328,0)</x:f>
        <x:v>0.25</x:v>
      </x:c>
      <x:c r="AA2328" s="24" t="n">
        <x:f>IFERROR(F2328/H2328,0)-IFERROR(G2328/I2328,0)</x:f>
        <x:v>0.020202020202020193</x:v>
      </x:c>
      <x:c r="AB2328" s="28" t="n">
        <x:f>J2328-K2328</x:f>
        <x:v>0</x:v>
      </x:c>
      <x:c r="AC2328" s="32" t="n">
        <x:f>F2328-G2328</x:f>
        <x:v>0</x:v>
      </x:c>
    </x:row>
    <x:row r="2329">
      <x:c r="A2329" s="4" t="str">
        <x:v>2024-25</x:v>
      </x:c>
      <x:c r="B2329" s="20" t="n">
        <x:v>45535</x:v>
      </x:c>
      <x:c r="C2329" s="4" t="str">
        <x:v>Ipswich</x:v>
      </x:c>
      <x:c r="D2329" s="4" t="str">
        <x:v>Fulham</x:v>
      </x:c>
      <x:c r="E2329" s="4" t="str">
        <x:v>Home</x:v>
      </x:c>
      <x:c r="F2329" s="28" t="n">
        <x:v>1</x:v>
      </x:c>
      <x:c r="G2329" s="28" t="n">
        <x:v>1</x:v>
      </x:c>
      <x:c r="H2329" s="28" t="n">
        <x:v>11</x:v>
      </x:c>
      <x:c r="I2329" s="28" t="n">
        <x:v>9</x:v>
      </x:c>
      <x:c r="J2329" s="28" t="n">
        <x:v>4</x:v>
      </x:c>
      <x:c r="K2329" s="28" t="n">
        <x:v>4</x:v>
      </x:c>
      <x:c r="L2329" s="28" t="n">
        <x:v>8</x:v>
      </x:c>
      <x:c r="M2329" s="28" t="n">
        <x:v>6</x:v>
      </x:c>
      <x:c r="N2329" s="28" t="n">
        <x:v>2</x:v>
      </x:c>
      <x:c r="O2329" s="28" t="n">
        <x:v>0</x:v>
      </x:c>
      <x:c r="P2329" s="28" t="n">
        <x:v>1</x:v>
      </x:c>
      <x:c r="Q2329" s="24" t="n">
        <x:f>IFERROR(J2329/H2329,0)</x:f>
        <x:v>0.36363636363636365</x:v>
      </x:c>
      <x:c r="R2329" s="24" t="n">
        <x:f>IFERROR(F2329/H2329,0)</x:f>
        <x:v>0.09090909090909091</x:v>
      </x:c>
      <x:c r="S2329" s="24" t="n">
        <x:f>IFERROR(F2329/J2329,0)</x:f>
        <x:v>0.25</x:v>
      </x:c>
      <x:c r="T2329" s="28" t="n">
        <x:f>H2329-I2329</x:f>
        <x:v>2</x:v>
      </x:c>
      <x:c r="U2329" s="24" t="n">
        <x:f>IFERROR(J2329/H2329,0)-IFERROR(K2329/I2329,0)</x:f>
        <x:v>-0.08080808080808077</x:v>
      </x:c>
      <x:c r="V2329" s="24" t="n">
        <x:f>IFERROR(F2329/J2329,0)-IFERROR(G2329/K2329,0)</x:f>
        <x:v>0</x:v>
      </x:c>
      <x:c r="W2329" s="28" t="n">
        <x:f>L2329-M2329</x:f>
        <x:v>2</x:v>
      </x:c>
      <x:c r="X2329" s="24" t="n">
        <x:f>IFERROR(K2329/I2329,0)</x:f>
        <x:v>0.4444444444444444</x:v>
      </x:c>
      <x:c r="Y2329" s="24" t="n">
        <x:f>IFERROR(G2329/I2329,0)</x:f>
        <x:v>0.1111111111111111</x:v>
      </x:c>
      <x:c r="Z2329" s="24" t="n">
        <x:f>IFERROR(G2329/K2329,0)</x:f>
        <x:v>0.25</x:v>
      </x:c>
      <x:c r="AA2329" s="24" t="n">
        <x:f>IFERROR(F2329/H2329,0)-IFERROR(G2329/I2329,0)</x:f>
        <x:v>-0.020202020202020193</x:v>
      </x:c>
      <x:c r="AB2329" s="28" t="n">
        <x:f>J2329-K2329</x:f>
        <x:v>0</x:v>
      </x:c>
      <x:c r="AC2329" s="32" t="n">
        <x:f>F2329-G2329</x:f>
        <x:v>0</x:v>
      </x:c>
    </x:row>
    <x:row r="2330">
      <x:c r="A2330" s="4" t="str">
        <x:v>2024-25</x:v>
      </x:c>
      <x:c r="B2330" s="20" t="n">
        <x:v>45535</x:v>
      </x:c>
      <x:c r="C2330" s="4" t="str">
        <x:v>Leicester</x:v>
      </x:c>
      <x:c r="D2330" s="4" t="str">
        <x:v>Aston Villa</x:v>
      </x:c>
      <x:c r="E2330" s="4" t="str">
        <x:v>Home</x:v>
      </x:c>
      <x:c r="F2330" s="28" t="n">
        <x:v>1</x:v>
      </x:c>
      <x:c r="G2330" s="28" t="n">
        <x:v>2</x:v>
      </x:c>
      <x:c r="H2330" s="28" t="n">
        <x:v>9</x:v>
      </x:c>
      <x:c r="I2330" s="28" t="n">
        <x:v>10</x:v>
      </x:c>
      <x:c r="J2330" s="28" t="n">
        <x:v>3</x:v>
      </x:c>
      <x:c r="K2330" s="28" t="n">
        <x:v>5</x:v>
      </x:c>
      <x:c r="L2330" s="28" t="n">
        <x:v>1</x:v>
      </x:c>
      <x:c r="M2330" s="28" t="n">
        <x:v>4</x:v>
      </x:c>
      <x:c r="N2330" s="28" t="n">
        <x:v>4</x:v>
      </x:c>
      <x:c r="O2330" s="28" t="n">
        <x:v>0</x:v>
      </x:c>
      <x:c r="P2330" s="28" t="n">
        <x:v>0</x:v>
      </x:c>
      <x:c r="Q2330" s="24" t="n">
        <x:f>IFERROR(J2330/H2330,0)</x:f>
        <x:v>0.3333333333333333</x:v>
      </x:c>
      <x:c r="R2330" s="24" t="n">
        <x:f>IFERROR(F2330/H2330,0)</x:f>
        <x:v>0.1111111111111111</x:v>
      </x:c>
      <x:c r="S2330" s="24" t="n">
        <x:f>IFERROR(F2330/J2330,0)</x:f>
        <x:v>0.3333333333333333</x:v>
      </x:c>
      <x:c r="T2330" s="28" t="n">
        <x:f>H2330-I2330</x:f>
        <x:v>-1</x:v>
      </x:c>
      <x:c r="U2330" s="24" t="n">
        <x:f>IFERROR(J2330/H2330,0)-IFERROR(K2330/I2330,0)</x:f>
        <x:v>-0.16666666666666669</x:v>
      </x:c>
      <x:c r="V2330" s="24" t="n">
        <x:f>IFERROR(F2330/J2330,0)-IFERROR(G2330/K2330,0)</x:f>
        <x:v>-0.06666666666666671</x:v>
      </x:c>
      <x:c r="W2330" s="28" t="n">
        <x:f>L2330-M2330</x:f>
        <x:v>-3</x:v>
      </x:c>
      <x:c r="X2330" s="24" t="n">
        <x:f>IFERROR(K2330/I2330,0)</x:f>
        <x:v>0.5</x:v>
      </x:c>
      <x:c r="Y2330" s="24" t="n">
        <x:f>IFERROR(G2330/I2330,0)</x:f>
        <x:v>0.2</x:v>
      </x:c>
      <x:c r="Z2330" s="24" t="n">
        <x:f>IFERROR(G2330/K2330,0)</x:f>
        <x:v>0.4</x:v>
      </x:c>
      <x:c r="AA2330" s="24" t="n">
        <x:f>IFERROR(F2330/H2330,0)-IFERROR(G2330/I2330,0)</x:f>
        <x:v>-0.0888888888888889</x:v>
      </x:c>
      <x:c r="AB2330" s="28" t="n">
        <x:f>J2330-K2330</x:f>
        <x:v>-2</x:v>
      </x:c>
      <x:c r="AC2330" s="32" t="n">
        <x:f>F2330-G2330</x:f>
        <x:v>-1</x:v>
      </x:c>
    </x:row>
    <x:row r="2331">
      <x:c r="A2331" s="4" t="str">
        <x:v>2024-25</x:v>
      </x:c>
      <x:c r="B2331" s="20" t="n">
        <x:v>45535</x:v>
      </x:c>
      <x:c r="C2331" s="4" t="str">
        <x:v>Man City</x:v>
      </x:c>
      <x:c r="D2331" s="4" t="str">
        <x:v>West Ham</x:v>
      </x:c>
      <x:c r="E2331" s="4" t="str">
        <x:v>Away</x:v>
      </x:c>
      <x:c r="F2331" s="28" t="n">
        <x:v>3</x:v>
      </x:c>
      <x:c r="G2331" s="28" t="n">
        <x:v>1</x:v>
      </x:c>
      <x:c r="H2331" s="28" t="n">
        <x:v>23</x:v>
      </x:c>
      <x:c r="I2331" s="28" t="n">
        <x:v>10</x:v>
      </x:c>
      <x:c r="J2331" s="28" t="n">
        <x:v>8</x:v>
      </x:c>
      <x:c r="K2331" s="28" t="n">
        <x:v>2</x:v>
      </x:c>
      <x:c r="L2331" s="28" t="n">
        <x:v>11</x:v>
      </x:c>
      <x:c r="M2331" s="28" t="n">
        <x:v>3</x:v>
      </x:c>
      <x:c r="N2331" s="28" t="n">
        <x:v>2</x:v>
      </x:c>
      <x:c r="O2331" s="28" t="n">
        <x:v>0</x:v>
      </x:c>
      <x:c r="P2331" s="28" t="n">
        <x:v>3</x:v>
      </x:c>
      <x:c r="Q2331" s="24" t="n">
        <x:f>IFERROR(J2331/H2331,0)</x:f>
        <x:v>0.34782608695652173</x:v>
      </x:c>
      <x:c r="R2331" s="24" t="n">
        <x:f>IFERROR(F2331/H2331,0)</x:f>
        <x:v>0.13043478260869565</x:v>
      </x:c>
      <x:c r="S2331" s="24" t="n">
        <x:f>IFERROR(F2331/J2331,0)</x:f>
        <x:v>0.375</x:v>
      </x:c>
      <x:c r="T2331" s="28" t="n">
        <x:f>H2331-I2331</x:f>
        <x:v>13</x:v>
      </x:c>
      <x:c r="U2331" s="24" t="n">
        <x:f>IFERROR(J2331/H2331,0)-IFERROR(K2331/I2331,0)</x:f>
        <x:v>0.14782608695652172</x:v>
      </x:c>
      <x:c r="V2331" s="24" t="n">
        <x:f>IFERROR(F2331/J2331,0)-IFERROR(G2331/K2331,0)</x:f>
        <x:v>-0.125</x:v>
      </x:c>
      <x:c r="W2331" s="28" t="n">
        <x:f>L2331-M2331</x:f>
        <x:v>8</x:v>
      </x:c>
      <x:c r="X2331" s="24" t="n">
        <x:f>IFERROR(K2331/I2331,0)</x:f>
        <x:v>0.2</x:v>
      </x:c>
      <x:c r="Y2331" s="24" t="n">
        <x:f>IFERROR(G2331/I2331,0)</x:f>
        <x:v>0.1</x:v>
      </x:c>
      <x:c r="Z2331" s="24" t="n">
        <x:f>IFERROR(G2331/K2331,0)</x:f>
        <x:v>0.5</x:v>
      </x:c>
      <x:c r="AA2331" s="24" t="n">
        <x:f>IFERROR(F2331/H2331,0)-IFERROR(G2331/I2331,0)</x:f>
        <x:v>0.030434782608695643</x:v>
      </x:c>
      <x:c r="AB2331" s="28" t="n">
        <x:f>J2331-K2331</x:f>
        <x:v>6</x:v>
      </x:c>
      <x:c r="AC2331" s="32" t="n">
        <x:f>F2331-G2331</x:f>
        <x:v>2</x:v>
      </x:c>
    </x:row>
    <x:row r="2332">
      <x:c r="A2332" s="4" t="str">
        <x:v>2024-25</x:v>
      </x:c>
      <x:c r="B2332" s="20" t="n">
        <x:v>45535</x:v>
      </x:c>
      <x:c r="C2332" s="4" t="str">
        <x:v>Nott'm Forest</x:v>
      </x:c>
      <x:c r="D2332" s="4" t="str">
        <x:v>Wolves</x:v>
      </x:c>
      <x:c r="E2332" s="4" t="str">
        <x:v>Home</x:v>
      </x:c>
      <x:c r="F2332" s="28" t="n">
        <x:v>1</x:v>
      </x:c>
      <x:c r="G2332" s="28" t="n">
        <x:v>1</x:v>
      </x:c>
      <x:c r="H2332" s="28" t="n">
        <x:v>16</x:v>
      </x:c>
      <x:c r="I2332" s="28" t="n">
        <x:v>11</x:v>
      </x:c>
      <x:c r="J2332" s="28" t="n">
        <x:v>5</x:v>
      </x:c>
      <x:c r="K2332" s="28" t="n">
        <x:v>3</x:v>
      </x:c>
      <x:c r="L2332" s="28" t="n">
        <x:v>7</x:v>
      </x:c>
      <x:c r="M2332" s="28" t="n">
        <x:v>3</x:v>
      </x:c>
      <x:c r="N2332" s="28" t="n">
        <x:v>3</x:v>
      </x:c>
      <x:c r="O2332" s="28" t="n">
        <x:v>0</x:v>
      </x:c>
      <x:c r="P2332" s="28" t="n">
        <x:v>1</x:v>
      </x:c>
      <x:c r="Q2332" s="24" t="n">
        <x:f>IFERROR(J2332/H2332,0)</x:f>
        <x:v>0.3125</x:v>
      </x:c>
      <x:c r="R2332" s="24" t="n">
        <x:f>IFERROR(F2332/H2332,0)</x:f>
        <x:v>0.0625</x:v>
      </x:c>
      <x:c r="S2332" s="24" t="n">
        <x:f>IFERROR(F2332/J2332,0)</x:f>
        <x:v>0.2</x:v>
      </x:c>
      <x:c r="T2332" s="28" t="n">
        <x:f>H2332-I2332</x:f>
        <x:v>5</x:v>
      </x:c>
      <x:c r="U2332" s="24" t="n">
        <x:f>IFERROR(J2332/H2332,0)-IFERROR(K2332/I2332,0)</x:f>
        <x:v>0.03977272727272729</x:v>
      </x:c>
      <x:c r="V2332" s="24" t="n">
        <x:f>IFERROR(F2332/J2332,0)-IFERROR(G2332/K2332,0)</x:f>
        <x:v>-0.1333333333333333</x:v>
      </x:c>
      <x:c r="W2332" s="28" t="n">
        <x:f>L2332-M2332</x:f>
        <x:v>4</x:v>
      </x:c>
      <x:c r="X2332" s="24" t="n">
        <x:f>IFERROR(K2332/I2332,0)</x:f>
        <x:v>0.2727272727272727</x:v>
      </x:c>
      <x:c r="Y2332" s="24" t="n">
        <x:f>IFERROR(G2332/I2332,0)</x:f>
        <x:v>0.09090909090909091</x:v>
      </x:c>
      <x:c r="Z2332" s="24" t="n">
        <x:f>IFERROR(G2332/K2332,0)</x:f>
        <x:v>0.3333333333333333</x:v>
      </x:c>
      <x:c r="AA2332" s="24" t="n">
        <x:f>IFERROR(F2332/H2332,0)-IFERROR(G2332/I2332,0)</x:f>
        <x:v>-0.02840909090909091</x:v>
      </x:c>
      <x:c r="AB2332" s="28" t="n">
        <x:f>J2332-K2332</x:f>
        <x:v>2</x:v>
      </x:c>
      <x:c r="AC2332" s="32" t="n">
        <x:f>F2332-G2332</x:f>
        <x:v>0</x:v>
      </x:c>
    </x:row>
    <x:row r="2333">
      <x:c r="A2333" s="4" t="str">
        <x:v>2024-25</x:v>
      </x:c>
      <x:c r="B2333" s="20" t="n">
        <x:v>45535</x:v>
      </x:c>
      <x:c r="C2333" s="4" t="str">
        <x:v>Southampton</x:v>
      </x:c>
      <x:c r="D2333" s="4" t="str">
        <x:v>Brentford</x:v>
      </x:c>
      <x:c r="E2333" s="4" t="str">
        <x:v>Away</x:v>
      </x:c>
      <x:c r="F2333" s="28" t="n">
        <x:v>1</x:v>
      </x:c>
      <x:c r="G2333" s="28" t="n">
        <x:v>3</x:v>
      </x:c>
      <x:c r="H2333" s="28" t="n">
        <x:v>18</x:v>
      </x:c>
      <x:c r="I2333" s="28" t="n">
        <x:v>20</x:v>
      </x:c>
      <x:c r="J2333" s="28" t="n">
        <x:v>6</x:v>
      </x:c>
      <x:c r="K2333" s="28" t="n">
        <x:v>7</x:v>
      </x:c>
      <x:c r="L2333" s="28" t="n">
        <x:v>8</x:v>
      </x:c>
      <x:c r="M2333" s="28" t="n">
        <x:v>2</x:v>
      </x:c>
      <x:c r="N2333" s="28" t="n">
        <x:v>1</x:v>
      </x:c>
      <x:c r="O2333" s="28" t="n">
        <x:v>0</x:v>
      </x:c>
      <x:c r="P2333" s="28" t="n">
        <x:v>0</x:v>
      </x:c>
      <x:c r="Q2333" s="24" t="n">
        <x:f>IFERROR(J2333/H2333,0)</x:f>
        <x:v>0.3333333333333333</x:v>
      </x:c>
      <x:c r="R2333" s="24" t="n">
        <x:f>IFERROR(F2333/H2333,0)</x:f>
        <x:v>0.05555555555555555</x:v>
      </x:c>
      <x:c r="S2333" s="24" t="n">
        <x:f>IFERROR(F2333/J2333,0)</x:f>
        <x:v>0.16666666666666666</x:v>
      </x:c>
      <x:c r="T2333" s="28" t="n">
        <x:f>H2333-I2333</x:f>
        <x:v>-2</x:v>
      </x:c>
      <x:c r="U2333" s="24" t="n">
        <x:f>IFERROR(J2333/H2333,0)-IFERROR(K2333/I2333,0)</x:f>
        <x:v>-0.016666666666666663</x:v>
      </x:c>
      <x:c r="V2333" s="24" t="n">
        <x:f>IFERROR(F2333/J2333,0)-IFERROR(G2333/K2333,0)</x:f>
        <x:v>-0.26190476190476186</x:v>
      </x:c>
      <x:c r="W2333" s="28" t="n">
        <x:f>L2333-M2333</x:f>
        <x:v>6</x:v>
      </x:c>
      <x:c r="X2333" s="24" t="n">
        <x:f>IFERROR(K2333/I2333,0)</x:f>
        <x:v>0.35</x:v>
      </x:c>
      <x:c r="Y2333" s="24" t="n">
        <x:f>IFERROR(G2333/I2333,0)</x:f>
        <x:v>0.15</x:v>
      </x:c>
      <x:c r="Z2333" s="24" t="n">
        <x:f>IFERROR(G2333/K2333,0)</x:f>
        <x:v>0.42857142857142855</x:v>
      </x:c>
      <x:c r="AA2333" s="24" t="n">
        <x:f>IFERROR(F2333/H2333,0)-IFERROR(G2333/I2333,0)</x:f>
        <x:v>-0.09444444444444444</x:v>
      </x:c>
      <x:c r="AB2333" s="28" t="n">
        <x:f>J2333-K2333</x:f>
        <x:v>-1</x:v>
      </x:c>
      <x:c r="AC2333" s="32" t="n">
        <x:f>F2333-G2333</x:f>
        <x:v>-2</x:v>
      </x:c>
    </x:row>
    <x:row r="2334">
      <x:c r="A2334" s="4" t="str">
        <x:v>2024-25</x:v>
      </x:c>
      <x:c r="B2334" s="20" t="n">
        <x:v>45535</x:v>
      </x:c>
      <x:c r="C2334" s="4" t="str">
        <x:v>West Ham</x:v>
      </x:c>
      <x:c r="D2334" s="4" t="str">
        <x:v>Man City</x:v>
      </x:c>
      <x:c r="E2334" s="4" t="str">
        <x:v>Home</x:v>
      </x:c>
      <x:c r="F2334" s="28" t="n">
        <x:v>1</x:v>
      </x:c>
      <x:c r="G2334" s="28" t="n">
        <x:v>3</x:v>
      </x:c>
      <x:c r="H2334" s="28" t="n">
        <x:v>10</x:v>
      </x:c>
      <x:c r="I2334" s="28" t="n">
        <x:v>23</x:v>
      </x:c>
      <x:c r="J2334" s="28" t="n">
        <x:v>2</x:v>
      </x:c>
      <x:c r="K2334" s="28" t="n">
        <x:v>8</x:v>
      </x:c>
      <x:c r="L2334" s="28" t="n">
        <x:v>3</x:v>
      </x:c>
      <x:c r="M2334" s="28" t="n">
        <x:v>11</x:v>
      </x:c>
      <x:c r="N2334" s="28" t="n">
        <x:v>3</x:v>
      </x:c>
      <x:c r="O2334" s="28" t="n">
        <x:v>0</x:v>
      </x:c>
      <x:c r="P2334" s="28" t="n">
        <x:v>0</x:v>
      </x:c>
      <x:c r="Q2334" s="24" t="n">
        <x:f>IFERROR(J2334/H2334,0)</x:f>
        <x:v>0.2</x:v>
      </x:c>
      <x:c r="R2334" s="24" t="n">
        <x:f>IFERROR(F2334/H2334,0)</x:f>
        <x:v>0.1</x:v>
      </x:c>
      <x:c r="S2334" s="24" t="n">
        <x:f>IFERROR(F2334/J2334,0)</x:f>
        <x:v>0.5</x:v>
      </x:c>
      <x:c r="T2334" s="28" t="n">
        <x:f>H2334-I2334</x:f>
        <x:v>-13</x:v>
      </x:c>
      <x:c r="U2334" s="24" t="n">
        <x:f>IFERROR(J2334/H2334,0)-IFERROR(K2334/I2334,0)</x:f>
        <x:v>-0.14782608695652172</x:v>
      </x:c>
      <x:c r="V2334" s="24" t="n">
        <x:f>IFERROR(F2334/J2334,0)-IFERROR(G2334/K2334,0)</x:f>
        <x:v>0.125</x:v>
      </x:c>
      <x:c r="W2334" s="28" t="n">
        <x:f>L2334-M2334</x:f>
        <x:v>-8</x:v>
      </x:c>
      <x:c r="X2334" s="24" t="n">
        <x:f>IFERROR(K2334/I2334,0)</x:f>
        <x:v>0.34782608695652173</x:v>
      </x:c>
      <x:c r="Y2334" s="24" t="n">
        <x:f>IFERROR(G2334/I2334,0)</x:f>
        <x:v>0.13043478260869565</x:v>
      </x:c>
      <x:c r="Z2334" s="24" t="n">
        <x:f>IFERROR(G2334/K2334,0)</x:f>
        <x:v>0.375</x:v>
      </x:c>
      <x:c r="AA2334" s="24" t="n">
        <x:f>IFERROR(F2334/H2334,0)-IFERROR(G2334/I2334,0)</x:f>
        <x:v>-0.030434782608695643</x:v>
      </x:c>
      <x:c r="AB2334" s="28" t="n">
        <x:f>J2334-K2334</x:f>
        <x:v>-6</x:v>
      </x:c>
      <x:c r="AC2334" s="32" t="n">
        <x:f>F2334-G2334</x:f>
        <x:v>-2</x:v>
      </x:c>
    </x:row>
    <x:row r="2335">
      <x:c r="A2335" s="4" t="str">
        <x:v>2024-25</x:v>
      </x:c>
      <x:c r="B2335" s="20" t="n">
        <x:v>45535</x:v>
      </x:c>
      <x:c r="C2335" s="4" t="str">
        <x:v>Wolves</x:v>
      </x:c>
      <x:c r="D2335" s="4" t="str">
        <x:v>Nott'm Forest</x:v>
      </x:c>
      <x:c r="E2335" s="4" t="str">
        <x:v>Away</x:v>
      </x:c>
      <x:c r="F2335" s="28" t="n">
        <x:v>1</x:v>
      </x:c>
      <x:c r="G2335" s="28" t="n">
        <x:v>1</x:v>
      </x:c>
      <x:c r="H2335" s="28" t="n">
        <x:v>11</x:v>
      </x:c>
      <x:c r="I2335" s="28" t="n">
        <x:v>16</x:v>
      </x:c>
      <x:c r="J2335" s="28" t="n">
        <x:v>3</x:v>
      </x:c>
      <x:c r="K2335" s="28" t="n">
        <x:v>5</x:v>
      </x:c>
      <x:c r="L2335" s="28" t="n">
        <x:v>3</x:v>
      </x:c>
      <x:c r="M2335" s="28" t="n">
        <x:v>7</x:v>
      </x:c>
      <x:c r="N2335" s="28" t="n">
        <x:v>4</x:v>
      </x:c>
      <x:c r="O2335" s="28" t="n">
        <x:v>0</x:v>
      </x:c>
      <x:c r="P2335" s="28" t="n">
        <x:v>1</x:v>
      </x:c>
      <x:c r="Q2335" s="24" t="n">
        <x:f>IFERROR(J2335/H2335,0)</x:f>
        <x:v>0.2727272727272727</x:v>
      </x:c>
      <x:c r="R2335" s="24" t="n">
        <x:f>IFERROR(F2335/H2335,0)</x:f>
        <x:v>0.09090909090909091</x:v>
      </x:c>
      <x:c r="S2335" s="24" t="n">
        <x:f>IFERROR(F2335/J2335,0)</x:f>
        <x:v>0.3333333333333333</x:v>
      </x:c>
      <x:c r="T2335" s="28" t="n">
        <x:f>H2335-I2335</x:f>
        <x:v>-5</x:v>
      </x:c>
      <x:c r="U2335" s="24" t="n">
        <x:f>IFERROR(J2335/H2335,0)-IFERROR(K2335/I2335,0)</x:f>
        <x:v>-0.03977272727272729</x:v>
      </x:c>
      <x:c r="V2335" s="24" t="n">
        <x:f>IFERROR(F2335/J2335,0)-IFERROR(G2335/K2335,0)</x:f>
        <x:v>0.1333333333333333</x:v>
      </x:c>
      <x:c r="W2335" s="28" t="n">
        <x:f>L2335-M2335</x:f>
        <x:v>-4</x:v>
      </x:c>
      <x:c r="X2335" s="24" t="n">
        <x:f>IFERROR(K2335/I2335,0)</x:f>
        <x:v>0.3125</x:v>
      </x:c>
      <x:c r="Y2335" s="24" t="n">
        <x:f>IFERROR(G2335/I2335,0)</x:f>
        <x:v>0.0625</x:v>
      </x:c>
      <x:c r="Z2335" s="24" t="n">
        <x:f>IFERROR(G2335/K2335,0)</x:f>
        <x:v>0.2</x:v>
      </x:c>
      <x:c r="AA2335" s="24" t="n">
        <x:f>IFERROR(F2335/H2335,0)-IFERROR(G2335/I2335,0)</x:f>
        <x:v>0.02840909090909091</x:v>
      </x:c>
      <x:c r="AB2335" s="28" t="n">
        <x:f>J2335-K2335</x:f>
        <x:v>-2</x:v>
      </x:c>
      <x:c r="AC2335" s="32" t="n">
        <x:f>F2335-G2335</x:f>
        <x:v>0</x:v>
      </x:c>
    </x:row>
    <x:row r="2336">
      <x:c r="A2336" s="4" t="str">
        <x:v>2024-25</x:v>
      </x:c>
      <x:c r="B2336" s="20" t="n">
        <x:v>45536</x:v>
      </x:c>
      <x:c r="C2336" s="4" t="str">
        <x:v>Chelsea</x:v>
      </x:c>
      <x:c r="D2336" s="4" t="str">
        <x:v>Crystal Palace</x:v>
      </x:c>
      <x:c r="E2336" s="4" t="str">
        <x:v>Home</x:v>
      </x:c>
      <x:c r="F2336" s="28" t="n">
        <x:v>1</x:v>
      </x:c>
      <x:c r="G2336" s="28" t="n">
        <x:v>1</x:v>
      </x:c>
      <x:c r="H2336" s="28" t="n">
        <x:v>13</x:v>
      </x:c>
      <x:c r="I2336" s="28" t="n">
        <x:v>9</x:v>
      </x:c>
      <x:c r="J2336" s="28" t="n">
        <x:v>7</x:v>
      </x:c>
      <x:c r="K2336" s="28" t="n">
        <x:v>3</x:v>
      </x:c>
      <x:c r="L2336" s="28" t="n">
        <x:v>4</x:v>
      </x:c>
      <x:c r="M2336" s="28" t="n">
        <x:v>5</x:v>
      </x:c>
      <x:c r="N2336" s="28" t="n">
        <x:v>4</x:v>
      </x:c>
      <x:c r="O2336" s="28" t="n">
        <x:v>0</x:v>
      </x:c>
      <x:c r="P2336" s="28" t="n">
        <x:v>1</x:v>
      </x:c>
      <x:c r="Q2336" s="24" t="n">
        <x:f>IFERROR(J2336/H2336,0)</x:f>
        <x:v>0.5384615384615384</x:v>
      </x:c>
      <x:c r="R2336" s="24" t="n">
        <x:f>IFERROR(F2336/H2336,0)</x:f>
        <x:v>0.07692307692307693</x:v>
      </x:c>
      <x:c r="S2336" s="24" t="n">
        <x:f>IFERROR(F2336/J2336,0)</x:f>
        <x:v>0.14285714285714285</x:v>
      </x:c>
      <x:c r="T2336" s="28" t="n">
        <x:f>H2336-I2336</x:f>
        <x:v>4</x:v>
      </x:c>
      <x:c r="U2336" s="24" t="n">
        <x:f>IFERROR(J2336/H2336,0)-IFERROR(K2336/I2336,0)</x:f>
        <x:v>0.20512820512820512</x:v>
      </x:c>
      <x:c r="V2336" s="24" t="n">
        <x:f>IFERROR(F2336/J2336,0)-IFERROR(G2336/K2336,0)</x:f>
        <x:v>-0.19047619047619047</x:v>
      </x:c>
      <x:c r="W2336" s="28" t="n">
        <x:f>L2336-M2336</x:f>
        <x:v>-1</x:v>
      </x:c>
      <x:c r="X2336" s="24" t="n">
        <x:f>IFERROR(K2336/I2336,0)</x:f>
        <x:v>0.3333333333333333</x:v>
      </x:c>
      <x:c r="Y2336" s="24" t="n">
        <x:f>IFERROR(G2336/I2336,0)</x:f>
        <x:v>0.1111111111111111</x:v>
      </x:c>
      <x:c r="Z2336" s="24" t="n">
        <x:f>IFERROR(G2336/K2336,0)</x:f>
        <x:v>0.3333333333333333</x:v>
      </x:c>
      <x:c r="AA2336" s="24" t="n">
        <x:f>IFERROR(F2336/H2336,0)-IFERROR(G2336/I2336,0)</x:f>
        <x:v>-0.03418803418803418</x:v>
      </x:c>
      <x:c r="AB2336" s="28" t="n">
        <x:f>J2336-K2336</x:f>
        <x:v>4</x:v>
      </x:c>
      <x:c r="AC2336" s="32" t="n">
        <x:f>F2336-G2336</x:f>
        <x:v>0</x:v>
      </x:c>
    </x:row>
    <x:row r="2337">
      <x:c r="A2337" s="4" t="str">
        <x:v>2024-25</x:v>
      </x:c>
      <x:c r="B2337" s="20" t="n">
        <x:v>45536</x:v>
      </x:c>
      <x:c r="C2337" s="4" t="str">
        <x:v>Crystal Palace</x:v>
      </x:c>
      <x:c r="D2337" s="4" t="str">
        <x:v>Chelsea</x:v>
      </x:c>
      <x:c r="E2337" s="4" t="str">
        <x:v>Away</x:v>
      </x:c>
      <x:c r="F2337" s="28" t="n">
        <x:v>1</x:v>
      </x:c>
      <x:c r="G2337" s="28" t="n">
        <x:v>1</x:v>
      </x:c>
      <x:c r="H2337" s="28" t="n">
        <x:v>9</x:v>
      </x:c>
      <x:c r="I2337" s="28" t="n">
        <x:v>13</x:v>
      </x:c>
      <x:c r="J2337" s="28" t="n">
        <x:v>3</x:v>
      </x:c>
      <x:c r="K2337" s="28" t="n">
        <x:v>7</x:v>
      </x:c>
      <x:c r="L2337" s="28" t="n">
        <x:v>5</x:v>
      </x:c>
      <x:c r="M2337" s="28" t="n">
        <x:v>4</x:v>
      </x:c>
      <x:c r="N2337" s="28" t="n">
        <x:v>2</x:v>
      </x:c>
      <x:c r="O2337" s="28" t="n">
        <x:v>0</x:v>
      </x:c>
      <x:c r="P2337" s="28" t="n">
        <x:v>1</x:v>
      </x:c>
      <x:c r="Q2337" s="24" t="n">
        <x:f>IFERROR(J2337/H2337,0)</x:f>
        <x:v>0.3333333333333333</x:v>
      </x:c>
      <x:c r="R2337" s="24" t="n">
        <x:f>IFERROR(F2337/H2337,0)</x:f>
        <x:v>0.1111111111111111</x:v>
      </x:c>
      <x:c r="S2337" s="24" t="n">
        <x:f>IFERROR(F2337/J2337,0)</x:f>
        <x:v>0.3333333333333333</x:v>
      </x:c>
      <x:c r="T2337" s="28" t="n">
        <x:f>H2337-I2337</x:f>
        <x:v>-4</x:v>
      </x:c>
      <x:c r="U2337" s="24" t="n">
        <x:f>IFERROR(J2337/H2337,0)-IFERROR(K2337/I2337,0)</x:f>
        <x:v>-0.20512820512820512</x:v>
      </x:c>
      <x:c r="V2337" s="24" t="n">
        <x:f>IFERROR(F2337/J2337,0)-IFERROR(G2337/K2337,0)</x:f>
        <x:v>0.19047619047619047</x:v>
      </x:c>
      <x:c r="W2337" s="28" t="n">
        <x:f>L2337-M2337</x:f>
        <x:v>1</x:v>
      </x:c>
      <x:c r="X2337" s="24" t="n">
        <x:f>IFERROR(K2337/I2337,0)</x:f>
        <x:v>0.5384615384615384</x:v>
      </x:c>
      <x:c r="Y2337" s="24" t="n">
        <x:f>IFERROR(G2337/I2337,0)</x:f>
        <x:v>0.07692307692307693</x:v>
      </x:c>
      <x:c r="Z2337" s="24" t="n">
        <x:f>IFERROR(G2337/K2337,0)</x:f>
        <x:v>0.14285714285714285</x:v>
      </x:c>
      <x:c r="AA2337" s="24" t="n">
        <x:f>IFERROR(F2337/H2337,0)-IFERROR(G2337/I2337,0)</x:f>
        <x:v>0.03418803418803418</x:v>
      </x:c>
      <x:c r="AB2337" s="28" t="n">
        <x:f>J2337-K2337</x:f>
        <x:v>-4</x:v>
      </x:c>
      <x:c r="AC2337" s="32" t="n">
        <x:f>F2337-G2337</x:f>
        <x:v>0</x:v>
      </x:c>
    </x:row>
    <x:row r="2338">
      <x:c r="A2338" s="4" t="str">
        <x:v>2024-25</x:v>
      </x:c>
      <x:c r="B2338" s="20" t="n">
        <x:v>45536</x:v>
      </x:c>
      <x:c r="C2338" s="4" t="str">
        <x:v>Liverpool</x:v>
      </x:c>
      <x:c r="D2338" s="4" t="str">
        <x:v>Man United</x:v>
      </x:c>
      <x:c r="E2338" s="4" t="str">
        <x:v>Away</x:v>
      </x:c>
      <x:c r="F2338" s="28" t="n">
        <x:v>3</x:v>
      </x:c>
      <x:c r="G2338" s="28" t="n">
        <x:v>0</x:v>
      </x:c>
      <x:c r="H2338" s="28" t="n">
        <x:v>11</x:v>
      </x:c>
      <x:c r="I2338" s="28" t="n">
        <x:v>8</x:v>
      </x:c>
      <x:c r="J2338" s="28" t="n">
        <x:v>3</x:v>
      </x:c>
      <x:c r="K2338" s="28" t="n">
        <x:v>3</x:v>
      </x:c>
      <x:c r="L2338" s="28" t="n">
        <x:v>2</x:v>
      </x:c>
      <x:c r="M2338" s="28" t="n">
        <x:v>5</x:v>
      </x:c>
      <x:c r="N2338" s="28" t="n">
        <x:v>1</x:v>
      </x:c>
      <x:c r="O2338" s="28" t="n">
        <x:v>0</x:v>
      </x:c>
      <x:c r="P2338" s="28" t="n">
        <x:v>3</x:v>
      </x:c>
      <x:c r="Q2338" s="24" t="n">
        <x:f>IFERROR(J2338/H2338,0)</x:f>
        <x:v>0.2727272727272727</x:v>
      </x:c>
      <x:c r="R2338" s="24" t="n">
        <x:f>IFERROR(F2338/H2338,0)</x:f>
        <x:v>0.2727272727272727</x:v>
      </x:c>
      <x:c r="S2338" s="24" t="n">
        <x:f>IFERROR(F2338/J2338,0)</x:f>
        <x:v>1</x:v>
      </x:c>
      <x:c r="T2338" s="28" t="n">
        <x:f>H2338-I2338</x:f>
        <x:v>3</x:v>
      </x:c>
      <x:c r="U2338" s="24" t="n">
        <x:f>IFERROR(J2338/H2338,0)-IFERROR(K2338/I2338,0)</x:f>
        <x:v>-0.10227272727272729</x:v>
      </x:c>
      <x:c r="V2338" s="24" t="n">
        <x:f>IFERROR(F2338/J2338,0)-IFERROR(G2338/K2338,0)</x:f>
        <x:v>1</x:v>
      </x:c>
      <x:c r="W2338" s="28" t="n">
        <x:f>L2338-M2338</x:f>
        <x:v>-3</x:v>
      </x:c>
      <x:c r="X2338" s="24" t="n">
        <x:f>IFERROR(K2338/I2338,0)</x:f>
        <x:v>0.375</x:v>
      </x:c>
      <x:c r="Y2338" s="24" t="n">
        <x:f>IFERROR(G2338/I2338,0)</x:f>
        <x:v>0</x:v>
      </x:c>
      <x:c r="Z2338" s="24" t="n">
        <x:f>IFERROR(G2338/K2338,0)</x:f>
        <x:v>0</x:v>
      </x:c>
      <x:c r="AA2338" s="24" t="n">
        <x:f>IFERROR(F2338/H2338,0)-IFERROR(G2338/I2338,0)</x:f>
        <x:v>0.2727272727272727</x:v>
      </x:c>
      <x:c r="AB2338" s="28" t="n">
        <x:f>J2338-K2338</x:f>
        <x:v>0</x:v>
      </x:c>
      <x:c r="AC2338" s="32" t="n">
        <x:f>F2338-G2338</x:f>
        <x:v>3</x:v>
      </x:c>
    </x:row>
    <x:row r="2339">
      <x:c r="A2339" s="4" t="str">
        <x:v>2024-25</x:v>
      </x:c>
      <x:c r="B2339" s="20" t="n">
        <x:v>45536</x:v>
      </x:c>
      <x:c r="C2339" s="4" t="str">
        <x:v>Man United</x:v>
      </x:c>
      <x:c r="D2339" s="4" t="str">
        <x:v>Liverpool</x:v>
      </x:c>
      <x:c r="E2339" s="4" t="str">
        <x:v>Home</x:v>
      </x:c>
      <x:c r="F2339" s="28" t="n">
        <x:v>0</x:v>
      </x:c>
      <x:c r="G2339" s="28" t="n">
        <x:v>3</x:v>
      </x:c>
      <x:c r="H2339" s="28" t="n">
        <x:v>8</x:v>
      </x:c>
      <x:c r="I2339" s="28" t="n">
        <x:v>11</x:v>
      </x:c>
      <x:c r="J2339" s="28" t="n">
        <x:v>3</x:v>
      </x:c>
      <x:c r="K2339" s="28" t="n">
        <x:v>3</x:v>
      </x:c>
      <x:c r="L2339" s="28" t="n">
        <x:v>5</x:v>
      </x:c>
      <x:c r="M2339" s="28" t="n">
        <x:v>2</x:v>
      </x:c>
      <x:c r="N2339" s="28" t="n">
        <x:v>4</x:v>
      </x:c>
      <x:c r="O2339" s="28" t="n">
        <x:v>0</x:v>
      </x:c>
      <x:c r="P2339" s="28" t="n">
        <x:v>0</x:v>
      </x:c>
      <x:c r="Q2339" s="24" t="n">
        <x:f>IFERROR(J2339/H2339,0)</x:f>
        <x:v>0.375</x:v>
      </x:c>
      <x:c r="R2339" s="24" t="n">
        <x:f>IFERROR(F2339/H2339,0)</x:f>
        <x:v>0</x:v>
      </x:c>
      <x:c r="S2339" s="24" t="n">
        <x:f>IFERROR(F2339/J2339,0)</x:f>
        <x:v>0</x:v>
      </x:c>
      <x:c r="T2339" s="28" t="n">
        <x:f>H2339-I2339</x:f>
        <x:v>-3</x:v>
      </x:c>
      <x:c r="U2339" s="24" t="n">
        <x:f>IFERROR(J2339/H2339,0)-IFERROR(K2339/I2339,0)</x:f>
        <x:v>0.10227272727272729</x:v>
      </x:c>
      <x:c r="V2339" s="24" t="n">
        <x:f>IFERROR(F2339/J2339,0)-IFERROR(G2339/K2339,0)</x:f>
        <x:v>-1</x:v>
      </x:c>
      <x:c r="W2339" s="28" t="n">
        <x:f>L2339-M2339</x:f>
        <x:v>3</x:v>
      </x:c>
      <x:c r="X2339" s="24" t="n">
        <x:f>IFERROR(K2339/I2339,0)</x:f>
        <x:v>0.2727272727272727</x:v>
      </x:c>
      <x:c r="Y2339" s="24" t="n">
        <x:f>IFERROR(G2339/I2339,0)</x:f>
        <x:v>0.2727272727272727</x:v>
      </x:c>
      <x:c r="Z2339" s="24" t="n">
        <x:f>IFERROR(G2339/K2339,0)</x:f>
        <x:v>1</x:v>
      </x:c>
      <x:c r="AA2339" s="24" t="n">
        <x:f>IFERROR(F2339/H2339,0)-IFERROR(G2339/I2339,0)</x:f>
        <x:v>-0.2727272727272727</x:v>
      </x:c>
      <x:c r="AB2339" s="28" t="n">
        <x:f>J2339-K2339</x:f>
        <x:v>0</x:v>
      </x:c>
      <x:c r="AC2339" s="32" t="n">
        <x:f>F2339-G2339</x:f>
        <x:v>-3</x:v>
      </x:c>
    </x:row>
    <x:row r="2340">
      <x:c r="A2340" s="4" t="str">
        <x:v>2024-25</x:v>
      </x:c>
      <x:c r="B2340" s="20" t="n">
        <x:v>45536</x:v>
      </x:c>
      <x:c r="C2340" s="4" t="str">
        <x:v>Newcastle</x:v>
      </x:c>
      <x:c r="D2340" s="4" t="str">
        <x:v>Tottenham</x:v>
      </x:c>
      <x:c r="E2340" s="4" t="str">
        <x:v>Home</x:v>
      </x:c>
      <x:c r="F2340" s="28" t="n">
        <x:v>2</x:v>
      </x:c>
      <x:c r="G2340" s="28" t="n">
        <x:v>1</x:v>
      </x:c>
      <x:c r="H2340" s="28" t="n">
        <x:v>9</x:v>
      </x:c>
      <x:c r="I2340" s="28" t="n">
        <x:v>20</x:v>
      </x:c>
      <x:c r="J2340" s="28" t="n">
        <x:v>3</x:v>
      </x:c>
      <x:c r="K2340" s="28" t="n">
        <x:v>6</x:v>
      </x:c>
      <x:c r="L2340" s="28" t="n">
        <x:v>7</x:v>
      </x:c>
      <x:c r="M2340" s="28" t="n">
        <x:v>12</x:v>
      </x:c>
      <x:c r="N2340" s="28" t="n">
        <x:v>4</x:v>
      </x:c>
      <x:c r="O2340" s="28" t="n">
        <x:v>0</x:v>
      </x:c>
      <x:c r="P2340" s="28" t="n">
        <x:v>3</x:v>
      </x:c>
      <x:c r="Q2340" s="24" t="n">
        <x:f>IFERROR(J2340/H2340,0)</x:f>
        <x:v>0.3333333333333333</x:v>
      </x:c>
      <x:c r="R2340" s="24" t="n">
        <x:f>IFERROR(F2340/H2340,0)</x:f>
        <x:v>0.2222222222222222</x:v>
      </x:c>
      <x:c r="S2340" s="24" t="n">
        <x:f>IFERROR(F2340/J2340,0)</x:f>
        <x:v>0.6666666666666666</x:v>
      </x:c>
      <x:c r="T2340" s="28" t="n">
        <x:f>H2340-I2340</x:f>
        <x:v>-11</x:v>
      </x:c>
      <x:c r="U2340" s="24" t="n">
        <x:f>IFERROR(J2340/H2340,0)-IFERROR(K2340/I2340,0)</x:f>
        <x:v>0.033333333333333326</x:v>
      </x:c>
      <x:c r="V2340" s="24" t="n">
        <x:f>IFERROR(F2340/J2340,0)-IFERROR(G2340/K2340,0)</x:f>
        <x:v>0.5</x:v>
      </x:c>
      <x:c r="W2340" s="28" t="n">
        <x:f>L2340-M2340</x:f>
        <x:v>-5</x:v>
      </x:c>
      <x:c r="X2340" s="24" t="n">
        <x:f>IFERROR(K2340/I2340,0)</x:f>
        <x:v>0.3</x:v>
      </x:c>
      <x:c r="Y2340" s="24" t="n">
        <x:f>IFERROR(G2340/I2340,0)</x:f>
        <x:v>0.05</x:v>
      </x:c>
      <x:c r="Z2340" s="24" t="n">
        <x:f>IFERROR(G2340/K2340,0)</x:f>
        <x:v>0.16666666666666666</x:v>
      </x:c>
      <x:c r="AA2340" s="24" t="n">
        <x:f>IFERROR(F2340/H2340,0)-IFERROR(G2340/I2340,0)</x:f>
        <x:v>0.17222222222222222</x:v>
      </x:c>
      <x:c r="AB2340" s="28" t="n">
        <x:f>J2340-K2340</x:f>
        <x:v>-3</x:v>
      </x:c>
      <x:c r="AC2340" s="32" t="n">
        <x:f>F2340-G2340</x:f>
        <x:v>1</x:v>
      </x:c>
    </x:row>
    <x:row r="2341">
      <x:c r="A2341" s="4" t="str">
        <x:v>2024-25</x:v>
      </x:c>
      <x:c r="B2341" s="20" t="n">
        <x:v>45536</x:v>
      </x:c>
      <x:c r="C2341" s="4" t="str">
        <x:v>Tottenham</x:v>
      </x:c>
      <x:c r="D2341" s="4" t="str">
        <x:v>Newcastle</x:v>
      </x:c>
      <x:c r="E2341" s="4" t="str">
        <x:v>Away</x:v>
      </x:c>
      <x:c r="F2341" s="28" t="n">
        <x:v>1</x:v>
      </x:c>
      <x:c r="G2341" s="28" t="n">
        <x:v>2</x:v>
      </x:c>
      <x:c r="H2341" s="28" t="n">
        <x:v>20</x:v>
      </x:c>
      <x:c r="I2341" s="28" t="n">
        <x:v>9</x:v>
      </x:c>
      <x:c r="J2341" s="28" t="n">
        <x:v>6</x:v>
      </x:c>
      <x:c r="K2341" s="28" t="n">
        <x:v>3</x:v>
      </x:c>
      <x:c r="L2341" s="28" t="n">
        <x:v>12</x:v>
      </x:c>
      <x:c r="M2341" s="28" t="n">
        <x:v>7</x:v>
      </x:c>
      <x:c r="N2341" s="28" t="n">
        <x:v>4</x:v>
      </x:c>
      <x:c r="O2341" s="28" t="n">
        <x:v>0</x:v>
      </x:c>
      <x:c r="P2341" s="28" t="n">
        <x:v>0</x:v>
      </x:c>
      <x:c r="Q2341" s="24" t="n">
        <x:f>IFERROR(J2341/H2341,0)</x:f>
        <x:v>0.3</x:v>
      </x:c>
      <x:c r="R2341" s="24" t="n">
        <x:f>IFERROR(F2341/H2341,0)</x:f>
        <x:v>0.05</x:v>
      </x:c>
      <x:c r="S2341" s="24" t="n">
        <x:f>IFERROR(F2341/J2341,0)</x:f>
        <x:v>0.16666666666666666</x:v>
      </x:c>
      <x:c r="T2341" s="28" t="n">
        <x:f>H2341-I2341</x:f>
        <x:v>11</x:v>
      </x:c>
      <x:c r="U2341" s="24" t="n">
        <x:f>IFERROR(J2341/H2341,0)-IFERROR(K2341/I2341,0)</x:f>
        <x:v>-0.033333333333333326</x:v>
      </x:c>
      <x:c r="V2341" s="24" t="n">
        <x:f>IFERROR(F2341/J2341,0)-IFERROR(G2341/K2341,0)</x:f>
        <x:v>-0.5</x:v>
      </x:c>
      <x:c r="W2341" s="28" t="n">
        <x:f>L2341-M2341</x:f>
        <x:v>5</x:v>
      </x:c>
      <x:c r="X2341" s="24" t="n">
        <x:f>IFERROR(K2341/I2341,0)</x:f>
        <x:v>0.3333333333333333</x:v>
      </x:c>
      <x:c r="Y2341" s="24" t="n">
        <x:f>IFERROR(G2341/I2341,0)</x:f>
        <x:v>0.2222222222222222</x:v>
      </x:c>
      <x:c r="Z2341" s="24" t="n">
        <x:f>IFERROR(G2341/K2341,0)</x:f>
        <x:v>0.6666666666666666</x:v>
      </x:c>
      <x:c r="AA2341" s="24" t="n">
        <x:f>IFERROR(F2341/H2341,0)-IFERROR(G2341/I2341,0)</x:f>
        <x:v>-0.17222222222222222</x:v>
      </x:c>
      <x:c r="AB2341" s="28" t="n">
        <x:f>J2341-K2341</x:f>
        <x:v>3</x:v>
      </x:c>
      <x:c r="AC2341" s="32" t="n">
        <x:f>F2341-G2341</x:f>
        <x:v>-1</x:v>
      </x:c>
    </x:row>
    <x:row r="2342">
      <x:c r="A2342" s="4" t="str">
        <x:v>2024-25</x:v>
      </x:c>
      <x:c r="B2342" s="20" t="n">
        <x:v>45549</x:v>
      </x:c>
      <x:c r="C2342" s="4" t="str">
        <x:v>Aston Villa</x:v>
      </x:c>
      <x:c r="D2342" s="4" t="str">
        <x:v>Everton</x:v>
      </x:c>
      <x:c r="E2342" s="4" t="str">
        <x:v>Home</x:v>
      </x:c>
      <x:c r="F2342" s="28" t="n">
        <x:v>3</x:v>
      </x:c>
      <x:c r="G2342" s="28" t="n">
        <x:v>2</x:v>
      </x:c>
      <x:c r="H2342" s="28" t="n">
        <x:v>17</x:v>
      </x:c>
      <x:c r="I2342" s="28" t="n">
        <x:v>6</x:v>
      </x:c>
      <x:c r="J2342" s="28" t="n">
        <x:v>8</x:v>
      </x:c>
      <x:c r="K2342" s="28" t="n">
        <x:v>2</x:v>
      </x:c>
      <x:c r="L2342" s="28" t="n">
        <x:v>6</x:v>
      </x:c>
      <x:c r="M2342" s="28" t="n">
        <x:v>2</x:v>
      </x:c>
      <x:c r="N2342" s="28" t="n">
        <x:v>1</x:v>
      </x:c>
      <x:c r="O2342" s="28" t="n">
        <x:v>0</x:v>
      </x:c>
      <x:c r="P2342" s="28" t="n">
        <x:v>3</x:v>
      </x:c>
      <x:c r="Q2342" s="24" t="n">
        <x:f>IFERROR(J2342/H2342,0)</x:f>
        <x:v>0.47058823529411764</x:v>
      </x:c>
      <x:c r="R2342" s="24" t="n">
        <x:f>IFERROR(F2342/H2342,0)</x:f>
        <x:v>0.17647058823529413</x:v>
      </x:c>
      <x:c r="S2342" s="24" t="n">
        <x:f>IFERROR(F2342/J2342,0)</x:f>
        <x:v>0.375</x:v>
      </x:c>
      <x:c r="T2342" s="28" t="n">
        <x:f>H2342-I2342</x:f>
        <x:v>11</x:v>
      </x:c>
      <x:c r="U2342" s="24" t="n">
        <x:f>IFERROR(J2342/H2342,0)-IFERROR(K2342/I2342,0)</x:f>
        <x:v>0.13725490196078433</x:v>
      </x:c>
      <x:c r="V2342" s="24" t="n">
        <x:f>IFERROR(F2342/J2342,0)-IFERROR(G2342/K2342,0)</x:f>
        <x:v>-0.625</x:v>
      </x:c>
      <x:c r="W2342" s="28" t="n">
        <x:f>L2342-M2342</x:f>
        <x:v>4</x:v>
      </x:c>
      <x:c r="X2342" s="24" t="n">
        <x:f>IFERROR(K2342/I2342,0)</x:f>
        <x:v>0.3333333333333333</x:v>
      </x:c>
      <x:c r="Y2342" s="24" t="n">
        <x:f>IFERROR(G2342/I2342,0)</x:f>
        <x:v>0.3333333333333333</x:v>
      </x:c>
      <x:c r="Z2342" s="24" t="n">
        <x:f>IFERROR(G2342/K2342,0)</x:f>
        <x:v>1</x:v>
      </x:c>
      <x:c r="AA2342" s="24" t="n">
        <x:f>IFERROR(F2342/H2342,0)-IFERROR(G2342/I2342,0)</x:f>
        <x:v>-0.15686274509803919</x:v>
      </x:c>
      <x:c r="AB2342" s="28" t="n">
        <x:f>J2342-K2342</x:f>
        <x:v>6</x:v>
      </x:c>
      <x:c r="AC2342" s="32" t="n">
        <x:f>F2342-G2342</x:f>
        <x:v>1</x:v>
      </x:c>
    </x:row>
    <x:row r="2343">
      <x:c r="A2343" s="4" t="str">
        <x:v>2024-25</x:v>
      </x:c>
      <x:c r="B2343" s="20" t="n">
        <x:v>45549</x:v>
      </x:c>
      <x:c r="C2343" s="4" t="str">
        <x:v>Bournemouth</x:v>
      </x:c>
      <x:c r="D2343" s="4" t="str">
        <x:v>Chelsea</x:v>
      </x:c>
      <x:c r="E2343" s="4" t="str">
        <x:v>Home</x:v>
      </x:c>
      <x:c r="F2343" s="28" t="n">
        <x:v>0</x:v>
      </x:c>
      <x:c r="G2343" s="28" t="n">
        <x:v>1</x:v>
      </x:c>
      <x:c r="H2343" s="28" t="n">
        <x:v>19</x:v>
      </x:c>
      <x:c r="I2343" s="28" t="n">
        <x:v>10</x:v>
      </x:c>
      <x:c r="J2343" s="28" t="n">
        <x:v>7</x:v>
      </x:c>
      <x:c r="K2343" s="28" t="n">
        <x:v>3</x:v>
      </x:c>
      <x:c r="L2343" s="28" t="n">
        <x:v>6</x:v>
      </x:c>
      <x:c r="M2343" s="28" t="n">
        <x:v>3</x:v>
      </x:c>
      <x:c r="N2343" s="28" t="n">
        <x:v>6</x:v>
      </x:c>
      <x:c r="O2343" s="28" t="n">
        <x:v>0</x:v>
      </x:c>
      <x:c r="P2343" s="28" t="n">
        <x:v>0</x:v>
      </x:c>
      <x:c r="Q2343" s="24" t="n">
        <x:f>IFERROR(J2343/H2343,0)</x:f>
        <x:v>0.3684210526315789</x:v>
      </x:c>
      <x:c r="R2343" s="24" t="n">
        <x:f>IFERROR(F2343/H2343,0)</x:f>
        <x:v>0</x:v>
      </x:c>
      <x:c r="S2343" s="24" t="n">
        <x:f>IFERROR(F2343/J2343,0)</x:f>
        <x:v>0</x:v>
      </x:c>
      <x:c r="T2343" s="28" t="n">
        <x:f>H2343-I2343</x:f>
        <x:v>9</x:v>
      </x:c>
      <x:c r="U2343" s="24" t="n">
        <x:f>IFERROR(J2343/H2343,0)-IFERROR(K2343/I2343,0)</x:f>
        <x:v>0.06842105263157894</x:v>
      </x:c>
      <x:c r="V2343" s="24" t="n">
        <x:f>IFERROR(F2343/J2343,0)-IFERROR(G2343/K2343,0)</x:f>
        <x:v>-0.3333333333333333</x:v>
      </x:c>
      <x:c r="W2343" s="28" t="n">
        <x:f>L2343-M2343</x:f>
        <x:v>3</x:v>
      </x:c>
      <x:c r="X2343" s="24" t="n">
        <x:f>IFERROR(K2343/I2343,0)</x:f>
        <x:v>0.3</x:v>
      </x:c>
      <x:c r="Y2343" s="24" t="n">
        <x:f>IFERROR(G2343/I2343,0)</x:f>
        <x:v>0.1</x:v>
      </x:c>
      <x:c r="Z2343" s="24" t="n">
        <x:f>IFERROR(G2343/K2343,0)</x:f>
        <x:v>0.3333333333333333</x:v>
      </x:c>
      <x:c r="AA2343" s="24" t="n">
        <x:f>IFERROR(F2343/H2343,0)-IFERROR(G2343/I2343,0)</x:f>
        <x:v>-0.1</x:v>
      </x:c>
      <x:c r="AB2343" s="28" t="n">
        <x:f>J2343-K2343</x:f>
        <x:v>4</x:v>
      </x:c>
      <x:c r="AC2343" s="32" t="n">
        <x:f>F2343-G2343</x:f>
        <x:v>-1</x:v>
      </x:c>
    </x:row>
    <x:row r="2344">
      <x:c r="A2344" s="4" t="str">
        <x:v>2024-25</x:v>
      </x:c>
      <x:c r="B2344" s="20" t="n">
        <x:v>45549</x:v>
      </x:c>
      <x:c r="C2344" s="4" t="str">
        <x:v>Brentford</x:v>
      </x:c>
      <x:c r="D2344" s="4" t="str">
        <x:v>Man City</x:v>
      </x:c>
      <x:c r="E2344" s="4" t="str">
        <x:v>Away</x:v>
      </x:c>
      <x:c r="F2344" s="28" t="n">
        <x:v>1</x:v>
      </x:c>
      <x:c r="G2344" s="28" t="n">
        <x:v>2</x:v>
      </x:c>
      <x:c r="H2344" s="28" t="n">
        <x:v>8</x:v>
      </x:c>
      <x:c r="I2344" s="28" t="n">
        <x:v>18</x:v>
      </x:c>
      <x:c r="J2344" s="28" t="n">
        <x:v>5</x:v>
      </x:c>
      <x:c r="K2344" s="28" t="n">
        <x:v>7</x:v>
      </x:c>
      <x:c r="L2344" s="28" t="n">
        <x:v>3</x:v>
      </x:c>
      <x:c r="M2344" s="28" t="n">
        <x:v>12</x:v>
      </x:c>
      <x:c r="N2344" s="28" t="n">
        <x:v>1</x:v>
      </x:c>
      <x:c r="O2344" s="28" t="n">
        <x:v>0</x:v>
      </x:c>
      <x:c r="P2344" s="28" t="n">
        <x:v>0</x:v>
      </x:c>
      <x:c r="Q2344" s="24" t="n">
        <x:f>IFERROR(J2344/H2344,0)</x:f>
        <x:v>0.625</x:v>
      </x:c>
      <x:c r="R2344" s="24" t="n">
        <x:f>IFERROR(F2344/H2344,0)</x:f>
        <x:v>0.125</x:v>
      </x:c>
      <x:c r="S2344" s="24" t="n">
        <x:f>IFERROR(F2344/J2344,0)</x:f>
        <x:v>0.2</x:v>
      </x:c>
      <x:c r="T2344" s="28" t="n">
        <x:f>H2344-I2344</x:f>
        <x:v>-10</x:v>
      </x:c>
      <x:c r="U2344" s="24" t="n">
        <x:f>IFERROR(J2344/H2344,0)-IFERROR(K2344/I2344,0)</x:f>
        <x:v>0.2361111111111111</x:v>
      </x:c>
      <x:c r="V2344" s="24" t="n">
        <x:f>IFERROR(F2344/J2344,0)-IFERROR(G2344/K2344,0)</x:f>
        <x:v>-0.08571428571428569</x:v>
      </x:c>
      <x:c r="W2344" s="28" t="n">
        <x:f>L2344-M2344</x:f>
        <x:v>-9</x:v>
      </x:c>
      <x:c r="X2344" s="24" t="n">
        <x:f>IFERROR(K2344/I2344,0)</x:f>
        <x:v>0.3888888888888889</x:v>
      </x:c>
      <x:c r="Y2344" s="24" t="n">
        <x:f>IFERROR(G2344/I2344,0)</x:f>
        <x:v>0.1111111111111111</x:v>
      </x:c>
      <x:c r="Z2344" s="24" t="n">
        <x:f>IFERROR(G2344/K2344,0)</x:f>
        <x:v>0.2857142857142857</x:v>
      </x:c>
      <x:c r="AA2344" s="24" t="n">
        <x:f>IFERROR(F2344/H2344,0)-IFERROR(G2344/I2344,0)</x:f>
        <x:v>0.013888888888888895</x:v>
      </x:c>
      <x:c r="AB2344" s="28" t="n">
        <x:f>J2344-K2344</x:f>
        <x:v>-2</x:v>
      </x:c>
      <x:c r="AC2344" s="32" t="n">
        <x:f>F2344-G2344</x:f>
        <x:v>-1</x:v>
      </x:c>
    </x:row>
    <x:row r="2345">
      <x:c r="A2345" s="4" t="str">
        <x:v>2024-25</x:v>
      </x:c>
      <x:c r="B2345" s="20" t="n">
        <x:v>45549</x:v>
      </x:c>
      <x:c r="C2345" s="4" t="str">
        <x:v>Brighton</x:v>
      </x:c>
      <x:c r="D2345" s="4" t="str">
        <x:v>Ipswich</x:v>
      </x:c>
      <x:c r="E2345" s="4" t="str">
        <x:v>Home</x:v>
      </x:c>
      <x:c r="F2345" s="28" t="n">
        <x:v>0</x:v>
      </x:c>
      <x:c r="G2345" s="28" t="n">
        <x:v>0</x:v>
      </x:c>
      <x:c r="H2345" s="28" t="n">
        <x:v>21</x:v>
      </x:c>
      <x:c r="I2345" s="28" t="n">
        <x:v>6</x:v>
      </x:c>
      <x:c r="J2345" s="28" t="n">
        <x:v>6</x:v>
      </x:c>
      <x:c r="K2345" s="28" t="n">
        <x:v>1</x:v>
      </x:c>
      <x:c r="L2345" s="28" t="n">
        <x:v>9</x:v>
      </x:c>
      <x:c r="M2345" s="28" t="n">
        <x:v>2</x:v>
      </x:c>
      <x:c r="N2345" s="28" t="n">
        <x:v>4</x:v>
      </x:c>
      <x:c r="O2345" s="28" t="n">
        <x:v>0</x:v>
      </x:c>
      <x:c r="P2345" s="28" t="n">
        <x:v>1</x:v>
      </x:c>
      <x:c r="Q2345" s="24" t="n">
        <x:f>IFERROR(J2345/H2345,0)</x:f>
        <x:v>0.2857142857142857</x:v>
      </x:c>
      <x:c r="R2345" s="24" t="n">
        <x:f>IFERROR(F2345/H2345,0)</x:f>
        <x:v>0</x:v>
      </x:c>
      <x:c r="S2345" s="24" t="n">
        <x:f>IFERROR(F2345/J2345,0)</x:f>
        <x:v>0</x:v>
      </x:c>
      <x:c r="T2345" s="28" t="n">
        <x:f>H2345-I2345</x:f>
        <x:v>15</x:v>
      </x:c>
      <x:c r="U2345" s="24" t="n">
        <x:f>IFERROR(J2345/H2345,0)-IFERROR(K2345/I2345,0)</x:f>
        <x:v>0.11904761904761904</x:v>
      </x:c>
      <x:c r="V2345" s="24" t="n">
        <x:f>IFERROR(F2345/J2345,0)-IFERROR(G2345/K2345,0)</x:f>
        <x:v>0</x:v>
      </x:c>
      <x:c r="W2345" s="28" t="n">
        <x:f>L2345-M2345</x:f>
        <x:v>7</x:v>
      </x:c>
      <x:c r="X2345" s="24" t="n">
        <x:f>IFERROR(K2345/I2345,0)</x:f>
        <x:v>0.16666666666666666</x:v>
      </x:c>
      <x:c r="Y2345" s="24" t="n">
        <x:f>IFERROR(G2345/I2345,0)</x:f>
        <x:v>0</x:v>
      </x:c>
      <x:c r="Z2345" s="24" t="n">
        <x:f>IFERROR(G2345/K2345,0)</x:f>
        <x:v>0</x:v>
      </x:c>
      <x:c r="AA2345" s="24" t="n">
        <x:f>IFERROR(F2345/H2345,0)-IFERROR(G2345/I2345,0)</x:f>
        <x:v>0</x:v>
      </x:c>
      <x:c r="AB2345" s="28" t="n">
        <x:f>J2345-K2345</x:f>
        <x:v>5</x:v>
      </x:c>
      <x:c r="AC2345" s="32" t="n">
        <x:f>F2345-G2345</x:f>
        <x:v>0</x:v>
      </x:c>
    </x:row>
    <x:row r="2346">
      <x:c r="A2346" s="4" t="str">
        <x:v>2024-25</x:v>
      </x:c>
      <x:c r="B2346" s="20" t="n">
        <x:v>45549</x:v>
      </x:c>
      <x:c r="C2346" s="4" t="str">
        <x:v>Chelsea</x:v>
      </x:c>
      <x:c r="D2346" s="4" t="str">
        <x:v>Bournemouth</x:v>
      </x:c>
      <x:c r="E2346" s="4" t="str">
        <x:v>Away</x:v>
      </x:c>
      <x:c r="F2346" s="28" t="n">
        <x:v>1</x:v>
      </x:c>
      <x:c r="G2346" s="28" t="n">
        <x:v>0</x:v>
      </x:c>
      <x:c r="H2346" s="28" t="n">
        <x:v>10</x:v>
      </x:c>
      <x:c r="I2346" s="28" t="n">
        <x:v>19</x:v>
      </x:c>
      <x:c r="J2346" s="28" t="n">
        <x:v>3</x:v>
      </x:c>
      <x:c r="K2346" s="28" t="n">
        <x:v>7</x:v>
      </x:c>
      <x:c r="L2346" s="28" t="n">
        <x:v>3</x:v>
      </x:c>
      <x:c r="M2346" s="28" t="n">
        <x:v>6</x:v>
      </x:c>
      <x:c r="N2346" s="28" t="n">
        <x:v>8</x:v>
      </x:c>
      <x:c r="O2346" s="28" t="n">
        <x:v>0</x:v>
      </x:c>
      <x:c r="P2346" s="28" t="n">
        <x:v>3</x:v>
      </x:c>
      <x:c r="Q2346" s="24" t="n">
        <x:f>IFERROR(J2346/H2346,0)</x:f>
        <x:v>0.3</x:v>
      </x:c>
      <x:c r="R2346" s="24" t="n">
        <x:f>IFERROR(F2346/H2346,0)</x:f>
        <x:v>0.1</x:v>
      </x:c>
      <x:c r="S2346" s="24" t="n">
        <x:f>IFERROR(F2346/J2346,0)</x:f>
        <x:v>0.3333333333333333</x:v>
      </x:c>
      <x:c r="T2346" s="28" t="n">
        <x:f>H2346-I2346</x:f>
        <x:v>-9</x:v>
      </x:c>
      <x:c r="U2346" s="24" t="n">
        <x:f>IFERROR(J2346/H2346,0)-IFERROR(K2346/I2346,0)</x:f>
        <x:v>-0.06842105263157894</x:v>
      </x:c>
      <x:c r="V2346" s="24" t="n">
        <x:f>IFERROR(F2346/J2346,0)-IFERROR(G2346/K2346,0)</x:f>
        <x:v>0.3333333333333333</x:v>
      </x:c>
      <x:c r="W2346" s="28" t="n">
        <x:f>L2346-M2346</x:f>
        <x:v>-3</x:v>
      </x:c>
      <x:c r="X2346" s="24" t="n">
        <x:f>IFERROR(K2346/I2346,0)</x:f>
        <x:v>0.3684210526315789</x:v>
      </x:c>
      <x:c r="Y2346" s="24" t="n">
        <x:f>IFERROR(G2346/I2346,0)</x:f>
        <x:v>0</x:v>
      </x:c>
      <x:c r="Z2346" s="24" t="n">
        <x:f>IFERROR(G2346/K2346,0)</x:f>
        <x:v>0</x:v>
      </x:c>
      <x:c r="AA2346" s="24" t="n">
        <x:f>IFERROR(F2346/H2346,0)-IFERROR(G2346/I2346,0)</x:f>
        <x:v>0.1</x:v>
      </x:c>
      <x:c r="AB2346" s="28" t="n">
        <x:f>J2346-K2346</x:f>
        <x:v>-4</x:v>
      </x:c>
      <x:c r="AC2346" s="32" t="n">
        <x:f>F2346-G2346</x:f>
        <x:v>1</x:v>
      </x:c>
    </x:row>
    <x:row r="2347">
      <x:c r="A2347" s="4" t="str">
        <x:v>2024-25</x:v>
      </x:c>
      <x:c r="B2347" s="20" t="n">
        <x:v>45549</x:v>
      </x:c>
      <x:c r="C2347" s="4" t="str">
        <x:v>Crystal Palace</x:v>
      </x:c>
      <x:c r="D2347" s="4" t="str">
        <x:v>Leicester</x:v>
      </x:c>
      <x:c r="E2347" s="4" t="str">
        <x:v>Home</x:v>
      </x:c>
      <x:c r="F2347" s="28" t="n">
        <x:v>2</x:v>
      </x:c>
      <x:c r="G2347" s="28" t="n">
        <x:v>2</x:v>
      </x:c>
      <x:c r="H2347" s="28" t="n">
        <x:v>20</x:v>
      </x:c>
      <x:c r="I2347" s="28" t="n">
        <x:v>9</x:v>
      </x:c>
      <x:c r="J2347" s="28" t="n">
        <x:v>4</x:v>
      </x:c>
      <x:c r="K2347" s="28" t="n">
        <x:v>4</x:v>
      </x:c>
      <x:c r="L2347" s="28" t="n">
        <x:v>5</x:v>
      </x:c>
      <x:c r="M2347" s="28" t="n">
        <x:v>2</x:v>
      </x:c>
      <x:c r="N2347" s="28" t="n">
        <x:v>0</x:v>
      </x:c>
      <x:c r="O2347" s="28" t="n">
        <x:v>0</x:v>
      </x:c>
      <x:c r="P2347" s="28" t="n">
        <x:v>1</x:v>
      </x:c>
      <x:c r="Q2347" s="24" t="n">
        <x:f>IFERROR(J2347/H2347,0)</x:f>
        <x:v>0.2</x:v>
      </x:c>
      <x:c r="R2347" s="24" t="n">
        <x:f>IFERROR(F2347/H2347,0)</x:f>
        <x:v>0.1</x:v>
      </x:c>
      <x:c r="S2347" s="24" t="n">
        <x:f>IFERROR(F2347/J2347,0)</x:f>
        <x:v>0.5</x:v>
      </x:c>
      <x:c r="T2347" s="28" t="n">
        <x:f>H2347-I2347</x:f>
        <x:v>11</x:v>
      </x:c>
      <x:c r="U2347" s="24" t="n">
        <x:f>IFERROR(J2347/H2347,0)-IFERROR(K2347/I2347,0)</x:f>
        <x:v>-0.2444444444444444</x:v>
      </x:c>
      <x:c r="V2347" s="24" t="n">
        <x:f>IFERROR(F2347/J2347,0)-IFERROR(G2347/K2347,0)</x:f>
        <x:v>0</x:v>
      </x:c>
      <x:c r="W2347" s="28" t="n">
        <x:f>L2347-M2347</x:f>
        <x:v>3</x:v>
      </x:c>
      <x:c r="X2347" s="24" t="n">
        <x:f>IFERROR(K2347/I2347,0)</x:f>
        <x:v>0.4444444444444444</x:v>
      </x:c>
      <x:c r="Y2347" s="24" t="n">
        <x:f>IFERROR(G2347/I2347,0)</x:f>
        <x:v>0.2222222222222222</x:v>
      </x:c>
      <x:c r="Z2347" s="24" t="n">
        <x:f>IFERROR(G2347/K2347,0)</x:f>
        <x:v>0.5</x:v>
      </x:c>
      <x:c r="AA2347" s="24" t="n">
        <x:f>IFERROR(F2347/H2347,0)-IFERROR(G2347/I2347,0)</x:f>
        <x:v>-0.1222222222222222</x:v>
      </x:c>
      <x:c r="AB2347" s="28" t="n">
        <x:f>J2347-K2347</x:f>
        <x:v>0</x:v>
      </x:c>
      <x:c r="AC2347" s="32" t="n">
        <x:f>F2347-G2347</x:f>
        <x:v>0</x:v>
      </x:c>
    </x:row>
    <x:row r="2348">
      <x:c r="A2348" s="4" t="str">
        <x:v>2024-25</x:v>
      </x:c>
      <x:c r="B2348" s="20" t="n">
        <x:v>45549</x:v>
      </x:c>
      <x:c r="C2348" s="4" t="str">
        <x:v>Everton</x:v>
      </x:c>
      <x:c r="D2348" s="4" t="str">
        <x:v>Aston Villa</x:v>
      </x:c>
      <x:c r="E2348" s="4" t="str">
        <x:v>Away</x:v>
      </x:c>
      <x:c r="F2348" s="28" t="n">
        <x:v>2</x:v>
      </x:c>
      <x:c r="G2348" s="28" t="n">
        <x:v>3</x:v>
      </x:c>
      <x:c r="H2348" s="28" t="n">
        <x:v>6</x:v>
      </x:c>
      <x:c r="I2348" s="28" t="n">
        <x:v>17</x:v>
      </x:c>
      <x:c r="J2348" s="28" t="n">
        <x:v>2</x:v>
      </x:c>
      <x:c r="K2348" s="28" t="n">
        <x:v>8</x:v>
      </x:c>
      <x:c r="L2348" s="28" t="n">
        <x:v>2</x:v>
      </x:c>
      <x:c r="M2348" s="28" t="n">
        <x:v>6</x:v>
      </x:c>
      <x:c r="N2348" s="28" t="n">
        <x:v>4</x:v>
      </x:c>
      <x:c r="O2348" s="28" t="n">
        <x:v>0</x:v>
      </x:c>
      <x:c r="P2348" s="28" t="n">
        <x:v>0</x:v>
      </x:c>
      <x:c r="Q2348" s="24" t="n">
        <x:f>IFERROR(J2348/H2348,0)</x:f>
        <x:v>0.3333333333333333</x:v>
      </x:c>
      <x:c r="R2348" s="24" t="n">
        <x:f>IFERROR(F2348/H2348,0)</x:f>
        <x:v>0.3333333333333333</x:v>
      </x:c>
      <x:c r="S2348" s="24" t="n">
        <x:f>IFERROR(F2348/J2348,0)</x:f>
        <x:v>1</x:v>
      </x:c>
      <x:c r="T2348" s="28" t="n">
        <x:f>H2348-I2348</x:f>
        <x:v>-11</x:v>
      </x:c>
      <x:c r="U2348" s="24" t="n">
        <x:f>IFERROR(J2348/H2348,0)-IFERROR(K2348/I2348,0)</x:f>
        <x:v>-0.13725490196078433</x:v>
      </x:c>
      <x:c r="V2348" s="24" t="n">
        <x:f>IFERROR(F2348/J2348,0)-IFERROR(G2348/K2348,0)</x:f>
        <x:v>0.625</x:v>
      </x:c>
      <x:c r="W2348" s="28" t="n">
        <x:f>L2348-M2348</x:f>
        <x:v>-4</x:v>
      </x:c>
      <x:c r="X2348" s="24" t="n">
        <x:f>IFERROR(K2348/I2348,0)</x:f>
        <x:v>0.47058823529411764</x:v>
      </x:c>
      <x:c r="Y2348" s="24" t="n">
        <x:f>IFERROR(G2348/I2348,0)</x:f>
        <x:v>0.17647058823529413</x:v>
      </x:c>
      <x:c r="Z2348" s="24" t="n">
        <x:f>IFERROR(G2348/K2348,0)</x:f>
        <x:v>0.375</x:v>
      </x:c>
      <x:c r="AA2348" s="24" t="n">
        <x:f>IFERROR(F2348/H2348,0)-IFERROR(G2348/I2348,0)</x:f>
        <x:v>0.15686274509803919</x:v>
      </x:c>
      <x:c r="AB2348" s="28" t="n">
        <x:f>J2348-K2348</x:f>
        <x:v>-6</x:v>
      </x:c>
      <x:c r="AC2348" s="32" t="n">
        <x:f>F2348-G2348</x:f>
        <x:v>-1</x:v>
      </x:c>
    </x:row>
    <x:row r="2349">
      <x:c r="A2349" s="4" t="str">
        <x:v>2024-25</x:v>
      </x:c>
      <x:c r="B2349" s="20" t="n">
        <x:v>45549</x:v>
      </x:c>
      <x:c r="C2349" s="4" t="str">
        <x:v>Fulham</x:v>
      </x:c>
      <x:c r="D2349" s="4" t="str">
        <x:v>West Ham</x:v>
      </x:c>
      <x:c r="E2349" s="4" t="str">
        <x:v>Home</x:v>
      </x:c>
      <x:c r="F2349" s="28" t="n">
        <x:v>1</x:v>
      </x:c>
      <x:c r="G2349" s="28" t="n">
        <x:v>1</x:v>
      </x:c>
      <x:c r="H2349" s="28" t="n">
        <x:v>21</x:v>
      </x:c>
      <x:c r="I2349" s="28" t="n">
        <x:v>11</x:v>
      </x:c>
      <x:c r="J2349" s="28" t="n">
        <x:v>5</x:v>
      </x:c>
      <x:c r="K2349" s="28" t="n">
        <x:v>3</x:v>
      </x:c>
      <x:c r="L2349" s="28" t="n">
        <x:v>3</x:v>
      </x:c>
      <x:c r="M2349" s="28" t="n">
        <x:v>2</x:v>
      </x:c>
      <x:c r="N2349" s="28" t="n">
        <x:v>2</x:v>
      </x:c>
      <x:c r="O2349" s="28" t="n">
        <x:v>0</x:v>
      </x:c>
      <x:c r="P2349" s="28" t="n">
        <x:v>1</x:v>
      </x:c>
      <x:c r="Q2349" s="24" t="n">
        <x:f>IFERROR(J2349/H2349,0)</x:f>
        <x:v>0.23809523809523808</x:v>
      </x:c>
      <x:c r="R2349" s="24" t="n">
        <x:f>IFERROR(F2349/H2349,0)</x:f>
        <x:v>0.047619047619047616</x:v>
      </x:c>
      <x:c r="S2349" s="24" t="n">
        <x:f>IFERROR(F2349/J2349,0)</x:f>
        <x:v>0.2</x:v>
      </x:c>
      <x:c r="T2349" s="28" t="n">
        <x:f>H2349-I2349</x:f>
        <x:v>10</x:v>
      </x:c>
      <x:c r="U2349" s="24" t="n">
        <x:f>IFERROR(J2349/H2349,0)-IFERROR(K2349/I2349,0)</x:f>
        <x:v>-0.034632034632034625</x:v>
      </x:c>
      <x:c r="V2349" s="24" t="n">
        <x:f>IFERROR(F2349/J2349,0)-IFERROR(G2349/K2349,0)</x:f>
        <x:v>-0.1333333333333333</x:v>
      </x:c>
      <x:c r="W2349" s="28" t="n">
        <x:f>L2349-M2349</x:f>
        <x:v>1</x:v>
      </x:c>
      <x:c r="X2349" s="24" t="n">
        <x:f>IFERROR(K2349/I2349,0)</x:f>
        <x:v>0.2727272727272727</x:v>
      </x:c>
      <x:c r="Y2349" s="24" t="n">
        <x:f>IFERROR(G2349/I2349,0)</x:f>
        <x:v>0.09090909090909091</x:v>
      </x:c>
      <x:c r="Z2349" s="24" t="n">
        <x:f>IFERROR(G2349/K2349,0)</x:f>
        <x:v>0.3333333333333333</x:v>
      </x:c>
      <x:c r="AA2349" s="24" t="n">
        <x:f>IFERROR(F2349/H2349,0)-IFERROR(G2349/I2349,0)</x:f>
        <x:v>-0.043290043290043295</x:v>
      </x:c>
      <x:c r="AB2349" s="28" t="n">
        <x:f>J2349-K2349</x:f>
        <x:v>2</x:v>
      </x:c>
      <x:c r="AC2349" s="32" t="n">
        <x:f>F2349-G2349</x:f>
        <x:v>0</x:v>
      </x:c>
    </x:row>
    <x:row r="2350">
      <x:c r="A2350" s="4" t="str">
        <x:v>2024-25</x:v>
      </x:c>
      <x:c r="B2350" s="20" t="n">
        <x:v>45549</x:v>
      </x:c>
      <x:c r="C2350" s="4" t="str">
        <x:v>Ipswich</x:v>
      </x:c>
      <x:c r="D2350" s="4" t="str">
        <x:v>Brighton</x:v>
      </x:c>
      <x:c r="E2350" s="4" t="str">
        <x:v>Away</x:v>
      </x:c>
      <x:c r="F2350" s="28" t="n">
        <x:v>0</x:v>
      </x:c>
      <x:c r="G2350" s="28" t="n">
        <x:v>0</x:v>
      </x:c>
      <x:c r="H2350" s="28" t="n">
        <x:v>6</x:v>
      </x:c>
      <x:c r="I2350" s="28" t="n">
        <x:v>21</x:v>
      </x:c>
      <x:c r="J2350" s="28" t="n">
        <x:v>1</x:v>
      </x:c>
      <x:c r="K2350" s="28" t="n">
        <x:v>6</x:v>
      </x:c>
      <x:c r="L2350" s="28" t="n">
        <x:v>2</x:v>
      </x:c>
      <x:c r="M2350" s="28" t="n">
        <x:v>9</x:v>
      </x:c>
      <x:c r="N2350" s="28" t="n">
        <x:v>3</x:v>
      </x:c>
      <x:c r="O2350" s="28" t="n">
        <x:v>0</x:v>
      </x:c>
      <x:c r="P2350" s="28" t="n">
        <x:v>1</x:v>
      </x:c>
      <x:c r="Q2350" s="24" t="n">
        <x:f>IFERROR(J2350/H2350,0)</x:f>
        <x:v>0.16666666666666666</x:v>
      </x:c>
      <x:c r="R2350" s="24" t="n">
        <x:f>IFERROR(F2350/H2350,0)</x:f>
        <x:v>0</x:v>
      </x:c>
      <x:c r="S2350" s="24" t="n">
        <x:f>IFERROR(F2350/J2350,0)</x:f>
        <x:v>0</x:v>
      </x:c>
      <x:c r="T2350" s="28" t="n">
        <x:f>H2350-I2350</x:f>
        <x:v>-15</x:v>
      </x:c>
      <x:c r="U2350" s="24" t="n">
        <x:f>IFERROR(J2350/H2350,0)-IFERROR(K2350/I2350,0)</x:f>
        <x:v>-0.11904761904761904</x:v>
      </x:c>
      <x:c r="V2350" s="24" t="n">
        <x:f>IFERROR(F2350/J2350,0)-IFERROR(G2350/K2350,0)</x:f>
        <x:v>0</x:v>
      </x:c>
      <x:c r="W2350" s="28" t="n">
        <x:f>L2350-M2350</x:f>
        <x:v>-7</x:v>
      </x:c>
      <x:c r="X2350" s="24" t="n">
        <x:f>IFERROR(K2350/I2350,0)</x:f>
        <x:v>0.2857142857142857</x:v>
      </x:c>
      <x:c r="Y2350" s="24" t="n">
        <x:f>IFERROR(G2350/I2350,0)</x:f>
        <x:v>0</x:v>
      </x:c>
      <x:c r="Z2350" s="24" t="n">
        <x:f>IFERROR(G2350/K2350,0)</x:f>
        <x:v>0</x:v>
      </x:c>
      <x:c r="AA2350" s="24" t="n">
        <x:f>IFERROR(F2350/H2350,0)-IFERROR(G2350/I2350,0)</x:f>
        <x:v>0</x:v>
      </x:c>
      <x:c r="AB2350" s="28" t="n">
        <x:f>J2350-K2350</x:f>
        <x:v>-5</x:v>
      </x:c>
      <x:c r="AC2350" s="32" t="n">
        <x:f>F2350-G2350</x:f>
        <x:v>0</x:v>
      </x:c>
    </x:row>
    <x:row r="2351">
      <x:c r="A2351" s="4" t="str">
        <x:v>2024-25</x:v>
      </x:c>
      <x:c r="B2351" s="20" t="n">
        <x:v>45549</x:v>
      </x:c>
      <x:c r="C2351" s="4" t="str">
        <x:v>Leicester</x:v>
      </x:c>
      <x:c r="D2351" s="4" t="str">
        <x:v>Crystal Palace</x:v>
      </x:c>
      <x:c r="E2351" s="4" t="str">
        <x:v>Away</x:v>
      </x:c>
      <x:c r="F2351" s="28" t="n">
        <x:v>2</x:v>
      </x:c>
      <x:c r="G2351" s="28" t="n">
        <x:v>2</x:v>
      </x:c>
      <x:c r="H2351" s="28" t="n">
        <x:v>9</x:v>
      </x:c>
      <x:c r="I2351" s="28" t="n">
        <x:v>20</x:v>
      </x:c>
      <x:c r="J2351" s="28" t="n">
        <x:v>4</x:v>
      </x:c>
      <x:c r="K2351" s="28" t="n">
        <x:v>4</x:v>
      </x:c>
      <x:c r="L2351" s="28" t="n">
        <x:v>2</x:v>
      </x:c>
      <x:c r="M2351" s="28" t="n">
        <x:v>5</x:v>
      </x:c>
      <x:c r="N2351" s="28" t="n">
        <x:v>3</x:v>
      </x:c>
      <x:c r="O2351" s="28" t="n">
        <x:v>0</x:v>
      </x:c>
      <x:c r="P2351" s="28" t="n">
        <x:v>1</x:v>
      </x:c>
      <x:c r="Q2351" s="24" t="n">
        <x:f>IFERROR(J2351/H2351,0)</x:f>
        <x:v>0.4444444444444444</x:v>
      </x:c>
      <x:c r="R2351" s="24" t="n">
        <x:f>IFERROR(F2351/H2351,0)</x:f>
        <x:v>0.2222222222222222</x:v>
      </x:c>
      <x:c r="S2351" s="24" t="n">
        <x:f>IFERROR(F2351/J2351,0)</x:f>
        <x:v>0.5</x:v>
      </x:c>
      <x:c r="T2351" s="28" t="n">
        <x:f>H2351-I2351</x:f>
        <x:v>-11</x:v>
      </x:c>
      <x:c r="U2351" s="24" t="n">
        <x:f>IFERROR(J2351/H2351,0)-IFERROR(K2351/I2351,0)</x:f>
        <x:v>0.2444444444444444</x:v>
      </x:c>
      <x:c r="V2351" s="24" t="n">
        <x:f>IFERROR(F2351/J2351,0)-IFERROR(G2351/K2351,0)</x:f>
        <x:v>0</x:v>
      </x:c>
      <x:c r="W2351" s="28" t="n">
        <x:f>L2351-M2351</x:f>
        <x:v>-3</x:v>
      </x:c>
      <x:c r="X2351" s="24" t="n">
        <x:f>IFERROR(K2351/I2351,0)</x:f>
        <x:v>0.2</x:v>
      </x:c>
      <x:c r="Y2351" s="24" t="n">
        <x:f>IFERROR(G2351/I2351,0)</x:f>
        <x:v>0.1</x:v>
      </x:c>
      <x:c r="Z2351" s="24" t="n">
        <x:f>IFERROR(G2351/K2351,0)</x:f>
        <x:v>0.5</x:v>
      </x:c>
      <x:c r="AA2351" s="24" t="n">
        <x:f>IFERROR(F2351/H2351,0)-IFERROR(G2351/I2351,0)</x:f>
        <x:v>0.1222222222222222</x:v>
      </x:c>
      <x:c r="AB2351" s="28" t="n">
        <x:f>J2351-K2351</x:f>
        <x:v>0</x:v>
      </x:c>
      <x:c r="AC2351" s="32" t="n">
        <x:f>F2351-G2351</x:f>
        <x:v>0</x:v>
      </x:c>
    </x:row>
    <x:row r="2352">
      <x:c r="A2352" s="4" t="str">
        <x:v>2024-25</x:v>
      </x:c>
      <x:c r="B2352" s="20" t="n">
        <x:v>45549</x:v>
      </x:c>
      <x:c r="C2352" s="4" t="str">
        <x:v>Liverpool</x:v>
      </x:c>
      <x:c r="D2352" s="4" t="str">
        <x:v>Nott'm Forest</x:v>
      </x:c>
      <x:c r="E2352" s="4" t="str">
        <x:v>Home</x:v>
      </x:c>
      <x:c r="F2352" s="28" t="n">
        <x:v>0</x:v>
      </x:c>
      <x:c r="G2352" s="28" t="n">
        <x:v>1</x:v>
      </x:c>
      <x:c r="H2352" s="28" t="n">
        <x:v>14</x:v>
      </x:c>
      <x:c r="I2352" s="28" t="n">
        <x:v>5</x:v>
      </x:c>
      <x:c r="J2352" s="28" t="n">
        <x:v>5</x:v>
      </x:c>
      <x:c r="K2352" s="28" t="n">
        <x:v>3</x:v>
      </x:c>
      <x:c r="L2352" s="28" t="n">
        <x:v>7</x:v>
      </x:c>
      <x:c r="M2352" s="28" t="n">
        <x:v>2</x:v>
      </x:c>
      <x:c r="N2352" s="28" t="n">
        <x:v>4</x:v>
      </x:c>
      <x:c r="O2352" s="28" t="n">
        <x:v>0</x:v>
      </x:c>
      <x:c r="P2352" s="28" t="n">
        <x:v>0</x:v>
      </x:c>
      <x:c r="Q2352" s="24" t="n">
        <x:f>IFERROR(J2352/H2352,0)</x:f>
        <x:v>0.35714285714285715</x:v>
      </x:c>
      <x:c r="R2352" s="24" t="n">
        <x:f>IFERROR(F2352/H2352,0)</x:f>
        <x:v>0</x:v>
      </x:c>
      <x:c r="S2352" s="24" t="n">
        <x:f>IFERROR(F2352/J2352,0)</x:f>
        <x:v>0</x:v>
      </x:c>
      <x:c r="T2352" s="28" t="n">
        <x:f>H2352-I2352</x:f>
        <x:v>9</x:v>
      </x:c>
      <x:c r="U2352" s="24" t="n">
        <x:f>IFERROR(J2352/H2352,0)-IFERROR(K2352/I2352,0)</x:f>
        <x:v>-0.24285714285714283</x:v>
      </x:c>
      <x:c r="V2352" s="24" t="n">
        <x:f>IFERROR(F2352/J2352,0)-IFERROR(G2352/K2352,0)</x:f>
        <x:v>-0.3333333333333333</x:v>
      </x:c>
      <x:c r="W2352" s="28" t="n">
        <x:f>L2352-M2352</x:f>
        <x:v>5</x:v>
      </x:c>
      <x:c r="X2352" s="24" t="n">
        <x:f>IFERROR(K2352/I2352,0)</x:f>
        <x:v>0.6</x:v>
      </x:c>
      <x:c r="Y2352" s="24" t="n">
        <x:f>IFERROR(G2352/I2352,0)</x:f>
        <x:v>0.2</x:v>
      </x:c>
      <x:c r="Z2352" s="24" t="n">
        <x:f>IFERROR(G2352/K2352,0)</x:f>
        <x:v>0.3333333333333333</x:v>
      </x:c>
      <x:c r="AA2352" s="24" t="n">
        <x:f>IFERROR(F2352/H2352,0)-IFERROR(G2352/I2352,0)</x:f>
        <x:v>-0.2</x:v>
      </x:c>
      <x:c r="AB2352" s="28" t="n">
        <x:f>J2352-K2352</x:f>
        <x:v>2</x:v>
      </x:c>
      <x:c r="AC2352" s="32" t="n">
        <x:f>F2352-G2352</x:f>
        <x:v>-1</x:v>
      </x:c>
    </x:row>
    <x:row r="2353">
      <x:c r="A2353" s="4" t="str">
        <x:v>2024-25</x:v>
      </x:c>
      <x:c r="B2353" s="20" t="n">
        <x:v>45549</x:v>
      </x:c>
      <x:c r="C2353" s="4" t="str">
        <x:v>Man City</x:v>
      </x:c>
      <x:c r="D2353" s="4" t="str">
        <x:v>Brentford</x:v>
      </x:c>
      <x:c r="E2353" s="4" t="str">
        <x:v>Home</x:v>
      </x:c>
      <x:c r="F2353" s="28" t="n">
        <x:v>2</x:v>
      </x:c>
      <x:c r="G2353" s="28" t="n">
        <x:v>1</x:v>
      </x:c>
      <x:c r="H2353" s="28" t="n">
        <x:v>18</x:v>
      </x:c>
      <x:c r="I2353" s="28" t="n">
        <x:v>8</x:v>
      </x:c>
      <x:c r="J2353" s="28" t="n">
        <x:v>7</x:v>
      </x:c>
      <x:c r="K2353" s="28" t="n">
        <x:v>5</x:v>
      </x:c>
      <x:c r="L2353" s="28" t="n">
        <x:v>12</x:v>
      </x:c>
      <x:c r="M2353" s="28" t="n">
        <x:v>3</x:v>
      </x:c>
      <x:c r="N2353" s="28" t="n">
        <x:v>3</x:v>
      </x:c>
      <x:c r="O2353" s="28" t="n">
        <x:v>0</x:v>
      </x:c>
      <x:c r="P2353" s="28" t="n">
        <x:v>3</x:v>
      </x:c>
      <x:c r="Q2353" s="24" t="n">
        <x:f>IFERROR(J2353/H2353,0)</x:f>
        <x:v>0.3888888888888889</x:v>
      </x:c>
      <x:c r="R2353" s="24" t="n">
        <x:f>IFERROR(F2353/H2353,0)</x:f>
        <x:v>0.1111111111111111</x:v>
      </x:c>
      <x:c r="S2353" s="24" t="n">
        <x:f>IFERROR(F2353/J2353,0)</x:f>
        <x:v>0.2857142857142857</x:v>
      </x:c>
      <x:c r="T2353" s="28" t="n">
        <x:f>H2353-I2353</x:f>
        <x:v>10</x:v>
      </x:c>
      <x:c r="U2353" s="24" t="n">
        <x:f>IFERROR(J2353/H2353,0)-IFERROR(K2353/I2353,0)</x:f>
        <x:v>-0.2361111111111111</x:v>
      </x:c>
      <x:c r="V2353" s="24" t="n">
        <x:f>IFERROR(F2353/J2353,0)-IFERROR(G2353/K2353,0)</x:f>
        <x:v>0.08571428571428569</x:v>
      </x:c>
      <x:c r="W2353" s="28" t="n">
        <x:f>L2353-M2353</x:f>
        <x:v>9</x:v>
      </x:c>
      <x:c r="X2353" s="24" t="n">
        <x:f>IFERROR(K2353/I2353,0)</x:f>
        <x:v>0.625</x:v>
      </x:c>
      <x:c r="Y2353" s="24" t="n">
        <x:f>IFERROR(G2353/I2353,0)</x:f>
        <x:v>0.125</x:v>
      </x:c>
      <x:c r="Z2353" s="24" t="n">
        <x:f>IFERROR(G2353/K2353,0)</x:f>
        <x:v>0.2</x:v>
      </x:c>
      <x:c r="AA2353" s="24" t="n">
        <x:f>IFERROR(F2353/H2353,0)-IFERROR(G2353/I2353,0)</x:f>
        <x:v>-0.013888888888888895</x:v>
      </x:c>
      <x:c r="AB2353" s="28" t="n">
        <x:f>J2353-K2353</x:f>
        <x:v>2</x:v>
      </x:c>
      <x:c r="AC2353" s="32" t="n">
        <x:f>F2353-G2353</x:f>
        <x:v>1</x:v>
      </x:c>
    </x:row>
    <x:row r="2354">
      <x:c r="A2354" s="4" t="str">
        <x:v>2024-25</x:v>
      </x:c>
      <x:c r="B2354" s="20" t="n">
        <x:v>45549</x:v>
      </x:c>
      <x:c r="C2354" s="4" t="str">
        <x:v>Man United</x:v>
      </x:c>
      <x:c r="D2354" s="4" t="str">
        <x:v>Southampton</x:v>
      </x:c>
      <x:c r="E2354" s="4" t="str">
        <x:v>Away</x:v>
      </x:c>
      <x:c r="F2354" s="28" t="n">
        <x:v>3</x:v>
      </x:c>
      <x:c r="G2354" s="28" t="n">
        <x:v>0</x:v>
      </x:c>
      <x:c r="H2354" s="28" t="n">
        <x:v>20</x:v>
      </x:c>
      <x:c r="I2354" s="28" t="n">
        <x:v>6</x:v>
      </x:c>
      <x:c r="J2354" s="28" t="n">
        <x:v>10</x:v>
      </x:c>
      <x:c r="K2354" s="28" t="n">
        <x:v>4</x:v>
      </x:c>
      <x:c r="L2354" s="28" t="n">
        <x:v>7</x:v>
      </x:c>
      <x:c r="M2354" s="28" t="n">
        <x:v>0</x:v>
      </x:c>
      <x:c r="N2354" s="28" t="n">
        <x:v>4</x:v>
      </x:c>
      <x:c r="O2354" s="28" t="n">
        <x:v>0</x:v>
      </x:c>
      <x:c r="P2354" s="28" t="n">
        <x:v>3</x:v>
      </x:c>
      <x:c r="Q2354" s="24" t="n">
        <x:f>IFERROR(J2354/H2354,0)</x:f>
        <x:v>0.5</x:v>
      </x:c>
      <x:c r="R2354" s="24" t="n">
        <x:f>IFERROR(F2354/H2354,0)</x:f>
        <x:v>0.15</x:v>
      </x:c>
      <x:c r="S2354" s="24" t="n">
        <x:f>IFERROR(F2354/J2354,0)</x:f>
        <x:v>0.3</x:v>
      </x:c>
      <x:c r="T2354" s="28" t="n">
        <x:f>H2354-I2354</x:f>
        <x:v>14</x:v>
      </x:c>
      <x:c r="U2354" s="24" t="n">
        <x:f>IFERROR(J2354/H2354,0)-IFERROR(K2354/I2354,0)</x:f>
        <x:v>-0.16666666666666663</x:v>
      </x:c>
      <x:c r="V2354" s="24" t="n">
        <x:f>IFERROR(F2354/J2354,0)-IFERROR(G2354/K2354,0)</x:f>
        <x:v>0.3</x:v>
      </x:c>
      <x:c r="W2354" s="28" t="n">
        <x:f>L2354-M2354</x:f>
        <x:v>7</x:v>
      </x:c>
      <x:c r="X2354" s="24" t="n">
        <x:f>IFERROR(K2354/I2354,0)</x:f>
        <x:v>0.6666666666666666</x:v>
      </x:c>
      <x:c r="Y2354" s="24" t="n">
        <x:f>IFERROR(G2354/I2354,0)</x:f>
        <x:v>0</x:v>
      </x:c>
      <x:c r="Z2354" s="24" t="n">
        <x:f>IFERROR(G2354/K2354,0)</x:f>
        <x:v>0</x:v>
      </x:c>
      <x:c r="AA2354" s="24" t="n">
        <x:f>IFERROR(F2354/H2354,0)-IFERROR(G2354/I2354,0)</x:f>
        <x:v>0.15</x:v>
      </x:c>
      <x:c r="AB2354" s="28" t="n">
        <x:f>J2354-K2354</x:f>
        <x:v>6</x:v>
      </x:c>
      <x:c r="AC2354" s="32" t="n">
        <x:f>F2354-G2354</x:f>
        <x:v>3</x:v>
      </x:c>
    </x:row>
    <x:row r="2355">
      <x:c r="A2355" s="4" t="str">
        <x:v>2024-25</x:v>
      </x:c>
      <x:c r="B2355" s="20" t="n">
        <x:v>45549</x:v>
      </x:c>
      <x:c r="C2355" s="4" t="str">
        <x:v>Nott'm Forest</x:v>
      </x:c>
      <x:c r="D2355" s="4" t="str">
        <x:v>Liverpool</x:v>
      </x:c>
      <x:c r="E2355" s="4" t="str">
        <x:v>Away</x:v>
      </x:c>
      <x:c r="F2355" s="28" t="n">
        <x:v>1</x:v>
      </x:c>
      <x:c r="G2355" s="28" t="n">
        <x:v>0</x:v>
      </x:c>
      <x:c r="H2355" s="28" t="n">
        <x:v>5</x:v>
      </x:c>
      <x:c r="I2355" s="28" t="n">
        <x:v>14</x:v>
      </x:c>
      <x:c r="J2355" s="28" t="n">
        <x:v>3</x:v>
      </x:c>
      <x:c r="K2355" s="28" t="n">
        <x:v>5</x:v>
      </x:c>
      <x:c r="L2355" s="28" t="n">
        <x:v>2</x:v>
      </x:c>
      <x:c r="M2355" s="28" t="n">
        <x:v>7</x:v>
      </x:c>
      <x:c r="N2355" s="28" t="n">
        <x:v>4</x:v>
      </x:c>
      <x:c r="O2355" s="28" t="n">
        <x:v>0</x:v>
      </x:c>
      <x:c r="P2355" s="28" t="n">
        <x:v>3</x:v>
      </x:c>
      <x:c r="Q2355" s="24" t="n">
        <x:f>IFERROR(J2355/H2355,0)</x:f>
        <x:v>0.6</x:v>
      </x:c>
      <x:c r="R2355" s="24" t="n">
        <x:f>IFERROR(F2355/H2355,0)</x:f>
        <x:v>0.2</x:v>
      </x:c>
      <x:c r="S2355" s="24" t="n">
        <x:f>IFERROR(F2355/J2355,0)</x:f>
        <x:v>0.3333333333333333</x:v>
      </x:c>
      <x:c r="T2355" s="28" t="n">
        <x:f>H2355-I2355</x:f>
        <x:v>-9</x:v>
      </x:c>
      <x:c r="U2355" s="24" t="n">
        <x:f>IFERROR(J2355/H2355,0)-IFERROR(K2355/I2355,0)</x:f>
        <x:v>0.24285714285714283</x:v>
      </x:c>
      <x:c r="V2355" s="24" t="n">
        <x:f>IFERROR(F2355/J2355,0)-IFERROR(G2355/K2355,0)</x:f>
        <x:v>0.3333333333333333</x:v>
      </x:c>
      <x:c r="W2355" s="28" t="n">
        <x:f>L2355-M2355</x:f>
        <x:v>-5</x:v>
      </x:c>
      <x:c r="X2355" s="24" t="n">
        <x:f>IFERROR(K2355/I2355,0)</x:f>
        <x:v>0.35714285714285715</x:v>
      </x:c>
      <x:c r="Y2355" s="24" t="n">
        <x:f>IFERROR(G2355/I2355,0)</x:f>
        <x:v>0</x:v>
      </x:c>
      <x:c r="Z2355" s="24" t="n">
        <x:f>IFERROR(G2355/K2355,0)</x:f>
        <x:v>0</x:v>
      </x:c>
      <x:c r="AA2355" s="24" t="n">
        <x:f>IFERROR(F2355/H2355,0)-IFERROR(G2355/I2355,0)</x:f>
        <x:v>0.2</x:v>
      </x:c>
      <x:c r="AB2355" s="28" t="n">
        <x:f>J2355-K2355</x:f>
        <x:v>-2</x:v>
      </x:c>
      <x:c r="AC2355" s="32" t="n">
        <x:f>F2355-G2355</x:f>
        <x:v>1</x:v>
      </x:c>
    </x:row>
    <x:row r="2356">
      <x:c r="A2356" s="4" t="str">
        <x:v>2024-25</x:v>
      </x:c>
      <x:c r="B2356" s="20" t="n">
        <x:v>45549</x:v>
      </x:c>
      <x:c r="C2356" s="4" t="str">
        <x:v>Southampton</x:v>
      </x:c>
      <x:c r="D2356" s="4" t="str">
        <x:v>Man United</x:v>
      </x:c>
      <x:c r="E2356" s="4" t="str">
        <x:v>Home</x:v>
      </x:c>
      <x:c r="F2356" s="28" t="n">
        <x:v>0</x:v>
      </x:c>
      <x:c r="G2356" s="28" t="n">
        <x:v>3</x:v>
      </x:c>
      <x:c r="H2356" s="28" t="n">
        <x:v>6</x:v>
      </x:c>
      <x:c r="I2356" s="28" t="n">
        <x:v>20</x:v>
      </x:c>
      <x:c r="J2356" s="28" t="n">
        <x:v>4</x:v>
      </x:c>
      <x:c r="K2356" s="28" t="n">
        <x:v>10</x:v>
      </x:c>
      <x:c r="L2356" s="28" t="n">
        <x:v>0</x:v>
      </x:c>
      <x:c r="M2356" s="28" t="n">
        <x:v>7</x:v>
      </x:c>
      <x:c r="N2356" s="28" t="n">
        <x:v>1</x:v>
      </x:c>
      <x:c r="O2356" s="28" t="n">
        <x:v>1</x:v>
      </x:c>
      <x:c r="P2356" s="28" t="n">
        <x:v>0</x:v>
      </x:c>
      <x:c r="Q2356" s="24" t="n">
        <x:f>IFERROR(J2356/H2356,0)</x:f>
        <x:v>0.6666666666666666</x:v>
      </x:c>
      <x:c r="R2356" s="24" t="n">
        <x:f>IFERROR(F2356/H2356,0)</x:f>
        <x:v>0</x:v>
      </x:c>
      <x:c r="S2356" s="24" t="n">
        <x:f>IFERROR(F2356/J2356,0)</x:f>
        <x:v>0</x:v>
      </x:c>
      <x:c r="T2356" s="28" t="n">
        <x:f>H2356-I2356</x:f>
        <x:v>-14</x:v>
      </x:c>
      <x:c r="U2356" s="24" t="n">
        <x:f>IFERROR(J2356/H2356,0)-IFERROR(K2356/I2356,0)</x:f>
        <x:v>0.16666666666666663</x:v>
      </x:c>
      <x:c r="V2356" s="24" t="n">
        <x:f>IFERROR(F2356/J2356,0)-IFERROR(G2356/K2356,0)</x:f>
        <x:v>-0.3</x:v>
      </x:c>
      <x:c r="W2356" s="28" t="n">
        <x:f>L2356-M2356</x:f>
        <x:v>-7</x:v>
      </x:c>
      <x:c r="X2356" s="24" t="n">
        <x:f>IFERROR(K2356/I2356,0)</x:f>
        <x:v>0.5</x:v>
      </x:c>
      <x:c r="Y2356" s="24" t="n">
        <x:f>IFERROR(G2356/I2356,0)</x:f>
        <x:v>0.15</x:v>
      </x:c>
      <x:c r="Z2356" s="24" t="n">
        <x:f>IFERROR(G2356/K2356,0)</x:f>
        <x:v>0.3</x:v>
      </x:c>
      <x:c r="AA2356" s="24" t="n">
        <x:f>IFERROR(F2356/H2356,0)-IFERROR(G2356/I2356,0)</x:f>
        <x:v>-0.15</x:v>
      </x:c>
      <x:c r="AB2356" s="28" t="n">
        <x:f>J2356-K2356</x:f>
        <x:v>-6</x:v>
      </x:c>
      <x:c r="AC2356" s="32" t="n">
        <x:f>F2356-G2356</x:f>
        <x:v>-3</x:v>
      </x:c>
    </x:row>
    <x:row r="2357">
      <x:c r="A2357" s="4" t="str">
        <x:v>2024-25</x:v>
      </x:c>
      <x:c r="B2357" s="20" t="n">
        <x:v>45549</x:v>
      </x:c>
      <x:c r="C2357" s="4" t="str">
        <x:v>West Ham</x:v>
      </x:c>
      <x:c r="D2357" s="4" t="str">
        <x:v>Fulham</x:v>
      </x:c>
      <x:c r="E2357" s="4" t="str">
        <x:v>Away</x:v>
      </x:c>
      <x:c r="F2357" s="28" t="n">
        <x:v>1</x:v>
      </x:c>
      <x:c r="G2357" s="28" t="n">
        <x:v>1</x:v>
      </x:c>
      <x:c r="H2357" s="28" t="n">
        <x:v>11</x:v>
      </x:c>
      <x:c r="I2357" s="28" t="n">
        <x:v>21</x:v>
      </x:c>
      <x:c r="J2357" s="28" t="n">
        <x:v>3</x:v>
      </x:c>
      <x:c r="K2357" s="28" t="n">
        <x:v>5</x:v>
      </x:c>
      <x:c r="L2357" s="28" t="n">
        <x:v>2</x:v>
      </x:c>
      <x:c r="M2357" s="28" t="n">
        <x:v>3</x:v>
      </x:c>
      <x:c r="N2357" s="28" t="n">
        <x:v>3</x:v>
      </x:c>
      <x:c r="O2357" s="28" t="n">
        <x:v>0</x:v>
      </x:c>
      <x:c r="P2357" s="28" t="n">
        <x:v>1</x:v>
      </x:c>
      <x:c r="Q2357" s="24" t="n">
        <x:f>IFERROR(J2357/H2357,0)</x:f>
        <x:v>0.2727272727272727</x:v>
      </x:c>
      <x:c r="R2357" s="24" t="n">
        <x:f>IFERROR(F2357/H2357,0)</x:f>
        <x:v>0.09090909090909091</x:v>
      </x:c>
      <x:c r="S2357" s="24" t="n">
        <x:f>IFERROR(F2357/J2357,0)</x:f>
        <x:v>0.3333333333333333</x:v>
      </x:c>
      <x:c r="T2357" s="28" t="n">
        <x:f>H2357-I2357</x:f>
        <x:v>-10</x:v>
      </x:c>
      <x:c r="U2357" s="24" t="n">
        <x:f>IFERROR(J2357/H2357,0)-IFERROR(K2357/I2357,0)</x:f>
        <x:v>0.034632034632034625</x:v>
      </x:c>
      <x:c r="V2357" s="24" t="n">
        <x:f>IFERROR(F2357/J2357,0)-IFERROR(G2357/K2357,0)</x:f>
        <x:v>0.1333333333333333</x:v>
      </x:c>
      <x:c r="W2357" s="28" t="n">
        <x:f>L2357-M2357</x:f>
        <x:v>-1</x:v>
      </x:c>
      <x:c r="X2357" s="24" t="n">
        <x:f>IFERROR(K2357/I2357,0)</x:f>
        <x:v>0.23809523809523808</x:v>
      </x:c>
      <x:c r="Y2357" s="24" t="n">
        <x:f>IFERROR(G2357/I2357,0)</x:f>
        <x:v>0.047619047619047616</x:v>
      </x:c>
      <x:c r="Z2357" s="24" t="n">
        <x:f>IFERROR(G2357/K2357,0)</x:f>
        <x:v>0.2</x:v>
      </x:c>
      <x:c r="AA2357" s="24" t="n">
        <x:f>IFERROR(F2357/H2357,0)-IFERROR(G2357/I2357,0)</x:f>
        <x:v>0.043290043290043295</x:v>
      </x:c>
      <x:c r="AB2357" s="28" t="n">
        <x:f>J2357-K2357</x:f>
        <x:v>-2</x:v>
      </x:c>
      <x:c r="AC2357" s="32" t="n">
        <x:f>F2357-G2357</x:f>
        <x:v>0</x:v>
      </x:c>
    </x:row>
    <x:row r="2358">
      <x:c r="A2358" s="4" t="str">
        <x:v>2024-25</x:v>
      </x:c>
      <x:c r="B2358" s="20" t="n">
        <x:v>45550</x:v>
      </x:c>
      <x:c r="C2358" s="4" t="str">
        <x:v>Arsenal</x:v>
      </x:c>
      <x:c r="D2358" s="4" t="str">
        <x:v>Tottenham</x:v>
      </x:c>
      <x:c r="E2358" s="4" t="str">
        <x:v>Away</x:v>
      </x:c>
      <x:c r="F2358" s="28" t="n">
        <x:v>1</x:v>
      </x:c>
      <x:c r="G2358" s="28" t="n">
        <x:v>0</x:v>
      </x:c>
      <x:c r="H2358" s="28" t="n">
        <x:v>7</x:v>
      </x:c>
      <x:c r="I2358" s="28" t="n">
        <x:v>15</x:v>
      </x:c>
      <x:c r="J2358" s="28" t="n">
        <x:v>4</x:v>
      </x:c>
      <x:c r="K2358" s="28" t="n">
        <x:v>5</x:v>
      </x:c>
      <x:c r="L2358" s="28" t="n">
        <x:v>6</x:v>
      </x:c>
      <x:c r="M2358" s="28" t="n">
        <x:v>7</x:v>
      </x:c>
      <x:c r="N2358" s="28" t="n">
        <x:v>3</x:v>
      </x:c>
      <x:c r="O2358" s="28" t="n">
        <x:v>0</x:v>
      </x:c>
      <x:c r="P2358" s="28" t="n">
        <x:v>3</x:v>
      </x:c>
      <x:c r="Q2358" s="24" t="n">
        <x:f>IFERROR(J2358/H2358,0)</x:f>
        <x:v>0.5714285714285714</x:v>
      </x:c>
      <x:c r="R2358" s="24" t="n">
        <x:f>IFERROR(F2358/H2358,0)</x:f>
        <x:v>0.14285714285714285</x:v>
      </x:c>
      <x:c r="S2358" s="24" t="n">
        <x:f>IFERROR(F2358/J2358,0)</x:f>
        <x:v>0.25</x:v>
      </x:c>
      <x:c r="T2358" s="28" t="n">
        <x:f>H2358-I2358</x:f>
        <x:v>-8</x:v>
      </x:c>
      <x:c r="U2358" s="24" t="n">
        <x:f>IFERROR(J2358/H2358,0)-IFERROR(K2358/I2358,0)</x:f>
        <x:v>0.23809523809523808</x:v>
      </x:c>
      <x:c r="V2358" s="24" t="n">
        <x:f>IFERROR(F2358/J2358,0)-IFERROR(G2358/K2358,0)</x:f>
        <x:v>0.25</x:v>
      </x:c>
      <x:c r="W2358" s="28" t="n">
        <x:f>L2358-M2358</x:f>
        <x:v>-1</x:v>
      </x:c>
      <x:c r="X2358" s="24" t="n">
        <x:f>IFERROR(K2358/I2358,0)</x:f>
        <x:v>0.3333333333333333</x:v>
      </x:c>
      <x:c r="Y2358" s="24" t="n">
        <x:f>IFERROR(G2358/I2358,0)</x:f>
        <x:v>0</x:v>
      </x:c>
      <x:c r="Z2358" s="24" t="n">
        <x:f>IFERROR(G2358/K2358,0)</x:f>
        <x:v>0</x:v>
      </x:c>
      <x:c r="AA2358" s="24" t="n">
        <x:f>IFERROR(F2358/H2358,0)-IFERROR(G2358/I2358,0)</x:f>
        <x:v>0.14285714285714285</x:v>
      </x:c>
      <x:c r="AB2358" s="28" t="n">
        <x:f>J2358-K2358</x:f>
        <x:v>-1</x:v>
      </x:c>
      <x:c r="AC2358" s="32" t="n">
        <x:f>F2358-G2358</x:f>
        <x:v>1</x:v>
      </x:c>
    </x:row>
    <x:row r="2359">
      <x:c r="A2359" s="4" t="str">
        <x:v>2024-25</x:v>
      </x:c>
      <x:c r="B2359" s="20" t="n">
        <x:v>45550</x:v>
      </x:c>
      <x:c r="C2359" s="4" t="str">
        <x:v>Newcastle</x:v>
      </x:c>
      <x:c r="D2359" s="4" t="str">
        <x:v>Wolves</x:v>
      </x:c>
      <x:c r="E2359" s="4" t="str">
        <x:v>Away</x:v>
      </x:c>
      <x:c r="F2359" s="28" t="n">
        <x:v>2</x:v>
      </x:c>
      <x:c r="G2359" s="28" t="n">
        <x:v>1</x:v>
      </x:c>
      <x:c r="H2359" s="28" t="n">
        <x:v>14</x:v>
      </x:c>
      <x:c r="I2359" s="28" t="n">
        <x:v>12</x:v>
      </x:c>
      <x:c r="J2359" s="28" t="n">
        <x:v>6</x:v>
      </x:c>
      <x:c r="K2359" s="28" t="n">
        <x:v>5</x:v>
      </x:c>
      <x:c r="L2359" s="28" t="n">
        <x:v>7</x:v>
      </x:c>
      <x:c r="M2359" s="28" t="n">
        <x:v>4</x:v>
      </x:c>
      <x:c r="N2359" s="28" t="n">
        <x:v>3</x:v>
      </x:c>
      <x:c r="O2359" s="28" t="n">
        <x:v>0</x:v>
      </x:c>
      <x:c r="P2359" s="28" t="n">
        <x:v>3</x:v>
      </x:c>
      <x:c r="Q2359" s="24" t="n">
        <x:f>IFERROR(J2359/H2359,0)</x:f>
        <x:v>0.42857142857142855</x:v>
      </x:c>
      <x:c r="R2359" s="24" t="n">
        <x:f>IFERROR(F2359/H2359,0)</x:f>
        <x:v>0.14285714285714285</x:v>
      </x:c>
      <x:c r="S2359" s="24" t="n">
        <x:f>IFERROR(F2359/J2359,0)</x:f>
        <x:v>0.3333333333333333</x:v>
      </x:c>
      <x:c r="T2359" s="28" t="n">
        <x:f>H2359-I2359</x:f>
        <x:v>2</x:v>
      </x:c>
      <x:c r="U2359" s="24" t="n">
        <x:f>IFERROR(J2359/H2359,0)-IFERROR(K2359/I2359,0)</x:f>
        <x:v>0.011904761904761862</x:v>
      </x:c>
      <x:c r="V2359" s="24" t="n">
        <x:f>IFERROR(F2359/J2359,0)-IFERROR(G2359/K2359,0)</x:f>
        <x:v>0.1333333333333333</x:v>
      </x:c>
      <x:c r="W2359" s="28" t="n">
        <x:f>L2359-M2359</x:f>
        <x:v>3</x:v>
      </x:c>
      <x:c r="X2359" s="24" t="n">
        <x:f>IFERROR(K2359/I2359,0)</x:f>
        <x:v>0.4166666666666667</x:v>
      </x:c>
      <x:c r="Y2359" s="24" t="n">
        <x:f>IFERROR(G2359/I2359,0)</x:f>
        <x:v>0.08333333333333333</x:v>
      </x:c>
      <x:c r="Z2359" s="24" t="n">
        <x:f>IFERROR(G2359/K2359,0)</x:f>
        <x:v>0.2</x:v>
      </x:c>
      <x:c r="AA2359" s="24" t="n">
        <x:f>IFERROR(F2359/H2359,0)-IFERROR(G2359/I2359,0)</x:f>
        <x:v>0.05952380952380952</x:v>
      </x:c>
      <x:c r="AB2359" s="28" t="n">
        <x:f>J2359-K2359</x:f>
        <x:v>1</x:v>
      </x:c>
      <x:c r="AC2359" s="32" t="n">
        <x:f>F2359-G2359</x:f>
        <x:v>1</x:v>
      </x:c>
    </x:row>
    <x:row r="2360">
      <x:c r="A2360" s="4" t="str">
        <x:v>2024-25</x:v>
      </x:c>
      <x:c r="B2360" s="20" t="n">
        <x:v>45550</x:v>
      </x:c>
      <x:c r="C2360" s="4" t="str">
        <x:v>Tottenham</x:v>
      </x:c>
      <x:c r="D2360" s="4" t="str">
        <x:v>Arsenal</x:v>
      </x:c>
      <x:c r="E2360" s="4" t="str">
        <x:v>Home</x:v>
      </x:c>
      <x:c r="F2360" s="28" t="n">
        <x:v>0</x:v>
      </x:c>
      <x:c r="G2360" s="28" t="n">
        <x:v>1</x:v>
      </x:c>
      <x:c r="H2360" s="28" t="n">
        <x:v>15</x:v>
      </x:c>
      <x:c r="I2360" s="28" t="n">
        <x:v>7</x:v>
      </x:c>
      <x:c r="J2360" s="28" t="n">
        <x:v>5</x:v>
      </x:c>
      <x:c r="K2360" s="28" t="n">
        <x:v>4</x:v>
      </x:c>
      <x:c r="L2360" s="28" t="n">
        <x:v>7</x:v>
      </x:c>
      <x:c r="M2360" s="28" t="n">
        <x:v>6</x:v>
      </x:c>
      <x:c r="N2360" s="28" t="n">
        <x:v>5</x:v>
      </x:c>
      <x:c r="O2360" s="28" t="n">
        <x:v>0</x:v>
      </x:c>
      <x:c r="P2360" s="28" t="n">
        <x:v>0</x:v>
      </x:c>
      <x:c r="Q2360" s="24" t="n">
        <x:f>IFERROR(J2360/H2360,0)</x:f>
        <x:v>0.3333333333333333</x:v>
      </x:c>
      <x:c r="R2360" s="24" t="n">
        <x:f>IFERROR(F2360/H2360,0)</x:f>
        <x:v>0</x:v>
      </x:c>
      <x:c r="S2360" s="24" t="n">
        <x:f>IFERROR(F2360/J2360,0)</x:f>
        <x:v>0</x:v>
      </x:c>
      <x:c r="T2360" s="28" t="n">
        <x:f>H2360-I2360</x:f>
        <x:v>8</x:v>
      </x:c>
      <x:c r="U2360" s="24" t="n">
        <x:f>IFERROR(J2360/H2360,0)-IFERROR(K2360/I2360,0)</x:f>
        <x:v>-0.23809523809523808</x:v>
      </x:c>
      <x:c r="V2360" s="24" t="n">
        <x:f>IFERROR(F2360/J2360,0)-IFERROR(G2360/K2360,0)</x:f>
        <x:v>-0.25</x:v>
      </x:c>
      <x:c r="W2360" s="28" t="n">
        <x:f>L2360-M2360</x:f>
        <x:v>1</x:v>
      </x:c>
      <x:c r="X2360" s="24" t="n">
        <x:f>IFERROR(K2360/I2360,0)</x:f>
        <x:v>0.5714285714285714</x:v>
      </x:c>
      <x:c r="Y2360" s="24" t="n">
        <x:f>IFERROR(G2360/I2360,0)</x:f>
        <x:v>0.14285714285714285</x:v>
      </x:c>
      <x:c r="Z2360" s="24" t="n">
        <x:f>IFERROR(G2360/K2360,0)</x:f>
        <x:v>0.25</x:v>
      </x:c>
      <x:c r="AA2360" s="24" t="n">
        <x:f>IFERROR(F2360/H2360,0)-IFERROR(G2360/I2360,0)</x:f>
        <x:v>-0.14285714285714285</x:v>
      </x:c>
      <x:c r="AB2360" s="28" t="n">
        <x:f>J2360-K2360</x:f>
        <x:v>1</x:v>
      </x:c>
      <x:c r="AC2360" s="32" t="n">
        <x:f>F2360-G2360</x:f>
        <x:v>-1</x:v>
      </x:c>
    </x:row>
    <x:row r="2361">
      <x:c r="A2361" s="4" t="str">
        <x:v>2024-25</x:v>
      </x:c>
      <x:c r="B2361" s="20" t="n">
        <x:v>45550</x:v>
      </x:c>
      <x:c r="C2361" s="4" t="str">
        <x:v>Wolves</x:v>
      </x:c>
      <x:c r="D2361" s="4" t="str">
        <x:v>Newcastle</x:v>
      </x:c>
      <x:c r="E2361" s="4" t="str">
        <x:v>Home</x:v>
      </x:c>
      <x:c r="F2361" s="28" t="n">
        <x:v>1</x:v>
      </x:c>
      <x:c r="G2361" s="28" t="n">
        <x:v>2</x:v>
      </x:c>
      <x:c r="H2361" s="28" t="n">
        <x:v>12</x:v>
      </x:c>
      <x:c r="I2361" s="28" t="n">
        <x:v>14</x:v>
      </x:c>
      <x:c r="J2361" s="28" t="n">
        <x:v>5</x:v>
      </x:c>
      <x:c r="K2361" s="28" t="n">
        <x:v>6</x:v>
      </x:c>
      <x:c r="L2361" s="28" t="n">
        <x:v>4</x:v>
      </x:c>
      <x:c r="M2361" s="28" t="n">
        <x:v>7</x:v>
      </x:c>
      <x:c r="N2361" s="28" t="n">
        <x:v>3</x:v>
      </x:c>
      <x:c r="O2361" s="28" t="n">
        <x:v>0</x:v>
      </x:c>
      <x:c r="P2361" s="28" t="n">
        <x:v>0</x:v>
      </x:c>
      <x:c r="Q2361" s="24" t="n">
        <x:f>IFERROR(J2361/H2361,0)</x:f>
        <x:v>0.4166666666666667</x:v>
      </x:c>
      <x:c r="R2361" s="24" t="n">
        <x:f>IFERROR(F2361/H2361,0)</x:f>
        <x:v>0.08333333333333333</x:v>
      </x:c>
      <x:c r="S2361" s="24" t="n">
        <x:f>IFERROR(F2361/J2361,0)</x:f>
        <x:v>0.2</x:v>
      </x:c>
      <x:c r="T2361" s="28" t="n">
        <x:f>H2361-I2361</x:f>
        <x:v>-2</x:v>
      </x:c>
      <x:c r="U2361" s="24" t="n">
        <x:f>IFERROR(J2361/H2361,0)-IFERROR(K2361/I2361,0)</x:f>
        <x:v>-0.011904761904761862</x:v>
      </x:c>
      <x:c r="V2361" s="24" t="n">
        <x:f>IFERROR(F2361/J2361,0)-IFERROR(G2361/K2361,0)</x:f>
        <x:v>-0.1333333333333333</x:v>
      </x:c>
      <x:c r="W2361" s="28" t="n">
        <x:f>L2361-M2361</x:f>
        <x:v>-3</x:v>
      </x:c>
      <x:c r="X2361" s="24" t="n">
        <x:f>IFERROR(K2361/I2361,0)</x:f>
        <x:v>0.42857142857142855</x:v>
      </x:c>
      <x:c r="Y2361" s="24" t="n">
        <x:f>IFERROR(G2361/I2361,0)</x:f>
        <x:v>0.14285714285714285</x:v>
      </x:c>
      <x:c r="Z2361" s="24" t="n">
        <x:f>IFERROR(G2361/K2361,0)</x:f>
        <x:v>0.3333333333333333</x:v>
      </x:c>
      <x:c r="AA2361" s="24" t="n">
        <x:f>IFERROR(F2361/H2361,0)-IFERROR(G2361/I2361,0)</x:f>
        <x:v>-0.05952380952380952</x:v>
      </x:c>
      <x:c r="AB2361" s="28" t="n">
        <x:f>J2361-K2361</x:f>
        <x:v>-1</x:v>
      </x:c>
      <x:c r="AC2361" s="32" t="n">
        <x:f>F2361-G2361</x:f>
        <x:v>-1</x:v>
      </x:c>
    </x:row>
    <x:row r="2362">
      <x:c r="A2362" s="4" t="str">
        <x:v>2024-25</x:v>
      </x:c>
      <x:c r="B2362" s="20" t="n">
        <x:v>45556</x:v>
      </x:c>
      <x:c r="C2362" s="4" t="str">
        <x:v>Aston Villa</x:v>
      </x:c>
      <x:c r="D2362" s="4" t="str">
        <x:v>Wolves</x:v>
      </x:c>
      <x:c r="E2362" s="4" t="str">
        <x:v>Home</x:v>
      </x:c>
      <x:c r="F2362" s="28" t="n">
        <x:v>3</x:v>
      </x:c>
      <x:c r="G2362" s="28" t="n">
        <x:v>1</x:v>
      </x:c>
      <x:c r="H2362" s="28" t="n">
        <x:v>9</x:v>
      </x:c>
      <x:c r="I2362" s="28" t="n">
        <x:v>10</x:v>
      </x:c>
      <x:c r="J2362" s="28" t="n">
        <x:v>4</x:v>
      </x:c>
      <x:c r="K2362" s="28" t="n">
        <x:v>4</x:v>
      </x:c>
      <x:c r="L2362" s="28" t="n">
        <x:v>6</x:v>
      </x:c>
      <x:c r="M2362" s="28" t="n">
        <x:v>5</x:v>
      </x:c>
      <x:c r="N2362" s="28" t="n">
        <x:v>3</x:v>
      </x:c>
      <x:c r="O2362" s="28" t="n">
        <x:v>0</x:v>
      </x:c>
      <x:c r="P2362" s="28" t="n">
        <x:v>3</x:v>
      </x:c>
      <x:c r="Q2362" s="24" t="n">
        <x:f>IFERROR(J2362/H2362,0)</x:f>
        <x:v>0.4444444444444444</x:v>
      </x:c>
      <x:c r="R2362" s="24" t="n">
        <x:f>IFERROR(F2362/H2362,0)</x:f>
        <x:v>0.3333333333333333</x:v>
      </x:c>
      <x:c r="S2362" s="24" t="n">
        <x:f>IFERROR(F2362/J2362,0)</x:f>
        <x:v>0.75</x:v>
      </x:c>
      <x:c r="T2362" s="28" t="n">
        <x:f>H2362-I2362</x:f>
        <x:v>-1</x:v>
      </x:c>
      <x:c r="U2362" s="24" t="n">
        <x:f>IFERROR(J2362/H2362,0)-IFERROR(K2362/I2362,0)</x:f>
        <x:v>0.0444444444444444</x:v>
      </x:c>
      <x:c r="V2362" s="24" t="n">
        <x:f>IFERROR(F2362/J2362,0)-IFERROR(G2362/K2362,0)</x:f>
        <x:v>0.5</x:v>
      </x:c>
      <x:c r="W2362" s="28" t="n">
        <x:f>L2362-M2362</x:f>
        <x:v>1</x:v>
      </x:c>
      <x:c r="X2362" s="24" t="n">
        <x:f>IFERROR(K2362/I2362,0)</x:f>
        <x:v>0.4</x:v>
      </x:c>
      <x:c r="Y2362" s="24" t="n">
        <x:f>IFERROR(G2362/I2362,0)</x:f>
        <x:v>0.1</x:v>
      </x:c>
      <x:c r="Z2362" s="24" t="n">
        <x:f>IFERROR(G2362/K2362,0)</x:f>
        <x:v>0.25</x:v>
      </x:c>
      <x:c r="AA2362" s="24" t="n">
        <x:f>IFERROR(F2362/H2362,0)-IFERROR(G2362/I2362,0)</x:f>
        <x:v>0.2333333333333333</x:v>
      </x:c>
      <x:c r="AB2362" s="28" t="n">
        <x:f>J2362-K2362</x:f>
        <x:v>0</x:v>
      </x:c>
      <x:c r="AC2362" s="32" t="n">
        <x:f>F2362-G2362</x:f>
        <x:v>2</x:v>
      </x:c>
    </x:row>
    <x:row r="2363">
      <x:c r="A2363" s="4" t="str">
        <x:v>2024-25</x:v>
      </x:c>
      <x:c r="B2363" s="20" t="n">
        <x:v>45556</x:v>
      </x:c>
      <x:c r="C2363" s="4" t="str">
        <x:v>Bournemouth</x:v>
      </x:c>
      <x:c r="D2363" s="4" t="str">
        <x:v>Liverpool</x:v>
      </x:c>
      <x:c r="E2363" s="4" t="str">
        <x:v>Away</x:v>
      </x:c>
      <x:c r="F2363" s="28" t="n">
        <x:v>0</x:v>
      </x:c>
      <x:c r="G2363" s="28" t="n">
        <x:v>3</x:v>
      </x:c>
      <x:c r="H2363" s="28" t="n">
        <x:v>19</x:v>
      </x:c>
      <x:c r="I2363" s="28" t="n">
        <x:v>19</x:v>
      </x:c>
      <x:c r="J2363" s="28" t="n">
        <x:v>6</x:v>
      </x:c>
      <x:c r="K2363" s="28" t="n">
        <x:v>13</x:v>
      </x:c>
      <x:c r="L2363" s="28" t="n">
        <x:v>9</x:v>
      </x:c>
      <x:c r="M2363" s="28" t="n">
        <x:v>3</x:v>
      </x:c>
      <x:c r="N2363" s="28" t="n">
        <x:v>4</x:v>
      </x:c>
      <x:c r="O2363" s="28" t="n">
        <x:v>0</x:v>
      </x:c>
      <x:c r="P2363" s="28" t="n">
        <x:v>0</x:v>
      </x:c>
      <x:c r="Q2363" s="24" t="n">
        <x:f>IFERROR(J2363/H2363,0)</x:f>
        <x:v>0.3157894736842105</x:v>
      </x:c>
      <x:c r="R2363" s="24" t="n">
        <x:f>IFERROR(F2363/H2363,0)</x:f>
        <x:v>0</x:v>
      </x:c>
      <x:c r="S2363" s="24" t="n">
        <x:f>IFERROR(F2363/J2363,0)</x:f>
        <x:v>0</x:v>
      </x:c>
      <x:c r="T2363" s="28" t="n">
        <x:f>H2363-I2363</x:f>
        <x:v>0</x:v>
      </x:c>
      <x:c r="U2363" s="24" t="n">
        <x:f>IFERROR(J2363/H2363,0)-IFERROR(K2363/I2363,0)</x:f>
        <x:v>-0.368421052631579</x:v>
      </x:c>
      <x:c r="V2363" s="24" t="n">
        <x:f>IFERROR(F2363/J2363,0)-IFERROR(G2363/K2363,0)</x:f>
        <x:v>-0.23076923076923078</x:v>
      </x:c>
      <x:c r="W2363" s="28" t="n">
        <x:f>L2363-M2363</x:f>
        <x:v>6</x:v>
      </x:c>
      <x:c r="X2363" s="24" t="n">
        <x:f>IFERROR(K2363/I2363,0)</x:f>
        <x:v>0.6842105263157895</x:v>
      </x:c>
      <x:c r="Y2363" s="24" t="n">
        <x:f>IFERROR(G2363/I2363,0)</x:f>
        <x:v>0.15789473684210525</x:v>
      </x:c>
      <x:c r="Z2363" s="24" t="n">
        <x:f>IFERROR(G2363/K2363,0)</x:f>
        <x:v>0.23076923076923078</x:v>
      </x:c>
      <x:c r="AA2363" s="24" t="n">
        <x:f>IFERROR(F2363/H2363,0)-IFERROR(G2363/I2363,0)</x:f>
        <x:v>-0.15789473684210525</x:v>
      </x:c>
      <x:c r="AB2363" s="28" t="n">
        <x:f>J2363-K2363</x:f>
        <x:v>-7</x:v>
      </x:c>
      <x:c r="AC2363" s="32" t="n">
        <x:f>F2363-G2363</x:f>
        <x:v>-3</x:v>
      </x:c>
    </x:row>
    <x:row r="2364">
      <x:c r="A2364" s="4" t="str">
        <x:v>2024-25</x:v>
      </x:c>
      <x:c r="B2364" s="20" t="n">
        <x:v>45556</x:v>
      </x:c>
      <x:c r="C2364" s="4" t="str">
        <x:v>Brentford</x:v>
      </x:c>
      <x:c r="D2364" s="4" t="str">
        <x:v>Tottenham</x:v>
      </x:c>
      <x:c r="E2364" s="4" t="str">
        <x:v>Away</x:v>
      </x:c>
      <x:c r="F2364" s="28" t="n">
        <x:v>1</x:v>
      </x:c>
      <x:c r="G2364" s="28" t="n">
        <x:v>3</x:v>
      </x:c>
      <x:c r="H2364" s="28" t="n">
        <x:v>6</x:v>
      </x:c>
      <x:c r="I2364" s="28" t="n">
        <x:v>23</x:v>
      </x:c>
      <x:c r="J2364" s="28" t="n">
        <x:v>6</x:v>
      </x:c>
      <x:c r="K2364" s="28" t="n">
        <x:v>10</x:v>
      </x:c>
      <x:c r="L2364" s="28" t="n">
        <x:v>4</x:v>
      </x:c>
      <x:c r="M2364" s="28" t="n">
        <x:v>9</x:v>
      </x:c>
      <x:c r="N2364" s="28" t="n">
        <x:v>1</x:v>
      </x:c>
      <x:c r="O2364" s="28" t="n">
        <x:v>0</x:v>
      </x:c>
      <x:c r="P2364" s="28" t="n">
        <x:v>0</x:v>
      </x:c>
      <x:c r="Q2364" s="24" t="n">
        <x:f>IFERROR(J2364/H2364,0)</x:f>
        <x:v>1</x:v>
      </x:c>
      <x:c r="R2364" s="24" t="n">
        <x:f>IFERROR(F2364/H2364,0)</x:f>
        <x:v>0.16666666666666666</x:v>
      </x:c>
      <x:c r="S2364" s="24" t="n">
        <x:f>IFERROR(F2364/J2364,0)</x:f>
        <x:v>0.16666666666666666</x:v>
      </x:c>
      <x:c r="T2364" s="28" t="n">
        <x:f>H2364-I2364</x:f>
        <x:v>-17</x:v>
      </x:c>
      <x:c r="U2364" s="24" t="n">
        <x:f>IFERROR(J2364/H2364,0)-IFERROR(K2364/I2364,0)</x:f>
        <x:v>0.5652173913043479</x:v>
      </x:c>
      <x:c r="V2364" s="24" t="n">
        <x:f>IFERROR(F2364/J2364,0)-IFERROR(G2364/K2364,0)</x:f>
        <x:v>-0.13333333333333333</x:v>
      </x:c>
      <x:c r="W2364" s="28" t="n">
        <x:f>L2364-M2364</x:f>
        <x:v>-5</x:v>
      </x:c>
      <x:c r="X2364" s="24" t="n">
        <x:f>IFERROR(K2364/I2364,0)</x:f>
        <x:v>0.43478260869565216</x:v>
      </x:c>
      <x:c r="Y2364" s="24" t="n">
        <x:f>IFERROR(G2364/I2364,0)</x:f>
        <x:v>0.13043478260869565</x:v>
      </x:c>
      <x:c r="Z2364" s="24" t="n">
        <x:f>IFERROR(G2364/K2364,0)</x:f>
        <x:v>0.3</x:v>
      </x:c>
      <x:c r="AA2364" s="24" t="n">
        <x:f>IFERROR(F2364/H2364,0)-IFERROR(G2364/I2364,0)</x:f>
        <x:v>0.03623188405797101</x:v>
      </x:c>
      <x:c r="AB2364" s="28" t="n">
        <x:f>J2364-K2364</x:f>
        <x:v>-4</x:v>
      </x:c>
      <x:c r="AC2364" s="32" t="n">
        <x:f>F2364-G2364</x:f>
        <x:v>-2</x:v>
      </x:c>
    </x:row>
    <x:row r="2365">
      <x:c r="A2365" s="4" t="str">
        <x:v>2024-25</x:v>
      </x:c>
      <x:c r="B2365" s="20" t="n">
        <x:v>45556</x:v>
      </x:c>
      <x:c r="C2365" s="4" t="str">
        <x:v>Chelsea</x:v>
      </x:c>
      <x:c r="D2365" s="4" t="str">
        <x:v>West Ham</x:v>
      </x:c>
      <x:c r="E2365" s="4" t="str">
        <x:v>Away</x:v>
      </x:c>
      <x:c r="F2365" s="28" t="n">
        <x:v>3</x:v>
      </x:c>
      <x:c r="G2365" s="28" t="n">
        <x:v>0</x:v>
      </x:c>
      <x:c r="H2365" s="28" t="n">
        <x:v>12</x:v>
      </x:c>
      <x:c r="I2365" s="28" t="n">
        <x:v>15</x:v>
      </x:c>
      <x:c r="J2365" s="28" t="n">
        <x:v>5</x:v>
      </x:c>
      <x:c r="K2365" s="28" t="n">
        <x:v>7</x:v>
      </x:c>
      <x:c r="L2365" s="28" t="n">
        <x:v>5</x:v>
      </x:c>
      <x:c r="M2365" s="28" t="n">
        <x:v>6</x:v>
      </x:c>
      <x:c r="N2365" s="28" t="n">
        <x:v>2</x:v>
      </x:c>
      <x:c r="O2365" s="28" t="n">
        <x:v>0</x:v>
      </x:c>
      <x:c r="P2365" s="28" t="n">
        <x:v>3</x:v>
      </x:c>
      <x:c r="Q2365" s="24" t="n">
        <x:f>IFERROR(J2365/H2365,0)</x:f>
        <x:v>0.4166666666666667</x:v>
      </x:c>
      <x:c r="R2365" s="24" t="n">
        <x:f>IFERROR(F2365/H2365,0)</x:f>
        <x:v>0.25</x:v>
      </x:c>
      <x:c r="S2365" s="24" t="n">
        <x:f>IFERROR(F2365/J2365,0)</x:f>
        <x:v>0.6</x:v>
      </x:c>
      <x:c r="T2365" s="28" t="n">
        <x:f>H2365-I2365</x:f>
        <x:v>-3</x:v>
      </x:c>
      <x:c r="U2365" s="24" t="n">
        <x:f>IFERROR(J2365/H2365,0)-IFERROR(K2365/I2365,0)</x:f>
        <x:v>-0.04999999999999999</x:v>
      </x:c>
      <x:c r="V2365" s="24" t="n">
        <x:f>IFERROR(F2365/J2365,0)-IFERROR(G2365/K2365,0)</x:f>
        <x:v>0.6</x:v>
      </x:c>
      <x:c r="W2365" s="28" t="n">
        <x:f>L2365-M2365</x:f>
        <x:v>-1</x:v>
      </x:c>
      <x:c r="X2365" s="24" t="n">
        <x:f>IFERROR(K2365/I2365,0)</x:f>
        <x:v>0.4666666666666667</x:v>
      </x:c>
      <x:c r="Y2365" s="24" t="n">
        <x:f>IFERROR(G2365/I2365,0)</x:f>
        <x:v>0</x:v>
      </x:c>
      <x:c r="Z2365" s="24" t="n">
        <x:f>IFERROR(G2365/K2365,0)</x:f>
        <x:v>0</x:v>
      </x:c>
      <x:c r="AA2365" s="24" t="n">
        <x:f>IFERROR(F2365/H2365,0)-IFERROR(G2365/I2365,0)</x:f>
        <x:v>0.25</x:v>
      </x:c>
      <x:c r="AB2365" s="28" t="n">
        <x:f>J2365-K2365</x:f>
        <x:v>-2</x:v>
      </x:c>
      <x:c r="AC2365" s="32" t="n">
        <x:f>F2365-G2365</x:f>
        <x:v>3</x:v>
      </x:c>
    </x:row>
    <x:row r="2366">
      <x:c r="A2366" s="4" t="str">
        <x:v>2024-25</x:v>
      </x:c>
      <x:c r="B2366" s="20" t="n">
        <x:v>45556</x:v>
      </x:c>
      <x:c r="C2366" s="4" t="str">
        <x:v>Crystal Palace</x:v>
      </x:c>
      <x:c r="D2366" s="4" t="str">
        <x:v>Man United</x:v>
      </x:c>
      <x:c r="E2366" s="4" t="str">
        <x:v>Home</x:v>
      </x:c>
      <x:c r="F2366" s="28" t="n">
        <x:v>0</x:v>
      </x:c>
      <x:c r="G2366" s="28" t="n">
        <x:v>0</x:v>
      </x:c>
      <x:c r="H2366" s="28" t="n">
        <x:v>9</x:v>
      </x:c>
      <x:c r="I2366" s="28" t="n">
        <x:v>15</x:v>
      </x:c>
      <x:c r="J2366" s="28" t="n">
        <x:v>4</x:v>
      </x:c>
      <x:c r="K2366" s="28" t="n">
        <x:v>6</x:v>
      </x:c>
      <x:c r="L2366" s="28" t="n">
        <x:v>4</x:v>
      </x:c>
      <x:c r="M2366" s="28" t="n">
        <x:v>11</x:v>
      </x:c>
      <x:c r="N2366" s="28" t="n">
        <x:v>3</x:v>
      </x:c>
      <x:c r="O2366" s="28" t="n">
        <x:v>0</x:v>
      </x:c>
      <x:c r="P2366" s="28" t="n">
        <x:v>1</x:v>
      </x:c>
      <x:c r="Q2366" s="24" t="n">
        <x:f>IFERROR(J2366/H2366,0)</x:f>
        <x:v>0.4444444444444444</x:v>
      </x:c>
      <x:c r="R2366" s="24" t="n">
        <x:f>IFERROR(F2366/H2366,0)</x:f>
        <x:v>0</x:v>
      </x:c>
      <x:c r="S2366" s="24" t="n">
        <x:f>IFERROR(F2366/J2366,0)</x:f>
        <x:v>0</x:v>
      </x:c>
      <x:c r="T2366" s="28" t="n">
        <x:f>H2366-I2366</x:f>
        <x:v>-6</x:v>
      </x:c>
      <x:c r="U2366" s="24" t="n">
        <x:f>IFERROR(J2366/H2366,0)-IFERROR(K2366/I2366,0)</x:f>
        <x:v>0.0444444444444444</x:v>
      </x:c>
      <x:c r="V2366" s="24" t="n">
        <x:f>IFERROR(F2366/J2366,0)-IFERROR(G2366/K2366,0)</x:f>
        <x:v>0</x:v>
      </x:c>
      <x:c r="W2366" s="28" t="n">
        <x:f>L2366-M2366</x:f>
        <x:v>-7</x:v>
      </x:c>
      <x:c r="X2366" s="24" t="n">
        <x:f>IFERROR(K2366/I2366,0)</x:f>
        <x:v>0.4</x:v>
      </x:c>
      <x:c r="Y2366" s="24" t="n">
        <x:f>IFERROR(G2366/I2366,0)</x:f>
        <x:v>0</x:v>
      </x:c>
      <x:c r="Z2366" s="24" t="n">
        <x:f>IFERROR(G2366/K2366,0)</x:f>
        <x:v>0</x:v>
      </x:c>
      <x:c r="AA2366" s="24" t="n">
        <x:f>IFERROR(F2366/H2366,0)-IFERROR(G2366/I2366,0)</x:f>
        <x:v>0</x:v>
      </x:c>
      <x:c r="AB2366" s="28" t="n">
        <x:f>J2366-K2366</x:f>
        <x:v>-2</x:v>
      </x:c>
      <x:c r="AC2366" s="32" t="n">
        <x:f>F2366-G2366</x:f>
        <x:v>0</x:v>
      </x:c>
    </x:row>
    <x:row r="2367">
      <x:c r="A2367" s="4" t="str">
        <x:v>2024-25</x:v>
      </x:c>
      <x:c r="B2367" s="20" t="n">
        <x:v>45556</x:v>
      </x:c>
      <x:c r="C2367" s="4" t="str">
        <x:v>Everton</x:v>
      </x:c>
      <x:c r="D2367" s="4" t="str">
        <x:v>Leicester</x:v>
      </x:c>
      <x:c r="E2367" s="4" t="str">
        <x:v>Away</x:v>
      </x:c>
      <x:c r="F2367" s="28" t="n">
        <x:v>1</x:v>
      </x:c>
      <x:c r="G2367" s="28" t="n">
        <x:v>1</x:v>
      </x:c>
      <x:c r="H2367" s="28" t="n">
        <x:v>16</x:v>
      </x:c>
      <x:c r="I2367" s="28" t="n">
        <x:v>12</x:v>
      </x:c>
      <x:c r="J2367" s="28" t="n">
        <x:v>5</x:v>
      </x:c>
      <x:c r="K2367" s="28" t="n">
        <x:v>2</x:v>
      </x:c>
      <x:c r="L2367" s="28" t="n">
        <x:v>1</x:v>
      </x:c>
      <x:c r="M2367" s="28" t="n">
        <x:v>6</x:v>
      </x:c>
      <x:c r="N2367" s="28" t="n">
        <x:v>2</x:v>
      </x:c>
      <x:c r="O2367" s="28" t="n">
        <x:v>0</x:v>
      </x:c>
      <x:c r="P2367" s="28" t="n">
        <x:v>1</x:v>
      </x:c>
      <x:c r="Q2367" s="24" t="n">
        <x:f>IFERROR(J2367/H2367,0)</x:f>
        <x:v>0.3125</x:v>
      </x:c>
      <x:c r="R2367" s="24" t="n">
        <x:f>IFERROR(F2367/H2367,0)</x:f>
        <x:v>0.0625</x:v>
      </x:c>
      <x:c r="S2367" s="24" t="n">
        <x:f>IFERROR(F2367/J2367,0)</x:f>
        <x:v>0.2</x:v>
      </x:c>
      <x:c r="T2367" s="28" t="n">
        <x:f>H2367-I2367</x:f>
        <x:v>4</x:v>
      </x:c>
      <x:c r="U2367" s="24" t="n">
        <x:f>IFERROR(J2367/H2367,0)-IFERROR(K2367/I2367,0)</x:f>
        <x:v>0.14583333333333334</x:v>
      </x:c>
      <x:c r="V2367" s="24" t="n">
        <x:f>IFERROR(F2367/J2367,0)-IFERROR(G2367/K2367,0)</x:f>
        <x:v>-0.3</x:v>
      </x:c>
      <x:c r="W2367" s="28" t="n">
        <x:f>L2367-M2367</x:f>
        <x:v>-5</x:v>
      </x:c>
      <x:c r="X2367" s="24" t="n">
        <x:f>IFERROR(K2367/I2367,0)</x:f>
        <x:v>0.16666666666666666</x:v>
      </x:c>
      <x:c r="Y2367" s="24" t="n">
        <x:f>IFERROR(G2367/I2367,0)</x:f>
        <x:v>0.08333333333333333</x:v>
      </x:c>
      <x:c r="Z2367" s="24" t="n">
        <x:f>IFERROR(G2367/K2367,0)</x:f>
        <x:v>0.5</x:v>
      </x:c>
      <x:c r="AA2367" s="24" t="n">
        <x:f>IFERROR(F2367/H2367,0)-IFERROR(G2367/I2367,0)</x:f>
        <x:v>-0.02083333333333333</x:v>
      </x:c>
      <x:c r="AB2367" s="28" t="n">
        <x:f>J2367-K2367</x:f>
        <x:v>3</x:v>
      </x:c>
      <x:c r="AC2367" s="32" t="n">
        <x:f>F2367-G2367</x:f>
        <x:v>0</x:v>
      </x:c>
    </x:row>
    <x:row r="2368">
      <x:c r="A2368" s="4" t="str">
        <x:v>2024-25</x:v>
      </x:c>
      <x:c r="B2368" s="20" t="n">
        <x:v>45556</x:v>
      </x:c>
      <x:c r="C2368" s="4" t="str">
        <x:v>Fulham</x:v>
      </x:c>
      <x:c r="D2368" s="4" t="str">
        <x:v>Newcastle</x:v>
      </x:c>
      <x:c r="E2368" s="4" t="str">
        <x:v>Home</x:v>
      </x:c>
      <x:c r="F2368" s="28" t="n">
        <x:v>3</x:v>
      </x:c>
      <x:c r="G2368" s="28" t="n">
        <x:v>1</x:v>
      </x:c>
      <x:c r="H2368" s="28" t="n">
        <x:v>22</x:v>
      </x:c>
      <x:c r="I2368" s="28" t="n">
        <x:v>15</x:v>
      </x:c>
      <x:c r="J2368" s="28" t="n">
        <x:v>11</x:v>
      </x:c>
      <x:c r="K2368" s="28" t="n">
        <x:v>4</x:v>
      </x:c>
      <x:c r="L2368" s="28" t="n">
        <x:v>6</x:v>
      </x:c>
      <x:c r="M2368" s="28" t="n">
        <x:v>0</x:v>
      </x:c>
      <x:c r="N2368" s="28" t="n">
        <x:v>6</x:v>
      </x:c>
      <x:c r="O2368" s="28" t="n">
        <x:v>0</x:v>
      </x:c>
      <x:c r="P2368" s="28" t="n">
        <x:v>3</x:v>
      </x:c>
      <x:c r="Q2368" s="24" t="n">
        <x:f>IFERROR(J2368/H2368,0)</x:f>
        <x:v>0.5</x:v>
      </x:c>
      <x:c r="R2368" s="24" t="n">
        <x:f>IFERROR(F2368/H2368,0)</x:f>
        <x:v>0.13636363636363635</x:v>
      </x:c>
      <x:c r="S2368" s="24" t="n">
        <x:f>IFERROR(F2368/J2368,0)</x:f>
        <x:v>0.2727272727272727</x:v>
      </x:c>
      <x:c r="T2368" s="28" t="n">
        <x:f>H2368-I2368</x:f>
        <x:v>7</x:v>
      </x:c>
      <x:c r="U2368" s="24" t="n">
        <x:f>IFERROR(J2368/H2368,0)-IFERROR(K2368/I2368,0)</x:f>
        <x:v>0.23333333333333334</x:v>
      </x:c>
      <x:c r="V2368" s="24" t="n">
        <x:f>IFERROR(F2368/J2368,0)-IFERROR(G2368/K2368,0)</x:f>
        <x:v>0.022727272727272707</x:v>
      </x:c>
      <x:c r="W2368" s="28" t="n">
        <x:f>L2368-M2368</x:f>
        <x:v>6</x:v>
      </x:c>
      <x:c r="X2368" s="24" t="n">
        <x:f>IFERROR(K2368/I2368,0)</x:f>
        <x:v>0.26666666666666666</x:v>
      </x:c>
      <x:c r="Y2368" s="24" t="n">
        <x:f>IFERROR(G2368/I2368,0)</x:f>
        <x:v>0.06666666666666667</x:v>
      </x:c>
      <x:c r="Z2368" s="24" t="n">
        <x:f>IFERROR(G2368/K2368,0)</x:f>
        <x:v>0.25</x:v>
      </x:c>
      <x:c r="AA2368" s="24" t="n">
        <x:f>IFERROR(F2368/H2368,0)-IFERROR(G2368/I2368,0)</x:f>
        <x:v>0.06969696969696969</x:v>
      </x:c>
      <x:c r="AB2368" s="28" t="n">
        <x:f>J2368-K2368</x:f>
        <x:v>7</x:v>
      </x:c>
      <x:c r="AC2368" s="32" t="n">
        <x:f>F2368-G2368</x:f>
        <x:v>2</x:v>
      </x:c>
    </x:row>
    <x:row r="2369">
      <x:c r="A2369" s="4" t="str">
        <x:v>2024-25</x:v>
      </x:c>
      <x:c r="B2369" s="20" t="n">
        <x:v>45556</x:v>
      </x:c>
      <x:c r="C2369" s="4" t="str">
        <x:v>Ipswich</x:v>
      </x:c>
      <x:c r="D2369" s="4" t="str">
        <x:v>Southampton</x:v>
      </x:c>
      <x:c r="E2369" s="4" t="str">
        <x:v>Away</x:v>
      </x:c>
      <x:c r="F2369" s="28" t="n">
        <x:v>1</x:v>
      </x:c>
      <x:c r="G2369" s="28" t="n">
        <x:v>1</x:v>
      </x:c>
      <x:c r="H2369" s="28" t="n">
        <x:v>13</x:v>
      </x:c>
      <x:c r="I2369" s="28" t="n">
        <x:v>11</x:v>
      </x:c>
      <x:c r="J2369" s="28" t="n">
        <x:v>6</x:v>
      </x:c>
      <x:c r="K2369" s="28" t="n">
        <x:v>3</x:v>
      </x:c>
      <x:c r="L2369" s="28" t="n">
        <x:v>10</x:v>
      </x:c>
      <x:c r="M2369" s="28" t="n">
        <x:v>2</x:v>
      </x:c>
      <x:c r="N2369" s="28" t="n">
        <x:v>4</x:v>
      </x:c>
      <x:c r="O2369" s="28" t="n">
        <x:v>0</x:v>
      </x:c>
      <x:c r="P2369" s="28" t="n">
        <x:v>1</x:v>
      </x:c>
      <x:c r="Q2369" s="24" t="n">
        <x:f>IFERROR(J2369/H2369,0)</x:f>
        <x:v>0.46153846153846156</x:v>
      </x:c>
      <x:c r="R2369" s="24" t="n">
        <x:f>IFERROR(F2369/H2369,0)</x:f>
        <x:v>0.07692307692307693</x:v>
      </x:c>
      <x:c r="S2369" s="24" t="n">
        <x:f>IFERROR(F2369/J2369,0)</x:f>
        <x:v>0.16666666666666666</x:v>
      </x:c>
      <x:c r="T2369" s="28" t="n">
        <x:f>H2369-I2369</x:f>
        <x:v>2</x:v>
      </x:c>
      <x:c r="U2369" s="24" t="n">
        <x:f>IFERROR(J2369/H2369,0)-IFERROR(K2369/I2369,0)</x:f>
        <x:v>0.18881118881118886</x:v>
      </x:c>
      <x:c r="V2369" s="24" t="n">
        <x:f>IFERROR(F2369/J2369,0)-IFERROR(G2369/K2369,0)</x:f>
        <x:v>-0.16666666666666666</x:v>
      </x:c>
      <x:c r="W2369" s="28" t="n">
        <x:f>L2369-M2369</x:f>
        <x:v>8</x:v>
      </x:c>
      <x:c r="X2369" s="24" t="n">
        <x:f>IFERROR(K2369/I2369,0)</x:f>
        <x:v>0.2727272727272727</x:v>
      </x:c>
      <x:c r="Y2369" s="24" t="n">
        <x:f>IFERROR(G2369/I2369,0)</x:f>
        <x:v>0.09090909090909091</x:v>
      </x:c>
      <x:c r="Z2369" s="24" t="n">
        <x:f>IFERROR(G2369/K2369,0)</x:f>
        <x:v>0.3333333333333333</x:v>
      </x:c>
      <x:c r="AA2369" s="24" t="n">
        <x:f>IFERROR(F2369/H2369,0)-IFERROR(G2369/I2369,0)</x:f>
        <x:v>-0.013986013986013984</x:v>
      </x:c>
      <x:c r="AB2369" s="28" t="n">
        <x:f>J2369-K2369</x:f>
        <x:v>3</x:v>
      </x:c>
      <x:c r="AC2369" s="32" t="n">
        <x:f>F2369-G2369</x:f>
        <x:v>0</x:v>
      </x:c>
    </x:row>
    <x:row r="2370">
      <x:c r="A2370" s="4" t="str">
        <x:v>2024-25</x:v>
      </x:c>
      <x:c r="B2370" s="20" t="n">
        <x:v>45556</x:v>
      </x:c>
      <x:c r="C2370" s="4" t="str">
        <x:v>Leicester</x:v>
      </x:c>
      <x:c r="D2370" s="4" t="str">
        <x:v>Everton</x:v>
      </x:c>
      <x:c r="E2370" s="4" t="str">
        <x:v>Home</x:v>
      </x:c>
      <x:c r="F2370" s="28" t="n">
        <x:v>1</x:v>
      </x:c>
      <x:c r="G2370" s="28" t="n">
        <x:v>1</x:v>
      </x:c>
      <x:c r="H2370" s="28" t="n">
        <x:v>12</x:v>
      </x:c>
      <x:c r="I2370" s="28" t="n">
        <x:v>16</x:v>
      </x:c>
      <x:c r="J2370" s="28" t="n">
        <x:v>2</x:v>
      </x:c>
      <x:c r="K2370" s="28" t="n">
        <x:v>5</x:v>
      </x:c>
      <x:c r="L2370" s="28" t="n">
        <x:v>6</x:v>
      </x:c>
      <x:c r="M2370" s="28" t="n">
        <x:v>1</x:v>
      </x:c>
      <x:c r="N2370" s="28" t="n">
        <x:v>1</x:v>
      </x:c>
      <x:c r="O2370" s="28" t="n">
        <x:v>0</x:v>
      </x:c>
      <x:c r="P2370" s="28" t="n">
        <x:v>1</x:v>
      </x:c>
      <x:c r="Q2370" s="24" t="n">
        <x:f>IFERROR(J2370/H2370,0)</x:f>
        <x:v>0.16666666666666666</x:v>
      </x:c>
      <x:c r="R2370" s="24" t="n">
        <x:f>IFERROR(F2370/H2370,0)</x:f>
        <x:v>0.08333333333333333</x:v>
      </x:c>
      <x:c r="S2370" s="24" t="n">
        <x:f>IFERROR(F2370/J2370,0)</x:f>
        <x:v>0.5</x:v>
      </x:c>
      <x:c r="T2370" s="28" t="n">
        <x:f>H2370-I2370</x:f>
        <x:v>-4</x:v>
      </x:c>
      <x:c r="U2370" s="24" t="n">
        <x:f>IFERROR(J2370/H2370,0)-IFERROR(K2370/I2370,0)</x:f>
        <x:v>-0.14583333333333334</x:v>
      </x:c>
      <x:c r="V2370" s="24" t="n">
        <x:f>IFERROR(F2370/J2370,0)-IFERROR(G2370/K2370,0)</x:f>
        <x:v>0.3</x:v>
      </x:c>
      <x:c r="W2370" s="28" t="n">
        <x:f>L2370-M2370</x:f>
        <x:v>5</x:v>
      </x:c>
      <x:c r="X2370" s="24" t="n">
        <x:f>IFERROR(K2370/I2370,0)</x:f>
        <x:v>0.3125</x:v>
      </x:c>
      <x:c r="Y2370" s="24" t="n">
        <x:f>IFERROR(G2370/I2370,0)</x:f>
        <x:v>0.0625</x:v>
      </x:c>
      <x:c r="Z2370" s="24" t="n">
        <x:f>IFERROR(G2370/K2370,0)</x:f>
        <x:v>0.2</x:v>
      </x:c>
      <x:c r="AA2370" s="24" t="n">
        <x:f>IFERROR(F2370/H2370,0)-IFERROR(G2370/I2370,0)</x:f>
        <x:v>0.02083333333333333</x:v>
      </x:c>
      <x:c r="AB2370" s="28" t="n">
        <x:f>J2370-K2370</x:f>
        <x:v>-3</x:v>
      </x:c>
      <x:c r="AC2370" s="32" t="n">
        <x:f>F2370-G2370</x:f>
        <x:v>0</x:v>
      </x:c>
    </x:row>
    <x:row r="2371">
      <x:c r="A2371" s="4" t="str">
        <x:v>2024-25</x:v>
      </x:c>
      <x:c r="B2371" s="20" t="n">
        <x:v>45556</x:v>
      </x:c>
      <x:c r="C2371" s="4" t="str">
        <x:v>Liverpool</x:v>
      </x:c>
      <x:c r="D2371" s="4" t="str">
        <x:v>Bournemouth</x:v>
      </x:c>
      <x:c r="E2371" s="4" t="str">
        <x:v>Home</x:v>
      </x:c>
      <x:c r="F2371" s="28" t="n">
        <x:v>3</x:v>
      </x:c>
      <x:c r="G2371" s="28" t="n">
        <x:v>0</x:v>
      </x:c>
      <x:c r="H2371" s="28" t="n">
        <x:v>19</x:v>
      </x:c>
      <x:c r="I2371" s="28" t="n">
        <x:v>19</x:v>
      </x:c>
      <x:c r="J2371" s="28" t="n">
        <x:v>13</x:v>
      </x:c>
      <x:c r="K2371" s="28" t="n">
        <x:v>6</x:v>
      </x:c>
      <x:c r="L2371" s="28" t="n">
        <x:v>3</x:v>
      </x:c>
      <x:c r="M2371" s="28" t="n">
        <x:v>9</x:v>
      </x:c>
      <x:c r="N2371" s="28" t="n">
        <x:v>1</x:v>
      </x:c>
      <x:c r="O2371" s="28" t="n">
        <x:v>0</x:v>
      </x:c>
      <x:c r="P2371" s="28" t="n">
        <x:v>3</x:v>
      </x:c>
      <x:c r="Q2371" s="24" t="n">
        <x:f>IFERROR(J2371/H2371,0)</x:f>
        <x:v>0.6842105263157895</x:v>
      </x:c>
      <x:c r="R2371" s="24" t="n">
        <x:f>IFERROR(F2371/H2371,0)</x:f>
        <x:v>0.15789473684210525</x:v>
      </x:c>
      <x:c r="S2371" s="24" t="n">
        <x:f>IFERROR(F2371/J2371,0)</x:f>
        <x:v>0.23076923076923078</x:v>
      </x:c>
      <x:c r="T2371" s="28" t="n">
        <x:f>H2371-I2371</x:f>
        <x:v>0</x:v>
      </x:c>
      <x:c r="U2371" s="24" t="n">
        <x:f>IFERROR(J2371/H2371,0)-IFERROR(K2371/I2371,0)</x:f>
        <x:v>0.368421052631579</x:v>
      </x:c>
      <x:c r="V2371" s="24" t="n">
        <x:f>IFERROR(F2371/J2371,0)-IFERROR(G2371/K2371,0)</x:f>
        <x:v>0.23076923076923078</x:v>
      </x:c>
      <x:c r="W2371" s="28" t="n">
        <x:f>L2371-M2371</x:f>
        <x:v>-6</x:v>
      </x:c>
      <x:c r="X2371" s="24" t="n">
        <x:f>IFERROR(K2371/I2371,0)</x:f>
        <x:v>0.3157894736842105</x:v>
      </x:c>
      <x:c r="Y2371" s="24" t="n">
        <x:f>IFERROR(G2371/I2371,0)</x:f>
        <x:v>0</x:v>
      </x:c>
      <x:c r="Z2371" s="24" t="n">
        <x:f>IFERROR(G2371/K2371,0)</x:f>
        <x:v>0</x:v>
      </x:c>
      <x:c r="AA2371" s="24" t="n">
        <x:f>IFERROR(F2371/H2371,0)-IFERROR(G2371/I2371,0)</x:f>
        <x:v>0.15789473684210525</x:v>
      </x:c>
      <x:c r="AB2371" s="28" t="n">
        <x:f>J2371-K2371</x:f>
        <x:v>7</x:v>
      </x:c>
      <x:c r="AC2371" s="32" t="n">
        <x:f>F2371-G2371</x:f>
        <x:v>3</x:v>
      </x:c>
    </x:row>
    <x:row r="2372">
      <x:c r="A2372" s="4" t="str">
        <x:v>2024-25</x:v>
      </x:c>
      <x:c r="B2372" s="20" t="n">
        <x:v>45556</x:v>
      </x:c>
      <x:c r="C2372" s="4" t="str">
        <x:v>Man United</x:v>
      </x:c>
      <x:c r="D2372" s="4" t="str">
        <x:v>Crystal Palace</x:v>
      </x:c>
      <x:c r="E2372" s="4" t="str">
        <x:v>Away</x:v>
      </x:c>
      <x:c r="F2372" s="28" t="n">
        <x:v>0</x:v>
      </x:c>
      <x:c r="G2372" s="28" t="n">
        <x:v>0</x:v>
      </x:c>
      <x:c r="H2372" s="28" t="n">
        <x:v>15</x:v>
      </x:c>
      <x:c r="I2372" s="28" t="n">
        <x:v>9</x:v>
      </x:c>
      <x:c r="J2372" s="28" t="n">
        <x:v>6</x:v>
      </x:c>
      <x:c r="K2372" s="28" t="n">
        <x:v>4</x:v>
      </x:c>
      <x:c r="L2372" s="28" t="n">
        <x:v>11</x:v>
      </x:c>
      <x:c r="M2372" s="28" t="n">
        <x:v>4</x:v>
      </x:c>
      <x:c r="N2372" s="28" t="n">
        <x:v>1</x:v>
      </x:c>
      <x:c r="O2372" s="28" t="n">
        <x:v>0</x:v>
      </x:c>
      <x:c r="P2372" s="28" t="n">
        <x:v>1</x:v>
      </x:c>
      <x:c r="Q2372" s="24" t="n">
        <x:f>IFERROR(J2372/H2372,0)</x:f>
        <x:v>0.4</x:v>
      </x:c>
      <x:c r="R2372" s="24" t="n">
        <x:f>IFERROR(F2372/H2372,0)</x:f>
        <x:v>0</x:v>
      </x:c>
      <x:c r="S2372" s="24" t="n">
        <x:f>IFERROR(F2372/J2372,0)</x:f>
        <x:v>0</x:v>
      </x:c>
      <x:c r="T2372" s="28" t="n">
        <x:f>H2372-I2372</x:f>
        <x:v>6</x:v>
      </x:c>
      <x:c r="U2372" s="24" t="n">
        <x:f>IFERROR(J2372/H2372,0)-IFERROR(K2372/I2372,0)</x:f>
        <x:v>-0.0444444444444444</x:v>
      </x:c>
      <x:c r="V2372" s="24" t="n">
        <x:f>IFERROR(F2372/J2372,0)-IFERROR(G2372/K2372,0)</x:f>
        <x:v>0</x:v>
      </x:c>
      <x:c r="W2372" s="28" t="n">
        <x:f>L2372-M2372</x:f>
        <x:v>7</x:v>
      </x:c>
      <x:c r="X2372" s="24" t="n">
        <x:f>IFERROR(K2372/I2372,0)</x:f>
        <x:v>0.4444444444444444</x:v>
      </x:c>
      <x:c r="Y2372" s="24" t="n">
        <x:f>IFERROR(G2372/I2372,0)</x:f>
        <x:v>0</x:v>
      </x:c>
      <x:c r="Z2372" s="24" t="n">
        <x:f>IFERROR(G2372/K2372,0)</x:f>
        <x:v>0</x:v>
      </x:c>
      <x:c r="AA2372" s="24" t="n">
        <x:f>IFERROR(F2372/H2372,0)-IFERROR(G2372/I2372,0)</x:f>
        <x:v>0</x:v>
      </x:c>
      <x:c r="AB2372" s="28" t="n">
        <x:f>J2372-K2372</x:f>
        <x:v>2</x:v>
      </x:c>
      <x:c r="AC2372" s="32" t="n">
        <x:f>F2372-G2372</x:f>
        <x:v>0</x:v>
      </x:c>
    </x:row>
    <x:row r="2373">
      <x:c r="A2373" s="4" t="str">
        <x:v>2024-25</x:v>
      </x:c>
      <x:c r="B2373" s="20" t="n">
        <x:v>45556</x:v>
      </x:c>
      <x:c r="C2373" s="4" t="str">
        <x:v>Newcastle</x:v>
      </x:c>
      <x:c r="D2373" s="4" t="str">
        <x:v>Fulham</x:v>
      </x:c>
      <x:c r="E2373" s="4" t="str">
        <x:v>Away</x:v>
      </x:c>
      <x:c r="F2373" s="28" t="n">
        <x:v>1</x:v>
      </x:c>
      <x:c r="G2373" s="28" t="n">
        <x:v>3</x:v>
      </x:c>
      <x:c r="H2373" s="28" t="n">
        <x:v>15</x:v>
      </x:c>
      <x:c r="I2373" s="28" t="n">
        <x:v>22</x:v>
      </x:c>
      <x:c r="J2373" s="28" t="n">
        <x:v>4</x:v>
      </x:c>
      <x:c r="K2373" s="28" t="n">
        <x:v>11</x:v>
      </x:c>
      <x:c r="L2373" s="28" t="n">
        <x:v>0</x:v>
      </x:c>
      <x:c r="M2373" s="28" t="n">
        <x:v>6</x:v>
      </x:c>
      <x:c r="N2373" s="28" t="n">
        <x:v>0</x:v>
      </x:c>
      <x:c r="O2373" s="28" t="n">
        <x:v>0</x:v>
      </x:c>
      <x:c r="P2373" s="28" t="n">
        <x:v>0</x:v>
      </x:c>
      <x:c r="Q2373" s="24" t="n">
        <x:f>IFERROR(J2373/H2373,0)</x:f>
        <x:v>0.26666666666666666</x:v>
      </x:c>
      <x:c r="R2373" s="24" t="n">
        <x:f>IFERROR(F2373/H2373,0)</x:f>
        <x:v>0.06666666666666667</x:v>
      </x:c>
      <x:c r="S2373" s="24" t="n">
        <x:f>IFERROR(F2373/J2373,0)</x:f>
        <x:v>0.25</x:v>
      </x:c>
      <x:c r="T2373" s="28" t="n">
        <x:f>H2373-I2373</x:f>
        <x:v>-7</x:v>
      </x:c>
      <x:c r="U2373" s="24" t="n">
        <x:f>IFERROR(J2373/H2373,0)-IFERROR(K2373/I2373,0)</x:f>
        <x:v>-0.23333333333333334</x:v>
      </x:c>
      <x:c r="V2373" s="24" t="n">
        <x:f>IFERROR(F2373/J2373,0)-IFERROR(G2373/K2373,0)</x:f>
        <x:v>-0.022727272727272707</x:v>
      </x:c>
      <x:c r="W2373" s="28" t="n">
        <x:f>L2373-M2373</x:f>
        <x:v>-6</x:v>
      </x:c>
      <x:c r="X2373" s="24" t="n">
        <x:f>IFERROR(K2373/I2373,0)</x:f>
        <x:v>0.5</x:v>
      </x:c>
      <x:c r="Y2373" s="24" t="n">
        <x:f>IFERROR(G2373/I2373,0)</x:f>
        <x:v>0.13636363636363635</x:v>
      </x:c>
      <x:c r="Z2373" s="24" t="n">
        <x:f>IFERROR(G2373/K2373,0)</x:f>
        <x:v>0.2727272727272727</x:v>
      </x:c>
      <x:c r="AA2373" s="24" t="n">
        <x:f>IFERROR(F2373/H2373,0)-IFERROR(G2373/I2373,0)</x:f>
        <x:v>-0.06969696969696969</x:v>
      </x:c>
      <x:c r="AB2373" s="28" t="n">
        <x:f>J2373-K2373</x:f>
        <x:v>-7</x:v>
      </x:c>
      <x:c r="AC2373" s="32" t="n">
        <x:f>F2373-G2373</x:f>
        <x:v>-2</x:v>
      </x:c>
    </x:row>
    <x:row r="2374">
      <x:c r="A2374" s="4" t="str">
        <x:v>2024-25</x:v>
      </x:c>
      <x:c r="B2374" s="20" t="n">
        <x:v>45556</x:v>
      </x:c>
      <x:c r="C2374" s="4" t="str">
        <x:v>Southampton</x:v>
      </x:c>
      <x:c r="D2374" s="4" t="str">
        <x:v>Ipswich</x:v>
      </x:c>
      <x:c r="E2374" s="4" t="str">
        <x:v>Home</x:v>
      </x:c>
      <x:c r="F2374" s="28" t="n">
        <x:v>1</x:v>
      </x:c>
      <x:c r="G2374" s="28" t="n">
        <x:v>1</x:v>
      </x:c>
      <x:c r="H2374" s="28" t="n">
        <x:v>11</x:v>
      </x:c>
      <x:c r="I2374" s="28" t="n">
        <x:v>13</x:v>
      </x:c>
      <x:c r="J2374" s="28" t="n">
        <x:v>3</x:v>
      </x:c>
      <x:c r="K2374" s="28" t="n">
        <x:v>6</x:v>
      </x:c>
      <x:c r="L2374" s="28" t="n">
        <x:v>2</x:v>
      </x:c>
      <x:c r="M2374" s="28" t="n">
        <x:v>10</x:v>
      </x:c>
      <x:c r="N2374" s="28" t="n">
        <x:v>4</x:v>
      </x:c>
      <x:c r="O2374" s="28" t="n">
        <x:v>0</x:v>
      </x:c>
      <x:c r="P2374" s="28" t="n">
        <x:v>1</x:v>
      </x:c>
      <x:c r="Q2374" s="24" t="n">
        <x:f>IFERROR(J2374/H2374,0)</x:f>
        <x:v>0.2727272727272727</x:v>
      </x:c>
      <x:c r="R2374" s="24" t="n">
        <x:f>IFERROR(F2374/H2374,0)</x:f>
        <x:v>0.09090909090909091</x:v>
      </x:c>
      <x:c r="S2374" s="24" t="n">
        <x:f>IFERROR(F2374/J2374,0)</x:f>
        <x:v>0.3333333333333333</x:v>
      </x:c>
      <x:c r="T2374" s="28" t="n">
        <x:f>H2374-I2374</x:f>
        <x:v>-2</x:v>
      </x:c>
      <x:c r="U2374" s="24" t="n">
        <x:f>IFERROR(J2374/H2374,0)-IFERROR(K2374/I2374,0)</x:f>
        <x:v>-0.18881118881118886</x:v>
      </x:c>
      <x:c r="V2374" s="24" t="n">
        <x:f>IFERROR(F2374/J2374,0)-IFERROR(G2374/K2374,0)</x:f>
        <x:v>0.16666666666666666</x:v>
      </x:c>
      <x:c r="W2374" s="28" t="n">
        <x:f>L2374-M2374</x:f>
        <x:v>-8</x:v>
      </x:c>
      <x:c r="X2374" s="24" t="n">
        <x:f>IFERROR(K2374/I2374,0)</x:f>
        <x:v>0.46153846153846156</x:v>
      </x:c>
      <x:c r="Y2374" s="24" t="n">
        <x:f>IFERROR(G2374/I2374,0)</x:f>
        <x:v>0.07692307692307693</x:v>
      </x:c>
      <x:c r="Z2374" s="24" t="n">
        <x:f>IFERROR(G2374/K2374,0)</x:f>
        <x:v>0.16666666666666666</x:v>
      </x:c>
      <x:c r="AA2374" s="24" t="n">
        <x:f>IFERROR(F2374/H2374,0)-IFERROR(G2374/I2374,0)</x:f>
        <x:v>0.013986013986013984</x:v>
      </x:c>
      <x:c r="AB2374" s="28" t="n">
        <x:f>J2374-K2374</x:f>
        <x:v>-3</x:v>
      </x:c>
      <x:c r="AC2374" s="32" t="n">
        <x:f>F2374-G2374</x:f>
        <x:v>0</x:v>
      </x:c>
    </x:row>
    <x:row r="2375">
      <x:c r="A2375" s="4" t="str">
        <x:v>2024-25</x:v>
      </x:c>
      <x:c r="B2375" s="20" t="n">
        <x:v>45556</x:v>
      </x:c>
      <x:c r="C2375" s="4" t="str">
        <x:v>Tottenham</x:v>
      </x:c>
      <x:c r="D2375" s="4" t="str">
        <x:v>Brentford</x:v>
      </x:c>
      <x:c r="E2375" s="4" t="str">
        <x:v>Home</x:v>
      </x:c>
      <x:c r="F2375" s="28" t="n">
        <x:v>3</x:v>
      </x:c>
      <x:c r="G2375" s="28" t="n">
        <x:v>1</x:v>
      </x:c>
      <x:c r="H2375" s="28" t="n">
        <x:v>23</x:v>
      </x:c>
      <x:c r="I2375" s="28" t="n">
        <x:v>6</x:v>
      </x:c>
      <x:c r="J2375" s="28" t="n">
        <x:v>10</x:v>
      </x:c>
      <x:c r="K2375" s="28" t="n">
        <x:v>6</x:v>
      </x:c>
      <x:c r="L2375" s="28" t="n">
        <x:v>9</x:v>
      </x:c>
      <x:c r="M2375" s="28" t="n">
        <x:v>4</x:v>
      </x:c>
      <x:c r="N2375" s="28" t="n">
        <x:v>3</x:v>
      </x:c>
      <x:c r="O2375" s="28" t="n">
        <x:v>0</x:v>
      </x:c>
      <x:c r="P2375" s="28" t="n">
        <x:v>3</x:v>
      </x:c>
      <x:c r="Q2375" s="24" t="n">
        <x:f>IFERROR(J2375/H2375,0)</x:f>
        <x:v>0.43478260869565216</x:v>
      </x:c>
      <x:c r="R2375" s="24" t="n">
        <x:f>IFERROR(F2375/H2375,0)</x:f>
        <x:v>0.13043478260869565</x:v>
      </x:c>
      <x:c r="S2375" s="24" t="n">
        <x:f>IFERROR(F2375/J2375,0)</x:f>
        <x:v>0.3</x:v>
      </x:c>
      <x:c r="T2375" s="28" t="n">
        <x:f>H2375-I2375</x:f>
        <x:v>17</x:v>
      </x:c>
      <x:c r="U2375" s="24" t="n">
        <x:f>IFERROR(J2375/H2375,0)-IFERROR(K2375/I2375,0)</x:f>
        <x:v>-0.5652173913043479</x:v>
      </x:c>
      <x:c r="V2375" s="24" t="n">
        <x:f>IFERROR(F2375/J2375,0)-IFERROR(G2375/K2375,0)</x:f>
        <x:v>0.13333333333333333</x:v>
      </x:c>
      <x:c r="W2375" s="28" t="n">
        <x:f>L2375-M2375</x:f>
        <x:v>5</x:v>
      </x:c>
      <x:c r="X2375" s="24" t="n">
        <x:f>IFERROR(K2375/I2375,0)</x:f>
        <x:v>1</x:v>
      </x:c>
      <x:c r="Y2375" s="24" t="n">
        <x:f>IFERROR(G2375/I2375,0)</x:f>
        <x:v>0.16666666666666666</x:v>
      </x:c>
      <x:c r="Z2375" s="24" t="n">
        <x:f>IFERROR(G2375/K2375,0)</x:f>
        <x:v>0.16666666666666666</x:v>
      </x:c>
      <x:c r="AA2375" s="24" t="n">
        <x:f>IFERROR(F2375/H2375,0)-IFERROR(G2375/I2375,0)</x:f>
        <x:v>-0.03623188405797101</x:v>
      </x:c>
      <x:c r="AB2375" s="28" t="n">
        <x:f>J2375-K2375</x:f>
        <x:v>4</x:v>
      </x:c>
      <x:c r="AC2375" s="32" t="n">
        <x:f>F2375-G2375</x:f>
        <x:v>2</x:v>
      </x:c>
    </x:row>
    <x:row r="2376">
      <x:c r="A2376" s="4" t="str">
        <x:v>2024-25</x:v>
      </x:c>
      <x:c r="B2376" s="20" t="n">
        <x:v>45556</x:v>
      </x:c>
      <x:c r="C2376" s="4" t="str">
        <x:v>West Ham</x:v>
      </x:c>
      <x:c r="D2376" s="4" t="str">
        <x:v>Chelsea</x:v>
      </x:c>
      <x:c r="E2376" s="4" t="str">
        <x:v>Home</x:v>
      </x:c>
      <x:c r="F2376" s="28" t="n">
        <x:v>0</x:v>
      </x:c>
      <x:c r="G2376" s="28" t="n">
        <x:v>3</x:v>
      </x:c>
      <x:c r="H2376" s="28" t="n">
        <x:v>15</x:v>
      </x:c>
      <x:c r="I2376" s="28" t="n">
        <x:v>12</x:v>
      </x:c>
      <x:c r="J2376" s="28" t="n">
        <x:v>7</x:v>
      </x:c>
      <x:c r="K2376" s="28" t="n">
        <x:v>5</x:v>
      </x:c>
      <x:c r="L2376" s="28" t="n">
        <x:v>6</x:v>
      </x:c>
      <x:c r="M2376" s="28" t="n">
        <x:v>5</x:v>
      </x:c>
      <x:c r="N2376" s="28" t="n">
        <x:v>5</x:v>
      </x:c>
      <x:c r="O2376" s="28" t="n">
        <x:v>0</x:v>
      </x:c>
      <x:c r="P2376" s="28" t="n">
        <x:v>0</x:v>
      </x:c>
      <x:c r="Q2376" s="24" t="n">
        <x:f>IFERROR(J2376/H2376,0)</x:f>
        <x:v>0.4666666666666667</x:v>
      </x:c>
      <x:c r="R2376" s="24" t="n">
        <x:f>IFERROR(F2376/H2376,0)</x:f>
        <x:v>0</x:v>
      </x:c>
      <x:c r="S2376" s="24" t="n">
        <x:f>IFERROR(F2376/J2376,0)</x:f>
        <x:v>0</x:v>
      </x:c>
      <x:c r="T2376" s="28" t="n">
        <x:f>H2376-I2376</x:f>
        <x:v>3</x:v>
      </x:c>
      <x:c r="U2376" s="24" t="n">
        <x:f>IFERROR(J2376/H2376,0)-IFERROR(K2376/I2376,0)</x:f>
        <x:v>0.04999999999999999</x:v>
      </x:c>
      <x:c r="V2376" s="24" t="n">
        <x:f>IFERROR(F2376/J2376,0)-IFERROR(G2376/K2376,0)</x:f>
        <x:v>-0.6</x:v>
      </x:c>
      <x:c r="W2376" s="28" t="n">
        <x:f>L2376-M2376</x:f>
        <x:v>1</x:v>
      </x:c>
      <x:c r="X2376" s="24" t="n">
        <x:f>IFERROR(K2376/I2376,0)</x:f>
        <x:v>0.4166666666666667</x:v>
      </x:c>
      <x:c r="Y2376" s="24" t="n">
        <x:f>IFERROR(G2376/I2376,0)</x:f>
        <x:v>0.25</x:v>
      </x:c>
      <x:c r="Z2376" s="24" t="n">
        <x:f>IFERROR(G2376/K2376,0)</x:f>
        <x:v>0.6</x:v>
      </x:c>
      <x:c r="AA2376" s="24" t="n">
        <x:f>IFERROR(F2376/H2376,0)-IFERROR(G2376/I2376,0)</x:f>
        <x:v>-0.25</x:v>
      </x:c>
      <x:c r="AB2376" s="28" t="n">
        <x:f>J2376-K2376</x:f>
        <x:v>2</x:v>
      </x:c>
      <x:c r="AC2376" s="32" t="n">
        <x:f>F2376-G2376</x:f>
        <x:v>-3</x:v>
      </x:c>
    </x:row>
    <x:row r="2377">
      <x:c r="A2377" s="4" t="str">
        <x:v>2024-25</x:v>
      </x:c>
      <x:c r="B2377" s="20" t="n">
        <x:v>45556</x:v>
      </x:c>
      <x:c r="C2377" s="4" t="str">
        <x:v>Wolves</x:v>
      </x:c>
      <x:c r="D2377" s="4" t="str">
        <x:v>Aston Villa</x:v>
      </x:c>
      <x:c r="E2377" s="4" t="str">
        <x:v>Away</x:v>
      </x:c>
      <x:c r="F2377" s="28" t="n">
        <x:v>1</x:v>
      </x:c>
      <x:c r="G2377" s="28" t="n">
        <x:v>3</x:v>
      </x:c>
      <x:c r="H2377" s="28" t="n">
        <x:v>10</x:v>
      </x:c>
      <x:c r="I2377" s="28" t="n">
        <x:v>9</x:v>
      </x:c>
      <x:c r="J2377" s="28" t="n">
        <x:v>4</x:v>
      </x:c>
      <x:c r="K2377" s="28" t="n">
        <x:v>4</x:v>
      </x:c>
      <x:c r="L2377" s="28" t="n">
        <x:v>5</x:v>
      </x:c>
      <x:c r="M2377" s="28" t="n">
        <x:v>6</x:v>
      </x:c>
      <x:c r="N2377" s="28" t="n">
        <x:v>6</x:v>
      </x:c>
      <x:c r="O2377" s="28" t="n">
        <x:v>0</x:v>
      </x:c>
      <x:c r="P2377" s="28" t="n">
        <x:v>0</x:v>
      </x:c>
      <x:c r="Q2377" s="24" t="n">
        <x:f>IFERROR(J2377/H2377,0)</x:f>
        <x:v>0.4</x:v>
      </x:c>
      <x:c r="R2377" s="24" t="n">
        <x:f>IFERROR(F2377/H2377,0)</x:f>
        <x:v>0.1</x:v>
      </x:c>
      <x:c r="S2377" s="24" t="n">
        <x:f>IFERROR(F2377/J2377,0)</x:f>
        <x:v>0.25</x:v>
      </x:c>
      <x:c r="T2377" s="28" t="n">
        <x:f>H2377-I2377</x:f>
        <x:v>1</x:v>
      </x:c>
      <x:c r="U2377" s="24" t="n">
        <x:f>IFERROR(J2377/H2377,0)-IFERROR(K2377/I2377,0)</x:f>
        <x:v>-0.0444444444444444</x:v>
      </x:c>
      <x:c r="V2377" s="24" t="n">
        <x:f>IFERROR(F2377/J2377,0)-IFERROR(G2377/K2377,0)</x:f>
        <x:v>-0.5</x:v>
      </x:c>
      <x:c r="W2377" s="28" t="n">
        <x:f>L2377-M2377</x:f>
        <x:v>-1</x:v>
      </x:c>
      <x:c r="X2377" s="24" t="n">
        <x:f>IFERROR(K2377/I2377,0)</x:f>
        <x:v>0.4444444444444444</x:v>
      </x:c>
      <x:c r="Y2377" s="24" t="n">
        <x:f>IFERROR(G2377/I2377,0)</x:f>
        <x:v>0.3333333333333333</x:v>
      </x:c>
      <x:c r="Z2377" s="24" t="n">
        <x:f>IFERROR(G2377/K2377,0)</x:f>
        <x:v>0.75</x:v>
      </x:c>
      <x:c r="AA2377" s="24" t="n">
        <x:f>IFERROR(F2377/H2377,0)-IFERROR(G2377/I2377,0)</x:f>
        <x:v>-0.2333333333333333</x:v>
      </x:c>
      <x:c r="AB2377" s="28" t="n">
        <x:f>J2377-K2377</x:f>
        <x:v>0</x:v>
      </x:c>
      <x:c r="AC2377" s="32" t="n">
        <x:f>F2377-G2377</x:f>
        <x:v>-2</x:v>
      </x:c>
    </x:row>
    <x:row r="2378">
      <x:c r="A2378" s="4" t="str">
        <x:v>2024-25</x:v>
      </x:c>
      <x:c r="B2378" s="20" t="n">
        <x:v>45557</x:v>
      </x:c>
      <x:c r="C2378" s="4" t="str">
        <x:v>Arsenal</x:v>
      </x:c>
      <x:c r="D2378" s="4" t="str">
        <x:v>Man City</x:v>
      </x:c>
      <x:c r="E2378" s="4" t="str">
        <x:v>Away</x:v>
      </x:c>
      <x:c r="F2378" s="28" t="n">
        <x:v>2</x:v>
      </x:c>
      <x:c r="G2378" s="28" t="n">
        <x:v>2</x:v>
      </x:c>
      <x:c r="H2378" s="28" t="n">
        <x:v>5</x:v>
      </x:c>
      <x:c r="I2378" s="28" t="n">
        <x:v>33</x:v>
      </x:c>
      <x:c r="J2378" s="28" t="n">
        <x:v>3</x:v>
      </x:c>
      <x:c r="K2378" s="28" t="n">
        <x:v>11</x:v>
      </x:c>
      <x:c r="L2378" s="28" t="n">
        <x:v>2</x:v>
      </x:c>
      <x:c r="M2378" s="28" t="n">
        <x:v>8</x:v>
      </x:c>
      <x:c r="N2378" s="28" t="n">
        <x:v>4</x:v>
      </x:c>
      <x:c r="O2378" s="28" t="n">
        <x:v>1</x:v>
      </x:c>
      <x:c r="P2378" s="28" t="n">
        <x:v>1</x:v>
      </x:c>
      <x:c r="Q2378" s="24" t="n">
        <x:f>IFERROR(J2378/H2378,0)</x:f>
        <x:v>0.6</x:v>
      </x:c>
      <x:c r="R2378" s="24" t="n">
        <x:f>IFERROR(F2378/H2378,0)</x:f>
        <x:v>0.4</x:v>
      </x:c>
      <x:c r="S2378" s="24" t="n">
        <x:f>IFERROR(F2378/J2378,0)</x:f>
        <x:v>0.6666666666666666</x:v>
      </x:c>
      <x:c r="T2378" s="28" t="n">
        <x:f>H2378-I2378</x:f>
        <x:v>-28</x:v>
      </x:c>
      <x:c r="U2378" s="24" t="n">
        <x:f>IFERROR(J2378/H2378,0)-IFERROR(K2378/I2378,0)</x:f>
        <x:v>0.26666666666666666</x:v>
      </x:c>
      <x:c r="V2378" s="24" t="n">
        <x:f>IFERROR(F2378/J2378,0)-IFERROR(G2378/K2378,0)</x:f>
        <x:v>0.4848484848484848</x:v>
      </x:c>
      <x:c r="W2378" s="28" t="n">
        <x:f>L2378-M2378</x:f>
        <x:v>-6</x:v>
      </x:c>
      <x:c r="X2378" s="24" t="n">
        <x:f>IFERROR(K2378/I2378,0)</x:f>
        <x:v>0.3333333333333333</x:v>
      </x:c>
      <x:c r="Y2378" s="24" t="n">
        <x:f>IFERROR(G2378/I2378,0)</x:f>
        <x:v>0.06060606060606061</x:v>
      </x:c>
      <x:c r="Z2378" s="24" t="n">
        <x:f>IFERROR(G2378/K2378,0)</x:f>
        <x:v>0.18181818181818182</x:v>
      </x:c>
      <x:c r="AA2378" s="24" t="n">
        <x:f>IFERROR(F2378/H2378,0)-IFERROR(G2378/I2378,0)</x:f>
        <x:v>0.3393939393939394</x:v>
      </x:c>
      <x:c r="AB2378" s="28" t="n">
        <x:f>J2378-K2378</x:f>
        <x:v>-8</x:v>
      </x:c>
      <x:c r="AC2378" s="32" t="n">
        <x:f>F2378-G2378</x:f>
        <x:v>0</x:v>
      </x:c>
    </x:row>
    <x:row r="2379">
      <x:c r="A2379" s="4" t="str">
        <x:v>2024-25</x:v>
      </x:c>
      <x:c r="B2379" s="20" t="n">
        <x:v>45557</x:v>
      </x:c>
      <x:c r="C2379" s="4" t="str">
        <x:v>Brighton</x:v>
      </x:c>
      <x:c r="D2379" s="4" t="str">
        <x:v>Nott'm Forest</x:v>
      </x:c>
      <x:c r="E2379" s="4" t="str">
        <x:v>Home</x:v>
      </x:c>
      <x:c r="F2379" s="28" t="n">
        <x:v>2</x:v>
      </x:c>
      <x:c r="G2379" s="28" t="n">
        <x:v>2</x:v>
      </x:c>
      <x:c r="H2379" s="28" t="n">
        <x:v>14</x:v>
      </x:c>
      <x:c r="I2379" s="28" t="n">
        <x:v>4</x:v>
      </x:c>
      <x:c r="J2379" s="28" t="n">
        <x:v>3</x:v>
      </x:c>
      <x:c r="K2379" s="28" t="n">
        <x:v>3</x:v>
      </x:c>
      <x:c r="L2379" s="28" t="n">
        <x:v>9</x:v>
      </x:c>
      <x:c r="M2379" s="28" t="n">
        <x:v>1</x:v>
      </x:c>
      <x:c r="N2379" s="28" t="n">
        <x:v>3</x:v>
      </x:c>
      <x:c r="O2379" s="28" t="n">
        <x:v>0</x:v>
      </x:c>
      <x:c r="P2379" s="28" t="n">
        <x:v>1</x:v>
      </x:c>
      <x:c r="Q2379" s="24" t="n">
        <x:f>IFERROR(J2379/H2379,0)</x:f>
        <x:v>0.21428571428571427</x:v>
      </x:c>
      <x:c r="R2379" s="24" t="n">
        <x:f>IFERROR(F2379/H2379,0)</x:f>
        <x:v>0.14285714285714285</x:v>
      </x:c>
      <x:c r="S2379" s="24" t="n">
        <x:f>IFERROR(F2379/J2379,0)</x:f>
        <x:v>0.6666666666666666</x:v>
      </x:c>
      <x:c r="T2379" s="28" t="n">
        <x:f>H2379-I2379</x:f>
        <x:v>10</x:v>
      </x:c>
      <x:c r="U2379" s="24" t="n">
        <x:f>IFERROR(J2379/H2379,0)-IFERROR(K2379/I2379,0)</x:f>
        <x:v>-0.5357142857142857</x:v>
      </x:c>
      <x:c r="V2379" s="24" t="n">
        <x:f>IFERROR(F2379/J2379,0)-IFERROR(G2379/K2379,0)</x:f>
        <x:v>0</x:v>
      </x:c>
      <x:c r="W2379" s="28" t="n">
        <x:f>L2379-M2379</x:f>
        <x:v>8</x:v>
      </x:c>
      <x:c r="X2379" s="24" t="n">
        <x:f>IFERROR(K2379/I2379,0)</x:f>
        <x:v>0.75</x:v>
      </x:c>
      <x:c r="Y2379" s="24" t="n">
        <x:f>IFERROR(G2379/I2379,0)</x:f>
        <x:v>0.5</x:v>
      </x:c>
      <x:c r="Z2379" s="24" t="n">
        <x:f>IFERROR(G2379/K2379,0)</x:f>
        <x:v>0.6666666666666666</x:v>
      </x:c>
      <x:c r="AA2379" s="24" t="n">
        <x:f>IFERROR(F2379/H2379,0)-IFERROR(G2379/I2379,0)</x:f>
        <x:v>-0.35714285714285715</x:v>
      </x:c>
      <x:c r="AB2379" s="28" t="n">
        <x:f>J2379-K2379</x:f>
        <x:v>0</x:v>
      </x:c>
      <x:c r="AC2379" s="32" t="n">
        <x:f>F2379-G2379</x:f>
        <x:v>0</x:v>
      </x:c>
    </x:row>
    <x:row r="2380">
      <x:c r="A2380" s="4" t="str">
        <x:v>2024-25</x:v>
      </x:c>
      <x:c r="B2380" s="20" t="n">
        <x:v>45557</x:v>
      </x:c>
      <x:c r="C2380" s="4" t="str">
        <x:v>Man City</x:v>
      </x:c>
      <x:c r="D2380" s="4" t="str">
        <x:v>Arsenal</x:v>
      </x:c>
      <x:c r="E2380" s="4" t="str">
        <x:v>Home</x:v>
      </x:c>
      <x:c r="F2380" s="28" t="n">
        <x:v>2</x:v>
      </x:c>
      <x:c r="G2380" s="28" t="n">
        <x:v>2</x:v>
      </x:c>
      <x:c r="H2380" s="28" t="n">
        <x:v>33</x:v>
      </x:c>
      <x:c r="I2380" s="28" t="n">
        <x:v>5</x:v>
      </x:c>
      <x:c r="J2380" s="28" t="n">
        <x:v>11</x:v>
      </x:c>
      <x:c r="K2380" s="28" t="n">
        <x:v>3</x:v>
      </x:c>
      <x:c r="L2380" s="28" t="n">
        <x:v>8</x:v>
      </x:c>
      <x:c r="M2380" s="28" t="n">
        <x:v>2</x:v>
      </x:c>
      <x:c r="N2380" s="28" t="n">
        <x:v>3</x:v>
      </x:c>
      <x:c r="O2380" s="28" t="n">
        <x:v>0</x:v>
      </x:c>
      <x:c r="P2380" s="28" t="n">
        <x:v>1</x:v>
      </x:c>
      <x:c r="Q2380" s="24" t="n">
        <x:f>IFERROR(J2380/H2380,0)</x:f>
        <x:v>0.3333333333333333</x:v>
      </x:c>
      <x:c r="R2380" s="24" t="n">
        <x:f>IFERROR(F2380/H2380,0)</x:f>
        <x:v>0.06060606060606061</x:v>
      </x:c>
      <x:c r="S2380" s="24" t="n">
        <x:f>IFERROR(F2380/J2380,0)</x:f>
        <x:v>0.18181818181818182</x:v>
      </x:c>
      <x:c r="T2380" s="28" t="n">
        <x:f>H2380-I2380</x:f>
        <x:v>28</x:v>
      </x:c>
      <x:c r="U2380" s="24" t="n">
        <x:f>IFERROR(J2380/H2380,0)-IFERROR(K2380/I2380,0)</x:f>
        <x:v>-0.26666666666666666</x:v>
      </x:c>
      <x:c r="V2380" s="24" t="n">
        <x:f>IFERROR(F2380/J2380,0)-IFERROR(G2380/K2380,0)</x:f>
        <x:v>-0.4848484848484848</x:v>
      </x:c>
      <x:c r="W2380" s="28" t="n">
        <x:f>L2380-M2380</x:f>
        <x:v>6</x:v>
      </x:c>
      <x:c r="X2380" s="24" t="n">
        <x:f>IFERROR(K2380/I2380,0)</x:f>
        <x:v>0.6</x:v>
      </x:c>
      <x:c r="Y2380" s="24" t="n">
        <x:f>IFERROR(G2380/I2380,0)</x:f>
        <x:v>0.4</x:v>
      </x:c>
      <x:c r="Z2380" s="24" t="n">
        <x:f>IFERROR(G2380/K2380,0)</x:f>
        <x:v>0.6666666666666666</x:v>
      </x:c>
      <x:c r="AA2380" s="24" t="n">
        <x:f>IFERROR(F2380/H2380,0)-IFERROR(G2380/I2380,0)</x:f>
        <x:v>-0.3393939393939394</x:v>
      </x:c>
      <x:c r="AB2380" s="28" t="n">
        <x:f>J2380-K2380</x:f>
        <x:v>8</x:v>
      </x:c>
      <x:c r="AC2380" s="32" t="n">
        <x:f>F2380-G2380</x:f>
        <x:v>0</x:v>
      </x:c>
    </x:row>
    <x:row r="2381">
      <x:c r="A2381" s="4" t="str">
        <x:v>2024-25</x:v>
      </x:c>
      <x:c r="B2381" s="20" t="n">
        <x:v>45557</x:v>
      </x:c>
      <x:c r="C2381" s="4" t="str">
        <x:v>Nott'm Forest</x:v>
      </x:c>
      <x:c r="D2381" s="4" t="str">
        <x:v>Brighton</x:v>
      </x:c>
      <x:c r="E2381" s="4" t="str">
        <x:v>Away</x:v>
      </x:c>
      <x:c r="F2381" s="28" t="n">
        <x:v>2</x:v>
      </x:c>
      <x:c r="G2381" s="28" t="n">
        <x:v>2</x:v>
      </x:c>
      <x:c r="H2381" s="28" t="n">
        <x:v>4</x:v>
      </x:c>
      <x:c r="I2381" s="28" t="n">
        <x:v>14</x:v>
      </x:c>
      <x:c r="J2381" s="28" t="n">
        <x:v>3</x:v>
      </x:c>
      <x:c r="K2381" s="28" t="n">
        <x:v>3</x:v>
      </x:c>
      <x:c r="L2381" s="28" t="n">
        <x:v>1</x:v>
      </x:c>
      <x:c r="M2381" s="28" t="n">
        <x:v>9</x:v>
      </x:c>
      <x:c r="N2381" s="28" t="n">
        <x:v>4</x:v>
      </x:c>
      <x:c r="O2381" s="28" t="n">
        <x:v>1</x:v>
      </x:c>
      <x:c r="P2381" s="28" t="n">
        <x:v>1</x:v>
      </x:c>
      <x:c r="Q2381" s="24" t="n">
        <x:f>IFERROR(J2381/H2381,0)</x:f>
        <x:v>0.75</x:v>
      </x:c>
      <x:c r="R2381" s="24" t="n">
        <x:f>IFERROR(F2381/H2381,0)</x:f>
        <x:v>0.5</x:v>
      </x:c>
      <x:c r="S2381" s="24" t="n">
        <x:f>IFERROR(F2381/J2381,0)</x:f>
        <x:v>0.6666666666666666</x:v>
      </x:c>
      <x:c r="T2381" s="28" t="n">
        <x:f>H2381-I2381</x:f>
        <x:v>-10</x:v>
      </x:c>
      <x:c r="U2381" s="24" t="n">
        <x:f>IFERROR(J2381/H2381,0)-IFERROR(K2381/I2381,0)</x:f>
        <x:v>0.5357142857142857</x:v>
      </x:c>
      <x:c r="V2381" s="24" t="n">
        <x:f>IFERROR(F2381/J2381,0)-IFERROR(G2381/K2381,0)</x:f>
        <x:v>0</x:v>
      </x:c>
      <x:c r="W2381" s="28" t="n">
        <x:f>L2381-M2381</x:f>
        <x:v>-8</x:v>
      </x:c>
      <x:c r="X2381" s="24" t="n">
        <x:f>IFERROR(K2381/I2381,0)</x:f>
        <x:v>0.21428571428571427</x:v>
      </x:c>
      <x:c r="Y2381" s="24" t="n">
        <x:f>IFERROR(G2381/I2381,0)</x:f>
        <x:v>0.14285714285714285</x:v>
      </x:c>
      <x:c r="Z2381" s="24" t="n">
        <x:f>IFERROR(G2381/K2381,0)</x:f>
        <x:v>0.6666666666666666</x:v>
      </x:c>
      <x:c r="AA2381" s="24" t="n">
        <x:f>IFERROR(F2381/H2381,0)-IFERROR(G2381/I2381,0)</x:f>
        <x:v>0.35714285714285715</x:v>
      </x:c>
      <x:c r="AB2381" s="28" t="n">
        <x:f>J2381-K2381</x:f>
        <x:v>0</x:v>
      </x:c>
      <x:c r="AC2381" s="32" t="n">
        <x:f>F2381-G2381</x:f>
        <x:v>0</x:v>
      </x:c>
    </x:row>
    <x:row r="2382">
      <x:c r="A2382" s="4" t="str">
        <x:v>2024-25</x:v>
      </x:c>
      <x:c r="B2382" s="20" t="n">
        <x:v>45563</x:v>
      </x:c>
      <x:c r="C2382" s="4" t="str">
        <x:v>Arsenal</x:v>
      </x:c>
      <x:c r="D2382" s="4" t="str">
        <x:v>Leicester</x:v>
      </x:c>
      <x:c r="E2382" s="4" t="str">
        <x:v>Home</x:v>
      </x:c>
      <x:c r="F2382" s="28" t="n">
        <x:v>4</x:v>
      </x:c>
      <x:c r="G2382" s="28" t="n">
        <x:v>2</x:v>
      </x:c>
      <x:c r="H2382" s="28" t="n">
        <x:v>36</x:v>
      </x:c>
      <x:c r="I2382" s="28" t="n">
        <x:v>5</x:v>
      </x:c>
      <x:c r="J2382" s="28" t="n">
        <x:v>16</x:v>
      </x:c>
      <x:c r="K2382" s="28" t="n">
        <x:v>3</x:v>
      </x:c>
      <x:c r="L2382" s="28" t="n">
        <x:v>17</x:v>
      </x:c>
      <x:c r="M2382" s="28" t="n">
        <x:v>0</x:v>
      </x:c>
      <x:c r="N2382" s="28" t="n">
        <x:v>2</x:v>
      </x:c>
      <x:c r="O2382" s="28" t="n">
        <x:v>0</x:v>
      </x:c>
      <x:c r="P2382" s="28" t="n">
        <x:v>3</x:v>
      </x:c>
      <x:c r="Q2382" s="24" t="n">
        <x:f>IFERROR(J2382/H2382,0)</x:f>
        <x:v>0.4444444444444444</x:v>
      </x:c>
      <x:c r="R2382" s="24" t="n">
        <x:f>IFERROR(F2382/H2382,0)</x:f>
        <x:v>0.1111111111111111</x:v>
      </x:c>
      <x:c r="S2382" s="24" t="n">
        <x:f>IFERROR(F2382/J2382,0)</x:f>
        <x:v>0.25</x:v>
      </x:c>
      <x:c r="T2382" s="28" t="n">
        <x:f>H2382-I2382</x:f>
        <x:v>31</x:v>
      </x:c>
      <x:c r="U2382" s="24" t="n">
        <x:f>IFERROR(J2382/H2382,0)-IFERROR(K2382/I2382,0)</x:f>
        <x:v>-0.15555555555555556</x:v>
      </x:c>
      <x:c r="V2382" s="24" t="n">
        <x:f>IFERROR(F2382/J2382,0)-IFERROR(G2382/K2382,0)</x:f>
        <x:v>-0.41666666666666663</x:v>
      </x:c>
      <x:c r="W2382" s="28" t="n">
        <x:f>L2382-M2382</x:f>
        <x:v>17</x:v>
      </x:c>
      <x:c r="X2382" s="24" t="n">
        <x:f>IFERROR(K2382/I2382,0)</x:f>
        <x:v>0.6</x:v>
      </x:c>
      <x:c r="Y2382" s="24" t="n">
        <x:f>IFERROR(G2382/I2382,0)</x:f>
        <x:v>0.4</x:v>
      </x:c>
      <x:c r="Z2382" s="24" t="n">
        <x:f>IFERROR(G2382/K2382,0)</x:f>
        <x:v>0.6666666666666666</x:v>
      </x:c>
      <x:c r="AA2382" s="24" t="n">
        <x:f>IFERROR(F2382/H2382,0)-IFERROR(G2382/I2382,0)</x:f>
        <x:v>-0.2888888888888889</x:v>
      </x:c>
      <x:c r="AB2382" s="28" t="n">
        <x:f>J2382-K2382</x:f>
        <x:v>13</x:v>
      </x:c>
      <x:c r="AC2382" s="32" t="n">
        <x:f>F2382-G2382</x:f>
        <x:v>2</x:v>
      </x:c>
    </x:row>
    <x:row r="2383">
      <x:c r="A2383" s="4" t="str">
        <x:v>2024-25</x:v>
      </x:c>
      <x:c r="B2383" s="20" t="n">
        <x:v>45563</x:v>
      </x:c>
      <x:c r="C2383" s="4" t="str">
        <x:v>Brentford</x:v>
      </x:c>
      <x:c r="D2383" s="4" t="str">
        <x:v>West Ham</x:v>
      </x:c>
      <x:c r="E2383" s="4" t="str">
        <x:v>Home</x:v>
      </x:c>
      <x:c r="F2383" s="28" t="n">
        <x:v>1</x:v>
      </x:c>
      <x:c r="G2383" s="28" t="n">
        <x:v>1</x:v>
      </x:c>
      <x:c r="H2383" s="28" t="n">
        <x:v>8</x:v>
      </x:c>
      <x:c r="I2383" s="28" t="n">
        <x:v>19</x:v>
      </x:c>
      <x:c r="J2383" s="28" t="n">
        <x:v>3</x:v>
      </x:c>
      <x:c r="K2383" s="28" t="n">
        <x:v>3</x:v>
      </x:c>
      <x:c r="L2383" s="28" t="n">
        <x:v>7</x:v>
      </x:c>
      <x:c r="M2383" s="28" t="n">
        <x:v>7</x:v>
      </x:c>
      <x:c r="N2383" s="28" t="n">
        <x:v>2</x:v>
      </x:c>
      <x:c r="O2383" s="28" t="n">
        <x:v>0</x:v>
      </x:c>
      <x:c r="P2383" s="28" t="n">
        <x:v>1</x:v>
      </x:c>
      <x:c r="Q2383" s="24" t="n">
        <x:f>IFERROR(J2383/H2383,0)</x:f>
        <x:v>0.375</x:v>
      </x:c>
      <x:c r="R2383" s="24" t="n">
        <x:f>IFERROR(F2383/H2383,0)</x:f>
        <x:v>0.125</x:v>
      </x:c>
      <x:c r="S2383" s="24" t="n">
        <x:f>IFERROR(F2383/J2383,0)</x:f>
        <x:v>0.3333333333333333</x:v>
      </x:c>
      <x:c r="T2383" s="28" t="n">
        <x:f>H2383-I2383</x:f>
        <x:v>-11</x:v>
      </x:c>
      <x:c r="U2383" s="24" t="n">
        <x:f>IFERROR(J2383/H2383,0)-IFERROR(K2383/I2383,0)</x:f>
        <x:v>0.21710526315789475</x:v>
      </x:c>
      <x:c r="V2383" s="24" t="n">
        <x:f>IFERROR(F2383/J2383,0)-IFERROR(G2383/K2383,0)</x:f>
        <x:v>0</x:v>
      </x:c>
      <x:c r="W2383" s="28" t="n">
        <x:f>L2383-M2383</x:f>
        <x:v>0</x:v>
      </x:c>
      <x:c r="X2383" s="24" t="n">
        <x:f>IFERROR(K2383/I2383,0)</x:f>
        <x:v>0.15789473684210525</x:v>
      </x:c>
      <x:c r="Y2383" s="24" t="n">
        <x:f>IFERROR(G2383/I2383,0)</x:f>
        <x:v>0.05263157894736842</x:v>
      </x:c>
      <x:c r="Z2383" s="24" t="n">
        <x:f>IFERROR(G2383/K2383,0)</x:f>
        <x:v>0.3333333333333333</x:v>
      </x:c>
      <x:c r="AA2383" s="24" t="n">
        <x:f>IFERROR(F2383/H2383,0)-IFERROR(G2383/I2383,0)</x:f>
        <x:v>0.07236842105263158</x:v>
      </x:c>
      <x:c r="AB2383" s="28" t="n">
        <x:f>J2383-K2383</x:f>
        <x:v>0</x:v>
      </x:c>
      <x:c r="AC2383" s="32" t="n">
        <x:f>F2383-G2383</x:f>
        <x:v>0</x:v>
      </x:c>
    </x:row>
    <x:row r="2384">
      <x:c r="A2384" s="4" t="str">
        <x:v>2024-25</x:v>
      </x:c>
      <x:c r="B2384" s="20" t="n">
        <x:v>45563</x:v>
      </x:c>
      <x:c r="C2384" s="4" t="str">
        <x:v>Brighton</x:v>
      </x:c>
      <x:c r="D2384" s="4" t="str">
        <x:v>Chelsea</x:v>
      </x:c>
      <x:c r="E2384" s="4" t="str">
        <x:v>Away</x:v>
      </x:c>
      <x:c r="F2384" s="28" t="n">
        <x:v>2</x:v>
      </x:c>
      <x:c r="G2384" s="28" t="n">
        <x:v>4</x:v>
      </x:c>
      <x:c r="H2384" s="28" t="n">
        <x:v>15</x:v>
      </x:c>
      <x:c r="I2384" s="28" t="n">
        <x:v>15</x:v>
      </x:c>
      <x:c r="J2384" s="28" t="n">
        <x:v>5</x:v>
      </x:c>
      <x:c r="K2384" s="28" t="n">
        <x:v>7</x:v>
      </x:c>
      <x:c r="L2384" s="28" t="n">
        <x:v>2</x:v>
      </x:c>
      <x:c r="M2384" s="28" t="n">
        <x:v>8</x:v>
      </x:c>
      <x:c r="N2384" s="28" t="n">
        <x:v>2</x:v>
      </x:c>
      <x:c r="O2384" s="28" t="n">
        <x:v>0</x:v>
      </x:c>
      <x:c r="P2384" s="28" t="n">
        <x:v>0</x:v>
      </x:c>
      <x:c r="Q2384" s="24" t="n">
        <x:f>IFERROR(J2384/H2384,0)</x:f>
        <x:v>0.3333333333333333</x:v>
      </x:c>
      <x:c r="R2384" s="24" t="n">
        <x:f>IFERROR(F2384/H2384,0)</x:f>
        <x:v>0.13333333333333333</x:v>
      </x:c>
      <x:c r="S2384" s="24" t="n">
        <x:f>IFERROR(F2384/J2384,0)</x:f>
        <x:v>0.4</x:v>
      </x:c>
      <x:c r="T2384" s="28" t="n">
        <x:f>H2384-I2384</x:f>
        <x:v>0</x:v>
      </x:c>
      <x:c r="U2384" s="24" t="n">
        <x:f>IFERROR(J2384/H2384,0)-IFERROR(K2384/I2384,0)</x:f>
        <x:v>-0.13333333333333336</x:v>
      </x:c>
      <x:c r="V2384" s="24" t="n">
        <x:f>IFERROR(F2384/J2384,0)-IFERROR(G2384/K2384,0)</x:f>
        <x:v>-0.17142857142857137</x:v>
      </x:c>
      <x:c r="W2384" s="28" t="n">
        <x:f>L2384-M2384</x:f>
        <x:v>-6</x:v>
      </x:c>
      <x:c r="X2384" s="24" t="n">
        <x:f>IFERROR(K2384/I2384,0)</x:f>
        <x:v>0.4666666666666667</x:v>
      </x:c>
      <x:c r="Y2384" s="24" t="n">
        <x:f>IFERROR(G2384/I2384,0)</x:f>
        <x:v>0.26666666666666666</x:v>
      </x:c>
      <x:c r="Z2384" s="24" t="n">
        <x:f>IFERROR(G2384/K2384,0)</x:f>
        <x:v>0.5714285714285714</x:v>
      </x:c>
      <x:c r="AA2384" s="24" t="n">
        <x:f>IFERROR(F2384/H2384,0)-IFERROR(G2384/I2384,0)</x:f>
        <x:v>-0.13333333333333333</x:v>
      </x:c>
      <x:c r="AB2384" s="28" t="n">
        <x:f>J2384-K2384</x:f>
        <x:v>-2</x:v>
      </x:c>
      <x:c r="AC2384" s="32" t="n">
        <x:f>F2384-G2384</x:f>
        <x:v>-2</x:v>
      </x:c>
    </x:row>
    <x:row r="2385">
      <x:c r="A2385" s="4" t="str">
        <x:v>2024-25</x:v>
      </x:c>
      <x:c r="B2385" s="20" t="n">
        <x:v>45563</x:v>
      </x:c>
      <x:c r="C2385" s="4" t="str">
        <x:v>Chelsea</x:v>
      </x:c>
      <x:c r="D2385" s="4" t="str">
        <x:v>Brighton</x:v>
      </x:c>
      <x:c r="E2385" s="4" t="str">
        <x:v>Home</x:v>
      </x:c>
      <x:c r="F2385" s="28" t="n">
        <x:v>4</x:v>
      </x:c>
      <x:c r="G2385" s="28" t="n">
        <x:v>2</x:v>
      </x:c>
      <x:c r="H2385" s="28" t="n">
        <x:v>15</x:v>
      </x:c>
      <x:c r="I2385" s="28" t="n">
        <x:v>15</x:v>
      </x:c>
      <x:c r="J2385" s="28" t="n">
        <x:v>7</x:v>
      </x:c>
      <x:c r="K2385" s="28" t="n">
        <x:v>5</x:v>
      </x:c>
      <x:c r="L2385" s="28" t="n">
        <x:v>8</x:v>
      </x:c>
      <x:c r="M2385" s="28" t="n">
        <x:v>2</x:v>
      </x:c>
      <x:c r="N2385" s="28" t="n">
        <x:v>3</x:v>
      </x:c>
      <x:c r="O2385" s="28" t="n">
        <x:v>0</x:v>
      </x:c>
      <x:c r="P2385" s="28" t="n">
        <x:v>3</x:v>
      </x:c>
      <x:c r="Q2385" s="24" t="n">
        <x:f>IFERROR(J2385/H2385,0)</x:f>
        <x:v>0.4666666666666667</x:v>
      </x:c>
      <x:c r="R2385" s="24" t="n">
        <x:f>IFERROR(F2385/H2385,0)</x:f>
        <x:v>0.26666666666666666</x:v>
      </x:c>
      <x:c r="S2385" s="24" t="n">
        <x:f>IFERROR(F2385/J2385,0)</x:f>
        <x:v>0.5714285714285714</x:v>
      </x:c>
      <x:c r="T2385" s="28" t="n">
        <x:f>H2385-I2385</x:f>
        <x:v>0</x:v>
      </x:c>
      <x:c r="U2385" s="24" t="n">
        <x:f>IFERROR(J2385/H2385,0)-IFERROR(K2385/I2385,0)</x:f>
        <x:v>0.13333333333333336</x:v>
      </x:c>
      <x:c r="V2385" s="24" t="n">
        <x:f>IFERROR(F2385/J2385,0)-IFERROR(G2385/K2385,0)</x:f>
        <x:v>0.17142857142857137</x:v>
      </x:c>
      <x:c r="W2385" s="28" t="n">
        <x:f>L2385-M2385</x:f>
        <x:v>6</x:v>
      </x:c>
      <x:c r="X2385" s="24" t="n">
        <x:f>IFERROR(K2385/I2385,0)</x:f>
        <x:v>0.3333333333333333</x:v>
      </x:c>
      <x:c r="Y2385" s="24" t="n">
        <x:f>IFERROR(G2385/I2385,0)</x:f>
        <x:v>0.13333333333333333</x:v>
      </x:c>
      <x:c r="Z2385" s="24" t="n">
        <x:f>IFERROR(G2385/K2385,0)</x:f>
        <x:v>0.4</x:v>
      </x:c>
      <x:c r="AA2385" s="24" t="n">
        <x:f>IFERROR(F2385/H2385,0)-IFERROR(G2385/I2385,0)</x:f>
        <x:v>0.13333333333333333</x:v>
      </x:c>
      <x:c r="AB2385" s="28" t="n">
        <x:f>J2385-K2385</x:f>
        <x:v>2</x:v>
      </x:c>
      <x:c r="AC2385" s="32" t="n">
        <x:f>F2385-G2385</x:f>
        <x:v>2</x:v>
      </x:c>
    </x:row>
    <x:row r="2386">
      <x:c r="A2386" s="4" t="str">
        <x:v>2024-25</x:v>
      </x:c>
      <x:c r="B2386" s="20" t="n">
        <x:v>45563</x:v>
      </x:c>
      <x:c r="C2386" s="4" t="str">
        <x:v>Crystal Palace</x:v>
      </x:c>
      <x:c r="D2386" s="4" t="str">
        <x:v>Everton</x:v>
      </x:c>
      <x:c r="E2386" s="4" t="str">
        <x:v>Away</x:v>
      </x:c>
      <x:c r="F2386" s="28" t="n">
        <x:v>1</x:v>
      </x:c>
      <x:c r="G2386" s="28" t="n">
        <x:v>2</x:v>
      </x:c>
      <x:c r="H2386" s="28" t="n">
        <x:v>17</x:v>
      </x:c>
      <x:c r="I2386" s="28" t="n">
        <x:v>8</x:v>
      </x:c>
      <x:c r="J2386" s="28" t="n">
        <x:v>5</x:v>
      </x:c>
      <x:c r="K2386" s="28" t="n">
        <x:v>2</x:v>
      </x:c>
      <x:c r="L2386" s="28" t="n">
        <x:v>8</x:v>
      </x:c>
      <x:c r="M2386" s="28" t="n">
        <x:v>5</x:v>
      </x:c>
      <x:c r="N2386" s="28" t="n">
        <x:v>1</x:v>
      </x:c>
      <x:c r="O2386" s="28" t="n">
        <x:v>0</x:v>
      </x:c>
      <x:c r="P2386" s="28" t="n">
        <x:v>0</x:v>
      </x:c>
      <x:c r="Q2386" s="24" t="n">
        <x:f>IFERROR(J2386/H2386,0)</x:f>
        <x:v>0.29411764705882354</x:v>
      </x:c>
      <x:c r="R2386" s="24" t="n">
        <x:f>IFERROR(F2386/H2386,0)</x:f>
        <x:v>0.058823529411764705</x:v>
      </x:c>
      <x:c r="S2386" s="24" t="n">
        <x:f>IFERROR(F2386/J2386,0)</x:f>
        <x:v>0.2</x:v>
      </x:c>
      <x:c r="T2386" s="28" t="n">
        <x:f>H2386-I2386</x:f>
        <x:v>9</x:v>
      </x:c>
      <x:c r="U2386" s="24" t="n">
        <x:f>IFERROR(J2386/H2386,0)-IFERROR(K2386/I2386,0)</x:f>
        <x:v>0.04411764705882354</x:v>
      </x:c>
      <x:c r="V2386" s="24" t="n">
        <x:f>IFERROR(F2386/J2386,0)-IFERROR(G2386/K2386,0)</x:f>
        <x:v>-0.8</x:v>
      </x:c>
      <x:c r="W2386" s="28" t="n">
        <x:f>L2386-M2386</x:f>
        <x:v>3</x:v>
      </x:c>
      <x:c r="X2386" s="24" t="n">
        <x:f>IFERROR(K2386/I2386,0)</x:f>
        <x:v>0.25</x:v>
      </x:c>
      <x:c r="Y2386" s="24" t="n">
        <x:f>IFERROR(G2386/I2386,0)</x:f>
        <x:v>0.25</x:v>
      </x:c>
      <x:c r="Z2386" s="24" t="n">
        <x:f>IFERROR(G2386/K2386,0)</x:f>
        <x:v>1</x:v>
      </x:c>
      <x:c r="AA2386" s="24" t="n">
        <x:f>IFERROR(F2386/H2386,0)-IFERROR(G2386/I2386,0)</x:f>
        <x:v>-0.19117647058823528</x:v>
      </x:c>
      <x:c r="AB2386" s="28" t="n">
        <x:f>J2386-K2386</x:f>
        <x:v>3</x:v>
      </x:c>
      <x:c r="AC2386" s="32" t="n">
        <x:f>F2386-G2386</x:f>
        <x:v>-1</x:v>
      </x:c>
    </x:row>
    <x:row r="2387">
      <x:c r="A2387" s="4" t="str">
        <x:v>2024-25</x:v>
      </x:c>
      <x:c r="B2387" s="20" t="n">
        <x:v>45563</x:v>
      </x:c>
      <x:c r="C2387" s="4" t="str">
        <x:v>Everton</x:v>
      </x:c>
      <x:c r="D2387" s="4" t="str">
        <x:v>Crystal Palace</x:v>
      </x:c>
      <x:c r="E2387" s="4" t="str">
        <x:v>Home</x:v>
      </x:c>
      <x:c r="F2387" s="28" t="n">
        <x:v>2</x:v>
      </x:c>
      <x:c r="G2387" s="28" t="n">
        <x:v>1</x:v>
      </x:c>
      <x:c r="H2387" s="28" t="n">
        <x:v>8</x:v>
      </x:c>
      <x:c r="I2387" s="28" t="n">
        <x:v>17</x:v>
      </x:c>
      <x:c r="J2387" s="28" t="n">
        <x:v>2</x:v>
      </x:c>
      <x:c r="K2387" s="28" t="n">
        <x:v>5</x:v>
      </x:c>
      <x:c r="L2387" s="28" t="n">
        <x:v>5</x:v>
      </x:c>
      <x:c r="M2387" s="28" t="n">
        <x:v>8</x:v>
      </x:c>
      <x:c r="N2387" s="28" t="n">
        <x:v>2</x:v>
      </x:c>
      <x:c r="O2387" s="28" t="n">
        <x:v>0</x:v>
      </x:c>
      <x:c r="P2387" s="28" t="n">
        <x:v>3</x:v>
      </x:c>
      <x:c r="Q2387" s="24" t="n">
        <x:f>IFERROR(J2387/H2387,0)</x:f>
        <x:v>0.25</x:v>
      </x:c>
      <x:c r="R2387" s="24" t="n">
        <x:f>IFERROR(F2387/H2387,0)</x:f>
        <x:v>0.25</x:v>
      </x:c>
      <x:c r="S2387" s="24" t="n">
        <x:f>IFERROR(F2387/J2387,0)</x:f>
        <x:v>1</x:v>
      </x:c>
      <x:c r="T2387" s="28" t="n">
        <x:f>H2387-I2387</x:f>
        <x:v>-9</x:v>
      </x:c>
      <x:c r="U2387" s="24" t="n">
        <x:f>IFERROR(J2387/H2387,0)-IFERROR(K2387/I2387,0)</x:f>
        <x:v>-0.04411764705882354</x:v>
      </x:c>
      <x:c r="V2387" s="24" t="n">
        <x:f>IFERROR(F2387/J2387,0)-IFERROR(G2387/K2387,0)</x:f>
        <x:v>0.8</x:v>
      </x:c>
      <x:c r="W2387" s="28" t="n">
        <x:f>L2387-M2387</x:f>
        <x:v>-3</x:v>
      </x:c>
      <x:c r="X2387" s="24" t="n">
        <x:f>IFERROR(K2387/I2387,0)</x:f>
        <x:v>0.29411764705882354</x:v>
      </x:c>
      <x:c r="Y2387" s="24" t="n">
        <x:f>IFERROR(G2387/I2387,0)</x:f>
        <x:v>0.058823529411764705</x:v>
      </x:c>
      <x:c r="Z2387" s="24" t="n">
        <x:f>IFERROR(G2387/K2387,0)</x:f>
        <x:v>0.2</x:v>
      </x:c>
      <x:c r="AA2387" s="24" t="n">
        <x:f>IFERROR(F2387/H2387,0)-IFERROR(G2387/I2387,0)</x:f>
        <x:v>0.19117647058823528</x:v>
      </x:c>
      <x:c r="AB2387" s="28" t="n">
        <x:f>J2387-K2387</x:f>
        <x:v>-3</x:v>
      </x:c>
      <x:c r="AC2387" s="32" t="n">
        <x:f>F2387-G2387</x:f>
        <x:v>1</x:v>
      </x:c>
    </x:row>
    <x:row r="2388">
      <x:c r="A2388" s="4" t="str">
        <x:v>2024-25</x:v>
      </x:c>
      <x:c r="B2388" s="20" t="n">
        <x:v>45563</x:v>
      </x:c>
      <x:c r="C2388" s="4" t="str">
        <x:v>Fulham</x:v>
      </x:c>
      <x:c r="D2388" s="4" t="str">
        <x:v>Nott'm Forest</x:v>
      </x:c>
      <x:c r="E2388" s="4" t="str">
        <x:v>Away</x:v>
      </x:c>
      <x:c r="F2388" s="28" t="n">
        <x:v>1</x:v>
      </x:c>
      <x:c r="G2388" s="28" t="n">
        <x:v>0</x:v>
      </x:c>
      <x:c r="H2388" s="28" t="n">
        <x:v>14</x:v>
      </x:c>
      <x:c r="I2388" s="28" t="n">
        <x:v>11</x:v>
      </x:c>
      <x:c r="J2388" s="28" t="n">
        <x:v>2</x:v>
      </x:c>
      <x:c r="K2388" s="28" t="n">
        <x:v>1</x:v>
      </x:c>
      <x:c r="L2388" s="28" t="n">
        <x:v>5</x:v>
      </x:c>
      <x:c r="M2388" s="28" t="n">
        <x:v>6</x:v>
      </x:c>
      <x:c r="N2388" s="28" t="n">
        <x:v>4</x:v>
      </x:c>
      <x:c r="O2388" s="28" t="n">
        <x:v>0</x:v>
      </x:c>
      <x:c r="P2388" s="28" t="n">
        <x:v>3</x:v>
      </x:c>
      <x:c r="Q2388" s="24" t="n">
        <x:f>IFERROR(J2388/H2388,0)</x:f>
        <x:v>0.14285714285714285</x:v>
      </x:c>
      <x:c r="R2388" s="24" t="n">
        <x:f>IFERROR(F2388/H2388,0)</x:f>
        <x:v>0.07142857142857142</x:v>
      </x:c>
      <x:c r="S2388" s="24" t="n">
        <x:f>IFERROR(F2388/J2388,0)</x:f>
        <x:v>0.5</x:v>
      </x:c>
      <x:c r="T2388" s="28" t="n">
        <x:f>H2388-I2388</x:f>
        <x:v>3</x:v>
      </x:c>
      <x:c r="U2388" s="24" t="n">
        <x:f>IFERROR(J2388/H2388,0)-IFERROR(K2388/I2388,0)</x:f>
        <x:v>0.05194805194805194</x:v>
      </x:c>
      <x:c r="V2388" s="24" t="n">
        <x:f>IFERROR(F2388/J2388,0)-IFERROR(G2388/K2388,0)</x:f>
        <x:v>0.5</x:v>
      </x:c>
      <x:c r="W2388" s="28" t="n">
        <x:f>L2388-M2388</x:f>
        <x:v>-1</x:v>
      </x:c>
      <x:c r="X2388" s="24" t="n">
        <x:f>IFERROR(K2388/I2388,0)</x:f>
        <x:v>0.09090909090909091</x:v>
      </x:c>
      <x:c r="Y2388" s="24" t="n">
        <x:f>IFERROR(G2388/I2388,0)</x:f>
        <x:v>0</x:v>
      </x:c>
      <x:c r="Z2388" s="24" t="n">
        <x:f>IFERROR(G2388/K2388,0)</x:f>
        <x:v>0</x:v>
      </x:c>
      <x:c r="AA2388" s="24" t="n">
        <x:f>IFERROR(F2388/H2388,0)-IFERROR(G2388/I2388,0)</x:f>
        <x:v>0.07142857142857142</x:v>
      </x:c>
      <x:c r="AB2388" s="28" t="n">
        <x:f>J2388-K2388</x:f>
        <x:v>1</x:v>
      </x:c>
      <x:c r="AC2388" s="32" t="n">
        <x:f>F2388-G2388</x:f>
        <x:v>1</x:v>
      </x:c>
    </x:row>
    <x:row r="2389">
      <x:c r="A2389" s="4" t="str">
        <x:v>2024-25</x:v>
      </x:c>
      <x:c r="B2389" s="20" t="n">
        <x:v>45563</x:v>
      </x:c>
      <x:c r="C2389" s="4" t="str">
        <x:v>Leicester</x:v>
      </x:c>
      <x:c r="D2389" s="4" t="str">
        <x:v>Arsenal</x:v>
      </x:c>
      <x:c r="E2389" s="4" t="str">
        <x:v>Away</x:v>
      </x:c>
      <x:c r="F2389" s="28" t="n">
        <x:v>2</x:v>
      </x:c>
      <x:c r="G2389" s="28" t="n">
        <x:v>4</x:v>
      </x:c>
      <x:c r="H2389" s="28" t="n">
        <x:v>5</x:v>
      </x:c>
      <x:c r="I2389" s="28" t="n">
        <x:v>36</x:v>
      </x:c>
      <x:c r="J2389" s="28" t="n">
        <x:v>3</x:v>
      </x:c>
      <x:c r="K2389" s="28" t="n">
        <x:v>16</x:v>
      </x:c>
      <x:c r="L2389" s="28" t="n">
        <x:v>0</x:v>
      </x:c>
      <x:c r="M2389" s="28" t="n">
        <x:v>17</x:v>
      </x:c>
      <x:c r="N2389" s="28" t="n">
        <x:v>4</x:v>
      </x:c>
      <x:c r="O2389" s="28" t="n">
        <x:v>0</x:v>
      </x:c>
      <x:c r="P2389" s="28" t="n">
        <x:v>0</x:v>
      </x:c>
      <x:c r="Q2389" s="24" t="n">
        <x:f>IFERROR(J2389/H2389,0)</x:f>
        <x:v>0.6</x:v>
      </x:c>
      <x:c r="R2389" s="24" t="n">
        <x:f>IFERROR(F2389/H2389,0)</x:f>
        <x:v>0.4</x:v>
      </x:c>
      <x:c r="S2389" s="24" t="n">
        <x:f>IFERROR(F2389/J2389,0)</x:f>
        <x:v>0.6666666666666666</x:v>
      </x:c>
      <x:c r="T2389" s="28" t="n">
        <x:f>H2389-I2389</x:f>
        <x:v>-31</x:v>
      </x:c>
      <x:c r="U2389" s="24" t="n">
        <x:f>IFERROR(J2389/H2389,0)-IFERROR(K2389/I2389,0)</x:f>
        <x:v>0.15555555555555556</x:v>
      </x:c>
      <x:c r="V2389" s="24" t="n">
        <x:f>IFERROR(F2389/J2389,0)-IFERROR(G2389/K2389,0)</x:f>
        <x:v>0.41666666666666663</x:v>
      </x:c>
      <x:c r="W2389" s="28" t="n">
        <x:f>L2389-M2389</x:f>
        <x:v>-17</x:v>
      </x:c>
      <x:c r="X2389" s="24" t="n">
        <x:f>IFERROR(K2389/I2389,0)</x:f>
        <x:v>0.4444444444444444</x:v>
      </x:c>
      <x:c r="Y2389" s="24" t="n">
        <x:f>IFERROR(G2389/I2389,0)</x:f>
        <x:v>0.1111111111111111</x:v>
      </x:c>
      <x:c r="Z2389" s="24" t="n">
        <x:f>IFERROR(G2389/K2389,0)</x:f>
        <x:v>0.25</x:v>
      </x:c>
      <x:c r="AA2389" s="24" t="n">
        <x:f>IFERROR(F2389/H2389,0)-IFERROR(G2389/I2389,0)</x:f>
        <x:v>0.2888888888888889</x:v>
      </x:c>
      <x:c r="AB2389" s="28" t="n">
        <x:f>J2389-K2389</x:f>
        <x:v>-13</x:v>
      </x:c>
      <x:c r="AC2389" s="32" t="n">
        <x:f>F2389-G2389</x:f>
        <x:v>-2</x:v>
      </x:c>
    </x:row>
    <x:row r="2390">
      <x:c r="A2390" s="4" t="str">
        <x:v>2024-25</x:v>
      </x:c>
      <x:c r="B2390" s="20" t="n">
        <x:v>45563</x:v>
      </x:c>
      <x:c r="C2390" s="4" t="str">
        <x:v>Liverpool</x:v>
      </x:c>
      <x:c r="D2390" s="4" t="str">
        <x:v>Wolves</x:v>
      </x:c>
      <x:c r="E2390" s="4" t="str">
        <x:v>Away</x:v>
      </x:c>
      <x:c r="F2390" s="28" t="n">
        <x:v>2</x:v>
      </x:c>
      <x:c r="G2390" s="28" t="n">
        <x:v>1</x:v>
      </x:c>
      <x:c r="H2390" s="28" t="n">
        <x:v>10</x:v>
      </x:c>
      <x:c r="I2390" s="28" t="n">
        <x:v>8</x:v>
      </x:c>
      <x:c r="J2390" s="28" t="n">
        <x:v>6</x:v>
      </x:c>
      <x:c r="K2390" s="28" t="n">
        <x:v>3</x:v>
      </x:c>
      <x:c r="L2390" s="28" t="n">
        <x:v>10</x:v>
      </x:c>
      <x:c r="M2390" s="28" t="n">
        <x:v>2</x:v>
      </x:c>
      <x:c r="N2390" s="28" t="n">
        <x:v>3</x:v>
      </x:c>
      <x:c r="O2390" s="28" t="n">
        <x:v>0</x:v>
      </x:c>
      <x:c r="P2390" s="28" t="n">
        <x:v>3</x:v>
      </x:c>
      <x:c r="Q2390" s="24" t="n">
        <x:f>IFERROR(J2390/H2390,0)</x:f>
        <x:v>0.6</x:v>
      </x:c>
      <x:c r="R2390" s="24" t="n">
        <x:f>IFERROR(F2390/H2390,0)</x:f>
        <x:v>0.2</x:v>
      </x:c>
      <x:c r="S2390" s="24" t="n">
        <x:f>IFERROR(F2390/J2390,0)</x:f>
        <x:v>0.3333333333333333</x:v>
      </x:c>
      <x:c r="T2390" s="28" t="n">
        <x:f>H2390-I2390</x:f>
        <x:v>2</x:v>
      </x:c>
      <x:c r="U2390" s="24" t="n">
        <x:f>IFERROR(J2390/H2390,0)-IFERROR(K2390/I2390,0)</x:f>
        <x:v>0.22499999999999998</x:v>
      </x:c>
      <x:c r="V2390" s="24" t="n">
        <x:f>IFERROR(F2390/J2390,0)-IFERROR(G2390/K2390,0)</x:f>
        <x:v>0</x:v>
      </x:c>
      <x:c r="W2390" s="28" t="n">
        <x:f>L2390-M2390</x:f>
        <x:v>8</x:v>
      </x:c>
      <x:c r="X2390" s="24" t="n">
        <x:f>IFERROR(K2390/I2390,0)</x:f>
        <x:v>0.375</x:v>
      </x:c>
      <x:c r="Y2390" s="24" t="n">
        <x:f>IFERROR(G2390/I2390,0)</x:f>
        <x:v>0.125</x:v>
      </x:c>
      <x:c r="Z2390" s="24" t="n">
        <x:f>IFERROR(G2390/K2390,0)</x:f>
        <x:v>0.3333333333333333</x:v>
      </x:c>
      <x:c r="AA2390" s="24" t="n">
        <x:f>IFERROR(F2390/H2390,0)-IFERROR(G2390/I2390,0)</x:f>
        <x:v>0.07500000000000001</x:v>
      </x:c>
      <x:c r="AB2390" s="28" t="n">
        <x:f>J2390-K2390</x:f>
        <x:v>3</x:v>
      </x:c>
      <x:c r="AC2390" s="32" t="n">
        <x:f>F2390-G2390</x:f>
        <x:v>1</x:v>
      </x:c>
    </x:row>
    <x:row r="2391">
      <x:c r="A2391" s="4" t="str">
        <x:v>2024-25</x:v>
      </x:c>
      <x:c r="B2391" s="20" t="n">
        <x:v>45563</x:v>
      </x:c>
      <x:c r="C2391" s="4" t="str">
        <x:v>Man City</x:v>
      </x:c>
      <x:c r="D2391" s="4" t="str">
        <x:v>Newcastle</x:v>
      </x:c>
      <x:c r="E2391" s="4" t="str">
        <x:v>Away</x:v>
      </x:c>
      <x:c r="F2391" s="28" t="n">
        <x:v>1</x:v>
      </x:c>
      <x:c r="G2391" s="28" t="n">
        <x:v>1</x:v>
      </x:c>
      <x:c r="H2391" s="28" t="n">
        <x:v>16</x:v>
      </x:c>
      <x:c r="I2391" s="28" t="n">
        <x:v>11</x:v>
      </x:c>
      <x:c r="J2391" s="28" t="n">
        <x:v>6</x:v>
      </x:c>
      <x:c r="K2391" s="28" t="n">
        <x:v>4</x:v>
      </x:c>
      <x:c r="L2391" s="28" t="n">
        <x:v>6</x:v>
      </x:c>
      <x:c r="M2391" s="28" t="n">
        <x:v>5</x:v>
      </x:c>
      <x:c r="N2391" s="28" t="n">
        <x:v>4</x:v>
      </x:c>
      <x:c r="O2391" s="28" t="n">
        <x:v>0</x:v>
      </x:c>
      <x:c r="P2391" s="28" t="n">
        <x:v>1</x:v>
      </x:c>
      <x:c r="Q2391" s="24" t="n">
        <x:f>IFERROR(J2391/H2391,0)</x:f>
        <x:v>0.375</x:v>
      </x:c>
      <x:c r="R2391" s="24" t="n">
        <x:f>IFERROR(F2391/H2391,0)</x:f>
        <x:v>0.0625</x:v>
      </x:c>
      <x:c r="S2391" s="24" t="n">
        <x:f>IFERROR(F2391/J2391,0)</x:f>
        <x:v>0.16666666666666666</x:v>
      </x:c>
      <x:c r="T2391" s="28" t="n">
        <x:f>H2391-I2391</x:f>
        <x:v>5</x:v>
      </x:c>
      <x:c r="U2391" s="24" t="n">
        <x:f>IFERROR(J2391/H2391,0)-IFERROR(K2391/I2391,0)</x:f>
        <x:v>0.011363636363636354</x:v>
      </x:c>
      <x:c r="V2391" s="24" t="n">
        <x:f>IFERROR(F2391/J2391,0)-IFERROR(G2391/K2391,0)</x:f>
        <x:v>-0.08333333333333334</x:v>
      </x:c>
      <x:c r="W2391" s="28" t="n">
        <x:f>L2391-M2391</x:f>
        <x:v>1</x:v>
      </x:c>
      <x:c r="X2391" s="24" t="n">
        <x:f>IFERROR(K2391/I2391,0)</x:f>
        <x:v>0.36363636363636365</x:v>
      </x:c>
      <x:c r="Y2391" s="24" t="n">
        <x:f>IFERROR(G2391/I2391,0)</x:f>
        <x:v>0.09090909090909091</x:v>
      </x:c>
      <x:c r="Z2391" s="24" t="n">
        <x:f>IFERROR(G2391/K2391,0)</x:f>
        <x:v>0.25</x:v>
      </x:c>
      <x:c r="AA2391" s="24" t="n">
        <x:f>IFERROR(F2391/H2391,0)-IFERROR(G2391/I2391,0)</x:f>
        <x:v>-0.02840909090909091</x:v>
      </x:c>
      <x:c r="AB2391" s="28" t="n">
        <x:f>J2391-K2391</x:f>
        <x:v>2</x:v>
      </x:c>
      <x:c r="AC2391" s="32" t="n">
        <x:f>F2391-G2391</x:f>
        <x:v>0</x:v>
      </x:c>
    </x:row>
    <x:row r="2392">
      <x:c r="A2392" s="4" t="str">
        <x:v>2024-25</x:v>
      </x:c>
      <x:c r="B2392" s="20" t="n">
        <x:v>45563</x:v>
      </x:c>
      <x:c r="C2392" s="4" t="str">
        <x:v>Newcastle</x:v>
      </x:c>
      <x:c r="D2392" s="4" t="str">
        <x:v>Man City</x:v>
      </x:c>
      <x:c r="E2392" s="4" t="str">
        <x:v>Home</x:v>
      </x:c>
      <x:c r="F2392" s="28" t="n">
        <x:v>1</x:v>
      </x:c>
      <x:c r="G2392" s="28" t="n">
        <x:v>1</x:v>
      </x:c>
      <x:c r="H2392" s="28" t="n">
        <x:v>11</x:v>
      </x:c>
      <x:c r="I2392" s="28" t="n">
        <x:v>16</x:v>
      </x:c>
      <x:c r="J2392" s="28" t="n">
        <x:v>4</x:v>
      </x:c>
      <x:c r="K2392" s="28" t="n">
        <x:v>6</x:v>
      </x:c>
      <x:c r="L2392" s="28" t="n">
        <x:v>5</x:v>
      </x:c>
      <x:c r="M2392" s="28" t="n">
        <x:v>6</x:v>
      </x:c>
      <x:c r="N2392" s="28" t="n">
        <x:v>4</x:v>
      </x:c>
      <x:c r="O2392" s="28" t="n">
        <x:v>0</x:v>
      </x:c>
      <x:c r="P2392" s="28" t="n">
        <x:v>1</x:v>
      </x:c>
      <x:c r="Q2392" s="24" t="n">
        <x:f>IFERROR(J2392/H2392,0)</x:f>
        <x:v>0.36363636363636365</x:v>
      </x:c>
      <x:c r="R2392" s="24" t="n">
        <x:f>IFERROR(F2392/H2392,0)</x:f>
        <x:v>0.09090909090909091</x:v>
      </x:c>
      <x:c r="S2392" s="24" t="n">
        <x:f>IFERROR(F2392/J2392,0)</x:f>
        <x:v>0.25</x:v>
      </x:c>
      <x:c r="T2392" s="28" t="n">
        <x:f>H2392-I2392</x:f>
        <x:v>-5</x:v>
      </x:c>
      <x:c r="U2392" s="24" t="n">
        <x:f>IFERROR(J2392/H2392,0)-IFERROR(K2392/I2392,0)</x:f>
        <x:v>-0.011363636363636354</x:v>
      </x:c>
      <x:c r="V2392" s="24" t="n">
        <x:f>IFERROR(F2392/J2392,0)-IFERROR(G2392/K2392,0)</x:f>
        <x:v>0.08333333333333334</x:v>
      </x:c>
      <x:c r="W2392" s="28" t="n">
        <x:f>L2392-M2392</x:f>
        <x:v>-1</x:v>
      </x:c>
      <x:c r="X2392" s="24" t="n">
        <x:f>IFERROR(K2392/I2392,0)</x:f>
        <x:v>0.375</x:v>
      </x:c>
      <x:c r="Y2392" s="24" t="n">
        <x:f>IFERROR(G2392/I2392,0)</x:f>
        <x:v>0.0625</x:v>
      </x:c>
      <x:c r="Z2392" s="24" t="n">
        <x:f>IFERROR(G2392/K2392,0)</x:f>
        <x:v>0.16666666666666666</x:v>
      </x:c>
      <x:c r="AA2392" s="24" t="n">
        <x:f>IFERROR(F2392/H2392,0)-IFERROR(G2392/I2392,0)</x:f>
        <x:v>0.02840909090909091</x:v>
      </x:c>
      <x:c r="AB2392" s="28" t="n">
        <x:f>J2392-K2392</x:f>
        <x:v>-2</x:v>
      </x:c>
      <x:c r="AC2392" s="32" t="n">
        <x:f>F2392-G2392</x:f>
        <x:v>0</x:v>
      </x:c>
    </x:row>
    <x:row r="2393">
      <x:c r="A2393" s="4" t="str">
        <x:v>2024-25</x:v>
      </x:c>
      <x:c r="B2393" s="20" t="n">
        <x:v>45563</x:v>
      </x:c>
      <x:c r="C2393" s="4" t="str">
        <x:v>Nott'm Forest</x:v>
      </x:c>
      <x:c r="D2393" s="4" t="str">
        <x:v>Fulham</x:v>
      </x:c>
      <x:c r="E2393" s="4" t="str">
        <x:v>Home</x:v>
      </x:c>
      <x:c r="F2393" s="28" t="n">
        <x:v>0</x:v>
      </x:c>
      <x:c r="G2393" s="28" t="n">
        <x:v>1</x:v>
      </x:c>
      <x:c r="H2393" s="28" t="n">
        <x:v>11</x:v>
      </x:c>
      <x:c r="I2393" s="28" t="n">
        <x:v>14</x:v>
      </x:c>
      <x:c r="J2393" s="28" t="n">
        <x:v>1</x:v>
      </x:c>
      <x:c r="K2393" s="28" t="n">
        <x:v>2</x:v>
      </x:c>
      <x:c r="L2393" s="28" t="n">
        <x:v>6</x:v>
      </x:c>
      <x:c r="M2393" s="28" t="n">
        <x:v>5</x:v>
      </x:c>
      <x:c r="N2393" s="28" t="n">
        <x:v>2</x:v>
      </x:c>
      <x:c r="O2393" s="28" t="n">
        <x:v>0</x:v>
      </x:c>
      <x:c r="P2393" s="28" t="n">
        <x:v>0</x:v>
      </x:c>
      <x:c r="Q2393" s="24" t="n">
        <x:f>IFERROR(J2393/H2393,0)</x:f>
        <x:v>0.09090909090909091</x:v>
      </x:c>
      <x:c r="R2393" s="24" t="n">
        <x:f>IFERROR(F2393/H2393,0)</x:f>
        <x:v>0</x:v>
      </x:c>
      <x:c r="S2393" s="24" t="n">
        <x:f>IFERROR(F2393/J2393,0)</x:f>
        <x:v>0</x:v>
      </x:c>
      <x:c r="T2393" s="28" t="n">
        <x:f>H2393-I2393</x:f>
        <x:v>-3</x:v>
      </x:c>
      <x:c r="U2393" s="24" t="n">
        <x:f>IFERROR(J2393/H2393,0)-IFERROR(K2393/I2393,0)</x:f>
        <x:v>-0.05194805194805194</x:v>
      </x:c>
      <x:c r="V2393" s="24" t="n">
        <x:f>IFERROR(F2393/J2393,0)-IFERROR(G2393/K2393,0)</x:f>
        <x:v>-0.5</x:v>
      </x:c>
      <x:c r="W2393" s="28" t="n">
        <x:f>L2393-M2393</x:f>
        <x:v>1</x:v>
      </x:c>
      <x:c r="X2393" s="24" t="n">
        <x:f>IFERROR(K2393/I2393,0)</x:f>
        <x:v>0.14285714285714285</x:v>
      </x:c>
      <x:c r="Y2393" s="24" t="n">
        <x:f>IFERROR(G2393/I2393,0)</x:f>
        <x:v>0.07142857142857142</x:v>
      </x:c>
      <x:c r="Z2393" s="24" t="n">
        <x:f>IFERROR(G2393/K2393,0)</x:f>
        <x:v>0.5</x:v>
      </x:c>
      <x:c r="AA2393" s="24" t="n">
        <x:f>IFERROR(F2393/H2393,0)-IFERROR(G2393/I2393,0)</x:f>
        <x:v>-0.07142857142857142</x:v>
      </x:c>
      <x:c r="AB2393" s="28" t="n">
        <x:f>J2393-K2393</x:f>
        <x:v>-1</x:v>
      </x:c>
      <x:c r="AC2393" s="32" t="n">
        <x:f>F2393-G2393</x:f>
        <x:v>-1</x:v>
      </x:c>
    </x:row>
    <x:row r="2394">
      <x:c r="A2394" s="4" t="str">
        <x:v>2024-25</x:v>
      </x:c>
      <x:c r="B2394" s="20" t="n">
        <x:v>45563</x:v>
      </x:c>
      <x:c r="C2394" s="4" t="str">
        <x:v>West Ham</x:v>
      </x:c>
      <x:c r="D2394" s="4" t="str">
        <x:v>Brentford</x:v>
      </x:c>
      <x:c r="E2394" s="4" t="str">
        <x:v>Away</x:v>
      </x:c>
      <x:c r="F2394" s="28" t="n">
        <x:v>1</x:v>
      </x:c>
      <x:c r="G2394" s="28" t="n">
        <x:v>1</x:v>
      </x:c>
      <x:c r="H2394" s="28" t="n">
        <x:v>19</x:v>
      </x:c>
      <x:c r="I2394" s="28" t="n">
        <x:v>8</x:v>
      </x:c>
      <x:c r="J2394" s="28" t="n">
        <x:v>3</x:v>
      </x:c>
      <x:c r="K2394" s="28" t="n">
        <x:v>3</x:v>
      </x:c>
      <x:c r="L2394" s="28" t="n">
        <x:v>7</x:v>
      </x:c>
      <x:c r="M2394" s="28" t="n">
        <x:v>7</x:v>
      </x:c>
      <x:c r="N2394" s="28" t="n">
        <x:v>3</x:v>
      </x:c>
      <x:c r="O2394" s="28" t="n">
        <x:v>0</x:v>
      </x:c>
      <x:c r="P2394" s="28" t="n">
        <x:v>1</x:v>
      </x:c>
      <x:c r="Q2394" s="24" t="n">
        <x:f>IFERROR(J2394/H2394,0)</x:f>
        <x:v>0.15789473684210525</x:v>
      </x:c>
      <x:c r="R2394" s="24" t="n">
        <x:f>IFERROR(F2394/H2394,0)</x:f>
        <x:v>0.05263157894736842</x:v>
      </x:c>
      <x:c r="S2394" s="24" t="n">
        <x:f>IFERROR(F2394/J2394,0)</x:f>
        <x:v>0.3333333333333333</x:v>
      </x:c>
      <x:c r="T2394" s="28" t="n">
        <x:f>H2394-I2394</x:f>
        <x:v>11</x:v>
      </x:c>
      <x:c r="U2394" s="24" t="n">
        <x:f>IFERROR(J2394/H2394,0)-IFERROR(K2394/I2394,0)</x:f>
        <x:v>-0.21710526315789475</x:v>
      </x:c>
      <x:c r="V2394" s="24" t="n">
        <x:f>IFERROR(F2394/J2394,0)-IFERROR(G2394/K2394,0)</x:f>
        <x:v>0</x:v>
      </x:c>
      <x:c r="W2394" s="28" t="n">
        <x:f>L2394-M2394</x:f>
        <x:v>0</x:v>
      </x:c>
      <x:c r="X2394" s="24" t="n">
        <x:f>IFERROR(K2394/I2394,0)</x:f>
        <x:v>0.375</x:v>
      </x:c>
      <x:c r="Y2394" s="24" t="n">
        <x:f>IFERROR(G2394/I2394,0)</x:f>
        <x:v>0.125</x:v>
      </x:c>
      <x:c r="Z2394" s="24" t="n">
        <x:f>IFERROR(G2394/K2394,0)</x:f>
        <x:v>0.3333333333333333</x:v>
      </x:c>
      <x:c r="AA2394" s="24" t="n">
        <x:f>IFERROR(F2394/H2394,0)-IFERROR(G2394/I2394,0)</x:f>
        <x:v>-0.07236842105263158</x:v>
      </x:c>
      <x:c r="AB2394" s="28" t="n">
        <x:f>J2394-K2394</x:f>
        <x:v>0</x:v>
      </x:c>
      <x:c r="AC2394" s="32" t="n">
        <x:f>F2394-G2394</x:f>
        <x:v>0</x:v>
      </x:c>
    </x:row>
    <x:row r="2395">
      <x:c r="A2395" s="4" t="str">
        <x:v>2024-25</x:v>
      </x:c>
      <x:c r="B2395" s="20" t="n">
        <x:v>45563</x:v>
      </x:c>
      <x:c r="C2395" s="4" t="str">
        <x:v>Wolves</x:v>
      </x:c>
      <x:c r="D2395" s="4" t="str">
        <x:v>Liverpool</x:v>
      </x:c>
      <x:c r="E2395" s="4" t="str">
        <x:v>Home</x:v>
      </x:c>
      <x:c r="F2395" s="28" t="n">
        <x:v>1</x:v>
      </x:c>
      <x:c r="G2395" s="28" t="n">
        <x:v>2</x:v>
      </x:c>
      <x:c r="H2395" s="28" t="n">
        <x:v>8</x:v>
      </x:c>
      <x:c r="I2395" s="28" t="n">
        <x:v>10</x:v>
      </x:c>
      <x:c r="J2395" s="28" t="n">
        <x:v>3</x:v>
      </x:c>
      <x:c r="K2395" s="28" t="n">
        <x:v>6</x:v>
      </x:c>
      <x:c r="L2395" s="28" t="n">
        <x:v>2</x:v>
      </x:c>
      <x:c r="M2395" s="28" t="n">
        <x:v>10</x:v>
      </x:c>
      <x:c r="N2395" s="28" t="n">
        <x:v>2</x:v>
      </x:c>
      <x:c r="O2395" s="28" t="n">
        <x:v>0</x:v>
      </x:c>
      <x:c r="P2395" s="28" t="n">
        <x:v>0</x:v>
      </x:c>
      <x:c r="Q2395" s="24" t="n">
        <x:f>IFERROR(J2395/H2395,0)</x:f>
        <x:v>0.375</x:v>
      </x:c>
      <x:c r="R2395" s="24" t="n">
        <x:f>IFERROR(F2395/H2395,0)</x:f>
        <x:v>0.125</x:v>
      </x:c>
      <x:c r="S2395" s="24" t="n">
        <x:f>IFERROR(F2395/J2395,0)</x:f>
        <x:v>0.3333333333333333</x:v>
      </x:c>
      <x:c r="T2395" s="28" t="n">
        <x:f>H2395-I2395</x:f>
        <x:v>-2</x:v>
      </x:c>
      <x:c r="U2395" s="24" t="n">
        <x:f>IFERROR(J2395/H2395,0)-IFERROR(K2395/I2395,0)</x:f>
        <x:v>-0.22499999999999998</x:v>
      </x:c>
      <x:c r="V2395" s="24" t="n">
        <x:f>IFERROR(F2395/J2395,0)-IFERROR(G2395/K2395,0)</x:f>
        <x:v>0</x:v>
      </x:c>
      <x:c r="W2395" s="28" t="n">
        <x:f>L2395-M2395</x:f>
        <x:v>-8</x:v>
      </x:c>
      <x:c r="X2395" s="24" t="n">
        <x:f>IFERROR(K2395/I2395,0)</x:f>
        <x:v>0.6</x:v>
      </x:c>
      <x:c r="Y2395" s="24" t="n">
        <x:f>IFERROR(G2395/I2395,0)</x:f>
        <x:v>0.2</x:v>
      </x:c>
      <x:c r="Z2395" s="24" t="n">
        <x:f>IFERROR(G2395/K2395,0)</x:f>
        <x:v>0.3333333333333333</x:v>
      </x:c>
      <x:c r="AA2395" s="24" t="n">
        <x:f>IFERROR(F2395/H2395,0)-IFERROR(G2395/I2395,0)</x:f>
        <x:v>-0.07500000000000001</x:v>
      </x:c>
      <x:c r="AB2395" s="28" t="n">
        <x:f>J2395-K2395</x:f>
        <x:v>-3</x:v>
      </x:c>
      <x:c r="AC2395" s="32" t="n">
        <x:f>F2395-G2395</x:f>
        <x:v>-1</x:v>
      </x:c>
    </x:row>
    <x:row r="2396">
      <x:c r="A2396" s="4" t="str">
        <x:v>2024-25</x:v>
      </x:c>
      <x:c r="B2396" s="20" t="n">
        <x:v>45564</x:v>
      </x:c>
      <x:c r="C2396" s="4" t="str">
        <x:v>Aston Villa</x:v>
      </x:c>
      <x:c r="D2396" s="4" t="str">
        <x:v>Ipswich</x:v>
      </x:c>
      <x:c r="E2396" s="4" t="str">
        <x:v>Away</x:v>
      </x:c>
      <x:c r="F2396" s="28" t="n">
        <x:v>2</x:v>
      </x:c>
      <x:c r="G2396" s="28" t="n">
        <x:v>2</x:v>
      </x:c>
      <x:c r="H2396" s="28" t="n">
        <x:v>7</x:v>
      </x:c>
      <x:c r="I2396" s="28" t="n">
        <x:v>15</x:v>
      </x:c>
      <x:c r="J2396" s="28" t="n">
        <x:v>3</x:v>
      </x:c>
      <x:c r="K2396" s="28" t="n">
        <x:v>5</x:v>
      </x:c>
      <x:c r="L2396" s="28" t="n">
        <x:v>0</x:v>
      </x:c>
      <x:c r="M2396" s="28" t="n">
        <x:v>10</x:v>
      </x:c>
      <x:c r="N2396" s="28" t="n">
        <x:v>1</x:v>
      </x:c>
      <x:c r="O2396" s="28" t="n">
        <x:v>0</x:v>
      </x:c>
      <x:c r="P2396" s="28" t="n">
        <x:v>1</x:v>
      </x:c>
      <x:c r="Q2396" s="24" t="n">
        <x:f>IFERROR(J2396/H2396,0)</x:f>
        <x:v>0.42857142857142855</x:v>
      </x:c>
      <x:c r="R2396" s="24" t="n">
        <x:f>IFERROR(F2396/H2396,0)</x:f>
        <x:v>0.2857142857142857</x:v>
      </x:c>
      <x:c r="S2396" s="24" t="n">
        <x:f>IFERROR(F2396/J2396,0)</x:f>
        <x:v>0.6666666666666666</x:v>
      </x:c>
      <x:c r="T2396" s="28" t="n">
        <x:f>H2396-I2396</x:f>
        <x:v>-8</x:v>
      </x:c>
      <x:c r="U2396" s="24" t="n">
        <x:f>IFERROR(J2396/H2396,0)-IFERROR(K2396/I2396,0)</x:f>
        <x:v>0.09523809523809523</x:v>
      </x:c>
      <x:c r="V2396" s="24" t="n">
        <x:f>IFERROR(F2396/J2396,0)-IFERROR(G2396/K2396,0)</x:f>
        <x:v>0.2666666666666666</x:v>
      </x:c>
      <x:c r="W2396" s="28" t="n">
        <x:f>L2396-M2396</x:f>
        <x:v>-10</x:v>
      </x:c>
      <x:c r="X2396" s="24" t="n">
        <x:f>IFERROR(K2396/I2396,0)</x:f>
        <x:v>0.3333333333333333</x:v>
      </x:c>
      <x:c r="Y2396" s="24" t="n">
        <x:f>IFERROR(G2396/I2396,0)</x:f>
        <x:v>0.13333333333333333</x:v>
      </x:c>
      <x:c r="Z2396" s="24" t="n">
        <x:f>IFERROR(G2396/K2396,0)</x:f>
        <x:v>0.4</x:v>
      </x:c>
      <x:c r="AA2396" s="24" t="n">
        <x:f>IFERROR(F2396/H2396,0)-IFERROR(G2396/I2396,0)</x:f>
        <x:v>0.15238095238095237</x:v>
      </x:c>
      <x:c r="AB2396" s="28" t="n">
        <x:f>J2396-K2396</x:f>
        <x:v>-2</x:v>
      </x:c>
      <x:c r="AC2396" s="32" t="n">
        <x:f>F2396-G2396</x:f>
        <x:v>0</x:v>
      </x:c>
    </x:row>
    <x:row r="2397">
      <x:c r="A2397" s="4" t="str">
        <x:v>2024-25</x:v>
      </x:c>
      <x:c r="B2397" s="20" t="n">
        <x:v>45564</x:v>
      </x:c>
      <x:c r="C2397" s="4" t="str">
        <x:v>Ipswich</x:v>
      </x:c>
      <x:c r="D2397" s="4" t="str">
        <x:v>Aston Villa</x:v>
      </x:c>
      <x:c r="E2397" s="4" t="str">
        <x:v>Home</x:v>
      </x:c>
      <x:c r="F2397" s="28" t="n">
        <x:v>2</x:v>
      </x:c>
      <x:c r="G2397" s="28" t="n">
        <x:v>2</x:v>
      </x:c>
      <x:c r="H2397" s="28" t="n">
        <x:v>15</x:v>
      </x:c>
      <x:c r="I2397" s="28" t="n">
        <x:v>7</x:v>
      </x:c>
      <x:c r="J2397" s="28" t="n">
        <x:v>5</x:v>
      </x:c>
      <x:c r="K2397" s="28" t="n">
        <x:v>3</x:v>
      </x:c>
      <x:c r="L2397" s="28" t="n">
        <x:v>10</x:v>
      </x:c>
      <x:c r="M2397" s="28" t="n">
        <x:v>0</x:v>
      </x:c>
      <x:c r="N2397" s="28" t="n">
        <x:v>4</x:v>
      </x:c>
      <x:c r="O2397" s="28" t="n">
        <x:v>0</x:v>
      </x:c>
      <x:c r="P2397" s="28" t="n">
        <x:v>1</x:v>
      </x:c>
      <x:c r="Q2397" s="24" t="n">
        <x:f>IFERROR(J2397/H2397,0)</x:f>
        <x:v>0.3333333333333333</x:v>
      </x:c>
      <x:c r="R2397" s="24" t="n">
        <x:f>IFERROR(F2397/H2397,0)</x:f>
        <x:v>0.13333333333333333</x:v>
      </x:c>
      <x:c r="S2397" s="24" t="n">
        <x:f>IFERROR(F2397/J2397,0)</x:f>
        <x:v>0.4</x:v>
      </x:c>
      <x:c r="T2397" s="28" t="n">
        <x:f>H2397-I2397</x:f>
        <x:v>8</x:v>
      </x:c>
      <x:c r="U2397" s="24" t="n">
        <x:f>IFERROR(J2397/H2397,0)-IFERROR(K2397/I2397,0)</x:f>
        <x:v>-0.09523809523809523</x:v>
      </x:c>
      <x:c r="V2397" s="24" t="n">
        <x:f>IFERROR(F2397/J2397,0)-IFERROR(G2397/K2397,0)</x:f>
        <x:v>-0.2666666666666666</x:v>
      </x:c>
      <x:c r="W2397" s="28" t="n">
        <x:f>L2397-M2397</x:f>
        <x:v>10</x:v>
      </x:c>
      <x:c r="X2397" s="24" t="n">
        <x:f>IFERROR(K2397/I2397,0)</x:f>
        <x:v>0.42857142857142855</x:v>
      </x:c>
      <x:c r="Y2397" s="24" t="n">
        <x:f>IFERROR(G2397/I2397,0)</x:f>
        <x:v>0.2857142857142857</x:v>
      </x:c>
      <x:c r="Z2397" s="24" t="n">
        <x:f>IFERROR(G2397/K2397,0)</x:f>
        <x:v>0.6666666666666666</x:v>
      </x:c>
      <x:c r="AA2397" s="24" t="n">
        <x:f>IFERROR(F2397/H2397,0)-IFERROR(G2397/I2397,0)</x:f>
        <x:v>-0.15238095238095237</x:v>
      </x:c>
      <x:c r="AB2397" s="28" t="n">
        <x:f>J2397-K2397</x:f>
        <x:v>2</x:v>
      </x:c>
      <x:c r="AC2397" s="32" t="n">
        <x:f>F2397-G2397</x:f>
        <x:v>0</x:v>
      </x:c>
    </x:row>
    <x:row r="2398">
      <x:c r="A2398" s="4" t="str">
        <x:v>2024-25</x:v>
      </x:c>
      <x:c r="B2398" s="20" t="n">
        <x:v>45564</x:v>
      </x:c>
      <x:c r="C2398" s="4" t="str">
        <x:v>Man United</x:v>
      </x:c>
      <x:c r="D2398" s="4" t="str">
        <x:v>Tottenham</x:v>
      </x:c>
      <x:c r="E2398" s="4" t="str">
        <x:v>Home</x:v>
      </x:c>
      <x:c r="F2398" s="28" t="n">
        <x:v>0</x:v>
      </x:c>
      <x:c r="G2398" s="28" t="n">
        <x:v>3</x:v>
      </x:c>
      <x:c r="H2398" s="28" t="n">
        <x:v>11</x:v>
      </x:c>
      <x:c r="I2398" s="28" t="n">
        <x:v>24</x:v>
      </x:c>
      <x:c r="J2398" s="28" t="n">
        <x:v>2</x:v>
      </x:c>
      <x:c r="K2398" s="28" t="n">
        <x:v>10</x:v>
      </x:c>
      <x:c r="L2398" s="28" t="n">
        <x:v>5</x:v>
      </x:c>
      <x:c r="M2398" s="28" t="n">
        <x:v>3</x:v>
      </x:c>
      <x:c r="N2398" s="28" t="n">
        <x:v>5</x:v>
      </x:c>
      <x:c r="O2398" s="28" t="n">
        <x:v>1</x:v>
      </x:c>
      <x:c r="P2398" s="28" t="n">
        <x:v>0</x:v>
      </x:c>
      <x:c r="Q2398" s="24" t="n">
        <x:f>IFERROR(J2398/H2398,0)</x:f>
        <x:v>0.18181818181818182</x:v>
      </x:c>
      <x:c r="R2398" s="24" t="n">
        <x:f>IFERROR(F2398/H2398,0)</x:f>
        <x:v>0</x:v>
      </x:c>
      <x:c r="S2398" s="24" t="n">
        <x:f>IFERROR(F2398/J2398,0)</x:f>
        <x:v>0</x:v>
      </x:c>
      <x:c r="T2398" s="28" t="n">
        <x:f>H2398-I2398</x:f>
        <x:v>-13</x:v>
      </x:c>
      <x:c r="U2398" s="24" t="n">
        <x:f>IFERROR(J2398/H2398,0)-IFERROR(K2398/I2398,0)</x:f>
        <x:v>-0.23484848484848486</x:v>
      </x:c>
      <x:c r="V2398" s="24" t="n">
        <x:f>IFERROR(F2398/J2398,0)-IFERROR(G2398/K2398,0)</x:f>
        <x:v>-0.3</x:v>
      </x:c>
      <x:c r="W2398" s="28" t="n">
        <x:f>L2398-M2398</x:f>
        <x:v>2</x:v>
      </x:c>
      <x:c r="X2398" s="24" t="n">
        <x:f>IFERROR(K2398/I2398,0)</x:f>
        <x:v>0.4166666666666667</x:v>
      </x:c>
      <x:c r="Y2398" s="24" t="n">
        <x:f>IFERROR(G2398/I2398,0)</x:f>
        <x:v>0.125</x:v>
      </x:c>
      <x:c r="Z2398" s="24" t="n">
        <x:f>IFERROR(G2398/K2398,0)</x:f>
        <x:v>0.3</x:v>
      </x:c>
      <x:c r="AA2398" s="24" t="n">
        <x:f>IFERROR(F2398/H2398,0)-IFERROR(G2398/I2398,0)</x:f>
        <x:v>-0.125</x:v>
      </x:c>
      <x:c r="AB2398" s="28" t="n">
        <x:f>J2398-K2398</x:f>
        <x:v>-8</x:v>
      </x:c>
      <x:c r="AC2398" s="32" t="n">
        <x:f>F2398-G2398</x:f>
        <x:v>-3</x:v>
      </x:c>
    </x:row>
    <x:row r="2399">
      <x:c r="A2399" s="4" t="str">
        <x:v>2024-25</x:v>
      </x:c>
      <x:c r="B2399" s="20" t="n">
        <x:v>45564</x:v>
      </x:c>
      <x:c r="C2399" s="4" t="str">
        <x:v>Tottenham</x:v>
      </x:c>
      <x:c r="D2399" s="4" t="str">
        <x:v>Man United</x:v>
      </x:c>
      <x:c r="E2399" s="4" t="str">
        <x:v>Away</x:v>
      </x:c>
      <x:c r="F2399" s="28" t="n">
        <x:v>3</x:v>
      </x:c>
      <x:c r="G2399" s="28" t="n">
        <x:v>0</x:v>
      </x:c>
      <x:c r="H2399" s="28" t="n">
        <x:v>24</x:v>
      </x:c>
      <x:c r="I2399" s="28" t="n">
        <x:v>11</x:v>
      </x:c>
      <x:c r="J2399" s="28" t="n">
        <x:v>10</x:v>
      </x:c>
      <x:c r="K2399" s="28" t="n">
        <x:v>2</x:v>
      </x:c>
      <x:c r="L2399" s="28" t="n">
        <x:v>3</x:v>
      </x:c>
      <x:c r="M2399" s="28" t="n">
        <x:v>5</x:v>
      </x:c>
      <x:c r="N2399" s="28" t="n">
        <x:v>3</x:v>
      </x:c>
      <x:c r="O2399" s="28" t="n">
        <x:v>0</x:v>
      </x:c>
      <x:c r="P2399" s="28" t="n">
        <x:v>3</x:v>
      </x:c>
      <x:c r="Q2399" s="24" t="n">
        <x:f>IFERROR(J2399/H2399,0)</x:f>
        <x:v>0.4166666666666667</x:v>
      </x:c>
      <x:c r="R2399" s="24" t="n">
        <x:f>IFERROR(F2399/H2399,0)</x:f>
        <x:v>0.125</x:v>
      </x:c>
      <x:c r="S2399" s="24" t="n">
        <x:f>IFERROR(F2399/J2399,0)</x:f>
        <x:v>0.3</x:v>
      </x:c>
      <x:c r="T2399" s="28" t="n">
        <x:f>H2399-I2399</x:f>
        <x:v>13</x:v>
      </x:c>
      <x:c r="U2399" s="24" t="n">
        <x:f>IFERROR(J2399/H2399,0)-IFERROR(K2399/I2399,0)</x:f>
        <x:v>0.23484848484848486</x:v>
      </x:c>
      <x:c r="V2399" s="24" t="n">
        <x:f>IFERROR(F2399/J2399,0)-IFERROR(G2399/K2399,0)</x:f>
        <x:v>0.3</x:v>
      </x:c>
      <x:c r="W2399" s="28" t="n">
        <x:f>L2399-M2399</x:f>
        <x:v>-2</x:v>
      </x:c>
      <x:c r="X2399" s="24" t="n">
        <x:f>IFERROR(K2399/I2399,0)</x:f>
        <x:v>0.18181818181818182</x:v>
      </x:c>
      <x:c r="Y2399" s="24" t="n">
        <x:f>IFERROR(G2399/I2399,0)</x:f>
        <x:v>0</x:v>
      </x:c>
      <x:c r="Z2399" s="24" t="n">
        <x:f>IFERROR(G2399/K2399,0)</x:f>
        <x:v>0</x:v>
      </x:c>
      <x:c r="AA2399" s="24" t="n">
        <x:f>IFERROR(F2399/H2399,0)-IFERROR(G2399/I2399,0)</x:f>
        <x:v>0.125</x:v>
      </x:c>
      <x:c r="AB2399" s="28" t="n">
        <x:f>J2399-K2399</x:f>
        <x:v>8</x:v>
      </x:c>
      <x:c r="AC2399" s="32" t="n">
        <x:f>F2399-G2399</x:f>
        <x:v>3</x:v>
      </x:c>
    </x:row>
    <x:row r="2400">
      <x:c r="A2400" s="4" t="str">
        <x:v>2024-25</x:v>
      </x:c>
      <x:c r="B2400" s="20" t="n">
        <x:v>45565</x:v>
      </x:c>
      <x:c r="C2400" s="4" t="str">
        <x:v>Bournemouth</x:v>
      </x:c>
      <x:c r="D2400" s="4" t="str">
        <x:v>Southampton</x:v>
      </x:c>
      <x:c r="E2400" s="4" t="str">
        <x:v>Home</x:v>
      </x:c>
      <x:c r="F2400" s="28" t="n">
        <x:v>3</x:v>
      </x:c>
      <x:c r="G2400" s="28" t="n">
        <x:v>1</x:v>
      </x:c>
      <x:c r="H2400" s="28" t="n">
        <x:v>14</x:v>
      </x:c>
      <x:c r="I2400" s="28" t="n">
        <x:v>9</x:v>
      </x:c>
      <x:c r="J2400" s="28" t="n">
        <x:v>6</x:v>
      </x:c>
      <x:c r="K2400" s="28" t="n">
        <x:v>3</x:v>
      </x:c>
      <x:c r="L2400" s="28" t="n">
        <x:v>7</x:v>
      </x:c>
      <x:c r="M2400" s="28" t="n">
        <x:v>4</x:v>
      </x:c>
      <x:c r="N2400" s="28" t="n">
        <x:v>2</x:v>
      </x:c>
      <x:c r="O2400" s="28" t="n">
        <x:v>0</x:v>
      </x:c>
      <x:c r="P2400" s="28" t="n">
        <x:v>3</x:v>
      </x:c>
      <x:c r="Q2400" s="24" t="n">
        <x:f>IFERROR(J2400/H2400,0)</x:f>
        <x:v>0.42857142857142855</x:v>
      </x:c>
      <x:c r="R2400" s="24" t="n">
        <x:f>IFERROR(F2400/H2400,0)</x:f>
        <x:v>0.21428571428571427</x:v>
      </x:c>
      <x:c r="S2400" s="24" t="n">
        <x:f>IFERROR(F2400/J2400,0)</x:f>
        <x:v>0.5</x:v>
      </x:c>
      <x:c r="T2400" s="28" t="n">
        <x:f>H2400-I2400</x:f>
        <x:v>5</x:v>
      </x:c>
      <x:c r="U2400" s="24" t="n">
        <x:f>IFERROR(J2400/H2400,0)-IFERROR(K2400/I2400,0)</x:f>
        <x:v>0.09523809523809523</x:v>
      </x:c>
      <x:c r="V2400" s="24" t="n">
        <x:f>IFERROR(F2400/J2400,0)-IFERROR(G2400/K2400,0)</x:f>
        <x:v>0.16666666666666669</x:v>
      </x:c>
      <x:c r="W2400" s="28" t="n">
        <x:f>L2400-M2400</x:f>
        <x:v>3</x:v>
      </x:c>
      <x:c r="X2400" s="24" t="n">
        <x:f>IFERROR(K2400/I2400,0)</x:f>
        <x:v>0.3333333333333333</x:v>
      </x:c>
      <x:c r="Y2400" s="24" t="n">
        <x:f>IFERROR(G2400/I2400,0)</x:f>
        <x:v>0.1111111111111111</x:v>
      </x:c>
      <x:c r="Z2400" s="24" t="n">
        <x:f>IFERROR(G2400/K2400,0)</x:f>
        <x:v>0.3333333333333333</x:v>
      </x:c>
      <x:c r="AA2400" s="24" t="n">
        <x:f>IFERROR(F2400/H2400,0)-IFERROR(G2400/I2400,0)</x:f>
        <x:v>0.10317460317460317</x:v>
      </x:c>
      <x:c r="AB2400" s="28" t="n">
        <x:f>J2400-K2400</x:f>
        <x:v>3</x:v>
      </x:c>
      <x:c r="AC2400" s="32" t="n">
        <x:f>F2400-G2400</x:f>
        <x:v>2</x:v>
      </x:c>
    </x:row>
    <x:row r="2401">
      <x:c r="A2401" s="4" t="str">
        <x:v>2024-25</x:v>
      </x:c>
      <x:c r="B2401" s="20" t="n">
        <x:v>45565</x:v>
      </x:c>
      <x:c r="C2401" s="4" t="str">
        <x:v>Southampton</x:v>
      </x:c>
      <x:c r="D2401" s="4" t="str">
        <x:v>Bournemouth</x:v>
      </x:c>
      <x:c r="E2401" s="4" t="str">
        <x:v>Away</x:v>
      </x:c>
      <x:c r="F2401" s="28" t="n">
        <x:v>1</x:v>
      </x:c>
      <x:c r="G2401" s="28" t="n">
        <x:v>3</x:v>
      </x:c>
      <x:c r="H2401" s="28" t="n">
        <x:v>9</x:v>
      </x:c>
      <x:c r="I2401" s="28" t="n">
        <x:v>14</x:v>
      </x:c>
      <x:c r="J2401" s="28" t="n">
        <x:v>3</x:v>
      </x:c>
      <x:c r="K2401" s="28" t="n">
        <x:v>6</x:v>
      </x:c>
      <x:c r="L2401" s="28" t="n">
        <x:v>4</x:v>
      </x:c>
      <x:c r="M2401" s="28" t="n">
        <x:v>7</x:v>
      </x:c>
      <x:c r="N2401" s="28" t="n">
        <x:v>5</x:v>
      </x:c>
      <x:c r="O2401" s="28" t="n">
        <x:v>0</x:v>
      </x:c>
      <x:c r="P2401" s="28" t="n">
        <x:v>0</x:v>
      </x:c>
      <x:c r="Q2401" s="24" t="n">
        <x:f>IFERROR(J2401/H2401,0)</x:f>
        <x:v>0.3333333333333333</x:v>
      </x:c>
      <x:c r="R2401" s="24" t="n">
        <x:f>IFERROR(F2401/H2401,0)</x:f>
        <x:v>0.1111111111111111</x:v>
      </x:c>
      <x:c r="S2401" s="24" t="n">
        <x:f>IFERROR(F2401/J2401,0)</x:f>
        <x:v>0.3333333333333333</x:v>
      </x:c>
      <x:c r="T2401" s="28" t="n">
        <x:f>H2401-I2401</x:f>
        <x:v>-5</x:v>
      </x:c>
      <x:c r="U2401" s="24" t="n">
        <x:f>IFERROR(J2401/H2401,0)-IFERROR(K2401/I2401,0)</x:f>
        <x:v>-0.09523809523809523</x:v>
      </x:c>
      <x:c r="V2401" s="24" t="n">
        <x:f>IFERROR(F2401/J2401,0)-IFERROR(G2401/K2401,0)</x:f>
        <x:v>-0.16666666666666669</x:v>
      </x:c>
      <x:c r="W2401" s="28" t="n">
        <x:f>L2401-M2401</x:f>
        <x:v>-3</x:v>
      </x:c>
      <x:c r="X2401" s="24" t="n">
        <x:f>IFERROR(K2401/I2401,0)</x:f>
        <x:v>0.42857142857142855</x:v>
      </x:c>
      <x:c r="Y2401" s="24" t="n">
        <x:f>IFERROR(G2401/I2401,0)</x:f>
        <x:v>0.21428571428571427</x:v>
      </x:c>
      <x:c r="Z2401" s="24" t="n">
        <x:f>IFERROR(G2401/K2401,0)</x:f>
        <x:v>0.5</x:v>
      </x:c>
      <x:c r="AA2401" s="24" t="n">
        <x:f>IFERROR(F2401/H2401,0)-IFERROR(G2401/I2401,0)</x:f>
        <x:v>-0.10317460317460317</x:v>
      </x:c>
      <x:c r="AB2401" s="28" t="n">
        <x:f>J2401-K2401</x:f>
        <x:v>-3</x:v>
      </x:c>
      <x:c r="AC2401" s="32" t="n">
        <x:f>F2401-G2401</x:f>
        <x:v>-2</x:v>
      </x:c>
    </x:row>
    <x:row r="2402">
      <x:c r="A2402" s="4" t="str">
        <x:v>2024-25</x:v>
      </x:c>
      <x:c r="B2402" s="20" t="n">
        <x:v>45570</x:v>
      </x:c>
      <x:c r="C2402" s="4" t="str">
        <x:v>Arsenal</x:v>
      </x:c>
      <x:c r="D2402" s="4" t="str">
        <x:v>Southampton</x:v>
      </x:c>
      <x:c r="E2402" s="4" t="str">
        <x:v>Home</x:v>
      </x:c>
      <x:c r="F2402" s="28" t="n">
        <x:v>3</x:v>
      </x:c>
      <x:c r="G2402" s="28" t="n">
        <x:v>1</x:v>
      </x:c>
      <x:c r="H2402" s="28" t="n">
        <x:v>29</x:v>
      </x:c>
      <x:c r="I2402" s="28" t="n">
        <x:v>8</x:v>
      </x:c>
      <x:c r="J2402" s="28" t="n">
        <x:v>6</x:v>
      </x:c>
      <x:c r="K2402" s="28" t="n">
        <x:v>2</x:v>
      </x:c>
      <x:c r="L2402" s="28" t="n">
        <x:v>13</x:v>
      </x:c>
      <x:c r="M2402" s="28" t="n">
        <x:v>1</x:v>
      </x:c>
      <x:c r="N2402" s="28" t="n">
        <x:v>0</x:v>
      </x:c>
      <x:c r="O2402" s="28" t="n">
        <x:v>0</x:v>
      </x:c>
      <x:c r="P2402" s="28" t="n">
        <x:v>3</x:v>
      </x:c>
      <x:c r="Q2402" s="24" t="n">
        <x:f>IFERROR(J2402/H2402,0)</x:f>
        <x:v>0.20689655172413793</x:v>
      </x:c>
      <x:c r="R2402" s="24" t="n">
        <x:f>IFERROR(F2402/H2402,0)</x:f>
        <x:v>0.10344827586206896</x:v>
      </x:c>
      <x:c r="S2402" s="24" t="n">
        <x:f>IFERROR(F2402/J2402,0)</x:f>
        <x:v>0.5</x:v>
      </x:c>
      <x:c r="T2402" s="28" t="n">
        <x:f>H2402-I2402</x:f>
        <x:v>21</x:v>
      </x:c>
      <x:c r="U2402" s="24" t="n">
        <x:f>IFERROR(J2402/H2402,0)-IFERROR(K2402/I2402,0)</x:f>
        <x:v>-0.04310344827586207</x:v>
      </x:c>
      <x:c r="V2402" s="24" t="n">
        <x:f>IFERROR(F2402/J2402,0)-IFERROR(G2402/K2402,0)</x:f>
        <x:v>0</x:v>
      </x:c>
      <x:c r="W2402" s="28" t="n">
        <x:f>L2402-M2402</x:f>
        <x:v>12</x:v>
      </x:c>
      <x:c r="X2402" s="24" t="n">
        <x:f>IFERROR(K2402/I2402,0)</x:f>
        <x:v>0.25</x:v>
      </x:c>
      <x:c r="Y2402" s="24" t="n">
        <x:f>IFERROR(G2402/I2402,0)</x:f>
        <x:v>0.125</x:v>
      </x:c>
      <x:c r="Z2402" s="24" t="n">
        <x:f>IFERROR(G2402/K2402,0)</x:f>
        <x:v>0.5</x:v>
      </x:c>
      <x:c r="AA2402" s="24" t="n">
        <x:f>IFERROR(F2402/H2402,0)-IFERROR(G2402/I2402,0)</x:f>
        <x:v>-0.021551724137931036</x:v>
      </x:c>
      <x:c r="AB2402" s="28" t="n">
        <x:f>J2402-K2402</x:f>
        <x:v>4</x:v>
      </x:c>
      <x:c r="AC2402" s="32" t="n">
        <x:f>F2402-G2402</x:f>
        <x:v>2</x:v>
      </x:c>
    </x:row>
    <x:row r="2403">
      <x:c r="A2403" s="4" t="str">
        <x:v>2024-25</x:v>
      </x:c>
      <x:c r="B2403" s="20" t="n">
        <x:v>45570</x:v>
      </x:c>
      <x:c r="C2403" s="4" t="str">
        <x:v>Bournemouth</x:v>
      </x:c>
      <x:c r="D2403" s="4" t="str">
        <x:v>Leicester</x:v>
      </x:c>
      <x:c r="E2403" s="4" t="str">
        <x:v>Away</x:v>
      </x:c>
      <x:c r="F2403" s="28" t="n">
        <x:v>0</x:v>
      </x:c>
      <x:c r="G2403" s="28" t="n">
        <x:v>1</x:v>
      </x:c>
      <x:c r="H2403" s="28" t="n">
        <x:v>17</x:v>
      </x:c>
      <x:c r="I2403" s="28" t="n">
        <x:v>6</x:v>
      </x:c>
      <x:c r="J2403" s="28" t="n">
        <x:v>2</x:v>
      </x:c>
      <x:c r="K2403" s="28" t="n">
        <x:v>2</x:v>
      </x:c>
      <x:c r="L2403" s="28" t="n">
        <x:v>9</x:v>
      </x:c>
      <x:c r="M2403" s="28" t="n">
        <x:v>0</x:v>
      </x:c>
      <x:c r="N2403" s="28" t="n">
        <x:v>1</x:v>
      </x:c>
      <x:c r="O2403" s="28" t="n">
        <x:v>0</x:v>
      </x:c>
      <x:c r="P2403" s="28" t="n">
        <x:v>0</x:v>
      </x:c>
      <x:c r="Q2403" s="24" t="n">
        <x:f>IFERROR(J2403/H2403,0)</x:f>
        <x:v>0.11764705882352941</x:v>
      </x:c>
      <x:c r="R2403" s="24" t="n">
        <x:f>IFERROR(F2403/H2403,0)</x:f>
        <x:v>0</x:v>
      </x:c>
      <x:c r="S2403" s="24" t="n">
        <x:f>IFERROR(F2403/J2403,0)</x:f>
        <x:v>0</x:v>
      </x:c>
      <x:c r="T2403" s="28" t="n">
        <x:f>H2403-I2403</x:f>
        <x:v>11</x:v>
      </x:c>
      <x:c r="U2403" s="24" t="n">
        <x:f>IFERROR(J2403/H2403,0)-IFERROR(K2403/I2403,0)</x:f>
        <x:v>-0.2156862745098039</x:v>
      </x:c>
      <x:c r="V2403" s="24" t="n">
        <x:f>IFERROR(F2403/J2403,0)-IFERROR(G2403/K2403,0)</x:f>
        <x:v>-0.5</x:v>
      </x:c>
      <x:c r="W2403" s="28" t="n">
        <x:f>L2403-M2403</x:f>
        <x:v>9</x:v>
      </x:c>
      <x:c r="X2403" s="24" t="n">
        <x:f>IFERROR(K2403/I2403,0)</x:f>
        <x:v>0.3333333333333333</x:v>
      </x:c>
      <x:c r="Y2403" s="24" t="n">
        <x:f>IFERROR(G2403/I2403,0)</x:f>
        <x:v>0.16666666666666666</x:v>
      </x:c>
      <x:c r="Z2403" s="24" t="n">
        <x:f>IFERROR(G2403/K2403,0)</x:f>
        <x:v>0.5</x:v>
      </x:c>
      <x:c r="AA2403" s="24" t="n">
        <x:f>IFERROR(F2403/H2403,0)-IFERROR(G2403/I2403,0)</x:f>
        <x:v>-0.16666666666666666</x:v>
      </x:c>
      <x:c r="AB2403" s="28" t="n">
        <x:f>J2403-K2403</x:f>
        <x:v>0</x:v>
      </x:c>
      <x:c r="AC2403" s="32" t="n">
        <x:f>F2403-G2403</x:f>
        <x:v>-1</x:v>
      </x:c>
    </x:row>
    <x:row r="2404">
      <x:c r="A2404" s="4" t="str">
        <x:v>2024-25</x:v>
      </x:c>
      <x:c r="B2404" s="20" t="n">
        <x:v>45570</x:v>
      </x:c>
      <x:c r="C2404" s="4" t="str">
        <x:v>Brentford</x:v>
      </x:c>
      <x:c r="D2404" s="4" t="str">
        <x:v>Wolves</x:v>
      </x:c>
      <x:c r="E2404" s="4" t="str">
        <x:v>Home</x:v>
      </x:c>
      <x:c r="F2404" s="28" t="n">
        <x:v>5</x:v>
      </x:c>
      <x:c r="G2404" s="28" t="n">
        <x:v>3</x:v>
      </x:c>
      <x:c r="H2404" s="28" t="n">
        <x:v>19</x:v>
      </x:c>
      <x:c r="I2404" s="28" t="n">
        <x:v>17</x:v>
      </x:c>
      <x:c r="J2404" s="28" t="n">
        <x:v>12</x:v>
      </x:c>
      <x:c r="K2404" s="28" t="n">
        <x:v>6</x:v>
      </x:c>
      <x:c r="L2404" s="28" t="n">
        <x:v>10</x:v>
      </x:c>
      <x:c r="M2404" s="28" t="n">
        <x:v>3</x:v>
      </x:c>
      <x:c r="N2404" s="28" t="n">
        <x:v>2</x:v>
      </x:c>
      <x:c r="O2404" s="28" t="n">
        <x:v>0</x:v>
      </x:c>
      <x:c r="P2404" s="28" t="n">
        <x:v>3</x:v>
      </x:c>
      <x:c r="Q2404" s="24" t="n">
        <x:f>IFERROR(J2404/H2404,0)</x:f>
        <x:v>0.631578947368421</x:v>
      </x:c>
      <x:c r="R2404" s="24" t="n">
        <x:f>IFERROR(F2404/H2404,0)</x:f>
        <x:v>0.2631578947368421</x:v>
      </x:c>
      <x:c r="S2404" s="24" t="n">
        <x:f>IFERROR(F2404/J2404,0)</x:f>
        <x:v>0.4166666666666667</x:v>
      </x:c>
      <x:c r="T2404" s="28" t="n">
        <x:f>H2404-I2404</x:f>
        <x:v>2</x:v>
      </x:c>
      <x:c r="U2404" s="24" t="n">
        <x:f>IFERROR(J2404/H2404,0)-IFERROR(K2404/I2404,0)</x:f>
        <x:v>0.27863777089783276</x:v>
      </x:c>
      <x:c r="V2404" s="24" t="n">
        <x:f>IFERROR(F2404/J2404,0)-IFERROR(G2404/K2404,0)</x:f>
        <x:v>-0.08333333333333331</x:v>
      </x:c>
      <x:c r="W2404" s="28" t="n">
        <x:f>L2404-M2404</x:f>
        <x:v>7</x:v>
      </x:c>
      <x:c r="X2404" s="24" t="n">
        <x:f>IFERROR(K2404/I2404,0)</x:f>
        <x:v>0.35294117647058826</x:v>
      </x:c>
      <x:c r="Y2404" s="24" t="n">
        <x:f>IFERROR(G2404/I2404,0)</x:f>
        <x:v>0.17647058823529413</x:v>
      </x:c>
      <x:c r="Z2404" s="24" t="n">
        <x:f>IFERROR(G2404/K2404,0)</x:f>
        <x:v>0.5</x:v>
      </x:c>
      <x:c r="AA2404" s="24" t="n">
        <x:f>IFERROR(F2404/H2404,0)-IFERROR(G2404/I2404,0)</x:f>
        <x:v>0.08668730650154796</x:v>
      </x:c>
      <x:c r="AB2404" s="28" t="n">
        <x:f>J2404-K2404</x:f>
        <x:v>6</x:v>
      </x:c>
      <x:c r="AC2404" s="32" t="n">
        <x:f>F2404-G2404</x:f>
        <x:v>2</x:v>
      </x:c>
    </x:row>
    <x:row r="2405">
      <x:c r="A2405" s="4" t="str">
        <x:v>2024-25</x:v>
      </x:c>
      <x:c r="B2405" s="20" t="n">
        <x:v>45570</x:v>
      </x:c>
      <x:c r="C2405" s="4" t="str">
        <x:v>Crystal Palace</x:v>
      </x:c>
      <x:c r="D2405" s="4" t="str">
        <x:v>Liverpool</x:v>
      </x:c>
      <x:c r="E2405" s="4" t="str">
        <x:v>Home</x:v>
      </x:c>
      <x:c r="F2405" s="28" t="n">
        <x:v>0</x:v>
      </x:c>
      <x:c r="G2405" s="28" t="n">
        <x:v>1</x:v>
      </x:c>
      <x:c r="H2405" s="28" t="n">
        <x:v>9</x:v>
      </x:c>
      <x:c r="I2405" s="28" t="n">
        <x:v>16</x:v>
      </x:c>
      <x:c r="J2405" s="28" t="n">
        <x:v>5</x:v>
      </x:c>
      <x:c r="K2405" s="28" t="n">
        <x:v>4</x:v>
      </x:c>
      <x:c r="L2405" s="28" t="n">
        <x:v>3</x:v>
      </x:c>
      <x:c r="M2405" s="28" t="n">
        <x:v>8</x:v>
      </x:c>
      <x:c r="N2405" s="28" t="n">
        <x:v>4</x:v>
      </x:c>
      <x:c r="O2405" s="28" t="n">
        <x:v>0</x:v>
      </x:c>
      <x:c r="P2405" s="28" t="n">
        <x:v>0</x:v>
      </x:c>
      <x:c r="Q2405" s="24" t="n">
        <x:f>IFERROR(J2405/H2405,0)</x:f>
        <x:v>0.5555555555555556</x:v>
      </x:c>
      <x:c r="R2405" s="24" t="n">
        <x:f>IFERROR(F2405/H2405,0)</x:f>
        <x:v>0</x:v>
      </x:c>
      <x:c r="S2405" s="24" t="n">
        <x:f>IFERROR(F2405/J2405,0)</x:f>
        <x:v>0</x:v>
      </x:c>
      <x:c r="T2405" s="28" t="n">
        <x:f>H2405-I2405</x:f>
        <x:v>-7</x:v>
      </x:c>
      <x:c r="U2405" s="24" t="n">
        <x:f>IFERROR(J2405/H2405,0)-IFERROR(K2405/I2405,0)</x:f>
        <x:v>0.3055555555555556</x:v>
      </x:c>
      <x:c r="V2405" s="24" t="n">
        <x:f>IFERROR(F2405/J2405,0)-IFERROR(G2405/K2405,0)</x:f>
        <x:v>-0.25</x:v>
      </x:c>
      <x:c r="W2405" s="28" t="n">
        <x:f>L2405-M2405</x:f>
        <x:v>-5</x:v>
      </x:c>
      <x:c r="X2405" s="24" t="n">
        <x:f>IFERROR(K2405/I2405,0)</x:f>
        <x:v>0.25</x:v>
      </x:c>
      <x:c r="Y2405" s="24" t="n">
        <x:f>IFERROR(G2405/I2405,0)</x:f>
        <x:v>0.0625</x:v>
      </x:c>
      <x:c r="Z2405" s="24" t="n">
        <x:f>IFERROR(G2405/K2405,0)</x:f>
        <x:v>0.25</x:v>
      </x:c>
      <x:c r="AA2405" s="24" t="n">
        <x:f>IFERROR(F2405/H2405,0)-IFERROR(G2405/I2405,0)</x:f>
        <x:v>-0.0625</x:v>
      </x:c>
      <x:c r="AB2405" s="28" t="n">
        <x:f>J2405-K2405</x:f>
        <x:v>1</x:v>
      </x:c>
      <x:c r="AC2405" s="32" t="n">
        <x:f>F2405-G2405</x:f>
        <x:v>-1</x:v>
      </x:c>
    </x:row>
    <x:row r="2406">
      <x:c r="A2406" s="4" t="str">
        <x:v>2024-25</x:v>
      </x:c>
      <x:c r="B2406" s="20" t="n">
        <x:v>45570</x:v>
      </x:c>
      <x:c r="C2406" s="4" t="str">
        <x:v>Everton</x:v>
      </x:c>
      <x:c r="D2406" s="4" t="str">
        <x:v>Newcastle</x:v>
      </x:c>
      <x:c r="E2406" s="4" t="str">
        <x:v>Home</x:v>
      </x:c>
      <x:c r="F2406" s="28" t="n">
        <x:v>0</x:v>
      </x:c>
      <x:c r="G2406" s="28" t="n">
        <x:v>0</x:v>
      </x:c>
      <x:c r="H2406" s="28" t="n">
        <x:v>8</x:v>
      </x:c>
      <x:c r="I2406" s="28" t="n">
        <x:v>14</x:v>
      </x:c>
      <x:c r="J2406" s="28" t="n">
        <x:v>2</x:v>
      </x:c>
      <x:c r="K2406" s="28" t="n">
        <x:v>3</x:v>
      </x:c>
      <x:c r="L2406" s="28" t="n">
        <x:v>0</x:v>
      </x:c>
      <x:c r="M2406" s="28" t="n">
        <x:v>10</x:v>
      </x:c>
      <x:c r="N2406" s="28" t="n">
        <x:v>1</x:v>
      </x:c>
      <x:c r="O2406" s="28" t="n">
        <x:v>0</x:v>
      </x:c>
      <x:c r="P2406" s="28" t="n">
        <x:v>1</x:v>
      </x:c>
      <x:c r="Q2406" s="24" t="n">
        <x:f>IFERROR(J2406/H2406,0)</x:f>
        <x:v>0.25</x:v>
      </x:c>
      <x:c r="R2406" s="24" t="n">
        <x:f>IFERROR(F2406/H2406,0)</x:f>
        <x:v>0</x:v>
      </x:c>
      <x:c r="S2406" s="24" t="n">
        <x:f>IFERROR(F2406/J2406,0)</x:f>
        <x:v>0</x:v>
      </x:c>
      <x:c r="T2406" s="28" t="n">
        <x:f>H2406-I2406</x:f>
        <x:v>-6</x:v>
      </x:c>
      <x:c r="U2406" s="24" t="n">
        <x:f>IFERROR(J2406/H2406,0)-IFERROR(K2406/I2406,0)</x:f>
        <x:v>0.035714285714285726</x:v>
      </x:c>
      <x:c r="V2406" s="24" t="n">
        <x:f>IFERROR(F2406/J2406,0)-IFERROR(G2406/K2406,0)</x:f>
        <x:v>0</x:v>
      </x:c>
      <x:c r="W2406" s="28" t="n">
        <x:f>L2406-M2406</x:f>
        <x:v>-10</x:v>
      </x:c>
      <x:c r="X2406" s="24" t="n">
        <x:f>IFERROR(K2406/I2406,0)</x:f>
        <x:v>0.21428571428571427</x:v>
      </x:c>
      <x:c r="Y2406" s="24" t="n">
        <x:f>IFERROR(G2406/I2406,0)</x:f>
        <x:v>0</x:v>
      </x:c>
      <x:c r="Z2406" s="24" t="n">
        <x:f>IFERROR(G2406/K2406,0)</x:f>
        <x:v>0</x:v>
      </x:c>
      <x:c r="AA2406" s="24" t="n">
        <x:f>IFERROR(F2406/H2406,0)-IFERROR(G2406/I2406,0)</x:f>
        <x:v>0</x:v>
      </x:c>
      <x:c r="AB2406" s="28" t="n">
        <x:f>J2406-K2406</x:f>
        <x:v>-1</x:v>
      </x:c>
      <x:c r="AC2406" s="32" t="n">
        <x:f>F2406-G2406</x:f>
        <x:v>0</x:v>
      </x:c>
    </x:row>
    <x:row r="2407">
      <x:c r="A2407" s="4" t="str">
        <x:v>2024-25</x:v>
      </x:c>
      <x:c r="B2407" s="20" t="n">
        <x:v>45570</x:v>
      </x:c>
      <x:c r="C2407" s="4" t="str">
        <x:v>Fulham</x:v>
      </x:c>
      <x:c r="D2407" s="4" t="str">
        <x:v>Man City</x:v>
      </x:c>
      <x:c r="E2407" s="4" t="str">
        <x:v>Away</x:v>
      </x:c>
      <x:c r="F2407" s="28" t="n">
        <x:v>2</x:v>
      </x:c>
      <x:c r="G2407" s="28" t="n">
        <x:v>3</x:v>
      </x:c>
      <x:c r="H2407" s="28" t="n">
        <x:v>11</x:v>
      </x:c>
      <x:c r="I2407" s="28" t="n">
        <x:v>20</x:v>
      </x:c>
      <x:c r="J2407" s="28" t="n">
        <x:v>4</x:v>
      </x:c>
      <x:c r="K2407" s="28" t="n">
        <x:v>7</x:v>
      </x:c>
      <x:c r="L2407" s="28" t="n">
        <x:v>3</x:v>
      </x:c>
      <x:c r="M2407" s="28" t="n">
        <x:v>8</x:v>
      </x:c>
      <x:c r="N2407" s="28" t="n">
        <x:v>1</x:v>
      </x:c>
      <x:c r="O2407" s="28" t="n">
        <x:v>0</x:v>
      </x:c>
      <x:c r="P2407" s="28" t="n">
        <x:v>0</x:v>
      </x:c>
      <x:c r="Q2407" s="24" t="n">
        <x:f>IFERROR(J2407/H2407,0)</x:f>
        <x:v>0.36363636363636365</x:v>
      </x:c>
      <x:c r="R2407" s="24" t="n">
        <x:f>IFERROR(F2407/H2407,0)</x:f>
        <x:v>0.18181818181818182</x:v>
      </x:c>
      <x:c r="S2407" s="24" t="n">
        <x:f>IFERROR(F2407/J2407,0)</x:f>
        <x:v>0.5</x:v>
      </x:c>
      <x:c r="T2407" s="28" t="n">
        <x:f>H2407-I2407</x:f>
        <x:v>-9</x:v>
      </x:c>
      <x:c r="U2407" s="24" t="n">
        <x:f>IFERROR(J2407/H2407,0)-IFERROR(K2407/I2407,0)</x:f>
        <x:v>0.013636363636363669</x:v>
      </x:c>
      <x:c r="V2407" s="24" t="n">
        <x:f>IFERROR(F2407/J2407,0)-IFERROR(G2407/K2407,0)</x:f>
        <x:v>0.07142857142857145</x:v>
      </x:c>
      <x:c r="W2407" s="28" t="n">
        <x:f>L2407-M2407</x:f>
        <x:v>-5</x:v>
      </x:c>
      <x:c r="X2407" s="24" t="n">
        <x:f>IFERROR(K2407/I2407,0)</x:f>
        <x:v>0.35</x:v>
      </x:c>
      <x:c r="Y2407" s="24" t="n">
        <x:f>IFERROR(G2407/I2407,0)</x:f>
        <x:v>0.15</x:v>
      </x:c>
      <x:c r="Z2407" s="24" t="n">
        <x:f>IFERROR(G2407/K2407,0)</x:f>
        <x:v>0.42857142857142855</x:v>
      </x:c>
      <x:c r="AA2407" s="24" t="n">
        <x:f>IFERROR(F2407/H2407,0)-IFERROR(G2407/I2407,0)</x:f>
        <x:v>0.03181818181818183</x:v>
      </x:c>
      <x:c r="AB2407" s="28" t="n">
        <x:f>J2407-K2407</x:f>
        <x:v>-3</x:v>
      </x:c>
      <x:c r="AC2407" s="32" t="n">
        <x:f>F2407-G2407</x:f>
        <x:v>-1</x:v>
      </x:c>
    </x:row>
    <x:row r="2408">
      <x:c r="A2408" s="4" t="str">
        <x:v>2024-25</x:v>
      </x:c>
      <x:c r="B2408" s="20" t="n">
        <x:v>45570</x:v>
      </x:c>
      <x:c r="C2408" s="4" t="str">
        <x:v>Ipswich</x:v>
      </x:c>
      <x:c r="D2408" s="4" t="str">
        <x:v>West Ham</x:v>
      </x:c>
      <x:c r="E2408" s="4" t="str">
        <x:v>Away</x:v>
      </x:c>
      <x:c r="F2408" s="28" t="n">
        <x:v>1</x:v>
      </x:c>
      <x:c r="G2408" s="28" t="n">
        <x:v>4</x:v>
      </x:c>
      <x:c r="H2408" s="28" t="n">
        <x:v>9</x:v>
      </x:c>
      <x:c r="I2408" s="28" t="n">
        <x:v>23</x:v>
      </x:c>
      <x:c r="J2408" s="28" t="n">
        <x:v>2</x:v>
      </x:c>
      <x:c r="K2408" s="28" t="n">
        <x:v>13</x:v>
      </x:c>
      <x:c r="L2408" s="28" t="n">
        <x:v>5</x:v>
      </x:c>
      <x:c r="M2408" s="28" t="n">
        <x:v>5</x:v>
      </x:c>
      <x:c r="N2408" s="28" t="n">
        <x:v>1</x:v>
      </x:c>
      <x:c r="O2408" s="28" t="n">
        <x:v>0</x:v>
      </x:c>
      <x:c r="P2408" s="28" t="n">
        <x:v>0</x:v>
      </x:c>
      <x:c r="Q2408" s="24" t="n">
        <x:f>IFERROR(J2408/H2408,0)</x:f>
        <x:v>0.2222222222222222</x:v>
      </x:c>
      <x:c r="R2408" s="24" t="n">
        <x:f>IFERROR(F2408/H2408,0)</x:f>
        <x:v>0.1111111111111111</x:v>
      </x:c>
      <x:c r="S2408" s="24" t="n">
        <x:f>IFERROR(F2408/J2408,0)</x:f>
        <x:v>0.5</x:v>
      </x:c>
      <x:c r="T2408" s="28" t="n">
        <x:f>H2408-I2408</x:f>
        <x:v>-14</x:v>
      </x:c>
      <x:c r="U2408" s="24" t="n">
        <x:f>IFERROR(J2408/H2408,0)-IFERROR(K2408/I2408,0)</x:f>
        <x:v>-0.3429951690821256</x:v>
      </x:c>
      <x:c r="V2408" s="24" t="n">
        <x:f>IFERROR(F2408/J2408,0)-IFERROR(G2408/K2408,0)</x:f>
        <x:v>0.1923076923076923</x:v>
      </x:c>
      <x:c r="W2408" s="28" t="n">
        <x:f>L2408-M2408</x:f>
        <x:v>0</x:v>
      </x:c>
      <x:c r="X2408" s="24" t="n">
        <x:f>IFERROR(K2408/I2408,0)</x:f>
        <x:v>0.5652173913043478</x:v>
      </x:c>
      <x:c r="Y2408" s="24" t="n">
        <x:f>IFERROR(G2408/I2408,0)</x:f>
        <x:v>0.17391304347826086</x:v>
      </x:c>
      <x:c r="Z2408" s="24" t="n">
        <x:f>IFERROR(G2408/K2408,0)</x:f>
        <x:v>0.3076923076923077</x:v>
      </x:c>
      <x:c r="AA2408" s="24" t="n">
        <x:f>IFERROR(F2408/H2408,0)-IFERROR(G2408/I2408,0)</x:f>
        <x:v>-0.06280193236714976</x:v>
      </x:c>
      <x:c r="AB2408" s="28" t="n">
        <x:f>J2408-K2408</x:f>
        <x:v>-11</x:v>
      </x:c>
      <x:c r="AC2408" s="32" t="n">
        <x:f>F2408-G2408</x:f>
        <x:v>-3</x:v>
      </x:c>
    </x:row>
    <x:row r="2409">
      <x:c r="A2409" s="4" t="str">
        <x:v>2024-25</x:v>
      </x:c>
      <x:c r="B2409" s="20" t="n">
        <x:v>45570</x:v>
      </x:c>
      <x:c r="C2409" s="4" t="str">
        <x:v>Leicester</x:v>
      </x:c>
      <x:c r="D2409" s="4" t="str">
        <x:v>Bournemouth</x:v>
      </x:c>
      <x:c r="E2409" s="4" t="str">
        <x:v>Home</x:v>
      </x:c>
      <x:c r="F2409" s="28" t="n">
        <x:v>1</x:v>
      </x:c>
      <x:c r="G2409" s="28" t="n">
        <x:v>0</x:v>
      </x:c>
      <x:c r="H2409" s="28" t="n">
        <x:v>6</x:v>
      </x:c>
      <x:c r="I2409" s="28" t="n">
        <x:v>17</x:v>
      </x:c>
      <x:c r="J2409" s="28" t="n">
        <x:v>2</x:v>
      </x:c>
      <x:c r="K2409" s="28" t="n">
        <x:v>2</x:v>
      </x:c>
      <x:c r="L2409" s="28" t="n">
        <x:v>0</x:v>
      </x:c>
      <x:c r="M2409" s="28" t="n">
        <x:v>9</x:v>
      </x:c>
      <x:c r="N2409" s="28" t="n">
        <x:v>4</x:v>
      </x:c>
      <x:c r="O2409" s="28" t="n">
        <x:v>0</x:v>
      </x:c>
      <x:c r="P2409" s="28" t="n">
        <x:v>3</x:v>
      </x:c>
      <x:c r="Q2409" s="24" t="n">
        <x:f>IFERROR(J2409/H2409,0)</x:f>
        <x:v>0.3333333333333333</x:v>
      </x:c>
      <x:c r="R2409" s="24" t="n">
        <x:f>IFERROR(F2409/H2409,0)</x:f>
        <x:v>0.16666666666666666</x:v>
      </x:c>
      <x:c r="S2409" s="24" t="n">
        <x:f>IFERROR(F2409/J2409,0)</x:f>
        <x:v>0.5</x:v>
      </x:c>
      <x:c r="T2409" s="28" t="n">
        <x:f>H2409-I2409</x:f>
        <x:v>-11</x:v>
      </x:c>
      <x:c r="U2409" s="24" t="n">
        <x:f>IFERROR(J2409/H2409,0)-IFERROR(K2409/I2409,0)</x:f>
        <x:v>0.2156862745098039</x:v>
      </x:c>
      <x:c r="V2409" s="24" t="n">
        <x:f>IFERROR(F2409/J2409,0)-IFERROR(G2409/K2409,0)</x:f>
        <x:v>0.5</x:v>
      </x:c>
      <x:c r="W2409" s="28" t="n">
        <x:f>L2409-M2409</x:f>
        <x:v>-9</x:v>
      </x:c>
      <x:c r="X2409" s="24" t="n">
        <x:f>IFERROR(K2409/I2409,0)</x:f>
        <x:v>0.11764705882352941</x:v>
      </x:c>
      <x:c r="Y2409" s="24" t="n">
        <x:f>IFERROR(G2409/I2409,0)</x:f>
        <x:v>0</x:v>
      </x:c>
      <x:c r="Z2409" s="24" t="n">
        <x:f>IFERROR(G2409/K2409,0)</x:f>
        <x:v>0</x:v>
      </x:c>
      <x:c r="AA2409" s="24" t="n">
        <x:f>IFERROR(F2409/H2409,0)-IFERROR(G2409/I2409,0)</x:f>
        <x:v>0.16666666666666666</x:v>
      </x:c>
      <x:c r="AB2409" s="28" t="n">
        <x:f>J2409-K2409</x:f>
        <x:v>0</x:v>
      </x:c>
      <x:c r="AC2409" s="32" t="n">
        <x:f>F2409-G2409</x:f>
        <x:v>1</x:v>
      </x:c>
    </x:row>
    <x:row r="2410">
      <x:c r="A2410" s="4" t="str">
        <x:v>2024-25</x:v>
      </x:c>
      <x:c r="B2410" s="20" t="n">
        <x:v>45570</x:v>
      </x:c>
      <x:c r="C2410" s="4" t="str">
        <x:v>Liverpool</x:v>
      </x:c>
      <x:c r="D2410" s="4" t="str">
        <x:v>Crystal Palace</x:v>
      </x:c>
      <x:c r="E2410" s="4" t="str">
        <x:v>Away</x:v>
      </x:c>
      <x:c r="F2410" s="28" t="n">
        <x:v>1</x:v>
      </x:c>
      <x:c r="G2410" s="28" t="n">
        <x:v>0</x:v>
      </x:c>
      <x:c r="H2410" s="28" t="n">
        <x:v>16</x:v>
      </x:c>
      <x:c r="I2410" s="28" t="n">
        <x:v>9</x:v>
      </x:c>
      <x:c r="J2410" s="28" t="n">
        <x:v>4</x:v>
      </x:c>
      <x:c r="K2410" s="28" t="n">
        <x:v>5</x:v>
      </x:c>
      <x:c r="L2410" s="28" t="n">
        <x:v>8</x:v>
      </x:c>
      <x:c r="M2410" s="28" t="n">
        <x:v>3</x:v>
      </x:c>
      <x:c r="N2410" s="28" t="n">
        <x:v>2</x:v>
      </x:c>
      <x:c r="O2410" s="28" t="n">
        <x:v>0</x:v>
      </x:c>
      <x:c r="P2410" s="28" t="n">
        <x:v>3</x:v>
      </x:c>
      <x:c r="Q2410" s="24" t="n">
        <x:f>IFERROR(J2410/H2410,0)</x:f>
        <x:v>0.25</x:v>
      </x:c>
      <x:c r="R2410" s="24" t="n">
        <x:f>IFERROR(F2410/H2410,0)</x:f>
        <x:v>0.0625</x:v>
      </x:c>
      <x:c r="S2410" s="24" t="n">
        <x:f>IFERROR(F2410/J2410,0)</x:f>
        <x:v>0.25</x:v>
      </x:c>
      <x:c r="T2410" s="28" t="n">
        <x:f>H2410-I2410</x:f>
        <x:v>7</x:v>
      </x:c>
      <x:c r="U2410" s="24" t="n">
        <x:f>IFERROR(J2410/H2410,0)-IFERROR(K2410/I2410,0)</x:f>
        <x:v>-0.3055555555555556</x:v>
      </x:c>
      <x:c r="V2410" s="24" t="n">
        <x:f>IFERROR(F2410/J2410,0)-IFERROR(G2410/K2410,0)</x:f>
        <x:v>0.25</x:v>
      </x:c>
      <x:c r="W2410" s="28" t="n">
        <x:f>L2410-M2410</x:f>
        <x:v>5</x:v>
      </x:c>
      <x:c r="X2410" s="24" t="n">
        <x:f>IFERROR(K2410/I2410,0)</x:f>
        <x:v>0.5555555555555556</x:v>
      </x:c>
      <x:c r="Y2410" s="24" t="n">
        <x:f>IFERROR(G2410/I2410,0)</x:f>
        <x:v>0</x:v>
      </x:c>
      <x:c r="Z2410" s="24" t="n">
        <x:f>IFERROR(G2410/K2410,0)</x:f>
        <x:v>0</x:v>
      </x:c>
      <x:c r="AA2410" s="24" t="n">
        <x:f>IFERROR(F2410/H2410,0)-IFERROR(G2410/I2410,0)</x:f>
        <x:v>0.0625</x:v>
      </x:c>
      <x:c r="AB2410" s="28" t="n">
        <x:f>J2410-K2410</x:f>
        <x:v>-1</x:v>
      </x:c>
      <x:c r="AC2410" s="32" t="n">
        <x:f>F2410-G2410</x:f>
        <x:v>1</x:v>
      </x:c>
    </x:row>
    <x:row r="2411">
      <x:c r="A2411" s="4" t="str">
        <x:v>2024-25</x:v>
      </x:c>
      <x:c r="B2411" s="20" t="n">
        <x:v>45570</x:v>
      </x:c>
      <x:c r="C2411" s="4" t="str">
        <x:v>Man City</x:v>
      </x:c>
      <x:c r="D2411" s="4" t="str">
        <x:v>Fulham</x:v>
      </x:c>
      <x:c r="E2411" s="4" t="str">
        <x:v>Home</x:v>
      </x:c>
      <x:c r="F2411" s="28" t="n">
        <x:v>3</x:v>
      </x:c>
      <x:c r="G2411" s="28" t="n">
        <x:v>2</x:v>
      </x:c>
      <x:c r="H2411" s="28" t="n">
        <x:v>20</x:v>
      </x:c>
      <x:c r="I2411" s="28" t="n">
        <x:v>11</x:v>
      </x:c>
      <x:c r="J2411" s="28" t="n">
        <x:v>7</x:v>
      </x:c>
      <x:c r="K2411" s="28" t="n">
        <x:v>4</x:v>
      </x:c>
      <x:c r="L2411" s="28" t="n">
        <x:v>8</x:v>
      </x:c>
      <x:c r="M2411" s="28" t="n">
        <x:v>3</x:v>
      </x:c>
      <x:c r="N2411" s="28" t="n">
        <x:v>2</x:v>
      </x:c>
      <x:c r="O2411" s="28" t="n">
        <x:v>0</x:v>
      </x:c>
      <x:c r="P2411" s="28" t="n">
        <x:v>3</x:v>
      </x:c>
      <x:c r="Q2411" s="24" t="n">
        <x:f>IFERROR(J2411/H2411,0)</x:f>
        <x:v>0.35</x:v>
      </x:c>
      <x:c r="R2411" s="24" t="n">
        <x:f>IFERROR(F2411/H2411,0)</x:f>
        <x:v>0.15</x:v>
      </x:c>
      <x:c r="S2411" s="24" t="n">
        <x:f>IFERROR(F2411/J2411,0)</x:f>
        <x:v>0.42857142857142855</x:v>
      </x:c>
      <x:c r="T2411" s="28" t="n">
        <x:f>H2411-I2411</x:f>
        <x:v>9</x:v>
      </x:c>
      <x:c r="U2411" s="24" t="n">
        <x:f>IFERROR(J2411/H2411,0)-IFERROR(K2411/I2411,0)</x:f>
        <x:v>-0.013636363636363669</x:v>
      </x:c>
      <x:c r="V2411" s="24" t="n">
        <x:f>IFERROR(F2411/J2411,0)-IFERROR(G2411/K2411,0)</x:f>
        <x:v>-0.07142857142857145</x:v>
      </x:c>
      <x:c r="W2411" s="28" t="n">
        <x:f>L2411-M2411</x:f>
        <x:v>5</x:v>
      </x:c>
      <x:c r="X2411" s="24" t="n">
        <x:f>IFERROR(K2411/I2411,0)</x:f>
        <x:v>0.36363636363636365</x:v>
      </x:c>
      <x:c r="Y2411" s="24" t="n">
        <x:f>IFERROR(G2411/I2411,0)</x:f>
        <x:v>0.18181818181818182</x:v>
      </x:c>
      <x:c r="Z2411" s="24" t="n">
        <x:f>IFERROR(G2411/K2411,0)</x:f>
        <x:v>0.5</x:v>
      </x:c>
      <x:c r="AA2411" s="24" t="n">
        <x:f>IFERROR(F2411/H2411,0)-IFERROR(G2411/I2411,0)</x:f>
        <x:v>-0.03181818181818183</x:v>
      </x:c>
      <x:c r="AB2411" s="28" t="n">
        <x:f>J2411-K2411</x:f>
        <x:v>3</x:v>
      </x:c>
      <x:c r="AC2411" s="32" t="n">
        <x:f>F2411-G2411</x:f>
        <x:v>1</x:v>
      </x:c>
    </x:row>
    <x:row r="2412">
      <x:c r="A2412" s="4" t="str">
        <x:v>2024-25</x:v>
      </x:c>
      <x:c r="B2412" s="20" t="n">
        <x:v>45570</x:v>
      </x:c>
      <x:c r="C2412" s="4" t="str">
        <x:v>Newcastle</x:v>
      </x:c>
      <x:c r="D2412" s="4" t="str">
        <x:v>Everton</x:v>
      </x:c>
      <x:c r="E2412" s="4" t="str">
        <x:v>Away</x:v>
      </x:c>
      <x:c r="F2412" s="28" t="n">
        <x:v>0</x:v>
      </x:c>
      <x:c r="G2412" s="28" t="n">
        <x:v>0</x:v>
      </x:c>
      <x:c r="H2412" s="28" t="n">
        <x:v>14</x:v>
      </x:c>
      <x:c r="I2412" s="28" t="n">
        <x:v>8</x:v>
      </x:c>
      <x:c r="J2412" s="28" t="n">
        <x:v>3</x:v>
      </x:c>
      <x:c r="K2412" s="28" t="n">
        <x:v>2</x:v>
      </x:c>
      <x:c r="L2412" s="28" t="n">
        <x:v>10</x:v>
      </x:c>
      <x:c r="M2412" s="28" t="n">
        <x:v>0</x:v>
      </x:c>
      <x:c r="N2412" s="28" t="n">
        <x:v>2</x:v>
      </x:c>
      <x:c r="O2412" s="28" t="n">
        <x:v>0</x:v>
      </x:c>
      <x:c r="P2412" s="28" t="n">
        <x:v>1</x:v>
      </x:c>
      <x:c r="Q2412" s="24" t="n">
        <x:f>IFERROR(J2412/H2412,0)</x:f>
        <x:v>0.21428571428571427</x:v>
      </x:c>
      <x:c r="R2412" s="24" t="n">
        <x:f>IFERROR(F2412/H2412,0)</x:f>
        <x:v>0</x:v>
      </x:c>
      <x:c r="S2412" s="24" t="n">
        <x:f>IFERROR(F2412/J2412,0)</x:f>
        <x:v>0</x:v>
      </x:c>
      <x:c r="T2412" s="28" t="n">
        <x:f>H2412-I2412</x:f>
        <x:v>6</x:v>
      </x:c>
      <x:c r="U2412" s="24" t="n">
        <x:f>IFERROR(J2412/H2412,0)-IFERROR(K2412/I2412,0)</x:f>
        <x:v>-0.035714285714285726</x:v>
      </x:c>
      <x:c r="V2412" s="24" t="n">
        <x:f>IFERROR(F2412/J2412,0)-IFERROR(G2412/K2412,0)</x:f>
        <x:v>0</x:v>
      </x:c>
      <x:c r="W2412" s="28" t="n">
        <x:f>L2412-M2412</x:f>
        <x:v>10</x:v>
      </x:c>
      <x:c r="X2412" s="24" t="n">
        <x:f>IFERROR(K2412/I2412,0)</x:f>
        <x:v>0.25</x:v>
      </x:c>
      <x:c r="Y2412" s="24" t="n">
        <x:f>IFERROR(G2412/I2412,0)</x:f>
        <x:v>0</x:v>
      </x:c>
      <x:c r="Z2412" s="24" t="n">
        <x:f>IFERROR(G2412/K2412,0)</x:f>
        <x:v>0</x:v>
      </x:c>
      <x:c r="AA2412" s="24" t="n">
        <x:f>IFERROR(F2412/H2412,0)-IFERROR(G2412/I2412,0)</x:f>
        <x:v>0</x:v>
      </x:c>
      <x:c r="AB2412" s="28" t="n">
        <x:f>J2412-K2412</x:f>
        <x:v>1</x:v>
      </x:c>
      <x:c r="AC2412" s="32" t="n">
        <x:f>F2412-G2412</x:f>
        <x:v>0</x:v>
      </x:c>
    </x:row>
    <x:row r="2413">
      <x:c r="A2413" s="4" t="str">
        <x:v>2024-25</x:v>
      </x:c>
      <x:c r="B2413" s="20" t="n">
        <x:v>45570</x:v>
      </x:c>
      <x:c r="C2413" s="4" t="str">
        <x:v>Southampton</x:v>
      </x:c>
      <x:c r="D2413" s="4" t="str">
        <x:v>Arsenal</x:v>
      </x:c>
      <x:c r="E2413" s="4" t="str">
        <x:v>Away</x:v>
      </x:c>
      <x:c r="F2413" s="28" t="n">
        <x:v>1</x:v>
      </x:c>
      <x:c r="G2413" s="28" t="n">
        <x:v>3</x:v>
      </x:c>
      <x:c r="H2413" s="28" t="n">
        <x:v>8</x:v>
      </x:c>
      <x:c r="I2413" s="28" t="n">
        <x:v>29</x:v>
      </x:c>
      <x:c r="J2413" s="28" t="n">
        <x:v>2</x:v>
      </x:c>
      <x:c r="K2413" s="28" t="n">
        <x:v>6</x:v>
      </x:c>
      <x:c r="L2413" s="28" t="n">
        <x:v>1</x:v>
      </x:c>
      <x:c r="M2413" s="28" t="n">
        <x:v>13</x:v>
      </x:c>
      <x:c r="N2413" s="28" t="n">
        <x:v>3</x:v>
      </x:c>
      <x:c r="O2413" s="28" t="n">
        <x:v>0</x:v>
      </x:c>
      <x:c r="P2413" s="28" t="n">
        <x:v>0</x:v>
      </x:c>
      <x:c r="Q2413" s="24" t="n">
        <x:f>IFERROR(J2413/H2413,0)</x:f>
        <x:v>0.25</x:v>
      </x:c>
      <x:c r="R2413" s="24" t="n">
        <x:f>IFERROR(F2413/H2413,0)</x:f>
        <x:v>0.125</x:v>
      </x:c>
      <x:c r="S2413" s="24" t="n">
        <x:f>IFERROR(F2413/J2413,0)</x:f>
        <x:v>0.5</x:v>
      </x:c>
      <x:c r="T2413" s="28" t="n">
        <x:f>H2413-I2413</x:f>
        <x:v>-21</x:v>
      </x:c>
      <x:c r="U2413" s="24" t="n">
        <x:f>IFERROR(J2413/H2413,0)-IFERROR(K2413/I2413,0)</x:f>
        <x:v>0.04310344827586207</x:v>
      </x:c>
      <x:c r="V2413" s="24" t="n">
        <x:f>IFERROR(F2413/J2413,0)-IFERROR(G2413/K2413,0)</x:f>
        <x:v>0</x:v>
      </x:c>
      <x:c r="W2413" s="28" t="n">
        <x:f>L2413-M2413</x:f>
        <x:v>-12</x:v>
      </x:c>
      <x:c r="X2413" s="24" t="n">
        <x:f>IFERROR(K2413/I2413,0)</x:f>
        <x:v>0.20689655172413793</x:v>
      </x:c>
      <x:c r="Y2413" s="24" t="n">
        <x:f>IFERROR(G2413/I2413,0)</x:f>
        <x:v>0.10344827586206896</x:v>
      </x:c>
      <x:c r="Z2413" s="24" t="n">
        <x:f>IFERROR(G2413/K2413,0)</x:f>
        <x:v>0.5</x:v>
      </x:c>
      <x:c r="AA2413" s="24" t="n">
        <x:f>IFERROR(F2413/H2413,0)-IFERROR(G2413/I2413,0)</x:f>
        <x:v>0.021551724137931036</x:v>
      </x:c>
      <x:c r="AB2413" s="28" t="n">
        <x:f>J2413-K2413</x:f>
        <x:v>-4</x:v>
      </x:c>
      <x:c r="AC2413" s="32" t="n">
        <x:f>F2413-G2413</x:f>
        <x:v>-2</x:v>
      </x:c>
    </x:row>
    <x:row r="2414">
      <x:c r="A2414" s="4" t="str">
        <x:v>2024-25</x:v>
      </x:c>
      <x:c r="B2414" s="20" t="n">
        <x:v>45570</x:v>
      </x:c>
      <x:c r="C2414" s="4" t="str">
        <x:v>West Ham</x:v>
      </x:c>
      <x:c r="D2414" s="4" t="str">
        <x:v>Ipswich</x:v>
      </x:c>
      <x:c r="E2414" s="4" t="str">
        <x:v>Home</x:v>
      </x:c>
      <x:c r="F2414" s="28" t="n">
        <x:v>4</x:v>
      </x:c>
      <x:c r="G2414" s="28" t="n">
        <x:v>1</x:v>
      </x:c>
      <x:c r="H2414" s="28" t="n">
        <x:v>23</x:v>
      </x:c>
      <x:c r="I2414" s="28" t="n">
        <x:v>9</x:v>
      </x:c>
      <x:c r="J2414" s="28" t="n">
        <x:v>13</x:v>
      </x:c>
      <x:c r="K2414" s="28" t="n">
        <x:v>2</x:v>
      </x:c>
      <x:c r="L2414" s="28" t="n">
        <x:v>5</x:v>
      </x:c>
      <x:c r="M2414" s="28" t="n">
        <x:v>5</x:v>
      </x:c>
      <x:c r="N2414" s="28" t="n">
        <x:v>0</x:v>
      </x:c>
      <x:c r="O2414" s="28" t="n">
        <x:v>0</x:v>
      </x:c>
      <x:c r="P2414" s="28" t="n">
        <x:v>3</x:v>
      </x:c>
      <x:c r="Q2414" s="24" t="n">
        <x:f>IFERROR(J2414/H2414,0)</x:f>
        <x:v>0.5652173913043478</x:v>
      </x:c>
      <x:c r="R2414" s="24" t="n">
        <x:f>IFERROR(F2414/H2414,0)</x:f>
        <x:v>0.17391304347826086</x:v>
      </x:c>
      <x:c r="S2414" s="24" t="n">
        <x:f>IFERROR(F2414/J2414,0)</x:f>
        <x:v>0.3076923076923077</x:v>
      </x:c>
      <x:c r="T2414" s="28" t="n">
        <x:f>H2414-I2414</x:f>
        <x:v>14</x:v>
      </x:c>
      <x:c r="U2414" s="24" t="n">
        <x:f>IFERROR(J2414/H2414,0)-IFERROR(K2414/I2414,0)</x:f>
        <x:v>0.3429951690821256</x:v>
      </x:c>
      <x:c r="V2414" s="24" t="n">
        <x:f>IFERROR(F2414/J2414,0)-IFERROR(G2414/K2414,0)</x:f>
        <x:v>-0.1923076923076923</x:v>
      </x:c>
      <x:c r="W2414" s="28" t="n">
        <x:f>L2414-M2414</x:f>
        <x:v>0</x:v>
      </x:c>
      <x:c r="X2414" s="24" t="n">
        <x:f>IFERROR(K2414/I2414,0)</x:f>
        <x:v>0.2222222222222222</x:v>
      </x:c>
      <x:c r="Y2414" s="24" t="n">
        <x:f>IFERROR(G2414/I2414,0)</x:f>
        <x:v>0.1111111111111111</x:v>
      </x:c>
      <x:c r="Z2414" s="24" t="n">
        <x:f>IFERROR(G2414/K2414,0)</x:f>
        <x:v>0.5</x:v>
      </x:c>
      <x:c r="AA2414" s="24" t="n">
        <x:f>IFERROR(F2414/H2414,0)-IFERROR(G2414/I2414,0)</x:f>
        <x:v>0.06280193236714976</x:v>
      </x:c>
      <x:c r="AB2414" s="28" t="n">
        <x:f>J2414-K2414</x:f>
        <x:v>11</x:v>
      </x:c>
      <x:c r="AC2414" s="32" t="n">
        <x:f>F2414-G2414</x:f>
        <x:v>3</x:v>
      </x:c>
    </x:row>
    <x:row r="2415">
      <x:c r="A2415" s="4" t="str">
        <x:v>2024-25</x:v>
      </x:c>
      <x:c r="B2415" s="20" t="n">
        <x:v>45570</x:v>
      </x:c>
      <x:c r="C2415" s="4" t="str">
        <x:v>Wolves</x:v>
      </x:c>
      <x:c r="D2415" s="4" t="str">
        <x:v>Brentford</x:v>
      </x:c>
      <x:c r="E2415" s="4" t="str">
        <x:v>Away</x:v>
      </x:c>
      <x:c r="F2415" s="28" t="n">
        <x:v>3</x:v>
      </x:c>
      <x:c r="G2415" s="28" t="n">
        <x:v>5</x:v>
      </x:c>
      <x:c r="H2415" s="28" t="n">
        <x:v>17</x:v>
      </x:c>
      <x:c r="I2415" s="28" t="n">
        <x:v>19</x:v>
      </x:c>
      <x:c r="J2415" s="28" t="n">
        <x:v>6</x:v>
      </x:c>
      <x:c r="K2415" s="28" t="n">
        <x:v>12</x:v>
      </x:c>
      <x:c r="L2415" s="28" t="n">
        <x:v>3</x:v>
      </x:c>
      <x:c r="M2415" s="28" t="n">
        <x:v>10</x:v>
      </x:c>
      <x:c r="N2415" s="28" t="n">
        <x:v>3</x:v>
      </x:c>
      <x:c r="O2415" s="28" t="n">
        <x:v>0</x:v>
      </x:c>
      <x:c r="P2415" s="28" t="n">
        <x:v>0</x:v>
      </x:c>
      <x:c r="Q2415" s="24" t="n">
        <x:f>IFERROR(J2415/H2415,0)</x:f>
        <x:v>0.35294117647058826</x:v>
      </x:c>
      <x:c r="R2415" s="24" t="n">
        <x:f>IFERROR(F2415/H2415,0)</x:f>
        <x:v>0.17647058823529413</x:v>
      </x:c>
      <x:c r="S2415" s="24" t="n">
        <x:f>IFERROR(F2415/J2415,0)</x:f>
        <x:v>0.5</x:v>
      </x:c>
      <x:c r="T2415" s="28" t="n">
        <x:f>H2415-I2415</x:f>
        <x:v>-2</x:v>
      </x:c>
      <x:c r="U2415" s="24" t="n">
        <x:f>IFERROR(J2415/H2415,0)-IFERROR(K2415/I2415,0)</x:f>
        <x:v>-0.27863777089783276</x:v>
      </x:c>
      <x:c r="V2415" s="24" t="n">
        <x:f>IFERROR(F2415/J2415,0)-IFERROR(G2415/K2415,0)</x:f>
        <x:v>0.08333333333333331</x:v>
      </x:c>
      <x:c r="W2415" s="28" t="n">
        <x:f>L2415-M2415</x:f>
        <x:v>-7</x:v>
      </x:c>
      <x:c r="X2415" s="24" t="n">
        <x:f>IFERROR(K2415/I2415,0)</x:f>
        <x:v>0.631578947368421</x:v>
      </x:c>
      <x:c r="Y2415" s="24" t="n">
        <x:f>IFERROR(G2415/I2415,0)</x:f>
        <x:v>0.2631578947368421</x:v>
      </x:c>
      <x:c r="Z2415" s="24" t="n">
        <x:f>IFERROR(G2415/K2415,0)</x:f>
        <x:v>0.4166666666666667</x:v>
      </x:c>
      <x:c r="AA2415" s="24" t="n">
        <x:f>IFERROR(F2415/H2415,0)-IFERROR(G2415/I2415,0)</x:f>
        <x:v>-0.08668730650154796</x:v>
      </x:c>
      <x:c r="AB2415" s="28" t="n">
        <x:f>J2415-K2415</x:f>
        <x:v>-6</x:v>
      </x:c>
      <x:c r="AC2415" s="32" t="n">
        <x:f>F2415-G2415</x:f>
        <x:v>-2</x:v>
      </x:c>
    </x:row>
    <x:row r="2416">
      <x:c r="A2416" s="4" t="str">
        <x:v>2024-25</x:v>
      </x:c>
      <x:c r="B2416" s="20" t="n">
        <x:v>45571</x:v>
      </x:c>
      <x:c r="C2416" s="4" t="str">
        <x:v>Aston Villa</x:v>
      </x:c>
      <x:c r="D2416" s="4" t="str">
        <x:v>Man United</x:v>
      </x:c>
      <x:c r="E2416" s="4" t="str">
        <x:v>Home</x:v>
      </x:c>
      <x:c r="F2416" s="28" t="n">
        <x:v>0</x:v>
      </x:c>
      <x:c r="G2416" s="28" t="n">
        <x:v>0</x:v>
      </x:c>
      <x:c r="H2416" s="28" t="n">
        <x:v>11</x:v>
      </x:c>
      <x:c r="I2416" s="28" t="n">
        <x:v>10</x:v>
      </x:c>
      <x:c r="J2416" s="28" t="n">
        <x:v>1</x:v>
      </x:c>
      <x:c r="K2416" s="28" t="n">
        <x:v>4</x:v>
      </x:c>
      <x:c r="L2416" s="28" t="n">
        <x:v>6</x:v>
      </x:c>
      <x:c r="M2416" s="28" t="n">
        <x:v>3</x:v>
      </x:c>
      <x:c r="N2416" s="28" t="n">
        <x:v>1</x:v>
      </x:c>
      <x:c r="O2416" s="28" t="n">
        <x:v>0</x:v>
      </x:c>
      <x:c r="P2416" s="28" t="n">
        <x:v>1</x:v>
      </x:c>
      <x:c r="Q2416" s="24" t="n">
        <x:f>IFERROR(J2416/H2416,0)</x:f>
        <x:v>0.09090909090909091</x:v>
      </x:c>
      <x:c r="R2416" s="24" t="n">
        <x:f>IFERROR(F2416/H2416,0)</x:f>
        <x:v>0</x:v>
      </x:c>
      <x:c r="S2416" s="24" t="n">
        <x:f>IFERROR(F2416/J2416,0)</x:f>
        <x:v>0</x:v>
      </x:c>
      <x:c r="T2416" s="28" t="n">
        <x:f>H2416-I2416</x:f>
        <x:v>1</x:v>
      </x:c>
      <x:c r="U2416" s="24" t="n">
        <x:f>IFERROR(J2416/H2416,0)-IFERROR(K2416/I2416,0)</x:f>
        <x:v>-0.3090909090909091</x:v>
      </x:c>
      <x:c r="V2416" s="24" t="n">
        <x:f>IFERROR(F2416/J2416,0)-IFERROR(G2416/K2416,0)</x:f>
        <x:v>0</x:v>
      </x:c>
      <x:c r="W2416" s="28" t="n">
        <x:f>L2416-M2416</x:f>
        <x:v>3</x:v>
      </x:c>
      <x:c r="X2416" s="24" t="n">
        <x:f>IFERROR(K2416/I2416,0)</x:f>
        <x:v>0.4</x:v>
      </x:c>
      <x:c r="Y2416" s="24" t="n">
        <x:f>IFERROR(G2416/I2416,0)</x:f>
        <x:v>0</x:v>
      </x:c>
      <x:c r="Z2416" s="24" t="n">
        <x:f>IFERROR(G2416/K2416,0)</x:f>
        <x:v>0</x:v>
      </x:c>
      <x:c r="AA2416" s="24" t="n">
        <x:f>IFERROR(F2416/H2416,0)-IFERROR(G2416/I2416,0)</x:f>
        <x:v>0</x:v>
      </x:c>
      <x:c r="AB2416" s="28" t="n">
        <x:f>J2416-K2416</x:f>
        <x:v>-3</x:v>
      </x:c>
      <x:c r="AC2416" s="32" t="n">
        <x:f>F2416-G2416</x:f>
        <x:v>0</x:v>
      </x:c>
    </x:row>
    <x:row r="2417">
      <x:c r="A2417" s="4" t="str">
        <x:v>2024-25</x:v>
      </x:c>
      <x:c r="B2417" s="20" t="n">
        <x:v>45571</x:v>
      </x:c>
      <x:c r="C2417" s="4" t="str">
        <x:v>Brighton</x:v>
      </x:c>
      <x:c r="D2417" s="4" t="str">
        <x:v>Tottenham</x:v>
      </x:c>
      <x:c r="E2417" s="4" t="str">
        <x:v>Home</x:v>
      </x:c>
      <x:c r="F2417" s="28" t="n">
        <x:v>3</x:v>
      </x:c>
      <x:c r="G2417" s="28" t="n">
        <x:v>2</x:v>
      </x:c>
      <x:c r="H2417" s="28" t="n">
        <x:v>11</x:v>
      </x:c>
      <x:c r="I2417" s="28" t="n">
        <x:v>13</x:v>
      </x:c>
      <x:c r="J2417" s="28" t="n">
        <x:v>4</x:v>
      </x:c>
      <x:c r="K2417" s="28" t="n">
        <x:v>3</x:v>
      </x:c>
      <x:c r="L2417" s="28" t="n">
        <x:v>4</x:v>
      </x:c>
      <x:c r="M2417" s="28" t="n">
        <x:v>7</x:v>
      </x:c>
      <x:c r="N2417" s="28" t="n">
        <x:v>2</x:v>
      </x:c>
      <x:c r="O2417" s="28" t="n">
        <x:v>0</x:v>
      </x:c>
      <x:c r="P2417" s="28" t="n">
        <x:v>3</x:v>
      </x:c>
      <x:c r="Q2417" s="24" t="n">
        <x:f>IFERROR(J2417/H2417,0)</x:f>
        <x:v>0.36363636363636365</x:v>
      </x:c>
      <x:c r="R2417" s="24" t="n">
        <x:f>IFERROR(F2417/H2417,0)</x:f>
        <x:v>0.2727272727272727</x:v>
      </x:c>
      <x:c r="S2417" s="24" t="n">
        <x:f>IFERROR(F2417/J2417,0)</x:f>
        <x:v>0.75</x:v>
      </x:c>
      <x:c r="T2417" s="28" t="n">
        <x:f>H2417-I2417</x:f>
        <x:v>-2</x:v>
      </x:c>
      <x:c r="U2417" s="24" t="n">
        <x:f>IFERROR(J2417/H2417,0)-IFERROR(K2417/I2417,0)</x:f>
        <x:v>0.13286713286713286</x:v>
      </x:c>
      <x:c r="V2417" s="24" t="n">
        <x:f>IFERROR(F2417/J2417,0)-IFERROR(G2417/K2417,0)</x:f>
        <x:v>0.08333333333333337</x:v>
      </x:c>
      <x:c r="W2417" s="28" t="n">
        <x:f>L2417-M2417</x:f>
        <x:v>-3</x:v>
      </x:c>
      <x:c r="X2417" s="24" t="n">
        <x:f>IFERROR(K2417/I2417,0)</x:f>
        <x:v>0.23076923076923078</x:v>
      </x:c>
      <x:c r="Y2417" s="24" t="n">
        <x:f>IFERROR(G2417/I2417,0)</x:f>
        <x:v>0.15384615384615385</x:v>
      </x:c>
      <x:c r="Z2417" s="24" t="n">
        <x:f>IFERROR(G2417/K2417,0)</x:f>
        <x:v>0.6666666666666666</x:v>
      </x:c>
      <x:c r="AA2417" s="24" t="n">
        <x:f>IFERROR(F2417/H2417,0)-IFERROR(G2417/I2417,0)</x:f>
        <x:v>0.11888111888111885</x:v>
      </x:c>
      <x:c r="AB2417" s="28" t="n">
        <x:f>J2417-K2417</x:f>
        <x:v>1</x:v>
      </x:c>
      <x:c r="AC2417" s="32" t="n">
        <x:f>F2417-G2417</x:f>
        <x:v>1</x:v>
      </x:c>
    </x:row>
    <x:row r="2418">
      <x:c r="A2418" s="4" t="str">
        <x:v>2024-25</x:v>
      </x:c>
      <x:c r="B2418" s="20" t="n">
        <x:v>45571</x:v>
      </x:c>
      <x:c r="C2418" s="4" t="str">
        <x:v>Chelsea</x:v>
      </x:c>
      <x:c r="D2418" s="4" t="str">
        <x:v>Nott'm Forest</x:v>
      </x:c>
      <x:c r="E2418" s="4" t="str">
        <x:v>Home</x:v>
      </x:c>
      <x:c r="F2418" s="28" t="n">
        <x:v>1</x:v>
      </x:c>
      <x:c r="G2418" s="28" t="n">
        <x:v>1</x:v>
      </x:c>
      <x:c r="H2418" s="28" t="n">
        <x:v>22</x:v>
      </x:c>
      <x:c r="I2418" s="28" t="n">
        <x:v>16</x:v>
      </x:c>
      <x:c r="J2418" s="28" t="n">
        <x:v>8</x:v>
      </x:c>
      <x:c r="K2418" s="28" t="n">
        <x:v>9</x:v>
      </x:c>
      <x:c r="L2418" s="28" t="n">
        <x:v>11</x:v>
      </x:c>
      <x:c r="M2418" s="28" t="n">
        <x:v>3</x:v>
      </x:c>
      <x:c r="N2418" s="28" t="n">
        <x:v>6</x:v>
      </x:c>
      <x:c r="O2418" s="28" t="n">
        <x:v>0</x:v>
      </x:c>
      <x:c r="P2418" s="28" t="n">
        <x:v>1</x:v>
      </x:c>
      <x:c r="Q2418" s="24" t="n">
        <x:f>IFERROR(J2418/H2418,0)</x:f>
        <x:v>0.36363636363636365</x:v>
      </x:c>
      <x:c r="R2418" s="24" t="n">
        <x:f>IFERROR(F2418/H2418,0)</x:f>
        <x:v>0.045454545454545456</x:v>
      </x:c>
      <x:c r="S2418" s="24" t="n">
        <x:f>IFERROR(F2418/J2418,0)</x:f>
        <x:v>0.125</x:v>
      </x:c>
      <x:c r="T2418" s="28" t="n">
        <x:f>H2418-I2418</x:f>
        <x:v>6</x:v>
      </x:c>
      <x:c r="U2418" s="24" t="n">
        <x:f>IFERROR(J2418/H2418,0)-IFERROR(K2418/I2418,0)</x:f>
        <x:v>-0.19886363636363635</x:v>
      </x:c>
      <x:c r="V2418" s="24" t="n">
        <x:f>IFERROR(F2418/J2418,0)-IFERROR(G2418/K2418,0)</x:f>
        <x:v>0.013888888888888895</x:v>
      </x:c>
      <x:c r="W2418" s="28" t="n">
        <x:f>L2418-M2418</x:f>
        <x:v>8</x:v>
      </x:c>
      <x:c r="X2418" s="24" t="n">
        <x:f>IFERROR(K2418/I2418,0)</x:f>
        <x:v>0.5625</x:v>
      </x:c>
      <x:c r="Y2418" s="24" t="n">
        <x:f>IFERROR(G2418/I2418,0)</x:f>
        <x:v>0.0625</x:v>
      </x:c>
      <x:c r="Z2418" s="24" t="n">
        <x:f>IFERROR(G2418/K2418,0)</x:f>
        <x:v>0.1111111111111111</x:v>
      </x:c>
      <x:c r="AA2418" s="24" t="n">
        <x:f>IFERROR(F2418/H2418,0)-IFERROR(G2418/I2418,0)</x:f>
        <x:v>-0.017045454545454544</x:v>
      </x:c>
      <x:c r="AB2418" s="28" t="n">
        <x:f>J2418-K2418</x:f>
        <x:v>-1</x:v>
      </x:c>
      <x:c r="AC2418" s="32" t="n">
        <x:f>F2418-G2418</x:f>
        <x:v>0</x:v>
      </x:c>
    </x:row>
    <x:row r="2419">
      <x:c r="A2419" s="4" t="str">
        <x:v>2024-25</x:v>
      </x:c>
      <x:c r="B2419" s="20" t="n">
        <x:v>45571</x:v>
      </x:c>
      <x:c r="C2419" s="4" t="str">
        <x:v>Man United</x:v>
      </x:c>
      <x:c r="D2419" s="4" t="str">
        <x:v>Aston Villa</x:v>
      </x:c>
      <x:c r="E2419" s="4" t="str">
        <x:v>Away</x:v>
      </x:c>
      <x:c r="F2419" s="28" t="n">
        <x:v>0</x:v>
      </x:c>
      <x:c r="G2419" s="28" t="n">
        <x:v>0</x:v>
      </x:c>
      <x:c r="H2419" s="28" t="n">
        <x:v>10</x:v>
      </x:c>
      <x:c r="I2419" s="28" t="n">
        <x:v>11</x:v>
      </x:c>
      <x:c r="J2419" s="28" t="n">
        <x:v>4</x:v>
      </x:c>
      <x:c r="K2419" s="28" t="n">
        <x:v>1</x:v>
      </x:c>
      <x:c r="L2419" s="28" t="n">
        <x:v>3</x:v>
      </x:c>
      <x:c r="M2419" s="28" t="n">
        <x:v>6</x:v>
      </x:c>
      <x:c r="N2419" s="28" t="n">
        <x:v>5</x:v>
      </x:c>
      <x:c r="O2419" s="28" t="n">
        <x:v>0</x:v>
      </x:c>
      <x:c r="P2419" s="28" t="n">
        <x:v>1</x:v>
      </x:c>
      <x:c r="Q2419" s="24" t="n">
        <x:f>IFERROR(J2419/H2419,0)</x:f>
        <x:v>0.4</x:v>
      </x:c>
      <x:c r="R2419" s="24" t="n">
        <x:f>IFERROR(F2419/H2419,0)</x:f>
        <x:v>0</x:v>
      </x:c>
      <x:c r="S2419" s="24" t="n">
        <x:f>IFERROR(F2419/J2419,0)</x:f>
        <x:v>0</x:v>
      </x:c>
      <x:c r="T2419" s="28" t="n">
        <x:f>H2419-I2419</x:f>
        <x:v>-1</x:v>
      </x:c>
      <x:c r="U2419" s="24" t="n">
        <x:f>IFERROR(J2419/H2419,0)-IFERROR(K2419/I2419,0)</x:f>
        <x:v>0.3090909090909091</x:v>
      </x:c>
      <x:c r="V2419" s="24" t="n">
        <x:f>IFERROR(F2419/J2419,0)-IFERROR(G2419/K2419,0)</x:f>
        <x:v>0</x:v>
      </x:c>
      <x:c r="W2419" s="28" t="n">
        <x:f>L2419-M2419</x:f>
        <x:v>-3</x:v>
      </x:c>
      <x:c r="X2419" s="24" t="n">
        <x:f>IFERROR(K2419/I2419,0)</x:f>
        <x:v>0.09090909090909091</x:v>
      </x:c>
      <x:c r="Y2419" s="24" t="n">
        <x:f>IFERROR(G2419/I2419,0)</x:f>
        <x:v>0</x:v>
      </x:c>
      <x:c r="Z2419" s="24" t="n">
        <x:f>IFERROR(G2419/K2419,0)</x:f>
        <x:v>0</x:v>
      </x:c>
      <x:c r="AA2419" s="24" t="n">
        <x:f>IFERROR(F2419/H2419,0)-IFERROR(G2419/I2419,0)</x:f>
        <x:v>0</x:v>
      </x:c>
      <x:c r="AB2419" s="28" t="n">
        <x:f>J2419-K2419</x:f>
        <x:v>3</x:v>
      </x:c>
      <x:c r="AC2419" s="32" t="n">
        <x:f>F2419-G2419</x:f>
        <x:v>0</x:v>
      </x:c>
    </x:row>
    <x:row r="2420">
      <x:c r="A2420" s="4" t="str">
        <x:v>2024-25</x:v>
      </x:c>
      <x:c r="B2420" s="20" t="n">
        <x:v>45571</x:v>
      </x:c>
      <x:c r="C2420" s="4" t="str">
        <x:v>Nott'm Forest</x:v>
      </x:c>
      <x:c r="D2420" s="4" t="str">
        <x:v>Chelsea</x:v>
      </x:c>
      <x:c r="E2420" s="4" t="str">
        <x:v>Away</x:v>
      </x:c>
      <x:c r="F2420" s="28" t="n">
        <x:v>1</x:v>
      </x:c>
      <x:c r="G2420" s="28" t="n">
        <x:v>1</x:v>
      </x:c>
      <x:c r="H2420" s="28" t="n">
        <x:v>16</x:v>
      </x:c>
      <x:c r="I2420" s="28" t="n">
        <x:v>22</x:v>
      </x:c>
      <x:c r="J2420" s="28" t="n">
        <x:v>9</x:v>
      </x:c>
      <x:c r="K2420" s="28" t="n">
        <x:v>8</x:v>
      </x:c>
      <x:c r="L2420" s="28" t="n">
        <x:v>3</x:v>
      </x:c>
      <x:c r="M2420" s="28" t="n">
        <x:v>11</x:v>
      </x:c>
      <x:c r="N2420" s="28" t="n">
        <x:v>2</x:v>
      </x:c>
      <x:c r="O2420" s="28" t="n">
        <x:v>1</x:v>
      </x:c>
      <x:c r="P2420" s="28" t="n">
        <x:v>1</x:v>
      </x:c>
      <x:c r="Q2420" s="24" t="n">
        <x:f>IFERROR(J2420/H2420,0)</x:f>
        <x:v>0.5625</x:v>
      </x:c>
      <x:c r="R2420" s="24" t="n">
        <x:f>IFERROR(F2420/H2420,0)</x:f>
        <x:v>0.0625</x:v>
      </x:c>
      <x:c r="S2420" s="24" t="n">
        <x:f>IFERROR(F2420/J2420,0)</x:f>
        <x:v>0.1111111111111111</x:v>
      </x:c>
      <x:c r="T2420" s="28" t="n">
        <x:f>H2420-I2420</x:f>
        <x:v>-6</x:v>
      </x:c>
      <x:c r="U2420" s="24" t="n">
        <x:f>IFERROR(J2420/H2420,0)-IFERROR(K2420/I2420,0)</x:f>
        <x:v>0.19886363636363635</x:v>
      </x:c>
      <x:c r="V2420" s="24" t="n">
        <x:f>IFERROR(F2420/J2420,0)-IFERROR(G2420/K2420,0)</x:f>
        <x:v>-0.013888888888888895</x:v>
      </x:c>
      <x:c r="W2420" s="28" t="n">
        <x:f>L2420-M2420</x:f>
        <x:v>-8</x:v>
      </x:c>
      <x:c r="X2420" s="24" t="n">
        <x:f>IFERROR(K2420/I2420,0)</x:f>
        <x:v>0.36363636363636365</x:v>
      </x:c>
      <x:c r="Y2420" s="24" t="n">
        <x:f>IFERROR(G2420/I2420,0)</x:f>
        <x:v>0.045454545454545456</x:v>
      </x:c>
      <x:c r="Z2420" s="24" t="n">
        <x:f>IFERROR(G2420/K2420,0)</x:f>
        <x:v>0.125</x:v>
      </x:c>
      <x:c r="AA2420" s="24" t="n">
        <x:f>IFERROR(F2420/H2420,0)-IFERROR(G2420/I2420,0)</x:f>
        <x:v>0.017045454545454544</x:v>
      </x:c>
      <x:c r="AB2420" s="28" t="n">
        <x:f>J2420-K2420</x:f>
        <x:v>1</x:v>
      </x:c>
      <x:c r="AC2420" s="32" t="n">
        <x:f>F2420-G2420</x:f>
        <x:v>0</x:v>
      </x:c>
    </x:row>
    <x:row r="2421">
      <x:c r="A2421" s="4" t="str">
        <x:v>2024-25</x:v>
      </x:c>
      <x:c r="B2421" s="20" t="n">
        <x:v>45571</x:v>
      </x:c>
      <x:c r="C2421" s="4" t="str">
        <x:v>Tottenham</x:v>
      </x:c>
      <x:c r="D2421" s="4" t="str">
        <x:v>Brighton</x:v>
      </x:c>
      <x:c r="E2421" s="4" t="str">
        <x:v>Away</x:v>
      </x:c>
      <x:c r="F2421" s="28" t="n">
        <x:v>2</x:v>
      </x:c>
      <x:c r="G2421" s="28" t="n">
        <x:v>3</x:v>
      </x:c>
      <x:c r="H2421" s="28" t="n">
        <x:v>13</x:v>
      </x:c>
      <x:c r="I2421" s="28" t="n">
        <x:v>11</x:v>
      </x:c>
      <x:c r="J2421" s="28" t="n">
        <x:v>3</x:v>
      </x:c>
      <x:c r="K2421" s="28" t="n">
        <x:v>4</x:v>
      </x:c>
      <x:c r="L2421" s="28" t="n">
        <x:v>7</x:v>
      </x:c>
      <x:c r="M2421" s="28" t="n">
        <x:v>4</x:v>
      </x:c>
      <x:c r="N2421" s="28" t="n">
        <x:v>2</x:v>
      </x:c>
      <x:c r="O2421" s="28" t="n">
        <x:v>0</x:v>
      </x:c>
      <x:c r="P2421" s="28" t="n">
        <x:v>0</x:v>
      </x:c>
      <x:c r="Q2421" s="24" t="n">
        <x:f>IFERROR(J2421/H2421,0)</x:f>
        <x:v>0.23076923076923078</x:v>
      </x:c>
      <x:c r="R2421" s="24" t="n">
        <x:f>IFERROR(F2421/H2421,0)</x:f>
        <x:v>0.15384615384615385</x:v>
      </x:c>
      <x:c r="S2421" s="24" t="n">
        <x:f>IFERROR(F2421/J2421,0)</x:f>
        <x:v>0.6666666666666666</x:v>
      </x:c>
      <x:c r="T2421" s="28" t="n">
        <x:f>H2421-I2421</x:f>
        <x:v>2</x:v>
      </x:c>
      <x:c r="U2421" s="24" t="n">
        <x:f>IFERROR(J2421/H2421,0)-IFERROR(K2421/I2421,0)</x:f>
        <x:v>-0.13286713286713286</x:v>
      </x:c>
      <x:c r="V2421" s="24" t="n">
        <x:f>IFERROR(F2421/J2421,0)-IFERROR(G2421/K2421,0)</x:f>
        <x:v>-0.08333333333333337</x:v>
      </x:c>
      <x:c r="W2421" s="28" t="n">
        <x:f>L2421-M2421</x:f>
        <x:v>3</x:v>
      </x:c>
      <x:c r="X2421" s="24" t="n">
        <x:f>IFERROR(K2421/I2421,0)</x:f>
        <x:v>0.36363636363636365</x:v>
      </x:c>
      <x:c r="Y2421" s="24" t="n">
        <x:f>IFERROR(G2421/I2421,0)</x:f>
        <x:v>0.2727272727272727</x:v>
      </x:c>
      <x:c r="Z2421" s="24" t="n">
        <x:f>IFERROR(G2421/K2421,0)</x:f>
        <x:v>0.75</x:v>
      </x:c>
      <x:c r="AA2421" s="24" t="n">
        <x:f>IFERROR(F2421/H2421,0)-IFERROR(G2421/I2421,0)</x:f>
        <x:v>-0.11888111888111885</x:v>
      </x:c>
      <x:c r="AB2421" s="28" t="n">
        <x:f>J2421-K2421</x:f>
        <x:v>-1</x:v>
      </x:c>
      <x:c r="AC2421" s="32" t="n">
        <x:f>F2421-G2421</x:f>
        <x:v>-1</x:v>
      </x:c>
    </x:row>
    <x:row r="2422">
      <x:c r="A2422" s="4" t="str">
        <x:v>2024-25</x:v>
      </x:c>
      <x:c r="B2422" s="20" t="n">
        <x:v>45584</x:v>
      </x:c>
      <x:c r="C2422" s="4" t="str">
        <x:v>Arsenal</x:v>
      </x:c>
      <x:c r="D2422" s="4" t="str">
        <x:v>Bournemouth</x:v>
      </x:c>
      <x:c r="E2422" s="4" t="str">
        <x:v>Away</x:v>
      </x:c>
      <x:c r="F2422" s="28" t="n">
        <x:v>0</x:v>
      </x:c>
      <x:c r="G2422" s="28" t="n">
        <x:v>2</x:v>
      </x:c>
      <x:c r="H2422" s="28" t="n">
        <x:v>6</x:v>
      </x:c>
      <x:c r="I2422" s="28" t="n">
        <x:v>13</x:v>
      </x:c>
      <x:c r="J2422" s="28" t="n">
        <x:v>1</x:v>
      </x:c>
      <x:c r="K2422" s="28" t="n">
        <x:v>4</x:v>
      </x:c>
      <x:c r="L2422" s="28" t="n">
        <x:v>4</x:v>
      </x:c>
      <x:c r="M2422" s="28" t="n">
        <x:v>7</x:v>
      </x:c>
      <x:c r="N2422" s="28" t="n">
        <x:v>1</x:v>
      </x:c>
      <x:c r="O2422" s="28" t="n">
        <x:v>1</x:v>
      </x:c>
      <x:c r="P2422" s="28" t="n">
        <x:v>0</x:v>
      </x:c>
      <x:c r="Q2422" s="24" t="n">
        <x:f>IFERROR(J2422/H2422,0)</x:f>
        <x:v>0.16666666666666666</x:v>
      </x:c>
      <x:c r="R2422" s="24" t="n">
        <x:f>IFERROR(F2422/H2422,0)</x:f>
        <x:v>0</x:v>
      </x:c>
      <x:c r="S2422" s="24" t="n">
        <x:f>IFERROR(F2422/J2422,0)</x:f>
        <x:v>0</x:v>
      </x:c>
      <x:c r="T2422" s="28" t="n">
        <x:f>H2422-I2422</x:f>
        <x:v>-7</x:v>
      </x:c>
      <x:c r="U2422" s="24" t="n">
        <x:f>IFERROR(J2422/H2422,0)-IFERROR(K2422/I2422,0)</x:f>
        <x:v>-0.14102564102564105</x:v>
      </x:c>
      <x:c r="V2422" s="24" t="n">
        <x:f>IFERROR(F2422/J2422,0)-IFERROR(G2422/K2422,0)</x:f>
        <x:v>-0.5</x:v>
      </x:c>
      <x:c r="W2422" s="28" t="n">
        <x:f>L2422-M2422</x:f>
        <x:v>-3</x:v>
      </x:c>
      <x:c r="X2422" s="24" t="n">
        <x:f>IFERROR(K2422/I2422,0)</x:f>
        <x:v>0.3076923076923077</x:v>
      </x:c>
      <x:c r="Y2422" s="24" t="n">
        <x:f>IFERROR(G2422/I2422,0)</x:f>
        <x:v>0.15384615384615385</x:v>
      </x:c>
      <x:c r="Z2422" s="24" t="n">
        <x:f>IFERROR(G2422/K2422,0)</x:f>
        <x:v>0.5</x:v>
      </x:c>
      <x:c r="AA2422" s="24" t="n">
        <x:f>IFERROR(F2422/H2422,0)-IFERROR(G2422/I2422,0)</x:f>
        <x:v>-0.15384615384615385</x:v>
      </x:c>
      <x:c r="AB2422" s="28" t="n">
        <x:f>J2422-K2422</x:f>
        <x:v>-3</x:v>
      </x:c>
      <x:c r="AC2422" s="32" t="n">
        <x:f>F2422-G2422</x:f>
        <x:v>-2</x:v>
      </x:c>
    </x:row>
    <x:row r="2423">
      <x:c r="A2423" s="4" t="str">
        <x:v>2024-25</x:v>
      </x:c>
      <x:c r="B2423" s="20" t="n">
        <x:v>45584</x:v>
      </x:c>
      <x:c r="C2423" s="4" t="str">
        <x:v>Aston Villa</x:v>
      </x:c>
      <x:c r="D2423" s="4" t="str">
        <x:v>Fulham</x:v>
      </x:c>
      <x:c r="E2423" s="4" t="str">
        <x:v>Away</x:v>
      </x:c>
      <x:c r="F2423" s="28" t="n">
        <x:v>3</x:v>
      </x:c>
      <x:c r="G2423" s="28" t="n">
        <x:v>1</x:v>
      </x:c>
      <x:c r="H2423" s="28" t="n">
        <x:v>14</x:v>
      </x:c>
      <x:c r="I2423" s="28" t="n">
        <x:v>10</x:v>
      </x:c>
      <x:c r="J2423" s="28" t="n">
        <x:v>5</x:v>
      </x:c>
      <x:c r="K2423" s="28" t="n">
        <x:v>4</x:v>
      </x:c>
      <x:c r="L2423" s="28" t="n">
        <x:v>11</x:v>
      </x:c>
      <x:c r="M2423" s="28" t="n">
        <x:v>6</x:v>
      </x:c>
      <x:c r="N2423" s="28" t="n">
        <x:v>3</x:v>
      </x:c>
      <x:c r="O2423" s="28" t="n">
        <x:v>1</x:v>
      </x:c>
      <x:c r="P2423" s="28" t="n">
        <x:v>3</x:v>
      </x:c>
      <x:c r="Q2423" s="24" t="n">
        <x:f>IFERROR(J2423/H2423,0)</x:f>
        <x:v>0.35714285714285715</x:v>
      </x:c>
      <x:c r="R2423" s="24" t="n">
        <x:f>IFERROR(F2423/H2423,0)</x:f>
        <x:v>0.21428571428571427</x:v>
      </x:c>
      <x:c r="S2423" s="24" t="n">
        <x:f>IFERROR(F2423/J2423,0)</x:f>
        <x:v>0.6</x:v>
      </x:c>
      <x:c r="T2423" s="28" t="n">
        <x:f>H2423-I2423</x:f>
        <x:v>4</x:v>
      </x:c>
      <x:c r="U2423" s="24" t="n">
        <x:f>IFERROR(J2423/H2423,0)-IFERROR(K2423/I2423,0)</x:f>
        <x:v>-0.04285714285714287</x:v>
      </x:c>
      <x:c r="V2423" s="24" t="n">
        <x:f>IFERROR(F2423/J2423,0)-IFERROR(G2423/K2423,0)</x:f>
        <x:v>0.35</x:v>
      </x:c>
      <x:c r="W2423" s="28" t="n">
        <x:f>L2423-M2423</x:f>
        <x:v>5</x:v>
      </x:c>
      <x:c r="X2423" s="24" t="n">
        <x:f>IFERROR(K2423/I2423,0)</x:f>
        <x:v>0.4</x:v>
      </x:c>
      <x:c r="Y2423" s="24" t="n">
        <x:f>IFERROR(G2423/I2423,0)</x:f>
        <x:v>0.1</x:v>
      </x:c>
      <x:c r="Z2423" s="24" t="n">
        <x:f>IFERROR(G2423/K2423,0)</x:f>
        <x:v>0.25</x:v>
      </x:c>
      <x:c r="AA2423" s="24" t="n">
        <x:f>IFERROR(F2423/H2423,0)-IFERROR(G2423/I2423,0)</x:f>
        <x:v>0.11428571428571427</x:v>
      </x:c>
      <x:c r="AB2423" s="28" t="n">
        <x:f>J2423-K2423</x:f>
        <x:v>1</x:v>
      </x:c>
      <x:c r="AC2423" s="32" t="n">
        <x:f>F2423-G2423</x:f>
        <x:v>2</x:v>
      </x:c>
    </x:row>
    <x:row r="2424">
      <x:c r="A2424" s="4" t="str">
        <x:v>2024-25</x:v>
      </x:c>
      <x:c r="B2424" s="20" t="n">
        <x:v>45584</x:v>
      </x:c>
      <x:c r="C2424" s="4" t="str">
        <x:v>Bournemouth</x:v>
      </x:c>
      <x:c r="D2424" s="4" t="str">
        <x:v>Arsenal</x:v>
      </x:c>
      <x:c r="E2424" s="4" t="str">
        <x:v>Home</x:v>
      </x:c>
      <x:c r="F2424" s="28" t="n">
        <x:v>2</x:v>
      </x:c>
      <x:c r="G2424" s="28" t="n">
        <x:v>0</x:v>
      </x:c>
      <x:c r="H2424" s="28" t="n">
        <x:v>13</x:v>
      </x:c>
      <x:c r="I2424" s="28" t="n">
        <x:v>6</x:v>
      </x:c>
      <x:c r="J2424" s="28" t="n">
        <x:v>4</x:v>
      </x:c>
      <x:c r="K2424" s="28" t="n">
        <x:v>1</x:v>
      </x:c>
      <x:c r="L2424" s="28" t="n">
        <x:v>7</x:v>
      </x:c>
      <x:c r="M2424" s="28" t="n">
        <x:v>4</x:v>
      </x:c>
      <x:c r="N2424" s="28" t="n">
        <x:v>1</x:v>
      </x:c>
      <x:c r="O2424" s="28" t="n">
        <x:v>0</x:v>
      </x:c>
      <x:c r="P2424" s="28" t="n">
        <x:v>3</x:v>
      </x:c>
      <x:c r="Q2424" s="24" t="n">
        <x:f>IFERROR(J2424/H2424,0)</x:f>
        <x:v>0.3076923076923077</x:v>
      </x:c>
      <x:c r="R2424" s="24" t="n">
        <x:f>IFERROR(F2424/H2424,0)</x:f>
        <x:v>0.15384615384615385</x:v>
      </x:c>
      <x:c r="S2424" s="24" t="n">
        <x:f>IFERROR(F2424/J2424,0)</x:f>
        <x:v>0.5</x:v>
      </x:c>
      <x:c r="T2424" s="28" t="n">
        <x:f>H2424-I2424</x:f>
        <x:v>7</x:v>
      </x:c>
      <x:c r="U2424" s="24" t="n">
        <x:f>IFERROR(J2424/H2424,0)-IFERROR(K2424/I2424,0)</x:f>
        <x:v>0.14102564102564105</x:v>
      </x:c>
      <x:c r="V2424" s="24" t="n">
        <x:f>IFERROR(F2424/J2424,0)-IFERROR(G2424/K2424,0)</x:f>
        <x:v>0.5</x:v>
      </x:c>
      <x:c r="W2424" s="28" t="n">
        <x:f>L2424-M2424</x:f>
        <x:v>3</x:v>
      </x:c>
      <x:c r="X2424" s="24" t="n">
        <x:f>IFERROR(K2424/I2424,0)</x:f>
        <x:v>0.16666666666666666</x:v>
      </x:c>
      <x:c r="Y2424" s="24" t="n">
        <x:f>IFERROR(G2424/I2424,0)</x:f>
        <x:v>0</x:v>
      </x:c>
      <x:c r="Z2424" s="24" t="n">
        <x:f>IFERROR(G2424/K2424,0)</x:f>
        <x:v>0</x:v>
      </x:c>
      <x:c r="AA2424" s="24" t="n">
        <x:f>IFERROR(F2424/H2424,0)-IFERROR(G2424/I2424,0)</x:f>
        <x:v>0.15384615384615385</x:v>
      </x:c>
      <x:c r="AB2424" s="28" t="n">
        <x:f>J2424-K2424</x:f>
        <x:v>3</x:v>
      </x:c>
      <x:c r="AC2424" s="32" t="n">
        <x:f>F2424-G2424</x:f>
        <x:v>2</x:v>
      </x:c>
    </x:row>
    <x:row r="2425">
      <x:c r="A2425" s="4" t="str">
        <x:v>2024-25</x:v>
      </x:c>
      <x:c r="B2425" s="20" t="n">
        <x:v>45584</x:v>
      </x:c>
      <x:c r="C2425" s="4" t="str">
        <x:v>Brentford</x:v>
      </x:c>
      <x:c r="D2425" s="4" t="str">
        <x:v>Man United</x:v>
      </x:c>
      <x:c r="E2425" s="4" t="str">
        <x:v>Away</x:v>
      </x:c>
      <x:c r="F2425" s="28" t="n">
        <x:v>1</x:v>
      </x:c>
      <x:c r="G2425" s="28" t="n">
        <x:v>2</x:v>
      </x:c>
      <x:c r="H2425" s="28" t="n">
        <x:v>8</x:v>
      </x:c>
      <x:c r="I2425" s="28" t="n">
        <x:v>23</x:v>
      </x:c>
      <x:c r="J2425" s="28" t="n">
        <x:v>2</x:v>
      </x:c>
      <x:c r="K2425" s="28" t="n">
        <x:v>11</x:v>
      </x:c>
      <x:c r="L2425" s="28" t="n">
        <x:v>2</x:v>
      </x:c>
      <x:c r="M2425" s="28" t="n">
        <x:v>9</x:v>
      </x:c>
      <x:c r="N2425" s="28" t="n">
        <x:v>2</x:v>
      </x:c>
      <x:c r="O2425" s="28" t="n">
        <x:v>0</x:v>
      </x:c>
      <x:c r="P2425" s="28" t="n">
        <x:v>0</x:v>
      </x:c>
      <x:c r="Q2425" s="24" t="n">
        <x:f>IFERROR(J2425/H2425,0)</x:f>
        <x:v>0.25</x:v>
      </x:c>
      <x:c r="R2425" s="24" t="n">
        <x:f>IFERROR(F2425/H2425,0)</x:f>
        <x:v>0.125</x:v>
      </x:c>
      <x:c r="S2425" s="24" t="n">
        <x:f>IFERROR(F2425/J2425,0)</x:f>
        <x:v>0.5</x:v>
      </x:c>
      <x:c r="T2425" s="28" t="n">
        <x:f>H2425-I2425</x:f>
        <x:v>-15</x:v>
      </x:c>
      <x:c r="U2425" s="24" t="n">
        <x:f>IFERROR(J2425/H2425,0)-IFERROR(K2425/I2425,0)</x:f>
        <x:v>-0.2282608695652174</x:v>
      </x:c>
      <x:c r="V2425" s="24" t="n">
        <x:f>IFERROR(F2425/J2425,0)-IFERROR(G2425/K2425,0)</x:f>
        <x:v>0.3181818181818182</x:v>
      </x:c>
      <x:c r="W2425" s="28" t="n">
        <x:f>L2425-M2425</x:f>
        <x:v>-7</x:v>
      </x:c>
      <x:c r="X2425" s="24" t="n">
        <x:f>IFERROR(K2425/I2425,0)</x:f>
        <x:v>0.4782608695652174</x:v>
      </x:c>
      <x:c r="Y2425" s="24" t="n">
        <x:f>IFERROR(G2425/I2425,0)</x:f>
        <x:v>0.08695652173913043</x:v>
      </x:c>
      <x:c r="Z2425" s="24" t="n">
        <x:f>IFERROR(G2425/K2425,0)</x:f>
        <x:v>0.18181818181818182</x:v>
      </x:c>
      <x:c r="AA2425" s="24" t="n">
        <x:f>IFERROR(F2425/H2425,0)-IFERROR(G2425/I2425,0)</x:f>
        <x:v>0.03804347826086957</x:v>
      </x:c>
      <x:c r="AB2425" s="28" t="n">
        <x:f>J2425-K2425</x:f>
        <x:v>-9</x:v>
      </x:c>
      <x:c r="AC2425" s="32" t="n">
        <x:f>F2425-G2425</x:f>
        <x:v>-1</x:v>
      </x:c>
    </x:row>
    <x:row r="2426">
      <x:c r="A2426" s="4" t="str">
        <x:v>2024-25</x:v>
      </x:c>
      <x:c r="B2426" s="20" t="n">
        <x:v>45584</x:v>
      </x:c>
      <x:c r="C2426" s="4" t="str">
        <x:v>Brighton</x:v>
      </x:c>
      <x:c r="D2426" s="4" t="str">
        <x:v>Newcastle</x:v>
      </x:c>
      <x:c r="E2426" s="4" t="str">
        <x:v>Away</x:v>
      </x:c>
      <x:c r="F2426" s="28" t="n">
        <x:v>1</x:v>
      </x:c>
      <x:c r="G2426" s="28" t="n">
        <x:v>0</x:v>
      </x:c>
      <x:c r="H2426" s="28" t="n">
        <x:v>10</x:v>
      </x:c>
      <x:c r="I2426" s="28" t="n">
        <x:v>21</x:v>
      </x:c>
      <x:c r="J2426" s="28" t="n">
        <x:v>5</x:v>
      </x:c>
      <x:c r="K2426" s="28" t="n">
        <x:v>6</x:v>
      </x:c>
      <x:c r="L2426" s="28" t="n">
        <x:v>4</x:v>
      </x:c>
      <x:c r="M2426" s="28" t="n">
        <x:v>9</x:v>
      </x:c>
      <x:c r="N2426" s="28" t="n">
        <x:v>2</x:v>
      </x:c>
      <x:c r="O2426" s="28" t="n">
        <x:v>0</x:v>
      </x:c>
      <x:c r="P2426" s="28" t="n">
        <x:v>3</x:v>
      </x:c>
      <x:c r="Q2426" s="24" t="n">
        <x:f>IFERROR(J2426/H2426,0)</x:f>
        <x:v>0.5</x:v>
      </x:c>
      <x:c r="R2426" s="24" t="n">
        <x:f>IFERROR(F2426/H2426,0)</x:f>
        <x:v>0.1</x:v>
      </x:c>
      <x:c r="S2426" s="24" t="n">
        <x:f>IFERROR(F2426/J2426,0)</x:f>
        <x:v>0.2</x:v>
      </x:c>
      <x:c r="T2426" s="28" t="n">
        <x:f>H2426-I2426</x:f>
        <x:v>-11</x:v>
      </x:c>
      <x:c r="U2426" s="24" t="n">
        <x:f>IFERROR(J2426/H2426,0)-IFERROR(K2426/I2426,0)</x:f>
        <x:v>0.2142857142857143</x:v>
      </x:c>
      <x:c r="V2426" s="24" t="n">
        <x:f>IFERROR(F2426/J2426,0)-IFERROR(G2426/K2426,0)</x:f>
        <x:v>0.2</x:v>
      </x:c>
      <x:c r="W2426" s="28" t="n">
        <x:f>L2426-M2426</x:f>
        <x:v>-5</x:v>
      </x:c>
      <x:c r="X2426" s="24" t="n">
        <x:f>IFERROR(K2426/I2426,0)</x:f>
        <x:v>0.2857142857142857</x:v>
      </x:c>
      <x:c r="Y2426" s="24" t="n">
        <x:f>IFERROR(G2426/I2426,0)</x:f>
        <x:v>0</x:v>
      </x:c>
      <x:c r="Z2426" s="24" t="n">
        <x:f>IFERROR(G2426/K2426,0)</x:f>
        <x:v>0</x:v>
      </x:c>
      <x:c r="AA2426" s="24" t="n">
        <x:f>IFERROR(F2426/H2426,0)-IFERROR(G2426/I2426,0)</x:f>
        <x:v>0.1</x:v>
      </x:c>
      <x:c r="AB2426" s="28" t="n">
        <x:f>J2426-K2426</x:f>
        <x:v>-1</x:v>
      </x:c>
      <x:c r="AC2426" s="32" t="n">
        <x:f>F2426-G2426</x:f>
        <x:v>1</x:v>
      </x:c>
    </x:row>
    <x:row r="2427">
      <x:c r="A2427" s="4" t="str">
        <x:v>2024-25</x:v>
      </x:c>
      <x:c r="B2427" s="20" t="n">
        <x:v>45584</x:v>
      </x:c>
      <x:c r="C2427" s="4" t="str">
        <x:v>Everton</x:v>
      </x:c>
      <x:c r="D2427" s="4" t="str">
        <x:v>Ipswich</x:v>
      </x:c>
      <x:c r="E2427" s="4" t="str">
        <x:v>Away</x:v>
      </x:c>
      <x:c r="F2427" s="28" t="n">
        <x:v>2</x:v>
      </x:c>
      <x:c r="G2427" s="28" t="n">
        <x:v>0</x:v>
      </x:c>
      <x:c r="H2427" s="28" t="n">
        <x:v>11</x:v>
      </x:c>
      <x:c r="I2427" s="28" t="n">
        <x:v>13</x:v>
      </x:c>
      <x:c r="J2427" s="28" t="n">
        <x:v>8</x:v>
      </x:c>
      <x:c r="K2427" s="28" t="n">
        <x:v>2</x:v>
      </x:c>
      <x:c r="L2427" s="28" t="n">
        <x:v>8</x:v>
      </x:c>
      <x:c r="M2427" s="28" t="n">
        <x:v>5</x:v>
      </x:c>
      <x:c r="N2427" s="28" t="n">
        <x:v>1</x:v>
      </x:c>
      <x:c r="O2427" s="28" t="n">
        <x:v>0</x:v>
      </x:c>
      <x:c r="P2427" s="28" t="n">
        <x:v>3</x:v>
      </x:c>
      <x:c r="Q2427" s="24" t="n">
        <x:f>IFERROR(J2427/H2427,0)</x:f>
        <x:v>0.7272727272727273</x:v>
      </x:c>
      <x:c r="R2427" s="24" t="n">
        <x:f>IFERROR(F2427/H2427,0)</x:f>
        <x:v>0.18181818181818182</x:v>
      </x:c>
      <x:c r="S2427" s="24" t="n">
        <x:f>IFERROR(F2427/J2427,0)</x:f>
        <x:v>0.25</x:v>
      </x:c>
      <x:c r="T2427" s="28" t="n">
        <x:f>H2427-I2427</x:f>
        <x:v>-2</x:v>
      </x:c>
      <x:c r="U2427" s="24" t="n">
        <x:f>IFERROR(J2427/H2427,0)-IFERROR(K2427/I2427,0)</x:f>
        <x:v>0.5734265734265734</x:v>
      </x:c>
      <x:c r="V2427" s="24" t="n">
        <x:f>IFERROR(F2427/J2427,0)-IFERROR(G2427/K2427,0)</x:f>
        <x:v>0.25</x:v>
      </x:c>
      <x:c r="W2427" s="28" t="n">
        <x:f>L2427-M2427</x:f>
        <x:v>3</x:v>
      </x:c>
      <x:c r="X2427" s="24" t="n">
        <x:f>IFERROR(K2427/I2427,0)</x:f>
        <x:v>0.15384615384615385</x:v>
      </x:c>
      <x:c r="Y2427" s="24" t="n">
        <x:f>IFERROR(G2427/I2427,0)</x:f>
        <x:v>0</x:v>
      </x:c>
      <x:c r="Z2427" s="24" t="n">
        <x:f>IFERROR(G2427/K2427,0)</x:f>
        <x:v>0</x:v>
      </x:c>
      <x:c r="AA2427" s="24" t="n">
        <x:f>IFERROR(F2427/H2427,0)-IFERROR(G2427/I2427,0)</x:f>
        <x:v>0.18181818181818182</x:v>
      </x:c>
      <x:c r="AB2427" s="28" t="n">
        <x:f>J2427-K2427</x:f>
        <x:v>6</x:v>
      </x:c>
      <x:c r="AC2427" s="32" t="n">
        <x:f>F2427-G2427</x:f>
        <x:v>2</x:v>
      </x:c>
    </x:row>
    <x:row r="2428">
      <x:c r="A2428" s="4" t="str">
        <x:v>2024-25</x:v>
      </x:c>
      <x:c r="B2428" s="20" t="n">
        <x:v>45584</x:v>
      </x:c>
      <x:c r="C2428" s="4" t="str">
        <x:v>Fulham</x:v>
      </x:c>
      <x:c r="D2428" s="4" t="str">
        <x:v>Aston Villa</x:v>
      </x:c>
      <x:c r="E2428" s="4" t="str">
        <x:v>Home</x:v>
      </x:c>
      <x:c r="F2428" s="28" t="n">
        <x:v>1</x:v>
      </x:c>
      <x:c r="G2428" s="28" t="n">
        <x:v>3</x:v>
      </x:c>
      <x:c r="H2428" s="28" t="n">
        <x:v>10</x:v>
      </x:c>
      <x:c r="I2428" s="28" t="n">
        <x:v>14</x:v>
      </x:c>
      <x:c r="J2428" s="28" t="n">
        <x:v>4</x:v>
      </x:c>
      <x:c r="K2428" s="28" t="n">
        <x:v>5</x:v>
      </x:c>
      <x:c r="L2428" s="28" t="n">
        <x:v>6</x:v>
      </x:c>
      <x:c r="M2428" s="28" t="n">
        <x:v>11</x:v>
      </x:c>
      <x:c r="N2428" s="28" t="n">
        <x:v>3</x:v>
      </x:c>
      <x:c r="O2428" s="28" t="n">
        <x:v>1</x:v>
      </x:c>
      <x:c r="P2428" s="28" t="n">
        <x:v>0</x:v>
      </x:c>
      <x:c r="Q2428" s="24" t="n">
        <x:f>IFERROR(J2428/H2428,0)</x:f>
        <x:v>0.4</x:v>
      </x:c>
      <x:c r="R2428" s="24" t="n">
        <x:f>IFERROR(F2428/H2428,0)</x:f>
        <x:v>0.1</x:v>
      </x:c>
      <x:c r="S2428" s="24" t="n">
        <x:f>IFERROR(F2428/J2428,0)</x:f>
        <x:v>0.25</x:v>
      </x:c>
      <x:c r="T2428" s="28" t="n">
        <x:f>H2428-I2428</x:f>
        <x:v>-4</x:v>
      </x:c>
      <x:c r="U2428" s="24" t="n">
        <x:f>IFERROR(J2428/H2428,0)-IFERROR(K2428/I2428,0)</x:f>
        <x:v>0.04285714285714287</x:v>
      </x:c>
      <x:c r="V2428" s="24" t="n">
        <x:f>IFERROR(F2428/J2428,0)-IFERROR(G2428/K2428,0)</x:f>
        <x:v>-0.35</x:v>
      </x:c>
      <x:c r="W2428" s="28" t="n">
        <x:f>L2428-M2428</x:f>
        <x:v>-5</x:v>
      </x:c>
      <x:c r="X2428" s="24" t="n">
        <x:f>IFERROR(K2428/I2428,0)</x:f>
        <x:v>0.35714285714285715</x:v>
      </x:c>
      <x:c r="Y2428" s="24" t="n">
        <x:f>IFERROR(G2428/I2428,0)</x:f>
        <x:v>0.21428571428571427</x:v>
      </x:c>
      <x:c r="Z2428" s="24" t="n">
        <x:f>IFERROR(G2428/K2428,0)</x:f>
        <x:v>0.6</x:v>
      </x:c>
      <x:c r="AA2428" s="24" t="n">
        <x:f>IFERROR(F2428/H2428,0)-IFERROR(G2428/I2428,0)</x:f>
        <x:v>-0.11428571428571427</x:v>
      </x:c>
      <x:c r="AB2428" s="28" t="n">
        <x:f>J2428-K2428</x:f>
        <x:v>-1</x:v>
      </x:c>
      <x:c r="AC2428" s="32" t="n">
        <x:f>F2428-G2428</x:f>
        <x:v>-2</x:v>
      </x:c>
    </x:row>
    <x:row r="2429">
      <x:c r="A2429" s="4" t="str">
        <x:v>2024-25</x:v>
      </x:c>
      <x:c r="B2429" s="20" t="n">
        <x:v>45584</x:v>
      </x:c>
      <x:c r="C2429" s="4" t="str">
        <x:v>Ipswich</x:v>
      </x:c>
      <x:c r="D2429" s="4" t="str">
        <x:v>Everton</x:v>
      </x:c>
      <x:c r="E2429" s="4" t="str">
        <x:v>Home</x:v>
      </x:c>
      <x:c r="F2429" s="28" t="n">
        <x:v>0</x:v>
      </x:c>
      <x:c r="G2429" s="28" t="n">
        <x:v>2</x:v>
      </x:c>
      <x:c r="H2429" s="28" t="n">
        <x:v>13</x:v>
      </x:c>
      <x:c r="I2429" s="28" t="n">
        <x:v>11</x:v>
      </x:c>
      <x:c r="J2429" s="28" t="n">
        <x:v>2</x:v>
      </x:c>
      <x:c r="K2429" s="28" t="n">
        <x:v>8</x:v>
      </x:c>
      <x:c r="L2429" s="28" t="n">
        <x:v>5</x:v>
      </x:c>
      <x:c r="M2429" s="28" t="n">
        <x:v>8</x:v>
      </x:c>
      <x:c r="N2429" s="28" t="n">
        <x:v>1</x:v>
      </x:c>
      <x:c r="O2429" s="28" t="n">
        <x:v>0</x:v>
      </x:c>
      <x:c r="P2429" s="28" t="n">
        <x:v>0</x:v>
      </x:c>
      <x:c r="Q2429" s="24" t="n">
        <x:f>IFERROR(J2429/H2429,0)</x:f>
        <x:v>0.15384615384615385</x:v>
      </x:c>
      <x:c r="R2429" s="24" t="n">
        <x:f>IFERROR(F2429/H2429,0)</x:f>
        <x:v>0</x:v>
      </x:c>
      <x:c r="S2429" s="24" t="n">
        <x:f>IFERROR(F2429/J2429,0)</x:f>
        <x:v>0</x:v>
      </x:c>
      <x:c r="T2429" s="28" t="n">
        <x:f>H2429-I2429</x:f>
        <x:v>2</x:v>
      </x:c>
      <x:c r="U2429" s="24" t="n">
        <x:f>IFERROR(J2429/H2429,0)-IFERROR(K2429/I2429,0)</x:f>
        <x:v>-0.5734265734265734</x:v>
      </x:c>
      <x:c r="V2429" s="24" t="n">
        <x:f>IFERROR(F2429/J2429,0)-IFERROR(G2429/K2429,0)</x:f>
        <x:v>-0.25</x:v>
      </x:c>
      <x:c r="W2429" s="28" t="n">
        <x:f>L2429-M2429</x:f>
        <x:v>-3</x:v>
      </x:c>
      <x:c r="X2429" s="24" t="n">
        <x:f>IFERROR(K2429/I2429,0)</x:f>
        <x:v>0.7272727272727273</x:v>
      </x:c>
      <x:c r="Y2429" s="24" t="n">
        <x:f>IFERROR(G2429/I2429,0)</x:f>
        <x:v>0.18181818181818182</x:v>
      </x:c>
      <x:c r="Z2429" s="24" t="n">
        <x:f>IFERROR(G2429/K2429,0)</x:f>
        <x:v>0.25</x:v>
      </x:c>
      <x:c r="AA2429" s="24" t="n">
        <x:f>IFERROR(F2429/H2429,0)-IFERROR(G2429/I2429,0)</x:f>
        <x:v>-0.18181818181818182</x:v>
      </x:c>
      <x:c r="AB2429" s="28" t="n">
        <x:f>J2429-K2429</x:f>
        <x:v>-6</x:v>
      </x:c>
      <x:c r="AC2429" s="32" t="n">
        <x:f>F2429-G2429</x:f>
        <x:v>-2</x:v>
      </x:c>
    </x:row>
    <x:row r="2430">
      <x:c r="A2430" s="4" t="str">
        <x:v>2024-25</x:v>
      </x:c>
      <x:c r="B2430" s="20" t="n">
        <x:v>45584</x:v>
      </x:c>
      <x:c r="C2430" s="4" t="str">
        <x:v>Leicester</x:v>
      </x:c>
      <x:c r="D2430" s="4" t="str">
        <x:v>Southampton</x:v>
      </x:c>
      <x:c r="E2430" s="4" t="str">
        <x:v>Away</x:v>
      </x:c>
      <x:c r="F2430" s="28" t="n">
        <x:v>3</x:v>
      </x:c>
      <x:c r="G2430" s="28" t="n">
        <x:v>2</x:v>
      </x:c>
      <x:c r="H2430" s="28" t="n">
        <x:v>18</x:v>
      </x:c>
      <x:c r="I2430" s="28" t="n">
        <x:v>14</x:v>
      </x:c>
      <x:c r="J2430" s="28" t="n">
        <x:v>4</x:v>
      </x:c>
      <x:c r="K2430" s="28" t="n">
        <x:v>7</x:v>
      </x:c>
      <x:c r="L2430" s="28" t="n">
        <x:v>6</x:v>
      </x:c>
      <x:c r="M2430" s="28" t="n">
        <x:v>10</x:v>
      </x:c>
      <x:c r="N2430" s="28" t="n">
        <x:v>3</x:v>
      </x:c>
      <x:c r="O2430" s="28" t="n">
        <x:v>0</x:v>
      </x:c>
      <x:c r="P2430" s="28" t="n">
        <x:v>3</x:v>
      </x:c>
      <x:c r="Q2430" s="24" t="n">
        <x:f>IFERROR(J2430/H2430,0)</x:f>
        <x:v>0.2222222222222222</x:v>
      </x:c>
      <x:c r="R2430" s="24" t="n">
        <x:f>IFERROR(F2430/H2430,0)</x:f>
        <x:v>0.16666666666666666</x:v>
      </x:c>
      <x:c r="S2430" s="24" t="n">
        <x:f>IFERROR(F2430/J2430,0)</x:f>
        <x:v>0.75</x:v>
      </x:c>
      <x:c r="T2430" s="28" t="n">
        <x:f>H2430-I2430</x:f>
        <x:v>4</x:v>
      </x:c>
      <x:c r="U2430" s="24" t="n">
        <x:f>IFERROR(J2430/H2430,0)-IFERROR(K2430/I2430,0)</x:f>
        <x:v>-0.2777777777777778</x:v>
      </x:c>
      <x:c r="V2430" s="24" t="n">
        <x:f>IFERROR(F2430/J2430,0)-IFERROR(G2430/K2430,0)</x:f>
        <x:v>0.4642857142857143</x:v>
      </x:c>
      <x:c r="W2430" s="28" t="n">
        <x:f>L2430-M2430</x:f>
        <x:v>-4</x:v>
      </x:c>
      <x:c r="X2430" s="24" t="n">
        <x:f>IFERROR(K2430/I2430,0)</x:f>
        <x:v>0.5</x:v>
      </x:c>
      <x:c r="Y2430" s="24" t="n">
        <x:f>IFERROR(G2430/I2430,0)</x:f>
        <x:v>0.14285714285714285</x:v>
      </x:c>
      <x:c r="Z2430" s="24" t="n">
        <x:f>IFERROR(G2430/K2430,0)</x:f>
        <x:v>0.2857142857142857</x:v>
      </x:c>
      <x:c r="AA2430" s="24" t="n">
        <x:f>IFERROR(F2430/H2430,0)-IFERROR(G2430/I2430,0)</x:f>
        <x:v>0.023809523809523808</x:v>
      </x:c>
      <x:c r="AB2430" s="28" t="n">
        <x:f>J2430-K2430</x:f>
        <x:v>-3</x:v>
      </x:c>
      <x:c r="AC2430" s="32" t="n">
        <x:f>F2430-G2430</x:f>
        <x:v>1</x:v>
      </x:c>
    </x:row>
    <x:row r="2431">
      <x:c r="A2431" s="4" t="str">
        <x:v>2024-25</x:v>
      </x:c>
      <x:c r="B2431" s="20" t="n">
        <x:v>45584</x:v>
      </x:c>
      <x:c r="C2431" s="4" t="str">
        <x:v>Man United</x:v>
      </x:c>
      <x:c r="D2431" s="4" t="str">
        <x:v>Brentford</x:v>
      </x:c>
      <x:c r="E2431" s="4" t="str">
        <x:v>Home</x:v>
      </x:c>
      <x:c r="F2431" s="28" t="n">
        <x:v>2</x:v>
      </x:c>
      <x:c r="G2431" s="28" t="n">
        <x:v>1</x:v>
      </x:c>
      <x:c r="H2431" s="28" t="n">
        <x:v>23</x:v>
      </x:c>
      <x:c r="I2431" s="28" t="n">
        <x:v>8</x:v>
      </x:c>
      <x:c r="J2431" s="28" t="n">
        <x:v>11</x:v>
      </x:c>
      <x:c r="K2431" s="28" t="n">
        <x:v>2</x:v>
      </x:c>
      <x:c r="L2431" s="28" t="n">
        <x:v>9</x:v>
      </x:c>
      <x:c r="M2431" s="28" t="n">
        <x:v>2</x:v>
      </x:c>
      <x:c r="N2431" s="28" t="n">
        <x:v>2</x:v>
      </x:c>
      <x:c r="O2431" s="28" t="n">
        <x:v>0</x:v>
      </x:c>
      <x:c r="P2431" s="28" t="n">
        <x:v>3</x:v>
      </x:c>
      <x:c r="Q2431" s="24" t="n">
        <x:f>IFERROR(J2431/H2431,0)</x:f>
        <x:v>0.4782608695652174</x:v>
      </x:c>
      <x:c r="R2431" s="24" t="n">
        <x:f>IFERROR(F2431/H2431,0)</x:f>
        <x:v>0.08695652173913043</x:v>
      </x:c>
      <x:c r="S2431" s="24" t="n">
        <x:f>IFERROR(F2431/J2431,0)</x:f>
        <x:v>0.18181818181818182</x:v>
      </x:c>
      <x:c r="T2431" s="28" t="n">
        <x:f>H2431-I2431</x:f>
        <x:v>15</x:v>
      </x:c>
      <x:c r="U2431" s="24" t="n">
        <x:f>IFERROR(J2431/H2431,0)-IFERROR(K2431/I2431,0)</x:f>
        <x:v>0.2282608695652174</x:v>
      </x:c>
      <x:c r="V2431" s="24" t="n">
        <x:f>IFERROR(F2431/J2431,0)-IFERROR(G2431/K2431,0)</x:f>
        <x:v>-0.3181818181818182</x:v>
      </x:c>
      <x:c r="W2431" s="28" t="n">
        <x:f>L2431-M2431</x:f>
        <x:v>7</x:v>
      </x:c>
      <x:c r="X2431" s="24" t="n">
        <x:f>IFERROR(K2431/I2431,0)</x:f>
        <x:v>0.25</x:v>
      </x:c>
      <x:c r="Y2431" s="24" t="n">
        <x:f>IFERROR(G2431/I2431,0)</x:f>
        <x:v>0.125</x:v>
      </x:c>
      <x:c r="Z2431" s="24" t="n">
        <x:f>IFERROR(G2431/K2431,0)</x:f>
        <x:v>0.5</x:v>
      </x:c>
      <x:c r="AA2431" s="24" t="n">
        <x:f>IFERROR(F2431/H2431,0)-IFERROR(G2431/I2431,0)</x:f>
        <x:v>-0.03804347826086957</x:v>
      </x:c>
      <x:c r="AB2431" s="28" t="n">
        <x:f>J2431-K2431</x:f>
        <x:v>9</x:v>
      </x:c>
      <x:c r="AC2431" s="32" t="n">
        <x:f>F2431-G2431</x:f>
        <x:v>1</x:v>
      </x:c>
    </x:row>
    <x:row r="2432">
      <x:c r="A2432" s="4" t="str">
        <x:v>2024-25</x:v>
      </x:c>
      <x:c r="B2432" s="20" t="n">
        <x:v>45584</x:v>
      </x:c>
      <x:c r="C2432" s="4" t="str">
        <x:v>Newcastle</x:v>
      </x:c>
      <x:c r="D2432" s="4" t="str">
        <x:v>Brighton</x:v>
      </x:c>
      <x:c r="E2432" s="4" t="str">
        <x:v>Home</x:v>
      </x:c>
      <x:c r="F2432" s="28" t="n">
        <x:v>0</x:v>
      </x:c>
      <x:c r="G2432" s="28" t="n">
        <x:v>1</x:v>
      </x:c>
      <x:c r="H2432" s="28" t="n">
        <x:v>21</x:v>
      </x:c>
      <x:c r="I2432" s="28" t="n">
        <x:v>10</x:v>
      </x:c>
      <x:c r="J2432" s="28" t="n">
        <x:v>6</x:v>
      </x:c>
      <x:c r="K2432" s="28" t="n">
        <x:v>5</x:v>
      </x:c>
      <x:c r="L2432" s="28" t="n">
        <x:v>9</x:v>
      </x:c>
      <x:c r="M2432" s="28" t="n">
        <x:v>4</x:v>
      </x:c>
      <x:c r="N2432" s="28" t="n">
        <x:v>2</x:v>
      </x:c>
      <x:c r="O2432" s="28" t="n">
        <x:v>0</x:v>
      </x:c>
      <x:c r="P2432" s="28" t="n">
        <x:v>0</x:v>
      </x:c>
      <x:c r="Q2432" s="24" t="n">
        <x:f>IFERROR(J2432/H2432,0)</x:f>
        <x:v>0.2857142857142857</x:v>
      </x:c>
      <x:c r="R2432" s="24" t="n">
        <x:f>IFERROR(F2432/H2432,0)</x:f>
        <x:v>0</x:v>
      </x:c>
      <x:c r="S2432" s="24" t="n">
        <x:f>IFERROR(F2432/J2432,0)</x:f>
        <x:v>0</x:v>
      </x:c>
      <x:c r="T2432" s="28" t="n">
        <x:f>H2432-I2432</x:f>
        <x:v>11</x:v>
      </x:c>
      <x:c r="U2432" s="24" t="n">
        <x:f>IFERROR(J2432/H2432,0)-IFERROR(K2432/I2432,0)</x:f>
        <x:v>-0.2142857142857143</x:v>
      </x:c>
      <x:c r="V2432" s="24" t="n">
        <x:f>IFERROR(F2432/J2432,0)-IFERROR(G2432/K2432,0)</x:f>
        <x:v>-0.2</x:v>
      </x:c>
      <x:c r="W2432" s="28" t="n">
        <x:f>L2432-M2432</x:f>
        <x:v>5</x:v>
      </x:c>
      <x:c r="X2432" s="24" t="n">
        <x:f>IFERROR(K2432/I2432,0)</x:f>
        <x:v>0.5</x:v>
      </x:c>
      <x:c r="Y2432" s="24" t="n">
        <x:f>IFERROR(G2432/I2432,0)</x:f>
        <x:v>0.1</x:v>
      </x:c>
      <x:c r="Z2432" s="24" t="n">
        <x:f>IFERROR(G2432/K2432,0)</x:f>
        <x:v>0.2</x:v>
      </x:c>
      <x:c r="AA2432" s="24" t="n">
        <x:f>IFERROR(F2432/H2432,0)-IFERROR(G2432/I2432,0)</x:f>
        <x:v>-0.1</x:v>
      </x:c>
      <x:c r="AB2432" s="28" t="n">
        <x:f>J2432-K2432</x:f>
        <x:v>1</x:v>
      </x:c>
      <x:c r="AC2432" s="32" t="n">
        <x:f>F2432-G2432</x:f>
        <x:v>-1</x:v>
      </x:c>
    </x:row>
    <x:row r="2433">
      <x:c r="A2433" s="4" t="str">
        <x:v>2024-25</x:v>
      </x:c>
      <x:c r="B2433" s="20" t="n">
        <x:v>45584</x:v>
      </x:c>
      <x:c r="C2433" s="4" t="str">
        <x:v>Southampton</x:v>
      </x:c>
      <x:c r="D2433" s="4" t="str">
        <x:v>Leicester</x:v>
      </x:c>
      <x:c r="E2433" s="4" t="str">
        <x:v>Home</x:v>
      </x:c>
      <x:c r="F2433" s="28" t="n">
        <x:v>2</x:v>
      </x:c>
      <x:c r="G2433" s="28" t="n">
        <x:v>3</x:v>
      </x:c>
      <x:c r="H2433" s="28" t="n">
        <x:v>14</x:v>
      </x:c>
      <x:c r="I2433" s="28" t="n">
        <x:v>18</x:v>
      </x:c>
      <x:c r="J2433" s="28" t="n">
        <x:v>7</x:v>
      </x:c>
      <x:c r="K2433" s="28" t="n">
        <x:v>4</x:v>
      </x:c>
      <x:c r="L2433" s="28" t="n">
        <x:v>10</x:v>
      </x:c>
      <x:c r="M2433" s="28" t="n">
        <x:v>6</x:v>
      </x:c>
      <x:c r="N2433" s="28" t="n">
        <x:v>5</x:v>
      </x:c>
      <x:c r="O2433" s="28" t="n">
        <x:v>1</x:v>
      </x:c>
      <x:c r="P2433" s="28" t="n">
        <x:v>0</x:v>
      </x:c>
      <x:c r="Q2433" s="24" t="n">
        <x:f>IFERROR(J2433/H2433,0)</x:f>
        <x:v>0.5</x:v>
      </x:c>
      <x:c r="R2433" s="24" t="n">
        <x:f>IFERROR(F2433/H2433,0)</x:f>
        <x:v>0.14285714285714285</x:v>
      </x:c>
      <x:c r="S2433" s="24" t="n">
        <x:f>IFERROR(F2433/J2433,0)</x:f>
        <x:v>0.2857142857142857</x:v>
      </x:c>
      <x:c r="T2433" s="28" t="n">
        <x:f>H2433-I2433</x:f>
        <x:v>-4</x:v>
      </x:c>
      <x:c r="U2433" s="24" t="n">
        <x:f>IFERROR(J2433/H2433,0)-IFERROR(K2433/I2433,0)</x:f>
        <x:v>0.2777777777777778</x:v>
      </x:c>
      <x:c r="V2433" s="24" t="n">
        <x:f>IFERROR(F2433/J2433,0)-IFERROR(G2433/K2433,0)</x:f>
        <x:v>-0.4642857142857143</x:v>
      </x:c>
      <x:c r="W2433" s="28" t="n">
        <x:f>L2433-M2433</x:f>
        <x:v>4</x:v>
      </x:c>
      <x:c r="X2433" s="24" t="n">
        <x:f>IFERROR(K2433/I2433,0)</x:f>
        <x:v>0.2222222222222222</x:v>
      </x:c>
      <x:c r="Y2433" s="24" t="n">
        <x:f>IFERROR(G2433/I2433,0)</x:f>
        <x:v>0.16666666666666666</x:v>
      </x:c>
      <x:c r="Z2433" s="24" t="n">
        <x:f>IFERROR(G2433/K2433,0)</x:f>
        <x:v>0.75</x:v>
      </x:c>
      <x:c r="AA2433" s="24" t="n">
        <x:f>IFERROR(F2433/H2433,0)-IFERROR(G2433/I2433,0)</x:f>
        <x:v>-0.023809523809523808</x:v>
      </x:c>
      <x:c r="AB2433" s="28" t="n">
        <x:f>J2433-K2433</x:f>
        <x:v>3</x:v>
      </x:c>
      <x:c r="AC2433" s="32" t="n">
        <x:f>F2433-G2433</x:f>
        <x:v>-1</x:v>
      </x:c>
    </x:row>
    <x:row r="2434">
      <x:c r="A2434" s="4" t="str">
        <x:v>2024-25</x:v>
      </x:c>
      <x:c r="B2434" s="20" t="n">
        <x:v>45584</x:v>
      </x:c>
      <x:c r="C2434" s="4" t="str">
        <x:v>Tottenham</x:v>
      </x:c>
      <x:c r="D2434" s="4" t="str">
        <x:v>West Ham</x:v>
      </x:c>
      <x:c r="E2434" s="4" t="str">
        <x:v>Home</x:v>
      </x:c>
      <x:c r="F2434" s="28" t="n">
        <x:v>4</x:v>
      </x:c>
      <x:c r="G2434" s="28" t="n">
        <x:v>1</x:v>
      </x:c>
      <x:c r="H2434" s="28" t="n">
        <x:v>22</x:v>
      </x:c>
      <x:c r="I2434" s="28" t="n">
        <x:v>11</x:v>
      </x:c>
      <x:c r="J2434" s="28" t="n">
        <x:v>7</x:v>
      </x:c>
      <x:c r="K2434" s="28" t="n">
        <x:v>4</x:v>
      </x:c>
      <x:c r="L2434" s="28" t="n">
        <x:v>13</x:v>
      </x:c>
      <x:c r="M2434" s="28" t="n">
        <x:v>5</x:v>
      </x:c>
      <x:c r="N2434" s="28" t="n">
        <x:v>1</x:v>
      </x:c>
      <x:c r="O2434" s="28" t="n">
        <x:v>0</x:v>
      </x:c>
      <x:c r="P2434" s="28" t="n">
        <x:v>3</x:v>
      </x:c>
      <x:c r="Q2434" s="24" t="n">
        <x:f>IFERROR(J2434/H2434,0)</x:f>
        <x:v>0.3181818181818182</x:v>
      </x:c>
      <x:c r="R2434" s="24" t="n">
        <x:f>IFERROR(F2434/H2434,0)</x:f>
        <x:v>0.18181818181818182</x:v>
      </x:c>
      <x:c r="S2434" s="24" t="n">
        <x:f>IFERROR(F2434/J2434,0)</x:f>
        <x:v>0.5714285714285714</x:v>
      </x:c>
      <x:c r="T2434" s="28" t="n">
        <x:f>H2434-I2434</x:f>
        <x:v>11</x:v>
      </x:c>
      <x:c r="U2434" s="24" t="n">
        <x:f>IFERROR(J2434/H2434,0)-IFERROR(K2434/I2434,0)</x:f>
        <x:v>-0.04545454545454547</x:v>
      </x:c>
      <x:c r="V2434" s="24" t="n">
        <x:f>IFERROR(F2434/J2434,0)-IFERROR(G2434/K2434,0)</x:f>
        <x:v>0.3214285714285714</x:v>
      </x:c>
      <x:c r="W2434" s="28" t="n">
        <x:f>L2434-M2434</x:f>
        <x:v>8</x:v>
      </x:c>
      <x:c r="X2434" s="24" t="n">
        <x:f>IFERROR(K2434/I2434,0)</x:f>
        <x:v>0.36363636363636365</x:v>
      </x:c>
      <x:c r="Y2434" s="24" t="n">
        <x:f>IFERROR(G2434/I2434,0)</x:f>
        <x:v>0.09090909090909091</x:v>
      </x:c>
      <x:c r="Z2434" s="24" t="n">
        <x:f>IFERROR(G2434/K2434,0)</x:f>
        <x:v>0.25</x:v>
      </x:c>
      <x:c r="AA2434" s="24" t="n">
        <x:f>IFERROR(F2434/H2434,0)-IFERROR(G2434/I2434,0)</x:f>
        <x:v>0.09090909090909091</x:v>
      </x:c>
      <x:c r="AB2434" s="28" t="n">
        <x:f>J2434-K2434</x:f>
        <x:v>3</x:v>
      </x:c>
      <x:c r="AC2434" s="32" t="n">
        <x:f>F2434-G2434</x:f>
        <x:v>3</x:v>
      </x:c>
    </x:row>
    <x:row r="2435">
      <x:c r="A2435" s="4" t="str">
        <x:v>2024-25</x:v>
      </x:c>
      <x:c r="B2435" s="20" t="n">
        <x:v>45584</x:v>
      </x:c>
      <x:c r="C2435" s="4" t="str">
        <x:v>West Ham</x:v>
      </x:c>
      <x:c r="D2435" s="4" t="str">
        <x:v>Tottenham</x:v>
      </x:c>
      <x:c r="E2435" s="4" t="str">
        <x:v>Away</x:v>
      </x:c>
      <x:c r="F2435" s="28" t="n">
        <x:v>1</x:v>
      </x:c>
      <x:c r="G2435" s="28" t="n">
        <x:v>4</x:v>
      </x:c>
      <x:c r="H2435" s="28" t="n">
        <x:v>11</x:v>
      </x:c>
      <x:c r="I2435" s="28" t="n">
        <x:v>22</x:v>
      </x:c>
      <x:c r="J2435" s="28" t="n">
        <x:v>4</x:v>
      </x:c>
      <x:c r="K2435" s="28" t="n">
        <x:v>7</x:v>
      </x:c>
      <x:c r="L2435" s="28" t="n">
        <x:v>5</x:v>
      </x:c>
      <x:c r="M2435" s="28" t="n">
        <x:v>13</x:v>
      </x:c>
      <x:c r="N2435" s="28" t="n">
        <x:v>3</x:v>
      </x:c>
      <x:c r="O2435" s="28" t="n">
        <x:v>1</x:v>
      </x:c>
      <x:c r="P2435" s="28" t="n">
        <x:v>0</x:v>
      </x:c>
      <x:c r="Q2435" s="24" t="n">
        <x:f>IFERROR(J2435/H2435,0)</x:f>
        <x:v>0.36363636363636365</x:v>
      </x:c>
      <x:c r="R2435" s="24" t="n">
        <x:f>IFERROR(F2435/H2435,0)</x:f>
        <x:v>0.09090909090909091</x:v>
      </x:c>
      <x:c r="S2435" s="24" t="n">
        <x:f>IFERROR(F2435/J2435,0)</x:f>
        <x:v>0.25</x:v>
      </x:c>
      <x:c r="T2435" s="28" t="n">
        <x:f>H2435-I2435</x:f>
        <x:v>-11</x:v>
      </x:c>
      <x:c r="U2435" s="24" t="n">
        <x:f>IFERROR(J2435/H2435,0)-IFERROR(K2435/I2435,0)</x:f>
        <x:v>0.04545454545454547</x:v>
      </x:c>
      <x:c r="V2435" s="24" t="n">
        <x:f>IFERROR(F2435/J2435,0)-IFERROR(G2435/K2435,0)</x:f>
        <x:v>-0.3214285714285714</x:v>
      </x:c>
      <x:c r="W2435" s="28" t="n">
        <x:f>L2435-M2435</x:f>
        <x:v>-8</x:v>
      </x:c>
      <x:c r="X2435" s="24" t="n">
        <x:f>IFERROR(K2435/I2435,0)</x:f>
        <x:v>0.3181818181818182</x:v>
      </x:c>
      <x:c r="Y2435" s="24" t="n">
        <x:f>IFERROR(G2435/I2435,0)</x:f>
        <x:v>0.18181818181818182</x:v>
      </x:c>
      <x:c r="Z2435" s="24" t="n">
        <x:f>IFERROR(G2435/K2435,0)</x:f>
        <x:v>0.5714285714285714</x:v>
      </x:c>
      <x:c r="AA2435" s="24" t="n">
        <x:f>IFERROR(F2435/H2435,0)-IFERROR(G2435/I2435,0)</x:f>
        <x:v>-0.09090909090909091</x:v>
      </x:c>
      <x:c r="AB2435" s="28" t="n">
        <x:f>J2435-K2435</x:f>
        <x:v>-3</x:v>
      </x:c>
      <x:c r="AC2435" s="32" t="n">
        <x:f>F2435-G2435</x:f>
        <x:v>-3</x:v>
      </x:c>
    </x:row>
    <x:row r="2436">
      <x:c r="A2436" s="4" t="str">
        <x:v>2024-25</x:v>
      </x:c>
      <x:c r="B2436" s="20" t="n">
        <x:v>45585</x:v>
      </x:c>
      <x:c r="C2436" s="4" t="str">
        <x:v>Chelsea</x:v>
      </x:c>
      <x:c r="D2436" s="4" t="str">
        <x:v>Liverpool</x:v>
      </x:c>
      <x:c r="E2436" s="4" t="str">
        <x:v>Away</x:v>
      </x:c>
      <x:c r="F2436" s="28" t="n">
        <x:v>1</x:v>
      </x:c>
      <x:c r="G2436" s="28" t="n">
        <x:v>2</x:v>
      </x:c>
      <x:c r="H2436" s="28" t="n">
        <x:v>12</x:v>
      </x:c>
      <x:c r="I2436" s="28" t="n">
        <x:v>9</x:v>
      </x:c>
      <x:c r="J2436" s="28" t="n">
        <x:v>2</x:v>
      </x:c>
      <x:c r="K2436" s="28" t="n">
        <x:v>5</x:v>
      </x:c>
      <x:c r="L2436" s="28" t="n">
        <x:v>6</x:v>
      </x:c>
      <x:c r="M2436" s="28" t="n">
        <x:v>1</x:v>
      </x:c>
      <x:c r="N2436" s="28" t="n">
        <x:v>3</x:v>
      </x:c>
      <x:c r="O2436" s="28" t="n">
        <x:v>0</x:v>
      </x:c>
      <x:c r="P2436" s="28" t="n">
        <x:v>0</x:v>
      </x:c>
      <x:c r="Q2436" s="24" t="n">
        <x:f>IFERROR(J2436/H2436,0)</x:f>
        <x:v>0.16666666666666666</x:v>
      </x:c>
      <x:c r="R2436" s="24" t="n">
        <x:f>IFERROR(F2436/H2436,0)</x:f>
        <x:v>0.08333333333333333</x:v>
      </x:c>
      <x:c r="S2436" s="24" t="n">
        <x:f>IFERROR(F2436/J2436,0)</x:f>
        <x:v>0.5</x:v>
      </x:c>
      <x:c r="T2436" s="28" t="n">
        <x:f>H2436-I2436</x:f>
        <x:v>3</x:v>
      </x:c>
      <x:c r="U2436" s="24" t="n">
        <x:f>IFERROR(J2436/H2436,0)-IFERROR(K2436/I2436,0)</x:f>
        <x:v>-0.38888888888888895</x:v>
      </x:c>
      <x:c r="V2436" s="24" t="n">
        <x:f>IFERROR(F2436/J2436,0)-IFERROR(G2436/K2436,0)</x:f>
        <x:v>0.09999999999999998</x:v>
      </x:c>
      <x:c r="W2436" s="28" t="n">
        <x:f>L2436-M2436</x:f>
        <x:v>5</x:v>
      </x:c>
      <x:c r="X2436" s="24" t="n">
        <x:f>IFERROR(K2436/I2436,0)</x:f>
        <x:v>0.5555555555555556</x:v>
      </x:c>
      <x:c r="Y2436" s="24" t="n">
        <x:f>IFERROR(G2436/I2436,0)</x:f>
        <x:v>0.2222222222222222</x:v>
      </x:c>
      <x:c r="Z2436" s="24" t="n">
        <x:f>IFERROR(G2436/K2436,0)</x:f>
        <x:v>0.4</x:v>
      </x:c>
      <x:c r="AA2436" s="24" t="n">
        <x:f>IFERROR(F2436/H2436,0)-IFERROR(G2436/I2436,0)</x:f>
        <x:v>-0.1388888888888889</x:v>
      </x:c>
      <x:c r="AB2436" s="28" t="n">
        <x:f>J2436-K2436</x:f>
        <x:v>-3</x:v>
      </x:c>
      <x:c r="AC2436" s="32" t="n">
        <x:f>F2436-G2436</x:f>
        <x:v>-1</x:v>
      </x:c>
    </x:row>
    <x:row r="2437">
      <x:c r="A2437" s="4" t="str">
        <x:v>2024-25</x:v>
      </x:c>
      <x:c r="B2437" s="20" t="n">
        <x:v>45585</x:v>
      </x:c>
      <x:c r="C2437" s="4" t="str">
        <x:v>Liverpool</x:v>
      </x:c>
      <x:c r="D2437" s="4" t="str">
        <x:v>Chelsea</x:v>
      </x:c>
      <x:c r="E2437" s="4" t="str">
        <x:v>Home</x:v>
      </x:c>
      <x:c r="F2437" s="28" t="n">
        <x:v>2</x:v>
      </x:c>
      <x:c r="G2437" s="28" t="n">
        <x:v>1</x:v>
      </x:c>
      <x:c r="H2437" s="28" t="n">
        <x:v>9</x:v>
      </x:c>
      <x:c r="I2437" s="28" t="n">
        <x:v>12</x:v>
      </x:c>
      <x:c r="J2437" s="28" t="n">
        <x:v>5</x:v>
      </x:c>
      <x:c r="K2437" s="28" t="n">
        <x:v>2</x:v>
      </x:c>
      <x:c r="L2437" s="28" t="n">
        <x:v>1</x:v>
      </x:c>
      <x:c r="M2437" s="28" t="n">
        <x:v>6</x:v>
      </x:c>
      <x:c r="N2437" s="28" t="n">
        <x:v>4</x:v>
      </x:c>
      <x:c r="O2437" s="28" t="n">
        <x:v>0</x:v>
      </x:c>
      <x:c r="P2437" s="28" t="n">
        <x:v>3</x:v>
      </x:c>
      <x:c r="Q2437" s="24" t="n">
        <x:f>IFERROR(J2437/H2437,0)</x:f>
        <x:v>0.5555555555555556</x:v>
      </x:c>
      <x:c r="R2437" s="24" t="n">
        <x:f>IFERROR(F2437/H2437,0)</x:f>
        <x:v>0.2222222222222222</x:v>
      </x:c>
      <x:c r="S2437" s="24" t="n">
        <x:f>IFERROR(F2437/J2437,0)</x:f>
        <x:v>0.4</x:v>
      </x:c>
      <x:c r="T2437" s="28" t="n">
        <x:f>H2437-I2437</x:f>
        <x:v>-3</x:v>
      </x:c>
      <x:c r="U2437" s="24" t="n">
        <x:f>IFERROR(J2437/H2437,0)-IFERROR(K2437/I2437,0)</x:f>
        <x:v>0.38888888888888895</x:v>
      </x:c>
      <x:c r="V2437" s="24" t="n">
        <x:f>IFERROR(F2437/J2437,0)-IFERROR(G2437/K2437,0)</x:f>
        <x:v>-0.09999999999999998</x:v>
      </x:c>
      <x:c r="W2437" s="28" t="n">
        <x:f>L2437-M2437</x:f>
        <x:v>-5</x:v>
      </x:c>
      <x:c r="X2437" s="24" t="n">
        <x:f>IFERROR(K2437/I2437,0)</x:f>
        <x:v>0.16666666666666666</x:v>
      </x:c>
      <x:c r="Y2437" s="24" t="n">
        <x:f>IFERROR(G2437/I2437,0)</x:f>
        <x:v>0.08333333333333333</x:v>
      </x:c>
      <x:c r="Z2437" s="24" t="n">
        <x:f>IFERROR(G2437/K2437,0)</x:f>
        <x:v>0.5</x:v>
      </x:c>
      <x:c r="AA2437" s="24" t="n">
        <x:f>IFERROR(F2437/H2437,0)-IFERROR(G2437/I2437,0)</x:f>
        <x:v>0.1388888888888889</x:v>
      </x:c>
      <x:c r="AB2437" s="28" t="n">
        <x:f>J2437-K2437</x:f>
        <x:v>3</x:v>
      </x:c>
      <x:c r="AC2437" s="32" t="n">
        <x:f>F2437-G2437</x:f>
        <x:v>1</x:v>
      </x:c>
    </x:row>
    <x:row r="2438">
      <x:c r="A2438" s="4" t="str">
        <x:v>2024-25</x:v>
      </x:c>
      <x:c r="B2438" s="20" t="n">
        <x:v>45585</x:v>
      </x:c>
      <x:c r="C2438" s="4" t="str">
        <x:v>Man City</x:v>
      </x:c>
      <x:c r="D2438" s="4" t="str">
        <x:v>Wolves</x:v>
      </x:c>
      <x:c r="E2438" s="4" t="str">
        <x:v>Away</x:v>
      </x:c>
      <x:c r="F2438" s="28" t="n">
        <x:v>2</x:v>
      </x:c>
      <x:c r="G2438" s="28" t="n">
        <x:v>1</x:v>
      </x:c>
      <x:c r="H2438" s="28" t="n">
        <x:v>22</x:v>
      </x:c>
      <x:c r="I2438" s="28" t="n">
        <x:v>3</x:v>
      </x:c>
      <x:c r="J2438" s="28" t="n">
        <x:v>7</x:v>
      </x:c>
      <x:c r="K2438" s="28" t="n">
        <x:v>2</x:v>
      </x:c>
      <x:c r="L2438" s="28" t="n">
        <x:v>18</x:v>
      </x:c>
      <x:c r="M2438" s="28" t="n">
        <x:v>1</x:v>
      </x:c>
      <x:c r="N2438" s="28" t="n">
        <x:v>1</x:v>
      </x:c>
      <x:c r="O2438" s="28" t="n">
        <x:v>0</x:v>
      </x:c>
      <x:c r="P2438" s="28" t="n">
        <x:v>3</x:v>
      </x:c>
      <x:c r="Q2438" s="24" t="n">
        <x:f>IFERROR(J2438/H2438,0)</x:f>
        <x:v>0.3181818181818182</x:v>
      </x:c>
      <x:c r="R2438" s="24" t="n">
        <x:f>IFERROR(F2438/H2438,0)</x:f>
        <x:v>0.09090909090909091</x:v>
      </x:c>
      <x:c r="S2438" s="24" t="n">
        <x:f>IFERROR(F2438/J2438,0)</x:f>
        <x:v>0.2857142857142857</x:v>
      </x:c>
      <x:c r="T2438" s="28" t="n">
        <x:f>H2438-I2438</x:f>
        <x:v>19</x:v>
      </x:c>
      <x:c r="U2438" s="24" t="n">
        <x:f>IFERROR(J2438/H2438,0)-IFERROR(K2438/I2438,0)</x:f>
        <x:v>-0.34848484848484845</x:v>
      </x:c>
      <x:c r="V2438" s="24" t="n">
        <x:f>IFERROR(F2438/J2438,0)-IFERROR(G2438/K2438,0)</x:f>
        <x:v>-0.2142857142857143</x:v>
      </x:c>
      <x:c r="W2438" s="28" t="n">
        <x:f>L2438-M2438</x:f>
        <x:v>17</x:v>
      </x:c>
      <x:c r="X2438" s="24" t="n">
        <x:f>IFERROR(K2438/I2438,0)</x:f>
        <x:v>0.6666666666666666</x:v>
      </x:c>
      <x:c r="Y2438" s="24" t="n">
        <x:f>IFERROR(G2438/I2438,0)</x:f>
        <x:v>0.3333333333333333</x:v>
      </x:c>
      <x:c r="Z2438" s="24" t="n">
        <x:f>IFERROR(G2438/K2438,0)</x:f>
        <x:v>0.5</x:v>
      </x:c>
      <x:c r="AA2438" s="24" t="n">
        <x:f>IFERROR(F2438/H2438,0)-IFERROR(G2438/I2438,0)</x:f>
        <x:v>-0.2424242424242424</x:v>
      </x:c>
      <x:c r="AB2438" s="28" t="n">
        <x:f>J2438-K2438</x:f>
        <x:v>5</x:v>
      </x:c>
      <x:c r="AC2438" s="32" t="n">
        <x:f>F2438-G2438</x:f>
        <x:v>1</x:v>
      </x:c>
    </x:row>
    <x:row r="2439">
      <x:c r="A2439" s="4" t="str">
        <x:v>2024-25</x:v>
      </x:c>
      <x:c r="B2439" s="20" t="n">
        <x:v>45585</x:v>
      </x:c>
      <x:c r="C2439" s="4" t="str">
        <x:v>Wolves</x:v>
      </x:c>
      <x:c r="D2439" s="4" t="str">
        <x:v>Man City</x:v>
      </x:c>
      <x:c r="E2439" s="4" t="str">
        <x:v>Home</x:v>
      </x:c>
      <x:c r="F2439" s="28" t="n">
        <x:v>1</x:v>
      </x:c>
      <x:c r="G2439" s="28" t="n">
        <x:v>2</x:v>
      </x:c>
      <x:c r="H2439" s="28" t="n">
        <x:v>3</x:v>
      </x:c>
      <x:c r="I2439" s="28" t="n">
        <x:v>22</x:v>
      </x:c>
      <x:c r="J2439" s="28" t="n">
        <x:v>2</x:v>
      </x:c>
      <x:c r="K2439" s="28" t="n">
        <x:v>7</x:v>
      </x:c>
      <x:c r="L2439" s="28" t="n">
        <x:v>1</x:v>
      </x:c>
      <x:c r="M2439" s="28" t="n">
        <x:v>18</x:v>
      </x:c>
      <x:c r="N2439" s="28" t="n">
        <x:v>4</x:v>
      </x:c>
      <x:c r="O2439" s="28" t="n">
        <x:v>0</x:v>
      </x:c>
      <x:c r="P2439" s="28" t="n">
        <x:v>0</x:v>
      </x:c>
      <x:c r="Q2439" s="24" t="n">
        <x:f>IFERROR(J2439/H2439,0)</x:f>
        <x:v>0.6666666666666666</x:v>
      </x:c>
      <x:c r="R2439" s="24" t="n">
        <x:f>IFERROR(F2439/H2439,0)</x:f>
        <x:v>0.3333333333333333</x:v>
      </x:c>
      <x:c r="S2439" s="24" t="n">
        <x:f>IFERROR(F2439/J2439,0)</x:f>
        <x:v>0.5</x:v>
      </x:c>
      <x:c r="T2439" s="28" t="n">
        <x:f>H2439-I2439</x:f>
        <x:v>-19</x:v>
      </x:c>
      <x:c r="U2439" s="24" t="n">
        <x:f>IFERROR(J2439/H2439,0)-IFERROR(K2439/I2439,0)</x:f>
        <x:v>0.34848484848484845</x:v>
      </x:c>
      <x:c r="V2439" s="24" t="n">
        <x:f>IFERROR(F2439/J2439,0)-IFERROR(G2439/K2439,0)</x:f>
        <x:v>0.2142857142857143</x:v>
      </x:c>
      <x:c r="W2439" s="28" t="n">
        <x:f>L2439-M2439</x:f>
        <x:v>-17</x:v>
      </x:c>
      <x:c r="X2439" s="24" t="n">
        <x:f>IFERROR(K2439/I2439,0)</x:f>
        <x:v>0.3181818181818182</x:v>
      </x:c>
      <x:c r="Y2439" s="24" t="n">
        <x:f>IFERROR(G2439/I2439,0)</x:f>
        <x:v>0.09090909090909091</x:v>
      </x:c>
      <x:c r="Z2439" s="24" t="n">
        <x:f>IFERROR(G2439/K2439,0)</x:f>
        <x:v>0.2857142857142857</x:v>
      </x:c>
      <x:c r="AA2439" s="24" t="n">
        <x:f>IFERROR(F2439/H2439,0)-IFERROR(G2439/I2439,0)</x:f>
        <x:v>0.2424242424242424</x:v>
      </x:c>
      <x:c r="AB2439" s="28" t="n">
        <x:f>J2439-K2439</x:f>
        <x:v>-5</x:v>
      </x:c>
      <x:c r="AC2439" s="32" t="n">
        <x:f>F2439-G2439</x:f>
        <x:v>-1</x:v>
      </x:c>
    </x:row>
    <x:row r="2440">
      <x:c r="A2440" s="4" t="str">
        <x:v>2024-25</x:v>
      </x:c>
      <x:c r="B2440" s="20" t="n">
        <x:v>45586</x:v>
      </x:c>
      <x:c r="C2440" s="4" t="str">
        <x:v>Crystal Palace</x:v>
      </x:c>
      <x:c r="D2440" s="4" t="str">
        <x:v>Nott'm Forest</x:v>
      </x:c>
      <x:c r="E2440" s="4" t="str">
        <x:v>Away</x:v>
      </x:c>
      <x:c r="F2440" s="28" t="n">
        <x:v>0</x:v>
      </x:c>
      <x:c r="G2440" s="28" t="n">
        <x:v>1</x:v>
      </x:c>
      <x:c r="H2440" s="28" t="n">
        <x:v>20</x:v>
      </x:c>
      <x:c r="I2440" s="28" t="n">
        <x:v>20</x:v>
      </x:c>
      <x:c r="J2440" s="28" t="n">
        <x:v>7</x:v>
      </x:c>
      <x:c r="K2440" s="28" t="n">
        <x:v>6</x:v>
      </x:c>
      <x:c r="L2440" s="28" t="n">
        <x:v>6</x:v>
      </x:c>
      <x:c r="M2440" s="28" t="n">
        <x:v>6</x:v>
      </x:c>
      <x:c r="N2440" s="28" t="n">
        <x:v>3</x:v>
      </x:c>
      <x:c r="O2440" s="28" t="n">
        <x:v>0</x:v>
      </x:c>
      <x:c r="P2440" s="28" t="n">
        <x:v>0</x:v>
      </x:c>
      <x:c r="Q2440" s="24" t="n">
        <x:f>IFERROR(J2440/H2440,0)</x:f>
        <x:v>0.35</x:v>
      </x:c>
      <x:c r="R2440" s="24" t="n">
        <x:f>IFERROR(F2440/H2440,0)</x:f>
        <x:v>0</x:v>
      </x:c>
      <x:c r="S2440" s="24" t="n">
        <x:f>IFERROR(F2440/J2440,0)</x:f>
        <x:v>0</x:v>
      </x:c>
      <x:c r="T2440" s="28" t="n">
        <x:f>H2440-I2440</x:f>
        <x:v>0</x:v>
      </x:c>
      <x:c r="U2440" s="24" t="n">
        <x:f>IFERROR(J2440/H2440,0)-IFERROR(K2440/I2440,0)</x:f>
        <x:v>0.04999999999999999</x:v>
      </x:c>
      <x:c r="V2440" s="24" t="n">
        <x:f>IFERROR(F2440/J2440,0)-IFERROR(G2440/K2440,0)</x:f>
        <x:v>-0.16666666666666666</x:v>
      </x:c>
      <x:c r="W2440" s="28" t="n">
        <x:f>L2440-M2440</x:f>
        <x:v>0</x:v>
      </x:c>
      <x:c r="X2440" s="24" t="n">
        <x:f>IFERROR(K2440/I2440,0)</x:f>
        <x:v>0.3</x:v>
      </x:c>
      <x:c r="Y2440" s="24" t="n">
        <x:f>IFERROR(G2440/I2440,0)</x:f>
        <x:v>0.05</x:v>
      </x:c>
      <x:c r="Z2440" s="24" t="n">
        <x:f>IFERROR(G2440/K2440,0)</x:f>
        <x:v>0.16666666666666666</x:v>
      </x:c>
      <x:c r="AA2440" s="24" t="n">
        <x:f>IFERROR(F2440/H2440,0)-IFERROR(G2440/I2440,0)</x:f>
        <x:v>-0.05</x:v>
      </x:c>
      <x:c r="AB2440" s="28" t="n">
        <x:f>J2440-K2440</x:f>
        <x:v>1</x:v>
      </x:c>
      <x:c r="AC2440" s="32" t="n">
        <x:f>F2440-G2440</x:f>
        <x:v>-1</x:v>
      </x:c>
    </x:row>
    <x:row r="2441">
      <x:c r="A2441" s="4" t="str">
        <x:v>2024-25</x:v>
      </x:c>
      <x:c r="B2441" s="20" t="n">
        <x:v>45586</x:v>
      </x:c>
      <x:c r="C2441" s="4" t="str">
        <x:v>Nott'm Forest</x:v>
      </x:c>
      <x:c r="D2441" s="4" t="str">
        <x:v>Crystal Palace</x:v>
      </x:c>
      <x:c r="E2441" s="4" t="str">
        <x:v>Home</x:v>
      </x:c>
      <x:c r="F2441" s="28" t="n">
        <x:v>1</x:v>
      </x:c>
      <x:c r="G2441" s="28" t="n">
        <x:v>0</x:v>
      </x:c>
      <x:c r="H2441" s="28" t="n">
        <x:v>20</x:v>
      </x:c>
      <x:c r="I2441" s="28" t="n">
        <x:v>20</x:v>
      </x:c>
      <x:c r="J2441" s="28" t="n">
        <x:v>6</x:v>
      </x:c>
      <x:c r="K2441" s="28" t="n">
        <x:v>7</x:v>
      </x:c>
      <x:c r="L2441" s="28" t="n">
        <x:v>6</x:v>
      </x:c>
      <x:c r="M2441" s="28" t="n">
        <x:v>6</x:v>
      </x:c>
      <x:c r="N2441" s="28" t="n">
        <x:v>2</x:v>
      </x:c>
      <x:c r="O2441" s="28" t="n">
        <x:v>0</x:v>
      </x:c>
      <x:c r="P2441" s="28" t="n">
        <x:v>3</x:v>
      </x:c>
      <x:c r="Q2441" s="24" t="n">
        <x:f>IFERROR(J2441/H2441,0)</x:f>
        <x:v>0.3</x:v>
      </x:c>
      <x:c r="R2441" s="24" t="n">
        <x:f>IFERROR(F2441/H2441,0)</x:f>
        <x:v>0.05</x:v>
      </x:c>
      <x:c r="S2441" s="24" t="n">
        <x:f>IFERROR(F2441/J2441,0)</x:f>
        <x:v>0.16666666666666666</x:v>
      </x:c>
      <x:c r="T2441" s="28" t="n">
        <x:f>H2441-I2441</x:f>
        <x:v>0</x:v>
      </x:c>
      <x:c r="U2441" s="24" t="n">
        <x:f>IFERROR(J2441/H2441,0)-IFERROR(K2441/I2441,0)</x:f>
        <x:v>-0.04999999999999999</x:v>
      </x:c>
      <x:c r="V2441" s="24" t="n">
        <x:f>IFERROR(F2441/J2441,0)-IFERROR(G2441/K2441,0)</x:f>
        <x:v>0.16666666666666666</x:v>
      </x:c>
      <x:c r="W2441" s="28" t="n">
        <x:f>L2441-M2441</x:f>
        <x:v>0</x:v>
      </x:c>
      <x:c r="X2441" s="24" t="n">
        <x:f>IFERROR(K2441/I2441,0)</x:f>
        <x:v>0.35</x:v>
      </x:c>
      <x:c r="Y2441" s="24" t="n">
        <x:f>IFERROR(G2441/I2441,0)</x:f>
        <x:v>0</x:v>
      </x:c>
      <x:c r="Z2441" s="24" t="n">
        <x:f>IFERROR(G2441/K2441,0)</x:f>
        <x:v>0</x:v>
      </x:c>
      <x:c r="AA2441" s="24" t="n">
        <x:f>IFERROR(F2441/H2441,0)-IFERROR(G2441/I2441,0)</x:f>
        <x:v>0.05</x:v>
      </x:c>
      <x:c r="AB2441" s="28" t="n">
        <x:f>J2441-K2441</x:f>
        <x:v>-1</x:v>
      </x:c>
      <x:c r="AC2441" s="32" t="n">
        <x:f>F2441-G2441</x:f>
        <x:v>1</x:v>
      </x:c>
    </x:row>
    <x:row r="2442">
      <x:c r="A2442" s="4" t="str">
        <x:v>2024-25</x:v>
      </x:c>
      <x:c r="B2442" s="20" t="n">
        <x:v>45590</x:v>
      </x:c>
      <x:c r="C2442" s="4" t="str">
        <x:v>Leicester</x:v>
      </x:c>
      <x:c r="D2442" s="4" t="str">
        <x:v>Nott'm Forest</x:v>
      </x:c>
      <x:c r="E2442" s="4" t="str">
        <x:v>Home</x:v>
      </x:c>
      <x:c r="F2442" s="28" t="n">
        <x:v>1</x:v>
      </x:c>
      <x:c r="G2442" s="28" t="n">
        <x:v>3</x:v>
      </x:c>
      <x:c r="H2442" s="28" t="n">
        <x:v>11</x:v>
      </x:c>
      <x:c r="I2442" s="28" t="n">
        <x:v>20</x:v>
      </x:c>
      <x:c r="J2442" s="28" t="n">
        <x:v>1</x:v>
      </x:c>
      <x:c r="K2442" s="28" t="n">
        <x:v>5</x:v>
      </x:c>
      <x:c r="L2442" s="28" t="n">
        <x:v>6</x:v>
      </x:c>
      <x:c r="M2442" s="28" t="n">
        <x:v>7</x:v>
      </x:c>
      <x:c r="N2442" s="28" t="n">
        <x:v>5</x:v>
      </x:c>
      <x:c r="O2442" s="28" t="n">
        <x:v>0</x:v>
      </x:c>
      <x:c r="P2442" s="28" t="n">
        <x:v>0</x:v>
      </x:c>
      <x:c r="Q2442" s="24" t="n">
        <x:f>IFERROR(J2442/H2442,0)</x:f>
        <x:v>0.09090909090909091</x:v>
      </x:c>
      <x:c r="R2442" s="24" t="n">
        <x:f>IFERROR(F2442/H2442,0)</x:f>
        <x:v>0.09090909090909091</x:v>
      </x:c>
      <x:c r="S2442" s="24" t="n">
        <x:f>IFERROR(F2442/J2442,0)</x:f>
        <x:v>1</x:v>
      </x:c>
      <x:c r="T2442" s="28" t="n">
        <x:f>H2442-I2442</x:f>
        <x:v>-9</x:v>
      </x:c>
      <x:c r="U2442" s="24" t="n">
        <x:f>IFERROR(J2442/H2442,0)-IFERROR(K2442/I2442,0)</x:f>
        <x:v>-0.1590909090909091</x:v>
      </x:c>
      <x:c r="V2442" s="24" t="n">
        <x:f>IFERROR(F2442/J2442,0)-IFERROR(G2442/K2442,0)</x:f>
        <x:v>0.4</x:v>
      </x:c>
      <x:c r="W2442" s="28" t="n">
        <x:f>L2442-M2442</x:f>
        <x:v>-1</x:v>
      </x:c>
      <x:c r="X2442" s="24" t="n">
        <x:f>IFERROR(K2442/I2442,0)</x:f>
        <x:v>0.25</x:v>
      </x:c>
      <x:c r="Y2442" s="24" t="n">
        <x:f>IFERROR(G2442/I2442,0)</x:f>
        <x:v>0.15</x:v>
      </x:c>
      <x:c r="Z2442" s="24" t="n">
        <x:f>IFERROR(G2442/K2442,0)</x:f>
        <x:v>0.6</x:v>
      </x:c>
      <x:c r="AA2442" s="24" t="n">
        <x:f>IFERROR(F2442/H2442,0)-IFERROR(G2442/I2442,0)</x:f>
        <x:v>-0.05909090909090908</x:v>
      </x:c>
      <x:c r="AB2442" s="28" t="n">
        <x:f>J2442-K2442</x:f>
        <x:v>-4</x:v>
      </x:c>
      <x:c r="AC2442" s="32" t="n">
        <x:f>F2442-G2442</x:f>
        <x:v>-2</x:v>
      </x:c>
    </x:row>
    <x:row r="2443">
      <x:c r="A2443" s="4" t="str">
        <x:v>2024-25</x:v>
      </x:c>
      <x:c r="B2443" s="20" t="n">
        <x:v>45590</x:v>
      </x:c>
      <x:c r="C2443" s="4" t="str">
        <x:v>Nott'm Forest</x:v>
      </x:c>
      <x:c r="D2443" s="4" t="str">
        <x:v>Leicester</x:v>
      </x:c>
      <x:c r="E2443" s="4" t="str">
        <x:v>Away</x:v>
      </x:c>
      <x:c r="F2443" s="28" t="n">
        <x:v>3</x:v>
      </x:c>
      <x:c r="G2443" s="28" t="n">
        <x:v>1</x:v>
      </x:c>
      <x:c r="H2443" s="28" t="n">
        <x:v>20</x:v>
      </x:c>
      <x:c r="I2443" s="28" t="n">
        <x:v>11</x:v>
      </x:c>
      <x:c r="J2443" s="28" t="n">
        <x:v>5</x:v>
      </x:c>
      <x:c r="K2443" s="28" t="n">
        <x:v>1</x:v>
      </x:c>
      <x:c r="L2443" s="28" t="n">
        <x:v>7</x:v>
      </x:c>
      <x:c r="M2443" s="28" t="n">
        <x:v>6</x:v>
      </x:c>
      <x:c r="N2443" s="28" t="n">
        <x:v>2</x:v>
      </x:c>
      <x:c r="O2443" s="28" t="n">
        <x:v>0</x:v>
      </x:c>
      <x:c r="P2443" s="28" t="n">
        <x:v>3</x:v>
      </x:c>
      <x:c r="Q2443" s="24" t="n">
        <x:f>IFERROR(J2443/H2443,0)</x:f>
        <x:v>0.25</x:v>
      </x:c>
      <x:c r="R2443" s="24" t="n">
        <x:f>IFERROR(F2443/H2443,0)</x:f>
        <x:v>0.15</x:v>
      </x:c>
      <x:c r="S2443" s="24" t="n">
        <x:f>IFERROR(F2443/J2443,0)</x:f>
        <x:v>0.6</x:v>
      </x:c>
      <x:c r="T2443" s="28" t="n">
        <x:f>H2443-I2443</x:f>
        <x:v>9</x:v>
      </x:c>
      <x:c r="U2443" s="24" t="n">
        <x:f>IFERROR(J2443/H2443,0)-IFERROR(K2443/I2443,0)</x:f>
        <x:v>0.1590909090909091</x:v>
      </x:c>
      <x:c r="V2443" s="24" t="n">
        <x:f>IFERROR(F2443/J2443,0)-IFERROR(G2443/K2443,0)</x:f>
        <x:v>-0.4</x:v>
      </x:c>
      <x:c r="W2443" s="28" t="n">
        <x:f>L2443-M2443</x:f>
        <x:v>1</x:v>
      </x:c>
      <x:c r="X2443" s="24" t="n">
        <x:f>IFERROR(K2443/I2443,0)</x:f>
        <x:v>0.09090909090909091</x:v>
      </x:c>
      <x:c r="Y2443" s="24" t="n">
        <x:f>IFERROR(G2443/I2443,0)</x:f>
        <x:v>0.09090909090909091</x:v>
      </x:c>
      <x:c r="Z2443" s="24" t="n">
        <x:f>IFERROR(G2443/K2443,0)</x:f>
        <x:v>1</x:v>
      </x:c>
      <x:c r="AA2443" s="24" t="n">
        <x:f>IFERROR(F2443/H2443,0)-IFERROR(G2443/I2443,0)</x:f>
        <x:v>0.05909090909090908</x:v>
      </x:c>
      <x:c r="AB2443" s="28" t="n">
        <x:f>J2443-K2443</x:f>
        <x:v>4</x:v>
      </x:c>
      <x:c r="AC2443" s="32" t="n">
        <x:f>F2443-G2443</x:f>
        <x:v>2</x:v>
      </x:c>
    </x:row>
    <x:row r="2444">
      <x:c r="A2444" s="4" t="str">
        <x:v>2024-25</x:v>
      </x:c>
      <x:c r="B2444" s="20" t="n">
        <x:v>45591</x:v>
      </x:c>
      <x:c r="C2444" s="4" t="str">
        <x:v>Aston Villa</x:v>
      </x:c>
      <x:c r="D2444" s="4" t="str">
        <x:v>Bournemouth</x:v>
      </x:c>
      <x:c r="E2444" s="4" t="str">
        <x:v>Home</x:v>
      </x:c>
      <x:c r="F2444" s="28" t="n">
        <x:v>1</x:v>
      </x:c>
      <x:c r="G2444" s="28" t="n">
        <x:v>1</x:v>
      </x:c>
      <x:c r="H2444" s="28" t="n">
        <x:v>18</x:v>
      </x:c>
      <x:c r="I2444" s="28" t="n">
        <x:v>11</x:v>
      </x:c>
      <x:c r="J2444" s="28" t="n">
        <x:v>8</x:v>
      </x:c>
      <x:c r="K2444" s="28" t="n">
        <x:v>3</x:v>
      </x:c>
      <x:c r="L2444" s="28" t="n">
        <x:v>9</x:v>
      </x:c>
      <x:c r="M2444" s="28" t="n">
        <x:v>7</x:v>
      </x:c>
      <x:c r="N2444" s="28" t="n">
        <x:v>7</x:v>
      </x:c>
      <x:c r="O2444" s="28" t="n">
        <x:v>0</x:v>
      </x:c>
      <x:c r="P2444" s="28" t="n">
        <x:v>1</x:v>
      </x:c>
      <x:c r="Q2444" s="24" t="n">
        <x:f>IFERROR(J2444/H2444,0)</x:f>
        <x:v>0.4444444444444444</x:v>
      </x:c>
      <x:c r="R2444" s="24" t="n">
        <x:f>IFERROR(F2444/H2444,0)</x:f>
        <x:v>0.05555555555555555</x:v>
      </x:c>
      <x:c r="S2444" s="24" t="n">
        <x:f>IFERROR(F2444/J2444,0)</x:f>
        <x:v>0.125</x:v>
      </x:c>
      <x:c r="T2444" s="28" t="n">
        <x:f>H2444-I2444</x:f>
        <x:v>7</x:v>
      </x:c>
      <x:c r="U2444" s="24" t="n">
        <x:f>IFERROR(J2444/H2444,0)-IFERROR(K2444/I2444,0)</x:f>
        <x:v>0.1717171717171717</x:v>
      </x:c>
      <x:c r="V2444" s="24" t="n">
        <x:f>IFERROR(F2444/J2444,0)-IFERROR(G2444/K2444,0)</x:f>
        <x:v>-0.20833333333333331</x:v>
      </x:c>
      <x:c r="W2444" s="28" t="n">
        <x:f>L2444-M2444</x:f>
        <x:v>2</x:v>
      </x:c>
      <x:c r="X2444" s="24" t="n">
        <x:f>IFERROR(K2444/I2444,0)</x:f>
        <x:v>0.2727272727272727</x:v>
      </x:c>
      <x:c r="Y2444" s="24" t="n">
        <x:f>IFERROR(G2444/I2444,0)</x:f>
        <x:v>0.09090909090909091</x:v>
      </x:c>
      <x:c r="Z2444" s="24" t="n">
        <x:f>IFERROR(G2444/K2444,0)</x:f>
        <x:v>0.3333333333333333</x:v>
      </x:c>
      <x:c r="AA2444" s="24" t="n">
        <x:f>IFERROR(F2444/H2444,0)-IFERROR(G2444/I2444,0)</x:f>
        <x:v>-0.03535353535353536</x:v>
      </x:c>
      <x:c r="AB2444" s="28" t="n">
        <x:f>J2444-K2444</x:f>
        <x:v>5</x:v>
      </x:c>
      <x:c r="AC2444" s="32" t="n">
        <x:f>F2444-G2444</x:f>
        <x:v>0</x:v>
      </x:c>
    </x:row>
    <x:row r="2445">
      <x:c r="A2445" s="4" t="str">
        <x:v>2024-25</x:v>
      </x:c>
      <x:c r="B2445" s="20" t="n">
        <x:v>45591</x:v>
      </x:c>
      <x:c r="C2445" s="4" t="str">
        <x:v>Bournemouth</x:v>
      </x:c>
      <x:c r="D2445" s="4" t="str">
        <x:v>Aston Villa</x:v>
      </x:c>
      <x:c r="E2445" s="4" t="str">
        <x:v>Away</x:v>
      </x:c>
      <x:c r="F2445" s="28" t="n">
        <x:v>1</x:v>
      </x:c>
      <x:c r="G2445" s="28" t="n">
        <x:v>1</x:v>
      </x:c>
      <x:c r="H2445" s="28" t="n">
        <x:v>11</x:v>
      </x:c>
      <x:c r="I2445" s="28" t="n">
        <x:v>18</x:v>
      </x:c>
      <x:c r="J2445" s="28" t="n">
        <x:v>3</x:v>
      </x:c>
      <x:c r="K2445" s="28" t="n">
        <x:v>8</x:v>
      </x:c>
      <x:c r="L2445" s="28" t="n">
        <x:v>7</x:v>
      </x:c>
      <x:c r="M2445" s="28" t="n">
        <x:v>9</x:v>
      </x:c>
      <x:c r="N2445" s="28" t="n">
        <x:v>6</x:v>
      </x:c>
      <x:c r="O2445" s="28" t="n">
        <x:v>0</x:v>
      </x:c>
      <x:c r="P2445" s="28" t="n">
        <x:v>1</x:v>
      </x:c>
      <x:c r="Q2445" s="24" t="n">
        <x:f>IFERROR(J2445/H2445,0)</x:f>
        <x:v>0.2727272727272727</x:v>
      </x:c>
      <x:c r="R2445" s="24" t="n">
        <x:f>IFERROR(F2445/H2445,0)</x:f>
        <x:v>0.09090909090909091</x:v>
      </x:c>
      <x:c r="S2445" s="24" t="n">
        <x:f>IFERROR(F2445/J2445,0)</x:f>
        <x:v>0.3333333333333333</x:v>
      </x:c>
      <x:c r="T2445" s="28" t="n">
        <x:f>H2445-I2445</x:f>
        <x:v>-7</x:v>
      </x:c>
      <x:c r="U2445" s="24" t="n">
        <x:f>IFERROR(J2445/H2445,0)-IFERROR(K2445/I2445,0)</x:f>
        <x:v>-0.1717171717171717</x:v>
      </x:c>
      <x:c r="V2445" s="24" t="n">
        <x:f>IFERROR(F2445/J2445,0)-IFERROR(G2445/K2445,0)</x:f>
        <x:v>0.20833333333333331</x:v>
      </x:c>
      <x:c r="W2445" s="28" t="n">
        <x:f>L2445-M2445</x:f>
        <x:v>-2</x:v>
      </x:c>
      <x:c r="X2445" s="24" t="n">
        <x:f>IFERROR(K2445/I2445,0)</x:f>
        <x:v>0.4444444444444444</x:v>
      </x:c>
      <x:c r="Y2445" s="24" t="n">
        <x:f>IFERROR(G2445/I2445,0)</x:f>
        <x:v>0.05555555555555555</x:v>
      </x:c>
      <x:c r="Z2445" s="24" t="n">
        <x:f>IFERROR(G2445/K2445,0)</x:f>
        <x:v>0.125</x:v>
      </x:c>
      <x:c r="AA2445" s="24" t="n">
        <x:f>IFERROR(F2445/H2445,0)-IFERROR(G2445/I2445,0)</x:f>
        <x:v>0.03535353535353536</x:v>
      </x:c>
      <x:c r="AB2445" s="28" t="n">
        <x:f>J2445-K2445</x:f>
        <x:v>-5</x:v>
      </x:c>
      <x:c r="AC2445" s="32" t="n">
        <x:f>F2445-G2445</x:f>
        <x:v>0</x:v>
      </x:c>
    </x:row>
    <x:row r="2446">
      <x:c r="A2446" s="4" t="str">
        <x:v>2024-25</x:v>
      </x:c>
      <x:c r="B2446" s="20" t="n">
        <x:v>45591</x:v>
      </x:c>
      <x:c r="C2446" s="4" t="str">
        <x:v>Brentford</x:v>
      </x:c>
      <x:c r="D2446" s="4" t="str">
        <x:v>Ipswich</x:v>
      </x:c>
      <x:c r="E2446" s="4" t="str">
        <x:v>Home</x:v>
      </x:c>
      <x:c r="F2446" s="28" t="n">
        <x:v>4</x:v>
      </x:c>
      <x:c r="G2446" s="28" t="n">
        <x:v>3</x:v>
      </x:c>
      <x:c r="H2446" s="28" t="n">
        <x:v>20</x:v>
      </x:c>
      <x:c r="I2446" s="28" t="n">
        <x:v>11</x:v>
      </x:c>
      <x:c r="J2446" s="28" t="n">
        <x:v>9</x:v>
      </x:c>
      <x:c r="K2446" s="28" t="n">
        <x:v>5</x:v>
      </x:c>
      <x:c r="L2446" s="28" t="n">
        <x:v>5</x:v>
      </x:c>
      <x:c r="M2446" s="28" t="n">
        <x:v>5</x:v>
      </x:c>
      <x:c r="N2446" s="28" t="n">
        <x:v>0</x:v>
      </x:c>
      <x:c r="O2446" s="28" t="n">
        <x:v>0</x:v>
      </x:c>
      <x:c r="P2446" s="28" t="n">
        <x:v>3</x:v>
      </x:c>
      <x:c r="Q2446" s="24" t="n">
        <x:f>IFERROR(J2446/H2446,0)</x:f>
        <x:v>0.45</x:v>
      </x:c>
      <x:c r="R2446" s="24" t="n">
        <x:f>IFERROR(F2446/H2446,0)</x:f>
        <x:v>0.2</x:v>
      </x:c>
      <x:c r="S2446" s="24" t="n">
        <x:f>IFERROR(F2446/J2446,0)</x:f>
        <x:v>0.4444444444444444</x:v>
      </x:c>
      <x:c r="T2446" s="28" t="n">
        <x:f>H2446-I2446</x:f>
        <x:v>9</x:v>
      </x:c>
      <x:c r="U2446" s="24" t="n">
        <x:f>IFERROR(J2446/H2446,0)-IFERROR(K2446/I2446,0)</x:f>
        <x:v>-0.004545454545454519</x:v>
      </x:c>
      <x:c r="V2446" s="24" t="n">
        <x:f>IFERROR(F2446/J2446,0)-IFERROR(G2446/K2446,0)</x:f>
        <x:v>-0.15555555555555556</x:v>
      </x:c>
      <x:c r="W2446" s="28" t="n">
        <x:f>L2446-M2446</x:f>
        <x:v>0</x:v>
      </x:c>
      <x:c r="X2446" s="24" t="n">
        <x:f>IFERROR(K2446/I2446,0)</x:f>
        <x:v>0.45454545454545453</x:v>
      </x:c>
      <x:c r="Y2446" s="24" t="n">
        <x:f>IFERROR(G2446/I2446,0)</x:f>
        <x:v>0.2727272727272727</x:v>
      </x:c>
      <x:c r="Z2446" s="24" t="n">
        <x:f>IFERROR(G2446/K2446,0)</x:f>
        <x:v>0.6</x:v>
      </x:c>
      <x:c r="AA2446" s="24" t="n">
        <x:f>IFERROR(F2446/H2446,0)-IFERROR(G2446/I2446,0)</x:f>
        <x:v>-0.0727272727272727</x:v>
      </x:c>
      <x:c r="AB2446" s="28" t="n">
        <x:f>J2446-K2446</x:f>
        <x:v>4</x:v>
      </x:c>
      <x:c r="AC2446" s="32" t="n">
        <x:f>F2446-G2446</x:f>
        <x:v>1</x:v>
      </x:c>
    </x:row>
    <x:row r="2447">
      <x:c r="A2447" s="4" t="str">
        <x:v>2024-25</x:v>
      </x:c>
      <x:c r="B2447" s="20" t="n">
        <x:v>45591</x:v>
      </x:c>
      <x:c r="C2447" s="4" t="str">
        <x:v>Brighton</x:v>
      </x:c>
      <x:c r="D2447" s="4" t="str">
        <x:v>Wolves</x:v>
      </x:c>
      <x:c r="E2447" s="4" t="str">
        <x:v>Home</x:v>
      </x:c>
      <x:c r="F2447" s="28" t="n">
        <x:v>2</x:v>
      </x:c>
      <x:c r="G2447" s="28" t="n">
        <x:v>2</x:v>
      </x:c>
      <x:c r="H2447" s="28" t="n">
        <x:v>19</x:v>
      </x:c>
      <x:c r="I2447" s="28" t="n">
        <x:v>14</x:v>
      </x:c>
      <x:c r="J2447" s="28" t="n">
        <x:v>6</x:v>
      </x:c>
      <x:c r="K2447" s="28" t="n">
        <x:v>7</x:v>
      </x:c>
      <x:c r="L2447" s="28" t="n">
        <x:v>9</x:v>
      </x:c>
      <x:c r="M2447" s="28" t="n">
        <x:v>6</x:v>
      </x:c>
      <x:c r="N2447" s="28" t="n">
        <x:v>3</x:v>
      </x:c>
      <x:c r="O2447" s="28" t="n">
        <x:v>0</x:v>
      </x:c>
      <x:c r="P2447" s="28" t="n">
        <x:v>1</x:v>
      </x:c>
      <x:c r="Q2447" s="24" t="n">
        <x:f>IFERROR(J2447/H2447,0)</x:f>
        <x:v>0.3157894736842105</x:v>
      </x:c>
      <x:c r="R2447" s="24" t="n">
        <x:f>IFERROR(F2447/H2447,0)</x:f>
        <x:v>0.10526315789473684</x:v>
      </x:c>
      <x:c r="S2447" s="24" t="n">
        <x:f>IFERROR(F2447/J2447,0)</x:f>
        <x:v>0.3333333333333333</x:v>
      </x:c>
      <x:c r="T2447" s="28" t="n">
        <x:f>H2447-I2447</x:f>
        <x:v>5</x:v>
      </x:c>
      <x:c r="U2447" s="24" t="n">
        <x:f>IFERROR(J2447/H2447,0)-IFERROR(K2447/I2447,0)</x:f>
        <x:v>-0.1842105263157895</x:v>
      </x:c>
      <x:c r="V2447" s="24" t="n">
        <x:f>IFERROR(F2447/J2447,0)-IFERROR(G2447/K2447,0)</x:f>
        <x:v>0.047619047619047616</x:v>
      </x:c>
      <x:c r="W2447" s="28" t="n">
        <x:f>L2447-M2447</x:f>
        <x:v>3</x:v>
      </x:c>
      <x:c r="X2447" s="24" t="n">
        <x:f>IFERROR(K2447/I2447,0)</x:f>
        <x:v>0.5</x:v>
      </x:c>
      <x:c r="Y2447" s="24" t="n">
        <x:f>IFERROR(G2447/I2447,0)</x:f>
        <x:v>0.14285714285714285</x:v>
      </x:c>
      <x:c r="Z2447" s="24" t="n">
        <x:f>IFERROR(G2447/K2447,0)</x:f>
        <x:v>0.2857142857142857</x:v>
      </x:c>
      <x:c r="AA2447" s="24" t="n">
        <x:f>IFERROR(F2447/H2447,0)-IFERROR(G2447/I2447,0)</x:f>
        <x:v>-0.03759398496240601</x:v>
      </x:c>
      <x:c r="AB2447" s="28" t="n">
        <x:f>J2447-K2447</x:f>
        <x:v>-1</x:v>
      </x:c>
      <x:c r="AC2447" s="32" t="n">
        <x:f>F2447-G2447</x:f>
        <x:v>0</x:v>
      </x:c>
    </x:row>
    <x:row r="2448">
      <x:c r="A2448" s="4" t="str">
        <x:v>2024-25</x:v>
      </x:c>
      <x:c r="B2448" s="20" t="n">
        <x:v>45591</x:v>
      </x:c>
      <x:c r="C2448" s="4" t="str">
        <x:v>Everton</x:v>
      </x:c>
      <x:c r="D2448" s="4" t="str">
        <x:v>Fulham</x:v>
      </x:c>
      <x:c r="E2448" s="4" t="str">
        <x:v>Home</x:v>
      </x:c>
      <x:c r="F2448" s="28" t="n">
        <x:v>1</x:v>
      </x:c>
      <x:c r="G2448" s="28" t="n">
        <x:v>1</x:v>
      </x:c>
      <x:c r="H2448" s="28" t="n">
        <x:v>10</x:v>
      </x:c>
      <x:c r="I2448" s="28" t="n">
        <x:v>14</x:v>
      </x:c>
      <x:c r="J2448" s="28" t="n">
        <x:v>5</x:v>
      </x:c>
      <x:c r="K2448" s="28" t="n">
        <x:v>3</x:v>
      </x:c>
      <x:c r="L2448" s="28" t="n">
        <x:v>4</x:v>
      </x:c>
      <x:c r="M2448" s="28" t="n">
        <x:v>2</x:v>
      </x:c>
      <x:c r="N2448" s="28" t="n">
        <x:v>1</x:v>
      </x:c>
      <x:c r="O2448" s="28" t="n">
        <x:v>0</x:v>
      </x:c>
      <x:c r="P2448" s="28" t="n">
        <x:v>1</x:v>
      </x:c>
      <x:c r="Q2448" s="24" t="n">
        <x:f>IFERROR(J2448/H2448,0)</x:f>
        <x:v>0.5</x:v>
      </x:c>
      <x:c r="R2448" s="24" t="n">
        <x:f>IFERROR(F2448/H2448,0)</x:f>
        <x:v>0.1</x:v>
      </x:c>
      <x:c r="S2448" s="24" t="n">
        <x:f>IFERROR(F2448/J2448,0)</x:f>
        <x:v>0.2</x:v>
      </x:c>
      <x:c r="T2448" s="28" t="n">
        <x:f>H2448-I2448</x:f>
        <x:v>-4</x:v>
      </x:c>
      <x:c r="U2448" s="24" t="n">
        <x:f>IFERROR(J2448/H2448,0)-IFERROR(K2448/I2448,0)</x:f>
        <x:v>0.2857142857142857</x:v>
      </x:c>
      <x:c r="V2448" s="24" t="n">
        <x:f>IFERROR(F2448/J2448,0)-IFERROR(G2448/K2448,0)</x:f>
        <x:v>-0.1333333333333333</x:v>
      </x:c>
      <x:c r="W2448" s="28" t="n">
        <x:f>L2448-M2448</x:f>
        <x:v>2</x:v>
      </x:c>
      <x:c r="X2448" s="24" t="n">
        <x:f>IFERROR(K2448/I2448,0)</x:f>
        <x:v>0.21428571428571427</x:v>
      </x:c>
      <x:c r="Y2448" s="24" t="n">
        <x:f>IFERROR(G2448/I2448,0)</x:f>
        <x:v>0.07142857142857142</x:v>
      </x:c>
      <x:c r="Z2448" s="24" t="n">
        <x:f>IFERROR(G2448/K2448,0)</x:f>
        <x:v>0.3333333333333333</x:v>
      </x:c>
      <x:c r="AA2448" s="24" t="n">
        <x:f>IFERROR(F2448/H2448,0)-IFERROR(G2448/I2448,0)</x:f>
        <x:v>0.02857142857142858</x:v>
      </x:c>
      <x:c r="AB2448" s="28" t="n">
        <x:f>J2448-K2448</x:f>
        <x:v>2</x:v>
      </x:c>
      <x:c r="AC2448" s="32" t="n">
        <x:f>F2448-G2448</x:f>
        <x:v>0</x:v>
      </x:c>
    </x:row>
    <x:row r="2449">
      <x:c r="A2449" s="4" t="str">
        <x:v>2024-25</x:v>
      </x:c>
      <x:c r="B2449" s="20" t="n">
        <x:v>45591</x:v>
      </x:c>
      <x:c r="C2449" s="4" t="str">
        <x:v>Fulham</x:v>
      </x:c>
      <x:c r="D2449" s="4" t="str">
        <x:v>Everton</x:v>
      </x:c>
      <x:c r="E2449" s="4" t="str">
        <x:v>Away</x:v>
      </x:c>
      <x:c r="F2449" s="28" t="n">
        <x:v>1</x:v>
      </x:c>
      <x:c r="G2449" s="28" t="n">
        <x:v>1</x:v>
      </x:c>
      <x:c r="H2449" s="28" t="n">
        <x:v>14</x:v>
      </x:c>
      <x:c r="I2449" s="28" t="n">
        <x:v>10</x:v>
      </x:c>
      <x:c r="J2449" s="28" t="n">
        <x:v>3</x:v>
      </x:c>
      <x:c r="K2449" s="28" t="n">
        <x:v>5</x:v>
      </x:c>
      <x:c r="L2449" s="28" t="n">
        <x:v>2</x:v>
      </x:c>
      <x:c r="M2449" s="28" t="n">
        <x:v>4</x:v>
      </x:c>
      <x:c r="N2449" s="28" t="n">
        <x:v>0</x:v>
      </x:c>
      <x:c r="O2449" s="28" t="n">
        <x:v>0</x:v>
      </x:c>
      <x:c r="P2449" s="28" t="n">
        <x:v>1</x:v>
      </x:c>
      <x:c r="Q2449" s="24" t="n">
        <x:f>IFERROR(J2449/H2449,0)</x:f>
        <x:v>0.21428571428571427</x:v>
      </x:c>
      <x:c r="R2449" s="24" t="n">
        <x:f>IFERROR(F2449/H2449,0)</x:f>
        <x:v>0.07142857142857142</x:v>
      </x:c>
      <x:c r="S2449" s="24" t="n">
        <x:f>IFERROR(F2449/J2449,0)</x:f>
        <x:v>0.3333333333333333</x:v>
      </x:c>
      <x:c r="T2449" s="28" t="n">
        <x:f>H2449-I2449</x:f>
        <x:v>4</x:v>
      </x:c>
      <x:c r="U2449" s="24" t="n">
        <x:f>IFERROR(J2449/H2449,0)-IFERROR(K2449/I2449,0)</x:f>
        <x:v>-0.2857142857142857</x:v>
      </x:c>
      <x:c r="V2449" s="24" t="n">
        <x:f>IFERROR(F2449/J2449,0)-IFERROR(G2449/K2449,0)</x:f>
        <x:v>0.1333333333333333</x:v>
      </x:c>
      <x:c r="W2449" s="28" t="n">
        <x:f>L2449-M2449</x:f>
        <x:v>-2</x:v>
      </x:c>
      <x:c r="X2449" s="24" t="n">
        <x:f>IFERROR(K2449/I2449,0)</x:f>
        <x:v>0.5</x:v>
      </x:c>
      <x:c r="Y2449" s="24" t="n">
        <x:f>IFERROR(G2449/I2449,0)</x:f>
        <x:v>0.1</x:v>
      </x:c>
      <x:c r="Z2449" s="24" t="n">
        <x:f>IFERROR(G2449/K2449,0)</x:f>
        <x:v>0.2</x:v>
      </x:c>
      <x:c r="AA2449" s="24" t="n">
        <x:f>IFERROR(F2449/H2449,0)-IFERROR(G2449/I2449,0)</x:f>
        <x:v>-0.02857142857142858</x:v>
      </x:c>
      <x:c r="AB2449" s="28" t="n">
        <x:f>J2449-K2449</x:f>
        <x:v>-2</x:v>
      </x:c>
      <x:c r="AC2449" s="32" t="n">
        <x:f>F2449-G2449</x:f>
        <x:v>0</x:v>
      </x:c>
    </x:row>
    <x:row r="2450">
      <x:c r="A2450" s="4" t="str">
        <x:v>2024-25</x:v>
      </x:c>
      <x:c r="B2450" s="20" t="n">
        <x:v>45591</x:v>
      </x:c>
      <x:c r="C2450" s="4" t="str">
        <x:v>Ipswich</x:v>
      </x:c>
      <x:c r="D2450" s="4" t="str">
        <x:v>Brentford</x:v>
      </x:c>
      <x:c r="E2450" s="4" t="str">
        <x:v>Away</x:v>
      </x:c>
      <x:c r="F2450" s="28" t="n">
        <x:v>3</x:v>
      </x:c>
      <x:c r="G2450" s="28" t="n">
        <x:v>4</x:v>
      </x:c>
      <x:c r="H2450" s="28" t="n">
        <x:v>11</x:v>
      </x:c>
      <x:c r="I2450" s="28" t="n">
        <x:v>20</x:v>
      </x:c>
      <x:c r="J2450" s="28" t="n">
        <x:v>5</x:v>
      </x:c>
      <x:c r="K2450" s="28" t="n">
        <x:v>9</x:v>
      </x:c>
      <x:c r="L2450" s="28" t="n">
        <x:v>5</x:v>
      </x:c>
      <x:c r="M2450" s="28" t="n">
        <x:v>5</x:v>
      </x:c>
      <x:c r="N2450" s="28" t="n">
        <x:v>1</x:v>
      </x:c>
      <x:c r="O2450" s="28" t="n">
        <x:v>1</x:v>
      </x:c>
      <x:c r="P2450" s="28" t="n">
        <x:v>0</x:v>
      </x:c>
      <x:c r="Q2450" s="24" t="n">
        <x:f>IFERROR(J2450/H2450,0)</x:f>
        <x:v>0.45454545454545453</x:v>
      </x:c>
      <x:c r="R2450" s="24" t="n">
        <x:f>IFERROR(F2450/H2450,0)</x:f>
        <x:v>0.2727272727272727</x:v>
      </x:c>
      <x:c r="S2450" s="24" t="n">
        <x:f>IFERROR(F2450/J2450,0)</x:f>
        <x:v>0.6</x:v>
      </x:c>
      <x:c r="T2450" s="28" t="n">
        <x:f>H2450-I2450</x:f>
        <x:v>-9</x:v>
      </x:c>
      <x:c r="U2450" s="24" t="n">
        <x:f>IFERROR(J2450/H2450,0)-IFERROR(K2450/I2450,0)</x:f>
        <x:v>0.004545454545454519</x:v>
      </x:c>
      <x:c r="V2450" s="24" t="n">
        <x:f>IFERROR(F2450/J2450,0)-IFERROR(G2450/K2450,0)</x:f>
        <x:v>0.15555555555555556</x:v>
      </x:c>
      <x:c r="W2450" s="28" t="n">
        <x:f>L2450-M2450</x:f>
        <x:v>0</x:v>
      </x:c>
      <x:c r="X2450" s="24" t="n">
        <x:f>IFERROR(K2450/I2450,0)</x:f>
        <x:v>0.45</x:v>
      </x:c>
      <x:c r="Y2450" s="24" t="n">
        <x:f>IFERROR(G2450/I2450,0)</x:f>
        <x:v>0.2</x:v>
      </x:c>
      <x:c r="Z2450" s="24" t="n">
        <x:f>IFERROR(G2450/K2450,0)</x:f>
        <x:v>0.4444444444444444</x:v>
      </x:c>
      <x:c r="AA2450" s="24" t="n">
        <x:f>IFERROR(F2450/H2450,0)-IFERROR(G2450/I2450,0)</x:f>
        <x:v>0.0727272727272727</x:v>
      </x:c>
      <x:c r="AB2450" s="28" t="n">
        <x:f>J2450-K2450</x:f>
        <x:v>-4</x:v>
      </x:c>
      <x:c r="AC2450" s="32" t="n">
        <x:f>F2450-G2450</x:f>
        <x:v>-1</x:v>
      </x:c>
    </x:row>
    <x:row r="2451">
      <x:c r="A2451" s="4" t="str">
        <x:v>2024-25</x:v>
      </x:c>
      <x:c r="B2451" s="20" t="n">
        <x:v>45591</x:v>
      </x:c>
      <x:c r="C2451" s="4" t="str">
        <x:v>Man City</x:v>
      </x:c>
      <x:c r="D2451" s="4" t="str">
        <x:v>Southampton</x:v>
      </x:c>
      <x:c r="E2451" s="4" t="str">
        <x:v>Home</x:v>
      </x:c>
      <x:c r="F2451" s="28" t="n">
        <x:v>1</x:v>
      </x:c>
      <x:c r="G2451" s="28" t="n">
        <x:v>0</x:v>
      </x:c>
      <x:c r="H2451" s="28" t="n">
        <x:v>22</x:v>
      </x:c>
      <x:c r="I2451" s="28" t="n">
        <x:v>5</x:v>
      </x:c>
      <x:c r="J2451" s="28" t="n">
        <x:v>8</x:v>
      </x:c>
      <x:c r="K2451" s="28" t="n">
        <x:v>2</x:v>
      </x:c>
      <x:c r="L2451" s="28" t="n">
        <x:v>12</x:v>
      </x:c>
      <x:c r="M2451" s="28" t="n">
        <x:v>1</x:v>
      </x:c>
      <x:c r="N2451" s="28" t="n">
        <x:v>1</x:v>
      </x:c>
      <x:c r="O2451" s="28" t="n">
        <x:v>0</x:v>
      </x:c>
      <x:c r="P2451" s="28" t="n">
        <x:v>3</x:v>
      </x:c>
      <x:c r="Q2451" s="24" t="n">
        <x:f>IFERROR(J2451/H2451,0)</x:f>
        <x:v>0.36363636363636365</x:v>
      </x:c>
      <x:c r="R2451" s="24" t="n">
        <x:f>IFERROR(F2451/H2451,0)</x:f>
        <x:v>0.045454545454545456</x:v>
      </x:c>
      <x:c r="S2451" s="24" t="n">
        <x:f>IFERROR(F2451/J2451,0)</x:f>
        <x:v>0.125</x:v>
      </x:c>
      <x:c r="T2451" s="28" t="n">
        <x:f>H2451-I2451</x:f>
        <x:v>17</x:v>
      </x:c>
      <x:c r="U2451" s="24" t="n">
        <x:f>IFERROR(J2451/H2451,0)-IFERROR(K2451/I2451,0)</x:f>
        <x:v>-0.036363636363636376</x:v>
      </x:c>
      <x:c r="V2451" s="24" t="n">
        <x:f>IFERROR(F2451/J2451,0)-IFERROR(G2451/K2451,0)</x:f>
        <x:v>0.125</x:v>
      </x:c>
      <x:c r="W2451" s="28" t="n">
        <x:f>L2451-M2451</x:f>
        <x:v>11</x:v>
      </x:c>
      <x:c r="X2451" s="24" t="n">
        <x:f>IFERROR(K2451/I2451,0)</x:f>
        <x:v>0.4</x:v>
      </x:c>
      <x:c r="Y2451" s="24" t="n">
        <x:f>IFERROR(G2451/I2451,0)</x:f>
        <x:v>0</x:v>
      </x:c>
      <x:c r="Z2451" s="24" t="n">
        <x:f>IFERROR(G2451/K2451,0)</x:f>
        <x:v>0</x:v>
      </x:c>
      <x:c r="AA2451" s="24" t="n">
        <x:f>IFERROR(F2451/H2451,0)-IFERROR(G2451/I2451,0)</x:f>
        <x:v>0.045454545454545456</x:v>
      </x:c>
      <x:c r="AB2451" s="28" t="n">
        <x:f>J2451-K2451</x:f>
        <x:v>6</x:v>
      </x:c>
      <x:c r="AC2451" s="32" t="n">
        <x:f>F2451-G2451</x:f>
        <x:v>1</x:v>
      </x:c>
    </x:row>
    <x:row r="2452">
      <x:c r="A2452" s="4" t="str">
        <x:v>2024-25</x:v>
      </x:c>
      <x:c r="B2452" s="20" t="n">
        <x:v>45591</x:v>
      </x:c>
      <x:c r="C2452" s="4" t="str">
        <x:v>Southampton</x:v>
      </x:c>
      <x:c r="D2452" s="4" t="str">
        <x:v>Man City</x:v>
      </x:c>
      <x:c r="E2452" s="4" t="str">
        <x:v>Away</x:v>
      </x:c>
      <x:c r="F2452" s="28" t="n">
        <x:v>0</x:v>
      </x:c>
      <x:c r="G2452" s="28" t="n">
        <x:v>1</x:v>
      </x:c>
      <x:c r="H2452" s="28" t="n">
        <x:v>5</x:v>
      </x:c>
      <x:c r="I2452" s="28" t="n">
        <x:v>22</x:v>
      </x:c>
      <x:c r="J2452" s="28" t="n">
        <x:v>2</x:v>
      </x:c>
      <x:c r="K2452" s="28" t="n">
        <x:v>8</x:v>
      </x:c>
      <x:c r="L2452" s="28" t="n">
        <x:v>1</x:v>
      </x:c>
      <x:c r="M2452" s="28" t="n">
        <x:v>12</x:v>
      </x:c>
      <x:c r="N2452" s="28" t="n">
        <x:v>3</x:v>
      </x:c>
      <x:c r="O2452" s="28" t="n">
        <x:v>0</x:v>
      </x:c>
      <x:c r="P2452" s="28" t="n">
        <x:v>0</x:v>
      </x:c>
      <x:c r="Q2452" s="24" t="n">
        <x:f>IFERROR(J2452/H2452,0)</x:f>
        <x:v>0.4</x:v>
      </x:c>
      <x:c r="R2452" s="24" t="n">
        <x:f>IFERROR(F2452/H2452,0)</x:f>
        <x:v>0</x:v>
      </x:c>
      <x:c r="S2452" s="24" t="n">
        <x:f>IFERROR(F2452/J2452,0)</x:f>
        <x:v>0</x:v>
      </x:c>
      <x:c r="T2452" s="28" t="n">
        <x:f>H2452-I2452</x:f>
        <x:v>-17</x:v>
      </x:c>
      <x:c r="U2452" s="24" t="n">
        <x:f>IFERROR(J2452/H2452,0)-IFERROR(K2452/I2452,0)</x:f>
        <x:v>0.036363636363636376</x:v>
      </x:c>
      <x:c r="V2452" s="24" t="n">
        <x:f>IFERROR(F2452/J2452,0)-IFERROR(G2452/K2452,0)</x:f>
        <x:v>-0.125</x:v>
      </x:c>
      <x:c r="W2452" s="28" t="n">
        <x:f>L2452-M2452</x:f>
        <x:v>-11</x:v>
      </x:c>
      <x:c r="X2452" s="24" t="n">
        <x:f>IFERROR(K2452/I2452,0)</x:f>
        <x:v>0.36363636363636365</x:v>
      </x:c>
      <x:c r="Y2452" s="24" t="n">
        <x:f>IFERROR(G2452/I2452,0)</x:f>
        <x:v>0.045454545454545456</x:v>
      </x:c>
      <x:c r="Z2452" s="24" t="n">
        <x:f>IFERROR(G2452/K2452,0)</x:f>
        <x:v>0.125</x:v>
      </x:c>
      <x:c r="AA2452" s="24" t="n">
        <x:f>IFERROR(F2452/H2452,0)-IFERROR(G2452/I2452,0)</x:f>
        <x:v>-0.045454545454545456</x:v>
      </x:c>
      <x:c r="AB2452" s="28" t="n">
        <x:f>J2452-K2452</x:f>
        <x:v>-6</x:v>
      </x:c>
      <x:c r="AC2452" s="32" t="n">
        <x:f>F2452-G2452</x:f>
        <x:v>-1</x:v>
      </x:c>
    </x:row>
    <x:row r="2453">
      <x:c r="A2453" s="4" t="str">
        <x:v>2024-25</x:v>
      </x:c>
      <x:c r="B2453" s="20" t="n">
        <x:v>45591</x:v>
      </x:c>
      <x:c r="C2453" s="4" t="str">
        <x:v>Wolves</x:v>
      </x:c>
      <x:c r="D2453" s="4" t="str">
        <x:v>Brighton</x:v>
      </x:c>
      <x:c r="E2453" s="4" t="str">
        <x:v>Away</x:v>
      </x:c>
      <x:c r="F2453" s="28" t="n">
        <x:v>2</x:v>
      </x:c>
      <x:c r="G2453" s="28" t="n">
        <x:v>2</x:v>
      </x:c>
      <x:c r="H2453" s="28" t="n">
        <x:v>14</x:v>
      </x:c>
      <x:c r="I2453" s="28" t="n">
        <x:v>19</x:v>
      </x:c>
      <x:c r="J2453" s="28" t="n">
        <x:v>7</x:v>
      </x:c>
      <x:c r="K2453" s="28" t="n">
        <x:v>6</x:v>
      </x:c>
      <x:c r="L2453" s="28" t="n">
        <x:v>6</x:v>
      </x:c>
      <x:c r="M2453" s="28" t="n">
        <x:v>9</x:v>
      </x:c>
      <x:c r="N2453" s="28" t="n">
        <x:v>3</x:v>
      </x:c>
      <x:c r="O2453" s="28" t="n">
        <x:v>0</x:v>
      </x:c>
      <x:c r="P2453" s="28" t="n">
        <x:v>1</x:v>
      </x:c>
      <x:c r="Q2453" s="24" t="n">
        <x:f>IFERROR(J2453/H2453,0)</x:f>
        <x:v>0.5</x:v>
      </x:c>
      <x:c r="R2453" s="24" t="n">
        <x:f>IFERROR(F2453/H2453,0)</x:f>
        <x:v>0.14285714285714285</x:v>
      </x:c>
      <x:c r="S2453" s="24" t="n">
        <x:f>IFERROR(F2453/J2453,0)</x:f>
        <x:v>0.2857142857142857</x:v>
      </x:c>
      <x:c r="T2453" s="28" t="n">
        <x:f>H2453-I2453</x:f>
        <x:v>-5</x:v>
      </x:c>
      <x:c r="U2453" s="24" t="n">
        <x:f>IFERROR(J2453/H2453,0)-IFERROR(K2453/I2453,0)</x:f>
        <x:v>0.1842105263157895</x:v>
      </x:c>
      <x:c r="V2453" s="24" t="n">
        <x:f>IFERROR(F2453/J2453,0)-IFERROR(G2453/K2453,0)</x:f>
        <x:v>-0.047619047619047616</x:v>
      </x:c>
      <x:c r="W2453" s="28" t="n">
        <x:f>L2453-M2453</x:f>
        <x:v>-3</x:v>
      </x:c>
      <x:c r="X2453" s="24" t="n">
        <x:f>IFERROR(K2453/I2453,0)</x:f>
        <x:v>0.3157894736842105</x:v>
      </x:c>
      <x:c r="Y2453" s="24" t="n">
        <x:f>IFERROR(G2453/I2453,0)</x:f>
        <x:v>0.10526315789473684</x:v>
      </x:c>
      <x:c r="Z2453" s="24" t="n">
        <x:f>IFERROR(G2453/K2453,0)</x:f>
        <x:v>0.3333333333333333</x:v>
      </x:c>
      <x:c r="AA2453" s="24" t="n">
        <x:f>IFERROR(F2453/H2453,0)-IFERROR(G2453/I2453,0)</x:f>
        <x:v>0.03759398496240601</x:v>
      </x:c>
      <x:c r="AB2453" s="28" t="n">
        <x:f>J2453-K2453</x:f>
        <x:v>1</x:v>
      </x:c>
      <x:c r="AC2453" s="32" t="n">
        <x:f>F2453-G2453</x:f>
        <x:v>0</x:v>
      </x:c>
    </x:row>
    <x:row r="2454">
      <x:c r="A2454" s="4" t="str">
        <x:v>2024-25</x:v>
      </x:c>
      <x:c r="B2454" s="20" t="n">
        <x:v>45592</x:v>
      </x:c>
      <x:c r="C2454" s="4" t="str">
        <x:v>Arsenal</x:v>
      </x:c>
      <x:c r="D2454" s="4" t="str">
        <x:v>Liverpool</x:v>
      </x:c>
      <x:c r="E2454" s="4" t="str">
        <x:v>Home</x:v>
      </x:c>
      <x:c r="F2454" s="28" t="n">
        <x:v>2</x:v>
      </x:c>
      <x:c r="G2454" s="28" t="n">
        <x:v>2</x:v>
      </x:c>
      <x:c r="H2454" s="28" t="n">
        <x:v>9</x:v>
      </x:c>
      <x:c r="I2454" s="28" t="n">
        <x:v>9</x:v>
      </x:c>
      <x:c r="J2454" s="28" t="n">
        <x:v>3</x:v>
      </x:c>
      <x:c r="K2454" s="28" t="n">
        <x:v>4</x:v>
      </x:c>
      <x:c r="L2454" s="28" t="n">
        <x:v>1</x:v>
      </x:c>
      <x:c r="M2454" s="28" t="n">
        <x:v>3</x:v>
      </x:c>
      <x:c r="N2454" s="28" t="n">
        <x:v>2</x:v>
      </x:c>
      <x:c r="O2454" s="28" t="n">
        <x:v>0</x:v>
      </x:c>
      <x:c r="P2454" s="28" t="n">
        <x:v>1</x:v>
      </x:c>
      <x:c r="Q2454" s="24" t="n">
        <x:f>IFERROR(J2454/H2454,0)</x:f>
        <x:v>0.3333333333333333</x:v>
      </x:c>
      <x:c r="R2454" s="24" t="n">
        <x:f>IFERROR(F2454/H2454,0)</x:f>
        <x:v>0.2222222222222222</x:v>
      </x:c>
      <x:c r="S2454" s="24" t="n">
        <x:f>IFERROR(F2454/J2454,0)</x:f>
        <x:v>0.6666666666666666</x:v>
      </x:c>
      <x:c r="T2454" s="28" t="n">
        <x:f>H2454-I2454</x:f>
        <x:v>0</x:v>
      </x:c>
      <x:c r="U2454" s="24" t="n">
        <x:f>IFERROR(J2454/H2454,0)-IFERROR(K2454/I2454,0)</x:f>
        <x:v>-0.1111111111111111</x:v>
      </x:c>
      <x:c r="V2454" s="24" t="n">
        <x:f>IFERROR(F2454/J2454,0)-IFERROR(G2454/K2454,0)</x:f>
        <x:v>0.16666666666666663</x:v>
      </x:c>
      <x:c r="W2454" s="28" t="n">
        <x:f>L2454-M2454</x:f>
        <x:v>-2</x:v>
      </x:c>
      <x:c r="X2454" s="24" t="n">
        <x:f>IFERROR(K2454/I2454,0)</x:f>
        <x:v>0.4444444444444444</x:v>
      </x:c>
      <x:c r="Y2454" s="24" t="n">
        <x:f>IFERROR(G2454/I2454,0)</x:f>
        <x:v>0.2222222222222222</x:v>
      </x:c>
      <x:c r="Z2454" s="24" t="n">
        <x:f>IFERROR(G2454/K2454,0)</x:f>
        <x:v>0.5</x:v>
      </x:c>
      <x:c r="AA2454" s="24" t="n">
        <x:f>IFERROR(F2454/H2454,0)-IFERROR(G2454/I2454,0)</x:f>
        <x:v>0</x:v>
      </x:c>
      <x:c r="AB2454" s="28" t="n">
        <x:f>J2454-K2454</x:f>
        <x:v>-1</x:v>
      </x:c>
      <x:c r="AC2454" s="32" t="n">
        <x:f>F2454-G2454</x:f>
        <x:v>0</x:v>
      </x:c>
    </x:row>
    <x:row r="2455">
      <x:c r="A2455" s="4" t="str">
        <x:v>2024-25</x:v>
      </x:c>
      <x:c r="B2455" s="20" t="n">
        <x:v>45592</x:v>
      </x:c>
      <x:c r="C2455" s="4" t="str">
        <x:v>Chelsea</x:v>
      </x:c>
      <x:c r="D2455" s="4" t="str">
        <x:v>Newcastle</x:v>
      </x:c>
      <x:c r="E2455" s="4" t="str">
        <x:v>Home</x:v>
      </x:c>
      <x:c r="F2455" s="28" t="n">
        <x:v>2</x:v>
      </x:c>
      <x:c r="G2455" s="28" t="n">
        <x:v>1</x:v>
      </x:c>
      <x:c r="H2455" s="28" t="n">
        <x:v>17</x:v>
      </x:c>
      <x:c r="I2455" s="28" t="n">
        <x:v>11</x:v>
      </x:c>
      <x:c r="J2455" s="28" t="n">
        <x:v>7</x:v>
      </x:c>
      <x:c r="K2455" s="28" t="n">
        <x:v>3</x:v>
      </x:c>
      <x:c r="L2455" s="28" t="n">
        <x:v>7</x:v>
      </x:c>
      <x:c r="M2455" s="28" t="n">
        <x:v>4</x:v>
      </x:c>
      <x:c r="N2455" s="28" t="n">
        <x:v>6</x:v>
      </x:c>
      <x:c r="O2455" s="28" t="n">
        <x:v>0</x:v>
      </x:c>
      <x:c r="P2455" s="28" t="n">
        <x:v>3</x:v>
      </x:c>
      <x:c r="Q2455" s="24" t="n">
        <x:f>IFERROR(J2455/H2455,0)</x:f>
        <x:v>0.4117647058823529</x:v>
      </x:c>
      <x:c r="R2455" s="24" t="n">
        <x:f>IFERROR(F2455/H2455,0)</x:f>
        <x:v>0.11764705882352941</x:v>
      </x:c>
      <x:c r="S2455" s="24" t="n">
        <x:f>IFERROR(F2455/J2455,0)</x:f>
        <x:v>0.2857142857142857</x:v>
      </x:c>
      <x:c r="T2455" s="28" t="n">
        <x:f>H2455-I2455</x:f>
        <x:v>6</x:v>
      </x:c>
      <x:c r="U2455" s="24" t="n">
        <x:f>IFERROR(J2455/H2455,0)-IFERROR(K2455/I2455,0)</x:f>
        <x:v>0.13903743315508021</x:v>
      </x:c>
      <x:c r="V2455" s="24" t="n">
        <x:f>IFERROR(F2455/J2455,0)-IFERROR(G2455/K2455,0)</x:f>
        <x:v>-0.047619047619047616</x:v>
      </x:c>
      <x:c r="W2455" s="28" t="n">
        <x:f>L2455-M2455</x:f>
        <x:v>3</x:v>
      </x:c>
      <x:c r="X2455" s="24" t="n">
        <x:f>IFERROR(K2455/I2455,0)</x:f>
        <x:v>0.2727272727272727</x:v>
      </x:c>
      <x:c r="Y2455" s="24" t="n">
        <x:f>IFERROR(G2455/I2455,0)</x:f>
        <x:v>0.09090909090909091</x:v>
      </x:c>
      <x:c r="Z2455" s="24" t="n">
        <x:f>IFERROR(G2455/K2455,0)</x:f>
        <x:v>0.3333333333333333</x:v>
      </x:c>
      <x:c r="AA2455" s="24" t="n">
        <x:f>IFERROR(F2455/H2455,0)-IFERROR(G2455/I2455,0)</x:f>
        <x:v>0.0267379679144385</x:v>
      </x:c>
      <x:c r="AB2455" s="28" t="n">
        <x:f>J2455-K2455</x:f>
        <x:v>4</x:v>
      </x:c>
      <x:c r="AC2455" s="32" t="n">
        <x:f>F2455-G2455</x:f>
        <x:v>1</x:v>
      </x:c>
    </x:row>
    <x:row r="2456">
      <x:c r="A2456" s="4" t="str">
        <x:v>2024-25</x:v>
      </x:c>
      <x:c r="B2456" s="20" t="n">
        <x:v>45592</x:v>
      </x:c>
      <x:c r="C2456" s="4" t="str">
        <x:v>Crystal Palace</x:v>
      </x:c>
      <x:c r="D2456" s="4" t="str">
        <x:v>Tottenham</x:v>
      </x:c>
      <x:c r="E2456" s="4" t="str">
        <x:v>Home</x:v>
      </x:c>
      <x:c r="F2456" s="28" t="n">
        <x:v>1</x:v>
      </x:c>
      <x:c r="G2456" s="28" t="n">
        <x:v>0</x:v>
      </x:c>
      <x:c r="H2456" s="28" t="n">
        <x:v>14</x:v>
      </x:c>
      <x:c r="I2456" s="28" t="n">
        <x:v>11</x:v>
      </x:c>
      <x:c r="J2456" s="28" t="n">
        <x:v>6</x:v>
      </x:c>
      <x:c r="K2456" s="28" t="n">
        <x:v>3</x:v>
      </x:c>
      <x:c r="L2456" s="28" t="n">
        <x:v>8</x:v>
      </x:c>
      <x:c r="M2456" s="28" t="n">
        <x:v>8</x:v>
      </x:c>
      <x:c r="N2456" s="28" t="n">
        <x:v>4</x:v>
      </x:c>
      <x:c r="O2456" s="28" t="n">
        <x:v>0</x:v>
      </x:c>
      <x:c r="P2456" s="28" t="n">
        <x:v>3</x:v>
      </x:c>
      <x:c r="Q2456" s="24" t="n">
        <x:f>IFERROR(J2456/H2456,0)</x:f>
        <x:v>0.42857142857142855</x:v>
      </x:c>
      <x:c r="R2456" s="24" t="n">
        <x:f>IFERROR(F2456/H2456,0)</x:f>
        <x:v>0.07142857142857142</x:v>
      </x:c>
      <x:c r="S2456" s="24" t="n">
        <x:f>IFERROR(F2456/J2456,0)</x:f>
        <x:v>0.16666666666666666</x:v>
      </x:c>
      <x:c r="T2456" s="28" t="n">
        <x:f>H2456-I2456</x:f>
        <x:v>3</x:v>
      </x:c>
      <x:c r="U2456" s="24" t="n">
        <x:f>IFERROR(J2456/H2456,0)-IFERROR(K2456/I2456,0)</x:f>
        <x:v>0.15584415584415584</x:v>
      </x:c>
      <x:c r="V2456" s="24" t="n">
        <x:f>IFERROR(F2456/J2456,0)-IFERROR(G2456/K2456,0)</x:f>
        <x:v>0.16666666666666666</x:v>
      </x:c>
      <x:c r="W2456" s="28" t="n">
        <x:f>L2456-M2456</x:f>
        <x:v>0</x:v>
      </x:c>
      <x:c r="X2456" s="24" t="n">
        <x:f>IFERROR(K2456/I2456,0)</x:f>
        <x:v>0.2727272727272727</x:v>
      </x:c>
      <x:c r="Y2456" s="24" t="n">
        <x:f>IFERROR(G2456/I2456,0)</x:f>
        <x:v>0</x:v>
      </x:c>
      <x:c r="Z2456" s="24" t="n">
        <x:f>IFERROR(G2456/K2456,0)</x:f>
        <x:v>0</x:v>
      </x:c>
      <x:c r="AA2456" s="24" t="n">
        <x:f>IFERROR(F2456/H2456,0)-IFERROR(G2456/I2456,0)</x:f>
        <x:v>0.07142857142857142</x:v>
      </x:c>
      <x:c r="AB2456" s="28" t="n">
        <x:f>J2456-K2456</x:f>
        <x:v>3</x:v>
      </x:c>
      <x:c r="AC2456" s="32" t="n">
        <x:f>F2456-G2456</x:f>
        <x:v>1</x:v>
      </x:c>
    </x:row>
    <x:row r="2457">
      <x:c r="A2457" s="4" t="str">
        <x:v>2024-25</x:v>
      </x:c>
      <x:c r="B2457" s="20" t="n">
        <x:v>45592</x:v>
      </x:c>
      <x:c r="C2457" s="4" t="str">
        <x:v>Liverpool</x:v>
      </x:c>
      <x:c r="D2457" s="4" t="str">
        <x:v>Arsenal</x:v>
      </x:c>
      <x:c r="E2457" s="4" t="str">
        <x:v>Away</x:v>
      </x:c>
      <x:c r="F2457" s="28" t="n">
        <x:v>2</x:v>
      </x:c>
      <x:c r="G2457" s="28" t="n">
        <x:v>2</x:v>
      </x:c>
      <x:c r="H2457" s="28" t="n">
        <x:v>9</x:v>
      </x:c>
      <x:c r="I2457" s="28" t="n">
        <x:v>9</x:v>
      </x:c>
      <x:c r="J2457" s="28" t="n">
        <x:v>4</x:v>
      </x:c>
      <x:c r="K2457" s="28" t="n">
        <x:v>3</x:v>
      </x:c>
      <x:c r="L2457" s="28" t="n">
        <x:v>3</x:v>
      </x:c>
      <x:c r="M2457" s="28" t="n">
        <x:v>1</x:v>
      </x:c>
      <x:c r="N2457" s="28" t="n">
        <x:v>2</x:v>
      </x:c>
      <x:c r="O2457" s="28" t="n">
        <x:v>0</x:v>
      </x:c>
      <x:c r="P2457" s="28" t="n">
        <x:v>1</x:v>
      </x:c>
      <x:c r="Q2457" s="24" t="n">
        <x:f>IFERROR(J2457/H2457,0)</x:f>
        <x:v>0.4444444444444444</x:v>
      </x:c>
      <x:c r="R2457" s="24" t="n">
        <x:f>IFERROR(F2457/H2457,0)</x:f>
        <x:v>0.2222222222222222</x:v>
      </x:c>
      <x:c r="S2457" s="24" t="n">
        <x:f>IFERROR(F2457/J2457,0)</x:f>
        <x:v>0.5</x:v>
      </x:c>
      <x:c r="T2457" s="28" t="n">
        <x:f>H2457-I2457</x:f>
        <x:v>0</x:v>
      </x:c>
      <x:c r="U2457" s="24" t="n">
        <x:f>IFERROR(J2457/H2457,0)-IFERROR(K2457/I2457,0)</x:f>
        <x:v>0.1111111111111111</x:v>
      </x:c>
      <x:c r="V2457" s="24" t="n">
        <x:f>IFERROR(F2457/J2457,0)-IFERROR(G2457/K2457,0)</x:f>
        <x:v>-0.16666666666666663</x:v>
      </x:c>
      <x:c r="W2457" s="28" t="n">
        <x:f>L2457-M2457</x:f>
        <x:v>2</x:v>
      </x:c>
      <x:c r="X2457" s="24" t="n">
        <x:f>IFERROR(K2457/I2457,0)</x:f>
        <x:v>0.3333333333333333</x:v>
      </x:c>
      <x:c r="Y2457" s="24" t="n">
        <x:f>IFERROR(G2457/I2457,0)</x:f>
        <x:v>0.2222222222222222</x:v>
      </x:c>
      <x:c r="Z2457" s="24" t="n">
        <x:f>IFERROR(G2457/K2457,0)</x:f>
        <x:v>0.6666666666666666</x:v>
      </x:c>
      <x:c r="AA2457" s="24" t="n">
        <x:f>IFERROR(F2457/H2457,0)-IFERROR(G2457/I2457,0)</x:f>
        <x:v>0</x:v>
      </x:c>
      <x:c r="AB2457" s="28" t="n">
        <x:f>J2457-K2457</x:f>
        <x:v>1</x:v>
      </x:c>
      <x:c r="AC2457" s="32" t="n">
        <x:f>F2457-G2457</x:f>
        <x:v>0</x:v>
      </x:c>
    </x:row>
    <x:row r="2458">
      <x:c r="A2458" s="4" t="str">
        <x:v>2024-25</x:v>
      </x:c>
      <x:c r="B2458" s="20" t="n">
        <x:v>45592</x:v>
      </x:c>
      <x:c r="C2458" s="4" t="str">
        <x:v>Man United</x:v>
      </x:c>
      <x:c r="D2458" s="4" t="str">
        <x:v>West Ham</x:v>
      </x:c>
      <x:c r="E2458" s="4" t="str">
        <x:v>Away</x:v>
      </x:c>
      <x:c r="F2458" s="28" t="n">
        <x:v>1</x:v>
      </x:c>
      <x:c r="G2458" s="28" t="n">
        <x:v>2</x:v>
      </x:c>
      <x:c r="H2458" s="28" t="n">
        <x:v>18</x:v>
      </x:c>
      <x:c r="I2458" s="28" t="n">
        <x:v>12</x:v>
      </x:c>
      <x:c r="J2458" s="28" t="n">
        <x:v>5</x:v>
      </x:c>
      <x:c r="K2458" s="28" t="n">
        <x:v>3</x:v>
      </x:c>
      <x:c r="L2458" s="28" t="n">
        <x:v>5</x:v>
      </x:c>
      <x:c r="M2458" s="28" t="n">
        <x:v>6</x:v>
      </x:c>
      <x:c r="N2458" s="28" t="n">
        <x:v>1</x:v>
      </x:c>
      <x:c r="O2458" s="28" t="n">
        <x:v>0</x:v>
      </x:c>
      <x:c r="P2458" s="28" t="n">
        <x:v>0</x:v>
      </x:c>
      <x:c r="Q2458" s="24" t="n">
        <x:f>IFERROR(J2458/H2458,0)</x:f>
        <x:v>0.2777777777777778</x:v>
      </x:c>
      <x:c r="R2458" s="24" t="n">
        <x:f>IFERROR(F2458/H2458,0)</x:f>
        <x:v>0.05555555555555555</x:v>
      </x:c>
      <x:c r="S2458" s="24" t="n">
        <x:f>IFERROR(F2458/J2458,0)</x:f>
        <x:v>0.2</x:v>
      </x:c>
      <x:c r="T2458" s="28" t="n">
        <x:f>H2458-I2458</x:f>
        <x:v>6</x:v>
      </x:c>
      <x:c r="U2458" s="24" t="n">
        <x:f>IFERROR(J2458/H2458,0)-IFERROR(K2458/I2458,0)</x:f>
        <x:v>0.02777777777777779</x:v>
      </x:c>
      <x:c r="V2458" s="24" t="n">
        <x:f>IFERROR(F2458/J2458,0)-IFERROR(G2458/K2458,0)</x:f>
        <x:v>-0.4666666666666666</x:v>
      </x:c>
      <x:c r="W2458" s="28" t="n">
        <x:f>L2458-M2458</x:f>
        <x:v>-1</x:v>
      </x:c>
      <x:c r="X2458" s="24" t="n">
        <x:f>IFERROR(K2458/I2458,0)</x:f>
        <x:v>0.25</x:v>
      </x:c>
      <x:c r="Y2458" s="24" t="n">
        <x:f>IFERROR(G2458/I2458,0)</x:f>
        <x:v>0.16666666666666666</x:v>
      </x:c>
      <x:c r="Z2458" s="24" t="n">
        <x:f>IFERROR(G2458/K2458,0)</x:f>
        <x:v>0.6666666666666666</x:v>
      </x:c>
      <x:c r="AA2458" s="24" t="n">
        <x:f>IFERROR(F2458/H2458,0)-IFERROR(G2458/I2458,0)</x:f>
        <x:v>-0.1111111111111111</x:v>
      </x:c>
      <x:c r="AB2458" s="28" t="n">
        <x:f>J2458-K2458</x:f>
        <x:v>2</x:v>
      </x:c>
      <x:c r="AC2458" s="32" t="n">
        <x:f>F2458-G2458</x:f>
        <x:v>-1</x:v>
      </x:c>
    </x:row>
    <x:row r="2459">
      <x:c r="A2459" s="4" t="str">
        <x:v>2024-25</x:v>
      </x:c>
      <x:c r="B2459" s="20" t="n">
        <x:v>45592</x:v>
      </x:c>
      <x:c r="C2459" s="4" t="str">
        <x:v>Newcastle</x:v>
      </x:c>
      <x:c r="D2459" s="4" t="str">
        <x:v>Chelsea</x:v>
      </x:c>
      <x:c r="E2459" s="4" t="str">
        <x:v>Away</x:v>
      </x:c>
      <x:c r="F2459" s="28" t="n">
        <x:v>1</x:v>
      </x:c>
      <x:c r="G2459" s="28" t="n">
        <x:v>2</x:v>
      </x:c>
      <x:c r="H2459" s="28" t="n">
        <x:v>11</x:v>
      </x:c>
      <x:c r="I2459" s="28" t="n">
        <x:v>17</x:v>
      </x:c>
      <x:c r="J2459" s="28" t="n">
        <x:v>3</x:v>
      </x:c>
      <x:c r="K2459" s="28" t="n">
        <x:v>7</x:v>
      </x:c>
      <x:c r="L2459" s="28" t="n">
        <x:v>4</x:v>
      </x:c>
      <x:c r="M2459" s="28" t="n">
        <x:v>7</x:v>
      </x:c>
      <x:c r="N2459" s="28" t="n">
        <x:v>3</x:v>
      </x:c>
      <x:c r="O2459" s="28" t="n">
        <x:v>0</x:v>
      </x:c>
      <x:c r="P2459" s="28" t="n">
        <x:v>0</x:v>
      </x:c>
      <x:c r="Q2459" s="24" t="n">
        <x:f>IFERROR(J2459/H2459,0)</x:f>
        <x:v>0.2727272727272727</x:v>
      </x:c>
      <x:c r="R2459" s="24" t="n">
        <x:f>IFERROR(F2459/H2459,0)</x:f>
        <x:v>0.09090909090909091</x:v>
      </x:c>
      <x:c r="S2459" s="24" t="n">
        <x:f>IFERROR(F2459/J2459,0)</x:f>
        <x:v>0.3333333333333333</x:v>
      </x:c>
      <x:c r="T2459" s="28" t="n">
        <x:f>H2459-I2459</x:f>
        <x:v>-6</x:v>
      </x:c>
      <x:c r="U2459" s="24" t="n">
        <x:f>IFERROR(J2459/H2459,0)-IFERROR(K2459/I2459,0)</x:f>
        <x:v>-0.13903743315508021</x:v>
      </x:c>
      <x:c r="V2459" s="24" t="n">
        <x:f>IFERROR(F2459/J2459,0)-IFERROR(G2459/K2459,0)</x:f>
        <x:v>0.047619047619047616</x:v>
      </x:c>
      <x:c r="W2459" s="28" t="n">
        <x:f>L2459-M2459</x:f>
        <x:v>-3</x:v>
      </x:c>
      <x:c r="X2459" s="24" t="n">
        <x:f>IFERROR(K2459/I2459,0)</x:f>
        <x:v>0.4117647058823529</x:v>
      </x:c>
      <x:c r="Y2459" s="24" t="n">
        <x:f>IFERROR(G2459/I2459,0)</x:f>
        <x:v>0.11764705882352941</x:v>
      </x:c>
      <x:c r="Z2459" s="24" t="n">
        <x:f>IFERROR(G2459/K2459,0)</x:f>
        <x:v>0.2857142857142857</x:v>
      </x:c>
      <x:c r="AA2459" s="24" t="n">
        <x:f>IFERROR(F2459/H2459,0)-IFERROR(G2459/I2459,0)</x:f>
        <x:v>-0.0267379679144385</x:v>
      </x:c>
      <x:c r="AB2459" s="28" t="n">
        <x:f>J2459-K2459</x:f>
        <x:v>-4</x:v>
      </x:c>
      <x:c r="AC2459" s="32" t="n">
        <x:f>F2459-G2459</x:f>
        <x:v>-1</x:v>
      </x:c>
    </x:row>
    <x:row r="2460">
      <x:c r="A2460" s="4" t="str">
        <x:v>2024-25</x:v>
      </x:c>
      <x:c r="B2460" s="20" t="n">
        <x:v>45592</x:v>
      </x:c>
      <x:c r="C2460" s="4" t="str">
        <x:v>Tottenham</x:v>
      </x:c>
      <x:c r="D2460" s="4" t="str">
        <x:v>Crystal Palace</x:v>
      </x:c>
      <x:c r="E2460" s="4" t="str">
        <x:v>Away</x:v>
      </x:c>
      <x:c r="F2460" s="28" t="n">
        <x:v>0</x:v>
      </x:c>
      <x:c r="G2460" s="28" t="n">
        <x:v>1</x:v>
      </x:c>
      <x:c r="H2460" s="28" t="n">
        <x:v>11</x:v>
      </x:c>
      <x:c r="I2460" s="28" t="n">
        <x:v>14</x:v>
      </x:c>
      <x:c r="J2460" s="28" t="n">
        <x:v>3</x:v>
      </x:c>
      <x:c r="K2460" s="28" t="n">
        <x:v>6</x:v>
      </x:c>
      <x:c r="L2460" s="28" t="n">
        <x:v>8</x:v>
      </x:c>
      <x:c r="M2460" s="28" t="n">
        <x:v>8</x:v>
      </x:c>
      <x:c r="N2460" s="28" t="n">
        <x:v>4</x:v>
      </x:c>
      <x:c r="O2460" s="28" t="n">
        <x:v>0</x:v>
      </x:c>
      <x:c r="P2460" s="28" t="n">
        <x:v>0</x:v>
      </x:c>
      <x:c r="Q2460" s="24" t="n">
        <x:f>IFERROR(J2460/H2460,0)</x:f>
        <x:v>0.2727272727272727</x:v>
      </x:c>
      <x:c r="R2460" s="24" t="n">
        <x:f>IFERROR(F2460/H2460,0)</x:f>
        <x:v>0</x:v>
      </x:c>
      <x:c r="S2460" s="24" t="n">
        <x:f>IFERROR(F2460/J2460,0)</x:f>
        <x:v>0</x:v>
      </x:c>
      <x:c r="T2460" s="28" t="n">
        <x:f>H2460-I2460</x:f>
        <x:v>-3</x:v>
      </x:c>
      <x:c r="U2460" s="24" t="n">
        <x:f>IFERROR(J2460/H2460,0)-IFERROR(K2460/I2460,0)</x:f>
        <x:v>-0.15584415584415584</x:v>
      </x:c>
      <x:c r="V2460" s="24" t="n">
        <x:f>IFERROR(F2460/J2460,0)-IFERROR(G2460/K2460,0)</x:f>
        <x:v>-0.16666666666666666</x:v>
      </x:c>
      <x:c r="W2460" s="28" t="n">
        <x:f>L2460-M2460</x:f>
        <x:v>0</x:v>
      </x:c>
      <x:c r="X2460" s="24" t="n">
        <x:f>IFERROR(K2460/I2460,0)</x:f>
        <x:v>0.42857142857142855</x:v>
      </x:c>
      <x:c r="Y2460" s="24" t="n">
        <x:f>IFERROR(G2460/I2460,0)</x:f>
        <x:v>0.07142857142857142</x:v>
      </x:c>
      <x:c r="Z2460" s="24" t="n">
        <x:f>IFERROR(G2460/K2460,0)</x:f>
        <x:v>0.16666666666666666</x:v>
      </x:c>
      <x:c r="AA2460" s="24" t="n">
        <x:f>IFERROR(F2460/H2460,0)-IFERROR(G2460/I2460,0)</x:f>
        <x:v>-0.07142857142857142</x:v>
      </x:c>
      <x:c r="AB2460" s="28" t="n">
        <x:f>J2460-K2460</x:f>
        <x:v>-3</x:v>
      </x:c>
      <x:c r="AC2460" s="32" t="n">
        <x:f>F2460-G2460</x:f>
        <x:v>-1</x:v>
      </x:c>
    </x:row>
    <x:row r="2461">
      <x:c r="A2461" s="4" t="str">
        <x:v>2024-25</x:v>
      </x:c>
      <x:c r="B2461" s="20" t="n">
        <x:v>45592</x:v>
      </x:c>
      <x:c r="C2461" s="4" t="str">
        <x:v>West Ham</x:v>
      </x:c>
      <x:c r="D2461" s="4" t="str">
        <x:v>Man United</x:v>
      </x:c>
      <x:c r="E2461" s="4" t="str">
        <x:v>Home</x:v>
      </x:c>
      <x:c r="F2461" s="28" t="n">
        <x:v>2</x:v>
      </x:c>
      <x:c r="G2461" s="28" t="n">
        <x:v>1</x:v>
      </x:c>
      <x:c r="H2461" s="28" t="n">
        <x:v>12</x:v>
      </x:c>
      <x:c r="I2461" s="28" t="n">
        <x:v>18</x:v>
      </x:c>
      <x:c r="J2461" s="28" t="n">
        <x:v>3</x:v>
      </x:c>
      <x:c r="K2461" s="28" t="n">
        <x:v>5</x:v>
      </x:c>
      <x:c r="L2461" s="28" t="n">
        <x:v>6</x:v>
      </x:c>
      <x:c r="M2461" s="28" t="n">
        <x:v>5</x:v>
      </x:c>
      <x:c r="N2461" s="28" t="n">
        <x:v>5</x:v>
      </x:c>
      <x:c r="O2461" s="28" t="n">
        <x:v>0</x:v>
      </x:c>
      <x:c r="P2461" s="28" t="n">
        <x:v>3</x:v>
      </x:c>
      <x:c r="Q2461" s="24" t="n">
        <x:f>IFERROR(J2461/H2461,0)</x:f>
        <x:v>0.25</x:v>
      </x:c>
      <x:c r="R2461" s="24" t="n">
        <x:f>IFERROR(F2461/H2461,0)</x:f>
        <x:v>0.16666666666666666</x:v>
      </x:c>
      <x:c r="S2461" s="24" t="n">
        <x:f>IFERROR(F2461/J2461,0)</x:f>
        <x:v>0.6666666666666666</x:v>
      </x:c>
      <x:c r="T2461" s="28" t="n">
        <x:f>H2461-I2461</x:f>
        <x:v>-6</x:v>
      </x:c>
      <x:c r="U2461" s="24" t="n">
        <x:f>IFERROR(J2461/H2461,0)-IFERROR(K2461/I2461,0)</x:f>
        <x:v>-0.02777777777777779</x:v>
      </x:c>
      <x:c r="V2461" s="24" t="n">
        <x:f>IFERROR(F2461/J2461,0)-IFERROR(G2461/K2461,0)</x:f>
        <x:v>0.4666666666666666</x:v>
      </x:c>
      <x:c r="W2461" s="28" t="n">
        <x:f>L2461-M2461</x:f>
        <x:v>1</x:v>
      </x:c>
      <x:c r="X2461" s="24" t="n">
        <x:f>IFERROR(K2461/I2461,0)</x:f>
        <x:v>0.2777777777777778</x:v>
      </x:c>
      <x:c r="Y2461" s="24" t="n">
        <x:f>IFERROR(G2461/I2461,0)</x:f>
        <x:v>0.05555555555555555</x:v>
      </x:c>
      <x:c r="Z2461" s="24" t="n">
        <x:f>IFERROR(G2461/K2461,0)</x:f>
        <x:v>0.2</x:v>
      </x:c>
      <x:c r="AA2461" s="24" t="n">
        <x:f>IFERROR(F2461/H2461,0)-IFERROR(G2461/I2461,0)</x:f>
        <x:v>0.1111111111111111</x:v>
      </x:c>
      <x:c r="AB2461" s="28" t="n">
        <x:f>J2461-K2461</x:f>
        <x:v>-2</x:v>
      </x:c>
      <x:c r="AC2461" s="32" t="n">
        <x:f>F2461-G2461</x:f>
        <x:v>1</x:v>
      </x:c>
    </x:row>
    <x:row r="2462">
      <x:c r="A2462" s="4" t="str">
        <x:v>2024-25</x:v>
      </x:c>
      <x:c r="B2462" s="20" t="n">
        <x:v>45598</x:v>
      </x:c>
      <x:c r="C2462" s="4" t="str">
        <x:v>Arsenal</x:v>
      </x:c>
      <x:c r="D2462" s="4" t="str">
        <x:v>Newcastle</x:v>
      </x:c>
      <x:c r="E2462" s="4" t="str">
        <x:v>Away</x:v>
      </x:c>
      <x:c r="F2462" s="28" t="n">
        <x:v>0</x:v>
      </x:c>
      <x:c r="G2462" s="28" t="n">
        <x:v>1</x:v>
      </x:c>
      <x:c r="H2462" s="28" t="n">
        <x:v>10</x:v>
      </x:c>
      <x:c r="I2462" s="28" t="n">
        <x:v>9</x:v>
      </x:c>
      <x:c r="J2462" s="28" t="n">
        <x:v>1</x:v>
      </x:c>
      <x:c r="K2462" s="28" t="n">
        <x:v>4</x:v>
      </x:c>
      <x:c r="L2462" s="28" t="n">
        <x:v>6</x:v>
      </x:c>
      <x:c r="M2462" s="28" t="n">
        <x:v>4</x:v>
      </x:c>
      <x:c r="N2462" s="28" t="n">
        <x:v>4</x:v>
      </x:c>
      <x:c r="O2462" s="28" t="n">
        <x:v>0</x:v>
      </x:c>
      <x:c r="P2462" s="28" t="n">
        <x:v>0</x:v>
      </x:c>
      <x:c r="Q2462" s="24" t="n">
        <x:f>IFERROR(J2462/H2462,0)</x:f>
        <x:v>0.1</x:v>
      </x:c>
      <x:c r="R2462" s="24" t="n">
        <x:f>IFERROR(F2462/H2462,0)</x:f>
        <x:v>0</x:v>
      </x:c>
      <x:c r="S2462" s="24" t="n">
        <x:f>IFERROR(F2462/J2462,0)</x:f>
        <x:v>0</x:v>
      </x:c>
      <x:c r="T2462" s="28" t="n">
        <x:f>H2462-I2462</x:f>
        <x:v>1</x:v>
      </x:c>
      <x:c r="U2462" s="24" t="n">
        <x:f>IFERROR(J2462/H2462,0)-IFERROR(K2462/I2462,0)</x:f>
        <x:v>-0.34444444444444444</x:v>
      </x:c>
      <x:c r="V2462" s="24" t="n">
        <x:f>IFERROR(F2462/J2462,0)-IFERROR(G2462/K2462,0)</x:f>
        <x:v>-0.25</x:v>
      </x:c>
      <x:c r="W2462" s="28" t="n">
        <x:f>L2462-M2462</x:f>
        <x:v>2</x:v>
      </x:c>
      <x:c r="X2462" s="24" t="n">
        <x:f>IFERROR(K2462/I2462,0)</x:f>
        <x:v>0.4444444444444444</x:v>
      </x:c>
      <x:c r="Y2462" s="24" t="n">
        <x:f>IFERROR(G2462/I2462,0)</x:f>
        <x:v>0.1111111111111111</x:v>
      </x:c>
      <x:c r="Z2462" s="24" t="n">
        <x:f>IFERROR(G2462/K2462,0)</x:f>
        <x:v>0.25</x:v>
      </x:c>
      <x:c r="AA2462" s="24" t="n">
        <x:f>IFERROR(F2462/H2462,0)-IFERROR(G2462/I2462,0)</x:f>
        <x:v>-0.1111111111111111</x:v>
      </x:c>
      <x:c r="AB2462" s="28" t="n">
        <x:f>J2462-K2462</x:f>
        <x:v>-3</x:v>
      </x:c>
      <x:c r="AC2462" s="32" t="n">
        <x:f>F2462-G2462</x:f>
        <x:v>-1</x:v>
      </x:c>
    </x:row>
    <x:row r="2463">
      <x:c r="A2463" s="4" t="str">
        <x:v>2024-25</x:v>
      </x:c>
      <x:c r="B2463" s="20" t="n">
        <x:v>45598</x:v>
      </x:c>
      <x:c r="C2463" s="4" t="str">
        <x:v>Bournemouth</x:v>
      </x:c>
      <x:c r="D2463" s="4" t="str">
        <x:v>Man City</x:v>
      </x:c>
      <x:c r="E2463" s="4" t="str">
        <x:v>Home</x:v>
      </x:c>
      <x:c r="F2463" s="28" t="n">
        <x:v>2</x:v>
      </x:c>
      <x:c r="G2463" s="28" t="n">
        <x:v>1</x:v>
      </x:c>
      <x:c r="H2463" s="28" t="n">
        <x:v>12</x:v>
      </x:c>
      <x:c r="I2463" s="28" t="n">
        <x:v>18</x:v>
      </x:c>
      <x:c r="J2463" s="28" t="n">
        <x:v>6</x:v>
      </x:c>
      <x:c r="K2463" s="28" t="n">
        <x:v>4</x:v>
      </x:c>
      <x:c r="L2463" s="28" t="n">
        <x:v>3</x:v>
      </x:c>
      <x:c r="M2463" s="28" t="n">
        <x:v>10</x:v>
      </x:c>
      <x:c r="N2463" s="28" t="n">
        <x:v>2</x:v>
      </x:c>
      <x:c r="O2463" s="28" t="n">
        <x:v>0</x:v>
      </x:c>
      <x:c r="P2463" s="28" t="n">
        <x:v>3</x:v>
      </x:c>
      <x:c r="Q2463" s="24" t="n">
        <x:f>IFERROR(J2463/H2463,0)</x:f>
        <x:v>0.5</x:v>
      </x:c>
      <x:c r="R2463" s="24" t="n">
        <x:f>IFERROR(F2463/H2463,0)</x:f>
        <x:v>0.16666666666666666</x:v>
      </x:c>
      <x:c r="S2463" s="24" t="n">
        <x:f>IFERROR(F2463/J2463,0)</x:f>
        <x:v>0.3333333333333333</x:v>
      </x:c>
      <x:c r="T2463" s="28" t="n">
        <x:f>H2463-I2463</x:f>
        <x:v>-6</x:v>
      </x:c>
      <x:c r="U2463" s="24" t="n">
        <x:f>IFERROR(J2463/H2463,0)-IFERROR(K2463/I2463,0)</x:f>
        <x:v>0.2777777777777778</x:v>
      </x:c>
      <x:c r="V2463" s="24" t="n">
        <x:f>IFERROR(F2463/J2463,0)-IFERROR(G2463/K2463,0)</x:f>
        <x:v>0.08333333333333331</x:v>
      </x:c>
      <x:c r="W2463" s="28" t="n">
        <x:f>L2463-M2463</x:f>
        <x:v>-7</x:v>
      </x:c>
      <x:c r="X2463" s="24" t="n">
        <x:f>IFERROR(K2463/I2463,0)</x:f>
        <x:v>0.2222222222222222</x:v>
      </x:c>
      <x:c r="Y2463" s="24" t="n">
        <x:f>IFERROR(G2463/I2463,0)</x:f>
        <x:v>0.05555555555555555</x:v>
      </x:c>
      <x:c r="Z2463" s="24" t="n">
        <x:f>IFERROR(G2463/K2463,0)</x:f>
        <x:v>0.25</x:v>
      </x:c>
      <x:c r="AA2463" s="24" t="n">
        <x:f>IFERROR(F2463/H2463,0)-IFERROR(G2463/I2463,0)</x:f>
        <x:v>0.1111111111111111</x:v>
      </x:c>
      <x:c r="AB2463" s="28" t="n">
        <x:f>J2463-K2463</x:f>
        <x:v>2</x:v>
      </x:c>
      <x:c r="AC2463" s="32" t="n">
        <x:f>F2463-G2463</x:f>
        <x:v>1</x:v>
      </x:c>
    </x:row>
    <x:row r="2464">
      <x:c r="A2464" s="4" t="str">
        <x:v>2024-25</x:v>
      </x:c>
      <x:c r="B2464" s="20" t="n">
        <x:v>45598</x:v>
      </x:c>
      <x:c r="C2464" s="4" t="str">
        <x:v>Brighton</x:v>
      </x:c>
      <x:c r="D2464" s="4" t="str">
        <x:v>Liverpool</x:v>
      </x:c>
      <x:c r="E2464" s="4" t="str">
        <x:v>Away</x:v>
      </x:c>
      <x:c r="F2464" s="28" t="n">
        <x:v>1</x:v>
      </x:c>
      <x:c r="G2464" s="28" t="n">
        <x:v>2</x:v>
      </x:c>
      <x:c r="H2464" s="28" t="n">
        <x:v>13</x:v>
      </x:c>
      <x:c r="I2464" s="28" t="n">
        <x:v>16</x:v>
      </x:c>
      <x:c r="J2464" s="28" t="n">
        <x:v>5</x:v>
      </x:c>
      <x:c r="K2464" s="28" t="n">
        <x:v>8</x:v>
      </x:c>
      <x:c r="L2464" s="28" t="n">
        <x:v>7</x:v>
      </x:c>
      <x:c r="M2464" s="28" t="n">
        <x:v>10</x:v>
      </x:c>
      <x:c r="N2464" s="28" t="n">
        <x:v>1</x:v>
      </x:c>
      <x:c r="O2464" s="28" t="n">
        <x:v>0</x:v>
      </x:c>
      <x:c r="P2464" s="28" t="n">
        <x:v>0</x:v>
      </x:c>
      <x:c r="Q2464" s="24" t="n">
        <x:f>IFERROR(J2464/H2464,0)</x:f>
        <x:v>0.38461538461538464</x:v>
      </x:c>
      <x:c r="R2464" s="24" t="n">
        <x:f>IFERROR(F2464/H2464,0)</x:f>
        <x:v>0.07692307692307693</x:v>
      </x:c>
      <x:c r="S2464" s="24" t="n">
        <x:f>IFERROR(F2464/J2464,0)</x:f>
        <x:v>0.2</x:v>
      </x:c>
      <x:c r="T2464" s="28" t="n">
        <x:f>H2464-I2464</x:f>
        <x:v>-3</x:v>
      </x:c>
      <x:c r="U2464" s="24" t="n">
        <x:f>IFERROR(J2464/H2464,0)-IFERROR(K2464/I2464,0)</x:f>
        <x:v>-0.11538461538461536</x:v>
      </x:c>
      <x:c r="V2464" s="24" t="n">
        <x:f>IFERROR(F2464/J2464,0)-IFERROR(G2464/K2464,0)</x:f>
        <x:v>-0.04999999999999999</x:v>
      </x:c>
      <x:c r="W2464" s="28" t="n">
        <x:f>L2464-M2464</x:f>
        <x:v>-3</x:v>
      </x:c>
      <x:c r="X2464" s="24" t="n">
        <x:f>IFERROR(K2464/I2464,0)</x:f>
        <x:v>0.5</x:v>
      </x:c>
      <x:c r="Y2464" s="24" t="n">
        <x:f>IFERROR(G2464/I2464,0)</x:f>
        <x:v>0.125</x:v>
      </x:c>
      <x:c r="Z2464" s="24" t="n">
        <x:f>IFERROR(G2464/K2464,0)</x:f>
        <x:v>0.25</x:v>
      </x:c>
      <x:c r="AA2464" s="24" t="n">
        <x:f>IFERROR(F2464/H2464,0)-IFERROR(G2464/I2464,0)</x:f>
        <x:v>-0.04807692307692307</x:v>
      </x:c>
      <x:c r="AB2464" s="28" t="n">
        <x:f>J2464-K2464</x:f>
        <x:v>-3</x:v>
      </x:c>
      <x:c r="AC2464" s="32" t="n">
        <x:f>F2464-G2464</x:f>
        <x:v>-1</x:v>
      </x:c>
    </x:row>
    <x:row r="2465">
      <x:c r="A2465" s="4" t="str">
        <x:v>2024-25</x:v>
      </x:c>
      <x:c r="B2465" s="20" t="n">
        <x:v>45598</x:v>
      </x:c>
      <x:c r="C2465" s="4" t="str">
        <x:v>Crystal Palace</x:v>
      </x:c>
      <x:c r="D2465" s="4" t="str">
        <x:v>Wolves</x:v>
      </x:c>
      <x:c r="E2465" s="4" t="str">
        <x:v>Away</x:v>
      </x:c>
      <x:c r="F2465" s="28" t="n">
        <x:v>2</x:v>
      </x:c>
      <x:c r="G2465" s="28" t="n">
        <x:v>2</x:v>
      </x:c>
      <x:c r="H2465" s="28" t="n">
        <x:v>19</x:v>
      </x:c>
      <x:c r="I2465" s="28" t="n">
        <x:v>11</x:v>
      </x:c>
      <x:c r="J2465" s="28" t="n">
        <x:v>7</x:v>
      </x:c>
      <x:c r="K2465" s="28" t="n">
        <x:v>6</x:v>
      </x:c>
      <x:c r="L2465" s="28" t="n">
        <x:v>6</x:v>
      </x:c>
      <x:c r="M2465" s="28" t="n">
        <x:v>3</x:v>
      </x:c>
      <x:c r="N2465" s="28" t="n">
        <x:v>2</x:v>
      </x:c>
      <x:c r="O2465" s="28" t="n">
        <x:v>0</x:v>
      </x:c>
      <x:c r="P2465" s="28" t="n">
        <x:v>1</x:v>
      </x:c>
      <x:c r="Q2465" s="24" t="n">
        <x:f>IFERROR(J2465/H2465,0)</x:f>
        <x:v>0.3684210526315789</x:v>
      </x:c>
      <x:c r="R2465" s="24" t="n">
        <x:f>IFERROR(F2465/H2465,0)</x:f>
        <x:v>0.10526315789473684</x:v>
      </x:c>
      <x:c r="S2465" s="24" t="n">
        <x:f>IFERROR(F2465/J2465,0)</x:f>
        <x:v>0.2857142857142857</x:v>
      </x:c>
      <x:c r="T2465" s="28" t="n">
        <x:f>H2465-I2465</x:f>
        <x:v>8</x:v>
      </x:c>
      <x:c r="U2465" s="24" t="n">
        <x:f>IFERROR(J2465/H2465,0)-IFERROR(K2465/I2465,0)</x:f>
        <x:v>-0.1770334928229665</x:v>
      </x:c>
      <x:c r="V2465" s="24" t="n">
        <x:f>IFERROR(F2465/J2465,0)-IFERROR(G2465/K2465,0)</x:f>
        <x:v>-0.047619047619047616</x:v>
      </x:c>
      <x:c r="W2465" s="28" t="n">
        <x:f>L2465-M2465</x:f>
        <x:v>3</x:v>
      </x:c>
      <x:c r="X2465" s="24" t="n">
        <x:f>IFERROR(K2465/I2465,0)</x:f>
        <x:v>0.5454545454545454</x:v>
      </x:c>
      <x:c r="Y2465" s="24" t="n">
        <x:f>IFERROR(G2465/I2465,0)</x:f>
        <x:v>0.18181818181818182</x:v>
      </x:c>
      <x:c r="Z2465" s="24" t="n">
        <x:f>IFERROR(G2465/K2465,0)</x:f>
        <x:v>0.3333333333333333</x:v>
      </x:c>
      <x:c r="AA2465" s="24" t="n">
        <x:f>IFERROR(F2465/H2465,0)-IFERROR(G2465/I2465,0)</x:f>
        <x:v>-0.07655502392344499</x:v>
      </x:c>
      <x:c r="AB2465" s="28" t="n">
        <x:f>J2465-K2465</x:f>
        <x:v>1</x:v>
      </x:c>
      <x:c r="AC2465" s="32" t="n">
        <x:f>F2465-G2465</x:f>
        <x:v>0</x:v>
      </x:c>
    </x:row>
    <x:row r="2466">
      <x:c r="A2466" s="4" t="str">
        <x:v>2024-25</x:v>
      </x:c>
      <x:c r="B2466" s="20" t="n">
        <x:v>45598</x:v>
      </x:c>
      <x:c r="C2466" s="4" t="str">
        <x:v>Everton</x:v>
      </x:c>
      <x:c r="D2466" s="4" t="str">
        <x:v>Southampton</x:v>
      </x:c>
      <x:c r="E2466" s="4" t="str">
        <x:v>Away</x:v>
      </x:c>
      <x:c r="F2466" s="28" t="n">
        <x:v>0</x:v>
      </x:c>
      <x:c r="G2466" s="28" t="n">
        <x:v>1</x:v>
      </x:c>
      <x:c r="H2466" s="28" t="n">
        <x:v>16</x:v>
      </x:c>
      <x:c r="I2466" s="28" t="n">
        <x:v>9</x:v>
      </x:c>
      <x:c r="J2466" s="28" t="n">
        <x:v>5</x:v>
      </x:c>
      <x:c r="K2466" s="28" t="n">
        <x:v>2</x:v>
      </x:c>
      <x:c r="L2466" s="28" t="n">
        <x:v>6</x:v>
      </x:c>
      <x:c r="M2466" s="28" t="n">
        <x:v>3</x:v>
      </x:c>
      <x:c r="N2466" s="28" t="n">
        <x:v>2</x:v>
      </x:c>
      <x:c r="O2466" s="28" t="n">
        <x:v>0</x:v>
      </x:c>
      <x:c r="P2466" s="28" t="n">
        <x:v>0</x:v>
      </x:c>
      <x:c r="Q2466" s="24" t="n">
        <x:f>IFERROR(J2466/H2466,0)</x:f>
        <x:v>0.3125</x:v>
      </x:c>
      <x:c r="R2466" s="24" t="n">
        <x:f>IFERROR(F2466/H2466,0)</x:f>
        <x:v>0</x:v>
      </x:c>
      <x:c r="S2466" s="24" t="n">
        <x:f>IFERROR(F2466/J2466,0)</x:f>
        <x:v>0</x:v>
      </x:c>
      <x:c r="T2466" s="28" t="n">
        <x:f>H2466-I2466</x:f>
        <x:v>7</x:v>
      </x:c>
      <x:c r="U2466" s="24" t="n">
        <x:f>IFERROR(J2466/H2466,0)-IFERROR(K2466/I2466,0)</x:f>
        <x:v>0.09027777777777779</x:v>
      </x:c>
      <x:c r="V2466" s="24" t="n">
        <x:f>IFERROR(F2466/J2466,0)-IFERROR(G2466/K2466,0)</x:f>
        <x:v>-0.5</x:v>
      </x:c>
      <x:c r="W2466" s="28" t="n">
        <x:f>L2466-M2466</x:f>
        <x:v>3</x:v>
      </x:c>
      <x:c r="X2466" s="24" t="n">
        <x:f>IFERROR(K2466/I2466,0)</x:f>
        <x:v>0.2222222222222222</x:v>
      </x:c>
      <x:c r="Y2466" s="24" t="n">
        <x:f>IFERROR(G2466/I2466,0)</x:f>
        <x:v>0.1111111111111111</x:v>
      </x:c>
      <x:c r="Z2466" s="24" t="n">
        <x:f>IFERROR(G2466/K2466,0)</x:f>
        <x:v>0.5</x:v>
      </x:c>
      <x:c r="AA2466" s="24" t="n">
        <x:f>IFERROR(F2466/H2466,0)-IFERROR(G2466/I2466,0)</x:f>
        <x:v>-0.1111111111111111</x:v>
      </x:c>
      <x:c r="AB2466" s="28" t="n">
        <x:f>J2466-K2466</x:f>
        <x:v>3</x:v>
      </x:c>
      <x:c r="AC2466" s="32" t="n">
        <x:f>F2466-G2466</x:f>
        <x:v>-1</x:v>
      </x:c>
    </x:row>
    <x:row r="2467">
      <x:c r="A2467" s="4" t="str">
        <x:v>2024-25</x:v>
      </x:c>
      <x:c r="B2467" s="20" t="n">
        <x:v>45598</x:v>
      </x:c>
      <x:c r="C2467" s="4" t="str">
        <x:v>Ipswich</x:v>
      </x:c>
      <x:c r="D2467" s="4" t="str">
        <x:v>Leicester</x:v>
      </x:c>
      <x:c r="E2467" s="4" t="str">
        <x:v>Home</x:v>
      </x:c>
      <x:c r="F2467" s="28" t="n">
        <x:v>1</x:v>
      </x:c>
      <x:c r="G2467" s="28" t="n">
        <x:v>1</x:v>
      </x:c>
      <x:c r="H2467" s="28" t="n">
        <x:v>14</x:v>
      </x:c>
      <x:c r="I2467" s="28" t="n">
        <x:v>20</x:v>
      </x:c>
      <x:c r="J2467" s="28" t="n">
        <x:v>2</x:v>
      </x:c>
      <x:c r="K2467" s="28" t="n">
        <x:v>6</x:v>
      </x:c>
      <x:c r="L2467" s="28" t="n">
        <x:v>4</x:v>
      </x:c>
      <x:c r="M2467" s="28" t="n">
        <x:v>6</x:v>
      </x:c>
      <x:c r="N2467" s="28" t="n">
        <x:v>4</x:v>
      </x:c>
      <x:c r="O2467" s="28" t="n">
        <x:v>1</x:v>
      </x:c>
      <x:c r="P2467" s="28" t="n">
        <x:v>1</x:v>
      </x:c>
      <x:c r="Q2467" s="24" t="n">
        <x:f>IFERROR(J2467/H2467,0)</x:f>
        <x:v>0.14285714285714285</x:v>
      </x:c>
      <x:c r="R2467" s="24" t="n">
        <x:f>IFERROR(F2467/H2467,0)</x:f>
        <x:v>0.07142857142857142</x:v>
      </x:c>
      <x:c r="S2467" s="24" t="n">
        <x:f>IFERROR(F2467/J2467,0)</x:f>
        <x:v>0.5</x:v>
      </x:c>
      <x:c r="T2467" s="28" t="n">
        <x:f>H2467-I2467</x:f>
        <x:v>-6</x:v>
      </x:c>
      <x:c r="U2467" s="24" t="n">
        <x:f>IFERROR(J2467/H2467,0)-IFERROR(K2467/I2467,0)</x:f>
        <x:v>-0.15714285714285714</x:v>
      </x:c>
      <x:c r="V2467" s="24" t="n">
        <x:f>IFERROR(F2467/J2467,0)-IFERROR(G2467/K2467,0)</x:f>
        <x:v>0.33333333333333337</x:v>
      </x:c>
      <x:c r="W2467" s="28" t="n">
        <x:f>L2467-M2467</x:f>
        <x:v>-2</x:v>
      </x:c>
      <x:c r="X2467" s="24" t="n">
        <x:f>IFERROR(K2467/I2467,0)</x:f>
        <x:v>0.3</x:v>
      </x:c>
      <x:c r="Y2467" s="24" t="n">
        <x:f>IFERROR(G2467/I2467,0)</x:f>
        <x:v>0.05</x:v>
      </x:c>
      <x:c r="Z2467" s="24" t="n">
        <x:f>IFERROR(G2467/K2467,0)</x:f>
        <x:v>0.16666666666666666</x:v>
      </x:c>
      <x:c r="AA2467" s="24" t="n">
        <x:f>IFERROR(F2467/H2467,0)-IFERROR(G2467/I2467,0)</x:f>
        <x:v>0.021428571428571422</x:v>
      </x:c>
      <x:c r="AB2467" s="28" t="n">
        <x:f>J2467-K2467</x:f>
        <x:v>-4</x:v>
      </x:c>
      <x:c r="AC2467" s="32" t="n">
        <x:f>F2467-G2467</x:f>
        <x:v>0</x:v>
      </x:c>
    </x:row>
    <x:row r="2468">
      <x:c r="A2468" s="4" t="str">
        <x:v>2024-25</x:v>
      </x:c>
      <x:c r="B2468" s="20" t="n">
        <x:v>45598</x:v>
      </x:c>
      <x:c r="C2468" s="4" t="str">
        <x:v>Leicester</x:v>
      </x:c>
      <x:c r="D2468" s="4" t="str">
        <x:v>Ipswich</x:v>
      </x:c>
      <x:c r="E2468" s="4" t="str">
        <x:v>Away</x:v>
      </x:c>
      <x:c r="F2468" s="28" t="n">
        <x:v>1</x:v>
      </x:c>
      <x:c r="G2468" s="28" t="n">
        <x:v>1</x:v>
      </x:c>
      <x:c r="H2468" s="28" t="n">
        <x:v>20</x:v>
      </x:c>
      <x:c r="I2468" s="28" t="n">
        <x:v>14</x:v>
      </x:c>
      <x:c r="J2468" s="28" t="n">
        <x:v>6</x:v>
      </x:c>
      <x:c r="K2468" s="28" t="n">
        <x:v>2</x:v>
      </x:c>
      <x:c r="L2468" s="28" t="n">
        <x:v>6</x:v>
      </x:c>
      <x:c r="M2468" s="28" t="n">
        <x:v>4</x:v>
      </x:c>
      <x:c r="N2468" s="28" t="n">
        <x:v>2</x:v>
      </x:c>
      <x:c r="O2468" s="28" t="n">
        <x:v>0</x:v>
      </x:c>
      <x:c r="P2468" s="28" t="n">
        <x:v>1</x:v>
      </x:c>
      <x:c r="Q2468" s="24" t="n">
        <x:f>IFERROR(J2468/H2468,0)</x:f>
        <x:v>0.3</x:v>
      </x:c>
      <x:c r="R2468" s="24" t="n">
        <x:f>IFERROR(F2468/H2468,0)</x:f>
        <x:v>0.05</x:v>
      </x:c>
      <x:c r="S2468" s="24" t="n">
        <x:f>IFERROR(F2468/J2468,0)</x:f>
        <x:v>0.16666666666666666</x:v>
      </x:c>
      <x:c r="T2468" s="28" t="n">
        <x:f>H2468-I2468</x:f>
        <x:v>6</x:v>
      </x:c>
      <x:c r="U2468" s="24" t="n">
        <x:f>IFERROR(J2468/H2468,0)-IFERROR(K2468/I2468,0)</x:f>
        <x:v>0.15714285714285714</x:v>
      </x:c>
      <x:c r="V2468" s="24" t="n">
        <x:f>IFERROR(F2468/J2468,0)-IFERROR(G2468/K2468,0)</x:f>
        <x:v>-0.33333333333333337</x:v>
      </x:c>
      <x:c r="W2468" s="28" t="n">
        <x:f>L2468-M2468</x:f>
        <x:v>2</x:v>
      </x:c>
      <x:c r="X2468" s="24" t="n">
        <x:f>IFERROR(K2468/I2468,0)</x:f>
        <x:v>0.14285714285714285</x:v>
      </x:c>
      <x:c r="Y2468" s="24" t="n">
        <x:f>IFERROR(G2468/I2468,0)</x:f>
        <x:v>0.07142857142857142</x:v>
      </x:c>
      <x:c r="Z2468" s="24" t="n">
        <x:f>IFERROR(G2468/K2468,0)</x:f>
        <x:v>0.5</x:v>
      </x:c>
      <x:c r="AA2468" s="24" t="n">
        <x:f>IFERROR(F2468/H2468,0)-IFERROR(G2468/I2468,0)</x:f>
        <x:v>-0.021428571428571422</x:v>
      </x:c>
      <x:c r="AB2468" s="28" t="n">
        <x:f>J2468-K2468</x:f>
        <x:v>4</x:v>
      </x:c>
      <x:c r="AC2468" s="32" t="n">
        <x:f>F2468-G2468</x:f>
        <x:v>0</x:v>
      </x:c>
    </x:row>
    <x:row r="2469">
      <x:c r="A2469" s="4" t="str">
        <x:v>2024-25</x:v>
      </x:c>
      <x:c r="B2469" s="20" t="n">
        <x:v>45598</x:v>
      </x:c>
      <x:c r="C2469" s="4" t="str">
        <x:v>Liverpool</x:v>
      </x:c>
      <x:c r="D2469" s="4" t="str">
        <x:v>Brighton</x:v>
      </x:c>
      <x:c r="E2469" s="4" t="str">
        <x:v>Home</x:v>
      </x:c>
      <x:c r="F2469" s="28" t="n">
        <x:v>2</x:v>
      </x:c>
      <x:c r="G2469" s="28" t="n">
        <x:v>1</x:v>
      </x:c>
      <x:c r="H2469" s="28" t="n">
        <x:v>16</x:v>
      </x:c>
      <x:c r="I2469" s="28" t="n">
        <x:v>13</x:v>
      </x:c>
      <x:c r="J2469" s="28" t="n">
        <x:v>8</x:v>
      </x:c>
      <x:c r="K2469" s="28" t="n">
        <x:v>5</x:v>
      </x:c>
      <x:c r="L2469" s="28" t="n">
        <x:v>10</x:v>
      </x:c>
      <x:c r="M2469" s="28" t="n">
        <x:v>7</x:v>
      </x:c>
      <x:c r="N2469" s="28" t="n">
        <x:v>1</x:v>
      </x:c>
      <x:c r="O2469" s="28" t="n">
        <x:v>0</x:v>
      </x:c>
      <x:c r="P2469" s="28" t="n">
        <x:v>3</x:v>
      </x:c>
      <x:c r="Q2469" s="24" t="n">
        <x:f>IFERROR(J2469/H2469,0)</x:f>
        <x:v>0.5</x:v>
      </x:c>
      <x:c r="R2469" s="24" t="n">
        <x:f>IFERROR(F2469/H2469,0)</x:f>
        <x:v>0.125</x:v>
      </x:c>
      <x:c r="S2469" s="24" t="n">
        <x:f>IFERROR(F2469/J2469,0)</x:f>
        <x:v>0.25</x:v>
      </x:c>
      <x:c r="T2469" s="28" t="n">
        <x:f>H2469-I2469</x:f>
        <x:v>3</x:v>
      </x:c>
      <x:c r="U2469" s="24" t="n">
        <x:f>IFERROR(J2469/H2469,0)-IFERROR(K2469/I2469,0)</x:f>
        <x:v>0.11538461538461536</x:v>
      </x:c>
      <x:c r="V2469" s="24" t="n">
        <x:f>IFERROR(F2469/J2469,0)-IFERROR(G2469/K2469,0)</x:f>
        <x:v>0.04999999999999999</x:v>
      </x:c>
      <x:c r="W2469" s="28" t="n">
        <x:f>L2469-M2469</x:f>
        <x:v>3</x:v>
      </x:c>
      <x:c r="X2469" s="24" t="n">
        <x:f>IFERROR(K2469/I2469,0)</x:f>
        <x:v>0.38461538461538464</x:v>
      </x:c>
      <x:c r="Y2469" s="24" t="n">
        <x:f>IFERROR(G2469/I2469,0)</x:f>
        <x:v>0.07692307692307693</x:v>
      </x:c>
      <x:c r="Z2469" s="24" t="n">
        <x:f>IFERROR(G2469/K2469,0)</x:f>
        <x:v>0.2</x:v>
      </x:c>
      <x:c r="AA2469" s="24" t="n">
        <x:f>IFERROR(F2469/H2469,0)-IFERROR(G2469/I2469,0)</x:f>
        <x:v>0.04807692307692307</x:v>
      </x:c>
      <x:c r="AB2469" s="28" t="n">
        <x:f>J2469-K2469</x:f>
        <x:v>3</x:v>
      </x:c>
      <x:c r="AC2469" s="32" t="n">
        <x:f>F2469-G2469</x:f>
        <x:v>1</x:v>
      </x:c>
    </x:row>
    <x:row r="2470">
      <x:c r="A2470" s="4" t="str">
        <x:v>2024-25</x:v>
      </x:c>
      <x:c r="B2470" s="20" t="n">
        <x:v>45598</x:v>
      </x:c>
      <x:c r="C2470" s="4" t="str">
        <x:v>Man City</x:v>
      </x:c>
      <x:c r="D2470" s="4" t="str">
        <x:v>Bournemouth</x:v>
      </x:c>
      <x:c r="E2470" s="4" t="str">
        <x:v>Away</x:v>
      </x:c>
      <x:c r="F2470" s="28" t="n">
        <x:v>1</x:v>
      </x:c>
      <x:c r="G2470" s="28" t="n">
        <x:v>2</x:v>
      </x:c>
      <x:c r="H2470" s="28" t="n">
        <x:v>18</x:v>
      </x:c>
      <x:c r="I2470" s="28" t="n">
        <x:v>12</x:v>
      </x:c>
      <x:c r="J2470" s="28" t="n">
        <x:v>4</x:v>
      </x:c>
      <x:c r="K2470" s="28" t="n">
        <x:v>6</x:v>
      </x:c>
      <x:c r="L2470" s="28" t="n">
        <x:v>10</x:v>
      </x:c>
      <x:c r="M2470" s="28" t="n">
        <x:v>3</x:v>
      </x:c>
      <x:c r="N2470" s="28" t="n">
        <x:v>1</x:v>
      </x:c>
      <x:c r="O2470" s="28" t="n">
        <x:v>0</x:v>
      </x:c>
      <x:c r="P2470" s="28" t="n">
        <x:v>0</x:v>
      </x:c>
      <x:c r="Q2470" s="24" t="n">
        <x:f>IFERROR(J2470/H2470,0)</x:f>
        <x:v>0.2222222222222222</x:v>
      </x:c>
      <x:c r="R2470" s="24" t="n">
        <x:f>IFERROR(F2470/H2470,0)</x:f>
        <x:v>0.05555555555555555</x:v>
      </x:c>
      <x:c r="S2470" s="24" t="n">
        <x:f>IFERROR(F2470/J2470,0)</x:f>
        <x:v>0.25</x:v>
      </x:c>
      <x:c r="T2470" s="28" t="n">
        <x:f>H2470-I2470</x:f>
        <x:v>6</x:v>
      </x:c>
      <x:c r="U2470" s="24" t="n">
        <x:f>IFERROR(J2470/H2470,0)-IFERROR(K2470/I2470,0)</x:f>
        <x:v>-0.2777777777777778</x:v>
      </x:c>
      <x:c r="V2470" s="24" t="n">
        <x:f>IFERROR(F2470/J2470,0)-IFERROR(G2470/K2470,0)</x:f>
        <x:v>-0.08333333333333331</x:v>
      </x:c>
      <x:c r="W2470" s="28" t="n">
        <x:f>L2470-M2470</x:f>
        <x:v>7</x:v>
      </x:c>
      <x:c r="X2470" s="24" t="n">
        <x:f>IFERROR(K2470/I2470,0)</x:f>
        <x:v>0.5</x:v>
      </x:c>
      <x:c r="Y2470" s="24" t="n">
        <x:f>IFERROR(G2470/I2470,0)</x:f>
        <x:v>0.16666666666666666</x:v>
      </x:c>
      <x:c r="Z2470" s="24" t="n">
        <x:f>IFERROR(G2470/K2470,0)</x:f>
        <x:v>0.3333333333333333</x:v>
      </x:c>
      <x:c r="AA2470" s="24" t="n">
        <x:f>IFERROR(F2470/H2470,0)-IFERROR(G2470/I2470,0)</x:f>
        <x:v>-0.1111111111111111</x:v>
      </x:c>
      <x:c r="AB2470" s="28" t="n">
        <x:f>J2470-K2470</x:f>
        <x:v>-2</x:v>
      </x:c>
      <x:c r="AC2470" s="32" t="n">
        <x:f>F2470-G2470</x:f>
        <x:v>-1</x:v>
      </x:c>
    </x:row>
    <x:row r="2471">
      <x:c r="A2471" s="4" t="str">
        <x:v>2024-25</x:v>
      </x:c>
      <x:c r="B2471" s="20" t="n">
        <x:v>45598</x:v>
      </x:c>
      <x:c r="C2471" s="4" t="str">
        <x:v>Newcastle</x:v>
      </x:c>
      <x:c r="D2471" s="4" t="str">
        <x:v>Arsenal</x:v>
      </x:c>
      <x:c r="E2471" s="4" t="str">
        <x:v>Home</x:v>
      </x:c>
      <x:c r="F2471" s="28" t="n">
        <x:v>1</x:v>
      </x:c>
      <x:c r="G2471" s="28" t="n">
        <x:v>0</x:v>
      </x:c>
      <x:c r="H2471" s="28" t="n">
        <x:v>9</x:v>
      </x:c>
      <x:c r="I2471" s="28" t="n">
        <x:v>10</x:v>
      </x:c>
      <x:c r="J2471" s="28" t="n">
        <x:v>4</x:v>
      </x:c>
      <x:c r="K2471" s="28" t="n">
        <x:v>1</x:v>
      </x:c>
      <x:c r="L2471" s="28" t="n">
        <x:v>4</x:v>
      </x:c>
      <x:c r="M2471" s="28" t="n">
        <x:v>6</x:v>
      </x:c>
      <x:c r="N2471" s="28" t="n">
        <x:v>4</x:v>
      </x:c>
      <x:c r="O2471" s="28" t="n">
        <x:v>0</x:v>
      </x:c>
      <x:c r="P2471" s="28" t="n">
        <x:v>3</x:v>
      </x:c>
      <x:c r="Q2471" s="24" t="n">
        <x:f>IFERROR(J2471/H2471,0)</x:f>
        <x:v>0.4444444444444444</x:v>
      </x:c>
      <x:c r="R2471" s="24" t="n">
        <x:f>IFERROR(F2471/H2471,0)</x:f>
        <x:v>0.1111111111111111</x:v>
      </x:c>
      <x:c r="S2471" s="24" t="n">
        <x:f>IFERROR(F2471/J2471,0)</x:f>
        <x:v>0.25</x:v>
      </x:c>
      <x:c r="T2471" s="28" t="n">
        <x:f>H2471-I2471</x:f>
        <x:v>-1</x:v>
      </x:c>
      <x:c r="U2471" s="24" t="n">
        <x:f>IFERROR(J2471/H2471,0)-IFERROR(K2471/I2471,0)</x:f>
        <x:v>0.34444444444444444</x:v>
      </x:c>
      <x:c r="V2471" s="24" t="n">
        <x:f>IFERROR(F2471/J2471,0)-IFERROR(G2471/K2471,0)</x:f>
        <x:v>0.25</x:v>
      </x:c>
      <x:c r="W2471" s="28" t="n">
        <x:f>L2471-M2471</x:f>
        <x:v>-2</x:v>
      </x:c>
      <x:c r="X2471" s="24" t="n">
        <x:f>IFERROR(K2471/I2471,0)</x:f>
        <x:v>0.1</x:v>
      </x:c>
      <x:c r="Y2471" s="24" t="n">
        <x:f>IFERROR(G2471/I2471,0)</x:f>
        <x:v>0</x:v>
      </x:c>
      <x:c r="Z2471" s="24" t="n">
        <x:f>IFERROR(G2471/K2471,0)</x:f>
        <x:v>0</x:v>
      </x:c>
      <x:c r="AA2471" s="24" t="n">
        <x:f>IFERROR(F2471/H2471,0)-IFERROR(G2471/I2471,0)</x:f>
        <x:v>0.1111111111111111</x:v>
      </x:c>
      <x:c r="AB2471" s="28" t="n">
        <x:f>J2471-K2471</x:f>
        <x:v>3</x:v>
      </x:c>
      <x:c r="AC2471" s="32" t="n">
        <x:f>F2471-G2471</x:f>
        <x:v>1</x:v>
      </x:c>
    </x:row>
    <x:row r="2472">
      <x:c r="A2472" s="4" t="str">
        <x:v>2024-25</x:v>
      </x:c>
      <x:c r="B2472" s="20" t="n">
        <x:v>45598</x:v>
      </x:c>
      <x:c r="C2472" s="4" t="str">
        <x:v>Nott'm Forest</x:v>
      </x:c>
      <x:c r="D2472" s="4" t="str">
        <x:v>West Ham</x:v>
      </x:c>
      <x:c r="E2472" s="4" t="str">
        <x:v>Home</x:v>
      </x:c>
      <x:c r="F2472" s="28" t="n">
        <x:v>3</x:v>
      </x:c>
      <x:c r="G2472" s="28" t="n">
        <x:v>0</x:v>
      </x:c>
      <x:c r="H2472" s="28" t="n">
        <x:v>19</x:v>
      </x:c>
      <x:c r="I2472" s="28" t="n">
        <x:v>4</x:v>
      </x:c>
      <x:c r="J2472" s="28" t="n">
        <x:v>6</x:v>
      </x:c>
      <x:c r="K2472" s="28" t="n">
        <x:v>2</x:v>
      </x:c>
      <x:c r="L2472" s="28" t="n">
        <x:v>11</x:v>
      </x:c>
      <x:c r="M2472" s="28" t="n">
        <x:v>6</x:v>
      </x:c>
      <x:c r="N2472" s="28" t="n">
        <x:v>1</x:v>
      </x:c>
      <x:c r="O2472" s="28" t="n">
        <x:v>0</x:v>
      </x:c>
      <x:c r="P2472" s="28" t="n">
        <x:v>3</x:v>
      </x:c>
      <x:c r="Q2472" s="24" t="n">
        <x:f>IFERROR(J2472/H2472,0)</x:f>
        <x:v>0.3157894736842105</x:v>
      </x:c>
      <x:c r="R2472" s="24" t="n">
        <x:f>IFERROR(F2472/H2472,0)</x:f>
        <x:v>0.15789473684210525</x:v>
      </x:c>
      <x:c r="S2472" s="24" t="n">
        <x:f>IFERROR(F2472/J2472,0)</x:f>
        <x:v>0.5</x:v>
      </x:c>
      <x:c r="T2472" s="28" t="n">
        <x:f>H2472-I2472</x:f>
        <x:v>15</x:v>
      </x:c>
      <x:c r="U2472" s="24" t="n">
        <x:f>IFERROR(J2472/H2472,0)-IFERROR(K2472/I2472,0)</x:f>
        <x:v>-0.1842105263157895</x:v>
      </x:c>
      <x:c r="V2472" s="24" t="n">
        <x:f>IFERROR(F2472/J2472,0)-IFERROR(G2472/K2472,0)</x:f>
        <x:v>0.5</x:v>
      </x:c>
      <x:c r="W2472" s="28" t="n">
        <x:f>L2472-M2472</x:f>
        <x:v>5</x:v>
      </x:c>
      <x:c r="X2472" s="24" t="n">
        <x:f>IFERROR(K2472/I2472,0)</x:f>
        <x:v>0.5</x:v>
      </x:c>
      <x:c r="Y2472" s="24" t="n">
        <x:f>IFERROR(G2472/I2472,0)</x:f>
        <x:v>0</x:v>
      </x:c>
      <x:c r="Z2472" s="24" t="n">
        <x:f>IFERROR(G2472/K2472,0)</x:f>
        <x:v>0</x:v>
      </x:c>
      <x:c r="AA2472" s="24" t="n">
        <x:f>IFERROR(F2472/H2472,0)-IFERROR(G2472/I2472,0)</x:f>
        <x:v>0.15789473684210525</x:v>
      </x:c>
      <x:c r="AB2472" s="28" t="n">
        <x:f>J2472-K2472</x:f>
        <x:v>4</x:v>
      </x:c>
      <x:c r="AC2472" s="32" t="n">
        <x:f>F2472-G2472</x:f>
        <x:v>3</x:v>
      </x:c>
    </x:row>
    <x:row r="2473">
      <x:c r="A2473" s="4" t="str">
        <x:v>2024-25</x:v>
      </x:c>
      <x:c r="B2473" s="20" t="n">
        <x:v>45598</x:v>
      </x:c>
      <x:c r="C2473" s="4" t="str">
        <x:v>Southampton</x:v>
      </x:c>
      <x:c r="D2473" s="4" t="str">
        <x:v>Everton</x:v>
      </x:c>
      <x:c r="E2473" s="4" t="str">
        <x:v>Home</x:v>
      </x:c>
      <x:c r="F2473" s="28" t="n">
        <x:v>1</x:v>
      </x:c>
      <x:c r="G2473" s="28" t="n">
        <x:v>0</x:v>
      </x:c>
      <x:c r="H2473" s="28" t="n">
        <x:v>9</x:v>
      </x:c>
      <x:c r="I2473" s="28" t="n">
        <x:v>16</x:v>
      </x:c>
      <x:c r="J2473" s="28" t="n">
        <x:v>2</x:v>
      </x:c>
      <x:c r="K2473" s="28" t="n">
        <x:v>5</x:v>
      </x:c>
      <x:c r="L2473" s="28" t="n">
        <x:v>3</x:v>
      </x:c>
      <x:c r="M2473" s="28" t="n">
        <x:v>6</x:v>
      </x:c>
      <x:c r="N2473" s="28" t="n">
        <x:v>4</x:v>
      </x:c>
      <x:c r="O2473" s="28" t="n">
        <x:v>0</x:v>
      </x:c>
      <x:c r="P2473" s="28" t="n">
        <x:v>3</x:v>
      </x:c>
      <x:c r="Q2473" s="24" t="n">
        <x:f>IFERROR(J2473/H2473,0)</x:f>
        <x:v>0.2222222222222222</x:v>
      </x:c>
      <x:c r="R2473" s="24" t="n">
        <x:f>IFERROR(F2473/H2473,0)</x:f>
        <x:v>0.1111111111111111</x:v>
      </x:c>
      <x:c r="S2473" s="24" t="n">
        <x:f>IFERROR(F2473/J2473,0)</x:f>
        <x:v>0.5</x:v>
      </x:c>
      <x:c r="T2473" s="28" t="n">
        <x:f>H2473-I2473</x:f>
        <x:v>-7</x:v>
      </x:c>
      <x:c r="U2473" s="24" t="n">
        <x:f>IFERROR(J2473/H2473,0)-IFERROR(K2473/I2473,0)</x:f>
        <x:v>-0.09027777777777779</x:v>
      </x:c>
      <x:c r="V2473" s="24" t="n">
        <x:f>IFERROR(F2473/J2473,0)-IFERROR(G2473/K2473,0)</x:f>
        <x:v>0.5</x:v>
      </x:c>
      <x:c r="W2473" s="28" t="n">
        <x:f>L2473-M2473</x:f>
        <x:v>-3</x:v>
      </x:c>
      <x:c r="X2473" s="24" t="n">
        <x:f>IFERROR(K2473/I2473,0)</x:f>
        <x:v>0.3125</x:v>
      </x:c>
      <x:c r="Y2473" s="24" t="n">
        <x:f>IFERROR(G2473/I2473,0)</x:f>
        <x:v>0</x:v>
      </x:c>
      <x:c r="Z2473" s="24" t="n">
        <x:f>IFERROR(G2473/K2473,0)</x:f>
        <x:v>0</x:v>
      </x:c>
      <x:c r="AA2473" s="24" t="n">
        <x:f>IFERROR(F2473/H2473,0)-IFERROR(G2473/I2473,0)</x:f>
        <x:v>0.1111111111111111</x:v>
      </x:c>
      <x:c r="AB2473" s="28" t="n">
        <x:f>J2473-K2473</x:f>
        <x:v>-3</x:v>
      </x:c>
      <x:c r="AC2473" s="32" t="n">
        <x:f>F2473-G2473</x:f>
        <x:v>1</x:v>
      </x:c>
    </x:row>
    <x:row r="2474">
      <x:c r="A2474" s="4" t="str">
        <x:v>2024-25</x:v>
      </x:c>
      <x:c r="B2474" s="20" t="n">
        <x:v>45598</x:v>
      </x:c>
      <x:c r="C2474" s="4" t="str">
        <x:v>West Ham</x:v>
      </x:c>
      <x:c r="D2474" s="4" t="str">
        <x:v>Nott'm Forest</x:v>
      </x:c>
      <x:c r="E2474" s="4" t="str">
        <x:v>Away</x:v>
      </x:c>
      <x:c r="F2474" s="28" t="n">
        <x:v>0</x:v>
      </x:c>
      <x:c r="G2474" s="28" t="n">
        <x:v>3</x:v>
      </x:c>
      <x:c r="H2474" s="28" t="n">
        <x:v>4</x:v>
      </x:c>
      <x:c r="I2474" s="28" t="n">
        <x:v>19</x:v>
      </x:c>
      <x:c r="J2474" s="28" t="n">
        <x:v>2</x:v>
      </x:c>
      <x:c r="K2474" s="28" t="n">
        <x:v>6</x:v>
      </x:c>
      <x:c r="L2474" s="28" t="n">
        <x:v>6</x:v>
      </x:c>
      <x:c r="M2474" s="28" t="n">
        <x:v>11</x:v>
      </x:c>
      <x:c r="N2474" s="28" t="n">
        <x:v>2</x:v>
      </x:c>
      <x:c r="O2474" s="28" t="n">
        <x:v>1</x:v>
      </x:c>
      <x:c r="P2474" s="28" t="n">
        <x:v>0</x:v>
      </x:c>
      <x:c r="Q2474" s="24" t="n">
        <x:f>IFERROR(J2474/H2474,0)</x:f>
        <x:v>0.5</x:v>
      </x:c>
      <x:c r="R2474" s="24" t="n">
        <x:f>IFERROR(F2474/H2474,0)</x:f>
        <x:v>0</x:v>
      </x:c>
      <x:c r="S2474" s="24" t="n">
        <x:f>IFERROR(F2474/J2474,0)</x:f>
        <x:v>0</x:v>
      </x:c>
      <x:c r="T2474" s="28" t="n">
        <x:f>H2474-I2474</x:f>
        <x:v>-15</x:v>
      </x:c>
      <x:c r="U2474" s="24" t="n">
        <x:f>IFERROR(J2474/H2474,0)-IFERROR(K2474/I2474,0)</x:f>
        <x:v>0.1842105263157895</x:v>
      </x:c>
      <x:c r="V2474" s="24" t="n">
        <x:f>IFERROR(F2474/J2474,0)-IFERROR(G2474/K2474,0)</x:f>
        <x:v>-0.5</x:v>
      </x:c>
      <x:c r="W2474" s="28" t="n">
        <x:f>L2474-M2474</x:f>
        <x:v>-5</x:v>
      </x:c>
      <x:c r="X2474" s="24" t="n">
        <x:f>IFERROR(K2474/I2474,0)</x:f>
        <x:v>0.3157894736842105</x:v>
      </x:c>
      <x:c r="Y2474" s="24" t="n">
        <x:f>IFERROR(G2474/I2474,0)</x:f>
        <x:v>0.15789473684210525</x:v>
      </x:c>
      <x:c r="Z2474" s="24" t="n">
        <x:f>IFERROR(G2474/K2474,0)</x:f>
        <x:v>0.5</x:v>
      </x:c>
      <x:c r="AA2474" s="24" t="n">
        <x:f>IFERROR(F2474/H2474,0)-IFERROR(G2474/I2474,0)</x:f>
        <x:v>-0.15789473684210525</x:v>
      </x:c>
      <x:c r="AB2474" s="28" t="n">
        <x:f>J2474-K2474</x:f>
        <x:v>-4</x:v>
      </x:c>
      <x:c r="AC2474" s="32" t="n">
        <x:f>F2474-G2474</x:f>
        <x:v>-3</x:v>
      </x:c>
    </x:row>
    <x:row r="2475">
      <x:c r="A2475" s="4" t="str">
        <x:v>2024-25</x:v>
      </x:c>
      <x:c r="B2475" s="20" t="n">
        <x:v>45598</x:v>
      </x:c>
      <x:c r="C2475" s="4" t="str">
        <x:v>Wolves</x:v>
      </x:c>
      <x:c r="D2475" s="4" t="str">
        <x:v>Crystal Palace</x:v>
      </x:c>
      <x:c r="E2475" s="4" t="str">
        <x:v>Home</x:v>
      </x:c>
      <x:c r="F2475" s="28" t="n">
        <x:v>2</x:v>
      </x:c>
      <x:c r="G2475" s="28" t="n">
        <x:v>2</x:v>
      </x:c>
      <x:c r="H2475" s="28" t="n">
        <x:v>11</x:v>
      </x:c>
      <x:c r="I2475" s="28" t="n">
        <x:v>19</x:v>
      </x:c>
      <x:c r="J2475" s="28" t="n">
        <x:v>6</x:v>
      </x:c>
      <x:c r="K2475" s="28" t="n">
        <x:v>7</x:v>
      </x:c>
      <x:c r="L2475" s="28" t="n">
        <x:v>3</x:v>
      </x:c>
      <x:c r="M2475" s="28" t="n">
        <x:v>6</x:v>
      </x:c>
      <x:c r="N2475" s="28" t="n">
        <x:v>1</x:v>
      </x:c>
      <x:c r="O2475" s="28" t="n">
        <x:v>0</x:v>
      </x:c>
      <x:c r="P2475" s="28" t="n">
        <x:v>1</x:v>
      </x:c>
      <x:c r="Q2475" s="24" t="n">
        <x:f>IFERROR(J2475/H2475,0)</x:f>
        <x:v>0.5454545454545454</x:v>
      </x:c>
      <x:c r="R2475" s="24" t="n">
        <x:f>IFERROR(F2475/H2475,0)</x:f>
        <x:v>0.18181818181818182</x:v>
      </x:c>
      <x:c r="S2475" s="24" t="n">
        <x:f>IFERROR(F2475/J2475,0)</x:f>
        <x:v>0.3333333333333333</x:v>
      </x:c>
      <x:c r="T2475" s="28" t="n">
        <x:f>H2475-I2475</x:f>
        <x:v>-8</x:v>
      </x:c>
      <x:c r="U2475" s="24" t="n">
        <x:f>IFERROR(J2475/H2475,0)-IFERROR(K2475/I2475,0)</x:f>
        <x:v>0.1770334928229665</x:v>
      </x:c>
      <x:c r="V2475" s="24" t="n">
        <x:f>IFERROR(F2475/J2475,0)-IFERROR(G2475/K2475,0)</x:f>
        <x:v>0.047619047619047616</x:v>
      </x:c>
      <x:c r="W2475" s="28" t="n">
        <x:f>L2475-M2475</x:f>
        <x:v>-3</x:v>
      </x:c>
      <x:c r="X2475" s="24" t="n">
        <x:f>IFERROR(K2475/I2475,0)</x:f>
        <x:v>0.3684210526315789</x:v>
      </x:c>
      <x:c r="Y2475" s="24" t="n">
        <x:f>IFERROR(G2475/I2475,0)</x:f>
        <x:v>0.10526315789473684</x:v>
      </x:c>
      <x:c r="Z2475" s="24" t="n">
        <x:f>IFERROR(G2475/K2475,0)</x:f>
        <x:v>0.2857142857142857</x:v>
      </x:c>
      <x:c r="AA2475" s="24" t="n">
        <x:f>IFERROR(F2475/H2475,0)-IFERROR(G2475/I2475,0)</x:f>
        <x:v>0.07655502392344499</x:v>
      </x:c>
      <x:c r="AB2475" s="28" t="n">
        <x:f>J2475-K2475</x:f>
        <x:v>-1</x:v>
      </x:c>
      <x:c r="AC2475" s="32" t="n">
        <x:f>F2475-G2475</x:f>
        <x:v>0</x:v>
      </x:c>
    </x:row>
    <x:row r="2476">
      <x:c r="A2476" s="4" t="str">
        <x:v>2024-25</x:v>
      </x:c>
      <x:c r="B2476" s="20" t="n">
        <x:v>45599</x:v>
      </x:c>
      <x:c r="C2476" s="4" t="str">
        <x:v>Aston Villa</x:v>
      </x:c>
      <x:c r="D2476" s="4" t="str">
        <x:v>Tottenham</x:v>
      </x:c>
      <x:c r="E2476" s="4" t="str">
        <x:v>Away</x:v>
      </x:c>
      <x:c r="F2476" s="28" t="n">
        <x:v>1</x:v>
      </x:c>
      <x:c r="G2476" s="28" t="n">
        <x:v>4</x:v>
      </x:c>
      <x:c r="H2476" s="28" t="n">
        <x:v>12</x:v>
      </x:c>
      <x:c r="I2476" s="28" t="n">
        <x:v>16</x:v>
      </x:c>
      <x:c r="J2476" s="28" t="n">
        <x:v>1</x:v>
      </x:c>
      <x:c r="K2476" s="28" t="n">
        <x:v>6</x:v>
      </x:c>
      <x:c r="L2476" s="28" t="n">
        <x:v>4</x:v>
      </x:c>
      <x:c r="M2476" s="28" t="n">
        <x:v>6</x:v>
      </x:c>
      <x:c r="N2476" s="28" t="n">
        <x:v>0</x:v>
      </x:c>
      <x:c r="O2476" s="28" t="n">
        <x:v>0</x:v>
      </x:c>
      <x:c r="P2476" s="28" t="n">
        <x:v>0</x:v>
      </x:c>
      <x:c r="Q2476" s="24" t="n">
        <x:f>IFERROR(J2476/H2476,0)</x:f>
        <x:v>0.08333333333333333</x:v>
      </x:c>
      <x:c r="R2476" s="24" t="n">
        <x:f>IFERROR(F2476/H2476,0)</x:f>
        <x:v>0.08333333333333333</x:v>
      </x:c>
      <x:c r="S2476" s="24" t="n">
        <x:f>IFERROR(F2476/J2476,0)</x:f>
        <x:v>1</x:v>
      </x:c>
      <x:c r="T2476" s="28" t="n">
        <x:f>H2476-I2476</x:f>
        <x:v>-4</x:v>
      </x:c>
      <x:c r="U2476" s="24" t="n">
        <x:f>IFERROR(J2476/H2476,0)-IFERROR(K2476/I2476,0)</x:f>
        <x:v>-0.2916666666666667</x:v>
      </x:c>
      <x:c r="V2476" s="24" t="n">
        <x:f>IFERROR(F2476/J2476,0)-IFERROR(G2476/K2476,0)</x:f>
        <x:v>0.33333333333333337</x:v>
      </x:c>
      <x:c r="W2476" s="28" t="n">
        <x:f>L2476-M2476</x:f>
        <x:v>-2</x:v>
      </x:c>
      <x:c r="X2476" s="24" t="n">
        <x:f>IFERROR(K2476/I2476,0)</x:f>
        <x:v>0.375</x:v>
      </x:c>
      <x:c r="Y2476" s="24" t="n">
        <x:f>IFERROR(G2476/I2476,0)</x:f>
        <x:v>0.25</x:v>
      </x:c>
      <x:c r="Z2476" s="24" t="n">
        <x:f>IFERROR(G2476/K2476,0)</x:f>
        <x:v>0.6666666666666666</x:v>
      </x:c>
      <x:c r="AA2476" s="24" t="n">
        <x:f>IFERROR(F2476/H2476,0)-IFERROR(G2476/I2476,0)</x:f>
        <x:v>-0.16666666666666669</x:v>
      </x:c>
      <x:c r="AB2476" s="28" t="n">
        <x:f>J2476-K2476</x:f>
        <x:v>-5</x:v>
      </x:c>
      <x:c r="AC2476" s="32" t="n">
        <x:f>F2476-G2476</x:f>
        <x:v>-3</x:v>
      </x:c>
    </x:row>
    <x:row r="2477">
      <x:c r="A2477" s="4" t="str">
        <x:v>2024-25</x:v>
      </x:c>
      <x:c r="B2477" s="20" t="n">
        <x:v>45599</x:v>
      </x:c>
      <x:c r="C2477" s="4" t="str">
        <x:v>Chelsea</x:v>
      </x:c>
      <x:c r="D2477" s="4" t="str">
        <x:v>Man United</x:v>
      </x:c>
      <x:c r="E2477" s="4" t="str">
        <x:v>Away</x:v>
      </x:c>
      <x:c r="F2477" s="28" t="n">
        <x:v>1</x:v>
      </x:c>
      <x:c r="G2477" s="28" t="n">
        <x:v>1</x:v>
      </x:c>
      <x:c r="H2477" s="28" t="n">
        <x:v>12</x:v>
      </x:c>
      <x:c r="I2477" s="28" t="n">
        <x:v>11</x:v>
      </x:c>
      <x:c r="J2477" s="28" t="n">
        <x:v>3</x:v>
      </x:c>
      <x:c r="K2477" s="28" t="n">
        <x:v>4</x:v>
      </x:c>
      <x:c r="L2477" s="28" t="n">
        <x:v>8</x:v>
      </x:c>
      <x:c r="M2477" s="28" t="n">
        <x:v>4</x:v>
      </x:c>
      <x:c r="N2477" s="28" t="n">
        <x:v>2</x:v>
      </x:c>
      <x:c r="O2477" s="28" t="n">
        <x:v>0</x:v>
      </x:c>
      <x:c r="P2477" s="28" t="n">
        <x:v>1</x:v>
      </x:c>
      <x:c r="Q2477" s="24" t="n">
        <x:f>IFERROR(J2477/H2477,0)</x:f>
        <x:v>0.25</x:v>
      </x:c>
      <x:c r="R2477" s="24" t="n">
        <x:f>IFERROR(F2477/H2477,0)</x:f>
        <x:v>0.08333333333333333</x:v>
      </x:c>
      <x:c r="S2477" s="24" t="n">
        <x:f>IFERROR(F2477/J2477,0)</x:f>
        <x:v>0.3333333333333333</x:v>
      </x:c>
      <x:c r="T2477" s="28" t="n">
        <x:f>H2477-I2477</x:f>
        <x:v>1</x:v>
      </x:c>
      <x:c r="U2477" s="24" t="n">
        <x:f>IFERROR(J2477/H2477,0)-IFERROR(K2477/I2477,0)</x:f>
        <x:v>-0.11363636363636365</x:v>
      </x:c>
      <x:c r="V2477" s="24" t="n">
        <x:f>IFERROR(F2477/J2477,0)-IFERROR(G2477/K2477,0)</x:f>
        <x:v>0.08333333333333331</x:v>
      </x:c>
      <x:c r="W2477" s="28" t="n">
        <x:f>L2477-M2477</x:f>
        <x:v>4</x:v>
      </x:c>
      <x:c r="X2477" s="24" t="n">
        <x:f>IFERROR(K2477/I2477,0)</x:f>
        <x:v>0.36363636363636365</x:v>
      </x:c>
      <x:c r="Y2477" s="24" t="n">
        <x:f>IFERROR(G2477/I2477,0)</x:f>
        <x:v>0.09090909090909091</x:v>
      </x:c>
      <x:c r="Z2477" s="24" t="n">
        <x:f>IFERROR(G2477/K2477,0)</x:f>
        <x:v>0.25</x:v>
      </x:c>
      <x:c r="AA2477" s="24" t="n">
        <x:f>IFERROR(F2477/H2477,0)-IFERROR(G2477/I2477,0)</x:f>
        <x:v>-0.007575757575757583</x:v>
      </x:c>
      <x:c r="AB2477" s="28" t="n">
        <x:f>J2477-K2477</x:f>
        <x:v>-1</x:v>
      </x:c>
      <x:c r="AC2477" s="32" t="n">
        <x:f>F2477-G2477</x:f>
        <x:v>0</x:v>
      </x:c>
    </x:row>
    <x:row r="2478">
      <x:c r="A2478" s="4" t="str">
        <x:v>2024-25</x:v>
      </x:c>
      <x:c r="B2478" s="20" t="n">
        <x:v>45599</x:v>
      </x:c>
      <x:c r="C2478" s="4" t="str">
        <x:v>Man United</x:v>
      </x:c>
      <x:c r="D2478" s="4" t="str">
        <x:v>Chelsea</x:v>
      </x:c>
      <x:c r="E2478" s="4" t="str">
        <x:v>Home</x:v>
      </x:c>
      <x:c r="F2478" s="28" t="n">
        <x:v>1</x:v>
      </x:c>
      <x:c r="G2478" s="28" t="n">
        <x:v>1</x:v>
      </x:c>
      <x:c r="H2478" s="28" t="n">
        <x:v>11</x:v>
      </x:c>
      <x:c r="I2478" s="28" t="n">
        <x:v>12</x:v>
      </x:c>
      <x:c r="J2478" s="28" t="n">
        <x:v>4</x:v>
      </x:c>
      <x:c r="K2478" s="28" t="n">
        <x:v>3</x:v>
      </x:c>
      <x:c r="L2478" s="28" t="n">
        <x:v>4</x:v>
      </x:c>
      <x:c r="M2478" s="28" t="n">
        <x:v>8</x:v>
      </x:c>
      <x:c r="N2478" s="28" t="n">
        <x:v>6</x:v>
      </x:c>
      <x:c r="O2478" s="28" t="n">
        <x:v>0</x:v>
      </x:c>
      <x:c r="P2478" s="28" t="n">
        <x:v>1</x:v>
      </x:c>
      <x:c r="Q2478" s="24" t="n">
        <x:f>IFERROR(J2478/H2478,0)</x:f>
        <x:v>0.36363636363636365</x:v>
      </x:c>
      <x:c r="R2478" s="24" t="n">
        <x:f>IFERROR(F2478/H2478,0)</x:f>
        <x:v>0.09090909090909091</x:v>
      </x:c>
      <x:c r="S2478" s="24" t="n">
        <x:f>IFERROR(F2478/J2478,0)</x:f>
        <x:v>0.25</x:v>
      </x:c>
      <x:c r="T2478" s="28" t="n">
        <x:f>H2478-I2478</x:f>
        <x:v>-1</x:v>
      </x:c>
      <x:c r="U2478" s="24" t="n">
        <x:f>IFERROR(J2478/H2478,0)-IFERROR(K2478/I2478,0)</x:f>
        <x:v>0.11363636363636365</x:v>
      </x:c>
      <x:c r="V2478" s="24" t="n">
        <x:f>IFERROR(F2478/J2478,0)-IFERROR(G2478/K2478,0)</x:f>
        <x:v>-0.08333333333333331</x:v>
      </x:c>
      <x:c r="W2478" s="28" t="n">
        <x:f>L2478-M2478</x:f>
        <x:v>-4</x:v>
      </x:c>
      <x:c r="X2478" s="24" t="n">
        <x:f>IFERROR(K2478/I2478,0)</x:f>
        <x:v>0.25</x:v>
      </x:c>
      <x:c r="Y2478" s="24" t="n">
        <x:f>IFERROR(G2478/I2478,0)</x:f>
        <x:v>0.08333333333333333</x:v>
      </x:c>
      <x:c r="Z2478" s="24" t="n">
        <x:f>IFERROR(G2478/K2478,0)</x:f>
        <x:v>0.3333333333333333</x:v>
      </x:c>
      <x:c r="AA2478" s="24" t="n">
        <x:f>IFERROR(F2478/H2478,0)-IFERROR(G2478/I2478,0)</x:f>
        <x:v>0.007575757575757583</x:v>
      </x:c>
      <x:c r="AB2478" s="28" t="n">
        <x:f>J2478-K2478</x:f>
        <x:v>1</x:v>
      </x:c>
      <x:c r="AC2478" s="32" t="n">
        <x:f>F2478-G2478</x:f>
        <x:v>0</x:v>
      </x:c>
    </x:row>
    <x:row r="2479">
      <x:c r="A2479" s="4" t="str">
        <x:v>2024-25</x:v>
      </x:c>
      <x:c r="B2479" s="20" t="n">
        <x:v>45599</x:v>
      </x:c>
      <x:c r="C2479" s="4" t="str">
        <x:v>Tottenham</x:v>
      </x:c>
      <x:c r="D2479" s="4" t="str">
        <x:v>Aston Villa</x:v>
      </x:c>
      <x:c r="E2479" s="4" t="str">
        <x:v>Home</x:v>
      </x:c>
      <x:c r="F2479" s="28" t="n">
        <x:v>4</x:v>
      </x:c>
      <x:c r="G2479" s="28" t="n">
        <x:v>1</x:v>
      </x:c>
      <x:c r="H2479" s="28" t="n">
        <x:v>16</x:v>
      </x:c>
      <x:c r="I2479" s="28" t="n">
        <x:v>12</x:v>
      </x:c>
      <x:c r="J2479" s="28" t="n">
        <x:v>6</x:v>
      </x:c>
      <x:c r="K2479" s="28" t="n">
        <x:v>1</x:v>
      </x:c>
      <x:c r="L2479" s="28" t="n">
        <x:v>6</x:v>
      </x:c>
      <x:c r="M2479" s="28" t="n">
        <x:v>4</x:v>
      </x:c>
      <x:c r="N2479" s="28" t="n">
        <x:v>2</x:v>
      </x:c>
      <x:c r="O2479" s="28" t="n">
        <x:v>0</x:v>
      </x:c>
      <x:c r="P2479" s="28" t="n">
        <x:v>3</x:v>
      </x:c>
      <x:c r="Q2479" s="24" t="n">
        <x:f>IFERROR(J2479/H2479,0)</x:f>
        <x:v>0.375</x:v>
      </x:c>
      <x:c r="R2479" s="24" t="n">
        <x:f>IFERROR(F2479/H2479,0)</x:f>
        <x:v>0.25</x:v>
      </x:c>
      <x:c r="S2479" s="24" t="n">
        <x:f>IFERROR(F2479/J2479,0)</x:f>
        <x:v>0.6666666666666666</x:v>
      </x:c>
      <x:c r="T2479" s="28" t="n">
        <x:f>H2479-I2479</x:f>
        <x:v>4</x:v>
      </x:c>
      <x:c r="U2479" s="24" t="n">
        <x:f>IFERROR(J2479/H2479,0)-IFERROR(K2479/I2479,0)</x:f>
        <x:v>0.2916666666666667</x:v>
      </x:c>
      <x:c r="V2479" s="24" t="n">
        <x:f>IFERROR(F2479/J2479,0)-IFERROR(G2479/K2479,0)</x:f>
        <x:v>-0.33333333333333337</x:v>
      </x:c>
      <x:c r="W2479" s="28" t="n">
        <x:f>L2479-M2479</x:f>
        <x:v>2</x:v>
      </x:c>
      <x:c r="X2479" s="24" t="n">
        <x:f>IFERROR(K2479/I2479,0)</x:f>
        <x:v>0.08333333333333333</x:v>
      </x:c>
      <x:c r="Y2479" s="24" t="n">
        <x:f>IFERROR(G2479/I2479,0)</x:f>
        <x:v>0.08333333333333333</x:v>
      </x:c>
      <x:c r="Z2479" s="24" t="n">
        <x:f>IFERROR(G2479/K2479,0)</x:f>
        <x:v>1</x:v>
      </x:c>
      <x:c r="AA2479" s="24" t="n">
        <x:f>IFERROR(F2479/H2479,0)-IFERROR(G2479/I2479,0)</x:f>
        <x:v>0.16666666666666669</x:v>
      </x:c>
      <x:c r="AB2479" s="28" t="n">
        <x:f>J2479-K2479</x:f>
        <x:v>5</x:v>
      </x:c>
      <x:c r="AC2479" s="32" t="n">
        <x:f>F2479-G2479</x:f>
        <x:v>3</x:v>
      </x:c>
    </x:row>
    <x:row r="2480">
      <x:c r="A2480" s="4" t="str">
        <x:v>2024-25</x:v>
      </x:c>
      <x:c r="B2480" s="20" t="n">
        <x:v>45600</x:v>
      </x:c>
      <x:c r="C2480" s="4" t="str">
        <x:v>Brentford</x:v>
      </x:c>
      <x:c r="D2480" s="4" t="str">
        <x:v>Fulham</x:v>
      </x:c>
      <x:c r="E2480" s="4" t="str">
        <x:v>Away</x:v>
      </x:c>
      <x:c r="F2480" s="28" t="n">
        <x:v>1</x:v>
      </x:c>
      <x:c r="G2480" s="28" t="n">
        <x:v>2</x:v>
      </x:c>
      <x:c r="H2480" s="28" t="n">
        <x:v>5</x:v>
      </x:c>
      <x:c r="I2480" s="28" t="n">
        <x:v>26</x:v>
      </x:c>
      <x:c r="J2480" s="28" t="n">
        <x:v>2</x:v>
      </x:c>
      <x:c r="K2480" s="28" t="n">
        <x:v>12</x:v>
      </x:c>
      <x:c r="L2480" s="28" t="n">
        <x:v>3</x:v>
      </x:c>
      <x:c r="M2480" s="28" t="n">
        <x:v>11</x:v>
      </x:c>
      <x:c r="N2480" s="28" t="n">
        <x:v>1</x:v>
      </x:c>
      <x:c r="O2480" s="28" t="n">
        <x:v>0</x:v>
      </x:c>
      <x:c r="P2480" s="28" t="n">
        <x:v>0</x:v>
      </x:c>
      <x:c r="Q2480" s="24" t="n">
        <x:f>IFERROR(J2480/H2480,0)</x:f>
        <x:v>0.4</x:v>
      </x:c>
      <x:c r="R2480" s="24" t="n">
        <x:f>IFERROR(F2480/H2480,0)</x:f>
        <x:v>0.2</x:v>
      </x:c>
      <x:c r="S2480" s="24" t="n">
        <x:f>IFERROR(F2480/J2480,0)</x:f>
        <x:v>0.5</x:v>
      </x:c>
      <x:c r="T2480" s="28" t="n">
        <x:f>H2480-I2480</x:f>
        <x:v>-21</x:v>
      </x:c>
      <x:c r="U2480" s="24" t="n">
        <x:f>IFERROR(J2480/H2480,0)-IFERROR(K2480/I2480,0)</x:f>
        <x:v>-0.06153846153846154</x:v>
      </x:c>
      <x:c r="V2480" s="24" t="n">
        <x:f>IFERROR(F2480/J2480,0)-IFERROR(G2480/K2480,0)</x:f>
        <x:v>0.33333333333333337</x:v>
      </x:c>
      <x:c r="W2480" s="28" t="n">
        <x:f>L2480-M2480</x:f>
        <x:v>-8</x:v>
      </x:c>
      <x:c r="X2480" s="24" t="n">
        <x:f>IFERROR(K2480/I2480,0)</x:f>
        <x:v>0.46153846153846156</x:v>
      </x:c>
      <x:c r="Y2480" s="24" t="n">
        <x:f>IFERROR(G2480/I2480,0)</x:f>
        <x:v>0.07692307692307693</x:v>
      </x:c>
      <x:c r="Z2480" s="24" t="n">
        <x:f>IFERROR(G2480/K2480,0)</x:f>
        <x:v>0.16666666666666666</x:v>
      </x:c>
      <x:c r="AA2480" s="24" t="n">
        <x:f>IFERROR(F2480/H2480,0)-IFERROR(G2480/I2480,0)</x:f>
        <x:v>0.12307692307692308</x:v>
      </x:c>
      <x:c r="AB2480" s="28" t="n">
        <x:f>J2480-K2480</x:f>
        <x:v>-10</x:v>
      </x:c>
      <x:c r="AC2480" s="32" t="n">
        <x:f>F2480-G2480</x:f>
        <x:v>-1</x:v>
      </x:c>
    </x:row>
    <x:row r="2481">
      <x:c r="A2481" s="4" t="str">
        <x:v>2024-25</x:v>
      </x:c>
      <x:c r="B2481" s="20" t="n">
        <x:v>45600</x:v>
      </x:c>
      <x:c r="C2481" s="4" t="str">
        <x:v>Fulham</x:v>
      </x:c>
      <x:c r="D2481" s="4" t="str">
        <x:v>Brentford</x:v>
      </x:c>
      <x:c r="E2481" s="4" t="str">
        <x:v>Home</x:v>
      </x:c>
      <x:c r="F2481" s="28" t="n">
        <x:v>2</x:v>
      </x:c>
      <x:c r="G2481" s="28" t="n">
        <x:v>1</x:v>
      </x:c>
      <x:c r="H2481" s="28" t="n">
        <x:v>26</x:v>
      </x:c>
      <x:c r="I2481" s="28" t="n">
        <x:v>5</x:v>
      </x:c>
      <x:c r="J2481" s="28" t="n">
        <x:v>12</x:v>
      </x:c>
      <x:c r="K2481" s="28" t="n">
        <x:v>2</x:v>
      </x:c>
      <x:c r="L2481" s="28" t="n">
        <x:v>11</x:v>
      </x:c>
      <x:c r="M2481" s="28" t="n">
        <x:v>3</x:v>
      </x:c>
      <x:c r="N2481" s="28" t="n">
        <x:v>2</x:v>
      </x:c>
      <x:c r="O2481" s="28" t="n">
        <x:v>0</x:v>
      </x:c>
      <x:c r="P2481" s="28" t="n">
        <x:v>3</x:v>
      </x:c>
      <x:c r="Q2481" s="24" t="n">
        <x:f>IFERROR(J2481/H2481,0)</x:f>
        <x:v>0.46153846153846156</x:v>
      </x:c>
      <x:c r="R2481" s="24" t="n">
        <x:f>IFERROR(F2481/H2481,0)</x:f>
        <x:v>0.07692307692307693</x:v>
      </x:c>
      <x:c r="S2481" s="24" t="n">
        <x:f>IFERROR(F2481/J2481,0)</x:f>
        <x:v>0.16666666666666666</x:v>
      </x:c>
      <x:c r="T2481" s="28" t="n">
        <x:f>H2481-I2481</x:f>
        <x:v>21</x:v>
      </x:c>
      <x:c r="U2481" s="24" t="n">
        <x:f>IFERROR(J2481/H2481,0)-IFERROR(K2481/I2481,0)</x:f>
        <x:v>0.06153846153846154</x:v>
      </x:c>
      <x:c r="V2481" s="24" t="n">
        <x:f>IFERROR(F2481/J2481,0)-IFERROR(G2481/K2481,0)</x:f>
        <x:v>-0.33333333333333337</x:v>
      </x:c>
      <x:c r="W2481" s="28" t="n">
        <x:f>L2481-M2481</x:f>
        <x:v>8</x:v>
      </x:c>
      <x:c r="X2481" s="24" t="n">
        <x:f>IFERROR(K2481/I2481,0)</x:f>
        <x:v>0.4</x:v>
      </x:c>
      <x:c r="Y2481" s="24" t="n">
        <x:f>IFERROR(G2481/I2481,0)</x:f>
        <x:v>0.2</x:v>
      </x:c>
      <x:c r="Z2481" s="24" t="n">
        <x:f>IFERROR(G2481/K2481,0)</x:f>
        <x:v>0.5</x:v>
      </x:c>
      <x:c r="AA2481" s="24" t="n">
        <x:f>IFERROR(F2481/H2481,0)-IFERROR(G2481/I2481,0)</x:f>
        <x:v>-0.12307692307692308</x:v>
      </x:c>
      <x:c r="AB2481" s="28" t="n">
        <x:f>J2481-K2481</x:f>
        <x:v>10</x:v>
      </x:c>
      <x:c r="AC2481" s="32" t="n">
        <x:f>F2481-G2481</x:f>
        <x:v>1</x:v>
      </x:c>
    </x:row>
    <x:row r="2482">
      <x:c r="A2482" s="4" t="str">
        <x:v>2024-25</x:v>
      </x:c>
      <x:c r="B2482" s="20" t="n">
        <x:v>45605</x:v>
      </x:c>
      <x:c r="C2482" s="4" t="str">
        <x:v>Aston Villa</x:v>
      </x:c>
      <x:c r="D2482" s="4" t="str">
        <x:v>Liverpool</x:v>
      </x:c>
      <x:c r="E2482" s="4" t="str">
        <x:v>Away</x:v>
      </x:c>
      <x:c r="F2482" s="28" t="n">
        <x:v>0</x:v>
      </x:c>
      <x:c r="G2482" s="28" t="n">
        <x:v>2</x:v>
      </x:c>
      <x:c r="H2482" s="28" t="n">
        <x:v>12</x:v>
      </x:c>
      <x:c r="I2482" s="28" t="n">
        <x:v>14</x:v>
      </x:c>
      <x:c r="J2482" s="28" t="n">
        <x:v>2</x:v>
      </x:c>
      <x:c r="K2482" s="28" t="n">
        <x:v>5</x:v>
      </x:c>
      <x:c r="L2482" s="28" t="n">
        <x:v>9</x:v>
      </x:c>
      <x:c r="M2482" s="28" t="n">
        <x:v>2</x:v>
      </x:c>
      <x:c r="N2482" s="28" t="n">
        <x:v>3</x:v>
      </x:c>
      <x:c r="O2482" s="28" t="n">
        <x:v>0</x:v>
      </x:c>
      <x:c r="P2482" s="28" t="n">
        <x:v>0</x:v>
      </x:c>
      <x:c r="Q2482" s="24" t="n">
        <x:f>IFERROR(J2482/H2482,0)</x:f>
        <x:v>0.16666666666666666</x:v>
      </x:c>
      <x:c r="R2482" s="24" t="n">
        <x:f>IFERROR(F2482/H2482,0)</x:f>
        <x:v>0</x:v>
      </x:c>
      <x:c r="S2482" s="24" t="n">
        <x:f>IFERROR(F2482/J2482,0)</x:f>
        <x:v>0</x:v>
      </x:c>
      <x:c r="T2482" s="28" t="n">
        <x:f>H2482-I2482</x:f>
        <x:v>-2</x:v>
      </x:c>
      <x:c r="U2482" s="24" t="n">
        <x:f>IFERROR(J2482/H2482,0)-IFERROR(K2482/I2482,0)</x:f>
        <x:v>-0.1904761904761905</x:v>
      </x:c>
      <x:c r="V2482" s="24" t="n">
        <x:f>IFERROR(F2482/J2482,0)-IFERROR(G2482/K2482,0)</x:f>
        <x:v>-0.4</x:v>
      </x:c>
      <x:c r="W2482" s="28" t="n">
        <x:f>L2482-M2482</x:f>
        <x:v>7</x:v>
      </x:c>
      <x:c r="X2482" s="24" t="n">
        <x:f>IFERROR(K2482/I2482,0)</x:f>
        <x:v>0.35714285714285715</x:v>
      </x:c>
      <x:c r="Y2482" s="24" t="n">
        <x:f>IFERROR(G2482/I2482,0)</x:f>
        <x:v>0.14285714285714285</x:v>
      </x:c>
      <x:c r="Z2482" s="24" t="n">
        <x:f>IFERROR(G2482/K2482,0)</x:f>
        <x:v>0.4</x:v>
      </x:c>
      <x:c r="AA2482" s="24" t="n">
        <x:f>IFERROR(F2482/H2482,0)-IFERROR(G2482/I2482,0)</x:f>
        <x:v>-0.14285714285714285</x:v>
      </x:c>
      <x:c r="AB2482" s="28" t="n">
        <x:f>J2482-K2482</x:f>
        <x:v>-3</x:v>
      </x:c>
      <x:c r="AC2482" s="32" t="n">
        <x:f>F2482-G2482</x:f>
        <x:v>-2</x:v>
      </x:c>
    </x:row>
    <x:row r="2483">
      <x:c r="A2483" s="4" t="str">
        <x:v>2024-25</x:v>
      </x:c>
      <x:c r="B2483" s="20" t="n">
        <x:v>45605</x:v>
      </x:c>
      <x:c r="C2483" s="4" t="str">
        <x:v>Bournemouth</x:v>
      </x:c>
      <x:c r="D2483" s="4" t="str">
        <x:v>Brentford</x:v>
      </x:c>
      <x:c r="E2483" s="4" t="str">
        <x:v>Away</x:v>
      </x:c>
      <x:c r="F2483" s="28" t="n">
        <x:v>2</x:v>
      </x:c>
      <x:c r="G2483" s="28" t="n">
        <x:v>3</x:v>
      </x:c>
      <x:c r="H2483" s="28" t="n">
        <x:v>15</x:v>
      </x:c>
      <x:c r="I2483" s="28" t="n">
        <x:v>12</x:v>
      </x:c>
      <x:c r="J2483" s="28" t="n">
        <x:v>3</x:v>
      </x:c>
      <x:c r="K2483" s="28" t="n">
        <x:v>6</x:v>
      </x:c>
      <x:c r="L2483" s="28" t="n">
        <x:v>4</x:v>
      </x:c>
      <x:c r="M2483" s="28" t="n">
        <x:v>6</x:v>
      </x:c>
      <x:c r="N2483" s="28" t="n">
        <x:v>4</x:v>
      </x:c>
      <x:c r="O2483" s="28" t="n">
        <x:v>0</x:v>
      </x:c>
      <x:c r="P2483" s="28" t="n">
        <x:v>0</x:v>
      </x:c>
      <x:c r="Q2483" s="24" t="n">
        <x:f>IFERROR(J2483/H2483,0)</x:f>
        <x:v>0.2</x:v>
      </x:c>
      <x:c r="R2483" s="24" t="n">
        <x:f>IFERROR(F2483/H2483,0)</x:f>
        <x:v>0.13333333333333333</x:v>
      </x:c>
      <x:c r="S2483" s="24" t="n">
        <x:f>IFERROR(F2483/J2483,0)</x:f>
        <x:v>0.6666666666666666</x:v>
      </x:c>
      <x:c r="T2483" s="28" t="n">
        <x:f>H2483-I2483</x:f>
        <x:v>3</x:v>
      </x:c>
      <x:c r="U2483" s="24" t="n">
        <x:f>IFERROR(J2483/H2483,0)-IFERROR(K2483/I2483,0)</x:f>
        <x:v>-0.3</x:v>
      </x:c>
      <x:c r="V2483" s="24" t="n">
        <x:f>IFERROR(F2483/J2483,0)-IFERROR(G2483/K2483,0)</x:f>
        <x:v>0.16666666666666663</x:v>
      </x:c>
      <x:c r="W2483" s="28" t="n">
        <x:f>L2483-M2483</x:f>
        <x:v>-2</x:v>
      </x:c>
      <x:c r="X2483" s="24" t="n">
        <x:f>IFERROR(K2483/I2483,0)</x:f>
        <x:v>0.5</x:v>
      </x:c>
      <x:c r="Y2483" s="24" t="n">
        <x:f>IFERROR(G2483/I2483,0)</x:f>
        <x:v>0.25</x:v>
      </x:c>
      <x:c r="Z2483" s="24" t="n">
        <x:f>IFERROR(G2483/K2483,0)</x:f>
        <x:v>0.5</x:v>
      </x:c>
      <x:c r="AA2483" s="24" t="n">
        <x:f>IFERROR(F2483/H2483,0)-IFERROR(G2483/I2483,0)</x:f>
        <x:v>-0.11666666666666667</x:v>
      </x:c>
      <x:c r="AB2483" s="28" t="n">
        <x:f>J2483-K2483</x:f>
        <x:v>-3</x:v>
      </x:c>
      <x:c r="AC2483" s="32" t="n">
        <x:f>F2483-G2483</x:f>
        <x:v>-1</x:v>
      </x:c>
    </x:row>
    <x:row r="2484">
      <x:c r="A2484" s="4" t="str">
        <x:v>2024-25</x:v>
      </x:c>
      <x:c r="B2484" s="20" t="n">
        <x:v>45605</x:v>
      </x:c>
      <x:c r="C2484" s="4" t="str">
        <x:v>Brentford</x:v>
      </x:c>
      <x:c r="D2484" s="4" t="str">
        <x:v>Bournemouth</x:v>
      </x:c>
      <x:c r="E2484" s="4" t="str">
        <x:v>Home</x:v>
      </x:c>
      <x:c r="F2484" s="28" t="n">
        <x:v>3</x:v>
      </x:c>
      <x:c r="G2484" s="28" t="n">
        <x:v>2</x:v>
      </x:c>
      <x:c r="H2484" s="28" t="n">
        <x:v>12</x:v>
      </x:c>
      <x:c r="I2484" s="28" t="n">
        <x:v>15</x:v>
      </x:c>
      <x:c r="J2484" s="28" t="n">
        <x:v>6</x:v>
      </x:c>
      <x:c r="K2484" s="28" t="n">
        <x:v>3</x:v>
      </x:c>
      <x:c r="L2484" s="28" t="n">
        <x:v>6</x:v>
      </x:c>
      <x:c r="M2484" s="28" t="n">
        <x:v>4</x:v>
      </x:c>
      <x:c r="N2484" s="28" t="n">
        <x:v>2</x:v>
      </x:c>
      <x:c r="O2484" s="28" t="n">
        <x:v>0</x:v>
      </x:c>
      <x:c r="P2484" s="28" t="n">
        <x:v>3</x:v>
      </x:c>
      <x:c r="Q2484" s="24" t="n">
        <x:f>IFERROR(J2484/H2484,0)</x:f>
        <x:v>0.5</x:v>
      </x:c>
      <x:c r="R2484" s="24" t="n">
        <x:f>IFERROR(F2484/H2484,0)</x:f>
        <x:v>0.25</x:v>
      </x:c>
      <x:c r="S2484" s="24" t="n">
        <x:f>IFERROR(F2484/J2484,0)</x:f>
        <x:v>0.5</x:v>
      </x:c>
      <x:c r="T2484" s="28" t="n">
        <x:f>H2484-I2484</x:f>
        <x:v>-3</x:v>
      </x:c>
      <x:c r="U2484" s="24" t="n">
        <x:f>IFERROR(J2484/H2484,0)-IFERROR(K2484/I2484,0)</x:f>
        <x:v>0.3</x:v>
      </x:c>
      <x:c r="V2484" s="24" t="n">
        <x:f>IFERROR(F2484/J2484,0)-IFERROR(G2484/K2484,0)</x:f>
        <x:v>-0.16666666666666663</x:v>
      </x:c>
      <x:c r="W2484" s="28" t="n">
        <x:f>L2484-M2484</x:f>
        <x:v>2</x:v>
      </x:c>
      <x:c r="X2484" s="24" t="n">
        <x:f>IFERROR(K2484/I2484,0)</x:f>
        <x:v>0.2</x:v>
      </x:c>
      <x:c r="Y2484" s="24" t="n">
        <x:f>IFERROR(G2484/I2484,0)</x:f>
        <x:v>0.13333333333333333</x:v>
      </x:c>
      <x:c r="Z2484" s="24" t="n">
        <x:f>IFERROR(G2484/K2484,0)</x:f>
        <x:v>0.6666666666666666</x:v>
      </x:c>
      <x:c r="AA2484" s="24" t="n">
        <x:f>IFERROR(F2484/H2484,0)-IFERROR(G2484/I2484,0)</x:f>
        <x:v>0.11666666666666667</x:v>
      </x:c>
      <x:c r="AB2484" s="28" t="n">
        <x:f>J2484-K2484</x:f>
        <x:v>3</x:v>
      </x:c>
      <x:c r="AC2484" s="32" t="n">
        <x:f>F2484-G2484</x:f>
        <x:v>1</x:v>
      </x:c>
    </x:row>
    <x:row r="2485">
      <x:c r="A2485" s="4" t="str">
        <x:v>2024-25</x:v>
      </x:c>
      <x:c r="B2485" s="20" t="n">
        <x:v>45605</x:v>
      </x:c>
      <x:c r="C2485" s="4" t="str">
        <x:v>Brighton</x:v>
      </x:c>
      <x:c r="D2485" s="4" t="str">
        <x:v>Man City</x:v>
      </x:c>
      <x:c r="E2485" s="4" t="str">
        <x:v>Home</x:v>
      </x:c>
      <x:c r="F2485" s="28" t="n">
        <x:v>2</x:v>
      </x:c>
      <x:c r="G2485" s="28" t="n">
        <x:v>1</x:v>
      </x:c>
      <x:c r="H2485" s="28" t="n">
        <x:v>10</x:v>
      </x:c>
      <x:c r="I2485" s="28" t="n">
        <x:v>15</x:v>
      </x:c>
      <x:c r="J2485" s="28" t="n">
        <x:v>4</x:v>
      </x:c>
      <x:c r="K2485" s="28" t="n">
        <x:v>6</x:v>
      </x:c>
      <x:c r="L2485" s="28" t="n">
        <x:v>0</x:v>
      </x:c>
      <x:c r="M2485" s="28" t="n">
        <x:v>4</x:v>
      </x:c>
      <x:c r="N2485" s="28" t="n">
        <x:v>3</x:v>
      </x:c>
      <x:c r="O2485" s="28" t="n">
        <x:v>0</x:v>
      </x:c>
      <x:c r="P2485" s="28" t="n">
        <x:v>3</x:v>
      </x:c>
      <x:c r="Q2485" s="24" t="n">
        <x:f>IFERROR(J2485/H2485,0)</x:f>
        <x:v>0.4</x:v>
      </x:c>
      <x:c r="R2485" s="24" t="n">
        <x:f>IFERROR(F2485/H2485,0)</x:f>
        <x:v>0.2</x:v>
      </x:c>
      <x:c r="S2485" s="24" t="n">
        <x:f>IFERROR(F2485/J2485,0)</x:f>
        <x:v>0.5</x:v>
      </x:c>
      <x:c r="T2485" s="28" t="n">
        <x:f>H2485-I2485</x:f>
        <x:v>-5</x:v>
      </x:c>
      <x:c r="U2485" s="24" t="n">
        <x:f>IFERROR(J2485/H2485,0)-IFERROR(K2485/I2485,0)</x:f>
        <x:v>0</x:v>
      </x:c>
      <x:c r="V2485" s="24" t="n">
        <x:f>IFERROR(F2485/J2485,0)-IFERROR(G2485/K2485,0)</x:f>
        <x:v>0.33333333333333337</x:v>
      </x:c>
      <x:c r="W2485" s="28" t="n">
        <x:f>L2485-M2485</x:f>
        <x:v>-4</x:v>
      </x:c>
      <x:c r="X2485" s="24" t="n">
        <x:f>IFERROR(K2485/I2485,0)</x:f>
        <x:v>0.4</x:v>
      </x:c>
      <x:c r="Y2485" s="24" t="n">
        <x:f>IFERROR(G2485/I2485,0)</x:f>
        <x:v>0.06666666666666667</x:v>
      </x:c>
      <x:c r="Z2485" s="24" t="n">
        <x:f>IFERROR(G2485/K2485,0)</x:f>
        <x:v>0.16666666666666666</x:v>
      </x:c>
      <x:c r="AA2485" s="24" t="n">
        <x:f>IFERROR(F2485/H2485,0)-IFERROR(G2485/I2485,0)</x:f>
        <x:v>0.13333333333333336</x:v>
      </x:c>
      <x:c r="AB2485" s="28" t="n">
        <x:f>J2485-K2485</x:f>
        <x:v>-2</x:v>
      </x:c>
      <x:c r="AC2485" s="32" t="n">
        <x:f>F2485-G2485</x:f>
        <x:v>1</x:v>
      </x:c>
    </x:row>
    <x:row r="2486">
      <x:c r="A2486" s="4" t="str">
        <x:v>2024-25</x:v>
      </x:c>
      <x:c r="B2486" s="20" t="n">
        <x:v>45605</x:v>
      </x:c>
      <x:c r="C2486" s="4" t="str">
        <x:v>Crystal Palace</x:v>
      </x:c>
      <x:c r="D2486" s="4" t="str">
        <x:v>Fulham</x:v>
      </x:c>
      <x:c r="E2486" s="4" t="str">
        <x:v>Home</x:v>
      </x:c>
      <x:c r="F2486" s="28" t="n">
        <x:v>0</x:v>
      </x:c>
      <x:c r="G2486" s="28" t="n">
        <x:v>2</x:v>
      </x:c>
      <x:c r="H2486" s="28" t="n">
        <x:v>13</x:v>
      </x:c>
      <x:c r="I2486" s="28" t="n">
        <x:v>17</x:v>
      </x:c>
      <x:c r="J2486" s="28" t="n">
        <x:v>5</x:v>
      </x:c>
      <x:c r="K2486" s="28" t="n">
        <x:v>7</x:v>
      </x:c>
      <x:c r="L2486" s="28" t="n">
        <x:v>1</x:v>
      </x:c>
      <x:c r="M2486" s="28" t="n">
        <x:v>8</x:v>
      </x:c>
      <x:c r="N2486" s="28" t="n">
        <x:v>1</x:v>
      </x:c>
      <x:c r="O2486" s="28" t="n">
        <x:v>1</x:v>
      </x:c>
      <x:c r="P2486" s="28" t="n">
        <x:v>0</x:v>
      </x:c>
      <x:c r="Q2486" s="24" t="n">
        <x:f>IFERROR(J2486/H2486,0)</x:f>
        <x:v>0.38461538461538464</x:v>
      </x:c>
      <x:c r="R2486" s="24" t="n">
        <x:f>IFERROR(F2486/H2486,0)</x:f>
        <x:v>0</x:v>
      </x:c>
      <x:c r="S2486" s="24" t="n">
        <x:f>IFERROR(F2486/J2486,0)</x:f>
        <x:v>0</x:v>
      </x:c>
      <x:c r="T2486" s="28" t="n">
        <x:f>H2486-I2486</x:f>
        <x:v>-4</x:v>
      </x:c>
      <x:c r="U2486" s="24" t="n">
        <x:f>IFERROR(J2486/H2486,0)-IFERROR(K2486/I2486,0)</x:f>
        <x:v>-0.027149321266968285</x:v>
      </x:c>
      <x:c r="V2486" s="24" t="n">
        <x:f>IFERROR(F2486/J2486,0)-IFERROR(G2486/K2486,0)</x:f>
        <x:v>-0.2857142857142857</x:v>
      </x:c>
      <x:c r="W2486" s="28" t="n">
        <x:f>L2486-M2486</x:f>
        <x:v>-7</x:v>
      </x:c>
      <x:c r="X2486" s="24" t="n">
        <x:f>IFERROR(K2486/I2486,0)</x:f>
        <x:v>0.4117647058823529</x:v>
      </x:c>
      <x:c r="Y2486" s="24" t="n">
        <x:f>IFERROR(G2486/I2486,0)</x:f>
        <x:v>0.11764705882352941</x:v>
      </x:c>
      <x:c r="Z2486" s="24" t="n">
        <x:f>IFERROR(G2486/K2486,0)</x:f>
        <x:v>0.2857142857142857</x:v>
      </x:c>
      <x:c r="AA2486" s="24" t="n">
        <x:f>IFERROR(F2486/H2486,0)-IFERROR(G2486/I2486,0)</x:f>
        <x:v>-0.11764705882352941</x:v>
      </x:c>
      <x:c r="AB2486" s="28" t="n">
        <x:f>J2486-K2486</x:f>
        <x:v>-2</x:v>
      </x:c>
      <x:c r="AC2486" s="32" t="n">
        <x:f>F2486-G2486</x:f>
        <x:v>-2</x:v>
      </x:c>
    </x:row>
    <x:row r="2487">
      <x:c r="A2487" s="4" t="str">
        <x:v>2024-25</x:v>
      </x:c>
      <x:c r="B2487" s="20" t="n">
        <x:v>45605</x:v>
      </x:c>
      <x:c r="C2487" s="4" t="str">
        <x:v>Everton</x:v>
      </x:c>
      <x:c r="D2487" s="4" t="str">
        <x:v>West Ham</x:v>
      </x:c>
      <x:c r="E2487" s="4" t="str">
        <x:v>Away</x:v>
      </x:c>
      <x:c r="F2487" s="28" t="n">
        <x:v>0</x:v>
      </x:c>
      <x:c r="G2487" s="28" t="n">
        <x:v>0</x:v>
      </x:c>
      <x:c r="H2487" s="28" t="n">
        <x:v>18</x:v>
      </x:c>
      <x:c r="I2487" s="28" t="n">
        <x:v>11</x:v>
      </x:c>
      <x:c r="J2487" s="28" t="n">
        <x:v>4</x:v>
      </x:c>
      <x:c r="K2487" s="28" t="n">
        <x:v>6</x:v>
      </x:c>
      <x:c r="L2487" s="28" t="n">
        <x:v>6</x:v>
      </x:c>
      <x:c r="M2487" s="28" t="n">
        <x:v>7</x:v>
      </x:c>
      <x:c r="N2487" s="28" t="n">
        <x:v>2</x:v>
      </x:c>
      <x:c r="O2487" s="28" t="n">
        <x:v>0</x:v>
      </x:c>
      <x:c r="P2487" s="28" t="n">
        <x:v>1</x:v>
      </x:c>
      <x:c r="Q2487" s="24" t="n">
        <x:f>IFERROR(J2487/H2487,0)</x:f>
        <x:v>0.2222222222222222</x:v>
      </x:c>
      <x:c r="R2487" s="24" t="n">
        <x:f>IFERROR(F2487/H2487,0)</x:f>
        <x:v>0</x:v>
      </x:c>
      <x:c r="S2487" s="24" t="n">
        <x:f>IFERROR(F2487/J2487,0)</x:f>
        <x:v>0</x:v>
      </x:c>
      <x:c r="T2487" s="28" t="n">
        <x:f>H2487-I2487</x:f>
        <x:v>7</x:v>
      </x:c>
      <x:c r="U2487" s="24" t="n">
        <x:f>IFERROR(J2487/H2487,0)-IFERROR(K2487/I2487,0)</x:f>
        <x:v>-0.3232323232323232</x:v>
      </x:c>
      <x:c r="V2487" s="24" t="n">
        <x:f>IFERROR(F2487/J2487,0)-IFERROR(G2487/K2487,0)</x:f>
        <x:v>0</x:v>
      </x:c>
      <x:c r="W2487" s="28" t="n">
        <x:f>L2487-M2487</x:f>
        <x:v>-1</x:v>
      </x:c>
      <x:c r="X2487" s="24" t="n">
        <x:f>IFERROR(K2487/I2487,0)</x:f>
        <x:v>0.5454545454545454</x:v>
      </x:c>
      <x:c r="Y2487" s="24" t="n">
        <x:f>IFERROR(G2487/I2487,0)</x:f>
        <x:v>0</x:v>
      </x:c>
      <x:c r="Z2487" s="24" t="n">
        <x:f>IFERROR(G2487/K2487,0)</x:f>
        <x:v>0</x:v>
      </x:c>
      <x:c r="AA2487" s="24" t="n">
        <x:f>IFERROR(F2487/H2487,0)-IFERROR(G2487/I2487,0)</x:f>
        <x:v>0</x:v>
      </x:c>
      <x:c r="AB2487" s="28" t="n">
        <x:f>J2487-K2487</x:f>
        <x:v>-2</x:v>
      </x:c>
      <x:c r="AC2487" s="32" t="n">
        <x:f>F2487-G2487</x:f>
        <x:v>0</x:v>
      </x:c>
    </x:row>
    <x:row r="2488">
      <x:c r="A2488" s="4" t="str">
        <x:v>2024-25</x:v>
      </x:c>
      <x:c r="B2488" s="20" t="n">
        <x:v>45605</x:v>
      </x:c>
      <x:c r="C2488" s="4" t="str">
        <x:v>Fulham</x:v>
      </x:c>
      <x:c r="D2488" s="4" t="str">
        <x:v>Crystal Palace</x:v>
      </x:c>
      <x:c r="E2488" s="4" t="str">
        <x:v>Away</x:v>
      </x:c>
      <x:c r="F2488" s="28" t="n">
        <x:v>2</x:v>
      </x:c>
      <x:c r="G2488" s="28" t="n">
        <x:v>0</x:v>
      </x:c>
      <x:c r="H2488" s="28" t="n">
        <x:v>17</x:v>
      </x:c>
      <x:c r="I2488" s="28" t="n">
        <x:v>13</x:v>
      </x:c>
      <x:c r="J2488" s="28" t="n">
        <x:v>7</x:v>
      </x:c>
      <x:c r="K2488" s="28" t="n">
        <x:v>5</x:v>
      </x:c>
      <x:c r="L2488" s="28" t="n">
        <x:v>8</x:v>
      </x:c>
      <x:c r="M2488" s="28" t="n">
        <x:v>1</x:v>
      </x:c>
      <x:c r="N2488" s="28" t="n">
        <x:v>1</x:v>
      </x:c>
      <x:c r="O2488" s="28" t="n">
        <x:v>0</x:v>
      </x:c>
      <x:c r="P2488" s="28" t="n">
        <x:v>3</x:v>
      </x:c>
      <x:c r="Q2488" s="24" t="n">
        <x:f>IFERROR(J2488/H2488,0)</x:f>
        <x:v>0.4117647058823529</x:v>
      </x:c>
      <x:c r="R2488" s="24" t="n">
        <x:f>IFERROR(F2488/H2488,0)</x:f>
        <x:v>0.11764705882352941</x:v>
      </x:c>
      <x:c r="S2488" s="24" t="n">
        <x:f>IFERROR(F2488/J2488,0)</x:f>
        <x:v>0.2857142857142857</x:v>
      </x:c>
      <x:c r="T2488" s="28" t="n">
        <x:f>H2488-I2488</x:f>
        <x:v>4</x:v>
      </x:c>
      <x:c r="U2488" s="24" t="n">
        <x:f>IFERROR(J2488/H2488,0)-IFERROR(K2488/I2488,0)</x:f>
        <x:v>0.027149321266968285</x:v>
      </x:c>
      <x:c r="V2488" s="24" t="n">
        <x:f>IFERROR(F2488/J2488,0)-IFERROR(G2488/K2488,0)</x:f>
        <x:v>0.2857142857142857</x:v>
      </x:c>
      <x:c r="W2488" s="28" t="n">
        <x:f>L2488-M2488</x:f>
        <x:v>7</x:v>
      </x:c>
      <x:c r="X2488" s="24" t="n">
        <x:f>IFERROR(K2488/I2488,0)</x:f>
        <x:v>0.38461538461538464</x:v>
      </x:c>
      <x:c r="Y2488" s="24" t="n">
        <x:f>IFERROR(G2488/I2488,0)</x:f>
        <x:v>0</x:v>
      </x:c>
      <x:c r="Z2488" s="24" t="n">
        <x:f>IFERROR(G2488/K2488,0)</x:f>
        <x:v>0</x:v>
      </x:c>
      <x:c r="AA2488" s="24" t="n">
        <x:f>IFERROR(F2488/H2488,0)-IFERROR(G2488/I2488,0)</x:f>
        <x:v>0.11764705882352941</x:v>
      </x:c>
      <x:c r="AB2488" s="28" t="n">
        <x:f>J2488-K2488</x:f>
        <x:v>2</x:v>
      </x:c>
      <x:c r="AC2488" s="32" t="n">
        <x:f>F2488-G2488</x:f>
        <x:v>2</x:v>
      </x:c>
    </x:row>
    <x:row r="2489">
      <x:c r="A2489" s="4" t="str">
        <x:v>2024-25</x:v>
      </x:c>
      <x:c r="B2489" s="20" t="n">
        <x:v>45605</x:v>
      </x:c>
      <x:c r="C2489" s="4" t="str">
        <x:v>Liverpool</x:v>
      </x:c>
      <x:c r="D2489" s="4" t="str">
        <x:v>Aston Villa</x:v>
      </x:c>
      <x:c r="E2489" s="4" t="str">
        <x:v>Home</x:v>
      </x:c>
      <x:c r="F2489" s="28" t="n">
        <x:v>2</x:v>
      </x:c>
      <x:c r="G2489" s="28" t="n">
        <x:v>0</x:v>
      </x:c>
      <x:c r="H2489" s="28" t="n">
        <x:v>14</x:v>
      </x:c>
      <x:c r="I2489" s="28" t="n">
        <x:v>12</x:v>
      </x:c>
      <x:c r="J2489" s="28" t="n">
        <x:v>5</x:v>
      </x:c>
      <x:c r="K2489" s="28" t="n">
        <x:v>2</x:v>
      </x:c>
      <x:c r="L2489" s="28" t="n">
        <x:v>2</x:v>
      </x:c>
      <x:c r="M2489" s="28" t="n">
        <x:v>9</x:v>
      </x:c>
      <x:c r="N2489" s="28" t="n">
        <x:v>0</x:v>
      </x:c>
      <x:c r="O2489" s="28" t="n">
        <x:v>0</x:v>
      </x:c>
      <x:c r="P2489" s="28" t="n">
        <x:v>3</x:v>
      </x:c>
      <x:c r="Q2489" s="24" t="n">
        <x:f>IFERROR(J2489/H2489,0)</x:f>
        <x:v>0.35714285714285715</x:v>
      </x:c>
      <x:c r="R2489" s="24" t="n">
        <x:f>IFERROR(F2489/H2489,0)</x:f>
        <x:v>0.14285714285714285</x:v>
      </x:c>
      <x:c r="S2489" s="24" t="n">
        <x:f>IFERROR(F2489/J2489,0)</x:f>
        <x:v>0.4</x:v>
      </x:c>
      <x:c r="T2489" s="28" t="n">
        <x:f>H2489-I2489</x:f>
        <x:v>2</x:v>
      </x:c>
      <x:c r="U2489" s="24" t="n">
        <x:f>IFERROR(J2489/H2489,0)-IFERROR(K2489/I2489,0)</x:f>
        <x:v>0.1904761904761905</x:v>
      </x:c>
      <x:c r="V2489" s="24" t="n">
        <x:f>IFERROR(F2489/J2489,0)-IFERROR(G2489/K2489,0)</x:f>
        <x:v>0.4</x:v>
      </x:c>
      <x:c r="W2489" s="28" t="n">
        <x:f>L2489-M2489</x:f>
        <x:v>-7</x:v>
      </x:c>
      <x:c r="X2489" s="24" t="n">
        <x:f>IFERROR(K2489/I2489,0)</x:f>
        <x:v>0.16666666666666666</x:v>
      </x:c>
      <x:c r="Y2489" s="24" t="n">
        <x:f>IFERROR(G2489/I2489,0)</x:f>
        <x:v>0</x:v>
      </x:c>
      <x:c r="Z2489" s="24" t="n">
        <x:f>IFERROR(G2489/K2489,0)</x:f>
        <x:v>0</x:v>
      </x:c>
      <x:c r="AA2489" s="24" t="n">
        <x:f>IFERROR(F2489/H2489,0)-IFERROR(G2489/I2489,0)</x:f>
        <x:v>0.14285714285714285</x:v>
      </x:c>
      <x:c r="AB2489" s="28" t="n">
        <x:f>J2489-K2489</x:f>
        <x:v>3</x:v>
      </x:c>
      <x:c r="AC2489" s="32" t="n">
        <x:f>F2489-G2489</x:f>
        <x:v>2</x:v>
      </x:c>
    </x:row>
    <x:row r="2490">
      <x:c r="A2490" s="4" t="str">
        <x:v>2024-25</x:v>
      </x:c>
      <x:c r="B2490" s="20" t="n">
        <x:v>45605</x:v>
      </x:c>
      <x:c r="C2490" s="4" t="str">
        <x:v>Man City</x:v>
      </x:c>
      <x:c r="D2490" s="4" t="str">
        <x:v>Brighton</x:v>
      </x:c>
      <x:c r="E2490" s="4" t="str">
        <x:v>Away</x:v>
      </x:c>
      <x:c r="F2490" s="28" t="n">
        <x:v>1</x:v>
      </x:c>
      <x:c r="G2490" s="28" t="n">
        <x:v>2</x:v>
      </x:c>
      <x:c r="H2490" s="28" t="n">
        <x:v>15</x:v>
      </x:c>
      <x:c r="I2490" s="28" t="n">
        <x:v>10</x:v>
      </x:c>
      <x:c r="J2490" s="28" t="n">
        <x:v>6</x:v>
      </x:c>
      <x:c r="K2490" s="28" t="n">
        <x:v>4</x:v>
      </x:c>
      <x:c r="L2490" s="28" t="n">
        <x:v>4</x:v>
      </x:c>
      <x:c r="M2490" s="28" t="n">
        <x:v>0</x:v>
      </x:c>
      <x:c r="N2490" s="28" t="n">
        <x:v>3</x:v>
      </x:c>
      <x:c r="O2490" s="28" t="n">
        <x:v>0</x:v>
      </x:c>
      <x:c r="P2490" s="28" t="n">
        <x:v>0</x:v>
      </x:c>
      <x:c r="Q2490" s="24" t="n">
        <x:f>IFERROR(J2490/H2490,0)</x:f>
        <x:v>0.4</x:v>
      </x:c>
      <x:c r="R2490" s="24" t="n">
        <x:f>IFERROR(F2490/H2490,0)</x:f>
        <x:v>0.06666666666666667</x:v>
      </x:c>
      <x:c r="S2490" s="24" t="n">
        <x:f>IFERROR(F2490/J2490,0)</x:f>
        <x:v>0.16666666666666666</x:v>
      </x:c>
      <x:c r="T2490" s="28" t="n">
        <x:f>H2490-I2490</x:f>
        <x:v>5</x:v>
      </x:c>
      <x:c r="U2490" s="24" t="n">
        <x:f>IFERROR(J2490/H2490,0)-IFERROR(K2490/I2490,0)</x:f>
        <x:v>0</x:v>
      </x:c>
      <x:c r="V2490" s="24" t="n">
        <x:f>IFERROR(F2490/J2490,0)-IFERROR(G2490/K2490,0)</x:f>
        <x:v>-0.33333333333333337</x:v>
      </x:c>
      <x:c r="W2490" s="28" t="n">
        <x:f>L2490-M2490</x:f>
        <x:v>4</x:v>
      </x:c>
      <x:c r="X2490" s="24" t="n">
        <x:f>IFERROR(K2490/I2490,0)</x:f>
        <x:v>0.4</x:v>
      </x:c>
      <x:c r="Y2490" s="24" t="n">
        <x:f>IFERROR(G2490/I2490,0)</x:f>
        <x:v>0.2</x:v>
      </x:c>
      <x:c r="Z2490" s="24" t="n">
        <x:f>IFERROR(G2490/K2490,0)</x:f>
        <x:v>0.5</x:v>
      </x:c>
      <x:c r="AA2490" s="24" t="n">
        <x:f>IFERROR(F2490/H2490,0)-IFERROR(G2490/I2490,0)</x:f>
        <x:v>-0.13333333333333336</x:v>
      </x:c>
      <x:c r="AB2490" s="28" t="n">
        <x:f>J2490-K2490</x:f>
        <x:v>2</x:v>
      </x:c>
      <x:c r="AC2490" s="32" t="n">
        <x:f>F2490-G2490</x:f>
        <x:v>-1</x:v>
      </x:c>
    </x:row>
    <x:row r="2491">
      <x:c r="A2491" s="4" t="str">
        <x:v>2024-25</x:v>
      </x:c>
      <x:c r="B2491" s="20" t="n">
        <x:v>45605</x:v>
      </x:c>
      <x:c r="C2491" s="4" t="str">
        <x:v>Southampton</x:v>
      </x:c>
      <x:c r="D2491" s="4" t="str">
        <x:v>Wolves</x:v>
      </x:c>
      <x:c r="E2491" s="4" t="str">
        <x:v>Away</x:v>
      </x:c>
      <x:c r="F2491" s="28" t="n">
        <x:v>0</x:v>
      </x:c>
      <x:c r="G2491" s="28" t="n">
        <x:v>2</x:v>
      </x:c>
      <x:c r="H2491" s="28" t="n">
        <x:v>9</x:v>
      </x:c>
      <x:c r="I2491" s="28" t="n">
        <x:v>8</x:v>
      </x:c>
      <x:c r="J2491" s="28" t="n">
        <x:v>0</x:v>
      </x:c>
      <x:c r="K2491" s="28" t="n">
        <x:v>4</x:v>
      </x:c>
      <x:c r="L2491" s="28" t="n">
        <x:v>9</x:v>
      </x:c>
      <x:c r="M2491" s="28" t="n">
        <x:v>1</x:v>
      </x:c>
      <x:c r="N2491" s="28" t="n">
        <x:v>4</x:v>
      </x:c>
      <x:c r="O2491" s="28" t="n">
        <x:v>0</x:v>
      </x:c>
      <x:c r="P2491" s="28" t="n">
        <x:v>0</x:v>
      </x:c>
      <x:c r="Q2491" s="24" t="n">
        <x:f>IFERROR(J2491/H2491,0)</x:f>
        <x:v>0</x:v>
      </x:c>
      <x:c r="R2491" s="24" t="n">
        <x:f>IFERROR(F2491/H2491,0)</x:f>
        <x:v>0</x:v>
      </x:c>
      <x:c r="S2491" s="24" t="n">
        <x:f>IFERROR(F2491/J2491,0)</x:f>
        <x:v>0</x:v>
      </x:c>
      <x:c r="T2491" s="28" t="n">
        <x:f>H2491-I2491</x:f>
        <x:v>1</x:v>
      </x:c>
      <x:c r="U2491" s="24" t="n">
        <x:f>IFERROR(J2491/H2491,0)-IFERROR(K2491/I2491,0)</x:f>
        <x:v>-0.5</x:v>
      </x:c>
      <x:c r="V2491" s="24" t="n">
        <x:f>IFERROR(F2491/J2491,0)-IFERROR(G2491/K2491,0)</x:f>
        <x:v>-0.5</x:v>
      </x:c>
      <x:c r="W2491" s="28" t="n">
        <x:f>L2491-M2491</x:f>
        <x:v>8</x:v>
      </x:c>
      <x:c r="X2491" s="24" t="n">
        <x:f>IFERROR(K2491/I2491,0)</x:f>
        <x:v>0.5</x:v>
      </x:c>
      <x:c r="Y2491" s="24" t="n">
        <x:f>IFERROR(G2491/I2491,0)</x:f>
        <x:v>0.25</x:v>
      </x:c>
      <x:c r="Z2491" s="24" t="n">
        <x:f>IFERROR(G2491/K2491,0)</x:f>
        <x:v>0.5</x:v>
      </x:c>
      <x:c r="AA2491" s="24" t="n">
        <x:f>IFERROR(F2491/H2491,0)-IFERROR(G2491/I2491,0)</x:f>
        <x:v>-0.25</x:v>
      </x:c>
      <x:c r="AB2491" s="28" t="n">
        <x:f>J2491-K2491</x:f>
        <x:v>-4</x:v>
      </x:c>
      <x:c r="AC2491" s="32" t="n">
        <x:f>F2491-G2491</x:f>
        <x:v>-2</x:v>
      </x:c>
    </x:row>
    <x:row r="2492">
      <x:c r="A2492" s="4" t="str">
        <x:v>2024-25</x:v>
      </x:c>
      <x:c r="B2492" s="20" t="n">
        <x:v>45605</x:v>
      </x:c>
      <x:c r="C2492" s="4" t="str">
        <x:v>West Ham</x:v>
      </x:c>
      <x:c r="D2492" s="4" t="str">
        <x:v>Everton</x:v>
      </x:c>
      <x:c r="E2492" s="4" t="str">
        <x:v>Home</x:v>
      </x:c>
      <x:c r="F2492" s="28" t="n">
        <x:v>0</x:v>
      </x:c>
      <x:c r="G2492" s="28" t="n">
        <x:v>0</x:v>
      </x:c>
      <x:c r="H2492" s="28" t="n">
        <x:v>11</x:v>
      </x:c>
      <x:c r="I2492" s="28" t="n">
        <x:v>18</x:v>
      </x:c>
      <x:c r="J2492" s="28" t="n">
        <x:v>6</x:v>
      </x:c>
      <x:c r="K2492" s="28" t="n">
        <x:v>4</x:v>
      </x:c>
      <x:c r="L2492" s="28" t="n">
        <x:v>7</x:v>
      </x:c>
      <x:c r="M2492" s="28" t="n">
        <x:v>6</x:v>
      </x:c>
      <x:c r="N2492" s="28" t="n">
        <x:v>1</x:v>
      </x:c>
      <x:c r="O2492" s="28" t="n">
        <x:v>0</x:v>
      </x:c>
      <x:c r="P2492" s="28" t="n">
        <x:v>1</x:v>
      </x:c>
      <x:c r="Q2492" s="24" t="n">
        <x:f>IFERROR(J2492/H2492,0)</x:f>
        <x:v>0.5454545454545454</x:v>
      </x:c>
      <x:c r="R2492" s="24" t="n">
        <x:f>IFERROR(F2492/H2492,0)</x:f>
        <x:v>0</x:v>
      </x:c>
      <x:c r="S2492" s="24" t="n">
        <x:f>IFERROR(F2492/J2492,0)</x:f>
        <x:v>0</x:v>
      </x:c>
      <x:c r="T2492" s="28" t="n">
        <x:f>H2492-I2492</x:f>
        <x:v>-7</x:v>
      </x:c>
      <x:c r="U2492" s="24" t="n">
        <x:f>IFERROR(J2492/H2492,0)-IFERROR(K2492/I2492,0)</x:f>
        <x:v>0.3232323232323232</x:v>
      </x:c>
      <x:c r="V2492" s="24" t="n">
        <x:f>IFERROR(F2492/J2492,0)-IFERROR(G2492/K2492,0)</x:f>
        <x:v>0</x:v>
      </x:c>
      <x:c r="W2492" s="28" t="n">
        <x:f>L2492-M2492</x:f>
        <x:v>1</x:v>
      </x:c>
      <x:c r="X2492" s="24" t="n">
        <x:f>IFERROR(K2492/I2492,0)</x:f>
        <x:v>0.2222222222222222</x:v>
      </x:c>
      <x:c r="Y2492" s="24" t="n">
        <x:f>IFERROR(G2492/I2492,0)</x:f>
        <x:v>0</x:v>
      </x:c>
      <x:c r="Z2492" s="24" t="n">
        <x:f>IFERROR(G2492/K2492,0)</x:f>
        <x:v>0</x:v>
      </x:c>
      <x:c r="AA2492" s="24" t="n">
        <x:f>IFERROR(F2492/H2492,0)-IFERROR(G2492/I2492,0)</x:f>
        <x:v>0</x:v>
      </x:c>
      <x:c r="AB2492" s="28" t="n">
        <x:f>J2492-K2492</x:f>
        <x:v>2</x:v>
      </x:c>
      <x:c r="AC2492" s="32" t="n">
        <x:f>F2492-G2492</x:f>
        <x:v>0</x:v>
      </x:c>
    </x:row>
    <x:row r="2493">
      <x:c r="A2493" s="4" t="str">
        <x:v>2024-25</x:v>
      </x:c>
      <x:c r="B2493" s="20" t="n">
        <x:v>45605</x:v>
      </x:c>
      <x:c r="C2493" s="4" t="str">
        <x:v>Wolves</x:v>
      </x:c>
      <x:c r="D2493" s="4" t="str">
        <x:v>Southampton</x:v>
      </x:c>
      <x:c r="E2493" s="4" t="str">
        <x:v>Home</x:v>
      </x:c>
      <x:c r="F2493" s="28" t="n">
        <x:v>2</x:v>
      </x:c>
      <x:c r="G2493" s="28" t="n">
        <x:v>0</x:v>
      </x:c>
      <x:c r="H2493" s="28" t="n">
        <x:v>8</x:v>
      </x:c>
      <x:c r="I2493" s="28" t="n">
        <x:v>9</x:v>
      </x:c>
      <x:c r="J2493" s="28" t="n">
        <x:v>4</x:v>
      </x:c>
      <x:c r="K2493" s="28" t="n">
        <x:v>0</x:v>
      </x:c>
      <x:c r="L2493" s="28" t="n">
        <x:v>1</x:v>
      </x:c>
      <x:c r="M2493" s="28" t="n">
        <x:v>9</x:v>
      </x:c>
      <x:c r="N2493" s="28" t="n">
        <x:v>1</x:v>
      </x:c>
      <x:c r="O2493" s="28" t="n">
        <x:v>0</x:v>
      </x:c>
      <x:c r="P2493" s="28" t="n">
        <x:v>3</x:v>
      </x:c>
      <x:c r="Q2493" s="24" t="n">
        <x:f>IFERROR(J2493/H2493,0)</x:f>
        <x:v>0.5</x:v>
      </x:c>
      <x:c r="R2493" s="24" t="n">
        <x:f>IFERROR(F2493/H2493,0)</x:f>
        <x:v>0.25</x:v>
      </x:c>
      <x:c r="S2493" s="24" t="n">
        <x:f>IFERROR(F2493/J2493,0)</x:f>
        <x:v>0.5</x:v>
      </x:c>
      <x:c r="T2493" s="28" t="n">
        <x:f>H2493-I2493</x:f>
        <x:v>-1</x:v>
      </x:c>
      <x:c r="U2493" s="24" t="n">
        <x:f>IFERROR(J2493/H2493,0)-IFERROR(K2493/I2493,0)</x:f>
        <x:v>0.5</x:v>
      </x:c>
      <x:c r="V2493" s="24" t="n">
        <x:f>IFERROR(F2493/J2493,0)-IFERROR(G2493/K2493,0)</x:f>
        <x:v>0.5</x:v>
      </x:c>
      <x:c r="W2493" s="28" t="n">
        <x:f>L2493-M2493</x:f>
        <x:v>-8</x:v>
      </x:c>
      <x:c r="X2493" s="24" t="n">
        <x:f>IFERROR(K2493/I2493,0)</x:f>
        <x:v>0</x:v>
      </x:c>
      <x:c r="Y2493" s="24" t="n">
        <x:f>IFERROR(G2493/I2493,0)</x:f>
        <x:v>0</x:v>
      </x:c>
      <x:c r="Z2493" s="24" t="n">
        <x:f>IFERROR(G2493/K2493,0)</x:f>
        <x:v>0</x:v>
      </x:c>
      <x:c r="AA2493" s="24" t="n">
        <x:f>IFERROR(F2493/H2493,0)-IFERROR(G2493/I2493,0)</x:f>
        <x:v>0.25</x:v>
      </x:c>
      <x:c r="AB2493" s="28" t="n">
        <x:f>J2493-K2493</x:f>
        <x:v>4</x:v>
      </x:c>
      <x:c r="AC2493" s="32" t="n">
        <x:f>F2493-G2493</x:f>
        <x:v>2</x:v>
      </x:c>
    </x:row>
    <x:row r="2494">
      <x:c r="A2494" s="4" t="str">
        <x:v>2024-25</x:v>
      </x:c>
      <x:c r="B2494" s="20" t="n">
        <x:v>45606</x:v>
      </x:c>
      <x:c r="C2494" s="4" t="str">
        <x:v>Arsenal</x:v>
      </x:c>
      <x:c r="D2494" s="4" t="str">
        <x:v>Chelsea</x:v>
      </x:c>
      <x:c r="E2494" s="4" t="str">
        <x:v>Away</x:v>
      </x:c>
      <x:c r="F2494" s="28" t="n">
        <x:v>1</x:v>
      </x:c>
      <x:c r="G2494" s="28" t="n">
        <x:v>1</x:v>
      </x:c>
      <x:c r="H2494" s="28" t="n">
        <x:v>13</x:v>
      </x:c>
      <x:c r="I2494" s="28" t="n">
        <x:v>17</x:v>
      </x:c>
      <x:c r="J2494" s="28" t="n">
        <x:v>3</x:v>
      </x:c>
      <x:c r="K2494" s="28" t="n">
        <x:v>3</x:v>
      </x:c>
      <x:c r="L2494" s="28" t="n">
        <x:v>3</x:v>
      </x:c>
      <x:c r="M2494" s="28" t="n">
        <x:v>4</x:v>
      </x:c>
      <x:c r="N2494" s="28" t="n">
        <x:v>2</x:v>
      </x:c>
      <x:c r="O2494" s="28" t="n">
        <x:v>0</x:v>
      </x:c>
      <x:c r="P2494" s="28" t="n">
        <x:v>1</x:v>
      </x:c>
      <x:c r="Q2494" s="24" t="n">
        <x:f>IFERROR(J2494/H2494,0)</x:f>
        <x:v>0.23076923076923078</x:v>
      </x:c>
      <x:c r="R2494" s="24" t="n">
        <x:f>IFERROR(F2494/H2494,0)</x:f>
        <x:v>0.07692307692307693</x:v>
      </x:c>
      <x:c r="S2494" s="24" t="n">
        <x:f>IFERROR(F2494/J2494,0)</x:f>
        <x:v>0.3333333333333333</x:v>
      </x:c>
      <x:c r="T2494" s="28" t="n">
        <x:f>H2494-I2494</x:f>
        <x:v>-4</x:v>
      </x:c>
      <x:c r="U2494" s="24" t="n">
        <x:f>IFERROR(J2494/H2494,0)-IFERROR(K2494/I2494,0)</x:f>
        <x:v>0.05429864253393665</x:v>
      </x:c>
      <x:c r="V2494" s="24" t="n">
        <x:f>IFERROR(F2494/J2494,0)-IFERROR(G2494/K2494,0)</x:f>
        <x:v>0</x:v>
      </x:c>
      <x:c r="W2494" s="28" t="n">
        <x:f>L2494-M2494</x:f>
        <x:v>-1</x:v>
      </x:c>
      <x:c r="X2494" s="24" t="n">
        <x:f>IFERROR(K2494/I2494,0)</x:f>
        <x:v>0.17647058823529413</x:v>
      </x:c>
      <x:c r="Y2494" s="24" t="n">
        <x:f>IFERROR(G2494/I2494,0)</x:f>
        <x:v>0.058823529411764705</x:v>
      </x:c>
      <x:c r="Z2494" s="24" t="n">
        <x:f>IFERROR(G2494/K2494,0)</x:f>
        <x:v>0.3333333333333333</x:v>
      </x:c>
      <x:c r="AA2494" s="24" t="n">
        <x:f>IFERROR(F2494/H2494,0)-IFERROR(G2494/I2494,0)</x:f>
        <x:v>0.018099547511312222</x:v>
      </x:c>
      <x:c r="AB2494" s="28" t="n">
        <x:f>J2494-K2494</x:f>
        <x:v>0</x:v>
      </x:c>
      <x:c r="AC2494" s="32" t="n">
        <x:f>F2494-G2494</x:f>
        <x:v>0</x:v>
      </x:c>
    </x:row>
    <x:row r="2495">
      <x:c r="A2495" s="4" t="str">
        <x:v>2024-25</x:v>
      </x:c>
      <x:c r="B2495" s="20" t="n">
        <x:v>45606</x:v>
      </x:c>
      <x:c r="C2495" s="4" t="str">
        <x:v>Chelsea</x:v>
      </x:c>
      <x:c r="D2495" s="4" t="str">
        <x:v>Arsenal</x:v>
      </x:c>
      <x:c r="E2495" s="4" t="str">
        <x:v>Home</x:v>
      </x:c>
      <x:c r="F2495" s="28" t="n">
        <x:v>1</x:v>
      </x:c>
      <x:c r="G2495" s="28" t="n">
        <x:v>1</x:v>
      </x:c>
      <x:c r="H2495" s="28" t="n">
        <x:v>17</x:v>
      </x:c>
      <x:c r="I2495" s="28" t="n">
        <x:v>13</x:v>
      </x:c>
      <x:c r="J2495" s="28" t="n">
        <x:v>3</x:v>
      </x:c>
      <x:c r="K2495" s="28" t="n">
        <x:v>3</x:v>
      </x:c>
      <x:c r="L2495" s="28" t="n">
        <x:v>4</x:v>
      </x:c>
      <x:c r="M2495" s="28" t="n">
        <x:v>3</x:v>
      </x:c>
      <x:c r="N2495" s="28" t="n">
        <x:v>4</x:v>
      </x:c>
      <x:c r="O2495" s="28" t="n">
        <x:v>0</x:v>
      </x:c>
      <x:c r="P2495" s="28" t="n">
        <x:v>1</x:v>
      </x:c>
      <x:c r="Q2495" s="24" t="n">
        <x:f>IFERROR(J2495/H2495,0)</x:f>
        <x:v>0.17647058823529413</x:v>
      </x:c>
      <x:c r="R2495" s="24" t="n">
        <x:f>IFERROR(F2495/H2495,0)</x:f>
        <x:v>0.058823529411764705</x:v>
      </x:c>
      <x:c r="S2495" s="24" t="n">
        <x:f>IFERROR(F2495/J2495,0)</x:f>
        <x:v>0.3333333333333333</x:v>
      </x:c>
      <x:c r="T2495" s="28" t="n">
        <x:f>H2495-I2495</x:f>
        <x:v>4</x:v>
      </x:c>
      <x:c r="U2495" s="24" t="n">
        <x:f>IFERROR(J2495/H2495,0)-IFERROR(K2495/I2495,0)</x:f>
        <x:v>-0.05429864253393665</x:v>
      </x:c>
      <x:c r="V2495" s="24" t="n">
        <x:f>IFERROR(F2495/J2495,0)-IFERROR(G2495/K2495,0)</x:f>
        <x:v>0</x:v>
      </x:c>
      <x:c r="W2495" s="28" t="n">
        <x:f>L2495-M2495</x:f>
        <x:v>1</x:v>
      </x:c>
      <x:c r="X2495" s="24" t="n">
        <x:f>IFERROR(K2495/I2495,0)</x:f>
        <x:v>0.23076923076923078</x:v>
      </x:c>
      <x:c r="Y2495" s="24" t="n">
        <x:f>IFERROR(G2495/I2495,0)</x:f>
        <x:v>0.07692307692307693</x:v>
      </x:c>
      <x:c r="Z2495" s="24" t="n">
        <x:f>IFERROR(G2495/K2495,0)</x:f>
        <x:v>0.3333333333333333</x:v>
      </x:c>
      <x:c r="AA2495" s="24" t="n">
        <x:f>IFERROR(F2495/H2495,0)-IFERROR(G2495/I2495,0)</x:f>
        <x:v>-0.018099547511312222</x:v>
      </x:c>
      <x:c r="AB2495" s="28" t="n">
        <x:f>J2495-K2495</x:f>
        <x:v>0</x:v>
      </x:c>
      <x:c r="AC2495" s="32" t="n">
        <x:f>F2495-G2495</x:f>
        <x:v>0</x:v>
      </x:c>
    </x:row>
    <x:row r="2496">
      <x:c r="A2496" s="4" t="str">
        <x:v>2024-25</x:v>
      </x:c>
      <x:c r="B2496" s="20" t="n">
        <x:v>45606</x:v>
      </x:c>
      <x:c r="C2496" s="4" t="str">
        <x:v>Ipswich</x:v>
      </x:c>
      <x:c r="D2496" s="4" t="str">
        <x:v>Tottenham</x:v>
      </x:c>
      <x:c r="E2496" s="4" t="str">
        <x:v>Away</x:v>
      </x:c>
      <x:c r="F2496" s="28" t="n">
        <x:v>2</x:v>
      </x:c>
      <x:c r="G2496" s="28" t="n">
        <x:v>1</x:v>
      </x:c>
      <x:c r="H2496" s="28" t="n">
        <x:v>8</x:v>
      </x:c>
      <x:c r="I2496" s="28" t="n">
        <x:v>17</x:v>
      </x:c>
      <x:c r="J2496" s="28" t="n">
        <x:v>3</x:v>
      </x:c>
      <x:c r="K2496" s="28" t="n">
        <x:v>5</x:v>
      </x:c>
      <x:c r="L2496" s="28" t="n">
        <x:v>2</x:v>
      </x:c>
      <x:c r="M2496" s="28" t="n">
        <x:v>12</x:v>
      </x:c>
      <x:c r="N2496" s="28" t="n">
        <x:v>5</x:v>
      </x:c>
      <x:c r="O2496" s="28" t="n">
        <x:v>0</x:v>
      </x:c>
      <x:c r="P2496" s="28" t="n">
        <x:v>3</x:v>
      </x:c>
      <x:c r="Q2496" s="24" t="n">
        <x:f>IFERROR(J2496/H2496,0)</x:f>
        <x:v>0.375</x:v>
      </x:c>
      <x:c r="R2496" s="24" t="n">
        <x:f>IFERROR(F2496/H2496,0)</x:f>
        <x:v>0.25</x:v>
      </x:c>
      <x:c r="S2496" s="24" t="n">
        <x:f>IFERROR(F2496/J2496,0)</x:f>
        <x:v>0.6666666666666666</x:v>
      </x:c>
      <x:c r="T2496" s="28" t="n">
        <x:f>H2496-I2496</x:f>
        <x:v>-9</x:v>
      </x:c>
      <x:c r="U2496" s="24" t="n">
        <x:f>IFERROR(J2496/H2496,0)-IFERROR(K2496/I2496,0)</x:f>
        <x:v>0.08088235294117646</x:v>
      </x:c>
      <x:c r="V2496" s="24" t="n">
        <x:f>IFERROR(F2496/J2496,0)-IFERROR(G2496/K2496,0)</x:f>
        <x:v>0.4666666666666666</x:v>
      </x:c>
      <x:c r="W2496" s="28" t="n">
        <x:f>L2496-M2496</x:f>
        <x:v>-10</x:v>
      </x:c>
      <x:c r="X2496" s="24" t="n">
        <x:f>IFERROR(K2496/I2496,0)</x:f>
        <x:v>0.29411764705882354</x:v>
      </x:c>
      <x:c r="Y2496" s="24" t="n">
        <x:f>IFERROR(G2496/I2496,0)</x:f>
        <x:v>0.058823529411764705</x:v>
      </x:c>
      <x:c r="Z2496" s="24" t="n">
        <x:f>IFERROR(G2496/K2496,0)</x:f>
        <x:v>0.2</x:v>
      </x:c>
      <x:c r="AA2496" s="24" t="n">
        <x:f>IFERROR(F2496/H2496,0)-IFERROR(G2496/I2496,0)</x:f>
        <x:v>0.19117647058823528</x:v>
      </x:c>
      <x:c r="AB2496" s="28" t="n">
        <x:f>J2496-K2496</x:f>
        <x:v>-2</x:v>
      </x:c>
      <x:c r="AC2496" s="32" t="n">
        <x:f>F2496-G2496</x:f>
        <x:v>1</x:v>
      </x:c>
    </x:row>
    <x:row r="2497">
      <x:c r="A2497" s="4" t="str">
        <x:v>2024-25</x:v>
      </x:c>
      <x:c r="B2497" s="20" t="n">
        <x:v>45606</x:v>
      </x:c>
      <x:c r="C2497" s="4" t="str">
        <x:v>Leicester</x:v>
      </x:c>
      <x:c r="D2497" s="4" t="str">
        <x:v>Man United</x:v>
      </x:c>
      <x:c r="E2497" s="4" t="str">
        <x:v>Away</x:v>
      </x:c>
      <x:c r="F2497" s="28" t="n">
        <x:v>0</x:v>
      </x:c>
      <x:c r="G2497" s="28" t="n">
        <x:v>3</x:v>
      </x:c>
      <x:c r="H2497" s="28" t="n">
        <x:v>6</x:v>
      </x:c>
      <x:c r="I2497" s="28" t="n">
        <x:v>13</x:v>
      </x:c>
      <x:c r="J2497" s="28" t="n">
        <x:v>5</x:v>
      </x:c>
      <x:c r="K2497" s="28" t="n">
        <x:v>3</x:v>
      </x:c>
      <x:c r="L2497" s="28" t="n">
        <x:v>5</x:v>
      </x:c>
      <x:c r="M2497" s="28" t="n">
        <x:v>1</x:v>
      </x:c>
      <x:c r="N2497" s="28" t="n">
        <x:v>1</x:v>
      </x:c>
      <x:c r="O2497" s="28" t="n">
        <x:v>0</x:v>
      </x:c>
      <x:c r="P2497" s="28" t="n">
        <x:v>0</x:v>
      </x:c>
      <x:c r="Q2497" s="24" t="n">
        <x:f>IFERROR(J2497/H2497,0)</x:f>
        <x:v>0.8333333333333334</x:v>
      </x:c>
      <x:c r="R2497" s="24" t="n">
        <x:f>IFERROR(F2497/H2497,0)</x:f>
        <x:v>0</x:v>
      </x:c>
      <x:c r="S2497" s="24" t="n">
        <x:f>IFERROR(F2497/J2497,0)</x:f>
        <x:v>0</x:v>
      </x:c>
      <x:c r="T2497" s="28" t="n">
        <x:f>H2497-I2497</x:f>
        <x:v>-7</x:v>
      </x:c>
      <x:c r="U2497" s="24" t="n">
        <x:f>IFERROR(J2497/H2497,0)-IFERROR(K2497/I2497,0)</x:f>
        <x:v>0.6025641025641026</x:v>
      </x:c>
      <x:c r="V2497" s="24" t="n">
        <x:f>IFERROR(F2497/J2497,0)-IFERROR(G2497/K2497,0)</x:f>
        <x:v>-1</x:v>
      </x:c>
      <x:c r="W2497" s="28" t="n">
        <x:f>L2497-M2497</x:f>
        <x:v>4</x:v>
      </x:c>
      <x:c r="X2497" s="24" t="n">
        <x:f>IFERROR(K2497/I2497,0)</x:f>
        <x:v>0.23076923076923078</x:v>
      </x:c>
      <x:c r="Y2497" s="24" t="n">
        <x:f>IFERROR(G2497/I2497,0)</x:f>
        <x:v>0.23076923076923078</x:v>
      </x:c>
      <x:c r="Z2497" s="24" t="n">
        <x:f>IFERROR(G2497/K2497,0)</x:f>
        <x:v>1</x:v>
      </x:c>
      <x:c r="AA2497" s="24" t="n">
        <x:f>IFERROR(F2497/H2497,0)-IFERROR(G2497/I2497,0)</x:f>
        <x:v>-0.23076923076923078</x:v>
      </x:c>
      <x:c r="AB2497" s="28" t="n">
        <x:f>J2497-K2497</x:f>
        <x:v>2</x:v>
      </x:c>
      <x:c r="AC2497" s="32" t="n">
        <x:f>F2497-G2497</x:f>
        <x:v>-3</x:v>
      </x:c>
    </x:row>
    <x:row r="2498">
      <x:c r="A2498" s="4" t="str">
        <x:v>2024-25</x:v>
      </x:c>
      <x:c r="B2498" s="20" t="n">
        <x:v>45606</x:v>
      </x:c>
      <x:c r="C2498" s="4" t="str">
        <x:v>Man United</x:v>
      </x:c>
      <x:c r="D2498" s="4" t="str">
        <x:v>Leicester</x:v>
      </x:c>
      <x:c r="E2498" s="4" t="str">
        <x:v>Home</x:v>
      </x:c>
      <x:c r="F2498" s="28" t="n">
        <x:v>3</x:v>
      </x:c>
      <x:c r="G2498" s="28" t="n">
        <x:v>0</x:v>
      </x:c>
      <x:c r="H2498" s="28" t="n">
        <x:v>13</x:v>
      </x:c>
      <x:c r="I2498" s="28" t="n">
        <x:v>6</x:v>
      </x:c>
      <x:c r="J2498" s="28" t="n">
        <x:v>3</x:v>
      </x:c>
      <x:c r="K2498" s="28" t="n">
        <x:v>5</x:v>
      </x:c>
      <x:c r="L2498" s="28" t="n">
        <x:v>1</x:v>
      </x:c>
      <x:c r="M2498" s="28" t="n">
        <x:v>5</x:v>
      </x:c>
      <x:c r="N2498" s="28" t="n">
        <x:v>0</x:v>
      </x:c>
      <x:c r="O2498" s="28" t="n">
        <x:v>0</x:v>
      </x:c>
      <x:c r="P2498" s="28" t="n">
        <x:v>3</x:v>
      </x:c>
      <x:c r="Q2498" s="24" t="n">
        <x:f>IFERROR(J2498/H2498,0)</x:f>
        <x:v>0.23076923076923078</x:v>
      </x:c>
      <x:c r="R2498" s="24" t="n">
        <x:f>IFERROR(F2498/H2498,0)</x:f>
        <x:v>0.23076923076923078</x:v>
      </x:c>
      <x:c r="S2498" s="24" t="n">
        <x:f>IFERROR(F2498/J2498,0)</x:f>
        <x:v>1</x:v>
      </x:c>
      <x:c r="T2498" s="28" t="n">
        <x:f>H2498-I2498</x:f>
        <x:v>7</x:v>
      </x:c>
      <x:c r="U2498" s="24" t="n">
        <x:f>IFERROR(J2498/H2498,0)-IFERROR(K2498/I2498,0)</x:f>
        <x:v>-0.6025641025641026</x:v>
      </x:c>
      <x:c r="V2498" s="24" t="n">
        <x:f>IFERROR(F2498/J2498,0)-IFERROR(G2498/K2498,0)</x:f>
        <x:v>1</x:v>
      </x:c>
      <x:c r="W2498" s="28" t="n">
        <x:f>L2498-M2498</x:f>
        <x:v>-4</x:v>
      </x:c>
      <x:c r="X2498" s="24" t="n">
        <x:f>IFERROR(K2498/I2498,0)</x:f>
        <x:v>0.8333333333333334</x:v>
      </x:c>
      <x:c r="Y2498" s="24" t="n">
        <x:f>IFERROR(G2498/I2498,0)</x:f>
        <x:v>0</x:v>
      </x:c>
      <x:c r="Z2498" s="24" t="n">
        <x:f>IFERROR(G2498/K2498,0)</x:f>
        <x:v>0</x:v>
      </x:c>
      <x:c r="AA2498" s="24" t="n">
        <x:f>IFERROR(F2498/H2498,0)-IFERROR(G2498/I2498,0)</x:f>
        <x:v>0.23076923076923078</x:v>
      </x:c>
      <x:c r="AB2498" s="28" t="n">
        <x:f>J2498-K2498</x:f>
        <x:v>-2</x:v>
      </x:c>
      <x:c r="AC2498" s="32" t="n">
        <x:f>F2498-G2498</x:f>
        <x:v>3</x:v>
      </x:c>
    </x:row>
    <x:row r="2499">
      <x:c r="A2499" s="4" t="str">
        <x:v>2024-25</x:v>
      </x:c>
      <x:c r="B2499" s="20" t="n">
        <x:v>45606</x:v>
      </x:c>
      <x:c r="C2499" s="4" t="str">
        <x:v>Newcastle</x:v>
      </x:c>
      <x:c r="D2499" s="4" t="str">
        <x:v>Nott'm Forest</x:v>
      </x:c>
      <x:c r="E2499" s="4" t="str">
        <x:v>Away</x:v>
      </x:c>
      <x:c r="F2499" s="28" t="n">
        <x:v>3</x:v>
      </x:c>
      <x:c r="G2499" s="28" t="n">
        <x:v>1</x:v>
      </x:c>
      <x:c r="H2499" s="28" t="n">
        <x:v>17</x:v>
      </x:c>
      <x:c r="I2499" s="28" t="n">
        <x:v>9</x:v>
      </x:c>
      <x:c r="J2499" s="28" t="n">
        <x:v>6</x:v>
      </x:c>
      <x:c r="K2499" s="28" t="n">
        <x:v>3</x:v>
      </x:c>
      <x:c r="L2499" s="28" t="n">
        <x:v>5</x:v>
      </x:c>
      <x:c r="M2499" s="28" t="n">
        <x:v>4</x:v>
      </x:c>
      <x:c r="N2499" s="28" t="n">
        <x:v>1</x:v>
      </x:c>
      <x:c r="O2499" s="28" t="n">
        <x:v>0</x:v>
      </x:c>
      <x:c r="P2499" s="28" t="n">
        <x:v>3</x:v>
      </x:c>
      <x:c r="Q2499" s="24" t="n">
        <x:f>IFERROR(J2499/H2499,0)</x:f>
        <x:v>0.35294117647058826</x:v>
      </x:c>
      <x:c r="R2499" s="24" t="n">
        <x:f>IFERROR(F2499/H2499,0)</x:f>
        <x:v>0.17647058823529413</x:v>
      </x:c>
      <x:c r="S2499" s="24" t="n">
        <x:f>IFERROR(F2499/J2499,0)</x:f>
        <x:v>0.5</x:v>
      </x:c>
      <x:c r="T2499" s="28" t="n">
        <x:f>H2499-I2499</x:f>
        <x:v>8</x:v>
      </x:c>
      <x:c r="U2499" s="24" t="n">
        <x:f>IFERROR(J2499/H2499,0)-IFERROR(K2499/I2499,0)</x:f>
        <x:v>0.019607843137254943</x:v>
      </x:c>
      <x:c r="V2499" s="24" t="n">
        <x:f>IFERROR(F2499/J2499,0)-IFERROR(G2499/K2499,0)</x:f>
        <x:v>0.16666666666666669</x:v>
      </x:c>
      <x:c r="W2499" s="28" t="n">
        <x:f>L2499-M2499</x:f>
        <x:v>1</x:v>
      </x:c>
      <x:c r="X2499" s="24" t="n">
        <x:f>IFERROR(K2499/I2499,0)</x:f>
        <x:v>0.3333333333333333</x:v>
      </x:c>
      <x:c r="Y2499" s="24" t="n">
        <x:f>IFERROR(G2499/I2499,0)</x:f>
        <x:v>0.1111111111111111</x:v>
      </x:c>
      <x:c r="Z2499" s="24" t="n">
        <x:f>IFERROR(G2499/K2499,0)</x:f>
        <x:v>0.3333333333333333</x:v>
      </x:c>
      <x:c r="AA2499" s="24" t="n">
        <x:f>IFERROR(F2499/H2499,0)-IFERROR(G2499/I2499,0)</x:f>
        <x:v>0.06535947712418302</x:v>
      </x:c>
      <x:c r="AB2499" s="28" t="n">
        <x:f>J2499-K2499</x:f>
        <x:v>3</x:v>
      </x:c>
      <x:c r="AC2499" s="32" t="n">
        <x:f>F2499-G2499</x:f>
        <x:v>2</x:v>
      </x:c>
    </x:row>
    <x:row r="2500">
      <x:c r="A2500" s="4" t="str">
        <x:v>2024-25</x:v>
      </x:c>
      <x:c r="B2500" s="20" t="n">
        <x:v>45606</x:v>
      </x:c>
      <x:c r="C2500" s="4" t="str">
        <x:v>Nott'm Forest</x:v>
      </x:c>
      <x:c r="D2500" s="4" t="str">
        <x:v>Newcastle</x:v>
      </x:c>
      <x:c r="E2500" s="4" t="str">
        <x:v>Home</x:v>
      </x:c>
      <x:c r="F2500" s="28" t="n">
        <x:v>1</x:v>
      </x:c>
      <x:c r="G2500" s="28" t="n">
        <x:v>3</x:v>
      </x:c>
      <x:c r="H2500" s="28" t="n">
        <x:v>9</x:v>
      </x:c>
      <x:c r="I2500" s="28" t="n">
        <x:v>17</x:v>
      </x:c>
      <x:c r="J2500" s="28" t="n">
        <x:v>3</x:v>
      </x:c>
      <x:c r="K2500" s="28" t="n">
        <x:v>6</x:v>
      </x:c>
      <x:c r="L2500" s="28" t="n">
        <x:v>4</x:v>
      </x:c>
      <x:c r="M2500" s="28" t="n">
        <x:v>5</x:v>
      </x:c>
      <x:c r="N2500" s="28" t="n">
        <x:v>1</x:v>
      </x:c>
      <x:c r="O2500" s="28" t="n">
        <x:v>0</x:v>
      </x:c>
      <x:c r="P2500" s="28" t="n">
        <x:v>0</x:v>
      </x:c>
      <x:c r="Q2500" s="24" t="n">
        <x:f>IFERROR(J2500/H2500,0)</x:f>
        <x:v>0.3333333333333333</x:v>
      </x:c>
      <x:c r="R2500" s="24" t="n">
        <x:f>IFERROR(F2500/H2500,0)</x:f>
        <x:v>0.1111111111111111</x:v>
      </x:c>
      <x:c r="S2500" s="24" t="n">
        <x:f>IFERROR(F2500/J2500,0)</x:f>
        <x:v>0.3333333333333333</x:v>
      </x:c>
      <x:c r="T2500" s="28" t="n">
        <x:f>H2500-I2500</x:f>
        <x:v>-8</x:v>
      </x:c>
      <x:c r="U2500" s="24" t="n">
        <x:f>IFERROR(J2500/H2500,0)-IFERROR(K2500/I2500,0)</x:f>
        <x:v>-0.019607843137254943</x:v>
      </x:c>
      <x:c r="V2500" s="24" t="n">
        <x:f>IFERROR(F2500/J2500,0)-IFERROR(G2500/K2500,0)</x:f>
        <x:v>-0.16666666666666669</x:v>
      </x:c>
      <x:c r="W2500" s="28" t="n">
        <x:f>L2500-M2500</x:f>
        <x:v>-1</x:v>
      </x:c>
      <x:c r="X2500" s="24" t="n">
        <x:f>IFERROR(K2500/I2500,0)</x:f>
        <x:v>0.35294117647058826</x:v>
      </x:c>
      <x:c r="Y2500" s="24" t="n">
        <x:f>IFERROR(G2500/I2500,0)</x:f>
        <x:v>0.17647058823529413</x:v>
      </x:c>
      <x:c r="Z2500" s="24" t="n">
        <x:f>IFERROR(G2500/K2500,0)</x:f>
        <x:v>0.5</x:v>
      </x:c>
      <x:c r="AA2500" s="24" t="n">
        <x:f>IFERROR(F2500/H2500,0)-IFERROR(G2500/I2500,0)</x:f>
        <x:v>-0.06535947712418302</x:v>
      </x:c>
      <x:c r="AB2500" s="28" t="n">
        <x:f>J2500-K2500</x:f>
        <x:v>-3</x:v>
      </x:c>
      <x:c r="AC2500" s="32" t="n">
        <x:f>F2500-G2500</x:f>
        <x:v>-2</x:v>
      </x:c>
    </x:row>
    <x:row r="2501">
      <x:c r="A2501" s="4" t="str">
        <x:v>2024-25</x:v>
      </x:c>
      <x:c r="B2501" s="20" t="n">
        <x:v>45606</x:v>
      </x:c>
      <x:c r="C2501" s="4" t="str">
        <x:v>Tottenham</x:v>
      </x:c>
      <x:c r="D2501" s="4" t="str">
        <x:v>Ipswich</x:v>
      </x:c>
      <x:c r="E2501" s="4" t="str">
        <x:v>Home</x:v>
      </x:c>
      <x:c r="F2501" s="28" t="n">
        <x:v>1</x:v>
      </x:c>
      <x:c r="G2501" s="28" t="n">
        <x:v>2</x:v>
      </x:c>
      <x:c r="H2501" s="28" t="n">
        <x:v>17</x:v>
      </x:c>
      <x:c r="I2501" s="28" t="n">
        <x:v>8</x:v>
      </x:c>
      <x:c r="J2501" s="28" t="n">
        <x:v>5</x:v>
      </x:c>
      <x:c r="K2501" s="28" t="n">
        <x:v>3</x:v>
      </x:c>
      <x:c r="L2501" s="28" t="n">
        <x:v>12</x:v>
      </x:c>
      <x:c r="M2501" s="28" t="n">
        <x:v>2</x:v>
      </x:c>
      <x:c r="N2501" s="28" t="n">
        <x:v>1</x:v>
      </x:c>
      <x:c r="O2501" s="28" t="n">
        <x:v>0</x:v>
      </x:c>
      <x:c r="P2501" s="28" t="n">
        <x:v>0</x:v>
      </x:c>
      <x:c r="Q2501" s="24" t="n">
        <x:f>IFERROR(J2501/H2501,0)</x:f>
        <x:v>0.29411764705882354</x:v>
      </x:c>
      <x:c r="R2501" s="24" t="n">
        <x:f>IFERROR(F2501/H2501,0)</x:f>
        <x:v>0.058823529411764705</x:v>
      </x:c>
      <x:c r="S2501" s="24" t="n">
        <x:f>IFERROR(F2501/J2501,0)</x:f>
        <x:v>0.2</x:v>
      </x:c>
      <x:c r="T2501" s="28" t="n">
        <x:f>H2501-I2501</x:f>
        <x:v>9</x:v>
      </x:c>
      <x:c r="U2501" s="24" t="n">
        <x:f>IFERROR(J2501/H2501,0)-IFERROR(K2501/I2501,0)</x:f>
        <x:v>-0.08088235294117646</x:v>
      </x:c>
      <x:c r="V2501" s="24" t="n">
        <x:f>IFERROR(F2501/J2501,0)-IFERROR(G2501/K2501,0)</x:f>
        <x:v>-0.4666666666666666</x:v>
      </x:c>
      <x:c r="W2501" s="28" t="n">
        <x:f>L2501-M2501</x:f>
        <x:v>10</x:v>
      </x:c>
      <x:c r="X2501" s="24" t="n">
        <x:f>IFERROR(K2501/I2501,0)</x:f>
        <x:v>0.375</x:v>
      </x:c>
      <x:c r="Y2501" s="24" t="n">
        <x:f>IFERROR(G2501/I2501,0)</x:f>
        <x:v>0.25</x:v>
      </x:c>
      <x:c r="Z2501" s="24" t="n">
        <x:f>IFERROR(G2501/K2501,0)</x:f>
        <x:v>0.6666666666666666</x:v>
      </x:c>
      <x:c r="AA2501" s="24" t="n">
        <x:f>IFERROR(F2501/H2501,0)-IFERROR(G2501/I2501,0)</x:f>
        <x:v>-0.19117647058823528</x:v>
      </x:c>
      <x:c r="AB2501" s="28" t="n">
        <x:f>J2501-K2501</x:f>
        <x:v>2</x:v>
      </x:c>
      <x:c r="AC2501" s="32" t="n">
        <x:f>F2501-G2501</x:f>
        <x:v>-1</x:v>
      </x:c>
    </x:row>
    <x:row r="2502">
      <x:c r="A2502" s="4" t="str">
        <x:v>2024-25</x:v>
      </x:c>
      <x:c r="B2502" s="20" t="n">
        <x:v>45619</x:v>
      </x:c>
      <x:c r="C2502" s="4" t="str">
        <x:v>Arsenal</x:v>
      </x:c>
      <x:c r="D2502" s="4" t="str">
        <x:v>Nott'm Forest</x:v>
      </x:c>
      <x:c r="E2502" s="4" t="str">
        <x:v>Home</x:v>
      </x:c>
      <x:c r="F2502" s="28" t="n">
        <x:v>3</x:v>
      </x:c>
      <x:c r="G2502" s="28" t="n">
        <x:v>0</x:v>
      </x:c>
      <x:c r="H2502" s="28" t="n">
        <x:v>19</x:v>
      </x:c>
      <x:c r="I2502" s="28" t="n">
        <x:v>7</x:v>
      </x:c>
      <x:c r="J2502" s="28" t="n">
        <x:v>7</x:v>
      </x:c>
      <x:c r="K2502" s="28" t="n">
        <x:v>0</x:v>
      </x:c>
      <x:c r="L2502" s="28" t="n">
        <x:v>8</x:v>
      </x:c>
      <x:c r="M2502" s="28" t="n">
        <x:v>1</x:v>
      </x:c>
      <x:c r="N2502" s="28" t="n">
        <x:v>3</x:v>
      </x:c>
      <x:c r="O2502" s="28" t="n">
        <x:v>0</x:v>
      </x:c>
      <x:c r="P2502" s="28" t="n">
        <x:v>3</x:v>
      </x:c>
      <x:c r="Q2502" s="24" t="n">
        <x:f>IFERROR(J2502/H2502,0)</x:f>
        <x:v>0.3684210526315789</x:v>
      </x:c>
      <x:c r="R2502" s="24" t="n">
        <x:f>IFERROR(F2502/H2502,0)</x:f>
        <x:v>0.15789473684210525</x:v>
      </x:c>
      <x:c r="S2502" s="24" t="n">
        <x:f>IFERROR(F2502/J2502,0)</x:f>
        <x:v>0.42857142857142855</x:v>
      </x:c>
      <x:c r="T2502" s="28" t="n">
        <x:f>H2502-I2502</x:f>
        <x:v>12</x:v>
      </x:c>
      <x:c r="U2502" s="24" t="n">
        <x:f>IFERROR(J2502/H2502,0)-IFERROR(K2502/I2502,0)</x:f>
        <x:v>0.3684210526315789</x:v>
      </x:c>
      <x:c r="V2502" s="24" t="n">
        <x:f>IFERROR(F2502/J2502,0)-IFERROR(G2502/K2502,0)</x:f>
        <x:v>0.42857142857142855</x:v>
      </x:c>
      <x:c r="W2502" s="28" t="n">
        <x:f>L2502-M2502</x:f>
        <x:v>7</x:v>
      </x:c>
      <x:c r="X2502" s="24" t="n">
        <x:f>IFERROR(K2502/I2502,0)</x:f>
        <x:v>0</x:v>
      </x:c>
      <x:c r="Y2502" s="24" t="n">
        <x:f>IFERROR(G2502/I2502,0)</x:f>
        <x:v>0</x:v>
      </x:c>
      <x:c r="Z2502" s="24" t="n">
        <x:f>IFERROR(G2502/K2502,0)</x:f>
        <x:v>0</x:v>
      </x:c>
      <x:c r="AA2502" s="24" t="n">
        <x:f>IFERROR(F2502/H2502,0)-IFERROR(G2502/I2502,0)</x:f>
        <x:v>0.15789473684210525</x:v>
      </x:c>
      <x:c r="AB2502" s="28" t="n">
        <x:f>J2502-K2502</x:f>
        <x:v>7</x:v>
      </x:c>
      <x:c r="AC2502" s="32" t="n">
        <x:f>F2502-G2502</x:f>
        <x:v>3</x:v>
      </x:c>
    </x:row>
    <x:row r="2503">
      <x:c r="A2503" s="4" t="str">
        <x:v>2024-25</x:v>
      </x:c>
      <x:c r="B2503" s="20" t="n">
        <x:v>45619</x:v>
      </x:c>
      <x:c r="C2503" s="4" t="str">
        <x:v>Aston Villa</x:v>
      </x:c>
      <x:c r="D2503" s="4" t="str">
        <x:v>Crystal Palace</x:v>
      </x:c>
      <x:c r="E2503" s="4" t="str">
        <x:v>Home</x:v>
      </x:c>
      <x:c r="F2503" s="28" t="n">
        <x:v>2</x:v>
      </x:c>
      <x:c r="G2503" s="28" t="n">
        <x:v>2</x:v>
      </x:c>
      <x:c r="H2503" s="28" t="n">
        <x:v>17</x:v>
      </x:c>
      <x:c r="I2503" s="28" t="n">
        <x:v>13</x:v>
      </x:c>
      <x:c r="J2503" s="28" t="n">
        <x:v>5</x:v>
      </x:c>
      <x:c r="K2503" s="28" t="n">
        <x:v>6</x:v>
      </x:c>
      <x:c r="L2503" s="28" t="n">
        <x:v>10</x:v>
      </x:c>
      <x:c r="M2503" s="28" t="n">
        <x:v>1</x:v>
      </x:c>
      <x:c r="N2503" s="28" t="n">
        <x:v>3</x:v>
      </x:c>
      <x:c r="O2503" s="28" t="n">
        <x:v>0</x:v>
      </x:c>
      <x:c r="P2503" s="28" t="n">
        <x:v>1</x:v>
      </x:c>
      <x:c r="Q2503" s="24" t="n">
        <x:f>IFERROR(J2503/H2503,0)</x:f>
        <x:v>0.29411764705882354</x:v>
      </x:c>
      <x:c r="R2503" s="24" t="n">
        <x:f>IFERROR(F2503/H2503,0)</x:f>
        <x:v>0.11764705882352941</x:v>
      </x:c>
      <x:c r="S2503" s="24" t="n">
        <x:f>IFERROR(F2503/J2503,0)</x:f>
        <x:v>0.4</x:v>
      </x:c>
      <x:c r="T2503" s="28" t="n">
        <x:f>H2503-I2503</x:f>
        <x:v>4</x:v>
      </x:c>
      <x:c r="U2503" s="24" t="n">
        <x:f>IFERROR(J2503/H2503,0)-IFERROR(K2503/I2503,0)</x:f>
        <x:v>-0.16742081447963802</x:v>
      </x:c>
      <x:c r="V2503" s="24" t="n">
        <x:f>IFERROR(F2503/J2503,0)-IFERROR(G2503/K2503,0)</x:f>
        <x:v>0.06666666666666671</x:v>
      </x:c>
      <x:c r="W2503" s="28" t="n">
        <x:f>L2503-M2503</x:f>
        <x:v>9</x:v>
      </x:c>
      <x:c r="X2503" s="24" t="n">
        <x:f>IFERROR(K2503/I2503,0)</x:f>
        <x:v>0.46153846153846156</x:v>
      </x:c>
      <x:c r="Y2503" s="24" t="n">
        <x:f>IFERROR(G2503/I2503,0)</x:f>
        <x:v>0.15384615384615385</x:v>
      </x:c>
      <x:c r="Z2503" s="24" t="n">
        <x:f>IFERROR(G2503/K2503,0)</x:f>
        <x:v>0.3333333333333333</x:v>
      </x:c>
      <x:c r="AA2503" s="24" t="n">
        <x:f>IFERROR(F2503/H2503,0)-IFERROR(G2503/I2503,0)</x:f>
        <x:v>-0.036199095022624445</x:v>
      </x:c>
      <x:c r="AB2503" s="28" t="n">
        <x:f>J2503-K2503</x:f>
        <x:v>-1</x:v>
      </x:c>
      <x:c r="AC2503" s="32" t="n">
        <x:f>F2503-G2503</x:f>
        <x:v>0</x:v>
      </x:c>
    </x:row>
    <x:row r="2504">
      <x:c r="A2504" s="4" t="str">
        <x:v>2024-25</x:v>
      </x:c>
      <x:c r="B2504" s="20" t="n">
        <x:v>45619</x:v>
      </x:c>
      <x:c r="C2504" s="4" t="str">
        <x:v>Bournemouth</x:v>
      </x:c>
      <x:c r="D2504" s="4" t="str">
        <x:v>Brighton</x:v>
      </x:c>
      <x:c r="E2504" s="4" t="str">
        <x:v>Home</x:v>
      </x:c>
      <x:c r="F2504" s="28" t="n">
        <x:v>1</x:v>
      </x:c>
      <x:c r="G2504" s="28" t="n">
        <x:v>2</x:v>
      </x:c>
      <x:c r="H2504" s="28" t="n">
        <x:v>19</x:v>
      </x:c>
      <x:c r="I2504" s="28" t="n">
        <x:v>6</x:v>
      </x:c>
      <x:c r="J2504" s="28" t="n">
        <x:v>5</x:v>
      </x:c>
      <x:c r="K2504" s="28" t="n">
        <x:v>4</x:v>
      </x:c>
      <x:c r="L2504" s="28" t="n">
        <x:v>7</x:v>
      </x:c>
      <x:c r="M2504" s="28" t="n">
        <x:v>0</x:v>
      </x:c>
      <x:c r="N2504" s="28" t="n">
        <x:v>2</x:v>
      </x:c>
      <x:c r="O2504" s="28" t="n">
        <x:v>0</x:v>
      </x:c>
      <x:c r="P2504" s="28" t="n">
        <x:v>0</x:v>
      </x:c>
      <x:c r="Q2504" s="24" t="n">
        <x:f>IFERROR(J2504/H2504,0)</x:f>
        <x:v>0.2631578947368421</x:v>
      </x:c>
      <x:c r="R2504" s="24" t="n">
        <x:f>IFERROR(F2504/H2504,0)</x:f>
        <x:v>0.05263157894736842</x:v>
      </x:c>
      <x:c r="S2504" s="24" t="n">
        <x:f>IFERROR(F2504/J2504,0)</x:f>
        <x:v>0.2</x:v>
      </x:c>
      <x:c r="T2504" s="28" t="n">
        <x:f>H2504-I2504</x:f>
        <x:v>13</x:v>
      </x:c>
      <x:c r="U2504" s="24" t="n">
        <x:f>IFERROR(J2504/H2504,0)-IFERROR(K2504/I2504,0)</x:f>
        <x:v>-0.40350877192982454</x:v>
      </x:c>
      <x:c r="V2504" s="24" t="n">
        <x:f>IFERROR(F2504/J2504,0)-IFERROR(G2504/K2504,0)</x:f>
        <x:v>-0.3</x:v>
      </x:c>
      <x:c r="W2504" s="28" t="n">
        <x:f>L2504-M2504</x:f>
        <x:v>7</x:v>
      </x:c>
      <x:c r="X2504" s="24" t="n">
        <x:f>IFERROR(K2504/I2504,0)</x:f>
        <x:v>0.6666666666666666</x:v>
      </x:c>
      <x:c r="Y2504" s="24" t="n">
        <x:f>IFERROR(G2504/I2504,0)</x:f>
        <x:v>0.3333333333333333</x:v>
      </x:c>
      <x:c r="Z2504" s="24" t="n">
        <x:f>IFERROR(G2504/K2504,0)</x:f>
        <x:v>0.5</x:v>
      </x:c>
      <x:c r="AA2504" s="24" t="n">
        <x:f>IFERROR(F2504/H2504,0)-IFERROR(G2504/I2504,0)</x:f>
        <x:v>-0.2807017543859649</x:v>
      </x:c>
      <x:c r="AB2504" s="28" t="n">
        <x:f>J2504-K2504</x:f>
        <x:v>1</x:v>
      </x:c>
      <x:c r="AC2504" s="32" t="n">
        <x:f>F2504-G2504</x:f>
        <x:v>-1</x:v>
      </x:c>
    </x:row>
    <x:row r="2505">
      <x:c r="A2505" s="4" t="str">
        <x:v>2024-25</x:v>
      </x:c>
      <x:c r="B2505" s="20" t="n">
        <x:v>45619</x:v>
      </x:c>
      <x:c r="C2505" s="4" t="str">
        <x:v>Brentford</x:v>
      </x:c>
      <x:c r="D2505" s="4" t="str">
        <x:v>Everton</x:v>
      </x:c>
      <x:c r="E2505" s="4" t="str">
        <x:v>Away</x:v>
      </x:c>
      <x:c r="F2505" s="28" t="n">
        <x:v>0</x:v>
      </x:c>
      <x:c r="G2505" s="28" t="n">
        <x:v>0</x:v>
      </x:c>
      <x:c r="H2505" s="28" t="n">
        <x:v>9</x:v>
      </x:c>
      <x:c r="I2505" s="28" t="n">
        <x:v>27</x:v>
      </x:c>
      <x:c r="J2505" s="28" t="n">
        <x:v>2</x:v>
      </x:c>
      <x:c r="K2505" s="28" t="n">
        <x:v>5</x:v>
      </x:c>
      <x:c r="L2505" s="28" t="n">
        <x:v>4</x:v>
      </x:c>
      <x:c r="M2505" s="28" t="n">
        <x:v>10</x:v>
      </x:c>
      <x:c r="N2505" s="28" t="n">
        <x:v>0</x:v>
      </x:c>
      <x:c r="O2505" s="28" t="n">
        <x:v>1</x:v>
      </x:c>
      <x:c r="P2505" s="28" t="n">
        <x:v>1</x:v>
      </x:c>
      <x:c r="Q2505" s="24" t="n">
        <x:f>IFERROR(J2505/H2505,0)</x:f>
        <x:v>0.2222222222222222</x:v>
      </x:c>
      <x:c r="R2505" s="24" t="n">
        <x:f>IFERROR(F2505/H2505,0)</x:f>
        <x:v>0</x:v>
      </x:c>
      <x:c r="S2505" s="24" t="n">
        <x:f>IFERROR(F2505/J2505,0)</x:f>
        <x:v>0</x:v>
      </x:c>
      <x:c r="T2505" s="28" t="n">
        <x:f>H2505-I2505</x:f>
        <x:v>-18</x:v>
      </x:c>
      <x:c r="U2505" s="24" t="n">
        <x:f>IFERROR(J2505/H2505,0)-IFERROR(K2505/I2505,0)</x:f>
        <x:v>0.037037037037037035</x:v>
      </x:c>
      <x:c r="V2505" s="24" t="n">
        <x:f>IFERROR(F2505/J2505,0)-IFERROR(G2505/K2505,0)</x:f>
        <x:v>0</x:v>
      </x:c>
      <x:c r="W2505" s="28" t="n">
        <x:f>L2505-M2505</x:f>
        <x:v>-6</x:v>
      </x:c>
      <x:c r="X2505" s="24" t="n">
        <x:f>IFERROR(K2505/I2505,0)</x:f>
        <x:v>0.18518518518518517</x:v>
      </x:c>
      <x:c r="Y2505" s="24" t="n">
        <x:f>IFERROR(G2505/I2505,0)</x:f>
        <x:v>0</x:v>
      </x:c>
      <x:c r="Z2505" s="24" t="n">
        <x:f>IFERROR(G2505/K2505,0)</x:f>
        <x:v>0</x:v>
      </x:c>
      <x:c r="AA2505" s="24" t="n">
        <x:f>IFERROR(F2505/H2505,0)-IFERROR(G2505/I2505,0)</x:f>
        <x:v>0</x:v>
      </x:c>
      <x:c r="AB2505" s="28" t="n">
        <x:f>J2505-K2505</x:f>
        <x:v>-3</x:v>
      </x:c>
      <x:c r="AC2505" s="32" t="n">
        <x:f>F2505-G2505</x:f>
        <x:v>0</x:v>
      </x:c>
    </x:row>
    <x:row r="2506">
      <x:c r="A2506" s="4" t="str">
        <x:v>2024-25</x:v>
      </x:c>
      <x:c r="B2506" s="20" t="n">
        <x:v>45619</x:v>
      </x:c>
      <x:c r="C2506" s="4" t="str">
        <x:v>Brighton</x:v>
      </x:c>
      <x:c r="D2506" s="4" t="str">
        <x:v>Bournemouth</x:v>
      </x:c>
      <x:c r="E2506" s="4" t="str">
        <x:v>Away</x:v>
      </x:c>
      <x:c r="F2506" s="28" t="n">
        <x:v>2</x:v>
      </x:c>
      <x:c r="G2506" s="28" t="n">
        <x:v>1</x:v>
      </x:c>
      <x:c r="H2506" s="28" t="n">
        <x:v>6</x:v>
      </x:c>
      <x:c r="I2506" s="28" t="n">
        <x:v>19</x:v>
      </x:c>
      <x:c r="J2506" s="28" t="n">
        <x:v>4</x:v>
      </x:c>
      <x:c r="K2506" s="28" t="n">
        <x:v>5</x:v>
      </x:c>
      <x:c r="L2506" s="28" t="n">
        <x:v>0</x:v>
      </x:c>
      <x:c r="M2506" s="28" t="n">
        <x:v>7</x:v>
      </x:c>
      <x:c r="N2506" s="28" t="n">
        <x:v>2</x:v>
      </x:c>
      <x:c r="O2506" s="28" t="n">
        <x:v>1</x:v>
      </x:c>
      <x:c r="P2506" s="28" t="n">
        <x:v>3</x:v>
      </x:c>
      <x:c r="Q2506" s="24" t="n">
        <x:f>IFERROR(J2506/H2506,0)</x:f>
        <x:v>0.6666666666666666</x:v>
      </x:c>
      <x:c r="R2506" s="24" t="n">
        <x:f>IFERROR(F2506/H2506,0)</x:f>
        <x:v>0.3333333333333333</x:v>
      </x:c>
      <x:c r="S2506" s="24" t="n">
        <x:f>IFERROR(F2506/J2506,0)</x:f>
        <x:v>0.5</x:v>
      </x:c>
      <x:c r="T2506" s="28" t="n">
        <x:f>H2506-I2506</x:f>
        <x:v>-13</x:v>
      </x:c>
      <x:c r="U2506" s="24" t="n">
        <x:f>IFERROR(J2506/H2506,0)-IFERROR(K2506/I2506,0)</x:f>
        <x:v>0.40350877192982454</x:v>
      </x:c>
      <x:c r="V2506" s="24" t="n">
        <x:f>IFERROR(F2506/J2506,0)-IFERROR(G2506/K2506,0)</x:f>
        <x:v>0.3</x:v>
      </x:c>
      <x:c r="W2506" s="28" t="n">
        <x:f>L2506-M2506</x:f>
        <x:v>-7</x:v>
      </x:c>
      <x:c r="X2506" s="24" t="n">
        <x:f>IFERROR(K2506/I2506,0)</x:f>
        <x:v>0.2631578947368421</x:v>
      </x:c>
      <x:c r="Y2506" s="24" t="n">
        <x:f>IFERROR(G2506/I2506,0)</x:f>
        <x:v>0.05263157894736842</x:v>
      </x:c>
      <x:c r="Z2506" s="24" t="n">
        <x:f>IFERROR(G2506/K2506,0)</x:f>
        <x:v>0.2</x:v>
      </x:c>
      <x:c r="AA2506" s="24" t="n">
        <x:f>IFERROR(F2506/H2506,0)-IFERROR(G2506/I2506,0)</x:f>
        <x:v>0.2807017543859649</x:v>
      </x:c>
      <x:c r="AB2506" s="28" t="n">
        <x:f>J2506-K2506</x:f>
        <x:v>-1</x:v>
      </x:c>
      <x:c r="AC2506" s="32" t="n">
        <x:f>F2506-G2506</x:f>
        <x:v>1</x:v>
      </x:c>
    </x:row>
    <x:row r="2507">
      <x:c r="A2507" s="4" t="str">
        <x:v>2024-25</x:v>
      </x:c>
      <x:c r="B2507" s="20" t="n">
        <x:v>45619</x:v>
      </x:c>
      <x:c r="C2507" s="4" t="str">
        <x:v>Chelsea</x:v>
      </x:c>
      <x:c r="D2507" s="4" t="str">
        <x:v>Leicester</x:v>
      </x:c>
      <x:c r="E2507" s="4" t="str">
        <x:v>Away</x:v>
      </x:c>
      <x:c r="F2507" s="28" t="n">
        <x:v>2</x:v>
      </x:c>
      <x:c r="G2507" s="28" t="n">
        <x:v>1</x:v>
      </x:c>
      <x:c r="H2507" s="28" t="n">
        <x:v>16</x:v>
      </x:c>
      <x:c r="I2507" s="28" t="n">
        <x:v>4</x:v>
      </x:c>
      <x:c r="J2507" s="28" t="n">
        <x:v>7</x:v>
      </x:c>
      <x:c r="K2507" s="28" t="n">
        <x:v>1</x:v>
      </x:c>
      <x:c r="L2507" s="28" t="n">
        <x:v>9</x:v>
      </x:c>
      <x:c r="M2507" s="28" t="n">
        <x:v>2</x:v>
      </x:c>
      <x:c r="N2507" s="28" t="n">
        <x:v>3</x:v>
      </x:c>
      <x:c r="O2507" s="28" t="n">
        <x:v>0</x:v>
      </x:c>
      <x:c r="P2507" s="28" t="n">
        <x:v>3</x:v>
      </x:c>
      <x:c r="Q2507" s="24" t="n">
        <x:f>IFERROR(J2507/H2507,0)</x:f>
        <x:v>0.4375</x:v>
      </x:c>
      <x:c r="R2507" s="24" t="n">
        <x:f>IFERROR(F2507/H2507,0)</x:f>
        <x:v>0.125</x:v>
      </x:c>
      <x:c r="S2507" s="24" t="n">
        <x:f>IFERROR(F2507/J2507,0)</x:f>
        <x:v>0.2857142857142857</x:v>
      </x:c>
      <x:c r="T2507" s="28" t="n">
        <x:f>H2507-I2507</x:f>
        <x:v>12</x:v>
      </x:c>
      <x:c r="U2507" s="24" t="n">
        <x:f>IFERROR(J2507/H2507,0)-IFERROR(K2507/I2507,0)</x:f>
        <x:v>0.1875</x:v>
      </x:c>
      <x:c r="V2507" s="24" t="n">
        <x:f>IFERROR(F2507/J2507,0)-IFERROR(G2507/K2507,0)</x:f>
        <x:v>-0.7142857142857143</x:v>
      </x:c>
      <x:c r="W2507" s="28" t="n">
        <x:f>L2507-M2507</x:f>
        <x:v>7</x:v>
      </x:c>
      <x:c r="X2507" s="24" t="n">
        <x:f>IFERROR(K2507/I2507,0)</x:f>
        <x:v>0.25</x:v>
      </x:c>
      <x:c r="Y2507" s="24" t="n">
        <x:f>IFERROR(G2507/I2507,0)</x:f>
        <x:v>0.25</x:v>
      </x:c>
      <x:c r="Z2507" s="24" t="n">
        <x:f>IFERROR(G2507/K2507,0)</x:f>
        <x:v>1</x:v>
      </x:c>
      <x:c r="AA2507" s="24" t="n">
        <x:f>IFERROR(F2507/H2507,0)-IFERROR(G2507/I2507,0)</x:f>
        <x:v>-0.125</x:v>
      </x:c>
      <x:c r="AB2507" s="28" t="n">
        <x:f>J2507-K2507</x:f>
        <x:v>6</x:v>
      </x:c>
      <x:c r="AC2507" s="32" t="n">
        <x:f>F2507-G2507</x:f>
        <x:v>1</x:v>
      </x:c>
    </x:row>
    <x:row r="2508">
      <x:c r="A2508" s="4" t="str">
        <x:v>2024-25</x:v>
      </x:c>
      <x:c r="B2508" s="20" t="n">
        <x:v>45619</x:v>
      </x:c>
      <x:c r="C2508" s="4" t="str">
        <x:v>Crystal Palace</x:v>
      </x:c>
      <x:c r="D2508" s="4" t="str">
        <x:v>Aston Villa</x:v>
      </x:c>
      <x:c r="E2508" s="4" t="str">
        <x:v>Away</x:v>
      </x:c>
      <x:c r="F2508" s="28" t="n">
        <x:v>2</x:v>
      </x:c>
      <x:c r="G2508" s="28" t="n">
        <x:v>2</x:v>
      </x:c>
      <x:c r="H2508" s="28" t="n">
        <x:v>13</x:v>
      </x:c>
      <x:c r="I2508" s="28" t="n">
        <x:v>17</x:v>
      </x:c>
      <x:c r="J2508" s="28" t="n">
        <x:v>6</x:v>
      </x:c>
      <x:c r="K2508" s="28" t="n">
        <x:v>5</x:v>
      </x:c>
      <x:c r="L2508" s="28" t="n">
        <x:v>1</x:v>
      </x:c>
      <x:c r="M2508" s="28" t="n">
        <x:v>10</x:v>
      </x:c>
      <x:c r="N2508" s="28" t="n">
        <x:v>2</x:v>
      </x:c>
      <x:c r="O2508" s="28" t="n">
        <x:v>0</x:v>
      </x:c>
      <x:c r="P2508" s="28" t="n">
        <x:v>1</x:v>
      </x:c>
      <x:c r="Q2508" s="24" t="n">
        <x:f>IFERROR(J2508/H2508,0)</x:f>
        <x:v>0.46153846153846156</x:v>
      </x:c>
      <x:c r="R2508" s="24" t="n">
        <x:f>IFERROR(F2508/H2508,0)</x:f>
        <x:v>0.15384615384615385</x:v>
      </x:c>
      <x:c r="S2508" s="24" t="n">
        <x:f>IFERROR(F2508/J2508,0)</x:f>
        <x:v>0.3333333333333333</x:v>
      </x:c>
      <x:c r="T2508" s="28" t="n">
        <x:f>H2508-I2508</x:f>
        <x:v>-4</x:v>
      </x:c>
      <x:c r="U2508" s="24" t="n">
        <x:f>IFERROR(J2508/H2508,0)-IFERROR(K2508/I2508,0)</x:f>
        <x:v>0.16742081447963802</x:v>
      </x:c>
      <x:c r="V2508" s="24" t="n">
        <x:f>IFERROR(F2508/J2508,0)-IFERROR(G2508/K2508,0)</x:f>
        <x:v>-0.06666666666666671</x:v>
      </x:c>
      <x:c r="W2508" s="28" t="n">
        <x:f>L2508-M2508</x:f>
        <x:v>-9</x:v>
      </x:c>
      <x:c r="X2508" s="24" t="n">
        <x:f>IFERROR(K2508/I2508,0)</x:f>
        <x:v>0.29411764705882354</x:v>
      </x:c>
      <x:c r="Y2508" s="24" t="n">
        <x:f>IFERROR(G2508/I2508,0)</x:f>
        <x:v>0.11764705882352941</x:v>
      </x:c>
      <x:c r="Z2508" s="24" t="n">
        <x:f>IFERROR(G2508/K2508,0)</x:f>
        <x:v>0.4</x:v>
      </x:c>
      <x:c r="AA2508" s="24" t="n">
        <x:f>IFERROR(F2508/H2508,0)-IFERROR(G2508/I2508,0)</x:f>
        <x:v>0.036199095022624445</x:v>
      </x:c>
      <x:c r="AB2508" s="28" t="n">
        <x:f>J2508-K2508</x:f>
        <x:v>1</x:v>
      </x:c>
      <x:c r="AC2508" s="32" t="n">
        <x:f>F2508-G2508</x:f>
        <x:v>0</x:v>
      </x:c>
    </x:row>
    <x:row r="2509">
      <x:c r="A2509" s="4" t="str">
        <x:v>2024-25</x:v>
      </x:c>
      <x:c r="B2509" s="20" t="n">
        <x:v>45619</x:v>
      </x:c>
      <x:c r="C2509" s="4" t="str">
        <x:v>Everton</x:v>
      </x:c>
      <x:c r="D2509" s="4" t="str">
        <x:v>Brentford</x:v>
      </x:c>
      <x:c r="E2509" s="4" t="str">
        <x:v>Home</x:v>
      </x:c>
      <x:c r="F2509" s="28" t="n">
        <x:v>0</x:v>
      </x:c>
      <x:c r="G2509" s="28" t="n">
        <x:v>0</x:v>
      </x:c>
      <x:c r="H2509" s="28" t="n">
        <x:v>27</x:v>
      </x:c>
      <x:c r="I2509" s="28" t="n">
        <x:v>9</x:v>
      </x:c>
      <x:c r="J2509" s="28" t="n">
        <x:v>5</x:v>
      </x:c>
      <x:c r="K2509" s="28" t="n">
        <x:v>2</x:v>
      </x:c>
      <x:c r="L2509" s="28" t="n">
        <x:v>10</x:v>
      </x:c>
      <x:c r="M2509" s="28" t="n">
        <x:v>4</x:v>
      </x:c>
      <x:c r="N2509" s="28" t="n">
        <x:v>0</x:v>
      </x:c>
      <x:c r="O2509" s="28" t="n">
        <x:v>0</x:v>
      </x:c>
      <x:c r="P2509" s="28" t="n">
        <x:v>1</x:v>
      </x:c>
      <x:c r="Q2509" s="24" t="n">
        <x:f>IFERROR(J2509/H2509,0)</x:f>
        <x:v>0.18518518518518517</x:v>
      </x:c>
      <x:c r="R2509" s="24" t="n">
        <x:f>IFERROR(F2509/H2509,0)</x:f>
        <x:v>0</x:v>
      </x:c>
      <x:c r="S2509" s="24" t="n">
        <x:f>IFERROR(F2509/J2509,0)</x:f>
        <x:v>0</x:v>
      </x:c>
      <x:c r="T2509" s="28" t="n">
        <x:f>H2509-I2509</x:f>
        <x:v>18</x:v>
      </x:c>
      <x:c r="U2509" s="24" t="n">
        <x:f>IFERROR(J2509/H2509,0)-IFERROR(K2509/I2509,0)</x:f>
        <x:v>-0.037037037037037035</x:v>
      </x:c>
      <x:c r="V2509" s="24" t="n">
        <x:f>IFERROR(F2509/J2509,0)-IFERROR(G2509/K2509,0)</x:f>
        <x:v>0</x:v>
      </x:c>
      <x:c r="W2509" s="28" t="n">
        <x:f>L2509-M2509</x:f>
        <x:v>6</x:v>
      </x:c>
      <x:c r="X2509" s="24" t="n">
        <x:f>IFERROR(K2509/I2509,0)</x:f>
        <x:v>0.2222222222222222</x:v>
      </x:c>
      <x:c r="Y2509" s="24" t="n">
        <x:f>IFERROR(G2509/I2509,0)</x:f>
        <x:v>0</x:v>
      </x:c>
      <x:c r="Z2509" s="24" t="n">
        <x:f>IFERROR(G2509/K2509,0)</x:f>
        <x:v>0</x:v>
      </x:c>
      <x:c r="AA2509" s="24" t="n">
        <x:f>IFERROR(F2509/H2509,0)-IFERROR(G2509/I2509,0)</x:f>
        <x:v>0</x:v>
      </x:c>
      <x:c r="AB2509" s="28" t="n">
        <x:f>J2509-K2509</x:f>
        <x:v>3</x:v>
      </x:c>
      <x:c r="AC2509" s="32" t="n">
        <x:f>F2509-G2509</x:f>
        <x:v>0</x:v>
      </x:c>
    </x:row>
    <x:row r="2510">
      <x:c r="A2510" s="4" t="str">
        <x:v>2024-25</x:v>
      </x:c>
      <x:c r="B2510" s="20" t="n">
        <x:v>45619</x:v>
      </x:c>
      <x:c r="C2510" s="4" t="str">
        <x:v>Fulham</x:v>
      </x:c>
      <x:c r="D2510" s="4" t="str">
        <x:v>Wolves</x:v>
      </x:c>
      <x:c r="E2510" s="4" t="str">
        <x:v>Home</x:v>
      </x:c>
      <x:c r="F2510" s="28" t="n">
        <x:v>1</x:v>
      </x:c>
      <x:c r="G2510" s="28" t="n">
        <x:v>4</x:v>
      </x:c>
      <x:c r="H2510" s="28" t="n">
        <x:v>10</x:v>
      </x:c>
      <x:c r="I2510" s="28" t="n">
        <x:v>10</x:v>
      </x:c>
      <x:c r="J2510" s="28" t="n">
        <x:v>3</x:v>
      </x:c>
      <x:c r="K2510" s="28" t="n">
        <x:v>5</x:v>
      </x:c>
      <x:c r="L2510" s="28" t="n">
        <x:v>7</x:v>
      </x:c>
      <x:c r="M2510" s="28" t="n">
        <x:v>2</x:v>
      </x:c>
      <x:c r="N2510" s="28" t="n">
        <x:v>3</x:v>
      </x:c>
      <x:c r="O2510" s="28" t="n">
        <x:v>0</x:v>
      </x:c>
      <x:c r="P2510" s="28" t="n">
        <x:v>0</x:v>
      </x:c>
      <x:c r="Q2510" s="24" t="n">
        <x:f>IFERROR(J2510/H2510,0)</x:f>
        <x:v>0.3</x:v>
      </x:c>
      <x:c r="R2510" s="24" t="n">
        <x:f>IFERROR(F2510/H2510,0)</x:f>
        <x:v>0.1</x:v>
      </x:c>
      <x:c r="S2510" s="24" t="n">
        <x:f>IFERROR(F2510/J2510,0)</x:f>
        <x:v>0.3333333333333333</x:v>
      </x:c>
      <x:c r="T2510" s="28" t="n">
        <x:f>H2510-I2510</x:f>
        <x:v>0</x:v>
      </x:c>
      <x:c r="U2510" s="24" t="n">
        <x:f>IFERROR(J2510/H2510,0)-IFERROR(K2510/I2510,0)</x:f>
        <x:v>-0.2</x:v>
      </x:c>
      <x:c r="V2510" s="24" t="n">
        <x:f>IFERROR(F2510/J2510,0)-IFERROR(G2510/K2510,0)</x:f>
        <x:v>-0.46666666666666673</x:v>
      </x:c>
      <x:c r="W2510" s="28" t="n">
        <x:f>L2510-M2510</x:f>
        <x:v>5</x:v>
      </x:c>
      <x:c r="X2510" s="24" t="n">
        <x:f>IFERROR(K2510/I2510,0)</x:f>
        <x:v>0.5</x:v>
      </x:c>
      <x:c r="Y2510" s="24" t="n">
        <x:f>IFERROR(G2510/I2510,0)</x:f>
        <x:v>0.4</x:v>
      </x:c>
      <x:c r="Z2510" s="24" t="n">
        <x:f>IFERROR(G2510/K2510,0)</x:f>
        <x:v>0.8</x:v>
      </x:c>
      <x:c r="AA2510" s="24" t="n">
        <x:f>IFERROR(F2510/H2510,0)-IFERROR(G2510/I2510,0)</x:f>
        <x:v>-0.30000000000000004</x:v>
      </x:c>
      <x:c r="AB2510" s="28" t="n">
        <x:f>J2510-K2510</x:f>
        <x:v>-2</x:v>
      </x:c>
      <x:c r="AC2510" s="32" t="n">
        <x:f>F2510-G2510</x:f>
        <x:v>-3</x:v>
      </x:c>
    </x:row>
    <x:row r="2511">
      <x:c r="A2511" s="4" t="str">
        <x:v>2024-25</x:v>
      </x:c>
      <x:c r="B2511" s="20" t="n">
        <x:v>45619</x:v>
      </x:c>
      <x:c r="C2511" s="4" t="str">
        <x:v>Leicester</x:v>
      </x:c>
      <x:c r="D2511" s="4" t="str">
        <x:v>Chelsea</x:v>
      </x:c>
      <x:c r="E2511" s="4" t="str">
        <x:v>Home</x:v>
      </x:c>
      <x:c r="F2511" s="28" t="n">
        <x:v>1</x:v>
      </x:c>
      <x:c r="G2511" s="28" t="n">
        <x:v>2</x:v>
      </x:c>
      <x:c r="H2511" s="28" t="n">
        <x:v>4</x:v>
      </x:c>
      <x:c r="I2511" s="28" t="n">
        <x:v>16</x:v>
      </x:c>
      <x:c r="J2511" s="28" t="n">
        <x:v>1</x:v>
      </x:c>
      <x:c r="K2511" s="28" t="n">
        <x:v>7</x:v>
      </x:c>
      <x:c r="L2511" s="28" t="n">
        <x:v>2</x:v>
      </x:c>
      <x:c r="M2511" s="28" t="n">
        <x:v>9</x:v>
      </x:c>
      <x:c r="N2511" s="28" t="n">
        <x:v>4</x:v>
      </x:c>
      <x:c r="O2511" s="28" t="n">
        <x:v>0</x:v>
      </x:c>
      <x:c r="P2511" s="28" t="n">
        <x:v>0</x:v>
      </x:c>
      <x:c r="Q2511" s="24" t="n">
        <x:f>IFERROR(J2511/H2511,0)</x:f>
        <x:v>0.25</x:v>
      </x:c>
      <x:c r="R2511" s="24" t="n">
        <x:f>IFERROR(F2511/H2511,0)</x:f>
        <x:v>0.25</x:v>
      </x:c>
      <x:c r="S2511" s="24" t="n">
        <x:f>IFERROR(F2511/J2511,0)</x:f>
        <x:v>1</x:v>
      </x:c>
      <x:c r="T2511" s="28" t="n">
        <x:f>H2511-I2511</x:f>
        <x:v>-12</x:v>
      </x:c>
      <x:c r="U2511" s="24" t="n">
        <x:f>IFERROR(J2511/H2511,0)-IFERROR(K2511/I2511,0)</x:f>
        <x:v>-0.1875</x:v>
      </x:c>
      <x:c r="V2511" s="24" t="n">
        <x:f>IFERROR(F2511/J2511,0)-IFERROR(G2511/K2511,0)</x:f>
        <x:v>0.7142857142857143</x:v>
      </x:c>
      <x:c r="W2511" s="28" t="n">
        <x:f>L2511-M2511</x:f>
        <x:v>-7</x:v>
      </x:c>
      <x:c r="X2511" s="24" t="n">
        <x:f>IFERROR(K2511/I2511,0)</x:f>
        <x:v>0.4375</x:v>
      </x:c>
      <x:c r="Y2511" s="24" t="n">
        <x:f>IFERROR(G2511/I2511,0)</x:f>
        <x:v>0.125</x:v>
      </x:c>
      <x:c r="Z2511" s="24" t="n">
        <x:f>IFERROR(G2511/K2511,0)</x:f>
        <x:v>0.2857142857142857</x:v>
      </x:c>
      <x:c r="AA2511" s="24" t="n">
        <x:f>IFERROR(F2511/H2511,0)-IFERROR(G2511/I2511,0)</x:f>
        <x:v>0.125</x:v>
      </x:c>
      <x:c r="AB2511" s="28" t="n">
        <x:f>J2511-K2511</x:f>
        <x:v>-6</x:v>
      </x:c>
      <x:c r="AC2511" s="32" t="n">
        <x:f>F2511-G2511</x:f>
        <x:v>-1</x:v>
      </x:c>
    </x:row>
    <x:row r="2512">
      <x:c r="A2512" s="4" t="str">
        <x:v>2024-25</x:v>
      </x:c>
      <x:c r="B2512" s="20" t="n">
        <x:v>45619</x:v>
      </x:c>
      <x:c r="C2512" s="4" t="str">
        <x:v>Man City</x:v>
      </x:c>
      <x:c r="D2512" s="4" t="str">
        <x:v>Tottenham</x:v>
      </x:c>
      <x:c r="E2512" s="4" t="str">
        <x:v>Home</x:v>
      </x:c>
      <x:c r="F2512" s="28" t="n">
        <x:v>0</x:v>
      </x:c>
      <x:c r="G2512" s="28" t="n">
        <x:v>4</x:v>
      </x:c>
      <x:c r="H2512" s="28" t="n">
        <x:v>23</x:v>
      </x:c>
      <x:c r="I2512" s="28" t="n">
        <x:v>9</x:v>
      </x:c>
      <x:c r="J2512" s="28" t="n">
        <x:v>5</x:v>
      </x:c>
      <x:c r="K2512" s="28" t="n">
        <x:v>7</x:v>
      </x:c>
      <x:c r="L2512" s="28" t="n">
        <x:v>9</x:v>
      </x:c>
      <x:c r="M2512" s="28" t="n">
        <x:v>3</x:v>
      </x:c>
      <x:c r="N2512" s="28" t="n">
        <x:v>4</x:v>
      </x:c>
      <x:c r="O2512" s="28" t="n">
        <x:v>0</x:v>
      </x:c>
      <x:c r="P2512" s="28" t="n">
        <x:v>0</x:v>
      </x:c>
      <x:c r="Q2512" s="24" t="n">
        <x:f>IFERROR(J2512/H2512,0)</x:f>
        <x:v>0.21739130434782608</x:v>
      </x:c>
      <x:c r="R2512" s="24" t="n">
        <x:f>IFERROR(F2512/H2512,0)</x:f>
        <x:v>0</x:v>
      </x:c>
      <x:c r="S2512" s="24" t="n">
        <x:f>IFERROR(F2512/J2512,0)</x:f>
        <x:v>0</x:v>
      </x:c>
      <x:c r="T2512" s="28" t="n">
        <x:f>H2512-I2512</x:f>
        <x:v>14</x:v>
      </x:c>
      <x:c r="U2512" s="24" t="n">
        <x:f>IFERROR(J2512/H2512,0)-IFERROR(K2512/I2512,0)</x:f>
        <x:v>-0.5603864734299517</x:v>
      </x:c>
      <x:c r="V2512" s="24" t="n">
        <x:f>IFERROR(F2512/J2512,0)-IFERROR(G2512/K2512,0)</x:f>
        <x:v>-0.5714285714285714</x:v>
      </x:c>
      <x:c r="W2512" s="28" t="n">
        <x:f>L2512-M2512</x:f>
        <x:v>6</x:v>
      </x:c>
      <x:c r="X2512" s="24" t="n">
        <x:f>IFERROR(K2512/I2512,0)</x:f>
        <x:v>0.7777777777777778</x:v>
      </x:c>
      <x:c r="Y2512" s="24" t="n">
        <x:f>IFERROR(G2512/I2512,0)</x:f>
        <x:v>0.4444444444444444</x:v>
      </x:c>
      <x:c r="Z2512" s="24" t="n">
        <x:f>IFERROR(G2512/K2512,0)</x:f>
        <x:v>0.5714285714285714</x:v>
      </x:c>
      <x:c r="AA2512" s="24" t="n">
        <x:f>IFERROR(F2512/H2512,0)-IFERROR(G2512/I2512,0)</x:f>
        <x:v>-0.4444444444444444</x:v>
      </x:c>
      <x:c r="AB2512" s="28" t="n">
        <x:f>J2512-K2512</x:f>
        <x:v>-2</x:v>
      </x:c>
      <x:c r="AC2512" s="32" t="n">
        <x:f>F2512-G2512</x:f>
        <x:v>-4</x:v>
      </x:c>
    </x:row>
    <x:row r="2513">
      <x:c r="A2513" s="4" t="str">
        <x:v>2024-25</x:v>
      </x:c>
      <x:c r="B2513" s="20" t="n">
        <x:v>45619</x:v>
      </x:c>
      <x:c r="C2513" s="4" t="str">
        <x:v>Nott'm Forest</x:v>
      </x:c>
      <x:c r="D2513" s="4" t="str">
        <x:v>Arsenal</x:v>
      </x:c>
      <x:c r="E2513" s="4" t="str">
        <x:v>Away</x:v>
      </x:c>
      <x:c r="F2513" s="28" t="n">
        <x:v>0</x:v>
      </x:c>
      <x:c r="G2513" s="28" t="n">
        <x:v>3</x:v>
      </x:c>
      <x:c r="H2513" s="28" t="n">
        <x:v>7</x:v>
      </x:c>
      <x:c r="I2513" s="28" t="n">
        <x:v>19</x:v>
      </x:c>
      <x:c r="J2513" s="28" t="n">
        <x:v>0</x:v>
      </x:c>
      <x:c r="K2513" s="28" t="n">
        <x:v>7</x:v>
      </x:c>
      <x:c r="L2513" s="28" t="n">
        <x:v>1</x:v>
      </x:c>
      <x:c r="M2513" s="28" t="n">
        <x:v>8</x:v>
      </x:c>
      <x:c r="N2513" s="28" t="n">
        <x:v>2</x:v>
      </x:c>
      <x:c r="O2513" s="28" t="n">
        <x:v>0</x:v>
      </x:c>
      <x:c r="P2513" s="28" t="n">
        <x:v>0</x:v>
      </x:c>
      <x:c r="Q2513" s="24" t="n">
        <x:f>IFERROR(J2513/H2513,0)</x:f>
        <x:v>0</x:v>
      </x:c>
      <x:c r="R2513" s="24" t="n">
        <x:f>IFERROR(F2513/H2513,0)</x:f>
        <x:v>0</x:v>
      </x:c>
      <x:c r="S2513" s="24" t="n">
        <x:f>IFERROR(F2513/J2513,0)</x:f>
        <x:v>0</x:v>
      </x:c>
      <x:c r="T2513" s="28" t="n">
        <x:f>H2513-I2513</x:f>
        <x:v>-12</x:v>
      </x:c>
      <x:c r="U2513" s="24" t="n">
        <x:f>IFERROR(J2513/H2513,0)-IFERROR(K2513/I2513,0)</x:f>
        <x:v>-0.3684210526315789</x:v>
      </x:c>
      <x:c r="V2513" s="24" t="n">
        <x:f>IFERROR(F2513/J2513,0)-IFERROR(G2513/K2513,0)</x:f>
        <x:v>-0.42857142857142855</x:v>
      </x:c>
      <x:c r="W2513" s="28" t="n">
        <x:f>L2513-M2513</x:f>
        <x:v>-7</x:v>
      </x:c>
      <x:c r="X2513" s="24" t="n">
        <x:f>IFERROR(K2513/I2513,0)</x:f>
        <x:v>0.3684210526315789</x:v>
      </x:c>
      <x:c r="Y2513" s="24" t="n">
        <x:f>IFERROR(G2513/I2513,0)</x:f>
        <x:v>0.15789473684210525</x:v>
      </x:c>
      <x:c r="Z2513" s="24" t="n">
        <x:f>IFERROR(G2513/K2513,0)</x:f>
        <x:v>0.42857142857142855</x:v>
      </x:c>
      <x:c r="AA2513" s="24" t="n">
        <x:f>IFERROR(F2513/H2513,0)-IFERROR(G2513/I2513,0)</x:f>
        <x:v>-0.15789473684210525</x:v>
      </x:c>
      <x:c r="AB2513" s="28" t="n">
        <x:f>J2513-K2513</x:f>
        <x:v>-7</x:v>
      </x:c>
      <x:c r="AC2513" s="32" t="n">
        <x:f>F2513-G2513</x:f>
        <x:v>-3</x:v>
      </x:c>
    </x:row>
    <x:row r="2514">
      <x:c r="A2514" s="4" t="str">
        <x:v>2024-25</x:v>
      </x:c>
      <x:c r="B2514" s="20" t="n">
        <x:v>45619</x:v>
      </x:c>
      <x:c r="C2514" s="4" t="str">
        <x:v>Tottenham</x:v>
      </x:c>
      <x:c r="D2514" s="4" t="str">
        <x:v>Man City</x:v>
      </x:c>
      <x:c r="E2514" s="4" t="str">
        <x:v>Away</x:v>
      </x:c>
      <x:c r="F2514" s="28" t="n">
        <x:v>4</x:v>
      </x:c>
      <x:c r="G2514" s="28" t="n">
        <x:v>0</x:v>
      </x:c>
      <x:c r="H2514" s="28" t="n">
        <x:v>9</x:v>
      </x:c>
      <x:c r="I2514" s="28" t="n">
        <x:v>23</x:v>
      </x:c>
      <x:c r="J2514" s="28" t="n">
        <x:v>7</x:v>
      </x:c>
      <x:c r="K2514" s="28" t="n">
        <x:v>5</x:v>
      </x:c>
      <x:c r="L2514" s="28" t="n">
        <x:v>3</x:v>
      </x:c>
      <x:c r="M2514" s="28" t="n">
        <x:v>9</x:v>
      </x:c>
      <x:c r="N2514" s="28" t="n">
        <x:v>2</x:v>
      </x:c>
      <x:c r="O2514" s="28" t="n">
        <x:v>0</x:v>
      </x:c>
      <x:c r="P2514" s="28" t="n">
        <x:v>3</x:v>
      </x:c>
      <x:c r="Q2514" s="24" t="n">
        <x:f>IFERROR(J2514/H2514,0)</x:f>
        <x:v>0.7777777777777778</x:v>
      </x:c>
      <x:c r="R2514" s="24" t="n">
        <x:f>IFERROR(F2514/H2514,0)</x:f>
        <x:v>0.4444444444444444</x:v>
      </x:c>
      <x:c r="S2514" s="24" t="n">
        <x:f>IFERROR(F2514/J2514,0)</x:f>
        <x:v>0.5714285714285714</x:v>
      </x:c>
      <x:c r="T2514" s="28" t="n">
        <x:f>H2514-I2514</x:f>
        <x:v>-14</x:v>
      </x:c>
      <x:c r="U2514" s="24" t="n">
        <x:f>IFERROR(J2514/H2514,0)-IFERROR(K2514/I2514,0)</x:f>
        <x:v>0.5603864734299517</x:v>
      </x:c>
      <x:c r="V2514" s="24" t="n">
        <x:f>IFERROR(F2514/J2514,0)-IFERROR(G2514/K2514,0)</x:f>
        <x:v>0.5714285714285714</x:v>
      </x:c>
      <x:c r="W2514" s="28" t="n">
        <x:f>L2514-M2514</x:f>
        <x:v>-6</x:v>
      </x:c>
      <x:c r="X2514" s="24" t="n">
        <x:f>IFERROR(K2514/I2514,0)</x:f>
        <x:v>0.21739130434782608</x:v>
      </x:c>
      <x:c r="Y2514" s="24" t="n">
        <x:f>IFERROR(G2514/I2514,0)</x:f>
        <x:v>0</x:v>
      </x:c>
      <x:c r="Z2514" s="24" t="n">
        <x:f>IFERROR(G2514/K2514,0)</x:f>
        <x:v>0</x:v>
      </x:c>
      <x:c r="AA2514" s="24" t="n">
        <x:f>IFERROR(F2514/H2514,0)-IFERROR(G2514/I2514,0)</x:f>
        <x:v>0.4444444444444444</x:v>
      </x:c>
      <x:c r="AB2514" s="28" t="n">
        <x:f>J2514-K2514</x:f>
        <x:v>2</x:v>
      </x:c>
      <x:c r="AC2514" s="32" t="n">
        <x:f>F2514-G2514</x:f>
        <x:v>4</x:v>
      </x:c>
    </x:row>
    <x:row r="2515">
      <x:c r="A2515" s="4" t="str">
        <x:v>2024-25</x:v>
      </x:c>
      <x:c r="B2515" s="20" t="n">
        <x:v>45619</x:v>
      </x:c>
      <x:c r="C2515" s="4" t="str">
        <x:v>Wolves</x:v>
      </x:c>
      <x:c r="D2515" s="4" t="str">
        <x:v>Fulham</x:v>
      </x:c>
      <x:c r="E2515" s="4" t="str">
        <x:v>Away</x:v>
      </x:c>
      <x:c r="F2515" s="28" t="n">
        <x:v>4</x:v>
      </x:c>
      <x:c r="G2515" s="28" t="n">
        <x:v>1</x:v>
      </x:c>
      <x:c r="H2515" s="28" t="n">
        <x:v>10</x:v>
      </x:c>
      <x:c r="I2515" s="28" t="n">
        <x:v>10</x:v>
      </x:c>
      <x:c r="J2515" s="28" t="n">
        <x:v>5</x:v>
      </x:c>
      <x:c r="K2515" s="28" t="n">
        <x:v>3</x:v>
      </x:c>
      <x:c r="L2515" s="28" t="n">
        <x:v>2</x:v>
      </x:c>
      <x:c r="M2515" s="28" t="n">
        <x:v>7</x:v>
      </x:c>
      <x:c r="N2515" s="28" t="n">
        <x:v>0</x:v>
      </x:c>
      <x:c r="O2515" s="28" t="n">
        <x:v>0</x:v>
      </x:c>
      <x:c r="P2515" s="28" t="n">
        <x:v>3</x:v>
      </x:c>
      <x:c r="Q2515" s="24" t="n">
        <x:f>IFERROR(J2515/H2515,0)</x:f>
        <x:v>0.5</x:v>
      </x:c>
      <x:c r="R2515" s="24" t="n">
        <x:f>IFERROR(F2515/H2515,0)</x:f>
        <x:v>0.4</x:v>
      </x:c>
      <x:c r="S2515" s="24" t="n">
        <x:f>IFERROR(F2515/J2515,0)</x:f>
        <x:v>0.8</x:v>
      </x:c>
      <x:c r="T2515" s="28" t="n">
        <x:f>H2515-I2515</x:f>
        <x:v>0</x:v>
      </x:c>
      <x:c r="U2515" s="24" t="n">
        <x:f>IFERROR(J2515/H2515,0)-IFERROR(K2515/I2515,0)</x:f>
        <x:v>0.2</x:v>
      </x:c>
      <x:c r="V2515" s="24" t="n">
        <x:f>IFERROR(F2515/J2515,0)-IFERROR(G2515/K2515,0)</x:f>
        <x:v>0.46666666666666673</x:v>
      </x:c>
      <x:c r="W2515" s="28" t="n">
        <x:f>L2515-M2515</x:f>
        <x:v>-5</x:v>
      </x:c>
      <x:c r="X2515" s="24" t="n">
        <x:f>IFERROR(K2515/I2515,0)</x:f>
        <x:v>0.3</x:v>
      </x:c>
      <x:c r="Y2515" s="24" t="n">
        <x:f>IFERROR(G2515/I2515,0)</x:f>
        <x:v>0.1</x:v>
      </x:c>
      <x:c r="Z2515" s="24" t="n">
        <x:f>IFERROR(G2515/K2515,0)</x:f>
        <x:v>0.3333333333333333</x:v>
      </x:c>
      <x:c r="AA2515" s="24" t="n">
        <x:f>IFERROR(F2515/H2515,0)-IFERROR(G2515/I2515,0)</x:f>
        <x:v>0.30000000000000004</x:v>
      </x:c>
      <x:c r="AB2515" s="28" t="n">
        <x:f>J2515-K2515</x:f>
        <x:v>2</x:v>
      </x:c>
      <x:c r="AC2515" s="32" t="n">
        <x:f>F2515-G2515</x:f>
        <x:v>3</x:v>
      </x:c>
    </x:row>
    <x:row r="2516">
      <x:c r="A2516" s="4" t="str">
        <x:v>2024-25</x:v>
      </x:c>
      <x:c r="B2516" s="20" t="n">
        <x:v>45620</x:v>
      </x:c>
      <x:c r="C2516" s="4" t="str">
        <x:v>Ipswich</x:v>
      </x:c>
      <x:c r="D2516" s="4" t="str">
        <x:v>Man United</x:v>
      </x:c>
      <x:c r="E2516" s="4" t="str">
        <x:v>Home</x:v>
      </x:c>
      <x:c r="F2516" s="28" t="n">
        <x:v>1</x:v>
      </x:c>
      <x:c r="G2516" s="28" t="n">
        <x:v>1</x:v>
      </x:c>
      <x:c r="H2516" s="28" t="n">
        <x:v>11</x:v>
      </x:c>
      <x:c r="I2516" s="28" t="n">
        <x:v>11</x:v>
      </x:c>
      <x:c r="J2516" s="28" t="n">
        <x:v>6</x:v>
      </x:c>
      <x:c r="K2516" s="28" t="n">
        <x:v>4</x:v>
      </x:c>
      <x:c r="L2516" s="28" t="n">
        <x:v>4</x:v>
      </x:c>
      <x:c r="M2516" s="28" t="n">
        <x:v>3</x:v>
      </x:c>
      <x:c r="N2516" s="28" t="n">
        <x:v>0</x:v>
      </x:c>
      <x:c r="O2516" s="28" t="n">
        <x:v>0</x:v>
      </x:c>
      <x:c r="P2516" s="28" t="n">
        <x:v>1</x:v>
      </x:c>
      <x:c r="Q2516" s="24" t="n">
        <x:f>IFERROR(J2516/H2516,0)</x:f>
        <x:v>0.5454545454545454</x:v>
      </x:c>
      <x:c r="R2516" s="24" t="n">
        <x:f>IFERROR(F2516/H2516,0)</x:f>
        <x:v>0.09090909090909091</x:v>
      </x:c>
      <x:c r="S2516" s="24" t="n">
        <x:f>IFERROR(F2516/J2516,0)</x:f>
        <x:v>0.16666666666666666</x:v>
      </x:c>
      <x:c r="T2516" s="28" t="n">
        <x:f>H2516-I2516</x:f>
        <x:v>0</x:v>
      </x:c>
      <x:c r="U2516" s="24" t="n">
        <x:f>IFERROR(J2516/H2516,0)-IFERROR(K2516/I2516,0)</x:f>
        <x:v>0.18181818181818177</x:v>
      </x:c>
      <x:c r="V2516" s="24" t="n">
        <x:f>IFERROR(F2516/J2516,0)-IFERROR(G2516/K2516,0)</x:f>
        <x:v>-0.08333333333333334</x:v>
      </x:c>
      <x:c r="W2516" s="28" t="n">
        <x:f>L2516-M2516</x:f>
        <x:v>1</x:v>
      </x:c>
      <x:c r="X2516" s="24" t="n">
        <x:f>IFERROR(K2516/I2516,0)</x:f>
        <x:v>0.36363636363636365</x:v>
      </x:c>
      <x:c r="Y2516" s="24" t="n">
        <x:f>IFERROR(G2516/I2516,0)</x:f>
        <x:v>0.09090909090909091</x:v>
      </x:c>
      <x:c r="Z2516" s="24" t="n">
        <x:f>IFERROR(G2516/K2516,0)</x:f>
        <x:v>0.25</x:v>
      </x:c>
      <x:c r="AA2516" s="24" t="n">
        <x:f>IFERROR(F2516/H2516,0)-IFERROR(G2516/I2516,0)</x:f>
        <x:v>0</x:v>
      </x:c>
      <x:c r="AB2516" s="28" t="n">
        <x:f>J2516-K2516</x:f>
        <x:v>2</x:v>
      </x:c>
      <x:c r="AC2516" s="32" t="n">
        <x:f>F2516-G2516</x:f>
        <x:v>0</x:v>
      </x:c>
    </x:row>
    <x:row r="2517">
      <x:c r="A2517" s="4" t="str">
        <x:v>2024-25</x:v>
      </x:c>
      <x:c r="B2517" s="20" t="n">
        <x:v>45620</x:v>
      </x:c>
      <x:c r="C2517" s="4" t="str">
        <x:v>Liverpool</x:v>
      </x:c>
      <x:c r="D2517" s="4" t="str">
        <x:v>Southampton</x:v>
      </x:c>
      <x:c r="E2517" s="4" t="str">
        <x:v>Away</x:v>
      </x:c>
      <x:c r="F2517" s="28" t="n">
        <x:v>3</x:v>
      </x:c>
      <x:c r="G2517" s="28" t="n">
        <x:v>2</x:v>
      </x:c>
      <x:c r="H2517" s="28" t="n">
        <x:v>27</x:v>
      </x:c>
      <x:c r="I2517" s="28" t="n">
        <x:v>7</x:v>
      </x:c>
      <x:c r="J2517" s="28" t="n">
        <x:v>11</x:v>
      </x:c>
      <x:c r="K2517" s="28" t="n">
        <x:v>5</x:v>
      </x:c>
      <x:c r="L2517" s="28" t="n">
        <x:v>10</x:v>
      </x:c>
      <x:c r="M2517" s="28" t="n">
        <x:v>3</x:v>
      </x:c>
      <x:c r="N2517" s="28" t="n">
        <x:v>4</x:v>
      </x:c>
      <x:c r="O2517" s="28" t="n">
        <x:v>0</x:v>
      </x:c>
      <x:c r="P2517" s="28" t="n">
        <x:v>3</x:v>
      </x:c>
      <x:c r="Q2517" s="24" t="n">
        <x:f>IFERROR(J2517/H2517,0)</x:f>
        <x:v>0.4074074074074074</x:v>
      </x:c>
      <x:c r="R2517" s="24" t="n">
        <x:f>IFERROR(F2517/H2517,0)</x:f>
        <x:v>0.1111111111111111</x:v>
      </x:c>
      <x:c r="S2517" s="24" t="n">
        <x:f>IFERROR(F2517/J2517,0)</x:f>
        <x:v>0.2727272727272727</x:v>
      </x:c>
      <x:c r="T2517" s="28" t="n">
        <x:f>H2517-I2517</x:f>
        <x:v>20</x:v>
      </x:c>
      <x:c r="U2517" s="24" t="n">
        <x:f>IFERROR(J2517/H2517,0)-IFERROR(K2517/I2517,0)</x:f>
        <x:v>-0.3068783068783069</x:v>
      </x:c>
      <x:c r="V2517" s="24" t="n">
        <x:f>IFERROR(F2517/J2517,0)-IFERROR(G2517/K2517,0)</x:f>
        <x:v>-0.12727272727272732</x:v>
      </x:c>
      <x:c r="W2517" s="28" t="n">
        <x:f>L2517-M2517</x:f>
        <x:v>7</x:v>
      </x:c>
      <x:c r="X2517" s="24" t="n">
        <x:f>IFERROR(K2517/I2517,0)</x:f>
        <x:v>0.7142857142857143</x:v>
      </x:c>
      <x:c r="Y2517" s="24" t="n">
        <x:f>IFERROR(G2517/I2517,0)</x:f>
        <x:v>0.2857142857142857</x:v>
      </x:c>
      <x:c r="Z2517" s="24" t="n">
        <x:f>IFERROR(G2517/K2517,0)</x:f>
        <x:v>0.4</x:v>
      </x:c>
      <x:c r="AA2517" s="24" t="n">
        <x:f>IFERROR(F2517/H2517,0)-IFERROR(G2517/I2517,0)</x:f>
        <x:v>-0.1746031746031746</x:v>
      </x:c>
      <x:c r="AB2517" s="28" t="n">
        <x:f>J2517-K2517</x:f>
        <x:v>6</x:v>
      </x:c>
      <x:c r="AC2517" s="32" t="n">
        <x:f>F2517-G2517</x:f>
        <x:v>1</x:v>
      </x:c>
    </x:row>
    <x:row r="2518">
      <x:c r="A2518" s="4" t="str">
        <x:v>2024-25</x:v>
      </x:c>
      <x:c r="B2518" s="20" t="n">
        <x:v>45620</x:v>
      </x:c>
      <x:c r="C2518" s="4" t="str">
        <x:v>Man United</x:v>
      </x:c>
      <x:c r="D2518" s="4" t="str">
        <x:v>Ipswich</x:v>
      </x:c>
      <x:c r="E2518" s="4" t="str">
        <x:v>Away</x:v>
      </x:c>
      <x:c r="F2518" s="28" t="n">
        <x:v>1</x:v>
      </x:c>
      <x:c r="G2518" s="28" t="n">
        <x:v>1</x:v>
      </x:c>
      <x:c r="H2518" s="28" t="n">
        <x:v>11</x:v>
      </x:c>
      <x:c r="I2518" s="28" t="n">
        <x:v>11</x:v>
      </x:c>
      <x:c r="J2518" s="28" t="n">
        <x:v>4</x:v>
      </x:c>
      <x:c r="K2518" s="28" t="n">
        <x:v>6</x:v>
      </x:c>
      <x:c r="L2518" s="28" t="n">
        <x:v>3</x:v>
      </x:c>
      <x:c r="M2518" s="28" t="n">
        <x:v>4</x:v>
      </x:c>
      <x:c r="N2518" s="28" t="n">
        <x:v>0</x:v>
      </x:c>
      <x:c r="O2518" s="28" t="n">
        <x:v>0</x:v>
      </x:c>
      <x:c r="P2518" s="28" t="n">
        <x:v>1</x:v>
      </x:c>
      <x:c r="Q2518" s="24" t="n">
        <x:f>IFERROR(J2518/H2518,0)</x:f>
        <x:v>0.36363636363636365</x:v>
      </x:c>
      <x:c r="R2518" s="24" t="n">
        <x:f>IFERROR(F2518/H2518,0)</x:f>
        <x:v>0.09090909090909091</x:v>
      </x:c>
      <x:c r="S2518" s="24" t="n">
        <x:f>IFERROR(F2518/J2518,0)</x:f>
        <x:v>0.25</x:v>
      </x:c>
      <x:c r="T2518" s="28" t="n">
        <x:f>H2518-I2518</x:f>
        <x:v>0</x:v>
      </x:c>
      <x:c r="U2518" s="24" t="n">
        <x:f>IFERROR(J2518/H2518,0)-IFERROR(K2518/I2518,0)</x:f>
        <x:v>-0.18181818181818177</x:v>
      </x:c>
      <x:c r="V2518" s="24" t="n">
        <x:f>IFERROR(F2518/J2518,0)-IFERROR(G2518/K2518,0)</x:f>
        <x:v>0.08333333333333334</x:v>
      </x:c>
      <x:c r="W2518" s="28" t="n">
        <x:f>L2518-M2518</x:f>
        <x:v>-1</x:v>
      </x:c>
      <x:c r="X2518" s="24" t="n">
        <x:f>IFERROR(K2518/I2518,0)</x:f>
        <x:v>0.5454545454545454</x:v>
      </x:c>
      <x:c r="Y2518" s="24" t="n">
        <x:f>IFERROR(G2518/I2518,0)</x:f>
        <x:v>0.09090909090909091</x:v>
      </x:c>
      <x:c r="Z2518" s="24" t="n">
        <x:f>IFERROR(G2518/K2518,0)</x:f>
        <x:v>0.16666666666666666</x:v>
      </x:c>
      <x:c r="AA2518" s="24" t="n">
        <x:f>IFERROR(F2518/H2518,0)-IFERROR(G2518/I2518,0)</x:f>
        <x:v>0</x:v>
      </x:c>
      <x:c r="AB2518" s="28" t="n">
        <x:f>J2518-K2518</x:f>
        <x:v>-2</x:v>
      </x:c>
      <x:c r="AC2518" s="32" t="n">
        <x:f>F2518-G2518</x:f>
        <x:v>0</x:v>
      </x:c>
    </x:row>
    <x:row r="2519">
      <x:c r="A2519" s="4" t="str">
        <x:v>2024-25</x:v>
      </x:c>
      <x:c r="B2519" s="20" t="n">
        <x:v>45620</x:v>
      </x:c>
      <x:c r="C2519" s="4" t="str">
        <x:v>Southampton</x:v>
      </x:c>
      <x:c r="D2519" s="4" t="str">
        <x:v>Liverpool</x:v>
      </x:c>
      <x:c r="E2519" s="4" t="str">
        <x:v>Home</x:v>
      </x:c>
      <x:c r="F2519" s="28" t="n">
        <x:v>2</x:v>
      </x:c>
      <x:c r="G2519" s="28" t="n">
        <x:v>3</x:v>
      </x:c>
      <x:c r="H2519" s="28" t="n">
        <x:v>7</x:v>
      </x:c>
      <x:c r="I2519" s="28" t="n">
        <x:v>27</x:v>
      </x:c>
      <x:c r="J2519" s="28" t="n">
        <x:v>5</x:v>
      </x:c>
      <x:c r="K2519" s="28" t="n">
        <x:v>11</x:v>
      </x:c>
      <x:c r="L2519" s="28" t="n">
        <x:v>3</x:v>
      </x:c>
      <x:c r="M2519" s="28" t="n">
        <x:v>10</x:v>
      </x:c>
      <x:c r="N2519" s="28" t="n">
        <x:v>3</x:v>
      </x:c>
      <x:c r="O2519" s="28" t="n">
        <x:v>0</x:v>
      </x:c>
      <x:c r="P2519" s="28" t="n">
        <x:v>0</x:v>
      </x:c>
      <x:c r="Q2519" s="24" t="n">
        <x:f>IFERROR(J2519/H2519,0)</x:f>
        <x:v>0.7142857142857143</x:v>
      </x:c>
      <x:c r="R2519" s="24" t="n">
        <x:f>IFERROR(F2519/H2519,0)</x:f>
        <x:v>0.2857142857142857</x:v>
      </x:c>
      <x:c r="S2519" s="24" t="n">
        <x:f>IFERROR(F2519/J2519,0)</x:f>
        <x:v>0.4</x:v>
      </x:c>
      <x:c r="T2519" s="28" t="n">
        <x:f>H2519-I2519</x:f>
        <x:v>-20</x:v>
      </x:c>
      <x:c r="U2519" s="24" t="n">
        <x:f>IFERROR(J2519/H2519,0)-IFERROR(K2519/I2519,0)</x:f>
        <x:v>0.3068783068783069</x:v>
      </x:c>
      <x:c r="V2519" s="24" t="n">
        <x:f>IFERROR(F2519/J2519,0)-IFERROR(G2519/K2519,0)</x:f>
        <x:v>0.12727272727272732</x:v>
      </x:c>
      <x:c r="W2519" s="28" t="n">
        <x:f>L2519-M2519</x:f>
        <x:v>-7</x:v>
      </x:c>
      <x:c r="X2519" s="24" t="n">
        <x:f>IFERROR(K2519/I2519,0)</x:f>
        <x:v>0.4074074074074074</x:v>
      </x:c>
      <x:c r="Y2519" s="24" t="n">
        <x:f>IFERROR(G2519/I2519,0)</x:f>
        <x:v>0.1111111111111111</x:v>
      </x:c>
      <x:c r="Z2519" s="24" t="n">
        <x:f>IFERROR(G2519/K2519,0)</x:f>
        <x:v>0.2727272727272727</x:v>
      </x:c>
      <x:c r="AA2519" s="24" t="n">
        <x:f>IFERROR(F2519/H2519,0)-IFERROR(G2519/I2519,0)</x:f>
        <x:v>0.1746031746031746</x:v>
      </x:c>
      <x:c r="AB2519" s="28" t="n">
        <x:f>J2519-K2519</x:f>
        <x:v>-6</x:v>
      </x:c>
      <x:c r="AC2519" s="32" t="n">
        <x:f>F2519-G2519</x:f>
        <x:v>-1</x:v>
      </x:c>
    </x:row>
    <x:row r="2520">
      <x:c r="A2520" s="4" t="str">
        <x:v>2024-25</x:v>
      </x:c>
      <x:c r="B2520" s="20" t="n">
        <x:v>45621</x:v>
      </x:c>
      <x:c r="C2520" s="4" t="str">
        <x:v>Newcastle</x:v>
      </x:c>
      <x:c r="D2520" s="4" t="str">
        <x:v>West Ham</x:v>
      </x:c>
      <x:c r="E2520" s="4" t="str">
        <x:v>Home</x:v>
      </x:c>
      <x:c r="F2520" s="28" t="n">
        <x:v>0</x:v>
      </x:c>
      <x:c r="G2520" s="28" t="n">
        <x:v>2</x:v>
      </x:c>
      <x:c r="H2520" s="28" t="n">
        <x:v>18</x:v>
      </x:c>
      <x:c r="I2520" s="28" t="n">
        <x:v>15</x:v>
      </x:c>
      <x:c r="J2520" s="28" t="n">
        <x:v>2</x:v>
      </x:c>
      <x:c r="K2520" s="28" t="n">
        <x:v>6</x:v>
      </x:c>
      <x:c r="L2520" s="28" t="n">
        <x:v>8</x:v>
      </x:c>
      <x:c r="M2520" s="28" t="n">
        <x:v>3</x:v>
      </x:c>
      <x:c r="N2520" s="28" t="n">
        <x:v>1</x:v>
      </x:c>
      <x:c r="O2520" s="28" t="n">
        <x:v>0</x:v>
      </x:c>
      <x:c r="P2520" s="28" t="n">
        <x:v>0</x:v>
      </x:c>
      <x:c r="Q2520" s="24" t="n">
        <x:f>IFERROR(J2520/H2520,0)</x:f>
        <x:v>0.1111111111111111</x:v>
      </x:c>
      <x:c r="R2520" s="24" t="n">
        <x:f>IFERROR(F2520/H2520,0)</x:f>
        <x:v>0</x:v>
      </x:c>
      <x:c r="S2520" s="24" t="n">
        <x:f>IFERROR(F2520/J2520,0)</x:f>
        <x:v>0</x:v>
      </x:c>
      <x:c r="T2520" s="28" t="n">
        <x:f>H2520-I2520</x:f>
        <x:v>3</x:v>
      </x:c>
      <x:c r="U2520" s="24" t="n">
        <x:f>IFERROR(J2520/H2520,0)-IFERROR(K2520/I2520,0)</x:f>
        <x:v>-0.2888888888888889</x:v>
      </x:c>
      <x:c r="V2520" s="24" t="n">
        <x:f>IFERROR(F2520/J2520,0)-IFERROR(G2520/K2520,0)</x:f>
        <x:v>-0.3333333333333333</x:v>
      </x:c>
      <x:c r="W2520" s="28" t="n">
        <x:f>L2520-M2520</x:f>
        <x:v>5</x:v>
      </x:c>
      <x:c r="X2520" s="24" t="n">
        <x:f>IFERROR(K2520/I2520,0)</x:f>
        <x:v>0.4</x:v>
      </x:c>
      <x:c r="Y2520" s="24" t="n">
        <x:f>IFERROR(G2520/I2520,0)</x:f>
        <x:v>0.13333333333333333</x:v>
      </x:c>
      <x:c r="Z2520" s="24" t="n">
        <x:f>IFERROR(G2520/K2520,0)</x:f>
        <x:v>0.3333333333333333</x:v>
      </x:c>
      <x:c r="AA2520" s="24" t="n">
        <x:f>IFERROR(F2520/H2520,0)-IFERROR(G2520/I2520,0)</x:f>
        <x:v>-0.13333333333333333</x:v>
      </x:c>
      <x:c r="AB2520" s="28" t="n">
        <x:f>J2520-K2520</x:f>
        <x:v>-4</x:v>
      </x:c>
      <x:c r="AC2520" s="32" t="n">
        <x:f>F2520-G2520</x:f>
        <x:v>-2</x:v>
      </x:c>
    </x:row>
    <x:row r="2521">
      <x:c r="A2521" s="4" t="str">
        <x:v>2024-25</x:v>
      </x:c>
      <x:c r="B2521" s="20" t="n">
        <x:v>45621</x:v>
      </x:c>
      <x:c r="C2521" s="4" t="str">
        <x:v>West Ham</x:v>
      </x:c>
      <x:c r="D2521" s="4" t="str">
        <x:v>Newcastle</x:v>
      </x:c>
      <x:c r="E2521" s="4" t="str">
        <x:v>Away</x:v>
      </x:c>
      <x:c r="F2521" s="28" t="n">
        <x:v>2</x:v>
      </x:c>
      <x:c r="G2521" s="28" t="n">
        <x:v>0</x:v>
      </x:c>
      <x:c r="H2521" s="28" t="n">
        <x:v>15</x:v>
      </x:c>
      <x:c r="I2521" s="28" t="n">
        <x:v>18</x:v>
      </x:c>
      <x:c r="J2521" s="28" t="n">
        <x:v>6</x:v>
      </x:c>
      <x:c r="K2521" s="28" t="n">
        <x:v>2</x:v>
      </x:c>
      <x:c r="L2521" s="28" t="n">
        <x:v>3</x:v>
      </x:c>
      <x:c r="M2521" s="28" t="n">
        <x:v>8</x:v>
      </x:c>
      <x:c r="N2521" s="28" t="n">
        <x:v>0</x:v>
      </x:c>
      <x:c r="O2521" s="28" t="n">
        <x:v>0</x:v>
      </x:c>
      <x:c r="P2521" s="28" t="n">
        <x:v>3</x:v>
      </x:c>
      <x:c r="Q2521" s="24" t="n">
        <x:f>IFERROR(J2521/H2521,0)</x:f>
        <x:v>0.4</x:v>
      </x:c>
      <x:c r="R2521" s="24" t="n">
        <x:f>IFERROR(F2521/H2521,0)</x:f>
        <x:v>0.13333333333333333</x:v>
      </x:c>
      <x:c r="S2521" s="24" t="n">
        <x:f>IFERROR(F2521/J2521,0)</x:f>
        <x:v>0.3333333333333333</x:v>
      </x:c>
      <x:c r="T2521" s="28" t="n">
        <x:f>H2521-I2521</x:f>
        <x:v>-3</x:v>
      </x:c>
      <x:c r="U2521" s="24" t="n">
        <x:f>IFERROR(J2521/H2521,0)-IFERROR(K2521/I2521,0)</x:f>
        <x:v>0.2888888888888889</x:v>
      </x:c>
      <x:c r="V2521" s="24" t="n">
        <x:f>IFERROR(F2521/J2521,0)-IFERROR(G2521/K2521,0)</x:f>
        <x:v>0.3333333333333333</x:v>
      </x:c>
      <x:c r="W2521" s="28" t="n">
        <x:f>L2521-M2521</x:f>
        <x:v>-5</x:v>
      </x:c>
      <x:c r="X2521" s="24" t="n">
        <x:f>IFERROR(K2521/I2521,0)</x:f>
        <x:v>0.1111111111111111</x:v>
      </x:c>
      <x:c r="Y2521" s="24" t="n">
        <x:f>IFERROR(G2521/I2521,0)</x:f>
        <x:v>0</x:v>
      </x:c>
      <x:c r="Z2521" s="24" t="n">
        <x:f>IFERROR(G2521/K2521,0)</x:f>
        <x:v>0</x:v>
      </x:c>
      <x:c r="AA2521" s="24" t="n">
        <x:f>IFERROR(F2521/H2521,0)-IFERROR(G2521/I2521,0)</x:f>
        <x:v>0.13333333333333333</x:v>
      </x:c>
      <x:c r="AB2521" s="28" t="n">
        <x:f>J2521-K2521</x:f>
        <x:v>4</x:v>
      </x:c>
      <x:c r="AC2521" s="32" t="n">
        <x:f>F2521-G2521</x:f>
        <x:v>2</x:v>
      </x:c>
    </x:row>
    <x:row r="2522">
      <x:c r="A2522" s="4" t="str">
        <x:v>2024-25</x:v>
      </x:c>
      <x:c r="B2522" s="20" t="n">
        <x:v>45625</x:v>
      </x:c>
      <x:c r="C2522" s="4" t="str">
        <x:v>Brighton</x:v>
      </x:c>
      <x:c r="D2522" s="4" t="str">
        <x:v>Southampton</x:v>
      </x:c>
      <x:c r="E2522" s="4" t="str">
        <x:v>Home</x:v>
      </x:c>
      <x:c r="F2522" s="28" t="n">
        <x:v>1</x:v>
      </x:c>
      <x:c r="G2522" s="28" t="n">
        <x:v>1</x:v>
      </x:c>
      <x:c r="H2522" s="28" t="n">
        <x:v>22</x:v>
      </x:c>
      <x:c r="I2522" s="28" t="n">
        <x:v>10</x:v>
      </x:c>
      <x:c r="J2522" s="28" t="n">
        <x:v>5</x:v>
      </x:c>
      <x:c r="K2522" s="28" t="n">
        <x:v>2</x:v>
      </x:c>
      <x:c r="L2522" s="28" t="n">
        <x:v>7</x:v>
      </x:c>
      <x:c r="M2522" s="28" t="n">
        <x:v>6</x:v>
      </x:c>
      <x:c r="N2522" s="28" t="n">
        <x:v>2</x:v>
      </x:c>
      <x:c r="O2522" s="28" t="n">
        <x:v>0</x:v>
      </x:c>
      <x:c r="P2522" s="28" t="n">
        <x:v>1</x:v>
      </x:c>
      <x:c r="Q2522" s="24" t="n">
        <x:f>IFERROR(J2522/H2522,0)</x:f>
        <x:v>0.22727272727272727</x:v>
      </x:c>
      <x:c r="R2522" s="24" t="n">
        <x:f>IFERROR(F2522/H2522,0)</x:f>
        <x:v>0.045454545454545456</x:v>
      </x:c>
      <x:c r="S2522" s="24" t="n">
        <x:f>IFERROR(F2522/J2522,0)</x:f>
        <x:v>0.2</x:v>
      </x:c>
      <x:c r="T2522" s="28" t="n">
        <x:f>H2522-I2522</x:f>
        <x:v>12</x:v>
      </x:c>
      <x:c r="U2522" s="24" t="n">
        <x:f>IFERROR(J2522/H2522,0)-IFERROR(K2522/I2522,0)</x:f>
        <x:v>0.027272727272727254</x:v>
      </x:c>
      <x:c r="V2522" s="24" t="n">
        <x:f>IFERROR(F2522/J2522,0)-IFERROR(G2522/K2522,0)</x:f>
        <x:v>-0.3</x:v>
      </x:c>
      <x:c r="W2522" s="28" t="n">
        <x:f>L2522-M2522</x:f>
        <x:v>1</x:v>
      </x:c>
      <x:c r="X2522" s="24" t="n">
        <x:f>IFERROR(K2522/I2522,0)</x:f>
        <x:v>0.2</x:v>
      </x:c>
      <x:c r="Y2522" s="24" t="n">
        <x:f>IFERROR(G2522/I2522,0)</x:f>
        <x:v>0.1</x:v>
      </x:c>
      <x:c r="Z2522" s="24" t="n">
        <x:f>IFERROR(G2522/K2522,0)</x:f>
        <x:v>0.5</x:v>
      </x:c>
      <x:c r="AA2522" s="24" t="n">
        <x:f>IFERROR(F2522/H2522,0)-IFERROR(G2522/I2522,0)</x:f>
        <x:v>-0.05454545454545455</x:v>
      </x:c>
      <x:c r="AB2522" s="28" t="n">
        <x:f>J2522-K2522</x:f>
        <x:v>3</x:v>
      </x:c>
      <x:c r="AC2522" s="32" t="n">
        <x:f>F2522-G2522</x:f>
        <x:v>0</x:v>
      </x:c>
    </x:row>
    <x:row r="2523">
      <x:c r="A2523" s="4" t="str">
        <x:v>2024-25</x:v>
      </x:c>
      <x:c r="B2523" s="20" t="n">
        <x:v>45625</x:v>
      </x:c>
      <x:c r="C2523" s="4" t="str">
        <x:v>Southampton</x:v>
      </x:c>
      <x:c r="D2523" s="4" t="str">
        <x:v>Brighton</x:v>
      </x:c>
      <x:c r="E2523" s="4" t="str">
        <x:v>Away</x:v>
      </x:c>
      <x:c r="F2523" s="28" t="n">
        <x:v>1</x:v>
      </x:c>
      <x:c r="G2523" s="28" t="n">
        <x:v>1</x:v>
      </x:c>
      <x:c r="H2523" s="28" t="n">
        <x:v>10</x:v>
      </x:c>
      <x:c r="I2523" s="28" t="n">
        <x:v>22</x:v>
      </x:c>
      <x:c r="J2523" s="28" t="n">
        <x:v>2</x:v>
      </x:c>
      <x:c r="K2523" s="28" t="n">
        <x:v>5</x:v>
      </x:c>
      <x:c r="L2523" s="28" t="n">
        <x:v>6</x:v>
      </x:c>
      <x:c r="M2523" s="28" t="n">
        <x:v>7</x:v>
      </x:c>
      <x:c r="N2523" s="28" t="n">
        <x:v>4</x:v>
      </x:c>
      <x:c r="O2523" s="28" t="n">
        <x:v>0</x:v>
      </x:c>
      <x:c r="P2523" s="28" t="n">
        <x:v>1</x:v>
      </x:c>
      <x:c r="Q2523" s="24" t="n">
        <x:f>IFERROR(J2523/H2523,0)</x:f>
        <x:v>0.2</x:v>
      </x:c>
      <x:c r="R2523" s="24" t="n">
        <x:f>IFERROR(F2523/H2523,0)</x:f>
        <x:v>0.1</x:v>
      </x:c>
      <x:c r="S2523" s="24" t="n">
        <x:f>IFERROR(F2523/J2523,0)</x:f>
        <x:v>0.5</x:v>
      </x:c>
      <x:c r="T2523" s="28" t="n">
        <x:f>H2523-I2523</x:f>
        <x:v>-12</x:v>
      </x:c>
      <x:c r="U2523" s="24" t="n">
        <x:f>IFERROR(J2523/H2523,0)-IFERROR(K2523/I2523,0)</x:f>
        <x:v>-0.027272727272727254</x:v>
      </x:c>
      <x:c r="V2523" s="24" t="n">
        <x:f>IFERROR(F2523/J2523,0)-IFERROR(G2523/K2523,0)</x:f>
        <x:v>0.3</x:v>
      </x:c>
      <x:c r="W2523" s="28" t="n">
        <x:f>L2523-M2523</x:f>
        <x:v>-1</x:v>
      </x:c>
      <x:c r="X2523" s="24" t="n">
        <x:f>IFERROR(K2523/I2523,0)</x:f>
        <x:v>0.22727272727272727</x:v>
      </x:c>
      <x:c r="Y2523" s="24" t="n">
        <x:f>IFERROR(G2523/I2523,0)</x:f>
        <x:v>0.045454545454545456</x:v>
      </x:c>
      <x:c r="Z2523" s="24" t="n">
        <x:f>IFERROR(G2523/K2523,0)</x:f>
        <x:v>0.2</x:v>
      </x:c>
      <x:c r="AA2523" s="24" t="n">
        <x:f>IFERROR(F2523/H2523,0)-IFERROR(G2523/I2523,0)</x:f>
        <x:v>0.05454545454545455</x:v>
      </x:c>
      <x:c r="AB2523" s="28" t="n">
        <x:f>J2523-K2523</x:f>
        <x:v>-3</x:v>
      </x:c>
      <x:c r="AC2523" s="32" t="n">
        <x:f>F2523-G2523</x:f>
        <x:v>0</x:v>
      </x:c>
    </x:row>
    <x:row r="2524">
      <x:c r="A2524" s="4" t="str">
        <x:v>2024-25</x:v>
      </x:c>
      <x:c r="B2524" s="20" t="n">
        <x:v>45626</x:v>
      </x:c>
      <x:c r="C2524" s="4" t="str">
        <x:v>Arsenal</x:v>
      </x:c>
      <x:c r="D2524" s="4" t="str">
        <x:v>West Ham</x:v>
      </x:c>
      <x:c r="E2524" s="4" t="str">
        <x:v>Away</x:v>
      </x:c>
      <x:c r="F2524" s="28" t="n">
        <x:v>5</x:v>
      </x:c>
      <x:c r="G2524" s="28" t="n">
        <x:v>2</x:v>
      </x:c>
      <x:c r="H2524" s="28" t="n">
        <x:v>16</x:v>
      </x:c>
      <x:c r="I2524" s="28" t="n">
        <x:v>12</x:v>
      </x:c>
      <x:c r="J2524" s="28" t="n">
        <x:v>7</x:v>
      </x:c>
      <x:c r="K2524" s="28" t="n">
        <x:v>5</x:v>
      </x:c>
      <x:c r="L2524" s="28" t="n">
        <x:v>10</x:v>
      </x:c>
      <x:c r="M2524" s="28" t="n">
        <x:v>2</x:v>
      </x:c>
      <x:c r="N2524" s="28" t="n">
        <x:v>1</x:v>
      </x:c>
      <x:c r="O2524" s="28" t="n">
        <x:v>0</x:v>
      </x:c>
      <x:c r="P2524" s="28" t="n">
        <x:v>3</x:v>
      </x:c>
      <x:c r="Q2524" s="24" t="n">
        <x:f>IFERROR(J2524/H2524,0)</x:f>
        <x:v>0.4375</x:v>
      </x:c>
      <x:c r="R2524" s="24" t="n">
        <x:f>IFERROR(F2524/H2524,0)</x:f>
        <x:v>0.3125</x:v>
      </x:c>
      <x:c r="S2524" s="24" t="n">
        <x:f>IFERROR(F2524/J2524,0)</x:f>
        <x:v>0.7142857142857143</x:v>
      </x:c>
      <x:c r="T2524" s="28" t="n">
        <x:f>H2524-I2524</x:f>
        <x:v>4</x:v>
      </x:c>
      <x:c r="U2524" s="24" t="n">
        <x:f>IFERROR(J2524/H2524,0)-IFERROR(K2524/I2524,0)</x:f>
        <x:v>0.020833333333333315</x:v>
      </x:c>
      <x:c r="V2524" s="24" t="n">
        <x:f>IFERROR(F2524/J2524,0)-IFERROR(G2524/K2524,0)</x:f>
        <x:v>0.3142857142857143</x:v>
      </x:c>
      <x:c r="W2524" s="28" t="n">
        <x:f>L2524-M2524</x:f>
        <x:v>8</x:v>
      </x:c>
      <x:c r="X2524" s="24" t="n">
        <x:f>IFERROR(K2524/I2524,0)</x:f>
        <x:v>0.4166666666666667</x:v>
      </x:c>
      <x:c r="Y2524" s="24" t="n">
        <x:f>IFERROR(G2524/I2524,0)</x:f>
        <x:v>0.16666666666666666</x:v>
      </x:c>
      <x:c r="Z2524" s="24" t="n">
        <x:f>IFERROR(G2524/K2524,0)</x:f>
        <x:v>0.4</x:v>
      </x:c>
      <x:c r="AA2524" s="24" t="n">
        <x:f>IFERROR(F2524/H2524,0)-IFERROR(G2524/I2524,0)</x:f>
        <x:v>0.14583333333333334</x:v>
      </x:c>
      <x:c r="AB2524" s="28" t="n">
        <x:f>J2524-K2524</x:f>
        <x:v>2</x:v>
      </x:c>
      <x:c r="AC2524" s="32" t="n">
        <x:f>F2524-G2524</x:f>
        <x:v>3</x:v>
      </x:c>
    </x:row>
    <x:row r="2525">
      <x:c r="A2525" s="4" t="str">
        <x:v>2024-25</x:v>
      </x:c>
      <x:c r="B2525" s="20" t="n">
        <x:v>45626</x:v>
      </x:c>
      <x:c r="C2525" s="4" t="str">
        <x:v>Bournemouth</x:v>
      </x:c>
      <x:c r="D2525" s="4" t="str">
        <x:v>Wolves</x:v>
      </x:c>
      <x:c r="E2525" s="4" t="str">
        <x:v>Away</x:v>
      </x:c>
      <x:c r="F2525" s="28" t="n">
        <x:v>4</x:v>
      </x:c>
      <x:c r="G2525" s="28" t="n">
        <x:v>2</x:v>
      </x:c>
      <x:c r="H2525" s="28" t="n">
        <x:v>12</x:v>
      </x:c>
      <x:c r="I2525" s="28" t="n">
        <x:v>10</x:v>
      </x:c>
      <x:c r="J2525" s="28" t="n">
        <x:v>8</x:v>
      </x:c>
      <x:c r="K2525" s="28" t="n">
        <x:v>3</x:v>
      </x:c>
      <x:c r="L2525" s="28" t="n">
        <x:v>4</x:v>
      </x:c>
      <x:c r="M2525" s="28" t="n">
        <x:v>3</x:v>
      </x:c>
      <x:c r="N2525" s="28" t="n">
        <x:v>1</x:v>
      </x:c>
      <x:c r="O2525" s="28" t="n">
        <x:v>0</x:v>
      </x:c>
      <x:c r="P2525" s="28" t="n">
        <x:v>3</x:v>
      </x:c>
      <x:c r="Q2525" s="24" t="n">
        <x:f>IFERROR(J2525/H2525,0)</x:f>
        <x:v>0.6666666666666666</x:v>
      </x:c>
      <x:c r="R2525" s="24" t="n">
        <x:f>IFERROR(F2525/H2525,0)</x:f>
        <x:v>0.3333333333333333</x:v>
      </x:c>
      <x:c r="S2525" s="24" t="n">
        <x:f>IFERROR(F2525/J2525,0)</x:f>
        <x:v>0.5</x:v>
      </x:c>
      <x:c r="T2525" s="28" t="n">
        <x:f>H2525-I2525</x:f>
        <x:v>2</x:v>
      </x:c>
      <x:c r="U2525" s="24" t="n">
        <x:f>IFERROR(J2525/H2525,0)-IFERROR(K2525/I2525,0)</x:f>
        <x:v>0.36666666666666664</x:v>
      </x:c>
      <x:c r="V2525" s="24" t="n">
        <x:f>IFERROR(F2525/J2525,0)-IFERROR(G2525/K2525,0)</x:f>
        <x:v>-0.16666666666666663</x:v>
      </x:c>
      <x:c r="W2525" s="28" t="n">
        <x:f>L2525-M2525</x:f>
        <x:v>1</x:v>
      </x:c>
      <x:c r="X2525" s="24" t="n">
        <x:f>IFERROR(K2525/I2525,0)</x:f>
        <x:v>0.3</x:v>
      </x:c>
      <x:c r="Y2525" s="24" t="n">
        <x:f>IFERROR(G2525/I2525,0)</x:f>
        <x:v>0.2</x:v>
      </x:c>
      <x:c r="Z2525" s="24" t="n">
        <x:f>IFERROR(G2525/K2525,0)</x:f>
        <x:v>0.6666666666666666</x:v>
      </x:c>
      <x:c r="AA2525" s="24" t="n">
        <x:f>IFERROR(F2525/H2525,0)-IFERROR(G2525/I2525,0)</x:f>
        <x:v>0.1333333333333333</x:v>
      </x:c>
      <x:c r="AB2525" s="28" t="n">
        <x:f>J2525-K2525</x:f>
        <x:v>5</x:v>
      </x:c>
      <x:c r="AC2525" s="32" t="n">
        <x:f>F2525-G2525</x:f>
        <x:v>2</x:v>
      </x:c>
    </x:row>
    <x:row r="2526">
      <x:c r="A2526" s="4" t="str">
        <x:v>2024-25</x:v>
      </x:c>
      <x:c r="B2526" s="20" t="n">
        <x:v>45626</x:v>
      </x:c>
      <x:c r="C2526" s="4" t="str">
        <x:v>Brentford</x:v>
      </x:c>
      <x:c r="D2526" s="4" t="str">
        <x:v>Leicester</x:v>
      </x:c>
      <x:c r="E2526" s="4" t="str">
        <x:v>Home</x:v>
      </x:c>
      <x:c r="F2526" s="28" t="n">
        <x:v>4</x:v>
      </x:c>
      <x:c r="G2526" s="28" t="n">
        <x:v>1</x:v>
      </x:c>
      <x:c r="H2526" s="28" t="n">
        <x:v>13</x:v>
      </x:c>
      <x:c r="I2526" s="28" t="n">
        <x:v>7</x:v>
      </x:c>
      <x:c r="J2526" s="28" t="n">
        <x:v>6</x:v>
      </x:c>
      <x:c r="K2526" s="28" t="n">
        <x:v>3</x:v>
      </x:c>
      <x:c r="L2526" s="28" t="n">
        <x:v>5</x:v>
      </x:c>
      <x:c r="M2526" s="28" t="n">
        <x:v>4</x:v>
      </x:c>
      <x:c r="N2526" s="28" t="n">
        <x:v>1</x:v>
      </x:c>
      <x:c r="O2526" s="28" t="n">
        <x:v>0</x:v>
      </x:c>
      <x:c r="P2526" s="28" t="n">
        <x:v>3</x:v>
      </x:c>
      <x:c r="Q2526" s="24" t="n">
        <x:f>IFERROR(J2526/H2526,0)</x:f>
        <x:v>0.46153846153846156</x:v>
      </x:c>
      <x:c r="R2526" s="24" t="n">
        <x:f>IFERROR(F2526/H2526,0)</x:f>
        <x:v>0.3076923076923077</x:v>
      </x:c>
      <x:c r="S2526" s="24" t="n">
        <x:f>IFERROR(F2526/J2526,0)</x:f>
        <x:v>0.6666666666666666</x:v>
      </x:c>
      <x:c r="T2526" s="28" t="n">
        <x:f>H2526-I2526</x:f>
        <x:v>6</x:v>
      </x:c>
      <x:c r="U2526" s="24" t="n">
        <x:f>IFERROR(J2526/H2526,0)-IFERROR(K2526/I2526,0)</x:f>
        <x:v>0.032967032967033016</x:v>
      </x:c>
      <x:c r="V2526" s="24" t="n">
        <x:f>IFERROR(F2526/J2526,0)-IFERROR(G2526/K2526,0)</x:f>
        <x:v>0.3333333333333333</x:v>
      </x:c>
      <x:c r="W2526" s="28" t="n">
        <x:f>L2526-M2526</x:f>
        <x:v>1</x:v>
      </x:c>
      <x:c r="X2526" s="24" t="n">
        <x:f>IFERROR(K2526/I2526,0)</x:f>
        <x:v>0.42857142857142855</x:v>
      </x:c>
      <x:c r="Y2526" s="24" t="n">
        <x:f>IFERROR(G2526/I2526,0)</x:f>
        <x:v>0.14285714285714285</x:v>
      </x:c>
      <x:c r="Z2526" s="24" t="n">
        <x:f>IFERROR(G2526/K2526,0)</x:f>
        <x:v>0.3333333333333333</x:v>
      </x:c>
      <x:c r="AA2526" s="24" t="n">
        <x:f>IFERROR(F2526/H2526,0)-IFERROR(G2526/I2526,0)</x:f>
        <x:v>0.16483516483516486</x:v>
      </x:c>
      <x:c r="AB2526" s="28" t="n">
        <x:f>J2526-K2526</x:f>
        <x:v>3</x:v>
      </x:c>
      <x:c r="AC2526" s="32" t="n">
        <x:f>F2526-G2526</x:f>
        <x:v>3</x:v>
      </x:c>
    </x:row>
    <x:row r="2527">
      <x:c r="A2527" s="4" t="str">
        <x:v>2024-25</x:v>
      </x:c>
      <x:c r="B2527" s="20" t="n">
        <x:v>45626</x:v>
      </x:c>
      <x:c r="C2527" s="4" t="str">
        <x:v>Crystal Palace</x:v>
      </x:c>
      <x:c r="D2527" s="4" t="str">
        <x:v>Newcastle</x:v>
      </x:c>
      <x:c r="E2527" s="4" t="str">
        <x:v>Home</x:v>
      </x:c>
      <x:c r="F2527" s="28" t="n">
        <x:v>1</x:v>
      </x:c>
      <x:c r="G2527" s="28" t="n">
        <x:v>1</x:v>
      </x:c>
      <x:c r="H2527" s="28" t="n">
        <x:v>16</x:v>
      </x:c>
      <x:c r="I2527" s="28" t="n">
        <x:v>1</x:v>
      </x:c>
      <x:c r="J2527" s="28" t="n">
        <x:v>4</x:v>
      </x:c>
      <x:c r="K2527" s="28" t="n">
        <x:v>0</x:v>
      </x:c>
      <x:c r="L2527" s="28" t="n">
        <x:v>8</x:v>
      </x:c>
      <x:c r="M2527" s="28" t="n">
        <x:v>9</x:v>
      </x:c>
      <x:c r="N2527" s="28" t="n">
        <x:v>3</x:v>
      </x:c>
      <x:c r="O2527" s="28" t="n">
        <x:v>0</x:v>
      </x:c>
      <x:c r="P2527" s="28" t="n">
        <x:v>1</x:v>
      </x:c>
      <x:c r="Q2527" s="24" t="n">
        <x:f>IFERROR(J2527/H2527,0)</x:f>
        <x:v>0.25</x:v>
      </x:c>
      <x:c r="R2527" s="24" t="n">
        <x:f>IFERROR(F2527/H2527,0)</x:f>
        <x:v>0.0625</x:v>
      </x:c>
      <x:c r="S2527" s="24" t="n">
        <x:f>IFERROR(F2527/J2527,0)</x:f>
        <x:v>0.25</x:v>
      </x:c>
      <x:c r="T2527" s="28" t="n">
        <x:f>H2527-I2527</x:f>
        <x:v>15</x:v>
      </x:c>
      <x:c r="U2527" s="24" t="n">
        <x:f>IFERROR(J2527/H2527,0)-IFERROR(K2527/I2527,0)</x:f>
        <x:v>0.25</x:v>
      </x:c>
      <x:c r="V2527" s="24" t="n">
        <x:f>IFERROR(F2527/J2527,0)-IFERROR(G2527/K2527,0)</x:f>
        <x:v>0.25</x:v>
      </x:c>
      <x:c r="W2527" s="28" t="n">
        <x:f>L2527-M2527</x:f>
        <x:v>-1</x:v>
      </x:c>
      <x:c r="X2527" s="24" t="n">
        <x:f>IFERROR(K2527/I2527,0)</x:f>
        <x:v>0</x:v>
      </x:c>
      <x:c r="Y2527" s="24" t="n">
        <x:f>IFERROR(G2527/I2527,0)</x:f>
        <x:v>1</x:v>
      </x:c>
      <x:c r="Z2527" s="24" t="n">
        <x:f>IFERROR(G2527/K2527,0)</x:f>
        <x:v>0</x:v>
      </x:c>
      <x:c r="AA2527" s="24" t="n">
        <x:f>IFERROR(F2527/H2527,0)-IFERROR(G2527/I2527,0)</x:f>
        <x:v>-0.9375</x:v>
      </x:c>
      <x:c r="AB2527" s="28" t="n">
        <x:f>J2527-K2527</x:f>
        <x:v>4</x:v>
      </x:c>
      <x:c r="AC2527" s="32" t="n">
        <x:f>F2527-G2527</x:f>
        <x:v>0</x:v>
      </x:c>
    </x:row>
    <x:row r="2528">
      <x:c r="A2528" s="4" t="str">
        <x:v>2024-25</x:v>
      </x:c>
      <x:c r="B2528" s="20" t="n">
        <x:v>45626</x:v>
      </x:c>
      <x:c r="C2528" s="4" t="str">
        <x:v>Ipswich</x:v>
      </x:c>
      <x:c r="D2528" s="4" t="str">
        <x:v>Nott'm Forest</x:v>
      </x:c>
      <x:c r="E2528" s="4" t="str">
        <x:v>Away</x:v>
      </x:c>
      <x:c r="F2528" s="28" t="n">
        <x:v>0</x:v>
      </x:c>
      <x:c r="G2528" s="28" t="n">
        <x:v>1</x:v>
      </x:c>
      <x:c r="H2528" s="28" t="n">
        <x:v>7</x:v>
      </x:c>
      <x:c r="I2528" s="28" t="n">
        <x:v>12</x:v>
      </x:c>
      <x:c r="J2528" s="28" t="n">
        <x:v>3</x:v>
      </x:c>
      <x:c r="K2528" s="28" t="n">
        <x:v>5</x:v>
      </x:c>
      <x:c r="L2528" s="28" t="n">
        <x:v>7</x:v>
      </x:c>
      <x:c r="M2528" s="28" t="n">
        <x:v>8</x:v>
      </x:c>
      <x:c r="N2528" s="28" t="n">
        <x:v>3</x:v>
      </x:c>
      <x:c r="O2528" s="28" t="n">
        <x:v>0</x:v>
      </x:c>
      <x:c r="P2528" s="28" t="n">
        <x:v>0</x:v>
      </x:c>
      <x:c r="Q2528" s="24" t="n">
        <x:f>IFERROR(J2528/H2528,0)</x:f>
        <x:v>0.42857142857142855</x:v>
      </x:c>
      <x:c r="R2528" s="24" t="n">
        <x:f>IFERROR(F2528/H2528,0)</x:f>
        <x:v>0</x:v>
      </x:c>
      <x:c r="S2528" s="24" t="n">
        <x:f>IFERROR(F2528/J2528,0)</x:f>
        <x:v>0</x:v>
      </x:c>
      <x:c r="T2528" s="28" t="n">
        <x:f>H2528-I2528</x:f>
        <x:v>-5</x:v>
      </x:c>
      <x:c r="U2528" s="24" t="n">
        <x:f>IFERROR(J2528/H2528,0)-IFERROR(K2528/I2528,0)</x:f>
        <x:v>0.011904761904761862</x:v>
      </x:c>
      <x:c r="V2528" s="24" t="n">
        <x:f>IFERROR(F2528/J2528,0)-IFERROR(G2528/K2528,0)</x:f>
        <x:v>-0.2</x:v>
      </x:c>
      <x:c r="W2528" s="28" t="n">
        <x:f>L2528-M2528</x:f>
        <x:v>-1</x:v>
      </x:c>
      <x:c r="X2528" s="24" t="n">
        <x:f>IFERROR(K2528/I2528,0)</x:f>
        <x:v>0.4166666666666667</x:v>
      </x:c>
      <x:c r="Y2528" s="24" t="n">
        <x:f>IFERROR(G2528/I2528,0)</x:f>
        <x:v>0.08333333333333333</x:v>
      </x:c>
      <x:c r="Z2528" s="24" t="n">
        <x:f>IFERROR(G2528/K2528,0)</x:f>
        <x:v>0.2</x:v>
      </x:c>
      <x:c r="AA2528" s="24" t="n">
        <x:f>IFERROR(F2528/H2528,0)-IFERROR(G2528/I2528,0)</x:f>
        <x:v>-0.08333333333333333</x:v>
      </x:c>
      <x:c r="AB2528" s="28" t="n">
        <x:f>J2528-K2528</x:f>
        <x:v>-2</x:v>
      </x:c>
      <x:c r="AC2528" s="32" t="n">
        <x:f>F2528-G2528</x:f>
        <x:v>-1</x:v>
      </x:c>
    </x:row>
    <x:row r="2529">
      <x:c r="A2529" s="4" t="str">
        <x:v>2024-25</x:v>
      </x:c>
      <x:c r="B2529" s="20" t="n">
        <x:v>45626</x:v>
      </x:c>
      <x:c r="C2529" s="4" t="str">
        <x:v>Leicester</x:v>
      </x:c>
      <x:c r="D2529" s="4" t="str">
        <x:v>Brentford</x:v>
      </x:c>
      <x:c r="E2529" s="4" t="str">
        <x:v>Away</x:v>
      </x:c>
      <x:c r="F2529" s="28" t="n">
        <x:v>1</x:v>
      </x:c>
      <x:c r="G2529" s="28" t="n">
        <x:v>4</x:v>
      </x:c>
      <x:c r="H2529" s="28" t="n">
        <x:v>7</x:v>
      </x:c>
      <x:c r="I2529" s="28" t="n">
        <x:v>13</x:v>
      </x:c>
      <x:c r="J2529" s="28" t="n">
        <x:v>3</x:v>
      </x:c>
      <x:c r="K2529" s="28" t="n">
        <x:v>6</x:v>
      </x:c>
      <x:c r="L2529" s="28" t="n">
        <x:v>4</x:v>
      </x:c>
      <x:c r="M2529" s="28" t="n">
        <x:v>5</x:v>
      </x:c>
      <x:c r="N2529" s="28" t="n">
        <x:v>1</x:v>
      </x:c>
      <x:c r="O2529" s="28" t="n">
        <x:v>0</x:v>
      </x:c>
      <x:c r="P2529" s="28" t="n">
        <x:v>0</x:v>
      </x:c>
      <x:c r="Q2529" s="24" t="n">
        <x:f>IFERROR(J2529/H2529,0)</x:f>
        <x:v>0.42857142857142855</x:v>
      </x:c>
      <x:c r="R2529" s="24" t="n">
        <x:f>IFERROR(F2529/H2529,0)</x:f>
        <x:v>0.14285714285714285</x:v>
      </x:c>
      <x:c r="S2529" s="24" t="n">
        <x:f>IFERROR(F2529/J2529,0)</x:f>
        <x:v>0.3333333333333333</x:v>
      </x:c>
      <x:c r="T2529" s="28" t="n">
        <x:f>H2529-I2529</x:f>
        <x:v>-6</x:v>
      </x:c>
      <x:c r="U2529" s="24" t="n">
        <x:f>IFERROR(J2529/H2529,0)-IFERROR(K2529/I2529,0)</x:f>
        <x:v>-0.032967032967033016</x:v>
      </x:c>
      <x:c r="V2529" s="24" t="n">
        <x:f>IFERROR(F2529/J2529,0)-IFERROR(G2529/K2529,0)</x:f>
        <x:v>-0.3333333333333333</x:v>
      </x:c>
      <x:c r="W2529" s="28" t="n">
        <x:f>L2529-M2529</x:f>
        <x:v>-1</x:v>
      </x:c>
      <x:c r="X2529" s="24" t="n">
        <x:f>IFERROR(K2529/I2529,0)</x:f>
        <x:v>0.46153846153846156</x:v>
      </x:c>
      <x:c r="Y2529" s="24" t="n">
        <x:f>IFERROR(G2529/I2529,0)</x:f>
        <x:v>0.3076923076923077</x:v>
      </x:c>
      <x:c r="Z2529" s="24" t="n">
        <x:f>IFERROR(G2529/K2529,0)</x:f>
        <x:v>0.6666666666666666</x:v>
      </x:c>
      <x:c r="AA2529" s="24" t="n">
        <x:f>IFERROR(F2529/H2529,0)-IFERROR(G2529/I2529,0)</x:f>
        <x:v>-0.16483516483516486</x:v>
      </x:c>
      <x:c r="AB2529" s="28" t="n">
        <x:f>J2529-K2529</x:f>
        <x:v>-3</x:v>
      </x:c>
      <x:c r="AC2529" s="32" t="n">
        <x:f>F2529-G2529</x:f>
        <x:v>-3</x:v>
      </x:c>
    </x:row>
    <x:row r="2530">
      <x:c r="A2530" s="4" t="str">
        <x:v>2024-25</x:v>
      </x:c>
      <x:c r="B2530" s="20" t="n">
        <x:v>45626</x:v>
      </x:c>
      <x:c r="C2530" s="4" t="str">
        <x:v>Newcastle</x:v>
      </x:c>
      <x:c r="D2530" s="4" t="str">
        <x:v>Crystal Palace</x:v>
      </x:c>
      <x:c r="E2530" s="4" t="str">
        <x:v>Away</x:v>
      </x:c>
      <x:c r="F2530" s="28" t="n">
        <x:v>1</x:v>
      </x:c>
      <x:c r="G2530" s="28" t="n">
        <x:v>1</x:v>
      </x:c>
      <x:c r="H2530" s="28" t="n">
        <x:v>1</x:v>
      </x:c>
      <x:c r="I2530" s="28" t="n">
        <x:v>16</x:v>
      </x:c>
      <x:c r="J2530" s="28" t="n">
        <x:v>0</x:v>
      </x:c>
      <x:c r="K2530" s="28" t="n">
        <x:v>4</x:v>
      </x:c>
      <x:c r="L2530" s="28" t="n">
        <x:v>9</x:v>
      </x:c>
      <x:c r="M2530" s="28" t="n">
        <x:v>8</x:v>
      </x:c>
      <x:c r="N2530" s="28" t="n">
        <x:v>3</x:v>
      </x:c>
      <x:c r="O2530" s="28" t="n">
        <x:v>0</x:v>
      </x:c>
      <x:c r="P2530" s="28" t="n">
        <x:v>1</x:v>
      </x:c>
      <x:c r="Q2530" s="24" t="n">
        <x:f>IFERROR(J2530/H2530,0)</x:f>
        <x:v>0</x:v>
      </x:c>
      <x:c r="R2530" s="24" t="n">
        <x:f>IFERROR(F2530/H2530,0)</x:f>
        <x:v>1</x:v>
      </x:c>
      <x:c r="S2530" s="24" t="n">
        <x:f>IFERROR(F2530/J2530,0)</x:f>
        <x:v>0</x:v>
      </x:c>
      <x:c r="T2530" s="28" t="n">
        <x:f>H2530-I2530</x:f>
        <x:v>-15</x:v>
      </x:c>
      <x:c r="U2530" s="24" t="n">
        <x:f>IFERROR(J2530/H2530,0)-IFERROR(K2530/I2530,0)</x:f>
        <x:v>-0.25</x:v>
      </x:c>
      <x:c r="V2530" s="24" t="n">
        <x:f>IFERROR(F2530/J2530,0)-IFERROR(G2530/K2530,0)</x:f>
        <x:v>-0.25</x:v>
      </x:c>
      <x:c r="W2530" s="28" t="n">
        <x:f>L2530-M2530</x:f>
        <x:v>1</x:v>
      </x:c>
      <x:c r="X2530" s="24" t="n">
        <x:f>IFERROR(K2530/I2530,0)</x:f>
        <x:v>0.25</x:v>
      </x:c>
      <x:c r="Y2530" s="24" t="n">
        <x:f>IFERROR(G2530/I2530,0)</x:f>
        <x:v>0.0625</x:v>
      </x:c>
      <x:c r="Z2530" s="24" t="n">
        <x:f>IFERROR(G2530/K2530,0)</x:f>
        <x:v>0.25</x:v>
      </x:c>
      <x:c r="AA2530" s="24" t="n">
        <x:f>IFERROR(F2530/H2530,0)-IFERROR(G2530/I2530,0)</x:f>
        <x:v>0.9375</x:v>
      </x:c>
      <x:c r="AB2530" s="28" t="n">
        <x:f>J2530-K2530</x:f>
        <x:v>-4</x:v>
      </x:c>
      <x:c r="AC2530" s="32" t="n">
        <x:f>F2530-G2530</x:f>
        <x:v>0</x:v>
      </x:c>
    </x:row>
    <x:row r="2531">
      <x:c r="A2531" s="4" t="str">
        <x:v>2024-25</x:v>
      </x:c>
      <x:c r="B2531" s="20" t="n">
        <x:v>45626</x:v>
      </x:c>
      <x:c r="C2531" s="4" t="str">
        <x:v>Nott'm Forest</x:v>
      </x:c>
      <x:c r="D2531" s="4" t="str">
        <x:v>Ipswich</x:v>
      </x:c>
      <x:c r="E2531" s="4" t="str">
        <x:v>Home</x:v>
      </x:c>
      <x:c r="F2531" s="28" t="n">
        <x:v>1</x:v>
      </x:c>
      <x:c r="G2531" s="28" t="n">
        <x:v>0</x:v>
      </x:c>
      <x:c r="H2531" s="28" t="n">
        <x:v>12</x:v>
      </x:c>
      <x:c r="I2531" s="28" t="n">
        <x:v>7</x:v>
      </x:c>
      <x:c r="J2531" s="28" t="n">
        <x:v>5</x:v>
      </x:c>
      <x:c r="K2531" s="28" t="n">
        <x:v>3</x:v>
      </x:c>
      <x:c r="L2531" s="28" t="n">
        <x:v>8</x:v>
      </x:c>
      <x:c r="M2531" s="28" t="n">
        <x:v>7</x:v>
      </x:c>
      <x:c r="N2531" s="28" t="n">
        <x:v>1</x:v>
      </x:c>
      <x:c r="O2531" s="28" t="n">
        <x:v>0</x:v>
      </x:c>
      <x:c r="P2531" s="28" t="n">
        <x:v>3</x:v>
      </x:c>
      <x:c r="Q2531" s="24" t="n">
        <x:f>IFERROR(J2531/H2531,0)</x:f>
        <x:v>0.4166666666666667</x:v>
      </x:c>
      <x:c r="R2531" s="24" t="n">
        <x:f>IFERROR(F2531/H2531,0)</x:f>
        <x:v>0.08333333333333333</x:v>
      </x:c>
      <x:c r="S2531" s="24" t="n">
        <x:f>IFERROR(F2531/J2531,0)</x:f>
        <x:v>0.2</x:v>
      </x:c>
      <x:c r="T2531" s="28" t="n">
        <x:f>H2531-I2531</x:f>
        <x:v>5</x:v>
      </x:c>
      <x:c r="U2531" s="24" t="n">
        <x:f>IFERROR(J2531/H2531,0)-IFERROR(K2531/I2531,0)</x:f>
        <x:v>-0.011904761904761862</x:v>
      </x:c>
      <x:c r="V2531" s="24" t="n">
        <x:f>IFERROR(F2531/J2531,0)-IFERROR(G2531/K2531,0)</x:f>
        <x:v>0.2</x:v>
      </x:c>
      <x:c r="W2531" s="28" t="n">
        <x:f>L2531-M2531</x:f>
        <x:v>1</x:v>
      </x:c>
      <x:c r="X2531" s="24" t="n">
        <x:f>IFERROR(K2531/I2531,0)</x:f>
        <x:v>0.42857142857142855</x:v>
      </x:c>
      <x:c r="Y2531" s="24" t="n">
        <x:f>IFERROR(G2531/I2531,0)</x:f>
        <x:v>0</x:v>
      </x:c>
      <x:c r="Z2531" s="24" t="n">
        <x:f>IFERROR(G2531/K2531,0)</x:f>
        <x:v>0</x:v>
      </x:c>
      <x:c r="AA2531" s="24" t="n">
        <x:f>IFERROR(F2531/H2531,0)-IFERROR(G2531/I2531,0)</x:f>
        <x:v>0.08333333333333333</x:v>
      </x:c>
      <x:c r="AB2531" s="28" t="n">
        <x:f>J2531-K2531</x:f>
        <x:v>2</x:v>
      </x:c>
      <x:c r="AC2531" s="32" t="n">
        <x:f>F2531-G2531</x:f>
        <x:v>1</x:v>
      </x:c>
    </x:row>
    <x:row r="2532">
      <x:c r="A2532" s="4" t="str">
        <x:v>2024-25</x:v>
      </x:c>
      <x:c r="B2532" s="20" t="n">
        <x:v>45626</x:v>
      </x:c>
      <x:c r="C2532" s="4" t="str">
        <x:v>West Ham</x:v>
      </x:c>
      <x:c r="D2532" s="4" t="str">
        <x:v>Arsenal</x:v>
      </x:c>
      <x:c r="E2532" s="4" t="str">
        <x:v>Home</x:v>
      </x:c>
      <x:c r="F2532" s="28" t="n">
        <x:v>2</x:v>
      </x:c>
      <x:c r="G2532" s="28" t="n">
        <x:v>5</x:v>
      </x:c>
      <x:c r="H2532" s="28" t="n">
        <x:v>12</x:v>
      </x:c>
      <x:c r="I2532" s="28" t="n">
        <x:v>16</x:v>
      </x:c>
      <x:c r="J2532" s="28" t="n">
        <x:v>5</x:v>
      </x:c>
      <x:c r="K2532" s="28" t="n">
        <x:v>7</x:v>
      </x:c>
      <x:c r="L2532" s="28" t="n">
        <x:v>2</x:v>
      </x:c>
      <x:c r="M2532" s="28" t="n">
        <x:v>10</x:v>
      </x:c>
      <x:c r="N2532" s="28" t="n">
        <x:v>4</x:v>
      </x:c>
      <x:c r="O2532" s="28" t="n">
        <x:v>0</x:v>
      </x:c>
      <x:c r="P2532" s="28" t="n">
        <x:v>0</x:v>
      </x:c>
      <x:c r="Q2532" s="24" t="n">
        <x:f>IFERROR(J2532/H2532,0)</x:f>
        <x:v>0.4166666666666667</x:v>
      </x:c>
      <x:c r="R2532" s="24" t="n">
        <x:f>IFERROR(F2532/H2532,0)</x:f>
        <x:v>0.16666666666666666</x:v>
      </x:c>
      <x:c r="S2532" s="24" t="n">
        <x:f>IFERROR(F2532/J2532,0)</x:f>
        <x:v>0.4</x:v>
      </x:c>
      <x:c r="T2532" s="28" t="n">
        <x:f>H2532-I2532</x:f>
        <x:v>-4</x:v>
      </x:c>
      <x:c r="U2532" s="24" t="n">
        <x:f>IFERROR(J2532/H2532,0)-IFERROR(K2532/I2532,0)</x:f>
        <x:v>-0.020833333333333315</x:v>
      </x:c>
      <x:c r="V2532" s="24" t="n">
        <x:f>IFERROR(F2532/J2532,0)-IFERROR(G2532/K2532,0)</x:f>
        <x:v>-0.3142857142857143</x:v>
      </x:c>
      <x:c r="W2532" s="28" t="n">
        <x:f>L2532-M2532</x:f>
        <x:v>-8</x:v>
      </x:c>
      <x:c r="X2532" s="24" t="n">
        <x:f>IFERROR(K2532/I2532,0)</x:f>
        <x:v>0.4375</x:v>
      </x:c>
      <x:c r="Y2532" s="24" t="n">
        <x:f>IFERROR(G2532/I2532,0)</x:f>
        <x:v>0.3125</x:v>
      </x:c>
      <x:c r="Z2532" s="24" t="n">
        <x:f>IFERROR(G2532/K2532,0)</x:f>
        <x:v>0.7142857142857143</x:v>
      </x:c>
      <x:c r="AA2532" s="24" t="n">
        <x:f>IFERROR(F2532/H2532,0)-IFERROR(G2532/I2532,0)</x:f>
        <x:v>-0.14583333333333334</x:v>
      </x:c>
      <x:c r="AB2532" s="28" t="n">
        <x:f>J2532-K2532</x:f>
        <x:v>-2</x:v>
      </x:c>
      <x:c r="AC2532" s="32" t="n">
        <x:f>F2532-G2532</x:f>
        <x:v>-3</x:v>
      </x:c>
    </x:row>
    <x:row r="2533">
      <x:c r="A2533" s="4" t="str">
        <x:v>2024-25</x:v>
      </x:c>
      <x:c r="B2533" s="20" t="n">
        <x:v>45626</x:v>
      </x:c>
      <x:c r="C2533" s="4" t="str">
        <x:v>Wolves</x:v>
      </x:c>
      <x:c r="D2533" s="4" t="str">
        <x:v>Bournemouth</x:v>
      </x:c>
      <x:c r="E2533" s="4" t="str">
        <x:v>Home</x:v>
      </x:c>
      <x:c r="F2533" s="28" t="n">
        <x:v>2</x:v>
      </x:c>
      <x:c r="G2533" s="28" t="n">
        <x:v>4</x:v>
      </x:c>
      <x:c r="H2533" s="28" t="n">
        <x:v>10</x:v>
      </x:c>
      <x:c r="I2533" s="28" t="n">
        <x:v>12</x:v>
      </x:c>
      <x:c r="J2533" s="28" t="n">
        <x:v>3</x:v>
      </x:c>
      <x:c r="K2533" s="28" t="n">
        <x:v>8</x:v>
      </x:c>
      <x:c r="L2533" s="28" t="n">
        <x:v>3</x:v>
      </x:c>
      <x:c r="M2533" s="28" t="n">
        <x:v>4</x:v>
      </x:c>
      <x:c r="N2533" s="28" t="n">
        <x:v>4</x:v>
      </x:c>
      <x:c r="O2533" s="28" t="n">
        <x:v>0</x:v>
      </x:c>
      <x:c r="P2533" s="28" t="n">
        <x:v>0</x:v>
      </x:c>
      <x:c r="Q2533" s="24" t="n">
        <x:f>IFERROR(J2533/H2533,0)</x:f>
        <x:v>0.3</x:v>
      </x:c>
      <x:c r="R2533" s="24" t="n">
        <x:f>IFERROR(F2533/H2533,0)</x:f>
        <x:v>0.2</x:v>
      </x:c>
      <x:c r="S2533" s="24" t="n">
        <x:f>IFERROR(F2533/J2533,0)</x:f>
        <x:v>0.6666666666666666</x:v>
      </x:c>
      <x:c r="T2533" s="28" t="n">
        <x:f>H2533-I2533</x:f>
        <x:v>-2</x:v>
      </x:c>
      <x:c r="U2533" s="24" t="n">
        <x:f>IFERROR(J2533/H2533,0)-IFERROR(K2533/I2533,0)</x:f>
        <x:v>-0.36666666666666664</x:v>
      </x:c>
      <x:c r="V2533" s="24" t="n">
        <x:f>IFERROR(F2533/J2533,0)-IFERROR(G2533/K2533,0)</x:f>
        <x:v>0.16666666666666663</x:v>
      </x:c>
      <x:c r="W2533" s="28" t="n">
        <x:f>L2533-M2533</x:f>
        <x:v>-1</x:v>
      </x:c>
      <x:c r="X2533" s="24" t="n">
        <x:f>IFERROR(K2533/I2533,0)</x:f>
        <x:v>0.6666666666666666</x:v>
      </x:c>
      <x:c r="Y2533" s="24" t="n">
        <x:f>IFERROR(G2533/I2533,0)</x:f>
        <x:v>0.3333333333333333</x:v>
      </x:c>
      <x:c r="Z2533" s="24" t="n">
        <x:f>IFERROR(G2533/K2533,0)</x:f>
        <x:v>0.5</x:v>
      </x:c>
      <x:c r="AA2533" s="24" t="n">
        <x:f>IFERROR(F2533/H2533,0)-IFERROR(G2533/I2533,0)</x:f>
        <x:v>-0.1333333333333333</x:v>
      </x:c>
      <x:c r="AB2533" s="28" t="n">
        <x:f>J2533-K2533</x:f>
        <x:v>-5</x:v>
      </x:c>
      <x:c r="AC2533" s="32" t="n">
        <x:f>F2533-G2533</x:f>
        <x:v>-2</x:v>
      </x:c>
    </x:row>
    <x:row r="2534">
      <x:c r="A2534" s="4" t="str">
        <x:v>2024-25</x:v>
      </x:c>
      <x:c r="B2534" s="20" t="n">
        <x:v>45627</x:v>
      </x:c>
      <x:c r="C2534" s="4" t="str">
        <x:v>Aston Villa</x:v>
      </x:c>
      <x:c r="D2534" s="4" t="str">
        <x:v>Chelsea</x:v>
      </x:c>
      <x:c r="E2534" s="4" t="str">
        <x:v>Away</x:v>
      </x:c>
      <x:c r="F2534" s="28" t="n">
        <x:v>0</x:v>
      </x:c>
      <x:c r="G2534" s="28" t="n">
        <x:v>3</x:v>
      </x:c>
      <x:c r="H2534" s="28" t="n">
        <x:v>10</x:v>
      </x:c>
      <x:c r="I2534" s="28" t="n">
        <x:v>17</x:v>
      </x:c>
      <x:c r="J2534" s="28" t="n">
        <x:v>4</x:v>
      </x:c>
      <x:c r="K2534" s="28" t="n">
        <x:v>8</x:v>
      </x:c>
      <x:c r="L2534" s="28" t="n">
        <x:v>4</x:v>
      </x:c>
      <x:c r="M2534" s="28" t="n">
        <x:v>3</x:v>
      </x:c>
      <x:c r="N2534" s="28" t="n">
        <x:v>2</x:v>
      </x:c>
      <x:c r="O2534" s="28" t="n">
        <x:v>0</x:v>
      </x:c>
      <x:c r="P2534" s="28" t="n">
        <x:v>0</x:v>
      </x:c>
      <x:c r="Q2534" s="24" t="n">
        <x:f>IFERROR(J2534/H2534,0)</x:f>
        <x:v>0.4</x:v>
      </x:c>
      <x:c r="R2534" s="24" t="n">
        <x:f>IFERROR(F2534/H2534,0)</x:f>
        <x:v>0</x:v>
      </x:c>
      <x:c r="S2534" s="24" t="n">
        <x:f>IFERROR(F2534/J2534,0)</x:f>
        <x:v>0</x:v>
      </x:c>
      <x:c r="T2534" s="28" t="n">
        <x:f>H2534-I2534</x:f>
        <x:v>-7</x:v>
      </x:c>
      <x:c r="U2534" s="24" t="n">
        <x:f>IFERROR(J2534/H2534,0)-IFERROR(K2534/I2534,0)</x:f>
        <x:v>-0.07058823529411762</x:v>
      </x:c>
      <x:c r="V2534" s="24" t="n">
        <x:f>IFERROR(F2534/J2534,0)-IFERROR(G2534/K2534,0)</x:f>
        <x:v>-0.375</x:v>
      </x:c>
      <x:c r="W2534" s="28" t="n">
        <x:f>L2534-M2534</x:f>
        <x:v>1</x:v>
      </x:c>
      <x:c r="X2534" s="24" t="n">
        <x:f>IFERROR(K2534/I2534,0)</x:f>
        <x:v>0.47058823529411764</x:v>
      </x:c>
      <x:c r="Y2534" s="24" t="n">
        <x:f>IFERROR(G2534/I2534,0)</x:f>
        <x:v>0.17647058823529413</x:v>
      </x:c>
      <x:c r="Z2534" s="24" t="n">
        <x:f>IFERROR(G2534/K2534,0)</x:f>
        <x:v>0.375</x:v>
      </x:c>
      <x:c r="AA2534" s="24" t="n">
        <x:f>IFERROR(F2534/H2534,0)-IFERROR(G2534/I2534,0)</x:f>
        <x:v>-0.17647058823529413</x:v>
      </x:c>
      <x:c r="AB2534" s="28" t="n">
        <x:f>J2534-K2534</x:f>
        <x:v>-4</x:v>
      </x:c>
      <x:c r="AC2534" s="32" t="n">
        <x:f>F2534-G2534</x:f>
        <x:v>-3</x:v>
      </x:c>
    </x:row>
    <x:row r="2535">
      <x:c r="A2535" s="4" t="str">
        <x:v>2024-25</x:v>
      </x:c>
      <x:c r="B2535" s="20" t="n">
        <x:v>45627</x:v>
      </x:c>
      <x:c r="C2535" s="4" t="str">
        <x:v>Chelsea</x:v>
      </x:c>
      <x:c r="D2535" s="4" t="str">
        <x:v>Aston Villa</x:v>
      </x:c>
      <x:c r="E2535" s="4" t="str">
        <x:v>Home</x:v>
      </x:c>
      <x:c r="F2535" s="28" t="n">
        <x:v>3</x:v>
      </x:c>
      <x:c r="G2535" s="28" t="n">
        <x:v>0</x:v>
      </x:c>
      <x:c r="H2535" s="28" t="n">
        <x:v>17</x:v>
      </x:c>
      <x:c r="I2535" s="28" t="n">
        <x:v>10</x:v>
      </x:c>
      <x:c r="J2535" s="28" t="n">
        <x:v>8</x:v>
      </x:c>
      <x:c r="K2535" s="28" t="n">
        <x:v>4</x:v>
      </x:c>
      <x:c r="L2535" s="28" t="n">
        <x:v>3</x:v>
      </x:c>
      <x:c r="M2535" s="28" t="n">
        <x:v>4</x:v>
      </x:c>
      <x:c r="N2535" s="28" t="n">
        <x:v>2</x:v>
      </x:c>
      <x:c r="O2535" s="28" t="n">
        <x:v>0</x:v>
      </x:c>
      <x:c r="P2535" s="28" t="n">
        <x:v>3</x:v>
      </x:c>
      <x:c r="Q2535" s="24" t="n">
        <x:f>IFERROR(J2535/H2535,0)</x:f>
        <x:v>0.47058823529411764</x:v>
      </x:c>
      <x:c r="R2535" s="24" t="n">
        <x:f>IFERROR(F2535/H2535,0)</x:f>
        <x:v>0.17647058823529413</x:v>
      </x:c>
      <x:c r="S2535" s="24" t="n">
        <x:f>IFERROR(F2535/J2535,0)</x:f>
        <x:v>0.375</x:v>
      </x:c>
      <x:c r="T2535" s="28" t="n">
        <x:f>H2535-I2535</x:f>
        <x:v>7</x:v>
      </x:c>
      <x:c r="U2535" s="24" t="n">
        <x:f>IFERROR(J2535/H2535,0)-IFERROR(K2535/I2535,0)</x:f>
        <x:v>0.07058823529411762</x:v>
      </x:c>
      <x:c r="V2535" s="24" t="n">
        <x:f>IFERROR(F2535/J2535,0)-IFERROR(G2535/K2535,0)</x:f>
        <x:v>0.375</x:v>
      </x:c>
      <x:c r="W2535" s="28" t="n">
        <x:f>L2535-M2535</x:f>
        <x:v>-1</x:v>
      </x:c>
      <x:c r="X2535" s="24" t="n">
        <x:f>IFERROR(K2535/I2535,0)</x:f>
        <x:v>0.4</x:v>
      </x:c>
      <x:c r="Y2535" s="24" t="n">
        <x:f>IFERROR(G2535/I2535,0)</x:f>
        <x:v>0</x:v>
      </x:c>
      <x:c r="Z2535" s="24" t="n">
        <x:f>IFERROR(G2535/K2535,0)</x:f>
        <x:v>0</x:v>
      </x:c>
      <x:c r="AA2535" s="24" t="n">
        <x:f>IFERROR(F2535/H2535,0)-IFERROR(G2535/I2535,0)</x:f>
        <x:v>0.17647058823529413</x:v>
      </x:c>
      <x:c r="AB2535" s="28" t="n">
        <x:f>J2535-K2535</x:f>
        <x:v>4</x:v>
      </x:c>
      <x:c r="AC2535" s="32" t="n">
        <x:f>F2535-G2535</x:f>
        <x:v>3</x:v>
      </x:c>
    </x:row>
    <x:row r="2536">
      <x:c r="A2536" s="4" t="str">
        <x:v>2024-25</x:v>
      </x:c>
      <x:c r="B2536" s="20" t="n">
        <x:v>45627</x:v>
      </x:c>
      <x:c r="C2536" s="4" t="str">
        <x:v>Everton</x:v>
      </x:c>
      <x:c r="D2536" s="4" t="str">
        <x:v>Man United</x:v>
      </x:c>
      <x:c r="E2536" s="4" t="str">
        <x:v>Away</x:v>
      </x:c>
      <x:c r="F2536" s="28" t="n">
        <x:v>0</x:v>
      </x:c>
      <x:c r="G2536" s="28" t="n">
        <x:v>4</x:v>
      </x:c>
      <x:c r="H2536" s="28" t="n">
        <x:v>8</x:v>
      </x:c>
      <x:c r="I2536" s="28" t="n">
        <x:v>11</x:v>
      </x:c>
      <x:c r="J2536" s="28" t="n">
        <x:v>2</x:v>
      </x:c>
      <x:c r="K2536" s="28" t="n">
        <x:v>5</x:v>
      </x:c>
      <x:c r="L2536" s="28" t="n">
        <x:v>2</x:v>
      </x:c>
      <x:c r="M2536" s="28" t="n">
        <x:v>2</x:v>
      </x:c>
      <x:c r="N2536" s="28" t="n">
        <x:v>3</x:v>
      </x:c>
      <x:c r="O2536" s="28" t="n">
        <x:v>0</x:v>
      </x:c>
      <x:c r="P2536" s="28" t="n">
        <x:v>0</x:v>
      </x:c>
      <x:c r="Q2536" s="24" t="n">
        <x:f>IFERROR(J2536/H2536,0)</x:f>
        <x:v>0.25</x:v>
      </x:c>
      <x:c r="R2536" s="24" t="n">
        <x:f>IFERROR(F2536/H2536,0)</x:f>
        <x:v>0</x:v>
      </x:c>
      <x:c r="S2536" s="24" t="n">
        <x:f>IFERROR(F2536/J2536,0)</x:f>
        <x:v>0</x:v>
      </x:c>
      <x:c r="T2536" s="28" t="n">
        <x:f>H2536-I2536</x:f>
        <x:v>-3</x:v>
      </x:c>
      <x:c r="U2536" s="24" t="n">
        <x:f>IFERROR(J2536/H2536,0)-IFERROR(K2536/I2536,0)</x:f>
        <x:v>-0.20454545454545453</x:v>
      </x:c>
      <x:c r="V2536" s="24" t="n">
        <x:f>IFERROR(F2536/J2536,0)-IFERROR(G2536/K2536,0)</x:f>
        <x:v>-0.8</x:v>
      </x:c>
      <x:c r="W2536" s="28" t="n">
        <x:f>L2536-M2536</x:f>
        <x:v>0</x:v>
      </x:c>
      <x:c r="X2536" s="24" t="n">
        <x:f>IFERROR(K2536/I2536,0)</x:f>
        <x:v>0.45454545454545453</x:v>
      </x:c>
      <x:c r="Y2536" s="24" t="n">
        <x:f>IFERROR(G2536/I2536,0)</x:f>
        <x:v>0.36363636363636365</x:v>
      </x:c>
      <x:c r="Z2536" s="24" t="n">
        <x:f>IFERROR(G2536/K2536,0)</x:f>
        <x:v>0.8</x:v>
      </x:c>
      <x:c r="AA2536" s="24" t="n">
        <x:f>IFERROR(F2536/H2536,0)-IFERROR(G2536/I2536,0)</x:f>
        <x:v>-0.36363636363636365</x:v>
      </x:c>
      <x:c r="AB2536" s="28" t="n">
        <x:f>J2536-K2536</x:f>
        <x:v>-3</x:v>
      </x:c>
      <x:c r="AC2536" s="32" t="n">
        <x:f>F2536-G2536</x:f>
        <x:v>-4</x:v>
      </x:c>
    </x:row>
    <x:row r="2537">
      <x:c r="A2537" s="4" t="str">
        <x:v>2024-25</x:v>
      </x:c>
      <x:c r="B2537" s="20" t="n">
        <x:v>45627</x:v>
      </x:c>
      <x:c r="C2537" s="4" t="str">
        <x:v>Fulham</x:v>
      </x:c>
      <x:c r="D2537" s="4" t="str">
        <x:v>Tottenham</x:v>
      </x:c>
      <x:c r="E2537" s="4" t="str">
        <x:v>Away</x:v>
      </x:c>
      <x:c r="F2537" s="28" t="n">
        <x:v>1</x:v>
      </x:c>
      <x:c r="G2537" s="28" t="n">
        <x:v>1</x:v>
      </x:c>
      <x:c r="H2537" s="28" t="n">
        <x:v>14</x:v>
      </x:c>
      <x:c r="I2537" s="28" t="n">
        <x:v>8</x:v>
      </x:c>
      <x:c r="J2537" s="28" t="n">
        <x:v>6</x:v>
      </x:c>
      <x:c r="K2537" s="28" t="n">
        <x:v>3</x:v>
      </x:c>
      <x:c r="L2537" s="28" t="n">
        <x:v>11</x:v>
      </x:c>
      <x:c r="M2537" s="28" t="n">
        <x:v>7</x:v>
      </x:c>
      <x:c r="N2537" s="28" t="n">
        <x:v>1</x:v>
      </x:c>
      <x:c r="O2537" s="28" t="n">
        <x:v>1</x:v>
      </x:c>
      <x:c r="P2537" s="28" t="n">
        <x:v>1</x:v>
      </x:c>
      <x:c r="Q2537" s="24" t="n">
        <x:f>IFERROR(J2537/H2537,0)</x:f>
        <x:v>0.42857142857142855</x:v>
      </x:c>
      <x:c r="R2537" s="24" t="n">
        <x:f>IFERROR(F2537/H2537,0)</x:f>
        <x:v>0.07142857142857142</x:v>
      </x:c>
      <x:c r="S2537" s="24" t="n">
        <x:f>IFERROR(F2537/J2537,0)</x:f>
        <x:v>0.16666666666666666</x:v>
      </x:c>
      <x:c r="T2537" s="28" t="n">
        <x:f>H2537-I2537</x:f>
        <x:v>6</x:v>
      </x:c>
      <x:c r="U2537" s="24" t="n">
        <x:f>IFERROR(J2537/H2537,0)-IFERROR(K2537/I2537,0)</x:f>
        <x:v>0.05357142857142855</x:v>
      </x:c>
      <x:c r="V2537" s="24" t="n">
        <x:f>IFERROR(F2537/J2537,0)-IFERROR(G2537/K2537,0)</x:f>
        <x:v>-0.16666666666666666</x:v>
      </x:c>
      <x:c r="W2537" s="28" t="n">
        <x:f>L2537-M2537</x:f>
        <x:v>4</x:v>
      </x:c>
      <x:c r="X2537" s="24" t="n">
        <x:f>IFERROR(K2537/I2537,0)</x:f>
        <x:v>0.375</x:v>
      </x:c>
      <x:c r="Y2537" s="24" t="n">
        <x:f>IFERROR(G2537/I2537,0)</x:f>
        <x:v>0.125</x:v>
      </x:c>
      <x:c r="Z2537" s="24" t="n">
        <x:f>IFERROR(G2537/K2537,0)</x:f>
        <x:v>0.3333333333333333</x:v>
      </x:c>
      <x:c r="AA2537" s="24" t="n">
        <x:f>IFERROR(F2537/H2537,0)-IFERROR(G2537/I2537,0)</x:f>
        <x:v>-0.053571428571428575</x:v>
      </x:c>
      <x:c r="AB2537" s="28" t="n">
        <x:f>J2537-K2537</x:f>
        <x:v>3</x:v>
      </x:c>
      <x:c r="AC2537" s="32" t="n">
        <x:f>F2537-G2537</x:f>
        <x:v>0</x:v>
      </x:c>
    </x:row>
    <x:row r="2538">
      <x:c r="A2538" s="4" t="str">
        <x:v>2024-25</x:v>
      </x:c>
      <x:c r="B2538" s="20" t="n">
        <x:v>45627</x:v>
      </x:c>
      <x:c r="C2538" s="4" t="str">
        <x:v>Liverpool</x:v>
      </x:c>
      <x:c r="D2538" s="4" t="str">
        <x:v>Man City</x:v>
      </x:c>
      <x:c r="E2538" s="4" t="str">
        <x:v>Home</x:v>
      </x:c>
      <x:c r="F2538" s="28" t="n">
        <x:v>2</x:v>
      </x:c>
      <x:c r="G2538" s="28" t="n">
        <x:v>0</x:v>
      </x:c>
      <x:c r="H2538" s="28" t="n">
        <x:v>18</x:v>
      </x:c>
      <x:c r="I2538" s="28" t="n">
        <x:v>8</x:v>
      </x:c>
      <x:c r="J2538" s="28" t="n">
        <x:v>7</x:v>
      </x:c>
      <x:c r="K2538" s="28" t="n">
        <x:v>2</x:v>
      </x:c>
      <x:c r="L2538" s="28" t="n">
        <x:v>7</x:v>
      </x:c>
      <x:c r="M2538" s="28" t="n">
        <x:v>4</x:v>
      </x:c>
      <x:c r="N2538" s="28" t="n">
        <x:v>1</x:v>
      </x:c>
      <x:c r="O2538" s="28" t="n">
        <x:v>0</x:v>
      </x:c>
      <x:c r="P2538" s="28" t="n">
        <x:v>3</x:v>
      </x:c>
      <x:c r="Q2538" s="24" t="n">
        <x:f>IFERROR(J2538/H2538,0)</x:f>
        <x:v>0.3888888888888889</x:v>
      </x:c>
      <x:c r="R2538" s="24" t="n">
        <x:f>IFERROR(F2538/H2538,0)</x:f>
        <x:v>0.1111111111111111</x:v>
      </x:c>
      <x:c r="S2538" s="24" t="n">
        <x:f>IFERROR(F2538/J2538,0)</x:f>
        <x:v>0.2857142857142857</x:v>
      </x:c>
      <x:c r="T2538" s="28" t="n">
        <x:f>H2538-I2538</x:f>
        <x:v>10</x:v>
      </x:c>
      <x:c r="U2538" s="24" t="n">
        <x:f>IFERROR(J2538/H2538,0)-IFERROR(K2538/I2538,0)</x:f>
        <x:v>0.1388888888888889</x:v>
      </x:c>
      <x:c r="V2538" s="24" t="n">
        <x:f>IFERROR(F2538/J2538,0)-IFERROR(G2538/K2538,0)</x:f>
        <x:v>0.2857142857142857</x:v>
      </x:c>
      <x:c r="W2538" s="28" t="n">
        <x:f>L2538-M2538</x:f>
        <x:v>3</x:v>
      </x:c>
      <x:c r="X2538" s="24" t="n">
        <x:f>IFERROR(K2538/I2538,0)</x:f>
        <x:v>0.25</x:v>
      </x:c>
      <x:c r="Y2538" s="24" t="n">
        <x:f>IFERROR(G2538/I2538,0)</x:f>
        <x:v>0</x:v>
      </x:c>
      <x:c r="Z2538" s="24" t="n">
        <x:f>IFERROR(G2538/K2538,0)</x:f>
        <x:v>0</x:v>
      </x:c>
      <x:c r="AA2538" s="24" t="n">
        <x:f>IFERROR(F2538/H2538,0)-IFERROR(G2538/I2538,0)</x:f>
        <x:v>0.1111111111111111</x:v>
      </x:c>
      <x:c r="AB2538" s="28" t="n">
        <x:f>J2538-K2538</x:f>
        <x:v>5</x:v>
      </x:c>
      <x:c r="AC2538" s="32" t="n">
        <x:f>F2538-G2538</x:f>
        <x:v>2</x:v>
      </x:c>
    </x:row>
    <x:row r="2539">
      <x:c r="A2539" s="4" t="str">
        <x:v>2024-25</x:v>
      </x:c>
      <x:c r="B2539" s="20" t="n">
        <x:v>45627</x:v>
      </x:c>
      <x:c r="C2539" s="4" t="str">
        <x:v>Man City</x:v>
      </x:c>
      <x:c r="D2539" s="4" t="str">
        <x:v>Liverpool</x:v>
      </x:c>
      <x:c r="E2539" s="4" t="str">
        <x:v>Away</x:v>
      </x:c>
      <x:c r="F2539" s="28" t="n">
        <x:v>0</x:v>
      </x:c>
      <x:c r="G2539" s="28" t="n">
        <x:v>2</x:v>
      </x:c>
      <x:c r="H2539" s="28" t="n">
        <x:v>8</x:v>
      </x:c>
      <x:c r="I2539" s="28" t="n">
        <x:v>18</x:v>
      </x:c>
      <x:c r="J2539" s="28" t="n">
        <x:v>2</x:v>
      </x:c>
      <x:c r="K2539" s="28" t="n">
        <x:v>7</x:v>
      </x:c>
      <x:c r="L2539" s="28" t="n">
        <x:v>4</x:v>
      </x:c>
      <x:c r="M2539" s="28" t="n">
        <x:v>7</x:v>
      </x:c>
      <x:c r="N2539" s="28" t="n">
        <x:v>3</x:v>
      </x:c>
      <x:c r="O2539" s="28" t="n">
        <x:v>0</x:v>
      </x:c>
      <x:c r="P2539" s="28" t="n">
        <x:v>0</x:v>
      </x:c>
      <x:c r="Q2539" s="24" t="n">
        <x:f>IFERROR(J2539/H2539,0)</x:f>
        <x:v>0.25</x:v>
      </x:c>
      <x:c r="R2539" s="24" t="n">
        <x:f>IFERROR(F2539/H2539,0)</x:f>
        <x:v>0</x:v>
      </x:c>
      <x:c r="S2539" s="24" t="n">
        <x:f>IFERROR(F2539/J2539,0)</x:f>
        <x:v>0</x:v>
      </x:c>
      <x:c r="T2539" s="28" t="n">
        <x:f>H2539-I2539</x:f>
        <x:v>-10</x:v>
      </x:c>
      <x:c r="U2539" s="24" t="n">
        <x:f>IFERROR(J2539/H2539,0)-IFERROR(K2539/I2539,0)</x:f>
        <x:v>-0.1388888888888889</x:v>
      </x:c>
      <x:c r="V2539" s="24" t="n">
        <x:f>IFERROR(F2539/J2539,0)-IFERROR(G2539/K2539,0)</x:f>
        <x:v>-0.2857142857142857</x:v>
      </x:c>
      <x:c r="W2539" s="28" t="n">
        <x:f>L2539-M2539</x:f>
        <x:v>-3</x:v>
      </x:c>
      <x:c r="X2539" s="24" t="n">
        <x:f>IFERROR(K2539/I2539,0)</x:f>
        <x:v>0.3888888888888889</x:v>
      </x:c>
      <x:c r="Y2539" s="24" t="n">
        <x:f>IFERROR(G2539/I2539,0)</x:f>
        <x:v>0.1111111111111111</x:v>
      </x:c>
      <x:c r="Z2539" s="24" t="n">
        <x:f>IFERROR(G2539/K2539,0)</x:f>
        <x:v>0.2857142857142857</x:v>
      </x:c>
      <x:c r="AA2539" s="24" t="n">
        <x:f>IFERROR(F2539/H2539,0)-IFERROR(G2539/I2539,0)</x:f>
        <x:v>-0.1111111111111111</x:v>
      </x:c>
      <x:c r="AB2539" s="28" t="n">
        <x:f>J2539-K2539</x:f>
        <x:v>-5</x:v>
      </x:c>
      <x:c r="AC2539" s="32" t="n">
        <x:f>F2539-G2539</x:f>
        <x:v>-2</x:v>
      </x:c>
    </x:row>
    <x:row r="2540">
      <x:c r="A2540" s="4" t="str">
        <x:v>2024-25</x:v>
      </x:c>
      <x:c r="B2540" s="20" t="n">
        <x:v>45627</x:v>
      </x:c>
      <x:c r="C2540" s="4" t="str">
        <x:v>Man United</x:v>
      </x:c>
      <x:c r="D2540" s="4" t="str">
        <x:v>Everton</x:v>
      </x:c>
      <x:c r="E2540" s="4" t="str">
        <x:v>Home</x:v>
      </x:c>
      <x:c r="F2540" s="28" t="n">
        <x:v>4</x:v>
      </x:c>
      <x:c r="G2540" s="28" t="n">
        <x:v>0</x:v>
      </x:c>
      <x:c r="H2540" s="28" t="n">
        <x:v>11</x:v>
      </x:c>
      <x:c r="I2540" s="28" t="n">
        <x:v>8</x:v>
      </x:c>
      <x:c r="J2540" s="28" t="n">
        <x:v>5</x:v>
      </x:c>
      <x:c r="K2540" s="28" t="n">
        <x:v>2</x:v>
      </x:c>
      <x:c r="L2540" s="28" t="n">
        <x:v>2</x:v>
      </x:c>
      <x:c r="M2540" s="28" t="n">
        <x:v>2</x:v>
      </x:c>
      <x:c r="N2540" s="28" t="n">
        <x:v>2</x:v>
      </x:c>
      <x:c r="O2540" s="28" t="n">
        <x:v>0</x:v>
      </x:c>
      <x:c r="P2540" s="28" t="n">
        <x:v>3</x:v>
      </x:c>
      <x:c r="Q2540" s="24" t="n">
        <x:f>IFERROR(J2540/H2540,0)</x:f>
        <x:v>0.45454545454545453</x:v>
      </x:c>
      <x:c r="R2540" s="24" t="n">
        <x:f>IFERROR(F2540/H2540,0)</x:f>
        <x:v>0.36363636363636365</x:v>
      </x:c>
      <x:c r="S2540" s="24" t="n">
        <x:f>IFERROR(F2540/J2540,0)</x:f>
        <x:v>0.8</x:v>
      </x:c>
      <x:c r="T2540" s="28" t="n">
        <x:f>H2540-I2540</x:f>
        <x:v>3</x:v>
      </x:c>
      <x:c r="U2540" s="24" t="n">
        <x:f>IFERROR(J2540/H2540,0)-IFERROR(K2540/I2540,0)</x:f>
        <x:v>0.20454545454545453</x:v>
      </x:c>
      <x:c r="V2540" s="24" t="n">
        <x:f>IFERROR(F2540/J2540,0)-IFERROR(G2540/K2540,0)</x:f>
        <x:v>0.8</x:v>
      </x:c>
      <x:c r="W2540" s="28" t="n">
        <x:f>L2540-M2540</x:f>
        <x:v>0</x:v>
      </x:c>
      <x:c r="X2540" s="24" t="n">
        <x:f>IFERROR(K2540/I2540,0)</x:f>
        <x:v>0.25</x:v>
      </x:c>
      <x:c r="Y2540" s="24" t="n">
        <x:f>IFERROR(G2540/I2540,0)</x:f>
        <x:v>0</x:v>
      </x:c>
      <x:c r="Z2540" s="24" t="n">
        <x:f>IFERROR(G2540/K2540,0)</x:f>
        <x:v>0</x:v>
      </x:c>
      <x:c r="AA2540" s="24" t="n">
        <x:f>IFERROR(F2540/H2540,0)-IFERROR(G2540/I2540,0)</x:f>
        <x:v>0.36363636363636365</x:v>
      </x:c>
      <x:c r="AB2540" s="28" t="n">
        <x:f>J2540-K2540</x:f>
        <x:v>3</x:v>
      </x:c>
      <x:c r="AC2540" s="32" t="n">
        <x:f>F2540-G2540</x:f>
        <x:v>4</x:v>
      </x:c>
    </x:row>
    <x:row r="2541">
      <x:c r="A2541" s="4" t="str">
        <x:v>2024-25</x:v>
      </x:c>
      <x:c r="B2541" s="20" t="n">
        <x:v>45627</x:v>
      </x:c>
      <x:c r="C2541" s="4" t="str">
        <x:v>Tottenham</x:v>
      </x:c>
      <x:c r="D2541" s="4" t="str">
        <x:v>Fulham</x:v>
      </x:c>
      <x:c r="E2541" s="4" t="str">
        <x:v>Home</x:v>
      </x:c>
      <x:c r="F2541" s="28" t="n">
        <x:v>1</x:v>
      </x:c>
      <x:c r="G2541" s="28" t="n">
        <x:v>1</x:v>
      </x:c>
      <x:c r="H2541" s="28" t="n">
        <x:v>8</x:v>
      </x:c>
      <x:c r="I2541" s="28" t="n">
        <x:v>14</x:v>
      </x:c>
      <x:c r="J2541" s="28" t="n">
        <x:v>3</x:v>
      </x:c>
      <x:c r="K2541" s="28" t="n">
        <x:v>6</x:v>
      </x:c>
      <x:c r="L2541" s="28" t="n">
        <x:v>7</x:v>
      </x:c>
      <x:c r="M2541" s="28" t="n">
        <x:v>11</x:v>
      </x:c>
      <x:c r="N2541" s="28" t="n">
        <x:v>0</x:v>
      </x:c>
      <x:c r="O2541" s="28" t="n">
        <x:v>0</x:v>
      </x:c>
      <x:c r="P2541" s="28" t="n">
        <x:v>1</x:v>
      </x:c>
      <x:c r="Q2541" s="24" t="n">
        <x:f>IFERROR(J2541/H2541,0)</x:f>
        <x:v>0.375</x:v>
      </x:c>
      <x:c r="R2541" s="24" t="n">
        <x:f>IFERROR(F2541/H2541,0)</x:f>
        <x:v>0.125</x:v>
      </x:c>
      <x:c r="S2541" s="24" t="n">
        <x:f>IFERROR(F2541/J2541,0)</x:f>
        <x:v>0.3333333333333333</x:v>
      </x:c>
      <x:c r="T2541" s="28" t="n">
        <x:f>H2541-I2541</x:f>
        <x:v>-6</x:v>
      </x:c>
      <x:c r="U2541" s="24" t="n">
        <x:f>IFERROR(J2541/H2541,0)-IFERROR(K2541/I2541,0)</x:f>
        <x:v>-0.05357142857142855</x:v>
      </x:c>
      <x:c r="V2541" s="24" t="n">
        <x:f>IFERROR(F2541/J2541,0)-IFERROR(G2541/K2541,0)</x:f>
        <x:v>0.16666666666666666</x:v>
      </x:c>
      <x:c r="W2541" s="28" t="n">
        <x:f>L2541-M2541</x:f>
        <x:v>-4</x:v>
      </x:c>
      <x:c r="X2541" s="24" t="n">
        <x:f>IFERROR(K2541/I2541,0)</x:f>
        <x:v>0.42857142857142855</x:v>
      </x:c>
      <x:c r="Y2541" s="24" t="n">
        <x:f>IFERROR(G2541/I2541,0)</x:f>
        <x:v>0.07142857142857142</x:v>
      </x:c>
      <x:c r="Z2541" s="24" t="n">
        <x:f>IFERROR(G2541/K2541,0)</x:f>
        <x:v>0.16666666666666666</x:v>
      </x:c>
      <x:c r="AA2541" s="24" t="n">
        <x:f>IFERROR(F2541/H2541,0)-IFERROR(G2541/I2541,0)</x:f>
        <x:v>0.053571428571428575</x:v>
      </x:c>
      <x:c r="AB2541" s="28" t="n">
        <x:f>J2541-K2541</x:f>
        <x:v>-3</x:v>
      </x:c>
      <x:c r="AC2541" s="32" t="n">
        <x:f>F2541-G2541</x:f>
        <x:v>0</x:v>
      </x:c>
    </x:row>
    <x:row r="2542">
      <x:c r="A2542" s="4" t="str">
        <x:v>2024-25</x:v>
      </x:c>
      <x:c r="B2542" s="20" t="n">
        <x:v>45629</x:v>
      </x:c>
      <x:c r="C2542" s="4" t="str">
        <x:v>Crystal Palace</x:v>
      </x:c>
      <x:c r="D2542" s="4" t="str">
        <x:v>Ipswich</x:v>
      </x:c>
      <x:c r="E2542" s="4" t="str">
        <x:v>Away</x:v>
      </x:c>
      <x:c r="F2542" s="28" t="n">
        <x:v>1</x:v>
      </x:c>
      <x:c r="G2542" s="28" t="n">
        <x:v>0</x:v>
      </x:c>
      <x:c r="H2542" s="28" t="n">
        <x:v>13</x:v>
      </x:c>
      <x:c r="I2542" s="28" t="n">
        <x:v>9</x:v>
      </x:c>
      <x:c r="J2542" s="28" t="n">
        <x:v>3</x:v>
      </x:c>
      <x:c r="K2542" s="28" t="n">
        <x:v>2</x:v>
      </x:c>
      <x:c r="L2542" s="28" t="n">
        <x:v>7</x:v>
      </x:c>
      <x:c r="M2542" s="28" t="n">
        <x:v>4</x:v>
      </x:c>
      <x:c r="N2542" s="28" t="n">
        <x:v>4</x:v>
      </x:c>
      <x:c r="O2542" s="28" t="n">
        <x:v>0</x:v>
      </x:c>
      <x:c r="P2542" s="28" t="n">
        <x:v>3</x:v>
      </x:c>
      <x:c r="Q2542" s="24" t="n">
        <x:f>IFERROR(J2542/H2542,0)</x:f>
        <x:v>0.23076923076923078</x:v>
      </x:c>
      <x:c r="R2542" s="24" t="n">
        <x:f>IFERROR(F2542/H2542,0)</x:f>
        <x:v>0.07692307692307693</x:v>
      </x:c>
      <x:c r="S2542" s="24" t="n">
        <x:f>IFERROR(F2542/J2542,0)</x:f>
        <x:v>0.3333333333333333</x:v>
      </x:c>
      <x:c r="T2542" s="28" t="n">
        <x:f>H2542-I2542</x:f>
        <x:v>4</x:v>
      </x:c>
      <x:c r="U2542" s="24" t="n">
        <x:f>IFERROR(J2542/H2542,0)-IFERROR(K2542/I2542,0)</x:f>
        <x:v>0.008547008547008572</x:v>
      </x:c>
      <x:c r="V2542" s="24" t="n">
        <x:f>IFERROR(F2542/J2542,0)-IFERROR(G2542/K2542,0)</x:f>
        <x:v>0.3333333333333333</x:v>
      </x:c>
      <x:c r="W2542" s="28" t="n">
        <x:f>L2542-M2542</x:f>
        <x:v>3</x:v>
      </x:c>
      <x:c r="X2542" s="24" t="n">
        <x:f>IFERROR(K2542/I2542,0)</x:f>
        <x:v>0.2222222222222222</x:v>
      </x:c>
      <x:c r="Y2542" s="24" t="n">
        <x:f>IFERROR(G2542/I2542,0)</x:f>
        <x:v>0</x:v>
      </x:c>
      <x:c r="Z2542" s="24" t="n">
        <x:f>IFERROR(G2542/K2542,0)</x:f>
        <x:v>0</x:v>
      </x:c>
      <x:c r="AA2542" s="24" t="n">
        <x:f>IFERROR(F2542/H2542,0)-IFERROR(G2542/I2542,0)</x:f>
        <x:v>0.07692307692307693</x:v>
      </x:c>
      <x:c r="AB2542" s="28" t="n">
        <x:f>J2542-K2542</x:f>
        <x:v>1</x:v>
      </x:c>
      <x:c r="AC2542" s="32" t="n">
        <x:f>F2542-G2542</x:f>
        <x:v>1</x:v>
      </x:c>
    </x:row>
    <x:row r="2543">
      <x:c r="A2543" s="4" t="str">
        <x:v>2024-25</x:v>
      </x:c>
      <x:c r="B2543" s="20" t="n">
        <x:v>45629</x:v>
      </x:c>
      <x:c r="C2543" s="4" t="str">
        <x:v>Ipswich</x:v>
      </x:c>
      <x:c r="D2543" s="4" t="str">
        <x:v>Crystal Palace</x:v>
      </x:c>
      <x:c r="E2543" s="4" t="str">
        <x:v>Home</x:v>
      </x:c>
      <x:c r="F2543" s="28" t="n">
        <x:v>0</x:v>
      </x:c>
      <x:c r="G2543" s="28" t="n">
        <x:v>1</x:v>
      </x:c>
      <x:c r="H2543" s="28" t="n">
        <x:v>9</x:v>
      </x:c>
      <x:c r="I2543" s="28" t="n">
        <x:v>13</x:v>
      </x:c>
      <x:c r="J2543" s="28" t="n">
        <x:v>2</x:v>
      </x:c>
      <x:c r="K2543" s="28" t="n">
        <x:v>3</x:v>
      </x:c>
      <x:c r="L2543" s="28" t="n">
        <x:v>4</x:v>
      </x:c>
      <x:c r="M2543" s="28" t="n">
        <x:v>7</x:v>
      </x:c>
      <x:c r="N2543" s="28" t="n">
        <x:v>2</x:v>
      </x:c>
      <x:c r="O2543" s="28" t="n">
        <x:v>0</x:v>
      </x:c>
      <x:c r="P2543" s="28" t="n">
        <x:v>0</x:v>
      </x:c>
      <x:c r="Q2543" s="24" t="n">
        <x:f>IFERROR(J2543/H2543,0)</x:f>
        <x:v>0.2222222222222222</x:v>
      </x:c>
      <x:c r="R2543" s="24" t="n">
        <x:f>IFERROR(F2543/H2543,0)</x:f>
        <x:v>0</x:v>
      </x:c>
      <x:c r="S2543" s="24" t="n">
        <x:f>IFERROR(F2543/J2543,0)</x:f>
        <x:v>0</x:v>
      </x:c>
      <x:c r="T2543" s="28" t="n">
        <x:f>H2543-I2543</x:f>
        <x:v>-4</x:v>
      </x:c>
      <x:c r="U2543" s="24" t="n">
        <x:f>IFERROR(J2543/H2543,0)-IFERROR(K2543/I2543,0)</x:f>
        <x:v>-0.008547008547008572</x:v>
      </x:c>
      <x:c r="V2543" s="24" t="n">
        <x:f>IFERROR(F2543/J2543,0)-IFERROR(G2543/K2543,0)</x:f>
        <x:v>-0.3333333333333333</x:v>
      </x:c>
      <x:c r="W2543" s="28" t="n">
        <x:f>L2543-M2543</x:f>
        <x:v>-3</x:v>
      </x:c>
      <x:c r="X2543" s="24" t="n">
        <x:f>IFERROR(K2543/I2543,0)</x:f>
        <x:v>0.23076923076923078</x:v>
      </x:c>
      <x:c r="Y2543" s="24" t="n">
        <x:f>IFERROR(G2543/I2543,0)</x:f>
        <x:v>0.07692307692307693</x:v>
      </x:c>
      <x:c r="Z2543" s="24" t="n">
        <x:f>IFERROR(G2543/K2543,0)</x:f>
        <x:v>0.3333333333333333</x:v>
      </x:c>
      <x:c r="AA2543" s="24" t="n">
        <x:f>IFERROR(F2543/H2543,0)-IFERROR(G2543/I2543,0)</x:f>
        <x:v>-0.07692307692307693</x:v>
      </x:c>
      <x:c r="AB2543" s="28" t="n">
        <x:f>J2543-K2543</x:f>
        <x:v>-1</x:v>
      </x:c>
      <x:c r="AC2543" s="32" t="n">
        <x:f>F2543-G2543</x:f>
        <x:v>-1</x:v>
      </x:c>
    </x:row>
    <x:row r="2544">
      <x:c r="A2544" s="4" t="str">
        <x:v>2024-25</x:v>
      </x:c>
      <x:c r="B2544" s="20" t="n">
        <x:v>45629</x:v>
      </x:c>
      <x:c r="C2544" s="4" t="str">
        <x:v>Leicester</x:v>
      </x:c>
      <x:c r="D2544" s="4" t="str">
        <x:v>West Ham</x:v>
      </x:c>
      <x:c r="E2544" s="4" t="str">
        <x:v>Home</x:v>
      </x:c>
      <x:c r="F2544" s="28" t="n">
        <x:v>3</x:v>
      </x:c>
      <x:c r="G2544" s="28" t="n">
        <x:v>1</x:v>
      </x:c>
      <x:c r="H2544" s="28" t="n">
        <x:v>8</x:v>
      </x:c>
      <x:c r="I2544" s="28" t="n">
        <x:v>31</x:v>
      </x:c>
      <x:c r="J2544" s="28" t="n">
        <x:v>6</x:v>
      </x:c>
      <x:c r="K2544" s="28" t="n">
        <x:v>10</x:v>
      </x:c>
      <x:c r="L2544" s="28" t="n">
        <x:v>3</x:v>
      </x:c>
      <x:c r="M2544" s="28" t="n">
        <x:v>9</x:v>
      </x:c>
      <x:c r="N2544" s="28" t="n">
        <x:v>2</x:v>
      </x:c>
      <x:c r="O2544" s="28" t="n">
        <x:v>0</x:v>
      </x:c>
      <x:c r="P2544" s="28" t="n">
        <x:v>3</x:v>
      </x:c>
      <x:c r="Q2544" s="24" t="n">
        <x:f>IFERROR(J2544/H2544,0)</x:f>
        <x:v>0.75</x:v>
      </x:c>
      <x:c r="R2544" s="24" t="n">
        <x:f>IFERROR(F2544/H2544,0)</x:f>
        <x:v>0.375</x:v>
      </x:c>
      <x:c r="S2544" s="24" t="n">
        <x:f>IFERROR(F2544/J2544,0)</x:f>
        <x:v>0.5</x:v>
      </x:c>
      <x:c r="T2544" s="28" t="n">
        <x:f>H2544-I2544</x:f>
        <x:v>-23</x:v>
      </x:c>
      <x:c r="U2544" s="24" t="n">
        <x:f>IFERROR(J2544/H2544,0)-IFERROR(K2544/I2544,0)</x:f>
        <x:v>0.4274193548387097</x:v>
      </x:c>
      <x:c r="V2544" s="24" t="n">
        <x:f>IFERROR(F2544/J2544,0)-IFERROR(G2544/K2544,0)</x:f>
        <x:v>0.4</x:v>
      </x:c>
      <x:c r="W2544" s="28" t="n">
        <x:f>L2544-M2544</x:f>
        <x:v>-6</x:v>
      </x:c>
      <x:c r="X2544" s="24" t="n">
        <x:f>IFERROR(K2544/I2544,0)</x:f>
        <x:v>0.3225806451612903</x:v>
      </x:c>
      <x:c r="Y2544" s="24" t="n">
        <x:f>IFERROR(G2544/I2544,0)</x:f>
        <x:v>0.03225806451612903</x:v>
      </x:c>
      <x:c r="Z2544" s="24" t="n">
        <x:f>IFERROR(G2544/K2544,0)</x:f>
        <x:v>0.1</x:v>
      </x:c>
      <x:c r="AA2544" s="24" t="n">
        <x:f>IFERROR(F2544/H2544,0)-IFERROR(G2544/I2544,0)</x:f>
        <x:v>0.342741935483871</x:v>
      </x:c>
      <x:c r="AB2544" s="28" t="n">
        <x:f>J2544-K2544</x:f>
        <x:v>-4</x:v>
      </x:c>
      <x:c r="AC2544" s="32" t="n">
        <x:f>F2544-G2544</x:f>
        <x:v>2</x:v>
      </x:c>
    </x:row>
    <x:row r="2545">
      <x:c r="A2545" s="4" t="str">
        <x:v>2024-25</x:v>
      </x:c>
      <x:c r="B2545" s="20" t="n">
        <x:v>45629</x:v>
      </x:c>
      <x:c r="C2545" s="4" t="str">
        <x:v>West Ham</x:v>
      </x:c>
      <x:c r="D2545" s="4" t="str">
        <x:v>Leicester</x:v>
      </x:c>
      <x:c r="E2545" s="4" t="str">
        <x:v>Away</x:v>
      </x:c>
      <x:c r="F2545" s="28" t="n">
        <x:v>1</x:v>
      </x:c>
      <x:c r="G2545" s="28" t="n">
        <x:v>3</x:v>
      </x:c>
      <x:c r="H2545" s="28" t="n">
        <x:v>31</x:v>
      </x:c>
      <x:c r="I2545" s="28" t="n">
        <x:v>8</x:v>
      </x:c>
      <x:c r="J2545" s="28" t="n">
        <x:v>10</x:v>
      </x:c>
      <x:c r="K2545" s="28" t="n">
        <x:v>6</x:v>
      </x:c>
      <x:c r="L2545" s="28" t="n">
        <x:v>9</x:v>
      </x:c>
      <x:c r="M2545" s="28" t="n">
        <x:v>3</x:v>
      </x:c>
      <x:c r="N2545" s="28" t="n">
        <x:v>2</x:v>
      </x:c>
      <x:c r="O2545" s="28" t="n">
        <x:v>0</x:v>
      </x:c>
      <x:c r="P2545" s="28" t="n">
        <x:v>0</x:v>
      </x:c>
      <x:c r="Q2545" s="24" t="n">
        <x:f>IFERROR(J2545/H2545,0)</x:f>
        <x:v>0.3225806451612903</x:v>
      </x:c>
      <x:c r="R2545" s="24" t="n">
        <x:f>IFERROR(F2545/H2545,0)</x:f>
        <x:v>0.03225806451612903</x:v>
      </x:c>
      <x:c r="S2545" s="24" t="n">
        <x:f>IFERROR(F2545/J2545,0)</x:f>
        <x:v>0.1</x:v>
      </x:c>
      <x:c r="T2545" s="28" t="n">
        <x:f>H2545-I2545</x:f>
        <x:v>23</x:v>
      </x:c>
      <x:c r="U2545" s="24" t="n">
        <x:f>IFERROR(J2545/H2545,0)-IFERROR(K2545/I2545,0)</x:f>
        <x:v>-0.4274193548387097</x:v>
      </x:c>
      <x:c r="V2545" s="24" t="n">
        <x:f>IFERROR(F2545/J2545,0)-IFERROR(G2545/K2545,0)</x:f>
        <x:v>-0.4</x:v>
      </x:c>
      <x:c r="W2545" s="28" t="n">
        <x:f>L2545-M2545</x:f>
        <x:v>6</x:v>
      </x:c>
      <x:c r="X2545" s="24" t="n">
        <x:f>IFERROR(K2545/I2545,0)</x:f>
        <x:v>0.75</x:v>
      </x:c>
      <x:c r="Y2545" s="24" t="n">
        <x:f>IFERROR(G2545/I2545,0)</x:f>
        <x:v>0.375</x:v>
      </x:c>
      <x:c r="Z2545" s="24" t="n">
        <x:f>IFERROR(G2545/K2545,0)</x:f>
        <x:v>0.5</x:v>
      </x:c>
      <x:c r="AA2545" s="24" t="n">
        <x:f>IFERROR(F2545/H2545,0)-IFERROR(G2545/I2545,0)</x:f>
        <x:v>-0.342741935483871</x:v>
      </x:c>
      <x:c r="AB2545" s="28" t="n">
        <x:f>J2545-K2545</x:f>
        <x:v>4</x:v>
      </x:c>
      <x:c r="AC2545" s="32" t="n">
        <x:f>F2545-G2545</x:f>
        <x:v>-2</x:v>
      </x:c>
    </x:row>
    <x:row r="2546">
      <x:c r="A2546" s="4" t="str">
        <x:v>2024-25</x:v>
      </x:c>
      <x:c r="B2546" s="20" t="n">
        <x:v>45630</x:v>
      </x:c>
      <x:c r="C2546" s="4" t="str">
        <x:v>Arsenal</x:v>
      </x:c>
      <x:c r="D2546" s="4" t="str">
        <x:v>Man United</x:v>
      </x:c>
      <x:c r="E2546" s="4" t="str">
        <x:v>Home</x:v>
      </x:c>
      <x:c r="F2546" s="28" t="n">
        <x:v>2</x:v>
      </x:c>
      <x:c r="G2546" s="28" t="n">
        <x:v>0</x:v>
      </x:c>
      <x:c r="H2546" s="28" t="n">
        <x:v>14</x:v>
      </x:c>
      <x:c r="I2546" s="28" t="n">
        <x:v>5</x:v>
      </x:c>
      <x:c r="J2546" s="28" t="n">
        <x:v>6</x:v>
      </x:c>
      <x:c r="K2546" s="28" t="n">
        <x:v>2</x:v>
      </x:c>
      <x:c r="L2546" s="28" t="n">
        <x:v>13</x:v>
      </x:c>
      <x:c r="M2546" s="28" t="n">
        <x:v>0</x:v>
      </x:c>
      <x:c r="N2546" s="28" t="n">
        <x:v>1</x:v>
      </x:c>
      <x:c r="O2546" s="28" t="n">
        <x:v>0</x:v>
      </x:c>
      <x:c r="P2546" s="28" t="n">
        <x:v>3</x:v>
      </x:c>
      <x:c r="Q2546" s="24" t="n">
        <x:f>IFERROR(J2546/H2546,0)</x:f>
        <x:v>0.42857142857142855</x:v>
      </x:c>
      <x:c r="R2546" s="24" t="n">
        <x:f>IFERROR(F2546/H2546,0)</x:f>
        <x:v>0.14285714285714285</x:v>
      </x:c>
      <x:c r="S2546" s="24" t="n">
        <x:f>IFERROR(F2546/J2546,0)</x:f>
        <x:v>0.3333333333333333</x:v>
      </x:c>
      <x:c r="T2546" s="28" t="n">
        <x:f>H2546-I2546</x:f>
        <x:v>9</x:v>
      </x:c>
      <x:c r="U2546" s="24" t="n">
        <x:f>IFERROR(J2546/H2546,0)-IFERROR(K2546/I2546,0)</x:f>
        <x:v>0.028571428571428525</x:v>
      </x:c>
      <x:c r="V2546" s="24" t="n">
        <x:f>IFERROR(F2546/J2546,0)-IFERROR(G2546/K2546,0)</x:f>
        <x:v>0.3333333333333333</x:v>
      </x:c>
      <x:c r="W2546" s="28" t="n">
        <x:f>L2546-M2546</x:f>
        <x:v>13</x:v>
      </x:c>
      <x:c r="X2546" s="24" t="n">
        <x:f>IFERROR(K2546/I2546,0)</x:f>
        <x:v>0.4</x:v>
      </x:c>
      <x:c r="Y2546" s="24" t="n">
        <x:f>IFERROR(G2546/I2546,0)</x:f>
        <x:v>0</x:v>
      </x:c>
      <x:c r="Z2546" s="24" t="n">
        <x:f>IFERROR(G2546/K2546,0)</x:f>
        <x:v>0</x:v>
      </x:c>
      <x:c r="AA2546" s="24" t="n">
        <x:f>IFERROR(F2546/H2546,0)-IFERROR(G2546/I2546,0)</x:f>
        <x:v>0.14285714285714285</x:v>
      </x:c>
      <x:c r="AB2546" s="28" t="n">
        <x:f>J2546-K2546</x:f>
        <x:v>4</x:v>
      </x:c>
      <x:c r="AC2546" s="32" t="n">
        <x:f>F2546-G2546</x:f>
        <x:v>2</x:v>
      </x:c>
    </x:row>
    <x:row r="2547">
      <x:c r="A2547" s="4" t="str">
        <x:v>2024-25</x:v>
      </x:c>
      <x:c r="B2547" s="20" t="n">
        <x:v>45630</x:v>
      </x:c>
      <x:c r="C2547" s="4" t="str">
        <x:v>Aston Villa</x:v>
      </x:c>
      <x:c r="D2547" s="4" t="str">
        <x:v>Brentford</x:v>
      </x:c>
      <x:c r="E2547" s="4" t="str">
        <x:v>Home</x:v>
      </x:c>
      <x:c r="F2547" s="28" t="n">
        <x:v>3</x:v>
      </x:c>
      <x:c r="G2547" s="28" t="n">
        <x:v>1</x:v>
      </x:c>
      <x:c r="H2547" s="28" t="n">
        <x:v>20</x:v>
      </x:c>
      <x:c r="I2547" s="28" t="n">
        <x:v>9</x:v>
      </x:c>
      <x:c r="J2547" s="28" t="n">
        <x:v>10</x:v>
      </x:c>
      <x:c r="K2547" s="28" t="n">
        <x:v>1</x:v>
      </x:c>
      <x:c r="L2547" s="28" t="n">
        <x:v>10</x:v>
      </x:c>
      <x:c r="M2547" s="28" t="n">
        <x:v>5</x:v>
      </x:c>
      <x:c r="N2547" s="28" t="n">
        <x:v>2</x:v>
      </x:c>
      <x:c r="O2547" s="28" t="n">
        <x:v>0</x:v>
      </x:c>
      <x:c r="P2547" s="28" t="n">
        <x:v>3</x:v>
      </x:c>
      <x:c r="Q2547" s="24" t="n">
        <x:f>IFERROR(J2547/H2547,0)</x:f>
        <x:v>0.5</x:v>
      </x:c>
      <x:c r="R2547" s="24" t="n">
        <x:f>IFERROR(F2547/H2547,0)</x:f>
        <x:v>0.15</x:v>
      </x:c>
      <x:c r="S2547" s="24" t="n">
        <x:f>IFERROR(F2547/J2547,0)</x:f>
        <x:v>0.3</x:v>
      </x:c>
      <x:c r="T2547" s="28" t="n">
        <x:f>H2547-I2547</x:f>
        <x:v>11</x:v>
      </x:c>
      <x:c r="U2547" s="24" t="n">
        <x:f>IFERROR(J2547/H2547,0)-IFERROR(K2547/I2547,0)</x:f>
        <x:v>0.3888888888888889</x:v>
      </x:c>
      <x:c r="V2547" s="24" t="n">
        <x:f>IFERROR(F2547/J2547,0)-IFERROR(G2547/K2547,0)</x:f>
        <x:v>-0.7</x:v>
      </x:c>
      <x:c r="W2547" s="28" t="n">
        <x:f>L2547-M2547</x:f>
        <x:v>5</x:v>
      </x:c>
      <x:c r="X2547" s="24" t="n">
        <x:f>IFERROR(K2547/I2547,0)</x:f>
        <x:v>0.1111111111111111</x:v>
      </x:c>
      <x:c r="Y2547" s="24" t="n">
        <x:f>IFERROR(G2547/I2547,0)</x:f>
        <x:v>0.1111111111111111</x:v>
      </x:c>
      <x:c r="Z2547" s="24" t="n">
        <x:f>IFERROR(G2547/K2547,0)</x:f>
        <x:v>1</x:v>
      </x:c>
      <x:c r="AA2547" s="24" t="n">
        <x:f>IFERROR(F2547/H2547,0)-IFERROR(G2547/I2547,0)</x:f>
        <x:v>0.03888888888888889</x:v>
      </x:c>
      <x:c r="AB2547" s="28" t="n">
        <x:f>J2547-K2547</x:f>
        <x:v>9</x:v>
      </x:c>
      <x:c r="AC2547" s="32" t="n">
        <x:f>F2547-G2547</x:f>
        <x:v>2</x:v>
      </x:c>
    </x:row>
    <x:row r="2548">
      <x:c r="A2548" s="4" t="str">
        <x:v>2024-25</x:v>
      </x:c>
      <x:c r="B2548" s="20" t="n">
        <x:v>45630</x:v>
      </x:c>
      <x:c r="C2548" s="4" t="str">
        <x:v>Brentford</x:v>
      </x:c>
      <x:c r="D2548" s="4" t="str">
        <x:v>Aston Villa</x:v>
      </x:c>
      <x:c r="E2548" s="4" t="str">
        <x:v>Away</x:v>
      </x:c>
      <x:c r="F2548" s="28" t="n">
        <x:v>1</x:v>
      </x:c>
      <x:c r="G2548" s="28" t="n">
        <x:v>3</x:v>
      </x:c>
      <x:c r="H2548" s="28" t="n">
        <x:v>9</x:v>
      </x:c>
      <x:c r="I2548" s="28" t="n">
        <x:v>20</x:v>
      </x:c>
      <x:c r="J2548" s="28" t="n">
        <x:v>1</x:v>
      </x:c>
      <x:c r="K2548" s="28" t="n">
        <x:v>10</x:v>
      </x:c>
      <x:c r="L2548" s="28" t="n">
        <x:v>5</x:v>
      </x:c>
      <x:c r="M2548" s="28" t="n">
        <x:v>10</x:v>
      </x:c>
      <x:c r="N2548" s="28" t="n">
        <x:v>2</x:v>
      </x:c>
      <x:c r="O2548" s="28" t="n">
        <x:v>0</x:v>
      </x:c>
      <x:c r="P2548" s="28" t="n">
        <x:v>0</x:v>
      </x:c>
      <x:c r="Q2548" s="24" t="n">
        <x:f>IFERROR(J2548/H2548,0)</x:f>
        <x:v>0.1111111111111111</x:v>
      </x:c>
      <x:c r="R2548" s="24" t="n">
        <x:f>IFERROR(F2548/H2548,0)</x:f>
        <x:v>0.1111111111111111</x:v>
      </x:c>
      <x:c r="S2548" s="24" t="n">
        <x:f>IFERROR(F2548/J2548,0)</x:f>
        <x:v>1</x:v>
      </x:c>
      <x:c r="T2548" s="28" t="n">
        <x:f>H2548-I2548</x:f>
        <x:v>-11</x:v>
      </x:c>
      <x:c r="U2548" s="24" t="n">
        <x:f>IFERROR(J2548/H2548,0)-IFERROR(K2548/I2548,0)</x:f>
        <x:v>-0.3888888888888889</x:v>
      </x:c>
      <x:c r="V2548" s="24" t="n">
        <x:f>IFERROR(F2548/J2548,0)-IFERROR(G2548/K2548,0)</x:f>
        <x:v>0.7</x:v>
      </x:c>
      <x:c r="W2548" s="28" t="n">
        <x:f>L2548-M2548</x:f>
        <x:v>-5</x:v>
      </x:c>
      <x:c r="X2548" s="24" t="n">
        <x:f>IFERROR(K2548/I2548,0)</x:f>
        <x:v>0.5</x:v>
      </x:c>
      <x:c r="Y2548" s="24" t="n">
        <x:f>IFERROR(G2548/I2548,0)</x:f>
        <x:v>0.15</x:v>
      </x:c>
      <x:c r="Z2548" s="24" t="n">
        <x:f>IFERROR(G2548/K2548,0)</x:f>
        <x:v>0.3</x:v>
      </x:c>
      <x:c r="AA2548" s="24" t="n">
        <x:f>IFERROR(F2548/H2548,0)-IFERROR(G2548/I2548,0)</x:f>
        <x:v>-0.03888888888888889</x:v>
      </x:c>
      <x:c r="AB2548" s="28" t="n">
        <x:f>J2548-K2548</x:f>
        <x:v>-9</x:v>
      </x:c>
      <x:c r="AC2548" s="32" t="n">
        <x:f>F2548-G2548</x:f>
        <x:v>-2</x:v>
      </x:c>
    </x:row>
    <x:row r="2549">
      <x:c r="A2549" s="4" t="str">
        <x:v>2024-25</x:v>
      </x:c>
      <x:c r="B2549" s="20" t="n">
        <x:v>45630</x:v>
      </x:c>
      <x:c r="C2549" s="4" t="str">
        <x:v>Chelsea</x:v>
      </x:c>
      <x:c r="D2549" s="4" t="str">
        <x:v>Southampton</x:v>
      </x:c>
      <x:c r="E2549" s="4" t="str">
        <x:v>Away</x:v>
      </x:c>
      <x:c r="F2549" s="28" t="n">
        <x:v>5</x:v>
      </x:c>
      <x:c r="G2549" s="28" t="n">
        <x:v>1</x:v>
      </x:c>
      <x:c r="H2549" s="28" t="n">
        <x:v>26</x:v>
      </x:c>
      <x:c r="I2549" s="28" t="n">
        <x:v>6</x:v>
      </x:c>
      <x:c r="J2549" s="28" t="n">
        <x:v>13</x:v>
      </x:c>
      <x:c r="K2549" s="28" t="n">
        <x:v>4</x:v>
      </x:c>
      <x:c r="L2549" s="28" t="n">
        <x:v>7</x:v>
      </x:c>
      <x:c r="M2549" s="28" t="n">
        <x:v>5</x:v>
      </x:c>
      <x:c r="N2549" s="28" t="n">
        <x:v>0</x:v>
      </x:c>
      <x:c r="O2549" s="28" t="n">
        <x:v>0</x:v>
      </x:c>
      <x:c r="P2549" s="28" t="n">
        <x:v>3</x:v>
      </x:c>
      <x:c r="Q2549" s="24" t="n">
        <x:f>IFERROR(J2549/H2549,0)</x:f>
        <x:v>0.5</x:v>
      </x:c>
      <x:c r="R2549" s="24" t="n">
        <x:f>IFERROR(F2549/H2549,0)</x:f>
        <x:v>0.19230769230769232</x:v>
      </x:c>
      <x:c r="S2549" s="24" t="n">
        <x:f>IFERROR(F2549/J2549,0)</x:f>
        <x:v>0.38461538461538464</x:v>
      </x:c>
      <x:c r="T2549" s="28" t="n">
        <x:f>H2549-I2549</x:f>
        <x:v>20</x:v>
      </x:c>
      <x:c r="U2549" s="24" t="n">
        <x:f>IFERROR(J2549/H2549,0)-IFERROR(K2549/I2549,0)</x:f>
        <x:v>-0.16666666666666663</x:v>
      </x:c>
      <x:c r="V2549" s="24" t="n">
        <x:f>IFERROR(F2549/J2549,0)-IFERROR(G2549/K2549,0)</x:f>
        <x:v>0.13461538461538464</x:v>
      </x:c>
      <x:c r="W2549" s="28" t="n">
        <x:f>L2549-M2549</x:f>
        <x:v>2</x:v>
      </x:c>
      <x:c r="X2549" s="24" t="n">
        <x:f>IFERROR(K2549/I2549,0)</x:f>
        <x:v>0.6666666666666666</x:v>
      </x:c>
      <x:c r="Y2549" s="24" t="n">
        <x:f>IFERROR(G2549/I2549,0)</x:f>
        <x:v>0.16666666666666666</x:v>
      </x:c>
      <x:c r="Z2549" s="24" t="n">
        <x:f>IFERROR(G2549/K2549,0)</x:f>
        <x:v>0.25</x:v>
      </x:c>
      <x:c r="AA2549" s="24" t="n">
        <x:f>IFERROR(F2549/H2549,0)-IFERROR(G2549/I2549,0)</x:f>
        <x:v>0.02564102564102566</x:v>
      </x:c>
      <x:c r="AB2549" s="28" t="n">
        <x:f>J2549-K2549</x:f>
        <x:v>9</x:v>
      </x:c>
      <x:c r="AC2549" s="32" t="n">
        <x:f>F2549-G2549</x:f>
        <x:v>4</x:v>
      </x:c>
    </x:row>
    <x:row r="2550">
      <x:c r="A2550" s="4" t="str">
        <x:v>2024-25</x:v>
      </x:c>
      <x:c r="B2550" s="20" t="n">
        <x:v>45630</x:v>
      </x:c>
      <x:c r="C2550" s="4" t="str">
        <x:v>Everton</x:v>
      </x:c>
      <x:c r="D2550" s="4" t="str">
        <x:v>Wolves</x:v>
      </x:c>
      <x:c r="E2550" s="4" t="str">
        <x:v>Home</x:v>
      </x:c>
      <x:c r="F2550" s="28" t="n">
        <x:v>4</x:v>
      </x:c>
      <x:c r="G2550" s="28" t="n">
        <x:v>0</x:v>
      </x:c>
      <x:c r="H2550" s="28" t="n">
        <x:v>13</x:v>
      </x:c>
      <x:c r="I2550" s="28" t="n">
        <x:v>6</x:v>
      </x:c>
      <x:c r="J2550" s="28" t="n">
        <x:v>4</x:v>
      </x:c>
      <x:c r="K2550" s="28" t="n">
        <x:v>2</x:v>
      </x:c>
      <x:c r="L2550" s="28" t="n">
        <x:v>3</x:v>
      </x:c>
      <x:c r="M2550" s="28" t="n">
        <x:v>4</x:v>
      </x:c>
      <x:c r="N2550" s="28" t="n">
        <x:v>2</x:v>
      </x:c>
      <x:c r="O2550" s="28" t="n">
        <x:v>0</x:v>
      </x:c>
      <x:c r="P2550" s="28" t="n">
        <x:v>3</x:v>
      </x:c>
      <x:c r="Q2550" s="24" t="n">
        <x:f>IFERROR(J2550/H2550,0)</x:f>
        <x:v>0.3076923076923077</x:v>
      </x:c>
      <x:c r="R2550" s="24" t="n">
        <x:f>IFERROR(F2550/H2550,0)</x:f>
        <x:v>0.3076923076923077</x:v>
      </x:c>
      <x:c r="S2550" s="24" t="n">
        <x:f>IFERROR(F2550/J2550,0)</x:f>
        <x:v>1</x:v>
      </x:c>
      <x:c r="T2550" s="28" t="n">
        <x:f>H2550-I2550</x:f>
        <x:v>7</x:v>
      </x:c>
      <x:c r="U2550" s="24" t="n">
        <x:f>IFERROR(J2550/H2550,0)-IFERROR(K2550/I2550,0)</x:f>
        <x:v>-0.025641025641025605</x:v>
      </x:c>
      <x:c r="V2550" s="24" t="n">
        <x:f>IFERROR(F2550/J2550,0)-IFERROR(G2550/K2550,0)</x:f>
        <x:v>1</x:v>
      </x:c>
      <x:c r="W2550" s="28" t="n">
        <x:f>L2550-M2550</x:f>
        <x:v>-1</x:v>
      </x:c>
      <x:c r="X2550" s="24" t="n">
        <x:f>IFERROR(K2550/I2550,0)</x:f>
        <x:v>0.3333333333333333</x:v>
      </x:c>
      <x:c r="Y2550" s="24" t="n">
        <x:f>IFERROR(G2550/I2550,0)</x:f>
        <x:v>0</x:v>
      </x:c>
      <x:c r="Z2550" s="24" t="n">
        <x:f>IFERROR(G2550/K2550,0)</x:f>
        <x:v>0</x:v>
      </x:c>
      <x:c r="AA2550" s="24" t="n">
        <x:f>IFERROR(F2550/H2550,0)-IFERROR(G2550/I2550,0)</x:f>
        <x:v>0.3076923076923077</x:v>
      </x:c>
      <x:c r="AB2550" s="28" t="n">
        <x:f>J2550-K2550</x:f>
        <x:v>2</x:v>
      </x:c>
      <x:c r="AC2550" s="32" t="n">
        <x:f>F2550-G2550</x:f>
        <x:v>4</x:v>
      </x:c>
    </x:row>
    <x:row r="2551">
      <x:c r="A2551" s="4" t="str">
        <x:v>2024-25</x:v>
      </x:c>
      <x:c r="B2551" s="20" t="n">
        <x:v>45630</x:v>
      </x:c>
      <x:c r="C2551" s="4" t="str">
        <x:v>Liverpool</x:v>
      </x:c>
      <x:c r="D2551" s="4" t="str">
        <x:v>Newcastle</x:v>
      </x:c>
      <x:c r="E2551" s="4" t="str">
        <x:v>Away</x:v>
      </x:c>
      <x:c r="F2551" s="28" t="n">
        <x:v>3</x:v>
      </x:c>
      <x:c r="G2551" s="28" t="n">
        <x:v>3</x:v>
      </x:c>
      <x:c r="H2551" s="28" t="n">
        <x:v>16</x:v>
      </x:c>
      <x:c r="I2551" s="28" t="n">
        <x:v>17</x:v>
      </x:c>
      <x:c r="J2551" s="28" t="n">
        <x:v>5</x:v>
      </x:c>
      <x:c r="K2551" s="28" t="n">
        <x:v>6</x:v>
      </x:c>
      <x:c r="L2551" s="28" t="n">
        <x:v>6</x:v>
      </x:c>
      <x:c r="M2551" s="28" t="n">
        <x:v>5</x:v>
      </x:c>
      <x:c r="N2551" s="28" t="n">
        <x:v>5</x:v>
      </x:c>
      <x:c r="O2551" s="28" t="n">
        <x:v>0</x:v>
      </x:c>
      <x:c r="P2551" s="28" t="n">
        <x:v>1</x:v>
      </x:c>
      <x:c r="Q2551" s="24" t="n">
        <x:f>IFERROR(J2551/H2551,0)</x:f>
        <x:v>0.3125</x:v>
      </x:c>
      <x:c r="R2551" s="24" t="n">
        <x:f>IFERROR(F2551/H2551,0)</x:f>
        <x:v>0.1875</x:v>
      </x:c>
      <x:c r="S2551" s="24" t="n">
        <x:f>IFERROR(F2551/J2551,0)</x:f>
        <x:v>0.6</x:v>
      </x:c>
      <x:c r="T2551" s="28" t="n">
        <x:f>H2551-I2551</x:f>
        <x:v>-1</x:v>
      </x:c>
      <x:c r="U2551" s="24" t="n">
        <x:f>IFERROR(J2551/H2551,0)-IFERROR(K2551/I2551,0)</x:f>
        <x:v>-0.04044117647058826</x:v>
      </x:c>
      <x:c r="V2551" s="24" t="n">
        <x:f>IFERROR(F2551/J2551,0)-IFERROR(G2551/K2551,0)</x:f>
        <x:v>0.09999999999999998</x:v>
      </x:c>
      <x:c r="W2551" s="28" t="n">
        <x:f>L2551-M2551</x:f>
        <x:v>1</x:v>
      </x:c>
      <x:c r="X2551" s="24" t="n">
        <x:f>IFERROR(K2551/I2551,0)</x:f>
        <x:v>0.35294117647058826</x:v>
      </x:c>
      <x:c r="Y2551" s="24" t="n">
        <x:f>IFERROR(G2551/I2551,0)</x:f>
        <x:v>0.17647058823529413</x:v>
      </x:c>
      <x:c r="Z2551" s="24" t="n">
        <x:f>IFERROR(G2551/K2551,0)</x:f>
        <x:v>0.5</x:v>
      </x:c>
      <x:c r="AA2551" s="24" t="n">
        <x:f>IFERROR(F2551/H2551,0)-IFERROR(G2551/I2551,0)</x:f>
        <x:v>0.011029411764705871</x:v>
      </x:c>
      <x:c r="AB2551" s="28" t="n">
        <x:f>J2551-K2551</x:f>
        <x:v>-1</x:v>
      </x:c>
      <x:c r="AC2551" s="32" t="n">
        <x:f>F2551-G2551</x:f>
        <x:v>0</x:v>
      </x:c>
    </x:row>
    <x:row r="2552">
      <x:c r="A2552" s="4" t="str">
        <x:v>2024-25</x:v>
      </x:c>
      <x:c r="B2552" s="20" t="n">
        <x:v>45630</x:v>
      </x:c>
      <x:c r="C2552" s="4" t="str">
        <x:v>Man City</x:v>
      </x:c>
      <x:c r="D2552" s="4" t="str">
        <x:v>Nott'm Forest</x:v>
      </x:c>
      <x:c r="E2552" s="4" t="str">
        <x:v>Home</x:v>
      </x:c>
      <x:c r="F2552" s="28" t="n">
        <x:v>3</x:v>
      </x:c>
      <x:c r="G2552" s="28" t="n">
        <x:v>0</x:v>
      </x:c>
      <x:c r="H2552" s="28" t="n">
        <x:v>17</x:v>
      </x:c>
      <x:c r="I2552" s="28" t="n">
        <x:v>12</x:v>
      </x:c>
      <x:c r="J2552" s="28" t="n">
        <x:v>7</x:v>
      </x:c>
      <x:c r="K2552" s="28" t="n">
        <x:v>3</x:v>
      </x:c>
      <x:c r="L2552" s="28" t="n">
        <x:v>8</x:v>
      </x:c>
      <x:c r="M2552" s="28" t="n">
        <x:v>2</x:v>
      </x:c>
      <x:c r="N2552" s="28" t="n">
        <x:v>2</x:v>
      </x:c>
      <x:c r="O2552" s="28" t="n">
        <x:v>0</x:v>
      </x:c>
      <x:c r="P2552" s="28" t="n">
        <x:v>3</x:v>
      </x:c>
      <x:c r="Q2552" s="24" t="n">
        <x:f>IFERROR(J2552/H2552,0)</x:f>
        <x:v>0.4117647058823529</x:v>
      </x:c>
      <x:c r="R2552" s="24" t="n">
        <x:f>IFERROR(F2552/H2552,0)</x:f>
        <x:v>0.17647058823529413</x:v>
      </x:c>
      <x:c r="S2552" s="24" t="n">
        <x:f>IFERROR(F2552/J2552,0)</x:f>
        <x:v>0.42857142857142855</x:v>
      </x:c>
      <x:c r="T2552" s="28" t="n">
        <x:f>H2552-I2552</x:f>
        <x:v>5</x:v>
      </x:c>
      <x:c r="U2552" s="24" t="n">
        <x:f>IFERROR(J2552/H2552,0)-IFERROR(K2552/I2552,0)</x:f>
        <x:v>0.16176470588235292</x:v>
      </x:c>
      <x:c r="V2552" s="24" t="n">
        <x:f>IFERROR(F2552/J2552,0)-IFERROR(G2552/K2552,0)</x:f>
        <x:v>0.42857142857142855</x:v>
      </x:c>
      <x:c r="W2552" s="28" t="n">
        <x:f>L2552-M2552</x:f>
        <x:v>6</x:v>
      </x:c>
      <x:c r="X2552" s="24" t="n">
        <x:f>IFERROR(K2552/I2552,0)</x:f>
        <x:v>0.25</x:v>
      </x:c>
      <x:c r="Y2552" s="24" t="n">
        <x:f>IFERROR(G2552/I2552,0)</x:f>
        <x:v>0</x:v>
      </x:c>
      <x:c r="Z2552" s="24" t="n">
        <x:f>IFERROR(G2552/K2552,0)</x:f>
        <x:v>0</x:v>
      </x:c>
      <x:c r="AA2552" s="24" t="n">
        <x:f>IFERROR(F2552/H2552,0)-IFERROR(G2552/I2552,0)</x:f>
        <x:v>0.17647058823529413</x:v>
      </x:c>
      <x:c r="AB2552" s="28" t="n">
        <x:f>J2552-K2552</x:f>
        <x:v>4</x:v>
      </x:c>
      <x:c r="AC2552" s="32" t="n">
        <x:f>F2552-G2552</x:f>
        <x:v>3</x:v>
      </x:c>
    </x:row>
    <x:row r="2553">
      <x:c r="A2553" s="4" t="str">
        <x:v>2024-25</x:v>
      </x:c>
      <x:c r="B2553" s="20" t="n">
        <x:v>45630</x:v>
      </x:c>
      <x:c r="C2553" s="4" t="str">
        <x:v>Man United</x:v>
      </x:c>
      <x:c r="D2553" s="4" t="str">
        <x:v>Arsenal</x:v>
      </x:c>
      <x:c r="E2553" s="4" t="str">
        <x:v>Away</x:v>
      </x:c>
      <x:c r="F2553" s="28" t="n">
        <x:v>0</x:v>
      </x:c>
      <x:c r="G2553" s="28" t="n">
        <x:v>2</x:v>
      </x:c>
      <x:c r="H2553" s="28" t="n">
        <x:v>5</x:v>
      </x:c>
      <x:c r="I2553" s="28" t="n">
        <x:v>14</x:v>
      </x:c>
      <x:c r="J2553" s="28" t="n">
        <x:v>2</x:v>
      </x:c>
      <x:c r="K2553" s="28" t="n">
        <x:v>6</x:v>
      </x:c>
      <x:c r="L2553" s="28" t="n">
        <x:v>0</x:v>
      </x:c>
      <x:c r="M2553" s="28" t="n">
        <x:v>13</x:v>
      </x:c>
      <x:c r="N2553" s="28" t="n">
        <x:v>3</x:v>
      </x:c>
      <x:c r="O2553" s="28" t="n">
        <x:v>0</x:v>
      </x:c>
      <x:c r="P2553" s="28" t="n">
        <x:v>0</x:v>
      </x:c>
      <x:c r="Q2553" s="24" t="n">
        <x:f>IFERROR(J2553/H2553,0)</x:f>
        <x:v>0.4</x:v>
      </x:c>
      <x:c r="R2553" s="24" t="n">
        <x:f>IFERROR(F2553/H2553,0)</x:f>
        <x:v>0</x:v>
      </x:c>
      <x:c r="S2553" s="24" t="n">
        <x:f>IFERROR(F2553/J2553,0)</x:f>
        <x:v>0</x:v>
      </x:c>
      <x:c r="T2553" s="28" t="n">
        <x:f>H2553-I2553</x:f>
        <x:v>-9</x:v>
      </x:c>
      <x:c r="U2553" s="24" t="n">
        <x:f>IFERROR(J2553/H2553,0)-IFERROR(K2553/I2553,0)</x:f>
        <x:v>-0.028571428571428525</x:v>
      </x:c>
      <x:c r="V2553" s="24" t="n">
        <x:f>IFERROR(F2553/J2553,0)-IFERROR(G2553/K2553,0)</x:f>
        <x:v>-0.3333333333333333</x:v>
      </x:c>
      <x:c r="W2553" s="28" t="n">
        <x:f>L2553-M2553</x:f>
        <x:v>-13</x:v>
      </x:c>
      <x:c r="X2553" s="24" t="n">
        <x:f>IFERROR(K2553/I2553,0)</x:f>
        <x:v>0.42857142857142855</x:v>
      </x:c>
      <x:c r="Y2553" s="24" t="n">
        <x:f>IFERROR(G2553/I2553,0)</x:f>
        <x:v>0.14285714285714285</x:v>
      </x:c>
      <x:c r="Z2553" s="24" t="n">
        <x:f>IFERROR(G2553/K2553,0)</x:f>
        <x:v>0.3333333333333333</x:v>
      </x:c>
      <x:c r="AA2553" s="24" t="n">
        <x:f>IFERROR(F2553/H2553,0)-IFERROR(G2553/I2553,0)</x:f>
        <x:v>-0.14285714285714285</x:v>
      </x:c>
      <x:c r="AB2553" s="28" t="n">
        <x:f>J2553-K2553</x:f>
        <x:v>-4</x:v>
      </x:c>
      <x:c r="AC2553" s="32" t="n">
        <x:f>F2553-G2553</x:f>
        <x:v>-2</x:v>
      </x:c>
    </x:row>
    <x:row r="2554">
      <x:c r="A2554" s="4" t="str">
        <x:v>2024-25</x:v>
      </x:c>
      <x:c r="B2554" s="20" t="n">
        <x:v>45630</x:v>
      </x:c>
      <x:c r="C2554" s="4" t="str">
        <x:v>Newcastle</x:v>
      </x:c>
      <x:c r="D2554" s="4" t="str">
        <x:v>Liverpool</x:v>
      </x:c>
      <x:c r="E2554" s="4" t="str">
        <x:v>Home</x:v>
      </x:c>
      <x:c r="F2554" s="28" t="n">
        <x:v>3</x:v>
      </x:c>
      <x:c r="G2554" s="28" t="n">
        <x:v>3</x:v>
      </x:c>
      <x:c r="H2554" s="28" t="n">
        <x:v>17</x:v>
      </x:c>
      <x:c r="I2554" s="28" t="n">
        <x:v>16</x:v>
      </x:c>
      <x:c r="J2554" s="28" t="n">
        <x:v>6</x:v>
      </x:c>
      <x:c r="K2554" s="28" t="n">
        <x:v>5</x:v>
      </x:c>
      <x:c r="L2554" s="28" t="n">
        <x:v>5</x:v>
      </x:c>
      <x:c r="M2554" s="28" t="n">
        <x:v>6</x:v>
      </x:c>
      <x:c r="N2554" s="28" t="n">
        <x:v>2</x:v>
      </x:c>
      <x:c r="O2554" s="28" t="n">
        <x:v>0</x:v>
      </x:c>
      <x:c r="P2554" s="28" t="n">
        <x:v>1</x:v>
      </x:c>
      <x:c r="Q2554" s="24" t="n">
        <x:f>IFERROR(J2554/H2554,0)</x:f>
        <x:v>0.35294117647058826</x:v>
      </x:c>
      <x:c r="R2554" s="24" t="n">
        <x:f>IFERROR(F2554/H2554,0)</x:f>
        <x:v>0.17647058823529413</x:v>
      </x:c>
      <x:c r="S2554" s="24" t="n">
        <x:f>IFERROR(F2554/J2554,0)</x:f>
        <x:v>0.5</x:v>
      </x:c>
      <x:c r="T2554" s="28" t="n">
        <x:f>H2554-I2554</x:f>
        <x:v>1</x:v>
      </x:c>
      <x:c r="U2554" s="24" t="n">
        <x:f>IFERROR(J2554/H2554,0)-IFERROR(K2554/I2554,0)</x:f>
        <x:v>0.04044117647058826</x:v>
      </x:c>
      <x:c r="V2554" s="24" t="n">
        <x:f>IFERROR(F2554/J2554,0)-IFERROR(G2554/K2554,0)</x:f>
        <x:v>-0.09999999999999998</x:v>
      </x:c>
      <x:c r="W2554" s="28" t="n">
        <x:f>L2554-M2554</x:f>
        <x:v>-1</x:v>
      </x:c>
      <x:c r="X2554" s="24" t="n">
        <x:f>IFERROR(K2554/I2554,0)</x:f>
        <x:v>0.3125</x:v>
      </x:c>
      <x:c r="Y2554" s="24" t="n">
        <x:f>IFERROR(G2554/I2554,0)</x:f>
        <x:v>0.1875</x:v>
      </x:c>
      <x:c r="Z2554" s="24" t="n">
        <x:f>IFERROR(G2554/K2554,0)</x:f>
        <x:v>0.6</x:v>
      </x:c>
      <x:c r="AA2554" s="24" t="n">
        <x:f>IFERROR(F2554/H2554,0)-IFERROR(G2554/I2554,0)</x:f>
        <x:v>-0.011029411764705871</x:v>
      </x:c>
      <x:c r="AB2554" s="28" t="n">
        <x:f>J2554-K2554</x:f>
        <x:v>1</x:v>
      </x:c>
      <x:c r="AC2554" s="32" t="n">
        <x:f>F2554-G2554</x:f>
        <x:v>0</x:v>
      </x:c>
    </x:row>
    <x:row r="2555">
      <x:c r="A2555" s="4" t="str">
        <x:v>2024-25</x:v>
      </x:c>
      <x:c r="B2555" s="20" t="n">
        <x:v>45630</x:v>
      </x:c>
      <x:c r="C2555" s="4" t="str">
        <x:v>Nott'm Forest</x:v>
      </x:c>
      <x:c r="D2555" s="4" t="str">
        <x:v>Man City</x:v>
      </x:c>
      <x:c r="E2555" s="4" t="str">
        <x:v>Away</x:v>
      </x:c>
      <x:c r="F2555" s="28" t="n">
        <x:v>0</x:v>
      </x:c>
      <x:c r="G2555" s="28" t="n">
        <x:v>3</x:v>
      </x:c>
      <x:c r="H2555" s="28" t="n">
        <x:v>12</x:v>
      </x:c>
      <x:c r="I2555" s="28" t="n">
        <x:v>17</x:v>
      </x:c>
      <x:c r="J2555" s="28" t="n">
        <x:v>3</x:v>
      </x:c>
      <x:c r="K2555" s="28" t="n">
        <x:v>7</x:v>
      </x:c>
      <x:c r="L2555" s="28" t="n">
        <x:v>2</x:v>
      </x:c>
      <x:c r="M2555" s="28" t="n">
        <x:v>8</x:v>
      </x:c>
      <x:c r="N2555" s="28" t="n">
        <x:v>4</x:v>
      </x:c>
      <x:c r="O2555" s="28" t="n">
        <x:v>0</x:v>
      </x:c>
      <x:c r="P2555" s="28" t="n">
        <x:v>0</x:v>
      </x:c>
      <x:c r="Q2555" s="24" t="n">
        <x:f>IFERROR(J2555/H2555,0)</x:f>
        <x:v>0.25</x:v>
      </x:c>
      <x:c r="R2555" s="24" t="n">
        <x:f>IFERROR(F2555/H2555,0)</x:f>
        <x:v>0</x:v>
      </x:c>
      <x:c r="S2555" s="24" t="n">
        <x:f>IFERROR(F2555/J2555,0)</x:f>
        <x:v>0</x:v>
      </x:c>
      <x:c r="T2555" s="28" t="n">
        <x:f>H2555-I2555</x:f>
        <x:v>-5</x:v>
      </x:c>
      <x:c r="U2555" s="24" t="n">
        <x:f>IFERROR(J2555/H2555,0)-IFERROR(K2555/I2555,0)</x:f>
        <x:v>-0.16176470588235292</x:v>
      </x:c>
      <x:c r="V2555" s="24" t="n">
        <x:f>IFERROR(F2555/J2555,0)-IFERROR(G2555/K2555,0)</x:f>
        <x:v>-0.42857142857142855</x:v>
      </x:c>
      <x:c r="W2555" s="28" t="n">
        <x:f>L2555-M2555</x:f>
        <x:v>-6</x:v>
      </x:c>
      <x:c r="X2555" s="24" t="n">
        <x:f>IFERROR(K2555/I2555,0)</x:f>
        <x:v>0.4117647058823529</x:v>
      </x:c>
      <x:c r="Y2555" s="24" t="n">
        <x:f>IFERROR(G2555/I2555,0)</x:f>
        <x:v>0.17647058823529413</x:v>
      </x:c>
      <x:c r="Z2555" s="24" t="n">
        <x:f>IFERROR(G2555/K2555,0)</x:f>
        <x:v>0.42857142857142855</x:v>
      </x:c>
      <x:c r="AA2555" s="24" t="n">
        <x:f>IFERROR(F2555/H2555,0)-IFERROR(G2555/I2555,0)</x:f>
        <x:v>-0.17647058823529413</x:v>
      </x:c>
      <x:c r="AB2555" s="28" t="n">
        <x:f>J2555-K2555</x:f>
        <x:v>-4</x:v>
      </x:c>
      <x:c r="AC2555" s="32" t="n">
        <x:f>F2555-G2555</x:f>
        <x:v>-3</x:v>
      </x:c>
    </x:row>
    <x:row r="2556">
      <x:c r="A2556" s="4" t="str">
        <x:v>2024-25</x:v>
      </x:c>
      <x:c r="B2556" s="20" t="n">
        <x:v>45630</x:v>
      </x:c>
      <x:c r="C2556" s="4" t="str">
        <x:v>Southampton</x:v>
      </x:c>
      <x:c r="D2556" s="4" t="str">
        <x:v>Chelsea</x:v>
      </x:c>
      <x:c r="E2556" s="4" t="str">
        <x:v>Home</x:v>
      </x:c>
      <x:c r="F2556" s="28" t="n">
        <x:v>1</x:v>
      </x:c>
      <x:c r="G2556" s="28" t="n">
        <x:v>5</x:v>
      </x:c>
      <x:c r="H2556" s="28" t="n">
        <x:v>6</x:v>
      </x:c>
      <x:c r="I2556" s="28" t="n">
        <x:v>26</x:v>
      </x:c>
      <x:c r="J2556" s="28" t="n">
        <x:v>4</x:v>
      </x:c>
      <x:c r="K2556" s="28" t="n">
        <x:v>13</x:v>
      </x:c>
      <x:c r="L2556" s="28" t="n">
        <x:v>5</x:v>
      </x:c>
      <x:c r="M2556" s="28" t="n">
        <x:v>7</x:v>
      </x:c>
      <x:c r="N2556" s="28" t="n">
        <x:v>1</x:v>
      </x:c>
      <x:c r="O2556" s="28" t="n">
        <x:v>1</x:v>
      </x:c>
      <x:c r="P2556" s="28" t="n">
        <x:v>0</x:v>
      </x:c>
      <x:c r="Q2556" s="24" t="n">
        <x:f>IFERROR(J2556/H2556,0)</x:f>
        <x:v>0.6666666666666666</x:v>
      </x:c>
      <x:c r="R2556" s="24" t="n">
        <x:f>IFERROR(F2556/H2556,0)</x:f>
        <x:v>0.16666666666666666</x:v>
      </x:c>
      <x:c r="S2556" s="24" t="n">
        <x:f>IFERROR(F2556/J2556,0)</x:f>
        <x:v>0.25</x:v>
      </x:c>
      <x:c r="T2556" s="28" t="n">
        <x:f>H2556-I2556</x:f>
        <x:v>-20</x:v>
      </x:c>
      <x:c r="U2556" s="24" t="n">
        <x:f>IFERROR(J2556/H2556,0)-IFERROR(K2556/I2556,0)</x:f>
        <x:v>0.16666666666666663</x:v>
      </x:c>
      <x:c r="V2556" s="24" t="n">
        <x:f>IFERROR(F2556/J2556,0)-IFERROR(G2556/K2556,0)</x:f>
        <x:v>-0.13461538461538464</x:v>
      </x:c>
      <x:c r="W2556" s="28" t="n">
        <x:f>L2556-M2556</x:f>
        <x:v>-2</x:v>
      </x:c>
      <x:c r="X2556" s="24" t="n">
        <x:f>IFERROR(K2556/I2556,0)</x:f>
        <x:v>0.5</x:v>
      </x:c>
      <x:c r="Y2556" s="24" t="n">
        <x:f>IFERROR(G2556/I2556,0)</x:f>
        <x:v>0.19230769230769232</x:v>
      </x:c>
      <x:c r="Z2556" s="24" t="n">
        <x:f>IFERROR(G2556/K2556,0)</x:f>
        <x:v>0.38461538461538464</x:v>
      </x:c>
      <x:c r="AA2556" s="24" t="n">
        <x:f>IFERROR(F2556/H2556,0)-IFERROR(G2556/I2556,0)</x:f>
        <x:v>-0.02564102564102566</x:v>
      </x:c>
      <x:c r="AB2556" s="28" t="n">
        <x:f>J2556-K2556</x:f>
        <x:v>-9</x:v>
      </x:c>
      <x:c r="AC2556" s="32" t="n">
        <x:f>F2556-G2556</x:f>
        <x:v>-4</x:v>
      </x:c>
    </x:row>
    <x:row r="2557">
      <x:c r="A2557" s="4" t="str">
        <x:v>2024-25</x:v>
      </x:c>
      <x:c r="B2557" s="20" t="n">
        <x:v>45630</x:v>
      </x:c>
      <x:c r="C2557" s="4" t="str">
        <x:v>Wolves</x:v>
      </x:c>
      <x:c r="D2557" s="4" t="str">
        <x:v>Everton</x:v>
      </x:c>
      <x:c r="E2557" s="4" t="str">
        <x:v>Away</x:v>
      </x:c>
      <x:c r="F2557" s="28" t="n">
        <x:v>0</x:v>
      </x:c>
      <x:c r="G2557" s="28" t="n">
        <x:v>4</x:v>
      </x:c>
      <x:c r="H2557" s="28" t="n">
        <x:v>6</x:v>
      </x:c>
      <x:c r="I2557" s="28" t="n">
        <x:v>13</x:v>
      </x:c>
      <x:c r="J2557" s="28" t="n">
        <x:v>2</x:v>
      </x:c>
      <x:c r="K2557" s="28" t="n">
        <x:v>4</x:v>
      </x:c>
      <x:c r="L2557" s="28" t="n">
        <x:v>4</x:v>
      </x:c>
      <x:c r="M2557" s="28" t="n">
        <x:v>3</x:v>
      </x:c>
      <x:c r="N2557" s="28" t="n">
        <x:v>0</x:v>
      </x:c>
      <x:c r="O2557" s="28" t="n">
        <x:v>0</x:v>
      </x:c>
      <x:c r="P2557" s="28" t="n">
        <x:v>0</x:v>
      </x:c>
      <x:c r="Q2557" s="24" t="n">
        <x:f>IFERROR(J2557/H2557,0)</x:f>
        <x:v>0.3333333333333333</x:v>
      </x:c>
      <x:c r="R2557" s="24" t="n">
        <x:f>IFERROR(F2557/H2557,0)</x:f>
        <x:v>0</x:v>
      </x:c>
      <x:c r="S2557" s="24" t="n">
        <x:f>IFERROR(F2557/J2557,0)</x:f>
        <x:v>0</x:v>
      </x:c>
      <x:c r="T2557" s="28" t="n">
        <x:f>H2557-I2557</x:f>
        <x:v>-7</x:v>
      </x:c>
      <x:c r="U2557" s="24" t="n">
        <x:f>IFERROR(J2557/H2557,0)-IFERROR(K2557/I2557,0)</x:f>
        <x:v>0.025641025641025605</x:v>
      </x:c>
      <x:c r="V2557" s="24" t="n">
        <x:f>IFERROR(F2557/J2557,0)-IFERROR(G2557/K2557,0)</x:f>
        <x:v>-1</x:v>
      </x:c>
      <x:c r="W2557" s="28" t="n">
        <x:f>L2557-M2557</x:f>
        <x:v>1</x:v>
      </x:c>
      <x:c r="X2557" s="24" t="n">
        <x:f>IFERROR(K2557/I2557,0)</x:f>
        <x:v>0.3076923076923077</x:v>
      </x:c>
      <x:c r="Y2557" s="24" t="n">
        <x:f>IFERROR(G2557/I2557,0)</x:f>
        <x:v>0.3076923076923077</x:v>
      </x:c>
      <x:c r="Z2557" s="24" t="n">
        <x:f>IFERROR(G2557/K2557,0)</x:f>
        <x:v>1</x:v>
      </x:c>
      <x:c r="AA2557" s="24" t="n">
        <x:f>IFERROR(F2557/H2557,0)-IFERROR(G2557/I2557,0)</x:f>
        <x:v>-0.3076923076923077</x:v>
      </x:c>
      <x:c r="AB2557" s="28" t="n">
        <x:f>J2557-K2557</x:f>
        <x:v>-2</x:v>
      </x:c>
      <x:c r="AC2557" s="32" t="n">
        <x:f>F2557-G2557</x:f>
        <x:v>-4</x:v>
      </x:c>
    </x:row>
    <x:row r="2558">
      <x:c r="A2558" s="4" t="str">
        <x:v>2024-25</x:v>
      </x:c>
      <x:c r="B2558" s="20" t="n">
        <x:v>45631</x:v>
      </x:c>
      <x:c r="C2558" s="4" t="str">
        <x:v>Bournemouth</x:v>
      </x:c>
      <x:c r="D2558" s="4" t="str">
        <x:v>Tottenham</x:v>
      </x:c>
      <x:c r="E2558" s="4" t="str">
        <x:v>Home</x:v>
      </x:c>
      <x:c r="F2558" s="28" t="n">
        <x:v>1</x:v>
      </x:c>
      <x:c r="G2558" s="28" t="n">
        <x:v>0</x:v>
      </x:c>
      <x:c r="H2558" s="28" t="n">
        <x:v>21</x:v>
      </x:c>
      <x:c r="I2558" s="28" t="n">
        <x:v>12</x:v>
      </x:c>
      <x:c r="J2558" s="28" t="n">
        <x:v>8</x:v>
      </x:c>
      <x:c r="K2558" s="28" t="n">
        <x:v>4</x:v>
      </x:c>
      <x:c r="L2558" s="28" t="n">
        <x:v>5</x:v>
      </x:c>
      <x:c r="M2558" s="28" t="n">
        <x:v>9</x:v>
      </x:c>
      <x:c r="N2558" s="28" t="n">
        <x:v>2</x:v>
      </x:c>
      <x:c r="O2558" s="28" t="n">
        <x:v>0</x:v>
      </x:c>
      <x:c r="P2558" s="28" t="n">
        <x:v>3</x:v>
      </x:c>
      <x:c r="Q2558" s="24" t="n">
        <x:f>IFERROR(J2558/H2558,0)</x:f>
        <x:v>0.38095238095238093</x:v>
      </x:c>
      <x:c r="R2558" s="24" t="n">
        <x:f>IFERROR(F2558/H2558,0)</x:f>
        <x:v>0.047619047619047616</x:v>
      </x:c>
      <x:c r="S2558" s="24" t="n">
        <x:f>IFERROR(F2558/J2558,0)</x:f>
        <x:v>0.125</x:v>
      </x:c>
      <x:c r="T2558" s="28" t="n">
        <x:f>H2558-I2558</x:f>
        <x:v>9</x:v>
      </x:c>
      <x:c r="U2558" s="24" t="n">
        <x:f>IFERROR(J2558/H2558,0)-IFERROR(K2558/I2558,0)</x:f>
        <x:v>0.047619047619047616</x:v>
      </x:c>
      <x:c r="V2558" s="24" t="n">
        <x:f>IFERROR(F2558/J2558,0)-IFERROR(G2558/K2558,0)</x:f>
        <x:v>0.125</x:v>
      </x:c>
      <x:c r="W2558" s="28" t="n">
        <x:f>L2558-M2558</x:f>
        <x:v>-4</x:v>
      </x:c>
      <x:c r="X2558" s="24" t="n">
        <x:f>IFERROR(K2558/I2558,0)</x:f>
        <x:v>0.3333333333333333</x:v>
      </x:c>
      <x:c r="Y2558" s="24" t="n">
        <x:f>IFERROR(G2558/I2558,0)</x:f>
        <x:v>0</x:v>
      </x:c>
      <x:c r="Z2558" s="24" t="n">
        <x:f>IFERROR(G2558/K2558,0)</x:f>
        <x:v>0</x:v>
      </x:c>
      <x:c r="AA2558" s="24" t="n">
        <x:f>IFERROR(F2558/H2558,0)-IFERROR(G2558/I2558,0)</x:f>
        <x:v>0.047619047619047616</x:v>
      </x:c>
      <x:c r="AB2558" s="28" t="n">
        <x:f>J2558-K2558</x:f>
        <x:v>4</x:v>
      </x:c>
      <x:c r="AC2558" s="32" t="n">
        <x:f>F2558-G2558</x:f>
        <x:v>1</x:v>
      </x:c>
    </x:row>
    <x:row r="2559">
      <x:c r="A2559" s="4" t="str">
        <x:v>2024-25</x:v>
      </x:c>
      <x:c r="B2559" s="20" t="n">
        <x:v>45631</x:v>
      </x:c>
      <x:c r="C2559" s="4" t="str">
        <x:v>Brighton</x:v>
      </x:c>
      <x:c r="D2559" s="4" t="str">
        <x:v>Fulham</x:v>
      </x:c>
      <x:c r="E2559" s="4" t="str">
        <x:v>Away</x:v>
      </x:c>
      <x:c r="F2559" s="28" t="n">
        <x:v>1</x:v>
      </x:c>
      <x:c r="G2559" s="28" t="n">
        <x:v>3</x:v>
      </x:c>
      <x:c r="H2559" s="28" t="n">
        <x:v>13</x:v>
      </x:c>
      <x:c r="I2559" s="28" t="n">
        <x:v>6</x:v>
      </x:c>
      <x:c r="J2559" s="28" t="n">
        <x:v>3</x:v>
      </x:c>
      <x:c r="K2559" s="28" t="n">
        <x:v>2</x:v>
      </x:c>
      <x:c r="L2559" s="28" t="n">
        <x:v>6</x:v>
      </x:c>
      <x:c r="M2559" s="28" t="n">
        <x:v>5</x:v>
      </x:c>
      <x:c r="N2559" s="28" t="n">
        <x:v>2</x:v>
      </x:c>
      <x:c r="O2559" s="28" t="n">
        <x:v>0</x:v>
      </x:c>
      <x:c r="P2559" s="28" t="n">
        <x:v>0</x:v>
      </x:c>
      <x:c r="Q2559" s="24" t="n">
        <x:f>IFERROR(J2559/H2559,0)</x:f>
        <x:v>0.23076923076923078</x:v>
      </x:c>
      <x:c r="R2559" s="24" t="n">
        <x:f>IFERROR(F2559/H2559,0)</x:f>
        <x:v>0.07692307692307693</x:v>
      </x:c>
      <x:c r="S2559" s="24" t="n">
        <x:f>IFERROR(F2559/J2559,0)</x:f>
        <x:v>0.3333333333333333</x:v>
      </x:c>
      <x:c r="T2559" s="28" t="n">
        <x:f>H2559-I2559</x:f>
        <x:v>7</x:v>
      </x:c>
      <x:c r="U2559" s="24" t="n">
        <x:f>IFERROR(J2559/H2559,0)-IFERROR(K2559/I2559,0)</x:f>
        <x:v>-0.10256410256410253</x:v>
      </x:c>
      <x:c r="V2559" s="24" t="n">
        <x:f>IFERROR(F2559/J2559,0)-IFERROR(G2559/K2559,0)</x:f>
        <x:v>-1.1666666666666667</x:v>
      </x:c>
      <x:c r="W2559" s="28" t="n">
        <x:f>L2559-M2559</x:f>
        <x:v>1</x:v>
      </x:c>
      <x:c r="X2559" s="24" t="n">
        <x:f>IFERROR(K2559/I2559,0)</x:f>
        <x:v>0.3333333333333333</x:v>
      </x:c>
      <x:c r="Y2559" s="24" t="n">
        <x:f>IFERROR(G2559/I2559,0)</x:f>
        <x:v>0.5</x:v>
      </x:c>
      <x:c r="Z2559" s="24" t="n">
        <x:f>IFERROR(G2559/K2559,0)</x:f>
        <x:v>1.5</x:v>
      </x:c>
      <x:c r="AA2559" s="24" t="n">
        <x:f>IFERROR(F2559/H2559,0)-IFERROR(G2559/I2559,0)</x:f>
        <x:v>-0.4230769230769231</x:v>
      </x:c>
      <x:c r="AB2559" s="28" t="n">
        <x:f>J2559-K2559</x:f>
        <x:v>1</x:v>
      </x:c>
      <x:c r="AC2559" s="32" t="n">
        <x:f>F2559-G2559</x:f>
        <x:v>-2</x:v>
      </x:c>
    </x:row>
    <x:row r="2560">
      <x:c r="A2560" s="4" t="str">
        <x:v>2024-25</x:v>
      </x:c>
      <x:c r="B2560" s="20" t="n">
        <x:v>45631</x:v>
      </x:c>
      <x:c r="C2560" s="4" t="str">
        <x:v>Fulham</x:v>
      </x:c>
      <x:c r="D2560" s="4" t="str">
        <x:v>Brighton</x:v>
      </x:c>
      <x:c r="E2560" s="4" t="str">
        <x:v>Home</x:v>
      </x:c>
      <x:c r="F2560" s="28" t="n">
        <x:v>3</x:v>
      </x:c>
      <x:c r="G2560" s="28" t="n">
        <x:v>1</x:v>
      </x:c>
      <x:c r="H2560" s="28" t="n">
        <x:v>6</x:v>
      </x:c>
      <x:c r="I2560" s="28" t="n">
        <x:v>13</x:v>
      </x:c>
      <x:c r="J2560" s="28" t="n">
        <x:v>2</x:v>
      </x:c>
      <x:c r="K2560" s="28" t="n">
        <x:v>3</x:v>
      </x:c>
      <x:c r="L2560" s="28" t="n">
        <x:v>5</x:v>
      </x:c>
      <x:c r="M2560" s="28" t="n">
        <x:v>6</x:v>
      </x:c>
      <x:c r="N2560" s="28" t="n">
        <x:v>2</x:v>
      </x:c>
      <x:c r="O2560" s="28" t="n">
        <x:v>0</x:v>
      </x:c>
      <x:c r="P2560" s="28" t="n">
        <x:v>3</x:v>
      </x:c>
      <x:c r="Q2560" s="24" t="n">
        <x:f>IFERROR(J2560/H2560,0)</x:f>
        <x:v>0.3333333333333333</x:v>
      </x:c>
      <x:c r="R2560" s="24" t="n">
        <x:f>IFERROR(F2560/H2560,0)</x:f>
        <x:v>0.5</x:v>
      </x:c>
      <x:c r="S2560" s="24" t="n">
        <x:f>IFERROR(F2560/J2560,0)</x:f>
        <x:v>1.5</x:v>
      </x:c>
      <x:c r="T2560" s="28" t="n">
        <x:f>H2560-I2560</x:f>
        <x:v>-7</x:v>
      </x:c>
      <x:c r="U2560" s="24" t="n">
        <x:f>IFERROR(J2560/H2560,0)-IFERROR(K2560/I2560,0)</x:f>
        <x:v>0.10256410256410253</x:v>
      </x:c>
      <x:c r="V2560" s="24" t="n">
        <x:f>IFERROR(F2560/J2560,0)-IFERROR(G2560/K2560,0)</x:f>
        <x:v>1.1666666666666667</x:v>
      </x:c>
      <x:c r="W2560" s="28" t="n">
        <x:f>L2560-M2560</x:f>
        <x:v>-1</x:v>
      </x:c>
      <x:c r="X2560" s="24" t="n">
        <x:f>IFERROR(K2560/I2560,0)</x:f>
        <x:v>0.23076923076923078</x:v>
      </x:c>
      <x:c r="Y2560" s="24" t="n">
        <x:f>IFERROR(G2560/I2560,0)</x:f>
        <x:v>0.07692307692307693</x:v>
      </x:c>
      <x:c r="Z2560" s="24" t="n">
        <x:f>IFERROR(G2560/K2560,0)</x:f>
        <x:v>0.3333333333333333</x:v>
      </x:c>
      <x:c r="AA2560" s="24" t="n">
        <x:f>IFERROR(F2560/H2560,0)-IFERROR(G2560/I2560,0)</x:f>
        <x:v>0.4230769230769231</x:v>
      </x:c>
      <x:c r="AB2560" s="28" t="n">
        <x:f>J2560-K2560</x:f>
        <x:v>-1</x:v>
      </x:c>
      <x:c r="AC2560" s="32" t="n">
        <x:f>F2560-G2560</x:f>
        <x:v>2</x:v>
      </x:c>
    </x:row>
    <x:row r="2561">
      <x:c r="A2561" s="4" t="str">
        <x:v>2024-25</x:v>
      </x:c>
      <x:c r="B2561" s="20" t="n">
        <x:v>45631</x:v>
      </x:c>
      <x:c r="C2561" s="4" t="str">
        <x:v>Tottenham</x:v>
      </x:c>
      <x:c r="D2561" s="4" t="str">
        <x:v>Bournemouth</x:v>
      </x:c>
      <x:c r="E2561" s="4" t="str">
        <x:v>Away</x:v>
      </x:c>
      <x:c r="F2561" s="28" t="n">
        <x:v>0</x:v>
      </x:c>
      <x:c r="G2561" s="28" t="n">
        <x:v>1</x:v>
      </x:c>
      <x:c r="H2561" s="28" t="n">
        <x:v>12</x:v>
      </x:c>
      <x:c r="I2561" s="28" t="n">
        <x:v>21</x:v>
      </x:c>
      <x:c r="J2561" s="28" t="n">
        <x:v>4</x:v>
      </x:c>
      <x:c r="K2561" s="28" t="n">
        <x:v>8</x:v>
      </x:c>
      <x:c r="L2561" s="28" t="n">
        <x:v>9</x:v>
      </x:c>
      <x:c r="M2561" s="28" t="n">
        <x:v>5</x:v>
      </x:c>
      <x:c r="N2561" s="28" t="n">
        <x:v>2</x:v>
      </x:c>
      <x:c r="O2561" s="28" t="n">
        <x:v>0</x:v>
      </x:c>
      <x:c r="P2561" s="28" t="n">
        <x:v>0</x:v>
      </x:c>
      <x:c r="Q2561" s="24" t="n">
        <x:f>IFERROR(J2561/H2561,0)</x:f>
        <x:v>0.3333333333333333</x:v>
      </x:c>
      <x:c r="R2561" s="24" t="n">
        <x:f>IFERROR(F2561/H2561,0)</x:f>
        <x:v>0</x:v>
      </x:c>
      <x:c r="S2561" s="24" t="n">
        <x:f>IFERROR(F2561/J2561,0)</x:f>
        <x:v>0</x:v>
      </x:c>
      <x:c r="T2561" s="28" t="n">
        <x:f>H2561-I2561</x:f>
        <x:v>-9</x:v>
      </x:c>
      <x:c r="U2561" s="24" t="n">
        <x:f>IFERROR(J2561/H2561,0)-IFERROR(K2561/I2561,0)</x:f>
        <x:v>-0.047619047619047616</x:v>
      </x:c>
      <x:c r="V2561" s="24" t="n">
        <x:f>IFERROR(F2561/J2561,0)-IFERROR(G2561/K2561,0)</x:f>
        <x:v>-0.125</x:v>
      </x:c>
      <x:c r="W2561" s="28" t="n">
        <x:f>L2561-M2561</x:f>
        <x:v>4</x:v>
      </x:c>
      <x:c r="X2561" s="24" t="n">
        <x:f>IFERROR(K2561/I2561,0)</x:f>
        <x:v>0.38095238095238093</x:v>
      </x:c>
      <x:c r="Y2561" s="24" t="n">
        <x:f>IFERROR(G2561/I2561,0)</x:f>
        <x:v>0.047619047619047616</x:v>
      </x:c>
      <x:c r="Z2561" s="24" t="n">
        <x:f>IFERROR(G2561/K2561,0)</x:f>
        <x:v>0.125</x:v>
      </x:c>
      <x:c r="AA2561" s="24" t="n">
        <x:f>IFERROR(F2561/H2561,0)-IFERROR(G2561/I2561,0)</x:f>
        <x:v>-0.047619047619047616</x:v>
      </x:c>
      <x:c r="AB2561" s="28" t="n">
        <x:f>J2561-K2561</x:f>
        <x:v>-4</x:v>
      </x:c>
      <x:c r="AC2561" s="32" t="n">
        <x:f>F2561-G2561</x:f>
        <x:v>-1</x:v>
      </x:c>
    </x:row>
    <x:row r="2562">
      <x:c r="A2562" s="4" t="str">
        <x:v>2024-25</x:v>
      </x:c>
      <x:c r="B2562" s="20" t="n">
        <x:v>45633</x:v>
      </x:c>
      <x:c r="C2562" s="4" t="str">
        <x:v>Aston Villa</x:v>
      </x:c>
      <x:c r="D2562" s="4" t="str">
        <x:v>Southampton</x:v>
      </x:c>
      <x:c r="E2562" s="4" t="str">
        <x:v>Home</x:v>
      </x:c>
      <x:c r="F2562" s="28" t="n">
        <x:v>1</x:v>
      </x:c>
      <x:c r="G2562" s="28" t="n">
        <x:v>0</x:v>
      </x:c>
      <x:c r="H2562" s="28" t="n">
        <x:v>18</x:v>
      </x:c>
      <x:c r="I2562" s="28" t="n">
        <x:v>4</x:v>
      </x:c>
      <x:c r="J2562" s="28" t="n">
        <x:v>5</x:v>
      </x:c>
      <x:c r="K2562" s="28" t="n">
        <x:v>0</x:v>
      </x:c>
      <x:c r="L2562" s="28" t="n">
        <x:v>14</x:v>
      </x:c>
      <x:c r="M2562" s="28" t="n">
        <x:v>1</x:v>
      </x:c>
      <x:c r="N2562" s="28" t="n">
        <x:v>1</x:v>
      </x:c>
      <x:c r="O2562" s="28" t="n">
        <x:v>0</x:v>
      </x:c>
      <x:c r="P2562" s="28" t="n">
        <x:v>3</x:v>
      </x:c>
      <x:c r="Q2562" s="24" t="n">
        <x:f>IFERROR(J2562/H2562,0)</x:f>
        <x:v>0.2777777777777778</x:v>
      </x:c>
      <x:c r="R2562" s="24" t="n">
        <x:f>IFERROR(F2562/H2562,0)</x:f>
        <x:v>0.05555555555555555</x:v>
      </x:c>
      <x:c r="S2562" s="24" t="n">
        <x:f>IFERROR(F2562/J2562,0)</x:f>
        <x:v>0.2</x:v>
      </x:c>
      <x:c r="T2562" s="28" t="n">
        <x:f>H2562-I2562</x:f>
        <x:v>14</x:v>
      </x:c>
      <x:c r="U2562" s="24" t="n">
        <x:f>IFERROR(J2562/H2562,0)-IFERROR(K2562/I2562,0)</x:f>
        <x:v>0.2777777777777778</x:v>
      </x:c>
      <x:c r="V2562" s="24" t="n">
        <x:f>IFERROR(F2562/J2562,0)-IFERROR(G2562/K2562,0)</x:f>
        <x:v>0.2</x:v>
      </x:c>
      <x:c r="W2562" s="28" t="n">
        <x:f>L2562-M2562</x:f>
        <x:v>13</x:v>
      </x:c>
      <x:c r="X2562" s="24" t="n">
        <x:f>IFERROR(K2562/I2562,0)</x:f>
        <x:v>0</x:v>
      </x:c>
      <x:c r="Y2562" s="24" t="n">
        <x:f>IFERROR(G2562/I2562,0)</x:f>
        <x:v>0</x:v>
      </x:c>
      <x:c r="Z2562" s="24" t="n">
        <x:f>IFERROR(G2562/K2562,0)</x:f>
        <x:v>0</x:v>
      </x:c>
      <x:c r="AA2562" s="24" t="n">
        <x:f>IFERROR(F2562/H2562,0)-IFERROR(G2562/I2562,0)</x:f>
        <x:v>0.05555555555555555</x:v>
      </x:c>
      <x:c r="AB2562" s="28" t="n">
        <x:f>J2562-K2562</x:f>
        <x:v>5</x:v>
      </x:c>
      <x:c r="AC2562" s="32" t="n">
        <x:f>F2562-G2562</x:f>
        <x:v>1</x:v>
      </x:c>
    </x:row>
    <x:row r="2563">
      <x:c r="A2563" s="4" t="str">
        <x:v>2024-25</x:v>
      </x:c>
      <x:c r="B2563" s="20" t="n">
        <x:v>45633</x:v>
      </x:c>
      <x:c r="C2563" s="4" t="str">
        <x:v>Brentford</x:v>
      </x:c>
      <x:c r="D2563" s="4" t="str">
        <x:v>Newcastle</x:v>
      </x:c>
      <x:c r="E2563" s="4" t="str">
        <x:v>Home</x:v>
      </x:c>
      <x:c r="F2563" s="28" t="n">
        <x:v>4</x:v>
      </x:c>
      <x:c r="G2563" s="28" t="n">
        <x:v>2</x:v>
      </x:c>
      <x:c r="H2563" s="28" t="n">
        <x:v>11</x:v>
      </x:c>
      <x:c r="I2563" s="28" t="n">
        <x:v>16</x:v>
      </x:c>
      <x:c r="J2563" s="28" t="n">
        <x:v>8</x:v>
      </x:c>
      <x:c r="K2563" s="28" t="n">
        <x:v>3</x:v>
      </x:c>
      <x:c r="L2563" s="28" t="n">
        <x:v>3</x:v>
      </x:c>
      <x:c r="M2563" s="28" t="n">
        <x:v>4</x:v>
      </x:c>
      <x:c r="N2563" s="28" t="n">
        <x:v>3</x:v>
      </x:c>
      <x:c r="O2563" s="28" t="n">
        <x:v>0</x:v>
      </x:c>
      <x:c r="P2563" s="28" t="n">
        <x:v>3</x:v>
      </x:c>
      <x:c r="Q2563" s="24" t="n">
        <x:f>IFERROR(J2563/H2563,0)</x:f>
        <x:v>0.7272727272727273</x:v>
      </x:c>
      <x:c r="R2563" s="24" t="n">
        <x:f>IFERROR(F2563/H2563,0)</x:f>
        <x:v>0.36363636363636365</x:v>
      </x:c>
      <x:c r="S2563" s="24" t="n">
        <x:f>IFERROR(F2563/J2563,0)</x:f>
        <x:v>0.5</x:v>
      </x:c>
      <x:c r="T2563" s="28" t="n">
        <x:f>H2563-I2563</x:f>
        <x:v>-5</x:v>
      </x:c>
      <x:c r="U2563" s="24" t="n">
        <x:f>IFERROR(J2563/H2563,0)-IFERROR(K2563/I2563,0)</x:f>
        <x:v>0.5397727272727273</x:v>
      </x:c>
      <x:c r="V2563" s="24" t="n">
        <x:f>IFERROR(F2563/J2563,0)-IFERROR(G2563/K2563,0)</x:f>
        <x:v>-0.16666666666666663</x:v>
      </x:c>
      <x:c r="W2563" s="28" t="n">
        <x:f>L2563-M2563</x:f>
        <x:v>-1</x:v>
      </x:c>
      <x:c r="X2563" s="24" t="n">
        <x:f>IFERROR(K2563/I2563,0)</x:f>
        <x:v>0.1875</x:v>
      </x:c>
      <x:c r="Y2563" s="24" t="n">
        <x:f>IFERROR(G2563/I2563,0)</x:f>
        <x:v>0.125</x:v>
      </x:c>
      <x:c r="Z2563" s="24" t="n">
        <x:f>IFERROR(G2563/K2563,0)</x:f>
        <x:v>0.6666666666666666</x:v>
      </x:c>
      <x:c r="AA2563" s="24" t="n">
        <x:f>IFERROR(F2563/H2563,0)-IFERROR(G2563/I2563,0)</x:f>
        <x:v>0.23863636363636365</x:v>
      </x:c>
      <x:c r="AB2563" s="28" t="n">
        <x:f>J2563-K2563</x:f>
        <x:v>5</x:v>
      </x:c>
      <x:c r="AC2563" s="32" t="n">
        <x:f>F2563-G2563</x:f>
        <x:v>2</x:v>
      </x:c>
    </x:row>
    <x:row r="2564">
      <x:c r="A2564" s="4" t="str">
        <x:v>2024-25</x:v>
      </x:c>
      <x:c r="B2564" s="20" t="n">
        <x:v>45633</x:v>
      </x:c>
      <x:c r="C2564" s="4" t="str">
        <x:v>Crystal Palace</x:v>
      </x:c>
      <x:c r="D2564" s="4" t="str">
        <x:v>Man City</x:v>
      </x:c>
      <x:c r="E2564" s="4" t="str">
        <x:v>Home</x:v>
      </x:c>
      <x:c r="F2564" s="28" t="n">
        <x:v>2</x:v>
      </x:c>
      <x:c r="G2564" s="28" t="n">
        <x:v>2</x:v>
      </x:c>
      <x:c r="H2564" s="28" t="n">
        <x:v>12</x:v>
      </x:c>
      <x:c r="I2564" s="28" t="n">
        <x:v>12</x:v>
      </x:c>
      <x:c r="J2564" s="28" t="n">
        <x:v>3</x:v>
      </x:c>
      <x:c r="K2564" s="28" t="n">
        <x:v>4</x:v>
      </x:c>
      <x:c r="L2564" s="28" t="n">
        <x:v>6</x:v>
      </x:c>
      <x:c r="M2564" s="28" t="n">
        <x:v>8</x:v>
      </x:c>
      <x:c r="N2564" s="28" t="n">
        <x:v>1</x:v>
      </x:c>
      <x:c r="O2564" s="28" t="n">
        <x:v>0</x:v>
      </x:c>
      <x:c r="P2564" s="28" t="n">
        <x:v>1</x:v>
      </x:c>
      <x:c r="Q2564" s="24" t="n">
        <x:f>IFERROR(J2564/H2564,0)</x:f>
        <x:v>0.25</x:v>
      </x:c>
      <x:c r="R2564" s="24" t="n">
        <x:f>IFERROR(F2564/H2564,0)</x:f>
        <x:v>0.16666666666666666</x:v>
      </x:c>
      <x:c r="S2564" s="24" t="n">
        <x:f>IFERROR(F2564/J2564,0)</x:f>
        <x:v>0.6666666666666666</x:v>
      </x:c>
      <x:c r="T2564" s="28" t="n">
        <x:f>H2564-I2564</x:f>
        <x:v>0</x:v>
      </x:c>
      <x:c r="U2564" s="24" t="n">
        <x:f>IFERROR(J2564/H2564,0)-IFERROR(K2564/I2564,0)</x:f>
        <x:v>-0.08333333333333331</x:v>
      </x:c>
      <x:c r="V2564" s="24" t="n">
        <x:f>IFERROR(F2564/J2564,0)-IFERROR(G2564/K2564,0)</x:f>
        <x:v>0.16666666666666663</x:v>
      </x:c>
      <x:c r="W2564" s="28" t="n">
        <x:f>L2564-M2564</x:f>
        <x:v>-2</x:v>
      </x:c>
      <x:c r="X2564" s="24" t="n">
        <x:f>IFERROR(K2564/I2564,0)</x:f>
        <x:v>0.3333333333333333</x:v>
      </x:c>
      <x:c r="Y2564" s="24" t="n">
        <x:f>IFERROR(G2564/I2564,0)</x:f>
        <x:v>0.16666666666666666</x:v>
      </x:c>
      <x:c r="Z2564" s="24" t="n">
        <x:f>IFERROR(G2564/K2564,0)</x:f>
        <x:v>0.5</x:v>
      </x:c>
      <x:c r="AA2564" s="24" t="n">
        <x:f>IFERROR(F2564/H2564,0)-IFERROR(G2564/I2564,0)</x:f>
        <x:v>0</x:v>
      </x:c>
      <x:c r="AB2564" s="28" t="n">
        <x:f>J2564-K2564</x:f>
        <x:v>-1</x:v>
      </x:c>
      <x:c r="AC2564" s="32" t="n">
        <x:f>F2564-G2564</x:f>
        <x:v>0</x:v>
      </x:c>
    </x:row>
    <x:row r="2565">
      <x:c r="A2565" s="4" t="str">
        <x:v>2024-25</x:v>
      </x:c>
      <x:c r="B2565" s="20" t="n">
        <x:v>45633</x:v>
      </x:c>
      <x:c r="C2565" s="4" t="str">
        <x:v>Man City</x:v>
      </x:c>
      <x:c r="D2565" s="4" t="str">
        <x:v>Crystal Palace</x:v>
      </x:c>
      <x:c r="E2565" s="4" t="str">
        <x:v>Away</x:v>
      </x:c>
      <x:c r="F2565" s="28" t="n">
        <x:v>2</x:v>
      </x:c>
      <x:c r="G2565" s="28" t="n">
        <x:v>2</x:v>
      </x:c>
      <x:c r="H2565" s="28" t="n">
        <x:v>12</x:v>
      </x:c>
      <x:c r="I2565" s="28" t="n">
        <x:v>12</x:v>
      </x:c>
      <x:c r="J2565" s="28" t="n">
        <x:v>4</x:v>
      </x:c>
      <x:c r="K2565" s="28" t="n">
        <x:v>3</x:v>
      </x:c>
      <x:c r="L2565" s="28" t="n">
        <x:v>8</x:v>
      </x:c>
      <x:c r="M2565" s="28" t="n">
        <x:v>6</x:v>
      </x:c>
      <x:c r="N2565" s="28" t="n">
        <x:v>0</x:v>
      </x:c>
      <x:c r="O2565" s="28" t="n">
        <x:v>1</x:v>
      </x:c>
      <x:c r="P2565" s="28" t="n">
        <x:v>1</x:v>
      </x:c>
      <x:c r="Q2565" s="24" t="n">
        <x:f>IFERROR(J2565/H2565,0)</x:f>
        <x:v>0.3333333333333333</x:v>
      </x:c>
      <x:c r="R2565" s="24" t="n">
        <x:f>IFERROR(F2565/H2565,0)</x:f>
        <x:v>0.16666666666666666</x:v>
      </x:c>
      <x:c r="S2565" s="24" t="n">
        <x:f>IFERROR(F2565/J2565,0)</x:f>
        <x:v>0.5</x:v>
      </x:c>
      <x:c r="T2565" s="28" t="n">
        <x:f>H2565-I2565</x:f>
        <x:v>0</x:v>
      </x:c>
      <x:c r="U2565" s="24" t="n">
        <x:f>IFERROR(J2565/H2565,0)-IFERROR(K2565/I2565,0)</x:f>
        <x:v>0.08333333333333331</x:v>
      </x:c>
      <x:c r="V2565" s="24" t="n">
        <x:f>IFERROR(F2565/J2565,0)-IFERROR(G2565/K2565,0)</x:f>
        <x:v>-0.16666666666666663</x:v>
      </x:c>
      <x:c r="W2565" s="28" t="n">
        <x:f>L2565-M2565</x:f>
        <x:v>2</x:v>
      </x:c>
      <x:c r="X2565" s="24" t="n">
        <x:f>IFERROR(K2565/I2565,0)</x:f>
        <x:v>0.25</x:v>
      </x:c>
      <x:c r="Y2565" s="24" t="n">
        <x:f>IFERROR(G2565/I2565,0)</x:f>
        <x:v>0.16666666666666666</x:v>
      </x:c>
      <x:c r="Z2565" s="24" t="n">
        <x:f>IFERROR(G2565/K2565,0)</x:f>
        <x:v>0.6666666666666666</x:v>
      </x:c>
      <x:c r="AA2565" s="24" t="n">
        <x:f>IFERROR(F2565/H2565,0)-IFERROR(G2565/I2565,0)</x:f>
        <x:v>0</x:v>
      </x:c>
      <x:c r="AB2565" s="28" t="n">
        <x:f>J2565-K2565</x:f>
        <x:v>1</x:v>
      </x:c>
      <x:c r="AC2565" s="32" t="n">
        <x:f>F2565-G2565</x:f>
        <x:v>0</x:v>
      </x:c>
    </x:row>
    <x:row r="2566">
      <x:c r="A2566" s="4" t="str">
        <x:v>2024-25</x:v>
      </x:c>
      <x:c r="B2566" s="20" t="n">
        <x:v>45633</x:v>
      </x:c>
      <x:c r="C2566" s="4" t="str">
        <x:v>Man United</x:v>
      </x:c>
      <x:c r="D2566" s="4" t="str">
        <x:v>Nott'm Forest</x:v>
      </x:c>
      <x:c r="E2566" s="4" t="str">
        <x:v>Home</x:v>
      </x:c>
      <x:c r="F2566" s="28" t="n">
        <x:v>2</x:v>
      </x:c>
      <x:c r="G2566" s="28" t="n">
        <x:v>3</x:v>
      </x:c>
      <x:c r="H2566" s="28" t="n">
        <x:v>17</x:v>
      </x:c>
      <x:c r="I2566" s="28" t="n">
        <x:v>11</x:v>
      </x:c>
      <x:c r="J2566" s="28" t="n">
        <x:v>7</x:v>
      </x:c>
      <x:c r="K2566" s="28" t="n">
        <x:v>3</x:v>
      </x:c>
      <x:c r="L2566" s="28" t="n">
        <x:v>5</x:v>
      </x:c>
      <x:c r="M2566" s="28" t="n">
        <x:v>3</x:v>
      </x:c>
      <x:c r="N2566" s="28" t="n">
        <x:v>0</x:v>
      </x:c>
      <x:c r="O2566" s="28" t="n">
        <x:v>0</x:v>
      </x:c>
      <x:c r="P2566" s="28" t="n">
        <x:v>0</x:v>
      </x:c>
      <x:c r="Q2566" s="24" t="n">
        <x:f>IFERROR(J2566/H2566,0)</x:f>
        <x:v>0.4117647058823529</x:v>
      </x:c>
      <x:c r="R2566" s="24" t="n">
        <x:f>IFERROR(F2566/H2566,0)</x:f>
        <x:v>0.11764705882352941</x:v>
      </x:c>
      <x:c r="S2566" s="24" t="n">
        <x:f>IFERROR(F2566/J2566,0)</x:f>
        <x:v>0.2857142857142857</x:v>
      </x:c>
      <x:c r="T2566" s="28" t="n">
        <x:f>H2566-I2566</x:f>
        <x:v>6</x:v>
      </x:c>
      <x:c r="U2566" s="24" t="n">
        <x:f>IFERROR(J2566/H2566,0)-IFERROR(K2566/I2566,0)</x:f>
        <x:v>0.13903743315508021</x:v>
      </x:c>
      <x:c r="V2566" s="24" t="n">
        <x:f>IFERROR(F2566/J2566,0)-IFERROR(G2566/K2566,0)</x:f>
        <x:v>-0.7142857142857143</x:v>
      </x:c>
      <x:c r="W2566" s="28" t="n">
        <x:f>L2566-M2566</x:f>
        <x:v>2</x:v>
      </x:c>
      <x:c r="X2566" s="24" t="n">
        <x:f>IFERROR(K2566/I2566,0)</x:f>
        <x:v>0.2727272727272727</x:v>
      </x:c>
      <x:c r="Y2566" s="24" t="n">
        <x:f>IFERROR(G2566/I2566,0)</x:f>
        <x:v>0.2727272727272727</x:v>
      </x:c>
      <x:c r="Z2566" s="24" t="n">
        <x:f>IFERROR(G2566/K2566,0)</x:f>
        <x:v>1</x:v>
      </x:c>
      <x:c r="AA2566" s="24" t="n">
        <x:f>IFERROR(F2566/H2566,0)-IFERROR(G2566/I2566,0)</x:f>
        <x:v>-0.1550802139037433</x:v>
      </x:c>
      <x:c r="AB2566" s="28" t="n">
        <x:f>J2566-K2566</x:f>
        <x:v>4</x:v>
      </x:c>
      <x:c r="AC2566" s="32" t="n">
        <x:f>F2566-G2566</x:f>
        <x:v>-1</x:v>
      </x:c>
    </x:row>
    <x:row r="2567">
      <x:c r="A2567" s="4" t="str">
        <x:v>2024-25</x:v>
      </x:c>
      <x:c r="B2567" s="20" t="n">
        <x:v>45633</x:v>
      </x:c>
      <x:c r="C2567" s="4" t="str">
        <x:v>Newcastle</x:v>
      </x:c>
      <x:c r="D2567" s="4" t="str">
        <x:v>Brentford</x:v>
      </x:c>
      <x:c r="E2567" s="4" t="str">
        <x:v>Away</x:v>
      </x:c>
      <x:c r="F2567" s="28" t="n">
        <x:v>2</x:v>
      </x:c>
      <x:c r="G2567" s="28" t="n">
        <x:v>4</x:v>
      </x:c>
      <x:c r="H2567" s="28" t="n">
        <x:v>16</x:v>
      </x:c>
      <x:c r="I2567" s="28" t="n">
        <x:v>11</x:v>
      </x:c>
      <x:c r="J2567" s="28" t="n">
        <x:v>3</x:v>
      </x:c>
      <x:c r="K2567" s="28" t="n">
        <x:v>8</x:v>
      </x:c>
      <x:c r="L2567" s="28" t="n">
        <x:v>4</x:v>
      </x:c>
      <x:c r="M2567" s="28" t="n">
        <x:v>3</x:v>
      </x:c>
      <x:c r="N2567" s="28" t="n">
        <x:v>0</x:v>
      </x:c>
      <x:c r="O2567" s="28" t="n">
        <x:v>0</x:v>
      </x:c>
      <x:c r="P2567" s="28" t="n">
        <x:v>0</x:v>
      </x:c>
      <x:c r="Q2567" s="24" t="n">
        <x:f>IFERROR(J2567/H2567,0)</x:f>
        <x:v>0.1875</x:v>
      </x:c>
      <x:c r="R2567" s="24" t="n">
        <x:f>IFERROR(F2567/H2567,0)</x:f>
        <x:v>0.125</x:v>
      </x:c>
      <x:c r="S2567" s="24" t="n">
        <x:f>IFERROR(F2567/J2567,0)</x:f>
        <x:v>0.6666666666666666</x:v>
      </x:c>
      <x:c r="T2567" s="28" t="n">
        <x:f>H2567-I2567</x:f>
        <x:v>5</x:v>
      </x:c>
      <x:c r="U2567" s="24" t="n">
        <x:f>IFERROR(J2567/H2567,0)-IFERROR(K2567/I2567,0)</x:f>
        <x:v>-0.5397727272727273</x:v>
      </x:c>
      <x:c r="V2567" s="24" t="n">
        <x:f>IFERROR(F2567/J2567,0)-IFERROR(G2567/K2567,0)</x:f>
        <x:v>0.16666666666666663</x:v>
      </x:c>
      <x:c r="W2567" s="28" t="n">
        <x:f>L2567-M2567</x:f>
        <x:v>1</x:v>
      </x:c>
      <x:c r="X2567" s="24" t="n">
        <x:f>IFERROR(K2567/I2567,0)</x:f>
        <x:v>0.7272727272727273</x:v>
      </x:c>
      <x:c r="Y2567" s="24" t="n">
        <x:f>IFERROR(G2567/I2567,0)</x:f>
        <x:v>0.36363636363636365</x:v>
      </x:c>
      <x:c r="Z2567" s="24" t="n">
        <x:f>IFERROR(G2567/K2567,0)</x:f>
        <x:v>0.5</x:v>
      </x:c>
      <x:c r="AA2567" s="24" t="n">
        <x:f>IFERROR(F2567/H2567,0)-IFERROR(G2567/I2567,0)</x:f>
        <x:v>-0.23863636363636365</x:v>
      </x:c>
      <x:c r="AB2567" s="28" t="n">
        <x:f>J2567-K2567</x:f>
        <x:v>-5</x:v>
      </x:c>
      <x:c r="AC2567" s="32" t="n">
        <x:f>F2567-G2567</x:f>
        <x:v>-2</x:v>
      </x:c>
    </x:row>
    <x:row r="2568">
      <x:c r="A2568" s="4" t="str">
        <x:v>2024-25</x:v>
      </x:c>
      <x:c r="B2568" s="20" t="n">
        <x:v>45633</x:v>
      </x:c>
      <x:c r="C2568" s="4" t="str">
        <x:v>Nott'm Forest</x:v>
      </x:c>
      <x:c r="D2568" s="4" t="str">
        <x:v>Man United</x:v>
      </x:c>
      <x:c r="E2568" s="4" t="str">
        <x:v>Away</x:v>
      </x:c>
      <x:c r="F2568" s="28" t="n">
        <x:v>3</x:v>
      </x:c>
      <x:c r="G2568" s="28" t="n">
        <x:v>2</x:v>
      </x:c>
      <x:c r="H2568" s="28" t="n">
        <x:v>11</x:v>
      </x:c>
      <x:c r="I2568" s="28" t="n">
        <x:v>17</x:v>
      </x:c>
      <x:c r="J2568" s="28" t="n">
        <x:v>3</x:v>
      </x:c>
      <x:c r="K2568" s="28" t="n">
        <x:v>7</x:v>
      </x:c>
      <x:c r="L2568" s="28" t="n">
        <x:v>3</x:v>
      </x:c>
      <x:c r="M2568" s="28" t="n">
        <x:v>5</x:v>
      </x:c>
      <x:c r="N2568" s="28" t="n">
        <x:v>2</x:v>
      </x:c>
      <x:c r="O2568" s="28" t="n">
        <x:v>0</x:v>
      </x:c>
      <x:c r="P2568" s="28" t="n">
        <x:v>3</x:v>
      </x:c>
      <x:c r="Q2568" s="24" t="n">
        <x:f>IFERROR(J2568/H2568,0)</x:f>
        <x:v>0.2727272727272727</x:v>
      </x:c>
      <x:c r="R2568" s="24" t="n">
        <x:f>IFERROR(F2568/H2568,0)</x:f>
        <x:v>0.2727272727272727</x:v>
      </x:c>
      <x:c r="S2568" s="24" t="n">
        <x:f>IFERROR(F2568/J2568,0)</x:f>
        <x:v>1</x:v>
      </x:c>
      <x:c r="T2568" s="28" t="n">
        <x:f>H2568-I2568</x:f>
        <x:v>-6</x:v>
      </x:c>
      <x:c r="U2568" s="24" t="n">
        <x:f>IFERROR(J2568/H2568,0)-IFERROR(K2568/I2568,0)</x:f>
        <x:v>-0.13903743315508021</x:v>
      </x:c>
      <x:c r="V2568" s="24" t="n">
        <x:f>IFERROR(F2568/J2568,0)-IFERROR(G2568/K2568,0)</x:f>
        <x:v>0.7142857142857143</x:v>
      </x:c>
      <x:c r="W2568" s="28" t="n">
        <x:f>L2568-M2568</x:f>
        <x:v>-2</x:v>
      </x:c>
      <x:c r="X2568" s="24" t="n">
        <x:f>IFERROR(K2568/I2568,0)</x:f>
        <x:v>0.4117647058823529</x:v>
      </x:c>
      <x:c r="Y2568" s="24" t="n">
        <x:f>IFERROR(G2568/I2568,0)</x:f>
        <x:v>0.11764705882352941</x:v>
      </x:c>
      <x:c r="Z2568" s="24" t="n">
        <x:f>IFERROR(G2568/K2568,0)</x:f>
        <x:v>0.2857142857142857</x:v>
      </x:c>
      <x:c r="AA2568" s="24" t="n">
        <x:f>IFERROR(F2568/H2568,0)-IFERROR(G2568/I2568,0)</x:f>
        <x:v>0.1550802139037433</x:v>
      </x:c>
      <x:c r="AB2568" s="28" t="n">
        <x:f>J2568-K2568</x:f>
        <x:v>-4</x:v>
      </x:c>
      <x:c r="AC2568" s="32" t="n">
        <x:f>F2568-G2568</x:f>
        <x:v>1</x:v>
      </x:c>
    </x:row>
    <x:row r="2569">
      <x:c r="A2569" s="4" t="str">
        <x:v>2024-25</x:v>
      </x:c>
      <x:c r="B2569" s="20" t="n">
        <x:v>45633</x:v>
      </x:c>
      <x:c r="C2569" s="4" t="str">
        <x:v>Southampton</x:v>
      </x:c>
      <x:c r="D2569" s="4" t="str">
        <x:v>Aston Villa</x:v>
      </x:c>
      <x:c r="E2569" s="4" t="str">
        <x:v>Away</x:v>
      </x:c>
      <x:c r="F2569" s="28" t="n">
        <x:v>0</x:v>
      </x:c>
      <x:c r="G2569" s="28" t="n">
        <x:v>1</x:v>
      </x:c>
      <x:c r="H2569" s="28" t="n">
        <x:v>4</x:v>
      </x:c>
      <x:c r="I2569" s="28" t="n">
        <x:v>18</x:v>
      </x:c>
      <x:c r="J2569" s="28" t="n">
        <x:v>0</x:v>
      </x:c>
      <x:c r="K2569" s="28" t="n">
        <x:v>5</x:v>
      </x:c>
      <x:c r="L2569" s="28" t="n">
        <x:v>1</x:v>
      </x:c>
      <x:c r="M2569" s="28" t="n">
        <x:v>14</x:v>
      </x:c>
      <x:c r="N2569" s="28" t="n">
        <x:v>3</x:v>
      </x:c>
      <x:c r="O2569" s="28" t="n">
        <x:v>0</x:v>
      </x:c>
      <x:c r="P2569" s="28" t="n">
        <x:v>0</x:v>
      </x:c>
      <x:c r="Q2569" s="24" t="n">
        <x:f>IFERROR(J2569/H2569,0)</x:f>
        <x:v>0</x:v>
      </x:c>
      <x:c r="R2569" s="24" t="n">
        <x:f>IFERROR(F2569/H2569,0)</x:f>
        <x:v>0</x:v>
      </x:c>
      <x:c r="S2569" s="24" t="n">
        <x:f>IFERROR(F2569/J2569,0)</x:f>
        <x:v>0</x:v>
      </x:c>
      <x:c r="T2569" s="28" t="n">
        <x:f>H2569-I2569</x:f>
        <x:v>-14</x:v>
      </x:c>
      <x:c r="U2569" s="24" t="n">
        <x:f>IFERROR(J2569/H2569,0)-IFERROR(K2569/I2569,0)</x:f>
        <x:v>-0.2777777777777778</x:v>
      </x:c>
      <x:c r="V2569" s="24" t="n">
        <x:f>IFERROR(F2569/J2569,0)-IFERROR(G2569/K2569,0)</x:f>
        <x:v>-0.2</x:v>
      </x:c>
      <x:c r="W2569" s="28" t="n">
        <x:f>L2569-M2569</x:f>
        <x:v>-13</x:v>
      </x:c>
      <x:c r="X2569" s="24" t="n">
        <x:f>IFERROR(K2569/I2569,0)</x:f>
        <x:v>0.2777777777777778</x:v>
      </x:c>
      <x:c r="Y2569" s="24" t="n">
        <x:f>IFERROR(G2569/I2569,0)</x:f>
        <x:v>0.05555555555555555</x:v>
      </x:c>
      <x:c r="Z2569" s="24" t="n">
        <x:f>IFERROR(G2569/K2569,0)</x:f>
        <x:v>0.2</x:v>
      </x:c>
      <x:c r="AA2569" s="24" t="n">
        <x:f>IFERROR(F2569/H2569,0)-IFERROR(G2569/I2569,0)</x:f>
        <x:v>-0.05555555555555555</x:v>
      </x:c>
      <x:c r="AB2569" s="28" t="n">
        <x:f>J2569-K2569</x:f>
        <x:v>-5</x:v>
      </x:c>
      <x:c r="AC2569" s="32" t="n">
        <x:f>F2569-G2569</x:f>
        <x:v>-1</x:v>
      </x:c>
    </x:row>
    <x:row r="2570">
      <x:c r="A2570" s="4" t="str">
        <x:v>2024-25</x:v>
      </x:c>
      <x:c r="B2570" s="20" t="n">
        <x:v>45634</x:v>
      </x:c>
      <x:c r="C2570" s="4" t="str">
        <x:v>Arsenal</x:v>
      </x:c>
      <x:c r="D2570" s="4" t="str">
        <x:v>Fulham</x:v>
      </x:c>
      <x:c r="E2570" s="4" t="str">
        <x:v>Away</x:v>
      </x:c>
      <x:c r="F2570" s="28" t="n">
        <x:v>1</x:v>
      </x:c>
      <x:c r="G2570" s="28" t="n">
        <x:v>1</x:v>
      </x:c>
      <x:c r="H2570" s="28" t="n">
        <x:v>12</x:v>
      </x:c>
      <x:c r="I2570" s="28" t="n">
        <x:v>2</x:v>
      </x:c>
      <x:c r="J2570" s="28" t="n">
        <x:v>4</x:v>
      </x:c>
      <x:c r="K2570" s="28" t="n">
        <x:v>2</x:v>
      </x:c>
      <x:c r="L2570" s="28" t="n">
        <x:v>6</x:v>
      </x:c>
      <x:c r="M2570" s="28" t="n">
        <x:v>0</x:v>
      </x:c>
      <x:c r="N2570" s="28" t="n">
        <x:v>2</x:v>
      </x:c>
      <x:c r="O2570" s="28" t="n">
        <x:v>0</x:v>
      </x:c>
      <x:c r="P2570" s="28" t="n">
        <x:v>1</x:v>
      </x:c>
      <x:c r="Q2570" s="24" t="n">
        <x:f>IFERROR(J2570/H2570,0)</x:f>
        <x:v>0.3333333333333333</x:v>
      </x:c>
      <x:c r="R2570" s="24" t="n">
        <x:f>IFERROR(F2570/H2570,0)</x:f>
        <x:v>0.08333333333333333</x:v>
      </x:c>
      <x:c r="S2570" s="24" t="n">
        <x:f>IFERROR(F2570/J2570,0)</x:f>
        <x:v>0.25</x:v>
      </x:c>
      <x:c r="T2570" s="28" t="n">
        <x:f>H2570-I2570</x:f>
        <x:v>10</x:v>
      </x:c>
      <x:c r="U2570" s="24" t="n">
        <x:f>IFERROR(J2570/H2570,0)-IFERROR(K2570/I2570,0)</x:f>
        <x:v>-0.6666666666666667</x:v>
      </x:c>
      <x:c r="V2570" s="24" t="n">
        <x:f>IFERROR(F2570/J2570,0)-IFERROR(G2570/K2570,0)</x:f>
        <x:v>-0.25</x:v>
      </x:c>
      <x:c r="W2570" s="28" t="n">
        <x:f>L2570-M2570</x:f>
        <x:v>6</x:v>
      </x:c>
      <x:c r="X2570" s="24" t="n">
        <x:f>IFERROR(K2570/I2570,0)</x:f>
        <x:v>1</x:v>
      </x:c>
      <x:c r="Y2570" s="24" t="n">
        <x:f>IFERROR(G2570/I2570,0)</x:f>
        <x:v>0.5</x:v>
      </x:c>
      <x:c r="Z2570" s="24" t="n">
        <x:f>IFERROR(G2570/K2570,0)</x:f>
        <x:v>0.5</x:v>
      </x:c>
      <x:c r="AA2570" s="24" t="n">
        <x:f>IFERROR(F2570/H2570,0)-IFERROR(G2570/I2570,0)</x:f>
        <x:v>-0.4166666666666667</x:v>
      </x:c>
      <x:c r="AB2570" s="28" t="n">
        <x:f>J2570-K2570</x:f>
        <x:v>2</x:v>
      </x:c>
      <x:c r="AC2570" s="32" t="n">
        <x:f>F2570-G2570</x:f>
        <x:v>0</x:v>
      </x:c>
    </x:row>
    <x:row r="2571">
      <x:c r="A2571" s="4" t="str">
        <x:v>2024-25</x:v>
      </x:c>
      <x:c r="B2571" s="20" t="n">
        <x:v>45634</x:v>
      </x:c>
      <x:c r="C2571" s="4" t="str">
        <x:v>Bournemouth</x:v>
      </x:c>
      <x:c r="D2571" s="4" t="str">
        <x:v>Ipswich</x:v>
      </x:c>
      <x:c r="E2571" s="4" t="str">
        <x:v>Away</x:v>
      </x:c>
      <x:c r="F2571" s="28" t="n">
        <x:v>2</x:v>
      </x:c>
      <x:c r="G2571" s="28" t="n">
        <x:v>1</x:v>
      </x:c>
      <x:c r="H2571" s="28" t="n">
        <x:v>22</x:v>
      </x:c>
      <x:c r="I2571" s="28" t="n">
        <x:v>18</x:v>
      </x:c>
      <x:c r="J2571" s="28" t="n">
        <x:v>6</x:v>
      </x:c>
      <x:c r="K2571" s="28" t="n">
        <x:v>5</x:v>
      </x:c>
      <x:c r="L2571" s="28" t="n">
        <x:v>13</x:v>
      </x:c>
      <x:c r="M2571" s="28" t="n">
        <x:v>6</x:v>
      </x:c>
      <x:c r="N2571" s="28" t="n">
        <x:v>1</x:v>
      </x:c>
      <x:c r="O2571" s="28" t="n">
        <x:v>0</x:v>
      </x:c>
      <x:c r="P2571" s="28" t="n">
        <x:v>3</x:v>
      </x:c>
      <x:c r="Q2571" s="24" t="n">
        <x:f>IFERROR(J2571/H2571,0)</x:f>
        <x:v>0.2727272727272727</x:v>
      </x:c>
      <x:c r="R2571" s="24" t="n">
        <x:f>IFERROR(F2571/H2571,0)</x:f>
        <x:v>0.09090909090909091</x:v>
      </x:c>
      <x:c r="S2571" s="24" t="n">
        <x:f>IFERROR(F2571/J2571,0)</x:f>
        <x:v>0.3333333333333333</x:v>
      </x:c>
      <x:c r="T2571" s="28" t="n">
        <x:f>H2571-I2571</x:f>
        <x:v>4</x:v>
      </x:c>
      <x:c r="U2571" s="24" t="n">
        <x:f>IFERROR(J2571/H2571,0)-IFERROR(K2571/I2571,0)</x:f>
        <x:v>-0.005050505050505083</x:v>
      </x:c>
      <x:c r="V2571" s="24" t="n">
        <x:f>IFERROR(F2571/J2571,0)-IFERROR(G2571/K2571,0)</x:f>
        <x:v>0.1333333333333333</x:v>
      </x:c>
      <x:c r="W2571" s="28" t="n">
        <x:f>L2571-M2571</x:f>
        <x:v>7</x:v>
      </x:c>
      <x:c r="X2571" s="24" t="n">
        <x:f>IFERROR(K2571/I2571,0)</x:f>
        <x:v>0.2777777777777778</x:v>
      </x:c>
      <x:c r="Y2571" s="24" t="n">
        <x:f>IFERROR(G2571/I2571,0)</x:f>
        <x:v>0.05555555555555555</x:v>
      </x:c>
      <x:c r="Z2571" s="24" t="n">
        <x:f>IFERROR(G2571/K2571,0)</x:f>
        <x:v>0.2</x:v>
      </x:c>
      <x:c r="AA2571" s="24" t="n">
        <x:f>IFERROR(F2571/H2571,0)-IFERROR(G2571/I2571,0)</x:f>
        <x:v>0.03535353535353536</x:v>
      </x:c>
      <x:c r="AB2571" s="28" t="n">
        <x:f>J2571-K2571</x:f>
        <x:v>1</x:v>
      </x:c>
      <x:c r="AC2571" s="32" t="n">
        <x:f>F2571-G2571</x:f>
        <x:v>1</x:v>
      </x:c>
    </x:row>
    <x:row r="2572">
      <x:c r="A2572" s="4" t="str">
        <x:v>2024-25</x:v>
      </x:c>
      <x:c r="B2572" s="20" t="n">
        <x:v>45634</x:v>
      </x:c>
      <x:c r="C2572" s="4" t="str">
        <x:v>Brighton</x:v>
      </x:c>
      <x:c r="D2572" s="4" t="str">
        <x:v>Leicester</x:v>
      </x:c>
      <x:c r="E2572" s="4" t="str">
        <x:v>Away</x:v>
      </x:c>
      <x:c r="F2572" s="28" t="n">
        <x:v>2</x:v>
      </x:c>
      <x:c r="G2572" s="28" t="n">
        <x:v>2</x:v>
      </x:c>
      <x:c r="H2572" s="28" t="n">
        <x:v>16</x:v>
      </x:c>
      <x:c r="I2572" s="28" t="n">
        <x:v>10</x:v>
      </x:c>
      <x:c r="J2572" s="28" t="n">
        <x:v>7</x:v>
      </x:c>
      <x:c r="K2572" s="28" t="n">
        <x:v>3</x:v>
      </x:c>
      <x:c r="L2572" s="28" t="n">
        <x:v>5</x:v>
      </x:c>
      <x:c r="M2572" s="28" t="n">
        <x:v>5</x:v>
      </x:c>
      <x:c r="N2572" s="28" t="n">
        <x:v>2</x:v>
      </x:c>
      <x:c r="O2572" s="28" t="n">
        <x:v>0</x:v>
      </x:c>
      <x:c r="P2572" s="28" t="n">
        <x:v>1</x:v>
      </x:c>
      <x:c r="Q2572" s="24" t="n">
        <x:f>IFERROR(J2572/H2572,0)</x:f>
        <x:v>0.4375</x:v>
      </x:c>
      <x:c r="R2572" s="24" t="n">
        <x:f>IFERROR(F2572/H2572,0)</x:f>
        <x:v>0.125</x:v>
      </x:c>
      <x:c r="S2572" s="24" t="n">
        <x:f>IFERROR(F2572/J2572,0)</x:f>
        <x:v>0.2857142857142857</x:v>
      </x:c>
      <x:c r="T2572" s="28" t="n">
        <x:f>H2572-I2572</x:f>
        <x:v>6</x:v>
      </x:c>
      <x:c r="U2572" s="24" t="n">
        <x:f>IFERROR(J2572/H2572,0)-IFERROR(K2572/I2572,0)</x:f>
        <x:v>0.1375</x:v>
      </x:c>
      <x:c r="V2572" s="24" t="n">
        <x:f>IFERROR(F2572/J2572,0)-IFERROR(G2572/K2572,0)</x:f>
        <x:v>-0.38095238095238093</x:v>
      </x:c>
      <x:c r="W2572" s="28" t="n">
        <x:f>L2572-M2572</x:f>
        <x:v>0</x:v>
      </x:c>
      <x:c r="X2572" s="24" t="n">
        <x:f>IFERROR(K2572/I2572,0)</x:f>
        <x:v>0.3</x:v>
      </x:c>
      <x:c r="Y2572" s="24" t="n">
        <x:f>IFERROR(G2572/I2572,0)</x:f>
        <x:v>0.2</x:v>
      </x:c>
      <x:c r="Z2572" s="24" t="n">
        <x:f>IFERROR(G2572/K2572,0)</x:f>
        <x:v>0.6666666666666666</x:v>
      </x:c>
      <x:c r="AA2572" s="24" t="n">
        <x:f>IFERROR(F2572/H2572,0)-IFERROR(G2572/I2572,0)</x:f>
        <x:v>-0.07500000000000001</x:v>
      </x:c>
      <x:c r="AB2572" s="28" t="n">
        <x:f>J2572-K2572</x:f>
        <x:v>4</x:v>
      </x:c>
      <x:c r="AC2572" s="32" t="n">
        <x:f>F2572-G2572</x:f>
        <x:v>0</x:v>
      </x:c>
    </x:row>
    <x:row r="2573">
      <x:c r="A2573" s="4" t="str">
        <x:v>2024-25</x:v>
      </x:c>
      <x:c r="B2573" s="20" t="n">
        <x:v>45634</x:v>
      </x:c>
      <x:c r="C2573" s="4" t="str">
        <x:v>Chelsea</x:v>
      </x:c>
      <x:c r="D2573" s="4" t="str">
        <x:v>Tottenham</x:v>
      </x:c>
      <x:c r="E2573" s="4" t="str">
        <x:v>Away</x:v>
      </x:c>
      <x:c r="F2573" s="28" t="n">
        <x:v>4</x:v>
      </x:c>
      <x:c r="G2573" s="28" t="n">
        <x:v>3</x:v>
      </x:c>
      <x:c r="H2573" s="28" t="n">
        <x:v>17</x:v>
      </x:c>
      <x:c r="I2573" s="28" t="n">
        <x:v>13</x:v>
      </x:c>
      <x:c r="J2573" s="28" t="n">
        <x:v>8</x:v>
      </x:c>
      <x:c r="K2573" s="28" t="n">
        <x:v>5</x:v>
      </x:c>
      <x:c r="L2573" s="28" t="n">
        <x:v>10</x:v>
      </x:c>
      <x:c r="M2573" s="28" t="n">
        <x:v>5</x:v>
      </x:c>
      <x:c r="N2573" s="28" t="n">
        <x:v>2</x:v>
      </x:c>
      <x:c r="O2573" s="28" t="n">
        <x:v>0</x:v>
      </x:c>
      <x:c r="P2573" s="28" t="n">
        <x:v>3</x:v>
      </x:c>
      <x:c r="Q2573" s="24" t="n">
        <x:f>IFERROR(J2573/H2573,0)</x:f>
        <x:v>0.47058823529411764</x:v>
      </x:c>
      <x:c r="R2573" s="24" t="n">
        <x:f>IFERROR(F2573/H2573,0)</x:f>
        <x:v>0.23529411764705882</x:v>
      </x:c>
      <x:c r="S2573" s="24" t="n">
        <x:f>IFERROR(F2573/J2573,0)</x:f>
        <x:v>0.5</x:v>
      </x:c>
      <x:c r="T2573" s="28" t="n">
        <x:f>H2573-I2573</x:f>
        <x:v>4</x:v>
      </x:c>
      <x:c r="U2573" s="24" t="n">
        <x:f>IFERROR(J2573/H2573,0)-IFERROR(K2573/I2573,0)</x:f>
        <x:v>0.085972850678733</x:v>
      </x:c>
      <x:c r="V2573" s="24" t="n">
        <x:f>IFERROR(F2573/J2573,0)-IFERROR(G2573/K2573,0)</x:f>
        <x:v>-0.09999999999999998</x:v>
      </x:c>
      <x:c r="W2573" s="28" t="n">
        <x:f>L2573-M2573</x:f>
        <x:v>5</x:v>
      </x:c>
      <x:c r="X2573" s="24" t="n">
        <x:f>IFERROR(K2573/I2573,0)</x:f>
        <x:v>0.38461538461538464</x:v>
      </x:c>
      <x:c r="Y2573" s="24" t="n">
        <x:f>IFERROR(G2573/I2573,0)</x:f>
        <x:v>0.23076923076923078</x:v>
      </x:c>
      <x:c r="Z2573" s="24" t="n">
        <x:f>IFERROR(G2573/K2573,0)</x:f>
        <x:v>0.6</x:v>
      </x:c>
      <x:c r="AA2573" s="24" t="n">
        <x:f>IFERROR(F2573/H2573,0)-IFERROR(G2573/I2573,0)</x:f>
        <x:v>0.004524886877828038</x:v>
      </x:c>
      <x:c r="AB2573" s="28" t="n">
        <x:f>J2573-K2573</x:f>
        <x:v>3</x:v>
      </x:c>
      <x:c r="AC2573" s="32" t="n">
        <x:f>F2573-G2573</x:f>
        <x:v>1</x:v>
      </x:c>
    </x:row>
    <x:row r="2574">
      <x:c r="A2574" s="4" t="str">
        <x:v>2024-25</x:v>
      </x:c>
      <x:c r="B2574" s="20" t="n">
        <x:v>45634</x:v>
      </x:c>
      <x:c r="C2574" s="4" t="str">
        <x:v>Fulham</x:v>
      </x:c>
      <x:c r="D2574" s="4" t="str">
        <x:v>Arsenal</x:v>
      </x:c>
      <x:c r="E2574" s="4" t="str">
        <x:v>Home</x:v>
      </x:c>
      <x:c r="F2574" s="28" t="n">
        <x:v>1</x:v>
      </x:c>
      <x:c r="G2574" s="28" t="n">
        <x:v>1</x:v>
      </x:c>
      <x:c r="H2574" s="28" t="n">
        <x:v>2</x:v>
      </x:c>
      <x:c r="I2574" s="28" t="n">
        <x:v>12</x:v>
      </x:c>
      <x:c r="J2574" s="28" t="n">
        <x:v>2</x:v>
      </x:c>
      <x:c r="K2574" s="28" t="n">
        <x:v>4</x:v>
      </x:c>
      <x:c r="L2574" s="28" t="n">
        <x:v>0</x:v>
      </x:c>
      <x:c r="M2574" s="28" t="n">
        <x:v>6</x:v>
      </x:c>
      <x:c r="N2574" s="28" t="n">
        <x:v>4</x:v>
      </x:c>
      <x:c r="O2574" s="28" t="n">
        <x:v>0</x:v>
      </x:c>
      <x:c r="P2574" s="28" t="n">
        <x:v>1</x:v>
      </x:c>
      <x:c r="Q2574" s="24" t="n">
        <x:f>IFERROR(J2574/H2574,0)</x:f>
        <x:v>1</x:v>
      </x:c>
      <x:c r="R2574" s="24" t="n">
        <x:f>IFERROR(F2574/H2574,0)</x:f>
        <x:v>0.5</x:v>
      </x:c>
      <x:c r="S2574" s="24" t="n">
        <x:f>IFERROR(F2574/J2574,0)</x:f>
        <x:v>0.5</x:v>
      </x:c>
      <x:c r="T2574" s="28" t="n">
        <x:f>H2574-I2574</x:f>
        <x:v>-10</x:v>
      </x:c>
      <x:c r="U2574" s="24" t="n">
        <x:f>IFERROR(J2574/H2574,0)-IFERROR(K2574/I2574,0)</x:f>
        <x:v>0.6666666666666667</x:v>
      </x:c>
      <x:c r="V2574" s="24" t="n">
        <x:f>IFERROR(F2574/J2574,0)-IFERROR(G2574/K2574,0)</x:f>
        <x:v>0.25</x:v>
      </x:c>
      <x:c r="W2574" s="28" t="n">
        <x:f>L2574-M2574</x:f>
        <x:v>-6</x:v>
      </x:c>
      <x:c r="X2574" s="24" t="n">
        <x:f>IFERROR(K2574/I2574,0)</x:f>
        <x:v>0.3333333333333333</x:v>
      </x:c>
      <x:c r="Y2574" s="24" t="n">
        <x:f>IFERROR(G2574/I2574,0)</x:f>
        <x:v>0.08333333333333333</x:v>
      </x:c>
      <x:c r="Z2574" s="24" t="n">
        <x:f>IFERROR(G2574/K2574,0)</x:f>
        <x:v>0.25</x:v>
      </x:c>
      <x:c r="AA2574" s="24" t="n">
        <x:f>IFERROR(F2574/H2574,0)-IFERROR(G2574/I2574,0)</x:f>
        <x:v>0.4166666666666667</x:v>
      </x:c>
      <x:c r="AB2574" s="28" t="n">
        <x:f>J2574-K2574</x:f>
        <x:v>-2</x:v>
      </x:c>
      <x:c r="AC2574" s="32" t="n">
        <x:f>F2574-G2574</x:f>
        <x:v>0</x:v>
      </x:c>
    </x:row>
    <x:row r="2575">
      <x:c r="A2575" s="4" t="str">
        <x:v>2024-25</x:v>
      </x:c>
      <x:c r="B2575" s="20" t="n">
        <x:v>45634</x:v>
      </x:c>
      <x:c r="C2575" s="4" t="str">
        <x:v>Ipswich</x:v>
      </x:c>
      <x:c r="D2575" s="4" t="str">
        <x:v>Bournemouth</x:v>
      </x:c>
      <x:c r="E2575" s="4" t="str">
        <x:v>Home</x:v>
      </x:c>
      <x:c r="F2575" s="28" t="n">
        <x:v>1</x:v>
      </x:c>
      <x:c r="G2575" s="28" t="n">
        <x:v>2</x:v>
      </x:c>
      <x:c r="H2575" s="28" t="n">
        <x:v>18</x:v>
      </x:c>
      <x:c r="I2575" s="28" t="n">
        <x:v>22</x:v>
      </x:c>
      <x:c r="J2575" s="28" t="n">
        <x:v>5</x:v>
      </x:c>
      <x:c r="K2575" s="28" t="n">
        <x:v>6</x:v>
      </x:c>
      <x:c r="L2575" s="28" t="n">
        <x:v>6</x:v>
      </x:c>
      <x:c r="M2575" s="28" t="n">
        <x:v>13</x:v>
      </x:c>
      <x:c r="N2575" s="28" t="n">
        <x:v>2</x:v>
      </x:c>
      <x:c r="O2575" s="28" t="n">
        <x:v>0</x:v>
      </x:c>
      <x:c r="P2575" s="28" t="n">
        <x:v>0</x:v>
      </x:c>
      <x:c r="Q2575" s="24" t="n">
        <x:f>IFERROR(J2575/H2575,0)</x:f>
        <x:v>0.2777777777777778</x:v>
      </x:c>
      <x:c r="R2575" s="24" t="n">
        <x:f>IFERROR(F2575/H2575,0)</x:f>
        <x:v>0.05555555555555555</x:v>
      </x:c>
      <x:c r="S2575" s="24" t="n">
        <x:f>IFERROR(F2575/J2575,0)</x:f>
        <x:v>0.2</x:v>
      </x:c>
      <x:c r="T2575" s="28" t="n">
        <x:f>H2575-I2575</x:f>
        <x:v>-4</x:v>
      </x:c>
      <x:c r="U2575" s="24" t="n">
        <x:f>IFERROR(J2575/H2575,0)-IFERROR(K2575/I2575,0)</x:f>
        <x:v>0.005050505050505083</x:v>
      </x:c>
      <x:c r="V2575" s="24" t="n">
        <x:f>IFERROR(F2575/J2575,0)-IFERROR(G2575/K2575,0)</x:f>
        <x:v>-0.1333333333333333</x:v>
      </x:c>
      <x:c r="W2575" s="28" t="n">
        <x:f>L2575-M2575</x:f>
        <x:v>-7</x:v>
      </x:c>
      <x:c r="X2575" s="24" t="n">
        <x:f>IFERROR(K2575/I2575,0)</x:f>
        <x:v>0.2727272727272727</x:v>
      </x:c>
      <x:c r="Y2575" s="24" t="n">
        <x:f>IFERROR(G2575/I2575,0)</x:f>
        <x:v>0.09090909090909091</x:v>
      </x:c>
      <x:c r="Z2575" s="24" t="n">
        <x:f>IFERROR(G2575/K2575,0)</x:f>
        <x:v>0.3333333333333333</x:v>
      </x:c>
      <x:c r="AA2575" s="24" t="n">
        <x:f>IFERROR(F2575/H2575,0)-IFERROR(G2575/I2575,0)</x:f>
        <x:v>-0.03535353535353536</x:v>
      </x:c>
      <x:c r="AB2575" s="28" t="n">
        <x:f>J2575-K2575</x:f>
        <x:v>-1</x:v>
      </x:c>
      <x:c r="AC2575" s="32" t="n">
        <x:f>F2575-G2575</x:f>
        <x:v>-1</x:v>
      </x:c>
    </x:row>
    <x:row r="2576">
      <x:c r="A2576" s="4" t="str">
        <x:v>2024-25</x:v>
      </x:c>
      <x:c r="B2576" s="20" t="n">
        <x:v>45634</x:v>
      </x:c>
      <x:c r="C2576" s="4" t="str">
        <x:v>Leicester</x:v>
      </x:c>
      <x:c r="D2576" s="4" t="str">
        <x:v>Brighton</x:v>
      </x:c>
      <x:c r="E2576" s="4" t="str">
        <x:v>Home</x:v>
      </x:c>
      <x:c r="F2576" s="28" t="n">
        <x:v>2</x:v>
      </x:c>
      <x:c r="G2576" s="28" t="n">
        <x:v>2</x:v>
      </x:c>
      <x:c r="H2576" s="28" t="n">
        <x:v>10</x:v>
      </x:c>
      <x:c r="I2576" s="28" t="n">
        <x:v>16</x:v>
      </x:c>
      <x:c r="J2576" s="28" t="n">
        <x:v>3</x:v>
      </x:c>
      <x:c r="K2576" s="28" t="n">
        <x:v>7</x:v>
      </x:c>
      <x:c r="L2576" s="28" t="n">
        <x:v>5</x:v>
      </x:c>
      <x:c r="M2576" s="28" t="n">
        <x:v>5</x:v>
      </x:c>
      <x:c r="N2576" s="28" t="n">
        <x:v>1</x:v>
      </x:c>
      <x:c r="O2576" s="28" t="n">
        <x:v>0</x:v>
      </x:c>
      <x:c r="P2576" s="28" t="n">
        <x:v>1</x:v>
      </x:c>
      <x:c r="Q2576" s="24" t="n">
        <x:f>IFERROR(J2576/H2576,0)</x:f>
        <x:v>0.3</x:v>
      </x:c>
      <x:c r="R2576" s="24" t="n">
        <x:f>IFERROR(F2576/H2576,0)</x:f>
        <x:v>0.2</x:v>
      </x:c>
      <x:c r="S2576" s="24" t="n">
        <x:f>IFERROR(F2576/J2576,0)</x:f>
        <x:v>0.6666666666666666</x:v>
      </x:c>
      <x:c r="T2576" s="28" t="n">
        <x:f>H2576-I2576</x:f>
        <x:v>-6</x:v>
      </x:c>
      <x:c r="U2576" s="24" t="n">
        <x:f>IFERROR(J2576/H2576,0)-IFERROR(K2576/I2576,0)</x:f>
        <x:v>-0.1375</x:v>
      </x:c>
      <x:c r="V2576" s="24" t="n">
        <x:f>IFERROR(F2576/J2576,0)-IFERROR(G2576/K2576,0)</x:f>
        <x:v>0.38095238095238093</x:v>
      </x:c>
      <x:c r="W2576" s="28" t="n">
        <x:f>L2576-M2576</x:f>
        <x:v>0</x:v>
      </x:c>
      <x:c r="X2576" s="24" t="n">
        <x:f>IFERROR(K2576/I2576,0)</x:f>
        <x:v>0.4375</x:v>
      </x:c>
      <x:c r="Y2576" s="24" t="n">
        <x:f>IFERROR(G2576/I2576,0)</x:f>
        <x:v>0.125</x:v>
      </x:c>
      <x:c r="Z2576" s="24" t="n">
        <x:f>IFERROR(G2576/K2576,0)</x:f>
        <x:v>0.2857142857142857</x:v>
      </x:c>
      <x:c r="AA2576" s="24" t="n">
        <x:f>IFERROR(F2576/H2576,0)-IFERROR(G2576/I2576,0)</x:f>
        <x:v>0.07500000000000001</x:v>
      </x:c>
      <x:c r="AB2576" s="28" t="n">
        <x:f>J2576-K2576</x:f>
        <x:v>-4</x:v>
      </x:c>
      <x:c r="AC2576" s="32" t="n">
        <x:f>F2576-G2576</x:f>
        <x:v>0</x:v>
      </x:c>
    </x:row>
    <x:row r="2577">
      <x:c r="A2577" s="4" t="str">
        <x:v>2024-25</x:v>
      </x:c>
      <x:c r="B2577" s="20" t="n">
        <x:v>45634</x:v>
      </x:c>
      <x:c r="C2577" s="4" t="str">
        <x:v>Tottenham</x:v>
      </x:c>
      <x:c r="D2577" s="4" t="str">
        <x:v>Chelsea</x:v>
      </x:c>
      <x:c r="E2577" s="4" t="str">
        <x:v>Home</x:v>
      </x:c>
      <x:c r="F2577" s="28" t="n">
        <x:v>3</x:v>
      </x:c>
      <x:c r="G2577" s="28" t="n">
        <x:v>4</x:v>
      </x:c>
      <x:c r="H2577" s="28" t="n">
        <x:v>13</x:v>
      </x:c>
      <x:c r="I2577" s="28" t="n">
        <x:v>17</x:v>
      </x:c>
      <x:c r="J2577" s="28" t="n">
        <x:v>5</x:v>
      </x:c>
      <x:c r="K2577" s="28" t="n">
        <x:v>8</x:v>
      </x:c>
      <x:c r="L2577" s="28" t="n">
        <x:v>5</x:v>
      </x:c>
      <x:c r="M2577" s="28" t="n">
        <x:v>10</x:v>
      </x:c>
      <x:c r="N2577" s="28" t="n">
        <x:v>2</x:v>
      </x:c>
      <x:c r="O2577" s="28" t="n">
        <x:v>0</x:v>
      </x:c>
      <x:c r="P2577" s="28" t="n">
        <x:v>0</x:v>
      </x:c>
      <x:c r="Q2577" s="24" t="n">
        <x:f>IFERROR(J2577/H2577,0)</x:f>
        <x:v>0.38461538461538464</x:v>
      </x:c>
      <x:c r="R2577" s="24" t="n">
        <x:f>IFERROR(F2577/H2577,0)</x:f>
        <x:v>0.23076923076923078</x:v>
      </x:c>
      <x:c r="S2577" s="24" t="n">
        <x:f>IFERROR(F2577/J2577,0)</x:f>
        <x:v>0.6</x:v>
      </x:c>
      <x:c r="T2577" s="28" t="n">
        <x:f>H2577-I2577</x:f>
        <x:v>-4</x:v>
      </x:c>
      <x:c r="U2577" s="24" t="n">
        <x:f>IFERROR(J2577/H2577,0)-IFERROR(K2577/I2577,0)</x:f>
        <x:v>-0.085972850678733</x:v>
      </x:c>
      <x:c r="V2577" s="24" t="n">
        <x:f>IFERROR(F2577/J2577,0)-IFERROR(G2577/K2577,0)</x:f>
        <x:v>0.09999999999999998</x:v>
      </x:c>
      <x:c r="W2577" s="28" t="n">
        <x:f>L2577-M2577</x:f>
        <x:v>-5</x:v>
      </x:c>
      <x:c r="X2577" s="24" t="n">
        <x:f>IFERROR(K2577/I2577,0)</x:f>
        <x:v>0.47058823529411764</x:v>
      </x:c>
      <x:c r="Y2577" s="24" t="n">
        <x:f>IFERROR(G2577/I2577,0)</x:f>
        <x:v>0.23529411764705882</x:v>
      </x:c>
      <x:c r="Z2577" s="24" t="n">
        <x:f>IFERROR(G2577/K2577,0)</x:f>
        <x:v>0.5</x:v>
      </x:c>
      <x:c r="AA2577" s="24" t="n">
        <x:f>IFERROR(F2577/H2577,0)-IFERROR(G2577/I2577,0)</x:f>
        <x:v>-0.004524886877828038</x:v>
      </x:c>
      <x:c r="AB2577" s="28" t="n">
        <x:f>J2577-K2577</x:f>
        <x:v>-3</x:v>
      </x:c>
      <x:c r="AC2577" s="32" t="n">
        <x:f>F2577-G2577</x:f>
        <x:v>-1</x:v>
      </x:c>
    </x:row>
    <x:row r="2578">
      <x:c r="A2578" s="4" t="str">
        <x:v>2024-25</x:v>
      </x:c>
      <x:c r="B2578" s="20" t="n">
        <x:v>45635</x:v>
      </x:c>
      <x:c r="C2578" s="4" t="str">
        <x:v>West Ham</x:v>
      </x:c>
      <x:c r="D2578" s="4" t="str">
        <x:v>Wolves</x:v>
      </x:c>
      <x:c r="E2578" s="4" t="str">
        <x:v>Home</x:v>
      </x:c>
      <x:c r="F2578" s="28" t="n">
        <x:v>2</x:v>
      </x:c>
      <x:c r="G2578" s="28" t="n">
        <x:v>1</x:v>
      </x:c>
      <x:c r="H2578" s="28" t="n">
        <x:v>19</x:v>
      </x:c>
      <x:c r="I2578" s="28" t="n">
        <x:v>19</x:v>
      </x:c>
      <x:c r="J2578" s="28" t="n">
        <x:v>4</x:v>
      </x:c>
      <x:c r="K2578" s="28" t="n">
        <x:v>5</x:v>
      </x:c>
      <x:c r="L2578" s="28" t="n">
        <x:v>11</x:v>
      </x:c>
      <x:c r="M2578" s="28" t="n">
        <x:v>0</x:v>
      </x:c>
      <x:c r="N2578" s="28" t="n">
        <x:v>5</x:v>
      </x:c>
      <x:c r="O2578" s="28" t="n">
        <x:v>0</x:v>
      </x:c>
      <x:c r="P2578" s="28" t="n">
        <x:v>3</x:v>
      </x:c>
      <x:c r="Q2578" s="24" t="n">
        <x:f>IFERROR(J2578/H2578,0)</x:f>
        <x:v>0.21052631578947367</x:v>
      </x:c>
      <x:c r="R2578" s="24" t="n">
        <x:f>IFERROR(F2578/H2578,0)</x:f>
        <x:v>0.10526315789473684</x:v>
      </x:c>
      <x:c r="S2578" s="24" t="n">
        <x:f>IFERROR(F2578/J2578,0)</x:f>
        <x:v>0.5</x:v>
      </x:c>
      <x:c r="T2578" s="28" t="n">
        <x:f>H2578-I2578</x:f>
        <x:v>0</x:v>
      </x:c>
      <x:c r="U2578" s="24" t="n">
        <x:f>IFERROR(J2578/H2578,0)-IFERROR(K2578/I2578,0)</x:f>
        <x:v>-0.05263157894736842</x:v>
      </x:c>
      <x:c r="V2578" s="24" t="n">
        <x:f>IFERROR(F2578/J2578,0)-IFERROR(G2578/K2578,0)</x:f>
        <x:v>0.3</x:v>
      </x:c>
      <x:c r="W2578" s="28" t="n">
        <x:f>L2578-M2578</x:f>
        <x:v>11</x:v>
      </x:c>
      <x:c r="X2578" s="24" t="n">
        <x:f>IFERROR(K2578/I2578,0)</x:f>
        <x:v>0.2631578947368421</x:v>
      </x:c>
      <x:c r="Y2578" s="24" t="n">
        <x:f>IFERROR(G2578/I2578,0)</x:f>
        <x:v>0.05263157894736842</x:v>
      </x:c>
      <x:c r="Z2578" s="24" t="n">
        <x:f>IFERROR(G2578/K2578,0)</x:f>
        <x:v>0.2</x:v>
      </x:c>
      <x:c r="AA2578" s="24" t="n">
        <x:f>IFERROR(F2578/H2578,0)-IFERROR(G2578/I2578,0)</x:f>
        <x:v>0.05263157894736842</x:v>
      </x:c>
      <x:c r="AB2578" s="28" t="n">
        <x:f>J2578-K2578</x:f>
        <x:v>-1</x:v>
      </x:c>
      <x:c r="AC2578" s="32" t="n">
        <x:f>F2578-G2578</x:f>
        <x:v>1</x:v>
      </x:c>
    </x:row>
    <x:row r="2579">
      <x:c r="A2579" s="4" t="str">
        <x:v>2024-25</x:v>
      </x:c>
      <x:c r="B2579" s="20" t="n">
        <x:v>45635</x:v>
      </x:c>
      <x:c r="C2579" s="4" t="str">
        <x:v>Wolves</x:v>
      </x:c>
      <x:c r="D2579" s="4" t="str">
        <x:v>West Ham</x:v>
      </x:c>
      <x:c r="E2579" s="4" t="str">
        <x:v>Away</x:v>
      </x:c>
      <x:c r="F2579" s="28" t="n">
        <x:v>1</x:v>
      </x:c>
      <x:c r="G2579" s="28" t="n">
        <x:v>2</x:v>
      </x:c>
      <x:c r="H2579" s="28" t="n">
        <x:v>19</x:v>
      </x:c>
      <x:c r="I2579" s="28" t="n">
        <x:v>19</x:v>
      </x:c>
      <x:c r="J2579" s="28" t="n">
        <x:v>5</x:v>
      </x:c>
      <x:c r="K2579" s="28" t="n">
        <x:v>4</x:v>
      </x:c>
      <x:c r="L2579" s="28" t="n">
        <x:v>0</x:v>
      </x:c>
      <x:c r="M2579" s="28" t="n">
        <x:v>11</x:v>
      </x:c>
      <x:c r="N2579" s="28" t="n">
        <x:v>4</x:v>
      </x:c>
      <x:c r="O2579" s="28" t="n">
        <x:v>0</x:v>
      </x:c>
      <x:c r="P2579" s="28" t="n">
        <x:v>0</x:v>
      </x:c>
      <x:c r="Q2579" s="24" t="n">
        <x:f>IFERROR(J2579/H2579,0)</x:f>
        <x:v>0.2631578947368421</x:v>
      </x:c>
      <x:c r="R2579" s="24" t="n">
        <x:f>IFERROR(F2579/H2579,0)</x:f>
        <x:v>0.05263157894736842</x:v>
      </x:c>
      <x:c r="S2579" s="24" t="n">
        <x:f>IFERROR(F2579/J2579,0)</x:f>
        <x:v>0.2</x:v>
      </x:c>
      <x:c r="T2579" s="28" t="n">
        <x:f>H2579-I2579</x:f>
        <x:v>0</x:v>
      </x:c>
      <x:c r="U2579" s="24" t="n">
        <x:f>IFERROR(J2579/H2579,0)-IFERROR(K2579/I2579,0)</x:f>
        <x:v>0.05263157894736842</x:v>
      </x:c>
      <x:c r="V2579" s="24" t="n">
        <x:f>IFERROR(F2579/J2579,0)-IFERROR(G2579/K2579,0)</x:f>
        <x:v>-0.3</x:v>
      </x:c>
      <x:c r="W2579" s="28" t="n">
        <x:f>L2579-M2579</x:f>
        <x:v>-11</x:v>
      </x:c>
      <x:c r="X2579" s="24" t="n">
        <x:f>IFERROR(K2579/I2579,0)</x:f>
        <x:v>0.21052631578947367</x:v>
      </x:c>
      <x:c r="Y2579" s="24" t="n">
        <x:f>IFERROR(G2579/I2579,0)</x:f>
        <x:v>0.10526315789473684</x:v>
      </x:c>
      <x:c r="Z2579" s="24" t="n">
        <x:f>IFERROR(G2579/K2579,0)</x:f>
        <x:v>0.5</x:v>
      </x:c>
      <x:c r="AA2579" s="24" t="n">
        <x:f>IFERROR(F2579/H2579,0)-IFERROR(G2579/I2579,0)</x:f>
        <x:v>-0.05263157894736842</x:v>
      </x:c>
      <x:c r="AB2579" s="28" t="n">
        <x:f>J2579-K2579</x:f>
        <x:v>1</x:v>
      </x:c>
      <x:c r="AC2579" s="32" t="n">
        <x:f>F2579-G2579</x:f>
        <x:v>-1</x:v>
      </x:c>
    </x:row>
    <x:row r="2580">
      <x:c r="A2580" s="4" t="str">
        <x:v>2024-25</x:v>
      </x:c>
      <x:c r="B2580" s="20" t="n">
        <x:v>45640</x:v>
      </x:c>
      <x:c r="C2580" s="4" t="str">
        <x:v>Arsenal</x:v>
      </x:c>
      <x:c r="D2580" s="4" t="str">
        <x:v>Everton</x:v>
      </x:c>
      <x:c r="E2580" s="4" t="str">
        <x:v>Home</x:v>
      </x:c>
      <x:c r="F2580" s="28" t="n">
        <x:v>0</x:v>
      </x:c>
      <x:c r="G2580" s="28" t="n">
        <x:v>0</x:v>
      </x:c>
      <x:c r="H2580" s="28" t="n">
        <x:v>13</x:v>
      </x:c>
      <x:c r="I2580" s="28" t="n">
        <x:v>2</x:v>
      </x:c>
      <x:c r="J2580" s="28" t="n">
        <x:v>5</x:v>
      </x:c>
      <x:c r="K2580" s="28" t="n">
        <x:v>0</x:v>
      </x:c>
      <x:c r="L2580" s="28" t="n">
        <x:v>8</x:v>
      </x:c>
      <x:c r="M2580" s="28" t="n">
        <x:v>2</x:v>
      </x:c>
      <x:c r="N2580" s="28" t="n">
        <x:v>0</x:v>
      </x:c>
      <x:c r="O2580" s="28" t="n">
        <x:v>0</x:v>
      </x:c>
      <x:c r="P2580" s="28" t="n">
        <x:v>1</x:v>
      </x:c>
      <x:c r="Q2580" s="24" t="n">
        <x:f>IFERROR(J2580/H2580,0)</x:f>
        <x:v>0.38461538461538464</x:v>
      </x:c>
      <x:c r="R2580" s="24" t="n">
        <x:f>IFERROR(F2580/H2580,0)</x:f>
        <x:v>0</x:v>
      </x:c>
      <x:c r="S2580" s="24" t="n">
        <x:f>IFERROR(F2580/J2580,0)</x:f>
        <x:v>0</x:v>
      </x:c>
      <x:c r="T2580" s="28" t="n">
        <x:f>H2580-I2580</x:f>
        <x:v>11</x:v>
      </x:c>
      <x:c r="U2580" s="24" t="n">
        <x:f>IFERROR(J2580/H2580,0)-IFERROR(K2580/I2580,0)</x:f>
        <x:v>0.38461538461538464</x:v>
      </x:c>
      <x:c r="V2580" s="24" t="n">
        <x:f>IFERROR(F2580/J2580,0)-IFERROR(G2580/K2580,0)</x:f>
        <x:v>0</x:v>
      </x:c>
      <x:c r="W2580" s="28" t="n">
        <x:f>L2580-M2580</x:f>
        <x:v>6</x:v>
      </x:c>
      <x:c r="X2580" s="24" t="n">
        <x:f>IFERROR(K2580/I2580,0)</x:f>
        <x:v>0</x:v>
      </x:c>
      <x:c r="Y2580" s="24" t="n">
        <x:f>IFERROR(G2580/I2580,0)</x:f>
        <x:v>0</x:v>
      </x:c>
      <x:c r="Z2580" s="24" t="n">
        <x:f>IFERROR(G2580/K2580,0)</x:f>
        <x:v>0</x:v>
      </x:c>
      <x:c r="AA2580" s="24" t="n">
        <x:f>IFERROR(F2580/H2580,0)-IFERROR(G2580/I2580,0)</x:f>
        <x:v>0</x:v>
      </x:c>
      <x:c r="AB2580" s="28" t="n">
        <x:f>J2580-K2580</x:f>
        <x:v>5</x:v>
      </x:c>
      <x:c r="AC2580" s="32" t="n">
        <x:f>F2580-G2580</x:f>
        <x:v>0</x:v>
      </x:c>
    </x:row>
    <x:row r="2581">
      <x:c r="A2581" s="4" t="str">
        <x:v>2024-25</x:v>
      </x:c>
      <x:c r="B2581" s="20" t="n">
        <x:v>45640</x:v>
      </x:c>
      <x:c r="C2581" s="4" t="str">
        <x:v>Aston Villa</x:v>
      </x:c>
      <x:c r="D2581" s="4" t="str">
        <x:v>Nott'm Forest</x:v>
      </x:c>
      <x:c r="E2581" s="4" t="str">
        <x:v>Away</x:v>
      </x:c>
      <x:c r="F2581" s="28" t="n">
        <x:v>1</x:v>
      </x:c>
      <x:c r="G2581" s="28" t="n">
        <x:v>2</x:v>
      </x:c>
      <x:c r="H2581" s="28" t="n">
        <x:v>8</x:v>
      </x:c>
      <x:c r="I2581" s="28" t="n">
        <x:v>17</x:v>
      </x:c>
      <x:c r="J2581" s="28" t="n">
        <x:v>2</x:v>
      </x:c>
      <x:c r="K2581" s="28" t="n">
        <x:v>6</x:v>
      </x:c>
      <x:c r="L2581" s="28" t="n">
        <x:v>3</x:v>
      </x:c>
      <x:c r="M2581" s="28" t="n">
        <x:v>4</x:v>
      </x:c>
      <x:c r="N2581" s="28" t="n">
        <x:v>1</x:v>
      </x:c>
      <x:c r="O2581" s="28" t="n">
        <x:v>0</x:v>
      </x:c>
      <x:c r="P2581" s="28" t="n">
        <x:v>0</x:v>
      </x:c>
      <x:c r="Q2581" s="24" t="n">
        <x:f>IFERROR(J2581/H2581,0)</x:f>
        <x:v>0.25</x:v>
      </x:c>
      <x:c r="R2581" s="24" t="n">
        <x:f>IFERROR(F2581/H2581,0)</x:f>
        <x:v>0.125</x:v>
      </x:c>
      <x:c r="S2581" s="24" t="n">
        <x:f>IFERROR(F2581/J2581,0)</x:f>
        <x:v>0.5</x:v>
      </x:c>
      <x:c r="T2581" s="28" t="n">
        <x:f>H2581-I2581</x:f>
        <x:v>-9</x:v>
      </x:c>
      <x:c r="U2581" s="24" t="n">
        <x:f>IFERROR(J2581/H2581,0)-IFERROR(K2581/I2581,0)</x:f>
        <x:v>-0.10294117647058826</x:v>
      </x:c>
      <x:c r="V2581" s="24" t="n">
        <x:f>IFERROR(F2581/J2581,0)-IFERROR(G2581/K2581,0)</x:f>
        <x:v>0.16666666666666669</x:v>
      </x:c>
      <x:c r="W2581" s="28" t="n">
        <x:f>L2581-M2581</x:f>
        <x:v>-1</x:v>
      </x:c>
      <x:c r="X2581" s="24" t="n">
        <x:f>IFERROR(K2581/I2581,0)</x:f>
        <x:v>0.35294117647058826</x:v>
      </x:c>
      <x:c r="Y2581" s="24" t="n">
        <x:f>IFERROR(G2581/I2581,0)</x:f>
        <x:v>0.11764705882352941</x:v>
      </x:c>
      <x:c r="Z2581" s="24" t="n">
        <x:f>IFERROR(G2581/K2581,0)</x:f>
        <x:v>0.3333333333333333</x:v>
      </x:c>
      <x:c r="AA2581" s="24" t="n">
        <x:f>IFERROR(F2581/H2581,0)-IFERROR(G2581/I2581,0)</x:f>
        <x:v>0.00735294117647059</x:v>
      </x:c>
      <x:c r="AB2581" s="28" t="n">
        <x:f>J2581-K2581</x:f>
        <x:v>-4</x:v>
      </x:c>
      <x:c r="AC2581" s="32" t="n">
        <x:f>F2581-G2581</x:f>
        <x:v>-1</x:v>
      </x:c>
    </x:row>
    <x:row r="2582">
      <x:c r="A2582" s="4" t="str">
        <x:v>2024-25</x:v>
      </x:c>
      <x:c r="B2582" s="20" t="n">
        <x:v>45640</x:v>
      </x:c>
      <x:c r="C2582" s="4" t="str">
        <x:v>Everton</x:v>
      </x:c>
      <x:c r="D2582" s="4" t="str">
        <x:v>Arsenal</x:v>
      </x:c>
      <x:c r="E2582" s="4" t="str">
        <x:v>Away</x:v>
      </x:c>
      <x:c r="F2582" s="28" t="n">
        <x:v>0</x:v>
      </x:c>
      <x:c r="G2582" s="28" t="n">
        <x:v>0</x:v>
      </x:c>
      <x:c r="H2582" s="28" t="n">
        <x:v>2</x:v>
      </x:c>
      <x:c r="I2582" s="28" t="n">
        <x:v>13</x:v>
      </x:c>
      <x:c r="J2582" s="28" t="n">
        <x:v>0</x:v>
      </x:c>
      <x:c r="K2582" s="28" t="n">
        <x:v>5</x:v>
      </x:c>
      <x:c r="L2582" s="28" t="n">
        <x:v>2</x:v>
      </x:c>
      <x:c r="M2582" s="28" t="n">
        <x:v>8</x:v>
      </x:c>
      <x:c r="N2582" s="28" t="n">
        <x:v>3</x:v>
      </x:c>
      <x:c r="O2582" s="28" t="n">
        <x:v>0</x:v>
      </x:c>
      <x:c r="P2582" s="28" t="n">
        <x:v>1</x:v>
      </x:c>
      <x:c r="Q2582" s="24" t="n">
        <x:f>IFERROR(J2582/H2582,0)</x:f>
        <x:v>0</x:v>
      </x:c>
      <x:c r="R2582" s="24" t="n">
        <x:f>IFERROR(F2582/H2582,0)</x:f>
        <x:v>0</x:v>
      </x:c>
      <x:c r="S2582" s="24" t="n">
        <x:f>IFERROR(F2582/J2582,0)</x:f>
        <x:v>0</x:v>
      </x:c>
      <x:c r="T2582" s="28" t="n">
        <x:f>H2582-I2582</x:f>
        <x:v>-11</x:v>
      </x:c>
      <x:c r="U2582" s="24" t="n">
        <x:f>IFERROR(J2582/H2582,0)-IFERROR(K2582/I2582,0)</x:f>
        <x:v>-0.38461538461538464</x:v>
      </x:c>
      <x:c r="V2582" s="24" t="n">
        <x:f>IFERROR(F2582/J2582,0)-IFERROR(G2582/K2582,0)</x:f>
        <x:v>0</x:v>
      </x:c>
      <x:c r="W2582" s="28" t="n">
        <x:f>L2582-M2582</x:f>
        <x:v>-6</x:v>
      </x:c>
      <x:c r="X2582" s="24" t="n">
        <x:f>IFERROR(K2582/I2582,0)</x:f>
        <x:v>0.38461538461538464</x:v>
      </x:c>
      <x:c r="Y2582" s="24" t="n">
        <x:f>IFERROR(G2582/I2582,0)</x:f>
        <x:v>0</x:v>
      </x:c>
      <x:c r="Z2582" s="24" t="n">
        <x:f>IFERROR(G2582/K2582,0)</x:f>
        <x:v>0</x:v>
      </x:c>
      <x:c r="AA2582" s="24" t="n">
        <x:f>IFERROR(F2582/H2582,0)-IFERROR(G2582/I2582,0)</x:f>
        <x:v>0</x:v>
      </x:c>
      <x:c r="AB2582" s="28" t="n">
        <x:f>J2582-K2582</x:f>
        <x:v>-5</x:v>
      </x:c>
      <x:c r="AC2582" s="32" t="n">
        <x:f>F2582-G2582</x:f>
        <x:v>0</x:v>
      </x:c>
    </x:row>
    <x:row r="2583">
      <x:c r="A2583" s="4" t="str">
        <x:v>2024-25</x:v>
      </x:c>
      <x:c r="B2583" s="20" t="n">
        <x:v>45640</x:v>
      </x:c>
      <x:c r="C2583" s="4" t="str">
        <x:v>Fulham</x:v>
      </x:c>
      <x:c r="D2583" s="4" t="str">
        <x:v>Liverpool</x:v>
      </x:c>
      <x:c r="E2583" s="4" t="str">
        <x:v>Away</x:v>
      </x:c>
      <x:c r="F2583" s="28" t="n">
        <x:v>2</x:v>
      </x:c>
      <x:c r="G2583" s="28" t="n">
        <x:v>2</x:v>
      </x:c>
      <x:c r="H2583" s="28" t="n">
        <x:v>12</x:v>
      </x:c>
      <x:c r="I2583" s="28" t="n">
        <x:v>16</x:v>
      </x:c>
      <x:c r="J2583" s="28" t="n">
        <x:v>3</x:v>
      </x:c>
      <x:c r="K2583" s="28" t="n">
        <x:v>4</x:v>
      </x:c>
      <x:c r="L2583" s="28" t="n">
        <x:v>4</x:v>
      </x:c>
      <x:c r="M2583" s="28" t="n">
        <x:v>5</x:v>
      </x:c>
      <x:c r="N2583" s="28" t="n">
        <x:v>4</x:v>
      </x:c>
      <x:c r="O2583" s="28" t="n">
        <x:v>0</x:v>
      </x:c>
      <x:c r="P2583" s="28" t="n">
        <x:v>1</x:v>
      </x:c>
      <x:c r="Q2583" s="24" t="n">
        <x:f>IFERROR(J2583/H2583,0)</x:f>
        <x:v>0.25</x:v>
      </x:c>
      <x:c r="R2583" s="24" t="n">
        <x:f>IFERROR(F2583/H2583,0)</x:f>
        <x:v>0.16666666666666666</x:v>
      </x:c>
      <x:c r="S2583" s="24" t="n">
        <x:f>IFERROR(F2583/J2583,0)</x:f>
        <x:v>0.6666666666666666</x:v>
      </x:c>
      <x:c r="T2583" s="28" t="n">
        <x:f>H2583-I2583</x:f>
        <x:v>-4</x:v>
      </x:c>
      <x:c r="U2583" s="24" t="n">
        <x:f>IFERROR(J2583/H2583,0)-IFERROR(K2583/I2583,0)</x:f>
        <x:v>0</x:v>
      </x:c>
      <x:c r="V2583" s="24" t="n">
        <x:f>IFERROR(F2583/J2583,0)-IFERROR(G2583/K2583,0)</x:f>
        <x:v>0.16666666666666663</x:v>
      </x:c>
      <x:c r="W2583" s="28" t="n">
        <x:f>L2583-M2583</x:f>
        <x:v>-1</x:v>
      </x:c>
      <x:c r="X2583" s="24" t="n">
        <x:f>IFERROR(K2583/I2583,0)</x:f>
        <x:v>0.25</x:v>
      </x:c>
      <x:c r="Y2583" s="24" t="n">
        <x:f>IFERROR(G2583/I2583,0)</x:f>
        <x:v>0.125</x:v>
      </x:c>
      <x:c r="Z2583" s="24" t="n">
        <x:f>IFERROR(G2583/K2583,0)</x:f>
        <x:v>0.5</x:v>
      </x:c>
      <x:c r="AA2583" s="24" t="n">
        <x:f>IFERROR(F2583/H2583,0)-IFERROR(G2583/I2583,0)</x:f>
        <x:v>0.04166666666666666</x:v>
      </x:c>
      <x:c r="AB2583" s="28" t="n">
        <x:f>J2583-K2583</x:f>
        <x:v>-1</x:v>
      </x:c>
      <x:c r="AC2583" s="32" t="n">
        <x:f>F2583-G2583</x:f>
        <x:v>0</x:v>
      </x:c>
    </x:row>
    <x:row r="2584">
      <x:c r="A2584" s="4" t="str">
        <x:v>2024-25</x:v>
      </x:c>
      <x:c r="B2584" s="20" t="n">
        <x:v>45640</x:v>
      </x:c>
      <x:c r="C2584" s="4" t="str">
        <x:v>Ipswich</x:v>
      </x:c>
      <x:c r="D2584" s="4" t="str">
        <x:v>Wolves</x:v>
      </x:c>
      <x:c r="E2584" s="4" t="str">
        <x:v>Away</x:v>
      </x:c>
      <x:c r="F2584" s="28" t="n">
        <x:v>2</x:v>
      </x:c>
      <x:c r="G2584" s="28" t="n">
        <x:v>1</x:v>
      </x:c>
      <x:c r="H2584" s="28" t="n">
        <x:v>10</x:v>
      </x:c>
      <x:c r="I2584" s="28" t="n">
        <x:v>16</x:v>
      </x:c>
      <x:c r="J2584" s="28" t="n">
        <x:v>5</x:v>
      </x:c>
      <x:c r="K2584" s="28" t="n">
        <x:v>6</x:v>
      </x:c>
      <x:c r="L2584" s="28" t="n">
        <x:v>3</x:v>
      </x:c>
      <x:c r="M2584" s="28" t="n">
        <x:v>7</x:v>
      </x:c>
      <x:c r="N2584" s="28" t="n">
        <x:v>2</x:v>
      </x:c>
      <x:c r="O2584" s="28" t="n">
        <x:v>0</x:v>
      </x:c>
      <x:c r="P2584" s="28" t="n">
        <x:v>3</x:v>
      </x:c>
      <x:c r="Q2584" s="24" t="n">
        <x:f>IFERROR(J2584/H2584,0)</x:f>
        <x:v>0.5</x:v>
      </x:c>
      <x:c r="R2584" s="24" t="n">
        <x:f>IFERROR(F2584/H2584,0)</x:f>
        <x:v>0.2</x:v>
      </x:c>
      <x:c r="S2584" s="24" t="n">
        <x:f>IFERROR(F2584/J2584,0)</x:f>
        <x:v>0.4</x:v>
      </x:c>
      <x:c r="T2584" s="28" t="n">
        <x:f>H2584-I2584</x:f>
        <x:v>-6</x:v>
      </x:c>
      <x:c r="U2584" s="24" t="n">
        <x:f>IFERROR(J2584/H2584,0)-IFERROR(K2584/I2584,0)</x:f>
        <x:v>0.125</x:v>
      </x:c>
      <x:c r="V2584" s="24" t="n">
        <x:f>IFERROR(F2584/J2584,0)-IFERROR(G2584/K2584,0)</x:f>
        <x:v>0.23333333333333336</x:v>
      </x:c>
      <x:c r="W2584" s="28" t="n">
        <x:f>L2584-M2584</x:f>
        <x:v>-4</x:v>
      </x:c>
      <x:c r="X2584" s="24" t="n">
        <x:f>IFERROR(K2584/I2584,0)</x:f>
        <x:v>0.375</x:v>
      </x:c>
      <x:c r="Y2584" s="24" t="n">
        <x:f>IFERROR(G2584/I2584,0)</x:f>
        <x:v>0.0625</x:v>
      </x:c>
      <x:c r="Z2584" s="24" t="n">
        <x:f>IFERROR(G2584/K2584,0)</x:f>
        <x:v>0.16666666666666666</x:v>
      </x:c>
      <x:c r="AA2584" s="24" t="n">
        <x:f>IFERROR(F2584/H2584,0)-IFERROR(G2584/I2584,0)</x:f>
        <x:v>0.1375</x:v>
      </x:c>
      <x:c r="AB2584" s="28" t="n">
        <x:f>J2584-K2584</x:f>
        <x:v>-1</x:v>
      </x:c>
      <x:c r="AC2584" s="32" t="n">
        <x:f>F2584-G2584</x:f>
        <x:v>1</x:v>
      </x:c>
    </x:row>
    <x:row r="2585">
      <x:c r="A2585" s="4" t="str">
        <x:v>2024-25</x:v>
      </x:c>
      <x:c r="B2585" s="20" t="n">
        <x:v>45640</x:v>
      </x:c>
      <x:c r="C2585" s="4" t="str">
        <x:v>Leicester</x:v>
      </x:c>
      <x:c r="D2585" s="4" t="str">
        <x:v>Newcastle</x:v>
      </x:c>
      <x:c r="E2585" s="4" t="str">
        <x:v>Away</x:v>
      </x:c>
      <x:c r="F2585" s="28" t="n">
        <x:v>0</x:v>
      </x:c>
      <x:c r="G2585" s="28" t="n">
        <x:v>4</x:v>
      </x:c>
      <x:c r="H2585" s="28" t="n">
        <x:v>4</x:v>
      </x:c>
      <x:c r="I2585" s="28" t="n">
        <x:v>27</x:v>
      </x:c>
      <x:c r="J2585" s="28" t="n">
        <x:v>1</x:v>
      </x:c>
      <x:c r="K2585" s="28" t="n">
        <x:v>11</x:v>
      </x:c>
      <x:c r="L2585" s="28" t="n">
        <x:v>2</x:v>
      </x:c>
      <x:c r="M2585" s="28" t="n">
        <x:v>5</x:v>
      </x:c>
      <x:c r="N2585" s="28" t="n">
        <x:v>3</x:v>
      </x:c>
      <x:c r="O2585" s="28" t="n">
        <x:v>0</x:v>
      </x:c>
      <x:c r="P2585" s="28" t="n">
        <x:v>0</x:v>
      </x:c>
      <x:c r="Q2585" s="24" t="n">
        <x:f>IFERROR(J2585/H2585,0)</x:f>
        <x:v>0.25</x:v>
      </x:c>
      <x:c r="R2585" s="24" t="n">
        <x:f>IFERROR(F2585/H2585,0)</x:f>
        <x:v>0</x:v>
      </x:c>
      <x:c r="S2585" s="24" t="n">
        <x:f>IFERROR(F2585/J2585,0)</x:f>
        <x:v>0</x:v>
      </x:c>
      <x:c r="T2585" s="28" t="n">
        <x:f>H2585-I2585</x:f>
        <x:v>-23</x:v>
      </x:c>
      <x:c r="U2585" s="24" t="n">
        <x:f>IFERROR(J2585/H2585,0)-IFERROR(K2585/I2585,0)</x:f>
        <x:v>-0.15740740740740738</x:v>
      </x:c>
      <x:c r="V2585" s="24" t="n">
        <x:f>IFERROR(F2585/J2585,0)-IFERROR(G2585/K2585,0)</x:f>
        <x:v>-0.36363636363636365</x:v>
      </x:c>
      <x:c r="W2585" s="28" t="n">
        <x:f>L2585-M2585</x:f>
        <x:v>-3</x:v>
      </x:c>
      <x:c r="X2585" s="24" t="n">
        <x:f>IFERROR(K2585/I2585,0)</x:f>
        <x:v>0.4074074074074074</x:v>
      </x:c>
      <x:c r="Y2585" s="24" t="n">
        <x:f>IFERROR(G2585/I2585,0)</x:f>
        <x:v>0.14814814814814814</x:v>
      </x:c>
      <x:c r="Z2585" s="24" t="n">
        <x:f>IFERROR(G2585/K2585,0)</x:f>
        <x:v>0.36363636363636365</x:v>
      </x:c>
      <x:c r="AA2585" s="24" t="n">
        <x:f>IFERROR(F2585/H2585,0)-IFERROR(G2585/I2585,0)</x:f>
        <x:v>-0.14814814814814814</x:v>
      </x:c>
      <x:c r="AB2585" s="28" t="n">
        <x:f>J2585-K2585</x:f>
        <x:v>-10</x:v>
      </x:c>
      <x:c r="AC2585" s="32" t="n">
        <x:f>F2585-G2585</x:f>
        <x:v>-4</x:v>
      </x:c>
    </x:row>
    <x:row r="2586">
      <x:c r="A2586" s="4" t="str">
        <x:v>2024-25</x:v>
      </x:c>
      <x:c r="B2586" s="20" t="n">
        <x:v>45640</x:v>
      </x:c>
      <x:c r="C2586" s="4" t="str">
        <x:v>Liverpool</x:v>
      </x:c>
      <x:c r="D2586" s="4" t="str">
        <x:v>Fulham</x:v>
      </x:c>
      <x:c r="E2586" s="4" t="str">
        <x:v>Home</x:v>
      </x:c>
      <x:c r="F2586" s="28" t="n">
        <x:v>2</x:v>
      </x:c>
      <x:c r="G2586" s="28" t="n">
        <x:v>2</x:v>
      </x:c>
      <x:c r="H2586" s="28" t="n">
        <x:v>16</x:v>
      </x:c>
      <x:c r="I2586" s="28" t="n">
        <x:v>12</x:v>
      </x:c>
      <x:c r="J2586" s="28" t="n">
        <x:v>4</x:v>
      </x:c>
      <x:c r="K2586" s="28" t="n">
        <x:v>3</x:v>
      </x:c>
      <x:c r="L2586" s="28" t="n">
        <x:v>5</x:v>
      </x:c>
      <x:c r="M2586" s="28" t="n">
        <x:v>4</x:v>
      </x:c>
      <x:c r="N2586" s="28" t="n">
        <x:v>3</x:v>
      </x:c>
      <x:c r="O2586" s="28" t="n">
        <x:v>1</x:v>
      </x:c>
      <x:c r="P2586" s="28" t="n">
        <x:v>1</x:v>
      </x:c>
      <x:c r="Q2586" s="24" t="n">
        <x:f>IFERROR(J2586/H2586,0)</x:f>
        <x:v>0.25</x:v>
      </x:c>
      <x:c r="R2586" s="24" t="n">
        <x:f>IFERROR(F2586/H2586,0)</x:f>
        <x:v>0.125</x:v>
      </x:c>
      <x:c r="S2586" s="24" t="n">
        <x:f>IFERROR(F2586/J2586,0)</x:f>
        <x:v>0.5</x:v>
      </x:c>
      <x:c r="T2586" s="28" t="n">
        <x:f>H2586-I2586</x:f>
        <x:v>4</x:v>
      </x:c>
      <x:c r="U2586" s="24" t="n">
        <x:f>IFERROR(J2586/H2586,0)-IFERROR(K2586/I2586,0)</x:f>
        <x:v>0</x:v>
      </x:c>
      <x:c r="V2586" s="24" t="n">
        <x:f>IFERROR(F2586/J2586,0)-IFERROR(G2586/K2586,0)</x:f>
        <x:v>-0.16666666666666663</x:v>
      </x:c>
      <x:c r="W2586" s="28" t="n">
        <x:f>L2586-M2586</x:f>
        <x:v>1</x:v>
      </x:c>
      <x:c r="X2586" s="24" t="n">
        <x:f>IFERROR(K2586/I2586,0)</x:f>
        <x:v>0.25</x:v>
      </x:c>
      <x:c r="Y2586" s="24" t="n">
        <x:f>IFERROR(G2586/I2586,0)</x:f>
        <x:v>0.16666666666666666</x:v>
      </x:c>
      <x:c r="Z2586" s="24" t="n">
        <x:f>IFERROR(G2586/K2586,0)</x:f>
        <x:v>0.6666666666666666</x:v>
      </x:c>
      <x:c r="AA2586" s="24" t="n">
        <x:f>IFERROR(F2586/H2586,0)-IFERROR(G2586/I2586,0)</x:f>
        <x:v>-0.04166666666666666</x:v>
      </x:c>
      <x:c r="AB2586" s="28" t="n">
        <x:f>J2586-K2586</x:f>
        <x:v>1</x:v>
      </x:c>
      <x:c r="AC2586" s="32" t="n">
        <x:f>F2586-G2586</x:f>
        <x:v>0</x:v>
      </x:c>
    </x:row>
    <x:row r="2587">
      <x:c r="A2587" s="4" t="str">
        <x:v>2024-25</x:v>
      </x:c>
      <x:c r="B2587" s="20" t="n">
        <x:v>45640</x:v>
      </x:c>
      <x:c r="C2587" s="4" t="str">
        <x:v>Newcastle</x:v>
      </x:c>
      <x:c r="D2587" s="4" t="str">
        <x:v>Leicester</x:v>
      </x:c>
      <x:c r="E2587" s="4" t="str">
        <x:v>Home</x:v>
      </x:c>
      <x:c r="F2587" s="28" t="n">
        <x:v>4</x:v>
      </x:c>
      <x:c r="G2587" s="28" t="n">
        <x:v>0</x:v>
      </x:c>
      <x:c r="H2587" s="28" t="n">
        <x:v>27</x:v>
      </x:c>
      <x:c r="I2587" s="28" t="n">
        <x:v>4</x:v>
      </x:c>
      <x:c r="J2587" s="28" t="n">
        <x:v>11</x:v>
      </x:c>
      <x:c r="K2587" s="28" t="n">
        <x:v>1</x:v>
      </x:c>
      <x:c r="L2587" s="28" t="n">
        <x:v>5</x:v>
      </x:c>
      <x:c r="M2587" s="28" t="n">
        <x:v>2</x:v>
      </x:c>
      <x:c r="N2587" s="28" t="n">
        <x:v>3</x:v>
      </x:c>
      <x:c r="O2587" s="28" t="n">
        <x:v>0</x:v>
      </x:c>
      <x:c r="P2587" s="28" t="n">
        <x:v>3</x:v>
      </x:c>
      <x:c r="Q2587" s="24" t="n">
        <x:f>IFERROR(J2587/H2587,0)</x:f>
        <x:v>0.4074074074074074</x:v>
      </x:c>
      <x:c r="R2587" s="24" t="n">
        <x:f>IFERROR(F2587/H2587,0)</x:f>
        <x:v>0.14814814814814814</x:v>
      </x:c>
      <x:c r="S2587" s="24" t="n">
        <x:f>IFERROR(F2587/J2587,0)</x:f>
        <x:v>0.36363636363636365</x:v>
      </x:c>
      <x:c r="T2587" s="28" t="n">
        <x:f>H2587-I2587</x:f>
        <x:v>23</x:v>
      </x:c>
      <x:c r="U2587" s="24" t="n">
        <x:f>IFERROR(J2587/H2587,0)-IFERROR(K2587/I2587,0)</x:f>
        <x:v>0.15740740740740738</x:v>
      </x:c>
      <x:c r="V2587" s="24" t="n">
        <x:f>IFERROR(F2587/J2587,0)-IFERROR(G2587/K2587,0)</x:f>
        <x:v>0.36363636363636365</x:v>
      </x:c>
      <x:c r="W2587" s="28" t="n">
        <x:f>L2587-M2587</x:f>
        <x:v>3</x:v>
      </x:c>
      <x:c r="X2587" s="24" t="n">
        <x:f>IFERROR(K2587/I2587,0)</x:f>
        <x:v>0.25</x:v>
      </x:c>
      <x:c r="Y2587" s="24" t="n">
        <x:f>IFERROR(G2587/I2587,0)</x:f>
        <x:v>0</x:v>
      </x:c>
      <x:c r="Z2587" s="24" t="n">
        <x:f>IFERROR(G2587/K2587,0)</x:f>
        <x:v>0</x:v>
      </x:c>
      <x:c r="AA2587" s="24" t="n">
        <x:f>IFERROR(F2587/H2587,0)-IFERROR(G2587/I2587,0)</x:f>
        <x:v>0.14814814814814814</x:v>
      </x:c>
      <x:c r="AB2587" s="28" t="n">
        <x:f>J2587-K2587</x:f>
        <x:v>10</x:v>
      </x:c>
      <x:c r="AC2587" s="32" t="n">
        <x:f>F2587-G2587</x:f>
        <x:v>4</x:v>
      </x:c>
    </x:row>
    <x:row r="2588">
      <x:c r="A2588" s="4" t="str">
        <x:v>2024-25</x:v>
      </x:c>
      <x:c r="B2588" s="20" t="n">
        <x:v>45640</x:v>
      </x:c>
      <x:c r="C2588" s="4" t="str">
        <x:v>Nott'm Forest</x:v>
      </x:c>
      <x:c r="D2588" s="4" t="str">
        <x:v>Aston Villa</x:v>
      </x:c>
      <x:c r="E2588" s="4" t="str">
        <x:v>Home</x:v>
      </x:c>
      <x:c r="F2588" s="28" t="n">
        <x:v>2</x:v>
      </x:c>
      <x:c r="G2588" s="28" t="n">
        <x:v>1</x:v>
      </x:c>
      <x:c r="H2588" s="28" t="n">
        <x:v>17</x:v>
      </x:c>
      <x:c r="I2588" s="28" t="n">
        <x:v>8</x:v>
      </x:c>
      <x:c r="J2588" s="28" t="n">
        <x:v>6</x:v>
      </x:c>
      <x:c r="K2588" s="28" t="n">
        <x:v>2</x:v>
      </x:c>
      <x:c r="L2588" s="28" t="n">
        <x:v>4</x:v>
      </x:c>
      <x:c r="M2588" s="28" t="n">
        <x:v>3</x:v>
      </x:c>
      <x:c r="N2588" s="28" t="n">
        <x:v>0</x:v>
      </x:c>
      <x:c r="O2588" s="28" t="n">
        <x:v>0</x:v>
      </x:c>
      <x:c r="P2588" s="28" t="n">
        <x:v>3</x:v>
      </x:c>
      <x:c r="Q2588" s="24" t="n">
        <x:f>IFERROR(J2588/H2588,0)</x:f>
        <x:v>0.35294117647058826</x:v>
      </x:c>
      <x:c r="R2588" s="24" t="n">
        <x:f>IFERROR(F2588/H2588,0)</x:f>
        <x:v>0.11764705882352941</x:v>
      </x:c>
      <x:c r="S2588" s="24" t="n">
        <x:f>IFERROR(F2588/J2588,0)</x:f>
        <x:v>0.3333333333333333</x:v>
      </x:c>
      <x:c r="T2588" s="28" t="n">
        <x:f>H2588-I2588</x:f>
        <x:v>9</x:v>
      </x:c>
      <x:c r="U2588" s="24" t="n">
        <x:f>IFERROR(J2588/H2588,0)-IFERROR(K2588/I2588,0)</x:f>
        <x:v>0.10294117647058826</x:v>
      </x:c>
      <x:c r="V2588" s="24" t="n">
        <x:f>IFERROR(F2588/J2588,0)-IFERROR(G2588/K2588,0)</x:f>
        <x:v>-0.16666666666666669</x:v>
      </x:c>
      <x:c r="W2588" s="28" t="n">
        <x:f>L2588-M2588</x:f>
        <x:v>1</x:v>
      </x:c>
      <x:c r="X2588" s="24" t="n">
        <x:f>IFERROR(K2588/I2588,0)</x:f>
        <x:v>0.25</x:v>
      </x:c>
      <x:c r="Y2588" s="24" t="n">
        <x:f>IFERROR(G2588/I2588,0)</x:f>
        <x:v>0.125</x:v>
      </x:c>
      <x:c r="Z2588" s="24" t="n">
        <x:f>IFERROR(G2588/K2588,0)</x:f>
        <x:v>0.5</x:v>
      </x:c>
      <x:c r="AA2588" s="24" t="n">
        <x:f>IFERROR(F2588/H2588,0)-IFERROR(G2588/I2588,0)</x:f>
        <x:v>-0.00735294117647059</x:v>
      </x:c>
      <x:c r="AB2588" s="28" t="n">
        <x:f>J2588-K2588</x:f>
        <x:v>4</x:v>
      </x:c>
      <x:c r="AC2588" s="32" t="n">
        <x:f>F2588-G2588</x:f>
        <x:v>1</x:v>
      </x:c>
    </x:row>
    <x:row r="2589">
      <x:c r="A2589" s="4" t="str">
        <x:v>2024-25</x:v>
      </x:c>
      <x:c r="B2589" s="20" t="n">
        <x:v>45640</x:v>
      </x:c>
      <x:c r="C2589" s="4" t="str">
        <x:v>Wolves</x:v>
      </x:c>
      <x:c r="D2589" s="4" t="str">
        <x:v>Ipswich</x:v>
      </x:c>
      <x:c r="E2589" s="4" t="str">
        <x:v>Home</x:v>
      </x:c>
      <x:c r="F2589" s="28" t="n">
        <x:v>1</x:v>
      </x:c>
      <x:c r="G2589" s="28" t="n">
        <x:v>2</x:v>
      </x:c>
      <x:c r="H2589" s="28" t="n">
        <x:v>16</x:v>
      </x:c>
      <x:c r="I2589" s="28" t="n">
        <x:v>10</x:v>
      </x:c>
      <x:c r="J2589" s="28" t="n">
        <x:v>6</x:v>
      </x:c>
      <x:c r="K2589" s="28" t="n">
        <x:v>5</x:v>
      </x:c>
      <x:c r="L2589" s="28" t="n">
        <x:v>7</x:v>
      </x:c>
      <x:c r="M2589" s="28" t="n">
        <x:v>3</x:v>
      </x:c>
      <x:c r="N2589" s="28" t="n">
        <x:v>0</x:v>
      </x:c>
      <x:c r="O2589" s="28" t="n">
        <x:v>1</x:v>
      </x:c>
      <x:c r="P2589" s="28" t="n">
        <x:v>0</x:v>
      </x:c>
      <x:c r="Q2589" s="24" t="n">
        <x:f>IFERROR(J2589/H2589,0)</x:f>
        <x:v>0.375</x:v>
      </x:c>
      <x:c r="R2589" s="24" t="n">
        <x:f>IFERROR(F2589/H2589,0)</x:f>
        <x:v>0.0625</x:v>
      </x:c>
      <x:c r="S2589" s="24" t="n">
        <x:f>IFERROR(F2589/J2589,0)</x:f>
        <x:v>0.16666666666666666</x:v>
      </x:c>
      <x:c r="T2589" s="28" t="n">
        <x:f>H2589-I2589</x:f>
        <x:v>6</x:v>
      </x:c>
      <x:c r="U2589" s="24" t="n">
        <x:f>IFERROR(J2589/H2589,0)-IFERROR(K2589/I2589,0)</x:f>
        <x:v>-0.125</x:v>
      </x:c>
      <x:c r="V2589" s="24" t="n">
        <x:f>IFERROR(F2589/J2589,0)-IFERROR(G2589/K2589,0)</x:f>
        <x:v>-0.23333333333333336</x:v>
      </x:c>
      <x:c r="W2589" s="28" t="n">
        <x:f>L2589-M2589</x:f>
        <x:v>4</x:v>
      </x:c>
      <x:c r="X2589" s="24" t="n">
        <x:f>IFERROR(K2589/I2589,0)</x:f>
        <x:v>0.5</x:v>
      </x:c>
      <x:c r="Y2589" s="24" t="n">
        <x:f>IFERROR(G2589/I2589,0)</x:f>
        <x:v>0.2</x:v>
      </x:c>
      <x:c r="Z2589" s="24" t="n">
        <x:f>IFERROR(G2589/K2589,0)</x:f>
        <x:v>0.4</x:v>
      </x:c>
      <x:c r="AA2589" s="24" t="n">
        <x:f>IFERROR(F2589/H2589,0)-IFERROR(G2589/I2589,0)</x:f>
        <x:v>-0.1375</x:v>
      </x:c>
      <x:c r="AB2589" s="28" t="n">
        <x:f>J2589-K2589</x:f>
        <x:v>1</x:v>
      </x:c>
      <x:c r="AC2589" s="32" t="n">
        <x:f>F2589-G2589</x:f>
        <x:v>-1</x:v>
      </x:c>
    </x:row>
    <x:row r="2590">
      <x:c r="A2590" s="4" t="str">
        <x:v>2024-25</x:v>
      </x:c>
      <x:c r="B2590" s="20" t="n">
        <x:v>45641</x:v>
      </x:c>
      <x:c r="C2590" s="4" t="str">
        <x:v>Brentford</x:v>
      </x:c>
      <x:c r="D2590" s="4" t="str">
        <x:v>Chelsea</x:v>
      </x:c>
      <x:c r="E2590" s="4" t="str">
        <x:v>Away</x:v>
      </x:c>
      <x:c r="F2590" s="28" t="n">
        <x:v>1</x:v>
      </x:c>
      <x:c r="G2590" s="28" t="n">
        <x:v>2</x:v>
      </x:c>
      <x:c r="H2590" s="28" t="n">
        <x:v>9</x:v>
      </x:c>
      <x:c r="I2590" s="28" t="n">
        <x:v>26</x:v>
      </x:c>
      <x:c r="J2590" s="28" t="n">
        <x:v>4</x:v>
      </x:c>
      <x:c r="K2590" s="28" t="n">
        <x:v>8</x:v>
      </x:c>
      <x:c r="L2590" s="28" t="n">
        <x:v>5</x:v>
      </x:c>
      <x:c r="M2590" s="28" t="n">
        <x:v>8</x:v>
      </x:c>
      <x:c r="N2590" s="28" t="n">
        <x:v>2</x:v>
      </x:c>
      <x:c r="O2590" s="28" t="n">
        <x:v>0</x:v>
      </x:c>
      <x:c r="P2590" s="28" t="n">
        <x:v>0</x:v>
      </x:c>
      <x:c r="Q2590" s="24" t="n">
        <x:f>IFERROR(J2590/H2590,0)</x:f>
        <x:v>0.4444444444444444</x:v>
      </x:c>
      <x:c r="R2590" s="24" t="n">
        <x:f>IFERROR(F2590/H2590,0)</x:f>
        <x:v>0.1111111111111111</x:v>
      </x:c>
      <x:c r="S2590" s="24" t="n">
        <x:f>IFERROR(F2590/J2590,0)</x:f>
        <x:v>0.25</x:v>
      </x:c>
      <x:c r="T2590" s="28" t="n">
        <x:f>H2590-I2590</x:f>
        <x:v>-17</x:v>
      </x:c>
      <x:c r="U2590" s="24" t="n">
        <x:f>IFERROR(J2590/H2590,0)-IFERROR(K2590/I2590,0)</x:f>
        <x:v>0.1367521367521367</x:v>
      </x:c>
      <x:c r="V2590" s="24" t="n">
        <x:f>IFERROR(F2590/J2590,0)-IFERROR(G2590/K2590,0)</x:f>
        <x:v>0</x:v>
      </x:c>
      <x:c r="W2590" s="28" t="n">
        <x:f>L2590-M2590</x:f>
        <x:v>-3</x:v>
      </x:c>
      <x:c r="X2590" s="24" t="n">
        <x:f>IFERROR(K2590/I2590,0)</x:f>
        <x:v>0.3076923076923077</x:v>
      </x:c>
      <x:c r="Y2590" s="24" t="n">
        <x:f>IFERROR(G2590/I2590,0)</x:f>
        <x:v>0.07692307692307693</x:v>
      </x:c>
      <x:c r="Z2590" s="24" t="n">
        <x:f>IFERROR(G2590/K2590,0)</x:f>
        <x:v>0.25</x:v>
      </x:c>
      <x:c r="AA2590" s="24" t="n">
        <x:f>IFERROR(F2590/H2590,0)-IFERROR(G2590/I2590,0)</x:f>
        <x:v>0.03418803418803418</x:v>
      </x:c>
      <x:c r="AB2590" s="28" t="n">
        <x:f>J2590-K2590</x:f>
        <x:v>-4</x:v>
      </x:c>
      <x:c r="AC2590" s="32" t="n">
        <x:f>F2590-G2590</x:f>
        <x:v>-1</x:v>
      </x:c>
    </x:row>
    <x:row r="2591">
      <x:c r="A2591" s="4" t="str">
        <x:v>2024-25</x:v>
      </x:c>
      <x:c r="B2591" s="20" t="n">
        <x:v>45641</x:v>
      </x:c>
      <x:c r="C2591" s="4" t="str">
        <x:v>Brighton</x:v>
      </x:c>
      <x:c r="D2591" s="4" t="str">
        <x:v>Crystal Palace</x:v>
      </x:c>
      <x:c r="E2591" s="4" t="str">
        <x:v>Home</x:v>
      </x:c>
      <x:c r="F2591" s="28" t="n">
        <x:v>1</x:v>
      </x:c>
      <x:c r="G2591" s="28" t="n">
        <x:v>3</x:v>
      </x:c>
      <x:c r="H2591" s="28" t="n">
        <x:v>17</x:v>
      </x:c>
      <x:c r="I2591" s="28" t="n">
        <x:v>13</x:v>
      </x:c>
      <x:c r="J2591" s="28" t="n">
        <x:v>5</x:v>
      </x:c>
      <x:c r="K2591" s="28" t="n">
        <x:v>5</x:v>
      </x:c>
      <x:c r="L2591" s="28" t="n">
        <x:v>8</x:v>
      </x:c>
      <x:c r="M2591" s="28" t="n">
        <x:v>5</x:v>
      </x:c>
      <x:c r="N2591" s="28" t="n">
        <x:v>1</x:v>
      </x:c>
      <x:c r="O2591" s="28" t="n">
        <x:v>0</x:v>
      </x:c>
      <x:c r="P2591" s="28" t="n">
        <x:v>0</x:v>
      </x:c>
      <x:c r="Q2591" s="24" t="n">
        <x:f>IFERROR(J2591/H2591,0)</x:f>
        <x:v>0.29411764705882354</x:v>
      </x:c>
      <x:c r="R2591" s="24" t="n">
        <x:f>IFERROR(F2591/H2591,0)</x:f>
        <x:v>0.058823529411764705</x:v>
      </x:c>
      <x:c r="S2591" s="24" t="n">
        <x:f>IFERROR(F2591/J2591,0)</x:f>
        <x:v>0.2</x:v>
      </x:c>
      <x:c r="T2591" s="28" t="n">
        <x:f>H2591-I2591</x:f>
        <x:v>4</x:v>
      </x:c>
      <x:c r="U2591" s="24" t="n">
        <x:f>IFERROR(J2591/H2591,0)-IFERROR(K2591/I2591,0)</x:f>
        <x:v>-0.0904977375565611</x:v>
      </x:c>
      <x:c r="V2591" s="24" t="n">
        <x:f>IFERROR(F2591/J2591,0)-IFERROR(G2591/K2591,0)</x:f>
        <x:v>-0.39999999999999997</x:v>
      </x:c>
      <x:c r="W2591" s="28" t="n">
        <x:f>L2591-M2591</x:f>
        <x:v>3</x:v>
      </x:c>
      <x:c r="X2591" s="24" t="n">
        <x:f>IFERROR(K2591/I2591,0)</x:f>
        <x:v>0.38461538461538464</x:v>
      </x:c>
      <x:c r="Y2591" s="24" t="n">
        <x:f>IFERROR(G2591/I2591,0)</x:f>
        <x:v>0.23076923076923078</x:v>
      </x:c>
      <x:c r="Z2591" s="24" t="n">
        <x:f>IFERROR(G2591/K2591,0)</x:f>
        <x:v>0.6</x:v>
      </x:c>
      <x:c r="AA2591" s="24" t="n">
        <x:f>IFERROR(F2591/H2591,0)-IFERROR(G2591/I2591,0)</x:f>
        <x:v>-0.17194570135746606</x:v>
      </x:c>
      <x:c r="AB2591" s="28" t="n">
        <x:f>J2591-K2591</x:f>
        <x:v>0</x:v>
      </x:c>
      <x:c r="AC2591" s="32" t="n">
        <x:f>F2591-G2591</x:f>
        <x:v>-2</x:v>
      </x:c>
    </x:row>
    <x:row r="2592">
      <x:c r="A2592" s="4" t="str">
        <x:v>2024-25</x:v>
      </x:c>
      <x:c r="B2592" s="20" t="n">
        <x:v>45641</x:v>
      </x:c>
      <x:c r="C2592" s="4" t="str">
        <x:v>Chelsea</x:v>
      </x:c>
      <x:c r="D2592" s="4" t="str">
        <x:v>Brentford</x:v>
      </x:c>
      <x:c r="E2592" s="4" t="str">
        <x:v>Home</x:v>
      </x:c>
      <x:c r="F2592" s="28" t="n">
        <x:v>2</x:v>
      </x:c>
      <x:c r="G2592" s="28" t="n">
        <x:v>1</x:v>
      </x:c>
      <x:c r="H2592" s="28" t="n">
        <x:v>26</x:v>
      </x:c>
      <x:c r="I2592" s="28" t="n">
        <x:v>9</x:v>
      </x:c>
      <x:c r="J2592" s="28" t="n">
        <x:v>8</x:v>
      </x:c>
      <x:c r="K2592" s="28" t="n">
        <x:v>4</x:v>
      </x:c>
      <x:c r="L2592" s="28" t="n">
        <x:v>8</x:v>
      </x:c>
      <x:c r="M2592" s="28" t="n">
        <x:v>5</x:v>
      </x:c>
      <x:c r="N2592" s="28" t="n">
        <x:v>0</x:v>
      </x:c>
      <x:c r="O2592" s="28" t="n">
        <x:v>1</x:v>
      </x:c>
      <x:c r="P2592" s="28" t="n">
        <x:v>3</x:v>
      </x:c>
      <x:c r="Q2592" s="24" t="n">
        <x:f>IFERROR(J2592/H2592,0)</x:f>
        <x:v>0.3076923076923077</x:v>
      </x:c>
      <x:c r="R2592" s="24" t="n">
        <x:f>IFERROR(F2592/H2592,0)</x:f>
        <x:v>0.07692307692307693</x:v>
      </x:c>
      <x:c r="S2592" s="24" t="n">
        <x:f>IFERROR(F2592/J2592,0)</x:f>
        <x:v>0.25</x:v>
      </x:c>
      <x:c r="T2592" s="28" t="n">
        <x:f>H2592-I2592</x:f>
        <x:v>17</x:v>
      </x:c>
      <x:c r="U2592" s="24" t="n">
        <x:f>IFERROR(J2592/H2592,0)-IFERROR(K2592/I2592,0)</x:f>
        <x:v>-0.1367521367521367</x:v>
      </x:c>
      <x:c r="V2592" s="24" t="n">
        <x:f>IFERROR(F2592/J2592,0)-IFERROR(G2592/K2592,0)</x:f>
        <x:v>0</x:v>
      </x:c>
      <x:c r="W2592" s="28" t="n">
        <x:f>L2592-M2592</x:f>
        <x:v>3</x:v>
      </x:c>
      <x:c r="X2592" s="24" t="n">
        <x:f>IFERROR(K2592/I2592,0)</x:f>
        <x:v>0.4444444444444444</x:v>
      </x:c>
      <x:c r="Y2592" s="24" t="n">
        <x:f>IFERROR(G2592/I2592,0)</x:f>
        <x:v>0.1111111111111111</x:v>
      </x:c>
      <x:c r="Z2592" s="24" t="n">
        <x:f>IFERROR(G2592/K2592,0)</x:f>
        <x:v>0.25</x:v>
      </x:c>
      <x:c r="AA2592" s="24" t="n">
        <x:f>IFERROR(F2592/H2592,0)-IFERROR(G2592/I2592,0)</x:f>
        <x:v>-0.03418803418803418</x:v>
      </x:c>
      <x:c r="AB2592" s="28" t="n">
        <x:f>J2592-K2592</x:f>
        <x:v>4</x:v>
      </x:c>
      <x:c r="AC2592" s="32" t="n">
        <x:f>F2592-G2592</x:f>
        <x:v>1</x:v>
      </x:c>
    </x:row>
    <x:row r="2593">
      <x:c r="A2593" s="4" t="str">
        <x:v>2024-25</x:v>
      </x:c>
      <x:c r="B2593" s="20" t="n">
        <x:v>45641</x:v>
      </x:c>
      <x:c r="C2593" s="4" t="str">
        <x:v>Crystal Palace</x:v>
      </x:c>
      <x:c r="D2593" s="4" t="str">
        <x:v>Brighton</x:v>
      </x:c>
      <x:c r="E2593" s="4" t="str">
        <x:v>Away</x:v>
      </x:c>
      <x:c r="F2593" s="28" t="n">
        <x:v>3</x:v>
      </x:c>
      <x:c r="G2593" s="28" t="n">
        <x:v>1</x:v>
      </x:c>
      <x:c r="H2593" s="28" t="n">
        <x:v>13</x:v>
      </x:c>
      <x:c r="I2593" s="28" t="n">
        <x:v>17</x:v>
      </x:c>
      <x:c r="J2593" s="28" t="n">
        <x:v>5</x:v>
      </x:c>
      <x:c r="K2593" s="28" t="n">
        <x:v>5</x:v>
      </x:c>
      <x:c r="L2593" s="28" t="n">
        <x:v>5</x:v>
      </x:c>
      <x:c r="M2593" s="28" t="n">
        <x:v>8</x:v>
      </x:c>
      <x:c r="N2593" s="28" t="n">
        <x:v>4</x:v>
      </x:c>
      <x:c r="O2593" s="28" t="n">
        <x:v>0</x:v>
      </x:c>
      <x:c r="P2593" s="28" t="n">
        <x:v>3</x:v>
      </x:c>
      <x:c r="Q2593" s="24" t="n">
        <x:f>IFERROR(J2593/H2593,0)</x:f>
        <x:v>0.38461538461538464</x:v>
      </x:c>
      <x:c r="R2593" s="24" t="n">
        <x:f>IFERROR(F2593/H2593,0)</x:f>
        <x:v>0.23076923076923078</x:v>
      </x:c>
      <x:c r="S2593" s="24" t="n">
        <x:f>IFERROR(F2593/J2593,0)</x:f>
        <x:v>0.6</x:v>
      </x:c>
      <x:c r="T2593" s="28" t="n">
        <x:f>H2593-I2593</x:f>
        <x:v>-4</x:v>
      </x:c>
      <x:c r="U2593" s="24" t="n">
        <x:f>IFERROR(J2593/H2593,0)-IFERROR(K2593/I2593,0)</x:f>
        <x:v>0.0904977375565611</x:v>
      </x:c>
      <x:c r="V2593" s="24" t="n">
        <x:f>IFERROR(F2593/J2593,0)-IFERROR(G2593/K2593,0)</x:f>
        <x:v>0.39999999999999997</x:v>
      </x:c>
      <x:c r="W2593" s="28" t="n">
        <x:f>L2593-M2593</x:f>
        <x:v>-3</x:v>
      </x:c>
      <x:c r="X2593" s="24" t="n">
        <x:f>IFERROR(K2593/I2593,0)</x:f>
        <x:v>0.29411764705882354</x:v>
      </x:c>
      <x:c r="Y2593" s="24" t="n">
        <x:f>IFERROR(G2593/I2593,0)</x:f>
        <x:v>0.058823529411764705</x:v>
      </x:c>
      <x:c r="Z2593" s="24" t="n">
        <x:f>IFERROR(G2593/K2593,0)</x:f>
        <x:v>0.2</x:v>
      </x:c>
      <x:c r="AA2593" s="24" t="n">
        <x:f>IFERROR(F2593/H2593,0)-IFERROR(G2593/I2593,0)</x:f>
        <x:v>0.17194570135746606</x:v>
      </x:c>
      <x:c r="AB2593" s="28" t="n">
        <x:f>J2593-K2593</x:f>
        <x:v>0</x:v>
      </x:c>
      <x:c r="AC2593" s="32" t="n">
        <x:f>F2593-G2593</x:f>
        <x:v>2</x:v>
      </x:c>
    </x:row>
    <x:row r="2594">
      <x:c r="A2594" s="4" t="str">
        <x:v>2024-25</x:v>
      </x:c>
      <x:c r="B2594" s="20" t="n">
        <x:v>45641</x:v>
      </x:c>
      <x:c r="C2594" s="4" t="str">
        <x:v>Man City</x:v>
      </x:c>
      <x:c r="D2594" s="4" t="str">
        <x:v>Man United</x:v>
      </x:c>
      <x:c r="E2594" s="4" t="str">
        <x:v>Home</x:v>
      </x:c>
      <x:c r="F2594" s="28" t="n">
        <x:v>1</x:v>
      </x:c>
      <x:c r="G2594" s="28" t="n">
        <x:v>2</x:v>
      </x:c>
      <x:c r="H2594" s="28" t="n">
        <x:v>10</x:v>
      </x:c>
      <x:c r="I2594" s="28" t="n">
        <x:v>10</x:v>
      </x:c>
      <x:c r="J2594" s="28" t="n">
        <x:v>3</x:v>
      </x:c>
      <x:c r="K2594" s="28" t="n">
        <x:v>3</x:v>
      </x:c>
      <x:c r="L2594" s="28" t="n">
        <x:v>8</x:v>
      </x:c>
      <x:c r="M2594" s="28" t="n">
        <x:v>2</x:v>
      </x:c>
      <x:c r="N2594" s="28" t="n">
        <x:v>1</x:v>
      </x:c>
      <x:c r="O2594" s="28" t="n">
        <x:v>0</x:v>
      </x:c>
      <x:c r="P2594" s="28" t="n">
        <x:v>0</x:v>
      </x:c>
      <x:c r="Q2594" s="24" t="n">
        <x:f>IFERROR(J2594/H2594,0)</x:f>
        <x:v>0.3</x:v>
      </x:c>
      <x:c r="R2594" s="24" t="n">
        <x:f>IFERROR(F2594/H2594,0)</x:f>
        <x:v>0.1</x:v>
      </x:c>
      <x:c r="S2594" s="24" t="n">
        <x:f>IFERROR(F2594/J2594,0)</x:f>
        <x:v>0.3333333333333333</x:v>
      </x:c>
      <x:c r="T2594" s="28" t="n">
        <x:f>H2594-I2594</x:f>
        <x:v>0</x:v>
      </x:c>
      <x:c r="U2594" s="24" t="n">
        <x:f>IFERROR(J2594/H2594,0)-IFERROR(K2594/I2594,0)</x:f>
        <x:v>0</x:v>
      </x:c>
      <x:c r="V2594" s="24" t="n">
        <x:f>IFERROR(F2594/J2594,0)-IFERROR(G2594/K2594,0)</x:f>
        <x:v>-0.3333333333333333</x:v>
      </x:c>
      <x:c r="W2594" s="28" t="n">
        <x:f>L2594-M2594</x:f>
        <x:v>6</x:v>
      </x:c>
      <x:c r="X2594" s="24" t="n">
        <x:f>IFERROR(K2594/I2594,0)</x:f>
        <x:v>0.3</x:v>
      </x:c>
      <x:c r="Y2594" s="24" t="n">
        <x:f>IFERROR(G2594/I2594,0)</x:f>
        <x:v>0.2</x:v>
      </x:c>
      <x:c r="Z2594" s="24" t="n">
        <x:f>IFERROR(G2594/K2594,0)</x:f>
        <x:v>0.6666666666666666</x:v>
      </x:c>
      <x:c r="AA2594" s="24" t="n">
        <x:f>IFERROR(F2594/H2594,0)-IFERROR(G2594/I2594,0)</x:f>
        <x:v>-0.1</x:v>
      </x:c>
      <x:c r="AB2594" s="28" t="n">
        <x:f>J2594-K2594</x:f>
        <x:v>0</x:v>
      </x:c>
      <x:c r="AC2594" s="32" t="n">
        <x:f>F2594-G2594</x:f>
        <x:v>-1</x:v>
      </x:c>
    </x:row>
    <x:row r="2595">
      <x:c r="A2595" s="4" t="str">
        <x:v>2024-25</x:v>
      </x:c>
      <x:c r="B2595" s="20" t="n">
        <x:v>45641</x:v>
      </x:c>
      <x:c r="C2595" s="4" t="str">
        <x:v>Man United</x:v>
      </x:c>
      <x:c r="D2595" s="4" t="str">
        <x:v>Man City</x:v>
      </x:c>
      <x:c r="E2595" s="4" t="str">
        <x:v>Away</x:v>
      </x:c>
      <x:c r="F2595" s="28" t="n">
        <x:v>2</x:v>
      </x:c>
      <x:c r="G2595" s="28" t="n">
        <x:v>1</x:v>
      </x:c>
      <x:c r="H2595" s="28" t="n">
        <x:v>10</x:v>
      </x:c>
      <x:c r="I2595" s="28" t="n">
        <x:v>10</x:v>
      </x:c>
      <x:c r="J2595" s="28" t="n">
        <x:v>3</x:v>
      </x:c>
      <x:c r="K2595" s="28" t="n">
        <x:v>3</x:v>
      </x:c>
      <x:c r="L2595" s="28" t="n">
        <x:v>2</x:v>
      </x:c>
      <x:c r="M2595" s="28" t="n">
        <x:v>8</x:v>
      </x:c>
      <x:c r="N2595" s="28" t="n">
        <x:v>1</x:v>
      </x:c>
      <x:c r="O2595" s="28" t="n">
        <x:v>0</x:v>
      </x:c>
      <x:c r="P2595" s="28" t="n">
        <x:v>3</x:v>
      </x:c>
      <x:c r="Q2595" s="24" t="n">
        <x:f>IFERROR(J2595/H2595,0)</x:f>
        <x:v>0.3</x:v>
      </x:c>
      <x:c r="R2595" s="24" t="n">
        <x:f>IFERROR(F2595/H2595,0)</x:f>
        <x:v>0.2</x:v>
      </x:c>
      <x:c r="S2595" s="24" t="n">
        <x:f>IFERROR(F2595/J2595,0)</x:f>
        <x:v>0.6666666666666666</x:v>
      </x:c>
      <x:c r="T2595" s="28" t="n">
        <x:f>H2595-I2595</x:f>
        <x:v>0</x:v>
      </x:c>
      <x:c r="U2595" s="24" t="n">
        <x:f>IFERROR(J2595/H2595,0)-IFERROR(K2595/I2595,0)</x:f>
        <x:v>0</x:v>
      </x:c>
      <x:c r="V2595" s="24" t="n">
        <x:f>IFERROR(F2595/J2595,0)-IFERROR(G2595/K2595,0)</x:f>
        <x:v>0.3333333333333333</x:v>
      </x:c>
      <x:c r="W2595" s="28" t="n">
        <x:f>L2595-M2595</x:f>
        <x:v>-6</x:v>
      </x:c>
      <x:c r="X2595" s="24" t="n">
        <x:f>IFERROR(K2595/I2595,0)</x:f>
        <x:v>0.3</x:v>
      </x:c>
      <x:c r="Y2595" s="24" t="n">
        <x:f>IFERROR(G2595/I2595,0)</x:f>
        <x:v>0.1</x:v>
      </x:c>
      <x:c r="Z2595" s="24" t="n">
        <x:f>IFERROR(G2595/K2595,0)</x:f>
        <x:v>0.3333333333333333</x:v>
      </x:c>
      <x:c r="AA2595" s="24" t="n">
        <x:f>IFERROR(F2595/H2595,0)-IFERROR(G2595/I2595,0)</x:f>
        <x:v>0.1</x:v>
      </x:c>
      <x:c r="AB2595" s="28" t="n">
        <x:f>J2595-K2595</x:f>
        <x:v>0</x:v>
      </x:c>
      <x:c r="AC2595" s="32" t="n">
        <x:f>F2595-G2595</x:f>
        <x:v>1</x:v>
      </x:c>
    </x:row>
    <x:row r="2596">
      <x:c r="A2596" s="4" t="str">
        <x:v>2024-25</x:v>
      </x:c>
      <x:c r="B2596" s="20" t="n">
        <x:v>45641</x:v>
      </x:c>
      <x:c r="C2596" s="4" t="str">
        <x:v>Southampton</x:v>
      </x:c>
      <x:c r="D2596" s="4" t="str">
        <x:v>Tottenham</x:v>
      </x:c>
      <x:c r="E2596" s="4" t="str">
        <x:v>Home</x:v>
      </x:c>
      <x:c r="F2596" s="28" t="n">
        <x:v>0</x:v>
      </x:c>
      <x:c r="G2596" s="28" t="n">
        <x:v>5</x:v>
      </x:c>
      <x:c r="H2596" s="28" t="n">
        <x:v>9</x:v>
      </x:c>
      <x:c r="I2596" s="28" t="n">
        <x:v>18</x:v>
      </x:c>
      <x:c r="J2596" s="28" t="n">
        <x:v>3</x:v>
      </x:c>
      <x:c r="K2596" s="28" t="n">
        <x:v>9</x:v>
      </x:c>
      <x:c r="L2596" s="28" t="n">
        <x:v>2</x:v>
      </x:c>
      <x:c r="M2596" s="28" t="n">
        <x:v>5</x:v>
      </x:c>
      <x:c r="N2596" s="28" t="n">
        <x:v>1</x:v>
      </x:c>
      <x:c r="O2596" s="28" t="n">
        <x:v>0</x:v>
      </x:c>
      <x:c r="P2596" s="28" t="n">
        <x:v>0</x:v>
      </x:c>
      <x:c r="Q2596" s="24" t="n">
        <x:f>IFERROR(J2596/H2596,0)</x:f>
        <x:v>0.3333333333333333</x:v>
      </x:c>
      <x:c r="R2596" s="24" t="n">
        <x:f>IFERROR(F2596/H2596,0)</x:f>
        <x:v>0</x:v>
      </x:c>
      <x:c r="S2596" s="24" t="n">
        <x:f>IFERROR(F2596/J2596,0)</x:f>
        <x:v>0</x:v>
      </x:c>
      <x:c r="T2596" s="28" t="n">
        <x:f>H2596-I2596</x:f>
        <x:v>-9</x:v>
      </x:c>
      <x:c r="U2596" s="24" t="n">
        <x:f>IFERROR(J2596/H2596,0)-IFERROR(K2596/I2596,0)</x:f>
        <x:v>-0.16666666666666669</x:v>
      </x:c>
      <x:c r="V2596" s="24" t="n">
        <x:f>IFERROR(F2596/J2596,0)-IFERROR(G2596/K2596,0)</x:f>
        <x:v>-0.5555555555555556</x:v>
      </x:c>
      <x:c r="W2596" s="28" t="n">
        <x:f>L2596-M2596</x:f>
        <x:v>-3</x:v>
      </x:c>
      <x:c r="X2596" s="24" t="n">
        <x:f>IFERROR(K2596/I2596,0)</x:f>
        <x:v>0.5</x:v>
      </x:c>
      <x:c r="Y2596" s="24" t="n">
        <x:f>IFERROR(G2596/I2596,0)</x:f>
        <x:v>0.2777777777777778</x:v>
      </x:c>
      <x:c r="Z2596" s="24" t="n">
        <x:f>IFERROR(G2596/K2596,0)</x:f>
        <x:v>0.5555555555555556</x:v>
      </x:c>
      <x:c r="AA2596" s="24" t="n">
        <x:f>IFERROR(F2596/H2596,0)-IFERROR(G2596/I2596,0)</x:f>
        <x:v>-0.2777777777777778</x:v>
      </x:c>
      <x:c r="AB2596" s="28" t="n">
        <x:f>J2596-K2596</x:f>
        <x:v>-6</x:v>
      </x:c>
      <x:c r="AC2596" s="32" t="n">
        <x:f>F2596-G2596</x:f>
        <x:v>-5</x:v>
      </x:c>
    </x:row>
    <x:row r="2597">
      <x:c r="A2597" s="4" t="str">
        <x:v>2024-25</x:v>
      </x:c>
      <x:c r="B2597" s="20" t="n">
        <x:v>45641</x:v>
      </x:c>
      <x:c r="C2597" s="4" t="str">
        <x:v>Tottenham</x:v>
      </x:c>
      <x:c r="D2597" s="4" t="str">
        <x:v>Southampton</x:v>
      </x:c>
      <x:c r="E2597" s="4" t="str">
        <x:v>Away</x:v>
      </x:c>
      <x:c r="F2597" s="28" t="n">
        <x:v>5</x:v>
      </x:c>
      <x:c r="G2597" s="28" t="n">
        <x:v>0</x:v>
      </x:c>
      <x:c r="H2597" s="28" t="n">
        <x:v>18</x:v>
      </x:c>
      <x:c r="I2597" s="28" t="n">
        <x:v>9</x:v>
      </x:c>
      <x:c r="J2597" s="28" t="n">
        <x:v>9</x:v>
      </x:c>
      <x:c r="K2597" s="28" t="n">
        <x:v>3</x:v>
      </x:c>
      <x:c r="L2597" s="28" t="n">
        <x:v>5</x:v>
      </x:c>
      <x:c r="M2597" s="28" t="n">
        <x:v>2</x:v>
      </x:c>
      <x:c r="N2597" s="28" t="n">
        <x:v>3</x:v>
      </x:c>
      <x:c r="O2597" s="28" t="n">
        <x:v>0</x:v>
      </x:c>
      <x:c r="P2597" s="28" t="n">
        <x:v>3</x:v>
      </x:c>
      <x:c r="Q2597" s="24" t="n">
        <x:f>IFERROR(J2597/H2597,0)</x:f>
        <x:v>0.5</x:v>
      </x:c>
      <x:c r="R2597" s="24" t="n">
        <x:f>IFERROR(F2597/H2597,0)</x:f>
        <x:v>0.2777777777777778</x:v>
      </x:c>
      <x:c r="S2597" s="24" t="n">
        <x:f>IFERROR(F2597/J2597,0)</x:f>
        <x:v>0.5555555555555556</x:v>
      </x:c>
      <x:c r="T2597" s="28" t="n">
        <x:f>H2597-I2597</x:f>
        <x:v>9</x:v>
      </x:c>
      <x:c r="U2597" s="24" t="n">
        <x:f>IFERROR(J2597/H2597,0)-IFERROR(K2597/I2597,0)</x:f>
        <x:v>0.16666666666666669</x:v>
      </x:c>
      <x:c r="V2597" s="24" t="n">
        <x:f>IFERROR(F2597/J2597,0)-IFERROR(G2597/K2597,0)</x:f>
        <x:v>0.5555555555555556</x:v>
      </x:c>
      <x:c r="W2597" s="28" t="n">
        <x:f>L2597-M2597</x:f>
        <x:v>3</x:v>
      </x:c>
      <x:c r="X2597" s="24" t="n">
        <x:f>IFERROR(K2597/I2597,0)</x:f>
        <x:v>0.3333333333333333</x:v>
      </x:c>
      <x:c r="Y2597" s="24" t="n">
        <x:f>IFERROR(G2597/I2597,0)</x:f>
        <x:v>0</x:v>
      </x:c>
      <x:c r="Z2597" s="24" t="n">
        <x:f>IFERROR(G2597/K2597,0)</x:f>
        <x:v>0</x:v>
      </x:c>
      <x:c r="AA2597" s="24" t="n">
        <x:f>IFERROR(F2597/H2597,0)-IFERROR(G2597/I2597,0)</x:f>
        <x:v>0.2777777777777778</x:v>
      </x:c>
      <x:c r="AB2597" s="28" t="n">
        <x:f>J2597-K2597</x:f>
        <x:v>6</x:v>
      </x:c>
      <x:c r="AC2597" s="32" t="n">
        <x:f>F2597-G2597</x:f>
        <x:v>5</x:v>
      </x:c>
    </x:row>
    <x:row r="2598">
      <x:c r="A2598" s="4" t="str">
        <x:v>2024-25</x:v>
      </x:c>
      <x:c r="B2598" s="20" t="n">
        <x:v>45642</x:v>
      </x:c>
      <x:c r="C2598" s="4" t="str">
        <x:v>Bournemouth</x:v>
      </x:c>
      <x:c r="D2598" s="4" t="str">
        <x:v>West Ham</x:v>
      </x:c>
      <x:c r="E2598" s="4" t="str">
        <x:v>Home</x:v>
      </x:c>
      <x:c r="F2598" s="28" t="n">
        <x:v>1</x:v>
      </x:c>
      <x:c r="G2598" s="28" t="n">
        <x:v>1</x:v>
      </x:c>
      <x:c r="H2598" s="28" t="n">
        <x:v>29</x:v>
      </x:c>
      <x:c r="I2598" s="28" t="n">
        <x:v>16</x:v>
      </x:c>
      <x:c r="J2598" s="28" t="n">
        <x:v>9</x:v>
      </x:c>
      <x:c r="K2598" s="28" t="n">
        <x:v>3</x:v>
      </x:c>
      <x:c r="L2598" s="28" t="n">
        <x:v>12</x:v>
      </x:c>
      <x:c r="M2598" s="28" t="n">
        <x:v>6</x:v>
      </x:c>
      <x:c r="N2598" s="28" t="n">
        <x:v>0</x:v>
      </x:c>
      <x:c r="O2598" s="28" t="n">
        <x:v>0</x:v>
      </x:c>
      <x:c r="P2598" s="28" t="n">
        <x:v>1</x:v>
      </x:c>
      <x:c r="Q2598" s="24" t="n">
        <x:f>IFERROR(J2598/H2598,0)</x:f>
        <x:v>0.3103448275862069</x:v>
      </x:c>
      <x:c r="R2598" s="24" t="n">
        <x:f>IFERROR(F2598/H2598,0)</x:f>
        <x:v>0.034482758620689655</x:v>
      </x:c>
      <x:c r="S2598" s="24" t="n">
        <x:f>IFERROR(F2598/J2598,0)</x:f>
        <x:v>0.1111111111111111</x:v>
      </x:c>
      <x:c r="T2598" s="28" t="n">
        <x:f>H2598-I2598</x:f>
        <x:v>13</x:v>
      </x:c>
      <x:c r="U2598" s="24" t="n">
        <x:f>IFERROR(J2598/H2598,0)-IFERROR(K2598/I2598,0)</x:f>
        <x:v>0.1228448275862069</x:v>
      </x:c>
      <x:c r="V2598" s="24" t="n">
        <x:f>IFERROR(F2598/J2598,0)-IFERROR(G2598/K2598,0)</x:f>
        <x:v>-0.2222222222222222</x:v>
      </x:c>
      <x:c r="W2598" s="28" t="n">
        <x:f>L2598-M2598</x:f>
        <x:v>6</x:v>
      </x:c>
      <x:c r="X2598" s="24" t="n">
        <x:f>IFERROR(K2598/I2598,0)</x:f>
        <x:v>0.1875</x:v>
      </x:c>
      <x:c r="Y2598" s="24" t="n">
        <x:f>IFERROR(G2598/I2598,0)</x:f>
        <x:v>0.0625</x:v>
      </x:c>
      <x:c r="Z2598" s="24" t="n">
        <x:f>IFERROR(G2598/K2598,0)</x:f>
        <x:v>0.3333333333333333</x:v>
      </x:c>
      <x:c r="AA2598" s="24" t="n">
        <x:f>IFERROR(F2598/H2598,0)-IFERROR(G2598/I2598,0)</x:f>
        <x:v>-0.028017241379310345</x:v>
      </x:c>
      <x:c r="AB2598" s="28" t="n">
        <x:f>J2598-K2598</x:f>
        <x:v>6</x:v>
      </x:c>
      <x:c r="AC2598" s="32" t="n">
        <x:f>F2598-G2598</x:f>
        <x:v>0</x:v>
      </x:c>
    </x:row>
    <x:row r="2599">
      <x:c r="A2599" s="4" t="str">
        <x:v>2024-25</x:v>
      </x:c>
      <x:c r="B2599" s="20" t="n">
        <x:v>45642</x:v>
      </x:c>
      <x:c r="C2599" s="4" t="str">
        <x:v>West Ham</x:v>
      </x:c>
      <x:c r="D2599" s="4" t="str">
        <x:v>Bournemouth</x:v>
      </x:c>
      <x:c r="E2599" s="4" t="str">
        <x:v>Away</x:v>
      </x:c>
      <x:c r="F2599" s="28" t="n">
        <x:v>1</x:v>
      </x:c>
      <x:c r="G2599" s="28" t="n">
        <x:v>1</x:v>
      </x:c>
      <x:c r="H2599" s="28" t="n">
        <x:v>16</x:v>
      </x:c>
      <x:c r="I2599" s="28" t="n">
        <x:v>29</x:v>
      </x:c>
      <x:c r="J2599" s="28" t="n">
        <x:v>3</x:v>
      </x:c>
      <x:c r="K2599" s="28" t="n">
        <x:v>9</x:v>
      </x:c>
      <x:c r="L2599" s="28" t="n">
        <x:v>6</x:v>
      </x:c>
      <x:c r="M2599" s="28" t="n">
        <x:v>12</x:v>
      </x:c>
      <x:c r="N2599" s="28" t="n">
        <x:v>2</x:v>
      </x:c>
      <x:c r="O2599" s="28" t="n">
        <x:v>0</x:v>
      </x:c>
      <x:c r="P2599" s="28" t="n">
        <x:v>1</x:v>
      </x:c>
      <x:c r="Q2599" s="24" t="n">
        <x:f>IFERROR(J2599/H2599,0)</x:f>
        <x:v>0.1875</x:v>
      </x:c>
      <x:c r="R2599" s="24" t="n">
        <x:f>IFERROR(F2599/H2599,0)</x:f>
        <x:v>0.0625</x:v>
      </x:c>
      <x:c r="S2599" s="24" t="n">
        <x:f>IFERROR(F2599/J2599,0)</x:f>
        <x:v>0.3333333333333333</x:v>
      </x:c>
      <x:c r="T2599" s="28" t="n">
        <x:f>H2599-I2599</x:f>
        <x:v>-13</x:v>
      </x:c>
      <x:c r="U2599" s="24" t="n">
        <x:f>IFERROR(J2599/H2599,0)-IFERROR(K2599/I2599,0)</x:f>
        <x:v>-0.1228448275862069</x:v>
      </x:c>
      <x:c r="V2599" s="24" t="n">
        <x:f>IFERROR(F2599/J2599,0)-IFERROR(G2599/K2599,0)</x:f>
        <x:v>0.2222222222222222</x:v>
      </x:c>
      <x:c r="W2599" s="28" t="n">
        <x:f>L2599-M2599</x:f>
        <x:v>-6</x:v>
      </x:c>
      <x:c r="X2599" s="24" t="n">
        <x:f>IFERROR(K2599/I2599,0)</x:f>
        <x:v>0.3103448275862069</x:v>
      </x:c>
      <x:c r="Y2599" s="24" t="n">
        <x:f>IFERROR(G2599/I2599,0)</x:f>
        <x:v>0.034482758620689655</x:v>
      </x:c>
      <x:c r="Z2599" s="24" t="n">
        <x:f>IFERROR(G2599/K2599,0)</x:f>
        <x:v>0.1111111111111111</x:v>
      </x:c>
      <x:c r="AA2599" s="24" t="n">
        <x:f>IFERROR(F2599/H2599,0)-IFERROR(G2599/I2599,0)</x:f>
        <x:v>0.028017241379310345</x:v>
      </x:c>
      <x:c r="AB2599" s="28" t="n">
        <x:f>J2599-K2599</x:f>
        <x:v>-6</x:v>
      </x:c>
      <x:c r="AC2599" s="32" t="n">
        <x:f>F2599-G2599</x:f>
        <x:v>0</x:v>
      </x:c>
    </x:row>
    <x:row r="2600">
      <x:c r="A2600" s="4" t="str">
        <x:v>2024-25</x:v>
      </x:c>
      <x:c r="B2600" s="20" t="n">
        <x:v>45647</x:v>
      </x:c>
      <x:c r="C2600" s="4" t="str">
        <x:v>Arsenal</x:v>
      </x:c>
      <x:c r="D2600" s="4" t="str">
        <x:v>Crystal Palace</x:v>
      </x:c>
      <x:c r="E2600" s="4" t="str">
        <x:v>Away</x:v>
      </x:c>
      <x:c r="F2600" s="28" t="n">
        <x:v>5</x:v>
      </x:c>
      <x:c r="G2600" s="28" t="n">
        <x:v>1</x:v>
      </x:c>
      <x:c r="H2600" s="28" t="n">
        <x:v>14</x:v>
      </x:c>
      <x:c r="I2600" s="28" t="n">
        <x:v>15</x:v>
      </x:c>
      <x:c r="J2600" s="28" t="n">
        <x:v>6</x:v>
      </x:c>
      <x:c r="K2600" s="28" t="n">
        <x:v>6</x:v>
      </x:c>
      <x:c r="L2600" s="28" t="n">
        <x:v>3</x:v>
      </x:c>
      <x:c r="M2600" s="28" t="n">
        <x:v>3</x:v>
      </x:c>
      <x:c r="N2600" s="28" t="n">
        <x:v>2</x:v>
      </x:c>
      <x:c r="O2600" s="28" t="n">
        <x:v>0</x:v>
      </x:c>
      <x:c r="P2600" s="28" t="n">
        <x:v>3</x:v>
      </x:c>
      <x:c r="Q2600" s="24" t="n">
        <x:f>IFERROR(J2600/H2600,0)</x:f>
        <x:v>0.42857142857142855</x:v>
      </x:c>
      <x:c r="R2600" s="24" t="n">
        <x:f>IFERROR(F2600/H2600,0)</x:f>
        <x:v>0.35714285714285715</x:v>
      </x:c>
      <x:c r="S2600" s="24" t="n">
        <x:f>IFERROR(F2600/J2600,0)</x:f>
        <x:v>0.8333333333333334</x:v>
      </x:c>
      <x:c r="T2600" s="28" t="n">
        <x:f>H2600-I2600</x:f>
        <x:v>-1</x:v>
      </x:c>
      <x:c r="U2600" s="24" t="n">
        <x:f>IFERROR(J2600/H2600,0)-IFERROR(K2600/I2600,0)</x:f>
        <x:v>0.028571428571428525</x:v>
      </x:c>
      <x:c r="V2600" s="24" t="n">
        <x:f>IFERROR(F2600/J2600,0)-IFERROR(G2600/K2600,0)</x:f>
        <x:v>0.6666666666666667</x:v>
      </x:c>
      <x:c r="W2600" s="28" t="n">
        <x:f>L2600-M2600</x:f>
        <x:v>0</x:v>
      </x:c>
      <x:c r="X2600" s="24" t="n">
        <x:f>IFERROR(K2600/I2600,0)</x:f>
        <x:v>0.4</x:v>
      </x:c>
      <x:c r="Y2600" s="24" t="n">
        <x:f>IFERROR(G2600/I2600,0)</x:f>
        <x:v>0.06666666666666667</x:v>
      </x:c>
      <x:c r="Z2600" s="24" t="n">
        <x:f>IFERROR(G2600/K2600,0)</x:f>
        <x:v>0.16666666666666666</x:v>
      </x:c>
      <x:c r="AA2600" s="24" t="n">
        <x:f>IFERROR(F2600/H2600,0)-IFERROR(G2600/I2600,0)</x:f>
        <x:v>0.2904761904761905</x:v>
      </x:c>
      <x:c r="AB2600" s="28" t="n">
        <x:f>J2600-K2600</x:f>
        <x:v>0</x:v>
      </x:c>
      <x:c r="AC2600" s="32" t="n">
        <x:f>F2600-G2600</x:f>
        <x:v>4</x:v>
      </x:c>
    </x:row>
    <x:row r="2601">
      <x:c r="A2601" s="4" t="str">
        <x:v>2024-25</x:v>
      </x:c>
      <x:c r="B2601" s="20" t="n">
        <x:v>45647</x:v>
      </x:c>
      <x:c r="C2601" s="4" t="str">
        <x:v>Aston Villa</x:v>
      </x:c>
      <x:c r="D2601" s="4" t="str">
        <x:v>Man City</x:v>
      </x:c>
      <x:c r="E2601" s="4" t="str">
        <x:v>Home</x:v>
      </x:c>
      <x:c r="F2601" s="28" t="n">
        <x:v>2</x:v>
      </x:c>
      <x:c r="G2601" s="28" t="n">
        <x:v>1</x:v>
      </x:c>
      <x:c r="H2601" s="28" t="n">
        <x:v>11</x:v>
      </x:c>
      <x:c r="I2601" s="28" t="n">
        <x:v>12</x:v>
      </x:c>
      <x:c r="J2601" s="28" t="n">
        <x:v>6</x:v>
      </x:c>
      <x:c r="K2601" s="28" t="n">
        <x:v>6</x:v>
      </x:c>
      <x:c r="L2601" s="28" t="n">
        <x:v>5</x:v>
      </x:c>
      <x:c r="M2601" s="28" t="n">
        <x:v>4</x:v>
      </x:c>
      <x:c r="N2601" s="28" t="n">
        <x:v>3</x:v>
      </x:c>
      <x:c r="O2601" s="28" t="n">
        <x:v>0</x:v>
      </x:c>
      <x:c r="P2601" s="28" t="n">
        <x:v>3</x:v>
      </x:c>
      <x:c r="Q2601" s="24" t="n">
        <x:f>IFERROR(J2601/H2601,0)</x:f>
        <x:v>0.5454545454545454</x:v>
      </x:c>
      <x:c r="R2601" s="24" t="n">
        <x:f>IFERROR(F2601/H2601,0)</x:f>
        <x:v>0.18181818181818182</x:v>
      </x:c>
      <x:c r="S2601" s="24" t="n">
        <x:f>IFERROR(F2601/J2601,0)</x:f>
        <x:v>0.3333333333333333</x:v>
      </x:c>
      <x:c r="T2601" s="28" t="n">
        <x:f>H2601-I2601</x:f>
        <x:v>-1</x:v>
      </x:c>
      <x:c r="U2601" s="24" t="n">
        <x:f>IFERROR(J2601/H2601,0)-IFERROR(K2601/I2601,0)</x:f>
        <x:v>0.045454545454545414</x:v>
      </x:c>
      <x:c r="V2601" s="24" t="n">
        <x:f>IFERROR(F2601/J2601,0)-IFERROR(G2601/K2601,0)</x:f>
        <x:v>0.16666666666666666</x:v>
      </x:c>
      <x:c r="W2601" s="28" t="n">
        <x:f>L2601-M2601</x:f>
        <x:v>1</x:v>
      </x:c>
      <x:c r="X2601" s="24" t="n">
        <x:f>IFERROR(K2601/I2601,0)</x:f>
        <x:v>0.5</x:v>
      </x:c>
      <x:c r="Y2601" s="24" t="n">
        <x:f>IFERROR(G2601/I2601,0)</x:f>
        <x:v>0.08333333333333333</x:v>
      </x:c>
      <x:c r="Z2601" s="24" t="n">
        <x:f>IFERROR(G2601/K2601,0)</x:f>
        <x:v>0.16666666666666666</x:v>
      </x:c>
      <x:c r="AA2601" s="24" t="n">
        <x:f>IFERROR(F2601/H2601,0)-IFERROR(G2601/I2601,0)</x:f>
        <x:v>0.0984848484848485</x:v>
      </x:c>
      <x:c r="AB2601" s="28" t="n">
        <x:f>J2601-K2601</x:f>
        <x:v>0</x:v>
      </x:c>
      <x:c r="AC2601" s="32" t="n">
        <x:f>F2601-G2601</x:f>
        <x:v>1</x:v>
      </x:c>
    </x:row>
    <x:row r="2602">
      <x:c r="A2602" s="4" t="str">
        <x:v>2024-25</x:v>
      </x:c>
      <x:c r="B2602" s="20" t="n">
        <x:v>45647</x:v>
      </x:c>
      <x:c r="C2602" s="4" t="str">
        <x:v>Brentford</x:v>
      </x:c>
      <x:c r="D2602" s="4" t="str">
        <x:v>Nott'm Forest</x:v>
      </x:c>
      <x:c r="E2602" s="4" t="str">
        <x:v>Home</x:v>
      </x:c>
      <x:c r="F2602" s="28" t="n">
        <x:v>0</x:v>
      </x:c>
      <x:c r="G2602" s="28" t="n">
        <x:v>2</x:v>
      </x:c>
      <x:c r="H2602" s="28" t="n">
        <x:v>7</x:v>
      </x:c>
      <x:c r="I2602" s="28" t="n">
        <x:v>10</x:v>
      </x:c>
      <x:c r="J2602" s="28" t="n">
        <x:v>3</x:v>
      </x:c>
      <x:c r="K2602" s="28" t="n">
        <x:v>6</x:v>
      </x:c>
      <x:c r="L2602" s="28" t="n">
        <x:v>9</x:v>
      </x:c>
      <x:c r="M2602" s="28" t="n">
        <x:v>5</x:v>
      </x:c>
      <x:c r="N2602" s="28" t="n">
        <x:v>3</x:v>
      </x:c>
      <x:c r="O2602" s="28" t="n">
        <x:v>0</x:v>
      </x:c>
      <x:c r="P2602" s="28" t="n">
        <x:v>0</x:v>
      </x:c>
      <x:c r="Q2602" s="24" t="n">
        <x:f>IFERROR(J2602/H2602,0)</x:f>
        <x:v>0.42857142857142855</x:v>
      </x:c>
      <x:c r="R2602" s="24" t="n">
        <x:f>IFERROR(F2602/H2602,0)</x:f>
        <x:v>0</x:v>
      </x:c>
      <x:c r="S2602" s="24" t="n">
        <x:f>IFERROR(F2602/J2602,0)</x:f>
        <x:v>0</x:v>
      </x:c>
      <x:c r="T2602" s="28" t="n">
        <x:f>H2602-I2602</x:f>
        <x:v>-3</x:v>
      </x:c>
      <x:c r="U2602" s="24" t="n">
        <x:f>IFERROR(J2602/H2602,0)-IFERROR(K2602/I2602,0)</x:f>
        <x:v>-0.17142857142857143</x:v>
      </x:c>
      <x:c r="V2602" s="24" t="n">
        <x:f>IFERROR(F2602/J2602,0)-IFERROR(G2602/K2602,0)</x:f>
        <x:v>-0.3333333333333333</x:v>
      </x:c>
      <x:c r="W2602" s="28" t="n">
        <x:f>L2602-M2602</x:f>
        <x:v>4</x:v>
      </x:c>
      <x:c r="X2602" s="24" t="n">
        <x:f>IFERROR(K2602/I2602,0)</x:f>
        <x:v>0.6</x:v>
      </x:c>
      <x:c r="Y2602" s="24" t="n">
        <x:f>IFERROR(G2602/I2602,0)</x:f>
        <x:v>0.2</x:v>
      </x:c>
      <x:c r="Z2602" s="24" t="n">
        <x:f>IFERROR(G2602/K2602,0)</x:f>
        <x:v>0.3333333333333333</x:v>
      </x:c>
      <x:c r="AA2602" s="24" t="n">
        <x:f>IFERROR(F2602/H2602,0)-IFERROR(G2602/I2602,0)</x:f>
        <x:v>-0.2</x:v>
      </x:c>
      <x:c r="AB2602" s="28" t="n">
        <x:f>J2602-K2602</x:f>
        <x:v>-3</x:v>
      </x:c>
      <x:c r="AC2602" s="32" t="n">
        <x:f>F2602-G2602</x:f>
        <x:v>-2</x:v>
      </x:c>
    </x:row>
    <x:row r="2603">
      <x:c r="A2603" s="4" t="str">
        <x:v>2024-25</x:v>
      </x:c>
      <x:c r="B2603" s="20" t="n">
        <x:v>45647</x:v>
      </x:c>
      <x:c r="C2603" s="4" t="str">
        <x:v>Brighton</x:v>
      </x:c>
      <x:c r="D2603" s="4" t="str">
        <x:v>West Ham</x:v>
      </x:c>
      <x:c r="E2603" s="4" t="str">
        <x:v>Away</x:v>
      </x:c>
      <x:c r="F2603" s="28" t="n">
        <x:v>1</x:v>
      </x:c>
      <x:c r="G2603" s="28" t="n">
        <x:v>1</x:v>
      </x:c>
      <x:c r="H2603" s="28" t="n">
        <x:v>12</x:v>
      </x:c>
      <x:c r="I2603" s="28" t="n">
        <x:v>11</x:v>
      </x:c>
      <x:c r="J2603" s="28" t="n">
        <x:v>6</x:v>
      </x:c>
      <x:c r="K2603" s="28" t="n">
        <x:v>4</x:v>
      </x:c>
      <x:c r="L2603" s="28" t="n">
        <x:v>4</x:v>
      </x:c>
      <x:c r="M2603" s="28" t="n">
        <x:v>8</x:v>
      </x:c>
      <x:c r="N2603" s="28" t="n">
        <x:v>2</x:v>
      </x:c>
      <x:c r="O2603" s="28" t="n">
        <x:v>0</x:v>
      </x:c>
      <x:c r="P2603" s="28" t="n">
        <x:v>1</x:v>
      </x:c>
      <x:c r="Q2603" s="24" t="n">
        <x:f>IFERROR(J2603/H2603,0)</x:f>
        <x:v>0.5</x:v>
      </x:c>
      <x:c r="R2603" s="24" t="n">
        <x:f>IFERROR(F2603/H2603,0)</x:f>
        <x:v>0.08333333333333333</x:v>
      </x:c>
      <x:c r="S2603" s="24" t="n">
        <x:f>IFERROR(F2603/J2603,0)</x:f>
        <x:v>0.16666666666666666</x:v>
      </x:c>
      <x:c r="T2603" s="28" t="n">
        <x:f>H2603-I2603</x:f>
        <x:v>1</x:v>
      </x:c>
      <x:c r="U2603" s="24" t="n">
        <x:f>IFERROR(J2603/H2603,0)-IFERROR(K2603/I2603,0)</x:f>
        <x:v>0.13636363636363635</x:v>
      </x:c>
      <x:c r="V2603" s="24" t="n">
        <x:f>IFERROR(F2603/J2603,0)-IFERROR(G2603/K2603,0)</x:f>
        <x:v>-0.08333333333333334</x:v>
      </x:c>
      <x:c r="W2603" s="28" t="n">
        <x:f>L2603-M2603</x:f>
        <x:v>-4</x:v>
      </x:c>
      <x:c r="X2603" s="24" t="n">
        <x:f>IFERROR(K2603/I2603,0)</x:f>
        <x:v>0.36363636363636365</x:v>
      </x:c>
      <x:c r="Y2603" s="24" t="n">
        <x:f>IFERROR(G2603/I2603,0)</x:f>
        <x:v>0.09090909090909091</x:v>
      </x:c>
      <x:c r="Z2603" s="24" t="n">
        <x:f>IFERROR(G2603/K2603,0)</x:f>
        <x:v>0.25</x:v>
      </x:c>
      <x:c r="AA2603" s="24" t="n">
        <x:f>IFERROR(F2603/H2603,0)-IFERROR(G2603/I2603,0)</x:f>
        <x:v>-0.007575757575757583</x:v>
      </x:c>
      <x:c r="AB2603" s="28" t="n">
        <x:f>J2603-K2603</x:f>
        <x:v>2</x:v>
      </x:c>
      <x:c r="AC2603" s="32" t="n">
        <x:f>F2603-G2603</x:f>
        <x:v>0</x:v>
      </x:c>
    </x:row>
    <x:row r="2604">
      <x:c r="A2604" s="4" t="str">
        <x:v>2024-25</x:v>
      </x:c>
      <x:c r="B2604" s="20" t="n">
        <x:v>45647</x:v>
      </x:c>
      <x:c r="C2604" s="4" t="str">
        <x:v>Crystal Palace</x:v>
      </x:c>
      <x:c r="D2604" s="4" t="str">
        <x:v>Arsenal</x:v>
      </x:c>
      <x:c r="E2604" s="4" t="str">
        <x:v>Home</x:v>
      </x:c>
      <x:c r="F2604" s="28" t="n">
        <x:v>1</x:v>
      </x:c>
      <x:c r="G2604" s="28" t="n">
        <x:v>5</x:v>
      </x:c>
      <x:c r="H2604" s="28" t="n">
        <x:v>15</x:v>
      </x:c>
      <x:c r="I2604" s="28" t="n">
        <x:v>14</x:v>
      </x:c>
      <x:c r="J2604" s="28" t="n">
        <x:v>6</x:v>
      </x:c>
      <x:c r="K2604" s="28" t="n">
        <x:v>6</x:v>
      </x:c>
      <x:c r="L2604" s="28" t="n">
        <x:v>3</x:v>
      </x:c>
      <x:c r="M2604" s="28" t="n">
        <x:v>3</x:v>
      </x:c>
      <x:c r="N2604" s="28" t="n">
        <x:v>2</x:v>
      </x:c>
      <x:c r="O2604" s="28" t="n">
        <x:v>0</x:v>
      </x:c>
      <x:c r="P2604" s="28" t="n">
        <x:v>0</x:v>
      </x:c>
      <x:c r="Q2604" s="24" t="n">
        <x:f>IFERROR(J2604/H2604,0)</x:f>
        <x:v>0.4</x:v>
      </x:c>
      <x:c r="R2604" s="24" t="n">
        <x:f>IFERROR(F2604/H2604,0)</x:f>
        <x:v>0.06666666666666667</x:v>
      </x:c>
      <x:c r="S2604" s="24" t="n">
        <x:f>IFERROR(F2604/J2604,0)</x:f>
        <x:v>0.16666666666666666</x:v>
      </x:c>
      <x:c r="T2604" s="28" t="n">
        <x:f>H2604-I2604</x:f>
        <x:v>1</x:v>
      </x:c>
      <x:c r="U2604" s="24" t="n">
        <x:f>IFERROR(J2604/H2604,0)-IFERROR(K2604/I2604,0)</x:f>
        <x:v>-0.028571428571428525</x:v>
      </x:c>
      <x:c r="V2604" s="24" t="n">
        <x:f>IFERROR(F2604/J2604,0)-IFERROR(G2604/K2604,0)</x:f>
        <x:v>-0.6666666666666667</x:v>
      </x:c>
      <x:c r="W2604" s="28" t="n">
        <x:f>L2604-M2604</x:f>
        <x:v>0</x:v>
      </x:c>
      <x:c r="X2604" s="24" t="n">
        <x:f>IFERROR(K2604/I2604,0)</x:f>
        <x:v>0.42857142857142855</x:v>
      </x:c>
      <x:c r="Y2604" s="24" t="n">
        <x:f>IFERROR(G2604/I2604,0)</x:f>
        <x:v>0.35714285714285715</x:v>
      </x:c>
      <x:c r="Z2604" s="24" t="n">
        <x:f>IFERROR(G2604/K2604,0)</x:f>
        <x:v>0.8333333333333334</x:v>
      </x:c>
      <x:c r="AA2604" s="24" t="n">
        <x:f>IFERROR(F2604/H2604,0)-IFERROR(G2604/I2604,0)</x:f>
        <x:v>-0.2904761904761905</x:v>
      </x:c>
      <x:c r="AB2604" s="28" t="n">
        <x:f>J2604-K2604</x:f>
        <x:v>0</x:v>
      </x:c>
      <x:c r="AC2604" s="32" t="n">
        <x:f>F2604-G2604</x:f>
        <x:v>-4</x:v>
      </x:c>
    </x:row>
    <x:row r="2605">
      <x:c r="A2605" s="4" t="str">
        <x:v>2024-25</x:v>
      </x:c>
      <x:c r="B2605" s="20" t="n">
        <x:v>45647</x:v>
      </x:c>
      <x:c r="C2605" s="4" t="str">
        <x:v>Ipswich</x:v>
      </x:c>
      <x:c r="D2605" s="4" t="str">
        <x:v>Newcastle</x:v>
      </x:c>
      <x:c r="E2605" s="4" t="str">
        <x:v>Home</x:v>
      </x:c>
      <x:c r="F2605" s="28" t="n">
        <x:v>0</x:v>
      </x:c>
      <x:c r="G2605" s="28" t="n">
        <x:v>4</x:v>
      </x:c>
      <x:c r="H2605" s="28" t="n">
        <x:v>10</x:v>
      </x:c>
      <x:c r="I2605" s="28" t="n">
        <x:v>15</x:v>
      </x:c>
      <x:c r="J2605" s="28" t="n">
        <x:v>2</x:v>
      </x:c>
      <x:c r="K2605" s="28" t="n">
        <x:v>7</x:v>
      </x:c>
      <x:c r="L2605" s="28" t="n">
        <x:v>2</x:v>
      </x:c>
      <x:c r="M2605" s="28" t="n">
        <x:v>1</x:v>
      </x:c>
      <x:c r="N2605" s="28" t="n">
        <x:v>2</x:v>
      </x:c>
      <x:c r="O2605" s="28" t="n">
        <x:v>0</x:v>
      </x:c>
      <x:c r="P2605" s="28" t="n">
        <x:v>0</x:v>
      </x:c>
      <x:c r="Q2605" s="24" t="n">
        <x:f>IFERROR(J2605/H2605,0)</x:f>
        <x:v>0.2</x:v>
      </x:c>
      <x:c r="R2605" s="24" t="n">
        <x:f>IFERROR(F2605/H2605,0)</x:f>
        <x:v>0</x:v>
      </x:c>
      <x:c r="S2605" s="24" t="n">
        <x:f>IFERROR(F2605/J2605,0)</x:f>
        <x:v>0</x:v>
      </x:c>
      <x:c r="T2605" s="28" t="n">
        <x:f>H2605-I2605</x:f>
        <x:v>-5</x:v>
      </x:c>
      <x:c r="U2605" s="24" t="n">
        <x:f>IFERROR(J2605/H2605,0)-IFERROR(K2605/I2605,0)</x:f>
        <x:v>-0.26666666666666666</x:v>
      </x:c>
      <x:c r="V2605" s="24" t="n">
        <x:f>IFERROR(F2605/J2605,0)-IFERROR(G2605/K2605,0)</x:f>
        <x:v>-0.5714285714285714</x:v>
      </x:c>
      <x:c r="W2605" s="28" t="n">
        <x:f>L2605-M2605</x:f>
        <x:v>1</x:v>
      </x:c>
      <x:c r="X2605" s="24" t="n">
        <x:f>IFERROR(K2605/I2605,0)</x:f>
        <x:v>0.4666666666666667</x:v>
      </x:c>
      <x:c r="Y2605" s="24" t="n">
        <x:f>IFERROR(G2605/I2605,0)</x:f>
        <x:v>0.26666666666666666</x:v>
      </x:c>
      <x:c r="Z2605" s="24" t="n">
        <x:f>IFERROR(G2605/K2605,0)</x:f>
        <x:v>0.5714285714285714</x:v>
      </x:c>
      <x:c r="AA2605" s="24" t="n">
        <x:f>IFERROR(F2605/H2605,0)-IFERROR(G2605/I2605,0)</x:f>
        <x:v>-0.26666666666666666</x:v>
      </x:c>
      <x:c r="AB2605" s="28" t="n">
        <x:f>J2605-K2605</x:f>
        <x:v>-5</x:v>
      </x:c>
      <x:c r="AC2605" s="32" t="n">
        <x:f>F2605-G2605</x:f>
        <x:v>-4</x:v>
      </x:c>
    </x:row>
    <x:row r="2606">
      <x:c r="A2606" s="4" t="str">
        <x:v>2024-25</x:v>
      </x:c>
      <x:c r="B2606" s="20" t="n">
        <x:v>45647</x:v>
      </x:c>
      <x:c r="C2606" s="4" t="str">
        <x:v>Man City</x:v>
      </x:c>
      <x:c r="D2606" s="4" t="str">
        <x:v>Aston Villa</x:v>
      </x:c>
      <x:c r="E2606" s="4" t="str">
        <x:v>Away</x:v>
      </x:c>
      <x:c r="F2606" s="28" t="n">
        <x:v>1</x:v>
      </x:c>
      <x:c r="G2606" s="28" t="n">
        <x:v>2</x:v>
      </x:c>
      <x:c r="H2606" s="28" t="n">
        <x:v>12</x:v>
      </x:c>
      <x:c r="I2606" s="28" t="n">
        <x:v>11</x:v>
      </x:c>
      <x:c r="J2606" s="28" t="n">
        <x:v>6</x:v>
      </x:c>
      <x:c r="K2606" s="28" t="n">
        <x:v>6</x:v>
      </x:c>
      <x:c r="L2606" s="28" t="n">
        <x:v>4</x:v>
      </x:c>
      <x:c r="M2606" s="28" t="n">
        <x:v>5</x:v>
      </x:c>
      <x:c r="N2606" s="28" t="n">
        <x:v>3</x:v>
      </x:c>
      <x:c r="O2606" s="28" t="n">
        <x:v>0</x:v>
      </x:c>
      <x:c r="P2606" s="28" t="n">
        <x:v>0</x:v>
      </x:c>
      <x:c r="Q2606" s="24" t="n">
        <x:f>IFERROR(J2606/H2606,0)</x:f>
        <x:v>0.5</x:v>
      </x:c>
      <x:c r="R2606" s="24" t="n">
        <x:f>IFERROR(F2606/H2606,0)</x:f>
        <x:v>0.08333333333333333</x:v>
      </x:c>
      <x:c r="S2606" s="24" t="n">
        <x:f>IFERROR(F2606/J2606,0)</x:f>
        <x:v>0.16666666666666666</x:v>
      </x:c>
      <x:c r="T2606" s="28" t="n">
        <x:f>H2606-I2606</x:f>
        <x:v>1</x:v>
      </x:c>
      <x:c r="U2606" s="24" t="n">
        <x:f>IFERROR(J2606/H2606,0)-IFERROR(K2606/I2606,0)</x:f>
        <x:v>-0.045454545454545414</x:v>
      </x:c>
      <x:c r="V2606" s="24" t="n">
        <x:f>IFERROR(F2606/J2606,0)-IFERROR(G2606/K2606,0)</x:f>
        <x:v>-0.16666666666666666</x:v>
      </x:c>
      <x:c r="W2606" s="28" t="n">
        <x:f>L2606-M2606</x:f>
        <x:v>-1</x:v>
      </x:c>
      <x:c r="X2606" s="24" t="n">
        <x:f>IFERROR(K2606/I2606,0)</x:f>
        <x:v>0.5454545454545454</x:v>
      </x:c>
      <x:c r="Y2606" s="24" t="n">
        <x:f>IFERROR(G2606/I2606,0)</x:f>
        <x:v>0.18181818181818182</x:v>
      </x:c>
      <x:c r="Z2606" s="24" t="n">
        <x:f>IFERROR(G2606/K2606,0)</x:f>
        <x:v>0.3333333333333333</x:v>
      </x:c>
      <x:c r="AA2606" s="24" t="n">
        <x:f>IFERROR(F2606/H2606,0)-IFERROR(G2606/I2606,0)</x:f>
        <x:v>-0.0984848484848485</x:v>
      </x:c>
      <x:c r="AB2606" s="28" t="n">
        <x:f>J2606-K2606</x:f>
        <x:v>0</x:v>
      </x:c>
      <x:c r="AC2606" s="32" t="n">
        <x:f>F2606-G2606</x:f>
        <x:v>-1</x:v>
      </x:c>
    </x:row>
    <x:row r="2607">
      <x:c r="A2607" s="4" t="str">
        <x:v>2024-25</x:v>
      </x:c>
      <x:c r="B2607" s="20" t="n">
        <x:v>45647</x:v>
      </x:c>
      <x:c r="C2607" s="4" t="str">
        <x:v>Newcastle</x:v>
      </x:c>
      <x:c r="D2607" s="4" t="str">
        <x:v>Ipswich</x:v>
      </x:c>
      <x:c r="E2607" s="4" t="str">
        <x:v>Away</x:v>
      </x:c>
      <x:c r="F2607" s="28" t="n">
        <x:v>4</x:v>
      </x:c>
      <x:c r="G2607" s="28" t="n">
        <x:v>0</x:v>
      </x:c>
      <x:c r="H2607" s="28" t="n">
        <x:v>15</x:v>
      </x:c>
      <x:c r="I2607" s="28" t="n">
        <x:v>10</x:v>
      </x:c>
      <x:c r="J2607" s="28" t="n">
        <x:v>7</x:v>
      </x:c>
      <x:c r="K2607" s="28" t="n">
        <x:v>2</x:v>
      </x:c>
      <x:c r="L2607" s="28" t="n">
        <x:v>1</x:v>
      </x:c>
      <x:c r="M2607" s="28" t="n">
        <x:v>2</x:v>
      </x:c>
      <x:c r="N2607" s="28" t="n">
        <x:v>0</x:v>
      </x:c>
      <x:c r="O2607" s="28" t="n">
        <x:v>0</x:v>
      </x:c>
      <x:c r="P2607" s="28" t="n">
        <x:v>3</x:v>
      </x:c>
      <x:c r="Q2607" s="24" t="n">
        <x:f>IFERROR(J2607/H2607,0)</x:f>
        <x:v>0.4666666666666667</x:v>
      </x:c>
      <x:c r="R2607" s="24" t="n">
        <x:f>IFERROR(F2607/H2607,0)</x:f>
        <x:v>0.26666666666666666</x:v>
      </x:c>
      <x:c r="S2607" s="24" t="n">
        <x:f>IFERROR(F2607/J2607,0)</x:f>
        <x:v>0.5714285714285714</x:v>
      </x:c>
      <x:c r="T2607" s="28" t="n">
        <x:f>H2607-I2607</x:f>
        <x:v>5</x:v>
      </x:c>
      <x:c r="U2607" s="24" t="n">
        <x:f>IFERROR(J2607/H2607,0)-IFERROR(K2607/I2607,0)</x:f>
        <x:v>0.26666666666666666</x:v>
      </x:c>
      <x:c r="V2607" s="24" t="n">
        <x:f>IFERROR(F2607/J2607,0)-IFERROR(G2607/K2607,0)</x:f>
        <x:v>0.5714285714285714</x:v>
      </x:c>
      <x:c r="W2607" s="28" t="n">
        <x:f>L2607-M2607</x:f>
        <x:v>-1</x:v>
      </x:c>
      <x:c r="X2607" s="24" t="n">
        <x:f>IFERROR(K2607/I2607,0)</x:f>
        <x:v>0.2</x:v>
      </x:c>
      <x:c r="Y2607" s="24" t="n">
        <x:f>IFERROR(G2607/I2607,0)</x:f>
        <x:v>0</x:v>
      </x:c>
      <x:c r="Z2607" s="24" t="n">
        <x:f>IFERROR(G2607/K2607,0)</x:f>
        <x:v>0</x:v>
      </x:c>
      <x:c r="AA2607" s="24" t="n">
        <x:f>IFERROR(F2607/H2607,0)-IFERROR(G2607/I2607,0)</x:f>
        <x:v>0.26666666666666666</x:v>
      </x:c>
      <x:c r="AB2607" s="28" t="n">
        <x:f>J2607-K2607</x:f>
        <x:v>5</x:v>
      </x:c>
      <x:c r="AC2607" s="32" t="n">
        <x:f>F2607-G2607</x:f>
        <x:v>4</x:v>
      </x:c>
    </x:row>
    <x:row r="2608">
      <x:c r="A2608" s="4" t="str">
        <x:v>2024-25</x:v>
      </x:c>
      <x:c r="B2608" s="20" t="n">
        <x:v>45647</x:v>
      </x:c>
      <x:c r="C2608" s="4" t="str">
        <x:v>Nott'm Forest</x:v>
      </x:c>
      <x:c r="D2608" s="4" t="str">
        <x:v>Brentford</x:v>
      </x:c>
      <x:c r="E2608" s="4" t="str">
        <x:v>Away</x:v>
      </x:c>
      <x:c r="F2608" s="28" t="n">
        <x:v>2</x:v>
      </x:c>
      <x:c r="G2608" s="28" t="n">
        <x:v>0</x:v>
      </x:c>
      <x:c r="H2608" s="28" t="n">
        <x:v>10</x:v>
      </x:c>
      <x:c r="I2608" s="28" t="n">
        <x:v>7</x:v>
      </x:c>
      <x:c r="J2608" s="28" t="n">
        <x:v>6</x:v>
      </x:c>
      <x:c r="K2608" s="28" t="n">
        <x:v>3</x:v>
      </x:c>
      <x:c r="L2608" s="28" t="n">
        <x:v>5</x:v>
      </x:c>
      <x:c r="M2608" s="28" t="n">
        <x:v>9</x:v>
      </x:c>
      <x:c r="N2608" s="28" t="n">
        <x:v>4</x:v>
      </x:c>
      <x:c r="O2608" s="28" t="n">
        <x:v>0</x:v>
      </x:c>
      <x:c r="P2608" s="28" t="n">
        <x:v>3</x:v>
      </x:c>
      <x:c r="Q2608" s="24" t="n">
        <x:f>IFERROR(J2608/H2608,0)</x:f>
        <x:v>0.6</x:v>
      </x:c>
      <x:c r="R2608" s="24" t="n">
        <x:f>IFERROR(F2608/H2608,0)</x:f>
        <x:v>0.2</x:v>
      </x:c>
      <x:c r="S2608" s="24" t="n">
        <x:f>IFERROR(F2608/J2608,0)</x:f>
        <x:v>0.3333333333333333</x:v>
      </x:c>
      <x:c r="T2608" s="28" t="n">
        <x:f>H2608-I2608</x:f>
        <x:v>3</x:v>
      </x:c>
      <x:c r="U2608" s="24" t="n">
        <x:f>IFERROR(J2608/H2608,0)-IFERROR(K2608/I2608,0)</x:f>
        <x:v>0.17142857142857143</x:v>
      </x:c>
      <x:c r="V2608" s="24" t="n">
        <x:f>IFERROR(F2608/J2608,0)-IFERROR(G2608/K2608,0)</x:f>
        <x:v>0.3333333333333333</x:v>
      </x:c>
      <x:c r="W2608" s="28" t="n">
        <x:f>L2608-M2608</x:f>
        <x:v>-4</x:v>
      </x:c>
      <x:c r="X2608" s="24" t="n">
        <x:f>IFERROR(K2608/I2608,0)</x:f>
        <x:v>0.42857142857142855</x:v>
      </x:c>
      <x:c r="Y2608" s="24" t="n">
        <x:f>IFERROR(G2608/I2608,0)</x:f>
        <x:v>0</x:v>
      </x:c>
      <x:c r="Z2608" s="24" t="n">
        <x:f>IFERROR(G2608/K2608,0)</x:f>
        <x:v>0</x:v>
      </x:c>
      <x:c r="AA2608" s="24" t="n">
        <x:f>IFERROR(F2608/H2608,0)-IFERROR(G2608/I2608,0)</x:f>
        <x:v>0.2</x:v>
      </x:c>
      <x:c r="AB2608" s="28" t="n">
        <x:f>J2608-K2608</x:f>
        <x:v>3</x:v>
      </x:c>
      <x:c r="AC2608" s="32" t="n">
        <x:f>F2608-G2608</x:f>
        <x:v>2</x:v>
      </x:c>
    </x:row>
    <x:row r="2609">
      <x:c r="A2609" s="4" t="str">
        <x:v>2024-25</x:v>
      </x:c>
      <x:c r="B2609" s="20" t="n">
        <x:v>45647</x:v>
      </x:c>
      <x:c r="C2609" s="4" t="str">
        <x:v>West Ham</x:v>
      </x:c>
      <x:c r="D2609" s="4" t="str">
        <x:v>Brighton</x:v>
      </x:c>
      <x:c r="E2609" s="4" t="str">
        <x:v>Home</x:v>
      </x:c>
      <x:c r="F2609" s="28" t="n">
        <x:v>1</x:v>
      </x:c>
      <x:c r="G2609" s="28" t="n">
        <x:v>1</x:v>
      </x:c>
      <x:c r="H2609" s="28" t="n">
        <x:v>11</x:v>
      </x:c>
      <x:c r="I2609" s="28" t="n">
        <x:v>12</x:v>
      </x:c>
      <x:c r="J2609" s="28" t="n">
        <x:v>4</x:v>
      </x:c>
      <x:c r="K2609" s="28" t="n">
        <x:v>6</x:v>
      </x:c>
      <x:c r="L2609" s="28" t="n">
        <x:v>8</x:v>
      </x:c>
      <x:c r="M2609" s="28" t="n">
        <x:v>4</x:v>
      </x:c>
      <x:c r="N2609" s="28" t="n">
        <x:v>2</x:v>
      </x:c>
      <x:c r="O2609" s="28" t="n">
        <x:v>0</x:v>
      </x:c>
      <x:c r="P2609" s="28" t="n">
        <x:v>1</x:v>
      </x:c>
      <x:c r="Q2609" s="24" t="n">
        <x:f>IFERROR(J2609/H2609,0)</x:f>
        <x:v>0.36363636363636365</x:v>
      </x:c>
      <x:c r="R2609" s="24" t="n">
        <x:f>IFERROR(F2609/H2609,0)</x:f>
        <x:v>0.09090909090909091</x:v>
      </x:c>
      <x:c r="S2609" s="24" t="n">
        <x:f>IFERROR(F2609/J2609,0)</x:f>
        <x:v>0.25</x:v>
      </x:c>
      <x:c r="T2609" s="28" t="n">
        <x:f>H2609-I2609</x:f>
        <x:v>-1</x:v>
      </x:c>
      <x:c r="U2609" s="24" t="n">
        <x:f>IFERROR(J2609/H2609,0)-IFERROR(K2609/I2609,0)</x:f>
        <x:v>-0.13636363636363635</x:v>
      </x:c>
      <x:c r="V2609" s="24" t="n">
        <x:f>IFERROR(F2609/J2609,0)-IFERROR(G2609/K2609,0)</x:f>
        <x:v>0.08333333333333334</x:v>
      </x:c>
      <x:c r="W2609" s="28" t="n">
        <x:f>L2609-M2609</x:f>
        <x:v>4</x:v>
      </x:c>
      <x:c r="X2609" s="24" t="n">
        <x:f>IFERROR(K2609/I2609,0)</x:f>
        <x:v>0.5</x:v>
      </x:c>
      <x:c r="Y2609" s="24" t="n">
        <x:f>IFERROR(G2609/I2609,0)</x:f>
        <x:v>0.08333333333333333</x:v>
      </x:c>
      <x:c r="Z2609" s="24" t="n">
        <x:f>IFERROR(G2609/K2609,0)</x:f>
        <x:v>0.16666666666666666</x:v>
      </x:c>
      <x:c r="AA2609" s="24" t="n">
        <x:f>IFERROR(F2609/H2609,0)-IFERROR(G2609/I2609,0)</x:f>
        <x:v>0.007575757575757583</x:v>
      </x:c>
      <x:c r="AB2609" s="28" t="n">
        <x:f>J2609-K2609</x:f>
        <x:v>-2</x:v>
      </x:c>
      <x:c r="AC2609" s="32" t="n">
        <x:f>F2609-G2609</x:f>
        <x:v>0</x:v>
      </x:c>
    </x:row>
    <x:row r="2610">
      <x:c r="A2610" s="4" t="str">
        <x:v>2024-25</x:v>
      </x:c>
      <x:c r="B2610" s="20" t="n">
        <x:v>45648</x:v>
      </x:c>
      <x:c r="C2610" s="4" t="str">
        <x:v>Bournemouth</x:v>
      </x:c>
      <x:c r="D2610" s="4" t="str">
        <x:v>Man United</x:v>
      </x:c>
      <x:c r="E2610" s="4" t="str">
        <x:v>Away</x:v>
      </x:c>
      <x:c r="F2610" s="28" t="n">
        <x:v>3</x:v>
      </x:c>
      <x:c r="G2610" s="28" t="n">
        <x:v>0</x:v>
      </x:c>
      <x:c r="H2610" s="28" t="n">
        <x:v>10</x:v>
      </x:c>
      <x:c r="I2610" s="28" t="n">
        <x:v>23</x:v>
      </x:c>
      <x:c r="J2610" s="28" t="n">
        <x:v>5</x:v>
      </x:c>
      <x:c r="K2610" s="28" t="n">
        <x:v>7</x:v>
      </x:c>
      <x:c r="L2610" s="28" t="n">
        <x:v>1</x:v>
      </x:c>
      <x:c r="M2610" s="28" t="n">
        <x:v>13</x:v>
      </x:c>
      <x:c r="N2610" s="28" t="n">
        <x:v>3</x:v>
      </x:c>
      <x:c r="O2610" s="28" t="n">
        <x:v>0</x:v>
      </x:c>
      <x:c r="P2610" s="28" t="n">
        <x:v>3</x:v>
      </x:c>
      <x:c r="Q2610" s="24" t="n">
        <x:f>IFERROR(J2610/H2610,0)</x:f>
        <x:v>0.5</x:v>
      </x:c>
      <x:c r="R2610" s="24" t="n">
        <x:f>IFERROR(F2610/H2610,0)</x:f>
        <x:v>0.3</x:v>
      </x:c>
      <x:c r="S2610" s="24" t="n">
        <x:f>IFERROR(F2610/J2610,0)</x:f>
        <x:v>0.6</x:v>
      </x:c>
      <x:c r="T2610" s="28" t="n">
        <x:f>H2610-I2610</x:f>
        <x:v>-13</x:v>
      </x:c>
      <x:c r="U2610" s="24" t="n">
        <x:f>IFERROR(J2610/H2610,0)-IFERROR(K2610/I2610,0)</x:f>
        <x:v>0.19565217391304346</x:v>
      </x:c>
      <x:c r="V2610" s="24" t="n">
        <x:f>IFERROR(F2610/J2610,0)-IFERROR(G2610/K2610,0)</x:f>
        <x:v>0.6</x:v>
      </x:c>
      <x:c r="W2610" s="28" t="n">
        <x:f>L2610-M2610</x:f>
        <x:v>-12</x:v>
      </x:c>
      <x:c r="X2610" s="24" t="n">
        <x:f>IFERROR(K2610/I2610,0)</x:f>
        <x:v>0.30434782608695654</x:v>
      </x:c>
      <x:c r="Y2610" s="24" t="n">
        <x:f>IFERROR(G2610/I2610,0)</x:f>
        <x:v>0</x:v>
      </x:c>
      <x:c r="Z2610" s="24" t="n">
        <x:f>IFERROR(G2610/K2610,0)</x:f>
        <x:v>0</x:v>
      </x:c>
      <x:c r="AA2610" s="24" t="n">
        <x:f>IFERROR(F2610/H2610,0)-IFERROR(G2610/I2610,0)</x:f>
        <x:v>0.3</x:v>
      </x:c>
      <x:c r="AB2610" s="28" t="n">
        <x:f>J2610-K2610</x:f>
        <x:v>-2</x:v>
      </x:c>
      <x:c r="AC2610" s="32" t="n">
        <x:f>F2610-G2610</x:f>
        <x:v>3</x:v>
      </x:c>
    </x:row>
    <x:row r="2611">
      <x:c r="A2611" s="4" t="str">
        <x:v>2024-25</x:v>
      </x:c>
      <x:c r="B2611" s="20" t="n">
        <x:v>45648</x:v>
      </x:c>
      <x:c r="C2611" s="4" t="str">
        <x:v>Chelsea</x:v>
      </x:c>
      <x:c r="D2611" s="4" t="str">
        <x:v>Everton</x:v>
      </x:c>
      <x:c r="E2611" s="4" t="str">
        <x:v>Away</x:v>
      </x:c>
      <x:c r="F2611" s="28" t="n">
        <x:v>0</x:v>
      </x:c>
      <x:c r="G2611" s="28" t="n">
        <x:v>0</x:v>
      </x:c>
      <x:c r="H2611" s="28" t="n">
        <x:v>12</x:v>
      </x:c>
      <x:c r="I2611" s="28" t="n">
        <x:v>5</x:v>
      </x:c>
      <x:c r="J2611" s="28" t="n">
        <x:v>5</x:v>
      </x:c>
      <x:c r="K2611" s="28" t="n">
        <x:v>4</x:v>
      </x:c>
      <x:c r="L2611" s="28" t="n">
        <x:v>5</x:v>
      </x:c>
      <x:c r="M2611" s="28" t="n">
        <x:v>2</x:v>
      </x:c>
      <x:c r="N2611" s="28" t="n">
        <x:v>1</x:v>
      </x:c>
      <x:c r="O2611" s="28" t="n">
        <x:v>0</x:v>
      </x:c>
      <x:c r="P2611" s="28" t="n">
        <x:v>1</x:v>
      </x:c>
      <x:c r="Q2611" s="24" t="n">
        <x:f>IFERROR(J2611/H2611,0)</x:f>
        <x:v>0.4166666666666667</x:v>
      </x:c>
      <x:c r="R2611" s="24" t="n">
        <x:f>IFERROR(F2611/H2611,0)</x:f>
        <x:v>0</x:v>
      </x:c>
      <x:c r="S2611" s="24" t="n">
        <x:f>IFERROR(F2611/J2611,0)</x:f>
        <x:v>0</x:v>
      </x:c>
      <x:c r="T2611" s="28" t="n">
        <x:f>H2611-I2611</x:f>
        <x:v>7</x:v>
      </x:c>
      <x:c r="U2611" s="24" t="n">
        <x:f>IFERROR(J2611/H2611,0)-IFERROR(K2611/I2611,0)</x:f>
        <x:v>-0.38333333333333336</x:v>
      </x:c>
      <x:c r="V2611" s="24" t="n">
        <x:f>IFERROR(F2611/J2611,0)-IFERROR(G2611/K2611,0)</x:f>
        <x:v>0</x:v>
      </x:c>
      <x:c r="W2611" s="28" t="n">
        <x:f>L2611-M2611</x:f>
        <x:v>3</x:v>
      </x:c>
      <x:c r="X2611" s="24" t="n">
        <x:f>IFERROR(K2611/I2611,0)</x:f>
        <x:v>0.8</x:v>
      </x:c>
      <x:c r="Y2611" s="24" t="n">
        <x:f>IFERROR(G2611/I2611,0)</x:f>
        <x:v>0</x:v>
      </x:c>
      <x:c r="Z2611" s="24" t="n">
        <x:f>IFERROR(G2611/K2611,0)</x:f>
        <x:v>0</x:v>
      </x:c>
      <x:c r="AA2611" s="24" t="n">
        <x:f>IFERROR(F2611/H2611,0)-IFERROR(G2611/I2611,0)</x:f>
        <x:v>0</x:v>
      </x:c>
      <x:c r="AB2611" s="28" t="n">
        <x:f>J2611-K2611</x:f>
        <x:v>1</x:v>
      </x:c>
      <x:c r="AC2611" s="32" t="n">
        <x:f>F2611-G2611</x:f>
        <x:v>0</x:v>
      </x:c>
    </x:row>
    <x:row r="2612">
      <x:c r="A2612" s="4" t="str">
        <x:v>2024-25</x:v>
      </x:c>
      <x:c r="B2612" s="20" t="n">
        <x:v>45648</x:v>
      </x:c>
      <x:c r="C2612" s="4" t="str">
        <x:v>Everton</x:v>
      </x:c>
      <x:c r="D2612" s="4" t="str">
        <x:v>Chelsea</x:v>
      </x:c>
      <x:c r="E2612" s="4" t="str">
        <x:v>Home</x:v>
      </x:c>
      <x:c r="F2612" s="28" t="n">
        <x:v>0</x:v>
      </x:c>
      <x:c r="G2612" s="28" t="n">
        <x:v>0</x:v>
      </x:c>
      <x:c r="H2612" s="28" t="n">
        <x:v>5</x:v>
      </x:c>
      <x:c r="I2612" s="28" t="n">
        <x:v>12</x:v>
      </x:c>
      <x:c r="J2612" s="28" t="n">
        <x:v>4</x:v>
      </x:c>
      <x:c r="K2612" s="28" t="n">
        <x:v>5</x:v>
      </x:c>
      <x:c r="L2612" s="28" t="n">
        <x:v>2</x:v>
      </x:c>
      <x:c r="M2612" s="28" t="n">
        <x:v>5</x:v>
      </x:c>
      <x:c r="N2612" s="28" t="n">
        <x:v>4</x:v>
      </x:c>
      <x:c r="O2612" s="28" t="n">
        <x:v>0</x:v>
      </x:c>
      <x:c r="P2612" s="28" t="n">
        <x:v>1</x:v>
      </x:c>
      <x:c r="Q2612" s="24" t="n">
        <x:f>IFERROR(J2612/H2612,0)</x:f>
        <x:v>0.8</x:v>
      </x:c>
      <x:c r="R2612" s="24" t="n">
        <x:f>IFERROR(F2612/H2612,0)</x:f>
        <x:v>0</x:v>
      </x:c>
      <x:c r="S2612" s="24" t="n">
        <x:f>IFERROR(F2612/J2612,0)</x:f>
        <x:v>0</x:v>
      </x:c>
      <x:c r="T2612" s="28" t="n">
        <x:f>H2612-I2612</x:f>
        <x:v>-7</x:v>
      </x:c>
      <x:c r="U2612" s="24" t="n">
        <x:f>IFERROR(J2612/H2612,0)-IFERROR(K2612/I2612,0)</x:f>
        <x:v>0.38333333333333336</x:v>
      </x:c>
      <x:c r="V2612" s="24" t="n">
        <x:f>IFERROR(F2612/J2612,0)-IFERROR(G2612/K2612,0)</x:f>
        <x:v>0</x:v>
      </x:c>
      <x:c r="W2612" s="28" t="n">
        <x:f>L2612-M2612</x:f>
        <x:v>-3</x:v>
      </x:c>
      <x:c r="X2612" s="24" t="n">
        <x:f>IFERROR(K2612/I2612,0)</x:f>
        <x:v>0.4166666666666667</x:v>
      </x:c>
      <x:c r="Y2612" s="24" t="n">
        <x:f>IFERROR(G2612/I2612,0)</x:f>
        <x:v>0</x:v>
      </x:c>
      <x:c r="Z2612" s="24" t="n">
        <x:f>IFERROR(G2612/K2612,0)</x:f>
        <x:v>0</x:v>
      </x:c>
      <x:c r="AA2612" s="24" t="n">
        <x:f>IFERROR(F2612/H2612,0)-IFERROR(G2612/I2612,0)</x:f>
        <x:v>0</x:v>
      </x:c>
      <x:c r="AB2612" s="28" t="n">
        <x:f>J2612-K2612</x:f>
        <x:v>-1</x:v>
      </x:c>
      <x:c r="AC2612" s="32" t="n">
        <x:f>F2612-G2612</x:f>
        <x:v>0</x:v>
      </x:c>
    </x:row>
    <x:row r="2613">
      <x:c r="A2613" s="4" t="str">
        <x:v>2024-25</x:v>
      </x:c>
      <x:c r="B2613" s="20" t="n">
        <x:v>45648</x:v>
      </x:c>
      <x:c r="C2613" s="4" t="str">
        <x:v>Fulham</x:v>
      </x:c>
      <x:c r="D2613" s="4" t="str">
        <x:v>Southampton</x:v>
      </x:c>
      <x:c r="E2613" s="4" t="str">
        <x:v>Home</x:v>
      </x:c>
      <x:c r="F2613" s="28" t="n">
        <x:v>0</x:v>
      </x:c>
      <x:c r="G2613" s="28" t="n">
        <x:v>0</x:v>
      </x:c>
      <x:c r="H2613" s="28" t="n">
        <x:v>16</x:v>
      </x:c>
      <x:c r="I2613" s="28" t="n">
        <x:v>5</x:v>
      </x:c>
      <x:c r="J2613" s="28" t="n">
        <x:v>5</x:v>
      </x:c>
      <x:c r="K2613" s="28" t="n">
        <x:v>1</x:v>
      </x:c>
      <x:c r="L2613" s="28" t="n">
        <x:v>6</x:v>
      </x:c>
      <x:c r="M2613" s="28" t="n">
        <x:v>5</x:v>
      </x:c>
      <x:c r="N2613" s="28" t="n">
        <x:v>1</x:v>
      </x:c>
      <x:c r="O2613" s="28" t="n">
        <x:v>0</x:v>
      </x:c>
      <x:c r="P2613" s="28" t="n">
        <x:v>1</x:v>
      </x:c>
      <x:c r="Q2613" s="24" t="n">
        <x:f>IFERROR(J2613/H2613,0)</x:f>
        <x:v>0.3125</x:v>
      </x:c>
      <x:c r="R2613" s="24" t="n">
        <x:f>IFERROR(F2613/H2613,0)</x:f>
        <x:v>0</x:v>
      </x:c>
      <x:c r="S2613" s="24" t="n">
        <x:f>IFERROR(F2613/J2613,0)</x:f>
        <x:v>0</x:v>
      </x:c>
      <x:c r="T2613" s="28" t="n">
        <x:f>H2613-I2613</x:f>
        <x:v>11</x:v>
      </x:c>
      <x:c r="U2613" s="24" t="n">
        <x:f>IFERROR(J2613/H2613,0)-IFERROR(K2613/I2613,0)</x:f>
        <x:v>0.11249999999999999</x:v>
      </x:c>
      <x:c r="V2613" s="24" t="n">
        <x:f>IFERROR(F2613/J2613,0)-IFERROR(G2613/K2613,0)</x:f>
        <x:v>0</x:v>
      </x:c>
      <x:c r="W2613" s="28" t="n">
        <x:f>L2613-M2613</x:f>
        <x:v>1</x:v>
      </x:c>
      <x:c r="X2613" s="24" t="n">
        <x:f>IFERROR(K2613/I2613,0)</x:f>
        <x:v>0.2</x:v>
      </x:c>
      <x:c r="Y2613" s="24" t="n">
        <x:f>IFERROR(G2613/I2613,0)</x:f>
        <x:v>0</x:v>
      </x:c>
      <x:c r="Z2613" s="24" t="n">
        <x:f>IFERROR(G2613/K2613,0)</x:f>
        <x:v>0</x:v>
      </x:c>
      <x:c r="AA2613" s="24" t="n">
        <x:f>IFERROR(F2613/H2613,0)-IFERROR(G2613/I2613,0)</x:f>
        <x:v>0</x:v>
      </x:c>
      <x:c r="AB2613" s="28" t="n">
        <x:f>J2613-K2613</x:f>
        <x:v>4</x:v>
      </x:c>
      <x:c r="AC2613" s="32" t="n">
        <x:f>F2613-G2613</x:f>
        <x:v>0</x:v>
      </x:c>
    </x:row>
    <x:row r="2614">
      <x:c r="A2614" s="4" t="str">
        <x:v>2024-25</x:v>
      </x:c>
      <x:c r="B2614" s="20" t="n">
        <x:v>45648</x:v>
      </x:c>
      <x:c r="C2614" s="4" t="str">
        <x:v>Leicester</x:v>
      </x:c>
      <x:c r="D2614" s="4" t="str">
        <x:v>Wolves</x:v>
      </x:c>
      <x:c r="E2614" s="4" t="str">
        <x:v>Home</x:v>
      </x:c>
      <x:c r="F2614" s="28" t="n">
        <x:v>0</x:v>
      </x:c>
      <x:c r="G2614" s="28" t="n">
        <x:v>3</x:v>
      </x:c>
      <x:c r="H2614" s="28" t="n">
        <x:v>9</x:v>
      </x:c>
      <x:c r="I2614" s="28" t="n">
        <x:v>8</x:v>
      </x:c>
      <x:c r="J2614" s="28" t="n">
        <x:v>5</x:v>
      </x:c>
      <x:c r="K2614" s="28" t="n">
        <x:v>4</x:v>
      </x:c>
      <x:c r="L2614" s="28" t="n">
        <x:v>6</x:v>
      </x:c>
      <x:c r="M2614" s="28" t="n">
        <x:v>1</x:v>
      </x:c>
      <x:c r="N2614" s="28" t="n">
        <x:v>2</x:v>
      </x:c>
      <x:c r="O2614" s="28" t="n">
        <x:v>0</x:v>
      </x:c>
      <x:c r="P2614" s="28" t="n">
        <x:v>0</x:v>
      </x:c>
      <x:c r="Q2614" s="24" t="n">
        <x:f>IFERROR(J2614/H2614,0)</x:f>
        <x:v>0.5555555555555556</x:v>
      </x:c>
      <x:c r="R2614" s="24" t="n">
        <x:f>IFERROR(F2614/H2614,0)</x:f>
        <x:v>0</x:v>
      </x:c>
      <x:c r="S2614" s="24" t="n">
        <x:f>IFERROR(F2614/J2614,0)</x:f>
        <x:v>0</x:v>
      </x:c>
      <x:c r="T2614" s="28" t="n">
        <x:f>H2614-I2614</x:f>
        <x:v>1</x:v>
      </x:c>
      <x:c r="U2614" s="24" t="n">
        <x:f>IFERROR(J2614/H2614,0)-IFERROR(K2614/I2614,0)</x:f>
        <x:v>0.05555555555555558</x:v>
      </x:c>
      <x:c r="V2614" s="24" t="n">
        <x:f>IFERROR(F2614/J2614,0)-IFERROR(G2614/K2614,0)</x:f>
        <x:v>-0.75</x:v>
      </x:c>
      <x:c r="W2614" s="28" t="n">
        <x:f>L2614-M2614</x:f>
        <x:v>5</x:v>
      </x:c>
      <x:c r="X2614" s="24" t="n">
        <x:f>IFERROR(K2614/I2614,0)</x:f>
        <x:v>0.5</x:v>
      </x:c>
      <x:c r="Y2614" s="24" t="n">
        <x:f>IFERROR(G2614/I2614,0)</x:f>
        <x:v>0.375</x:v>
      </x:c>
      <x:c r="Z2614" s="24" t="n">
        <x:f>IFERROR(G2614/K2614,0)</x:f>
        <x:v>0.75</x:v>
      </x:c>
      <x:c r="AA2614" s="24" t="n">
        <x:f>IFERROR(F2614/H2614,0)-IFERROR(G2614/I2614,0)</x:f>
        <x:v>-0.375</x:v>
      </x:c>
      <x:c r="AB2614" s="28" t="n">
        <x:f>J2614-K2614</x:f>
        <x:v>1</x:v>
      </x:c>
      <x:c r="AC2614" s="32" t="n">
        <x:f>F2614-G2614</x:f>
        <x:v>-3</x:v>
      </x:c>
    </x:row>
    <x:row r="2615">
      <x:c r="A2615" s="4" t="str">
        <x:v>2024-25</x:v>
      </x:c>
      <x:c r="B2615" s="20" t="n">
        <x:v>45648</x:v>
      </x:c>
      <x:c r="C2615" s="4" t="str">
        <x:v>Liverpool</x:v>
      </x:c>
      <x:c r="D2615" s="4" t="str">
        <x:v>Tottenham</x:v>
      </x:c>
      <x:c r="E2615" s="4" t="str">
        <x:v>Away</x:v>
      </x:c>
      <x:c r="F2615" s="28" t="n">
        <x:v>6</x:v>
      </x:c>
      <x:c r="G2615" s="28" t="n">
        <x:v>3</x:v>
      </x:c>
      <x:c r="H2615" s="28" t="n">
        <x:v>24</x:v>
      </x:c>
      <x:c r="I2615" s="28" t="n">
        <x:v>9</x:v>
      </x:c>
      <x:c r="J2615" s="28" t="n">
        <x:v>12</x:v>
      </x:c>
      <x:c r="K2615" s="28" t="n">
        <x:v>5</x:v>
      </x:c>
      <x:c r="L2615" s="28" t="n">
        <x:v>5</x:v>
      </x:c>
      <x:c r="M2615" s="28" t="n">
        <x:v>7</x:v>
      </x:c>
      <x:c r="N2615" s="28" t="n">
        <x:v>2</x:v>
      </x:c>
      <x:c r="O2615" s="28" t="n">
        <x:v>0</x:v>
      </x:c>
      <x:c r="P2615" s="28" t="n">
        <x:v>3</x:v>
      </x:c>
      <x:c r="Q2615" s="24" t="n">
        <x:f>IFERROR(J2615/H2615,0)</x:f>
        <x:v>0.5</x:v>
      </x:c>
      <x:c r="R2615" s="24" t="n">
        <x:f>IFERROR(F2615/H2615,0)</x:f>
        <x:v>0.25</x:v>
      </x:c>
      <x:c r="S2615" s="24" t="n">
        <x:f>IFERROR(F2615/J2615,0)</x:f>
        <x:v>0.5</x:v>
      </x:c>
      <x:c r="T2615" s="28" t="n">
        <x:f>H2615-I2615</x:f>
        <x:v>15</x:v>
      </x:c>
      <x:c r="U2615" s="24" t="n">
        <x:f>IFERROR(J2615/H2615,0)-IFERROR(K2615/I2615,0)</x:f>
        <x:v>-0.05555555555555558</x:v>
      </x:c>
      <x:c r="V2615" s="24" t="n">
        <x:f>IFERROR(F2615/J2615,0)-IFERROR(G2615/K2615,0)</x:f>
        <x:v>-0.09999999999999998</x:v>
      </x:c>
      <x:c r="W2615" s="28" t="n">
        <x:f>L2615-M2615</x:f>
        <x:v>-2</x:v>
      </x:c>
      <x:c r="X2615" s="24" t="n">
        <x:f>IFERROR(K2615/I2615,0)</x:f>
        <x:v>0.5555555555555556</x:v>
      </x:c>
      <x:c r="Y2615" s="24" t="n">
        <x:f>IFERROR(G2615/I2615,0)</x:f>
        <x:v>0.3333333333333333</x:v>
      </x:c>
      <x:c r="Z2615" s="24" t="n">
        <x:f>IFERROR(G2615/K2615,0)</x:f>
        <x:v>0.6</x:v>
      </x:c>
      <x:c r="AA2615" s="24" t="n">
        <x:f>IFERROR(F2615/H2615,0)-IFERROR(G2615/I2615,0)</x:f>
        <x:v>-0.08333333333333331</x:v>
      </x:c>
      <x:c r="AB2615" s="28" t="n">
        <x:f>J2615-K2615</x:f>
        <x:v>7</x:v>
      </x:c>
      <x:c r="AC2615" s="32" t="n">
        <x:f>F2615-G2615</x:f>
        <x:v>3</x:v>
      </x:c>
    </x:row>
    <x:row r="2616">
      <x:c r="A2616" s="4" t="str">
        <x:v>2024-25</x:v>
      </x:c>
      <x:c r="B2616" s="20" t="n">
        <x:v>45648</x:v>
      </x:c>
      <x:c r="C2616" s="4" t="str">
        <x:v>Man United</x:v>
      </x:c>
      <x:c r="D2616" s="4" t="str">
        <x:v>Bournemouth</x:v>
      </x:c>
      <x:c r="E2616" s="4" t="str">
        <x:v>Home</x:v>
      </x:c>
      <x:c r="F2616" s="28" t="n">
        <x:v>0</x:v>
      </x:c>
      <x:c r="G2616" s="28" t="n">
        <x:v>3</x:v>
      </x:c>
      <x:c r="H2616" s="28" t="n">
        <x:v>23</x:v>
      </x:c>
      <x:c r="I2616" s="28" t="n">
        <x:v>10</x:v>
      </x:c>
      <x:c r="J2616" s="28" t="n">
        <x:v>7</x:v>
      </x:c>
      <x:c r="K2616" s="28" t="n">
        <x:v>5</x:v>
      </x:c>
      <x:c r="L2616" s="28" t="n">
        <x:v>13</x:v>
      </x:c>
      <x:c r="M2616" s="28" t="n">
        <x:v>1</x:v>
      </x:c>
      <x:c r="N2616" s="28" t="n">
        <x:v>1</x:v>
      </x:c>
      <x:c r="O2616" s="28" t="n">
        <x:v>0</x:v>
      </x:c>
      <x:c r="P2616" s="28" t="n">
        <x:v>0</x:v>
      </x:c>
      <x:c r="Q2616" s="24" t="n">
        <x:f>IFERROR(J2616/H2616,0)</x:f>
        <x:v>0.30434782608695654</x:v>
      </x:c>
      <x:c r="R2616" s="24" t="n">
        <x:f>IFERROR(F2616/H2616,0)</x:f>
        <x:v>0</x:v>
      </x:c>
      <x:c r="S2616" s="24" t="n">
        <x:f>IFERROR(F2616/J2616,0)</x:f>
        <x:v>0</x:v>
      </x:c>
      <x:c r="T2616" s="28" t="n">
        <x:f>H2616-I2616</x:f>
        <x:v>13</x:v>
      </x:c>
      <x:c r="U2616" s="24" t="n">
        <x:f>IFERROR(J2616/H2616,0)-IFERROR(K2616/I2616,0)</x:f>
        <x:v>-0.19565217391304346</x:v>
      </x:c>
      <x:c r="V2616" s="24" t="n">
        <x:f>IFERROR(F2616/J2616,0)-IFERROR(G2616/K2616,0)</x:f>
        <x:v>-0.6</x:v>
      </x:c>
      <x:c r="W2616" s="28" t="n">
        <x:f>L2616-M2616</x:f>
        <x:v>12</x:v>
      </x:c>
      <x:c r="X2616" s="24" t="n">
        <x:f>IFERROR(K2616/I2616,0)</x:f>
        <x:v>0.5</x:v>
      </x:c>
      <x:c r="Y2616" s="24" t="n">
        <x:f>IFERROR(G2616/I2616,0)</x:f>
        <x:v>0.3</x:v>
      </x:c>
      <x:c r="Z2616" s="24" t="n">
        <x:f>IFERROR(G2616/K2616,0)</x:f>
        <x:v>0.6</x:v>
      </x:c>
      <x:c r="AA2616" s="24" t="n">
        <x:f>IFERROR(F2616/H2616,0)-IFERROR(G2616/I2616,0)</x:f>
        <x:v>-0.3</x:v>
      </x:c>
      <x:c r="AB2616" s="28" t="n">
        <x:f>J2616-K2616</x:f>
        <x:v>2</x:v>
      </x:c>
      <x:c r="AC2616" s="32" t="n">
        <x:f>F2616-G2616</x:f>
        <x:v>-3</x:v>
      </x:c>
    </x:row>
    <x:row r="2617">
      <x:c r="A2617" s="4" t="str">
        <x:v>2024-25</x:v>
      </x:c>
      <x:c r="B2617" s="20" t="n">
        <x:v>45648</x:v>
      </x:c>
      <x:c r="C2617" s="4" t="str">
        <x:v>Southampton</x:v>
      </x:c>
      <x:c r="D2617" s="4" t="str">
        <x:v>Fulham</x:v>
      </x:c>
      <x:c r="E2617" s="4" t="str">
        <x:v>Away</x:v>
      </x:c>
      <x:c r="F2617" s="28" t="n">
        <x:v>0</x:v>
      </x:c>
      <x:c r="G2617" s="28" t="n">
        <x:v>0</x:v>
      </x:c>
      <x:c r="H2617" s="28" t="n">
        <x:v>5</x:v>
      </x:c>
      <x:c r="I2617" s="28" t="n">
        <x:v>16</x:v>
      </x:c>
      <x:c r="J2617" s="28" t="n">
        <x:v>1</x:v>
      </x:c>
      <x:c r="K2617" s="28" t="n">
        <x:v>5</x:v>
      </x:c>
      <x:c r="L2617" s="28" t="n">
        <x:v>5</x:v>
      </x:c>
      <x:c r="M2617" s="28" t="n">
        <x:v>6</x:v>
      </x:c>
      <x:c r="N2617" s="28" t="n">
        <x:v>3</x:v>
      </x:c>
      <x:c r="O2617" s="28" t="n">
        <x:v>0</x:v>
      </x:c>
      <x:c r="P2617" s="28" t="n">
        <x:v>1</x:v>
      </x:c>
      <x:c r="Q2617" s="24" t="n">
        <x:f>IFERROR(J2617/H2617,0)</x:f>
        <x:v>0.2</x:v>
      </x:c>
      <x:c r="R2617" s="24" t="n">
        <x:f>IFERROR(F2617/H2617,0)</x:f>
        <x:v>0</x:v>
      </x:c>
      <x:c r="S2617" s="24" t="n">
        <x:f>IFERROR(F2617/J2617,0)</x:f>
        <x:v>0</x:v>
      </x:c>
      <x:c r="T2617" s="28" t="n">
        <x:f>H2617-I2617</x:f>
        <x:v>-11</x:v>
      </x:c>
      <x:c r="U2617" s="24" t="n">
        <x:f>IFERROR(J2617/H2617,0)-IFERROR(K2617/I2617,0)</x:f>
        <x:v>-0.11249999999999999</x:v>
      </x:c>
      <x:c r="V2617" s="24" t="n">
        <x:f>IFERROR(F2617/J2617,0)-IFERROR(G2617/K2617,0)</x:f>
        <x:v>0</x:v>
      </x:c>
      <x:c r="W2617" s="28" t="n">
        <x:f>L2617-M2617</x:f>
        <x:v>-1</x:v>
      </x:c>
      <x:c r="X2617" s="24" t="n">
        <x:f>IFERROR(K2617/I2617,0)</x:f>
        <x:v>0.3125</x:v>
      </x:c>
      <x:c r="Y2617" s="24" t="n">
        <x:f>IFERROR(G2617/I2617,0)</x:f>
        <x:v>0</x:v>
      </x:c>
      <x:c r="Z2617" s="24" t="n">
        <x:f>IFERROR(G2617/K2617,0)</x:f>
        <x:v>0</x:v>
      </x:c>
      <x:c r="AA2617" s="24" t="n">
        <x:f>IFERROR(F2617/H2617,0)-IFERROR(G2617/I2617,0)</x:f>
        <x:v>0</x:v>
      </x:c>
      <x:c r="AB2617" s="28" t="n">
        <x:f>J2617-K2617</x:f>
        <x:v>-4</x:v>
      </x:c>
      <x:c r="AC2617" s="32" t="n">
        <x:f>F2617-G2617</x:f>
        <x:v>0</x:v>
      </x:c>
    </x:row>
    <x:row r="2618">
      <x:c r="A2618" s="4" t="str">
        <x:v>2024-25</x:v>
      </x:c>
      <x:c r="B2618" s="20" t="n">
        <x:v>45648</x:v>
      </x:c>
      <x:c r="C2618" s="4" t="str">
        <x:v>Tottenham</x:v>
      </x:c>
      <x:c r="D2618" s="4" t="str">
        <x:v>Liverpool</x:v>
      </x:c>
      <x:c r="E2618" s="4" t="str">
        <x:v>Home</x:v>
      </x:c>
      <x:c r="F2618" s="28" t="n">
        <x:v>3</x:v>
      </x:c>
      <x:c r="G2618" s="28" t="n">
        <x:v>6</x:v>
      </x:c>
      <x:c r="H2618" s="28" t="n">
        <x:v>9</x:v>
      </x:c>
      <x:c r="I2618" s="28" t="n">
        <x:v>24</x:v>
      </x:c>
      <x:c r="J2618" s="28" t="n">
        <x:v>5</x:v>
      </x:c>
      <x:c r="K2618" s="28" t="n">
        <x:v>12</x:v>
      </x:c>
      <x:c r="L2618" s="28" t="n">
        <x:v>7</x:v>
      </x:c>
      <x:c r="M2618" s="28" t="n">
        <x:v>5</x:v>
      </x:c>
      <x:c r="N2618" s="28" t="n">
        <x:v>1</x:v>
      </x:c>
      <x:c r="O2618" s="28" t="n">
        <x:v>0</x:v>
      </x:c>
      <x:c r="P2618" s="28" t="n">
        <x:v>0</x:v>
      </x:c>
      <x:c r="Q2618" s="24" t="n">
        <x:f>IFERROR(J2618/H2618,0)</x:f>
        <x:v>0.5555555555555556</x:v>
      </x:c>
      <x:c r="R2618" s="24" t="n">
        <x:f>IFERROR(F2618/H2618,0)</x:f>
        <x:v>0.3333333333333333</x:v>
      </x:c>
      <x:c r="S2618" s="24" t="n">
        <x:f>IFERROR(F2618/J2618,0)</x:f>
        <x:v>0.6</x:v>
      </x:c>
      <x:c r="T2618" s="28" t="n">
        <x:f>H2618-I2618</x:f>
        <x:v>-15</x:v>
      </x:c>
      <x:c r="U2618" s="24" t="n">
        <x:f>IFERROR(J2618/H2618,0)-IFERROR(K2618/I2618,0)</x:f>
        <x:v>0.05555555555555558</x:v>
      </x:c>
      <x:c r="V2618" s="24" t="n">
        <x:f>IFERROR(F2618/J2618,0)-IFERROR(G2618/K2618,0)</x:f>
        <x:v>0.09999999999999998</x:v>
      </x:c>
      <x:c r="W2618" s="28" t="n">
        <x:f>L2618-M2618</x:f>
        <x:v>2</x:v>
      </x:c>
      <x:c r="X2618" s="24" t="n">
        <x:f>IFERROR(K2618/I2618,0)</x:f>
        <x:v>0.5</x:v>
      </x:c>
      <x:c r="Y2618" s="24" t="n">
        <x:f>IFERROR(G2618/I2618,0)</x:f>
        <x:v>0.25</x:v>
      </x:c>
      <x:c r="Z2618" s="24" t="n">
        <x:f>IFERROR(G2618/K2618,0)</x:f>
        <x:v>0.5</x:v>
      </x:c>
      <x:c r="AA2618" s="24" t="n">
        <x:f>IFERROR(F2618/H2618,0)-IFERROR(G2618/I2618,0)</x:f>
        <x:v>0.08333333333333331</x:v>
      </x:c>
      <x:c r="AB2618" s="28" t="n">
        <x:f>J2618-K2618</x:f>
        <x:v>-7</x:v>
      </x:c>
      <x:c r="AC2618" s="32" t="n">
        <x:f>F2618-G2618</x:f>
        <x:v>-3</x:v>
      </x:c>
    </x:row>
    <x:row r="2619">
      <x:c r="A2619" s="4" t="str">
        <x:v>2024-25</x:v>
      </x:c>
      <x:c r="B2619" s="20" t="n">
        <x:v>45648</x:v>
      </x:c>
      <x:c r="C2619" s="4" t="str">
        <x:v>Wolves</x:v>
      </x:c>
      <x:c r="D2619" s="4" t="str">
        <x:v>Leicester</x:v>
      </x:c>
      <x:c r="E2619" s="4" t="str">
        <x:v>Away</x:v>
      </x:c>
      <x:c r="F2619" s="28" t="n">
        <x:v>3</x:v>
      </x:c>
      <x:c r="G2619" s="28" t="n">
        <x:v>0</x:v>
      </x:c>
      <x:c r="H2619" s="28" t="n">
        <x:v>8</x:v>
      </x:c>
      <x:c r="I2619" s="28" t="n">
        <x:v>9</x:v>
      </x:c>
      <x:c r="J2619" s="28" t="n">
        <x:v>4</x:v>
      </x:c>
      <x:c r="K2619" s="28" t="n">
        <x:v>5</x:v>
      </x:c>
      <x:c r="L2619" s="28" t="n">
        <x:v>1</x:v>
      </x:c>
      <x:c r="M2619" s="28" t="n">
        <x:v>6</x:v>
      </x:c>
      <x:c r="N2619" s="28" t="n">
        <x:v>0</x:v>
      </x:c>
      <x:c r="O2619" s="28" t="n">
        <x:v>0</x:v>
      </x:c>
      <x:c r="P2619" s="28" t="n">
        <x:v>3</x:v>
      </x:c>
      <x:c r="Q2619" s="24" t="n">
        <x:f>IFERROR(J2619/H2619,0)</x:f>
        <x:v>0.5</x:v>
      </x:c>
      <x:c r="R2619" s="24" t="n">
        <x:f>IFERROR(F2619/H2619,0)</x:f>
        <x:v>0.375</x:v>
      </x:c>
      <x:c r="S2619" s="24" t="n">
        <x:f>IFERROR(F2619/J2619,0)</x:f>
        <x:v>0.75</x:v>
      </x:c>
      <x:c r="T2619" s="28" t="n">
        <x:f>H2619-I2619</x:f>
        <x:v>-1</x:v>
      </x:c>
      <x:c r="U2619" s="24" t="n">
        <x:f>IFERROR(J2619/H2619,0)-IFERROR(K2619/I2619,0)</x:f>
        <x:v>-0.05555555555555558</x:v>
      </x:c>
      <x:c r="V2619" s="24" t="n">
        <x:f>IFERROR(F2619/J2619,0)-IFERROR(G2619/K2619,0)</x:f>
        <x:v>0.75</x:v>
      </x:c>
      <x:c r="W2619" s="28" t="n">
        <x:f>L2619-M2619</x:f>
        <x:v>-5</x:v>
      </x:c>
      <x:c r="X2619" s="24" t="n">
        <x:f>IFERROR(K2619/I2619,0)</x:f>
        <x:v>0.5555555555555556</x:v>
      </x:c>
      <x:c r="Y2619" s="24" t="n">
        <x:f>IFERROR(G2619/I2619,0)</x:f>
        <x:v>0</x:v>
      </x:c>
      <x:c r="Z2619" s="24" t="n">
        <x:f>IFERROR(G2619/K2619,0)</x:f>
        <x:v>0</x:v>
      </x:c>
      <x:c r="AA2619" s="24" t="n">
        <x:f>IFERROR(F2619/H2619,0)-IFERROR(G2619/I2619,0)</x:f>
        <x:v>0.375</x:v>
      </x:c>
      <x:c r="AB2619" s="28" t="n">
        <x:f>J2619-K2619</x:f>
        <x:v>-1</x:v>
      </x:c>
      <x:c r="AC2619" s="32" t="n">
        <x:f>F2619-G2619</x:f>
        <x:v>3</x:v>
      </x:c>
    </x:row>
    <x:row r="2620">
      <x:c r="A2620" s="4" t="str">
        <x:v>2024-25</x:v>
      </x:c>
      <x:c r="B2620" s="20" t="n">
        <x:v>45652</x:v>
      </x:c>
      <x:c r="C2620" s="4" t="str">
        <x:v>Aston Villa</x:v>
      </x:c>
      <x:c r="D2620" s="4" t="str">
        <x:v>Newcastle</x:v>
      </x:c>
      <x:c r="E2620" s="4" t="str">
        <x:v>Away</x:v>
      </x:c>
      <x:c r="F2620" s="28" t="n">
        <x:v>0</x:v>
      </x:c>
      <x:c r="G2620" s="28" t="n">
        <x:v>3</x:v>
      </x:c>
      <x:c r="H2620" s="28" t="n">
        <x:v>4</x:v>
      </x:c>
      <x:c r="I2620" s="28" t="n">
        <x:v>22</x:v>
      </x:c>
      <x:c r="J2620" s="28" t="n">
        <x:v>1</x:v>
      </x:c>
      <x:c r="K2620" s="28" t="n">
        <x:v>8</x:v>
      </x:c>
      <x:c r="L2620" s="28" t="n">
        <x:v>6</x:v>
      </x:c>
      <x:c r="M2620" s="28" t="n">
        <x:v>9</x:v>
      </x:c>
      <x:c r="N2620" s="28" t="n">
        <x:v>1</x:v>
      </x:c>
      <x:c r="O2620" s="28" t="n">
        <x:v>1</x:v>
      </x:c>
      <x:c r="P2620" s="28" t="n">
        <x:v>0</x:v>
      </x:c>
      <x:c r="Q2620" s="24" t="n">
        <x:f>IFERROR(J2620/H2620,0)</x:f>
        <x:v>0.25</x:v>
      </x:c>
      <x:c r="R2620" s="24" t="n">
        <x:f>IFERROR(F2620/H2620,0)</x:f>
        <x:v>0</x:v>
      </x:c>
      <x:c r="S2620" s="24" t="n">
        <x:f>IFERROR(F2620/J2620,0)</x:f>
        <x:v>0</x:v>
      </x:c>
      <x:c r="T2620" s="28" t="n">
        <x:f>H2620-I2620</x:f>
        <x:v>-18</x:v>
      </x:c>
      <x:c r="U2620" s="24" t="n">
        <x:f>IFERROR(J2620/H2620,0)-IFERROR(K2620/I2620,0)</x:f>
        <x:v>-0.11363636363636365</x:v>
      </x:c>
      <x:c r="V2620" s="24" t="n">
        <x:f>IFERROR(F2620/J2620,0)-IFERROR(G2620/K2620,0)</x:f>
        <x:v>-0.375</x:v>
      </x:c>
      <x:c r="W2620" s="28" t="n">
        <x:f>L2620-M2620</x:f>
        <x:v>-3</x:v>
      </x:c>
      <x:c r="X2620" s="24" t="n">
        <x:f>IFERROR(K2620/I2620,0)</x:f>
        <x:v>0.36363636363636365</x:v>
      </x:c>
      <x:c r="Y2620" s="24" t="n">
        <x:f>IFERROR(G2620/I2620,0)</x:f>
        <x:v>0.13636363636363635</x:v>
      </x:c>
      <x:c r="Z2620" s="24" t="n">
        <x:f>IFERROR(G2620/K2620,0)</x:f>
        <x:v>0.375</x:v>
      </x:c>
      <x:c r="AA2620" s="24" t="n">
        <x:f>IFERROR(F2620/H2620,0)-IFERROR(G2620/I2620,0)</x:f>
        <x:v>-0.13636363636363635</x:v>
      </x:c>
      <x:c r="AB2620" s="28" t="n">
        <x:f>J2620-K2620</x:f>
        <x:v>-7</x:v>
      </x:c>
      <x:c r="AC2620" s="32" t="n">
        <x:f>F2620-G2620</x:f>
        <x:v>-3</x:v>
      </x:c>
    </x:row>
    <x:row r="2621">
      <x:c r="A2621" s="4" t="str">
        <x:v>2024-25</x:v>
      </x:c>
      <x:c r="B2621" s="20" t="n">
        <x:v>45652</x:v>
      </x:c>
      <x:c r="C2621" s="4" t="str">
        <x:v>Bournemouth</x:v>
      </x:c>
      <x:c r="D2621" s="4" t="str">
        <x:v>Crystal Palace</x:v>
      </x:c>
      <x:c r="E2621" s="4" t="str">
        <x:v>Home</x:v>
      </x:c>
      <x:c r="F2621" s="28" t="n">
        <x:v>0</x:v>
      </x:c>
      <x:c r="G2621" s="28" t="n">
        <x:v>0</x:v>
      </x:c>
      <x:c r="H2621" s="28" t="n">
        <x:v>18</x:v>
      </x:c>
      <x:c r="I2621" s="28" t="n">
        <x:v>10</x:v>
      </x:c>
      <x:c r="J2621" s="28" t="n">
        <x:v>4</x:v>
      </x:c>
      <x:c r="K2621" s="28" t="n">
        <x:v>4</x:v>
      </x:c>
      <x:c r="L2621" s="28" t="n">
        <x:v>5</x:v>
      </x:c>
      <x:c r="M2621" s="28" t="n">
        <x:v>2</x:v>
      </x:c>
      <x:c r="N2621" s="28" t="n">
        <x:v>2</x:v>
      </x:c>
      <x:c r="O2621" s="28" t="n">
        <x:v>0</x:v>
      </x:c>
      <x:c r="P2621" s="28" t="n">
        <x:v>1</x:v>
      </x:c>
      <x:c r="Q2621" s="24" t="n">
        <x:f>IFERROR(J2621/H2621,0)</x:f>
        <x:v>0.2222222222222222</x:v>
      </x:c>
      <x:c r="R2621" s="24" t="n">
        <x:f>IFERROR(F2621/H2621,0)</x:f>
        <x:v>0</x:v>
      </x:c>
      <x:c r="S2621" s="24" t="n">
        <x:f>IFERROR(F2621/J2621,0)</x:f>
        <x:v>0</x:v>
      </x:c>
      <x:c r="T2621" s="28" t="n">
        <x:f>H2621-I2621</x:f>
        <x:v>8</x:v>
      </x:c>
      <x:c r="U2621" s="24" t="n">
        <x:f>IFERROR(J2621/H2621,0)-IFERROR(K2621/I2621,0)</x:f>
        <x:v>-0.1777777777777778</x:v>
      </x:c>
      <x:c r="V2621" s="24" t="n">
        <x:f>IFERROR(F2621/J2621,0)-IFERROR(G2621/K2621,0)</x:f>
        <x:v>0</x:v>
      </x:c>
      <x:c r="W2621" s="28" t="n">
        <x:f>L2621-M2621</x:f>
        <x:v>3</x:v>
      </x:c>
      <x:c r="X2621" s="24" t="n">
        <x:f>IFERROR(K2621/I2621,0)</x:f>
        <x:v>0.4</x:v>
      </x:c>
      <x:c r="Y2621" s="24" t="n">
        <x:f>IFERROR(G2621/I2621,0)</x:f>
        <x:v>0</x:v>
      </x:c>
      <x:c r="Z2621" s="24" t="n">
        <x:f>IFERROR(G2621/K2621,0)</x:f>
        <x:v>0</x:v>
      </x:c>
      <x:c r="AA2621" s="24" t="n">
        <x:f>IFERROR(F2621/H2621,0)-IFERROR(G2621/I2621,0)</x:f>
        <x:v>0</x:v>
      </x:c>
      <x:c r="AB2621" s="28" t="n">
        <x:f>J2621-K2621</x:f>
        <x:v>0</x:v>
      </x:c>
      <x:c r="AC2621" s="32" t="n">
        <x:f>F2621-G2621</x:f>
        <x:v>0</x:v>
      </x:c>
    </x:row>
    <x:row r="2622">
      <x:c r="A2622" s="4" t="str">
        <x:v>2024-25</x:v>
      </x:c>
      <x:c r="B2622" s="20" t="n">
        <x:v>45652</x:v>
      </x:c>
      <x:c r="C2622" s="4" t="str">
        <x:v>Chelsea</x:v>
      </x:c>
      <x:c r="D2622" s="4" t="str">
        <x:v>Fulham</x:v>
      </x:c>
      <x:c r="E2622" s="4" t="str">
        <x:v>Home</x:v>
      </x:c>
      <x:c r="F2622" s="28" t="n">
        <x:v>1</x:v>
      </x:c>
      <x:c r="G2622" s="28" t="n">
        <x:v>2</x:v>
      </x:c>
      <x:c r="H2622" s="28" t="n">
        <x:v>12</x:v>
      </x:c>
      <x:c r="I2622" s="28" t="n">
        <x:v>14</x:v>
      </x:c>
      <x:c r="J2622" s="28" t="n">
        <x:v>8</x:v>
      </x:c>
      <x:c r="K2622" s="28" t="n">
        <x:v>7</x:v>
      </x:c>
      <x:c r="L2622" s="28" t="n">
        <x:v>3</x:v>
      </x:c>
      <x:c r="M2622" s="28" t="n">
        <x:v>1</x:v>
      </x:c>
      <x:c r="N2622" s="28" t="n">
        <x:v>1</x:v>
      </x:c>
      <x:c r="O2622" s="28" t="n">
        <x:v>0</x:v>
      </x:c>
      <x:c r="P2622" s="28" t="n">
        <x:v>0</x:v>
      </x:c>
      <x:c r="Q2622" s="24" t="n">
        <x:f>IFERROR(J2622/H2622,0)</x:f>
        <x:v>0.6666666666666666</x:v>
      </x:c>
      <x:c r="R2622" s="24" t="n">
        <x:f>IFERROR(F2622/H2622,0)</x:f>
        <x:v>0.08333333333333333</x:v>
      </x:c>
      <x:c r="S2622" s="24" t="n">
        <x:f>IFERROR(F2622/J2622,0)</x:f>
        <x:v>0.125</x:v>
      </x:c>
      <x:c r="T2622" s="28" t="n">
        <x:f>H2622-I2622</x:f>
        <x:v>-2</x:v>
      </x:c>
      <x:c r="U2622" s="24" t="n">
        <x:f>IFERROR(J2622/H2622,0)-IFERROR(K2622/I2622,0)</x:f>
        <x:v>0.16666666666666663</x:v>
      </x:c>
      <x:c r="V2622" s="24" t="n">
        <x:f>IFERROR(F2622/J2622,0)-IFERROR(G2622/K2622,0)</x:f>
        <x:v>-0.1607142857142857</x:v>
      </x:c>
      <x:c r="W2622" s="28" t="n">
        <x:f>L2622-M2622</x:f>
        <x:v>2</x:v>
      </x:c>
      <x:c r="X2622" s="24" t="n">
        <x:f>IFERROR(K2622/I2622,0)</x:f>
        <x:v>0.5</x:v>
      </x:c>
      <x:c r="Y2622" s="24" t="n">
        <x:f>IFERROR(G2622/I2622,0)</x:f>
        <x:v>0.14285714285714285</x:v>
      </x:c>
      <x:c r="Z2622" s="24" t="n">
        <x:f>IFERROR(G2622/K2622,0)</x:f>
        <x:v>0.2857142857142857</x:v>
      </x:c>
      <x:c r="AA2622" s="24" t="n">
        <x:f>IFERROR(F2622/H2622,0)-IFERROR(G2622/I2622,0)</x:f>
        <x:v>-0.05952380952380952</x:v>
      </x:c>
      <x:c r="AB2622" s="28" t="n">
        <x:f>J2622-K2622</x:f>
        <x:v>1</x:v>
      </x:c>
      <x:c r="AC2622" s="32" t="n">
        <x:f>F2622-G2622</x:f>
        <x:v>-1</x:v>
      </x:c>
    </x:row>
    <x:row r="2623">
      <x:c r="A2623" s="4" t="str">
        <x:v>2024-25</x:v>
      </x:c>
      <x:c r="B2623" s="20" t="n">
        <x:v>45652</x:v>
      </x:c>
      <x:c r="C2623" s="4" t="str">
        <x:v>Crystal Palace</x:v>
      </x:c>
      <x:c r="D2623" s="4" t="str">
        <x:v>Bournemouth</x:v>
      </x:c>
      <x:c r="E2623" s="4" t="str">
        <x:v>Away</x:v>
      </x:c>
      <x:c r="F2623" s="28" t="n">
        <x:v>0</x:v>
      </x:c>
      <x:c r="G2623" s="28" t="n">
        <x:v>0</x:v>
      </x:c>
      <x:c r="H2623" s="28" t="n">
        <x:v>10</x:v>
      </x:c>
      <x:c r="I2623" s="28" t="n">
        <x:v>18</x:v>
      </x:c>
      <x:c r="J2623" s="28" t="n">
        <x:v>4</x:v>
      </x:c>
      <x:c r="K2623" s="28" t="n">
        <x:v>4</x:v>
      </x:c>
      <x:c r="L2623" s="28" t="n">
        <x:v>2</x:v>
      </x:c>
      <x:c r="M2623" s="28" t="n">
        <x:v>5</x:v>
      </x:c>
      <x:c r="N2623" s="28" t="n">
        <x:v>2</x:v>
      </x:c>
      <x:c r="O2623" s="28" t="n">
        <x:v>0</x:v>
      </x:c>
      <x:c r="P2623" s="28" t="n">
        <x:v>1</x:v>
      </x:c>
      <x:c r="Q2623" s="24" t="n">
        <x:f>IFERROR(J2623/H2623,0)</x:f>
        <x:v>0.4</x:v>
      </x:c>
      <x:c r="R2623" s="24" t="n">
        <x:f>IFERROR(F2623/H2623,0)</x:f>
        <x:v>0</x:v>
      </x:c>
      <x:c r="S2623" s="24" t="n">
        <x:f>IFERROR(F2623/J2623,0)</x:f>
        <x:v>0</x:v>
      </x:c>
      <x:c r="T2623" s="28" t="n">
        <x:f>H2623-I2623</x:f>
        <x:v>-8</x:v>
      </x:c>
      <x:c r="U2623" s="24" t="n">
        <x:f>IFERROR(J2623/H2623,0)-IFERROR(K2623/I2623,0)</x:f>
        <x:v>0.1777777777777778</x:v>
      </x:c>
      <x:c r="V2623" s="24" t="n">
        <x:f>IFERROR(F2623/J2623,0)-IFERROR(G2623/K2623,0)</x:f>
        <x:v>0</x:v>
      </x:c>
      <x:c r="W2623" s="28" t="n">
        <x:f>L2623-M2623</x:f>
        <x:v>-3</x:v>
      </x:c>
      <x:c r="X2623" s="24" t="n">
        <x:f>IFERROR(K2623/I2623,0)</x:f>
        <x:v>0.2222222222222222</x:v>
      </x:c>
      <x:c r="Y2623" s="24" t="n">
        <x:f>IFERROR(G2623/I2623,0)</x:f>
        <x:v>0</x:v>
      </x:c>
      <x:c r="Z2623" s="24" t="n">
        <x:f>IFERROR(G2623/K2623,0)</x:f>
        <x:v>0</x:v>
      </x:c>
      <x:c r="AA2623" s="24" t="n">
        <x:f>IFERROR(F2623/H2623,0)-IFERROR(G2623/I2623,0)</x:f>
        <x:v>0</x:v>
      </x:c>
      <x:c r="AB2623" s="28" t="n">
        <x:f>J2623-K2623</x:f>
        <x:v>0</x:v>
      </x:c>
      <x:c r="AC2623" s="32" t="n">
        <x:f>F2623-G2623</x:f>
        <x:v>0</x:v>
      </x:c>
    </x:row>
    <x:row r="2624">
      <x:c r="A2624" s="4" t="str">
        <x:v>2024-25</x:v>
      </x:c>
      <x:c r="B2624" s="20" t="n">
        <x:v>45652</x:v>
      </x:c>
      <x:c r="C2624" s="4" t="str">
        <x:v>Everton</x:v>
      </x:c>
      <x:c r="D2624" s="4" t="str">
        <x:v>Man City</x:v>
      </x:c>
      <x:c r="E2624" s="4" t="str">
        <x:v>Away</x:v>
      </x:c>
      <x:c r="F2624" s="28" t="n">
        <x:v>1</x:v>
      </x:c>
      <x:c r="G2624" s="28" t="n">
        <x:v>1</x:v>
      </x:c>
      <x:c r="H2624" s="28" t="n">
        <x:v>8</x:v>
      </x:c>
      <x:c r="I2624" s="28" t="n">
        <x:v>24</x:v>
      </x:c>
      <x:c r="J2624" s="28" t="n">
        <x:v>3</x:v>
      </x:c>
      <x:c r="K2624" s="28" t="n">
        <x:v>5</x:v>
      </x:c>
      <x:c r="L2624" s="28" t="n">
        <x:v>5</x:v>
      </x:c>
      <x:c r="M2624" s="28" t="n">
        <x:v>8</x:v>
      </x:c>
      <x:c r="N2624" s="28" t="n">
        <x:v>4</x:v>
      </x:c>
      <x:c r="O2624" s="28" t="n">
        <x:v>0</x:v>
      </x:c>
      <x:c r="P2624" s="28" t="n">
        <x:v>1</x:v>
      </x:c>
      <x:c r="Q2624" s="24" t="n">
        <x:f>IFERROR(J2624/H2624,0)</x:f>
        <x:v>0.375</x:v>
      </x:c>
      <x:c r="R2624" s="24" t="n">
        <x:f>IFERROR(F2624/H2624,0)</x:f>
        <x:v>0.125</x:v>
      </x:c>
      <x:c r="S2624" s="24" t="n">
        <x:f>IFERROR(F2624/J2624,0)</x:f>
        <x:v>0.3333333333333333</x:v>
      </x:c>
      <x:c r="T2624" s="28" t="n">
        <x:f>H2624-I2624</x:f>
        <x:v>-16</x:v>
      </x:c>
      <x:c r="U2624" s="24" t="n">
        <x:f>IFERROR(J2624/H2624,0)-IFERROR(K2624/I2624,0)</x:f>
        <x:v>0.16666666666666666</x:v>
      </x:c>
      <x:c r="V2624" s="24" t="n">
        <x:f>IFERROR(F2624/J2624,0)-IFERROR(G2624/K2624,0)</x:f>
        <x:v>0.1333333333333333</x:v>
      </x:c>
      <x:c r="W2624" s="28" t="n">
        <x:f>L2624-M2624</x:f>
        <x:v>-3</x:v>
      </x:c>
      <x:c r="X2624" s="24" t="n">
        <x:f>IFERROR(K2624/I2624,0)</x:f>
        <x:v>0.20833333333333334</x:v>
      </x:c>
      <x:c r="Y2624" s="24" t="n">
        <x:f>IFERROR(G2624/I2624,0)</x:f>
        <x:v>0.041666666666666664</x:v>
      </x:c>
      <x:c r="Z2624" s="24" t="n">
        <x:f>IFERROR(G2624/K2624,0)</x:f>
        <x:v>0.2</x:v>
      </x:c>
      <x:c r="AA2624" s="24" t="n">
        <x:f>IFERROR(F2624/H2624,0)-IFERROR(G2624/I2624,0)</x:f>
        <x:v>0.08333333333333334</x:v>
      </x:c>
      <x:c r="AB2624" s="28" t="n">
        <x:f>J2624-K2624</x:f>
        <x:v>-2</x:v>
      </x:c>
      <x:c r="AC2624" s="32" t="n">
        <x:f>F2624-G2624</x:f>
        <x:v>0</x:v>
      </x:c>
    </x:row>
    <x:row r="2625">
      <x:c r="A2625" s="4" t="str">
        <x:v>2024-25</x:v>
      </x:c>
      <x:c r="B2625" s="20" t="n">
        <x:v>45652</x:v>
      </x:c>
      <x:c r="C2625" s="4" t="str">
        <x:v>Fulham</x:v>
      </x:c>
      <x:c r="D2625" s="4" t="str">
        <x:v>Chelsea</x:v>
      </x:c>
      <x:c r="E2625" s="4" t="str">
        <x:v>Away</x:v>
      </x:c>
      <x:c r="F2625" s="28" t="n">
        <x:v>2</x:v>
      </x:c>
      <x:c r="G2625" s="28" t="n">
        <x:v>1</x:v>
      </x:c>
      <x:c r="H2625" s="28" t="n">
        <x:v>14</x:v>
      </x:c>
      <x:c r="I2625" s="28" t="n">
        <x:v>12</x:v>
      </x:c>
      <x:c r="J2625" s="28" t="n">
        <x:v>7</x:v>
      </x:c>
      <x:c r="K2625" s="28" t="n">
        <x:v>8</x:v>
      </x:c>
      <x:c r="L2625" s="28" t="n">
        <x:v>1</x:v>
      </x:c>
      <x:c r="M2625" s="28" t="n">
        <x:v>3</x:v>
      </x:c>
      <x:c r="N2625" s="28" t="n">
        <x:v>3</x:v>
      </x:c>
      <x:c r="O2625" s="28" t="n">
        <x:v>0</x:v>
      </x:c>
      <x:c r="P2625" s="28" t="n">
        <x:v>3</x:v>
      </x:c>
      <x:c r="Q2625" s="24" t="n">
        <x:f>IFERROR(J2625/H2625,0)</x:f>
        <x:v>0.5</x:v>
      </x:c>
      <x:c r="R2625" s="24" t="n">
        <x:f>IFERROR(F2625/H2625,0)</x:f>
        <x:v>0.14285714285714285</x:v>
      </x:c>
      <x:c r="S2625" s="24" t="n">
        <x:f>IFERROR(F2625/J2625,0)</x:f>
        <x:v>0.2857142857142857</x:v>
      </x:c>
      <x:c r="T2625" s="28" t="n">
        <x:f>H2625-I2625</x:f>
        <x:v>2</x:v>
      </x:c>
      <x:c r="U2625" s="24" t="n">
        <x:f>IFERROR(J2625/H2625,0)-IFERROR(K2625/I2625,0)</x:f>
        <x:v>-0.16666666666666663</x:v>
      </x:c>
      <x:c r="V2625" s="24" t="n">
        <x:f>IFERROR(F2625/J2625,0)-IFERROR(G2625/K2625,0)</x:f>
        <x:v>0.1607142857142857</x:v>
      </x:c>
      <x:c r="W2625" s="28" t="n">
        <x:f>L2625-M2625</x:f>
        <x:v>-2</x:v>
      </x:c>
      <x:c r="X2625" s="24" t="n">
        <x:f>IFERROR(K2625/I2625,0)</x:f>
        <x:v>0.6666666666666666</x:v>
      </x:c>
      <x:c r="Y2625" s="24" t="n">
        <x:f>IFERROR(G2625/I2625,0)</x:f>
        <x:v>0.08333333333333333</x:v>
      </x:c>
      <x:c r="Z2625" s="24" t="n">
        <x:f>IFERROR(G2625/K2625,0)</x:f>
        <x:v>0.125</x:v>
      </x:c>
      <x:c r="AA2625" s="24" t="n">
        <x:f>IFERROR(F2625/H2625,0)-IFERROR(G2625/I2625,0)</x:f>
        <x:v>0.05952380952380952</x:v>
      </x:c>
      <x:c r="AB2625" s="28" t="n">
        <x:f>J2625-K2625</x:f>
        <x:v>-1</x:v>
      </x:c>
      <x:c r="AC2625" s="32" t="n">
        <x:f>F2625-G2625</x:f>
        <x:v>1</x:v>
      </x:c>
    </x:row>
    <x:row r="2626">
      <x:c r="A2626" s="4" t="str">
        <x:v>2024-25</x:v>
      </x:c>
      <x:c r="B2626" s="20" t="n">
        <x:v>45652</x:v>
      </x:c>
      <x:c r="C2626" s="4" t="str">
        <x:v>Leicester</x:v>
      </x:c>
      <x:c r="D2626" s="4" t="str">
        <x:v>Liverpool</x:v>
      </x:c>
      <x:c r="E2626" s="4" t="str">
        <x:v>Away</x:v>
      </x:c>
      <x:c r="F2626" s="28" t="n">
        <x:v>1</x:v>
      </x:c>
      <x:c r="G2626" s="28" t="n">
        <x:v>3</x:v>
      </x:c>
      <x:c r="H2626" s="28" t="n">
        <x:v>4</x:v>
      </x:c>
      <x:c r="I2626" s="28" t="n">
        <x:v>19</x:v>
      </x:c>
      <x:c r="J2626" s="28" t="n">
        <x:v>1</x:v>
      </x:c>
      <x:c r="K2626" s="28" t="n">
        <x:v>7</x:v>
      </x:c>
      <x:c r="L2626" s="28" t="n">
        <x:v>1</x:v>
      </x:c>
      <x:c r="M2626" s="28" t="n">
        <x:v>14</x:v>
      </x:c>
      <x:c r="N2626" s="28" t="n">
        <x:v>2</x:v>
      </x:c>
      <x:c r="O2626" s="28" t="n">
        <x:v>0</x:v>
      </x:c>
      <x:c r="P2626" s="28" t="n">
        <x:v>0</x:v>
      </x:c>
      <x:c r="Q2626" s="24" t="n">
        <x:f>IFERROR(J2626/H2626,0)</x:f>
        <x:v>0.25</x:v>
      </x:c>
      <x:c r="R2626" s="24" t="n">
        <x:f>IFERROR(F2626/H2626,0)</x:f>
        <x:v>0.25</x:v>
      </x:c>
      <x:c r="S2626" s="24" t="n">
        <x:f>IFERROR(F2626/J2626,0)</x:f>
        <x:v>1</x:v>
      </x:c>
      <x:c r="T2626" s="28" t="n">
        <x:f>H2626-I2626</x:f>
        <x:v>-15</x:v>
      </x:c>
      <x:c r="U2626" s="24" t="n">
        <x:f>IFERROR(J2626/H2626,0)-IFERROR(K2626/I2626,0)</x:f>
        <x:v>-0.11842105263157893</x:v>
      </x:c>
      <x:c r="V2626" s="24" t="n">
        <x:f>IFERROR(F2626/J2626,0)-IFERROR(G2626/K2626,0)</x:f>
        <x:v>0.5714285714285714</x:v>
      </x:c>
      <x:c r="W2626" s="28" t="n">
        <x:f>L2626-M2626</x:f>
        <x:v>-13</x:v>
      </x:c>
      <x:c r="X2626" s="24" t="n">
        <x:f>IFERROR(K2626/I2626,0)</x:f>
        <x:v>0.3684210526315789</x:v>
      </x:c>
      <x:c r="Y2626" s="24" t="n">
        <x:f>IFERROR(G2626/I2626,0)</x:f>
        <x:v>0.15789473684210525</x:v>
      </x:c>
      <x:c r="Z2626" s="24" t="n">
        <x:f>IFERROR(G2626/K2626,0)</x:f>
        <x:v>0.42857142857142855</x:v>
      </x:c>
      <x:c r="AA2626" s="24" t="n">
        <x:f>IFERROR(F2626/H2626,0)-IFERROR(G2626/I2626,0)</x:f>
        <x:v>0.09210526315789475</x:v>
      </x:c>
      <x:c r="AB2626" s="28" t="n">
        <x:f>J2626-K2626</x:f>
        <x:v>-6</x:v>
      </x:c>
      <x:c r="AC2626" s="32" t="n">
        <x:f>F2626-G2626</x:f>
        <x:v>-2</x:v>
      </x:c>
    </x:row>
    <x:row r="2627">
      <x:c r="A2627" s="4" t="str">
        <x:v>2024-25</x:v>
      </x:c>
      <x:c r="B2627" s="20" t="n">
        <x:v>45652</x:v>
      </x:c>
      <x:c r="C2627" s="4" t="str">
        <x:v>Liverpool</x:v>
      </x:c>
      <x:c r="D2627" s="4" t="str">
        <x:v>Leicester</x:v>
      </x:c>
      <x:c r="E2627" s="4" t="str">
        <x:v>Home</x:v>
      </x:c>
      <x:c r="F2627" s="28" t="n">
        <x:v>3</x:v>
      </x:c>
      <x:c r="G2627" s="28" t="n">
        <x:v>1</x:v>
      </x:c>
      <x:c r="H2627" s="28" t="n">
        <x:v>19</x:v>
      </x:c>
      <x:c r="I2627" s="28" t="n">
        <x:v>4</x:v>
      </x:c>
      <x:c r="J2627" s="28" t="n">
        <x:v>7</x:v>
      </x:c>
      <x:c r="K2627" s="28" t="n">
        <x:v>1</x:v>
      </x:c>
      <x:c r="L2627" s="28" t="n">
        <x:v>14</x:v>
      </x:c>
      <x:c r="M2627" s="28" t="n">
        <x:v>1</x:v>
      </x:c>
      <x:c r="N2627" s="28" t="n">
        <x:v>3</x:v>
      </x:c>
      <x:c r="O2627" s="28" t="n">
        <x:v>0</x:v>
      </x:c>
      <x:c r="P2627" s="28" t="n">
        <x:v>3</x:v>
      </x:c>
      <x:c r="Q2627" s="24" t="n">
        <x:f>IFERROR(J2627/H2627,0)</x:f>
        <x:v>0.3684210526315789</x:v>
      </x:c>
      <x:c r="R2627" s="24" t="n">
        <x:f>IFERROR(F2627/H2627,0)</x:f>
        <x:v>0.15789473684210525</x:v>
      </x:c>
      <x:c r="S2627" s="24" t="n">
        <x:f>IFERROR(F2627/J2627,0)</x:f>
        <x:v>0.42857142857142855</x:v>
      </x:c>
      <x:c r="T2627" s="28" t="n">
        <x:f>H2627-I2627</x:f>
        <x:v>15</x:v>
      </x:c>
      <x:c r="U2627" s="24" t="n">
        <x:f>IFERROR(J2627/H2627,0)-IFERROR(K2627/I2627,0)</x:f>
        <x:v>0.11842105263157893</x:v>
      </x:c>
      <x:c r="V2627" s="24" t="n">
        <x:f>IFERROR(F2627/J2627,0)-IFERROR(G2627/K2627,0)</x:f>
        <x:v>-0.5714285714285714</x:v>
      </x:c>
      <x:c r="W2627" s="28" t="n">
        <x:f>L2627-M2627</x:f>
        <x:v>13</x:v>
      </x:c>
      <x:c r="X2627" s="24" t="n">
        <x:f>IFERROR(K2627/I2627,0)</x:f>
        <x:v>0.25</x:v>
      </x:c>
      <x:c r="Y2627" s="24" t="n">
        <x:f>IFERROR(G2627/I2627,0)</x:f>
        <x:v>0.25</x:v>
      </x:c>
      <x:c r="Z2627" s="24" t="n">
        <x:f>IFERROR(G2627/K2627,0)</x:f>
        <x:v>1</x:v>
      </x:c>
      <x:c r="AA2627" s="24" t="n">
        <x:f>IFERROR(F2627/H2627,0)-IFERROR(G2627/I2627,0)</x:f>
        <x:v>-0.09210526315789475</x:v>
      </x:c>
      <x:c r="AB2627" s="28" t="n">
        <x:f>J2627-K2627</x:f>
        <x:v>6</x:v>
      </x:c>
      <x:c r="AC2627" s="32" t="n">
        <x:f>F2627-G2627</x:f>
        <x:v>2</x:v>
      </x:c>
    </x:row>
    <x:row r="2628">
      <x:c r="A2628" s="4" t="str">
        <x:v>2024-25</x:v>
      </x:c>
      <x:c r="B2628" s="20" t="n">
        <x:v>45652</x:v>
      </x:c>
      <x:c r="C2628" s="4" t="str">
        <x:v>Man City</x:v>
      </x:c>
      <x:c r="D2628" s="4" t="str">
        <x:v>Everton</x:v>
      </x:c>
      <x:c r="E2628" s="4" t="str">
        <x:v>Home</x:v>
      </x:c>
      <x:c r="F2628" s="28" t="n">
        <x:v>1</x:v>
      </x:c>
      <x:c r="G2628" s="28" t="n">
        <x:v>1</x:v>
      </x:c>
      <x:c r="H2628" s="28" t="n">
        <x:v>24</x:v>
      </x:c>
      <x:c r="I2628" s="28" t="n">
        <x:v>8</x:v>
      </x:c>
      <x:c r="J2628" s="28" t="n">
        <x:v>5</x:v>
      </x:c>
      <x:c r="K2628" s="28" t="n">
        <x:v>3</x:v>
      </x:c>
      <x:c r="L2628" s="28" t="n">
        <x:v>8</x:v>
      </x:c>
      <x:c r="M2628" s="28" t="n">
        <x:v>5</x:v>
      </x:c>
      <x:c r="N2628" s="28" t="n">
        <x:v>1</x:v>
      </x:c>
      <x:c r="O2628" s="28" t="n">
        <x:v>0</x:v>
      </x:c>
      <x:c r="P2628" s="28" t="n">
        <x:v>1</x:v>
      </x:c>
      <x:c r="Q2628" s="24" t="n">
        <x:f>IFERROR(J2628/H2628,0)</x:f>
        <x:v>0.20833333333333334</x:v>
      </x:c>
      <x:c r="R2628" s="24" t="n">
        <x:f>IFERROR(F2628/H2628,0)</x:f>
        <x:v>0.041666666666666664</x:v>
      </x:c>
      <x:c r="S2628" s="24" t="n">
        <x:f>IFERROR(F2628/J2628,0)</x:f>
        <x:v>0.2</x:v>
      </x:c>
      <x:c r="T2628" s="28" t="n">
        <x:f>H2628-I2628</x:f>
        <x:v>16</x:v>
      </x:c>
      <x:c r="U2628" s="24" t="n">
        <x:f>IFERROR(J2628/H2628,0)-IFERROR(K2628/I2628,0)</x:f>
        <x:v>-0.16666666666666666</x:v>
      </x:c>
      <x:c r="V2628" s="24" t="n">
        <x:f>IFERROR(F2628/J2628,0)-IFERROR(G2628/K2628,0)</x:f>
        <x:v>-0.1333333333333333</x:v>
      </x:c>
      <x:c r="W2628" s="28" t="n">
        <x:f>L2628-M2628</x:f>
        <x:v>3</x:v>
      </x:c>
      <x:c r="X2628" s="24" t="n">
        <x:f>IFERROR(K2628/I2628,0)</x:f>
        <x:v>0.375</x:v>
      </x:c>
      <x:c r="Y2628" s="24" t="n">
        <x:f>IFERROR(G2628/I2628,0)</x:f>
        <x:v>0.125</x:v>
      </x:c>
      <x:c r="Z2628" s="24" t="n">
        <x:f>IFERROR(G2628/K2628,0)</x:f>
        <x:v>0.3333333333333333</x:v>
      </x:c>
      <x:c r="AA2628" s="24" t="n">
        <x:f>IFERROR(F2628/H2628,0)-IFERROR(G2628/I2628,0)</x:f>
        <x:v>-0.08333333333333334</x:v>
      </x:c>
      <x:c r="AB2628" s="28" t="n">
        <x:f>J2628-K2628</x:f>
        <x:v>2</x:v>
      </x:c>
      <x:c r="AC2628" s="32" t="n">
        <x:f>F2628-G2628</x:f>
        <x:v>0</x:v>
      </x:c>
    </x:row>
    <x:row r="2629">
      <x:c r="A2629" s="4" t="str">
        <x:v>2024-25</x:v>
      </x:c>
      <x:c r="B2629" s="20" t="n">
        <x:v>45652</x:v>
      </x:c>
      <x:c r="C2629" s="4" t="str">
        <x:v>Man United</x:v>
      </x:c>
      <x:c r="D2629" s="4" t="str">
        <x:v>Wolves</x:v>
      </x:c>
      <x:c r="E2629" s="4" t="str">
        <x:v>Away</x:v>
      </x:c>
      <x:c r="F2629" s="28" t="n">
        <x:v>0</x:v>
      </x:c>
      <x:c r="G2629" s="28" t="n">
        <x:v>2</x:v>
      </x:c>
      <x:c r="H2629" s="28" t="n">
        <x:v>11</x:v>
      </x:c>
      <x:c r="I2629" s="28" t="n">
        <x:v>7</x:v>
      </x:c>
      <x:c r="J2629" s="28" t="n">
        <x:v>4</x:v>
      </x:c>
      <x:c r="K2629" s="28" t="n">
        <x:v>4</x:v>
      </x:c>
      <x:c r="L2629" s="28" t="n">
        <x:v>4</x:v>
      </x:c>
      <x:c r="M2629" s="28" t="n">
        <x:v>4</x:v>
      </x:c>
      <x:c r="N2629" s="28" t="n">
        <x:v>2</x:v>
      </x:c>
      <x:c r="O2629" s="28" t="n">
        <x:v>1</x:v>
      </x:c>
      <x:c r="P2629" s="28" t="n">
        <x:v>0</x:v>
      </x:c>
      <x:c r="Q2629" s="24" t="n">
        <x:f>IFERROR(J2629/H2629,0)</x:f>
        <x:v>0.36363636363636365</x:v>
      </x:c>
      <x:c r="R2629" s="24" t="n">
        <x:f>IFERROR(F2629/H2629,0)</x:f>
        <x:v>0</x:v>
      </x:c>
      <x:c r="S2629" s="24" t="n">
        <x:f>IFERROR(F2629/J2629,0)</x:f>
        <x:v>0</x:v>
      </x:c>
      <x:c r="T2629" s="28" t="n">
        <x:f>H2629-I2629</x:f>
        <x:v>4</x:v>
      </x:c>
      <x:c r="U2629" s="24" t="n">
        <x:f>IFERROR(J2629/H2629,0)-IFERROR(K2629/I2629,0)</x:f>
        <x:v>-0.20779220779220775</x:v>
      </x:c>
      <x:c r="V2629" s="24" t="n">
        <x:f>IFERROR(F2629/J2629,0)-IFERROR(G2629/K2629,0)</x:f>
        <x:v>-0.5</x:v>
      </x:c>
      <x:c r="W2629" s="28" t="n">
        <x:f>L2629-M2629</x:f>
        <x:v>0</x:v>
      </x:c>
      <x:c r="X2629" s="24" t="n">
        <x:f>IFERROR(K2629/I2629,0)</x:f>
        <x:v>0.5714285714285714</x:v>
      </x:c>
      <x:c r="Y2629" s="24" t="n">
        <x:f>IFERROR(G2629/I2629,0)</x:f>
        <x:v>0.2857142857142857</x:v>
      </x:c>
      <x:c r="Z2629" s="24" t="n">
        <x:f>IFERROR(G2629/K2629,0)</x:f>
        <x:v>0.5</x:v>
      </x:c>
      <x:c r="AA2629" s="24" t="n">
        <x:f>IFERROR(F2629/H2629,0)-IFERROR(G2629/I2629,0)</x:f>
        <x:v>-0.2857142857142857</x:v>
      </x:c>
      <x:c r="AB2629" s="28" t="n">
        <x:f>J2629-K2629</x:f>
        <x:v>0</x:v>
      </x:c>
      <x:c r="AC2629" s="32" t="n">
        <x:f>F2629-G2629</x:f>
        <x:v>-2</x:v>
      </x:c>
    </x:row>
    <x:row r="2630">
      <x:c r="A2630" s="4" t="str">
        <x:v>2024-25</x:v>
      </x:c>
      <x:c r="B2630" s="20" t="n">
        <x:v>45652</x:v>
      </x:c>
      <x:c r="C2630" s="4" t="str">
        <x:v>Newcastle</x:v>
      </x:c>
      <x:c r="D2630" s="4" t="str">
        <x:v>Aston Villa</x:v>
      </x:c>
      <x:c r="E2630" s="4" t="str">
        <x:v>Home</x:v>
      </x:c>
      <x:c r="F2630" s="28" t="n">
        <x:v>3</x:v>
      </x:c>
      <x:c r="G2630" s="28" t="n">
        <x:v>0</x:v>
      </x:c>
      <x:c r="H2630" s="28" t="n">
        <x:v>22</x:v>
      </x:c>
      <x:c r="I2630" s="28" t="n">
        <x:v>4</x:v>
      </x:c>
      <x:c r="J2630" s="28" t="n">
        <x:v>8</x:v>
      </x:c>
      <x:c r="K2630" s="28" t="n">
        <x:v>1</x:v>
      </x:c>
      <x:c r="L2630" s="28" t="n">
        <x:v>9</x:v>
      </x:c>
      <x:c r="M2630" s="28" t="n">
        <x:v>6</x:v>
      </x:c>
      <x:c r="N2630" s="28" t="n">
        <x:v>2</x:v>
      </x:c>
      <x:c r="O2630" s="28" t="n">
        <x:v>0</x:v>
      </x:c>
      <x:c r="P2630" s="28" t="n">
        <x:v>3</x:v>
      </x:c>
      <x:c r="Q2630" s="24" t="n">
        <x:f>IFERROR(J2630/H2630,0)</x:f>
        <x:v>0.36363636363636365</x:v>
      </x:c>
      <x:c r="R2630" s="24" t="n">
        <x:f>IFERROR(F2630/H2630,0)</x:f>
        <x:v>0.13636363636363635</x:v>
      </x:c>
      <x:c r="S2630" s="24" t="n">
        <x:f>IFERROR(F2630/J2630,0)</x:f>
        <x:v>0.375</x:v>
      </x:c>
      <x:c r="T2630" s="28" t="n">
        <x:f>H2630-I2630</x:f>
        <x:v>18</x:v>
      </x:c>
      <x:c r="U2630" s="24" t="n">
        <x:f>IFERROR(J2630/H2630,0)-IFERROR(K2630/I2630,0)</x:f>
        <x:v>0.11363636363636365</x:v>
      </x:c>
      <x:c r="V2630" s="24" t="n">
        <x:f>IFERROR(F2630/J2630,0)-IFERROR(G2630/K2630,0)</x:f>
        <x:v>0.375</x:v>
      </x:c>
      <x:c r="W2630" s="28" t="n">
        <x:f>L2630-M2630</x:f>
        <x:v>3</x:v>
      </x:c>
      <x:c r="X2630" s="24" t="n">
        <x:f>IFERROR(K2630/I2630,0)</x:f>
        <x:v>0.25</x:v>
      </x:c>
      <x:c r="Y2630" s="24" t="n">
        <x:f>IFERROR(G2630/I2630,0)</x:f>
        <x:v>0</x:v>
      </x:c>
      <x:c r="Z2630" s="24" t="n">
        <x:f>IFERROR(G2630/K2630,0)</x:f>
        <x:v>0</x:v>
      </x:c>
      <x:c r="AA2630" s="24" t="n">
        <x:f>IFERROR(F2630/H2630,0)-IFERROR(G2630/I2630,0)</x:f>
        <x:v>0.13636363636363635</x:v>
      </x:c>
      <x:c r="AB2630" s="28" t="n">
        <x:f>J2630-K2630</x:f>
        <x:v>7</x:v>
      </x:c>
      <x:c r="AC2630" s="32" t="n">
        <x:f>F2630-G2630</x:f>
        <x:v>3</x:v>
      </x:c>
    </x:row>
    <x:row r="2631">
      <x:c r="A2631" s="4" t="str">
        <x:v>2024-25</x:v>
      </x:c>
      <x:c r="B2631" s="20" t="n">
        <x:v>45652</x:v>
      </x:c>
      <x:c r="C2631" s="4" t="str">
        <x:v>Nott'm Forest</x:v>
      </x:c>
      <x:c r="D2631" s="4" t="str">
        <x:v>Tottenham</x:v>
      </x:c>
      <x:c r="E2631" s="4" t="str">
        <x:v>Home</x:v>
      </x:c>
      <x:c r="F2631" s="28" t="n">
        <x:v>1</x:v>
      </x:c>
      <x:c r="G2631" s="28" t="n">
        <x:v>0</x:v>
      </x:c>
      <x:c r="H2631" s="28" t="n">
        <x:v>10</x:v>
      </x:c>
      <x:c r="I2631" s="28" t="n">
        <x:v>13</x:v>
      </x:c>
      <x:c r="J2631" s="28" t="n">
        <x:v>3</x:v>
      </x:c>
      <x:c r="K2631" s="28" t="n">
        <x:v>4</x:v>
      </x:c>
      <x:c r="L2631" s="28" t="n">
        <x:v>2</x:v>
      </x:c>
      <x:c r="M2631" s="28" t="n">
        <x:v>7</x:v>
      </x:c>
      <x:c r="N2631" s="28" t="n">
        <x:v>3</x:v>
      </x:c>
      <x:c r="O2631" s="28" t="n">
        <x:v>0</x:v>
      </x:c>
      <x:c r="P2631" s="28" t="n">
        <x:v>3</x:v>
      </x:c>
      <x:c r="Q2631" s="24" t="n">
        <x:f>IFERROR(J2631/H2631,0)</x:f>
        <x:v>0.3</x:v>
      </x:c>
      <x:c r="R2631" s="24" t="n">
        <x:f>IFERROR(F2631/H2631,0)</x:f>
        <x:v>0.1</x:v>
      </x:c>
      <x:c r="S2631" s="24" t="n">
        <x:f>IFERROR(F2631/J2631,0)</x:f>
        <x:v>0.3333333333333333</x:v>
      </x:c>
      <x:c r="T2631" s="28" t="n">
        <x:f>H2631-I2631</x:f>
        <x:v>-3</x:v>
      </x:c>
      <x:c r="U2631" s="24" t="n">
        <x:f>IFERROR(J2631/H2631,0)-IFERROR(K2631/I2631,0)</x:f>
        <x:v>-0.0076923076923077205</x:v>
      </x:c>
      <x:c r="V2631" s="24" t="n">
        <x:f>IFERROR(F2631/J2631,0)-IFERROR(G2631/K2631,0)</x:f>
        <x:v>0.3333333333333333</x:v>
      </x:c>
      <x:c r="W2631" s="28" t="n">
        <x:f>L2631-M2631</x:f>
        <x:v>-5</x:v>
      </x:c>
      <x:c r="X2631" s="24" t="n">
        <x:f>IFERROR(K2631/I2631,0)</x:f>
        <x:v>0.3076923076923077</x:v>
      </x:c>
      <x:c r="Y2631" s="24" t="n">
        <x:f>IFERROR(G2631/I2631,0)</x:f>
        <x:v>0</x:v>
      </x:c>
      <x:c r="Z2631" s="24" t="n">
        <x:f>IFERROR(G2631/K2631,0)</x:f>
        <x:v>0</x:v>
      </x:c>
      <x:c r="AA2631" s="24" t="n">
        <x:f>IFERROR(F2631/H2631,0)-IFERROR(G2631/I2631,0)</x:f>
        <x:v>0.1</x:v>
      </x:c>
      <x:c r="AB2631" s="28" t="n">
        <x:f>J2631-K2631</x:f>
        <x:v>-1</x:v>
      </x:c>
      <x:c r="AC2631" s="32" t="n">
        <x:f>F2631-G2631</x:f>
        <x:v>1</x:v>
      </x:c>
    </x:row>
    <x:row r="2632">
      <x:c r="A2632" s="4" t="str">
        <x:v>2024-25</x:v>
      </x:c>
      <x:c r="B2632" s="20" t="n">
        <x:v>45652</x:v>
      </x:c>
      <x:c r="C2632" s="4" t="str">
        <x:v>Southampton</x:v>
      </x:c>
      <x:c r="D2632" s="4" t="str">
        <x:v>West Ham</x:v>
      </x:c>
      <x:c r="E2632" s="4" t="str">
        <x:v>Home</x:v>
      </x:c>
      <x:c r="F2632" s="28" t="n">
        <x:v>0</x:v>
      </x:c>
      <x:c r="G2632" s="28" t="n">
        <x:v>1</x:v>
      </x:c>
      <x:c r="H2632" s="28" t="n">
        <x:v>18</x:v>
      </x:c>
      <x:c r="I2632" s="28" t="n">
        <x:v>16</x:v>
      </x:c>
      <x:c r="J2632" s="28" t="n">
        <x:v>5</x:v>
      </x:c>
      <x:c r="K2632" s="28" t="n">
        <x:v>2</x:v>
      </x:c>
      <x:c r="L2632" s="28" t="n">
        <x:v>2</x:v>
      </x:c>
      <x:c r="M2632" s="28" t="n">
        <x:v>2</x:v>
      </x:c>
      <x:c r="N2632" s="28" t="n">
        <x:v>1</x:v>
      </x:c>
      <x:c r="O2632" s="28" t="n">
        <x:v>0</x:v>
      </x:c>
      <x:c r="P2632" s="28" t="n">
        <x:v>0</x:v>
      </x:c>
      <x:c r="Q2632" s="24" t="n">
        <x:f>IFERROR(J2632/H2632,0)</x:f>
        <x:v>0.2777777777777778</x:v>
      </x:c>
      <x:c r="R2632" s="24" t="n">
        <x:f>IFERROR(F2632/H2632,0)</x:f>
        <x:v>0</x:v>
      </x:c>
      <x:c r="S2632" s="24" t="n">
        <x:f>IFERROR(F2632/J2632,0)</x:f>
        <x:v>0</x:v>
      </x:c>
      <x:c r="T2632" s="28" t="n">
        <x:f>H2632-I2632</x:f>
        <x:v>2</x:v>
      </x:c>
      <x:c r="U2632" s="24" t="n">
        <x:f>IFERROR(J2632/H2632,0)-IFERROR(K2632/I2632,0)</x:f>
        <x:v>0.1527777777777778</x:v>
      </x:c>
      <x:c r="V2632" s="24" t="n">
        <x:f>IFERROR(F2632/J2632,0)-IFERROR(G2632/K2632,0)</x:f>
        <x:v>-0.5</x:v>
      </x:c>
      <x:c r="W2632" s="28" t="n">
        <x:f>L2632-M2632</x:f>
        <x:v>0</x:v>
      </x:c>
      <x:c r="X2632" s="24" t="n">
        <x:f>IFERROR(K2632/I2632,0)</x:f>
        <x:v>0.125</x:v>
      </x:c>
      <x:c r="Y2632" s="24" t="n">
        <x:f>IFERROR(G2632/I2632,0)</x:f>
        <x:v>0.0625</x:v>
      </x:c>
      <x:c r="Z2632" s="24" t="n">
        <x:f>IFERROR(G2632/K2632,0)</x:f>
        <x:v>0.5</x:v>
      </x:c>
      <x:c r="AA2632" s="24" t="n">
        <x:f>IFERROR(F2632/H2632,0)-IFERROR(G2632/I2632,0)</x:f>
        <x:v>-0.0625</x:v>
      </x:c>
      <x:c r="AB2632" s="28" t="n">
        <x:f>J2632-K2632</x:f>
        <x:v>3</x:v>
      </x:c>
      <x:c r="AC2632" s="32" t="n">
        <x:f>F2632-G2632</x:f>
        <x:v>-1</x:v>
      </x:c>
    </x:row>
    <x:row r="2633">
      <x:c r="A2633" s="4" t="str">
        <x:v>2024-25</x:v>
      </x:c>
      <x:c r="B2633" s="20" t="n">
        <x:v>45652</x:v>
      </x:c>
      <x:c r="C2633" s="4" t="str">
        <x:v>Tottenham</x:v>
      </x:c>
      <x:c r="D2633" s="4" t="str">
        <x:v>Nott'm Forest</x:v>
      </x:c>
      <x:c r="E2633" s="4" t="str">
        <x:v>Away</x:v>
      </x:c>
      <x:c r="F2633" s="28" t="n">
        <x:v>0</x:v>
      </x:c>
      <x:c r="G2633" s="28" t="n">
        <x:v>1</x:v>
      </x:c>
      <x:c r="H2633" s="28" t="n">
        <x:v>13</x:v>
      </x:c>
      <x:c r="I2633" s="28" t="n">
        <x:v>10</x:v>
      </x:c>
      <x:c r="J2633" s="28" t="n">
        <x:v>4</x:v>
      </x:c>
      <x:c r="K2633" s="28" t="n">
        <x:v>3</x:v>
      </x:c>
      <x:c r="L2633" s="28" t="n">
        <x:v>7</x:v>
      </x:c>
      <x:c r="M2633" s="28" t="n">
        <x:v>2</x:v>
      </x:c>
      <x:c r="N2633" s="28" t="n">
        <x:v>2</x:v>
      </x:c>
      <x:c r="O2633" s="28" t="n">
        <x:v>1</x:v>
      </x:c>
      <x:c r="P2633" s="28" t="n">
        <x:v>0</x:v>
      </x:c>
      <x:c r="Q2633" s="24" t="n">
        <x:f>IFERROR(J2633/H2633,0)</x:f>
        <x:v>0.3076923076923077</x:v>
      </x:c>
      <x:c r="R2633" s="24" t="n">
        <x:f>IFERROR(F2633/H2633,0)</x:f>
        <x:v>0</x:v>
      </x:c>
      <x:c r="S2633" s="24" t="n">
        <x:f>IFERROR(F2633/J2633,0)</x:f>
        <x:v>0</x:v>
      </x:c>
      <x:c r="T2633" s="28" t="n">
        <x:f>H2633-I2633</x:f>
        <x:v>3</x:v>
      </x:c>
      <x:c r="U2633" s="24" t="n">
        <x:f>IFERROR(J2633/H2633,0)-IFERROR(K2633/I2633,0)</x:f>
        <x:v>0.0076923076923077205</x:v>
      </x:c>
      <x:c r="V2633" s="24" t="n">
        <x:f>IFERROR(F2633/J2633,0)-IFERROR(G2633/K2633,0)</x:f>
        <x:v>-0.3333333333333333</x:v>
      </x:c>
      <x:c r="W2633" s="28" t="n">
        <x:f>L2633-M2633</x:f>
        <x:v>5</x:v>
      </x:c>
      <x:c r="X2633" s="24" t="n">
        <x:f>IFERROR(K2633/I2633,0)</x:f>
        <x:v>0.3</x:v>
      </x:c>
      <x:c r="Y2633" s="24" t="n">
        <x:f>IFERROR(G2633/I2633,0)</x:f>
        <x:v>0.1</x:v>
      </x:c>
      <x:c r="Z2633" s="24" t="n">
        <x:f>IFERROR(G2633/K2633,0)</x:f>
        <x:v>0.3333333333333333</x:v>
      </x:c>
      <x:c r="AA2633" s="24" t="n">
        <x:f>IFERROR(F2633/H2633,0)-IFERROR(G2633/I2633,0)</x:f>
        <x:v>-0.1</x:v>
      </x:c>
      <x:c r="AB2633" s="28" t="n">
        <x:f>J2633-K2633</x:f>
        <x:v>1</x:v>
      </x:c>
      <x:c r="AC2633" s="32" t="n">
        <x:f>F2633-G2633</x:f>
        <x:v>-1</x:v>
      </x:c>
    </x:row>
    <x:row r="2634">
      <x:c r="A2634" s="4" t="str">
        <x:v>2024-25</x:v>
      </x:c>
      <x:c r="B2634" s="20" t="n">
        <x:v>45652</x:v>
      </x:c>
      <x:c r="C2634" s="4" t="str">
        <x:v>West Ham</x:v>
      </x:c>
      <x:c r="D2634" s="4" t="str">
        <x:v>Southampton</x:v>
      </x:c>
      <x:c r="E2634" s="4" t="str">
        <x:v>Away</x:v>
      </x:c>
      <x:c r="F2634" s="28" t="n">
        <x:v>1</x:v>
      </x:c>
      <x:c r="G2634" s="28" t="n">
        <x:v>0</x:v>
      </x:c>
      <x:c r="H2634" s="28" t="n">
        <x:v>16</x:v>
      </x:c>
      <x:c r="I2634" s="28" t="n">
        <x:v>18</x:v>
      </x:c>
      <x:c r="J2634" s="28" t="n">
        <x:v>2</x:v>
      </x:c>
      <x:c r="K2634" s="28" t="n">
        <x:v>5</x:v>
      </x:c>
      <x:c r="L2634" s="28" t="n">
        <x:v>2</x:v>
      </x:c>
      <x:c r="M2634" s="28" t="n">
        <x:v>2</x:v>
      </x:c>
      <x:c r="N2634" s="28" t="n">
        <x:v>2</x:v>
      </x:c>
      <x:c r="O2634" s="28" t="n">
        <x:v>0</x:v>
      </x:c>
      <x:c r="P2634" s="28" t="n">
        <x:v>3</x:v>
      </x:c>
      <x:c r="Q2634" s="24" t="n">
        <x:f>IFERROR(J2634/H2634,0)</x:f>
        <x:v>0.125</x:v>
      </x:c>
      <x:c r="R2634" s="24" t="n">
        <x:f>IFERROR(F2634/H2634,0)</x:f>
        <x:v>0.0625</x:v>
      </x:c>
      <x:c r="S2634" s="24" t="n">
        <x:f>IFERROR(F2634/J2634,0)</x:f>
        <x:v>0.5</x:v>
      </x:c>
      <x:c r="T2634" s="28" t="n">
        <x:f>H2634-I2634</x:f>
        <x:v>-2</x:v>
      </x:c>
      <x:c r="U2634" s="24" t="n">
        <x:f>IFERROR(J2634/H2634,0)-IFERROR(K2634/I2634,0)</x:f>
        <x:v>-0.1527777777777778</x:v>
      </x:c>
      <x:c r="V2634" s="24" t="n">
        <x:f>IFERROR(F2634/J2634,0)-IFERROR(G2634/K2634,0)</x:f>
        <x:v>0.5</x:v>
      </x:c>
      <x:c r="W2634" s="28" t="n">
        <x:f>L2634-M2634</x:f>
        <x:v>0</x:v>
      </x:c>
      <x:c r="X2634" s="24" t="n">
        <x:f>IFERROR(K2634/I2634,0)</x:f>
        <x:v>0.2777777777777778</x:v>
      </x:c>
      <x:c r="Y2634" s="24" t="n">
        <x:f>IFERROR(G2634/I2634,0)</x:f>
        <x:v>0</x:v>
      </x:c>
      <x:c r="Z2634" s="24" t="n">
        <x:f>IFERROR(G2634/K2634,0)</x:f>
        <x:v>0</x:v>
      </x:c>
      <x:c r="AA2634" s="24" t="n">
        <x:f>IFERROR(F2634/H2634,0)-IFERROR(G2634/I2634,0)</x:f>
        <x:v>0.0625</x:v>
      </x:c>
      <x:c r="AB2634" s="28" t="n">
        <x:f>J2634-K2634</x:f>
        <x:v>-3</x:v>
      </x:c>
      <x:c r="AC2634" s="32" t="n">
        <x:f>F2634-G2634</x:f>
        <x:v>1</x:v>
      </x:c>
    </x:row>
    <x:row r="2635">
      <x:c r="A2635" s="4" t="str">
        <x:v>2024-25</x:v>
      </x:c>
      <x:c r="B2635" s="20" t="n">
        <x:v>45652</x:v>
      </x:c>
      <x:c r="C2635" s="4" t="str">
        <x:v>Wolves</x:v>
      </x:c>
      <x:c r="D2635" s="4" t="str">
        <x:v>Man United</x:v>
      </x:c>
      <x:c r="E2635" s="4" t="str">
        <x:v>Home</x:v>
      </x:c>
      <x:c r="F2635" s="28" t="n">
        <x:v>2</x:v>
      </x:c>
      <x:c r="G2635" s="28" t="n">
        <x:v>0</x:v>
      </x:c>
      <x:c r="H2635" s="28" t="n">
        <x:v>7</x:v>
      </x:c>
      <x:c r="I2635" s="28" t="n">
        <x:v>11</x:v>
      </x:c>
      <x:c r="J2635" s="28" t="n">
        <x:v>4</x:v>
      </x:c>
      <x:c r="K2635" s="28" t="n">
        <x:v>4</x:v>
      </x:c>
      <x:c r="L2635" s="28" t="n">
        <x:v>4</x:v>
      </x:c>
      <x:c r="M2635" s="28" t="n">
        <x:v>4</x:v>
      </x:c>
      <x:c r="N2635" s="28" t="n">
        <x:v>2</x:v>
      </x:c>
      <x:c r="O2635" s="28" t="n">
        <x:v>0</x:v>
      </x:c>
      <x:c r="P2635" s="28" t="n">
        <x:v>3</x:v>
      </x:c>
      <x:c r="Q2635" s="24" t="n">
        <x:f>IFERROR(J2635/H2635,0)</x:f>
        <x:v>0.5714285714285714</x:v>
      </x:c>
      <x:c r="R2635" s="24" t="n">
        <x:f>IFERROR(F2635/H2635,0)</x:f>
        <x:v>0.2857142857142857</x:v>
      </x:c>
      <x:c r="S2635" s="24" t="n">
        <x:f>IFERROR(F2635/J2635,0)</x:f>
        <x:v>0.5</x:v>
      </x:c>
      <x:c r="T2635" s="28" t="n">
        <x:f>H2635-I2635</x:f>
        <x:v>-4</x:v>
      </x:c>
      <x:c r="U2635" s="24" t="n">
        <x:f>IFERROR(J2635/H2635,0)-IFERROR(K2635/I2635,0)</x:f>
        <x:v>0.20779220779220775</x:v>
      </x:c>
      <x:c r="V2635" s="24" t="n">
        <x:f>IFERROR(F2635/J2635,0)-IFERROR(G2635/K2635,0)</x:f>
        <x:v>0.5</x:v>
      </x:c>
      <x:c r="W2635" s="28" t="n">
        <x:f>L2635-M2635</x:f>
        <x:v>0</x:v>
      </x:c>
      <x:c r="X2635" s="24" t="n">
        <x:f>IFERROR(K2635/I2635,0)</x:f>
        <x:v>0.36363636363636365</x:v>
      </x:c>
      <x:c r="Y2635" s="24" t="n">
        <x:f>IFERROR(G2635/I2635,0)</x:f>
        <x:v>0</x:v>
      </x:c>
      <x:c r="Z2635" s="24" t="n">
        <x:f>IFERROR(G2635/K2635,0)</x:f>
        <x:v>0</x:v>
      </x:c>
      <x:c r="AA2635" s="24" t="n">
        <x:f>IFERROR(F2635/H2635,0)-IFERROR(G2635/I2635,0)</x:f>
        <x:v>0.2857142857142857</x:v>
      </x:c>
      <x:c r="AB2635" s="28" t="n">
        <x:f>J2635-K2635</x:f>
        <x:v>0</x:v>
      </x:c>
      <x:c r="AC2635" s="32" t="n">
        <x:f>F2635-G2635</x:f>
        <x:v>2</x:v>
      </x:c>
    </x:row>
    <x:row r="2636">
      <x:c r="A2636" s="4" t="str">
        <x:v>2024-25</x:v>
      </x:c>
      <x:c r="B2636" s="20" t="n">
        <x:v>45653</x:v>
      </x:c>
      <x:c r="C2636" s="4" t="str">
        <x:v>Arsenal</x:v>
      </x:c>
      <x:c r="D2636" s="4" t="str">
        <x:v>Ipswich</x:v>
      </x:c>
      <x:c r="E2636" s="4" t="str">
        <x:v>Home</x:v>
      </x:c>
      <x:c r="F2636" s="28" t="n">
        <x:v>1</x:v>
      </x:c>
      <x:c r="G2636" s="28" t="n">
        <x:v>0</x:v>
      </x:c>
      <x:c r="H2636" s="28" t="n">
        <x:v>13</x:v>
      </x:c>
      <x:c r="I2636" s="28" t="n">
        <x:v>3</x:v>
      </x:c>
      <x:c r="J2636" s="28" t="n">
        <x:v>5</x:v>
      </x:c>
      <x:c r="K2636" s="28" t="n">
        <x:v>0</x:v>
      </x:c>
      <x:c r="L2636" s="28" t="n">
        <x:v>5</x:v>
      </x:c>
      <x:c r="M2636" s="28" t="n">
        <x:v>1</x:v>
      </x:c>
      <x:c r="N2636" s="28" t="n">
        <x:v>1</x:v>
      </x:c>
      <x:c r="O2636" s="28" t="n">
        <x:v>0</x:v>
      </x:c>
      <x:c r="P2636" s="28" t="n">
        <x:v>3</x:v>
      </x:c>
      <x:c r="Q2636" s="24" t="n">
        <x:f>IFERROR(J2636/H2636,0)</x:f>
        <x:v>0.38461538461538464</x:v>
      </x:c>
      <x:c r="R2636" s="24" t="n">
        <x:f>IFERROR(F2636/H2636,0)</x:f>
        <x:v>0.07692307692307693</x:v>
      </x:c>
      <x:c r="S2636" s="24" t="n">
        <x:f>IFERROR(F2636/J2636,0)</x:f>
        <x:v>0.2</x:v>
      </x:c>
      <x:c r="T2636" s="28" t="n">
        <x:f>H2636-I2636</x:f>
        <x:v>10</x:v>
      </x:c>
      <x:c r="U2636" s="24" t="n">
        <x:f>IFERROR(J2636/H2636,0)-IFERROR(K2636/I2636,0)</x:f>
        <x:v>0.38461538461538464</x:v>
      </x:c>
      <x:c r="V2636" s="24" t="n">
        <x:f>IFERROR(F2636/J2636,0)-IFERROR(G2636/K2636,0)</x:f>
        <x:v>0.2</x:v>
      </x:c>
      <x:c r="W2636" s="28" t="n">
        <x:f>L2636-M2636</x:f>
        <x:v>4</x:v>
      </x:c>
      <x:c r="X2636" s="24" t="n">
        <x:f>IFERROR(K2636/I2636,0)</x:f>
        <x:v>0</x:v>
      </x:c>
      <x:c r="Y2636" s="24" t="n">
        <x:f>IFERROR(G2636/I2636,0)</x:f>
        <x:v>0</x:v>
      </x:c>
      <x:c r="Z2636" s="24" t="n">
        <x:f>IFERROR(G2636/K2636,0)</x:f>
        <x:v>0</x:v>
      </x:c>
      <x:c r="AA2636" s="24" t="n">
        <x:f>IFERROR(F2636/H2636,0)-IFERROR(G2636/I2636,0)</x:f>
        <x:v>0.07692307692307693</x:v>
      </x:c>
      <x:c r="AB2636" s="28" t="n">
        <x:f>J2636-K2636</x:f>
        <x:v>5</x:v>
      </x:c>
      <x:c r="AC2636" s="32" t="n">
        <x:f>F2636-G2636</x:f>
        <x:v>1</x:v>
      </x:c>
    </x:row>
    <x:row r="2637">
      <x:c r="A2637" s="4" t="str">
        <x:v>2024-25</x:v>
      </x:c>
      <x:c r="B2637" s="20" t="n">
        <x:v>45653</x:v>
      </x:c>
      <x:c r="C2637" s="4" t="str">
        <x:v>Brentford</x:v>
      </x:c>
      <x:c r="D2637" s="4" t="str">
        <x:v>Brighton</x:v>
      </x:c>
      <x:c r="E2637" s="4" t="str">
        <x:v>Away</x:v>
      </x:c>
      <x:c r="F2637" s="28" t="n">
        <x:v>0</x:v>
      </x:c>
      <x:c r="G2637" s="28" t="n">
        <x:v>0</x:v>
      </x:c>
      <x:c r="H2637" s="28" t="n">
        <x:v>8</x:v>
      </x:c>
      <x:c r="I2637" s="28" t="n">
        <x:v>24</x:v>
      </x:c>
      <x:c r="J2637" s="28" t="n">
        <x:v>3</x:v>
      </x:c>
      <x:c r="K2637" s="28" t="n">
        <x:v>7</x:v>
      </x:c>
      <x:c r="L2637" s="28" t="n">
        <x:v>3</x:v>
      </x:c>
      <x:c r="M2637" s="28" t="n">
        <x:v>5</x:v>
      </x:c>
      <x:c r="N2637" s="28" t="n">
        <x:v>2</x:v>
      </x:c>
      <x:c r="O2637" s="28" t="n">
        <x:v>0</x:v>
      </x:c>
      <x:c r="P2637" s="28" t="n">
        <x:v>1</x:v>
      </x:c>
      <x:c r="Q2637" s="24" t="n">
        <x:f>IFERROR(J2637/H2637,0)</x:f>
        <x:v>0.375</x:v>
      </x:c>
      <x:c r="R2637" s="24" t="n">
        <x:f>IFERROR(F2637/H2637,0)</x:f>
        <x:v>0</x:v>
      </x:c>
      <x:c r="S2637" s="24" t="n">
        <x:f>IFERROR(F2637/J2637,0)</x:f>
        <x:v>0</x:v>
      </x:c>
      <x:c r="T2637" s="28" t="n">
        <x:f>H2637-I2637</x:f>
        <x:v>-16</x:v>
      </x:c>
      <x:c r="U2637" s="24" t="n">
        <x:f>IFERROR(J2637/H2637,0)-IFERROR(K2637/I2637,0)</x:f>
        <x:v>0.08333333333333331</x:v>
      </x:c>
      <x:c r="V2637" s="24" t="n">
        <x:f>IFERROR(F2637/J2637,0)-IFERROR(G2637/K2637,0)</x:f>
        <x:v>0</x:v>
      </x:c>
      <x:c r="W2637" s="28" t="n">
        <x:f>L2637-M2637</x:f>
        <x:v>-2</x:v>
      </x:c>
      <x:c r="X2637" s="24" t="n">
        <x:f>IFERROR(K2637/I2637,0)</x:f>
        <x:v>0.2916666666666667</x:v>
      </x:c>
      <x:c r="Y2637" s="24" t="n">
        <x:f>IFERROR(G2637/I2637,0)</x:f>
        <x:v>0</x:v>
      </x:c>
      <x:c r="Z2637" s="24" t="n">
        <x:f>IFERROR(G2637/K2637,0)</x:f>
        <x:v>0</x:v>
      </x:c>
      <x:c r="AA2637" s="24" t="n">
        <x:f>IFERROR(F2637/H2637,0)-IFERROR(G2637/I2637,0)</x:f>
        <x:v>0</x:v>
      </x:c>
      <x:c r="AB2637" s="28" t="n">
        <x:f>J2637-K2637</x:f>
        <x:v>-4</x:v>
      </x:c>
      <x:c r="AC2637" s="32" t="n">
        <x:f>F2637-G2637</x:f>
        <x:v>0</x:v>
      </x:c>
    </x:row>
    <x:row r="2638">
      <x:c r="A2638" s="4" t="str">
        <x:v>2024-25</x:v>
      </x:c>
      <x:c r="B2638" s="20" t="n">
        <x:v>45653</x:v>
      </x:c>
      <x:c r="C2638" s="4" t="str">
        <x:v>Brighton</x:v>
      </x:c>
      <x:c r="D2638" s="4" t="str">
        <x:v>Brentford</x:v>
      </x:c>
      <x:c r="E2638" s="4" t="str">
        <x:v>Home</x:v>
      </x:c>
      <x:c r="F2638" s="28" t="n">
        <x:v>0</x:v>
      </x:c>
      <x:c r="G2638" s="28" t="n">
        <x:v>0</x:v>
      </x:c>
      <x:c r="H2638" s="28" t="n">
        <x:v>24</x:v>
      </x:c>
      <x:c r="I2638" s="28" t="n">
        <x:v>8</x:v>
      </x:c>
      <x:c r="J2638" s="28" t="n">
        <x:v>7</x:v>
      </x:c>
      <x:c r="K2638" s="28" t="n">
        <x:v>3</x:v>
      </x:c>
      <x:c r="L2638" s="28" t="n">
        <x:v>5</x:v>
      </x:c>
      <x:c r="M2638" s="28" t="n">
        <x:v>3</x:v>
      </x:c>
      <x:c r="N2638" s="28" t="n">
        <x:v>0</x:v>
      </x:c>
      <x:c r="O2638" s="28" t="n">
        <x:v>0</x:v>
      </x:c>
      <x:c r="P2638" s="28" t="n">
        <x:v>1</x:v>
      </x:c>
      <x:c r="Q2638" s="24" t="n">
        <x:f>IFERROR(J2638/H2638,0)</x:f>
        <x:v>0.2916666666666667</x:v>
      </x:c>
      <x:c r="R2638" s="24" t="n">
        <x:f>IFERROR(F2638/H2638,0)</x:f>
        <x:v>0</x:v>
      </x:c>
      <x:c r="S2638" s="24" t="n">
        <x:f>IFERROR(F2638/J2638,0)</x:f>
        <x:v>0</x:v>
      </x:c>
      <x:c r="T2638" s="28" t="n">
        <x:f>H2638-I2638</x:f>
        <x:v>16</x:v>
      </x:c>
      <x:c r="U2638" s="24" t="n">
        <x:f>IFERROR(J2638/H2638,0)-IFERROR(K2638/I2638,0)</x:f>
        <x:v>-0.08333333333333331</x:v>
      </x:c>
      <x:c r="V2638" s="24" t="n">
        <x:f>IFERROR(F2638/J2638,0)-IFERROR(G2638/K2638,0)</x:f>
        <x:v>0</x:v>
      </x:c>
      <x:c r="W2638" s="28" t="n">
        <x:f>L2638-M2638</x:f>
        <x:v>2</x:v>
      </x:c>
      <x:c r="X2638" s="24" t="n">
        <x:f>IFERROR(K2638/I2638,0)</x:f>
        <x:v>0.375</x:v>
      </x:c>
      <x:c r="Y2638" s="24" t="n">
        <x:f>IFERROR(G2638/I2638,0)</x:f>
        <x:v>0</x:v>
      </x:c>
      <x:c r="Z2638" s="24" t="n">
        <x:f>IFERROR(G2638/K2638,0)</x:f>
        <x:v>0</x:v>
      </x:c>
      <x:c r="AA2638" s="24" t="n">
        <x:f>IFERROR(F2638/H2638,0)-IFERROR(G2638/I2638,0)</x:f>
        <x:v>0</x:v>
      </x:c>
      <x:c r="AB2638" s="28" t="n">
        <x:f>J2638-K2638</x:f>
        <x:v>4</x:v>
      </x:c>
      <x:c r="AC2638" s="32" t="n">
        <x:f>F2638-G2638</x:f>
        <x:v>0</x:v>
      </x:c>
    </x:row>
    <x:row r="2639">
      <x:c r="A2639" s="4" t="str">
        <x:v>2024-25</x:v>
      </x:c>
      <x:c r="B2639" s="20" t="n">
        <x:v>45653</x:v>
      </x:c>
      <x:c r="C2639" s="4" t="str">
        <x:v>Ipswich</x:v>
      </x:c>
      <x:c r="D2639" s="4" t="str">
        <x:v>Arsenal</x:v>
      </x:c>
      <x:c r="E2639" s="4" t="str">
        <x:v>Away</x:v>
      </x:c>
      <x:c r="F2639" s="28" t="n">
        <x:v>0</x:v>
      </x:c>
      <x:c r="G2639" s="28" t="n">
        <x:v>1</x:v>
      </x:c>
      <x:c r="H2639" s="28" t="n">
        <x:v>3</x:v>
      </x:c>
      <x:c r="I2639" s="28" t="n">
        <x:v>13</x:v>
      </x:c>
      <x:c r="J2639" s="28" t="n">
        <x:v>0</x:v>
      </x:c>
      <x:c r="K2639" s="28" t="n">
        <x:v>5</x:v>
      </x:c>
      <x:c r="L2639" s="28" t="n">
        <x:v>1</x:v>
      </x:c>
      <x:c r="M2639" s="28" t="n">
        <x:v>5</x:v>
      </x:c>
      <x:c r="N2639" s="28" t="n">
        <x:v>1</x:v>
      </x:c>
      <x:c r="O2639" s="28" t="n">
        <x:v>0</x:v>
      </x:c>
      <x:c r="P2639" s="28" t="n">
        <x:v>0</x:v>
      </x:c>
      <x:c r="Q2639" s="24" t="n">
        <x:f>IFERROR(J2639/H2639,0)</x:f>
        <x:v>0</x:v>
      </x:c>
      <x:c r="R2639" s="24" t="n">
        <x:f>IFERROR(F2639/H2639,0)</x:f>
        <x:v>0</x:v>
      </x:c>
      <x:c r="S2639" s="24" t="n">
        <x:f>IFERROR(F2639/J2639,0)</x:f>
        <x:v>0</x:v>
      </x:c>
      <x:c r="T2639" s="28" t="n">
        <x:f>H2639-I2639</x:f>
        <x:v>-10</x:v>
      </x:c>
      <x:c r="U2639" s="24" t="n">
        <x:f>IFERROR(J2639/H2639,0)-IFERROR(K2639/I2639,0)</x:f>
        <x:v>-0.38461538461538464</x:v>
      </x:c>
      <x:c r="V2639" s="24" t="n">
        <x:f>IFERROR(F2639/J2639,0)-IFERROR(G2639/K2639,0)</x:f>
        <x:v>-0.2</x:v>
      </x:c>
      <x:c r="W2639" s="28" t="n">
        <x:f>L2639-M2639</x:f>
        <x:v>-4</x:v>
      </x:c>
      <x:c r="X2639" s="24" t="n">
        <x:f>IFERROR(K2639/I2639,0)</x:f>
        <x:v>0.38461538461538464</x:v>
      </x:c>
      <x:c r="Y2639" s="24" t="n">
        <x:f>IFERROR(G2639/I2639,0)</x:f>
        <x:v>0.07692307692307693</x:v>
      </x:c>
      <x:c r="Z2639" s="24" t="n">
        <x:f>IFERROR(G2639/K2639,0)</x:f>
        <x:v>0.2</x:v>
      </x:c>
      <x:c r="AA2639" s="24" t="n">
        <x:f>IFERROR(F2639/H2639,0)-IFERROR(G2639/I2639,0)</x:f>
        <x:v>-0.07692307692307693</x:v>
      </x:c>
      <x:c r="AB2639" s="28" t="n">
        <x:f>J2639-K2639</x:f>
        <x:v>-5</x:v>
      </x:c>
      <x:c r="AC2639" s="32" t="n">
        <x:f>F2639-G2639</x:f>
        <x:v>-1</x:v>
      </x:c>
    </x:row>
    <x:row r="2640">
      <x:c r="A2640" s="4" t="str">
        <x:v>2024-25</x:v>
      </x:c>
      <x:c r="B2640" s="20" t="n">
        <x:v>45655</x:v>
      </x:c>
      <x:c r="C2640" s="4" t="str">
        <x:v>Bournemouth</x:v>
      </x:c>
      <x:c r="D2640" s="4" t="str">
        <x:v>Fulham</x:v>
      </x:c>
      <x:c r="E2640" s="4" t="str">
        <x:v>Away</x:v>
      </x:c>
      <x:c r="F2640" s="28" t="n">
        <x:v>2</x:v>
      </x:c>
      <x:c r="G2640" s="28" t="n">
        <x:v>2</x:v>
      </x:c>
      <x:c r="H2640" s="28" t="n">
        <x:v>16</x:v>
      </x:c>
      <x:c r="I2640" s="28" t="n">
        <x:v>11</x:v>
      </x:c>
      <x:c r="J2640" s="28" t="n">
        <x:v>9</x:v>
      </x:c>
      <x:c r="K2640" s="28" t="n">
        <x:v>6</x:v>
      </x:c>
      <x:c r="L2640" s="28" t="n">
        <x:v>7</x:v>
      </x:c>
      <x:c r="M2640" s="28" t="n">
        <x:v>1</x:v>
      </x:c>
      <x:c r="N2640" s="28" t="n">
        <x:v>3</x:v>
      </x:c>
      <x:c r="O2640" s="28" t="n">
        <x:v>0</x:v>
      </x:c>
      <x:c r="P2640" s="28" t="n">
        <x:v>1</x:v>
      </x:c>
      <x:c r="Q2640" s="24" t="n">
        <x:f>IFERROR(J2640/H2640,0)</x:f>
        <x:v>0.5625</x:v>
      </x:c>
      <x:c r="R2640" s="24" t="n">
        <x:f>IFERROR(F2640/H2640,0)</x:f>
        <x:v>0.125</x:v>
      </x:c>
      <x:c r="S2640" s="24" t="n">
        <x:f>IFERROR(F2640/J2640,0)</x:f>
        <x:v>0.2222222222222222</x:v>
      </x:c>
      <x:c r="T2640" s="28" t="n">
        <x:f>H2640-I2640</x:f>
        <x:v>5</x:v>
      </x:c>
      <x:c r="U2640" s="24" t="n">
        <x:f>IFERROR(J2640/H2640,0)-IFERROR(K2640/I2640,0)</x:f>
        <x:v>0.017045454545454586</x:v>
      </x:c>
      <x:c r="V2640" s="24" t="n">
        <x:f>IFERROR(F2640/J2640,0)-IFERROR(G2640/K2640,0)</x:f>
        <x:v>-0.1111111111111111</x:v>
      </x:c>
      <x:c r="W2640" s="28" t="n">
        <x:f>L2640-M2640</x:f>
        <x:v>6</x:v>
      </x:c>
      <x:c r="X2640" s="24" t="n">
        <x:f>IFERROR(K2640/I2640,0)</x:f>
        <x:v>0.5454545454545454</x:v>
      </x:c>
      <x:c r="Y2640" s="24" t="n">
        <x:f>IFERROR(G2640/I2640,0)</x:f>
        <x:v>0.18181818181818182</x:v>
      </x:c>
      <x:c r="Z2640" s="24" t="n">
        <x:f>IFERROR(G2640/K2640,0)</x:f>
        <x:v>0.3333333333333333</x:v>
      </x:c>
      <x:c r="AA2640" s="24" t="n">
        <x:f>IFERROR(F2640/H2640,0)-IFERROR(G2640/I2640,0)</x:f>
        <x:v>-0.05681818181818182</x:v>
      </x:c>
      <x:c r="AB2640" s="28" t="n">
        <x:f>J2640-K2640</x:f>
        <x:v>3</x:v>
      </x:c>
      <x:c r="AC2640" s="32" t="n">
        <x:f>F2640-G2640</x:f>
        <x:v>0</x:v>
      </x:c>
    </x:row>
    <x:row r="2641">
      <x:c r="A2641" s="4" t="str">
        <x:v>2024-25</x:v>
      </x:c>
      <x:c r="B2641" s="20" t="n">
        <x:v>45655</x:v>
      </x:c>
      <x:c r="C2641" s="4" t="str">
        <x:v>Crystal Palace</x:v>
      </x:c>
      <x:c r="D2641" s="4" t="str">
        <x:v>Southampton</x:v>
      </x:c>
      <x:c r="E2641" s="4" t="str">
        <x:v>Home</x:v>
      </x:c>
      <x:c r="F2641" s="28" t="n">
        <x:v>2</x:v>
      </x:c>
      <x:c r="G2641" s="28" t="n">
        <x:v>1</x:v>
      </x:c>
      <x:c r="H2641" s="28" t="n">
        <x:v>19</x:v>
      </x:c>
      <x:c r="I2641" s="28" t="n">
        <x:v>7</x:v>
      </x:c>
      <x:c r="J2641" s="28" t="n">
        <x:v>10</x:v>
      </x:c>
      <x:c r="K2641" s="28" t="n">
        <x:v>3</x:v>
      </x:c>
      <x:c r="L2641" s="28" t="n">
        <x:v>8</x:v>
      </x:c>
      <x:c r="M2641" s="28" t="n">
        <x:v>7</x:v>
      </x:c>
      <x:c r="N2641" s="28" t="n">
        <x:v>2</x:v>
      </x:c>
      <x:c r="O2641" s="28" t="n">
        <x:v>0</x:v>
      </x:c>
      <x:c r="P2641" s="28" t="n">
        <x:v>3</x:v>
      </x:c>
      <x:c r="Q2641" s="24" t="n">
        <x:f>IFERROR(J2641/H2641,0)</x:f>
        <x:v>0.5263157894736842</x:v>
      </x:c>
      <x:c r="R2641" s="24" t="n">
        <x:f>IFERROR(F2641/H2641,0)</x:f>
        <x:v>0.10526315789473684</x:v>
      </x:c>
      <x:c r="S2641" s="24" t="n">
        <x:f>IFERROR(F2641/J2641,0)</x:f>
        <x:v>0.2</x:v>
      </x:c>
      <x:c r="T2641" s="28" t="n">
        <x:f>H2641-I2641</x:f>
        <x:v>12</x:v>
      </x:c>
      <x:c r="U2641" s="24" t="n">
        <x:f>IFERROR(J2641/H2641,0)-IFERROR(K2641/I2641,0)</x:f>
        <x:v>0.09774436090225563</x:v>
      </x:c>
      <x:c r="V2641" s="24" t="n">
        <x:f>IFERROR(F2641/J2641,0)-IFERROR(G2641/K2641,0)</x:f>
        <x:v>-0.1333333333333333</x:v>
      </x:c>
      <x:c r="W2641" s="28" t="n">
        <x:f>L2641-M2641</x:f>
        <x:v>1</x:v>
      </x:c>
      <x:c r="X2641" s="24" t="n">
        <x:f>IFERROR(K2641/I2641,0)</x:f>
        <x:v>0.42857142857142855</x:v>
      </x:c>
      <x:c r="Y2641" s="24" t="n">
        <x:f>IFERROR(G2641/I2641,0)</x:f>
        <x:v>0.14285714285714285</x:v>
      </x:c>
      <x:c r="Z2641" s="24" t="n">
        <x:f>IFERROR(G2641/K2641,0)</x:f>
        <x:v>0.3333333333333333</x:v>
      </x:c>
      <x:c r="AA2641" s="24" t="n">
        <x:f>IFERROR(F2641/H2641,0)-IFERROR(G2641/I2641,0)</x:f>
        <x:v>-0.03759398496240601</x:v>
      </x:c>
      <x:c r="AB2641" s="28" t="n">
        <x:f>J2641-K2641</x:f>
        <x:v>7</x:v>
      </x:c>
      <x:c r="AC2641" s="32" t="n">
        <x:f>F2641-G2641</x:f>
        <x:v>1</x:v>
      </x:c>
    </x:row>
    <x:row r="2642">
      <x:c r="A2642" s="4" t="str">
        <x:v>2024-25</x:v>
      </x:c>
      <x:c r="B2642" s="20" t="n">
        <x:v>45655</x:v>
      </x:c>
      <x:c r="C2642" s="4" t="str">
        <x:v>Everton</x:v>
      </x:c>
      <x:c r="D2642" s="4" t="str">
        <x:v>Nott'm Forest</x:v>
      </x:c>
      <x:c r="E2642" s="4" t="str">
        <x:v>Home</x:v>
      </x:c>
      <x:c r="F2642" s="28" t="n">
        <x:v>0</x:v>
      </x:c>
      <x:c r="G2642" s="28" t="n">
        <x:v>2</x:v>
      </x:c>
      <x:c r="H2642" s="28" t="n">
        <x:v>13</x:v>
      </x:c>
      <x:c r="I2642" s="28" t="n">
        <x:v>11</x:v>
      </x:c>
      <x:c r="J2642" s="28" t="n">
        <x:v>2</x:v>
      </x:c>
      <x:c r="K2642" s="28" t="n">
        <x:v>7</x:v>
      </x:c>
      <x:c r="L2642" s="28" t="n">
        <x:v>5</x:v>
      </x:c>
      <x:c r="M2642" s="28" t="n">
        <x:v>4</x:v>
      </x:c>
      <x:c r="N2642" s="28" t="n">
        <x:v>4</x:v>
      </x:c>
      <x:c r="O2642" s="28" t="n">
        <x:v>0</x:v>
      </x:c>
      <x:c r="P2642" s="28" t="n">
        <x:v>0</x:v>
      </x:c>
      <x:c r="Q2642" s="24" t="n">
        <x:f>IFERROR(J2642/H2642,0)</x:f>
        <x:v>0.15384615384615385</x:v>
      </x:c>
      <x:c r="R2642" s="24" t="n">
        <x:f>IFERROR(F2642/H2642,0)</x:f>
        <x:v>0</x:v>
      </x:c>
      <x:c r="S2642" s="24" t="n">
        <x:f>IFERROR(F2642/J2642,0)</x:f>
        <x:v>0</x:v>
      </x:c>
      <x:c r="T2642" s="28" t="n">
        <x:f>H2642-I2642</x:f>
        <x:v>2</x:v>
      </x:c>
      <x:c r="U2642" s="24" t="n">
        <x:f>IFERROR(J2642/H2642,0)-IFERROR(K2642/I2642,0)</x:f>
        <x:v>-0.4825174825174825</x:v>
      </x:c>
      <x:c r="V2642" s="24" t="n">
        <x:f>IFERROR(F2642/J2642,0)-IFERROR(G2642/K2642,0)</x:f>
        <x:v>-0.2857142857142857</x:v>
      </x:c>
      <x:c r="W2642" s="28" t="n">
        <x:f>L2642-M2642</x:f>
        <x:v>1</x:v>
      </x:c>
      <x:c r="X2642" s="24" t="n">
        <x:f>IFERROR(K2642/I2642,0)</x:f>
        <x:v>0.6363636363636364</x:v>
      </x:c>
      <x:c r="Y2642" s="24" t="n">
        <x:f>IFERROR(G2642/I2642,0)</x:f>
        <x:v>0.18181818181818182</x:v>
      </x:c>
      <x:c r="Z2642" s="24" t="n">
        <x:f>IFERROR(G2642/K2642,0)</x:f>
        <x:v>0.2857142857142857</x:v>
      </x:c>
      <x:c r="AA2642" s="24" t="n">
        <x:f>IFERROR(F2642/H2642,0)-IFERROR(G2642/I2642,0)</x:f>
        <x:v>-0.18181818181818182</x:v>
      </x:c>
      <x:c r="AB2642" s="28" t="n">
        <x:f>J2642-K2642</x:f>
        <x:v>-5</x:v>
      </x:c>
      <x:c r="AC2642" s="32" t="n">
        <x:f>F2642-G2642</x:f>
        <x:v>-2</x:v>
      </x:c>
    </x:row>
    <x:row r="2643">
      <x:c r="A2643" s="4" t="str">
        <x:v>2024-25</x:v>
      </x:c>
      <x:c r="B2643" s="20" t="n">
        <x:v>45655</x:v>
      </x:c>
      <x:c r="C2643" s="4" t="str">
        <x:v>Fulham</x:v>
      </x:c>
      <x:c r="D2643" s="4" t="str">
        <x:v>Bournemouth</x:v>
      </x:c>
      <x:c r="E2643" s="4" t="str">
        <x:v>Home</x:v>
      </x:c>
      <x:c r="F2643" s="28" t="n">
        <x:v>2</x:v>
      </x:c>
      <x:c r="G2643" s="28" t="n">
        <x:v>2</x:v>
      </x:c>
      <x:c r="H2643" s="28" t="n">
        <x:v>11</x:v>
      </x:c>
      <x:c r="I2643" s="28" t="n">
        <x:v>16</x:v>
      </x:c>
      <x:c r="J2643" s="28" t="n">
        <x:v>6</x:v>
      </x:c>
      <x:c r="K2643" s="28" t="n">
        <x:v>9</x:v>
      </x:c>
      <x:c r="L2643" s="28" t="n">
        <x:v>1</x:v>
      </x:c>
      <x:c r="M2643" s="28" t="n">
        <x:v>7</x:v>
      </x:c>
      <x:c r="N2643" s="28" t="n">
        <x:v>1</x:v>
      </x:c>
      <x:c r="O2643" s="28" t="n">
        <x:v>0</x:v>
      </x:c>
      <x:c r="P2643" s="28" t="n">
        <x:v>1</x:v>
      </x:c>
      <x:c r="Q2643" s="24" t="n">
        <x:f>IFERROR(J2643/H2643,0)</x:f>
        <x:v>0.5454545454545454</x:v>
      </x:c>
      <x:c r="R2643" s="24" t="n">
        <x:f>IFERROR(F2643/H2643,0)</x:f>
        <x:v>0.18181818181818182</x:v>
      </x:c>
      <x:c r="S2643" s="24" t="n">
        <x:f>IFERROR(F2643/J2643,0)</x:f>
        <x:v>0.3333333333333333</x:v>
      </x:c>
      <x:c r="T2643" s="28" t="n">
        <x:f>H2643-I2643</x:f>
        <x:v>-5</x:v>
      </x:c>
      <x:c r="U2643" s="24" t="n">
        <x:f>IFERROR(J2643/H2643,0)-IFERROR(K2643/I2643,0)</x:f>
        <x:v>-0.017045454545454586</x:v>
      </x:c>
      <x:c r="V2643" s="24" t="n">
        <x:f>IFERROR(F2643/J2643,0)-IFERROR(G2643/K2643,0)</x:f>
        <x:v>0.1111111111111111</x:v>
      </x:c>
      <x:c r="W2643" s="28" t="n">
        <x:f>L2643-M2643</x:f>
        <x:v>-6</x:v>
      </x:c>
      <x:c r="X2643" s="24" t="n">
        <x:f>IFERROR(K2643/I2643,0)</x:f>
        <x:v>0.5625</x:v>
      </x:c>
      <x:c r="Y2643" s="24" t="n">
        <x:f>IFERROR(G2643/I2643,0)</x:f>
        <x:v>0.125</x:v>
      </x:c>
      <x:c r="Z2643" s="24" t="n">
        <x:f>IFERROR(G2643/K2643,0)</x:f>
        <x:v>0.2222222222222222</x:v>
      </x:c>
      <x:c r="AA2643" s="24" t="n">
        <x:f>IFERROR(F2643/H2643,0)-IFERROR(G2643/I2643,0)</x:f>
        <x:v>0.05681818181818182</x:v>
      </x:c>
      <x:c r="AB2643" s="28" t="n">
        <x:f>J2643-K2643</x:f>
        <x:v>-3</x:v>
      </x:c>
      <x:c r="AC2643" s="32" t="n">
        <x:f>F2643-G2643</x:f>
        <x:v>0</x:v>
      </x:c>
    </x:row>
    <x:row r="2644">
      <x:c r="A2644" s="4" t="str">
        <x:v>2024-25</x:v>
      </x:c>
      <x:c r="B2644" s="20" t="n">
        <x:v>45655</x:v>
      </x:c>
      <x:c r="C2644" s="4" t="str">
        <x:v>Leicester</x:v>
      </x:c>
      <x:c r="D2644" s="4" t="str">
        <x:v>Man City</x:v>
      </x:c>
      <x:c r="E2644" s="4" t="str">
        <x:v>Home</x:v>
      </x:c>
      <x:c r="F2644" s="28" t="n">
        <x:v>0</x:v>
      </x:c>
      <x:c r="G2644" s="28" t="n">
        <x:v>2</x:v>
      </x:c>
      <x:c r="H2644" s="28" t="n">
        <x:v>11</x:v>
      </x:c>
      <x:c r="I2644" s="28" t="n">
        <x:v>14</x:v>
      </x:c>
      <x:c r="J2644" s="28" t="n">
        <x:v>4</x:v>
      </x:c>
      <x:c r="K2644" s="28" t="n">
        <x:v>5</x:v>
      </x:c>
      <x:c r="L2644" s="28" t="n">
        <x:v>4</x:v>
      </x:c>
      <x:c r="M2644" s="28" t="n">
        <x:v>4</x:v>
      </x:c>
      <x:c r="N2644" s="28" t="n">
        <x:v>2</x:v>
      </x:c>
      <x:c r="O2644" s="28" t="n">
        <x:v>0</x:v>
      </x:c>
      <x:c r="P2644" s="28" t="n">
        <x:v>0</x:v>
      </x:c>
      <x:c r="Q2644" s="24" t="n">
        <x:f>IFERROR(J2644/H2644,0)</x:f>
        <x:v>0.36363636363636365</x:v>
      </x:c>
      <x:c r="R2644" s="24" t="n">
        <x:f>IFERROR(F2644/H2644,0)</x:f>
        <x:v>0</x:v>
      </x:c>
      <x:c r="S2644" s="24" t="n">
        <x:f>IFERROR(F2644/J2644,0)</x:f>
        <x:v>0</x:v>
      </x:c>
      <x:c r="T2644" s="28" t="n">
        <x:f>H2644-I2644</x:f>
        <x:v>-3</x:v>
      </x:c>
      <x:c r="U2644" s="24" t="n">
        <x:f>IFERROR(J2644/H2644,0)-IFERROR(K2644/I2644,0)</x:f>
        <x:v>0.006493506493506496</x:v>
      </x:c>
      <x:c r="V2644" s="24" t="n">
        <x:f>IFERROR(F2644/J2644,0)-IFERROR(G2644/K2644,0)</x:f>
        <x:v>-0.4</x:v>
      </x:c>
      <x:c r="W2644" s="28" t="n">
        <x:f>L2644-M2644</x:f>
        <x:v>0</x:v>
      </x:c>
      <x:c r="X2644" s="24" t="n">
        <x:f>IFERROR(K2644/I2644,0)</x:f>
        <x:v>0.35714285714285715</x:v>
      </x:c>
      <x:c r="Y2644" s="24" t="n">
        <x:f>IFERROR(G2644/I2644,0)</x:f>
        <x:v>0.14285714285714285</x:v>
      </x:c>
      <x:c r="Z2644" s="24" t="n">
        <x:f>IFERROR(G2644/K2644,0)</x:f>
        <x:v>0.4</x:v>
      </x:c>
      <x:c r="AA2644" s="24" t="n">
        <x:f>IFERROR(F2644/H2644,0)-IFERROR(G2644/I2644,0)</x:f>
        <x:v>-0.14285714285714285</x:v>
      </x:c>
      <x:c r="AB2644" s="28" t="n">
        <x:f>J2644-K2644</x:f>
        <x:v>-1</x:v>
      </x:c>
      <x:c r="AC2644" s="32" t="n">
        <x:f>F2644-G2644</x:f>
        <x:v>-2</x:v>
      </x:c>
    </x:row>
    <x:row r="2645">
      <x:c r="A2645" s="4" t="str">
        <x:v>2024-25</x:v>
      </x:c>
      <x:c r="B2645" s="20" t="n">
        <x:v>45655</x:v>
      </x:c>
      <x:c r="C2645" s="4" t="str">
        <x:v>Liverpool</x:v>
      </x:c>
      <x:c r="D2645" s="4" t="str">
        <x:v>West Ham</x:v>
      </x:c>
      <x:c r="E2645" s="4" t="str">
        <x:v>Away</x:v>
      </x:c>
      <x:c r="F2645" s="28" t="n">
        <x:v>5</x:v>
      </x:c>
      <x:c r="G2645" s="28" t="n">
        <x:v>0</x:v>
      </x:c>
      <x:c r="H2645" s="28" t="n">
        <x:v>22</x:v>
      </x:c>
      <x:c r="I2645" s="28" t="n">
        <x:v>7</x:v>
      </x:c>
      <x:c r="J2645" s="28" t="n">
        <x:v>13</x:v>
      </x:c>
      <x:c r="K2645" s="28" t="n">
        <x:v>0</x:v>
      </x:c>
      <x:c r="L2645" s="28" t="n">
        <x:v>6</x:v>
      </x:c>
      <x:c r="M2645" s="28" t="n">
        <x:v>3</x:v>
      </x:c>
      <x:c r="N2645" s="28" t="n">
        <x:v>0</x:v>
      </x:c>
      <x:c r="O2645" s="28" t="n">
        <x:v>0</x:v>
      </x:c>
      <x:c r="P2645" s="28" t="n">
        <x:v>3</x:v>
      </x:c>
      <x:c r="Q2645" s="24" t="n">
        <x:f>IFERROR(J2645/H2645,0)</x:f>
        <x:v>0.5909090909090909</x:v>
      </x:c>
      <x:c r="R2645" s="24" t="n">
        <x:f>IFERROR(F2645/H2645,0)</x:f>
        <x:v>0.22727272727272727</x:v>
      </x:c>
      <x:c r="S2645" s="24" t="n">
        <x:f>IFERROR(F2645/J2645,0)</x:f>
        <x:v>0.38461538461538464</x:v>
      </x:c>
      <x:c r="T2645" s="28" t="n">
        <x:f>H2645-I2645</x:f>
        <x:v>15</x:v>
      </x:c>
      <x:c r="U2645" s="24" t="n">
        <x:f>IFERROR(J2645/H2645,0)-IFERROR(K2645/I2645,0)</x:f>
        <x:v>0.5909090909090909</x:v>
      </x:c>
      <x:c r="V2645" s="24" t="n">
        <x:f>IFERROR(F2645/J2645,0)-IFERROR(G2645/K2645,0)</x:f>
        <x:v>0.38461538461538464</x:v>
      </x:c>
      <x:c r="W2645" s="28" t="n">
        <x:f>L2645-M2645</x:f>
        <x:v>3</x:v>
      </x:c>
      <x:c r="X2645" s="24" t="n">
        <x:f>IFERROR(K2645/I2645,0)</x:f>
        <x:v>0</x:v>
      </x:c>
      <x:c r="Y2645" s="24" t="n">
        <x:f>IFERROR(G2645/I2645,0)</x:f>
        <x:v>0</x:v>
      </x:c>
      <x:c r="Z2645" s="24" t="n">
        <x:f>IFERROR(G2645/K2645,0)</x:f>
        <x:v>0</x:v>
      </x:c>
      <x:c r="AA2645" s="24" t="n">
        <x:f>IFERROR(F2645/H2645,0)-IFERROR(G2645/I2645,0)</x:f>
        <x:v>0.22727272727272727</x:v>
      </x:c>
      <x:c r="AB2645" s="28" t="n">
        <x:f>J2645-K2645</x:f>
        <x:v>13</x:v>
      </x:c>
      <x:c r="AC2645" s="32" t="n">
        <x:f>F2645-G2645</x:f>
        <x:v>5</x:v>
      </x:c>
    </x:row>
    <x:row r="2646">
      <x:c r="A2646" s="4" t="str">
        <x:v>2024-25</x:v>
      </x:c>
      <x:c r="B2646" s="20" t="n">
        <x:v>45655</x:v>
      </x:c>
      <x:c r="C2646" s="4" t="str">
        <x:v>Man City</x:v>
      </x:c>
      <x:c r="D2646" s="4" t="str">
        <x:v>Leicester</x:v>
      </x:c>
      <x:c r="E2646" s="4" t="str">
        <x:v>Away</x:v>
      </x:c>
      <x:c r="F2646" s="28" t="n">
        <x:v>2</x:v>
      </x:c>
      <x:c r="G2646" s="28" t="n">
        <x:v>0</x:v>
      </x:c>
      <x:c r="H2646" s="28" t="n">
        <x:v>14</x:v>
      </x:c>
      <x:c r="I2646" s="28" t="n">
        <x:v>11</x:v>
      </x:c>
      <x:c r="J2646" s="28" t="n">
        <x:v>5</x:v>
      </x:c>
      <x:c r="K2646" s="28" t="n">
        <x:v>4</x:v>
      </x:c>
      <x:c r="L2646" s="28" t="n">
        <x:v>4</x:v>
      </x:c>
      <x:c r="M2646" s="28" t="n">
        <x:v>4</x:v>
      </x:c>
      <x:c r="N2646" s="28" t="n">
        <x:v>1</x:v>
      </x:c>
      <x:c r="O2646" s="28" t="n">
        <x:v>0</x:v>
      </x:c>
      <x:c r="P2646" s="28" t="n">
        <x:v>3</x:v>
      </x:c>
      <x:c r="Q2646" s="24" t="n">
        <x:f>IFERROR(J2646/H2646,0)</x:f>
        <x:v>0.35714285714285715</x:v>
      </x:c>
      <x:c r="R2646" s="24" t="n">
        <x:f>IFERROR(F2646/H2646,0)</x:f>
        <x:v>0.14285714285714285</x:v>
      </x:c>
      <x:c r="S2646" s="24" t="n">
        <x:f>IFERROR(F2646/J2646,0)</x:f>
        <x:v>0.4</x:v>
      </x:c>
      <x:c r="T2646" s="28" t="n">
        <x:f>H2646-I2646</x:f>
        <x:v>3</x:v>
      </x:c>
      <x:c r="U2646" s="24" t="n">
        <x:f>IFERROR(J2646/H2646,0)-IFERROR(K2646/I2646,0)</x:f>
        <x:v>-0.006493506493506496</x:v>
      </x:c>
      <x:c r="V2646" s="24" t="n">
        <x:f>IFERROR(F2646/J2646,0)-IFERROR(G2646/K2646,0)</x:f>
        <x:v>0.4</x:v>
      </x:c>
      <x:c r="W2646" s="28" t="n">
        <x:f>L2646-M2646</x:f>
        <x:v>0</x:v>
      </x:c>
      <x:c r="X2646" s="24" t="n">
        <x:f>IFERROR(K2646/I2646,0)</x:f>
        <x:v>0.36363636363636365</x:v>
      </x:c>
      <x:c r="Y2646" s="24" t="n">
        <x:f>IFERROR(G2646/I2646,0)</x:f>
        <x:v>0</x:v>
      </x:c>
      <x:c r="Z2646" s="24" t="n">
        <x:f>IFERROR(G2646/K2646,0)</x:f>
        <x:v>0</x:v>
      </x:c>
      <x:c r="AA2646" s="24" t="n">
        <x:f>IFERROR(F2646/H2646,0)-IFERROR(G2646/I2646,0)</x:f>
        <x:v>0.14285714285714285</x:v>
      </x:c>
      <x:c r="AB2646" s="28" t="n">
        <x:f>J2646-K2646</x:f>
        <x:v>1</x:v>
      </x:c>
      <x:c r="AC2646" s="32" t="n">
        <x:f>F2646-G2646</x:f>
        <x:v>2</x:v>
      </x:c>
    </x:row>
    <x:row r="2647">
      <x:c r="A2647" s="4" t="str">
        <x:v>2024-25</x:v>
      </x:c>
      <x:c r="B2647" s="20" t="n">
        <x:v>45655</x:v>
      </x:c>
      <x:c r="C2647" s="4" t="str">
        <x:v>Nott'm Forest</x:v>
      </x:c>
      <x:c r="D2647" s="4" t="str">
        <x:v>Everton</x:v>
      </x:c>
      <x:c r="E2647" s="4" t="str">
        <x:v>Away</x:v>
      </x:c>
      <x:c r="F2647" s="28" t="n">
        <x:v>2</x:v>
      </x:c>
      <x:c r="G2647" s="28" t="n">
        <x:v>0</x:v>
      </x:c>
      <x:c r="H2647" s="28" t="n">
        <x:v>11</x:v>
      </x:c>
      <x:c r="I2647" s="28" t="n">
        <x:v>13</x:v>
      </x:c>
      <x:c r="J2647" s="28" t="n">
        <x:v>7</x:v>
      </x:c>
      <x:c r="K2647" s="28" t="n">
        <x:v>2</x:v>
      </x:c>
      <x:c r="L2647" s="28" t="n">
        <x:v>4</x:v>
      </x:c>
      <x:c r="M2647" s="28" t="n">
        <x:v>5</x:v>
      </x:c>
      <x:c r="N2647" s="28" t="n">
        <x:v>1</x:v>
      </x:c>
      <x:c r="O2647" s="28" t="n">
        <x:v>0</x:v>
      </x:c>
      <x:c r="P2647" s="28" t="n">
        <x:v>3</x:v>
      </x:c>
      <x:c r="Q2647" s="24" t="n">
        <x:f>IFERROR(J2647/H2647,0)</x:f>
        <x:v>0.6363636363636364</x:v>
      </x:c>
      <x:c r="R2647" s="24" t="n">
        <x:f>IFERROR(F2647/H2647,0)</x:f>
        <x:v>0.18181818181818182</x:v>
      </x:c>
      <x:c r="S2647" s="24" t="n">
        <x:f>IFERROR(F2647/J2647,0)</x:f>
        <x:v>0.2857142857142857</x:v>
      </x:c>
      <x:c r="T2647" s="28" t="n">
        <x:f>H2647-I2647</x:f>
        <x:v>-2</x:v>
      </x:c>
      <x:c r="U2647" s="24" t="n">
        <x:f>IFERROR(J2647/H2647,0)-IFERROR(K2647/I2647,0)</x:f>
        <x:v>0.4825174825174825</x:v>
      </x:c>
      <x:c r="V2647" s="24" t="n">
        <x:f>IFERROR(F2647/J2647,0)-IFERROR(G2647/K2647,0)</x:f>
        <x:v>0.2857142857142857</x:v>
      </x:c>
      <x:c r="W2647" s="28" t="n">
        <x:f>L2647-M2647</x:f>
        <x:v>-1</x:v>
      </x:c>
      <x:c r="X2647" s="24" t="n">
        <x:f>IFERROR(K2647/I2647,0)</x:f>
        <x:v>0.15384615384615385</x:v>
      </x:c>
      <x:c r="Y2647" s="24" t="n">
        <x:f>IFERROR(G2647/I2647,0)</x:f>
        <x:v>0</x:v>
      </x:c>
      <x:c r="Z2647" s="24" t="n">
        <x:f>IFERROR(G2647/K2647,0)</x:f>
        <x:v>0</x:v>
      </x:c>
      <x:c r="AA2647" s="24" t="n">
        <x:f>IFERROR(F2647/H2647,0)-IFERROR(G2647/I2647,0)</x:f>
        <x:v>0.18181818181818182</x:v>
      </x:c>
      <x:c r="AB2647" s="28" t="n">
        <x:f>J2647-K2647</x:f>
        <x:v>5</x:v>
      </x:c>
      <x:c r="AC2647" s="32" t="n">
        <x:f>F2647-G2647</x:f>
        <x:v>2</x:v>
      </x:c>
    </x:row>
    <x:row r="2648">
      <x:c r="A2648" s="4" t="str">
        <x:v>2024-25</x:v>
      </x:c>
      <x:c r="B2648" s="20" t="n">
        <x:v>45655</x:v>
      </x:c>
      <x:c r="C2648" s="4" t="str">
        <x:v>Southampton</x:v>
      </x:c>
      <x:c r="D2648" s="4" t="str">
        <x:v>Crystal Palace</x:v>
      </x:c>
      <x:c r="E2648" s="4" t="str">
        <x:v>Away</x:v>
      </x:c>
      <x:c r="F2648" s="28" t="n">
        <x:v>1</x:v>
      </x:c>
      <x:c r="G2648" s="28" t="n">
        <x:v>2</x:v>
      </x:c>
      <x:c r="H2648" s="28" t="n">
        <x:v>7</x:v>
      </x:c>
      <x:c r="I2648" s="28" t="n">
        <x:v>19</x:v>
      </x:c>
      <x:c r="J2648" s="28" t="n">
        <x:v>3</x:v>
      </x:c>
      <x:c r="K2648" s="28" t="n">
        <x:v>10</x:v>
      </x:c>
      <x:c r="L2648" s="28" t="n">
        <x:v>7</x:v>
      </x:c>
      <x:c r="M2648" s="28" t="n">
        <x:v>8</x:v>
      </x:c>
      <x:c r="N2648" s="28" t="n">
        <x:v>3</x:v>
      </x:c>
      <x:c r="O2648" s="28" t="n">
        <x:v>0</x:v>
      </x:c>
      <x:c r="P2648" s="28" t="n">
        <x:v>0</x:v>
      </x:c>
      <x:c r="Q2648" s="24" t="n">
        <x:f>IFERROR(J2648/H2648,0)</x:f>
        <x:v>0.42857142857142855</x:v>
      </x:c>
      <x:c r="R2648" s="24" t="n">
        <x:f>IFERROR(F2648/H2648,0)</x:f>
        <x:v>0.14285714285714285</x:v>
      </x:c>
      <x:c r="S2648" s="24" t="n">
        <x:f>IFERROR(F2648/J2648,0)</x:f>
        <x:v>0.3333333333333333</x:v>
      </x:c>
      <x:c r="T2648" s="28" t="n">
        <x:f>H2648-I2648</x:f>
        <x:v>-12</x:v>
      </x:c>
      <x:c r="U2648" s="24" t="n">
        <x:f>IFERROR(J2648/H2648,0)-IFERROR(K2648/I2648,0)</x:f>
        <x:v>-0.09774436090225563</x:v>
      </x:c>
      <x:c r="V2648" s="24" t="n">
        <x:f>IFERROR(F2648/J2648,0)-IFERROR(G2648/K2648,0)</x:f>
        <x:v>0.1333333333333333</x:v>
      </x:c>
      <x:c r="W2648" s="28" t="n">
        <x:f>L2648-M2648</x:f>
        <x:v>-1</x:v>
      </x:c>
      <x:c r="X2648" s="24" t="n">
        <x:f>IFERROR(K2648/I2648,0)</x:f>
        <x:v>0.5263157894736842</x:v>
      </x:c>
      <x:c r="Y2648" s="24" t="n">
        <x:f>IFERROR(G2648/I2648,0)</x:f>
        <x:v>0.10526315789473684</x:v>
      </x:c>
      <x:c r="Z2648" s="24" t="n">
        <x:f>IFERROR(G2648/K2648,0)</x:f>
        <x:v>0.2</x:v>
      </x:c>
      <x:c r="AA2648" s="24" t="n">
        <x:f>IFERROR(F2648/H2648,0)-IFERROR(G2648/I2648,0)</x:f>
        <x:v>0.03759398496240601</x:v>
      </x:c>
      <x:c r="AB2648" s="28" t="n">
        <x:f>J2648-K2648</x:f>
        <x:v>-7</x:v>
      </x:c>
      <x:c r="AC2648" s="32" t="n">
        <x:f>F2648-G2648</x:f>
        <x:v>-1</x:v>
      </x:c>
    </x:row>
    <x:row r="2649">
      <x:c r="A2649" s="4" t="str">
        <x:v>2024-25</x:v>
      </x:c>
      <x:c r="B2649" s="20" t="n">
        <x:v>45655</x:v>
      </x:c>
      <x:c r="C2649" s="4" t="str">
        <x:v>Tottenham</x:v>
      </x:c>
      <x:c r="D2649" s="4" t="str">
        <x:v>Wolves</x:v>
      </x:c>
      <x:c r="E2649" s="4" t="str">
        <x:v>Home</x:v>
      </x:c>
      <x:c r="F2649" s="28" t="n">
        <x:v>2</x:v>
      </x:c>
      <x:c r="G2649" s="28" t="n">
        <x:v>2</x:v>
      </x:c>
      <x:c r="H2649" s="28" t="n">
        <x:v>13</x:v>
      </x:c>
      <x:c r="I2649" s="28" t="n">
        <x:v>11</x:v>
      </x:c>
      <x:c r="J2649" s="28" t="n">
        <x:v>3</x:v>
      </x:c>
      <x:c r="K2649" s="28" t="n">
        <x:v>3</x:v>
      </x:c>
      <x:c r="L2649" s="28" t="n">
        <x:v>5</x:v>
      </x:c>
      <x:c r="M2649" s="28" t="n">
        <x:v>5</x:v>
      </x:c>
      <x:c r="N2649" s="28" t="n">
        <x:v>1</x:v>
      </x:c>
      <x:c r="O2649" s="28" t="n">
        <x:v>0</x:v>
      </x:c>
      <x:c r="P2649" s="28" t="n">
        <x:v>1</x:v>
      </x:c>
      <x:c r="Q2649" s="24" t="n">
        <x:f>IFERROR(J2649/H2649,0)</x:f>
        <x:v>0.23076923076923078</x:v>
      </x:c>
      <x:c r="R2649" s="24" t="n">
        <x:f>IFERROR(F2649/H2649,0)</x:f>
        <x:v>0.15384615384615385</x:v>
      </x:c>
      <x:c r="S2649" s="24" t="n">
        <x:f>IFERROR(F2649/J2649,0)</x:f>
        <x:v>0.6666666666666666</x:v>
      </x:c>
      <x:c r="T2649" s="28" t="n">
        <x:f>H2649-I2649</x:f>
        <x:v>2</x:v>
      </x:c>
      <x:c r="U2649" s="24" t="n">
        <x:f>IFERROR(J2649/H2649,0)-IFERROR(K2649/I2649,0)</x:f>
        <x:v>-0.041958041958041925</x:v>
      </x:c>
      <x:c r="V2649" s="24" t="n">
        <x:f>IFERROR(F2649/J2649,0)-IFERROR(G2649/K2649,0)</x:f>
        <x:v>0</x:v>
      </x:c>
      <x:c r="W2649" s="28" t="n">
        <x:f>L2649-M2649</x:f>
        <x:v>0</x:v>
      </x:c>
      <x:c r="X2649" s="24" t="n">
        <x:f>IFERROR(K2649/I2649,0)</x:f>
        <x:v>0.2727272727272727</x:v>
      </x:c>
      <x:c r="Y2649" s="24" t="n">
        <x:f>IFERROR(G2649/I2649,0)</x:f>
        <x:v>0.18181818181818182</x:v>
      </x:c>
      <x:c r="Z2649" s="24" t="n">
        <x:f>IFERROR(G2649/K2649,0)</x:f>
        <x:v>0.6666666666666666</x:v>
      </x:c>
      <x:c r="AA2649" s="24" t="n">
        <x:f>IFERROR(F2649/H2649,0)-IFERROR(G2649/I2649,0)</x:f>
        <x:v>-0.02797202797202797</x:v>
      </x:c>
      <x:c r="AB2649" s="28" t="n">
        <x:f>J2649-K2649</x:f>
        <x:v>0</x:v>
      </x:c>
      <x:c r="AC2649" s="32" t="n">
        <x:f>F2649-G2649</x:f>
        <x:v>0</x:v>
      </x:c>
    </x:row>
    <x:row r="2650">
      <x:c r="A2650" s="4" t="str">
        <x:v>2024-25</x:v>
      </x:c>
      <x:c r="B2650" s="20" t="n">
        <x:v>45655</x:v>
      </x:c>
      <x:c r="C2650" s="4" t="str">
        <x:v>West Ham</x:v>
      </x:c>
      <x:c r="D2650" s="4" t="str">
        <x:v>Liverpool</x:v>
      </x:c>
      <x:c r="E2650" s="4" t="str">
        <x:v>Home</x:v>
      </x:c>
      <x:c r="F2650" s="28" t="n">
        <x:v>0</x:v>
      </x:c>
      <x:c r="G2650" s="28" t="n">
        <x:v>5</x:v>
      </x:c>
      <x:c r="H2650" s="28" t="n">
        <x:v>7</x:v>
      </x:c>
      <x:c r="I2650" s="28" t="n">
        <x:v>22</x:v>
      </x:c>
      <x:c r="J2650" s="28" t="n">
        <x:v>0</x:v>
      </x:c>
      <x:c r="K2650" s="28" t="n">
        <x:v>13</x:v>
      </x:c>
      <x:c r="L2650" s="28" t="n">
        <x:v>3</x:v>
      </x:c>
      <x:c r="M2650" s="28" t="n">
        <x:v>6</x:v>
      </x:c>
      <x:c r="N2650" s="28" t="n">
        <x:v>0</x:v>
      </x:c>
      <x:c r="O2650" s="28" t="n">
        <x:v>0</x:v>
      </x:c>
      <x:c r="P2650" s="28" t="n">
        <x:v>0</x:v>
      </x:c>
      <x:c r="Q2650" s="24" t="n">
        <x:f>IFERROR(J2650/H2650,0)</x:f>
        <x:v>0</x:v>
      </x:c>
      <x:c r="R2650" s="24" t="n">
        <x:f>IFERROR(F2650/H2650,0)</x:f>
        <x:v>0</x:v>
      </x:c>
      <x:c r="S2650" s="24" t="n">
        <x:f>IFERROR(F2650/J2650,0)</x:f>
        <x:v>0</x:v>
      </x:c>
      <x:c r="T2650" s="28" t="n">
        <x:f>H2650-I2650</x:f>
        <x:v>-15</x:v>
      </x:c>
      <x:c r="U2650" s="24" t="n">
        <x:f>IFERROR(J2650/H2650,0)-IFERROR(K2650/I2650,0)</x:f>
        <x:v>-0.5909090909090909</x:v>
      </x:c>
      <x:c r="V2650" s="24" t="n">
        <x:f>IFERROR(F2650/J2650,0)-IFERROR(G2650/K2650,0)</x:f>
        <x:v>-0.38461538461538464</x:v>
      </x:c>
      <x:c r="W2650" s="28" t="n">
        <x:f>L2650-M2650</x:f>
        <x:v>-3</x:v>
      </x:c>
      <x:c r="X2650" s="24" t="n">
        <x:f>IFERROR(K2650/I2650,0)</x:f>
        <x:v>0.5909090909090909</x:v>
      </x:c>
      <x:c r="Y2650" s="24" t="n">
        <x:f>IFERROR(G2650/I2650,0)</x:f>
        <x:v>0.22727272727272727</x:v>
      </x:c>
      <x:c r="Z2650" s="24" t="n">
        <x:f>IFERROR(G2650/K2650,0)</x:f>
        <x:v>0.38461538461538464</x:v>
      </x:c>
      <x:c r="AA2650" s="24" t="n">
        <x:f>IFERROR(F2650/H2650,0)-IFERROR(G2650/I2650,0)</x:f>
        <x:v>-0.22727272727272727</x:v>
      </x:c>
      <x:c r="AB2650" s="28" t="n">
        <x:f>J2650-K2650</x:f>
        <x:v>-13</x:v>
      </x:c>
      <x:c r="AC2650" s="32" t="n">
        <x:f>F2650-G2650</x:f>
        <x:v>-5</x:v>
      </x:c>
    </x:row>
    <x:row r="2651">
      <x:c r="A2651" s="4" t="str">
        <x:v>2024-25</x:v>
      </x:c>
      <x:c r="B2651" s="20" t="n">
        <x:v>45655</x:v>
      </x:c>
      <x:c r="C2651" s="4" t="str">
        <x:v>Wolves</x:v>
      </x:c>
      <x:c r="D2651" s="4" t="str">
        <x:v>Tottenham</x:v>
      </x:c>
      <x:c r="E2651" s="4" t="str">
        <x:v>Away</x:v>
      </x:c>
      <x:c r="F2651" s="28" t="n">
        <x:v>2</x:v>
      </x:c>
      <x:c r="G2651" s="28" t="n">
        <x:v>2</x:v>
      </x:c>
      <x:c r="H2651" s="28" t="n">
        <x:v>11</x:v>
      </x:c>
      <x:c r="I2651" s="28" t="n">
        <x:v>13</x:v>
      </x:c>
      <x:c r="J2651" s="28" t="n">
        <x:v>3</x:v>
      </x:c>
      <x:c r="K2651" s="28" t="n">
        <x:v>3</x:v>
      </x:c>
      <x:c r="L2651" s="28" t="n">
        <x:v>5</x:v>
      </x:c>
      <x:c r="M2651" s="28" t="n">
        <x:v>5</x:v>
      </x:c>
      <x:c r="N2651" s="28" t="n">
        <x:v>2</x:v>
      </x:c>
      <x:c r="O2651" s="28" t="n">
        <x:v>0</x:v>
      </x:c>
      <x:c r="P2651" s="28" t="n">
        <x:v>1</x:v>
      </x:c>
      <x:c r="Q2651" s="24" t="n">
        <x:f>IFERROR(J2651/H2651,0)</x:f>
        <x:v>0.2727272727272727</x:v>
      </x:c>
      <x:c r="R2651" s="24" t="n">
        <x:f>IFERROR(F2651/H2651,0)</x:f>
        <x:v>0.18181818181818182</x:v>
      </x:c>
      <x:c r="S2651" s="24" t="n">
        <x:f>IFERROR(F2651/J2651,0)</x:f>
        <x:v>0.6666666666666666</x:v>
      </x:c>
      <x:c r="T2651" s="28" t="n">
        <x:f>H2651-I2651</x:f>
        <x:v>-2</x:v>
      </x:c>
      <x:c r="U2651" s="24" t="n">
        <x:f>IFERROR(J2651/H2651,0)-IFERROR(K2651/I2651,0)</x:f>
        <x:v>0.041958041958041925</x:v>
      </x:c>
      <x:c r="V2651" s="24" t="n">
        <x:f>IFERROR(F2651/J2651,0)-IFERROR(G2651/K2651,0)</x:f>
        <x:v>0</x:v>
      </x:c>
      <x:c r="W2651" s="28" t="n">
        <x:f>L2651-M2651</x:f>
        <x:v>0</x:v>
      </x:c>
      <x:c r="X2651" s="24" t="n">
        <x:f>IFERROR(K2651/I2651,0)</x:f>
        <x:v>0.23076923076923078</x:v>
      </x:c>
      <x:c r="Y2651" s="24" t="n">
        <x:f>IFERROR(G2651/I2651,0)</x:f>
        <x:v>0.15384615384615385</x:v>
      </x:c>
      <x:c r="Z2651" s="24" t="n">
        <x:f>IFERROR(G2651/K2651,0)</x:f>
        <x:v>0.6666666666666666</x:v>
      </x:c>
      <x:c r="AA2651" s="24" t="n">
        <x:f>IFERROR(F2651/H2651,0)-IFERROR(G2651/I2651,0)</x:f>
        <x:v>0.02797202797202797</x:v>
      </x:c>
      <x:c r="AB2651" s="28" t="n">
        <x:f>J2651-K2651</x:f>
        <x:v>0</x:v>
      </x:c>
      <x:c r="AC2651" s="32" t="n">
        <x:f>F2651-G2651</x:f>
        <x:v>0</x:v>
      </x:c>
    </x:row>
    <x:row r="2652">
      <x:c r="A2652" s="4" t="str">
        <x:v>2024-25</x:v>
      </x:c>
      <x:c r="B2652" s="20" t="n">
        <x:v>45656</x:v>
      </x:c>
      <x:c r="C2652" s="4" t="str">
        <x:v>Aston Villa</x:v>
      </x:c>
      <x:c r="D2652" s="4" t="str">
        <x:v>Brighton</x:v>
      </x:c>
      <x:c r="E2652" s="4" t="str">
        <x:v>Home</x:v>
      </x:c>
      <x:c r="F2652" s="28" t="n">
        <x:v>2</x:v>
      </x:c>
      <x:c r="G2652" s="28" t="n">
        <x:v>2</x:v>
      </x:c>
      <x:c r="H2652" s="28" t="n">
        <x:v>20</x:v>
      </x:c>
      <x:c r="I2652" s="28" t="n">
        <x:v>13</x:v>
      </x:c>
      <x:c r="J2652" s="28" t="n">
        <x:v>4</x:v>
      </x:c>
      <x:c r="K2652" s="28" t="n">
        <x:v>4</x:v>
      </x:c>
      <x:c r="L2652" s="28" t="n">
        <x:v>12</x:v>
      </x:c>
      <x:c r="M2652" s="28" t="n">
        <x:v>3</x:v>
      </x:c>
      <x:c r="N2652" s="28" t="n">
        <x:v>2</x:v>
      </x:c>
      <x:c r="O2652" s="28" t="n">
        <x:v>0</x:v>
      </x:c>
      <x:c r="P2652" s="28" t="n">
        <x:v>1</x:v>
      </x:c>
      <x:c r="Q2652" s="24" t="n">
        <x:f>IFERROR(J2652/H2652,0)</x:f>
        <x:v>0.2</x:v>
      </x:c>
      <x:c r="R2652" s="24" t="n">
        <x:f>IFERROR(F2652/H2652,0)</x:f>
        <x:v>0.1</x:v>
      </x:c>
      <x:c r="S2652" s="24" t="n">
        <x:f>IFERROR(F2652/J2652,0)</x:f>
        <x:v>0.5</x:v>
      </x:c>
      <x:c r="T2652" s="28" t="n">
        <x:f>H2652-I2652</x:f>
        <x:v>7</x:v>
      </x:c>
      <x:c r="U2652" s="24" t="n">
        <x:f>IFERROR(J2652/H2652,0)-IFERROR(K2652/I2652,0)</x:f>
        <x:v>-0.1076923076923077</x:v>
      </x:c>
      <x:c r="V2652" s="24" t="n">
        <x:f>IFERROR(F2652/J2652,0)-IFERROR(G2652/K2652,0)</x:f>
        <x:v>0</x:v>
      </x:c>
      <x:c r="W2652" s="28" t="n">
        <x:f>L2652-M2652</x:f>
        <x:v>9</x:v>
      </x:c>
      <x:c r="X2652" s="24" t="n">
        <x:f>IFERROR(K2652/I2652,0)</x:f>
        <x:v>0.3076923076923077</x:v>
      </x:c>
      <x:c r="Y2652" s="24" t="n">
        <x:f>IFERROR(G2652/I2652,0)</x:f>
        <x:v>0.15384615384615385</x:v>
      </x:c>
      <x:c r="Z2652" s="24" t="n">
        <x:f>IFERROR(G2652/K2652,0)</x:f>
        <x:v>0.5</x:v>
      </x:c>
      <x:c r="AA2652" s="24" t="n">
        <x:f>IFERROR(F2652/H2652,0)-IFERROR(G2652/I2652,0)</x:f>
        <x:v>-0.05384615384615385</x:v>
      </x:c>
      <x:c r="AB2652" s="28" t="n">
        <x:f>J2652-K2652</x:f>
        <x:v>0</x:v>
      </x:c>
      <x:c r="AC2652" s="32" t="n">
        <x:f>F2652-G2652</x:f>
        <x:v>0</x:v>
      </x:c>
    </x:row>
    <x:row r="2653">
      <x:c r="A2653" s="4" t="str">
        <x:v>2024-25</x:v>
      </x:c>
      <x:c r="B2653" s="20" t="n">
        <x:v>45656</x:v>
      </x:c>
      <x:c r="C2653" s="4" t="str">
        <x:v>Brighton</x:v>
      </x:c>
      <x:c r="D2653" s="4" t="str">
        <x:v>Aston Villa</x:v>
      </x:c>
      <x:c r="E2653" s="4" t="str">
        <x:v>Away</x:v>
      </x:c>
      <x:c r="F2653" s="28" t="n">
        <x:v>2</x:v>
      </x:c>
      <x:c r="G2653" s="28" t="n">
        <x:v>2</x:v>
      </x:c>
      <x:c r="H2653" s="28" t="n">
        <x:v>13</x:v>
      </x:c>
      <x:c r="I2653" s="28" t="n">
        <x:v>20</x:v>
      </x:c>
      <x:c r="J2653" s="28" t="n">
        <x:v>4</x:v>
      </x:c>
      <x:c r="K2653" s="28" t="n">
        <x:v>4</x:v>
      </x:c>
      <x:c r="L2653" s="28" t="n">
        <x:v>3</x:v>
      </x:c>
      <x:c r="M2653" s="28" t="n">
        <x:v>12</x:v>
      </x:c>
      <x:c r="N2653" s="28" t="n">
        <x:v>3</x:v>
      </x:c>
      <x:c r="O2653" s="28" t="n">
        <x:v>0</x:v>
      </x:c>
      <x:c r="P2653" s="28" t="n">
        <x:v>1</x:v>
      </x:c>
      <x:c r="Q2653" s="24" t="n">
        <x:f>IFERROR(J2653/H2653,0)</x:f>
        <x:v>0.3076923076923077</x:v>
      </x:c>
      <x:c r="R2653" s="24" t="n">
        <x:f>IFERROR(F2653/H2653,0)</x:f>
        <x:v>0.15384615384615385</x:v>
      </x:c>
      <x:c r="S2653" s="24" t="n">
        <x:f>IFERROR(F2653/J2653,0)</x:f>
        <x:v>0.5</x:v>
      </x:c>
      <x:c r="T2653" s="28" t="n">
        <x:f>H2653-I2653</x:f>
        <x:v>-7</x:v>
      </x:c>
      <x:c r="U2653" s="24" t="n">
        <x:f>IFERROR(J2653/H2653,0)-IFERROR(K2653/I2653,0)</x:f>
        <x:v>0.1076923076923077</x:v>
      </x:c>
      <x:c r="V2653" s="24" t="n">
        <x:f>IFERROR(F2653/J2653,0)-IFERROR(G2653/K2653,0)</x:f>
        <x:v>0</x:v>
      </x:c>
      <x:c r="W2653" s="28" t="n">
        <x:f>L2653-M2653</x:f>
        <x:v>-9</x:v>
      </x:c>
      <x:c r="X2653" s="24" t="n">
        <x:f>IFERROR(K2653/I2653,0)</x:f>
        <x:v>0.2</x:v>
      </x:c>
      <x:c r="Y2653" s="24" t="n">
        <x:f>IFERROR(G2653/I2653,0)</x:f>
        <x:v>0.1</x:v>
      </x:c>
      <x:c r="Z2653" s="24" t="n">
        <x:f>IFERROR(G2653/K2653,0)</x:f>
        <x:v>0.5</x:v>
      </x:c>
      <x:c r="AA2653" s="24" t="n">
        <x:f>IFERROR(F2653/H2653,0)-IFERROR(G2653/I2653,0)</x:f>
        <x:v>0.05384615384615385</x:v>
      </x:c>
      <x:c r="AB2653" s="28" t="n">
        <x:f>J2653-K2653</x:f>
        <x:v>0</x:v>
      </x:c>
      <x:c r="AC2653" s="32" t="n">
        <x:f>F2653-G2653</x:f>
        <x:v>0</x:v>
      </x:c>
    </x:row>
    <x:row r="2654">
      <x:c r="A2654" s="4" t="str">
        <x:v>2024-25</x:v>
      </x:c>
      <x:c r="B2654" s="20" t="n">
        <x:v>45656</x:v>
      </x:c>
      <x:c r="C2654" s="4" t="str">
        <x:v>Chelsea</x:v>
      </x:c>
      <x:c r="D2654" s="4" t="str">
        <x:v>Ipswich</x:v>
      </x:c>
      <x:c r="E2654" s="4" t="str">
        <x:v>Away</x:v>
      </x:c>
      <x:c r="F2654" s="28" t="n">
        <x:v>0</x:v>
      </x:c>
      <x:c r="G2654" s="28" t="n">
        <x:v>2</x:v>
      </x:c>
      <x:c r="H2654" s="28" t="n">
        <x:v>20</x:v>
      </x:c>
      <x:c r="I2654" s="28" t="n">
        <x:v>9</x:v>
      </x:c>
      <x:c r="J2654" s="28" t="n">
        <x:v>5</x:v>
      </x:c>
      <x:c r="K2654" s="28" t="n">
        <x:v>6</x:v>
      </x:c>
      <x:c r="L2654" s="28" t="n">
        <x:v>7</x:v>
      </x:c>
      <x:c r="M2654" s="28" t="n">
        <x:v>4</x:v>
      </x:c>
      <x:c r="N2654" s="28" t="n">
        <x:v>4</x:v>
      </x:c>
      <x:c r="O2654" s="28" t="n">
        <x:v>0</x:v>
      </x:c>
      <x:c r="P2654" s="28" t="n">
        <x:v>0</x:v>
      </x:c>
      <x:c r="Q2654" s="24" t="n">
        <x:f>IFERROR(J2654/H2654,0)</x:f>
        <x:v>0.25</x:v>
      </x:c>
      <x:c r="R2654" s="24" t="n">
        <x:f>IFERROR(F2654/H2654,0)</x:f>
        <x:v>0</x:v>
      </x:c>
      <x:c r="S2654" s="24" t="n">
        <x:f>IFERROR(F2654/J2654,0)</x:f>
        <x:v>0</x:v>
      </x:c>
      <x:c r="T2654" s="28" t="n">
        <x:f>H2654-I2654</x:f>
        <x:v>11</x:v>
      </x:c>
      <x:c r="U2654" s="24" t="n">
        <x:f>IFERROR(J2654/H2654,0)-IFERROR(K2654/I2654,0)</x:f>
        <x:v>-0.41666666666666663</x:v>
      </x:c>
      <x:c r="V2654" s="24" t="n">
        <x:f>IFERROR(F2654/J2654,0)-IFERROR(G2654/K2654,0)</x:f>
        <x:v>-0.3333333333333333</x:v>
      </x:c>
      <x:c r="W2654" s="28" t="n">
        <x:f>L2654-M2654</x:f>
        <x:v>3</x:v>
      </x:c>
      <x:c r="X2654" s="24" t="n">
        <x:f>IFERROR(K2654/I2654,0)</x:f>
        <x:v>0.6666666666666666</x:v>
      </x:c>
      <x:c r="Y2654" s="24" t="n">
        <x:f>IFERROR(G2654/I2654,0)</x:f>
        <x:v>0.2222222222222222</x:v>
      </x:c>
      <x:c r="Z2654" s="24" t="n">
        <x:f>IFERROR(G2654/K2654,0)</x:f>
        <x:v>0.3333333333333333</x:v>
      </x:c>
      <x:c r="AA2654" s="24" t="n">
        <x:f>IFERROR(F2654/H2654,0)-IFERROR(G2654/I2654,0)</x:f>
        <x:v>-0.2222222222222222</x:v>
      </x:c>
      <x:c r="AB2654" s="28" t="n">
        <x:f>J2654-K2654</x:f>
        <x:v>-1</x:v>
      </x:c>
      <x:c r="AC2654" s="32" t="n">
        <x:f>F2654-G2654</x:f>
        <x:v>-2</x:v>
      </x:c>
    </x:row>
    <x:row r="2655">
      <x:c r="A2655" s="4" t="str">
        <x:v>2024-25</x:v>
      </x:c>
      <x:c r="B2655" s="20" t="n">
        <x:v>45656</x:v>
      </x:c>
      <x:c r="C2655" s="4" t="str">
        <x:v>Ipswich</x:v>
      </x:c>
      <x:c r="D2655" s="4" t="str">
        <x:v>Chelsea</x:v>
      </x:c>
      <x:c r="E2655" s="4" t="str">
        <x:v>Home</x:v>
      </x:c>
      <x:c r="F2655" s="28" t="n">
        <x:v>2</x:v>
      </x:c>
      <x:c r="G2655" s="28" t="n">
        <x:v>0</x:v>
      </x:c>
      <x:c r="H2655" s="28" t="n">
        <x:v>9</x:v>
      </x:c>
      <x:c r="I2655" s="28" t="n">
        <x:v>20</x:v>
      </x:c>
      <x:c r="J2655" s="28" t="n">
        <x:v>6</x:v>
      </x:c>
      <x:c r="K2655" s="28" t="n">
        <x:v>5</x:v>
      </x:c>
      <x:c r="L2655" s="28" t="n">
        <x:v>4</x:v>
      </x:c>
      <x:c r="M2655" s="28" t="n">
        <x:v>7</x:v>
      </x:c>
      <x:c r="N2655" s="28" t="n">
        <x:v>4</x:v>
      </x:c>
      <x:c r="O2655" s="28" t="n">
        <x:v>0</x:v>
      </x:c>
      <x:c r="P2655" s="28" t="n">
        <x:v>3</x:v>
      </x:c>
      <x:c r="Q2655" s="24" t="n">
        <x:f>IFERROR(J2655/H2655,0)</x:f>
        <x:v>0.6666666666666666</x:v>
      </x:c>
      <x:c r="R2655" s="24" t="n">
        <x:f>IFERROR(F2655/H2655,0)</x:f>
        <x:v>0.2222222222222222</x:v>
      </x:c>
      <x:c r="S2655" s="24" t="n">
        <x:f>IFERROR(F2655/J2655,0)</x:f>
        <x:v>0.3333333333333333</x:v>
      </x:c>
      <x:c r="T2655" s="28" t="n">
        <x:f>H2655-I2655</x:f>
        <x:v>-11</x:v>
      </x:c>
      <x:c r="U2655" s="24" t="n">
        <x:f>IFERROR(J2655/H2655,0)-IFERROR(K2655/I2655,0)</x:f>
        <x:v>0.41666666666666663</x:v>
      </x:c>
      <x:c r="V2655" s="24" t="n">
        <x:f>IFERROR(F2655/J2655,0)-IFERROR(G2655/K2655,0)</x:f>
        <x:v>0.3333333333333333</x:v>
      </x:c>
      <x:c r="W2655" s="28" t="n">
        <x:f>L2655-M2655</x:f>
        <x:v>-3</x:v>
      </x:c>
      <x:c r="X2655" s="24" t="n">
        <x:f>IFERROR(K2655/I2655,0)</x:f>
        <x:v>0.25</x:v>
      </x:c>
      <x:c r="Y2655" s="24" t="n">
        <x:f>IFERROR(G2655/I2655,0)</x:f>
        <x:v>0</x:v>
      </x:c>
      <x:c r="Z2655" s="24" t="n">
        <x:f>IFERROR(G2655/K2655,0)</x:f>
        <x:v>0</x:v>
      </x:c>
      <x:c r="AA2655" s="24" t="n">
        <x:f>IFERROR(F2655/H2655,0)-IFERROR(G2655/I2655,0)</x:f>
        <x:v>0.2222222222222222</x:v>
      </x:c>
      <x:c r="AB2655" s="28" t="n">
        <x:f>J2655-K2655</x:f>
        <x:v>1</x:v>
      </x:c>
      <x:c r="AC2655" s="32" t="n">
        <x:f>F2655-G2655</x:f>
        <x:v>2</x:v>
      </x:c>
    </x:row>
    <x:row r="2656">
      <x:c r="A2656" s="4" t="str">
        <x:v>2024-25</x:v>
      </x:c>
      <x:c r="B2656" s="20" t="n">
        <x:v>45656</x:v>
      </x:c>
      <x:c r="C2656" s="4" t="str">
        <x:v>Man United</x:v>
      </x:c>
      <x:c r="D2656" s="4" t="str">
        <x:v>Newcastle</x:v>
      </x:c>
      <x:c r="E2656" s="4" t="str">
        <x:v>Home</x:v>
      </x:c>
      <x:c r="F2656" s="28" t="n">
        <x:v>0</x:v>
      </x:c>
      <x:c r="G2656" s="28" t="n">
        <x:v>2</x:v>
      </x:c>
      <x:c r="H2656" s="28" t="n">
        <x:v>10</x:v>
      </x:c>
      <x:c r="I2656" s="28" t="n">
        <x:v>12</x:v>
      </x:c>
      <x:c r="J2656" s="28" t="n">
        <x:v>0</x:v>
      </x:c>
      <x:c r="K2656" s="28" t="n">
        <x:v>4</x:v>
      </x:c>
      <x:c r="L2656" s="28" t="n">
        <x:v>2</x:v>
      </x:c>
      <x:c r="M2656" s="28" t="n">
        <x:v>3</x:v>
      </x:c>
      <x:c r="N2656" s="28" t="n">
        <x:v>1</x:v>
      </x:c>
      <x:c r="O2656" s="28" t="n">
        <x:v>0</x:v>
      </x:c>
      <x:c r="P2656" s="28" t="n">
        <x:v>0</x:v>
      </x:c>
      <x:c r="Q2656" s="24" t="n">
        <x:f>IFERROR(J2656/H2656,0)</x:f>
        <x:v>0</x:v>
      </x:c>
      <x:c r="R2656" s="24" t="n">
        <x:f>IFERROR(F2656/H2656,0)</x:f>
        <x:v>0</x:v>
      </x:c>
      <x:c r="S2656" s="24" t="n">
        <x:f>IFERROR(F2656/J2656,0)</x:f>
        <x:v>0</x:v>
      </x:c>
      <x:c r="T2656" s="28" t="n">
        <x:f>H2656-I2656</x:f>
        <x:v>-2</x:v>
      </x:c>
      <x:c r="U2656" s="24" t="n">
        <x:f>IFERROR(J2656/H2656,0)-IFERROR(K2656/I2656,0)</x:f>
        <x:v>-0.3333333333333333</x:v>
      </x:c>
      <x:c r="V2656" s="24" t="n">
        <x:f>IFERROR(F2656/J2656,0)-IFERROR(G2656/K2656,0)</x:f>
        <x:v>-0.5</x:v>
      </x:c>
      <x:c r="W2656" s="28" t="n">
        <x:f>L2656-M2656</x:f>
        <x:v>-1</x:v>
      </x:c>
      <x:c r="X2656" s="24" t="n">
        <x:f>IFERROR(K2656/I2656,0)</x:f>
        <x:v>0.3333333333333333</x:v>
      </x:c>
      <x:c r="Y2656" s="24" t="n">
        <x:f>IFERROR(G2656/I2656,0)</x:f>
        <x:v>0.16666666666666666</x:v>
      </x:c>
      <x:c r="Z2656" s="24" t="n">
        <x:f>IFERROR(G2656/K2656,0)</x:f>
        <x:v>0.5</x:v>
      </x:c>
      <x:c r="AA2656" s="24" t="n">
        <x:f>IFERROR(F2656/H2656,0)-IFERROR(G2656/I2656,0)</x:f>
        <x:v>-0.16666666666666666</x:v>
      </x:c>
      <x:c r="AB2656" s="28" t="n">
        <x:f>J2656-K2656</x:f>
        <x:v>-4</x:v>
      </x:c>
      <x:c r="AC2656" s="32" t="n">
        <x:f>F2656-G2656</x:f>
        <x:v>-2</x:v>
      </x:c>
    </x:row>
    <x:row r="2657">
      <x:c r="A2657" s="4" t="str">
        <x:v>2024-25</x:v>
      </x:c>
      <x:c r="B2657" s="20" t="n">
        <x:v>45656</x:v>
      </x:c>
      <x:c r="C2657" s="4" t="str">
        <x:v>Newcastle</x:v>
      </x:c>
      <x:c r="D2657" s="4" t="str">
        <x:v>Man United</x:v>
      </x:c>
      <x:c r="E2657" s="4" t="str">
        <x:v>Away</x:v>
      </x:c>
      <x:c r="F2657" s="28" t="n">
        <x:v>2</x:v>
      </x:c>
      <x:c r="G2657" s="28" t="n">
        <x:v>0</x:v>
      </x:c>
      <x:c r="H2657" s="28" t="n">
        <x:v>12</x:v>
      </x:c>
      <x:c r="I2657" s="28" t="n">
        <x:v>10</x:v>
      </x:c>
      <x:c r="J2657" s="28" t="n">
        <x:v>4</x:v>
      </x:c>
      <x:c r="K2657" s="28" t="n">
        <x:v>0</x:v>
      </x:c>
      <x:c r="L2657" s="28" t="n">
        <x:v>3</x:v>
      </x:c>
      <x:c r="M2657" s="28" t="n">
        <x:v>2</x:v>
      </x:c>
      <x:c r="N2657" s="28" t="n">
        <x:v>1</x:v>
      </x:c>
      <x:c r="O2657" s="28" t="n">
        <x:v>0</x:v>
      </x:c>
      <x:c r="P2657" s="28" t="n">
        <x:v>3</x:v>
      </x:c>
      <x:c r="Q2657" s="24" t="n">
        <x:f>IFERROR(J2657/H2657,0)</x:f>
        <x:v>0.3333333333333333</x:v>
      </x:c>
      <x:c r="R2657" s="24" t="n">
        <x:f>IFERROR(F2657/H2657,0)</x:f>
        <x:v>0.16666666666666666</x:v>
      </x:c>
      <x:c r="S2657" s="24" t="n">
        <x:f>IFERROR(F2657/J2657,0)</x:f>
        <x:v>0.5</x:v>
      </x:c>
      <x:c r="T2657" s="28" t="n">
        <x:f>H2657-I2657</x:f>
        <x:v>2</x:v>
      </x:c>
      <x:c r="U2657" s="24" t="n">
        <x:f>IFERROR(J2657/H2657,0)-IFERROR(K2657/I2657,0)</x:f>
        <x:v>0.3333333333333333</x:v>
      </x:c>
      <x:c r="V2657" s="24" t="n">
        <x:f>IFERROR(F2657/J2657,0)-IFERROR(G2657/K2657,0)</x:f>
        <x:v>0.5</x:v>
      </x:c>
      <x:c r="W2657" s="28" t="n">
        <x:f>L2657-M2657</x:f>
        <x:v>1</x:v>
      </x:c>
      <x:c r="X2657" s="24" t="n">
        <x:f>IFERROR(K2657/I2657,0)</x:f>
        <x:v>0</x:v>
      </x:c>
      <x:c r="Y2657" s="24" t="n">
        <x:f>IFERROR(G2657/I2657,0)</x:f>
        <x:v>0</x:v>
      </x:c>
      <x:c r="Z2657" s="24" t="n">
        <x:f>IFERROR(G2657/K2657,0)</x:f>
        <x:v>0</x:v>
      </x:c>
      <x:c r="AA2657" s="24" t="n">
        <x:f>IFERROR(F2657/H2657,0)-IFERROR(G2657/I2657,0)</x:f>
        <x:v>0.16666666666666666</x:v>
      </x:c>
      <x:c r="AB2657" s="28" t="n">
        <x:f>J2657-K2657</x:f>
        <x:v>4</x:v>
      </x:c>
      <x:c r="AC2657" s="32" t="n">
        <x:f>F2657-G2657</x:f>
        <x:v>2</x:v>
      </x:c>
    </x:row>
    <x:row r="2658">
      <x:c r="A2658" s="4" t="str">
        <x:v>2024-25</x:v>
      </x:c>
      <x:c r="B2658" s="20" t="n">
        <x:v>45658</x:v>
      </x:c>
      <x:c r="C2658" s="4" t="str">
        <x:v>Arsenal</x:v>
      </x:c>
      <x:c r="D2658" s="4" t="str">
        <x:v>Brentford</x:v>
      </x:c>
      <x:c r="E2658" s="4" t="str">
        <x:v>Away</x:v>
      </x:c>
      <x:c r="F2658" s="28" t="n">
        <x:v>3</x:v>
      </x:c>
      <x:c r="G2658" s="28" t="n">
        <x:v>1</x:v>
      </x:c>
      <x:c r="H2658" s="28" t="n">
        <x:v>14</x:v>
      </x:c>
      <x:c r="I2658" s="28" t="n">
        <x:v>5</x:v>
      </x:c>
      <x:c r="J2658" s="28" t="n">
        <x:v>5</x:v>
      </x:c>
      <x:c r="K2658" s="28" t="n">
        <x:v>2</x:v>
      </x:c>
      <x:c r="L2658" s="28" t="n">
        <x:v>3</x:v>
      </x:c>
      <x:c r="M2658" s="28" t="n">
        <x:v>4</x:v>
      </x:c>
      <x:c r="N2658" s="28" t="n">
        <x:v>2</x:v>
      </x:c>
      <x:c r="O2658" s="28" t="n">
        <x:v>0</x:v>
      </x:c>
      <x:c r="P2658" s="28" t="n">
        <x:v>3</x:v>
      </x:c>
      <x:c r="Q2658" s="24" t="n">
        <x:f>IFERROR(J2658/H2658,0)</x:f>
        <x:v>0.35714285714285715</x:v>
      </x:c>
      <x:c r="R2658" s="24" t="n">
        <x:f>IFERROR(F2658/H2658,0)</x:f>
        <x:v>0.21428571428571427</x:v>
      </x:c>
      <x:c r="S2658" s="24" t="n">
        <x:f>IFERROR(F2658/J2658,0)</x:f>
        <x:v>0.6</x:v>
      </x:c>
      <x:c r="T2658" s="28" t="n">
        <x:f>H2658-I2658</x:f>
        <x:v>9</x:v>
      </x:c>
      <x:c r="U2658" s="24" t="n">
        <x:f>IFERROR(J2658/H2658,0)-IFERROR(K2658/I2658,0)</x:f>
        <x:v>-0.04285714285714287</x:v>
      </x:c>
      <x:c r="V2658" s="24" t="n">
        <x:f>IFERROR(F2658/J2658,0)-IFERROR(G2658/K2658,0)</x:f>
        <x:v>0.09999999999999998</x:v>
      </x:c>
      <x:c r="W2658" s="28" t="n">
        <x:f>L2658-M2658</x:f>
        <x:v>-1</x:v>
      </x:c>
      <x:c r="X2658" s="24" t="n">
        <x:f>IFERROR(K2658/I2658,0)</x:f>
        <x:v>0.4</x:v>
      </x:c>
      <x:c r="Y2658" s="24" t="n">
        <x:f>IFERROR(G2658/I2658,0)</x:f>
        <x:v>0.2</x:v>
      </x:c>
      <x:c r="Z2658" s="24" t="n">
        <x:f>IFERROR(G2658/K2658,0)</x:f>
        <x:v>0.5</x:v>
      </x:c>
      <x:c r="AA2658" s="24" t="n">
        <x:f>IFERROR(F2658/H2658,0)-IFERROR(G2658/I2658,0)</x:f>
        <x:v>0.014285714285714263</x:v>
      </x:c>
      <x:c r="AB2658" s="28" t="n">
        <x:f>J2658-K2658</x:f>
        <x:v>3</x:v>
      </x:c>
      <x:c r="AC2658" s="32" t="n">
        <x:f>F2658-G2658</x:f>
        <x:v>2</x:v>
      </x:c>
    </x:row>
    <x:row r="2659">
      <x:c r="A2659" s="4" t="str">
        <x:v>2024-25</x:v>
      </x:c>
      <x:c r="B2659" s="20" t="n">
        <x:v>45658</x:v>
      </x:c>
      <x:c r="C2659" s="4" t="str">
        <x:v>Brentford</x:v>
      </x:c>
      <x:c r="D2659" s="4" t="str">
        <x:v>Arsenal</x:v>
      </x:c>
      <x:c r="E2659" s="4" t="str">
        <x:v>Home</x:v>
      </x:c>
      <x:c r="F2659" s="28" t="n">
        <x:v>1</x:v>
      </x:c>
      <x:c r="G2659" s="28" t="n">
        <x:v>3</x:v>
      </x:c>
      <x:c r="H2659" s="28" t="n">
        <x:v>5</x:v>
      </x:c>
      <x:c r="I2659" s="28" t="n">
        <x:v>14</x:v>
      </x:c>
      <x:c r="J2659" s="28" t="n">
        <x:v>2</x:v>
      </x:c>
      <x:c r="K2659" s="28" t="n">
        <x:v>5</x:v>
      </x:c>
      <x:c r="L2659" s="28" t="n">
        <x:v>4</x:v>
      </x:c>
      <x:c r="M2659" s="28" t="n">
        <x:v>3</x:v>
      </x:c>
      <x:c r="N2659" s="28" t="n">
        <x:v>1</x:v>
      </x:c>
      <x:c r="O2659" s="28" t="n">
        <x:v>0</x:v>
      </x:c>
      <x:c r="P2659" s="28" t="n">
        <x:v>0</x:v>
      </x:c>
      <x:c r="Q2659" s="24" t="n">
        <x:f>IFERROR(J2659/H2659,0)</x:f>
        <x:v>0.4</x:v>
      </x:c>
      <x:c r="R2659" s="24" t="n">
        <x:f>IFERROR(F2659/H2659,0)</x:f>
        <x:v>0.2</x:v>
      </x:c>
      <x:c r="S2659" s="24" t="n">
        <x:f>IFERROR(F2659/J2659,0)</x:f>
        <x:v>0.5</x:v>
      </x:c>
      <x:c r="T2659" s="28" t="n">
        <x:f>H2659-I2659</x:f>
        <x:v>-9</x:v>
      </x:c>
      <x:c r="U2659" s="24" t="n">
        <x:f>IFERROR(J2659/H2659,0)-IFERROR(K2659/I2659,0)</x:f>
        <x:v>0.04285714285714287</x:v>
      </x:c>
      <x:c r="V2659" s="24" t="n">
        <x:f>IFERROR(F2659/J2659,0)-IFERROR(G2659/K2659,0)</x:f>
        <x:v>-0.09999999999999998</x:v>
      </x:c>
      <x:c r="W2659" s="28" t="n">
        <x:f>L2659-M2659</x:f>
        <x:v>1</x:v>
      </x:c>
      <x:c r="X2659" s="24" t="n">
        <x:f>IFERROR(K2659/I2659,0)</x:f>
        <x:v>0.35714285714285715</x:v>
      </x:c>
      <x:c r="Y2659" s="24" t="n">
        <x:f>IFERROR(G2659/I2659,0)</x:f>
        <x:v>0.21428571428571427</x:v>
      </x:c>
      <x:c r="Z2659" s="24" t="n">
        <x:f>IFERROR(G2659/K2659,0)</x:f>
        <x:v>0.6</x:v>
      </x:c>
      <x:c r="AA2659" s="24" t="n">
        <x:f>IFERROR(F2659/H2659,0)-IFERROR(G2659/I2659,0)</x:f>
        <x:v>-0.014285714285714263</x:v>
      </x:c>
      <x:c r="AB2659" s="28" t="n">
        <x:f>J2659-K2659</x:f>
        <x:v>-3</x:v>
      </x:c>
      <x:c r="AC2659" s="32" t="n">
        <x:f>F2659-G2659</x:f>
        <x:v>-2</x:v>
      </x:c>
    </x:row>
    <x:row r="2660">
      <x:c r="A2660" s="4" t="str">
        <x:v>2024-25</x:v>
      </x:c>
      <x:c r="B2660" s="20" t="n">
        <x:v>45661</x:v>
      </x:c>
      <x:c r="C2660" s="4" t="str">
        <x:v>Arsenal</x:v>
      </x:c>
      <x:c r="D2660" s="4" t="str">
        <x:v>Brighton</x:v>
      </x:c>
      <x:c r="E2660" s="4" t="str">
        <x:v>Away</x:v>
      </x:c>
      <x:c r="F2660" s="28" t="n">
        <x:v>1</x:v>
      </x:c>
      <x:c r="G2660" s="28" t="n">
        <x:v>1</x:v>
      </x:c>
      <x:c r="H2660" s="28" t="n">
        <x:v>9</x:v>
      </x:c>
      <x:c r="I2660" s="28" t="n">
        <x:v>11</x:v>
      </x:c>
      <x:c r="J2660" s="28" t="n">
        <x:v>3</x:v>
      </x:c>
      <x:c r="K2660" s="28" t="n">
        <x:v>4</x:v>
      </x:c>
      <x:c r="L2660" s="28" t="n">
        <x:v>5</x:v>
      </x:c>
      <x:c r="M2660" s="28" t="n">
        <x:v>2</x:v>
      </x:c>
      <x:c r="N2660" s="28" t="n">
        <x:v>3</x:v>
      </x:c>
      <x:c r="O2660" s="28" t="n">
        <x:v>0</x:v>
      </x:c>
      <x:c r="P2660" s="28" t="n">
        <x:v>1</x:v>
      </x:c>
      <x:c r="Q2660" s="24" t="n">
        <x:f>IFERROR(J2660/H2660,0)</x:f>
        <x:v>0.3333333333333333</x:v>
      </x:c>
      <x:c r="R2660" s="24" t="n">
        <x:f>IFERROR(F2660/H2660,0)</x:f>
        <x:v>0.1111111111111111</x:v>
      </x:c>
      <x:c r="S2660" s="24" t="n">
        <x:f>IFERROR(F2660/J2660,0)</x:f>
        <x:v>0.3333333333333333</x:v>
      </x:c>
      <x:c r="T2660" s="28" t="n">
        <x:f>H2660-I2660</x:f>
        <x:v>-2</x:v>
      </x:c>
      <x:c r="U2660" s="24" t="n">
        <x:f>IFERROR(J2660/H2660,0)-IFERROR(K2660/I2660,0)</x:f>
        <x:v>-0.03030303030303033</x:v>
      </x:c>
      <x:c r="V2660" s="24" t="n">
        <x:f>IFERROR(F2660/J2660,0)-IFERROR(G2660/K2660,0)</x:f>
        <x:v>0.08333333333333331</x:v>
      </x:c>
      <x:c r="W2660" s="28" t="n">
        <x:f>L2660-M2660</x:f>
        <x:v>3</x:v>
      </x:c>
      <x:c r="X2660" s="24" t="n">
        <x:f>IFERROR(K2660/I2660,0)</x:f>
        <x:v>0.36363636363636365</x:v>
      </x:c>
      <x:c r="Y2660" s="24" t="n">
        <x:f>IFERROR(G2660/I2660,0)</x:f>
        <x:v>0.09090909090909091</x:v>
      </x:c>
      <x:c r="Z2660" s="24" t="n">
        <x:f>IFERROR(G2660/K2660,0)</x:f>
        <x:v>0.25</x:v>
      </x:c>
      <x:c r="AA2660" s="24" t="n">
        <x:f>IFERROR(F2660/H2660,0)-IFERROR(G2660/I2660,0)</x:f>
        <x:v>0.020202020202020193</x:v>
      </x:c>
      <x:c r="AB2660" s="28" t="n">
        <x:f>J2660-K2660</x:f>
        <x:v>-1</x:v>
      </x:c>
      <x:c r="AC2660" s="32" t="n">
        <x:f>F2660-G2660</x:f>
        <x:v>0</x:v>
      </x:c>
    </x:row>
    <x:row r="2661">
      <x:c r="A2661" s="4" t="str">
        <x:v>2024-25</x:v>
      </x:c>
      <x:c r="B2661" s="20" t="n">
        <x:v>45661</x:v>
      </x:c>
      <x:c r="C2661" s="4" t="str">
        <x:v>Aston Villa</x:v>
      </x:c>
      <x:c r="D2661" s="4" t="str">
        <x:v>Leicester</x:v>
      </x:c>
      <x:c r="E2661" s="4" t="str">
        <x:v>Home</x:v>
      </x:c>
      <x:c r="F2661" s="28" t="n">
        <x:v>2</x:v>
      </x:c>
      <x:c r="G2661" s="28" t="n">
        <x:v>1</x:v>
      </x:c>
      <x:c r="H2661" s="28" t="n">
        <x:v>13</x:v>
      </x:c>
      <x:c r="I2661" s="28" t="n">
        <x:v>4</x:v>
      </x:c>
      <x:c r="J2661" s="28" t="n">
        <x:v>5</x:v>
      </x:c>
      <x:c r="K2661" s="28" t="n">
        <x:v>2</x:v>
      </x:c>
      <x:c r="L2661" s="28" t="n">
        <x:v>7</x:v>
      </x:c>
      <x:c r="M2661" s="28" t="n">
        <x:v>2</x:v>
      </x:c>
      <x:c r="N2661" s="28" t="n">
        <x:v>0</x:v>
      </x:c>
      <x:c r="O2661" s="28" t="n">
        <x:v>0</x:v>
      </x:c>
      <x:c r="P2661" s="28" t="n">
        <x:v>3</x:v>
      </x:c>
      <x:c r="Q2661" s="24" t="n">
        <x:f>IFERROR(J2661/H2661,0)</x:f>
        <x:v>0.38461538461538464</x:v>
      </x:c>
      <x:c r="R2661" s="24" t="n">
        <x:f>IFERROR(F2661/H2661,0)</x:f>
        <x:v>0.15384615384615385</x:v>
      </x:c>
      <x:c r="S2661" s="24" t="n">
        <x:f>IFERROR(F2661/J2661,0)</x:f>
        <x:v>0.4</x:v>
      </x:c>
      <x:c r="T2661" s="28" t="n">
        <x:f>H2661-I2661</x:f>
        <x:v>9</x:v>
      </x:c>
      <x:c r="U2661" s="24" t="n">
        <x:f>IFERROR(J2661/H2661,0)-IFERROR(K2661/I2661,0)</x:f>
        <x:v>-0.11538461538461536</x:v>
      </x:c>
      <x:c r="V2661" s="24" t="n">
        <x:f>IFERROR(F2661/J2661,0)-IFERROR(G2661/K2661,0)</x:f>
        <x:v>-0.09999999999999998</x:v>
      </x:c>
      <x:c r="W2661" s="28" t="n">
        <x:f>L2661-M2661</x:f>
        <x:v>5</x:v>
      </x:c>
      <x:c r="X2661" s="24" t="n">
        <x:f>IFERROR(K2661/I2661,0)</x:f>
        <x:v>0.5</x:v>
      </x:c>
      <x:c r="Y2661" s="24" t="n">
        <x:f>IFERROR(G2661/I2661,0)</x:f>
        <x:v>0.25</x:v>
      </x:c>
      <x:c r="Z2661" s="24" t="n">
        <x:f>IFERROR(G2661/K2661,0)</x:f>
        <x:v>0.5</x:v>
      </x:c>
      <x:c r="AA2661" s="24" t="n">
        <x:f>IFERROR(F2661/H2661,0)-IFERROR(G2661/I2661,0)</x:f>
        <x:v>-0.09615384615384615</x:v>
      </x:c>
      <x:c r="AB2661" s="28" t="n">
        <x:f>J2661-K2661</x:f>
        <x:v>3</x:v>
      </x:c>
      <x:c r="AC2661" s="32" t="n">
        <x:f>F2661-G2661</x:f>
        <x:v>1</x:v>
      </x:c>
    </x:row>
    <x:row r="2662">
      <x:c r="A2662" s="4" t="str">
        <x:v>2024-25</x:v>
      </x:c>
      <x:c r="B2662" s="20" t="n">
        <x:v>45661</x:v>
      </x:c>
      <x:c r="C2662" s="4" t="str">
        <x:v>Bournemouth</x:v>
      </x:c>
      <x:c r="D2662" s="4" t="str">
        <x:v>Everton</x:v>
      </x:c>
      <x:c r="E2662" s="4" t="str">
        <x:v>Home</x:v>
      </x:c>
      <x:c r="F2662" s="28" t="n">
        <x:v>1</x:v>
      </x:c>
      <x:c r="G2662" s="28" t="n">
        <x:v>0</x:v>
      </x:c>
      <x:c r="H2662" s="28" t="n">
        <x:v>19</x:v>
      </x:c>
      <x:c r="I2662" s="28" t="n">
        <x:v>9</x:v>
      </x:c>
      <x:c r="J2662" s="28" t="n">
        <x:v>8</x:v>
      </x:c>
      <x:c r="K2662" s="28" t="n">
        <x:v>0</x:v>
      </x:c>
      <x:c r="L2662" s="28" t="n">
        <x:v>9</x:v>
      </x:c>
      <x:c r="M2662" s="28" t="n">
        <x:v>3</x:v>
      </x:c>
      <x:c r="N2662" s="28" t="n">
        <x:v>2</x:v>
      </x:c>
      <x:c r="O2662" s="28" t="n">
        <x:v>0</x:v>
      </x:c>
      <x:c r="P2662" s="28" t="n">
        <x:v>3</x:v>
      </x:c>
      <x:c r="Q2662" s="24" t="n">
        <x:f>IFERROR(J2662/H2662,0)</x:f>
        <x:v>0.42105263157894735</x:v>
      </x:c>
      <x:c r="R2662" s="24" t="n">
        <x:f>IFERROR(F2662/H2662,0)</x:f>
        <x:v>0.05263157894736842</x:v>
      </x:c>
      <x:c r="S2662" s="24" t="n">
        <x:f>IFERROR(F2662/J2662,0)</x:f>
        <x:v>0.125</x:v>
      </x:c>
      <x:c r="T2662" s="28" t="n">
        <x:f>H2662-I2662</x:f>
        <x:v>10</x:v>
      </x:c>
      <x:c r="U2662" s="24" t="n">
        <x:f>IFERROR(J2662/H2662,0)-IFERROR(K2662/I2662,0)</x:f>
        <x:v>0.42105263157894735</x:v>
      </x:c>
      <x:c r="V2662" s="24" t="n">
        <x:f>IFERROR(F2662/J2662,0)-IFERROR(G2662/K2662,0)</x:f>
        <x:v>0.125</x:v>
      </x:c>
      <x:c r="W2662" s="28" t="n">
        <x:f>L2662-M2662</x:f>
        <x:v>6</x:v>
      </x:c>
      <x:c r="X2662" s="24" t="n">
        <x:f>IFERROR(K2662/I2662,0)</x:f>
        <x:v>0</x:v>
      </x:c>
      <x:c r="Y2662" s="24" t="n">
        <x:f>IFERROR(G2662/I2662,0)</x:f>
        <x:v>0</x:v>
      </x:c>
      <x:c r="Z2662" s="24" t="n">
        <x:f>IFERROR(G2662/K2662,0)</x:f>
        <x:v>0</x:v>
      </x:c>
      <x:c r="AA2662" s="24" t="n">
        <x:f>IFERROR(F2662/H2662,0)-IFERROR(G2662/I2662,0)</x:f>
        <x:v>0.05263157894736842</x:v>
      </x:c>
      <x:c r="AB2662" s="28" t="n">
        <x:f>J2662-K2662</x:f>
        <x:v>8</x:v>
      </x:c>
      <x:c r="AC2662" s="32" t="n">
        <x:f>F2662-G2662</x:f>
        <x:v>1</x:v>
      </x:c>
    </x:row>
    <x:row r="2663">
      <x:c r="A2663" s="4" t="str">
        <x:v>2024-25</x:v>
      </x:c>
      <x:c r="B2663" s="20" t="n">
        <x:v>45661</x:v>
      </x:c>
      <x:c r="C2663" s="4" t="str">
        <x:v>Brentford</x:v>
      </x:c>
      <x:c r="D2663" s="4" t="str">
        <x:v>Southampton</x:v>
      </x:c>
      <x:c r="E2663" s="4" t="str">
        <x:v>Away</x:v>
      </x:c>
      <x:c r="F2663" s="28" t="n">
        <x:v>5</x:v>
      </x:c>
      <x:c r="G2663" s="28" t="n">
        <x:v>0</x:v>
      </x:c>
      <x:c r="H2663" s="28" t="n">
        <x:v>20</x:v>
      </x:c>
      <x:c r="I2663" s="28" t="n">
        <x:v>8</x:v>
      </x:c>
      <x:c r="J2663" s="28" t="n">
        <x:v>11</x:v>
      </x:c>
      <x:c r="K2663" s="28" t="n">
        <x:v>1</x:v>
      </x:c>
      <x:c r="L2663" s="28" t="n">
        <x:v>2</x:v>
      </x:c>
      <x:c r="M2663" s="28" t="n">
        <x:v>2</x:v>
      </x:c>
      <x:c r="N2663" s="28" t="n">
        <x:v>0</x:v>
      </x:c>
      <x:c r="O2663" s="28" t="n">
        <x:v>0</x:v>
      </x:c>
      <x:c r="P2663" s="28" t="n">
        <x:v>3</x:v>
      </x:c>
      <x:c r="Q2663" s="24" t="n">
        <x:f>IFERROR(J2663/H2663,0)</x:f>
        <x:v>0.55</x:v>
      </x:c>
      <x:c r="R2663" s="24" t="n">
        <x:f>IFERROR(F2663/H2663,0)</x:f>
        <x:v>0.25</x:v>
      </x:c>
      <x:c r="S2663" s="24" t="n">
        <x:f>IFERROR(F2663/J2663,0)</x:f>
        <x:v>0.45454545454545453</x:v>
      </x:c>
      <x:c r="T2663" s="28" t="n">
        <x:f>H2663-I2663</x:f>
        <x:v>12</x:v>
      </x:c>
      <x:c r="U2663" s="24" t="n">
        <x:f>IFERROR(J2663/H2663,0)-IFERROR(K2663/I2663,0)</x:f>
        <x:v>0.42500000000000004</x:v>
      </x:c>
      <x:c r="V2663" s="24" t="n">
        <x:f>IFERROR(F2663/J2663,0)-IFERROR(G2663/K2663,0)</x:f>
        <x:v>0.45454545454545453</x:v>
      </x:c>
      <x:c r="W2663" s="28" t="n">
        <x:f>L2663-M2663</x:f>
        <x:v>0</x:v>
      </x:c>
      <x:c r="X2663" s="24" t="n">
        <x:f>IFERROR(K2663/I2663,0)</x:f>
        <x:v>0.125</x:v>
      </x:c>
      <x:c r="Y2663" s="24" t="n">
        <x:f>IFERROR(G2663/I2663,0)</x:f>
        <x:v>0</x:v>
      </x:c>
      <x:c r="Z2663" s="24" t="n">
        <x:f>IFERROR(G2663/K2663,0)</x:f>
        <x:v>0</x:v>
      </x:c>
      <x:c r="AA2663" s="24" t="n">
        <x:f>IFERROR(F2663/H2663,0)-IFERROR(G2663/I2663,0)</x:f>
        <x:v>0.25</x:v>
      </x:c>
      <x:c r="AB2663" s="28" t="n">
        <x:f>J2663-K2663</x:f>
        <x:v>10</x:v>
      </x:c>
      <x:c r="AC2663" s="32" t="n">
        <x:f>F2663-G2663</x:f>
        <x:v>5</x:v>
      </x:c>
    </x:row>
    <x:row r="2664">
      <x:c r="A2664" s="4" t="str">
        <x:v>2024-25</x:v>
      </x:c>
      <x:c r="B2664" s="20" t="n">
        <x:v>45661</x:v>
      </x:c>
      <x:c r="C2664" s="4" t="str">
        <x:v>Brighton</x:v>
      </x:c>
      <x:c r="D2664" s="4" t="str">
        <x:v>Arsenal</x:v>
      </x:c>
      <x:c r="E2664" s="4" t="str">
        <x:v>Home</x:v>
      </x:c>
      <x:c r="F2664" s="28" t="n">
        <x:v>1</x:v>
      </x:c>
      <x:c r="G2664" s="28" t="n">
        <x:v>1</x:v>
      </x:c>
      <x:c r="H2664" s="28" t="n">
        <x:v>11</x:v>
      </x:c>
      <x:c r="I2664" s="28" t="n">
        <x:v>9</x:v>
      </x:c>
      <x:c r="J2664" s="28" t="n">
        <x:v>4</x:v>
      </x:c>
      <x:c r="K2664" s="28" t="n">
        <x:v>3</x:v>
      </x:c>
      <x:c r="L2664" s="28" t="n">
        <x:v>2</x:v>
      </x:c>
      <x:c r="M2664" s="28" t="n">
        <x:v>5</x:v>
      </x:c>
      <x:c r="N2664" s="28" t="n">
        <x:v>2</x:v>
      </x:c>
      <x:c r="O2664" s="28" t="n">
        <x:v>0</x:v>
      </x:c>
      <x:c r="P2664" s="28" t="n">
        <x:v>1</x:v>
      </x:c>
      <x:c r="Q2664" s="24" t="n">
        <x:f>IFERROR(J2664/H2664,0)</x:f>
        <x:v>0.36363636363636365</x:v>
      </x:c>
      <x:c r="R2664" s="24" t="n">
        <x:f>IFERROR(F2664/H2664,0)</x:f>
        <x:v>0.09090909090909091</x:v>
      </x:c>
      <x:c r="S2664" s="24" t="n">
        <x:f>IFERROR(F2664/J2664,0)</x:f>
        <x:v>0.25</x:v>
      </x:c>
      <x:c r="T2664" s="28" t="n">
        <x:f>H2664-I2664</x:f>
        <x:v>2</x:v>
      </x:c>
      <x:c r="U2664" s="24" t="n">
        <x:f>IFERROR(J2664/H2664,0)-IFERROR(K2664/I2664,0)</x:f>
        <x:v>0.03030303030303033</x:v>
      </x:c>
      <x:c r="V2664" s="24" t="n">
        <x:f>IFERROR(F2664/J2664,0)-IFERROR(G2664/K2664,0)</x:f>
        <x:v>-0.08333333333333331</x:v>
      </x:c>
      <x:c r="W2664" s="28" t="n">
        <x:f>L2664-M2664</x:f>
        <x:v>-3</x:v>
      </x:c>
      <x:c r="X2664" s="24" t="n">
        <x:f>IFERROR(K2664/I2664,0)</x:f>
        <x:v>0.3333333333333333</x:v>
      </x:c>
      <x:c r="Y2664" s="24" t="n">
        <x:f>IFERROR(G2664/I2664,0)</x:f>
        <x:v>0.1111111111111111</x:v>
      </x:c>
      <x:c r="Z2664" s="24" t="n">
        <x:f>IFERROR(G2664/K2664,0)</x:f>
        <x:v>0.3333333333333333</x:v>
      </x:c>
      <x:c r="AA2664" s="24" t="n">
        <x:f>IFERROR(F2664/H2664,0)-IFERROR(G2664/I2664,0)</x:f>
        <x:v>-0.020202020202020193</x:v>
      </x:c>
      <x:c r="AB2664" s="28" t="n">
        <x:f>J2664-K2664</x:f>
        <x:v>1</x:v>
      </x:c>
      <x:c r="AC2664" s="32" t="n">
        <x:f>F2664-G2664</x:f>
        <x:v>0</x:v>
      </x:c>
    </x:row>
    <x:row r="2665">
      <x:c r="A2665" s="4" t="str">
        <x:v>2024-25</x:v>
      </x:c>
      <x:c r="B2665" s="20" t="n">
        <x:v>45661</x:v>
      </x:c>
      <x:c r="C2665" s="4" t="str">
        <x:v>Chelsea</x:v>
      </x:c>
      <x:c r="D2665" s="4" t="str">
        <x:v>Crystal Palace</x:v>
      </x:c>
      <x:c r="E2665" s="4" t="str">
        <x:v>Away</x:v>
      </x:c>
      <x:c r="F2665" s="28" t="n">
        <x:v>1</x:v>
      </x:c>
      <x:c r="G2665" s="28" t="n">
        <x:v>1</x:v>
      </x:c>
      <x:c r="H2665" s="28" t="n">
        <x:v>15</x:v>
      </x:c>
      <x:c r="I2665" s="28" t="n">
        <x:v>13</x:v>
      </x:c>
      <x:c r="J2665" s="28" t="n">
        <x:v>1</x:v>
      </x:c>
      <x:c r="K2665" s="28" t="n">
        <x:v>6</x:v>
      </x:c>
      <x:c r="L2665" s="28" t="n">
        <x:v>6</x:v>
      </x:c>
      <x:c r="M2665" s="28" t="n">
        <x:v>6</x:v>
      </x:c>
      <x:c r="N2665" s="28" t="n">
        <x:v>2</x:v>
      </x:c>
      <x:c r="O2665" s="28" t="n">
        <x:v>0</x:v>
      </x:c>
      <x:c r="P2665" s="28" t="n">
        <x:v>1</x:v>
      </x:c>
      <x:c r="Q2665" s="24" t="n">
        <x:f>IFERROR(J2665/H2665,0)</x:f>
        <x:v>0.06666666666666667</x:v>
      </x:c>
      <x:c r="R2665" s="24" t="n">
        <x:f>IFERROR(F2665/H2665,0)</x:f>
        <x:v>0.06666666666666667</x:v>
      </x:c>
      <x:c r="S2665" s="24" t="n">
        <x:f>IFERROR(F2665/J2665,0)</x:f>
        <x:v>1</x:v>
      </x:c>
      <x:c r="T2665" s="28" t="n">
        <x:f>H2665-I2665</x:f>
        <x:v>2</x:v>
      </x:c>
      <x:c r="U2665" s="24" t="n">
        <x:f>IFERROR(J2665/H2665,0)-IFERROR(K2665/I2665,0)</x:f>
        <x:v>-0.3948717948717949</x:v>
      </x:c>
      <x:c r="V2665" s="24" t="n">
        <x:f>IFERROR(F2665/J2665,0)-IFERROR(G2665/K2665,0)</x:f>
        <x:v>0.8333333333333334</x:v>
      </x:c>
      <x:c r="W2665" s="28" t="n">
        <x:f>L2665-M2665</x:f>
        <x:v>0</x:v>
      </x:c>
      <x:c r="X2665" s="24" t="n">
        <x:f>IFERROR(K2665/I2665,0)</x:f>
        <x:v>0.46153846153846156</x:v>
      </x:c>
      <x:c r="Y2665" s="24" t="n">
        <x:f>IFERROR(G2665/I2665,0)</x:f>
        <x:v>0.07692307692307693</x:v>
      </x:c>
      <x:c r="Z2665" s="24" t="n">
        <x:f>IFERROR(G2665/K2665,0)</x:f>
        <x:v>0.16666666666666666</x:v>
      </x:c>
      <x:c r="AA2665" s="24" t="n">
        <x:f>IFERROR(F2665/H2665,0)-IFERROR(G2665/I2665,0)</x:f>
        <x:v>-0.010256410256410262</x:v>
      </x:c>
      <x:c r="AB2665" s="28" t="n">
        <x:f>J2665-K2665</x:f>
        <x:v>-5</x:v>
      </x:c>
      <x:c r="AC2665" s="32" t="n">
        <x:f>F2665-G2665</x:f>
        <x:v>0</x:v>
      </x:c>
    </x:row>
    <x:row r="2666">
      <x:c r="A2666" s="4" t="str">
        <x:v>2024-25</x:v>
      </x:c>
      <x:c r="B2666" s="20" t="n">
        <x:v>45661</x:v>
      </x:c>
      <x:c r="C2666" s="4" t="str">
        <x:v>Crystal Palace</x:v>
      </x:c>
      <x:c r="D2666" s="4" t="str">
        <x:v>Chelsea</x:v>
      </x:c>
      <x:c r="E2666" s="4" t="str">
        <x:v>Home</x:v>
      </x:c>
      <x:c r="F2666" s="28" t="n">
        <x:v>1</x:v>
      </x:c>
      <x:c r="G2666" s="28" t="n">
        <x:v>1</x:v>
      </x:c>
      <x:c r="H2666" s="28" t="n">
        <x:v>13</x:v>
      </x:c>
      <x:c r="I2666" s="28" t="n">
        <x:v>15</x:v>
      </x:c>
      <x:c r="J2666" s="28" t="n">
        <x:v>6</x:v>
      </x:c>
      <x:c r="K2666" s="28" t="n">
        <x:v>1</x:v>
      </x:c>
      <x:c r="L2666" s="28" t="n">
        <x:v>6</x:v>
      </x:c>
      <x:c r="M2666" s="28" t="n">
        <x:v>6</x:v>
      </x:c>
      <x:c r="N2666" s="28" t="n">
        <x:v>0</x:v>
      </x:c>
      <x:c r="O2666" s="28" t="n">
        <x:v>0</x:v>
      </x:c>
      <x:c r="P2666" s="28" t="n">
        <x:v>1</x:v>
      </x:c>
      <x:c r="Q2666" s="24" t="n">
        <x:f>IFERROR(J2666/H2666,0)</x:f>
        <x:v>0.46153846153846156</x:v>
      </x:c>
      <x:c r="R2666" s="24" t="n">
        <x:f>IFERROR(F2666/H2666,0)</x:f>
        <x:v>0.07692307692307693</x:v>
      </x:c>
      <x:c r="S2666" s="24" t="n">
        <x:f>IFERROR(F2666/J2666,0)</x:f>
        <x:v>0.16666666666666666</x:v>
      </x:c>
      <x:c r="T2666" s="28" t="n">
        <x:f>H2666-I2666</x:f>
        <x:v>-2</x:v>
      </x:c>
      <x:c r="U2666" s="24" t="n">
        <x:f>IFERROR(J2666/H2666,0)-IFERROR(K2666/I2666,0)</x:f>
        <x:v>0.3948717948717949</x:v>
      </x:c>
      <x:c r="V2666" s="24" t="n">
        <x:f>IFERROR(F2666/J2666,0)-IFERROR(G2666/K2666,0)</x:f>
        <x:v>-0.8333333333333334</x:v>
      </x:c>
      <x:c r="W2666" s="28" t="n">
        <x:f>L2666-M2666</x:f>
        <x:v>0</x:v>
      </x:c>
      <x:c r="X2666" s="24" t="n">
        <x:f>IFERROR(K2666/I2666,0)</x:f>
        <x:v>0.06666666666666667</x:v>
      </x:c>
      <x:c r="Y2666" s="24" t="n">
        <x:f>IFERROR(G2666/I2666,0)</x:f>
        <x:v>0.06666666666666667</x:v>
      </x:c>
      <x:c r="Z2666" s="24" t="n">
        <x:f>IFERROR(G2666/K2666,0)</x:f>
        <x:v>1</x:v>
      </x:c>
      <x:c r="AA2666" s="24" t="n">
        <x:f>IFERROR(F2666/H2666,0)-IFERROR(G2666/I2666,0)</x:f>
        <x:v>0.010256410256410262</x:v>
      </x:c>
      <x:c r="AB2666" s="28" t="n">
        <x:f>J2666-K2666</x:f>
        <x:v>5</x:v>
      </x:c>
      <x:c r="AC2666" s="32" t="n">
        <x:f>F2666-G2666</x:f>
        <x:v>0</x:v>
      </x:c>
    </x:row>
    <x:row r="2667">
      <x:c r="A2667" s="4" t="str">
        <x:v>2024-25</x:v>
      </x:c>
      <x:c r="B2667" s="20" t="n">
        <x:v>45661</x:v>
      </x:c>
      <x:c r="C2667" s="4" t="str">
        <x:v>Everton</x:v>
      </x:c>
      <x:c r="D2667" s="4" t="str">
        <x:v>Bournemouth</x:v>
      </x:c>
      <x:c r="E2667" s="4" t="str">
        <x:v>Away</x:v>
      </x:c>
      <x:c r="F2667" s="28" t="n">
        <x:v>0</x:v>
      </x:c>
      <x:c r="G2667" s="28" t="n">
        <x:v>1</x:v>
      </x:c>
      <x:c r="H2667" s="28" t="n">
        <x:v>9</x:v>
      </x:c>
      <x:c r="I2667" s="28" t="n">
        <x:v>19</x:v>
      </x:c>
      <x:c r="J2667" s="28" t="n">
        <x:v>0</x:v>
      </x:c>
      <x:c r="K2667" s="28" t="n">
        <x:v>8</x:v>
      </x:c>
      <x:c r="L2667" s="28" t="n">
        <x:v>3</x:v>
      </x:c>
      <x:c r="M2667" s="28" t="n">
        <x:v>9</x:v>
      </x:c>
      <x:c r="N2667" s="28" t="n">
        <x:v>2</x:v>
      </x:c>
      <x:c r="O2667" s="28" t="n">
        <x:v>0</x:v>
      </x:c>
      <x:c r="P2667" s="28" t="n">
        <x:v>0</x:v>
      </x:c>
      <x:c r="Q2667" s="24" t="n">
        <x:f>IFERROR(J2667/H2667,0)</x:f>
        <x:v>0</x:v>
      </x:c>
      <x:c r="R2667" s="24" t="n">
        <x:f>IFERROR(F2667/H2667,0)</x:f>
        <x:v>0</x:v>
      </x:c>
      <x:c r="S2667" s="24" t="n">
        <x:f>IFERROR(F2667/J2667,0)</x:f>
        <x:v>0</x:v>
      </x:c>
      <x:c r="T2667" s="28" t="n">
        <x:f>H2667-I2667</x:f>
        <x:v>-10</x:v>
      </x:c>
      <x:c r="U2667" s="24" t="n">
        <x:f>IFERROR(J2667/H2667,0)-IFERROR(K2667/I2667,0)</x:f>
        <x:v>-0.42105263157894735</x:v>
      </x:c>
      <x:c r="V2667" s="24" t="n">
        <x:f>IFERROR(F2667/J2667,0)-IFERROR(G2667/K2667,0)</x:f>
        <x:v>-0.125</x:v>
      </x:c>
      <x:c r="W2667" s="28" t="n">
        <x:f>L2667-M2667</x:f>
        <x:v>-6</x:v>
      </x:c>
      <x:c r="X2667" s="24" t="n">
        <x:f>IFERROR(K2667/I2667,0)</x:f>
        <x:v>0.42105263157894735</x:v>
      </x:c>
      <x:c r="Y2667" s="24" t="n">
        <x:f>IFERROR(G2667/I2667,0)</x:f>
        <x:v>0.05263157894736842</x:v>
      </x:c>
      <x:c r="Z2667" s="24" t="n">
        <x:f>IFERROR(G2667/K2667,0)</x:f>
        <x:v>0.125</x:v>
      </x:c>
      <x:c r="AA2667" s="24" t="n">
        <x:f>IFERROR(F2667/H2667,0)-IFERROR(G2667/I2667,0)</x:f>
        <x:v>-0.05263157894736842</x:v>
      </x:c>
      <x:c r="AB2667" s="28" t="n">
        <x:f>J2667-K2667</x:f>
        <x:v>-8</x:v>
      </x:c>
      <x:c r="AC2667" s="32" t="n">
        <x:f>F2667-G2667</x:f>
        <x:v>-1</x:v>
      </x:c>
    </x:row>
    <x:row r="2668">
      <x:c r="A2668" s="4" t="str">
        <x:v>2024-25</x:v>
      </x:c>
      <x:c r="B2668" s="20" t="n">
        <x:v>45661</x:v>
      </x:c>
      <x:c r="C2668" s="4" t="str">
        <x:v>Leicester</x:v>
      </x:c>
      <x:c r="D2668" s="4" t="str">
        <x:v>Aston Villa</x:v>
      </x:c>
      <x:c r="E2668" s="4" t="str">
        <x:v>Away</x:v>
      </x:c>
      <x:c r="F2668" s="28" t="n">
        <x:v>1</x:v>
      </x:c>
      <x:c r="G2668" s="28" t="n">
        <x:v>2</x:v>
      </x:c>
      <x:c r="H2668" s="28" t="n">
        <x:v>4</x:v>
      </x:c>
      <x:c r="I2668" s="28" t="n">
        <x:v>13</x:v>
      </x:c>
      <x:c r="J2668" s="28" t="n">
        <x:v>2</x:v>
      </x:c>
      <x:c r="K2668" s="28" t="n">
        <x:v>5</x:v>
      </x:c>
      <x:c r="L2668" s="28" t="n">
        <x:v>2</x:v>
      </x:c>
      <x:c r="M2668" s="28" t="n">
        <x:v>7</x:v>
      </x:c>
      <x:c r="N2668" s="28" t="n">
        <x:v>1</x:v>
      </x:c>
      <x:c r="O2668" s="28" t="n">
        <x:v>0</x:v>
      </x:c>
      <x:c r="P2668" s="28" t="n">
        <x:v>0</x:v>
      </x:c>
      <x:c r="Q2668" s="24" t="n">
        <x:f>IFERROR(J2668/H2668,0)</x:f>
        <x:v>0.5</x:v>
      </x:c>
      <x:c r="R2668" s="24" t="n">
        <x:f>IFERROR(F2668/H2668,0)</x:f>
        <x:v>0.25</x:v>
      </x:c>
      <x:c r="S2668" s="24" t="n">
        <x:f>IFERROR(F2668/J2668,0)</x:f>
        <x:v>0.5</x:v>
      </x:c>
      <x:c r="T2668" s="28" t="n">
        <x:f>H2668-I2668</x:f>
        <x:v>-9</x:v>
      </x:c>
      <x:c r="U2668" s="24" t="n">
        <x:f>IFERROR(J2668/H2668,0)-IFERROR(K2668/I2668,0)</x:f>
        <x:v>0.11538461538461536</x:v>
      </x:c>
      <x:c r="V2668" s="24" t="n">
        <x:f>IFERROR(F2668/J2668,0)-IFERROR(G2668/K2668,0)</x:f>
        <x:v>0.09999999999999998</x:v>
      </x:c>
      <x:c r="W2668" s="28" t="n">
        <x:f>L2668-M2668</x:f>
        <x:v>-5</x:v>
      </x:c>
      <x:c r="X2668" s="24" t="n">
        <x:f>IFERROR(K2668/I2668,0)</x:f>
        <x:v>0.38461538461538464</x:v>
      </x:c>
      <x:c r="Y2668" s="24" t="n">
        <x:f>IFERROR(G2668/I2668,0)</x:f>
        <x:v>0.15384615384615385</x:v>
      </x:c>
      <x:c r="Z2668" s="24" t="n">
        <x:f>IFERROR(G2668/K2668,0)</x:f>
        <x:v>0.4</x:v>
      </x:c>
      <x:c r="AA2668" s="24" t="n">
        <x:f>IFERROR(F2668/H2668,0)-IFERROR(G2668/I2668,0)</x:f>
        <x:v>0.09615384615384615</x:v>
      </x:c>
      <x:c r="AB2668" s="28" t="n">
        <x:f>J2668-K2668</x:f>
        <x:v>-3</x:v>
      </x:c>
      <x:c r="AC2668" s="32" t="n">
        <x:f>F2668-G2668</x:f>
        <x:v>-1</x:v>
      </x:c>
    </x:row>
    <x:row r="2669">
      <x:c r="A2669" s="4" t="str">
        <x:v>2024-25</x:v>
      </x:c>
      <x:c r="B2669" s="20" t="n">
        <x:v>45661</x:v>
      </x:c>
      <x:c r="C2669" s="4" t="str">
        <x:v>Man City</x:v>
      </x:c>
      <x:c r="D2669" s="4" t="str">
        <x:v>West Ham</x:v>
      </x:c>
      <x:c r="E2669" s="4" t="str">
        <x:v>Home</x:v>
      </x:c>
      <x:c r="F2669" s="28" t="n">
        <x:v>4</x:v>
      </x:c>
      <x:c r="G2669" s="28" t="n">
        <x:v>1</x:v>
      </x:c>
      <x:c r="H2669" s="28" t="n">
        <x:v>10</x:v>
      </x:c>
      <x:c r="I2669" s="28" t="n">
        <x:v>17</x:v>
      </x:c>
      <x:c r="J2669" s="28" t="n">
        <x:v>7</x:v>
      </x:c>
      <x:c r="K2669" s="28" t="n">
        <x:v>4</x:v>
      </x:c>
      <x:c r="L2669" s="28" t="n">
        <x:v>7</x:v>
      </x:c>
      <x:c r="M2669" s="28" t="n">
        <x:v>1</x:v>
      </x:c>
      <x:c r="N2669" s="28" t="n">
        <x:v>2</x:v>
      </x:c>
      <x:c r="O2669" s="28" t="n">
        <x:v>0</x:v>
      </x:c>
      <x:c r="P2669" s="28" t="n">
        <x:v>3</x:v>
      </x:c>
      <x:c r="Q2669" s="24" t="n">
        <x:f>IFERROR(J2669/H2669,0)</x:f>
        <x:v>0.7</x:v>
      </x:c>
      <x:c r="R2669" s="24" t="n">
        <x:f>IFERROR(F2669/H2669,0)</x:f>
        <x:v>0.4</x:v>
      </x:c>
      <x:c r="S2669" s="24" t="n">
        <x:f>IFERROR(F2669/J2669,0)</x:f>
        <x:v>0.5714285714285714</x:v>
      </x:c>
      <x:c r="T2669" s="28" t="n">
        <x:f>H2669-I2669</x:f>
        <x:v>-7</x:v>
      </x:c>
      <x:c r="U2669" s="24" t="n">
        <x:f>IFERROR(J2669/H2669,0)-IFERROR(K2669/I2669,0)</x:f>
        <x:v>0.46470588235294114</x:v>
      </x:c>
      <x:c r="V2669" s="24" t="n">
        <x:f>IFERROR(F2669/J2669,0)-IFERROR(G2669/K2669,0)</x:f>
        <x:v>0.3214285714285714</x:v>
      </x:c>
      <x:c r="W2669" s="28" t="n">
        <x:f>L2669-M2669</x:f>
        <x:v>6</x:v>
      </x:c>
      <x:c r="X2669" s="24" t="n">
        <x:f>IFERROR(K2669/I2669,0)</x:f>
        <x:v>0.23529411764705882</x:v>
      </x:c>
      <x:c r="Y2669" s="24" t="n">
        <x:f>IFERROR(G2669/I2669,0)</x:f>
        <x:v>0.058823529411764705</x:v>
      </x:c>
      <x:c r="Z2669" s="24" t="n">
        <x:f>IFERROR(G2669/K2669,0)</x:f>
        <x:v>0.25</x:v>
      </x:c>
      <x:c r="AA2669" s="24" t="n">
        <x:f>IFERROR(F2669/H2669,0)-IFERROR(G2669/I2669,0)</x:f>
        <x:v>0.3411764705882353</x:v>
      </x:c>
      <x:c r="AB2669" s="28" t="n">
        <x:f>J2669-K2669</x:f>
        <x:v>3</x:v>
      </x:c>
      <x:c r="AC2669" s="32" t="n">
        <x:f>F2669-G2669</x:f>
        <x:v>3</x:v>
      </x:c>
    </x:row>
    <x:row r="2670">
      <x:c r="A2670" s="4" t="str">
        <x:v>2024-25</x:v>
      </x:c>
      <x:c r="B2670" s="20" t="n">
        <x:v>45661</x:v>
      </x:c>
      <x:c r="C2670" s="4" t="str">
        <x:v>Newcastle</x:v>
      </x:c>
      <x:c r="D2670" s="4" t="str">
        <x:v>Tottenham</x:v>
      </x:c>
      <x:c r="E2670" s="4" t="str">
        <x:v>Away</x:v>
      </x:c>
      <x:c r="F2670" s="28" t="n">
        <x:v>2</x:v>
      </x:c>
      <x:c r="G2670" s="28" t="n">
        <x:v>1</x:v>
      </x:c>
      <x:c r="H2670" s="28" t="n">
        <x:v>14</x:v>
      </x:c>
      <x:c r="I2670" s="28" t="n">
        <x:v>13</x:v>
      </x:c>
      <x:c r="J2670" s="28" t="n">
        <x:v>4</x:v>
      </x:c>
      <x:c r="K2670" s="28" t="n">
        <x:v>4</x:v>
      </x:c>
      <x:c r="L2670" s="28" t="n">
        <x:v>10</x:v>
      </x:c>
      <x:c r="M2670" s="28" t="n">
        <x:v>9</x:v>
      </x:c>
      <x:c r="N2670" s="28" t="n">
        <x:v>4</x:v>
      </x:c>
      <x:c r="O2670" s="28" t="n">
        <x:v>0</x:v>
      </x:c>
      <x:c r="P2670" s="28" t="n">
        <x:v>3</x:v>
      </x:c>
      <x:c r="Q2670" s="24" t="n">
        <x:f>IFERROR(J2670/H2670,0)</x:f>
        <x:v>0.2857142857142857</x:v>
      </x:c>
      <x:c r="R2670" s="24" t="n">
        <x:f>IFERROR(F2670/H2670,0)</x:f>
        <x:v>0.14285714285714285</x:v>
      </x:c>
      <x:c r="S2670" s="24" t="n">
        <x:f>IFERROR(F2670/J2670,0)</x:f>
        <x:v>0.5</x:v>
      </x:c>
      <x:c r="T2670" s="28" t="n">
        <x:f>H2670-I2670</x:f>
        <x:v>1</x:v>
      </x:c>
      <x:c r="U2670" s="24" t="n">
        <x:f>IFERROR(J2670/H2670,0)-IFERROR(K2670/I2670,0)</x:f>
        <x:v>-0.02197802197802201</x:v>
      </x:c>
      <x:c r="V2670" s="24" t="n">
        <x:f>IFERROR(F2670/J2670,0)-IFERROR(G2670/K2670,0)</x:f>
        <x:v>0.25</x:v>
      </x:c>
      <x:c r="W2670" s="28" t="n">
        <x:f>L2670-M2670</x:f>
        <x:v>1</x:v>
      </x:c>
      <x:c r="X2670" s="24" t="n">
        <x:f>IFERROR(K2670/I2670,0)</x:f>
        <x:v>0.3076923076923077</x:v>
      </x:c>
      <x:c r="Y2670" s="24" t="n">
        <x:f>IFERROR(G2670/I2670,0)</x:f>
        <x:v>0.07692307692307693</x:v>
      </x:c>
      <x:c r="Z2670" s="24" t="n">
        <x:f>IFERROR(G2670/K2670,0)</x:f>
        <x:v>0.25</x:v>
      </x:c>
      <x:c r="AA2670" s="24" t="n">
        <x:f>IFERROR(F2670/H2670,0)-IFERROR(G2670/I2670,0)</x:f>
        <x:v>0.06593406593406592</x:v>
      </x:c>
      <x:c r="AB2670" s="28" t="n">
        <x:f>J2670-K2670</x:f>
        <x:v>0</x:v>
      </x:c>
      <x:c r="AC2670" s="32" t="n">
        <x:f>F2670-G2670</x:f>
        <x:v>1</x:v>
      </x:c>
    </x:row>
    <x:row r="2671">
      <x:c r="A2671" s="4" t="str">
        <x:v>2024-25</x:v>
      </x:c>
      <x:c r="B2671" s="20" t="n">
        <x:v>45661</x:v>
      </x:c>
      <x:c r="C2671" s="4" t="str">
        <x:v>Southampton</x:v>
      </x:c>
      <x:c r="D2671" s="4" t="str">
        <x:v>Brentford</x:v>
      </x:c>
      <x:c r="E2671" s="4" t="str">
        <x:v>Home</x:v>
      </x:c>
      <x:c r="F2671" s="28" t="n">
        <x:v>0</x:v>
      </x:c>
      <x:c r="G2671" s="28" t="n">
        <x:v>5</x:v>
      </x:c>
      <x:c r="H2671" s="28" t="n">
        <x:v>8</x:v>
      </x:c>
      <x:c r="I2671" s="28" t="n">
        <x:v>20</x:v>
      </x:c>
      <x:c r="J2671" s="28" t="n">
        <x:v>1</x:v>
      </x:c>
      <x:c r="K2671" s="28" t="n">
        <x:v>11</x:v>
      </x:c>
      <x:c r="L2671" s="28" t="n">
        <x:v>2</x:v>
      </x:c>
      <x:c r="M2671" s="28" t="n">
        <x:v>2</x:v>
      </x:c>
      <x:c r="N2671" s="28" t="n">
        <x:v>2</x:v>
      </x:c>
      <x:c r="O2671" s="28" t="n">
        <x:v>0</x:v>
      </x:c>
      <x:c r="P2671" s="28" t="n">
        <x:v>0</x:v>
      </x:c>
      <x:c r="Q2671" s="24" t="n">
        <x:f>IFERROR(J2671/H2671,0)</x:f>
        <x:v>0.125</x:v>
      </x:c>
      <x:c r="R2671" s="24" t="n">
        <x:f>IFERROR(F2671/H2671,0)</x:f>
        <x:v>0</x:v>
      </x:c>
      <x:c r="S2671" s="24" t="n">
        <x:f>IFERROR(F2671/J2671,0)</x:f>
        <x:v>0</x:v>
      </x:c>
      <x:c r="T2671" s="28" t="n">
        <x:f>H2671-I2671</x:f>
        <x:v>-12</x:v>
      </x:c>
      <x:c r="U2671" s="24" t="n">
        <x:f>IFERROR(J2671/H2671,0)-IFERROR(K2671/I2671,0)</x:f>
        <x:v>-0.42500000000000004</x:v>
      </x:c>
      <x:c r="V2671" s="24" t="n">
        <x:f>IFERROR(F2671/J2671,0)-IFERROR(G2671/K2671,0)</x:f>
        <x:v>-0.45454545454545453</x:v>
      </x:c>
      <x:c r="W2671" s="28" t="n">
        <x:f>L2671-M2671</x:f>
        <x:v>0</x:v>
      </x:c>
      <x:c r="X2671" s="24" t="n">
        <x:f>IFERROR(K2671/I2671,0)</x:f>
        <x:v>0.55</x:v>
      </x:c>
      <x:c r="Y2671" s="24" t="n">
        <x:f>IFERROR(G2671/I2671,0)</x:f>
        <x:v>0.25</x:v>
      </x:c>
      <x:c r="Z2671" s="24" t="n">
        <x:f>IFERROR(G2671/K2671,0)</x:f>
        <x:v>0.45454545454545453</x:v>
      </x:c>
      <x:c r="AA2671" s="24" t="n">
        <x:f>IFERROR(F2671/H2671,0)-IFERROR(G2671/I2671,0)</x:f>
        <x:v>-0.25</x:v>
      </x:c>
      <x:c r="AB2671" s="28" t="n">
        <x:f>J2671-K2671</x:f>
        <x:v>-10</x:v>
      </x:c>
      <x:c r="AC2671" s="32" t="n">
        <x:f>F2671-G2671</x:f>
        <x:v>-5</x:v>
      </x:c>
    </x:row>
    <x:row r="2672">
      <x:c r="A2672" s="4" t="str">
        <x:v>2024-25</x:v>
      </x:c>
      <x:c r="B2672" s="20" t="n">
        <x:v>45661</x:v>
      </x:c>
      <x:c r="C2672" s="4" t="str">
        <x:v>Tottenham</x:v>
      </x:c>
      <x:c r="D2672" s="4" t="str">
        <x:v>Newcastle</x:v>
      </x:c>
      <x:c r="E2672" s="4" t="str">
        <x:v>Home</x:v>
      </x:c>
      <x:c r="F2672" s="28" t="n">
        <x:v>1</x:v>
      </x:c>
      <x:c r="G2672" s="28" t="n">
        <x:v>2</x:v>
      </x:c>
      <x:c r="H2672" s="28" t="n">
        <x:v>13</x:v>
      </x:c>
      <x:c r="I2672" s="28" t="n">
        <x:v>14</x:v>
      </x:c>
      <x:c r="J2672" s="28" t="n">
        <x:v>4</x:v>
      </x:c>
      <x:c r="K2672" s="28" t="n">
        <x:v>4</x:v>
      </x:c>
      <x:c r="L2672" s="28" t="n">
        <x:v>9</x:v>
      </x:c>
      <x:c r="M2672" s="28" t="n">
        <x:v>10</x:v>
      </x:c>
      <x:c r="N2672" s="28" t="n">
        <x:v>1</x:v>
      </x:c>
      <x:c r="O2672" s="28" t="n">
        <x:v>0</x:v>
      </x:c>
      <x:c r="P2672" s="28" t="n">
        <x:v>0</x:v>
      </x:c>
      <x:c r="Q2672" s="24" t="n">
        <x:f>IFERROR(J2672/H2672,0)</x:f>
        <x:v>0.3076923076923077</x:v>
      </x:c>
      <x:c r="R2672" s="24" t="n">
        <x:f>IFERROR(F2672/H2672,0)</x:f>
        <x:v>0.07692307692307693</x:v>
      </x:c>
      <x:c r="S2672" s="24" t="n">
        <x:f>IFERROR(F2672/J2672,0)</x:f>
        <x:v>0.25</x:v>
      </x:c>
      <x:c r="T2672" s="28" t="n">
        <x:f>H2672-I2672</x:f>
        <x:v>-1</x:v>
      </x:c>
      <x:c r="U2672" s="24" t="n">
        <x:f>IFERROR(J2672/H2672,0)-IFERROR(K2672/I2672,0)</x:f>
        <x:v>0.02197802197802201</x:v>
      </x:c>
      <x:c r="V2672" s="24" t="n">
        <x:f>IFERROR(F2672/J2672,0)-IFERROR(G2672/K2672,0)</x:f>
        <x:v>-0.25</x:v>
      </x:c>
      <x:c r="W2672" s="28" t="n">
        <x:f>L2672-M2672</x:f>
        <x:v>-1</x:v>
      </x:c>
      <x:c r="X2672" s="24" t="n">
        <x:f>IFERROR(K2672/I2672,0)</x:f>
        <x:v>0.2857142857142857</x:v>
      </x:c>
      <x:c r="Y2672" s="24" t="n">
        <x:f>IFERROR(G2672/I2672,0)</x:f>
        <x:v>0.14285714285714285</x:v>
      </x:c>
      <x:c r="Z2672" s="24" t="n">
        <x:f>IFERROR(G2672/K2672,0)</x:f>
        <x:v>0.5</x:v>
      </x:c>
      <x:c r="AA2672" s="24" t="n">
        <x:f>IFERROR(F2672/H2672,0)-IFERROR(G2672/I2672,0)</x:f>
        <x:v>-0.06593406593406592</x:v>
      </x:c>
      <x:c r="AB2672" s="28" t="n">
        <x:f>J2672-K2672</x:f>
        <x:v>0</x:v>
      </x:c>
      <x:c r="AC2672" s="32" t="n">
        <x:f>F2672-G2672</x:f>
        <x:v>-1</x:v>
      </x:c>
    </x:row>
    <x:row r="2673">
      <x:c r="A2673" s="4" t="str">
        <x:v>2024-25</x:v>
      </x:c>
      <x:c r="B2673" s="20" t="n">
        <x:v>45661</x:v>
      </x:c>
      <x:c r="C2673" s="4" t="str">
        <x:v>West Ham</x:v>
      </x:c>
      <x:c r="D2673" s="4" t="str">
        <x:v>Man City</x:v>
      </x:c>
      <x:c r="E2673" s="4" t="str">
        <x:v>Away</x:v>
      </x:c>
      <x:c r="F2673" s="28" t="n">
        <x:v>1</x:v>
      </x:c>
      <x:c r="G2673" s="28" t="n">
        <x:v>4</x:v>
      </x:c>
      <x:c r="H2673" s="28" t="n">
        <x:v>17</x:v>
      </x:c>
      <x:c r="I2673" s="28" t="n">
        <x:v>10</x:v>
      </x:c>
      <x:c r="J2673" s="28" t="n">
        <x:v>4</x:v>
      </x:c>
      <x:c r="K2673" s="28" t="n">
        <x:v>7</x:v>
      </x:c>
      <x:c r="L2673" s="28" t="n">
        <x:v>1</x:v>
      </x:c>
      <x:c r="M2673" s="28" t="n">
        <x:v>7</x:v>
      </x:c>
      <x:c r="N2673" s="28" t="n">
        <x:v>1</x:v>
      </x:c>
      <x:c r="O2673" s="28" t="n">
        <x:v>0</x:v>
      </x:c>
      <x:c r="P2673" s="28" t="n">
        <x:v>0</x:v>
      </x:c>
      <x:c r="Q2673" s="24" t="n">
        <x:f>IFERROR(J2673/H2673,0)</x:f>
        <x:v>0.23529411764705882</x:v>
      </x:c>
      <x:c r="R2673" s="24" t="n">
        <x:f>IFERROR(F2673/H2673,0)</x:f>
        <x:v>0.058823529411764705</x:v>
      </x:c>
      <x:c r="S2673" s="24" t="n">
        <x:f>IFERROR(F2673/J2673,0)</x:f>
        <x:v>0.25</x:v>
      </x:c>
      <x:c r="T2673" s="28" t="n">
        <x:f>H2673-I2673</x:f>
        <x:v>7</x:v>
      </x:c>
      <x:c r="U2673" s="24" t="n">
        <x:f>IFERROR(J2673/H2673,0)-IFERROR(K2673/I2673,0)</x:f>
        <x:v>-0.46470588235294114</x:v>
      </x:c>
      <x:c r="V2673" s="24" t="n">
        <x:f>IFERROR(F2673/J2673,0)-IFERROR(G2673/K2673,0)</x:f>
        <x:v>-0.3214285714285714</x:v>
      </x:c>
      <x:c r="W2673" s="28" t="n">
        <x:f>L2673-M2673</x:f>
        <x:v>-6</x:v>
      </x:c>
      <x:c r="X2673" s="24" t="n">
        <x:f>IFERROR(K2673/I2673,0)</x:f>
        <x:v>0.7</x:v>
      </x:c>
      <x:c r="Y2673" s="24" t="n">
        <x:f>IFERROR(G2673/I2673,0)</x:f>
        <x:v>0.4</x:v>
      </x:c>
      <x:c r="Z2673" s="24" t="n">
        <x:f>IFERROR(G2673/K2673,0)</x:f>
        <x:v>0.5714285714285714</x:v>
      </x:c>
      <x:c r="AA2673" s="24" t="n">
        <x:f>IFERROR(F2673/H2673,0)-IFERROR(G2673/I2673,0)</x:f>
        <x:v>-0.3411764705882353</x:v>
      </x:c>
      <x:c r="AB2673" s="28" t="n">
        <x:f>J2673-K2673</x:f>
        <x:v>-3</x:v>
      </x:c>
      <x:c r="AC2673" s="32" t="n">
        <x:f>F2673-G2673</x:f>
        <x:v>-3</x:v>
      </x:c>
    </x:row>
    <x:row r="2674">
      <x:c r="A2674" s="4" t="str">
        <x:v>2024-25</x:v>
      </x:c>
      <x:c r="B2674" s="20" t="n">
        <x:v>45662</x:v>
      </x:c>
      <x:c r="C2674" s="4" t="str">
        <x:v>Fulham</x:v>
      </x:c>
      <x:c r="D2674" s="4" t="str">
        <x:v>Ipswich</x:v>
      </x:c>
      <x:c r="E2674" s="4" t="str">
        <x:v>Home</x:v>
      </x:c>
      <x:c r="F2674" s="28" t="n">
        <x:v>2</x:v>
      </x:c>
      <x:c r="G2674" s="28" t="n">
        <x:v>2</x:v>
      </x:c>
      <x:c r="H2674" s="28" t="n">
        <x:v>15</x:v>
      </x:c>
      <x:c r="I2674" s="28" t="n">
        <x:v>7</x:v>
      </x:c>
      <x:c r="J2674" s="28" t="n">
        <x:v>4</x:v>
      </x:c>
      <x:c r="K2674" s="28" t="n">
        <x:v>3</x:v>
      </x:c>
      <x:c r="L2674" s="28" t="n">
        <x:v>9</x:v>
      </x:c>
      <x:c r="M2674" s="28" t="n">
        <x:v>2</x:v>
      </x:c>
      <x:c r="N2674" s="28" t="n">
        <x:v>1</x:v>
      </x:c>
      <x:c r="O2674" s="28" t="n">
        <x:v>0</x:v>
      </x:c>
      <x:c r="P2674" s="28" t="n">
        <x:v>1</x:v>
      </x:c>
      <x:c r="Q2674" s="24" t="n">
        <x:f>IFERROR(J2674/H2674,0)</x:f>
        <x:v>0.26666666666666666</x:v>
      </x:c>
      <x:c r="R2674" s="24" t="n">
        <x:f>IFERROR(F2674/H2674,0)</x:f>
        <x:v>0.13333333333333333</x:v>
      </x:c>
      <x:c r="S2674" s="24" t="n">
        <x:f>IFERROR(F2674/J2674,0)</x:f>
        <x:v>0.5</x:v>
      </x:c>
      <x:c r="T2674" s="28" t="n">
        <x:f>H2674-I2674</x:f>
        <x:v>8</x:v>
      </x:c>
      <x:c r="U2674" s="24" t="n">
        <x:f>IFERROR(J2674/H2674,0)-IFERROR(K2674/I2674,0)</x:f>
        <x:v>-0.16190476190476188</x:v>
      </x:c>
      <x:c r="V2674" s="24" t="n">
        <x:f>IFERROR(F2674/J2674,0)-IFERROR(G2674/K2674,0)</x:f>
        <x:v>-0.16666666666666663</x:v>
      </x:c>
      <x:c r="W2674" s="28" t="n">
        <x:f>L2674-M2674</x:f>
        <x:v>7</x:v>
      </x:c>
      <x:c r="X2674" s="24" t="n">
        <x:f>IFERROR(K2674/I2674,0)</x:f>
        <x:v>0.42857142857142855</x:v>
      </x:c>
      <x:c r="Y2674" s="24" t="n">
        <x:f>IFERROR(G2674/I2674,0)</x:f>
        <x:v>0.2857142857142857</x:v>
      </x:c>
      <x:c r="Z2674" s="24" t="n">
        <x:f>IFERROR(G2674/K2674,0)</x:f>
        <x:v>0.6666666666666666</x:v>
      </x:c>
      <x:c r="AA2674" s="24" t="n">
        <x:f>IFERROR(F2674/H2674,0)-IFERROR(G2674/I2674,0)</x:f>
        <x:v>-0.15238095238095237</x:v>
      </x:c>
      <x:c r="AB2674" s="28" t="n">
        <x:f>J2674-K2674</x:f>
        <x:v>1</x:v>
      </x:c>
      <x:c r="AC2674" s="32" t="n">
        <x:f>F2674-G2674</x:f>
        <x:v>0</x:v>
      </x:c>
    </x:row>
    <x:row r="2675">
      <x:c r="A2675" s="4" t="str">
        <x:v>2024-25</x:v>
      </x:c>
      <x:c r="B2675" s="20" t="n">
        <x:v>45662</x:v>
      </x:c>
      <x:c r="C2675" s="4" t="str">
        <x:v>Ipswich</x:v>
      </x:c>
      <x:c r="D2675" s="4" t="str">
        <x:v>Fulham</x:v>
      </x:c>
      <x:c r="E2675" s="4" t="str">
        <x:v>Away</x:v>
      </x:c>
      <x:c r="F2675" s="28" t="n">
        <x:v>2</x:v>
      </x:c>
      <x:c r="G2675" s="28" t="n">
        <x:v>2</x:v>
      </x:c>
      <x:c r="H2675" s="28" t="n">
        <x:v>7</x:v>
      </x:c>
      <x:c r="I2675" s="28" t="n">
        <x:v>15</x:v>
      </x:c>
      <x:c r="J2675" s="28" t="n">
        <x:v>3</x:v>
      </x:c>
      <x:c r="K2675" s="28" t="n">
        <x:v>4</x:v>
      </x:c>
      <x:c r="L2675" s="28" t="n">
        <x:v>2</x:v>
      </x:c>
      <x:c r="M2675" s="28" t="n">
        <x:v>9</x:v>
      </x:c>
      <x:c r="N2675" s="28" t="n">
        <x:v>5</x:v>
      </x:c>
      <x:c r="O2675" s="28" t="n">
        <x:v>0</x:v>
      </x:c>
      <x:c r="P2675" s="28" t="n">
        <x:v>1</x:v>
      </x:c>
      <x:c r="Q2675" s="24" t="n">
        <x:f>IFERROR(J2675/H2675,0)</x:f>
        <x:v>0.42857142857142855</x:v>
      </x:c>
      <x:c r="R2675" s="24" t="n">
        <x:f>IFERROR(F2675/H2675,0)</x:f>
        <x:v>0.2857142857142857</x:v>
      </x:c>
      <x:c r="S2675" s="24" t="n">
        <x:f>IFERROR(F2675/J2675,0)</x:f>
        <x:v>0.6666666666666666</x:v>
      </x:c>
      <x:c r="T2675" s="28" t="n">
        <x:f>H2675-I2675</x:f>
        <x:v>-8</x:v>
      </x:c>
      <x:c r="U2675" s="24" t="n">
        <x:f>IFERROR(J2675/H2675,0)-IFERROR(K2675/I2675,0)</x:f>
        <x:v>0.16190476190476188</x:v>
      </x:c>
      <x:c r="V2675" s="24" t="n">
        <x:f>IFERROR(F2675/J2675,0)-IFERROR(G2675/K2675,0)</x:f>
        <x:v>0.16666666666666663</x:v>
      </x:c>
      <x:c r="W2675" s="28" t="n">
        <x:f>L2675-M2675</x:f>
        <x:v>-7</x:v>
      </x:c>
      <x:c r="X2675" s="24" t="n">
        <x:f>IFERROR(K2675/I2675,0)</x:f>
        <x:v>0.26666666666666666</x:v>
      </x:c>
      <x:c r="Y2675" s="24" t="n">
        <x:f>IFERROR(G2675/I2675,0)</x:f>
        <x:v>0.13333333333333333</x:v>
      </x:c>
      <x:c r="Z2675" s="24" t="n">
        <x:f>IFERROR(G2675/K2675,0)</x:f>
        <x:v>0.5</x:v>
      </x:c>
      <x:c r="AA2675" s="24" t="n">
        <x:f>IFERROR(F2675/H2675,0)-IFERROR(G2675/I2675,0)</x:f>
        <x:v>0.15238095238095237</x:v>
      </x:c>
      <x:c r="AB2675" s="28" t="n">
        <x:f>J2675-K2675</x:f>
        <x:v>-1</x:v>
      </x:c>
      <x:c r="AC2675" s="32" t="n">
        <x:f>F2675-G2675</x:f>
        <x:v>0</x:v>
      </x:c>
    </x:row>
    <x:row r="2676">
      <x:c r="A2676" s="4" t="str">
        <x:v>2024-25</x:v>
      </x:c>
      <x:c r="B2676" s="20" t="n">
        <x:v>45662</x:v>
      </x:c>
      <x:c r="C2676" s="4" t="str">
        <x:v>Liverpool</x:v>
      </x:c>
      <x:c r="D2676" s="4" t="str">
        <x:v>Man United</x:v>
      </x:c>
      <x:c r="E2676" s="4" t="str">
        <x:v>Home</x:v>
      </x:c>
      <x:c r="F2676" s="28" t="n">
        <x:v>2</x:v>
      </x:c>
      <x:c r="G2676" s="28" t="n">
        <x:v>2</x:v>
      </x:c>
      <x:c r="H2676" s="28" t="n">
        <x:v>19</x:v>
      </x:c>
      <x:c r="I2676" s="28" t="n">
        <x:v>13</x:v>
      </x:c>
      <x:c r="J2676" s="28" t="n">
        <x:v>6</x:v>
      </x:c>
      <x:c r="K2676" s="28" t="n">
        <x:v>4</x:v>
      </x:c>
      <x:c r="L2676" s="28" t="n">
        <x:v>6</x:v>
      </x:c>
      <x:c r="M2676" s="28" t="n">
        <x:v>9</x:v>
      </x:c>
      <x:c r="N2676" s="28" t="n">
        <x:v>2</x:v>
      </x:c>
      <x:c r="O2676" s="28" t="n">
        <x:v>0</x:v>
      </x:c>
      <x:c r="P2676" s="28" t="n">
        <x:v>1</x:v>
      </x:c>
      <x:c r="Q2676" s="24" t="n">
        <x:f>IFERROR(J2676/H2676,0)</x:f>
        <x:v>0.3157894736842105</x:v>
      </x:c>
      <x:c r="R2676" s="24" t="n">
        <x:f>IFERROR(F2676/H2676,0)</x:f>
        <x:v>0.10526315789473684</x:v>
      </x:c>
      <x:c r="S2676" s="24" t="n">
        <x:f>IFERROR(F2676/J2676,0)</x:f>
        <x:v>0.3333333333333333</x:v>
      </x:c>
      <x:c r="T2676" s="28" t="n">
        <x:f>H2676-I2676</x:f>
        <x:v>6</x:v>
      </x:c>
      <x:c r="U2676" s="24" t="n">
        <x:f>IFERROR(J2676/H2676,0)-IFERROR(K2676/I2676,0)</x:f>
        <x:v>0.0080971659919028</x:v>
      </x:c>
      <x:c r="V2676" s="24" t="n">
        <x:f>IFERROR(F2676/J2676,0)-IFERROR(G2676/K2676,0)</x:f>
        <x:v>-0.16666666666666669</x:v>
      </x:c>
      <x:c r="W2676" s="28" t="n">
        <x:f>L2676-M2676</x:f>
        <x:v>-3</x:v>
      </x:c>
      <x:c r="X2676" s="24" t="n">
        <x:f>IFERROR(K2676/I2676,0)</x:f>
        <x:v>0.3076923076923077</x:v>
      </x:c>
      <x:c r="Y2676" s="24" t="n">
        <x:f>IFERROR(G2676/I2676,0)</x:f>
        <x:v>0.15384615384615385</x:v>
      </x:c>
      <x:c r="Z2676" s="24" t="n">
        <x:f>IFERROR(G2676/K2676,0)</x:f>
        <x:v>0.5</x:v>
      </x:c>
      <x:c r="AA2676" s="24" t="n">
        <x:f>IFERROR(F2676/H2676,0)-IFERROR(G2676/I2676,0)</x:f>
        <x:v>-0.04858299595141702</x:v>
      </x:c>
      <x:c r="AB2676" s="28" t="n">
        <x:f>J2676-K2676</x:f>
        <x:v>2</x:v>
      </x:c>
      <x:c r="AC2676" s="32" t="n">
        <x:f>F2676-G2676</x:f>
        <x:v>0</x:v>
      </x:c>
    </x:row>
    <x:row r="2677">
      <x:c r="A2677" s="4" t="str">
        <x:v>2024-25</x:v>
      </x:c>
      <x:c r="B2677" s="20" t="n">
        <x:v>45662</x:v>
      </x:c>
      <x:c r="C2677" s="4" t="str">
        <x:v>Man United</x:v>
      </x:c>
      <x:c r="D2677" s="4" t="str">
        <x:v>Liverpool</x:v>
      </x:c>
      <x:c r="E2677" s="4" t="str">
        <x:v>Away</x:v>
      </x:c>
      <x:c r="F2677" s="28" t="n">
        <x:v>2</x:v>
      </x:c>
      <x:c r="G2677" s="28" t="n">
        <x:v>2</x:v>
      </x:c>
      <x:c r="H2677" s="28" t="n">
        <x:v>13</x:v>
      </x:c>
      <x:c r="I2677" s="28" t="n">
        <x:v>19</x:v>
      </x:c>
      <x:c r="J2677" s="28" t="n">
        <x:v>4</x:v>
      </x:c>
      <x:c r="K2677" s="28" t="n">
        <x:v>6</x:v>
      </x:c>
      <x:c r="L2677" s="28" t="n">
        <x:v>9</x:v>
      </x:c>
      <x:c r="M2677" s="28" t="n">
        <x:v>6</x:v>
      </x:c>
      <x:c r="N2677" s="28" t="n">
        <x:v>4</x:v>
      </x:c>
      <x:c r="O2677" s="28" t="n">
        <x:v>0</x:v>
      </x:c>
      <x:c r="P2677" s="28" t="n">
        <x:v>1</x:v>
      </x:c>
      <x:c r="Q2677" s="24" t="n">
        <x:f>IFERROR(J2677/H2677,0)</x:f>
        <x:v>0.3076923076923077</x:v>
      </x:c>
      <x:c r="R2677" s="24" t="n">
        <x:f>IFERROR(F2677/H2677,0)</x:f>
        <x:v>0.15384615384615385</x:v>
      </x:c>
      <x:c r="S2677" s="24" t="n">
        <x:f>IFERROR(F2677/J2677,0)</x:f>
        <x:v>0.5</x:v>
      </x:c>
      <x:c r="T2677" s="28" t="n">
        <x:f>H2677-I2677</x:f>
        <x:v>-6</x:v>
      </x:c>
      <x:c r="U2677" s="24" t="n">
        <x:f>IFERROR(J2677/H2677,0)-IFERROR(K2677/I2677,0)</x:f>
        <x:v>-0.0080971659919028</x:v>
      </x:c>
      <x:c r="V2677" s="24" t="n">
        <x:f>IFERROR(F2677/J2677,0)-IFERROR(G2677/K2677,0)</x:f>
        <x:v>0.16666666666666669</x:v>
      </x:c>
      <x:c r="W2677" s="28" t="n">
        <x:f>L2677-M2677</x:f>
        <x:v>3</x:v>
      </x:c>
      <x:c r="X2677" s="24" t="n">
        <x:f>IFERROR(K2677/I2677,0)</x:f>
        <x:v>0.3157894736842105</x:v>
      </x:c>
      <x:c r="Y2677" s="24" t="n">
        <x:f>IFERROR(G2677/I2677,0)</x:f>
        <x:v>0.10526315789473684</x:v>
      </x:c>
      <x:c r="Z2677" s="24" t="n">
        <x:f>IFERROR(G2677/K2677,0)</x:f>
        <x:v>0.3333333333333333</x:v>
      </x:c>
      <x:c r="AA2677" s="24" t="n">
        <x:f>IFERROR(F2677/H2677,0)-IFERROR(G2677/I2677,0)</x:f>
        <x:v>0.04858299595141702</x:v>
      </x:c>
      <x:c r="AB2677" s="28" t="n">
        <x:f>J2677-K2677</x:f>
        <x:v>-2</x:v>
      </x:c>
      <x:c r="AC2677" s="32" t="n">
        <x:f>F2677-G2677</x:f>
        <x:v>0</x:v>
      </x:c>
    </x:row>
    <x:row r="2678">
      <x:c r="A2678" s="4" t="str">
        <x:v>2024-25</x:v>
      </x:c>
      <x:c r="B2678" s="20" t="n">
        <x:v>45663</x:v>
      </x:c>
      <x:c r="C2678" s="4" t="str">
        <x:v>Nott'm Forest</x:v>
      </x:c>
      <x:c r="D2678" s="4" t="str">
        <x:v>Wolves</x:v>
      </x:c>
      <x:c r="E2678" s="4" t="str">
        <x:v>Away</x:v>
      </x:c>
      <x:c r="F2678" s="28" t="n">
        <x:v>3</x:v>
      </x:c>
      <x:c r="G2678" s="28" t="n">
        <x:v>0</x:v>
      </x:c>
      <x:c r="H2678" s="28" t="n">
        <x:v>11</x:v>
      </x:c>
      <x:c r="I2678" s="28" t="n">
        <x:v>13</x:v>
      </x:c>
      <x:c r="J2678" s="28" t="n">
        <x:v>3</x:v>
      </x:c>
      <x:c r="K2678" s="28" t="n">
        <x:v>6</x:v>
      </x:c>
      <x:c r="L2678" s="28" t="n">
        <x:v>3</x:v>
      </x:c>
      <x:c r="M2678" s="28" t="n">
        <x:v>5</x:v>
      </x:c>
      <x:c r="N2678" s="28" t="n">
        <x:v>2</x:v>
      </x:c>
      <x:c r="O2678" s="28" t="n">
        <x:v>0</x:v>
      </x:c>
      <x:c r="P2678" s="28" t="n">
        <x:v>3</x:v>
      </x:c>
      <x:c r="Q2678" s="24" t="n">
        <x:f>IFERROR(J2678/H2678,0)</x:f>
        <x:v>0.2727272727272727</x:v>
      </x:c>
      <x:c r="R2678" s="24" t="n">
        <x:f>IFERROR(F2678/H2678,0)</x:f>
        <x:v>0.2727272727272727</x:v>
      </x:c>
      <x:c r="S2678" s="24" t="n">
        <x:f>IFERROR(F2678/J2678,0)</x:f>
        <x:v>1</x:v>
      </x:c>
      <x:c r="T2678" s="28" t="n">
        <x:f>H2678-I2678</x:f>
        <x:v>-2</x:v>
      </x:c>
      <x:c r="U2678" s="24" t="n">
        <x:f>IFERROR(J2678/H2678,0)-IFERROR(K2678/I2678,0)</x:f>
        <x:v>-0.18881118881118886</x:v>
      </x:c>
      <x:c r="V2678" s="24" t="n">
        <x:f>IFERROR(F2678/J2678,0)-IFERROR(G2678/K2678,0)</x:f>
        <x:v>1</x:v>
      </x:c>
      <x:c r="W2678" s="28" t="n">
        <x:f>L2678-M2678</x:f>
        <x:v>-2</x:v>
      </x:c>
      <x:c r="X2678" s="24" t="n">
        <x:f>IFERROR(K2678/I2678,0)</x:f>
        <x:v>0.46153846153846156</x:v>
      </x:c>
      <x:c r="Y2678" s="24" t="n">
        <x:f>IFERROR(G2678/I2678,0)</x:f>
        <x:v>0</x:v>
      </x:c>
      <x:c r="Z2678" s="24" t="n">
        <x:f>IFERROR(G2678/K2678,0)</x:f>
        <x:v>0</x:v>
      </x:c>
      <x:c r="AA2678" s="24" t="n">
        <x:f>IFERROR(F2678/H2678,0)-IFERROR(G2678/I2678,0)</x:f>
        <x:v>0.2727272727272727</x:v>
      </x:c>
      <x:c r="AB2678" s="28" t="n">
        <x:f>J2678-K2678</x:f>
        <x:v>-3</x:v>
      </x:c>
      <x:c r="AC2678" s="32" t="n">
        <x:f>F2678-G2678</x:f>
        <x:v>3</x:v>
      </x:c>
    </x:row>
    <x:row r="2679">
      <x:c r="A2679" s="4" t="str">
        <x:v>2024-25</x:v>
      </x:c>
      <x:c r="B2679" s="20" t="n">
        <x:v>45663</x:v>
      </x:c>
      <x:c r="C2679" s="4" t="str">
        <x:v>Wolves</x:v>
      </x:c>
      <x:c r="D2679" s="4" t="str">
        <x:v>Nott'm Forest</x:v>
      </x:c>
      <x:c r="E2679" s="4" t="str">
        <x:v>Home</x:v>
      </x:c>
      <x:c r="F2679" s="28" t="n">
        <x:v>0</x:v>
      </x:c>
      <x:c r="G2679" s="28" t="n">
        <x:v>3</x:v>
      </x:c>
      <x:c r="H2679" s="28" t="n">
        <x:v>13</x:v>
      </x:c>
      <x:c r="I2679" s="28" t="n">
        <x:v>11</x:v>
      </x:c>
      <x:c r="J2679" s="28" t="n">
        <x:v>6</x:v>
      </x:c>
      <x:c r="K2679" s="28" t="n">
        <x:v>3</x:v>
      </x:c>
      <x:c r="L2679" s="28" t="n">
        <x:v>5</x:v>
      </x:c>
      <x:c r="M2679" s="28" t="n">
        <x:v>3</x:v>
      </x:c>
      <x:c r="N2679" s="28" t="n">
        <x:v>1</x:v>
      </x:c>
      <x:c r="O2679" s="28" t="n">
        <x:v>0</x:v>
      </x:c>
      <x:c r="P2679" s="28" t="n">
        <x:v>0</x:v>
      </x:c>
      <x:c r="Q2679" s="24" t="n">
        <x:f>IFERROR(J2679/H2679,0)</x:f>
        <x:v>0.46153846153846156</x:v>
      </x:c>
      <x:c r="R2679" s="24" t="n">
        <x:f>IFERROR(F2679/H2679,0)</x:f>
        <x:v>0</x:v>
      </x:c>
      <x:c r="S2679" s="24" t="n">
        <x:f>IFERROR(F2679/J2679,0)</x:f>
        <x:v>0</x:v>
      </x:c>
      <x:c r="T2679" s="28" t="n">
        <x:f>H2679-I2679</x:f>
        <x:v>2</x:v>
      </x:c>
      <x:c r="U2679" s="24" t="n">
        <x:f>IFERROR(J2679/H2679,0)-IFERROR(K2679/I2679,0)</x:f>
        <x:v>0.18881118881118886</x:v>
      </x:c>
      <x:c r="V2679" s="24" t="n">
        <x:f>IFERROR(F2679/J2679,0)-IFERROR(G2679/K2679,0)</x:f>
        <x:v>-1</x:v>
      </x:c>
      <x:c r="W2679" s="28" t="n">
        <x:f>L2679-M2679</x:f>
        <x:v>2</x:v>
      </x:c>
      <x:c r="X2679" s="24" t="n">
        <x:f>IFERROR(K2679/I2679,0)</x:f>
        <x:v>0.2727272727272727</x:v>
      </x:c>
      <x:c r="Y2679" s="24" t="n">
        <x:f>IFERROR(G2679/I2679,0)</x:f>
        <x:v>0.2727272727272727</x:v>
      </x:c>
      <x:c r="Z2679" s="24" t="n">
        <x:f>IFERROR(G2679/K2679,0)</x:f>
        <x:v>1</x:v>
      </x:c>
      <x:c r="AA2679" s="24" t="n">
        <x:f>IFERROR(F2679/H2679,0)-IFERROR(G2679/I2679,0)</x:f>
        <x:v>-0.2727272727272727</x:v>
      </x:c>
      <x:c r="AB2679" s="28" t="n">
        <x:f>J2679-K2679</x:f>
        <x:v>3</x:v>
      </x:c>
      <x:c r="AC2679" s="32" t="n">
        <x:f>F2679-G2679</x:f>
        <x:v>-3</x:v>
      </x:c>
    </x:row>
    <x:row r="2680">
      <x:c r="A2680" s="4" t="str">
        <x:v>2024-25</x:v>
      </x:c>
      <x:c r="B2680" s="20" t="n">
        <x:v>45671</x:v>
      </x:c>
      <x:c r="C2680" s="4" t="str">
        <x:v>Bournemouth</x:v>
      </x:c>
      <x:c r="D2680" s="4" t="str">
        <x:v>Chelsea</x:v>
      </x:c>
      <x:c r="E2680" s="4" t="str">
        <x:v>Away</x:v>
      </x:c>
      <x:c r="F2680" s="28" t="n">
        <x:v>2</x:v>
      </x:c>
      <x:c r="G2680" s="28" t="n">
        <x:v>2</x:v>
      </x:c>
      <x:c r="H2680" s="28" t="n">
        <x:v>7</x:v>
      </x:c>
      <x:c r="I2680" s="28" t="n">
        <x:v>26</x:v>
      </x:c>
      <x:c r="J2680" s="28" t="n">
        <x:v>3</x:v>
      </x:c>
      <x:c r="K2680" s="28" t="n">
        <x:v>10</x:v>
      </x:c>
      <x:c r="L2680" s="28" t="n">
        <x:v>3</x:v>
      </x:c>
      <x:c r="M2680" s="28" t="n">
        <x:v>9</x:v>
      </x:c>
      <x:c r="N2680" s="28" t="n">
        <x:v>3</x:v>
      </x:c>
      <x:c r="O2680" s="28" t="n">
        <x:v>0</x:v>
      </x:c>
      <x:c r="P2680" s="28" t="n">
        <x:v>1</x:v>
      </x:c>
      <x:c r="Q2680" s="24" t="n">
        <x:f>IFERROR(J2680/H2680,0)</x:f>
        <x:v>0.42857142857142855</x:v>
      </x:c>
      <x:c r="R2680" s="24" t="n">
        <x:f>IFERROR(F2680/H2680,0)</x:f>
        <x:v>0.2857142857142857</x:v>
      </x:c>
      <x:c r="S2680" s="24" t="n">
        <x:f>IFERROR(F2680/J2680,0)</x:f>
        <x:v>0.6666666666666666</x:v>
      </x:c>
      <x:c r="T2680" s="28" t="n">
        <x:f>H2680-I2680</x:f>
        <x:v>-19</x:v>
      </x:c>
      <x:c r="U2680" s="24" t="n">
        <x:f>IFERROR(J2680/H2680,0)-IFERROR(K2680/I2680,0)</x:f>
        <x:v>0.04395604395604391</x:v>
      </x:c>
      <x:c r="V2680" s="24" t="n">
        <x:f>IFERROR(F2680/J2680,0)-IFERROR(G2680/K2680,0)</x:f>
        <x:v>0.4666666666666666</x:v>
      </x:c>
      <x:c r="W2680" s="28" t="n">
        <x:f>L2680-M2680</x:f>
        <x:v>-6</x:v>
      </x:c>
      <x:c r="X2680" s="24" t="n">
        <x:f>IFERROR(K2680/I2680,0)</x:f>
        <x:v>0.38461538461538464</x:v>
      </x:c>
      <x:c r="Y2680" s="24" t="n">
        <x:f>IFERROR(G2680/I2680,0)</x:f>
        <x:v>0.07692307692307693</x:v>
      </x:c>
      <x:c r="Z2680" s="24" t="n">
        <x:f>IFERROR(G2680/K2680,0)</x:f>
        <x:v>0.2</x:v>
      </x:c>
      <x:c r="AA2680" s="24" t="n">
        <x:f>IFERROR(F2680/H2680,0)-IFERROR(G2680/I2680,0)</x:f>
        <x:v>0.20879120879120877</x:v>
      </x:c>
      <x:c r="AB2680" s="28" t="n">
        <x:f>J2680-K2680</x:f>
        <x:v>-7</x:v>
      </x:c>
      <x:c r="AC2680" s="32" t="n">
        <x:f>F2680-G2680</x:f>
        <x:v>0</x:v>
      </x:c>
    </x:row>
    <x:row r="2681">
      <x:c r="A2681" s="4" t="str">
        <x:v>2024-25</x:v>
      </x:c>
      <x:c r="B2681" s="20" t="n">
        <x:v>45671</x:v>
      </x:c>
      <x:c r="C2681" s="4" t="str">
        <x:v>Brentford</x:v>
      </x:c>
      <x:c r="D2681" s="4" t="str">
        <x:v>Man City</x:v>
      </x:c>
      <x:c r="E2681" s="4" t="str">
        <x:v>Home</x:v>
      </x:c>
      <x:c r="F2681" s="28" t="n">
        <x:v>2</x:v>
      </x:c>
      <x:c r="G2681" s="28" t="n">
        <x:v>2</x:v>
      </x:c>
      <x:c r="H2681" s="28" t="n">
        <x:v>18</x:v>
      </x:c>
      <x:c r="I2681" s="28" t="n">
        <x:v>21</x:v>
      </x:c>
      <x:c r="J2681" s="28" t="n">
        <x:v>6</x:v>
      </x:c>
      <x:c r="K2681" s="28" t="n">
        <x:v>8</x:v>
      </x:c>
      <x:c r="L2681" s="28" t="n">
        <x:v>4</x:v>
      </x:c>
      <x:c r="M2681" s="28" t="n">
        <x:v>5</x:v>
      </x:c>
      <x:c r="N2681" s="28" t="n">
        <x:v>0</x:v>
      </x:c>
      <x:c r="O2681" s="28" t="n">
        <x:v>0</x:v>
      </x:c>
      <x:c r="P2681" s="28" t="n">
        <x:v>1</x:v>
      </x:c>
      <x:c r="Q2681" s="24" t="n">
        <x:f>IFERROR(J2681/H2681,0)</x:f>
        <x:v>0.3333333333333333</x:v>
      </x:c>
      <x:c r="R2681" s="24" t="n">
        <x:f>IFERROR(F2681/H2681,0)</x:f>
        <x:v>0.1111111111111111</x:v>
      </x:c>
      <x:c r="S2681" s="24" t="n">
        <x:f>IFERROR(F2681/J2681,0)</x:f>
        <x:v>0.3333333333333333</x:v>
      </x:c>
      <x:c r="T2681" s="28" t="n">
        <x:f>H2681-I2681</x:f>
        <x:v>-3</x:v>
      </x:c>
      <x:c r="U2681" s="24" t="n">
        <x:f>IFERROR(J2681/H2681,0)-IFERROR(K2681/I2681,0)</x:f>
        <x:v>-0.047619047619047616</x:v>
      </x:c>
      <x:c r="V2681" s="24" t="n">
        <x:f>IFERROR(F2681/J2681,0)-IFERROR(G2681/K2681,0)</x:f>
        <x:v>0.08333333333333331</x:v>
      </x:c>
      <x:c r="W2681" s="28" t="n">
        <x:f>L2681-M2681</x:f>
        <x:v>-1</x:v>
      </x:c>
      <x:c r="X2681" s="24" t="n">
        <x:f>IFERROR(K2681/I2681,0)</x:f>
        <x:v>0.38095238095238093</x:v>
      </x:c>
      <x:c r="Y2681" s="24" t="n">
        <x:f>IFERROR(G2681/I2681,0)</x:f>
        <x:v>0.09523809523809523</x:v>
      </x:c>
      <x:c r="Z2681" s="24" t="n">
        <x:f>IFERROR(G2681/K2681,0)</x:f>
        <x:v>0.25</x:v>
      </x:c>
      <x:c r="AA2681" s="24" t="n">
        <x:f>IFERROR(F2681/H2681,0)-IFERROR(G2681/I2681,0)</x:f>
        <x:v>0.015873015873015872</x:v>
      </x:c>
      <x:c r="AB2681" s="28" t="n">
        <x:f>J2681-K2681</x:f>
        <x:v>-2</x:v>
      </x:c>
      <x:c r="AC2681" s="32" t="n">
        <x:f>F2681-G2681</x:f>
        <x:v>0</x:v>
      </x:c>
    </x:row>
    <x:row r="2682">
      <x:c r="A2682" s="4" t="str">
        <x:v>2024-25</x:v>
      </x:c>
      <x:c r="B2682" s="20" t="n">
        <x:v>45671</x:v>
      </x:c>
      <x:c r="C2682" s="4" t="str">
        <x:v>Chelsea</x:v>
      </x:c>
      <x:c r="D2682" s="4" t="str">
        <x:v>Bournemouth</x:v>
      </x:c>
      <x:c r="E2682" s="4" t="str">
        <x:v>Home</x:v>
      </x:c>
      <x:c r="F2682" s="28" t="n">
        <x:v>2</x:v>
      </x:c>
      <x:c r="G2682" s="28" t="n">
        <x:v>2</x:v>
      </x:c>
      <x:c r="H2682" s="28" t="n">
        <x:v>26</x:v>
      </x:c>
      <x:c r="I2682" s="28" t="n">
        <x:v>7</x:v>
      </x:c>
      <x:c r="J2682" s="28" t="n">
        <x:v>10</x:v>
      </x:c>
      <x:c r="K2682" s="28" t="n">
        <x:v>3</x:v>
      </x:c>
      <x:c r="L2682" s="28" t="n">
        <x:v>9</x:v>
      </x:c>
      <x:c r="M2682" s="28" t="n">
        <x:v>3</x:v>
      </x:c>
      <x:c r="N2682" s="28" t="n">
        <x:v>2</x:v>
      </x:c>
      <x:c r="O2682" s="28" t="n">
        <x:v>0</x:v>
      </x:c>
      <x:c r="P2682" s="28" t="n">
        <x:v>1</x:v>
      </x:c>
      <x:c r="Q2682" s="24" t="n">
        <x:f>IFERROR(J2682/H2682,0)</x:f>
        <x:v>0.38461538461538464</x:v>
      </x:c>
      <x:c r="R2682" s="24" t="n">
        <x:f>IFERROR(F2682/H2682,0)</x:f>
        <x:v>0.07692307692307693</x:v>
      </x:c>
      <x:c r="S2682" s="24" t="n">
        <x:f>IFERROR(F2682/J2682,0)</x:f>
        <x:v>0.2</x:v>
      </x:c>
      <x:c r="T2682" s="28" t="n">
        <x:f>H2682-I2682</x:f>
        <x:v>19</x:v>
      </x:c>
      <x:c r="U2682" s="24" t="n">
        <x:f>IFERROR(J2682/H2682,0)-IFERROR(K2682/I2682,0)</x:f>
        <x:v>-0.04395604395604391</x:v>
      </x:c>
      <x:c r="V2682" s="24" t="n">
        <x:f>IFERROR(F2682/J2682,0)-IFERROR(G2682/K2682,0)</x:f>
        <x:v>-0.4666666666666666</x:v>
      </x:c>
      <x:c r="W2682" s="28" t="n">
        <x:f>L2682-M2682</x:f>
        <x:v>6</x:v>
      </x:c>
      <x:c r="X2682" s="24" t="n">
        <x:f>IFERROR(K2682/I2682,0)</x:f>
        <x:v>0.42857142857142855</x:v>
      </x:c>
      <x:c r="Y2682" s="24" t="n">
        <x:f>IFERROR(G2682/I2682,0)</x:f>
        <x:v>0.2857142857142857</x:v>
      </x:c>
      <x:c r="Z2682" s="24" t="n">
        <x:f>IFERROR(G2682/K2682,0)</x:f>
        <x:v>0.6666666666666666</x:v>
      </x:c>
      <x:c r="AA2682" s="24" t="n">
        <x:f>IFERROR(F2682/H2682,0)-IFERROR(G2682/I2682,0)</x:f>
        <x:v>-0.20879120879120877</x:v>
      </x:c>
      <x:c r="AB2682" s="28" t="n">
        <x:f>J2682-K2682</x:f>
        <x:v>7</x:v>
      </x:c>
      <x:c r="AC2682" s="32" t="n">
        <x:f>F2682-G2682</x:f>
        <x:v>0</x:v>
      </x:c>
    </x:row>
    <x:row r="2683">
      <x:c r="A2683" s="4" t="str">
        <x:v>2024-25</x:v>
      </x:c>
      <x:c r="B2683" s="20" t="n">
        <x:v>45671</x:v>
      </x:c>
      <x:c r="C2683" s="4" t="str">
        <x:v>Fulham</x:v>
      </x:c>
      <x:c r="D2683" s="4" t="str">
        <x:v>West Ham</x:v>
      </x:c>
      <x:c r="E2683" s="4" t="str">
        <x:v>Away</x:v>
      </x:c>
      <x:c r="F2683" s="28" t="n">
        <x:v>2</x:v>
      </x:c>
      <x:c r="G2683" s="28" t="n">
        <x:v>3</x:v>
      </x:c>
      <x:c r="H2683" s="28" t="n">
        <x:v>21</x:v>
      </x:c>
      <x:c r="I2683" s="28" t="n">
        <x:v>4</x:v>
      </x:c>
      <x:c r="J2683" s="28" t="n">
        <x:v>5</x:v>
      </x:c>
      <x:c r="K2683" s="28" t="n">
        <x:v>3</x:v>
      </x:c>
      <x:c r="L2683" s="28" t="n">
        <x:v>3</x:v>
      </x:c>
      <x:c r="M2683" s="28" t="n">
        <x:v>0</x:v>
      </x:c>
      <x:c r="N2683" s="28" t="n">
        <x:v>3</x:v>
      </x:c>
      <x:c r="O2683" s="28" t="n">
        <x:v>0</x:v>
      </x:c>
      <x:c r="P2683" s="28" t="n">
        <x:v>0</x:v>
      </x:c>
      <x:c r="Q2683" s="24" t="n">
        <x:f>IFERROR(J2683/H2683,0)</x:f>
        <x:v>0.23809523809523808</x:v>
      </x:c>
      <x:c r="R2683" s="24" t="n">
        <x:f>IFERROR(F2683/H2683,0)</x:f>
        <x:v>0.09523809523809523</x:v>
      </x:c>
      <x:c r="S2683" s="24" t="n">
        <x:f>IFERROR(F2683/J2683,0)</x:f>
        <x:v>0.4</x:v>
      </x:c>
      <x:c r="T2683" s="28" t="n">
        <x:f>H2683-I2683</x:f>
        <x:v>17</x:v>
      </x:c>
      <x:c r="U2683" s="24" t="n">
        <x:f>IFERROR(J2683/H2683,0)-IFERROR(K2683/I2683,0)</x:f>
        <x:v>-0.5119047619047619</x:v>
      </x:c>
      <x:c r="V2683" s="24" t="n">
        <x:f>IFERROR(F2683/J2683,0)-IFERROR(G2683/K2683,0)</x:f>
        <x:v>-0.6</x:v>
      </x:c>
      <x:c r="W2683" s="28" t="n">
        <x:f>L2683-M2683</x:f>
        <x:v>3</x:v>
      </x:c>
      <x:c r="X2683" s="24" t="n">
        <x:f>IFERROR(K2683/I2683,0)</x:f>
        <x:v>0.75</x:v>
      </x:c>
      <x:c r="Y2683" s="24" t="n">
        <x:f>IFERROR(G2683/I2683,0)</x:f>
        <x:v>0.75</x:v>
      </x:c>
      <x:c r="Z2683" s="24" t="n">
        <x:f>IFERROR(G2683/K2683,0)</x:f>
        <x:v>1</x:v>
      </x:c>
      <x:c r="AA2683" s="24" t="n">
        <x:f>IFERROR(F2683/H2683,0)-IFERROR(G2683/I2683,0)</x:f>
        <x:v>-0.6547619047619048</x:v>
      </x:c>
      <x:c r="AB2683" s="28" t="n">
        <x:f>J2683-K2683</x:f>
        <x:v>2</x:v>
      </x:c>
      <x:c r="AC2683" s="32" t="n">
        <x:f>F2683-G2683</x:f>
        <x:v>-1</x:v>
      </x:c>
    </x:row>
    <x:row r="2684">
      <x:c r="A2684" s="4" t="str">
        <x:v>2024-25</x:v>
      </x:c>
      <x:c r="B2684" s="20" t="n">
        <x:v>45671</x:v>
      </x:c>
      <x:c r="C2684" s="4" t="str">
        <x:v>Liverpool</x:v>
      </x:c>
      <x:c r="D2684" s="4" t="str">
        <x:v>Nott'm Forest</x:v>
      </x:c>
      <x:c r="E2684" s="4" t="str">
        <x:v>Away</x:v>
      </x:c>
      <x:c r="F2684" s="28" t="n">
        <x:v>1</x:v>
      </x:c>
      <x:c r="G2684" s="28" t="n">
        <x:v>1</x:v>
      </x:c>
      <x:c r="H2684" s="28" t="n">
        <x:v>23</x:v>
      </x:c>
      <x:c r="I2684" s="28" t="n">
        <x:v>6</x:v>
      </x:c>
      <x:c r="J2684" s="28" t="n">
        <x:v>7</x:v>
      </x:c>
      <x:c r="K2684" s="28" t="n">
        <x:v>3</x:v>
      </x:c>
      <x:c r="L2684" s="28" t="n">
        <x:v>9</x:v>
      </x:c>
      <x:c r="M2684" s="28" t="n">
        <x:v>0</x:v>
      </x:c>
      <x:c r="N2684" s="28" t="n">
        <x:v>1</x:v>
      </x:c>
      <x:c r="O2684" s="28" t="n">
        <x:v>0</x:v>
      </x:c>
      <x:c r="P2684" s="28" t="n">
        <x:v>1</x:v>
      </x:c>
      <x:c r="Q2684" s="24" t="n">
        <x:f>IFERROR(J2684/H2684,0)</x:f>
        <x:v>0.30434782608695654</x:v>
      </x:c>
      <x:c r="R2684" s="24" t="n">
        <x:f>IFERROR(F2684/H2684,0)</x:f>
        <x:v>0.043478260869565216</x:v>
      </x:c>
      <x:c r="S2684" s="24" t="n">
        <x:f>IFERROR(F2684/J2684,0)</x:f>
        <x:v>0.14285714285714285</x:v>
      </x:c>
      <x:c r="T2684" s="28" t="n">
        <x:f>H2684-I2684</x:f>
        <x:v>17</x:v>
      </x:c>
      <x:c r="U2684" s="24" t="n">
        <x:f>IFERROR(J2684/H2684,0)-IFERROR(K2684/I2684,0)</x:f>
        <x:v>-0.19565217391304346</x:v>
      </x:c>
      <x:c r="V2684" s="24" t="n">
        <x:f>IFERROR(F2684/J2684,0)-IFERROR(G2684/K2684,0)</x:f>
        <x:v>-0.19047619047619047</x:v>
      </x:c>
      <x:c r="W2684" s="28" t="n">
        <x:f>L2684-M2684</x:f>
        <x:v>9</x:v>
      </x:c>
      <x:c r="X2684" s="24" t="n">
        <x:f>IFERROR(K2684/I2684,0)</x:f>
        <x:v>0.5</x:v>
      </x:c>
      <x:c r="Y2684" s="24" t="n">
        <x:f>IFERROR(G2684/I2684,0)</x:f>
        <x:v>0.16666666666666666</x:v>
      </x:c>
      <x:c r="Z2684" s="24" t="n">
        <x:f>IFERROR(G2684/K2684,0)</x:f>
        <x:v>0.3333333333333333</x:v>
      </x:c>
      <x:c r="AA2684" s="24" t="n">
        <x:f>IFERROR(F2684/H2684,0)-IFERROR(G2684/I2684,0)</x:f>
        <x:v>-0.12318840579710144</x:v>
      </x:c>
      <x:c r="AB2684" s="28" t="n">
        <x:f>J2684-K2684</x:f>
        <x:v>4</x:v>
      </x:c>
      <x:c r="AC2684" s="32" t="n">
        <x:f>F2684-G2684</x:f>
        <x:v>0</x:v>
      </x:c>
    </x:row>
    <x:row r="2685">
      <x:c r="A2685" s="4" t="str">
        <x:v>2024-25</x:v>
      </x:c>
      <x:c r="B2685" s="20" t="n">
        <x:v>45671</x:v>
      </x:c>
      <x:c r="C2685" s="4" t="str">
        <x:v>Man City</x:v>
      </x:c>
      <x:c r="D2685" s="4" t="str">
        <x:v>Brentford</x:v>
      </x:c>
      <x:c r="E2685" s="4" t="str">
        <x:v>Away</x:v>
      </x:c>
      <x:c r="F2685" s="28" t="n">
        <x:v>2</x:v>
      </x:c>
      <x:c r="G2685" s="28" t="n">
        <x:v>2</x:v>
      </x:c>
      <x:c r="H2685" s="28" t="n">
        <x:v>21</x:v>
      </x:c>
      <x:c r="I2685" s="28" t="n">
        <x:v>18</x:v>
      </x:c>
      <x:c r="J2685" s="28" t="n">
        <x:v>8</x:v>
      </x:c>
      <x:c r="K2685" s="28" t="n">
        <x:v>6</x:v>
      </x:c>
      <x:c r="L2685" s="28" t="n">
        <x:v>5</x:v>
      </x:c>
      <x:c r="M2685" s="28" t="n">
        <x:v>4</x:v>
      </x:c>
      <x:c r="N2685" s="28" t="n">
        <x:v>0</x:v>
      </x:c>
      <x:c r="O2685" s="28" t="n">
        <x:v>0</x:v>
      </x:c>
      <x:c r="P2685" s="28" t="n">
        <x:v>1</x:v>
      </x:c>
      <x:c r="Q2685" s="24" t="n">
        <x:f>IFERROR(J2685/H2685,0)</x:f>
        <x:v>0.38095238095238093</x:v>
      </x:c>
      <x:c r="R2685" s="24" t="n">
        <x:f>IFERROR(F2685/H2685,0)</x:f>
        <x:v>0.09523809523809523</x:v>
      </x:c>
      <x:c r="S2685" s="24" t="n">
        <x:f>IFERROR(F2685/J2685,0)</x:f>
        <x:v>0.25</x:v>
      </x:c>
      <x:c r="T2685" s="28" t="n">
        <x:f>H2685-I2685</x:f>
        <x:v>3</x:v>
      </x:c>
      <x:c r="U2685" s="24" t="n">
        <x:f>IFERROR(J2685/H2685,0)-IFERROR(K2685/I2685,0)</x:f>
        <x:v>0.047619047619047616</x:v>
      </x:c>
      <x:c r="V2685" s="24" t="n">
        <x:f>IFERROR(F2685/J2685,0)-IFERROR(G2685/K2685,0)</x:f>
        <x:v>-0.08333333333333331</x:v>
      </x:c>
      <x:c r="W2685" s="28" t="n">
        <x:f>L2685-M2685</x:f>
        <x:v>1</x:v>
      </x:c>
      <x:c r="X2685" s="24" t="n">
        <x:f>IFERROR(K2685/I2685,0)</x:f>
        <x:v>0.3333333333333333</x:v>
      </x:c>
      <x:c r="Y2685" s="24" t="n">
        <x:f>IFERROR(G2685/I2685,0)</x:f>
        <x:v>0.1111111111111111</x:v>
      </x:c>
      <x:c r="Z2685" s="24" t="n">
        <x:f>IFERROR(G2685/K2685,0)</x:f>
        <x:v>0.3333333333333333</x:v>
      </x:c>
      <x:c r="AA2685" s="24" t="n">
        <x:f>IFERROR(F2685/H2685,0)-IFERROR(G2685/I2685,0)</x:f>
        <x:v>-0.015873015873015872</x:v>
      </x:c>
      <x:c r="AB2685" s="28" t="n">
        <x:f>J2685-K2685</x:f>
        <x:v>2</x:v>
      </x:c>
      <x:c r="AC2685" s="32" t="n">
        <x:f>F2685-G2685</x:f>
        <x:v>0</x:v>
      </x:c>
    </x:row>
    <x:row r="2686">
      <x:c r="A2686" s="4" t="str">
        <x:v>2024-25</x:v>
      </x:c>
      <x:c r="B2686" s="20" t="n">
        <x:v>45671</x:v>
      </x:c>
      <x:c r="C2686" s="4" t="str">
        <x:v>Nott'm Forest</x:v>
      </x:c>
      <x:c r="D2686" s="4" t="str">
        <x:v>Liverpool</x:v>
      </x:c>
      <x:c r="E2686" s="4" t="str">
        <x:v>Home</x:v>
      </x:c>
      <x:c r="F2686" s="28" t="n">
        <x:v>1</x:v>
      </x:c>
      <x:c r="G2686" s="28" t="n">
        <x:v>1</x:v>
      </x:c>
      <x:c r="H2686" s="28" t="n">
        <x:v>6</x:v>
      </x:c>
      <x:c r="I2686" s="28" t="n">
        <x:v>23</x:v>
      </x:c>
      <x:c r="J2686" s="28" t="n">
        <x:v>3</x:v>
      </x:c>
      <x:c r="K2686" s="28" t="n">
        <x:v>7</x:v>
      </x:c>
      <x:c r="L2686" s="28" t="n">
        <x:v>0</x:v>
      </x:c>
      <x:c r="M2686" s="28" t="n">
        <x:v>9</x:v>
      </x:c>
      <x:c r="N2686" s="28" t="n">
        <x:v>2</x:v>
      </x:c>
      <x:c r="O2686" s="28" t="n">
        <x:v>0</x:v>
      </x:c>
      <x:c r="P2686" s="28" t="n">
        <x:v>1</x:v>
      </x:c>
      <x:c r="Q2686" s="24" t="n">
        <x:f>IFERROR(J2686/H2686,0)</x:f>
        <x:v>0.5</x:v>
      </x:c>
      <x:c r="R2686" s="24" t="n">
        <x:f>IFERROR(F2686/H2686,0)</x:f>
        <x:v>0.16666666666666666</x:v>
      </x:c>
      <x:c r="S2686" s="24" t="n">
        <x:f>IFERROR(F2686/J2686,0)</x:f>
        <x:v>0.3333333333333333</x:v>
      </x:c>
      <x:c r="T2686" s="28" t="n">
        <x:f>H2686-I2686</x:f>
        <x:v>-17</x:v>
      </x:c>
      <x:c r="U2686" s="24" t="n">
        <x:f>IFERROR(J2686/H2686,0)-IFERROR(K2686/I2686,0)</x:f>
        <x:v>0.19565217391304346</x:v>
      </x:c>
      <x:c r="V2686" s="24" t="n">
        <x:f>IFERROR(F2686/J2686,0)-IFERROR(G2686/K2686,0)</x:f>
        <x:v>0.19047619047619047</x:v>
      </x:c>
      <x:c r="W2686" s="28" t="n">
        <x:f>L2686-M2686</x:f>
        <x:v>-9</x:v>
      </x:c>
      <x:c r="X2686" s="24" t="n">
        <x:f>IFERROR(K2686/I2686,0)</x:f>
        <x:v>0.30434782608695654</x:v>
      </x:c>
      <x:c r="Y2686" s="24" t="n">
        <x:f>IFERROR(G2686/I2686,0)</x:f>
        <x:v>0.043478260869565216</x:v>
      </x:c>
      <x:c r="Z2686" s="24" t="n">
        <x:f>IFERROR(G2686/K2686,0)</x:f>
        <x:v>0.14285714285714285</x:v>
      </x:c>
      <x:c r="AA2686" s="24" t="n">
        <x:f>IFERROR(F2686/H2686,0)-IFERROR(G2686/I2686,0)</x:f>
        <x:v>0.12318840579710144</x:v>
      </x:c>
      <x:c r="AB2686" s="28" t="n">
        <x:f>J2686-K2686</x:f>
        <x:v>-4</x:v>
      </x:c>
      <x:c r="AC2686" s="32" t="n">
        <x:f>F2686-G2686</x:f>
        <x:v>0</x:v>
      </x:c>
    </x:row>
    <x:row r="2687">
      <x:c r="A2687" s="4" t="str">
        <x:v>2024-25</x:v>
      </x:c>
      <x:c r="B2687" s="20" t="n">
        <x:v>45671</x:v>
      </x:c>
      <x:c r="C2687" s="4" t="str">
        <x:v>West Ham</x:v>
      </x:c>
      <x:c r="D2687" s="4" t="str">
        <x:v>Fulham</x:v>
      </x:c>
      <x:c r="E2687" s="4" t="str">
        <x:v>Home</x:v>
      </x:c>
      <x:c r="F2687" s="28" t="n">
        <x:v>3</x:v>
      </x:c>
      <x:c r="G2687" s="28" t="n">
        <x:v>2</x:v>
      </x:c>
      <x:c r="H2687" s="28" t="n">
        <x:v>4</x:v>
      </x:c>
      <x:c r="I2687" s="28" t="n">
        <x:v>21</x:v>
      </x:c>
      <x:c r="J2687" s="28" t="n">
        <x:v>3</x:v>
      </x:c>
      <x:c r="K2687" s="28" t="n">
        <x:v>5</x:v>
      </x:c>
      <x:c r="L2687" s="28" t="n">
        <x:v>0</x:v>
      </x:c>
      <x:c r="M2687" s="28" t="n">
        <x:v>3</x:v>
      </x:c>
      <x:c r="N2687" s="28" t="n">
        <x:v>3</x:v>
      </x:c>
      <x:c r="O2687" s="28" t="n">
        <x:v>0</x:v>
      </x:c>
      <x:c r="P2687" s="28" t="n">
        <x:v>3</x:v>
      </x:c>
      <x:c r="Q2687" s="24" t="n">
        <x:f>IFERROR(J2687/H2687,0)</x:f>
        <x:v>0.75</x:v>
      </x:c>
      <x:c r="R2687" s="24" t="n">
        <x:f>IFERROR(F2687/H2687,0)</x:f>
        <x:v>0.75</x:v>
      </x:c>
      <x:c r="S2687" s="24" t="n">
        <x:f>IFERROR(F2687/J2687,0)</x:f>
        <x:v>1</x:v>
      </x:c>
      <x:c r="T2687" s="28" t="n">
        <x:f>H2687-I2687</x:f>
        <x:v>-17</x:v>
      </x:c>
      <x:c r="U2687" s="24" t="n">
        <x:f>IFERROR(J2687/H2687,0)-IFERROR(K2687/I2687,0)</x:f>
        <x:v>0.5119047619047619</x:v>
      </x:c>
      <x:c r="V2687" s="24" t="n">
        <x:f>IFERROR(F2687/J2687,0)-IFERROR(G2687/K2687,0)</x:f>
        <x:v>0.6</x:v>
      </x:c>
      <x:c r="W2687" s="28" t="n">
        <x:f>L2687-M2687</x:f>
        <x:v>-3</x:v>
      </x:c>
      <x:c r="X2687" s="24" t="n">
        <x:f>IFERROR(K2687/I2687,0)</x:f>
        <x:v>0.23809523809523808</x:v>
      </x:c>
      <x:c r="Y2687" s="24" t="n">
        <x:f>IFERROR(G2687/I2687,0)</x:f>
        <x:v>0.09523809523809523</x:v>
      </x:c>
      <x:c r="Z2687" s="24" t="n">
        <x:f>IFERROR(G2687/K2687,0)</x:f>
        <x:v>0.4</x:v>
      </x:c>
      <x:c r="AA2687" s="24" t="n">
        <x:f>IFERROR(F2687/H2687,0)-IFERROR(G2687/I2687,0)</x:f>
        <x:v>0.6547619047619048</x:v>
      </x:c>
      <x:c r="AB2687" s="28" t="n">
        <x:f>J2687-K2687</x:f>
        <x:v>-2</x:v>
      </x:c>
      <x:c r="AC2687" s="32" t="n">
        <x:f>F2687-G2687</x:f>
        <x:v>1</x:v>
      </x:c>
    </x:row>
    <x:row r="2688">
      <x:c r="A2688" s="4" t="str">
        <x:v>2024-25</x:v>
      </x:c>
      <x:c r="B2688" s="20" t="n">
        <x:v>45672</x:v>
      </x:c>
      <x:c r="C2688" s="4" t="str">
        <x:v>Arsenal</x:v>
      </x:c>
      <x:c r="D2688" s="4" t="str">
        <x:v>Tottenham</x:v>
      </x:c>
      <x:c r="E2688" s="4" t="str">
        <x:v>Home</x:v>
      </x:c>
      <x:c r="F2688" s="28" t="n">
        <x:v>2</x:v>
      </x:c>
      <x:c r="G2688" s="28" t="n">
        <x:v>1</x:v>
      </x:c>
      <x:c r="H2688" s="28" t="n">
        <x:v>14</x:v>
      </x:c>
      <x:c r="I2688" s="28" t="n">
        <x:v>10</x:v>
      </x:c>
      <x:c r="J2688" s="28" t="n">
        <x:v>4</x:v>
      </x:c>
      <x:c r="K2688" s="28" t="n">
        <x:v>2</x:v>
      </x:c>
      <x:c r="L2688" s="28" t="n">
        <x:v>10</x:v>
      </x:c>
      <x:c r="M2688" s="28" t="n">
        <x:v>4</x:v>
      </x:c>
      <x:c r="N2688" s="28" t="n">
        <x:v>3</x:v>
      </x:c>
      <x:c r="O2688" s="28" t="n">
        <x:v>0</x:v>
      </x:c>
      <x:c r="P2688" s="28" t="n">
        <x:v>3</x:v>
      </x:c>
      <x:c r="Q2688" s="24" t="n">
        <x:f>IFERROR(J2688/H2688,0)</x:f>
        <x:v>0.2857142857142857</x:v>
      </x:c>
      <x:c r="R2688" s="24" t="n">
        <x:f>IFERROR(F2688/H2688,0)</x:f>
        <x:v>0.14285714285714285</x:v>
      </x:c>
      <x:c r="S2688" s="24" t="n">
        <x:f>IFERROR(F2688/J2688,0)</x:f>
        <x:v>0.5</x:v>
      </x:c>
      <x:c r="T2688" s="28" t="n">
        <x:f>H2688-I2688</x:f>
        <x:v>4</x:v>
      </x:c>
      <x:c r="U2688" s="24" t="n">
        <x:f>IFERROR(J2688/H2688,0)-IFERROR(K2688/I2688,0)</x:f>
        <x:v>0.08571428571428569</x:v>
      </x:c>
      <x:c r="V2688" s="24" t="n">
        <x:f>IFERROR(F2688/J2688,0)-IFERROR(G2688/K2688,0)</x:f>
        <x:v>0</x:v>
      </x:c>
      <x:c r="W2688" s="28" t="n">
        <x:f>L2688-M2688</x:f>
        <x:v>6</x:v>
      </x:c>
      <x:c r="X2688" s="24" t="n">
        <x:f>IFERROR(K2688/I2688,0)</x:f>
        <x:v>0.2</x:v>
      </x:c>
      <x:c r="Y2688" s="24" t="n">
        <x:f>IFERROR(G2688/I2688,0)</x:f>
        <x:v>0.1</x:v>
      </x:c>
      <x:c r="Z2688" s="24" t="n">
        <x:f>IFERROR(G2688/K2688,0)</x:f>
        <x:v>0.5</x:v>
      </x:c>
      <x:c r="AA2688" s="24" t="n">
        <x:f>IFERROR(F2688/H2688,0)-IFERROR(G2688/I2688,0)</x:f>
        <x:v>0.042857142857142844</x:v>
      </x:c>
      <x:c r="AB2688" s="28" t="n">
        <x:f>J2688-K2688</x:f>
        <x:v>2</x:v>
      </x:c>
      <x:c r="AC2688" s="32" t="n">
        <x:f>F2688-G2688</x:f>
        <x:v>1</x:v>
      </x:c>
    </x:row>
    <x:row r="2689">
      <x:c r="A2689" s="4" t="str">
        <x:v>2024-25</x:v>
      </x:c>
      <x:c r="B2689" s="20" t="n">
        <x:v>45672</x:v>
      </x:c>
      <x:c r="C2689" s="4" t="str">
        <x:v>Aston Villa</x:v>
      </x:c>
      <x:c r="D2689" s="4" t="str">
        <x:v>Everton</x:v>
      </x:c>
      <x:c r="E2689" s="4" t="str">
        <x:v>Away</x:v>
      </x:c>
      <x:c r="F2689" s="28" t="n">
        <x:v>1</x:v>
      </x:c>
      <x:c r="G2689" s="28" t="n">
        <x:v>0</x:v>
      </x:c>
      <x:c r="H2689" s="28" t="n">
        <x:v>11</x:v>
      </x:c>
      <x:c r="I2689" s="28" t="n">
        <x:v>10</x:v>
      </x:c>
      <x:c r="J2689" s="28" t="n">
        <x:v>3</x:v>
      </x:c>
      <x:c r="K2689" s="28" t="n">
        <x:v>3</x:v>
      </x:c>
      <x:c r="L2689" s="28" t="n">
        <x:v>5</x:v>
      </x:c>
      <x:c r="M2689" s="28" t="n">
        <x:v>8</x:v>
      </x:c>
      <x:c r="N2689" s="28" t="n">
        <x:v>1</x:v>
      </x:c>
      <x:c r="O2689" s="28" t="n">
        <x:v>0</x:v>
      </x:c>
      <x:c r="P2689" s="28" t="n">
        <x:v>3</x:v>
      </x:c>
      <x:c r="Q2689" s="24" t="n">
        <x:f>IFERROR(J2689/H2689,0)</x:f>
        <x:v>0.2727272727272727</x:v>
      </x:c>
      <x:c r="R2689" s="24" t="n">
        <x:f>IFERROR(F2689/H2689,0)</x:f>
        <x:v>0.09090909090909091</x:v>
      </x:c>
      <x:c r="S2689" s="24" t="n">
        <x:f>IFERROR(F2689/J2689,0)</x:f>
        <x:v>0.3333333333333333</x:v>
      </x:c>
      <x:c r="T2689" s="28" t="n">
        <x:f>H2689-I2689</x:f>
        <x:v>1</x:v>
      </x:c>
      <x:c r="U2689" s="24" t="n">
        <x:f>IFERROR(J2689/H2689,0)-IFERROR(K2689/I2689,0)</x:f>
        <x:v>-0.027272727272727282</x:v>
      </x:c>
      <x:c r="V2689" s="24" t="n">
        <x:f>IFERROR(F2689/J2689,0)-IFERROR(G2689/K2689,0)</x:f>
        <x:v>0.3333333333333333</x:v>
      </x:c>
      <x:c r="W2689" s="28" t="n">
        <x:f>L2689-M2689</x:f>
        <x:v>-3</x:v>
      </x:c>
      <x:c r="X2689" s="24" t="n">
        <x:f>IFERROR(K2689/I2689,0)</x:f>
        <x:v>0.3</x:v>
      </x:c>
      <x:c r="Y2689" s="24" t="n">
        <x:f>IFERROR(G2689/I2689,0)</x:f>
        <x:v>0</x:v>
      </x:c>
      <x:c r="Z2689" s="24" t="n">
        <x:f>IFERROR(G2689/K2689,0)</x:f>
        <x:v>0</x:v>
      </x:c>
      <x:c r="AA2689" s="24" t="n">
        <x:f>IFERROR(F2689/H2689,0)-IFERROR(G2689/I2689,0)</x:f>
        <x:v>0.09090909090909091</x:v>
      </x:c>
      <x:c r="AB2689" s="28" t="n">
        <x:f>J2689-K2689</x:f>
        <x:v>0</x:v>
      </x:c>
      <x:c r="AC2689" s="32" t="n">
        <x:f>F2689-G2689</x:f>
        <x:v>1</x:v>
      </x:c>
    </x:row>
    <x:row r="2690">
      <x:c r="A2690" s="4" t="str">
        <x:v>2024-25</x:v>
      </x:c>
      <x:c r="B2690" s="20" t="n">
        <x:v>45672</x:v>
      </x:c>
      <x:c r="C2690" s="4" t="str">
        <x:v>Crystal Palace</x:v>
      </x:c>
      <x:c r="D2690" s="4" t="str">
        <x:v>Leicester</x:v>
      </x:c>
      <x:c r="E2690" s="4" t="str">
        <x:v>Away</x:v>
      </x:c>
      <x:c r="F2690" s="28" t="n">
        <x:v>2</x:v>
      </x:c>
      <x:c r="G2690" s="28" t="n">
        <x:v>0</x:v>
      </x:c>
      <x:c r="H2690" s="28" t="n">
        <x:v>9</x:v>
      </x:c>
      <x:c r="I2690" s="28" t="n">
        <x:v>21</x:v>
      </x:c>
      <x:c r="J2690" s="28" t="n">
        <x:v>4</x:v>
      </x:c>
      <x:c r="K2690" s="28" t="n">
        <x:v>4</x:v>
      </x:c>
      <x:c r="L2690" s="28" t="n">
        <x:v>3</x:v>
      </x:c>
      <x:c r="M2690" s="28" t="n">
        <x:v>4</x:v>
      </x:c>
      <x:c r="N2690" s="28" t="n">
        <x:v>0</x:v>
      </x:c>
      <x:c r="O2690" s="28" t="n">
        <x:v>0</x:v>
      </x:c>
      <x:c r="P2690" s="28" t="n">
        <x:v>3</x:v>
      </x:c>
      <x:c r="Q2690" s="24" t="n">
        <x:f>IFERROR(J2690/H2690,0)</x:f>
        <x:v>0.4444444444444444</x:v>
      </x:c>
      <x:c r="R2690" s="24" t="n">
        <x:f>IFERROR(F2690/H2690,0)</x:f>
        <x:v>0.2222222222222222</x:v>
      </x:c>
      <x:c r="S2690" s="24" t="n">
        <x:f>IFERROR(F2690/J2690,0)</x:f>
        <x:v>0.5</x:v>
      </x:c>
      <x:c r="T2690" s="28" t="n">
        <x:f>H2690-I2690</x:f>
        <x:v>-12</x:v>
      </x:c>
      <x:c r="U2690" s="24" t="n">
        <x:f>IFERROR(J2690/H2690,0)-IFERROR(K2690/I2690,0)</x:f>
        <x:v>0.25396825396825395</x:v>
      </x:c>
      <x:c r="V2690" s="24" t="n">
        <x:f>IFERROR(F2690/J2690,0)-IFERROR(G2690/K2690,0)</x:f>
        <x:v>0.5</x:v>
      </x:c>
      <x:c r="W2690" s="28" t="n">
        <x:f>L2690-M2690</x:f>
        <x:v>-1</x:v>
      </x:c>
      <x:c r="X2690" s="24" t="n">
        <x:f>IFERROR(K2690/I2690,0)</x:f>
        <x:v>0.19047619047619047</x:v>
      </x:c>
      <x:c r="Y2690" s="24" t="n">
        <x:f>IFERROR(G2690/I2690,0)</x:f>
        <x:v>0</x:v>
      </x:c>
      <x:c r="Z2690" s="24" t="n">
        <x:f>IFERROR(G2690/K2690,0)</x:f>
        <x:v>0</x:v>
      </x:c>
      <x:c r="AA2690" s="24" t="n">
        <x:f>IFERROR(F2690/H2690,0)-IFERROR(G2690/I2690,0)</x:f>
        <x:v>0.2222222222222222</x:v>
      </x:c>
      <x:c r="AB2690" s="28" t="n">
        <x:f>J2690-K2690</x:f>
        <x:v>0</x:v>
      </x:c>
      <x:c r="AC2690" s="32" t="n">
        <x:f>F2690-G2690</x:f>
        <x:v>2</x:v>
      </x:c>
    </x:row>
    <x:row r="2691">
      <x:c r="A2691" s="4" t="str">
        <x:v>2024-25</x:v>
      </x:c>
      <x:c r="B2691" s="20" t="n">
        <x:v>45672</x:v>
      </x:c>
      <x:c r="C2691" s="4" t="str">
        <x:v>Everton</x:v>
      </x:c>
      <x:c r="D2691" s="4" t="str">
        <x:v>Aston Villa</x:v>
      </x:c>
      <x:c r="E2691" s="4" t="str">
        <x:v>Home</x:v>
      </x:c>
      <x:c r="F2691" s="28" t="n">
        <x:v>0</x:v>
      </x:c>
      <x:c r="G2691" s="28" t="n">
        <x:v>1</x:v>
      </x:c>
      <x:c r="H2691" s="28" t="n">
        <x:v>10</x:v>
      </x:c>
      <x:c r="I2691" s="28" t="n">
        <x:v>11</x:v>
      </x:c>
      <x:c r="J2691" s="28" t="n">
        <x:v>3</x:v>
      </x:c>
      <x:c r="K2691" s="28" t="n">
        <x:v>3</x:v>
      </x:c>
      <x:c r="L2691" s="28" t="n">
        <x:v>8</x:v>
      </x:c>
      <x:c r="M2691" s="28" t="n">
        <x:v>5</x:v>
      </x:c>
      <x:c r="N2691" s="28" t="n">
        <x:v>2</x:v>
      </x:c>
      <x:c r="O2691" s="28" t="n">
        <x:v>0</x:v>
      </x:c>
      <x:c r="P2691" s="28" t="n">
        <x:v>0</x:v>
      </x:c>
      <x:c r="Q2691" s="24" t="n">
        <x:f>IFERROR(J2691/H2691,0)</x:f>
        <x:v>0.3</x:v>
      </x:c>
      <x:c r="R2691" s="24" t="n">
        <x:f>IFERROR(F2691/H2691,0)</x:f>
        <x:v>0</x:v>
      </x:c>
      <x:c r="S2691" s="24" t="n">
        <x:f>IFERROR(F2691/J2691,0)</x:f>
        <x:v>0</x:v>
      </x:c>
      <x:c r="T2691" s="28" t="n">
        <x:f>H2691-I2691</x:f>
        <x:v>-1</x:v>
      </x:c>
      <x:c r="U2691" s="24" t="n">
        <x:f>IFERROR(J2691/H2691,0)-IFERROR(K2691/I2691,0)</x:f>
        <x:v>0.027272727272727282</x:v>
      </x:c>
      <x:c r="V2691" s="24" t="n">
        <x:f>IFERROR(F2691/J2691,0)-IFERROR(G2691/K2691,0)</x:f>
        <x:v>-0.3333333333333333</x:v>
      </x:c>
      <x:c r="W2691" s="28" t="n">
        <x:f>L2691-M2691</x:f>
        <x:v>3</x:v>
      </x:c>
      <x:c r="X2691" s="24" t="n">
        <x:f>IFERROR(K2691/I2691,0)</x:f>
        <x:v>0.2727272727272727</x:v>
      </x:c>
      <x:c r="Y2691" s="24" t="n">
        <x:f>IFERROR(G2691/I2691,0)</x:f>
        <x:v>0.09090909090909091</x:v>
      </x:c>
      <x:c r="Z2691" s="24" t="n">
        <x:f>IFERROR(G2691/K2691,0)</x:f>
        <x:v>0.3333333333333333</x:v>
      </x:c>
      <x:c r="AA2691" s="24" t="n">
        <x:f>IFERROR(F2691/H2691,0)-IFERROR(G2691/I2691,0)</x:f>
        <x:v>-0.09090909090909091</x:v>
      </x:c>
      <x:c r="AB2691" s="28" t="n">
        <x:f>J2691-K2691</x:f>
        <x:v>0</x:v>
      </x:c>
      <x:c r="AC2691" s="32" t="n">
        <x:f>F2691-G2691</x:f>
        <x:v>-1</x:v>
      </x:c>
    </x:row>
    <x:row r="2692">
      <x:c r="A2692" s="4" t="str">
        <x:v>2024-25</x:v>
      </x:c>
      <x:c r="B2692" s="20" t="n">
        <x:v>45672</x:v>
      </x:c>
      <x:c r="C2692" s="4" t="str">
        <x:v>Leicester</x:v>
      </x:c>
      <x:c r="D2692" s="4" t="str">
        <x:v>Crystal Palace</x:v>
      </x:c>
      <x:c r="E2692" s="4" t="str">
        <x:v>Home</x:v>
      </x:c>
      <x:c r="F2692" s="28" t="n">
        <x:v>0</x:v>
      </x:c>
      <x:c r="G2692" s="28" t="n">
        <x:v>2</x:v>
      </x:c>
      <x:c r="H2692" s="28" t="n">
        <x:v>21</x:v>
      </x:c>
      <x:c r="I2692" s="28" t="n">
        <x:v>9</x:v>
      </x:c>
      <x:c r="J2692" s="28" t="n">
        <x:v>4</x:v>
      </x:c>
      <x:c r="K2692" s="28" t="n">
        <x:v>4</x:v>
      </x:c>
      <x:c r="L2692" s="28" t="n">
        <x:v>4</x:v>
      </x:c>
      <x:c r="M2692" s="28" t="n">
        <x:v>3</x:v>
      </x:c>
      <x:c r="N2692" s="28" t="n">
        <x:v>0</x:v>
      </x:c>
      <x:c r="O2692" s="28" t="n">
        <x:v>0</x:v>
      </x:c>
      <x:c r="P2692" s="28" t="n">
        <x:v>0</x:v>
      </x:c>
      <x:c r="Q2692" s="24" t="n">
        <x:f>IFERROR(J2692/H2692,0)</x:f>
        <x:v>0.19047619047619047</x:v>
      </x:c>
      <x:c r="R2692" s="24" t="n">
        <x:f>IFERROR(F2692/H2692,0)</x:f>
        <x:v>0</x:v>
      </x:c>
      <x:c r="S2692" s="24" t="n">
        <x:f>IFERROR(F2692/J2692,0)</x:f>
        <x:v>0</x:v>
      </x:c>
      <x:c r="T2692" s="28" t="n">
        <x:f>H2692-I2692</x:f>
        <x:v>12</x:v>
      </x:c>
      <x:c r="U2692" s="24" t="n">
        <x:f>IFERROR(J2692/H2692,0)-IFERROR(K2692/I2692,0)</x:f>
        <x:v>-0.25396825396825395</x:v>
      </x:c>
      <x:c r="V2692" s="24" t="n">
        <x:f>IFERROR(F2692/J2692,0)-IFERROR(G2692/K2692,0)</x:f>
        <x:v>-0.5</x:v>
      </x:c>
      <x:c r="W2692" s="28" t="n">
        <x:f>L2692-M2692</x:f>
        <x:v>1</x:v>
      </x:c>
      <x:c r="X2692" s="24" t="n">
        <x:f>IFERROR(K2692/I2692,0)</x:f>
        <x:v>0.4444444444444444</x:v>
      </x:c>
      <x:c r="Y2692" s="24" t="n">
        <x:f>IFERROR(G2692/I2692,0)</x:f>
        <x:v>0.2222222222222222</x:v>
      </x:c>
      <x:c r="Z2692" s="24" t="n">
        <x:f>IFERROR(G2692/K2692,0)</x:f>
        <x:v>0.5</x:v>
      </x:c>
      <x:c r="AA2692" s="24" t="n">
        <x:f>IFERROR(F2692/H2692,0)-IFERROR(G2692/I2692,0)</x:f>
        <x:v>-0.2222222222222222</x:v>
      </x:c>
      <x:c r="AB2692" s="28" t="n">
        <x:f>J2692-K2692</x:f>
        <x:v>0</x:v>
      </x:c>
      <x:c r="AC2692" s="32" t="n">
        <x:f>F2692-G2692</x:f>
        <x:v>-2</x:v>
      </x:c>
    </x:row>
    <x:row r="2693">
      <x:c r="A2693" s="4" t="str">
        <x:v>2024-25</x:v>
      </x:c>
      <x:c r="B2693" s="20" t="n">
        <x:v>45672</x:v>
      </x:c>
      <x:c r="C2693" s="4" t="str">
        <x:v>Newcastle</x:v>
      </x:c>
      <x:c r="D2693" s="4" t="str">
        <x:v>Wolves</x:v>
      </x:c>
      <x:c r="E2693" s="4" t="str">
        <x:v>Home</x:v>
      </x:c>
      <x:c r="F2693" s="28" t="n">
        <x:v>3</x:v>
      </x:c>
      <x:c r="G2693" s="28" t="n">
        <x:v>0</x:v>
      </x:c>
      <x:c r="H2693" s="28" t="n">
        <x:v>17</x:v>
      </x:c>
      <x:c r="I2693" s="28" t="n">
        <x:v>13</x:v>
      </x:c>
      <x:c r="J2693" s="28" t="n">
        <x:v>5</x:v>
      </x:c>
      <x:c r="K2693" s="28" t="n">
        <x:v>7</x:v>
      </x:c>
      <x:c r="L2693" s="28" t="n">
        <x:v>4</x:v>
      </x:c>
      <x:c r="M2693" s="28" t="n">
        <x:v>2</x:v>
      </x:c>
      <x:c r="N2693" s="28" t="n">
        <x:v>0</x:v>
      </x:c>
      <x:c r="O2693" s="28" t="n">
        <x:v>0</x:v>
      </x:c>
      <x:c r="P2693" s="28" t="n">
        <x:v>3</x:v>
      </x:c>
      <x:c r="Q2693" s="24" t="n">
        <x:f>IFERROR(J2693/H2693,0)</x:f>
        <x:v>0.29411764705882354</x:v>
      </x:c>
      <x:c r="R2693" s="24" t="n">
        <x:f>IFERROR(F2693/H2693,0)</x:f>
        <x:v>0.17647058823529413</x:v>
      </x:c>
      <x:c r="S2693" s="24" t="n">
        <x:f>IFERROR(F2693/J2693,0)</x:f>
        <x:v>0.6</x:v>
      </x:c>
      <x:c r="T2693" s="28" t="n">
        <x:f>H2693-I2693</x:f>
        <x:v>4</x:v>
      </x:c>
      <x:c r="U2693" s="24" t="n">
        <x:f>IFERROR(J2693/H2693,0)-IFERROR(K2693/I2693,0)</x:f>
        <x:v>-0.2443438914027149</x:v>
      </x:c>
      <x:c r="V2693" s="24" t="n">
        <x:f>IFERROR(F2693/J2693,0)-IFERROR(G2693/K2693,0)</x:f>
        <x:v>0.6</x:v>
      </x:c>
      <x:c r="W2693" s="28" t="n">
        <x:f>L2693-M2693</x:f>
        <x:v>2</x:v>
      </x:c>
      <x:c r="X2693" s="24" t="n">
        <x:f>IFERROR(K2693/I2693,0)</x:f>
        <x:v>0.5384615384615384</x:v>
      </x:c>
      <x:c r="Y2693" s="24" t="n">
        <x:f>IFERROR(G2693/I2693,0)</x:f>
        <x:v>0</x:v>
      </x:c>
      <x:c r="Z2693" s="24" t="n">
        <x:f>IFERROR(G2693/K2693,0)</x:f>
        <x:v>0</x:v>
      </x:c>
      <x:c r="AA2693" s="24" t="n">
        <x:f>IFERROR(F2693/H2693,0)-IFERROR(G2693/I2693,0)</x:f>
        <x:v>0.17647058823529413</x:v>
      </x:c>
      <x:c r="AB2693" s="28" t="n">
        <x:f>J2693-K2693</x:f>
        <x:v>-2</x:v>
      </x:c>
      <x:c r="AC2693" s="32" t="n">
        <x:f>F2693-G2693</x:f>
        <x:v>3</x:v>
      </x:c>
    </x:row>
    <x:row r="2694">
      <x:c r="A2694" s="4" t="str">
        <x:v>2024-25</x:v>
      </x:c>
      <x:c r="B2694" s="20" t="n">
        <x:v>45672</x:v>
      </x:c>
      <x:c r="C2694" s="4" t="str">
        <x:v>Tottenham</x:v>
      </x:c>
      <x:c r="D2694" s="4" t="str">
        <x:v>Arsenal</x:v>
      </x:c>
      <x:c r="E2694" s="4" t="str">
        <x:v>Away</x:v>
      </x:c>
      <x:c r="F2694" s="28" t="n">
        <x:v>1</x:v>
      </x:c>
      <x:c r="G2694" s="28" t="n">
        <x:v>2</x:v>
      </x:c>
      <x:c r="H2694" s="28" t="n">
        <x:v>10</x:v>
      </x:c>
      <x:c r="I2694" s="28" t="n">
        <x:v>14</x:v>
      </x:c>
      <x:c r="J2694" s="28" t="n">
        <x:v>2</x:v>
      </x:c>
      <x:c r="K2694" s="28" t="n">
        <x:v>4</x:v>
      </x:c>
      <x:c r="L2694" s="28" t="n">
        <x:v>4</x:v>
      </x:c>
      <x:c r="M2694" s="28" t="n">
        <x:v>10</x:v>
      </x:c>
      <x:c r="N2694" s="28" t="n">
        <x:v>1</x:v>
      </x:c>
      <x:c r="O2694" s="28" t="n">
        <x:v>0</x:v>
      </x:c>
      <x:c r="P2694" s="28" t="n">
        <x:v>0</x:v>
      </x:c>
      <x:c r="Q2694" s="24" t="n">
        <x:f>IFERROR(J2694/H2694,0)</x:f>
        <x:v>0.2</x:v>
      </x:c>
      <x:c r="R2694" s="24" t="n">
        <x:f>IFERROR(F2694/H2694,0)</x:f>
        <x:v>0.1</x:v>
      </x:c>
      <x:c r="S2694" s="24" t="n">
        <x:f>IFERROR(F2694/J2694,0)</x:f>
        <x:v>0.5</x:v>
      </x:c>
      <x:c r="T2694" s="28" t="n">
        <x:f>H2694-I2694</x:f>
        <x:v>-4</x:v>
      </x:c>
      <x:c r="U2694" s="24" t="n">
        <x:f>IFERROR(J2694/H2694,0)-IFERROR(K2694/I2694,0)</x:f>
        <x:v>-0.08571428571428569</x:v>
      </x:c>
      <x:c r="V2694" s="24" t="n">
        <x:f>IFERROR(F2694/J2694,0)-IFERROR(G2694/K2694,0)</x:f>
        <x:v>0</x:v>
      </x:c>
      <x:c r="W2694" s="28" t="n">
        <x:f>L2694-M2694</x:f>
        <x:v>-6</x:v>
      </x:c>
      <x:c r="X2694" s="24" t="n">
        <x:f>IFERROR(K2694/I2694,0)</x:f>
        <x:v>0.2857142857142857</x:v>
      </x:c>
      <x:c r="Y2694" s="24" t="n">
        <x:f>IFERROR(G2694/I2694,0)</x:f>
        <x:v>0.14285714285714285</x:v>
      </x:c>
      <x:c r="Z2694" s="24" t="n">
        <x:f>IFERROR(G2694/K2694,0)</x:f>
        <x:v>0.5</x:v>
      </x:c>
      <x:c r="AA2694" s="24" t="n">
        <x:f>IFERROR(F2694/H2694,0)-IFERROR(G2694/I2694,0)</x:f>
        <x:v>-0.042857142857142844</x:v>
      </x:c>
      <x:c r="AB2694" s="28" t="n">
        <x:f>J2694-K2694</x:f>
        <x:v>-2</x:v>
      </x:c>
      <x:c r="AC2694" s="32" t="n">
        <x:f>F2694-G2694</x:f>
        <x:v>-1</x:v>
      </x:c>
    </x:row>
    <x:row r="2695">
      <x:c r="A2695" s="4" t="str">
        <x:v>2024-25</x:v>
      </x:c>
      <x:c r="B2695" s="20" t="n">
        <x:v>45672</x:v>
      </x:c>
      <x:c r="C2695" s="4" t="str">
        <x:v>Wolves</x:v>
      </x:c>
      <x:c r="D2695" s="4" t="str">
        <x:v>Newcastle</x:v>
      </x:c>
      <x:c r="E2695" s="4" t="str">
        <x:v>Away</x:v>
      </x:c>
      <x:c r="F2695" s="28" t="n">
        <x:v>0</x:v>
      </x:c>
      <x:c r="G2695" s="28" t="n">
        <x:v>3</x:v>
      </x:c>
      <x:c r="H2695" s="28" t="n">
        <x:v>13</x:v>
      </x:c>
      <x:c r="I2695" s="28" t="n">
        <x:v>17</x:v>
      </x:c>
      <x:c r="J2695" s="28" t="n">
        <x:v>7</x:v>
      </x:c>
      <x:c r="K2695" s="28" t="n">
        <x:v>5</x:v>
      </x:c>
      <x:c r="L2695" s="28" t="n">
        <x:v>2</x:v>
      </x:c>
      <x:c r="M2695" s="28" t="n">
        <x:v>4</x:v>
      </x:c>
      <x:c r="N2695" s="28" t="n">
        <x:v>2</x:v>
      </x:c>
      <x:c r="O2695" s="28" t="n">
        <x:v>0</x:v>
      </x:c>
      <x:c r="P2695" s="28" t="n">
        <x:v>0</x:v>
      </x:c>
      <x:c r="Q2695" s="24" t="n">
        <x:f>IFERROR(J2695/H2695,0)</x:f>
        <x:v>0.5384615384615384</x:v>
      </x:c>
      <x:c r="R2695" s="24" t="n">
        <x:f>IFERROR(F2695/H2695,0)</x:f>
        <x:v>0</x:v>
      </x:c>
      <x:c r="S2695" s="24" t="n">
        <x:f>IFERROR(F2695/J2695,0)</x:f>
        <x:v>0</x:v>
      </x:c>
      <x:c r="T2695" s="28" t="n">
        <x:f>H2695-I2695</x:f>
        <x:v>-4</x:v>
      </x:c>
      <x:c r="U2695" s="24" t="n">
        <x:f>IFERROR(J2695/H2695,0)-IFERROR(K2695/I2695,0)</x:f>
        <x:v>0.2443438914027149</x:v>
      </x:c>
      <x:c r="V2695" s="24" t="n">
        <x:f>IFERROR(F2695/J2695,0)-IFERROR(G2695/K2695,0)</x:f>
        <x:v>-0.6</x:v>
      </x:c>
      <x:c r="W2695" s="28" t="n">
        <x:f>L2695-M2695</x:f>
        <x:v>-2</x:v>
      </x:c>
      <x:c r="X2695" s="24" t="n">
        <x:f>IFERROR(K2695/I2695,0)</x:f>
        <x:v>0.29411764705882354</x:v>
      </x:c>
      <x:c r="Y2695" s="24" t="n">
        <x:f>IFERROR(G2695/I2695,0)</x:f>
        <x:v>0.17647058823529413</x:v>
      </x:c>
      <x:c r="Z2695" s="24" t="n">
        <x:f>IFERROR(G2695/K2695,0)</x:f>
        <x:v>0.6</x:v>
      </x:c>
      <x:c r="AA2695" s="24" t="n">
        <x:f>IFERROR(F2695/H2695,0)-IFERROR(G2695/I2695,0)</x:f>
        <x:v>-0.17647058823529413</x:v>
      </x:c>
      <x:c r="AB2695" s="28" t="n">
        <x:f>J2695-K2695</x:f>
        <x:v>2</x:v>
      </x:c>
      <x:c r="AC2695" s="32" t="n">
        <x:f>F2695-G2695</x:f>
        <x:v>-3</x:v>
      </x:c>
    </x:row>
    <x:row r="2696">
      <x:c r="A2696" s="4" t="str">
        <x:v>2024-25</x:v>
      </x:c>
      <x:c r="B2696" s="20" t="n">
        <x:v>45673</x:v>
      </x:c>
      <x:c r="C2696" s="4" t="str">
        <x:v>Brighton</x:v>
      </x:c>
      <x:c r="D2696" s="4" t="str">
        <x:v>Ipswich</x:v>
      </x:c>
      <x:c r="E2696" s="4" t="str">
        <x:v>Away</x:v>
      </x:c>
      <x:c r="F2696" s="28" t="n">
        <x:v>2</x:v>
      </x:c>
      <x:c r="G2696" s="28" t="n">
        <x:v>0</x:v>
      </x:c>
      <x:c r="H2696" s="28" t="n">
        <x:v>11</x:v>
      </x:c>
      <x:c r="I2696" s="28" t="n">
        <x:v>5</x:v>
      </x:c>
      <x:c r="J2696" s="28" t="n">
        <x:v>5</x:v>
      </x:c>
      <x:c r="K2696" s="28" t="n">
        <x:v>3</x:v>
      </x:c>
      <x:c r="L2696" s="28" t="n">
        <x:v>9</x:v>
      </x:c>
      <x:c r="M2696" s="28" t="n">
        <x:v>1</x:v>
      </x:c>
      <x:c r="N2696" s="28" t="n">
        <x:v>2</x:v>
      </x:c>
      <x:c r="O2696" s="28" t="n">
        <x:v>0</x:v>
      </x:c>
      <x:c r="P2696" s="28" t="n">
        <x:v>3</x:v>
      </x:c>
      <x:c r="Q2696" s="24" t="n">
        <x:f>IFERROR(J2696/H2696,0)</x:f>
        <x:v>0.45454545454545453</x:v>
      </x:c>
      <x:c r="R2696" s="24" t="n">
        <x:f>IFERROR(F2696/H2696,0)</x:f>
        <x:v>0.18181818181818182</x:v>
      </x:c>
      <x:c r="S2696" s="24" t="n">
        <x:f>IFERROR(F2696/J2696,0)</x:f>
        <x:v>0.4</x:v>
      </x:c>
      <x:c r="T2696" s="28" t="n">
        <x:f>H2696-I2696</x:f>
        <x:v>6</x:v>
      </x:c>
      <x:c r="U2696" s="24" t="n">
        <x:f>IFERROR(J2696/H2696,0)-IFERROR(K2696/I2696,0)</x:f>
        <x:v>-0.14545454545454545</x:v>
      </x:c>
      <x:c r="V2696" s="24" t="n">
        <x:f>IFERROR(F2696/J2696,0)-IFERROR(G2696/K2696,0)</x:f>
        <x:v>0.4</x:v>
      </x:c>
      <x:c r="W2696" s="28" t="n">
        <x:f>L2696-M2696</x:f>
        <x:v>8</x:v>
      </x:c>
      <x:c r="X2696" s="24" t="n">
        <x:f>IFERROR(K2696/I2696,0)</x:f>
        <x:v>0.6</x:v>
      </x:c>
      <x:c r="Y2696" s="24" t="n">
        <x:f>IFERROR(G2696/I2696,0)</x:f>
        <x:v>0</x:v>
      </x:c>
      <x:c r="Z2696" s="24" t="n">
        <x:f>IFERROR(G2696/K2696,0)</x:f>
        <x:v>0</x:v>
      </x:c>
      <x:c r="AA2696" s="24" t="n">
        <x:f>IFERROR(F2696/H2696,0)-IFERROR(G2696/I2696,0)</x:f>
        <x:v>0.18181818181818182</x:v>
      </x:c>
      <x:c r="AB2696" s="28" t="n">
        <x:f>J2696-K2696</x:f>
        <x:v>2</x:v>
      </x:c>
      <x:c r="AC2696" s="32" t="n">
        <x:f>F2696-G2696</x:f>
        <x:v>2</x:v>
      </x:c>
    </x:row>
    <x:row r="2697">
      <x:c r="A2697" s="4" t="str">
        <x:v>2024-25</x:v>
      </x:c>
      <x:c r="B2697" s="20" t="n">
        <x:v>45673</x:v>
      </x:c>
      <x:c r="C2697" s="4" t="str">
        <x:v>Ipswich</x:v>
      </x:c>
      <x:c r="D2697" s="4" t="str">
        <x:v>Brighton</x:v>
      </x:c>
      <x:c r="E2697" s="4" t="str">
        <x:v>Home</x:v>
      </x:c>
      <x:c r="F2697" s="28" t="n">
        <x:v>0</x:v>
      </x:c>
      <x:c r="G2697" s="28" t="n">
        <x:v>2</x:v>
      </x:c>
      <x:c r="H2697" s="28" t="n">
        <x:v>5</x:v>
      </x:c>
      <x:c r="I2697" s="28" t="n">
        <x:v>11</x:v>
      </x:c>
      <x:c r="J2697" s="28" t="n">
        <x:v>3</x:v>
      </x:c>
      <x:c r="K2697" s="28" t="n">
        <x:v>5</x:v>
      </x:c>
      <x:c r="L2697" s="28" t="n">
        <x:v>1</x:v>
      </x:c>
      <x:c r="M2697" s="28" t="n">
        <x:v>9</x:v>
      </x:c>
      <x:c r="N2697" s="28" t="n">
        <x:v>2</x:v>
      </x:c>
      <x:c r="O2697" s="28" t="n">
        <x:v>0</x:v>
      </x:c>
      <x:c r="P2697" s="28" t="n">
        <x:v>0</x:v>
      </x:c>
      <x:c r="Q2697" s="24" t="n">
        <x:f>IFERROR(J2697/H2697,0)</x:f>
        <x:v>0.6</x:v>
      </x:c>
      <x:c r="R2697" s="24" t="n">
        <x:f>IFERROR(F2697/H2697,0)</x:f>
        <x:v>0</x:v>
      </x:c>
      <x:c r="S2697" s="24" t="n">
        <x:f>IFERROR(F2697/J2697,0)</x:f>
        <x:v>0</x:v>
      </x:c>
      <x:c r="T2697" s="28" t="n">
        <x:f>H2697-I2697</x:f>
        <x:v>-6</x:v>
      </x:c>
      <x:c r="U2697" s="24" t="n">
        <x:f>IFERROR(J2697/H2697,0)-IFERROR(K2697/I2697,0)</x:f>
        <x:v>0.14545454545454545</x:v>
      </x:c>
      <x:c r="V2697" s="24" t="n">
        <x:f>IFERROR(F2697/J2697,0)-IFERROR(G2697/K2697,0)</x:f>
        <x:v>-0.4</x:v>
      </x:c>
      <x:c r="W2697" s="28" t="n">
        <x:f>L2697-M2697</x:f>
        <x:v>-8</x:v>
      </x:c>
      <x:c r="X2697" s="24" t="n">
        <x:f>IFERROR(K2697/I2697,0)</x:f>
        <x:v>0.45454545454545453</x:v>
      </x:c>
      <x:c r="Y2697" s="24" t="n">
        <x:f>IFERROR(G2697/I2697,0)</x:f>
        <x:v>0.18181818181818182</x:v>
      </x:c>
      <x:c r="Z2697" s="24" t="n">
        <x:f>IFERROR(G2697/K2697,0)</x:f>
        <x:v>0.4</x:v>
      </x:c>
      <x:c r="AA2697" s="24" t="n">
        <x:f>IFERROR(F2697/H2697,0)-IFERROR(G2697/I2697,0)</x:f>
        <x:v>-0.18181818181818182</x:v>
      </x:c>
      <x:c r="AB2697" s="28" t="n">
        <x:f>J2697-K2697</x:f>
        <x:v>-2</x:v>
      </x:c>
      <x:c r="AC2697" s="32" t="n">
        <x:f>F2697-G2697</x:f>
        <x:v>-2</x:v>
      </x:c>
    </x:row>
    <x:row r="2698">
      <x:c r="A2698" s="4" t="str">
        <x:v>2024-25</x:v>
      </x:c>
      <x:c r="B2698" s="20" t="n">
        <x:v>45673</x:v>
      </x:c>
      <x:c r="C2698" s="4" t="str">
        <x:v>Man United</x:v>
      </x:c>
      <x:c r="D2698" s="4" t="str">
        <x:v>Southampton</x:v>
      </x:c>
      <x:c r="E2698" s="4" t="str">
        <x:v>Home</x:v>
      </x:c>
      <x:c r="F2698" s="28" t="n">
        <x:v>3</x:v>
      </x:c>
      <x:c r="G2698" s="28" t="n">
        <x:v>1</x:v>
      </x:c>
      <x:c r="H2698" s="28" t="n">
        <x:v>23</x:v>
      </x:c>
      <x:c r="I2698" s="28" t="n">
        <x:v>13</x:v>
      </x:c>
      <x:c r="J2698" s="28" t="n">
        <x:v>9</x:v>
      </x:c>
      <x:c r="K2698" s="28" t="n">
        <x:v>5</x:v>
      </x:c>
      <x:c r="L2698" s="28" t="n">
        <x:v>5</x:v>
      </x:c>
      <x:c r="M2698" s="28" t="n">
        <x:v>4</x:v>
      </x:c>
      <x:c r="N2698" s="28" t="n">
        <x:v>1</x:v>
      </x:c>
      <x:c r="O2698" s="28" t="n">
        <x:v>0</x:v>
      </x:c>
      <x:c r="P2698" s="28" t="n">
        <x:v>3</x:v>
      </x:c>
      <x:c r="Q2698" s="24" t="n">
        <x:f>IFERROR(J2698/H2698,0)</x:f>
        <x:v>0.391304347826087</x:v>
      </x:c>
      <x:c r="R2698" s="24" t="n">
        <x:f>IFERROR(F2698/H2698,0)</x:f>
        <x:v>0.13043478260869565</x:v>
      </x:c>
      <x:c r="S2698" s="24" t="n">
        <x:f>IFERROR(F2698/J2698,0)</x:f>
        <x:v>0.3333333333333333</x:v>
      </x:c>
      <x:c r="T2698" s="28" t="n">
        <x:f>H2698-I2698</x:f>
        <x:v>10</x:v>
      </x:c>
      <x:c r="U2698" s="24" t="n">
        <x:f>IFERROR(J2698/H2698,0)-IFERROR(K2698/I2698,0)</x:f>
        <x:v>0.006688963210702337</x:v>
      </x:c>
      <x:c r="V2698" s="24" t="n">
        <x:f>IFERROR(F2698/J2698,0)-IFERROR(G2698/K2698,0)</x:f>
        <x:v>0.1333333333333333</x:v>
      </x:c>
      <x:c r="W2698" s="28" t="n">
        <x:f>L2698-M2698</x:f>
        <x:v>1</x:v>
      </x:c>
      <x:c r="X2698" s="24" t="n">
        <x:f>IFERROR(K2698/I2698,0)</x:f>
        <x:v>0.38461538461538464</x:v>
      </x:c>
      <x:c r="Y2698" s="24" t="n">
        <x:f>IFERROR(G2698/I2698,0)</x:f>
        <x:v>0.07692307692307693</x:v>
      </x:c>
      <x:c r="Z2698" s="24" t="n">
        <x:f>IFERROR(G2698/K2698,0)</x:f>
        <x:v>0.2</x:v>
      </x:c>
      <x:c r="AA2698" s="24" t="n">
        <x:f>IFERROR(F2698/H2698,0)-IFERROR(G2698/I2698,0)</x:f>
        <x:v>0.05351170568561872</x:v>
      </x:c>
      <x:c r="AB2698" s="28" t="n">
        <x:f>J2698-K2698</x:f>
        <x:v>4</x:v>
      </x:c>
      <x:c r="AC2698" s="32" t="n">
        <x:f>F2698-G2698</x:f>
        <x:v>2</x:v>
      </x:c>
    </x:row>
    <x:row r="2699">
      <x:c r="A2699" s="4" t="str">
        <x:v>2024-25</x:v>
      </x:c>
      <x:c r="B2699" s="20" t="n">
        <x:v>45673</x:v>
      </x:c>
      <x:c r="C2699" s="4" t="str">
        <x:v>Southampton</x:v>
      </x:c>
      <x:c r="D2699" s="4" t="str">
        <x:v>Man United</x:v>
      </x:c>
      <x:c r="E2699" s="4" t="str">
        <x:v>Away</x:v>
      </x:c>
      <x:c r="F2699" s="28" t="n">
        <x:v>1</x:v>
      </x:c>
      <x:c r="G2699" s="28" t="n">
        <x:v>3</x:v>
      </x:c>
      <x:c r="H2699" s="28" t="n">
        <x:v>13</x:v>
      </x:c>
      <x:c r="I2699" s="28" t="n">
        <x:v>23</x:v>
      </x:c>
      <x:c r="J2699" s="28" t="n">
        <x:v>5</x:v>
      </x:c>
      <x:c r="K2699" s="28" t="n">
        <x:v>9</x:v>
      </x:c>
      <x:c r="L2699" s="28" t="n">
        <x:v>4</x:v>
      </x:c>
      <x:c r="M2699" s="28" t="n">
        <x:v>5</x:v>
      </x:c>
      <x:c r="N2699" s="28" t="n">
        <x:v>3</x:v>
      </x:c>
      <x:c r="O2699" s="28" t="n">
        <x:v>0</x:v>
      </x:c>
      <x:c r="P2699" s="28" t="n">
        <x:v>0</x:v>
      </x:c>
      <x:c r="Q2699" s="24" t="n">
        <x:f>IFERROR(J2699/H2699,0)</x:f>
        <x:v>0.38461538461538464</x:v>
      </x:c>
      <x:c r="R2699" s="24" t="n">
        <x:f>IFERROR(F2699/H2699,0)</x:f>
        <x:v>0.07692307692307693</x:v>
      </x:c>
      <x:c r="S2699" s="24" t="n">
        <x:f>IFERROR(F2699/J2699,0)</x:f>
        <x:v>0.2</x:v>
      </x:c>
      <x:c r="T2699" s="28" t="n">
        <x:f>H2699-I2699</x:f>
        <x:v>-10</x:v>
      </x:c>
      <x:c r="U2699" s="24" t="n">
        <x:f>IFERROR(J2699/H2699,0)-IFERROR(K2699/I2699,0)</x:f>
        <x:v>-0.006688963210702337</x:v>
      </x:c>
      <x:c r="V2699" s="24" t="n">
        <x:f>IFERROR(F2699/J2699,0)-IFERROR(G2699/K2699,0)</x:f>
        <x:v>-0.1333333333333333</x:v>
      </x:c>
      <x:c r="W2699" s="28" t="n">
        <x:f>L2699-M2699</x:f>
        <x:v>-1</x:v>
      </x:c>
      <x:c r="X2699" s="24" t="n">
        <x:f>IFERROR(K2699/I2699,0)</x:f>
        <x:v>0.391304347826087</x:v>
      </x:c>
      <x:c r="Y2699" s="24" t="n">
        <x:f>IFERROR(G2699/I2699,0)</x:f>
        <x:v>0.13043478260869565</x:v>
      </x:c>
      <x:c r="Z2699" s="24" t="n">
        <x:f>IFERROR(G2699/K2699,0)</x:f>
        <x:v>0.3333333333333333</x:v>
      </x:c>
      <x:c r="AA2699" s="24" t="n">
        <x:f>IFERROR(F2699/H2699,0)-IFERROR(G2699/I2699,0)</x:f>
        <x:v>-0.05351170568561872</x:v>
      </x:c>
      <x:c r="AB2699" s="28" t="n">
        <x:f>J2699-K2699</x:f>
        <x:v>-4</x:v>
      </x:c>
      <x:c r="AC2699" s="32" t="n">
        <x:f>F2699-G2699</x:f>
        <x:v>-2</x:v>
      </x:c>
    </x:row>
    <x:row r="2700">
      <x:c r="A2700" s="4" t="str">
        <x:v>2024-25</x:v>
      </x:c>
      <x:c r="B2700" s="20" t="n">
        <x:v>45675</x:v>
      </x:c>
      <x:c r="C2700" s="4" t="str">
        <x:v>Arsenal</x:v>
      </x:c>
      <x:c r="D2700" s="4" t="str">
        <x:v>Aston Villa</x:v>
      </x:c>
      <x:c r="E2700" s="4" t="str">
        <x:v>Home</x:v>
      </x:c>
      <x:c r="F2700" s="28" t="n">
        <x:v>2</x:v>
      </x:c>
      <x:c r="G2700" s="28" t="n">
        <x:v>2</x:v>
      </x:c>
      <x:c r="H2700" s="28" t="n">
        <x:v>18</x:v>
      </x:c>
      <x:c r="I2700" s="28" t="n">
        <x:v>8</x:v>
      </x:c>
      <x:c r="J2700" s="28" t="n">
        <x:v>6</x:v>
      </x:c>
      <x:c r="K2700" s="28" t="n">
        <x:v>4</x:v>
      </x:c>
      <x:c r="L2700" s="28" t="n">
        <x:v>10</x:v>
      </x:c>
      <x:c r="M2700" s="28" t="n">
        <x:v>1</x:v>
      </x:c>
      <x:c r="N2700" s="28" t="n">
        <x:v>2</x:v>
      </x:c>
      <x:c r="O2700" s="28" t="n">
        <x:v>0</x:v>
      </x:c>
      <x:c r="P2700" s="28" t="n">
        <x:v>1</x:v>
      </x:c>
      <x:c r="Q2700" s="24" t="n">
        <x:f>IFERROR(J2700/H2700,0)</x:f>
        <x:v>0.3333333333333333</x:v>
      </x:c>
      <x:c r="R2700" s="24" t="n">
        <x:f>IFERROR(F2700/H2700,0)</x:f>
        <x:v>0.1111111111111111</x:v>
      </x:c>
      <x:c r="S2700" s="24" t="n">
        <x:f>IFERROR(F2700/J2700,0)</x:f>
        <x:v>0.3333333333333333</x:v>
      </x:c>
      <x:c r="T2700" s="28" t="n">
        <x:f>H2700-I2700</x:f>
        <x:v>10</x:v>
      </x:c>
      <x:c r="U2700" s="24" t="n">
        <x:f>IFERROR(J2700/H2700,0)-IFERROR(K2700/I2700,0)</x:f>
        <x:v>-0.16666666666666669</x:v>
      </x:c>
      <x:c r="V2700" s="24" t="n">
        <x:f>IFERROR(F2700/J2700,0)-IFERROR(G2700/K2700,0)</x:f>
        <x:v>-0.16666666666666669</x:v>
      </x:c>
      <x:c r="W2700" s="28" t="n">
        <x:f>L2700-M2700</x:f>
        <x:v>9</x:v>
      </x:c>
      <x:c r="X2700" s="24" t="n">
        <x:f>IFERROR(K2700/I2700,0)</x:f>
        <x:v>0.5</x:v>
      </x:c>
      <x:c r="Y2700" s="24" t="n">
        <x:f>IFERROR(G2700/I2700,0)</x:f>
        <x:v>0.25</x:v>
      </x:c>
      <x:c r="Z2700" s="24" t="n">
        <x:f>IFERROR(G2700/K2700,0)</x:f>
        <x:v>0.5</x:v>
      </x:c>
      <x:c r="AA2700" s="24" t="n">
        <x:f>IFERROR(F2700/H2700,0)-IFERROR(G2700/I2700,0)</x:f>
        <x:v>-0.1388888888888889</x:v>
      </x:c>
      <x:c r="AB2700" s="28" t="n">
        <x:f>J2700-K2700</x:f>
        <x:v>2</x:v>
      </x:c>
      <x:c r="AC2700" s="32" t="n">
        <x:f>F2700-G2700</x:f>
        <x:v>0</x:v>
      </x:c>
    </x:row>
    <x:row r="2701">
      <x:c r="A2701" s="4" t="str">
        <x:v>2024-25</x:v>
      </x:c>
      <x:c r="B2701" s="20" t="n">
        <x:v>45675</x:v>
      </x:c>
      <x:c r="C2701" s="4" t="str">
        <x:v>Aston Villa</x:v>
      </x:c>
      <x:c r="D2701" s="4" t="str">
        <x:v>Arsenal</x:v>
      </x:c>
      <x:c r="E2701" s="4" t="str">
        <x:v>Away</x:v>
      </x:c>
      <x:c r="F2701" s="28" t="n">
        <x:v>2</x:v>
      </x:c>
      <x:c r="G2701" s="28" t="n">
        <x:v>2</x:v>
      </x:c>
      <x:c r="H2701" s="28" t="n">
        <x:v>8</x:v>
      </x:c>
      <x:c r="I2701" s="28" t="n">
        <x:v>18</x:v>
      </x:c>
      <x:c r="J2701" s="28" t="n">
        <x:v>4</x:v>
      </x:c>
      <x:c r="K2701" s="28" t="n">
        <x:v>6</x:v>
      </x:c>
      <x:c r="L2701" s="28" t="n">
        <x:v>1</x:v>
      </x:c>
      <x:c r="M2701" s="28" t="n">
        <x:v>10</x:v>
      </x:c>
      <x:c r="N2701" s="28" t="n">
        <x:v>3</x:v>
      </x:c>
      <x:c r="O2701" s="28" t="n">
        <x:v>0</x:v>
      </x:c>
      <x:c r="P2701" s="28" t="n">
        <x:v>1</x:v>
      </x:c>
      <x:c r="Q2701" s="24" t="n">
        <x:f>IFERROR(J2701/H2701,0)</x:f>
        <x:v>0.5</x:v>
      </x:c>
      <x:c r="R2701" s="24" t="n">
        <x:f>IFERROR(F2701/H2701,0)</x:f>
        <x:v>0.25</x:v>
      </x:c>
      <x:c r="S2701" s="24" t="n">
        <x:f>IFERROR(F2701/J2701,0)</x:f>
        <x:v>0.5</x:v>
      </x:c>
      <x:c r="T2701" s="28" t="n">
        <x:f>H2701-I2701</x:f>
        <x:v>-10</x:v>
      </x:c>
      <x:c r="U2701" s="24" t="n">
        <x:f>IFERROR(J2701/H2701,0)-IFERROR(K2701/I2701,0)</x:f>
        <x:v>0.16666666666666669</x:v>
      </x:c>
      <x:c r="V2701" s="24" t="n">
        <x:f>IFERROR(F2701/J2701,0)-IFERROR(G2701/K2701,0)</x:f>
        <x:v>0.16666666666666669</x:v>
      </x:c>
      <x:c r="W2701" s="28" t="n">
        <x:f>L2701-M2701</x:f>
        <x:v>-9</x:v>
      </x:c>
      <x:c r="X2701" s="24" t="n">
        <x:f>IFERROR(K2701/I2701,0)</x:f>
        <x:v>0.3333333333333333</x:v>
      </x:c>
      <x:c r="Y2701" s="24" t="n">
        <x:f>IFERROR(G2701/I2701,0)</x:f>
        <x:v>0.1111111111111111</x:v>
      </x:c>
      <x:c r="Z2701" s="24" t="n">
        <x:f>IFERROR(G2701/K2701,0)</x:f>
        <x:v>0.3333333333333333</x:v>
      </x:c>
      <x:c r="AA2701" s="24" t="n">
        <x:f>IFERROR(F2701/H2701,0)-IFERROR(G2701/I2701,0)</x:f>
        <x:v>0.1388888888888889</x:v>
      </x:c>
      <x:c r="AB2701" s="28" t="n">
        <x:f>J2701-K2701</x:f>
        <x:v>-2</x:v>
      </x:c>
      <x:c r="AC2701" s="32" t="n">
        <x:f>F2701-G2701</x:f>
        <x:v>0</x:v>
      </x:c>
    </x:row>
    <x:row r="2702">
      <x:c r="A2702" s="4" t="str">
        <x:v>2024-25</x:v>
      </x:c>
      <x:c r="B2702" s="20" t="n">
        <x:v>45675</x:v>
      </x:c>
      <x:c r="C2702" s="4" t="str">
        <x:v>Bournemouth</x:v>
      </x:c>
      <x:c r="D2702" s="4" t="str">
        <x:v>Newcastle</x:v>
      </x:c>
      <x:c r="E2702" s="4" t="str">
        <x:v>Away</x:v>
      </x:c>
      <x:c r="F2702" s="28" t="n">
        <x:v>4</x:v>
      </x:c>
      <x:c r="G2702" s="28" t="n">
        <x:v>1</x:v>
      </x:c>
      <x:c r="H2702" s="28" t="n">
        <x:v>19</x:v>
      </x:c>
      <x:c r="I2702" s="28" t="n">
        <x:v>13</x:v>
      </x:c>
      <x:c r="J2702" s="28" t="n">
        <x:v>10</x:v>
      </x:c>
      <x:c r="K2702" s="28" t="n">
        <x:v>5</x:v>
      </x:c>
      <x:c r="L2702" s="28" t="n">
        <x:v>6</x:v>
      </x:c>
      <x:c r="M2702" s="28" t="n">
        <x:v>7</x:v>
      </x:c>
      <x:c r="N2702" s="28" t="n">
        <x:v>6</x:v>
      </x:c>
      <x:c r="O2702" s="28" t="n">
        <x:v>0</x:v>
      </x:c>
      <x:c r="P2702" s="28" t="n">
        <x:v>3</x:v>
      </x:c>
      <x:c r="Q2702" s="24" t="n">
        <x:f>IFERROR(J2702/H2702,0)</x:f>
        <x:v>0.5263157894736842</x:v>
      </x:c>
      <x:c r="R2702" s="24" t="n">
        <x:f>IFERROR(F2702/H2702,0)</x:f>
        <x:v>0.21052631578947367</x:v>
      </x:c>
      <x:c r="S2702" s="24" t="n">
        <x:f>IFERROR(F2702/J2702,0)</x:f>
        <x:v>0.4</x:v>
      </x:c>
      <x:c r="T2702" s="28" t="n">
        <x:f>H2702-I2702</x:f>
        <x:v>6</x:v>
      </x:c>
      <x:c r="U2702" s="24" t="n">
        <x:f>IFERROR(J2702/H2702,0)-IFERROR(K2702/I2702,0)</x:f>
        <x:v>0.14170040485829954</x:v>
      </x:c>
      <x:c r="V2702" s="24" t="n">
        <x:f>IFERROR(F2702/J2702,0)-IFERROR(G2702/K2702,0)</x:f>
        <x:v>0.2</x:v>
      </x:c>
      <x:c r="W2702" s="28" t="n">
        <x:f>L2702-M2702</x:f>
        <x:v>-1</x:v>
      </x:c>
      <x:c r="X2702" s="24" t="n">
        <x:f>IFERROR(K2702/I2702,0)</x:f>
        <x:v>0.38461538461538464</x:v>
      </x:c>
      <x:c r="Y2702" s="24" t="n">
        <x:f>IFERROR(G2702/I2702,0)</x:f>
        <x:v>0.07692307692307693</x:v>
      </x:c>
      <x:c r="Z2702" s="24" t="n">
        <x:f>IFERROR(G2702/K2702,0)</x:f>
        <x:v>0.2</x:v>
      </x:c>
      <x:c r="AA2702" s="24" t="n">
        <x:f>IFERROR(F2702/H2702,0)-IFERROR(G2702/I2702,0)</x:f>
        <x:v>0.13360323886639675</x:v>
      </x:c>
      <x:c r="AB2702" s="28" t="n">
        <x:f>J2702-K2702</x:f>
        <x:v>5</x:v>
      </x:c>
      <x:c r="AC2702" s="32" t="n">
        <x:f>F2702-G2702</x:f>
        <x:v>3</x:v>
      </x:c>
    </x:row>
    <x:row r="2703">
      <x:c r="A2703" s="4" t="str">
        <x:v>2024-25</x:v>
      </x:c>
      <x:c r="B2703" s="20" t="n">
        <x:v>45675</x:v>
      </x:c>
      <x:c r="C2703" s="4" t="str">
        <x:v>Brentford</x:v>
      </x:c>
      <x:c r="D2703" s="4" t="str">
        <x:v>Liverpool</x:v>
      </x:c>
      <x:c r="E2703" s="4" t="str">
        <x:v>Home</x:v>
      </x:c>
      <x:c r="F2703" s="28" t="n">
        <x:v>0</x:v>
      </x:c>
      <x:c r="G2703" s="28" t="n">
        <x:v>2</x:v>
      </x:c>
      <x:c r="H2703" s="28" t="n">
        <x:v>11</x:v>
      </x:c>
      <x:c r="I2703" s="28" t="n">
        <x:v>37</x:v>
      </x:c>
      <x:c r="J2703" s="28" t="n">
        <x:v>6</x:v>
      </x:c>
      <x:c r="K2703" s="28" t="n">
        <x:v>8</x:v>
      </x:c>
      <x:c r="L2703" s="28" t="n">
        <x:v>2</x:v>
      </x:c>
      <x:c r="M2703" s="28" t="n">
        <x:v>15</x:v>
      </x:c>
      <x:c r="N2703" s="28" t="n">
        <x:v>2</x:v>
      </x:c>
      <x:c r="O2703" s="28" t="n">
        <x:v>0</x:v>
      </x:c>
      <x:c r="P2703" s="28" t="n">
        <x:v>0</x:v>
      </x:c>
      <x:c r="Q2703" s="24" t="n">
        <x:f>IFERROR(J2703/H2703,0)</x:f>
        <x:v>0.5454545454545454</x:v>
      </x:c>
      <x:c r="R2703" s="24" t="n">
        <x:f>IFERROR(F2703/H2703,0)</x:f>
        <x:v>0</x:v>
      </x:c>
      <x:c r="S2703" s="24" t="n">
        <x:f>IFERROR(F2703/J2703,0)</x:f>
        <x:v>0</x:v>
      </x:c>
      <x:c r="T2703" s="28" t="n">
        <x:f>H2703-I2703</x:f>
        <x:v>-26</x:v>
      </x:c>
      <x:c r="U2703" s="24" t="n">
        <x:f>IFERROR(J2703/H2703,0)-IFERROR(K2703/I2703,0)</x:f>
        <x:v>0.3292383292383292</x:v>
      </x:c>
      <x:c r="V2703" s="24" t="n">
        <x:f>IFERROR(F2703/J2703,0)-IFERROR(G2703/K2703,0)</x:f>
        <x:v>-0.25</x:v>
      </x:c>
      <x:c r="W2703" s="28" t="n">
        <x:f>L2703-M2703</x:f>
        <x:v>-13</x:v>
      </x:c>
      <x:c r="X2703" s="24" t="n">
        <x:f>IFERROR(K2703/I2703,0)</x:f>
        <x:v>0.21621621621621623</x:v>
      </x:c>
      <x:c r="Y2703" s="24" t="n">
        <x:f>IFERROR(G2703/I2703,0)</x:f>
        <x:v>0.05405405405405406</x:v>
      </x:c>
      <x:c r="Z2703" s="24" t="n">
        <x:f>IFERROR(G2703/K2703,0)</x:f>
        <x:v>0.25</x:v>
      </x:c>
      <x:c r="AA2703" s="24" t="n">
        <x:f>IFERROR(F2703/H2703,0)-IFERROR(G2703/I2703,0)</x:f>
        <x:v>-0.05405405405405406</x:v>
      </x:c>
      <x:c r="AB2703" s="28" t="n">
        <x:f>J2703-K2703</x:f>
        <x:v>-2</x:v>
      </x:c>
      <x:c r="AC2703" s="32" t="n">
        <x:f>F2703-G2703</x:f>
        <x:v>-2</x:v>
      </x:c>
    </x:row>
    <x:row r="2704">
      <x:c r="A2704" s="4" t="str">
        <x:v>2024-25</x:v>
      </x:c>
      <x:c r="B2704" s="20" t="n">
        <x:v>45675</x:v>
      </x:c>
      <x:c r="C2704" s="4" t="str">
        <x:v>Crystal Palace</x:v>
      </x:c>
      <x:c r="D2704" s="4" t="str">
        <x:v>West Ham</x:v>
      </x:c>
      <x:c r="E2704" s="4" t="str">
        <x:v>Away</x:v>
      </x:c>
      <x:c r="F2704" s="28" t="n">
        <x:v>2</x:v>
      </x:c>
      <x:c r="G2704" s="28" t="n">
        <x:v>0</x:v>
      </x:c>
      <x:c r="H2704" s="28" t="n">
        <x:v>12</x:v>
      </x:c>
      <x:c r="I2704" s="28" t="n">
        <x:v>7</x:v>
      </x:c>
      <x:c r="J2704" s="28" t="n">
        <x:v>7</x:v>
      </x:c>
      <x:c r="K2704" s="28" t="n">
        <x:v>0</x:v>
      </x:c>
      <x:c r="L2704" s="28" t="n">
        <x:v>4</x:v>
      </x:c>
      <x:c r="M2704" s="28" t="n">
        <x:v>2</x:v>
      </x:c>
      <x:c r="N2704" s="28" t="n">
        <x:v>0</x:v>
      </x:c>
      <x:c r="O2704" s="28" t="n">
        <x:v>0</x:v>
      </x:c>
      <x:c r="P2704" s="28" t="n">
        <x:v>3</x:v>
      </x:c>
      <x:c r="Q2704" s="24" t="n">
        <x:f>IFERROR(J2704/H2704,0)</x:f>
        <x:v>0.5833333333333334</x:v>
      </x:c>
      <x:c r="R2704" s="24" t="n">
        <x:f>IFERROR(F2704/H2704,0)</x:f>
        <x:v>0.16666666666666666</x:v>
      </x:c>
      <x:c r="S2704" s="24" t="n">
        <x:f>IFERROR(F2704/J2704,0)</x:f>
        <x:v>0.2857142857142857</x:v>
      </x:c>
      <x:c r="T2704" s="28" t="n">
        <x:f>H2704-I2704</x:f>
        <x:v>5</x:v>
      </x:c>
      <x:c r="U2704" s="24" t="n">
        <x:f>IFERROR(J2704/H2704,0)-IFERROR(K2704/I2704,0)</x:f>
        <x:v>0.5833333333333334</x:v>
      </x:c>
      <x:c r="V2704" s="24" t="n">
        <x:f>IFERROR(F2704/J2704,0)-IFERROR(G2704/K2704,0)</x:f>
        <x:v>0.2857142857142857</x:v>
      </x:c>
      <x:c r="W2704" s="28" t="n">
        <x:f>L2704-M2704</x:f>
        <x:v>2</x:v>
      </x:c>
      <x:c r="X2704" s="24" t="n">
        <x:f>IFERROR(K2704/I2704,0)</x:f>
        <x:v>0</x:v>
      </x:c>
      <x:c r="Y2704" s="24" t="n">
        <x:f>IFERROR(G2704/I2704,0)</x:f>
        <x:v>0</x:v>
      </x:c>
      <x:c r="Z2704" s="24" t="n">
        <x:f>IFERROR(G2704/K2704,0)</x:f>
        <x:v>0</x:v>
      </x:c>
      <x:c r="AA2704" s="24" t="n">
        <x:f>IFERROR(F2704/H2704,0)-IFERROR(G2704/I2704,0)</x:f>
        <x:v>0.16666666666666666</x:v>
      </x:c>
      <x:c r="AB2704" s="28" t="n">
        <x:f>J2704-K2704</x:f>
        <x:v>7</x:v>
      </x:c>
      <x:c r="AC2704" s="32" t="n">
        <x:f>F2704-G2704</x:f>
        <x:v>2</x:v>
      </x:c>
    </x:row>
    <x:row r="2705">
      <x:c r="A2705" s="4" t="str">
        <x:v>2024-25</x:v>
      </x:c>
      <x:c r="B2705" s="20" t="n">
        <x:v>45675</x:v>
      </x:c>
      <x:c r="C2705" s="4" t="str">
        <x:v>Fulham</x:v>
      </x:c>
      <x:c r="D2705" s="4" t="str">
        <x:v>Leicester</x:v>
      </x:c>
      <x:c r="E2705" s="4" t="str">
        <x:v>Away</x:v>
      </x:c>
      <x:c r="F2705" s="28" t="n">
        <x:v>2</x:v>
      </x:c>
      <x:c r="G2705" s="28" t="n">
        <x:v>0</x:v>
      </x:c>
      <x:c r="H2705" s="28" t="n">
        <x:v>17</x:v>
      </x:c>
      <x:c r="I2705" s="28" t="n">
        <x:v>8</x:v>
      </x:c>
      <x:c r="J2705" s="28" t="n">
        <x:v>2</x:v>
      </x:c>
      <x:c r="K2705" s="28" t="n">
        <x:v>4</x:v>
      </x:c>
      <x:c r="L2705" s="28" t="n">
        <x:v>2</x:v>
      </x:c>
      <x:c r="M2705" s="28" t="n">
        <x:v>5</x:v>
      </x:c>
      <x:c r="N2705" s="28" t="n">
        <x:v>1</x:v>
      </x:c>
      <x:c r="O2705" s="28" t="n">
        <x:v>0</x:v>
      </x:c>
      <x:c r="P2705" s="28" t="n">
        <x:v>3</x:v>
      </x:c>
      <x:c r="Q2705" s="24" t="n">
        <x:f>IFERROR(J2705/H2705,0)</x:f>
        <x:v>0.11764705882352941</x:v>
      </x:c>
      <x:c r="R2705" s="24" t="n">
        <x:f>IFERROR(F2705/H2705,0)</x:f>
        <x:v>0.11764705882352941</x:v>
      </x:c>
      <x:c r="S2705" s="24" t="n">
        <x:f>IFERROR(F2705/J2705,0)</x:f>
        <x:v>1</x:v>
      </x:c>
      <x:c r="T2705" s="28" t="n">
        <x:f>H2705-I2705</x:f>
        <x:v>9</x:v>
      </x:c>
      <x:c r="U2705" s="24" t="n">
        <x:f>IFERROR(J2705/H2705,0)-IFERROR(K2705/I2705,0)</x:f>
        <x:v>-0.38235294117647056</x:v>
      </x:c>
      <x:c r="V2705" s="24" t="n">
        <x:f>IFERROR(F2705/J2705,0)-IFERROR(G2705/K2705,0)</x:f>
        <x:v>1</x:v>
      </x:c>
      <x:c r="W2705" s="28" t="n">
        <x:f>L2705-M2705</x:f>
        <x:v>-3</x:v>
      </x:c>
      <x:c r="X2705" s="24" t="n">
        <x:f>IFERROR(K2705/I2705,0)</x:f>
        <x:v>0.5</x:v>
      </x:c>
      <x:c r="Y2705" s="24" t="n">
        <x:f>IFERROR(G2705/I2705,0)</x:f>
        <x:v>0</x:v>
      </x:c>
      <x:c r="Z2705" s="24" t="n">
        <x:f>IFERROR(G2705/K2705,0)</x:f>
        <x:v>0</x:v>
      </x:c>
      <x:c r="AA2705" s="24" t="n">
        <x:f>IFERROR(F2705/H2705,0)-IFERROR(G2705/I2705,0)</x:f>
        <x:v>0.11764705882352941</x:v>
      </x:c>
      <x:c r="AB2705" s="28" t="n">
        <x:f>J2705-K2705</x:f>
        <x:v>-2</x:v>
      </x:c>
      <x:c r="AC2705" s="32" t="n">
        <x:f>F2705-G2705</x:f>
        <x:v>2</x:v>
      </x:c>
    </x:row>
    <x:row r="2706">
      <x:c r="A2706" s="4" t="str">
        <x:v>2024-25</x:v>
      </x:c>
      <x:c r="B2706" s="20" t="n">
        <x:v>45675</x:v>
      </x:c>
      <x:c r="C2706" s="4" t="str">
        <x:v>Leicester</x:v>
      </x:c>
      <x:c r="D2706" s="4" t="str">
        <x:v>Fulham</x:v>
      </x:c>
      <x:c r="E2706" s="4" t="str">
        <x:v>Home</x:v>
      </x:c>
      <x:c r="F2706" s="28" t="n">
        <x:v>0</x:v>
      </x:c>
      <x:c r="G2706" s="28" t="n">
        <x:v>2</x:v>
      </x:c>
      <x:c r="H2706" s="28" t="n">
        <x:v>8</x:v>
      </x:c>
      <x:c r="I2706" s="28" t="n">
        <x:v>17</x:v>
      </x:c>
      <x:c r="J2706" s="28" t="n">
        <x:v>4</x:v>
      </x:c>
      <x:c r="K2706" s="28" t="n">
        <x:v>2</x:v>
      </x:c>
      <x:c r="L2706" s="28" t="n">
        <x:v>5</x:v>
      </x:c>
      <x:c r="M2706" s="28" t="n">
        <x:v>2</x:v>
      </x:c>
      <x:c r="N2706" s="28" t="n">
        <x:v>3</x:v>
      </x:c>
      <x:c r="O2706" s="28" t="n">
        <x:v>0</x:v>
      </x:c>
      <x:c r="P2706" s="28" t="n">
        <x:v>0</x:v>
      </x:c>
      <x:c r="Q2706" s="24" t="n">
        <x:f>IFERROR(J2706/H2706,0)</x:f>
        <x:v>0.5</x:v>
      </x:c>
      <x:c r="R2706" s="24" t="n">
        <x:f>IFERROR(F2706/H2706,0)</x:f>
        <x:v>0</x:v>
      </x:c>
      <x:c r="S2706" s="24" t="n">
        <x:f>IFERROR(F2706/J2706,0)</x:f>
        <x:v>0</x:v>
      </x:c>
      <x:c r="T2706" s="28" t="n">
        <x:f>H2706-I2706</x:f>
        <x:v>-9</x:v>
      </x:c>
      <x:c r="U2706" s="24" t="n">
        <x:f>IFERROR(J2706/H2706,0)-IFERROR(K2706/I2706,0)</x:f>
        <x:v>0.38235294117647056</x:v>
      </x:c>
      <x:c r="V2706" s="24" t="n">
        <x:f>IFERROR(F2706/J2706,0)-IFERROR(G2706/K2706,0)</x:f>
        <x:v>-1</x:v>
      </x:c>
      <x:c r="W2706" s="28" t="n">
        <x:f>L2706-M2706</x:f>
        <x:v>3</x:v>
      </x:c>
      <x:c r="X2706" s="24" t="n">
        <x:f>IFERROR(K2706/I2706,0)</x:f>
        <x:v>0.11764705882352941</x:v>
      </x:c>
      <x:c r="Y2706" s="24" t="n">
        <x:f>IFERROR(G2706/I2706,0)</x:f>
        <x:v>0.11764705882352941</x:v>
      </x:c>
      <x:c r="Z2706" s="24" t="n">
        <x:f>IFERROR(G2706/K2706,0)</x:f>
        <x:v>1</x:v>
      </x:c>
      <x:c r="AA2706" s="24" t="n">
        <x:f>IFERROR(F2706/H2706,0)-IFERROR(G2706/I2706,0)</x:f>
        <x:v>-0.11764705882352941</x:v>
      </x:c>
      <x:c r="AB2706" s="28" t="n">
        <x:f>J2706-K2706</x:f>
        <x:v>2</x:v>
      </x:c>
      <x:c r="AC2706" s="32" t="n">
        <x:f>F2706-G2706</x:f>
        <x:v>-2</x:v>
      </x:c>
    </x:row>
    <x:row r="2707">
      <x:c r="A2707" s="4" t="str">
        <x:v>2024-25</x:v>
      </x:c>
      <x:c r="B2707" s="20" t="n">
        <x:v>45675</x:v>
      </x:c>
      <x:c r="C2707" s="4" t="str">
        <x:v>Liverpool</x:v>
      </x:c>
      <x:c r="D2707" s="4" t="str">
        <x:v>Brentford</x:v>
      </x:c>
      <x:c r="E2707" s="4" t="str">
        <x:v>Away</x:v>
      </x:c>
      <x:c r="F2707" s="28" t="n">
        <x:v>2</x:v>
      </x:c>
      <x:c r="G2707" s="28" t="n">
        <x:v>0</x:v>
      </x:c>
      <x:c r="H2707" s="28" t="n">
        <x:v>37</x:v>
      </x:c>
      <x:c r="I2707" s="28" t="n">
        <x:v>11</x:v>
      </x:c>
      <x:c r="J2707" s="28" t="n">
        <x:v>8</x:v>
      </x:c>
      <x:c r="K2707" s="28" t="n">
        <x:v>6</x:v>
      </x:c>
      <x:c r="L2707" s="28" t="n">
        <x:v>15</x:v>
      </x:c>
      <x:c r="M2707" s="28" t="n">
        <x:v>2</x:v>
      </x:c>
      <x:c r="N2707" s="28" t="n">
        <x:v>3</x:v>
      </x:c>
      <x:c r="O2707" s="28" t="n">
        <x:v>0</x:v>
      </x:c>
      <x:c r="P2707" s="28" t="n">
        <x:v>3</x:v>
      </x:c>
      <x:c r="Q2707" s="24" t="n">
        <x:f>IFERROR(J2707/H2707,0)</x:f>
        <x:v>0.21621621621621623</x:v>
      </x:c>
      <x:c r="R2707" s="24" t="n">
        <x:f>IFERROR(F2707/H2707,0)</x:f>
        <x:v>0.05405405405405406</x:v>
      </x:c>
      <x:c r="S2707" s="24" t="n">
        <x:f>IFERROR(F2707/J2707,0)</x:f>
        <x:v>0.25</x:v>
      </x:c>
      <x:c r="T2707" s="28" t="n">
        <x:f>H2707-I2707</x:f>
        <x:v>26</x:v>
      </x:c>
      <x:c r="U2707" s="24" t="n">
        <x:f>IFERROR(J2707/H2707,0)-IFERROR(K2707/I2707,0)</x:f>
        <x:v>-0.3292383292383292</x:v>
      </x:c>
      <x:c r="V2707" s="24" t="n">
        <x:f>IFERROR(F2707/J2707,0)-IFERROR(G2707/K2707,0)</x:f>
        <x:v>0.25</x:v>
      </x:c>
      <x:c r="W2707" s="28" t="n">
        <x:f>L2707-M2707</x:f>
        <x:v>13</x:v>
      </x:c>
      <x:c r="X2707" s="24" t="n">
        <x:f>IFERROR(K2707/I2707,0)</x:f>
        <x:v>0.5454545454545454</x:v>
      </x:c>
      <x:c r="Y2707" s="24" t="n">
        <x:f>IFERROR(G2707/I2707,0)</x:f>
        <x:v>0</x:v>
      </x:c>
      <x:c r="Z2707" s="24" t="n">
        <x:f>IFERROR(G2707/K2707,0)</x:f>
        <x:v>0</x:v>
      </x:c>
      <x:c r="AA2707" s="24" t="n">
        <x:f>IFERROR(F2707/H2707,0)-IFERROR(G2707/I2707,0)</x:f>
        <x:v>0.05405405405405406</x:v>
      </x:c>
      <x:c r="AB2707" s="28" t="n">
        <x:f>J2707-K2707</x:f>
        <x:v>2</x:v>
      </x:c>
      <x:c r="AC2707" s="32" t="n">
        <x:f>F2707-G2707</x:f>
        <x:v>2</x:v>
      </x:c>
    </x:row>
    <x:row r="2708">
      <x:c r="A2708" s="4" t="str">
        <x:v>2024-25</x:v>
      </x:c>
      <x:c r="B2708" s="20" t="n">
        <x:v>45675</x:v>
      </x:c>
      <x:c r="C2708" s="4" t="str">
        <x:v>Newcastle</x:v>
      </x:c>
      <x:c r="D2708" s="4" t="str">
        <x:v>Bournemouth</x:v>
      </x:c>
      <x:c r="E2708" s="4" t="str">
        <x:v>Home</x:v>
      </x:c>
      <x:c r="F2708" s="28" t="n">
        <x:v>1</x:v>
      </x:c>
      <x:c r="G2708" s="28" t="n">
        <x:v>4</x:v>
      </x:c>
      <x:c r="H2708" s="28" t="n">
        <x:v>13</x:v>
      </x:c>
      <x:c r="I2708" s="28" t="n">
        <x:v>19</x:v>
      </x:c>
      <x:c r="J2708" s="28" t="n">
        <x:v>5</x:v>
      </x:c>
      <x:c r="K2708" s="28" t="n">
        <x:v>10</x:v>
      </x:c>
      <x:c r="L2708" s="28" t="n">
        <x:v>7</x:v>
      </x:c>
      <x:c r="M2708" s="28" t="n">
        <x:v>6</x:v>
      </x:c>
      <x:c r="N2708" s="28" t="n">
        <x:v>1</x:v>
      </x:c>
      <x:c r="O2708" s="28" t="n">
        <x:v>0</x:v>
      </x:c>
      <x:c r="P2708" s="28" t="n">
        <x:v>0</x:v>
      </x:c>
      <x:c r="Q2708" s="24" t="n">
        <x:f>IFERROR(J2708/H2708,0)</x:f>
        <x:v>0.38461538461538464</x:v>
      </x:c>
      <x:c r="R2708" s="24" t="n">
        <x:f>IFERROR(F2708/H2708,0)</x:f>
        <x:v>0.07692307692307693</x:v>
      </x:c>
      <x:c r="S2708" s="24" t="n">
        <x:f>IFERROR(F2708/J2708,0)</x:f>
        <x:v>0.2</x:v>
      </x:c>
      <x:c r="T2708" s="28" t="n">
        <x:f>H2708-I2708</x:f>
        <x:v>-6</x:v>
      </x:c>
      <x:c r="U2708" s="24" t="n">
        <x:f>IFERROR(J2708/H2708,0)-IFERROR(K2708/I2708,0)</x:f>
        <x:v>-0.14170040485829954</x:v>
      </x:c>
      <x:c r="V2708" s="24" t="n">
        <x:f>IFERROR(F2708/J2708,0)-IFERROR(G2708/K2708,0)</x:f>
        <x:v>-0.2</x:v>
      </x:c>
      <x:c r="W2708" s="28" t="n">
        <x:f>L2708-M2708</x:f>
        <x:v>1</x:v>
      </x:c>
      <x:c r="X2708" s="24" t="n">
        <x:f>IFERROR(K2708/I2708,0)</x:f>
        <x:v>0.5263157894736842</x:v>
      </x:c>
      <x:c r="Y2708" s="24" t="n">
        <x:f>IFERROR(G2708/I2708,0)</x:f>
        <x:v>0.21052631578947367</x:v>
      </x:c>
      <x:c r="Z2708" s="24" t="n">
        <x:f>IFERROR(G2708/K2708,0)</x:f>
        <x:v>0.4</x:v>
      </x:c>
      <x:c r="AA2708" s="24" t="n">
        <x:f>IFERROR(F2708/H2708,0)-IFERROR(G2708/I2708,0)</x:f>
        <x:v>-0.13360323886639675</x:v>
      </x:c>
      <x:c r="AB2708" s="28" t="n">
        <x:f>J2708-K2708</x:f>
        <x:v>-5</x:v>
      </x:c>
      <x:c r="AC2708" s="32" t="n">
        <x:f>F2708-G2708</x:f>
        <x:v>-3</x:v>
      </x:c>
    </x:row>
    <x:row r="2709">
      <x:c r="A2709" s="4" t="str">
        <x:v>2024-25</x:v>
      </x:c>
      <x:c r="B2709" s="20" t="n">
        <x:v>45675</x:v>
      </x:c>
      <x:c r="C2709" s="4" t="str">
        <x:v>West Ham</x:v>
      </x:c>
      <x:c r="D2709" s="4" t="str">
        <x:v>Crystal Palace</x:v>
      </x:c>
      <x:c r="E2709" s="4" t="str">
        <x:v>Home</x:v>
      </x:c>
      <x:c r="F2709" s="28" t="n">
        <x:v>0</x:v>
      </x:c>
      <x:c r="G2709" s="28" t="n">
        <x:v>2</x:v>
      </x:c>
      <x:c r="H2709" s="28" t="n">
        <x:v>7</x:v>
      </x:c>
      <x:c r="I2709" s="28" t="n">
        <x:v>12</x:v>
      </x:c>
      <x:c r="J2709" s="28" t="n">
        <x:v>0</x:v>
      </x:c>
      <x:c r="K2709" s="28" t="n">
        <x:v>7</x:v>
      </x:c>
      <x:c r="L2709" s="28" t="n">
        <x:v>2</x:v>
      </x:c>
      <x:c r="M2709" s="28" t="n">
        <x:v>4</x:v>
      </x:c>
      <x:c r="N2709" s="28" t="n">
        <x:v>1</x:v>
      </x:c>
      <x:c r="O2709" s="28" t="n">
        <x:v>1</x:v>
      </x:c>
      <x:c r="P2709" s="28" t="n">
        <x:v>0</x:v>
      </x:c>
      <x:c r="Q2709" s="24" t="n">
        <x:f>IFERROR(J2709/H2709,0)</x:f>
        <x:v>0</x:v>
      </x:c>
      <x:c r="R2709" s="24" t="n">
        <x:f>IFERROR(F2709/H2709,0)</x:f>
        <x:v>0</x:v>
      </x:c>
      <x:c r="S2709" s="24" t="n">
        <x:f>IFERROR(F2709/J2709,0)</x:f>
        <x:v>0</x:v>
      </x:c>
      <x:c r="T2709" s="28" t="n">
        <x:f>H2709-I2709</x:f>
        <x:v>-5</x:v>
      </x:c>
      <x:c r="U2709" s="24" t="n">
        <x:f>IFERROR(J2709/H2709,0)-IFERROR(K2709/I2709,0)</x:f>
        <x:v>-0.5833333333333334</x:v>
      </x:c>
      <x:c r="V2709" s="24" t="n">
        <x:f>IFERROR(F2709/J2709,0)-IFERROR(G2709/K2709,0)</x:f>
        <x:v>-0.2857142857142857</x:v>
      </x:c>
      <x:c r="W2709" s="28" t="n">
        <x:f>L2709-M2709</x:f>
        <x:v>-2</x:v>
      </x:c>
      <x:c r="X2709" s="24" t="n">
        <x:f>IFERROR(K2709/I2709,0)</x:f>
        <x:v>0.5833333333333334</x:v>
      </x:c>
      <x:c r="Y2709" s="24" t="n">
        <x:f>IFERROR(G2709/I2709,0)</x:f>
        <x:v>0.16666666666666666</x:v>
      </x:c>
      <x:c r="Z2709" s="24" t="n">
        <x:f>IFERROR(G2709/K2709,0)</x:f>
        <x:v>0.2857142857142857</x:v>
      </x:c>
      <x:c r="AA2709" s="24" t="n">
        <x:f>IFERROR(F2709/H2709,0)-IFERROR(G2709/I2709,0)</x:f>
        <x:v>-0.16666666666666666</x:v>
      </x:c>
      <x:c r="AB2709" s="28" t="n">
        <x:f>J2709-K2709</x:f>
        <x:v>-7</x:v>
      </x:c>
      <x:c r="AC2709" s="32" t="n">
        <x:f>F2709-G2709</x:f>
        <x:v>-2</x:v>
      </x:c>
    </x:row>
    <x:row r="2710">
      <x:c r="A2710" s="4" t="str">
        <x:v>2024-25</x:v>
      </x:c>
      <x:c r="B2710" s="20" t="n">
        <x:v>45676</x:v>
      </x:c>
      <x:c r="C2710" s="4" t="str">
        <x:v>Brighton</x:v>
      </x:c>
      <x:c r="D2710" s="4" t="str">
        <x:v>Man United</x:v>
      </x:c>
      <x:c r="E2710" s="4" t="str">
        <x:v>Away</x:v>
      </x:c>
      <x:c r="F2710" s="28" t="n">
        <x:v>3</x:v>
      </x:c>
      <x:c r="G2710" s="28" t="n">
        <x:v>1</x:v>
      </x:c>
      <x:c r="H2710" s="28" t="n">
        <x:v>6</x:v>
      </x:c>
      <x:c r="I2710" s="28" t="n">
        <x:v>10</x:v>
      </x:c>
      <x:c r="J2710" s="28" t="n">
        <x:v>3</x:v>
      </x:c>
      <x:c r="K2710" s="28" t="n">
        <x:v>1</x:v>
      </x:c>
      <x:c r="L2710" s="28" t="n">
        <x:v>2</x:v>
      </x:c>
      <x:c r="M2710" s="28" t="n">
        <x:v>4</x:v>
      </x:c>
      <x:c r="N2710" s="28" t="n">
        <x:v>3</x:v>
      </x:c>
      <x:c r="O2710" s="28" t="n">
        <x:v>0</x:v>
      </x:c>
      <x:c r="P2710" s="28" t="n">
        <x:v>3</x:v>
      </x:c>
      <x:c r="Q2710" s="24" t="n">
        <x:f>IFERROR(J2710/H2710,0)</x:f>
        <x:v>0.5</x:v>
      </x:c>
      <x:c r="R2710" s="24" t="n">
        <x:f>IFERROR(F2710/H2710,0)</x:f>
        <x:v>0.5</x:v>
      </x:c>
      <x:c r="S2710" s="24" t="n">
        <x:f>IFERROR(F2710/J2710,0)</x:f>
        <x:v>1</x:v>
      </x:c>
      <x:c r="T2710" s="28" t="n">
        <x:f>H2710-I2710</x:f>
        <x:v>-4</x:v>
      </x:c>
      <x:c r="U2710" s="24" t="n">
        <x:f>IFERROR(J2710/H2710,0)-IFERROR(K2710/I2710,0)</x:f>
        <x:v>0.4</x:v>
      </x:c>
      <x:c r="V2710" s="24" t="n">
        <x:f>IFERROR(F2710/J2710,0)-IFERROR(G2710/K2710,0)</x:f>
        <x:v>0</x:v>
      </x:c>
      <x:c r="W2710" s="28" t="n">
        <x:f>L2710-M2710</x:f>
        <x:v>-2</x:v>
      </x:c>
      <x:c r="X2710" s="24" t="n">
        <x:f>IFERROR(K2710/I2710,0)</x:f>
        <x:v>0.1</x:v>
      </x:c>
      <x:c r="Y2710" s="24" t="n">
        <x:f>IFERROR(G2710/I2710,0)</x:f>
        <x:v>0.1</x:v>
      </x:c>
      <x:c r="Z2710" s="24" t="n">
        <x:f>IFERROR(G2710/K2710,0)</x:f>
        <x:v>1</x:v>
      </x:c>
      <x:c r="AA2710" s="24" t="n">
        <x:f>IFERROR(F2710/H2710,0)-IFERROR(G2710/I2710,0)</x:f>
        <x:v>0.4</x:v>
      </x:c>
      <x:c r="AB2710" s="28" t="n">
        <x:f>J2710-K2710</x:f>
        <x:v>2</x:v>
      </x:c>
      <x:c r="AC2710" s="32" t="n">
        <x:f>F2710-G2710</x:f>
        <x:v>2</x:v>
      </x:c>
    </x:row>
    <x:row r="2711">
      <x:c r="A2711" s="4" t="str">
        <x:v>2024-25</x:v>
      </x:c>
      <x:c r="B2711" s="20" t="n">
        <x:v>45676</x:v>
      </x:c>
      <x:c r="C2711" s="4" t="str">
        <x:v>Everton</x:v>
      </x:c>
      <x:c r="D2711" s="4" t="str">
        <x:v>Tottenham</x:v>
      </x:c>
      <x:c r="E2711" s="4" t="str">
        <x:v>Home</x:v>
      </x:c>
      <x:c r="F2711" s="28" t="n">
        <x:v>3</x:v>
      </x:c>
      <x:c r="G2711" s="28" t="n">
        <x:v>2</x:v>
      </x:c>
      <x:c r="H2711" s="28" t="n">
        <x:v>12</x:v>
      </x:c>
      <x:c r="I2711" s="28" t="n">
        <x:v>11</x:v>
      </x:c>
      <x:c r="J2711" s="28" t="n">
        <x:v>6</x:v>
      </x:c>
      <x:c r="K2711" s="28" t="n">
        <x:v>6</x:v>
      </x:c>
      <x:c r="L2711" s="28" t="n">
        <x:v>3</x:v>
      </x:c>
      <x:c r="M2711" s="28" t="n">
        <x:v>8</x:v>
      </x:c>
      <x:c r="N2711" s="28" t="n">
        <x:v>2</x:v>
      </x:c>
      <x:c r="O2711" s="28" t="n">
        <x:v>0</x:v>
      </x:c>
      <x:c r="P2711" s="28" t="n">
        <x:v>3</x:v>
      </x:c>
      <x:c r="Q2711" s="24" t="n">
        <x:f>IFERROR(J2711/H2711,0)</x:f>
        <x:v>0.5</x:v>
      </x:c>
      <x:c r="R2711" s="24" t="n">
        <x:f>IFERROR(F2711/H2711,0)</x:f>
        <x:v>0.25</x:v>
      </x:c>
      <x:c r="S2711" s="24" t="n">
        <x:f>IFERROR(F2711/J2711,0)</x:f>
        <x:v>0.5</x:v>
      </x:c>
      <x:c r="T2711" s="28" t="n">
        <x:f>H2711-I2711</x:f>
        <x:v>1</x:v>
      </x:c>
      <x:c r="U2711" s="24" t="n">
        <x:f>IFERROR(J2711/H2711,0)-IFERROR(K2711/I2711,0)</x:f>
        <x:v>-0.045454545454545414</x:v>
      </x:c>
      <x:c r="V2711" s="24" t="n">
        <x:f>IFERROR(F2711/J2711,0)-IFERROR(G2711/K2711,0)</x:f>
        <x:v>0.16666666666666669</x:v>
      </x:c>
      <x:c r="W2711" s="28" t="n">
        <x:f>L2711-M2711</x:f>
        <x:v>-5</x:v>
      </x:c>
      <x:c r="X2711" s="24" t="n">
        <x:f>IFERROR(K2711/I2711,0)</x:f>
        <x:v>0.5454545454545454</x:v>
      </x:c>
      <x:c r="Y2711" s="24" t="n">
        <x:f>IFERROR(G2711/I2711,0)</x:f>
        <x:v>0.18181818181818182</x:v>
      </x:c>
      <x:c r="Z2711" s="24" t="n">
        <x:f>IFERROR(G2711/K2711,0)</x:f>
        <x:v>0.3333333333333333</x:v>
      </x:c>
      <x:c r="AA2711" s="24" t="n">
        <x:f>IFERROR(F2711/H2711,0)-IFERROR(G2711/I2711,0)</x:f>
        <x:v>0.06818181818181818</x:v>
      </x:c>
      <x:c r="AB2711" s="28" t="n">
        <x:f>J2711-K2711</x:f>
        <x:v>0</x:v>
      </x:c>
      <x:c r="AC2711" s="32" t="n">
        <x:f>F2711-G2711</x:f>
        <x:v>1</x:v>
      </x:c>
    </x:row>
    <x:row r="2712">
      <x:c r="A2712" s="4" t="str">
        <x:v>2024-25</x:v>
      </x:c>
      <x:c r="B2712" s="20" t="n">
        <x:v>45676</x:v>
      </x:c>
      <x:c r="C2712" s="4" t="str">
        <x:v>Ipswich</x:v>
      </x:c>
      <x:c r="D2712" s="4" t="str">
        <x:v>Man City</x:v>
      </x:c>
      <x:c r="E2712" s="4" t="str">
        <x:v>Home</x:v>
      </x:c>
      <x:c r="F2712" s="28" t="n">
        <x:v>0</x:v>
      </x:c>
      <x:c r="G2712" s="28" t="n">
        <x:v>6</x:v>
      </x:c>
      <x:c r="H2712" s="28" t="n">
        <x:v>8</x:v>
      </x:c>
      <x:c r="I2712" s="28" t="n">
        <x:v>17</x:v>
      </x:c>
      <x:c r="J2712" s="28" t="n">
        <x:v>4</x:v>
      </x:c>
      <x:c r="K2712" s="28" t="n">
        <x:v>9</x:v>
      </x:c>
      <x:c r="L2712" s="28" t="n">
        <x:v>4</x:v>
      </x:c>
      <x:c r="M2712" s="28" t="n">
        <x:v>7</x:v>
      </x:c>
      <x:c r="N2712" s="28" t="n">
        <x:v>0</x:v>
      </x:c>
      <x:c r="O2712" s="28" t="n">
        <x:v>0</x:v>
      </x:c>
      <x:c r="P2712" s="28" t="n">
        <x:v>0</x:v>
      </x:c>
      <x:c r="Q2712" s="24" t="n">
        <x:f>IFERROR(J2712/H2712,0)</x:f>
        <x:v>0.5</x:v>
      </x:c>
      <x:c r="R2712" s="24" t="n">
        <x:f>IFERROR(F2712/H2712,0)</x:f>
        <x:v>0</x:v>
      </x:c>
      <x:c r="S2712" s="24" t="n">
        <x:f>IFERROR(F2712/J2712,0)</x:f>
        <x:v>0</x:v>
      </x:c>
      <x:c r="T2712" s="28" t="n">
        <x:f>H2712-I2712</x:f>
        <x:v>-9</x:v>
      </x:c>
      <x:c r="U2712" s="24" t="n">
        <x:f>IFERROR(J2712/H2712,0)-IFERROR(K2712/I2712,0)</x:f>
        <x:v>-0.02941176470588236</x:v>
      </x:c>
      <x:c r="V2712" s="24" t="n">
        <x:f>IFERROR(F2712/J2712,0)-IFERROR(G2712/K2712,0)</x:f>
        <x:v>-0.6666666666666666</x:v>
      </x:c>
      <x:c r="W2712" s="28" t="n">
        <x:f>L2712-M2712</x:f>
        <x:v>-3</x:v>
      </x:c>
      <x:c r="X2712" s="24" t="n">
        <x:f>IFERROR(K2712/I2712,0)</x:f>
        <x:v>0.5294117647058824</x:v>
      </x:c>
      <x:c r="Y2712" s="24" t="n">
        <x:f>IFERROR(G2712/I2712,0)</x:f>
        <x:v>0.35294117647058826</x:v>
      </x:c>
      <x:c r="Z2712" s="24" t="n">
        <x:f>IFERROR(G2712/K2712,0)</x:f>
        <x:v>0.6666666666666666</x:v>
      </x:c>
      <x:c r="AA2712" s="24" t="n">
        <x:f>IFERROR(F2712/H2712,0)-IFERROR(G2712/I2712,0)</x:f>
        <x:v>-0.35294117647058826</x:v>
      </x:c>
      <x:c r="AB2712" s="28" t="n">
        <x:f>J2712-K2712</x:f>
        <x:v>-5</x:v>
      </x:c>
      <x:c r="AC2712" s="32" t="n">
        <x:f>F2712-G2712</x:f>
        <x:v>-6</x:v>
      </x:c>
    </x:row>
    <x:row r="2713">
      <x:c r="A2713" s="4" t="str">
        <x:v>2024-25</x:v>
      </x:c>
      <x:c r="B2713" s="20" t="n">
        <x:v>45676</x:v>
      </x:c>
      <x:c r="C2713" s="4" t="str">
        <x:v>Man City</x:v>
      </x:c>
      <x:c r="D2713" s="4" t="str">
        <x:v>Ipswich</x:v>
      </x:c>
      <x:c r="E2713" s="4" t="str">
        <x:v>Away</x:v>
      </x:c>
      <x:c r="F2713" s="28" t="n">
        <x:v>6</x:v>
      </x:c>
      <x:c r="G2713" s="28" t="n">
        <x:v>0</x:v>
      </x:c>
      <x:c r="H2713" s="28" t="n">
        <x:v>17</x:v>
      </x:c>
      <x:c r="I2713" s="28" t="n">
        <x:v>8</x:v>
      </x:c>
      <x:c r="J2713" s="28" t="n">
        <x:v>9</x:v>
      </x:c>
      <x:c r="K2713" s="28" t="n">
        <x:v>4</x:v>
      </x:c>
      <x:c r="L2713" s="28" t="n">
        <x:v>7</x:v>
      </x:c>
      <x:c r="M2713" s="28" t="n">
        <x:v>4</x:v>
      </x:c>
      <x:c r="N2713" s="28" t="n">
        <x:v>1</x:v>
      </x:c>
      <x:c r="O2713" s="28" t="n">
        <x:v>0</x:v>
      </x:c>
      <x:c r="P2713" s="28" t="n">
        <x:v>3</x:v>
      </x:c>
      <x:c r="Q2713" s="24" t="n">
        <x:f>IFERROR(J2713/H2713,0)</x:f>
        <x:v>0.5294117647058824</x:v>
      </x:c>
      <x:c r="R2713" s="24" t="n">
        <x:f>IFERROR(F2713/H2713,0)</x:f>
        <x:v>0.35294117647058826</x:v>
      </x:c>
      <x:c r="S2713" s="24" t="n">
        <x:f>IFERROR(F2713/J2713,0)</x:f>
        <x:v>0.6666666666666666</x:v>
      </x:c>
      <x:c r="T2713" s="28" t="n">
        <x:f>H2713-I2713</x:f>
        <x:v>9</x:v>
      </x:c>
      <x:c r="U2713" s="24" t="n">
        <x:f>IFERROR(J2713/H2713,0)-IFERROR(K2713/I2713,0)</x:f>
        <x:v>0.02941176470588236</x:v>
      </x:c>
      <x:c r="V2713" s="24" t="n">
        <x:f>IFERROR(F2713/J2713,0)-IFERROR(G2713/K2713,0)</x:f>
        <x:v>0.6666666666666666</x:v>
      </x:c>
      <x:c r="W2713" s="28" t="n">
        <x:f>L2713-M2713</x:f>
        <x:v>3</x:v>
      </x:c>
      <x:c r="X2713" s="24" t="n">
        <x:f>IFERROR(K2713/I2713,0)</x:f>
        <x:v>0.5</x:v>
      </x:c>
      <x:c r="Y2713" s="24" t="n">
        <x:f>IFERROR(G2713/I2713,0)</x:f>
        <x:v>0</x:v>
      </x:c>
      <x:c r="Z2713" s="24" t="n">
        <x:f>IFERROR(G2713/K2713,0)</x:f>
        <x:v>0</x:v>
      </x:c>
      <x:c r="AA2713" s="24" t="n">
        <x:f>IFERROR(F2713/H2713,0)-IFERROR(G2713/I2713,0)</x:f>
        <x:v>0.35294117647058826</x:v>
      </x:c>
      <x:c r="AB2713" s="28" t="n">
        <x:f>J2713-K2713</x:f>
        <x:v>5</x:v>
      </x:c>
      <x:c r="AC2713" s="32" t="n">
        <x:f>F2713-G2713</x:f>
        <x:v>6</x:v>
      </x:c>
    </x:row>
    <x:row r="2714">
      <x:c r="A2714" s="4" t="str">
        <x:v>2024-25</x:v>
      </x:c>
      <x:c r="B2714" s="20" t="n">
        <x:v>45676</x:v>
      </x:c>
      <x:c r="C2714" s="4" t="str">
        <x:v>Man United</x:v>
      </x:c>
      <x:c r="D2714" s="4" t="str">
        <x:v>Brighton</x:v>
      </x:c>
      <x:c r="E2714" s="4" t="str">
        <x:v>Home</x:v>
      </x:c>
      <x:c r="F2714" s="28" t="n">
        <x:v>1</x:v>
      </x:c>
      <x:c r="G2714" s="28" t="n">
        <x:v>3</x:v>
      </x:c>
      <x:c r="H2714" s="28" t="n">
        <x:v>10</x:v>
      </x:c>
      <x:c r="I2714" s="28" t="n">
        <x:v>6</x:v>
      </x:c>
      <x:c r="J2714" s="28" t="n">
        <x:v>1</x:v>
      </x:c>
      <x:c r="K2714" s="28" t="n">
        <x:v>3</x:v>
      </x:c>
      <x:c r="L2714" s="28" t="n">
        <x:v>4</x:v>
      </x:c>
      <x:c r="M2714" s="28" t="n">
        <x:v>2</x:v>
      </x:c>
      <x:c r="N2714" s="28" t="n">
        <x:v>3</x:v>
      </x:c>
      <x:c r="O2714" s="28" t="n">
        <x:v>0</x:v>
      </x:c>
      <x:c r="P2714" s="28" t="n">
        <x:v>0</x:v>
      </x:c>
      <x:c r="Q2714" s="24" t="n">
        <x:f>IFERROR(J2714/H2714,0)</x:f>
        <x:v>0.1</x:v>
      </x:c>
      <x:c r="R2714" s="24" t="n">
        <x:f>IFERROR(F2714/H2714,0)</x:f>
        <x:v>0.1</x:v>
      </x:c>
      <x:c r="S2714" s="24" t="n">
        <x:f>IFERROR(F2714/J2714,0)</x:f>
        <x:v>1</x:v>
      </x:c>
      <x:c r="T2714" s="28" t="n">
        <x:f>H2714-I2714</x:f>
        <x:v>4</x:v>
      </x:c>
      <x:c r="U2714" s="24" t="n">
        <x:f>IFERROR(J2714/H2714,0)-IFERROR(K2714/I2714,0)</x:f>
        <x:v>-0.4</x:v>
      </x:c>
      <x:c r="V2714" s="24" t="n">
        <x:f>IFERROR(F2714/J2714,0)-IFERROR(G2714/K2714,0)</x:f>
        <x:v>0</x:v>
      </x:c>
      <x:c r="W2714" s="28" t="n">
        <x:f>L2714-M2714</x:f>
        <x:v>2</x:v>
      </x:c>
      <x:c r="X2714" s="24" t="n">
        <x:f>IFERROR(K2714/I2714,0)</x:f>
        <x:v>0.5</x:v>
      </x:c>
      <x:c r="Y2714" s="24" t="n">
        <x:f>IFERROR(G2714/I2714,0)</x:f>
        <x:v>0.5</x:v>
      </x:c>
      <x:c r="Z2714" s="24" t="n">
        <x:f>IFERROR(G2714/K2714,0)</x:f>
        <x:v>1</x:v>
      </x:c>
      <x:c r="AA2714" s="24" t="n">
        <x:f>IFERROR(F2714/H2714,0)-IFERROR(G2714/I2714,0)</x:f>
        <x:v>-0.4</x:v>
      </x:c>
      <x:c r="AB2714" s="28" t="n">
        <x:f>J2714-K2714</x:f>
        <x:v>-2</x:v>
      </x:c>
      <x:c r="AC2714" s="32" t="n">
        <x:f>F2714-G2714</x:f>
        <x:v>-2</x:v>
      </x:c>
    </x:row>
    <x:row r="2715">
      <x:c r="A2715" s="4" t="str">
        <x:v>2024-25</x:v>
      </x:c>
      <x:c r="B2715" s="20" t="n">
        <x:v>45676</x:v>
      </x:c>
      <x:c r="C2715" s="4" t="str">
        <x:v>Nott'm Forest</x:v>
      </x:c>
      <x:c r="D2715" s="4" t="str">
        <x:v>Southampton</x:v>
      </x:c>
      <x:c r="E2715" s="4" t="str">
        <x:v>Home</x:v>
      </x:c>
      <x:c r="F2715" s="28" t="n">
        <x:v>3</x:v>
      </x:c>
      <x:c r="G2715" s="28" t="n">
        <x:v>2</x:v>
      </x:c>
      <x:c r="H2715" s="28" t="n">
        <x:v>14</x:v>
      </x:c>
      <x:c r="I2715" s="28" t="n">
        <x:v>10</x:v>
      </x:c>
      <x:c r="J2715" s="28" t="n">
        <x:v>5</x:v>
      </x:c>
      <x:c r="K2715" s="28" t="n">
        <x:v>4</x:v>
      </x:c>
      <x:c r="L2715" s="28" t="n">
        <x:v>2</x:v>
      </x:c>
      <x:c r="M2715" s="28" t="n">
        <x:v>8</x:v>
      </x:c>
      <x:c r="N2715" s="28" t="n">
        <x:v>0</x:v>
      </x:c>
      <x:c r="O2715" s="28" t="n">
        <x:v>0</x:v>
      </x:c>
      <x:c r="P2715" s="28" t="n">
        <x:v>3</x:v>
      </x:c>
      <x:c r="Q2715" s="24" t="n">
        <x:f>IFERROR(J2715/H2715,0)</x:f>
        <x:v>0.35714285714285715</x:v>
      </x:c>
      <x:c r="R2715" s="24" t="n">
        <x:f>IFERROR(F2715/H2715,0)</x:f>
        <x:v>0.21428571428571427</x:v>
      </x:c>
      <x:c r="S2715" s="24" t="n">
        <x:f>IFERROR(F2715/J2715,0)</x:f>
        <x:v>0.6</x:v>
      </x:c>
      <x:c r="T2715" s="28" t="n">
        <x:f>H2715-I2715</x:f>
        <x:v>4</x:v>
      </x:c>
      <x:c r="U2715" s="24" t="n">
        <x:f>IFERROR(J2715/H2715,0)-IFERROR(K2715/I2715,0)</x:f>
        <x:v>-0.04285714285714287</x:v>
      </x:c>
      <x:c r="V2715" s="24" t="n">
        <x:f>IFERROR(F2715/J2715,0)-IFERROR(G2715/K2715,0)</x:f>
        <x:v>0.09999999999999998</x:v>
      </x:c>
      <x:c r="W2715" s="28" t="n">
        <x:f>L2715-M2715</x:f>
        <x:v>-6</x:v>
      </x:c>
      <x:c r="X2715" s="24" t="n">
        <x:f>IFERROR(K2715/I2715,0)</x:f>
        <x:v>0.4</x:v>
      </x:c>
      <x:c r="Y2715" s="24" t="n">
        <x:f>IFERROR(G2715/I2715,0)</x:f>
        <x:v>0.2</x:v>
      </x:c>
      <x:c r="Z2715" s="24" t="n">
        <x:f>IFERROR(G2715/K2715,0)</x:f>
        <x:v>0.5</x:v>
      </x:c>
      <x:c r="AA2715" s="24" t="n">
        <x:f>IFERROR(F2715/H2715,0)-IFERROR(G2715/I2715,0)</x:f>
        <x:v>0.014285714285714263</x:v>
      </x:c>
      <x:c r="AB2715" s="28" t="n">
        <x:f>J2715-K2715</x:f>
        <x:v>1</x:v>
      </x:c>
      <x:c r="AC2715" s="32" t="n">
        <x:f>F2715-G2715</x:f>
        <x:v>1</x:v>
      </x:c>
    </x:row>
    <x:row r="2716">
      <x:c r="A2716" s="4" t="str">
        <x:v>2024-25</x:v>
      </x:c>
      <x:c r="B2716" s="20" t="n">
        <x:v>45676</x:v>
      </x:c>
      <x:c r="C2716" s="4" t="str">
        <x:v>Southampton</x:v>
      </x:c>
      <x:c r="D2716" s="4" t="str">
        <x:v>Nott'm Forest</x:v>
      </x:c>
      <x:c r="E2716" s="4" t="str">
        <x:v>Away</x:v>
      </x:c>
      <x:c r="F2716" s="28" t="n">
        <x:v>2</x:v>
      </x:c>
      <x:c r="G2716" s="28" t="n">
        <x:v>3</x:v>
      </x:c>
      <x:c r="H2716" s="28" t="n">
        <x:v>10</x:v>
      </x:c>
      <x:c r="I2716" s="28" t="n">
        <x:v>14</x:v>
      </x:c>
      <x:c r="J2716" s="28" t="n">
        <x:v>4</x:v>
      </x:c>
      <x:c r="K2716" s="28" t="n">
        <x:v>5</x:v>
      </x:c>
      <x:c r="L2716" s="28" t="n">
        <x:v>8</x:v>
      </x:c>
      <x:c r="M2716" s="28" t="n">
        <x:v>2</x:v>
      </x:c>
      <x:c r="N2716" s="28" t="n">
        <x:v>4</x:v>
      </x:c>
      <x:c r="O2716" s="28" t="n">
        <x:v>0</x:v>
      </x:c>
      <x:c r="P2716" s="28" t="n">
        <x:v>0</x:v>
      </x:c>
      <x:c r="Q2716" s="24" t="n">
        <x:f>IFERROR(J2716/H2716,0)</x:f>
        <x:v>0.4</x:v>
      </x:c>
      <x:c r="R2716" s="24" t="n">
        <x:f>IFERROR(F2716/H2716,0)</x:f>
        <x:v>0.2</x:v>
      </x:c>
      <x:c r="S2716" s="24" t="n">
        <x:f>IFERROR(F2716/J2716,0)</x:f>
        <x:v>0.5</x:v>
      </x:c>
      <x:c r="T2716" s="28" t="n">
        <x:f>H2716-I2716</x:f>
        <x:v>-4</x:v>
      </x:c>
      <x:c r="U2716" s="24" t="n">
        <x:f>IFERROR(J2716/H2716,0)-IFERROR(K2716/I2716,0)</x:f>
        <x:v>0.04285714285714287</x:v>
      </x:c>
      <x:c r="V2716" s="24" t="n">
        <x:f>IFERROR(F2716/J2716,0)-IFERROR(G2716/K2716,0)</x:f>
        <x:v>-0.09999999999999998</x:v>
      </x:c>
      <x:c r="W2716" s="28" t="n">
        <x:f>L2716-M2716</x:f>
        <x:v>6</x:v>
      </x:c>
      <x:c r="X2716" s="24" t="n">
        <x:f>IFERROR(K2716/I2716,0)</x:f>
        <x:v>0.35714285714285715</x:v>
      </x:c>
      <x:c r="Y2716" s="24" t="n">
        <x:f>IFERROR(G2716/I2716,0)</x:f>
        <x:v>0.21428571428571427</x:v>
      </x:c>
      <x:c r="Z2716" s="24" t="n">
        <x:f>IFERROR(G2716/K2716,0)</x:f>
        <x:v>0.6</x:v>
      </x:c>
      <x:c r="AA2716" s="24" t="n">
        <x:f>IFERROR(F2716/H2716,0)-IFERROR(G2716/I2716,0)</x:f>
        <x:v>-0.014285714285714263</x:v>
      </x:c>
      <x:c r="AB2716" s="28" t="n">
        <x:f>J2716-K2716</x:f>
        <x:v>-1</x:v>
      </x:c>
      <x:c r="AC2716" s="32" t="n">
        <x:f>F2716-G2716</x:f>
        <x:v>-1</x:v>
      </x:c>
    </x:row>
    <x:row r="2717">
      <x:c r="A2717" s="4" t="str">
        <x:v>2024-25</x:v>
      </x:c>
      <x:c r="B2717" s="20" t="n">
        <x:v>45676</x:v>
      </x:c>
      <x:c r="C2717" s="4" t="str">
        <x:v>Tottenham</x:v>
      </x:c>
      <x:c r="D2717" s="4" t="str">
        <x:v>Everton</x:v>
      </x:c>
      <x:c r="E2717" s="4" t="str">
        <x:v>Away</x:v>
      </x:c>
      <x:c r="F2717" s="28" t="n">
        <x:v>2</x:v>
      </x:c>
      <x:c r="G2717" s="28" t="n">
        <x:v>3</x:v>
      </x:c>
      <x:c r="H2717" s="28" t="n">
        <x:v>11</x:v>
      </x:c>
      <x:c r="I2717" s="28" t="n">
        <x:v>12</x:v>
      </x:c>
      <x:c r="J2717" s="28" t="n">
        <x:v>6</x:v>
      </x:c>
      <x:c r="K2717" s="28" t="n">
        <x:v>6</x:v>
      </x:c>
      <x:c r="L2717" s="28" t="n">
        <x:v>8</x:v>
      </x:c>
      <x:c r="M2717" s="28" t="n">
        <x:v>3</x:v>
      </x:c>
      <x:c r="N2717" s="28" t="n">
        <x:v>1</x:v>
      </x:c>
      <x:c r="O2717" s="28" t="n">
        <x:v>0</x:v>
      </x:c>
      <x:c r="P2717" s="28" t="n">
        <x:v>0</x:v>
      </x:c>
      <x:c r="Q2717" s="24" t="n">
        <x:f>IFERROR(J2717/H2717,0)</x:f>
        <x:v>0.5454545454545454</x:v>
      </x:c>
      <x:c r="R2717" s="24" t="n">
        <x:f>IFERROR(F2717/H2717,0)</x:f>
        <x:v>0.18181818181818182</x:v>
      </x:c>
      <x:c r="S2717" s="24" t="n">
        <x:f>IFERROR(F2717/J2717,0)</x:f>
        <x:v>0.3333333333333333</x:v>
      </x:c>
      <x:c r="T2717" s="28" t="n">
        <x:f>H2717-I2717</x:f>
        <x:v>-1</x:v>
      </x:c>
      <x:c r="U2717" s="24" t="n">
        <x:f>IFERROR(J2717/H2717,0)-IFERROR(K2717/I2717,0)</x:f>
        <x:v>0.045454545454545414</x:v>
      </x:c>
      <x:c r="V2717" s="24" t="n">
        <x:f>IFERROR(F2717/J2717,0)-IFERROR(G2717/K2717,0)</x:f>
        <x:v>-0.16666666666666669</x:v>
      </x:c>
      <x:c r="W2717" s="28" t="n">
        <x:f>L2717-M2717</x:f>
        <x:v>5</x:v>
      </x:c>
      <x:c r="X2717" s="24" t="n">
        <x:f>IFERROR(K2717/I2717,0)</x:f>
        <x:v>0.5</x:v>
      </x:c>
      <x:c r="Y2717" s="24" t="n">
        <x:f>IFERROR(G2717/I2717,0)</x:f>
        <x:v>0.25</x:v>
      </x:c>
      <x:c r="Z2717" s="24" t="n">
        <x:f>IFERROR(G2717/K2717,0)</x:f>
        <x:v>0.5</x:v>
      </x:c>
      <x:c r="AA2717" s="24" t="n">
        <x:f>IFERROR(F2717/H2717,0)-IFERROR(G2717/I2717,0)</x:f>
        <x:v>-0.06818181818181818</x:v>
      </x:c>
      <x:c r="AB2717" s="28" t="n">
        <x:f>J2717-K2717</x:f>
        <x:v>0</x:v>
      </x:c>
      <x:c r="AC2717" s="32" t="n">
        <x:f>F2717-G2717</x:f>
        <x:v>-1</x:v>
      </x:c>
    </x:row>
    <x:row r="2718">
      <x:c r="A2718" s="4" t="str">
        <x:v>2024-25</x:v>
      </x:c>
      <x:c r="B2718" s="20" t="n">
        <x:v>45677</x:v>
      </x:c>
      <x:c r="C2718" s="4" t="str">
        <x:v>Chelsea</x:v>
      </x:c>
      <x:c r="D2718" s="4" t="str">
        <x:v>Wolves</x:v>
      </x:c>
      <x:c r="E2718" s="4" t="str">
        <x:v>Home</x:v>
      </x:c>
      <x:c r="F2718" s="28" t="n">
        <x:v>3</x:v>
      </x:c>
      <x:c r="G2718" s="28" t="n">
        <x:v>1</x:v>
      </x:c>
      <x:c r="H2718" s="28" t="n">
        <x:v>19</x:v>
      </x:c>
      <x:c r="I2718" s="28" t="n">
        <x:v>9</x:v>
      </x:c>
      <x:c r="J2718" s="28" t="n">
        <x:v>7</x:v>
      </x:c>
      <x:c r="K2718" s="28" t="n">
        <x:v>4</x:v>
      </x:c>
      <x:c r="L2718" s="28" t="n">
        <x:v>3</x:v>
      </x:c>
      <x:c r="M2718" s="28" t="n">
        <x:v>6</x:v>
      </x:c>
      <x:c r="N2718" s="28" t="n">
        <x:v>4</x:v>
      </x:c>
      <x:c r="O2718" s="28" t="n">
        <x:v>0</x:v>
      </x:c>
      <x:c r="P2718" s="28" t="n">
        <x:v>3</x:v>
      </x:c>
      <x:c r="Q2718" s="24" t="n">
        <x:f>IFERROR(J2718/H2718,0)</x:f>
        <x:v>0.3684210526315789</x:v>
      </x:c>
      <x:c r="R2718" s="24" t="n">
        <x:f>IFERROR(F2718/H2718,0)</x:f>
        <x:v>0.15789473684210525</x:v>
      </x:c>
      <x:c r="S2718" s="24" t="n">
        <x:f>IFERROR(F2718/J2718,0)</x:f>
        <x:v>0.42857142857142855</x:v>
      </x:c>
      <x:c r="T2718" s="28" t="n">
        <x:f>H2718-I2718</x:f>
        <x:v>10</x:v>
      </x:c>
      <x:c r="U2718" s="24" t="n">
        <x:f>IFERROR(J2718/H2718,0)-IFERROR(K2718/I2718,0)</x:f>
        <x:v>-0.07602339181286549</x:v>
      </x:c>
      <x:c r="V2718" s="24" t="n">
        <x:f>IFERROR(F2718/J2718,0)-IFERROR(G2718/K2718,0)</x:f>
        <x:v>0.17857142857142855</x:v>
      </x:c>
      <x:c r="W2718" s="28" t="n">
        <x:f>L2718-M2718</x:f>
        <x:v>-3</x:v>
      </x:c>
      <x:c r="X2718" s="24" t="n">
        <x:f>IFERROR(K2718/I2718,0)</x:f>
        <x:v>0.4444444444444444</x:v>
      </x:c>
      <x:c r="Y2718" s="24" t="n">
        <x:f>IFERROR(G2718/I2718,0)</x:f>
        <x:v>0.1111111111111111</x:v>
      </x:c>
      <x:c r="Z2718" s="24" t="n">
        <x:f>IFERROR(G2718/K2718,0)</x:f>
        <x:v>0.25</x:v>
      </x:c>
      <x:c r="AA2718" s="24" t="n">
        <x:f>IFERROR(F2718/H2718,0)-IFERROR(G2718/I2718,0)</x:f>
        <x:v>0.04678362573099415</x:v>
      </x:c>
      <x:c r="AB2718" s="28" t="n">
        <x:f>J2718-K2718</x:f>
        <x:v>3</x:v>
      </x:c>
      <x:c r="AC2718" s="32" t="n">
        <x:f>F2718-G2718</x:f>
        <x:v>2</x:v>
      </x:c>
    </x:row>
    <x:row r="2719">
      <x:c r="A2719" s="4" t="str">
        <x:v>2024-25</x:v>
      </x:c>
      <x:c r="B2719" s="20" t="n">
        <x:v>45677</x:v>
      </x:c>
      <x:c r="C2719" s="4" t="str">
        <x:v>Wolves</x:v>
      </x:c>
      <x:c r="D2719" s="4" t="str">
        <x:v>Chelsea</x:v>
      </x:c>
      <x:c r="E2719" s="4" t="str">
        <x:v>Away</x:v>
      </x:c>
      <x:c r="F2719" s="28" t="n">
        <x:v>1</x:v>
      </x:c>
      <x:c r="G2719" s="28" t="n">
        <x:v>3</x:v>
      </x:c>
      <x:c r="H2719" s="28" t="n">
        <x:v>9</x:v>
      </x:c>
      <x:c r="I2719" s="28" t="n">
        <x:v>19</x:v>
      </x:c>
      <x:c r="J2719" s="28" t="n">
        <x:v>4</x:v>
      </x:c>
      <x:c r="K2719" s="28" t="n">
        <x:v>7</x:v>
      </x:c>
      <x:c r="L2719" s="28" t="n">
        <x:v>6</x:v>
      </x:c>
      <x:c r="M2719" s="28" t="n">
        <x:v>3</x:v>
      </x:c>
      <x:c r="N2719" s="28" t="n">
        <x:v>2</x:v>
      </x:c>
      <x:c r="O2719" s="28" t="n">
        <x:v>0</x:v>
      </x:c>
      <x:c r="P2719" s="28" t="n">
        <x:v>0</x:v>
      </x:c>
      <x:c r="Q2719" s="24" t="n">
        <x:f>IFERROR(J2719/H2719,0)</x:f>
        <x:v>0.4444444444444444</x:v>
      </x:c>
      <x:c r="R2719" s="24" t="n">
        <x:f>IFERROR(F2719/H2719,0)</x:f>
        <x:v>0.1111111111111111</x:v>
      </x:c>
      <x:c r="S2719" s="24" t="n">
        <x:f>IFERROR(F2719/J2719,0)</x:f>
        <x:v>0.25</x:v>
      </x:c>
      <x:c r="T2719" s="28" t="n">
        <x:f>H2719-I2719</x:f>
        <x:v>-10</x:v>
      </x:c>
      <x:c r="U2719" s="24" t="n">
        <x:f>IFERROR(J2719/H2719,0)-IFERROR(K2719/I2719,0)</x:f>
        <x:v>0.07602339181286549</x:v>
      </x:c>
      <x:c r="V2719" s="24" t="n">
        <x:f>IFERROR(F2719/J2719,0)-IFERROR(G2719/K2719,0)</x:f>
        <x:v>-0.17857142857142855</x:v>
      </x:c>
      <x:c r="W2719" s="28" t="n">
        <x:f>L2719-M2719</x:f>
        <x:v>3</x:v>
      </x:c>
      <x:c r="X2719" s="24" t="n">
        <x:f>IFERROR(K2719/I2719,0)</x:f>
        <x:v>0.3684210526315789</x:v>
      </x:c>
      <x:c r="Y2719" s="24" t="n">
        <x:f>IFERROR(G2719/I2719,0)</x:f>
        <x:v>0.15789473684210525</x:v>
      </x:c>
      <x:c r="Z2719" s="24" t="n">
        <x:f>IFERROR(G2719/K2719,0)</x:f>
        <x:v>0.42857142857142855</x:v>
      </x:c>
      <x:c r="AA2719" s="24" t="n">
        <x:f>IFERROR(F2719/H2719,0)-IFERROR(G2719/I2719,0)</x:f>
        <x:v>-0.04678362573099415</x:v>
      </x:c>
      <x:c r="AB2719" s="28" t="n">
        <x:f>J2719-K2719</x:f>
        <x:v>-3</x:v>
      </x:c>
      <x:c r="AC2719" s="32" t="n">
        <x:f>F2719-G2719</x:f>
        <x:v>-2</x:v>
      </x:c>
    </x:row>
    <x:row r="2720">
      <x:c r="A2720" s="4" t="str">
        <x:v>2024-25</x:v>
      </x:c>
      <x:c r="B2720" s="20" t="n">
        <x:v>45682</x:v>
      </x:c>
      <x:c r="C2720" s="4" t="str">
        <x:v>Arsenal</x:v>
      </x:c>
      <x:c r="D2720" s="4" t="str">
        <x:v>Wolves</x:v>
      </x:c>
      <x:c r="E2720" s="4" t="str">
        <x:v>Away</x:v>
      </x:c>
      <x:c r="F2720" s="28" t="n">
        <x:v>1</x:v>
      </x:c>
      <x:c r="G2720" s="28" t="n">
        <x:v>0</x:v>
      </x:c>
      <x:c r="H2720" s="28" t="n">
        <x:v>9</x:v>
      </x:c>
      <x:c r="I2720" s="28" t="n">
        <x:v>9</x:v>
      </x:c>
      <x:c r="J2720" s="28" t="n">
        <x:v>3</x:v>
      </x:c>
      <x:c r="K2720" s="28" t="n">
        <x:v>4</x:v>
      </x:c>
      <x:c r="L2720" s="28" t="n">
        <x:v>5</x:v>
      </x:c>
      <x:c r="M2720" s="28" t="n">
        <x:v>1</x:v>
      </x:c>
      <x:c r="N2720" s="28" t="n">
        <x:v>1</x:v>
      </x:c>
      <x:c r="O2720" s="28" t="n">
        <x:v>1</x:v>
      </x:c>
      <x:c r="P2720" s="28" t="n">
        <x:v>3</x:v>
      </x:c>
      <x:c r="Q2720" s="24" t="n">
        <x:f>IFERROR(J2720/H2720,0)</x:f>
        <x:v>0.3333333333333333</x:v>
      </x:c>
      <x:c r="R2720" s="24" t="n">
        <x:f>IFERROR(F2720/H2720,0)</x:f>
        <x:v>0.1111111111111111</x:v>
      </x:c>
      <x:c r="S2720" s="24" t="n">
        <x:f>IFERROR(F2720/J2720,0)</x:f>
        <x:v>0.3333333333333333</x:v>
      </x:c>
      <x:c r="T2720" s="28" t="n">
        <x:f>H2720-I2720</x:f>
        <x:v>0</x:v>
      </x:c>
      <x:c r="U2720" s="24" t="n">
        <x:f>IFERROR(J2720/H2720,0)-IFERROR(K2720/I2720,0)</x:f>
        <x:v>-0.1111111111111111</x:v>
      </x:c>
      <x:c r="V2720" s="24" t="n">
        <x:f>IFERROR(F2720/J2720,0)-IFERROR(G2720/K2720,0)</x:f>
        <x:v>0.3333333333333333</x:v>
      </x:c>
      <x:c r="W2720" s="28" t="n">
        <x:f>L2720-M2720</x:f>
        <x:v>4</x:v>
      </x:c>
      <x:c r="X2720" s="24" t="n">
        <x:f>IFERROR(K2720/I2720,0)</x:f>
        <x:v>0.4444444444444444</x:v>
      </x:c>
      <x:c r="Y2720" s="24" t="n">
        <x:f>IFERROR(G2720/I2720,0)</x:f>
        <x:v>0</x:v>
      </x:c>
      <x:c r="Z2720" s="24" t="n">
        <x:f>IFERROR(G2720/K2720,0)</x:f>
        <x:v>0</x:v>
      </x:c>
      <x:c r="AA2720" s="24" t="n">
        <x:f>IFERROR(F2720/H2720,0)-IFERROR(G2720/I2720,0)</x:f>
        <x:v>0.1111111111111111</x:v>
      </x:c>
      <x:c r="AB2720" s="28" t="n">
        <x:f>J2720-K2720</x:f>
        <x:v>-1</x:v>
      </x:c>
      <x:c r="AC2720" s="32" t="n">
        <x:f>F2720-G2720</x:f>
        <x:v>1</x:v>
      </x:c>
    </x:row>
    <x:row r="2721">
      <x:c r="A2721" s="4" t="str">
        <x:v>2024-25</x:v>
      </x:c>
      <x:c r="B2721" s="20" t="n">
        <x:v>45682</x:v>
      </x:c>
      <x:c r="C2721" s="4" t="str">
        <x:v>Bournemouth</x:v>
      </x:c>
      <x:c r="D2721" s="4" t="str">
        <x:v>Nott'm Forest</x:v>
      </x:c>
      <x:c r="E2721" s="4" t="str">
        <x:v>Home</x:v>
      </x:c>
      <x:c r="F2721" s="28" t="n">
        <x:v>5</x:v>
      </x:c>
      <x:c r="G2721" s="28" t="n">
        <x:v>0</x:v>
      </x:c>
      <x:c r="H2721" s="28" t="n">
        <x:v>16</x:v>
      </x:c>
      <x:c r="I2721" s="28" t="n">
        <x:v>18</x:v>
      </x:c>
      <x:c r="J2721" s="28" t="n">
        <x:v>10</x:v>
      </x:c>
      <x:c r="K2721" s="28" t="n">
        <x:v>4</x:v>
      </x:c>
      <x:c r="L2721" s="28" t="n">
        <x:v>3</x:v>
      </x:c>
      <x:c r="M2721" s="28" t="n">
        <x:v>9</x:v>
      </x:c>
      <x:c r="N2721" s="28" t="n">
        <x:v>2</x:v>
      </x:c>
      <x:c r="O2721" s="28" t="n">
        <x:v>0</x:v>
      </x:c>
      <x:c r="P2721" s="28" t="n">
        <x:v>3</x:v>
      </x:c>
      <x:c r="Q2721" s="24" t="n">
        <x:f>IFERROR(J2721/H2721,0)</x:f>
        <x:v>0.625</x:v>
      </x:c>
      <x:c r="R2721" s="24" t="n">
        <x:f>IFERROR(F2721/H2721,0)</x:f>
        <x:v>0.3125</x:v>
      </x:c>
      <x:c r="S2721" s="24" t="n">
        <x:f>IFERROR(F2721/J2721,0)</x:f>
        <x:v>0.5</x:v>
      </x:c>
      <x:c r="T2721" s="28" t="n">
        <x:f>H2721-I2721</x:f>
        <x:v>-2</x:v>
      </x:c>
      <x:c r="U2721" s="24" t="n">
        <x:f>IFERROR(J2721/H2721,0)-IFERROR(K2721/I2721,0)</x:f>
        <x:v>0.4027777777777778</x:v>
      </x:c>
      <x:c r="V2721" s="24" t="n">
        <x:f>IFERROR(F2721/J2721,0)-IFERROR(G2721/K2721,0)</x:f>
        <x:v>0.5</x:v>
      </x:c>
      <x:c r="W2721" s="28" t="n">
        <x:f>L2721-M2721</x:f>
        <x:v>-6</x:v>
      </x:c>
      <x:c r="X2721" s="24" t="n">
        <x:f>IFERROR(K2721/I2721,0)</x:f>
        <x:v>0.2222222222222222</x:v>
      </x:c>
      <x:c r="Y2721" s="24" t="n">
        <x:f>IFERROR(G2721/I2721,0)</x:f>
        <x:v>0</x:v>
      </x:c>
      <x:c r="Z2721" s="24" t="n">
        <x:f>IFERROR(G2721/K2721,0)</x:f>
        <x:v>0</x:v>
      </x:c>
      <x:c r="AA2721" s="24" t="n">
        <x:f>IFERROR(F2721/H2721,0)-IFERROR(G2721/I2721,0)</x:f>
        <x:v>0.3125</x:v>
      </x:c>
      <x:c r="AB2721" s="28" t="n">
        <x:f>J2721-K2721</x:f>
        <x:v>6</x:v>
      </x:c>
      <x:c r="AC2721" s="32" t="n">
        <x:f>F2721-G2721</x:f>
        <x:v>5</x:v>
      </x:c>
    </x:row>
    <x:row r="2722">
      <x:c r="A2722" s="4" t="str">
        <x:v>2024-25</x:v>
      </x:c>
      <x:c r="B2722" s="20" t="n">
        <x:v>45682</x:v>
      </x:c>
      <x:c r="C2722" s="4" t="str">
        <x:v>Brighton</x:v>
      </x:c>
      <x:c r="D2722" s="4" t="str">
        <x:v>Everton</x:v>
      </x:c>
      <x:c r="E2722" s="4" t="str">
        <x:v>Home</x:v>
      </x:c>
      <x:c r="F2722" s="28" t="n">
        <x:v>0</x:v>
      </x:c>
      <x:c r="G2722" s="28" t="n">
        <x:v>1</x:v>
      </x:c>
      <x:c r="H2722" s="28" t="n">
        <x:v>16</x:v>
      </x:c>
      <x:c r="I2722" s="28" t="n">
        <x:v>3</x:v>
      </x:c>
      <x:c r="J2722" s="28" t="n">
        <x:v>1</x:v>
      </x:c>
      <x:c r="K2722" s="28" t="n">
        <x:v>1</x:v>
      </x:c>
      <x:c r="L2722" s="28" t="n">
        <x:v>9</x:v>
      </x:c>
      <x:c r="M2722" s="28" t="n">
        <x:v>1</x:v>
      </x:c>
      <x:c r="N2722" s="28" t="n">
        <x:v>3</x:v>
      </x:c>
      <x:c r="O2722" s="28" t="n">
        <x:v>0</x:v>
      </x:c>
      <x:c r="P2722" s="28" t="n">
        <x:v>0</x:v>
      </x:c>
      <x:c r="Q2722" s="24" t="n">
        <x:f>IFERROR(J2722/H2722,0)</x:f>
        <x:v>0.0625</x:v>
      </x:c>
      <x:c r="R2722" s="24" t="n">
        <x:f>IFERROR(F2722/H2722,0)</x:f>
        <x:v>0</x:v>
      </x:c>
      <x:c r="S2722" s="24" t="n">
        <x:f>IFERROR(F2722/J2722,0)</x:f>
        <x:v>0</x:v>
      </x:c>
      <x:c r="T2722" s="28" t="n">
        <x:f>H2722-I2722</x:f>
        <x:v>13</x:v>
      </x:c>
      <x:c r="U2722" s="24" t="n">
        <x:f>IFERROR(J2722/H2722,0)-IFERROR(K2722/I2722,0)</x:f>
        <x:v>-0.2708333333333333</x:v>
      </x:c>
      <x:c r="V2722" s="24" t="n">
        <x:f>IFERROR(F2722/J2722,0)-IFERROR(G2722/K2722,0)</x:f>
        <x:v>-1</x:v>
      </x:c>
      <x:c r="W2722" s="28" t="n">
        <x:f>L2722-M2722</x:f>
        <x:v>8</x:v>
      </x:c>
      <x:c r="X2722" s="24" t="n">
        <x:f>IFERROR(K2722/I2722,0)</x:f>
        <x:v>0.3333333333333333</x:v>
      </x:c>
      <x:c r="Y2722" s="24" t="n">
        <x:f>IFERROR(G2722/I2722,0)</x:f>
        <x:v>0.3333333333333333</x:v>
      </x:c>
      <x:c r="Z2722" s="24" t="n">
        <x:f>IFERROR(G2722/K2722,0)</x:f>
        <x:v>1</x:v>
      </x:c>
      <x:c r="AA2722" s="24" t="n">
        <x:f>IFERROR(F2722/H2722,0)-IFERROR(G2722/I2722,0)</x:f>
        <x:v>-0.3333333333333333</x:v>
      </x:c>
      <x:c r="AB2722" s="28" t="n">
        <x:f>J2722-K2722</x:f>
        <x:v>0</x:v>
      </x:c>
      <x:c r="AC2722" s="32" t="n">
        <x:f>F2722-G2722</x:f>
        <x:v>-1</x:v>
      </x:c>
    </x:row>
    <x:row r="2723">
      <x:c r="A2723" s="4" t="str">
        <x:v>2024-25</x:v>
      </x:c>
      <x:c r="B2723" s="20" t="n">
        <x:v>45682</x:v>
      </x:c>
      <x:c r="C2723" s="4" t="str">
        <x:v>Chelsea</x:v>
      </x:c>
      <x:c r="D2723" s="4" t="str">
        <x:v>Man City</x:v>
      </x:c>
      <x:c r="E2723" s="4" t="str">
        <x:v>Away</x:v>
      </x:c>
      <x:c r="F2723" s="28" t="n">
        <x:v>1</x:v>
      </x:c>
      <x:c r="G2723" s="28" t="n">
        <x:v>3</x:v>
      </x:c>
      <x:c r="H2723" s="28" t="n">
        <x:v>10</x:v>
      </x:c>
      <x:c r="I2723" s="28" t="n">
        <x:v>15</x:v>
      </x:c>
      <x:c r="J2723" s="28" t="n">
        <x:v>4</x:v>
      </x:c>
      <x:c r="K2723" s="28" t="n">
        <x:v>6</x:v>
      </x:c>
      <x:c r="L2723" s="28" t="n">
        <x:v>4</x:v>
      </x:c>
      <x:c r="M2723" s="28" t="n">
        <x:v>2</x:v>
      </x:c>
      <x:c r="N2723" s="28" t="n">
        <x:v>2</x:v>
      </x:c>
      <x:c r="O2723" s="28" t="n">
        <x:v>0</x:v>
      </x:c>
      <x:c r="P2723" s="28" t="n">
        <x:v>0</x:v>
      </x:c>
      <x:c r="Q2723" s="24" t="n">
        <x:f>IFERROR(J2723/H2723,0)</x:f>
        <x:v>0.4</x:v>
      </x:c>
      <x:c r="R2723" s="24" t="n">
        <x:f>IFERROR(F2723/H2723,0)</x:f>
        <x:v>0.1</x:v>
      </x:c>
      <x:c r="S2723" s="24" t="n">
        <x:f>IFERROR(F2723/J2723,0)</x:f>
        <x:v>0.25</x:v>
      </x:c>
      <x:c r="T2723" s="28" t="n">
        <x:f>H2723-I2723</x:f>
        <x:v>-5</x:v>
      </x:c>
      <x:c r="U2723" s="24" t="n">
        <x:f>IFERROR(J2723/H2723,0)-IFERROR(K2723/I2723,0)</x:f>
        <x:v>0</x:v>
      </x:c>
      <x:c r="V2723" s="24" t="n">
        <x:f>IFERROR(F2723/J2723,0)-IFERROR(G2723/K2723,0)</x:f>
        <x:v>-0.25</x:v>
      </x:c>
      <x:c r="W2723" s="28" t="n">
        <x:f>L2723-M2723</x:f>
        <x:v>2</x:v>
      </x:c>
      <x:c r="X2723" s="24" t="n">
        <x:f>IFERROR(K2723/I2723,0)</x:f>
        <x:v>0.4</x:v>
      </x:c>
      <x:c r="Y2723" s="24" t="n">
        <x:f>IFERROR(G2723/I2723,0)</x:f>
        <x:v>0.2</x:v>
      </x:c>
      <x:c r="Z2723" s="24" t="n">
        <x:f>IFERROR(G2723/K2723,0)</x:f>
        <x:v>0.5</x:v>
      </x:c>
      <x:c r="AA2723" s="24" t="n">
        <x:f>IFERROR(F2723/H2723,0)-IFERROR(G2723/I2723,0)</x:f>
        <x:v>-0.1</x:v>
      </x:c>
      <x:c r="AB2723" s="28" t="n">
        <x:f>J2723-K2723</x:f>
        <x:v>-2</x:v>
      </x:c>
      <x:c r="AC2723" s="32" t="n">
        <x:f>F2723-G2723</x:f>
        <x:v>-2</x:v>
      </x:c>
    </x:row>
    <x:row r="2724">
      <x:c r="A2724" s="4" t="str">
        <x:v>2024-25</x:v>
      </x:c>
      <x:c r="B2724" s="20" t="n">
        <x:v>45682</x:v>
      </x:c>
      <x:c r="C2724" s="4" t="str">
        <x:v>Everton</x:v>
      </x:c>
      <x:c r="D2724" s="4" t="str">
        <x:v>Brighton</x:v>
      </x:c>
      <x:c r="E2724" s="4" t="str">
        <x:v>Away</x:v>
      </x:c>
      <x:c r="F2724" s="28" t="n">
        <x:v>1</x:v>
      </x:c>
      <x:c r="G2724" s="28" t="n">
        <x:v>0</x:v>
      </x:c>
      <x:c r="H2724" s="28" t="n">
        <x:v>3</x:v>
      </x:c>
      <x:c r="I2724" s="28" t="n">
        <x:v>16</x:v>
      </x:c>
      <x:c r="J2724" s="28" t="n">
        <x:v>1</x:v>
      </x:c>
      <x:c r="K2724" s="28" t="n">
        <x:v>1</x:v>
      </x:c>
      <x:c r="L2724" s="28" t="n">
        <x:v>1</x:v>
      </x:c>
      <x:c r="M2724" s="28" t="n">
        <x:v>9</x:v>
      </x:c>
      <x:c r="N2724" s="28" t="n">
        <x:v>4</x:v>
      </x:c>
      <x:c r="O2724" s="28" t="n">
        <x:v>0</x:v>
      </x:c>
      <x:c r="P2724" s="28" t="n">
        <x:v>3</x:v>
      </x:c>
      <x:c r="Q2724" s="24" t="n">
        <x:f>IFERROR(J2724/H2724,0)</x:f>
        <x:v>0.3333333333333333</x:v>
      </x:c>
      <x:c r="R2724" s="24" t="n">
        <x:f>IFERROR(F2724/H2724,0)</x:f>
        <x:v>0.3333333333333333</x:v>
      </x:c>
      <x:c r="S2724" s="24" t="n">
        <x:f>IFERROR(F2724/J2724,0)</x:f>
        <x:v>1</x:v>
      </x:c>
      <x:c r="T2724" s="28" t="n">
        <x:f>H2724-I2724</x:f>
        <x:v>-13</x:v>
      </x:c>
      <x:c r="U2724" s="24" t="n">
        <x:f>IFERROR(J2724/H2724,0)-IFERROR(K2724/I2724,0)</x:f>
        <x:v>0.2708333333333333</x:v>
      </x:c>
      <x:c r="V2724" s="24" t="n">
        <x:f>IFERROR(F2724/J2724,0)-IFERROR(G2724/K2724,0)</x:f>
        <x:v>1</x:v>
      </x:c>
      <x:c r="W2724" s="28" t="n">
        <x:f>L2724-M2724</x:f>
        <x:v>-8</x:v>
      </x:c>
      <x:c r="X2724" s="24" t="n">
        <x:f>IFERROR(K2724/I2724,0)</x:f>
        <x:v>0.0625</x:v>
      </x:c>
      <x:c r="Y2724" s="24" t="n">
        <x:f>IFERROR(G2724/I2724,0)</x:f>
        <x:v>0</x:v>
      </x:c>
      <x:c r="Z2724" s="24" t="n">
        <x:f>IFERROR(G2724/K2724,0)</x:f>
        <x:v>0</x:v>
      </x:c>
      <x:c r="AA2724" s="24" t="n">
        <x:f>IFERROR(F2724/H2724,0)-IFERROR(G2724/I2724,0)</x:f>
        <x:v>0.3333333333333333</x:v>
      </x:c>
      <x:c r="AB2724" s="28" t="n">
        <x:f>J2724-K2724</x:f>
        <x:v>0</x:v>
      </x:c>
      <x:c r="AC2724" s="32" t="n">
        <x:f>F2724-G2724</x:f>
        <x:v>1</x:v>
      </x:c>
    </x:row>
    <x:row r="2725">
      <x:c r="A2725" s="4" t="str">
        <x:v>2024-25</x:v>
      </x:c>
      <x:c r="B2725" s="20" t="n">
        <x:v>45682</x:v>
      </x:c>
      <x:c r="C2725" s="4" t="str">
        <x:v>Ipswich</x:v>
      </x:c>
      <x:c r="D2725" s="4" t="str">
        <x:v>Liverpool</x:v>
      </x:c>
      <x:c r="E2725" s="4" t="str">
        <x:v>Away</x:v>
      </x:c>
      <x:c r="F2725" s="28" t="n">
        <x:v>1</x:v>
      </x:c>
      <x:c r="G2725" s="28" t="n">
        <x:v>4</x:v>
      </x:c>
      <x:c r="H2725" s="28" t="n">
        <x:v>3</x:v>
      </x:c>
      <x:c r="I2725" s="28" t="n">
        <x:v>16</x:v>
      </x:c>
      <x:c r="J2725" s="28" t="n">
        <x:v>3</x:v>
      </x:c>
      <x:c r="K2725" s="28" t="n">
        <x:v>6</x:v>
      </x:c>
      <x:c r="L2725" s="28" t="n">
        <x:v>4</x:v>
      </x:c>
      <x:c r="M2725" s="28" t="n">
        <x:v>3</x:v>
      </x:c>
      <x:c r="N2725" s="28" t="n">
        <x:v>2</x:v>
      </x:c>
      <x:c r="O2725" s="28" t="n">
        <x:v>0</x:v>
      </x:c>
      <x:c r="P2725" s="28" t="n">
        <x:v>0</x:v>
      </x:c>
      <x:c r="Q2725" s="24" t="n">
        <x:f>IFERROR(J2725/H2725,0)</x:f>
        <x:v>1</x:v>
      </x:c>
      <x:c r="R2725" s="24" t="n">
        <x:f>IFERROR(F2725/H2725,0)</x:f>
        <x:v>0.3333333333333333</x:v>
      </x:c>
      <x:c r="S2725" s="24" t="n">
        <x:f>IFERROR(F2725/J2725,0)</x:f>
        <x:v>0.3333333333333333</x:v>
      </x:c>
      <x:c r="T2725" s="28" t="n">
        <x:f>H2725-I2725</x:f>
        <x:v>-13</x:v>
      </x:c>
      <x:c r="U2725" s="24" t="n">
        <x:f>IFERROR(J2725/H2725,0)-IFERROR(K2725/I2725,0)</x:f>
        <x:v>0.625</x:v>
      </x:c>
      <x:c r="V2725" s="24" t="n">
        <x:f>IFERROR(F2725/J2725,0)-IFERROR(G2725/K2725,0)</x:f>
        <x:v>-0.3333333333333333</x:v>
      </x:c>
      <x:c r="W2725" s="28" t="n">
        <x:f>L2725-M2725</x:f>
        <x:v>1</x:v>
      </x:c>
      <x:c r="X2725" s="24" t="n">
        <x:f>IFERROR(K2725/I2725,0)</x:f>
        <x:v>0.375</x:v>
      </x:c>
      <x:c r="Y2725" s="24" t="n">
        <x:f>IFERROR(G2725/I2725,0)</x:f>
        <x:v>0.25</x:v>
      </x:c>
      <x:c r="Z2725" s="24" t="n">
        <x:f>IFERROR(G2725/K2725,0)</x:f>
        <x:v>0.6666666666666666</x:v>
      </x:c>
      <x:c r="AA2725" s="24" t="n">
        <x:f>IFERROR(F2725/H2725,0)-IFERROR(G2725/I2725,0)</x:f>
        <x:v>0.08333333333333331</x:v>
      </x:c>
      <x:c r="AB2725" s="28" t="n">
        <x:f>J2725-K2725</x:f>
        <x:v>-3</x:v>
      </x:c>
      <x:c r="AC2725" s="32" t="n">
        <x:f>F2725-G2725</x:f>
        <x:v>-3</x:v>
      </x:c>
    </x:row>
    <x:row r="2726">
      <x:c r="A2726" s="4" t="str">
        <x:v>2024-25</x:v>
      </x:c>
      <x:c r="B2726" s="20" t="n">
        <x:v>45682</x:v>
      </x:c>
      <x:c r="C2726" s="4" t="str">
        <x:v>Liverpool</x:v>
      </x:c>
      <x:c r="D2726" s="4" t="str">
        <x:v>Ipswich</x:v>
      </x:c>
      <x:c r="E2726" s="4" t="str">
        <x:v>Home</x:v>
      </x:c>
      <x:c r="F2726" s="28" t="n">
        <x:v>4</x:v>
      </x:c>
      <x:c r="G2726" s="28" t="n">
        <x:v>1</x:v>
      </x:c>
      <x:c r="H2726" s="28" t="n">
        <x:v>16</x:v>
      </x:c>
      <x:c r="I2726" s="28" t="n">
        <x:v>3</x:v>
      </x:c>
      <x:c r="J2726" s="28" t="n">
        <x:v>6</x:v>
      </x:c>
      <x:c r="K2726" s="28" t="n">
        <x:v>3</x:v>
      </x:c>
      <x:c r="L2726" s="28" t="n">
        <x:v>3</x:v>
      </x:c>
      <x:c r="M2726" s="28" t="n">
        <x:v>4</x:v>
      </x:c>
      <x:c r="N2726" s="28" t="n">
        <x:v>0</x:v>
      </x:c>
      <x:c r="O2726" s="28" t="n">
        <x:v>0</x:v>
      </x:c>
      <x:c r="P2726" s="28" t="n">
        <x:v>3</x:v>
      </x:c>
      <x:c r="Q2726" s="24" t="n">
        <x:f>IFERROR(J2726/H2726,0)</x:f>
        <x:v>0.375</x:v>
      </x:c>
      <x:c r="R2726" s="24" t="n">
        <x:f>IFERROR(F2726/H2726,0)</x:f>
        <x:v>0.25</x:v>
      </x:c>
      <x:c r="S2726" s="24" t="n">
        <x:f>IFERROR(F2726/J2726,0)</x:f>
        <x:v>0.6666666666666666</x:v>
      </x:c>
      <x:c r="T2726" s="28" t="n">
        <x:f>H2726-I2726</x:f>
        <x:v>13</x:v>
      </x:c>
      <x:c r="U2726" s="24" t="n">
        <x:f>IFERROR(J2726/H2726,0)-IFERROR(K2726/I2726,0)</x:f>
        <x:v>-0.625</x:v>
      </x:c>
      <x:c r="V2726" s="24" t="n">
        <x:f>IFERROR(F2726/J2726,0)-IFERROR(G2726/K2726,0)</x:f>
        <x:v>0.3333333333333333</x:v>
      </x:c>
      <x:c r="W2726" s="28" t="n">
        <x:f>L2726-M2726</x:f>
        <x:v>-1</x:v>
      </x:c>
      <x:c r="X2726" s="24" t="n">
        <x:f>IFERROR(K2726/I2726,0)</x:f>
        <x:v>1</x:v>
      </x:c>
      <x:c r="Y2726" s="24" t="n">
        <x:f>IFERROR(G2726/I2726,0)</x:f>
        <x:v>0.3333333333333333</x:v>
      </x:c>
      <x:c r="Z2726" s="24" t="n">
        <x:f>IFERROR(G2726/K2726,0)</x:f>
        <x:v>0.3333333333333333</x:v>
      </x:c>
      <x:c r="AA2726" s="24" t="n">
        <x:f>IFERROR(F2726/H2726,0)-IFERROR(G2726/I2726,0)</x:f>
        <x:v>-0.08333333333333331</x:v>
      </x:c>
      <x:c r="AB2726" s="28" t="n">
        <x:f>J2726-K2726</x:f>
        <x:v>3</x:v>
      </x:c>
      <x:c r="AC2726" s="32" t="n">
        <x:f>F2726-G2726</x:f>
        <x:v>3</x:v>
      </x:c>
    </x:row>
    <x:row r="2727">
      <x:c r="A2727" s="4" t="str">
        <x:v>2024-25</x:v>
      </x:c>
      <x:c r="B2727" s="20" t="n">
        <x:v>45682</x:v>
      </x:c>
      <x:c r="C2727" s="4" t="str">
        <x:v>Man City</x:v>
      </x:c>
      <x:c r="D2727" s="4" t="str">
        <x:v>Chelsea</x:v>
      </x:c>
      <x:c r="E2727" s="4" t="str">
        <x:v>Home</x:v>
      </x:c>
      <x:c r="F2727" s="28" t="n">
        <x:v>3</x:v>
      </x:c>
      <x:c r="G2727" s="28" t="n">
        <x:v>1</x:v>
      </x:c>
      <x:c r="H2727" s="28" t="n">
        <x:v>15</x:v>
      </x:c>
      <x:c r="I2727" s="28" t="n">
        <x:v>10</x:v>
      </x:c>
      <x:c r="J2727" s="28" t="n">
        <x:v>6</x:v>
      </x:c>
      <x:c r="K2727" s="28" t="n">
        <x:v>4</x:v>
      </x:c>
      <x:c r="L2727" s="28" t="n">
        <x:v>2</x:v>
      </x:c>
      <x:c r="M2727" s="28" t="n">
        <x:v>4</x:v>
      </x:c>
      <x:c r="N2727" s="28" t="n">
        <x:v>3</x:v>
      </x:c>
      <x:c r="O2727" s="28" t="n">
        <x:v>0</x:v>
      </x:c>
      <x:c r="P2727" s="28" t="n">
        <x:v>3</x:v>
      </x:c>
      <x:c r="Q2727" s="24" t="n">
        <x:f>IFERROR(J2727/H2727,0)</x:f>
        <x:v>0.4</x:v>
      </x:c>
      <x:c r="R2727" s="24" t="n">
        <x:f>IFERROR(F2727/H2727,0)</x:f>
        <x:v>0.2</x:v>
      </x:c>
      <x:c r="S2727" s="24" t="n">
        <x:f>IFERROR(F2727/J2727,0)</x:f>
        <x:v>0.5</x:v>
      </x:c>
      <x:c r="T2727" s="28" t="n">
        <x:f>H2727-I2727</x:f>
        <x:v>5</x:v>
      </x:c>
      <x:c r="U2727" s="24" t="n">
        <x:f>IFERROR(J2727/H2727,0)-IFERROR(K2727/I2727,0)</x:f>
        <x:v>0</x:v>
      </x:c>
      <x:c r="V2727" s="24" t="n">
        <x:f>IFERROR(F2727/J2727,0)-IFERROR(G2727/K2727,0)</x:f>
        <x:v>0.25</x:v>
      </x:c>
      <x:c r="W2727" s="28" t="n">
        <x:f>L2727-M2727</x:f>
        <x:v>-2</x:v>
      </x:c>
      <x:c r="X2727" s="24" t="n">
        <x:f>IFERROR(K2727/I2727,0)</x:f>
        <x:v>0.4</x:v>
      </x:c>
      <x:c r="Y2727" s="24" t="n">
        <x:f>IFERROR(G2727/I2727,0)</x:f>
        <x:v>0.1</x:v>
      </x:c>
      <x:c r="Z2727" s="24" t="n">
        <x:f>IFERROR(G2727/K2727,0)</x:f>
        <x:v>0.25</x:v>
      </x:c>
      <x:c r="AA2727" s="24" t="n">
        <x:f>IFERROR(F2727/H2727,0)-IFERROR(G2727/I2727,0)</x:f>
        <x:v>0.1</x:v>
      </x:c>
      <x:c r="AB2727" s="28" t="n">
        <x:f>J2727-K2727</x:f>
        <x:v>2</x:v>
      </x:c>
      <x:c r="AC2727" s="32" t="n">
        <x:f>F2727-G2727</x:f>
        <x:v>2</x:v>
      </x:c>
    </x:row>
    <x:row r="2728">
      <x:c r="A2728" s="4" t="str">
        <x:v>2024-25</x:v>
      </x:c>
      <x:c r="B2728" s="20" t="n">
        <x:v>45682</x:v>
      </x:c>
      <x:c r="C2728" s="4" t="str">
        <x:v>Newcastle</x:v>
      </x:c>
      <x:c r="D2728" s="4" t="str">
        <x:v>Southampton</x:v>
      </x:c>
      <x:c r="E2728" s="4" t="str">
        <x:v>Away</x:v>
      </x:c>
      <x:c r="F2728" s="28" t="n">
        <x:v>3</x:v>
      </x:c>
      <x:c r="G2728" s="28" t="n">
        <x:v>1</x:v>
      </x:c>
      <x:c r="H2728" s="28" t="n">
        <x:v>17</x:v>
      </x:c>
      <x:c r="I2728" s="28" t="n">
        <x:v>12</x:v>
      </x:c>
      <x:c r="J2728" s="28" t="n">
        <x:v>9</x:v>
      </x:c>
      <x:c r="K2728" s="28" t="n">
        <x:v>5</x:v>
      </x:c>
      <x:c r="L2728" s="28" t="n">
        <x:v>8</x:v>
      </x:c>
      <x:c r="M2728" s="28" t="n">
        <x:v>3</x:v>
      </x:c>
      <x:c r="N2728" s="28" t="n">
        <x:v>0</x:v>
      </x:c>
      <x:c r="O2728" s="28" t="n">
        <x:v>0</x:v>
      </x:c>
      <x:c r="P2728" s="28" t="n">
        <x:v>3</x:v>
      </x:c>
      <x:c r="Q2728" s="24" t="n">
        <x:f>IFERROR(J2728/H2728,0)</x:f>
        <x:v>0.5294117647058824</x:v>
      </x:c>
      <x:c r="R2728" s="24" t="n">
        <x:f>IFERROR(F2728/H2728,0)</x:f>
        <x:v>0.17647058823529413</x:v>
      </x:c>
      <x:c r="S2728" s="24" t="n">
        <x:f>IFERROR(F2728/J2728,0)</x:f>
        <x:v>0.3333333333333333</x:v>
      </x:c>
      <x:c r="T2728" s="28" t="n">
        <x:f>H2728-I2728</x:f>
        <x:v>5</x:v>
      </x:c>
      <x:c r="U2728" s="24" t="n">
        <x:f>IFERROR(J2728/H2728,0)-IFERROR(K2728/I2728,0)</x:f>
        <x:v>0.11274509803921567</x:v>
      </x:c>
      <x:c r="V2728" s="24" t="n">
        <x:f>IFERROR(F2728/J2728,0)-IFERROR(G2728/K2728,0)</x:f>
        <x:v>0.1333333333333333</x:v>
      </x:c>
      <x:c r="W2728" s="28" t="n">
        <x:f>L2728-M2728</x:f>
        <x:v>5</x:v>
      </x:c>
      <x:c r="X2728" s="24" t="n">
        <x:f>IFERROR(K2728/I2728,0)</x:f>
        <x:v>0.4166666666666667</x:v>
      </x:c>
      <x:c r="Y2728" s="24" t="n">
        <x:f>IFERROR(G2728/I2728,0)</x:f>
        <x:v>0.08333333333333333</x:v>
      </x:c>
      <x:c r="Z2728" s="24" t="n">
        <x:f>IFERROR(G2728/K2728,0)</x:f>
        <x:v>0.2</x:v>
      </x:c>
      <x:c r="AA2728" s="24" t="n">
        <x:f>IFERROR(F2728/H2728,0)-IFERROR(G2728/I2728,0)</x:f>
        <x:v>0.0931372549019608</x:v>
      </x:c>
      <x:c r="AB2728" s="28" t="n">
        <x:f>J2728-K2728</x:f>
        <x:v>4</x:v>
      </x:c>
      <x:c r="AC2728" s="32" t="n">
        <x:f>F2728-G2728</x:f>
        <x:v>2</x:v>
      </x:c>
    </x:row>
    <x:row r="2729">
      <x:c r="A2729" s="4" t="str">
        <x:v>2024-25</x:v>
      </x:c>
      <x:c r="B2729" s="20" t="n">
        <x:v>45682</x:v>
      </x:c>
      <x:c r="C2729" s="4" t="str">
        <x:v>Nott'm Forest</x:v>
      </x:c>
      <x:c r="D2729" s="4" t="str">
        <x:v>Bournemouth</x:v>
      </x:c>
      <x:c r="E2729" s="4" t="str">
        <x:v>Away</x:v>
      </x:c>
      <x:c r="F2729" s="28" t="n">
        <x:v>0</x:v>
      </x:c>
      <x:c r="G2729" s="28" t="n">
        <x:v>5</x:v>
      </x:c>
      <x:c r="H2729" s="28" t="n">
        <x:v>18</x:v>
      </x:c>
      <x:c r="I2729" s="28" t="n">
        <x:v>16</x:v>
      </x:c>
      <x:c r="J2729" s="28" t="n">
        <x:v>4</x:v>
      </x:c>
      <x:c r="K2729" s="28" t="n">
        <x:v>10</x:v>
      </x:c>
      <x:c r="L2729" s="28" t="n">
        <x:v>9</x:v>
      </x:c>
      <x:c r="M2729" s="28" t="n">
        <x:v>3</x:v>
      </x:c>
      <x:c r="N2729" s="28" t="n">
        <x:v>3</x:v>
      </x:c>
      <x:c r="O2729" s="28" t="n">
        <x:v>0</x:v>
      </x:c>
      <x:c r="P2729" s="28" t="n">
        <x:v>0</x:v>
      </x:c>
      <x:c r="Q2729" s="24" t="n">
        <x:f>IFERROR(J2729/H2729,0)</x:f>
        <x:v>0.2222222222222222</x:v>
      </x:c>
      <x:c r="R2729" s="24" t="n">
        <x:f>IFERROR(F2729/H2729,0)</x:f>
        <x:v>0</x:v>
      </x:c>
      <x:c r="S2729" s="24" t="n">
        <x:f>IFERROR(F2729/J2729,0)</x:f>
        <x:v>0</x:v>
      </x:c>
      <x:c r="T2729" s="28" t="n">
        <x:f>H2729-I2729</x:f>
        <x:v>2</x:v>
      </x:c>
      <x:c r="U2729" s="24" t="n">
        <x:f>IFERROR(J2729/H2729,0)-IFERROR(K2729/I2729,0)</x:f>
        <x:v>-0.4027777777777778</x:v>
      </x:c>
      <x:c r="V2729" s="24" t="n">
        <x:f>IFERROR(F2729/J2729,0)-IFERROR(G2729/K2729,0)</x:f>
        <x:v>-0.5</x:v>
      </x:c>
      <x:c r="W2729" s="28" t="n">
        <x:f>L2729-M2729</x:f>
        <x:v>6</x:v>
      </x:c>
      <x:c r="X2729" s="24" t="n">
        <x:f>IFERROR(K2729/I2729,0)</x:f>
        <x:v>0.625</x:v>
      </x:c>
      <x:c r="Y2729" s="24" t="n">
        <x:f>IFERROR(G2729/I2729,0)</x:f>
        <x:v>0.3125</x:v>
      </x:c>
      <x:c r="Z2729" s="24" t="n">
        <x:f>IFERROR(G2729/K2729,0)</x:f>
        <x:v>0.5</x:v>
      </x:c>
      <x:c r="AA2729" s="24" t="n">
        <x:f>IFERROR(F2729/H2729,0)-IFERROR(G2729/I2729,0)</x:f>
        <x:v>-0.3125</x:v>
      </x:c>
      <x:c r="AB2729" s="28" t="n">
        <x:f>J2729-K2729</x:f>
        <x:v>-6</x:v>
      </x:c>
      <x:c r="AC2729" s="32" t="n">
        <x:f>F2729-G2729</x:f>
        <x:v>-5</x:v>
      </x:c>
    </x:row>
    <x:row r="2730">
      <x:c r="A2730" s="4" t="str">
        <x:v>2024-25</x:v>
      </x:c>
      <x:c r="B2730" s="20" t="n">
        <x:v>45682</x:v>
      </x:c>
      <x:c r="C2730" s="4" t="str">
        <x:v>Southampton</x:v>
      </x:c>
      <x:c r="D2730" s="4" t="str">
        <x:v>Newcastle</x:v>
      </x:c>
      <x:c r="E2730" s="4" t="str">
        <x:v>Home</x:v>
      </x:c>
      <x:c r="F2730" s="28" t="n">
        <x:v>1</x:v>
      </x:c>
      <x:c r="G2730" s="28" t="n">
        <x:v>3</x:v>
      </x:c>
      <x:c r="H2730" s="28" t="n">
        <x:v>12</x:v>
      </x:c>
      <x:c r="I2730" s="28" t="n">
        <x:v>17</x:v>
      </x:c>
      <x:c r="J2730" s="28" t="n">
        <x:v>5</x:v>
      </x:c>
      <x:c r="K2730" s="28" t="n">
        <x:v>9</x:v>
      </x:c>
      <x:c r="L2730" s="28" t="n">
        <x:v>3</x:v>
      </x:c>
      <x:c r="M2730" s="28" t="n">
        <x:v>8</x:v>
      </x:c>
      <x:c r="N2730" s="28" t="n">
        <x:v>1</x:v>
      </x:c>
      <x:c r="O2730" s="28" t="n">
        <x:v>0</x:v>
      </x:c>
      <x:c r="P2730" s="28" t="n">
        <x:v>0</x:v>
      </x:c>
      <x:c r="Q2730" s="24" t="n">
        <x:f>IFERROR(J2730/H2730,0)</x:f>
        <x:v>0.4166666666666667</x:v>
      </x:c>
      <x:c r="R2730" s="24" t="n">
        <x:f>IFERROR(F2730/H2730,0)</x:f>
        <x:v>0.08333333333333333</x:v>
      </x:c>
      <x:c r="S2730" s="24" t="n">
        <x:f>IFERROR(F2730/J2730,0)</x:f>
        <x:v>0.2</x:v>
      </x:c>
      <x:c r="T2730" s="28" t="n">
        <x:f>H2730-I2730</x:f>
        <x:v>-5</x:v>
      </x:c>
      <x:c r="U2730" s="24" t="n">
        <x:f>IFERROR(J2730/H2730,0)-IFERROR(K2730/I2730,0)</x:f>
        <x:v>-0.11274509803921567</x:v>
      </x:c>
      <x:c r="V2730" s="24" t="n">
        <x:f>IFERROR(F2730/J2730,0)-IFERROR(G2730/K2730,0)</x:f>
        <x:v>-0.1333333333333333</x:v>
      </x:c>
      <x:c r="W2730" s="28" t="n">
        <x:f>L2730-M2730</x:f>
        <x:v>-5</x:v>
      </x:c>
      <x:c r="X2730" s="24" t="n">
        <x:f>IFERROR(K2730/I2730,0)</x:f>
        <x:v>0.5294117647058824</x:v>
      </x:c>
      <x:c r="Y2730" s="24" t="n">
        <x:f>IFERROR(G2730/I2730,0)</x:f>
        <x:v>0.17647058823529413</x:v>
      </x:c>
      <x:c r="Z2730" s="24" t="n">
        <x:f>IFERROR(G2730/K2730,0)</x:f>
        <x:v>0.3333333333333333</x:v>
      </x:c>
      <x:c r="AA2730" s="24" t="n">
        <x:f>IFERROR(F2730/H2730,0)-IFERROR(G2730/I2730,0)</x:f>
        <x:v>-0.0931372549019608</x:v>
      </x:c>
      <x:c r="AB2730" s="28" t="n">
        <x:f>J2730-K2730</x:f>
        <x:v>-4</x:v>
      </x:c>
      <x:c r="AC2730" s="32" t="n">
        <x:f>F2730-G2730</x:f>
        <x:v>-2</x:v>
      </x:c>
    </x:row>
    <x:row r="2731">
      <x:c r="A2731" s="4" t="str">
        <x:v>2024-25</x:v>
      </x:c>
      <x:c r="B2731" s="20" t="n">
        <x:v>45682</x:v>
      </x:c>
      <x:c r="C2731" s="4" t="str">
        <x:v>Wolves</x:v>
      </x:c>
      <x:c r="D2731" s="4" t="str">
        <x:v>Arsenal</x:v>
      </x:c>
      <x:c r="E2731" s="4" t="str">
        <x:v>Home</x:v>
      </x:c>
      <x:c r="F2731" s="28" t="n">
        <x:v>0</x:v>
      </x:c>
      <x:c r="G2731" s="28" t="n">
        <x:v>1</x:v>
      </x:c>
      <x:c r="H2731" s="28" t="n">
        <x:v>9</x:v>
      </x:c>
      <x:c r="I2731" s="28" t="n">
        <x:v>9</x:v>
      </x:c>
      <x:c r="J2731" s="28" t="n">
        <x:v>4</x:v>
      </x:c>
      <x:c r="K2731" s="28" t="n">
        <x:v>3</x:v>
      </x:c>
      <x:c r="L2731" s="28" t="n">
        <x:v>1</x:v>
      </x:c>
      <x:c r="M2731" s="28" t="n">
        <x:v>5</x:v>
      </x:c>
      <x:c r="N2731" s="28" t="n">
        <x:v>0</x:v>
      </x:c>
      <x:c r="O2731" s="28" t="n">
        <x:v>1</x:v>
      </x:c>
      <x:c r="P2731" s="28" t="n">
        <x:v>0</x:v>
      </x:c>
      <x:c r="Q2731" s="24" t="n">
        <x:f>IFERROR(J2731/H2731,0)</x:f>
        <x:v>0.4444444444444444</x:v>
      </x:c>
      <x:c r="R2731" s="24" t="n">
        <x:f>IFERROR(F2731/H2731,0)</x:f>
        <x:v>0</x:v>
      </x:c>
      <x:c r="S2731" s="24" t="n">
        <x:f>IFERROR(F2731/J2731,0)</x:f>
        <x:v>0</x:v>
      </x:c>
      <x:c r="T2731" s="28" t="n">
        <x:f>H2731-I2731</x:f>
        <x:v>0</x:v>
      </x:c>
      <x:c r="U2731" s="24" t="n">
        <x:f>IFERROR(J2731/H2731,0)-IFERROR(K2731/I2731,0)</x:f>
        <x:v>0.1111111111111111</x:v>
      </x:c>
      <x:c r="V2731" s="24" t="n">
        <x:f>IFERROR(F2731/J2731,0)-IFERROR(G2731/K2731,0)</x:f>
        <x:v>-0.3333333333333333</x:v>
      </x:c>
      <x:c r="W2731" s="28" t="n">
        <x:f>L2731-M2731</x:f>
        <x:v>-4</x:v>
      </x:c>
      <x:c r="X2731" s="24" t="n">
        <x:f>IFERROR(K2731/I2731,0)</x:f>
        <x:v>0.3333333333333333</x:v>
      </x:c>
      <x:c r="Y2731" s="24" t="n">
        <x:f>IFERROR(G2731/I2731,0)</x:f>
        <x:v>0.1111111111111111</x:v>
      </x:c>
      <x:c r="Z2731" s="24" t="n">
        <x:f>IFERROR(G2731/K2731,0)</x:f>
        <x:v>0.3333333333333333</x:v>
      </x:c>
      <x:c r="AA2731" s="24" t="n">
        <x:f>IFERROR(F2731/H2731,0)-IFERROR(G2731/I2731,0)</x:f>
        <x:v>-0.1111111111111111</x:v>
      </x:c>
      <x:c r="AB2731" s="28" t="n">
        <x:f>J2731-K2731</x:f>
        <x:v>1</x:v>
      </x:c>
      <x:c r="AC2731" s="32" t="n">
        <x:f>F2731-G2731</x:f>
        <x:v>-1</x:v>
      </x:c>
    </x:row>
    <x:row r="2732">
      <x:c r="A2732" s="4" t="str">
        <x:v>2024-25</x:v>
      </x:c>
      <x:c r="B2732" s="20" t="n">
        <x:v>45683</x:v>
      </x:c>
      <x:c r="C2732" s="4" t="str">
        <x:v>Aston Villa</x:v>
      </x:c>
      <x:c r="D2732" s="4" t="str">
        <x:v>West Ham</x:v>
      </x:c>
      <x:c r="E2732" s="4" t="str">
        <x:v>Home</x:v>
      </x:c>
      <x:c r="F2732" s="28" t="n">
        <x:v>1</x:v>
      </x:c>
      <x:c r="G2732" s="28" t="n">
        <x:v>1</x:v>
      </x:c>
      <x:c r="H2732" s="28" t="n">
        <x:v>14</x:v>
      </x:c>
      <x:c r="I2732" s="28" t="n">
        <x:v>14</x:v>
      </x:c>
      <x:c r="J2732" s="28" t="n">
        <x:v>4</x:v>
      </x:c>
      <x:c r="K2732" s="28" t="n">
        <x:v>4</x:v>
      </x:c>
      <x:c r="L2732" s="28" t="n">
        <x:v>4</x:v>
      </x:c>
      <x:c r="M2732" s="28" t="n">
        <x:v>3</x:v>
      </x:c>
      <x:c r="N2732" s="28" t="n">
        <x:v>2</x:v>
      </x:c>
      <x:c r="O2732" s="28" t="n">
        <x:v>0</x:v>
      </x:c>
      <x:c r="P2732" s="28" t="n">
        <x:v>1</x:v>
      </x:c>
      <x:c r="Q2732" s="24" t="n">
        <x:f>IFERROR(J2732/H2732,0)</x:f>
        <x:v>0.2857142857142857</x:v>
      </x:c>
      <x:c r="R2732" s="24" t="n">
        <x:f>IFERROR(F2732/H2732,0)</x:f>
        <x:v>0.07142857142857142</x:v>
      </x:c>
      <x:c r="S2732" s="24" t="n">
        <x:f>IFERROR(F2732/J2732,0)</x:f>
        <x:v>0.25</x:v>
      </x:c>
      <x:c r="T2732" s="28" t="n">
        <x:f>H2732-I2732</x:f>
        <x:v>0</x:v>
      </x:c>
      <x:c r="U2732" s="24" t="n">
        <x:f>IFERROR(J2732/H2732,0)-IFERROR(K2732/I2732,0)</x:f>
        <x:v>0</x:v>
      </x:c>
      <x:c r="V2732" s="24" t="n">
        <x:f>IFERROR(F2732/J2732,0)-IFERROR(G2732/K2732,0)</x:f>
        <x:v>0</x:v>
      </x:c>
      <x:c r="W2732" s="28" t="n">
        <x:f>L2732-M2732</x:f>
        <x:v>1</x:v>
      </x:c>
      <x:c r="X2732" s="24" t="n">
        <x:f>IFERROR(K2732/I2732,0)</x:f>
        <x:v>0.2857142857142857</x:v>
      </x:c>
      <x:c r="Y2732" s="24" t="n">
        <x:f>IFERROR(G2732/I2732,0)</x:f>
        <x:v>0.07142857142857142</x:v>
      </x:c>
      <x:c r="Z2732" s="24" t="n">
        <x:f>IFERROR(G2732/K2732,0)</x:f>
        <x:v>0.25</x:v>
      </x:c>
      <x:c r="AA2732" s="24" t="n">
        <x:f>IFERROR(F2732/H2732,0)-IFERROR(G2732/I2732,0)</x:f>
        <x:v>0</x:v>
      </x:c>
      <x:c r="AB2732" s="28" t="n">
        <x:f>J2732-K2732</x:f>
        <x:v>0</x:v>
      </x:c>
      <x:c r="AC2732" s="32" t="n">
        <x:f>F2732-G2732</x:f>
        <x:v>0</x:v>
      </x:c>
    </x:row>
    <x:row r="2733">
      <x:c r="A2733" s="4" t="str">
        <x:v>2024-25</x:v>
      </x:c>
      <x:c r="B2733" s="20" t="n">
        <x:v>45683</x:v>
      </x:c>
      <x:c r="C2733" s="4" t="str">
        <x:v>Brentford</x:v>
      </x:c>
      <x:c r="D2733" s="4" t="str">
        <x:v>Crystal Palace</x:v>
      </x:c>
      <x:c r="E2733" s="4" t="str">
        <x:v>Away</x:v>
      </x:c>
      <x:c r="F2733" s="28" t="n">
        <x:v>2</x:v>
      </x:c>
      <x:c r="G2733" s="28" t="n">
        <x:v>1</x:v>
      </x:c>
      <x:c r="H2733" s="28" t="n">
        <x:v>13</x:v>
      </x:c>
      <x:c r="I2733" s="28" t="n">
        <x:v>16</x:v>
      </x:c>
      <x:c r="J2733" s="28" t="n">
        <x:v>6</x:v>
      </x:c>
      <x:c r="K2733" s="28" t="n">
        <x:v>5</x:v>
      </x:c>
      <x:c r="L2733" s="28" t="n">
        <x:v>7</x:v>
      </x:c>
      <x:c r="M2733" s="28" t="n">
        <x:v>4</x:v>
      </x:c>
      <x:c r="N2733" s="28" t="n">
        <x:v>2</x:v>
      </x:c>
      <x:c r="O2733" s="28" t="n">
        <x:v>0</x:v>
      </x:c>
      <x:c r="P2733" s="28" t="n">
        <x:v>3</x:v>
      </x:c>
      <x:c r="Q2733" s="24" t="n">
        <x:f>IFERROR(J2733/H2733,0)</x:f>
        <x:v>0.46153846153846156</x:v>
      </x:c>
      <x:c r="R2733" s="24" t="n">
        <x:f>IFERROR(F2733/H2733,0)</x:f>
        <x:v>0.15384615384615385</x:v>
      </x:c>
      <x:c r="S2733" s="24" t="n">
        <x:f>IFERROR(F2733/J2733,0)</x:f>
        <x:v>0.3333333333333333</x:v>
      </x:c>
      <x:c r="T2733" s="28" t="n">
        <x:f>H2733-I2733</x:f>
        <x:v>-3</x:v>
      </x:c>
      <x:c r="U2733" s="24" t="n">
        <x:f>IFERROR(J2733/H2733,0)-IFERROR(K2733/I2733,0)</x:f>
        <x:v>0.14903846153846156</x:v>
      </x:c>
      <x:c r="V2733" s="24" t="n">
        <x:f>IFERROR(F2733/J2733,0)-IFERROR(G2733/K2733,0)</x:f>
        <x:v>0.1333333333333333</x:v>
      </x:c>
      <x:c r="W2733" s="28" t="n">
        <x:f>L2733-M2733</x:f>
        <x:v>3</x:v>
      </x:c>
      <x:c r="X2733" s="24" t="n">
        <x:f>IFERROR(K2733/I2733,0)</x:f>
        <x:v>0.3125</x:v>
      </x:c>
      <x:c r="Y2733" s="24" t="n">
        <x:f>IFERROR(G2733/I2733,0)</x:f>
        <x:v>0.0625</x:v>
      </x:c>
      <x:c r="Z2733" s="24" t="n">
        <x:f>IFERROR(G2733/K2733,0)</x:f>
        <x:v>0.2</x:v>
      </x:c>
      <x:c r="AA2733" s="24" t="n">
        <x:f>IFERROR(F2733/H2733,0)-IFERROR(G2733/I2733,0)</x:f>
        <x:v>0.09134615384615385</x:v>
      </x:c>
      <x:c r="AB2733" s="28" t="n">
        <x:f>J2733-K2733</x:f>
        <x:v>1</x:v>
      </x:c>
      <x:c r="AC2733" s="32" t="n">
        <x:f>F2733-G2733</x:f>
        <x:v>1</x:v>
      </x:c>
    </x:row>
    <x:row r="2734">
      <x:c r="A2734" s="4" t="str">
        <x:v>2024-25</x:v>
      </x:c>
      <x:c r="B2734" s="20" t="n">
        <x:v>45683</x:v>
      </x:c>
      <x:c r="C2734" s="4" t="str">
        <x:v>Crystal Palace</x:v>
      </x:c>
      <x:c r="D2734" s="4" t="str">
        <x:v>Brentford</x:v>
      </x:c>
      <x:c r="E2734" s="4" t="str">
        <x:v>Home</x:v>
      </x:c>
      <x:c r="F2734" s="28" t="n">
        <x:v>1</x:v>
      </x:c>
      <x:c r="G2734" s="28" t="n">
        <x:v>2</x:v>
      </x:c>
      <x:c r="H2734" s="28" t="n">
        <x:v>16</x:v>
      </x:c>
      <x:c r="I2734" s="28" t="n">
        <x:v>13</x:v>
      </x:c>
      <x:c r="J2734" s="28" t="n">
        <x:v>5</x:v>
      </x:c>
      <x:c r="K2734" s="28" t="n">
        <x:v>6</x:v>
      </x:c>
      <x:c r="L2734" s="28" t="n">
        <x:v>4</x:v>
      </x:c>
      <x:c r="M2734" s="28" t="n">
        <x:v>7</x:v>
      </x:c>
      <x:c r="N2734" s="28" t="n">
        <x:v>2</x:v>
      </x:c>
      <x:c r="O2734" s="28" t="n">
        <x:v>0</x:v>
      </x:c>
      <x:c r="P2734" s="28" t="n">
        <x:v>0</x:v>
      </x:c>
      <x:c r="Q2734" s="24" t="n">
        <x:f>IFERROR(J2734/H2734,0)</x:f>
        <x:v>0.3125</x:v>
      </x:c>
      <x:c r="R2734" s="24" t="n">
        <x:f>IFERROR(F2734/H2734,0)</x:f>
        <x:v>0.0625</x:v>
      </x:c>
      <x:c r="S2734" s="24" t="n">
        <x:f>IFERROR(F2734/J2734,0)</x:f>
        <x:v>0.2</x:v>
      </x:c>
      <x:c r="T2734" s="28" t="n">
        <x:f>H2734-I2734</x:f>
        <x:v>3</x:v>
      </x:c>
      <x:c r="U2734" s="24" t="n">
        <x:f>IFERROR(J2734/H2734,0)-IFERROR(K2734/I2734,0)</x:f>
        <x:v>-0.14903846153846156</x:v>
      </x:c>
      <x:c r="V2734" s="24" t="n">
        <x:f>IFERROR(F2734/J2734,0)-IFERROR(G2734/K2734,0)</x:f>
        <x:v>-0.1333333333333333</x:v>
      </x:c>
      <x:c r="W2734" s="28" t="n">
        <x:f>L2734-M2734</x:f>
        <x:v>-3</x:v>
      </x:c>
      <x:c r="X2734" s="24" t="n">
        <x:f>IFERROR(K2734/I2734,0)</x:f>
        <x:v>0.46153846153846156</x:v>
      </x:c>
      <x:c r="Y2734" s="24" t="n">
        <x:f>IFERROR(G2734/I2734,0)</x:f>
        <x:v>0.15384615384615385</x:v>
      </x:c>
      <x:c r="Z2734" s="24" t="n">
        <x:f>IFERROR(G2734/K2734,0)</x:f>
        <x:v>0.3333333333333333</x:v>
      </x:c>
      <x:c r="AA2734" s="24" t="n">
        <x:f>IFERROR(F2734/H2734,0)-IFERROR(G2734/I2734,0)</x:f>
        <x:v>-0.09134615384615385</x:v>
      </x:c>
      <x:c r="AB2734" s="28" t="n">
        <x:f>J2734-K2734</x:f>
        <x:v>-1</x:v>
      </x:c>
      <x:c r="AC2734" s="32" t="n">
        <x:f>F2734-G2734</x:f>
        <x:v>-1</x:v>
      </x:c>
    </x:row>
    <x:row r="2735">
      <x:c r="A2735" s="4" t="str">
        <x:v>2024-25</x:v>
      </x:c>
      <x:c r="B2735" s="20" t="n">
        <x:v>45683</x:v>
      </x:c>
      <x:c r="C2735" s="4" t="str">
        <x:v>Fulham</x:v>
      </x:c>
      <x:c r="D2735" s="4" t="str">
        <x:v>Man United</x:v>
      </x:c>
      <x:c r="E2735" s="4" t="str">
        <x:v>Home</x:v>
      </x:c>
      <x:c r="F2735" s="28" t="n">
        <x:v>0</x:v>
      </x:c>
      <x:c r="G2735" s="28" t="n">
        <x:v>1</x:v>
      </x:c>
      <x:c r="H2735" s="28" t="n">
        <x:v>9</x:v>
      </x:c>
      <x:c r="I2735" s="28" t="n">
        <x:v>4</x:v>
      </x:c>
      <x:c r="J2735" s="28" t="n">
        <x:v>3</x:v>
      </x:c>
      <x:c r="K2735" s="28" t="n">
        <x:v>1</x:v>
      </x:c>
      <x:c r="L2735" s="28" t="n">
        <x:v>3</x:v>
      </x:c>
      <x:c r="M2735" s="28" t="n">
        <x:v>0</x:v>
      </x:c>
      <x:c r="N2735" s="28" t="n">
        <x:v>0</x:v>
      </x:c>
      <x:c r="O2735" s="28" t="n">
        <x:v>0</x:v>
      </x:c>
      <x:c r="P2735" s="28" t="n">
        <x:v>0</x:v>
      </x:c>
      <x:c r="Q2735" s="24" t="n">
        <x:f>IFERROR(J2735/H2735,0)</x:f>
        <x:v>0.3333333333333333</x:v>
      </x:c>
      <x:c r="R2735" s="24" t="n">
        <x:f>IFERROR(F2735/H2735,0)</x:f>
        <x:v>0</x:v>
      </x:c>
      <x:c r="S2735" s="24" t="n">
        <x:f>IFERROR(F2735/J2735,0)</x:f>
        <x:v>0</x:v>
      </x:c>
      <x:c r="T2735" s="28" t="n">
        <x:f>H2735-I2735</x:f>
        <x:v>5</x:v>
      </x:c>
      <x:c r="U2735" s="24" t="n">
        <x:f>IFERROR(J2735/H2735,0)-IFERROR(K2735/I2735,0)</x:f>
        <x:v>0.08333333333333331</x:v>
      </x:c>
      <x:c r="V2735" s="24" t="n">
        <x:f>IFERROR(F2735/J2735,0)-IFERROR(G2735/K2735,0)</x:f>
        <x:v>-1</x:v>
      </x:c>
      <x:c r="W2735" s="28" t="n">
        <x:f>L2735-M2735</x:f>
        <x:v>3</x:v>
      </x:c>
      <x:c r="X2735" s="24" t="n">
        <x:f>IFERROR(K2735/I2735,0)</x:f>
        <x:v>0.25</x:v>
      </x:c>
      <x:c r="Y2735" s="24" t="n">
        <x:f>IFERROR(G2735/I2735,0)</x:f>
        <x:v>0.25</x:v>
      </x:c>
      <x:c r="Z2735" s="24" t="n">
        <x:f>IFERROR(G2735/K2735,0)</x:f>
        <x:v>1</x:v>
      </x:c>
      <x:c r="AA2735" s="24" t="n">
        <x:f>IFERROR(F2735/H2735,0)-IFERROR(G2735/I2735,0)</x:f>
        <x:v>-0.25</x:v>
      </x:c>
      <x:c r="AB2735" s="28" t="n">
        <x:f>J2735-K2735</x:f>
        <x:v>2</x:v>
      </x:c>
      <x:c r="AC2735" s="32" t="n">
        <x:f>F2735-G2735</x:f>
        <x:v>-1</x:v>
      </x:c>
    </x:row>
    <x:row r="2736">
      <x:c r="A2736" s="4" t="str">
        <x:v>2024-25</x:v>
      </x:c>
      <x:c r="B2736" s="20" t="n">
        <x:v>45683</x:v>
      </x:c>
      <x:c r="C2736" s="4" t="str">
        <x:v>Leicester</x:v>
      </x:c>
      <x:c r="D2736" s="4" t="str">
        <x:v>Tottenham</x:v>
      </x:c>
      <x:c r="E2736" s="4" t="str">
        <x:v>Away</x:v>
      </x:c>
      <x:c r="F2736" s="28" t="n">
        <x:v>2</x:v>
      </x:c>
      <x:c r="G2736" s="28" t="n">
        <x:v>1</x:v>
      </x:c>
      <x:c r="H2736" s="28" t="n">
        <x:v>12</x:v>
      </x:c>
      <x:c r="I2736" s="28" t="n">
        <x:v>15</x:v>
      </x:c>
      <x:c r="J2736" s="28" t="n">
        <x:v>3</x:v>
      </x:c>
      <x:c r="K2736" s="28" t="n">
        <x:v>6</x:v>
      </x:c>
      <x:c r="L2736" s="28" t="n">
        <x:v>4</x:v>
      </x:c>
      <x:c r="M2736" s="28" t="n">
        <x:v>6</x:v>
      </x:c>
      <x:c r="N2736" s="28" t="n">
        <x:v>5</x:v>
      </x:c>
      <x:c r="O2736" s="28" t="n">
        <x:v>0</x:v>
      </x:c>
      <x:c r="P2736" s="28" t="n">
        <x:v>3</x:v>
      </x:c>
      <x:c r="Q2736" s="24" t="n">
        <x:f>IFERROR(J2736/H2736,0)</x:f>
        <x:v>0.25</x:v>
      </x:c>
      <x:c r="R2736" s="24" t="n">
        <x:f>IFERROR(F2736/H2736,0)</x:f>
        <x:v>0.16666666666666666</x:v>
      </x:c>
      <x:c r="S2736" s="24" t="n">
        <x:f>IFERROR(F2736/J2736,0)</x:f>
        <x:v>0.6666666666666666</x:v>
      </x:c>
      <x:c r="T2736" s="28" t="n">
        <x:f>H2736-I2736</x:f>
        <x:v>-3</x:v>
      </x:c>
      <x:c r="U2736" s="24" t="n">
        <x:f>IFERROR(J2736/H2736,0)-IFERROR(K2736/I2736,0)</x:f>
        <x:v>-0.15000000000000002</x:v>
      </x:c>
      <x:c r="V2736" s="24" t="n">
        <x:f>IFERROR(F2736/J2736,0)-IFERROR(G2736/K2736,0)</x:f>
        <x:v>0.5</x:v>
      </x:c>
      <x:c r="W2736" s="28" t="n">
        <x:f>L2736-M2736</x:f>
        <x:v>-2</x:v>
      </x:c>
      <x:c r="X2736" s="24" t="n">
        <x:f>IFERROR(K2736/I2736,0)</x:f>
        <x:v>0.4</x:v>
      </x:c>
      <x:c r="Y2736" s="24" t="n">
        <x:f>IFERROR(G2736/I2736,0)</x:f>
        <x:v>0.06666666666666667</x:v>
      </x:c>
      <x:c r="Z2736" s="24" t="n">
        <x:f>IFERROR(G2736/K2736,0)</x:f>
        <x:v>0.16666666666666666</x:v>
      </x:c>
      <x:c r="AA2736" s="24" t="n">
        <x:f>IFERROR(F2736/H2736,0)-IFERROR(G2736/I2736,0)</x:f>
        <x:v>0.09999999999999999</x:v>
      </x:c>
      <x:c r="AB2736" s="28" t="n">
        <x:f>J2736-K2736</x:f>
        <x:v>-3</x:v>
      </x:c>
      <x:c r="AC2736" s="32" t="n">
        <x:f>F2736-G2736</x:f>
        <x:v>1</x:v>
      </x:c>
    </x:row>
    <x:row r="2737">
      <x:c r="A2737" s="4" t="str">
        <x:v>2024-25</x:v>
      </x:c>
      <x:c r="B2737" s="20" t="n">
        <x:v>45683</x:v>
      </x:c>
      <x:c r="C2737" s="4" t="str">
        <x:v>Man United</x:v>
      </x:c>
      <x:c r="D2737" s="4" t="str">
        <x:v>Fulham</x:v>
      </x:c>
      <x:c r="E2737" s="4" t="str">
        <x:v>Away</x:v>
      </x:c>
      <x:c r="F2737" s="28" t="n">
        <x:v>1</x:v>
      </x:c>
      <x:c r="G2737" s="28" t="n">
        <x:v>0</x:v>
      </x:c>
      <x:c r="H2737" s="28" t="n">
        <x:v>4</x:v>
      </x:c>
      <x:c r="I2737" s="28" t="n">
        <x:v>9</x:v>
      </x:c>
      <x:c r="J2737" s="28" t="n">
        <x:v>1</x:v>
      </x:c>
      <x:c r="K2737" s="28" t="n">
        <x:v>3</x:v>
      </x:c>
      <x:c r="L2737" s="28" t="n">
        <x:v>0</x:v>
      </x:c>
      <x:c r="M2737" s="28" t="n">
        <x:v>3</x:v>
      </x:c>
      <x:c r="N2737" s="28" t="n">
        <x:v>1</x:v>
      </x:c>
      <x:c r="O2737" s="28" t="n">
        <x:v>0</x:v>
      </x:c>
      <x:c r="P2737" s="28" t="n">
        <x:v>3</x:v>
      </x:c>
      <x:c r="Q2737" s="24" t="n">
        <x:f>IFERROR(J2737/H2737,0)</x:f>
        <x:v>0.25</x:v>
      </x:c>
      <x:c r="R2737" s="24" t="n">
        <x:f>IFERROR(F2737/H2737,0)</x:f>
        <x:v>0.25</x:v>
      </x:c>
      <x:c r="S2737" s="24" t="n">
        <x:f>IFERROR(F2737/J2737,0)</x:f>
        <x:v>1</x:v>
      </x:c>
      <x:c r="T2737" s="28" t="n">
        <x:f>H2737-I2737</x:f>
        <x:v>-5</x:v>
      </x:c>
      <x:c r="U2737" s="24" t="n">
        <x:f>IFERROR(J2737/H2737,0)-IFERROR(K2737/I2737,0)</x:f>
        <x:v>-0.08333333333333331</x:v>
      </x:c>
      <x:c r="V2737" s="24" t="n">
        <x:f>IFERROR(F2737/J2737,0)-IFERROR(G2737/K2737,0)</x:f>
        <x:v>1</x:v>
      </x:c>
      <x:c r="W2737" s="28" t="n">
        <x:f>L2737-M2737</x:f>
        <x:v>-3</x:v>
      </x:c>
      <x:c r="X2737" s="24" t="n">
        <x:f>IFERROR(K2737/I2737,0)</x:f>
        <x:v>0.3333333333333333</x:v>
      </x:c>
      <x:c r="Y2737" s="24" t="n">
        <x:f>IFERROR(G2737/I2737,0)</x:f>
        <x:v>0</x:v>
      </x:c>
      <x:c r="Z2737" s="24" t="n">
        <x:f>IFERROR(G2737/K2737,0)</x:f>
        <x:v>0</x:v>
      </x:c>
      <x:c r="AA2737" s="24" t="n">
        <x:f>IFERROR(F2737/H2737,0)-IFERROR(G2737/I2737,0)</x:f>
        <x:v>0.25</x:v>
      </x:c>
      <x:c r="AB2737" s="28" t="n">
        <x:f>J2737-K2737</x:f>
        <x:v>-2</x:v>
      </x:c>
      <x:c r="AC2737" s="32" t="n">
        <x:f>F2737-G2737</x:f>
        <x:v>1</x:v>
      </x:c>
    </x:row>
    <x:row r="2738">
      <x:c r="A2738" s="4" t="str">
        <x:v>2024-25</x:v>
      </x:c>
      <x:c r="B2738" s="20" t="n">
        <x:v>45683</x:v>
      </x:c>
      <x:c r="C2738" s="4" t="str">
        <x:v>Tottenham</x:v>
      </x:c>
      <x:c r="D2738" s="4" t="str">
        <x:v>Leicester</x:v>
      </x:c>
      <x:c r="E2738" s="4" t="str">
        <x:v>Home</x:v>
      </x:c>
      <x:c r="F2738" s="28" t="n">
        <x:v>1</x:v>
      </x:c>
      <x:c r="G2738" s="28" t="n">
        <x:v>2</x:v>
      </x:c>
      <x:c r="H2738" s="28" t="n">
        <x:v>15</x:v>
      </x:c>
      <x:c r="I2738" s="28" t="n">
        <x:v>12</x:v>
      </x:c>
      <x:c r="J2738" s="28" t="n">
        <x:v>6</x:v>
      </x:c>
      <x:c r="K2738" s="28" t="n">
        <x:v>3</x:v>
      </x:c>
      <x:c r="L2738" s="28" t="n">
        <x:v>6</x:v>
      </x:c>
      <x:c r="M2738" s="28" t="n">
        <x:v>4</x:v>
      </x:c>
      <x:c r="N2738" s="28" t="n">
        <x:v>1</x:v>
      </x:c>
      <x:c r="O2738" s="28" t="n">
        <x:v>0</x:v>
      </x:c>
      <x:c r="P2738" s="28" t="n">
        <x:v>0</x:v>
      </x:c>
      <x:c r="Q2738" s="24" t="n">
        <x:f>IFERROR(J2738/H2738,0)</x:f>
        <x:v>0.4</x:v>
      </x:c>
      <x:c r="R2738" s="24" t="n">
        <x:f>IFERROR(F2738/H2738,0)</x:f>
        <x:v>0.06666666666666667</x:v>
      </x:c>
      <x:c r="S2738" s="24" t="n">
        <x:f>IFERROR(F2738/J2738,0)</x:f>
        <x:v>0.16666666666666666</x:v>
      </x:c>
      <x:c r="T2738" s="28" t="n">
        <x:f>H2738-I2738</x:f>
        <x:v>3</x:v>
      </x:c>
      <x:c r="U2738" s="24" t="n">
        <x:f>IFERROR(J2738/H2738,0)-IFERROR(K2738/I2738,0)</x:f>
        <x:v>0.15000000000000002</x:v>
      </x:c>
      <x:c r="V2738" s="24" t="n">
        <x:f>IFERROR(F2738/J2738,0)-IFERROR(G2738/K2738,0)</x:f>
        <x:v>-0.5</x:v>
      </x:c>
      <x:c r="W2738" s="28" t="n">
        <x:f>L2738-M2738</x:f>
        <x:v>2</x:v>
      </x:c>
      <x:c r="X2738" s="24" t="n">
        <x:f>IFERROR(K2738/I2738,0)</x:f>
        <x:v>0.25</x:v>
      </x:c>
      <x:c r="Y2738" s="24" t="n">
        <x:f>IFERROR(G2738/I2738,0)</x:f>
        <x:v>0.16666666666666666</x:v>
      </x:c>
      <x:c r="Z2738" s="24" t="n">
        <x:f>IFERROR(G2738/K2738,0)</x:f>
        <x:v>0.6666666666666666</x:v>
      </x:c>
      <x:c r="AA2738" s="24" t="n">
        <x:f>IFERROR(F2738/H2738,0)-IFERROR(G2738/I2738,0)</x:f>
        <x:v>-0.09999999999999999</x:v>
      </x:c>
      <x:c r="AB2738" s="28" t="n">
        <x:f>J2738-K2738</x:f>
        <x:v>3</x:v>
      </x:c>
      <x:c r="AC2738" s="32" t="n">
        <x:f>F2738-G2738</x:f>
        <x:v>-1</x:v>
      </x:c>
    </x:row>
    <x:row r="2739">
      <x:c r="A2739" s="4" t="str">
        <x:v>2024-25</x:v>
      </x:c>
      <x:c r="B2739" s="20" t="n">
        <x:v>45683</x:v>
      </x:c>
      <x:c r="C2739" s="4" t="str">
        <x:v>West Ham</x:v>
      </x:c>
      <x:c r="D2739" s="4" t="str">
        <x:v>Aston Villa</x:v>
      </x:c>
      <x:c r="E2739" s="4" t="str">
        <x:v>Away</x:v>
      </x:c>
      <x:c r="F2739" s="28" t="n">
        <x:v>1</x:v>
      </x:c>
      <x:c r="G2739" s="28" t="n">
        <x:v>1</x:v>
      </x:c>
      <x:c r="H2739" s="28" t="n">
        <x:v>14</x:v>
      </x:c>
      <x:c r="I2739" s="28" t="n">
        <x:v>14</x:v>
      </x:c>
      <x:c r="J2739" s="28" t="n">
        <x:v>4</x:v>
      </x:c>
      <x:c r="K2739" s="28" t="n">
        <x:v>4</x:v>
      </x:c>
      <x:c r="L2739" s="28" t="n">
        <x:v>3</x:v>
      </x:c>
      <x:c r="M2739" s="28" t="n">
        <x:v>4</x:v>
      </x:c>
      <x:c r="N2739" s="28" t="n">
        <x:v>3</x:v>
      </x:c>
      <x:c r="O2739" s="28" t="n">
        <x:v>0</x:v>
      </x:c>
      <x:c r="P2739" s="28" t="n">
        <x:v>1</x:v>
      </x:c>
      <x:c r="Q2739" s="24" t="n">
        <x:f>IFERROR(J2739/H2739,0)</x:f>
        <x:v>0.2857142857142857</x:v>
      </x:c>
      <x:c r="R2739" s="24" t="n">
        <x:f>IFERROR(F2739/H2739,0)</x:f>
        <x:v>0.07142857142857142</x:v>
      </x:c>
      <x:c r="S2739" s="24" t="n">
        <x:f>IFERROR(F2739/J2739,0)</x:f>
        <x:v>0.25</x:v>
      </x:c>
      <x:c r="T2739" s="28" t="n">
        <x:f>H2739-I2739</x:f>
        <x:v>0</x:v>
      </x:c>
      <x:c r="U2739" s="24" t="n">
        <x:f>IFERROR(J2739/H2739,0)-IFERROR(K2739/I2739,0)</x:f>
        <x:v>0</x:v>
      </x:c>
      <x:c r="V2739" s="24" t="n">
        <x:f>IFERROR(F2739/J2739,0)-IFERROR(G2739/K2739,0)</x:f>
        <x:v>0</x:v>
      </x:c>
      <x:c r="W2739" s="28" t="n">
        <x:f>L2739-M2739</x:f>
        <x:v>-1</x:v>
      </x:c>
      <x:c r="X2739" s="24" t="n">
        <x:f>IFERROR(K2739/I2739,0)</x:f>
        <x:v>0.2857142857142857</x:v>
      </x:c>
      <x:c r="Y2739" s="24" t="n">
        <x:f>IFERROR(G2739/I2739,0)</x:f>
        <x:v>0.07142857142857142</x:v>
      </x:c>
      <x:c r="Z2739" s="24" t="n">
        <x:f>IFERROR(G2739/K2739,0)</x:f>
        <x:v>0.25</x:v>
      </x:c>
      <x:c r="AA2739" s="24" t="n">
        <x:f>IFERROR(F2739/H2739,0)-IFERROR(G2739/I2739,0)</x:f>
        <x:v>0</x:v>
      </x:c>
      <x:c r="AB2739" s="28" t="n">
        <x:f>J2739-K2739</x:f>
        <x:v>0</x:v>
      </x:c>
      <x:c r="AC2739" s="32" t="n">
        <x:f>F2739-G2739</x:f>
        <x:v>0</x:v>
      </x:c>
    </x:row>
    <x:row r="2740">
      <x:c r="A2740" s="4" t="str">
        <x:v>2024-25</x:v>
      </x:c>
      <x:c r="B2740" s="20" t="n">
        <x:v>45689</x:v>
      </x:c>
      <x:c r="C2740" s="4" t="str">
        <x:v>Aston Villa</x:v>
      </x:c>
      <x:c r="D2740" s="4" t="str">
        <x:v>Wolves</x:v>
      </x:c>
      <x:c r="E2740" s="4" t="str">
        <x:v>Away</x:v>
      </x:c>
      <x:c r="F2740" s="28" t="n">
        <x:v>0</x:v>
      </x:c>
      <x:c r="G2740" s="28" t="n">
        <x:v>2</x:v>
      </x:c>
      <x:c r="H2740" s="28" t="n">
        <x:v>10</x:v>
      </x:c>
      <x:c r="I2740" s="28" t="n">
        <x:v>8</x:v>
      </x:c>
      <x:c r="J2740" s="28" t="n">
        <x:v>3</x:v>
      </x:c>
      <x:c r="K2740" s="28" t="n">
        <x:v>5</x:v>
      </x:c>
      <x:c r="L2740" s="28" t="n">
        <x:v>8</x:v>
      </x:c>
      <x:c r="M2740" s="28" t="n">
        <x:v>5</x:v>
      </x:c>
      <x:c r="N2740" s="28" t="n">
        <x:v>3</x:v>
      </x:c>
      <x:c r="O2740" s="28" t="n">
        <x:v>0</x:v>
      </x:c>
      <x:c r="P2740" s="28" t="n">
        <x:v>0</x:v>
      </x:c>
      <x:c r="Q2740" s="24" t="n">
        <x:f>IFERROR(J2740/H2740,0)</x:f>
        <x:v>0.3</x:v>
      </x:c>
      <x:c r="R2740" s="24" t="n">
        <x:f>IFERROR(F2740/H2740,0)</x:f>
        <x:v>0</x:v>
      </x:c>
      <x:c r="S2740" s="24" t="n">
        <x:f>IFERROR(F2740/J2740,0)</x:f>
        <x:v>0</x:v>
      </x:c>
      <x:c r="T2740" s="28" t="n">
        <x:f>H2740-I2740</x:f>
        <x:v>2</x:v>
      </x:c>
      <x:c r="U2740" s="24" t="n">
        <x:f>IFERROR(J2740/H2740,0)-IFERROR(K2740/I2740,0)</x:f>
        <x:v>-0.325</x:v>
      </x:c>
      <x:c r="V2740" s="24" t="n">
        <x:f>IFERROR(F2740/J2740,0)-IFERROR(G2740/K2740,0)</x:f>
        <x:v>-0.4</x:v>
      </x:c>
      <x:c r="W2740" s="28" t="n">
        <x:f>L2740-M2740</x:f>
        <x:v>3</x:v>
      </x:c>
      <x:c r="X2740" s="24" t="n">
        <x:f>IFERROR(K2740/I2740,0)</x:f>
        <x:v>0.625</x:v>
      </x:c>
      <x:c r="Y2740" s="24" t="n">
        <x:f>IFERROR(G2740/I2740,0)</x:f>
        <x:v>0.25</x:v>
      </x:c>
      <x:c r="Z2740" s="24" t="n">
        <x:f>IFERROR(G2740/K2740,0)</x:f>
        <x:v>0.4</x:v>
      </x:c>
      <x:c r="AA2740" s="24" t="n">
        <x:f>IFERROR(F2740/H2740,0)-IFERROR(G2740/I2740,0)</x:f>
        <x:v>-0.25</x:v>
      </x:c>
      <x:c r="AB2740" s="28" t="n">
        <x:f>J2740-K2740</x:f>
        <x:v>-2</x:v>
      </x:c>
      <x:c r="AC2740" s="32" t="n">
        <x:f>F2740-G2740</x:f>
        <x:v>-2</x:v>
      </x:c>
    </x:row>
    <x:row r="2741">
      <x:c r="A2741" s="4" t="str">
        <x:v>2024-25</x:v>
      </x:c>
      <x:c r="B2741" s="20" t="n">
        <x:v>45689</x:v>
      </x:c>
      <x:c r="C2741" s="4" t="str">
        <x:v>Bournemouth</x:v>
      </x:c>
      <x:c r="D2741" s="4" t="str">
        <x:v>Liverpool</x:v>
      </x:c>
      <x:c r="E2741" s="4" t="str">
        <x:v>Home</x:v>
      </x:c>
      <x:c r="F2741" s="28" t="n">
        <x:v>0</x:v>
      </x:c>
      <x:c r="G2741" s="28" t="n">
        <x:v>2</x:v>
      </x:c>
      <x:c r="H2741" s="28" t="n">
        <x:v>14</x:v>
      </x:c>
      <x:c r="I2741" s="28" t="n">
        <x:v>19</x:v>
      </x:c>
      <x:c r="J2741" s="28" t="n">
        <x:v>3</x:v>
      </x:c>
      <x:c r="K2741" s="28" t="n">
        <x:v>7</x:v>
      </x:c>
      <x:c r="L2741" s="28" t="n">
        <x:v>3</x:v>
      </x:c>
      <x:c r="M2741" s="28" t="n">
        <x:v>3</x:v>
      </x:c>
      <x:c r="N2741" s="28" t="n">
        <x:v>2</x:v>
      </x:c>
      <x:c r="O2741" s="28" t="n">
        <x:v>0</x:v>
      </x:c>
      <x:c r="P2741" s="28" t="n">
        <x:v>0</x:v>
      </x:c>
      <x:c r="Q2741" s="24" t="n">
        <x:f>IFERROR(J2741/H2741,0)</x:f>
        <x:v>0.21428571428571427</x:v>
      </x:c>
      <x:c r="R2741" s="24" t="n">
        <x:f>IFERROR(F2741/H2741,0)</x:f>
        <x:v>0</x:v>
      </x:c>
      <x:c r="S2741" s="24" t="n">
        <x:f>IFERROR(F2741/J2741,0)</x:f>
        <x:v>0</x:v>
      </x:c>
      <x:c r="T2741" s="28" t="n">
        <x:f>H2741-I2741</x:f>
        <x:v>-5</x:v>
      </x:c>
      <x:c r="U2741" s="24" t="n">
        <x:f>IFERROR(J2741/H2741,0)-IFERROR(K2741/I2741,0)</x:f>
        <x:v>-0.15413533834586465</x:v>
      </x:c>
      <x:c r="V2741" s="24" t="n">
        <x:f>IFERROR(F2741/J2741,0)-IFERROR(G2741/K2741,0)</x:f>
        <x:v>-0.2857142857142857</x:v>
      </x:c>
      <x:c r="W2741" s="28" t="n">
        <x:f>L2741-M2741</x:f>
        <x:v>0</x:v>
      </x:c>
      <x:c r="X2741" s="24" t="n">
        <x:f>IFERROR(K2741/I2741,0)</x:f>
        <x:v>0.3684210526315789</x:v>
      </x:c>
      <x:c r="Y2741" s="24" t="n">
        <x:f>IFERROR(G2741/I2741,0)</x:f>
        <x:v>0.10526315789473684</x:v>
      </x:c>
      <x:c r="Z2741" s="24" t="n">
        <x:f>IFERROR(G2741/K2741,0)</x:f>
        <x:v>0.2857142857142857</x:v>
      </x:c>
      <x:c r="AA2741" s="24" t="n">
        <x:f>IFERROR(F2741/H2741,0)-IFERROR(G2741/I2741,0)</x:f>
        <x:v>-0.10526315789473684</x:v>
      </x:c>
      <x:c r="AB2741" s="28" t="n">
        <x:f>J2741-K2741</x:f>
        <x:v>-4</x:v>
      </x:c>
      <x:c r="AC2741" s="32" t="n">
        <x:f>F2741-G2741</x:f>
        <x:v>-2</x:v>
      </x:c>
    </x:row>
    <x:row r="2742">
      <x:c r="A2742" s="4" t="str">
        <x:v>2024-25</x:v>
      </x:c>
      <x:c r="B2742" s="20" t="n">
        <x:v>45689</x:v>
      </x:c>
      <x:c r="C2742" s="4" t="str">
        <x:v>Brighton</x:v>
      </x:c>
      <x:c r="D2742" s="4" t="str">
        <x:v>Nott'm Forest</x:v>
      </x:c>
      <x:c r="E2742" s="4" t="str">
        <x:v>Away</x:v>
      </x:c>
      <x:c r="F2742" s="28" t="n">
        <x:v>0</x:v>
      </x:c>
      <x:c r="G2742" s="28" t="n">
        <x:v>7</x:v>
      </x:c>
      <x:c r="H2742" s="28" t="n">
        <x:v>10</x:v>
      </x:c>
      <x:c r="I2742" s="28" t="n">
        <x:v>14</x:v>
      </x:c>
      <x:c r="J2742" s="28" t="n">
        <x:v>5</x:v>
      </x:c>
      <x:c r="K2742" s="28" t="n">
        <x:v>9</x:v>
      </x:c>
      <x:c r="L2742" s="28" t="n">
        <x:v>6</x:v>
      </x:c>
      <x:c r="M2742" s="28" t="n">
        <x:v>4</x:v>
      </x:c>
      <x:c r="N2742" s="28" t="n">
        <x:v>3</x:v>
      </x:c>
      <x:c r="O2742" s="28" t="n">
        <x:v>0</x:v>
      </x:c>
      <x:c r="P2742" s="28" t="n">
        <x:v>0</x:v>
      </x:c>
      <x:c r="Q2742" s="24" t="n">
        <x:f>IFERROR(J2742/H2742,0)</x:f>
        <x:v>0.5</x:v>
      </x:c>
      <x:c r="R2742" s="24" t="n">
        <x:f>IFERROR(F2742/H2742,0)</x:f>
        <x:v>0</x:v>
      </x:c>
      <x:c r="S2742" s="24" t="n">
        <x:f>IFERROR(F2742/J2742,0)</x:f>
        <x:v>0</x:v>
      </x:c>
      <x:c r="T2742" s="28" t="n">
        <x:f>H2742-I2742</x:f>
        <x:v>-4</x:v>
      </x:c>
      <x:c r="U2742" s="24" t="n">
        <x:f>IFERROR(J2742/H2742,0)-IFERROR(K2742/I2742,0)</x:f>
        <x:v>-0.1428571428571429</x:v>
      </x:c>
      <x:c r="V2742" s="24" t="n">
        <x:f>IFERROR(F2742/J2742,0)-IFERROR(G2742/K2742,0)</x:f>
        <x:v>-0.7777777777777778</x:v>
      </x:c>
      <x:c r="W2742" s="28" t="n">
        <x:f>L2742-M2742</x:f>
        <x:v>2</x:v>
      </x:c>
      <x:c r="X2742" s="24" t="n">
        <x:f>IFERROR(K2742/I2742,0)</x:f>
        <x:v>0.6428571428571429</x:v>
      </x:c>
      <x:c r="Y2742" s="24" t="n">
        <x:f>IFERROR(G2742/I2742,0)</x:f>
        <x:v>0.5</x:v>
      </x:c>
      <x:c r="Z2742" s="24" t="n">
        <x:f>IFERROR(G2742/K2742,0)</x:f>
        <x:v>0.7777777777777778</x:v>
      </x:c>
      <x:c r="AA2742" s="24" t="n">
        <x:f>IFERROR(F2742/H2742,0)-IFERROR(G2742/I2742,0)</x:f>
        <x:v>-0.5</x:v>
      </x:c>
      <x:c r="AB2742" s="28" t="n">
        <x:f>J2742-K2742</x:f>
        <x:v>-4</x:v>
      </x:c>
      <x:c r="AC2742" s="32" t="n">
        <x:f>F2742-G2742</x:f>
        <x:v>-7</x:v>
      </x:c>
    </x:row>
    <x:row r="2743">
      <x:c r="A2743" s="4" t="str">
        <x:v>2024-25</x:v>
      </x:c>
      <x:c r="B2743" s="20" t="n">
        <x:v>45689</x:v>
      </x:c>
      <x:c r="C2743" s="4" t="str">
        <x:v>Everton</x:v>
      </x:c>
      <x:c r="D2743" s="4" t="str">
        <x:v>Leicester</x:v>
      </x:c>
      <x:c r="E2743" s="4" t="str">
        <x:v>Home</x:v>
      </x:c>
      <x:c r="F2743" s="28" t="n">
        <x:v>4</x:v>
      </x:c>
      <x:c r="G2743" s="28" t="n">
        <x:v>0</x:v>
      </x:c>
      <x:c r="H2743" s="28" t="n">
        <x:v>13</x:v>
      </x:c>
      <x:c r="I2743" s="28" t="n">
        <x:v>9</x:v>
      </x:c>
      <x:c r="J2743" s="28" t="n">
        <x:v>7</x:v>
      </x:c>
      <x:c r="K2743" s="28" t="n">
        <x:v>1</x:v>
      </x:c>
      <x:c r="L2743" s="28" t="n">
        <x:v>5</x:v>
      </x:c>
      <x:c r="M2743" s="28" t="n">
        <x:v>6</x:v>
      </x:c>
      <x:c r="N2743" s="28" t="n">
        <x:v>0</x:v>
      </x:c>
      <x:c r="O2743" s="28" t="n">
        <x:v>0</x:v>
      </x:c>
      <x:c r="P2743" s="28" t="n">
        <x:v>3</x:v>
      </x:c>
      <x:c r="Q2743" s="24" t="n">
        <x:f>IFERROR(J2743/H2743,0)</x:f>
        <x:v>0.5384615384615384</x:v>
      </x:c>
      <x:c r="R2743" s="24" t="n">
        <x:f>IFERROR(F2743/H2743,0)</x:f>
        <x:v>0.3076923076923077</x:v>
      </x:c>
      <x:c r="S2743" s="24" t="n">
        <x:f>IFERROR(F2743/J2743,0)</x:f>
        <x:v>0.5714285714285714</x:v>
      </x:c>
      <x:c r="T2743" s="28" t="n">
        <x:f>H2743-I2743</x:f>
        <x:v>4</x:v>
      </x:c>
      <x:c r="U2743" s="24" t="n">
        <x:f>IFERROR(J2743/H2743,0)-IFERROR(K2743/I2743,0)</x:f>
        <x:v>0.42735042735042733</x:v>
      </x:c>
      <x:c r="V2743" s="24" t="n">
        <x:f>IFERROR(F2743/J2743,0)-IFERROR(G2743/K2743,0)</x:f>
        <x:v>0.5714285714285714</x:v>
      </x:c>
      <x:c r="W2743" s="28" t="n">
        <x:f>L2743-M2743</x:f>
        <x:v>-1</x:v>
      </x:c>
      <x:c r="X2743" s="24" t="n">
        <x:f>IFERROR(K2743/I2743,0)</x:f>
        <x:v>0.1111111111111111</x:v>
      </x:c>
      <x:c r="Y2743" s="24" t="n">
        <x:f>IFERROR(G2743/I2743,0)</x:f>
        <x:v>0</x:v>
      </x:c>
      <x:c r="Z2743" s="24" t="n">
        <x:f>IFERROR(G2743/K2743,0)</x:f>
        <x:v>0</x:v>
      </x:c>
      <x:c r="AA2743" s="24" t="n">
        <x:f>IFERROR(F2743/H2743,0)-IFERROR(G2743/I2743,0)</x:f>
        <x:v>0.3076923076923077</x:v>
      </x:c>
      <x:c r="AB2743" s="28" t="n">
        <x:f>J2743-K2743</x:f>
        <x:v>6</x:v>
      </x:c>
      <x:c r="AC2743" s="32" t="n">
        <x:f>F2743-G2743</x:f>
        <x:v>4</x:v>
      </x:c>
    </x:row>
    <x:row r="2744">
      <x:c r="A2744" s="4" t="str">
        <x:v>2024-25</x:v>
      </x:c>
      <x:c r="B2744" s="20" t="n">
        <x:v>45689</x:v>
      </x:c>
      <x:c r="C2744" s="4" t="str">
        <x:v>Fulham</x:v>
      </x:c>
      <x:c r="D2744" s="4" t="str">
        <x:v>Newcastle</x:v>
      </x:c>
      <x:c r="E2744" s="4" t="str">
        <x:v>Away</x:v>
      </x:c>
      <x:c r="F2744" s="28" t="n">
        <x:v>2</x:v>
      </x:c>
      <x:c r="G2744" s="28" t="n">
        <x:v>1</x:v>
      </x:c>
      <x:c r="H2744" s="28" t="n">
        <x:v>15</x:v>
      </x:c>
      <x:c r="I2744" s="28" t="n">
        <x:v>11</x:v>
      </x:c>
      <x:c r="J2744" s="28" t="n">
        <x:v>4</x:v>
      </x:c>
      <x:c r="K2744" s="28" t="n">
        <x:v>4</x:v>
      </x:c>
      <x:c r="L2744" s="28" t="n">
        <x:v>7</x:v>
      </x:c>
      <x:c r="M2744" s="28" t="n">
        <x:v>4</x:v>
      </x:c>
      <x:c r="N2744" s="28" t="n">
        <x:v>4</x:v>
      </x:c>
      <x:c r="O2744" s="28" t="n">
        <x:v>0</x:v>
      </x:c>
      <x:c r="P2744" s="28" t="n">
        <x:v>3</x:v>
      </x:c>
      <x:c r="Q2744" s="24" t="n">
        <x:f>IFERROR(J2744/H2744,0)</x:f>
        <x:v>0.26666666666666666</x:v>
      </x:c>
      <x:c r="R2744" s="24" t="n">
        <x:f>IFERROR(F2744/H2744,0)</x:f>
        <x:v>0.13333333333333333</x:v>
      </x:c>
      <x:c r="S2744" s="24" t="n">
        <x:f>IFERROR(F2744/J2744,0)</x:f>
        <x:v>0.5</x:v>
      </x:c>
      <x:c r="T2744" s="28" t="n">
        <x:f>H2744-I2744</x:f>
        <x:v>4</x:v>
      </x:c>
      <x:c r="U2744" s="24" t="n">
        <x:f>IFERROR(J2744/H2744,0)-IFERROR(K2744/I2744,0)</x:f>
        <x:v>-0.09696969696969698</x:v>
      </x:c>
      <x:c r="V2744" s="24" t="n">
        <x:f>IFERROR(F2744/J2744,0)-IFERROR(G2744/K2744,0)</x:f>
        <x:v>0.25</x:v>
      </x:c>
      <x:c r="W2744" s="28" t="n">
        <x:f>L2744-M2744</x:f>
        <x:v>3</x:v>
      </x:c>
      <x:c r="X2744" s="24" t="n">
        <x:f>IFERROR(K2744/I2744,0)</x:f>
        <x:v>0.36363636363636365</x:v>
      </x:c>
      <x:c r="Y2744" s="24" t="n">
        <x:f>IFERROR(G2744/I2744,0)</x:f>
        <x:v>0.09090909090909091</x:v>
      </x:c>
      <x:c r="Z2744" s="24" t="n">
        <x:f>IFERROR(G2744/K2744,0)</x:f>
        <x:v>0.25</x:v>
      </x:c>
      <x:c r="AA2744" s="24" t="n">
        <x:f>IFERROR(F2744/H2744,0)-IFERROR(G2744/I2744,0)</x:f>
        <x:v>0.04242424242424242</x:v>
      </x:c>
      <x:c r="AB2744" s="28" t="n">
        <x:f>J2744-K2744</x:f>
        <x:v>0</x:v>
      </x:c>
      <x:c r="AC2744" s="32" t="n">
        <x:f>F2744-G2744</x:f>
        <x:v>1</x:v>
      </x:c>
    </x:row>
    <x:row r="2745">
      <x:c r="A2745" s="4" t="str">
        <x:v>2024-25</x:v>
      </x:c>
      <x:c r="B2745" s="20" t="n">
        <x:v>45689</x:v>
      </x:c>
      <x:c r="C2745" s="4" t="str">
        <x:v>Ipswich</x:v>
      </x:c>
      <x:c r="D2745" s="4" t="str">
        <x:v>Southampton</x:v>
      </x:c>
      <x:c r="E2745" s="4" t="str">
        <x:v>Home</x:v>
      </x:c>
      <x:c r="F2745" s="28" t="n">
        <x:v>1</x:v>
      </x:c>
      <x:c r="G2745" s="28" t="n">
        <x:v>2</x:v>
      </x:c>
      <x:c r="H2745" s="28" t="n">
        <x:v>15</x:v>
      </x:c>
      <x:c r="I2745" s="28" t="n">
        <x:v>9</x:v>
      </x:c>
      <x:c r="J2745" s="28" t="n">
        <x:v>6</x:v>
      </x:c>
      <x:c r="K2745" s="28" t="n">
        <x:v>4</x:v>
      </x:c>
      <x:c r="L2745" s="28" t="n">
        <x:v>1</x:v>
      </x:c>
      <x:c r="M2745" s="28" t="n">
        <x:v>2</x:v>
      </x:c>
      <x:c r="N2745" s="28" t="n">
        <x:v>0</x:v>
      </x:c>
      <x:c r="O2745" s="28" t="n">
        <x:v>0</x:v>
      </x:c>
      <x:c r="P2745" s="28" t="n">
        <x:v>0</x:v>
      </x:c>
      <x:c r="Q2745" s="24" t="n">
        <x:f>IFERROR(J2745/H2745,0)</x:f>
        <x:v>0.4</x:v>
      </x:c>
      <x:c r="R2745" s="24" t="n">
        <x:f>IFERROR(F2745/H2745,0)</x:f>
        <x:v>0.06666666666666667</x:v>
      </x:c>
      <x:c r="S2745" s="24" t="n">
        <x:f>IFERROR(F2745/J2745,0)</x:f>
        <x:v>0.16666666666666666</x:v>
      </x:c>
      <x:c r="T2745" s="28" t="n">
        <x:f>H2745-I2745</x:f>
        <x:v>6</x:v>
      </x:c>
      <x:c r="U2745" s="24" t="n">
        <x:f>IFERROR(J2745/H2745,0)-IFERROR(K2745/I2745,0)</x:f>
        <x:v>-0.0444444444444444</x:v>
      </x:c>
      <x:c r="V2745" s="24" t="n">
        <x:f>IFERROR(F2745/J2745,0)-IFERROR(G2745/K2745,0)</x:f>
        <x:v>-0.33333333333333337</x:v>
      </x:c>
      <x:c r="W2745" s="28" t="n">
        <x:f>L2745-M2745</x:f>
        <x:v>-1</x:v>
      </x:c>
      <x:c r="X2745" s="24" t="n">
        <x:f>IFERROR(K2745/I2745,0)</x:f>
        <x:v>0.4444444444444444</x:v>
      </x:c>
      <x:c r="Y2745" s="24" t="n">
        <x:f>IFERROR(G2745/I2745,0)</x:f>
        <x:v>0.2222222222222222</x:v>
      </x:c>
      <x:c r="Z2745" s="24" t="n">
        <x:f>IFERROR(G2745/K2745,0)</x:f>
        <x:v>0.5</x:v>
      </x:c>
      <x:c r="AA2745" s="24" t="n">
        <x:f>IFERROR(F2745/H2745,0)-IFERROR(G2745/I2745,0)</x:f>
        <x:v>-0.15555555555555556</x:v>
      </x:c>
      <x:c r="AB2745" s="28" t="n">
        <x:f>J2745-K2745</x:f>
        <x:v>2</x:v>
      </x:c>
      <x:c r="AC2745" s="32" t="n">
        <x:f>F2745-G2745</x:f>
        <x:v>-1</x:v>
      </x:c>
    </x:row>
    <x:row r="2746">
      <x:c r="A2746" s="4" t="str">
        <x:v>2024-25</x:v>
      </x:c>
      <x:c r="B2746" s="20" t="n">
        <x:v>45689</x:v>
      </x:c>
      <x:c r="C2746" s="4" t="str">
        <x:v>Leicester</x:v>
      </x:c>
      <x:c r="D2746" s="4" t="str">
        <x:v>Everton</x:v>
      </x:c>
      <x:c r="E2746" s="4" t="str">
        <x:v>Away</x:v>
      </x:c>
      <x:c r="F2746" s="28" t="n">
        <x:v>0</x:v>
      </x:c>
      <x:c r="G2746" s="28" t="n">
        <x:v>4</x:v>
      </x:c>
      <x:c r="H2746" s="28" t="n">
        <x:v>9</x:v>
      </x:c>
      <x:c r="I2746" s="28" t="n">
        <x:v>13</x:v>
      </x:c>
      <x:c r="J2746" s="28" t="n">
        <x:v>1</x:v>
      </x:c>
      <x:c r="K2746" s="28" t="n">
        <x:v>7</x:v>
      </x:c>
      <x:c r="L2746" s="28" t="n">
        <x:v>6</x:v>
      </x:c>
      <x:c r="M2746" s="28" t="n">
        <x:v>5</x:v>
      </x:c>
      <x:c r="N2746" s="28" t="n">
        <x:v>0</x:v>
      </x:c>
      <x:c r="O2746" s="28" t="n">
        <x:v>0</x:v>
      </x:c>
      <x:c r="P2746" s="28" t="n">
        <x:v>0</x:v>
      </x:c>
      <x:c r="Q2746" s="24" t="n">
        <x:f>IFERROR(J2746/H2746,0)</x:f>
        <x:v>0.1111111111111111</x:v>
      </x:c>
      <x:c r="R2746" s="24" t="n">
        <x:f>IFERROR(F2746/H2746,0)</x:f>
        <x:v>0</x:v>
      </x:c>
      <x:c r="S2746" s="24" t="n">
        <x:f>IFERROR(F2746/J2746,0)</x:f>
        <x:v>0</x:v>
      </x:c>
      <x:c r="T2746" s="28" t="n">
        <x:f>H2746-I2746</x:f>
        <x:v>-4</x:v>
      </x:c>
      <x:c r="U2746" s="24" t="n">
        <x:f>IFERROR(J2746/H2746,0)-IFERROR(K2746/I2746,0)</x:f>
        <x:v>-0.42735042735042733</x:v>
      </x:c>
      <x:c r="V2746" s="24" t="n">
        <x:f>IFERROR(F2746/J2746,0)-IFERROR(G2746/K2746,0)</x:f>
        <x:v>-0.5714285714285714</x:v>
      </x:c>
      <x:c r="W2746" s="28" t="n">
        <x:f>L2746-M2746</x:f>
        <x:v>1</x:v>
      </x:c>
      <x:c r="X2746" s="24" t="n">
        <x:f>IFERROR(K2746/I2746,0)</x:f>
        <x:v>0.5384615384615384</x:v>
      </x:c>
      <x:c r="Y2746" s="24" t="n">
        <x:f>IFERROR(G2746/I2746,0)</x:f>
        <x:v>0.3076923076923077</x:v>
      </x:c>
      <x:c r="Z2746" s="24" t="n">
        <x:f>IFERROR(G2746/K2746,0)</x:f>
        <x:v>0.5714285714285714</x:v>
      </x:c>
      <x:c r="AA2746" s="24" t="n">
        <x:f>IFERROR(F2746/H2746,0)-IFERROR(G2746/I2746,0)</x:f>
        <x:v>-0.3076923076923077</x:v>
      </x:c>
      <x:c r="AB2746" s="28" t="n">
        <x:f>J2746-K2746</x:f>
        <x:v>-6</x:v>
      </x:c>
      <x:c r="AC2746" s="32" t="n">
        <x:f>F2746-G2746</x:f>
        <x:v>-4</x:v>
      </x:c>
    </x:row>
    <x:row r="2747">
      <x:c r="A2747" s="4" t="str">
        <x:v>2024-25</x:v>
      </x:c>
      <x:c r="B2747" s="20" t="n">
        <x:v>45689</x:v>
      </x:c>
      <x:c r="C2747" s="4" t="str">
        <x:v>Liverpool</x:v>
      </x:c>
      <x:c r="D2747" s="4" t="str">
        <x:v>Bournemouth</x:v>
      </x:c>
      <x:c r="E2747" s="4" t="str">
        <x:v>Away</x:v>
      </x:c>
      <x:c r="F2747" s="28" t="n">
        <x:v>2</x:v>
      </x:c>
      <x:c r="G2747" s="28" t="n">
        <x:v>0</x:v>
      </x:c>
      <x:c r="H2747" s="28" t="n">
        <x:v>19</x:v>
      </x:c>
      <x:c r="I2747" s="28" t="n">
        <x:v>14</x:v>
      </x:c>
      <x:c r="J2747" s="28" t="n">
        <x:v>7</x:v>
      </x:c>
      <x:c r="K2747" s="28" t="n">
        <x:v>3</x:v>
      </x:c>
      <x:c r="L2747" s="28" t="n">
        <x:v>3</x:v>
      </x:c>
      <x:c r="M2747" s="28" t="n">
        <x:v>3</x:v>
      </x:c>
      <x:c r="N2747" s="28" t="n">
        <x:v>3</x:v>
      </x:c>
      <x:c r="O2747" s="28" t="n">
        <x:v>0</x:v>
      </x:c>
      <x:c r="P2747" s="28" t="n">
        <x:v>3</x:v>
      </x:c>
      <x:c r="Q2747" s="24" t="n">
        <x:f>IFERROR(J2747/H2747,0)</x:f>
        <x:v>0.3684210526315789</x:v>
      </x:c>
      <x:c r="R2747" s="24" t="n">
        <x:f>IFERROR(F2747/H2747,0)</x:f>
        <x:v>0.10526315789473684</x:v>
      </x:c>
      <x:c r="S2747" s="24" t="n">
        <x:f>IFERROR(F2747/J2747,0)</x:f>
        <x:v>0.2857142857142857</x:v>
      </x:c>
      <x:c r="T2747" s="28" t="n">
        <x:f>H2747-I2747</x:f>
        <x:v>5</x:v>
      </x:c>
      <x:c r="U2747" s="24" t="n">
        <x:f>IFERROR(J2747/H2747,0)-IFERROR(K2747/I2747,0)</x:f>
        <x:v>0.15413533834586465</x:v>
      </x:c>
      <x:c r="V2747" s="24" t="n">
        <x:f>IFERROR(F2747/J2747,0)-IFERROR(G2747/K2747,0)</x:f>
        <x:v>0.2857142857142857</x:v>
      </x:c>
      <x:c r="W2747" s="28" t="n">
        <x:f>L2747-M2747</x:f>
        <x:v>0</x:v>
      </x:c>
      <x:c r="X2747" s="24" t="n">
        <x:f>IFERROR(K2747/I2747,0)</x:f>
        <x:v>0.21428571428571427</x:v>
      </x:c>
      <x:c r="Y2747" s="24" t="n">
        <x:f>IFERROR(G2747/I2747,0)</x:f>
        <x:v>0</x:v>
      </x:c>
      <x:c r="Z2747" s="24" t="n">
        <x:f>IFERROR(G2747/K2747,0)</x:f>
        <x:v>0</x:v>
      </x:c>
      <x:c r="AA2747" s="24" t="n">
        <x:f>IFERROR(F2747/H2747,0)-IFERROR(G2747/I2747,0)</x:f>
        <x:v>0.10526315789473684</x:v>
      </x:c>
      <x:c r="AB2747" s="28" t="n">
        <x:f>J2747-K2747</x:f>
        <x:v>4</x:v>
      </x:c>
      <x:c r="AC2747" s="32" t="n">
        <x:f>F2747-G2747</x:f>
        <x:v>2</x:v>
      </x:c>
    </x:row>
    <x:row r="2748">
      <x:c r="A2748" s="4" t="str">
        <x:v>2024-25</x:v>
      </x:c>
      <x:c r="B2748" s="20" t="n">
        <x:v>45689</x:v>
      </x:c>
      <x:c r="C2748" s="4" t="str">
        <x:v>Newcastle</x:v>
      </x:c>
      <x:c r="D2748" s="4" t="str">
        <x:v>Fulham</x:v>
      </x:c>
      <x:c r="E2748" s="4" t="str">
        <x:v>Home</x:v>
      </x:c>
      <x:c r="F2748" s="28" t="n">
        <x:v>1</x:v>
      </x:c>
      <x:c r="G2748" s="28" t="n">
        <x:v>2</x:v>
      </x:c>
      <x:c r="H2748" s="28" t="n">
        <x:v>11</x:v>
      </x:c>
      <x:c r="I2748" s="28" t="n">
        <x:v>15</x:v>
      </x:c>
      <x:c r="J2748" s="28" t="n">
        <x:v>4</x:v>
      </x:c>
      <x:c r="K2748" s="28" t="n">
        <x:v>4</x:v>
      </x:c>
      <x:c r="L2748" s="28" t="n">
        <x:v>4</x:v>
      </x:c>
      <x:c r="M2748" s="28" t="n">
        <x:v>7</x:v>
      </x:c>
      <x:c r="N2748" s="28" t="n">
        <x:v>4</x:v>
      </x:c>
      <x:c r="O2748" s="28" t="n">
        <x:v>0</x:v>
      </x:c>
      <x:c r="P2748" s="28" t="n">
        <x:v>0</x:v>
      </x:c>
      <x:c r="Q2748" s="24" t="n">
        <x:f>IFERROR(J2748/H2748,0)</x:f>
        <x:v>0.36363636363636365</x:v>
      </x:c>
      <x:c r="R2748" s="24" t="n">
        <x:f>IFERROR(F2748/H2748,0)</x:f>
        <x:v>0.09090909090909091</x:v>
      </x:c>
      <x:c r="S2748" s="24" t="n">
        <x:f>IFERROR(F2748/J2748,0)</x:f>
        <x:v>0.25</x:v>
      </x:c>
      <x:c r="T2748" s="28" t="n">
        <x:f>H2748-I2748</x:f>
        <x:v>-4</x:v>
      </x:c>
      <x:c r="U2748" s="24" t="n">
        <x:f>IFERROR(J2748/H2748,0)-IFERROR(K2748/I2748,0)</x:f>
        <x:v>0.09696969696969698</x:v>
      </x:c>
      <x:c r="V2748" s="24" t="n">
        <x:f>IFERROR(F2748/J2748,0)-IFERROR(G2748/K2748,0)</x:f>
        <x:v>-0.25</x:v>
      </x:c>
      <x:c r="W2748" s="28" t="n">
        <x:f>L2748-M2748</x:f>
        <x:v>-3</x:v>
      </x:c>
      <x:c r="X2748" s="24" t="n">
        <x:f>IFERROR(K2748/I2748,0)</x:f>
        <x:v>0.26666666666666666</x:v>
      </x:c>
      <x:c r="Y2748" s="24" t="n">
        <x:f>IFERROR(G2748/I2748,0)</x:f>
        <x:v>0.13333333333333333</x:v>
      </x:c>
      <x:c r="Z2748" s="24" t="n">
        <x:f>IFERROR(G2748/K2748,0)</x:f>
        <x:v>0.5</x:v>
      </x:c>
      <x:c r="AA2748" s="24" t="n">
        <x:f>IFERROR(F2748/H2748,0)-IFERROR(G2748/I2748,0)</x:f>
        <x:v>-0.04242424242424242</x:v>
      </x:c>
      <x:c r="AB2748" s="28" t="n">
        <x:f>J2748-K2748</x:f>
        <x:v>0</x:v>
      </x:c>
      <x:c r="AC2748" s="32" t="n">
        <x:f>F2748-G2748</x:f>
        <x:v>-1</x:v>
      </x:c>
    </x:row>
    <x:row r="2749">
      <x:c r="A2749" s="4" t="str">
        <x:v>2024-25</x:v>
      </x:c>
      <x:c r="B2749" s="20" t="n">
        <x:v>45689</x:v>
      </x:c>
      <x:c r="C2749" s="4" t="str">
        <x:v>Nott'm Forest</x:v>
      </x:c>
      <x:c r="D2749" s="4" t="str">
        <x:v>Brighton</x:v>
      </x:c>
      <x:c r="E2749" s="4" t="str">
        <x:v>Home</x:v>
      </x:c>
      <x:c r="F2749" s="28" t="n">
        <x:v>7</x:v>
      </x:c>
      <x:c r="G2749" s="28" t="n">
        <x:v>0</x:v>
      </x:c>
      <x:c r="H2749" s="28" t="n">
        <x:v>14</x:v>
      </x:c>
      <x:c r="I2749" s="28" t="n">
        <x:v>10</x:v>
      </x:c>
      <x:c r="J2749" s="28" t="n">
        <x:v>9</x:v>
      </x:c>
      <x:c r="K2749" s="28" t="n">
        <x:v>5</x:v>
      </x:c>
      <x:c r="L2749" s="28" t="n">
        <x:v>4</x:v>
      </x:c>
      <x:c r="M2749" s="28" t="n">
        <x:v>6</x:v>
      </x:c>
      <x:c r="N2749" s="28" t="n">
        <x:v>1</x:v>
      </x:c>
      <x:c r="O2749" s="28" t="n">
        <x:v>0</x:v>
      </x:c>
      <x:c r="P2749" s="28" t="n">
        <x:v>3</x:v>
      </x:c>
      <x:c r="Q2749" s="24" t="n">
        <x:f>IFERROR(J2749/H2749,0)</x:f>
        <x:v>0.6428571428571429</x:v>
      </x:c>
      <x:c r="R2749" s="24" t="n">
        <x:f>IFERROR(F2749/H2749,0)</x:f>
        <x:v>0.5</x:v>
      </x:c>
      <x:c r="S2749" s="24" t="n">
        <x:f>IFERROR(F2749/J2749,0)</x:f>
        <x:v>0.7777777777777778</x:v>
      </x:c>
      <x:c r="T2749" s="28" t="n">
        <x:f>H2749-I2749</x:f>
        <x:v>4</x:v>
      </x:c>
      <x:c r="U2749" s="24" t="n">
        <x:f>IFERROR(J2749/H2749,0)-IFERROR(K2749/I2749,0)</x:f>
        <x:v>0.1428571428571429</x:v>
      </x:c>
      <x:c r="V2749" s="24" t="n">
        <x:f>IFERROR(F2749/J2749,0)-IFERROR(G2749/K2749,0)</x:f>
        <x:v>0.7777777777777778</x:v>
      </x:c>
      <x:c r="W2749" s="28" t="n">
        <x:f>L2749-M2749</x:f>
        <x:v>-2</x:v>
      </x:c>
      <x:c r="X2749" s="24" t="n">
        <x:f>IFERROR(K2749/I2749,0)</x:f>
        <x:v>0.5</x:v>
      </x:c>
      <x:c r="Y2749" s="24" t="n">
        <x:f>IFERROR(G2749/I2749,0)</x:f>
        <x:v>0</x:v>
      </x:c>
      <x:c r="Z2749" s="24" t="n">
        <x:f>IFERROR(G2749/K2749,0)</x:f>
        <x:v>0</x:v>
      </x:c>
      <x:c r="AA2749" s="24" t="n">
        <x:f>IFERROR(F2749/H2749,0)-IFERROR(G2749/I2749,0)</x:f>
        <x:v>0.5</x:v>
      </x:c>
      <x:c r="AB2749" s="28" t="n">
        <x:f>J2749-K2749</x:f>
        <x:v>4</x:v>
      </x:c>
      <x:c r="AC2749" s="32" t="n">
        <x:f>F2749-G2749</x:f>
        <x:v>7</x:v>
      </x:c>
    </x:row>
    <x:row r="2750">
      <x:c r="A2750" s="4" t="str">
        <x:v>2024-25</x:v>
      </x:c>
      <x:c r="B2750" s="20" t="n">
        <x:v>45689</x:v>
      </x:c>
      <x:c r="C2750" s="4" t="str">
        <x:v>Southampton</x:v>
      </x:c>
      <x:c r="D2750" s="4" t="str">
        <x:v>Ipswich</x:v>
      </x:c>
      <x:c r="E2750" s="4" t="str">
        <x:v>Away</x:v>
      </x:c>
      <x:c r="F2750" s="28" t="n">
        <x:v>2</x:v>
      </x:c>
      <x:c r="G2750" s="28" t="n">
        <x:v>1</x:v>
      </x:c>
      <x:c r="H2750" s="28" t="n">
        <x:v>9</x:v>
      </x:c>
      <x:c r="I2750" s="28" t="n">
        <x:v>15</x:v>
      </x:c>
      <x:c r="J2750" s="28" t="n">
        <x:v>4</x:v>
      </x:c>
      <x:c r="K2750" s="28" t="n">
        <x:v>6</x:v>
      </x:c>
      <x:c r="L2750" s="28" t="n">
        <x:v>2</x:v>
      </x:c>
      <x:c r="M2750" s="28" t="n">
        <x:v>1</x:v>
      </x:c>
      <x:c r="N2750" s="28" t="n">
        <x:v>3</x:v>
      </x:c>
      <x:c r="O2750" s="28" t="n">
        <x:v>0</x:v>
      </x:c>
      <x:c r="P2750" s="28" t="n">
        <x:v>3</x:v>
      </x:c>
      <x:c r="Q2750" s="24" t="n">
        <x:f>IFERROR(J2750/H2750,0)</x:f>
        <x:v>0.4444444444444444</x:v>
      </x:c>
      <x:c r="R2750" s="24" t="n">
        <x:f>IFERROR(F2750/H2750,0)</x:f>
        <x:v>0.2222222222222222</x:v>
      </x:c>
      <x:c r="S2750" s="24" t="n">
        <x:f>IFERROR(F2750/J2750,0)</x:f>
        <x:v>0.5</x:v>
      </x:c>
      <x:c r="T2750" s="28" t="n">
        <x:f>H2750-I2750</x:f>
        <x:v>-6</x:v>
      </x:c>
      <x:c r="U2750" s="24" t="n">
        <x:f>IFERROR(J2750/H2750,0)-IFERROR(K2750/I2750,0)</x:f>
        <x:v>0.0444444444444444</x:v>
      </x:c>
      <x:c r="V2750" s="24" t="n">
        <x:f>IFERROR(F2750/J2750,0)-IFERROR(G2750/K2750,0)</x:f>
        <x:v>0.33333333333333337</x:v>
      </x:c>
      <x:c r="W2750" s="28" t="n">
        <x:f>L2750-M2750</x:f>
        <x:v>1</x:v>
      </x:c>
      <x:c r="X2750" s="24" t="n">
        <x:f>IFERROR(K2750/I2750,0)</x:f>
        <x:v>0.4</x:v>
      </x:c>
      <x:c r="Y2750" s="24" t="n">
        <x:f>IFERROR(G2750/I2750,0)</x:f>
        <x:v>0.06666666666666667</x:v>
      </x:c>
      <x:c r="Z2750" s="24" t="n">
        <x:f>IFERROR(G2750/K2750,0)</x:f>
        <x:v>0.16666666666666666</x:v>
      </x:c>
      <x:c r="AA2750" s="24" t="n">
        <x:f>IFERROR(F2750/H2750,0)-IFERROR(G2750/I2750,0)</x:f>
        <x:v>0.15555555555555556</x:v>
      </x:c>
      <x:c r="AB2750" s="28" t="n">
        <x:f>J2750-K2750</x:f>
        <x:v>-2</x:v>
      </x:c>
      <x:c r="AC2750" s="32" t="n">
        <x:f>F2750-G2750</x:f>
        <x:v>1</x:v>
      </x:c>
    </x:row>
    <x:row r="2751">
      <x:c r="A2751" s="4" t="str">
        <x:v>2024-25</x:v>
      </x:c>
      <x:c r="B2751" s="20" t="n">
        <x:v>45689</x:v>
      </x:c>
      <x:c r="C2751" s="4" t="str">
        <x:v>Wolves</x:v>
      </x:c>
      <x:c r="D2751" s="4" t="str">
        <x:v>Aston Villa</x:v>
      </x:c>
      <x:c r="E2751" s="4" t="str">
        <x:v>Home</x:v>
      </x:c>
      <x:c r="F2751" s="28" t="n">
        <x:v>2</x:v>
      </x:c>
      <x:c r="G2751" s="28" t="n">
        <x:v>0</x:v>
      </x:c>
      <x:c r="H2751" s="28" t="n">
        <x:v>8</x:v>
      </x:c>
      <x:c r="I2751" s="28" t="n">
        <x:v>10</x:v>
      </x:c>
      <x:c r="J2751" s="28" t="n">
        <x:v>5</x:v>
      </x:c>
      <x:c r="K2751" s="28" t="n">
        <x:v>3</x:v>
      </x:c>
      <x:c r="L2751" s="28" t="n">
        <x:v>5</x:v>
      </x:c>
      <x:c r="M2751" s="28" t="n">
        <x:v>8</x:v>
      </x:c>
      <x:c r="N2751" s="28" t="n">
        <x:v>2</x:v>
      </x:c>
      <x:c r="O2751" s="28" t="n">
        <x:v>0</x:v>
      </x:c>
      <x:c r="P2751" s="28" t="n">
        <x:v>3</x:v>
      </x:c>
      <x:c r="Q2751" s="24" t="n">
        <x:f>IFERROR(J2751/H2751,0)</x:f>
        <x:v>0.625</x:v>
      </x:c>
      <x:c r="R2751" s="24" t="n">
        <x:f>IFERROR(F2751/H2751,0)</x:f>
        <x:v>0.25</x:v>
      </x:c>
      <x:c r="S2751" s="24" t="n">
        <x:f>IFERROR(F2751/J2751,0)</x:f>
        <x:v>0.4</x:v>
      </x:c>
      <x:c r="T2751" s="28" t="n">
        <x:f>H2751-I2751</x:f>
        <x:v>-2</x:v>
      </x:c>
      <x:c r="U2751" s="24" t="n">
        <x:f>IFERROR(J2751/H2751,0)-IFERROR(K2751/I2751,0)</x:f>
        <x:v>0.325</x:v>
      </x:c>
      <x:c r="V2751" s="24" t="n">
        <x:f>IFERROR(F2751/J2751,0)-IFERROR(G2751/K2751,0)</x:f>
        <x:v>0.4</x:v>
      </x:c>
      <x:c r="W2751" s="28" t="n">
        <x:f>L2751-M2751</x:f>
        <x:v>-3</x:v>
      </x:c>
      <x:c r="X2751" s="24" t="n">
        <x:f>IFERROR(K2751/I2751,0)</x:f>
        <x:v>0.3</x:v>
      </x:c>
      <x:c r="Y2751" s="24" t="n">
        <x:f>IFERROR(G2751/I2751,0)</x:f>
        <x:v>0</x:v>
      </x:c>
      <x:c r="Z2751" s="24" t="n">
        <x:f>IFERROR(G2751/K2751,0)</x:f>
        <x:v>0</x:v>
      </x:c>
      <x:c r="AA2751" s="24" t="n">
        <x:f>IFERROR(F2751/H2751,0)-IFERROR(G2751/I2751,0)</x:f>
        <x:v>0.25</x:v>
      </x:c>
      <x:c r="AB2751" s="28" t="n">
        <x:f>J2751-K2751</x:f>
        <x:v>2</x:v>
      </x:c>
      <x:c r="AC2751" s="32" t="n">
        <x:f>F2751-G2751</x:f>
        <x:v>2</x:v>
      </x:c>
    </x:row>
    <x:row r="2752">
      <x:c r="A2752" s="4" t="str">
        <x:v>2024-25</x:v>
      </x:c>
      <x:c r="B2752" s="20" t="n">
        <x:v>45690</x:v>
      </x:c>
      <x:c r="C2752" s="4" t="str">
        <x:v>Arsenal</x:v>
      </x:c>
      <x:c r="D2752" s="4" t="str">
        <x:v>Man City</x:v>
      </x:c>
      <x:c r="E2752" s="4" t="str">
        <x:v>Home</x:v>
      </x:c>
      <x:c r="F2752" s="28" t="n">
        <x:v>5</x:v>
      </x:c>
      <x:c r="G2752" s="28" t="n">
        <x:v>1</x:v>
      </x:c>
      <x:c r="H2752" s="28" t="n">
        <x:v>12</x:v>
      </x:c>
      <x:c r="I2752" s="28" t="n">
        <x:v>7</x:v>
      </x:c>
      <x:c r="J2752" s="28" t="n">
        <x:v>7</x:v>
      </x:c>
      <x:c r="K2752" s="28" t="n">
        <x:v>4</x:v>
      </x:c>
      <x:c r="L2752" s="28" t="n">
        <x:v>5</x:v>
      </x:c>
      <x:c r="M2752" s="28" t="n">
        <x:v>2</x:v>
      </x:c>
      <x:c r="N2752" s="28" t="n">
        <x:v>2</x:v>
      </x:c>
      <x:c r="O2752" s="28" t="n">
        <x:v>0</x:v>
      </x:c>
      <x:c r="P2752" s="28" t="n">
        <x:v>3</x:v>
      </x:c>
      <x:c r="Q2752" s="24" t="n">
        <x:f>IFERROR(J2752/H2752,0)</x:f>
        <x:v>0.5833333333333334</x:v>
      </x:c>
      <x:c r="R2752" s="24" t="n">
        <x:f>IFERROR(F2752/H2752,0)</x:f>
        <x:v>0.4166666666666667</x:v>
      </x:c>
      <x:c r="S2752" s="24" t="n">
        <x:f>IFERROR(F2752/J2752,0)</x:f>
        <x:v>0.7142857142857143</x:v>
      </x:c>
      <x:c r="T2752" s="28" t="n">
        <x:f>H2752-I2752</x:f>
        <x:v>5</x:v>
      </x:c>
      <x:c r="U2752" s="24" t="n">
        <x:f>IFERROR(J2752/H2752,0)-IFERROR(K2752/I2752,0)</x:f>
        <x:v>0.011904761904761973</x:v>
      </x:c>
      <x:c r="V2752" s="24" t="n">
        <x:f>IFERROR(F2752/J2752,0)-IFERROR(G2752/K2752,0)</x:f>
        <x:v>0.4642857142857143</x:v>
      </x:c>
      <x:c r="W2752" s="28" t="n">
        <x:f>L2752-M2752</x:f>
        <x:v>3</x:v>
      </x:c>
      <x:c r="X2752" s="24" t="n">
        <x:f>IFERROR(K2752/I2752,0)</x:f>
        <x:v>0.5714285714285714</x:v>
      </x:c>
      <x:c r="Y2752" s="24" t="n">
        <x:f>IFERROR(G2752/I2752,0)</x:f>
        <x:v>0.14285714285714285</x:v>
      </x:c>
      <x:c r="Z2752" s="24" t="n">
        <x:f>IFERROR(G2752/K2752,0)</x:f>
        <x:v>0.25</x:v>
      </x:c>
      <x:c r="AA2752" s="24" t="n">
        <x:f>IFERROR(F2752/H2752,0)-IFERROR(G2752/I2752,0)</x:f>
        <x:v>0.27380952380952384</x:v>
      </x:c>
      <x:c r="AB2752" s="28" t="n">
        <x:f>J2752-K2752</x:f>
        <x:v>3</x:v>
      </x:c>
      <x:c r="AC2752" s="32" t="n">
        <x:f>F2752-G2752</x:f>
        <x:v>4</x:v>
      </x:c>
    </x:row>
    <x:row r="2753">
      <x:c r="A2753" s="4" t="str">
        <x:v>2024-25</x:v>
      </x:c>
      <x:c r="B2753" s="20" t="n">
        <x:v>45690</x:v>
      </x:c>
      <x:c r="C2753" s="4" t="str">
        <x:v>Brentford</x:v>
      </x:c>
      <x:c r="D2753" s="4" t="str">
        <x:v>Tottenham</x:v>
      </x:c>
      <x:c r="E2753" s="4" t="str">
        <x:v>Home</x:v>
      </x:c>
      <x:c r="F2753" s="28" t="n">
        <x:v>0</x:v>
      </x:c>
      <x:c r="G2753" s="28" t="n">
        <x:v>2</x:v>
      </x:c>
      <x:c r="H2753" s="28" t="n">
        <x:v>20</x:v>
      </x:c>
      <x:c r="I2753" s="28" t="n">
        <x:v>13</x:v>
      </x:c>
      <x:c r="J2753" s="28" t="n">
        <x:v>4</x:v>
      </x:c>
      <x:c r="K2753" s="28" t="n">
        <x:v>2</x:v>
      </x:c>
      <x:c r="L2753" s="28" t="n">
        <x:v>10</x:v>
      </x:c>
      <x:c r="M2753" s="28" t="n">
        <x:v>3</x:v>
      </x:c>
      <x:c r="N2753" s="28" t="n">
        <x:v>0</x:v>
      </x:c>
      <x:c r="O2753" s="28" t="n">
        <x:v>0</x:v>
      </x:c>
      <x:c r="P2753" s="28" t="n">
        <x:v>0</x:v>
      </x:c>
      <x:c r="Q2753" s="24" t="n">
        <x:f>IFERROR(J2753/H2753,0)</x:f>
        <x:v>0.2</x:v>
      </x:c>
      <x:c r="R2753" s="24" t="n">
        <x:f>IFERROR(F2753/H2753,0)</x:f>
        <x:v>0</x:v>
      </x:c>
      <x:c r="S2753" s="24" t="n">
        <x:f>IFERROR(F2753/J2753,0)</x:f>
        <x:v>0</x:v>
      </x:c>
      <x:c r="T2753" s="28" t="n">
        <x:f>H2753-I2753</x:f>
        <x:v>7</x:v>
      </x:c>
      <x:c r="U2753" s="24" t="n">
        <x:f>IFERROR(J2753/H2753,0)-IFERROR(K2753/I2753,0)</x:f>
        <x:v>0.046153846153846156</x:v>
      </x:c>
      <x:c r="V2753" s="24" t="n">
        <x:f>IFERROR(F2753/J2753,0)-IFERROR(G2753/K2753,0)</x:f>
        <x:v>-1</x:v>
      </x:c>
      <x:c r="W2753" s="28" t="n">
        <x:f>L2753-M2753</x:f>
        <x:v>7</x:v>
      </x:c>
      <x:c r="X2753" s="24" t="n">
        <x:f>IFERROR(K2753/I2753,0)</x:f>
        <x:v>0.15384615384615385</x:v>
      </x:c>
      <x:c r="Y2753" s="24" t="n">
        <x:f>IFERROR(G2753/I2753,0)</x:f>
        <x:v>0.15384615384615385</x:v>
      </x:c>
      <x:c r="Z2753" s="24" t="n">
        <x:f>IFERROR(G2753/K2753,0)</x:f>
        <x:v>1</x:v>
      </x:c>
      <x:c r="AA2753" s="24" t="n">
        <x:f>IFERROR(F2753/H2753,0)-IFERROR(G2753/I2753,0)</x:f>
        <x:v>-0.15384615384615385</x:v>
      </x:c>
      <x:c r="AB2753" s="28" t="n">
        <x:f>J2753-K2753</x:f>
        <x:v>2</x:v>
      </x:c>
      <x:c r="AC2753" s="32" t="n">
        <x:f>F2753-G2753</x:f>
        <x:v>-2</x:v>
      </x:c>
    </x:row>
    <x:row r="2754">
      <x:c r="A2754" s="4" t="str">
        <x:v>2024-25</x:v>
      </x:c>
      <x:c r="B2754" s="20" t="n">
        <x:v>45690</x:v>
      </x:c>
      <x:c r="C2754" s="4" t="str">
        <x:v>Crystal Palace</x:v>
      </x:c>
      <x:c r="D2754" s="4" t="str">
        <x:v>Man United</x:v>
      </x:c>
      <x:c r="E2754" s="4" t="str">
        <x:v>Away</x:v>
      </x:c>
      <x:c r="F2754" s="28" t="n">
        <x:v>2</x:v>
      </x:c>
      <x:c r="G2754" s="28" t="n">
        <x:v>0</x:v>
      </x:c>
      <x:c r="H2754" s="28" t="n">
        <x:v>11</x:v>
      </x:c>
      <x:c r="I2754" s="28" t="n">
        <x:v>17</x:v>
      </x:c>
      <x:c r="J2754" s="28" t="n">
        <x:v>3</x:v>
      </x:c>
      <x:c r="K2754" s="28" t="n">
        <x:v>2</x:v>
      </x:c>
      <x:c r="L2754" s="28" t="n">
        <x:v>0</x:v>
      </x:c>
      <x:c r="M2754" s="28" t="n">
        <x:v>11</x:v>
      </x:c>
      <x:c r="N2754" s="28" t="n">
        <x:v>1</x:v>
      </x:c>
      <x:c r="O2754" s="28" t="n">
        <x:v>0</x:v>
      </x:c>
      <x:c r="P2754" s="28" t="n">
        <x:v>3</x:v>
      </x:c>
      <x:c r="Q2754" s="24" t="n">
        <x:f>IFERROR(J2754/H2754,0)</x:f>
        <x:v>0.2727272727272727</x:v>
      </x:c>
      <x:c r="R2754" s="24" t="n">
        <x:f>IFERROR(F2754/H2754,0)</x:f>
        <x:v>0.18181818181818182</x:v>
      </x:c>
      <x:c r="S2754" s="24" t="n">
        <x:f>IFERROR(F2754/J2754,0)</x:f>
        <x:v>0.6666666666666666</x:v>
      </x:c>
      <x:c r="T2754" s="28" t="n">
        <x:f>H2754-I2754</x:f>
        <x:v>-6</x:v>
      </x:c>
      <x:c r="U2754" s="24" t="n">
        <x:f>IFERROR(J2754/H2754,0)-IFERROR(K2754/I2754,0)</x:f>
        <x:v>0.1550802139037433</x:v>
      </x:c>
      <x:c r="V2754" s="24" t="n">
        <x:f>IFERROR(F2754/J2754,0)-IFERROR(G2754/K2754,0)</x:f>
        <x:v>0.6666666666666666</x:v>
      </x:c>
      <x:c r="W2754" s="28" t="n">
        <x:f>L2754-M2754</x:f>
        <x:v>-11</x:v>
      </x:c>
      <x:c r="X2754" s="24" t="n">
        <x:f>IFERROR(K2754/I2754,0)</x:f>
        <x:v>0.11764705882352941</x:v>
      </x:c>
      <x:c r="Y2754" s="24" t="n">
        <x:f>IFERROR(G2754/I2754,0)</x:f>
        <x:v>0</x:v>
      </x:c>
      <x:c r="Z2754" s="24" t="n">
        <x:f>IFERROR(G2754/K2754,0)</x:f>
        <x:v>0</x:v>
      </x:c>
      <x:c r="AA2754" s="24" t="n">
        <x:f>IFERROR(F2754/H2754,0)-IFERROR(G2754/I2754,0)</x:f>
        <x:v>0.18181818181818182</x:v>
      </x:c>
      <x:c r="AB2754" s="28" t="n">
        <x:f>J2754-K2754</x:f>
        <x:v>1</x:v>
      </x:c>
      <x:c r="AC2754" s="32" t="n">
        <x:f>F2754-G2754</x:f>
        <x:v>2</x:v>
      </x:c>
    </x:row>
    <x:row r="2755">
      <x:c r="A2755" s="4" t="str">
        <x:v>2024-25</x:v>
      </x:c>
      <x:c r="B2755" s="20" t="n">
        <x:v>45690</x:v>
      </x:c>
      <x:c r="C2755" s="4" t="str">
        <x:v>Man City</x:v>
      </x:c>
      <x:c r="D2755" s="4" t="str">
        <x:v>Arsenal</x:v>
      </x:c>
      <x:c r="E2755" s="4" t="str">
        <x:v>Away</x:v>
      </x:c>
      <x:c r="F2755" s="28" t="n">
        <x:v>1</x:v>
      </x:c>
      <x:c r="G2755" s="28" t="n">
        <x:v>5</x:v>
      </x:c>
      <x:c r="H2755" s="28" t="n">
        <x:v>7</x:v>
      </x:c>
      <x:c r="I2755" s="28" t="n">
        <x:v>12</x:v>
      </x:c>
      <x:c r="J2755" s="28" t="n">
        <x:v>4</x:v>
      </x:c>
      <x:c r="K2755" s="28" t="n">
        <x:v>7</x:v>
      </x:c>
      <x:c r="L2755" s="28" t="n">
        <x:v>2</x:v>
      </x:c>
      <x:c r="M2755" s="28" t="n">
        <x:v>5</x:v>
      </x:c>
      <x:c r="N2755" s="28" t="n">
        <x:v>0</x:v>
      </x:c>
      <x:c r="O2755" s="28" t="n">
        <x:v>0</x:v>
      </x:c>
      <x:c r="P2755" s="28" t="n">
        <x:v>0</x:v>
      </x:c>
      <x:c r="Q2755" s="24" t="n">
        <x:f>IFERROR(J2755/H2755,0)</x:f>
        <x:v>0.5714285714285714</x:v>
      </x:c>
      <x:c r="R2755" s="24" t="n">
        <x:f>IFERROR(F2755/H2755,0)</x:f>
        <x:v>0.14285714285714285</x:v>
      </x:c>
      <x:c r="S2755" s="24" t="n">
        <x:f>IFERROR(F2755/J2755,0)</x:f>
        <x:v>0.25</x:v>
      </x:c>
      <x:c r="T2755" s="28" t="n">
        <x:f>H2755-I2755</x:f>
        <x:v>-5</x:v>
      </x:c>
      <x:c r="U2755" s="24" t="n">
        <x:f>IFERROR(J2755/H2755,0)-IFERROR(K2755/I2755,0)</x:f>
        <x:v>-0.011904761904761973</x:v>
      </x:c>
      <x:c r="V2755" s="24" t="n">
        <x:f>IFERROR(F2755/J2755,0)-IFERROR(G2755/K2755,0)</x:f>
        <x:v>-0.4642857142857143</x:v>
      </x:c>
      <x:c r="W2755" s="28" t="n">
        <x:f>L2755-M2755</x:f>
        <x:v>-3</x:v>
      </x:c>
      <x:c r="X2755" s="24" t="n">
        <x:f>IFERROR(K2755/I2755,0)</x:f>
        <x:v>0.5833333333333334</x:v>
      </x:c>
      <x:c r="Y2755" s="24" t="n">
        <x:f>IFERROR(G2755/I2755,0)</x:f>
        <x:v>0.4166666666666667</x:v>
      </x:c>
      <x:c r="Z2755" s="24" t="n">
        <x:f>IFERROR(G2755/K2755,0)</x:f>
        <x:v>0.7142857142857143</x:v>
      </x:c>
      <x:c r="AA2755" s="24" t="n">
        <x:f>IFERROR(F2755/H2755,0)-IFERROR(G2755/I2755,0)</x:f>
        <x:v>-0.27380952380952384</x:v>
      </x:c>
      <x:c r="AB2755" s="28" t="n">
        <x:f>J2755-K2755</x:f>
        <x:v>-3</x:v>
      </x:c>
      <x:c r="AC2755" s="32" t="n">
        <x:f>F2755-G2755</x:f>
        <x:v>-4</x:v>
      </x:c>
    </x:row>
    <x:row r="2756">
      <x:c r="A2756" s="4" t="str">
        <x:v>2024-25</x:v>
      </x:c>
      <x:c r="B2756" s="20" t="n">
        <x:v>45690</x:v>
      </x:c>
      <x:c r="C2756" s="4" t="str">
        <x:v>Man United</x:v>
      </x:c>
      <x:c r="D2756" s="4" t="str">
        <x:v>Crystal Palace</x:v>
      </x:c>
      <x:c r="E2756" s="4" t="str">
        <x:v>Home</x:v>
      </x:c>
      <x:c r="F2756" s="28" t="n">
        <x:v>0</x:v>
      </x:c>
      <x:c r="G2756" s="28" t="n">
        <x:v>2</x:v>
      </x:c>
      <x:c r="H2756" s="28" t="n">
        <x:v>17</x:v>
      </x:c>
      <x:c r="I2756" s="28" t="n">
        <x:v>11</x:v>
      </x:c>
      <x:c r="J2756" s="28" t="n">
        <x:v>2</x:v>
      </x:c>
      <x:c r="K2756" s="28" t="n">
        <x:v>3</x:v>
      </x:c>
      <x:c r="L2756" s="28" t="n">
        <x:v>11</x:v>
      </x:c>
      <x:c r="M2756" s="28" t="n">
        <x:v>0</x:v>
      </x:c>
      <x:c r="N2756" s="28" t="n">
        <x:v>3</x:v>
      </x:c>
      <x:c r="O2756" s="28" t="n">
        <x:v>0</x:v>
      </x:c>
      <x:c r="P2756" s="28" t="n">
        <x:v>0</x:v>
      </x:c>
      <x:c r="Q2756" s="24" t="n">
        <x:f>IFERROR(J2756/H2756,0)</x:f>
        <x:v>0.11764705882352941</x:v>
      </x:c>
      <x:c r="R2756" s="24" t="n">
        <x:f>IFERROR(F2756/H2756,0)</x:f>
        <x:v>0</x:v>
      </x:c>
      <x:c r="S2756" s="24" t="n">
        <x:f>IFERROR(F2756/J2756,0)</x:f>
        <x:v>0</x:v>
      </x:c>
      <x:c r="T2756" s="28" t="n">
        <x:f>H2756-I2756</x:f>
        <x:v>6</x:v>
      </x:c>
      <x:c r="U2756" s="24" t="n">
        <x:f>IFERROR(J2756/H2756,0)-IFERROR(K2756/I2756,0)</x:f>
        <x:v>-0.1550802139037433</x:v>
      </x:c>
      <x:c r="V2756" s="24" t="n">
        <x:f>IFERROR(F2756/J2756,0)-IFERROR(G2756/K2756,0)</x:f>
        <x:v>-0.6666666666666666</x:v>
      </x:c>
      <x:c r="W2756" s="28" t="n">
        <x:f>L2756-M2756</x:f>
        <x:v>11</x:v>
      </x:c>
      <x:c r="X2756" s="24" t="n">
        <x:f>IFERROR(K2756/I2756,0)</x:f>
        <x:v>0.2727272727272727</x:v>
      </x:c>
      <x:c r="Y2756" s="24" t="n">
        <x:f>IFERROR(G2756/I2756,0)</x:f>
        <x:v>0.18181818181818182</x:v>
      </x:c>
      <x:c r="Z2756" s="24" t="n">
        <x:f>IFERROR(G2756/K2756,0)</x:f>
        <x:v>0.6666666666666666</x:v>
      </x:c>
      <x:c r="AA2756" s="24" t="n">
        <x:f>IFERROR(F2756/H2756,0)-IFERROR(G2756/I2756,0)</x:f>
        <x:v>-0.18181818181818182</x:v>
      </x:c>
      <x:c r="AB2756" s="28" t="n">
        <x:f>J2756-K2756</x:f>
        <x:v>-1</x:v>
      </x:c>
      <x:c r="AC2756" s="32" t="n">
        <x:f>F2756-G2756</x:f>
        <x:v>-2</x:v>
      </x:c>
    </x:row>
    <x:row r="2757">
      <x:c r="A2757" s="4" t="str">
        <x:v>2024-25</x:v>
      </x:c>
      <x:c r="B2757" s="20" t="n">
        <x:v>45690</x:v>
      </x:c>
      <x:c r="C2757" s="4" t="str">
        <x:v>Tottenham</x:v>
      </x:c>
      <x:c r="D2757" s="4" t="str">
        <x:v>Brentford</x:v>
      </x:c>
      <x:c r="E2757" s="4" t="str">
        <x:v>Away</x:v>
      </x:c>
      <x:c r="F2757" s="28" t="n">
        <x:v>2</x:v>
      </x:c>
      <x:c r="G2757" s="28" t="n">
        <x:v>0</x:v>
      </x:c>
      <x:c r="H2757" s="28" t="n">
        <x:v>13</x:v>
      </x:c>
      <x:c r="I2757" s="28" t="n">
        <x:v>20</x:v>
      </x:c>
      <x:c r="J2757" s="28" t="n">
        <x:v>2</x:v>
      </x:c>
      <x:c r="K2757" s="28" t="n">
        <x:v>4</x:v>
      </x:c>
      <x:c r="L2757" s="28" t="n">
        <x:v>3</x:v>
      </x:c>
      <x:c r="M2757" s="28" t="n">
        <x:v>10</x:v>
      </x:c>
      <x:c r="N2757" s="28" t="n">
        <x:v>1</x:v>
      </x:c>
      <x:c r="O2757" s="28" t="n">
        <x:v>0</x:v>
      </x:c>
      <x:c r="P2757" s="28" t="n">
        <x:v>3</x:v>
      </x:c>
      <x:c r="Q2757" s="24" t="n">
        <x:f>IFERROR(J2757/H2757,0)</x:f>
        <x:v>0.15384615384615385</x:v>
      </x:c>
      <x:c r="R2757" s="24" t="n">
        <x:f>IFERROR(F2757/H2757,0)</x:f>
        <x:v>0.15384615384615385</x:v>
      </x:c>
      <x:c r="S2757" s="24" t="n">
        <x:f>IFERROR(F2757/J2757,0)</x:f>
        <x:v>1</x:v>
      </x:c>
      <x:c r="T2757" s="28" t="n">
        <x:f>H2757-I2757</x:f>
        <x:v>-7</x:v>
      </x:c>
      <x:c r="U2757" s="24" t="n">
        <x:f>IFERROR(J2757/H2757,0)-IFERROR(K2757/I2757,0)</x:f>
        <x:v>-0.046153846153846156</x:v>
      </x:c>
      <x:c r="V2757" s="24" t="n">
        <x:f>IFERROR(F2757/J2757,0)-IFERROR(G2757/K2757,0)</x:f>
        <x:v>1</x:v>
      </x:c>
      <x:c r="W2757" s="28" t="n">
        <x:f>L2757-M2757</x:f>
        <x:v>-7</x:v>
      </x:c>
      <x:c r="X2757" s="24" t="n">
        <x:f>IFERROR(K2757/I2757,0)</x:f>
        <x:v>0.2</x:v>
      </x:c>
      <x:c r="Y2757" s="24" t="n">
        <x:f>IFERROR(G2757/I2757,0)</x:f>
        <x:v>0</x:v>
      </x:c>
      <x:c r="Z2757" s="24" t="n">
        <x:f>IFERROR(G2757/K2757,0)</x:f>
        <x:v>0</x:v>
      </x:c>
      <x:c r="AA2757" s="24" t="n">
        <x:f>IFERROR(F2757/H2757,0)-IFERROR(G2757/I2757,0)</x:f>
        <x:v>0.15384615384615385</x:v>
      </x:c>
      <x:c r="AB2757" s="28" t="n">
        <x:f>J2757-K2757</x:f>
        <x:v>-2</x:v>
      </x:c>
      <x:c r="AC2757" s="32" t="n">
        <x:f>F2757-G2757</x:f>
        <x:v>2</x:v>
      </x:c>
    </x:row>
    <x:row r="2758">
      <x:c r="A2758" s="4" t="str">
        <x:v>2024-25</x:v>
      </x:c>
      <x:c r="B2758" s="20" t="n">
        <x:v>45691</x:v>
      </x:c>
      <x:c r="C2758" s="4" t="str">
        <x:v>Chelsea</x:v>
      </x:c>
      <x:c r="D2758" s="4" t="str">
        <x:v>West Ham</x:v>
      </x:c>
      <x:c r="E2758" s="4" t="str">
        <x:v>Home</x:v>
      </x:c>
      <x:c r="F2758" s="28" t="n">
        <x:v>2</x:v>
      </x:c>
      <x:c r="G2758" s="28" t="n">
        <x:v>1</x:v>
      </x:c>
      <x:c r="H2758" s="28" t="n">
        <x:v>22</x:v>
      </x:c>
      <x:c r="I2758" s="28" t="n">
        <x:v>14</x:v>
      </x:c>
      <x:c r="J2758" s="28" t="n">
        <x:v>3</x:v>
      </x:c>
      <x:c r="K2758" s="28" t="n">
        <x:v>5</x:v>
      </x:c>
      <x:c r="L2758" s="28" t="n">
        <x:v>4</x:v>
      </x:c>
      <x:c r="M2758" s="28" t="n">
        <x:v>3</x:v>
      </x:c>
      <x:c r="N2758" s="28" t="n">
        <x:v>3</x:v>
      </x:c>
      <x:c r="O2758" s="28" t="n">
        <x:v>0</x:v>
      </x:c>
      <x:c r="P2758" s="28" t="n">
        <x:v>3</x:v>
      </x:c>
      <x:c r="Q2758" s="24" t="n">
        <x:f>IFERROR(J2758/H2758,0)</x:f>
        <x:v>0.13636363636363635</x:v>
      </x:c>
      <x:c r="R2758" s="24" t="n">
        <x:f>IFERROR(F2758/H2758,0)</x:f>
        <x:v>0.09090909090909091</x:v>
      </x:c>
      <x:c r="S2758" s="24" t="n">
        <x:f>IFERROR(F2758/J2758,0)</x:f>
        <x:v>0.6666666666666666</x:v>
      </x:c>
      <x:c r="T2758" s="28" t="n">
        <x:f>H2758-I2758</x:f>
        <x:v>8</x:v>
      </x:c>
      <x:c r="U2758" s="24" t="n">
        <x:f>IFERROR(J2758/H2758,0)-IFERROR(K2758/I2758,0)</x:f>
        <x:v>-0.2207792207792208</x:v>
      </x:c>
      <x:c r="V2758" s="24" t="n">
        <x:f>IFERROR(F2758/J2758,0)-IFERROR(G2758/K2758,0)</x:f>
        <x:v>0.4666666666666666</x:v>
      </x:c>
      <x:c r="W2758" s="28" t="n">
        <x:f>L2758-M2758</x:f>
        <x:v>1</x:v>
      </x:c>
      <x:c r="X2758" s="24" t="n">
        <x:f>IFERROR(K2758/I2758,0)</x:f>
        <x:v>0.35714285714285715</x:v>
      </x:c>
      <x:c r="Y2758" s="24" t="n">
        <x:f>IFERROR(G2758/I2758,0)</x:f>
        <x:v>0.07142857142857142</x:v>
      </x:c>
      <x:c r="Z2758" s="24" t="n">
        <x:f>IFERROR(G2758/K2758,0)</x:f>
        <x:v>0.2</x:v>
      </x:c>
      <x:c r="AA2758" s="24" t="n">
        <x:f>IFERROR(F2758/H2758,0)-IFERROR(G2758/I2758,0)</x:f>
        <x:v>0.019480519480519487</x:v>
      </x:c>
      <x:c r="AB2758" s="28" t="n">
        <x:f>J2758-K2758</x:f>
        <x:v>-2</x:v>
      </x:c>
      <x:c r="AC2758" s="32" t="n">
        <x:f>F2758-G2758</x:f>
        <x:v>1</x:v>
      </x:c>
    </x:row>
    <x:row r="2759">
      <x:c r="A2759" s="4" t="str">
        <x:v>2024-25</x:v>
      </x:c>
      <x:c r="B2759" s="20" t="n">
        <x:v>45691</x:v>
      </x:c>
      <x:c r="C2759" s="4" t="str">
        <x:v>West Ham</x:v>
      </x:c>
      <x:c r="D2759" s="4" t="str">
        <x:v>Chelsea</x:v>
      </x:c>
      <x:c r="E2759" s="4" t="str">
        <x:v>Away</x:v>
      </x:c>
      <x:c r="F2759" s="28" t="n">
        <x:v>1</x:v>
      </x:c>
      <x:c r="G2759" s="28" t="n">
        <x:v>2</x:v>
      </x:c>
      <x:c r="H2759" s="28" t="n">
        <x:v>14</x:v>
      </x:c>
      <x:c r="I2759" s="28" t="n">
        <x:v>22</x:v>
      </x:c>
      <x:c r="J2759" s="28" t="n">
        <x:v>5</x:v>
      </x:c>
      <x:c r="K2759" s="28" t="n">
        <x:v>3</x:v>
      </x:c>
      <x:c r="L2759" s="28" t="n">
        <x:v>3</x:v>
      </x:c>
      <x:c r="M2759" s="28" t="n">
        <x:v>4</x:v>
      </x:c>
      <x:c r="N2759" s="28" t="n">
        <x:v>1</x:v>
      </x:c>
      <x:c r="O2759" s="28" t="n">
        <x:v>0</x:v>
      </x:c>
      <x:c r="P2759" s="28" t="n">
        <x:v>0</x:v>
      </x:c>
      <x:c r="Q2759" s="24" t="n">
        <x:f>IFERROR(J2759/H2759,0)</x:f>
        <x:v>0.35714285714285715</x:v>
      </x:c>
      <x:c r="R2759" s="24" t="n">
        <x:f>IFERROR(F2759/H2759,0)</x:f>
        <x:v>0.07142857142857142</x:v>
      </x:c>
      <x:c r="S2759" s="24" t="n">
        <x:f>IFERROR(F2759/J2759,0)</x:f>
        <x:v>0.2</x:v>
      </x:c>
      <x:c r="T2759" s="28" t="n">
        <x:f>H2759-I2759</x:f>
        <x:v>-8</x:v>
      </x:c>
      <x:c r="U2759" s="24" t="n">
        <x:f>IFERROR(J2759/H2759,0)-IFERROR(K2759/I2759,0)</x:f>
        <x:v>0.2207792207792208</x:v>
      </x:c>
      <x:c r="V2759" s="24" t="n">
        <x:f>IFERROR(F2759/J2759,0)-IFERROR(G2759/K2759,0)</x:f>
        <x:v>-0.4666666666666666</x:v>
      </x:c>
      <x:c r="W2759" s="28" t="n">
        <x:f>L2759-M2759</x:f>
        <x:v>-1</x:v>
      </x:c>
      <x:c r="X2759" s="24" t="n">
        <x:f>IFERROR(K2759/I2759,0)</x:f>
        <x:v>0.13636363636363635</x:v>
      </x:c>
      <x:c r="Y2759" s="24" t="n">
        <x:f>IFERROR(G2759/I2759,0)</x:f>
        <x:v>0.09090909090909091</x:v>
      </x:c>
      <x:c r="Z2759" s="24" t="n">
        <x:f>IFERROR(G2759/K2759,0)</x:f>
        <x:v>0.6666666666666666</x:v>
      </x:c>
      <x:c r="AA2759" s="24" t="n">
        <x:f>IFERROR(F2759/H2759,0)-IFERROR(G2759/I2759,0)</x:f>
        <x:v>-0.019480519480519487</x:v>
      </x:c>
      <x:c r="AB2759" s="28" t="n">
        <x:f>J2759-K2759</x:f>
        <x:v>2</x:v>
      </x:c>
      <x:c r="AC2759" s="32" t="n">
        <x:f>F2759-G2759</x:f>
        <x:v>-1</x:v>
      </x:c>
    </x:row>
    <x:row r="2760">
      <x:c r="A2760" s="4" t="str">
        <x:v>2024-25</x:v>
      </x:c>
      <x:c r="B2760" s="20" t="n">
        <x:v>45700</x:v>
      </x:c>
      <x:c r="C2760" s="4" t="str">
        <x:v>Everton</x:v>
      </x:c>
      <x:c r="D2760" s="4" t="str">
        <x:v>Liverpool</x:v>
      </x:c>
      <x:c r="E2760" s="4" t="str">
        <x:v>Home</x:v>
      </x:c>
      <x:c r="F2760" s="28" t="n">
        <x:v>2</x:v>
      </x:c>
      <x:c r="G2760" s="28" t="n">
        <x:v>2</x:v>
      </x:c>
      <x:c r="H2760" s="28" t="n">
        <x:v>10</x:v>
      </x:c>
      <x:c r="I2760" s="28" t="n">
        <x:v>6</x:v>
      </x:c>
      <x:c r="J2760" s="28" t="n">
        <x:v>3</x:v>
      </x:c>
      <x:c r="K2760" s="28" t="n">
        <x:v>4</x:v>
      </x:c>
      <x:c r="L2760" s="28" t="n">
        <x:v>2</x:v>
      </x:c>
      <x:c r="M2760" s="28" t="n">
        <x:v>3</x:v>
      </x:c>
      <x:c r="N2760" s="28" t="n">
        <x:v>2</x:v>
      </x:c>
      <x:c r="O2760" s="28" t="n">
        <x:v>1</x:v>
      </x:c>
      <x:c r="P2760" s="28" t="n">
        <x:v>1</x:v>
      </x:c>
      <x:c r="Q2760" s="24" t="n">
        <x:f>IFERROR(J2760/H2760,0)</x:f>
        <x:v>0.3</x:v>
      </x:c>
      <x:c r="R2760" s="24" t="n">
        <x:f>IFERROR(F2760/H2760,0)</x:f>
        <x:v>0.2</x:v>
      </x:c>
      <x:c r="S2760" s="24" t="n">
        <x:f>IFERROR(F2760/J2760,0)</x:f>
        <x:v>0.6666666666666666</x:v>
      </x:c>
      <x:c r="T2760" s="28" t="n">
        <x:f>H2760-I2760</x:f>
        <x:v>4</x:v>
      </x:c>
      <x:c r="U2760" s="24" t="n">
        <x:f>IFERROR(J2760/H2760,0)-IFERROR(K2760/I2760,0)</x:f>
        <x:v>-0.36666666666666664</x:v>
      </x:c>
      <x:c r="V2760" s="24" t="n">
        <x:f>IFERROR(F2760/J2760,0)-IFERROR(G2760/K2760,0)</x:f>
        <x:v>0.16666666666666663</x:v>
      </x:c>
      <x:c r="W2760" s="28" t="n">
        <x:f>L2760-M2760</x:f>
        <x:v>-1</x:v>
      </x:c>
      <x:c r="X2760" s="24" t="n">
        <x:f>IFERROR(K2760/I2760,0)</x:f>
        <x:v>0.6666666666666666</x:v>
      </x:c>
      <x:c r="Y2760" s="24" t="n">
        <x:f>IFERROR(G2760/I2760,0)</x:f>
        <x:v>0.3333333333333333</x:v>
      </x:c>
      <x:c r="Z2760" s="24" t="n">
        <x:f>IFERROR(G2760/K2760,0)</x:f>
        <x:v>0.5</x:v>
      </x:c>
      <x:c r="AA2760" s="24" t="n">
        <x:f>IFERROR(F2760/H2760,0)-IFERROR(G2760/I2760,0)</x:f>
        <x:v>-0.1333333333333333</x:v>
      </x:c>
      <x:c r="AB2760" s="28" t="n">
        <x:f>J2760-K2760</x:f>
        <x:v>-1</x:v>
      </x:c>
      <x:c r="AC2760" s="32" t="n">
        <x:f>F2760-G2760</x:f>
        <x:v>0</x:v>
      </x:c>
    </x:row>
    <x:row r="2761">
      <x:c r="A2761" s="4" t="str">
        <x:v>2024-25</x:v>
      </x:c>
      <x:c r="B2761" s="20" t="n">
        <x:v>45700</x:v>
      </x:c>
      <x:c r="C2761" s="4" t="str">
        <x:v>Liverpool</x:v>
      </x:c>
      <x:c r="D2761" s="4" t="str">
        <x:v>Everton</x:v>
      </x:c>
      <x:c r="E2761" s="4" t="str">
        <x:v>Away</x:v>
      </x:c>
      <x:c r="F2761" s="28" t="n">
        <x:v>2</x:v>
      </x:c>
      <x:c r="G2761" s="28" t="n">
        <x:v>2</x:v>
      </x:c>
      <x:c r="H2761" s="28" t="n">
        <x:v>6</x:v>
      </x:c>
      <x:c r="I2761" s="28" t="n">
        <x:v>10</x:v>
      </x:c>
      <x:c r="J2761" s="28" t="n">
        <x:v>4</x:v>
      </x:c>
      <x:c r="K2761" s="28" t="n">
        <x:v>3</x:v>
      </x:c>
      <x:c r="L2761" s="28" t="n">
        <x:v>3</x:v>
      </x:c>
      <x:c r="M2761" s="28" t="n">
        <x:v>2</x:v>
      </x:c>
      <x:c r="N2761" s="28" t="n">
        <x:v>2</x:v>
      </x:c>
      <x:c r="O2761" s="28" t="n">
        <x:v>1</x:v>
      </x:c>
      <x:c r="P2761" s="28" t="n">
        <x:v>1</x:v>
      </x:c>
      <x:c r="Q2761" s="24" t="n">
        <x:f>IFERROR(J2761/H2761,0)</x:f>
        <x:v>0.6666666666666666</x:v>
      </x:c>
      <x:c r="R2761" s="24" t="n">
        <x:f>IFERROR(F2761/H2761,0)</x:f>
        <x:v>0.3333333333333333</x:v>
      </x:c>
      <x:c r="S2761" s="24" t="n">
        <x:f>IFERROR(F2761/J2761,0)</x:f>
        <x:v>0.5</x:v>
      </x:c>
      <x:c r="T2761" s="28" t="n">
        <x:f>H2761-I2761</x:f>
        <x:v>-4</x:v>
      </x:c>
      <x:c r="U2761" s="24" t="n">
        <x:f>IFERROR(J2761/H2761,0)-IFERROR(K2761/I2761,0)</x:f>
        <x:v>0.36666666666666664</x:v>
      </x:c>
      <x:c r="V2761" s="24" t="n">
        <x:f>IFERROR(F2761/J2761,0)-IFERROR(G2761/K2761,0)</x:f>
        <x:v>-0.16666666666666663</x:v>
      </x:c>
      <x:c r="W2761" s="28" t="n">
        <x:f>L2761-M2761</x:f>
        <x:v>1</x:v>
      </x:c>
      <x:c r="X2761" s="24" t="n">
        <x:f>IFERROR(K2761/I2761,0)</x:f>
        <x:v>0.3</x:v>
      </x:c>
      <x:c r="Y2761" s="24" t="n">
        <x:f>IFERROR(G2761/I2761,0)</x:f>
        <x:v>0.2</x:v>
      </x:c>
      <x:c r="Z2761" s="24" t="n">
        <x:f>IFERROR(G2761/K2761,0)</x:f>
        <x:v>0.6666666666666666</x:v>
      </x:c>
      <x:c r="AA2761" s="24" t="n">
        <x:f>IFERROR(F2761/H2761,0)-IFERROR(G2761/I2761,0)</x:f>
        <x:v>0.1333333333333333</x:v>
      </x:c>
      <x:c r="AB2761" s="28" t="n">
        <x:f>J2761-K2761</x:f>
        <x:v>1</x:v>
      </x:c>
      <x:c r="AC2761" s="32" t="n">
        <x:f>F2761-G2761</x:f>
        <x:v>0</x:v>
      </x:c>
    </x:row>
    <x:row r="2762">
      <x:c r="A2762" s="4" t="str">
        <x:v>2024-25</x:v>
      </x:c>
      <x:c r="B2762" s="20" t="n">
        <x:v>45702</x:v>
      </x:c>
      <x:c r="C2762" s="4" t="str">
        <x:v>Brighton</x:v>
      </x:c>
      <x:c r="D2762" s="4" t="str">
        <x:v>Chelsea</x:v>
      </x:c>
      <x:c r="E2762" s="4" t="str">
        <x:v>Home</x:v>
      </x:c>
      <x:c r="F2762" s="28" t="n">
        <x:v>3</x:v>
      </x:c>
      <x:c r="G2762" s="28" t="n">
        <x:v>0</x:v>
      </x:c>
      <x:c r="H2762" s="28" t="n">
        <x:v>13</x:v>
      </x:c>
      <x:c r="I2762" s="28" t="n">
        <x:v>8</x:v>
      </x:c>
      <x:c r="J2762" s="28" t="n">
        <x:v>5</x:v>
      </x:c>
      <x:c r="K2762" s="28" t="n">
        <x:v>0</x:v>
      </x:c>
      <x:c r="L2762" s="28" t="n">
        <x:v>2</x:v>
      </x:c>
      <x:c r="M2762" s="28" t="n">
        <x:v>9</x:v>
      </x:c>
      <x:c r="N2762" s="28" t="n">
        <x:v>1</x:v>
      </x:c>
      <x:c r="O2762" s="28" t="n">
        <x:v>0</x:v>
      </x:c>
      <x:c r="P2762" s="28" t="n">
        <x:v>3</x:v>
      </x:c>
      <x:c r="Q2762" s="24" t="n">
        <x:f>IFERROR(J2762/H2762,0)</x:f>
        <x:v>0.38461538461538464</x:v>
      </x:c>
      <x:c r="R2762" s="24" t="n">
        <x:f>IFERROR(F2762/H2762,0)</x:f>
        <x:v>0.23076923076923078</x:v>
      </x:c>
      <x:c r="S2762" s="24" t="n">
        <x:f>IFERROR(F2762/J2762,0)</x:f>
        <x:v>0.6</x:v>
      </x:c>
      <x:c r="T2762" s="28" t="n">
        <x:f>H2762-I2762</x:f>
        <x:v>5</x:v>
      </x:c>
      <x:c r="U2762" s="24" t="n">
        <x:f>IFERROR(J2762/H2762,0)-IFERROR(K2762/I2762,0)</x:f>
        <x:v>0.38461538461538464</x:v>
      </x:c>
      <x:c r="V2762" s="24" t="n">
        <x:f>IFERROR(F2762/J2762,0)-IFERROR(G2762/K2762,0)</x:f>
        <x:v>0.6</x:v>
      </x:c>
      <x:c r="W2762" s="28" t="n">
        <x:f>L2762-M2762</x:f>
        <x:v>-7</x:v>
      </x:c>
      <x:c r="X2762" s="24" t="n">
        <x:f>IFERROR(K2762/I2762,0)</x:f>
        <x:v>0</x:v>
      </x:c>
      <x:c r="Y2762" s="24" t="n">
        <x:f>IFERROR(G2762/I2762,0)</x:f>
        <x:v>0</x:v>
      </x:c>
      <x:c r="Z2762" s="24" t="n">
        <x:f>IFERROR(G2762/K2762,0)</x:f>
        <x:v>0</x:v>
      </x:c>
      <x:c r="AA2762" s="24" t="n">
        <x:f>IFERROR(F2762/H2762,0)-IFERROR(G2762/I2762,0)</x:f>
        <x:v>0.23076923076923078</x:v>
      </x:c>
      <x:c r="AB2762" s="28" t="n">
        <x:f>J2762-K2762</x:f>
        <x:v>5</x:v>
      </x:c>
      <x:c r="AC2762" s="32" t="n">
        <x:f>F2762-G2762</x:f>
        <x:v>3</x:v>
      </x:c>
    </x:row>
    <x:row r="2763">
      <x:c r="A2763" s="4" t="str">
        <x:v>2024-25</x:v>
      </x:c>
      <x:c r="B2763" s="20" t="n">
        <x:v>45702</x:v>
      </x:c>
      <x:c r="C2763" s="4" t="str">
        <x:v>Chelsea</x:v>
      </x:c>
      <x:c r="D2763" s="4" t="str">
        <x:v>Brighton</x:v>
      </x:c>
      <x:c r="E2763" s="4" t="str">
        <x:v>Away</x:v>
      </x:c>
      <x:c r="F2763" s="28" t="n">
        <x:v>0</x:v>
      </x:c>
      <x:c r="G2763" s="28" t="n">
        <x:v>3</x:v>
      </x:c>
      <x:c r="H2763" s="28" t="n">
        <x:v>8</x:v>
      </x:c>
      <x:c r="I2763" s="28" t="n">
        <x:v>13</x:v>
      </x:c>
      <x:c r="J2763" s="28" t="n">
        <x:v>0</x:v>
      </x:c>
      <x:c r="K2763" s="28" t="n">
        <x:v>5</x:v>
      </x:c>
      <x:c r="L2763" s="28" t="n">
        <x:v>9</x:v>
      </x:c>
      <x:c r="M2763" s="28" t="n">
        <x:v>2</x:v>
      </x:c>
      <x:c r="N2763" s="28" t="n">
        <x:v>2</x:v>
      </x:c>
      <x:c r="O2763" s="28" t="n">
        <x:v>0</x:v>
      </x:c>
      <x:c r="P2763" s="28" t="n">
        <x:v>0</x:v>
      </x:c>
      <x:c r="Q2763" s="24" t="n">
        <x:f>IFERROR(J2763/H2763,0)</x:f>
        <x:v>0</x:v>
      </x:c>
      <x:c r="R2763" s="24" t="n">
        <x:f>IFERROR(F2763/H2763,0)</x:f>
        <x:v>0</x:v>
      </x:c>
      <x:c r="S2763" s="24" t="n">
        <x:f>IFERROR(F2763/J2763,0)</x:f>
        <x:v>0</x:v>
      </x:c>
      <x:c r="T2763" s="28" t="n">
        <x:f>H2763-I2763</x:f>
        <x:v>-5</x:v>
      </x:c>
      <x:c r="U2763" s="24" t="n">
        <x:f>IFERROR(J2763/H2763,0)-IFERROR(K2763/I2763,0)</x:f>
        <x:v>-0.38461538461538464</x:v>
      </x:c>
      <x:c r="V2763" s="24" t="n">
        <x:f>IFERROR(F2763/J2763,0)-IFERROR(G2763/K2763,0)</x:f>
        <x:v>-0.6</x:v>
      </x:c>
      <x:c r="W2763" s="28" t="n">
        <x:f>L2763-M2763</x:f>
        <x:v>7</x:v>
      </x:c>
      <x:c r="X2763" s="24" t="n">
        <x:f>IFERROR(K2763/I2763,0)</x:f>
        <x:v>0.38461538461538464</x:v>
      </x:c>
      <x:c r="Y2763" s="24" t="n">
        <x:f>IFERROR(G2763/I2763,0)</x:f>
        <x:v>0.23076923076923078</x:v>
      </x:c>
      <x:c r="Z2763" s="24" t="n">
        <x:f>IFERROR(G2763/K2763,0)</x:f>
        <x:v>0.6</x:v>
      </x:c>
      <x:c r="AA2763" s="24" t="n">
        <x:f>IFERROR(F2763/H2763,0)-IFERROR(G2763/I2763,0)</x:f>
        <x:v>-0.23076923076923078</x:v>
      </x:c>
      <x:c r="AB2763" s="28" t="n">
        <x:f>J2763-K2763</x:f>
        <x:v>-5</x:v>
      </x:c>
      <x:c r="AC2763" s="32" t="n">
        <x:f>F2763-G2763</x:f>
        <x:v>-3</x:v>
      </x:c>
    </x:row>
    <x:row r="2764">
      <x:c r="A2764" s="4" t="str">
        <x:v>2024-25</x:v>
      </x:c>
      <x:c r="B2764" s="20" t="n">
        <x:v>45703</x:v>
      </x:c>
      <x:c r="C2764" s="4" t="str">
        <x:v>Arsenal</x:v>
      </x:c>
      <x:c r="D2764" s="4" t="str">
        <x:v>Leicester</x:v>
      </x:c>
      <x:c r="E2764" s="4" t="str">
        <x:v>Away</x:v>
      </x:c>
      <x:c r="F2764" s="28" t="n">
        <x:v>2</x:v>
      </x:c>
      <x:c r="G2764" s="28" t="n">
        <x:v>0</x:v>
      </x:c>
      <x:c r="H2764" s="28" t="n">
        <x:v>11</x:v>
      </x:c>
      <x:c r="I2764" s="28" t="n">
        <x:v>6</x:v>
      </x:c>
      <x:c r="J2764" s="28" t="n">
        <x:v>5</x:v>
      </x:c>
      <x:c r="K2764" s="28" t="n">
        <x:v>2</x:v>
      </x:c>
      <x:c r="L2764" s="28" t="n">
        <x:v>7</x:v>
      </x:c>
      <x:c r="M2764" s="28" t="n">
        <x:v>3</x:v>
      </x:c>
      <x:c r="N2764" s="28" t="n">
        <x:v>1</x:v>
      </x:c>
      <x:c r="O2764" s="28" t="n">
        <x:v>0</x:v>
      </x:c>
      <x:c r="P2764" s="28" t="n">
        <x:v>3</x:v>
      </x:c>
      <x:c r="Q2764" s="24" t="n">
        <x:f>IFERROR(J2764/H2764,0)</x:f>
        <x:v>0.45454545454545453</x:v>
      </x:c>
      <x:c r="R2764" s="24" t="n">
        <x:f>IFERROR(F2764/H2764,0)</x:f>
        <x:v>0.18181818181818182</x:v>
      </x:c>
      <x:c r="S2764" s="24" t="n">
        <x:f>IFERROR(F2764/J2764,0)</x:f>
        <x:v>0.4</x:v>
      </x:c>
      <x:c r="T2764" s="28" t="n">
        <x:f>H2764-I2764</x:f>
        <x:v>5</x:v>
      </x:c>
      <x:c r="U2764" s="24" t="n">
        <x:f>IFERROR(J2764/H2764,0)-IFERROR(K2764/I2764,0)</x:f>
        <x:v>0.12121212121212122</x:v>
      </x:c>
      <x:c r="V2764" s="24" t="n">
        <x:f>IFERROR(F2764/J2764,0)-IFERROR(G2764/K2764,0)</x:f>
        <x:v>0.4</x:v>
      </x:c>
      <x:c r="W2764" s="28" t="n">
        <x:f>L2764-M2764</x:f>
        <x:v>4</x:v>
      </x:c>
      <x:c r="X2764" s="24" t="n">
        <x:f>IFERROR(K2764/I2764,0)</x:f>
        <x:v>0.3333333333333333</x:v>
      </x:c>
      <x:c r="Y2764" s="24" t="n">
        <x:f>IFERROR(G2764/I2764,0)</x:f>
        <x:v>0</x:v>
      </x:c>
      <x:c r="Z2764" s="24" t="n">
        <x:f>IFERROR(G2764/K2764,0)</x:f>
        <x:v>0</x:v>
      </x:c>
      <x:c r="AA2764" s="24" t="n">
        <x:f>IFERROR(F2764/H2764,0)-IFERROR(G2764/I2764,0)</x:f>
        <x:v>0.18181818181818182</x:v>
      </x:c>
      <x:c r="AB2764" s="28" t="n">
        <x:f>J2764-K2764</x:f>
        <x:v>3</x:v>
      </x:c>
      <x:c r="AC2764" s="32" t="n">
        <x:f>F2764-G2764</x:f>
        <x:v>2</x:v>
      </x:c>
    </x:row>
    <x:row r="2765">
      <x:c r="A2765" s="4" t="str">
        <x:v>2024-25</x:v>
      </x:c>
      <x:c r="B2765" s="20" t="n">
        <x:v>45703</x:v>
      </x:c>
      <x:c r="C2765" s="4" t="str">
        <x:v>Aston Villa</x:v>
      </x:c>
      <x:c r="D2765" s="4" t="str">
        <x:v>Ipswich</x:v>
      </x:c>
      <x:c r="E2765" s="4" t="str">
        <x:v>Home</x:v>
      </x:c>
      <x:c r="F2765" s="28" t="n">
        <x:v>1</x:v>
      </x:c>
      <x:c r="G2765" s="28" t="n">
        <x:v>1</x:v>
      </x:c>
      <x:c r="H2765" s="28" t="n">
        <x:v>25</x:v>
      </x:c>
      <x:c r="I2765" s="28" t="n">
        <x:v>4</x:v>
      </x:c>
      <x:c r="J2765" s="28" t="n">
        <x:v>6</x:v>
      </x:c>
      <x:c r="K2765" s="28" t="n">
        <x:v>3</x:v>
      </x:c>
      <x:c r="L2765" s="28" t="n">
        <x:v>16</x:v>
      </x:c>
      <x:c r="M2765" s="28" t="n">
        <x:v>1</x:v>
      </x:c>
      <x:c r="N2765" s="28" t="n">
        <x:v>0</x:v>
      </x:c>
      <x:c r="O2765" s="28" t="n">
        <x:v>0</x:v>
      </x:c>
      <x:c r="P2765" s="28" t="n">
        <x:v>1</x:v>
      </x:c>
      <x:c r="Q2765" s="24" t="n">
        <x:f>IFERROR(J2765/H2765,0)</x:f>
        <x:v>0.24</x:v>
      </x:c>
      <x:c r="R2765" s="24" t="n">
        <x:f>IFERROR(F2765/H2765,0)</x:f>
        <x:v>0.04</x:v>
      </x:c>
      <x:c r="S2765" s="24" t="n">
        <x:f>IFERROR(F2765/J2765,0)</x:f>
        <x:v>0.16666666666666666</x:v>
      </x:c>
      <x:c r="T2765" s="28" t="n">
        <x:f>H2765-I2765</x:f>
        <x:v>21</x:v>
      </x:c>
      <x:c r="U2765" s="24" t="n">
        <x:f>IFERROR(J2765/H2765,0)-IFERROR(K2765/I2765,0)</x:f>
        <x:v>-0.51</x:v>
      </x:c>
      <x:c r="V2765" s="24" t="n">
        <x:f>IFERROR(F2765/J2765,0)-IFERROR(G2765/K2765,0)</x:f>
        <x:v>-0.16666666666666666</x:v>
      </x:c>
      <x:c r="W2765" s="28" t="n">
        <x:f>L2765-M2765</x:f>
        <x:v>15</x:v>
      </x:c>
      <x:c r="X2765" s="24" t="n">
        <x:f>IFERROR(K2765/I2765,0)</x:f>
        <x:v>0.75</x:v>
      </x:c>
      <x:c r="Y2765" s="24" t="n">
        <x:f>IFERROR(G2765/I2765,0)</x:f>
        <x:v>0.25</x:v>
      </x:c>
      <x:c r="Z2765" s="24" t="n">
        <x:f>IFERROR(G2765/K2765,0)</x:f>
        <x:v>0.3333333333333333</x:v>
      </x:c>
      <x:c r="AA2765" s="24" t="n">
        <x:f>IFERROR(F2765/H2765,0)-IFERROR(G2765/I2765,0)</x:f>
        <x:v>-0.21</x:v>
      </x:c>
      <x:c r="AB2765" s="28" t="n">
        <x:f>J2765-K2765</x:f>
        <x:v>3</x:v>
      </x:c>
      <x:c r="AC2765" s="32" t="n">
        <x:f>F2765-G2765</x:f>
        <x:v>0</x:v>
      </x:c>
    </x:row>
    <x:row r="2766">
      <x:c r="A2766" s="4" t="str">
        <x:v>2024-25</x:v>
      </x:c>
      <x:c r="B2766" s="20" t="n">
        <x:v>45703</x:v>
      </x:c>
      <x:c r="C2766" s="4" t="str">
        <x:v>Bournemouth</x:v>
      </x:c>
      <x:c r="D2766" s="4" t="str">
        <x:v>Southampton</x:v>
      </x:c>
      <x:c r="E2766" s="4" t="str">
        <x:v>Away</x:v>
      </x:c>
      <x:c r="F2766" s="28" t="n">
        <x:v>3</x:v>
      </x:c>
      <x:c r="G2766" s="28" t="n">
        <x:v>1</x:v>
      </x:c>
      <x:c r="H2766" s="28" t="n">
        <x:v>14</x:v>
      </x:c>
      <x:c r="I2766" s="28" t="n">
        <x:v>11</x:v>
      </x:c>
      <x:c r="J2766" s="28" t="n">
        <x:v>7</x:v>
      </x:c>
      <x:c r="K2766" s="28" t="n">
        <x:v>4</x:v>
      </x:c>
      <x:c r="L2766" s="28" t="n">
        <x:v>6</x:v>
      </x:c>
      <x:c r="M2766" s="28" t="n">
        <x:v>4</x:v>
      </x:c>
      <x:c r="N2766" s="28" t="n">
        <x:v>3</x:v>
      </x:c>
      <x:c r="O2766" s="28" t="n">
        <x:v>0</x:v>
      </x:c>
      <x:c r="P2766" s="28" t="n">
        <x:v>3</x:v>
      </x:c>
      <x:c r="Q2766" s="24" t="n">
        <x:f>IFERROR(J2766/H2766,0)</x:f>
        <x:v>0.5</x:v>
      </x:c>
      <x:c r="R2766" s="24" t="n">
        <x:f>IFERROR(F2766/H2766,0)</x:f>
        <x:v>0.21428571428571427</x:v>
      </x:c>
      <x:c r="S2766" s="24" t="n">
        <x:f>IFERROR(F2766/J2766,0)</x:f>
        <x:v>0.42857142857142855</x:v>
      </x:c>
      <x:c r="T2766" s="28" t="n">
        <x:f>H2766-I2766</x:f>
        <x:v>3</x:v>
      </x:c>
      <x:c r="U2766" s="24" t="n">
        <x:f>IFERROR(J2766/H2766,0)-IFERROR(K2766/I2766,0)</x:f>
        <x:v>0.13636363636363635</x:v>
      </x:c>
      <x:c r="V2766" s="24" t="n">
        <x:f>IFERROR(F2766/J2766,0)-IFERROR(G2766/K2766,0)</x:f>
        <x:v>0.17857142857142855</x:v>
      </x:c>
      <x:c r="W2766" s="28" t="n">
        <x:f>L2766-M2766</x:f>
        <x:v>2</x:v>
      </x:c>
      <x:c r="X2766" s="24" t="n">
        <x:f>IFERROR(K2766/I2766,0)</x:f>
        <x:v>0.36363636363636365</x:v>
      </x:c>
      <x:c r="Y2766" s="24" t="n">
        <x:f>IFERROR(G2766/I2766,0)</x:f>
        <x:v>0.09090909090909091</x:v>
      </x:c>
      <x:c r="Z2766" s="24" t="n">
        <x:f>IFERROR(G2766/K2766,0)</x:f>
        <x:v>0.25</x:v>
      </x:c>
      <x:c r="AA2766" s="24" t="n">
        <x:f>IFERROR(F2766/H2766,0)-IFERROR(G2766/I2766,0)</x:f>
        <x:v>0.12337662337662336</x:v>
      </x:c>
      <x:c r="AB2766" s="28" t="n">
        <x:f>J2766-K2766</x:f>
        <x:v>3</x:v>
      </x:c>
      <x:c r="AC2766" s="32" t="n">
        <x:f>F2766-G2766</x:f>
        <x:v>2</x:v>
      </x:c>
    </x:row>
    <x:row r="2767">
      <x:c r="A2767" s="4" t="str">
        <x:v>2024-25</x:v>
      </x:c>
      <x:c r="B2767" s="20" t="n">
        <x:v>45703</x:v>
      </x:c>
      <x:c r="C2767" s="4" t="str">
        <x:v>Brentford</x:v>
      </x:c>
      <x:c r="D2767" s="4" t="str">
        <x:v>West Ham</x:v>
      </x:c>
      <x:c r="E2767" s="4" t="str">
        <x:v>Away</x:v>
      </x:c>
      <x:c r="F2767" s="28" t="n">
        <x:v>1</x:v>
      </x:c>
      <x:c r="G2767" s="28" t="n">
        <x:v>0</x:v>
      </x:c>
      <x:c r="H2767" s="28" t="n">
        <x:v>14</x:v>
      </x:c>
      <x:c r="I2767" s="28" t="n">
        <x:v>13</x:v>
      </x:c>
      <x:c r="J2767" s="28" t="n">
        <x:v>5</x:v>
      </x:c>
      <x:c r="K2767" s="28" t="n">
        <x:v>3</x:v>
      </x:c>
      <x:c r="L2767" s="28" t="n">
        <x:v>2</x:v>
      </x:c>
      <x:c r="M2767" s="28" t="n">
        <x:v>9</x:v>
      </x:c>
      <x:c r="N2767" s="28" t="n">
        <x:v>1</x:v>
      </x:c>
      <x:c r="O2767" s="28" t="n">
        <x:v>0</x:v>
      </x:c>
      <x:c r="P2767" s="28" t="n">
        <x:v>3</x:v>
      </x:c>
      <x:c r="Q2767" s="24" t="n">
        <x:f>IFERROR(J2767/H2767,0)</x:f>
        <x:v>0.35714285714285715</x:v>
      </x:c>
      <x:c r="R2767" s="24" t="n">
        <x:f>IFERROR(F2767/H2767,0)</x:f>
        <x:v>0.07142857142857142</x:v>
      </x:c>
      <x:c r="S2767" s="24" t="n">
        <x:f>IFERROR(F2767/J2767,0)</x:f>
        <x:v>0.2</x:v>
      </x:c>
      <x:c r="T2767" s="28" t="n">
        <x:f>H2767-I2767</x:f>
        <x:v>1</x:v>
      </x:c>
      <x:c r="U2767" s="24" t="n">
        <x:f>IFERROR(J2767/H2767,0)-IFERROR(K2767/I2767,0)</x:f>
        <x:v>0.12637362637362637</x:v>
      </x:c>
      <x:c r="V2767" s="24" t="n">
        <x:f>IFERROR(F2767/J2767,0)-IFERROR(G2767/K2767,0)</x:f>
        <x:v>0.2</x:v>
      </x:c>
      <x:c r="W2767" s="28" t="n">
        <x:f>L2767-M2767</x:f>
        <x:v>-7</x:v>
      </x:c>
      <x:c r="X2767" s="24" t="n">
        <x:f>IFERROR(K2767/I2767,0)</x:f>
        <x:v>0.23076923076923078</x:v>
      </x:c>
      <x:c r="Y2767" s="24" t="n">
        <x:f>IFERROR(G2767/I2767,0)</x:f>
        <x:v>0</x:v>
      </x:c>
      <x:c r="Z2767" s="24" t="n">
        <x:f>IFERROR(G2767/K2767,0)</x:f>
        <x:v>0</x:v>
      </x:c>
      <x:c r="AA2767" s="24" t="n">
        <x:f>IFERROR(F2767/H2767,0)-IFERROR(G2767/I2767,0)</x:f>
        <x:v>0.07142857142857142</x:v>
      </x:c>
      <x:c r="AB2767" s="28" t="n">
        <x:f>J2767-K2767</x:f>
        <x:v>2</x:v>
      </x:c>
      <x:c r="AC2767" s="32" t="n">
        <x:f>F2767-G2767</x:f>
        <x:v>1</x:v>
      </x:c>
    </x:row>
    <x:row r="2768">
      <x:c r="A2768" s="4" t="str">
        <x:v>2024-25</x:v>
      </x:c>
      <x:c r="B2768" s="20" t="n">
        <x:v>45703</x:v>
      </x:c>
      <x:c r="C2768" s="4" t="str">
        <x:v>Crystal Palace</x:v>
      </x:c>
      <x:c r="D2768" s="4" t="str">
        <x:v>Everton</x:v>
      </x:c>
      <x:c r="E2768" s="4" t="str">
        <x:v>Home</x:v>
      </x:c>
      <x:c r="F2768" s="28" t="n">
        <x:v>1</x:v>
      </x:c>
      <x:c r="G2768" s="28" t="n">
        <x:v>2</x:v>
      </x:c>
      <x:c r="H2768" s="28" t="n">
        <x:v>17</x:v>
      </x:c>
      <x:c r="I2768" s="28" t="n">
        <x:v>11</x:v>
      </x:c>
      <x:c r="J2768" s="28" t="n">
        <x:v>6</x:v>
      </x:c>
      <x:c r="K2768" s="28" t="n">
        <x:v>6</x:v>
      </x:c>
      <x:c r="L2768" s="28" t="n">
        <x:v>6</x:v>
      </x:c>
      <x:c r="M2768" s="28" t="n">
        <x:v>2</x:v>
      </x:c>
      <x:c r="N2768" s="28" t="n">
        <x:v>0</x:v>
      </x:c>
      <x:c r="O2768" s="28" t="n">
        <x:v>0</x:v>
      </x:c>
      <x:c r="P2768" s="28" t="n">
        <x:v>0</x:v>
      </x:c>
      <x:c r="Q2768" s="24" t="n">
        <x:f>IFERROR(J2768/H2768,0)</x:f>
        <x:v>0.35294117647058826</x:v>
      </x:c>
      <x:c r="R2768" s="24" t="n">
        <x:f>IFERROR(F2768/H2768,0)</x:f>
        <x:v>0.058823529411764705</x:v>
      </x:c>
      <x:c r="S2768" s="24" t="n">
        <x:f>IFERROR(F2768/J2768,0)</x:f>
        <x:v>0.16666666666666666</x:v>
      </x:c>
      <x:c r="T2768" s="28" t="n">
        <x:f>H2768-I2768</x:f>
        <x:v>6</x:v>
      </x:c>
      <x:c r="U2768" s="24" t="n">
        <x:f>IFERROR(J2768/H2768,0)-IFERROR(K2768/I2768,0)</x:f>
        <x:v>-0.19251336898395716</x:v>
      </x:c>
      <x:c r="V2768" s="24" t="n">
        <x:f>IFERROR(F2768/J2768,0)-IFERROR(G2768/K2768,0)</x:f>
        <x:v>-0.16666666666666666</x:v>
      </x:c>
      <x:c r="W2768" s="28" t="n">
        <x:f>L2768-M2768</x:f>
        <x:v>4</x:v>
      </x:c>
      <x:c r="X2768" s="24" t="n">
        <x:f>IFERROR(K2768/I2768,0)</x:f>
        <x:v>0.5454545454545454</x:v>
      </x:c>
      <x:c r="Y2768" s="24" t="n">
        <x:f>IFERROR(G2768/I2768,0)</x:f>
        <x:v>0.18181818181818182</x:v>
      </x:c>
      <x:c r="Z2768" s="24" t="n">
        <x:f>IFERROR(G2768/K2768,0)</x:f>
        <x:v>0.3333333333333333</x:v>
      </x:c>
      <x:c r="AA2768" s="24" t="n">
        <x:f>IFERROR(F2768/H2768,0)-IFERROR(G2768/I2768,0)</x:f>
        <x:v>-0.12299465240641712</x:v>
      </x:c>
      <x:c r="AB2768" s="28" t="n">
        <x:f>J2768-K2768</x:f>
        <x:v>0</x:v>
      </x:c>
      <x:c r="AC2768" s="32" t="n">
        <x:f>F2768-G2768</x:f>
        <x:v>-1</x:v>
      </x:c>
    </x:row>
    <x:row r="2769">
      <x:c r="A2769" s="4" t="str">
        <x:v>2024-25</x:v>
      </x:c>
      <x:c r="B2769" s="20" t="n">
        <x:v>45703</x:v>
      </x:c>
      <x:c r="C2769" s="4" t="str">
        <x:v>Everton</x:v>
      </x:c>
      <x:c r="D2769" s="4" t="str">
        <x:v>Crystal Palace</x:v>
      </x:c>
      <x:c r="E2769" s="4" t="str">
        <x:v>Away</x:v>
      </x:c>
      <x:c r="F2769" s="28" t="n">
        <x:v>2</x:v>
      </x:c>
      <x:c r="G2769" s="28" t="n">
        <x:v>1</x:v>
      </x:c>
      <x:c r="H2769" s="28" t="n">
        <x:v>11</x:v>
      </x:c>
      <x:c r="I2769" s="28" t="n">
        <x:v>17</x:v>
      </x:c>
      <x:c r="J2769" s="28" t="n">
        <x:v>6</x:v>
      </x:c>
      <x:c r="K2769" s="28" t="n">
        <x:v>6</x:v>
      </x:c>
      <x:c r="L2769" s="28" t="n">
        <x:v>2</x:v>
      </x:c>
      <x:c r="M2769" s="28" t="n">
        <x:v>6</x:v>
      </x:c>
      <x:c r="N2769" s="28" t="n">
        <x:v>1</x:v>
      </x:c>
      <x:c r="O2769" s="28" t="n">
        <x:v>0</x:v>
      </x:c>
      <x:c r="P2769" s="28" t="n">
        <x:v>3</x:v>
      </x:c>
      <x:c r="Q2769" s="24" t="n">
        <x:f>IFERROR(J2769/H2769,0)</x:f>
        <x:v>0.5454545454545454</x:v>
      </x:c>
      <x:c r="R2769" s="24" t="n">
        <x:f>IFERROR(F2769/H2769,0)</x:f>
        <x:v>0.18181818181818182</x:v>
      </x:c>
      <x:c r="S2769" s="24" t="n">
        <x:f>IFERROR(F2769/J2769,0)</x:f>
        <x:v>0.3333333333333333</x:v>
      </x:c>
      <x:c r="T2769" s="28" t="n">
        <x:f>H2769-I2769</x:f>
        <x:v>-6</x:v>
      </x:c>
      <x:c r="U2769" s="24" t="n">
        <x:f>IFERROR(J2769/H2769,0)-IFERROR(K2769/I2769,0)</x:f>
        <x:v>0.19251336898395716</x:v>
      </x:c>
      <x:c r="V2769" s="24" t="n">
        <x:f>IFERROR(F2769/J2769,0)-IFERROR(G2769/K2769,0)</x:f>
        <x:v>0.16666666666666666</x:v>
      </x:c>
      <x:c r="W2769" s="28" t="n">
        <x:f>L2769-M2769</x:f>
        <x:v>-4</x:v>
      </x:c>
      <x:c r="X2769" s="24" t="n">
        <x:f>IFERROR(K2769/I2769,0)</x:f>
        <x:v>0.35294117647058826</x:v>
      </x:c>
      <x:c r="Y2769" s="24" t="n">
        <x:f>IFERROR(G2769/I2769,0)</x:f>
        <x:v>0.058823529411764705</x:v>
      </x:c>
      <x:c r="Z2769" s="24" t="n">
        <x:f>IFERROR(G2769/K2769,0)</x:f>
        <x:v>0.16666666666666666</x:v>
      </x:c>
      <x:c r="AA2769" s="24" t="n">
        <x:f>IFERROR(F2769/H2769,0)-IFERROR(G2769/I2769,0)</x:f>
        <x:v>0.12299465240641712</x:v>
      </x:c>
      <x:c r="AB2769" s="28" t="n">
        <x:f>J2769-K2769</x:f>
        <x:v>0</x:v>
      </x:c>
      <x:c r="AC2769" s="32" t="n">
        <x:f>F2769-G2769</x:f>
        <x:v>1</x:v>
      </x:c>
    </x:row>
    <x:row r="2770">
      <x:c r="A2770" s="4" t="str">
        <x:v>2024-25</x:v>
      </x:c>
      <x:c r="B2770" s="20" t="n">
        <x:v>45703</x:v>
      </x:c>
      <x:c r="C2770" s="4" t="str">
        <x:v>Fulham</x:v>
      </x:c>
      <x:c r="D2770" s="4" t="str">
        <x:v>Nott'm Forest</x:v>
      </x:c>
      <x:c r="E2770" s="4" t="str">
        <x:v>Home</x:v>
      </x:c>
      <x:c r="F2770" s="28" t="n">
        <x:v>2</x:v>
      </x:c>
      <x:c r="G2770" s="28" t="n">
        <x:v>1</x:v>
      </x:c>
      <x:c r="H2770" s="28" t="n">
        <x:v>24</x:v>
      </x:c>
      <x:c r="I2770" s="28" t="n">
        <x:v>8</x:v>
      </x:c>
      <x:c r="J2770" s="28" t="n">
        <x:v>10</x:v>
      </x:c>
      <x:c r="K2770" s="28" t="n">
        <x:v>2</x:v>
      </x:c>
      <x:c r="L2770" s="28" t="n">
        <x:v>8</x:v>
      </x:c>
      <x:c r="M2770" s="28" t="n">
        <x:v>4</x:v>
      </x:c>
      <x:c r="N2770" s="28" t="n">
        <x:v>0</x:v>
      </x:c>
      <x:c r="O2770" s="28" t="n">
        <x:v>0</x:v>
      </x:c>
      <x:c r="P2770" s="28" t="n">
        <x:v>3</x:v>
      </x:c>
      <x:c r="Q2770" s="24" t="n">
        <x:f>IFERROR(J2770/H2770,0)</x:f>
        <x:v>0.4166666666666667</x:v>
      </x:c>
      <x:c r="R2770" s="24" t="n">
        <x:f>IFERROR(F2770/H2770,0)</x:f>
        <x:v>0.08333333333333333</x:v>
      </x:c>
      <x:c r="S2770" s="24" t="n">
        <x:f>IFERROR(F2770/J2770,0)</x:f>
        <x:v>0.2</x:v>
      </x:c>
      <x:c r="T2770" s="28" t="n">
        <x:f>H2770-I2770</x:f>
        <x:v>16</x:v>
      </x:c>
      <x:c r="U2770" s="24" t="n">
        <x:f>IFERROR(J2770/H2770,0)-IFERROR(K2770/I2770,0)</x:f>
        <x:v>0.16666666666666669</x:v>
      </x:c>
      <x:c r="V2770" s="24" t="n">
        <x:f>IFERROR(F2770/J2770,0)-IFERROR(G2770/K2770,0)</x:f>
        <x:v>-0.3</x:v>
      </x:c>
      <x:c r="W2770" s="28" t="n">
        <x:f>L2770-M2770</x:f>
        <x:v>4</x:v>
      </x:c>
      <x:c r="X2770" s="24" t="n">
        <x:f>IFERROR(K2770/I2770,0)</x:f>
        <x:v>0.25</x:v>
      </x:c>
      <x:c r="Y2770" s="24" t="n">
        <x:f>IFERROR(G2770/I2770,0)</x:f>
        <x:v>0.125</x:v>
      </x:c>
      <x:c r="Z2770" s="24" t="n">
        <x:f>IFERROR(G2770/K2770,0)</x:f>
        <x:v>0.5</x:v>
      </x:c>
      <x:c r="AA2770" s="24" t="n">
        <x:f>IFERROR(F2770/H2770,0)-IFERROR(G2770/I2770,0)</x:f>
        <x:v>-0.04166666666666667</x:v>
      </x:c>
      <x:c r="AB2770" s="28" t="n">
        <x:f>J2770-K2770</x:f>
        <x:v>8</x:v>
      </x:c>
      <x:c r="AC2770" s="32" t="n">
        <x:f>F2770-G2770</x:f>
        <x:v>1</x:v>
      </x:c>
    </x:row>
    <x:row r="2771">
      <x:c r="A2771" s="4" t="str">
        <x:v>2024-25</x:v>
      </x:c>
      <x:c r="B2771" s="20" t="n">
        <x:v>45703</x:v>
      </x:c>
      <x:c r="C2771" s="4" t="str">
        <x:v>Ipswich</x:v>
      </x:c>
      <x:c r="D2771" s="4" t="str">
        <x:v>Aston Villa</x:v>
      </x:c>
      <x:c r="E2771" s="4" t="str">
        <x:v>Away</x:v>
      </x:c>
      <x:c r="F2771" s="28" t="n">
        <x:v>1</x:v>
      </x:c>
      <x:c r="G2771" s="28" t="n">
        <x:v>1</x:v>
      </x:c>
      <x:c r="H2771" s="28" t="n">
        <x:v>4</x:v>
      </x:c>
      <x:c r="I2771" s="28" t="n">
        <x:v>25</x:v>
      </x:c>
      <x:c r="J2771" s="28" t="n">
        <x:v>3</x:v>
      </x:c>
      <x:c r="K2771" s="28" t="n">
        <x:v>6</x:v>
      </x:c>
      <x:c r="L2771" s="28" t="n">
        <x:v>1</x:v>
      </x:c>
      <x:c r="M2771" s="28" t="n">
        <x:v>16</x:v>
      </x:c>
      <x:c r="N2771" s="28" t="n">
        <x:v>3</x:v>
      </x:c>
      <x:c r="O2771" s="28" t="n">
        <x:v>1</x:v>
      </x:c>
      <x:c r="P2771" s="28" t="n">
        <x:v>1</x:v>
      </x:c>
      <x:c r="Q2771" s="24" t="n">
        <x:f>IFERROR(J2771/H2771,0)</x:f>
        <x:v>0.75</x:v>
      </x:c>
      <x:c r="R2771" s="24" t="n">
        <x:f>IFERROR(F2771/H2771,0)</x:f>
        <x:v>0.25</x:v>
      </x:c>
      <x:c r="S2771" s="24" t="n">
        <x:f>IFERROR(F2771/J2771,0)</x:f>
        <x:v>0.3333333333333333</x:v>
      </x:c>
      <x:c r="T2771" s="28" t="n">
        <x:f>H2771-I2771</x:f>
        <x:v>-21</x:v>
      </x:c>
      <x:c r="U2771" s="24" t="n">
        <x:f>IFERROR(J2771/H2771,0)-IFERROR(K2771/I2771,0)</x:f>
        <x:v>0.51</x:v>
      </x:c>
      <x:c r="V2771" s="24" t="n">
        <x:f>IFERROR(F2771/J2771,0)-IFERROR(G2771/K2771,0)</x:f>
        <x:v>0.16666666666666666</x:v>
      </x:c>
      <x:c r="W2771" s="28" t="n">
        <x:f>L2771-M2771</x:f>
        <x:v>-15</x:v>
      </x:c>
      <x:c r="X2771" s="24" t="n">
        <x:f>IFERROR(K2771/I2771,0)</x:f>
        <x:v>0.24</x:v>
      </x:c>
      <x:c r="Y2771" s="24" t="n">
        <x:f>IFERROR(G2771/I2771,0)</x:f>
        <x:v>0.04</x:v>
      </x:c>
      <x:c r="Z2771" s="24" t="n">
        <x:f>IFERROR(G2771/K2771,0)</x:f>
        <x:v>0.16666666666666666</x:v>
      </x:c>
      <x:c r="AA2771" s="24" t="n">
        <x:f>IFERROR(F2771/H2771,0)-IFERROR(G2771/I2771,0)</x:f>
        <x:v>0.21</x:v>
      </x:c>
      <x:c r="AB2771" s="28" t="n">
        <x:f>J2771-K2771</x:f>
        <x:v>-3</x:v>
      </x:c>
      <x:c r="AC2771" s="32" t="n">
        <x:f>F2771-G2771</x:f>
        <x:v>0</x:v>
      </x:c>
    </x:row>
    <x:row r="2772">
      <x:c r="A2772" s="4" t="str">
        <x:v>2024-25</x:v>
      </x:c>
      <x:c r="B2772" s="20" t="n">
        <x:v>45703</x:v>
      </x:c>
      <x:c r="C2772" s="4" t="str">
        <x:v>Leicester</x:v>
      </x:c>
      <x:c r="D2772" s="4" t="str">
        <x:v>Arsenal</x:v>
      </x:c>
      <x:c r="E2772" s="4" t="str">
        <x:v>Home</x:v>
      </x:c>
      <x:c r="F2772" s="28" t="n">
        <x:v>0</x:v>
      </x:c>
      <x:c r="G2772" s="28" t="n">
        <x:v>2</x:v>
      </x:c>
      <x:c r="H2772" s="28" t="n">
        <x:v>6</x:v>
      </x:c>
      <x:c r="I2772" s="28" t="n">
        <x:v>11</x:v>
      </x:c>
      <x:c r="J2772" s="28" t="n">
        <x:v>2</x:v>
      </x:c>
      <x:c r="K2772" s="28" t="n">
        <x:v>5</x:v>
      </x:c>
      <x:c r="L2772" s="28" t="n">
        <x:v>3</x:v>
      </x:c>
      <x:c r="M2772" s="28" t="n">
        <x:v>7</x:v>
      </x:c>
      <x:c r="N2772" s="28" t="n">
        <x:v>2</x:v>
      </x:c>
      <x:c r="O2772" s="28" t="n">
        <x:v>0</x:v>
      </x:c>
      <x:c r="P2772" s="28" t="n">
        <x:v>0</x:v>
      </x:c>
      <x:c r="Q2772" s="24" t="n">
        <x:f>IFERROR(J2772/H2772,0)</x:f>
        <x:v>0.3333333333333333</x:v>
      </x:c>
      <x:c r="R2772" s="24" t="n">
        <x:f>IFERROR(F2772/H2772,0)</x:f>
        <x:v>0</x:v>
      </x:c>
      <x:c r="S2772" s="24" t="n">
        <x:f>IFERROR(F2772/J2772,0)</x:f>
        <x:v>0</x:v>
      </x:c>
      <x:c r="T2772" s="28" t="n">
        <x:f>H2772-I2772</x:f>
        <x:v>-5</x:v>
      </x:c>
      <x:c r="U2772" s="24" t="n">
        <x:f>IFERROR(J2772/H2772,0)-IFERROR(K2772/I2772,0)</x:f>
        <x:v>-0.12121212121212122</x:v>
      </x:c>
      <x:c r="V2772" s="24" t="n">
        <x:f>IFERROR(F2772/J2772,0)-IFERROR(G2772/K2772,0)</x:f>
        <x:v>-0.4</x:v>
      </x:c>
      <x:c r="W2772" s="28" t="n">
        <x:f>L2772-M2772</x:f>
        <x:v>-4</x:v>
      </x:c>
      <x:c r="X2772" s="24" t="n">
        <x:f>IFERROR(K2772/I2772,0)</x:f>
        <x:v>0.45454545454545453</x:v>
      </x:c>
      <x:c r="Y2772" s="24" t="n">
        <x:f>IFERROR(G2772/I2772,0)</x:f>
        <x:v>0.18181818181818182</x:v>
      </x:c>
      <x:c r="Z2772" s="24" t="n">
        <x:f>IFERROR(G2772/K2772,0)</x:f>
        <x:v>0.4</x:v>
      </x:c>
      <x:c r="AA2772" s="24" t="n">
        <x:f>IFERROR(F2772/H2772,0)-IFERROR(G2772/I2772,0)</x:f>
        <x:v>-0.18181818181818182</x:v>
      </x:c>
      <x:c r="AB2772" s="28" t="n">
        <x:f>J2772-K2772</x:f>
        <x:v>-3</x:v>
      </x:c>
      <x:c r="AC2772" s="32" t="n">
        <x:f>F2772-G2772</x:f>
        <x:v>-2</x:v>
      </x:c>
    </x:row>
    <x:row r="2773">
      <x:c r="A2773" s="4" t="str">
        <x:v>2024-25</x:v>
      </x:c>
      <x:c r="B2773" s="20" t="n">
        <x:v>45703</x:v>
      </x:c>
      <x:c r="C2773" s="4" t="str">
        <x:v>Man City</x:v>
      </x:c>
      <x:c r="D2773" s="4" t="str">
        <x:v>Newcastle</x:v>
      </x:c>
      <x:c r="E2773" s="4" t="str">
        <x:v>Home</x:v>
      </x:c>
      <x:c r="F2773" s="28" t="n">
        <x:v>4</x:v>
      </x:c>
      <x:c r="G2773" s="28" t="n">
        <x:v>0</x:v>
      </x:c>
      <x:c r="H2773" s="28" t="n">
        <x:v>11</x:v>
      </x:c>
      <x:c r="I2773" s="28" t="n">
        <x:v>3</x:v>
      </x:c>
      <x:c r="J2773" s="28" t="n">
        <x:v>7</x:v>
      </x:c>
      <x:c r="K2773" s="28" t="n">
        <x:v>1</x:v>
      </x:c>
      <x:c r="L2773" s="28" t="n">
        <x:v>7</x:v>
      </x:c>
      <x:c r="M2773" s="28" t="n">
        <x:v>4</x:v>
      </x:c>
      <x:c r="N2773" s="28" t="n">
        <x:v>0</x:v>
      </x:c>
      <x:c r="O2773" s="28" t="n">
        <x:v>0</x:v>
      </x:c>
      <x:c r="P2773" s="28" t="n">
        <x:v>3</x:v>
      </x:c>
      <x:c r="Q2773" s="24" t="n">
        <x:f>IFERROR(J2773/H2773,0)</x:f>
        <x:v>0.6363636363636364</x:v>
      </x:c>
      <x:c r="R2773" s="24" t="n">
        <x:f>IFERROR(F2773/H2773,0)</x:f>
        <x:v>0.36363636363636365</x:v>
      </x:c>
      <x:c r="S2773" s="24" t="n">
        <x:f>IFERROR(F2773/J2773,0)</x:f>
        <x:v>0.5714285714285714</x:v>
      </x:c>
      <x:c r="T2773" s="28" t="n">
        <x:f>H2773-I2773</x:f>
        <x:v>8</x:v>
      </x:c>
      <x:c r="U2773" s="24" t="n">
        <x:f>IFERROR(J2773/H2773,0)-IFERROR(K2773/I2773,0)</x:f>
        <x:v>0.30303030303030304</x:v>
      </x:c>
      <x:c r="V2773" s="24" t="n">
        <x:f>IFERROR(F2773/J2773,0)-IFERROR(G2773/K2773,0)</x:f>
        <x:v>0.5714285714285714</x:v>
      </x:c>
      <x:c r="W2773" s="28" t="n">
        <x:f>L2773-M2773</x:f>
        <x:v>3</x:v>
      </x:c>
      <x:c r="X2773" s="24" t="n">
        <x:f>IFERROR(K2773/I2773,0)</x:f>
        <x:v>0.3333333333333333</x:v>
      </x:c>
      <x:c r="Y2773" s="24" t="n">
        <x:f>IFERROR(G2773/I2773,0)</x:f>
        <x:v>0</x:v>
      </x:c>
      <x:c r="Z2773" s="24" t="n">
        <x:f>IFERROR(G2773/K2773,0)</x:f>
        <x:v>0</x:v>
      </x:c>
      <x:c r="AA2773" s="24" t="n">
        <x:f>IFERROR(F2773/H2773,0)-IFERROR(G2773/I2773,0)</x:f>
        <x:v>0.36363636363636365</x:v>
      </x:c>
      <x:c r="AB2773" s="28" t="n">
        <x:f>J2773-K2773</x:f>
        <x:v>6</x:v>
      </x:c>
      <x:c r="AC2773" s="32" t="n">
        <x:f>F2773-G2773</x:f>
        <x:v>4</x:v>
      </x:c>
    </x:row>
    <x:row r="2774">
      <x:c r="A2774" s="4" t="str">
        <x:v>2024-25</x:v>
      </x:c>
      <x:c r="B2774" s="20" t="n">
        <x:v>45703</x:v>
      </x:c>
      <x:c r="C2774" s="4" t="str">
        <x:v>Newcastle</x:v>
      </x:c>
      <x:c r="D2774" s="4" t="str">
        <x:v>Man City</x:v>
      </x:c>
      <x:c r="E2774" s="4" t="str">
        <x:v>Away</x:v>
      </x:c>
      <x:c r="F2774" s="28" t="n">
        <x:v>0</x:v>
      </x:c>
      <x:c r="G2774" s="28" t="n">
        <x:v>4</x:v>
      </x:c>
      <x:c r="H2774" s="28" t="n">
        <x:v>3</x:v>
      </x:c>
      <x:c r="I2774" s="28" t="n">
        <x:v>11</x:v>
      </x:c>
      <x:c r="J2774" s="28" t="n">
        <x:v>1</x:v>
      </x:c>
      <x:c r="K2774" s="28" t="n">
        <x:v>7</x:v>
      </x:c>
      <x:c r="L2774" s="28" t="n">
        <x:v>4</x:v>
      </x:c>
      <x:c r="M2774" s="28" t="n">
        <x:v>7</x:v>
      </x:c>
      <x:c r="N2774" s="28" t="n">
        <x:v>1</x:v>
      </x:c>
      <x:c r="O2774" s="28" t="n">
        <x:v>0</x:v>
      </x:c>
      <x:c r="P2774" s="28" t="n">
        <x:v>0</x:v>
      </x:c>
      <x:c r="Q2774" s="24" t="n">
        <x:f>IFERROR(J2774/H2774,0)</x:f>
        <x:v>0.3333333333333333</x:v>
      </x:c>
      <x:c r="R2774" s="24" t="n">
        <x:f>IFERROR(F2774/H2774,0)</x:f>
        <x:v>0</x:v>
      </x:c>
      <x:c r="S2774" s="24" t="n">
        <x:f>IFERROR(F2774/J2774,0)</x:f>
        <x:v>0</x:v>
      </x:c>
      <x:c r="T2774" s="28" t="n">
        <x:f>H2774-I2774</x:f>
        <x:v>-8</x:v>
      </x:c>
      <x:c r="U2774" s="24" t="n">
        <x:f>IFERROR(J2774/H2774,0)-IFERROR(K2774/I2774,0)</x:f>
        <x:v>-0.30303030303030304</x:v>
      </x:c>
      <x:c r="V2774" s="24" t="n">
        <x:f>IFERROR(F2774/J2774,0)-IFERROR(G2774/K2774,0)</x:f>
        <x:v>-0.5714285714285714</x:v>
      </x:c>
      <x:c r="W2774" s="28" t="n">
        <x:f>L2774-M2774</x:f>
        <x:v>-3</x:v>
      </x:c>
      <x:c r="X2774" s="24" t="n">
        <x:f>IFERROR(K2774/I2774,0)</x:f>
        <x:v>0.6363636363636364</x:v>
      </x:c>
      <x:c r="Y2774" s="24" t="n">
        <x:f>IFERROR(G2774/I2774,0)</x:f>
        <x:v>0.36363636363636365</x:v>
      </x:c>
      <x:c r="Z2774" s="24" t="n">
        <x:f>IFERROR(G2774/K2774,0)</x:f>
        <x:v>0.5714285714285714</x:v>
      </x:c>
      <x:c r="AA2774" s="24" t="n">
        <x:f>IFERROR(F2774/H2774,0)-IFERROR(G2774/I2774,0)</x:f>
        <x:v>-0.36363636363636365</x:v>
      </x:c>
      <x:c r="AB2774" s="28" t="n">
        <x:f>J2774-K2774</x:f>
        <x:v>-6</x:v>
      </x:c>
      <x:c r="AC2774" s="32" t="n">
        <x:f>F2774-G2774</x:f>
        <x:v>-4</x:v>
      </x:c>
    </x:row>
    <x:row r="2775">
      <x:c r="A2775" s="4" t="str">
        <x:v>2024-25</x:v>
      </x:c>
      <x:c r="B2775" s="20" t="n">
        <x:v>45703</x:v>
      </x:c>
      <x:c r="C2775" s="4" t="str">
        <x:v>Nott'm Forest</x:v>
      </x:c>
      <x:c r="D2775" s="4" t="str">
        <x:v>Fulham</x:v>
      </x:c>
      <x:c r="E2775" s="4" t="str">
        <x:v>Away</x:v>
      </x:c>
      <x:c r="F2775" s="28" t="n">
        <x:v>1</x:v>
      </x:c>
      <x:c r="G2775" s="28" t="n">
        <x:v>2</x:v>
      </x:c>
      <x:c r="H2775" s="28" t="n">
        <x:v>8</x:v>
      </x:c>
      <x:c r="I2775" s="28" t="n">
        <x:v>24</x:v>
      </x:c>
      <x:c r="J2775" s="28" t="n">
        <x:v>2</x:v>
      </x:c>
      <x:c r="K2775" s="28" t="n">
        <x:v>10</x:v>
      </x:c>
      <x:c r="L2775" s="28" t="n">
        <x:v>4</x:v>
      </x:c>
      <x:c r="M2775" s="28" t="n">
        <x:v>8</x:v>
      </x:c>
      <x:c r="N2775" s="28" t="n">
        <x:v>0</x:v>
      </x:c>
      <x:c r="O2775" s="28" t="n">
        <x:v>0</x:v>
      </x:c>
      <x:c r="P2775" s="28" t="n">
        <x:v>0</x:v>
      </x:c>
      <x:c r="Q2775" s="24" t="n">
        <x:f>IFERROR(J2775/H2775,0)</x:f>
        <x:v>0.25</x:v>
      </x:c>
      <x:c r="R2775" s="24" t="n">
        <x:f>IFERROR(F2775/H2775,0)</x:f>
        <x:v>0.125</x:v>
      </x:c>
      <x:c r="S2775" s="24" t="n">
        <x:f>IFERROR(F2775/J2775,0)</x:f>
        <x:v>0.5</x:v>
      </x:c>
      <x:c r="T2775" s="28" t="n">
        <x:f>H2775-I2775</x:f>
        <x:v>-16</x:v>
      </x:c>
      <x:c r="U2775" s="24" t="n">
        <x:f>IFERROR(J2775/H2775,0)-IFERROR(K2775/I2775,0)</x:f>
        <x:v>-0.16666666666666669</x:v>
      </x:c>
      <x:c r="V2775" s="24" t="n">
        <x:f>IFERROR(F2775/J2775,0)-IFERROR(G2775/K2775,0)</x:f>
        <x:v>0.3</x:v>
      </x:c>
      <x:c r="W2775" s="28" t="n">
        <x:f>L2775-M2775</x:f>
        <x:v>-4</x:v>
      </x:c>
      <x:c r="X2775" s="24" t="n">
        <x:f>IFERROR(K2775/I2775,0)</x:f>
        <x:v>0.4166666666666667</x:v>
      </x:c>
      <x:c r="Y2775" s="24" t="n">
        <x:f>IFERROR(G2775/I2775,0)</x:f>
        <x:v>0.08333333333333333</x:v>
      </x:c>
      <x:c r="Z2775" s="24" t="n">
        <x:f>IFERROR(G2775/K2775,0)</x:f>
        <x:v>0.2</x:v>
      </x:c>
      <x:c r="AA2775" s="24" t="n">
        <x:f>IFERROR(F2775/H2775,0)-IFERROR(G2775/I2775,0)</x:f>
        <x:v>0.04166666666666667</x:v>
      </x:c>
      <x:c r="AB2775" s="28" t="n">
        <x:f>J2775-K2775</x:f>
        <x:v>-8</x:v>
      </x:c>
      <x:c r="AC2775" s="32" t="n">
        <x:f>F2775-G2775</x:f>
        <x:v>-1</x:v>
      </x:c>
    </x:row>
    <x:row r="2776">
      <x:c r="A2776" s="4" t="str">
        <x:v>2024-25</x:v>
      </x:c>
      <x:c r="B2776" s="20" t="n">
        <x:v>45703</x:v>
      </x:c>
      <x:c r="C2776" s="4" t="str">
        <x:v>Southampton</x:v>
      </x:c>
      <x:c r="D2776" s="4" t="str">
        <x:v>Bournemouth</x:v>
      </x:c>
      <x:c r="E2776" s="4" t="str">
        <x:v>Home</x:v>
      </x:c>
      <x:c r="F2776" s="28" t="n">
        <x:v>1</x:v>
      </x:c>
      <x:c r="G2776" s="28" t="n">
        <x:v>3</x:v>
      </x:c>
      <x:c r="H2776" s="28" t="n">
        <x:v>11</x:v>
      </x:c>
      <x:c r="I2776" s="28" t="n">
        <x:v>14</x:v>
      </x:c>
      <x:c r="J2776" s="28" t="n">
        <x:v>4</x:v>
      </x:c>
      <x:c r="K2776" s="28" t="n">
        <x:v>7</x:v>
      </x:c>
      <x:c r="L2776" s="28" t="n">
        <x:v>4</x:v>
      </x:c>
      <x:c r="M2776" s="28" t="n">
        <x:v>6</x:v>
      </x:c>
      <x:c r="N2776" s="28" t="n">
        <x:v>1</x:v>
      </x:c>
      <x:c r="O2776" s="28" t="n">
        <x:v>0</x:v>
      </x:c>
      <x:c r="P2776" s="28" t="n">
        <x:v>0</x:v>
      </x:c>
      <x:c r="Q2776" s="24" t="n">
        <x:f>IFERROR(J2776/H2776,0)</x:f>
        <x:v>0.36363636363636365</x:v>
      </x:c>
      <x:c r="R2776" s="24" t="n">
        <x:f>IFERROR(F2776/H2776,0)</x:f>
        <x:v>0.09090909090909091</x:v>
      </x:c>
      <x:c r="S2776" s="24" t="n">
        <x:f>IFERROR(F2776/J2776,0)</x:f>
        <x:v>0.25</x:v>
      </x:c>
      <x:c r="T2776" s="28" t="n">
        <x:f>H2776-I2776</x:f>
        <x:v>-3</x:v>
      </x:c>
      <x:c r="U2776" s="24" t="n">
        <x:f>IFERROR(J2776/H2776,0)-IFERROR(K2776/I2776,0)</x:f>
        <x:v>-0.13636363636363635</x:v>
      </x:c>
      <x:c r="V2776" s="24" t="n">
        <x:f>IFERROR(F2776/J2776,0)-IFERROR(G2776/K2776,0)</x:f>
        <x:v>-0.17857142857142855</x:v>
      </x:c>
      <x:c r="W2776" s="28" t="n">
        <x:f>L2776-M2776</x:f>
        <x:v>-2</x:v>
      </x:c>
      <x:c r="X2776" s="24" t="n">
        <x:f>IFERROR(K2776/I2776,0)</x:f>
        <x:v>0.5</x:v>
      </x:c>
      <x:c r="Y2776" s="24" t="n">
        <x:f>IFERROR(G2776/I2776,0)</x:f>
        <x:v>0.21428571428571427</x:v>
      </x:c>
      <x:c r="Z2776" s="24" t="n">
        <x:f>IFERROR(G2776/K2776,0)</x:f>
        <x:v>0.42857142857142855</x:v>
      </x:c>
      <x:c r="AA2776" s="24" t="n">
        <x:f>IFERROR(F2776/H2776,0)-IFERROR(G2776/I2776,0)</x:f>
        <x:v>-0.12337662337662336</x:v>
      </x:c>
      <x:c r="AB2776" s="28" t="n">
        <x:f>J2776-K2776</x:f>
        <x:v>-3</x:v>
      </x:c>
      <x:c r="AC2776" s="32" t="n">
        <x:f>F2776-G2776</x:f>
        <x:v>-2</x:v>
      </x:c>
    </x:row>
    <x:row r="2777">
      <x:c r="A2777" s="4" t="str">
        <x:v>2024-25</x:v>
      </x:c>
      <x:c r="B2777" s="20" t="n">
        <x:v>45703</x:v>
      </x:c>
      <x:c r="C2777" s="4" t="str">
        <x:v>West Ham</x:v>
      </x:c>
      <x:c r="D2777" s="4" t="str">
        <x:v>Brentford</x:v>
      </x:c>
      <x:c r="E2777" s="4" t="str">
        <x:v>Home</x:v>
      </x:c>
      <x:c r="F2777" s="28" t="n">
        <x:v>0</x:v>
      </x:c>
      <x:c r="G2777" s="28" t="n">
        <x:v>1</x:v>
      </x:c>
      <x:c r="H2777" s="28" t="n">
        <x:v>13</x:v>
      </x:c>
      <x:c r="I2777" s="28" t="n">
        <x:v>14</x:v>
      </x:c>
      <x:c r="J2777" s="28" t="n">
        <x:v>3</x:v>
      </x:c>
      <x:c r="K2777" s="28" t="n">
        <x:v>5</x:v>
      </x:c>
      <x:c r="L2777" s="28" t="n">
        <x:v>9</x:v>
      </x:c>
      <x:c r="M2777" s="28" t="n">
        <x:v>2</x:v>
      </x:c>
      <x:c r="N2777" s="28" t="n">
        <x:v>1</x:v>
      </x:c>
      <x:c r="O2777" s="28" t="n">
        <x:v>0</x:v>
      </x:c>
      <x:c r="P2777" s="28" t="n">
        <x:v>0</x:v>
      </x:c>
      <x:c r="Q2777" s="24" t="n">
        <x:f>IFERROR(J2777/H2777,0)</x:f>
        <x:v>0.23076923076923078</x:v>
      </x:c>
      <x:c r="R2777" s="24" t="n">
        <x:f>IFERROR(F2777/H2777,0)</x:f>
        <x:v>0</x:v>
      </x:c>
      <x:c r="S2777" s="24" t="n">
        <x:f>IFERROR(F2777/J2777,0)</x:f>
        <x:v>0</x:v>
      </x:c>
      <x:c r="T2777" s="28" t="n">
        <x:f>H2777-I2777</x:f>
        <x:v>-1</x:v>
      </x:c>
      <x:c r="U2777" s="24" t="n">
        <x:f>IFERROR(J2777/H2777,0)-IFERROR(K2777/I2777,0)</x:f>
        <x:v>-0.12637362637362637</x:v>
      </x:c>
      <x:c r="V2777" s="24" t="n">
        <x:f>IFERROR(F2777/J2777,0)-IFERROR(G2777/K2777,0)</x:f>
        <x:v>-0.2</x:v>
      </x:c>
      <x:c r="W2777" s="28" t="n">
        <x:f>L2777-M2777</x:f>
        <x:v>7</x:v>
      </x:c>
      <x:c r="X2777" s="24" t="n">
        <x:f>IFERROR(K2777/I2777,0)</x:f>
        <x:v>0.35714285714285715</x:v>
      </x:c>
      <x:c r="Y2777" s="24" t="n">
        <x:f>IFERROR(G2777/I2777,0)</x:f>
        <x:v>0.07142857142857142</x:v>
      </x:c>
      <x:c r="Z2777" s="24" t="n">
        <x:f>IFERROR(G2777/K2777,0)</x:f>
        <x:v>0.2</x:v>
      </x:c>
      <x:c r="AA2777" s="24" t="n">
        <x:f>IFERROR(F2777/H2777,0)-IFERROR(G2777/I2777,0)</x:f>
        <x:v>-0.07142857142857142</x:v>
      </x:c>
      <x:c r="AB2777" s="28" t="n">
        <x:f>J2777-K2777</x:f>
        <x:v>-2</x:v>
      </x:c>
      <x:c r="AC2777" s="32" t="n">
        <x:f>F2777-G2777</x:f>
        <x:v>-1</x:v>
      </x:c>
    </x:row>
    <x:row r="2778">
      <x:c r="A2778" s="4" t="str">
        <x:v>2024-25</x:v>
      </x:c>
      <x:c r="B2778" s="20" t="n">
        <x:v>45704</x:v>
      </x:c>
      <x:c r="C2778" s="4" t="str">
        <x:v>Liverpool</x:v>
      </x:c>
      <x:c r="D2778" s="4" t="str">
        <x:v>Wolves</x:v>
      </x:c>
      <x:c r="E2778" s="4" t="str">
        <x:v>Home</x:v>
      </x:c>
      <x:c r="F2778" s="28" t="n">
        <x:v>2</x:v>
      </x:c>
      <x:c r="G2778" s="28" t="n">
        <x:v>1</x:v>
      </x:c>
      <x:c r="H2778" s="28" t="n">
        <x:v>10</x:v>
      </x:c>
      <x:c r="I2778" s="28" t="n">
        <x:v>16</x:v>
      </x:c>
      <x:c r="J2778" s="28" t="n">
        <x:v>3</x:v>
      </x:c>
      <x:c r="K2778" s="28" t="n">
        <x:v>4</x:v>
      </x:c>
      <x:c r="L2778" s="28" t="n">
        <x:v>4</x:v>
      </x:c>
      <x:c r="M2778" s="28" t="n">
        <x:v>3</x:v>
      </x:c>
      <x:c r="N2778" s="28" t="n">
        <x:v>2</x:v>
      </x:c>
      <x:c r="O2778" s="28" t="n">
        <x:v>0</x:v>
      </x:c>
      <x:c r="P2778" s="28" t="n">
        <x:v>3</x:v>
      </x:c>
      <x:c r="Q2778" s="24" t="n">
        <x:f>IFERROR(J2778/H2778,0)</x:f>
        <x:v>0.3</x:v>
      </x:c>
      <x:c r="R2778" s="24" t="n">
        <x:f>IFERROR(F2778/H2778,0)</x:f>
        <x:v>0.2</x:v>
      </x:c>
      <x:c r="S2778" s="24" t="n">
        <x:f>IFERROR(F2778/J2778,0)</x:f>
        <x:v>0.6666666666666666</x:v>
      </x:c>
      <x:c r="T2778" s="28" t="n">
        <x:f>H2778-I2778</x:f>
        <x:v>-6</x:v>
      </x:c>
      <x:c r="U2778" s="24" t="n">
        <x:f>IFERROR(J2778/H2778,0)-IFERROR(K2778/I2778,0)</x:f>
        <x:v>0.04999999999999999</x:v>
      </x:c>
      <x:c r="V2778" s="24" t="n">
        <x:f>IFERROR(F2778/J2778,0)-IFERROR(G2778/K2778,0)</x:f>
        <x:v>0.41666666666666663</x:v>
      </x:c>
      <x:c r="W2778" s="28" t="n">
        <x:f>L2778-M2778</x:f>
        <x:v>1</x:v>
      </x:c>
      <x:c r="X2778" s="24" t="n">
        <x:f>IFERROR(K2778/I2778,0)</x:f>
        <x:v>0.25</x:v>
      </x:c>
      <x:c r="Y2778" s="24" t="n">
        <x:f>IFERROR(G2778/I2778,0)</x:f>
        <x:v>0.0625</x:v>
      </x:c>
      <x:c r="Z2778" s="24" t="n">
        <x:f>IFERROR(G2778/K2778,0)</x:f>
        <x:v>0.25</x:v>
      </x:c>
      <x:c r="AA2778" s="24" t="n">
        <x:f>IFERROR(F2778/H2778,0)-IFERROR(G2778/I2778,0)</x:f>
        <x:v>0.1375</x:v>
      </x:c>
      <x:c r="AB2778" s="28" t="n">
        <x:f>J2778-K2778</x:f>
        <x:v>-1</x:v>
      </x:c>
      <x:c r="AC2778" s="32" t="n">
        <x:f>F2778-G2778</x:f>
        <x:v>1</x:v>
      </x:c>
    </x:row>
    <x:row r="2779">
      <x:c r="A2779" s="4" t="str">
        <x:v>2024-25</x:v>
      </x:c>
      <x:c r="B2779" s="20" t="n">
        <x:v>45704</x:v>
      </x:c>
      <x:c r="C2779" s="4" t="str">
        <x:v>Man United</x:v>
      </x:c>
      <x:c r="D2779" s="4" t="str">
        <x:v>Tottenham</x:v>
      </x:c>
      <x:c r="E2779" s="4" t="str">
        <x:v>Away</x:v>
      </x:c>
      <x:c r="F2779" s="28" t="n">
        <x:v>0</x:v>
      </x:c>
      <x:c r="G2779" s="28" t="n">
        <x:v>1</x:v>
      </x:c>
      <x:c r="H2779" s="28" t="n">
        <x:v>16</x:v>
      </x:c>
      <x:c r="I2779" s="28" t="n">
        <x:v>22</x:v>
      </x:c>
      <x:c r="J2779" s="28" t="n">
        <x:v>6</x:v>
      </x:c>
      <x:c r="K2779" s="28" t="n">
        <x:v>7</x:v>
      </x:c>
      <x:c r="L2779" s="28" t="n">
        <x:v>5</x:v>
      </x:c>
      <x:c r="M2779" s="28" t="n">
        <x:v>10</x:v>
      </x:c>
      <x:c r="N2779" s="28" t="n">
        <x:v>2</x:v>
      </x:c>
      <x:c r="O2779" s="28" t="n">
        <x:v>0</x:v>
      </x:c>
      <x:c r="P2779" s="28" t="n">
        <x:v>0</x:v>
      </x:c>
      <x:c r="Q2779" s="24" t="n">
        <x:f>IFERROR(J2779/H2779,0)</x:f>
        <x:v>0.375</x:v>
      </x:c>
      <x:c r="R2779" s="24" t="n">
        <x:f>IFERROR(F2779/H2779,0)</x:f>
        <x:v>0</x:v>
      </x:c>
      <x:c r="S2779" s="24" t="n">
        <x:f>IFERROR(F2779/J2779,0)</x:f>
        <x:v>0</x:v>
      </x:c>
      <x:c r="T2779" s="28" t="n">
        <x:f>H2779-I2779</x:f>
        <x:v>-6</x:v>
      </x:c>
      <x:c r="U2779" s="24" t="n">
        <x:f>IFERROR(J2779/H2779,0)-IFERROR(K2779/I2779,0)</x:f>
        <x:v>0.05681818181818182</x:v>
      </x:c>
      <x:c r="V2779" s="24" t="n">
        <x:f>IFERROR(F2779/J2779,0)-IFERROR(G2779/K2779,0)</x:f>
        <x:v>-0.14285714285714285</x:v>
      </x:c>
      <x:c r="W2779" s="28" t="n">
        <x:f>L2779-M2779</x:f>
        <x:v>-5</x:v>
      </x:c>
      <x:c r="X2779" s="24" t="n">
        <x:f>IFERROR(K2779/I2779,0)</x:f>
        <x:v>0.3181818181818182</x:v>
      </x:c>
      <x:c r="Y2779" s="24" t="n">
        <x:f>IFERROR(G2779/I2779,0)</x:f>
        <x:v>0.045454545454545456</x:v>
      </x:c>
      <x:c r="Z2779" s="24" t="n">
        <x:f>IFERROR(G2779/K2779,0)</x:f>
        <x:v>0.14285714285714285</x:v>
      </x:c>
      <x:c r="AA2779" s="24" t="n">
        <x:f>IFERROR(F2779/H2779,0)-IFERROR(G2779/I2779,0)</x:f>
        <x:v>-0.045454545454545456</x:v>
      </x:c>
      <x:c r="AB2779" s="28" t="n">
        <x:f>J2779-K2779</x:f>
        <x:v>-1</x:v>
      </x:c>
      <x:c r="AC2779" s="32" t="n">
        <x:f>F2779-G2779</x:f>
        <x:v>-1</x:v>
      </x:c>
    </x:row>
    <x:row r="2780">
      <x:c r="A2780" s="4" t="str">
        <x:v>2024-25</x:v>
      </x:c>
      <x:c r="B2780" s="20" t="n">
        <x:v>45704</x:v>
      </x:c>
      <x:c r="C2780" s="4" t="str">
        <x:v>Tottenham</x:v>
      </x:c>
      <x:c r="D2780" s="4" t="str">
        <x:v>Man United</x:v>
      </x:c>
      <x:c r="E2780" s="4" t="str">
        <x:v>Home</x:v>
      </x:c>
      <x:c r="F2780" s="28" t="n">
        <x:v>1</x:v>
      </x:c>
      <x:c r="G2780" s="28" t="n">
        <x:v>0</x:v>
      </x:c>
      <x:c r="H2780" s="28" t="n">
        <x:v>22</x:v>
      </x:c>
      <x:c r="I2780" s="28" t="n">
        <x:v>16</x:v>
      </x:c>
      <x:c r="J2780" s="28" t="n">
        <x:v>7</x:v>
      </x:c>
      <x:c r="K2780" s="28" t="n">
        <x:v>6</x:v>
      </x:c>
      <x:c r="L2780" s="28" t="n">
        <x:v>10</x:v>
      </x:c>
      <x:c r="M2780" s="28" t="n">
        <x:v>5</x:v>
      </x:c>
      <x:c r="N2780" s="28" t="n">
        <x:v>1</x:v>
      </x:c>
      <x:c r="O2780" s="28" t="n">
        <x:v>0</x:v>
      </x:c>
      <x:c r="P2780" s="28" t="n">
        <x:v>3</x:v>
      </x:c>
      <x:c r="Q2780" s="24" t="n">
        <x:f>IFERROR(J2780/H2780,0)</x:f>
        <x:v>0.3181818181818182</x:v>
      </x:c>
      <x:c r="R2780" s="24" t="n">
        <x:f>IFERROR(F2780/H2780,0)</x:f>
        <x:v>0.045454545454545456</x:v>
      </x:c>
      <x:c r="S2780" s="24" t="n">
        <x:f>IFERROR(F2780/J2780,0)</x:f>
        <x:v>0.14285714285714285</x:v>
      </x:c>
      <x:c r="T2780" s="28" t="n">
        <x:f>H2780-I2780</x:f>
        <x:v>6</x:v>
      </x:c>
      <x:c r="U2780" s="24" t="n">
        <x:f>IFERROR(J2780/H2780,0)-IFERROR(K2780/I2780,0)</x:f>
        <x:v>-0.05681818181818182</x:v>
      </x:c>
      <x:c r="V2780" s="24" t="n">
        <x:f>IFERROR(F2780/J2780,0)-IFERROR(G2780/K2780,0)</x:f>
        <x:v>0.14285714285714285</x:v>
      </x:c>
      <x:c r="W2780" s="28" t="n">
        <x:f>L2780-M2780</x:f>
        <x:v>5</x:v>
      </x:c>
      <x:c r="X2780" s="24" t="n">
        <x:f>IFERROR(K2780/I2780,0)</x:f>
        <x:v>0.375</x:v>
      </x:c>
      <x:c r="Y2780" s="24" t="n">
        <x:f>IFERROR(G2780/I2780,0)</x:f>
        <x:v>0</x:v>
      </x:c>
      <x:c r="Z2780" s="24" t="n">
        <x:f>IFERROR(G2780/K2780,0)</x:f>
        <x:v>0</x:v>
      </x:c>
      <x:c r="AA2780" s="24" t="n">
        <x:f>IFERROR(F2780/H2780,0)-IFERROR(G2780/I2780,0)</x:f>
        <x:v>0.045454545454545456</x:v>
      </x:c>
      <x:c r="AB2780" s="28" t="n">
        <x:f>J2780-K2780</x:f>
        <x:v>1</x:v>
      </x:c>
      <x:c r="AC2780" s="32" t="n">
        <x:f>F2780-G2780</x:f>
        <x:v>1</x:v>
      </x:c>
    </x:row>
    <x:row r="2781">
      <x:c r="A2781" s="4" t="str">
        <x:v>2024-25</x:v>
      </x:c>
      <x:c r="B2781" s="20" t="n">
        <x:v>45704</x:v>
      </x:c>
      <x:c r="C2781" s="4" t="str">
        <x:v>Wolves</x:v>
      </x:c>
      <x:c r="D2781" s="4" t="str">
        <x:v>Liverpool</x:v>
      </x:c>
      <x:c r="E2781" s="4" t="str">
        <x:v>Away</x:v>
      </x:c>
      <x:c r="F2781" s="28" t="n">
        <x:v>1</x:v>
      </x:c>
      <x:c r="G2781" s="28" t="n">
        <x:v>2</x:v>
      </x:c>
      <x:c r="H2781" s="28" t="n">
        <x:v>16</x:v>
      </x:c>
      <x:c r="I2781" s="28" t="n">
        <x:v>10</x:v>
      </x:c>
      <x:c r="J2781" s="28" t="n">
        <x:v>4</x:v>
      </x:c>
      <x:c r="K2781" s="28" t="n">
        <x:v>3</x:v>
      </x:c>
      <x:c r="L2781" s="28" t="n">
        <x:v>3</x:v>
      </x:c>
      <x:c r="M2781" s="28" t="n">
        <x:v>4</x:v>
      </x:c>
      <x:c r="N2781" s="28" t="n">
        <x:v>2</x:v>
      </x:c>
      <x:c r="O2781" s="28" t="n">
        <x:v>0</x:v>
      </x:c>
      <x:c r="P2781" s="28" t="n">
        <x:v>0</x:v>
      </x:c>
      <x:c r="Q2781" s="24" t="n">
        <x:f>IFERROR(J2781/H2781,0)</x:f>
        <x:v>0.25</x:v>
      </x:c>
      <x:c r="R2781" s="24" t="n">
        <x:f>IFERROR(F2781/H2781,0)</x:f>
        <x:v>0.0625</x:v>
      </x:c>
      <x:c r="S2781" s="24" t="n">
        <x:f>IFERROR(F2781/J2781,0)</x:f>
        <x:v>0.25</x:v>
      </x:c>
      <x:c r="T2781" s="28" t="n">
        <x:f>H2781-I2781</x:f>
        <x:v>6</x:v>
      </x:c>
      <x:c r="U2781" s="24" t="n">
        <x:f>IFERROR(J2781/H2781,0)-IFERROR(K2781/I2781,0)</x:f>
        <x:v>-0.04999999999999999</x:v>
      </x:c>
      <x:c r="V2781" s="24" t="n">
        <x:f>IFERROR(F2781/J2781,0)-IFERROR(G2781/K2781,0)</x:f>
        <x:v>-0.41666666666666663</x:v>
      </x:c>
      <x:c r="W2781" s="28" t="n">
        <x:f>L2781-M2781</x:f>
        <x:v>-1</x:v>
      </x:c>
      <x:c r="X2781" s="24" t="n">
        <x:f>IFERROR(K2781/I2781,0)</x:f>
        <x:v>0.3</x:v>
      </x:c>
      <x:c r="Y2781" s="24" t="n">
        <x:f>IFERROR(G2781/I2781,0)</x:f>
        <x:v>0.2</x:v>
      </x:c>
      <x:c r="Z2781" s="24" t="n">
        <x:f>IFERROR(G2781/K2781,0)</x:f>
        <x:v>0.6666666666666666</x:v>
      </x:c>
      <x:c r="AA2781" s="24" t="n">
        <x:f>IFERROR(F2781/H2781,0)-IFERROR(G2781/I2781,0)</x:f>
        <x:v>-0.1375</x:v>
      </x:c>
      <x:c r="AB2781" s="28" t="n">
        <x:f>J2781-K2781</x:f>
        <x:v>1</x:v>
      </x:c>
      <x:c r="AC2781" s="32" t="n">
        <x:f>F2781-G2781</x:f>
        <x:v>-1</x:v>
      </x:c>
    </x:row>
    <x:row r="2782">
      <x:c r="A2782" s="4" t="str">
        <x:v>2024-25</x:v>
      </x:c>
      <x:c r="B2782" s="20" t="n">
        <x:v>45707</x:v>
      </x:c>
      <x:c r="C2782" s="4" t="str">
        <x:v>Aston Villa</x:v>
      </x:c>
      <x:c r="D2782" s="4" t="str">
        <x:v>Liverpool</x:v>
      </x:c>
      <x:c r="E2782" s="4" t="str">
        <x:v>Home</x:v>
      </x:c>
      <x:c r="F2782" s="28" t="n">
        <x:v>2</x:v>
      </x:c>
      <x:c r="G2782" s="28" t="n">
        <x:v>2</x:v>
      </x:c>
      <x:c r="H2782" s="28" t="n">
        <x:v>9</x:v>
      </x:c>
      <x:c r="I2782" s="28" t="n">
        <x:v>17</x:v>
      </x:c>
      <x:c r="J2782" s="28" t="n">
        <x:v>4</x:v>
      </x:c>
      <x:c r="K2782" s="28" t="n">
        <x:v>3</x:v>
      </x:c>
      <x:c r="L2782" s="28" t="n">
        <x:v>6</x:v>
      </x:c>
      <x:c r="M2782" s="28" t="n">
        <x:v>8</x:v>
      </x:c>
      <x:c r="N2782" s="28" t="n">
        <x:v>1</x:v>
      </x:c>
      <x:c r="O2782" s="28" t="n">
        <x:v>0</x:v>
      </x:c>
      <x:c r="P2782" s="28" t="n">
        <x:v>1</x:v>
      </x:c>
      <x:c r="Q2782" s="24" t="n">
        <x:f>IFERROR(J2782/H2782,0)</x:f>
        <x:v>0.4444444444444444</x:v>
      </x:c>
      <x:c r="R2782" s="24" t="n">
        <x:f>IFERROR(F2782/H2782,0)</x:f>
        <x:v>0.2222222222222222</x:v>
      </x:c>
      <x:c r="S2782" s="24" t="n">
        <x:f>IFERROR(F2782/J2782,0)</x:f>
        <x:v>0.5</x:v>
      </x:c>
      <x:c r="T2782" s="28" t="n">
        <x:f>H2782-I2782</x:f>
        <x:v>-8</x:v>
      </x:c>
      <x:c r="U2782" s="24" t="n">
        <x:f>IFERROR(J2782/H2782,0)-IFERROR(K2782/I2782,0)</x:f>
        <x:v>0.26797385620915026</x:v>
      </x:c>
      <x:c r="V2782" s="24" t="n">
        <x:f>IFERROR(F2782/J2782,0)-IFERROR(G2782/K2782,0)</x:f>
        <x:v>-0.16666666666666663</x:v>
      </x:c>
      <x:c r="W2782" s="28" t="n">
        <x:f>L2782-M2782</x:f>
        <x:v>-2</x:v>
      </x:c>
      <x:c r="X2782" s="24" t="n">
        <x:f>IFERROR(K2782/I2782,0)</x:f>
        <x:v>0.17647058823529413</x:v>
      </x:c>
      <x:c r="Y2782" s="24" t="n">
        <x:f>IFERROR(G2782/I2782,0)</x:f>
        <x:v>0.11764705882352941</x:v>
      </x:c>
      <x:c r="Z2782" s="24" t="n">
        <x:f>IFERROR(G2782/K2782,0)</x:f>
        <x:v>0.6666666666666666</x:v>
      </x:c>
      <x:c r="AA2782" s="24" t="n">
        <x:f>IFERROR(F2782/H2782,0)-IFERROR(G2782/I2782,0)</x:f>
        <x:v>0.1045751633986928</x:v>
      </x:c>
      <x:c r="AB2782" s="28" t="n">
        <x:f>J2782-K2782</x:f>
        <x:v>1</x:v>
      </x:c>
      <x:c r="AC2782" s="32" t="n">
        <x:f>F2782-G2782</x:f>
        <x:v>0</x:v>
      </x:c>
    </x:row>
    <x:row r="2783">
      <x:c r="A2783" s="4" t="str">
        <x:v>2024-25</x:v>
      </x:c>
      <x:c r="B2783" s="20" t="n">
        <x:v>45707</x:v>
      </x:c>
      <x:c r="C2783" s="4" t="str">
        <x:v>Liverpool</x:v>
      </x:c>
      <x:c r="D2783" s="4" t="str">
        <x:v>Aston Villa</x:v>
      </x:c>
      <x:c r="E2783" s="4" t="str">
        <x:v>Away</x:v>
      </x:c>
      <x:c r="F2783" s="28" t="n">
        <x:v>2</x:v>
      </x:c>
      <x:c r="G2783" s="28" t="n">
        <x:v>2</x:v>
      </x:c>
      <x:c r="H2783" s="28" t="n">
        <x:v>17</x:v>
      </x:c>
      <x:c r="I2783" s="28" t="n">
        <x:v>9</x:v>
      </x:c>
      <x:c r="J2783" s="28" t="n">
        <x:v>3</x:v>
      </x:c>
      <x:c r="K2783" s="28" t="n">
        <x:v>4</x:v>
      </x:c>
      <x:c r="L2783" s="28" t="n">
        <x:v>8</x:v>
      </x:c>
      <x:c r="M2783" s="28" t="n">
        <x:v>6</x:v>
      </x:c>
      <x:c r="N2783" s="28" t="n">
        <x:v>0</x:v>
      </x:c>
      <x:c r="O2783" s="28" t="n">
        <x:v>0</x:v>
      </x:c>
      <x:c r="P2783" s="28" t="n">
        <x:v>1</x:v>
      </x:c>
      <x:c r="Q2783" s="24" t="n">
        <x:f>IFERROR(J2783/H2783,0)</x:f>
        <x:v>0.17647058823529413</x:v>
      </x:c>
      <x:c r="R2783" s="24" t="n">
        <x:f>IFERROR(F2783/H2783,0)</x:f>
        <x:v>0.11764705882352941</x:v>
      </x:c>
      <x:c r="S2783" s="24" t="n">
        <x:f>IFERROR(F2783/J2783,0)</x:f>
        <x:v>0.6666666666666666</x:v>
      </x:c>
      <x:c r="T2783" s="28" t="n">
        <x:f>H2783-I2783</x:f>
        <x:v>8</x:v>
      </x:c>
      <x:c r="U2783" s="24" t="n">
        <x:f>IFERROR(J2783/H2783,0)-IFERROR(K2783/I2783,0)</x:f>
        <x:v>-0.26797385620915026</x:v>
      </x:c>
      <x:c r="V2783" s="24" t="n">
        <x:f>IFERROR(F2783/J2783,0)-IFERROR(G2783/K2783,0)</x:f>
        <x:v>0.16666666666666663</x:v>
      </x:c>
      <x:c r="W2783" s="28" t="n">
        <x:f>L2783-M2783</x:f>
        <x:v>2</x:v>
      </x:c>
      <x:c r="X2783" s="24" t="n">
        <x:f>IFERROR(K2783/I2783,0)</x:f>
        <x:v>0.4444444444444444</x:v>
      </x:c>
      <x:c r="Y2783" s="24" t="n">
        <x:f>IFERROR(G2783/I2783,0)</x:f>
        <x:v>0.2222222222222222</x:v>
      </x:c>
      <x:c r="Z2783" s="24" t="n">
        <x:f>IFERROR(G2783/K2783,0)</x:f>
        <x:v>0.5</x:v>
      </x:c>
      <x:c r="AA2783" s="24" t="n">
        <x:f>IFERROR(F2783/H2783,0)-IFERROR(G2783/I2783,0)</x:f>
        <x:v>-0.1045751633986928</x:v>
      </x:c>
      <x:c r="AB2783" s="28" t="n">
        <x:f>J2783-K2783</x:f>
        <x:v>-1</x:v>
      </x:c>
      <x:c r="AC2783" s="32" t="n">
        <x:f>F2783-G2783</x:f>
        <x:v>0</x:v>
      </x:c>
    </x:row>
    <x:row r="2784">
      <x:c r="A2784" s="4" t="str">
        <x:v>2024-25</x:v>
      </x:c>
      <x:c r="B2784" s="20" t="n">
        <x:v>45709</x:v>
      </x:c>
      <x:c r="C2784" s="4" t="str">
        <x:v>Brentford</x:v>
      </x:c>
      <x:c r="D2784" s="4" t="str">
        <x:v>Leicester</x:v>
      </x:c>
      <x:c r="E2784" s="4" t="str">
        <x:v>Away</x:v>
      </x:c>
      <x:c r="F2784" s="28" t="n">
        <x:v>4</x:v>
      </x:c>
      <x:c r="G2784" s="28" t="n">
        <x:v>0</x:v>
      </x:c>
      <x:c r="H2784" s="28" t="n">
        <x:v>14</x:v>
      </x:c>
      <x:c r="I2784" s="28" t="n">
        <x:v>8</x:v>
      </x:c>
      <x:c r="J2784" s="28" t="n">
        <x:v>6</x:v>
      </x:c>
      <x:c r="K2784" s="28" t="n">
        <x:v>3</x:v>
      </x:c>
      <x:c r="L2784" s="28" t="n">
        <x:v>6</x:v>
      </x:c>
      <x:c r="M2784" s="28" t="n">
        <x:v>5</x:v>
      </x:c>
      <x:c r="N2784" s="28" t="n">
        <x:v>0</x:v>
      </x:c>
      <x:c r="O2784" s="28" t="n">
        <x:v>0</x:v>
      </x:c>
      <x:c r="P2784" s="28" t="n">
        <x:v>3</x:v>
      </x:c>
      <x:c r="Q2784" s="24" t="n">
        <x:f>IFERROR(J2784/H2784,0)</x:f>
        <x:v>0.42857142857142855</x:v>
      </x:c>
      <x:c r="R2784" s="24" t="n">
        <x:f>IFERROR(F2784/H2784,0)</x:f>
        <x:v>0.2857142857142857</x:v>
      </x:c>
      <x:c r="S2784" s="24" t="n">
        <x:f>IFERROR(F2784/J2784,0)</x:f>
        <x:v>0.6666666666666666</x:v>
      </x:c>
      <x:c r="T2784" s="28" t="n">
        <x:f>H2784-I2784</x:f>
        <x:v>6</x:v>
      </x:c>
      <x:c r="U2784" s="24" t="n">
        <x:f>IFERROR(J2784/H2784,0)-IFERROR(K2784/I2784,0)</x:f>
        <x:v>0.05357142857142855</x:v>
      </x:c>
      <x:c r="V2784" s="24" t="n">
        <x:f>IFERROR(F2784/J2784,0)-IFERROR(G2784/K2784,0)</x:f>
        <x:v>0.6666666666666666</x:v>
      </x:c>
      <x:c r="W2784" s="28" t="n">
        <x:f>L2784-M2784</x:f>
        <x:v>1</x:v>
      </x:c>
      <x:c r="X2784" s="24" t="n">
        <x:f>IFERROR(K2784/I2784,0)</x:f>
        <x:v>0.375</x:v>
      </x:c>
      <x:c r="Y2784" s="24" t="n">
        <x:f>IFERROR(G2784/I2784,0)</x:f>
        <x:v>0</x:v>
      </x:c>
      <x:c r="Z2784" s="24" t="n">
        <x:f>IFERROR(G2784/K2784,0)</x:f>
        <x:v>0</x:v>
      </x:c>
      <x:c r="AA2784" s="24" t="n">
        <x:f>IFERROR(F2784/H2784,0)-IFERROR(G2784/I2784,0)</x:f>
        <x:v>0.2857142857142857</x:v>
      </x:c>
      <x:c r="AB2784" s="28" t="n">
        <x:f>J2784-K2784</x:f>
        <x:v>3</x:v>
      </x:c>
      <x:c r="AC2784" s="32" t="n">
        <x:f>F2784-G2784</x:f>
        <x:v>4</x:v>
      </x:c>
    </x:row>
    <x:row r="2785">
      <x:c r="A2785" s="4" t="str">
        <x:v>2024-25</x:v>
      </x:c>
      <x:c r="B2785" s="20" t="n">
        <x:v>45709</x:v>
      </x:c>
      <x:c r="C2785" s="4" t="str">
        <x:v>Leicester</x:v>
      </x:c>
      <x:c r="D2785" s="4" t="str">
        <x:v>Brentford</x:v>
      </x:c>
      <x:c r="E2785" s="4" t="str">
        <x:v>Home</x:v>
      </x:c>
      <x:c r="F2785" s="28" t="n">
        <x:v>0</x:v>
      </x:c>
      <x:c r="G2785" s="28" t="n">
        <x:v>4</x:v>
      </x:c>
      <x:c r="H2785" s="28" t="n">
        <x:v>8</x:v>
      </x:c>
      <x:c r="I2785" s="28" t="n">
        <x:v>14</x:v>
      </x:c>
      <x:c r="J2785" s="28" t="n">
        <x:v>3</x:v>
      </x:c>
      <x:c r="K2785" s="28" t="n">
        <x:v>6</x:v>
      </x:c>
      <x:c r="L2785" s="28" t="n">
        <x:v>5</x:v>
      </x:c>
      <x:c r="M2785" s="28" t="n">
        <x:v>6</x:v>
      </x:c>
      <x:c r="N2785" s="28" t="n">
        <x:v>4</x:v>
      </x:c>
      <x:c r="O2785" s="28" t="n">
        <x:v>0</x:v>
      </x:c>
      <x:c r="P2785" s="28" t="n">
        <x:v>0</x:v>
      </x:c>
      <x:c r="Q2785" s="24" t="n">
        <x:f>IFERROR(J2785/H2785,0)</x:f>
        <x:v>0.375</x:v>
      </x:c>
      <x:c r="R2785" s="24" t="n">
        <x:f>IFERROR(F2785/H2785,0)</x:f>
        <x:v>0</x:v>
      </x:c>
      <x:c r="S2785" s="24" t="n">
        <x:f>IFERROR(F2785/J2785,0)</x:f>
        <x:v>0</x:v>
      </x:c>
      <x:c r="T2785" s="28" t="n">
        <x:f>H2785-I2785</x:f>
        <x:v>-6</x:v>
      </x:c>
      <x:c r="U2785" s="24" t="n">
        <x:f>IFERROR(J2785/H2785,0)-IFERROR(K2785/I2785,0)</x:f>
        <x:v>-0.05357142857142855</x:v>
      </x:c>
      <x:c r="V2785" s="24" t="n">
        <x:f>IFERROR(F2785/J2785,0)-IFERROR(G2785/K2785,0)</x:f>
        <x:v>-0.6666666666666666</x:v>
      </x:c>
      <x:c r="W2785" s="28" t="n">
        <x:f>L2785-M2785</x:f>
        <x:v>-1</x:v>
      </x:c>
      <x:c r="X2785" s="24" t="n">
        <x:f>IFERROR(K2785/I2785,0)</x:f>
        <x:v>0.42857142857142855</x:v>
      </x:c>
      <x:c r="Y2785" s="24" t="n">
        <x:f>IFERROR(G2785/I2785,0)</x:f>
        <x:v>0.2857142857142857</x:v>
      </x:c>
      <x:c r="Z2785" s="24" t="n">
        <x:f>IFERROR(G2785/K2785,0)</x:f>
        <x:v>0.6666666666666666</x:v>
      </x:c>
      <x:c r="AA2785" s="24" t="n">
        <x:f>IFERROR(F2785/H2785,0)-IFERROR(G2785/I2785,0)</x:f>
        <x:v>-0.2857142857142857</x:v>
      </x:c>
      <x:c r="AB2785" s="28" t="n">
        <x:f>J2785-K2785</x:f>
        <x:v>-3</x:v>
      </x:c>
      <x:c r="AC2785" s="32" t="n">
        <x:f>F2785-G2785</x:f>
        <x:v>-4</x:v>
      </x:c>
    </x:row>
    <x:row r="2786">
      <x:c r="A2786" s="4" t="str">
        <x:v>2024-25</x:v>
      </x:c>
      <x:c r="B2786" s="20" t="n">
        <x:v>45710</x:v>
      </x:c>
      <x:c r="C2786" s="4" t="str">
        <x:v>Arsenal</x:v>
      </x:c>
      <x:c r="D2786" s="4" t="str">
        <x:v>West Ham</x:v>
      </x:c>
      <x:c r="E2786" s="4" t="str">
        <x:v>Home</x:v>
      </x:c>
      <x:c r="F2786" s="28" t="n">
        <x:v>0</x:v>
      </x:c>
      <x:c r="G2786" s="28" t="n">
        <x:v>1</x:v>
      </x:c>
      <x:c r="H2786" s="28" t="n">
        <x:v>20</x:v>
      </x:c>
      <x:c r="I2786" s="28" t="n">
        <x:v>5</x:v>
      </x:c>
      <x:c r="J2786" s="28" t="n">
        <x:v>2</x:v>
      </x:c>
      <x:c r="K2786" s="28" t="n">
        <x:v>2</x:v>
      </x:c>
      <x:c r="L2786" s="28" t="n">
        <x:v>2</x:v>
      </x:c>
      <x:c r="M2786" s="28" t="n">
        <x:v>0</x:v>
      </x:c>
      <x:c r="N2786" s="28" t="n">
        <x:v>1</x:v>
      </x:c>
      <x:c r="O2786" s="28" t="n">
        <x:v>1</x:v>
      </x:c>
      <x:c r="P2786" s="28" t="n">
        <x:v>0</x:v>
      </x:c>
      <x:c r="Q2786" s="24" t="n">
        <x:f>IFERROR(J2786/H2786,0)</x:f>
        <x:v>0.1</x:v>
      </x:c>
      <x:c r="R2786" s="24" t="n">
        <x:f>IFERROR(F2786/H2786,0)</x:f>
        <x:v>0</x:v>
      </x:c>
      <x:c r="S2786" s="24" t="n">
        <x:f>IFERROR(F2786/J2786,0)</x:f>
        <x:v>0</x:v>
      </x:c>
      <x:c r="T2786" s="28" t="n">
        <x:f>H2786-I2786</x:f>
        <x:v>15</x:v>
      </x:c>
      <x:c r="U2786" s="24" t="n">
        <x:f>IFERROR(J2786/H2786,0)-IFERROR(K2786/I2786,0)</x:f>
        <x:v>-0.30000000000000004</x:v>
      </x:c>
      <x:c r="V2786" s="24" t="n">
        <x:f>IFERROR(F2786/J2786,0)-IFERROR(G2786/K2786,0)</x:f>
        <x:v>-0.5</x:v>
      </x:c>
      <x:c r="W2786" s="28" t="n">
        <x:f>L2786-M2786</x:f>
        <x:v>2</x:v>
      </x:c>
      <x:c r="X2786" s="24" t="n">
        <x:f>IFERROR(K2786/I2786,0)</x:f>
        <x:v>0.4</x:v>
      </x:c>
      <x:c r="Y2786" s="24" t="n">
        <x:f>IFERROR(G2786/I2786,0)</x:f>
        <x:v>0.2</x:v>
      </x:c>
      <x:c r="Z2786" s="24" t="n">
        <x:f>IFERROR(G2786/K2786,0)</x:f>
        <x:v>0.5</x:v>
      </x:c>
      <x:c r="AA2786" s="24" t="n">
        <x:f>IFERROR(F2786/H2786,0)-IFERROR(G2786/I2786,0)</x:f>
        <x:v>-0.2</x:v>
      </x:c>
      <x:c r="AB2786" s="28" t="n">
        <x:f>J2786-K2786</x:f>
        <x:v>0</x:v>
      </x:c>
      <x:c r="AC2786" s="32" t="n">
        <x:f>F2786-G2786</x:f>
        <x:v>-1</x:v>
      </x:c>
    </x:row>
    <x:row r="2787">
      <x:c r="A2787" s="4" t="str">
        <x:v>2024-25</x:v>
      </x:c>
      <x:c r="B2787" s="20" t="n">
        <x:v>45710</x:v>
      </x:c>
      <x:c r="C2787" s="4" t="str">
        <x:v>Aston Villa</x:v>
      </x:c>
      <x:c r="D2787" s="4" t="str">
        <x:v>Chelsea</x:v>
      </x:c>
      <x:c r="E2787" s="4" t="str">
        <x:v>Home</x:v>
      </x:c>
      <x:c r="F2787" s="28" t="n">
        <x:v>2</x:v>
      </x:c>
      <x:c r="G2787" s="28" t="n">
        <x:v>1</x:v>
      </x:c>
      <x:c r="H2787" s="28" t="n">
        <x:v>12</x:v>
      </x:c>
      <x:c r="I2787" s="28" t="n">
        <x:v>15</x:v>
      </x:c>
      <x:c r="J2787" s="28" t="n">
        <x:v>6</x:v>
      </x:c>
      <x:c r="K2787" s="28" t="n">
        <x:v>7</x:v>
      </x:c>
      <x:c r="L2787" s="28" t="n">
        <x:v>2</x:v>
      </x:c>
      <x:c r="M2787" s="28" t="n">
        <x:v>3</x:v>
      </x:c>
      <x:c r="N2787" s="28" t="n">
        <x:v>1</x:v>
      </x:c>
      <x:c r="O2787" s="28" t="n">
        <x:v>0</x:v>
      </x:c>
      <x:c r="P2787" s="28" t="n">
        <x:v>3</x:v>
      </x:c>
      <x:c r="Q2787" s="24" t="n">
        <x:f>IFERROR(J2787/H2787,0)</x:f>
        <x:v>0.5</x:v>
      </x:c>
      <x:c r="R2787" s="24" t="n">
        <x:f>IFERROR(F2787/H2787,0)</x:f>
        <x:v>0.16666666666666666</x:v>
      </x:c>
      <x:c r="S2787" s="24" t="n">
        <x:f>IFERROR(F2787/J2787,0)</x:f>
        <x:v>0.3333333333333333</x:v>
      </x:c>
      <x:c r="T2787" s="28" t="n">
        <x:f>H2787-I2787</x:f>
        <x:v>-3</x:v>
      </x:c>
      <x:c r="U2787" s="24" t="n">
        <x:f>IFERROR(J2787/H2787,0)-IFERROR(K2787/I2787,0)</x:f>
        <x:v>0.033333333333333326</x:v>
      </x:c>
      <x:c r="V2787" s="24" t="n">
        <x:f>IFERROR(F2787/J2787,0)-IFERROR(G2787/K2787,0)</x:f>
        <x:v>0.19047619047619047</x:v>
      </x:c>
      <x:c r="W2787" s="28" t="n">
        <x:f>L2787-M2787</x:f>
        <x:v>-1</x:v>
      </x:c>
      <x:c r="X2787" s="24" t="n">
        <x:f>IFERROR(K2787/I2787,0)</x:f>
        <x:v>0.4666666666666667</x:v>
      </x:c>
      <x:c r="Y2787" s="24" t="n">
        <x:f>IFERROR(G2787/I2787,0)</x:f>
        <x:v>0.06666666666666667</x:v>
      </x:c>
      <x:c r="Z2787" s="24" t="n">
        <x:f>IFERROR(G2787/K2787,0)</x:f>
        <x:v>0.14285714285714285</x:v>
      </x:c>
      <x:c r="AA2787" s="24" t="n">
        <x:f>IFERROR(F2787/H2787,0)-IFERROR(G2787/I2787,0)</x:f>
        <x:v>0.09999999999999999</x:v>
      </x:c>
      <x:c r="AB2787" s="28" t="n">
        <x:f>J2787-K2787</x:f>
        <x:v>-1</x:v>
      </x:c>
      <x:c r="AC2787" s="32" t="n">
        <x:f>F2787-G2787</x:f>
        <x:v>1</x:v>
      </x:c>
    </x:row>
    <x:row r="2788">
      <x:c r="A2788" s="4" t="str">
        <x:v>2024-25</x:v>
      </x:c>
      <x:c r="B2788" s="20" t="n">
        <x:v>45710</x:v>
      </x:c>
      <x:c r="C2788" s="4" t="str">
        <x:v>Bournemouth</x:v>
      </x:c>
      <x:c r="D2788" s="4" t="str">
        <x:v>Wolves</x:v>
      </x:c>
      <x:c r="E2788" s="4" t="str">
        <x:v>Home</x:v>
      </x:c>
      <x:c r="F2788" s="28" t="n">
        <x:v>0</x:v>
      </x:c>
      <x:c r="G2788" s="28" t="n">
        <x:v>1</x:v>
      </x:c>
      <x:c r="H2788" s="28" t="n">
        <x:v>8</x:v>
      </x:c>
      <x:c r="I2788" s="28" t="n">
        <x:v>13</x:v>
      </x:c>
      <x:c r="J2788" s="28" t="n">
        <x:v>3</x:v>
      </x:c>
      <x:c r="K2788" s="28" t="n">
        <x:v>5</x:v>
      </x:c>
      <x:c r="L2788" s="28" t="n">
        <x:v>6</x:v>
      </x:c>
      <x:c r="M2788" s="28" t="n">
        <x:v>7</x:v>
      </x:c>
      <x:c r="N2788" s="28" t="n">
        <x:v>3</x:v>
      </x:c>
      <x:c r="O2788" s="28" t="n">
        <x:v>1</x:v>
      </x:c>
      <x:c r="P2788" s="28" t="n">
        <x:v>0</x:v>
      </x:c>
      <x:c r="Q2788" s="24" t="n">
        <x:f>IFERROR(J2788/H2788,0)</x:f>
        <x:v>0.375</x:v>
      </x:c>
      <x:c r="R2788" s="24" t="n">
        <x:f>IFERROR(F2788/H2788,0)</x:f>
        <x:v>0</x:v>
      </x:c>
      <x:c r="S2788" s="24" t="n">
        <x:f>IFERROR(F2788/J2788,0)</x:f>
        <x:v>0</x:v>
      </x:c>
      <x:c r="T2788" s="28" t="n">
        <x:f>H2788-I2788</x:f>
        <x:v>-5</x:v>
      </x:c>
      <x:c r="U2788" s="24" t="n">
        <x:f>IFERROR(J2788/H2788,0)-IFERROR(K2788/I2788,0)</x:f>
        <x:v>-0.009615384615384637</x:v>
      </x:c>
      <x:c r="V2788" s="24" t="n">
        <x:f>IFERROR(F2788/J2788,0)-IFERROR(G2788/K2788,0)</x:f>
        <x:v>-0.2</x:v>
      </x:c>
      <x:c r="W2788" s="28" t="n">
        <x:f>L2788-M2788</x:f>
        <x:v>-1</x:v>
      </x:c>
      <x:c r="X2788" s="24" t="n">
        <x:f>IFERROR(K2788/I2788,0)</x:f>
        <x:v>0.38461538461538464</x:v>
      </x:c>
      <x:c r="Y2788" s="24" t="n">
        <x:f>IFERROR(G2788/I2788,0)</x:f>
        <x:v>0.07692307692307693</x:v>
      </x:c>
      <x:c r="Z2788" s="24" t="n">
        <x:f>IFERROR(G2788/K2788,0)</x:f>
        <x:v>0.2</x:v>
      </x:c>
      <x:c r="AA2788" s="24" t="n">
        <x:f>IFERROR(F2788/H2788,0)-IFERROR(G2788/I2788,0)</x:f>
        <x:v>-0.07692307692307693</x:v>
      </x:c>
      <x:c r="AB2788" s="28" t="n">
        <x:f>J2788-K2788</x:f>
        <x:v>-2</x:v>
      </x:c>
      <x:c r="AC2788" s="32" t="n">
        <x:f>F2788-G2788</x:f>
        <x:v>-1</x:v>
      </x:c>
    </x:row>
    <x:row r="2789">
      <x:c r="A2789" s="4" t="str">
        <x:v>2024-25</x:v>
      </x:c>
      <x:c r="B2789" s="20" t="n">
        <x:v>45710</x:v>
      </x:c>
      <x:c r="C2789" s="4" t="str">
        <x:v>Brighton</x:v>
      </x:c>
      <x:c r="D2789" s="4" t="str">
        <x:v>Southampton</x:v>
      </x:c>
      <x:c r="E2789" s="4" t="str">
        <x:v>Away</x:v>
      </x:c>
      <x:c r="F2789" s="28" t="n">
        <x:v>4</x:v>
      </x:c>
      <x:c r="G2789" s="28" t="n">
        <x:v>0</x:v>
      </x:c>
      <x:c r="H2789" s="28" t="n">
        <x:v>18</x:v>
      </x:c>
      <x:c r="I2789" s="28" t="n">
        <x:v>6</x:v>
      </x:c>
      <x:c r="J2789" s="28" t="n">
        <x:v>12</x:v>
      </x:c>
      <x:c r="K2789" s="28" t="n">
        <x:v>1</x:v>
      </x:c>
      <x:c r="L2789" s="28" t="n">
        <x:v>6</x:v>
      </x:c>
      <x:c r="M2789" s="28" t="n">
        <x:v>5</x:v>
      </x:c>
      <x:c r="N2789" s="28" t="n">
        <x:v>0</x:v>
      </x:c>
      <x:c r="O2789" s="28" t="n">
        <x:v>0</x:v>
      </x:c>
      <x:c r="P2789" s="28" t="n">
        <x:v>3</x:v>
      </x:c>
      <x:c r="Q2789" s="24" t="n">
        <x:f>IFERROR(J2789/H2789,0)</x:f>
        <x:v>0.6666666666666666</x:v>
      </x:c>
      <x:c r="R2789" s="24" t="n">
        <x:f>IFERROR(F2789/H2789,0)</x:f>
        <x:v>0.2222222222222222</x:v>
      </x:c>
      <x:c r="S2789" s="24" t="n">
        <x:f>IFERROR(F2789/J2789,0)</x:f>
        <x:v>0.3333333333333333</x:v>
      </x:c>
      <x:c r="T2789" s="28" t="n">
        <x:f>H2789-I2789</x:f>
        <x:v>12</x:v>
      </x:c>
      <x:c r="U2789" s="24" t="n">
        <x:f>IFERROR(J2789/H2789,0)-IFERROR(K2789/I2789,0)</x:f>
        <x:v>0.5</x:v>
      </x:c>
      <x:c r="V2789" s="24" t="n">
        <x:f>IFERROR(F2789/J2789,0)-IFERROR(G2789/K2789,0)</x:f>
        <x:v>0.3333333333333333</x:v>
      </x:c>
      <x:c r="W2789" s="28" t="n">
        <x:f>L2789-M2789</x:f>
        <x:v>1</x:v>
      </x:c>
      <x:c r="X2789" s="24" t="n">
        <x:f>IFERROR(K2789/I2789,0)</x:f>
        <x:v>0.16666666666666666</x:v>
      </x:c>
      <x:c r="Y2789" s="24" t="n">
        <x:f>IFERROR(G2789/I2789,0)</x:f>
        <x:v>0</x:v>
      </x:c>
      <x:c r="Z2789" s="24" t="n">
        <x:f>IFERROR(G2789/K2789,0)</x:f>
        <x:v>0</x:v>
      </x:c>
      <x:c r="AA2789" s="24" t="n">
        <x:f>IFERROR(F2789/H2789,0)-IFERROR(G2789/I2789,0)</x:f>
        <x:v>0.2222222222222222</x:v>
      </x:c>
      <x:c r="AB2789" s="28" t="n">
        <x:f>J2789-K2789</x:f>
        <x:v>11</x:v>
      </x:c>
      <x:c r="AC2789" s="32" t="n">
        <x:f>F2789-G2789</x:f>
        <x:v>4</x:v>
      </x:c>
    </x:row>
    <x:row r="2790">
      <x:c r="A2790" s="4" t="str">
        <x:v>2024-25</x:v>
      </x:c>
      <x:c r="B2790" s="20" t="n">
        <x:v>45710</x:v>
      </x:c>
      <x:c r="C2790" s="4" t="str">
        <x:v>Chelsea</x:v>
      </x:c>
      <x:c r="D2790" s="4" t="str">
        <x:v>Aston Villa</x:v>
      </x:c>
      <x:c r="E2790" s="4" t="str">
        <x:v>Away</x:v>
      </x:c>
      <x:c r="F2790" s="28" t="n">
        <x:v>1</x:v>
      </x:c>
      <x:c r="G2790" s="28" t="n">
        <x:v>2</x:v>
      </x:c>
      <x:c r="H2790" s="28" t="n">
        <x:v>15</x:v>
      </x:c>
      <x:c r="I2790" s="28" t="n">
        <x:v>12</x:v>
      </x:c>
      <x:c r="J2790" s="28" t="n">
        <x:v>7</x:v>
      </x:c>
      <x:c r="K2790" s="28" t="n">
        <x:v>6</x:v>
      </x:c>
      <x:c r="L2790" s="28" t="n">
        <x:v>3</x:v>
      </x:c>
      <x:c r="M2790" s="28" t="n">
        <x:v>2</x:v>
      </x:c>
      <x:c r="N2790" s="28" t="n">
        <x:v>3</x:v>
      </x:c>
      <x:c r="O2790" s="28" t="n">
        <x:v>0</x:v>
      </x:c>
      <x:c r="P2790" s="28" t="n">
        <x:v>0</x:v>
      </x:c>
      <x:c r="Q2790" s="24" t="n">
        <x:f>IFERROR(J2790/H2790,0)</x:f>
        <x:v>0.4666666666666667</x:v>
      </x:c>
      <x:c r="R2790" s="24" t="n">
        <x:f>IFERROR(F2790/H2790,0)</x:f>
        <x:v>0.06666666666666667</x:v>
      </x:c>
      <x:c r="S2790" s="24" t="n">
        <x:f>IFERROR(F2790/J2790,0)</x:f>
        <x:v>0.14285714285714285</x:v>
      </x:c>
      <x:c r="T2790" s="28" t="n">
        <x:f>H2790-I2790</x:f>
        <x:v>3</x:v>
      </x:c>
      <x:c r="U2790" s="24" t="n">
        <x:f>IFERROR(J2790/H2790,0)-IFERROR(K2790/I2790,0)</x:f>
        <x:v>-0.033333333333333326</x:v>
      </x:c>
      <x:c r="V2790" s="24" t="n">
        <x:f>IFERROR(F2790/J2790,0)-IFERROR(G2790/K2790,0)</x:f>
        <x:v>-0.19047619047619047</x:v>
      </x:c>
      <x:c r="W2790" s="28" t="n">
        <x:f>L2790-M2790</x:f>
        <x:v>1</x:v>
      </x:c>
      <x:c r="X2790" s="24" t="n">
        <x:f>IFERROR(K2790/I2790,0)</x:f>
        <x:v>0.5</x:v>
      </x:c>
      <x:c r="Y2790" s="24" t="n">
        <x:f>IFERROR(G2790/I2790,0)</x:f>
        <x:v>0.16666666666666666</x:v>
      </x:c>
      <x:c r="Z2790" s="24" t="n">
        <x:f>IFERROR(G2790/K2790,0)</x:f>
        <x:v>0.3333333333333333</x:v>
      </x:c>
      <x:c r="AA2790" s="24" t="n">
        <x:f>IFERROR(F2790/H2790,0)-IFERROR(G2790/I2790,0)</x:f>
        <x:v>-0.09999999999999999</x:v>
      </x:c>
      <x:c r="AB2790" s="28" t="n">
        <x:f>J2790-K2790</x:f>
        <x:v>1</x:v>
      </x:c>
      <x:c r="AC2790" s="32" t="n">
        <x:f>F2790-G2790</x:f>
        <x:v>-1</x:v>
      </x:c>
    </x:row>
    <x:row r="2791">
      <x:c r="A2791" s="4" t="str">
        <x:v>2024-25</x:v>
      </x:c>
      <x:c r="B2791" s="20" t="n">
        <x:v>45710</x:v>
      </x:c>
      <x:c r="C2791" s="4" t="str">
        <x:v>Crystal Palace</x:v>
      </x:c>
      <x:c r="D2791" s="4" t="str">
        <x:v>Fulham</x:v>
      </x:c>
      <x:c r="E2791" s="4" t="str">
        <x:v>Away</x:v>
      </x:c>
      <x:c r="F2791" s="28" t="n">
        <x:v>2</x:v>
      </x:c>
      <x:c r="G2791" s="28" t="n">
        <x:v>0</x:v>
      </x:c>
      <x:c r="H2791" s="28" t="n">
        <x:v>10</x:v>
      </x:c>
      <x:c r="I2791" s="28" t="n">
        <x:v>10</x:v>
      </x:c>
      <x:c r="J2791" s="28" t="n">
        <x:v>5</x:v>
      </x:c>
      <x:c r="K2791" s="28" t="n">
        <x:v>0</x:v>
      </x:c>
      <x:c r="L2791" s="28" t="n">
        <x:v>7</x:v>
      </x:c>
      <x:c r="M2791" s="28" t="n">
        <x:v>7</x:v>
      </x:c>
      <x:c r="N2791" s="28" t="n">
        <x:v>3</x:v>
      </x:c>
      <x:c r="O2791" s="28" t="n">
        <x:v>0</x:v>
      </x:c>
      <x:c r="P2791" s="28" t="n">
        <x:v>3</x:v>
      </x:c>
      <x:c r="Q2791" s="24" t="n">
        <x:f>IFERROR(J2791/H2791,0)</x:f>
        <x:v>0.5</x:v>
      </x:c>
      <x:c r="R2791" s="24" t="n">
        <x:f>IFERROR(F2791/H2791,0)</x:f>
        <x:v>0.2</x:v>
      </x:c>
      <x:c r="S2791" s="24" t="n">
        <x:f>IFERROR(F2791/J2791,0)</x:f>
        <x:v>0.4</x:v>
      </x:c>
      <x:c r="T2791" s="28" t="n">
        <x:f>H2791-I2791</x:f>
        <x:v>0</x:v>
      </x:c>
      <x:c r="U2791" s="24" t="n">
        <x:f>IFERROR(J2791/H2791,0)-IFERROR(K2791/I2791,0)</x:f>
        <x:v>0.5</x:v>
      </x:c>
      <x:c r="V2791" s="24" t="n">
        <x:f>IFERROR(F2791/J2791,0)-IFERROR(G2791/K2791,0)</x:f>
        <x:v>0.4</x:v>
      </x:c>
      <x:c r="W2791" s="28" t="n">
        <x:f>L2791-M2791</x:f>
        <x:v>0</x:v>
      </x:c>
      <x:c r="X2791" s="24" t="n">
        <x:f>IFERROR(K2791/I2791,0)</x:f>
        <x:v>0</x:v>
      </x:c>
      <x:c r="Y2791" s="24" t="n">
        <x:f>IFERROR(G2791/I2791,0)</x:f>
        <x:v>0</x:v>
      </x:c>
      <x:c r="Z2791" s="24" t="n">
        <x:f>IFERROR(G2791/K2791,0)</x:f>
        <x:v>0</x:v>
      </x:c>
      <x:c r="AA2791" s="24" t="n">
        <x:f>IFERROR(F2791/H2791,0)-IFERROR(G2791/I2791,0)</x:f>
        <x:v>0.2</x:v>
      </x:c>
      <x:c r="AB2791" s="28" t="n">
        <x:f>J2791-K2791</x:f>
        <x:v>5</x:v>
      </x:c>
      <x:c r="AC2791" s="32" t="n">
        <x:f>F2791-G2791</x:f>
        <x:v>2</x:v>
      </x:c>
    </x:row>
    <x:row r="2792">
      <x:c r="A2792" s="4" t="str">
        <x:v>2024-25</x:v>
      </x:c>
      <x:c r="B2792" s="20" t="n">
        <x:v>45710</x:v>
      </x:c>
      <x:c r="C2792" s="4" t="str">
        <x:v>Everton</x:v>
      </x:c>
      <x:c r="D2792" s="4" t="str">
        <x:v>Man United</x:v>
      </x:c>
      <x:c r="E2792" s="4" t="str">
        <x:v>Home</x:v>
      </x:c>
      <x:c r="F2792" s="28" t="n">
        <x:v>2</x:v>
      </x:c>
      <x:c r="G2792" s="28" t="n">
        <x:v>2</x:v>
      </x:c>
      <x:c r="H2792" s="28" t="n">
        <x:v>9</x:v>
      </x:c>
      <x:c r="I2792" s="28" t="n">
        <x:v>9</x:v>
      </x:c>
      <x:c r="J2792" s="28" t="n">
        <x:v>8</x:v>
      </x:c>
      <x:c r="K2792" s="28" t="n">
        <x:v>3</x:v>
      </x:c>
      <x:c r="L2792" s="28" t="n">
        <x:v>7</x:v>
      </x:c>
      <x:c r="M2792" s="28" t="n">
        <x:v>9</x:v>
      </x:c>
      <x:c r="N2792" s="28" t="n">
        <x:v>4</x:v>
      </x:c>
      <x:c r="O2792" s="28" t="n">
        <x:v>0</x:v>
      </x:c>
      <x:c r="P2792" s="28" t="n">
        <x:v>1</x:v>
      </x:c>
      <x:c r="Q2792" s="24" t="n">
        <x:f>IFERROR(J2792/H2792,0)</x:f>
        <x:v>0.8888888888888888</x:v>
      </x:c>
      <x:c r="R2792" s="24" t="n">
        <x:f>IFERROR(F2792/H2792,0)</x:f>
        <x:v>0.2222222222222222</x:v>
      </x:c>
      <x:c r="S2792" s="24" t="n">
        <x:f>IFERROR(F2792/J2792,0)</x:f>
        <x:v>0.25</x:v>
      </x:c>
      <x:c r="T2792" s="28" t="n">
        <x:f>H2792-I2792</x:f>
        <x:v>0</x:v>
      </x:c>
      <x:c r="U2792" s="24" t="n">
        <x:f>IFERROR(J2792/H2792,0)-IFERROR(K2792/I2792,0)</x:f>
        <x:v>0.5555555555555556</x:v>
      </x:c>
      <x:c r="V2792" s="24" t="n">
        <x:f>IFERROR(F2792/J2792,0)-IFERROR(G2792/K2792,0)</x:f>
        <x:v>-0.41666666666666663</x:v>
      </x:c>
      <x:c r="W2792" s="28" t="n">
        <x:f>L2792-M2792</x:f>
        <x:v>-2</x:v>
      </x:c>
      <x:c r="X2792" s="24" t="n">
        <x:f>IFERROR(K2792/I2792,0)</x:f>
        <x:v>0.3333333333333333</x:v>
      </x:c>
      <x:c r="Y2792" s="24" t="n">
        <x:f>IFERROR(G2792/I2792,0)</x:f>
        <x:v>0.2222222222222222</x:v>
      </x:c>
      <x:c r="Z2792" s="24" t="n">
        <x:f>IFERROR(G2792/K2792,0)</x:f>
        <x:v>0.6666666666666666</x:v>
      </x:c>
      <x:c r="AA2792" s="24" t="n">
        <x:f>IFERROR(F2792/H2792,0)-IFERROR(G2792/I2792,0)</x:f>
        <x:v>0</x:v>
      </x:c>
      <x:c r="AB2792" s="28" t="n">
        <x:f>J2792-K2792</x:f>
        <x:v>5</x:v>
      </x:c>
      <x:c r="AC2792" s="32" t="n">
        <x:f>F2792-G2792</x:f>
        <x:v>0</x:v>
      </x:c>
    </x:row>
    <x:row r="2793">
      <x:c r="A2793" s="4" t="str">
        <x:v>2024-25</x:v>
      </x:c>
      <x:c r="B2793" s="20" t="n">
        <x:v>45710</x:v>
      </x:c>
      <x:c r="C2793" s="4" t="str">
        <x:v>Fulham</x:v>
      </x:c>
      <x:c r="D2793" s="4" t="str">
        <x:v>Crystal Palace</x:v>
      </x:c>
      <x:c r="E2793" s="4" t="str">
        <x:v>Home</x:v>
      </x:c>
      <x:c r="F2793" s="28" t="n">
        <x:v>0</x:v>
      </x:c>
      <x:c r="G2793" s="28" t="n">
        <x:v>2</x:v>
      </x:c>
      <x:c r="H2793" s="28" t="n">
        <x:v>10</x:v>
      </x:c>
      <x:c r="I2793" s="28" t="n">
        <x:v>10</x:v>
      </x:c>
      <x:c r="J2793" s="28" t="n">
        <x:v>0</x:v>
      </x:c>
      <x:c r="K2793" s="28" t="n">
        <x:v>5</x:v>
      </x:c>
      <x:c r="L2793" s="28" t="n">
        <x:v>7</x:v>
      </x:c>
      <x:c r="M2793" s="28" t="n">
        <x:v>7</x:v>
      </x:c>
      <x:c r="N2793" s="28" t="n">
        <x:v>1</x:v>
      </x:c>
      <x:c r="O2793" s="28" t="n">
        <x:v>0</x:v>
      </x:c>
      <x:c r="P2793" s="28" t="n">
        <x:v>0</x:v>
      </x:c>
      <x:c r="Q2793" s="24" t="n">
        <x:f>IFERROR(J2793/H2793,0)</x:f>
        <x:v>0</x:v>
      </x:c>
      <x:c r="R2793" s="24" t="n">
        <x:f>IFERROR(F2793/H2793,0)</x:f>
        <x:v>0</x:v>
      </x:c>
      <x:c r="S2793" s="24" t="n">
        <x:f>IFERROR(F2793/J2793,0)</x:f>
        <x:v>0</x:v>
      </x:c>
      <x:c r="T2793" s="28" t="n">
        <x:f>H2793-I2793</x:f>
        <x:v>0</x:v>
      </x:c>
      <x:c r="U2793" s="24" t="n">
        <x:f>IFERROR(J2793/H2793,0)-IFERROR(K2793/I2793,0)</x:f>
        <x:v>-0.5</x:v>
      </x:c>
      <x:c r="V2793" s="24" t="n">
        <x:f>IFERROR(F2793/J2793,0)-IFERROR(G2793/K2793,0)</x:f>
        <x:v>-0.4</x:v>
      </x:c>
      <x:c r="W2793" s="28" t="n">
        <x:f>L2793-M2793</x:f>
        <x:v>0</x:v>
      </x:c>
      <x:c r="X2793" s="24" t="n">
        <x:f>IFERROR(K2793/I2793,0)</x:f>
        <x:v>0.5</x:v>
      </x:c>
      <x:c r="Y2793" s="24" t="n">
        <x:f>IFERROR(G2793/I2793,0)</x:f>
        <x:v>0.2</x:v>
      </x:c>
      <x:c r="Z2793" s="24" t="n">
        <x:f>IFERROR(G2793/K2793,0)</x:f>
        <x:v>0.4</x:v>
      </x:c>
      <x:c r="AA2793" s="24" t="n">
        <x:f>IFERROR(F2793/H2793,0)-IFERROR(G2793/I2793,0)</x:f>
        <x:v>-0.2</x:v>
      </x:c>
      <x:c r="AB2793" s="28" t="n">
        <x:f>J2793-K2793</x:f>
        <x:v>-5</x:v>
      </x:c>
      <x:c r="AC2793" s="32" t="n">
        <x:f>F2793-G2793</x:f>
        <x:v>-2</x:v>
      </x:c>
    </x:row>
    <x:row r="2794">
      <x:c r="A2794" s="4" t="str">
        <x:v>2024-25</x:v>
      </x:c>
      <x:c r="B2794" s="20" t="n">
        <x:v>45710</x:v>
      </x:c>
      <x:c r="C2794" s="4" t="str">
        <x:v>Ipswich</x:v>
      </x:c>
      <x:c r="D2794" s="4" t="str">
        <x:v>Tottenham</x:v>
      </x:c>
      <x:c r="E2794" s="4" t="str">
        <x:v>Home</x:v>
      </x:c>
      <x:c r="F2794" s="28" t="n">
        <x:v>1</x:v>
      </x:c>
      <x:c r="G2794" s="28" t="n">
        <x:v>4</x:v>
      </x:c>
      <x:c r="H2794" s="28" t="n">
        <x:v>17</x:v>
      </x:c>
      <x:c r="I2794" s="28" t="n">
        <x:v>10</x:v>
      </x:c>
      <x:c r="J2794" s="28" t="n">
        <x:v>5</x:v>
      </x:c>
      <x:c r="K2794" s="28" t="n">
        <x:v>6</x:v>
      </x:c>
      <x:c r="L2794" s="28" t="n">
        <x:v>4</x:v>
      </x:c>
      <x:c r="M2794" s="28" t="n">
        <x:v>4</x:v>
      </x:c>
      <x:c r="N2794" s="28" t="n">
        <x:v>2</x:v>
      </x:c>
      <x:c r="O2794" s="28" t="n">
        <x:v>0</x:v>
      </x:c>
      <x:c r="P2794" s="28" t="n">
        <x:v>0</x:v>
      </x:c>
      <x:c r="Q2794" s="24" t="n">
        <x:f>IFERROR(J2794/H2794,0)</x:f>
        <x:v>0.29411764705882354</x:v>
      </x:c>
      <x:c r="R2794" s="24" t="n">
        <x:f>IFERROR(F2794/H2794,0)</x:f>
        <x:v>0.058823529411764705</x:v>
      </x:c>
      <x:c r="S2794" s="24" t="n">
        <x:f>IFERROR(F2794/J2794,0)</x:f>
        <x:v>0.2</x:v>
      </x:c>
      <x:c r="T2794" s="28" t="n">
        <x:f>H2794-I2794</x:f>
        <x:v>7</x:v>
      </x:c>
      <x:c r="U2794" s="24" t="n">
        <x:f>IFERROR(J2794/H2794,0)-IFERROR(K2794/I2794,0)</x:f>
        <x:v>-0.30588235294117644</x:v>
      </x:c>
      <x:c r="V2794" s="24" t="n">
        <x:f>IFERROR(F2794/J2794,0)-IFERROR(G2794/K2794,0)</x:f>
        <x:v>-0.4666666666666666</x:v>
      </x:c>
      <x:c r="W2794" s="28" t="n">
        <x:f>L2794-M2794</x:f>
        <x:v>0</x:v>
      </x:c>
      <x:c r="X2794" s="24" t="n">
        <x:f>IFERROR(K2794/I2794,0)</x:f>
        <x:v>0.6</x:v>
      </x:c>
      <x:c r="Y2794" s="24" t="n">
        <x:f>IFERROR(G2794/I2794,0)</x:f>
        <x:v>0.4</x:v>
      </x:c>
      <x:c r="Z2794" s="24" t="n">
        <x:f>IFERROR(G2794/K2794,0)</x:f>
        <x:v>0.6666666666666666</x:v>
      </x:c>
      <x:c r="AA2794" s="24" t="n">
        <x:f>IFERROR(F2794/H2794,0)-IFERROR(G2794/I2794,0)</x:f>
        <x:v>-0.3411764705882353</x:v>
      </x:c>
      <x:c r="AB2794" s="28" t="n">
        <x:f>J2794-K2794</x:f>
        <x:v>-1</x:v>
      </x:c>
      <x:c r="AC2794" s="32" t="n">
        <x:f>F2794-G2794</x:f>
        <x:v>-3</x:v>
      </x:c>
    </x:row>
    <x:row r="2795">
      <x:c r="A2795" s="4" t="str">
        <x:v>2024-25</x:v>
      </x:c>
      <x:c r="B2795" s="20" t="n">
        <x:v>45710</x:v>
      </x:c>
      <x:c r="C2795" s="4" t="str">
        <x:v>Man United</x:v>
      </x:c>
      <x:c r="D2795" s="4" t="str">
        <x:v>Everton</x:v>
      </x:c>
      <x:c r="E2795" s="4" t="str">
        <x:v>Away</x:v>
      </x:c>
      <x:c r="F2795" s="28" t="n">
        <x:v>2</x:v>
      </x:c>
      <x:c r="G2795" s="28" t="n">
        <x:v>2</x:v>
      </x:c>
      <x:c r="H2795" s="28" t="n">
        <x:v>9</x:v>
      </x:c>
      <x:c r="I2795" s="28" t="n">
        <x:v>9</x:v>
      </x:c>
      <x:c r="J2795" s="28" t="n">
        <x:v>3</x:v>
      </x:c>
      <x:c r="K2795" s="28" t="n">
        <x:v>8</x:v>
      </x:c>
      <x:c r="L2795" s="28" t="n">
        <x:v>9</x:v>
      </x:c>
      <x:c r="M2795" s="28" t="n">
        <x:v>7</x:v>
      </x:c>
      <x:c r="N2795" s="28" t="n">
        <x:v>1</x:v>
      </x:c>
      <x:c r="O2795" s="28" t="n">
        <x:v>0</x:v>
      </x:c>
      <x:c r="P2795" s="28" t="n">
        <x:v>1</x:v>
      </x:c>
      <x:c r="Q2795" s="24" t="n">
        <x:f>IFERROR(J2795/H2795,0)</x:f>
        <x:v>0.3333333333333333</x:v>
      </x:c>
      <x:c r="R2795" s="24" t="n">
        <x:f>IFERROR(F2795/H2795,0)</x:f>
        <x:v>0.2222222222222222</x:v>
      </x:c>
      <x:c r="S2795" s="24" t="n">
        <x:f>IFERROR(F2795/J2795,0)</x:f>
        <x:v>0.6666666666666666</x:v>
      </x:c>
      <x:c r="T2795" s="28" t="n">
        <x:f>H2795-I2795</x:f>
        <x:v>0</x:v>
      </x:c>
      <x:c r="U2795" s="24" t="n">
        <x:f>IFERROR(J2795/H2795,0)-IFERROR(K2795/I2795,0)</x:f>
        <x:v>-0.5555555555555556</x:v>
      </x:c>
      <x:c r="V2795" s="24" t="n">
        <x:f>IFERROR(F2795/J2795,0)-IFERROR(G2795/K2795,0)</x:f>
        <x:v>0.41666666666666663</x:v>
      </x:c>
      <x:c r="W2795" s="28" t="n">
        <x:f>L2795-M2795</x:f>
        <x:v>2</x:v>
      </x:c>
      <x:c r="X2795" s="24" t="n">
        <x:f>IFERROR(K2795/I2795,0)</x:f>
        <x:v>0.8888888888888888</x:v>
      </x:c>
      <x:c r="Y2795" s="24" t="n">
        <x:f>IFERROR(G2795/I2795,0)</x:f>
        <x:v>0.2222222222222222</x:v>
      </x:c>
      <x:c r="Z2795" s="24" t="n">
        <x:f>IFERROR(G2795/K2795,0)</x:f>
        <x:v>0.25</x:v>
      </x:c>
      <x:c r="AA2795" s="24" t="n">
        <x:f>IFERROR(F2795/H2795,0)-IFERROR(G2795/I2795,0)</x:f>
        <x:v>0</x:v>
      </x:c>
      <x:c r="AB2795" s="28" t="n">
        <x:f>J2795-K2795</x:f>
        <x:v>-5</x:v>
      </x:c>
      <x:c r="AC2795" s="32" t="n">
        <x:f>F2795-G2795</x:f>
        <x:v>0</x:v>
      </x:c>
    </x:row>
    <x:row r="2796">
      <x:c r="A2796" s="4" t="str">
        <x:v>2024-25</x:v>
      </x:c>
      <x:c r="B2796" s="20" t="n">
        <x:v>45710</x:v>
      </x:c>
      <x:c r="C2796" s="4" t="str">
        <x:v>Southampton</x:v>
      </x:c>
      <x:c r="D2796" s="4" t="str">
        <x:v>Brighton</x:v>
      </x:c>
      <x:c r="E2796" s="4" t="str">
        <x:v>Home</x:v>
      </x:c>
      <x:c r="F2796" s="28" t="n">
        <x:v>0</x:v>
      </x:c>
      <x:c r="G2796" s="28" t="n">
        <x:v>4</x:v>
      </x:c>
      <x:c r="H2796" s="28" t="n">
        <x:v>6</x:v>
      </x:c>
      <x:c r="I2796" s="28" t="n">
        <x:v>18</x:v>
      </x:c>
      <x:c r="J2796" s="28" t="n">
        <x:v>1</x:v>
      </x:c>
      <x:c r="K2796" s="28" t="n">
        <x:v>12</x:v>
      </x:c>
      <x:c r="L2796" s="28" t="n">
        <x:v>5</x:v>
      </x:c>
      <x:c r="M2796" s="28" t="n">
        <x:v>6</x:v>
      </x:c>
      <x:c r="N2796" s="28" t="n">
        <x:v>2</x:v>
      </x:c>
      <x:c r="O2796" s="28" t="n">
        <x:v>0</x:v>
      </x:c>
      <x:c r="P2796" s="28" t="n">
        <x:v>0</x:v>
      </x:c>
      <x:c r="Q2796" s="24" t="n">
        <x:f>IFERROR(J2796/H2796,0)</x:f>
        <x:v>0.16666666666666666</x:v>
      </x:c>
      <x:c r="R2796" s="24" t="n">
        <x:f>IFERROR(F2796/H2796,0)</x:f>
        <x:v>0</x:v>
      </x:c>
      <x:c r="S2796" s="24" t="n">
        <x:f>IFERROR(F2796/J2796,0)</x:f>
        <x:v>0</x:v>
      </x:c>
      <x:c r="T2796" s="28" t="n">
        <x:f>H2796-I2796</x:f>
        <x:v>-12</x:v>
      </x:c>
      <x:c r="U2796" s="24" t="n">
        <x:f>IFERROR(J2796/H2796,0)-IFERROR(K2796/I2796,0)</x:f>
        <x:v>-0.5</x:v>
      </x:c>
      <x:c r="V2796" s="24" t="n">
        <x:f>IFERROR(F2796/J2796,0)-IFERROR(G2796/K2796,0)</x:f>
        <x:v>-0.3333333333333333</x:v>
      </x:c>
      <x:c r="W2796" s="28" t="n">
        <x:f>L2796-M2796</x:f>
        <x:v>-1</x:v>
      </x:c>
      <x:c r="X2796" s="24" t="n">
        <x:f>IFERROR(K2796/I2796,0)</x:f>
        <x:v>0.6666666666666666</x:v>
      </x:c>
      <x:c r="Y2796" s="24" t="n">
        <x:f>IFERROR(G2796/I2796,0)</x:f>
        <x:v>0.2222222222222222</x:v>
      </x:c>
      <x:c r="Z2796" s="24" t="n">
        <x:f>IFERROR(G2796/K2796,0)</x:f>
        <x:v>0.3333333333333333</x:v>
      </x:c>
      <x:c r="AA2796" s="24" t="n">
        <x:f>IFERROR(F2796/H2796,0)-IFERROR(G2796/I2796,0)</x:f>
        <x:v>-0.2222222222222222</x:v>
      </x:c>
      <x:c r="AB2796" s="28" t="n">
        <x:f>J2796-K2796</x:f>
        <x:v>-11</x:v>
      </x:c>
      <x:c r="AC2796" s="32" t="n">
        <x:f>F2796-G2796</x:f>
        <x:v>-4</x:v>
      </x:c>
    </x:row>
    <x:row r="2797">
      <x:c r="A2797" s="4" t="str">
        <x:v>2024-25</x:v>
      </x:c>
      <x:c r="B2797" s="20" t="n">
        <x:v>45710</x:v>
      </x:c>
      <x:c r="C2797" s="4" t="str">
        <x:v>Tottenham</x:v>
      </x:c>
      <x:c r="D2797" s="4" t="str">
        <x:v>Ipswich</x:v>
      </x:c>
      <x:c r="E2797" s="4" t="str">
        <x:v>Away</x:v>
      </x:c>
      <x:c r="F2797" s="28" t="n">
        <x:v>4</x:v>
      </x:c>
      <x:c r="G2797" s="28" t="n">
        <x:v>1</x:v>
      </x:c>
      <x:c r="H2797" s="28" t="n">
        <x:v>10</x:v>
      </x:c>
      <x:c r="I2797" s="28" t="n">
        <x:v>17</x:v>
      </x:c>
      <x:c r="J2797" s="28" t="n">
        <x:v>6</x:v>
      </x:c>
      <x:c r="K2797" s="28" t="n">
        <x:v>5</x:v>
      </x:c>
      <x:c r="L2797" s="28" t="n">
        <x:v>4</x:v>
      </x:c>
      <x:c r="M2797" s="28" t="n">
        <x:v>4</x:v>
      </x:c>
      <x:c r="N2797" s="28" t="n">
        <x:v>1</x:v>
      </x:c>
      <x:c r="O2797" s="28" t="n">
        <x:v>0</x:v>
      </x:c>
      <x:c r="P2797" s="28" t="n">
        <x:v>3</x:v>
      </x:c>
      <x:c r="Q2797" s="24" t="n">
        <x:f>IFERROR(J2797/H2797,0)</x:f>
        <x:v>0.6</x:v>
      </x:c>
      <x:c r="R2797" s="24" t="n">
        <x:f>IFERROR(F2797/H2797,0)</x:f>
        <x:v>0.4</x:v>
      </x:c>
      <x:c r="S2797" s="24" t="n">
        <x:f>IFERROR(F2797/J2797,0)</x:f>
        <x:v>0.6666666666666666</x:v>
      </x:c>
      <x:c r="T2797" s="28" t="n">
        <x:f>H2797-I2797</x:f>
        <x:v>-7</x:v>
      </x:c>
      <x:c r="U2797" s="24" t="n">
        <x:f>IFERROR(J2797/H2797,0)-IFERROR(K2797/I2797,0)</x:f>
        <x:v>0.30588235294117644</x:v>
      </x:c>
      <x:c r="V2797" s="24" t="n">
        <x:f>IFERROR(F2797/J2797,0)-IFERROR(G2797/K2797,0)</x:f>
        <x:v>0.4666666666666666</x:v>
      </x:c>
      <x:c r="W2797" s="28" t="n">
        <x:f>L2797-M2797</x:f>
        <x:v>0</x:v>
      </x:c>
      <x:c r="X2797" s="24" t="n">
        <x:f>IFERROR(K2797/I2797,0)</x:f>
        <x:v>0.29411764705882354</x:v>
      </x:c>
      <x:c r="Y2797" s="24" t="n">
        <x:f>IFERROR(G2797/I2797,0)</x:f>
        <x:v>0.058823529411764705</x:v>
      </x:c>
      <x:c r="Z2797" s="24" t="n">
        <x:f>IFERROR(G2797/K2797,0)</x:f>
        <x:v>0.2</x:v>
      </x:c>
      <x:c r="AA2797" s="24" t="n">
        <x:f>IFERROR(F2797/H2797,0)-IFERROR(G2797/I2797,0)</x:f>
        <x:v>0.3411764705882353</x:v>
      </x:c>
      <x:c r="AB2797" s="28" t="n">
        <x:f>J2797-K2797</x:f>
        <x:v>1</x:v>
      </x:c>
      <x:c r="AC2797" s="32" t="n">
        <x:f>F2797-G2797</x:f>
        <x:v>3</x:v>
      </x:c>
    </x:row>
    <x:row r="2798">
      <x:c r="A2798" s="4" t="str">
        <x:v>2024-25</x:v>
      </x:c>
      <x:c r="B2798" s="20" t="n">
        <x:v>45710</x:v>
      </x:c>
      <x:c r="C2798" s="4" t="str">
        <x:v>West Ham</x:v>
      </x:c>
      <x:c r="D2798" s="4" t="str">
        <x:v>Arsenal</x:v>
      </x:c>
      <x:c r="E2798" s="4" t="str">
        <x:v>Away</x:v>
      </x:c>
      <x:c r="F2798" s="28" t="n">
        <x:v>1</x:v>
      </x:c>
      <x:c r="G2798" s="28" t="n">
        <x:v>0</x:v>
      </x:c>
      <x:c r="H2798" s="28" t="n">
        <x:v>5</x:v>
      </x:c>
      <x:c r="I2798" s="28" t="n">
        <x:v>20</x:v>
      </x:c>
      <x:c r="J2798" s="28" t="n">
        <x:v>2</x:v>
      </x:c>
      <x:c r="K2798" s="28" t="n">
        <x:v>2</x:v>
      </x:c>
      <x:c r="L2798" s="28" t="n">
        <x:v>0</x:v>
      </x:c>
      <x:c r="M2798" s="28" t="n">
        <x:v>2</x:v>
      </x:c>
      <x:c r="N2798" s="28" t="n">
        <x:v>3</x:v>
      </x:c>
      <x:c r="O2798" s="28" t="n">
        <x:v>0</x:v>
      </x:c>
      <x:c r="P2798" s="28" t="n">
        <x:v>3</x:v>
      </x:c>
      <x:c r="Q2798" s="24" t="n">
        <x:f>IFERROR(J2798/H2798,0)</x:f>
        <x:v>0.4</x:v>
      </x:c>
      <x:c r="R2798" s="24" t="n">
        <x:f>IFERROR(F2798/H2798,0)</x:f>
        <x:v>0.2</x:v>
      </x:c>
      <x:c r="S2798" s="24" t="n">
        <x:f>IFERROR(F2798/J2798,0)</x:f>
        <x:v>0.5</x:v>
      </x:c>
      <x:c r="T2798" s="28" t="n">
        <x:f>H2798-I2798</x:f>
        <x:v>-15</x:v>
      </x:c>
      <x:c r="U2798" s="24" t="n">
        <x:f>IFERROR(J2798/H2798,0)-IFERROR(K2798/I2798,0)</x:f>
        <x:v>0.30000000000000004</x:v>
      </x:c>
      <x:c r="V2798" s="24" t="n">
        <x:f>IFERROR(F2798/J2798,0)-IFERROR(G2798/K2798,0)</x:f>
        <x:v>0.5</x:v>
      </x:c>
      <x:c r="W2798" s="28" t="n">
        <x:f>L2798-M2798</x:f>
        <x:v>-2</x:v>
      </x:c>
      <x:c r="X2798" s="24" t="n">
        <x:f>IFERROR(K2798/I2798,0)</x:f>
        <x:v>0.1</x:v>
      </x:c>
      <x:c r="Y2798" s="24" t="n">
        <x:f>IFERROR(G2798/I2798,0)</x:f>
        <x:v>0</x:v>
      </x:c>
      <x:c r="Z2798" s="24" t="n">
        <x:f>IFERROR(G2798/K2798,0)</x:f>
        <x:v>0</x:v>
      </x:c>
      <x:c r="AA2798" s="24" t="n">
        <x:f>IFERROR(F2798/H2798,0)-IFERROR(G2798/I2798,0)</x:f>
        <x:v>0.2</x:v>
      </x:c>
      <x:c r="AB2798" s="28" t="n">
        <x:f>J2798-K2798</x:f>
        <x:v>0</x:v>
      </x:c>
      <x:c r="AC2798" s="32" t="n">
        <x:f>F2798-G2798</x:f>
        <x:v>1</x:v>
      </x:c>
    </x:row>
    <x:row r="2799">
      <x:c r="A2799" s="4" t="str">
        <x:v>2024-25</x:v>
      </x:c>
      <x:c r="B2799" s="20" t="n">
        <x:v>45710</x:v>
      </x:c>
      <x:c r="C2799" s="4" t="str">
        <x:v>Wolves</x:v>
      </x:c>
      <x:c r="D2799" s="4" t="str">
        <x:v>Bournemouth</x:v>
      </x:c>
      <x:c r="E2799" s="4" t="str">
        <x:v>Away</x:v>
      </x:c>
      <x:c r="F2799" s="28" t="n">
        <x:v>1</x:v>
      </x:c>
      <x:c r="G2799" s="28" t="n">
        <x:v>0</x:v>
      </x:c>
      <x:c r="H2799" s="28" t="n">
        <x:v>13</x:v>
      </x:c>
      <x:c r="I2799" s="28" t="n">
        <x:v>8</x:v>
      </x:c>
      <x:c r="J2799" s="28" t="n">
        <x:v>5</x:v>
      </x:c>
      <x:c r="K2799" s="28" t="n">
        <x:v>3</x:v>
      </x:c>
      <x:c r="L2799" s="28" t="n">
        <x:v>7</x:v>
      </x:c>
      <x:c r="M2799" s="28" t="n">
        <x:v>6</x:v>
      </x:c>
      <x:c r="N2799" s="28" t="n">
        <x:v>3</x:v>
      </x:c>
      <x:c r="O2799" s="28" t="n">
        <x:v>0</x:v>
      </x:c>
      <x:c r="P2799" s="28" t="n">
        <x:v>3</x:v>
      </x:c>
      <x:c r="Q2799" s="24" t="n">
        <x:f>IFERROR(J2799/H2799,0)</x:f>
        <x:v>0.38461538461538464</x:v>
      </x:c>
      <x:c r="R2799" s="24" t="n">
        <x:f>IFERROR(F2799/H2799,0)</x:f>
        <x:v>0.07692307692307693</x:v>
      </x:c>
      <x:c r="S2799" s="24" t="n">
        <x:f>IFERROR(F2799/J2799,0)</x:f>
        <x:v>0.2</x:v>
      </x:c>
      <x:c r="T2799" s="28" t="n">
        <x:f>H2799-I2799</x:f>
        <x:v>5</x:v>
      </x:c>
      <x:c r="U2799" s="24" t="n">
        <x:f>IFERROR(J2799/H2799,0)-IFERROR(K2799/I2799,0)</x:f>
        <x:v>0.009615384615384637</x:v>
      </x:c>
      <x:c r="V2799" s="24" t="n">
        <x:f>IFERROR(F2799/J2799,0)-IFERROR(G2799/K2799,0)</x:f>
        <x:v>0.2</x:v>
      </x:c>
      <x:c r="W2799" s="28" t="n">
        <x:f>L2799-M2799</x:f>
        <x:v>1</x:v>
      </x:c>
      <x:c r="X2799" s="24" t="n">
        <x:f>IFERROR(K2799/I2799,0)</x:f>
        <x:v>0.375</x:v>
      </x:c>
      <x:c r="Y2799" s="24" t="n">
        <x:f>IFERROR(G2799/I2799,0)</x:f>
        <x:v>0</x:v>
      </x:c>
      <x:c r="Z2799" s="24" t="n">
        <x:f>IFERROR(G2799/K2799,0)</x:f>
        <x:v>0</x:v>
      </x:c>
      <x:c r="AA2799" s="24" t="n">
        <x:f>IFERROR(F2799/H2799,0)-IFERROR(G2799/I2799,0)</x:f>
        <x:v>0.07692307692307693</x:v>
      </x:c>
      <x:c r="AB2799" s="28" t="n">
        <x:f>J2799-K2799</x:f>
        <x:v>2</x:v>
      </x:c>
      <x:c r="AC2799" s="32" t="n">
        <x:f>F2799-G2799</x:f>
        <x:v>1</x:v>
      </x:c>
    </x:row>
    <x:row r="2800">
      <x:c r="A2800" s="4" t="str">
        <x:v>2024-25</x:v>
      </x:c>
      <x:c r="B2800" s="20" t="n">
        <x:v>45711</x:v>
      </x:c>
      <x:c r="C2800" s="4" t="str">
        <x:v>Liverpool</x:v>
      </x:c>
      <x:c r="D2800" s="4" t="str">
        <x:v>Man City</x:v>
      </x:c>
      <x:c r="E2800" s="4" t="str">
        <x:v>Away</x:v>
      </x:c>
      <x:c r="F2800" s="28" t="n">
        <x:v>2</x:v>
      </x:c>
      <x:c r="G2800" s="28" t="n">
        <x:v>0</x:v>
      </x:c>
      <x:c r="H2800" s="28" t="n">
        <x:v>8</x:v>
      </x:c>
      <x:c r="I2800" s="28" t="n">
        <x:v>16</x:v>
      </x:c>
      <x:c r="J2800" s="28" t="n">
        <x:v>4</x:v>
      </x:c>
      <x:c r="K2800" s="28" t="n">
        <x:v>5</x:v>
      </x:c>
      <x:c r="L2800" s="28" t="n">
        <x:v>5</x:v>
      </x:c>
      <x:c r="M2800" s="28" t="n">
        <x:v>7</x:v>
      </x:c>
      <x:c r="N2800" s="28" t="n">
        <x:v>0</x:v>
      </x:c>
      <x:c r="O2800" s="28" t="n">
        <x:v>0</x:v>
      </x:c>
      <x:c r="P2800" s="28" t="n">
        <x:v>3</x:v>
      </x:c>
      <x:c r="Q2800" s="24" t="n">
        <x:f>IFERROR(J2800/H2800,0)</x:f>
        <x:v>0.5</x:v>
      </x:c>
      <x:c r="R2800" s="24" t="n">
        <x:f>IFERROR(F2800/H2800,0)</x:f>
        <x:v>0.25</x:v>
      </x:c>
      <x:c r="S2800" s="24" t="n">
        <x:f>IFERROR(F2800/J2800,0)</x:f>
        <x:v>0.5</x:v>
      </x:c>
      <x:c r="T2800" s="28" t="n">
        <x:f>H2800-I2800</x:f>
        <x:v>-8</x:v>
      </x:c>
      <x:c r="U2800" s="24" t="n">
        <x:f>IFERROR(J2800/H2800,0)-IFERROR(K2800/I2800,0)</x:f>
        <x:v>0.1875</x:v>
      </x:c>
      <x:c r="V2800" s="24" t="n">
        <x:f>IFERROR(F2800/J2800,0)-IFERROR(G2800/K2800,0)</x:f>
        <x:v>0.5</x:v>
      </x:c>
      <x:c r="W2800" s="28" t="n">
        <x:f>L2800-M2800</x:f>
        <x:v>-2</x:v>
      </x:c>
      <x:c r="X2800" s="24" t="n">
        <x:f>IFERROR(K2800/I2800,0)</x:f>
        <x:v>0.3125</x:v>
      </x:c>
      <x:c r="Y2800" s="24" t="n">
        <x:f>IFERROR(G2800/I2800,0)</x:f>
        <x:v>0</x:v>
      </x:c>
      <x:c r="Z2800" s="24" t="n">
        <x:f>IFERROR(G2800/K2800,0)</x:f>
        <x:v>0</x:v>
      </x:c>
      <x:c r="AA2800" s="24" t="n">
        <x:f>IFERROR(F2800/H2800,0)-IFERROR(G2800/I2800,0)</x:f>
        <x:v>0.25</x:v>
      </x:c>
      <x:c r="AB2800" s="28" t="n">
        <x:f>J2800-K2800</x:f>
        <x:v>-1</x:v>
      </x:c>
      <x:c r="AC2800" s="32" t="n">
        <x:f>F2800-G2800</x:f>
        <x:v>2</x:v>
      </x:c>
    </x:row>
    <x:row r="2801">
      <x:c r="A2801" s="4" t="str">
        <x:v>2024-25</x:v>
      </x:c>
      <x:c r="B2801" s="20" t="n">
        <x:v>45711</x:v>
      </x:c>
      <x:c r="C2801" s="4" t="str">
        <x:v>Man City</x:v>
      </x:c>
      <x:c r="D2801" s="4" t="str">
        <x:v>Liverpool</x:v>
      </x:c>
      <x:c r="E2801" s="4" t="str">
        <x:v>Home</x:v>
      </x:c>
      <x:c r="F2801" s="28" t="n">
        <x:v>0</x:v>
      </x:c>
      <x:c r="G2801" s="28" t="n">
        <x:v>2</x:v>
      </x:c>
      <x:c r="H2801" s="28" t="n">
        <x:v>16</x:v>
      </x:c>
      <x:c r="I2801" s="28" t="n">
        <x:v>8</x:v>
      </x:c>
      <x:c r="J2801" s="28" t="n">
        <x:v>5</x:v>
      </x:c>
      <x:c r="K2801" s="28" t="n">
        <x:v>4</x:v>
      </x:c>
      <x:c r="L2801" s="28" t="n">
        <x:v>7</x:v>
      </x:c>
      <x:c r="M2801" s="28" t="n">
        <x:v>5</x:v>
      </x:c>
      <x:c r="N2801" s="28" t="n">
        <x:v>0</x:v>
      </x:c>
      <x:c r="O2801" s="28" t="n">
        <x:v>0</x:v>
      </x:c>
      <x:c r="P2801" s="28" t="n">
        <x:v>0</x:v>
      </x:c>
      <x:c r="Q2801" s="24" t="n">
        <x:f>IFERROR(J2801/H2801,0)</x:f>
        <x:v>0.3125</x:v>
      </x:c>
      <x:c r="R2801" s="24" t="n">
        <x:f>IFERROR(F2801/H2801,0)</x:f>
        <x:v>0</x:v>
      </x:c>
      <x:c r="S2801" s="24" t="n">
        <x:f>IFERROR(F2801/J2801,0)</x:f>
        <x:v>0</x:v>
      </x:c>
      <x:c r="T2801" s="28" t="n">
        <x:f>H2801-I2801</x:f>
        <x:v>8</x:v>
      </x:c>
      <x:c r="U2801" s="24" t="n">
        <x:f>IFERROR(J2801/H2801,0)-IFERROR(K2801/I2801,0)</x:f>
        <x:v>-0.1875</x:v>
      </x:c>
      <x:c r="V2801" s="24" t="n">
        <x:f>IFERROR(F2801/J2801,0)-IFERROR(G2801/K2801,0)</x:f>
        <x:v>-0.5</x:v>
      </x:c>
      <x:c r="W2801" s="28" t="n">
        <x:f>L2801-M2801</x:f>
        <x:v>2</x:v>
      </x:c>
      <x:c r="X2801" s="24" t="n">
        <x:f>IFERROR(K2801/I2801,0)</x:f>
        <x:v>0.5</x:v>
      </x:c>
      <x:c r="Y2801" s="24" t="n">
        <x:f>IFERROR(G2801/I2801,0)</x:f>
        <x:v>0.25</x:v>
      </x:c>
      <x:c r="Z2801" s="24" t="n">
        <x:f>IFERROR(G2801/K2801,0)</x:f>
        <x:v>0.5</x:v>
      </x:c>
      <x:c r="AA2801" s="24" t="n">
        <x:f>IFERROR(F2801/H2801,0)-IFERROR(G2801/I2801,0)</x:f>
        <x:v>-0.25</x:v>
      </x:c>
      <x:c r="AB2801" s="28" t="n">
        <x:f>J2801-K2801</x:f>
        <x:v>1</x:v>
      </x:c>
      <x:c r="AC2801" s="32" t="n">
        <x:f>F2801-G2801</x:f>
        <x:v>-2</x:v>
      </x:c>
    </x:row>
    <x:row r="2802">
      <x:c r="A2802" s="4" t="str">
        <x:v>2024-25</x:v>
      </x:c>
      <x:c r="B2802" s="20" t="n">
        <x:v>45711</x:v>
      </x:c>
      <x:c r="C2802" s="4" t="str">
        <x:v>Newcastle</x:v>
      </x:c>
      <x:c r="D2802" s="4" t="str">
        <x:v>Nott'm Forest</x:v>
      </x:c>
      <x:c r="E2802" s="4" t="str">
        <x:v>Home</x:v>
      </x:c>
      <x:c r="F2802" s="28" t="n">
        <x:v>4</x:v>
      </x:c>
      <x:c r="G2802" s="28" t="n">
        <x:v>3</x:v>
      </x:c>
      <x:c r="H2802" s="28" t="n">
        <x:v>13</x:v>
      </x:c>
      <x:c r="I2802" s="28" t="n">
        <x:v>17</x:v>
      </x:c>
      <x:c r="J2802" s="28" t="n">
        <x:v>5</x:v>
      </x:c>
      <x:c r="K2802" s="28" t="n">
        <x:v>5</x:v>
      </x:c>
      <x:c r="L2802" s="28" t="n">
        <x:v>7</x:v>
      </x:c>
      <x:c r="M2802" s="28" t="n">
        <x:v>6</x:v>
      </x:c>
      <x:c r="N2802" s="28" t="n">
        <x:v>1</x:v>
      </x:c>
      <x:c r="O2802" s="28" t="n">
        <x:v>0</x:v>
      </x:c>
      <x:c r="P2802" s="28" t="n">
        <x:v>3</x:v>
      </x:c>
      <x:c r="Q2802" s="24" t="n">
        <x:f>IFERROR(J2802/H2802,0)</x:f>
        <x:v>0.38461538461538464</x:v>
      </x:c>
      <x:c r="R2802" s="24" t="n">
        <x:f>IFERROR(F2802/H2802,0)</x:f>
        <x:v>0.3076923076923077</x:v>
      </x:c>
      <x:c r="S2802" s="24" t="n">
        <x:f>IFERROR(F2802/J2802,0)</x:f>
        <x:v>0.8</x:v>
      </x:c>
      <x:c r="T2802" s="28" t="n">
        <x:f>H2802-I2802</x:f>
        <x:v>-4</x:v>
      </x:c>
      <x:c r="U2802" s="24" t="n">
        <x:f>IFERROR(J2802/H2802,0)-IFERROR(K2802/I2802,0)</x:f>
        <x:v>0.0904977375565611</x:v>
      </x:c>
      <x:c r="V2802" s="24" t="n">
        <x:f>IFERROR(F2802/J2802,0)-IFERROR(G2802/K2802,0)</x:f>
        <x:v>0.20000000000000007</x:v>
      </x:c>
      <x:c r="W2802" s="28" t="n">
        <x:f>L2802-M2802</x:f>
        <x:v>1</x:v>
      </x:c>
      <x:c r="X2802" s="24" t="n">
        <x:f>IFERROR(K2802/I2802,0)</x:f>
        <x:v>0.29411764705882354</x:v>
      </x:c>
      <x:c r="Y2802" s="24" t="n">
        <x:f>IFERROR(G2802/I2802,0)</x:f>
        <x:v>0.17647058823529413</x:v>
      </x:c>
      <x:c r="Z2802" s="24" t="n">
        <x:f>IFERROR(G2802/K2802,0)</x:f>
        <x:v>0.6</x:v>
      </x:c>
      <x:c r="AA2802" s="24" t="n">
        <x:f>IFERROR(F2802/H2802,0)-IFERROR(G2802/I2802,0)</x:f>
        <x:v>0.13122171945701358</x:v>
      </x:c>
      <x:c r="AB2802" s="28" t="n">
        <x:f>J2802-K2802</x:f>
        <x:v>0</x:v>
      </x:c>
      <x:c r="AC2802" s="32" t="n">
        <x:f>F2802-G2802</x:f>
        <x:v>1</x:v>
      </x:c>
    </x:row>
    <x:row r="2803">
      <x:c r="A2803" s="4" t="str">
        <x:v>2024-25</x:v>
      </x:c>
      <x:c r="B2803" s="20" t="n">
        <x:v>45711</x:v>
      </x:c>
      <x:c r="C2803" s="4" t="str">
        <x:v>Nott'm Forest</x:v>
      </x:c>
      <x:c r="D2803" s="4" t="str">
        <x:v>Newcastle</x:v>
      </x:c>
      <x:c r="E2803" s="4" t="str">
        <x:v>Away</x:v>
      </x:c>
      <x:c r="F2803" s="28" t="n">
        <x:v>3</x:v>
      </x:c>
      <x:c r="G2803" s="28" t="n">
        <x:v>4</x:v>
      </x:c>
      <x:c r="H2803" s="28" t="n">
        <x:v>17</x:v>
      </x:c>
      <x:c r="I2803" s="28" t="n">
        <x:v>13</x:v>
      </x:c>
      <x:c r="J2803" s="28" t="n">
        <x:v>5</x:v>
      </x:c>
      <x:c r="K2803" s="28" t="n">
        <x:v>5</x:v>
      </x:c>
      <x:c r="L2803" s="28" t="n">
        <x:v>6</x:v>
      </x:c>
      <x:c r="M2803" s="28" t="n">
        <x:v>7</x:v>
      </x:c>
      <x:c r="N2803" s="28" t="n">
        <x:v>4</x:v>
      </x:c>
      <x:c r="O2803" s="28" t="n">
        <x:v>0</x:v>
      </x:c>
      <x:c r="P2803" s="28" t="n">
        <x:v>0</x:v>
      </x:c>
      <x:c r="Q2803" s="24" t="n">
        <x:f>IFERROR(J2803/H2803,0)</x:f>
        <x:v>0.29411764705882354</x:v>
      </x:c>
      <x:c r="R2803" s="24" t="n">
        <x:f>IFERROR(F2803/H2803,0)</x:f>
        <x:v>0.17647058823529413</x:v>
      </x:c>
      <x:c r="S2803" s="24" t="n">
        <x:f>IFERROR(F2803/J2803,0)</x:f>
        <x:v>0.6</x:v>
      </x:c>
      <x:c r="T2803" s="28" t="n">
        <x:f>H2803-I2803</x:f>
        <x:v>4</x:v>
      </x:c>
      <x:c r="U2803" s="24" t="n">
        <x:f>IFERROR(J2803/H2803,0)-IFERROR(K2803/I2803,0)</x:f>
        <x:v>-0.0904977375565611</x:v>
      </x:c>
      <x:c r="V2803" s="24" t="n">
        <x:f>IFERROR(F2803/J2803,0)-IFERROR(G2803/K2803,0)</x:f>
        <x:v>-0.20000000000000007</x:v>
      </x:c>
      <x:c r="W2803" s="28" t="n">
        <x:f>L2803-M2803</x:f>
        <x:v>-1</x:v>
      </x:c>
      <x:c r="X2803" s="24" t="n">
        <x:f>IFERROR(K2803/I2803,0)</x:f>
        <x:v>0.38461538461538464</x:v>
      </x:c>
      <x:c r="Y2803" s="24" t="n">
        <x:f>IFERROR(G2803/I2803,0)</x:f>
        <x:v>0.3076923076923077</x:v>
      </x:c>
      <x:c r="Z2803" s="24" t="n">
        <x:f>IFERROR(G2803/K2803,0)</x:f>
        <x:v>0.8</x:v>
      </x:c>
      <x:c r="AA2803" s="24" t="n">
        <x:f>IFERROR(F2803/H2803,0)-IFERROR(G2803/I2803,0)</x:f>
        <x:v>-0.13122171945701358</x:v>
      </x:c>
      <x:c r="AB2803" s="28" t="n">
        <x:f>J2803-K2803</x:f>
        <x:v>0</x:v>
      </x:c>
      <x:c r="AC2803" s="32" t="n">
        <x:f>F2803-G2803</x:f>
        <x:v>-1</x:v>
      </x:c>
    </x:row>
    <x:row r="2804">
      <x:c r="A2804" s="4" t="str">
        <x:v>2024-25</x:v>
      </x:c>
      <x:c r="B2804" s="20" t="n">
        <x:v>45713</x:v>
      </x:c>
      <x:c r="C2804" s="4" t="str">
        <x:v>Aston Villa</x:v>
      </x:c>
      <x:c r="D2804" s="4" t="str">
        <x:v>Crystal Palace</x:v>
      </x:c>
      <x:c r="E2804" s="4" t="str">
        <x:v>Away</x:v>
      </x:c>
      <x:c r="F2804" s="28" t="n">
        <x:v>1</x:v>
      </x:c>
      <x:c r="G2804" s="28" t="n">
        <x:v>4</x:v>
      </x:c>
      <x:c r="H2804" s="28" t="n">
        <x:v>6</x:v>
      </x:c>
      <x:c r="I2804" s="28" t="n">
        <x:v>19</x:v>
      </x:c>
      <x:c r="J2804" s="28" t="n">
        <x:v>2</x:v>
      </x:c>
      <x:c r="K2804" s="28" t="n">
        <x:v>6</x:v>
      </x:c>
      <x:c r="L2804" s="28" t="n">
        <x:v>8</x:v>
      </x:c>
      <x:c r="M2804" s="28" t="n">
        <x:v>3</x:v>
      </x:c>
      <x:c r="N2804" s="28" t="n">
        <x:v>1</x:v>
      </x:c>
      <x:c r="O2804" s="28" t="n">
        <x:v>0</x:v>
      </x:c>
      <x:c r="P2804" s="28" t="n">
        <x:v>0</x:v>
      </x:c>
      <x:c r="Q2804" s="24" t="n">
        <x:f>IFERROR(J2804/H2804,0)</x:f>
        <x:v>0.3333333333333333</x:v>
      </x:c>
      <x:c r="R2804" s="24" t="n">
        <x:f>IFERROR(F2804/H2804,0)</x:f>
        <x:v>0.16666666666666666</x:v>
      </x:c>
      <x:c r="S2804" s="24" t="n">
        <x:f>IFERROR(F2804/J2804,0)</x:f>
        <x:v>0.5</x:v>
      </x:c>
      <x:c r="T2804" s="28" t="n">
        <x:f>H2804-I2804</x:f>
        <x:v>-13</x:v>
      </x:c>
      <x:c r="U2804" s="24" t="n">
        <x:f>IFERROR(J2804/H2804,0)-IFERROR(K2804/I2804,0)</x:f>
        <x:v>0.017543859649122806</x:v>
      </x:c>
      <x:c r="V2804" s="24" t="n">
        <x:f>IFERROR(F2804/J2804,0)-IFERROR(G2804/K2804,0)</x:f>
        <x:v>-0.16666666666666663</x:v>
      </x:c>
      <x:c r="W2804" s="28" t="n">
        <x:f>L2804-M2804</x:f>
        <x:v>5</x:v>
      </x:c>
      <x:c r="X2804" s="24" t="n">
        <x:f>IFERROR(K2804/I2804,0)</x:f>
        <x:v>0.3157894736842105</x:v>
      </x:c>
      <x:c r="Y2804" s="24" t="n">
        <x:f>IFERROR(G2804/I2804,0)</x:f>
        <x:v>0.21052631578947367</x:v>
      </x:c>
      <x:c r="Z2804" s="24" t="n">
        <x:f>IFERROR(G2804/K2804,0)</x:f>
        <x:v>0.6666666666666666</x:v>
      </x:c>
      <x:c r="AA2804" s="24" t="n">
        <x:f>IFERROR(F2804/H2804,0)-IFERROR(G2804/I2804,0)</x:f>
        <x:v>-0.043859649122807015</x:v>
      </x:c>
      <x:c r="AB2804" s="28" t="n">
        <x:f>J2804-K2804</x:f>
        <x:v>-4</x:v>
      </x:c>
      <x:c r="AC2804" s="32" t="n">
        <x:f>F2804-G2804</x:f>
        <x:v>-3</x:v>
      </x:c>
    </x:row>
    <x:row r="2805">
      <x:c r="A2805" s="4" t="str">
        <x:v>2024-25</x:v>
      </x:c>
      <x:c r="B2805" s="20" t="n">
        <x:v>45713</x:v>
      </x:c>
      <x:c r="C2805" s="4" t="str">
        <x:v>Bournemouth</x:v>
      </x:c>
      <x:c r="D2805" s="4" t="str">
        <x:v>Brighton</x:v>
      </x:c>
      <x:c r="E2805" s="4" t="str">
        <x:v>Away</x:v>
      </x:c>
      <x:c r="F2805" s="28" t="n">
        <x:v>1</x:v>
      </x:c>
      <x:c r="G2805" s="28" t="n">
        <x:v>2</x:v>
      </x:c>
      <x:c r="H2805" s="28" t="n">
        <x:v>19</x:v>
      </x:c>
      <x:c r="I2805" s="28" t="n">
        <x:v>11</x:v>
      </x:c>
      <x:c r="J2805" s="28" t="n">
        <x:v>5</x:v>
      </x:c>
      <x:c r="K2805" s="28" t="n">
        <x:v>4</x:v>
      </x:c>
      <x:c r="L2805" s="28" t="n">
        <x:v>9</x:v>
      </x:c>
      <x:c r="M2805" s="28" t="n">
        <x:v>1</x:v>
      </x:c>
      <x:c r="N2805" s="28" t="n">
        <x:v>1</x:v>
      </x:c>
      <x:c r="O2805" s="28" t="n">
        <x:v>0</x:v>
      </x:c>
      <x:c r="P2805" s="28" t="n">
        <x:v>0</x:v>
      </x:c>
      <x:c r="Q2805" s="24" t="n">
        <x:f>IFERROR(J2805/H2805,0)</x:f>
        <x:v>0.2631578947368421</x:v>
      </x:c>
      <x:c r="R2805" s="24" t="n">
        <x:f>IFERROR(F2805/H2805,0)</x:f>
        <x:v>0.05263157894736842</x:v>
      </x:c>
      <x:c r="S2805" s="24" t="n">
        <x:f>IFERROR(F2805/J2805,0)</x:f>
        <x:v>0.2</x:v>
      </x:c>
      <x:c r="T2805" s="28" t="n">
        <x:f>H2805-I2805</x:f>
        <x:v>8</x:v>
      </x:c>
      <x:c r="U2805" s="24" t="n">
        <x:f>IFERROR(J2805/H2805,0)-IFERROR(K2805/I2805,0)</x:f>
        <x:v>-0.10047846889952156</x:v>
      </x:c>
      <x:c r="V2805" s="24" t="n">
        <x:f>IFERROR(F2805/J2805,0)-IFERROR(G2805/K2805,0)</x:f>
        <x:v>-0.3</x:v>
      </x:c>
      <x:c r="W2805" s="28" t="n">
        <x:f>L2805-M2805</x:f>
        <x:v>8</x:v>
      </x:c>
      <x:c r="X2805" s="24" t="n">
        <x:f>IFERROR(K2805/I2805,0)</x:f>
        <x:v>0.36363636363636365</x:v>
      </x:c>
      <x:c r="Y2805" s="24" t="n">
        <x:f>IFERROR(G2805/I2805,0)</x:f>
        <x:v>0.18181818181818182</x:v>
      </x:c>
      <x:c r="Z2805" s="24" t="n">
        <x:f>IFERROR(G2805/K2805,0)</x:f>
        <x:v>0.5</x:v>
      </x:c>
      <x:c r="AA2805" s="24" t="n">
        <x:f>IFERROR(F2805/H2805,0)-IFERROR(G2805/I2805,0)</x:f>
        <x:v>-0.1291866028708134</x:v>
      </x:c>
      <x:c r="AB2805" s="28" t="n">
        <x:f>J2805-K2805</x:f>
        <x:v>1</x:v>
      </x:c>
      <x:c r="AC2805" s="32" t="n">
        <x:f>F2805-G2805</x:f>
        <x:v>-1</x:v>
      </x:c>
    </x:row>
    <x:row r="2806">
      <x:c r="A2806" s="4" t="str">
        <x:v>2024-25</x:v>
      </x:c>
      <x:c r="B2806" s="20" t="n">
        <x:v>45713</x:v>
      </x:c>
      <x:c r="C2806" s="4" t="str">
        <x:v>Brighton</x:v>
      </x:c>
      <x:c r="D2806" s="4" t="str">
        <x:v>Bournemouth</x:v>
      </x:c>
      <x:c r="E2806" s="4" t="str">
        <x:v>Home</x:v>
      </x:c>
      <x:c r="F2806" s="28" t="n">
        <x:v>2</x:v>
      </x:c>
      <x:c r="G2806" s="28" t="n">
        <x:v>1</x:v>
      </x:c>
      <x:c r="H2806" s="28" t="n">
        <x:v>11</x:v>
      </x:c>
      <x:c r="I2806" s="28" t="n">
        <x:v>19</x:v>
      </x:c>
      <x:c r="J2806" s="28" t="n">
        <x:v>4</x:v>
      </x:c>
      <x:c r="K2806" s="28" t="n">
        <x:v>5</x:v>
      </x:c>
      <x:c r="L2806" s="28" t="n">
        <x:v>1</x:v>
      </x:c>
      <x:c r="M2806" s="28" t="n">
        <x:v>9</x:v>
      </x:c>
      <x:c r="N2806" s="28" t="n">
        <x:v>2</x:v>
      </x:c>
      <x:c r="O2806" s="28" t="n">
        <x:v>0</x:v>
      </x:c>
      <x:c r="P2806" s="28" t="n">
        <x:v>3</x:v>
      </x:c>
      <x:c r="Q2806" s="24" t="n">
        <x:f>IFERROR(J2806/H2806,0)</x:f>
        <x:v>0.36363636363636365</x:v>
      </x:c>
      <x:c r="R2806" s="24" t="n">
        <x:f>IFERROR(F2806/H2806,0)</x:f>
        <x:v>0.18181818181818182</x:v>
      </x:c>
      <x:c r="S2806" s="24" t="n">
        <x:f>IFERROR(F2806/J2806,0)</x:f>
        <x:v>0.5</x:v>
      </x:c>
      <x:c r="T2806" s="28" t="n">
        <x:f>H2806-I2806</x:f>
        <x:v>-8</x:v>
      </x:c>
      <x:c r="U2806" s="24" t="n">
        <x:f>IFERROR(J2806/H2806,0)-IFERROR(K2806/I2806,0)</x:f>
        <x:v>0.10047846889952156</x:v>
      </x:c>
      <x:c r="V2806" s="24" t="n">
        <x:f>IFERROR(F2806/J2806,0)-IFERROR(G2806/K2806,0)</x:f>
        <x:v>0.3</x:v>
      </x:c>
      <x:c r="W2806" s="28" t="n">
        <x:f>L2806-M2806</x:f>
        <x:v>-8</x:v>
      </x:c>
      <x:c r="X2806" s="24" t="n">
        <x:f>IFERROR(K2806/I2806,0)</x:f>
        <x:v>0.2631578947368421</x:v>
      </x:c>
      <x:c r="Y2806" s="24" t="n">
        <x:f>IFERROR(G2806/I2806,0)</x:f>
        <x:v>0.05263157894736842</x:v>
      </x:c>
      <x:c r="Z2806" s="24" t="n">
        <x:f>IFERROR(G2806/K2806,0)</x:f>
        <x:v>0.2</x:v>
      </x:c>
      <x:c r="AA2806" s="24" t="n">
        <x:f>IFERROR(F2806/H2806,0)-IFERROR(G2806/I2806,0)</x:f>
        <x:v>0.1291866028708134</x:v>
      </x:c>
      <x:c r="AB2806" s="28" t="n">
        <x:f>J2806-K2806</x:f>
        <x:v>-1</x:v>
      </x:c>
      <x:c r="AC2806" s="32" t="n">
        <x:f>F2806-G2806</x:f>
        <x:v>1</x:v>
      </x:c>
    </x:row>
    <x:row r="2807">
      <x:c r="A2807" s="4" t="str">
        <x:v>2024-25</x:v>
      </x:c>
      <x:c r="B2807" s="20" t="n">
        <x:v>45713</x:v>
      </x:c>
      <x:c r="C2807" s="4" t="str">
        <x:v>Chelsea</x:v>
      </x:c>
      <x:c r="D2807" s="4" t="str">
        <x:v>Southampton</x:v>
      </x:c>
      <x:c r="E2807" s="4" t="str">
        <x:v>Home</x:v>
      </x:c>
      <x:c r="F2807" s="28" t="n">
        <x:v>4</x:v>
      </x:c>
      <x:c r="G2807" s="28" t="n">
        <x:v>0</x:v>
      </x:c>
      <x:c r="H2807" s="28" t="n">
        <x:v>19</x:v>
      </x:c>
      <x:c r="I2807" s="28" t="n">
        <x:v>7</x:v>
      </x:c>
      <x:c r="J2807" s="28" t="n">
        <x:v>10</x:v>
      </x:c>
      <x:c r="K2807" s="28" t="n">
        <x:v>2</x:v>
      </x:c>
      <x:c r="L2807" s="28" t="n">
        <x:v>4</x:v>
      </x:c>
      <x:c r="M2807" s="28" t="n">
        <x:v>2</x:v>
      </x:c>
      <x:c r="N2807" s="28" t="n">
        <x:v>1</x:v>
      </x:c>
      <x:c r="O2807" s="28" t="n">
        <x:v>0</x:v>
      </x:c>
      <x:c r="P2807" s="28" t="n">
        <x:v>3</x:v>
      </x:c>
      <x:c r="Q2807" s="24" t="n">
        <x:f>IFERROR(J2807/H2807,0)</x:f>
        <x:v>0.5263157894736842</x:v>
      </x:c>
      <x:c r="R2807" s="24" t="n">
        <x:f>IFERROR(F2807/H2807,0)</x:f>
        <x:v>0.21052631578947367</x:v>
      </x:c>
      <x:c r="S2807" s="24" t="n">
        <x:f>IFERROR(F2807/J2807,0)</x:f>
        <x:v>0.4</x:v>
      </x:c>
      <x:c r="T2807" s="28" t="n">
        <x:f>H2807-I2807</x:f>
        <x:v>12</x:v>
      </x:c>
      <x:c r="U2807" s="24" t="n">
        <x:f>IFERROR(J2807/H2807,0)-IFERROR(K2807/I2807,0)</x:f>
        <x:v>0.24060150375939848</x:v>
      </x:c>
      <x:c r="V2807" s="24" t="n">
        <x:f>IFERROR(F2807/J2807,0)-IFERROR(G2807/K2807,0)</x:f>
        <x:v>0.4</x:v>
      </x:c>
      <x:c r="W2807" s="28" t="n">
        <x:f>L2807-M2807</x:f>
        <x:v>2</x:v>
      </x:c>
      <x:c r="X2807" s="24" t="n">
        <x:f>IFERROR(K2807/I2807,0)</x:f>
        <x:v>0.2857142857142857</x:v>
      </x:c>
      <x:c r="Y2807" s="24" t="n">
        <x:f>IFERROR(G2807/I2807,0)</x:f>
        <x:v>0</x:v>
      </x:c>
      <x:c r="Z2807" s="24" t="n">
        <x:f>IFERROR(G2807/K2807,0)</x:f>
        <x:v>0</x:v>
      </x:c>
      <x:c r="AA2807" s="24" t="n">
        <x:f>IFERROR(F2807/H2807,0)-IFERROR(G2807/I2807,0)</x:f>
        <x:v>0.21052631578947367</x:v>
      </x:c>
      <x:c r="AB2807" s="28" t="n">
        <x:f>J2807-K2807</x:f>
        <x:v>8</x:v>
      </x:c>
      <x:c r="AC2807" s="32" t="n">
        <x:f>F2807-G2807</x:f>
        <x:v>4</x:v>
      </x:c>
    </x:row>
    <x:row r="2808">
      <x:c r="A2808" s="4" t="str">
        <x:v>2024-25</x:v>
      </x:c>
      <x:c r="B2808" s="20" t="n">
        <x:v>45713</x:v>
      </x:c>
      <x:c r="C2808" s="4" t="str">
        <x:v>Crystal Palace</x:v>
      </x:c>
      <x:c r="D2808" s="4" t="str">
        <x:v>Aston Villa</x:v>
      </x:c>
      <x:c r="E2808" s="4" t="str">
        <x:v>Home</x:v>
      </x:c>
      <x:c r="F2808" s="28" t="n">
        <x:v>4</x:v>
      </x:c>
      <x:c r="G2808" s="28" t="n">
        <x:v>1</x:v>
      </x:c>
      <x:c r="H2808" s="28" t="n">
        <x:v>19</x:v>
      </x:c>
      <x:c r="I2808" s="28" t="n">
        <x:v>6</x:v>
      </x:c>
      <x:c r="J2808" s="28" t="n">
        <x:v>6</x:v>
      </x:c>
      <x:c r="K2808" s="28" t="n">
        <x:v>2</x:v>
      </x:c>
      <x:c r="L2808" s="28" t="n">
        <x:v>3</x:v>
      </x:c>
      <x:c r="M2808" s="28" t="n">
        <x:v>8</x:v>
      </x:c>
      <x:c r="N2808" s="28" t="n">
        <x:v>3</x:v>
      </x:c>
      <x:c r="O2808" s="28" t="n">
        <x:v>0</x:v>
      </x:c>
      <x:c r="P2808" s="28" t="n">
        <x:v>3</x:v>
      </x:c>
      <x:c r="Q2808" s="24" t="n">
        <x:f>IFERROR(J2808/H2808,0)</x:f>
        <x:v>0.3157894736842105</x:v>
      </x:c>
      <x:c r="R2808" s="24" t="n">
        <x:f>IFERROR(F2808/H2808,0)</x:f>
        <x:v>0.21052631578947367</x:v>
      </x:c>
      <x:c r="S2808" s="24" t="n">
        <x:f>IFERROR(F2808/J2808,0)</x:f>
        <x:v>0.6666666666666666</x:v>
      </x:c>
      <x:c r="T2808" s="28" t="n">
        <x:f>H2808-I2808</x:f>
        <x:v>13</x:v>
      </x:c>
      <x:c r="U2808" s="24" t="n">
        <x:f>IFERROR(J2808/H2808,0)-IFERROR(K2808/I2808,0)</x:f>
        <x:v>-0.017543859649122806</x:v>
      </x:c>
      <x:c r="V2808" s="24" t="n">
        <x:f>IFERROR(F2808/J2808,0)-IFERROR(G2808/K2808,0)</x:f>
        <x:v>0.16666666666666663</x:v>
      </x:c>
      <x:c r="W2808" s="28" t="n">
        <x:f>L2808-M2808</x:f>
        <x:v>-5</x:v>
      </x:c>
      <x:c r="X2808" s="24" t="n">
        <x:f>IFERROR(K2808/I2808,0)</x:f>
        <x:v>0.3333333333333333</x:v>
      </x:c>
      <x:c r="Y2808" s="24" t="n">
        <x:f>IFERROR(G2808/I2808,0)</x:f>
        <x:v>0.16666666666666666</x:v>
      </x:c>
      <x:c r="Z2808" s="24" t="n">
        <x:f>IFERROR(G2808/K2808,0)</x:f>
        <x:v>0.5</x:v>
      </x:c>
      <x:c r="AA2808" s="24" t="n">
        <x:f>IFERROR(F2808/H2808,0)-IFERROR(G2808/I2808,0)</x:f>
        <x:v>0.043859649122807015</x:v>
      </x:c>
      <x:c r="AB2808" s="28" t="n">
        <x:f>J2808-K2808</x:f>
        <x:v>4</x:v>
      </x:c>
      <x:c r="AC2808" s="32" t="n">
        <x:f>F2808-G2808</x:f>
        <x:v>3</x:v>
      </x:c>
    </x:row>
    <x:row r="2809">
      <x:c r="A2809" s="4" t="str">
        <x:v>2024-25</x:v>
      </x:c>
      <x:c r="B2809" s="20" t="n">
        <x:v>45713</x:v>
      </x:c>
      <x:c r="C2809" s="4" t="str">
        <x:v>Fulham</x:v>
      </x:c>
      <x:c r="D2809" s="4" t="str">
        <x:v>Wolves</x:v>
      </x:c>
      <x:c r="E2809" s="4" t="str">
        <x:v>Away</x:v>
      </x:c>
      <x:c r="F2809" s="28" t="n">
        <x:v>2</x:v>
      </x:c>
      <x:c r="G2809" s="28" t="n">
        <x:v>1</x:v>
      </x:c>
      <x:c r="H2809" s="28" t="n">
        <x:v>11</x:v>
      </x:c>
      <x:c r="I2809" s="28" t="n">
        <x:v>18</x:v>
      </x:c>
      <x:c r="J2809" s="28" t="n">
        <x:v>5</x:v>
      </x:c>
      <x:c r="K2809" s="28" t="n">
        <x:v>5</x:v>
      </x:c>
      <x:c r="L2809" s="28" t="n">
        <x:v>5</x:v>
      </x:c>
      <x:c r="M2809" s="28" t="n">
        <x:v>7</x:v>
      </x:c>
      <x:c r="N2809" s="28" t="n">
        <x:v>3</x:v>
      </x:c>
      <x:c r="O2809" s="28" t="n">
        <x:v>0</x:v>
      </x:c>
      <x:c r="P2809" s="28" t="n">
        <x:v>3</x:v>
      </x:c>
      <x:c r="Q2809" s="24" t="n">
        <x:f>IFERROR(J2809/H2809,0)</x:f>
        <x:v>0.45454545454545453</x:v>
      </x:c>
      <x:c r="R2809" s="24" t="n">
        <x:f>IFERROR(F2809/H2809,0)</x:f>
        <x:v>0.18181818181818182</x:v>
      </x:c>
      <x:c r="S2809" s="24" t="n">
        <x:f>IFERROR(F2809/J2809,0)</x:f>
        <x:v>0.4</x:v>
      </x:c>
      <x:c r="T2809" s="28" t="n">
        <x:f>H2809-I2809</x:f>
        <x:v>-7</x:v>
      </x:c>
      <x:c r="U2809" s="24" t="n">
        <x:f>IFERROR(J2809/H2809,0)-IFERROR(K2809/I2809,0)</x:f>
        <x:v>0.17676767676767674</x:v>
      </x:c>
      <x:c r="V2809" s="24" t="n">
        <x:f>IFERROR(F2809/J2809,0)-IFERROR(G2809/K2809,0)</x:f>
        <x:v>0.2</x:v>
      </x:c>
      <x:c r="W2809" s="28" t="n">
        <x:f>L2809-M2809</x:f>
        <x:v>-2</x:v>
      </x:c>
      <x:c r="X2809" s="24" t="n">
        <x:f>IFERROR(K2809/I2809,0)</x:f>
        <x:v>0.2777777777777778</x:v>
      </x:c>
      <x:c r="Y2809" s="24" t="n">
        <x:f>IFERROR(G2809/I2809,0)</x:f>
        <x:v>0.05555555555555555</x:v>
      </x:c>
      <x:c r="Z2809" s="24" t="n">
        <x:f>IFERROR(G2809/K2809,0)</x:f>
        <x:v>0.2</x:v>
      </x:c>
      <x:c r="AA2809" s="24" t="n">
        <x:f>IFERROR(F2809/H2809,0)-IFERROR(G2809/I2809,0)</x:f>
        <x:v>0.12626262626262627</x:v>
      </x:c>
      <x:c r="AB2809" s="28" t="n">
        <x:f>J2809-K2809</x:f>
        <x:v>0</x:v>
      </x:c>
      <x:c r="AC2809" s="32" t="n">
        <x:f>F2809-G2809</x:f>
        <x:v>1</x:v>
      </x:c>
    </x:row>
    <x:row r="2810">
      <x:c r="A2810" s="4" t="str">
        <x:v>2024-25</x:v>
      </x:c>
      <x:c r="B2810" s="20" t="n">
        <x:v>45713</x:v>
      </x:c>
      <x:c r="C2810" s="4" t="str">
        <x:v>Southampton</x:v>
      </x:c>
      <x:c r="D2810" s="4" t="str">
        <x:v>Chelsea</x:v>
      </x:c>
      <x:c r="E2810" s="4" t="str">
        <x:v>Away</x:v>
      </x:c>
      <x:c r="F2810" s="28" t="n">
        <x:v>0</x:v>
      </x:c>
      <x:c r="G2810" s="28" t="n">
        <x:v>4</x:v>
      </x:c>
      <x:c r="H2810" s="28" t="n">
        <x:v>7</x:v>
      </x:c>
      <x:c r="I2810" s="28" t="n">
        <x:v>19</x:v>
      </x:c>
      <x:c r="J2810" s="28" t="n">
        <x:v>2</x:v>
      </x:c>
      <x:c r="K2810" s="28" t="n">
        <x:v>10</x:v>
      </x:c>
      <x:c r="L2810" s="28" t="n">
        <x:v>2</x:v>
      </x:c>
      <x:c r="M2810" s="28" t="n">
        <x:v>4</x:v>
      </x:c>
      <x:c r="N2810" s="28" t="n">
        <x:v>2</x:v>
      </x:c>
      <x:c r="O2810" s="28" t="n">
        <x:v>0</x:v>
      </x:c>
      <x:c r="P2810" s="28" t="n">
        <x:v>0</x:v>
      </x:c>
      <x:c r="Q2810" s="24" t="n">
        <x:f>IFERROR(J2810/H2810,0)</x:f>
        <x:v>0.2857142857142857</x:v>
      </x:c>
      <x:c r="R2810" s="24" t="n">
        <x:f>IFERROR(F2810/H2810,0)</x:f>
        <x:v>0</x:v>
      </x:c>
      <x:c r="S2810" s="24" t="n">
        <x:f>IFERROR(F2810/J2810,0)</x:f>
        <x:v>0</x:v>
      </x:c>
      <x:c r="T2810" s="28" t="n">
        <x:f>H2810-I2810</x:f>
        <x:v>-12</x:v>
      </x:c>
      <x:c r="U2810" s="24" t="n">
        <x:f>IFERROR(J2810/H2810,0)-IFERROR(K2810/I2810,0)</x:f>
        <x:v>-0.24060150375939848</x:v>
      </x:c>
      <x:c r="V2810" s="24" t="n">
        <x:f>IFERROR(F2810/J2810,0)-IFERROR(G2810/K2810,0)</x:f>
        <x:v>-0.4</x:v>
      </x:c>
      <x:c r="W2810" s="28" t="n">
        <x:f>L2810-M2810</x:f>
        <x:v>-2</x:v>
      </x:c>
      <x:c r="X2810" s="24" t="n">
        <x:f>IFERROR(K2810/I2810,0)</x:f>
        <x:v>0.5263157894736842</x:v>
      </x:c>
      <x:c r="Y2810" s="24" t="n">
        <x:f>IFERROR(G2810/I2810,0)</x:f>
        <x:v>0.21052631578947367</x:v>
      </x:c>
      <x:c r="Z2810" s="24" t="n">
        <x:f>IFERROR(G2810/K2810,0)</x:f>
        <x:v>0.4</x:v>
      </x:c>
      <x:c r="AA2810" s="24" t="n">
        <x:f>IFERROR(F2810/H2810,0)-IFERROR(G2810/I2810,0)</x:f>
        <x:v>-0.21052631578947367</x:v>
      </x:c>
      <x:c r="AB2810" s="28" t="n">
        <x:f>J2810-K2810</x:f>
        <x:v>-8</x:v>
      </x:c>
      <x:c r="AC2810" s="32" t="n">
        <x:f>F2810-G2810</x:f>
        <x:v>-4</x:v>
      </x:c>
    </x:row>
    <x:row r="2811">
      <x:c r="A2811" s="4" t="str">
        <x:v>2024-25</x:v>
      </x:c>
      <x:c r="B2811" s="20" t="n">
        <x:v>45713</x:v>
      </x:c>
      <x:c r="C2811" s="4" t="str">
        <x:v>Wolves</x:v>
      </x:c>
      <x:c r="D2811" s="4" t="str">
        <x:v>Fulham</x:v>
      </x:c>
      <x:c r="E2811" s="4" t="str">
        <x:v>Home</x:v>
      </x:c>
      <x:c r="F2811" s="28" t="n">
        <x:v>1</x:v>
      </x:c>
      <x:c r="G2811" s="28" t="n">
        <x:v>2</x:v>
      </x:c>
      <x:c r="H2811" s="28" t="n">
        <x:v>18</x:v>
      </x:c>
      <x:c r="I2811" s="28" t="n">
        <x:v>11</x:v>
      </x:c>
      <x:c r="J2811" s="28" t="n">
        <x:v>5</x:v>
      </x:c>
      <x:c r="K2811" s="28" t="n">
        <x:v>5</x:v>
      </x:c>
      <x:c r="L2811" s="28" t="n">
        <x:v>7</x:v>
      </x:c>
      <x:c r="M2811" s="28" t="n">
        <x:v>5</x:v>
      </x:c>
      <x:c r="N2811" s="28" t="n">
        <x:v>1</x:v>
      </x:c>
      <x:c r="O2811" s="28" t="n">
        <x:v>0</x:v>
      </x:c>
      <x:c r="P2811" s="28" t="n">
        <x:v>0</x:v>
      </x:c>
      <x:c r="Q2811" s="24" t="n">
        <x:f>IFERROR(J2811/H2811,0)</x:f>
        <x:v>0.2777777777777778</x:v>
      </x:c>
      <x:c r="R2811" s="24" t="n">
        <x:f>IFERROR(F2811/H2811,0)</x:f>
        <x:v>0.05555555555555555</x:v>
      </x:c>
      <x:c r="S2811" s="24" t="n">
        <x:f>IFERROR(F2811/J2811,0)</x:f>
        <x:v>0.2</x:v>
      </x:c>
      <x:c r="T2811" s="28" t="n">
        <x:f>H2811-I2811</x:f>
        <x:v>7</x:v>
      </x:c>
      <x:c r="U2811" s="24" t="n">
        <x:f>IFERROR(J2811/H2811,0)-IFERROR(K2811/I2811,0)</x:f>
        <x:v>-0.17676767676767674</x:v>
      </x:c>
      <x:c r="V2811" s="24" t="n">
        <x:f>IFERROR(F2811/J2811,0)-IFERROR(G2811/K2811,0)</x:f>
        <x:v>-0.2</x:v>
      </x:c>
      <x:c r="W2811" s="28" t="n">
        <x:f>L2811-M2811</x:f>
        <x:v>2</x:v>
      </x:c>
      <x:c r="X2811" s="24" t="n">
        <x:f>IFERROR(K2811/I2811,0)</x:f>
        <x:v>0.45454545454545453</x:v>
      </x:c>
      <x:c r="Y2811" s="24" t="n">
        <x:f>IFERROR(G2811/I2811,0)</x:f>
        <x:v>0.18181818181818182</x:v>
      </x:c>
      <x:c r="Z2811" s="24" t="n">
        <x:f>IFERROR(G2811/K2811,0)</x:f>
        <x:v>0.4</x:v>
      </x:c>
      <x:c r="AA2811" s="24" t="n">
        <x:f>IFERROR(F2811/H2811,0)-IFERROR(G2811/I2811,0)</x:f>
        <x:v>-0.12626262626262627</x:v>
      </x:c>
      <x:c r="AB2811" s="28" t="n">
        <x:f>J2811-K2811</x:f>
        <x:v>0</x:v>
      </x:c>
      <x:c r="AC2811" s="32" t="n">
        <x:f>F2811-G2811</x:f>
        <x:v>-1</x:v>
      </x:c>
    </x:row>
    <x:row r="2812">
      <x:c r="A2812" s="4" t="str">
        <x:v>2024-25</x:v>
      </x:c>
      <x:c r="B2812" s="20" t="n">
        <x:v>45714</x:v>
      </x:c>
      <x:c r="C2812" s="4" t="str">
        <x:v>Arsenal</x:v>
      </x:c>
      <x:c r="D2812" s="4" t="str">
        <x:v>Nott'm Forest</x:v>
      </x:c>
      <x:c r="E2812" s="4" t="str">
        <x:v>Away</x:v>
      </x:c>
      <x:c r="F2812" s="28" t="n">
        <x:v>0</x:v>
      </x:c>
      <x:c r="G2812" s="28" t="n">
        <x:v>0</x:v>
      </x:c>
      <x:c r="H2812" s="28" t="n">
        <x:v>13</x:v>
      </x:c>
      <x:c r="I2812" s="28" t="n">
        <x:v>6</x:v>
      </x:c>
      <x:c r="J2812" s="28" t="n">
        <x:v>1</x:v>
      </x:c>
      <x:c r="K2812" s="28" t="n">
        <x:v>2</x:v>
      </x:c>
      <x:c r="L2812" s="28" t="n">
        <x:v>11</x:v>
      </x:c>
      <x:c r="M2812" s="28" t="n">
        <x:v>3</x:v>
      </x:c>
      <x:c r="N2812" s="28" t="n">
        <x:v>1</x:v>
      </x:c>
      <x:c r="O2812" s="28" t="n">
        <x:v>0</x:v>
      </x:c>
      <x:c r="P2812" s="28" t="n">
        <x:v>1</x:v>
      </x:c>
      <x:c r="Q2812" s="24" t="n">
        <x:f>IFERROR(J2812/H2812,0)</x:f>
        <x:v>0.07692307692307693</x:v>
      </x:c>
      <x:c r="R2812" s="24" t="n">
        <x:f>IFERROR(F2812/H2812,0)</x:f>
        <x:v>0</x:v>
      </x:c>
      <x:c r="S2812" s="24" t="n">
        <x:f>IFERROR(F2812/J2812,0)</x:f>
        <x:v>0</x:v>
      </x:c>
      <x:c r="T2812" s="28" t="n">
        <x:f>H2812-I2812</x:f>
        <x:v>7</x:v>
      </x:c>
      <x:c r="U2812" s="24" t="n">
        <x:f>IFERROR(J2812/H2812,0)-IFERROR(K2812/I2812,0)</x:f>
        <x:v>-0.2564102564102564</x:v>
      </x:c>
      <x:c r="V2812" s="24" t="n">
        <x:f>IFERROR(F2812/J2812,0)-IFERROR(G2812/K2812,0)</x:f>
        <x:v>0</x:v>
      </x:c>
      <x:c r="W2812" s="28" t="n">
        <x:f>L2812-M2812</x:f>
        <x:v>8</x:v>
      </x:c>
      <x:c r="X2812" s="24" t="n">
        <x:f>IFERROR(K2812/I2812,0)</x:f>
        <x:v>0.3333333333333333</x:v>
      </x:c>
      <x:c r="Y2812" s="24" t="n">
        <x:f>IFERROR(G2812/I2812,0)</x:f>
        <x:v>0</x:v>
      </x:c>
      <x:c r="Z2812" s="24" t="n">
        <x:f>IFERROR(G2812/K2812,0)</x:f>
        <x:v>0</x:v>
      </x:c>
      <x:c r="AA2812" s="24" t="n">
        <x:f>IFERROR(F2812/H2812,0)-IFERROR(G2812/I2812,0)</x:f>
        <x:v>0</x:v>
      </x:c>
      <x:c r="AB2812" s="28" t="n">
        <x:f>J2812-K2812</x:f>
        <x:v>-1</x:v>
      </x:c>
      <x:c r="AC2812" s="32" t="n">
        <x:f>F2812-G2812</x:f>
        <x:v>0</x:v>
      </x:c>
    </x:row>
    <x:row r="2813">
      <x:c r="A2813" s="4" t="str">
        <x:v>2024-25</x:v>
      </x:c>
      <x:c r="B2813" s="20" t="n">
        <x:v>45714</x:v>
      </x:c>
      <x:c r="C2813" s="4" t="str">
        <x:v>Brentford</x:v>
      </x:c>
      <x:c r="D2813" s="4" t="str">
        <x:v>Everton</x:v>
      </x:c>
      <x:c r="E2813" s="4" t="str">
        <x:v>Home</x:v>
      </x:c>
      <x:c r="F2813" s="28" t="n">
        <x:v>1</x:v>
      </x:c>
      <x:c r="G2813" s="28" t="n">
        <x:v>1</x:v>
      </x:c>
      <x:c r="H2813" s="28" t="n">
        <x:v>12</x:v>
      </x:c>
      <x:c r="I2813" s="28" t="n">
        <x:v>14</x:v>
      </x:c>
      <x:c r="J2813" s="28" t="n">
        <x:v>3</x:v>
      </x:c>
      <x:c r="K2813" s="28" t="n">
        <x:v>4</x:v>
      </x:c>
      <x:c r="L2813" s="28" t="n">
        <x:v>2</x:v>
      </x:c>
      <x:c r="M2813" s="28" t="n">
        <x:v>5</x:v>
      </x:c>
      <x:c r="N2813" s="28" t="n">
        <x:v>2</x:v>
      </x:c>
      <x:c r="O2813" s="28" t="n">
        <x:v>0</x:v>
      </x:c>
      <x:c r="P2813" s="28" t="n">
        <x:v>1</x:v>
      </x:c>
      <x:c r="Q2813" s="24" t="n">
        <x:f>IFERROR(J2813/H2813,0)</x:f>
        <x:v>0.25</x:v>
      </x:c>
      <x:c r="R2813" s="24" t="n">
        <x:f>IFERROR(F2813/H2813,0)</x:f>
        <x:v>0.08333333333333333</x:v>
      </x:c>
      <x:c r="S2813" s="24" t="n">
        <x:f>IFERROR(F2813/J2813,0)</x:f>
        <x:v>0.3333333333333333</x:v>
      </x:c>
      <x:c r="T2813" s="28" t="n">
        <x:f>H2813-I2813</x:f>
        <x:v>-2</x:v>
      </x:c>
      <x:c r="U2813" s="24" t="n">
        <x:f>IFERROR(J2813/H2813,0)-IFERROR(K2813/I2813,0)</x:f>
        <x:v>-0.0357142857142857</x:v>
      </x:c>
      <x:c r="V2813" s="24" t="n">
        <x:f>IFERROR(F2813/J2813,0)-IFERROR(G2813/K2813,0)</x:f>
        <x:v>0.08333333333333331</x:v>
      </x:c>
      <x:c r="W2813" s="28" t="n">
        <x:f>L2813-M2813</x:f>
        <x:v>-3</x:v>
      </x:c>
      <x:c r="X2813" s="24" t="n">
        <x:f>IFERROR(K2813/I2813,0)</x:f>
        <x:v>0.2857142857142857</x:v>
      </x:c>
      <x:c r="Y2813" s="24" t="n">
        <x:f>IFERROR(G2813/I2813,0)</x:f>
        <x:v>0.07142857142857142</x:v>
      </x:c>
      <x:c r="Z2813" s="24" t="n">
        <x:f>IFERROR(G2813/K2813,0)</x:f>
        <x:v>0.25</x:v>
      </x:c>
      <x:c r="AA2813" s="24" t="n">
        <x:f>IFERROR(F2813/H2813,0)-IFERROR(G2813/I2813,0)</x:f>
        <x:v>0.011904761904761904</x:v>
      </x:c>
      <x:c r="AB2813" s="28" t="n">
        <x:f>J2813-K2813</x:f>
        <x:v>-1</x:v>
      </x:c>
      <x:c r="AC2813" s="32" t="n">
        <x:f>F2813-G2813</x:f>
        <x:v>0</x:v>
      </x:c>
    </x:row>
    <x:row r="2814">
      <x:c r="A2814" s="4" t="str">
        <x:v>2024-25</x:v>
      </x:c>
      <x:c r="B2814" s="20" t="n">
        <x:v>45714</x:v>
      </x:c>
      <x:c r="C2814" s="4" t="str">
        <x:v>Everton</x:v>
      </x:c>
      <x:c r="D2814" s="4" t="str">
        <x:v>Brentford</x:v>
      </x:c>
      <x:c r="E2814" s="4" t="str">
        <x:v>Away</x:v>
      </x:c>
      <x:c r="F2814" s="28" t="n">
        <x:v>1</x:v>
      </x:c>
      <x:c r="G2814" s="28" t="n">
        <x:v>1</x:v>
      </x:c>
      <x:c r="H2814" s="28" t="n">
        <x:v>14</x:v>
      </x:c>
      <x:c r="I2814" s="28" t="n">
        <x:v>12</x:v>
      </x:c>
      <x:c r="J2814" s="28" t="n">
        <x:v>4</x:v>
      </x:c>
      <x:c r="K2814" s="28" t="n">
        <x:v>3</x:v>
      </x:c>
      <x:c r="L2814" s="28" t="n">
        <x:v>5</x:v>
      </x:c>
      <x:c r="M2814" s="28" t="n">
        <x:v>2</x:v>
      </x:c>
      <x:c r="N2814" s="28" t="n">
        <x:v>1</x:v>
      </x:c>
      <x:c r="O2814" s="28" t="n">
        <x:v>0</x:v>
      </x:c>
      <x:c r="P2814" s="28" t="n">
        <x:v>1</x:v>
      </x:c>
      <x:c r="Q2814" s="24" t="n">
        <x:f>IFERROR(J2814/H2814,0)</x:f>
        <x:v>0.2857142857142857</x:v>
      </x:c>
      <x:c r="R2814" s="24" t="n">
        <x:f>IFERROR(F2814/H2814,0)</x:f>
        <x:v>0.07142857142857142</x:v>
      </x:c>
      <x:c r="S2814" s="24" t="n">
        <x:f>IFERROR(F2814/J2814,0)</x:f>
        <x:v>0.25</x:v>
      </x:c>
      <x:c r="T2814" s="28" t="n">
        <x:f>H2814-I2814</x:f>
        <x:v>2</x:v>
      </x:c>
      <x:c r="U2814" s="24" t="n">
        <x:f>IFERROR(J2814/H2814,0)-IFERROR(K2814/I2814,0)</x:f>
        <x:v>0.0357142857142857</x:v>
      </x:c>
      <x:c r="V2814" s="24" t="n">
        <x:f>IFERROR(F2814/J2814,0)-IFERROR(G2814/K2814,0)</x:f>
        <x:v>-0.08333333333333331</x:v>
      </x:c>
      <x:c r="W2814" s="28" t="n">
        <x:f>L2814-M2814</x:f>
        <x:v>3</x:v>
      </x:c>
      <x:c r="X2814" s="24" t="n">
        <x:f>IFERROR(K2814/I2814,0)</x:f>
        <x:v>0.25</x:v>
      </x:c>
      <x:c r="Y2814" s="24" t="n">
        <x:f>IFERROR(G2814/I2814,0)</x:f>
        <x:v>0.08333333333333333</x:v>
      </x:c>
      <x:c r="Z2814" s="24" t="n">
        <x:f>IFERROR(G2814/K2814,0)</x:f>
        <x:v>0.3333333333333333</x:v>
      </x:c>
      <x:c r="AA2814" s="24" t="n">
        <x:f>IFERROR(F2814/H2814,0)-IFERROR(G2814/I2814,0)</x:f>
        <x:v>-0.011904761904761904</x:v>
      </x:c>
      <x:c r="AB2814" s="28" t="n">
        <x:f>J2814-K2814</x:f>
        <x:v>1</x:v>
      </x:c>
      <x:c r="AC2814" s="32" t="n">
        <x:f>F2814-G2814</x:f>
        <x:v>0</x:v>
      </x:c>
    </x:row>
    <x:row r="2815">
      <x:c r="A2815" s="4" t="str">
        <x:v>2024-25</x:v>
      </x:c>
      <x:c r="B2815" s="20" t="n">
        <x:v>45714</x:v>
      </x:c>
      <x:c r="C2815" s="4" t="str">
        <x:v>Ipswich</x:v>
      </x:c>
      <x:c r="D2815" s="4" t="str">
        <x:v>Man United</x:v>
      </x:c>
      <x:c r="E2815" s="4" t="str">
        <x:v>Away</x:v>
      </x:c>
      <x:c r="F2815" s="28" t="n">
        <x:v>2</x:v>
      </x:c>
      <x:c r="G2815" s="28" t="n">
        <x:v>3</x:v>
      </x:c>
      <x:c r="H2815" s="28" t="n">
        <x:v>12</x:v>
      </x:c>
      <x:c r="I2815" s="28" t="n">
        <x:v>10</x:v>
      </x:c>
      <x:c r="J2815" s="28" t="n">
        <x:v>3</x:v>
      </x:c>
      <x:c r="K2815" s="28" t="n">
        <x:v>6</x:v>
      </x:c>
      <x:c r="L2815" s="28" t="n">
        <x:v>6</x:v>
      </x:c>
      <x:c r="M2815" s="28" t="n">
        <x:v>5</x:v>
      </x:c>
      <x:c r="N2815" s="28" t="n">
        <x:v>4</x:v>
      </x:c>
      <x:c r="O2815" s="28" t="n">
        <x:v>0</x:v>
      </x:c>
      <x:c r="P2815" s="28" t="n">
        <x:v>0</x:v>
      </x:c>
      <x:c r="Q2815" s="24" t="n">
        <x:f>IFERROR(J2815/H2815,0)</x:f>
        <x:v>0.25</x:v>
      </x:c>
      <x:c r="R2815" s="24" t="n">
        <x:f>IFERROR(F2815/H2815,0)</x:f>
        <x:v>0.16666666666666666</x:v>
      </x:c>
      <x:c r="S2815" s="24" t="n">
        <x:f>IFERROR(F2815/J2815,0)</x:f>
        <x:v>0.6666666666666666</x:v>
      </x:c>
      <x:c r="T2815" s="28" t="n">
        <x:f>H2815-I2815</x:f>
        <x:v>2</x:v>
      </x:c>
      <x:c r="U2815" s="24" t="n">
        <x:f>IFERROR(J2815/H2815,0)-IFERROR(K2815/I2815,0)</x:f>
        <x:v>-0.35</x:v>
      </x:c>
      <x:c r="V2815" s="24" t="n">
        <x:f>IFERROR(F2815/J2815,0)-IFERROR(G2815/K2815,0)</x:f>
        <x:v>0.16666666666666663</x:v>
      </x:c>
      <x:c r="W2815" s="28" t="n">
        <x:f>L2815-M2815</x:f>
        <x:v>1</x:v>
      </x:c>
      <x:c r="X2815" s="24" t="n">
        <x:f>IFERROR(K2815/I2815,0)</x:f>
        <x:v>0.6</x:v>
      </x:c>
      <x:c r="Y2815" s="24" t="n">
        <x:f>IFERROR(G2815/I2815,0)</x:f>
        <x:v>0.3</x:v>
      </x:c>
      <x:c r="Z2815" s="24" t="n">
        <x:f>IFERROR(G2815/K2815,0)</x:f>
        <x:v>0.5</x:v>
      </x:c>
      <x:c r="AA2815" s="24" t="n">
        <x:f>IFERROR(F2815/H2815,0)-IFERROR(G2815/I2815,0)</x:f>
        <x:v>-0.13333333333333333</x:v>
      </x:c>
      <x:c r="AB2815" s="28" t="n">
        <x:f>J2815-K2815</x:f>
        <x:v>-3</x:v>
      </x:c>
      <x:c r="AC2815" s="32" t="n">
        <x:f>F2815-G2815</x:f>
        <x:v>-1</x:v>
      </x:c>
    </x:row>
    <x:row r="2816">
      <x:c r="A2816" s="4" t="str">
        <x:v>2024-25</x:v>
      </x:c>
      <x:c r="B2816" s="20" t="n">
        <x:v>45714</x:v>
      </x:c>
      <x:c r="C2816" s="4" t="str">
        <x:v>Liverpool</x:v>
      </x:c>
      <x:c r="D2816" s="4" t="str">
        <x:v>Newcastle</x:v>
      </x:c>
      <x:c r="E2816" s="4" t="str">
        <x:v>Home</x:v>
      </x:c>
      <x:c r="F2816" s="28" t="n">
        <x:v>2</x:v>
      </x:c>
      <x:c r="G2816" s="28" t="n">
        <x:v>0</x:v>
      </x:c>
      <x:c r="H2816" s="28" t="n">
        <x:v>12</x:v>
      </x:c>
      <x:c r="I2816" s="28" t="n">
        <x:v>3</x:v>
      </x:c>
      <x:c r="J2816" s="28" t="n">
        <x:v>3</x:v>
      </x:c>
      <x:c r="K2816" s="28" t="n">
        <x:v>0</x:v>
      </x:c>
      <x:c r="L2816" s="28" t="n">
        <x:v>4</x:v>
      </x:c>
      <x:c r="M2816" s="28" t="n">
        <x:v>2</x:v>
      </x:c>
      <x:c r="N2816" s="28" t="n">
        <x:v>0</x:v>
      </x:c>
      <x:c r="O2816" s="28" t="n">
        <x:v>0</x:v>
      </x:c>
      <x:c r="P2816" s="28" t="n">
        <x:v>3</x:v>
      </x:c>
      <x:c r="Q2816" s="24" t="n">
        <x:f>IFERROR(J2816/H2816,0)</x:f>
        <x:v>0.25</x:v>
      </x:c>
      <x:c r="R2816" s="24" t="n">
        <x:f>IFERROR(F2816/H2816,0)</x:f>
        <x:v>0.16666666666666666</x:v>
      </x:c>
      <x:c r="S2816" s="24" t="n">
        <x:f>IFERROR(F2816/J2816,0)</x:f>
        <x:v>0.6666666666666666</x:v>
      </x:c>
      <x:c r="T2816" s="28" t="n">
        <x:f>H2816-I2816</x:f>
        <x:v>9</x:v>
      </x:c>
      <x:c r="U2816" s="24" t="n">
        <x:f>IFERROR(J2816/H2816,0)-IFERROR(K2816/I2816,0)</x:f>
        <x:v>0.25</x:v>
      </x:c>
      <x:c r="V2816" s="24" t="n">
        <x:f>IFERROR(F2816/J2816,0)-IFERROR(G2816/K2816,0)</x:f>
        <x:v>0.6666666666666666</x:v>
      </x:c>
      <x:c r="W2816" s="28" t="n">
        <x:f>L2816-M2816</x:f>
        <x:v>2</x:v>
      </x:c>
      <x:c r="X2816" s="24" t="n">
        <x:f>IFERROR(K2816/I2816,0)</x:f>
        <x:v>0</x:v>
      </x:c>
      <x:c r="Y2816" s="24" t="n">
        <x:f>IFERROR(G2816/I2816,0)</x:f>
        <x:v>0</x:v>
      </x:c>
      <x:c r="Z2816" s="24" t="n">
        <x:f>IFERROR(G2816/K2816,0)</x:f>
        <x:v>0</x:v>
      </x:c>
      <x:c r="AA2816" s="24" t="n">
        <x:f>IFERROR(F2816/H2816,0)-IFERROR(G2816/I2816,0)</x:f>
        <x:v>0.16666666666666666</x:v>
      </x:c>
      <x:c r="AB2816" s="28" t="n">
        <x:f>J2816-K2816</x:f>
        <x:v>3</x:v>
      </x:c>
      <x:c r="AC2816" s="32" t="n">
        <x:f>F2816-G2816</x:f>
        <x:v>2</x:v>
      </x:c>
    </x:row>
    <x:row r="2817">
      <x:c r="A2817" s="4" t="str">
        <x:v>2024-25</x:v>
      </x:c>
      <x:c r="B2817" s="20" t="n">
        <x:v>45714</x:v>
      </x:c>
      <x:c r="C2817" s="4" t="str">
        <x:v>Man City</x:v>
      </x:c>
      <x:c r="D2817" s="4" t="str">
        <x:v>Tottenham</x:v>
      </x:c>
      <x:c r="E2817" s="4" t="str">
        <x:v>Away</x:v>
      </x:c>
      <x:c r="F2817" s="28" t="n">
        <x:v>1</x:v>
      </x:c>
      <x:c r="G2817" s="28" t="n">
        <x:v>0</x:v>
      </x:c>
      <x:c r="H2817" s="28" t="n">
        <x:v>12</x:v>
      </x:c>
      <x:c r="I2817" s="28" t="n">
        <x:v>11</x:v>
      </x:c>
      <x:c r="J2817" s="28" t="n">
        <x:v>5</x:v>
      </x:c>
      <x:c r="K2817" s="28" t="n">
        <x:v>6</x:v>
      </x:c>
      <x:c r="L2817" s="28" t="n">
        <x:v>3</x:v>
      </x:c>
      <x:c r="M2817" s="28" t="n">
        <x:v>8</x:v>
      </x:c>
      <x:c r="N2817" s="28" t="n">
        <x:v>0</x:v>
      </x:c>
      <x:c r="O2817" s="28" t="n">
        <x:v>0</x:v>
      </x:c>
      <x:c r="P2817" s="28" t="n">
        <x:v>3</x:v>
      </x:c>
      <x:c r="Q2817" s="24" t="n">
        <x:f>IFERROR(J2817/H2817,0)</x:f>
        <x:v>0.4166666666666667</x:v>
      </x:c>
      <x:c r="R2817" s="24" t="n">
        <x:f>IFERROR(F2817/H2817,0)</x:f>
        <x:v>0.08333333333333333</x:v>
      </x:c>
      <x:c r="S2817" s="24" t="n">
        <x:f>IFERROR(F2817/J2817,0)</x:f>
        <x:v>0.2</x:v>
      </x:c>
      <x:c r="T2817" s="28" t="n">
        <x:f>H2817-I2817</x:f>
        <x:v>1</x:v>
      </x:c>
      <x:c r="U2817" s="24" t="n">
        <x:f>IFERROR(J2817/H2817,0)-IFERROR(K2817/I2817,0)</x:f>
        <x:v>-0.12878787878787873</x:v>
      </x:c>
      <x:c r="V2817" s="24" t="n">
        <x:f>IFERROR(F2817/J2817,0)-IFERROR(G2817/K2817,0)</x:f>
        <x:v>0.2</x:v>
      </x:c>
      <x:c r="W2817" s="28" t="n">
        <x:f>L2817-M2817</x:f>
        <x:v>-5</x:v>
      </x:c>
      <x:c r="X2817" s="24" t="n">
        <x:f>IFERROR(K2817/I2817,0)</x:f>
        <x:v>0.5454545454545454</x:v>
      </x:c>
      <x:c r="Y2817" s="24" t="n">
        <x:f>IFERROR(G2817/I2817,0)</x:f>
        <x:v>0</x:v>
      </x:c>
      <x:c r="Z2817" s="24" t="n">
        <x:f>IFERROR(G2817/K2817,0)</x:f>
        <x:v>0</x:v>
      </x:c>
      <x:c r="AA2817" s="24" t="n">
        <x:f>IFERROR(F2817/H2817,0)-IFERROR(G2817/I2817,0)</x:f>
        <x:v>0.08333333333333333</x:v>
      </x:c>
      <x:c r="AB2817" s="28" t="n">
        <x:f>J2817-K2817</x:f>
        <x:v>-1</x:v>
      </x:c>
      <x:c r="AC2817" s="32" t="n">
        <x:f>F2817-G2817</x:f>
        <x:v>1</x:v>
      </x:c>
    </x:row>
    <x:row r="2818">
      <x:c r="A2818" s="4" t="str">
        <x:v>2024-25</x:v>
      </x:c>
      <x:c r="B2818" s="20" t="n">
        <x:v>45714</x:v>
      </x:c>
      <x:c r="C2818" s="4" t="str">
        <x:v>Man United</x:v>
      </x:c>
      <x:c r="D2818" s="4" t="str">
        <x:v>Ipswich</x:v>
      </x:c>
      <x:c r="E2818" s="4" t="str">
        <x:v>Home</x:v>
      </x:c>
      <x:c r="F2818" s="28" t="n">
        <x:v>3</x:v>
      </x:c>
      <x:c r="G2818" s="28" t="n">
        <x:v>2</x:v>
      </x:c>
      <x:c r="H2818" s="28" t="n">
        <x:v>10</x:v>
      </x:c>
      <x:c r="I2818" s="28" t="n">
        <x:v>12</x:v>
      </x:c>
      <x:c r="J2818" s="28" t="n">
        <x:v>6</x:v>
      </x:c>
      <x:c r="K2818" s="28" t="n">
        <x:v>3</x:v>
      </x:c>
      <x:c r="L2818" s="28" t="n">
        <x:v>5</x:v>
      </x:c>
      <x:c r="M2818" s="28" t="n">
        <x:v>6</x:v>
      </x:c>
      <x:c r="N2818" s="28" t="n">
        <x:v>4</x:v>
      </x:c>
      <x:c r="O2818" s="28" t="n">
        <x:v>1</x:v>
      </x:c>
      <x:c r="P2818" s="28" t="n">
        <x:v>3</x:v>
      </x:c>
      <x:c r="Q2818" s="24" t="n">
        <x:f>IFERROR(J2818/H2818,0)</x:f>
        <x:v>0.6</x:v>
      </x:c>
      <x:c r="R2818" s="24" t="n">
        <x:f>IFERROR(F2818/H2818,0)</x:f>
        <x:v>0.3</x:v>
      </x:c>
      <x:c r="S2818" s="24" t="n">
        <x:f>IFERROR(F2818/J2818,0)</x:f>
        <x:v>0.5</x:v>
      </x:c>
      <x:c r="T2818" s="28" t="n">
        <x:f>H2818-I2818</x:f>
        <x:v>-2</x:v>
      </x:c>
      <x:c r="U2818" s="24" t="n">
        <x:f>IFERROR(J2818/H2818,0)-IFERROR(K2818/I2818,0)</x:f>
        <x:v>0.35</x:v>
      </x:c>
      <x:c r="V2818" s="24" t="n">
        <x:f>IFERROR(F2818/J2818,0)-IFERROR(G2818/K2818,0)</x:f>
        <x:v>-0.16666666666666663</x:v>
      </x:c>
      <x:c r="W2818" s="28" t="n">
        <x:f>L2818-M2818</x:f>
        <x:v>-1</x:v>
      </x:c>
      <x:c r="X2818" s="24" t="n">
        <x:f>IFERROR(K2818/I2818,0)</x:f>
        <x:v>0.25</x:v>
      </x:c>
      <x:c r="Y2818" s="24" t="n">
        <x:f>IFERROR(G2818/I2818,0)</x:f>
        <x:v>0.16666666666666666</x:v>
      </x:c>
      <x:c r="Z2818" s="24" t="n">
        <x:f>IFERROR(G2818/K2818,0)</x:f>
        <x:v>0.6666666666666666</x:v>
      </x:c>
      <x:c r="AA2818" s="24" t="n">
        <x:f>IFERROR(F2818/H2818,0)-IFERROR(G2818/I2818,0)</x:f>
        <x:v>0.13333333333333333</x:v>
      </x:c>
      <x:c r="AB2818" s="28" t="n">
        <x:f>J2818-K2818</x:f>
        <x:v>3</x:v>
      </x:c>
      <x:c r="AC2818" s="32" t="n">
        <x:f>F2818-G2818</x:f>
        <x:v>1</x:v>
      </x:c>
    </x:row>
    <x:row r="2819">
      <x:c r="A2819" s="4" t="str">
        <x:v>2024-25</x:v>
      </x:c>
      <x:c r="B2819" s="20" t="n">
        <x:v>45714</x:v>
      </x:c>
      <x:c r="C2819" s="4" t="str">
        <x:v>Newcastle</x:v>
      </x:c>
      <x:c r="D2819" s="4" t="str">
        <x:v>Liverpool</x:v>
      </x:c>
      <x:c r="E2819" s="4" t="str">
        <x:v>Away</x:v>
      </x:c>
      <x:c r="F2819" s="28" t="n">
        <x:v>0</x:v>
      </x:c>
      <x:c r="G2819" s="28" t="n">
        <x:v>2</x:v>
      </x:c>
      <x:c r="H2819" s="28" t="n">
        <x:v>3</x:v>
      </x:c>
      <x:c r="I2819" s="28" t="n">
        <x:v>12</x:v>
      </x:c>
      <x:c r="J2819" s="28" t="n">
        <x:v>0</x:v>
      </x:c>
      <x:c r="K2819" s="28" t="n">
        <x:v>3</x:v>
      </x:c>
      <x:c r="L2819" s="28" t="n">
        <x:v>2</x:v>
      </x:c>
      <x:c r="M2819" s="28" t="n">
        <x:v>4</x:v>
      </x:c>
      <x:c r="N2819" s="28" t="n">
        <x:v>1</x:v>
      </x:c>
      <x:c r="O2819" s="28" t="n">
        <x:v>0</x:v>
      </x:c>
      <x:c r="P2819" s="28" t="n">
        <x:v>0</x:v>
      </x:c>
      <x:c r="Q2819" s="24" t="n">
        <x:f>IFERROR(J2819/H2819,0)</x:f>
        <x:v>0</x:v>
      </x:c>
      <x:c r="R2819" s="24" t="n">
        <x:f>IFERROR(F2819/H2819,0)</x:f>
        <x:v>0</x:v>
      </x:c>
      <x:c r="S2819" s="24" t="n">
        <x:f>IFERROR(F2819/J2819,0)</x:f>
        <x:v>0</x:v>
      </x:c>
      <x:c r="T2819" s="28" t="n">
        <x:f>H2819-I2819</x:f>
        <x:v>-9</x:v>
      </x:c>
      <x:c r="U2819" s="24" t="n">
        <x:f>IFERROR(J2819/H2819,0)-IFERROR(K2819/I2819,0)</x:f>
        <x:v>-0.25</x:v>
      </x:c>
      <x:c r="V2819" s="24" t="n">
        <x:f>IFERROR(F2819/J2819,0)-IFERROR(G2819/K2819,0)</x:f>
        <x:v>-0.6666666666666666</x:v>
      </x:c>
      <x:c r="W2819" s="28" t="n">
        <x:f>L2819-M2819</x:f>
        <x:v>-2</x:v>
      </x:c>
      <x:c r="X2819" s="24" t="n">
        <x:f>IFERROR(K2819/I2819,0)</x:f>
        <x:v>0.25</x:v>
      </x:c>
      <x:c r="Y2819" s="24" t="n">
        <x:f>IFERROR(G2819/I2819,0)</x:f>
        <x:v>0.16666666666666666</x:v>
      </x:c>
      <x:c r="Z2819" s="24" t="n">
        <x:f>IFERROR(G2819/K2819,0)</x:f>
        <x:v>0.6666666666666666</x:v>
      </x:c>
      <x:c r="AA2819" s="24" t="n">
        <x:f>IFERROR(F2819/H2819,0)-IFERROR(G2819/I2819,0)</x:f>
        <x:v>-0.16666666666666666</x:v>
      </x:c>
      <x:c r="AB2819" s="28" t="n">
        <x:f>J2819-K2819</x:f>
        <x:v>-3</x:v>
      </x:c>
      <x:c r="AC2819" s="32" t="n">
        <x:f>F2819-G2819</x:f>
        <x:v>-2</x:v>
      </x:c>
    </x:row>
    <x:row r="2820">
      <x:c r="A2820" s="4" t="str">
        <x:v>2024-25</x:v>
      </x:c>
      <x:c r="B2820" s="20" t="n">
        <x:v>45714</x:v>
      </x:c>
      <x:c r="C2820" s="4" t="str">
        <x:v>Nott'm Forest</x:v>
      </x:c>
      <x:c r="D2820" s="4" t="str">
        <x:v>Arsenal</x:v>
      </x:c>
      <x:c r="E2820" s="4" t="str">
        <x:v>Home</x:v>
      </x:c>
      <x:c r="F2820" s="28" t="n">
        <x:v>0</x:v>
      </x:c>
      <x:c r="G2820" s="28" t="n">
        <x:v>0</x:v>
      </x:c>
      <x:c r="H2820" s="28" t="n">
        <x:v>6</x:v>
      </x:c>
      <x:c r="I2820" s="28" t="n">
        <x:v>13</x:v>
      </x:c>
      <x:c r="J2820" s="28" t="n">
        <x:v>2</x:v>
      </x:c>
      <x:c r="K2820" s="28" t="n">
        <x:v>1</x:v>
      </x:c>
      <x:c r="L2820" s="28" t="n">
        <x:v>3</x:v>
      </x:c>
      <x:c r="M2820" s="28" t="n">
        <x:v>11</x:v>
      </x:c>
      <x:c r="N2820" s="28" t="n">
        <x:v>1</x:v>
      </x:c>
      <x:c r="O2820" s="28" t="n">
        <x:v>0</x:v>
      </x:c>
      <x:c r="P2820" s="28" t="n">
        <x:v>1</x:v>
      </x:c>
      <x:c r="Q2820" s="24" t="n">
        <x:f>IFERROR(J2820/H2820,0)</x:f>
        <x:v>0.3333333333333333</x:v>
      </x:c>
      <x:c r="R2820" s="24" t="n">
        <x:f>IFERROR(F2820/H2820,0)</x:f>
        <x:v>0</x:v>
      </x:c>
      <x:c r="S2820" s="24" t="n">
        <x:f>IFERROR(F2820/J2820,0)</x:f>
        <x:v>0</x:v>
      </x:c>
      <x:c r="T2820" s="28" t="n">
        <x:f>H2820-I2820</x:f>
        <x:v>-7</x:v>
      </x:c>
      <x:c r="U2820" s="24" t="n">
        <x:f>IFERROR(J2820/H2820,0)-IFERROR(K2820/I2820,0)</x:f>
        <x:v>0.2564102564102564</x:v>
      </x:c>
      <x:c r="V2820" s="24" t="n">
        <x:f>IFERROR(F2820/J2820,0)-IFERROR(G2820/K2820,0)</x:f>
        <x:v>0</x:v>
      </x:c>
      <x:c r="W2820" s="28" t="n">
        <x:f>L2820-M2820</x:f>
        <x:v>-8</x:v>
      </x:c>
      <x:c r="X2820" s="24" t="n">
        <x:f>IFERROR(K2820/I2820,0)</x:f>
        <x:v>0.07692307692307693</x:v>
      </x:c>
      <x:c r="Y2820" s="24" t="n">
        <x:f>IFERROR(G2820/I2820,0)</x:f>
        <x:v>0</x:v>
      </x:c>
      <x:c r="Z2820" s="24" t="n">
        <x:f>IFERROR(G2820/K2820,0)</x:f>
        <x:v>0</x:v>
      </x:c>
      <x:c r="AA2820" s="24" t="n">
        <x:f>IFERROR(F2820/H2820,0)-IFERROR(G2820/I2820,0)</x:f>
        <x:v>0</x:v>
      </x:c>
      <x:c r="AB2820" s="28" t="n">
        <x:f>J2820-K2820</x:f>
        <x:v>1</x:v>
      </x:c>
      <x:c r="AC2820" s="32" t="n">
        <x:f>F2820-G2820</x:f>
        <x:v>0</x:v>
      </x:c>
    </x:row>
    <x:row r="2821">
      <x:c r="A2821" s="4" t="str">
        <x:v>2024-25</x:v>
      </x:c>
      <x:c r="B2821" s="20" t="n">
        <x:v>45714</x:v>
      </x:c>
      <x:c r="C2821" s="4" t="str">
        <x:v>Tottenham</x:v>
      </x:c>
      <x:c r="D2821" s="4" t="str">
        <x:v>Man City</x:v>
      </x:c>
      <x:c r="E2821" s="4" t="str">
        <x:v>Home</x:v>
      </x:c>
      <x:c r="F2821" s="28" t="n">
        <x:v>0</x:v>
      </x:c>
      <x:c r="G2821" s="28" t="n">
        <x:v>1</x:v>
      </x:c>
      <x:c r="H2821" s="28" t="n">
        <x:v>11</x:v>
      </x:c>
      <x:c r="I2821" s="28" t="n">
        <x:v>12</x:v>
      </x:c>
      <x:c r="J2821" s="28" t="n">
        <x:v>6</x:v>
      </x:c>
      <x:c r="K2821" s="28" t="n">
        <x:v>5</x:v>
      </x:c>
      <x:c r="L2821" s="28" t="n">
        <x:v>8</x:v>
      </x:c>
      <x:c r="M2821" s="28" t="n">
        <x:v>3</x:v>
      </x:c>
      <x:c r="N2821" s="28" t="n">
        <x:v>3</x:v>
      </x:c>
      <x:c r="O2821" s="28" t="n">
        <x:v>0</x:v>
      </x:c>
      <x:c r="P2821" s="28" t="n">
        <x:v>0</x:v>
      </x:c>
      <x:c r="Q2821" s="24" t="n">
        <x:f>IFERROR(J2821/H2821,0)</x:f>
        <x:v>0.5454545454545454</x:v>
      </x:c>
      <x:c r="R2821" s="24" t="n">
        <x:f>IFERROR(F2821/H2821,0)</x:f>
        <x:v>0</x:v>
      </x:c>
      <x:c r="S2821" s="24" t="n">
        <x:f>IFERROR(F2821/J2821,0)</x:f>
        <x:v>0</x:v>
      </x:c>
      <x:c r="T2821" s="28" t="n">
        <x:f>H2821-I2821</x:f>
        <x:v>-1</x:v>
      </x:c>
      <x:c r="U2821" s="24" t="n">
        <x:f>IFERROR(J2821/H2821,0)-IFERROR(K2821/I2821,0)</x:f>
        <x:v>0.12878787878787873</x:v>
      </x:c>
      <x:c r="V2821" s="24" t="n">
        <x:f>IFERROR(F2821/J2821,0)-IFERROR(G2821/K2821,0)</x:f>
        <x:v>-0.2</x:v>
      </x:c>
      <x:c r="W2821" s="28" t="n">
        <x:f>L2821-M2821</x:f>
        <x:v>5</x:v>
      </x:c>
      <x:c r="X2821" s="24" t="n">
        <x:f>IFERROR(K2821/I2821,0)</x:f>
        <x:v>0.4166666666666667</x:v>
      </x:c>
      <x:c r="Y2821" s="24" t="n">
        <x:f>IFERROR(G2821/I2821,0)</x:f>
        <x:v>0.08333333333333333</x:v>
      </x:c>
      <x:c r="Z2821" s="24" t="n">
        <x:f>IFERROR(G2821/K2821,0)</x:f>
        <x:v>0.2</x:v>
      </x:c>
      <x:c r="AA2821" s="24" t="n">
        <x:f>IFERROR(F2821/H2821,0)-IFERROR(G2821/I2821,0)</x:f>
        <x:v>-0.08333333333333333</x:v>
      </x:c>
      <x:c r="AB2821" s="28" t="n">
        <x:f>J2821-K2821</x:f>
        <x:v>1</x:v>
      </x:c>
      <x:c r="AC2821" s="32" t="n">
        <x:f>F2821-G2821</x:f>
        <x:v>-1</x:v>
      </x:c>
    </x:row>
    <x:row r="2822">
      <x:c r="A2822" s="4" t="str">
        <x:v>2024-25</x:v>
      </x:c>
      <x:c r="B2822" s="20" t="n">
        <x:v>45715</x:v>
      </x:c>
      <x:c r="C2822" s="4" t="str">
        <x:v>Leicester</x:v>
      </x:c>
      <x:c r="D2822" s="4" t="str">
        <x:v>West Ham</x:v>
      </x:c>
      <x:c r="E2822" s="4" t="str">
        <x:v>Away</x:v>
      </x:c>
      <x:c r="F2822" s="28" t="n">
        <x:v>0</x:v>
      </x:c>
      <x:c r="G2822" s="28" t="n">
        <x:v>2</x:v>
      </x:c>
      <x:c r="H2822" s="28" t="n">
        <x:v>10</x:v>
      </x:c>
      <x:c r="I2822" s="28" t="n">
        <x:v>8</x:v>
      </x:c>
      <x:c r="J2822" s="28" t="n">
        <x:v>2</x:v>
      </x:c>
      <x:c r="K2822" s="28" t="n">
        <x:v>2</x:v>
      </x:c>
      <x:c r="L2822" s="28" t="n">
        <x:v>3</x:v>
      </x:c>
      <x:c r="M2822" s="28" t="n">
        <x:v>3</x:v>
      </x:c>
      <x:c r="N2822" s="28" t="n">
        <x:v>0</x:v>
      </x:c>
      <x:c r="O2822" s="28" t="n">
        <x:v>0</x:v>
      </x:c>
      <x:c r="P2822" s="28" t="n">
        <x:v>0</x:v>
      </x:c>
      <x:c r="Q2822" s="24" t="n">
        <x:f>IFERROR(J2822/H2822,0)</x:f>
        <x:v>0.2</x:v>
      </x:c>
      <x:c r="R2822" s="24" t="n">
        <x:f>IFERROR(F2822/H2822,0)</x:f>
        <x:v>0</x:v>
      </x:c>
      <x:c r="S2822" s="24" t="n">
        <x:f>IFERROR(F2822/J2822,0)</x:f>
        <x:v>0</x:v>
      </x:c>
      <x:c r="T2822" s="28" t="n">
        <x:f>H2822-I2822</x:f>
        <x:v>2</x:v>
      </x:c>
      <x:c r="U2822" s="24" t="n">
        <x:f>IFERROR(J2822/H2822,0)-IFERROR(K2822/I2822,0)</x:f>
        <x:v>-0.04999999999999999</x:v>
      </x:c>
      <x:c r="V2822" s="24" t="n">
        <x:f>IFERROR(F2822/J2822,0)-IFERROR(G2822/K2822,0)</x:f>
        <x:v>-1</x:v>
      </x:c>
      <x:c r="W2822" s="28" t="n">
        <x:f>L2822-M2822</x:f>
        <x:v>0</x:v>
      </x:c>
      <x:c r="X2822" s="24" t="n">
        <x:f>IFERROR(K2822/I2822,0)</x:f>
        <x:v>0.25</x:v>
      </x:c>
      <x:c r="Y2822" s="24" t="n">
        <x:f>IFERROR(G2822/I2822,0)</x:f>
        <x:v>0.25</x:v>
      </x:c>
      <x:c r="Z2822" s="24" t="n">
        <x:f>IFERROR(G2822/K2822,0)</x:f>
        <x:v>1</x:v>
      </x:c>
      <x:c r="AA2822" s="24" t="n">
        <x:f>IFERROR(F2822/H2822,0)-IFERROR(G2822/I2822,0)</x:f>
        <x:v>-0.25</x:v>
      </x:c>
      <x:c r="AB2822" s="28" t="n">
        <x:f>J2822-K2822</x:f>
        <x:v>0</x:v>
      </x:c>
      <x:c r="AC2822" s="32" t="n">
        <x:f>F2822-G2822</x:f>
        <x:v>-2</x:v>
      </x:c>
    </x:row>
    <x:row r="2823">
      <x:c r="A2823" s="4" t="str">
        <x:v>2024-25</x:v>
      </x:c>
      <x:c r="B2823" s="20" t="n">
        <x:v>45715</x:v>
      </x:c>
      <x:c r="C2823" s="4" t="str">
        <x:v>West Ham</x:v>
      </x:c>
      <x:c r="D2823" s="4" t="str">
        <x:v>Leicester</x:v>
      </x:c>
      <x:c r="E2823" s="4" t="str">
        <x:v>Home</x:v>
      </x:c>
      <x:c r="F2823" s="28" t="n">
        <x:v>2</x:v>
      </x:c>
      <x:c r="G2823" s="28" t="n">
        <x:v>0</x:v>
      </x:c>
      <x:c r="H2823" s="28" t="n">
        <x:v>8</x:v>
      </x:c>
      <x:c r="I2823" s="28" t="n">
        <x:v>10</x:v>
      </x:c>
      <x:c r="J2823" s="28" t="n">
        <x:v>2</x:v>
      </x:c>
      <x:c r="K2823" s="28" t="n">
        <x:v>2</x:v>
      </x:c>
      <x:c r="L2823" s="28" t="n">
        <x:v>3</x:v>
      </x:c>
      <x:c r="M2823" s="28" t="n">
        <x:v>3</x:v>
      </x:c>
      <x:c r="N2823" s="28" t="n">
        <x:v>0</x:v>
      </x:c>
      <x:c r="O2823" s="28" t="n">
        <x:v>0</x:v>
      </x:c>
      <x:c r="P2823" s="28" t="n">
        <x:v>3</x:v>
      </x:c>
      <x:c r="Q2823" s="24" t="n">
        <x:f>IFERROR(J2823/H2823,0)</x:f>
        <x:v>0.25</x:v>
      </x:c>
      <x:c r="R2823" s="24" t="n">
        <x:f>IFERROR(F2823/H2823,0)</x:f>
        <x:v>0.25</x:v>
      </x:c>
      <x:c r="S2823" s="24" t="n">
        <x:f>IFERROR(F2823/J2823,0)</x:f>
        <x:v>1</x:v>
      </x:c>
      <x:c r="T2823" s="28" t="n">
        <x:f>H2823-I2823</x:f>
        <x:v>-2</x:v>
      </x:c>
      <x:c r="U2823" s="24" t="n">
        <x:f>IFERROR(J2823/H2823,0)-IFERROR(K2823/I2823,0)</x:f>
        <x:v>0.04999999999999999</x:v>
      </x:c>
      <x:c r="V2823" s="24" t="n">
        <x:f>IFERROR(F2823/J2823,0)-IFERROR(G2823/K2823,0)</x:f>
        <x:v>1</x:v>
      </x:c>
      <x:c r="W2823" s="28" t="n">
        <x:f>L2823-M2823</x:f>
        <x:v>0</x:v>
      </x:c>
      <x:c r="X2823" s="24" t="n">
        <x:f>IFERROR(K2823/I2823,0)</x:f>
        <x:v>0.2</x:v>
      </x:c>
      <x:c r="Y2823" s="24" t="n">
        <x:f>IFERROR(G2823/I2823,0)</x:f>
        <x:v>0</x:v>
      </x:c>
      <x:c r="Z2823" s="24" t="n">
        <x:f>IFERROR(G2823/K2823,0)</x:f>
        <x:v>0</x:v>
      </x:c>
      <x:c r="AA2823" s="24" t="n">
        <x:f>IFERROR(F2823/H2823,0)-IFERROR(G2823/I2823,0)</x:f>
        <x:v>0.25</x:v>
      </x:c>
      <x:c r="AB2823" s="28" t="n">
        <x:f>J2823-K2823</x:f>
        <x:v>0</x:v>
      </x:c>
      <x:c r="AC2823" s="32" t="n">
        <x:f>F2823-G2823</x:f>
        <x:v>2</x:v>
      </x:c>
    </x:row>
    <x:row r="2824">
      <x:c r="A2824" s="4" t="str">
        <x:v>2024-25</x:v>
      </x:c>
      <x:c r="B2824" s="20" t="n">
        <x:v>45724</x:v>
      </x:c>
      <x:c r="C2824" s="4" t="str">
        <x:v>Aston Villa</x:v>
      </x:c>
      <x:c r="D2824" s="4" t="str">
        <x:v>Brentford</x:v>
      </x:c>
      <x:c r="E2824" s="4" t="str">
        <x:v>Away</x:v>
      </x:c>
      <x:c r="F2824" s="28" t="n">
        <x:v>1</x:v>
      </x:c>
      <x:c r="G2824" s="28" t="n">
        <x:v>0</x:v>
      </x:c>
      <x:c r="H2824" s="28" t="n">
        <x:v>12</x:v>
      </x:c>
      <x:c r="I2824" s="28" t="n">
        <x:v>13</x:v>
      </x:c>
      <x:c r="J2824" s="28" t="n">
        <x:v>4</x:v>
      </x:c>
      <x:c r="K2824" s="28" t="n">
        <x:v>3</x:v>
      </x:c>
      <x:c r="L2824" s="28" t="n">
        <x:v>5</x:v>
      </x:c>
      <x:c r="M2824" s="28" t="n">
        <x:v>6</x:v>
      </x:c>
      <x:c r="N2824" s="28" t="n">
        <x:v>2</x:v>
      </x:c>
      <x:c r="O2824" s="28" t="n">
        <x:v>0</x:v>
      </x:c>
      <x:c r="P2824" s="28" t="n">
        <x:v>3</x:v>
      </x:c>
      <x:c r="Q2824" s="24" t="n">
        <x:f>IFERROR(J2824/H2824,0)</x:f>
        <x:v>0.3333333333333333</x:v>
      </x:c>
      <x:c r="R2824" s="24" t="n">
        <x:f>IFERROR(F2824/H2824,0)</x:f>
        <x:v>0.08333333333333333</x:v>
      </x:c>
      <x:c r="S2824" s="24" t="n">
        <x:f>IFERROR(F2824/J2824,0)</x:f>
        <x:v>0.25</x:v>
      </x:c>
      <x:c r="T2824" s="28" t="n">
        <x:f>H2824-I2824</x:f>
        <x:v>-1</x:v>
      </x:c>
      <x:c r="U2824" s="24" t="n">
        <x:f>IFERROR(J2824/H2824,0)-IFERROR(K2824/I2824,0)</x:f>
        <x:v>0.10256410256410253</x:v>
      </x:c>
      <x:c r="V2824" s="24" t="n">
        <x:f>IFERROR(F2824/J2824,0)-IFERROR(G2824/K2824,0)</x:f>
        <x:v>0.25</x:v>
      </x:c>
      <x:c r="W2824" s="28" t="n">
        <x:f>L2824-M2824</x:f>
        <x:v>-1</x:v>
      </x:c>
      <x:c r="X2824" s="24" t="n">
        <x:f>IFERROR(K2824/I2824,0)</x:f>
        <x:v>0.23076923076923078</x:v>
      </x:c>
      <x:c r="Y2824" s="24" t="n">
        <x:f>IFERROR(G2824/I2824,0)</x:f>
        <x:v>0</x:v>
      </x:c>
      <x:c r="Z2824" s="24" t="n">
        <x:f>IFERROR(G2824/K2824,0)</x:f>
        <x:v>0</x:v>
      </x:c>
      <x:c r="AA2824" s="24" t="n">
        <x:f>IFERROR(F2824/H2824,0)-IFERROR(G2824/I2824,0)</x:f>
        <x:v>0.08333333333333333</x:v>
      </x:c>
      <x:c r="AB2824" s="28" t="n">
        <x:f>J2824-K2824</x:f>
        <x:v>1</x:v>
      </x:c>
      <x:c r="AC2824" s="32" t="n">
        <x:f>F2824-G2824</x:f>
        <x:v>1</x:v>
      </x:c>
    </x:row>
    <x:row r="2825">
      <x:c r="A2825" s="4" t="str">
        <x:v>2024-25</x:v>
      </x:c>
      <x:c r="B2825" s="20" t="n">
        <x:v>45724</x:v>
      </x:c>
      <x:c r="C2825" s="4" t="str">
        <x:v>Brentford</x:v>
      </x:c>
      <x:c r="D2825" s="4" t="str">
        <x:v>Aston Villa</x:v>
      </x:c>
      <x:c r="E2825" s="4" t="str">
        <x:v>Home</x:v>
      </x:c>
      <x:c r="F2825" s="28" t="n">
        <x:v>0</x:v>
      </x:c>
      <x:c r="G2825" s="28" t="n">
        <x:v>1</x:v>
      </x:c>
      <x:c r="H2825" s="28" t="n">
        <x:v>13</x:v>
      </x:c>
      <x:c r="I2825" s="28" t="n">
        <x:v>12</x:v>
      </x:c>
      <x:c r="J2825" s="28" t="n">
        <x:v>3</x:v>
      </x:c>
      <x:c r="K2825" s="28" t="n">
        <x:v>4</x:v>
      </x:c>
      <x:c r="L2825" s="28" t="n">
        <x:v>6</x:v>
      </x:c>
      <x:c r="M2825" s="28" t="n">
        <x:v>5</x:v>
      </x:c>
      <x:c r="N2825" s="28" t="n">
        <x:v>2</x:v>
      </x:c>
      <x:c r="O2825" s="28" t="n">
        <x:v>0</x:v>
      </x:c>
      <x:c r="P2825" s="28" t="n">
        <x:v>0</x:v>
      </x:c>
      <x:c r="Q2825" s="24" t="n">
        <x:f>IFERROR(J2825/H2825,0)</x:f>
        <x:v>0.23076923076923078</x:v>
      </x:c>
      <x:c r="R2825" s="24" t="n">
        <x:f>IFERROR(F2825/H2825,0)</x:f>
        <x:v>0</x:v>
      </x:c>
      <x:c r="S2825" s="24" t="n">
        <x:f>IFERROR(F2825/J2825,0)</x:f>
        <x:v>0</x:v>
      </x:c>
      <x:c r="T2825" s="28" t="n">
        <x:f>H2825-I2825</x:f>
        <x:v>1</x:v>
      </x:c>
      <x:c r="U2825" s="24" t="n">
        <x:f>IFERROR(J2825/H2825,0)-IFERROR(K2825/I2825,0)</x:f>
        <x:v>-0.10256410256410253</x:v>
      </x:c>
      <x:c r="V2825" s="24" t="n">
        <x:f>IFERROR(F2825/J2825,0)-IFERROR(G2825/K2825,0)</x:f>
        <x:v>-0.25</x:v>
      </x:c>
      <x:c r="W2825" s="28" t="n">
        <x:f>L2825-M2825</x:f>
        <x:v>1</x:v>
      </x:c>
      <x:c r="X2825" s="24" t="n">
        <x:f>IFERROR(K2825/I2825,0)</x:f>
        <x:v>0.3333333333333333</x:v>
      </x:c>
      <x:c r="Y2825" s="24" t="n">
        <x:f>IFERROR(G2825/I2825,0)</x:f>
        <x:v>0.08333333333333333</x:v>
      </x:c>
      <x:c r="Z2825" s="24" t="n">
        <x:f>IFERROR(G2825/K2825,0)</x:f>
        <x:v>0.25</x:v>
      </x:c>
      <x:c r="AA2825" s="24" t="n">
        <x:f>IFERROR(F2825/H2825,0)-IFERROR(G2825/I2825,0)</x:f>
        <x:v>-0.08333333333333333</x:v>
      </x:c>
      <x:c r="AB2825" s="28" t="n">
        <x:f>J2825-K2825</x:f>
        <x:v>-1</x:v>
      </x:c>
      <x:c r="AC2825" s="32" t="n">
        <x:f>F2825-G2825</x:f>
        <x:v>-1</x:v>
      </x:c>
    </x:row>
    <x:row r="2826">
      <x:c r="A2826" s="4" t="str">
        <x:v>2024-25</x:v>
      </x:c>
      <x:c r="B2826" s="20" t="n">
        <x:v>45724</x:v>
      </x:c>
      <x:c r="C2826" s="4" t="str">
        <x:v>Brighton</x:v>
      </x:c>
      <x:c r="D2826" s="4" t="str">
        <x:v>Fulham</x:v>
      </x:c>
      <x:c r="E2826" s="4" t="str">
        <x:v>Home</x:v>
      </x:c>
      <x:c r="F2826" s="28" t="n">
        <x:v>2</x:v>
      </x:c>
      <x:c r="G2826" s="28" t="n">
        <x:v>1</x:v>
      </x:c>
      <x:c r="H2826" s="28" t="n">
        <x:v>9</x:v>
      </x:c>
      <x:c r="I2826" s="28" t="n">
        <x:v>6</x:v>
      </x:c>
      <x:c r="J2826" s="28" t="n">
        <x:v>4</x:v>
      </x:c>
      <x:c r="K2826" s="28" t="n">
        <x:v>1</x:v>
      </x:c>
      <x:c r="L2826" s="28" t="n">
        <x:v>3</x:v>
      </x:c>
      <x:c r="M2826" s="28" t="n">
        <x:v>7</x:v>
      </x:c>
      <x:c r="N2826" s="28" t="n">
        <x:v>0</x:v>
      </x:c>
      <x:c r="O2826" s="28" t="n">
        <x:v>0</x:v>
      </x:c>
      <x:c r="P2826" s="28" t="n">
        <x:v>3</x:v>
      </x:c>
      <x:c r="Q2826" s="24" t="n">
        <x:f>IFERROR(J2826/H2826,0)</x:f>
        <x:v>0.4444444444444444</x:v>
      </x:c>
      <x:c r="R2826" s="24" t="n">
        <x:f>IFERROR(F2826/H2826,0)</x:f>
        <x:v>0.2222222222222222</x:v>
      </x:c>
      <x:c r="S2826" s="24" t="n">
        <x:f>IFERROR(F2826/J2826,0)</x:f>
        <x:v>0.5</x:v>
      </x:c>
      <x:c r="T2826" s="28" t="n">
        <x:f>H2826-I2826</x:f>
        <x:v>3</x:v>
      </x:c>
      <x:c r="U2826" s="24" t="n">
        <x:f>IFERROR(J2826/H2826,0)-IFERROR(K2826/I2826,0)</x:f>
        <x:v>0.2777777777777778</x:v>
      </x:c>
      <x:c r="V2826" s="24" t="n">
        <x:f>IFERROR(F2826/J2826,0)-IFERROR(G2826/K2826,0)</x:f>
        <x:v>-0.5</x:v>
      </x:c>
      <x:c r="W2826" s="28" t="n">
        <x:f>L2826-M2826</x:f>
        <x:v>-4</x:v>
      </x:c>
      <x:c r="X2826" s="24" t="n">
        <x:f>IFERROR(K2826/I2826,0)</x:f>
        <x:v>0.16666666666666666</x:v>
      </x:c>
      <x:c r="Y2826" s="24" t="n">
        <x:f>IFERROR(G2826/I2826,0)</x:f>
        <x:v>0.16666666666666666</x:v>
      </x:c>
      <x:c r="Z2826" s="24" t="n">
        <x:f>IFERROR(G2826/K2826,0)</x:f>
        <x:v>1</x:v>
      </x:c>
      <x:c r="AA2826" s="24" t="n">
        <x:f>IFERROR(F2826/H2826,0)-IFERROR(G2826/I2826,0)</x:f>
        <x:v>0.05555555555555555</x:v>
      </x:c>
      <x:c r="AB2826" s="28" t="n">
        <x:f>J2826-K2826</x:f>
        <x:v>3</x:v>
      </x:c>
      <x:c r="AC2826" s="32" t="n">
        <x:f>F2826-G2826</x:f>
        <x:v>1</x:v>
      </x:c>
    </x:row>
    <x:row r="2827">
      <x:c r="A2827" s="4" t="str">
        <x:v>2024-25</x:v>
      </x:c>
      <x:c r="B2827" s="20" t="n">
        <x:v>45724</x:v>
      </x:c>
      <x:c r="C2827" s="4" t="str">
        <x:v>Crystal Palace</x:v>
      </x:c>
      <x:c r="D2827" s="4" t="str">
        <x:v>Ipswich</x:v>
      </x:c>
      <x:c r="E2827" s="4" t="str">
        <x:v>Home</x:v>
      </x:c>
      <x:c r="F2827" s="28" t="n">
        <x:v>1</x:v>
      </x:c>
      <x:c r="G2827" s="28" t="n">
        <x:v>0</x:v>
      </x:c>
      <x:c r="H2827" s="28" t="n">
        <x:v>19</x:v>
      </x:c>
      <x:c r="I2827" s="28" t="n">
        <x:v>15</x:v>
      </x:c>
      <x:c r="J2827" s="28" t="n">
        <x:v>4</x:v>
      </x:c>
      <x:c r="K2827" s="28" t="n">
        <x:v>8</x:v>
      </x:c>
      <x:c r="L2827" s="28" t="n">
        <x:v>5</x:v>
      </x:c>
      <x:c r="M2827" s="28" t="n">
        <x:v>4</x:v>
      </x:c>
      <x:c r="N2827" s="28" t="n">
        <x:v>4</x:v>
      </x:c>
      <x:c r="O2827" s="28" t="n">
        <x:v>0</x:v>
      </x:c>
      <x:c r="P2827" s="28" t="n">
        <x:v>3</x:v>
      </x:c>
      <x:c r="Q2827" s="24" t="n">
        <x:f>IFERROR(J2827/H2827,0)</x:f>
        <x:v>0.21052631578947367</x:v>
      </x:c>
      <x:c r="R2827" s="24" t="n">
        <x:f>IFERROR(F2827/H2827,0)</x:f>
        <x:v>0.05263157894736842</x:v>
      </x:c>
      <x:c r="S2827" s="24" t="n">
        <x:f>IFERROR(F2827/J2827,0)</x:f>
        <x:v>0.25</x:v>
      </x:c>
      <x:c r="T2827" s="28" t="n">
        <x:f>H2827-I2827</x:f>
        <x:v>4</x:v>
      </x:c>
      <x:c r="U2827" s="24" t="n">
        <x:f>IFERROR(J2827/H2827,0)-IFERROR(K2827/I2827,0)</x:f>
        <x:v>-0.32280701754385965</x:v>
      </x:c>
      <x:c r="V2827" s="24" t="n">
        <x:f>IFERROR(F2827/J2827,0)-IFERROR(G2827/K2827,0)</x:f>
        <x:v>0.25</x:v>
      </x:c>
      <x:c r="W2827" s="28" t="n">
        <x:f>L2827-M2827</x:f>
        <x:v>1</x:v>
      </x:c>
      <x:c r="X2827" s="24" t="n">
        <x:f>IFERROR(K2827/I2827,0)</x:f>
        <x:v>0.5333333333333333</x:v>
      </x:c>
      <x:c r="Y2827" s="24" t="n">
        <x:f>IFERROR(G2827/I2827,0)</x:f>
        <x:v>0</x:v>
      </x:c>
      <x:c r="Z2827" s="24" t="n">
        <x:f>IFERROR(G2827/K2827,0)</x:f>
        <x:v>0</x:v>
      </x:c>
      <x:c r="AA2827" s="24" t="n">
        <x:f>IFERROR(F2827/H2827,0)-IFERROR(G2827/I2827,0)</x:f>
        <x:v>0.05263157894736842</x:v>
      </x:c>
      <x:c r="AB2827" s="28" t="n">
        <x:f>J2827-K2827</x:f>
        <x:v>-4</x:v>
      </x:c>
      <x:c r="AC2827" s="32" t="n">
        <x:f>F2827-G2827</x:f>
        <x:v>1</x:v>
      </x:c>
    </x:row>
    <x:row r="2828">
      <x:c r="A2828" s="4" t="str">
        <x:v>2024-25</x:v>
      </x:c>
      <x:c r="B2828" s="20" t="n">
        <x:v>45724</x:v>
      </x:c>
      <x:c r="C2828" s="4" t="str">
        <x:v>Everton</x:v>
      </x:c>
      <x:c r="D2828" s="4" t="str">
        <x:v>Wolves</x:v>
      </x:c>
      <x:c r="E2828" s="4" t="str">
        <x:v>Away</x:v>
      </x:c>
      <x:c r="F2828" s="28" t="n">
        <x:v>1</x:v>
      </x:c>
      <x:c r="G2828" s="28" t="n">
        <x:v>1</x:v>
      </x:c>
      <x:c r="H2828" s="28" t="n">
        <x:v>12</x:v>
      </x:c>
      <x:c r="I2828" s="28" t="n">
        <x:v>11</x:v>
      </x:c>
      <x:c r="J2828" s="28" t="n">
        <x:v>4</x:v>
      </x:c>
      <x:c r="K2828" s="28" t="n">
        <x:v>3</x:v>
      </x:c>
      <x:c r="L2828" s="28" t="n">
        <x:v>5</x:v>
      </x:c>
      <x:c r="M2828" s="28" t="n">
        <x:v>5</x:v>
      </x:c>
      <x:c r="N2828" s="28" t="n">
        <x:v>2</x:v>
      </x:c>
      <x:c r="O2828" s="28" t="n">
        <x:v>0</x:v>
      </x:c>
      <x:c r="P2828" s="28" t="n">
        <x:v>1</x:v>
      </x:c>
      <x:c r="Q2828" s="24" t="n">
        <x:f>IFERROR(J2828/H2828,0)</x:f>
        <x:v>0.3333333333333333</x:v>
      </x:c>
      <x:c r="R2828" s="24" t="n">
        <x:f>IFERROR(F2828/H2828,0)</x:f>
        <x:v>0.08333333333333333</x:v>
      </x:c>
      <x:c r="S2828" s="24" t="n">
        <x:f>IFERROR(F2828/J2828,0)</x:f>
        <x:v>0.25</x:v>
      </x:c>
      <x:c r="T2828" s="28" t="n">
        <x:f>H2828-I2828</x:f>
        <x:v>1</x:v>
      </x:c>
      <x:c r="U2828" s="24" t="n">
        <x:f>IFERROR(J2828/H2828,0)-IFERROR(K2828/I2828,0)</x:f>
        <x:v>0.06060606060606061</x:v>
      </x:c>
      <x:c r="V2828" s="24" t="n">
        <x:f>IFERROR(F2828/J2828,0)-IFERROR(G2828/K2828,0)</x:f>
        <x:v>-0.08333333333333331</x:v>
      </x:c>
      <x:c r="W2828" s="28" t="n">
        <x:f>L2828-M2828</x:f>
        <x:v>0</x:v>
      </x:c>
      <x:c r="X2828" s="24" t="n">
        <x:f>IFERROR(K2828/I2828,0)</x:f>
        <x:v>0.2727272727272727</x:v>
      </x:c>
      <x:c r="Y2828" s="24" t="n">
        <x:f>IFERROR(G2828/I2828,0)</x:f>
        <x:v>0.09090909090909091</x:v>
      </x:c>
      <x:c r="Z2828" s="24" t="n">
        <x:f>IFERROR(G2828/K2828,0)</x:f>
        <x:v>0.3333333333333333</x:v>
      </x:c>
      <x:c r="AA2828" s="24" t="n">
        <x:f>IFERROR(F2828/H2828,0)-IFERROR(G2828/I2828,0)</x:f>
        <x:v>-0.007575757575757583</x:v>
      </x:c>
      <x:c r="AB2828" s="28" t="n">
        <x:f>J2828-K2828</x:f>
        <x:v>1</x:v>
      </x:c>
      <x:c r="AC2828" s="32" t="n">
        <x:f>F2828-G2828</x:f>
        <x:v>0</x:v>
      </x:c>
    </x:row>
    <x:row r="2829">
      <x:c r="A2829" s="4" t="str">
        <x:v>2024-25</x:v>
      </x:c>
      <x:c r="B2829" s="20" t="n">
        <x:v>45724</x:v>
      </x:c>
      <x:c r="C2829" s="4" t="str">
        <x:v>Fulham</x:v>
      </x:c>
      <x:c r="D2829" s="4" t="str">
        <x:v>Brighton</x:v>
      </x:c>
      <x:c r="E2829" s="4" t="str">
        <x:v>Away</x:v>
      </x:c>
      <x:c r="F2829" s="28" t="n">
        <x:v>1</x:v>
      </x:c>
      <x:c r="G2829" s="28" t="n">
        <x:v>2</x:v>
      </x:c>
      <x:c r="H2829" s="28" t="n">
        <x:v>6</x:v>
      </x:c>
      <x:c r="I2829" s="28" t="n">
        <x:v>9</x:v>
      </x:c>
      <x:c r="J2829" s="28" t="n">
        <x:v>1</x:v>
      </x:c>
      <x:c r="K2829" s="28" t="n">
        <x:v>4</x:v>
      </x:c>
      <x:c r="L2829" s="28" t="n">
        <x:v>7</x:v>
      </x:c>
      <x:c r="M2829" s="28" t="n">
        <x:v>3</x:v>
      </x:c>
      <x:c r="N2829" s="28" t="n">
        <x:v>2</x:v>
      </x:c>
      <x:c r="O2829" s="28" t="n">
        <x:v>0</x:v>
      </x:c>
      <x:c r="P2829" s="28" t="n">
        <x:v>0</x:v>
      </x:c>
      <x:c r="Q2829" s="24" t="n">
        <x:f>IFERROR(J2829/H2829,0)</x:f>
        <x:v>0.16666666666666666</x:v>
      </x:c>
      <x:c r="R2829" s="24" t="n">
        <x:f>IFERROR(F2829/H2829,0)</x:f>
        <x:v>0.16666666666666666</x:v>
      </x:c>
      <x:c r="S2829" s="24" t="n">
        <x:f>IFERROR(F2829/J2829,0)</x:f>
        <x:v>1</x:v>
      </x:c>
      <x:c r="T2829" s="28" t="n">
        <x:f>H2829-I2829</x:f>
        <x:v>-3</x:v>
      </x:c>
      <x:c r="U2829" s="24" t="n">
        <x:f>IFERROR(J2829/H2829,0)-IFERROR(K2829/I2829,0)</x:f>
        <x:v>-0.2777777777777778</x:v>
      </x:c>
      <x:c r="V2829" s="24" t="n">
        <x:f>IFERROR(F2829/J2829,0)-IFERROR(G2829/K2829,0)</x:f>
        <x:v>0.5</x:v>
      </x:c>
      <x:c r="W2829" s="28" t="n">
        <x:f>L2829-M2829</x:f>
        <x:v>4</x:v>
      </x:c>
      <x:c r="X2829" s="24" t="n">
        <x:f>IFERROR(K2829/I2829,0)</x:f>
        <x:v>0.4444444444444444</x:v>
      </x:c>
      <x:c r="Y2829" s="24" t="n">
        <x:f>IFERROR(G2829/I2829,0)</x:f>
        <x:v>0.2222222222222222</x:v>
      </x:c>
      <x:c r="Z2829" s="24" t="n">
        <x:f>IFERROR(G2829/K2829,0)</x:f>
        <x:v>0.5</x:v>
      </x:c>
      <x:c r="AA2829" s="24" t="n">
        <x:f>IFERROR(F2829/H2829,0)-IFERROR(G2829/I2829,0)</x:f>
        <x:v>-0.05555555555555555</x:v>
      </x:c>
      <x:c r="AB2829" s="28" t="n">
        <x:f>J2829-K2829</x:f>
        <x:v>-3</x:v>
      </x:c>
      <x:c r="AC2829" s="32" t="n">
        <x:f>F2829-G2829</x:f>
        <x:v>-1</x:v>
      </x:c>
    </x:row>
    <x:row r="2830">
      <x:c r="A2830" s="4" t="str">
        <x:v>2024-25</x:v>
      </x:c>
      <x:c r="B2830" s="20" t="n">
        <x:v>45724</x:v>
      </x:c>
      <x:c r="C2830" s="4" t="str">
        <x:v>Ipswich</x:v>
      </x:c>
      <x:c r="D2830" s="4" t="str">
        <x:v>Crystal Palace</x:v>
      </x:c>
      <x:c r="E2830" s="4" t="str">
        <x:v>Away</x:v>
      </x:c>
      <x:c r="F2830" s="28" t="n">
        <x:v>0</x:v>
      </x:c>
      <x:c r="G2830" s="28" t="n">
        <x:v>1</x:v>
      </x:c>
      <x:c r="H2830" s="28" t="n">
        <x:v>15</x:v>
      </x:c>
      <x:c r="I2830" s="28" t="n">
        <x:v>19</x:v>
      </x:c>
      <x:c r="J2830" s="28" t="n">
        <x:v>8</x:v>
      </x:c>
      <x:c r="K2830" s="28" t="n">
        <x:v>4</x:v>
      </x:c>
      <x:c r="L2830" s="28" t="n">
        <x:v>4</x:v>
      </x:c>
      <x:c r="M2830" s="28" t="n">
        <x:v>5</x:v>
      </x:c>
      <x:c r="N2830" s="28" t="n">
        <x:v>3</x:v>
      </x:c>
      <x:c r="O2830" s="28" t="n">
        <x:v>0</x:v>
      </x:c>
      <x:c r="P2830" s="28" t="n">
        <x:v>0</x:v>
      </x:c>
      <x:c r="Q2830" s="24" t="n">
        <x:f>IFERROR(J2830/H2830,0)</x:f>
        <x:v>0.5333333333333333</x:v>
      </x:c>
      <x:c r="R2830" s="24" t="n">
        <x:f>IFERROR(F2830/H2830,0)</x:f>
        <x:v>0</x:v>
      </x:c>
      <x:c r="S2830" s="24" t="n">
        <x:f>IFERROR(F2830/J2830,0)</x:f>
        <x:v>0</x:v>
      </x:c>
      <x:c r="T2830" s="28" t="n">
        <x:f>H2830-I2830</x:f>
        <x:v>-4</x:v>
      </x:c>
      <x:c r="U2830" s="24" t="n">
        <x:f>IFERROR(J2830/H2830,0)-IFERROR(K2830/I2830,0)</x:f>
        <x:v>0.32280701754385965</x:v>
      </x:c>
      <x:c r="V2830" s="24" t="n">
        <x:f>IFERROR(F2830/J2830,0)-IFERROR(G2830/K2830,0)</x:f>
        <x:v>-0.25</x:v>
      </x:c>
      <x:c r="W2830" s="28" t="n">
        <x:f>L2830-M2830</x:f>
        <x:v>-1</x:v>
      </x:c>
      <x:c r="X2830" s="24" t="n">
        <x:f>IFERROR(K2830/I2830,0)</x:f>
        <x:v>0.21052631578947367</x:v>
      </x:c>
      <x:c r="Y2830" s="24" t="n">
        <x:f>IFERROR(G2830/I2830,0)</x:f>
        <x:v>0.05263157894736842</x:v>
      </x:c>
      <x:c r="Z2830" s="24" t="n">
        <x:f>IFERROR(G2830/K2830,0)</x:f>
        <x:v>0.25</x:v>
      </x:c>
      <x:c r="AA2830" s="24" t="n">
        <x:f>IFERROR(F2830/H2830,0)-IFERROR(G2830/I2830,0)</x:f>
        <x:v>-0.05263157894736842</x:v>
      </x:c>
      <x:c r="AB2830" s="28" t="n">
        <x:f>J2830-K2830</x:f>
        <x:v>4</x:v>
      </x:c>
      <x:c r="AC2830" s="32" t="n">
        <x:f>F2830-G2830</x:f>
        <x:v>-1</x:v>
      </x:c>
    </x:row>
    <x:row r="2831">
      <x:c r="A2831" s="4" t="str">
        <x:v>2024-25</x:v>
      </x:c>
      <x:c r="B2831" s="20" t="n">
        <x:v>45724</x:v>
      </x:c>
      <x:c r="C2831" s="4" t="str">
        <x:v>Liverpool</x:v>
      </x:c>
      <x:c r="D2831" s="4" t="str">
        <x:v>Southampton</x:v>
      </x:c>
      <x:c r="E2831" s="4" t="str">
        <x:v>Home</x:v>
      </x:c>
      <x:c r="F2831" s="28" t="n">
        <x:v>3</x:v>
      </x:c>
      <x:c r="G2831" s="28" t="n">
        <x:v>1</x:v>
      </x:c>
      <x:c r="H2831" s="28" t="n">
        <x:v>28</x:v>
      </x:c>
      <x:c r="I2831" s="28" t="n">
        <x:v>6</x:v>
      </x:c>
      <x:c r="J2831" s="28" t="n">
        <x:v>7</x:v>
      </x:c>
      <x:c r="K2831" s="28" t="n">
        <x:v>4</x:v>
      </x:c>
      <x:c r="L2831" s="28" t="n">
        <x:v>6</x:v>
      </x:c>
      <x:c r="M2831" s="28" t="n">
        <x:v>4</x:v>
      </x:c>
      <x:c r="N2831" s="28" t="n">
        <x:v>2</x:v>
      </x:c>
      <x:c r="O2831" s="28" t="n">
        <x:v>0</x:v>
      </x:c>
      <x:c r="P2831" s="28" t="n">
        <x:v>3</x:v>
      </x:c>
      <x:c r="Q2831" s="24" t="n">
        <x:f>IFERROR(J2831/H2831,0)</x:f>
        <x:v>0.25</x:v>
      </x:c>
      <x:c r="R2831" s="24" t="n">
        <x:f>IFERROR(F2831/H2831,0)</x:f>
        <x:v>0.10714285714285714</x:v>
      </x:c>
      <x:c r="S2831" s="24" t="n">
        <x:f>IFERROR(F2831/J2831,0)</x:f>
        <x:v>0.42857142857142855</x:v>
      </x:c>
      <x:c r="T2831" s="28" t="n">
        <x:f>H2831-I2831</x:f>
        <x:v>22</x:v>
      </x:c>
      <x:c r="U2831" s="24" t="n">
        <x:f>IFERROR(J2831/H2831,0)-IFERROR(K2831/I2831,0)</x:f>
        <x:v>-0.41666666666666663</x:v>
      </x:c>
      <x:c r="V2831" s="24" t="n">
        <x:f>IFERROR(F2831/J2831,0)-IFERROR(G2831/K2831,0)</x:f>
        <x:v>0.17857142857142855</x:v>
      </x:c>
      <x:c r="W2831" s="28" t="n">
        <x:f>L2831-M2831</x:f>
        <x:v>2</x:v>
      </x:c>
      <x:c r="X2831" s="24" t="n">
        <x:f>IFERROR(K2831/I2831,0)</x:f>
        <x:v>0.6666666666666666</x:v>
      </x:c>
      <x:c r="Y2831" s="24" t="n">
        <x:f>IFERROR(G2831/I2831,0)</x:f>
        <x:v>0.16666666666666666</x:v>
      </x:c>
      <x:c r="Z2831" s="24" t="n">
        <x:f>IFERROR(G2831/K2831,0)</x:f>
        <x:v>0.25</x:v>
      </x:c>
      <x:c r="AA2831" s="24" t="n">
        <x:f>IFERROR(F2831/H2831,0)-IFERROR(G2831/I2831,0)</x:f>
        <x:v>-0.05952380952380952</x:v>
      </x:c>
      <x:c r="AB2831" s="28" t="n">
        <x:f>J2831-K2831</x:f>
        <x:v>3</x:v>
      </x:c>
      <x:c r="AC2831" s="32" t="n">
        <x:f>F2831-G2831</x:f>
        <x:v>2</x:v>
      </x:c>
    </x:row>
    <x:row r="2832">
      <x:c r="A2832" s="4" t="str">
        <x:v>2024-25</x:v>
      </x:c>
      <x:c r="B2832" s="20" t="n">
        <x:v>45724</x:v>
      </x:c>
      <x:c r="C2832" s="4" t="str">
        <x:v>Man City</x:v>
      </x:c>
      <x:c r="D2832" s="4" t="str">
        <x:v>Nott'm Forest</x:v>
      </x:c>
      <x:c r="E2832" s="4" t="str">
        <x:v>Away</x:v>
      </x:c>
      <x:c r="F2832" s="28" t="n">
        <x:v>0</x:v>
      </x:c>
      <x:c r="G2832" s="28" t="n">
        <x:v>1</x:v>
      </x:c>
      <x:c r="H2832" s="28" t="n">
        <x:v>14</x:v>
      </x:c>
      <x:c r="I2832" s="28" t="n">
        <x:v>9</x:v>
      </x:c>
      <x:c r="J2832" s="28" t="n">
        <x:v>3</x:v>
      </x:c>
      <x:c r="K2832" s="28" t="n">
        <x:v>4</x:v>
      </x:c>
      <x:c r="L2832" s="28" t="n">
        <x:v>2</x:v>
      </x:c>
      <x:c r="M2832" s="28" t="n">
        <x:v>3</x:v>
      </x:c>
      <x:c r="N2832" s="28" t="n">
        <x:v>2</x:v>
      </x:c>
      <x:c r="O2832" s="28" t="n">
        <x:v>0</x:v>
      </x:c>
      <x:c r="P2832" s="28" t="n">
        <x:v>0</x:v>
      </x:c>
      <x:c r="Q2832" s="24" t="n">
        <x:f>IFERROR(J2832/H2832,0)</x:f>
        <x:v>0.21428571428571427</x:v>
      </x:c>
      <x:c r="R2832" s="24" t="n">
        <x:f>IFERROR(F2832/H2832,0)</x:f>
        <x:v>0</x:v>
      </x:c>
      <x:c r="S2832" s="24" t="n">
        <x:f>IFERROR(F2832/J2832,0)</x:f>
        <x:v>0</x:v>
      </x:c>
      <x:c r="T2832" s="28" t="n">
        <x:f>H2832-I2832</x:f>
        <x:v>5</x:v>
      </x:c>
      <x:c r="U2832" s="24" t="n">
        <x:f>IFERROR(J2832/H2832,0)-IFERROR(K2832/I2832,0)</x:f>
        <x:v>-0.23015873015873015</x:v>
      </x:c>
      <x:c r="V2832" s="24" t="n">
        <x:f>IFERROR(F2832/J2832,0)-IFERROR(G2832/K2832,0)</x:f>
        <x:v>-0.25</x:v>
      </x:c>
      <x:c r="W2832" s="28" t="n">
        <x:f>L2832-M2832</x:f>
        <x:v>-1</x:v>
      </x:c>
      <x:c r="X2832" s="24" t="n">
        <x:f>IFERROR(K2832/I2832,0)</x:f>
        <x:v>0.4444444444444444</x:v>
      </x:c>
      <x:c r="Y2832" s="24" t="n">
        <x:f>IFERROR(G2832/I2832,0)</x:f>
        <x:v>0.1111111111111111</x:v>
      </x:c>
      <x:c r="Z2832" s="24" t="n">
        <x:f>IFERROR(G2832/K2832,0)</x:f>
        <x:v>0.25</x:v>
      </x:c>
      <x:c r="AA2832" s="24" t="n">
        <x:f>IFERROR(F2832/H2832,0)-IFERROR(G2832/I2832,0)</x:f>
        <x:v>-0.1111111111111111</x:v>
      </x:c>
      <x:c r="AB2832" s="28" t="n">
        <x:f>J2832-K2832</x:f>
        <x:v>-1</x:v>
      </x:c>
      <x:c r="AC2832" s="32" t="n">
        <x:f>F2832-G2832</x:f>
        <x:v>-1</x:v>
      </x:c>
    </x:row>
    <x:row r="2833">
      <x:c r="A2833" s="4" t="str">
        <x:v>2024-25</x:v>
      </x:c>
      <x:c r="B2833" s="20" t="n">
        <x:v>45724</x:v>
      </x:c>
      <x:c r="C2833" s="4" t="str">
        <x:v>Nott'm Forest</x:v>
      </x:c>
      <x:c r="D2833" s="4" t="str">
        <x:v>Man City</x:v>
      </x:c>
      <x:c r="E2833" s="4" t="str">
        <x:v>Home</x:v>
      </x:c>
      <x:c r="F2833" s="28" t="n">
        <x:v>1</x:v>
      </x:c>
      <x:c r="G2833" s="28" t="n">
        <x:v>0</x:v>
      </x:c>
      <x:c r="H2833" s="28" t="n">
        <x:v>9</x:v>
      </x:c>
      <x:c r="I2833" s="28" t="n">
        <x:v>14</x:v>
      </x:c>
      <x:c r="J2833" s="28" t="n">
        <x:v>4</x:v>
      </x:c>
      <x:c r="K2833" s="28" t="n">
        <x:v>3</x:v>
      </x:c>
      <x:c r="L2833" s="28" t="n">
        <x:v>3</x:v>
      </x:c>
      <x:c r="M2833" s="28" t="n">
        <x:v>2</x:v>
      </x:c>
      <x:c r="N2833" s="28" t="n">
        <x:v>3</x:v>
      </x:c>
      <x:c r="O2833" s="28" t="n">
        <x:v>0</x:v>
      </x:c>
      <x:c r="P2833" s="28" t="n">
        <x:v>3</x:v>
      </x:c>
      <x:c r="Q2833" s="24" t="n">
        <x:f>IFERROR(J2833/H2833,0)</x:f>
        <x:v>0.4444444444444444</x:v>
      </x:c>
      <x:c r="R2833" s="24" t="n">
        <x:f>IFERROR(F2833/H2833,0)</x:f>
        <x:v>0.1111111111111111</x:v>
      </x:c>
      <x:c r="S2833" s="24" t="n">
        <x:f>IFERROR(F2833/J2833,0)</x:f>
        <x:v>0.25</x:v>
      </x:c>
      <x:c r="T2833" s="28" t="n">
        <x:f>H2833-I2833</x:f>
        <x:v>-5</x:v>
      </x:c>
      <x:c r="U2833" s="24" t="n">
        <x:f>IFERROR(J2833/H2833,0)-IFERROR(K2833/I2833,0)</x:f>
        <x:v>0.23015873015873015</x:v>
      </x:c>
      <x:c r="V2833" s="24" t="n">
        <x:f>IFERROR(F2833/J2833,0)-IFERROR(G2833/K2833,0)</x:f>
        <x:v>0.25</x:v>
      </x:c>
      <x:c r="W2833" s="28" t="n">
        <x:f>L2833-M2833</x:f>
        <x:v>1</x:v>
      </x:c>
      <x:c r="X2833" s="24" t="n">
        <x:f>IFERROR(K2833/I2833,0)</x:f>
        <x:v>0.21428571428571427</x:v>
      </x:c>
      <x:c r="Y2833" s="24" t="n">
        <x:f>IFERROR(G2833/I2833,0)</x:f>
        <x:v>0</x:v>
      </x:c>
      <x:c r="Z2833" s="24" t="n">
        <x:f>IFERROR(G2833/K2833,0)</x:f>
        <x:v>0</x:v>
      </x:c>
      <x:c r="AA2833" s="24" t="n">
        <x:f>IFERROR(F2833/H2833,0)-IFERROR(G2833/I2833,0)</x:f>
        <x:v>0.1111111111111111</x:v>
      </x:c>
      <x:c r="AB2833" s="28" t="n">
        <x:f>J2833-K2833</x:f>
        <x:v>1</x:v>
      </x:c>
      <x:c r="AC2833" s="32" t="n">
        <x:f>F2833-G2833</x:f>
        <x:v>1</x:v>
      </x:c>
    </x:row>
    <x:row r="2834">
      <x:c r="A2834" s="4" t="str">
        <x:v>2024-25</x:v>
      </x:c>
      <x:c r="B2834" s="20" t="n">
        <x:v>45724</x:v>
      </x:c>
      <x:c r="C2834" s="4" t="str">
        <x:v>Southampton</x:v>
      </x:c>
      <x:c r="D2834" s="4" t="str">
        <x:v>Liverpool</x:v>
      </x:c>
      <x:c r="E2834" s="4" t="str">
        <x:v>Away</x:v>
      </x:c>
      <x:c r="F2834" s="28" t="n">
        <x:v>1</x:v>
      </x:c>
      <x:c r="G2834" s="28" t="n">
        <x:v>3</x:v>
      </x:c>
      <x:c r="H2834" s="28" t="n">
        <x:v>6</x:v>
      </x:c>
      <x:c r="I2834" s="28" t="n">
        <x:v>28</x:v>
      </x:c>
      <x:c r="J2834" s="28" t="n">
        <x:v>4</x:v>
      </x:c>
      <x:c r="K2834" s="28" t="n">
        <x:v>7</x:v>
      </x:c>
      <x:c r="L2834" s="28" t="n">
        <x:v>4</x:v>
      </x:c>
      <x:c r="M2834" s="28" t="n">
        <x:v>6</x:v>
      </x:c>
      <x:c r="N2834" s="28" t="n">
        <x:v>1</x:v>
      </x:c>
      <x:c r="O2834" s="28" t="n">
        <x:v>0</x:v>
      </x:c>
      <x:c r="P2834" s="28" t="n">
        <x:v>0</x:v>
      </x:c>
      <x:c r="Q2834" s="24" t="n">
        <x:f>IFERROR(J2834/H2834,0)</x:f>
        <x:v>0.6666666666666666</x:v>
      </x:c>
      <x:c r="R2834" s="24" t="n">
        <x:f>IFERROR(F2834/H2834,0)</x:f>
        <x:v>0.16666666666666666</x:v>
      </x:c>
      <x:c r="S2834" s="24" t="n">
        <x:f>IFERROR(F2834/J2834,0)</x:f>
        <x:v>0.25</x:v>
      </x:c>
      <x:c r="T2834" s="28" t="n">
        <x:f>H2834-I2834</x:f>
        <x:v>-22</x:v>
      </x:c>
      <x:c r="U2834" s="24" t="n">
        <x:f>IFERROR(J2834/H2834,0)-IFERROR(K2834/I2834,0)</x:f>
        <x:v>0.41666666666666663</x:v>
      </x:c>
      <x:c r="V2834" s="24" t="n">
        <x:f>IFERROR(F2834/J2834,0)-IFERROR(G2834/K2834,0)</x:f>
        <x:v>-0.17857142857142855</x:v>
      </x:c>
      <x:c r="W2834" s="28" t="n">
        <x:f>L2834-M2834</x:f>
        <x:v>-2</x:v>
      </x:c>
      <x:c r="X2834" s="24" t="n">
        <x:f>IFERROR(K2834/I2834,0)</x:f>
        <x:v>0.25</x:v>
      </x:c>
      <x:c r="Y2834" s="24" t="n">
        <x:f>IFERROR(G2834/I2834,0)</x:f>
        <x:v>0.10714285714285714</x:v>
      </x:c>
      <x:c r="Z2834" s="24" t="n">
        <x:f>IFERROR(G2834/K2834,0)</x:f>
        <x:v>0.42857142857142855</x:v>
      </x:c>
      <x:c r="AA2834" s="24" t="n">
        <x:f>IFERROR(F2834/H2834,0)-IFERROR(G2834/I2834,0)</x:f>
        <x:v>0.05952380952380952</x:v>
      </x:c>
      <x:c r="AB2834" s="28" t="n">
        <x:f>J2834-K2834</x:f>
        <x:v>-3</x:v>
      </x:c>
      <x:c r="AC2834" s="32" t="n">
        <x:f>F2834-G2834</x:f>
        <x:v>-2</x:v>
      </x:c>
    </x:row>
    <x:row r="2835">
      <x:c r="A2835" s="4" t="str">
        <x:v>2024-25</x:v>
      </x:c>
      <x:c r="B2835" s="20" t="n">
        <x:v>45724</x:v>
      </x:c>
      <x:c r="C2835" s="4" t="str">
        <x:v>Wolves</x:v>
      </x:c>
      <x:c r="D2835" s="4" t="str">
        <x:v>Everton</x:v>
      </x:c>
      <x:c r="E2835" s="4" t="str">
        <x:v>Home</x:v>
      </x:c>
      <x:c r="F2835" s="28" t="n">
        <x:v>1</x:v>
      </x:c>
      <x:c r="G2835" s="28" t="n">
        <x:v>1</x:v>
      </x:c>
      <x:c r="H2835" s="28" t="n">
        <x:v>11</x:v>
      </x:c>
      <x:c r="I2835" s="28" t="n">
        <x:v>12</x:v>
      </x:c>
      <x:c r="J2835" s="28" t="n">
        <x:v>3</x:v>
      </x:c>
      <x:c r="K2835" s="28" t="n">
        <x:v>4</x:v>
      </x:c>
      <x:c r="L2835" s="28" t="n">
        <x:v>5</x:v>
      </x:c>
      <x:c r="M2835" s="28" t="n">
        <x:v>5</x:v>
      </x:c>
      <x:c r="N2835" s="28" t="n">
        <x:v>2</x:v>
      </x:c>
      <x:c r="O2835" s="28" t="n">
        <x:v>0</x:v>
      </x:c>
      <x:c r="P2835" s="28" t="n">
        <x:v>1</x:v>
      </x:c>
      <x:c r="Q2835" s="24" t="n">
        <x:f>IFERROR(J2835/H2835,0)</x:f>
        <x:v>0.2727272727272727</x:v>
      </x:c>
      <x:c r="R2835" s="24" t="n">
        <x:f>IFERROR(F2835/H2835,0)</x:f>
        <x:v>0.09090909090909091</x:v>
      </x:c>
      <x:c r="S2835" s="24" t="n">
        <x:f>IFERROR(F2835/J2835,0)</x:f>
        <x:v>0.3333333333333333</x:v>
      </x:c>
      <x:c r="T2835" s="28" t="n">
        <x:f>H2835-I2835</x:f>
        <x:v>-1</x:v>
      </x:c>
      <x:c r="U2835" s="24" t="n">
        <x:f>IFERROR(J2835/H2835,0)-IFERROR(K2835/I2835,0)</x:f>
        <x:v>-0.06060606060606061</x:v>
      </x:c>
      <x:c r="V2835" s="24" t="n">
        <x:f>IFERROR(F2835/J2835,0)-IFERROR(G2835/K2835,0)</x:f>
        <x:v>0.08333333333333331</x:v>
      </x:c>
      <x:c r="W2835" s="28" t="n">
        <x:f>L2835-M2835</x:f>
        <x:v>0</x:v>
      </x:c>
      <x:c r="X2835" s="24" t="n">
        <x:f>IFERROR(K2835/I2835,0)</x:f>
        <x:v>0.3333333333333333</x:v>
      </x:c>
      <x:c r="Y2835" s="24" t="n">
        <x:f>IFERROR(G2835/I2835,0)</x:f>
        <x:v>0.08333333333333333</x:v>
      </x:c>
      <x:c r="Z2835" s="24" t="n">
        <x:f>IFERROR(G2835/K2835,0)</x:f>
        <x:v>0.25</x:v>
      </x:c>
      <x:c r="AA2835" s="24" t="n">
        <x:f>IFERROR(F2835/H2835,0)-IFERROR(G2835/I2835,0)</x:f>
        <x:v>0.007575757575757583</x:v>
      </x:c>
      <x:c r="AB2835" s="28" t="n">
        <x:f>J2835-K2835</x:f>
        <x:v>-1</x:v>
      </x:c>
      <x:c r="AC2835" s="32" t="n">
        <x:f>F2835-G2835</x:f>
        <x:v>0</x:v>
      </x:c>
    </x:row>
    <x:row r="2836">
      <x:c r="A2836" s="4" t="str">
        <x:v>2024-25</x:v>
      </x:c>
      <x:c r="B2836" s="20" t="n">
        <x:v>45725</x:v>
      </x:c>
      <x:c r="C2836" s="4" t="str">
        <x:v>Arsenal</x:v>
      </x:c>
      <x:c r="D2836" s="4" t="str">
        <x:v>Man United</x:v>
      </x:c>
      <x:c r="E2836" s="4" t="str">
        <x:v>Away</x:v>
      </x:c>
      <x:c r="F2836" s="28" t="n">
        <x:v>1</x:v>
      </x:c>
      <x:c r="G2836" s="28" t="n">
        <x:v>1</x:v>
      </x:c>
      <x:c r="H2836" s="28" t="n">
        <x:v>17</x:v>
      </x:c>
      <x:c r="I2836" s="28" t="n">
        <x:v>10</x:v>
      </x:c>
      <x:c r="J2836" s="28" t="n">
        <x:v>6</x:v>
      </x:c>
      <x:c r="K2836" s="28" t="n">
        <x:v>6</x:v>
      </x:c>
      <x:c r="L2836" s="28" t="n">
        <x:v>9</x:v>
      </x:c>
      <x:c r="M2836" s="28" t="n">
        <x:v>2</x:v>
      </x:c>
      <x:c r="N2836" s="28" t="n">
        <x:v>1</x:v>
      </x:c>
      <x:c r="O2836" s="28" t="n">
        <x:v>0</x:v>
      </x:c>
      <x:c r="P2836" s="28" t="n">
        <x:v>1</x:v>
      </x:c>
      <x:c r="Q2836" s="24" t="n">
        <x:f>IFERROR(J2836/H2836,0)</x:f>
        <x:v>0.35294117647058826</x:v>
      </x:c>
      <x:c r="R2836" s="24" t="n">
        <x:f>IFERROR(F2836/H2836,0)</x:f>
        <x:v>0.058823529411764705</x:v>
      </x:c>
      <x:c r="S2836" s="24" t="n">
        <x:f>IFERROR(F2836/J2836,0)</x:f>
        <x:v>0.16666666666666666</x:v>
      </x:c>
      <x:c r="T2836" s="28" t="n">
        <x:f>H2836-I2836</x:f>
        <x:v>7</x:v>
      </x:c>
      <x:c r="U2836" s="24" t="n">
        <x:f>IFERROR(J2836/H2836,0)-IFERROR(K2836/I2836,0)</x:f>
        <x:v>-0.24705882352941172</x:v>
      </x:c>
      <x:c r="V2836" s="24" t="n">
        <x:f>IFERROR(F2836/J2836,0)-IFERROR(G2836/K2836,0)</x:f>
        <x:v>0</x:v>
      </x:c>
      <x:c r="W2836" s="28" t="n">
        <x:f>L2836-M2836</x:f>
        <x:v>7</x:v>
      </x:c>
      <x:c r="X2836" s="24" t="n">
        <x:f>IFERROR(K2836/I2836,0)</x:f>
        <x:v>0.6</x:v>
      </x:c>
      <x:c r="Y2836" s="24" t="n">
        <x:f>IFERROR(G2836/I2836,0)</x:f>
        <x:v>0.1</x:v>
      </x:c>
      <x:c r="Z2836" s="24" t="n">
        <x:f>IFERROR(G2836/K2836,0)</x:f>
        <x:v>0.16666666666666666</x:v>
      </x:c>
      <x:c r="AA2836" s="24" t="n">
        <x:f>IFERROR(F2836/H2836,0)-IFERROR(G2836/I2836,0)</x:f>
        <x:v>-0.0411764705882353</x:v>
      </x:c>
      <x:c r="AB2836" s="28" t="n">
        <x:f>J2836-K2836</x:f>
        <x:v>0</x:v>
      </x:c>
      <x:c r="AC2836" s="32" t="n">
        <x:f>F2836-G2836</x:f>
        <x:v>0</x:v>
      </x:c>
    </x:row>
    <x:row r="2837">
      <x:c r="A2837" s="4" t="str">
        <x:v>2024-25</x:v>
      </x:c>
      <x:c r="B2837" s="20" t="n">
        <x:v>45725</x:v>
      </x:c>
      <x:c r="C2837" s="4" t="str">
        <x:v>Bournemouth</x:v>
      </x:c>
      <x:c r="D2837" s="4" t="str">
        <x:v>Tottenham</x:v>
      </x:c>
      <x:c r="E2837" s="4" t="str">
        <x:v>Away</x:v>
      </x:c>
      <x:c r="F2837" s="28" t="n">
        <x:v>2</x:v>
      </x:c>
      <x:c r="G2837" s="28" t="n">
        <x:v>2</x:v>
      </x:c>
      <x:c r="H2837" s="28" t="n">
        <x:v>17</x:v>
      </x:c>
      <x:c r="I2837" s="28" t="n">
        <x:v>12</x:v>
      </x:c>
      <x:c r="J2837" s="28" t="n">
        <x:v>8</x:v>
      </x:c>
      <x:c r="K2837" s="28" t="n">
        <x:v>4</x:v>
      </x:c>
      <x:c r="L2837" s="28" t="n">
        <x:v>6</x:v>
      </x:c>
      <x:c r="M2837" s="28" t="n">
        <x:v>3</x:v>
      </x:c>
      <x:c r="N2837" s="28" t="n">
        <x:v>3</x:v>
      </x:c>
      <x:c r="O2837" s="28" t="n">
        <x:v>0</x:v>
      </x:c>
      <x:c r="P2837" s="28" t="n">
        <x:v>1</x:v>
      </x:c>
      <x:c r="Q2837" s="24" t="n">
        <x:f>IFERROR(J2837/H2837,0)</x:f>
        <x:v>0.47058823529411764</x:v>
      </x:c>
      <x:c r="R2837" s="24" t="n">
        <x:f>IFERROR(F2837/H2837,0)</x:f>
        <x:v>0.11764705882352941</x:v>
      </x:c>
      <x:c r="S2837" s="24" t="n">
        <x:f>IFERROR(F2837/J2837,0)</x:f>
        <x:v>0.25</x:v>
      </x:c>
      <x:c r="T2837" s="28" t="n">
        <x:f>H2837-I2837</x:f>
        <x:v>5</x:v>
      </x:c>
      <x:c r="U2837" s="24" t="n">
        <x:f>IFERROR(J2837/H2837,0)-IFERROR(K2837/I2837,0)</x:f>
        <x:v>0.13725490196078433</x:v>
      </x:c>
      <x:c r="V2837" s="24" t="n">
        <x:f>IFERROR(F2837/J2837,0)-IFERROR(G2837/K2837,0)</x:f>
        <x:v>-0.25</x:v>
      </x:c>
      <x:c r="W2837" s="28" t="n">
        <x:f>L2837-M2837</x:f>
        <x:v>3</x:v>
      </x:c>
      <x:c r="X2837" s="24" t="n">
        <x:f>IFERROR(K2837/I2837,0)</x:f>
        <x:v>0.3333333333333333</x:v>
      </x:c>
      <x:c r="Y2837" s="24" t="n">
        <x:f>IFERROR(G2837/I2837,0)</x:f>
        <x:v>0.16666666666666666</x:v>
      </x:c>
      <x:c r="Z2837" s="24" t="n">
        <x:f>IFERROR(G2837/K2837,0)</x:f>
        <x:v>0.5</x:v>
      </x:c>
      <x:c r="AA2837" s="24" t="n">
        <x:f>IFERROR(F2837/H2837,0)-IFERROR(G2837/I2837,0)</x:f>
        <x:v>-0.04901960784313725</x:v>
      </x:c>
      <x:c r="AB2837" s="28" t="n">
        <x:f>J2837-K2837</x:f>
        <x:v>4</x:v>
      </x:c>
      <x:c r="AC2837" s="32" t="n">
        <x:f>F2837-G2837</x:f>
        <x:v>0</x:v>
      </x:c>
    </x:row>
    <x:row r="2838">
      <x:c r="A2838" s="4" t="str">
        <x:v>2024-25</x:v>
      </x:c>
      <x:c r="B2838" s="20" t="n">
        <x:v>45725</x:v>
      </x:c>
      <x:c r="C2838" s="4" t="str">
        <x:v>Chelsea</x:v>
      </x:c>
      <x:c r="D2838" s="4" t="str">
        <x:v>Leicester</x:v>
      </x:c>
      <x:c r="E2838" s="4" t="str">
        <x:v>Home</x:v>
      </x:c>
      <x:c r="F2838" s="28" t="n">
        <x:v>1</x:v>
      </x:c>
      <x:c r="G2838" s="28" t="n">
        <x:v>0</x:v>
      </x:c>
      <x:c r="H2838" s="28" t="n">
        <x:v>20</x:v>
      </x:c>
      <x:c r="I2838" s="28" t="n">
        <x:v>3</x:v>
      </x:c>
      <x:c r="J2838" s="28" t="n">
        <x:v>7</x:v>
      </x:c>
      <x:c r="K2838" s="28" t="n">
        <x:v>3</x:v>
      </x:c>
      <x:c r="L2838" s="28" t="n">
        <x:v>12</x:v>
      </x:c>
      <x:c r="M2838" s="28" t="n">
        <x:v>2</x:v>
      </x:c>
      <x:c r="N2838" s="28" t="n">
        <x:v>1</x:v>
      </x:c>
      <x:c r="O2838" s="28" t="n">
        <x:v>0</x:v>
      </x:c>
      <x:c r="P2838" s="28" t="n">
        <x:v>3</x:v>
      </x:c>
      <x:c r="Q2838" s="24" t="n">
        <x:f>IFERROR(J2838/H2838,0)</x:f>
        <x:v>0.35</x:v>
      </x:c>
      <x:c r="R2838" s="24" t="n">
        <x:f>IFERROR(F2838/H2838,0)</x:f>
        <x:v>0.05</x:v>
      </x:c>
      <x:c r="S2838" s="24" t="n">
        <x:f>IFERROR(F2838/J2838,0)</x:f>
        <x:v>0.14285714285714285</x:v>
      </x:c>
      <x:c r="T2838" s="28" t="n">
        <x:f>H2838-I2838</x:f>
        <x:v>17</x:v>
      </x:c>
      <x:c r="U2838" s="24" t="n">
        <x:f>IFERROR(J2838/H2838,0)-IFERROR(K2838/I2838,0)</x:f>
        <x:v>-0.65</x:v>
      </x:c>
      <x:c r="V2838" s="24" t="n">
        <x:f>IFERROR(F2838/J2838,0)-IFERROR(G2838/K2838,0)</x:f>
        <x:v>0.14285714285714285</x:v>
      </x:c>
      <x:c r="W2838" s="28" t="n">
        <x:f>L2838-M2838</x:f>
        <x:v>10</x:v>
      </x:c>
      <x:c r="X2838" s="24" t="n">
        <x:f>IFERROR(K2838/I2838,0)</x:f>
        <x:v>1</x:v>
      </x:c>
      <x:c r="Y2838" s="24" t="n">
        <x:f>IFERROR(G2838/I2838,0)</x:f>
        <x:v>0</x:v>
      </x:c>
      <x:c r="Z2838" s="24" t="n">
        <x:f>IFERROR(G2838/K2838,0)</x:f>
        <x:v>0</x:v>
      </x:c>
      <x:c r="AA2838" s="24" t="n">
        <x:f>IFERROR(F2838/H2838,0)-IFERROR(G2838/I2838,0)</x:f>
        <x:v>0.05</x:v>
      </x:c>
      <x:c r="AB2838" s="28" t="n">
        <x:f>J2838-K2838</x:f>
        <x:v>4</x:v>
      </x:c>
      <x:c r="AC2838" s="32" t="n">
        <x:f>F2838-G2838</x:f>
        <x:v>1</x:v>
      </x:c>
    </x:row>
    <x:row r="2839">
      <x:c r="A2839" s="4" t="str">
        <x:v>2024-25</x:v>
      </x:c>
      <x:c r="B2839" s="20" t="n">
        <x:v>45725</x:v>
      </x:c>
      <x:c r="C2839" s="4" t="str">
        <x:v>Leicester</x:v>
      </x:c>
      <x:c r="D2839" s="4" t="str">
        <x:v>Chelsea</x:v>
      </x:c>
      <x:c r="E2839" s="4" t="str">
        <x:v>Away</x:v>
      </x:c>
      <x:c r="F2839" s="28" t="n">
        <x:v>0</x:v>
      </x:c>
      <x:c r="G2839" s="28" t="n">
        <x:v>1</x:v>
      </x:c>
      <x:c r="H2839" s="28" t="n">
        <x:v>3</x:v>
      </x:c>
      <x:c r="I2839" s="28" t="n">
        <x:v>20</x:v>
      </x:c>
      <x:c r="J2839" s="28" t="n">
        <x:v>3</x:v>
      </x:c>
      <x:c r="K2839" s="28" t="n">
        <x:v>7</x:v>
      </x:c>
      <x:c r="L2839" s="28" t="n">
        <x:v>2</x:v>
      </x:c>
      <x:c r="M2839" s="28" t="n">
        <x:v>12</x:v>
      </x:c>
      <x:c r="N2839" s="28" t="n">
        <x:v>0</x:v>
      </x:c>
      <x:c r="O2839" s="28" t="n">
        <x:v>0</x:v>
      </x:c>
      <x:c r="P2839" s="28" t="n">
        <x:v>0</x:v>
      </x:c>
      <x:c r="Q2839" s="24" t="n">
        <x:f>IFERROR(J2839/H2839,0)</x:f>
        <x:v>1</x:v>
      </x:c>
      <x:c r="R2839" s="24" t="n">
        <x:f>IFERROR(F2839/H2839,0)</x:f>
        <x:v>0</x:v>
      </x:c>
      <x:c r="S2839" s="24" t="n">
        <x:f>IFERROR(F2839/J2839,0)</x:f>
        <x:v>0</x:v>
      </x:c>
      <x:c r="T2839" s="28" t="n">
        <x:f>H2839-I2839</x:f>
        <x:v>-17</x:v>
      </x:c>
      <x:c r="U2839" s="24" t="n">
        <x:f>IFERROR(J2839/H2839,0)-IFERROR(K2839/I2839,0)</x:f>
        <x:v>0.65</x:v>
      </x:c>
      <x:c r="V2839" s="24" t="n">
        <x:f>IFERROR(F2839/J2839,0)-IFERROR(G2839/K2839,0)</x:f>
        <x:v>-0.14285714285714285</x:v>
      </x:c>
      <x:c r="W2839" s="28" t="n">
        <x:f>L2839-M2839</x:f>
        <x:v>-10</x:v>
      </x:c>
      <x:c r="X2839" s="24" t="n">
        <x:f>IFERROR(K2839/I2839,0)</x:f>
        <x:v>0.35</x:v>
      </x:c>
      <x:c r="Y2839" s="24" t="n">
        <x:f>IFERROR(G2839/I2839,0)</x:f>
        <x:v>0.05</x:v>
      </x:c>
      <x:c r="Z2839" s="24" t="n">
        <x:f>IFERROR(G2839/K2839,0)</x:f>
        <x:v>0.14285714285714285</x:v>
      </x:c>
      <x:c r="AA2839" s="24" t="n">
        <x:f>IFERROR(F2839/H2839,0)-IFERROR(G2839/I2839,0)</x:f>
        <x:v>-0.05</x:v>
      </x:c>
      <x:c r="AB2839" s="28" t="n">
        <x:f>J2839-K2839</x:f>
        <x:v>-4</x:v>
      </x:c>
      <x:c r="AC2839" s="32" t="n">
        <x:f>F2839-G2839</x:f>
        <x:v>-1</x:v>
      </x:c>
    </x:row>
    <x:row r="2840">
      <x:c r="A2840" s="4" t="str">
        <x:v>2024-25</x:v>
      </x:c>
      <x:c r="B2840" s="20" t="n">
        <x:v>45725</x:v>
      </x:c>
      <x:c r="C2840" s="4" t="str">
        <x:v>Man United</x:v>
      </x:c>
      <x:c r="D2840" s="4" t="str">
        <x:v>Arsenal</x:v>
      </x:c>
      <x:c r="E2840" s="4" t="str">
        <x:v>Home</x:v>
      </x:c>
      <x:c r="F2840" s="28" t="n">
        <x:v>1</x:v>
      </x:c>
      <x:c r="G2840" s="28" t="n">
        <x:v>1</x:v>
      </x:c>
      <x:c r="H2840" s="28" t="n">
        <x:v>10</x:v>
      </x:c>
      <x:c r="I2840" s="28" t="n">
        <x:v>17</x:v>
      </x:c>
      <x:c r="J2840" s="28" t="n">
        <x:v>6</x:v>
      </x:c>
      <x:c r="K2840" s="28" t="n">
        <x:v>6</x:v>
      </x:c>
      <x:c r="L2840" s="28" t="n">
        <x:v>2</x:v>
      </x:c>
      <x:c r="M2840" s="28" t="n">
        <x:v>9</x:v>
      </x:c>
      <x:c r="N2840" s="28" t="n">
        <x:v>0</x:v>
      </x:c>
      <x:c r="O2840" s="28" t="n">
        <x:v>0</x:v>
      </x:c>
      <x:c r="P2840" s="28" t="n">
        <x:v>1</x:v>
      </x:c>
      <x:c r="Q2840" s="24" t="n">
        <x:f>IFERROR(J2840/H2840,0)</x:f>
        <x:v>0.6</x:v>
      </x:c>
      <x:c r="R2840" s="24" t="n">
        <x:f>IFERROR(F2840/H2840,0)</x:f>
        <x:v>0.1</x:v>
      </x:c>
      <x:c r="S2840" s="24" t="n">
        <x:f>IFERROR(F2840/J2840,0)</x:f>
        <x:v>0.16666666666666666</x:v>
      </x:c>
      <x:c r="T2840" s="28" t="n">
        <x:f>H2840-I2840</x:f>
        <x:v>-7</x:v>
      </x:c>
      <x:c r="U2840" s="24" t="n">
        <x:f>IFERROR(J2840/H2840,0)-IFERROR(K2840/I2840,0)</x:f>
        <x:v>0.24705882352941172</x:v>
      </x:c>
      <x:c r="V2840" s="24" t="n">
        <x:f>IFERROR(F2840/J2840,0)-IFERROR(G2840/K2840,0)</x:f>
        <x:v>0</x:v>
      </x:c>
      <x:c r="W2840" s="28" t="n">
        <x:f>L2840-M2840</x:f>
        <x:v>-7</x:v>
      </x:c>
      <x:c r="X2840" s="24" t="n">
        <x:f>IFERROR(K2840/I2840,0)</x:f>
        <x:v>0.35294117647058826</x:v>
      </x:c>
      <x:c r="Y2840" s="24" t="n">
        <x:f>IFERROR(G2840/I2840,0)</x:f>
        <x:v>0.058823529411764705</x:v>
      </x:c>
      <x:c r="Z2840" s="24" t="n">
        <x:f>IFERROR(G2840/K2840,0)</x:f>
        <x:v>0.16666666666666666</x:v>
      </x:c>
      <x:c r="AA2840" s="24" t="n">
        <x:f>IFERROR(F2840/H2840,0)-IFERROR(G2840/I2840,0)</x:f>
        <x:v>0.0411764705882353</x:v>
      </x:c>
      <x:c r="AB2840" s="28" t="n">
        <x:f>J2840-K2840</x:f>
        <x:v>0</x:v>
      </x:c>
      <x:c r="AC2840" s="32" t="n">
        <x:f>F2840-G2840</x:f>
        <x:v>0</x:v>
      </x:c>
    </x:row>
    <x:row r="2841">
      <x:c r="A2841" s="4" t="str">
        <x:v>2024-25</x:v>
      </x:c>
      <x:c r="B2841" s="20" t="n">
        <x:v>45725</x:v>
      </x:c>
      <x:c r="C2841" s="4" t="str">
        <x:v>Tottenham</x:v>
      </x:c>
      <x:c r="D2841" s="4" t="str">
        <x:v>Bournemouth</x:v>
      </x:c>
      <x:c r="E2841" s="4" t="str">
        <x:v>Home</x:v>
      </x:c>
      <x:c r="F2841" s="28" t="n">
        <x:v>2</x:v>
      </x:c>
      <x:c r="G2841" s="28" t="n">
        <x:v>2</x:v>
      </x:c>
      <x:c r="H2841" s="28" t="n">
        <x:v>12</x:v>
      </x:c>
      <x:c r="I2841" s="28" t="n">
        <x:v>17</x:v>
      </x:c>
      <x:c r="J2841" s="28" t="n">
        <x:v>4</x:v>
      </x:c>
      <x:c r="K2841" s="28" t="n">
        <x:v>8</x:v>
      </x:c>
      <x:c r="L2841" s="28" t="n">
        <x:v>3</x:v>
      </x:c>
      <x:c r="M2841" s="28" t="n">
        <x:v>6</x:v>
      </x:c>
      <x:c r="N2841" s="28" t="n">
        <x:v>3</x:v>
      </x:c>
      <x:c r="O2841" s="28" t="n">
        <x:v>0</x:v>
      </x:c>
      <x:c r="P2841" s="28" t="n">
        <x:v>1</x:v>
      </x:c>
      <x:c r="Q2841" s="24" t="n">
        <x:f>IFERROR(J2841/H2841,0)</x:f>
        <x:v>0.3333333333333333</x:v>
      </x:c>
      <x:c r="R2841" s="24" t="n">
        <x:f>IFERROR(F2841/H2841,0)</x:f>
        <x:v>0.16666666666666666</x:v>
      </x:c>
      <x:c r="S2841" s="24" t="n">
        <x:f>IFERROR(F2841/J2841,0)</x:f>
        <x:v>0.5</x:v>
      </x:c>
      <x:c r="T2841" s="28" t="n">
        <x:f>H2841-I2841</x:f>
        <x:v>-5</x:v>
      </x:c>
      <x:c r="U2841" s="24" t="n">
        <x:f>IFERROR(J2841/H2841,0)-IFERROR(K2841/I2841,0)</x:f>
        <x:v>-0.13725490196078433</x:v>
      </x:c>
      <x:c r="V2841" s="24" t="n">
        <x:f>IFERROR(F2841/J2841,0)-IFERROR(G2841/K2841,0)</x:f>
        <x:v>0.25</x:v>
      </x:c>
      <x:c r="W2841" s="28" t="n">
        <x:f>L2841-M2841</x:f>
        <x:v>-3</x:v>
      </x:c>
      <x:c r="X2841" s="24" t="n">
        <x:f>IFERROR(K2841/I2841,0)</x:f>
        <x:v>0.47058823529411764</x:v>
      </x:c>
      <x:c r="Y2841" s="24" t="n">
        <x:f>IFERROR(G2841/I2841,0)</x:f>
        <x:v>0.11764705882352941</x:v>
      </x:c>
      <x:c r="Z2841" s="24" t="n">
        <x:f>IFERROR(G2841/K2841,0)</x:f>
        <x:v>0.25</x:v>
      </x:c>
      <x:c r="AA2841" s="24" t="n">
        <x:f>IFERROR(F2841/H2841,0)-IFERROR(G2841/I2841,0)</x:f>
        <x:v>0.04901960784313725</x:v>
      </x:c>
      <x:c r="AB2841" s="28" t="n">
        <x:f>J2841-K2841</x:f>
        <x:v>-4</x:v>
      </x:c>
      <x:c r="AC2841" s="32" t="n">
        <x:f>F2841-G2841</x:f>
        <x:v>0</x:v>
      </x:c>
    </x:row>
    <x:row r="2842">
      <x:c r="A2842" s="4" t="str">
        <x:v>2024-25</x:v>
      </x:c>
      <x:c r="B2842" s="20" t="n">
        <x:v>45726</x:v>
      </x:c>
      <x:c r="C2842" s="4" t="str">
        <x:v>Newcastle</x:v>
      </x:c>
      <x:c r="D2842" s="4" t="str">
        <x:v>West Ham</x:v>
      </x:c>
      <x:c r="E2842" s="4" t="str">
        <x:v>Away</x:v>
      </x:c>
      <x:c r="F2842" s="28" t="n">
        <x:v>1</x:v>
      </x:c>
      <x:c r="G2842" s="28" t="n">
        <x:v>0</x:v>
      </x:c>
      <x:c r="H2842" s="28" t="n">
        <x:v>9</x:v>
      </x:c>
      <x:c r="I2842" s="28" t="n">
        <x:v>9</x:v>
      </x:c>
      <x:c r="J2842" s="28" t="n">
        <x:v>3</x:v>
      </x:c>
      <x:c r="K2842" s="28" t="n">
        <x:v>2</x:v>
      </x:c>
      <x:c r="L2842" s="28" t="n">
        <x:v>4</x:v>
      </x:c>
      <x:c r="M2842" s="28" t="n">
        <x:v>3</x:v>
      </x:c>
      <x:c r="N2842" s="28" t="n">
        <x:v>1</x:v>
      </x:c>
      <x:c r="O2842" s="28" t="n">
        <x:v>0</x:v>
      </x:c>
      <x:c r="P2842" s="28" t="n">
        <x:v>3</x:v>
      </x:c>
      <x:c r="Q2842" s="24" t="n">
        <x:f>IFERROR(J2842/H2842,0)</x:f>
        <x:v>0.3333333333333333</x:v>
      </x:c>
      <x:c r="R2842" s="24" t="n">
        <x:f>IFERROR(F2842/H2842,0)</x:f>
        <x:v>0.1111111111111111</x:v>
      </x:c>
      <x:c r="S2842" s="24" t="n">
        <x:f>IFERROR(F2842/J2842,0)</x:f>
        <x:v>0.3333333333333333</x:v>
      </x:c>
      <x:c r="T2842" s="28" t="n">
        <x:f>H2842-I2842</x:f>
        <x:v>0</x:v>
      </x:c>
      <x:c r="U2842" s="24" t="n">
        <x:f>IFERROR(J2842/H2842,0)-IFERROR(K2842/I2842,0)</x:f>
        <x:v>0.1111111111111111</x:v>
      </x:c>
      <x:c r="V2842" s="24" t="n">
        <x:f>IFERROR(F2842/J2842,0)-IFERROR(G2842/K2842,0)</x:f>
        <x:v>0.3333333333333333</x:v>
      </x:c>
      <x:c r="W2842" s="28" t="n">
        <x:f>L2842-M2842</x:f>
        <x:v>1</x:v>
      </x:c>
      <x:c r="X2842" s="24" t="n">
        <x:f>IFERROR(K2842/I2842,0)</x:f>
        <x:v>0.2222222222222222</x:v>
      </x:c>
      <x:c r="Y2842" s="24" t="n">
        <x:f>IFERROR(G2842/I2842,0)</x:f>
        <x:v>0</x:v>
      </x:c>
      <x:c r="Z2842" s="24" t="n">
        <x:f>IFERROR(G2842/K2842,0)</x:f>
        <x:v>0</x:v>
      </x:c>
      <x:c r="AA2842" s="24" t="n">
        <x:f>IFERROR(F2842/H2842,0)-IFERROR(G2842/I2842,0)</x:f>
        <x:v>0.1111111111111111</x:v>
      </x:c>
      <x:c r="AB2842" s="28" t="n">
        <x:f>J2842-K2842</x:f>
        <x:v>1</x:v>
      </x:c>
      <x:c r="AC2842" s="32" t="n">
        <x:f>F2842-G2842</x:f>
        <x:v>1</x:v>
      </x:c>
    </x:row>
    <x:row r="2843">
      <x:c r="A2843" s="4" t="str">
        <x:v>2024-25</x:v>
      </x:c>
      <x:c r="B2843" s="20" t="n">
        <x:v>45726</x:v>
      </x:c>
      <x:c r="C2843" s="4" t="str">
        <x:v>West Ham</x:v>
      </x:c>
      <x:c r="D2843" s="4" t="str">
        <x:v>Newcastle</x:v>
      </x:c>
      <x:c r="E2843" s="4" t="str">
        <x:v>Home</x:v>
      </x:c>
      <x:c r="F2843" s="28" t="n">
        <x:v>0</x:v>
      </x:c>
      <x:c r="G2843" s="28" t="n">
        <x:v>1</x:v>
      </x:c>
      <x:c r="H2843" s="28" t="n">
        <x:v>9</x:v>
      </x:c>
      <x:c r="I2843" s="28" t="n">
        <x:v>9</x:v>
      </x:c>
      <x:c r="J2843" s="28" t="n">
        <x:v>2</x:v>
      </x:c>
      <x:c r="K2843" s="28" t="n">
        <x:v>3</x:v>
      </x:c>
      <x:c r="L2843" s="28" t="n">
        <x:v>3</x:v>
      </x:c>
      <x:c r="M2843" s="28" t="n">
        <x:v>4</x:v>
      </x:c>
      <x:c r="N2843" s="28" t="n">
        <x:v>0</x:v>
      </x:c>
      <x:c r="O2843" s="28" t="n">
        <x:v>0</x:v>
      </x:c>
      <x:c r="P2843" s="28" t="n">
        <x:v>0</x:v>
      </x:c>
      <x:c r="Q2843" s="24" t="n">
        <x:f>IFERROR(J2843/H2843,0)</x:f>
        <x:v>0.2222222222222222</x:v>
      </x:c>
      <x:c r="R2843" s="24" t="n">
        <x:f>IFERROR(F2843/H2843,0)</x:f>
        <x:v>0</x:v>
      </x:c>
      <x:c r="S2843" s="24" t="n">
        <x:f>IFERROR(F2843/J2843,0)</x:f>
        <x:v>0</x:v>
      </x:c>
      <x:c r="T2843" s="28" t="n">
        <x:f>H2843-I2843</x:f>
        <x:v>0</x:v>
      </x:c>
      <x:c r="U2843" s="24" t="n">
        <x:f>IFERROR(J2843/H2843,0)-IFERROR(K2843/I2843,0)</x:f>
        <x:v>-0.1111111111111111</x:v>
      </x:c>
      <x:c r="V2843" s="24" t="n">
        <x:f>IFERROR(F2843/J2843,0)-IFERROR(G2843/K2843,0)</x:f>
        <x:v>-0.3333333333333333</x:v>
      </x:c>
      <x:c r="W2843" s="28" t="n">
        <x:f>L2843-M2843</x:f>
        <x:v>-1</x:v>
      </x:c>
      <x:c r="X2843" s="24" t="n">
        <x:f>IFERROR(K2843/I2843,0)</x:f>
        <x:v>0.3333333333333333</x:v>
      </x:c>
      <x:c r="Y2843" s="24" t="n">
        <x:f>IFERROR(G2843/I2843,0)</x:f>
        <x:v>0.1111111111111111</x:v>
      </x:c>
      <x:c r="Z2843" s="24" t="n">
        <x:f>IFERROR(G2843/K2843,0)</x:f>
        <x:v>0.3333333333333333</x:v>
      </x:c>
      <x:c r="AA2843" s="24" t="n">
        <x:f>IFERROR(F2843/H2843,0)-IFERROR(G2843/I2843,0)</x:f>
        <x:v>-0.1111111111111111</x:v>
      </x:c>
      <x:c r="AB2843" s="28" t="n">
        <x:f>J2843-K2843</x:f>
        <x:v>-1</x:v>
      </x:c>
      <x:c r="AC2843" s="32" t="n">
        <x:f>F2843-G2843</x:f>
        <x:v>-1</x:v>
      </x:c>
    </x:row>
    <x:row r="2844">
      <x:c r="A2844" s="4" t="str">
        <x:v>2024-25</x:v>
      </x:c>
      <x:c r="B2844" s="20" t="n">
        <x:v>45731</x:v>
      </x:c>
      <x:c r="C2844" s="4" t="str">
        <x:v>Bournemouth</x:v>
      </x:c>
      <x:c r="D2844" s="4" t="str">
        <x:v>Brentford</x:v>
      </x:c>
      <x:c r="E2844" s="4" t="str">
        <x:v>Home</x:v>
      </x:c>
      <x:c r="F2844" s="28" t="n">
        <x:v>1</x:v>
      </x:c>
      <x:c r="G2844" s="28" t="n">
        <x:v>2</x:v>
      </x:c>
      <x:c r="H2844" s="28" t="n">
        <x:v>17</x:v>
      </x:c>
      <x:c r="I2844" s="28" t="n">
        <x:v>10</x:v>
      </x:c>
      <x:c r="J2844" s="28" t="n">
        <x:v>5</x:v>
      </x:c>
      <x:c r="K2844" s="28" t="n">
        <x:v>4</x:v>
      </x:c>
      <x:c r="L2844" s="28" t="n">
        <x:v>4</x:v>
      </x:c>
      <x:c r="M2844" s="28" t="n">
        <x:v>3</x:v>
      </x:c>
      <x:c r="N2844" s="28" t="n">
        <x:v>3</x:v>
      </x:c>
      <x:c r="O2844" s="28" t="n">
        <x:v>0</x:v>
      </x:c>
      <x:c r="P2844" s="28" t="n">
        <x:v>0</x:v>
      </x:c>
      <x:c r="Q2844" s="24" t="n">
        <x:f>IFERROR(J2844/H2844,0)</x:f>
        <x:v>0.29411764705882354</x:v>
      </x:c>
      <x:c r="R2844" s="24" t="n">
        <x:f>IFERROR(F2844/H2844,0)</x:f>
        <x:v>0.058823529411764705</x:v>
      </x:c>
      <x:c r="S2844" s="24" t="n">
        <x:f>IFERROR(F2844/J2844,0)</x:f>
        <x:v>0.2</x:v>
      </x:c>
      <x:c r="T2844" s="28" t="n">
        <x:f>H2844-I2844</x:f>
        <x:v>7</x:v>
      </x:c>
      <x:c r="U2844" s="24" t="n">
        <x:f>IFERROR(J2844/H2844,0)-IFERROR(K2844/I2844,0)</x:f>
        <x:v>-0.10588235294117648</x:v>
      </x:c>
      <x:c r="V2844" s="24" t="n">
        <x:f>IFERROR(F2844/J2844,0)-IFERROR(G2844/K2844,0)</x:f>
        <x:v>-0.3</x:v>
      </x:c>
      <x:c r="W2844" s="28" t="n">
        <x:f>L2844-M2844</x:f>
        <x:v>1</x:v>
      </x:c>
      <x:c r="X2844" s="24" t="n">
        <x:f>IFERROR(K2844/I2844,0)</x:f>
        <x:v>0.4</x:v>
      </x:c>
      <x:c r="Y2844" s="24" t="n">
        <x:f>IFERROR(G2844/I2844,0)</x:f>
        <x:v>0.2</x:v>
      </x:c>
      <x:c r="Z2844" s="24" t="n">
        <x:f>IFERROR(G2844/K2844,0)</x:f>
        <x:v>0.5</x:v>
      </x:c>
      <x:c r="AA2844" s="24" t="n">
        <x:f>IFERROR(F2844/H2844,0)-IFERROR(G2844/I2844,0)</x:f>
        <x:v>-0.1411764705882353</x:v>
      </x:c>
      <x:c r="AB2844" s="28" t="n">
        <x:f>J2844-K2844</x:f>
        <x:v>1</x:v>
      </x:c>
      <x:c r="AC2844" s="32" t="n">
        <x:f>F2844-G2844</x:f>
        <x:v>-1</x:v>
      </x:c>
    </x:row>
    <x:row r="2845">
      <x:c r="A2845" s="4" t="str">
        <x:v>2024-25</x:v>
      </x:c>
      <x:c r="B2845" s="20" t="n">
        <x:v>45731</x:v>
      </x:c>
      <x:c r="C2845" s="4" t="str">
        <x:v>Brentford</x:v>
      </x:c>
      <x:c r="D2845" s="4" t="str">
        <x:v>Bournemouth</x:v>
      </x:c>
      <x:c r="E2845" s="4" t="str">
        <x:v>Away</x:v>
      </x:c>
      <x:c r="F2845" s="28" t="n">
        <x:v>2</x:v>
      </x:c>
      <x:c r="G2845" s="28" t="n">
        <x:v>1</x:v>
      </x:c>
      <x:c r="H2845" s="28" t="n">
        <x:v>10</x:v>
      </x:c>
      <x:c r="I2845" s="28" t="n">
        <x:v>17</x:v>
      </x:c>
      <x:c r="J2845" s="28" t="n">
        <x:v>4</x:v>
      </x:c>
      <x:c r="K2845" s="28" t="n">
        <x:v>5</x:v>
      </x:c>
      <x:c r="L2845" s="28" t="n">
        <x:v>3</x:v>
      </x:c>
      <x:c r="M2845" s="28" t="n">
        <x:v>4</x:v>
      </x:c>
      <x:c r="N2845" s="28" t="n">
        <x:v>0</x:v>
      </x:c>
      <x:c r="O2845" s="28" t="n">
        <x:v>0</x:v>
      </x:c>
      <x:c r="P2845" s="28" t="n">
        <x:v>3</x:v>
      </x:c>
      <x:c r="Q2845" s="24" t="n">
        <x:f>IFERROR(J2845/H2845,0)</x:f>
        <x:v>0.4</x:v>
      </x:c>
      <x:c r="R2845" s="24" t="n">
        <x:f>IFERROR(F2845/H2845,0)</x:f>
        <x:v>0.2</x:v>
      </x:c>
      <x:c r="S2845" s="24" t="n">
        <x:f>IFERROR(F2845/J2845,0)</x:f>
        <x:v>0.5</x:v>
      </x:c>
      <x:c r="T2845" s="28" t="n">
        <x:f>H2845-I2845</x:f>
        <x:v>-7</x:v>
      </x:c>
      <x:c r="U2845" s="24" t="n">
        <x:f>IFERROR(J2845/H2845,0)-IFERROR(K2845/I2845,0)</x:f>
        <x:v>0.10588235294117648</x:v>
      </x:c>
      <x:c r="V2845" s="24" t="n">
        <x:f>IFERROR(F2845/J2845,0)-IFERROR(G2845/K2845,0)</x:f>
        <x:v>0.3</x:v>
      </x:c>
      <x:c r="W2845" s="28" t="n">
        <x:f>L2845-M2845</x:f>
        <x:v>-1</x:v>
      </x:c>
      <x:c r="X2845" s="24" t="n">
        <x:f>IFERROR(K2845/I2845,0)</x:f>
        <x:v>0.29411764705882354</x:v>
      </x:c>
      <x:c r="Y2845" s="24" t="n">
        <x:f>IFERROR(G2845/I2845,0)</x:f>
        <x:v>0.058823529411764705</x:v>
      </x:c>
      <x:c r="Z2845" s="24" t="n">
        <x:f>IFERROR(G2845/K2845,0)</x:f>
        <x:v>0.2</x:v>
      </x:c>
      <x:c r="AA2845" s="24" t="n">
        <x:f>IFERROR(F2845/H2845,0)-IFERROR(G2845/I2845,0)</x:f>
        <x:v>0.1411764705882353</x:v>
      </x:c>
      <x:c r="AB2845" s="28" t="n">
        <x:f>J2845-K2845</x:f>
        <x:v>-1</x:v>
      </x:c>
      <x:c r="AC2845" s="32" t="n">
        <x:f>F2845-G2845</x:f>
        <x:v>1</x:v>
      </x:c>
    </x:row>
    <x:row r="2846">
      <x:c r="A2846" s="4" t="str">
        <x:v>2024-25</x:v>
      </x:c>
      <x:c r="B2846" s="20" t="n">
        <x:v>45731</x:v>
      </x:c>
      <x:c r="C2846" s="4" t="str">
        <x:v>Brighton</x:v>
      </x:c>
      <x:c r="D2846" s="4" t="str">
        <x:v>Man City</x:v>
      </x:c>
      <x:c r="E2846" s="4" t="str">
        <x:v>Away</x:v>
      </x:c>
      <x:c r="F2846" s="28" t="n">
        <x:v>2</x:v>
      </x:c>
      <x:c r="G2846" s="28" t="n">
        <x:v>2</x:v>
      </x:c>
      <x:c r="H2846" s="28" t="n">
        <x:v>15</x:v>
      </x:c>
      <x:c r="I2846" s="28" t="n">
        <x:v>11</x:v>
      </x:c>
      <x:c r="J2846" s="28" t="n">
        <x:v>3</x:v>
      </x:c>
      <x:c r="K2846" s="28" t="n">
        <x:v>3</x:v>
      </x:c>
      <x:c r="L2846" s="28" t="n">
        <x:v>5</x:v>
      </x:c>
      <x:c r="M2846" s="28" t="n">
        <x:v>4</x:v>
      </x:c>
      <x:c r="N2846" s="28" t="n">
        <x:v>5</x:v>
      </x:c>
      <x:c r="O2846" s="28" t="n">
        <x:v>0</x:v>
      </x:c>
      <x:c r="P2846" s="28" t="n">
        <x:v>1</x:v>
      </x:c>
      <x:c r="Q2846" s="24" t="n">
        <x:f>IFERROR(J2846/H2846,0)</x:f>
        <x:v>0.2</x:v>
      </x:c>
      <x:c r="R2846" s="24" t="n">
        <x:f>IFERROR(F2846/H2846,0)</x:f>
        <x:v>0.13333333333333333</x:v>
      </x:c>
      <x:c r="S2846" s="24" t="n">
        <x:f>IFERROR(F2846/J2846,0)</x:f>
        <x:v>0.6666666666666666</x:v>
      </x:c>
      <x:c r="T2846" s="28" t="n">
        <x:f>H2846-I2846</x:f>
        <x:v>4</x:v>
      </x:c>
      <x:c r="U2846" s="24" t="n">
        <x:f>IFERROR(J2846/H2846,0)-IFERROR(K2846/I2846,0)</x:f>
        <x:v>-0.0727272727272727</x:v>
      </x:c>
      <x:c r="V2846" s="24" t="n">
        <x:f>IFERROR(F2846/J2846,0)-IFERROR(G2846/K2846,0)</x:f>
        <x:v>0</x:v>
      </x:c>
      <x:c r="W2846" s="28" t="n">
        <x:f>L2846-M2846</x:f>
        <x:v>1</x:v>
      </x:c>
      <x:c r="X2846" s="24" t="n">
        <x:f>IFERROR(K2846/I2846,0)</x:f>
        <x:v>0.2727272727272727</x:v>
      </x:c>
      <x:c r="Y2846" s="24" t="n">
        <x:f>IFERROR(G2846/I2846,0)</x:f>
        <x:v>0.18181818181818182</x:v>
      </x:c>
      <x:c r="Z2846" s="24" t="n">
        <x:f>IFERROR(G2846/K2846,0)</x:f>
        <x:v>0.6666666666666666</x:v>
      </x:c>
      <x:c r="AA2846" s="24" t="n">
        <x:f>IFERROR(F2846/H2846,0)-IFERROR(G2846/I2846,0)</x:f>
        <x:v>-0.04848484848484849</x:v>
      </x:c>
      <x:c r="AB2846" s="28" t="n">
        <x:f>J2846-K2846</x:f>
        <x:v>0</x:v>
      </x:c>
      <x:c r="AC2846" s="32" t="n">
        <x:f>F2846-G2846</x:f>
        <x:v>0</x:v>
      </x:c>
    </x:row>
    <x:row r="2847">
      <x:c r="A2847" s="4" t="str">
        <x:v>2024-25</x:v>
      </x:c>
      <x:c r="B2847" s="20" t="n">
        <x:v>45731</x:v>
      </x:c>
      <x:c r="C2847" s="4" t="str">
        <x:v>Everton</x:v>
      </x:c>
      <x:c r="D2847" s="4" t="str">
        <x:v>West Ham</x:v>
      </x:c>
      <x:c r="E2847" s="4" t="str">
        <x:v>Home</x:v>
      </x:c>
      <x:c r="F2847" s="28" t="n">
        <x:v>1</x:v>
      </x:c>
      <x:c r="G2847" s="28" t="n">
        <x:v>1</x:v>
      </x:c>
      <x:c r="H2847" s="28" t="n">
        <x:v>13</x:v>
      </x:c>
      <x:c r="I2847" s="28" t="n">
        <x:v>10</x:v>
      </x:c>
      <x:c r="J2847" s="28" t="n">
        <x:v>5</x:v>
      </x:c>
      <x:c r="K2847" s="28" t="n">
        <x:v>5</x:v>
      </x:c>
      <x:c r="L2847" s="28" t="n">
        <x:v>6</x:v>
      </x:c>
      <x:c r="M2847" s="28" t="n">
        <x:v>5</x:v>
      </x:c>
      <x:c r="N2847" s="28" t="n">
        <x:v>1</x:v>
      </x:c>
      <x:c r="O2847" s="28" t="n">
        <x:v>0</x:v>
      </x:c>
      <x:c r="P2847" s="28" t="n">
        <x:v>1</x:v>
      </x:c>
      <x:c r="Q2847" s="24" t="n">
        <x:f>IFERROR(J2847/H2847,0)</x:f>
        <x:v>0.38461538461538464</x:v>
      </x:c>
      <x:c r="R2847" s="24" t="n">
        <x:f>IFERROR(F2847/H2847,0)</x:f>
        <x:v>0.07692307692307693</x:v>
      </x:c>
      <x:c r="S2847" s="24" t="n">
        <x:f>IFERROR(F2847/J2847,0)</x:f>
        <x:v>0.2</x:v>
      </x:c>
      <x:c r="T2847" s="28" t="n">
        <x:f>H2847-I2847</x:f>
        <x:v>3</x:v>
      </x:c>
      <x:c r="U2847" s="24" t="n">
        <x:f>IFERROR(J2847/H2847,0)-IFERROR(K2847/I2847,0)</x:f>
        <x:v>-0.11538461538461536</x:v>
      </x:c>
      <x:c r="V2847" s="24" t="n">
        <x:f>IFERROR(F2847/J2847,0)-IFERROR(G2847/K2847,0)</x:f>
        <x:v>0</x:v>
      </x:c>
      <x:c r="W2847" s="28" t="n">
        <x:f>L2847-M2847</x:f>
        <x:v>1</x:v>
      </x:c>
      <x:c r="X2847" s="24" t="n">
        <x:f>IFERROR(K2847/I2847,0)</x:f>
        <x:v>0.5</x:v>
      </x:c>
      <x:c r="Y2847" s="24" t="n">
        <x:f>IFERROR(G2847/I2847,0)</x:f>
        <x:v>0.1</x:v>
      </x:c>
      <x:c r="Z2847" s="24" t="n">
        <x:f>IFERROR(G2847/K2847,0)</x:f>
        <x:v>0.2</x:v>
      </x:c>
      <x:c r="AA2847" s="24" t="n">
        <x:f>IFERROR(F2847/H2847,0)-IFERROR(G2847/I2847,0)</x:f>
        <x:v>-0.023076923076923078</x:v>
      </x:c>
      <x:c r="AB2847" s="28" t="n">
        <x:f>J2847-K2847</x:f>
        <x:v>0</x:v>
      </x:c>
      <x:c r="AC2847" s="32" t="n">
        <x:f>F2847-G2847</x:f>
        <x:v>0</x:v>
      </x:c>
    </x:row>
    <x:row r="2848">
      <x:c r="A2848" s="4" t="str">
        <x:v>2024-25</x:v>
      </x:c>
      <x:c r="B2848" s="20" t="n">
        <x:v>45731</x:v>
      </x:c>
      <x:c r="C2848" s="4" t="str">
        <x:v>Ipswich</x:v>
      </x:c>
      <x:c r="D2848" s="4" t="str">
        <x:v>Nott'm Forest</x:v>
      </x:c>
      <x:c r="E2848" s="4" t="str">
        <x:v>Home</x:v>
      </x:c>
      <x:c r="F2848" s="28" t="n">
        <x:v>2</x:v>
      </x:c>
      <x:c r="G2848" s="28" t="n">
        <x:v>4</x:v>
      </x:c>
      <x:c r="H2848" s="28" t="n">
        <x:v>11</x:v>
      </x:c>
      <x:c r="I2848" s="28" t="n">
        <x:v>11</x:v>
      </x:c>
      <x:c r="J2848" s="28" t="n">
        <x:v>4</x:v>
      </x:c>
      <x:c r="K2848" s="28" t="n">
        <x:v>6</x:v>
      </x:c>
      <x:c r="L2848" s="28" t="n">
        <x:v>6</x:v>
      </x:c>
      <x:c r="M2848" s="28" t="n">
        <x:v>3</x:v>
      </x:c>
      <x:c r="N2848" s="28" t="n">
        <x:v>1</x:v>
      </x:c>
      <x:c r="O2848" s="28" t="n">
        <x:v>0</x:v>
      </x:c>
      <x:c r="P2848" s="28" t="n">
        <x:v>0</x:v>
      </x:c>
      <x:c r="Q2848" s="24" t="n">
        <x:f>IFERROR(J2848/H2848,0)</x:f>
        <x:v>0.36363636363636365</x:v>
      </x:c>
      <x:c r="R2848" s="24" t="n">
        <x:f>IFERROR(F2848/H2848,0)</x:f>
        <x:v>0.18181818181818182</x:v>
      </x:c>
      <x:c r="S2848" s="24" t="n">
        <x:f>IFERROR(F2848/J2848,0)</x:f>
        <x:v>0.5</x:v>
      </x:c>
      <x:c r="T2848" s="28" t="n">
        <x:f>H2848-I2848</x:f>
        <x:v>0</x:v>
      </x:c>
      <x:c r="U2848" s="24" t="n">
        <x:f>IFERROR(J2848/H2848,0)-IFERROR(K2848/I2848,0)</x:f>
        <x:v>-0.18181818181818177</x:v>
      </x:c>
      <x:c r="V2848" s="24" t="n">
        <x:f>IFERROR(F2848/J2848,0)-IFERROR(G2848/K2848,0)</x:f>
        <x:v>-0.16666666666666663</x:v>
      </x:c>
      <x:c r="W2848" s="28" t="n">
        <x:f>L2848-M2848</x:f>
        <x:v>3</x:v>
      </x:c>
      <x:c r="X2848" s="24" t="n">
        <x:f>IFERROR(K2848/I2848,0)</x:f>
        <x:v>0.5454545454545454</x:v>
      </x:c>
      <x:c r="Y2848" s="24" t="n">
        <x:f>IFERROR(G2848/I2848,0)</x:f>
        <x:v>0.36363636363636365</x:v>
      </x:c>
      <x:c r="Z2848" s="24" t="n">
        <x:f>IFERROR(G2848/K2848,0)</x:f>
        <x:v>0.6666666666666666</x:v>
      </x:c>
      <x:c r="AA2848" s="24" t="n">
        <x:f>IFERROR(F2848/H2848,0)-IFERROR(G2848/I2848,0)</x:f>
        <x:v>-0.18181818181818182</x:v>
      </x:c>
      <x:c r="AB2848" s="28" t="n">
        <x:f>J2848-K2848</x:f>
        <x:v>-2</x:v>
      </x:c>
      <x:c r="AC2848" s="32" t="n">
        <x:f>F2848-G2848</x:f>
        <x:v>-2</x:v>
      </x:c>
    </x:row>
    <x:row r="2849">
      <x:c r="A2849" s="4" t="str">
        <x:v>2024-25</x:v>
      </x:c>
      <x:c r="B2849" s="20" t="n">
        <x:v>45731</x:v>
      </x:c>
      <x:c r="C2849" s="4" t="str">
        <x:v>Man City</x:v>
      </x:c>
      <x:c r="D2849" s="4" t="str">
        <x:v>Brighton</x:v>
      </x:c>
      <x:c r="E2849" s="4" t="str">
        <x:v>Home</x:v>
      </x:c>
      <x:c r="F2849" s="28" t="n">
        <x:v>2</x:v>
      </x:c>
      <x:c r="G2849" s="28" t="n">
        <x:v>2</x:v>
      </x:c>
      <x:c r="H2849" s="28" t="n">
        <x:v>11</x:v>
      </x:c>
      <x:c r="I2849" s="28" t="n">
        <x:v>15</x:v>
      </x:c>
      <x:c r="J2849" s="28" t="n">
        <x:v>3</x:v>
      </x:c>
      <x:c r="K2849" s="28" t="n">
        <x:v>3</x:v>
      </x:c>
      <x:c r="L2849" s="28" t="n">
        <x:v>4</x:v>
      </x:c>
      <x:c r="M2849" s="28" t="n">
        <x:v>5</x:v>
      </x:c>
      <x:c r="N2849" s="28" t="n">
        <x:v>2</x:v>
      </x:c>
      <x:c r="O2849" s="28" t="n">
        <x:v>0</x:v>
      </x:c>
      <x:c r="P2849" s="28" t="n">
        <x:v>1</x:v>
      </x:c>
      <x:c r="Q2849" s="24" t="n">
        <x:f>IFERROR(J2849/H2849,0)</x:f>
        <x:v>0.2727272727272727</x:v>
      </x:c>
      <x:c r="R2849" s="24" t="n">
        <x:f>IFERROR(F2849/H2849,0)</x:f>
        <x:v>0.18181818181818182</x:v>
      </x:c>
      <x:c r="S2849" s="24" t="n">
        <x:f>IFERROR(F2849/J2849,0)</x:f>
        <x:v>0.6666666666666666</x:v>
      </x:c>
      <x:c r="T2849" s="28" t="n">
        <x:f>H2849-I2849</x:f>
        <x:v>-4</x:v>
      </x:c>
      <x:c r="U2849" s="24" t="n">
        <x:f>IFERROR(J2849/H2849,0)-IFERROR(K2849/I2849,0)</x:f>
        <x:v>0.0727272727272727</x:v>
      </x:c>
      <x:c r="V2849" s="24" t="n">
        <x:f>IFERROR(F2849/J2849,0)-IFERROR(G2849/K2849,0)</x:f>
        <x:v>0</x:v>
      </x:c>
      <x:c r="W2849" s="28" t="n">
        <x:f>L2849-M2849</x:f>
        <x:v>-1</x:v>
      </x:c>
      <x:c r="X2849" s="24" t="n">
        <x:f>IFERROR(K2849/I2849,0)</x:f>
        <x:v>0.2</x:v>
      </x:c>
      <x:c r="Y2849" s="24" t="n">
        <x:f>IFERROR(G2849/I2849,0)</x:f>
        <x:v>0.13333333333333333</x:v>
      </x:c>
      <x:c r="Z2849" s="24" t="n">
        <x:f>IFERROR(G2849/K2849,0)</x:f>
        <x:v>0.6666666666666666</x:v>
      </x:c>
      <x:c r="AA2849" s="24" t="n">
        <x:f>IFERROR(F2849/H2849,0)-IFERROR(G2849/I2849,0)</x:f>
        <x:v>0.04848484848484849</x:v>
      </x:c>
      <x:c r="AB2849" s="28" t="n">
        <x:f>J2849-K2849</x:f>
        <x:v>0</x:v>
      </x:c>
      <x:c r="AC2849" s="32" t="n">
        <x:f>F2849-G2849</x:f>
        <x:v>0</x:v>
      </x:c>
    </x:row>
    <x:row r="2850">
      <x:c r="A2850" s="4" t="str">
        <x:v>2024-25</x:v>
      </x:c>
      <x:c r="B2850" s="20" t="n">
        <x:v>45731</x:v>
      </x:c>
      <x:c r="C2850" s="4" t="str">
        <x:v>Nott'm Forest</x:v>
      </x:c>
      <x:c r="D2850" s="4" t="str">
        <x:v>Ipswich</x:v>
      </x:c>
      <x:c r="E2850" s="4" t="str">
        <x:v>Away</x:v>
      </x:c>
      <x:c r="F2850" s="28" t="n">
        <x:v>4</x:v>
      </x:c>
      <x:c r="G2850" s="28" t="n">
        <x:v>2</x:v>
      </x:c>
      <x:c r="H2850" s="28" t="n">
        <x:v>11</x:v>
      </x:c>
      <x:c r="I2850" s="28" t="n">
        <x:v>11</x:v>
      </x:c>
      <x:c r="J2850" s="28" t="n">
        <x:v>6</x:v>
      </x:c>
      <x:c r="K2850" s="28" t="n">
        <x:v>4</x:v>
      </x:c>
      <x:c r="L2850" s="28" t="n">
        <x:v>3</x:v>
      </x:c>
      <x:c r="M2850" s="28" t="n">
        <x:v>6</x:v>
      </x:c>
      <x:c r="N2850" s="28" t="n">
        <x:v>1</x:v>
      </x:c>
      <x:c r="O2850" s="28" t="n">
        <x:v>0</x:v>
      </x:c>
      <x:c r="P2850" s="28" t="n">
        <x:v>3</x:v>
      </x:c>
      <x:c r="Q2850" s="24" t="n">
        <x:f>IFERROR(J2850/H2850,0)</x:f>
        <x:v>0.5454545454545454</x:v>
      </x:c>
      <x:c r="R2850" s="24" t="n">
        <x:f>IFERROR(F2850/H2850,0)</x:f>
        <x:v>0.36363636363636365</x:v>
      </x:c>
      <x:c r="S2850" s="24" t="n">
        <x:f>IFERROR(F2850/J2850,0)</x:f>
        <x:v>0.6666666666666666</x:v>
      </x:c>
      <x:c r="T2850" s="28" t="n">
        <x:f>H2850-I2850</x:f>
        <x:v>0</x:v>
      </x:c>
      <x:c r="U2850" s="24" t="n">
        <x:f>IFERROR(J2850/H2850,0)-IFERROR(K2850/I2850,0)</x:f>
        <x:v>0.18181818181818177</x:v>
      </x:c>
      <x:c r="V2850" s="24" t="n">
        <x:f>IFERROR(F2850/J2850,0)-IFERROR(G2850/K2850,0)</x:f>
        <x:v>0.16666666666666663</x:v>
      </x:c>
      <x:c r="W2850" s="28" t="n">
        <x:f>L2850-M2850</x:f>
        <x:v>-3</x:v>
      </x:c>
      <x:c r="X2850" s="24" t="n">
        <x:f>IFERROR(K2850/I2850,0)</x:f>
        <x:v>0.36363636363636365</x:v>
      </x:c>
      <x:c r="Y2850" s="24" t="n">
        <x:f>IFERROR(G2850/I2850,0)</x:f>
        <x:v>0.18181818181818182</x:v>
      </x:c>
      <x:c r="Z2850" s="24" t="n">
        <x:f>IFERROR(G2850/K2850,0)</x:f>
        <x:v>0.5</x:v>
      </x:c>
      <x:c r="AA2850" s="24" t="n">
        <x:f>IFERROR(F2850/H2850,0)-IFERROR(G2850/I2850,0)</x:f>
        <x:v>0.18181818181818182</x:v>
      </x:c>
      <x:c r="AB2850" s="28" t="n">
        <x:f>J2850-K2850</x:f>
        <x:v>2</x:v>
      </x:c>
      <x:c r="AC2850" s="32" t="n">
        <x:f>F2850-G2850</x:f>
        <x:v>2</x:v>
      </x:c>
    </x:row>
    <x:row r="2851">
      <x:c r="A2851" s="4" t="str">
        <x:v>2024-25</x:v>
      </x:c>
      <x:c r="B2851" s="20" t="n">
        <x:v>45731</x:v>
      </x:c>
      <x:c r="C2851" s="4" t="str">
        <x:v>Southampton</x:v>
      </x:c>
      <x:c r="D2851" s="4" t="str">
        <x:v>Wolves</x:v>
      </x:c>
      <x:c r="E2851" s="4" t="str">
        <x:v>Home</x:v>
      </x:c>
      <x:c r="F2851" s="28" t="n">
        <x:v>1</x:v>
      </x:c>
      <x:c r="G2851" s="28" t="n">
        <x:v>2</x:v>
      </x:c>
      <x:c r="H2851" s="28" t="n">
        <x:v>10</x:v>
      </x:c>
      <x:c r="I2851" s="28" t="n">
        <x:v>5</x:v>
      </x:c>
      <x:c r="J2851" s="28" t="n">
        <x:v>3</x:v>
      </x:c>
      <x:c r="K2851" s="28" t="n">
        <x:v>3</x:v>
      </x:c>
      <x:c r="L2851" s="28" t="n">
        <x:v>5</x:v>
      </x:c>
      <x:c r="M2851" s="28" t="n">
        <x:v>1</x:v>
      </x:c>
      <x:c r="N2851" s="28" t="n">
        <x:v>0</x:v>
      </x:c>
      <x:c r="O2851" s="28" t="n">
        <x:v>0</x:v>
      </x:c>
      <x:c r="P2851" s="28" t="n">
        <x:v>0</x:v>
      </x:c>
      <x:c r="Q2851" s="24" t="n">
        <x:f>IFERROR(J2851/H2851,0)</x:f>
        <x:v>0.3</x:v>
      </x:c>
      <x:c r="R2851" s="24" t="n">
        <x:f>IFERROR(F2851/H2851,0)</x:f>
        <x:v>0.1</x:v>
      </x:c>
      <x:c r="S2851" s="24" t="n">
        <x:f>IFERROR(F2851/J2851,0)</x:f>
        <x:v>0.3333333333333333</x:v>
      </x:c>
      <x:c r="T2851" s="28" t="n">
        <x:f>H2851-I2851</x:f>
        <x:v>5</x:v>
      </x:c>
      <x:c r="U2851" s="24" t="n">
        <x:f>IFERROR(J2851/H2851,0)-IFERROR(K2851/I2851,0)</x:f>
        <x:v>-0.3</x:v>
      </x:c>
      <x:c r="V2851" s="24" t="n">
        <x:f>IFERROR(F2851/J2851,0)-IFERROR(G2851/K2851,0)</x:f>
        <x:v>-0.3333333333333333</x:v>
      </x:c>
      <x:c r="W2851" s="28" t="n">
        <x:f>L2851-M2851</x:f>
        <x:v>4</x:v>
      </x:c>
      <x:c r="X2851" s="24" t="n">
        <x:f>IFERROR(K2851/I2851,0)</x:f>
        <x:v>0.6</x:v>
      </x:c>
      <x:c r="Y2851" s="24" t="n">
        <x:f>IFERROR(G2851/I2851,0)</x:f>
        <x:v>0.4</x:v>
      </x:c>
      <x:c r="Z2851" s="24" t="n">
        <x:f>IFERROR(G2851/K2851,0)</x:f>
        <x:v>0.6666666666666666</x:v>
      </x:c>
      <x:c r="AA2851" s="24" t="n">
        <x:f>IFERROR(F2851/H2851,0)-IFERROR(G2851/I2851,0)</x:f>
        <x:v>-0.30000000000000004</x:v>
      </x:c>
      <x:c r="AB2851" s="28" t="n">
        <x:f>J2851-K2851</x:f>
        <x:v>0</x:v>
      </x:c>
      <x:c r="AC2851" s="32" t="n">
        <x:f>F2851-G2851</x:f>
        <x:v>-1</x:v>
      </x:c>
    </x:row>
    <x:row r="2852">
      <x:c r="A2852" s="4" t="str">
        <x:v>2024-25</x:v>
      </x:c>
      <x:c r="B2852" s="20" t="n">
        <x:v>45731</x:v>
      </x:c>
      <x:c r="C2852" s="4" t="str">
        <x:v>West Ham</x:v>
      </x:c>
      <x:c r="D2852" s="4" t="str">
        <x:v>Everton</x:v>
      </x:c>
      <x:c r="E2852" s="4" t="str">
        <x:v>Away</x:v>
      </x:c>
      <x:c r="F2852" s="28" t="n">
        <x:v>1</x:v>
      </x:c>
      <x:c r="G2852" s="28" t="n">
        <x:v>1</x:v>
      </x:c>
      <x:c r="H2852" s="28" t="n">
        <x:v>10</x:v>
      </x:c>
      <x:c r="I2852" s="28" t="n">
        <x:v>13</x:v>
      </x:c>
      <x:c r="J2852" s="28" t="n">
        <x:v>5</x:v>
      </x:c>
      <x:c r="K2852" s="28" t="n">
        <x:v>5</x:v>
      </x:c>
      <x:c r="L2852" s="28" t="n">
        <x:v>5</x:v>
      </x:c>
      <x:c r="M2852" s="28" t="n">
        <x:v>6</x:v>
      </x:c>
      <x:c r="N2852" s="28" t="n">
        <x:v>2</x:v>
      </x:c>
      <x:c r="O2852" s="28" t="n">
        <x:v>0</x:v>
      </x:c>
      <x:c r="P2852" s="28" t="n">
        <x:v>1</x:v>
      </x:c>
      <x:c r="Q2852" s="24" t="n">
        <x:f>IFERROR(J2852/H2852,0)</x:f>
        <x:v>0.5</x:v>
      </x:c>
      <x:c r="R2852" s="24" t="n">
        <x:f>IFERROR(F2852/H2852,0)</x:f>
        <x:v>0.1</x:v>
      </x:c>
      <x:c r="S2852" s="24" t="n">
        <x:f>IFERROR(F2852/J2852,0)</x:f>
        <x:v>0.2</x:v>
      </x:c>
      <x:c r="T2852" s="28" t="n">
        <x:f>H2852-I2852</x:f>
        <x:v>-3</x:v>
      </x:c>
      <x:c r="U2852" s="24" t="n">
        <x:f>IFERROR(J2852/H2852,0)-IFERROR(K2852/I2852,0)</x:f>
        <x:v>0.11538461538461536</x:v>
      </x:c>
      <x:c r="V2852" s="24" t="n">
        <x:f>IFERROR(F2852/J2852,0)-IFERROR(G2852/K2852,0)</x:f>
        <x:v>0</x:v>
      </x:c>
      <x:c r="W2852" s="28" t="n">
        <x:f>L2852-M2852</x:f>
        <x:v>-1</x:v>
      </x:c>
      <x:c r="X2852" s="24" t="n">
        <x:f>IFERROR(K2852/I2852,0)</x:f>
        <x:v>0.38461538461538464</x:v>
      </x:c>
      <x:c r="Y2852" s="24" t="n">
        <x:f>IFERROR(G2852/I2852,0)</x:f>
        <x:v>0.07692307692307693</x:v>
      </x:c>
      <x:c r="Z2852" s="24" t="n">
        <x:f>IFERROR(G2852/K2852,0)</x:f>
        <x:v>0.2</x:v>
      </x:c>
      <x:c r="AA2852" s="24" t="n">
        <x:f>IFERROR(F2852/H2852,0)-IFERROR(G2852/I2852,0)</x:f>
        <x:v>0.023076923076923078</x:v>
      </x:c>
      <x:c r="AB2852" s="28" t="n">
        <x:f>J2852-K2852</x:f>
        <x:v>0</x:v>
      </x:c>
      <x:c r="AC2852" s="32" t="n">
        <x:f>F2852-G2852</x:f>
        <x:v>0</x:v>
      </x:c>
    </x:row>
    <x:row r="2853">
      <x:c r="A2853" s="4" t="str">
        <x:v>2024-25</x:v>
      </x:c>
      <x:c r="B2853" s="20" t="n">
        <x:v>45731</x:v>
      </x:c>
      <x:c r="C2853" s="4" t="str">
        <x:v>Wolves</x:v>
      </x:c>
      <x:c r="D2853" s="4" t="str">
        <x:v>Southampton</x:v>
      </x:c>
      <x:c r="E2853" s="4" t="str">
        <x:v>Away</x:v>
      </x:c>
      <x:c r="F2853" s="28" t="n">
        <x:v>2</x:v>
      </x:c>
      <x:c r="G2853" s="28" t="n">
        <x:v>1</x:v>
      </x:c>
      <x:c r="H2853" s="28" t="n">
        <x:v>5</x:v>
      </x:c>
      <x:c r="I2853" s="28" t="n">
        <x:v>10</x:v>
      </x:c>
      <x:c r="J2853" s="28" t="n">
        <x:v>3</x:v>
      </x:c>
      <x:c r="K2853" s="28" t="n">
        <x:v>3</x:v>
      </x:c>
      <x:c r="L2853" s="28" t="n">
        <x:v>1</x:v>
      </x:c>
      <x:c r="M2853" s="28" t="n">
        <x:v>5</x:v>
      </x:c>
      <x:c r="N2853" s="28" t="n">
        <x:v>0</x:v>
      </x:c>
      <x:c r="O2853" s="28" t="n">
        <x:v>0</x:v>
      </x:c>
      <x:c r="P2853" s="28" t="n">
        <x:v>3</x:v>
      </x:c>
      <x:c r="Q2853" s="24" t="n">
        <x:f>IFERROR(J2853/H2853,0)</x:f>
        <x:v>0.6</x:v>
      </x:c>
      <x:c r="R2853" s="24" t="n">
        <x:f>IFERROR(F2853/H2853,0)</x:f>
        <x:v>0.4</x:v>
      </x:c>
      <x:c r="S2853" s="24" t="n">
        <x:f>IFERROR(F2853/J2853,0)</x:f>
        <x:v>0.6666666666666666</x:v>
      </x:c>
      <x:c r="T2853" s="28" t="n">
        <x:f>H2853-I2853</x:f>
        <x:v>-5</x:v>
      </x:c>
      <x:c r="U2853" s="24" t="n">
        <x:f>IFERROR(J2853/H2853,0)-IFERROR(K2853/I2853,0)</x:f>
        <x:v>0.3</x:v>
      </x:c>
      <x:c r="V2853" s="24" t="n">
        <x:f>IFERROR(F2853/J2853,0)-IFERROR(G2853/K2853,0)</x:f>
        <x:v>0.3333333333333333</x:v>
      </x:c>
      <x:c r="W2853" s="28" t="n">
        <x:f>L2853-M2853</x:f>
        <x:v>-4</x:v>
      </x:c>
      <x:c r="X2853" s="24" t="n">
        <x:f>IFERROR(K2853/I2853,0)</x:f>
        <x:v>0.3</x:v>
      </x:c>
      <x:c r="Y2853" s="24" t="n">
        <x:f>IFERROR(G2853/I2853,0)</x:f>
        <x:v>0.1</x:v>
      </x:c>
      <x:c r="Z2853" s="24" t="n">
        <x:f>IFERROR(G2853/K2853,0)</x:f>
        <x:v>0.3333333333333333</x:v>
      </x:c>
      <x:c r="AA2853" s="24" t="n">
        <x:f>IFERROR(F2853/H2853,0)-IFERROR(G2853/I2853,0)</x:f>
        <x:v>0.30000000000000004</x:v>
      </x:c>
      <x:c r="AB2853" s="28" t="n">
        <x:f>J2853-K2853</x:f>
        <x:v>0</x:v>
      </x:c>
      <x:c r="AC2853" s="32" t="n">
        <x:f>F2853-G2853</x:f>
        <x:v>1</x:v>
      </x:c>
    </x:row>
    <x:row r="2854">
      <x:c r="A2854" s="4" t="str">
        <x:v>2024-25</x:v>
      </x:c>
      <x:c r="B2854" s="20" t="n">
        <x:v>45732</x:v>
      </x:c>
      <x:c r="C2854" s="4" t="str">
        <x:v>Arsenal</x:v>
      </x:c>
      <x:c r="D2854" s="4" t="str">
        <x:v>Chelsea</x:v>
      </x:c>
      <x:c r="E2854" s="4" t="str">
        <x:v>Home</x:v>
      </x:c>
      <x:c r="F2854" s="28" t="n">
        <x:v>1</x:v>
      </x:c>
      <x:c r="G2854" s="28" t="n">
        <x:v>0</x:v>
      </x:c>
      <x:c r="H2854" s="28" t="n">
        <x:v>12</x:v>
      </x:c>
      <x:c r="I2854" s="28" t="n">
        <x:v>8</x:v>
      </x:c>
      <x:c r="J2854" s="28" t="n">
        <x:v>4</x:v>
      </x:c>
      <x:c r="K2854" s="28" t="n">
        <x:v>2</x:v>
      </x:c>
      <x:c r="L2854" s="28" t="n">
        <x:v>5</x:v>
      </x:c>
      <x:c r="M2854" s="28" t="n">
        <x:v>4</x:v>
      </x:c>
      <x:c r="N2854" s="28" t="n">
        <x:v>3</x:v>
      </x:c>
      <x:c r="O2854" s="28" t="n">
        <x:v>0</x:v>
      </x:c>
      <x:c r="P2854" s="28" t="n">
        <x:v>3</x:v>
      </x:c>
      <x:c r="Q2854" s="24" t="n">
        <x:f>IFERROR(J2854/H2854,0)</x:f>
        <x:v>0.3333333333333333</x:v>
      </x:c>
      <x:c r="R2854" s="24" t="n">
        <x:f>IFERROR(F2854/H2854,0)</x:f>
        <x:v>0.08333333333333333</x:v>
      </x:c>
      <x:c r="S2854" s="24" t="n">
        <x:f>IFERROR(F2854/J2854,0)</x:f>
        <x:v>0.25</x:v>
      </x:c>
      <x:c r="T2854" s="28" t="n">
        <x:f>H2854-I2854</x:f>
        <x:v>4</x:v>
      </x:c>
      <x:c r="U2854" s="24" t="n">
        <x:f>IFERROR(J2854/H2854,0)-IFERROR(K2854/I2854,0)</x:f>
        <x:v>0.08333333333333331</x:v>
      </x:c>
      <x:c r="V2854" s="24" t="n">
        <x:f>IFERROR(F2854/J2854,0)-IFERROR(G2854/K2854,0)</x:f>
        <x:v>0.25</x:v>
      </x:c>
      <x:c r="W2854" s="28" t="n">
        <x:f>L2854-M2854</x:f>
        <x:v>1</x:v>
      </x:c>
      <x:c r="X2854" s="24" t="n">
        <x:f>IFERROR(K2854/I2854,0)</x:f>
        <x:v>0.25</x:v>
      </x:c>
      <x:c r="Y2854" s="24" t="n">
        <x:f>IFERROR(G2854/I2854,0)</x:f>
        <x:v>0</x:v>
      </x:c>
      <x:c r="Z2854" s="24" t="n">
        <x:f>IFERROR(G2854/K2854,0)</x:f>
        <x:v>0</x:v>
      </x:c>
      <x:c r="AA2854" s="24" t="n">
        <x:f>IFERROR(F2854/H2854,0)-IFERROR(G2854/I2854,0)</x:f>
        <x:v>0.08333333333333333</x:v>
      </x:c>
      <x:c r="AB2854" s="28" t="n">
        <x:f>J2854-K2854</x:f>
        <x:v>2</x:v>
      </x:c>
      <x:c r="AC2854" s="32" t="n">
        <x:f>F2854-G2854</x:f>
        <x:v>1</x:v>
      </x:c>
    </x:row>
    <x:row r="2855">
      <x:c r="A2855" s="4" t="str">
        <x:v>2024-25</x:v>
      </x:c>
      <x:c r="B2855" s="20" t="n">
        <x:v>45732</x:v>
      </x:c>
      <x:c r="C2855" s="4" t="str">
        <x:v>Chelsea</x:v>
      </x:c>
      <x:c r="D2855" s="4" t="str">
        <x:v>Arsenal</x:v>
      </x:c>
      <x:c r="E2855" s="4" t="str">
        <x:v>Away</x:v>
      </x:c>
      <x:c r="F2855" s="28" t="n">
        <x:v>0</x:v>
      </x:c>
      <x:c r="G2855" s="28" t="n">
        <x:v>1</x:v>
      </x:c>
      <x:c r="H2855" s="28" t="n">
        <x:v>8</x:v>
      </x:c>
      <x:c r="I2855" s="28" t="n">
        <x:v>12</x:v>
      </x:c>
      <x:c r="J2855" s="28" t="n">
        <x:v>2</x:v>
      </x:c>
      <x:c r="K2855" s="28" t="n">
        <x:v>4</x:v>
      </x:c>
      <x:c r="L2855" s="28" t="n">
        <x:v>4</x:v>
      </x:c>
      <x:c r="M2855" s="28" t="n">
        <x:v>5</x:v>
      </x:c>
      <x:c r="N2855" s="28" t="n">
        <x:v>3</x:v>
      </x:c>
      <x:c r="O2855" s="28" t="n">
        <x:v>0</x:v>
      </x:c>
      <x:c r="P2855" s="28" t="n">
        <x:v>0</x:v>
      </x:c>
      <x:c r="Q2855" s="24" t="n">
        <x:f>IFERROR(J2855/H2855,0)</x:f>
        <x:v>0.25</x:v>
      </x:c>
      <x:c r="R2855" s="24" t="n">
        <x:f>IFERROR(F2855/H2855,0)</x:f>
        <x:v>0</x:v>
      </x:c>
      <x:c r="S2855" s="24" t="n">
        <x:f>IFERROR(F2855/J2855,0)</x:f>
        <x:v>0</x:v>
      </x:c>
      <x:c r="T2855" s="28" t="n">
        <x:f>H2855-I2855</x:f>
        <x:v>-4</x:v>
      </x:c>
      <x:c r="U2855" s="24" t="n">
        <x:f>IFERROR(J2855/H2855,0)-IFERROR(K2855/I2855,0)</x:f>
        <x:v>-0.08333333333333331</x:v>
      </x:c>
      <x:c r="V2855" s="24" t="n">
        <x:f>IFERROR(F2855/J2855,0)-IFERROR(G2855/K2855,0)</x:f>
        <x:v>-0.25</x:v>
      </x:c>
      <x:c r="W2855" s="28" t="n">
        <x:f>L2855-M2855</x:f>
        <x:v>-1</x:v>
      </x:c>
      <x:c r="X2855" s="24" t="n">
        <x:f>IFERROR(K2855/I2855,0)</x:f>
        <x:v>0.3333333333333333</x:v>
      </x:c>
      <x:c r="Y2855" s="24" t="n">
        <x:f>IFERROR(G2855/I2855,0)</x:f>
        <x:v>0.08333333333333333</x:v>
      </x:c>
      <x:c r="Z2855" s="24" t="n">
        <x:f>IFERROR(G2855/K2855,0)</x:f>
        <x:v>0.25</x:v>
      </x:c>
      <x:c r="AA2855" s="24" t="n">
        <x:f>IFERROR(F2855/H2855,0)-IFERROR(G2855/I2855,0)</x:f>
        <x:v>-0.08333333333333333</x:v>
      </x:c>
      <x:c r="AB2855" s="28" t="n">
        <x:f>J2855-K2855</x:f>
        <x:v>-2</x:v>
      </x:c>
      <x:c r="AC2855" s="32" t="n">
        <x:f>F2855-G2855</x:f>
        <x:v>-1</x:v>
      </x:c>
    </x:row>
    <x:row r="2856">
      <x:c r="A2856" s="4" t="str">
        <x:v>2024-25</x:v>
      </x:c>
      <x:c r="B2856" s="20" t="n">
        <x:v>45732</x:v>
      </x:c>
      <x:c r="C2856" s="4" t="str">
        <x:v>Fulham</x:v>
      </x:c>
      <x:c r="D2856" s="4" t="str">
        <x:v>Tottenham</x:v>
      </x:c>
      <x:c r="E2856" s="4" t="str">
        <x:v>Home</x:v>
      </x:c>
      <x:c r="F2856" s="28" t="n">
        <x:v>2</x:v>
      </x:c>
      <x:c r="G2856" s="28" t="n">
        <x:v>0</x:v>
      </x:c>
      <x:c r="H2856" s="28" t="n">
        <x:v>13</x:v>
      </x:c>
      <x:c r="I2856" s="28" t="n">
        <x:v>12</x:v>
      </x:c>
      <x:c r="J2856" s="28" t="n">
        <x:v>4</x:v>
      </x:c>
      <x:c r="K2856" s="28" t="n">
        <x:v>4</x:v>
      </x:c>
      <x:c r="L2856" s="28" t="n">
        <x:v>6</x:v>
      </x:c>
      <x:c r="M2856" s="28" t="n">
        <x:v>5</x:v>
      </x:c>
      <x:c r="N2856" s="28" t="n">
        <x:v>0</x:v>
      </x:c>
      <x:c r="O2856" s="28" t="n">
        <x:v>0</x:v>
      </x:c>
      <x:c r="P2856" s="28" t="n">
        <x:v>3</x:v>
      </x:c>
      <x:c r="Q2856" s="24" t="n">
        <x:f>IFERROR(J2856/H2856,0)</x:f>
        <x:v>0.3076923076923077</x:v>
      </x:c>
      <x:c r="R2856" s="24" t="n">
        <x:f>IFERROR(F2856/H2856,0)</x:f>
        <x:v>0.15384615384615385</x:v>
      </x:c>
      <x:c r="S2856" s="24" t="n">
        <x:f>IFERROR(F2856/J2856,0)</x:f>
        <x:v>0.5</x:v>
      </x:c>
      <x:c r="T2856" s="28" t="n">
        <x:f>H2856-I2856</x:f>
        <x:v>1</x:v>
      </x:c>
      <x:c r="U2856" s="24" t="n">
        <x:f>IFERROR(J2856/H2856,0)-IFERROR(K2856/I2856,0)</x:f>
        <x:v>-0.025641025641025605</x:v>
      </x:c>
      <x:c r="V2856" s="24" t="n">
        <x:f>IFERROR(F2856/J2856,0)-IFERROR(G2856/K2856,0)</x:f>
        <x:v>0.5</x:v>
      </x:c>
      <x:c r="W2856" s="28" t="n">
        <x:f>L2856-M2856</x:f>
        <x:v>1</x:v>
      </x:c>
      <x:c r="X2856" s="24" t="n">
        <x:f>IFERROR(K2856/I2856,0)</x:f>
        <x:v>0.3333333333333333</x:v>
      </x:c>
      <x:c r="Y2856" s="24" t="n">
        <x:f>IFERROR(G2856/I2856,0)</x:f>
        <x:v>0</x:v>
      </x:c>
      <x:c r="Z2856" s="24" t="n">
        <x:f>IFERROR(G2856/K2856,0)</x:f>
        <x:v>0</x:v>
      </x:c>
      <x:c r="AA2856" s="24" t="n">
        <x:f>IFERROR(F2856/H2856,0)-IFERROR(G2856/I2856,0)</x:f>
        <x:v>0.15384615384615385</x:v>
      </x:c>
      <x:c r="AB2856" s="28" t="n">
        <x:f>J2856-K2856</x:f>
        <x:v>0</x:v>
      </x:c>
      <x:c r="AC2856" s="32" t="n">
        <x:f>F2856-G2856</x:f>
        <x:v>2</x:v>
      </x:c>
    </x:row>
    <x:row r="2857">
      <x:c r="A2857" s="4" t="str">
        <x:v>2024-25</x:v>
      </x:c>
      <x:c r="B2857" s="20" t="n">
        <x:v>45732</x:v>
      </x:c>
      <x:c r="C2857" s="4" t="str">
        <x:v>Leicester</x:v>
      </x:c>
      <x:c r="D2857" s="4" t="str">
        <x:v>Man United</x:v>
      </x:c>
      <x:c r="E2857" s="4" t="str">
        <x:v>Home</x:v>
      </x:c>
      <x:c r="F2857" s="28" t="n">
        <x:v>0</x:v>
      </x:c>
      <x:c r="G2857" s="28" t="n">
        <x:v>3</x:v>
      </x:c>
      <x:c r="H2857" s="28" t="n">
        <x:v>11</x:v>
      </x:c>
      <x:c r="I2857" s="28" t="n">
        <x:v>18</x:v>
      </x:c>
      <x:c r="J2857" s="28" t="n">
        <x:v>3</x:v>
      </x:c>
      <x:c r="K2857" s="28" t="n">
        <x:v>5</x:v>
      </x:c>
      <x:c r="L2857" s="28" t="n">
        <x:v>6</x:v>
      </x:c>
      <x:c r="M2857" s="28" t="n">
        <x:v>4</x:v>
      </x:c>
      <x:c r="N2857" s="28" t="n">
        <x:v>2</x:v>
      </x:c>
      <x:c r="O2857" s="28" t="n">
        <x:v>0</x:v>
      </x:c>
      <x:c r="P2857" s="28" t="n">
        <x:v>0</x:v>
      </x:c>
      <x:c r="Q2857" s="24" t="n">
        <x:f>IFERROR(J2857/H2857,0)</x:f>
        <x:v>0.2727272727272727</x:v>
      </x:c>
      <x:c r="R2857" s="24" t="n">
        <x:f>IFERROR(F2857/H2857,0)</x:f>
        <x:v>0</x:v>
      </x:c>
      <x:c r="S2857" s="24" t="n">
        <x:f>IFERROR(F2857/J2857,0)</x:f>
        <x:v>0</x:v>
      </x:c>
      <x:c r="T2857" s="28" t="n">
        <x:f>H2857-I2857</x:f>
        <x:v>-7</x:v>
      </x:c>
      <x:c r="U2857" s="24" t="n">
        <x:f>IFERROR(J2857/H2857,0)-IFERROR(K2857/I2857,0)</x:f>
        <x:v>-0.005050505050505083</x:v>
      </x:c>
      <x:c r="V2857" s="24" t="n">
        <x:f>IFERROR(F2857/J2857,0)-IFERROR(G2857/K2857,0)</x:f>
        <x:v>-0.6</x:v>
      </x:c>
      <x:c r="W2857" s="28" t="n">
        <x:f>L2857-M2857</x:f>
        <x:v>2</x:v>
      </x:c>
      <x:c r="X2857" s="24" t="n">
        <x:f>IFERROR(K2857/I2857,0)</x:f>
        <x:v>0.2777777777777778</x:v>
      </x:c>
      <x:c r="Y2857" s="24" t="n">
        <x:f>IFERROR(G2857/I2857,0)</x:f>
        <x:v>0.16666666666666666</x:v>
      </x:c>
      <x:c r="Z2857" s="24" t="n">
        <x:f>IFERROR(G2857/K2857,0)</x:f>
        <x:v>0.6</x:v>
      </x:c>
      <x:c r="AA2857" s="24" t="n">
        <x:f>IFERROR(F2857/H2857,0)-IFERROR(G2857/I2857,0)</x:f>
        <x:v>-0.16666666666666666</x:v>
      </x:c>
      <x:c r="AB2857" s="28" t="n">
        <x:f>J2857-K2857</x:f>
        <x:v>-2</x:v>
      </x:c>
      <x:c r="AC2857" s="32" t="n">
        <x:f>F2857-G2857</x:f>
        <x:v>-3</x:v>
      </x:c>
    </x:row>
    <x:row r="2858">
      <x:c r="A2858" s="4" t="str">
        <x:v>2024-25</x:v>
      </x:c>
      <x:c r="B2858" s="20" t="n">
        <x:v>45732</x:v>
      </x:c>
      <x:c r="C2858" s="4" t="str">
        <x:v>Man United</x:v>
      </x:c>
      <x:c r="D2858" s="4" t="str">
        <x:v>Leicester</x:v>
      </x:c>
      <x:c r="E2858" s="4" t="str">
        <x:v>Away</x:v>
      </x:c>
      <x:c r="F2858" s="28" t="n">
        <x:v>3</x:v>
      </x:c>
      <x:c r="G2858" s="28" t="n">
        <x:v>0</x:v>
      </x:c>
      <x:c r="H2858" s="28" t="n">
        <x:v>18</x:v>
      </x:c>
      <x:c r="I2858" s="28" t="n">
        <x:v>11</x:v>
      </x:c>
      <x:c r="J2858" s="28" t="n">
        <x:v>5</x:v>
      </x:c>
      <x:c r="K2858" s="28" t="n">
        <x:v>3</x:v>
      </x:c>
      <x:c r="L2858" s="28" t="n">
        <x:v>4</x:v>
      </x:c>
      <x:c r="M2858" s="28" t="n">
        <x:v>6</x:v>
      </x:c>
      <x:c r="N2858" s="28" t="n">
        <x:v>0</x:v>
      </x:c>
      <x:c r="O2858" s="28" t="n">
        <x:v>0</x:v>
      </x:c>
      <x:c r="P2858" s="28" t="n">
        <x:v>3</x:v>
      </x:c>
      <x:c r="Q2858" s="24" t="n">
        <x:f>IFERROR(J2858/H2858,0)</x:f>
        <x:v>0.2777777777777778</x:v>
      </x:c>
      <x:c r="R2858" s="24" t="n">
        <x:f>IFERROR(F2858/H2858,0)</x:f>
        <x:v>0.16666666666666666</x:v>
      </x:c>
      <x:c r="S2858" s="24" t="n">
        <x:f>IFERROR(F2858/J2858,0)</x:f>
        <x:v>0.6</x:v>
      </x:c>
      <x:c r="T2858" s="28" t="n">
        <x:f>H2858-I2858</x:f>
        <x:v>7</x:v>
      </x:c>
      <x:c r="U2858" s="24" t="n">
        <x:f>IFERROR(J2858/H2858,0)-IFERROR(K2858/I2858,0)</x:f>
        <x:v>0.005050505050505083</x:v>
      </x:c>
      <x:c r="V2858" s="24" t="n">
        <x:f>IFERROR(F2858/J2858,0)-IFERROR(G2858/K2858,0)</x:f>
        <x:v>0.6</x:v>
      </x:c>
      <x:c r="W2858" s="28" t="n">
        <x:f>L2858-M2858</x:f>
        <x:v>-2</x:v>
      </x:c>
      <x:c r="X2858" s="24" t="n">
        <x:f>IFERROR(K2858/I2858,0)</x:f>
        <x:v>0.2727272727272727</x:v>
      </x:c>
      <x:c r="Y2858" s="24" t="n">
        <x:f>IFERROR(G2858/I2858,0)</x:f>
        <x:v>0</x:v>
      </x:c>
      <x:c r="Z2858" s="24" t="n">
        <x:f>IFERROR(G2858/K2858,0)</x:f>
        <x:v>0</x:v>
      </x:c>
      <x:c r="AA2858" s="24" t="n">
        <x:f>IFERROR(F2858/H2858,0)-IFERROR(G2858/I2858,0)</x:f>
        <x:v>0.16666666666666666</x:v>
      </x:c>
      <x:c r="AB2858" s="28" t="n">
        <x:f>J2858-K2858</x:f>
        <x:v>2</x:v>
      </x:c>
      <x:c r="AC2858" s="32" t="n">
        <x:f>F2858-G2858</x:f>
        <x:v>3</x:v>
      </x:c>
    </x:row>
    <x:row r="2859">
      <x:c r="A2859" s="4" t="str">
        <x:v>2024-25</x:v>
      </x:c>
      <x:c r="B2859" s="20" t="n">
        <x:v>45732</x:v>
      </x:c>
      <x:c r="C2859" s="4" t="str">
        <x:v>Tottenham</x:v>
      </x:c>
      <x:c r="D2859" s="4" t="str">
        <x:v>Fulham</x:v>
      </x:c>
      <x:c r="E2859" s="4" t="str">
        <x:v>Away</x:v>
      </x:c>
      <x:c r="F2859" s="28" t="n">
        <x:v>0</x:v>
      </x:c>
      <x:c r="G2859" s="28" t="n">
        <x:v>2</x:v>
      </x:c>
      <x:c r="H2859" s="28" t="n">
        <x:v>12</x:v>
      </x:c>
      <x:c r="I2859" s="28" t="n">
        <x:v>13</x:v>
      </x:c>
      <x:c r="J2859" s="28" t="n">
        <x:v>4</x:v>
      </x:c>
      <x:c r="K2859" s="28" t="n">
        <x:v>4</x:v>
      </x:c>
      <x:c r="L2859" s="28" t="n">
        <x:v>5</x:v>
      </x:c>
      <x:c r="M2859" s="28" t="n">
        <x:v>6</x:v>
      </x:c>
      <x:c r="N2859" s="28" t="n">
        <x:v>0</x:v>
      </x:c>
      <x:c r="O2859" s="28" t="n">
        <x:v>0</x:v>
      </x:c>
      <x:c r="P2859" s="28" t="n">
        <x:v>0</x:v>
      </x:c>
      <x:c r="Q2859" s="24" t="n">
        <x:f>IFERROR(J2859/H2859,0)</x:f>
        <x:v>0.3333333333333333</x:v>
      </x:c>
      <x:c r="R2859" s="24" t="n">
        <x:f>IFERROR(F2859/H2859,0)</x:f>
        <x:v>0</x:v>
      </x:c>
      <x:c r="S2859" s="24" t="n">
        <x:f>IFERROR(F2859/J2859,0)</x:f>
        <x:v>0</x:v>
      </x:c>
      <x:c r="T2859" s="28" t="n">
        <x:f>H2859-I2859</x:f>
        <x:v>-1</x:v>
      </x:c>
      <x:c r="U2859" s="24" t="n">
        <x:f>IFERROR(J2859/H2859,0)-IFERROR(K2859/I2859,0)</x:f>
        <x:v>0.025641025641025605</x:v>
      </x:c>
      <x:c r="V2859" s="24" t="n">
        <x:f>IFERROR(F2859/J2859,0)-IFERROR(G2859/K2859,0)</x:f>
        <x:v>-0.5</x:v>
      </x:c>
      <x:c r="W2859" s="28" t="n">
        <x:f>L2859-M2859</x:f>
        <x:v>-1</x:v>
      </x:c>
      <x:c r="X2859" s="24" t="n">
        <x:f>IFERROR(K2859/I2859,0)</x:f>
        <x:v>0.3076923076923077</x:v>
      </x:c>
      <x:c r="Y2859" s="24" t="n">
        <x:f>IFERROR(G2859/I2859,0)</x:f>
        <x:v>0.15384615384615385</x:v>
      </x:c>
      <x:c r="Z2859" s="24" t="n">
        <x:f>IFERROR(G2859/K2859,0)</x:f>
        <x:v>0.5</x:v>
      </x:c>
      <x:c r="AA2859" s="24" t="n">
        <x:f>IFERROR(F2859/H2859,0)-IFERROR(G2859/I2859,0)</x:f>
        <x:v>-0.15384615384615385</x:v>
      </x:c>
      <x:c r="AB2859" s="28" t="n">
        <x:f>J2859-K2859</x:f>
        <x:v>0</x:v>
      </x:c>
      <x:c r="AC2859" s="32" t="n">
        <x:f>F2859-G2859</x:f>
        <x:v>-2</x:v>
      </x:c>
    </x:row>
    <x:row r="2860">
      <x:c r="A2860" s="4" t="str">
        <x:v>2024-25</x:v>
      </x:c>
      <x:c r="B2860" s="20" t="n">
        <x:v>45748</x:v>
      </x:c>
      <x:c r="C2860" s="4" t="str">
        <x:v>Arsenal</x:v>
      </x:c>
      <x:c r="D2860" s="4" t="str">
        <x:v>Fulham</x:v>
      </x:c>
      <x:c r="E2860" s="4" t="str">
        <x:v>Home</x:v>
      </x:c>
      <x:c r="F2860" s="28" t="n">
        <x:v>2</x:v>
      </x:c>
      <x:c r="G2860" s="28" t="n">
        <x:v>1</x:v>
      </x:c>
      <x:c r="H2860" s="28" t="n">
        <x:v>17</x:v>
      </x:c>
      <x:c r="I2860" s="28" t="n">
        <x:v>9</x:v>
      </x:c>
      <x:c r="J2860" s="28" t="n">
        <x:v>4</x:v>
      </x:c>
      <x:c r="K2860" s="28" t="n">
        <x:v>3</x:v>
      </x:c>
      <x:c r="L2860" s="28" t="n">
        <x:v>5</x:v>
      </x:c>
      <x:c r="M2860" s="28" t="n">
        <x:v>4</x:v>
      </x:c>
      <x:c r="N2860" s="28" t="n">
        <x:v>1</x:v>
      </x:c>
      <x:c r="O2860" s="28" t="n">
        <x:v>0</x:v>
      </x:c>
      <x:c r="P2860" s="28" t="n">
        <x:v>3</x:v>
      </x:c>
      <x:c r="Q2860" s="24" t="n">
        <x:f>IFERROR(J2860/H2860,0)</x:f>
        <x:v>0.23529411764705882</x:v>
      </x:c>
      <x:c r="R2860" s="24" t="n">
        <x:f>IFERROR(F2860/H2860,0)</x:f>
        <x:v>0.11764705882352941</x:v>
      </x:c>
      <x:c r="S2860" s="24" t="n">
        <x:f>IFERROR(F2860/J2860,0)</x:f>
        <x:v>0.5</x:v>
      </x:c>
      <x:c r="T2860" s="28" t="n">
        <x:f>H2860-I2860</x:f>
        <x:v>8</x:v>
      </x:c>
      <x:c r="U2860" s="24" t="n">
        <x:f>IFERROR(J2860/H2860,0)-IFERROR(K2860/I2860,0)</x:f>
        <x:v>-0.0980392156862745</x:v>
      </x:c>
      <x:c r="V2860" s="24" t="n">
        <x:f>IFERROR(F2860/J2860,0)-IFERROR(G2860/K2860,0)</x:f>
        <x:v>0.16666666666666669</x:v>
      </x:c>
      <x:c r="W2860" s="28" t="n">
        <x:f>L2860-M2860</x:f>
        <x:v>1</x:v>
      </x:c>
      <x:c r="X2860" s="24" t="n">
        <x:f>IFERROR(K2860/I2860,0)</x:f>
        <x:v>0.3333333333333333</x:v>
      </x:c>
      <x:c r="Y2860" s="24" t="n">
        <x:f>IFERROR(G2860/I2860,0)</x:f>
        <x:v>0.1111111111111111</x:v>
      </x:c>
      <x:c r="Z2860" s="24" t="n">
        <x:f>IFERROR(G2860/K2860,0)</x:f>
        <x:v>0.3333333333333333</x:v>
      </x:c>
      <x:c r="AA2860" s="24" t="n">
        <x:f>IFERROR(F2860/H2860,0)-IFERROR(G2860/I2860,0)</x:f>
        <x:v>0.006535947712418305</x:v>
      </x:c>
      <x:c r="AB2860" s="28" t="n">
        <x:f>J2860-K2860</x:f>
        <x:v>1</x:v>
      </x:c>
      <x:c r="AC2860" s="32" t="n">
        <x:f>F2860-G2860</x:f>
        <x:v>1</x:v>
      </x:c>
    </x:row>
    <x:row r="2861">
      <x:c r="A2861" s="4" t="str">
        <x:v>2024-25</x:v>
      </x:c>
      <x:c r="B2861" s="20" t="n">
        <x:v>45748</x:v>
      </x:c>
      <x:c r="C2861" s="4" t="str">
        <x:v>Fulham</x:v>
      </x:c>
      <x:c r="D2861" s="4" t="str">
        <x:v>Arsenal</x:v>
      </x:c>
      <x:c r="E2861" s="4" t="str">
        <x:v>Away</x:v>
      </x:c>
      <x:c r="F2861" s="28" t="n">
        <x:v>1</x:v>
      </x:c>
      <x:c r="G2861" s="28" t="n">
        <x:v>2</x:v>
      </x:c>
      <x:c r="H2861" s="28" t="n">
        <x:v>9</x:v>
      </x:c>
      <x:c r="I2861" s="28" t="n">
        <x:v>17</x:v>
      </x:c>
      <x:c r="J2861" s="28" t="n">
        <x:v>3</x:v>
      </x:c>
      <x:c r="K2861" s="28" t="n">
        <x:v>4</x:v>
      </x:c>
      <x:c r="L2861" s="28" t="n">
        <x:v>4</x:v>
      </x:c>
      <x:c r="M2861" s="28" t="n">
        <x:v>5</x:v>
      </x:c>
      <x:c r="N2861" s="28" t="n">
        <x:v>2</x:v>
      </x:c>
      <x:c r="O2861" s="28" t="n">
        <x:v>0</x:v>
      </x:c>
      <x:c r="P2861" s="28" t="n">
        <x:v>0</x:v>
      </x:c>
      <x:c r="Q2861" s="24" t="n">
        <x:f>IFERROR(J2861/H2861,0)</x:f>
        <x:v>0.3333333333333333</x:v>
      </x:c>
      <x:c r="R2861" s="24" t="n">
        <x:f>IFERROR(F2861/H2861,0)</x:f>
        <x:v>0.1111111111111111</x:v>
      </x:c>
      <x:c r="S2861" s="24" t="n">
        <x:f>IFERROR(F2861/J2861,0)</x:f>
        <x:v>0.3333333333333333</x:v>
      </x:c>
      <x:c r="T2861" s="28" t="n">
        <x:f>H2861-I2861</x:f>
        <x:v>-8</x:v>
      </x:c>
      <x:c r="U2861" s="24" t="n">
        <x:f>IFERROR(J2861/H2861,0)-IFERROR(K2861/I2861,0)</x:f>
        <x:v>0.0980392156862745</x:v>
      </x:c>
      <x:c r="V2861" s="24" t="n">
        <x:f>IFERROR(F2861/J2861,0)-IFERROR(G2861/K2861,0)</x:f>
        <x:v>-0.16666666666666669</x:v>
      </x:c>
      <x:c r="W2861" s="28" t="n">
        <x:f>L2861-M2861</x:f>
        <x:v>-1</x:v>
      </x:c>
      <x:c r="X2861" s="24" t="n">
        <x:f>IFERROR(K2861/I2861,0)</x:f>
        <x:v>0.23529411764705882</x:v>
      </x:c>
      <x:c r="Y2861" s="24" t="n">
        <x:f>IFERROR(G2861/I2861,0)</x:f>
        <x:v>0.11764705882352941</x:v>
      </x:c>
      <x:c r="Z2861" s="24" t="n">
        <x:f>IFERROR(G2861/K2861,0)</x:f>
        <x:v>0.5</x:v>
      </x:c>
      <x:c r="AA2861" s="24" t="n">
        <x:f>IFERROR(F2861/H2861,0)-IFERROR(G2861/I2861,0)</x:f>
        <x:v>-0.006535947712418305</x:v>
      </x:c>
      <x:c r="AB2861" s="28" t="n">
        <x:f>J2861-K2861</x:f>
        <x:v>-1</x:v>
      </x:c>
      <x:c r="AC2861" s="32" t="n">
        <x:f>F2861-G2861</x:f>
        <x:v>-1</x:v>
      </x:c>
    </x:row>
    <x:row r="2862">
      <x:c r="A2862" s="4" t="str">
        <x:v>2024-25</x:v>
      </x:c>
      <x:c r="B2862" s="20" t="n">
        <x:v>45748</x:v>
      </x:c>
      <x:c r="C2862" s="4" t="str">
        <x:v>Man United</x:v>
      </x:c>
      <x:c r="D2862" s="4" t="str">
        <x:v>Nott'm Forest</x:v>
      </x:c>
      <x:c r="E2862" s="4" t="str">
        <x:v>Away</x:v>
      </x:c>
      <x:c r="F2862" s="28" t="n">
        <x:v>0</x:v>
      </x:c>
      <x:c r="G2862" s="28" t="n">
        <x:v>1</x:v>
      </x:c>
      <x:c r="H2862" s="28" t="n">
        <x:v>23</x:v>
      </x:c>
      <x:c r="I2862" s="28" t="n">
        <x:v>8</x:v>
      </x:c>
      <x:c r="J2862" s="28" t="n">
        <x:v>6</x:v>
      </x:c>
      <x:c r="K2862" s="28" t="n">
        <x:v>2</x:v>
      </x:c>
      <x:c r="L2862" s="28" t="n">
        <x:v>10</x:v>
      </x:c>
      <x:c r="M2862" s="28" t="n">
        <x:v>3</x:v>
      </x:c>
      <x:c r="N2862" s="28" t="n">
        <x:v>3</x:v>
      </x:c>
      <x:c r="O2862" s="28" t="n">
        <x:v>0</x:v>
      </x:c>
      <x:c r="P2862" s="28" t="n">
        <x:v>0</x:v>
      </x:c>
      <x:c r="Q2862" s="24" t="n">
        <x:f>IFERROR(J2862/H2862,0)</x:f>
        <x:v>0.2608695652173913</x:v>
      </x:c>
      <x:c r="R2862" s="24" t="n">
        <x:f>IFERROR(F2862/H2862,0)</x:f>
        <x:v>0</x:v>
      </x:c>
      <x:c r="S2862" s="24" t="n">
        <x:f>IFERROR(F2862/J2862,0)</x:f>
        <x:v>0</x:v>
      </x:c>
      <x:c r="T2862" s="28" t="n">
        <x:f>H2862-I2862</x:f>
        <x:v>15</x:v>
      </x:c>
      <x:c r="U2862" s="24" t="n">
        <x:f>IFERROR(J2862/H2862,0)-IFERROR(K2862/I2862,0)</x:f>
        <x:v>0.010869565217391297</x:v>
      </x:c>
      <x:c r="V2862" s="24" t="n">
        <x:f>IFERROR(F2862/J2862,0)-IFERROR(G2862/K2862,0)</x:f>
        <x:v>-0.5</x:v>
      </x:c>
      <x:c r="W2862" s="28" t="n">
        <x:f>L2862-M2862</x:f>
        <x:v>7</x:v>
      </x:c>
      <x:c r="X2862" s="24" t="n">
        <x:f>IFERROR(K2862/I2862,0)</x:f>
        <x:v>0.25</x:v>
      </x:c>
      <x:c r="Y2862" s="24" t="n">
        <x:f>IFERROR(G2862/I2862,0)</x:f>
        <x:v>0.125</x:v>
      </x:c>
      <x:c r="Z2862" s="24" t="n">
        <x:f>IFERROR(G2862/K2862,0)</x:f>
        <x:v>0.5</x:v>
      </x:c>
      <x:c r="AA2862" s="24" t="n">
        <x:f>IFERROR(F2862/H2862,0)-IFERROR(G2862/I2862,0)</x:f>
        <x:v>-0.125</x:v>
      </x:c>
      <x:c r="AB2862" s="28" t="n">
        <x:f>J2862-K2862</x:f>
        <x:v>4</x:v>
      </x:c>
      <x:c r="AC2862" s="32" t="n">
        <x:f>F2862-G2862</x:f>
        <x:v>-1</x:v>
      </x:c>
    </x:row>
    <x:row r="2863">
      <x:c r="A2863" s="4" t="str">
        <x:v>2024-25</x:v>
      </x:c>
      <x:c r="B2863" s="20" t="n">
        <x:v>45748</x:v>
      </x:c>
      <x:c r="C2863" s="4" t="str">
        <x:v>Nott'm Forest</x:v>
      </x:c>
      <x:c r="D2863" s="4" t="str">
        <x:v>Man United</x:v>
      </x:c>
      <x:c r="E2863" s="4" t="str">
        <x:v>Home</x:v>
      </x:c>
      <x:c r="F2863" s="28" t="n">
        <x:v>1</x:v>
      </x:c>
      <x:c r="G2863" s="28" t="n">
        <x:v>0</x:v>
      </x:c>
      <x:c r="H2863" s="28" t="n">
        <x:v>8</x:v>
      </x:c>
      <x:c r="I2863" s="28" t="n">
        <x:v>23</x:v>
      </x:c>
      <x:c r="J2863" s="28" t="n">
        <x:v>2</x:v>
      </x:c>
      <x:c r="K2863" s="28" t="n">
        <x:v>6</x:v>
      </x:c>
      <x:c r="L2863" s="28" t="n">
        <x:v>3</x:v>
      </x:c>
      <x:c r="M2863" s="28" t="n">
        <x:v>10</x:v>
      </x:c>
      <x:c r="N2863" s="28" t="n">
        <x:v>1</x:v>
      </x:c>
      <x:c r="O2863" s="28" t="n">
        <x:v>0</x:v>
      </x:c>
      <x:c r="P2863" s="28" t="n">
        <x:v>3</x:v>
      </x:c>
      <x:c r="Q2863" s="24" t="n">
        <x:f>IFERROR(J2863/H2863,0)</x:f>
        <x:v>0.25</x:v>
      </x:c>
      <x:c r="R2863" s="24" t="n">
        <x:f>IFERROR(F2863/H2863,0)</x:f>
        <x:v>0.125</x:v>
      </x:c>
      <x:c r="S2863" s="24" t="n">
        <x:f>IFERROR(F2863/J2863,0)</x:f>
        <x:v>0.5</x:v>
      </x:c>
      <x:c r="T2863" s="28" t="n">
        <x:f>H2863-I2863</x:f>
        <x:v>-15</x:v>
      </x:c>
      <x:c r="U2863" s="24" t="n">
        <x:f>IFERROR(J2863/H2863,0)-IFERROR(K2863/I2863,0)</x:f>
        <x:v>-0.010869565217391297</x:v>
      </x:c>
      <x:c r="V2863" s="24" t="n">
        <x:f>IFERROR(F2863/J2863,0)-IFERROR(G2863/K2863,0)</x:f>
        <x:v>0.5</x:v>
      </x:c>
      <x:c r="W2863" s="28" t="n">
        <x:f>L2863-M2863</x:f>
        <x:v>-7</x:v>
      </x:c>
      <x:c r="X2863" s="24" t="n">
        <x:f>IFERROR(K2863/I2863,0)</x:f>
        <x:v>0.2608695652173913</x:v>
      </x:c>
      <x:c r="Y2863" s="24" t="n">
        <x:f>IFERROR(G2863/I2863,0)</x:f>
        <x:v>0</x:v>
      </x:c>
      <x:c r="Z2863" s="24" t="n">
        <x:f>IFERROR(G2863/K2863,0)</x:f>
        <x:v>0</x:v>
      </x:c>
      <x:c r="AA2863" s="24" t="n">
        <x:f>IFERROR(F2863/H2863,0)-IFERROR(G2863/I2863,0)</x:f>
        <x:v>0.125</x:v>
      </x:c>
      <x:c r="AB2863" s="28" t="n">
        <x:f>J2863-K2863</x:f>
        <x:v>-4</x:v>
      </x:c>
      <x:c r="AC2863" s="32" t="n">
        <x:f>F2863-G2863</x:f>
        <x:v>1</x:v>
      </x:c>
    </x:row>
    <x:row r="2864">
      <x:c r="A2864" s="4" t="str">
        <x:v>2024-25</x:v>
      </x:c>
      <x:c r="B2864" s="20" t="n">
        <x:v>45748</x:v>
      </x:c>
      <x:c r="C2864" s="4" t="str">
        <x:v>West Ham</x:v>
      </x:c>
      <x:c r="D2864" s="4" t="str">
        <x:v>Wolves</x:v>
      </x:c>
      <x:c r="E2864" s="4" t="str">
        <x:v>Away</x:v>
      </x:c>
      <x:c r="F2864" s="28" t="n">
        <x:v>0</x:v>
      </x:c>
      <x:c r="G2864" s="28" t="n">
        <x:v>1</x:v>
      </x:c>
      <x:c r="H2864" s="28" t="n">
        <x:v>10</x:v>
      </x:c>
      <x:c r="I2864" s="28" t="n">
        <x:v>9</x:v>
      </x:c>
      <x:c r="J2864" s="28" t="n">
        <x:v>1</x:v>
      </x:c>
      <x:c r="K2864" s="28" t="n">
        <x:v>2</x:v>
      </x:c>
      <x:c r="L2864" s="28" t="n">
        <x:v>2</x:v>
      </x:c>
      <x:c r="M2864" s="28" t="n">
        <x:v>1</x:v>
      </x:c>
      <x:c r="N2864" s="28" t="n">
        <x:v>2</x:v>
      </x:c>
      <x:c r="O2864" s="28" t="n">
        <x:v>0</x:v>
      </x:c>
      <x:c r="P2864" s="28" t="n">
        <x:v>0</x:v>
      </x:c>
      <x:c r="Q2864" s="24" t="n">
        <x:f>IFERROR(J2864/H2864,0)</x:f>
        <x:v>0.1</x:v>
      </x:c>
      <x:c r="R2864" s="24" t="n">
        <x:f>IFERROR(F2864/H2864,0)</x:f>
        <x:v>0</x:v>
      </x:c>
      <x:c r="S2864" s="24" t="n">
        <x:f>IFERROR(F2864/J2864,0)</x:f>
        <x:v>0</x:v>
      </x:c>
      <x:c r="T2864" s="28" t="n">
        <x:f>H2864-I2864</x:f>
        <x:v>1</x:v>
      </x:c>
      <x:c r="U2864" s="24" t="n">
        <x:f>IFERROR(J2864/H2864,0)-IFERROR(K2864/I2864,0)</x:f>
        <x:v>-0.1222222222222222</x:v>
      </x:c>
      <x:c r="V2864" s="24" t="n">
        <x:f>IFERROR(F2864/J2864,0)-IFERROR(G2864/K2864,0)</x:f>
        <x:v>-0.5</x:v>
      </x:c>
      <x:c r="W2864" s="28" t="n">
        <x:f>L2864-M2864</x:f>
        <x:v>1</x:v>
      </x:c>
      <x:c r="X2864" s="24" t="n">
        <x:f>IFERROR(K2864/I2864,0)</x:f>
        <x:v>0.2222222222222222</x:v>
      </x:c>
      <x:c r="Y2864" s="24" t="n">
        <x:f>IFERROR(G2864/I2864,0)</x:f>
        <x:v>0.1111111111111111</x:v>
      </x:c>
      <x:c r="Z2864" s="24" t="n">
        <x:f>IFERROR(G2864/K2864,0)</x:f>
        <x:v>0.5</x:v>
      </x:c>
      <x:c r="AA2864" s="24" t="n">
        <x:f>IFERROR(F2864/H2864,0)-IFERROR(G2864/I2864,0)</x:f>
        <x:v>-0.1111111111111111</x:v>
      </x:c>
      <x:c r="AB2864" s="28" t="n">
        <x:f>J2864-K2864</x:f>
        <x:v>-1</x:v>
      </x:c>
      <x:c r="AC2864" s="32" t="n">
        <x:f>F2864-G2864</x:f>
        <x:v>-1</x:v>
      </x:c>
    </x:row>
    <x:row r="2865">
      <x:c r="A2865" s="4" t="str">
        <x:v>2024-25</x:v>
      </x:c>
      <x:c r="B2865" s="20" t="n">
        <x:v>45748</x:v>
      </x:c>
      <x:c r="C2865" s="4" t="str">
        <x:v>Wolves</x:v>
      </x:c>
      <x:c r="D2865" s="4" t="str">
        <x:v>West Ham</x:v>
      </x:c>
      <x:c r="E2865" s="4" t="str">
        <x:v>Home</x:v>
      </x:c>
      <x:c r="F2865" s="28" t="n">
        <x:v>1</x:v>
      </x:c>
      <x:c r="G2865" s="28" t="n">
        <x:v>0</x:v>
      </x:c>
      <x:c r="H2865" s="28" t="n">
        <x:v>9</x:v>
      </x:c>
      <x:c r="I2865" s="28" t="n">
        <x:v>10</x:v>
      </x:c>
      <x:c r="J2865" s="28" t="n">
        <x:v>2</x:v>
      </x:c>
      <x:c r="K2865" s="28" t="n">
        <x:v>1</x:v>
      </x:c>
      <x:c r="L2865" s="28" t="n">
        <x:v>1</x:v>
      </x:c>
      <x:c r="M2865" s="28" t="n">
        <x:v>2</x:v>
      </x:c>
      <x:c r="N2865" s="28" t="n">
        <x:v>4</x:v>
      </x:c>
      <x:c r="O2865" s="28" t="n">
        <x:v>0</x:v>
      </x:c>
      <x:c r="P2865" s="28" t="n">
        <x:v>3</x:v>
      </x:c>
      <x:c r="Q2865" s="24" t="n">
        <x:f>IFERROR(J2865/H2865,0)</x:f>
        <x:v>0.2222222222222222</x:v>
      </x:c>
      <x:c r="R2865" s="24" t="n">
        <x:f>IFERROR(F2865/H2865,0)</x:f>
        <x:v>0.1111111111111111</x:v>
      </x:c>
      <x:c r="S2865" s="24" t="n">
        <x:f>IFERROR(F2865/J2865,0)</x:f>
        <x:v>0.5</x:v>
      </x:c>
      <x:c r="T2865" s="28" t="n">
        <x:f>H2865-I2865</x:f>
        <x:v>-1</x:v>
      </x:c>
      <x:c r="U2865" s="24" t="n">
        <x:f>IFERROR(J2865/H2865,0)-IFERROR(K2865/I2865,0)</x:f>
        <x:v>0.1222222222222222</x:v>
      </x:c>
      <x:c r="V2865" s="24" t="n">
        <x:f>IFERROR(F2865/J2865,0)-IFERROR(G2865/K2865,0)</x:f>
        <x:v>0.5</x:v>
      </x:c>
      <x:c r="W2865" s="28" t="n">
        <x:f>L2865-M2865</x:f>
        <x:v>-1</x:v>
      </x:c>
      <x:c r="X2865" s="24" t="n">
        <x:f>IFERROR(K2865/I2865,0)</x:f>
        <x:v>0.1</x:v>
      </x:c>
      <x:c r="Y2865" s="24" t="n">
        <x:f>IFERROR(G2865/I2865,0)</x:f>
        <x:v>0</x:v>
      </x:c>
      <x:c r="Z2865" s="24" t="n">
        <x:f>IFERROR(G2865/K2865,0)</x:f>
        <x:v>0</x:v>
      </x:c>
      <x:c r="AA2865" s="24" t="n">
        <x:f>IFERROR(F2865/H2865,0)-IFERROR(G2865/I2865,0)</x:f>
        <x:v>0.1111111111111111</x:v>
      </x:c>
      <x:c r="AB2865" s="28" t="n">
        <x:f>J2865-K2865</x:f>
        <x:v>1</x:v>
      </x:c>
      <x:c r="AC2865" s="32" t="n">
        <x:f>F2865-G2865</x:f>
        <x:v>1</x:v>
      </x:c>
    </x:row>
    <x:row r="2866">
      <x:c r="A2866" s="4" t="str">
        <x:v>2024-25</x:v>
      </x:c>
      <x:c r="B2866" s="20" t="n">
        <x:v>45749</x:v>
      </x:c>
      <x:c r="C2866" s="4" t="str">
        <x:v>Aston Villa</x:v>
      </x:c>
      <x:c r="D2866" s="4" t="str">
        <x:v>Brighton</x:v>
      </x:c>
      <x:c r="E2866" s="4" t="str">
        <x:v>Away</x:v>
      </x:c>
      <x:c r="F2866" s="28" t="n">
        <x:v>3</x:v>
      </x:c>
      <x:c r="G2866" s="28" t="n">
        <x:v>0</x:v>
      </x:c>
      <x:c r="H2866" s="28" t="n">
        <x:v>8</x:v>
      </x:c>
      <x:c r="I2866" s="28" t="n">
        <x:v>11</x:v>
      </x:c>
      <x:c r="J2866" s="28" t="n">
        <x:v>5</x:v>
      </x:c>
      <x:c r="K2866" s="28" t="n">
        <x:v>4</x:v>
      </x:c>
      <x:c r="L2866" s="28" t="n">
        <x:v>0</x:v>
      </x:c>
      <x:c r="M2866" s="28" t="n">
        <x:v>4</x:v>
      </x:c>
      <x:c r="N2866" s="28" t="n">
        <x:v>3</x:v>
      </x:c>
      <x:c r="O2866" s="28" t="n">
        <x:v>0</x:v>
      </x:c>
      <x:c r="P2866" s="28" t="n">
        <x:v>3</x:v>
      </x:c>
      <x:c r="Q2866" s="24" t="n">
        <x:f>IFERROR(J2866/H2866,0)</x:f>
        <x:v>0.625</x:v>
      </x:c>
      <x:c r="R2866" s="24" t="n">
        <x:f>IFERROR(F2866/H2866,0)</x:f>
        <x:v>0.375</x:v>
      </x:c>
      <x:c r="S2866" s="24" t="n">
        <x:f>IFERROR(F2866/J2866,0)</x:f>
        <x:v>0.6</x:v>
      </x:c>
      <x:c r="T2866" s="28" t="n">
        <x:f>H2866-I2866</x:f>
        <x:v>-3</x:v>
      </x:c>
      <x:c r="U2866" s="24" t="n">
        <x:f>IFERROR(J2866/H2866,0)-IFERROR(K2866/I2866,0)</x:f>
        <x:v>0.26136363636363635</x:v>
      </x:c>
      <x:c r="V2866" s="24" t="n">
        <x:f>IFERROR(F2866/J2866,0)-IFERROR(G2866/K2866,0)</x:f>
        <x:v>0.6</x:v>
      </x:c>
      <x:c r="W2866" s="28" t="n">
        <x:f>L2866-M2866</x:f>
        <x:v>-4</x:v>
      </x:c>
      <x:c r="X2866" s="24" t="n">
        <x:f>IFERROR(K2866/I2866,0)</x:f>
        <x:v>0.36363636363636365</x:v>
      </x:c>
      <x:c r="Y2866" s="24" t="n">
        <x:f>IFERROR(G2866/I2866,0)</x:f>
        <x:v>0</x:v>
      </x:c>
      <x:c r="Z2866" s="24" t="n">
        <x:f>IFERROR(G2866/K2866,0)</x:f>
        <x:v>0</x:v>
      </x:c>
      <x:c r="AA2866" s="24" t="n">
        <x:f>IFERROR(F2866/H2866,0)-IFERROR(G2866/I2866,0)</x:f>
        <x:v>0.375</x:v>
      </x:c>
      <x:c r="AB2866" s="28" t="n">
        <x:f>J2866-K2866</x:f>
        <x:v>1</x:v>
      </x:c>
      <x:c r="AC2866" s="32" t="n">
        <x:f>F2866-G2866</x:f>
        <x:v>3</x:v>
      </x:c>
    </x:row>
    <x:row r="2867">
      <x:c r="A2867" s="4" t="str">
        <x:v>2024-25</x:v>
      </x:c>
      <x:c r="B2867" s="20" t="n">
        <x:v>45749</x:v>
      </x:c>
      <x:c r="C2867" s="4" t="str">
        <x:v>Bournemouth</x:v>
      </x:c>
      <x:c r="D2867" s="4" t="str">
        <x:v>Ipswich</x:v>
      </x:c>
      <x:c r="E2867" s="4" t="str">
        <x:v>Home</x:v>
      </x:c>
      <x:c r="F2867" s="28" t="n">
        <x:v>1</x:v>
      </x:c>
      <x:c r="G2867" s="28" t="n">
        <x:v>2</x:v>
      </x:c>
      <x:c r="H2867" s="28" t="n">
        <x:v>24</x:v>
      </x:c>
      <x:c r="I2867" s="28" t="n">
        <x:v>10</x:v>
      </x:c>
      <x:c r="J2867" s="28" t="n">
        <x:v>7</x:v>
      </x:c>
      <x:c r="K2867" s="28" t="n">
        <x:v>2</x:v>
      </x:c>
      <x:c r="L2867" s="28" t="n">
        <x:v>8</x:v>
      </x:c>
      <x:c r="M2867" s="28" t="n">
        <x:v>3</x:v>
      </x:c>
      <x:c r="N2867" s="28" t="n">
        <x:v>1</x:v>
      </x:c>
      <x:c r="O2867" s="28" t="n">
        <x:v>0</x:v>
      </x:c>
      <x:c r="P2867" s="28" t="n">
        <x:v>0</x:v>
      </x:c>
      <x:c r="Q2867" s="24" t="n">
        <x:f>IFERROR(J2867/H2867,0)</x:f>
        <x:v>0.2916666666666667</x:v>
      </x:c>
      <x:c r="R2867" s="24" t="n">
        <x:f>IFERROR(F2867/H2867,0)</x:f>
        <x:v>0.041666666666666664</x:v>
      </x:c>
      <x:c r="S2867" s="24" t="n">
        <x:f>IFERROR(F2867/J2867,0)</x:f>
        <x:v>0.14285714285714285</x:v>
      </x:c>
      <x:c r="T2867" s="28" t="n">
        <x:f>H2867-I2867</x:f>
        <x:v>14</x:v>
      </x:c>
      <x:c r="U2867" s="24" t="n">
        <x:f>IFERROR(J2867/H2867,0)-IFERROR(K2867/I2867,0)</x:f>
        <x:v>0.09166666666666667</x:v>
      </x:c>
      <x:c r="V2867" s="24" t="n">
        <x:f>IFERROR(F2867/J2867,0)-IFERROR(G2867/K2867,0)</x:f>
        <x:v>-0.8571428571428572</x:v>
      </x:c>
      <x:c r="W2867" s="28" t="n">
        <x:f>L2867-M2867</x:f>
        <x:v>5</x:v>
      </x:c>
      <x:c r="X2867" s="24" t="n">
        <x:f>IFERROR(K2867/I2867,0)</x:f>
        <x:v>0.2</x:v>
      </x:c>
      <x:c r="Y2867" s="24" t="n">
        <x:f>IFERROR(G2867/I2867,0)</x:f>
        <x:v>0.2</x:v>
      </x:c>
      <x:c r="Z2867" s="24" t="n">
        <x:f>IFERROR(G2867/K2867,0)</x:f>
        <x:v>1</x:v>
      </x:c>
      <x:c r="AA2867" s="24" t="n">
        <x:f>IFERROR(F2867/H2867,0)-IFERROR(G2867/I2867,0)</x:f>
        <x:v>-0.15833333333333335</x:v>
      </x:c>
      <x:c r="AB2867" s="28" t="n">
        <x:f>J2867-K2867</x:f>
        <x:v>5</x:v>
      </x:c>
      <x:c r="AC2867" s="32" t="n">
        <x:f>F2867-G2867</x:f>
        <x:v>-1</x:v>
      </x:c>
    </x:row>
    <x:row r="2868">
      <x:c r="A2868" s="4" t="str">
        <x:v>2024-25</x:v>
      </x:c>
      <x:c r="B2868" s="20" t="n">
        <x:v>45749</x:v>
      </x:c>
      <x:c r="C2868" s="4" t="str">
        <x:v>Brentford</x:v>
      </x:c>
      <x:c r="D2868" s="4" t="str">
        <x:v>Newcastle</x:v>
      </x:c>
      <x:c r="E2868" s="4" t="str">
        <x:v>Away</x:v>
      </x:c>
      <x:c r="F2868" s="28" t="n">
        <x:v>1</x:v>
      </x:c>
      <x:c r="G2868" s="28" t="n">
        <x:v>2</x:v>
      </x:c>
      <x:c r="H2868" s="28" t="n">
        <x:v>12</x:v>
      </x:c>
      <x:c r="I2868" s="28" t="n">
        <x:v>21</x:v>
      </x:c>
      <x:c r="J2868" s="28" t="n">
        <x:v>3</x:v>
      </x:c>
      <x:c r="K2868" s="28" t="n">
        <x:v>4</x:v>
      </x:c>
      <x:c r="L2868" s="28" t="n">
        <x:v>5</x:v>
      </x:c>
      <x:c r="M2868" s="28" t="n">
        <x:v>4</x:v>
      </x:c>
      <x:c r="N2868" s="28" t="n">
        <x:v>1</x:v>
      </x:c>
      <x:c r="O2868" s="28" t="n">
        <x:v>0</x:v>
      </x:c>
      <x:c r="P2868" s="28" t="n">
        <x:v>0</x:v>
      </x:c>
      <x:c r="Q2868" s="24" t="n">
        <x:f>IFERROR(J2868/H2868,0)</x:f>
        <x:v>0.25</x:v>
      </x:c>
      <x:c r="R2868" s="24" t="n">
        <x:f>IFERROR(F2868/H2868,0)</x:f>
        <x:v>0.08333333333333333</x:v>
      </x:c>
      <x:c r="S2868" s="24" t="n">
        <x:f>IFERROR(F2868/J2868,0)</x:f>
        <x:v>0.3333333333333333</x:v>
      </x:c>
      <x:c r="T2868" s="28" t="n">
        <x:f>H2868-I2868</x:f>
        <x:v>-9</x:v>
      </x:c>
      <x:c r="U2868" s="24" t="n">
        <x:f>IFERROR(J2868/H2868,0)-IFERROR(K2868/I2868,0)</x:f>
        <x:v>0.059523809523809534</x:v>
      </x:c>
      <x:c r="V2868" s="24" t="n">
        <x:f>IFERROR(F2868/J2868,0)-IFERROR(G2868/K2868,0)</x:f>
        <x:v>-0.16666666666666669</x:v>
      </x:c>
      <x:c r="W2868" s="28" t="n">
        <x:f>L2868-M2868</x:f>
        <x:v>1</x:v>
      </x:c>
      <x:c r="X2868" s="24" t="n">
        <x:f>IFERROR(K2868/I2868,0)</x:f>
        <x:v>0.19047619047619047</x:v>
      </x:c>
      <x:c r="Y2868" s="24" t="n">
        <x:f>IFERROR(G2868/I2868,0)</x:f>
        <x:v>0.09523809523809523</x:v>
      </x:c>
      <x:c r="Z2868" s="24" t="n">
        <x:f>IFERROR(G2868/K2868,0)</x:f>
        <x:v>0.5</x:v>
      </x:c>
      <x:c r="AA2868" s="24" t="n">
        <x:f>IFERROR(F2868/H2868,0)-IFERROR(G2868/I2868,0)</x:f>
        <x:v>-0.011904761904761904</x:v>
      </x:c>
      <x:c r="AB2868" s="28" t="n">
        <x:f>J2868-K2868</x:f>
        <x:v>-1</x:v>
      </x:c>
      <x:c r="AC2868" s="32" t="n">
        <x:f>F2868-G2868</x:f>
        <x:v>-1</x:v>
      </x:c>
    </x:row>
    <x:row r="2869">
      <x:c r="A2869" s="4" t="str">
        <x:v>2024-25</x:v>
      </x:c>
      <x:c r="B2869" s="20" t="n">
        <x:v>45749</x:v>
      </x:c>
      <x:c r="C2869" s="4" t="str">
        <x:v>Brighton</x:v>
      </x:c>
      <x:c r="D2869" s="4" t="str">
        <x:v>Aston Villa</x:v>
      </x:c>
      <x:c r="E2869" s="4" t="str">
        <x:v>Home</x:v>
      </x:c>
      <x:c r="F2869" s="28" t="n">
        <x:v>0</x:v>
      </x:c>
      <x:c r="G2869" s="28" t="n">
        <x:v>3</x:v>
      </x:c>
      <x:c r="H2869" s="28" t="n">
        <x:v>11</x:v>
      </x:c>
      <x:c r="I2869" s="28" t="n">
        <x:v>8</x:v>
      </x:c>
      <x:c r="J2869" s="28" t="n">
        <x:v>4</x:v>
      </x:c>
      <x:c r="K2869" s="28" t="n">
        <x:v>5</x:v>
      </x:c>
      <x:c r="L2869" s="28" t="n">
        <x:v>4</x:v>
      </x:c>
      <x:c r="M2869" s="28" t="n">
        <x:v>0</x:v>
      </x:c>
      <x:c r="N2869" s="28" t="n">
        <x:v>1</x:v>
      </x:c>
      <x:c r="O2869" s="28" t="n">
        <x:v>0</x:v>
      </x:c>
      <x:c r="P2869" s="28" t="n">
        <x:v>0</x:v>
      </x:c>
      <x:c r="Q2869" s="24" t="n">
        <x:f>IFERROR(J2869/H2869,0)</x:f>
        <x:v>0.36363636363636365</x:v>
      </x:c>
      <x:c r="R2869" s="24" t="n">
        <x:f>IFERROR(F2869/H2869,0)</x:f>
        <x:v>0</x:v>
      </x:c>
      <x:c r="S2869" s="24" t="n">
        <x:f>IFERROR(F2869/J2869,0)</x:f>
        <x:v>0</x:v>
      </x:c>
      <x:c r="T2869" s="28" t="n">
        <x:f>H2869-I2869</x:f>
        <x:v>3</x:v>
      </x:c>
      <x:c r="U2869" s="24" t="n">
        <x:f>IFERROR(J2869/H2869,0)-IFERROR(K2869/I2869,0)</x:f>
        <x:v>-0.26136363636363635</x:v>
      </x:c>
      <x:c r="V2869" s="24" t="n">
        <x:f>IFERROR(F2869/J2869,0)-IFERROR(G2869/K2869,0)</x:f>
        <x:v>-0.6</x:v>
      </x:c>
      <x:c r="W2869" s="28" t="n">
        <x:f>L2869-M2869</x:f>
        <x:v>4</x:v>
      </x:c>
      <x:c r="X2869" s="24" t="n">
        <x:f>IFERROR(K2869/I2869,0)</x:f>
        <x:v>0.625</x:v>
      </x:c>
      <x:c r="Y2869" s="24" t="n">
        <x:f>IFERROR(G2869/I2869,0)</x:f>
        <x:v>0.375</x:v>
      </x:c>
      <x:c r="Z2869" s="24" t="n">
        <x:f>IFERROR(G2869/K2869,0)</x:f>
        <x:v>0.6</x:v>
      </x:c>
      <x:c r="AA2869" s="24" t="n">
        <x:f>IFERROR(F2869/H2869,0)-IFERROR(G2869/I2869,0)</x:f>
        <x:v>-0.375</x:v>
      </x:c>
      <x:c r="AB2869" s="28" t="n">
        <x:f>J2869-K2869</x:f>
        <x:v>-1</x:v>
      </x:c>
      <x:c r="AC2869" s="32" t="n">
        <x:f>F2869-G2869</x:f>
        <x:v>-3</x:v>
      </x:c>
    </x:row>
    <x:row r="2870">
      <x:c r="A2870" s="4" t="str">
        <x:v>2024-25</x:v>
      </x:c>
      <x:c r="B2870" s="20" t="n">
        <x:v>45749</x:v>
      </x:c>
      <x:c r="C2870" s="4" t="str">
        <x:v>Crystal Palace</x:v>
      </x:c>
      <x:c r="D2870" s="4" t="str">
        <x:v>Southampton</x:v>
      </x:c>
      <x:c r="E2870" s="4" t="str">
        <x:v>Away</x:v>
      </x:c>
      <x:c r="F2870" s="28" t="n">
        <x:v>1</x:v>
      </x:c>
      <x:c r="G2870" s="28" t="n">
        <x:v>1</x:v>
      </x:c>
      <x:c r="H2870" s="28" t="n">
        <x:v>9</x:v>
      </x:c>
      <x:c r="I2870" s="28" t="n">
        <x:v>8</x:v>
      </x:c>
      <x:c r="J2870" s="28" t="n">
        <x:v>3</x:v>
      </x:c>
      <x:c r="K2870" s="28" t="n">
        <x:v>2</x:v>
      </x:c>
      <x:c r="L2870" s="28" t="n">
        <x:v>2</x:v>
      </x:c>
      <x:c r="M2870" s="28" t="n">
        <x:v>2</x:v>
      </x:c>
      <x:c r="N2870" s="28" t="n">
        <x:v>1</x:v>
      </x:c>
      <x:c r="O2870" s="28" t="n">
        <x:v>0</x:v>
      </x:c>
      <x:c r="P2870" s="28" t="n">
        <x:v>1</x:v>
      </x:c>
      <x:c r="Q2870" s="24" t="n">
        <x:f>IFERROR(J2870/H2870,0)</x:f>
        <x:v>0.3333333333333333</x:v>
      </x:c>
      <x:c r="R2870" s="24" t="n">
        <x:f>IFERROR(F2870/H2870,0)</x:f>
        <x:v>0.1111111111111111</x:v>
      </x:c>
      <x:c r="S2870" s="24" t="n">
        <x:f>IFERROR(F2870/J2870,0)</x:f>
        <x:v>0.3333333333333333</x:v>
      </x:c>
      <x:c r="T2870" s="28" t="n">
        <x:f>H2870-I2870</x:f>
        <x:v>1</x:v>
      </x:c>
      <x:c r="U2870" s="24" t="n">
        <x:f>IFERROR(J2870/H2870,0)-IFERROR(K2870/I2870,0)</x:f>
        <x:v>0.08333333333333331</x:v>
      </x:c>
      <x:c r="V2870" s="24" t="n">
        <x:f>IFERROR(F2870/J2870,0)-IFERROR(G2870/K2870,0)</x:f>
        <x:v>-0.16666666666666669</x:v>
      </x:c>
      <x:c r="W2870" s="28" t="n">
        <x:f>L2870-M2870</x:f>
        <x:v>0</x:v>
      </x:c>
      <x:c r="X2870" s="24" t="n">
        <x:f>IFERROR(K2870/I2870,0)</x:f>
        <x:v>0.25</x:v>
      </x:c>
      <x:c r="Y2870" s="24" t="n">
        <x:f>IFERROR(G2870/I2870,0)</x:f>
        <x:v>0.125</x:v>
      </x:c>
      <x:c r="Z2870" s="24" t="n">
        <x:f>IFERROR(G2870/K2870,0)</x:f>
        <x:v>0.5</x:v>
      </x:c>
      <x:c r="AA2870" s="24" t="n">
        <x:f>IFERROR(F2870/H2870,0)-IFERROR(G2870/I2870,0)</x:f>
        <x:v>-0.013888888888888895</x:v>
      </x:c>
      <x:c r="AB2870" s="28" t="n">
        <x:f>J2870-K2870</x:f>
        <x:v>1</x:v>
      </x:c>
      <x:c r="AC2870" s="32" t="n">
        <x:f>F2870-G2870</x:f>
        <x:v>0</x:v>
      </x:c>
    </x:row>
    <x:row r="2871">
      <x:c r="A2871" s="4" t="str">
        <x:v>2024-25</x:v>
      </x:c>
      <x:c r="B2871" s="20" t="n">
        <x:v>45749</x:v>
      </x:c>
      <x:c r="C2871" s="4" t="str">
        <x:v>Everton</x:v>
      </x:c>
      <x:c r="D2871" s="4" t="str">
        <x:v>Liverpool</x:v>
      </x:c>
      <x:c r="E2871" s="4" t="str">
        <x:v>Away</x:v>
      </x:c>
      <x:c r="F2871" s="28" t="n">
        <x:v>0</x:v>
      </x:c>
      <x:c r="G2871" s="28" t="n">
        <x:v>1</x:v>
      </x:c>
      <x:c r="H2871" s="28" t="n">
        <x:v>5</x:v>
      </x:c>
      <x:c r="I2871" s="28" t="n">
        <x:v>17</x:v>
      </x:c>
      <x:c r="J2871" s="28" t="n">
        <x:v>0</x:v>
      </x:c>
      <x:c r="K2871" s="28" t="n">
        <x:v>3</x:v>
      </x:c>
      <x:c r="L2871" s="28" t="n">
        <x:v>5</x:v>
      </x:c>
      <x:c r="M2871" s="28" t="n">
        <x:v>11</x:v>
      </x:c>
      <x:c r="N2871" s="28" t="n">
        <x:v>2</x:v>
      </x:c>
      <x:c r="O2871" s="28" t="n">
        <x:v>0</x:v>
      </x:c>
      <x:c r="P2871" s="28" t="n">
        <x:v>0</x:v>
      </x:c>
      <x:c r="Q2871" s="24" t="n">
        <x:f>IFERROR(J2871/H2871,0)</x:f>
        <x:v>0</x:v>
      </x:c>
      <x:c r="R2871" s="24" t="n">
        <x:f>IFERROR(F2871/H2871,0)</x:f>
        <x:v>0</x:v>
      </x:c>
      <x:c r="S2871" s="24" t="n">
        <x:f>IFERROR(F2871/J2871,0)</x:f>
        <x:v>0</x:v>
      </x:c>
      <x:c r="T2871" s="28" t="n">
        <x:f>H2871-I2871</x:f>
        <x:v>-12</x:v>
      </x:c>
      <x:c r="U2871" s="24" t="n">
        <x:f>IFERROR(J2871/H2871,0)-IFERROR(K2871/I2871,0)</x:f>
        <x:v>-0.17647058823529413</x:v>
      </x:c>
      <x:c r="V2871" s="24" t="n">
        <x:f>IFERROR(F2871/J2871,0)-IFERROR(G2871/K2871,0)</x:f>
        <x:v>-0.3333333333333333</x:v>
      </x:c>
      <x:c r="W2871" s="28" t="n">
        <x:f>L2871-M2871</x:f>
        <x:v>-6</x:v>
      </x:c>
      <x:c r="X2871" s="24" t="n">
        <x:f>IFERROR(K2871/I2871,0)</x:f>
        <x:v>0.17647058823529413</x:v>
      </x:c>
      <x:c r="Y2871" s="24" t="n">
        <x:f>IFERROR(G2871/I2871,0)</x:f>
        <x:v>0.058823529411764705</x:v>
      </x:c>
      <x:c r="Z2871" s="24" t="n">
        <x:f>IFERROR(G2871/K2871,0)</x:f>
        <x:v>0.3333333333333333</x:v>
      </x:c>
      <x:c r="AA2871" s="24" t="n">
        <x:f>IFERROR(F2871/H2871,0)-IFERROR(G2871/I2871,0)</x:f>
        <x:v>-0.058823529411764705</x:v>
      </x:c>
      <x:c r="AB2871" s="28" t="n">
        <x:f>J2871-K2871</x:f>
        <x:v>-3</x:v>
      </x:c>
      <x:c r="AC2871" s="32" t="n">
        <x:f>F2871-G2871</x:f>
        <x:v>-1</x:v>
      </x:c>
    </x:row>
    <x:row r="2872">
      <x:c r="A2872" s="4" t="str">
        <x:v>2024-25</x:v>
      </x:c>
      <x:c r="B2872" s="20" t="n">
        <x:v>45749</x:v>
      </x:c>
      <x:c r="C2872" s="4" t="str">
        <x:v>Ipswich</x:v>
      </x:c>
      <x:c r="D2872" s="4" t="str">
        <x:v>Bournemouth</x:v>
      </x:c>
      <x:c r="E2872" s="4" t="str">
        <x:v>Away</x:v>
      </x:c>
      <x:c r="F2872" s="28" t="n">
        <x:v>2</x:v>
      </x:c>
      <x:c r="G2872" s="28" t="n">
        <x:v>1</x:v>
      </x:c>
      <x:c r="H2872" s="28" t="n">
        <x:v>10</x:v>
      </x:c>
      <x:c r="I2872" s="28" t="n">
        <x:v>24</x:v>
      </x:c>
      <x:c r="J2872" s="28" t="n">
        <x:v>2</x:v>
      </x:c>
      <x:c r="K2872" s="28" t="n">
        <x:v>7</x:v>
      </x:c>
      <x:c r="L2872" s="28" t="n">
        <x:v>3</x:v>
      </x:c>
      <x:c r="M2872" s="28" t="n">
        <x:v>8</x:v>
      </x:c>
      <x:c r="N2872" s="28" t="n">
        <x:v>2</x:v>
      </x:c>
      <x:c r="O2872" s="28" t="n">
        <x:v>0</x:v>
      </x:c>
      <x:c r="P2872" s="28" t="n">
        <x:v>3</x:v>
      </x:c>
      <x:c r="Q2872" s="24" t="n">
        <x:f>IFERROR(J2872/H2872,0)</x:f>
        <x:v>0.2</x:v>
      </x:c>
      <x:c r="R2872" s="24" t="n">
        <x:f>IFERROR(F2872/H2872,0)</x:f>
        <x:v>0.2</x:v>
      </x:c>
      <x:c r="S2872" s="24" t="n">
        <x:f>IFERROR(F2872/J2872,0)</x:f>
        <x:v>1</x:v>
      </x:c>
      <x:c r="T2872" s="28" t="n">
        <x:f>H2872-I2872</x:f>
        <x:v>-14</x:v>
      </x:c>
      <x:c r="U2872" s="24" t="n">
        <x:f>IFERROR(J2872/H2872,0)-IFERROR(K2872/I2872,0)</x:f>
        <x:v>-0.09166666666666667</x:v>
      </x:c>
      <x:c r="V2872" s="24" t="n">
        <x:f>IFERROR(F2872/J2872,0)-IFERROR(G2872/K2872,0)</x:f>
        <x:v>0.8571428571428572</x:v>
      </x:c>
      <x:c r="W2872" s="28" t="n">
        <x:f>L2872-M2872</x:f>
        <x:v>-5</x:v>
      </x:c>
      <x:c r="X2872" s="24" t="n">
        <x:f>IFERROR(K2872/I2872,0)</x:f>
        <x:v>0.2916666666666667</x:v>
      </x:c>
      <x:c r="Y2872" s="24" t="n">
        <x:f>IFERROR(G2872/I2872,0)</x:f>
        <x:v>0.041666666666666664</x:v>
      </x:c>
      <x:c r="Z2872" s="24" t="n">
        <x:f>IFERROR(G2872/K2872,0)</x:f>
        <x:v>0.14285714285714285</x:v>
      </x:c>
      <x:c r="AA2872" s="24" t="n">
        <x:f>IFERROR(F2872/H2872,0)-IFERROR(G2872/I2872,0)</x:f>
        <x:v>0.15833333333333335</x:v>
      </x:c>
      <x:c r="AB2872" s="28" t="n">
        <x:f>J2872-K2872</x:f>
        <x:v>-5</x:v>
      </x:c>
      <x:c r="AC2872" s="32" t="n">
        <x:f>F2872-G2872</x:f>
        <x:v>1</x:v>
      </x:c>
    </x:row>
    <x:row r="2873">
      <x:c r="A2873" s="4" t="str">
        <x:v>2024-25</x:v>
      </x:c>
      <x:c r="B2873" s="20" t="n">
        <x:v>45749</x:v>
      </x:c>
      <x:c r="C2873" s="4" t="str">
        <x:v>Leicester</x:v>
      </x:c>
      <x:c r="D2873" s="4" t="str">
        <x:v>Man City</x:v>
      </x:c>
      <x:c r="E2873" s="4" t="str">
        <x:v>Away</x:v>
      </x:c>
      <x:c r="F2873" s="28" t="n">
        <x:v>0</x:v>
      </x:c>
      <x:c r="G2873" s="28" t="n">
        <x:v>2</x:v>
      </x:c>
      <x:c r="H2873" s="28" t="n">
        <x:v>2</x:v>
      </x:c>
      <x:c r="I2873" s="28" t="n">
        <x:v>18</x:v>
      </x:c>
      <x:c r="J2873" s="28" t="n">
        <x:v>0</x:v>
      </x:c>
      <x:c r="K2873" s="28" t="n">
        <x:v>5</x:v>
      </x:c>
      <x:c r="L2873" s="28" t="n">
        <x:v>0</x:v>
      </x:c>
      <x:c r="M2873" s="28" t="n">
        <x:v>5</x:v>
      </x:c>
      <x:c r="N2873" s="28" t="n">
        <x:v>4</x:v>
      </x:c>
      <x:c r="O2873" s="28" t="n">
        <x:v>0</x:v>
      </x:c>
      <x:c r="P2873" s="28" t="n">
        <x:v>0</x:v>
      </x:c>
      <x:c r="Q2873" s="24" t="n">
        <x:f>IFERROR(J2873/H2873,0)</x:f>
        <x:v>0</x:v>
      </x:c>
      <x:c r="R2873" s="24" t="n">
        <x:f>IFERROR(F2873/H2873,0)</x:f>
        <x:v>0</x:v>
      </x:c>
      <x:c r="S2873" s="24" t="n">
        <x:f>IFERROR(F2873/J2873,0)</x:f>
        <x:v>0</x:v>
      </x:c>
      <x:c r="T2873" s="28" t="n">
        <x:f>H2873-I2873</x:f>
        <x:v>-16</x:v>
      </x:c>
      <x:c r="U2873" s="24" t="n">
        <x:f>IFERROR(J2873/H2873,0)-IFERROR(K2873/I2873,0)</x:f>
        <x:v>-0.2777777777777778</x:v>
      </x:c>
      <x:c r="V2873" s="24" t="n">
        <x:f>IFERROR(F2873/J2873,0)-IFERROR(G2873/K2873,0)</x:f>
        <x:v>-0.4</x:v>
      </x:c>
      <x:c r="W2873" s="28" t="n">
        <x:f>L2873-M2873</x:f>
        <x:v>-5</x:v>
      </x:c>
      <x:c r="X2873" s="24" t="n">
        <x:f>IFERROR(K2873/I2873,0)</x:f>
        <x:v>0.2777777777777778</x:v>
      </x:c>
      <x:c r="Y2873" s="24" t="n">
        <x:f>IFERROR(G2873/I2873,0)</x:f>
        <x:v>0.1111111111111111</x:v>
      </x:c>
      <x:c r="Z2873" s="24" t="n">
        <x:f>IFERROR(G2873/K2873,0)</x:f>
        <x:v>0.4</x:v>
      </x:c>
      <x:c r="AA2873" s="24" t="n">
        <x:f>IFERROR(F2873/H2873,0)-IFERROR(G2873/I2873,0)</x:f>
        <x:v>-0.1111111111111111</x:v>
      </x:c>
      <x:c r="AB2873" s="28" t="n">
        <x:f>J2873-K2873</x:f>
        <x:v>-5</x:v>
      </x:c>
      <x:c r="AC2873" s="32" t="n">
        <x:f>F2873-G2873</x:f>
        <x:v>-2</x:v>
      </x:c>
    </x:row>
    <x:row r="2874">
      <x:c r="A2874" s="4" t="str">
        <x:v>2024-25</x:v>
      </x:c>
      <x:c r="B2874" s="20" t="n">
        <x:v>45749</x:v>
      </x:c>
      <x:c r="C2874" s="4" t="str">
        <x:v>Liverpool</x:v>
      </x:c>
      <x:c r="D2874" s="4" t="str">
        <x:v>Everton</x:v>
      </x:c>
      <x:c r="E2874" s="4" t="str">
        <x:v>Home</x:v>
      </x:c>
      <x:c r="F2874" s="28" t="n">
        <x:v>1</x:v>
      </x:c>
      <x:c r="G2874" s="28" t="n">
        <x:v>0</x:v>
      </x:c>
      <x:c r="H2874" s="28" t="n">
        <x:v>17</x:v>
      </x:c>
      <x:c r="I2874" s="28" t="n">
        <x:v>5</x:v>
      </x:c>
      <x:c r="J2874" s="28" t="n">
        <x:v>3</x:v>
      </x:c>
      <x:c r="K2874" s="28" t="n">
        <x:v>0</x:v>
      </x:c>
      <x:c r="L2874" s="28" t="n">
        <x:v>11</x:v>
      </x:c>
      <x:c r="M2874" s="28" t="n">
        <x:v>5</x:v>
      </x:c>
      <x:c r="N2874" s="28" t="n">
        <x:v>2</x:v>
      </x:c>
      <x:c r="O2874" s="28" t="n">
        <x:v>0</x:v>
      </x:c>
      <x:c r="P2874" s="28" t="n">
        <x:v>3</x:v>
      </x:c>
      <x:c r="Q2874" s="24" t="n">
        <x:f>IFERROR(J2874/H2874,0)</x:f>
        <x:v>0.17647058823529413</x:v>
      </x:c>
      <x:c r="R2874" s="24" t="n">
        <x:f>IFERROR(F2874/H2874,0)</x:f>
        <x:v>0.058823529411764705</x:v>
      </x:c>
      <x:c r="S2874" s="24" t="n">
        <x:f>IFERROR(F2874/J2874,0)</x:f>
        <x:v>0.3333333333333333</x:v>
      </x:c>
      <x:c r="T2874" s="28" t="n">
        <x:f>H2874-I2874</x:f>
        <x:v>12</x:v>
      </x:c>
      <x:c r="U2874" s="24" t="n">
        <x:f>IFERROR(J2874/H2874,0)-IFERROR(K2874/I2874,0)</x:f>
        <x:v>0.17647058823529413</x:v>
      </x:c>
      <x:c r="V2874" s="24" t="n">
        <x:f>IFERROR(F2874/J2874,0)-IFERROR(G2874/K2874,0)</x:f>
        <x:v>0.3333333333333333</x:v>
      </x:c>
      <x:c r="W2874" s="28" t="n">
        <x:f>L2874-M2874</x:f>
        <x:v>6</x:v>
      </x:c>
      <x:c r="X2874" s="24" t="n">
        <x:f>IFERROR(K2874/I2874,0)</x:f>
        <x:v>0</x:v>
      </x:c>
      <x:c r="Y2874" s="24" t="n">
        <x:f>IFERROR(G2874/I2874,0)</x:f>
        <x:v>0</x:v>
      </x:c>
      <x:c r="Z2874" s="24" t="n">
        <x:f>IFERROR(G2874/K2874,0)</x:f>
        <x:v>0</x:v>
      </x:c>
      <x:c r="AA2874" s="24" t="n">
        <x:f>IFERROR(F2874/H2874,0)-IFERROR(G2874/I2874,0)</x:f>
        <x:v>0.058823529411764705</x:v>
      </x:c>
      <x:c r="AB2874" s="28" t="n">
        <x:f>J2874-K2874</x:f>
        <x:v>3</x:v>
      </x:c>
      <x:c r="AC2874" s="32" t="n">
        <x:f>F2874-G2874</x:f>
        <x:v>1</x:v>
      </x:c>
    </x:row>
    <x:row r="2875">
      <x:c r="A2875" s="4" t="str">
        <x:v>2024-25</x:v>
      </x:c>
      <x:c r="B2875" s="20" t="n">
        <x:v>45749</x:v>
      </x:c>
      <x:c r="C2875" s="4" t="str">
        <x:v>Man City</x:v>
      </x:c>
      <x:c r="D2875" s="4" t="str">
        <x:v>Leicester</x:v>
      </x:c>
      <x:c r="E2875" s="4" t="str">
        <x:v>Home</x:v>
      </x:c>
      <x:c r="F2875" s="28" t="n">
        <x:v>2</x:v>
      </x:c>
      <x:c r="G2875" s="28" t="n">
        <x:v>0</x:v>
      </x:c>
      <x:c r="H2875" s="28" t="n">
        <x:v>18</x:v>
      </x:c>
      <x:c r="I2875" s="28" t="n">
        <x:v>2</x:v>
      </x:c>
      <x:c r="J2875" s="28" t="n">
        <x:v>5</x:v>
      </x:c>
      <x:c r="K2875" s="28" t="n">
        <x:v>0</x:v>
      </x:c>
      <x:c r="L2875" s="28" t="n">
        <x:v>5</x:v>
      </x:c>
      <x:c r="M2875" s="28" t="n">
        <x:v>0</x:v>
      </x:c>
      <x:c r="N2875" s="28" t="n">
        <x:v>1</x:v>
      </x:c>
      <x:c r="O2875" s="28" t="n">
        <x:v>0</x:v>
      </x:c>
      <x:c r="P2875" s="28" t="n">
        <x:v>3</x:v>
      </x:c>
      <x:c r="Q2875" s="24" t="n">
        <x:f>IFERROR(J2875/H2875,0)</x:f>
        <x:v>0.2777777777777778</x:v>
      </x:c>
      <x:c r="R2875" s="24" t="n">
        <x:f>IFERROR(F2875/H2875,0)</x:f>
        <x:v>0.1111111111111111</x:v>
      </x:c>
      <x:c r="S2875" s="24" t="n">
        <x:f>IFERROR(F2875/J2875,0)</x:f>
        <x:v>0.4</x:v>
      </x:c>
      <x:c r="T2875" s="28" t="n">
        <x:f>H2875-I2875</x:f>
        <x:v>16</x:v>
      </x:c>
      <x:c r="U2875" s="24" t="n">
        <x:f>IFERROR(J2875/H2875,0)-IFERROR(K2875/I2875,0)</x:f>
        <x:v>0.2777777777777778</x:v>
      </x:c>
      <x:c r="V2875" s="24" t="n">
        <x:f>IFERROR(F2875/J2875,0)-IFERROR(G2875/K2875,0)</x:f>
        <x:v>0.4</x:v>
      </x:c>
      <x:c r="W2875" s="28" t="n">
        <x:f>L2875-M2875</x:f>
        <x:v>5</x:v>
      </x:c>
      <x:c r="X2875" s="24" t="n">
        <x:f>IFERROR(K2875/I2875,0)</x:f>
        <x:v>0</x:v>
      </x:c>
      <x:c r="Y2875" s="24" t="n">
        <x:f>IFERROR(G2875/I2875,0)</x:f>
        <x:v>0</x:v>
      </x:c>
      <x:c r="Z2875" s="24" t="n">
        <x:f>IFERROR(G2875/K2875,0)</x:f>
        <x:v>0</x:v>
      </x:c>
      <x:c r="AA2875" s="24" t="n">
        <x:f>IFERROR(F2875/H2875,0)-IFERROR(G2875/I2875,0)</x:f>
        <x:v>0.1111111111111111</x:v>
      </x:c>
      <x:c r="AB2875" s="28" t="n">
        <x:f>J2875-K2875</x:f>
        <x:v>5</x:v>
      </x:c>
      <x:c r="AC2875" s="32" t="n">
        <x:f>F2875-G2875</x:f>
        <x:v>2</x:v>
      </x:c>
    </x:row>
    <x:row r="2876">
      <x:c r="A2876" s="4" t="str">
        <x:v>2024-25</x:v>
      </x:c>
      <x:c r="B2876" s="20" t="n">
        <x:v>45749</x:v>
      </x:c>
      <x:c r="C2876" s="4" t="str">
        <x:v>Newcastle</x:v>
      </x:c>
      <x:c r="D2876" s="4" t="str">
        <x:v>Brentford</x:v>
      </x:c>
      <x:c r="E2876" s="4" t="str">
        <x:v>Home</x:v>
      </x:c>
      <x:c r="F2876" s="28" t="n">
        <x:v>2</x:v>
      </x:c>
      <x:c r="G2876" s="28" t="n">
        <x:v>1</x:v>
      </x:c>
      <x:c r="H2876" s="28" t="n">
        <x:v>21</x:v>
      </x:c>
      <x:c r="I2876" s="28" t="n">
        <x:v>12</x:v>
      </x:c>
      <x:c r="J2876" s="28" t="n">
        <x:v>4</x:v>
      </x:c>
      <x:c r="K2876" s="28" t="n">
        <x:v>3</x:v>
      </x:c>
      <x:c r="L2876" s="28" t="n">
        <x:v>4</x:v>
      </x:c>
      <x:c r="M2876" s="28" t="n">
        <x:v>5</x:v>
      </x:c>
      <x:c r="N2876" s="28" t="n">
        <x:v>1</x:v>
      </x:c>
      <x:c r="O2876" s="28" t="n">
        <x:v>0</x:v>
      </x:c>
      <x:c r="P2876" s="28" t="n">
        <x:v>3</x:v>
      </x:c>
      <x:c r="Q2876" s="24" t="n">
        <x:f>IFERROR(J2876/H2876,0)</x:f>
        <x:v>0.19047619047619047</x:v>
      </x:c>
      <x:c r="R2876" s="24" t="n">
        <x:f>IFERROR(F2876/H2876,0)</x:f>
        <x:v>0.09523809523809523</x:v>
      </x:c>
      <x:c r="S2876" s="24" t="n">
        <x:f>IFERROR(F2876/J2876,0)</x:f>
        <x:v>0.5</x:v>
      </x:c>
      <x:c r="T2876" s="28" t="n">
        <x:f>H2876-I2876</x:f>
        <x:v>9</x:v>
      </x:c>
      <x:c r="U2876" s="24" t="n">
        <x:f>IFERROR(J2876/H2876,0)-IFERROR(K2876/I2876,0)</x:f>
        <x:v>-0.059523809523809534</x:v>
      </x:c>
      <x:c r="V2876" s="24" t="n">
        <x:f>IFERROR(F2876/J2876,0)-IFERROR(G2876/K2876,0)</x:f>
        <x:v>0.16666666666666669</x:v>
      </x:c>
      <x:c r="W2876" s="28" t="n">
        <x:f>L2876-M2876</x:f>
        <x:v>-1</x:v>
      </x:c>
      <x:c r="X2876" s="24" t="n">
        <x:f>IFERROR(K2876/I2876,0)</x:f>
        <x:v>0.25</x:v>
      </x:c>
      <x:c r="Y2876" s="24" t="n">
        <x:f>IFERROR(G2876/I2876,0)</x:f>
        <x:v>0.08333333333333333</x:v>
      </x:c>
      <x:c r="Z2876" s="24" t="n">
        <x:f>IFERROR(G2876/K2876,0)</x:f>
        <x:v>0.3333333333333333</x:v>
      </x:c>
      <x:c r="AA2876" s="24" t="n">
        <x:f>IFERROR(F2876/H2876,0)-IFERROR(G2876/I2876,0)</x:f>
        <x:v>0.011904761904761904</x:v>
      </x:c>
      <x:c r="AB2876" s="28" t="n">
        <x:f>J2876-K2876</x:f>
        <x:v>1</x:v>
      </x:c>
      <x:c r="AC2876" s="32" t="n">
        <x:f>F2876-G2876</x:f>
        <x:v>1</x:v>
      </x:c>
    </x:row>
    <x:row r="2877">
      <x:c r="A2877" s="4" t="str">
        <x:v>2024-25</x:v>
      </x:c>
      <x:c r="B2877" s="20" t="n">
        <x:v>45749</x:v>
      </x:c>
      <x:c r="C2877" s="4" t="str">
        <x:v>Southampton</x:v>
      </x:c>
      <x:c r="D2877" s="4" t="str">
        <x:v>Crystal Palace</x:v>
      </x:c>
      <x:c r="E2877" s="4" t="str">
        <x:v>Home</x:v>
      </x:c>
      <x:c r="F2877" s="28" t="n">
        <x:v>1</x:v>
      </x:c>
      <x:c r="G2877" s="28" t="n">
        <x:v>1</x:v>
      </x:c>
      <x:c r="H2877" s="28" t="n">
        <x:v>8</x:v>
      </x:c>
      <x:c r="I2877" s="28" t="n">
        <x:v>9</x:v>
      </x:c>
      <x:c r="J2877" s="28" t="n">
        <x:v>2</x:v>
      </x:c>
      <x:c r="K2877" s="28" t="n">
        <x:v>3</x:v>
      </x:c>
      <x:c r="L2877" s="28" t="n">
        <x:v>2</x:v>
      </x:c>
      <x:c r="M2877" s="28" t="n">
        <x:v>2</x:v>
      </x:c>
      <x:c r="N2877" s="28" t="n">
        <x:v>2</x:v>
      </x:c>
      <x:c r="O2877" s="28" t="n">
        <x:v>0</x:v>
      </x:c>
      <x:c r="P2877" s="28" t="n">
        <x:v>1</x:v>
      </x:c>
      <x:c r="Q2877" s="24" t="n">
        <x:f>IFERROR(J2877/H2877,0)</x:f>
        <x:v>0.25</x:v>
      </x:c>
      <x:c r="R2877" s="24" t="n">
        <x:f>IFERROR(F2877/H2877,0)</x:f>
        <x:v>0.125</x:v>
      </x:c>
      <x:c r="S2877" s="24" t="n">
        <x:f>IFERROR(F2877/J2877,0)</x:f>
        <x:v>0.5</x:v>
      </x:c>
      <x:c r="T2877" s="28" t="n">
        <x:f>H2877-I2877</x:f>
        <x:v>-1</x:v>
      </x:c>
      <x:c r="U2877" s="24" t="n">
        <x:f>IFERROR(J2877/H2877,0)-IFERROR(K2877/I2877,0)</x:f>
        <x:v>-0.08333333333333331</x:v>
      </x:c>
      <x:c r="V2877" s="24" t="n">
        <x:f>IFERROR(F2877/J2877,0)-IFERROR(G2877/K2877,0)</x:f>
        <x:v>0.16666666666666669</x:v>
      </x:c>
      <x:c r="W2877" s="28" t="n">
        <x:f>L2877-M2877</x:f>
        <x:v>0</x:v>
      </x:c>
      <x:c r="X2877" s="24" t="n">
        <x:f>IFERROR(K2877/I2877,0)</x:f>
        <x:v>0.3333333333333333</x:v>
      </x:c>
      <x:c r="Y2877" s="24" t="n">
        <x:f>IFERROR(G2877/I2877,0)</x:f>
        <x:v>0.1111111111111111</x:v>
      </x:c>
      <x:c r="Z2877" s="24" t="n">
        <x:f>IFERROR(G2877/K2877,0)</x:f>
        <x:v>0.3333333333333333</x:v>
      </x:c>
      <x:c r="AA2877" s="24" t="n">
        <x:f>IFERROR(F2877/H2877,0)-IFERROR(G2877/I2877,0)</x:f>
        <x:v>0.013888888888888895</x:v>
      </x:c>
      <x:c r="AB2877" s="28" t="n">
        <x:f>J2877-K2877</x:f>
        <x:v>-1</x:v>
      </x:c>
      <x:c r="AC2877" s="32" t="n">
        <x:f>F2877-G2877</x:f>
        <x:v>0</x:v>
      </x:c>
    </x:row>
    <x:row r="2878">
      <x:c r="A2878" s="4" t="str">
        <x:v>2024-25</x:v>
      </x:c>
      <x:c r="B2878" s="20" t="n">
        <x:v>45750</x:v>
      </x:c>
      <x:c r="C2878" s="4" t="str">
        <x:v>Chelsea</x:v>
      </x:c>
      <x:c r="D2878" s="4" t="str">
        <x:v>Tottenham</x:v>
      </x:c>
      <x:c r="E2878" s="4" t="str">
        <x:v>Home</x:v>
      </x:c>
      <x:c r="F2878" s="28" t="n">
        <x:v>1</x:v>
      </x:c>
      <x:c r="G2878" s="28" t="n">
        <x:v>0</x:v>
      </x:c>
      <x:c r="H2878" s="28" t="n">
        <x:v>11</x:v>
      </x:c>
      <x:c r="I2878" s="28" t="n">
        <x:v>8</x:v>
      </x:c>
      <x:c r="J2878" s="28" t="n">
        <x:v>5</x:v>
      </x:c>
      <x:c r="K2878" s="28" t="n">
        <x:v>2</x:v>
      </x:c>
      <x:c r="L2878" s="28" t="n">
        <x:v>4</x:v>
      </x:c>
      <x:c r="M2878" s="28" t="n">
        <x:v>6</x:v>
      </x:c>
      <x:c r="N2878" s="28" t="n">
        <x:v>5</x:v>
      </x:c>
      <x:c r="O2878" s="28" t="n">
        <x:v>0</x:v>
      </x:c>
      <x:c r="P2878" s="28" t="n">
        <x:v>3</x:v>
      </x:c>
      <x:c r="Q2878" s="24" t="n">
        <x:f>IFERROR(J2878/H2878,0)</x:f>
        <x:v>0.45454545454545453</x:v>
      </x:c>
      <x:c r="R2878" s="24" t="n">
        <x:f>IFERROR(F2878/H2878,0)</x:f>
        <x:v>0.09090909090909091</x:v>
      </x:c>
      <x:c r="S2878" s="24" t="n">
        <x:f>IFERROR(F2878/J2878,0)</x:f>
        <x:v>0.2</x:v>
      </x:c>
      <x:c r="T2878" s="28" t="n">
        <x:f>H2878-I2878</x:f>
        <x:v>3</x:v>
      </x:c>
      <x:c r="U2878" s="24" t="n">
        <x:f>IFERROR(J2878/H2878,0)-IFERROR(K2878/I2878,0)</x:f>
        <x:v>0.20454545454545453</x:v>
      </x:c>
      <x:c r="V2878" s="24" t="n">
        <x:f>IFERROR(F2878/J2878,0)-IFERROR(G2878/K2878,0)</x:f>
        <x:v>0.2</x:v>
      </x:c>
      <x:c r="W2878" s="28" t="n">
        <x:f>L2878-M2878</x:f>
        <x:v>-2</x:v>
      </x:c>
      <x:c r="X2878" s="24" t="n">
        <x:f>IFERROR(K2878/I2878,0)</x:f>
        <x:v>0.25</x:v>
      </x:c>
      <x:c r="Y2878" s="24" t="n">
        <x:f>IFERROR(G2878/I2878,0)</x:f>
        <x:v>0</x:v>
      </x:c>
      <x:c r="Z2878" s="24" t="n">
        <x:f>IFERROR(G2878/K2878,0)</x:f>
        <x:v>0</x:v>
      </x:c>
      <x:c r="AA2878" s="24" t="n">
        <x:f>IFERROR(F2878/H2878,0)-IFERROR(G2878/I2878,0)</x:f>
        <x:v>0.09090909090909091</x:v>
      </x:c>
      <x:c r="AB2878" s="28" t="n">
        <x:f>J2878-K2878</x:f>
        <x:v>3</x:v>
      </x:c>
      <x:c r="AC2878" s="32" t="n">
        <x:f>F2878-G2878</x:f>
        <x:v>1</x:v>
      </x:c>
    </x:row>
    <x:row r="2879">
      <x:c r="A2879" s="4" t="str">
        <x:v>2024-25</x:v>
      </x:c>
      <x:c r="B2879" s="20" t="n">
        <x:v>45750</x:v>
      </x:c>
      <x:c r="C2879" s="4" t="str">
        <x:v>Tottenham</x:v>
      </x:c>
      <x:c r="D2879" s="4" t="str">
        <x:v>Chelsea</x:v>
      </x:c>
      <x:c r="E2879" s="4" t="str">
        <x:v>Away</x:v>
      </x:c>
      <x:c r="F2879" s="28" t="n">
        <x:v>0</x:v>
      </x:c>
      <x:c r="G2879" s="28" t="n">
        <x:v>1</x:v>
      </x:c>
      <x:c r="H2879" s="28" t="n">
        <x:v>8</x:v>
      </x:c>
      <x:c r="I2879" s="28" t="n">
        <x:v>11</x:v>
      </x:c>
      <x:c r="J2879" s="28" t="n">
        <x:v>2</x:v>
      </x:c>
      <x:c r="K2879" s="28" t="n">
        <x:v>5</x:v>
      </x:c>
      <x:c r="L2879" s="28" t="n">
        <x:v>6</x:v>
      </x:c>
      <x:c r="M2879" s="28" t="n">
        <x:v>4</x:v>
      </x:c>
      <x:c r="N2879" s="28" t="n">
        <x:v>5</x:v>
      </x:c>
      <x:c r="O2879" s="28" t="n">
        <x:v>0</x:v>
      </x:c>
      <x:c r="P2879" s="28" t="n">
        <x:v>0</x:v>
      </x:c>
      <x:c r="Q2879" s="24" t="n">
        <x:f>IFERROR(J2879/H2879,0)</x:f>
        <x:v>0.25</x:v>
      </x:c>
      <x:c r="R2879" s="24" t="n">
        <x:f>IFERROR(F2879/H2879,0)</x:f>
        <x:v>0</x:v>
      </x:c>
      <x:c r="S2879" s="24" t="n">
        <x:f>IFERROR(F2879/J2879,0)</x:f>
        <x:v>0</x:v>
      </x:c>
      <x:c r="T2879" s="28" t="n">
        <x:f>H2879-I2879</x:f>
        <x:v>-3</x:v>
      </x:c>
      <x:c r="U2879" s="24" t="n">
        <x:f>IFERROR(J2879/H2879,0)-IFERROR(K2879/I2879,0)</x:f>
        <x:v>-0.20454545454545453</x:v>
      </x:c>
      <x:c r="V2879" s="24" t="n">
        <x:f>IFERROR(F2879/J2879,0)-IFERROR(G2879/K2879,0)</x:f>
        <x:v>-0.2</x:v>
      </x:c>
      <x:c r="W2879" s="28" t="n">
        <x:f>L2879-M2879</x:f>
        <x:v>2</x:v>
      </x:c>
      <x:c r="X2879" s="24" t="n">
        <x:f>IFERROR(K2879/I2879,0)</x:f>
        <x:v>0.45454545454545453</x:v>
      </x:c>
      <x:c r="Y2879" s="24" t="n">
        <x:f>IFERROR(G2879/I2879,0)</x:f>
        <x:v>0.09090909090909091</x:v>
      </x:c>
      <x:c r="Z2879" s="24" t="n">
        <x:f>IFERROR(G2879/K2879,0)</x:f>
        <x:v>0.2</x:v>
      </x:c>
      <x:c r="AA2879" s="24" t="n">
        <x:f>IFERROR(F2879/H2879,0)-IFERROR(G2879/I2879,0)</x:f>
        <x:v>-0.09090909090909091</x:v>
      </x:c>
      <x:c r="AB2879" s="28" t="n">
        <x:f>J2879-K2879</x:f>
        <x:v>-3</x:v>
      </x:c>
      <x:c r="AC2879" s="32" t="n">
        <x:f>F2879-G2879</x:f>
        <x:v>-1</x:v>
      </x:c>
    </x:row>
    <x:row r="2880">
      <x:c r="A2880" s="4" t="str">
        <x:v>2024-25</x:v>
      </x:c>
      <x:c r="B2880" s="20" t="n">
        <x:v>45752</x:v>
      </x:c>
      <x:c r="C2880" s="4" t="str">
        <x:v>Arsenal</x:v>
      </x:c>
      <x:c r="D2880" s="4" t="str">
        <x:v>Everton</x:v>
      </x:c>
      <x:c r="E2880" s="4" t="str">
        <x:v>Away</x:v>
      </x:c>
      <x:c r="F2880" s="28" t="n">
        <x:v>1</x:v>
      </x:c>
      <x:c r="G2880" s="28" t="n">
        <x:v>1</x:v>
      </x:c>
      <x:c r="H2880" s="28" t="n">
        <x:v>14</x:v>
      </x:c>
      <x:c r="I2880" s="28" t="n">
        <x:v>5</x:v>
      </x:c>
      <x:c r="J2880" s="28" t="n">
        <x:v>5</x:v>
      </x:c>
      <x:c r="K2880" s="28" t="n">
        <x:v>2</x:v>
      </x:c>
      <x:c r="L2880" s="28" t="n">
        <x:v>8</x:v>
      </x:c>
      <x:c r="M2880" s="28" t="n">
        <x:v>3</x:v>
      </x:c>
      <x:c r="N2880" s="28" t="n">
        <x:v>1</x:v>
      </x:c>
      <x:c r="O2880" s="28" t="n">
        <x:v>0</x:v>
      </x:c>
      <x:c r="P2880" s="28" t="n">
        <x:v>1</x:v>
      </x:c>
      <x:c r="Q2880" s="24" t="n">
        <x:f>IFERROR(J2880/H2880,0)</x:f>
        <x:v>0.35714285714285715</x:v>
      </x:c>
      <x:c r="R2880" s="24" t="n">
        <x:f>IFERROR(F2880/H2880,0)</x:f>
        <x:v>0.07142857142857142</x:v>
      </x:c>
      <x:c r="S2880" s="24" t="n">
        <x:f>IFERROR(F2880/J2880,0)</x:f>
        <x:v>0.2</x:v>
      </x:c>
      <x:c r="T2880" s="28" t="n">
        <x:f>H2880-I2880</x:f>
        <x:v>9</x:v>
      </x:c>
      <x:c r="U2880" s="24" t="n">
        <x:f>IFERROR(J2880/H2880,0)-IFERROR(K2880/I2880,0)</x:f>
        <x:v>-0.04285714285714287</x:v>
      </x:c>
      <x:c r="V2880" s="24" t="n">
        <x:f>IFERROR(F2880/J2880,0)-IFERROR(G2880/K2880,0)</x:f>
        <x:v>-0.3</x:v>
      </x:c>
      <x:c r="W2880" s="28" t="n">
        <x:f>L2880-M2880</x:f>
        <x:v>5</x:v>
      </x:c>
      <x:c r="X2880" s="24" t="n">
        <x:f>IFERROR(K2880/I2880,0)</x:f>
        <x:v>0.4</x:v>
      </x:c>
      <x:c r="Y2880" s="24" t="n">
        <x:f>IFERROR(G2880/I2880,0)</x:f>
        <x:v>0.2</x:v>
      </x:c>
      <x:c r="Z2880" s="24" t="n">
        <x:f>IFERROR(G2880/K2880,0)</x:f>
        <x:v>0.5</x:v>
      </x:c>
      <x:c r="AA2880" s="24" t="n">
        <x:f>IFERROR(F2880/H2880,0)-IFERROR(G2880/I2880,0)</x:f>
        <x:v>-0.1285714285714286</x:v>
      </x:c>
      <x:c r="AB2880" s="28" t="n">
        <x:f>J2880-K2880</x:f>
        <x:v>3</x:v>
      </x:c>
      <x:c r="AC2880" s="32" t="n">
        <x:f>F2880-G2880</x:f>
        <x:v>0</x:v>
      </x:c>
    </x:row>
    <x:row r="2881">
      <x:c r="A2881" s="4" t="str">
        <x:v>2024-25</x:v>
      </x:c>
      <x:c r="B2881" s="20" t="n">
        <x:v>45752</x:v>
      </x:c>
      <x:c r="C2881" s="4" t="str">
        <x:v>Aston Villa</x:v>
      </x:c>
      <x:c r="D2881" s="4" t="str">
        <x:v>Nott'm Forest</x:v>
      </x:c>
      <x:c r="E2881" s="4" t="str">
        <x:v>Home</x:v>
      </x:c>
      <x:c r="F2881" s="28" t="n">
        <x:v>2</x:v>
      </x:c>
      <x:c r="G2881" s="28" t="n">
        <x:v>1</x:v>
      </x:c>
      <x:c r="H2881" s="28" t="n">
        <x:v>17</x:v>
      </x:c>
      <x:c r="I2881" s="28" t="n">
        <x:v>19</x:v>
      </x:c>
      <x:c r="J2881" s="28" t="n">
        <x:v>8</x:v>
      </x:c>
      <x:c r="K2881" s="28" t="n">
        <x:v>3</x:v>
      </x:c>
      <x:c r="L2881" s="28" t="n">
        <x:v>4</x:v>
      </x:c>
      <x:c r="M2881" s="28" t="n">
        <x:v>4</x:v>
      </x:c>
      <x:c r="N2881" s="28" t="n">
        <x:v>2</x:v>
      </x:c>
      <x:c r="O2881" s="28" t="n">
        <x:v>0</x:v>
      </x:c>
      <x:c r="P2881" s="28" t="n">
        <x:v>3</x:v>
      </x:c>
      <x:c r="Q2881" s="24" t="n">
        <x:f>IFERROR(J2881/H2881,0)</x:f>
        <x:v>0.47058823529411764</x:v>
      </x:c>
      <x:c r="R2881" s="24" t="n">
        <x:f>IFERROR(F2881/H2881,0)</x:f>
        <x:v>0.11764705882352941</x:v>
      </x:c>
      <x:c r="S2881" s="24" t="n">
        <x:f>IFERROR(F2881/J2881,0)</x:f>
        <x:v>0.25</x:v>
      </x:c>
      <x:c r="T2881" s="28" t="n">
        <x:f>H2881-I2881</x:f>
        <x:v>-2</x:v>
      </x:c>
      <x:c r="U2881" s="24" t="n">
        <x:f>IFERROR(J2881/H2881,0)-IFERROR(K2881/I2881,0)</x:f>
        <x:v>0.3126934984520124</x:v>
      </x:c>
      <x:c r="V2881" s="24" t="n">
        <x:f>IFERROR(F2881/J2881,0)-IFERROR(G2881/K2881,0)</x:f>
        <x:v>-0.08333333333333331</x:v>
      </x:c>
      <x:c r="W2881" s="28" t="n">
        <x:f>L2881-M2881</x:f>
        <x:v>0</x:v>
      </x:c>
      <x:c r="X2881" s="24" t="n">
        <x:f>IFERROR(K2881/I2881,0)</x:f>
        <x:v>0.15789473684210525</x:v>
      </x:c>
      <x:c r="Y2881" s="24" t="n">
        <x:f>IFERROR(G2881/I2881,0)</x:f>
        <x:v>0.05263157894736842</x:v>
      </x:c>
      <x:c r="Z2881" s="24" t="n">
        <x:f>IFERROR(G2881/K2881,0)</x:f>
        <x:v>0.3333333333333333</x:v>
      </x:c>
      <x:c r="AA2881" s="24" t="n">
        <x:f>IFERROR(F2881/H2881,0)-IFERROR(G2881/I2881,0)</x:f>
        <x:v>0.06501547987616099</x:v>
      </x:c>
      <x:c r="AB2881" s="28" t="n">
        <x:f>J2881-K2881</x:f>
        <x:v>5</x:v>
      </x:c>
      <x:c r="AC2881" s="32" t="n">
        <x:f>F2881-G2881</x:f>
        <x:v>1</x:v>
      </x:c>
    </x:row>
    <x:row r="2882">
      <x:c r="A2882" s="4" t="str">
        <x:v>2024-25</x:v>
      </x:c>
      <x:c r="B2882" s="20" t="n">
        <x:v>45752</x:v>
      </x:c>
      <x:c r="C2882" s="4" t="str">
        <x:v>Bournemouth</x:v>
      </x:c>
      <x:c r="D2882" s="4" t="str">
        <x:v>West Ham</x:v>
      </x:c>
      <x:c r="E2882" s="4" t="str">
        <x:v>Away</x:v>
      </x:c>
      <x:c r="F2882" s="28" t="n">
        <x:v>2</x:v>
      </x:c>
      <x:c r="G2882" s="28" t="n">
        <x:v>2</x:v>
      </x:c>
      <x:c r="H2882" s="28" t="n">
        <x:v>11</x:v>
      </x:c>
      <x:c r="I2882" s="28" t="n">
        <x:v>9</x:v>
      </x:c>
      <x:c r="J2882" s="28" t="n">
        <x:v>4</x:v>
      </x:c>
      <x:c r="K2882" s="28" t="n">
        <x:v>3</x:v>
      </x:c>
      <x:c r="L2882" s="28" t="n">
        <x:v>7</x:v>
      </x:c>
      <x:c r="M2882" s="28" t="n">
        <x:v>4</x:v>
      </x:c>
      <x:c r="N2882" s="28" t="n">
        <x:v>2</x:v>
      </x:c>
      <x:c r="O2882" s="28" t="n">
        <x:v>0</x:v>
      </x:c>
      <x:c r="P2882" s="28" t="n">
        <x:v>1</x:v>
      </x:c>
      <x:c r="Q2882" s="24" t="n">
        <x:f>IFERROR(J2882/H2882,0)</x:f>
        <x:v>0.36363636363636365</x:v>
      </x:c>
      <x:c r="R2882" s="24" t="n">
        <x:f>IFERROR(F2882/H2882,0)</x:f>
        <x:v>0.18181818181818182</x:v>
      </x:c>
      <x:c r="S2882" s="24" t="n">
        <x:f>IFERROR(F2882/J2882,0)</x:f>
        <x:v>0.5</x:v>
      </x:c>
      <x:c r="T2882" s="28" t="n">
        <x:f>H2882-I2882</x:f>
        <x:v>2</x:v>
      </x:c>
      <x:c r="U2882" s="24" t="n">
        <x:f>IFERROR(J2882/H2882,0)-IFERROR(K2882/I2882,0)</x:f>
        <x:v>0.03030303030303033</x:v>
      </x:c>
      <x:c r="V2882" s="24" t="n">
        <x:f>IFERROR(F2882/J2882,0)-IFERROR(G2882/K2882,0)</x:f>
        <x:v>-0.16666666666666663</x:v>
      </x:c>
      <x:c r="W2882" s="28" t="n">
        <x:f>L2882-M2882</x:f>
        <x:v>3</x:v>
      </x:c>
      <x:c r="X2882" s="24" t="n">
        <x:f>IFERROR(K2882/I2882,0)</x:f>
        <x:v>0.3333333333333333</x:v>
      </x:c>
      <x:c r="Y2882" s="24" t="n">
        <x:f>IFERROR(G2882/I2882,0)</x:f>
        <x:v>0.2222222222222222</x:v>
      </x:c>
      <x:c r="Z2882" s="24" t="n">
        <x:f>IFERROR(G2882/K2882,0)</x:f>
        <x:v>0.6666666666666666</x:v>
      </x:c>
      <x:c r="AA2882" s="24" t="n">
        <x:f>IFERROR(F2882/H2882,0)-IFERROR(G2882/I2882,0)</x:f>
        <x:v>-0.04040404040404039</x:v>
      </x:c>
      <x:c r="AB2882" s="28" t="n">
        <x:f>J2882-K2882</x:f>
        <x:v>1</x:v>
      </x:c>
      <x:c r="AC2882" s="32" t="n">
        <x:f>F2882-G2882</x:f>
        <x:v>0</x:v>
      </x:c>
    </x:row>
    <x:row r="2883">
      <x:c r="A2883" s="4" t="str">
        <x:v>2024-25</x:v>
      </x:c>
      <x:c r="B2883" s="20" t="n">
        <x:v>45752</x:v>
      </x:c>
      <x:c r="C2883" s="4" t="str">
        <x:v>Brighton</x:v>
      </x:c>
      <x:c r="D2883" s="4" t="str">
        <x:v>Crystal Palace</x:v>
      </x:c>
      <x:c r="E2883" s="4" t="str">
        <x:v>Away</x:v>
      </x:c>
      <x:c r="F2883" s="28" t="n">
        <x:v>1</x:v>
      </x:c>
      <x:c r="G2883" s="28" t="n">
        <x:v>2</x:v>
      </x:c>
      <x:c r="H2883" s="28" t="n">
        <x:v>11</x:v>
      </x:c>
      <x:c r="I2883" s="28" t="n">
        <x:v>8</x:v>
      </x:c>
      <x:c r="J2883" s="28" t="n">
        <x:v>5</x:v>
      </x:c>
      <x:c r="K2883" s="28" t="n">
        <x:v>3</x:v>
      </x:c>
      <x:c r="L2883" s="28" t="n">
        <x:v>4</x:v>
      </x:c>
      <x:c r="M2883" s="28" t="n">
        <x:v>2</x:v>
      </x:c>
      <x:c r="N2883" s="28" t="n">
        <x:v>1</x:v>
      </x:c>
      <x:c r="O2883" s="28" t="n">
        <x:v>1</x:v>
      </x:c>
      <x:c r="P2883" s="28" t="n">
        <x:v>0</x:v>
      </x:c>
      <x:c r="Q2883" s="24" t="n">
        <x:f>IFERROR(J2883/H2883,0)</x:f>
        <x:v>0.45454545454545453</x:v>
      </x:c>
      <x:c r="R2883" s="24" t="n">
        <x:f>IFERROR(F2883/H2883,0)</x:f>
        <x:v>0.09090909090909091</x:v>
      </x:c>
      <x:c r="S2883" s="24" t="n">
        <x:f>IFERROR(F2883/J2883,0)</x:f>
        <x:v>0.2</x:v>
      </x:c>
      <x:c r="T2883" s="28" t="n">
        <x:f>H2883-I2883</x:f>
        <x:v>3</x:v>
      </x:c>
      <x:c r="U2883" s="24" t="n">
        <x:f>IFERROR(J2883/H2883,0)-IFERROR(K2883/I2883,0)</x:f>
        <x:v>0.07954545454545453</x:v>
      </x:c>
      <x:c r="V2883" s="24" t="n">
        <x:f>IFERROR(F2883/J2883,0)-IFERROR(G2883/K2883,0)</x:f>
        <x:v>-0.4666666666666666</x:v>
      </x:c>
      <x:c r="W2883" s="28" t="n">
        <x:f>L2883-M2883</x:f>
        <x:v>2</x:v>
      </x:c>
      <x:c r="X2883" s="24" t="n">
        <x:f>IFERROR(K2883/I2883,0)</x:f>
        <x:v>0.375</x:v>
      </x:c>
      <x:c r="Y2883" s="24" t="n">
        <x:f>IFERROR(G2883/I2883,0)</x:f>
        <x:v>0.25</x:v>
      </x:c>
      <x:c r="Z2883" s="24" t="n">
        <x:f>IFERROR(G2883/K2883,0)</x:f>
        <x:v>0.6666666666666666</x:v>
      </x:c>
      <x:c r="AA2883" s="24" t="n">
        <x:f>IFERROR(F2883/H2883,0)-IFERROR(G2883/I2883,0)</x:f>
        <x:v>-0.1590909090909091</x:v>
      </x:c>
      <x:c r="AB2883" s="28" t="n">
        <x:f>J2883-K2883</x:f>
        <x:v>2</x:v>
      </x:c>
      <x:c r="AC2883" s="32" t="n">
        <x:f>F2883-G2883</x:f>
        <x:v>-1</x:v>
      </x:c>
    </x:row>
    <x:row r="2884">
      <x:c r="A2884" s="4" t="str">
        <x:v>2024-25</x:v>
      </x:c>
      <x:c r="B2884" s="20" t="n">
        <x:v>45752</x:v>
      </x:c>
      <x:c r="C2884" s="4" t="str">
        <x:v>Crystal Palace</x:v>
      </x:c>
      <x:c r="D2884" s="4" t="str">
        <x:v>Brighton</x:v>
      </x:c>
      <x:c r="E2884" s="4" t="str">
        <x:v>Home</x:v>
      </x:c>
      <x:c r="F2884" s="28" t="n">
        <x:v>2</x:v>
      </x:c>
      <x:c r="G2884" s="28" t="n">
        <x:v>1</x:v>
      </x:c>
      <x:c r="H2884" s="28" t="n">
        <x:v>8</x:v>
      </x:c>
      <x:c r="I2884" s="28" t="n">
        <x:v>11</x:v>
      </x:c>
      <x:c r="J2884" s="28" t="n">
        <x:v>3</x:v>
      </x:c>
      <x:c r="K2884" s="28" t="n">
        <x:v>5</x:v>
      </x:c>
      <x:c r="L2884" s="28" t="n">
        <x:v>2</x:v>
      </x:c>
      <x:c r="M2884" s="28" t="n">
        <x:v>4</x:v>
      </x:c>
      <x:c r="N2884" s="28" t="n">
        <x:v>0</x:v>
      </x:c>
      <x:c r="O2884" s="28" t="n">
        <x:v>2</x:v>
      </x:c>
      <x:c r="P2884" s="28" t="n">
        <x:v>3</x:v>
      </x:c>
      <x:c r="Q2884" s="24" t="n">
        <x:f>IFERROR(J2884/H2884,0)</x:f>
        <x:v>0.375</x:v>
      </x:c>
      <x:c r="R2884" s="24" t="n">
        <x:f>IFERROR(F2884/H2884,0)</x:f>
        <x:v>0.25</x:v>
      </x:c>
      <x:c r="S2884" s="24" t="n">
        <x:f>IFERROR(F2884/J2884,0)</x:f>
        <x:v>0.6666666666666666</x:v>
      </x:c>
      <x:c r="T2884" s="28" t="n">
        <x:f>H2884-I2884</x:f>
        <x:v>-3</x:v>
      </x:c>
      <x:c r="U2884" s="24" t="n">
        <x:f>IFERROR(J2884/H2884,0)-IFERROR(K2884/I2884,0)</x:f>
        <x:v>-0.07954545454545453</x:v>
      </x:c>
      <x:c r="V2884" s="24" t="n">
        <x:f>IFERROR(F2884/J2884,0)-IFERROR(G2884/K2884,0)</x:f>
        <x:v>0.4666666666666666</x:v>
      </x:c>
      <x:c r="W2884" s="28" t="n">
        <x:f>L2884-M2884</x:f>
        <x:v>-2</x:v>
      </x:c>
      <x:c r="X2884" s="24" t="n">
        <x:f>IFERROR(K2884/I2884,0)</x:f>
        <x:v>0.45454545454545453</x:v>
      </x:c>
      <x:c r="Y2884" s="24" t="n">
        <x:f>IFERROR(G2884/I2884,0)</x:f>
        <x:v>0.09090909090909091</x:v>
      </x:c>
      <x:c r="Z2884" s="24" t="n">
        <x:f>IFERROR(G2884/K2884,0)</x:f>
        <x:v>0.2</x:v>
      </x:c>
      <x:c r="AA2884" s="24" t="n">
        <x:f>IFERROR(F2884/H2884,0)-IFERROR(G2884/I2884,0)</x:f>
        <x:v>0.1590909090909091</x:v>
      </x:c>
      <x:c r="AB2884" s="28" t="n">
        <x:f>J2884-K2884</x:f>
        <x:v>-2</x:v>
      </x:c>
      <x:c r="AC2884" s="32" t="n">
        <x:f>F2884-G2884</x:f>
        <x:v>1</x:v>
      </x:c>
    </x:row>
    <x:row r="2885">
      <x:c r="A2885" s="4" t="str">
        <x:v>2024-25</x:v>
      </x:c>
      <x:c r="B2885" s="20" t="n">
        <x:v>45752</x:v>
      </x:c>
      <x:c r="C2885" s="4" t="str">
        <x:v>Everton</x:v>
      </x:c>
      <x:c r="D2885" s="4" t="str">
        <x:v>Arsenal</x:v>
      </x:c>
      <x:c r="E2885" s="4" t="str">
        <x:v>Home</x:v>
      </x:c>
      <x:c r="F2885" s="28" t="n">
        <x:v>1</x:v>
      </x:c>
      <x:c r="G2885" s="28" t="n">
        <x:v>1</x:v>
      </x:c>
      <x:c r="H2885" s="28" t="n">
        <x:v>5</x:v>
      </x:c>
      <x:c r="I2885" s="28" t="n">
        <x:v>14</x:v>
      </x:c>
      <x:c r="J2885" s="28" t="n">
        <x:v>2</x:v>
      </x:c>
      <x:c r="K2885" s="28" t="n">
        <x:v>5</x:v>
      </x:c>
      <x:c r="L2885" s="28" t="n">
        <x:v>3</x:v>
      </x:c>
      <x:c r="M2885" s="28" t="n">
        <x:v>8</x:v>
      </x:c>
      <x:c r="N2885" s="28" t="n">
        <x:v>3</x:v>
      </x:c>
      <x:c r="O2885" s="28" t="n">
        <x:v>0</x:v>
      </x:c>
      <x:c r="P2885" s="28" t="n">
        <x:v>1</x:v>
      </x:c>
      <x:c r="Q2885" s="24" t="n">
        <x:f>IFERROR(J2885/H2885,0)</x:f>
        <x:v>0.4</x:v>
      </x:c>
      <x:c r="R2885" s="24" t="n">
        <x:f>IFERROR(F2885/H2885,0)</x:f>
        <x:v>0.2</x:v>
      </x:c>
      <x:c r="S2885" s="24" t="n">
        <x:f>IFERROR(F2885/J2885,0)</x:f>
        <x:v>0.5</x:v>
      </x:c>
      <x:c r="T2885" s="28" t="n">
        <x:f>H2885-I2885</x:f>
        <x:v>-9</x:v>
      </x:c>
      <x:c r="U2885" s="24" t="n">
        <x:f>IFERROR(J2885/H2885,0)-IFERROR(K2885/I2885,0)</x:f>
        <x:v>0.04285714285714287</x:v>
      </x:c>
      <x:c r="V2885" s="24" t="n">
        <x:f>IFERROR(F2885/J2885,0)-IFERROR(G2885/K2885,0)</x:f>
        <x:v>0.3</x:v>
      </x:c>
      <x:c r="W2885" s="28" t="n">
        <x:f>L2885-M2885</x:f>
        <x:v>-5</x:v>
      </x:c>
      <x:c r="X2885" s="24" t="n">
        <x:f>IFERROR(K2885/I2885,0)</x:f>
        <x:v>0.35714285714285715</x:v>
      </x:c>
      <x:c r="Y2885" s="24" t="n">
        <x:f>IFERROR(G2885/I2885,0)</x:f>
        <x:v>0.07142857142857142</x:v>
      </x:c>
      <x:c r="Z2885" s="24" t="n">
        <x:f>IFERROR(G2885/K2885,0)</x:f>
        <x:v>0.2</x:v>
      </x:c>
      <x:c r="AA2885" s="24" t="n">
        <x:f>IFERROR(F2885/H2885,0)-IFERROR(G2885/I2885,0)</x:f>
        <x:v>0.1285714285714286</x:v>
      </x:c>
      <x:c r="AB2885" s="28" t="n">
        <x:f>J2885-K2885</x:f>
        <x:v>-3</x:v>
      </x:c>
      <x:c r="AC2885" s="32" t="n">
        <x:f>F2885-G2885</x:f>
        <x:v>0</x:v>
      </x:c>
    </x:row>
    <x:row r="2886">
      <x:c r="A2886" s="4" t="str">
        <x:v>2024-25</x:v>
      </x:c>
      <x:c r="B2886" s="20" t="n">
        <x:v>45752</x:v>
      </x:c>
      <x:c r="C2886" s="4" t="str">
        <x:v>Ipswich</x:v>
      </x:c>
      <x:c r="D2886" s="4" t="str">
        <x:v>Wolves</x:v>
      </x:c>
      <x:c r="E2886" s="4" t="str">
        <x:v>Home</x:v>
      </x:c>
      <x:c r="F2886" s="28" t="n">
        <x:v>1</x:v>
      </x:c>
      <x:c r="G2886" s="28" t="n">
        <x:v>2</x:v>
      </x:c>
      <x:c r="H2886" s="28" t="n">
        <x:v>6</x:v>
      </x:c>
      <x:c r="I2886" s="28" t="n">
        <x:v>22</x:v>
      </x:c>
      <x:c r="J2886" s="28" t="n">
        <x:v>2</x:v>
      </x:c>
      <x:c r="K2886" s="28" t="n">
        <x:v>7</x:v>
      </x:c>
      <x:c r="L2886" s="28" t="n">
        <x:v>4</x:v>
      </x:c>
      <x:c r="M2886" s="28" t="n">
        <x:v>8</x:v>
      </x:c>
      <x:c r="N2886" s="28" t="n">
        <x:v>2</x:v>
      </x:c>
      <x:c r="O2886" s="28" t="n">
        <x:v>0</x:v>
      </x:c>
      <x:c r="P2886" s="28" t="n">
        <x:v>0</x:v>
      </x:c>
      <x:c r="Q2886" s="24" t="n">
        <x:f>IFERROR(J2886/H2886,0)</x:f>
        <x:v>0.3333333333333333</x:v>
      </x:c>
      <x:c r="R2886" s="24" t="n">
        <x:f>IFERROR(F2886/H2886,0)</x:f>
        <x:v>0.16666666666666666</x:v>
      </x:c>
      <x:c r="S2886" s="24" t="n">
        <x:f>IFERROR(F2886/J2886,0)</x:f>
        <x:v>0.5</x:v>
      </x:c>
      <x:c r="T2886" s="28" t="n">
        <x:f>H2886-I2886</x:f>
        <x:v>-16</x:v>
      </x:c>
      <x:c r="U2886" s="24" t="n">
        <x:f>IFERROR(J2886/H2886,0)-IFERROR(K2886/I2886,0)</x:f>
        <x:v>0.015151515151515138</x:v>
      </x:c>
      <x:c r="V2886" s="24" t="n">
        <x:f>IFERROR(F2886/J2886,0)-IFERROR(G2886/K2886,0)</x:f>
        <x:v>0.2142857142857143</x:v>
      </x:c>
      <x:c r="W2886" s="28" t="n">
        <x:f>L2886-M2886</x:f>
        <x:v>-4</x:v>
      </x:c>
      <x:c r="X2886" s="24" t="n">
        <x:f>IFERROR(K2886/I2886,0)</x:f>
        <x:v>0.3181818181818182</x:v>
      </x:c>
      <x:c r="Y2886" s="24" t="n">
        <x:f>IFERROR(G2886/I2886,0)</x:f>
        <x:v>0.09090909090909091</x:v>
      </x:c>
      <x:c r="Z2886" s="24" t="n">
        <x:f>IFERROR(G2886/K2886,0)</x:f>
        <x:v>0.2857142857142857</x:v>
      </x:c>
      <x:c r="AA2886" s="24" t="n">
        <x:f>IFERROR(F2886/H2886,0)-IFERROR(G2886/I2886,0)</x:f>
        <x:v>0.07575757575757575</x:v>
      </x:c>
      <x:c r="AB2886" s="28" t="n">
        <x:f>J2886-K2886</x:f>
        <x:v>-5</x:v>
      </x:c>
      <x:c r="AC2886" s="32" t="n">
        <x:f>F2886-G2886</x:f>
        <x:v>-1</x:v>
      </x:c>
    </x:row>
    <x:row r="2887">
      <x:c r="A2887" s="4" t="str">
        <x:v>2024-25</x:v>
      </x:c>
      <x:c r="B2887" s="20" t="n">
        <x:v>45752</x:v>
      </x:c>
      <x:c r="C2887" s="4" t="str">
        <x:v>Nott'm Forest</x:v>
      </x:c>
      <x:c r="D2887" s="4" t="str">
        <x:v>Aston Villa</x:v>
      </x:c>
      <x:c r="E2887" s="4" t="str">
        <x:v>Away</x:v>
      </x:c>
      <x:c r="F2887" s="28" t="n">
        <x:v>1</x:v>
      </x:c>
      <x:c r="G2887" s="28" t="n">
        <x:v>2</x:v>
      </x:c>
      <x:c r="H2887" s="28" t="n">
        <x:v>19</x:v>
      </x:c>
      <x:c r="I2887" s="28" t="n">
        <x:v>17</x:v>
      </x:c>
      <x:c r="J2887" s="28" t="n">
        <x:v>3</x:v>
      </x:c>
      <x:c r="K2887" s="28" t="n">
        <x:v>8</x:v>
      </x:c>
      <x:c r="L2887" s="28" t="n">
        <x:v>4</x:v>
      </x:c>
      <x:c r="M2887" s="28" t="n">
        <x:v>4</x:v>
      </x:c>
      <x:c r="N2887" s="28" t="n">
        <x:v>2</x:v>
      </x:c>
      <x:c r="O2887" s="28" t="n">
        <x:v>0</x:v>
      </x:c>
      <x:c r="P2887" s="28" t="n">
        <x:v>0</x:v>
      </x:c>
      <x:c r="Q2887" s="24" t="n">
        <x:f>IFERROR(J2887/H2887,0)</x:f>
        <x:v>0.15789473684210525</x:v>
      </x:c>
      <x:c r="R2887" s="24" t="n">
        <x:f>IFERROR(F2887/H2887,0)</x:f>
        <x:v>0.05263157894736842</x:v>
      </x:c>
      <x:c r="S2887" s="24" t="n">
        <x:f>IFERROR(F2887/J2887,0)</x:f>
        <x:v>0.3333333333333333</x:v>
      </x:c>
      <x:c r="T2887" s="28" t="n">
        <x:f>H2887-I2887</x:f>
        <x:v>2</x:v>
      </x:c>
      <x:c r="U2887" s="24" t="n">
        <x:f>IFERROR(J2887/H2887,0)-IFERROR(K2887/I2887,0)</x:f>
        <x:v>-0.3126934984520124</x:v>
      </x:c>
      <x:c r="V2887" s="24" t="n">
        <x:f>IFERROR(F2887/J2887,0)-IFERROR(G2887/K2887,0)</x:f>
        <x:v>0.08333333333333331</x:v>
      </x:c>
      <x:c r="W2887" s="28" t="n">
        <x:f>L2887-M2887</x:f>
        <x:v>0</x:v>
      </x:c>
      <x:c r="X2887" s="24" t="n">
        <x:f>IFERROR(K2887/I2887,0)</x:f>
        <x:v>0.47058823529411764</x:v>
      </x:c>
      <x:c r="Y2887" s="24" t="n">
        <x:f>IFERROR(G2887/I2887,0)</x:f>
        <x:v>0.11764705882352941</x:v>
      </x:c>
      <x:c r="Z2887" s="24" t="n">
        <x:f>IFERROR(G2887/K2887,0)</x:f>
        <x:v>0.25</x:v>
      </x:c>
      <x:c r="AA2887" s="24" t="n">
        <x:f>IFERROR(F2887/H2887,0)-IFERROR(G2887/I2887,0)</x:f>
        <x:v>-0.06501547987616099</x:v>
      </x:c>
      <x:c r="AB2887" s="28" t="n">
        <x:f>J2887-K2887</x:f>
        <x:v>-5</x:v>
      </x:c>
      <x:c r="AC2887" s="32" t="n">
        <x:f>F2887-G2887</x:f>
        <x:v>-1</x:v>
      </x:c>
    </x:row>
    <x:row r="2888">
      <x:c r="A2888" s="4" t="str">
        <x:v>2024-25</x:v>
      </x:c>
      <x:c r="B2888" s="20" t="n">
        <x:v>45752</x:v>
      </x:c>
      <x:c r="C2888" s="4" t="str">
        <x:v>West Ham</x:v>
      </x:c>
      <x:c r="D2888" s="4" t="str">
        <x:v>Bournemouth</x:v>
      </x:c>
      <x:c r="E2888" s="4" t="str">
        <x:v>Home</x:v>
      </x:c>
      <x:c r="F2888" s="28" t="n">
        <x:v>2</x:v>
      </x:c>
      <x:c r="G2888" s="28" t="n">
        <x:v>2</x:v>
      </x:c>
      <x:c r="H2888" s="28" t="n">
        <x:v>9</x:v>
      </x:c>
      <x:c r="I2888" s="28" t="n">
        <x:v>11</x:v>
      </x:c>
      <x:c r="J2888" s="28" t="n">
        <x:v>3</x:v>
      </x:c>
      <x:c r="K2888" s="28" t="n">
        <x:v>4</x:v>
      </x:c>
      <x:c r="L2888" s="28" t="n">
        <x:v>4</x:v>
      </x:c>
      <x:c r="M2888" s="28" t="n">
        <x:v>7</x:v>
      </x:c>
      <x:c r="N2888" s="28" t="n">
        <x:v>2</x:v>
      </x:c>
      <x:c r="O2888" s="28" t="n">
        <x:v>0</x:v>
      </x:c>
      <x:c r="P2888" s="28" t="n">
        <x:v>1</x:v>
      </x:c>
      <x:c r="Q2888" s="24" t="n">
        <x:f>IFERROR(J2888/H2888,0)</x:f>
        <x:v>0.3333333333333333</x:v>
      </x:c>
      <x:c r="R2888" s="24" t="n">
        <x:f>IFERROR(F2888/H2888,0)</x:f>
        <x:v>0.2222222222222222</x:v>
      </x:c>
      <x:c r="S2888" s="24" t="n">
        <x:f>IFERROR(F2888/J2888,0)</x:f>
        <x:v>0.6666666666666666</x:v>
      </x:c>
      <x:c r="T2888" s="28" t="n">
        <x:f>H2888-I2888</x:f>
        <x:v>-2</x:v>
      </x:c>
      <x:c r="U2888" s="24" t="n">
        <x:f>IFERROR(J2888/H2888,0)-IFERROR(K2888/I2888,0)</x:f>
        <x:v>-0.03030303030303033</x:v>
      </x:c>
      <x:c r="V2888" s="24" t="n">
        <x:f>IFERROR(F2888/J2888,0)-IFERROR(G2888/K2888,0)</x:f>
        <x:v>0.16666666666666663</x:v>
      </x:c>
      <x:c r="W2888" s="28" t="n">
        <x:f>L2888-M2888</x:f>
        <x:v>-3</x:v>
      </x:c>
      <x:c r="X2888" s="24" t="n">
        <x:f>IFERROR(K2888/I2888,0)</x:f>
        <x:v>0.36363636363636365</x:v>
      </x:c>
      <x:c r="Y2888" s="24" t="n">
        <x:f>IFERROR(G2888/I2888,0)</x:f>
        <x:v>0.18181818181818182</x:v>
      </x:c>
      <x:c r="Z2888" s="24" t="n">
        <x:f>IFERROR(G2888/K2888,0)</x:f>
        <x:v>0.5</x:v>
      </x:c>
      <x:c r="AA2888" s="24" t="n">
        <x:f>IFERROR(F2888/H2888,0)-IFERROR(G2888/I2888,0)</x:f>
        <x:v>0.04040404040404039</x:v>
      </x:c>
      <x:c r="AB2888" s="28" t="n">
        <x:f>J2888-K2888</x:f>
        <x:v>-1</x:v>
      </x:c>
      <x:c r="AC2888" s="32" t="n">
        <x:f>F2888-G2888</x:f>
        <x:v>0</x:v>
      </x:c>
    </x:row>
    <x:row r="2889">
      <x:c r="A2889" s="4" t="str">
        <x:v>2024-25</x:v>
      </x:c>
      <x:c r="B2889" s="20" t="n">
        <x:v>45752</x:v>
      </x:c>
      <x:c r="C2889" s="4" t="str">
        <x:v>Wolves</x:v>
      </x:c>
      <x:c r="D2889" s="4" t="str">
        <x:v>Ipswich</x:v>
      </x:c>
      <x:c r="E2889" s="4" t="str">
        <x:v>Away</x:v>
      </x:c>
      <x:c r="F2889" s="28" t="n">
        <x:v>2</x:v>
      </x:c>
      <x:c r="G2889" s="28" t="n">
        <x:v>1</x:v>
      </x:c>
      <x:c r="H2889" s="28" t="n">
        <x:v>22</x:v>
      </x:c>
      <x:c r="I2889" s="28" t="n">
        <x:v>6</x:v>
      </x:c>
      <x:c r="J2889" s="28" t="n">
        <x:v>7</x:v>
      </x:c>
      <x:c r="K2889" s="28" t="n">
        <x:v>2</x:v>
      </x:c>
      <x:c r="L2889" s="28" t="n">
        <x:v>8</x:v>
      </x:c>
      <x:c r="M2889" s="28" t="n">
        <x:v>4</x:v>
      </x:c>
      <x:c r="N2889" s="28" t="n">
        <x:v>2</x:v>
      </x:c>
      <x:c r="O2889" s="28" t="n">
        <x:v>0</x:v>
      </x:c>
      <x:c r="P2889" s="28" t="n">
        <x:v>3</x:v>
      </x:c>
      <x:c r="Q2889" s="24" t="n">
        <x:f>IFERROR(J2889/H2889,0)</x:f>
        <x:v>0.3181818181818182</x:v>
      </x:c>
      <x:c r="R2889" s="24" t="n">
        <x:f>IFERROR(F2889/H2889,0)</x:f>
        <x:v>0.09090909090909091</x:v>
      </x:c>
      <x:c r="S2889" s="24" t="n">
        <x:f>IFERROR(F2889/J2889,0)</x:f>
        <x:v>0.2857142857142857</x:v>
      </x:c>
      <x:c r="T2889" s="28" t="n">
        <x:f>H2889-I2889</x:f>
        <x:v>16</x:v>
      </x:c>
      <x:c r="U2889" s="24" t="n">
        <x:f>IFERROR(J2889/H2889,0)-IFERROR(K2889/I2889,0)</x:f>
        <x:v>-0.015151515151515138</x:v>
      </x:c>
      <x:c r="V2889" s="24" t="n">
        <x:f>IFERROR(F2889/J2889,0)-IFERROR(G2889/K2889,0)</x:f>
        <x:v>-0.2142857142857143</x:v>
      </x:c>
      <x:c r="W2889" s="28" t="n">
        <x:f>L2889-M2889</x:f>
        <x:v>4</x:v>
      </x:c>
      <x:c r="X2889" s="24" t="n">
        <x:f>IFERROR(K2889/I2889,0)</x:f>
        <x:v>0.3333333333333333</x:v>
      </x:c>
      <x:c r="Y2889" s="24" t="n">
        <x:f>IFERROR(G2889/I2889,0)</x:f>
        <x:v>0.16666666666666666</x:v>
      </x:c>
      <x:c r="Z2889" s="24" t="n">
        <x:f>IFERROR(G2889/K2889,0)</x:f>
        <x:v>0.5</x:v>
      </x:c>
      <x:c r="AA2889" s="24" t="n">
        <x:f>IFERROR(F2889/H2889,0)-IFERROR(G2889/I2889,0)</x:f>
        <x:v>-0.07575757575757575</x:v>
      </x:c>
      <x:c r="AB2889" s="28" t="n">
        <x:f>J2889-K2889</x:f>
        <x:v>5</x:v>
      </x:c>
      <x:c r="AC2889" s="32" t="n">
        <x:f>F2889-G2889</x:f>
        <x:v>1</x:v>
      </x:c>
    </x:row>
    <x:row r="2890">
      <x:c r="A2890" s="4" t="str">
        <x:v>2024-25</x:v>
      </x:c>
      <x:c r="B2890" s="20" t="n">
        <x:v>45753</x:v>
      </x:c>
      <x:c r="C2890" s="4" t="str">
        <x:v>Brentford</x:v>
      </x:c>
      <x:c r="D2890" s="4" t="str">
        <x:v>Chelsea</x:v>
      </x:c>
      <x:c r="E2890" s="4" t="str">
        <x:v>Home</x:v>
      </x:c>
      <x:c r="F2890" s="28" t="n">
        <x:v>0</x:v>
      </x:c>
      <x:c r="G2890" s="28" t="n">
        <x:v>0</x:v>
      </x:c>
      <x:c r="H2890" s="28" t="n">
        <x:v>9</x:v>
      </x:c>
      <x:c r="I2890" s="28" t="n">
        <x:v>21</x:v>
      </x:c>
      <x:c r="J2890" s="28" t="n">
        <x:v>2</x:v>
      </x:c>
      <x:c r="K2890" s="28" t="n">
        <x:v>5</x:v>
      </x:c>
      <x:c r="L2890" s="28" t="n">
        <x:v>3</x:v>
      </x:c>
      <x:c r="M2890" s="28" t="n">
        <x:v>6</x:v>
      </x:c>
      <x:c r="N2890" s="28" t="n">
        <x:v>1</x:v>
      </x:c>
      <x:c r="O2890" s="28" t="n">
        <x:v>0</x:v>
      </x:c>
      <x:c r="P2890" s="28" t="n">
        <x:v>1</x:v>
      </x:c>
      <x:c r="Q2890" s="24" t="n">
        <x:f>IFERROR(J2890/H2890,0)</x:f>
        <x:v>0.2222222222222222</x:v>
      </x:c>
      <x:c r="R2890" s="24" t="n">
        <x:f>IFERROR(F2890/H2890,0)</x:f>
        <x:v>0</x:v>
      </x:c>
      <x:c r="S2890" s="24" t="n">
        <x:f>IFERROR(F2890/J2890,0)</x:f>
        <x:v>0</x:v>
      </x:c>
      <x:c r="T2890" s="28" t="n">
        <x:f>H2890-I2890</x:f>
        <x:v>-12</x:v>
      </x:c>
      <x:c r="U2890" s="24" t="n">
        <x:f>IFERROR(J2890/H2890,0)-IFERROR(K2890/I2890,0)</x:f>
        <x:v>-0.015873015873015872</x:v>
      </x:c>
      <x:c r="V2890" s="24" t="n">
        <x:f>IFERROR(F2890/J2890,0)-IFERROR(G2890/K2890,0)</x:f>
        <x:v>0</x:v>
      </x:c>
      <x:c r="W2890" s="28" t="n">
        <x:f>L2890-M2890</x:f>
        <x:v>-3</x:v>
      </x:c>
      <x:c r="X2890" s="24" t="n">
        <x:f>IFERROR(K2890/I2890,0)</x:f>
        <x:v>0.23809523809523808</x:v>
      </x:c>
      <x:c r="Y2890" s="24" t="n">
        <x:f>IFERROR(G2890/I2890,0)</x:f>
        <x:v>0</x:v>
      </x:c>
      <x:c r="Z2890" s="24" t="n">
        <x:f>IFERROR(G2890/K2890,0)</x:f>
        <x:v>0</x:v>
      </x:c>
      <x:c r="AA2890" s="24" t="n">
        <x:f>IFERROR(F2890/H2890,0)-IFERROR(G2890/I2890,0)</x:f>
        <x:v>0</x:v>
      </x:c>
      <x:c r="AB2890" s="28" t="n">
        <x:f>J2890-K2890</x:f>
        <x:v>-3</x:v>
      </x:c>
      <x:c r="AC2890" s="32" t="n">
        <x:f>F2890-G2890</x:f>
        <x:v>0</x:v>
      </x:c>
    </x:row>
    <x:row r="2891">
      <x:c r="A2891" s="4" t="str">
        <x:v>2024-25</x:v>
      </x:c>
      <x:c r="B2891" s="20" t="n">
        <x:v>45753</x:v>
      </x:c>
      <x:c r="C2891" s="4" t="str">
        <x:v>Chelsea</x:v>
      </x:c>
      <x:c r="D2891" s="4" t="str">
        <x:v>Brentford</x:v>
      </x:c>
      <x:c r="E2891" s="4" t="str">
        <x:v>Away</x:v>
      </x:c>
      <x:c r="F2891" s="28" t="n">
        <x:v>0</x:v>
      </x:c>
      <x:c r="G2891" s="28" t="n">
        <x:v>0</x:v>
      </x:c>
      <x:c r="H2891" s="28" t="n">
        <x:v>21</x:v>
      </x:c>
      <x:c r="I2891" s="28" t="n">
        <x:v>9</x:v>
      </x:c>
      <x:c r="J2891" s="28" t="n">
        <x:v>5</x:v>
      </x:c>
      <x:c r="K2891" s="28" t="n">
        <x:v>2</x:v>
      </x:c>
      <x:c r="L2891" s="28" t="n">
        <x:v>6</x:v>
      </x:c>
      <x:c r="M2891" s="28" t="n">
        <x:v>3</x:v>
      </x:c>
      <x:c r="N2891" s="28" t="n">
        <x:v>3</x:v>
      </x:c>
      <x:c r="O2891" s="28" t="n">
        <x:v>0</x:v>
      </x:c>
      <x:c r="P2891" s="28" t="n">
        <x:v>1</x:v>
      </x:c>
      <x:c r="Q2891" s="24" t="n">
        <x:f>IFERROR(J2891/H2891,0)</x:f>
        <x:v>0.23809523809523808</x:v>
      </x:c>
      <x:c r="R2891" s="24" t="n">
        <x:f>IFERROR(F2891/H2891,0)</x:f>
        <x:v>0</x:v>
      </x:c>
      <x:c r="S2891" s="24" t="n">
        <x:f>IFERROR(F2891/J2891,0)</x:f>
        <x:v>0</x:v>
      </x:c>
      <x:c r="T2891" s="28" t="n">
        <x:f>H2891-I2891</x:f>
        <x:v>12</x:v>
      </x:c>
      <x:c r="U2891" s="24" t="n">
        <x:f>IFERROR(J2891/H2891,0)-IFERROR(K2891/I2891,0)</x:f>
        <x:v>0.015873015873015872</x:v>
      </x:c>
      <x:c r="V2891" s="24" t="n">
        <x:f>IFERROR(F2891/J2891,0)-IFERROR(G2891/K2891,0)</x:f>
        <x:v>0</x:v>
      </x:c>
      <x:c r="W2891" s="28" t="n">
        <x:f>L2891-M2891</x:f>
        <x:v>3</x:v>
      </x:c>
      <x:c r="X2891" s="24" t="n">
        <x:f>IFERROR(K2891/I2891,0)</x:f>
        <x:v>0.2222222222222222</x:v>
      </x:c>
      <x:c r="Y2891" s="24" t="n">
        <x:f>IFERROR(G2891/I2891,0)</x:f>
        <x:v>0</x:v>
      </x:c>
      <x:c r="Z2891" s="24" t="n">
        <x:f>IFERROR(G2891/K2891,0)</x:f>
        <x:v>0</x:v>
      </x:c>
      <x:c r="AA2891" s="24" t="n">
        <x:f>IFERROR(F2891/H2891,0)-IFERROR(G2891/I2891,0)</x:f>
        <x:v>0</x:v>
      </x:c>
      <x:c r="AB2891" s="28" t="n">
        <x:f>J2891-K2891</x:f>
        <x:v>3</x:v>
      </x:c>
      <x:c r="AC2891" s="32" t="n">
        <x:f>F2891-G2891</x:f>
        <x:v>0</x:v>
      </x:c>
    </x:row>
    <x:row r="2892">
      <x:c r="A2892" s="4" t="str">
        <x:v>2024-25</x:v>
      </x:c>
      <x:c r="B2892" s="20" t="n">
        <x:v>45753</x:v>
      </x:c>
      <x:c r="C2892" s="4" t="str">
        <x:v>Fulham</x:v>
      </x:c>
      <x:c r="D2892" s="4" t="str">
        <x:v>Liverpool</x:v>
      </x:c>
      <x:c r="E2892" s="4" t="str">
        <x:v>Home</x:v>
      </x:c>
      <x:c r="F2892" s="28" t="n">
        <x:v>3</x:v>
      </x:c>
      <x:c r="G2892" s="28" t="n">
        <x:v>2</x:v>
      </x:c>
      <x:c r="H2892" s="28" t="n">
        <x:v>12</x:v>
      </x:c>
      <x:c r="I2892" s="28" t="n">
        <x:v>14</x:v>
      </x:c>
      <x:c r="J2892" s="28" t="n">
        <x:v>6</x:v>
      </x:c>
      <x:c r="K2892" s="28" t="n">
        <x:v>6</x:v>
      </x:c>
      <x:c r="L2892" s="28" t="n">
        <x:v>4</x:v>
      </x:c>
      <x:c r="M2892" s="28" t="n">
        <x:v>4</x:v>
      </x:c>
      <x:c r="N2892" s="28" t="n">
        <x:v>3</x:v>
      </x:c>
      <x:c r="O2892" s="28" t="n">
        <x:v>0</x:v>
      </x:c>
      <x:c r="P2892" s="28" t="n">
        <x:v>3</x:v>
      </x:c>
      <x:c r="Q2892" s="24" t="n">
        <x:f>IFERROR(J2892/H2892,0)</x:f>
        <x:v>0.5</x:v>
      </x:c>
      <x:c r="R2892" s="24" t="n">
        <x:f>IFERROR(F2892/H2892,0)</x:f>
        <x:v>0.25</x:v>
      </x:c>
      <x:c r="S2892" s="24" t="n">
        <x:f>IFERROR(F2892/J2892,0)</x:f>
        <x:v>0.5</x:v>
      </x:c>
      <x:c r="T2892" s="28" t="n">
        <x:f>H2892-I2892</x:f>
        <x:v>-2</x:v>
      </x:c>
      <x:c r="U2892" s="24" t="n">
        <x:f>IFERROR(J2892/H2892,0)-IFERROR(K2892/I2892,0)</x:f>
        <x:v>0.07142857142857145</x:v>
      </x:c>
      <x:c r="V2892" s="24" t="n">
        <x:f>IFERROR(F2892/J2892,0)-IFERROR(G2892/K2892,0)</x:f>
        <x:v>0.16666666666666669</x:v>
      </x:c>
      <x:c r="W2892" s="28" t="n">
        <x:f>L2892-M2892</x:f>
        <x:v>0</x:v>
      </x:c>
      <x:c r="X2892" s="24" t="n">
        <x:f>IFERROR(K2892/I2892,0)</x:f>
        <x:v>0.42857142857142855</x:v>
      </x:c>
      <x:c r="Y2892" s="24" t="n">
        <x:f>IFERROR(G2892/I2892,0)</x:f>
        <x:v>0.14285714285714285</x:v>
      </x:c>
      <x:c r="Z2892" s="24" t="n">
        <x:f>IFERROR(G2892/K2892,0)</x:f>
        <x:v>0.3333333333333333</x:v>
      </x:c>
      <x:c r="AA2892" s="24" t="n">
        <x:f>IFERROR(F2892/H2892,0)-IFERROR(G2892/I2892,0)</x:f>
        <x:v>0.10714285714285715</x:v>
      </x:c>
      <x:c r="AB2892" s="28" t="n">
        <x:f>J2892-K2892</x:f>
        <x:v>0</x:v>
      </x:c>
      <x:c r="AC2892" s="32" t="n">
        <x:f>F2892-G2892</x:f>
        <x:v>1</x:v>
      </x:c>
    </x:row>
    <x:row r="2893">
      <x:c r="A2893" s="4" t="str">
        <x:v>2024-25</x:v>
      </x:c>
      <x:c r="B2893" s="20" t="n">
        <x:v>45753</x:v>
      </x:c>
      <x:c r="C2893" s="4" t="str">
        <x:v>Liverpool</x:v>
      </x:c>
      <x:c r="D2893" s="4" t="str">
        <x:v>Fulham</x:v>
      </x:c>
      <x:c r="E2893" s="4" t="str">
        <x:v>Away</x:v>
      </x:c>
      <x:c r="F2893" s="28" t="n">
        <x:v>2</x:v>
      </x:c>
      <x:c r="G2893" s="28" t="n">
        <x:v>3</x:v>
      </x:c>
      <x:c r="H2893" s="28" t="n">
        <x:v>14</x:v>
      </x:c>
      <x:c r="I2893" s="28" t="n">
        <x:v>12</x:v>
      </x:c>
      <x:c r="J2893" s="28" t="n">
        <x:v>6</x:v>
      </x:c>
      <x:c r="K2893" s="28" t="n">
        <x:v>6</x:v>
      </x:c>
      <x:c r="L2893" s="28" t="n">
        <x:v>4</x:v>
      </x:c>
      <x:c r="M2893" s="28" t="n">
        <x:v>4</x:v>
      </x:c>
      <x:c r="N2893" s="28" t="n">
        <x:v>0</x:v>
      </x:c>
      <x:c r="O2893" s="28" t="n">
        <x:v>0</x:v>
      </x:c>
      <x:c r="P2893" s="28" t="n">
        <x:v>0</x:v>
      </x:c>
      <x:c r="Q2893" s="24" t="n">
        <x:f>IFERROR(J2893/H2893,0)</x:f>
        <x:v>0.42857142857142855</x:v>
      </x:c>
      <x:c r="R2893" s="24" t="n">
        <x:f>IFERROR(F2893/H2893,0)</x:f>
        <x:v>0.14285714285714285</x:v>
      </x:c>
      <x:c r="S2893" s="24" t="n">
        <x:f>IFERROR(F2893/J2893,0)</x:f>
        <x:v>0.3333333333333333</x:v>
      </x:c>
      <x:c r="T2893" s="28" t="n">
        <x:f>H2893-I2893</x:f>
        <x:v>2</x:v>
      </x:c>
      <x:c r="U2893" s="24" t="n">
        <x:f>IFERROR(J2893/H2893,0)-IFERROR(K2893/I2893,0)</x:f>
        <x:v>-0.07142857142857145</x:v>
      </x:c>
      <x:c r="V2893" s="24" t="n">
        <x:f>IFERROR(F2893/J2893,0)-IFERROR(G2893/K2893,0)</x:f>
        <x:v>-0.16666666666666669</x:v>
      </x:c>
      <x:c r="W2893" s="28" t="n">
        <x:f>L2893-M2893</x:f>
        <x:v>0</x:v>
      </x:c>
      <x:c r="X2893" s="24" t="n">
        <x:f>IFERROR(K2893/I2893,0)</x:f>
        <x:v>0.5</x:v>
      </x:c>
      <x:c r="Y2893" s="24" t="n">
        <x:f>IFERROR(G2893/I2893,0)</x:f>
        <x:v>0.25</x:v>
      </x:c>
      <x:c r="Z2893" s="24" t="n">
        <x:f>IFERROR(G2893/K2893,0)</x:f>
        <x:v>0.5</x:v>
      </x:c>
      <x:c r="AA2893" s="24" t="n">
        <x:f>IFERROR(F2893/H2893,0)-IFERROR(G2893/I2893,0)</x:f>
        <x:v>-0.10714285714285715</x:v>
      </x:c>
      <x:c r="AB2893" s="28" t="n">
        <x:f>J2893-K2893</x:f>
        <x:v>0</x:v>
      </x:c>
      <x:c r="AC2893" s="32" t="n">
        <x:f>F2893-G2893</x:f>
        <x:v>-1</x:v>
      </x:c>
    </x:row>
    <x:row r="2894">
      <x:c r="A2894" s="4" t="str">
        <x:v>2024-25</x:v>
      </x:c>
      <x:c r="B2894" s="20" t="n">
        <x:v>45753</x:v>
      </x:c>
      <x:c r="C2894" s="4" t="str">
        <x:v>Man City</x:v>
      </x:c>
      <x:c r="D2894" s="4" t="str">
        <x:v>Man United</x:v>
      </x:c>
      <x:c r="E2894" s="4" t="str">
        <x:v>Away</x:v>
      </x:c>
      <x:c r="F2894" s="28" t="n">
        <x:v>0</x:v>
      </x:c>
      <x:c r="G2894" s="28" t="n">
        <x:v>0</x:v>
      </x:c>
      <x:c r="H2894" s="28" t="n">
        <x:v>9</x:v>
      </x:c>
      <x:c r="I2894" s="28" t="n">
        <x:v>13</x:v>
      </x:c>
      <x:c r="J2894" s="28" t="n">
        <x:v>5</x:v>
      </x:c>
      <x:c r="K2894" s="28" t="n">
        <x:v>2</x:v>
      </x:c>
      <x:c r="L2894" s="28" t="n">
        <x:v>3</x:v>
      </x:c>
      <x:c r="M2894" s="28" t="n">
        <x:v>5</x:v>
      </x:c>
      <x:c r="N2894" s="28" t="n">
        <x:v>2</x:v>
      </x:c>
      <x:c r="O2894" s="28" t="n">
        <x:v>0</x:v>
      </x:c>
      <x:c r="P2894" s="28" t="n">
        <x:v>1</x:v>
      </x:c>
      <x:c r="Q2894" s="24" t="n">
        <x:f>IFERROR(J2894/H2894,0)</x:f>
        <x:v>0.5555555555555556</x:v>
      </x:c>
      <x:c r="R2894" s="24" t="n">
        <x:f>IFERROR(F2894/H2894,0)</x:f>
        <x:v>0</x:v>
      </x:c>
      <x:c r="S2894" s="24" t="n">
        <x:f>IFERROR(F2894/J2894,0)</x:f>
        <x:v>0</x:v>
      </x:c>
      <x:c r="T2894" s="28" t="n">
        <x:f>H2894-I2894</x:f>
        <x:v>-4</x:v>
      </x:c>
      <x:c r="U2894" s="24" t="n">
        <x:f>IFERROR(J2894/H2894,0)-IFERROR(K2894/I2894,0)</x:f>
        <x:v>0.4017094017094017</x:v>
      </x:c>
      <x:c r="V2894" s="24" t="n">
        <x:f>IFERROR(F2894/J2894,0)-IFERROR(G2894/K2894,0)</x:f>
        <x:v>0</x:v>
      </x:c>
      <x:c r="W2894" s="28" t="n">
        <x:f>L2894-M2894</x:f>
        <x:v>-2</x:v>
      </x:c>
      <x:c r="X2894" s="24" t="n">
        <x:f>IFERROR(K2894/I2894,0)</x:f>
        <x:v>0.15384615384615385</x:v>
      </x:c>
      <x:c r="Y2894" s="24" t="n">
        <x:f>IFERROR(G2894/I2894,0)</x:f>
        <x:v>0</x:v>
      </x:c>
      <x:c r="Z2894" s="24" t="n">
        <x:f>IFERROR(G2894/K2894,0)</x:f>
        <x:v>0</x:v>
      </x:c>
      <x:c r="AA2894" s="24" t="n">
        <x:f>IFERROR(F2894/H2894,0)-IFERROR(G2894/I2894,0)</x:f>
        <x:v>0</x:v>
      </x:c>
      <x:c r="AB2894" s="28" t="n">
        <x:f>J2894-K2894</x:f>
        <x:v>3</x:v>
      </x:c>
      <x:c r="AC2894" s="32" t="n">
        <x:f>F2894-G2894</x:f>
        <x:v>0</x:v>
      </x:c>
    </x:row>
    <x:row r="2895">
      <x:c r="A2895" s="4" t="str">
        <x:v>2024-25</x:v>
      </x:c>
      <x:c r="B2895" s="20" t="n">
        <x:v>45753</x:v>
      </x:c>
      <x:c r="C2895" s="4" t="str">
        <x:v>Man United</x:v>
      </x:c>
      <x:c r="D2895" s="4" t="str">
        <x:v>Man City</x:v>
      </x:c>
      <x:c r="E2895" s="4" t="str">
        <x:v>Home</x:v>
      </x:c>
      <x:c r="F2895" s="28" t="n">
        <x:v>0</x:v>
      </x:c>
      <x:c r="G2895" s="28" t="n">
        <x:v>0</x:v>
      </x:c>
      <x:c r="H2895" s="28" t="n">
        <x:v>13</x:v>
      </x:c>
      <x:c r="I2895" s="28" t="n">
        <x:v>9</x:v>
      </x:c>
      <x:c r="J2895" s="28" t="n">
        <x:v>2</x:v>
      </x:c>
      <x:c r="K2895" s="28" t="n">
        <x:v>5</x:v>
      </x:c>
      <x:c r="L2895" s="28" t="n">
        <x:v>5</x:v>
      </x:c>
      <x:c r="M2895" s="28" t="n">
        <x:v>3</x:v>
      </x:c>
      <x:c r="N2895" s="28" t="n">
        <x:v>3</x:v>
      </x:c>
      <x:c r="O2895" s="28" t="n">
        <x:v>0</x:v>
      </x:c>
      <x:c r="P2895" s="28" t="n">
        <x:v>1</x:v>
      </x:c>
      <x:c r="Q2895" s="24" t="n">
        <x:f>IFERROR(J2895/H2895,0)</x:f>
        <x:v>0.15384615384615385</x:v>
      </x:c>
      <x:c r="R2895" s="24" t="n">
        <x:f>IFERROR(F2895/H2895,0)</x:f>
        <x:v>0</x:v>
      </x:c>
      <x:c r="S2895" s="24" t="n">
        <x:f>IFERROR(F2895/J2895,0)</x:f>
        <x:v>0</x:v>
      </x:c>
      <x:c r="T2895" s="28" t="n">
        <x:f>H2895-I2895</x:f>
        <x:v>4</x:v>
      </x:c>
      <x:c r="U2895" s="24" t="n">
        <x:f>IFERROR(J2895/H2895,0)-IFERROR(K2895/I2895,0)</x:f>
        <x:v>-0.4017094017094017</x:v>
      </x:c>
      <x:c r="V2895" s="24" t="n">
        <x:f>IFERROR(F2895/J2895,0)-IFERROR(G2895/K2895,0)</x:f>
        <x:v>0</x:v>
      </x:c>
      <x:c r="W2895" s="28" t="n">
        <x:f>L2895-M2895</x:f>
        <x:v>2</x:v>
      </x:c>
      <x:c r="X2895" s="24" t="n">
        <x:f>IFERROR(K2895/I2895,0)</x:f>
        <x:v>0.5555555555555556</x:v>
      </x:c>
      <x:c r="Y2895" s="24" t="n">
        <x:f>IFERROR(G2895/I2895,0)</x:f>
        <x:v>0</x:v>
      </x:c>
      <x:c r="Z2895" s="24" t="n">
        <x:f>IFERROR(G2895/K2895,0)</x:f>
        <x:v>0</x:v>
      </x:c>
      <x:c r="AA2895" s="24" t="n">
        <x:f>IFERROR(F2895/H2895,0)-IFERROR(G2895/I2895,0)</x:f>
        <x:v>0</x:v>
      </x:c>
      <x:c r="AB2895" s="28" t="n">
        <x:f>J2895-K2895</x:f>
        <x:v>-3</x:v>
      </x:c>
      <x:c r="AC2895" s="32" t="n">
        <x:f>F2895-G2895</x:f>
        <x:v>0</x:v>
      </x:c>
    </x:row>
    <x:row r="2896">
      <x:c r="A2896" s="4" t="str">
        <x:v>2024-25</x:v>
      </x:c>
      <x:c r="B2896" s="20" t="n">
        <x:v>45753</x:v>
      </x:c>
      <x:c r="C2896" s="4" t="str">
        <x:v>Southampton</x:v>
      </x:c>
      <x:c r="D2896" s="4" t="str">
        <x:v>Tottenham</x:v>
      </x:c>
      <x:c r="E2896" s="4" t="str">
        <x:v>Away</x:v>
      </x:c>
      <x:c r="F2896" s="28" t="n">
        <x:v>1</x:v>
      </x:c>
      <x:c r="G2896" s="28" t="n">
        <x:v>3</x:v>
      </x:c>
      <x:c r="H2896" s="28" t="n">
        <x:v>12</x:v>
      </x:c>
      <x:c r="I2896" s="28" t="n">
        <x:v>13</x:v>
      </x:c>
      <x:c r="J2896" s="28" t="n">
        <x:v>4</x:v>
      </x:c>
      <x:c r="K2896" s="28" t="n">
        <x:v>8</x:v>
      </x:c>
      <x:c r="L2896" s="28" t="n">
        <x:v>1</x:v>
      </x:c>
      <x:c r="M2896" s="28" t="n">
        <x:v>4</x:v>
      </x:c>
      <x:c r="N2896" s="28" t="n">
        <x:v>1</x:v>
      </x:c>
      <x:c r="O2896" s="28" t="n">
        <x:v>0</x:v>
      </x:c>
      <x:c r="P2896" s="28" t="n">
        <x:v>0</x:v>
      </x:c>
      <x:c r="Q2896" s="24" t="n">
        <x:f>IFERROR(J2896/H2896,0)</x:f>
        <x:v>0.3333333333333333</x:v>
      </x:c>
      <x:c r="R2896" s="24" t="n">
        <x:f>IFERROR(F2896/H2896,0)</x:f>
        <x:v>0.08333333333333333</x:v>
      </x:c>
      <x:c r="S2896" s="24" t="n">
        <x:f>IFERROR(F2896/J2896,0)</x:f>
        <x:v>0.25</x:v>
      </x:c>
      <x:c r="T2896" s="28" t="n">
        <x:f>H2896-I2896</x:f>
        <x:v>-1</x:v>
      </x:c>
      <x:c r="U2896" s="24" t="n">
        <x:f>IFERROR(J2896/H2896,0)-IFERROR(K2896/I2896,0)</x:f>
        <x:v>-0.2820512820512821</x:v>
      </x:c>
      <x:c r="V2896" s="24" t="n">
        <x:f>IFERROR(F2896/J2896,0)-IFERROR(G2896/K2896,0)</x:f>
        <x:v>-0.125</x:v>
      </x:c>
      <x:c r="W2896" s="28" t="n">
        <x:f>L2896-M2896</x:f>
        <x:v>-3</x:v>
      </x:c>
      <x:c r="X2896" s="24" t="n">
        <x:f>IFERROR(K2896/I2896,0)</x:f>
        <x:v>0.6153846153846154</x:v>
      </x:c>
      <x:c r="Y2896" s="24" t="n">
        <x:f>IFERROR(G2896/I2896,0)</x:f>
        <x:v>0.23076923076923078</x:v>
      </x:c>
      <x:c r="Z2896" s="24" t="n">
        <x:f>IFERROR(G2896/K2896,0)</x:f>
        <x:v>0.375</x:v>
      </x:c>
      <x:c r="AA2896" s="24" t="n">
        <x:f>IFERROR(F2896/H2896,0)-IFERROR(G2896/I2896,0)</x:f>
        <x:v>-0.14743589743589747</x:v>
      </x:c>
      <x:c r="AB2896" s="28" t="n">
        <x:f>J2896-K2896</x:f>
        <x:v>-4</x:v>
      </x:c>
      <x:c r="AC2896" s="32" t="n">
        <x:f>F2896-G2896</x:f>
        <x:v>-2</x:v>
      </x:c>
    </x:row>
    <x:row r="2897">
      <x:c r="A2897" s="4" t="str">
        <x:v>2024-25</x:v>
      </x:c>
      <x:c r="B2897" s="20" t="n">
        <x:v>45753</x:v>
      </x:c>
      <x:c r="C2897" s="4" t="str">
        <x:v>Tottenham</x:v>
      </x:c>
      <x:c r="D2897" s="4" t="str">
        <x:v>Southampton</x:v>
      </x:c>
      <x:c r="E2897" s="4" t="str">
        <x:v>Home</x:v>
      </x:c>
      <x:c r="F2897" s="28" t="n">
        <x:v>3</x:v>
      </x:c>
      <x:c r="G2897" s="28" t="n">
        <x:v>1</x:v>
      </x:c>
      <x:c r="H2897" s="28" t="n">
        <x:v>13</x:v>
      </x:c>
      <x:c r="I2897" s="28" t="n">
        <x:v>12</x:v>
      </x:c>
      <x:c r="J2897" s="28" t="n">
        <x:v>8</x:v>
      </x:c>
      <x:c r="K2897" s="28" t="n">
        <x:v>4</x:v>
      </x:c>
      <x:c r="L2897" s="28" t="n">
        <x:v>4</x:v>
      </x:c>
      <x:c r="M2897" s="28" t="n">
        <x:v>1</x:v>
      </x:c>
      <x:c r="N2897" s="28" t="n">
        <x:v>1</x:v>
      </x:c>
      <x:c r="O2897" s="28" t="n">
        <x:v>0</x:v>
      </x:c>
      <x:c r="P2897" s="28" t="n">
        <x:v>3</x:v>
      </x:c>
      <x:c r="Q2897" s="24" t="n">
        <x:f>IFERROR(J2897/H2897,0)</x:f>
        <x:v>0.6153846153846154</x:v>
      </x:c>
      <x:c r="R2897" s="24" t="n">
        <x:f>IFERROR(F2897/H2897,0)</x:f>
        <x:v>0.23076923076923078</x:v>
      </x:c>
      <x:c r="S2897" s="24" t="n">
        <x:f>IFERROR(F2897/J2897,0)</x:f>
        <x:v>0.375</x:v>
      </x:c>
      <x:c r="T2897" s="28" t="n">
        <x:f>H2897-I2897</x:f>
        <x:v>1</x:v>
      </x:c>
      <x:c r="U2897" s="24" t="n">
        <x:f>IFERROR(J2897/H2897,0)-IFERROR(K2897/I2897,0)</x:f>
        <x:v>0.2820512820512821</x:v>
      </x:c>
      <x:c r="V2897" s="24" t="n">
        <x:f>IFERROR(F2897/J2897,0)-IFERROR(G2897/K2897,0)</x:f>
        <x:v>0.125</x:v>
      </x:c>
      <x:c r="W2897" s="28" t="n">
        <x:f>L2897-M2897</x:f>
        <x:v>3</x:v>
      </x:c>
      <x:c r="X2897" s="24" t="n">
        <x:f>IFERROR(K2897/I2897,0)</x:f>
        <x:v>0.3333333333333333</x:v>
      </x:c>
      <x:c r="Y2897" s="24" t="n">
        <x:f>IFERROR(G2897/I2897,0)</x:f>
        <x:v>0.08333333333333333</x:v>
      </x:c>
      <x:c r="Z2897" s="24" t="n">
        <x:f>IFERROR(G2897/K2897,0)</x:f>
        <x:v>0.25</x:v>
      </x:c>
      <x:c r="AA2897" s="24" t="n">
        <x:f>IFERROR(F2897/H2897,0)-IFERROR(G2897/I2897,0)</x:f>
        <x:v>0.14743589743589747</x:v>
      </x:c>
      <x:c r="AB2897" s="28" t="n">
        <x:f>J2897-K2897</x:f>
        <x:v>4</x:v>
      </x:c>
      <x:c r="AC2897" s="32" t="n">
        <x:f>F2897-G2897</x:f>
        <x:v>2</x:v>
      </x:c>
    </x:row>
    <x:row r="2898">
      <x:c r="A2898" s="4" t="str">
        <x:v>2024-25</x:v>
      </x:c>
      <x:c r="B2898" s="20" t="n">
        <x:v>45754</x:v>
      </x:c>
      <x:c r="C2898" s="4" t="str">
        <x:v>Leicester</x:v>
      </x:c>
      <x:c r="D2898" s="4" t="str">
        <x:v>Newcastle</x:v>
      </x:c>
      <x:c r="E2898" s="4" t="str">
        <x:v>Home</x:v>
      </x:c>
      <x:c r="F2898" s="28" t="n">
        <x:v>0</x:v>
      </x:c>
      <x:c r="G2898" s="28" t="n">
        <x:v>3</x:v>
      </x:c>
      <x:c r="H2898" s="28" t="n">
        <x:v>7</x:v>
      </x:c>
      <x:c r="I2898" s="28" t="n">
        <x:v>16</x:v>
      </x:c>
      <x:c r="J2898" s="28" t="n">
        <x:v>2</x:v>
      </x:c>
      <x:c r="K2898" s="28" t="n">
        <x:v>5</x:v>
      </x:c>
      <x:c r="L2898" s="28" t="n">
        <x:v>12</x:v>
      </x:c>
      <x:c r="M2898" s="28" t="n">
        <x:v>2</x:v>
      </x:c>
      <x:c r="N2898" s="28" t="n">
        <x:v>2</x:v>
      </x:c>
      <x:c r="O2898" s="28" t="n">
        <x:v>0</x:v>
      </x:c>
      <x:c r="P2898" s="28" t="n">
        <x:v>0</x:v>
      </x:c>
      <x:c r="Q2898" s="24" t="n">
        <x:f>IFERROR(J2898/H2898,0)</x:f>
        <x:v>0.2857142857142857</x:v>
      </x:c>
      <x:c r="R2898" s="24" t="n">
        <x:f>IFERROR(F2898/H2898,0)</x:f>
        <x:v>0</x:v>
      </x:c>
      <x:c r="S2898" s="24" t="n">
        <x:f>IFERROR(F2898/J2898,0)</x:f>
        <x:v>0</x:v>
      </x:c>
      <x:c r="T2898" s="28" t="n">
        <x:f>H2898-I2898</x:f>
        <x:v>-9</x:v>
      </x:c>
      <x:c r="U2898" s="24" t="n">
        <x:f>IFERROR(J2898/H2898,0)-IFERROR(K2898/I2898,0)</x:f>
        <x:v>-0.0267857142857143</x:v>
      </x:c>
      <x:c r="V2898" s="24" t="n">
        <x:f>IFERROR(F2898/J2898,0)-IFERROR(G2898/K2898,0)</x:f>
        <x:v>-0.6</x:v>
      </x:c>
      <x:c r="W2898" s="28" t="n">
        <x:f>L2898-M2898</x:f>
        <x:v>10</x:v>
      </x:c>
      <x:c r="X2898" s="24" t="n">
        <x:f>IFERROR(K2898/I2898,0)</x:f>
        <x:v>0.3125</x:v>
      </x:c>
      <x:c r="Y2898" s="24" t="n">
        <x:f>IFERROR(G2898/I2898,0)</x:f>
        <x:v>0.1875</x:v>
      </x:c>
      <x:c r="Z2898" s="24" t="n">
        <x:f>IFERROR(G2898/K2898,0)</x:f>
        <x:v>0.6</x:v>
      </x:c>
      <x:c r="AA2898" s="24" t="n">
        <x:f>IFERROR(F2898/H2898,0)-IFERROR(G2898/I2898,0)</x:f>
        <x:v>-0.1875</x:v>
      </x:c>
      <x:c r="AB2898" s="28" t="n">
        <x:f>J2898-K2898</x:f>
        <x:v>-3</x:v>
      </x:c>
      <x:c r="AC2898" s="32" t="n">
        <x:f>F2898-G2898</x:f>
        <x:v>-3</x:v>
      </x:c>
    </x:row>
    <x:row r="2899">
      <x:c r="A2899" s="4" t="str">
        <x:v>2024-25</x:v>
      </x:c>
      <x:c r="B2899" s="20" t="n">
        <x:v>45754</x:v>
      </x:c>
      <x:c r="C2899" s="4" t="str">
        <x:v>Newcastle</x:v>
      </x:c>
      <x:c r="D2899" s="4" t="str">
        <x:v>Leicester</x:v>
      </x:c>
      <x:c r="E2899" s="4" t="str">
        <x:v>Away</x:v>
      </x:c>
      <x:c r="F2899" s="28" t="n">
        <x:v>3</x:v>
      </x:c>
      <x:c r="G2899" s="28" t="n">
        <x:v>0</x:v>
      </x:c>
      <x:c r="H2899" s="28" t="n">
        <x:v>16</x:v>
      </x:c>
      <x:c r="I2899" s="28" t="n">
        <x:v>7</x:v>
      </x:c>
      <x:c r="J2899" s="28" t="n">
        <x:v>5</x:v>
      </x:c>
      <x:c r="K2899" s="28" t="n">
        <x:v>2</x:v>
      </x:c>
      <x:c r="L2899" s="28" t="n">
        <x:v>2</x:v>
      </x:c>
      <x:c r="M2899" s="28" t="n">
        <x:v>12</x:v>
      </x:c>
      <x:c r="N2899" s="28" t="n">
        <x:v>0</x:v>
      </x:c>
      <x:c r="O2899" s="28" t="n">
        <x:v>0</x:v>
      </x:c>
      <x:c r="P2899" s="28" t="n">
        <x:v>3</x:v>
      </x:c>
      <x:c r="Q2899" s="24" t="n">
        <x:f>IFERROR(J2899/H2899,0)</x:f>
        <x:v>0.3125</x:v>
      </x:c>
      <x:c r="R2899" s="24" t="n">
        <x:f>IFERROR(F2899/H2899,0)</x:f>
        <x:v>0.1875</x:v>
      </x:c>
      <x:c r="S2899" s="24" t="n">
        <x:f>IFERROR(F2899/J2899,0)</x:f>
        <x:v>0.6</x:v>
      </x:c>
      <x:c r="T2899" s="28" t="n">
        <x:f>H2899-I2899</x:f>
        <x:v>9</x:v>
      </x:c>
      <x:c r="U2899" s="24" t="n">
        <x:f>IFERROR(J2899/H2899,0)-IFERROR(K2899/I2899,0)</x:f>
        <x:v>0.0267857142857143</x:v>
      </x:c>
      <x:c r="V2899" s="24" t="n">
        <x:f>IFERROR(F2899/J2899,0)-IFERROR(G2899/K2899,0)</x:f>
        <x:v>0.6</x:v>
      </x:c>
      <x:c r="W2899" s="28" t="n">
        <x:f>L2899-M2899</x:f>
        <x:v>-10</x:v>
      </x:c>
      <x:c r="X2899" s="24" t="n">
        <x:f>IFERROR(K2899/I2899,0)</x:f>
        <x:v>0.2857142857142857</x:v>
      </x:c>
      <x:c r="Y2899" s="24" t="n">
        <x:f>IFERROR(G2899/I2899,0)</x:f>
        <x:v>0</x:v>
      </x:c>
      <x:c r="Z2899" s="24" t="n">
        <x:f>IFERROR(G2899/K2899,0)</x:f>
        <x:v>0</x:v>
      </x:c>
      <x:c r="AA2899" s="24" t="n">
        <x:f>IFERROR(F2899/H2899,0)-IFERROR(G2899/I2899,0)</x:f>
        <x:v>0.1875</x:v>
      </x:c>
      <x:c r="AB2899" s="28" t="n">
        <x:f>J2899-K2899</x:f>
        <x:v>3</x:v>
      </x:c>
      <x:c r="AC2899" s="32" t="n">
        <x:f>F2899-G2899</x:f>
        <x:v>3</x:v>
      </x:c>
    </x:row>
    <x:row r="2900">
      <x:c r="A2900" s="4" t="str">
        <x:v>2024-25</x:v>
      </x:c>
      <x:c r="B2900" s="20" t="n">
        <x:v>45759</x:v>
      </x:c>
      <x:c r="C2900" s="4" t="str">
        <x:v>Arsenal</x:v>
      </x:c>
      <x:c r="D2900" s="4" t="str">
        <x:v>Brentford</x:v>
      </x:c>
      <x:c r="E2900" s="4" t="str">
        <x:v>Home</x:v>
      </x:c>
      <x:c r="F2900" s="28" t="n">
        <x:v>1</x:v>
      </x:c>
      <x:c r="G2900" s="28" t="n">
        <x:v>1</x:v>
      </x:c>
      <x:c r="H2900" s="28" t="n">
        <x:v>14</x:v>
      </x:c>
      <x:c r="I2900" s="28" t="n">
        <x:v>3</x:v>
      </x:c>
      <x:c r="J2900" s="28" t="n">
        <x:v>3</x:v>
      </x:c>
      <x:c r="K2900" s="28" t="n">
        <x:v>2</x:v>
      </x:c>
      <x:c r="L2900" s="28" t="n">
        <x:v>13</x:v>
      </x:c>
      <x:c r="M2900" s="28" t="n">
        <x:v>5</x:v>
      </x:c>
      <x:c r="N2900" s="28" t="n">
        <x:v>1</x:v>
      </x:c>
      <x:c r="O2900" s="28" t="n">
        <x:v>0</x:v>
      </x:c>
      <x:c r="P2900" s="28" t="n">
        <x:v>1</x:v>
      </x:c>
      <x:c r="Q2900" s="24" t="n">
        <x:f>IFERROR(J2900/H2900,0)</x:f>
        <x:v>0.21428571428571427</x:v>
      </x:c>
      <x:c r="R2900" s="24" t="n">
        <x:f>IFERROR(F2900/H2900,0)</x:f>
        <x:v>0.07142857142857142</x:v>
      </x:c>
      <x:c r="S2900" s="24" t="n">
        <x:f>IFERROR(F2900/J2900,0)</x:f>
        <x:v>0.3333333333333333</x:v>
      </x:c>
      <x:c r="T2900" s="28" t="n">
        <x:f>H2900-I2900</x:f>
        <x:v>11</x:v>
      </x:c>
      <x:c r="U2900" s="24" t="n">
        <x:f>IFERROR(J2900/H2900,0)-IFERROR(K2900/I2900,0)</x:f>
        <x:v>-0.45238095238095233</x:v>
      </x:c>
      <x:c r="V2900" s="24" t="n">
        <x:f>IFERROR(F2900/J2900,0)-IFERROR(G2900/K2900,0)</x:f>
        <x:v>-0.16666666666666669</x:v>
      </x:c>
      <x:c r="W2900" s="28" t="n">
        <x:f>L2900-M2900</x:f>
        <x:v>8</x:v>
      </x:c>
      <x:c r="X2900" s="24" t="n">
        <x:f>IFERROR(K2900/I2900,0)</x:f>
        <x:v>0.6666666666666666</x:v>
      </x:c>
      <x:c r="Y2900" s="24" t="n">
        <x:f>IFERROR(G2900/I2900,0)</x:f>
        <x:v>0.3333333333333333</x:v>
      </x:c>
      <x:c r="Z2900" s="24" t="n">
        <x:f>IFERROR(G2900/K2900,0)</x:f>
        <x:v>0.5</x:v>
      </x:c>
      <x:c r="AA2900" s="24" t="n">
        <x:f>IFERROR(F2900/H2900,0)-IFERROR(G2900/I2900,0)</x:f>
        <x:v>-0.26190476190476186</x:v>
      </x:c>
      <x:c r="AB2900" s="28" t="n">
        <x:f>J2900-K2900</x:f>
        <x:v>1</x:v>
      </x:c>
      <x:c r="AC2900" s="32" t="n">
        <x:f>F2900-G2900</x:f>
        <x:v>0</x:v>
      </x:c>
    </x:row>
    <x:row r="2901">
      <x:c r="A2901" s="4" t="str">
        <x:v>2024-25</x:v>
      </x:c>
      <x:c r="B2901" s="20" t="n">
        <x:v>45759</x:v>
      </x:c>
      <x:c r="C2901" s="4" t="str">
        <x:v>Aston Villa</x:v>
      </x:c>
      <x:c r="D2901" s="4" t="str">
        <x:v>Southampton</x:v>
      </x:c>
      <x:c r="E2901" s="4" t="str">
        <x:v>Away</x:v>
      </x:c>
      <x:c r="F2901" s="28" t="n">
        <x:v>3</x:v>
      </x:c>
      <x:c r="G2901" s="28" t="n">
        <x:v>0</x:v>
      </x:c>
      <x:c r="H2901" s="28" t="n">
        <x:v>25</x:v>
      </x:c>
      <x:c r="I2901" s="28" t="n">
        <x:v>7</x:v>
      </x:c>
      <x:c r="J2901" s="28" t="n">
        <x:v>10</x:v>
      </x:c>
      <x:c r="K2901" s="28" t="n">
        <x:v>2</x:v>
      </x:c>
      <x:c r="L2901" s="28" t="n">
        <x:v>14</x:v>
      </x:c>
      <x:c r="M2901" s="28" t="n">
        <x:v>2</x:v>
      </x:c>
      <x:c r="N2901" s="28" t="n">
        <x:v>1</x:v>
      </x:c>
      <x:c r="O2901" s="28" t="n">
        <x:v>0</x:v>
      </x:c>
      <x:c r="P2901" s="28" t="n">
        <x:v>3</x:v>
      </x:c>
      <x:c r="Q2901" s="24" t="n">
        <x:f>IFERROR(J2901/H2901,0)</x:f>
        <x:v>0.4</x:v>
      </x:c>
      <x:c r="R2901" s="24" t="n">
        <x:f>IFERROR(F2901/H2901,0)</x:f>
        <x:v>0.12</x:v>
      </x:c>
      <x:c r="S2901" s="24" t="n">
        <x:f>IFERROR(F2901/J2901,0)</x:f>
        <x:v>0.3</x:v>
      </x:c>
      <x:c r="T2901" s="28" t="n">
        <x:f>H2901-I2901</x:f>
        <x:v>18</x:v>
      </x:c>
      <x:c r="U2901" s="24" t="n">
        <x:f>IFERROR(J2901/H2901,0)-IFERROR(K2901/I2901,0)</x:f>
        <x:v>0.11428571428571432</x:v>
      </x:c>
      <x:c r="V2901" s="24" t="n">
        <x:f>IFERROR(F2901/J2901,0)-IFERROR(G2901/K2901,0)</x:f>
        <x:v>0.3</x:v>
      </x:c>
      <x:c r="W2901" s="28" t="n">
        <x:f>L2901-M2901</x:f>
        <x:v>12</x:v>
      </x:c>
      <x:c r="X2901" s="24" t="n">
        <x:f>IFERROR(K2901/I2901,0)</x:f>
        <x:v>0.2857142857142857</x:v>
      </x:c>
      <x:c r="Y2901" s="24" t="n">
        <x:f>IFERROR(G2901/I2901,0)</x:f>
        <x:v>0</x:v>
      </x:c>
      <x:c r="Z2901" s="24" t="n">
        <x:f>IFERROR(G2901/K2901,0)</x:f>
        <x:v>0</x:v>
      </x:c>
      <x:c r="AA2901" s="24" t="n">
        <x:f>IFERROR(F2901/H2901,0)-IFERROR(G2901/I2901,0)</x:f>
        <x:v>0.12</x:v>
      </x:c>
      <x:c r="AB2901" s="28" t="n">
        <x:f>J2901-K2901</x:f>
        <x:v>8</x:v>
      </x:c>
      <x:c r="AC2901" s="32" t="n">
        <x:f>F2901-G2901</x:f>
        <x:v>3</x:v>
      </x:c>
    </x:row>
    <x:row r="2902">
      <x:c r="A2902" s="4" t="str">
        <x:v>2024-25</x:v>
      </x:c>
      <x:c r="B2902" s="20" t="n">
        <x:v>45759</x:v>
      </x:c>
      <x:c r="C2902" s="4" t="str">
        <x:v>Brentford</x:v>
      </x:c>
      <x:c r="D2902" s="4" t="str">
        <x:v>Arsenal</x:v>
      </x:c>
      <x:c r="E2902" s="4" t="str">
        <x:v>Away</x:v>
      </x:c>
      <x:c r="F2902" s="28" t="n">
        <x:v>1</x:v>
      </x:c>
      <x:c r="G2902" s="28" t="n">
        <x:v>1</x:v>
      </x:c>
      <x:c r="H2902" s="28" t="n">
        <x:v>3</x:v>
      </x:c>
      <x:c r="I2902" s="28" t="n">
        <x:v>14</x:v>
      </x:c>
      <x:c r="J2902" s="28" t="n">
        <x:v>2</x:v>
      </x:c>
      <x:c r="K2902" s="28" t="n">
        <x:v>3</x:v>
      </x:c>
      <x:c r="L2902" s="28" t="n">
        <x:v>5</x:v>
      </x:c>
      <x:c r="M2902" s="28" t="n">
        <x:v>13</x:v>
      </x:c>
      <x:c r="N2902" s="28" t="n">
        <x:v>3</x:v>
      </x:c>
      <x:c r="O2902" s="28" t="n">
        <x:v>0</x:v>
      </x:c>
      <x:c r="P2902" s="28" t="n">
        <x:v>1</x:v>
      </x:c>
      <x:c r="Q2902" s="24" t="n">
        <x:f>IFERROR(J2902/H2902,0)</x:f>
        <x:v>0.6666666666666666</x:v>
      </x:c>
      <x:c r="R2902" s="24" t="n">
        <x:f>IFERROR(F2902/H2902,0)</x:f>
        <x:v>0.3333333333333333</x:v>
      </x:c>
      <x:c r="S2902" s="24" t="n">
        <x:f>IFERROR(F2902/J2902,0)</x:f>
        <x:v>0.5</x:v>
      </x:c>
      <x:c r="T2902" s="28" t="n">
        <x:f>H2902-I2902</x:f>
        <x:v>-11</x:v>
      </x:c>
      <x:c r="U2902" s="24" t="n">
        <x:f>IFERROR(J2902/H2902,0)-IFERROR(K2902/I2902,0)</x:f>
        <x:v>0.45238095238095233</x:v>
      </x:c>
      <x:c r="V2902" s="24" t="n">
        <x:f>IFERROR(F2902/J2902,0)-IFERROR(G2902/K2902,0)</x:f>
        <x:v>0.16666666666666669</x:v>
      </x:c>
      <x:c r="W2902" s="28" t="n">
        <x:f>L2902-M2902</x:f>
        <x:v>-8</x:v>
      </x:c>
      <x:c r="X2902" s="24" t="n">
        <x:f>IFERROR(K2902/I2902,0)</x:f>
        <x:v>0.21428571428571427</x:v>
      </x:c>
      <x:c r="Y2902" s="24" t="n">
        <x:f>IFERROR(G2902/I2902,0)</x:f>
        <x:v>0.07142857142857142</x:v>
      </x:c>
      <x:c r="Z2902" s="24" t="n">
        <x:f>IFERROR(G2902/K2902,0)</x:f>
        <x:v>0.3333333333333333</x:v>
      </x:c>
      <x:c r="AA2902" s="24" t="n">
        <x:f>IFERROR(F2902/H2902,0)-IFERROR(G2902/I2902,0)</x:f>
        <x:v>0.26190476190476186</x:v>
      </x:c>
      <x:c r="AB2902" s="28" t="n">
        <x:f>J2902-K2902</x:f>
        <x:v>-1</x:v>
      </x:c>
      <x:c r="AC2902" s="32" t="n">
        <x:f>F2902-G2902</x:f>
        <x:v>0</x:v>
      </x:c>
    </x:row>
    <x:row r="2903">
      <x:c r="A2903" s="4" t="str">
        <x:v>2024-25</x:v>
      </x:c>
      <x:c r="B2903" s="20" t="n">
        <x:v>45759</x:v>
      </x:c>
      <x:c r="C2903" s="4" t="str">
        <x:v>Brighton</x:v>
      </x:c>
      <x:c r="D2903" s="4" t="str">
        <x:v>Leicester</x:v>
      </x:c>
      <x:c r="E2903" s="4" t="str">
        <x:v>Home</x:v>
      </x:c>
      <x:c r="F2903" s="28" t="n">
        <x:v>2</x:v>
      </x:c>
      <x:c r="G2903" s="28" t="n">
        <x:v>2</x:v>
      </x:c>
      <x:c r="H2903" s="28" t="n">
        <x:v>21</x:v>
      </x:c>
      <x:c r="I2903" s="28" t="n">
        <x:v>15</x:v>
      </x:c>
      <x:c r="J2903" s="28" t="n">
        <x:v>7</x:v>
      </x:c>
      <x:c r="K2903" s="28" t="n">
        <x:v>6</x:v>
      </x:c>
      <x:c r="L2903" s="28" t="n">
        <x:v>3</x:v>
      </x:c>
      <x:c r="M2903" s="28" t="n">
        <x:v>6</x:v>
      </x:c>
      <x:c r="N2903" s="28" t="n">
        <x:v>2</x:v>
      </x:c>
      <x:c r="O2903" s="28" t="n">
        <x:v>0</x:v>
      </x:c>
      <x:c r="P2903" s="28" t="n">
        <x:v>1</x:v>
      </x:c>
      <x:c r="Q2903" s="24" t="n">
        <x:f>IFERROR(J2903/H2903,0)</x:f>
        <x:v>0.3333333333333333</x:v>
      </x:c>
      <x:c r="R2903" s="24" t="n">
        <x:f>IFERROR(F2903/H2903,0)</x:f>
        <x:v>0.09523809523809523</x:v>
      </x:c>
      <x:c r="S2903" s="24" t="n">
        <x:f>IFERROR(F2903/J2903,0)</x:f>
        <x:v>0.2857142857142857</x:v>
      </x:c>
      <x:c r="T2903" s="28" t="n">
        <x:f>H2903-I2903</x:f>
        <x:v>6</x:v>
      </x:c>
      <x:c r="U2903" s="24" t="n">
        <x:f>IFERROR(J2903/H2903,0)-IFERROR(K2903/I2903,0)</x:f>
        <x:v>-0.06666666666666671</x:v>
      </x:c>
      <x:c r="V2903" s="24" t="n">
        <x:f>IFERROR(F2903/J2903,0)-IFERROR(G2903/K2903,0)</x:f>
        <x:v>-0.047619047619047616</x:v>
      </x:c>
      <x:c r="W2903" s="28" t="n">
        <x:f>L2903-M2903</x:f>
        <x:v>-3</x:v>
      </x:c>
      <x:c r="X2903" s="24" t="n">
        <x:f>IFERROR(K2903/I2903,0)</x:f>
        <x:v>0.4</x:v>
      </x:c>
      <x:c r="Y2903" s="24" t="n">
        <x:f>IFERROR(G2903/I2903,0)</x:f>
        <x:v>0.13333333333333333</x:v>
      </x:c>
      <x:c r="Z2903" s="24" t="n">
        <x:f>IFERROR(G2903/K2903,0)</x:f>
        <x:v>0.3333333333333333</x:v>
      </x:c>
      <x:c r="AA2903" s="24" t="n">
        <x:f>IFERROR(F2903/H2903,0)-IFERROR(G2903/I2903,0)</x:f>
        <x:v>-0.0380952380952381</x:v>
      </x:c>
      <x:c r="AB2903" s="28" t="n">
        <x:f>J2903-K2903</x:f>
        <x:v>1</x:v>
      </x:c>
      <x:c r="AC2903" s="32" t="n">
        <x:f>F2903-G2903</x:f>
        <x:v>0</x:v>
      </x:c>
    </x:row>
    <x:row r="2904">
      <x:c r="A2904" s="4" t="str">
        <x:v>2024-25</x:v>
      </x:c>
      <x:c r="B2904" s="20" t="n">
        <x:v>45759</x:v>
      </x:c>
      <x:c r="C2904" s="4" t="str">
        <x:v>Crystal Palace</x:v>
      </x:c>
      <x:c r="D2904" s="4" t="str">
        <x:v>Man City</x:v>
      </x:c>
      <x:c r="E2904" s="4" t="str">
        <x:v>Away</x:v>
      </x:c>
      <x:c r="F2904" s="28" t="n">
        <x:v>2</x:v>
      </x:c>
      <x:c r="G2904" s="28" t="n">
        <x:v>5</x:v>
      </x:c>
      <x:c r="H2904" s="28" t="n">
        <x:v>8</x:v>
      </x:c>
      <x:c r="I2904" s="28" t="n">
        <x:v>21</x:v>
      </x:c>
      <x:c r="J2904" s="28" t="n">
        <x:v>3</x:v>
      </x:c>
      <x:c r="K2904" s="28" t="n">
        <x:v>9</x:v>
      </x:c>
      <x:c r="L2904" s="28" t="n">
        <x:v>4</x:v>
      </x:c>
      <x:c r="M2904" s="28" t="n">
        <x:v>1</x:v>
      </x:c>
      <x:c r="N2904" s="28" t="n">
        <x:v>3</x:v>
      </x:c>
      <x:c r="O2904" s="28" t="n">
        <x:v>0</x:v>
      </x:c>
      <x:c r="P2904" s="28" t="n">
        <x:v>0</x:v>
      </x:c>
      <x:c r="Q2904" s="24" t="n">
        <x:f>IFERROR(J2904/H2904,0)</x:f>
        <x:v>0.375</x:v>
      </x:c>
      <x:c r="R2904" s="24" t="n">
        <x:f>IFERROR(F2904/H2904,0)</x:f>
        <x:v>0.25</x:v>
      </x:c>
      <x:c r="S2904" s="24" t="n">
        <x:f>IFERROR(F2904/J2904,0)</x:f>
        <x:v>0.6666666666666666</x:v>
      </x:c>
      <x:c r="T2904" s="28" t="n">
        <x:f>H2904-I2904</x:f>
        <x:v>-13</x:v>
      </x:c>
      <x:c r="U2904" s="24" t="n">
        <x:f>IFERROR(J2904/H2904,0)-IFERROR(K2904/I2904,0)</x:f>
        <x:v>-0.05357142857142855</x:v>
      </x:c>
      <x:c r="V2904" s="24" t="n">
        <x:f>IFERROR(F2904/J2904,0)-IFERROR(G2904/K2904,0)</x:f>
        <x:v>0.11111111111111105</x:v>
      </x:c>
      <x:c r="W2904" s="28" t="n">
        <x:f>L2904-M2904</x:f>
        <x:v>3</x:v>
      </x:c>
      <x:c r="X2904" s="24" t="n">
        <x:f>IFERROR(K2904/I2904,0)</x:f>
        <x:v>0.42857142857142855</x:v>
      </x:c>
      <x:c r="Y2904" s="24" t="n">
        <x:f>IFERROR(G2904/I2904,0)</x:f>
        <x:v>0.23809523809523808</x:v>
      </x:c>
      <x:c r="Z2904" s="24" t="n">
        <x:f>IFERROR(G2904/K2904,0)</x:f>
        <x:v>0.5555555555555556</x:v>
      </x:c>
      <x:c r="AA2904" s="24" t="n">
        <x:f>IFERROR(F2904/H2904,0)-IFERROR(G2904/I2904,0)</x:f>
        <x:v>0.011904761904761918</x:v>
      </x:c>
      <x:c r="AB2904" s="28" t="n">
        <x:f>J2904-K2904</x:f>
        <x:v>-6</x:v>
      </x:c>
      <x:c r="AC2904" s="32" t="n">
        <x:f>F2904-G2904</x:f>
        <x:v>-3</x:v>
      </x:c>
    </x:row>
    <x:row r="2905">
      <x:c r="A2905" s="4" t="str">
        <x:v>2024-25</x:v>
      </x:c>
      <x:c r="B2905" s="20" t="n">
        <x:v>45759</x:v>
      </x:c>
      <x:c r="C2905" s="4" t="str">
        <x:v>Everton</x:v>
      </x:c>
      <x:c r="D2905" s="4" t="str">
        <x:v>Nott'm Forest</x:v>
      </x:c>
      <x:c r="E2905" s="4" t="str">
        <x:v>Away</x:v>
      </x:c>
      <x:c r="F2905" s="28" t="n">
        <x:v>1</x:v>
      </x:c>
      <x:c r="G2905" s="28" t="n">
        <x:v>0</x:v>
      </x:c>
      <x:c r="H2905" s="28" t="n">
        <x:v>13</x:v>
      </x:c>
      <x:c r="I2905" s="28" t="n">
        <x:v>10</x:v>
      </x:c>
      <x:c r="J2905" s="28" t="n">
        <x:v>5</x:v>
      </x:c>
      <x:c r="K2905" s="28" t="n">
        <x:v>5</x:v>
      </x:c>
      <x:c r="L2905" s="28" t="n">
        <x:v>7</x:v>
      </x:c>
      <x:c r="M2905" s="28" t="n">
        <x:v>1</x:v>
      </x:c>
      <x:c r="N2905" s="28" t="n">
        <x:v>3</x:v>
      </x:c>
      <x:c r="O2905" s="28" t="n">
        <x:v>0</x:v>
      </x:c>
      <x:c r="P2905" s="28" t="n">
        <x:v>3</x:v>
      </x:c>
      <x:c r="Q2905" s="24" t="n">
        <x:f>IFERROR(J2905/H2905,0)</x:f>
        <x:v>0.38461538461538464</x:v>
      </x:c>
      <x:c r="R2905" s="24" t="n">
        <x:f>IFERROR(F2905/H2905,0)</x:f>
        <x:v>0.07692307692307693</x:v>
      </x:c>
      <x:c r="S2905" s="24" t="n">
        <x:f>IFERROR(F2905/J2905,0)</x:f>
        <x:v>0.2</x:v>
      </x:c>
      <x:c r="T2905" s="28" t="n">
        <x:f>H2905-I2905</x:f>
        <x:v>3</x:v>
      </x:c>
      <x:c r="U2905" s="24" t="n">
        <x:f>IFERROR(J2905/H2905,0)-IFERROR(K2905/I2905,0)</x:f>
        <x:v>-0.11538461538461536</x:v>
      </x:c>
      <x:c r="V2905" s="24" t="n">
        <x:f>IFERROR(F2905/J2905,0)-IFERROR(G2905/K2905,0)</x:f>
        <x:v>0.2</x:v>
      </x:c>
      <x:c r="W2905" s="28" t="n">
        <x:f>L2905-M2905</x:f>
        <x:v>6</x:v>
      </x:c>
      <x:c r="X2905" s="24" t="n">
        <x:f>IFERROR(K2905/I2905,0)</x:f>
        <x:v>0.5</x:v>
      </x:c>
      <x:c r="Y2905" s="24" t="n">
        <x:f>IFERROR(G2905/I2905,0)</x:f>
        <x:v>0</x:v>
      </x:c>
      <x:c r="Z2905" s="24" t="n">
        <x:f>IFERROR(G2905/K2905,0)</x:f>
        <x:v>0</x:v>
      </x:c>
      <x:c r="AA2905" s="24" t="n">
        <x:f>IFERROR(F2905/H2905,0)-IFERROR(G2905/I2905,0)</x:f>
        <x:v>0.07692307692307693</x:v>
      </x:c>
      <x:c r="AB2905" s="28" t="n">
        <x:f>J2905-K2905</x:f>
        <x:v>0</x:v>
      </x:c>
      <x:c r="AC2905" s="32" t="n">
        <x:f>F2905-G2905</x:f>
        <x:v>1</x:v>
      </x:c>
    </x:row>
    <x:row r="2906">
      <x:c r="A2906" s="4" t="str">
        <x:v>2024-25</x:v>
      </x:c>
      <x:c r="B2906" s="20" t="n">
        <x:v>45759</x:v>
      </x:c>
      <x:c r="C2906" s="4" t="str">
        <x:v>Leicester</x:v>
      </x:c>
      <x:c r="D2906" s="4" t="str">
        <x:v>Brighton</x:v>
      </x:c>
      <x:c r="E2906" s="4" t="str">
        <x:v>Away</x:v>
      </x:c>
      <x:c r="F2906" s="28" t="n">
        <x:v>2</x:v>
      </x:c>
      <x:c r="G2906" s="28" t="n">
        <x:v>2</x:v>
      </x:c>
      <x:c r="H2906" s="28" t="n">
        <x:v>15</x:v>
      </x:c>
      <x:c r="I2906" s="28" t="n">
        <x:v>21</x:v>
      </x:c>
      <x:c r="J2906" s="28" t="n">
        <x:v>6</x:v>
      </x:c>
      <x:c r="K2906" s="28" t="n">
        <x:v>7</x:v>
      </x:c>
      <x:c r="L2906" s="28" t="n">
        <x:v>6</x:v>
      </x:c>
      <x:c r="M2906" s="28" t="n">
        <x:v>3</x:v>
      </x:c>
      <x:c r="N2906" s="28" t="n">
        <x:v>5</x:v>
      </x:c>
      <x:c r="O2906" s="28" t="n">
        <x:v>0</x:v>
      </x:c>
      <x:c r="P2906" s="28" t="n">
        <x:v>1</x:v>
      </x:c>
      <x:c r="Q2906" s="24" t="n">
        <x:f>IFERROR(J2906/H2906,0)</x:f>
        <x:v>0.4</x:v>
      </x:c>
      <x:c r="R2906" s="24" t="n">
        <x:f>IFERROR(F2906/H2906,0)</x:f>
        <x:v>0.13333333333333333</x:v>
      </x:c>
      <x:c r="S2906" s="24" t="n">
        <x:f>IFERROR(F2906/J2906,0)</x:f>
        <x:v>0.3333333333333333</x:v>
      </x:c>
      <x:c r="T2906" s="28" t="n">
        <x:f>H2906-I2906</x:f>
        <x:v>-6</x:v>
      </x:c>
      <x:c r="U2906" s="24" t="n">
        <x:f>IFERROR(J2906/H2906,0)-IFERROR(K2906/I2906,0)</x:f>
        <x:v>0.06666666666666671</x:v>
      </x:c>
      <x:c r="V2906" s="24" t="n">
        <x:f>IFERROR(F2906/J2906,0)-IFERROR(G2906/K2906,0)</x:f>
        <x:v>0.047619047619047616</x:v>
      </x:c>
      <x:c r="W2906" s="28" t="n">
        <x:f>L2906-M2906</x:f>
        <x:v>3</x:v>
      </x:c>
      <x:c r="X2906" s="24" t="n">
        <x:f>IFERROR(K2906/I2906,0)</x:f>
        <x:v>0.3333333333333333</x:v>
      </x:c>
      <x:c r="Y2906" s="24" t="n">
        <x:f>IFERROR(G2906/I2906,0)</x:f>
        <x:v>0.09523809523809523</x:v>
      </x:c>
      <x:c r="Z2906" s="24" t="n">
        <x:f>IFERROR(G2906/K2906,0)</x:f>
        <x:v>0.2857142857142857</x:v>
      </x:c>
      <x:c r="AA2906" s="24" t="n">
        <x:f>IFERROR(F2906/H2906,0)-IFERROR(G2906/I2906,0)</x:f>
        <x:v>0.0380952380952381</x:v>
      </x:c>
      <x:c r="AB2906" s="28" t="n">
        <x:f>J2906-K2906</x:f>
        <x:v>-1</x:v>
      </x:c>
      <x:c r="AC2906" s="32" t="n">
        <x:f>F2906-G2906</x:f>
        <x:v>0</x:v>
      </x:c>
    </x:row>
    <x:row r="2907">
      <x:c r="A2907" s="4" t="str">
        <x:v>2024-25</x:v>
      </x:c>
      <x:c r="B2907" s="20" t="n">
        <x:v>45759</x:v>
      </x:c>
      <x:c r="C2907" s="4" t="str">
        <x:v>Man City</x:v>
      </x:c>
      <x:c r="D2907" s="4" t="str">
        <x:v>Crystal Palace</x:v>
      </x:c>
      <x:c r="E2907" s="4" t="str">
        <x:v>Home</x:v>
      </x:c>
      <x:c r="F2907" s="28" t="n">
        <x:v>5</x:v>
      </x:c>
      <x:c r="G2907" s="28" t="n">
        <x:v>2</x:v>
      </x:c>
      <x:c r="H2907" s="28" t="n">
        <x:v>21</x:v>
      </x:c>
      <x:c r="I2907" s="28" t="n">
        <x:v>8</x:v>
      </x:c>
      <x:c r="J2907" s="28" t="n">
        <x:v>9</x:v>
      </x:c>
      <x:c r="K2907" s="28" t="n">
        <x:v>3</x:v>
      </x:c>
      <x:c r="L2907" s="28" t="n">
        <x:v>1</x:v>
      </x:c>
      <x:c r="M2907" s="28" t="n">
        <x:v>4</x:v>
      </x:c>
      <x:c r="N2907" s="28" t="n">
        <x:v>2</x:v>
      </x:c>
      <x:c r="O2907" s="28" t="n">
        <x:v>0</x:v>
      </x:c>
      <x:c r="P2907" s="28" t="n">
        <x:v>3</x:v>
      </x:c>
      <x:c r="Q2907" s="24" t="n">
        <x:f>IFERROR(J2907/H2907,0)</x:f>
        <x:v>0.42857142857142855</x:v>
      </x:c>
      <x:c r="R2907" s="24" t="n">
        <x:f>IFERROR(F2907/H2907,0)</x:f>
        <x:v>0.23809523809523808</x:v>
      </x:c>
      <x:c r="S2907" s="24" t="n">
        <x:f>IFERROR(F2907/J2907,0)</x:f>
        <x:v>0.5555555555555556</x:v>
      </x:c>
      <x:c r="T2907" s="28" t="n">
        <x:f>H2907-I2907</x:f>
        <x:v>13</x:v>
      </x:c>
      <x:c r="U2907" s="24" t="n">
        <x:f>IFERROR(J2907/H2907,0)-IFERROR(K2907/I2907,0)</x:f>
        <x:v>0.05357142857142855</x:v>
      </x:c>
      <x:c r="V2907" s="24" t="n">
        <x:f>IFERROR(F2907/J2907,0)-IFERROR(G2907/K2907,0)</x:f>
        <x:v>-0.11111111111111105</x:v>
      </x:c>
      <x:c r="W2907" s="28" t="n">
        <x:f>L2907-M2907</x:f>
        <x:v>-3</x:v>
      </x:c>
      <x:c r="X2907" s="24" t="n">
        <x:f>IFERROR(K2907/I2907,0)</x:f>
        <x:v>0.375</x:v>
      </x:c>
      <x:c r="Y2907" s="24" t="n">
        <x:f>IFERROR(G2907/I2907,0)</x:f>
        <x:v>0.25</x:v>
      </x:c>
      <x:c r="Z2907" s="24" t="n">
        <x:f>IFERROR(G2907/K2907,0)</x:f>
        <x:v>0.6666666666666666</x:v>
      </x:c>
      <x:c r="AA2907" s="24" t="n">
        <x:f>IFERROR(F2907/H2907,0)-IFERROR(G2907/I2907,0)</x:f>
        <x:v>-0.011904761904761918</x:v>
      </x:c>
      <x:c r="AB2907" s="28" t="n">
        <x:f>J2907-K2907</x:f>
        <x:v>6</x:v>
      </x:c>
      <x:c r="AC2907" s="32" t="n">
        <x:f>F2907-G2907</x:f>
        <x:v>3</x:v>
      </x:c>
    </x:row>
    <x:row r="2908">
      <x:c r="A2908" s="4" t="str">
        <x:v>2024-25</x:v>
      </x:c>
      <x:c r="B2908" s="20" t="n">
        <x:v>45759</x:v>
      </x:c>
      <x:c r="C2908" s="4" t="str">
        <x:v>Nott'm Forest</x:v>
      </x:c>
      <x:c r="D2908" s="4" t="str">
        <x:v>Everton</x:v>
      </x:c>
      <x:c r="E2908" s="4" t="str">
        <x:v>Home</x:v>
      </x:c>
      <x:c r="F2908" s="28" t="n">
        <x:v>0</x:v>
      </x:c>
      <x:c r="G2908" s="28" t="n">
        <x:v>1</x:v>
      </x:c>
      <x:c r="H2908" s="28" t="n">
        <x:v>10</x:v>
      </x:c>
      <x:c r="I2908" s="28" t="n">
        <x:v>13</x:v>
      </x:c>
      <x:c r="J2908" s="28" t="n">
        <x:v>5</x:v>
      </x:c>
      <x:c r="K2908" s="28" t="n">
        <x:v>5</x:v>
      </x:c>
      <x:c r="L2908" s="28" t="n">
        <x:v>1</x:v>
      </x:c>
      <x:c r="M2908" s="28" t="n">
        <x:v>7</x:v>
      </x:c>
      <x:c r="N2908" s="28" t="n">
        <x:v>0</x:v>
      </x:c>
      <x:c r="O2908" s="28" t="n">
        <x:v>0</x:v>
      </x:c>
      <x:c r="P2908" s="28" t="n">
        <x:v>0</x:v>
      </x:c>
      <x:c r="Q2908" s="24" t="n">
        <x:f>IFERROR(J2908/H2908,0)</x:f>
        <x:v>0.5</x:v>
      </x:c>
      <x:c r="R2908" s="24" t="n">
        <x:f>IFERROR(F2908/H2908,0)</x:f>
        <x:v>0</x:v>
      </x:c>
      <x:c r="S2908" s="24" t="n">
        <x:f>IFERROR(F2908/J2908,0)</x:f>
        <x:v>0</x:v>
      </x:c>
      <x:c r="T2908" s="28" t="n">
        <x:f>H2908-I2908</x:f>
        <x:v>-3</x:v>
      </x:c>
      <x:c r="U2908" s="24" t="n">
        <x:f>IFERROR(J2908/H2908,0)-IFERROR(K2908/I2908,0)</x:f>
        <x:v>0.11538461538461536</x:v>
      </x:c>
      <x:c r="V2908" s="24" t="n">
        <x:f>IFERROR(F2908/J2908,0)-IFERROR(G2908/K2908,0)</x:f>
        <x:v>-0.2</x:v>
      </x:c>
      <x:c r="W2908" s="28" t="n">
        <x:f>L2908-M2908</x:f>
        <x:v>-6</x:v>
      </x:c>
      <x:c r="X2908" s="24" t="n">
        <x:f>IFERROR(K2908/I2908,0)</x:f>
        <x:v>0.38461538461538464</x:v>
      </x:c>
      <x:c r="Y2908" s="24" t="n">
        <x:f>IFERROR(G2908/I2908,0)</x:f>
        <x:v>0.07692307692307693</x:v>
      </x:c>
      <x:c r="Z2908" s="24" t="n">
        <x:f>IFERROR(G2908/K2908,0)</x:f>
        <x:v>0.2</x:v>
      </x:c>
      <x:c r="AA2908" s="24" t="n">
        <x:f>IFERROR(F2908/H2908,0)-IFERROR(G2908/I2908,0)</x:f>
        <x:v>-0.07692307692307693</x:v>
      </x:c>
      <x:c r="AB2908" s="28" t="n">
        <x:f>J2908-K2908</x:f>
        <x:v>0</x:v>
      </x:c>
      <x:c r="AC2908" s="32" t="n">
        <x:f>F2908-G2908</x:f>
        <x:v>-1</x:v>
      </x:c>
    </x:row>
    <x:row r="2909">
      <x:c r="A2909" s="4" t="str">
        <x:v>2024-25</x:v>
      </x:c>
      <x:c r="B2909" s="20" t="n">
        <x:v>45759</x:v>
      </x:c>
      <x:c r="C2909" s="4" t="str">
        <x:v>Southampton</x:v>
      </x:c>
      <x:c r="D2909" s="4" t="str">
        <x:v>Aston Villa</x:v>
      </x:c>
      <x:c r="E2909" s="4" t="str">
        <x:v>Home</x:v>
      </x:c>
      <x:c r="F2909" s="28" t="n">
        <x:v>0</x:v>
      </x:c>
      <x:c r="G2909" s="28" t="n">
        <x:v>3</x:v>
      </x:c>
      <x:c r="H2909" s="28" t="n">
        <x:v>7</x:v>
      </x:c>
      <x:c r="I2909" s="28" t="n">
        <x:v>25</x:v>
      </x:c>
      <x:c r="J2909" s="28" t="n">
        <x:v>2</x:v>
      </x:c>
      <x:c r="K2909" s="28" t="n">
        <x:v>10</x:v>
      </x:c>
      <x:c r="L2909" s="28" t="n">
        <x:v>2</x:v>
      </x:c>
      <x:c r="M2909" s="28" t="n">
        <x:v>14</x:v>
      </x:c>
      <x:c r="N2909" s="28" t="n">
        <x:v>3</x:v>
      </x:c>
      <x:c r="O2909" s="28" t="n">
        <x:v>0</x:v>
      </x:c>
      <x:c r="P2909" s="28" t="n">
        <x:v>0</x:v>
      </x:c>
      <x:c r="Q2909" s="24" t="n">
        <x:f>IFERROR(J2909/H2909,0)</x:f>
        <x:v>0.2857142857142857</x:v>
      </x:c>
      <x:c r="R2909" s="24" t="n">
        <x:f>IFERROR(F2909/H2909,0)</x:f>
        <x:v>0</x:v>
      </x:c>
      <x:c r="S2909" s="24" t="n">
        <x:f>IFERROR(F2909/J2909,0)</x:f>
        <x:v>0</x:v>
      </x:c>
      <x:c r="T2909" s="28" t="n">
        <x:f>H2909-I2909</x:f>
        <x:v>-18</x:v>
      </x:c>
      <x:c r="U2909" s="24" t="n">
        <x:f>IFERROR(J2909/H2909,0)-IFERROR(K2909/I2909,0)</x:f>
        <x:v>-0.11428571428571432</x:v>
      </x:c>
      <x:c r="V2909" s="24" t="n">
        <x:f>IFERROR(F2909/J2909,0)-IFERROR(G2909/K2909,0)</x:f>
        <x:v>-0.3</x:v>
      </x:c>
      <x:c r="W2909" s="28" t="n">
        <x:f>L2909-M2909</x:f>
        <x:v>-12</x:v>
      </x:c>
      <x:c r="X2909" s="24" t="n">
        <x:f>IFERROR(K2909/I2909,0)</x:f>
        <x:v>0.4</x:v>
      </x:c>
      <x:c r="Y2909" s="24" t="n">
        <x:f>IFERROR(G2909/I2909,0)</x:f>
        <x:v>0.12</x:v>
      </x:c>
      <x:c r="Z2909" s="24" t="n">
        <x:f>IFERROR(G2909/K2909,0)</x:f>
        <x:v>0.3</x:v>
      </x:c>
      <x:c r="AA2909" s="24" t="n">
        <x:f>IFERROR(F2909/H2909,0)-IFERROR(G2909/I2909,0)</x:f>
        <x:v>-0.12</x:v>
      </x:c>
      <x:c r="AB2909" s="28" t="n">
        <x:f>J2909-K2909</x:f>
        <x:v>-8</x:v>
      </x:c>
      <x:c r="AC2909" s="32" t="n">
        <x:f>F2909-G2909</x:f>
        <x:v>-3</x:v>
      </x:c>
    </x:row>
    <x:row r="2910">
      <x:c r="A2910" s="4" t="str">
        <x:v>2024-25</x:v>
      </x:c>
      <x:c r="B2910" s="20" t="n">
        <x:v>45760</x:v>
      </x:c>
      <x:c r="C2910" s="4" t="str">
        <x:v>Chelsea</x:v>
      </x:c>
      <x:c r="D2910" s="4" t="str">
        <x:v>Ipswich</x:v>
      </x:c>
      <x:c r="E2910" s="4" t="str">
        <x:v>Home</x:v>
      </x:c>
      <x:c r="F2910" s="28" t="n">
        <x:v>2</x:v>
      </x:c>
      <x:c r="G2910" s="28" t="n">
        <x:v>2</x:v>
      </x:c>
      <x:c r="H2910" s="28" t="n">
        <x:v>34</x:v>
      </x:c>
      <x:c r="I2910" s="28" t="n">
        <x:v>13</x:v>
      </x:c>
      <x:c r="J2910" s="28" t="n">
        <x:v>9</x:v>
      </x:c>
      <x:c r="K2910" s="28" t="n">
        <x:v>4</x:v>
      </x:c>
      <x:c r="L2910" s="28" t="n">
        <x:v>15</x:v>
      </x:c>
      <x:c r="M2910" s="28" t="n">
        <x:v>4</x:v>
      </x:c>
      <x:c r="N2910" s="28" t="n">
        <x:v>2</x:v>
      </x:c>
      <x:c r="O2910" s="28" t="n">
        <x:v>0</x:v>
      </x:c>
      <x:c r="P2910" s="28" t="n">
        <x:v>1</x:v>
      </x:c>
      <x:c r="Q2910" s="24" t="n">
        <x:f>IFERROR(J2910/H2910,0)</x:f>
        <x:v>0.2647058823529412</x:v>
      </x:c>
      <x:c r="R2910" s="24" t="n">
        <x:f>IFERROR(F2910/H2910,0)</x:f>
        <x:v>0.058823529411764705</x:v>
      </x:c>
      <x:c r="S2910" s="24" t="n">
        <x:f>IFERROR(F2910/J2910,0)</x:f>
        <x:v>0.2222222222222222</x:v>
      </x:c>
      <x:c r="T2910" s="28" t="n">
        <x:f>H2910-I2910</x:f>
        <x:v>21</x:v>
      </x:c>
      <x:c r="U2910" s="24" t="n">
        <x:f>IFERROR(J2910/H2910,0)-IFERROR(K2910/I2910,0)</x:f>
        <x:v>-0.04298642533936653</x:v>
      </x:c>
      <x:c r="V2910" s="24" t="n">
        <x:f>IFERROR(F2910/J2910,0)-IFERROR(G2910/K2910,0)</x:f>
        <x:v>-0.2777777777777778</x:v>
      </x:c>
      <x:c r="W2910" s="28" t="n">
        <x:f>L2910-M2910</x:f>
        <x:v>11</x:v>
      </x:c>
      <x:c r="X2910" s="24" t="n">
        <x:f>IFERROR(K2910/I2910,0)</x:f>
        <x:v>0.3076923076923077</x:v>
      </x:c>
      <x:c r="Y2910" s="24" t="n">
        <x:f>IFERROR(G2910/I2910,0)</x:f>
        <x:v>0.15384615384615385</x:v>
      </x:c>
      <x:c r="Z2910" s="24" t="n">
        <x:f>IFERROR(G2910/K2910,0)</x:f>
        <x:v>0.5</x:v>
      </x:c>
      <x:c r="AA2910" s="24" t="n">
        <x:f>IFERROR(F2910/H2910,0)-IFERROR(G2910/I2910,0)</x:f>
        <x:v>-0.09502262443438915</x:v>
      </x:c>
      <x:c r="AB2910" s="28" t="n">
        <x:f>J2910-K2910</x:f>
        <x:v>5</x:v>
      </x:c>
      <x:c r="AC2910" s="32" t="n">
        <x:f>F2910-G2910</x:f>
        <x:v>0</x:v>
      </x:c>
    </x:row>
    <x:row r="2911">
      <x:c r="A2911" s="4" t="str">
        <x:v>2024-25</x:v>
      </x:c>
      <x:c r="B2911" s="20" t="n">
        <x:v>45760</x:v>
      </x:c>
      <x:c r="C2911" s="4" t="str">
        <x:v>Ipswich</x:v>
      </x:c>
      <x:c r="D2911" s="4" t="str">
        <x:v>Chelsea</x:v>
      </x:c>
      <x:c r="E2911" s="4" t="str">
        <x:v>Away</x:v>
      </x:c>
      <x:c r="F2911" s="28" t="n">
        <x:v>2</x:v>
      </x:c>
      <x:c r="G2911" s="28" t="n">
        <x:v>2</x:v>
      </x:c>
      <x:c r="H2911" s="28" t="n">
        <x:v>13</x:v>
      </x:c>
      <x:c r="I2911" s="28" t="n">
        <x:v>34</x:v>
      </x:c>
      <x:c r="J2911" s="28" t="n">
        <x:v>4</x:v>
      </x:c>
      <x:c r="K2911" s="28" t="n">
        <x:v>9</x:v>
      </x:c>
      <x:c r="L2911" s="28" t="n">
        <x:v>4</x:v>
      </x:c>
      <x:c r="M2911" s="28" t="n">
        <x:v>15</x:v>
      </x:c>
      <x:c r="N2911" s="28" t="n">
        <x:v>2</x:v>
      </x:c>
      <x:c r="O2911" s="28" t="n">
        <x:v>0</x:v>
      </x:c>
      <x:c r="P2911" s="28" t="n">
        <x:v>1</x:v>
      </x:c>
      <x:c r="Q2911" s="24" t="n">
        <x:f>IFERROR(J2911/H2911,0)</x:f>
        <x:v>0.3076923076923077</x:v>
      </x:c>
      <x:c r="R2911" s="24" t="n">
        <x:f>IFERROR(F2911/H2911,0)</x:f>
        <x:v>0.15384615384615385</x:v>
      </x:c>
      <x:c r="S2911" s="24" t="n">
        <x:f>IFERROR(F2911/J2911,0)</x:f>
        <x:v>0.5</x:v>
      </x:c>
      <x:c r="T2911" s="28" t="n">
        <x:f>H2911-I2911</x:f>
        <x:v>-21</x:v>
      </x:c>
      <x:c r="U2911" s="24" t="n">
        <x:f>IFERROR(J2911/H2911,0)-IFERROR(K2911/I2911,0)</x:f>
        <x:v>0.04298642533936653</x:v>
      </x:c>
      <x:c r="V2911" s="24" t="n">
        <x:f>IFERROR(F2911/J2911,0)-IFERROR(G2911/K2911,0)</x:f>
        <x:v>0.2777777777777778</x:v>
      </x:c>
      <x:c r="W2911" s="28" t="n">
        <x:f>L2911-M2911</x:f>
        <x:v>-11</x:v>
      </x:c>
      <x:c r="X2911" s="24" t="n">
        <x:f>IFERROR(K2911/I2911,0)</x:f>
        <x:v>0.2647058823529412</x:v>
      </x:c>
      <x:c r="Y2911" s="24" t="n">
        <x:f>IFERROR(G2911/I2911,0)</x:f>
        <x:v>0.058823529411764705</x:v>
      </x:c>
      <x:c r="Z2911" s="24" t="n">
        <x:f>IFERROR(G2911/K2911,0)</x:f>
        <x:v>0.2222222222222222</x:v>
      </x:c>
      <x:c r="AA2911" s="24" t="n">
        <x:f>IFERROR(F2911/H2911,0)-IFERROR(G2911/I2911,0)</x:f>
        <x:v>0.09502262443438915</x:v>
      </x:c>
      <x:c r="AB2911" s="28" t="n">
        <x:f>J2911-K2911</x:f>
        <x:v>-5</x:v>
      </x:c>
      <x:c r="AC2911" s="32" t="n">
        <x:f>F2911-G2911</x:f>
        <x:v>0</x:v>
      </x:c>
    </x:row>
    <x:row r="2912">
      <x:c r="A2912" s="4" t="str">
        <x:v>2024-25</x:v>
      </x:c>
      <x:c r="B2912" s="20" t="n">
        <x:v>45760</x:v>
      </x:c>
      <x:c r="C2912" s="4" t="str">
        <x:v>Liverpool</x:v>
      </x:c>
      <x:c r="D2912" s="4" t="str">
        <x:v>West Ham</x:v>
      </x:c>
      <x:c r="E2912" s="4" t="str">
        <x:v>Home</x:v>
      </x:c>
      <x:c r="F2912" s="28" t="n">
        <x:v>2</x:v>
      </x:c>
      <x:c r="G2912" s="28" t="n">
        <x:v>1</x:v>
      </x:c>
      <x:c r="H2912" s="28" t="n">
        <x:v>15</x:v>
      </x:c>
      <x:c r="I2912" s="28" t="n">
        <x:v>11</x:v>
      </x:c>
      <x:c r="J2912" s="28" t="n">
        <x:v>6</x:v>
      </x:c>
      <x:c r="K2912" s="28" t="n">
        <x:v>4</x:v>
      </x:c>
      <x:c r="L2912" s="28" t="n">
        <x:v>10</x:v>
      </x:c>
      <x:c r="M2912" s="28" t="n">
        <x:v>3</x:v>
      </x:c>
      <x:c r="N2912" s="28" t="n">
        <x:v>0</x:v>
      </x:c>
      <x:c r="O2912" s="28" t="n">
        <x:v>0</x:v>
      </x:c>
      <x:c r="P2912" s="28" t="n">
        <x:v>3</x:v>
      </x:c>
      <x:c r="Q2912" s="24" t="n">
        <x:f>IFERROR(J2912/H2912,0)</x:f>
        <x:v>0.4</x:v>
      </x:c>
      <x:c r="R2912" s="24" t="n">
        <x:f>IFERROR(F2912/H2912,0)</x:f>
        <x:v>0.13333333333333333</x:v>
      </x:c>
      <x:c r="S2912" s="24" t="n">
        <x:f>IFERROR(F2912/J2912,0)</x:f>
        <x:v>0.3333333333333333</x:v>
      </x:c>
      <x:c r="T2912" s="28" t="n">
        <x:f>H2912-I2912</x:f>
        <x:v>4</x:v>
      </x:c>
      <x:c r="U2912" s="24" t="n">
        <x:f>IFERROR(J2912/H2912,0)-IFERROR(K2912/I2912,0)</x:f>
        <x:v>0.036363636363636376</x:v>
      </x:c>
      <x:c r="V2912" s="24" t="n">
        <x:f>IFERROR(F2912/J2912,0)-IFERROR(G2912/K2912,0)</x:f>
        <x:v>0.08333333333333331</x:v>
      </x:c>
      <x:c r="W2912" s="28" t="n">
        <x:f>L2912-M2912</x:f>
        <x:v>7</x:v>
      </x:c>
      <x:c r="X2912" s="24" t="n">
        <x:f>IFERROR(K2912/I2912,0)</x:f>
        <x:v>0.36363636363636365</x:v>
      </x:c>
      <x:c r="Y2912" s="24" t="n">
        <x:f>IFERROR(G2912/I2912,0)</x:f>
        <x:v>0.09090909090909091</x:v>
      </x:c>
      <x:c r="Z2912" s="24" t="n">
        <x:f>IFERROR(G2912/K2912,0)</x:f>
        <x:v>0.25</x:v>
      </x:c>
      <x:c r="AA2912" s="24" t="n">
        <x:f>IFERROR(F2912/H2912,0)-IFERROR(G2912/I2912,0)</x:f>
        <x:v>0.04242424242424242</x:v>
      </x:c>
      <x:c r="AB2912" s="28" t="n">
        <x:f>J2912-K2912</x:f>
        <x:v>2</x:v>
      </x:c>
      <x:c r="AC2912" s="32" t="n">
        <x:f>F2912-G2912</x:f>
        <x:v>1</x:v>
      </x:c>
    </x:row>
    <x:row r="2913">
      <x:c r="A2913" s="4" t="str">
        <x:v>2024-25</x:v>
      </x:c>
      <x:c r="B2913" s="20" t="n">
        <x:v>45760</x:v>
      </x:c>
      <x:c r="C2913" s="4" t="str">
        <x:v>Man United</x:v>
      </x:c>
      <x:c r="D2913" s="4" t="str">
        <x:v>Newcastle</x:v>
      </x:c>
      <x:c r="E2913" s="4" t="str">
        <x:v>Away</x:v>
      </x:c>
      <x:c r="F2913" s="28" t="n">
        <x:v>1</x:v>
      </x:c>
      <x:c r="G2913" s="28" t="n">
        <x:v>4</x:v>
      </x:c>
      <x:c r="H2913" s="28" t="n">
        <x:v>9</x:v>
      </x:c>
      <x:c r="I2913" s="28" t="n">
        <x:v>13</x:v>
      </x:c>
      <x:c r="J2913" s="28" t="n">
        <x:v>5</x:v>
      </x:c>
      <x:c r="K2913" s="28" t="n">
        <x:v>6</x:v>
      </x:c>
      <x:c r="L2913" s="28" t="n">
        <x:v>2</x:v>
      </x:c>
      <x:c r="M2913" s="28" t="n">
        <x:v>7</x:v>
      </x:c>
      <x:c r="N2913" s="28" t="n">
        <x:v>2</x:v>
      </x:c>
      <x:c r="O2913" s="28" t="n">
        <x:v>0</x:v>
      </x:c>
      <x:c r="P2913" s="28" t="n">
        <x:v>0</x:v>
      </x:c>
      <x:c r="Q2913" s="24" t="n">
        <x:f>IFERROR(J2913/H2913,0)</x:f>
        <x:v>0.5555555555555556</x:v>
      </x:c>
      <x:c r="R2913" s="24" t="n">
        <x:f>IFERROR(F2913/H2913,0)</x:f>
        <x:v>0.1111111111111111</x:v>
      </x:c>
      <x:c r="S2913" s="24" t="n">
        <x:f>IFERROR(F2913/J2913,0)</x:f>
        <x:v>0.2</x:v>
      </x:c>
      <x:c r="T2913" s="28" t="n">
        <x:f>H2913-I2913</x:f>
        <x:v>-4</x:v>
      </x:c>
      <x:c r="U2913" s="24" t="n">
        <x:f>IFERROR(J2913/H2913,0)-IFERROR(K2913/I2913,0)</x:f>
        <x:v>0.09401709401709402</x:v>
      </x:c>
      <x:c r="V2913" s="24" t="n">
        <x:f>IFERROR(F2913/J2913,0)-IFERROR(G2913/K2913,0)</x:f>
        <x:v>-0.4666666666666666</x:v>
      </x:c>
      <x:c r="W2913" s="28" t="n">
        <x:f>L2913-M2913</x:f>
        <x:v>-5</x:v>
      </x:c>
      <x:c r="X2913" s="24" t="n">
        <x:f>IFERROR(K2913/I2913,0)</x:f>
        <x:v>0.46153846153846156</x:v>
      </x:c>
      <x:c r="Y2913" s="24" t="n">
        <x:f>IFERROR(G2913/I2913,0)</x:f>
        <x:v>0.3076923076923077</x:v>
      </x:c>
      <x:c r="Z2913" s="24" t="n">
        <x:f>IFERROR(G2913/K2913,0)</x:f>
        <x:v>0.6666666666666666</x:v>
      </x:c>
      <x:c r="AA2913" s="24" t="n">
        <x:f>IFERROR(F2913/H2913,0)-IFERROR(G2913/I2913,0)</x:f>
        <x:v>-0.1965811965811966</x:v>
      </x:c>
      <x:c r="AB2913" s="28" t="n">
        <x:f>J2913-K2913</x:f>
        <x:v>-1</x:v>
      </x:c>
      <x:c r="AC2913" s="32" t="n">
        <x:f>F2913-G2913</x:f>
        <x:v>-3</x:v>
      </x:c>
    </x:row>
    <x:row r="2914">
      <x:c r="A2914" s="4" t="str">
        <x:v>2024-25</x:v>
      </x:c>
      <x:c r="B2914" s="20" t="n">
        <x:v>45760</x:v>
      </x:c>
      <x:c r="C2914" s="4" t="str">
        <x:v>Newcastle</x:v>
      </x:c>
      <x:c r="D2914" s="4" t="str">
        <x:v>Man United</x:v>
      </x:c>
      <x:c r="E2914" s="4" t="str">
        <x:v>Home</x:v>
      </x:c>
      <x:c r="F2914" s="28" t="n">
        <x:v>4</x:v>
      </x:c>
      <x:c r="G2914" s="28" t="n">
        <x:v>1</x:v>
      </x:c>
      <x:c r="H2914" s="28" t="n">
        <x:v>13</x:v>
      </x:c>
      <x:c r="I2914" s="28" t="n">
        <x:v>9</x:v>
      </x:c>
      <x:c r="J2914" s="28" t="n">
        <x:v>6</x:v>
      </x:c>
      <x:c r="K2914" s="28" t="n">
        <x:v>5</x:v>
      </x:c>
      <x:c r="L2914" s="28" t="n">
        <x:v>7</x:v>
      </x:c>
      <x:c r="M2914" s="28" t="n">
        <x:v>2</x:v>
      </x:c>
      <x:c r="N2914" s="28" t="n">
        <x:v>0</x:v>
      </x:c>
      <x:c r="O2914" s="28" t="n">
        <x:v>0</x:v>
      </x:c>
      <x:c r="P2914" s="28" t="n">
        <x:v>3</x:v>
      </x:c>
      <x:c r="Q2914" s="24" t="n">
        <x:f>IFERROR(J2914/H2914,0)</x:f>
        <x:v>0.46153846153846156</x:v>
      </x:c>
      <x:c r="R2914" s="24" t="n">
        <x:f>IFERROR(F2914/H2914,0)</x:f>
        <x:v>0.3076923076923077</x:v>
      </x:c>
      <x:c r="S2914" s="24" t="n">
        <x:f>IFERROR(F2914/J2914,0)</x:f>
        <x:v>0.6666666666666666</x:v>
      </x:c>
      <x:c r="T2914" s="28" t="n">
        <x:f>H2914-I2914</x:f>
        <x:v>4</x:v>
      </x:c>
      <x:c r="U2914" s="24" t="n">
        <x:f>IFERROR(J2914/H2914,0)-IFERROR(K2914/I2914,0)</x:f>
        <x:v>-0.09401709401709402</x:v>
      </x:c>
      <x:c r="V2914" s="24" t="n">
        <x:f>IFERROR(F2914/J2914,0)-IFERROR(G2914/K2914,0)</x:f>
        <x:v>0.4666666666666666</x:v>
      </x:c>
      <x:c r="W2914" s="28" t="n">
        <x:f>L2914-M2914</x:f>
        <x:v>5</x:v>
      </x:c>
      <x:c r="X2914" s="24" t="n">
        <x:f>IFERROR(K2914/I2914,0)</x:f>
        <x:v>0.5555555555555556</x:v>
      </x:c>
      <x:c r="Y2914" s="24" t="n">
        <x:f>IFERROR(G2914/I2914,0)</x:f>
        <x:v>0.1111111111111111</x:v>
      </x:c>
      <x:c r="Z2914" s="24" t="n">
        <x:f>IFERROR(G2914/K2914,0)</x:f>
        <x:v>0.2</x:v>
      </x:c>
      <x:c r="AA2914" s="24" t="n">
        <x:f>IFERROR(F2914/H2914,0)-IFERROR(G2914/I2914,0)</x:f>
        <x:v>0.1965811965811966</x:v>
      </x:c>
      <x:c r="AB2914" s="28" t="n">
        <x:f>J2914-K2914</x:f>
        <x:v>1</x:v>
      </x:c>
      <x:c r="AC2914" s="32" t="n">
        <x:f>F2914-G2914</x:f>
        <x:v>3</x:v>
      </x:c>
    </x:row>
    <x:row r="2915">
      <x:c r="A2915" s="4" t="str">
        <x:v>2024-25</x:v>
      </x:c>
      <x:c r="B2915" s="20" t="n">
        <x:v>45760</x:v>
      </x:c>
      <x:c r="C2915" s="4" t="str">
        <x:v>Tottenham</x:v>
      </x:c>
      <x:c r="D2915" s="4" t="str">
        <x:v>Wolves</x:v>
      </x:c>
      <x:c r="E2915" s="4" t="str">
        <x:v>Away</x:v>
      </x:c>
      <x:c r="F2915" s="28" t="n">
        <x:v>2</x:v>
      </x:c>
      <x:c r="G2915" s="28" t="n">
        <x:v>4</x:v>
      </x:c>
      <x:c r="H2915" s="28" t="n">
        <x:v>11</x:v>
      </x:c>
      <x:c r="I2915" s="28" t="n">
        <x:v>13</x:v>
      </x:c>
      <x:c r="J2915" s="28" t="n">
        <x:v>4</x:v>
      </x:c>
      <x:c r="K2915" s="28" t="n">
        <x:v>5</x:v>
      </x:c>
      <x:c r="L2915" s="28" t="n">
        <x:v>4</x:v>
      </x:c>
      <x:c r="M2915" s="28" t="n">
        <x:v>1</x:v>
      </x:c>
      <x:c r="N2915" s="28" t="n">
        <x:v>2</x:v>
      </x:c>
      <x:c r="O2915" s="28" t="n">
        <x:v>0</x:v>
      </x:c>
      <x:c r="P2915" s="28" t="n">
        <x:v>0</x:v>
      </x:c>
      <x:c r="Q2915" s="24" t="n">
        <x:f>IFERROR(J2915/H2915,0)</x:f>
        <x:v>0.36363636363636365</x:v>
      </x:c>
      <x:c r="R2915" s="24" t="n">
        <x:f>IFERROR(F2915/H2915,0)</x:f>
        <x:v>0.18181818181818182</x:v>
      </x:c>
      <x:c r="S2915" s="24" t="n">
        <x:f>IFERROR(F2915/J2915,0)</x:f>
        <x:v>0.5</x:v>
      </x:c>
      <x:c r="T2915" s="28" t="n">
        <x:f>H2915-I2915</x:f>
        <x:v>-2</x:v>
      </x:c>
      <x:c r="U2915" s="24" t="n">
        <x:f>IFERROR(J2915/H2915,0)-IFERROR(K2915/I2915,0)</x:f>
        <x:v>-0.02097902097902099</x:v>
      </x:c>
      <x:c r="V2915" s="24" t="n">
        <x:f>IFERROR(F2915/J2915,0)-IFERROR(G2915/K2915,0)</x:f>
        <x:v>-0.30000000000000004</x:v>
      </x:c>
      <x:c r="W2915" s="28" t="n">
        <x:f>L2915-M2915</x:f>
        <x:v>3</x:v>
      </x:c>
      <x:c r="X2915" s="24" t="n">
        <x:f>IFERROR(K2915/I2915,0)</x:f>
        <x:v>0.38461538461538464</x:v>
      </x:c>
      <x:c r="Y2915" s="24" t="n">
        <x:f>IFERROR(G2915/I2915,0)</x:f>
        <x:v>0.3076923076923077</x:v>
      </x:c>
      <x:c r="Z2915" s="24" t="n">
        <x:f>IFERROR(G2915/K2915,0)</x:f>
        <x:v>0.8</x:v>
      </x:c>
      <x:c r="AA2915" s="24" t="n">
        <x:f>IFERROR(F2915/H2915,0)-IFERROR(G2915/I2915,0)</x:f>
        <x:v>-0.1258741258741259</x:v>
      </x:c>
      <x:c r="AB2915" s="28" t="n">
        <x:f>J2915-K2915</x:f>
        <x:v>-1</x:v>
      </x:c>
      <x:c r="AC2915" s="32" t="n">
        <x:f>F2915-G2915</x:f>
        <x:v>-2</x:v>
      </x:c>
    </x:row>
    <x:row r="2916">
      <x:c r="A2916" s="4" t="str">
        <x:v>2024-25</x:v>
      </x:c>
      <x:c r="B2916" s="20" t="n">
        <x:v>45760</x:v>
      </x:c>
      <x:c r="C2916" s="4" t="str">
        <x:v>West Ham</x:v>
      </x:c>
      <x:c r="D2916" s="4" t="str">
        <x:v>Liverpool</x:v>
      </x:c>
      <x:c r="E2916" s="4" t="str">
        <x:v>Away</x:v>
      </x:c>
      <x:c r="F2916" s="28" t="n">
        <x:v>1</x:v>
      </x:c>
      <x:c r="G2916" s="28" t="n">
        <x:v>2</x:v>
      </x:c>
      <x:c r="H2916" s="28" t="n">
        <x:v>11</x:v>
      </x:c>
      <x:c r="I2916" s="28" t="n">
        <x:v>15</x:v>
      </x:c>
      <x:c r="J2916" s="28" t="n">
        <x:v>4</x:v>
      </x:c>
      <x:c r="K2916" s="28" t="n">
        <x:v>6</x:v>
      </x:c>
      <x:c r="L2916" s="28" t="n">
        <x:v>3</x:v>
      </x:c>
      <x:c r="M2916" s="28" t="n">
        <x:v>10</x:v>
      </x:c>
      <x:c r="N2916" s="28" t="n">
        <x:v>2</x:v>
      </x:c>
      <x:c r="O2916" s="28" t="n">
        <x:v>0</x:v>
      </x:c>
      <x:c r="P2916" s="28" t="n">
        <x:v>0</x:v>
      </x:c>
      <x:c r="Q2916" s="24" t="n">
        <x:f>IFERROR(J2916/H2916,0)</x:f>
        <x:v>0.36363636363636365</x:v>
      </x:c>
      <x:c r="R2916" s="24" t="n">
        <x:f>IFERROR(F2916/H2916,0)</x:f>
        <x:v>0.09090909090909091</x:v>
      </x:c>
      <x:c r="S2916" s="24" t="n">
        <x:f>IFERROR(F2916/J2916,0)</x:f>
        <x:v>0.25</x:v>
      </x:c>
      <x:c r="T2916" s="28" t="n">
        <x:f>H2916-I2916</x:f>
        <x:v>-4</x:v>
      </x:c>
      <x:c r="U2916" s="24" t="n">
        <x:f>IFERROR(J2916/H2916,0)-IFERROR(K2916/I2916,0)</x:f>
        <x:v>-0.036363636363636376</x:v>
      </x:c>
      <x:c r="V2916" s="24" t="n">
        <x:f>IFERROR(F2916/J2916,0)-IFERROR(G2916/K2916,0)</x:f>
        <x:v>-0.08333333333333331</x:v>
      </x:c>
      <x:c r="W2916" s="28" t="n">
        <x:f>L2916-M2916</x:f>
        <x:v>-7</x:v>
      </x:c>
      <x:c r="X2916" s="24" t="n">
        <x:f>IFERROR(K2916/I2916,0)</x:f>
        <x:v>0.4</x:v>
      </x:c>
      <x:c r="Y2916" s="24" t="n">
        <x:f>IFERROR(G2916/I2916,0)</x:f>
        <x:v>0.13333333333333333</x:v>
      </x:c>
      <x:c r="Z2916" s="24" t="n">
        <x:f>IFERROR(G2916/K2916,0)</x:f>
        <x:v>0.3333333333333333</x:v>
      </x:c>
      <x:c r="AA2916" s="24" t="n">
        <x:f>IFERROR(F2916/H2916,0)-IFERROR(G2916/I2916,0)</x:f>
        <x:v>-0.04242424242424242</x:v>
      </x:c>
      <x:c r="AB2916" s="28" t="n">
        <x:f>J2916-K2916</x:f>
        <x:v>-2</x:v>
      </x:c>
      <x:c r="AC2916" s="32" t="n">
        <x:f>F2916-G2916</x:f>
        <x:v>-1</x:v>
      </x:c>
    </x:row>
    <x:row r="2917">
      <x:c r="A2917" s="4" t="str">
        <x:v>2024-25</x:v>
      </x:c>
      <x:c r="B2917" s="20" t="n">
        <x:v>45760</x:v>
      </x:c>
      <x:c r="C2917" s="4" t="str">
        <x:v>Wolves</x:v>
      </x:c>
      <x:c r="D2917" s="4" t="str">
        <x:v>Tottenham</x:v>
      </x:c>
      <x:c r="E2917" s="4" t="str">
        <x:v>Home</x:v>
      </x:c>
      <x:c r="F2917" s="28" t="n">
        <x:v>4</x:v>
      </x:c>
      <x:c r="G2917" s="28" t="n">
        <x:v>2</x:v>
      </x:c>
      <x:c r="H2917" s="28" t="n">
        <x:v>13</x:v>
      </x:c>
      <x:c r="I2917" s="28" t="n">
        <x:v>11</x:v>
      </x:c>
      <x:c r="J2917" s="28" t="n">
        <x:v>5</x:v>
      </x:c>
      <x:c r="K2917" s="28" t="n">
        <x:v>4</x:v>
      </x:c>
      <x:c r="L2917" s="28" t="n">
        <x:v>1</x:v>
      </x:c>
      <x:c r="M2917" s="28" t="n">
        <x:v>4</x:v>
      </x:c>
      <x:c r="N2917" s="28" t="n">
        <x:v>1</x:v>
      </x:c>
      <x:c r="O2917" s="28" t="n">
        <x:v>0</x:v>
      </x:c>
      <x:c r="P2917" s="28" t="n">
        <x:v>3</x:v>
      </x:c>
      <x:c r="Q2917" s="24" t="n">
        <x:f>IFERROR(J2917/H2917,0)</x:f>
        <x:v>0.38461538461538464</x:v>
      </x:c>
      <x:c r="R2917" s="24" t="n">
        <x:f>IFERROR(F2917/H2917,0)</x:f>
        <x:v>0.3076923076923077</x:v>
      </x:c>
      <x:c r="S2917" s="24" t="n">
        <x:f>IFERROR(F2917/J2917,0)</x:f>
        <x:v>0.8</x:v>
      </x:c>
      <x:c r="T2917" s="28" t="n">
        <x:f>H2917-I2917</x:f>
        <x:v>2</x:v>
      </x:c>
      <x:c r="U2917" s="24" t="n">
        <x:f>IFERROR(J2917/H2917,0)-IFERROR(K2917/I2917,0)</x:f>
        <x:v>0.02097902097902099</x:v>
      </x:c>
      <x:c r="V2917" s="24" t="n">
        <x:f>IFERROR(F2917/J2917,0)-IFERROR(G2917/K2917,0)</x:f>
        <x:v>0.30000000000000004</x:v>
      </x:c>
      <x:c r="W2917" s="28" t="n">
        <x:f>L2917-M2917</x:f>
        <x:v>-3</x:v>
      </x:c>
      <x:c r="X2917" s="24" t="n">
        <x:f>IFERROR(K2917/I2917,0)</x:f>
        <x:v>0.36363636363636365</x:v>
      </x:c>
      <x:c r="Y2917" s="24" t="n">
        <x:f>IFERROR(G2917/I2917,0)</x:f>
        <x:v>0.18181818181818182</x:v>
      </x:c>
      <x:c r="Z2917" s="24" t="n">
        <x:f>IFERROR(G2917/K2917,0)</x:f>
        <x:v>0.5</x:v>
      </x:c>
      <x:c r="AA2917" s="24" t="n">
        <x:f>IFERROR(F2917/H2917,0)-IFERROR(G2917/I2917,0)</x:f>
        <x:v>0.1258741258741259</x:v>
      </x:c>
      <x:c r="AB2917" s="28" t="n">
        <x:f>J2917-K2917</x:f>
        <x:v>1</x:v>
      </x:c>
      <x:c r="AC2917" s="32" t="n">
        <x:f>F2917-G2917</x:f>
        <x:v>2</x:v>
      </x:c>
    </x:row>
    <x:row r="2918">
      <x:c r="A2918" s="4" t="str">
        <x:v>2024-25</x:v>
      </x:c>
      <x:c r="B2918" s="20" t="n">
        <x:v>45761</x:v>
      </x:c>
      <x:c r="C2918" s="4" t="str">
        <x:v>Bournemouth</x:v>
      </x:c>
      <x:c r="D2918" s="4" t="str">
        <x:v>Fulham</x:v>
      </x:c>
      <x:c r="E2918" s="4" t="str">
        <x:v>Home</x:v>
      </x:c>
      <x:c r="F2918" s="28" t="n">
        <x:v>1</x:v>
      </x:c>
      <x:c r="G2918" s="28" t="n">
        <x:v>0</x:v>
      </x:c>
      <x:c r="H2918" s="28" t="n">
        <x:v>12</x:v>
      </x:c>
      <x:c r="I2918" s="28" t="n">
        <x:v>12</x:v>
      </x:c>
      <x:c r="J2918" s="28" t="n">
        <x:v>3</x:v>
      </x:c>
      <x:c r="K2918" s="28" t="n">
        <x:v>7</x:v>
      </x:c>
      <x:c r="L2918" s="28" t="n">
        <x:v>6</x:v>
      </x:c>
      <x:c r="M2918" s="28" t="n">
        <x:v>9</x:v>
      </x:c>
      <x:c r="N2918" s="28" t="n">
        <x:v>3</x:v>
      </x:c>
      <x:c r="O2918" s="28" t="n">
        <x:v>0</x:v>
      </x:c>
      <x:c r="P2918" s="28" t="n">
        <x:v>3</x:v>
      </x:c>
      <x:c r="Q2918" s="24" t="n">
        <x:f>IFERROR(J2918/H2918,0)</x:f>
        <x:v>0.25</x:v>
      </x:c>
      <x:c r="R2918" s="24" t="n">
        <x:f>IFERROR(F2918/H2918,0)</x:f>
        <x:v>0.08333333333333333</x:v>
      </x:c>
      <x:c r="S2918" s="24" t="n">
        <x:f>IFERROR(F2918/J2918,0)</x:f>
        <x:v>0.3333333333333333</x:v>
      </x:c>
      <x:c r="T2918" s="28" t="n">
        <x:f>H2918-I2918</x:f>
        <x:v>0</x:v>
      </x:c>
      <x:c r="U2918" s="24" t="n">
        <x:f>IFERROR(J2918/H2918,0)-IFERROR(K2918/I2918,0)</x:f>
        <x:v>-0.33333333333333337</x:v>
      </x:c>
      <x:c r="V2918" s="24" t="n">
        <x:f>IFERROR(F2918/J2918,0)-IFERROR(G2918/K2918,0)</x:f>
        <x:v>0.3333333333333333</x:v>
      </x:c>
      <x:c r="W2918" s="28" t="n">
        <x:f>L2918-M2918</x:f>
        <x:v>-3</x:v>
      </x:c>
      <x:c r="X2918" s="24" t="n">
        <x:f>IFERROR(K2918/I2918,0)</x:f>
        <x:v>0.5833333333333334</x:v>
      </x:c>
      <x:c r="Y2918" s="24" t="n">
        <x:f>IFERROR(G2918/I2918,0)</x:f>
        <x:v>0</x:v>
      </x:c>
      <x:c r="Z2918" s="24" t="n">
        <x:f>IFERROR(G2918/K2918,0)</x:f>
        <x:v>0</x:v>
      </x:c>
      <x:c r="AA2918" s="24" t="n">
        <x:f>IFERROR(F2918/H2918,0)-IFERROR(G2918/I2918,0)</x:f>
        <x:v>0.08333333333333333</x:v>
      </x:c>
      <x:c r="AB2918" s="28" t="n">
        <x:f>J2918-K2918</x:f>
        <x:v>-4</x:v>
      </x:c>
      <x:c r="AC2918" s="32" t="n">
        <x:f>F2918-G2918</x:f>
        <x:v>1</x:v>
      </x:c>
    </x:row>
    <x:row r="2919">
      <x:c r="A2919" s="4" t="str">
        <x:v>2024-25</x:v>
      </x:c>
      <x:c r="B2919" s="20" t="n">
        <x:v>45761</x:v>
      </x:c>
      <x:c r="C2919" s="4" t="str">
        <x:v>Fulham</x:v>
      </x:c>
      <x:c r="D2919" s="4" t="str">
        <x:v>Bournemouth</x:v>
      </x:c>
      <x:c r="E2919" s="4" t="str">
        <x:v>Away</x:v>
      </x:c>
      <x:c r="F2919" s="28" t="n">
        <x:v>0</x:v>
      </x:c>
      <x:c r="G2919" s="28" t="n">
        <x:v>1</x:v>
      </x:c>
      <x:c r="H2919" s="28" t="n">
        <x:v>12</x:v>
      </x:c>
      <x:c r="I2919" s="28" t="n">
        <x:v>12</x:v>
      </x:c>
      <x:c r="J2919" s="28" t="n">
        <x:v>7</x:v>
      </x:c>
      <x:c r="K2919" s="28" t="n">
        <x:v>3</x:v>
      </x:c>
      <x:c r="L2919" s="28" t="n">
        <x:v>9</x:v>
      </x:c>
      <x:c r="M2919" s="28" t="n">
        <x:v>6</x:v>
      </x:c>
      <x:c r="N2919" s="28" t="n">
        <x:v>2</x:v>
      </x:c>
      <x:c r="O2919" s="28" t="n">
        <x:v>0</x:v>
      </x:c>
      <x:c r="P2919" s="28" t="n">
        <x:v>0</x:v>
      </x:c>
      <x:c r="Q2919" s="24" t="n">
        <x:f>IFERROR(J2919/H2919,0)</x:f>
        <x:v>0.5833333333333334</x:v>
      </x:c>
      <x:c r="R2919" s="24" t="n">
        <x:f>IFERROR(F2919/H2919,0)</x:f>
        <x:v>0</x:v>
      </x:c>
      <x:c r="S2919" s="24" t="n">
        <x:f>IFERROR(F2919/J2919,0)</x:f>
        <x:v>0</x:v>
      </x:c>
      <x:c r="T2919" s="28" t="n">
        <x:f>H2919-I2919</x:f>
        <x:v>0</x:v>
      </x:c>
      <x:c r="U2919" s="24" t="n">
        <x:f>IFERROR(J2919/H2919,0)-IFERROR(K2919/I2919,0)</x:f>
        <x:v>0.33333333333333337</x:v>
      </x:c>
      <x:c r="V2919" s="24" t="n">
        <x:f>IFERROR(F2919/J2919,0)-IFERROR(G2919/K2919,0)</x:f>
        <x:v>-0.3333333333333333</x:v>
      </x:c>
      <x:c r="W2919" s="28" t="n">
        <x:f>L2919-M2919</x:f>
        <x:v>3</x:v>
      </x:c>
      <x:c r="X2919" s="24" t="n">
        <x:f>IFERROR(K2919/I2919,0)</x:f>
        <x:v>0.25</x:v>
      </x:c>
      <x:c r="Y2919" s="24" t="n">
        <x:f>IFERROR(G2919/I2919,0)</x:f>
        <x:v>0.08333333333333333</x:v>
      </x:c>
      <x:c r="Z2919" s="24" t="n">
        <x:f>IFERROR(G2919/K2919,0)</x:f>
        <x:v>0.3333333333333333</x:v>
      </x:c>
      <x:c r="AA2919" s="24" t="n">
        <x:f>IFERROR(F2919/H2919,0)-IFERROR(G2919/I2919,0)</x:f>
        <x:v>-0.08333333333333333</x:v>
      </x:c>
      <x:c r="AB2919" s="28" t="n">
        <x:f>J2919-K2919</x:f>
        <x:v>4</x:v>
      </x:c>
      <x:c r="AC2919" s="32" t="n">
        <x:f>F2919-G2919</x:f>
        <x:v>-1</x:v>
      </x:c>
    </x:row>
    <x:row r="2920">
      <x:c r="A2920" s="4" t="str">
        <x:v>2024-25</x:v>
      </x:c>
      <x:c r="B2920" s="20" t="n">
        <x:v>45763</x:v>
      </x:c>
      <x:c r="C2920" s="4" t="str">
        <x:v>Crystal Palace</x:v>
      </x:c>
      <x:c r="D2920" s="4" t="str">
        <x:v>Newcastle</x:v>
      </x:c>
      <x:c r="E2920" s="4" t="str">
        <x:v>Away</x:v>
      </x:c>
      <x:c r="F2920" s="28" t="n">
        <x:v>0</x:v>
      </x:c>
      <x:c r="G2920" s="28" t="n">
        <x:v>5</x:v>
      </x:c>
      <x:c r="H2920" s="28" t="n">
        <x:v>11</x:v>
      </x:c>
      <x:c r="I2920" s="28" t="n">
        <x:v>14</x:v>
      </x:c>
      <x:c r="J2920" s="28" t="n">
        <x:v>4</x:v>
      </x:c>
      <x:c r="K2920" s="28" t="n">
        <x:v>7</x:v>
      </x:c>
      <x:c r="L2920" s="28" t="n">
        <x:v>4</x:v>
      </x:c>
      <x:c r="M2920" s="28" t="n">
        <x:v>5</x:v>
      </x:c>
      <x:c r="N2920" s="28" t="n">
        <x:v>3</x:v>
      </x:c>
      <x:c r="O2920" s="28" t="n">
        <x:v>0</x:v>
      </x:c>
      <x:c r="P2920" s="28" t="n">
        <x:v>0</x:v>
      </x:c>
      <x:c r="Q2920" s="24" t="n">
        <x:f>IFERROR(J2920/H2920,0)</x:f>
        <x:v>0.36363636363636365</x:v>
      </x:c>
      <x:c r="R2920" s="24" t="n">
        <x:f>IFERROR(F2920/H2920,0)</x:f>
        <x:v>0</x:v>
      </x:c>
      <x:c r="S2920" s="24" t="n">
        <x:f>IFERROR(F2920/J2920,0)</x:f>
        <x:v>0</x:v>
      </x:c>
      <x:c r="T2920" s="28" t="n">
        <x:f>H2920-I2920</x:f>
        <x:v>-3</x:v>
      </x:c>
      <x:c r="U2920" s="24" t="n">
        <x:f>IFERROR(J2920/H2920,0)-IFERROR(K2920/I2920,0)</x:f>
        <x:v>-0.13636363636363635</x:v>
      </x:c>
      <x:c r="V2920" s="24" t="n">
        <x:f>IFERROR(F2920/J2920,0)-IFERROR(G2920/K2920,0)</x:f>
        <x:v>-0.7142857142857143</x:v>
      </x:c>
      <x:c r="W2920" s="28" t="n">
        <x:f>L2920-M2920</x:f>
        <x:v>-1</x:v>
      </x:c>
      <x:c r="X2920" s="24" t="n">
        <x:f>IFERROR(K2920/I2920,0)</x:f>
        <x:v>0.5</x:v>
      </x:c>
      <x:c r="Y2920" s="24" t="n">
        <x:f>IFERROR(G2920/I2920,0)</x:f>
        <x:v>0.35714285714285715</x:v>
      </x:c>
      <x:c r="Z2920" s="24" t="n">
        <x:f>IFERROR(G2920/K2920,0)</x:f>
        <x:v>0.7142857142857143</x:v>
      </x:c>
      <x:c r="AA2920" s="24" t="n">
        <x:f>IFERROR(F2920/H2920,0)-IFERROR(G2920/I2920,0)</x:f>
        <x:v>-0.35714285714285715</x:v>
      </x:c>
      <x:c r="AB2920" s="28" t="n">
        <x:f>J2920-K2920</x:f>
        <x:v>-3</x:v>
      </x:c>
      <x:c r="AC2920" s="32" t="n">
        <x:f>F2920-G2920</x:f>
        <x:v>-5</x:v>
      </x:c>
    </x:row>
    <x:row r="2921">
      <x:c r="A2921" s="4" t="str">
        <x:v>2024-25</x:v>
      </x:c>
      <x:c r="B2921" s="20" t="n">
        <x:v>45763</x:v>
      </x:c>
      <x:c r="C2921" s="4" t="str">
        <x:v>Newcastle</x:v>
      </x:c>
      <x:c r="D2921" s="4" t="str">
        <x:v>Crystal Palace</x:v>
      </x:c>
      <x:c r="E2921" s="4" t="str">
        <x:v>Home</x:v>
      </x:c>
      <x:c r="F2921" s="28" t="n">
        <x:v>5</x:v>
      </x:c>
      <x:c r="G2921" s="28" t="n">
        <x:v>0</x:v>
      </x:c>
      <x:c r="H2921" s="28" t="n">
        <x:v>14</x:v>
      </x:c>
      <x:c r="I2921" s="28" t="n">
        <x:v>11</x:v>
      </x:c>
      <x:c r="J2921" s="28" t="n">
        <x:v>7</x:v>
      </x:c>
      <x:c r="K2921" s="28" t="n">
        <x:v>4</x:v>
      </x:c>
      <x:c r="L2921" s="28" t="n">
        <x:v>5</x:v>
      </x:c>
      <x:c r="M2921" s="28" t="n">
        <x:v>4</x:v>
      </x:c>
      <x:c r="N2921" s="28" t="n">
        <x:v>2</x:v>
      </x:c>
      <x:c r="O2921" s="28" t="n">
        <x:v>0</x:v>
      </x:c>
      <x:c r="P2921" s="28" t="n">
        <x:v>3</x:v>
      </x:c>
      <x:c r="Q2921" s="24" t="n">
        <x:f>IFERROR(J2921/H2921,0)</x:f>
        <x:v>0.5</x:v>
      </x:c>
      <x:c r="R2921" s="24" t="n">
        <x:f>IFERROR(F2921/H2921,0)</x:f>
        <x:v>0.35714285714285715</x:v>
      </x:c>
      <x:c r="S2921" s="24" t="n">
        <x:f>IFERROR(F2921/J2921,0)</x:f>
        <x:v>0.7142857142857143</x:v>
      </x:c>
      <x:c r="T2921" s="28" t="n">
        <x:f>H2921-I2921</x:f>
        <x:v>3</x:v>
      </x:c>
      <x:c r="U2921" s="24" t="n">
        <x:f>IFERROR(J2921/H2921,0)-IFERROR(K2921/I2921,0)</x:f>
        <x:v>0.13636363636363635</x:v>
      </x:c>
      <x:c r="V2921" s="24" t="n">
        <x:f>IFERROR(F2921/J2921,0)-IFERROR(G2921/K2921,0)</x:f>
        <x:v>0.7142857142857143</x:v>
      </x:c>
      <x:c r="W2921" s="28" t="n">
        <x:f>L2921-M2921</x:f>
        <x:v>1</x:v>
      </x:c>
      <x:c r="X2921" s="24" t="n">
        <x:f>IFERROR(K2921/I2921,0)</x:f>
        <x:v>0.36363636363636365</x:v>
      </x:c>
      <x:c r="Y2921" s="24" t="n">
        <x:f>IFERROR(G2921/I2921,0)</x:f>
        <x:v>0</x:v>
      </x:c>
      <x:c r="Z2921" s="24" t="n">
        <x:f>IFERROR(G2921/K2921,0)</x:f>
        <x:v>0</x:v>
      </x:c>
      <x:c r="AA2921" s="24" t="n">
        <x:f>IFERROR(F2921/H2921,0)-IFERROR(G2921/I2921,0)</x:f>
        <x:v>0.35714285714285715</x:v>
      </x:c>
      <x:c r="AB2921" s="28" t="n">
        <x:f>J2921-K2921</x:f>
        <x:v>3</x:v>
      </x:c>
      <x:c r="AC2921" s="32" t="n">
        <x:f>F2921-G2921</x:f>
        <x:v>5</x:v>
      </x:c>
    </x:row>
    <x:row r="2922">
      <x:c r="A2922" s="4" t="str">
        <x:v>2024-25</x:v>
      </x:c>
      <x:c r="B2922" s="20" t="n">
        <x:v>45766</x:v>
      </x:c>
      <x:c r="C2922" s="4" t="str">
        <x:v>Aston Villa</x:v>
      </x:c>
      <x:c r="D2922" s="4" t="str">
        <x:v>Newcastle</x:v>
      </x:c>
      <x:c r="E2922" s="4" t="str">
        <x:v>Home</x:v>
      </x:c>
      <x:c r="F2922" s="28" t="n">
        <x:v>4</x:v>
      </x:c>
      <x:c r="G2922" s="28" t="n">
        <x:v>1</x:v>
      </x:c>
      <x:c r="H2922" s="28" t="n">
        <x:v>23</x:v>
      </x:c>
      <x:c r="I2922" s="28" t="n">
        <x:v>10</x:v>
      </x:c>
      <x:c r="J2922" s="28" t="n">
        <x:v>9</x:v>
      </x:c>
      <x:c r="K2922" s="28" t="n">
        <x:v>3</x:v>
      </x:c>
      <x:c r="L2922" s="28" t="n">
        <x:v>7</x:v>
      </x:c>
      <x:c r="M2922" s="28" t="n">
        <x:v>7</x:v>
      </x:c>
      <x:c r="N2922" s="28" t="n">
        <x:v>1</x:v>
      </x:c>
      <x:c r="O2922" s="28" t="n">
        <x:v>0</x:v>
      </x:c>
      <x:c r="P2922" s="28" t="n">
        <x:v>3</x:v>
      </x:c>
      <x:c r="Q2922" s="24" t="n">
        <x:f>IFERROR(J2922/H2922,0)</x:f>
        <x:v>0.391304347826087</x:v>
      </x:c>
      <x:c r="R2922" s="24" t="n">
        <x:f>IFERROR(F2922/H2922,0)</x:f>
        <x:v>0.17391304347826086</x:v>
      </x:c>
      <x:c r="S2922" s="24" t="n">
        <x:f>IFERROR(F2922/J2922,0)</x:f>
        <x:v>0.4444444444444444</x:v>
      </x:c>
      <x:c r="T2922" s="28" t="n">
        <x:f>H2922-I2922</x:f>
        <x:v>13</x:v>
      </x:c>
      <x:c r="U2922" s="24" t="n">
        <x:f>IFERROR(J2922/H2922,0)-IFERROR(K2922/I2922,0)</x:f>
        <x:v>0.09130434782608698</x:v>
      </x:c>
      <x:c r="V2922" s="24" t="n">
        <x:f>IFERROR(F2922/J2922,0)-IFERROR(G2922/K2922,0)</x:f>
        <x:v>0.1111111111111111</x:v>
      </x:c>
      <x:c r="W2922" s="28" t="n">
        <x:f>L2922-M2922</x:f>
        <x:v>0</x:v>
      </x:c>
      <x:c r="X2922" s="24" t="n">
        <x:f>IFERROR(K2922/I2922,0)</x:f>
        <x:v>0.3</x:v>
      </x:c>
      <x:c r="Y2922" s="24" t="n">
        <x:f>IFERROR(G2922/I2922,0)</x:f>
        <x:v>0.1</x:v>
      </x:c>
      <x:c r="Z2922" s="24" t="n">
        <x:f>IFERROR(G2922/K2922,0)</x:f>
        <x:v>0.3333333333333333</x:v>
      </x:c>
      <x:c r="AA2922" s="24" t="n">
        <x:f>IFERROR(F2922/H2922,0)-IFERROR(G2922/I2922,0)</x:f>
        <x:v>0.07391304347826086</x:v>
      </x:c>
      <x:c r="AB2922" s="28" t="n">
        <x:f>J2922-K2922</x:f>
        <x:v>6</x:v>
      </x:c>
      <x:c r="AC2922" s="32" t="n">
        <x:f>F2922-G2922</x:f>
        <x:v>3</x:v>
      </x:c>
    </x:row>
    <x:row r="2923">
      <x:c r="A2923" s="4" t="str">
        <x:v>2024-25</x:v>
      </x:c>
      <x:c r="B2923" s="20" t="n">
        <x:v>45766</x:v>
      </x:c>
      <x:c r="C2923" s="4" t="str">
        <x:v>Bournemouth</x:v>
      </x:c>
      <x:c r="D2923" s="4" t="str">
        <x:v>Crystal Palace</x:v>
      </x:c>
      <x:c r="E2923" s="4" t="str">
        <x:v>Away</x:v>
      </x:c>
      <x:c r="F2923" s="28" t="n">
        <x:v>0</x:v>
      </x:c>
      <x:c r="G2923" s="28" t="n">
        <x:v>0</x:v>
      </x:c>
      <x:c r="H2923" s="28" t="n">
        <x:v>15</x:v>
      </x:c>
      <x:c r="I2923" s="28" t="n">
        <x:v>5</x:v>
      </x:c>
      <x:c r="J2923" s="28" t="n">
        <x:v>4</x:v>
      </x:c>
      <x:c r="K2923" s="28" t="n">
        <x:v>0</x:v>
      </x:c>
      <x:c r="L2923" s="28" t="n">
        <x:v>4</x:v>
      </x:c>
      <x:c r="M2923" s="28" t="n">
        <x:v>5</x:v>
      </x:c>
      <x:c r="N2923" s="28" t="n">
        <x:v>4</x:v>
      </x:c>
      <x:c r="O2923" s="28" t="n">
        <x:v>0</x:v>
      </x:c>
      <x:c r="P2923" s="28" t="n">
        <x:v>1</x:v>
      </x:c>
      <x:c r="Q2923" s="24" t="n">
        <x:f>IFERROR(J2923/H2923,0)</x:f>
        <x:v>0.26666666666666666</x:v>
      </x:c>
      <x:c r="R2923" s="24" t="n">
        <x:f>IFERROR(F2923/H2923,0)</x:f>
        <x:v>0</x:v>
      </x:c>
      <x:c r="S2923" s="24" t="n">
        <x:f>IFERROR(F2923/J2923,0)</x:f>
        <x:v>0</x:v>
      </x:c>
      <x:c r="T2923" s="28" t="n">
        <x:f>H2923-I2923</x:f>
        <x:v>10</x:v>
      </x:c>
      <x:c r="U2923" s="24" t="n">
        <x:f>IFERROR(J2923/H2923,0)-IFERROR(K2923/I2923,0)</x:f>
        <x:v>0.26666666666666666</x:v>
      </x:c>
      <x:c r="V2923" s="24" t="n">
        <x:f>IFERROR(F2923/J2923,0)-IFERROR(G2923/K2923,0)</x:f>
        <x:v>0</x:v>
      </x:c>
      <x:c r="W2923" s="28" t="n">
        <x:f>L2923-M2923</x:f>
        <x:v>-1</x:v>
      </x:c>
      <x:c r="X2923" s="24" t="n">
        <x:f>IFERROR(K2923/I2923,0)</x:f>
        <x:v>0</x:v>
      </x:c>
      <x:c r="Y2923" s="24" t="n">
        <x:f>IFERROR(G2923/I2923,0)</x:f>
        <x:v>0</x:v>
      </x:c>
      <x:c r="Z2923" s="24" t="n">
        <x:f>IFERROR(G2923/K2923,0)</x:f>
        <x:v>0</x:v>
      </x:c>
      <x:c r="AA2923" s="24" t="n">
        <x:f>IFERROR(F2923/H2923,0)-IFERROR(G2923/I2923,0)</x:f>
        <x:v>0</x:v>
      </x:c>
      <x:c r="AB2923" s="28" t="n">
        <x:f>J2923-K2923</x:f>
        <x:v>4</x:v>
      </x:c>
      <x:c r="AC2923" s="32" t="n">
        <x:f>F2923-G2923</x:f>
        <x:v>0</x:v>
      </x:c>
    </x:row>
    <x:row r="2924">
      <x:c r="A2924" s="4" t="str">
        <x:v>2024-25</x:v>
      </x:c>
      <x:c r="B2924" s="20" t="n">
        <x:v>45766</x:v>
      </x:c>
      <x:c r="C2924" s="4" t="str">
        <x:v>Brentford</x:v>
      </x:c>
      <x:c r="D2924" s="4" t="str">
        <x:v>Brighton</x:v>
      </x:c>
      <x:c r="E2924" s="4" t="str">
        <x:v>Home</x:v>
      </x:c>
      <x:c r="F2924" s="28" t="n">
        <x:v>4</x:v>
      </x:c>
      <x:c r="G2924" s="28" t="n">
        <x:v>2</x:v>
      </x:c>
      <x:c r="H2924" s="28" t="n">
        <x:v>16</x:v>
      </x:c>
      <x:c r="I2924" s="28" t="n">
        <x:v>12</x:v>
      </x:c>
      <x:c r="J2924" s="28" t="n">
        <x:v>8</x:v>
      </x:c>
      <x:c r="K2924" s="28" t="n">
        <x:v>3</x:v>
      </x:c>
      <x:c r="L2924" s="28" t="n">
        <x:v>4</x:v>
      </x:c>
      <x:c r="M2924" s="28" t="n">
        <x:v>8</x:v>
      </x:c>
      <x:c r="N2924" s="28" t="n">
        <x:v>3</x:v>
      </x:c>
      <x:c r="O2924" s="28" t="n">
        <x:v>0</x:v>
      </x:c>
      <x:c r="P2924" s="28" t="n">
        <x:v>3</x:v>
      </x:c>
      <x:c r="Q2924" s="24" t="n">
        <x:f>IFERROR(J2924/H2924,0)</x:f>
        <x:v>0.5</x:v>
      </x:c>
      <x:c r="R2924" s="24" t="n">
        <x:f>IFERROR(F2924/H2924,0)</x:f>
        <x:v>0.25</x:v>
      </x:c>
      <x:c r="S2924" s="24" t="n">
        <x:f>IFERROR(F2924/J2924,0)</x:f>
        <x:v>0.5</x:v>
      </x:c>
      <x:c r="T2924" s="28" t="n">
        <x:f>H2924-I2924</x:f>
        <x:v>4</x:v>
      </x:c>
      <x:c r="U2924" s="24" t="n">
        <x:f>IFERROR(J2924/H2924,0)-IFERROR(K2924/I2924,0)</x:f>
        <x:v>0.25</x:v>
      </x:c>
      <x:c r="V2924" s="24" t="n">
        <x:f>IFERROR(F2924/J2924,0)-IFERROR(G2924/K2924,0)</x:f>
        <x:v>-0.16666666666666663</x:v>
      </x:c>
      <x:c r="W2924" s="28" t="n">
        <x:f>L2924-M2924</x:f>
        <x:v>-4</x:v>
      </x:c>
      <x:c r="X2924" s="24" t="n">
        <x:f>IFERROR(K2924/I2924,0)</x:f>
        <x:v>0.25</x:v>
      </x:c>
      <x:c r="Y2924" s="24" t="n">
        <x:f>IFERROR(G2924/I2924,0)</x:f>
        <x:v>0.16666666666666666</x:v>
      </x:c>
      <x:c r="Z2924" s="24" t="n">
        <x:f>IFERROR(G2924/K2924,0)</x:f>
        <x:v>0.6666666666666666</x:v>
      </x:c>
      <x:c r="AA2924" s="24" t="n">
        <x:f>IFERROR(F2924/H2924,0)-IFERROR(G2924/I2924,0)</x:f>
        <x:v>0.08333333333333334</x:v>
      </x:c>
      <x:c r="AB2924" s="28" t="n">
        <x:f>J2924-K2924</x:f>
        <x:v>5</x:v>
      </x:c>
      <x:c r="AC2924" s="32" t="n">
        <x:f>F2924-G2924</x:f>
        <x:v>2</x:v>
      </x:c>
    </x:row>
    <x:row r="2925">
      <x:c r="A2925" s="4" t="str">
        <x:v>2024-25</x:v>
      </x:c>
      <x:c r="B2925" s="20" t="n">
        <x:v>45766</x:v>
      </x:c>
      <x:c r="C2925" s="4" t="str">
        <x:v>Brighton</x:v>
      </x:c>
      <x:c r="D2925" s="4" t="str">
        <x:v>Brentford</x:v>
      </x:c>
      <x:c r="E2925" s="4" t="str">
        <x:v>Away</x:v>
      </x:c>
      <x:c r="F2925" s="28" t="n">
        <x:v>2</x:v>
      </x:c>
      <x:c r="G2925" s="28" t="n">
        <x:v>4</x:v>
      </x:c>
      <x:c r="H2925" s="28" t="n">
        <x:v>12</x:v>
      </x:c>
      <x:c r="I2925" s="28" t="n">
        <x:v>16</x:v>
      </x:c>
      <x:c r="J2925" s="28" t="n">
        <x:v>3</x:v>
      </x:c>
      <x:c r="K2925" s="28" t="n">
        <x:v>8</x:v>
      </x:c>
      <x:c r="L2925" s="28" t="n">
        <x:v>8</x:v>
      </x:c>
      <x:c r="M2925" s="28" t="n">
        <x:v>4</x:v>
      </x:c>
      <x:c r="N2925" s="28" t="n">
        <x:v>3</x:v>
      </x:c>
      <x:c r="O2925" s="28" t="n">
        <x:v>1</x:v>
      </x:c>
      <x:c r="P2925" s="28" t="n">
        <x:v>0</x:v>
      </x:c>
      <x:c r="Q2925" s="24" t="n">
        <x:f>IFERROR(J2925/H2925,0)</x:f>
        <x:v>0.25</x:v>
      </x:c>
      <x:c r="R2925" s="24" t="n">
        <x:f>IFERROR(F2925/H2925,0)</x:f>
        <x:v>0.16666666666666666</x:v>
      </x:c>
      <x:c r="S2925" s="24" t="n">
        <x:f>IFERROR(F2925/J2925,0)</x:f>
        <x:v>0.6666666666666666</x:v>
      </x:c>
      <x:c r="T2925" s="28" t="n">
        <x:f>H2925-I2925</x:f>
        <x:v>-4</x:v>
      </x:c>
      <x:c r="U2925" s="24" t="n">
        <x:f>IFERROR(J2925/H2925,0)-IFERROR(K2925/I2925,0)</x:f>
        <x:v>-0.25</x:v>
      </x:c>
      <x:c r="V2925" s="24" t="n">
        <x:f>IFERROR(F2925/J2925,0)-IFERROR(G2925/K2925,0)</x:f>
        <x:v>0.16666666666666663</x:v>
      </x:c>
      <x:c r="W2925" s="28" t="n">
        <x:f>L2925-M2925</x:f>
        <x:v>4</x:v>
      </x:c>
      <x:c r="X2925" s="24" t="n">
        <x:f>IFERROR(K2925/I2925,0)</x:f>
        <x:v>0.5</x:v>
      </x:c>
      <x:c r="Y2925" s="24" t="n">
        <x:f>IFERROR(G2925/I2925,0)</x:f>
        <x:v>0.25</x:v>
      </x:c>
      <x:c r="Z2925" s="24" t="n">
        <x:f>IFERROR(G2925/K2925,0)</x:f>
        <x:v>0.5</x:v>
      </x:c>
      <x:c r="AA2925" s="24" t="n">
        <x:f>IFERROR(F2925/H2925,0)-IFERROR(G2925/I2925,0)</x:f>
        <x:v>-0.08333333333333334</x:v>
      </x:c>
      <x:c r="AB2925" s="28" t="n">
        <x:f>J2925-K2925</x:f>
        <x:v>-5</x:v>
      </x:c>
      <x:c r="AC2925" s="32" t="n">
        <x:f>F2925-G2925</x:f>
        <x:v>-2</x:v>
      </x:c>
    </x:row>
    <x:row r="2926">
      <x:c r="A2926" s="4" t="str">
        <x:v>2024-25</x:v>
      </x:c>
      <x:c r="B2926" s="20" t="n">
        <x:v>45766</x:v>
      </x:c>
      <x:c r="C2926" s="4" t="str">
        <x:v>Crystal Palace</x:v>
      </x:c>
      <x:c r="D2926" s="4" t="str">
        <x:v>Bournemouth</x:v>
      </x:c>
      <x:c r="E2926" s="4" t="str">
        <x:v>Home</x:v>
      </x:c>
      <x:c r="F2926" s="28" t="n">
        <x:v>0</x:v>
      </x:c>
      <x:c r="G2926" s="28" t="n">
        <x:v>0</x:v>
      </x:c>
      <x:c r="H2926" s="28" t="n">
        <x:v>5</x:v>
      </x:c>
      <x:c r="I2926" s="28" t="n">
        <x:v>15</x:v>
      </x:c>
      <x:c r="J2926" s="28" t="n">
        <x:v>0</x:v>
      </x:c>
      <x:c r="K2926" s="28" t="n">
        <x:v>4</x:v>
      </x:c>
      <x:c r="L2926" s="28" t="n">
        <x:v>5</x:v>
      </x:c>
      <x:c r="M2926" s="28" t="n">
        <x:v>4</x:v>
      </x:c>
      <x:c r="N2926" s="28" t="n">
        <x:v>3</x:v>
      </x:c>
      <x:c r="O2926" s="28" t="n">
        <x:v>1</x:v>
      </x:c>
      <x:c r="P2926" s="28" t="n">
        <x:v>1</x:v>
      </x:c>
      <x:c r="Q2926" s="24" t="n">
        <x:f>IFERROR(J2926/H2926,0)</x:f>
        <x:v>0</x:v>
      </x:c>
      <x:c r="R2926" s="24" t="n">
        <x:f>IFERROR(F2926/H2926,0)</x:f>
        <x:v>0</x:v>
      </x:c>
      <x:c r="S2926" s="24" t="n">
        <x:f>IFERROR(F2926/J2926,0)</x:f>
        <x:v>0</x:v>
      </x:c>
      <x:c r="T2926" s="28" t="n">
        <x:f>H2926-I2926</x:f>
        <x:v>-10</x:v>
      </x:c>
      <x:c r="U2926" s="24" t="n">
        <x:f>IFERROR(J2926/H2926,0)-IFERROR(K2926/I2926,0)</x:f>
        <x:v>-0.26666666666666666</x:v>
      </x:c>
      <x:c r="V2926" s="24" t="n">
        <x:f>IFERROR(F2926/J2926,0)-IFERROR(G2926/K2926,0)</x:f>
        <x:v>0</x:v>
      </x:c>
      <x:c r="W2926" s="28" t="n">
        <x:f>L2926-M2926</x:f>
        <x:v>1</x:v>
      </x:c>
      <x:c r="X2926" s="24" t="n">
        <x:f>IFERROR(K2926/I2926,0)</x:f>
        <x:v>0.26666666666666666</x:v>
      </x:c>
      <x:c r="Y2926" s="24" t="n">
        <x:f>IFERROR(G2926/I2926,0)</x:f>
        <x:v>0</x:v>
      </x:c>
      <x:c r="Z2926" s="24" t="n">
        <x:f>IFERROR(G2926/K2926,0)</x:f>
        <x:v>0</x:v>
      </x:c>
      <x:c r="AA2926" s="24" t="n">
        <x:f>IFERROR(F2926/H2926,0)-IFERROR(G2926/I2926,0)</x:f>
        <x:v>0</x:v>
      </x:c>
      <x:c r="AB2926" s="28" t="n">
        <x:f>J2926-K2926</x:f>
        <x:v>-4</x:v>
      </x:c>
      <x:c r="AC2926" s="32" t="n">
        <x:f>F2926-G2926</x:f>
        <x:v>0</x:v>
      </x:c>
    </x:row>
    <x:row r="2927">
      <x:c r="A2927" s="4" t="str">
        <x:v>2024-25</x:v>
      </x:c>
      <x:c r="B2927" s="20" t="n">
        <x:v>45766</x:v>
      </x:c>
      <x:c r="C2927" s="4" t="str">
        <x:v>Everton</x:v>
      </x:c>
      <x:c r="D2927" s="4" t="str">
        <x:v>Man City</x:v>
      </x:c>
      <x:c r="E2927" s="4" t="str">
        <x:v>Home</x:v>
      </x:c>
      <x:c r="F2927" s="28" t="n">
        <x:v>0</x:v>
      </x:c>
      <x:c r="G2927" s="28" t="n">
        <x:v>2</x:v>
      </x:c>
      <x:c r="H2927" s="28" t="n">
        <x:v>8</x:v>
      </x:c>
      <x:c r="I2927" s="28" t="n">
        <x:v>12</x:v>
      </x:c>
      <x:c r="J2927" s="28" t="n">
        <x:v>3</x:v>
      </x:c>
      <x:c r="K2927" s="28" t="n">
        <x:v>7</x:v>
      </x:c>
      <x:c r="L2927" s="28" t="n">
        <x:v>2</x:v>
      </x:c>
      <x:c r="M2927" s="28" t="n">
        <x:v>5</x:v>
      </x:c>
      <x:c r="N2927" s="28" t="n">
        <x:v>4</x:v>
      </x:c>
      <x:c r="O2927" s="28" t="n">
        <x:v>0</x:v>
      </x:c>
      <x:c r="P2927" s="28" t="n">
        <x:v>0</x:v>
      </x:c>
      <x:c r="Q2927" s="24" t="n">
        <x:f>IFERROR(J2927/H2927,0)</x:f>
        <x:v>0.375</x:v>
      </x:c>
      <x:c r="R2927" s="24" t="n">
        <x:f>IFERROR(F2927/H2927,0)</x:f>
        <x:v>0</x:v>
      </x:c>
      <x:c r="S2927" s="24" t="n">
        <x:f>IFERROR(F2927/J2927,0)</x:f>
        <x:v>0</x:v>
      </x:c>
      <x:c r="T2927" s="28" t="n">
        <x:f>H2927-I2927</x:f>
        <x:v>-4</x:v>
      </x:c>
      <x:c r="U2927" s="24" t="n">
        <x:f>IFERROR(J2927/H2927,0)-IFERROR(K2927/I2927,0)</x:f>
        <x:v>-0.20833333333333337</x:v>
      </x:c>
      <x:c r="V2927" s="24" t="n">
        <x:f>IFERROR(F2927/J2927,0)-IFERROR(G2927/K2927,0)</x:f>
        <x:v>-0.2857142857142857</x:v>
      </x:c>
      <x:c r="W2927" s="28" t="n">
        <x:f>L2927-M2927</x:f>
        <x:v>-3</x:v>
      </x:c>
      <x:c r="X2927" s="24" t="n">
        <x:f>IFERROR(K2927/I2927,0)</x:f>
        <x:v>0.5833333333333334</x:v>
      </x:c>
      <x:c r="Y2927" s="24" t="n">
        <x:f>IFERROR(G2927/I2927,0)</x:f>
        <x:v>0.16666666666666666</x:v>
      </x:c>
      <x:c r="Z2927" s="24" t="n">
        <x:f>IFERROR(G2927/K2927,0)</x:f>
        <x:v>0.2857142857142857</x:v>
      </x:c>
      <x:c r="AA2927" s="24" t="n">
        <x:f>IFERROR(F2927/H2927,0)-IFERROR(G2927/I2927,0)</x:f>
        <x:v>-0.16666666666666666</x:v>
      </x:c>
      <x:c r="AB2927" s="28" t="n">
        <x:f>J2927-K2927</x:f>
        <x:v>-4</x:v>
      </x:c>
      <x:c r="AC2927" s="32" t="n">
        <x:f>F2927-G2927</x:f>
        <x:v>-2</x:v>
      </x:c>
    </x:row>
    <x:row r="2928">
      <x:c r="A2928" s="4" t="str">
        <x:v>2024-25</x:v>
      </x:c>
      <x:c r="B2928" s="20" t="n">
        <x:v>45766</x:v>
      </x:c>
      <x:c r="C2928" s="4" t="str">
        <x:v>Man City</x:v>
      </x:c>
      <x:c r="D2928" s="4" t="str">
        <x:v>Everton</x:v>
      </x:c>
      <x:c r="E2928" s="4" t="str">
        <x:v>Away</x:v>
      </x:c>
      <x:c r="F2928" s="28" t="n">
        <x:v>2</x:v>
      </x:c>
      <x:c r="G2928" s="28" t="n">
        <x:v>0</x:v>
      </x:c>
      <x:c r="H2928" s="28" t="n">
        <x:v>12</x:v>
      </x:c>
      <x:c r="I2928" s="28" t="n">
        <x:v>8</x:v>
      </x:c>
      <x:c r="J2928" s="28" t="n">
        <x:v>7</x:v>
      </x:c>
      <x:c r="K2928" s="28" t="n">
        <x:v>3</x:v>
      </x:c>
      <x:c r="L2928" s="28" t="n">
        <x:v>5</x:v>
      </x:c>
      <x:c r="M2928" s="28" t="n">
        <x:v>2</x:v>
      </x:c>
      <x:c r="N2928" s="28" t="n">
        <x:v>0</x:v>
      </x:c>
      <x:c r="O2928" s="28" t="n">
        <x:v>0</x:v>
      </x:c>
      <x:c r="P2928" s="28" t="n">
        <x:v>3</x:v>
      </x:c>
      <x:c r="Q2928" s="24" t="n">
        <x:f>IFERROR(J2928/H2928,0)</x:f>
        <x:v>0.5833333333333334</x:v>
      </x:c>
      <x:c r="R2928" s="24" t="n">
        <x:f>IFERROR(F2928/H2928,0)</x:f>
        <x:v>0.16666666666666666</x:v>
      </x:c>
      <x:c r="S2928" s="24" t="n">
        <x:f>IFERROR(F2928/J2928,0)</x:f>
        <x:v>0.2857142857142857</x:v>
      </x:c>
      <x:c r="T2928" s="28" t="n">
        <x:f>H2928-I2928</x:f>
        <x:v>4</x:v>
      </x:c>
      <x:c r="U2928" s="24" t="n">
        <x:f>IFERROR(J2928/H2928,0)-IFERROR(K2928/I2928,0)</x:f>
        <x:v>0.20833333333333337</x:v>
      </x:c>
      <x:c r="V2928" s="24" t="n">
        <x:f>IFERROR(F2928/J2928,0)-IFERROR(G2928/K2928,0)</x:f>
        <x:v>0.2857142857142857</x:v>
      </x:c>
      <x:c r="W2928" s="28" t="n">
        <x:f>L2928-M2928</x:f>
        <x:v>3</x:v>
      </x:c>
      <x:c r="X2928" s="24" t="n">
        <x:f>IFERROR(K2928/I2928,0)</x:f>
        <x:v>0.375</x:v>
      </x:c>
      <x:c r="Y2928" s="24" t="n">
        <x:f>IFERROR(G2928/I2928,0)</x:f>
        <x:v>0</x:v>
      </x:c>
      <x:c r="Z2928" s="24" t="n">
        <x:f>IFERROR(G2928/K2928,0)</x:f>
        <x:v>0</x:v>
      </x:c>
      <x:c r="AA2928" s="24" t="n">
        <x:f>IFERROR(F2928/H2928,0)-IFERROR(G2928/I2928,0)</x:f>
        <x:v>0.16666666666666666</x:v>
      </x:c>
      <x:c r="AB2928" s="28" t="n">
        <x:f>J2928-K2928</x:f>
        <x:v>4</x:v>
      </x:c>
      <x:c r="AC2928" s="32" t="n">
        <x:f>F2928-G2928</x:f>
        <x:v>2</x:v>
      </x:c>
    </x:row>
    <x:row r="2929">
      <x:c r="A2929" s="4" t="str">
        <x:v>2024-25</x:v>
      </x:c>
      <x:c r="B2929" s="20" t="n">
        <x:v>45766</x:v>
      </x:c>
      <x:c r="C2929" s="4" t="str">
        <x:v>Newcastle</x:v>
      </x:c>
      <x:c r="D2929" s="4" t="str">
        <x:v>Aston Villa</x:v>
      </x:c>
      <x:c r="E2929" s="4" t="str">
        <x:v>Away</x:v>
      </x:c>
      <x:c r="F2929" s="28" t="n">
        <x:v>1</x:v>
      </x:c>
      <x:c r="G2929" s="28" t="n">
        <x:v>4</x:v>
      </x:c>
      <x:c r="H2929" s="28" t="n">
        <x:v>10</x:v>
      </x:c>
      <x:c r="I2929" s="28" t="n">
        <x:v>23</x:v>
      </x:c>
      <x:c r="J2929" s="28" t="n">
        <x:v>3</x:v>
      </x:c>
      <x:c r="K2929" s="28" t="n">
        <x:v>9</x:v>
      </x:c>
      <x:c r="L2929" s="28" t="n">
        <x:v>7</x:v>
      </x:c>
      <x:c r="M2929" s="28" t="n">
        <x:v>7</x:v>
      </x:c>
      <x:c r="N2929" s="28" t="n">
        <x:v>3</x:v>
      </x:c>
      <x:c r="O2929" s="28" t="n">
        <x:v>0</x:v>
      </x:c>
      <x:c r="P2929" s="28" t="n">
        <x:v>0</x:v>
      </x:c>
      <x:c r="Q2929" s="24" t="n">
        <x:f>IFERROR(J2929/H2929,0)</x:f>
        <x:v>0.3</x:v>
      </x:c>
      <x:c r="R2929" s="24" t="n">
        <x:f>IFERROR(F2929/H2929,0)</x:f>
        <x:v>0.1</x:v>
      </x:c>
      <x:c r="S2929" s="24" t="n">
        <x:f>IFERROR(F2929/J2929,0)</x:f>
        <x:v>0.3333333333333333</x:v>
      </x:c>
      <x:c r="T2929" s="28" t="n">
        <x:f>H2929-I2929</x:f>
        <x:v>-13</x:v>
      </x:c>
      <x:c r="U2929" s="24" t="n">
        <x:f>IFERROR(J2929/H2929,0)-IFERROR(K2929/I2929,0)</x:f>
        <x:v>-0.09130434782608698</x:v>
      </x:c>
      <x:c r="V2929" s="24" t="n">
        <x:f>IFERROR(F2929/J2929,0)-IFERROR(G2929/K2929,0)</x:f>
        <x:v>-0.1111111111111111</x:v>
      </x:c>
      <x:c r="W2929" s="28" t="n">
        <x:f>L2929-M2929</x:f>
        <x:v>0</x:v>
      </x:c>
      <x:c r="X2929" s="24" t="n">
        <x:f>IFERROR(K2929/I2929,0)</x:f>
        <x:v>0.391304347826087</x:v>
      </x:c>
      <x:c r="Y2929" s="24" t="n">
        <x:f>IFERROR(G2929/I2929,0)</x:f>
        <x:v>0.17391304347826086</x:v>
      </x:c>
      <x:c r="Z2929" s="24" t="n">
        <x:f>IFERROR(G2929/K2929,0)</x:f>
        <x:v>0.4444444444444444</x:v>
      </x:c>
      <x:c r="AA2929" s="24" t="n">
        <x:f>IFERROR(F2929/H2929,0)-IFERROR(G2929/I2929,0)</x:f>
        <x:v>-0.07391304347826086</x:v>
      </x:c>
      <x:c r="AB2929" s="28" t="n">
        <x:f>J2929-K2929</x:f>
        <x:v>-6</x:v>
      </x:c>
      <x:c r="AC2929" s="32" t="n">
        <x:f>F2929-G2929</x:f>
        <x:v>-3</x:v>
      </x:c>
    </x:row>
    <x:row r="2930">
      <x:c r="A2930" s="4" t="str">
        <x:v>2024-25</x:v>
      </x:c>
      <x:c r="B2930" s="20" t="n">
        <x:v>45766</x:v>
      </x:c>
      <x:c r="C2930" s="4" t="str">
        <x:v>Southampton</x:v>
      </x:c>
      <x:c r="D2930" s="4" t="str">
        <x:v>West Ham</x:v>
      </x:c>
      <x:c r="E2930" s="4" t="str">
        <x:v>Away</x:v>
      </x:c>
      <x:c r="F2930" s="28" t="n">
        <x:v>1</x:v>
      </x:c>
      <x:c r="G2930" s="28" t="n">
        <x:v>1</x:v>
      </x:c>
      <x:c r="H2930" s="28" t="n">
        <x:v>15</x:v>
      </x:c>
      <x:c r="I2930" s="28" t="n">
        <x:v>12</x:v>
      </x:c>
      <x:c r="J2930" s="28" t="n">
        <x:v>4</x:v>
      </x:c>
      <x:c r="K2930" s="28" t="n">
        <x:v>4</x:v>
      </x:c>
      <x:c r="L2930" s="28" t="n">
        <x:v>5</x:v>
      </x:c>
      <x:c r="M2930" s="28" t="n">
        <x:v>2</x:v>
      </x:c>
      <x:c r="N2930" s="28" t="n">
        <x:v>1</x:v>
      </x:c>
      <x:c r="O2930" s="28" t="n">
        <x:v>0</x:v>
      </x:c>
      <x:c r="P2930" s="28" t="n">
        <x:v>1</x:v>
      </x:c>
      <x:c r="Q2930" s="24" t="n">
        <x:f>IFERROR(J2930/H2930,0)</x:f>
        <x:v>0.26666666666666666</x:v>
      </x:c>
      <x:c r="R2930" s="24" t="n">
        <x:f>IFERROR(F2930/H2930,0)</x:f>
        <x:v>0.06666666666666667</x:v>
      </x:c>
      <x:c r="S2930" s="24" t="n">
        <x:f>IFERROR(F2930/J2930,0)</x:f>
        <x:v>0.25</x:v>
      </x:c>
      <x:c r="T2930" s="28" t="n">
        <x:f>H2930-I2930</x:f>
        <x:v>3</x:v>
      </x:c>
      <x:c r="U2930" s="24" t="n">
        <x:f>IFERROR(J2930/H2930,0)-IFERROR(K2930/I2930,0)</x:f>
        <x:v>-0.06666666666666665</x:v>
      </x:c>
      <x:c r="V2930" s="24" t="n">
        <x:f>IFERROR(F2930/J2930,0)-IFERROR(G2930/K2930,0)</x:f>
        <x:v>0</x:v>
      </x:c>
      <x:c r="W2930" s="28" t="n">
        <x:f>L2930-M2930</x:f>
        <x:v>3</x:v>
      </x:c>
      <x:c r="X2930" s="24" t="n">
        <x:f>IFERROR(K2930/I2930,0)</x:f>
        <x:v>0.3333333333333333</x:v>
      </x:c>
      <x:c r="Y2930" s="24" t="n">
        <x:f>IFERROR(G2930/I2930,0)</x:f>
        <x:v>0.08333333333333333</x:v>
      </x:c>
      <x:c r="Z2930" s="24" t="n">
        <x:f>IFERROR(G2930/K2930,0)</x:f>
        <x:v>0.25</x:v>
      </x:c>
      <x:c r="AA2930" s="24" t="n">
        <x:f>IFERROR(F2930/H2930,0)-IFERROR(G2930/I2930,0)</x:f>
        <x:v>-0.016666666666666663</x:v>
      </x:c>
      <x:c r="AB2930" s="28" t="n">
        <x:f>J2930-K2930</x:f>
        <x:v>0</x:v>
      </x:c>
      <x:c r="AC2930" s="32" t="n">
        <x:f>F2930-G2930</x:f>
        <x:v>0</x:v>
      </x:c>
    </x:row>
    <x:row r="2931">
      <x:c r="A2931" s="4" t="str">
        <x:v>2024-25</x:v>
      </x:c>
      <x:c r="B2931" s="20" t="n">
        <x:v>45766</x:v>
      </x:c>
      <x:c r="C2931" s="4" t="str">
        <x:v>West Ham</x:v>
      </x:c>
      <x:c r="D2931" s="4" t="str">
        <x:v>Southampton</x:v>
      </x:c>
      <x:c r="E2931" s="4" t="str">
        <x:v>Home</x:v>
      </x:c>
      <x:c r="F2931" s="28" t="n">
        <x:v>1</x:v>
      </x:c>
      <x:c r="G2931" s="28" t="n">
        <x:v>1</x:v>
      </x:c>
      <x:c r="H2931" s="28" t="n">
        <x:v>12</x:v>
      </x:c>
      <x:c r="I2931" s="28" t="n">
        <x:v>15</x:v>
      </x:c>
      <x:c r="J2931" s="28" t="n">
        <x:v>4</x:v>
      </x:c>
      <x:c r="K2931" s="28" t="n">
        <x:v>4</x:v>
      </x:c>
      <x:c r="L2931" s="28" t="n">
        <x:v>2</x:v>
      </x:c>
      <x:c r="M2931" s="28" t="n">
        <x:v>5</x:v>
      </x:c>
      <x:c r="N2931" s="28" t="n">
        <x:v>2</x:v>
      </x:c>
      <x:c r="O2931" s="28" t="n">
        <x:v>0</x:v>
      </x:c>
      <x:c r="P2931" s="28" t="n">
        <x:v>1</x:v>
      </x:c>
      <x:c r="Q2931" s="24" t="n">
        <x:f>IFERROR(J2931/H2931,0)</x:f>
        <x:v>0.3333333333333333</x:v>
      </x:c>
      <x:c r="R2931" s="24" t="n">
        <x:f>IFERROR(F2931/H2931,0)</x:f>
        <x:v>0.08333333333333333</x:v>
      </x:c>
      <x:c r="S2931" s="24" t="n">
        <x:f>IFERROR(F2931/J2931,0)</x:f>
        <x:v>0.25</x:v>
      </x:c>
      <x:c r="T2931" s="28" t="n">
        <x:f>H2931-I2931</x:f>
        <x:v>-3</x:v>
      </x:c>
      <x:c r="U2931" s="24" t="n">
        <x:f>IFERROR(J2931/H2931,0)-IFERROR(K2931/I2931,0)</x:f>
        <x:v>0.06666666666666665</x:v>
      </x:c>
      <x:c r="V2931" s="24" t="n">
        <x:f>IFERROR(F2931/J2931,0)-IFERROR(G2931/K2931,0)</x:f>
        <x:v>0</x:v>
      </x:c>
      <x:c r="W2931" s="28" t="n">
        <x:f>L2931-M2931</x:f>
        <x:v>-3</x:v>
      </x:c>
      <x:c r="X2931" s="24" t="n">
        <x:f>IFERROR(K2931/I2931,0)</x:f>
        <x:v>0.26666666666666666</x:v>
      </x:c>
      <x:c r="Y2931" s="24" t="n">
        <x:f>IFERROR(G2931/I2931,0)</x:f>
        <x:v>0.06666666666666667</x:v>
      </x:c>
      <x:c r="Z2931" s="24" t="n">
        <x:f>IFERROR(G2931/K2931,0)</x:f>
        <x:v>0.25</x:v>
      </x:c>
      <x:c r="AA2931" s="24" t="n">
        <x:f>IFERROR(F2931/H2931,0)-IFERROR(G2931/I2931,0)</x:f>
        <x:v>0.016666666666666663</x:v>
      </x:c>
      <x:c r="AB2931" s="28" t="n">
        <x:f>J2931-K2931</x:f>
        <x:v>0</x:v>
      </x:c>
      <x:c r="AC2931" s="32" t="n">
        <x:f>F2931-G2931</x:f>
        <x:v>0</x:v>
      </x:c>
    </x:row>
    <x:row r="2932">
      <x:c r="A2932" s="4" t="str">
        <x:v>2024-25</x:v>
      </x:c>
      <x:c r="B2932" s="20" t="n">
        <x:v>45767</x:v>
      </x:c>
      <x:c r="C2932" s="4" t="str">
        <x:v>Arsenal</x:v>
      </x:c>
      <x:c r="D2932" s="4" t="str">
        <x:v>Ipswich</x:v>
      </x:c>
      <x:c r="E2932" s="4" t="str">
        <x:v>Away</x:v>
      </x:c>
      <x:c r="F2932" s="28" t="n">
        <x:v>4</x:v>
      </x:c>
      <x:c r="G2932" s="28" t="n">
        <x:v>0</x:v>
      </x:c>
      <x:c r="H2932" s="28" t="n">
        <x:v>24</x:v>
      </x:c>
      <x:c r="I2932" s="28" t="n">
        <x:v>4</x:v>
      </x:c>
      <x:c r="J2932" s="28" t="n">
        <x:v>7</x:v>
      </x:c>
      <x:c r="K2932" s="28" t="n">
        <x:v>0</x:v>
      </x:c>
      <x:c r="L2932" s="28" t="n">
        <x:v>12</x:v>
      </x:c>
      <x:c r="M2932" s="28" t="n">
        <x:v>0</x:v>
      </x:c>
      <x:c r="N2932" s="28" t="n">
        <x:v>0</x:v>
      </x:c>
      <x:c r="O2932" s="28" t="n">
        <x:v>0</x:v>
      </x:c>
      <x:c r="P2932" s="28" t="n">
        <x:v>3</x:v>
      </x:c>
      <x:c r="Q2932" s="24" t="n">
        <x:f>IFERROR(J2932/H2932,0)</x:f>
        <x:v>0.2916666666666667</x:v>
      </x:c>
      <x:c r="R2932" s="24" t="n">
        <x:f>IFERROR(F2932/H2932,0)</x:f>
        <x:v>0.16666666666666666</x:v>
      </x:c>
      <x:c r="S2932" s="24" t="n">
        <x:f>IFERROR(F2932/J2932,0)</x:f>
        <x:v>0.5714285714285714</x:v>
      </x:c>
      <x:c r="T2932" s="28" t="n">
        <x:f>H2932-I2932</x:f>
        <x:v>20</x:v>
      </x:c>
      <x:c r="U2932" s="24" t="n">
        <x:f>IFERROR(J2932/H2932,0)-IFERROR(K2932/I2932,0)</x:f>
        <x:v>0.2916666666666667</x:v>
      </x:c>
      <x:c r="V2932" s="24" t="n">
        <x:f>IFERROR(F2932/J2932,0)-IFERROR(G2932/K2932,0)</x:f>
        <x:v>0.5714285714285714</x:v>
      </x:c>
      <x:c r="W2932" s="28" t="n">
        <x:f>L2932-M2932</x:f>
        <x:v>12</x:v>
      </x:c>
      <x:c r="X2932" s="24" t="n">
        <x:f>IFERROR(K2932/I2932,0)</x:f>
        <x:v>0</x:v>
      </x:c>
      <x:c r="Y2932" s="24" t="n">
        <x:f>IFERROR(G2932/I2932,0)</x:f>
        <x:v>0</x:v>
      </x:c>
      <x:c r="Z2932" s="24" t="n">
        <x:f>IFERROR(G2932/K2932,0)</x:f>
        <x:v>0</x:v>
      </x:c>
      <x:c r="AA2932" s="24" t="n">
        <x:f>IFERROR(F2932/H2932,0)-IFERROR(G2932/I2932,0)</x:f>
        <x:v>0.16666666666666666</x:v>
      </x:c>
      <x:c r="AB2932" s="28" t="n">
        <x:f>J2932-K2932</x:f>
        <x:v>7</x:v>
      </x:c>
      <x:c r="AC2932" s="32" t="n">
        <x:f>F2932-G2932</x:f>
        <x:v>4</x:v>
      </x:c>
    </x:row>
    <x:row r="2933">
      <x:c r="A2933" s="4" t="str">
        <x:v>2024-25</x:v>
      </x:c>
      <x:c r="B2933" s="20" t="n">
        <x:v>45767</x:v>
      </x:c>
      <x:c r="C2933" s="4" t="str">
        <x:v>Chelsea</x:v>
      </x:c>
      <x:c r="D2933" s="4" t="str">
        <x:v>Fulham</x:v>
      </x:c>
      <x:c r="E2933" s="4" t="str">
        <x:v>Away</x:v>
      </x:c>
      <x:c r="F2933" s="28" t="n">
        <x:v>2</x:v>
      </x:c>
      <x:c r="G2933" s="28" t="n">
        <x:v>1</x:v>
      </x:c>
      <x:c r="H2933" s="28" t="n">
        <x:v>13</x:v>
      </x:c>
      <x:c r="I2933" s="28" t="n">
        <x:v>6</x:v>
      </x:c>
      <x:c r="J2933" s="28" t="n">
        <x:v>8</x:v>
      </x:c>
      <x:c r="K2933" s="28" t="n">
        <x:v>1</x:v>
      </x:c>
      <x:c r="L2933" s="28" t="n">
        <x:v>4</x:v>
      </x:c>
      <x:c r="M2933" s="28" t="n">
        <x:v>6</x:v>
      </x:c>
      <x:c r="N2933" s="28" t="n">
        <x:v>3</x:v>
      </x:c>
      <x:c r="O2933" s="28" t="n">
        <x:v>0</x:v>
      </x:c>
      <x:c r="P2933" s="28" t="n">
        <x:v>3</x:v>
      </x:c>
      <x:c r="Q2933" s="24" t="n">
        <x:f>IFERROR(J2933/H2933,0)</x:f>
        <x:v>0.6153846153846154</x:v>
      </x:c>
      <x:c r="R2933" s="24" t="n">
        <x:f>IFERROR(F2933/H2933,0)</x:f>
        <x:v>0.15384615384615385</x:v>
      </x:c>
      <x:c r="S2933" s="24" t="n">
        <x:f>IFERROR(F2933/J2933,0)</x:f>
        <x:v>0.25</x:v>
      </x:c>
      <x:c r="T2933" s="28" t="n">
        <x:f>H2933-I2933</x:f>
        <x:v>7</x:v>
      </x:c>
      <x:c r="U2933" s="24" t="n">
        <x:f>IFERROR(J2933/H2933,0)-IFERROR(K2933/I2933,0)</x:f>
        <x:v>0.4487179487179488</x:v>
      </x:c>
      <x:c r="V2933" s="24" t="n">
        <x:f>IFERROR(F2933/J2933,0)-IFERROR(G2933/K2933,0)</x:f>
        <x:v>-0.75</x:v>
      </x:c>
      <x:c r="W2933" s="28" t="n">
        <x:f>L2933-M2933</x:f>
        <x:v>-2</x:v>
      </x:c>
      <x:c r="X2933" s="24" t="n">
        <x:f>IFERROR(K2933/I2933,0)</x:f>
        <x:v>0.16666666666666666</x:v>
      </x:c>
      <x:c r="Y2933" s="24" t="n">
        <x:f>IFERROR(G2933/I2933,0)</x:f>
        <x:v>0.16666666666666666</x:v>
      </x:c>
      <x:c r="Z2933" s="24" t="n">
        <x:f>IFERROR(G2933/K2933,0)</x:f>
        <x:v>1</x:v>
      </x:c>
      <x:c r="AA2933" s="24" t="n">
        <x:f>IFERROR(F2933/H2933,0)-IFERROR(G2933/I2933,0)</x:f>
        <x:v>-0.012820512820512803</x:v>
      </x:c>
      <x:c r="AB2933" s="28" t="n">
        <x:f>J2933-K2933</x:f>
        <x:v>7</x:v>
      </x:c>
      <x:c r="AC2933" s="32" t="n">
        <x:f>F2933-G2933</x:f>
        <x:v>1</x:v>
      </x:c>
    </x:row>
    <x:row r="2934">
      <x:c r="A2934" s="4" t="str">
        <x:v>2024-25</x:v>
      </x:c>
      <x:c r="B2934" s="20" t="n">
        <x:v>45767</x:v>
      </x:c>
      <x:c r="C2934" s="4" t="str">
        <x:v>Fulham</x:v>
      </x:c>
      <x:c r="D2934" s="4" t="str">
        <x:v>Chelsea</x:v>
      </x:c>
      <x:c r="E2934" s="4" t="str">
        <x:v>Home</x:v>
      </x:c>
      <x:c r="F2934" s="28" t="n">
        <x:v>1</x:v>
      </x:c>
      <x:c r="G2934" s="28" t="n">
        <x:v>2</x:v>
      </x:c>
      <x:c r="H2934" s="28" t="n">
        <x:v>6</x:v>
      </x:c>
      <x:c r="I2934" s="28" t="n">
        <x:v>13</x:v>
      </x:c>
      <x:c r="J2934" s="28" t="n">
        <x:v>1</x:v>
      </x:c>
      <x:c r="K2934" s="28" t="n">
        <x:v>8</x:v>
      </x:c>
      <x:c r="L2934" s="28" t="n">
        <x:v>6</x:v>
      </x:c>
      <x:c r="M2934" s="28" t="n">
        <x:v>4</x:v>
      </x:c>
      <x:c r="N2934" s="28" t="n">
        <x:v>1</x:v>
      </x:c>
      <x:c r="O2934" s="28" t="n">
        <x:v>0</x:v>
      </x:c>
      <x:c r="P2934" s="28" t="n">
        <x:v>0</x:v>
      </x:c>
      <x:c r="Q2934" s="24" t="n">
        <x:f>IFERROR(J2934/H2934,0)</x:f>
        <x:v>0.16666666666666666</x:v>
      </x:c>
      <x:c r="R2934" s="24" t="n">
        <x:f>IFERROR(F2934/H2934,0)</x:f>
        <x:v>0.16666666666666666</x:v>
      </x:c>
      <x:c r="S2934" s="24" t="n">
        <x:f>IFERROR(F2934/J2934,0)</x:f>
        <x:v>1</x:v>
      </x:c>
      <x:c r="T2934" s="28" t="n">
        <x:f>H2934-I2934</x:f>
        <x:v>-7</x:v>
      </x:c>
      <x:c r="U2934" s="24" t="n">
        <x:f>IFERROR(J2934/H2934,0)-IFERROR(K2934/I2934,0)</x:f>
        <x:v>-0.4487179487179488</x:v>
      </x:c>
      <x:c r="V2934" s="24" t="n">
        <x:f>IFERROR(F2934/J2934,0)-IFERROR(G2934/K2934,0)</x:f>
        <x:v>0.75</x:v>
      </x:c>
      <x:c r="W2934" s="28" t="n">
        <x:f>L2934-M2934</x:f>
        <x:v>2</x:v>
      </x:c>
      <x:c r="X2934" s="24" t="n">
        <x:f>IFERROR(K2934/I2934,0)</x:f>
        <x:v>0.6153846153846154</x:v>
      </x:c>
      <x:c r="Y2934" s="24" t="n">
        <x:f>IFERROR(G2934/I2934,0)</x:f>
        <x:v>0.15384615384615385</x:v>
      </x:c>
      <x:c r="Z2934" s="24" t="n">
        <x:f>IFERROR(G2934/K2934,0)</x:f>
        <x:v>0.25</x:v>
      </x:c>
      <x:c r="AA2934" s="24" t="n">
        <x:f>IFERROR(F2934/H2934,0)-IFERROR(G2934/I2934,0)</x:f>
        <x:v>0.012820512820512803</x:v>
      </x:c>
      <x:c r="AB2934" s="28" t="n">
        <x:f>J2934-K2934</x:f>
        <x:v>-7</x:v>
      </x:c>
      <x:c r="AC2934" s="32" t="n">
        <x:f>F2934-G2934</x:f>
        <x:v>-1</x:v>
      </x:c>
    </x:row>
    <x:row r="2935">
      <x:c r="A2935" s="4" t="str">
        <x:v>2024-25</x:v>
      </x:c>
      <x:c r="B2935" s="20" t="n">
        <x:v>45767</x:v>
      </x:c>
      <x:c r="C2935" s="4" t="str">
        <x:v>Ipswich</x:v>
      </x:c>
      <x:c r="D2935" s="4" t="str">
        <x:v>Arsenal</x:v>
      </x:c>
      <x:c r="E2935" s="4" t="str">
        <x:v>Home</x:v>
      </x:c>
      <x:c r="F2935" s="28" t="n">
        <x:v>0</x:v>
      </x:c>
      <x:c r="G2935" s="28" t="n">
        <x:v>4</x:v>
      </x:c>
      <x:c r="H2935" s="28" t="n">
        <x:v>4</x:v>
      </x:c>
      <x:c r="I2935" s="28" t="n">
        <x:v>24</x:v>
      </x:c>
      <x:c r="J2935" s="28" t="n">
        <x:v>0</x:v>
      </x:c>
      <x:c r="K2935" s="28" t="n">
        <x:v>7</x:v>
      </x:c>
      <x:c r="L2935" s="28" t="n">
        <x:v>0</x:v>
      </x:c>
      <x:c r="M2935" s="28" t="n">
        <x:v>12</x:v>
      </x:c>
      <x:c r="N2935" s="28" t="n">
        <x:v>0</x:v>
      </x:c>
      <x:c r="O2935" s="28" t="n">
        <x:v>1</x:v>
      </x:c>
      <x:c r="P2935" s="28" t="n">
        <x:v>0</x:v>
      </x:c>
      <x:c r="Q2935" s="24" t="n">
        <x:f>IFERROR(J2935/H2935,0)</x:f>
        <x:v>0</x:v>
      </x:c>
      <x:c r="R2935" s="24" t="n">
        <x:f>IFERROR(F2935/H2935,0)</x:f>
        <x:v>0</x:v>
      </x:c>
      <x:c r="S2935" s="24" t="n">
        <x:f>IFERROR(F2935/J2935,0)</x:f>
        <x:v>0</x:v>
      </x:c>
      <x:c r="T2935" s="28" t="n">
        <x:f>H2935-I2935</x:f>
        <x:v>-20</x:v>
      </x:c>
      <x:c r="U2935" s="24" t="n">
        <x:f>IFERROR(J2935/H2935,0)-IFERROR(K2935/I2935,0)</x:f>
        <x:v>-0.2916666666666667</x:v>
      </x:c>
      <x:c r="V2935" s="24" t="n">
        <x:f>IFERROR(F2935/J2935,0)-IFERROR(G2935/K2935,0)</x:f>
        <x:v>-0.5714285714285714</x:v>
      </x:c>
      <x:c r="W2935" s="28" t="n">
        <x:f>L2935-M2935</x:f>
        <x:v>-12</x:v>
      </x:c>
      <x:c r="X2935" s="24" t="n">
        <x:f>IFERROR(K2935/I2935,0)</x:f>
        <x:v>0.2916666666666667</x:v>
      </x:c>
      <x:c r="Y2935" s="24" t="n">
        <x:f>IFERROR(G2935/I2935,0)</x:f>
        <x:v>0.16666666666666666</x:v>
      </x:c>
      <x:c r="Z2935" s="24" t="n">
        <x:f>IFERROR(G2935/K2935,0)</x:f>
        <x:v>0.5714285714285714</x:v>
      </x:c>
      <x:c r="AA2935" s="24" t="n">
        <x:f>IFERROR(F2935/H2935,0)-IFERROR(G2935/I2935,0)</x:f>
        <x:v>-0.16666666666666666</x:v>
      </x:c>
      <x:c r="AB2935" s="28" t="n">
        <x:f>J2935-K2935</x:f>
        <x:v>-7</x:v>
      </x:c>
      <x:c r="AC2935" s="32" t="n">
        <x:f>F2935-G2935</x:f>
        <x:v>-4</x:v>
      </x:c>
    </x:row>
    <x:row r="2936">
      <x:c r="A2936" s="4" t="str">
        <x:v>2024-25</x:v>
      </x:c>
      <x:c r="B2936" s="20" t="n">
        <x:v>45767</x:v>
      </x:c>
      <x:c r="C2936" s="4" t="str">
        <x:v>Leicester</x:v>
      </x:c>
      <x:c r="D2936" s="4" t="str">
        <x:v>Liverpool</x:v>
      </x:c>
      <x:c r="E2936" s="4" t="str">
        <x:v>Home</x:v>
      </x:c>
      <x:c r="F2936" s="28" t="n">
        <x:v>0</x:v>
      </x:c>
      <x:c r="G2936" s="28" t="n">
        <x:v>1</x:v>
      </x:c>
      <x:c r="H2936" s="28" t="n">
        <x:v>5</x:v>
      </x:c>
      <x:c r="I2936" s="28" t="n">
        <x:v>28</x:v>
      </x:c>
      <x:c r="J2936" s="28" t="n">
        <x:v>0</x:v>
      </x:c>
      <x:c r="K2936" s="28" t="n">
        <x:v>10</x:v>
      </x:c>
      <x:c r="L2936" s="28" t="n">
        <x:v>1</x:v>
      </x:c>
      <x:c r="M2936" s="28" t="n">
        <x:v>13</x:v>
      </x:c>
      <x:c r="N2936" s="28" t="n">
        <x:v>1</x:v>
      </x:c>
      <x:c r="O2936" s="28" t="n">
        <x:v>0</x:v>
      </x:c>
      <x:c r="P2936" s="28" t="n">
        <x:v>0</x:v>
      </x:c>
      <x:c r="Q2936" s="24" t="n">
        <x:f>IFERROR(J2936/H2936,0)</x:f>
        <x:v>0</x:v>
      </x:c>
      <x:c r="R2936" s="24" t="n">
        <x:f>IFERROR(F2936/H2936,0)</x:f>
        <x:v>0</x:v>
      </x:c>
      <x:c r="S2936" s="24" t="n">
        <x:f>IFERROR(F2936/J2936,0)</x:f>
        <x:v>0</x:v>
      </x:c>
      <x:c r="T2936" s="28" t="n">
        <x:f>H2936-I2936</x:f>
        <x:v>-23</x:v>
      </x:c>
      <x:c r="U2936" s="24" t="n">
        <x:f>IFERROR(J2936/H2936,0)-IFERROR(K2936/I2936,0)</x:f>
        <x:v>-0.35714285714285715</x:v>
      </x:c>
      <x:c r="V2936" s="24" t="n">
        <x:f>IFERROR(F2936/J2936,0)-IFERROR(G2936/K2936,0)</x:f>
        <x:v>-0.1</x:v>
      </x:c>
      <x:c r="W2936" s="28" t="n">
        <x:f>L2936-M2936</x:f>
        <x:v>-12</x:v>
      </x:c>
      <x:c r="X2936" s="24" t="n">
        <x:f>IFERROR(K2936/I2936,0)</x:f>
        <x:v>0.35714285714285715</x:v>
      </x:c>
      <x:c r="Y2936" s="24" t="n">
        <x:f>IFERROR(G2936/I2936,0)</x:f>
        <x:v>0.03571428571428571</x:v>
      </x:c>
      <x:c r="Z2936" s="24" t="n">
        <x:f>IFERROR(G2936/K2936,0)</x:f>
        <x:v>0.1</x:v>
      </x:c>
      <x:c r="AA2936" s="24" t="n">
        <x:f>IFERROR(F2936/H2936,0)-IFERROR(G2936/I2936,0)</x:f>
        <x:v>-0.03571428571428571</x:v>
      </x:c>
      <x:c r="AB2936" s="28" t="n">
        <x:f>J2936-K2936</x:f>
        <x:v>-10</x:v>
      </x:c>
      <x:c r="AC2936" s="32" t="n">
        <x:f>F2936-G2936</x:f>
        <x:v>-1</x:v>
      </x:c>
    </x:row>
    <x:row r="2937">
      <x:c r="A2937" s="4" t="str">
        <x:v>2024-25</x:v>
      </x:c>
      <x:c r="B2937" s="20" t="n">
        <x:v>45767</x:v>
      </x:c>
      <x:c r="C2937" s="4" t="str">
        <x:v>Liverpool</x:v>
      </x:c>
      <x:c r="D2937" s="4" t="str">
        <x:v>Leicester</x:v>
      </x:c>
      <x:c r="E2937" s="4" t="str">
        <x:v>Away</x:v>
      </x:c>
      <x:c r="F2937" s="28" t="n">
        <x:v>1</x:v>
      </x:c>
      <x:c r="G2937" s="28" t="n">
        <x:v>0</x:v>
      </x:c>
      <x:c r="H2937" s="28" t="n">
        <x:v>28</x:v>
      </x:c>
      <x:c r="I2937" s="28" t="n">
        <x:v>5</x:v>
      </x:c>
      <x:c r="J2937" s="28" t="n">
        <x:v>10</x:v>
      </x:c>
      <x:c r="K2937" s="28" t="n">
        <x:v>0</x:v>
      </x:c>
      <x:c r="L2937" s="28" t="n">
        <x:v>13</x:v>
      </x:c>
      <x:c r="M2937" s="28" t="n">
        <x:v>1</x:v>
      </x:c>
      <x:c r="N2937" s="28" t="n">
        <x:v>2</x:v>
      </x:c>
      <x:c r="O2937" s="28" t="n">
        <x:v>0</x:v>
      </x:c>
      <x:c r="P2937" s="28" t="n">
        <x:v>3</x:v>
      </x:c>
      <x:c r="Q2937" s="24" t="n">
        <x:f>IFERROR(J2937/H2937,0)</x:f>
        <x:v>0.35714285714285715</x:v>
      </x:c>
      <x:c r="R2937" s="24" t="n">
        <x:f>IFERROR(F2937/H2937,0)</x:f>
        <x:v>0.03571428571428571</x:v>
      </x:c>
      <x:c r="S2937" s="24" t="n">
        <x:f>IFERROR(F2937/J2937,0)</x:f>
        <x:v>0.1</x:v>
      </x:c>
      <x:c r="T2937" s="28" t="n">
        <x:f>H2937-I2937</x:f>
        <x:v>23</x:v>
      </x:c>
      <x:c r="U2937" s="24" t="n">
        <x:f>IFERROR(J2937/H2937,0)-IFERROR(K2937/I2937,0)</x:f>
        <x:v>0.35714285714285715</x:v>
      </x:c>
      <x:c r="V2937" s="24" t="n">
        <x:f>IFERROR(F2937/J2937,0)-IFERROR(G2937/K2937,0)</x:f>
        <x:v>0.1</x:v>
      </x:c>
      <x:c r="W2937" s="28" t="n">
        <x:f>L2937-M2937</x:f>
        <x:v>12</x:v>
      </x:c>
      <x:c r="X2937" s="24" t="n">
        <x:f>IFERROR(K2937/I2937,0)</x:f>
        <x:v>0</x:v>
      </x:c>
      <x:c r="Y2937" s="24" t="n">
        <x:f>IFERROR(G2937/I2937,0)</x:f>
        <x:v>0</x:v>
      </x:c>
      <x:c r="Z2937" s="24" t="n">
        <x:f>IFERROR(G2937/K2937,0)</x:f>
        <x:v>0</x:v>
      </x:c>
      <x:c r="AA2937" s="24" t="n">
        <x:f>IFERROR(F2937/H2937,0)-IFERROR(G2937/I2937,0)</x:f>
        <x:v>0.03571428571428571</x:v>
      </x:c>
      <x:c r="AB2937" s="28" t="n">
        <x:f>J2937-K2937</x:f>
        <x:v>10</x:v>
      </x:c>
      <x:c r="AC2937" s="32" t="n">
        <x:f>F2937-G2937</x:f>
        <x:v>1</x:v>
      </x:c>
    </x:row>
    <x:row r="2938">
      <x:c r="A2938" s="4" t="str">
        <x:v>2024-25</x:v>
      </x:c>
      <x:c r="B2938" s="20" t="n">
        <x:v>45767</x:v>
      </x:c>
      <x:c r="C2938" s="4" t="str">
        <x:v>Man United</x:v>
      </x:c>
      <x:c r="D2938" s="4" t="str">
        <x:v>Wolves</x:v>
      </x:c>
      <x:c r="E2938" s="4" t="str">
        <x:v>Home</x:v>
      </x:c>
      <x:c r="F2938" s="28" t="n">
        <x:v>0</x:v>
      </x:c>
      <x:c r="G2938" s="28" t="n">
        <x:v>1</x:v>
      </x:c>
      <x:c r="H2938" s="28" t="n">
        <x:v>12</x:v>
      </x:c>
      <x:c r="I2938" s="28" t="n">
        <x:v>4</x:v>
      </x:c>
      <x:c r="J2938" s="28" t="n">
        <x:v>2</x:v>
      </x:c>
      <x:c r="K2938" s="28" t="n">
        <x:v>2</x:v>
      </x:c>
      <x:c r="L2938" s="28" t="n">
        <x:v>9</x:v>
      </x:c>
      <x:c r="M2938" s="28" t="n">
        <x:v>2</x:v>
      </x:c>
      <x:c r="N2938" s="28" t="n">
        <x:v>2</x:v>
      </x:c>
      <x:c r="O2938" s="28" t="n">
        <x:v>0</x:v>
      </x:c>
      <x:c r="P2938" s="28" t="n">
        <x:v>0</x:v>
      </x:c>
      <x:c r="Q2938" s="24" t="n">
        <x:f>IFERROR(J2938/H2938,0)</x:f>
        <x:v>0.16666666666666666</x:v>
      </x:c>
      <x:c r="R2938" s="24" t="n">
        <x:f>IFERROR(F2938/H2938,0)</x:f>
        <x:v>0</x:v>
      </x:c>
      <x:c r="S2938" s="24" t="n">
        <x:f>IFERROR(F2938/J2938,0)</x:f>
        <x:v>0</x:v>
      </x:c>
      <x:c r="T2938" s="28" t="n">
        <x:f>H2938-I2938</x:f>
        <x:v>8</x:v>
      </x:c>
      <x:c r="U2938" s="24" t="n">
        <x:f>IFERROR(J2938/H2938,0)-IFERROR(K2938/I2938,0)</x:f>
        <x:v>-0.33333333333333337</x:v>
      </x:c>
      <x:c r="V2938" s="24" t="n">
        <x:f>IFERROR(F2938/J2938,0)-IFERROR(G2938/K2938,0)</x:f>
        <x:v>-0.5</x:v>
      </x:c>
      <x:c r="W2938" s="28" t="n">
        <x:f>L2938-M2938</x:f>
        <x:v>7</x:v>
      </x:c>
      <x:c r="X2938" s="24" t="n">
        <x:f>IFERROR(K2938/I2938,0)</x:f>
        <x:v>0.5</x:v>
      </x:c>
      <x:c r="Y2938" s="24" t="n">
        <x:f>IFERROR(G2938/I2938,0)</x:f>
        <x:v>0.25</x:v>
      </x:c>
      <x:c r="Z2938" s="24" t="n">
        <x:f>IFERROR(G2938/K2938,0)</x:f>
        <x:v>0.5</x:v>
      </x:c>
      <x:c r="AA2938" s="24" t="n">
        <x:f>IFERROR(F2938/H2938,0)-IFERROR(G2938/I2938,0)</x:f>
        <x:v>-0.25</x:v>
      </x:c>
      <x:c r="AB2938" s="28" t="n">
        <x:f>J2938-K2938</x:f>
        <x:v>0</x:v>
      </x:c>
      <x:c r="AC2938" s="32" t="n">
        <x:f>F2938-G2938</x:f>
        <x:v>-1</x:v>
      </x:c>
    </x:row>
    <x:row r="2939">
      <x:c r="A2939" s="4" t="str">
        <x:v>2024-25</x:v>
      </x:c>
      <x:c r="B2939" s="20" t="n">
        <x:v>45767</x:v>
      </x:c>
      <x:c r="C2939" s="4" t="str">
        <x:v>Wolves</x:v>
      </x:c>
      <x:c r="D2939" s="4" t="str">
        <x:v>Man United</x:v>
      </x:c>
      <x:c r="E2939" s="4" t="str">
        <x:v>Away</x:v>
      </x:c>
      <x:c r="F2939" s="28" t="n">
        <x:v>1</x:v>
      </x:c>
      <x:c r="G2939" s="28" t="n">
        <x:v>0</x:v>
      </x:c>
      <x:c r="H2939" s="28" t="n">
        <x:v>4</x:v>
      </x:c>
      <x:c r="I2939" s="28" t="n">
        <x:v>12</x:v>
      </x:c>
      <x:c r="J2939" s="28" t="n">
        <x:v>2</x:v>
      </x:c>
      <x:c r="K2939" s="28" t="n">
        <x:v>2</x:v>
      </x:c>
      <x:c r="L2939" s="28" t="n">
        <x:v>2</x:v>
      </x:c>
      <x:c r="M2939" s="28" t="n">
        <x:v>9</x:v>
      </x:c>
      <x:c r="N2939" s="28" t="n">
        <x:v>3</x:v>
      </x:c>
      <x:c r="O2939" s="28" t="n">
        <x:v>0</x:v>
      </x:c>
      <x:c r="P2939" s="28" t="n">
        <x:v>3</x:v>
      </x:c>
      <x:c r="Q2939" s="24" t="n">
        <x:f>IFERROR(J2939/H2939,0)</x:f>
        <x:v>0.5</x:v>
      </x:c>
      <x:c r="R2939" s="24" t="n">
        <x:f>IFERROR(F2939/H2939,0)</x:f>
        <x:v>0.25</x:v>
      </x:c>
      <x:c r="S2939" s="24" t="n">
        <x:f>IFERROR(F2939/J2939,0)</x:f>
        <x:v>0.5</x:v>
      </x:c>
      <x:c r="T2939" s="28" t="n">
        <x:f>H2939-I2939</x:f>
        <x:v>-8</x:v>
      </x:c>
      <x:c r="U2939" s="24" t="n">
        <x:f>IFERROR(J2939/H2939,0)-IFERROR(K2939/I2939,0)</x:f>
        <x:v>0.33333333333333337</x:v>
      </x:c>
      <x:c r="V2939" s="24" t="n">
        <x:f>IFERROR(F2939/J2939,0)-IFERROR(G2939/K2939,0)</x:f>
        <x:v>0.5</x:v>
      </x:c>
      <x:c r="W2939" s="28" t="n">
        <x:f>L2939-M2939</x:f>
        <x:v>-7</x:v>
      </x:c>
      <x:c r="X2939" s="24" t="n">
        <x:f>IFERROR(K2939/I2939,0)</x:f>
        <x:v>0.16666666666666666</x:v>
      </x:c>
      <x:c r="Y2939" s="24" t="n">
        <x:f>IFERROR(G2939/I2939,0)</x:f>
        <x:v>0</x:v>
      </x:c>
      <x:c r="Z2939" s="24" t="n">
        <x:f>IFERROR(G2939/K2939,0)</x:f>
        <x:v>0</x:v>
      </x:c>
      <x:c r="AA2939" s="24" t="n">
        <x:f>IFERROR(F2939/H2939,0)-IFERROR(G2939/I2939,0)</x:f>
        <x:v>0.25</x:v>
      </x:c>
      <x:c r="AB2939" s="28" t="n">
        <x:f>J2939-K2939</x:f>
        <x:v>0</x:v>
      </x:c>
      <x:c r="AC2939" s="32" t="n">
        <x:f>F2939-G2939</x:f>
        <x:v>1</x:v>
      </x:c>
    </x:row>
    <x:row r="2940">
      <x:c r="A2940" s="4" t="str">
        <x:v>2024-25</x:v>
      </x:c>
      <x:c r="B2940" s="20" t="n">
        <x:v>45768</x:v>
      </x:c>
      <x:c r="C2940" s="4" t="str">
        <x:v>Nott'm Forest</x:v>
      </x:c>
      <x:c r="D2940" s="4" t="str">
        <x:v>Tottenham</x:v>
      </x:c>
      <x:c r="E2940" s="4" t="str">
        <x:v>Away</x:v>
      </x:c>
      <x:c r="F2940" s="28" t="n">
        <x:v>2</x:v>
      </x:c>
      <x:c r="G2940" s="28" t="n">
        <x:v>1</x:v>
      </x:c>
      <x:c r="H2940" s="28" t="n">
        <x:v>4</x:v>
      </x:c>
      <x:c r="I2940" s="28" t="n">
        <x:v>22</x:v>
      </x:c>
      <x:c r="J2940" s="28" t="n">
        <x:v>3</x:v>
      </x:c>
      <x:c r="K2940" s="28" t="n">
        <x:v>6</x:v>
      </x:c>
      <x:c r="L2940" s="28" t="n">
        <x:v>1</x:v>
      </x:c>
      <x:c r="M2940" s="28" t="n">
        <x:v>7</x:v>
      </x:c>
      <x:c r="N2940" s="28" t="n">
        <x:v>4</x:v>
      </x:c>
      <x:c r="O2940" s="28" t="n">
        <x:v>0</x:v>
      </x:c>
      <x:c r="P2940" s="28" t="n">
        <x:v>3</x:v>
      </x:c>
      <x:c r="Q2940" s="24" t="n">
        <x:f>IFERROR(J2940/H2940,0)</x:f>
        <x:v>0.75</x:v>
      </x:c>
      <x:c r="R2940" s="24" t="n">
        <x:f>IFERROR(F2940/H2940,0)</x:f>
        <x:v>0.5</x:v>
      </x:c>
      <x:c r="S2940" s="24" t="n">
        <x:f>IFERROR(F2940/J2940,0)</x:f>
        <x:v>0.6666666666666666</x:v>
      </x:c>
      <x:c r="T2940" s="28" t="n">
        <x:f>H2940-I2940</x:f>
        <x:v>-18</x:v>
      </x:c>
      <x:c r="U2940" s="24" t="n">
        <x:f>IFERROR(J2940/H2940,0)-IFERROR(K2940/I2940,0)</x:f>
        <x:v>0.4772727272727273</x:v>
      </x:c>
      <x:c r="V2940" s="24" t="n">
        <x:f>IFERROR(F2940/J2940,0)-IFERROR(G2940/K2940,0)</x:f>
        <x:v>0.5</x:v>
      </x:c>
      <x:c r="W2940" s="28" t="n">
        <x:f>L2940-M2940</x:f>
        <x:v>-6</x:v>
      </x:c>
      <x:c r="X2940" s="24" t="n">
        <x:f>IFERROR(K2940/I2940,0)</x:f>
        <x:v>0.2727272727272727</x:v>
      </x:c>
      <x:c r="Y2940" s="24" t="n">
        <x:f>IFERROR(G2940/I2940,0)</x:f>
        <x:v>0.045454545454545456</x:v>
      </x:c>
      <x:c r="Z2940" s="24" t="n">
        <x:f>IFERROR(G2940/K2940,0)</x:f>
        <x:v>0.16666666666666666</x:v>
      </x:c>
      <x:c r="AA2940" s="24" t="n">
        <x:f>IFERROR(F2940/H2940,0)-IFERROR(G2940/I2940,0)</x:f>
        <x:v>0.45454545454545453</x:v>
      </x:c>
      <x:c r="AB2940" s="28" t="n">
        <x:f>J2940-K2940</x:f>
        <x:v>-3</x:v>
      </x:c>
      <x:c r="AC2940" s="32" t="n">
        <x:f>F2940-G2940</x:f>
        <x:v>1</x:v>
      </x:c>
    </x:row>
    <x:row r="2941">
      <x:c r="A2941" s="4" t="str">
        <x:v>2024-25</x:v>
      </x:c>
      <x:c r="B2941" s="20" t="n">
        <x:v>45768</x:v>
      </x:c>
      <x:c r="C2941" s="4" t="str">
        <x:v>Tottenham</x:v>
      </x:c>
      <x:c r="D2941" s="4" t="str">
        <x:v>Nott'm Forest</x:v>
      </x:c>
      <x:c r="E2941" s="4" t="str">
        <x:v>Home</x:v>
      </x:c>
      <x:c r="F2941" s="28" t="n">
        <x:v>1</x:v>
      </x:c>
      <x:c r="G2941" s="28" t="n">
        <x:v>2</x:v>
      </x:c>
      <x:c r="H2941" s="28" t="n">
        <x:v>22</x:v>
      </x:c>
      <x:c r="I2941" s="28" t="n">
        <x:v>4</x:v>
      </x:c>
      <x:c r="J2941" s="28" t="n">
        <x:v>6</x:v>
      </x:c>
      <x:c r="K2941" s="28" t="n">
        <x:v>3</x:v>
      </x:c>
      <x:c r="L2941" s="28" t="n">
        <x:v>7</x:v>
      </x:c>
      <x:c r="M2941" s="28" t="n">
        <x:v>1</x:v>
      </x:c>
      <x:c r="N2941" s="28" t="n">
        <x:v>1</x:v>
      </x:c>
      <x:c r="O2941" s="28" t="n">
        <x:v>0</x:v>
      </x:c>
      <x:c r="P2941" s="28" t="n">
        <x:v>0</x:v>
      </x:c>
      <x:c r="Q2941" s="24" t="n">
        <x:f>IFERROR(J2941/H2941,0)</x:f>
        <x:v>0.2727272727272727</x:v>
      </x:c>
      <x:c r="R2941" s="24" t="n">
        <x:f>IFERROR(F2941/H2941,0)</x:f>
        <x:v>0.045454545454545456</x:v>
      </x:c>
      <x:c r="S2941" s="24" t="n">
        <x:f>IFERROR(F2941/J2941,0)</x:f>
        <x:v>0.16666666666666666</x:v>
      </x:c>
      <x:c r="T2941" s="28" t="n">
        <x:f>H2941-I2941</x:f>
        <x:v>18</x:v>
      </x:c>
      <x:c r="U2941" s="24" t="n">
        <x:f>IFERROR(J2941/H2941,0)-IFERROR(K2941/I2941,0)</x:f>
        <x:v>-0.4772727272727273</x:v>
      </x:c>
      <x:c r="V2941" s="24" t="n">
        <x:f>IFERROR(F2941/J2941,0)-IFERROR(G2941/K2941,0)</x:f>
        <x:v>-0.5</x:v>
      </x:c>
      <x:c r="W2941" s="28" t="n">
        <x:f>L2941-M2941</x:f>
        <x:v>6</x:v>
      </x:c>
      <x:c r="X2941" s="24" t="n">
        <x:f>IFERROR(K2941/I2941,0)</x:f>
        <x:v>0.75</x:v>
      </x:c>
      <x:c r="Y2941" s="24" t="n">
        <x:f>IFERROR(G2941/I2941,0)</x:f>
        <x:v>0.5</x:v>
      </x:c>
      <x:c r="Z2941" s="24" t="n">
        <x:f>IFERROR(G2941/K2941,0)</x:f>
        <x:v>0.6666666666666666</x:v>
      </x:c>
      <x:c r="AA2941" s="24" t="n">
        <x:f>IFERROR(F2941/H2941,0)-IFERROR(G2941/I2941,0)</x:f>
        <x:v>-0.45454545454545453</x:v>
      </x:c>
      <x:c r="AB2941" s="28" t="n">
        <x:f>J2941-K2941</x:f>
        <x:v>3</x:v>
      </x:c>
      <x:c r="AC2941" s="32" t="n">
        <x:f>F2941-G2941</x:f>
        <x:v>-1</x:v>
      </x:c>
    </x:row>
    <x:row r="2942">
      <x:c r="A2942" s="4" t="str">
        <x:v>2024-25</x:v>
      </x:c>
      <x:c r="B2942" s="20" t="n">
        <x:v>45769</x:v>
      </x:c>
      <x:c r="C2942" s="4" t="str">
        <x:v>Aston Villa</x:v>
      </x:c>
      <x:c r="D2942" s="4" t="str">
        <x:v>Man City</x:v>
      </x:c>
      <x:c r="E2942" s="4" t="str">
        <x:v>Away</x:v>
      </x:c>
      <x:c r="F2942" s="28" t="n">
        <x:v>1</x:v>
      </x:c>
      <x:c r="G2942" s="28" t="n">
        <x:v>2</x:v>
      </x:c>
      <x:c r="H2942" s="28" t="n">
        <x:v>7</x:v>
      </x:c>
      <x:c r="I2942" s="28" t="n">
        <x:v>14</x:v>
      </x:c>
      <x:c r="J2942" s="28" t="n">
        <x:v>3</x:v>
      </x:c>
      <x:c r="K2942" s="28" t="n">
        <x:v>6</x:v>
      </x:c>
      <x:c r="L2942" s="28" t="n">
        <x:v>2</x:v>
      </x:c>
      <x:c r="M2942" s="28" t="n">
        <x:v>10</x:v>
      </x:c>
      <x:c r="N2942" s="28" t="n">
        <x:v>3</x:v>
      </x:c>
      <x:c r="O2942" s="28" t="n">
        <x:v>0</x:v>
      </x:c>
      <x:c r="P2942" s="28" t="n">
        <x:v>0</x:v>
      </x:c>
      <x:c r="Q2942" s="24" t="n">
        <x:f>IFERROR(J2942/H2942,0)</x:f>
        <x:v>0.42857142857142855</x:v>
      </x:c>
      <x:c r="R2942" s="24" t="n">
        <x:f>IFERROR(F2942/H2942,0)</x:f>
        <x:v>0.14285714285714285</x:v>
      </x:c>
      <x:c r="S2942" s="24" t="n">
        <x:f>IFERROR(F2942/J2942,0)</x:f>
        <x:v>0.3333333333333333</x:v>
      </x:c>
      <x:c r="T2942" s="28" t="n">
        <x:f>H2942-I2942</x:f>
        <x:v>-7</x:v>
      </x:c>
      <x:c r="U2942" s="24" t="n">
        <x:f>IFERROR(J2942/H2942,0)-IFERROR(K2942/I2942,0)</x:f>
        <x:v>0</x:v>
      </x:c>
      <x:c r="V2942" s="24" t="n">
        <x:f>IFERROR(F2942/J2942,0)-IFERROR(G2942/K2942,0)</x:f>
        <x:v>0</x:v>
      </x:c>
      <x:c r="W2942" s="28" t="n">
        <x:f>L2942-M2942</x:f>
        <x:v>-8</x:v>
      </x:c>
      <x:c r="X2942" s="24" t="n">
        <x:f>IFERROR(K2942/I2942,0)</x:f>
        <x:v>0.42857142857142855</x:v>
      </x:c>
      <x:c r="Y2942" s="24" t="n">
        <x:f>IFERROR(G2942/I2942,0)</x:f>
        <x:v>0.14285714285714285</x:v>
      </x:c>
      <x:c r="Z2942" s="24" t="n">
        <x:f>IFERROR(G2942/K2942,0)</x:f>
        <x:v>0.3333333333333333</x:v>
      </x:c>
      <x:c r="AA2942" s="24" t="n">
        <x:f>IFERROR(F2942/H2942,0)-IFERROR(G2942/I2942,0)</x:f>
        <x:v>0</x:v>
      </x:c>
      <x:c r="AB2942" s="28" t="n">
        <x:f>J2942-K2942</x:f>
        <x:v>-3</x:v>
      </x:c>
      <x:c r="AC2942" s="32" t="n">
        <x:f>F2942-G2942</x:f>
        <x:v>-1</x:v>
      </x:c>
    </x:row>
    <x:row r="2943">
      <x:c r="A2943" s="4" t="str">
        <x:v>2024-25</x:v>
      </x:c>
      <x:c r="B2943" s="20" t="n">
        <x:v>45769</x:v>
      </x:c>
      <x:c r="C2943" s="4" t="str">
        <x:v>Man City</x:v>
      </x:c>
      <x:c r="D2943" s="4" t="str">
        <x:v>Aston Villa</x:v>
      </x:c>
      <x:c r="E2943" s="4" t="str">
        <x:v>Home</x:v>
      </x:c>
      <x:c r="F2943" s="28" t="n">
        <x:v>2</x:v>
      </x:c>
      <x:c r="G2943" s="28" t="n">
        <x:v>1</x:v>
      </x:c>
      <x:c r="H2943" s="28" t="n">
        <x:v>14</x:v>
      </x:c>
      <x:c r="I2943" s="28" t="n">
        <x:v>7</x:v>
      </x:c>
      <x:c r="J2943" s="28" t="n">
        <x:v>6</x:v>
      </x:c>
      <x:c r="K2943" s="28" t="n">
        <x:v>3</x:v>
      </x:c>
      <x:c r="L2943" s="28" t="n">
        <x:v>10</x:v>
      </x:c>
      <x:c r="M2943" s="28" t="n">
        <x:v>2</x:v>
      </x:c>
      <x:c r="N2943" s="28" t="n">
        <x:v>3</x:v>
      </x:c>
      <x:c r="O2943" s="28" t="n">
        <x:v>0</x:v>
      </x:c>
      <x:c r="P2943" s="28" t="n">
        <x:v>3</x:v>
      </x:c>
      <x:c r="Q2943" s="24" t="n">
        <x:f>IFERROR(J2943/H2943,0)</x:f>
        <x:v>0.42857142857142855</x:v>
      </x:c>
      <x:c r="R2943" s="24" t="n">
        <x:f>IFERROR(F2943/H2943,0)</x:f>
        <x:v>0.14285714285714285</x:v>
      </x:c>
      <x:c r="S2943" s="24" t="n">
        <x:f>IFERROR(F2943/J2943,0)</x:f>
        <x:v>0.3333333333333333</x:v>
      </x:c>
      <x:c r="T2943" s="28" t="n">
        <x:f>H2943-I2943</x:f>
        <x:v>7</x:v>
      </x:c>
      <x:c r="U2943" s="24" t="n">
        <x:f>IFERROR(J2943/H2943,0)-IFERROR(K2943/I2943,0)</x:f>
        <x:v>0</x:v>
      </x:c>
      <x:c r="V2943" s="24" t="n">
        <x:f>IFERROR(F2943/J2943,0)-IFERROR(G2943/K2943,0)</x:f>
        <x:v>0</x:v>
      </x:c>
      <x:c r="W2943" s="28" t="n">
        <x:f>L2943-M2943</x:f>
        <x:v>8</x:v>
      </x:c>
      <x:c r="X2943" s="24" t="n">
        <x:f>IFERROR(K2943/I2943,0)</x:f>
        <x:v>0.42857142857142855</x:v>
      </x:c>
      <x:c r="Y2943" s="24" t="n">
        <x:f>IFERROR(G2943/I2943,0)</x:f>
        <x:v>0.14285714285714285</x:v>
      </x:c>
      <x:c r="Z2943" s="24" t="n">
        <x:f>IFERROR(G2943/K2943,0)</x:f>
        <x:v>0.3333333333333333</x:v>
      </x:c>
      <x:c r="AA2943" s="24" t="n">
        <x:f>IFERROR(F2943/H2943,0)-IFERROR(G2943/I2943,0)</x:f>
        <x:v>0</x:v>
      </x:c>
      <x:c r="AB2943" s="28" t="n">
        <x:f>J2943-K2943</x:f>
        <x:v>3</x:v>
      </x:c>
      <x:c r="AC2943" s="32" t="n">
        <x:f>F2943-G2943</x:f>
        <x:v>1</x:v>
      </x:c>
    </x:row>
    <x:row r="2944">
      <x:c r="A2944" s="4" t="str">
        <x:v>2024-25</x:v>
      </x:c>
      <x:c r="B2944" s="20" t="n">
        <x:v>45770</x:v>
      </x:c>
      <x:c r="C2944" s="4" t="str">
        <x:v>Arsenal</x:v>
      </x:c>
      <x:c r="D2944" s="4" t="str">
        <x:v>Crystal Palace</x:v>
      </x:c>
      <x:c r="E2944" s="4" t="str">
        <x:v>Home</x:v>
      </x:c>
      <x:c r="F2944" s="28" t="n">
        <x:v>2</x:v>
      </x:c>
      <x:c r="G2944" s="28" t="n">
        <x:v>2</x:v>
      </x:c>
      <x:c r="H2944" s="28" t="n">
        <x:v>12</x:v>
      </x:c>
      <x:c r="I2944" s="28" t="n">
        <x:v>15</x:v>
      </x:c>
      <x:c r="J2944" s="28" t="n">
        <x:v>6</x:v>
      </x:c>
      <x:c r="K2944" s="28" t="n">
        <x:v>4</x:v>
      </x:c>
      <x:c r="L2944" s="28" t="n">
        <x:v>3</x:v>
      </x:c>
      <x:c r="M2944" s="28" t="n">
        <x:v>6</x:v>
      </x:c>
      <x:c r="N2944" s="28" t="n">
        <x:v>1</x:v>
      </x:c>
      <x:c r="O2944" s="28" t="n">
        <x:v>0</x:v>
      </x:c>
      <x:c r="P2944" s="28" t="n">
        <x:v>1</x:v>
      </x:c>
      <x:c r="Q2944" s="24" t="n">
        <x:f>IFERROR(J2944/H2944,0)</x:f>
        <x:v>0.5</x:v>
      </x:c>
      <x:c r="R2944" s="24" t="n">
        <x:f>IFERROR(F2944/H2944,0)</x:f>
        <x:v>0.16666666666666666</x:v>
      </x:c>
      <x:c r="S2944" s="24" t="n">
        <x:f>IFERROR(F2944/J2944,0)</x:f>
        <x:v>0.3333333333333333</x:v>
      </x:c>
      <x:c r="T2944" s="28" t="n">
        <x:f>H2944-I2944</x:f>
        <x:v>-3</x:v>
      </x:c>
      <x:c r="U2944" s="24" t="n">
        <x:f>IFERROR(J2944/H2944,0)-IFERROR(K2944/I2944,0)</x:f>
        <x:v>0.23333333333333334</x:v>
      </x:c>
      <x:c r="V2944" s="24" t="n">
        <x:f>IFERROR(F2944/J2944,0)-IFERROR(G2944/K2944,0)</x:f>
        <x:v>-0.16666666666666669</x:v>
      </x:c>
      <x:c r="W2944" s="28" t="n">
        <x:f>L2944-M2944</x:f>
        <x:v>-3</x:v>
      </x:c>
      <x:c r="X2944" s="24" t="n">
        <x:f>IFERROR(K2944/I2944,0)</x:f>
        <x:v>0.26666666666666666</x:v>
      </x:c>
      <x:c r="Y2944" s="24" t="n">
        <x:f>IFERROR(G2944/I2944,0)</x:f>
        <x:v>0.13333333333333333</x:v>
      </x:c>
      <x:c r="Z2944" s="24" t="n">
        <x:f>IFERROR(G2944/K2944,0)</x:f>
        <x:v>0.5</x:v>
      </x:c>
      <x:c r="AA2944" s="24" t="n">
        <x:f>IFERROR(F2944/H2944,0)-IFERROR(G2944/I2944,0)</x:f>
        <x:v>0.033333333333333326</x:v>
      </x:c>
      <x:c r="AB2944" s="28" t="n">
        <x:f>J2944-K2944</x:f>
        <x:v>2</x:v>
      </x:c>
      <x:c r="AC2944" s="32" t="n">
        <x:f>F2944-G2944</x:f>
        <x:v>0</x:v>
      </x:c>
    </x:row>
    <x:row r="2945">
      <x:c r="A2945" s="4" t="str">
        <x:v>2024-25</x:v>
      </x:c>
      <x:c r="B2945" s="20" t="n">
        <x:v>45770</x:v>
      </x:c>
      <x:c r="C2945" s="4" t="str">
        <x:v>Crystal Palace</x:v>
      </x:c>
      <x:c r="D2945" s="4" t="str">
        <x:v>Arsenal</x:v>
      </x:c>
      <x:c r="E2945" s="4" t="str">
        <x:v>Away</x:v>
      </x:c>
      <x:c r="F2945" s="28" t="n">
        <x:v>2</x:v>
      </x:c>
      <x:c r="G2945" s="28" t="n">
        <x:v>2</x:v>
      </x:c>
      <x:c r="H2945" s="28" t="n">
        <x:v>15</x:v>
      </x:c>
      <x:c r="I2945" s="28" t="n">
        <x:v>12</x:v>
      </x:c>
      <x:c r="J2945" s="28" t="n">
        <x:v>4</x:v>
      </x:c>
      <x:c r="K2945" s="28" t="n">
        <x:v>6</x:v>
      </x:c>
      <x:c r="L2945" s="28" t="n">
        <x:v>6</x:v>
      </x:c>
      <x:c r="M2945" s="28" t="n">
        <x:v>3</x:v>
      </x:c>
      <x:c r="N2945" s="28" t="n">
        <x:v>1</x:v>
      </x:c>
      <x:c r="O2945" s="28" t="n">
        <x:v>0</x:v>
      </x:c>
      <x:c r="P2945" s="28" t="n">
        <x:v>1</x:v>
      </x:c>
      <x:c r="Q2945" s="24" t="n">
        <x:f>IFERROR(J2945/H2945,0)</x:f>
        <x:v>0.26666666666666666</x:v>
      </x:c>
      <x:c r="R2945" s="24" t="n">
        <x:f>IFERROR(F2945/H2945,0)</x:f>
        <x:v>0.13333333333333333</x:v>
      </x:c>
      <x:c r="S2945" s="24" t="n">
        <x:f>IFERROR(F2945/J2945,0)</x:f>
        <x:v>0.5</x:v>
      </x:c>
      <x:c r="T2945" s="28" t="n">
        <x:f>H2945-I2945</x:f>
        <x:v>3</x:v>
      </x:c>
      <x:c r="U2945" s="24" t="n">
        <x:f>IFERROR(J2945/H2945,0)-IFERROR(K2945/I2945,0)</x:f>
        <x:v>-0.23333333333333334</x:v>
      </x:c>
      <x:c r="V2945" s="24" t="n">
        <x:f>IFERROR(F2945/J2945,0)-IFERROR(G2945/K2945,0)</x:f>
        <x:v>0.16666666666666669</x:v>
      </x:c>
      <x:c r="W2945" s="28" t="n">
        <x:f>L2945-M2945</x:f>
        <x:v>3</x:v>
      </x:c>
      <x:c r="X2945" s="24" t="n">
        <x:f>IFERROR(K2945/I2945,0)</x:f>
        <x:v>0.5</x:v>
      </x:c>
      <x:c r="Y2945" s="24" t="n">
        <x:f>IFERROR(G2945/I2945,0)</x:f>
        <x:v>0.16666666666666666</x:v>
      </x:c>
      <x:c r="Z2945" s="24" t="n">
        <x:f>IFERROR(G2945/K2945,0)</x:f>
        <x:v>0.3333333333333333</x:v>
      </x:c>
      <x:c r="AA2945" s="24" t="n">
        <x:f>IFERROR(F2945/H2945,0)-IFERROR(G2945/I2945,0)</x:f>
        <x:v>-0.033333333333333326</x:v>
      </x:c>
      <x:c r="AB2945" s="28" t="n">
        <x:f>J2945-K2945</x:f>
        <x:v>-2</x:v>
      </x:c>
      <x:c r="AC2945" s="32" t="n">
        <x:f>F2945-G2945</x:f>
        <x:v>0</x:v>
      </x:c>
    </x:row>
    <x:row r="2946">
      <x:c r="A2946" s="4" t="str">
        <x:v>2024-25</x:v>
      </x:c>
      <x:c r="B2946" s="20" t="n">
        <x:v>45773</x:v>
      </x:c>
      <x:c r="C2946" s="4" t="str">
        <x:v>Brighton</x:v>
      </x:c>
      <x:c r="D2946" s="4" t="str">
        <x:v>West Ham</x:v>
      </x:c>
      <x:c r="E2946" s="4" t="str">
        <x:v>Home</x:v>
      </x:c>
      <x:c r="F2946" s="28" t="n">
        <x:v>3</x:v>
      </x:c>
      <x:c r="G2946" s="28" t="n">
        <x:v>2</x:v>
      </x:c>
      <x:c r="H2946" s="28" t="n">
        <x:v>16</x:v>
      </x:c>
      <x:c r="I2946" s="28" t="n">
        <x:v>12</x:v>
      </x:c>
      <x:c r="J2946" s="28" t="n">
        <x:v>9</x:v>
      </x:c>
      <x:c r="K2946" s="28" t="n">
        <x:v>4</x:v>
      </x:c>
      <x:c r="L2946" s="28" t="n">
        <x:v>8</x:v>
      </x:c>
      <x:c r="M2946" s="28" t="n">
        <x:v>1</x:v>
      </x:c>
      <x:c r="N2946" s="28" t="n">
        <x:v>1</x:v>
      </x:c>
      <x:c r="O2946" s="28" t="n">
        <x:v>0</x:v>
      </x:c>
      <x:c r="P2946" s="28" t="n">
        <x:v>3</x:v>
      </x:c>
      <x:c r="Q2946" s="24" t="n">
        <x:f>IFERROR(J2946/H2946,0)</x:f>
        <x:v>0.5625</x:v>
      </x:c>
      <x:c r="R2946" s="24" t="n">
        <x:f>IFERROR(F2946/H2946,0)</x:f>
        <x:v>0.1875</x:v>
      </x:c>
      <x:c r="S2946" s="24" t="n">
        <x:f>IFERROR(F2946/J2946,0)</x:f>
        <x:v>0.3333333333333333</x:v>
      </x:c>
      <x:c r="T2946" s="28" t="n">
        <x:f>H2946-I2946</x:f>
        <x:v>4</x:v>
      </x:c>
      <x:c r="U2946" s="24" t="n">
        <x:f>IFERROR(J2946/H2946,0)-IFERROR(K2946/I2946,0)</x:f>
        <x:v>0.22916666666666669</x:v>
      </x:c>
      <x:c r="V2946" s="24" t="n">
        <x:f>IFERROR(F2946/J2946,0)-IFERROR(G2946/K2946,0)</x:f>
        <x:v>-0.16666666666666669</x:v>
      </x:c>
      <x:c r="W2946" s="28" t="n">
        <x:f>L2946-M2946</x:f>
        <x:v>7</x:v>
      </x:c>
      <x:c r="X2946" s="24" t="n">
        <x:f>IFERROR(K2946/I2946,0)</x:f>
        <x:v>0.3333333333333333</x:v>
      </x:c>
      <x:c r="Y2946" s="24" t="n">
        <x:f>IFERROR(G2946/I2946,0)</x:f>
        <x:v>0.16666666666666666</x:v>
      </x:c>
      <x:c r="Z2946" s="24" t="n">
        <x:f>IFERROR(G2946/K2946,0)</x:f>
        <x:v>0.5</x:v>
      </x:c>
      <x:c r="AA2946" s="24" t="n">
        <x:f>IFERROR(F2946/H2946,0)-IFERROR(G2946/I2946,0)</x:f>
        <x:v>0.020833333333333343</x:v>
      </x:c>
      <x:c r="AB2946" s="28" t="n">
        <x:f>J2946-K2946</x:f>
        <x:v>5</x:v>
      </x:c>
      <x:c r="AC2946" s="32" t="n">
        <x:f>F2946-G2946</x:f>
        <x:v>1</x:v>
      </x:c>
    </x:row>
    <x:row r="2947">
      <x:c r="A2947" s="4" t="str">
        <x:v>2024-25</x:v>
      </x:c>
      <x:c r="B2947" s="20" t="n">
        <x:v>45773</x:v>
      </x:c>
      <x:c r="C2947" s="4" t="str">
        <x:v>Chelsea</x:v>
      </x:c>
      <x:c r="D2947" s="4" t="str">
        <x:v>Everton</x:v>
      </x:c>
      <x:c r="E2947" s="4" t="str">
        <x:v>Home</x:v>
      </x:c>
      <x:c r="F2947" s="28" t="n">
        <x:v>1</x:v>
      </x:c>
      <x:c r="G2947" s="28" t="n">
        <x:v>0</x:v>
      </x:c>
      <x:c r="H2947" s="28" t="n">
        <x:v>10</x:v>
      </x:c>
      <x:c r="I2947" s="28" t="n">
        <x:v>6</x:v>
      </x:c>
      <x:c r="J2947" s="28" t="n">
        <x:v>7</x:v>
      </x:c>
      <x:c r="K2947" s="28" t="n">
        <x:v>3</x:v>
      </x:c>
      <x:c r="L2947" s="28" t="n">
        <x:v>10</x:v>
      </x:c>
      <x:c r="M2947" s="28" t="n">
        <x:v>2</x:v>
      </x:c>
      <x:c r="N2947" s="28" t="n">
        <x:v>0</x:v>
      </x:c>
      <x:c r="O2947" s="28" t="n">
        <x:v>0</x:v>
      </x:c>
      <x:c r="P2947" s="28" t="n">
        <x:v>3</x:v>
      </x:c>
      <x:c r="Q2947" s="24" t="n">
        <x:f>IFERROR(J2947/H2947,0)</x:f>
        <x:v>0.7</x:v>
      </x:c>
      <x:c r="R2947" s="24" t="n">
        <x:f>IFERROR(F2947/H2947,0)</x:f>
        <x:v>0.1</x:v>
      </x:c>
      <x:c r="S2947" s="24" t="n">
        <x:f>IFERROR(F2947/J2947,0)</x:f>
        <x:v>0.14285714285714285</x:v>
      </x:c>
      <x:c r="T2947" s="28" t="n">
        <x:f>H2947-I2947</x:f>
        <x:v>4</x:v>
      </x:c>
      <x:c r="U2947" s="24" t="n">
        <x:f>IFERROR(J2947/H2947,0)-IFERROR(K2947/I2947,0)</x:f>
        <x:v>0.19999999999999996</x:v>
      </x:c>
      <x:c r="V2947" s="24" t="n">
        <x:f>IFERROR(F2947/J2947,0)-IFERROR(G2947/K2947,0)</x:f>
        <x:v>0.14285714285714285</x:v>
      </x:c>
      <x:c r="W2947" s="28" t="n">
        <x:f>L2947-M2947</x:f>
        <x:v>8</x:v>
      </x:c>
      <x:c r="X2947" s="24" t="n">
        <x:f>IFERROR(K2947/I2947,0)</x:f>
        <x:v>0.5</x:v>
      </x:c>
      <x:c r="Y2947" s="24" t="n">
        <x:f>IFERROR(G2947/I2947,0)</x:f>
        <x:v>0</x:v>
      </x:c>
      <x:c r="Z2947" s="24" t="n">
        <x:f>IFERROR(G2947/K2947,0)</x:f>
        <x:v>0</x:v>
      </x:c>
      <x:c r="AA2947" s="24" t="n">
        <x:f>IFERROR(F2947/H2947,0)-IFERROR(G2947/I2947,0)</x:f>
        <x:v>0.1</x:v>
      </x:c>
      <x:c r="AB2947" s="28" t="n">
        <x:f>J2947-K2947</x:f>
        <x:v>4</x:v>
      </x:c>
      <x:c r="AC2947" s="32" t="n">
        <x:f>F2947-G2947</x:f>
        <x:v>1</x:v>
      </x:c>
    </x:row>
    <x:row r="2948">
      <x:c r="A2948" s="4" t="str">
        <x:v>2024-25</x:v>
      </x:c>
      <x:c r="B2948" s="20" t="n">
        <x:v>45773</x:v>
      </x:c>
      <x:c r="C2948" s="4" t="str">
        <x:v>Everton</x:v>
      </x:c>
      <x:c r="D2948" s="4" t="str">
        <x:v>Chelsea</x:v>
      </x:c>
      <x:c r="E2948" s="4" t="str">
        <x:v>Away</x:v>
      </x:c>
      <x:c r="F2948" s="28" t="n">
        <x:v>0</x:v>
      </x:c>
      <x:c r="G2948" s="28" t="n">
        <x:v>1</x:v>
      </x:c>
      <x:c r="H2948" s="28" t="n">
        <x:v>6</x:v>
      </x:c>
      <x:c r="I2948" s="28" t="n">
        <x:v>10</x:v>
      </x:c>
      <x:c r="J2948" s="28" t="n">
        <x:v>3</x:v>
      </x:c>
      <x:c r="K2948" s="28" t="n">
        <x:v>7</x:v>
      </x:c>
      <x:c r="L2948" s="28" t="n">
        <x:v>2</x:v>
      </x:c>
      <x:c r="M2948" s="28" t="n">
        <x:v>10</x:v>
      </x:c>
      <x:c r="N2948" s="28" t="n">
        <x:v>0</x:v>
      </x:c>
      <x:c r="O2948" s="28" t="n">
        <x:v>0</x:v>
      </x:c>
      <x:c r="P2948" s="28" t="n">
        <x:v>0</x:v>
      </x:c>
      <x:c r="Q2948" s="24" t="n">
        <x:f>IFERROR(J2948/H2948,0)</x:f>
        <x:v>0.5</x:v>
      </x:c>
      <x:c r="R2948" s="24" t="n">
        <x:f>IFERROR(F2948/H2948,0)</x:f>
        <x:v>0</x:v>
      </x:c>
      <x:c r="S2948" s="24" t="n">
        <x:f>IFERROR(F2948/J2948,0)</x:f>
        <x:v>0</x:v>
      </x:c>
      <x:c r="T2948" s="28" t="n">
        <x:f>H2948-I2948</x:f>
        <x:v>-4</x:v>
      </x:c>
      <x:c r="U2948" s="24" t="n">
        <x:f>IFERROR(J2948/H2948,0)-IFERROR(K2948/I2948,0)</x:f>
        <x:v>-0.19999999999999996</x:v>
      </x:c>
      <x:c r="V2948" s="24" t="n">
        <x:f>IFERROR(F2948/J2948,0)-IFERROR(G2948/K2948,0)</x:f>
        <x:v>-0.14285714285714285</x:v>
      </x:c>
      <x:c r="W2948" s="28" t="n">
        <x:f>L2948-M2948</x:f>
        <x:v>-8</x:v>
      </x:c>
      <x:c r="X2948" s="24" t="n">
        <x:f>IFERROR(K2948/I2948,0)</x:f>
        <x:v>0.7</x:v>
      </x:c>
      <x:c r="Y2948" s="24" t="n">
        <x:f>IFERROR(G2948/I2948,0)</x:f>
        <x:v>0.1</x:v>
      </x:c>
      <x:c r="Z2948" s="24" t="n">
        <x:f>IFERROR(G2948/K2948,0)</x:f>
        <x:v>0.14285714285714285</x:v>
      </x:c>
      <x:c r="AA2948" s="24" t="n">
        <x:f>IFERROR(F2948/H2948,0)-IFERROR(G2948/I2948,0)</x:f>
        <x:v>-0.1</x:v>
      </x:c>
      <x:c r="AB2948" s="28" t="n">
        <x:f>J2948-K2948</x:f>
        <x:v>-4</x:v>
      </x:c>
      <x:c r="AC2948" s="32" t="n">
        <x:f>F2948-G2948</x:f>
        <x:v>-1</x:v>
      </x:c>
    </x:row>
    <x:row r="2949">
      <x:c r="A2949" s="4" t="str">
        <x:v>2024-25</x:v>
      </x:c>
      <x:c r="B2949" s="20" t="n">
        <x:v>45773</x:v>
      </x:c>
      <x:c r="C2949" s="4" t="str">
        <x:v>Fulham</x:v>
      </x:c>
      <x:c r="D2949" s="4" t="str">
        <x:v>Southampton</x:v>
      </x:c>
      <x:c r="E2949" s="4" t="str">
        <x:v>Away</x:v>
      </x:c>
      <x:c r="F2949" s="28" t="n">
        <x:v>2</x:v>
      </x:c>
      <x:c r="G2949" s="28" t="n">
        <x:v>1</x:v>
      </x:c>
      <x:c r="H2949" s="28" t="n">
        <x:v>26</x:v>
      </x:c>
      <x:c r="I2949" s="28" t="n">
        <x:v>7</x:v>
      </x:c>
      <x:c r="J2949" s="28" t="n">
        <x:v>5</x:v>
      </x:c>
      <x:c r="K2949" s="28" t="n">
        <x:v>3</x:v>
      </x:c>
      <x:c r="L2949" s="28" t="n">
        <x:v>13</x:v>
      </x:c>
      <x:c r="M2949" s="28" t="n">
        <x:v>0</x:v>
      </x:c>
      <x:c r="N2949" s="28" t="n">
        <x:v>1</x:v>
      </x:c>
      <x:c r="O2949" s="28" t="n">
        <x:v>0</x:v>
      </x:c>
      <x:c r="P2949" s="28" t="n">
        <x:v>3</x:v>
      </x:c>
      <x:c r="Q2949" s="24" t="n">
        <x:f>IFERROR(J2949/H2949,0)</x:f>
        <x:v>0.19230769230769232</x:v>
      </x:c>
      <x:c r="R2949" s="24" t="n">
        <x:f>IFERROR(F2949/H2949,0)</x:f>
        <x:v>0.07692307692307693</x:v>
      </x:c>
      <x:c r="S2949" s="24" t="n">
        <x:f>IFERROR(F2949/J2949,0)</x:f>
        <x:v>0.4</x:v>
      </x:c>
      <x:c r="T2949" s="28" t="n">
        <x:f>H2949-I2949</x:f>
        <x:v>19</x:v>
      </x:c>
      <x:c r="U2949" s="24" t="n">
        <x:f>IFERROR(J2949/H2949,0)-IFERROR(K2949/I2949,0)</x:f>
        <x:v>-0.23626373626373623</x:v>
      </x:c>
      <x:c r="V2949" s="24" t="n">
        <x:f>IFERROR(F2949/J2949,0)-IFERROR(G2949/K2949,0)</x:f>
        <x:v>0.06666666666666671</x:v>
      </x:c>
      <x:c r="W2949" s="28" t="n">
        <x:f>L2949-M2949</x:f>
        <x:v>13</x:v>
      </x:c>
      <x:c r="X2949" s="24" t="n">
        <x:f>IFERROR(K2949/I2949,0)</x:f>
        <x:v>0.42857142857142855</x:v>
      </x:c>
      <x:c r="Y2949" s="24" t="n">
        <x:f>IFERROR(G2949/I2949,0)</x:f>
        <x:v>0.14285714285714285</x:v>
      </x:c>
      <x:c r="Z2949" s="24" t="n">
        <x:f>IFERROR(G2949/K2949,0)</x:f>
        <x:v>0.3333333333333333</x:v>
      </x:c>
      <x:c r="AA2949" s="24" t="n">
        <x:f>IFERROR(F2949/H2949,0)-IFERROR(G2949/I2949,0)</x:f>
        <x:v>-0.06593406593406592</x:v>
      </x:c>
      <x:c r="AB2949" s="28" t="n">
        <x:f>J2949-K2949</x:f>
        <x:v>2</x:v>
      </x:c>
      <x:c r="AC2949" s="32" t="n">
        <x:f>F2949-G2949</x:f>
        <x:v>1</x:v>
      </x:c>
    </x:row>
    <x:row r="2950">
      <x:c r="A2950" s="4" t="str">
        <x:v>2024-25</x:v>
      </x:c>
      <x:c r="B2950" s="20" t="n">
        <x:v>45773</x:v>
      </x:c>
      <x:c r="C2950" s="4" t="str">
        <x:v>Ipswich</x:v>
      </x:c>
      <x:c r="D2950" s="4" t="str">
        <x:v>Newcastle</x:v>
      </x:c>
      <x:c r="E2950" s="4" t="str">
        <x:v>Away</x:v>
      </x:c>
      <x:c r="F2950" s="28" t="n">
        <x:v>0</x:v>
      </x:c>
      <x:c r="G2950" s="28" t="n">
        <x:v>3</x:v>
      </x:c>
      <x:c r="H2950" s="28" t="n">
        <x:v>4</x:v>
      </x:c>
      <x:c r="I2950" s="28" t="n">
        <x:v>25</x:v>
      </x:c>
      <x:c r="J2950" s="28" t="n">
        <x:v>0</x:v>
      </x:c>
      <x:c r="K2950" s="28" t="n">
        <x:v>5</x:v>
      </x:c>
      <x:c r="L2950" s="28" t="n">
        <x:v>2</x:v>
      </x:c>
      <x:c r="M2950" s="28" t="n">
        <x:v>11</x:v>
      </x:c>
      <x:c r="N2950" s="28" t="n">
        <x:v>2</x:v>
      </x:c>
      <x:c r="O2950" s="28" t="n">
        <x:v>1</x:v>
      </x:c>
      <x:c r="P2950" s="28" t="n">
        <x:v>0</x:v>
      </x:c>
      <x:c r="Q2950" s="24" t="n">
        <x:f>IFERROR(J2950/H2950,0)</x:f>
        <x:v>0</x:v>
      </x:c>
      <x:c r="R2950" s="24" t="n">
        <x:f>IFERROR(F2950/H2950,0)</x:f>
        <x:v>0</x:v>
      </x:c>
      <x:c r="S2950" s="24" t="n">
        <x:f>IFERROR(F2950/J2950,0)</x:f>
        <x:v>0</x:v>
      </x:c>
      <x:c r="T2950" s="28" t="n">
        <x:f>H2950-I2950</x:f>
        <x:v>-21</x:v>
      </x:c>
      <x:c r="U2950" s="24" t="n">
        <x:f>IFERROR(J2950/H2950,0)-IFERROR(K2950/I2950,0)</x:f>
        <x:v>-0.2</x:v>
      </x:c>
      <x:c r="V2950" s="24" t="n">
        <x:f>IFERROR(F2950/J2950,0)-IFERROR(G2950/K2950,0)</x:f>
        <x:v>-0.6</x:v>
      </x:c>
      <x:c r="W2950" s="28" t="n">
        <x:f>L2950-M2950</x:f>
        <x:v>-9</x:v>
      </x:c>
      <x:c r="X2950" s="24" t="n">
        <x:f>IFERROR(K2950/I2950,0)</x:f>
        <x:v>0.2</x:v>
      </x:c>
      <x:c r="Y2950" s="24" t="n">
        <x:f>IFERROR(G2950/I2950,0)</x:f>
        <x:v>0.12</x:v>
      </x:c>
      <x:c r="Z2950" s="24" t="n">
        <x:f>IFERROR(G2950/K2950,0)</x:f>
        <x:v>0.6</x:v>
      </x:c>
      <x:c r="AA2950" s="24" t="n">
        <x:f>IFERROR(F2950/H2950,0)-IFERROR(G2950/I2950,0)</x:f>
        <x:v>-0.12</x:v>
      </x:c>
      <x:c r="AB2950" s="28" t="n">
        <x:f>J2950-K2950</x:f>
        <x:v>-5</x:v>
      </x:c>
      <x:c r="AC2950" s="32" t="n">
        <x:f>F2950-G2950</x:f>
        <x:v>-3</x:v>
      </x:c>
    </x:row>
    <x:row r="2951">
      <x:c r="A2951" s="4" t="str">
        <x:v>2024-25</x:v>
      </x:c>
      <x:c r="B2951" s="20" t="n">
        <x:v>45773</x:v>
      </x:c>
      <x:c r="C2951" s="4" t="str">
        <x:v>Leicester</x:v>
      </x:c>
      <x:c r="D2951" s="4" t="str">
        <x:v>Wolves</x:v>
      </x:c>
      <x:c r="E2951" s="4" t="str">
        <x:v>Away</x:v>
      </x:c>
      <x:c r="F2951" s="28" t="n">
        <x:v>0</x:v>
      </x:c>
      <x:c r="G2951" s="28" t="n">
        <x:v>3</x:v>
      </x:c>
      <x:c r="H2951" s="28" t="n">
        <x:v>8</x:v>
      </x:c>
      <x:c r="I2951" s="28" t="n">
        <x:v>20</x:v>
      </x:c>
      <x:c r="J2951" s="28" t="n">
        <x:v>2</x:v>
      </x:c>
      <x:c r="K2951" s="28" t="n">
        <x:v>6</x:v>
      </x:c>
      <x:c r="L2951" s="28" t="n">
        <x:v>2</x:v>
      </x:c>
      <x:c r="M2951" s="28" t="n">
        <x:v>4</x:v>
      </x:c>
      <x:c r="N2951" s="28" t="n">
        <x:v>4</x:v>
      </x:c>
      <x:c r="O2951" s="28" t="n">
        <x:v>0</x:v>
      </x:c>
      <x:c r="P2951" s="28" t="n">
        <x:v>0</x:v>
      </x:c>
      <x:c r="Q2951" s="24" t="n">
        <x:f>IFERROR(J2951/H2951,0)</x:f>
        <x:v>0.25</x:v>
      </x:c>
      <x:c r="R2951" s="24" t="n">
        <x:f>IFERROR(F2951/H2951,0)</x:f>
        <x:v>0</x:v>
      </x:c>
      <x:c r="S2951" s="24" t="n">
        <x:f>IFERROR(F2951/J2951,0)</x:f>
        <x:v>0</x:v>
      </x:c>
      <x:c r="T2951" s="28" t="n">
        <x:f>H2951-I2951</x:f>
        <x:v>-12</x:v>
      </x:c>
      <x:c r="U2951" s="24" t="n">
        <x:f>IFERROR(J2951/H2951,0)-IFERROR(K2951/I2951,0)</x:f>
        <x:v>-0.04999999999999999</x:v>
      </x:c>
      <x:c r="V2951" s="24" t="n">
        <x:f>IFERROR(F2951/J2951,0)-IFERROR(G2951/K2951,0)</x:f>
        <x:v>-0.5</x:v>
      </x:c>
      <x:c r="W2951" s="28" t="n">
        <x:f>L2951-M2951</x:f>
        <x:v>-2</x:v>
      </x:c>
      <x:c r="X2951" s="24" t="n">
        <x:f>IFERROR(K2951/I2951,0)</x:f>
        <x:v>0.3</x:v>
      </x:c>
      <x:c r="Y2951" s="24" t="n">
        <x:f>IFERROR(G2951/I2951,0)</x:f>
        <x:v>0.15</x:v>
      </x:c>
      <x:c r="Z2951" s="24" t="n">
        <x:f>IFERROR(G2951/K2951,0)</x:f>
        <x:v>0.5</x:v>
      </x:c>
      <x:c r="AA2951" s="24" t="n">
        <x:f>IFERROR(F2951/H2951,0)-IFERROR(G2951/I2951,0)</x:f>
        <x:v>-0.15</x:v>
      </x:c>
      <x:c r="AB2951" s="28" t="n">
        <x:f>J2951-K2951</x:f>
        <x:v>-4</x:v>
      </x:c>
      <x:c r="AC2951" s="32" t="n">
        <x:f>F2951-G2951</x:f>
        <x:v>-3</x:v>
      </x:c>
    </x:row>
    <x:row r="2952">
      <x:c r="A2952" s="4" t="str">
        <x:v>2024-25</x:v>
      </x:c>
      <x:c r="B2952" s="20" t="n">
        <x:v>45773</x:v>
      </x:c>
      <x:c r="C2952" s="4" t="str">
        <x:v>Newcastle</x:v>
      </x:c>
      <x:c r="D2952" s="4" t="str">
        <x:v>Ipswich</x:v>
      </x:c>
      <x:c r="E2952" s="4" t="str">
        <x:v>Home</x:v>
      </x:c>
      <x:c r="F2952" s="28" t="n">
        <x:v>3</x:v>
      </x:c>
      <x:c r="G2952" s="28" t="n">
        <x:v>0</x:v>
      </x:c>
      <x:c r="H2952" s="28" t="n">
        <x:v>25</x:v>
      </x:c>
      <x:c r="I2952" s="28" t="n">
        <x:v>4</x:v>
      </x:c>
      <x:c r="J2952" s="28" t="n">
        <x:v>5</x:v>
      </x:c>
      <x:c r="K2952" s="28" t="n">
        <x:v>0</x:v>
      </x:c>
      <x:c r="L2952" s="28" t="n">
        <x:v>11</x:v>
      </x:c>
      <x:c r="M2952" s="28" t="n">
        <x:v>2</x:v>
      </x:c>
      <x:c r="N2952" s="28" t="n">
        <x:v>1</x:v>
      </x:c>
      <x:c r="O2952" s="28" t="n">
        <x:v>0</x:v>
      </x:c>
      <x:c r="P2952" s="28" t="n">
        <x:v>3</x:v>
      </x:c>
      <x:c r="Q2952" s="24" t="n">
        <x:f>IFERROR(J2952/H2952,0)</x:f>
        <x:v>0.2</x:v>
      </x:c>
      <x:c r="R2952" s="24" t="n">
        <x:f>IFERROR(F2952/H2952,0)</x:f>
        <x:v>0.12</x:v>
      </x:c>
      <x:c r="S2952" s="24" t="n">
        <x:f>IFERROR(F2952/J2952,0)</x:f>
        <x:v>0.6</x:v>
      </x:c>
      <x:c r="T2952" s="28" t="n">
        <x:f>H2952-I2952</x:f>
        <x:v>21</x:v>
      </x:c>
      <x:c r="U2952" s="24" t="n">
        <x:f>IFERROR(J2952/H2952,0)-IFERROR(K2952/I2952,0)</x:f>
        <x:v>0.2</x:v>
      </x:c>
      <x:c r="V2952" s="24" t="n">
        <x:f>IFERROR(F2952/J2952,0)-IFERROR(G2952/K2952,0)</x:f>
        <x:v>0.6</x:v>
      </x:c>
      <x:c r="W2952" s="28" t="n">
        <x:f>L2952-M2952</x:f>
        <x:v>9</x:v>
      </x:c>
      <x:c r="X2952" s="24" t="n">
        <x:f>IFERROR(K2952/I2952,0)</x:f>
        <x:v>0</x:v>
      </x:c>
      <x:c r="Y2952" s="24" t="n">
        <x:f>IFERROR(G2952/I2952,0)</x:f>
        <x:v>0</x:v>
      </x:c>
      <x:c r="Z2952" s="24" t="n">
        <x:f>IFERROR(G2952/K2952,0)</x:f>
        <x:v>0</x:v>
      </x:c>
      <x:c r="AA2952" s="24" t="n">
        <x:f>IFERROR(F2952/H2952,0)-IFERROR(G2952/I2952,0)</x:f>
        <x:v>0.12</x:v>
      </x:c>
      <x:c r="AB2952" s="28" t="n">
        <x:f>J2952-K2952</x:f>
        <x:v>5</x:v>
      </x:c>
      <x:c r="AC2952" s="32" t="n">
        <x:f>F2952-G2952</x:f>
        <x:v>3</x:v>
      </x:c>
    </x:row>
    <x:row r="2953">
      <x:c r="A2953" s="4" t="str">
        <x:v>2024-25</x:v>
      </x:c>
      <x:c r="B2953" s="20" t="n">
        <x:v>45773</x:v>
      </x:c>
      <x:c r="C2953" s="4" t="str">
        <x:v>Southampton</x:v>
      </x:c>
      <x:c r="D2953" s="4" t="str">
        <x:v>Fulham</x:v>
      </x:c>
      <x:c r="E2953" s="4" t="str">
        <x:v>Home</x:v>
      </x:c>
      <x:c r="F2953" s="28" t="n">
        <x:v>1</x:v>
      </x:c>
      <x:c r="G2953" s="28" t="n">
        <x:v>2</x:v>
      </x:c>
      <x:c r="H2953" s="28" t="n">
        <x:v>7</x:v>
      </x:c>
      <x:c r="I2953" s="28" t="n">
        <x:v>26</x:v>
      </x:c>
      <x:c r="J2953" s="28" t="n">
        <x:v>3</x:v>
      </x:c>
      <x:c r="K2953" s="28" t="n">
        <x:v>5</x:v>
      </x:c>
      <x:c r="L2953" s="28" t="n">
        <x:v>0</x:v>
      </x:c>
      <x:c r="M2953" s="28" t="n">
        <x:v>13</x:v>
      </x:c>
      <x:c r="N2953" s="28" t="n">
        <x:v>1</x:v>
      </x:c>
      <x:c r="O2953" s="28" t="n">
        <x:v>0</x:v>
      </x:c>
      <x:c r="P2953" s="28" t="n">
        <x:v>0</x:v>
      </x:c>
      <x:c r="Q2953" s="24" t="n">
        <x:f>IFERROR(J2953/H2953,0)</x:f>
        <x:v>0.42857142857142855</x:v>
      </x:c>
      <x:c r="R2953" s="24" t="n">
        <x:f>IFERROR(F2953/H2953,0)</x:f>
        <x:v>0.14285714285714285</x:v>
      </x:c>
      <x:c r="S2953" s="24" t="n">
        <x:f>IFERROR(F2953/J2953,0)</x:f>
        <x:v>0.3333333333333333</x:v>
      </x:c>
      <x:c r="T2953" s="28" t="n">
        <x:f>H2953-I2953</x:f>
        <x:v>-19</x:v>
      </x:c>
      <x:c r="U2953" s="24" t="n">
        <x:f>IFERROR(J2953/H2953,0)-IFERROR(K2953/I2953,0)</x:f>
        <x:v>0.23626373626373623</x:v>
      </x:c>
      <x:c r="V2953" s="24" t="n">
        <x:f>IFERROR(F2953/J2953,0)-IFERROR(G2953/K2953,0)</x:f>
        <x:v>-0.06666666666666671</x:v>
      </x:c>
      <x:c r="W2953" s="28" t="n">
        <x:f>L2953-M2953</x:f>
        <x:v>-13</x:v>
      </x:c>
      <x:c r="X2953" s="24" t="n">
        <x:f>IFERROR(K2953/I2953,0)</x:f>
        <x:v>0.19230769230769232</x:v>
      </x:c>
      <x:c r="Y2953" s="24" t="n">
        <x:f>IFERROR(G2953/I2953,0)</x:f>
        <x:v>0.07692307692307693</x:v>
      </x:c>
      <x:c r="Z2953" s="24" t="n">
        <x:f>IFERROR(G2953/K2953,0)</x:f>
        <x:v>0.4</x:v>
      </x:c>
      <x:c r="AA2953" s="24" t="n">
        <x:f>IFERROR(F2953/H2953,0)-IFERROR(G2953/I2953,0)</x:f>
        <x:v>0.06593406593406592</x:v>
      </x:c>
      <x:c r="AB2953" s="28" t="n">
        <x:f>J2953-K2953</x:f>
        <x:v>-2</x:v>
      </x:c>
      <x:c r="AC2953" s="32" t="n">
        <x:f>F2953-G2953</x:f>
        <x:v>-1</x:v>
      </x:c>
    </x:row>
    <x:row r="2954">
      <x:c r="A2954" s="4" t="str">
        <x:v>2024-25</x:v>
      </x:c>
      <x:c r="B2954" s="20" t="n">
        <x:v>45773</x:v>
      </x:c>
      <x:c r="C2954" s="4" t="str">
        <x:v>West Ham</x:v>
      </x:c>
      <x:c r="D2954" s="4" t="str">
        <x:v>Brighton</x:v>
      </x:c>
      <x:c r="E2954" s="4" t="str">
        <x:v>Away</x:v>
      </x:c>
      <x:c r="F2954" s="28" t="n">
        <x:v>2</x:v>
      </x:c>
      <x:c r="G2954" s="28" t="n">
        <x:v>3</x:v>
      </x:c>
      <x:c r="H2954" s="28" t="n">
        <x:v>12</x:v>
      </x:c>
      <x:c r="I2954" s="28" t="n">
        <x:v>16</x:v>
      </x:c>
      <x:c r="J2954" s="28" t="n">
        <x:v>4</x:v>
      </x:c>
      <x:c r="K2954" s="28" t="n">
        <x:v>9</x:v>
      </x:c>
      <x:c r="L2954" s="28" t="n">
        <x:v>1</x:v>
      </x:c>
      <x:c r="M2954" s="28" t="n">
        <x:v>8</x:v>
      </x:c>
      <x:c r="N2954" s="28" t="n">
        <x:v>1</x:v>
      </x:c>
      <x:c r="O2954" s="28" t="n">
        <x:v>0</x:v>
      </x:c>
      <x:c r="P2954" s="28" t="n">
        <x:v>0</x:v>
      </x:c>
      <x:c r="Q2954" s="24" t="n">
        <x:f>IFERROR(J2954/H2954,0)</x:f>
        <x:v>0.3333333333333333</x:v>
      </x:c>
      <x:c r="R2954" s="24" t="n">
        <x:f>IFERROR(F2954/H2954,0)</x:f>
        <x:v>0.16666666666666666</x:v>
      </x:c>
      <x:c r="S2954" s="24" t="n">
        <x:f>IFERROR(F2954/J2954,0)</x:f>
        <x:v>0.5</x:v>
      </x:c>
      <x:c r="T2954" s="28" t="n">
        <x:f>H2954-I2954</x:f>
        <x:v>-4</x:v>
      </x:c>
      <x:c r="U2954" s="24" t="n">
        <x:f>IFERROR(J2954/H2954,0)-IFERROR(K2954/I2954,0)</x:f>
        <x:v>-0.22916666666666669</x:v>
      </x:c>
      <x:c r="V2954" s="24" t="n">
        <x:f>IFERROR(F2954/J2954,0)-IFERROR(G2954/K2954,0)</x:f>
        <x:v>0.16666666666666669</x:v>
      </x:c>
      <x:c r="W2954" s="28" t="n">
        <x:f>L2954-M2954</x:f>
        <x:v>-7</x:v>
      </x:c>
      <x:c r="X2954" s="24" t="n">
        <x:f>IFERROR(K2954/I2954,0)</x:f>
        <x:v>0.5625</x:v>
      </x:c>
      <x:c r="Y2954" s="24" t="n">
        <x:f>IFERROR(G2954/I2954,0)</x:f>
        <x:v>0.1875</x:v>
      </x:c>
      <x:c r="Z2954" s="24" t="n">
        <x:f>IFERROR(G2954/K2954,0)</x:f>
        <x:v>0.3333333333333333</x:v>
      </x:c>
      <x:c r="AA2954" s="24" t="n">
        <x:f>IFERROR(F2954/H2954,0)-IFERROR(G2954/I2954,0)</x:f>
        <x:v>-0.020833333333333343</x:v>
      </x:c>
      <x:c r="AB2954" s="28" t="n">
        <x:f>J2954-K2954</x:f>
        <x:v>-5</x:v>
      </x:c>
      <x:c r="AC2954" s="32" t="n">
        <x:f>F2954-G2954</x:f>
        <x:v>-1</x:v>
      </x:c>
    </x:row>
    <x:row r="2955">
      <x:c r="A2955" s="4" t="str">
        <x:v>2024-25</x:v>
      </x:c>
      <x:c r="B2955" s="20" t="n">
        <x:v>45773</x:v>
      </x:c>
      <x:c r="C2955" s="4" t="str">
        <x:v>Wolves</x:v>
      </x:c>
      <x:c r="D2955" s="4" t="str">
        <x:v>Leicester</x:v>
      </x:c>
      <x:c r="E2955" s="4" t="str">
        <x:v>Home</x:v>
      </x:c>
      <x:c r="F2955" s="28" t="n">
        <x:v>3</x:v>
      </x:c>
      <x:c r="G2955" s="28" t="n">
        <x:v>0</x:v>
      </x:c>
      <x:c r="H2955" s="28" t="n">
        <x:v>20</x:v>
      </x:c>
      <x:c r="I2955" s="28" t="n">
        <x:v>8</x:v>
      </x:c>
      <x:c r="J2955" s="28" t="n">
        <x:v>6</x:v>
      </x:c>
      <x:c r="K2955" s="28" t="n">
        <x:v>2</x:v>
      </x:c>
      <x:c r="L2955" s="28" t="n">
        <x:v>4</x:v>
      </x:c>
      <x:c r="M2955" s="28" t="n">
        <x:v>2</x:v>
      </x:c>
      <x:c r="N2955" s="28" t="n">
        <x:v>1</x:v>
      </x:c>
      <x:c r="O2955" s="28" t="n">
        <x:v>0</x:v>
      </x:c>
      <x:c r="P2955" s="28" t="n">
        <x:v>3</x:v>
      </x:c>
      <x:c r="Q2955" s="24" t="n">
        <x:f>IFERROR(J2955/H2955,0)</x:f>
        <x:v>0.3</x:v>
      </x:c>
      <x:c r="R2955" s="24" t="n">
        <x:f>IFERROR(F2955/H2955,0)</x:f>
        <x:v>0.15</x:v>
      </x:c>
      <x:c r="S2955" s="24" t="n">
        <x:f>IFERROR(F2955/J2955,0)</x:f>
        <x:v>0.5</x:v>
      </x:c>
      <x:c r="T2955" s="28" t="n">
        <x:f>H2955-I2955</x:f>
        <x:v>12</x:v>
      </x:c>
      <x:c r="U2955" s="24" t="n">
        <x:f>IFERROR(J2955/H2955,0)-IFERROR(K2955/I2955,0)</x:f>
        <x:v>0.04999999999999999</x:v>
      </x:c>
      <x:c r="V2955" s="24" t="n">
        <x:f>IFERROR(F2955/J2955,0)-IFERROR(G2955/K2955,0)</x:f>
        <x:v>0.5</x:v>
      </x:c>
      <x:c r="W2955" s="28" t="n">
        <x:f>L2955-M2955</x:f>
        <x:v>2</x:v>
      </x:c>
      <x:c r="X2955" s="24" t="n">
        <x:f>IFERROR(K2955/I2955,0)</x:f>
        <x:v>0.25</x:v>
      </x:c>
      <x:c r="Y2955" s="24" t="n">
        <x:f>IFERROR(G2955/I2955,0)</x:f>
        <x:v>0</x:v>
      </x:c>
      <x:c r="Z2955" s="24" t="n">
        <x:f>IFERROR(G2955/K2955,0)</x:f>
        <x:v>0</x:v>
      </x:c>
      <x:c r="AA2955" s="24" t="n">
        <x:f>IFERROR(F2955/H2955,0)-IFERROR(G2955/I2955,0)</x:f>
        <x:v>0.15</x:v>
      </x:c>
      <x:c r="AB2955" s="28" t="n">
        <x:f>J2955-K2955</x:f>
        <x:v>4</x:v>
      </x:c>
      <x:c r="AC2955" s="32" t="n">
        <x:f>F2955-G2955</x:f>
        <x:v>3</x:v>
      </x:c>
    </x:row>
    <x:row r="2956">
      <x:c r="A2956" s="4" t="str">
        <x:v>2024-25</x:v>
      </x:c>
      <x:c r="B2956" s="20" t="n">
        <x:v>45774</x:v>
      </x:c>
      <x:c r="C2956" s="4" t="str">
        <x:v>Bournemouth</x:v>
      </x:c>
      <x:c r="D2956" s="4" t="str">
        <x:v>Man United</x:v>
      </x:c>
      <x:c r="E2956" s="4" t="str">
        <x:v>Home</x:v>
      </x:c>
      <x:c r="F2956" s="28" t="n">
        <x:v>1</x:v>
      </x:c>
      <x:c r="G2956" s="28" t="n">
        <x:v>1</x:v>
      </x:c>
      <x:c r="H2956" s="28" t="n">
        <x:v>8</x:v>
      </x:c>
      <x:c r="I2956" s="28" t="n">
        <x:v>25</x:v>
      </x:c>
      <x:c r="J2956" s="28" t="n">
        <x:v>1</x:v>
      </x:c>
      <x:c r="K2956" s="28" t="n">
        <x:v>6</x:v>
      </x:c>
      <x:c r="L2956" s="28" t="n">
        <x:v>5</x:v>
      </x:c>
      <x:c r="M2956" s="28" t="n">
        <x:v>10</x:v>
      </x:c>
      <x:c r="N2956" s="28" t="n">
        <x:v>4</x:v>
      </x:c>
      <x:c r="O2956" s="28" t="n">
        <x:v>1</x:v>
      </x:c>
      <x:c r="P2956" s="28" t="n">
        <x:v>1</x:v>
      </x:c>
      <x:c r="Q2956" s="24" t="n">
        <x:f>IFERROR(J2956/H2956,0)</x:f>
        <x:v>0.125</x:v>
      </x:c>
      <x:c r="R2956" s="24" t="n">
        <x:f>IFERROR(F2956/H2956,0)</x:f>
        <x:v>0.125</x:v>
      </x:c>
      <x:c r="S2956" s="24" t="n">
        <x:f>IFERROR(F2956/J2956,0)</x:f>
        <x:v>1</x:v>
      </x:c>
      <x:c r="T2956" s="28" t="n">
        <x:f>H2956-I2956</x:f>
        <x:v>-17</x:v>
      </x:c>
      <x:c r="U2956" s="24" t="n">
        <x:f>IFERROR(J2956/H2956,0)-IFERROR(K2956/I2956,0)</x:f>
        <x:v>-0.11499999999999999</x:v>
      </x:c>
      <x:c r="V2956" s="24" t="n">
        <x:f>IFERROR(F2956/J2956,0)-IFERROR(G2956/K2956,0)</x:f>
        <x:v>0.8333333333333334</x:v>
      </x:c>
      <x:c r="W2956" s="28" t="n">
        <x:f>L2956-M2956</x:f>
        <x:v>-5</x:v>
      </x:c>
      <x:c r="X2956" s="24" t="n">
        <x:f>IFERROR(K2956/I2956,0)</x:f>
        <x:v>0.24</x:v>
      </x:c>
      <x:c r="Y2956" s="24" t="n">
        <x:f>IFERROR(G2956/I2956,0)</x:f>
        <x:v>0.04</x:v>
      </x:c>
      <x:c r="Z2956" s="24" t="n">
        <x:f>IFERROR(G2956/K2956,0)</x:f>
        <x:v>0.16666666666666666</x:v>
      </x:c>
      <x:c r="AA2956" s="24" t="n">
        <x:f>IFERROR(F2956/H2956,0)-IFERROR(G2956/I2956,0)</x:f>
        <x:v>0.08499999999999999</x:v>
      </x:c>
      <x:c r="AB2956" s="28" t="n">
        <x:f>J2956-K2956</x:f>
        <x:v>-5</x:v>
      </x:c>
      <x:c r="AC2956" s="32" t="n">
        <x:f>F2956-G2956</x:f>
        <x:v>0</x:v>
      </x:c>
    </x:row>
    <x:row r="2957">
      <x:c r="A2957" s="4" t="str">
        <x:v>2024-25</x:v>
      </x:c>
      <x:c r="B2957" s="20" t="n">
        <x:v>45774</x:v>
      </x:c>
      <x:c r="C2957" s="4" t="str">
        <x:v>Liverpool</x:v>
      </x:c>
      <x:c r="D2957" s="4" t="str">
        <x:v>Tottenham</x:v>
      </x:c>
      <x:c r="E2957" s="4" t="str">
        <x:v>Home</x:v>
      </x:c>
      <x:c r="F2957" s="28" t="n">
        <x:v>5</x:v>
      </x:c>
      <x:c r="G2957" s="28" t="n">
        <x:v>1</x:v>
      </x:c>
      <x:c r="H2957" s="28" t="n">
        <x:v>25</x:v>
      </x:c>
      <x:c r="I2957" s="28" t="n">
        <x:v>8</x:v>
      </x:c>
      <x:c r="J2957" s="28" t="n">
        <x:v>8</x:v>
      </x:c>
      <x:c r="K2957" s="28" t="n">
        <x:v>3</x:v>
      </x:c>
      <x:c r="L2957" s="28" t="n">
        <x:v>8</x:v>
      </x:c>
      <x:c r="M2957" s="28" t="n">
        <x:v>2</x:v>
      </x:c>
      <x:c r="N2957" s="28" t="n">
        <x:v>2</x:v>
      </x:c>
      <x:c r="O2957" s="28" t="n">
        <x:v>0</x:v>
      </x:c>
      <x:c r="P2957" s="28" t="n">
        <x:v>3</x:v>
      </x:c>
      <x:c r="Q2957" s="24" t="n">
        <x:f>IFERROR(J2957/H2957,0)</x:f>
        <x:v>0.32</x:v>
      </x:c>
      <x:c r="R2957" s="24" t="n">
        <x:f>IFERROR(F2957/H2957,0)</x:f>
        <x:v>0.2</x:v>
      </x:c>
      <x:c r="S2957" s="24" t="n">
        <x:f>IFERROR(F2957/J2957,0)</x:f>
        <x:v>0.625</x:v>
      </x:c>
      <x:c r="T2957" s="28" t="n">
        <x:f>H2957-I2957</x:f>
        <x:v>17</x:v>
      </x:c>
      <x:c r="U2957" s="24" t="n">
        <x:f>IFERROR(J2957/H2957,0)-IFERROR(K2957/I2957,0)</x:f>
        <x:v>-0.05499999999999999</x:v>
      </x:c>
      <x:c r="V2957" s="24" t="n">
        <x:f>IFERROR(F2957/J2957,0)-IFERROR(G2957/K2957,0)</x:f>
        <x:v>0.2916666666666667</x:v>
      </x:c>
      <x:c r="W2957" s="28" t="n">
        <x:f>L2957-M2957</x:f>
        <x:v>6</x:v>
      </x:c>
      <x:c r="X2957" s="24" t="n">
        <x:f>IFERROR(K2957/I2957,0)</x:f>
        <x:v>0.375</x:v>
      </x:c>
      <x:c r="Y2957" s="24" t="n">
        <x:f>IFERROR(G2957/I2957,0)</x:f>
        <x:v>0.125</x:v>
      </x:c>
      <x:c r="Z2957" s="24" t="n">
        <x:f>IFERROR(G2957/K2957,0)</x:f>
        <x:v>0.3333333333333333</x:v>
      </x:c>
      <x:c r="AA2957" s="24" t="n">
        <x:f>IFERROR(F2957/H2957,0)-IFERROR(G2957/I2957,0)</x:f>
        <x:v>0.07500000000000001</x:v>
      </x:c>
      <x:c r="AB2957" s="28" t="n">
        <x:f>J2957-K2957</x:f>
        <x:v>5</x:v>
      </x:c>
      <x:c r="AC2957" s="32" t="n">
        <x:f>F2957-G2957</x:f>
        <x:v>4</x:v>
      </x:c>
    </x:row>
    <x:row r="2958">
      <x:c r="A2958" s="4" t="str">
        <x:v>2024-25</x:v>
      </x:c>
      <x:c r="B2958" s="20" t="n">
        <x:v>45774</x:v>
      </x:c>
      <x:c r="C2958" s="4" t="str">
        <x:v>Man United</x:v>
      </x:c>
      <x:c r="D2958" s="4" t="str">
        <x:v>Bournemouth</x:v>
      </x:c>
      <x:c r="E2958" s="4" t="str">
        <x:v>Away</x:v>
      </x:c>
      <x:c r="F2958" s="28" t="n">
        <x:v>1</x:v>
      </x:c>
      <x:c r="G2958" s="28" t="n">
        <x:v>1</x:v>
      </x:c>
      <x:c r="H2958" s="28" t="n">
        <x:v>25</x:v>
      </x:c>
      <x:c r="I2958" s="28" t="n">
        <x:v>8</x:v>
      </x:c>
      <x:c r="J2958" s="28" t="n">
        <x:v>6</x:v>
      </x:c>
      <x:c r="K2958" s="28" t="n">
        <x:v>1</x:v>
      </x:c>
      <x:c r="L2958" s="28" t="n">
        <x:v>10</x:v>
      </x:c>
      <x:c r="M2958" s="28" t="n">
        <x:v>5</x:v>
      </x:c>
      <x:c r="N2958" s="28" t="n">
        <x:v>2</x:v>
      </x:c>
      <x:c r="O2958" s="28" t="n">
        <x:v>0</x:v>
      </x:c>
      <x:c r="P2958" s="28" t="n">
        <x:v>1</x:v>
      </x:c>
      <x:c r="Q2958" s="24" t="n">
        <x:f>IFERROR(J2958/H2958,0)</x:f>
        <x:v>0.24</x:v>
      </x:c>
      <x:c r="R2958" s="24" t="n">
        <x:f>IFERROR(F2958/H2958,0)</x:f>
        <x:v>0.04</x:v>
      </x:c>
      <x:c r="S2958" s="24" t="n">
        <x:f>IFERROR(F2958/J2958,0)</x:f>
        <x:v>0.16666666666666666</x:v>
      </x:c>
      <x:c r="T2958" s="28" t="n">
        <x:f>H2958-I2958</x:f>
        <x:v>17</x:v>
      </x:c>
      <x:c r="U2958" s="24" t="n">
        <x:f>IFERROR(J2958/H2958,0)-IFERROR(K2958/I2958,0)</x:f>
        <x:v>0.11499999999999999</x:v>
      </x:c>
      <x:c r="V2958" s="24" t="n">
        <x:f>IFERROR(F2958/J2958,0)-IFERROR(G2958/K2958,0)</x:f>
        <x:v>-0.8333333333333334</x:v>
      </x:c>
      <x:c r="W2958" s="28" t="n">
        <x:f>L2958-M2958</x:f>
        <x:v>5</x:v>
      </x:c>
      <x:c r="X2958" s="24" t="n">
        <x:f>IFERROR(K2958/I2958,0)</x:f>
        <x:v>0.125</x:v>
      </x:c>
      <x:c r="Y2958" s="24" t="n">
        <x:f>IFERROR(G2958/I2958,0)</x:f>
        <x:v>0.125</x:v>
      </x:c>
      <x:c r="Z2958" s="24" t="n">
        <x:f>IFERROR(G2958/K2958,0)</x:f>
        <x:v>1</x:v>
      </x:c>
      <x:c r="AA2958" s="24" t="n">
        <x:f>IFERROR(F2958/H2958,0)-IFERROR(G2958/I2958,0)</x:f>
        <x:v>-0.08499999999999999</x:v>
      </x:c>
      <x:c r="AB2958" s="28" t="n">
        <x:f>J2958-K2958</x:f>
        <x:v>5</x:v>
      </x:c>
      <x:c r="AC2958" s="32" t="n">
        <x:f>F2958-G2958</x:f>
        <x:v>0</x:v>
      </x:c>
    </x:row>
    <x:row r="2959">
      <x:c r="A2959" s="4" t="str">
        <x:v>2024-25</x:v>
      </x:c>
      <x:c r="B2959" s="20" t="n">
        <x:v>45774</x:v>
      </x:c>
      <x:c r="C2959" s="4" t="str">
        <x:v>Tottenham</x:v>
      </x:c>
      <x:c r="D2959" s="4" t="str">
        <x:v>Liverpool</x:v>
      </x:c>
      <x:c r="E2959" s="4" t="str">
        <x:v>Away</x:v>
      </x:c>
      <x:c r="F2959" s="28" t="n">
        <x:v>1</x:v>
      </x:c>
      <x:c r="G2959" s="28" t="n">
        <x:v>5</x:v>
      </x:c>
      <x:c r="H2959" s="28" t="n">
        <x:v>8</x:v>
      </x:c>
      <x:c r="I2959" s="28" t="n">
        <x:v>25</x:v>
      </x:c>
      <x:c r="J2959" s="28" t="n">
        <x:v>3</x:v>
      </x:c>
      <x:c r="K2959" s="28" t="n">
        <x:v>8</x:v>
      </x:c>
      <x:c r="L2959" s="28" t="n">
        <x:v>2</x:v>
      </x:c>
      <x:c r="M2959" s="28" t="n">
        <x:v>8</x:v>
      </x:c>
      <x:c r="N2959" s="28" t="n">
        <x:v>1</x:v>
      </x:c>
      <x:c r="O2959" s="28" t="n">
        <x:v>0</x:v>
      </x:c>
      <x:c r="P2959" s="28" t="n">
        <x:v>0</x:v>
      </x:c>
      <x:c r="Q2959" s="24" t="n">
        <x:f>IFERROR(J2959/H2959,0)</x:f>
        <x:v>0.375</x:v>
      </x:c>
      <x:c r="R2959" s="24" t="n">
        <x:f>IFERROR(F2959/H2959,0)</x:f>
        <x:v>0.125</x:v>
      </x:c>
      <x:c r="S2959" s="24" t="n">
        <x:f>IFERROR(F2959/J2959,0)</x:f>
        <x:v>0.3333333333333333</x:v>
      </x:c>
      <x:c r="T2959" s="28" t="n">
        <x:f>H2959-I2959</x:f>
        <x:v>-17</x:v>
      </x:c>
      <x:c r="U2959" s="24" t="n">
        <x:f>IFERROR(J2959/H2959,0)-IFERROR(K2959/I2959,0)</x:f>
        <x:v>0.05499999999999999</x:v>
      </x:c>
      <x:c r="V2959" s="24" t="n">
        <x:f>IFERROR(F2959/J2959,0)-IFERROR(G2959/K2959,0)</x:f>
        <x:v>-0.2916666666666667</x:v>
      </x:c>
      <x:c r="W2959" s="28" t="n">
        <x:f>L2959-M2959</x:f>
        <x:v>-6</x:v>
      </x:c>
      <x:c r="X2959" s="24" t="n">
        <x:f>IFERROR(K2959/I2959,0)</x:f>
        <x:v>0.32</x:v>
      </x:c>
      <x:c r="Y2959" s="24" t="n">
        <x:f>IFERROR(G2959/I2959,0)</x:f>
        <x:v>0.2</x:v>
      </x:c>
      <x:c r="Z2959" s="24" t="n">
        <x:f>IFERROR(G2959/K2959,0)</x:f>
        <x:v>0.625</x:v>
      </x:c>
      <x:c r="AA2959" s="24" t="n">
        <x:f>IFERROR(F2959/H2959,0)-IFERROR(G2959/I2959,0)</x:f>
        <x:v>-0.07500000000000001</x:v>
      </x:c>
      <x:c r="AB2959" s="28" t="n">
        <x:f>J2959-K2959</x:f>
        <x:v>-5</x:v>
      </x:c>
      <x:c r="AC2959" s="32" t="n">
        <x:f>F2959-G2959</x:f>
        <x:v>-4</x:v>
      </x:c>
    </x:row>
    <x:row r="2960">
      <x:c r="A2960" s="4" t="str">
        <x:v>2024-25</x:v>
      </x:c>
      <x:c r="B2960" s="20" t="n">
        <x:v>45778</x:v>
      </x:c>
      <x:c r="C2960" s="4" t="str">
        <x:v>Brentford</x:v>
      </x:c>
      <x:c r="D2960" s="4" t="str">
        <x:v>Nott'm Forest</x:v>
      </x:c>
      <x:c r="E2960" s="4" t="str">
        <x:v>Away</x:v>
      </x:c>
      <x:c r="F2960" s="28" t="n">
        <x:v>2</x:v>
      </x:c>
      <x:c r="G2960" s="28" t="n">
        <x:v>0</x:v>
      </x:c>
      <x:c r="H2960" s="28" t="n">
        <x:v>11</x:v>
      </x:c>
      <x:c r="I2960" s="28" t="n">
        <x:v>14</x:v>
      </x:c>
      <x:c r="J2960" s="28" t="n">
        <x:v>3</x:v>
      </x:c>
      <x:c r="K2960" s="28" t="n">
        <x:v>5</x:v>
      </x:c>
      <x:c r="L2960" s="28" t="n">
        <x:v>5</x:v>
      </x:c>
      <x:c r="M2960" s="28" t="n">
        <x:v>4</x:v>
      </x:c>
      <x:c r="N2960" s="28" t="n">
        <x:v>5</x:v>
      </x:c>
      <x:c r="O2960" s="28" t="n">
        <x:v>0</x:v>
      </x:c>
      <x:c r="P2960" s="28" t="n">
        <x:v>3</x:v>
      </x:c>
      <x:c r="Q2960" s="24" t="n">
        <x:f>IFERROR(J2960/H2960,0)</x:f>
        <x:v>0.2727272727272727</x:v>
      </x:c>
      <x:c r="R2960" s="24" t="n">
        <x:f>IFERROR(F2960/H2960,0)</x:f>
        <x:v>0.18181818181818182</x:v>
      </x:c>
      <x:c r="S2960" s="24" t="n">
        <x:f>IFERROR(F2960/J2960,0)</x:f>
        <x:v>0.6666666666666666</x:v>
      </x:c>
      <x:c r="T2960" s="28" t="n">
        <x:f>H2960-I2960</x:f>
        <x:v>-3</x:v>
      </x:c>
      <x:c r="U2960" s="24" t="n">
        <x:f>IFERROR(J2960/H2960,0)-IFERROR(K2960/I2960,0)</x:f>
        <x:v>-0.08441558441558444</x:v>
      </x:c>
      <x:c r="V2960" s="24" t="n">
        <x:f>IFERROR(F2960/J2960,0)-IFERROR(G2960/K2960,0)</x:f>
        <x:v>0.6666666666666666</x:v>
      </x:c>
      <x:c r="W2960" s="28" t="n">
        <x:f>L2960-M2960</x:f>
        <x:v>1</x:v>
      </x:c>
      <x:c r="X2960" s="24" t="n">
        <x:f>IFERROR(K2960/I2960,0)</x:f>
        <x:v>0.35714285714285715</x:v>
      </x:c>
      <x:c r="Y2960" s="24" t="n">
        <x:f>IFERROR(G2960/I2960,0)</x:f>
        <x:v>0</x:v>
      </x:c>
      <x:c r="Z2960" s="24" t="n">
        <x:f>IFERROR(G2960/K2960,0)</x:f>
        <x:v>0</x:v>
      </x:c>
      <x:c r="AA2960" s="24" t="n">
        <x:f>IFERROR(F2960/H2960,0)-IFERROR(G2960/I2960,0)</x:f>
        <x:v>0.18181818181818182</x:v>
      </x:c>
      <x:c r="AB2960" s="28" t="n">
        <x:f>J2960-K2960</x:f>
        <x:v>-2</x:v>
      </x:c>
      <x:c r="AC2960" s="32" t="n">
        <x:f>F2960-G2960</x:f>
        <x:v>2</x:v>
      </x:c>
    </x:row>
    <x:row r="2961">
      <x:c r="A2961" s="4" t="str">
        <x:v>2024-25</x:v>
      </x:c>
      <x:c r="B2961" s="20" t="n">
        <x:v>45778</x:v>
      </x:c>
      <x:c r="C2961" s="4" t="str">
        <x:v>Nott'm Forest</x:v>
      </x:c>
      <x:c r="D2961" s="4" t="str">
        <x:v>Brentford</x:v>
      </x:c>
      <x:c r="E2961" s="4" t="str">
        <x:v>Home</x:v>
      </x:c>
      <x:c r="F2961" s="28" t="n">
        <x:v>0</x:v>
      </x:c>
      <x:c r="G2961" s="28" t="n">
        <x:v>2</x:v>
      </x:c>
      <x:c r="H2961" s="28" t="n">
        <x:v>14</x:v>
      </x:c>
      <x:c r="I2961" s="28" t="n">
        <x:v>11</x:v>
      </x:c>
      <x:c r="J2961" s="28" t="n">
        <x:v>5</x:v>
      </x:c>
      <x:c r="K2961" s="28" t="n">
        <x:v>3</x:v>
      </x:c>
      <x:c r="L2961" s="28" t="n">
        <x:v>4</x:v>
      </x:c>
      <x:c r="M2961" s="28" t="n">
        <x:v>5</x:v>
      </x:c>
      <x:c r="N2961" s="28" t="n">
        <x:v>3</x:v>
      </x:c>
      <x:c r="O2961" s="28" t="n">
        <x:v>0</x:v>
      </x:c>
      <x:c r="P2961" s="28" t="n">
        <x:v>0</x:v>
      </x:c>
      <x:c r="Q2961" s="24" t="n">
        <x:f>IFERROR(J2961/H2961,0)</x:f>
        <x:v>0.35714285714285715</x:v>
      </x:c>
      <x:c r="R2961" s="24" t="n">
        <x:f>IFERROR(F2961/H2961,0)</x:f>
        <x:v>0</x:v>
      </x:c>
      <x:c r="S2961" s="24" t="n">
        <x:f>IFERROR(F2961/J2961,0)</x:f>
        <x:v>0</x:v>
      </x:c>
      <x:c r="T2961" s="28" t="n">
        <x:f>H2961-I2961</x:f>
        <x:v>3</x:v>
      </x:c>
      <x:c r="U2961" s="24" t="n">
        <x:f>IFERROR(J2961/H2961,0)-IFERROR(K2961/I2961,0)</x:f>
        <x:v>0.08441558441558444</x:v>
      </x:c>
      <x:c r="V2961" s="24" t="n">
        <x:f>IFERROR(F2961/J2961,0)-IFERROR(G2961/K2961,0)</x:f>
        <x:v>-0.6666666666666666</x:v>
      </x:c>
      <x:c r="W2961" s="28" t="n">
        <x:f>L2961-M2961</x:f>
        <x:v>-1</x:v>
      </x:c>
      <x:c r="X2961" s="24" t="n">
        <x:f>IFERROR(K2961/I2961,0)</x:f>
        <x:v>0.2727272727272727</x:v>
      </x:c>
      <x:c r="Y2961" s="24" t="n">
        <x:f>IFERROR(G2961/I2961,0)</x:f>
        <x:v>0.18181818181818182</x:v>
      </x:c>
      <x:c r="Z2961" s="24" t="n">
        <x:f>IFERROR(G2961/K2961,0)</x:f>
        <x:v>0.6666666666666666</x:v>
      </x:c>
      <x:c r="AA2961" s="24" t="n">
        <x:f>IFERROR(F2961/H2961,0)-IFERROR(G2961/I2961,0)</x:f>
        <x:v>-0.18181818181818182</x:v>
      </x:c>
      <x:c r="AB2961" s="28" t="n">
        <x:f>J2961-K2961</x:f>
        <x:v>2</x:v>
      </x:c>
      <x:c r="AC2961" s="32" t="n">
        <x:f>F2961-G2961</x:f>
        <x:v>-2</x:v>
      </x:c>
    </x:row>
    <x:row r="2962">
      <x:c r="A2962" s="4" t="str">
        <x:v>2024-25</x:v>
      </x:c>
      <x:c r="B2962" s="20" t="n">
        <x:v>45779</x:v>
      </x:c>
      <x:c r="C2962" s="4" t="str">
        <x:v>Man City</x:v>
      </x:c>
      <x:c r="D2962" s="4" t="str">
        <x:v>Wolves</x:v>
      </x:c>
      <x:c r="E2962" s="4" t="str">
        <x:v>Home</x:v>
      </x:c>
      <x:c r="F2962" s="28" t="n">
        <x:v>1</x:v>
      </x:c>
      <x:c r="G2962" s="28" t="n">
        <x:v>0</x:v>
      </x:c>
      <x:c r="H2962" s="28" t="n">
        <x:v>9</x:v>
      </x:c>
      <x:c r="I2962" s="28" t="n">
        <x:v>6</x:v>
      </x:c>
      <x:c r="J2962" s="28" t="n">
        <x:v>2</x:v>
      </x:c>
      <x:c r="K2962" s="28" t="n">
        <x:v>1</x:v>
      </x:c>
      <x:c r="L2962" s="28" t="n">
        <x:v>4</x:v>
      </x:c>
      <x:c r="M2962" s="28" t="n">
        <x:v>5</x:v>
      </x:c>
      <x:c r="N2962" s="28" t="n">
        <x:v>0</x:v>
      </x:c>
      <x:c r="O2962" s="28" t="n">
        <x:v>0</x:v>
      </x:c>
      <x:c r="P2962" s="28" t="n">
        <x:v>3</x:v>
      </x:c>
      <x:c r="Q2962" s="24" t="n">
        <x:f>IFERROR(J2962/H2962,0)</x:f>
        <x:v>0.2222222222222222</x:v>
      </x:c>
      <x:c r="R2962" s="24" t="n">
        <x:f>IFERROR(F2962/H2962,0)</x:f>
        <x:v>0.1111111111111111</x:v>
      </x:c>
      <x:c r="S2962" s="24" t="n">
        <x:f>IFERROR(F2962/J2962,0)</x:f>
        <x:v>0.5</x:v>
      </x:c>
      <x:c r="T2962" s="28" t="n">
        <x:f>H2962-I2962</x:f>
        <x:v>3</x:v>
      </x:c>
      <x:c r="U2962" s="24" t="n">
        <x:f>IFERROR(J2962/H2962,0)-IFERROR(K2962/I2962,0)</x:f>
        <x:v>0.05555555555555555</x:v>
      </x:c>
      <x:c r="V2962" s="24" t="n">
        <x:f>IFERROR(F2962/J2962,0)-IFERROR(G2962/K2962,0)</x:f>
        <x:v>0.5</x:v>
      </x:c>
      <x:c r="W2962" s="28" t="n">
        <x:f>L2962-M2962</x:f>
        <x:v>-1</x:v>
      </x:c>
      <x:c r="X2962" s="24" t="n">
        <x:f>IFERROR(K2962/I2962,0)</x:f>
        <x:v>0.16666666666666666</x:v>
      </x:c>
      <x:c r="Y2962" s="24" t="n">
        <x:f>IFERROR(G2962/I2962,0)</x:f>
        <x:v>0</x:v>
      </x:c>
      <x:c r="Z2962" s="24" t="n">
        <x:f>IFERROR(G2962/K2962,0)</x:f>
        <x:v>0</x:v>
      </x:c>
      <x:c r="AA2962" s="24" t="n">
        <x:f>IFERROR(F2962/H2962,0)-IFERROR(G2962/I2962,0)</x:f>
        <x:v>0.1111111111111111</x:v>
      </x:c>
      <x:c r="AB2962" s="28" t="n">
        <x:f>J2962-K2962</x:f>
        <x:v>1</x:v>
      </x:c>
      <x:c r="AC2962" s="32" t="n">
        <x:f>F2962-G2962</x:f>
        <x:v>1</x:v>
      </x:c>
    </x:row>
    <x:row r="2963">
      <x:c r="A2963" s="4" t="str">
        <x:v>2024-25</x:v>
      </x:c>
      <x:c r="B2963" s="20" t="n">
        <x:v>45779</x:v>
      </x:c>
      <x:c r="C2963" s="4" t="str">
        <x:v>Wolves</x:v>
      </x:c>
      <x:c r="D2963" s="4" t="str">
        <x:v>Man City</x:v>
      </x:c>
      <x:c r="E2963" s="4" t="str">
        <x:v>Away</x:v>
      </x:c>
      <x:c r="F2963" s="28" t="n">
        <x:v>0</x:v>
      </x:c>
      <x:c r="G2963" s="28" t="n">
        <x:v>1</x:v>
      </x:c>
      <x:c r="H2963" s="28" t="n">
        <x:v>6</x:v>
      </x:c>
      <x:c r="I2963" s="28" t="n">
        <x:v>9</x:v>
      </x:c>
      <x:c r="J2963" s="28" t="n">
        <x:v>1</x:v>
      </x:c>
      <x:c r="K2963" s="28" t="n">
        <x:v>2</x:v>
      </x:c>
      <x:c r="L2963" s="28" t="n">
        <x:v>5</x:v>
      </x:c>
      <x:c r="M2963" s="28" t="n">
        <x:v>4</x:v>
      </x:c>
      <x:c r="N2963" s="28" t="n">
        <x:v>0</x:v>
      </x:c>
      <x:c r="O2963" s="28" t="n">
        <x:v>0</x:v>
      </x:c>
      <x:c r="P2963" s="28" t="n">
        <x:v>0</x:v>
      </x:c>
      <x:c r="Q2963" s="24" t="n">
        <x:f>IFERROR(J2963/H2963,0)</x:f>
        <x:v>0.16666666666666666</x:v>
      </x:c>
      <x:c r="R2963" s="24" t="n">
        <x:f>IFERROR(F2963/H2963,0)</x:f>
        <x:v>0</x:v>
      </x:c>
      <x:c r="S2963" s="24" t="n">
        <x:f>IFERROR(F2963/J2963,0)</x:f>
        <x:v>0</x:v>
      </x:c>
      <x:c r="T2963" s="28" t="n">
        <x:f>H2963-I2963</x:f>
        <x:v>-3</x:v>
      </x:c>
      <x:c r="U2963" s="24" t="n">
        <x:f>IFERROR(J2963/H2963,0)-IFERROR(K2963/I2963,0)</x:f>
        <x:v>-0.05555555555555555</x:v>
      </x:c>
      <x:c r="V2963" s="24" t="n">
        <x:f>IFERROR(F2963/J2963,0)-IFERROR(G2963/K2963,0)</x:f>
        <x:v>-0.5</x:v>
      </x:c>
      <x:c r="W2963" s="28" t="n">
        <x:f>L2963-M2963</x:f>
        <x:v>1</x:v>
      </x:c>
      <x:c r="X2963" s="24" t="n">
        <x:f>IFERROR(K2963/I2963,0)</x:f>
        <x:v>0.2222222222222222</x:v>
      </x:c>
      <x:c r="Y2963" s="24" t="n">
        <x:f>IFERROR(G2963/I2963,0)</x:f>
        <x:v>0.1111111111111111</x:v>
      </x:c>
      <x:c r="Z2963" s="24" t="n">
        <x:f>IFERROR(G2963/K2963,0)</x:f>
        <x:v>0.5</x:v>
      </x:c>
      <x:c r="AA2963" s="24" t="n">
        <x:f>IFERROR(F2963/H2963,0)-IFERROR(G2963/I2963,0)</x:f>
        <x:v>-0.1111111111111111</x:v>
      </x:c>
      <x:c r="AB2963" s="28" t="n">
        <x:f>J2963-K2963</x:f>
        <x:v>-1</x:v>
      </x:c>
      <x:c r="AC2963" s="32" t="n">
        <x:f>F2963-G2963</x:f>
        <x:v>-1</x:v>
      </x:c>
    </x:row>
    <x:row r="2964">
      <x:c r="A2964" s="4" t="str">
        <x:v>2024-25</x:v>
      </x:c>
      <x:c r="B2964" s="20" t="n">
        <x:v>45780</x:v>
      </x:c>
      <x:c r="C2964" s="4" t="str">
        <x:v>Arsenal</x:v>
      </x:c>
      <x:c r="D2964" s="4" t="str">
        <x:v>Bournemouth</x:v>
      </x:c>
      <x:c r="E2964" s="4" t="str">
        <x:v>Home</x:v>
      </x:c>
      <x:c r="F2964" s="28" t="n">
        <x:v>1</x:v>
      </x:c>
      <x:c r="G2964" s="28" t="n">
        <x:v>2</x:v>
      </x:c>
      <x:c r="H2964" s="28" t="n">
        <x:v>13</x:v>
      </x:c>
      <x:c r="I2964" s="28" t="n">
        <x:v>9</x:v>
      </x:c>
      <x:c r="J2964" s="28" t="n">
        <x:v>4</x:v>
      </x:c>
      <x:c r="K2964" s="28" t="n">
        <x:v>2</x:v>
      </x:c>
      <x:c r="L2964" s="28" t="n">
        <x:v>2</x:v>
      </x:c>
      <x:c r="M2964" s="28" t="n">
        <x:v>3</x:v>
      </x:c>
      <x:c r="N2964" s="28" t="n">
        <x:v>0</x:v>
      </x:c>
      <x:c r="O2964" s="28" t="n">
        <x:v>0</x:v>
      </x:c>
      <x:c r="P2964" s="28" t="n">
        <x:v>0</x:v>
      </x:c>
      <x:c r="Q2964" s="24" t="n">
        <x:f>IFERROR(J2964/H2964,0)</x:f>
        <x:v>0.3076923076923077</x:v>
      </x:c>
      <x:c r="R2964" s="24" t="n">
        <x:f>IFERROR(F2964/H2964,0)</x:f>
        <x:v>0.07692307692307693</x:v>
      </x:c>
      <x:c r="S2964" s="24" t="n">
        <x:f>IFERROR(F2964/J2964,0)</x:f>
        <x:v>0.25</x:v>
      </x:c>
      <x:c r="T2964" s="28" t="n">
        <x:f>H2964-I2964</x:f>
        <x:v>4</x:v>
      </x:c>
      <x:c r="U2964" s="24" t="n">
        <x:f>IFERROR(J2964/H2964,0)-IFERROR(K2964/I2964,0)</x:f>
        <x:v>0.0854700854700855</x:v>
      </x:c>
      <x:c r="V2964" s="24" t="n">
        <x:f>IFERROR(F2964/J2964,0)-IFERROR(G2964/K2964,0)</x:f>
        <x:v>-0.75</x:v>
      </x:c>
      <x:c r="W2964" s="28" t="n">
        <x:f>L2964-M2964</x:f>
        <x:v>-1</x:v>
      </x:c>
      <x:c r="X2964" s="24" t="n">
        <x:f>IFERROR(K2964/I2964,0)</x:f>
        <x:v>0.2222222222222222</x:v>
      </x:c>
      <x:c r="Y2964" s="24" t="n">
        <x:f>IFERROR(G2964/I2964,0)</x:f>
        <x:v>0.2222222222222222</x:v>
      </x:c>
      <x:c r="Z2964" s="24" t="n">
        <x:f>IFERROR(G2964/K2964,0)</x:f>
        <x:v>1</x:v>
      </x:c>
      <x:c r="AA2964" s="24" t="n">
        <x:f>IFERROR(F2964/H2964,0)-IFERROR(G2964/I2964,0)</x:f>
        <x:v>-0.14529914529914528</x:v>
      </x:c>
      <x:c r="AB2964" s="28" t="n">
        <x:f>J2964-K2964</x:f>
        <x:v>2</x:v>
      </x:c>
      <x:c r="AC2964" s="32" t="n">
        <x:f>F2964-G2964</x:f>
        <x:v>-1</x:v>
      </x:c>
    </x:row>
    <x:row r="2965">
      <x:c r="A2965" s="4" t="str">
        <x:v>2024-25</x:v>
      </x:c>
      <x:c r="B2965" s="20" t="n">
        <x:v>45780</x:v>
      </x:c>
      <x:c r="C2965" s="4" t="str">
        <x:v>Aston Villa</x:v>
      </x:c>
      <x:c r="D2965" s="4" t="str">
        <x:v>Fulham</x:v>
      </x:c>
      <x:c r="E2965" s="4" t="str">
        <x:v>Home</x:v>
      </x:c>
      <x:c r="F2965" s="28" t="n">
        <x:v>1</x:v>
      </x:c>
      <x:c r="G2965" s="28" t="n">
        <x:v>0</x:v>
      </x:c>
      <x:c r="H2965" s="28" t="n">
        <x:v>10</x:v>
      </x:c>
      <x:c r="I2965" s="28" t="n">
        <x:v>11</x:v>
      </x:c>
      <x:c r="J2965" s="28" t="n">
        <x:v>3</x:v>
      </x:c>
      <x:c r="K2965" s="28" t="n">
        <x:v>3</x:v>
      </x:c>
      <x:c r="L2965" s="28" t="n">
        <x:v>5</x:v>
      </x:c>
      <x:c r="M2965" s="28" t="n">
        <x:v>3</x:v>
      </x:c>
      <x:c r="N2965" s="28" t="n">
        <x:v>0</x:v>
      </x:c>
      <x:c r="O2965" s="28" t="n">
        <x:v>0</x:v>
      </x:c>
      <x:c r="P2965" s="28" t="n">
        <x:v>3</x:v>
      </x:c>
      <x:c r="Q2965" s="24" t="n">
        <x:f>IFERROR(J2965/H2965,0)</x:f>
        <x:v>0.3</x:v>
      </x:c>
      <x:c r="R2965" s="24" t="n">
        <x:f>IFERROR(F2965/H2965,0)</x:f>
        <x:v>0.1</x:v>
      </x:c>
      <x:c r="S2965" s="24" t="n">
        <x:f>IFERROR(F2965/J2965,0)</x:f>
        <x:v>0.3333333333333333</x:v>
      </x:c>
      <x:c r="T2965" s="28" t="n">
        <x:f>H2965-I2965</x:f>
        <x:v>-1</x:v>
      </x:c>
      <x:c r="U2965" s="24" t="n">
        <x:f>IFERROR(J2965/H2965,0)-IFERROR(K2965/I2965,0)</x:f>
        <x:v>0.027272727272727282</x:v>
      </x:c>
      <x:c r="V2965" s="24" t="n">
        <x:f>IFERROR(F2965/J2965,0)-IFERROR(G2965/K2965,0)</x:f>
        <x:v>0.3333333333333333</x:v>
      </x:c>
      <x:c r="W2965" s="28" t="n">
        <x:f>L2965-M2965</x:f>
        <x:v>2</x:v>
      </x:c>
      <x:c r="X2965" s="24" t="n">
        <x:f>IFERROR(K2965/I2965,0)</x:f>
        <x:v>0.2727272727272727</x:v>
      </x:c>
      <x:c r="Y2965" s="24" t="n">
        <x:f>IFERROR(G2965/I2965,0)</x:f>
        <x:v>0</x:v>
      </x:c>
      <x:c r="Z2965" s="24" t="n">
        <x:f>IFERROR(G2965/K2965,0)</x:f>
        <x:v>0</x:v>
      </x:c>
      <x:c r="AA2965" s="24" t="n">
        <x:f>IFERROR(F2965/H2965,0)-IFERROR(G2965/I2965,0)</x:f>
        <x:v>0.1</x:v>
      </x:c>
      <x:c r="AB2965" s="28" t="n">
        <x:f>J2965-K2965</x:f>
        <x:v>0</x:v>
      </x:c>
      <x:c r="AC2965" s="32" t="n">
        <x:f>F2965-G2965</x:f>
        <x:v>1</x:v>
      </x:c>
    </x:row>
    <x:row r="2966">
      <x:c r="A2966" s="4" t="str">
        <x:v>2024-25</x:v>
      </x:c>
      <x:c r="B2966" s="20" t="n">
        <x:v>45780</x:v>
      </x:c>
      <x:c r="C2966" s="4" t="str">
        <x:v>Bournemouth</x:v>
      </x:c>
      <x:c r="D2966" s="4" t="str">
        <x:v>Arsenal</x:v>
      </x:c>
      <x:c r="E2966" s="4" t="str">
        <x:v>Away</x:v>
      </x:c>
      <x:c r="F2966" s="28" t="n">
        <x:v>2</x:v>
      </x:c>
      <x:c r="G2966" s="28" t="n">
        <x:v>1</x:v>
      </x:c>
      <x:c r="H2966" s="28" t="n">
        <x:v>9</x:v>
      </x:c>
      <x:c r="I2966" s="28" t="n">
        <x:v>13</x:v>
      </x:c>
      <x:c r="J2966" s="28" t="n">
        <x:v>2</x:v>
      </x:c>
      <x:c r="K2966" s="28" t="n">
        <x:v>4</x:v>
      </x:c>
      <x:c r="L2966" s="28" t="n">
        <x:v>3</x:v>
      </x:c>
      <x:c r="M2966" s="28" t="n">
        <x:v>2</x:v>
      </x:c>
      <x:c r="N2966" s="28" t="n">
        <x:v>2</x:v>
      </x:c>
      <x:c r="O2966" s="28" t="n">
        <x:v>0</x:v>
      </x:c>
      <x:c r="P2966" s="28" t="n">
        <x:v>3</x:v>
      </x:c>
      <x:c r="Q2966" s="24" t="n">
        <x:f>IFERROR(J2966/H2966,0)</x:f>
        <x:v>0.2222222222222222</x:v>
      </x:c>
      <x:c r="R2966" s="24" t="n">
        <x:f>IFERROR(F2966/H2966,0)</x:f>
        <x:v>0.2222222222222222</x:v>
      </x:c>
      <x:c r="S2966" s="24" t="n">
        <x:f>IFERROR(F2966/J2966,0)</x:f>
        <x:v>1</x:v>
      </x:c>
      <x:c r="T2966" s="28" t="n">
        <x:f>H2966-I2966</x:f>
        <x:v>-4</x:v>
      </x:c>
      <x:c r="U2966" s="24" t="n">
        <x:f>IFERROR(J2966/H2966,0)-IFERROR(K2966/I2966,0)</x:f>
        <x:v>-0.0854700854700855</x:v>
      </x:c>
      <x:c r="V2966" s="24" t="n">
        <x:f>IFERROR(F2966/J2966,0)-IFERROR(G2966/K2966,0)</x:f>
        <x:v>0.75</x:v>
      </x:c>
      <x:c r="W2966" s="28" t="n">
        <x:f>L2966-M2966</x:f>
        <x:v>1</x:v>
      </x:c>
      <x:c r="X2966" s="24" t="n">
        <x:f>IFERROR(K2966/I2966,0)</x:f>
        <x:v>0.3076923076923077</x:v>
      </x:c>
      <x:c r="Y2966" s="24" t="n">
        <x:f>IFERROR(G2966/I2966,0)</x:f>
        <x:v>0.07692307692307693</x:v>
      </x:c>
      <x:c r="Z2966" s="24" t="n">
        <x:f>IFERROR(G2966/K2966,0)</x:f>
        <x:v>0.25</x:v>
      </x:c>
      <x:c r="AA2966" s="24" t="n">
        <x:f>IFERROR(F2966/H2966,0)-IFERROR(G2966/I2966,0)</x:f>
        <x:v>0.14529914529914528</x:v>
      </x:c>
      <x:c r="AB2966" s="28" t="n">
        <x:f>J2966-K2966</x:f>
        <x:v>-2</x:v>
      </x:c>
      <x:c r="AC2966" s="32" t="n">
        <x:f>F2966-G2966</x:f>
        <x:v>1</x:v>
      </x:c>
    </x:row>
    <x:row r="2967">
      <x:c r="A2967" s="4" t="str">
        <x:v>2024-25</x:v>
      </x:c>
      <x:c r="B2967" s="20" t="n">
        <x:v>45780</x:v>
      </x:c>
      <x:c r="C2967" s="4" t="str">
        <x:v>Everton</x:v>
      </x:c>
      <x:c r="D2967" s="4" t="str">
        <x:v>Ipswich</x:v>
      </x:c>
      <x:c r="E2967" s="4" t="str">
        <x:v>Home</x:v>
      </x:c>
      <x:c r="F2967" s="28" t="n">
        <x:v>2</x:v>
      </x:c>
      <x:c r="G2967" s="28" t="n">
        <x:v>2</x:v>
      </x:c>
      <x:c r="H2967" s="28" t="n">
        <x:v>8</x:v>
      </x:c>
      <x:c r="I2967" s="28" t="n">
        <x:v>12</x:v>
      </x:c>
      <x:c r="J2967" s="28" t="n">
        <x:v>3</x:v>
      </x:c>
      <x:c r="K2967" s="28" t="n">
        <x:v>5</x:v>
      </x:c>
      <x:c r="L2967" s="28" t="n">
        <x:v>3</x:v>
      </x:c>
      <x:c r="M2967" s="28" t="n">
        <x:v>3</x:v>
      </x:c>
      <x:c r="N2967" s="28" t="n">
        <x:v>4</x:v>
      </x:c>
      <x:c r="O2967" s="28" t="n">
        <x:v>0</x:v>
      </x:c>
      <x:c r="P2967" s="28" t="n">
        <x:v>1</x:v>
      </x:c>
      <x:c r="Q2967" s="24" t="n">
        <x:f>IFERROR(J2967/H2967,0)</x:f>
        <x:v>0.375</x:v>
      </x:c>
      <x:c r="R2967" s="24" t="n">
        <x:f>IFERROR(F2967/H2967,0)</x:f>
        <x:v>0.25</x:v>
      </x:c>
      <x:c r="S2967" s="24" t="n">
        <x:f>IFERROR(F2967/J2967,0)</x:f>
        <x:v>0.6666666666666666</x:v>
      </x:c>
      <x:c r="T2967" s="28" t="n">
        <x:f>H2967-I2967</x:f>
        <x:v>-4</x:v>
      </x:c>
      <x:c r="U2967" s="24" t="n">
        <x:f>IFERROR(J2967/H2967,0)-IFERROR(K2967/I2967,0)</x:f>
        <x:v>-0.041666666666666685</x:v>
      </x:c>
      <x:c r="V2967" s="24" t="n">
        <x:f>IFERROR(F2967/J2967,0)-IFERROR(G2967/K2967,0)</x:f>
        <x:v>0.2666666666666666</x:v>
      </x:c>
      <x:c r="W2967" s="28" t="n">
        <x:f>L2967-M2967</x:f>
        <x:v>0</x:v>
      </x:c>
      <x:c r="X2967" s="24" t="n">
        <x:f>IFERROR(K2967/I2967,0)</x:f>
        <x:v>0.4166666666666667</x:v>
      </x:c>
      <x:c r="Y2967" s="24" t="n">
        <x:f>IFERROR(G2967/I2967,0)</x:f>
        <x:v>0.16666666666666666</x:v>
      </x:c>
      <x:c r="Z2967" s="24" t="n">
        <x:f>IFERROR(G2967/K2967,0)</x:f>
        <x:v>0.4</x:v>
      </x:c>
      <x:c r="AA2967" s="24" t="n">
        <x:f>IFERROR(F2967/H2967,0)-IFERROR(G2967/I2967,0)</x:f>
        <x:v>0.08333333333333334</x:v>
      </x:c>
      <x:c r="AB2967" s="28" t="n">
        <x:f>J2967-K2967</x:f>
        <x:v>-2</x:v>
      </x:c>
      <x:c r="AC2967" s="32" t="n">
        <x:f>F2967-G2967</x:f>
        <x:v>0</x:v>
      </x:c>
    </x:row>
    <x:row r="2968">
      <x:c r="A2968" s="4" t="str">
        <x:v>2024-25</x:v>
      </x:c>
      <x:c r="B2968" s="20" t="n">
        <x:v>45780</x:v>
      </x:c>
      <x:c r="C2968" s="4" t="str">
        <x:v>Fulham</x:v>
      </x:c>
      <x:c r="D2968" s="4" t="str">
        <x:v>Aston Villa</x:v>
      </x:c>
      <x:c r="E2968" s="4" t="str">
        <x:v>Away</x:v>
      </x:c>
      <x:c r="F2968" s="28" t="n">
        <x:v>0</x:v>
      </x:c>
      <x:c r="G2968" s="28" t="n">
        <x:v>1</x:v>
      </x:c>
      <x:c r="H2968" s="28" t="n">
        <x:v>11</x:v>
      </x:c>
      <x:c r="I2968" s="28" t="n">
        <x:v>10</x:v>
      </x:c>
      <x:c r="J2968" s="28" t="n">
        <x:v>3</x:v>
      </x:c>
      <x:c r="K2968" s="28" t="n">
        <x:v>3</x:v>
      </x:c>
      <x:c r="L2968" s="28" t="n">
        <x:v>3</x:v>
      </x:c>
      <x:c r="M2968" s="28" t="n">
        <x:v>5</x:v>
      </x:c>
      <x:c r="N2968" s="28" t="n">
        <x:v>5</x:v>
      </x:c>
      <x:c r="O2968" s="28" t="n">
        <x:v>0</x:v>
      </x:c>
      <x:c r="P2968" s="28" t="n">
        <x:v>0</x:v>
      </x:c>
      <x:c r="Q2968" s="24" t="n">
        <x:f>IFERROR(J2968/H2968,0)</x:f>
        <x:v>0.2727272727272727</x:v>
      </x:c>
      <x:c r="R2968" s="24" t="n">
        <x:f>IFERROR(F2968/H2968,0)</x:f>
        <x:v>0</x:v>
      </x:c>
      <x:c r="S2968" s="24" t="n">
        <x:f>IFERROR(F2968/J2968,0)</x:f>
        <x:v>0</x:v>
      </x:c>
      <x:c r="T2968" s="28" t="n">
        <x:f>H2968-I2968</x:f>
        <x:v>1</x:v>
      </x:c>
      <x:c r="U2968" s="24" t="n">
        <x:f>IFERROR(J2968/H2968,0)-IFERROR(K2968/I2968,0)</x:f>
        <x:v>-0.027272727272727282</x:v>
      </x:c>
      <x:c r="V2968" s="24" t="n">
        <x:f>IFERROR(F2968/J2968,0)-IFERROR(G2968/K2968,0)</x:f>
        <x:v>-0.3333333333333333</x:v>
      </x:c>
      <x:c r="W2968" s="28" t="n">
        <x:f>L2968-M2968</x:f>
        <x:v>-2</x:v>
      </x:c>
      <x:c r="X2968" s="24" t="n">
        <x:f>IFERROR(K2968/I2968,0)</x:f>
        <x:v>0.3</x:v>
      </x:c>
      <x:c r="Y2968" s="24" t="n">
        <x:f>IFERROR(G2968/I2968,0)</x:f>
        <x:v>0.1</x:v>
      </x:c>
      <x:c r="Z2968" s="24" t="n">
        <x:f>IFERROR(G2968/K2968,0)</x:f>
        <x:v>0.3333333333333333</x:v>
      </x:c>
      <x:c r="AA2968" s="24" t="n">
        <x:f>IFERROR(F2968/H2968,0)-IFERROR(G2968/I2968,0)</x:f>
        <x:v>-0.1</x:v>
      </x:c>
      <x:c r="AB2968" s="28" t="n">
        <x:f>J2968-K2968</x:f>
        <x:v>0</x:v>
      </x:c>
      <x:c r="AC2968" s="32" t="n">
        <x:f>F2968-G2968</x:f>
        <x:v>-1</x:v>
      </x:c>
    </x:row>
    <x:row r="2969">
      <x:c r="A2969" s="4" t="str">
        <x:v>2024-25</x:v>
      </x:c>
      <x:c r="B2969" s="20" t="n">
        <x:v>45780</x:v>
      </x:c>
      <x:c r="C2969" s="4" t="str">
        <x:v>Ipswich</x:v>
      </x:c>
      <x:c r="D2969" s="4" t="str">
        <x:v>Everton</x:v>
      </x:c>
      <x:c r="E2969" s="4" t="str">
        <x:v>Away</x:v>
      </x:c>
      <x:c r="F2969" s="28" t="n">
        <x:v>2</x:v>
      </x:c>
      <x:c r="G2969" s="28" t="n">
        <x:v>2</x:v>
      </x:c>
      <x:c r="H2969" s="28" t="n">
        <x:v>12</x:v>
      </x:c>
      <x:c r="I2969" s="28" t="n">
        <x:v>8</x:v>
      </x:c>
      <x:c r="J2969" s="28" t="n">
        <x:v>5</x:v>
      </x:c>
      <x:c r="K2969" s="28" t="n">
        <x:v>3</x:v>
      </x:c>
      <x:c r="L2969" s="28" t="n">
        <x:v>3</x:v>
      </x:c>
      <x:c r="M2969" s="28" t="n">
        <x:v>3</x:v>
      </x:c>
      <x:c r="N2969" s="28" t="n">
        <x:v>4</x:v>
      </x:c>
      <x:c r="O2969" s="28" t="n">
        <x:v>0</x:v>
      </x:c>
      <x:c r="P2969" s="28" t="n">
        <x:v>1</x:v>
      </x:c>
      <x:c r="Q2969" s="24" t="n">
        <x:f>IFERROR(J2969/H2969,0)</x:f>
        <x:v>0.4166666666666667</x:v>
      </x:c>
      <x:c r="R2969" s="24" t="n">
        <x:f>IFERROR(F2969/H2969,0)</x:f>
        <x:v>0.16666666666666666</x:v>
      </x:c>
      <x:c r="S2969" s="24" t="n">
        <x:f>IFERROR(F2969/J2969,0)</x:f>
        <x:v>0.4</x:v>
      </x:c>
      <x:c r="T2969" s="28" t="n">
        <x:f>H2969-I2969</x:f>
        <x:v>4</x:v>
      </x:c>
      <x:c r="U2969" s="24" t="n">
        <x:f>IFERROR(J2969/H2969,0)-IFERROR(K2969/I2969,0)</x:f>
        <x:v>0.041666666666666685</x:v>
      </x:c>
      <x:c r="V2969" s="24" t="n">
        <x:f>IFERROR(F2969/J2969,0)-IFERROR(G2969/K2969,0)</x:f>
        <x:v>-0.2666666666666666</x:v>
      </x:c>
      <x:c r="W2969" s="28" t="n">
        <x:f>L2969-M2969</x:f>
        <x:v>0</x:v>
      </x:c>
      <x:c r="X2969" s="24" t="n">
        <x:f>IFERROR(K2969/I2969,0)</x:f>
        <x:v>0.375</x:v>
      </x:c>
      <x:c r="Y2969" s="24" t="n">
        <x:f>IFERROR(G2969/I2969,0)</x:f>
        <x:v>0.25</x:v>
      </x:c>
      <x:c r="Z2969" s="24" t="n">
        <x:f>IFERROR(G2969/K2969,0)</x:f>
        <x:v>0.6666666666666666</x:v>
      </x:c>
      <x:c r="AA2969" s="24" t="n">
        <x:f>IFERROR(F2969/H2969,0)-IFERROR(G2969/I2969,0)</x:f>
        <x:v>-0.08333333333333334</x:v>
      </x:c>
      <x:c r="AB2969" s="28" t="n">
        <x:f>J2969-K2969</x:f>
        <x:v>2</x:v>
      </x:c>
      <x:c r="AC2969" s="32" t="n">
        <x:f>F2969-G2969</x:f>
        <x:v>0</x:v>
      </x:c>
    </x:row>
    <x:row r="2970">
      <x:c r="A2970" s="4" t="str">
        <x:v>2024-25</x:v>
      </x:c>
      <x:c r="B2970" s="20" t="n">
        <x:v>45780</x:v>
      </x:c>
      <x:c r="C2970" s="4" t="str">
        <x:v>Leicester</x:v>
      </x:c>
      <x:c r="D2970" s="4" t="str">
        <x:v>Southampton</x:v>
      </x:c>
      <x:c r="E2970" s="4" t="str">
        <x:v>Home</x:v>
      </x:c>
      <x:c r="F2970" s="28" t="n">
        <x:v>2</x:v>
      </x:c>
      <x:c r="G2970" s="28" t="n">
        <x:v>0</x:v>
      </x:c>
      <x:c r="H2970" s="28" t="n">
        <x:v>14</x:v>
      </x:c>
      <x:c r="I2970" s="28" t="n">
        <x:v>8</x:v>
      </x:c>
      <x:c r="J2970" s="28" t="n">
        <x:v>4</x:v>
      </x:c>
      <x:c r="K2970" s="28" t="n">
        <x:v>2</x:v>
      </x:c>
      <x:c r="L2970" s="28" t="n">
        <x:v>7</x:v>
      </x:c>
      <x:c r="M2970" s="28" t="n">
        <x:v>7</x:v>
      </x:c>
      <x:c r="N2970" s="28" t="n">
        <x:v>1</x:v>
      </x:c>
      <x:c r="O2970" s="28" t="n">
        <x:v>0</x:v>
      </x:c>
      <x:c r="P2970" s="28" t="n">
        <x:v>3</x:v>
      </x:c>
      <x:c r="Q2970" s="24" t="n">
        <x:f>IFERROR(J2970/H2970,0)</x:f>
        <x:v>0.2857142857142857</x:v>
      </x:c>
      <x:c r="R2970" s="24" t="n">
        <x:f>IFERROR(F2970/H2970,0)</x:f>
        <x:v>0.14285714285714285</x:v>
      </x:c>
      <x:c r="S2970" s="24" t="n">
        <x:f>IFERROR(F2970/J2970,0)</x:f>
        <x:v>0.5</x:v>
      </x:c>
      <x:c r="T2970" s="28" t="n">
        <x:f>H2970-I2970</x:f>
        <x:v>6</x:v>
      </x:c>
      <x:c r="U2970" s="24" t="n">
        <x:f>IFERROR(J2970/H2970,0)-IFERROR(K2970/I2970,0)</x:f>
        <x:v>0.0357142857142857</x:v>
      </x:c>
      <x:c r="V2970" s="24" t="n">
        <x:f>IFERROR(F2970/J2970,0)-IFERROR(G2970/K2970,0)</x:f>
        <x:v>0.5</x:v>
      </x:c>
      <x:c r="W2970" s="28" t="n">
        <x:f>L2970-M2970</x:f>
        <x:v>0</x:v>
      </x:c>
      <x:c r="X2970" s="24" t="n">
        <x:f>IFERROR(K2970/I2970,0)</x:f>
        <x:v>0.25</x:v>
      </x:c>
      <x:c r="Y2970" s="24" t="n">
        <x:f>IFERROR(G2970/I2970,0)</x:f>
        <x:v>0</x:v>
      </x:c>
      <x:c r="Z2970" s="24" t="n">
        <x:f>IFERROR(G2970/K2970,0)</x:f>
        <x:v>0</x:v>
      </x:c>
      <x:c r="AA2970" s="24" t="n">
        <x:f>IFERROR(F2970/H2970,0)-IFERROR(G2970/I2970,0)</x:f>
        <x:v>0.14285714285714285</x:v>
      </x:c>
      <x:c r="AB2970" s="28" t="n">
        <x:f>J2970-K2970</x:f>
        <x:v>2</x:v>
      </x:c>
      <x:c r="AC2970" s="32" t="n">
        <x:f>F2970-G2970</x:f>
        <x:v>2</x:v>
      </x:c>
    </x:row>
    <x:row r="2971">
      <x:c r="A2971" s="4" t="str">
        <x:v>2024-25</x:v>
      </x:c>
      <x:c r="B2971" s="20" t="n">
        <x:v>45780</x:v>
      </x:c>
      <x:c r="C2971" s="4" t="str">
        <x:v>Southampton</x:v>
      </x:c>
      <x:c r="D2971" s="4" t="str">
        <x:v>Leicester</x:v>
      </x:c>
      <x:c r="E2971" s="4" t="str">
        <x:v>Away</x:v>
      </x:c>
      <x:c r="F2971" s="28" t="n">
        <x:v>0</x:v>
      </x:c>
      <x:c r="G2971" s="28" t="n">
        <x:v>2</x:v>
      </x:c>
      <x:c r="H2971" s="28" t="n">
        <x:v>8</x:v>
      </x:c>
      <x:c r="I2971" s="28" t="n">
        <x:v>14</x:v>
      </x:c>
      <x:c r="J2971" s="28" t="n">
        <x:v>2</x:v>
      </x:c>
      <x:c r="K2971" s="28" t="n">
        <x:v>4</x:v>
      </x:c>
      <x:c r="L2971" s="28" t="n">
        <x:v>7</x:v>
      </x:c>
      <x:c r="M2971" s="28" t="n">
        <x:v>7</x:v>
      </x:c>
      <x:c r="N2971" s="28" t="n">
        <x:v>3</x:v>
      </x:c>
      <x:c r="O2971" s="28" t="n">
        <x:v>0</x:v>
      </x:c>
      <x:c r="P2971" s="28" t="n">
        <x:v>0</x:v>
      </x:c>
      <x:c r="Q2971" s="24" t="n">
        <x:f>IFERROR(J2971/H2971,0)</x:f>
        <x:v>0.25</x:v>
      </x:c>
      <x:c r="R2971" s="24" t="n">
        <x:f>IFERROR(F2971/H2971,0)</x:f>
        <x:v>0</x:v>
      </x:c>
      <x:c r="S2971" s="24" t="n">
        <x:f>IFERROR(F2971/J2971,0)</x:f>
        <x:v>0</x:v>
      </x:c>
      <x:c r="T2971" s="28" t="n">
        <x:f>H2971-I2971</x:f>
        <x:v>-6</x:v>
      </x:c>
      <x:c r="U2971" s="24" t="n">
        <x:f>IFERROR(J2971/H2971,0)-IFERROR(K2971/I2971,0)</x:f>
        <x:v>-0.0357142857142857</x:v>
      </x:c>
      <x:c r="V2971" s="24" t="n">
        <x:f>IFERROR(F2971/J2971,0)-IFERROR(G2971/K2971,0)</x:f>
        <x:v>-0.5</x:v>
      </x:c>
      <x:c r="W2971" s="28" t="n">
        <x:f>L2971-M2971</x:f>
        <x:v>0</x:v>
      </x:c>
      <x:c r="X2971" s="24" t="n">
        <x:f>IFERROR(K2971/I2971,0)</x:f>
        <x:v>0.2857142857142857</x:v>
      </x:c>
      <x:c r="Y2971" s="24" t="n">
        <x:f>IFERROR(G2971/I2971,0)</x:f>
        <x:v>0.14285714285714285</x:v>
      </x:c>
      <x:c r="Z2971" s="24" t="n">
        <x:f>IFERROR(G2971/K2971,0)</x:f>
        <x:v>0.5</x:v>
      </x:c>
      <x:c r="AA2971" s="24" t="n">
        <x:f>IFERROR(F2971/H2971,0)-IFERROR(G2971/I2971,0)</x:f>
        <x:v>-0.14285714285714285</x:v>
      </x:c>
      <x:c r="AB2971" s="28" t="n">
        <x:f>J2971-K2971</x:f>
        <x:v>-2</x:v>
      </x:c>
      <x:c r="AC2971" s="32" t="n">
        <x:f>F2971-G2971</x:f>
        <x:v>-2</x:v>
      </x:c>
    </x:row>
    <x:row r="2972">
      <x:c r="A2972" s="4" t="str">
        <x:v>2024-25</x:v>
      </x:c>
      <x:c r="B2972" s="20" t="n">
        <x:v>45781</x:v>
      </x:c>
      <x:c r="C2972" s="4" t="str">
        <x:v>Brentford</x:v>
      </x:c>
      <x:c r="D2972" s="4" t="str">
        <x:v>Man United</x:v>
      </x:c>
      <x:c r="E2972" s="4" t="str">
        <x:v>Home</x:v>
      </x:c>
      <x:c r="F2972" s="28" t="n">
        <x:v>4</x:v>
      </x:c>
      <x:c r="G2972" s="28" t="n">
        <x:v>3</x:v>
      </x:c>
      <x:c r="H2972" s="28" t="n">
        <x:v>12</x:v>
      </x:c>
      <x:c r="I2972" s="28" t="n">
        <x:v>14</x:v>
      </x:c>
      <x:c r="J2972" s="28" t="n">
        <x:v>6</x:v>
      </x:c>
      <x:c r="K2972" s="28" t="n">
        <x:v>5</x:v>
      </x:c>
      <x:c r="L2972" s="28" t="n">
        <x:v>7</x:v>
      </x:c>
      <x:c r="M2972" s="28" t="n">
        <x:v>4</x:v>
      </x:c>
      <x:c r="N2972" s="28" t="n">
        <x:v>0</x:v>
      </x:c>
      <x:c r="O2972" s="28" t="n">
        <x:v>0</x:v>
      </x:c>
      <x:c r="P2972" s="28" t="n">
        <x:v>3</x:v>
      </x:c>
      <x:c r="Q2972" s="24" t="n">
        <x:f>IFERROR(J2972/H2972,0)</x:f>
        <x:v>0.5</x:v>
      </x:c>
      <x:c r="R2972" s="24" t="n">
        <x:f>IFERROR(F2972/H2972,0)</x:f>
        <x:v>0.3333333333333333</x:v>
      </x:c>
      <x:c r="S2972" s="24" t="n">
        <x:f>IFERROR(F2972/J2972,0)</x:f>
        <x:v>0.6666666666666666</x:v>
      </x:c>
      <x:c r="T2972" s="28" t="n">
        <x:f>H2972-I2972</x:f>
        <x:v>-2</x:v>
      </x:c>
      <x:c r="U2972" s="24" t="n">
        <x:f>IFERROR(J2972/H2972,0)-IFERROR(K2972/I2972,0)</x:f>
        <x:v>0.14285714285714285</x:v>
      </x:c>
      <x:c r="V2972" s="24" t="n">
        <x:f>IFERROR(F2972/J2972,0)-IFERROR(G2972/K2972,0)</x:f>
        <x:v>0.06666666666666665</x:v>
      </x:c>
      <x:c r="W2972" s="28" t="n">
        <x:f>L2972-M2972</x:f>
        <x:v>3</x:v>
      </x:c>
      <x:c r="X2972" s="24" t="n">
        <x:f>IFERROR(K2972/I2972,0)</x:f>
        <x:v>0.35714285714285715</x:v>
      </x:c>
      <x:c r="Y2972" s="24" t="n">
        <x:f>IFERROR(G2972/I2972,0)</x:f>
        <x:v>0.21428571428571427</x:v>
      </x:c>
      <x:c r="Z2972" s="24" t="n">
        <x:f>IFERROR(G2972/K2972,0)</x:f>
        <x:v>0.6</x:v>
      </x:c>
      <x:c r="AA2972" s="24" t="n">
        <x:f>IFERROR(F2972/H2972,0)-IFERROR(G2972/I2972,0)</x:f>
        <x:v>0.11904761904761904</x:v>
      </x:c>
      <x:c r="AB2972" s="28" t="n">
        <x:f>J2972-K2972</x:f>
        <x:v>1</x:v>
      </x:c>
      <x:c r="AC2972" s="32" t="n">
        <x:f>F2972-G2972</x:f>
        <x:v>1</x:v>
      </x:c>
    </x:row>
    <x:row r="2973">
      <x:c r="A2973" s="4" t="str">
        <x:v>2024-25</x:v>
      </x:c>
      <x:c r="B2973" s="20" t="n">
        <x:v>45781</x:v>
      </x:c>
      <x:c r="C2973" s="4" t="str">
        <x:v>Brighton</x:v>
      </x:c>
      <x:c r="D2973" s="4" t="str">
        <x:v>Newcastle</x:v>
      </x:c>
      <x:c r="E2973" s="4" t="str">
        <x:v>Home</x:v>
      </x:c>
      <x:c r="F2973" s="28" t="n">
        <x:v>1</x:v>
      </x:c>
      <x:c r="G2973" s="28" t="n">
        <x:v>1</x:v>
      </x:c>
      <x:c r="H2973" s="28" t="n">
        <x:v>5</x:v>
      </x:c>
      <x:c r="I2973" s="28" t="n">
        <x:v>13</x:v>
      </x:c>
      <x:c r="J2973" s="28" t="n">
        <x:v>2</x:v>
      </x:c>
      <x:c r="K2973" s="28" t="n">
        <x:v>5</x:v>
      </x:c>
      <x:c r="L2973" s="28" t="n">
        <x:v>1</x:v>
      </x:c>
      <x:c r="M2973" s="28" t="n">
        <x:v>4</x:v>
      </x:c>
      <x:c r="N2973" s="28" t="n">
        <x:v>2</x:v>
      </x:c>
      <x:c r="O2973" s="28" t="n">
        <x:v>0</x:v>
      </x:c>
      <x:c r="P2973" s="28" t="n">
        <x:v>1</x:v>
      </x:c>
      <x:c r="Q2973" s="24" t="n">
        <x:f>IFERROR(J2973/H2973,0)</x:f>
        <x:v>0.4</x:v>
      </x:c>
      <x:c r="R2973" s="24" t="n">
        <x:f>IFERROR(F2973/H2973,0)</x:f>
        <x:v>0.2</x:v>
      </x:c>
      <x:c r="S2973" s="24" t="n">
        <x:f>IFERROR(F2973/J2973,0)</x:f>
        <x:v>0.5</x:v>
      </x:c>
      <x:c r="T2973" s="28" t="n">
        <x:f>H2973-I2973</x:f>
        <x:v>-8</x:v>
      </x:c>
      <x:c r="U2973" s="24" t="n">
        <x:f>IFERROR(J2973/H2973,0)-IFERROR(K2973/I2973,0)</x:f>
        <x:v>0.015384615384615385</x:v>
      </x:c>
      <x:c r="V2973" s="24" t="n">
        <x:f>IFERROR(F2973/J2973,0)-IFERROR(G2973/K2973,0)</x:f>
        <x:v>0.3</x:v>
      </x:c>
      <x:c r="W2973" s="28" t="n">
        <x:f>L2973-M2973</x:f>
        <x:v>-3</x:v>
      </x:c>
      <x:c r="X2973" s="24" t="n">
        <x:f>IFERROR(K2973/I2973,0)</x:f>
        <x:v>0.38461538461538464</x:v>
      </x:c>
      <x:c r="Y2973" s="24" t="n">
        <x:f>IFERROR(G2973/I2973,0)</x:f>
        <x:v>0.07692307692307693</x:v>
      </x:c>
      <x:c r="Z2973" s="24" t="n">
        <x:f>IFERROR(G2973/K2973,0)</x:f>
        <x:v>0.2</x:v>
      </x:c>
      <x:c r="AA2973" s="24" t="n">
        <x:f>IFERROR(F2973/H2973,0)-IFERROR(G2973/I2973,0)</x:f>
        <x:v>0.12307692307692308</x:v>
      </x:c>
      <x:c r="AB2973" s="28" t="n">
        <x:f>J2973-K2973</x:f>
        <x:v>-3</x:v>
      </x:c>
      <x:c r="AC2973" s="32" t="n">
        <x:f>F2973-G2973</x:f>
        <x:v>0</x:v>
      </x:c>
    </x:row>
    <x:row r="2974">
      <x:c r="A2974" s="4" t="str">
        <x:v>2024-25</x:v>
      </x:c>
      <x:c r="B2974" s="20" t="n">
        <x:v>45781</x:v>
      </x:c>
      <x:c r="C2974" s="4" t="str">
        <x:v>Chelsea</x:v>
      </x:c>
      <x:c r="D2974" s="4" t="str">
        <x:v>Liverpool</x:v>
      </x:c>
      <x:c r="E2974" s="4" t="str">
        <x:v>Home</x:v>
      </x:c>
      <x:c r="F2974" s="28" t="n">
        <x:v>3</x:v>
      </x:c>
      <x:c r="G2974" s="28" t="n">
        <x:v>1</x:v>
      </x:c>
      <x:c r="H2974" s="28" t="n">
        <x:v>17</x:v>
      </x:c>
      <x:c r="I2974" s="28" t="n">
        <x:v>11</x:v>
      </x:c>
      <x:c r="J2974" s="28" t="n">
        <x:v>7</x:v>
      </x:c>
      <x:c r="K2974" s="28" t="n">
        <x:v>2</x:v>
      </x:c>
      <x:c r="L2974" s="28" t="n">
        <x:v>3</x:v>
      </x:c>
      <x:c r="M2974" s="28" t="n">
        <x:v>6</x:v>
      </x:c>
      <x:c r="N2974" s="28" t="n">
        <x:v>2</x:v>
      </x:c>
      <x:c r="O2974" s="28" t="n">
        <x:v>0</x:v>
      </x:c>
      <x:c r="P2974" s="28" t="n">
        <x:v>3</x:v>
      </x:c>
      <x:c r="Q2974" s="24" t="n">
        <x:f>IFERROR(J2974/H2974,0)</x:f>
        <x:v>0.4117647058823529</x:v>
      </x:c>
      <x:c r="R2974" s="24" t="n">
        <x:f>IFERROR(F2974/H2974,0)</x:f>
        <x:v>0.17647058823529413</x:v>
      </x:c>
      <x:c r="S2974" s="24" t="n">
        <x:f>IFERROR(F2974/J2974,0)</x:f>
        <x:v>0.42857142857142855</x:v>
      </x:c>
      <x:c r="T2974" s="28" t="n">
        <x:f>H2974-I2974</x:f>
        <x:v>6</x:v>
      </x:c>
      <x:c r="U2974" s="24" t="n">
        <x:f>IFERROR(J2974/H2974,0)-IFERROR(K2974/I2974,0)</x:f>
        <x:v>0.2299465240641711</x:v>
      </x:c>
      <x:c r="V2974" s="24" t="n">
        <x:f>IFERROR(F2974/J2974,0)-IFERROR(G2974/K2974,0)</x:f>
        <x:v>-0.07142857142857145</x:v>
      </x:c>
      <x:c r="W2974" s="28" t="n">
        <x:f>L2974-M2974</x:f>
        <x:v>-3</x:v>
      </x:c>
      <x:c r="X2974" s="24" t="n">
        <x:f>IFERROR(K2974/I2974,0)</x:f>
        <x:v>0.18181818181818182</x:v>
      </x:c>
      <x:c r="Y2974" s="24" t="n">
        <x:f>IFERROR(G2974/I2974,0)</x:f>
        <x:v>0.09090909090909091</x:v>
      </x:c>
      <x:c r="Z2974" s="24" t="n">
        <x:f>IFERROR(G2974/K2974,0)</x:f>
        <x:v>0.5</x:v>
      </x:c>
      <x:c r="AA2974" s="24" t="n">
        <x:f>IFERROR(F2974/H2974,0)-IFERROR(G2974/I2974,0)</x:f>
        <x:v>0.08556149732620322</x:v>
      </x:c>
      <x:c r="AB2974" s="28" t="n">
        <x:f>J2974-K2974</x:f>
        <x:v>5</x:v>
      </x:c>
      <x:c r="AC2974" s="32" t="n">
        <x:f>F2974-G2974</x:f>
        <x:v>2</x:v>
      </x:c>
    </x:row>
    <x:row r="2975">
      <x:c r="A2975" s="4" t="str">
        <x:v>2024-25</x:v>
      </x:c>
      <x:c r="B2975" s="20" t="n">
        <x:v>45781</x:v>
      </x:c>
      <x:c r="C2975" s="4" t="str">
        <x:v>Liverpool</x:v>
      </x:c>
      <x:c r="D2975" s="4" t="str">
        <x:v>Chelsea</x:v>
      </x:c>
      <x:c r="E2975" s="4" t="str">
        <x:v>Away</x:v>
      </x:c>
      <x:c r="F2975" s="28" t="n">
        <x:v>1</x:v>
      </x:c>
      <x:c r="G2975" s="28" t="n">
        <x:v>3</x:v>
      </x:c>
      <x:c r="H2975" s="28" t="n">
        <x:v>11</x:v>
      </x:c>
      <x:c r="I2975" s="28" t="n">
        <x:v>17</x:v>
      </x:c>
      <x:c r="J2975" s="28" t="n">
        <x:v>2</x:v>
      </x:c>
      <x:c r="K2975" s="28" t="n">
        <x:v>7</x:v>
      </x:c>
      <x:c r="L2975" s="28" t="n">
        <x:v>6</x:v>
      </x:c>
      <x:c r="M2975" s="28" t="n">
        <x:v>3</x:v>
      </x:c>
      <x:c r="N2975" s="28" t="n">
        <x:v>2</x:v>
      </x:c>
      <x:c r="O2975" s="28" t="n">
        <x:v>0</x:v>
      </x:c>
      <x:c r="P2975" s="28" t="n">
        <x:v>0</x:v>
      </x:c>
      <x:c r="Q2975" s="24" t="n">
        <x:f>IFERROR(J2975/H2975,0)</x:f>
        <x:v>0.18181818181818182</x:v>
      </x:c>
      <x:c r="R2975" s="24" t="n">
        <x:f>IFERROR(F2975/H2975,0)</x:f>
        <x:v>0.09090909090909091</x:v>
      </x:c>
      <x:c r="S2975" s="24" t="n">
        <x:f>IFERROR(F2975/J2975,0)</x:f>
        <x:v>0.5</x:v>
      </x:c>
      <x:c r="T2975" s="28" t="n">
        <x:f>H2975-I2975</x:f>
        <x:v>-6</x:v>
      </x:c>
      <x:c r="U2975" s="24" t="n">
        <x:f>IFERROR(J2975/H2975,0)-IFERROR(K2975/I2975,0)</x:f>
        <x:v>-0.2299465240641711</x:v>
      </x:c>
      <x:c r="V2975" s="24" t="n">
        <x:f>IFERROR(F2975/J2975,0)-IFERROR(G2975/K2975,0)</x:f>
        <x:v>0.07142857142857145</x:v>
      </x:c>
      <x:c r="W2975" s="28" t="n">
        <x:f>L2975-M2975</x:f>
        <x:v>3</x:v>
      </x:c>
      <x:c r="X2975" s="24" t="n">
        <x:f>IFERROR(K2975/I2975,0)</x:f>
        <x:v>0.4117647058823529</x:v>
      </x:c>
      <x:c r="Y2975" s="24" t="n">
        <x:f>IFERROR(G2975/I2975,0)</x:f>
        <x:v>0.17647058823529413</x:v>
      </x:c>
      <x:c r="Z2975" s="24" t="n">
        <x:f>IFERROR(G2975/K2975,0)</x:f>
        <x:v>0.42857142857142855</x:v>
      </x:c>
      <x:c r="AA2975" s="24" t="n">
        <x:f>IFERROR(F2975/H2975,0)-IFERROR(G2975/I2975,0)</x:f>
        <x:v>-0.08556149732620322</x:v>
      </x:c>
      <x:c r="AB2975" s="28" t="n">
        <x:f>J2975-K2975</x:f>
        <x:v>-5</x:v>
      </x:c>
      <x:c r="AC2975" s="32" t="n">
        <x:f>F2975-G2975</x:f>
        <x:v>-2</x:v>
      </x:c>
    </x:row>
    <x:row r="2976">
      <x:c r="A2976" s="4" t="str">
        <x:v>2024-25</x:v>
      </x:c>
      <x:c r="B2976" s="20" t="n">
        <x:v>45781</x:v>
      </x:c>
      <x:c r="C2976" s="4" t="str">
        <x:v>Man United</x:v>
      </x:c>
      <x:c r="D2976" s="4" t="str">
        <x:v>Brentford</x:v>
      </x:c>
      <x:c r="E2976" s="4" t="str">
        <x:v>Away</x:v>
      </x:c>
      <x:c r="F2976" s="28" t="n">
        <x:v>3</x:v>
      </x:c>
      <x:c r="G2976" s="28" t="n">
        <x:v>4</x:v>
      </x:c>
      <x:c r="H2976" s="28" t="n">
        <x:v>14</x:v>
      </x:c>
      <x:c r="I2976" s="28" t="n">
        <x:v>12</x:v>
      </x:c>
      <x:c r="J2976" s="28" t="n">
        <x:v>5</x:v>
      </x:c>
      <x:c r="K2976" s="28" t="n">
        <x:v>6</x:v>
      </x:c>
      <x:c r="L2976" s="28" t="n">
        <x:v>4</x:v>
      </x:c>
      <x:c r="M2976" s="28" t="n">
        <x:v>7</x:v>
      </x:c>
      <x:c r="N2976" s="28" t="n">
        <x:v>2</x:v>
      </x:c>
      <x:c r="O2976" s="28" t="n">
        <x:v>0</x:v>
      </x:c>
      <x:c r="P2976" s="28" t="n">
        <x:v>0</x:v>
      </x:c>
      <x:c r="Q2976" s="24" t="n">
        <x:f>IFERROR(J2976/H2976,0)</x:f>
        <x:v>0.35714285714285715</x:v>
      </x:c>
      <x:c r="R2976" s="24" t="n">
        <x:f>IFERROR(F2976/H2976,0)</x:f>
        <x:v>0.21428571428571427</x:v>
      </x:c>
      <x:c r="S2976" s="24" t="n">
        <x:f>IFERROR(F2976/J2976,0)</x:f>
        <x:v>0.6</x:v>
      </x:c>
      <x:c r="T2976" s="28" t="n">
        <x:f>H2976-I2976</x:f>
        <x:v>2</x:v>
      </x:c>
      <x:c r="U2976" s="24" t="n">
        <x:f>IFERROR(J2976/H2976,0)-IFERROR(K2976/I2976,0)</x:f>
        <x:v>-0.14285714285714285</x:v>
      </x:c>
      <x:c r="V2976" s="24" t="n">
        <x:f>IFERROR(F2976/J2976,0)-IFERROR(G2976/K2976,0)</x:f>
        <x:v>-0.06666666666666665</x:v>
      </x:c>
      <x:c r="W2976" s="28" t="n">
        <x:f>L2976-M2976</x:f>
        <x:v>-3</x:v>
      </x:c>
      <x:c r="X2976" s="24" t="n">
        <x:f>IFERROR(K2976/I2976,0)</x:f>
        <x:v>0.5</x:v>
      </x:c>
      <x:c r="Y2976" s="24" t="n">
        <x:f>IFERROR(G2976/I2976,0)</x:f>
        <x:v>0.3333333333333333</x:v>
      </x:c>
      <x:c r="Z2976" s="24" t="n">
        <x:f>IFERROR(G2976/K2976,0)</x:f>
        <x:v>0.6666666666666666</x:v>
      </x:c>
      <x:c r="AA2976" s="24" t="n">
        <x:f>IFERROR(F2976/H2976,0)-IFERROR(G2976/I2976,0)</x:f>
        <x:v>-0.11904761904761904</x:v>
      </x:c>
      <x:c r="AB2976" s="28" t="n">
        <x:f>J2976-K2976</x:f>
        <x:v>-1</x:v>
      </x:c>
      <x:c r="AC2976" s="32" t="n">
        <x:f>F2976-G2976</x:f>
        <x:v>-1</x:v>
      </x:c>
    </x:row>
    <x:row r="2977">
      <x:c r="A2977" s="4" t="str">
        <x:v>2024-25</x:v>
      </x:c>
      <x:c r="B2977" s="20" t="n">
        <x:v>45781</x:v>
      </x:c>
      <x:c r="C2977" s="4" t="str">
        <x:v>Newcastle</x:v>
      </x:c>
      <x:c r="D2977" s="4" t="str">
        <x:v>Brighton</x:v>
      </x:c>
      <x:c r="E2977" s="4" t="str">
        <x:v>Away</x:v>
      </x:c>
      <x:c r="F2977" s="28" t="n">
        <x:v>1</x:v>
      </x:c>
      <x:c r="G2977" s="28" t="n">
        <x:v>1</x:v>
      </x:c>
      <x:c r="H2977" s="28" t="n">
        <x:v>13</x:v>
      </x:c>
      <x:c r="I2977" s="28" t="n">
        <x:v>5</x:v>
      </x:c>
      <x:c r="J2977" s="28" t="n">
        <x:v>5</x:v>
      </x:c>
      <x:c r="K2977" s="28" t="n">
        <x:v>2</x:v>
      </x:c>
      <x:c r="L2977" s="28" t="n">
        <x:v>4</x:v>
      </x:c>
      <x:c r="M2977" s="28" t="n">
        <x:v>1</x:v>
      </x:c>
      <x:c r="N2977" s="28" t="n">
        <x:v>1</x:v>
      </x:c>
      <x:c r="O2977" s="28" t="n">
        <x:v>0</x:v>
      </x:c>
      <x:c r="P2977" s="28" t="n">
        <x:v>1</x:v>
      </x:c>
      <x:c r="Q2977" s="24" t="n">
        <x:f>IFERROR(J2977/H2977,0)</x:f>
        <x:v>0.38461538461538464</x:v>
      </x:c>
      <x:c r="R2977" s="24" t="n">
        <x:f>IFERROR(F2977/H2977,0)</x:f>
        <x:v>0.07692307692307693</x:v>
      </x:c>
      <x:c r="S2977" s="24" t="n">
        <x:f>IFERROR(F2977/J2977,0)</x:f>
        <x:v>0.2</x:v>
      </x:c>
      <x:c r="T2977" s="28" t="n">
        <x:f>H2977-I2977</x:f>
        <x:v>8</x:v>
      </x:c>
      <x:c r="U2977" s="24" t="n">
        <x:f>IFERROR(J2977/H2977,0)-IFERROR(K2977/I2977,0)</x:f>
        <x:v>-0.015384615384615385</x:v>
      </x:c>
      <x:c r="V2977" s="24" t="n">
        <x:f>IFERROR(F2977/J2977,0)-IFERROR(G2977/K2977,0)</x:f>
        <x:v>-0.3</x:v>
      </x:c>
      <x:c r="W2977" s="28" t="n">
        <x:f>L2977-M2977</x:f>
        <x:v>3</x:v>
      </x:c>
      <x:c r="X2977" s="24" t="n">
        <x:f>IFERROR(K2977/I2977,0)</x:f>
        <x:v>0.4</x:v>
      </x:c>
      <x:c r="Y2977" s="24" t="n">
        <x:f>IFERROR(G2977/I2977,0)</x:f>
        <x:v>0.2</x:v>
      </x:c>
      <x:c r="Z2977" s="24" t="n">
        <x:f>IFERROR(G2977/K2977,0)</x:f>
        <x:v>0.5</x:v>
      </x:c>
      <x:c r="AA2977" s="24" t="n">
        <x:f>IFERROR(F2977/H2977,0)-IFERROR(G2977/I2977,0)</x:f>
        <x:v>-0.12307692307692308</x:v>
      </x:c>
      <x:c r="AB2977" s="28" t="n">
        <x:f>J2977-K2977</x:f>
        <x:v>3</x:v>
      </x:c>
      <x:c r="AC2977" s="32" t="n">
        <x:f>F2977-G2977</x:f>
        <x:v>0</x:v>
      </x:c>
    </x:row>
    <x:row r="2978">
      <x:c r="A2978" s="4" t="str">
        <x:v>2024-25</x:v>
      </x:c>
      <x:c r="B2978" s="20" t="n">
        <x:v>45781</x:v>
      </x:c>
      <x:c r="C2978" s="4" t="str">
        <x:v>Tottenham</x:v>
      </x:c>
      <x:c r="D2978" s="4" t="str">
        <x:v>West Ham</x:v>
      </x:c>
      <x:c r="E2978" s="4" t="str">
        <x:v>Away</x:v>
      </x:c>
      <x:c r="F2978" s="28" t="n">
        <x:v>1</x:v>
      </x:c>
      <x:c r="G2978" s="28" t="n">
        <x:v>1</x:v>
      </x:c>
      <x:c r="H2978" s="28" t="n">
        <x:v>7</x:v>
      </x:c>
      <x:c r="I2978" s="28" t="n">
        <x:v>11</x:v>
      </x:c>
      <x:c r="J2978" s="28" t="n">
        <x:v>2</x:v>
      </x:c>
      <x:c r="K2978" s="28" t="n">
        <x:v>2</x:v>
      </x:c>
      <x:c r="L2978" s="28" t="n">
        <x:v>3</x:v>
      </x:c>
      <x:c r="M2978" s="28" t="n">
        <x:v>1</x:v>
      </x:c>
      <x:c r="N2978" s="28" t="n">
        <x:v>2</x:v>
      </x:c>
      <x:c r="O2978" s="28" t="n">
        <x:v>0</x:v>
      </x:c>
      <x:c r="P2978" s="28" t="n">
        <x:v>1</x:v>
      </x:c>
      <x:c r="Q2978" s="24" t="n">
        <x:f>IFERROR(J2978/H2978,0)</x:f>
        <x:v>0.2857142857142857</x:v>
      </x:c>
      <x:c r="R2978" s="24" t="n">
        <x:f>IFERROR(F2978/H2978,0)</x:f>
        <x:v>0.14285714285714285</x:v>
      </x:c>
      <x:c r="S2978" s="24" t="n">
        <x:f>IFERROR(F2978/J2978,0)</x:f>
        <x:v>0.5</x:v>
      </x:c>
      <x:c r="T2978" s="28" t="n">
        <x:f>H2978-I2978</x:f>
        <x:v>-4</x:v>
      </x:c>
      <x:c r="U2978" s="24" t="n">
        <x:f>IFERROR(J2978/H2978,0)-IFERROR(K2978/I2978,0)</x:f>
        <x:v>0.10389610389610388</x:v>
      </x:c>
      <x:c r="V2978" s="24" t="n">
        <x:f>IFERROR(F2978/J2978,0)-IFERROR(G2978/K2978,0)</x:f>
        <x:v>0</x:v>
      </x:c>
      <x:c r="W2978" s="28" t="n">
        <x:f>L2978-M2978</x:f>
        <x:v>2</x:v>
      </x:c>
      <x:c r="X2978" s="24" t="n">
        <x:f>IFERROR(K2978/I2978,0)</x:f>
        <x:v>0.18181818181818182</x:v>
      </x:c>
      <x:c r="Y2978" s="24" t="n">
        <x:f>IFERROR(G2978/I2978,0)</x:f>
        <x:v>0.09090909090909091</x:v>
      </x:c>
      <x:c r="Z2978" s="24" t="n">
        <x:f>IFERROR(G2978/K2978,0)</x:f>
        <x:v>0.5</x:v>
      </x:c>
      <x:c r="AA2978" s="24" t="n">
        <x:f>IFERROR(F2978/H2978,0)-IFERROR(G2978/I2978,0)</x:f>
        <x:v>0.05194805194805194</x:v>
      </x:c>
      <x:c r="AB2978" s="28" t="n">
        <x:f>J2978-K2978</x:f>
        <x:v>0</x:v>
      </x:c>
      <x:c r="AC2978" s="32" t="n">
        <x:f>F2978-G2978</x:f>
        <x:v>0</x:v>
      </x:c>
    </x:row>
    <x:row r="2979">
      <x:c r="A2979" s="4" t="str">
        <x:v>2024-25</x:v>
      </x:c>
      <x:c r="B2979" s="20" t="n">
        <x:v>45781</x:v>
      </x:c>
      <x:c r="C2979" s="4" t="str">
        <x:v>West Ham</x:v>
      </x:c>
      <x:c r="D2979" s="4" t="str">
        <x:v>Tottenham</x:v>
      </x:c>
      <x:c r="E2979" s="4" t="str">
        <x:v>Home</x:v>
      </x:c>
      <x:c r="F2979" s="28" t="n">
        <x:v>1</x:v>
      </x:c>
      <x:c r="G2979" s="28" t="n">
        <x:v>1</x:v>
      </x:c>
      <x:c r="H2979" s="28" t="n">
        <x:v>11</x:v>
      </x:c>
      <x:c r="I2979" s="28" t="n">
        <x:v>7</x:v>
      </x:c>
      <x:c r="J2979" s="28" t="n">
        <x:v>2</x:v>
      </x:c>
      <x:c r="K2979" s="28" t="n">
        <x:v>2</x:v>
      </x:c>
      <x:c r="L2979" s="28" t="n">
        <x:v>1</x:v>
      </x:c>
      <x:c r="M2979" s="28" t="n">
        <x:v>3</x:v>
      </x:c>
      <x:c r="N2979" s="28" t="n">
        <x:v>2</x:v>
      </x:c>
      <x:c r="O2979" s="28" t="n">
        <x:v>0</x:v>
      </x:c>
      <x:c r="P2979" s="28" t="n">
        <x:v>1</x:v>
      </x:c>
      <x:c r="Q2979" s="24" t="n">
        <x:f>IFERROR(J2979/H2979,0)</x:f>
        <x:v>0.18181818181818182</x:v>
      </x:c>
      <x:c r="R2979" s="24" t="n">
        <x:f>IFERROR(F2979/H2979,0)</x:f>
        <x:v>0.09090909090909091</x:v>
      </x:c>
      <x:c r="S2979" s="24" t="n">
        <x:f>IFERROR(F2979/J2979,0)</x:f>
        <x:v>0.5</x:v>
      </x:c>
      <x:c r="T2979" s="28" t="n">
        <x:f>H2979-I2979</x:f>
        <x:v>4</x:v>
      </x:c>
      <x:c r="U2979" s="24" t="n">
        <x:f>IFERROR(J2979/H2979,0)-IFERROR(K2979/I2979,0)</x:f>
        <x:v>-0.10389610389610388</x:v>
      </x:c>
      <x:c r="V2979" s="24" t="n">
        <x:f>IFERROR(F2979/J2979,0)-IFERROR(G2979/K2979,0)</x:f>
        <x:v>0</x:v>
      </x:c>
      <x:c r="W2979" s="28" t="n">
        <x:f>L2979-M2979</x:f>
        <x:v>-2</x:v>
      </x:c>
      <x:c r="X2979" s="24" t="n">
        <x:f>IFERROR(K2979/I2979,0)</x:f>
        <x:v>0.2857142857142857</x:v>
      </x:c>
      <x:c r="Y2979" s="24" t="n">
        <x:f>IFERROR(G2979/I2979,0)</x:f>
        <x:v>0.14285714285714285</x:v>
      </x:c>
      <x:c r="Z2979" s="24" t="n">
        <x:f>IFERROR(G2979/K2979,0)</x:f>
        <x:v>0.5</x:v>
      </x:c>
      <x:c r="AA2979" s="24" t="n">
        <x:f>IFERROR(F2979/H2979,0)-IFERROR(G2979/I2979,0)</x:f>
        <x:v>-0.05194805194805194</x:v>
      </x:c>
      <x:c r="AB2979" s="28" t="n">
        <x:f>J2979-K2979</x:f>
        <x:v>0</x:v>
      </x:c>
      <x:c r="AC2979" s="32" t="n">
        <x:f>F2979-G2979</x:f>
        <x:v>0</x:v>
      </x:c>
    </x:row>
    <x:row r="2980">
      <x:c r="A2980" s="4" t="str">
        <x:v>2024-25</x:v>
      </x:c>
      <x:c r="B2980" s="20" t="n">
        <x:v>45782</x:v>
      </x:c>
      <x:c r="C2980" s="4" t="str">
        <x:v>Crystal Palace</x:v>
      </x:c>
      <x:c r="D2980" s="4" t="str">
        <x:v>Nott'm Forest</x:v>
      </x:c>
      <x:c r="E2980" s="4" t="str">
        <x:v>Home</x:v>
      </x:c>
      <x:c r="F2980" s="28" t="n">
        <x:v>1</x:v>
      </x:c>
      <x:c r="G2980" s="28" t="n">
        <x:v>1</x:v>
      </x:c>
      <x:c r="H2980" s="28" t="n">
        <x:v>20</x:v>
      </x:c>
      <x:c r="I2980" s="28" t="n">
        <x:v>12</x:v>
      </x:c>
      <x:c r="J2980" s="28" t="n">
        <x:v>3</x:v>
      </x:c>
      <x:c r="K2980" s="28" t="n">
        <x:v>4</x:v>
      </x:c>
      <x:c r="L2980" s="28" t="n">
        <x:v>7</x:v>
      </x:c>
      <x:c r="M2980" s="28" t="n">
        <x:v>4</x:v>
      </x:c>
      <x:c r="N2980" s="28" t="n">
        <x:v>3</x:v>
      </x:c>
      <x:c r="O2980" s="28" t="n">
        <x:v>0</x:v>
      </x:c>
      <x:c r="P2980" s="28" t="n">
        <x:v>1</x:v>
      </x:c>
      <x:c r="Q2980" s="24" t="n">
        <x:f>IFERROR(J2980/H2980,0)</x:f>
        <x:v>0.15</x:v>
      </x:c>
      <x:c r="R2980" s="24" t="n">
        <x:f>IFERROR(F2980/H2980,0)</x:f>
        <x:v>0.05</x:v>
      </x:c>
      <x:c r="S2980" s="24" t="n">
        <x:f>IFERROR(F2980/J2980,0)</x:f>
        <x:v>0.3333333333333333</x:v>
      </x:c>
      <x:c r="T2980" s="28" t="n">
        <x:f>H2980-I2980</x:f>
        <x:v>8</x:v>
      </x:c>
      <x:c r="U2980" s="24" t="n">
        <x:f>IFERROR(J2980/H2980,0)-IFERROR(K2980/I2980,0)</x:f>
        <x:v>-0.18333333333333332</x:v>
      </x:c>
      <x:c r="V2980" s="24" t="n">
        <x:f>IFERROR(F2980/J2980,0)-IFERROR(G2980/K2980,0)</x:f>
        <x:v>0.08333333333333331</x:v>
      </x:c>
      <x:c r="W2980" s="28" t="n">
        <x:f>L2980-M2980</x:f>
        <x:v>3</x:v>
      </x:c>
      <x:c r="X2980" s="24" t="n">
        <x:f>IFERROR(K2980/I2980,0)</x:f>
        <x:v>0.3333333333333333</x:v>
      </x:c>
      <x:c r="Y2980" s="24" t="n">
        <x:f>IFERROR(G2980/I2980,0)</x:f>
        <x:v>0.08333333333333333</x:v>
      </x:c>
      <x:c r="Z2980" s="24" t="n">
        <x:f>IFERROR(G2980/K2980,0)</x:f>
        <x:v>0.25</x:v>
      </x:c>
      <x:c r="AA2980" s="24" t="n">
        <x:f>IFERROR(F2980/H2980,0)-IFERROR(G2980/I2980,0)</x:f>
        <x:v>-0.033333333333333326</x:v>
      </x:c>
      <x:c r="AB2980" s="28" t="n">
        <x:f>J2980-K2980</x:f>
        <x:v>-1</x:v>
      </x:c>
      <x:c r="AC2980" s="32" t="n">
        <x:f>F2980-G2980</x:f>
        <x:v>0</x:v>
      </x:c>
    </x:row>
    <x:row r="2981">
      <x:c r="A2981" s="4" t="str">
        <x:v>2024-25</x:v>
      </x:c>
      <x:c r="B2981" s="20" t="n">
        <x:v>45782</x:v>
      </x:c>
      <x:c r="C2981" s="4" t="str">
        <x:v>Nott'm Forest</x:v>
      </x:c>
      <x:c r="D2981" s="4" t="str">
        <x:v>Crystal Palace</x:v>
      </x:c>
      <x:c r="E2981" s="4" t="str">
        <x:v>Away</x:v>
      </x:c>
      <x:c r="F2981" s="28" t="n">
        <x:v>1</x:v>
      </x:c>
      <x:c r="G2981" s="28" t="n">
        <x:v>1</x:v>
      </x:c>
      <x:c r="H2981" s="28" t="n">
        <x:v>12</x:v>
      </x:c>
      <x:c r="I2981" s="28" t="n">
        <x:v>20</x:v>
      </x:c>
      <x:c r="J2981" s="28" t="n">
        <x:v>4</x:v>
      </x:c>
      <x:c r="K2981" s="28" t="n">
        <x:v>3</x:v>
      </x:c>
      <x:c r="L2981" s="28" t="n">
        <x:v>4</x:v>
      </x:c>
      <x:c r="M2981" s="28" t="n">
        <x:v>7</x:v>
      </x:c>
      <x:c r="N2981" s="28" t="n">
        <x:v>8</x:v>
      </x:c>
      <x:c r="O2981" s="28" t="n">
        <x:v>0</x:v>
      </x:c>
      <x:c r="P2981" s="28" t="n">
        <x:v>1</x:v>
      </x:c>
      <x:c r="Q2981" s="24" t="n">
        <x:f>IFERROR(J2981/H2981,0)</x:f>
        <x:v>0.3333333333333333</x:v>
      </x:c>
      <x:c r="R2981" s="24" t="n">
        <x:f>IFERROR(F2981/H2981,0)</x:f>
        <x:v>0.08333333333333333</x:v>
      </x:c>
      <x:c r="S2981" s="24" t="n">
        <x:f>IFERROR(F2981/J2981,0)</x:f>
        <x:v>0.25</x:v>
      </x:c>
      <x:c r="T2981" s="28" t="n">
        <x:f>H2981-I2981</x:f>
        <x:v>-8</x:v>
      </x:c>
      <x:c r="U2981" s="24" t="n">
        <x:f>IFERROR(J2981/H2981,0)-IFERROR(K2981/I2981,0)</x:f>
        <x:v>0.18333333333333332</x:v>
      </x:c>
      <x:c r="V2981" s="24" t="n">
        <x:f>IFERROR(F2981/J2981,0)-IFERROR(G2981/K2981,0)</x:f>
        <x:v>-0.08333333333333331</x:v>
      </x:c>
      <x:c r="W2981" s="28" t="n">
        <x:f>L2981-M2981</x:f>
        <x:v>-3</x:v>
      </x:c>
      <x:c r="X2981" s="24" t="n">
        <x:f>IFERROR(K2981/I2981,0)</x:f>
        <x:v>0.15</x:v>
      </x:c>
      <x:c r="Y2981" s="24" t="n">
        <x:f>IFERROR(G2981/I2981,0)</x:f>
        <x:v>0.05</x:v>
      </x:c>
      <x:c r="Z2981" s="24" t="n">
        <x:f>IFERROR(G2981/K2981,0)</x:f>
        <x:v>0.3333333333333333</x:v>
      </x:c>
      <x:c r="AA2981" s="24" t="n">
        <x:f>IFERROR(F2981/H2981,0)-IFERROR(G2981/I2981,0)</x:f>
        <x:v>0.033333333333333326</x:v>
      </x:c>
      <x:c r="AB2981" s="28" t="n">
        <x:f>J2981-K2981</x:f>
        <x:v>1</x:v>
      </x:c>
      <x:c r="AC2981" s="32" t="n">
        <x:f>F2981-G2981</x:f>
        <x:v>0</x:v>
      </x:c>
    </x:row>
    <x:row r="2982">
      <x:c r="A2982" s="4" t="str">
        <x:v>2024-25</x:v>
      </x:c>
      <x:c r="B2982" s="20" t="n">
        <x:v>45787</x:v>
      </x:c>
      <x:c r="C2982" s="4" t="str">
        <x:v>Aston Villa</x:v>
      </x:c>
      <x:c r="D2982" s="4" t="str">
        <x:v>Bournemouth</x:v>
      </x:c>
      <x:c r="E2982" s="4" t="str">
        <x:v>Away</x:v>
      </x:c>
      <x:c r="F2982" s="28" t="n">
        <x:v>1</x:v>
      </x:c>
      <x:c r="G2982" s="28" t="n">
        <x:v>0</x:v>
      </x:c>
      <x:c r="H2982" s="28" t="n">
        <x:v>6</x:v>
      </x:c>
      <x:c r="I2982" s="28" t="n">
        <x:v>10</x:v>
      </x:c>
      <x:c r="J2982" s="28" t="n">
        <x:v>3</x:v>
      </x:c>
      <x:c r="K2982" s="28" t="n">
        <x:v>4</x:v>
      </x:c>
      <x:c r="L2982" s="28" t="n">
        <x:v>0</x:v>
      </x:c>
      <x:c r="M2982" s="28" t="n">
        <x:v>10</x:v>
      </x:c>
      <x:c r="N2982" s="28" t="n">
        <x:v>3</x:v>
      </x:c>
      <x:c r="O2982" s="28" t="n">
        <x:v>1</x:v>
      </x:c>
      <x:c r="P2982" s="28" t="n">
        <x:v>3</x:v>
      </x:c>
      <x:c r="Q2982" s="24" t="n">
        <x:f>IFERROR(J2982/H2982,0)</x:f>
        <x:v>0.5</x:v>
      </x:c>
      <x:c r="R2982" s="24" t="n">
        <x:f>IFERROR(F2982/H2982,0)</x:f>
        <x:v>0.16666666666666666</x:v>
      </x:c>
      <x:c r="S2982" s="24" t="n">
        <x:f>IFERROR(F2982/J2982,0)</x:f>
        <x:v>0.3333333333333333</x:v>
      </x:c>
      <x:c r="T2982" s="28" t="n">
        <x:f>H2982-I2982</x:f>
        <x:v>-4</x:v>
      </x:c>
      <x:c r="U2982" s="24" t="n">
        <x:f>IFERROR(J2982/H2982,0)-IFERROR(K2982/I2982,0)</x:f>
        <x:v>0.09999999999999998</x:v>
      </x:c>
      <x:c r="V2982" s="24" t="n">
        <x:f>IFERROR(F2982/J2982,0)-IFERROR(G2982/K2982,0)</x:f>
        <x:v>0.3333333333333333</x:v>
      </x:c>
      <x:c r="W2982" s="28" t="n">
        <x:f>L2982-M2982</x:f>
        <x:v>-10</x:v>
      </x:c>
      <x:c r="X2982" s="24" t="n">
        <x:f>IFERROR(K2982/I2982,0)</x:f>
        <x:v>0.4</x:v>
      </x:c>
      <x:c r="Y2982" s="24" t="n">
        <x:f>IFERROR(G2982/I2982,0)</x:f>
        <x:v>0</x:v>
      </x:c>
      <x:c r="Z2982" s="24" t="n">
        <x:f>IFERROR(G2982/K2982,0)</x:f>
        <x:v>0</x:v>
      </x:c>
      <x:c r="AA2982" s="24" t="n">
        <x:f>IFERROR(F2982/H2982,0)-IFERROR(G2982/I2982,0)</x:f>
        <x:v>0.16666666666666666</x:v>
      </x:c>
      <x:c r="AB2982" s="28" t="n">
        <x:f>J2982-K2982</x:f>
        <x:v>-1</x:v>
      </x:c>
      <x:c r="AC2982" s="32" t="n">
        <x:f>F2982-G2982</x:f>
        <x:v>1</x:v>
      </x:c>
    </x:row>
    <x:row r="2983">
      <x:c r="A2983" s="4" t="str">
        <x:v>2024-25</x:v>
      </x:c>
      <x:c r="B2983" s="20" t="n">
        <x:v>45787</x:v>
      </x:c>
      <x:c r="C2983" s="4" t="str">
        <x:v>Bournemouth</x:v>
      </x:c>
      <x:c r="D2983" s="4" t="str">
        <x:v>Aston Villa</x:v>
      </x:c>
      <x:c r="E2983" s="4" t="str">
        <x:v>Home</x:v>
      </x:c>
      <x:c r="F2983" s="28" t="n">
        <x:v>0</x:v>
      </x:c>
      <x:c r="G2983" s="28" t="n">
        <x:v>1</x:v>
      </x:c>
      <x:c r="H2983" s="28" t="n">
        <x:v>10</x:v>
      </x:c>
      <x:c r="I2983" s="28" t="n">
        <x:v>6</x:v>
      </x:c>
      <x:c r="J2983" s="28" t="n">
        <x:v>4</x:v>
      </x:c>
      <x:c r="K2983" s="28" t="n">
        <x:v>3</x:v>
      </x:c>
      <x:c r="L2983" s="28" t="n">
        <x:v>10</x:v>
      </x:c>
      <x:c r="M2983" s="28" t="n">
        <x:v>0</x:v>
      </x:c>
      <x:c r="N2983" s="28" t="n">
        <x:v>4</x:v>
      </x:c>
      <x:c r="O2983" s="28" t="n">
        <x:v>0</x:v>
      </x:c>
      <x:c r="P2983" s="28" t="n">
        <x:v>0</x:v>
      </x:c>
      <x:c r="Q2983" s="24" t="n">
        <x:f>IFERROR(J2983/H2983,0)</x:f>
        <x:v>0.4</x:v>
      </x:c>
      <x:c r="R2983" s="24" t="n">
        <x:f>IFERROR(F2983/H2983,0)</x:f>
        <x:v>0</x:v>
      </x:c>
      <x:c r="S2983" s="24" t="n">
        <x:f>IFERROR(F2983/J2983,0)</x:f>
        <x:v>0</x:v>
      </x:c>
      <x:c r="T2983" s="28" t="n">
        <x:f>H2983-I2983</x:f>
        <x:v>4</x:v>
      </x:c>
      <x:c r="U2983" s="24" t="n">
        <x:f>IFERROR(J2983/H2983,0)-IFERROR(K2983/I2983,0)</x:f>
        <x:v>-0.09999999999999998</x:v>
      </x:c>
      <x:c r="V2983" s="24" t="n">
        <x:f>IFERROR(F2983/J2983,0)-IFERROR(G2983/K2983,0)</x:f>
        <x:v>-0.3333333333333333</x:v>
      </x:c>
      <x:c r="W2983" s="28" t="n">
        <x:f>L2983-M2983</x:f>
        <x:v>10</x:v>
      </x:c>
      <x:c r="X2983" s="24" t="n">
        <x:f>IFERROR(K2983/I2983,0)</x:f>
        <x:v>0.5</x:v>
      </x:c>
      <x:c r="Y2983" s="24" t="n">
        <x:f>IFERROR(G2983/I2983,0)</x:f>
        <x:v>0.16666666666666666</x:v>
      </x:c>
      <x:c r="Z2983" s="24" t="n">
        <x:f>IFERROR(G2983/K2983,0)</x:f>
        <x:v>0.3333333333333333</x:v>
      </x:c>
      <x:c r="AA2983" s="24" t="n">
        <x:f>IFERROR(F2983/H2983,0)-IFERROR(G2983/I2983,0)</x:f>
        <x:v>-0.16666666666666666</x:v>
      </x:c>
      <x:c r="AB2983" s="28" t="n">
        <x:f>J2983-K2983</x:f>
        <x:v>1</x:v>
      </x:c>
      <x:c r="AC2983" s="32" t="n">
        <x:f>F2983-G2983</x:f>
        <x:v>-1</x:v>
      </x:c>
    </x:row>
    <x:row r="2984">
      <x:c r="A2984" s="4" t="str">
        <x:v>2024-25</x:v>
      </x:c>
      <x:c r="B2984" s="20" t="n">
        <x:v>45787</x:v>
      </x:c>
      <x:c r="C2984" s="4" t="str">
        <x:v>Brentford</x:v>
      </x:c>
      <x:c r="D2984" s="4" t="str">
        <x:v>Ipswich</x:v>
      </x:c>
      <x:c r="E2984" s="4" t="str">
        <x:v>Away</x:v>
      </x:c>
      <x:c r="F2984" s="28" t="n">
        <x:v>1</x:v>
      </x:c>
      <x:c r="G2984" s="28" t="n">
        <x:v>0</x:v>
      </x:c>
      <x:c r="H2984" s="28" t="n">
        <x:v>15</x:v>
      </x:c>
      <x:c r="I2984" s="28" t="n">
        <x:v>11</x:v>
      </x:c>
      <x:c r="J2984" s="28" t="n">
        <x:v>5</x:v>
      </x:c>
      <x:c r="K2984" s="28" t="n">
        <x:v>4</x:v>
      </x:c>
      <x:c r="L2984" s="28" t="n">
        <x:v>6</x:v>
      </x:c>
      <x:c r="M2984" s="28" t="n">
        <x:v>5</x:v>
      </x:c>
      <x:c r="N2984" s="28" t="n">
        <x:v>4</x:v>
      </x:c>
      <x:c r="O2984" s="28" t="n">
        <x:v>0</x:v>
      </x:c>
      <x:c r="P2984" s="28" t="n">
        <x:v>3</x:v>
      </x:c>
      <x:c r="Q2984" s="24" t="n">
        <x:f>IFERROR(J2984/H2984,0)</x:f>
        <x:v>0.3333333333333333</x:v>
      </x:c>
      <x:c r="R2984" s="24" t="n">
        <x:f>IFERROR(F2984/H2984,0)</x:f>
        <x:v>0.06666666666666667</x:v>
      </x:c>
      <x:c r="S2984" s="24" t="n">
        <x:f>IFERROR(F2984/J2984,0)</x:f>
        <x:v>0.2</x:v>
      </x:c>
      <x:c r="T2984" s="28" t="n">
        <x:f>H2984-I2984</x:f>
        <x:v>4</x:v>
      </x:c>
      <x:c r="U2984" s="24" t="n">
        <x:f>IFERROR(J2984/H2984,0)-IFERROR(K2984/I2984,0)</x:f>
        <x:v>-0.03030303030303033</x:v>
      </x:c>
      <x:c r="V2984" s="24" t="n">
        <x:f>IFERROR(F2984/J2984,0)-IFERROR(G2984/K2984,0)</x:f>
        <x:v>0.2</x:v>
      </x:c>
      <x:c r="W2984" s="28" t="n">
        <x:f>L2984-M2984</x:f>
        <x:v>1</x:v>
      </x:c>
      <x:c r="X2984" s="24" t="n">
        <x:f>IFERROR(K2984/I2984,0)</x:f>
        <x:v>0.36363636363636365</x:v>
      </x:c>
      <x:c r="Y2984" s="24" t="n">
        <x:f>IFERROR(G2984/I2984,0)</x:f>
        <x:v>0</x:v>
      </x:c>
      <x:c r="Z2984" s="24" t="n">
        <x:f>IFERROR(G2984/K2984,0)</x:f>
        <x:v>0</x:v>
      </x:c>
      <x:c r="AA2984" s="24" t="n">
        <x:f>IFERROR(F2984/H2984,0)-IFERROR(G2984/I2984,0)</x:f>
        <x:v>0.06666666666666667</x:v>
      </x:c>
      <x:c r="AB2984" s="28" t="n">
        <x:f>J2984-K2984</x:f>
        <x:v>1</x:v>
      </x:c>
      <x:c r="AC2984" s="32" t="n">
        <x:f>F2984-G2984</x:f>
        <x:v>1</x:v>
      </x:c>
    </x:row>
    <x:row r="2985">
      <x:c r="A2985" s="4" t="str">
        <x:v>2024-25</x:v>
      </x:c>
      <x:c r="B2985" s="20" t="n">
        <x:v>45787</x:v>
      </x:c>
      <x:c r="C2985" s="4" t="str">
        <x:v>Brighton</x:v>
      </x:c>
      <x:c r="D2985" s="4" t="str">
        <x:v>Wolves</x:v>
      </x:c>
      <x:c r="E2985" s="4" t="str">
        <x:v>Away</x:v>
      </x:c>
      <x:c r="F2985" s="28" t="n">
        <x:v>2</x:v>
      </x:c>
      <x:c r="G2985" s="28" t="n">
        <x:v>0</x:v>
      </x:c>
      <x:c r="H2985" s="28" t="n">
        <x:v>7</x:v>
      </x:c>
      <x:c r="I2985" s="28" t="n">
        <x:v>10</x:v>
      </x:c>
      <x:c r="J2985" s="28" t="n">
        <x:v>2</x:v>
      </x:c>
      <x:c r="K2985" s="28" t="n">
        <x:v>3</x:v>
      </x:c>
      <x:c r="L2985" s="28" t="n">
        <x:v>4</x:v>
      </x:c>
      <x:c r="M2985" s="28" t="n">
        <x:v>7</x:v>
      </x:c>
      <x:c r="N2985" s="28" t="n">
        <x:v>1</x:v>
      </x:c>
      <x:c r="O2985" s="28" t="n">
        <x:v>0</x:v>
      </x:c>
      <x:c r="P2985" s="28" t="n">
        <x:v>3</x:v>
      </x:c>
      <x:c r="Q2985" s="24" t="n">
        <x:f>IFERROR(J2985/H2985,0)</x:f>
        <x:v>0.2857142857142857</x:v>
      </x:c>
      <x:c r="R2985" s="24" t="n">
        <x:f>IFERROR(F2985/H2985,0)</x:f>
        <x:v>0.2857142857142857</x:v>
      </x:c>
      <x:c r="S2985" s="24" t="n">
        <x:f>IFERROR(F2985/J2985,0)</x:f>
        <x:v>1</x:v>
      </x:c>
      <x:c r="T2985" s="28" t="n">
        <x:f>H2985-I2985</x:f>
        <x:v>-3</x:v>
      </x:c>
      <x:c r="U2985" s="24" t="n">
        <x:f>IFERROR(J2985/H2985,0)-IFERROR(K2985/I2985,0)</x:f>
        <x:v>-0.01428571428571429</x:v>
      </x:c>
      <x:c r="V2985" s="24" t="n">
        <x:f>IFERROR(F2985/J2985,0)-IFERROR(G2985/K2985,0)</x:f>
        <x:v>1</x:v>
      </x:c>
      <x:c r="W2985" s="28" t="n">
        <x:f>L2985-M2985</x:f>
        <x:v>-3</x:v>
      </x:c>
      <x:c r="X2985" s="24" t="n">
        <x:f>IFERROR(K2985/I2985,0)</x:f>
        <x:v>0.3</x:v>
      </x:c>
      <x:c r="Y2985" s="24" t="n">
        <x:f>IFERROR(G2985/I2985,0)</x:f>
        <x:v>0</x:v>
      </x:c>
      <x:c r="Z2985" s="24" t="n">
        <x:f>IFERROR(G2985/K2985,0)</x:f>
        <x:v>0</x:v>
      </x:c>
      <x:c r="AA2985" s="24" t="n">
        <x:f>IFERROR(F2985/H2985,0)-IFERROR(G2985/I2985,0)</x:f>
        <x:v>0.2857142857142857</x:v>
      </x:c>
      <x:c r="AB2985" s="28" t="n">
        <x:f>J2985-K2985</x:f>
        <x:v>-1</x:v>
      </x:c>
      <x:c r="AC2985" s="32" t="n">
        <x:f>F2985-G2985</x:f>
        <x:v>2</x:v>
      </x:c>
    </x:row>
    <x:row r="2986">
      <x:c r="A2986" s="4" t="str">
        <x:v>2024-25</x:v>
      </x:c>
      <x:c r="B2986" s="20" t="n">
        <x:v>45787</x:v>
      </x:c>
      <x:c r="C2986" s="4" t="str">
        <x:v>Everton</x:v>
      </x:c>
      <x:c r="D2986" s="4" t="str">
        <x:v>Fulham</x:v>
      </x:c>
      <x:c r="E2986" s="4" t="str">
        <x:v>Away</x:v>
      </x:c>
      <x:c r="F2986" s="28" t="n">
        <x:v>3</x:v>
      </x:c>
      <x:c r="G2986" s="28" t="n">
        <x:v>1</x:v>
      </x:c>
      <x:c r="H2986" s="28" t="n">
        <x:v>11</x:v>
      </x:c>
      <x:c r="I2986" s="28" t="n">
        <x:v>18</x:v>
      </x:c>
      <x:c r="J2986" s="28" t="n">
        <x:v>7</x:v>
      </x:c>
      <x:c r="K2986" s="28" t="n">
        <x:v>6</x:v>
      </x:c>
      <x:c r="L2986" s="28" t="n">
        <x:v>5</x:v>
      </x:c>
      <x:c r="M2986" s="28" t="n">
        <x:v>5</x:v>
      </x:c>
      <x:c r="N2986" s="28" t="n">
        <x:v>0</x:v>
      </x:c>
      <x:c r="O2986" s="28" t="n">
        <x:v>0</x:v>
      </x:c>
      <x:c r="P2986" s="28" t="n">
        <x:v>3</x:v>
      </x:c>
      <x:c r="Q2986" s="24" t="n">
        <x:f>IFERROR(J2986/H2986,0)</x:f>
        <x:v>0.6363636363636364</x:v>
      </x:c>
      <x:c r="R2986" s="24" t="n">
        <x:f>IFERROR(F2986/H2986,0)</x:f>
        <x:v>0.2727272727272727</x:v>
      </x:c>
      <x:c r="S2986" s="24" t="n">
        <x:f>IFERROR(F2986/J2986,0)</x:f>
        <x:v>0.42857142857142855</x:v>
      </x:c>
      <x:c r="T2986" s="28" t="n">
        <x:f>H2986-I2986</x:f>
        <x:v>-7</x:v>
      </x:c>
      <x:c r="U2986" s="24" t="n">
        <x:f>IFERROR(J2986/H2986,0)-IFERROR(K2986/I2986,0)</x:f>
        <x:v>0.30303030303030304</x:v>
      </x:c>
      <x:c r="V2986" s="24" t="n">
        <x:f>IFERROR(F2986/J2986,0)-IFERROR(G2986/K2986,0)</x:f>
        <x:v>0.26190476190476186</x:v>
      </x:c>
      <x:c r="W2986" s="28" t="n">
        <x:f>L2986-M2986</x:f>
        <x:v>0</x:v>
      </x:c>
      <x:c r="X2986" s="24" t="n">
        <x:f>IFERROR(K2986/I2986,0)</x:f>
        <x:v>0.3333333333333333</x:v>
      </x:c>
      <x:c r="Y2986" s="24" t="n">
        <x:f>IFERROR(G2986/I2986,0)</x:f>
        <x:v>0.05555555555555555</x:v>
      </x:c>
      <x:c r="Z2986" s="24" t="n">
        <x:f>IFERROR(G2986/K2986,0)</x:f>
        <x:v>0.16666666666666666</x:v>
      </x:c>
      <x:c r="AA2986" s="24" t="n">
        <x:f>IFERROR(F2986/H2986,0)-IFERROR(G2986/I2986,0)</x:f>
        <x:v>0.21717171717171715</x:v>
      </x:c>
      <x:c r="AB2986" s="28" t="n">
        <x:f>J2986-K2986</x:f>
        <x:v>1</x:v>
      </x:c>
      <x:c r="AC2986" s="32" t="n">
        <x:f>F2986-G2986</x:f>
        <x:v>2</x:v>
      </x:c>
    </x:row>
    <x:row r="2987">
      <x:c r="A2987" s="4" t="str">
        <x:v>2024-25</x:v>
      </x:c>
      <x:c r="B2987" s="20" t="n">
        <x:v>45787</x:v>
      </x:c>
      <x:c r="C2987" s="4" t="str">
        <x:v>Fulham</x:v>
      </x:c>
      <x:c r="D2987" s="4" t="str">
        <x:v>Everton</x:v>
      </x:c>
      <x:c r="E2987" s="4" t="str">
        <x:v>Home</x:v>
      </x:c>
      <x:c r="F2987" s="28" t="n">
        <x:v>1</x:v>
      </x:c>
      <x:c r="G2987" s="28" t="n">
        <x:v>3</x:v>
      </x:c>
      <x:c r="H2987" s="28" t="n">
        <x:v>18</x:v>
      </x:c>
      <x:c r="I2987" s="28" t="n">
        <x:v>11</x:v>
      </x:c>
      <x:c r="J2987" s="28" t="n">
        <x:v>6</x:v>
      </x:c>
      <x:c r="K2987" s="28" t="n">
        <x:v>7</x:v>
      </x:c>
      <x:c r="L2987" s="28" t="n">
        <x:v>5</x:v>
      </x:c>
      <x:c r="M2987" s="28" t="n">
        <x:v>5</x:v>
      </x:c>
      <x:c r="N2987" s="28" t="n">
        <x:v>1</x:v>
      </x:c>
      <x:c r="O2987" s="28" t="n">
        <x:v>0</x:v>
      </x:c>
      <x:c r="P2987" s="28" t="n">
        <x:v>0</x:v>
      </x:c>
      <x:c r="Q2987" s="24" t="n">
        <x:f>IFERROR(J2987/H2987,0)</x:f>
        <x:v>0.3333333333333333</x:v>
      </x:c>
      <x:c r="R2987" s="24" t="n">
        <x:f>IFERROR(F2987/H2987,0)</x:f>
        <x:v>0.05555555555555555</x:v>
      </x:c>
      <x:c r="S2987" s="24" t="n">
        <x:f>IFERROR(F2987/J2987,0)</x:f>
        <x:v>0.16666666666666666</x:v>
      </x:c>
      <x:c r="T2987" s="28" t="n">
        <x:f>H2987-I2987</x:f>
        <x:v>7</x:v>
      </x:c>
      <x:c r="U2987" s="24" t="n">
        <x:f>IFERROR(J2987/H2987,0)-IFERROR(K2987/I2987,0)</x:f>
        <x:v>-0.30303030303030304</x:v>
      </x:c>
      <x:c r="V2987" s="24" t="n">
        <x:f>IFERROR(F2987/J2987,0)-IFERROR(G2987/K2987,0)</x:f>
        <x:v>-0.26190476190476186</x:v>
      </x:c>
      <x:c r="W2987" s="28" t="n">
        <x:f>L2987-M2987</x:f>
        <x:v>0</x:v>
      </x:c>
      <x:c r="X2987" s="24" t="n">
        <x:f>IFERROR(K2987/I2987,0)</x:f>
        <x:v>0.6363636363636364</x:v>
      </x:c>
      <x:c r="Y2987" s="24" t="n">
        <x:f>IFERROR(G2987/I2987,0)</x:f>
        <x:v>0.2727272727272727</x:v>
      </x:c>
      <x:c r="Z2987" s="24" t="n">
        <x:f>IFERROR(G2987/K2987,0)</x:f>
        <x:v>0.42857142857142855</x:v>
      </x:c>
      <x:c r="AA2987" s="24" t="n">
        <x:f>IFERROR(F2987/H2987,0)-IFERROR(G2987/I2987,0)</x:f>
        <x:v>-0.21717171717171715</x:v>
      </x:c>
      <x:c r="AB2987" s="28" t="n">
        <x:f>J2987-K2987</x:f>
        <x:v>-1</x:v>
      </x:c>
      <x:c r="AC2987" s="32" t="n">
        <x:f>F2987-G2987</x:f>
        <x:v>-2</x:v>
      </x:c>
    </x:row>
    <x:row r="2988">
      <x:c r="A2988" s="4" t="str">
        <x:v>2024-25</x:v>
      </x:c>
      <x:c r="B2988" s="20" t="n">
        <x:v>45787</x:v>
      </x:c>
      <x:c r="C2988" s="4" t="str">
        <x:v>Ipswich</x:v>
      </x:c>
      <x:c r="D2988" s="4" t="str">
        <x:v>Brentford</x:v>
      </x:c>
      <x:c r="E2988" s="4" t="str">
        <x:v>Home</x:v>
      </x:c>
      <x:c r="F2988" s="28" t="n">
        <x:v>0</x:v>
      </x:c>
      <x:c r="G2988" s="28" t="n">
        <x:v>1</x:v>
      </x:c>
      <x:c r="H2988" s="28" t="n">
        <x:v>11</x:v>
      </x:c>
      <x:c r="I2988" s="28" t="n">
        <x:v>15</x:v>
      </x:c>
      <x:c r="J2988" s="28" t="n">
        <x:v>4</x:v>
      </x:c>
      <x:c r="K2988" s="28" t="n">
        <x:v>5</x:v>
      </x:c>
      <x:c r="L2988" s="28" t="n">
        <x:v>5</x:v>
      </x:c>
      <x:c r="M2988" s="28" t="n">
        <x:v>6</x:v>
      </x:c>
      <x:c r="N2988" s="28" t="n">
        <x:v>2</x:v>
      </x:c>
      <x:c r="O2988" s="28" t="n">
        <x:v>0</x:v>
      </x:c>
      <x:c r="P2988" s="28" t="n">
        <x:v>0</x:v>
      </x:c>
      <x:c r="Q2988" s="24" t="n">
        <x:f>IFERROR(J2988/H2988,0)</x:f>
        <x:v>0.36363636363636365</x:v>
      </x:c>
      <x:c r="R2988" s="24" t="n">
        <x:f>IFERROR(F2988/H2988,0)</x:f>
        <x:v>0</x:v>
      </x:c>
      <x:c r="S2988" s="24" t="n">
        <x:f>IFERROR(F2988/J2988,0)</x:f>
        <x:v>0</x:v>
      </x:c>
      <x:c r="T2988" s="28" t="n">
        <x:f>H2988-I2988</x:f>
        <x:v>-4</x:v>
      </x:c>
      <x:c r="U2988" s="24" t="n">
        <x:f>IFERROR(J2988/H2988,0)-IFERROR(K2988/I2988,0)</x:f>
        <x:v>0.03030303030303033</x:v>
      </x:c>
      <x:c r="V2988" s="24" t="n">
        <x:f>IFERROR(F2988/J2988,0)-IFERROR(G2988/K2988,0)</x:f>
        <x:v>-0.2</x:v>
      </x:c>
      <x:c r="W2988" s="28" t="n">
        <x:f>L2988-M2988</x:f>
        <x:v>-1</x:v>
      </x:c>
      <x:c r="X2988" s="24" t="n">
        <x:f>IFERROR(K2988/I2988,0)</x:f>
        <x:v>0.3333333333333333</x:v>
      </x:c>
      <x:c r="Y2988" s="24" t="n">
        <x:f>IFERROR(G2988/I2988,0)</x:f>
        <x:v>0.06666666666666667</x:v>
      </x:c>
      <x:c r="Z2988" s="24" t="n">
        <x:f>IFERROR(G2988/K2988,0)</x:f>
        <x:v>0.2</x:v>
      </x:c>
      <x:c r="AA2988" s="24" t="n">
        <x:f>IFERROR(F2988/H2988,0)-IFERROR(G2988/I2988,0)</x:f>
        <x:v>-0.06666666666666667</x:v>
      </x:c>
      <x:c r="AB2988" s="28" t="n">
        <x:f>J2988-K2988</x:f>
        <x:v>-1</x:v>
      </x:c>
      <x:c r="AC2988" s="32" t="n">
        <x:f>F2988-G2988</x:f>
        <x:v>-1</x:v>
      </x:c>
    </x:row>
    <x:row r="2989">
      <x:c r="A2989" s="4" t="str">
        <x:v>2024-25</x:v>
      </x:c>
      <x:c r="B2989" s="20" t="n">
        <x:v>45787</x:v>
      </x:c>
      <x:c r="C2989" s="4" t="str">
        <x:v>Man City</x:v>
      </x:c>
      <x:c r="D2989" s="4" t="str">
        <x:v>Southampton</x:v>
      </x:c>
      <x:c r="E2989" s="4" t="str">
        <x:v>Away</x:v>
      </x:c>
      <x:c r="F2989" s="28" t="n">
        <x:v>0</x:v>
      </x:c>
      <x:c r="G2989" s="28" t="n">
        <x:v>0</x:v>
      </x:c>
      <x:c r="H2989" s="28" t="n">
        <x:v>26</x:v>
      </x:c>
      <x:c r="I2989" s="28" t="n">
        <x:v>2</x:v>
      </x:c>
      <x:c r="J2989" s="28" t="n">
        <x:v>5</x:v>
      </x:c>
      <x:c r="K2989" s="28" t="n">
        <x:v>0</x:v>
      </x:c>
      <x:c r="L2989" s="28" t="n">
        <x:v>15</x:v>
      </x:c>
      <x:c r="M2989" s="28" t="n">
        <x:v>1</x:v>
      </x:c>
      <x:c r="N2989" s="28" t="n">
        <x:v>0</x:v>
      </x:c>
      <x:c r="O2989" s="28" t="n">
        <x:v>0</x:v>
      </x:c>
      <x:c r="P2989" s="28" t="n">
        <x:v>1</x:v>
      </x:c>
      <x:c r="Q2989" s="24" t="n">
        <x:f>IFERROR(J2989/H2989,0)</x:f>
        <x:v>0.19230769230769232</x:v>
      </x:c>
      <x:c r="R2989" s="24" t="n">
        <x:f>IFERROR(F2989/H2989,0)</x:f>
        <x:v>0</x:v>
      </x:c>
      <x:c r="S2989" s="24" t="n">
        <x:f>IFERROR(F2989/J2989,0)</x:f>
        <x:v>0</x:v>
      </x:c>
      <x:c r="T2989" s="28" t="n">
        <x:f>H2989-I2989</x:f>
        <x:v>24</x:v>
      </x:c>
      <x:c r="U2989" s="24" t="n">
        <x:f>IFERROR(J2989/H2989,0)-IFERROR(K2989/I2989,0)</x:f>
        <x:v>0.19230769230769232</x:v>
      </x:c>
      <x:c r="V2989" s="24" t="n">
        <x:f>IFERROR(F2989/J2989,0)-IFERROR(G2989/K2989,0)</x:f>
        <x:v>0</x:v>
      </x:c>
      <x:c r="W2989" s="28" t="n">
        <x:f>L2989-M2989</x:f>
        <x:v>14</x:v>
      </x:c>
      <x:c r="X2989" s="24" t="n">
        <x:f>IFERROR(K2989/I2989,0)</x:f>
        <x:v>0</x:v>
      </x:c>
      <x:c r="Y2989" s="24" t="n">
        <x:f>IFERROR(G2989/I2989,0)</x:f>
        <x:v>0</x:v>
      </x:c>
      <x:c r="Z2989" s="24" t="n">
        <x:f>IFERROR(G2989/K2989,0)</x:f>
        <x:v>0</x:v>
      </x:c>
      <x:c r="AA2989" s="24" t="n">
        <x:f>IFERROR(F2989/H2989,0)-IFERROR(G2989/I2989,0)</x:f>
        <x:v>0</x:v>
      </x:c>
      <x:c r="AB2989" s="28" t="n">
        <x:f>J2989-K2989</x:f>
        <x:v>5</x:v>
      </x:c>
      <x:c r="AC2989" s="32" t="n">
        <x:f>F2989-G2989</x:f>
        <x:v>0</x:v>
      </x:c>
    </x:row>
    <x:row r="2990">
      <x:c r="A2990" s="4" t="str">
        <x:v>2024-25</x:v>
      </x:c>
      <x:c r="B2990" s="20" t="n">
        <x:v>45787</x:v>
      </x:c>
      <x:c r="C2990" s="4" t="str">
        <x:v>Southampton</x:v>
      </x:c>
      <x:c r="D2990" s="4" t="str">
        <x:v>Man City</x:v>
      </x:c>
      <x:c r="E2990" s="4" t="str">
        <x:v>Home</x:v>
      </x:c>
      <x:c r="F2990" s="28" t="n">
        <x:v>0</x:v>
      </x:c>
      <x:c r="G2990" s="28" t="n">
        <x:v>0</x:v>
      </x:c>
      <x:c r="H2990" s="28" t="n">
        <x:v>2</x:v>
      </x:c>
      <x:c r="I2990" s="28" t="n">
        <x:v>26</x:v>
      </x:c>
      <x:c r="J2990" s="28" t="n">
        <x:v>0</x:v>
      </x:c>
      <x:c r="K2990" s="28" t="n">
        <x:v>5</x:v>
      </x:c>
      <x:c r="L2990" s="28" t="n">
        <x:v>1</x:v>
      </x:c>
      <x:c r="M2990" s="28" t="n">
        <x:v>15</x:v>
      </x:c>
      <x:c r="N2990" s="28" t="n">
        <x:v>2</x:v>
      </x:c>
      <x:c r="O2990" s="28" t="n">
        <x:v>0</x:v>
      </x:c>
      <x:c r="P2990" s="28" t="n">
        <x:v>1</x:v>
      </x:c>
      <x:c r="Q2990" s="24" t="n">
        <x:f>IFERROR(J2990/H2990,0)</x:f>
        <x:v>0</x:v>
      </x:c>
      <x:c r="R2990" s="24" t="n">
        <x:f>IFERROR(F2990/H2990,0)</x:f>
        <x:v>0</x:v>
      </x:c>
      <x:c r="S2990" s="24" t="n">
        <x:f>IFERROR(F2990/J2990,0)</x:f>
        <x:v>0</x:v>
      </x:c>
      <x:c r="T2990" s="28" t="n">
        <x:f>H2990-I2990</x:f>
        <x:v>-24</x:v>
      </x:c>
      <x:c r="U2990" s="24" t="n">
        <x:f>IFERROR(J2990/H2990,0)-IFERROR(K2990/I2990,0)</x:f>
        <x:v>-0.19230769230769232</x:v>
      </x:c>
      <x:c r="V2990" s="24" t="n">
        <x:f>IFERROR(F2990/J2990,0)-IFERROR(G2990/K2990,0)</x:f>
        <x:v>0</x:v>
      </x:c>
      <x:c r="W2990" s="28" t="n">
        <x:f>L2990-M2990</x:f>
        <x:v>-14</x:v>
      </x:c>
      <x:c r="X2990" s="24" t="n">
        <x:f>IFERROR(K2990/I2990,0)</x:f>
        <x:v>0.19230769230769232</x:v>
      </x:c>
      <x:c r="Y2990" s="24" t="n">
        <x:f>IFERROR(G2990/I2990,0)</x:f>
        <x:v>0</x:v>
      </x:c>
      <x:c r="Z2990" s="24" t="n">
        <x:f>IFERROR(G2990/K2990,0)</x:f>
        <x:v>0</x:v>
      </x:c>
      <x:c r="AA2990" s="24" t="n">
        <x:f>IFERROR(F2990/H2990,0)-IFERROR(G2990/I2990,0)</x:f>
        <x:v>0</x:v>
      </x:c>
      <x:c r="AB2990" s="28" t="n">
        <x:f>J2990-K2990</x:f>
        <x:v>-5</x:v>
      </x:c>
      <x:c r="AC2990" s="32" t="n">
        <x:f>F2990-G2990</x:f>
        <x:v>0</x:v>
      </x:c>
    </x:row>
    <x:row r="2991">
      <x:c r="A2991" s="4" t="str">
        <x:v>2024-25</x:v>
      </x:c>
      <x:c r="B2991" s="20" t="n">
        <x:v>45787</x:v>
      </x:c>
      <x:c r="C2991" s="4" t="str">
        <x:v>Wolves</x:v>
      </x:c>
      <x:c r="D2991" s="4" t="str">
        <x:v>Brighton</x:v>
      </x:c>
      <x:c r="E2991" s="4" t="str">
        <x:v>Home</x:v>
      </x:c>
      <x:c r="F2991" s="28" t="n">
        <x:v>0</x:v>
      </x:c>
      <x:c r="G2991" s="28" t="n">
        <x:v>2</x:v>
      </x:c>
      <x:c r="H2991" s="28" t="n">
        <x:v>10</x:v>
      </x:c>
      <x:c r="I2991" s="28" t="n">
        <x:v>7</x:v>
      </x:c>
      <x:c r="J2991" s="28" t="n">
        <x:v>3</x:v>
      </x:c>
      <x:c r="K2991" s="28" t="n">
        <x:v>2</x:v>
      </x:c>
      <x:c r="L2991" s="28" t="n">
        <x:v>7</x:v>
      </x:c>
      <x:c r="M2991" s="28" t="n">
        <x:v>4</x:v>
      </x:c>
      <x:c r="N2991" s="28" t="n">
        <x:v>1</x:v>
      </x:c>
      <x:c r="O2991" s="28" t="n">
        <x:v>0</x:v>
      </x:c>
      <x:c r="P2991" s="28" t="n">
        <x:v>0</x:v>
      </x:c>
      <x:c r="Q2991" s="24" t="n">
        <x:f>IFERROR(J2991/H2991,0)</x:f>
        <x:v>0.3</x:v>
      </x:c>
      <x:c r="R2991" s="24" t="n">
        <x:f>IFERROR(F2991/H2991,0)</x:f>
        <x:v>0</x:v>
      </x:c>
      <x:c r="S2991" s="24" t="n">
        <x:f>IFERROR(F2991/J2991,0)</x:f>
        <x:v>0</x:v>
      </x:c>
      <x:c r="T2991" s="28" t="n">
        <x:f>H2991-I2991</x:f>
        <x:v>3</x:v>
      </x:c>
      <x:c r="U2991" s="24" t="n">
        <x:f>IFERROR(J2991/H2991,0)-IFERROR(K2991/I2991,0)</x:f>
        <x:v>0.01428571428571429</x:v>
      </x:c>
      <x:c r="V2991" s="24" t="n">
        <x:f>IFERROR(F2991/J2991,0)-IFERROR(G2991/K2991,0)</x:f>
        <x:v>-1</x:v>
      </x:c>
      <x:c r="W2991" s="28" t="n">
        <x:f>L2991-M2991</x:f>
        <x:v>3</x:v>
      </x:c>
      <x:c r="X2991" s="24" t="n">
        <x:f>IFERROR(K2991/I2991,0)</x:f>
        <x:v>0.2857142857142857</x:v>
      </x:c>
      <x:c r="Y2991" s="24" t="n">
        <x:f>IFERROR(G2991/I2991,0)</x:f>
        <x:v>0.2857142857142857</x:v>
      </x:c>
      <x:c r="Z2991" s="24" t="n">
        <x:f>IFERROR(G2991/K2991,0)</x:f>
        <x:v>1</x:v>
      </x:c>
      <x:c r="AA2991" s="24" t="n">
        <x:f>IFERROR(F2991/H2991,0)-IFERROR(G2991/I2991,0)</x:f>
        <x:v>-0.2857142857142857</x:v>
      </x:c>
      <x:c r="AB2991" s="28" t="n">
        <x:f>J2991-K2991</x:f>
        <x:v>1</x:v>
      </x:c>
      <x:c r="AC2991" s="32" t="n">
        <x:f>F2991-G2991</x:f>
        <x:v>-2</x:v>
      </x:c>
    </x:row>
    <x:row r="2992">
      <x:c r="A2992" s="4" t="str">
        <x:v>2024-25</x:v>
      </x:c>
      <x:c r="B2992" s="20" t="n">
        <x:v>45788</x:v>
      </x:c>
      <x:c r="C2992" s="4" t="str">
        <x:v>Arsenal</x:v>
      </x:c>
      <x:c r="D2992" s="4" t="str">
        <x:v>Liverpool</x:v>
      </x:c>
      <x:c r="E2992" s="4" t="str">
        <x:v>Away</x:v>
      </x:c>
      <x:c r="F2992" s="28" t="n">
        <x:v>2</x:v>
      </x:c>
      <x:c r="G2992" s="28" t="n">
        <x:v>2</x:v>
      </x:c>
      <x:c r="H2992" s="28" t="n">
        <x:v>15</x:v>
      </x:c>
      <x:c r="I2992" s="28" t="n">
        <x:v>14</x:v>
      </x:c>
      <x:c r="J2992" s="28" t="n">
        <x:v>7</x:v>
      </x:c>
      <x:c r="K2992" s="28" t="n">
        <x:v>5</x:v>
      </x:c>
      <x:c r="L2992" s="28" t="n">
        <x:v>1</x:v>
      </x:c>
      <x:c r="M2992" s="28" t="n">
        <x:v>3</x:v>
      </x:c>
      <x:c r="N2992" s="28" t="n">
        <x:v>1</x:v>
      </x:c>
      <x:c r="O2992" s="28" t="n">
        <x:v>1</x:v>
      </x:c>
      <x:c r="P2992" s="28" t="n">
        <x:v>1</x:v>
      </x:c>
      <x:c r="Q2992" s="24" t="n">
        <x:f>IFERROR(J2992/H2992,0)</x:f>
        <x:v>0.4666666666666667</x:v>
      </x:c>
      <x:c r="R2992" s="24" t="n">
        <x:f>IFERROR(F2992/H2992,0)</x:f>
        <x:v>0.13333333333333333</x:v>
      </x:c>
      <x:c r="S2992" s="24" t="n">
        <x:f>IFERROR(F2992/J2992,0)</x:f>
        <x:v>0.2857142857142857</x:v>
      </x:c>
      <x:c r="T2992" s="28" t="n">
        <x:f>H2992-I2992</x:f>
        <x:v>1</x:v>
      </x:c>
      <x:c r="U2992" s="24" t="n">
        <x:f>IFERROR(J2992/H2992,0)-IFERROR(K2992/I2992,0)</x:f>
        <x:v>0.10952380952380952</x:v>
      </x:c>
      <x:c r="V2992" s="24" t="n">
        <x:f>IFERROR(F2992/J2992,0)-IFERROR(G2992/K2992,0)</x:f>
        <x:v>-0.11428571428571432</x:v>
      </x:c>
      <x:c r="W2992" s="28" t="n">
        <x:f>L2992-M2992</x:f>
        <x:v>-2</x:v>
      </x:c>
      <x:c r="X2992" s="24" t="n">
        <x:f>IFERROR(K2992/I2992,0)</x:f>
        <x:v>0.35714285714285715</x:v>
      </x:c>
      <x:c r="Y2992" s="24" t="n">
        <x:f>IFERROR(G2992/I2992,0)</x:f>
        <x:v>0.14285714285714285</x:v>
      </x:c>
      <x:c r="Z2992" s="24" t="n">
        <x:f>IFERROR(G2992/K2992,0)</x:f>
        <x:v>0.4</x:v>
      </x:c>
      <x:c r="AA2992" s="24" t="n">
        <x:f>IFERROR(F2992/H2992,0)-IFERROR(G2992/I2992,0)</x:f>
        <x:v>-0.009523809523809518</x:v>
      </x:c>
      <x:c r="AB2992" s="28" t="n">
        <x:f>J2992-K2992</x:f>
        <x:v>2</x:v>
      </x:c>
      <x:c r="AC2992" s="32" t="n">
        <x:f>F2992-G2992</x:f>
        <x:v>0</x:v>
      </x:c>
    </x:row>
    <x:row r="2993">
      <x:c r="A2993" s="4" t="str">
        <x:v>2024-25</x:v>
      </x:c>
      <x:c r="B2993" s="20" t="n">
        <x:v>45788</x:v>
      </x:c>
      <x:c r="C2993" s="4" t="str">
        <x:v>Chelsea</x:v>
      </x:c>
      <x:c r="D2993" s="4" t="str">
        <x:v>Newcastle</x:v>
      </x:c>
      <x:c r="E2993" s="4" t="str">
        <x:v>Away</x:v>
      </x:c>
      <x:c r="F2993" s="28" t="n">
        <x:v>0</x:v>
      </x:c>
      <x:c r="G2993" s="28" t="n">
        <x:v>2</x:v>
      </x:c>
      <x:c r="H2993" s="28" t="n">
        <x:v>10</x:v>
      </x:c>
      <x:c r="I2993" s="28" t="n">
        <x:v>15</x:v>
      </x:c>
      <x:c r="J2993" s="28" t="n">
        <x:v>3</x:v>
      </x:c>
      <x:c r="K2993" s="28" t="n">
        <x:v>6</x:v>
      </x:c>
      <x:c r="L2993" s="28" t="n">
        <x:v>8</x:v>
      </x:c>
      <x:c r="M2993" s="28" t="n">
        <x:v>2</x:v>
      </x:c>
      <x:c r="N2993" s="28" t="n">
        <x:v>2</x:v>
      </x:c>
      <x:c r="O2993" s="28" t="n">
        <x:v>1</x:v>
      </x:c>
      <x:c r="P2993" s="28" t="n">
        <x:v>0</x:v>
      </x:c>
      <x:c r="Q2993" s="24" t="n">
        <x:f>IFERROR(J2993/H2993,0)</x:f>
        <x:v>0.3</x:v>
      </x:c>
      <x:c r="R2993" s="24" t="n">
        <x:f>IFERROR(F2993/H2993,0)</x:f>
        <x:v>0</x:v>
      </x:c>
      <x:c r="S2993" s="24" t="n">
        <x:f>IFERROR(F2993/J2993,0)</x:f>
        <x:v>0</x:v>
      </x:c>
      <x:c r="T2993" s="28" t="n">
        <x:f>H2993-I2993</x:f>
        <x:v>-5</x:v>
      </x:c>
      <x:c r="U2993" s="24" t="n">
        <x:f>IFERROR(J2993/H2993,0)-IFERROR(K2993/I2993,0)</x:f>
        <x:v>-0.10000000000000003</x:v>
      </x:c>
      <x:c r="V2993" s="24" t="n">
        <x:f>IFERROR(F2993/J2993,0)-IFERROR(G2993/K2993,0)</x:f>
        <x:v>-0.3333333333333333</x:v>
      </x:c>
      <x:c r="W2993" s="28" t="n">
        <x:f>L2993-M2993</x:f>
        <x:v>6</x:v>
      </x:c>
      <x:c r="X2993" s="24" t="n">
        <x:f>IFERROR(K2993/I2993,0)</x:f>
        <x:v>0.4</x:v>
      </x:c>
      <x:c r="Y2993" s="24" t="n">
        <x:f>IFERROR(G2993/I2993,0)</x:f>
        <x:v>0.13333333333333333</x:v>
      </x:c>
      <x:c r="Z2993" s="24" t="n">
        <x:f>IFERROR(G2993/K2993,0)</x:f>
        <x:v>0.3333333333333333</x:v>
      </x:c>
      <x:c r="AA2993" s="24" t="n">
        <x:f>IFERROR(F2993/H2993,0)-IFERROR(G2993/I2993,0)</x:f>
        <x:v>-0.13333333333333333</x:v>
      </x:c>
      <x:c r="AB2993" s="28" t="n">
        <x:f>J2993-K2993</x:f>
        <x:v>-3</x:v>
      </x:c>
      <x:c r="AC2993" s="32" t="n">
        <x:f>F2993-G2993</x:f>
        <x:v>-2</x:v>
      </x:c>
    </x:row>
    <x:row r="2994">
      <x:c r="A2994" s="4" t="str">
        <x:v>2024-25</x:v>
      </x:c>
      <x:c r="B2994" s="20" t="n">
        <x:v>45788</x:v>
      </x:c>
      <x:c r="C2994" s="4" t="str">
        <x:v>Crystal Palace</x:v>
      </x:c>
      <x:c r="D2994" s="4" t="str">
        <x:v>Tottenham</x:v>
      </x:c>
      <x:c r="E2994" s="4" t="str">
        <x:v>Away</x:v>
      </x:c>
      <x:c r="F2994" s="28" t="n">
        <x:v>2</x:v>
      </x:c>
      <x:c r="G2994" s="28" t="n">
        <x:v>0</x:v>
      </x:c>
      <x:c r="H2994" s="28" t="n">
        <x:v>23</x:v>
      </x:c>
      <x:c r="I2994" s="28" t="n">
        <x:v>8</x:v>
      </x:c>
      <x:c r="J2994" s="28" t="n">
        <x:v>10</x:v>
      </x:c>
      <x:c r="K2994" s="28" t="n">
        <x:v>1</x:v>
      </x:c>
      <x:c r="L2994" s="28" t="n">
        <x:v>8</x:v>
      </x:c>
      <x:c r="M2994" s="28" t="n">
        <x:v>4</x:v>
      </x:c>
      <x:c r="N2994" s="28" t="n">
        <x:v>1</x:v>
      </x:c>
      <x:c r="O2994" s="28" t="n">
        <x:v>0</x:v>
      </x:c>
      <x:c r="P2994" s="28" t="n">
        <x:v>3</x:v>
      </x:c>
      <x:c r="Q2994" s="24" t="n">
        <x:f>IFERROR(J2994/H2994,0)</x:f>
        <x:v>0.43478260869565216</x:v>
      </x:c>
      <x:c r="R2994" s="24" t="n">
        <x:f>IFERROR(F2994/H2994,0)</x:f>
        <x:v>0.08695652173913043</x:v>
      </x:c>
      <x:c r="S2994" s="24" t="n">
        <x:f>IFERROR(F2994/J2994,0)</x:f>
        <x:v>0.2</x:v>
      </x:c>
      <x:c r="T2994" s="28" t="n">
        <x:f>H2994-I2994</x:f>
        <x:v>15</x:v>
      </x:c>
      <x:c r="U2994" s="24" t="n">
        <x:f>IFERROR(J2994/H2994,0)-IFERROR(K2994/I2994,0)</x:f>
        <x:v>0.30978260869565216</x:v>
      </x:c>
      <x:c r="V2994" s="24" t="n">
        <x:f>IFERROR(F2994/J2994,0)-IFERROR(G2994/K2994,0)</x:f>
        <x:v>0.2</x:v>
      </x:c>
      <x:c r="W2994" s="28" t="n">
        <x:f>L2994-M2994</x:f>
        <x:v>4</x:v>
      </x:c>
      <x:c r="X2994" s="24" t="n">
        <x:f>IFERROR(K2994/I2994,0)</x:f>
        <x:v>0.125</x:v>
      </x:c>
      <x:c r="Y2994" s="24" t="n">
        <x:f>IFERROR(G2994/I2994,0)</x:f>
        <x:v>0</x:v>
      </x:c>
      <x:c r="Z2994" s="24" t="n">
        <x:f>IFERROR(G2994/K2994,0)</x:f>
        <x:v>0</x:v>
      </x:c>
      <x:c r="AA2994" s="24" t="n">
        <x:f>IFERROR(F2994/H2994,0)-IFERROR(G2994/I2994,0)</x:f>
        <x:v>0.08695652173913043</x:v>
      </x:c>
      <x:c r="AB2994" s="28" t="n">
        <x:f>J2994-K2994</x:f>
        <x:v>9</x:v>
      </x:c>
      <x:c r="AC2994" s="32" t="n">
        <x:f>F2994-G2994</x:f>
        <x:v>2</x:v>
      </x:c>
    </x:row>
    <x:row r="2995">
      <x:c r="A2995" s="4" t="str">
        <x:v>2024-25</x:v>
      </x:c>
      <x:c r="B2995" s="20" t="n">
        <x:v>45788</x:v>
      </x:c>
      <x:c r="C2995" s="4" t="str">
        <x:v>Leicester</x:v>
      </x:c>
      <x:c r="D2995" s="4" t="str">
        <x:v>Nott'm Forest</x:v>
      </x:c>
      <x:c r="E2995" s="4" t="str">
        <x:v>Away</x:v>
      </x:c>
      <x:c r="F2995" s="28" t="n">
        <x:v>2</x:v>
      </x:c>
      <x:c r="G2995" s="28" t="n">
        <x:v>2</x:v>
      </x:c>
      <x:c r="H2995" s="28" t="n">
        <x:v>10</x:v>
      </x:c>
      <x:c r="I2995" s="28" t="n">
        <x:v>15</x:v>
      </x:c>
      <x:c r="J2995" s="28" t="n">
        <x:v>6</x:v>
      </x:c>
      <x:c r="K2995" s="28" t="n">
        <x:v>4</x:v>
      </x:c>
      <x:c r="L2995" s="28" t="n">
        <x:v>4</x:v>
      </x:c>
      <x:c r="M2995" s="28" t="n">
        <x:v>4</x:v>
      </x:c>
      <x:c r="N2995" s="28" t="n">
        <x:v>3</x:v>
      </x:c>
      <x:c r="O2995" s="28" t="n">
        <x:v>0</x:v>
      </x:c>
      <x:c r="P2995" s="28" t="n">
        <x:v>1</x:v>
      </x:c>
      <x:c r="Q2995" s="24" t="n">
        <x:f>IFERROR(J2995/H2995,0)</x:f>
        <x:v>0.6</x:v>
      </x:c>
      <x:c r="R2995" s="24" t="n">
        <x:f>IFERROR(F2995/H2995,0)</x:f>
        <x:v>0.2</x:v>
      </x:c>
      <x:c r="S2995" s="24" t="n">
        <x:f>IFERROR(F2995/J2995,0)</x:f>
        <x:v>0.3333333333333333</x:v>
      </x:c>
      <x:c r="T2995" s="28" t="n">
        <x:f>H2995-I2995</x:f>
        <x:v>-5</x:v>
      </x:c>
      <x:c r="U2995" s="24" t="n">
        <x:f>IFERROR(J2995/H2995,0)-IFERROR(K2995/I2995,0)</x:f>
        <x:v>0.3333333333333333</x:v>
      </x:c>
      <x:c r="V2995" s="24" t="n">
        <x:f>IFERROR(F2995/J2995,0)-IFERROR(G2995/K2995,0)</x:f>
        <x:v>-0.16666666666666669</x:v>
      </x:c>
      <x:c r="W2995" s="28" t="n">
        <x:f>L2995-M2995</x:f>
        <x:v>0</x:v>
      </x:c>
      <x:c r="X2995" s="24" t="n">
        <x:f>IFERROR(K2995/I2995,0)</x:f>
        <x:v>0.26666666666666666</x:v>
      </x:c>
      <x:c r="Y2995" s="24" t="n">
        <x:f>IFERROR(G2995/I2995,0)</x:f>
        <x:v>0.13333333333333333</x:v>
      </x:c>
      <x:c r="Z2995" s="24" t="n">
        <x:f>IFERROR(G2995/K2995,0)</x:f>
        <x:v>0.5</x:v>
      </x:c>
      <x:c r="AA2995" s="24" t="n">
        <x:f>IFERROR(F2995/H2995,0)-IFERROR(G2995/I2995,0)</x:f>
        <x:v>0.06666666666666668</x:v>
      </x:c>
      <x:c r="AB2995" s="28" t="n">
        <x:f>J2995-K2995</x:f>
        <x:v>2</x:v>
      </x:c>
      <x:c r="AC2995" s="32" t="n">
        <x:f>F2995-G2995</x:f>
        <x:v>0</x:v>
      </x:c>
    </x:row>
    <x:row r="2996">
      <x:c r="A2996" s="4" t="str">
        <x:v>2024-25</x:v>
      </x:c>
      <x:c r="B2996" s="20" t="n">
        <x:v>45788</x:v>
      </x:c>
      <x:c r="C2996" s="4" t="str">
        <x:v>Liverpool</x:v>
      </x:c>
      <x:c r="D2996" s="4" t="str">
        <x:v>Arsenal</x:v>
      </x:c>
      <x:c r="E2996" s="4" t="str">
        <x:v>Home</x:v>
      </x:c>
      <x:c r="F2996" s="28" t="n">
        <x:v>2</x:v>
      </x:c>
      <x:c r="G2996" s="28" t="n">
        <x:v>2</x:v>
      </x:c>
      <x:c r="H2996" s="28" t="n">
        <x:v>14</x:v>
      </x:c>
      <x:c r="I2996" s="28" t="n">
        <x:v>15</x:v>
      </x:c>
      <x:c r="J2996" s="28" t="n">
        <x:v>5</x:v>
      </x:c>
      <x:c r="K2996" s="28" t="n">
        <x:v>7</x:v>
      </x:c>
      <x:c r="L2996" s="28" t="n">
        <x:v>3</x:v>
      </x:c>
      <x:c r="M2996" s="28" t="n">
        <x:v>1</x:v>
      </x:c>
      <x:c r="N2996" s="28" t="n">
        <x:v>1</x:v>
      </x:c>
      <x:c r="O2996" s="28" t="n">
        <x:v>0</x:v>
      </x:c>
      <x:c r="P2996" s="28" t="n">
        <x:v>1</x:v>
      </x:c>
      <x:c r="Q2996" s="24" t="n">
        <x:f>IFERROR(J2996/H2996,0)</x:f>
        <x:v>0.35714285714285715</x:v>
      </x:c>
      <x:c r="R2996" s="24" t="n">
        <x:f>IFERROR(F2996/H2996,0)</x:f>
        <x:v>0.14285714285714285</x:v>
      </x:c>
      <x:c r="S2996" s="24" t="n">
        <x:f>IFERROR(F2996/J2996,0)</x:f>
        <x:v>0.4</x:v>
      </x:c>
      <x:c r="T2996" s="28" t="n">
        <x:f>H2996-I2996</x:f>
        <x:v>-1</x:v>
      </x:c>
      <x:c r="U2996" s="24" t="n">
        <x:f>IFERROR(J2996/H2996,0)-IFERROR(K2996/I2996,0)</x:f>
        <x:v>-0.10952380952380952</x:v>
      </x:c>
      <x:c r="V2996" s="24" t="n">
        <x:f>IFERROR(F2996/J2996,0)-IFERROR(G2996/K2996,0)</x:f>
        <x:v>0.11428571428571432</x:v>
      </x:c>
      <x:c r="W2996" s="28" t="n">
        <x:f>L2996-M2996</x:f>
        <x:v>2</x:v>
      </x:c>
      <x:c r="X2996" s="24" t="n">
        <x:f>IFERROR(K2996/I2996,0)</x:f>
        <x:v>0.4666666666666667</x:v>
      </x:c>
      <x:c r="Y2996" s="24" t="n">
        <x:f>IFERROR(G2996/I2996,0)</x:f>
        <x:v>0.13333333333333333</x:v>
      </x:c>
      <x:c r="Z2996" s="24" t="n">
        <x:f>IFERROR(G2996/K2996,0)</x:f>
        <x:v>0.2857142857142857</x:v>
      </x:c>
      <x:c r="AA2996" s="24" t="n">
        <x:f>IFERROR(F2996/H2996,0)-IFERROR(G2996/I2996,0)</x:f>
        <x:v>0.009523809523809518</x:v>
      </x:c>
      <x:c r="AB2996" s="28" t="n">
        <x:f>J2996-K2996</x:f>
        <x:v>-2</x:v>
      </x:c>
      <x:c r="AC2996" s="32" t="n">
        <x:f>F2996-G2996</x:f>
        <x:v>0</x:v>
      </x:c>
    </x:row>
    <x:row r="2997">
      <x:c r="A2997" s="4" t="str">
        <x:v>2024-25</x:v>
      </x:c>
      <x:c r="B2997" s="20" t="n">
        <x:v>45788</x:v>
      </x:c>
      <x:c r="C2997" s="4" t="str">
        <x:v>Man United</x:v>
      </x:c>
      <x:c r="D2997" s="4" t="str">
        <x:v>West Ham</x:v>
      </x:c>
      <x:c r="E2997" s="4" t="str">
        <x:v>Home</x:v>
      </x:c>
      <x:c r="F2997" s="28" t="n">
        <x:v>0</x:v>
      </x:c>
      <x:c r="G2997" s="28" t="n">
        <x:v>2</x:v>
      </x:c>
      <x:c r="H2997" s="28" t="n">
        <x:v>20</x:v>
      </x:c>
      <x:c r="I2997" s="28" t="n">
        <x:v>9</x:v>
      </x:c>
      <x:c r="J2997" s="28" t="n">
        <x:v>5</x:v>
      </x:c>
      <x:c r="K2997" s="28" t="n">
        <x:v>4</x:v>
      </x:c>
      <x:c r="L2997" s="28" t="n">
        <x:v>8</x:v>
      </x:c>
      <x:c r="M2997" s="28" t="n">
        <x:v>5</x:v>
      </x:c>
      <x:c r="N2997" s="28" t="n">
        <x:v>0</x:v>
      </x:c>
      <x:c r="O2997" s="28" t="n">
        <x:v>0</x:v>
      </x:c>
      <x:c r="P2997" s="28" t="n">
        <x:v>0</x:v>
      </x:c>
      <x:c r="Q2997" s="24" t="n">
        <x:f>IFERROR(J2997/H2997,0)</x:f>
        <x:v>0.25</x:v>
      </x:c>
      <x:c r="R2997" s="24" t="n">
        <x:f>IFERROR(F2997/H2997,0)</x:f>
        <x:v>0</x:v>
      </x:c>
      <x:c r="S2997" s="24" t="n">
        <x:f>IFERROR(F2997/J2997,0)</x:f>
        <x:v>0</x:v>
      </x:c>
      <x:c r="T2997" s="28" t="n">
        <x:f>H2997-I2997</x:f>
        <x:v>11</x:v>
      </x:c>
      <x:c r="U2997" s="24" t="n">
        <x:f>IFERROR(J2997/H2997,0)-IFERROR(K2997/I2997,0)</x:f>
        <x:v>-0.19444444444444442</x:v>
      </x:c>
      <x:c r="V2997" s="24" t="n">
        <x:f>IFERROR(F2997/J2997,0)-IFERROR(G2997/K2997,0)</x:f>
        <x:v>-0.5</x:v>
      </x:c>
      <x:c r="W2997" s="28" t="n">
        <x:f>L2997-M2997</x:f>
        <x:v>3</x:v>
      </x:c>
      <x:c r="X2997" s="24" t="n">
        <x:f>IFERROR(K2997/I2997,0)</x:f>
        <x:v>0.4444444444444444</x:v>
      </x:c>
      <x:c r="Y2997" s="24" t="n">
        <x:f>IFERROR(G2997/I2997,0)</x:f>
        <x:v>0.2222222222222222</x:v>
      </x:c>
      <x:c r="Z2997" s="24" t="n">
        <x:f>IFERROR(G2997/K2997,0)</x:f>
        <x:v>0.5</x:v>
      </x:c>
      <x:c r="AA2997" s="24" t="n">
        <x:f>IFERROR(F2997/H2997,0)-IFERROR(G2997/I2997,0)</x:f>
        <x:v>-0.2222222222222222</x:v>
      </x:c>
      <x:c r="AB2997" s="28" t="n">
        <x:f>J2997-K2997</x:f>
        <x:v>1</x:v>
      </x:c>
      <x:c r="AC2997" s="32" t="n">
        <x:f>F2997-G2997</x:f>
        <x:v>-2</x:v>
      </x:c>
    </x:row>
    <x:row r="2998">
      <x:c r="A2998" s="4" t="str">
        <x:v>2024-25</x:v>
      </x:c>
      <x:c r="B2998" s="20" t="n">
        <x:v>45788</x:v>
      </x:c>
      <x:c r="C2998" s="4" t="str">
        <x:v>Newcastle</x:v>
      </x:c>
      <x:c r="D2998" s="4" t="str">
        <x:v>Chelsea</x:v>
      </x:c>
      <x:c r="E2998" s="4" t="str">
        <x:v>Home</x:v>
      </x:c>
      <x:c r="F2998" s="28" t="n">
        <x:v>2</x:v>
      </x:c>
      <x:c r="G2998" s="28" t="n">
        <x:v>0</x:v>
      </x:c>
      <x:c r="H2998" s="28" t="n">
        <x:v>15</x:v>
      </x:c>
      <x:c r="I2998" s="28" t="n">
        <x:v>10</x:v>
      </x:c>
      <x:c r="J2998" s="28" t="n">
        <x:v>6</x:v>
      </x:c>
      <x:c r="K2998" s="28" t="n">
        <x:v>3</x:v>
      </x:c>
      <x:c r="L2998" s="28" t="n">
        <x:v>2</x:v>
      </x:c>
      <x:c r="M2998" s="28" t="n">
        <x:v>8</x:v>
      </x:c>
      <x:c r="N2998" s="28" t="n">
        <x:v>4</x:v>
      </x:c>
      <x:c r="O2998" s="28" t="n">
        <x:v>0</x:v>
      </x:c>
      <x:c r="P2998" s="28" t="n">
        <x:v>3</x:v>
      </x:c>
      <x:c r="Q2998" s="24" t="n">
        <x:f>IFERROR(J2998/H2998,0)</x:f>
        <x:v>0.4</x:v>
      </x:c>
      <x:c r="R2998" s="24" t="n">
        <x:f>IFERROR(F2998/H2998,0)</x:f>
        <x:v>0.13333333333333333</x:v>
      </x:c>
      <x:c r="S2998" s="24" t="n">
        <x:f>IFERROR(F2998/J2998,0)</x:f>
        <x:v>0.3333333333333333</x:v>
      </x:c>
      <x:c r="T2998" s="28" t="n">
        <x:f>H2998-I2998</x:f>
        <x:v>5</x:v>
      </x:c>
      <x:c r="U2998" s="24" t="n">
        <x:f>IFERROR(J2998/H2998,0)-IFERROR(K2998/I2998,0)</x:f>
        <x:v>0.10000000000000003</x:v>
      </x:c>
      <x:c r="V2998" s="24" t="n">
        <x:f>IFERROR(F2998/J2998,0)-IFERROR(G2998/K2998,0)</x:f>
        <x:v>0.3333333333333333</x:v>
      </x:c>
      <x:c r="W2998" s="28" t="n">
        <x:f>L2998-M2998</x:f>
        <x:v>-6</x:v>
      </x:c>
      <x:c r="X2998" s="24" t="n">
        <x:f>IFERROR(K2998/I2998,0)</x:f>
        <x:v>0.3</x:v>
      </x:c>
      <x:c r="Y2998" s="24" t="n">
        <x:f>IFERROR(G2998/I2998,0)</x:f>
        <x:v>0</x:v>
      </x:c>
      <x:c r="Z2998" s="24" t="n">
        <x:f>IFERROR(G2998/K2998,0)</x:f>
        <x:v>0</x:v>
      </x:c>
      <x:c r="AA2998" s="24" t="n">
        <x:f>IFERROR(F2998/H2998,0)-IFERROR(G2998/I2998,0)</x:f>
        <x:v>0.13333333333333333</x:v>
      </x:c>
      <x:c r="AB2998" s="28" t="n">
        <x:f>J2998-K2998</x:f>
        <x:v>3</x:v>
      </x:c>
      <x:c r="AC2998" s="32" t="n">
        <x:f>F2998-G2998</x:f>
        <x:v>2</x:v>
      </x:c>
    </x:row>
    <x:row r="2999">
      <x:c r="A2999" s="4" t="str">
        <x:v>2024-25</x:v>
      </x:c>
      <x:c r="B2999" s="20" t="n">
        <x:v>45788</x:v>
      </x:c>
      <x:c r="C2999" s="4" t="str">
        <x:v>Nott'm Forest</x:v>
      </x:c>
      <x:c r="D2999" s="4" t="str">
        <x:v>Leicester</x:v>
      </x:c>
      <x:c r="E2999" s="4" t="str">
        <x:v>Home</x:v>
      </x:c>
      <x:c r="F2999" s="28" t="n">
        <x:v>2</x:v>
      </x:c>
      <x:c r="G2999" s="28" t="n">
        <x:v>2</x:v>
      </x:c>
      <x:c r="H2999" s="28" t="n">
        <x:v>15</x:v>
      </x:c>
      <x:c r="I2999" s="28" t="n">
        <x:v>10</x:v>
      </x:c>
      <x:c r="J2999" s="28" t="n">
        <x:v>4</x:v>
      </x:c>
      <x:c r="K2999" s="28" t="n">
        <x:v>6</x:v>
      </x:c>
      <x:c r="L2999" s="28" t="n">
        <x:v>4</x:v>
      </x:c>
      <x:c r="M2999" s="28" t="n">
        <x:v>4</x:v>
      </x:c>
      <x:c r="N2999" s="28" t="n">
        <x:v>3</x:v>
      </x:c>
      <x:c r="O2999" s="28" t="n">
        <x:v>0</x:v>
      </x:c>
      <x:c r="P2999" s="28" t="n">
        <x:v>1</x:v>
      </x:c>
      <x:c r="Q2999" s="24" t="n">
        <x:f>IFERROR(J2999/H2999,0)</x:f>
        <x:v>0.26666666666666666</x:v>
      </x:c>
      <x:c r="R2999" s="24" t="n">
        <x:f>IFERROR(F2999/H2999,0)</x:f>
        <x:v>0.13333333333333333</x:v>
      </x:c>
      <x:c r="S2999" s="24" t="n">
        <x:f>IFERROR(F2999/J2999,0)</x:f>
        <x:v>0.5</x:v>
      </x:c>
      <x:c r="T2999" s="28" t="n">
        <x:f>H2999-I2999</x:f>
        <x:v>5</x:v>
      </x:c>
      <x:c r="U2999" s="24" t="n">
        <x:f>IFERROR(J2999/H2999,0)-IFERROR(K2999/I2999,0)</x:f>
        <x:v>-0.3333333333333333</x:v>
      </x:c>
      <x:c r="V2999" s="24" t="n">
        <x:f>IFERROR(F2999/J2999,0)-IFERROR(G2999/K2999,0)</x:f>
        <x:v>0.16666666666666669</x:v>
      </x:c>
      <x:c r="W2999" s="28" t="n">
        <x:f>L2999-M2999</x:f>
        <x:v>0</x:v>
      </x:c>
      <x:c r="X2999" s="24" t="n">
        <x:f>IFERROR(K2999/I2999,0)</x:f>
        <x:v>0.6</x:v>
      </x:c>
      <x:c r="Y2999" s="24" t="n">
        <x:f>IFERROR(G2999/I2999,0)</x:f>
        <x:v>0.2</x:v>
      </x:c>
      <x:c r="Z2999" s="24" t="n">
        <x:f>IFERROR(G2999/K2999,0)</x:f>
        <x:v>0.3333333333333333</x:v>
      </x:c>
      <x:c r="AA2999" s="24" t="n">
        <x:f>IFERROR(F2999/H2999,0)-IFERROR(G2999/I2999,0)</x:f>
        <x:v>-0.06666666666666668</x:v>
      </x:c>
      <x:c r="AB2999" s="28" t="n">
        <x:f>J2999-K2999</x:f>
        <x:v>-2</x:v>
      </x:c>
      <x:c r="AC2999" s="32" t="n">
        <x:f>F2999-G2999</x:f>
        <x:v>0</x:v>
      </x:c>
    </x:row>
    <x:row r="3000">
      <x:c r="A3000" s="4" t="str">
        <x:v>2024-25</x:v>
      </x:c>
      <x:c r="B3000" s="20" t="n">
        <x:v>45788</x:v>
      </x:c>
      <x:c r="C3000" s="4" t="str">
        <x:v>Tottenham</x:v>
      </x:c>
      <x:c r="D3000" s="4" t="str">
        <x:v>Crystal Palace</x:v>
      </x:c>
      <x:c r="E3000" s="4" t="str">
        <x:v>Home</x:v>
      </x:c>
      <x:c r="F3000" s="28" t="n">
        <x:v>0</x:v>
      </x:c>
      <x:c r="G3000" s="28" t="n">
        <x:v>2</x:v>
      </x:c>
      <x:c r="H3000" s="28" t="n">
        <x:v>8</x:v>
      </x:c>
      <x:c r="I3000" s="28" t="n">
        <x:v>23</x:v>
      </x:c>
      <x:c r="J3000" s="28" t="n">
        <x:v>1</x:v>
      </x:c>
      <x:c r="K3000" s="28" t="n">
        <x:v>10</x:v>
      </x:c>
      <x:c r="L3000" s="28" t="n">
        <x:v>4</x:v>
      </x:c>
      <x:c r="M3000" s="28" t="n">
        <x:v>8</x:v>
      </x:c>
      <x:c r="N3000" s="28" t="n">
        <x:v>1</x:v>
      </x:c>
      <x:c r="O3000" s="28" t="n">
        <x:v>0</x:v>
      </x:c>
      <x:c r="P3000" s="28" t="n">
        <x:v>0</x:v>
      </x:c>
      <x:c r="Q3000" s="24" t="n">
        <x:f>IFERROR(J3000/H3000,0)</x:f>
        <x:v>0.125</x:v>
      </x:c>
      <x:c r="R3000" s="24" t="n">
        <x:f>IFERROR(F3000/H3000,0)</x:f>
        <x:v>0</x:v>
      </x:c>
      <x:c r="S3000" s="24" t="n">
        <x:f>IFERROR(F3000/J3000,0)</x:f>
        <x:v>0</x:v>
      </x:c>
      <x:c r="T3000" s="28" t="n">
        <x:f>H3000-I3000</x:f>
        <x:v>-15</x:v>
      </x:c>
      <x:c r="U3000" s="24" t="n">
        <x:f>IFERROR(J3000/H3000,0)-IFERROR(K3000/I3000,0)</x:f>
        <x:v>-0.30978260869565216</x:v>
      </x:c>
      <x:c r="V3000" s="24" t="n">
        <x:f>IFERROR(F3000/J3000,0)-IFERROR(G3000/K3000,0)</x:f>
        <x:v>-0.2</x:v>
      </x:c>
      <x:c r="W3000" s="28" t="n">
        <x:f>L3000-M3000</x:f>
        <x:v>-4</x:v>
      </x:c>
      <x:c r="X3000" s="24" t="n">
        <x:f>IFERROR(K3000/I3000,0)</x:f>
        <x:v>0.43478260869565216</x:v>
      </x:c>
      <x:c r="Y3000" s="24" t="n">
        <x:f>IFERROR(G3000/I3000,0)</x:f>
        <x:v>0.08695652173913043</x:v>
      </x:c>
      <x:c r="Z3000" s="24" t="n">
        <x:f>IFERROR(G3000/K3000,0)</x:f>
        <x:v>0.2</x:v>
      </x:c>
      <x:c r="AA3000" s="24" t="n">
        <x:f>IFERROR(F3000/H3000,0)-IFERROR(G3000/I3000,0)</x:f>
        <x:v>-0.08695652173913043</x:v>
      </x:c>
      <x:c r="AB3000" s="28" t="n">
        <x:f>J3000-K3000</x:f>
        <x:v>-9</x:v>
      </x:c>
      <x:c r="AC3000" s="32" t="n">
        <x:f>F3000-G3000</x:f>
        <x:v>-2</x:v>
      </x:c>
    </x:row>
    <x:row r="3001">
      <x:c r="A3001" s="4" t="str">
        <x:v>2024-25</x:v>
      </x:c>
      <x:c r="B3001" s="20" t="n">
        <x:v>45788</x:v>
      </x:c>
      <x:c r="C3001" s="4" t="str">
        <x:v>West Ham</x:v>
      </x:c>
      <x:c r="D3001" s="4" t="str">
        <x:v>Man United</x:v>
      </x:c>
      <x:c r="E3001" s="4" t="str">
        <x:v>Away</x:v>
      </x:c>
      <x:c r="F3001" s="28" t="n">
        <x:v>2</x:v>
      </x:c>
      <x:c r="G3001" s="28" t="n">
        <x:v>0</x:v>
      </x:c>
      <x:c r="H3001" s="28" t="n">
        <x:v>9</x:v>
      </x:c>
      <x:c r="I3001" s="28" t="n">
        <x:v>20</x:v>
      </x:c>
      <x:c r="J3001" s="28" t="n">
        <x:v>4</x:v>
      </x:c>
      <x:c r="K3001" s="28" t="n">
        <x:v>5</x:v>
      </x:c>
      <x:c r="L3001" s="28" t="n">
        <x:v>5</x:v>
      </x:c>
      <x:c r="M3001" s="28" t="n">
        <x:v>8</x:v>
      </x:c>
      <x:c r="N3001" s="28" t="n">
        <x:v>1</x:v>
      </x:c>
      <x:c r="O3001" s="28" t="n">
        <x:v>0</x:v>
      </x:c>
      <x:c r="P3001" s="28" t="n">
        <x:v>3</x:v>
      </x:c>
      <x:c r="Q3001" s="24" t="n">
        <x:f>IFERROR(J3001/H3001,0)</x:f>
        <x:v>0.4444444444444444</x:v>
      </x:c>
      <x:c r="R3001" s="24" t="n">
        <x:f>IFERROR(F3001/H3001,0)</x:f>
        <x:v>0.2222222222222222</x:v>
      </x:c>
      <x:c r="S3001" s="24" t="n">
        <x:f>IFERROR(F3001/J3001,0)</x:f>
        <x:v>0.5</x:v>
      </x:c>
      <x:c r="T3001" s="28" t="n">
        <x:f>H3001-I3001</x:f>
        <x:v>-11</x:v>
      </x:c>
      <x:c r="U3001" s="24" t="n">
        <x:f>IFERROR(J3001/H3001,0)-IFERROR(K3001/I3001,0)</x:f>
        <x:v>0.19444444444444442</x:v>
      </x:c>
      <x:c r="V3001" s="24" t="n">
        <x:f>IFERROR(F3001/J3001,0)-IFERROR(G3001/K3001,0)</x:f>
        <x:v>0.5</x:v>
      </x:c>
      <x:c r="W3001" s="28" t="n">
        <x:f>L3001-M3001</x:f>
        <x:v>-3</x:v>
      </x:c>
      <x:c r="X3001" s="24" t="n">
        <x:f>IFERROR(K3001/I3001,0)</x:f>
        <x:v>0.25</x:v>
      </x:c>
      <x:c r="Y3001" s="24" t="n">
        <x:f>IFERROR(G3001/I3001,0)</x:f>
        <x:v>0</x:v>
      </x:c>
      <x:c r="Z3001" s="24" t="n">
        <x:f>IFERROR(G3001/K3001,0)</x:f>
        <x:v>0</x:v>
      </x:c>
      <x:c r="AA3001" s="24" t="n">
        <x:f>IFERROR(F3001/H3001,0)-IFERROR(G3001/I3001,0)</x:f>
        <x:v>0.2222222222222222</x:v>
      </x:c>
      <x:c r="AB3001" s="28" t="n">
        <x:f>J3001-K3001</x:f>
        <x:v>-1</x:v>
      </x:c>
      <x:c r="AC3001" s="32" t="n">
        <x:f>F3001-G3001</x:f>
        <x:v>2</x:v>
      </x:c>
    </x:row>
    <x:row r="3002">
      <x:c r="A3002" s="4" t="str">
        <x:v>2024-25</x:v>
      </x:c>
      <x:c r="B3002" s="20" t="n">
        <x:v>45793</x:v>
      </x:c>
      <x:c r="C3002" s="4" t="str">
        <x:v>Aston Villa</x:v>
      </x:c>
      <x:c r="D3002" s="4" t="str">
        <x:v>Tottenham</x:v>
      </x:c>
      <x:c r="E3002" s="4" t="str">
        <x:v>Home</x:v>
      </x:c>
      <x:c r="F3002" s="28" t="n">
        <x:v>2</x:v>
      </x:c>
      <x:c r="G3002" s="28" t="n">
        <x:v>0</x:v>
      </x:c>
      <x:c r="H3002" s="28" t="n">
        <x:v>18</x:v>
      </x:c>
      <x:c r="I3002" s="28" t="n">
        <x:v>3</x:v>
      </x:c>
      <x:c r="J3002" s="28" t="n">
        <x:v>7</x:v>
      </x:c>
      <x:c r="K3002" s="28" t="n">
        <x:v>1</x:v>
      </x:c>
      <x:c r="L3002" s="28" t="n">
        <x:v>9</x:v>
      </x:c>
      <x:c r="M3002" s="28" t="n">
        <x:v>1</x:v>
      </x:c>
      <x:c r="N3002" s="28" t="n">
        <x:v>1</x:v>
      </x:c>
      <x:c r="O3002" s="28" t="n">
        <x:v>0</x:v>
      </x:c>
      <x:c r="P3002" s="28" t="n">
        <x:v>3</x:v>
      </x:c>
      <x:c r="Q3002" s="24" t="n">
        <x:f>IFERROR(J3002/H3002,0)</x:f>
        <x:v>0.3888888888888889</x:v>
      </x:c>
      <x:c r="R3002" s="24" t="n">
        <x:f>IFERROR(F3002/H3002,0)</x:f>
        <x:v>0.1111111111111111</x:v>
      </x:c>
      <x:c r="S3002" s="24" t="n">
        <x:f>IFERROR(F3002/J3002,0)</x:f>
        <x:v>0.2857142857142857</x:v>
      </x:c>
      <x:c r="T3002" s="28" t="n">
        <x:f>H3002-I3002</x:f>
        <x:v>15</x:v>
      </x:c>
      <x:c r="U3002" s="24" t="n">
        <x:f>IFERROR(J3002/H3002,0)-IFERROR(K3002/I3002,0)</x:f>
        <x:v>0.05555555555555558</x:v>
      </x:c>
      <x:c r="V3002" s="24" t="n">
        <x:f>IFERROR(F3002/J3002,0)-IFERROR(G3002/K3002,0)</x:f>
        <x:v>0.2857142857142857</x:v>
      </x:c>
      <x:c r="W3002" s="28" t="n">
        <x:f>L3002-M3002</x:f>
        <x:v>8</x:v>
      </x:c>
      <x:c r="X3002" s="24" t="n">
        <x:f>IFERROR(K3002/I3002,0)</x:f>
        <x:v>0.3333333333333333</x:v>
      </x:c>
      <x:c r="Y3002" s="24" t="n">
        <x:f>IFERROR(G3002/I3002,0)</x:f>
        <x:v>0</x:v>
      </x:c>
      <x:c r="Z3002" s="24" t="n">
        <x:f>IFERROR(G3002/K3002,0)</x:f>
        <x:v>0</x:v>
      </x:c>
      <x:c r="AA3002" s="24" t="n">
        <x:f>IFERROR(F3002/H3002,0)-IFERROR(G3002/I3002,0)</x:f>
        <x:v>0.1111111111111111</x:v>
      </x:c>
      <x:c r="AB3002" s="28" t="n">
        <x:f>J3002-K3002</x:f>
        <x:v>6</x:v>
      </x:c>
      <x:c r="AC3002" s="32" t="n">
        <x:f>F3002-G3002</x:f>
        <x:v>2</x:v>
      </x:c>
    </x:row>
    <x:row r="3003">
      <x:c r="A3003" s="4" t="str">
        <x:v>2024-25</x:v>
      </x:c>
      <x:c r="B3003" s="20" t="n">
        <x:v>45793</x:v>
      </x:c>
      <x:c r="C3003" s="4" t="str">
        <x:v>Chelsea</x:v>
      </x:c>
      <x:c r="D3003" s="4" t="str">
        <x:v>Man United</x:v>
      </x:c>
      <x:c r="E3003" s="4" t="str">
        <x:v>Home</x:v>
      </x:c>
      <x:c r="F3003" s="28" t="n">
        <x:v>1</x:v>
      </x:c>
      <x:c r="G3003" s="28" t="n">
        <x:v>0</x:v>
      </x:c>
      <x:c r="H3003" s="28" t="n">
        <x:v>11</x:v>
      </x:c>
      <x:c r="I3003" s="28" t="n">
        <x:v>4</x:v>
      </x:c>
      <x:c r="J3003" s="28" t="n">
        <x:v>3</x:v>
      </x:c>
      <x:c r="K3003" s="28" t="n">
        <x:v>1</x:v>
      </x:c>
      <x:c r="L3003" s="28" t="n">
        <x:v>7</x:v>
      </x:c>
      <x:c r="M3003" s="28" t="n">
        <x:v>2</x:v>
      </x:c>
      <x:c r="N3003" s="28" t="n">
        <x:v>1</x:v>
      </x:c>
      <x:c r="O3003" s="28" t="n">
        <x:v>0</x:v>
      </x:c>
      <x:c r="P3003" s="28" t="n">
        <x:v>3</x:v>
      </x:c>
      <x:c r="Q3003" s="24" t="n">
        <x:f>IFERROR(J3003/H3003,0)</x:f>
        <x:v>0.2727272727272727</x:v>
      </x:c>
      <x:c r="R3003" s="24" t="n">
        <x:f>IFERROR(F3003/H3003,0)</x:f>
        <x:v>0.09090909090909091</x:v>
      </x:c>
      <x:c r="S3003" s="24" t="n">
        <x:f>IFERROR(F3003/J3003,0)</x:f>
        <x:v>0.3333333333333333</x:v>
      </x:c>
      <x:c r="T3003" s="28" t="n">
        <x:f>H3003-I3003</x:f>
        <x:v>7</x:v>
      </x:c>
      <x:c r="U3003" s="24" t="n">
        <x:f>IFERROR(J3003/H3003,0)-IFERROR(K3003/I3003,0)</x:f>
        <x:v>0.022727272727272707</x:v>
      </x:c>
      <x:c r="V3003" s="24" t="n">
        <x:f>IFERROR(F3003/J3003,0)-IFERROR(G3003/K3003,0)</x:f>
        <x:v>0.3333333333333333</x:v>
      </x:c>
      <x:c r="W3003" s="28" t="n">
        <x:f>L3003-M3003</x:f>
        <x:v>5</x:v>
      </x:c>
      <x:c r="X3003" s="24" t="n">
        <x:f>IFERROR(K3003/I3003,0)</x:f>
        <x:v>0.25</x:v>
      </x:c>
      <x:c r="Y3003" s="24" t="n">
        <x:f>IFERROR(G3003/I3003,0)</x:f>
        <x:v>0</x:v>
      </x:c>
      <x:c r="Z3003" s="24" t="n">
        <x:f>IFERROR(G3003/K3003,0)</x:f>
        <x:v>0</x:v>
      </x:c>
      <x:c r="AA3003" s="24" t="n">
        <x:f>IFERROR(F3003/H3003,0)-IFERROR(G3003/I3003,0)</x:f>
        <x:v>0.09090909090909091</x:v>
      </x:c>
      <x:c r="AB3003" s="28" t="n">
        <x:f>J3003-K3003</x:f>
        <x:v>2</x:v>
      </x:c>
      <x:c r="AC3003" s="32" t="n">
        <x:f>F3003-G3003</x:f>
        <x:v>1</x:v>
      </x:c>
    </x:row>
    <x:row r="3004">
      <x:c r="A3004" s="4" t="str">
        <x:v>2024-25</x:v>
      </x:c>
      <x:c r="B3004" s="20" t="n">
        <x:v>45793</x:v>
      </x:c>
      <x:c r="C3004" s="4" t="str">
        <x:v>Man United</x:v>
      </x:c>
      <x:c r="D3004" s="4" t="str">
        <x:v>Chelsea</x:v>
      </x:c>
      <x:c r="E3004" s="4" t="str">
        <x:v>Away</x:v>
      </x:c>
      <x:c r="F3004" s="28" t="n">
        <x:v>0</x:v>
      </x:c>
      <x:c r="G3004" s="28" t="n">
        <x:v>1</x:v>
      </x:c>
      <x:c r="H3004" s="28" t="n">
        <x:v>4</x:v>
      </x:c>
      <x:c r="I3004" s="28" t="n">
        <x:v>11</x:v>
      </x:c>
      <x:c r="J3004" s="28" t="n">
        <x:v>1</x:v>
      </x:c>
      <x:c r="K3004" s="28" t="n">
        <x:v>3</x:v>
      </x:c>
      <x:c r="L3004" s="28" t="n">
        <x:v>2</x:v>
      </x:c>
      <x:c r="M3004" s="28" t="n">
        <x:v>7</x:v>
      </x:c>
      <x:c r="N3004" s="28" t="n">
        <x:v>6</x:v>
      </x:c>
      <x:c r="O3004" s="28" t="n">
        <x:v>0</x:v>
      </x:c>
      <x:c r="P3004" s="28" t="n">
        <x:v>0</x:v>
      </x:c>
      <x:c r="Q3004" s="24" t="n">
        <x:f>IFERROR(J3004/H3004,0)</x:f>
        <x:v>0.25</x:v>
      </x:c>
      <x:c r="R3004" s="24" t="n">
        <x:f>IFERROR(F3004/H3004,0)</x:f>
        <x:v>0</x:v>
      </x:c>
      <x:c r="S3004" s="24" t="n">
        <x:f>IFERROR(F3004/J3004,0)</x:f>
        <x:v>0</x:v>
      </x:c>
      <x:c r="T3004" s="28" t="n">
        <x:f>H3004-I3004</x:f>
        <x:v>-7</x:v>
      </x:c>
      <x:c r="U3004" s="24" t="n">
        <x:f>IFERROR(J3004/H3004,0)-IFERROR(K3004/I3004,0)</x:f>
        <x:v>-0.022727272727272707</x:v>
      </x:c>
      <x:c r="V3004" s="24" t="n">
        <x:f>IFERROR(F3004/J3004,0)-IFERROR(G3004/K3004,0)</x:f>
        <x:v>-0.3333333333333333</x:v>
      </x:c>
      <x:c r="W3004" s="28" t="n">
        <x:f>L3004-M3004</x:f>
        <x:v>-5</x:v>
      </x:c>
      <x:c r="X3004" s="24" t="n">
        <x:f>IFERROR(K3004/I3004,0)</x:f>
        <x:v>0.2727272727272727</x:v>
      </x:c>
      <x:c r="Y3004" s="24" t="n">
        <x:f>IFERROR(G3004/I3004,0)</x:f>
        <x:v>0.09090909090909091</x:v>
      </x:c>
      <x:c r="Z3004" s="24" t="n">
        <x:f>IFERROR(G3004/K3004,0)</x:f>
        <x:v>0.3333333333333333</x:v>
      </x:c>
      <x:c r="AA3004" s="24" t="n">
        <x:f>IFERROR(F3004/H3004,0)-IFERROR(G3004/I3004,0)</x:f>
        <x:v>-0.09090909090909091</x:v>
      </x:c>
      <x:c r="AB3004" s="28" t="n">
        <x:f>J3004-K3004</x:f>
        <x:v>-2</x:v>
      </x:c>
      <x:c r="AC3004" s="32" t="n">
        <x:f>F3004-G3004</x:f>
        <x:v>-1</x:v>
      </x:c>
    </x:row>
    <x:row r="3005">
      <x:c r="A3005" s="4" t="str">
        <x:v>2024-25</x:v>
      </x:c>
      <x:c r="B3005" s="20" t="n">
        <x:v>45793</x:v>
      </x:c>
      <x:c r="C3005" s="4" t="str">
        <x:v>Tottenham</x:v>
      </x:c>
      <x:c r="D3005" s="4" t="str">
        <x:v>Aston Villa</x:v>
      </x:c>
      <x:c r="E3005" s="4" t="str">
        <x:v>Away</x:v>
      </x:c>
      <x:c r="F3005" s="28" t="n">
        <x:v>0</x:v>
      </x:c>
      <x:c r="G3005" s="28" t="n">
        <x:v>2</x:v>
      </x:c>
      <x:c r="H3005" s="28" t="n">
        <x:v>3</x:v>
      </x:c>
      <x:c r="I3005" s="28" t="n">
        <x:v>18</x:v>
      </x:c>
      <x:c r="J3005" s="28" t="n">
        <x:v>1</x:v>
      </x:c>
      <x:c r="K3005" s="28" t="n">
        <x:v>7</x:v>
      </x:c>
      <x:c r="L3005" s="28" t="n">
        <x:v>1</x:v>
      </x:c>
      <x:c r="M3005" s="28" t="n">
        <x:v>9</x:v>
      </x:c>
      <x:c r="N3005" s="28" t="n">
        <x:v>2</x:v>
      </x:c>
      <x:c r="O3005" s="28" t="n">
        <x:v>0</x:v>
      </x:c>
      <x:c r="P3005" s="28" t="n">
        <x:v>0</x:v>
      </x:c>
      <x:c r="Q3005" s="24" t="n">
        <x:f>IFERROR(J3005/H3005,0)</x:f>
        <x:v>0.3333333333333333</x:v>
      </x:c>
      <x:c r="R3005" s="24" t="n">
        <x:f>IFERROR(F3005/H3005,0)</x:f>
        <x:v>0</x:v>
      </x:c>
      <x:c r="S3005" s="24" t="n">
        <x:f>IFERROR(F3005/J3005,0)</x:f>
        <x:v>0</x:v>
      </x:c>
      <x:c r="T3005" s="28" t="n">
        <x:f>H3005-I3005</x:f>
        <x:v>-15</x:v>
      </x:c>
      <x:c r="U3005" s="24" t="n">
        <x:f>IFERROR(J3005/H3005,0)-IFERROR(K3005/I3005,0)</x:f>
        <x:v>-0.05555555555555558</x:v>
      </x:c>
      <x:c r="V3005" s="24" t="n">
        <x:f>IFERROR(F3005/J3005,0)-IFERROR(G3005/K3005,0)</x:f>
        <x:v>-0.2857142857142857</x:v>
      </x:c>
      <x:c r="W3005" s="28" t="n">
        <x:f>L3005-M3005</x:f>
        <x:v>-8</x:v>
      </x:c>
      <x:c r="X3005" s="24" t="n">
        <x:f>IFERROR(K3005/I3005,0)</x:f>
        <x:v>0.3888888888888889</x:v>
      </x:c>
      <x:c r="Y3005" s="24" t="n">
        <x:f>IFERROR(G3005/I3005,0)</x:f>
        <x:v>0.1111111111111111</x:v>
      </x:c>
      <x:c r="Z3005" s="24" t="n">
        <x:f>IFERROR(G3005/K3005,0)</x:f>
        <x:v>0.2857142857142857</x:v>
      </x:c>
      <x:c r="AA3005" s="24" t="n">
        <x:f>IFERROR(F3005/H3005,0)-IFERROR(G3005/I3005,0)</x:f>
        <x:v>-0.1111111111111111</x:v>
      </x:c>
      <x:c r="AB3005" s="28" t="n">
        <x:f>J3005-K3005</x:f>
        <x:v>-6</x:v>
      </x:c>
      <x:c r="AC3005" s="32" t="n">
        <x:f>F3005-G3005</x:f>
        <x:v>-2</x:v>
      </x:c>
    </x:row>
    <x:row r="3006">
      <x:c r="A3006" s="4" t="str">
        <x:v>2024-25</x:v>
      </x:c>
      <x:c r="B3006" s="20" t="n">
        <x:v>45795</x:v>
      </x:c>
      <x:c r="C3006" s="4" t="str">
        <x:v>Arsenal</x:v>
      </x:c>
      <x:c r="D3006" s="4" t="str">
        <x:v>Newcastle</x:v>
      </x:c>
      <x:c r="E3006" s="4" t="str">
        <x:v>Home</x:v>
      </x:c>
      <x:c r="F3006" s="28" t="n">
        <x:v>1</x:v>
      </x:c>
      <x:c r="G3006" s="28" t="n">
        <x:v>0</x:v>
      </x:c>
      <x:c r="H3006" s="28" t="n">
        <x:v>12</x:v>
      </x:c>
      <x:c r="I3006" s="28" t="n">
        <x:v>14</x:v>
      </x:c>
      <x:c r="J3006" s="28" t="n">
        <x:v>4</x:v>
      </x:c>
      <x:c r="K3006" s="28" t="n">
        <x:v>5</x:v>
      </x:c>
      <x:c r="L3006" s="28" t="n">
        <x:v>10</x:v>
      </x:c>
      <x:c r="M3006" s="28" t="n">
        <x:v>7</x:v>
      </x:c>
      <x:c r="N3006" s="28" t="n">
        <x:v>3</x:v>
      </x:c>
      <x:c r="O3006" s="28" t="n">
        <x:v>0</x:v>
      </x:c>
      <x:c r="P3006" s="28" t="n">
        <x:v>3</x:v>
      </x:c>
      <x:c r="Q3006" s="24" t="n">
        <x:f>IFERROR(J3006/H3006,0)</x:f>
        <x:v>0.3333333333333333</x:v>
      </x:c>
      <x:c r="R3006" s="24" t="n">
        <x:f>IFERROR(F3006/H3006,0)</x:f>
        <x:v>0.08333333333333333</x:v>
      </x:c>
      <x:c r="S3006" s="24" t="n">
        <x:f>IFERROR(F3006/J3006,0)</x:f>
        <x:v>0.25</x:v>
      </x:c>
      <x:c r="T3006" s="28" t="n">
        <x:f>H3006-I3006</x:f>
        <x:v>-2</x:v>
      </x:c>
      <x:c r="U3006" s="24" t="n">
        <x:f>IFERROR(J3006/H3006,0)-IFERROR(K3006/I3006,0)</x:f>
        <x:v>-0.023809523809523836</x:v>
      </x:c>
      <x:c r="V3006" s="24" t="n">
        <x:f>IFERROR(F3006/J3006,0)-IFERROR(G3006/K3006,0)</x:f>
        <x:v>0.25</x:v>
      </x:c>
      <x:c r="W3006" s="28" t="n">
        <x:f>L3006-M3006</x:f>
        <x:v>3</x:v>
      </x:c>
      <x:c r="X3006" s="24" t="n">
        <x:f>IFERROR(K3006/I3006,0)</x:f>
        <x:v>0.35714285714285715</x:v>
      </x:c>
      <x:c r="Y3006" s="24" t="n">
        <x:f>IFERROR(G3006/I3006,0)</x:f>
        <x:v>0</x:v>
      </x:c>
      <x:c r="Z3006" s="24" t="n">
        <x:f>IFERROR(G3006/K3006,0)</x:f>
        <x:v>0</x:v>
      </x:c>
      <x:c r="AA3006" s="24" t="n">
        <x:f>IFERROR(F3006/H3006,0)-IFERROR(G3006/I3006,0)</x:f>
        <x:v>0.08333333333333333</x:v>
      </x:c>
      <x:c r="AB3006" s="28" t="n">
        <x:f>J3006-K3006</x:f>
        <x:v>-1</x:v>
      </x:c>
      <x:c r="AC3006" s="32" t="n">
        <x:f>F3006-G3006</x:f>
        <x:v>1</x:v>
      </x:c>
    </x:row>
    <x:row r="3007">
      <x:c r="A3007" s="4" t="str">
        <x:v>2024-25</x:v>
      </x:c>
      <x:c r="B3007" s="20" t="n">
        <x:v>45795</x:v>
      </x:c>
      <x:c r="C3007" s="4" t="str">
        <x:v>Brentford</x:v>
      </x:c>
      <x:c r="D3007" s="4" t="str">
        <x:v>Fulham</x:v>
      </x:c>
      <x:c r="E3007" s="4" t="str">
        <x:v>Home</x:v>
      </x:c>
      <x:c r="F3007" s="28" t="n">
        <x:v>2</x:v>
      </x:c>
      <x:c r="G3007" s="28" t="n">
        <x:v>3</x:v>
      </x:c>
      <x:c r="H3007" s="28" t="n">
        <x:v>11</x:v>
      </x:c>
      <x:c r="I3007" s="28" t="n">
        <x:v>16</x:v>
      </x:c>
      <x:c r="J3007" s="28" t="n">
        <x:v>6</x:v>
      </x:c>
      <x:c r="K3007" s="28" t="n">
        <x:v>7</x:v>
      </x:c>
      <x:c r="L3007" s="28" t="n">
        <x:v>5</x:v>
      </x:c>
      <x:c r="M3007" s="28" t="n">
        <x:v>3</x:v>
      </x:c>
      <x:c r="N3007" s="28" t="n">
        <x:v>4</x:v>
      </x:c>
      <x:c r="O3007" s="28" t="n">
        <x:v>0</x:v>
      </x:c>
      <x:c r="P3007" s="28" t="n">
        <x:v>0</x:v>
      </x:c>
      <x:c r="Q3007" s="24" t="n">
        <x:f>IFERROR(J3007/H3007,0)</x:f>
        <x:v>0.5454545454545454</x:v>
      </x:c>
      <x:c r="R3007" s="24" t="n">
        <x:f>IFERROR(F3007/H3007,0)</x:f>
        <x:v>0.18181818181818182</x:v>
      </x:c>
      <x:c r="S3007" s="24" t="n">
        <x:f>IFERROR(F3007/J3007,0)</x:f>
        <x:v>0.3333333333333333</x:v>
      </x:c>
      <x:c r="T3007" s="28" t="n">
        <x:f>H3007-I3007</x:f>
        <x:v>-5</x:v>
      </x:c>
      <x:c r="U3007" s="24" t="n">
        <x:f>IFERROR(J3007/H3007,0)-IFERROR(K3007/I3007,0)</x:f>
        <x:v>0.10795454545454541</x:v>
      </x:c>
      <x:c r="V3007" s="24" t="n">
        <x:f>IFERROR(F3007/J3007,0)-IFERROR(G3007/K3007,0)</x:f>
        <x:v>-0.09523809523809523</x:v>
      </x:c>
      <x:c r="W3007" s="28" t="n">
        <x:f>L3007-M3007</x:f>
        <x:v>2</x:v>
      </x:c>
      <x:c r="X3007" s="24" t="n">
        <x:f>IFERROR(K3007/I3007,0)</x:f>
        <x:v>0.4375</x:v>
      </x:c>
      <x:c r="Y3007" s="24" t="n">
        <x:f>IFERROR(G3007/I3007,0)</x:f>
        <x:v>0.1875</x:v>
      </x:c>
      <x:c r="Z3007" s="24" t="n">
        <x:f>IFERROR(G3007/K3007,0)</x:f>
        <x:v>0.42857142857142855</x:v>
      </x:c>
      <x:c r="AA3007" s="24" t="n">
        <x:f>IFERROR(F3007/H3007,0)-IFERROR(G3007/I3007,0)</x:f>
        <x:v>-0.005681818181818177</x:v>
      </x:c>
      <x:c r="AB3007" s="28" t="n">
        <x:f>J3007-K3007</x:f>
        <x:v>-1</x:v>
      </x:c>
      <x:c r="AC3007" s="32" t="n">
        <x:f>F3007-G3007</x:f>
        <x:v>-1</x:v>
      </x:c>
    </x:row>
    <x:row r="3008">
      <x:c r="A3008" s="4" t="str">
        <x:v>2024-25</x:v>
      </x:c>
      <x:c r="B3008" s="20" t="n">
        <x:v>45795</x:v>
      </x:c>
      <x:c r="C3008" s="4" t="str">
        <x:v>Everton</x:v>
      </x:c>
      <x:c r="D3008" s="4" t="str">
        <x:v>Southampton</x:v>
      </x:c>
      <x:c r="E3008" s="4" t="str">
        <x:v>Home</x:v>
      </x:c>
      <x:c r="F3008" s="28" t="n">
        <x:v>2</x:v>
      </x:c>
      <x:c r="G3008" s="28" t="n">
        <x:v>0</x:v>
      </x:c>
      <x:c r="H3008" s="28" t="n">
        <x:v>13</x:v>
      </x:c>
      <x:c r="I3008" s="28" t="n">
        <x:v>6</x:v>
      </x:c>
      <x:c r="J3008" s="28" t="n">
        <x:v>5</x:v>
      </x:c>
      <x:c r="K3008" s="28" t="n">
        <x:v>2</x:v>
      </x:c>
      <x:c r="L3008" s="28" t="n">
        <x:v>4</x:v>
      </x:c>
      <x:c r="M3008" s="28" t="n">
        <x:v>5</x:v>
      </x:c>
      <x:c r="N3008" s="28" t="n">
        <x:v>1</x:v>
      </x:c>
      <x:c r="O3008" s="28" t="n">
        <x:v>0</x:v>
      </x:c>
      <x:c r="P3008" s="28" t="n">
        <x:v>3</x:v>
      </x:c>
      <x:c r="Q3008" s="24" t="n">
        <x:f>IFERROR(J3008/H3008,0)</x:f>
        <x:v>0.38461538461538464</x:v>
      </x:c>
      <x:c r="R3008" s="24" t="n">
        <x:f>IFERROR(F3008/H3008,0)</x:f>
        <x:v>0.15384615384615385</x:v>
      </x:c>
      <x:c r="S3008" s="24" t="n">
        <x:f>IFERROR(F3008/J3008,0)</x:f>
        <x:v>0.4</x:v>
      </x:c>
      <x:c r="T3008" s="28" t="n">
        <x:f>H3008-I3008</x:f>
        <x:v>7</x:v>
      </x:c>
      <x:c r="U3008" s="24" t="n">
        <x:f>IFERROR(J3008/H3008,0)-IFERROR(K3008/I3008,0)</x:f>
        <x:v>0.05128205128205132</x:v>
      </x:c>
      <x:c r="V3008" s="24" t="n">
        <x:f>IFERROR(F3008/J3008,0)-IFERROR(G3008/K3008,0)</x:f>
        <x:v>0.4</x:v>
      </x:c>
      <x:c r="W3008" s="28" t="n">
        <x:f>L3008-M3008</x:f>
        <x:v>-1</x:v>
      </x:c>
      <x:c r="X3008" s="24" t="n">
        <x:f>IFERROR(K3008/I3008,0)</x:f>
        <x:v>0.3333333333333333</x:v>
      </x:c>
      <x:c r="Y3008" s="24" t="n">
        <x:f>IFERROR(G3008/I3008,0)</x:f>
        <x:v>0</x:v>
      </x:c>
      <x:c r="Z3008" s="24" t="n">
        <x:f>IFERROR(G3008/K3008,0)</x:f>
        <x:v>0</x:v>
      </x:c>
      <x:c r="AA3008" s="24" t="n">
        <x:f>IFERROR(F3008/H3008,0)-IFERROR(G3008/I3008,0)</x:f>
        <x:v>0.15384615384615385</x:v>
      </x:c>
      <x:c r="AB3008" s="28" t="n">
        <x:f>J3008-K3008</x:f>
        <x:v>3</x:v>
      </x:c>
      <x:c r="AC3008" s="32" t="n">
        <x:f>F3008-G3008</x:f>
        <x:v>2</x:v>
      </x:c>
    </x:row>
    <x:row r="3009">
      <x:c r="A3009" s="4" t="str">
        <x:v>2024-25</x:v>
      </x:c>
      <x:c r="B3009" s="20" t="n">
        <x:v>45795</x:v>
      </x:c>
      <x:c r="C3009" s="4" t="str">
        <x:v>Fulham</x:v>
      </x:c>
      <x:c r="D3009" s="4" t="str">
        <x:v>Brentford</x:v>
      </x:c>
      <x:c r="E3009" s="4" t="str">
        <x:v>Away</x:v>
      </x:c>
      <x:c r="F3009" s="28" t="n">
        <x:v>3</x:v>
      </x:c>
      <x:c r="G3009" s="28" t="n">
        <x:v>2</x:v>
      </x:c>
      <x:c r="H3009" s="28" t="n">
        <x:v>16</x:v>
      </x:c>
      <x:c r="I3009" s="28" t="n">
        <x:v>11</x:v>
      </x:c>
      <x:c r="J3009" s="28" t="n">
        <x:v>7</x:v>
      </x:c>
      <x:c r="K3009" s="28" t="n">
        <x:v>6</x:v>
      </x:c>
      <x:c r="L3009" s="28" t="n">
        <x:v>3</x:v>
      </x:c>
      <x:c r="M3009" s="28" t="n">
        <x:v>5</x:v>
      </x:c>
      <x:c r="N3009" s="28" t="n">
        <x:v>4</x:v>
      </x:c>
      <x:c r="O3009" s="28" t="n">
        <x:v>0</x:v>
      </x:c>
      <x:c r="P3009" s="28" t="n">
        <x:v>3</x:v>
      </x:c>
      <x:c r="Q3009" s="24" t="n">
        <x:f>IFERROR(J3009/H3009,0)</x:f>
        <x:v>0.4375</x:v>
      </x:c>
      <x:c r="R3009" s="24" t="n">
        <x:f>IFERROR(F3009/H3009,0)</x:f>
        <x:v>0.1875</x:v>
      </x:c>
      <x:c r="S3009" s="24" t="n">
        <x:f>IFERROR(F3009/J3009,0)</x:f>
        <x:v>0.42857142857142855</x:v>
      </x:c>
      <x:c r="T3009" s="28" t="n">
        <x:f>H3009-I3009</x:f>
        <x:v>5</x:v>
      </x:c>
      <x:c r="U3009" s="24" t="n">
        <x:f>IFERROR(J3009/H3009,0)-IFERROR(K3009/I3009,0)</x:f>
        <x:v>-0.10795454545454541</x:v>
      </x:c>
      <x:c r="V3009" s="24" t="n">
        <x:f>IFERROR(F3009/J3009,0)-IFERROR(G3009/K3009,0)</x:f>
        <x:v>0.09523809523809523</x:v>
      </x:c>
      <x:c r="W3009" s="28" t="n">
        <x:f>L3009-M3009</x:f>
        <x:v>-2</x:v>
      </x:c>
      <x:c r="X3009" s="24" t="n">
        <x:f>IFERROR(K3009/I3009,0)</x:f>
        <x:v>0.5454545454545454</x:v>
      </x:c>
      <x:c r="Y3009" s="24" t="n">
        <x:f>IFERROR(G3009/I3009,0)</x:f>
        <x:v>0.18181818181818182</x:v>
      </x:c>
      <x:c r="Z3009" s="24" t="n">
        <x:f>IFERROR(G3009/K3009,0)</x:f>
        <x:v>0.3333333333333333</x:v>
      </x:c>
      <x:c r="AA3009" s="24" t="n">
        <x:f>IFERROR(F3009/H3009,0)-IFERROR(G3009/I3009,0)</x:f>
        <x:v>0.005681818181818177</x:v>
      </x:c>
      <x:c r="AB3009" s="28" t="n">
        <x:f>J3009-K3009</x:f>
        <x:v>1</x:v>
      </x:c>
      <x:c r="AC3009" s="32" t="n">
        <x:f>F3009-G3009</x:f>
        <x:v>1</x:v>
      </x:c>
    </x:row>
    <x:row r="3010">
      <x:c r="A3010" s="4" t="str">
        <x:v>2024-25</x:v>
      </x:c>
      <x:c r="B3010" s="20" t="n">
        <x:v>45795</x:v>
      </x:c>
      <x:c r="C3010" s="4" t="str">
        <x:v>Ipswich</x:v>
      </x:c>
      <x:c r="D3010" s="4" t="str">
        <x:v>Leicester</x:v>
      </x:c>
      <x:c r="E3010" s="4" t="str">
        <x:v>Away</x:v>
      </x:c>
      <x:c r="F3010" s="28" t="n">
        <x:v>0</x:v>
      </x:c>
      <x:c r="G3010" s="28" t="n">
        <x:v>2</x:v>
      </x:c>
      <x:c r="H3010" s="28" t="n">
        <x:v>20</x:v>
      </x:c>
      <x:c r="I3010" s="28" t="n">
        <x:v>9</x:v>
      </x:c>
      <x:c r="J3010" s="28" t="n">
        <x:v>2</x:v>
      </x:c>
      <x:c r="K3010" s="28" t="n">
        <x:v>3</x:v>
      </x:c>
      <x:c r="L3010" s="28" t="n">
        <x:v>2</x:v>
      </x:c>
      <x:c r="M3010" s="28" t="n">
        <x:v>2</x:v>
      </x:c>
      <x:c r="N3010" s="28" t="n">
        <x:v>0</x:v>
      </x:c>
      <x:c r="O3010" s="28" t="n">
        <x:v>0</x:v>
      </x:c>
      <x:c r="P3010" s="28" t="n">
        <x:v>0</x:v>
      </x:c>
      <x:c r="Q3010" s="24" t="n">
        <x:f>IFERROR(J3010/H3010,0)</x:f>
        <x:v>0.1</x:v>
      </x:c>
      <x:c r="R3010" s="24" t="n">
        <x:f>IFERROR(F3010/H3010,0)</x:f>
        <x:v>0</x:v>
      </x:c>
      <x:c r="S3010" s="24" t="n">
        <x:f>IFERROR(F3010/J3010,0)</x:f>
        <x:v>0</x:v>
      </x:c>
      <x:c r="T3010" s="28" t="n">
        <x:f>H3010-I3010</x:f>
        <x:v>11</x:v>
      </x:c>
      <x:c r="U3010" s="24" t="n">
        <x:f>IFERROR(J3010/H3010,0)-IFERROR(K3010/I3010,0)</x:f>
        <x:v>-0.2333333333333333</x:v>
      </x:c>
      <x:c r="V3010" s="24" t="n">
        <x:f>IFERROR(F3010/J3010,0)-IFERROR(G3010/K3010,0)</x:f>
        <x:v>-0.6666666666666666</x:v>
      </x:c>
      <x:c r="W3010" s="28" t="n">
        <x:f>L3010-M3010</x:f>
        <x:v>0</x:v>
      </x:c>
      <x:c r="X3010" s="24" t="n">
        <x:f>IFERROR(K3010/I3010,0)</x:f>
        <x:v>0.3333333333333333</x:v>
      </x:c>
      <x:c r="Y3010" s="24" t="n">
        <x:f>IFERROR(G3010/I3010,0)</x:f>
        <x:v>0.2222222222222222</x:v>
      </x:c>
      <x:c r="Z3010" s="24" t="n">
        <x:f>IFERROR(G3010/K3010,0)</x:f>
        <x:v>0.6666666666666666</x:v>
      </x:c>
      <x:c r="AA3010" s="24" t="n">
        <x:f>IFERROR(F3010/H3010,0)-IFERROR(G3010/I3010,0)</x:f>
        <x:v>-0.2222222222222222</x:v>
      </x:c>
      <x:c r="AB3010" s="28" t="n">
        <x:f>J3010-K3010</x:f>
        <x:v>-1</x:v>
      </x:c>
      <x:c r="AC3010" s="32" t="n">
        <x:f>F3010-G3010</x:f>
        <x:v>-2</x:v>
      </x:c>
    </x:row>
    <x:row r="3011">
      <x:c r="A3011" s="4" t="str">
        <x:v>2024-25</x:v>
      </x:c>
      <x:c r="B3011" s="20" t="n">
        <x:v>45795</x:v>
      </x:c>
      <x:c r="C3011" s="4" t="str">
        <x:v>Leicester</x:v>
      </x:c>
      <x:c r="D3011" s="4" t="str">
        <x:v>Ipswich</x:v>
      </x:c>
      <x:c r="E3011" s="4" t="str">
        <x:v>Home</x:v>
      </x:c>
      <x:c r="F3011" s="28" t="n">
        <x:v>2</x:v>
      </x:c>
      <x:c r="G3011" s="28" t="n">
        <x:v>0</x:v>
      </x:c>
      <x:c r="H3011" s="28" t="n">
        <x:v>9</x:v>
      </x:c>
      <x:c r="I3011" s="28" t="n">
        <x:v>20</x:v>
      </x:c>
      <x:c r="J3011" s="28" t="n">
        <x:v>3</x:v>
      </x:c>
      <x:c r="K3011" s="28" t="n">
        <x:v>2</x:v>
      </x:c>
      <x:c r="L3011" s="28" t="n">
        <x:v>2</x:v>
      </x:c>
      <x:c r="M3011" s="28" t="n">
        <x:v>2</x:v>
      </x:c>
      <x:c r="N3011" s="28" t="n">
        <x:v>1</x:v>
      </x:c>
      <x:c r="O3011" s="28" t="n">
        <x:v>0</x:v>
      </x:c>
      <x:c r="P3011" s="28" t="n">
        <x:v>3</x:v>
      </x:c>
      <x:c r="Q3011" s="24" t="n">
        <x:f>IFERROR(J3011/H3011,0)</x:f>
        <x:v>0.3333333333333333</x:v>
      </x:c>
      <x:c r="R3011" s="24" t="n">
        <x:f>IFERROR(F3011/H3011,0)</x:f>
        <x:v>0.2222222222222222</x:v>
      </x:c>
      <x:c r="S3011" s="24" t="n">
        <x:f>IFERROR(F3011/J3011,0)</x:f>
        <x:v>0.6666666666666666</x:v>
      </x:c>
      <x:c r="T3011" s="28" t="n">
        <x:f>H3011-I3011</x:f>
        <x:v>-11</x:v>
      </x:c>
      <x:c r="U3011" s="24" t="n">
        <x:f>IFERROR(J3011/H3011,0)-IFERROR(K3011/I3011,0)</x:f>
        <x:v>0.2333333333333333</x:v>
      </x:c>
      <x:c r="V3011" s="24" t="n">
        <x:f>IFERROR(F3011/J3011,0)-IFERROR(G3011/K3011,0)</x:f>
        <x:v>0.6666666666666666</x:v>
      </x:c>
      <x:c r="W3011" s="28" t="n">
        <x:f>L3011-M3011</x:f>
        <x:v>0</x:v>
      </x:c>
      <x:c r="X3011" s="24" t="n">
        <x:f>IFERROR(K3011/I3011,0)</x:f>
        <x:v>0.1</x:v>
      </x:c>
      <x:c r="Y3011" s="24" t="n">
        <x:f>IFERROR(G3011/I3011,0)</x:f>
        <x:v>0</x:v>
      </x:c>
      <x:c r="Z3011" s="24" t="n">
        <x:f>IFERROR(G3011/K3011,0)</x:f>
        <x:v>0</x:v>
      </x:c>
      <x:c r="AA3011" s="24" t="n">
        <x:f>IFERROR(F3011/H3011,0)-IFERROR(G3011/I3011,0)</x:f>
        <x:v>0.2222222222222222</x:v>
      </x:c>
      <x:c r="AB3011" s="28" t="n">
        <x:f>J3011-K3011</x:f>
        <x:v>1</x:v>
      </x:c>
      <x:c r="AC3011" s="32" t="n">
        <x:f>F3011-G3011</x:f>
        <x:v>2</x:v>
      </x:c>
    </x:row>
    <x:row r="3012">
      <x:c r="A3012" s="4" t="str">
        <x:v>2024-25</x:v>
      </x:c>
      <x:c r="B3012" s="20" t="n">
        <x:v>45795</x:v>
      </x:c>
      <x:c r="C3012" s="4" t="str">
        <x:v>Newcastle</x:v>
      </x:c>
      <x:c r="D3012" s="4" t="str">
        <x:v>Arsenal</x:v>
      </x:c>
      <x:c r="E3012" s="4" t="str">
        <x:v>Away</x:v>
      </x:c>
      <x:c r="F3012" s="28" t="n">
        <x:v>0</x:v>
      </x:c>
      <x:c r="G3012" s="28" t="n">
        <x:v>1</x:v>
      </x:c>
      <x:c r="H3012" s="28" t="n">
        <x:v>14</x:v>
      </x:c>
      <x:c r="I3012" s="28" t="n">
        <x:v>12</x:v>
      </x:c>
      <x:c r="J3012" s="28" t="n">
        <x:v>5</x:v>
      </x:c>
      <x:c r="K3012" s="28" t="n">
        <x:v>4</x:v>
      </x:c>
      <x:c r="L3012" s="28" t="n">
        <x:v>7</x:v>
      </x:c>
      <x:c r="M3012" s="28" t="n">
        <x:v>10</x:v>
      </x:c>
      <x:c r="N3012" s="28" t="n">
        <x:v>3</x:v>
      </x:c>
      <x:c r="O3012" s="28" t="n">
        <x:v>0</x:v>
      </x:c>
      <x:c r="P3012" s="28" t="n">
        <x:v>0</x:v>
      </x:c>
      <x:c r="Q3012" s="24" t="n">
        <x:f>IFERROR(J3012/H3012,0)</x:f>
        <x:v>0.35714285714285715</x:v>
      </x:c>
      <x:c r="R3012" s="24" t="n">
        <x:f>IFERROR(F3012/H3012,0)</x:f>
        <x:v>0</x:v>
      </x:c>
      <x:c r="S3012" s="24" t="n">
        <x:f>IFERROR(F3012/J3012,0)</x:f>
        <x:v>0</x:v>
      </x:c>
      <x:c r="T3012" s="28" t="n">
        <x:f>H3012-I3012</x:f>
        <x:v>2</x:v>
      </x:c>
      <x:c r="U3012" s="24" t="n">
        <x:f>IFERROR(J3012/H3012,0)-IFERROR(K3012/I3012,0)</x:f>
        <x:v>0.023809523809523836</x:v>
      </x:c>
      <x:c r="V3012" s="24" t="n">
        <x:f>IFERROR(F3012/J3012,0)-IFERROR(G3012/K3012,0)</x:f>
        <x:v>-0.25</x:v>
      </x:c>
      <x:c r="W3012" s="28" t="n">
        <x:f>L3012-M3012</x:f>
        <x:v>-3</x:v>
      </x:c>
      <x:c r="X3012" s="24" t="n">
        <x:f>IFERROR(K3012/I3012,0)</x:f>
        <x:v>0.3333333333333333</x:v>
      </x:c>
      <x:c r="Y3012" s="24" t="n">
        <x:f>IFERROR(G3012/I3012,0)</x:f>
        <x:v>0.08333333333333333</x:v>
      </x:c>
      <x:c r="Z3012" s="24" t="n">
        <x:f>IFERROR(G3012/K3012,0)</x:f>
        <x:v>0.25</x:v>
      </x:c>
      <x:c r="AA3012" s="24" t="n">
        <x:f>IFERROR(F3012/H3012,0)-IFERROR(G3012/I3012,0)</x:f>
        <x:v>-0.08333333333333333</x:v>
      </x:c>
      <x:c r="AB3012" s="28" t="n">
        <x:f>J3012-K3012</x:f>
        <x:v>1</x:v>
      </x:c>
      <x:c r="AC3012" s="32" t="n">
        <x:f>F3012-G3012</x:f>
        <x:v>-1</x:v>
      </x:c>
    </x:row>
    <x:row r="3013">
      <x:c r="A3013" s="4" t="str">
        <x:v>2024-25</x:v>
      </x:c>
      <x:c r="B3013" s="20" t="n">
        <x:v>45795</x:v>
      </x:c>
      <x:c r="C3013" s="4" t="str">
        <x:v>Nott'm Forest</x:v>
      </x:c>
      <x:c r="D3013" s="4" t="str">
        <x:v>West Ham</x:v>
      </x:c>
      <x:c r="E3013" s="4" t="str">
        <x:v>Away</x:v>
      </x:c>
      <x:c r="F3013" s="28" t="n">
        <x:v>2</x:v>
      </x:c>
      <x:c r="G3013" s="28" t="n">
        <x:v>1</x:v>
      </x:c>
      <x:c r="H3013" s="28" t="n">
        <x:v>10</x:v>
      </x:c>
      <x:c r="I3013" s="28" t="n">
        <x:v>16</x:v>
      </x:c>
      <x:c r="J3013" s="28" t="n">
        <x:v>5</x:v>
      </x:c>
      <x:c r="K3013" s="28" t="n">
        <x:v>5</x:v>
      </x:c>
      <x:c r="L3013" s="28" t="n">
        <x:v>7</x:v>
      </x:c>
      <x:c r="M3013" s="28" t="n">
        <x:v>8</x:v>
      </x:c>
      <x:c r="N3013" s="28" t="n">
        <x:v>3</x:v>
      </x:c>
      <x:c r="O3013" s="28" t="n">
        <x:v>0</x:v>
      </x:c>
      <x:c r="P3013" s="28" t="n">
        <x:v>3</x:v>
      </x:c>
      <x:c r="Q3013" s="24" t="n">
        <x:f>IFERROR(J3013/H3013,0)</x:f>
        <x:v>0.5</x:v>
      </x:c>
      <x:c r="R3013" s="24" t="n">
        <x:f>IFERROR(F3013/H3013,0)</x:f>
        <x:v>0.2</x:v>
      </x:c>
      <x:c r="S3013" s="24" t="n">
        <x:f>IFERROR(F3013/J3013,0)</x:f>
        <x:v>0.4</x:v>
      </x:c>
      <x:c r="T3013" s="28" t="n">
        <x:f>H3013-I3013</x:f>
        <x:v>-6</x:v>
      </x:c>
      <x:c r="U3013" s="24" t="n">
        <x:f>IFERROR(J3013/H3013,0)-IFERROR(K3013/I3013,0)</x:f>
        <x:v>0.1875</x:v>
      </x:c>
      <x:c r="V3013" s="24" t="n">
        <x:f>IFERROR(F3013/J3013,0)-IFERROR(G3013/K3013,0)</x:f>
        <x:v>0.2</x:v>
      </x:c>
      <x:c r="W3013" s="28" t="n">
        <x:f>L3013-M3013</x:f>
        <x:v>-1</x:v>
      </x:c>
      <x:c r="X3013" s="24" t="n">
        <x:f>IFERROR(K3013/I3013,0)</x:f>
        <x:v>0.3125</x:v>
      </x:c>
      <x:c r="Y3013" s="24" t="n">
        <x:f>IFERROR(G3013/I3013,0)</x:f>
        <x:v>0.0625</x:v>
      </x:c>
      <x:c r="Z3013" s="24" t="n">
        <x:f>IFERROR(G3013/K3013,0)</x:f>
        <x:v>0.2</x:v>
      </x:c>
      <x:c r="AA3013" s="24" t="n">
        <x:f>IFERROR(F3013/H3013,0)-IFERROR(G3013/I3013,0)</x:f>
        <x:v>0.1375</x:v>
      </x:c>
      <x:c r="AB3013" s="28" t="n">
        <x:f>J3013-K3013</x:f>
        <x:v>0</x:v>
      </x:c>
      <x:c r="AC3013" s="32" t="n">
        <x:f>F3013-G3013</x:f>
        <x:v>1</x:v>
      </x:c>
    </x:row>
    <x:row r="3014">
      <x:c r="A3014" s="4" t="str">
        <x:v>2024-25</x:v>
      </x:c>
      <x:c r="B3014" s="20" t="n">
        <x:v>45795</x:v>
      </x:c>
      <x:c r="C3014" s="4" t="str">
        <x:v>Southampton</x:v>
      </x:c>
      <x:c r="D3014" s="4" t="str">
        <x:v>Everton</x:v>
      </x:c>
      <x:c r="E3014" s="4" t="str">
        <x:v>Away</x:v>
      </x:c>
      <x:c r="F3014" s="28" t="n">
        <x:v>0</x:v>
      </x:c>
      <x:c r="G3014" s="28" t="n">
        <x:v>2</x:v>
      </x:c>
      <x:c r="H3014" s="28" t="n">
        <x:v>6</x:v>
      </x:c>
      <x:c r="I3014" s="28" t="n">
        <x:v>13</x:v>
      </x:c>
      <x:c r="J3014" s="28" t="n">
        <x:v>2</x:v>
      </x:c>
      <x:c r="K3014" s="28" t="n">
        <x:v>5</x:v>
      </x:c>
      <x:c r="L3014" s="28" t="n">
        <x:v>5</x:v>
      </x:c>
      <x:c r="M3014" s="28" t="n">
        <x:v>4</x:v>
      </x:c>
      <x:c r="N3014" s="28" t="n">
        <x:v>1</x:v>
      </x:c>
      <x:c r="O3014" s="28" t="n">
        <x:v>0</x:v>
      </x:c>
      <x:c r="P3014" s="28" t="n">
        <x:v>0</x:v>
      </x:c>
      <x:c r="Q3014" s="24" t="n">
        <x:f>IFERROR(J3014/H3014,0)</x:f>
        <x:v>0.3333333333333333</x:v>
      </x:c>
      <x:c r="R3014" s="24" t="n">
        <x:f>IFERROR(F3014/H3014,0)</x:f>
        <x:v>0</x:v>
      </x:c>
      <x:c r="S3014" s="24" t="n">
        <x:f>IFERROR(F3014/J3014,0)</x:f>
        <x:v>0</x:v>
      </x:c>
      <x:c r="T3014" s="28" t="n">
        <x:f>H3014-I3014</x:f>
        <x:v>-7</x:v>
      </x:c>
      <x:c r="U3014" s="24" t="n">
        <x:f>IFERROR(J3014/H3014,0)-IFERROR(K3014/I3014,0)</x:f>
        <x:v>-0.05128205128205132</x:v>
      </x:c>
      <x:c r="V3014" s="24" t="n">
        <x:f>IFERROR(F3014/J3014,0)-IFERROR(G3014/K3014,0)</x:f>
        <x:v>-0.4</x:v>
      </x:c>
      <x:c r="W3014" s="28" t="n">
        <x:f>L3014-M3014</x:f>
        <x:v>1</x:v>
      </x:c>
      <x:c r="X3014" s="24" t="n">
        <x:f>IFERROR(K3014/I3014,0)</x:f>
        <x:v>0.38461538461538464</x:v>
      </x:c>
      <x:c r="Y3014" s="24" t="n">
        <x:f>IFERROR(G3014/I3014,0)</x:f>
        <x:v>0.15384615384615385</x:v>
      </x:c>
      <x:c r="Z3014" s="24" t="n">
        <x:f>IFERROR(G3014/K3014,0)</x:f>
        <x:v>0.4</x:v>
      </x:c>
      <x:c r="AA3014" s="24" t="n">
        <x:f>IFERROR(F3014/H3014,0)-IFERROR(G3014/I3014,0)</x:f>
        <x:v>-0.15384615384615385</x:v>
      </x:c>
      <x:c r="AB3014" s="28" t="n">
        <x:f>J3014-K3014</x:f>
        <x:v>-3</x:v>
      </x:c>
      <x:c r="AC3014" s="32" t="n">
        <x:f>F3014-G3014</x:f>
        <x:v>-2</x:v>
      </x:c>
    </x:row>
    <x:row r="3015">
      <x:c r="A3015" s="4" t="str">
        <x:v>2024-25</x:v>
      </x:c>
      <x:c r="B3015" s="20" t="n">
        <x:v>45795</x:v>
      </x:c>
      <x:c r="C3015" s="4" t="str">
        <x:v>West Ham</x:v>
      </x:c>
      <x:c r="D3015" s="4" t="str">
        <x:v>Nott'm Forest</x:v>
      </x:c>
      <x:c r="E3015" s="4" t="str">
        <x:v>Home</x:v>
      </x:c>
      <x:c r="F3015" s="28" t="n">
        <x:v>1</x:v>
      </x:c>
      <x:c r="G3015" s="28" t="n">
        <x:v>2</x:v>
      </x:c>
      <x:c r="H3015" s="28" t="n">
        <x:v>16</x:v>
      </x:c>
      <x:c r="I3015" s="28" t="n">
        <x:v>10</x:v>
      </x:c>
      <x:c r="J3015" s="28" t="n">
        <x:v>5</x:v>
      </x:c>
      <x:c r="K3015" s="28" t="n">
        <x:v>5</x:v>
      </x:c>
      <x:c r="L3015" s="28" t="n">
        <x:v>8</x:v>
      </x:c>
      <x:c r="M3015" s="28" t="n">
        <x:v>7</x:v>
      </x:c>
      <x:c r="N3015" s="28" t="n">
        <x:v>6</x:v>
      </x:c>
      <x:c r="O3015" s="28" t="n">
        <x:v>0</x:v>
      </x:c>
      <x:c r="P3015" s="28" t="n">
        <x:v>0</x:v>
      </x:c>
      <x:c r="Q3015" s="24" t="n">
        <x:f>IFERROR(J3015/H3015,0)</x:f>
        <x:v>0.3125</x:v>
      </x:c>
      <x:c r="R3015" s="24" t="n">
        <x:f>IFERROR(F3015/H3015,0)</x:f>
        <x:v>0.0625</x:v>
      </x:c>
      <x:c r="S3015" s="24" t="n">
        <x:f>IFERROR(F3015/J3015,0)</x:f>
        <x:v>0.2</x:v>
      </x:c>
      <x:c r="T3015" s="28" t="n">
        <x:f>H3015-I3015</x:f>
        <x:v>6</x:v>
      </x:c>
      <x:c r="U3015" s="24" t="n">
        <x:f>IFERROR(J3015/H3015,0)-IFERROR(K3015/I3015,0)</x:f>
        <x:v>-0.1875</x:v>
      </x:c>
      <x:c r="V3015" s="24" t="n">
        <x:f>IFERROR(F3015/J3015,0)-IFERROR(G3015/K3015,0)</x:f>
        <x:v>-0.2</x:v>
      </x:c>
      <x:c r="W3015" s="28" t="n">
        <x:f>L3015-M3015</x:f>
        <x:v>1</x:v>
      </x:c>
      <x:c r="X3015" s="24" t="n">
        <x:f>IFERROR(K3015/I3015,0)</x:f>
        <x:v>0.5</x:v>
      </x:c>
      <x:c r="Y3015" s="24" t="n">
        <x:f>IFERROR(G3015/I3015,0)</x:f>
        <x:v>0.2</x:v>
      </x:c>
      <x:c r="Z3015" s="24" t="n">
        <x:f>IFERROR(G3015/K3015,0)</x:f>
        <x:v>0.4</x:v>
      </x:c>
      <x:c r="AA3015" s="24" t="n">
        <x:f>IFERROR(F3015/H3015,0)-IFERROR(G3015/I3015,0)</x:f>
        <x:v>-0.1375</x:v>
      </x:c>
      <x:c r="AB3015" s="28" t="n">
        <x:f>J3015-K3015</x:f>
        <x:v>0</x:v>
      </x:c>
      <x:c r="AC3015" s="32" t="n">
        <x:f>F3015-G3015</x:f>
        <x:v>-1</x:v>
      </x:c>
    </x:row>
    <x:row r="3016">
      <x:c r="A3016" s="4" t="str">
        <x:v>2024-25</x:v>
      </x:c>
      <x:c r="B3016" s="20" t="n">
        <x:v>45796</x:v>
      </x:c>
      <x:c r="C3016" s="4" t="str">
        <x:v>Brighton</x:v>
      </x:c>
      <x:c r="D3016" s="4" t="str">
        <x:v>Liverpool</x:v>
      </x:c>
      <x:c r="E3016" s="4" t="str">
        <x:v>Home</x:v>
      </x:c>
      <x:c r="F3016" s="28" t="n">
        <x:v>3</x:v>
      </x:c>
      <x:c r="G3016" s="28" t="n">
        <x:v>2</x:v>
      </x:c>
      <x:c r="H3016" s="28" t="n">
        <x:v>25</x:v>
      </x:c>
      <x:c r="I3016" s="28" t="n">
        <x:v>18</x:v>
      </x:c>
      <x:c r="J3016" s="28" t="n">
        <x:v>12</x:v>
      </x:c>
      <x:c r="K3016" s="28" t="n">
        <x:v>5</x:v>
      </x:c>
      <x:c r="L3016" s="28" t="n">
        <x:v>3</x:v>
      </x:c>
      <x:c r="M3016" s="28" t="n">
        <x:v>3</x:v>
      </x:c>
      <x:c r="N3016" s="28" t="n">
        <x:v>1</x:v>
      </x:c>
      <x:c r="O3016" s="28" t="n">
        <x:v>0</x:v>
      </x:c>
      <x:c r="P3016" s="28" t="n">
        <x:v>3</x:v>
      </x:c>
      <x:c r="Q3016" s="24" t="n">
        <x:f>IFERROR(J3016/H3016,0)</x:f>
        <x:v>0.48</x:v>
      </x:c>
      <x:c r="R3016" s="24" t="n">
        <x:f>IFERROR(F3016/H3016,0)</x:f>
        <x:v>0.12</x:v>
      </x:c>
      <x:c r="S3016" s="24" t="n">
        <x:f>IFERROR(F3016/J3016,0)</x:f>
        <x:v>0.25</x:v>
      </x:c>
      <x:c r="T3016" s="28" t="n">
        <x:f>H3016-I3016</x:f>
        <x:v>7</x:v>
      </x:c>
      <x:c r="U3016" s="24" t="n">
        <x:f>IFERROR(J3016/H3016,0)-IFERROR(K3016/I3016,0)</x:f>
        <x:v>0.2022222222222222</x:v>
      </x:c>
      <x:c r="V3016" s="24" t="n">
        <x:f>IFERROR(F3016/J3016,0)-IFERROR(G3016/K3016,0)</x:f>
        <x:v>-0.15000000000000002</x:v>
      </x:c>
      <x:c r="W3016" s="28" t="n">
        <x:f>L3016-M3016</x:f>
        <x:v>0</x:v>
      </x:c>
      <x:c r="X3016" s="24" t="n">
        <x:f>IFERROR(K3016/I3016,0)</x:f>
        <x:v>0.2777777777777778</x:v>
      </x:c>
      <x:c r="Y3016" s="24" t="n">
        <x:f>IFERROR(G3016/I3016,0)</x:f>
        <x:v>0.1111111111111111</x:v>
      </x:c>
      <x:c r="Z3016" s="24" t="n">
        <x:f>IFERROR(G3016/K3016,0)</x:f>
        <x:v>0.4</x:v>
      </x:c>
      <x:c r="AA3016" s="24" t="n">
        <x:f>IFERROR(F3016/H3016,0)-IFERROR(G3016/I3016,0)</x:f>
        <x:v>0.00888888888888889</x:v>
      </x:c>
      <x:c r="AB3016" s="28" t="n">
        <x:f>J3016-K3016</x:f>
        <x:v>7</x:v>
      </x:c>
      <x:c r="AC3016" s="32" t="n">
        <x:f>F3016-G3016</x:f>
        <x:v>1</x:v>
      </x:c>
    </x:row>
    <x:row r="3017">
      <x:c r="A3017" s="4" t="str">
        <x:v>2024-25</x:v>
      </x:c>
      <x:c r="B3017" s="20" t="n">
        <x:v>45796</x:v>
      </x:c>
      <x:c r="C3017" s="4" t="str">
        <x:v>Liverpool</x:v>
      </x:c>
      <x:c r="D3017" s="4" t="str">
        <x:v>Brighton</x:v>
      </x:c>
      <x:c r="E3017" s="4" t="str">
        <x:v>Away</x:v>
      </x:c>
      <x:c r="F3017" s="28" t="n">
        <x:v>2</x:v>
      </x:c>
      <x:c r="G3017" s="28" t="n">
        <x:v>3</x:v>
      </x:c>
      <x:c r="H3017" s="28" t="n">
        <x:v>18</x:v>
      </x:c>
      <x:c r="I3017" s="28" t="n">
        <x:v>25</x:v>
      </x:c>
      <x:c r="J3017" s="28" t="n">
        <x:v>5</x:v>
      </x:c>
      <x:c r="K3017" s="28" t="n">
        <x:v>12</x:v>
      </x:c>
      <x:c r="L3017" s="28" t="n">
        <x:v>3</x:v>
      </x:c>
      <x:c r="M3017" s="28" t="n">
        <x:v>3</x:v>
      </x:c>
      <x:c r="N3017" s="28" t="n">
        <x:v>0</x:v>
      </x:c>
      <x:c r="O3017" s="28" t="n">
        <x:v>0</x:v>
      </x:c>
      <x:c r="P3017" s="28" t="n">
        <x:v>0</x:v>
      </x:c>
      <x:c r="Q3017" s="24" t="n">
        <x:f>IFERROR(J3017/H3017,0)</x:f>
        <x:v>0.2777777777777778</x:v>
      </x:c>
      <x:c r="R3017" s="24" t="n">
        <x:f>IFERROR(F3017/H3017,0)</x:f>
        <x:v>0.1111111111111111</x:v>
      </x:c>
      <x:c r="S3017" s="24" t="n">
        <x:f>IFERROR(F3017/J3017,0)</x:f>
        <x:v>0.4</x:v>
      </x:c>
      <x:c r="T3017" s="28" t="n">
        <x:f>H3017-I3017</x:f>
        <x:v>-7</x:v>
      </x:c>
      <x:c r="U3017" s="24" t="n">
        <x:f>IFERROR(J3017/H3017,0)-IFERROR(K3017/I3017,0)</x:f>
        <x:v>-0.2022222222222222</x:v>
      </x:c>
      <x:c r="V3017" s="24" t="n">
        <x:f>IFERROR(F3017/J3017,0)-IFERROR(G3017/K3017,0)</x:f>
        <x:v>0.15000000000000002</x:v>
      </x:c>
      <x:c r="W3017" s="28" t="n">
        <x:f>L3017-M3017</x:f>
        <x:v>0</x:v>
      </x:c>
      <x:c r="X3017" s="24" t="n">
        <x:f>IFERROR(K3017/I3017,0)</x:f>
        <x:v>0.48</x:v>
      </x:c>
      <x:c r="Y3017" s="24" t="n">
        <x:f>IFERROR(G3017/I3017,0)</x:f>
        <x:v>0.12</x:v>
      </x:c>
      <x:c r="Z3017" s="24" t="n">
        <x:f>IFERROR(G3017/K3017,0)</x:f>
        <x:v>0.25</x:v>
      </x:c>
      <x:c r="AA3017" s="24" t="n">
        <x:f>IFERROR(F3017/H3017,0)-IFERROR(G3017/I3017,0)</x:f>
        <x:v>-0.00888888888888889</x:v>
      </x:c>
      <x:c r="AB3017" s="28" t="n">
        <x:f>J3017-K3017</x:f>
        <x:v>-7</x:v>
      </x:c>
      <x:c r="AC3017" s="32" t="n">
        <x:f>F3017-G3017</x:f>
        <x:v>-1</x:v>
      </x:c>
    </x:row>
    <x:row r="3018">
      <x:c r="A3018" s="4" t="str">
        <x:v>2024-25</x:v>
      </x:c>
      <x:c r="B3018" s="20" t="n">
        <x:v>45797</x:v>
      </x:c>
      <x:c r="C3018" s="4" t="str">
        <x:v>Bournemouth</x:v>
      </x:c>
      <x:c r="D3018" s="4" t="str">
        <x:v>Man City</x:v>
      </x:c>
      <x:c r="E3018" s="4" t="str">
        <x:v>Away</x:v>
      </x:c>
      <x:c r="F3018" s="28" t="n">
        <x:v>1</x:v>
      </x:c>
      <x:c r="G3018" s="28" t="n">
        <x:v>3</x:v>
      </x:c>
      <x:c r="H3018" s="28" t="n">
        <x:v>8</x:v>
      </x:c>
      <x:c r="I3018" s="28" t="n">
        <x:v>12</x:v>
      </x:c>
      <x:c r="J3018" s="28" t="n">
        <x:v>2</x:v>
      </x:c>
      <x:c r="K3018" s="28" t="n">
        <x:v>5</x:v>
      </x:c>
      <x:c r="L3018" s="28" t="n">
        <x:v>1</x:v>
      </x:c>
      <x:c r="M3018" s="28" t="n">
        <x:v>3</x:v>
      </x:c>
      <x:c r="N3018" s="28" t="n">
        <x:v>3</x:v>
      </x:c>
      <x:c r="O3018" s="28" t="n">
        <x:v>1</x:v>
      </x:c>
      <x:c r="P3018" s="28" t="n">
        <x:v>0</x:v>
      </x:c>
      <x:c r="Q3018" s="24" t="n">
        <x:f>IFERROR(J3018/H3018,0)</x:f>
        <x:v>0.25</x:v>
      </x:c>
      <x:c r="R3018" s="24" t="n">
        <x:f>IFERROR(F3018/H3018,0)</x:f>
        <x:v>0.125</x:v>
      </x:c>
      <x:c r="S3018" s="24" t="n">
        <x:f>IFERROR(F3018/J3018,0)</x:f>
        <x:v>0.5</x:v>
      </x:c>
      <x:c r="T3018" s="28" t="n">
        <x:f>H3018-I3018</x:f>
        <x:v>-4</x:v>
      </x:c>
      <x:c r="U3018" s="24" t="n">
        <x:f>IFERROR(J3018/H3018,0)-IFERROR(K3018/I3018,0)</x:f>
        <x:v>-0.16666666666666669</x:v>
      </x:c>
      <x:c r="V3018" s="24" t="n">
        <x:f>IFERROR(F3018/J3018,0)-IFERROR(G3018/K3018,0)</x:f>
        <x:v>-0.09999999999999998</x:v>
      </x:c>
      <x:c r="W3018" s="28" t="n">
        <x:f>L3018-M3018</x:f>
        <x:v>-2</x:v>
      </x:c>
      <x:c r="X3018" s="24" t="n">
        <x:f>IFERROR(K3018/I3018,0)</x:f>
        <x:v>0.4166666666666667</x:v>
      </x:c>
      <x:c r="Y3018" s="24" t="n">
        <x:f>IFERROR(G3018/I3018,0)</x:f>
        <x:v>0.25</x:v>
      </x:c>
      <x:c r="Z3018" s="24" t="n">
        <x:f>IFERROR(G3018/K3018,0)</x:f>
        <x:v>0.6</x:v>
      </x:c>
      <x:c r="AA3018" s="24" t="n">
        <x:f>IFERROR(F3018/H3018,0)-IFERROR(G3018/I3018,0)</x:f>
        <x:v>-0.125</x:v>
      </x:c>
      <x:c r="AB3018" s="28" t="n">
        <x:f>J3018-K3018</x:f>
        <x:v>-3</x:v>
      </x:c>
      <x:c r="AC3018" s="32" t="n">
        <x:f>F3018-G3018</x:f>
        <x:v>-2</x:v>
      </x:c>
    </x:row>
    <x:row r="3019">
      <x:c r="A3019" s="4" t="str">
        <x:v>2024-25</x:v>
      </x:c>
      <x:c r="B3019" s="20" t="n">
        <x:v>45797</x:v>
      </x:c>
      <x:c r="C3019" s="4" t="str">
        <x:v>Crystal Palace</x:v>
      </x:c>
      <x:c r="D3019" s="4" t="str">
        <x:v>Wolves</x:v>
      </x:c>
      <x:c r="E3019" s="4" t="str">
        <x:v>Home</x:v>
      </x:c>
      <x:c r="F3019" s="28" t="n">
        <x:v>4</x:v>
      </x:c>
      <x:c r="G3019" s="28" t="n">
        <x:v>2</x:v>
      </x:c>
      <x:c r="H3019" s="28" t="n">
        <x:v>14</x:v>
      </x:c>
      <x:c r="I3019" s="28" t="n">
        <x:v>12</x:v>
      </x:c>
      <x:c r="J3019" s="28" t="n">
        <x:v>10</x:v>
      </x:c>
      <x:c r="K3019" s="28" t="n">
        <x:v>3</x:v>
      </x:c>
      <x:c r="L3019" s="28" t="n">
        <x:v>0</x:v>
      </x:c>
      <x:c r="M3019" s="28" t="n">
        <x:v>10</x:v>
      </x:c>
      <x:c r="N3019" s="28" t="n">
        <x:v>1</x:v>
      </x:c>
      <x:c r="O3019" s="28" t="n">
        <x:v>0</x:v>
      </x:c>
      <x:c r="P3019" s="28" t="n">
        <x:v>3</x:v>
      </x:c>
      <x:c r="Q3019" s="24" t="n">
        <x:f>IFERROR(J3019/H3019,0)</x:f>
        <x:v>0.7142857142857143</x:v>
      </x:c>
      <x:c r="R3019" s="24" t="n">
        <x:f>IFERROR(F3019/H3019,0)</x:f>
        <x:v>0.2857142857142857</x:v>
      </x:c>
      <x:c r="S3019" s="24" t="n">
        <x:f>IFERROR(F3019/J3019,0)</x:f>
        <x:v>0.4</x:v>
      </x:c>
      <x:c r="T3019" s="28" t="n">
        <x:f>H3019-I3019</x:f>
        <x:v>2</x:v>
      </x:c>
      <x:c r="U3019" s="24" t="n">
        <x:f>IFERROR(J3019/H3019,0)-IFERROR(K3019/I3019,0)</x:f>
        <x:v>0.4642857142857143</x:v>
      </x:c>
      <x:c r="V3019" s="24" t="n">
        <x:f>IFERROR(F3019/J3019,0)-IFERROR(G3019/K3019,0)</x:f>
        <x:v>-0.2666666666666666</x:v>
      </x:c>
      <x:c r="W3019" s="28" t="n">
        <x:f>L3019-M3019</x:f>
        <x:v>-10</x:v>
      </x:c>
      <x:c r="X3019" s="24" t="n">
        <x:f>IFERROR(K3019/I3019,0)</x:f>
        <x:v>0.25</x:v>
      </x:c>
      <x:c r="Y3019" s="24" t="n">
        <x:f>IFERROR(G3019/I3019,0)</x:f>
        <x:v>0.16666666666666666</x:v>
      </x:c>
      <x:c r="Z3019" s="24" t="n">
        <x:f>IFERROR(G3019/K3019,0)</x:f>
        <x:v>0.6666666666666666</x:v>
      </x:c>
      <x:c r="AA3019" s="24" t="n">
        <x:f>IFERROR(F3019/H3019,0)-IFERROR(G3019/I3019,0)</x:f>
        <x:v>0.11904761904761904</x:v>
      </x:c>
      <x:c r="AB3019" s="28" t="n">
        <x:f>J3019-K3019</x:f>
        <x:v>7</x:v>
      </x:c>
      <x:c r="AC3019" s="32" t="n">
        <x:f>F3019-G3019</x:f>
        <x:v>2</x:v>
      </x:c>
    </x:row>
    <x:row r="3020">
      <x:c r="A3020" s="4" t="str">
        <x:v>2024-25</x:v>
      </x:c>
      <x:c r="B3020" s="20" t="n">
        <x:v>45797</x:v>
      </x:c>
      <x:c r="C3020" s="4" t="str">
        <x:v>Man City</x:v>
      </x:c>
      <x:c r="D3020" s="4" t="str">
        <x:v>Bournemouth</x:v>
      </x:c>
      <x:c r="E3020" s="4" t="str">
        <x:v>Home</x:v>
      </x:c>
      <x:c r="F3020" s="28" t="n">
        <x:v>3</x:v>
      </x:c>
      <x:c r="G3020" s="28" t="n">
        <x:v>1</x:v>
      </x:c>
      <x:c r="H3020" s="28" t="n">
        <x:v>12</x:v>
      </x:c>
      <x:c r="I3020" s="28" t="n">
        <x:v>8</x:v>
      </x:c>
      <x:c r="J3020" s="28" t="n">
        <x:v>5</x:v>
      </x:c>
      <x:c r="K3020" s="28" t="n">
        <x:v>2</x:v>
      </x:c>
      <x:c r="L3020" s="28" t="n">
        <x:v>3</x:v>
      </x:c>
      <x:c r="M3020" s="28" t="n">
        <x:v>1</x:v>
      </x:c>
      <x:c r="N3020" s="28" t="n">
        <x:v>1</x:v>
      </x:c>
      <x:c r="O3020" s="28" t="n">
        <x:v>1</x:v>
      </x:c>
      <x:c r="P3020" s="28" t="n">
        <x:v>3</x:v>
      </x:c>
      <x:c r="Q3020" s="24" t="n">
        <x:f>IFERROR(J3020/H3020,0)</x:f>
        <x:v>0.4166666666666667</x:v>
      </x:c>
      <x:c r="R3020" s="24" t="n">
        <x:f>IFERROR(F3020/H3020,0)</x:f>
        <x:v>0.25</x:v>
      </x:c>
      <x:c r="S3020" s="24" t="n">
        <x:f>IFERROR(F3020/J3020,0)</x:f>
        <x:v>0.6</x:v>
      </x:c>
      <x:c r="T3020" s="28" t="n">
        <x:f>H3020-I3020</x:f>
        <x:v>4</x:v>
      </x:c>
      <x:c r="U3020" s="24" t="n">
        <x:f>IFERROR(J3020/H3020,0)-IFERROR(K3020/I3020,0)</x:f>
        <x:v>0.16666666666666669</x:v>
      </x:c>
      <x:c r="V3020" s="24" t="n">
        <x:f>IFERROR(F3020/J3020,0)-IFERROR(G3020/K3020,0)</x:f>
        <x:v>0.09999999999999998</x:v>
      </x:c>
      <x:c r="W3020" s="28" t="n">
        <x:f>L3020-M3020</x:f>
        <x:v>2</x:v>
      </x:c>
      <x:c r="X3020" s="24" t="n">
        <x:f>IFERROR(K3020/I3020,0)</x:f>
        <x:v>0.25</x:v>
      </x:c>
      <x:c r="Y3020" s="24" t="n">
        <x:f>IFERROR(G3020/I3020,0)</x:f>
        <x:v>0.125</x:v>
      </x:c>
      <x:c r="Z3020" s="24" t="n">
        <x:f>IFERROR(G3020/K3020,0)</x:f>
        <x:v>0.5</x:v>
      </x:c>
      <x:c r="AA3020" s="24" t="n">
        <x:f>IFERROR(F3020/H3020,0)-IFERROR(G3020/I3020,0)</x:f>
        <x:v>0.125</x:v>
      </x:c>
      <x:c r="AB3020" s="28" t="n">
        <x:f>J3020-K3020</x:f>
        <x:v>3</x:v>
      </x:c>
      <x:c r="AC3020" s="32" t="n">
        <x:f>F3020-G3020</x:f>
        <x:v>2</x:v>
      </x:c>
    </x:row>
    <x:row r="3021">
      <x:c r="A3021" s="4" t="str">
        <x:v>2024-25</x:v>
      </x:c>
      <x:c r="B3021" s="20" t="n">
        <x:v>45797</x:v>
      </x:c>
      <x:c r="C3021" s="4" t="str">
        <x:v>Wolves</x:v>
      </x:c>
      <x:c r="D3021" s="4" t="str">
        <x:v>Crystal Palace</x:v>
      </x:c>
      <x:c r="E3021" s="4" t="str">
        <x:v>Away</x:v>
      </x:c>
      <x:c r="F3021" s="28" t="n">
        <x:v>2</x:v>
      </x:c>
      <x:c r="G3021" s="28" t="n">
        <x:v>4</x:v>
      </x:c>
      <x:c r="H3021" s="28" t="n">
        <x:v>12</x:v>
      </x:c>
      <x:c r="I3021" s="28" t="n">
        <x:v>14</x:v>
      </x:c>
      <x:c r="J3021" s="28" t="n">
        <x:v>3</x:v>
      </x:c>
      <x:c r="K3021" s="28" t="n">
        <x:v>10</x:v>
      </x:c>
      <x:c r="L3021" s="28" t="n">
        <x:v>10</x:v>
      </x:c>
      <x:c r="M3021" s="28" t="n">
        <x:v>0</x:v>
      </x:c>
      <x:c r="N3021" s="28" t="n">
        <x:v>2</x:v>
      </x:c>
      <x:c r="O3021" s="28" t="n">
        <x:v>0</x:v>
      </x:c>
      <x:c r="P3021" s="28" t="n">
        <x:v>0</x:v>
      </x:c>
      <x:c r="Q3021" s="24" t="n">
        <x:f>IFERROR(J3021/H3021,0)</x:f>
        <x:v>0.25</x:v>
      </x:c>
      <x:c r="R3021" s="24" t="n">
        <x:f>IFERROR(F3021/H3021,0)</x:f>
        <x:v>0.16666666666666666</x:v>
      </x:c>
      <x:c r="S3021" s="24" t="n">
        <x:f>IFERROR(F3021/J3021,0)</x:f>
        <x:v>0.6666666666666666</x:v>
      </x:c>
      <x:c r="T3021" s="28" t="n">
        <x:f>H3021-I3021</x:f>
        <x:v>-2</x:v>
      </x:c>
      <x:c r="U3021" s="24" t="n">
        <x:f>IFERROR(J3021/H3021,0)-IFERROR(K3021/I3021,0)</x:f>
        <x:v>-0.4642857142857143</x:v>
      </x:c>
      <x:c r="V3021" s="24" t="n">
        <x:f>IFERROR(F3021/J3021,0)-IFERROR(G3021/K3021,0)</x:f>
        <x:v>0.2666666666666666</x:v>
      </x:c>
      <x:c r="W3021" s="28" t="n">
        <x:f>L3021-M3021</x:f>
        <x:v>10</x:v>
      </x:c>
      <x:c r="X3021" s="24" t="n">
        <x:f>IFERROR(K3021/I3021,0)</x:f>
        <x:v>0.7142857142857143</x:v>
      </x:c>
      <x:c r="Y3021" s="24" t="n">
        <x:f>IFERROR(G3021/I3021,0)</x:f>
        <x:v>0.2857142857142857</x:v>
      </x:c>
      <x:c r="Z3021" s="24" t="n">
        <x:f>IFERROR(G3021/K3021,0)</x:f>
        <x:v>0.4</x:v>
      </x:c>
      <x:c r="AA3021" s="24" t="n">
        <x:f>IFERROR(F3021/H3021,0)-IFERROR(G3021/I3021,0)</x:f>
        <x:v>-0.11904761904761904</x:v>
      </x:c>
      <x:c r="AB3021" s="28" t="n">
        <x:f>J3021-K3021</x:f>
        <x:v>-7</x:v>
      </x:c>
      <x:c r="AC3021" s="32" t="n">
        <x:f>F3021-G3021</x:f>
        <x:v>-2</x:v>
      </x:c>
    </x:row>
    <x:row r="3022">
      <x:c r="A3022" s="4" t="str">
        <x:v>2024-25</x:v>
      </x:c>
      <x:c r="B3022" s="20" t="n">
        <x:v>45802</x:v>
      </x:c>
      <x:c r="C3022" s="4" t="str">
        <x:v>Arsenal</x:v>
      </x:c>
      <x:c r="D3022" s="4" t="str">
        <x:v>Southampton</x:v>
      </x:c>
      <x:c r="E3022" s="4" t="str">
        <x:v>Away</x:v>
      </x:c>
      <x:c r="F3022" s="28" t="n">
        <x:v>2</x:v>
      </x:c>
      <x:c r="G3022" s="28" t="n">
        <x:v>1</x:v>
      </x:c>
      <x:c r="H3022" s="28" t="n">
        <x:v>23</x:v>
      </x:c>
      <x:c r="I3022" s="28" t="n">
        <x:v>7</x:v>
      </x:c>
      <x:c r="J3022" s="28" t="n">
        <x:v>8</x:v>
      </x:c>
      <x:c r="K3022" s="28" t="n">
        <x:v>2</x:v>
      </x:c>
      <x:c r="L3022" s="28" t="n">
        <x:v>8</x:v>
      </x:c>
      <x:c r="M3022" s="28" t="n">
        <x:v>5</x:v>
      </x:c>
      <x:c r="N3022" s="28" t="n">
        <x:v>0</x:v>
      </x:c>
      <x:c r="O3022" s="28" t="n">
        <x:v>0</x:v>
      </x:c>
      <x:c r="P3022" s="28" t="n">
        <x:v>3</x:v>
      </x:c>
      <x:c r="Q3022" s="24" t="n">
        <x:f>IFERROR(J3022/H3022,0)</x:f>
        <x:v>0.34782608695652173</x:v>
      </x:c>
      <x:c r="R3022" s="24" t="n">
        <x:f>IFERROR(F3022/H3022,0)</x:f>
        <x:v>0.08695652173913043</x:v>
      </x:c>
      <x:c r="S3022" s="24" t="n">
        <x:f>IFERROR(F3022/J3022,0)</x:f>
        <x:v>0.25</x:v>
      </x:c>
      <x:c r="T3022" s="28" t="n">
        <x:f>H3022-I3022</x:f>
        <x:v>16</x:v>
      </x:c>
      <x:c r="U3022" s="24" t="n">
        <x:f>IFERROR(J3022/H3022,0)-IFERROR(K3022/I3022,0)</x:f>
        <x:v>0.06211180124223603</x:v>
      </x:c>
      <x:c r="V3022" s="24" t="n">
        <x:f>IFERROR(F3022/J3022,0)-IFERROR(G3022/K3022,0)</x:f>
        <x:v>-0.25</x:v>
      </x:c>
      <x:c r="W3022" s="28" t="n">
        <x:f>L3022-M3022</x:f>
        <x:v>3</x:v>
      </x:c>
      <x:c r="X3022" s="24" t="n">
        <x:f>IFERROR(K3022/I3022,0)</x:f>
        <x:v>0.2857142857142857</x:v>
      </x:c>
      <x:c r="Y3022" s="24" t="n">
        <x:f>IFERROR(G3022/I3022,0)</x:f>
        <x:v>0.14285714285714285</x:v>
      </x:c>
      <x:c r="Z3022" s="24" t="n">
        <x:f>IFERROR(G3022/K3022,0)</x:f>
        <x:v>0.5</x:v>
      </x:c>
      <x:c r="AA3022" s="24" t="n">
        <x:f>IFERROR(F3022/H3022,0)-IFERROR(G3022/I3022,0)</x:f>
        <x:v>-0.05590062111801242</x:v>
      </x:c>
      <x:c r="AB3022" s="28" t="n">
        <x:f>J3022-K3022</x:f>
        <x:v>6</x:v>
      </x:c>
      <x:c r="AC3022" s="32" t="n">
        <x:f>F3022-G3022</x:f>
        <x:v>1</x:v>
      </x:c>
    </x:row>
    <x:row r="3023">
      <x:c r="A3023" s="4" t="str">
        <x:v>2024-25</x:v>
      </x:c>
      <x:c r="B3023" s="20" t="n">
        <x:v>45802</x:v>
      </x:c>
      <x:c r="C3023" s="4" t="str">
        <x:v>Aston Villa</x:v>
      </x:c>
      <x:c r="D3023" s="4" t="str">
        <x:v>Man United</x:v>
      </x:c>
      <x:c r="E3023" s="4" t="str">
        <x:v>Away</x:v>
      </x:c>
      <x:c r="F3023" s="28" t="n">
        <x:v>0</x:v>
      </x:c>
      <x:c r="G3023" s="28" t="n">
        <x:v>2</x:v>
      </x:c>
      <x:c r="H3023" s="28" t="n">
        <x:v>6</x:v>
      </x:c>
      <x:c r="I3023" s="28" t="n">
        <x:v>25</x:v>
      </x:c>
      <x:c r="J3023" s="28" t="n">
        <x:v>1</x:v>
      </x:c>
      <x:c r="K3023" s="28" t="n">
        <x:v>10</x:v>
      </x:c>
      <x:c r="L3023" s="28" t="n">
        <x:v>3</x:v>
      </x:c>
      <x:c r="M3023" s="28" t="n">
        <x:v>4</x:v>
      </x:c>
      <x:c r="N3023" s="28" t="n">
        <x:v>2</x:v>
      </x:c>
      <x:c r="O3023" s="28" t="n">
        <x:v>1</x:v>
      </x:c>
      <x:c r="P3023" s="28" t="n">
        <x:v>0</x:v>
      </x:c>
      <x:c r="Q3023" s="24" t="n">
        <x:f>IFERROR(J3023/H3023,0)</x:f>
        <x:v>0.16666666666666666</x:v>
      </x:c>
      <x:c r="R3023" s="24" t="n">
        <x:f>IFERROR(F3023/H3023,0)</x:f>
        <x:v>0</x:v>
      </x:c>
      <x:c r="S3023" s="24" t="n">
        <x:f>IFERROR(F3023/J3023,0)</x:f>
        <x:v>0</x:v>
      </x:c>
      <x:c r="T3023" s="28" t="n">
        <x:f>H3023-I3023</x:f>
        <x:v>-19</x:v>
      </x:c>
      <x:c r="U3023" s="24" t="n">
        <x:f>IFERROR(J3023/H3023,0)-IFERROR(K3023/I3023,0)</x:f>
        <x:v>-0.23333333333333336</x:v>
      </x:c>
      <x:c r="V3023" s="24" t="n">
        <x:f>IFERROR(F3023/J3023,0)-IFERROR(G3023/K3023,0)</x:f>
        <x:v>-0.2</x:v>
      </x:c>
      <x:c r="W3023" s="28" t="n">
        <x:f>L3023-M3023</x:f>
        <x:v>-1</x:v>
      </x:c>
      <x:c r="X3023" s="24" t="n">
        <x:f>IFERROR(K3023/I3023,0)</x:f>
        <x:v>0.4</x:v>
      </x:c>
      <x:c r="Y3023" s="24" t="n">
        <x:f>IFERROR(G3023/I3023,0)</x:f>
        <x:v>0.08</x:v>
      </x:c>
      <x:c r="Z3023" s="24" t="n">
        <x:f>IFERROR(G3023/K3023,0)</x:f>
        <x:v>0.2</x:v>
      </x:c>
      <x:c r="AA3023" s="24" t="n">
        <x:f>IFERROR(F3023/H3023,0)-IFERROR(G3023/I3023,0)</x:f>
        <x:v>-0.08</x:v>
      </x:c>
      <x:c r="AB3023" s="28" t="n">
        <x:f>J3023-K3023</x:f>
        <x:v>-9</x:v>
      </x:c>
      <x:c r="AC3023" s="32" t="n">
        <x:f>F3023-G3023</x:f>
        <x:v>-2</x:v>
      </x:c>
    </x:row>
    <x:row r="3024">
      <x:c r="A3024" s="4" t="str">
        <x:v>2024-25</x:v>
      </x:c>
      <x:c r="B3024" s="20" t="n">
        <x:v>45802</x:v>
      </x:c>
      <x:c r="C3024" s="4" t="str">
        <x:v>Bournemouth</x:v>
      </x:c>
      <x:c r="D3024" s="4" t="str">
        <x:v>Leicester</x:v>
      </x:c>
      <x:c r="E3024" s="4" t="str">
        <x:v>Home</x:v>
      </x:c>
      <x:c r="F3024" s="28" t="n">
        <x:v>2</x:v>
      </x:c>
      <x:c r="G3024" s="28" t="n">
        <x:v>0</x:v>
      </x:c>
      <x:c r="H3024" s="28" t="n">
        <x:v>20</x:v>
      </x:c>
      <x:c r="I3024" s="28" t="n">
        <x:v>3</x:v>
      </x:c>
      <x:c r="J3024" s="28" t="n">
        <x:v>7</x:v>
      </x:c>
      <x:c r="K3024" s="28" t="n">
        <x:v>0</x:v>
      </x:c>
      <x:c r="L3024" s="28" t="n">
        <x:v>6</x:v>
      </x:c>
      <x:c r="M3024" s="28" t="n">
        <x:v>1</x:v>
      </x:c>
      <x:c r="N3024" s="28" t="n">
        <x:v>0</x:v>
      </x:c>
      <x:c r="O3024" s="28" t="n">
        <x:v>0</x:v>
      </x:c>
      <x:c r="P3024" s="28" t="n">
        <x:v>3</x:v>
      </x:c>
      <x:c r="Q3024" s="24" t="n">
        <x:f>IFERROR(J3024/H3024,0)</x:f>
        <x:v>0.35</x:v>
      </x:c>
      <x:c r="R3024" s="24" t="n">
        <x:f>IFERROR(F3024/H3024,0)</x:f>
        <x:v>0.1</x:v>
      </x:c>
      <x:c r="S3024" s="24" t="n">
        <x:f>IFERROR(F3024/J3024,0)</x:f>
        <x:v>0.2857142857142857</x:v>
      </x:c>
      <x:c r="T3024" s="28" t="n">
        <x:f>H3024-I3024</x:f>
        <x:v>17</x:v>
      </x:c>
      <x:c r="U3024" s="24" t="n">
        <x:f>IFERROR(J3024/H3024,0)-IFERROR(K3024/I3024,0)</x:f>
        <x:v>0.35</x:v>
      </x:c>
      <x:c r="V3024" s="24" t="n">
        <x:f>IFERROR(F3024/J3024,0)-IFERROR(G3024/K3024,0)</x:f>
        <x:v>0.2857142857142857</x:v>
      </x:c>
      <x:c r="W3024" s="28" t="n">
        <x:f>L3024-M3024</x:f>
        <x:v>5</x:v>
      </x:c>
      <x:c r="X3024" s="24" t="n">
        <x:f>IFERROR(K3024/I3024,0)</x:f>
        <x:v>0</x:v>
      </x:c>
      <x:c r="Y3024" s="24" t="n">
        <x:f>IFERROR(G3024/I3024,0)</x:f>
        <x:v>0</x:v>
      </x:c>
      <x:c r="Z3024" s="24" t="n">
        <x:f>IFERROR(G3024/K3024,0)</x:f>
        <x:v>0</x:v>
      </x:c>
      <x:c r="AA3024" s="24" t="n">
        <x:f>IFERROR(F3024/H3024,0)-IFERROR(G3024/I3024,0)</x:f>
        <x:v>0.1</x:v>
      </x:c>
      <x:c r="AB3024" s="28" t="n">
        <x:f>J3024-K3024</x:f>
        <x:v>7</x:v>
      </x:c>
      <x:c r="AC3024" s="32" t="n">
        <x:f>F3024-G3024</x:f>
        <x:v>2</x:v>
      </x:c>
    </x:row>
    <x:row r="3025">
      <x:c r="A3025" s="4" t="str">
        <x:v>2024-25</x:v>
      </x:c>
      <x:c r="B3025" s="20" t="n">
        <x:v>45802</x:v>
      </x:c>
      <x:c r="C3025" s="4" t="str">
        <x:v>Brentford</x:v>
      </x:c>
      <x:c r="D3025" s="4" t="str">
        <x:v>Wolves</x:v>
      </x:c>
      <x:c r="E3025" s="4" t="str">
        <x:v>Away</x:v>
      </x:c>
      <x:c r="F3025" s="28" t="n">
        <x:v>1</x:v>
      </x:c>
      <x:c r="G3025" s="28" t="n">
        <x:v>1</x:v>
      </x:c>
      <x:c r="H3025" s="28" t="n">
        <x:v>13</x:v>
      </x:c>
      <x:c r="I3025" s="28" t="n">
        <x:v>18</x:v>
      </x:c>
      <x:c r="J3025" s="28" t="n">
        <x:v>7</x:v>
      </x:c>
      <x:c r="K3025" s="28" t="n">
        <x:v>6</x:v>
      </x:c>
      <x:c r="L3025" s="28" t="n">
        <x:v>3</x:v>
      </x:c>
      <x:c r="M3025" s="28" t="n">
        <x:v>8</x:v>
      </x:c>
      <x:c r="N3025" s="28" t="n">
        <x:v>1</x:v>
      </x:c>
      <x:c r="O3025" s="28" t="n">
        <x:v>0</x:v>
      </x:c>
      <x:c r="P3025" s="28" t="n">
        <x:v>1</x:v>
      </x:c>
      <x:c r="Q3025" s="24" t="n">
        <x:f>IFERROR(J3025/H3025,0)</x:f>
        <x:v>0.5384615384615384</x:v>
      </x:c>
      <x:c r="R3025" s="24" t="n">
        <x:f>IFERROR(F3025/H3025,0)</x:f>
        <x:v>0.07692307692307693</x:v>
      </x:c>
      <x:c r="S3025" s="24" t="n">
        <x:f>IFERROR(F3025/J3025,0)</x:f>
        <x:v>0.14285714285714285</x:v>
      </x:c>
      <x:c r="T3025" s="28" t="n">
        <x:f>H3025-I3025</x:f>
        <x:v>-5</x:v>
      </x:c>
      <x:c r="U3025" s="24" t="n">
        <x:f>IFERROR(J3025/H3025,0)-IFERROR(K3025/I3025,0)</x:f>
        <x:v>0.20512820512820512</x:v>
      </x:c>
      <x:c r="V3025" s="24" t="n">
        <x:f>IFERROR(F3025/J3025,0)-IFERROR(G3025/K3025,0)</x:f>
        <x:v>-0.023809523809523808</x:v>
      </x:c>
      <x:c r="W3025" s="28" t="n">
        <x:f>L3025-M3025</x:f>
        <x:v>-5</x:v>
      </x:c>
      <x:c r="X3025" s="24" t="n">
        <x:f>IFERROR(K3025/I3025,0)</x:f>
        <x:v>0.3333333333333333</x:v>
      </x:c>
      <x:c r="Y3025" s="24" t="n">
        <x:f>IFERROR(G3025/I3025,0)</x:f>
        <x:v>0.05555555555555555</x:v>
      </x:c>
      <x:c r="Z3025" s="24" t="n">
        <x:f>IFERROR(G3025/K3025,0)</x:f>
        <x:v>0.16666666666666666</x:v>
      </x:c>
      <x:c r="AA3025" s="24" t="n">
        <x:f>IFERROR(F3025/H3025,0)-IFERROR(G3025/I3025,0)</x:f>
        <x:v>0.021367521367521375</x:v>
      </x:c>
      <x:c r="AB3025" s="28" t="n">
        <x:f>J3025-K3025</x:f>
        <x:v>1</x:v>
      </x:c>
      <x:c r="AC3025" s="32" t="n">
        <x:f>F3025-G3025</x:f>
        <x:v>0</x:v>
      </x:c>
    </x:row>
    <x:row r="3026">
      <x:c r="A3026" s="4" t="str">
        <x:v>2024-25</x:v>
      </x:c>
      <x:c r="B3026" s="20" t="n">
        <x:v>45802</x:v>
      </x:c>
      <x:c r="C3026" s="4" t="str">
        <x:v>Brighton</x:v>
      </x:c>
      <x:c r="D3026" s="4" t="str">
        <x:v>Tottenham</x:v>
      </x:c>
      <x:c r="E3026" s="4" t="str">
        <x:v>Away</x:v>
      </x:c>
      <x:c r="F3026" s="28" t="n">
        <x:v>4</x:v>
      </x:c>
      <x:c r="G3026" s="28" t="n">
        <x:v>1</x:v>
      </x:c>
      <x:c r="H3026" s="28" t="n">
        <x:v>23</x:v>
      </x:c>
      <x:c r="I3026" s="28" t="n">
        <x:v>4</x:v>
      </x:c>
      <x:c r="J3026" s="28" t="n">
        <x:v>8</x:v>
      </x:c>
      <x:c r="K3026" s="28" t="n">
        <x:v>2</x:v>
      </x:c>
      <x:c r="L3026" s="28" t="n">
        <x:v>11</x:v>
      </x:c>
      <x:c r="M3026" s="28" t="n">
        <x:v>2</x:v>
      </x:c>
      <x:c r="N3026" s="28" t="n">
        <x:v>1</x:v>
      </x:c>
      <x:c r="O3026" s="28" t="n">
        <x:v>0</x:v>
      </x:c>
      <x:c r="P3026" s="28" t="n">
        <x:v>3</x:v>
      </x:c>
      <x:c r="Q3026" s="24" t="n">
        <x:f>IFERROR(J3026/H3026,0)</x:f>
        <x:v>0.34782608695652173</x:v>
      </x:c>
      <x:c r="R3026" s="24" t="n">
        <x:f>IFERROR(F3026/H3026,0)</x:f>
        <x:v>0.17391304347826086</x:v>
      </x:c>
      <x:c r="S3026" s="24" t="n">
        <x:f>IFERROR(F3026/J3026,0)</x:f>
        <x:v>0.5</x:v>
      </x:c>
      <x:c r="T3026" s="28" t="n">
        <x:f>H3026-I3026</x:f>
        <x:v>19</x:v>
      </x:c>
      <x:c r="U3026" s="24" t="n">
        <x:f>IFERROR(J3026/H3026,0)-IFERROR(K3026/I3026,0)</x:f>
        <x:v>-0.15217391304347827</x:v>
      </x:c>
      <x:c r="V3026" s="24" t="n">
        <x:f>IFERROR(F3026/J3026,0)-IFERROR(G3026/K3026,0)</x:f>
        <x:v>0</x:v>
      </x:c>
      <x:c r="W3026" s="28" t="n">
        <x:f>L3026-M3026</x:f>
        <x:v>9</x:v>
      </x:c>
      <x:c r="X3026" s="24" t="n">
        <x:f>IFERROR(K3026/I3026,0)</x:f>
        <x:v>0.5</x:v>
      </x:c>
      <x:c r="Y3026" s="24" t="n">
        <x:f>IFERROR(G3026/I3026,0)</x:f>
        <x:v>0.25</x:v>
      </x:c>
      <x:c r="Z3026" s="24" t="n">
        <x:f>IFERROR(G3026/K3026,0)</x:f>
        <x:v>0.5</x:v>
      </x:c>
      <x:c r="AA3026" s="24" t="n">
        <x:f>IFERROR(F3026/H3026,0)-IFERROR(G3026/I3026,0)</x:f>
        <x:v>-0.07608695652173914</x:v>
      </x:c>
      <x:c r="AB3026" s="28" t="n">
        <x:f>J3026-K3026</x:f>
        <x:v>6</x:v>
      </x:c>
      <x:c r="AC3026" s="32" t="n">
        <x:f>F3026-G3026</x:f>
        <x:v>3</x:v>
      </x:c>
    </x:row>
    <x:row r="3027">
      <x:c r="A3027" s="4" t="str">
        <x:v>2024-25</x:v>
      </x:c>
      <x:c r="B3027" s="20" t="n">
        <x:v>45802</x:v>
      </x:c>
      <x:c r="C3027" s="4" t="str">
        <x:v>Chelsea</x:v>
      </x:c>
      <x:c r="D3027" s="4" t="str">
        <x:v>Nott'm Forest</x:v>
      </x:c>
      <x:c r="E3027" s="4" t="str">
        <x:v>Away</x:v>
      </x:c>
      <x:c r="F3027" s="28" t="n">
        <x:v>1</x:v>
      </x:c>
      <x:c r="G3027" s="28" t="n">
        <x:v>0</x:v>
      </x:c>
      <x:c r="H3027" s="28" t="n">
        <x:v>6</x:v>
      </x:c>
      <x:c r="I3027" s="28" t="n">
        <x:v>10</x:v>
      </x:c>
      <x:c r="J3027" s="28" t="n">
        <x:v>2</x:v>
      </x:c>
      <x:c r="K3027" s="28" t="n">
        <x:v>2</x:v>
      </x:c>
      <x:c r="L3027" s="28" t="n">
        <x:v>4</x:v>
      </x:c>
      <x:c r="M3027" s="28" t="n">
        <x:v>7</x:v>
      </x:c>
      <x:c r="N3027" s="28" t="n">
        <x:v>2</x:v>
      </x:c>
      <x:c r="O3027" s="28" t="n">
        <x:v>0</x:v>
      </x:c>
      <x:c r="P3027" s="28" t="n">
        <x:v>3</x:v>
      </x:c>
      <x:c r="Q3027" s="24" t="n">
        <x:f>IFERROR(J3027/H3027,0)</x:f>
        <x:v>0.3333333333333333</x:v>
      </x:c>
      <x:c r="R3027" s="24" t="n">
        <x:f>IFERROR(F3027/H3027,0)</x:f>
        <x:v>0.16666666666666666</x:v>
      </x:c>
      <x:c r="S3027" s="24" t="n">
        <x:f>IFERROR(F3027/J3027,0)</x:f>
        <x:v>0.5</x:v>
      </x:c>
      <x:c r="T3027" s="28" t="n">
        <x:f>H3027-I3027</x:f>
        <x:v>-4</x:v>
      </x:c>
      <x:c r="U3027" s="24" t="n">
        <x:f>IFERROR(J3027/H3027,0)-IFERROR(K3027/I3027,0)</x:f>
        <x:v>0.1333333333333333</x:v>
      </x:c>
      <x:c r="V3027" s="24" t="n">
        <x:f>IFERROR(F3027/J3027,0)-IFERROR(G3027/K3027,0)</x:f>
        <x:v>0.5</x:v>
      </x:c>
      <x:c r="W3027" s="28" t="n">
        <x:f>L3027-M3027</x:f>
        <x:v>-3</x:v>
      </x:c>
      <x:c r="X3027" s="24" t="n">
        <x:f>IFERROR(K3027/I3027,0)</x:f>
        <x:v>0.2</x:v>
      </x:c>
      <x:c r="Y3027" s="24" t="n">
        <x:f>IFERROR(G3027/I3027,0)</x:f>
        <x:v>0</x:v>
      </x:c>
      <x:c r="Z3027" s="24" t="n">
        <x:f>IFERROR(G3027/K3027,0)</x:f>
        <x:v>0</x:v>
      </x:c>
      <x:c r="AA3027" s="24" t="n">
        <x:f>IFERROR(F3027/H3027,0)-IFERROR(G3027/I3027,0)</x:f>
        <x:v>0.16666666666666666</x:v>
      </x:c>
      <x:c r="AB3027" s="28" t="n">
        <x:f>J3027-K3027</x:f>
        <x:v>0</x:v>
      </x:c>
      <x:c r="AC3027" s="32" t="n">
        <x:f>F3027-G3027</x:f>
        <x:v>1</x:v>
      </x:c>
    </x:row>
    <x:row r="3028">
      <x:c r="A3028" s="4" t="str">
        <x:v>2024-25</x:v>
      </x:c>
      <x:c r="B3028" s="20" t="n">
        <x:v>45802</x:v>
      </x:c>
      <x:c r="C3028" s="4" t="str">
        <x:v>Crystal Palace</x:v>
      </x:c>
      <x:c r="D3028" s="4" t="str">
        <x:v>Liverpool</x:v>
      </x:c>
      <x:c r="E3028" s="4" t="str">
        <x:v>Away</x:v>
      </x:c>
      <x:c r="F3028" s="28" t="n">
        <x:v>1</x:v>
      </x:c>
      <x:c r="G3028" s="28" t="n">
        <x:v>1</x:v>
      </x:c>
      <x:c r="H3028" s="28" t="n">
        <x:v>8</x:v>
      </x:c>
      <x:c r="I3028" s="28" t="n">
        <x:v>14</x:v>
      </x:c>
      <x:c r="J3028" s="28" t="n">
        <x:v>5</x:v>
      </x:c>
      <x:c r="K3028" s="28" t="n">
        <x:v>3</x:v>
      </x:c>
      <x:c r="L3028" s="28" t="n">
        <x:v>0</x:v>
      </x:c>
      <x:c r="M3028" s="28" t="n">
        <x:v>11</x:v>
      </x:c>
      <x:c r="N3028" s="28" t="n">
        <x:v>0</x:v>
      </x:c>
      <x:c r="O3028" s="28" t="n">
        <x:v>0</x:v>
      </x:c>
      <x:c r="P3028" s="28" t="n">
        <x:v>1</x:v>
      </x:c>
      <x:c r="Q3028" s="24" t="n">
        <x:f>IFERROR(J3028/H3028,0)</x:f>
        <x:v>0.625</x:v>
      </x:c>
      <x:c r="R3028" s="24" t="n">
        <x:f>IFERROR(F3028/H3028,0)</x:f>
        <x:v>0.125</x:v>
      </x:c>
      <x:c r="S3028" s="24" t="n">
        <x:f>IFERROR(F3028/J3028,0)</x:f>
        <x:v>0.2</x:v>
      </x:c>
      <x:c r="T3028" s="28" t="n">
        <x:f>H3028-I3028</x:f>
        <x:v>-6</x:v>
      </x:c>
      <x:c r="U3028" s="24" t="n">
        <x:f>IFERROR(J3028/H3028,0)-IFERROR(K3028/I3028,0)</x:f>
        <x:v>0.4107142857142857</x:v>
      </x:c>
      <x:c r="V3028" s="24" t="n">
        <x:f>IFERROR(F3028/J3028,0)-IFERROR(G3028/K3028,0)</x:f>
        <x:v>-0.1333333333333333</x:v>
      </x:c>
      <x:c r="W3028" s="28" t="n">
        <x:f>L3028-M3028</x:f>
        <x:v>-11</x:v>
      </x:c>
      <x:c r="X3028" s="24" t="n">
        <x:f>IFERROR(K3028/I3028,0)</x:f>
        <x:v>0.21428571428571427</x:v>
      </x:c>
      <x:c r="Y3028" s="24" t="n">
        <x:f>IFERROR(G3028/I3028,0)</x:f>
        <x:v>0.07142857142857142</x:v>
      </x:c>
      <x:c r="Z3028" s="24" t="n">
        <x:f>IFERROR(G3028/K3028,0)</x:f>
        <x:v>0.3333333333333333</x:v>
      </x:c>
      <x:c r="AA3028" s="24" t="n">
        <x:f>IFERROR(F3028/H3028,0)-IFERROR(G3028/I3028,0)</x:f>
        <x:v>0.053571428571428575</x:v>
      </x:c>
      <x:c r="AB3028" s="28" t="n">
        <x:f>J3028-K3028</x:f>
        <x:v>2</x:v>
      </x:c>
      <x:c r="AC3028" s="32" t="n">
        <x:f>F3028-G3028</x:f>
        <x:v>0</x:v>
      </x:c>
    </x:row>
    <x:row r="3029">
      <x:c r="A3029" s="4" t="str">
        <x:v>2024-25</x:v>
      </x:c>
      <x:c r="B3029" s="20" t="n">
        <x:v>45802</x:v>
      </x:c>
      <x:c r="C3029" s="4" t="str">
        <x:v>Everton</x:v>
      </x:c>
      <x:c r="D3029" s="4" t="str">
        <x:v>Newcastle</x:v>
      </x:c>
      <x:c r="E3029" s="4" t="str">
        <x:v>Away</x:v>
      </x:c>
      <x:c r="F3029" s="28" t="n">
        <x:v>1</x:v>
      </x:c>
      <x:c r="G3029" s="28" t="n">
        <x:v>0</x:v>
      </x:c>
      <x:c r="H3029" s="28" t="n">
        <x:v>14</x:v>
      </x:c>
      <x:c r="I3029" s="28" t="n">
        <x:v>17</x:v>
      </x:c>
      <x:c r="J3029" s="28" t="n">
        <x:v>6</x:v>
      </x:c>
      <x:c r="K3029" s="28" t="n">
        <x:v>6</x:v>
      </x:c>
      <x:c r="L3029" s="28" t="n">
        <x:v>3</x:v>
      </x:c>
      <x:c r="M3029" s="28" t="n">
        <x:v>12</x:v>
      </x:c>
      <x:c r="N3029" s="28" t="n">
        <x:v>4</x:v>
      </x:c>
      <x:c r="O3029" s="28" t="n">
        <x:v>0</x:v>
      </x:c>
      <x:c r="P3029" s="28" t="n">
        <x:v>3</x:v>
      </x:c>
      <x:c r="Q3029" s="24" t="n">
        <x:f>IFERROR(J3029/H3029,0)</x:f>
        <x:v>0.42857142857142855</x:v>
      </x:c>
      <x:c r="R3029" s="24" t="n">
        <x:f>IFERROR(F3029/H3029,0)</x:f>
        <x:v>0.07142857142857142</x:v>
      </x:c>
      <x:c r="S3029" s="24" t="n">
        <x:f>IFERROR(F3029/J3029,0)</x:f>
        <x:v>0.16666666666666666</x:v>
      </x:c>
      <x:c r="T3029" s="28" t="n">
        <x:f>H3029-I3029</x:f>
        <x:v>-3</x:v>
      </x:c>
      <x:c r="U3029" s="24" t="n">
        <x:f>IFERROR(J3029/H3029,0)-IFERROR(K3029/I3029,0)</x:f>
        <x:v>0.07563025210084029</x:v>
      </x:c>
      <x:c r="V3029" s="24" t="n">
        <x:f>IFERROR(F3029/J3029,0)-IFERROR(G3029/K3029,0)</x:f>
        <x:v>0.16666666666666666</x:v>
      </x:c>
      <x:c r="W3029" s="28" t="n">
        <x:f>L3029-M3029</x:f>
        <x:v>-9</x:v>
      </x:c>
      <x:c r="X3029" s="24" t="n">
        <x:f>IFERROR(K3029/I3029,0)</x:f>
        <x:v>0.35294117647058826</x:v>
      </x:c>
      <x:c r="Y3029" s="24" t="n">
        <x:f>IFERROR(G3029/I3029,0)</x:f>
        <x:v>0</x:v>
      </x:c>
      <x:c r="Z3029" s="24" t="n">
        <x:f>IFERROR(G3029/K3029,0)</x:f>
        <x:v>0</x:v>
      </x:c>
      <x:c r="AA3029" s="24" t="n">
        <x:f>IFERROR(F3029/H3029,0)-IFERROR(G3029/I3029,0)</x:f>
        <x:v>0.07142857142857142</x:v>
      </x:c>
      <x:c r="AB3029" s="28" t="n">
        <x:f>J3029-K3029</x:f>
        <x:v>0</x:v>
      </x:c>
      <x:c r="AC3029" s="32" t="n">
        <x:f>F3029-G3029</x:f>
        <x:v>1</x:v>
      </x:c>
    </x:row>
    <x:row r="3030">
      <x:c r="A3030" s="4" t="str">
        <x:v>2024-25</x:v>
      </x:c>
      <x:c r="B3030" s="20" t="n">
        <x:v>45802</x:v>
      </x:c>
      <x:c r="C3030" s="4" t="str">
        <x:v>Fulham</x:v>
      </x:c>
      <x:c r="D3030" s="4" t="str">
        <x:v>Man City</x:v>
      </x:c>
      <x:c r="E3030" s="4" t="str">
        <x:v>Home</x:v>
      </x:c>
      <x:c r="F3030" s="28" t="n">
        <x:v>0</x:v>
      </x:c>
      <x:c r="G3030" s="28" t="n">
        <x:v>2</x:v>
      </x:c>
      <x:c r="H3030" s="28" t="n">
        <x:v>13</x:v>
      </x:c>
      <x:c r="I3030" s="28" t="n">
        <x:v>20</x:v>
      </x:c>
      <x:c r="J3030" s="28" t="n">
        <x:v>3</x:v>
      </x:c>
      <x:c r="K3030" s="28" t="n">
        <x:v>5</x:v>
      </x:c>
      <x:c r="L3030" s="28" t="n">
        <x:v>1</x:v>
      </x:c>
      <x:c r="M3030" s="28" t="n">
        <x:v>6</x:v>
      </x:c>
      <x:c r="N3030" s="28" t="n">
        <x:v>0</x:v>
      </x:c>
      <x:c r="O3030" s="28" t="n">
        <x:v>0</x:v>
      </x:c>
      <x:c r="P3030" s="28" t="n">
        <x:v>0</x:v>
      </x:c>
      <x:c r="Q3030" s="24" t="n">
        <x:f>IFERROR(J3030/H3030,0)</x:f>
        <x:v>0.23076923076923078</x:v>
      </x:c>
      <x:c r="R3030" s="24" t="n">
        <x:f>IFERROR(F3030/H3030,0)</x:f>
        <x:v>0</x:v>
      </x:c>
      <x:c r="S3030" s="24" t="n">
        <x:f>IFERROR(F3030/J3030,0)</x:f>
        <x:v>0</x:v>
      </x:c>
      <x:c r="T3030" s="28" t="n">
        <x:f>H3030-I3030</x:f>
        <x:v>-7</x:v>
      </x:c>
      <x:c r="U3030" s="24" t="n">
        <x:f>IFERROR(J3030/H3030,0)-IFERROR(K3030/I3030,0)</x:f>
        <x:v>-0.019230769230769218</x:v>
      </x:c>
      <x:c r="V3030" s="24" t="n">
        <x:f>IFERROR(F3030/J3030,0)-IFERROR(G3030/K3030,0)</x:f>
        <x:v>-0.4</x:v>
      </x:c>
      <x:c r="W3030" s="28" t="n">
        <x:f>L3030-M3030</x:f>
        <x:v>-5</x:v>
      </x:c>
      <x:c r="X3030" s="24" t="n">
        <x:f>IFERROR(K3030/I3030,0)</x:f>
        <x:v>0.25</x:v>
      </x:c>
      <x:c r="Y3030" s="24" t="n">
        <x:f>IFERROR(G3030/I3030,0)</x:f>
        <x:v>0.1</x:v>
      </x:c>
      <x:c r="Z3030" s="24" t="n">
        <x:f>IFERROR(G3030/K3030,0)</x:f>
        <x:v>0.4</x:v>
      </x:c>
      <x:c r="AA3030" s="24" t="n">
        <x:f>IFERROR(F3030/H3030,0)-IFERROR(G3030/I3030,0)</x:f>
        <x:v>-0.1</x:v>
      </x:c>
      <x:c r="AB3030" s="28" t="n">
        <x:f>J3030-K3030</x:f>
        <x:v>-2</x:v>
      </x:c>
      <x:c r="AC3030" s="32" t="n">
        <x:f>F3030-G3030</x:f>
        <x:v>-2</x:v>
      </x:c>
    </x:row>
    <x:row r="3031">
      <x:c r="A3031" s="4" t="str">
        <x:v>2024-25</x:v>
      </x:c>
      <x:c r="B3031" s="20" t="n">
        <x:v>45802</x:v>
      </x:c>
      <x:c r="C3031" s="4" t="str">
        <x:v>Ipswich</x:v>
      </x:c>
      <x:c r="D3031" s="4" t="str">
        <x:v>West Ham</x:v>
      </x:c>
      <x:c r="E3031" s="4" t="str">
        <x:v>Home</x:v>
      </x:c>
      <x:c r="F3031" s="28" t="n">
        <x:v>1</x:v>
      </x:c>
      <x:c r="G3031" s="28" t="n">
        <x:v>3</x:v>
      </x:c>
      <x:c r="H3031" s="28" t="n">
        <x:v>14</x:v>
      </x:c>
      <x:c r="I3031" s="28" t="n">
        <x:v>10</x:v>
      </x:c>
      <x:c r="J3031" s="28" t="n">
        <x:v>4</x:v>
      </x:c>
      <x:c r="K3031" s="28" t="n">
        <x:v>6</x:v>
      </x:c>
      <x:c r="L3031" s="28" t="n">
        <x:v>4</x:v>
      </x:c>
      <x:c r="M3031" s="28" t="n">
        <x:v>0</x:v>
      </x:c>
      <x:c r="N3031" s="28" t="n">
        <x:v>1</x:v>
      </x:c>
      <x:c r="O3031" s="28" t="n">
        <x:v>0</x:v>
      </x:c>
      <x:c r="P3031" s="28" t="n">
        <x:v>0</x:v>
      </x:c>
      <x:c r="Q3031" s="24" t="n">
        <x:f>IFERROR(J3031/H3031,0)</x:f>
        <x:v>0.2857142857142857</x:v>
      </x:c>
      <x:c r="R3031" s="24" t="n">
        <x:f>IFERROR(F3031/H3031,0)</x:f>
        <x:v>0.07142857142857142</x:v>
      </x:c>
      <x:c r="S3031" s="24" t="n">
        <x:f>IFERROR(F3031/J3031,0)</x:f>
        <x:v>0.25</x:v>
      </x:c>
      <x:c r="T3031" s="28" t="n">
        <x:f>H3031-I3031</x:f>
        <x:v>4</x:v>
      </x:c>
      <x:c r="U3031" s="24" t="n">
        <x:f>IFERROR(J3031/H3031,0)-IFERROR(K3031/I3031,0)</x:f>
        <x:v>-0.3142857142857143</x:v>
      </x:c>
      <x:c r="V3031" s="24" t="n">
        <x:f>IFERROR(F3031/J3031,0)-IFERROR(G3031/K3031,0)</x:f>
        <x:v>-0.25</x:v>
      </x:c>
      <x:c r="W3031" s="28" t="n">
        <x:f>L3031-M3031</x:f>
        <x:v>4</x:v>
      </x:c>
      <x:c r="X3031" s="24" t="n">
        <x:f>IFERROR(K3031/I3031,0)</x:f>
        <x:v>0.6</x:v>
      </x:c>
      <x:c r="Y3031" s="24" t="n">
        <x:f>IFERROR(G3031/I3031,0)</x:f>
        <x:v>0.3</x:v>
      </x:c>
      <x:c r="Z3031" s="24" t="n">
        <x:f>IFERROR(G3031/K3031,0)</x:f>
        <x:v>0.5</x:v>
      </x:c>
      <x:c r="AA3031" s="24" t="n">
        <x:f>IFERROR(F3031/H3031,0)-IFERROR(G3031/I3031,0)</x:f>
        <x:v>-0.22857142857142856</x:v>
      </x:c>
      <x:c r="AB3031" s="28" t="n">
        <x:f>J3031-K3031</x:f>
        <x:v>-2</x:v>
      </x:c>
      <x:c r="AC3031" s="32" t="n">
        <x:f>F3031-G3031</x:f>
        <x:v>-2</x:v>
      </x:c>
    </x:row>
    <x:row r="3032">
      <x:c r="A3032" s="4" t="str">
        <x:v>2024-25</x:v>
      </x:c>
      <x:c r="B3032" s="20" t="n">
        <x:v>45802</x:v>
      </x:c>
      <x:c r="C3032" s="4" t="str">
        <x:v>Leicester</x:v>
      </x:c>
      <x:c r="D3032" s="4" t="str">
        <x:v>Bournemouth</x:v>
      </x:c>
      <x:c r="E3032" s="4" t="str">
        <x:v>Away</x:v>
      </x:c>
      <x:c r="F3032" s="28" t="n">
        <x:v>0</x:v>
      </x:c>
      <x:c r="G3032" s="28" t="n">
        <x:v>2</x:v>
      </x:c>
      <x:c r="H3032" s="28" t="n">
        <x:v>3</x:v>
      </x:c>
      <x:c r="I3032" s="28" t="n">
        <x:v>20</x:v>
      </x:c>
      <x:c r="J3032" s="28" t="n">
        <x:v>0</x:v>
      </x:c>
      <x:c r="K3032" s="28" t="n">
        <x:v>7</x:v>
      </x:c>
      <x:c r="L3032" s="28" t="n">
        <x:v>1</x:v>
      </x:c>
      <x:c r="M3032" s="28" t="n">
        <x:v>6</x:v>
      </x:c>
      <x:c r="N3032" s="28" t="n">
        <x:v>2</x:v>
      </x:c>
      <x:c r="O3032" s="28" t="n">
        <x:v>0</x:v>
      </x:c>
      <x:c r="P3032" s="28" t="n">
        <x:v>0</x:v>
      </x:c>
      <x:c r="Q3032" s="24" t="n">
        <x:f>IFERROR(J3032/H3032,0)</x:f>
        <x:v>0</x:v>
      </x:c>
      <x:c r="R3032" s="24" t="n">
        <x:f>IFERROR(F3032/H3032,0)</x:f>
        <x:v>0</x:v>
      </x:c>
      <x:c r="S3032" s="24" t="n">
        <x:f>IFERROR(F3032/J3032,0)</x:f>
        <x:v>0</x:v>
      </x:c>
      <x:c r="T3032" s="28" t="n">
        <x:f>H3032-I3032</x:f>
        <x:v>-17</x:v>
      </x:c>
      <x:c r="U3032" s="24" t="n">
        <x:f>IFERROR(J3032/H3032,0)-IFERROR(K3032/I3032,0)</x:f>
        <x:v>-0.35</x:v>
      </x:c>
      <x:c r="V3032" s="24" t="n">
        <x:f>IFERROR(F3032/J3032,0)-IFERROR(G3032/K3032,0)</x:f>
        <x:v>-0.2857142857142857</x:v>
      </x:c>
      <x:c r="W3032" s="28" t="n">
        <x:f>L3032-M3032</x:f>
        <x:v>-5</x:v>
      </x:c>
      <x:c r="X3032" s="24" t="n">
        <x:f>IFERROR(K3032/I3032,0)</x:f>
        <x:v>0.35</x:v>
      </x:c>
      <x:c r="Y3032" s="24" t="n">
        <x:f>IFERROR(G3032/I3032,0)</x:f>
        <x:v>0.1</x:v>
      </x:c>
      <x:c r="Z3032" s="24" t="n">
        <x:f>IFERROR(G3032/K3032,0)</x:f>
        <x:v>0.2857142857142857</x:v>
      </x:c>
      <x:c r="AA3032" s="24" t="n">
        <x:f>IFERROR(F3032/H3032,0)-IFERROR(G3032/I3032,0)</x:f>
        <x:v>-0.1</x:v>
      </x:c>
      <x:c r="AB3032" s="28" t="n">
        <x:f>J3032-K3032</x:f>
        <x:v>-7</x:v>
      </x:c>
      <x:c r="AC3032" s="32" t="n">
        <x:f>F3032-G3032</x:f>
        <x:v>-2</x:v>
      </x:c>
    </x:row>
    <x:row r="3033">
      <x:c r="A3033" s="4" t="str">
        <x:v>2024-25</x:v>
      </x:c>
      <x:c r="B3033" s="20" t="n">
        <x:v>45802</x:v>
      </x:c>
      <x:c r="C3033" s="4" t="str">
        <x:v>Liverpool</x:v>
      </x:c>
      <x:c r="D3033" s="4" t="str">
        <x:v>Crystal Palace</x:v>
      </x:c>
      <x:c r="E3033" s="4" t="str">
        <x:v>Home</x:v>
      </x:c>
      <x:c r="F3033" s="28" t="n">
        <x:v>1</x:v>
      </x:c>
      <x:c r="G3033" s="28" t="n">
        <x:v>1</x:v>
      </x:c>
      <x:c r="H3033" s="28" t="n">
        <x:v>14</x:v>
      </x:c>
      <x:c r="I3033" s="28" t="n">
        <x:v>8</x:v>
      </x:c>
      <x:c r="J3033" s="28" t="n">
        <x:v>3</x:v>
      </x:c>
      <x:c r="K3033" s="28" t="n">
        <x:v>5</x:v>
      </x:c>
      <x:c r="L3033" s="28" t="n">
        <x:v>11</x:v>
      </x:c>
      <x:c r="M3033" s="28" t="n">
        <x:v>0</x:v>
      </x:c>
      <x:c r="N3033" s="28" t="n">
        <x:v>1</x:v>
      </x:c>
      <x:c r="O3033" s="28" t="n">
        <x:v>1</x:v>
      </x:c>
      <x:c r="P3033" s="28" t="n">
        <x:v>1</x:v>
      </x:c>
      <x:c r="Q3033" s="24" t="n">
        <x:f>IFERROR(J3033/H3033,0)</x:f>
        <x:v>0.21428571428571427</x:v>
      </x:c>
      <x:c r="R3033" s="24" t="n">
        <x:f>IFERROR(F3033/H3033,0)</x:f>
        <x:v>0.07142857142857142</x:v>
      </x:c>
      <x:c r="S3033" s="24" t="n">
        <x:f>IFERROR(F3033/J3033,0)</x:f>
        <x:v>0.3333333333333333</x:v>
      </x:c>
      <x:c r="T3033" s="28" t="n">
        <x:f>H3033-I3033</x:f>
        <x:v>6</x:v>
      </x:c>
      <x:c r="U3033" s="24" t="n">
        <x:f>IFERROR(J3033/H3033,0)-IFERROR(K3033/I3033,0)</x:f>
        <x:v>-0.4107142857142857</x:v>
      </x:c>
      <x:c r="V3033" s="24" t="n">
        <x:f>IFERROR(F3033/J3033,0)-IFERROR(G3033/K3033,0)</x:f>
        <x:v>0.1333333333333333</x:v>
      </x:c>
      <x:c r="W3033" s="28" t="n">
        <x:f>L3033-M3033</x:f>
        <x:v>11</x:v>
      </x:c>
      <x:c r="X3033" s="24" t="n">
        <x:f>IFERROR(K3033/I3033,0)</x:f>
        <x:v>0.625</x:v>
      </x:c>
      <x:c r="Y3033" s="24" t="n">
        <x:f>IFERROR(G3033/I3033,0)</x:f>
        <x:v>0.125</x:v>
      </x:c>
      <x:c r="Z3033" s="24" t="n">
        <x:f>IFERROR(G3033/K3033,0)</x:f>
        <x:v>0.2</x:v>
      </x:c>
      <x:c r="AA3033" s="24" t="n">
        <x:f>IFERROR(F3033/H3033,0)-IFERROR(G3033/I3033,0)</x:f>
        <x:v>-0.053571428571428575</x:v>
      </x:c>
      <x:c r="AB3033" s="28" t="n">
        <x:f>J3033-K3033</x:f>
        <x:v>-2</x:v>
      </x:c>
      <x:c r="AC3033" s="32" t="n">
        <x:f>F3033-G3033</x:f>
        <x:v>0</x:v>
      </x:c>
    </x:row>
    <x:row r="3034">
      <x:c r="A3034" s="4" t="str">
        <x:v>2024-25</x:v>
      </x:c>
      <x:c r="B3034" s="20" t="n">
        <x:v>45802</x:v>
      </x:c>
      <x:c r="C3034" s="4" t="str">
        <x:v>Man City</x:v>
      </x:c>
      <x:c r="D3034" s="4" t="str">
        <x:v>Fulham</x:v>
      </x:c>
      <x:c r="E3034" s="4" t="str">
        <x:v>Away</x:v>
      </x:c>
      <x:c r="F3034" s="28" t="n">
        <x:v>2</x:v>
      </x:c>
      <x:c r="G3034" s="28" t="n">
        <x:v>0</x:v>
      </x:c>
      <x:c r="H3034" s="28" t="n">
        <x:v>20</x:v>
      </x:c>
      <x:c r="I3034" s="28" t="n">
        <x:v>13</x:v>
      </x:c>
      <x:c r="J3034" s="28" t="n">
        <x:v>5</x:v>
      </x:c>
      <x:c r="K3034" s="28" t="n">
        <x:v>3</x:v>
      </x:c>
      <x:c r="L3034" s="28" t="n">
        <x:v>6</x:v>
      </x:c>
      <x:c r="M3034" s="28" t="n">
        <x:v>1</x:v>
      </x:c>
      <x:c r="N3034" s="28" t="n">
        <x:v>0</x:v>
      </x:c>
      <x:c r="O3034" s="28" t="n">
        <x:v>0</x:v>
      </x:c>
      <x:c r="P3034" s="28" t="n">
        <x:v>3</x:v>
      </x:c>
      <x:c r="Q3034" s="24" t="n">
        <x:f>IFERROR(J3034/H3034,0)</x:f>
        <x:v>0.25</x:v>
      </x:c>
      <x:c r="R3034" s="24" t="n">
        <x:f>IFERROR(F3034/H3034,0)</x:f>
        <x:v>0.1</x:v>
      </x:c>
      <x:c r="S3034" s="24" t="n">
        <x:f>IFERROR(F3034/J3034,0)</x:f>
        <x:v>0.4</x:v>
      </x:c>
      <x:c r="T3034" s="28" t="n">
        <x:f>H3034-I3034</x:f>
        <x:v>7</x:v>
      </x:c>
      <x:c r="U3034" s="24" t="n">
        <x:f>IFERROR(J3034/H3034,0)-IFERROR(K3034/I3034,0)</x:f>
        <x:v>0.019230769230769218</x:v>
      </x:c>
      <x:c r="V3034" s="24" t="n">
        <x:f>IFERROR(F3034/J3034,0)-IFERROR(G3034/K3034,0)</x:f>
        <x:v>0.4</x:v>
      </x:c>
      <x:c r="W3034" s="28" t="n">
        <x:f>L3034-M3034</x:f>
        <x:v>5</x:v>
      </x:c>
      <x:c r="X3034" s="24" t="n">
        <x:f>IFERROR(K3034/I3034,0)</x:f>
        <x:v>0.23076923076923078</x:v>
      </x:c>
      <x:c r="Y3034" s="24" t="n">
        <x:f>IFERROR(G3034/I3034,0)</x:f>
        <x:v>0</x:v>
      </x:c>
      <x:c r="Z3034" s="24" t="n">
        <x:f>IFERROR(G3034/K3034,0)</x:f>
        <x:v>0</x:v>
      </x:c>
      <x:c r="AA3034" s="24" t="n">
        <x:f>IFERROR(F3034/H3034,0)-IFERROR(G3034/I3034,0)</x:f>
        <x:v>0.1</x:v>
      </x:c>
      <x:c r="AB3034" s="28" t="n">
        <x:f>J3034-K3034</x:f>
        <x:v>2</x:v>
      </x:c>
      <x:c r="AC3034" s="32" t="n">
        <x:f>F3034-G3034</x:f>
        <x:v>2</x:v>
      </x:c>
    </x:row>
    <x:row r="3035">
      <x:c r="A3035" s="4" t="str">
        <x:v>2024-25</x:v>
      </x:c>
      <x:c r="B3035" s="20" t="n">
        <x:v>45802</x:v>
      </x:c>
      <x:c r="C3035" s="4" t="str">
        <x:v>Man United</x:v>
      </x:c>
      <x:c r="D3035" s="4" t="str">
        <x:v>Aston Villa</x:v>
      </x:c>
      <x:c r="E3035" s="4" t="str">
        <x:v>Home</x:v>
      </x:c>
      <x:c r="F3035" s="28" t="n">
        <x:v>2</x:v>
      </x:c>
      <x:c r="G3035" s="28" t="n">
        <x:v>0</x:v>
      </x:c>
      <x:c r="H3035" s="28" t="n">
        <x:v>25</x:v>
      </x:c>
      <x:c r="I3035" s="28" t="n">
        <x:v>6</x:v>
      </x:c>
      <x:c r="J3035" s="28" t="n">
        <x:v>10</x:v>
      </x:c>
      <x:c r="K3035" s="28" t="n">
        <x:v>1</x:v>
      </x:c>
      <x:c r="L3035" s="28" t="n">
        <x:v>4</x:v>
      </x:c>
      <x:c r="M3035" s="28" t="n">
        <x:v>3</x:v>
      </x:c>
      <x:c r="N3035" s="28" t="n">
        <x:v>2</x:v>
      </x:c>
      <x:c r="O3035" s="28" t="n">
        <x:v>0</x:v>
      </x:c>
      <x:c r="P3035" s="28" t="n">
        <x:v>3</x:v>
      </x:c>
      <x:c r="Q3035" s="24" t="n">
        <x:f>IFERROR(J3035/H3035,0)</x:f>
        <x:v>0.4</x:v>
      </x:c>
      <x:c r="R3035" s="24" t="n">
        <x:f>IFERROR(F3035/H3035,0)</x:f>
        <x:v>0.08</x:v>
      </x:c>
      <x:c r="S3035" s="24" t="n">
        <x:f>IFERROR(F3035/J3035,0)</x:f>
        <x:v>0.2</x:v>
      </x:c>
      <x:c r="T3035" s="28" t="n">
        <x:f>H3035-I3035</x:f>
        <x:v>19</x:v>
      </x:c>
      <x:c r="U3035" s="24" t="n">
        <x:f>IFERROR(J3035/H3035,0)-IFERROR(K3035/I3035,0)</x:f>
        <x:v>0.23333333333333336</x:v>
      </x:c>
      <x:c r="V3035" s="24" t="n">
        <x:f>IFERROR(F3035/J3035,0)-IFERROR(G3035/K3035,0)</x:f>
        <x:v>0.2</x:v>
      </x:c>
      <x:c r="W3035" s="28" t="n">
        <x:f>L3035-M3035</x:f>
        <x:v>1</x:v>
      </x:c>
      <x:c r="X3035" s="24" t="n">
        <x:f>IFERROR(K3035/I3035,0)</x:f>
        <x:v>0.16666666666666666</x:v>
      </x:c>
      <x:c r="Y3035" s="24" t="n">
        <x:f>IFERROR(G3035/I3035,0)</x:f>
        <x:v>0</x:v>
      </x:c>
      <x:c r="Z3035" s="24" t="n">
        <x:f>IFERROR(G3035/K3035,0)</x:f>
        <x:v>0</x:v>
      </x:c>
      <x:c r="AA3035" s="24" t="n">
        <x:f>IFERROR(F3035/H3035,0)-IFERROR(G3035/I3035,0)</x:f>
        <x:v>0.08</x:v>
      </x:c>
      <x:c r="AB3035" s="28" t="n">
        <x:f>J3035-K3035</x:f>
        <x:v>9</x:v>
      </x:c>
      <x:c r="AC3035" s="32" t="n">
        <x:f>F3035-G3035</x:f>
        <x:v>2</x:v>
      </x:c>
    </x:row>
    <x:row r="3036">
      <x:c r="A3036" s="4" t="str">
        <x:v>2024-25</x:v>
      </x:c>
      <x:c r="B3036" s="20" t="n">
        <x:v>45802</x:v>
      </x:c>
      <x:c r="C3036" s="4" t="str">
        <x:v>Newcastle</x:v>
      </x:c>
      <x:c r="D3036" s="4" t="str">
        <x:v>Everton</x:v>
      </x:c>
      <x:c r="E3036" s="4" t="str">
        <x:v>Home</x:v>
      </x:c>
      <x:c r="F3036" s="28" t="n">
        <x:v>0</x:v>
      </x:c>
      <x:c r="G3036" s="28" t="n">
        <x:v>1</x:v>
      </x:c>
      <x:c r="H3036" s="28" t="n">
        <x:v>17</x:v>
      </x:c>
      <x:c r="I3036" s="28" t="n">
        <x:v>14</x:v>
      </x:c>
      <x:c r="J3036" s="28" t="n">
        <x:v>6</x:v>
      </x:c>
      <x:c r="K3036" s="28" t="n">
        <x:v>6</x:v>
      </x:c>
      <x:c r="L3036" s="28" t="n">
        <x:v>12</x:v>
      </x:c>
      <x:c r="M3036" s="28" t="n">
        <x:v>3</x:v>
      </x:c>
      <x:c r="N3036" s="28" t="n">
        <x:v>1</x:v>
      </x:c>
      <x:c r="O3036" s="28" t="n">
        <x:v>0</x:v>
      </x:c>
      <x:c r="P3036" s="28" t="n">
        <x:v>0</x:v>
      </x:c>
      <x:c r="Q3036" s="24" t="n">
        <x:f>IFERROR(J3036/H3036,0)</x:f>
        <x:v>0.35294117647058826</x:v>
      </x:c>
      <x:c r="R3036" s="24" t="n">
        <x:f>IFERROR(F3036/H3036,0)</x:f>
        <x:v>0</x:v>
      </x:c>
      <x:c r="S3036" s="24" t="n">
        <x:f>IFERROR(F3036/J3036,0)</x:f>
        <x:v>0</x:v>
      </x:c>
      <x:c r="T3036" s="28" t="n">
        <x:f>H3036-I3036</x:f>
        <x:v>3</x:v>
      </x:c>
      <x:c r="U3036" s="24" t="n">
        <x:f>IFERROR(J3036/H3036,0)-IFERROR(K3036/I3036,0)</x:f>
        <x:v>-0.07563025210084029</x:v>
      </x:c>
      <x:c r="V3036" s="24" t="n">
        <x:f>IFERROR(F3036/J3036,0)-IFERROR(G3036/K3036,0)</x:f>
        <x:v>-0.16666666666666666</x:v>
      </x:c>
      <x:c r="W3036" s="28" t="n">
        <x:f>L3036-M3036</x:f>
        <x:v>9</x:v>
      </x:c>
      <x:c r="X3036" s="24" t="n">
        <x:f>IFERROR(K3036/I3036,0)</x:f>
        <x:v>0.42857142857142855</x:v>
      </x:c>
      <x:c r="Y3036" s="24" t="n">
        <x:f>IFERROR(G3036/I3036,0)</x:f>
        <x:v>0.07142857142857142</x:v>
      </x:c>
      <x:c r="Z3036" s="24" t="n">
        <x:f>IFERROR(G3036/K3036,0)</x:f>
        <x:v>0.16666666666666666</x:v>
      </x:c>
      <x:c r="AA3036" s="24" t="n">
        <x:f>IFERROR(F3036/H3036,0)-IFERROR(G3036/I3036,0)</x:f>
        <x:v>-0.07142857142857142</x:v>
      </x:c>
      <x:c r="AB3036" s="28" t="n">
        <x:f>J3036-K3036</x:f>
        <x:v>0</x:v>
      </x:c>
      <x:c r="AC3036" s="32" t="n">
        <x:f>F3036-G3036</x:f>
        <x:v>-1</x:v>
      </x:c>
    </x:row>
    <x:row r="3037">
      <x:c r="A3037" s="4" t="str">
        <x:v>2024-25</x:v>
      </x:c>
      <x:c r="B3037" s="20" t="n">
        <x:v>45802</x:v>
      </x:c>
      <x:c r="C3037" s="4" t="str">
        <x:v>Nott'm Forest</x:v>
      </x:c>
      <x:c r="D3037" s="4" t="str">
        <x:v>Chelsea</x:v>
      </x:c>
      <x:c r="E3037" s="4" t="str">
        <x:v>Home</x:v>
      </x:c>
      <x:c r="F3037" s="28" t="n">
        <x:v>0</x:v>
      </x:c>
      <x:c r="G3037" s="28" t="n">
        <x:v>1</x:v>
      </x:c>
      <x:c r="H3037" s="28" t="n">
        <x:v>10</x:v>
      </x:c>
      <x:c r="I3037" s="28" t="n">
        <x:v>6</x:v>
      </x:c>
      <x:c r="J3037" s="28" t="n">
        <x:v>2</x:v>
      </x:c>
      <x:c r="K3037" s="28" t="n">
        <x:v>2</x:v>
      </x:c>
      <x:c r="L3037" s="28" t="n">
        <x:v>7</x:v>
      </x:c>
      <x:c r="M3037" s="28" t="n">
        <x:v>4</x:v>
      </x:c>
      <x:c r="N3037" s="28" t="n">
        <x:v>2</x:v>
      </x:c>
      <x:c r="O3037" s="28" t="n">
        <x:v>0</x:v>
      </x:c>
      <x:c r="P3037" s="28" t="n">
        <x:v>0</x:v>
      </x:c>
      <x:c r="Q3037" s="24" t="n">
        <x:f>IFERROR(J3037/H3037,0)</x:f>
        <x:v>0.2</x:v>
      </x:c>
      <x:c r="R3037" s="24" t="n">
        <x:f>IFERROR(F3037/H3037,0)</x:f>
        <x:v>0</x:v>
      </x:c>
      <x:c r="S3037" s="24" t="n">
        <x:f>IFERROR(F3037/J3037,0)</x:f>
        <x:v>0</x:v>
      </x:c>
      <x:c r="T3037" s="28" t="n">
        <x:f>H3037-I3037</x:f>
        <x:v>4</x:v>
      </x:c>
      <x:c r="U3037" s="24" t="n">
        <x:f>IFERROR(J3037/H3037,0)-IFERROR(K3037/I3037,0)</x:f>
        <x:v>-0.1333333333333333</x:v>
      </x:c>
      <x:c r="V3037" s="24" t="n">
        <x:f>IFERROR(F3037/J3037,0)-IFERROR(G3037/K3037,0)</x:f>
        <x:v>-0.5</x:v>
      </x:c>
      <x:c r="W3037" s="28" t="n">
        <x:f>L3037-M3037</x:f>
        <x:v>3</x:v>
      </x:c>
      <x:c r="X3037" s="24" t="n">
        <x:f>IFERROR(K3037/I3037,0)</x:f>
        <x:v>0.3333333333333333</x:v>
      </x:c>
      <x:c r="Y3037" s="24" t="n">
        <x:f>IFERROR(G3037/I3037,0)</x:f>
        <x:v>0.16666666666666666</x:v>
      </x:c>
      <x:c r="Z3037" s="24" t="n">
        <x:f>IFERROR(G3037/K3037,0)</x:f>
        <x:v>0.5</x:v>
      </x:c>
      <x:c r="AA3037" s="24" t="n">
        <x:f>IFERROR(F3037/H3037,0)-IFERROR(G3037/I3037,0)</x:f>
        <x:v>-0.16666666666666666</x:v>
      </x:c>
      <x:c r="AB3037" s="28" t="n">
        <x:f>J3037-K3037</x:f>
        <x:v>0</x:v>
      </x:c>
      <x:c r="AC3037" s="32" t="n">
        <x:f>F3037-G3037</x:f>
        <x:v>-1</x:v>
      </x:c>
    </x:row>
    <x:row r="3038">
      <x:c r="A3038" s="4" t="str">
        <x:v>2024-25</x:v>
      </x:c>
      <x:c r="B3038" s="20" t="n">
        <x:v>45802</x:v>
      </x:c>
      <x:c r="C3038" s="4" t="str">
        <x:v>Southampton</x:v>
      </x:c>
      <x:c r="D3038" s="4" t="str">
        <x:v>Arsenal</x:v>
      </x:c>
      <x:c r="E3038" s="4" t="str">
        <x:v>Home</x:v>
      </x:c>
      <x:c r="F3038" s="28" t="n">
        <x:v>1</x:v>
      </x:c>
      <x:c r="G3038" s="28" t="n">
        <x:v>2</x:v>
      </x:c>
      <x:c r="H3038" s="28" t="n">
        <x:v>7</x:v>
      </x:c>
      <x:c r="I3038" s="28" t="n">
        <x:v>23</x:v>
      </x:c>
      <x:c r="J3038" s="28" t="n">
        <x:v>2</x:v>
      </x:c>
      <x:c r="K3038" s="28" t="n">
        <x:v>8</x:v>
      </x:c>
      <x:c r="L3038" s="28" t="n">
        <x:v>5</x:v>
      </x:c>
      <x:c r="M3038" s="28" t="n">
        <x:v>8</x:v>
      </x:c>
      <x:c r="N3038" s="28" t="n">
        <x:v>0</x:v>
      </x:c>
      <x:c r="O3038" s="28" t="n">
        <x:v>0</x:v>
      </x:c>
      <x:c r="P3038" s="28" t="n">
        <x:v>0</x:v>
      </x:c>
      <x:c r="Q3038" s="24" t="n">
        <x:f>IFERROR(J3038/H3038,0)</x:f>
        <x:v>0.2857142857142857</x:v>
      </x:c>
      <x:c r="R3038" s="24" t="n">
        <x:f>IFERROR(F3038/H3038,0)</x:f>
        <x:v>0.14285714285714285</x:v>
      </x:c>
      <x:c r="S3038" s="24" t="n">
        <x:f>IFERROR(F3038/J3038,0)</x:f>
        <x:v>0.5</x:v>
      </x:c>
      <x:c r="T3038" s="28" t="n">
        <x:f>H3038-I3038</x:f>
        <x:v>-16</x:v>
      </x:c>
      <x:c r="U3038" s="24" t="n">
        <x:f>IFERROR(J3038/H3038,0)-IFERROR(K3038/I3038,0)</x:f>
        <x:v>-0.06211180124223603</x:v>
      </x:c>
      <x:c r="V3038" s="24" t="n">
        <x:f>IFERROR(F3038/J3038,0)-IFERROR(G3038/K3038,0)</x:f>
        <x:v>0.25</x:v>
      </x:c>
      <x:c r="W3038" s="28" t="n">
        <x:f>L3038-M3038</x:f>
        <x:v>-3</x:v>
      </x:c>
      <x:c r="X3038" s="24" t="n">
        <x:f>IFERROR(K3038/I3038,0)</x:f>
        <x:v>0.34782608695652173</x:v>
      </x:c>
      <x:c r="Y3038" s="24" t="n">
        <x:f>IFERROR(G3038/I3038,0)</x:f>
        <x:v>0.08695652173913043</x:v>
      </x:c>
      <x:c r="Z3038" s="24" t="n">
        <x:f>IFERROR(G3038/K3038,0)</x:f>
        <x:v>0.25</x:v>
      </x:c>
      <x:c r="AA3038" s="24" t="n">
        <x:f>IFERROR(F3038/H3038,0)-IFERROR(G3038/I3038,0)</x:f>
        <x:v>0.05590062111801242</x:v>
      </x:c>
      <x:c r="AB3038" s="28" t="n">
        <x:f>J3038-K3038</x:f>
        <x:v>-6</x:v>
      </x:c>
      <x:c r="AC3038" s="32" t="n">
        <x:f>F3038-G3038</x:f>
        <x:v>-1</x:v>
      </x:c>
    </x:row>
    <x:row r="3039">
      <x:c r="A3039" s="4" t="str">
        <x:v>2024-25</x:v>
      </x:c>
      <x:c r="B3039" s="20" t="n">
        <x:v>45802</x:v>
      </x:c>
      <x:c r="C3039" s="4" t="str">
        <x:v>Tottenham</x:v>
      </x:c>
      <x:c r="D3039" s="4" t="str">
        <x:v>Brighton</x:v>
      </x:c>
      <x:c r="E3039" s="4" t="str">
        <x:v>Home</x:v>
      </x:c>
      <x:c r="F3039" s="28" t="n">
        <x:v>1</x:v>
      </x:c>
      <x:c r="G3039" s="28" t="n">
        <x:v>4</x:v>
      </x:c>
      <x:c r="H3039" s="28" t="n">
        <x:v>4</x:v>
      </x:c>
      <x:c r="I3039" s="28" t="n">
        <x:v>23</x:v>
      </x:c>
      <x:c r="J3039" s="28" t="n">
        <x:v>2</x:v>
      </x:c>
      <x:c r="K3039" s="28" t="n">
        <x:v>8</x:v>
      </x:c>
      <x:c r="L3039" s="28" t="n">
        <x:v>2</x:v>
      </x:c>
      <x:c r="M3039" s="28" t="n">
        <x:v>11</x:v>
      </x:c>
      <x:c r="N3039" s="28" t="n">
        <x:v>3</x:v>
      </x:c>
      <x:c r="O3039" s="28" t="n">
        <x:v>0</x:v>
      </x:c>
      <x:c r="P3039" s="28" t="n">
        <x:v>0</x:v>
      </x:c>
      <x:c r="Q3039" s="24" t="n">
        <x:f>IFERROR(J3039/H3039,0)</x:f>
        <x:v>0.5</x:v>
      </x:c>
      <x:c r="R3039" s="24" t="n">
        <x:f>IFERROR(F3039/H3039,0)</x:f>
        <x:v>0.25</x:v>
      </x:c>
      <x:c r="S3039" s="24" t="n">
        <x:f>IFERROR(F3039/J3039,0)</x:f>
        <x:v>0.5</x:v>
      </x:c>
      <x:c r="T3039" s="28" t="n">
        <x:f>H3039-I3039</x:f>
        <x:v>-19</x:v>
      </x:c>
      <x:c r="U3039" s="24" t="n">
        <x:f>IFERROR(J3039/H3039,0)-IFERROR(K3039/I3039,0)</x:f>
        <x:v>0.15217391304347827</x:v>
      </x:c>
      <x:c r="V3039" s="24" t="n">
        <x:f>IFERROR(F3039/J3039,0)-IFERROR(G3039/K3039,0)</x:f>
        <x:v>0</x:v>
      </x:c>
      <x:c r="W3039" s="28" t="n">
        <x:f>L3039-M3039</x:f>
        <x:v>-9</x:v>
      </x:c>
      <x:c r="X3039" s="24" t="n">
        <x:f>IFERROR(K3039/I3039,0)</x:f>
        <x:v>0.34782608695652173</x:v>
      </x:c>
      <x:c r="Y3039" s="24" t="n">
        <x:f>IFERROR(G3039/I3039,0)</x:f>
        <x:v>0.17391304347826086</x:v>
      </x:c>
      <x:c r="Z3039" s="24" t="n">
        <x:f>IFERROR(G3039/K3039,0)</x:f>
        <x:v>0.5</x:v>
      </x:c>
      <x:c r="AA3039" s="24" t="n">
        <x:f>IFERROR(F3039/H3039,0)-IFERROR(G3039/I3039,0)</x:f>
        <x:v>0.07608695652173914</x:v>
      </x:c>
      <x:c r="AB3039" s="28" t="n">
        <x:f>J3039-K3039</x:f>
        <x:v>-6</x:v>
      </x:c>
      <x:c r="AC3039" s="32" t="n">
        <x:f>F3039-G3039</x:f>
        <x:v>-3</x:v>
      </x:c>
    </x:row>
    <x:row r="3040">
      <x:c r="A3040" s="4" t="str">
        <x:v>2024-25</x:v>
      </x:c>
      <x:c r="B3040" s="20" t="n">
        <x:v>45802</x:v>
      </x:c>
      <x:c r="C3040" s="4" t="str">
        <x:v>West Ham</x:v>
      </x:c>
      <x:c r="D3040" s="4" t="str">
        <x:v>Ipswich</x:v>
      </x:c>
      <x:c r="E3040" s="4" t="str">
        <x:v>Away</x:v>
      </x:c>
      <x:c r="F3040" s="28" t="n">
        <x:v>3</x:v>
      </x:c>
      <x:c r="G3040" s="28" t="n">
        <x:v>1</x:v>
      </x:c>
      <x:c r="H3040" s="28" t="n">
        <x:v>10</x:v>
      </x:c>
      <x:c r="I3040" s="28" t="n">
        <x:v>14</x:v>
      </x:c>
      <x:c r="J3040" s="28" t="n">
        <x:v>6</x:v>
      </x:c>
      <x:c r="K3040" s="28" t="n">
        <x:v>4</x:v>
      </x:c>
      <x:c r="L3040" s="28" t="n">
        <x:v>0</x:v>
      </x:c>
      <x:c r="M3040" s="28" t="n">
        <x:v>4</x:v>
      </x:c>
      <x:c r="N3040" s="28" t="n">
        <x:v>1</x:v>
      </x:c>
      <x:c r="O3040" s="28" t="n">
        <x:v>0</x:v>
      </x:c>
      <x:c r="P3040" s="28" t="n">
        <x:v>3</x:v>
      </x:c>
      <x:c r="Q3040" s="24" t="n">
        <x:f>IFERROR(J3040/H3040,0)</x:f>
        <x:v>0.6</x:v>
      </x:c>
      <x:c r="R3040" s="24" t="n">
        <x:f>IFERROR(F3040/H3040,0)</x:f>
        <x:v>0.3</x:v>
      </x:c>
      <x:c r="S3040" s="24" t="n">
        <x:f>IFERROR(F3040/J3040,0)</x:f>
        <x:v>0.5</x:v>
      </x:c>
      <x:c r="T3040" s="28" t="n">
        <x:f>H3040-I3040</x:f>
        <x:v>-4</x:v>
      </x:c>
      <x:c r="U3040" s="24" t="n">
        <x:f>IFERROR(J3040/H3040,0)-IFERROR(K3040/I3040,0)</x:f>
        <x:v>0.3142857142857143</x:v>
      </x:c>
      <x:c r="V3040" s="24" t="n">
        <x:f>IFERROR(F3040/J3040,0)-IFERROR(G3040/K3040,0)</x:f>
        <x:v>0.25</x:v>
      </x:c>
      <x:c r="W3040" s="28" t="n">
        <x:f>L3040-M3040</x:f>
        <x:v>-4</x:v>
      </x:c>
      <x:c r="X3040" s="24" t="n">
        <x:f>IFERROR(K3040/I3040,0)</x:f>
        <x:v>0.2857142857142857</x:v>
      </x:c>
      <x:c r="Y3040" s="24" t="n">
        <x:f>IFERROR(G3040/I3040,0)</x:f>
        <x:v>0.07142857142857142</x:v>
      </x:c>
      <x:c r="Z3040" s="24" t="n">
        <x:f>IFERROR(G3040/K3040,0)</x:f>
        <x:v>0.25</x:v>
      </x:c>
      <x:c r="AA3040" s="24" t="n">
        <x:f>IFERROR(F3040/H3040,0)-IFERROR(G3040/I3040,0)</x:f>
        <x:v>0.22857142857142856</x:v>
      </x:c>
      <x:c r="AB3040" s="28" t="n">
        <x:f>J3040-K3040</x:f>
        <x:v>2</x:v>
      </x:c>
      <x:c r="AC3040" s="32" t="n">
        <x:f>F3040-G3040</x:f>
        <x:v>2</x:v>
      </x:c>
    </x:row>
    <x:row r="3041">
      <x:c r="A3041" s="4" t="str">
        <x:v>2024-25</x:v>
      </x:c>
      <x:c r="B3041" s="20" t="n">
        <x:v>45802</x:v>
      </x:c>
      <x:c r="C3041" s="4" t="str">
        <x:v>Wolves</x:v>
      </x:c>
      <x:c r="D3041" s="4" t="str">
        <x:v>Brentford</x:v>
      </x:c>
      <x:c r="E3041" s="4" t="str">
        <x:v>Home</x:v>
      </x:c>
      <x:c r="F3041" s="28" t="n">
        <x:v>1</x:v>
      </x:c>
      <x:c r="G3041" s="28" t="n">
        <x:v>1</x:v>
      </x:c>
      <x:c r="H3041" s="28" t="n">
        <x:v>18</x:v>
      </x:c>
      <x:c r="I3041" s="28" t="n">
        <x:v>13</x:v>
      </x:c>
      <x:c r="J3041" s="28" t="n">
        <x:v>6</x:v>
      </x:c>
      <x:c r="K3041" s="28" t="n">
        <x:v>7</x:v>
      </x:c>
      <x:c r="L3041" s="28" t="n">
        <x:v>8</x:v>
      </x:c>
      <x:c r="M3041" s="28" t="n">
        <x:v>3</x:v>
      </x:c>
      <x:c r="N3041" s="28" t="n">
        <x:v>2</x:v>
      </x:c>
      <x:c r="O3041" s="28" t="n">
        <x:v>0</x:v>
      </x:c>
      <x:c r="P3041" s="28" t="n">
        <x:v>1</x:v>
      </x:c>
      <x:c r="Q3041" s="24" t="n">
        <x:f>IFERROR(J3041/H3041,0)</x:f>
        <x:v>0.3333333333333333</x:v>
      </x:c>
      <x:c r="R3041" s="24" t="n">
        <x:f>IFERROR(F3041/H3041,0)</x:f>
        <x:v>0.05555555555555555</x:v>
      </x:c>
      <x:c r="S3041" s="24" t="n">
        <x:f>IFERROR(F3041/J3041,0)</x:f>
        <x:v>0.16666666666666666</x:v>
      </x:c>
      <x:c r="T3041" s="28" t="n">
        <x:f>H3041-I3041</x:f>
        <x:v>5</x:v>
      </x:c>
      <x:c r="U3041" s="24" t="n">
        <x:f>IFERROR(J3041/H3041,0)-IFERROR(K3041/I3041,0)</x:f>
        <x:v>-0.20512820512820512</x:v>
      </x:c>
      <x:c r="V3041" s="24" t="n">
        <x:f>IFERROR(F3041/J3041,0)-IFERROR(G3041/K3041,0)</x:f>
        <x:v>0.023809523809523808</x:v>
      </x:c>
      <x:c r="W3041" s="28" t="n">
        <x:f>L3041-M3041</x:f>
        <x:v>5</x:v>
      </x:c>
      <x:c r="X3041" s="24" t="n">
        <x:f>IFERROR(K3041/I3041,0)</x:f>
        <x:v>0.5384615384615384</x:v>
      </x:c>
      <x:c r="Y3041" s="24" t="n">
        <x:f>IFERROR(G3041/I3041,0)</x:f>
        <x:v>0.07692307692307693</x:v>
      </x:c>
      <x:c r="Z3041" s="24" t="n">
        <x:f>IFERROR(G3041/K3041,0)</x:f>
        <x:v>0.14285714285714285</x:v>
      </x:c>
      <x:c r="AA3041" s="24" t="n">
        <x:f>IFERROR(F3041/H3041,0)-IFERROR(G3041/I3041,0)</x:f>
        <x:v>-0.021367521367521375</x:v>
      </x:c>
      <x:c r="AB3041" s="28" t="n">
        <x:f>J3041-K3041</x:f>
        <x:v>-1</x:v>
      </x:c>
      <x:c r="AC3041" s="32" t="n">
        <x:f>F3041-G3041</x:f>
        <x:v>0</x:v>
      </x:c>
    </x:row>
    <x:row r="3042">
      <x:c r="A3042" s="4" t="str">
        <x:v>2025-26</x:v>
      </x:c>
      <x:c r="B3042" s="20" t="n">
        <x:v>45884</x:v>
      </x:c>
      <x:c r="C3042" s="4" t="str">
        <x:v>Bournemouth</x:v>
      </x:c>
      <x:c r="D3042" s="4" t="str">
        <x:v>Liverpool</x:v>
      </x:c>
      <x:c r="E3042" s="4" t="str">
        <x:v>Away</x:v>
      </x:c>
      <x:c r="F3042" s="28" t="n">
        <x:v>2</x:v>
      </x:c>
      <x:c r="G3042" s="28" t="n">
        <x:v>4</x:v>
      </x:c>
      <x:c r="H3042" s="28" t="n">
        <x:v>10</x:v>
      </x:c>
      <x:c r="I3042" s="28" t="n">
        <x:v>19</x:v>
      </x:c>
      <x:c r="J3042" s="28" t="n">
        <x:v>3</x:v>
      </x:c>
      <x:c r="K3042" s="28" t="n">
        <x:v>10</x:v>
      </x:c>
      <x:c r="L3042" s="28" t="n">
        <x:v>7</x:v>
      </x:c>
      <x:c r="M3042" s="28" t="n">
        <x:v>6</x:v>
      </x:c>
      <x:c r="N3042" s="28" t="n">
        <x:v>2</x:v>
      </x:c>
      <x:c r="O3042" s="28" t="n">
        <x:v>0</x:v>
      </x:c>
      <x:c r="P3042" s="28" t="n">
        <x:v>0</x:v>
      </x:c>
      <x:c r="Q3042" s="24" t="n">
        <x:f>IFERROR(J3042/H3042,0)</x:f>
        <x:v>0.3</x:v>
      </x:c>
      <x:c r="R3042" s="24" t="n">
        <x:f>IFERROR(F3042/H3042,0)</x:f>
        <x:v>0.2</x:v>
      </x:c>
      <x:c r="S3042" s="24" t="n">
        <x:f>IFERROR(F3042/J3042,0)</x:f>
        <x:v>0.6666666666666666</x:v>
      </x:c>
      <x:c r="T3042" s="28" t="n">
        <x:f>H3042-I3042</x:f>
        <x:v>-9</x:v>
      </x:c>
      <x:c r="U3042" s="24" t="n">
        <x:f>IFERROR(J3042/H3042,0)-IFERROR(K3042/I3042,0)</x:f>
        <x:v>-0.2263157894736842</x:v>
      </x:c>
      <x:c r="V3042" s="24" t="n">
        <x:f>IFERROR(F3042/J3042,0)-IFERROR(G3042/K3042,0)</x:f>
        <x:v>0.2666666666666666</x:v>
      </x:c>
      <x:c r="W3042" s="28" t="n">
        <x:f>L3042-M3042</x:f>
        <x:v>1</x:v>
      </x:c>
      <x:c r="X3042" s="24" t="n">
        <x:f>IFERROR(K3042/I3042,0)</x:f>
        <x:v>0.5263157894736842</x:v>
      </x:c>
      <x:c r="Y3042" s="24" t="n">
        <x:f>IFERROR(G3042/I3042,0)</x:f>
        <x:v>0.21052631578947367</x:v>
      </x:c>
      <x:c r="Z3042" s="24" t="n">
        <x:f>IFERROR(G3042/K3042,0)</x:f>
        <x:v>0.4</x:v>
      </x:c>
      <x:c r="AA3042" s="24" t="n">
        <x:f>IFERROR(F3042/H3042,0)-IFERROR(G3042/I3042,0)</x:f>
        <x:v>-0.010526315789473661</x:v>
      </x:c>
      <x:c r="AB3042" s="28" t="n">
        <x:f>J3042-K3042</x:f>
        <x:v>-7</x:v>
      </x:c>
      <x:c r="AC3042" s="32" t="n">
        <x:f>F3042-G3042</x:f>
        <x:v>-2</x:v>
      </x:c>
    </x:row>
    <x:row r="3043">
      <x:c r="A3043" s="4" t="str">
        <x:v>2025-26</x:v>
      </x:c>
      <x:c r="B3043" s="20" t="n">
        <x:v>45884</x:v>
      </x:c>
      <x:c r="C3043" s="4" t="str">
        <x:v>Liverpool</x:v>
      </x:c>
      <x:c r="D3043" s="4" t="str">
        <x:v>Bournemouth</x:v>
      </x:c>
      <x:c r="E3043" s="4" t="str">
        <x:v>Home</x:v>
      </x:c>
      <x:c r="F3043" s="28" t="n">
        <x:v>4</x:v>
      </x:c>
      <x:c r="G3043" s="28" t="n">
        <x:v>2</x:v>
      </x:c>
      <x:c r="H3043" s="28" t="n">
        <x:v>19</x:v>
      </x:c>
      <x:c r="I3043" s="28" t="n">
        <x:v>10</x:v>
      </x:c>
      <x:c r="J3043" s="28" t="n">
        <x:v>10</x:v>
      </x:c>
      <x:c r="K3043" s="28" t="n">
        <x:v>3</x:v>
      </x:c>
      <x:c r="L3043" s="28" t="n">
        <x:v>6</x:v>
      </x:c>
      <x:c r="M3043" s="28" t="n">
        <x:v>7</x:v>
      </x:c>
      <x:c r="N3043" s="28" t="n">
        <x:v>1</x:v>
      </x:c>
      <x:c r="O3043" s="28" t="n">
        <x:v>0</x:v>
      </x:c>
      <x:c r="P3043" s="28" t="n">
        <x:v>3</x:v>
      </x:c>
      <x:c r="Q3043" s="24" t="n">
        <x:f>IFERROR(J3043/H3043,0)</x:f>
        <x:v>0.5263157894736842</x:v>
      </x:c>
      <x:c r="R3043" s="24" t="n">
        <x:f>IFERROR(F3043/H3043,0)</x:f>
        <x:v>0.21052631578947367</x:v>
      </x:c>
      <x:c r="S3043" s="24" t="n">
        <x:f>IFERROR(F3043/J3043,0)</x:f>
        <x:v>0.4</x:v>
      </x:c>
      <x:c r="T3043" s="28" t="n">
        <x:f>H3043-I3043</x:f>
        <x:v>9</x:v>
      </x:c>
      <x:c r="U3043" s="24" t="n">
        <x:f>IFERROR(J3043/H3043,0)-IFERROR(K3043/I3043,0)</x:f>
        <x:v>0.2263157894736842</x:v>
      </x:c>
      <x:c r="V3043" s="24" t="n">
        <x:f>IFERROR(F3043/J3043,0)-IFERROR(G3043/K3043,0)</x:f>
        <x:v>-0.2666666666666666</x:v>
      </x:c>
      <x:c r="W3043" s="28" t="n">
        <x:f>L3043-M3043</x:f>
        <x:v>-1</x:v>
      </x:c>
      <x:c r="X3043" s="24" t="n">
        <x:f>IFERROR(K3043/I3043,0)</x:f>
        <x:v>0.3</x:v>
      </x:c>
      <x:c r="Y3043" s="24" t="n">
        <x:f>IFERROR(G3043/I3043,0)</x:f>
        <x:v>0.2</x:v>
      </x:c>
      <x:c r="Z3043" s="24" t="n">
        <x:f>IFERROR(G3043/K3043,0)</x:f>
        <x:v>0.6666666666666666</x:v>
      </x:c>
      <x:c r="AA3043" s="24" t="n">
        <x:f>IFERROR(F3043/H3043,0)-IFERROR(G3043/I3043,0)</x:f>
        <x:v>0.010526315789473661</x:v>
      </x:c>
      <x:c r="AB3043" s="28" t="n">
        <x:f>J3043-K3043</x:f>
        <x:v>7</x:v>
      </x:c>
      <x:c r="AC3043" s="32" t="n">
        <x:f>F3043-G3043</x:f>
        <x:v>2</x:v>
      </x:c>
    </x:row>
    <x:row r="3044">
      <x:c r="A3044" s="4" t="str">
        <x:v>2025-26</x:v>
      </x:c>
      <x:c r="B3044" s="20" t="n">
        <x:v>45885</x:v>
      </x:c>
      <x:c r="C3044" s="4" t="str">
        <x:v>Aston Villa</x:v>
      </x:c>
      <x:c r="D3044" s="4" t="str">
        <x:v>Newcastle</x:v>
      </x:c>
      <x:c r="E3044" s="4" t="str">
        <x:v>Home</x:v>
      </x:c>
      <x:c r="F3044" s="28" t="n">
        <x:v>0</x:v>
      </x:c>
      <x:c r="G3044" s="28" t="n">
        <x:v>0</x:v>
      </x:c>
      <x:c r="H3044" s="28" t="n">
        <x:v>3</x:v>
      </x:c>
      <x:c r="I3044" s="28" t="n">
        <x:v>16</x:v>
      </x:c>
      <x:c r="J3044" s="28" t="n">
        <x:v>3</x:v>
      </x:c>
      <x:c r="K3044" s="28" t="n">
        <x:v>3</x:v>
      </x:c>
      <x:c r="L3044" s="28" t="n">
        <x:v>3</x:v>
      </x:c>
      <x:c r="M3044" s="28" t="n">
        <x:v>6</x:v>
      </x:c>
      <x:c r="N3044" s="28" t="n">
        <x:v>1</x:v>
      </x:c>
      <x:c r="O3044" s="28" t="n">
        <x:v>1</x:v>
      </x:c>
      <x:c r="P3044" s="28" t="n">
        <x:v>1</x:v>
      </x:c>
      <x:c r="Q3044" s="24" t="n">
        <x:f>IFERROR(J3044/H3044,0)</x:f>
        <x:v>1</x:v>
      </x:c>
      <x:c r="R3044" s="24" t="n">
        <x:f>IFERROR(F3044/H3044,0)</x:f>
        <x:v>0</x:v>
      </x:c>
      <x:c r="S3044" s="24" t="n">
        <x:f>IFERROR(F3044/J3044,0)</x:f>
        <x:v>0</x:v>
      </x:c>
      <x:c r="T3044" s="28" t="n">
        <x:f>H3044-I3044</x:f>
        <x:v>-13</x:v>
      </x:c>
      <x:c r="U3044" s="24" t="n">
        <x:f>IFERROR(J3044/H3044,0)-IFERROR(K3044/I3044,0)</x:f>
        <x:v>0.8125</x:v>
      </x:c>
      <x:c r="V3044" s="24" t="n">
        <x:f>IFERROR(F3044/J3044,0)-IFERROR(G3044/K3044,0)</x:f>
        <x:v>0</x:v>
      </x:c>
      <x:c r="W3044" s="28" t="n">
        <x:f>L3044-M3044</x:f>
        <x:v>-3</x:v>
      </x:c>
      <x:c r="X3044" s="24" t="n">
        <x:f>IFERROR(K3044/I3044,0)</x:f>
        <x:v>0.1875</x:v>
      </x:c>
      <x:c r="Y3044" s="24" t="n">
        <x:f>IFERROR(G3044/I3044,0)</x:f>
        <x:v>0</x:v>
      </x:c>
      <x:c r="Z3044" s="24" t="n">
        <x:f>IFERROR(G3044/K3044,0)</x:f>
        <x:v>0</x:v>
      </x:c>
      <x:c r="AA3044" s="24" t="n">
        <x:f>IFERROR(F3044/H3044,0)-IFERROR(G3044/I3044,0)</x:f>
        <x:v>0</x:v>
      </x:c>
      <x:c r="AB3044" s="28" t="n">
        <x:f>J3044-K3044</x:f>
        <x:v>0</x:v>
      </x:c>
      <x:c r="AC3044" s="32" t="n">
        <x:f>F3044-G3044</x:f>
        <x:v>0</x:v>
      </x:c>
    </x:row>
    <x:row r="3045">
      <x:c r="A3045" s="4" t="str">
        <x:v>2025-26</x:v>
      </x:c>
      <x:c r="B3045" s="20" t="n">
        <x:v>45885</x:v>
      </x:c>
      <x:c r="C3045" s="4" t="str">
        <x:v>Brighton</x:v>
      </x:c>
      <x:c r="D3045" s="4" t="str">
        <x:v>Fulham</x:v>
      </x:c>
      <x:c r="E3045" s="4" t="str">
        <x:v>Home</x:v>
      </x:c>
      <x:c r="F3045" s="28" t="n">
        <x:v>1</x:v>
      </x:c>
      <x:c r="G3045" s="28" t="n">
        <x:v>1</x:v>
      </x:c>
      <x:c r="H3045" s="28" t="n">
        <x:v>10</x:v>
      </x:c>
      <x:c r="I3045" s="28" t="n">
        <x:v>7</x:v>
      </x:c>
      <x:c r="J3045" s="28" t="n">
        <x:v>4</x:v>
      </x:c>
      <x:c r="K3045" s="28" t="n">
        <x:v>2</x:v>
      </x:c>
      <x:c r="L3045" s="28" t="n">
        <x:v>4</x:v>
      </x:c>
      <x:c r="M3045" s="28" t="n">
        <x:v>3</x:v>
      </x:c>
      <x:c r="N3045" s="28" t="n">
        <x:v>3</x:v>
      </x:c>
      <x:c r="O3045" s="28" t="n">
        <x:v>0</x:v>
      </x:c>
      <x:c r="P3045" s="28" t="n">
        <x:v>1</x:v>
      </x:c>
      <x:c r="Q3045" s="24" t="n">
        <x:f>IFERROR(J3045/H3045,0)</x:f>
        <x:v>0.4</x:v>
      </x:c>
      <x:c r="R3045" s="24" t="n">
        <x:f>IFERROR(F3045/H3045,0)</x:f>
        <x:v>0.1</x:v>
      </x:c>
      <x:c r="S3045" s="24" t="n">
        <x:f>IFERROR(F3045/J3045,0)</x:f>
        <x:v>0.25</x:v>
      </x:c>
      <x:c r="T3045" s="28" t="n">
        <x:f>H3045-I3045</x:f>
        <x:v>3</x:v>
      </x:c>
      <x:c r="U3045" s="24" t="n">
        <x:f>IFERROR(J3045/H3045,0)-IFERROR(K3045/I3045,0)</x:f>
        <x:v>0.11428571428571432</x:v>
      </x:c>
      <x:c r="V3045" s="24" t="n">
        <x:f>IFERROR(F3045/J3045,0)-IFERROR(G3045/K3045,0)</x:f>
        <x:v>-0.25</x:v>
      </x:c>
      <x:c r="W3045" s="28" t="n">
        <x:f>L3045-M3045</x:f>
        <x:v>1</x:v>
      </x:c>
      <x:c r="X3045" s="24" t="n">
        <x:f>IFERROR(K3045/I3045,0)</x:f>
        <x:v>0.2857142857142857</x:v>
      </x:c>
      <x:c r="Y3045" s="24" t="n">
        <x:f>IFERROR(G3045/I3045,0)</x:f>
        <x:v>0.14285714285714285</x:v>
      </x:c>
      <x:c r="Z3045" s="24" t="n">
        <x:f>IFERROR(G3045/K3045,0)</x:f>
        <x:v>0.5</x:v>
      </x:c>
      <x:c r="AA3045" s="24" t="n">
        <x:f>IFERROR(F3045/H3045,0)-IFERROR(G3045/I3045,0)</x:f>
        <x:v>-0.042857142857142844</x:v>
      </x:c>
      <x:c r="AB3045" s="28" t="n">
        <x:f>J3045-K3045</x:f>
        <x:v>2</x:v>
      </x:c>
      <x:c r="AC3045" s="32" t="n">
        <x:f>F3045-G3045</x:f>
        <x:v>0</x:v>
      </x:c>
    </x:row>
    <x:row r="3046">
      <x:c r="A3046" s="4" t="str">
        <x:v>2025-26</x:v>
      </x:c>
      <x:c r="B3046" s="20" t="n">
        <x:v>45885</x:v>
      </x:c>
      <x:c r="C3046" s="4" t="str">
        <x:v>Burnley</x:v>
      </x:c>
      <x:c r="D3046" s="4" t="str">
        <x:v>Tottenham</x:v>
      </x:c>
      <x:c r="E3046" s="4" t="str">
        <x:v>Away</x:v>
      </x:c>
      <x:c r="F3046" s="28" t="n">
        <x:v>0</x:v>
      </x:c>
      <x:c r="G3046" s="28" t="n">
        <x:v>3</x:v>
      </x:c>
      <x:c r="H3046" s="28" t="n">
        <x:v>14</x:v>
      </x:c>
      <x:c r="I3046" s="28" t="n">
        <x:v>16</x:v>
      </x:c>
      <x:c r="J3046" s="28" t="n">
        <x:v>4</x:v>
      </x:c>
      <x:c r="K3046" s="28" t="n">
        <x:v>6</x:v>
      </x:c>
      <x:c r="L3046" s="28" t="n">
        <x:v>5</x:v>
      </x:c>
      <x:c r="M3046" s="28" t="n">
        <x:v>6</x:v>
      </x:c>
      <x:c r="N3046" s="28" t="n">
        <x:v>0</x:v>
      </x:c>
      <x:c r="O3046" s="28" t="n">
        <x:v>0</x:v>
      </x:c>
      <x:c r="P3046" s="28" t="n">
        <x:v>0</x:v>
      </x:c>
      <x:c r="Q3046" s="24" t="n">
        <x:f>IFERROR(J3046/H3046,0)</x:f>
        <x:v>0.2857142857142857</x:v>
      </x:c>
      <x:c r="R3046" s="24" t="n">
        <x:f>IFERROR(F3046/H3046,0)</x:f>
        <x:v>0</x:v>
      </x:c>
      <x:c r="S3046" s="24" t="n">
        <x:f>IFERROR(F3046/J3046,0)</x:f>
        <x:v>0</x:v>
      </x:c>
      <x:c r="T3046" s="28" t="n">
        <x:f>H3046-I3046</x:f>
        <x:v>-2</x:v>
      </x:c>
      <x:c r="U3046" s="24" t="n">
        <x:f>IFERROR(J3046/H3046,0)-IFERROR(K3046/I3046,0)</x:f>
        <x:v>-0.0892857142857143</x:v>
      </x:c>
      <x:c r="V3046" s="24" t="n">
        <x:f>IFERROR(F3046/J3046,0)-IFERROR(G3046/K3046,0)</x:f>
        <x:v>-0.5</x:v>
      </x:c>
      <x:c r="W3046" s="28" t="n">
        <x:f>L3046-M3046</x:f>
        <x:v>-1</x:v>
      </x:c>
      <x:c r="X3046" s="24" t="n">
        <x:f>IFERROR(K3046/I3046,0)</x:f>
        <x:v>0.375</x:v>
      </x:c>
      <x:c r="Y3046" s="24" t="n">
        <x:f>IFERROR(G3046/I3046,0)</x:f>
        <x:v>0.1875</x:v>
      </x:c>
      <x:c r="Z3046" s="24" t="n">
        <x:f>IFERROR(G3046/K3046,0)</x:f>
        <x:v>0.5</x:v>
      </x:c>
      <x:c r="AA3046" s="24" t="n">
        <x:f>IFERROR(F3046/H3046,0)-IFERROR(G3046/I3046,0)</x:f>
        <x:v>-0.1875</x:v>
      </x:c>
      <x:c r="AB3046" s="28" t="n">
        <x:f>J3046-K3046</x:f>
        <x:v>-2</x:v>
      </x:c>
      <x:c r="AC3046" s="32" t="n">
        <x:f>F3046-G3046</x:f>
        <x:v>-3</x:v>
      </x:c>
    </x:row>
    <x:row r="3047">
      <x:c r="A3047" s="4" t="str">
        <x:v>2025-26</x:v>
      </x:c>
      <x:c r="B3047" s="20" t="n">
        <x:v>45885</x:v>
      </x:c>
      <x:c r="C3047" s="4" t="str">
        <x:v>Fulham</x:v>
      </x:c>
      <x:c r="D3047" s="4" t="str">
        <x:v>Brighton</x:v>
      </x:c>
      <x:c r="E3047" s="4" t="str">
        <x:v>Away</x:v>
      </x:c>
      <x:c r="F3047" s="28" t="n">
        <x:v>1</x:v>
      </x:c>
      <x:c r="G3047" s="28" t="n">
        <x:v>1</x:v>
      </x:c>
      <x:c r="H3047" s="28" t="n">
        <x:v>7</x:v>
      </x:c>
      <x:c r="I3047" s="28" t="n">
        <x:v>10</x:v>
      </x:c>
      <x:c r="J3047" s="28" t="n">
        <x:v>2</x:v>
      </x:c>
      <x:c r="K3047" s="28" t="n">
        <x:v>4</x:v>
      </x:c>
      <x:c r="L3047" s="28" t="n">
        <x:v>3</x:v>
      </x:c>
      <x:c r="M3047" s="28" t="n">
        <x:v>4</x:v>
      </x:c>
      <x:c r="N3047" s="28" t="n">
        <x:v>3</x:v>
      </x:c>
      <x:c r="O3047" s="28" t="n">
        <x:v>0</x:v>
      </x:c>
      <x:c r="P3047" s="28" t="n">
        <x:v>1</x:v>
      </x:c>
      <x:c r="Q3047" s="24" t="n">
        <x:f>IFERROR(J3047/H3047,0)</x:f>
        <x:v>0.2857142857142857</x:v>
      </x:c>
      <x:c r="R3047" s="24" t="n">
        <x:f>IFERROR(F3047/H3047,0)</x:f>
        <x:v>0.14285714285714285</x:v>
      </x:c>
      <x:c r="S3047" s="24" t="n">
        <x:f>IFERROR(F3047/J3047,0)</x:f>
        <x:v>0.5</x:v>
      </x:c>
      <x:c r="T3047" s="28" t="n">
        <x:f>H3047-I3047</x:f>
        <x:v>-3</x:v>
      </x:c>
      <x:c r="U3047" s="24" t="n">
        <x:f>IFERROR(J3047/H3047,0)-IFERROR(K3047/I3047,0)</x:f>
        <x:v>-0.11428571428571432</x:v>
      </x:c>
      <x:c r="V3047" s="24" t="n">
        <x:f>IFERROR(F3047/J3047,0)-IFERROR(G3047/K3047,0)</x:f>
        <x:v>0.25</x:v>
      </x:c>
      <x:c r="W3047" s="28" t="n">
        <x:f>L3047-M3047</x:f>
        <x:v>-1</x:v>
      </x:c>
      <x:c r="X3047" s="24" t="n">
        <x:f>IFERROR(K3047/I3047,0)</x:f>
        <x:v>0.4</x:v>
      </x:c>
      <x:c r="Y3047" s="24" t="n">
        <x:f>IFERROR(G3047/I3047,0)</x:f>
        <x:v>0.1</x:v>
      </x:c>
      <x:c r="Z3047" s="24" t="n">
        <x:f>IFERROR(G3047/K3047,0)</x:f>
        <x:v>0.25</x:v>
      </x:c>
      <x:c r="AA3047" s="24" t="n">
        <x:f>IFERROR(F3047/H3047,0)-IFERROR(G3047/I3047,0)</x:f>
        <x:v>0.042857142857142844</x:v>
      </x:c>
      <x:c r="AB3047" s="28" t="n">
        <x:f>J3047-K3047</x:f>
        <x:v>-2</x:v>
      </x:c>
      <x:c r="AC3047" s="32" t="n">
        <x:f>F3047-G3047</x:f>
        <x:v>0</x:v>
      </x:c>
    </x:row>
    <x:row r="3048">
      <x:c r="A3048" s="4" t="str">
        <x:v>2025-26</x:v>
      </x:c>
      <x:c r="B3048" s="20" t="n">
        <x:v>45885</x:v>
      </x:c>
      <x:c r="C3048" s="4" t="str">
        <x:v>Man City</x:v>
      </x:c>
      <x:c r="D3048" s="4" t="str">
        <x:v>Wolves</x:v>
      </x:c>
      <x:c r="E3048" s="4" t="str">
        <x:v>Away</x:v>
      </x:c>
      <x:c r="F3048" s="28" t="n">
        <x:v>4</x:v>
      </x:c>
      <x:c r="G3048" s="28" t="n">
        <x:v>0</x:v>
      </x:c>
      <x:c r="H3048" s="28" t="n">
        <x:v>15</x:v>
      </x:c>
      <x:c r="I3048" s="28" t="n">
        <x:v>9</x:v>
      </x:c>
      <x:c r="J3048" s="28" t="n">
        <x:v>4</x:v>
      </x:c>
      <x:c r="K3048" s="28" t="n">
        <x:v>3</x:v>
      </x:c>
      <x:c r="L3048" s="28" t="n">
        <x:v>6</x:v>
      </x:c>
      <x:c r="M3048" s="28" t="n">
        <x:v>4</x:v>
      </x:c>
      <x:c r="N3048" s="28" t="n">
        <x:v>2</x:v>
      </x:c>
      <x:c r="O3048" s="28" t="n">
        <x:v>0</x:v>
      </x:c>
      <x:c r="P3048" s="28" t="n">
        <x:v>3</x:v>
      </x:c>
      <x:c r="Q3048" s="24" t="n">
        <x:f>IFERROR(J3048/H3048,0)</x:f>
        <x:v>0.26666666666666666</x:v>
      </x:c>
      <x:c r="R3048" s="24" t="n">
        <x:f>IFERROR(F3048/H3048,0)</x:f>
        <x:v>0.26666666666666666</x:v>
      </x:c>
      <x:c r="S3048" s="24" t="n">
        <x:f>IFERROR(F3048/J3048,0)</x:f>
        <x:v>1</x:v>
      </x:c>
      <x:c r="T3048" s="28" t="n">
        <x:f>H3048-I3048</x:f>
        <x:v>6</x:v>
      </x:c>
      <x:c r="U3048" s="24" t="n">
        <x:f>IFERROR(J3048/H3048,0)-IFERROR(K3048/I3048,0)</x:f>
        <x:v>-0.06666666666666665</x:v>
      </x:c>
      <x:c r="V3048" s="24" t="n">
        <x:f>IFERROR(F3048/J3048,0)-IFERROR(G3048/K3048,0)</x:f>
        <x:v>1</x:v>
      </x:c>
      <x:c r="W3048" s="28" t="n">
        <x:f>L3048-M3048</x:f>
        <x:v>2</x:v>
      </x:c>
      <x:c r="X3048" s="24" t="n">
        <x:f>IFERROR(K3048/I3048,0)</x:f>
        <x:v>0.3333333333333333</x:v>
      </x:c>
      <x:c r="Y3048" s="24" t="n">
        <x:f>IFERROR(G3048/I3048,0)</x:f>
        <x:v>0</x:v>
      </x:c>
      <x:c r="Z3048" s="24" t="n">
        <x:f>IFERROR(G3048/K3048,0)</x:f>
        <x:v>0</x:v>
      </x:c>
      <x:c r="AA3048" s="24" t="n">
        <x:f>IFERROR(F3048/H3048,0)-IFERROR(G3048/I3048,0)</x:f>
        <x:v>0.26666666666666666</x:v>
      </x:c>
      <x:c r="AB3048" s="28" t="n">
        <x:f>J3048-K3048</x:f>
        <x:v>1</x:v>
      </x:c>
      <x:c r="AC3048" s="32" t="n">
        <x:f>F3048-G3048</x:f>
        <x:v>4</x:v>
      </x:c>
    </x:row>
    <x:row r="3049">
      <x:c r="A3049" s="4" t="str">
        <x:v>2025-26</x:v>
      </x:c>
      <x:c r="B3049" s="20" t="n">
        <x:v>45885</x:v>
      </x:c>
      <x:c r="C3049" s="4" t="str">
        <x:v>Newcastle</x:v>
      </x:c>
      <x:c r="D3049" s="4" t="str">
        <x:v>Aston Villa</x:v>
      </x:c>
      <x:c r="E3049" s="4" t="str">
        <x:v>Away</x:v>
      </x:c>
      <x:c r="F3049" s="28" t="n">
        <x:v>0</x:v>
      </x:c>
      <x:c r="G3049" s="28" t="n">
        <x:v>0</x:v>
      </x:c>
      <x:c r="H3049" s="28" t="n">
        <x:v>16</x:v>
      </x:c>
      <x:c r="I3049" s="28" t="n">
        <x:v>3</x:v>
      </x:c>
      <x:c r="J3049" s="28" t="n">
        <x:v>3</x:v>
      </x:c>
      <x:c r="K3049" s="28" t="n">
        <x:v>3</x:v>
      </x:c>
      <x:c r="L3049" s="28" t="n">
        <x:v>6</x:v>
      </x:c>
      <x:c r="M3049" s="28" t="n">
        <x:v>3</x:v>
      </x:c>
      <x:c r="N3049" s="28" t="n">
        <x:v>1</x:v>
      </x:c>
      <x:c r="O3049" s="28" t="n">
        <x:v>0</x:v>
      </x:c>
      <x:c r="P3049" s="28" t="n">
        <x:v>1</x:v>
      </x:c>
      <x:c r="Q3049" s="24" t="n">
        <x:f>IFERROR(J3049/H3049,0)</x:f>
        <x:v>0.1875</x:v>
      </x:c>
      <x:c r="R3049" s="24" t="n">
        <x:f>IFERROR(F3049/H3049,0)</x:f>
        <x:v>0</x:v>
      </x:c>
      <x:c r="S3049" s="24" t="n">
        <x:f>IFERROR(F3049/J3049,0)</x:f>
        <x:v>0</x:v>
      </x:c>
      <x:c r="T3049" s="28" t="n">
        <x:f>H3049-I3049</x:f>
        <x:v>13</x:v>
      </x:c>
      <x:c r="U3049" s="24" t="n">
        <x:f>IFERROR(J3049/H3049,0)-IFERROR(K3049/I3049,0)</x:f>
        <x:v>-0.8125</x:v>
      </x:c>
      <x:c r="V3049" s="24" t="n">
        <x:f>IFERROR(F3049/J3049,0)-IFERROR(G3049/K3049,0)</x:f>
        <x:v>0</x:v>
      </x:c>
      <x:c r="W3049" s="28" t="n">
        <x:f>L3049-M3049</x:f>
        <x:v>3</x:v>
      </x:c>
      <x:c r="X3049" s="24" t="n">
        <x:f>IFERROR(K3049/I3049,0)</x:f>
        <x:v>1</x:v>
      </x:c>
      <x:c r="Y3049" s="24" t="n">
        <x:f>IFERROR(G3049/I3049,0)</x:f>
        <x:v>0</x:v>
      </x:c>
      <x:c r="Z3049" s="24" t="n">
        <x:f>IFERROR(G3049/K3049,0)</x:f>
        <x:v>0</x:v>
      </x:c>
      <x:c r="AA3049" s="24" t="n">
        <x:f>IFERROR(F3049/H3049,0)-IFERROR(G3049/I3049,0)</x:f>
        <x:v>0</x:v>
      </x:c>
      <x:c r="AB3049" s="28" t="n">
        <x:f>J3049-K3049</x:f>
        <x:v>0</x:v>
      </x:c>
      <x:c r="AC3049" s="32" t="n">
        <x:f>F3049-G3049</x:f>
        <x:v>0</x:v>
      </x:c>
    </x:row>
    <x:row r="3050">
      <x:c r="A3050" s="4" t="str">
        <x:v>2025-26</x:v>
      </x:c>
      <x:c r="B3050" s="20" t="n">
        <x:v>45885</x:v>
      </x:c>
      <x:c r="C3050" s="4" t="str">
        <x:v>Sunderland</x:v>
      </x:c>
      <x:c r="D3050" s="4" t="str">
        <x:v>West Ham</x:v>
      </x:c>
      <x:c r="E3050" s="4" t="str">
        <x:v>Home</x:v>
      </x:c>
      <x:c r="F3050" s="28" t="n">
        <x:v>3</x:v>
      </x:c>
      <x:c r="G3050" s="28" t="n">
        <x:v>0</x:v>
      </x:c>
      <x:c r="H3050" s="28" t="n">
        <x:v>10</x:v>
      </x:c>
      <x:c r="I3050" s="28" t="n">
        <x:v>12</x:v>
      </x:c>
      <x:c r="J3050" s="28" t="n">
        <x:v>5</x:v>
      </x:c>
      <x:c r="K3050" s="28" t="n">
        <x:v>4</x:v>
      </x:c>
      <x:c r="L3050" s="28" t="n">
        <x:v>5</x:v>
      </x:c>
      <x:c r="M3050" s="28" t="n">
        <x:v>7</x:v>
      </x:c>
      <x:c r="N3050" s="28" t="n">
        <x:v>0</x:v>
      </x:c>
      <x:c r="O3050" s="28" t="n">
        <x:v>0</x:v>
      </x:c>
      <x:c r="P3050" s="28" t="n">
        <x:v>3</x:v>
      </x:c>
      <x:c r="Q3050" s="24" t="n">
        <x:f>IFERROR(J3050/H3050,0)</x:f>
        <x:v>0.5</x:v>
      </x:c>
      <x:c r="R3050" s="24" t="n">
        <x:f>IFERROR(F3050/H3050,0)</x:f>
        <x:v>0.3</x:v>
      </x:c>
      <x:c r="S3050" s="24" t="n">
        <x:f>IFERROR(F3050/J3050,0)</x:f>
        <x:v>0.6</x:v>
      </x:c>
      <x:c r="T3050" s="28" t="n">
        <x:f>H3050-I3050</x:f>
        <x:v>-2</x:v>
      </x:c>
      <x:c r="U3050" s="24" t="n">
        <x:f>IFERROR(J3050/H3050,0)-IFERROR(K3050/I3050,0)</x:f>
        <x:v>0.16666666666666669</x:v>
      </x:c>
      <x:c r="V3050" s="24" t="n">
        <x:f>IFERROR(F3050/J3050,0)-IFERROR(G3050/K3050,0)</x:f>
        <x:v>0.6</x:v>
      </x:c>
      <x:c r="W3050" s="28" t="n">
        <x:f>L3050-M3050</x:f>
        <x:v>-2</x:v>
      </x:c>
      <x:c r="X3050" s="24" t="n">
        <x:f>IFERROR(K3050/I3050,0)</x:f>
        <x:v>0.3333333333333333</x:v>
      </x:c>
      <x:c r="Y3050" s="24" t="n">
        <x:f>IFERROR(G3050/I3050,0)</x:f>
        <x:v>0</x:v>
      </x:c>
      <x:c r="Z3050" s="24" t="n">
        <x:f>IFERROR(G3050/K3050,0)</x:f>
        <x:v>0</x:v>
      </x:c>
      <x:c r="AA3050" s="24" t="n">
        <x:f>IFERROR(F3050/H3050,0)-IFERROR(G3050/I3050,0)</x:f>
        <x:v>0.3</x:v>
      </x:c>
      <x:c r="AB3050" s="28" t="n">
        <x:f>J3050-K3050</x:f>
        <x:v>1</x:v>
      </x:c>
      <x:c r="AC3050" s="32" t="n">
        <x:f>F3050-G3050</x:f>
        <x:v>3</x:v>
      </x:c>
    </x:row>
    <x:row r="3051">
      <x:c r="A3051" s="4" t="str">
        <x:v>2025-26</x:v>
      </x:c>
      <x:c r="B3051" s="20" t="n">
        <x:v>45885</x:v>
      </x:c>
      <x:c r="C3051" s="4" t="str">
        <x:v>Tottenham</x:v>
      </x:c>
      <x:c r="D3051" s="4" t="str">
        <x:v>Burnley</x:v>
      </x:c>
      <x:c r="E3051" s="4" t="str">
        <x:v>Home</x:v>
      </x:c>
      <x:c r="F3051" s="28" t="n">
        <x:v>3</x:v>
      </x:c>
      <x:c r="G3051" s="28" t="n">
        <x:v>0</x:v>
      </x:c>
      <x:c r="H3051" s="28" t="n">
        <x:v>16</x:v>
      </x:c>
      <x:c r="I3051" s="28" t="n">
        <x:v>14</x:v>
      </x:c>
      <x:c r="J3051" s="28" t="n">
        <x:v>6</x:v>
      </x:c>
      <x:c r="K3051" s="28" t="n">
        <x:v>4</x:v>
      </x:c>
      <x:c r="L3051" s="28" t="n">
        <x:v>6</x:v>
      </x:c>
      <x:c r="M3051" s="28" t="n">
        <x:v>5</x:v>
      </x:c>
      <x:c r="N3051" s="28" t="n">
        <x:v>0</x:v>
      </x:c>
      <x:c r="O3051" s="28" t="n">
        <x:v>0</x:v>
      </x:c>
      <x:c r="P3051" s="28" t="n">
        <x:v>3</x:v>
      </x:c>
      <x:c r="Q3051" s="24" t="n">
        <x:f>IFERROR(J3051/H3051,0)</x:f>
        <x:v>0.375</x:v>
      </x:c>
      <x:c r="R3051" s="24" t="n">
        <x:f>IFERROR(F3051/H3051,0)</x:f>
        <x:v>0.1875</x:v>
      </x:c>
      <x:c r="S3051" s="24" t="n">
        <x:f>IFERROR(F3051/J3051,0)</x:f>
        <x:v>0.5</x:v>
      </x:c>
      <x:c r="T3051" s="28" t="n">
        <x:f>H3051-I3051</x:f>
        <x:v>2</x:v>
      </x:c>
      <x:c r="U3051" s="24" t="n">
        <x:f>IFERROR(J3051/H3051,0)-IFERROR(K3051/I3051,0)</x:f>
        <x:v>0.0892857142857143</x:v>
      </x:c>
      <x:c r="V3051" s="24" t="n">
        <x:f>IFERROR(F3051/J3051,0)-IFERROR(G3051/K3051,0)</x:f>
        <x:v>0.5</x:v>
      </x:c>
      <x:c r="W3051" s="28" t="n">
        <x:f>L3051-M3051</x:f>
        <x:v>1</x:v>
      </x:c>
      <x:c r="X3051" s="24" t="n">
        <x:f>IFERROR(K3051/I3051,0)</x:f>
        <x:v>0.2857142857142857</x:v>
      </x:c>
      <x:c r="Y3051" s="24" t="n">
        <x:f>IFERROR(G3051/I3051,0)</x:f>
        <x:v>0</x:v>
      </x:c>
      <x:c r="Z3051" s="24" t="n">
        <x:f>IFERROR(G3051/K3051,0)</x:f>
        <x:v>0</x:v>
      </x:c>
      <x:c r="AA3051" s="24" t="n">
        <x:f>IFERROR(F3051/H3051,0)-IFERROR(G3051/I3051,0)</x:f>
        <x:v>0.1875</x:v>
      </x:c>
      <x:c r="AB3051" s="28" t="n">
        <x:f>J3051-K3051</x:f>
        <x:v>2</x:v>
      </x:c>
      <x:c r="AC3051" s="32" t="n">
        <x:f>F3051-G3051</x:f>
        <x:v>3</x:v>
      </x:c>
    </x:row>
    <x:row r="3052">
      <x:c r="A3052" s="4" t="str">
        <x:v>2025-26</x:v>
      </x:c>
      <x:c r="B3052" s="20" t="n">
        <x:v>45885</x:v>
      </x:c>
      <x:c r="C3052" s="4" t="str">
        <x:v>West Ham</x:v>
      </x:c>
      <x:c r="D3052" s="4" t="str">
        <x:v>Sunderland</x:v>
      </x:c>
      <x:c r="E3052" s="4" t="str">
        <x:v>Away</x:v>
      </x:c>
      <x:c r="F3052" s="28" t="n">
        <x:v>0</x:v>
      </x:c>
      <x:c r="G3052" s="28" t="n">
        <x:v>3</x:v>
      </x:c>
      <x:c r="H3052" s="28" t="n">
        <x:v>12</x:v>
      </x:c>
      <x:c r="I3052" s="28" t="n">
        <x:v>10</x:v>
      </x:c>
      <x:c r="J3052" s="28" t="n">
        <x:v>4</x:v>
      </x:c>
      <x:c r="K3052" s="28" t="n">
        <x:v>5</x:v>
      </x:c>
      <x:c r="L3052" s="28" t="n">
        <x:v>7</x:v>
      </x:c>
      <x:c r="M3052" s="28" t="n">
        <x:v>5</x:v>
      </x:c>
      <x:c r="N3052" s="28" t="n">
        <x:v>1</x:v>
      </x:c>
      <x:c r="O3052" s="28" t="n">
        <x:v>0</x:v>
      </x:c>
      <x:c r="P3052" s="28" t="n">
        <x:v>0</x:v>
      </x:c>
      <x:c r="Q3052" s="24" t="n">
        <x:f>IFERROR(J3052/H3052,0)</x:f>
        <x:v>0.3333333333333333</x:v>
      </x:c>
      <x:c r="R3052" s="24" t="n">
        <x:f>IFERROR(F3052/H3052,0)</x:f>
        <x:v>0</x:v>
      </x:c>
      <x:c r="S3052" s="24" t="n">
        <x:f>IFERROR(F3052/J3052,0)</x:f>
        <x:v>0</x:v>
      </x:c>
      <x:c r="T3052" s="28" t="n">
        <x:f>H3052-I3052</x:f>
        <x:v>2</x:v>
      </x:c>
      <x:c r="U3052" s="24" t="n">
        <x:f>IFERROR(J3052/H3052,0)-IFERROR(K3052/I3052,0)</x:f>
        <x:v>-0.16666666666666669</x:v>
      </x:c>
      <x:c r="V3052" s="24" t="n">
        <x:f>IFERROR(F3052/J3052,0)-IFERROR(G3052/K3052,0)</x:f>
        <x:v>-0.6</x:v>
      </x:c>
      <x:c r="W3052" s="28" t="n">
        <x:f>L3052-M3052</x:f>
        <x:v>2</x:v>
      </x:c>
      <x:c r="X3052" s="24" t="n">
        <x:f>IFERROR(K3052/I3052,0)</x:f>
        <x:v>0.5</x:v>
      </x:c>
      <x:c r="Y3052" s="24" t="n">
        <x:f>IFERROR(G3052/I3052,0)</x:f>
        <x:v>0.3</x:v>
      </x:c>
      <x:c r="Z3052" s="24" t="n">
        <x:f>IFERROR(G3052/K3052,0)</x:f>
        <x:v>0.6</x:v>
      </x:c>
      <x:c r="AA3052" s="24" t="n">
        <x:f>IFERROR(F3052/H3052,0)-IFERROR(G3052/I3052,0)</x:f>
        <x:v>-0.3</x:v>
      </x:c>
      <x:c r="AB3052" s="28" t="n">
        <x:f>J3052-K3052</x:f>
        <x:v>-1</x:v>
      </x:c>
      <x:c r="AC3052" s="32" t="n">
        <x:f>F3052-G3052</x:f>
        <x:v>-3</x:v>
      </x:c>
    </x:row>
    <x:row r="3053">
      <x:c r="A3053" s="4" t="str">
        <x:v>2025-26</x:v>
      </x:c>
      <x:c r="B3053" s="20" t="n">
        <x:v>45885</x:v>
      </x:c>
      <x:c r="C3053" s="4" t="str">
        <x:v>Wolves</x:v>
      </x:c>
      <x:c r="D3053" s="4" t="str">
        <x:v>Man City</x:v>
      </x:c>
      <x:c r="E3053" s="4" t="str">
        <x:v>Home</x:v>
      </x:c>
      <x:c r="F3053" s="28" t="n">
        <x:v>0</x:v>
      </x:c>
      <x:c r="G3053" s="28" t="n">
        <x:v>4</x:v>
      </x:c>
      <x:c r="H3053" s="28" t="n">
        <x:v>9</x:v>
      </x:c>
      <x:c r="I3053" s="28" t="n">
        <x:v>15</x:v>
      </x:c>
      <x:c r="J3053" s="28" t="n">
        <x:v>3</x:v>
      </x:c>
      <x:c r="K3053" s="28" t="n">
        <x:v>4</x:v>
      </x:c>
      <x:c r="L3053" s="28" t="n">
        <x:v>4</x:v>
      </x:c>
      <x:c r="M3053" s="28" t="n">
        <x:v>6</x:v>
      </x:c>
      <x:c r="N3053" s="28" t="n">
        <x:v>1</x:v>
      </x:c>
      <x:c r="O3053" s="28" t="n">
        <x:v>0</x:v>
      </x:c>
      <x:c r="P3053" s="28" t="n">
        <x:v>0</x:v>
      </x:c>
      <x:c r="Q3053" s="24" t="n">
        <x:f>IFERROR(J3053/H3053,0)</x:f>
        <x:v>0.3333333333333333</x:v>
      </x:c>
      <x:c r="R3053" s="24" t="n">
        <x:f>IFERROR(F3053/H3053,0)</x:f>
        <x:v>0</x:v>
      </x:c>
      <x:c r="S3053" s="24" t="n">
        <x:f>IFERROR(F3053/J3053,0)</x:f>
        <x:v>0</x:v>
      </x:c>
      <x:c r="T3053" s="28" t="n">
        <x:f>H3053-I3053</x:f>
        <x:v>-6</x:v>
      </x:c>
      <x:c r="U3053" s="24" t="n">
        <x:f>IFERROR(J3053/H3053,0)-IFERROR(K3053/I3053,0)</x:f>
        <x:v>0.06666666666666665</x:v>
      </x:c>
      <x:c r="V3053" s="24" t="n">
        <x:f>IFERROR(F3053/J3053,0)-IFERROR(G3053/K3053,0)</x:f>
        <x:v>-1</x:v>
      </x:c>
      <x:c r="W3053" s="28" t="n">
        <x:f>L3053-M3053</x:f>
        <x:v>-2</x:v>
      </x:c>
      <x:c r="X3053" s="24" t="n">
        <x:f>IFERROR(K3053/I3053,0)</x:f>
        <x:v>0.26666666666666666</x:v>
      </x:c>
      <x:c r="Y3053" s="24" t="n">
        <x:f>IFERROR(G3053/I3053,0)</x:f>
        <x:v>0.26666666666666666</x:v>
      </x:c>
      <x:c r="Z3053" s="24" t="n">
        <x:f>IFERROR(G3053/K3053,0)</x:f>
        <x:v>1</x:v>
      </x:c>
      <x:c r="AA3053" s="24" t="n">
        <x:f>IFERROR(F3053/H3053,0)-IFERROR(G3053/I3053,0)</x:f>
        <x:v>-0.26666666666666666</x:v>
      </x:c>
      <x:c r="AB3053" s="28" t="n">
        <x:f>J3053-K3053</x:f>
        <x:v>-1</x:v>
      </x:c>
      <x:c r="AC3053" s="32" t="n">
        <x:f>F3053-G3053</x:f>
        <x:v>-4</x:v>
      </x:c>
    </x:row>
    <x:row r="3054">
      <x:c r="A3054" s="4" t="str">
        <x:v>2025-26</x:v>
      </x:c>
      <x:c r="B3054" s="20" t="n">
        <x:v>45886</x:v>
      </x:c>
      <x:c r="C3054" s="4" t="str">
        <x:v>Arsenal</x:v>
      </x:c>
      <x:c r="D3054" s="4" t="str">
        <x:v>Man United</x:v>
      </x:c>
      <x:c r="E3054" s="4" t="str">
        <x:v>Away</x:v>
      </x:c>
      <x:c r="F3054" s="28" t="n">
        <x:v>1</x:v>
      </x:c>
      <x:c r="G3054" s="28" t="n">
        <x:v>0</x:v>
      </x:c>
      <x:c r="H3054" s="28" t="n">
        <x:v>9</x:v>
      </x:c>
      <x:c r="I3054" s="28" t="n">
        <x:v>22</x:v>
      </x:c>
      <x:c r="J3054" s="28" t="n">
        <x:v>3</x:v>
      </x:c>
      <x:c r="K3054" s="28" t="n">
        <x:v>7</x:v>
      </x:c>
      <x:c r="L3054" s="28" t="n">
        <x:v>4</x:v>
      </x:c>
      <x:c r="M3054" s="28" t="n">
        <x:v>3</x:v>
      </x:c>
      <x:c r="N3054" s="28" t="n">
        <x:v>4</x:v>
      </x:c>
      <x:c r="O3054" s="28" t="n">
        <x:v>0</x:v>
      </x:c>
      <x:c r="P3054" s="28" t="n">
        <x:v>3</x:v>
      </x:c>
      <x:c r="Q3054" s="24" t="n">
        <x:f>IFERROR(J3054/H3054,0)</x:f>
        <x:v>0.3333333333333333</x:v>
      </x:c>
      <x:c r="R3054" s="24" t="n">
        <x:f>IFERROR(F3054/H3054,0)</x:f>
        <x:v>0.1111111111111111</x:v>
      </x:c>
      <x:c r="S3054" s="24" t="n">
        <x:f>IFERROR(F3054/J3054,0)</x:f>
        <x:v>0.3333333333333333</x:v>
      </x:c>
      <x:c r="T3054" s="28" t="n">
        <x:f>H3054-I3054</x:f>
        <x:v>-13</x:v>
      </x:c>
      <x:c r="U3054" s="24" t="n">
        <x:f>IFERROR(J3054/H3054,0)-IFERROR(K3054/I3054,0)</x:f>
        <x:v>0.015151515151515138</x:v>
      </x:c>
      <x:c r="V3054" s="24" t="n">
        <x:f>IFERROR(F3054/J3054,0)-IFERROR(G3054/K3054,0)</x:f>
        <x:v>0.3333333333333333</x:v>
      </x:c>
      <x:c r="W3054" s="28" t="n">
        <x:f>L3054-M3054</x:f>
        <x:v>1</x:v>
      </x:c>
      <x:c r="X3054" s="24" t="n">
        <x:f>IFERROR(K3054/I3054,0)</x:f>
        <x:v>0.3181818181818182</x:v>
      </x:c>
      <x:c r="Y3054" s="24" t="n">
        <x:f>IFERROR(G3054/I3054,0)</x:f>
        <x:v>0</x:v>
      </x:c>
      <x:c r="Z3054" s="24" t="n">
        <x:f>IFERROR(G3054/K3054,0)</x:f>
        <x:v>0</x:v>
      </x:c>
      <x:c r="AA3054" s="24" t="n">
        <x:f>IFERROR(F3054/H3054,0)-IFERROR(G3054/I3054,0)</x:f>
        <x:v>0.1111111111111111</x:v>
      </x:c>
      <x:c r="AB3054" s="28" t="n">
        <x:f>J3054-K3054</x:f>
        <x:v>-4</x:v>
      </x:c>
      <x:c r="AC3054" s="32" t="n">
        <x:f>F3054-G3054</x:f>
        <x:v>1</x:v>
      </x:c>
    </x:row>
    <x:row r="3055">
      <x:c r="A3055" s="4" t="str">
        <x:v>2025-26</x:v>
      </x:c>
      <x:c r="B3055" s="20" t="n">
        <x:v>45886</x:v>
      </x:c>
      <x:c r="C3055" s="4" t="str">
        <x:v>Brentford</x:v>
      </x:c>
      <x:c r="D3055" s="4" t="str">
        <x:v>Nott'm Forest</x:v>
      </x:c>
      <x:c r="E3055" s="4" t="str">
        <x:v>Away</x:v>
      </x:c>
      <x:c r="F3055" s="28" t="n">
        <x:v>1</x:v>
      </x:c>
      <x:c r="G3055" s="28" t="n">
        <x:v>3</x:v>
      </x:c>
      <x:c r="H3055" s="28" t="n">
        <x:v>10</x:v>
      </x:c>
      <x:c r="I3055" s="28" t="n">
        <x:v>11</x:v>
      </x:c>
      <x:c r="J3055" s="28" t="n">
        <x:v>3</x:v>
      </x:c>
      <x:c r="K3055" s="28" t="n">
        <x:v>5</x:v>
      </x:c>
      <x:c r="L3055" s="28" t="n">
        <x:v>5</x:v>
      </x:c>
      <x:c r="M3055" s="28" t="n">
        <x:v>5</x:v>
      </x:c>
      <x:c r="N3055" s="28" t="n">
        <x:v>2</x:v>
      </x:c>
      <x:c r="O3055" s="28" t="n">
        <x:v>0</x:v>
      </x:c>
      <x:c r="P3055" s="28" t="n">
        <x:v>0</x:v>
      </x:c>
      <x:c r="Q3055" s="24" t="n">
        <x:f>IFERROR(J3055/H3055,0)</x:f>
        <x:v>0.3</x:v>
      </x:c>
      <x:c r="R3055" s="24" t="n">
        <x:f>IFERROR(F3055/H3055,0)</x:f>
        <x:v>0.1</x:v>
      </x:c>
      <x:c r="S3055" s="24" t="n">
        <x:f>IFERROR(F3055/J3055,0)</x:f>
        <x:v>0.3333333333333333</x:v>
      </x:c>
      <x:c r="T3055" s="28" t="n">
        <x:f>H3055-I3055</x:f>
        <x:v>-1</x:v>
      </x:c>
      <x:c r="U3055" s="24" t="n">
        <x:f>IFERROR(J3055/H3055,0)-IFERROR(K3055/I3055,0)</x:f>
        <x:v>-0.15454545454545454</x:v>
      </x:c>
      <x:c r="V3055" s="24" t="n">
        <x:f>IFERROR(F3055/J3055,0)-IFERROR(G3055/K3055,0)</x:f>
        <x:v>-0.26666666666666666</x:v>
      </x:c>
      <x:c r="W3055" s="28" t="n">
        <x:f>L3055-M3055</x:f>
        <x:v>0</x:v>
      </x:c>
      <x:c r="X3055" s="24" t="n">
        <x:f>IFERROR(K3055/I3055,0)</x:f>
        <x:v>0.45454545454545453</x:v>
      </x:c>
      <x:c r="Y3055" s="24" t="n">
        <x:f>IFERROR(G3055/I3055,0)</x:f>
        <x:v>0.2727272727272727</x:v>
      </x:c>
      <x:c r="Z3055" s="24" t="n">
        <x:f>IFERROR(G3055/K3055,0)</x:f>
        <x:v>0.6</x:v>
      </x:c>
      <x:c r="AA3055" s="24" t="n">
        <x:f>IFERROR(F3055/H3055,0)-IFERROR(G3055/I3055,0)</x:f>
        <x:v>-0.1727272727272727</x:v>
      </x:c>
      <x:c r="AB3055" s="28" t="n">
        <x:f>J3055-K3055</x:f>
        <x:v>-2</x:v>
      </x:c>
      <x:c r="AC3055" s="32" t="n">
        <x:f>F3055-G3055</x:f>
        <x:v>-2</x:v>
      </x:c>
    </x:row>
    <x:row r="3056">
      <x:c r="A3056" s="4" t="str">
        <x:v>2025-26</x:v>
      </x:c>
      <x:c r="B3056" s="20" t="n">
        <x:v>45886</x:v>
      </x:c>
      <x:c r="C3056" s="4" t="str">
        <x:v>Chelsea</x:v>
      </x:c>
      <x:c r="D3056" s="4" t="str">
        <x:v>Crystal Palace</x:v>
      </x:c>
      <x:c r="E3056" s="4" t="str">
        <x:v>Home</x:v>
      </x:c>
      <x:c r="F3056" s="28" t="n">
        <x:v>0</x:v>
      </x:c>
      <x:c r="G3056" s="28" t="n">
        <x:v>0</x:v>
      </x:c>
      <x:c r="H3056" s="28" t="n">
        <x:v>19</x:v>
      </x:c>
      <x:c r="I3056" s="28" t="n">
        <x:v>12</x:v>
      </x:c>
      <x:c r="J3056" s="28" t="n">
        <x:v>3</x:v>
      </x:c>
      <x:c r="K3056" s="28" t="n">
        <x:v>4</x:v>
      </x:c>
      <x:c r="L3056" s="28" t="n">
        <x:v>11</x:v>
      </x:c>
      <x:c r="M3056" s="28" t="n">
        <x:v>2</x:v>
      </x:c>
      <x:c r="N3056" s="28" t="n">
        <x:v>2</x:v>
      </x:c>
      <x:c r="O3056" s="28" t="n">
        <x:v>0</x:v>
      </x:c>
      <x:c r="P3056" s="28" t="n">
        <x:v>1</x:v>
      </x:c>
      <x:c r="Q3056" s="24" t="n">
        <x:f>IFERROR(J3056/H3056,0)</x:f>
        <x:v>0.15789473684210525</x:v>
      </x:c>
      <x:c r="R3056" s="24" t="n">
        <x:f>IFERROR(F3056/H3056,0)</x:f>
        <x:v>0</x:v>
      </x:c>
      <x:c r="S3056" s="24" t="n">
        <x:f>IFERROR(F3056/J3056,0)</x:f>
        <x:v>0</x:v>
      </x:c>
      <x:c r="T3056" s="28" t="n">
        <x:f>H3056-I3056</x:f>
        <x:v>7</x:v>
      </x:c>
      <x:c r="U3056" s="24" t="n">
        <x:f>IFERROR(J3056/H3056,0)-IFERROR(K3056/I3056,0)</x:f>
        <x:v>-0.17543859649122806</x:v>
      </x:c>
      <x:c r="V3056" s="24" t="n">
        <x:f>IFERROR(F3056/J3056,0)-IFERROR(G3056/K3056,0)</x:f>
        <x:v>0</x:v>
      </x:c>
      <x:c r="W3056" s="28" t="n">
        <x:f>L3056-M3056</x:f>
        <x:v>9</x:v>
      </x:c>
      <x:c r="X3056" s="24" t="n">
        <x:f>IFERROR(K3056/I3056,0)</x:f>
        <x:v>0.3333333333333333</x:v>
      </x:c>
      <x:c r="Y3056" s="24" t="n">
        <x:f>IFERROR(G3056/I3056,0)</x:f>
        <x:v>0</x:v>
      </x:c>
      <x:c r="Z3056" s="24" t="n">
        <x:f>IFERROR(G3056/K3056,0)</x:f>
        <x:v>0</x:v>
      </x:c>
      <x:c r="AA3056" s="24" t="n">
        <x:f>IFERROR(F3056/H3056,0)-IFERROR(G3056/I3056,0)</x:f>
        <x:v>0</x:v>
      </x:c>
      <x:c r="AB3056" s="28" t="n">
        <x:f>J3056-K3056</x:f>
        <x:v>-1</x:v>
      </x:c>
      <x:c r="AC3056" s="32" t="n">
        <x:f>F3056-G3056</x:f>
        <x:v>0</x:v>
      </x:c>
    </x:row>
    <x:row r="3057">
      <x:c r="A3057" s="4" t="str">
        <x:v>2025-26</x:v>
      </x:c>
      <x:c r="B3057" s="20" t="n">
        <x:v>45886</x:v>
      </x:c>
      <x:c r="C3057" s="4" t="str">
        <x:v>Crystal Palace</x:v>
      </x:c>
      <x:c r="D3057" s="4" t="str">
        <x:v>Chelsea</x:v>
      </x:c>
      <x:c r="E3057" s="4" t="str">
        <x:v>Away</x:v>
      </x:c>
      <x:c r="F3057" s="28" t="n">
        <x:v>0</x:v>
      </x:c>
      <x:c r="G3057" s="28" t="n">
        <x:v>0</x:v>
      </x:c>
      <x:c r="H3057" s="28" t="n">
        <x:v>12</x:v>
      </x:c>
      <x:c r="I3057" s="28" t="n">
        <x:v>19</x:v>
      </x:c>
      <x:c r="J3057" s="28" t="n">
        <x:v>4</x:v>
      </x:c>
      <x:c r="K3057" s="28" t="n">
        <x:v>3</x:v>
      </x:c>
      <x:c r="L3057" s="28" t="n">
        <x:v>2</x:v>
      </x:c>
      <x:c r="M3057" s="28" t="n">
        <x:v>11</x:v>
      </x:c>
      <x:c r="N3057" s="28" t="n">
        <x:v>3</x:v>
      </x:c>
      <x:c r="O3057" s="28" t="n">
        <x:v>0</x:v>
      </x:c>
      <x:c r="P3057" s="28" t="n">
        <x:v>1</x:v>
      </x:c>
      <x:c r="Q3057" s="24" t="n">
        <x:f>IFERROR(J3057/H3057,0)</x:f>
        <x:v>0.3333333333333333</x:v>
      </x:c>
      <x:c r="R3057" s="24" t="n">
        <x:f>IFERROR(F3057/H3057,0)</x:f>
        <x:v>0</x:v>
      </x:c>
      <x:c r="S3057" s="24" t="n">
        <x:f>IFERROR(F3057/J3057,0)</x:f>
        <x:v>0</x:v>
      </x:c>
      <x:c r="T3057" s="28" t="n">
        <x:f>H3057-I3057</x:f>
        <x:v>-7</x:v>
      </x:c>
      <x:c r="U3057" s="24" t="n">
        <x:f>IFERROR(J3057/H3057,0)-IFERROR(K3057/I3057,0)</x:f>
        <x:v>0.17543859649122806</x:v>
      </x:c>
      <x:c r="V3057" s="24" t="n">
        <x:f>IFERROR(F3057/J3057,0)-IFERROR(G3057/K3057,0)</x:f>
        <x:v>0</x:v>
      </x:c>
      <x:c r="W3057" s="28" t="n">
        <x:f>L3057-M3057</x:f>
        <x:v>-9</x:v>
      </x:c>
      <x:c r="X3057" s="24" t="n">
        <x:f>IFERROR(K3057/I3057,0)</x:f>
        <x:v>0.15789473684210525</x:v>
      </x:c>
      <x:c r="Y3057" s="24" t="n">
        <x:f>IFERROR(G3057/I3057,0)</x:f>
        <x:v>0</x:v>
      </x:c>
      <x:c r="Z3057" s="24" t="n">
        <x:f>IFERROR(G3057/K3057,0)</x:f>
        <x:v>0</x:v>
      </x:c>
      <x:c r="AA3057" s="24" t="n">
        <x:f>IFERROR(F3057/H3057,0)-IFERROR(G3057/I3057,0)</x:f>
        <x:v>0</x:v>
      </x:c>
      <x:c r="AB3057" s="28" t="n">
        <x:f>J3057-K3057</x:f>
        <x:v>1</x:v>
      </x:c>
      <x:c r="AC3057" s="32" t="n">
        <x:f>F3057-G3057</x:f>
        <x:v>0</x:v>
      </x:c>
    </x:row>
    <x:row r="3058">
      <x:c r="A3058" s="4" t="str">
        <x:v>2025-26</x:v>
      </x:c>
      <x:c r="B3058" s="20" t="n">
        <x:v>45886</x:v>
      </x:c>
      <x:c r="C3058" s="4" t="str">
        <x:v>Man United</x:v>
      </x:c>
      <x:c r="D3058" s="4" t="str">
        <x:v>Arsenal</x:v>
      </x:c>
      <x:c r="E3058" s="4" t="str">
        <x:v>Home</x:v>
      </x:c>
      <x:c r="F3058" s="28" t="n">
        <x:v>0</x:v>
      </x:c>
      <x:c r="G3058" s="28" t="n">
        <x:v>1</x:v>
      </x:c>
      <x:c r="H3058" s="28" t="n">
        <x:v>22</x:v>
      </x:c>
      <x:c r="I3058" s="28" t="n">
        <x:v>9</x:v>
      </x:c>
      <x:c r="J3058" s="28" t="n">
        <x:v>7</x:v>
      </x:c>
      <x:c r="K3058" s="28" t="n">
        <x:v>3</x:v>
      </x:c>
      <x:c r="L3058" s="28" t="n">
        <x:v>3</x:v>
      </x:c>
      <x:c r="M3058" s="28" t="n">
        <x:v>4</x:v>
      </x:c>
      <x:c r="N3058" s="28" t="n">
        <x:v>1</x:v>
      </x:c>
      <x:c r="O3058" s="28" t="n">
        <x:v>0</x:v>
      </x:c>
      <x:c r="P3058" s="28" t="n">
        <x:v>0</x:v>
      </x:c>
      <x:c r="Q3058" s="24" t="n">
        <x:f>IFERROR(J3058/H3058,0)</x:f>
        <x:v>0.3181818181818182</x:v>
      </x:c>
      <x:c r="R3058" s="24" t="n">
        <x:f>IFERROR(F3058/H3058,0)</x:f>
        <x:v>0</x:v>
      </x:c>
      <x:c r="S3058" s="24" t="n">
        <x:f>IFERROR(F3058/J3058,0)</x:f>
        <x:v>0</x:v>
      </x:c>
      <x:c r="T3058" s="28" t="n">
        <x:f>H3058-I3058</x:f>
        <x:v>13</x:v>
      </x:c>
      <x:c r="U3058" s="24" t="n">
        <x:f>IFERROR(J3058/H3058,0)-IFERROR(K3058/I3058,0)</x:f>
        <x:v>-0.015151515151515138</x:v>
      </x:c>
      <x:c r="V3058" s="24" t="n">
        <x:f>IFERROR(F3058/J3058,0)-IFERROR(G3058/K3058,0)</x:f>
        <x:v>-0.3333333333333333</x:v>
      </x:c>
      <x:c r="W3058" s="28" t="n">
        <x:f>L3058-M3058</x:f>
        <x:v>-1</x:v>
      </x:c>
      <x:c r="X3058" s="24" t="n">
        <x:f>IFERROR(K3058/I3058,0)</x:f>
        <x:v>0.3333333333333333</x:v>
      </x:c>
      <x:c r="Y3058" s="24" t="n">
        <x:f>IFERROR(G3058/I3058,0)</x:f>
        <x:v>0.1111111111111111</x:v>
      </x:c>
      <x:c r="Z3058" s="24" t="n">
        <x:f>IFERROR(G3058/K3058,0)</x:f>
        <x:v>0.3333333333333333</x:v>
      </x:c>
      <x:c r="AA3058" s="24" t="n">
        <x:f>IFERROR(F3058/H3058,0)-IFERROR(G3058/I3058,0)</x:f>
        <x:v>-0.1111111111111111</x:v>
      </x:c>
      <x:c r="AB3058" s="28" t="n">
        <x:f>J3058-K3058</x:f>
        <x:v>4</x:v>
      </x:c>
      <x:c r="AC3058" s="32" t="n">
        <x:f>F3058-G3058</x:f>
        <x:v>-1</x:v>
      </x:c>
    </x:row>
    <x:row r="3059">
      <x:c r="A3059" s="4" t="str">
        <x:v>2025-26</x:v>
      </x:c>
      <x:c r="B3059" s="20" t="n">
        <x:v>45886</x:v>
      </x:c>
      <x:c r="C3059" s="4" t="str">
        <x:v>Nott'm Forest</x:v>
      </x:c>
      <x:c r="D3059" s="4" t="str">
        <x:v>Brentford</x:v>
      </x:c>
      <x:c r="E3059" s="4" t="str">
        <x:v>Home</x:v>
      </x:c>
      <x:c r="F3059" s="28" t="n">
        <x:v>3</x:v>
      </x:c>
      <x:c r="G3059" s="28" t="n">
        <x:v>1</x:v>
      </x:c>
      <x:c r="H3059" s="28" t="n">
        <x:v>11</x:v>
      </x:c>
      <x:c r="I3059" s="28" t="n">
        <x:v>10</x:v>
      </x:c>
      <x:c r="J3059" s="28" t="n">
        <x:v>5</x:v>
      </x:c>
      <x:c r="K3059" s="28" t="n">
        <x:v>3</x:v>
      </x:c>
      <x:c r="L3059" s="28" t="n">
        <x:v>5</x:v>
      </x:c>
      <x:c r="M3059" s="28" t="n">
        <x:v>5</x:v>
      </x:c>
      <x:c r="N3059" s="28" t="n">
        <x:v>1</x:v>
      </x:c>
      <x:c r="O3059" s="28" t="n">
        <x:v>0</x:v>
      </x:c>
      <x:c r="P3059" s="28" t="n">
        <x:v>3</x:v>
      </x:c>
      <x:c r="Q3059" s="24" t="n">
        <x:f>IFERROR(J3059/H3059,0)</x:f>
        <x:v>0.45454545454545453</x:v>
      </x:c>
      <x:c r="R3059" s="24" t="n">
        <x:f>IFERROR(F3059/H3059,0)</x:f>
        <x:v>0.2727272727272727</x:v>
      </x:c>
      <x:c r="S3059" s="24" t="n">
        <x:f>IFERROR(F3059/J3059,0)</x:f>
        <x:v>0.6</x:v>
      </x:c>
      <x:c r="T3059" s="28" t="n">
        <x:f>H3059-I3059</x:f>
        <x:v>1</x:v>
      </x:c>
      <x:c r="U3059" s="24" t="n">
        <x:f>IFERROR(J3059/H3059,0)-IFERROR(K3059/I3059,0)</x:f>
        <x:v>0.15454545454545454</x:v>
      </x:c>
      <x:c r="V3059" s="24" t="n">
        <x:f>IFERROR(F3059/J3059,0)-IFERROR(G3059/K3059,0)</x:f>
        <x:v>0.26666666666666666</x:v>
      </x:c>
      <x:c r="W3059" s="28" t="n">
        <x:f>L3059-M3059</x:f>
        <x:v>0</x:v>
      </x:c>
      <x:c r="X3059" s="24" t="n">
        <x:f>IFERROR(K3059/I3059,0)</x:f>
        <x:v>0.3</x:v>
      </x:c>
      <x:c r="Y3059" s="24" t="n">
        <x:f>IFERROR(G3059/I3059,0)</x:f>
        <x:v>0.1</x:v>
      </x:c>
      <x:c r="Z3059" s="24" t="n">
        <x:f>IFERROR(G3059/K3059,0)</x:f>
        <x:v>0.3333333333333333</x:v>
      </x:c>
      <x:c r="AA3059" s="24" t="n">
        <x:f>IFERROR(F3059/H3059,0)-IFERROR(G3059/I3059,0)</x:f>
        <x:v>0.1727272727272727</x:v>
      </x:c>
      <x:c r="AB3059" s="28" t="n">
        <x:f>J3059-K3059</x:f>
        <x:v>2</x:v>
      </x:c>
      <x:c r="AC3059" s="32" t="n">
        <x:f>F3059-G3059</x:f>
        <x:v>2</x:v>
      </x:c>
    </x:row>
    <x:row r="3060">
      <x:c r="A3060" s="4" t="str">
        <x:v>2025-26</x:v>
      </x:c>
      <x:c r="B3060" s="20" t="n">
        <x:v>45887</x:v>
      </x:c>
      <x:c r="C3060" s="4" t="str">
        <x:v>Everton</x:v>
      </x:c>
      <x:c r="D3060" s="4" t="str">
        <x:v>Leeds</x:v>
      </x:c>
      <x:c r="E3060" s="4" t="str">
        <x:v>Away</x:v>
      </x:c>
      <x:c r="F3060" s="28" t="n">
        <x:v>0</x:v>
      </x:c>
      <x:c r="G3060" s="28" t="n">
        <x:v>1</x:v>
      </x:c>
      <x:c r="H3060" s="28" t="n">
        <x:v>7</x:v>
      </x:c>
      <x:c r="I3060" s="28" t="n">
        <x:v>21</x:v>
      </x:c>
      <x:c r="J3060" s="28" t="n">
        <x:v>1</x:v>
      </x:c>
      <x:c r="K3060" s="28" t="n">
        <x:v>3</x:v>
      </x:c>
      <x:c r="L3060" s="28" t="n">
        <x:v>2</x:v>
      </x:c>
      <x:c r="M3060" s="28" t="n">
        <x:v>7</x:v>
      </x:c>
      <x:c r="N3060" s="28" t="n">
        <x:v>2</x:v>
      </x:c>
      <x:c r="O3060" s="28" t="n">
        <x:v>0</x:v>
      </x:c>
      <x:c r="P3060" s="28" t="n">
        <x:v>0</x:v>
      </x:c>
      <x:c r="Q3060" s="24" t="n">
        <x:f>IFERROR(J3060/H3060,0)</x:f>
        <x:v>0.14285714285714285</x:v>
      </x:c>
      <x:c r="R3060" s="24" t="n">
        <x:f>IFERROR(F3060/H3060,0)</x:f>
        <x:v>0</x:v>
      </x:c>
      <x:c r="S3060" s="24" t="n">
        <x:f>IFERROR(F3060/J3060,0)</x:f>
        <x:v>0</x:v>
      </x:c>
      <x:c r="T3060" s="28" t="n">
        <x:f>H3060-I3060</x:f>
        <x:v>-14</x:v>
      </x:c>
      <x:c r="U3060" s="24" t="n">
        <x:f>IFERROR(J3060/H3060,0)-IFERROR(K3060/I3060,0)</x:f>
        <x:v>0</x:v>
      </x:c>
      <x:c r="V3060" s="24" t="n">
        <x:f>IFERROR(F3060/J3060,0)-IFERROR(G3060/K3060,0)</x:f>
        <x:v>-0.3333333333333333</x:v>
      </x:c>
      <x:c r="W3060" s="28" t="n">
        <x:f>L3060-M3060</x:f>
        <x:v>-5</x:v>
      </x:c>
      <x:c r="X3060" s="24" t="n">
        <x:f>IFERROR(K3060/I3060,0)</x:f>
        <x:v>0.14285714285714285</x:v>
      </x:c>
      <x:c r="Y3060" s="24" t="n">
        <x:f>IFERROR(G3060/I3060,0)</x:f>
        <x:v>0.047619047619047616</x:v>
      </x:c>
      <x:c r="Z3060" s="24" t="n">
        <x:f>IFERROR(G3060/K3060,0)</x:f>
        <x:v>0.3333333333333333</x:v>
      </x:c>
      <x:c r="AA3060" s="24" t="n">
        <x:f>IFERROR(F3060/H3060,0)-IFERROR(G3060/I3060,0)</x:f>
        <x:v>-0.047619047619047616</x:v>
      </x:c>
      <x:c r="AB3060" s="28" t="n">
        <x:f>J3060-K3060</x:f>
        <x:v>-2</x:v>
      </x:c>
      <x:c r="AC3060" s="32" t="n">
        <x:f>F3060-G3060</x:f>
        <x:v>-1</x:v>
      </x:c>
    </x:row>
    <x:row r="3061">
      <x:c r="A3061" s="4" t="str">
        <x:v>2025-26</x:v>
      </x:c>
      <x:c r="B3061" s="20" t="n">
        <x:v>45887</x:v>
      </x:c>
      <x:c r="C3061" s="4" t="str">
        <x:v>Leeds</x:v>
      </x:c>
      <x:c r="D3061" s="4" t="str">
        <x:v>Everton</x:v>
      </x:c>
      <x:c r="E3061" s="4" t="str">
        <x:v>Home</x:v>
      </x:c>
      <x:c r="F3061" s="28" t="n">
        <x:v>1</x:v>
      </x:c>
      <x:c r="G3061" s="28" t="n">
        <x:v>0</x:v>
      </x:c>
      <x:c r="H3061" s="28" t="n">
        <x:v>21</x:v>
      </x:c>
      <x:c r="I3061" s="28" t="n">
        <x:v>7</x:v>
      </x:c>
      <x:c r="J3061" s="28" t="n">
        <x:v>3</x:v>
      </x:c>
      <x:c r="K3061" s="28" t="n">
        <x:v>1</x:v>
      </x:c>
      <x:c r="L3061" s="28" t="n">
        <x:v>7</x:v>
      </x:c>
      <x:c r="M3061" s="28" t="n">
        <x:v>2</x:v>
      </x:c>
      <x:c r="N3061" s="28" t="n">
        <x:v>0</x:v>
      </x:c>
      <x:c r="O3061" s="28" t="n">
        <x:v>0</x:v>
      </x:c>
      <x:c r="P3061" s="28" t="n">
        <x:v>3</x:v>
      </x:c>
      <x:c r="Q3061" s="24" t="n">
        <x:f>IFERROR(J3061/H3061,0)</x:f>
        <x:v>0.14285714285714285</x:v>
      </x:c>
      <x:c r="R3061" s="24" t="n">
        <x:f>IFERROR(F3061/H3061,0)</x:f>
        <x:v>0.047619047619047616</x:v>
      </x:c>
      <x:c r="S3061" s="24" t="n">
        <x:f>IFERROR(F3061/J3061,0)</x:f>
        <x:v>0.3333333333333333</x:v>
      </x:c>
      <x:c r="T3061" s="28" t="n">
        <x:f>H3061-I3061</x:f>
        <x:v>14</x:v>
      </x:c>
      <x:c r="U3061" s="24" t="n">
        <x:f>IFERROR(J3061/H3061,0)-IFERROR(K3061/I3061,0)</x:f>
        <x:v>0</x:v>
      </x:c>
      <x:c r="V3061" s="24" t="n">
        <x:f>IFERROR(F3061/J3061,0)-IFERROR(G3061/K3061,0)</x:f>
        <x:v>0.3333333333333333</x:v>
      </x:c>
      <x:c r="W3061" s="28" t="n">
        <x:f>L3061-M3061</x:f>
        <x:v>5</x:v>
      </x:c>
      <x:c r="X3061" s="24" t="n">
        <x:f>IFERROR(K3061/I3061,0)</x:f>
        <x:v>0.14285714285714285</x:v>
      </x:c>
      <x:c r="Y3061" s="24" t="n">
        <x:f>IFERROR(G3061/I3061,0)</x:f>
        <x:v>0</x:v>
      </x:c>
      <x:c r="Z3061" s="24" t="n">
        <x:f>IFERROR(G3061/K3061,0)</x:f>
        <x:v>0</x:v>
      </x:c>
      <x:c r="AA3061" s="24" t="n">
        <x:f>IFERROR(F3061/H3061,0)-IFERROR(G3061/I3061,0)</x:f>
        <x:v>0.047619047619047616</x:v>
      </x:c>
      <x:c r="AB3061" s="28" t="n">
        <x:f>J3061-K3061</x:f>
        <x:v>2</x:v>
      </x:c>
      <x:c r="AC3061" s="32" t="n">
        <x:f>F3061-G3061</x:f>
        <x:v>1</x:v>
      </x:c>
    </x:row>
    <x:row r="3062">
      <x:c r="A3062" s="4" t="str">
        <x:v>2025-26</x:v>
      </x:c>
      <x:c r="B3062" s="20" t="n">
        <x:v>45891</x:v>
      </x:c>
      <x:c r="C3062" s="4" t="str">
        <x:v>Chelsea</x:v>
      </x:c>
      <x:c r="D3062" s="4" t="str">
        <x:v>West Ham</x:v>
      </x:c>
      <x:c r="E3062" s="4" t="str">
        <x:v>Away</x:v>
      </x:c>
      <x:c r="F3062" s="28" t="n">
        <x:v>5</x:v>
      </x:c>
      <x:c r="G3062" s="28" t="n">
        <x:v>1</x:v>
      </x:c>
      <x:c r="H3062" s="28" t="n">
        <x:v>12</x:v>
      </x:c>
      <x:c r="I3062" s="28" t="n">
        <x:v>12</x:v>
      </x:c>
      <x:c r="J3062" s="28" t="n">
        <x:v>7</x:v>
      </x:c>
      <x:c r="K3062" s="28" t="n">
        <x:v>4</x:v>
      </x:c>
      <x:c r="L3062" s="28" t="n">
        <x:v>5</x:v>
      </x:c>
      <x:c r="M3062" s="28" t="n">
        <x:v>7</x:v>
      </x:c>
      <x:c r="N3062" s="28" t="n">
        <x:v>1</x:v>
      </x:c>
      <x:c r="O3062" s="28" t="n">
        <x:v>0</x:v>
      </x:c>
      <x:c r="P3062" s="28" t="n">
        <x:v>3</x:v>
      </x:c>
      <x:c r="Q3062" s="24" t="n">
        <x:f>IFERROR(J3062/H3062,0)</x:f>
        <x:v>0.5833333333333334</x:v>
      </x:c>
      <x:c r="R3062" s="24" t="n">
        <x:f>IFERROR(F3062/H3062,0)</x:f>
        <x:v>0.4166666666666667</x:v>
      </x:c>
      <x:c r="S3062" s="24" t="n">
        <x:f>IFERROR(F3062/J3062,0)</x:f>
        <x:v>0.7142857142857143</x:v>
      </x:c>
      <x:c r="T3062" s="28" t="n">
        <x:f>H3062-I3062</x:f>
        <x:v>0</x:v>
      </x:c>
      <x:c r="U3062" s="24" t="n">
        <x:f>IFERROR(J3062/H3062,0)-IFERROR(K3062/I3062,0)</x:f>
        <x:v>0.25000000000000006</x:v>
      </x:c>
      <x:c r="V3062" s="24" t="n">
        <x:f>IFERROR(F3062/J3062,0)-IFERROR(G3062/K3062,0)</x:f>
        <x:v>0.4642857142857143</x:v>
      </x:c>
      <x:c r="W3062" s="28" t="n">
        <x:f>L3062-M3062</x:f>
        <x:v>-2</x:v>
      </x:c>
      <x:c r="X3062" s="24" t="n">
        <x:f>IFERROR(K3062/I3062,0)</x:f>
        <x:v>0.3333333333333333</x:v>
      </x:c>
      <x:c r="Y3062" s="24" t="n">
        <x:f>IFERROR(G3062/I3062,0)</x:f>
        <x:v>0.08333333333333333</x:v>
      </x:c>
      <x:c r="Z3062" s="24" t="n">
        <x:f>IFERROR(G3062/K3062,0)</x:f>
        <x:v>0.25</x:v>
      </x:c>
      <x:c r="AA3062" s="24" t="n">
        <x:f>IFERROR(F3062/H3062,0)-IFERROR(G3062/I3062,0)</x:f>
        <x:v>0.33333333333333337</x:v>
      </x:c>
      <x:c r="AB3062" s="28" t="n">
        <x:f>J3062-K3062</x:f>
        <x:v>3</x:v>
      </x:c>
      <x:c r="AC3062" s="32" t="n">
        <x:f>F3062-G3062</x:f>
        <x:v>4</x:v>
      </x:c>
    </x:row>
    <x:row r="3063">
      <x:c r="A3063" s="4" t="str">
        <x:v>2025-26</x:v>
      </x:c>
      <x:c r="B3063" s="20" t="n">
        <x:v>45891</x:v>
      </x:c>
      <x:c r="C3063" s="4" t="str">
        <x:v>West Ham</x:v>
      </x:c>
      <x:c r="D3063" s="4" t="str">
        <x:v>Chelsea</x:v>
      </x:c>
      <x:c r="E3063" s="4" t="str">
        <x:v>Home</x:v>
      </x:c>
      <x:c r="F3063" s="28" t="n">
        <x:v>1</x:v>
      </x:c>
      <x:c r="G3063" s="28" t="n">
        <x:v>5</x:v>
      </x:c>
      <x:c r="H3063" s="28" t="n">
        <x:v>12</x:v>
      </x:c>
      <x:c r="I3063" s="28" t="n">
        <x:v>12</x:v>
      </x:c>
      <x:c r="J3063" s="28" t="n">
        <x:v>4</x:v>
      </x:c>
      <x:c r="K3063" s="28" t="n">
        <x:v>7</x:v>
      </x:c>
      <x:c r="L3063" s="28" t="n">
        <x:v>7</x:v>
      </x:c>
      <x:c r="M3063" s="28" t="n">
        <x:v>5</x:v>
      </x:c>
      <x:c r="N3063" s="28" t="n">
        <x:v>0</x:v>
      </x:c>
      <x:c r="O3063" s="28" t="n">
        <x:v>0</x:v>
      </x:c>
      <x:c r="P3063" s="28" t="n">
        <x:v>0</x:v>
      </x:c>
      <x:c r="Q3063" s="24" t="n">
        <x:f>IFERROR(J3063/H3063,0)</x:f>
        <x:v>0.3333333333333333</x:v>
      </x:c>
      <x:c r="R3063" s="24" t="n">
        <x:f>IFERROR(F3063/H3063,0)</x:f>
        <x:v>0.08333333333333333</x:v>
      </x:c>
      <x:c r="S3063" s="24" t="n">
        <x:f>IFERROR(F3063/J3063,0)</x:f>
        <x:v>0.25</x:v>
      </x:c>
      <x:c r="T3063" s="28" t="n">
        <x:f>H3063-I3063</x:f>
        <x:v>0</x:v>
      </x:c>
      <x:c r="U3063" s="24" t="n">
        <x:f>IFERROR(J3063/H3063,0)-IFERROR(K3063/I3063,0)</x:f>
        <x:v>-0.25000000000000006</x:v>
      </x:c>
      <x:c r="V3063" s="24" t="n">
        <x:f>IFERROR(F3063/J3063,0)-IFERROR(G3063/K3063,0)</x:f>
        <x:v>-0.4642857142857143</x:v>
      </x:c>
      <x:c r="W3063" s="28" t="n">
        <x:f>L3063-M3063</x:f>
        <x:v>2</x:v>
      </x:c>
      <x:c r="X3063" s="24" t="n">
        <x:f>IFERROR(K3063/I3063,0)</x:f>
        <x:v>0.5833333333333334</x:v>
      </x:c>
      <x:c r="Y3063" s="24" t="n">
        <x:f>IFERROR(G3063/I3063,0)</x:f>
        <x:v>0.4166666666666667</x:v>
      </x:c>
      <x:c r="Z3063" s="24" t="n">
        <x:f>IFERROR(G3063/K3063,0)</x:f>
        <x:v>0.7142857142857143</x:v>
      </x:c>
      <x:c r="AA3063" s="24" t="n">
        <x:f>IFERROR(F3063/H3063,0)-IFERROR(G3063/I3063,0)</x:f>
        <x:v>-0.33333333333333337</x:v>
      </x:c>
      <x:c r="AB3063" s="28" t="n">
        <x:f>J3063-K3063</x:f>
        <x:v>-3</x:v>
      </x:c>
      <x:c r="AC3063" s="32" t="n">
        <x:f>F3063-G3063</x:f>
        <x:v>-4</x:v>
      </x:c>
    </x:row>
    <x:row r="3064">
      <x:c r="A3064" s="4" t="str">
        <x:v>2025-26</x:v>
      </x:c>
      <x:c r="B3064" s="20" t="n">
        <x:v>45892</x:v>
      </x:c>
      <x:c r="C3064" s="4" t="str">
        <x:v>Arsenal</x:v>
      </x:c>
      <x:c r="D3064" s="4" t="str">
        <x:v>Leeds</x:v>
      </x:c>
      <x:c r="E3064" s="4" t="str">
        <x:v>Home</x:v>
      </x:c>
      <x:c r="F3064" s="28" t="n">
        <x:v>5</x:v>
      </x:c>
      <x:c r="G3064" s="28" t="n">
        <x:v>0</x:v>
      </x:c>
      <x:c r="H3064" s="28" t="n">
        <x:v>18</x:v>
      </x:c>
      <x:c r="I3064" s="28" t="n">
        <x:v>3</x:v>
      </x:c>
      <x:c r="J3064" s="28" t="n">
        <x:v>5</x:v>
      </x:c>
      <x:c r="K3064" s="28" t="n">
        <x:v>1</x:v>
      </x:c>
      <x:c r="L3064" s="28" t="n">
        <x:v>2</x:v>
      </x:c>
      <x:c r="M3064" s="28" t="n">
        <x:v>2</x:v>
      </x:c>
      <x:c r="N3064" s="28" t="n">
        <x:v>0</x:v>
      </x:c>
      <x:c r="O3064" s="28" t="n">
        <x:v>0</x:v>
      </x:c>
      <x:c r="P3064" s="28" t="n">
        <x:v>3</x:v>
      </x:c>
      <x:c r="Q3064" s="24" t="n">
        <x:f>IFERROR(J3064/H3064,0)</x:f>
        <x:v>0.2777777777777778</x:v>
      </x:c>
      <x:c r="R3064" s="24" t="n">
        <x:f>IFERROR(F3064/H3064,0)</x:f>
        <x:v>0.2777777777777778</x:v>
      </x:c>
      <x:c r="S3064" s="24" t="n">
        <x:f>IFERROR(F3064/J3064,0)</x:f>
        <x:v>1</x:v>
      </x:c>
      <x:c r="T3064" s="28" t="n">
        <x:f>H3064-I3064</x:f>
        <x:v>15</x:v>
      </x:c>
      <x:c r="U3064" s="24" t="n">
        <x:f>IFERROR(J3064/H3064,0)-IFERROR(K3064/I3064,0)</x:f>
        <x:v>-0.055555555555555525</x:v>
      </x:c>
      <x:c r="V3064" s="24" t="n">
        <x:f>IFERROR(F3064/J3064,0)-IFERROR(G3064/K3064,0)</x:f>
        <x:v>1</x:v>
      </x:c>
      <x:c r="W3064" s="28" t="n">
        <x:f>L3064-M3064</x:f>
        <x:v>0</x:v>
      </x:c>
      <x:c r="X3064" s="24" t="n">
        <x:f>IFERROR(K3064/I3064,0)</x:f>
        <x:v>0.3333333333333333</x:v>
      </x:c>
      <x:c r="Y3064" s="24" t="n">
        <x:f>IFERROR(G3064/I3064,0)</x:f>
        <x:v>0</x:v>
      </x:c>
      <x:c r="Z3064" s="24" t="n">
        <x:f>IFERROR(G3064/K3064,0)</x:f>
        <x:v>0</x:v>
      </x:c>
      <x:c r="AA3064" s="24" t="n">
        <x:f>IFERROR(F3064/H3064,0)-IFERROR(G3064/I3064,0)</x:f>
        <x:v>0.2777777777777778</x:v>
      </x:c>
      <x:c r="AB3064" s="28" t="n">
        <x:f>J3064-K3064</x:f>
        <x:v>4</x:v>
      </x:c>
      <x:c r="AC3064" s="32" t="n">
        <x:f>F3064-G3064</x:f>
        <x:v>5</x:v>
      </x:c>
    </x:row>
    <x:row r="3065">
      <x:c r="A3065" s="4" t="str">
        <x:v>2025-26</x:v>
      </x:c>
      <x:c r="B3065" s="20" t="n">
        <x:v>45892</x:v>
      </x:c>
      <x:c r="C3065" s="4" t="str">
        <x:v>Aston Villa</x:v>
      </x:c>
      <x:c r="D3065" s="4" t="str">
        <x:v>Brentford</x:v>
      </x:c>
      <x:c r="E3065" s="4" t="str">
        <x:v>Away</x:v>
      </x:c>
      <x:c r="F3065" s="28" t="n">
        <x:v>0</x:v>
      </x:c>
      <x:c r="G3065" s="28" t="n">
        <x:v>1</x:v>
      </x:c>
      <x:c r="H3065" s="28" t="n">
        <x:v>17</x:v>
      </x:c>
      <x:c r="I3065" s="28" t="n">
        <x:v>9</x:v>
      </x:c>
      <x:c r="J3065" s="28" t="n">
        <x:v>2</x:v>
      </x:c>
      <x:c r="K3065" s="28" t="n">
        <x:v>2</x:v>
      </x:c>
      <x:c r="L3065" s="28" t="n">
        <x:v>9</x:v>
      </x:c>
      <x:c r="M3065" s="28" t="n">
        <x:v>2</x:v>
      </x:c>
      <x:c r="N3065" s="28" t="n">
        <x:v>2</x:v>
      </x:c>
      <x:c r="O3065" s="28" t="n">
        <x:v>0</x:v>
      </x:c>
      <x:c r="P3065" s="28" t="n">
        <x:v>0</x:v>
      </x:c>
      <x:c r="Q3065" s="24" t="n">
        <x:f>IFERROR(J3065/H3065,0)</x:f>
        <x:v>0.11764705882352941</x:v>
      </x:c>
      <x:c r="R3065" s="24" t="n">
        <x:f>IFERROR(F3065/H3065,0)</x:f>
        <x:v>0</x:v>
      </x:c>
      <x:c r="S3065" s="24" t="n">
        <x:f>IFERROR(F3065/J3065,0)</x:f>
        <x:v>0</x:v>
      </x:c>
      <x:c r="T3065" s="28" t="n">
        <x:f>H3065-I3065</x:f>
        <x:v>8</x:v>
      </x:c>
      <x:c r="U3065" s="24" t="n">
        <x:f>IFERROR(J3065/H3065,0)-IFERROR(K3065/I3065,0)</x:f>
        <x:v>-0.1045751633986928</x:v>
      </x:c>
      <x:c r="V3065" s="24" t="n">
        <x:f>IFERROR(F3065/J3065,0)-IFERROR(G3065/K3065,0)</x:f>
        <x:v>-0.5</x:v>
      </x:c>
      <x:c r="W3065" s="28" t="n">
        <x:f>L3065-M3065</x:f>
        <x:v>7</x:v>
      </x:c>
      <x:c r="X3065" s="24" t="n">
        <x:f>IFERROR(K3065/I3065,0)</x:f>
        <x:v>0.2222222222222222</x:v>
      </x:c>
      <x:c r="Y3065" s="24" t="n">
        <x:f>IFERROR(G3065/I3065,0)</x:f>
        <x:v>0.1111111111111111</x:v>
      </x:c>
      <x:c r="Z3065" s="24" t="n">
        <x:f>IFERROR(G3065/K3065,0)</x:f>
        <x:v>0.5</x:v>
      </x:c>
      <x:c r="AA3065" s="24" t="n">
        <x:f>IFERROR(F3065/H3065,0)-IFERROR(G3065/I3065,0)</x:f>
        <x:v>-0.1111111111111111</x:v>
      </x:c>
      <x:c r="AB3065" s="28" t="n">
        <x:f>J3065-K3065</x:f>
        <x:v>0</x:v>
      </x:c>
      <x:c r="AC3065" s="32" t="n">
        <x:f>F3065-G3065</x:f>
        <x:v>-1</x:v>
      </x:c>
    </x:row>
    <x:row r="3066">
      <x:c r="A3066" s="4" t="str">
        <x:v>2025-26</x:v>
      </x:c>
      <x:c r="B3066" s="20" t="n">
        <x:v>45892</x:v>
      </x:c>
      <x:c r="C3066" s="4" t="str">
        <x:v>Bournemouth</x:v>
      </x:c>
      <x:c r="D3066" s="4" t="str">
        <x:v>Wolves</x:v>
      </x:c>
      <x:c r="E3066" s="4" t="str">
        <x:v>Home</x:v>
      </x:c>
      <x:c r="F3066" s="28" t="n">
        <x:v>1</x:v>
      </x:c>
      <x:c r="G3066" s="28" t="n">
        <x:v>0</x:v>
      </x:c>
      <x:c r="H3066" s="28" t="n">
        <x:v>14</x:v>
      </x:c>
      <x:c r="I3066" s="28" t="n">
        <x:v>6</x:v>
      </x:c>
      <x:c r="J3066" s="28" t="n">
        <x:v>4</x:v>
      </x:c>
      <x:c r="K3066" s="28" t="n">
        <x:v>1</x:v>
      </x:c>
      <x:c r="L3066" s="28" t="n">
        <x:v>8</x:v>
      </x:c>
      <x:c r="M3066" s="28" t="n">
        <x:v>3</x:v>
      </x:c>
      <x:c r="N3066" s="28" t="n">
        <x:v>2</x:v>
      </x:c>
      <x:c r="O3066" s="28" t="n">
        <x:v>0</x:v>
      </x:c>
      <x:c r="P3066" s="28" t="n">
        <x:v>3</x:v>
      </x:c>
      <x:c r="Q3066" s="24" t="n">
        <x:f>IFERROR(J3066/H3066,0)</x:f>
        <x:v>0.2857142857142857</x:v>
      </x:c>
      <x:c r="R3066" s="24" t="n">
        <x:f>IFERROR(F3066/H3066,0)</x:f>
        <x:v>0.07142857142857142</x:v>
      </x:c>
      <x:c r="S3066" s="24" t="n">
        <x:f>IFERROR(F3066/J3066,0)</x:f>
        <x:v>0.25</x:v>
      </x:c>
      <x:c r="T3066" s="28" t="n">
        <x:f>H3066-I3066</x:f>
        <x:v>8</x:v>
      </x:c>
      <x:c r="U3066" s="24" t="n">
        <x:f>IFERROR(J3066/H3066,0)-IFERROR(K3066/I3066,0)</x:f>
        <x:v>0.11904761904761904</x:v>
      </x:c>
      <x:c r="V3066" s="24" t="n">
        <x:f>IFERROR(F3066/J3066,0)-IFERROR(G3066/K3066,0)</x:f>
        <x:v>0.25</x:v>
      </x:c>
      <x:c r="W3066" s="28" t="n">
        <x:f>L3066-M3066</x:f>
        <x:v>5</x:v>
      </x:c>
      <x:c r="X3066" s="24" t="n">
        <x:f>IFERROR(K3066/I3066,0)</x:f>
        <x:v>0.16666666666666666</x:v>
      </x:c>
      <x:c r="Y3066" s="24" t="n">
        <x:f>IFERROR(G3066/I3066,0)</x:f>
        <x:v>0</x:v>
      </x:c>
      <x:c r="Z3066" s="24" t="n">
        <x:f>IFERROR(G3066/K3066,0)</x:f>
        <x:v>0</x:v>
      </x:c>
      <x:c r="AA3066" s="24" t="n">
        <x:f>IFERROR(F3066/H3066,0)-IFERROR(G3066/I3066,0)</x:f>
        <x:v>0.07142857142857142</x:v>
      </x:c>
      <x:c r="AB3066" s="28" t="n">
        <x:f>J3066-K3066</x:f>
        <x:v>3</x:v>
      </x:c>
      <x:c r="AC3066" s="32" t="n">
        <x:f>F3066-G3066</x:f>
        <x:v>1</x:v>
      </x:c>
    </x:row>
    <x:row r="3067">
      <x:c r="A3067" s="4" t="str">
        <x:v>2025-26</x:v>
      </x:c>
      <x:c r="B3067" s="20" t="n">
        <x:v>45892</x:v>
      </x:c>
      <x:c r="C3067" s="4" t="str">
        <x:v>Brentford</x:v>
      </x:c>
      <x:c r="D3067" s="4" t="str">
        <x:v>Aston Villa</x:v>
      </x:c>
      <x:c r="E3067" s="4" t="str">
        <x:v>Home</x:v>
      </x:c>
      <x:c r="F3067" s="28" t="n">
        <x:v>1</x:v>
      </x:c>
      <x:c r="G3067" s="28" t="n">
        <x:v>0</x:v>
      </x:c>
      <x:c r="H3067" s="28" t="n">
        <x:v>9</x:v>
      </x:c>
      <x:c r="I3067" s="28" t="n">
        <x:v>17</x:v>
      </x:c>
      <x:c r="J3067" s="28" t="n">
        <x:v>2</x:v>
      </x:c>
      <x:c r="K3067" s="28" t="n">
        <x:v>2</x:v>
      </x:c>
      <x:c r="L3067" s="28" t="n">
        <x:v>2</x:v>
      </x:c>
      <x:c r="M3067" s="28" t="n">
        <x:v>9</x:v>
      </x:c>
      <x:c r="N3067" s="28" t="n">
        <x:v>1</x:v>
      </x:c>
      <x:c r="O3067" s="28" t="n">
        <x:v>0</x:v>
      </x:c>
      <x:c r="P3067" s="28" t="n">
        <x:v>3</x:v>
      </x:c>
      <x:c r="Q3067" s="24" t="n">
        <x:f>IFERROR(J3067/H3067,0)</x:f>
        <x:v>0.2222222222222222</x:v>
      </x:c>
      <x:c r="R3067" s="24" t="n">
        <x:f>IFERROR(F3067/H3067,0)</x:f>
        <x:v>0.1111111111111111</x:v>
      </x:c>
      <x:c r="S3067" s="24" t="n">
        <x:f>IFERROR(F3067/J3067,0)</x:f>
        <x:v>0.5</x:v>
      </x:c>
      <x:c r="T3067" s="28" t="n">
        <x:f>H3067-I3067</x:f>
        <x:v>-8</x:v>
      </x:c>
      <x:c r="U3067" s="24" t="n">
        <x:f>IFERROR(J3067/H3067,0)-IFERROR(K3067/I3067,0)</x:f>
        <x:v>0.1045751633986928</x:v>
      </x:c>
      <x:c r="V3067" s="24" t="n">
        <x:f>IFERROR(F3067/J3067,0)-IFERROR(G3067/K3067,0)</x:f>
        <x:v>0.5</x:v>
      </x:c>
      <x:c r="W3067" s="28" t="n">
        <x:f>L3067-M3067</x:f>
        <x:v>-7</x:v>
      </x:c>
      <x:c r="X3067" s="24" t="n">
        <x:f>IFERROR(K3067/I3067,0)</x:f>
        <x:v>0.11764705882352941</x:v>
      </x:c>
      <x:c r="Y3067" s="24" t="n">
        <x:f>IFERROR(G3067/I3067,0)</x:f>
        <x:v>0</x:v>
      </x:c>
      <x:c r="Z3067" s="24" t="n">
        <x:f>IFERROR(G3067/K3067,0)</x:f>
        <x:v>0</x:v>
      </x:c>
      <x:c r="AA3067" s="24" t="n">
        <x:f>IFERROR(F3067/H3067,0)-IFERROR(G3067/I3067,0)</x:f>
        <x:v>0.1111111111111111</x:v>
      </x:c>
      <x:c r="AB3067" s="28" t="n">
        <x:f>J3067-K3067</x:f>
        <x:v>0</x:v>
      </x:c>
      <x:c r="AC3067" s="32" t="n">
        <x:f>F3067-G3067</x:f>
        <x:v>1</x:v>
      </x:c>
    </x:row>
    <x:row r="3068">
      <x:c r="A3068" s="4" t="str">
        <x:v>2025-26</x:v>
      </x:c>
      <x:c r="B3068" s="20" t="n">
        <x:v>45892</x:v>
      </x:c>
      <x:c r="C3068" s="4" t="str">
        <x:v>Burnley</x:v>
      </x:c>
      <x:c r="D3068" s="4" t="str">
        <x:v>Sunderland</x:v>
      </x:c>
      <x:c r="E3068" s="4" t="str">
        <x:v>Home</x:v>
      </x:c>
      <x:c r="F3068" s="28" t="n">
        <x:v>2</x:v>
      </x:c>
      <x:c r="G3068" s="28" t="n">
        <x:v>0</x:v>
      </x:c>
      <x:c r="H3068" s="28" t="n">
        <x:v>7</x:v>
      </x:c>
      <x:c r="I3068" s="28" t="n">
        <x:v>9</x:v>
      </x:c>
      <x:c r="J3068" s="28" t="n">
        <x:v>2</x:v>
      </x:c>
      <x:c r="K3068" s="28" t="n">
        <x:v>1</x:v>
      </x:c>
      <x:c r="L3068" s="28" t="n">
        <x:v>4</x:v>
      </x:c>
      <x:c r="M3068" s="28" t="n">
        <x:v>3</x:v>
      </x:c>
      <x:c r="N3068" s="28" t="n">
        <x:v>0</x:v>
      </x:c>
      <x:c r="O3068" s="28" t="n">
        <x:v>0</x:v>
      </x:c>
      <x:c r="P3068" s="28" t="n">
        <x:v>3</x:v>
      </x:c>
      <x:c r="Q3068" s="24" t="n">
        <x:f>IFERROR(J3068/H3068,0)</x:f>
        <x:v>0.2857142857142857</x:v>
      </x:c>
      <x:c r="R3068" s="24" t="n">
        <x:f>IFERROR(F3068/H3068,0)</x:f>
        <x:v>0.2857142857142857</x:v>
      </x:c>
      <x:c r="S3068" s="24" t="n">
        <x:f>IFERROR(F3068/J3068,0)</x:f>
        <x:v>1</x:v>
      </x:c>
      <x:c r="T3068" s="28" t="n">
        <x:f>H3068-I3068</x:f>
        <x:v>-2</x:v>
      </x:c>
      <x:c r="U3068" s="24" t="n">
        <x:f>IFERROR(J3068/H3068,0)-IFERROR(K3068/I3068,0)</x:f>
        <x:v>0.1746031746031746</x:v>
      </x:c>
      <x:c r="V3068" s="24" t="n">
        <x:f>IFERROR(F3068/J3068,0)-IFERROR(G3068/K3068,0)</x:f>
        <x:v>1</x:v>
      </x:c>
      <x:c r="W3068" s="28" t="n">
        <x:f>L3068-M3068</x:f>
        <x:v>1</x:v>
      </x:c>
      <x:c r="X3068" s="24" t="n">
        <x:f>IFERROR(K3068/I3068,0)</x:f>
        <x:v>0.1111111111111111</x:v>
      </x:c>
      <x:c r="Y3068" s="24" t="n">
        <x:f>IFERROR(G3068/I3068,0)</x:f>
        <x:v>0</x:v>
      </x:c>
      <x:c r="Z3068" s="24" t="n">
        <x:f>IFERROR(G3068/K3068,0)</x:f>
        <x:v>0</x:v>
      </x:c>
      <x:c r="AA3068" s="24" t="n">
        <x:f>IFERROR(F3068/H3068,0)-IFERROR(G3068/I3068,0)</x:f>
        <x:v>0.2857142857142857</x:v>
      </x:c>
      <x:c r="AB3068" s="28" t="n">
        <x:f>J3068-K3068</x:f>
        <x:v>1</x:v>
      </x:c>
      <x:c r="AC3068" s="32" t="n">
        <x:f>F3068-G3068</x:f>
        <x:v>2</x:v>
      </x:c>
    </x:row>
    <x:row r="3069">
      <x:c r="A3069" s="4" t="str">
        <x:v>2025-26</x:v>
      </x:c>
      <x:c r="B3069" s="20" t="n">
        <x:v>45892</x:v>
      </x:c>
      <x:c r="C3069" s="4" t="str">
        <x:v>Leeds</x:v>
      </x:c>
      <x:c r="D3069" s="4" t="str">
        <x:v>Arsenal</x:v>
      </x:c>
      <x:c r="E3069" s="4" t="str">
        <x:v>Away</x:v>
      </x:c>
      <x:c r="F3069" s="28" t="n">
        <x:v>0</x:v>
      </x:c>
      <x:c r="G3069" s="28" t="n">
        <x:v>5</x:v>
      </x:c>
      <x:c r="H3069" s="28" t="n">
        <x:v>3</x:v>
      </x:c>
      <x:c r="I3069" s="28" t="n">
        <x:v>18</x:v>
      </x:c>
      <x:c r="J3069" s="28" t="n">
        <x:v>1</x:v>
      </x:c>
      <x:c r="K3069" s="28" t="n">
        <x:v>5</x:v>
      </x:c>
      <x:c r="L3069" s="28" t="n">
        <x:v>2</x:v>
      </x:c>
      <x:c r="M3069" s="28" t="n">
        <x:v>2</x:v>
      </x:c>
      <x:c r="N3069" s="28" t="n">
        <x:v>2</x:v>
      </x:c>
      <x:c r="O3069" s="28" t="n">
        <x:v>0</x:v>
      </x:c>
      <x:c r="P3069" s="28" t="n">
        <x:v>0</x:v>
      </x:c>
      <x:c r="Q3069" s="24" t="n">
        <x:f>IFERROR(J3069/H3069,0)</x:f>
        <x:v>0.3333333333333333</x:v>
      </x:c>
      <x:c r="R3069" s="24" t="n">
        <x:f>IFERROR(F3069/H3069,0)</x:f>
        <x:v>0</x:v>
      </x:c>
      <x:c r="S3069" s="24" t="n">
        <x:f>IFERROR(F3069/J3069,0)</x:f>
        <x:v>0</x:v>
      </x:c>
      <x:c r="T3069" s="28" t="n">
        <x:f>H3069-I3069</x:f>
        <x:v>-15</x:v>
      </x:c>
      <x:c r="U3069" s="24" t="n">
        <x:f>IFERROR(J3069/H3069,0)-IFERROR(K3069/I3069,0)</x:f>
        <x:v>0.055555555555555525</x:v>
      </x:c>
      <x:c r="V3069" s="24" t="n">
        <x:f>IFERROR(F3069/J3069,0)-IFERROR(G3069/K3069,0)</x:f>
        <x:v>-1</x:v>
      </x:c>
      <x:c r="W3069" s="28" t="n">
        <x:f>L3069-M3069</x:f>
        <x:v>0</x:v>
      </x:c>
      <x:c r="X3069" s="24" t="n">
        <x:f>IFERROR(K3069/I3069,0)</x:f>
        <x:v>0.2777777777777778</x:v>
      </x:c>
      <x:c r="Y3069" s="24" t="n">
        <x:f>IFERROR(G3069/I3069,0)</x:f>
        <x:v>0.2777777777777778</x:v>
      </x:c>
      <x:c r="Z3069" s="24" t="n">
        <x:f>IFERROR(G3069/K3069,0)</x:f>
        <x:v>1</x:v>
      </x:c>
      <x:c r="AA3069" s="24" t="n">
        <x:f>IFERROR(F3069/H3069,0)-IFERROR(G3069/I3069,0)</x:f>
        <x:v>-0.2777777777777778</x:v>
      </x:c>
      <x:c r="AB3069" s="28" t="n">
        <x:f>J3069-K3069</x:f>
        <x:v>-4</x:v>
      </x:c>
      <x:c r="AC3069" s="32" t="n">
        <x:f>F3069-G3069</x:f>
        <x:v>-5</x:v>
      </x:c>
    </x:row>
    <x:row r="3070">
      <x:c r="A3070" s="4" t="str">
        <x:v>2025-26</x:v>
      </x:c>
      <x:c r="B3070" s="20" t="n">
        <x:v>45892</x:v>
      </x:c>
      <x:c r="C3070" s="4" t="str">
        <x:v>Man City</x:v>
      </x:c>
      <x:c r="D3070" s="4" t="str">
        <x:v>Tottenham</x:v>
      </x:c>
      <x:c r="E3070" s="4" t="str">
        <x:v>Home</x:v>
      </x:c>
      <x:c r="F3070" s="28" t="n">
        <x:v>0</x:v>
      </x:c>
      <x:c r="G3070" s="28" t="n">
        <x:v>2</x:v>
      </x:c>
      <x:c r="H3070" s="28" t="n">
        <x:v>10</x:v>
      </x:c>
      <x:c r="I3070" s="28" t="n">
        <x:v>12</x:v>
      </x:c>
      <x:c r="J3070" s="28" t="n">
        <x:v>4</x:v>
      </x:c>
      <x:c r="K3070" s="28" t="n">
        <x:v>5</x:v>
      </x:c>
      <x:c r="L3070" s="28" t="n">
        <x:v>7</x:v>
      </x:c>
      <x:c r="M3070" s="28" t="n">
        <x:v>2</x:v>
      </x:c>
      <x:c r="N3070" s="28" t="n">
        <x:v>1</x:v>
      </x:c>
      <x:c r="O3070" s="28" t="n">
        <x:v>0</x:v>
      </x:c>
      <x:c r="P3070" s="28" t="n">
        <x:v>0</x:v>
      </x:c>
      <x:c r="Q3070" s="24" t="n">
        <x:f>IFERROR(J3070/H3070,0)</x:f>
        <x:v>0.4</x:v>
      </x:c>
      <x:c r="R3070" s="24" t="n">
        <x:f>IFERROR(F3070/H3070,0)</x:f>
        <x:v>0</x:v>
      </x:c>
      <x:c r="S3070" s="24" t="n">
        <x:f>IFERROR(F3070/J3070,0)</x:f>
        <x:v>0</x:v>
      </x:c>
      <x:c r="T3070" s="28" t="n">
        <x:f>H3070-I3070</x:f>
        <x:v>-2</x:v>
      </x:c>
      <x:c r="U3070" s="24" t="n">
        <x:f>IFERROR(J3070/H3070,0)-IFERROR(K3070/I3070,0)</x:f>
        <x:v>-0.016666666666666663</x:v>
      </x:c>
      <x:c r="V3070" s="24" t="n">
        <x:f>IFERROR(F3070/J3070,0)-IFERROR(G3070/K3070,0)</x:f>
        <x:v>-0.4</x:v>
      </x:c>
      <x:c r="W3070" s="28" t="n">
        <x:f>L3070-M3070</x:f>
        <x:v>5</x:v>
      </x:c>
      <x:c r="X3070" s="24" t="n">
        <x:f>IFERROR(K3070/I3070,0)</x:f>
        <x:v>0.4166666666666667</x:v>
      </x:c>
      <x:c r="Y3070" s="24" t="n">
        <x:f>IFERROR(G3070/I3070,0)</x:f>
        <x:v>0.16666666666666666</x:v>
      </x:c>
      <x:c r="Z3070" s="24" t="n">
        <x:f>IFERROR(G3070/K3070,0)</x:f>
        <x:v>0.4</x:v>
      </x:c>
      <x:c r="AA3070" s="24" t="n">
        <x:f>IFERROR(F3070/H3070,0)-IFERROR(G3070/I3070,0)</x:f>
        <x:v>-0.16666666666666666</x:v>
      </x:c>
      <x:c r="AB3070" s="28" t="n">
        <x:f>J3070-K3070</x:f>
        <x:v>-1</x:v>
      </x:c>
      <x:c r="AC3070" s="32" t="n">
        <x:f>F3070-G3070</x:f>
        <x:v>-2</x:v>
      </x:c>
    </x:row>
    <x:row r="3071">
      <x:c r="A3071" s="4" t="str">
        <x:v>2025-26</x:v>
      </x:c>
      <x:c r="B3071" s="20" t="n">
        <x:v>45892</x:v>
      </x:c>
      <x:c r="C3071" s="4" t="str">
        <x:v>Sunderland</x:v>
      </x:c>
      <x:c r="D3071" s="4" t="str">
        <x:v>Burnley</x:v>
      </x:c>
      <x:c r="E3071" s="4" t="str">
        <x:v>Away</x:v>
      </x:c>
      <x:c r="F3071" s="28" t="n">
        <x:v>0</x:v>
      </x:c>
      <x:c r="G3071" s="28" t="n">
        <x:v>2</x:v>
      </x:c>
      <x:c r="H3071" s="28" t="n">
        <x:v>9</x:v>
      </x:c>
      <x:c r="I3071" s="28" t="n">
        <x:v>7</x:v>
      </x:c>
      <x:c r="J3071" s="28" t="n">
        <x:v>1</x:v>
      </x:c>
      <x:c r="K3071" s="28" t="n">
        <x:v>2</x:v>
      </x:c>
      <x:c r="L3071" s="28" t="n">
        <x:v>3</x:v>
      </x:c>
      <x:c r="M3071" s="28" t="n">
        <x:v>4</x:v>
      </x:c>
      <x:c r="N3071" s="28" t="n">
        <x:v>1</x:v>
      </x:c>
      <x:c r="O3071" s="28" t="n">
        <x:v>0</x:v>
      </x:c>
      <x:c r="P3071" s="28" t="n">
        <x:v>0</x:v>
      </x:c>
      <x:c r="Q3071" s="24" t="n">
        <x:f>IFERROR(J3071/H3071,0)</x:f>
        <x:v>0.1111111111111111</x:v>
      </x:c>
      <x:c r="R3071" s="24" t="n">
        <x:f>IFERROR(F3071/H3071,0)</x:f>
        <x:v>0</x:v>
      </x:c>
      <x:c r="S3071" s="24" t="n">
        <x:f>IFERROR(F3071/J3071,0)</x:f>
        <x:v>0</x:v>
      </x:c>
      <x:c r="T3071" s="28" t="n">
        <x:f>H3071-I3071</x:f>
        <x:v>2</x:v>
      </x:c>
      <x:c r="U3071" s="24" t="n">
        <x:f>IFERROR(J3071/H3071,0)-IFERROR(K3071/I3071,0)</x:f>
        <x:v>-0.1746031746031746</x:v>
      </x:c>
      <x:c r="V3071" s="24" t="n">
        <x:f>IFERROR(F3071/J3071,0)-IFERROR(G3071/K3071,0)</x:f>
        <x:v>-1</x:v>
      </x:c>
      <x:c r="W3071" s="28" t="n">
        <x:f>L3071-M3071</x:f>
        <x:v>-1</x:v>
      </x:c>
      <x:c r="X3071" s="24" t="n">
        <x:f>IFERROR(K3071/I3071,0)</x:f>
        <x:v>0.2857142857142857</x:v>
      </x:c>
      <x:c r="Y3071" s="24" t="n">
        <x:f>IFERROR(G3071/I3071,0)</x:f>
        <x:v>0.2857142857142857</x:v>
      </x:c>
      <x:c r="Z3071" s="24" t="n">
        <x:f>IFERROR(G3071/K3071,0)</x:f>
        <x:v>1</x:v>
      </x:c>
      <x:c r="AA3071" s="24" t="n">
        <x:f>IFERROR(F3071/H3071,0)-IFERROR(G3071/I3071,0)</x:f>
        <x:v>-0.2857142857142857</x:v>
      </x:c>
      <x:c r="AB3071" s="28" t="n">
        <x:f>J3071-K3071</x:f>
        <x:v>-1</x:v>
      </x:c>
      <x:c r="AC3071" s="32" t="n">
        <x:f>F3071-G3071</x:f>
        <x:v>-2</x:v>
      </x:c>
    </x:row>
    <x:row r="3072">
      <x:c r="A3072" s="4" t="str">
        <x:v>2025-26</x:v>
      </x:c>
      <x:c r="B3072" s="20" t="n">
        <x:v>45892</x:v>
      </x:c>
      <x:c r="C3072" s="4" t="str">
        <x:v>Tottenham</x:v>
      </x:c>
      <x:c r="D3072" s="4" t="str">
        <x:v>Man City</x:v>
      </x:c>
      <x:c r="E3072" s="4" t="str">
        <x:v>Away</x:v>
      </x:c>
      <x:c r="F3072" s="28" t="n">
        <x:v>2</x:v>
      </x:c>
      <x:c r="G3072" s="28" t="n">
        <x:v>0</x:v>
      </x:c>
      <x:c r="H3072" s="28" t="n">
        <x:v>12</x:v>
      </x:c>
      <x:c r="I3072" s="28" t="n">
        <x:v>10</x:v>
      </x:c>
      <x:c r="J3072" s="28" t="n">
        <x:v>5</x:v>
      </x:c>
      <x:c r="K3072" s="28" t="n">
        <x:v>4</x:v>
      </x:c>
      <x:c r="L3072" s="28" t="n">
        <x:v>2</x:v>
      </x:c>
      <x:c r="M3072" s="28" t="n">
        <x:v>7</x:v>
      </x:c>
      <x:c r="N3072" s="28" t="n">
        <x:v>4</x:v>
      </x:c>
      <x:c r="O3072" s="28" t="n">
        <x:v>0</x:v>
      </x:c>
      <x:c r="P3072" s="28" t="n">
        <x:v>3</x:v>
      </x:c>
      <x:c r="Q3072" s="24" t="n">
        <x:f>IFERROR(J3072/H3072,0)</x:f>
        <x:v>0.4166666666666667</x:v>
      </x:c>
      <x:c r="R3072" s="24" t="n">
        <x:f>IFERROR(F3072/H3072,0)</x:f>
        <x:v>0.16666666666666666</x:v>
      </x:c>
      <x:c r="S3072" s="24" t="n">
        <x:f>IFERROR(F3072/J3072,0)</x:f>
        <x:v>0.4</x:v>
      </x:c>
      <x:c r="T3072" s="28" t="n">
        <x:f>H3072-I3072</x:f>
        <x:v>2</x:v>
      </x:c>
      <x:c r="U3072" s="24" t="n">
        <x:f>IFERROR(J3072/H3072,0)-IFERROR(K3072/I3072,0)</x:f>
        <x:v>0.016666666666666663</x:v>
      </x:c>
      <x:c r="V3072" s="24" t="n">
        <x:f>IFERROR(F3072/J3072,0)-IFERROR(G3072/K3072,0)</x:f>
        <x:v>0.4</x:v>
      </x:c>
      <x:c r="W3072" s="28" t="n">
        <x:f>L3072-M3072</x:f>
        <x:v>-5</x:v>
      </x:c>
      <x:c r="X3072" s="24" t="n">
        <x:f>IFERROR(K3072/I3072,0)</x:f>
        <x:v>0.4</x:v>
      </x:c>
      <x:c r="Y3072" s="24" t="n">
        <x:f>IFERROR(G3072/I3072,0)</x:f>
        <x:v>0</x:v>
      </x:c>
      <x:c r="Z3072" s="24" t="n">
        <x:f>IFERROR(G3072/K3072,0)</x:f>
        <x:v>0</x:v>
      </x:c>
      <x:c r="AA3072" s="24" t="n">
        <x:f>IFERROR(F3072/H3072,0)-IFERROR(G3072/I3072,0)</x:f>
        <x:v>0.16666666666666666</x:v>
      </x:c>
      <x:c r="AB3072" s="28" t="n">
        <x:f>J3072-K3072</x:f>
        <x:v>1</x:v>
      </x:c>
      <x:c r="AC3072" s="32" t="n">
        <x:f>F3072-G3072</x:f>
        <x:v>2</x:v>
      </x:c>
    </x:row>
    <x:row r="3073">
      <x:c r="A3073" s="4" t="str">
        <x:v>2025-26</x:v>
      </x:c>
      <x:c r="B3073" s="20" t="n">
        <x:v>45892</x:v>
      </x:c>
      <x:c r="C3073" s="4" t="str">
        <x:v>Wolves</x:v>
      </x:c>
      <x:c r="D3073" s="4" t="str">
        <x:v>Bournemouth</x:v>
      </x:c>
      <x:c r="E3073" s="4" t="str">
        <x:v>Away</x:v>
      </x:c>
      <x:c r="F3073" s="28" t="n">
        <x:v>0</x:v>
      </x:c>
      <x:c r="G3073" s="28" t="n">
        <x:v>1</x:v>
      </x:c>
      <x:c r="H3073" s="28" t="n">
        <x:v>6</x:v>
      </x:c>
      <x:c r="I3073" s="28" t="n">
        <x:v>14</x:v>
      </x:c>
      <x:c r="J3073" s="28" t="n">
        <x:v>1</x:v>
      </x:c>
      <x:c r="K3073" s="28" t="n">
        <x:v>4</x:v>
      </x:c>
      <x:c r="L3073" s="28" t="n">
        <x:v>3</x:v>
      </x:c>
      <x:c r="M3073" s="28" t="n">
        <x:v>8</x:v>
      </x:c>
      <x:c r="N3073" s="28" t="n">
        <x:v>4</x:v>
      </x:c>
      <x:c r="O3073" s="28" t="n">
        <x:v>1</x:v>
      </x:c>
      <x:c r="P3073" s="28" t="n">
        <x:v>0</x:v>
      </x:c>
      <x:c r="Q3073" s="24" t="n">
        <x:f>IFERROR(J3073/H3073,0)</x:f>
        <x:v>0.16666666666666666</x:v>
      </x:c>
      <x:c r="R3073" s="24" t="n">
        <x:f>IFERROR(F3073/H3073,0)</x:f>
        <x:v>0</x:v>
      </x:c>
      <x:c r="S3073" s="24" t="n">
        <x:f>IFERROR(F3073/J3073,0)</x:f>
        <x:v>0</x:v>
      </x:c>
      <x:c r="T3073" s="28" t="n">
        <x:f>H3073-I3073</x:f>
        <x:v>-8</x:v>
      </x:c>
      <x:c r="U3073" s="24" t="n">
        <x:f>IFERROR(J3073/H3073,0)-IFERROR(K3073/I3073,0)</x:f>
        <x:v>-0.11904761904761904</x:v>
      </x:c>
      <x:c r="V3073" s="24" t="n">
        <x:f>IFERROR(F3073/J3073,0)-IFERROR(G3073/K3073,0)</x:f>
        <x:v>-0.25</x:v>
      </x:c>
      <x:c r="W3073" s="28" t="n">
        <x:f>L3073-M3073</x:f>
        <x:v>-5</x:v>
      </x:c>
      <x:c r="X3073" s="24" t="n">
        <x:f>IFERROR(K3073/I3073,0)</x:f>
        <x:v>0.2857142857142857</x:v>
      </x:c>
      <x:c r="Y3073" s="24" t="n">
        <x:f>IFERROR(G3073/I3073,0)</x:f>
        <x:v>0.07142857142857142</x:v>
      </x:c>
      <x:c r="Z3073" s="24" t="n">
        <x:f>IFERROR(G3073/K3073,0)</x:f>
        <x:v>0.25</x:v>
      </x:c>
      <x:c r="AA3073" s="24" t="n">
        <x:f>IFERROR(F3073/H3073,0)-IFERROR(G3073/I3073,0)</x:f>
        <x:v>-0.07142857142857142</x:v>
      </x:c>
      <x:c r="AB3073" s="28" t="n">
        <x:f>J3073-K3073</x:f>
        <x:v>-3</x:v>
      </x:c>
      <x:c r="AC3073" s="32" t="n">
        <x:f>F3073-G3073</x:f>
        <x:v>-1</x:v>
      </x:c>
    </x:row>
    <x:row r="3074">
      <x:c r="A3074" s="4" t="str">
        <x:v>2025-26</x:v>
      </x:c>
      <x:c r="B3074" s="20" t="n">
        <x:v>45893</x:v>
      </x:c>
      <x:c r="C3074" s="4" t="str">
        <x:v>Brighton</x:v>
      </x:c>
      <x:c r="D3074" s="4" t="str">
        <x:v>Everton</x:v>
      </x:c>
      <x:c r="E3074" s="4" t="str">
        <x:v>Away</x:v>
      </x:c>
      <x:c r="F3074" s="28" t="n">
        <x:v>0</x:v>
      </x:c>
      <x:c r="G3074" s="28" t="n">
        <x:v>2</x:v>
      </x:c>
      <x:c r="H3074" s="28" t="n">
        <x:v>13</x:v>
      </x:c>
      <x:c r="I3074" s="28" t="n">
        <x:v>11</x:v>
      </x:c>
      <x:c r="J3074" s="28" t="n">
        <x:v>4</x:v>
      </x:c>
      <x:c r="K3074" s="28" t="n">
        <x:v>3</x:v>
      </x:c>
      <x:c r="L3074" s="28" t="n">
        <x:v>2</x:v>
      </x:c>
      <x:c r="M3074" s="28" t="n">
        <x:v>2</x:v>
      </x:c>
      <x:c r="N3074" s="28" t="n">
        <x:v>3</x:v>
      </x:c>
      <x:c r="O3074" s="28" t="n">
        <x:v>0</x:v>
      </x:c>
      <x:c r="P3074" s="28" t="n">
        <x:v>0</x:v>
      </x:c>
      <x:c r="Q3074" s="24" t="n">
        <x:f>IFERROR(J3074/H3074,0)</x:f>
        <x:v>0.3076923076923077</x:v>
      </x:c>
      <x:c r="R3074" s="24" t="n">
        <x:f>IFERROR(F3074/H3074,0)</x:f>
        <x:v>0</x:v>
      </x:c>
      <x:c r="S3074" s="24" t="n">
        <x:f>IFERROR(F3074/J3074,0)</x:f>
        <x:v>0</x:v>
      </x:c>
      <x:c r="T3074" s="28" t="n">
        <x:f>H3074-I3074</x:f>
        <x:v>2</x:v>
      </x:c>
      <x:c r="U3074" s="24" t="n">
        <x:f>IFERROR(J3074/H3074,0)-IFERROR(K3074/I3074,0)</x:f>
        <x:v>0.034965034965035</x:v>
      </x:c>
      <x:c r="V3074" s="24" t="n">
        <x:f>IFERROR(F3074/J3074,0)-IFERROR(G3074/K3074,0)</x:f>
        <x:v>-0.6666666666666666</x:v>
      </x:c>
      <x:c r="W3074" s="28" t="n">
        <x:f>L3074-M3074</x:f>
        <x:v>0</x:v>
      </x:c>
      <x:c r="X3074" s="24" t="n">
        <x:f>IFERROR(K3074/I3074,0)</x:f>
        <x:v>0.2727272727272727</x:v>
      </x:c>
      <x:c r="Y3074" s="24" t="n">
        <x:f>IFERROR(G3074/I3074,0)</x:f>
        <x:v>0.18181818181818182</x:v>
      </x:c>
      <x:c r="Z3074" s="24" t="n">
        <x:f>IFERROR(G3074/K3074,0)</x:f>
        <x:v>0.6666666666666666</x:v>
      </x:c>
      <x:c r="AA3074" s="24" t="n">
        <x:f>IFERROR(F3074/H3074,0)-IFERROR(G3074/I3074,0)</x:f>
        <x:v>-0.18181818181818182</x:v>
      </x:c>
      <x:c r="AB3074" s="28" t="n">
        <x:f>J3074-K3074</x:f>
        <x:v>1</x:v>
      </x:c>
      <x:c r="AC3074" s="32" t="n">
        <x:f>F3074-G3074</x:f>
        <x:v>-2</x:v>
      </x:c>
    </x:row>
    <x:row r="3075">
      <x:c r="A3075" s="4" t="str">
        <x:v>2025-26</x:v>
      </x:c>
      <x:c r="B3075" s="20" t="n">
        <x:v>45893</x:v>
      </x:c>
      <x:c r="C3075" s="4" t="str">
        <x:v>Crystal Palace</x:v>
      </x:c>
      <x:c r="D3075" s="4" t="str">
        <x:v>Nott'm Forest</x:v>
      </x:c>
      <x:c r="E3075" s="4" t="str">
        <x:v>Home</x:v>
      </x:c>
      <x:c r="F3075" s="28" t="n">
        <x:v>1</x:v>
      </x:c>
      <x:c r="G3075" s="28" t="n">
        <x:v>1</x:v>
      </x:c>
      <x:c r="H3075" s="28" t="n">
        <x:v>8</x:v>
      </x:c>
      <x:c r="I3075" s="28" t="n">
        <x:v>9</x:v>
      </x:c>
      <x:c r="J3075" s="28" t="n">
        <x:v>4</x:v>
      </x:c>
      <x:c r="K3075" s="28" t="n">
        <x:v>1</x:v>
      </x:c>
      <x:c r="L3075" s="28" t="n">
        <x:v>1</x:v>
      </x:c>
      <x:c r="M3075" s="28" t="n">
        <x:v>3</x:v>
      </x:c>
      <x:c r="N3075" s="28" t="n">
        <x:v>3</x:v>
      </x:c>
      <x:c r="O3075" s="28" t="n">
        <x:v>0</x:v>
      </x:c>
      <x:c r="P3075" s="28" t="n">
        <x:v>1</x:v>
      </x:c>
      <x:c r="Q3075" s="24" t="n">
        <x:f>IFERROR(J3075/H3075,0)</x:f>
        <x:v>0.5</x:v>
      </x:c>
      <x:c r="R3075" s="24" t="n">
        <x:f>IFERROR(F3075/H3075,0)</x:f>
        <x:v>0.125</x:v>
      </x:c>
      <x:c r="S3075" s="24" t="n">
        <x:f>IFERROR(F3075/J3075,0)</x:f>
        <x:v>0.25</x:v>
      </x:c>
      <x:c r="T3075" s="28" t="n">
        <x:f>H3075-I3075</x:f>
        <x:v>-1</x:v>
      </x:c>
      <x:c r="U3075" s="24" t="n">
        <x:f>IFERROR(J3075/H3075,0)-IFERROR(K3075/I3075,0)</x:f>
        <x:v>0.3888888888888889</x:v>
      </x:c>
      <x:c r="V3075" s="24" t="n">
        <x:f>IFERROR(F3075/J3075,0)-IFERROR(G3075/K3075,0)</x:f>
        <x:v>-0.75</x:v>
      </x:c>
      <x:c r="W3075" s="28" t="n">
        <x:f>L3075-M3075</x:f>
        <x:v>-2</x:v>
      </x:c>
      <x:c r="X3075" s="24" t="n">
        <x:f>IFERROR(K3075/I3075,0)</x:f>
        <x:v>0.1111111111111111</x:v>
      </x:c>
      <x:c r="Y3075" s="24" t="n">
        <x:f>IFERROR(G3075/I3075,0)</x:f>
        <x:v>0.1111111111111111</x:v>
      </x:c>
      <x:c r="Z3075" s="24" t="n">
        <x:f>IFERROR(G3075/K3075,0)</x:f>
        <x:v>1</x:v>
      </x:c>
      <x:c r="AA3075" s="24" t="n">
        <x:f>IFERROR(F3075/H3075,0)-IFERROR(G3075/I3075,0)</x:f>
        <x:v>0.013888888888888895</x:v>
      </x:c>
      <x:c r="AB3075" s="28" t="n">
        <x:f>J3075-K3075</x:f>
        <x:v>3</x:v>
      </x:c>
      <x:c r="AC3075" s="32" t="n">
        <x:f>F3075-G3075</x:f>
        <x:v>0</x:v>
      </x:c>
    </x:row>
    <x:row r="3076">
      <x:c r="A3076" s="4" t="str">
        <x:v>2025-26</x:v>
      </x:c>
      <x:c r="B3076" s="20" t="n">
        <x:v>45893</x:v>
      </x:c>
      <x:c r="C3076" s="4" t="str">
        <x:v>Everton</x:v>
      </x:c>
      <x:c r="D3076" s="4" t="str">
        <x:v>Brighton</x:v>
      </x:c>
      <x:c r="E3076" s="4" t="str">
        <x:v>Home</x:v>
      </x:c>
      <x:c r="F3076" s="28" t="n">
        <x:v>2</x:v>
      </x:c>
      <x:c r="G3076" s="28" t="n">
        <x:v>0</x:v>
      </x:c>
      <x:c r="H3076" s="28" t="n">
        <x:v>11</x:v>
      </x:c>
      <x:c r="I3076" s="28" t="n">
        <x:v>13</x:v>
      </x:c>
      <x:c r="J3076" s="28" t="n">
        <x:v>3</x:v>
      </x:c>
      <x:c r="K3076" s="28" t="n">
        <x:v>4</x:v>
      </x:c>
      <x:c r="L3076" s="28" t="n">
        <x:v>2</x:v>
      </x:c>
      <x:c r="M3076" s="28" t="n">
        <x:v>2</x:v>
      </x:c>
      <x:c r="N3076" s="28" t="n">
        <x:v>4</x:v>
      </x:c>
      <x:c r="O3076" s="28" t="n">
        <x:v>0</x:v>
      </x:c>
      <x:c r="P3076" s="28" t="n">
        <x:v>3</x:v>
      </x:c>
      <x:c r="Q3076" s="24" t="n">
        <x:f>IFERROR(J3076/H3076,0)</x:f>
        <x:v>0.2727272727272727</x:v>
      </x:c>
      <x:c r="R3076" s="24" t="n">
        <x:f>IFERROR(F3076/H3076,0)</x:f>
        <x:v>0.18181818181818182</x:v>
      </x:c>
      <x:c r="S3076" s="24" t="n">
        <x:f>IFERROR(F3076/J3076,0)</x:f>
        <x:v>0.6666666666666666</x:v>
      </x:c>
      <x:c r="T3076" s="28" t="n">
        <x:f>H3076-I3076</x:f>
        <x:v>-2</x:v>
      </x:c>
      <x:c r="U3076" s="24" t="n">
        <x:f>IFERROR(J3076/H3076,0)-IFERROR(K3076/I3076,0)</x:f>
        <x:v>-0.034965034965035</x:v>
      </x:c>
      <x:c r="V3076" s="24" t="n">
        <x:f>IFERROR(F3076/J3076,0)-IFERROR(G3076/K3076,0)</x:f>
        <x:v>0.6666666666666666</x:v>
      </x:c>
      <x:c r="W3076" s="28" t="n">
        <x:f>L3076-M3076</x:f>
        <x:v>0</x:v>
      </x:c>
      <x:c r="X3076" s="24" t="n">
        <x:f>IFERROR(K3076/I3076,0)</x:f>
        <x:v>0.3076923076923077</x:v>
      </x:c>
      <x:c r="Y3076" s="24" t="n">
        <x:f>IFERROR(G3076/I3076,0)</x:f>
        <x:v>0</x:v>
      </x:c>
      <x:c r="Z3076" s="24" t="n">
        <x:f>IFERROR(G3076/K3076,0)</x:f>
        <x:v>0</x:v>
      </x:c>
      <x:c r="AA3076" s="24" t="n">
        <x:f>IFERROR(F3076/H3076,0)-IFERROR(G3076/I3076,0)</x:f>
        <x:v>0.18181818181818182</x:v>
      </x:c>
      <x:c r="AB3076" s="28" t="n">
        <x:f>J3076-K3076</x:f>
        <x:v>-1</x:v>
      </x:c>
      <x:c r="AC3076" s="32" t="n">
        <x:f>F3076-G3076</x:f>
        <x:v>2</x:v>
      </x:c>
    </x:row>
    <x:row r="3077">
      <x:c r="A3077" s="4" t="str">
        <x:v>2025-26</x:v>
      </x:c>
      <x:c r="B3077" s="20" t="n">
        <x:v>45893</x:v>
      </x:c>
      <x:c r="C3077" s="4" t="str">
        <x:v>Fulham</x:v>
      </x:c>
      <x:c r="D3077" s="4" t="str">
        <x:v>Man United</x:v>
      </x:c>
      <x:c r="E3077" s="4" t="str">
        <x:v>Home</x:v>
      </x:c>
      <x:c r="F3077" s="28" t="n">
        <x:v>1</x:v>
      </x:c>
      <x:c r="G3077" s="28" t="n">
        <x:v>1</x:v>
      </x:c>
      <x:c r="H3077" s="28" t="n">
        <x:v>13</x:v>
      </x:c>
      <x:c r="I3077" s="28" t="n">
        <x:v>10</x:v>
      </x:c>
      <x:c r="J3077" s="28" t="n">
        <x:v>4</x:v>
      </x:c>
      <x:c r="K3077" s="28" t="n">
        <x:v>3</x:v>
      </x:c>
      <x:c r="L3077" s="28" t="n">
        <x:v>9</x:v>
      </x:c>
      <x:c r="M3077" s="28" t="n">
        <x:v>6</x:v>
      </x:c>
      <x:c r="N3077" s="28" t="n">
        <x:v>1</x:v>
      </x:c>
      <x:c r="O3077" s="28" t="n">
        <x:v>0</x:v>
      </x:c>
      <x:c r="P3077" s="28" t="n">
        <x:v>1</x:v>
      </x:c>
      <x:c r="Q3077" s="24" t="n">
        <x:f>IFERROR(J3077/H3077,0)</x:f>
        <x:v>0.3076923076923077</x:v>
      </x:c>
      <x:c r="R3077" s="24" t="n">
        <x:f>IFERROR(F3077/H3077,0)</x:f>
        <x:v>0.07692307692307693</x:v>
      </x:c>
      <x:c r="S3077" s="24" t="n">
        <x:f>IFERROR(F3077/J3077,0)</x:f>
        <x:v>0.25</x:v>
      </x:c>
      <x:c r="T3077" s="28" t="n">
        <x:f>H3077-I3077</x:f>
        <x:v>3</x:v>
      </x:c>
      <x:c r="U3077" s="24" t="n">
        <x:f>IFERROR(J3077/H3077,0)-IFERROR(K3077/I3077,0)</x:f>
        <x:v>0.0076923076923077205</x:v>
      </x:c>
      <x:c r="V3077" s="24" t="n">
        <x:f>IFERROR(F3077/J3077,0)-IFERROR(G3077/K3077,0)</x:f>
        <x:v>-0.08333333333333331</x:v>
      </x:c>
      <x:c r="W3077" s="28" t="n">
        <x:f>L3077-M3077</x:f>
        <x:v>3</x:v>
      </x:c>
      <x:c r="X3077" s="24" t="n">
        <x:f>IFERROR(K3077/I3077,0)</x:f>
        <x:v>0.3</x:v>
      </x:c>
      <x:c r="Y3077" s="24" t="n">
        <x:f>IFERROR(G3077/I3077,0)</x:f>
        <x:v>0.1</x:v>
      </x:c>
      <x:c r="Z3077" s="24" t="n">
        <x:f>IFERROR(G3077/K3077,0)</x:f>
        <x:v>0.3333333333333333</x:v>
      </x:c>
      <x:c r="AA3077" s="24" t="n">
        <x:f>IFERROR(F3077/H3077,0)-IFERROR(G3077/I3077,0)</x:f>
        <x:v>-0.023076923076923078</x:v>
      </x:c>
      <x:c r="AB3077" s="28" t="n">
        <x:f>J3077-K3077</x:f>
        <x:v>1</x:v>
      </x:c>
      <x:c r="AC3077" s="32" t="n">
        <x:f>F3077-G3077</x:f>
        <x:v>0</x:v>
      </x:c>
    </x:row>
    <x:row r="3078">
      <x:c r="A3078" s="4" t="str">
        <x:v>2025-26</x:v>
      </x:c>
      <x:c r="B3078" s="20" t="n">
        <x:v>45893</x:v>
      </x:c>
      <x:c r="C3078" s="4" t="str">
        <x:v>Man United</x:v>
      </x:c>
      <x:c r="D3078" s="4" t="str">
        <x:v>Fulham</x:v>
      </x:c>
      <x:c r="E3078" s="4" t="str">
        <x:v>Away</x:v>
      </x:c>
      <x:c r="F3078" s="28" t="n">
        <x:v>1</x:v>
      </x:c>
      <x:c r="G3078" s="28" t="n">
        <x:v>1</x:v>
      </x:c>
      <x:c r="H3078" s="28" t="n">
        <x:v>10</x:v>
      </x:c>
      <x:c r="I3078" s="28" t="n">
        <x:v>13</x:v>
      </x:c>
      <x:c r="J3078" s="28" t="n">
        <x:v>3</x:v>
      </x:c>
      <x:c r="K3078" s="28" t="n">
        <x:v>4</x:v>
      </x:c>
      <x:c r="L3078" s="28" t="n">
        <x:v>6</x:v>
      </x:c>
      <x:c r="M3078" s="28" t="n">
        <x:v>9</x:v>
      </x:c>
      <x:c r="N3078" s="28" t="n">
        <x:v>1</x:v>
      </x:c>
      <x:c r="O3078" s="28" t="n">
        <x:v>0</x:v>
      </x:c>
      <x:c r="P3078" s="28" t="n">
        <x:v>1</x:v>
      </x:c>
      <x:c r="Q3078" s="24" t="n">
        <x:f>IFERROR(J3078/H3078,0)</x:f>
        <x:v>0.3</x:v>
      </x:c>
      <x:c r="R3078" s="24" t="n">
        <x:f>IFERROR(F3078/H3078,0)</x:f>
        <x:v>0.1</x:v>
      </x:c>
      <x:c r="S3078" s="24" t="n">
        <x:f>IFERROR(F3078/J3078,0)</x:f>
        <x:v>0.3333333333333333</x:v>
      </x:c>
      <x:c r="T3078" s="28" t="n">
        <x:f>H3078-I3078</x:f>
        <x:v>-3</x:v>
      </x:c>
      <x:c r="U3078" s="24" t="n">
        <x:f>IFERROR(J3078/H3078,0)-IFERROR(K3078/I3078,0)</x:f>
        <x:v>-0.0076923076923077205</x:v>
      </x:c>
      <x:c r="V3078" s="24" t="n">
        <x:f>IFERROR(F3078/J3078,0)-IFERROR(G3078/K3078,0)</x:f>
        <x:v>0.08333333333333331</x:v>
      </x:c>
      <x:c r="W3078" s="28" t="n">
        <x:f>L3078-M3078</x:f>
        <x:v>-3</x:v>
      </x:c>
      <x:c r="X3078" s="24" t="n">
        <x:f>IFERROR(K3078/I3078,0)</x:f>
        <x:v>0.3076923076923077</x:v>
      </x:c>
      <x:c r="Y3078" s="24" t="n">
        <x:f>IFERROR(G3078/I3078,0)</x:f>
        <x:v>0.07692307692307693</x:v>
      </x:c>
      <x:c r="Z3078" s="24" t="n">
        <x:f>IFERROR(G3078/K3078,0)</x:f>
        <x:v>0.25</x:v>
      </x:c>
      <x:c r="AA3078" s="24" t="n">
        <x:f>IFERROR(F3078/H3078,0)-IFERROR(G3078/I3078,0)</x:f>
        <x:v>0.023076923076923078</x:v>
      </x:c>
      <x:c r="AB3078" s="28" t="n">
        <x:f>J3078-K3078</x:f>
        <x:v>-1</x:v>
      </x:c>
      <x:c r="AC3078" s="32" t="n">
        <x:f>F3078-G3078</x:f>
        <x:v>0</x:v>
      </x:c>
    </x:row>
    <x:row r="3079">
      <x:c r="A3079" s="4" t="str">
        <x:v>2025-26</x:v>
      </x:c>
      <x:c r="B3079" s="20" t="n">
        <x:v>45893</x:v>
      </x:c>
      <x:c r="C3079" s="4" t="str">
        <x:v>Nott'm Forest</x:v>
      </x:c>
      <x:c r="D3079" s="4" t="str">
        <x:v>Crystal Palace</x:v>
      </x:c>
      <x:c r="E3079" s="4" t="str">
        <x:v>Away</x:v>
      </x:c>
      <x:c r="F3079" s="28" t="n">
        <x:v>1</x:v>
      </x:c>
      <x:c r="G3079" s="28" t="n">
        <x:v>1</x:v>
      </x:c>
      <x:c r="H3079" s="28" t="n">
        <x:v>9</x:v>
      </x:c>
      <x:c r="I3079" s="28" t="n">
        <x:v>8</x:v>
      </x:c>
      <x:c r="J3079" s="28" t="n">
        <x:v>1</x:v>
      </x:c>
      <x:c r="K3079" s="28" t="n">
        <x:v>4</x:v>
      </x:c>
      <x:c r="L3079" s="28" t="n">
        <x:v>3</x:v>
      </x:c>
      <x:c r="M3079" s="28" t="n">
        <x:v>1</x:v>
      </x:c>
      <x:c r="N3079" s="28" t="n">
        <x:v>3</x:v>
      </x:c>
      <x:c r="O3079" s="28" t="n">
        <x:v>0</x:v>
      </x:c>
      <x:c r="P3079" s="28" t="n">
        <x:v>1</x:v>
      </x:c>
      <x:c r="Q3079" s="24" t="n">
        <x:f>IFERROR(J3079/H3079,0)</x:f>
        <x:v>0.1111111111111111</x:v>
      </x:c>
      <x:c r="R3079" s="24" t="n">
        <x:f>IFERROR(F3079/H3079,0)</x:f>
        <x:v>0.1111111111111111</x:v>
      </x:c>
      <x:c r="S3079" s="24" t="n">
        <x:f>IFERROR(F3079/J3079,0)</x:f>
        <x:v>1</x:v>
      </x:c>
      <x:c r="T3079" s="28" t="n">
        <x:f>H3079-I3079</x:f>
        <x:v>1</x:v>
      </x:c>
      <x:c r="U3079" s="24" t="n">
        <x:f>IFERROR(J3079/H3079,0)-IFERROR(K3079/I3079,0)</x:f>
        <x:v>-0.3888888888888889</x:v>
      </x:c>
      <x:c r="V3079" s="24" t="n">
        <x:f>IFERROR(F3079/J3079,0)-IFERROR(G3079/K3079,0)</x:f>
        <x:v>0.75</x:v>
      </x:c>
      <x:c r="W3079" s="28" t="n">
        <x:f>L3079-M3079</x:f>
        <x:v>2</x:v>
      </x:c>
      <x:c r="X3079" s="24" t="n">
        <x:f>IFERROR(K3079/I3079,0)</x:f>
        <x:v>0.5</x:v>
      </x:c>
      <x:c r="Y3079" s="24" t="n">
        <x:f>IFERROR(G3079/I3079,0)</x:f>
        <x:v>0.125</x:v>
      </x:c>
      <x:c r="Z3079" s="24" t="n">
        <x:f>IFERROR(G3079/K3079,0)</x:f>
        <x:v>0.25</x:v>
      </x:c>
      <x:c r="AA3079" s="24" t="n">
        <x:f>IFERROR(F3079/H3079,0)-IFERROR(G3079/I3079,0)</x:f>
        <x:v>-0.013888888888888895</x:v>
      </x:c>
      <x:c r="AB3079" s="28" t="n">
        <x:f>J3079-K3079</x:f>
        <x:v>-3</x:v>
      </x:c>
      <x:c r="AC3079" s="32" t="n">
        <x:f>F3079-G3079</x:f>
        <x:v>0</x:v>
      </x:c>
    </x:row>
    <x:row r="3080">
      <x:c r="A3080" s="4" t="str">
        <x:v>2025-26</x:v>
      </x:c>
      <x:c r="B3080" s="20" t="n">
        <x:v>45894</x:v>
      </x:c>
      <x:c r="C3080" s="4" t="str">
        <x:v>Liverpool</x:v>
      </x:c>
      <x:c r="D3080" s="4" t="str">
        <x:v>Newcastle</x:v>
      </x:c>
      <x:c r="E3080" s="4" t="str">
        <x:v>Away</x:v>
      </x:c>
      <x:c r="F3080" s="28" t="n">
        <x:v>3</x:v>
      </x:c>
      <x:c r="G3080" s="28" t="n">
        <x:v>2</x:v>
      </x:c>
      <x:c r="H3080" s="28" t="n">
        <x:v>5</x:v>
      </x:c>
      <x:c r="I3080" s="28" t="n">
        <x:v>10</x:v>
      </x:c>
      <x:c r="J3080" s="28" t="n">
        <x:v>4</x:v>
      </x:c>
      <x:c r="K3080" s="28" t="n">
        <x:v>3</x:v>
      </x:c>
      <x:c r="L3080" s="28" t="n">
        <x:v>1</x:v>
      </x:c>
      <x:c r="M3080" s="28" t="n">
        <x:v>7</x:v>
      </x:c>
      <x:c r="N3080" s="28" t="n">
        <x:v>3</x:v>
      </x:c>
      <x:c r="O3080" s="28" t="n">
        <x:v>0</x:v>
      </x:c>
      <x:c r="P3080" s="28" t="n">
        <x:v>3</x:v>
      </x:c>
      <x:c r="Q3080" s="24" t="n">
        <x:f>IFERROR(J3080/H3080,0)</x:f>
        <x:v>0.8</x:v>
      </x:c>
      <x:c r="R3080" s="24" t="n">
        <x:f>IFERROR(F3080/H3080,0)</x:f>
        <x:v>0.6</x:v>
      </x:c>
      <x:c r="S3080" s="24" t="n">
        <x:f>IFERROR(F3080/J3080,0)</x:f>
        <x:v>0.75</x:v>
      </x:c>
      <x:c r="T3080" s="28" t="n">
        <x:f>H3080-I3080</x:f>
        <x:v>-5</x:v>
      </x:c>
      <x:c r="U3080" s="24" t="n">
        <x:f>IFERROR(J3080/H3080,0)-IFERROR(K3080/I3080,0)</x:f>
        <x:v>0.5</x:v>
      </x:c>
      <x:c r="V3080" s="24" t="n">
        <x:f>IFERROR(F3080/J3080,0)-IFERROR(G3080/K3080,0)</x:f>
        <x:v>0.08333333333333337</x:v>
      </x:c>
      <x:c r="W3080" s="28" t="n">
        <x:f>L3080-M3080</x:f>
        <x:v>-6</x:v>
      </x:c>
      <x:c r="X3080" s="24" t="n">
        <x:f>IFERROR(K3080/I3080,0)</x:f>
        <x:v>0.3</x:v>
      </x:c>
      <x:c r="Y3080" s="24" t="n">
        <x:f>IFERROR(G3080/I3080,0)</x:f>
        <x:v>0.2</x:v>
      </x:c>
      <x:c r="Z3080" s="24" t="n">
        <x:f>IFERROR(G3080/K3080,0)</x:f>
        <x:v>0.6666666666666666</x:v>
      </x:c>
      <x:c r="AA3080" s="24" t="n">
        <x:f>IFERROR(F3080/H3080,0)-IFERROR(G3080/I3080,0)</x:f>
        <x:v>0.39999999999999997</x:v>
      </x:c>
      <x:c r="AB3080" s="28" t="n">
        <x:f>J3080-K3080</x:f>
        <x:v>1</x:v>
      </x:c>
      <x:c r="AC3080" s="32" t="n">
        <x:f>F3080-G3080</x:f>
        <x:v>1</x:v>
      </x:c>
    </x:row>
    <x:row r="3081">
      <x:c r="A3081" s="4" t="str">
        <x:v>2025-26</x:v>
      </x:c>
      <x:c r="B3081" s="20" t="n">
        <x:v>45894</x:v>
      </x:c>
      <x:c r="C3081" s="4" t="str">
        <x:v>Newcastle</x:v>
      </x:c>
      <x:c r="D3081" s="4" t="str">
        <x:v>Liverpool</x:v>
      </x:c>
      <x:c r="E3081" s="4" t="str">
        <x:v>Home</x:v>
      </x:c>
      <x:c r="F3081" s="28" t="n">
        <x:v>2</x:v>
      </x:c>
      <x:c r="G3081" s="28" t="n">
        <x:v>3</x:v>
      </x:c>
      <x:c r="H3081" s="28" t="n">
        <x:v>10</x:v>
      </x:c>
      <x:c r="I3081" s="28" t="n">
        <x:v>5</x:v>
      </x:c>
      <x:c r="J3081" s="28" t="n">
        <x:v>3</x:v>
      </x:c>
      <x:c r="K3081" s="28" t="n">
        <x:v>4</x:v>
      </x:c>
      <x:c r="L3081" s="28" t="n">
        <x:v>7</x:v>
      </x:c>
      <x:c r="M3081" s="28" t="n">
        <x:v>1</x:v>
      </x:c>
      <x:c r="N3081" s="28" t="n">
        <x:v>2</x:v>
      </x:c>
      <x:c r="O3081" s="28" t="n">
        <x:v>1</x:v>
      </x:c>
      <x:c r="P3081" s="28" t="n">
        <x:v>0</x:v>
      </x:c>
      <x:c r="Q3081" s="24" t="n">
        <x:f>IFERROR(J3081/H3081,0)</x:f>
        <x:v>0.3</x:v>
      </x:c>
      <x:c r="R3081" s="24" t="n">
        <x:f>IFERROR(F3081/H3081,0)</x:f>
        <x:v>0.2</x:v>
      </x:c>
      <x:c r="S3081" s="24" t="n">
        <x:f>IFERROR(F3081/J3081,0)</x:f>
        <x:v>0.6666666666666666</x:v>
      </x:c>
      <x:c r="T3081" s="28" t="n">
        <x:f>H3081-I3081</x:f>
        <x:v>5</x:v>
      </x:c>
      <x:c r="U3081" s="24" t="n">
        <x:f>IFERROR(J3081/H3081,0)-IFERROR(K3081/I3081,0)</x:f>
        <x:v>-0.5</x:v>
      </x:c>
      <x:c r="V3081" s="24" t="n">
        <x:f>IFERROR(F3081/J3081,0)-IFERROR(G3081/K3081,0)</x:f>
        <x:v>-0.08333333333333337</x:v>
      </x:c>
      <x:c r="W3081" s="28" t="n">
        <x:f>L3081-M3081</x:f>
        <x:v>6</x:v>
      </x:c>
      <x:c r="X3081" s="24" t="n">
        <x:f>IFERROR(K3081/I3081,0)</x:f>
        <x:v>0.8</x:v>
      </x:c>
      <x:c r="Y3081" s="24" t="n">
        <x:f>IFERROR(G3081/I3081,0)</x:f>
        <x:v>0.6</x:v>
      </x:c>
      <x:c r="Z3081" s="24" t="n">
        <x:f>IFERROR(G3081/K3081,0)</x:f>
        <x:v>0.75</x:v>
      </x:c>
      <x:c r="AA3081" s="24" t="n">
        <x:f>IFERROR(F3081/H3081,0)-IFERROR(G3081/I3081,0)</x:f>
        <x:v>-0.39999999999999997</x:v>
      </x:c>
      <x:c r="AB3081" s="28" t="n">
        <x:f>J3081-K3081</x:f>
        <x:v>-1</x:v>
      </x:c>
      <x:c r="AC3081" s="32" t="n">
        <x:f>F3081-G3081</x:f>
        <x:v>-1</x:v>
      </x:c>
    </x:row>
    <x:row r="3082">
      <x:c r="A3082" s="4" t="str">
        <x:v>2025-26</x:v>
      </x:c>
      <x:c r="B3082" s="20" t="n">
        <x:v>45899</x:v>
      </x:c>
      <x:c r="C3082" s="4" t="str">
        <x:v>Bournemouth</x:v>
      </x:c>
      <x:c r="D3082" s="4" t="str">
        <x:v>Tottenham</x:v>
      </x:c>
      <x:c r="E3082" s="4" t="str">
        <x:v>Away</x:v>
      </x:c>
      <x:c r="F3082" s="28" t="n">
        <x:v>1</x:v>
      </x:c>
      <x:c r="G3082" s="28" t="n">
        <x:v>0</x:v>
      </x:c>
      <x:c r="H3082" s="28" t="n">
        <x:v>20</x:v>
      </x:c>
      <x:c r="I3082" s="28" t="n">
        <x:v>5</x:v>
      </x:c>
      <x:c r="J3082" s="28" t="n">
        <x:v>6</x:v>
      </x:c>
      <x:c r="K3082" s="28" t="n">
        <x:v>1</x:v>
      </x:c>
      <x:c r="L3082" s="28" t="n">
        <x:v>8</x:v>
      </x:c>
      <x:c r="M3082" s="28" t="n">
        <x:v>0</x:v>
      </x:c>
      <x:c r="N3082" s="28" t="n">
        <x:v>4</x:v>
      </x:c>
      <x:c r="O3082" s="28" t="n">
        <x:v>0</x:v>
      </x:c>
      <x:c r="P3082" s="28" t="n">
        <x:v>3</x:v>
      </x:c>
      <x:c r="Q3082" s="24" t="n">
        <x:f>IFERROR(J3082/H3082,0)</x:f>
        <x:v>0.3</x:v>
      </x:c>
      <x:c r="R3082" s="24" t="n">
        <x:f>IFERROR(F3082/H3082,0)</x:f>
        <x:v>0.05</x:v>
      </x:c>
      <x:c r="S3082" s="24" t="n">
        <x:f>IFERROR(F3082/J3082,0)</x:f>
        <x:v>0.16666666666666666</x:v>
      </x:c>
      <x:c r="T3082" s="28" t="n">
        <x:f>H3082-I3082</x:f>
        <x:v>15</x:v>
      </x:c>
      <x:c r="U3082" s="24" t="n">
        <x:f>IFERROR(J3082/H3082,0)-IFERROR(K3082/I3082,0)</x:f>
        <x:v>0.09999999999999998</x:v>
      </x:c>
      <x:c r="V3082" s="24" t="n">
        <x:f>IFERROR(F3082/J3082,0)-IFERROR(G3082/K3082,0)</x:f>
        <x:v>0.16666666666666666</x:v>
      </x:c>
      <x:c r="W3082" s="28" t="n">
        <x:f>L3082-M3082</x:f>
        <x:v>8</x:v>
      </x:c>
      <x:c r="X3082" s="24" t="n">
        <x:f>IFERROR(K3082/I3082,0)</x:f>
        <x:v>0.2</x:v>
      </x:c>
      <x:c r="Y3082" s="24" t="n">
        <x:f>IFERROR(G3082/I3082,0)</x:f>
        <x:v>0</x:v>
      </x:c>
      <x:c r="Z3082" s="24" t="n">
        <x:f>IFERROR(G3082/K3082,0)</x:f>
        <x:v>0</x:v>
      </x:c>
      <x:c r="AA3082" s="24" t="n">
        <x:f>IFERROR(F3082/H3082,0)-IFERROR(G3082/I3082,0)</x:f>
        <x:v>0.05</x:v>
      </x:c>
      <x:c r="AB3082" s="28" t="n">
        <x:f>J3082-K3082</x:f>
        <x:v>5</x:v>
      </x:c>
      <x:c r="AC3082" s="32" t="n">
        <x:f>F3082-G3082</x:f>
        <x:v>1</x:v>
      </x:c>
    </x:row>
    <x:row r="3083">
      <x:c r="A3083" s="4" t="str">
        <x:v>2025-26</x:v>
      </x:c>
      <x:c r="B3083" s="20" t="n">
        <x:v>45899</x:v>
      </x:c>
      <x:c r="C3083" s="4" t="str">
        <x:v>Brentford</x:v>
      </x:c>
      <x:c r="D3083" s="4" t="str">
        <x:v>Sunderland</x:v>
      </x:c>
      <x:c r="E3083" s="4" t="str">
        <x:v>Away</x:v>
      </x:c>
      <x:c r="F3083" s="28" t="n">
        <x:v>1</x:v>
      </x:c>
      <x:c r="G3083" s="28" t="n">
        <x:v>2</x:v>
      </x:c>
      <x:c r="H3083" s="28" t="n">
        <x:v>7</x:v>
      </x:c>
      <x:c r="I3083" s="28" t="n">
        <x:v>12</x:v>
      </x:c>
      <x:c r="J3083" s="28" t="n">
        <x:v>4</x:v>
      </x:c>
      <x:c r="K3083" s="28" t="n">
        <x:v>3</x:v>
      </x:c>
      <x:c r="L3083" s="28" t="n">
        <x:v>4</x:v>
      </x:c>
      <x:c r="M3083" s="28" t="n">
        <x:v>3</x:v>
      </x:c>
      <x:c r="N3083" s="28" t="n">
        <x:v>2</x:v>
      </x:c>
      <x:c r="O3083" s="28" t="n">
        <x:v>0</x:v>
      </x:c>
      <x:c r="P3083" s="28" t="n">
        <x:v>0</x:v>
      </x:c>
      <x:c r="Q3083" s="24" t="n">
        <x:f>IFERROR(J3083/H3083,0)</x:f>
        <x:v>0.5714285714285714</x:v>
      </x:c>
      <x:c r="R3083" s="24" t="n">
        <x:f>IFERROR(F3083/H3083,0)</x:f>
        <x:v>0.14285714285714285</x:v>
      </x:c>
      <x:c r="S3083" s="24" t="n">
        <x:f>IFERROR(F3083/J3083,0)</x:f>
        <x:v>0.25</x:v>
      </x:c>
      <x:c r="T3083" s="28" t="n">
        <x:f>H3083-I3083</x:f>
        <x:v>-5</x:v>
      </x:c>
      <x:c r="U3083" s="24" t="n">
        <x:f>IFERROR(J3083/H3083,0)-IFERROR(K3083/I3083,0)</x:f>
        <x:v>0.3214285714285714</x:v>
      </x:c>
      <x:c r="V3083" s="24" t="n">
        <x:f>IFERROR(F3083/J3083,0)-IFERROR(G3083/K3083,0)</x:f>
        <x:v>-0.41666666666666663</x:v>
      </x:c>
      <x:c r="W3083" s="28" t="n">
        <x:f>L3083-M3083</x:f>
        <x:v>1</x:v>
      </x:c>
      <x:c r="X3083" s="24" t="n">
        <x:f>IFERROR(K3083/I3083,0)</x:f>
        <x:v>0.25</x:v>
      </x:c>
      <x:c r="Y3083" s="24" t="n">
        <x:f>IFERROR(G3083/I3083,0)</x:f>
        <x:v>0.16666666666666666</x:v>
      </x:c>
      <x:c r="Z3083" s="24" t="n">
        <x:f>IFERROR(G3083/K3083,0)</x:f>
        <x:v>0.6666666666666666</x:v>
      </x:c>
      <x:c r="AA3083" s="24" t="n">
        <x:f>IFERROR(F3083/H3083,0)-IFERROR(G3083/I3083,0)</x:f>
        <x:v>-0.023809523809523808</x:v>
      </x:c>
      <x:c r="AB3083" s="28" t="n">
        <x:f>J3083-K3083</x:f>
        <x:v>1</x:v>
      </x:c>
      <x:c r="AC3083" s="32" t="n">
        <x:f>F3083-G3083</x:f>
        <x:v>-1</x:v>
      </x:c>
    </x:row>
    <x:row r="3084">
      <x:c r="A3084" s="4" t="str">
        <x:v>2025-26</x:v>
      </x:c>
      <x:c r="B3084" s="20" t="n">
        <x:v>45899</x:v>
      </x:c>
      <x:c r="C3084" s="4" t="str">
        <x:v>Burnley</x:v>
      </x:c>
      <x:c r="D3084" s="4" t="str">
        <x:v>Man United</x:v>
      </x:c>
      <x:c r="E3084" s="4" t="str">
        <x:v>Away</x:v>
      </x:c>
      <x:c r="F3084" s="28" t="n">
        <x:v>2</x:v>
      </x:c>
      <x:c r="G3084" s="28" t="n">
        <x:v>3</x:v>
      </x:c>
      <x:c r="H3084" s="28" t="n">
        <x:v>6</x:v>
      </x:c>
      <x:c r="I3084" s="28" t="n">
        <x:v>26</x:v>
      </x:c>
      <x:c r="J3084" s="28" t="n">
        <x:v>3</x:v>
      </x:c>
      <x:c r="K3084" s="28" t="n">
        <x:v>6</x:v>
      </x:c>
      <x:c r="L3084" s="28" t="n">
        <x:v>1</x:v>
      </x:c>
      <x:c r="M3084" s="28" t="n">
        <x:v>7</x:v>
      </x:c>
      <x:c r="N3084" s="28" t="n">
        <x:v>5</x:v>
      </x:c>
      <x:c r="O3084" s="28" t="n">
        <x:v>0</x:v>
      </x:c>
      <x:c r="P3084" s="28" t="n">
        <x:v>0</x:v>
      </x:c>
      <x:c r="Q3084" s="24" t="n">
        <x:f>IFERROR(J3084/H3084,0)</x:f>
        <x:v>0.5</x:v>
      </x:c>
      <x:c r="R3084" s="24" t="n">
        <x:f>IFERROR(F3084/H3084,0)</x:f>
        <x:v>0.3333333333333333</x:v>
      </x:c>
      <x:c r="S3084" s="24" t="n">
        <x:f>IFERROR(F3084/J3084,0)</x:f>
        <x:v>0.6666666666666666</x:v>
      </x:c>
      <x:c r="T3084" s="28" t="n">
        <x:f>H3084-I3084</x:f>
        <x:v>-20</x:v>
      </x:c>
      <x:c r="U3084" s="24" t="n">
        <x:f>IFERROR(J3084/H3084,0)-IFERROR(K3084/I3084,0)</x:f>
        <x:v>0.2692307692307692</x:v>
      </x:c>
      <x:c r="V3084" s="24" t="n">
        <x:f>IFERROR(F3084/J3084,0)-IFERROR(G3084/K3084,0)</x:f>
        <x:v>0.16666666666666663</x:v>
      </x:c>
      <x:c r="W3084" s="28" t="n">
        <x:f>L3084-M3084</x:f>
        <x:v>-6</x:v>
      </x:c>
      <x:c r="X3084" s="24" t="n">
        <x:f>IFERROR(K3084/I3084,0)</x:f>
        <x:v>0.23076923076923078</x:v>
      </x:c>
      <x:c r="Y3084" s="24" t="n">
        <x:f>IFERROR(G3084/I3084,0)</x:f>
        <x:v>0.11538461538461539</x:v>
      </x:c>
      <x:c r="Z3084" s="24" t="n">
        <x:f>IFERROR(G3084/K3084,0)</x:f>
        <x:v>0.5</x:v>
      </x:c>
      <x:c r="AA3084" s="24" t="n">
        <x:f>IFERROR(F3084/H3084,0)-IFERROR(G3084/I3084,0)</x:f>
        <x:v>0.21794871794871792</x:v>
      </x:c>
      <x:c r="AB3084" s="28" t="n">
        <x:f>J3084-K3084</x:f>
        <x:v>-3</x:v>
      </x:c>
      <x:c r="AC3084" s="32" t="n">
        <x:f>F3084-G3084</x:f>
        <x:v>-1</x:v>
      </x:c>
    </x:row>
    <x:row r="3085">
      <x:c r="A3085" s="4" t="str">
        <x:v>2025-26</x:v>
      </x:c>
      <x:c r="B3085" s="20" t="n">
        <x:v>45899</x:v>
      </x:c>
      <x:c r="C3085" s="4" t="str">
        <x:v>Chelsea</x:v>
      </x:c>
      <x:c r="D3085" s="4" t="str">
        <x:v>Fulham</x:v>
      </x:c>
      <x:c r="E3085" s="4" t="str">
        <x:v>Home</x:v>
      </x:c>
      <x:c r="F3085" s="28" t="n">
        <x:v>2</x:v>
      </x:c>
      <x:c r="G3085" s="28" t="n">
        <x:v>0</x:v>
      </x:c>
      <x:c r="H3085" s="28" t="n">
        <x:v>13</x:v>
      </x:c>
      <x:c r="I3085" s="28" t="n">
        <x:v>11</x:v>
      </x:c>
      <x:c r="J3085" s="28" t="n">
        <x:v>6</x:v>
      </x:c>
      <x:c r="K3085" s="28" t="n">
        <x:v>3</x:v>
      </x:c>
      <x:c r="L3085" s="28" t="n">
        <x:v>6</x:v>
      </x:c>
      <x:c r="M3085" s="28" t="n">
        <x:v>4</x:v>
      </x:c>
      <x:c r="N3085" s="28" t="n">
        <x:v>2</x:v>
      </x:c>
      <x:c r="O3085" s="28" t="n">
        <x:v>0</x:v>
      </x:c>
      <x:c r="P3085" s="28" t="n">
        <x:v>3</x:v>
      </x:c>
      <x:c r="Q3085" s="24" t="n">
        <x:f>IFERROR(J3085/H3085,0)</x:f>
        <x:v>0.46153846153846156</x:v>
      </x:c>
      <x:c r="R3085" s="24" t="n">
        <x:f>IFERROR(F3085/H3085,0)</x:f>
        <x:v>0.15384615384615385</x:v>
      </x:c>
      <x:c r="S3085" s="24" t="n">
        <x:f>IFERROR(F3085/J3085,0)</x:f>
        <x:v>0.3333333333333333</x:v>
      </x:c>
      <x:c r="T3085" s="28" t="n">
        <x:f>H3085-I3085</x:f>
        <x:v>2</x:v>
      </x:c>
      <x:c r="U3085" s="24" t="n">
        <x:f>IFERROR(J3085/H3085,0)-IFERROR(K3085/I3085,0)</x:f>
        <x:v>0.18881118881118886</x:v>
      </x:c>
      <x:c r="V3085" s="24" t="n">
        <x:f>IFERROR(F3085/J3085,0)-IFERROR(G3085/K3085,0)</x:f>
        <x:v>0.3333333333333333</x:v>
      </x:c>
      <x:c r="W3085" s="28" t="n">
        <x:f>L3085-M3085</x:f>
        <x:v>2</x:v>
      </x:c>
      <x:c r="X3085" s="24" t="n">
        <x:f>IFERROR(K3085/I3085,0)</x:f>
        <x:v>0.2727272727272727</x:v>
      </x:c>
      <x:c r="Y3085" s="24" t="n">
        <x:f>IFERROR(G3085/I3085,0)</x:f>
        <x:v>0</x:v>
      </x:c>
      <x:c r="Z3085" s="24" t="n">
        <x:f>IFERROR(G3085/K3085,0)</x:f>
        <x:v>0</x:v>
      </x:c>
      <x:c r="AA3085" s="24" t="n">
        <x:f>IFERROR(F3085/H3085,0)-IFERROR(G3085/I3085,0)</x:f>
        <x:v>0.15384615384615385</x:v>
      </x:c>
      <x:c r="AB3085" s="28" t="n">
        <x:f>J3085-K3085</x:f>
        <x:v>3</x:v>
      </x:c>
      <x:c r="AC3085" s="32" t="n">
        <x:f>F3085-G3085</x:f>
        <x:v>2</x:v>
      </x:c>
    </x:row>
    <x:row r="3086">
      <x:c r="A3086" s="4" t="str">
        <x:v>2025-26</x:v>
      </x:c>
      <x:c r="B3086" s="20" t="n">
        <x:v>45899</x:v>
      </x:c>
      <x:c r="C3086" s="4" t="str">
        <x:v>Everton</x:v>
      </x:c>
      <x:c r="D3086" s="4" t="str">
        <x:v>Wolves</x:v>
      </x:c>
      <x:c r="E3086" s="4" t="str">
        <x:v>Away</x:v>
      </x:c>
      <x:c r="F3086" s="28" t="n">
        <x:v>3</x:v>
      </x:c>
      <x:c r="G3086" s="28" t="n">
        <x:v>2</x:v>
      </x:c>
      <x:c r="H3086" s="28" t="n">
        <x:v>10</x:v>
      </x:c>
      <x:c r="I3086" s="28" t="n">
        <x:v>12</x:v>
      </x:c>
      <x:c r="J3086" s="28" t="n">
        <x:v>4</x:v>
      </x:c>
      <x:c r="K3086" s="28" t="n">
        <x:v>4</x:v>
      </x:c>
      <x:c r="L3086" s="28" t="n">
        <x:v>2</x:v>
      </x:c>
      <x:c r="M3086" s="28" t="n">
        <x:v>2</x:v>
      </x:c>
      <x:c r="N3086" s="28" t="n">
        <x:v>1</x:v>
      </x:c>
      <x:c r="O3086" s="28" t="n">
        <x:v>0</x:v>
      </x:c>
      <x:c r="P3086" s="28" t="n">
        <x:v>3</x:v>
      </x:c>
      <x:c r="Q3086" s="24" t="n">
        <x:f>IFERROR(J3086/H3086,0)</x:f>
        <x:v>0.4</x:v>
      </x:c>
      <x:c r="R3086" s="24" t="n">
        <x:f>IFERROR(F3086/H3086,0)</x:f>
        <x:v>0.3</x:v>
      </x:c>
      <x:c r="S3086" s="24" t="n">
        <x:f>IFERROR(F3086/J3086,0)</x:f>
        <x:v>0.75</x:v>
      </x:c>
      <x:c r="T3086" s="28" t="n">
        <x:f>H3086-I3086</x:f>
        <x:v>-2</x:v>
      </x:c>
      <x:c r="U3086" s="24" t="n">
        <x:f>IFERROR(J3086/H3086,0)-IFERROR(K3086/I3086,0)</x:f>
        <x:v>0.06666666666666671</x:v>
      </x:c>
      <x:c r="V3086" s="24" t="n">
        <x:f>IFERROR(F3086/J3086,0)-IFERROR(G3086/K3086,0)</x:f>
        <x:v>0.25</x:v>
      </x:c>
      <x:c r="W3086" s="28" t="n">
        <x:f>L3086-M3086</x:f>
        <x:v>0</x:v>
      </x:c>
      <x:c r="X3086" s="24" t="n">
        <x:f>IFERROR(K3086/I3086,0)</x:f>
        <x:v>0.3333333333333333</x:v>
      </x:c>
      <x:c r="Y3086" s="24" t="n">
        <x:f>IFERROR(G3086/I3086,0)</x:f>
        <x:v>0.16666666666666666</x:v>
      </x:c>
      <x:c r="Z3086" s="24" t="n">
        <x:f>IFERROR(G3086/K3086,0)</x:f>
        <x:v>0.5</x:v>
      </x:c>
      <x:c r="AA3086" s="24" t="n">
        <x:f>IFERROR(F3086/H3086,0)-IFERROR(G3086/I3086,0)</x:f>
        <x:v>0.13333333333333333</x:v>
      </x:c>
      <x:c r="AB3086" s="28" t="n">
        <x:f>J3086-K3086</x:f>
        <x:v>0</x:v>
      </x:c>
      <x:c r="AC3086" s="32" t="n">
        <x:f>F3086-G3086</x:f>
        <x:v>1</x:v>
      </x:c>
    </x:row>
    <x:row r="3087">
      <x:c r="A3087" s="4" t="str">
        <x:v>2025-26</x:v>
      </x:c>
      <x:c r="B3087" s="20" t="n">
        <x:v>45899</x:v>
      </x:c>
      <x:c r="C3087" s="4" t="str">
        <x:v>Fulham</x:v>
      </x:c>
      <x:c r="D3087" s="4" t="str">
        <x:v>Chelsea</x:v>
      </x:c>
      <x:c r="E3087" s="4" t="str">
        <x:v>Away</x:v>
      </x:c>
      <x:c r="F3087" s="28" t="n">
        <x:v>0</x:v>
      </x:c>
      <x:c r="G3087" s="28" t="n">
        <x:v>2</x:v>
      </x:c>
      <x:c r="H3087" s="28" t="n">
        <x:v>11</x:v>
      </x:c>
      <x:c r="I3087" s="28" t="n">
        <x:v>13</x:v>
      </x:c>
      <x:c r="J3087" s="28" t="n">
        <x:v>3</x:v>
      </x:c>
      <x:c r="K3087" s="28" t="n">
        <x:v>6</x:v>
      </x:c>
      <x:c r="L3087" s="28" t="n">
        <x:v>4</x:v>
      </x:c>
      <x:c r="M3087" s="28" t="n">
        <x:v>6</x:v>
      </x:c>
      <x:c r="N3087" s="28" t="n">
        <x:v>2</x:v>
      </x:c>
      <x:c r="O3087" s="28" t="n">
        <x:v>0</x:v>
      </x:c>
      <x:c r="P3087" s="28" t="n">
        <x:v>0</x:v>
      </x:c>
      <x:c r="Q3087" s="24" t="n">
        <x:f>IFERROR(J3087/H3087,0)</x:f>
        <x:v>0.2727272727272727</x:v>
      </x:c>
      <x:c r="R3087" s="24" t="n">
        <x:f>IFERROR(F3087/H3087,0)</x:f>
        <x:v>0</x:v>
      </x:c>
      <x:c r="S3087" s="24" t="n">
        <x:f>IFERROR(F3087/J3087,0)</x:f>
        <x:v>0</x:v>
      </x:c>
      <x:c r="T3087" s="28" t="n">
        <x:f>H3087-I3087</x:f>
        <x:v>-2</x:v>
      </x:c>
      <x:c r="U3087" s="24" t="n">
        <x:f>IFERROR(J3087/H3087,0)-IFERROR(K3087/I3087,0)</x:f>
        <x:v>-0.18881118881118886</x:v>
      </x:c>
      <x:c r="V3087" s="24" t="n">
        <x:f>IFERROR(F3087/J3087,0)-IFERROR(G3087/K3087,0)</x:f>
        <x:v>-0.3333333333333333</x:v>
      </x:c>
      <x:c r="W3087" s="28" t="n">
        <x:f>L3087-M3087</x:f>
        <x:v>-2</x:v>
      </x:c>
      <x:c r="X3087" s="24" t="n">
        <x:f>IFERROR(K3087/I3087,0)</x:f>
        <x:v>0.46153846153846156</x:v>
      </x:c>
      <x:c r="Y3087" s="24" t="n">
        <x:f>IFERROR(G3087/I3087,0)</x:f>
        <x:v>0.15384615384615385</x:v>
      </x:c>
      <x:c r="Z3087" s="24" t="n">
        <x:f>IFERROR(G3087/K3087,0)</x:f>
        <x:v>0.3333333333333333</x:v>
      </x:c>
      <x:c r="AA3087" s="24" t="n">
        <x:f>IFERROR(F3087/H3087,0)-IFERROR(G3087/I3087,0)</x:f>
        <x:v>-0.15384615384615385</x:v>
      </x:c>
      <x:c r="AB3087" s="28" t="n">
        <x:f>J3087-K3087</x:f>
        <x:v>-3</x:v>
      </x:c>
      <x:c r="AC3087" s="32" t="n">
        <x:f>F3087-G3087</x:f>
        <x:v>-2</x:v>
      </x:c>
    </x:row>
    <x:row r="3088">
      <x:c r="A3088" s="4" t="str">
        <x:v>2025-26</x:v>
      </x:c>
      <x:c r="B3088" s="20" t="n">
        <x:v>45899</x:v>
      </x:c>
      <x:c r="C3088" s="4" t="str">
        <x:v>Leeds</x:v>
      </x:c>
      <x:c r="D3088" s="4" t="str">
        <x:v>Newcastle</x:v>
      </x:c>
      <x:c r="E3088" s="4" t="str">
        <x:v>Home</x:v>
      </x:c>
      <x:c r="F3088" s="28" t="n">
        <x:v>0</x:v>
      </x:c>
      <x:c r="G3088" s="28" t="n">
        <x:v>0</x:v>
      </x:c>
      <x:c r="H3088" s="28" t="n">
        <x:v>10</x:v>
      </x:c>
      <x:c r="I3088" s="28" t="n">
        <x:v>8</x:v>
      </x:c>
      <x:c r="J3088" s="28" t="n">
        <x:v>1</x:v>
      </x:c>
      <x:c r="K3088" s="28" t="n">
        <x:v>2</x:v>
      </x:c>
      <x:c r="L3088" s="28" t="n">
        <x:v>5</x:v>
      </x:c>
      <x:c r="M3088" s="28" t="n">
        <x:v>5</x:v>
      </x:c>
      <x:c r="N3088" s="28" t="n">
        <x:v>1</x:v>
      </x:c>
      <x:c r="O3088" s="28" t="n">
        <x:v>0</x:v>
      </x:c>
      <x:c r="P3088" s="28" t="n">
        <x:v>1</x:v>
      </x:c>
      <x:c r="Q3088" s="24" t="n">
        <x:f>IFERROR(J3088/H3088,0)</x:f>
        <x:v>0.1</x:v>
      </x:c>
      <x:c r="R3088" s="24" t="n">
        <x:f>IFERROR(F3088/H3088,0)</x:f>
        <x:v>0</x:v>
      </x:c>
      <x:c r="S3088" s="24" t="n">
        <x:f>IFERROR(F3088/J3088,0)</x:f>
        <x:v>0</x:v>
      </x:c>
      <x:c r="T3088" s="28" t="n">
        <x:f>H3088-I3088</x:f>
        <x:v>2</x:v>
      </x:c>
      <x:c r="U3088" s="24" t="n">
        <x:f>IFERROR(J3088/H3088,0)-IFERROR(K3088/I3088,0)</x:f>
        <x:v>-0.15</x:v>
      </x:c>
      <x:c r="V3088" s="24" t="n">
        <x:f>IFERROR(F3088/J3088,0)-IFERROR(G3088/K3088,0)</x:f>
        <x:v>0</x:v>
      </x:c>
      <x:c r="W3088" s="28" t="n">
        <x:f>L3088-M3088</x:f>
        <x:v>0</x:v>
      </x:c>
      <x:c r="X3088" s="24" t="n">
        <x:f>IFERROR(K3088/I3088,0)</x:f>
        <x:v>0.25</x:v>
      </x:c>
      <x:c r="Y3088" s="24" t="n">
        <x:f>IFERROR(G3088/I3088,0)</x:f>
        <x:v>0</x:v>
      </x:c>
      <x:c r="Z3088" s="24" t="n">
        <x:f>IFERROR(G3088/K3088,0)</x:f>
        <x:v>0</x:v>
      </x:c>
      <x:c r="AA3088" s="24" t="n">
        <x:f>IFERROR(F3088/H3088,0)-IFERROR(G3088/I3088,0)</x:f>
        <x:v>0</x:v>
      </x:c>
      <x:c r="AB3088" s="28" t="n">
        <x:f>J3088-K3088</x:f>
        <x:v>-1</x:v>
      </x:c>
      <x:c r="AC3088" s="32" t="n">
        <x:f>F3088-G3088</x:f>
        <x:v>0</x:v>
      </x:c>
    </x:row>
    <x:row r="3089">
      <x:c r="A3089" s="4" t="str">
        <x:v>2025-26</x:v>
      </x:c>
      <x:c r="B3089" s="20" t="n">
        <x:v>45899</x:v>
      </x:c>
      <x:c r="C3089" s="4" t="str">
        <x:v>Man United</x:v>
      </x:c>
      <x:c r="D3089" s="4" t="str">
        <x:v>Burnley</x:v>
      </x:c>
      <x:c r="E3089" s="4" t="str">
        <x:v>Home</x:v>
      </x:c>
      <x:c r="F3089" s="28" t="n">
        <x:v>3</x:v>
      </x:c>
      <x:c r="G3089" s="28" t="n">
        <x:v>2</x:v>
      </x:c>
      <x:c r="H3089" s="28" t="n">
        <x:v>26</x:v>
      </x:c>
      <x:c r="I3089" s="28" t="n">
        <x:v>6</x:v>
      </x:c>
      <x:c r="J3089" s="28" t="n">
        <x:v>6</x:v>
      </x:c>
      <x:c r="K3089" s="28" t="n">
        <x:v>3</x:v>
      </x:c>
      <x:c r="L3089" s="28" t="n">
        <x:v>7</x:v>
      </x:c>
      <x:c r="M3089" s="28" t="n">
        <x:v>1</x:v>
      </x:c>
      <x:c r="N3089" s="28" t="n">
        <x:v>1</x:v>
      </x:c>
      <x:c r="O3089" s="28" t="n">
        <x:v>0</x:v>
      </x:c>
      <x:c r="P3089" s="28" t="n">
        <x:v>3</x:v>
      </x:c>
      <x:c r="Q3089" s="24" t="n">
        <x:f>IFERROR(J3089/H3089,0)</x:f>
        <x:v>0.23076923076923078</x:v>
      </x:c>
      <x:c r="R3089" s="24" t="n">
        <x:f>IFERROR(F3089/H3089,0)</x:f>
        <x:v>0.11538461538461539</x:v>
      </x:c>
      <x:c r="S3089" s="24" t="n">
        <x:f>IFERROR(F3089/J3089,0)</x:f>
        <x:v>0.5</x:v>
      </x:c>
      <x:c r="T3089" s="28" t="n">
        <x:f>H3089-I3089</x:f>
        <x:v>20</x:v>
      </x:c>
      <x:c r="U3089" s="24" t="n">
        <x:f>IFERROR(J3089/H3089,0)-IFERROR(K3089/I3089,0)</x:f>
        <x:v>-0.2692307692307692</x:v>
      </x:c>
      <x:c r="V3089" s="24" t="n">
        <x:f>IFERROR(F3089/J3089,0)-IFERROR(G3089/K3089,0)</x:f>
        <x:v>-0.16666666666666663</x:v>
      </x:c>
      <x:c r="W3089" s="28" t="n">
        <x:f>L3089-M3089</x:f>
        <x:v>6</x:v>
      </x:c>
      <x:c r="X3089" s="24" t="n">
        <x:f>IFERROR(K3089/I3089,0)</x:f>
        <x:v>0.5</x:v>
      </x:c>
      <x:c r="Y3089" s="24" t="n">
        <x:f>IFERROR(G3089/I3089,0)</x:f>
        <x:v>0.3333333333333333</x:v>
      </x:c>
      <x:c r="Z3089" s="24" t="n">
        <x:f>IFERROR(G3089/K3089,0)</x:f>
        <x:v>0.6666666666666666</x:v>
      </x:c>
      <x:c r="AA3089" s="24" t="n">
        <x:f>IFERROR(F3089/H3089,0)-IFERROR(G3089/I3089,0)</x:f>
        <x:v>-0.21794871794871792</x:v>
      </x:c>
      <x:c r="AB3089" s="28" t="n">
        <x:f>J3089-K3089</x:f>
        <x:v>3</x:v>
      </x:c>
      <x:c r="AC3089" s="32" t="n">
        <x:f>F3089-G3089</x:f>
        <x:v>1</x:v>
      </x:c>
    </x:row>
    <x:row r="3090">
      <x:c r="A3090" s="4" t="str">
        <x:v>2025-26</x:v>
      </x:c>
      <x:c r="B3090" s="20" t="n">
        <x:v>45899</x:v>
      </x:c>
      <x:c r="C3090" s="4" t="str">
        <x:v>Newcastle</x:v>
      </x:c>
      <x:c r="D3090" s="4" t="str">
        <x:v>Leeds</x:v>
      </x:c>
      <x:c r="E3090" s="4" t="str">
        <x:v>Away</x:v>
      </x:c>
      <x:c r="F3090" s="28" t="n">
        <x:v>0</x:v>
      </x:c>
      <x:c r="G3090" s="28" t="n">
        <x:v>0</x:v>
      </x:c>
      <x:c r="H3090" s="28" t="n">
        <x:v>8</x:v>
      </x:c>
      <x:c r="I3090" s="28" t="n">
        <x:v>10</x:v>
      </x:c>
      <x:c r="J3090" s="28" t="n">
        <x:v>2</x:v>
      </x:c>
      <x:c r="K3090" s="28" t="n">
        <x:v>1</x:v>
      </x:c>
      <x:c r="L3090" s="28" t="n">
        <x:v>5</x:v>
      </x:c>
      <x:c r="M3090" s="28" t="n">
        <x:v>5</x:v>
      </x:c>
      <x:c r="N3090" s="28" t="n">
        <x:v>1</x:v>
      </x:c>
      <x:c r="O3090" s="28" t="n">
        <x:v>0</x:v>
      </x:c>
      <x:c r="P3090" s="28" t="n">
        <x:v>1</x:v>
      </x:c>
      <x:c r="Q3090" s="24" t="n">
        <x:f>IFERROR(J3090/H3090,0)</x:f>
        <x:v>0.25</x:v>
      </x:c>
      <x:c r="R3090" s="24" t="n">
        <x:f>IFERROR(F3090/H3090,0)</x:f>
        <x:v>0</x:v>
      </x:c>
      <x:c r="S3090" s="24" t="n">
        <x:f>IFERROR(F3090/J3090,0)</x:f>
        <x:v>0</x:v>
      </x:c>
      <x:c r="T3090" s="28" t="n">
        <x:f>H3090-I3090</x:f>
        <x:v>-2</x:v>
      </x:c>
      <x:c r="U3090" s="24" t="n">
        <x:f>IFERROR(J3090/H3090,0)-IFERROR(K3090/I3090,0)</x:f>
        <x:v>0.15</x:v>
      </x:c>
      <x:c r="V3090" s="24" t="n">
        <x:f>IFERROR(F3090/J3090,0)-IFERROR(G3090/K3090,0)</x:f>
        <x:v>0</x:v>
      </x:c>
      <x:c r="W3090" s="28" t="n">
        <x:f>L3090-M3090</x:f>
        <x:v>0</x:v>
      </x:c>
      <x:c r="X3090" s="24" t="n">
        <x:f>IFERROR(K3090/I3090,0)</x:f>
        <x:v>0.1</x:v>
      </x:c>
      <x:c r="Y3090" s="24" t="n">
        <x:f>IFERROR(G3090/I3090,0)</x:f>
        <x:v>0</x:v>
      </x:c>
      <x:c r="Z3090" s="24" t="n">
        <x:f>IFERROR(G3090/K3090,0)</x:f>
        <x:v>0</x:v>
      </x:c>
      <x:c r="AA3090" s="24" t="n">
        <x:f>IFERROR(F3090/H3090,0)-IFERROR(G3090/I3090,0)</x:f>
        <x:v>0</x:v>
      </x:c>
      <x:c r="AB3090" s="28" t="n">
        <x:f>J3090-K3090</x:f>
        <x:v>1</x:v>
      </x:c>
      <x:c r="AC3090" s="32" t="n">
        <x:f>F3090-G3090</x:f>
        <x:v>0</x:v>
      </x:c>
    </x:row>
    <x:row r="3091">
      <x:c r="A3091" s="4" t="str">
        <x:v>2025-26</x:v>
      </x:c>
      <x:c r="B3091" s="20" t="n">
        <x:v>45899</x:v>
      </x:c>
      <x:c r="C3091" s="4" t="str">
        <x:v>Sunderland</x:v>
      </x:c>
      <x:c r="D3091" s="4" t="str">
        <x:v>Brentford</x:v>
      </x:c>
      <x:c r="E3091" s="4" t="str">
        <x:v>Home</x:v>
      </x:c>
      <x:c r="F3091" s="28" t="n">
        <x:v>2</x:v>
      </x:c>
      <x:c r="G3091" s="28" t="n">
        <x:v>1</x:v>
      </x:c>
      <x:c r="H3091" s="28" t="n">
        <x:v>12</x:v>
      </x:c>
      <x:c r="I3091" s="28" t="n">
        <x:v>7</x:v>
      </x:c>
      <x:c r="J3091" s="28" t="n">
        <x:v>3</x:v>
      </x:c>
      <x:c r="K3091" s="28" t="n">
        <x:v>4</x:v>
      </x:c>
      <x:c r="L3091" s="28" t="n">
        <x:v>3</x:v>
      </x:c>
      <x:c r="M3091" s="28" t="n">
        <x:v>4</x:v>
      </x:c>
      <x:c r="N3091" s="28" t="n">
        <x:v>3</x:v>
      </x:c>
      <x:c r="O3091" s="28" t="n">
        <x:v>0</x:v>
      </x:c>
      <x:c r="P3091" s="28" t="n">
        <x:v>3</x:v>
      </x:c>
      <x:c r="Q3091" s="24" t="n">
        <x:f>IFERROR(J3091/H3091,0)</x:f>
        <x:v>0.25</x:v>
      </x:c>
      <x:c r="R3091" s="24" t="n">
        <x:f>IFERROR(F3091/H3091,0)</x:f>
        <x:v>0.16666666666666666</x:v>
      </x:c>
      <x:c r="S3091" s="24" t="n">
        <x:f>IFERROR(F3091/J3091,0)</x:f>
        <x:v>0.6666666666666666</x:v>
      </x:c>
      <x:c r="T3091" s="28" t="n">
        <x:f>H3091-I3091</x:f>
        <x:v>5</x:v>
      </x:c>
      <x:c r="U3091" s="24" t="n">
        <x:f>IFERROR(J3091/H3091,0)-IFERROR(K3091/I3091,0)</x:f>
        <x:v>-0.3214285714285714</x:v>
      </x:c>
      <x:c r="V3091" s="24" t="n">
        <x:f>IFERROR(F3091/J3091,0)-IFERROR(G3091/K3091,0)</x:f>
        <x:v>0.41666666666666663</x:v>
      </x:c>
      <x:c r="W3091" s="28" t="n">
        <x:f>L3091-M3091</x:f>
        <x:v>-1</x:v>
      </x:c>
      <x:c r="X3091" s="24" t="n">
        <x:f>IFERROR(K3091/I3091,0)</x:f>
        <x:v>0.5714285714285714</x:v>
      </x:c>
      <x:c r="Y3091" s="24" t="n">
        <x:f>IFERROR(G3091/I3091,0)</x:f>
        <x:v>0.14285714285714285</x:v>
      </x:c>
      <x:c r="Z3091" s="24" t="n">
        <x:f>IFERROR(G3091/K3091,0)</x:f>
        <x:v>0.25</x:v>
      </x:c>
      <x:c r="AA3091" s="24" t="n">
        <x:f>IFERROR(F3091/H3091,0)-IFERROR(G3091/I3091,0)</x:f>
        <x:v>0.023809523809523808</x:v>
      </x:c>
      <x:c r="AB3091" s="28" t="n">
        <x:f>J3091-K3091</x:f>
        <x:v>-1</x:v>
      </x:c>
      <x:c r="AC3091" s="32" t="n">
        <x:f>F3091-G3091</x:f>
        <x:v>1</x:v>
      </x:c>
    </x:row>
    <x:row r="3092">
      <x:c r="A3092" s="4" t="str">
        <x:v>2025-26</x:v>
      </x:c>
      <x:c r="B3092" s="20" t="n">
        <x:v>45899</x:v>
      </x:c>
      <x:c r="C3092" s="4" t="str">
        <x:v>Tottenham</x:v>
      </x:c>
      <x:c r="D3092" s="4" t="str">
        <x:v>Bournemouth</x:v>
      </x:c>
      <x:c r="E3092" s="4" t="str">
        <x:v>Home</x:v>
      </x:c>
      <x:c r="F3092" s="28" t="n">
        <x:v>0</x:v>
      </x:c>
      <x:c r="G3092" s="28" t="n">
        <x:v>1</x:v>
      </x:c>
      <x:c r="H3092" s="28" t="n">
        <x:v>5</x:v>
      </x:c>
      <x:c r="I3092" s="28" t="n">
        <x:v>20</x:v>
      </x:c>
      <x:c r="J3092" s="28" t="n">
        <x:v>1</x:v>
      </x:c>
      <x:c r="K3092" s="28" t="n">
        <x:v>6</x:v>
      </x:c>
      <x:c r="L3092" s="28" t="n">
        <x:v>0</x:v>
      </x:c>
      <x:c r="M3092" s="28" t="n">
        <x:v>8</x:v>
      </x:c>
      <x:c r="N3092" s="28" t="n">
        <x:v>2</x:v>
      </x:c>
      <x:c r="O3092" s="28" t="n">
        <x:v>0</x:v>
      </x:c>
      <x:c r="P3092" s="28" t="n">
        <x:v>0</x:v>
      </x:c>
      <x:c r="Q3092" s="24" t="n">
        <x:f>IFERROR(J3092/H3092,0)</x:f>
        <x:v>0.2</x:v>
      </x:c>
      <x:c r="R3092" s="24" t="n">
        <x:f>IFERROR(F3092/H3092,0)</x:f>
        <x:v>0</x:v>
      </x:c>
      <x:c r="S3092" s="24" t="n">
        <x:f>IFERROR(F3092/J3092,0)</x:f>
        <x:v>0</x:v>
      </x:c>
      <x:c r="T3092" s="28" t="n">
        <x:f>H3092-I3092</x:f>
        <x:v>-15</x:v>
      </x:c>
      <x:c r="U3092" s="24" t="n">
        <x:f>IFERROR(J3092/H3092,0)-IFERROR(K3092/I3092,0)</x:f>
        <x:v>-0.09999999999999998</x:v>
      </x:c>
      <x:c r="V3092" s="24" t="n">
        <x:f>IFERROR(F3092/J3092,0)-IFERROR(G3092/K3092,0)</x:f>
        <x:v>-0.16666666666666666</x:v>
      </x:c>
      <x:c r="W3092" s="28" t="n">
        <x:f>L3092-M3092</x:f>
        <x:v>-8</x:v>
      </x:c>
      <x:c r="X3092" s="24" t="n">
        <x:f>IFERROR(K3092/I3092,0)</x:f>
        <x:v>0.3</x:v>
      </x:c>
      <x:c r="Y3092" s="24" t="n">
        <x:f>IFERROR(G3092/I3092,0)</x:f>
        <x:v>0.05</x:v>
      </x:c>
      <x:c r="Z3092" s="24" t="n">
        <x:f>IFERROR(G3092/K3092,0)</x:f>
        <x:v>0.16666666666666666</x:v>
      </x:c>
      <x:c r="AA3092" s="24" t="n">
        <x:f>IFERROR(F3092/H3092,0)-IFERROR(G3092/I3092,0)</x:f>
        <x:v>-0.05</x:v>
      </x:c>
      <x:c r="AB3092" s="28" t="n">
        <x:f>J3092-K3092</x:f>
        <x:v>-5</x:v>
      </x:c>
      <x:c r="AC3092" s="32" t="n">
        <x:f>F3092-G3092</x:f>
        <x:v>-1</x:v>
      </x:c>
    </x:row>
    <x:row r="3093">
      <x:c r="A3093" s="4" t="str">
        <x:v>2025-26</x:v>
      </x:c>
      <x:c r="B3093" s="20" t="n">
        <x:v>45899</x:v>
      </x:c>
      <x:c r="C3093" s="4" t="str">
        <x:v>Wolves</x:v>
      </x:c>
      <x:c r="D3093" s="4" t="str">
        <x:v>Everton</x:v>
      </x:c>
      <x:c r="E3093" s="4" t="str">
        <x:v>Home</x:v>
      </x:c>
      <x:c r="F3093" s="28" t="n">
        <x:v>2</x:v>
      </x:c>
      <x:c r="G3093" s="28" t="n">
        <x:v>3</x:v>
      </x:c>
      <x:c r="H3093" s="28" t="n">
        <x:v>12</x:v>
      </x:c>
      <x:c r="I3093" s="28" t="n">
        <x:v>10</x:v>
      </x:c>
      <x:c r="J3093" s="28" t="n">
        <x:v>4</x:v>
      </x:c>
      <x:c r="K3093" s="28" t="n">
        <x:v>4</x:v>
      </x:c>
      <x:c r="L3093" s="28" t="n">
        <x:v>2</x:v>
      </x:c>
      <x:c r="M3093" s="28" t="n">
        <x:v>2</x:v>
      </x:c>
      <x:c r="N3093" s="28" t="n">
        <x:v>0</x:v>
      </x:c>
      <x:c r="O3093" s="28" t="n">
        <x:v>0</x:v>
      </x:c>
      <x:c r="P3093" s="28" t="n">
        <x:v>0</x:v>
      </x:c>
      <x:c r="Q3093" s="24" t="n">
        <x:f>IFERROR(J3093/H3093,0)</x:f>
        <x:v>0.3333333333333333</x:v>
      </x:c>
      <x:c r="R3093" s="24" t="n">
        <x:f>IFERROR(F3093/H3093,0)</x:f>
        <x:v>0.16666666666666666</x:v>
      </x:c>
      <x:c r="S3093" s="24" t="n">
        <x:f>IFERROR(F3093/J3093,0)</x:f>
        <x:v>0.5</x:v>
      </x:c>
      <x:c r="T3093" s="28" t="n">
        <x:f>H3093-I3093</x:f>
        <x:v>2</x:v>
      </x:c>
      <x:c r="U3093" s="24" t="n">
        <x:f>IFERROR(J3093/H3093,0)-IFERROR(K3093/I3093,0)</x:f>
        <x:v>-0.06666666666666671</x:v>
      </x:c>
      <x:c r="V3093" s="24" t="n">
        <x:f>IFERROR(F3093/J3093,0)-IFERROR(G3093/K3093,0)</x:f>
        <x:v>-0.25</x:v>
      </x:c>
      <x:c r="W3093" s="28" t="n">
        <x:f>L3093-M3093</x:f>
        <x:v>0</x:v>
      </x:c>
      <x:c r="X3093" s="24" t="n">
        <x:f>IFERROR(K3093/I3093,0)</x:f>
        <x:v>0.4</x:v>
      </x:c>
      <x:c r="Y3093" s="24" t="n">
        <x:f>IFERROR(G3093/I3093,0)</x:f>
        <x:v>0.3</x:v>
      </x:c>
      <x:c r="Z3093" s="24" t="n">
        <x:f>IFERROR(G3093/K3093,0)</x:f>
        <x:v>0.75</x:v>
      </x:c>
      <x:c r="AA3093" s="24" t="n">
        <x:f>IFERROR(F3093/H3093,0)-IFERROR(G3093/I3093,0)</x:f>
        <x:v>-0.13333333333333333</x:v>
      </x:c>
      <x:c r="AB3093" s="28" t="n">
        <x:f>J3093-K3093</x:f>
        <x:v>0</x:v>
      </x:c>
      <x:c r="AC3093" s="32" t="n">
        <x:f>F3093-G3093</x:f>
        <x:v>-1</x:v>
      </x:c>
    </x:row>
    <x:row r="3094">
      <x:c r="A3094" s="4" t="str">
        <x:v>2025-26</x:v>
      </x:c>
      <x:c r="B3094" s="20" t="n">
        <x:v>45900</x:v>
      </x:c>
      <x:c r="C3094" s="4" t="str">
        <x:v>Arsenal</x:v>
      </x:c>
      <x:c r="D3094" s="4" t="str">
        <x:v>Liverpool</x:v>
      </x:c>
      <x:c r="E3094" s="4" t="str">
        <x:v>Away</x:v>
      </x:c>
      <x:c r="F3094" s="28" t="n">
        <x:v>0</x:v>
      </x:c>
      <x:c r="G3094" s="28" t="n">
        <x:v>1</x:v>
      </x:c>
      <x:c r="H3094" s="28" t="n">
        <x:v>11</x:v>
      </x:c>
      <x:c r="I3094" s="28" t="n">
        <x:v>9</x:v>
      </x:c>
      <x:c r="J3094" s="28" t="n">
        <x:v>1</x:v>
      </x:c>
      <x:c r="K3094" s="28" t="n">
        <x:v>3</x:v>
      </x:c>
      <x:c r="L3094" s="28" t="n">
        <x:v>8</x:v>
      </x:c>
      <x:c r="M3094" s="28" t="n">
        <x:v>3</x:v>
      </x:c>
      <x:c r="N3094" s="28" t="n">
        <x:v>2</x:v>
      </x:c>
      <x:c r="O3094" s="28" t="n">
        <x:v>0</x:v>
      </x:c>
      <x:c r="P3094" s="28" t="n">
        <x:v>0</x:v>
      </x:c>
      <x:c r="Q3094" s="24" t="n">
        <x:f>IFERROR(J3094/H3094,0)</x:f>
        <x:v>0.09090909090909091</x:v>
      </x:c>
      <x:c r="R3094" s="24" t="n">
        <x:f>IFERROR(F3094/H3094,0)</x:f>
        <x:v>0</x:v>
      </x:c>
      <x:c r="S3094" s="24" t="n">
        <x:f>IFERROR(F3094/J3094,0)</x:f>
        <x:v>0</x:v>
      </x:c>
      <x:c r="T3094" s="28" t="n">
        <x:f>H3094-I3094</x:f>
        <x:v>2</x:v>
      </x:c>
      <x:c r="U3094" s="24" t="n">
        <x:f>IFERROR(J3094/H3094,0)-IFERROR(K3094/I3094,0)</x:f>
        <x:v>-0.2424242424242424</x:v>
      </x:c>
      <x:c r="V3094" s="24" t="n">
        <x:f>IFERROR(F3094/J3094,0)-IFERROR(G3094/K3094,0)</x:f>
        <x:v>-0.3333333333333333</x:v>
      </x:c>
      <x:c r="W3094" s="28" t="n">
        <x:f>L3094-M3094</x:f>
        <x:v>5</x:v>
      </x:c>
      <x:c r="X3094" s="24" t="n">
        <x:f>IFERROR(K3094/I3094,0)</x:f>
        <x:v>0.3333333333333333</x:v>
      </x:c>
      <x:c r="Y3094" s="24" t="n">
        <x:f>IFERROR(G3094/I3094,0)</x:f>
        <x:v>0.1111111111111111</x:v>
      </x:c>
      <x:c r="Z3094" s="24" t="n">
        <x:f>IFERROR(G3094/K3094,0)</x:f>
        <x:v>0.3333333333333333</x:v>
      </x:c>
      <x:c r="AA3094" s="24" t="n">
        <x:f>IFERROR(F3094/H3094,0)-IFERROR(G3094/I3094,0)</x:f>
        <x:v>-0.1111111111111111</x:v>
      </x:c>
      <x:c r="AB3094" s="28" t="n">
        <x:f>J3094-K3094</x:f>
        <x:v>-2</x:v>
      </x:c>
      <x:c r="AC3094" s="32" t="n">
        <x:f>F3094-G3094</x:f>
        <x:v>-1</x:v>
      </x:c>
    </x:row>
    <x:row r="3095">
      <x:c r="A3095" s="4" t="str">
        <x:v>2025-26</x:v>
      </x:c>
      <x:c r="B3095" s="20" t="n">
        <x:v>45900</x:v>
      </x:c>
      <x:c r="C3095" s="4" t="str">
        <x:v>Aston Villa</x:v>
      </x:c>
      <x:c r="D3095" s="4" t="str">
        <x:v>Crystal Palace</x:v>
      </x:c>
      <x:c r="E3095" s="4" t="str">
        <x:v>Home</x:v>
      </x:c>
      <x:c r="F3095" s="28" t="n">
        <x:v>0</x:v>
      </x:c>
      <x:c r="G3095" s="28" t="n">
        <x:v>3</x:v>
      </x:c>
      <x:c r="H3095" s="28" t="n">
        <x:v>13</x:v>
      </x:c>
      <x:c r="I3095" s="28" t="n">
        <x:v>6</x:v>
      </x:c>
      <x:c r="J3095" s="28" t="n">
        <x:v>4</x:v>
      </x:c>
      <x:c r="K3095" s="28" t="n">
        <x:v>4</x:v>
      </x:c>
      <x:c r="L3095" s="28" t="n">
        <x:v>10</x:v>
      </x:c>
      <x:c r="M3095" s="28" t="n">
        <x:v>1</x:v>
      </x:c>
      <x:c r="N3095" s="28" t="n">
        <x:v>2</x:v>
      </x:c>
      <x:c r="O3095" s="28" t="n">
        <x:v>0</x:v>
      </x:c>
      <x:c r="P3095" s="28" t="n">
        <x:v>0</x:v>
      </x:c>
      <x:c r="Q3095" s="24" t="n">
        <x:f>IFERROR(J3095/H3095,0)</x:f>
        <x:v>0.3076923076923077</x:v>
      </x:c>
      <x:c r="R3095" s="24" t="n">
        <x:f>IFERROR(F3095/H3095,0)</x:f>
        <x:v>0</x:v>
      </x:c>
      <x:c r="S3095" s="24" t="n">
        <x:f>IFERROR(F3095/J3095,0)</x:f>
        <x:v>0</x:v>
      </x:c>
      <x:c r="T3095" s="28" t="n">
        <x:f>H3095-I3095</x:f>
        <x:v>7</x:v>
      </x:c>
      <x:c r="U3095" s="24" t="n">
        <x:f>IFERROR(J3095/H3095,0)-IFERROR(K3095/I3095,0)</x:f>
        <x:v>-0.3589743589743589</x:v>
      </x:c>
      <x:c r="V3095" s="24" t="n">
        <x:f>IFERROR(F3095/J3095,0)-IFERROR(G3095/K3095,0)</x:f>
        <x:v>-0.75</x:v>
      </x:c>
      <x:c r="W3095" s="28" t="n">
        <x:f>L3095-M3095</x:f>
        <x:v>9</x:v>
      </x:c>
      <x:c r="X3095" s="24" t="n">
        <x:f>IFERROR(K3095/I3095,0)</x:f>
        <x:v>0.6666666666666666</x:v>
      </x:c>
      <x:c r="Y3095" s="24" t="n">
        <x:f>IFERROR(G3095/I3095,0)</x:f>
        <x:v>0.5</x:v>
      </x:c>
      <x:c r="Z3095" s="24" t="n">
        <x:f>IFERROR(G3095/K3095,0)</x:f>
        <x:v>0.75</x:v>
      </x:c>
      <x:c r="AA3095" s="24" t="n">
        <x:f>IFERROR(F3095/H3095,0)-IFERROR(G3095/I3095,0)</x:f>
        <x:v>-0.5</x:v>
      </x:c>
      <x:c r="AB3095" s="28" t="n">
        <x:f>J3095-K3095</x:f>
        <x:v>0</x:v>
      </x:c>
      <x:c r="AC3095" s="32" t="n">
        <x:f>F3095-G3095</x:f>
        <x:v>-3</x:v>
      </x:c>
    </x:row>
    <x:row r="3096">
      <x:c r="A3096" s="4" t="str">
        <x:v>2025-26</x:v>
      </x:c>
      <x:c r="B3096" s="20" t="n">
        <x:v>45900</x:v>
      </x:c>
      <x:c r="C3096" s="4" t="str">
        <x:v>Brighton</x:v>
      </x:c>
      <x:c r="D3096" s="4" t="str">
        <x:v>Man City</x:v>
      </x:c>
      <x:c r="E3096" s="4" t="str">
        <x:v>Home</x:v>
      </x:c>
      <x:c r="F3096" s="28" t="n">
        <x:v>2</x:v>
      </x:c>
      <x:c r="G3096" s="28" t="n">
        <x:v>1</x:v>
      </x:c>
      <x:c r="H3096" s="28" t="n">
        <x:v>12</x:v>
      </x:c>
      <x:c r="I3096" s="28" t="n">
        <x:v>12</x:v>
      </x:c>
      <x:c r="J3096" s="28" t="n">
        <x:v>7</x:v>
      </x:c>
      <x:c r="K3096" s="28" t="n">
        <x:v>3</x:v>
      </x:c>
      <x:c r="L3096" s="28" t="n">
        <x:v>3</x:v>
      </x:c>
      <x:c r="M3096" s="28" t="n">
        <x:v>2</x:v>
      </x:c>
      <x:c r="N3096" s="28" t="n">
        <x:v>2</x:v>
      </x:c>
      <x:c r="O3096" s="28" t="n">
        <x:v>0</x:v>
      </x:c>
      <x:c r="P3096" s="28" t="n">
        <x:v>3</x:v>
      </x:c>
      <x:c r="Q3096" s="24" t="n">
        <x:f>IFERROR(J3096/H3096,0)</x:f>
        <x:v>0.5833333333333334</x:v>
      </x:c>
      <x:c r="R3096" s="24" t="n">
        <x:f>IFERROR(F3096/H3096,0)</x:f>
        <x:v>0.16666666666666666</x:v>
      </x:c>
      <x:c r="S3096" s="24" t="n">
        <x:f>IFERROR(F3096/J3096,0)</x:f>
        <x:v>0.2857142857142857</x:v>
      </x:c>
      <x:c r="T3096" s="28" t="n">
        <x:f>H3096-I3096</x:f>
        <x:v>0</x:v>
      </x:c>
      <x:c r="U3096" s="24" t="n">
        <x:f>IFERROR(J3096/H3096,0)-IFERROR(K3096/I3096,0)</x:f>
        <x:v>0.33333333333333337</x:v>
      </x:c>
      <x:c r="V3096" s="24" t="n">
        <x:f>IFERROR(F3096/J3096,0)-IFERROR(G3096/K3096,0)</x:f>
        <x:v>-0.047619047619047616</x:v>
      </x:c>
      <x:c r="W3096" s="28" t="n">
        <x:f>L3096-M3096</x:f>
        <x:v>1</x:v>
      </x:c>
      <x:c r="X3096" s="24" t="n">
        <x:f>IFERROR(K3096/I3096,0)</x:f>
        <x:v>0.25</x:v>
      </x:c>
      <x:c r="Y3096" s="24" t="n">
        <x:f>IFERROR(G3096/I3096,0)</x:f>
        <x:v>0.08333333333333333</x:v>
      </x:c>
      <x:c r="Z3096" s="24" t="n">
        <x:f>IFERROR(G3096/K3096,0)</x:f>
        <x:v>0.3333333333333333</x:v>
      </x:c>
      <x:c r="AA3096" s="24" t="n">
        <x:f>IFERROR(F3096/H3096,0)-IFERROR(G3096/I3096,0)</x:f>
        <x:v>0.08333333333333333</x:v>
      </x:c>
      <x:c r="AB3096" s="28" t="n">
        <x:f>J3096-K3096</x:f>
        <x:v>4</x:v>
      </x:c>
      <x:c r="AC3096" s="32" t="n">
        <x:f>F3096-G3096</x:f>
        <x:v>1</x:v>
      </x:c>
    </x:row>
    <x:row r="3097">
      <x:c r="A3097" s="4" t="str">
        <x:v>2025-26</x:v>
      </x:c>
      <x:c r="B3097" s="20" t="n">
        <x:v>45900</x:v>
      </x:c>
      <x:c r="C3097" s="4" t="str">
        <x:v>Crystal Palace</x:v>
      </x:c>
      <x:c r="D3097" s="4" t="str">
        <x:v>Aston Villa</x:v>
      </x:c>
      <x:c r="E3097" s="4" t="str">
        <x:v>Away</x:v>
      </x:c>
      <x:c r="F3097" s="28" t="n">
        <x:v>3</x:v>
      </x:c>
      <x:c r="G3097" s="28" t="n">
        <x:v>0</x:v>
      </x:c>
      <x:c r="H3097" s="28" t="n">
        <x:v>6</x:v>
      </x:c>
      <x:c r="I3097" s="28" t="n">
        <x:v>13</x:v>
      </x:c>
      <x:c r="J3097" s="28" t="n">
        <x:v>4</x:v>
      </x:c>
      <x:c r="K3097" s="28" t="n">
        <x:v>4</x:v>
      </x:c>
      <x:c r="L3097" s="28" t="n">
        <x:v>1</x:v>
      </x:c>
      <x:c r="M3097" s="28" t="n">
        <x:v>10</x:v>
      </x:c>
      <x:c r="N3097" s="28" t="n">
        <x:v>3</x:v>
      </x:c>
      <x:c r="O3097" s="28" t="n">
        <x:v>0</x:v>
      </x:c>
      <x:c r="P3097" s="28" t="n">
        <x:v>3</x:v>
      </x:c>
      <x:c r="Q3097" s="24" t="n">
        <x:f>IFERROR(J3097/H3097,0)</x:f>
        <x:v>0.6666666666666666</x:v>
      </x:c>
      <x:c r="R3097" s="24" t="n">
        <x:f>IFERROR(F3097/H3097,0)</x:f>
        <x:v>0.5</x:v>
      </x:c>
      <x:c r="S3097" s="24" t="n">
        <x:f>IFERROR(F3097/J3097,0)</x:f>
        <x:v>0.75</x:v>
      </x:c>
      <x:c r="T3097" s="28" t="n">
        <x:f>H3097-I3097</x:f>
        <x:v>-7</x:v>
      </x:c>
      <x:c r="U3097" s="24" t="n">
        <x:f>IFERROR(J3097/H3097,0)-IFERROR(K3097/I3097,0)</x:f>
        <x:v>0.3589743589743589</x:v>
      </x:c>
      <x:c r="V3097" s="24" t="n">
        <x:f>IFERROR(F3097/J3097,0)-IFERROR(G3097/K3097,0)</x:f>
        <x:v>0.75</x:v>
      </x:c>
      <x:c r="W3097" s="28" t="n">
        <x:f>L3097-M3097</x:f>
        <x:v>-9</x:v>
      </x:c>
      <x:c r="X3097" s="24" t="n">
        <x:f>IFERROR(K3097/I3097,0)</x:f>
        <x:v>0.3076923076923077</x:v>
      </x:c>
      <x:c r="Y3097" s="24" t="n">
        <x:f>IFERROR(G3097/I3097,0)</x:f>
        <x:v>0</x:v>
      </x:c>
      <x:c r="Z3097" s="24" t="n">
        <x:f>IFERROR(G3097/K3097,0)</x:f>
        <x:v>0</x:v>
      </x:c>
      <x:c r="AA3097" s="24" t="n">
        <x:f>IFERROR(F3097/H3097,0)-IFERROR(G3097/I3097,0)</x:f>
        <x:v>0.5</x:v>
      </x:c>
      <x:c r="AB3097" s="28" t="n">
        <x:f>J3097-K3097</x:f>
        <x:v>0</x:v>
      </x:c>
      <x:c r="AC3097" s="32" t="n">
        <x:f>F3097-G3097</x:f>
        <x:v>3</x:v>
      </x:c>
    </x:row>
    <x:row r="3098">
      <x:c r="A3098" s="4" t="str">
        <x:v>2025-26</x:v>
      </x:c>
      <x:c r="B3098" s="20" t="n">
        <x:v>45900</x:v>
      </x:c>
      <x:c r="C3098" s="4" t="str">
        <x:v>Liverpool</x:v>
      </x:c>
      <x:c r="D3098" s="4" t="str">
        <x:v>Arsenal</x:v>
      </x:c>
      <x:c r="E3098" s="4" t="str">
        <x:v>Home</x:v>
      </x:c>
      <x:c r="F3098" s="28" t="n">
        <x:v>1</x:v>
      </x:c>
      <x:c r="G3098" s="28" t="n">
        <x:v>0</x:v>
      </x:c>
      <x:c r="H3098" s="28" t="n">
        <x:v>9</x:v>
      </x:c>
      <x:c r="I3098" s="28" t="n">
        <x:v>11</x:v>
      </x:c>
      <x:c r="J3098" s="28" t="n">
        <x:v>3</x:v>
      </x:c>
      <x:c r="K3098" s="28" t="n">
        <x:v>1</x:v>
      </x:c>
      <x:c r="L3098" s="28" t="n">
        <x:v>3</x:v>
      </x:c>
      <x:c r="M3098" s="28" t="n">
        <x:v>8</x:v>
      </x:c>
      <x:c r="N3098" s="28" t="n">
        <x:v>2</x:v>
      </x:c>
      <x:c r="O3098" s="28" t="n">
        <x:v>0</x:v>
      </x:c>
      <x:c r="P3098" s="28" t="n">
        <x:v>3</x:v>
      </x:c>
      <x:c r="Q3098" s="24" t="n">
        <x:f>IFERROR(J3098/H3098,0)</x:f>
        <x:v>0.3333333333333333</x:v>
      </x:c>
      <x:c r="R3098" s="24" t="n">
        <x:f>IFERROR(F3098/H3098,0)</x:f>
        <x:v>0.1111111111111111</x:v>
      </x:c>
      <x:c r="S3098" s="24" t="n">
        <x:f>IFERROR(F3098/J3098,0)</x:f>
        <x:v>0.3333333333333333</x:v>
      </x:c>
      <x:c r="T3098" s="28" t="n">
        <x:f>H3098-I3098</x:f>
        <x:v>-2</x:v>
      </x:c>
      <x:c r="U3098" s="24" t="n">
        <x:f>IFERROR(J3098/H3098,0)-IFERROR(K3098/I3098,0)</x:f>
        <x:v>0.2424242424242424</x:v>
      </x:c>
      <x:c r="V3098" s="24" t="n">
        <x:f>IFERROR(F3098/J3098,0)-IFERROR(G3098/K3098,0)</x:f>
        <x:v>0.3333333333333333</x:v>
      </x:c>
      <x:c r="W3098" s="28" t="n">
        <x:f>L3098-M3098</x:f>
        <x:v>-5</x:v>
      </x:c>
      <x:c r="X3098" s="24" t="n">
        <x:f>IFERROR(K3098/I3098,0)</x:f>
        <x:v>0.09090909090909091</x:v>
      </x:c>
      <x:c r="Y3098" s="24" t="n">
        <x:f>IFERROR(G3098/I3098,0)</x:f>
        <x:v>0</x:v>
      </x:c>
      <x:c r="Z3098" s="24" t="n">
        <x:f>IFERROR(G3098/K3098,0)</x:f>
        <x:v>0</x:v>
      </x:c>
      <x:c r="AA3098" s="24" t="n">
        <x:f>IFERROR(F3098/H3098,0)-IFERROR(G3098/I3098,0)</x:f>
        <x:v>0.1111111111111111</x:v>
      </x:c>
      <x:c r="AB3098" s="28" t="n">
        <x:f>J3098-K3098</x:f>
        <x:v>2</x:v>
      </x:c>
      <x:c r="AC3098" s="32" t="n">
        <x:f>F3098-G3098</x:f>
        <x:v>1</x:v>
      </x:c>
    </x:row>
    <x:row r="3099">
      <x:c r="A3099" s="4" t="str">
        <x:v>2025-26</x:v>
      </x:c>
      <x:c r="B3099" s="20" t="n">
        <x:v>45900</x:v>
      </x:c>
      <x:c r="C3099" s="4" t="str">
        <x:v>Man City</x:v>
      </x:c>
      <x:c r="D3099" s="4" t="str">
        <x:v>Brighton</x:v>
      </x:c>
      <x:c r="E3099" s="4" t="str">
        <x:v>Away</x:v>
      </x:c>
      <x:c r="F3099" s="28" t="n">
        <x:v>1</x:v>
      </x:c>
      <x:c r="G3099" s="28" t="n">
        <x:v>2</x:v>
      </x:c>
      <x:c r="H3099" s="28" t="n">
        <x:v>12</x:v>
      </x:c>
      <x:c r="I3099" s="28" t="n">
        <x:v>12</x:v>
      </x:c>
      <x:c r="J3099" s="28" t="n">
        <x:v>3</x:v>
      </x:c>
      <x:c r="K3099" s="28" t="n">
        <x:v>7</x:v>
      </x:c>
      <x:c r="L3099" s="28" t="n">
        <x:v>2</x:v>
      </x:c>
      <x:c r="M3099" s="28" t="n">
        <x:v>3</x:v>
      </x:c>
      <x:c r="N3099" s="28" t="n">
        <x:v>2</x:v>
      </x:c>
      <x:c r="O3099" s="28" t="n">
        <x:v>0</x:v>
      </x:c>
      <x:c r="P3099" s="28" t="n">
        <x:v>0</x:v>
      </x:c>
      <x:c r="Q3099" s="24" t="n">
        <x:f>IFERROR(J3099/H3099,0)</x:f>
        <x:v>0.25</x:v>
      </x:c>
      <x:c r="R3099" s="24" t="n">
        <x:f>IFERROR(F3099/H3099,0)</x:f>
        <x:v>0.08333333333333333</x:v>
      </x:c>
      <x:c r="S3099" s="24" t="n">
        <x:f>IFERROR(F3099/J3099,0)</x:f>
        <x:v>0.3333333333333333</x:v>
      </x:c>
      <x:c r="T3099" s="28" t="n">
        <x:f>H3099-I3099</x:f>
        <x:v>0</x:v>
      </x:c>
      <x:c r="U3099" s="24" t="n">
        <x:f>IFERROR(J3099/H3099,0)-IFERROR(K3099/I3099,0)</x:f>
        <x:v>-0.33333333333333337</x:v>
      </x:c>
      <x:c r="V3099" s="24" t="n">
        <x:f>IFERROR(F3099/J3099,0)-IFERROR(G3099/K3099,0)</x:f>
        <x:v>0.047619047619047616</x:v>
      </x:c>
      <x:c r="W3099" s="28" t="n">
        <x:f>L3099-M3099</x:f>
        <x:v>-1</x:v>
      </x:c>
      <x:c r="X3099" s="24" t="n">
        <x:f>IFERROR(K3099/I3099,0)</x:f>
        <x:v>0.5833333333333334</x:v>
      </x:c>
      <x:c r="Y3099" s="24" t="n">
        <x:f>IFERROR(G3099/I3099,0)</x:f>
        <x:v>0.16666666666666666</x:v>
      </x:c>
      <x:c r="Z3099" s="24" t="n">
        <x:f>IFERROR(G3099/K3099,0)</x:f>
        <x:v>0.2857142857142857</x:v>
      </x:c>
      <x:c r="AA3099" s="24" t="n">
        <x:f>IFERROR(F3099/H3099,0)-IFERROR(G3099/I3099,0)</x:f>
        <x:v>-0.08333333333333333</x:v>
      </x:c>
      <x:c r="AB3099" s="28" t="n">
        <x:f>J3099-K3099</x:f>
        <x:v>-4</x:v>
      </x:c>
      <x:c r="AC3099" s="32" t="n">
        <x:f>F3099-G3099</x:f>
        <x:v>-1</x:v>
      </x:c>
    </x:row>
    <x:row r="3100">
      <x:c r="A3100" s="4" t="str">
        <x:v>2025-26</x:v>
      </x:c>
      <x:c r="B3100" s="20" t="n">
        <x:v>45900</x:v>
      </x:c>
      <x:c r="C3100" s="4" t="str">
        <x:v>Nott'm Forest</x:v>
      </x:c>
      <x:c r="D3100" s="4" t="str">
        <x:v>West Ham</x:v>
      </x:c>
      <x:c r="E3100" s="4" t="str">
        <x:v>Home</x:v>
      </x:c>
      <x:c r="F3100" s="28" t="n">
        <x:v>0</x:v>
      </x:c>
      <x:c r="G3100" s="28" t="n">
        <x:v>3</x:v>
      </x:c>
      <x:c r="H3100" s="28" t="n">
        <x:v>11</x:v>
      </x:c>
      <x:c r="I3100" s="28" t="n">
        <x:v>12</x:v>
      </x:c>
      <x:c r="J3100" s="28" t="n">
        <x:v>3</x:v>
      </x:c>
      <x:c r="K3100" s="28" t="n">
        <x:v>8</x:v>
      </x:c>
      <x:c r="L3100" s="28" t="n">
        <x:v>9</x:v>
      </x:c>
      <x:c r="M3100" s="28" t="n">
        <x:v>7</x:v>
      </x:c>
      <x:c r="N3100" s="28" t="n">
        <x:v>0</x:v>
      </x:c>
      <x:c r="O3100" s="28" t="n">
        <x:v>0</x:v>
      </x:c>
      <x:c r="P3100" s="28" t="n">
        <x:v>0</x:v>
      </x:c>
      <x:c r="Q3100" s="24" t="n">
        <x:f>IFERROR(J3100/H3100,0)</x:f>
        <x:v>0.2727272727272727</x:v>
      </x:c>
      <x:c r="R3100" s="24" t="n">
        <x:f>IFERROR(F3100/H3100,0)</x:f>
        <x:v>0</x:v>
      </x:c>
      <x:c r="S3100" s="24" t="n">
        <x:f>IFERROR(F3100/J3100,0)</x:f>
        <x:v>0</x:v>
      </x:c>
      <x:c r="T3100" s="28" t="n">
        <x:f>H3100-I3100</x:f>
        <x:v>-1</x:v>
      </x:c>
      <x:c r="U3100" s="24" t="n">
        <x:f>IFERROR(J3100/H3100,0)-IFERROR(K3100/I3100,0)</x:f>
        <x:v>-0.3939393939393939</x:v>
      </x:c>
      <x:c r="V3100" s="24" t="n">
        <x:f>IFERROR(F3100/J3100,0)-IFERROR(G3100/K3100,0)</x:f>
        <x:v>-0.375</x:v>
      </x:c>
      <x:c r="W3100" s="28" t="n">
        <x:f>L3100-M3100</x:f>
        <x:v>2</x:v>
      </x:c>
      <x:c r="X3100" s="24" t="n">
        <x:f>IFERROR(K3100/I3100,0)</x:f>
        <x:v>0.6666666666666666</x:v>
      </x:c>
      <x:c r="Y3100" s="24" t="n">
        <x:f>IFERROR(G3100/I3100,0)</x:f>
        <x:v>0.25</x:v>
      </x:c>
      <x:c r="Z3100" s="24" t="n">
        <x:f>IFERROR(G3100/K3100,0)</x:f>
        <x:v>0.375</x:v>
      </x:c>
      <x:c r="AA3100" s="24" t="n">
        <x:f>IFERROR(F3100/H3100,0)-IFERROR(G3100/I3100,0)</x:f>
        <x:v>-0.25</x:v>
      </x:c>
      <x:c r="AB3100" s="28" t="n">
        <x:f>J3100-K3100</x:f>
        <x:v>-5</x:v>
      </x:c>
      <x:c r="AC3100" s="32" t="n">
        <x:f>F3100-G3100</x:f>
        <x:v>-3</x:v>
      </x:c>
    </x:row>
    <x:row r="3101">
      <x:c r="A3101" s="4" t="str">
        <x:v>2025-26</x:v>
      </x:c>
      <x:c r="B3101" s="20" t="n">
        <x:v>45900</x:v>
      </x:c>
      <x:c r="C3101" s="4" t="str">
        <x:v>West Ham</x:v>
      </x:c>
      <x:c r="D3101" s="4" t="str">
        <x:v>Nott'm Forest</x:v>
      </x:c>
      <x:c r="E3101" s="4" t="str">
        <x:v>Away</x:v>
      </x:c>
      <x:c r="F3101" s="28" t="n">
        <x:v>3</x:v>
      </x:c>
      <x:c r="G3101" s="28" t="n">
        <x:v>0</x:v>
      </x:c>
      <x:c r="H3101" s="28" t="n">
        <x:v>12</x:v>
      </x:c>
      <x:c r="I3101" s="28" t="n">
        <x:v>11</x:v>
      </x:c>
      <x:c r="J3101" s="28" t="n">
        <x:v>8</x:v>
      </x:c>
      <x:c r="K3101" s="28" t="n">
        <x:v>3</x:v>
      </x:c>
      <x:c r="L3101" s="28" t="n">
        <x:v>7</x:v>
      </x:c>
      <x:c r="M3101" s="28" t="n">
        <x:v>9</x:v>
      </x:c>
      <x:c r="N3101" s="28" t="n">
        <x:v>0</x:v>
      </x:c>
      <x:c r="O3101" s="28" t="n">
        <x:v>0</x:v>
      </x:c>
      <x:c r="P3101" s="28" t="n">
        <x:v>3</x:v>
      </x:c>
      <x:c r="Q3101" s="24" t="n">
        <x:f>IFERROR(J3101/H3101,0)</x:f>
        <x:v>0.6666666666666666</x:v>
      </x:c>
      <x:c r="R3101" s="24" t="n">
        <x:f>IFERROR(F3101/H3101,0)</x:f>
        <x:v>0.25</x:v>
      </x:c>
      <x:c r="S3101" s="24" t="n">
        <x:f>IFERROR(F3101/J3101,0)</x:f>
        <x:v>0.375</x:v>
      </x:c>
      <x:c r="T3101" s="28" t="n">
        <x:f>H3101-I3101</x:f>
        <x:v>1</x:v>
      </x:c>
      <x:c r="U3101" s="24" t="n">
        <x:f>IFERROR(J3101/H3101,0)-IFERROR(K3101/I3101,0)</x:f>
        <x:v>0.3939393939393939</x:v>
      </x:c>
      <x:c r="V3101" s="24" t="n">
        <x:f>IFERROR(F3101/J3101,0)-IFERROR(G3101/K3101,0)</x:f>
        <x:v>0.375</x:v>
      </x:c>
      <x:c r="W3101" s="28" t="n">
        <x:f>L3101-M3101</x:f>
        <x:v>-2</x:v>
      </x:c>
      <x:c r="X3101" s="24" t="n">
        <x:f>IFERROR(K3101/I3101,0)</x:f>
        <x:v>0.2727272727272727</x:v>
      </x:c>
      <x:c r="Y3101" s="24" t="n">
        <x:f>IFERROR(G3101/I3101,0)</x:f>
        <x:v>0</x:v>
      </x:c>
      <x:c r="Z3101" s="24" t="n">
        <x:f>IFERROR(G3101/K3101,0)</x:f>
        <x:v>0</x:v>
      </x:c>
      <x:c r="AA3101" s="24" t="n">
        <x:f>IFERROR(F3101/H3101,0)-IFERROR(G3101/I3101,0)</x:f>
        <x:v>0.25</x:v>
      </x:c>
      <x:c r="AB3101" s="28" t="n">
        <x:f>J3101-K3101</x:f>
        <x:v>5</x:v>
      </x:c>
      <x:c r="AC3101" s="32" t="n">
        <x:f>F3101-G3101</x:f>
        <x:v>3</x:v>
      </x:c>
    </x:row>
    <x:row r="3102">
      <x:c r="A3102" s="4" t="str">
        <x:v>2025-26</x:v>
      </x:c>
      <x:c r="B3102" s="20" t="n">
        <x:v>45913</x:v>
      </x:c>
      <x:c r="C3102" s="4" t="str">
        <x:v>Arsenal</x:v>
      </x:c>
      <x:c r="D3102" s="4" t="str">
        <x:v>Nott'm Forest</x:v>
      </x:c>
      <x:c r="E3102" s="4" t="str">
        <x:v>Home</x:v>
      </x:c>
      <x:c r="F3102" s="28" t="n">
        <x:v>3</x:v>
      </x:c>
      <x:c r="G3102" s="28" t="n">
        <x:v>0</x:v>
      </x:c>
      <x:c r="H3102" s="28" t="n">
        <x:v>16</x:v>
      </x:c>
      <x:c r="I3102" s="28" t="n">
        <x:v>5</x:v>
      </x:c>
      <x:c r="J3102" s="28" t="n">
        <x:v>5</x:v>
      </x:c>
      <x:c r="K3102" s="28" t="n">
        <x:v>1</x:v>
      </x:c>
      <x:c r="L3102" s="28" t="n">
        <x:v>8</x:v>
      </x:c>
      <x:c r="M3102" s="28" t="n">
        <x:v>4</x:v>
      </x:c>
      <x:c r="N3102" s="28" t="n">
        <x:v>1</x:v>
      </x:c>
      <x:c r="O3102" s="28" t="n">
        <x:v>0</x:v>
      </x:c>
      <x:c r="P3102" s="28" t="n">
        <x:v>3</x:v>
      </x:c>
      <x:c r="Q3102" s="24" t="n">
        <x:f>IFERROR(J3102/H3102,0)</x:f>
        <x:v>0.3125</x:v>
      </x:c>
      <x:c r="R3102" s="24" t="n">
        <x:f>IFERROR(F3102/H3102,0)</x:f>
        <x:v>0.1875</x:v>
      </x:c>
      <x:c r="S3102" s="24" t="n">
        <x:f>IFERROR(F3102/J3102,0)</x:f>
        <x:v>0.6</x:v>
      </x:c>
      <x:c r="T3102" s="28" t="n">
        <x:f>H3102-I3102</x:f>
        <x:v>11</x:v>
      </x:c>
      <x:c r="U3102" s="24" t="n">
        <x:f>IFERROR(J3102/H3102,0)-IFERROR(K3102/I3102,0)</x:f>
        <x:v>0.11249999999999999</x:v>
      </x:c>
      <x:c r="V3102" s="24" t="n">
        <x:f>IFERROR(F3102/J3102,0)-IFERROR(G3102/K3102,0)</x:f>
        <x:v>0.6</x:v>
      </x:c>
      <x:c r="W3102" s="28" t="n">
        <x:f>L3102-M3102</x:f>
        <x:v>4</x:v>
      </x:c>
      <x:c r="X3102" s="24" t="n">
        <x:f>IFERROR(K3102/I3102,0)</x:f>
        <x:v>0.2</x:v>
      </x:c>
      <x:c r="Y3102" s="24" t="n">
        <x:f>IFERROR(G3102/I3102,0)</x:f>
        <x:v>0</x:v>
      </x:c>
      <x:c r="Z3102" s="24" t="n">
        <x:f>IFERROR(G3102/K3102,0)</x:f>
        <x:v>0</x:v>
      </x:c>
      <x:c r="AA3102" s="24" t="n">
        <x:f>IFERROR(F3102/H3102,0)-IFERROR(G3102/I3102,0)</x:f>
        <x:v>0.1875</x:v>
      </x:c>
      <x:c r="AB3102" s="28" t="n">
        <x:f>J3102-K3102</x:f>
        <x:v>4</x:v>
      </x:c>
      <x:c r="AC3102" s="32" t="n">
        <x:f>F3102-G3102</x:f>
        <x:v>3</x:v>
      </x:c>
    </x:row>
    <x:row r="3103">
      <x:c r="A3103" s="4" t="str">
        <x:v>2025-26</x:v>
      </x:c>
      <x:c r="B3103" s="20" t="n">
        <x:v>45913</x:v>
      </x:c>
      <x:c r="C3103" s="4" t="str">
        <x:v>Aston Villa</x:v>
      </x:c>
      <x:c r="D3103" s="4" t="str">
        <x:v>Everton</x:v>
      </x:c>
      <x:c r="E3103" s="4" t="str">
        <x:v>Away</x:v>
      </x:c>
      <x:c r="F3103" s="28" t="n">
        <x:v>0</x:v>
      </x:c>
      <x:c r="G3103" s="28" t="n">
        <x:v>0</x:v>
      </x:c>
      <x:c r="H3103" s="28" t="n">
        <x:v>7</x:v>
      </x:c>
      <x:c r="I3103" s="28" t="n">
        <x:v>20</x:v>
      </x:c>
      <x:c r="J3103" s="28" t="n">
        <x:v>1</x:v>
      </x:c>
      <x:c r="K3103" s="28" t="n">
        <x:v>2</x:v>
      </x:c>
      <x:c r="L3103" s="28" t="n">
        <x:v>3</x:v>
      </x:c>
      <x:c r="M3103" s="28" t="n">
        <x:v>10</x:v>
      </x:c>
      <x:c r="N3103" s="28" t="n">
        <x:v>3</x:v>
      </x:c>
      <x:c r="O3103" s="28" t="n">
        <x:v>0</x:v>
      </x:c>
      <x:c r="P3103" s="28" t="n">
        <x:v>1</x:v>
      </x:c>
      <x:c r="Q3103" s="24" t="n">
        <x:f>IFERROR(J3103/H3103,0)</x:f>
        <x:v>0.14285714285714285</x:v>
      </x:c>
      <x:c r="R3103" s="24" t="n">
        <x:f>IFERROR(F3103/H3103,0)</x:f>
        <x:v>0</x:v>
      </x:c>
      <x:c r="S3103" s="24" t="n">
        <x:f>IFERROR(F3103/J3103,0)</x:f>
        <x:v>0</x:v>
      </x:c>
      <x:c r="T3103" s="28" t="n">
        <x:f>H3103-I3103</x:f>
        <x:v>-13</x:v>
      </x:c>
      <x:c r="U3103" s="24" t="n">
        <x:f>IFERROR(J3103/H3103,0)-IFERROR(K3103/I3103,0)</x:f>
        <x:v>0.042857142857142844</x:v>
      </x:c>
      <x:c r="V3103" s="24" t="n">
        <x:f>IFERROR(F3103/J3103,0)-IFERROR(G3103/K3103,0)</x:f>
        <x:v>0</x:v>
      </x:c>
      <x:c r="W3103" s="28" t="n">
        <x:f>L3103-M3103</x:f>
        <x:v>-7</x:v>
      </x:c>
      <x:c r="X3103" s="24" t="n">
        <x:f>IFERROR(K3103/I3103,0)</x:f>
        <x:v>0.1</x:v>
      </x:c>
      <x:c r="Y3103" s="24" t="n">
        <x:f>IFERROR(G3103/I3103,0)</x:f>
        <x:v>0</x:v>
      </x:c>
      <x:c r="Z3103" s="24" t="n">
        <x:f>IFERROR(G3103/K3103,0)</x:f>
        <x:v>0</x:v>
      </x:c>
      <x:c r="AA3103" s="24" t="n">
        <x:f>IFERROR(F3103/H3103,0)-IFERROR(G3103/I3103,0)</x:f>
        <x:v>0</x:v>
      </x:c>
      <x:c r="AB3103" s="28" t="n">
        <x:f>J3103-K3103</x:f>
        <x:v>-1</x:v>
      </x:c>
      <x:c r="AC3103" s="32" t="n">
        <x:f>F3103-G3103</x:f>
        <x:v>0</x:v>
      </x:c>
    </x:row>
    <x:row r="3104">
      <x:c r="A3104" s="4" t="str">
        <x:v>2025-26</x:v>
      </x:c>
      <x:c r="B3104" s="20" t="n">
        <x:v>45913</x:v>
      </x:c>
      <x:c r="C3104" s="4" t="str">
        <x:v>Bournemouth</x:v>
      </x:c>
      <x:c r="D3104" s="4" t="str">
        <x:v>Brighton</x:v>
      </x:c>
      <x:c r="E3104" s="4" t="str">
        <x:v>Home</x:v>
      </x:c>
      <x:c r="F3104" s="28" t="n">
        <x:v>2</x:v>
      </x:c>
      <x:c r="G3104" s="28" t="n">
        <x:v>1</x:v>
      </x:c>
      <x:c r="H3104" s="28" t="n">
        <x:v>13</x:v>
      </x:c>
      <x:c r="I3104" s="28" t="n">
        <x:v>6</x:v>
      </x:c>
      <x:c r="J3104" s="28" t="n">
        <x:v>5</x:v>
      </x:c>
      <x:c r="K3104" s="28" t="n">
        <x:v>2</x:v>
      </x:c>
      <x:c r="L3104" s="28" t="n">
        <x:v>4</x:v>
      </x:c>
      <x:c r="M3104" s="28" t="n">
        <x:v>4</x:v>
      </x:c>
      <x:c r="N3104" s="28" t="n">
        <x:v>4</x:v>
      </x:c>
      <x:c r="O3104" s="28" t="n">
        <x:v>0</x:v>
      </x:c>
      <x:c r="P3104" s="28" t="n">
        <x:v>3</x:v>
      </x:c>
      <x:c r="Q3104" s="24" t="n">
        <x:f>IFERROR(J3104/H3104,0)</x:f>
        <x:v>0.38461538461538464</x:v>
      </x:c>
      <x:c r="R3104" s="24" t="n">
        <x:f>IFERROR(F3104/H3104,0)</x:f>
        <x:v>0.15384615384615385</x:v>
      </x:c>
      <x:c r="S3104" s="24" t="n">
        <x:f>IFERROR(F3104/J3104,0)</x:f>
        <x:v>0.4</x:v>
      </x:c>
      <x:c r="T3104" s="28" t="n">
        <x:f>H3104-I3104</x:f>
        <x:v>7</x:v>
      </x:c>
      <x:c r="U3104" s="24" t="n">
        <x:f>IFERROR(J3104/H3104,0)-IFERROR(K3104/I3104,0)</x:f>
        <x:v>0.05128205128205132</x:v>
      </x:c>
      <x:c r="V3104" s="24" t="n">
        <x:f>IFERROR(F3104/J3104,0)-IFERROR(G3104/K3104,0)</x:f>
        <x:v>-0.09999999999999998</x:v>
      </x:c>
      <x:c r="W3104" s="28" t="n">
        <x:f>L3104-M3104</x:f>
        <x:v>0</x:v>
      </x:c>
      <x:c r="X3104" s="24" t="n">
        <x:f>IFERROR(K3104/I3104,0)</x:f>
        <x:v>0.3333333333333333</x:v>
      </x:c>
      <x:c r="Y3104" s="24" t="n">
        <x:f>IFERROR(G3104/I3104,0)</x:f>
        <x:v>0.16666666666666666</x:v>
      </x:c>
      <x:c r="Z3104" s="24" t="n">
        <x:f>IFERROR(G3104/K3104,0)</x:f>
        <x:v>0.5</x:v>
      </x:c>
      <x:c r="AA3104" s="24" t="n">
        <x:f>IFERROR(F3104/H3104,0)-IFERROR(G3104/I3104,0)</x:f>
        <x:v>-0.012820512820512803</x:v>
      </x:c>
      <x:c r="AB3104" s="28" t="n">
        <x:f>J3104-K3104</x:f>
        <x:v>3</x:v>
      </x:c>
      <x:c r="AC3104" s="32" t="n">
        <x:f>F3104-G3104</x:f>
        <x:v>1</x:v>
      </x:c>
    </x:row>
    <x:row r="3105">
      <x:c r="A3105" s="4" t="str">
        <x:v>2025-26</x:v>
      </x:c>
      <x:c r="B3105" s="20" t="n">
        <x:v>45913</x:v>
      </x:c>
      <x:c r="C3105" s="4" t="str">
        <x:v>Brentford</x:v>
      </x:c>
      <x:c r="D3105" s="4" t="str">
        <x:v>Chelsea</x:v>
      </x:c>
      <x:c r="E3105" s="4" t="str">
        <x:v>Home</x:v>
      </x:c>
      <x:c r="F3105" s="28" t="n">
        <x:v>2</x:v>
      </x:c>
      <x:c r="G3105" s="28" t="n">
        <x:v>2</x:v>
      </x:c>
      <x:c r="H3105" s="28" t="n">
        <x:v>7</x:v>
      </x:c>
      <x:c r="I3105" s="28" t="n">
        <x:v>16</x:v>
      </x:c>
      <x:c r="J3105" s="28" t="n">
        <x:v>4</x:v>
      </x:c>
      <x:c r="K3105" s="28" t="n">
        <x:v>6</x:v>
      </x:c>
      <x:c r="L3105" s="28" t="n">
        <x:v>5</x:v>
      </x:c>
      <x:c r="M3105" s="28" t="n">
        <x:v>6</x:v>
      </x:c>
      <x:c r="N3105" s="28" t="n">
        <x:v>3</x:v>
      </x:c>
      <x:c r="O3105" s="28" t="n">
        <x:v>0</x:v>
      </x:c>
      <x:c r="P3105" s="28" t="n">
        <x:v>1</x:v>
      </x:c>
      <x:c r="Q3105" s="24" t="n">
        <x:f>IFERROR(J3105/H3105,0)</x:f>
        <x:v>0.5714285714285714</x:v>
      </x:c>
      <x:c r="R3105" s="24" t="n">
        <x:f>IFERROR(F3105/H3105,0)</x:f>
        <x:v>0.2857142857142857</x:v>
      </x:c>
      <x:c r="S3105" s="24" t="n">
        <x:f>IFERROR(F3105/J3105,0)</x:f>
        <x:v>0.5</x:v>
      </x:c>
      <x:c r="T3105" s="28" t="n">
        <x:f>H3105-I3105</x:f>
        <x:v>-9</x:v>
      </x:c>
      <x:c r="U3105" s="24" t="n">
        <x:f>IFERROR(J3105/H3105,0)-IFERROR(K3105/I3105,0)</x:f>
        <x:v>0.1964285714285714</x:v>
      </x:c>
      <x:c r="V3105" s="24" t="n">
        <x:f>IFERROR(F3105/J3105,0)-IFERROR(G3105/K3105,0)</x:f>
        <x:v>0.16666666666666669</x:v>
      </x:c>
      <x:c r="W3105" s="28" t="n">
        <x:f>L3105-M3105</x:f>
        <x:v>-1</x:v>
      </x:c>
      <x:c r="X3105" s="24" t="n">
        <x:f>IFERROR(K3105/I3105,0)</x:f>
        <x:v>0.375</x:v>
      </x:c>
      <x:c r="Y3105" s="24" t="n">
        <x:f>IFERROR(G3105/I3105,0)</x:f>
        <x:v>0.125</x:v>
      </x:c>
      <x:c r="Z3105" s="24" t="n">
        <x:f>IFERROR(G3105/K3105,0)</x:f>
        <x:v>0.3333333333333333</x:v>
      </x:c>
      <x:c r="AA3105" s="24" t="n">
        <x:f>IFERROR(F3105/H3105,0)-IFERROR(G3105/I3105,0)</x:f>
        <x:v>0.1607142857142857</x:v>
      </x:c>
      <x:c r="AB3105" s="28" t="n">
        <x:f>J3105-K3105</x:f>
        <x:v>-2</x:v>
      </x:c>
      <x:c r="AC3105" s="32" t="n">
        <x:f>F3105-G3105</x:f>
        <x:v>0</x:v>
      </x:c>
    </x:row>
    <x:row r="3106">
      <x:c r="A3106" s="4" t="str">
        <x:v>2025-26</x:v>
      </x:c>
      <x:c r="B3106" s="20" t="n">
        <x:v>45913</x:v>
      </x:c>
      <x:c r="C3106" s="4" t="str">
        <x:v>Brighton</x:v>
      </x:c>
      <x:c r="D3106" s="4" t="str">
        <x:v>Bournemouth</x:v>
      </x:c>
      <x:c r="E3106" s="4" t="str">
        <x:v>Away</x:v>
      </x:c>
      <x:c r="F3106" s="28" t="n">
        <x:v>1</x:v>
      </x:c>
      <x:c r="G3106" s="28" t="n">
        <x:v>2</x:v>
      </x:c>
      <x:c r="H3106" s="28" t="n">
        <x:v>6</x:v>
      </x:c>
      <x:c r="I3106" s="28" t="n">
        <x:v>13</x:v>
      </x:c>
      <x:c r="J3106" s="28" t="n">
        <x:v>2</x:v>
      </x:c>
      <x:c r="K3106" s="28" t="n">
        <x:v>5</x:v>
      </x:c>
      <x:c r="L3106" s="28" t="n">
        <x:v>4</x:v>
      </x:c>
      <x:c r="M3106" s="28" t="n">
        <x:v>4</x:v>
      </x:c>
      <x:c r="N3106" s="28" t="n">
        <x:v>4</x:v>
      </x:c>
      <x:c r="O3106" s="28" t="n">
        <x:v>0</x:v>
      </x:c>
      <x:c r="P3106" s="28" t="n">
        <x:v>0</x:v>
      </x:c>
      <x:c r="Q3106" s="24" t="n">
        <x:f>IFERROR(J3106/H3106,0)</x:f>
        <x:v>0.3333333333333333</x:v>
      </x:c>
      <x:c r="R3106" s="24" t="n">
        <x:f>IFERROR(F3106/H3106,0)</x:f>
        <x:v>0.16666666666666666</x:v>
      </x:c>
      <x:c r="S3106" s="24" t="n">
        <x:f>IFERROR(F3106/J3106,0)</x:f>
        <x:v>0.5</x:v>
      </x:c>
      <x:c r="T3106" s="28" t="n">
        <x:f>H3106-I3106</x:f>
        <x:v>-7</x:v>
      </x:c>
      <x:c r="U3106" s="24" t="n">
        <x:f>IFERROR(J3106/H3106,0)-IFERROR(K3106/I3106,0)</x:f>
        <x:v>-0.05128205128205132</x:v>
      </x:c>
      <x:c r="V3106" s="24" t="n">
        <x:f>IFERROR(F3106/J3106,0)-IFERROR(G3106/K3106,0)</x:f>
        <x:v>0.09999999999999998</x:v>
      </x:c>
      <x:c r="W3106" s="28" t="n">
        <x:f>L3106-M3106</x:f>
        <x:v>0</x:v>
      </x:c>
      <x:c r="X3106" s="24" t="n">
        <x:f>IFERROR(K3106/I3106,0)</x:f>
        <x:v>0.38461538461538464</x:v>
      </x:c>
      <x:c r="Y3106" s="24" t="n">
        <x:f>IFERROR(G3106/I3106,0)</x:f>
        <x:v>0.15384615384615385</x:v>
      </x:c>
      <x:c r="Z3106" s="24" t="n">
        <x:f>IFERROR(G3106/K3106,0)</x:f>
        <x:v>0.4</x:v>
      </x:c>
      <x:c r="AA3106" s="24" t="n">
        <x:f>IFERROR(F3106/H3106,0)-IFERROR(G3106/I3106,0)</x:f>
        <x:v>0.012820512820512803</x:v>
      </x:c>
      <x:c r="AB3106" s="28" t="n">
        <x:f>J3106-K3106</x:f>
        <x:v>-3</x:v>
      </x:c>
      <x:c r="AC3106" s="32" t="n">
        <x:f>F3106-G3106</x:f>
        <x:v>-1</x:v>
      </x:c>
    </x:row>
    <x:row r="3107">
      <x:c r="A3107" s="4" t="str">
        <x:v>2025-26</x:v>
      </x:c>
      <x:c r="B3107" s="20" t="n">
        <x:v>45913</x:v>
      </x:c>
      <x:c r="C3107" s="4" t="str">
        <x:v>Chelsea</x:v>
      </x:c>
      <x:c r="D3107" s="4" t="str">
        <x:v>Brentford</x:v>
      </x:c>
      <x:c r="E3107" s="4" t="str">
        <x:v>Away</x:v>
      </x:c>
      <x:c r="F3107" s="28" t="n">
        <x:v>2</x:v>
      </x:c>
      <x:c r="G3107" s="28" t="n">
        <x:v>2</x:v>
      </x:c>
      <x:c r="H3107" s="28" t="n">
        <x:v>16</x:v>
      </x:c>
      <x:c r="I3107" s="28" t="n">
        <x:v>7</x:v>
      </x:c>
      <x:c r="J3107" s="28" t="n">
        <x:v>6</x:v>
      </x:c>
      <x:c r="K3107" s="28" t="n">
        <x:v>4</x:v>
      </x:c>
      <x:c r="L3107" s="28" t="n">
        <x:v>6</x:v>
      </x:c>
      <x:c r="M3107" s="28" t="n">
        <x:v>5</x:v>
      </x:c>
      <x:c r="N3107" s="28" t="n">
        <x:v>2</x:v>
      </x:c>
      <x:c r="O3107" s="28" t="n">
        <x:v>0</x:v>
      </x:c>
      <x:c r="P3107" s="28" t="n">
        <x:v>1</x:v>
      </x:c>
      <x:c r="Q3107" s="24" t="n">
        <x:f>IFERROR(J3107/H3107,0)</x:f>
        <x:v>0.375</x:v>
      </x:c>
      <x:c r="R3107" s="24" t="n">
        <x:f>IFERROR(F3107/H3107,0)</x:f>
        <x:v>0.125</x:v>
      </x:c>
      <x:c r="S3107" s="24" t="n">
        <x:f>IFERROR(F3107/J3107,0)</x:f>
        <x:v>0.3333333333333333</x:v>
      </x:c>
      <x:c r="T3107" s="28" t="n">
        <x:f>H3107-I3107</x:f>
        <x:v>9</x:v>
      </x:c>
      <x:c r="U3107" s="24" t="n">
        <x:f>IFERROR(J3107/H3107,0)-IFERROR(K3107/I3107,0)</x:f>
        <x:v>-0.1964285714285714</x:v>
      </x:c>
      <x:c r="V3107" s="24" t="n">
        <x:f>IFERROR(F3107/J3107,0)-IFERROR(G3107/K3107,0)</x:f>
        <x:v>-0.16666666666666669</x:v>
      </x:c>
      <x:c r="W3107" s="28" t="n">
        <x:f>L3107-M3107</x:f>
        <x:v>1</x:v>
      </x:c>
      <x:c r="X3107" s="24" t="n">
        <x:f>IFERROR(K3107/I3107,0)</x:f>
        <x:v>0.5714285714285714</x:v>
      </x:c>
      <x:c r="Y3107" s="24" t="n">
        <x:f>IFERROR(G3107/I3107,0)</x:f>
        <x:v>0.2857142857142857</x:v>
      </x:c>
      <x:c r="Z3107" s="24" t="n">
        <x:f>IFERROR(G3107/K3107,0)</x:f>
        <x:v>0.5</x:v>
      </x:c>
      <x:c r="AA3107" s="24" t="n">
        <x:f>IFERROR(F3107/H3107,0)-IFERROR(G3107/I3107,0)</x:f>
        <x:v>-0.1607142857142857</x:v>
      </x:c>
      <x:c r="AB3107" s="28" t="n">
        <x:f>J3107-K3107</x:f>
        <x:v>2</x:v>
      </x:c>
      <x:c r="AC3107" s="32" t="n">
        <x:f>F3107-G3107</x:f>
        <x:v>0</x:v>
      </x:c>
    </x:row>
    <x:row r="3108">
      <x:c r="A3108" s="4" t="str">
        <x:v>2025-26</x:v>
      </x:c>
      <x:c r="B3108" s="20" t="n">
        <x:v>45913</x:v>
      </x:c>
      <x:c r="C3108" s="4" t="str">
        <x:v>Crystal Palace</x:v>
      </x:c>
      <x:c r="D3108" s="4" t="str">
        <x:v>Sunderland</x:v>
      </x:c>
      <x:c r="E3108" s="4" t="str">
        <x:v>Home</x:v>
      </x:c>
      <x:c r="F3108" s="28" t="n">
        <x:v>0</x:v>
      </x:c>
      <x:c r="G3108" s="28" t="n">
        <x:v>0</x:v>
      </x:c>
      <x:c r="H3108" s="28" t="n">
        <x:v>14</x:v>
      </x:c>
      <x:c r="I3108" s="28" t="n">
        <x:v>6</x:v>
      </x:c>
      <x:c r="J3108" s="28" t="n">
        <x:v>6</x:v>
      </x:c>
      <x:c r="K3108" s="28" t="n">
        <x:v>0</x:v>
      </x:c>
      <x:c r="L3108" s="28" t="n">
        <x:v>5</x:v>
      </x:c>
      <x:c r="M3108" s="28" t="n">
        <x:v>3</x:v>
      </x:c>
      <x:c r="N3108" s="28" t="n">
        <x:v>1</x:v>
      </x:c>
      <x:c r="O3108" s="28" t="n">
        <x:v>0</x:v>
      </x:c>
      <x:c r="P3108" s="28" t="n">
        <x:v>1</x:v>
      </x:c>
      <x:c r="Q3108" s="24" t="n">
        <x:f>IFERROR(J3108/H3108,0)</x:f>
        <x:v>0.42857142857142855</x:v>
      </x:c>
      <x:c r="R3108" s="24" t="n">
        <x:f>IFERROR(F3108/H3108,0)</x:f>
        <x:v>0</x:v>
      </x:c>
      <x:c r="S3108" s="24" t="n">
        <x:f>IFERROR(F3108/J3108,0)</x:f>
        <x:v>0</x:v>
      </x:c>
      <x:c r="T3108" s="28" t="n">
        <x:f>H3108-I3108</x:f>
        <x:v>8</x:v>
      </x:c>
      <x:c r="U3108" s="24" t="n">
        <x:f>IFERROR(J3108/H3108,0)-IFERROR(K3108/I3108,0)</x:f>
        <x:v>0.42857142857142855</x:v>
      </x:c>
      <x:c r="V3108" s="24" t="n">
        <x:f>IFERROR(F3108/J3108,0)-IFERROR(G3108/K3108,0)</x:f>
        <x:v>0</x:v>
      </x:c>
      <x:c r="W3108" s="28" t="n">
        <x:f>L3108-M3108</x:f>
        <x:v>2</x:v>
      </x:c>
      <x:c r="X3108" s="24" t="n">
        <x:f>IFERROR(K3108/I3108,0)</x:f>
        <x:v>0</x:v>
      </x:c>
      <x:c r="Y3108" s="24" t="n">
        <x:f>IFERROR(G3108/I3108,0)</x:f>
        <x:v>0</x:v>
      </x:c>
      <x:c r="Z3108" s="24" t="n">
        <x:f>IFERROR(G3108/K3108,0)</x:f>
        <x:v>0</x:v>
      </x:c>
      <x:c r="AA3108" s="24" t="n">
        <x:f>IFERROR(F3108/H3108,0)-IFERROR(G3108/I3108,0)</x:f>
        <x:v>0</x:v>
      </x:c>
      <x:c r="AB3108" s="28" t="n">
        <x:f>J3108-K3108</x:f>
        <x:v>6</x:v>
      </x:c>
      <x:c r="AC3108" s="32" t="n">
        <x:f>F3108-G3108</x:f>
        <x:v>0</x:v>
      </x:c>
    </x:row>
    <x:row r="3109">
      <x:c r="A3109" s="4" t="str">
        <x:v>2025-26</x:v>
      </x:c>
      <x:c r="B3109" s="20" t="n">
        <x:v>45913</x:v>
      </x:c>
      <x:c r="C3109" s="4" t="str">
        <x:v>Everton</x:v>
      </x:c>
      <x:c r="D3109" s="4" t="str">
        <x:v>Aston Villa</x:v>
      </x:c>
      <x:c r="E3109" s="4" t="str">
        <x:v>Home</x:v>
      </x:c>
      <x:c r="F3109" s="28" t="n">
        <x:v>0</x:v>
      </x:c>
      <x:c r="G3109" s="28" t="n">
        <x:v>0</x:v>
      </x:c>
      <x:c r="H3109" s="28" t="n">
        <x:v>20</x:v>
      </x:c>
      <x:c r="I3109" s="28" t="n">
        <x:v>7</x:v>
      </x:c>
      <x:c r="J3109" s="28" t="n">
        <x:v>2</x:v>
      </x:c>
      <x:c r="K3109" s="28" t="n">
        <x:v>1</x:v>
      </x:c>
      <x:c r="L3109" s="28" t="n">
        <x:v>10</x:v>
      </x:c>
      <x:c r="M3109" s="28" t="n">
        <x:v>3</x:v>
      </x:c>
      <x:c r="N3109" s="28" t="n">
        <x:v>3</x:v>
      </x:c>
      <x:c r="O3109" s="28" t="n">
        <x:v>0</x:v>
      </x:c>
      <x:c r="P3109" s="28" t="n">
        <x:v>1</x:v>
      </x:c>
      <x:c r="Q3109" s="24" t="n">
        <x:f>IFERROR(J3109/H3109,0)</x:f>
        <x:v>0.1</x:v>
      </x:c>
      <x:c r="R3109" s="24" t="n">
        <x:f>IFERROR(F3109/H3109,0)</x:f>
        <x:v>0</x:v>
      </x:c>
      <x:c r="S3109" s="24" t="n">
        <x:f>IFERROR(F3109/J3109,0)</x:f>
        <x:v>0</x:v>
      </x:c>
      <x:c r="T3109" s="28" t="n">
        <x:f>H3109-I3109</x:f>
        <x:v>13</x:v>
      </x:c>
      <x:c r="U3109" s="24" t="n">
        <x:f>IFERROR(J3109/H3109,0)-IFERROR(K3109/I3109,0)</x:f>
        <x:v>-0.042857142857142844</x:v>
      </x:c>
      <x:c r="V3109" s="24" t="n">
        <x:f>IFERROR(F3109/J3109,0)-IFERROR(G3109/K3109,0)</x:f>
        <x:v>0</x:v>
      </x:c>
      <x:c r="W3109" s="28" t="n">
        <x:f>L3109-M3109</x:f>
        <x:v>7</x:v>
      </x:c>
      <x:c r="X3109" s="24" t="n">
        <x:f>IFERROR(K3109/I3109,0)</x:f>
        <x:v>0.14285714285714285</x:v>
      </x:c>
      <x:c r="Y3109" s="24" t="n">
        <x:f>IFERROR(G3109/I3109,0)</x:f>
        <x:v>0</x:v>
      </x:c>
      <x:c r="Z3109" s="24" t="n">
        <x:f>IFERROR(G3109/K3109,0)</x:f>
        <x:v>0</x:v>
      </x:c>
      <x:c r="AA3109" s="24" t="n">
        <x:f>IFERROR(F3109/H3109,0)-IFERROR(G3109/I3109,0)</x:f>
        <x:v>0</x:v>
      </x:c>
      <x:c r="AB3109" s="28" t="n">
        <x:f>J3109-K3109</x:f>
        <x:v>1</x:v>
      </x:c>
      <x:c r="AC3109" s="32" t="n">
        <x:f>F3109-G3109</x:f>
        <x:v>0</x:v>
      </x:c>
    </x:row>
    <x:row r="3110">
      <x:c r="A3110" s="4" t="str">
        <x:v>2025-26</x:v>
      </x:c>
      <x:c r="B3110" s="20" t="n">
        <x:v>45913</x:v>
      </x:c>
      <x:c r="C3110" s="4" t="str">
        <x:v>Fulham</x:v>
      </x:c>
      <x:c r="D3110" s="4" t="str">
        <x:v>Leeds</x:v>
      </x:c>
      <x:c r="E3110" s="4" t="str">
        <x:v>Home</x:v>
      </x:c>
      <x:c r="F3110" s="28" t="n">
        <x:v>1</x:v>
      </x:c>
      <x:c r="G3110" s="28" t="n">
        <x:v>0</x:v>
      </x:c>
      <x:c r="H3110" s="28" t="n">
        <x:v>5</x:v>
      </x:c>
      <x:c r="I3110" s="28" t="n">
        <x:v>10</x:v>
      </x:c>
      <x:c r="J3110" s="28" t="n">
        <x:v>3</x:v>
      </x:c>
      <x:c r="K3110" s="28" t="n">
        <x:v>3</x:v>
      </x:c>
      <x:c r="L3110" s="28" t="n">
        <x:v>3</x:v>
      </x:c>
      <x:c r="M3110" s="28" t="n">
        <x:v>3</x:v>
      </x:c>
      <x:c r="N3110" s="28" t="n">
        <x:v>1</x:v>
      </x:c>
      <x:c r="O3110" s="28" t="n">
        <x:v>0</x:v>
      </x:c>
      <x:c r="P3110" s="28" t="n">
        <x:v>3</x:v>
      </x:c>
      <x:c r="Q3110" s="24" t="n">
        <x:f>IFERROR(J3110/H3110,0)</x:f>
        <x:v>0.6</x:v>
      </x:c>
      <x:c r="R3110" s="24" t="n">
        <x:f>IFERROR(F3110/H3110,0)</x:f>
        <x:v>0.2</x:v>
      </x:c>
      <x:c r="S3110" s="24" t="n">
        <x:f>IFERROR(F3110/J3110,0)</x:f>
        <x:v>0.3333333333333333</x:v>
      </x:c>
      <x:c r="T3110" s="28" t="n">
        <x:f>H3110-I3110</x:f>
        <x:v>-5</x:v>
      </x:c>
      <x:c r="U3110" s="24" t="n">
        <x:f>IFERROR(J3110/H3110,0)-IFERROR(K3110/I3110,0)</x:f>
        <x:v>0.3</x:v>
      </x:c>
      <x:c r="V3110" s="24" t="n">
        <x:f>IFERROR(F3110/J3110,0)-IFERROR(G3110/K3110,0)</x:f>
        <x:v>0.3333333333333333</x:v>
      </x:c>
      <x:c r="W3110" s="28" t="n">
        <x:f>L3110-M3110</x:f>
        <x:v>0</x:v>
      </x:c>
      <x:c r="X3110" s="24" t="n">
        <x:f>IFERROR(K3110/I3110,0)</x:f>
        <x:v>0.3</x:v>
      </x:c>
      <x:c r="Y3110" s="24" t="n">
        <x:f>IFERROR(G3110/I3110,0)</x:f>
        <x:v>0</x:v>
      </x:c>
      <x:c r="Z3110" s="24" t="n">
        <x:f>IFERROR(G3110/K3110,0)</x:f>
        <x:v>0</x:v>
      </x:c>
      <x:c r="AA3110" s="24" t="n">
        <x:f>IFERROR(F3110/H3110,0)-IFERROR(G3110/I3110,0)</x:f>
        <x:v>0.2</x:v>
      </x:c>
      <x:c r="AB3110" s="28" t="n">
        <x:f>J3110-K3110</x:f>
        <x:v>0</x:v>
      </x:c>
      <x:c r="AC3110" s="32" t="n">
        <x:f>F3110-G3110</x:f>
        <x:v>1</x:v>
      </x:c>
    </x:row>
    <x:row r="3111">
      <x:c r="A3111" s="4" t="str">
        <x:v>2025-26</x:v>
      </x:c>
      <x:c r="B3111" s="20" t="n">
        <x:v>45913</x:v>
      </x:c>
      <x:c r="C3111" s="4" t="str">
        <x:v>Leeds</x:v>
      </x:c>
      <x:c r="D3111" s="4" t="str">
        <x:v>Fulham</x:v>
      </x:c>
      <x:c r="E3111" s="4" t="str">
        <x:v>Away</x:v>
      </x:c>
      <x:c r="F3111" s="28" t="n">
        <x:v>0</x:v>
      </x:c>
      <x:c r="G3111" s="28" t="n">
        <x:v>1</x:v>
      </x:c>
      <x:c r="H3111" s="28" t="n">
        <x:v>10</x:v>
      </x:c>
      <x:c r="I3111" s="28" t="n">
        <x:v>5</x:v>
      </x:c>
      <x:c r="J3111" s="28" t="n">
        <x:v>3</x:v>
      </x:c>
      <x:c r="K3111" s="28" t="n">
        <x:v>3</x:v>
      </x:c>
      <x:c r="L3111" s="28" t="n">
        <x:v>3</x:v>
      </x:c>
      <x:c r="M3111" s="28" t="n">
        <x:v>3</x:v>
      </x:c>
      <x:c r="N3111" s="28" t="n">
        <x:v>2</x:v>
      </x:c>
      <x:c r="O3111" s="28" t="n">
        <x:v>0</x:v>
      </x:c>
      <x:c r="P3111" s="28" t="n">
        <x:v>0</x:v>
      </x:c>
      <x:c r="Q3111" s="24" t="n">
        <x:f>IFERROR(J3111/H3111,0)</x:f>
        <x:v>0.3</x:v>
      </x:c>
      <x:c r="R3111" s="24" t="n">
        <x:f>IFERROR(F3111/H3111,0)</x:f>
        <x:v>0</x:v>
      </x:c>
      <x:c r="S3111" s="24" t="n">
        <x:f>IFERROR(F3111/J3111,0)</x:f>
        <x:v>0</x:v>
      </x:c>
      <x:c r="T3111" s="28" t="n">
        <x:f>H3111-I3111</x:f>
        <x:v>5</x:v>
      </x:c>
      <x:c r="U3111" s="24" t="n">
        <x:f>IFERROR(J3111/H3111,0)-IFERROR(K3111/I3111,0)</x:f>
        <x:v>-0.3</x:v>
      </x:c>
      <x:c r="V3111" s="24" t="n">
        <x:f>IFERROR(F3111/J3111,0)-IFERROR(G3111/K3111,0)</x:f>
        <x:v>-0.3333333333333333</x:v>
      </x:c>
      <x:c r="W3111" s="28" t="n">
        <x:f>L3111-M3111</x:f>
        <x:v>0</x:v>
      </x:c>
      <x:c r="X3111" s="24" t="n">
        <x:f>IFERROR(K3111/I3111,0)</x:f>
        <x:v>0.6</x:v>
      </x:c>
      <x:c r="Y3111" s="24" t="n">
        <x:f>IFERROR(G3111/I3111,0)</x:f>
        <x:v>0.2</x:v>
      </x:c>
      <x:c r="Z3111" s="24" t="n">
        <x:f>IFERROR(G3111/K3111,0)</x:f>
        <x:v>0.3333333333333333</x:v>
      </x:c>
      <x:c r="AA3111" s="24" t="n">
        <x:f>IFERROR(F3111/H3111,0)-IFERROR(G3111/I3111,0)</x:f>
        <x:v>-0.2</x:v>
      </x:c>
      <x:c r="AB3111" s="28" t="n">
        <x:f>J3111-K3111</x:f>
        <x:v>0</x:v>
      </x:c>
      <x:c r="AC3111" s="32" t="n">
        <x:f>F3111-G3111</x:f>
        <x:v>-1</x:v>
      </x:c>
    </x:row>
    <x:row r="3112">
      <x:c r="A3112" s="4" t="str">
        <x:v>2025-26</x:v>
      </x:c>
      <x:c r="B3112" s="20" t="n">
        <x:v>45913</x:v>
      </x:c>
      <x:c r="C3112" s="4" t="str">
        <x:v>Newcastle</x:v>
      </x:c>
      <x:c r="D3112" s="4" t="str">
        <x:v>Wolves</x:v>
      </x:c>
      <x:c r="E3112" s="4" t="str">
        <x:v>Home</x:v>
      </x:c>
      <x:c r="F3112" s="28" t="n">
        <x:v>1</x:v>
      </x:c>
      <x:c r="G3112" s="28" t="n">
        <x:v>0</x:v>
      </x:c>
      <x:c r="H3112" s="28" t="n">
        <x:v>16</x:v>
      </x:c>
      <x:c r="I3112" s="28" t="n">
        <x:v>8</x:v>
      </x:c>
      <x:c r="J3112" s="28" t="n">
        <x:v>4</x:v>
      </x:c>
      <x:c r="K3112" s="28" t="n">
        <x:v>3</x:v>
      </x:c>
      <x:c r="L3112" s="28" t="n">
        <x:v>10</x:v>
      </x:c>
      <x:c r="M3112" s="28" t="n">
        <x:v>4</x:v>
      </x:c>
      <x:c r="N3112" s="28" t="n">
        <x:v>1</x:v>
      </x:c>
      <x:c r="O3112" s="28" t="n">
        <x:v>0</x:v>
      </x:c>
      <x:c r="P3112" s="28" t="n">
        <x:v>3</x:v>
      </x:c>
      <x:c r="Q3112" s="24" t="n">
        <x:f>IFERROR(J3112/H3112,0)</x:f>
        <x:v>0.25</x:v>
      </x:c>
      <x:c r="R3112" s="24" t="n">
        <x:f>IFERROR(F3112/H3112,0)</x:f>
        <x:v>0.0625</x:v>
      </x:c>
      <x:c r="S3112" s="24" t="n">
        <x:f>IFERROR(F3112/J3112,0)</x:f>
        <x:v>0.25</x:v>
      </x:c>
      <x:c r="T3112" s="28" t="n">
        <x:f>H3112-I3112</x:f>
        <x:v>8</x:v>
      </x:c>
      <x:c r="U3112" s="24" t="n">
        <x:f>IFERROR(J3112/H3112,0)-IFERROR(K3112/I3112,0)</x:f>
        <x:v>-0.125</x:v>
      </x:c>
      <x:c r="V3112" s="24" t="n">
        <x:f>IFERROR(F3112/J3112,0)-IFERROR(G3112/K3112,0)</x:f>
        <x:v>0.25</x:v>
      </x:c>
      <x:c r="W3112" s="28" t="n">
        <x:f>L3112-M3112</x:f>
        <x:v>6</x:v>
      </x:c>
      <x:c r="X3112" s="24" t="n">
        <x:f>IFERROR(K3112/I3112,0)</x:f>
        <x:v>0.375</x:v>
      </x:c>
      <x:c r="Y3112" s="24" t="n">
        <x:f>IFERROR(G3112/I3112,0)</x:f>
        <x:v>0</x:v>
      </x:c>
      <x:c r="Z3112" s="24" t="n">
        <x:f>IFERROR(G3112/K3112,0)</x:f>
        <x:v>0</x:v>
      </x:c>
      <x:c r="AA3112" s="24" t="n">
        <x:f>IFERROR(F3112/H3112,0)-IFERROR(G3112/I3112,0)</x:f>
        <x:v>0.0625</x:v>
      </x:c>
      <x:c r="AB3112" s="28" t="n">
        <x:f>J3112-K3112</x:f>
        <x:v>1</x:v>
      </x:c>
      <x:c r="AC3112" s="32" t="n">
        <x:f>F3112-G3112</x:f>
        <x:v>1</x:v>
      </x:c>
    </x:row>
    <x:row r="3113">
      <x:c r="A3113" s="4" t="str">
        <x:v>2025-26</x:v>
      </x:c>
      <x:c r="B3113" s="20" t="n">
        <x:v>45913</x:v>
      </x:c>
      <x:c r="C3113" s="4" t="str">
        <x:v>Nott'm Forest</x:v>
      </x:c>
      <x:c r="D3113" s="4" t="str">
        <x:v>Arsenal</x:v>
      </x:c>
      <x:c r="E3113" s="4" t="str">
        <x:v>Away</x:v>
      </x:c>
      <x:c r="F3113" s="28" t="n">
        <x:v>0</x:v>
      </x:c>
      <x:c r="G3113" s="28" t="n">
        <x:v>3</x:v>
      </x:c>
      <x:c r="H3113" s="28" t="n">
        <x:v>5</x:v>
      </x:c>
      <x:c r="I3113" s="28" t="n">
        <x:v>16</x:v>
      </x:c>
      <x:c r="J3113" s="28" t="n">
        <x:v>1</x:v>
      </x:c>
      <x:c r="K3113" s="28" t="n">
        <x:v>5</x:v>
      </x:c>
      <x:c r="L3113" s="28" t="n">
        <x:v>4</x:v>
      </x:c>
      <x:c r="M3113" s="28" t="n">
        <x:v>8</x:v>
      </x:c>
      <x:c r="N3113" s="28" t="n">
        <x:v>1</x:v>
      </x:c>
      <x:c r="O3113" s="28" t="n">
        <x:v>0</x:v>
      </x:c>
      <x:c r="P3113" s="28" t="n">
        <x:v>0</x:v>
      </x:c>
      <x:c r="Q3113" s="24" t="n">
        <x:f>IFERROR(J3113/H3113,0)</x:f>
        <x:v>0.2</x:v>
      </x:c>
      <x:c r="R3113" s="24" t="n">
        <x:f>IFERROR(F3113/H3113,0)</x:f>
        <x:v>0</x:v>
      </x:c>
      <x:c r="S3113" s="24" t="n">
        <x:f>IFERROR(F3113/J3113,0)</x:f>
        <x:v>0</x:v>
      </x:c>
      <x:c r="T3113" s="28" t="n">
        <x:f>H3113-I3113</x:f>
        <x:v>-11</x:v>
      </x:c>
      <x:c r="U3113" s="24" t="n">
        <x:f>IFERROR(J3113/H3113,0)-IFERROR(K3113/I3113,0)</x:f>
        <x:v>-0.11249999999999999</x:v>
      </x:c>
      <x:c r="V3113" s="24" t="n">
        <x:f>IFERROR(F3113/J3113,0)-IFERROR(G3113/K3113,0)</x:f>
        <x:v>-0.6</x:v>
      </x:c>
      <x:c r="W3113" s="28" t="n">
        <x:f>L3113-M3113</x:f>
        <x:v>-4</x:v>
      </x:c>
      <x:c r="X3113" s="24" t="n">
        <x:f>IFERROR(K3113/I3113,0)</x:f>
        <x:v>0.3125</x:v>
      </x:c>
      <x:c r="Y3113" s="24" t="n">
        <x:f>IFERROR(G3113/I3113,0)</x:f>
        <x:v>0.1875</x:v>
      </x:c>
      <x:c r="Z3113" s="24" t="n">
        <x:f>IFERROR(G3113/K3113,0)</x:f>
        <x:v>0.6</x:v>
      </x:c>
      <x:c r="AA3113" s="24" t="n">
        <x:f>IFERROR(F3113/H3113,0)-IFERROR(G3113/I3113,0)</x:f>
        <x:v>-0.1875</x:v>
      </x:c>
      <x:c r="AB3113" s="28" t="n">
        <x:f>J3113-K3113</x:f>
        <x:v>-4</x:v>
      </x:c>
      <x:c r="AC3113" s="32" t="n">
        <x:f>F3113-G3113</x:f>
        <x:v>-3</x:v>
      </x:c>
    </x:row>
    <x:row r="3114">
      <x:c r="A3114" s="4" t="str">
        <x:v>2025-26</x:v>
      </x:c>
      <x:c r="B3114" s="20" t="n">
        <x:v>45913</x:v>
      </x:c>
      <x:c r="C3114" s="4" t="str">
        <x:v>Sunderland</x:v>
      </x:c>
      <x:c r="D3114" s="4" t="str">
        <x:v>Crystal Palace</x:v>
      </x:c>
      <x:c r="E3114" s="4" t="str">
        <x:v>Away</x:v>
      </x:c>
      <x:c r="F3114" s="28" t="n">
        <x:v>0</x:v>
      </x:c>
      <x:c r="G3114" s="28" t="n">
        <x:v>0</x:v>
      </x:c>
      <x:c r="H3114" s="28" t="n">
        <x:v>6</x:v>
      </x:c>
      <x:c r="I3114" s="28" t="n">
        <x:v>14</x:v>
      </x:c>
      <x:c r="J3114" s="28" t="n">
        <x:v>0</x:v>
      </x:c>
      <x:c r="K3114" s="28" t="n">
        <x:v>6</x:v>
      </x:c>
      <x:c r="L3114" s="28" t="n">
        <x:v>3</x:v>
      </x:c>
      <x:c r="M3114" s="28" t="n">
        <x:v>5</x:v>
      </x:c>
      <x:c r="N3114" s="28" t="n">
        <x:v>1</x:v>
      </x:c>
      <x:c r="O3114" s="28" t="n">
        <x:v>0</x:v>
      </x:c>
      <x:c r="P3114" s="28" t="n">
        <x:v>1</x:v>
      </x:c>
      <x:c r="Q3114" s="24" t="n">
        <x:f>IFERROR(J3114/H3114,0)</x:f>
        <x:v>0</x:v>
      </x:c>
      <x:c r="R3114" s="24" t="n">
        <x:f>IFERROR(F3114/H3114,0)</x:f>
        <x:v>0</x:v>
      </x:c>
      <x:c r="S3114" s="24" t="n">
        <x:f>IFERROR(F3114/J3114,0)</x:f>
        <x:v>0</x:v>
      </x:c>
      <x:c r="T3114" s="28" t="n">
        <x:f>H3114-I3114</x:f>
        <x:v>-8</x:v>
      </x:c>
      <x:c r="U3114" s="24" t="n">
        <x:f>IFERROR(J3114/H3114,0)-IFERROR(K3114/I3114,0)</x:f>
        <x:v>-0.42857142857142855</x:v>
      </x:c>
      <x:c r="V3114" s="24" t="n">
        <x:f>IFERROR(F3114/J3114,0)-IFERROR(G3114/K3114,0)</x:f>
        <x:v>0</x:v>
      </x:c>
      <x:c r="W3114" s="28" t="n">
        <x:f>L3114-M3114</x:f>
        <x:v>-2</x:v>
      </x:c>
      <x:c r="X3114" s="24" t="n">
        <x:f>IFERROR(K3114/I3114,0)</x:f>
        <x:v>0.42857142857142855</x:v>
      </x:c>
      <x:c r="Y3114" s="24" t="n">
        <x:f>IFERROR(G3114/I3114,0)</x:f>
        <x:v>0</x:v>
      </x:c>
      <x:c r="Z3114" s="24" t="n">
        <x:f>IFERROR(G3114/K3114,0)</x:f>
        <x:v>0</x:v>
      </x:c>
      <x:c r="AA3114" s="24" t="n">
        <x:f>IFERROR(F3114/H3114,0)-IFERROR(G3114/I3114,0)</x:f>
        <x:v>0</x:v>
      </x:c>
      <x:c r="AB3114" s="28" t="n">
        <x:f>J3114-K3114</x:f>
        <x:v>-6</x:v>
      </x:c>
      <x:c r="AC3114" s="32" t="n">
        <x:f>F3114-G3114</x:f>
        <x:v>0</x:v>
      </x:c>
    </x:row>
    <x:row r="3115">
      <x:c r="A3115" s="4" t="str">
        <x:v>2025-26</x:v>
      </x:c>
      <x:c r="B3115" s="20" t="n">
        <x:v>45913</x:v>
      </x:c>
      <x:c r="C3115" s="4" t="str">
        <x:v>Tottenham</x:v>
      </x:c>
      <x:c r="D3115" s="4" t="str">
        <x:v>West Ham</x:v>
      </x:c>
      <x:c r="E3115" s="4" t="str">
        <x:v>Away</x:v>
      </x:c>
      <x:c r="F3115" s="28" t="n">
        <x:v>3</x:v>
      </x:c>
      <x:c r="G3115" s="28" t="n">
        <x:v>0</x:v>
      </x:c>
      <x:c r="H3115" s="28" t="n">
        <x:v>14</x:v>
      </x:c>
      <x:c r="I3115" s="28" t="n">
        <x:v>7</x:v>
      </x:c>
      <x:c r="J3115" s="28" t="n">
        <x:v>5</x:v>
      </x:c>
      <x:c r="K3115" s="28" t="n">
        <x:v>4</x:v>
      </x:c>
      <x:c r="L3115" s="28" t="n">
        <x:v>13</x:v>
      </x:c>
      <x:c r="M3115" s="28" t="n">
        <x:v>2</x:v>
      </x:c>
      <x:c r="N3115" s="28" t="n">
        <x:v>1</x:v>
      </x:c>
      <x:c r="O3115" s="28" t="n">
        <x:v>0</x:v>
      </x:c>
      <x:c r="P3115" s="28" t="n">
        <x:v>3</x:v>
      </x:c>
      <x:c r="Q3115" s="24" t="n">
        <x:f>IFERROR(J3115/H3115,0)</x:f>
        <x:v>0.35714285714285715</x:v>
      </x:c>
      <x:c r="R3115" s="24" t="n">
        <x:f>IFERROR(F3115/H3115,0)</x:f>
        <x:v>0.21428571428571427</x:v>
      </x:c>
      <x:c r="S3115" s="24" t="n">
        <x:f>IFERROR(F3115/J3115,0)</x:f>
        <x:v>0.6</x:v>
      </x:c>
      <x:c r="T3115" s="28" t="n">
        <x:f>H3115-I3115</x:f>
        <x:v>7</x:v>
      </x:c>
      <x:c r="U3115" s="24" t="n">
        <x:f>IFERROR(J3115/H3115,0)-IFERROR(K3115/I3115,0)</x:f>
        <x:v>-0.21428571428571425</x:v>
      </x:c>
      <x:c r="V3115" s="24" t="n">
        <x:f>IFERROR(F3115/J3115,0)-IFERROR(G3115/K3115,0)</x:f>
        <x:v>0.6</x:v>
      </x:c>
      <x:c r="W3115" s="28" t="n">
        <x:f>L3115-M3115</x:f>
        <x:v>11</x:v>
      </x:c>
      <x:c r="X3115" s="24" t="n">
        <x:f>IFERROR(K3115/I3115,0)</x:f>
        <x:v>0.5714285714285714</x:v>
      </x:c>
      <x:c r="Y3115" s="24" t="n">
        <x:f>IFERROR(G3115/I3115,0)</x:f>
        <x:v>0</x:v>
      </x:c>
      <x:c r="Z3115" s="24" t="n">
        <x:f>IFERROR(G3115/K3115,0)</x:f>
        <x:v>0</x:v>
      </x:c>
      <x:c r="AA3115" s="24" t="n">
        <x:f>IFERROR(F3115/H3115,0)-IFERROR(G3115/I3115,0)</x:f>
        <x:v>0.21428571428571427</x:v>
      </x:c>
      <x:c r="AB3115" s="28" t="n">
        <x:f>J3115-K3115</x:f>
        <x:v>1</x:v>
      </x:c>
      <x:c r="AC3115" s="32" t="n">
        <x:f>F3115-G3115</x:f>
        <x:v>3</x:v>
      </x:c>
    </x:row>
    <x:row r="3116">
      <x:c r="A3116" s="4" t="str">
        <x:v>2025-26</x:v>
      </x:c>
      <x:c r="B3116" s="20" t="n">
        <x:v>45913</x:v>
      </x:c>
      <x:c r="C3116" s="4" t="str">
        <x:v>West Ham</x:v>
      </x:c>
      <x:c r="D3116" s="4" t="str">
        <x:v>Tottenham</x:v>
      </x:c>
      <x:c r="E3116" s="4" t="str">
        <x:v>Home</x:v>
      </x:c>
      <x:c r="F3116" s="28" t="n">
        <x:v>0</x:v>
      </x:c>
      <x:c r="G3116" s="28" t="n">
        <x:v>3</x:v>
      </x:c>
      <x:c r="H3116" s="28" t="n">
        <x:v>7</x:v>
      </x:c>
      <x:c r="I3116" s="28" t="n">
        <x:v>14</x:v>
      </x:c>
      <x:c r="J3116" s="28" t="n">
        <x:v>4</x:v>
      </x:c>
      <x:c r="K3116" s="28" t="n">
        <x:v>5</x:v>
      </x:c>
      <x:c r="L3116" s="28" t="n">
        <x:v>2</x:v>
      </x:c>
      <x:c r="M3116" s="28" t="n">
        <x:v>13</x:v>
      </x:c>
      <x:c r="N3116" s="28" t="n">
        <x:v>0</x:v>
      </x:c>
      <x:c r="O3116" s="28" t="n">
        <x:v>1</x:v>
      </x:c>
      <x:c r="P3116" s="28" t="n">
        <x:v>0</x:v>
      </x:c>
      <x:c r="Q3116" s="24" t="n">
        <x:f>IFERROR(J3116/H3116,0)</x:f>
        <x:v>0.5714285714285714</x:v>
      </x:c>
      <x:c r="R3116" s="24" t="n">
        <x:f>IFERROR(F3116/H3116,0)</x:f>
        <x:v>0</x:v>
      </x:c>
      <x:c r="S3116" s="24" t="n">
        <x:f>IFERROR(F3116/J3116,0)</x:f>
        <x:v>0</x:v>
      </x:c>
      <x:c r="T3116" s="28" t="n">
        <x:f>H3116-I3116</x:f>
        <x:v>-7</x:v>
      </x:c>
      <x:c r="U3116" s="24" t="n">
        <x:f>IFERROR(J3116/H3116,0)-IFERROR(K3116/I3116,0)</x:f>
        <x:v>0.21428571428571425</x:v>
      </x:c>
      <x:c r="V3116" s="24" t="n">
        <x:f>IFERROR(F3116/J3116,0)-IFERROR(G3116/K3116,0)</x:f>
        <x:v>-0.6</x:v>
      </x:c>
      <x:c r="W3116" s="28" t="n">
        <x:f>L3116-M3116</x:f>
        <x:v>-11</x:v>
      </x:c>
      <x:c r="X3116" s="24" t="n">
        <x:f>IFERROR(K3116/I3116,0)</x:f>
        <x:v>0.35714285714285715</x:v>
      </x:c>
      <x:c r="Y3116" s="24" t="n">
        <x:f>IFERROR(G3116/I3116,0)</x:f>
        <x:v>0.21428571428571427</x:v>
      </x:c>
      <x:c r="Z3116" s="24" t="n">
        <x:f>IFERROR(G3116/K3116,0)</x:f>
        <x:v>0.6</x:v>
      </x:c>
      <x:c r="AA3116" s="24" t="n">
        <x:f>IFERROR(F3116/H3116,0)-IFERROR(G3116/I3116,0)</x:f>
        <x:v>-0.21428571428571427</x:v>
      </x:c>
      <x:c r="AB3116" s="28" t="n">
        <x:f>J3116-K3116</x:f>
        <x:v>-1</x:v>
      </x:c>
      <x:c r="AC3116" s="32" t="n">
        <x:f>F3116-G3116</x:f>
        <x:v>-3</x:v>
      </x:c>
    </x:row>
    <x:row r="3117">
      <x:c r="A3117" s="4" t="str">
        <x:v>2025-26</x:v>
      </x:c>
      <x:c r="B3117" s="20" t="n">
        <x:v>45913</x:v>
      </x:c>
      <x:c r="C3117" s="4" t="str">
        <x:v>Wolves</x:v>
      </x:c>
      <x:c r="D3117" s="4" t="str">
        <x:v>Newcastle</x:v>
      </x:c>
      <x:c r="E3117" s="4" t="str">
        <x:v>Away</x:v>
      </x:c>
      <x:c r="F3117" s="28" t="n">
        <x:v>0</x:v>
      </x:c>
      <x:c r="G3117" s="28" t="n">
        <x:v>1</x:v>
      </x:c>
      <x:c r="H3117" s="28" t="n">
        <x:v>8</x:v>
      </x:c>
      <x:c r="I3117" s="28" t="n">
        <x:v>16</x:v>
      </x:c>
      <x:c r="J3117" s="28" t="n">
        <x:v>3</x:v>
      </x:c>
      <x:c r="K3117" s="28" t="n">
        <x:v>4</x:v>
      </x:c>
      <x:c r="L3117" s="28" t="n">
        <x:v>4</x:v>
      </x:c>
      <x:c r="M3117" s="28" t="n">
        <x:v>10</x:v>
      </x:c>
      <x:c r="N3117" s="28" t="n">
        <x:v>4</x:v>
      </x:c>
      <x:c r="O3117" s="28" t="n">
        <x:v>0</x:v>
      </x:c>
      <x:c r="P3117" s="28" t="n">
        <x:v>0</x:v>
      </x:c>
      <x:c r="Q3117" s="24" t="n">
        <x:f>IFERROR(J3117/H3117,0)</x:f>
        <x:v>0.375</x:v>
      </x:c>
      <x:c r="R3117" s="24" t="n">
        <x:f>IFERROR(F3117/H3117,0)</x:f>
        <x:v>0</x:v>
      </x:c>
      <x:c r="S3117" s="24" t="n">
        <x:f>IFERROR(F3117/J3117,0)</x:f>
        <x:v>0</x:v>
      </x:c>
      <x:c r="T3117" s="28" t="n">
        <x:f>H3117-I3117</x:f>
        <x:v>-8</x:v>
      </x:c>
      <x:c r="U3117" s="24" t="n">
        <x:f>IFERROR(J3117/H3117,0)-IFERROR(K3117/I3117,0)</x:f>
        <x:v>0.125</x:v>
      </x:c>
      <x:c r="V3117" s="24" t="n">
        <x:f>IFERROR(F3117/J3117,0)-IFERROR(G3117/K3117,0)</x:f>
        <x:v>-0.25</x:v>
      </x:c>
      <x:c r="W3117" s="28" t="n">
        <x:f>L3117-M3117</x:f>
        <x:v>-6</x:v>
      </x:c>
      <x:c r="X3117" s="24" t="n">
        <x:f>IFERROR(K3117/I3117,0)</x:f>
        <x:v>0.25</x:v>
      </x:c>
      <x:c r="Y3117" s="24" t="n">
        <x:f>IFERROR(G3117/I3117,0)</x:f>
        <x:v>0.0625</x:v>
      </x:c>
      <x:c r="Z3117" s="24" t="n">
        <x:f>IFERROR(G3117/K3117,0)</x:f>
        <x:v>0.25</x:v>
      </x:c>
      <x:c r="AA3117" s="24" t="n">
        <x:f>IFERROR(F3117/H3117,0)-IFERROR(G3117/I3117,0)</x:f>
        <x:v>-0.0625</x:v>
      </x:c>
      <x:c r="AB3117" s="28" t="n">
        <x:f>J3117-K3117</x:f>
        <x:v>-1</x:v>
      </x:c>
      <x:c r="AC3117" s="32" t="n">
        <x:f>F3117-G3117</x:f>
        <x:v>-1</x:v>
      </x:c>
    </x:row>
    <x:row r="3118">
      <x:c r="A3118" s="4" t="str">
        <x:v>2025-26</x:v>
      </x:c>
      <x:c r="B3118" s="20" t="n">
        <x:v>45914</x:v>
      </x:c>
      <x:c r="C3118" s="4" t="str">
        <x:v>Burnley</x:v>
      </x:c>
      <x:c r="D3118" s="4" t="str">
        <x:v>Liverpool</x:v>
      </x:c>
      <x:c r="E3118" s="4" t="str">
        <x:v>Home</x:v>
      </x:c>
      <x:c r="F3118" s="28" t="n">
        <x:v>0</x:v>
      </x:c>
      <x:c r="G3118" s="28" t="n">
        <x:v>1</x:v>
      </x:c>
      <x:c r="H3118" s="28" t="n">
        <x:v>3</x:v>
      </x:c>
      <x:c r="I3118" s="28" t="n">
        <x:v>27</x:v>
      </x:c>
      <x:c r="J3118" s="28" t="n">
        <x:v>0</x:v>
      </x:c>
      <x:c r="K3118" s="28" t="n">
        <x:v>4</x:v>
      </x:c>
      <x:c r="L3118" s="28" t="n">
        <x:v>1</x:v>
      </x:c>
      <x:c r="M3118" s="28" t="n">
        <x:v>13</x:v>
      </x:c>
      <x:c r="N3118" s="28" t="n">
        <x:v>0</x:v>
      </x:c>
      <x:c r="O3118" s="28" t="n">
        <x:v>0</x:v>
      </x:c>
      <x:c r="P3118" s="28" t="n">
        <x:v>0</x:v>
      </x:c>
      <x:c r="Q3118" s="24" t="n">
        <x:f>IFERROR(J3118/H3118,0)</x:f>
        <x:v>0</x:v>
      </x:c>
      <x:c r="R3118" s="24" t="n">
        <x:f>IFERROR(F3118/H3118,0)</x:f>
        <x:v>0</x:v>
      </x:c>
      <x:c r="S3118" s="24" t="n">
        <x:f>IFERROR(F3118/J3118,0)</x:f>
        <x:v>0</x:v>
      </x:c>
      <x:c r="T3118" s="28" t="n">
        <x:f>H3118-I3118</x:f>
        <x:v>-24</x:v>
      </x:c>
      <x:c r="U3118" s="24" t="n">
        <x:f>IFERROR(J3118/H3118,0)-IFERROR(K3118/I3118,0)</x:f>
        <x:v>-0.14814814814814814</x:v>
      </x:c>
      <x:c r="V3118" s="24" t="n">
        <x:f>IFERROR(F3118/J3118,0)-IFERROR(G3118/K3118,0)</x:f>
        <x:v>-0.25</x:v>
      </x:c>
      <x:c r="W3118" s="28" t="n">
        <x:f>L3118-M3118</x:f>
        <x:v>-12</x:v>
      </x:c>
      <x:c r="X3118" s="24" t="n">
        <x:f>IFERROR(K3118/I3118,0)</x:f>
        <x:v>0.14814814814814814</x:v>
      </x:c>
      <x:c r="Y3118" s="24" t="n">
        <x:f>IFERROR(G3118/I3118,0)</x:f>
        <x:v>0.037037037037037035</x:v>
      </x:c>
      <x:c r="Z3118" s="24" t="n">
        <x:f>IFERROR(G3118/K3118,0)</x:f>
        <x:v>0.25</x:v>
      </x:c>
      <x:c r="AA3118" s="24" t="n">
        <x:f>IFERROR(F3118/H3118,0)-IFERROR(G3118/I3118,0)</x:f>
        <x:v>-0.037037037037037035</x:v>
      </x:c>
      <x:c r="AB3118" s="28" t="n">
        <x:f>J3118-K3118</x:f>
        <x:v>-4</x:v>
      </x:c>
      <x:c r="AC3118" s="32" t="n">
        <x:f>F3118-G3118</x:f>
        <x:v>-1</x:v>
      </x:c>
    </x:row>
    <x:row r="3119">
      <x:c r="A3119" s="4" t="str">
        <x:v>2025-26</x:v>
      </x:c>
      <x:c r="B3119" s="20" t="n">
        <x:v>45914</x:v>
      </x:c>
      <x:c r="C3119" s="4" t="str">
        <x:v>Liverpool</x:v>
      </x:c>
      <x:c r="D3119" s="4" t="str">
        <x:v>Burnley</x:v>
      </x:c>
      <x:c r="E3119" s="4" t="str">
        <x:v>Away</x:v>
      </x:c>
      <x:c r="F3119" s="28" t="n">
        <x:v>1</x:v>
      </x:c>
      <x:c r="G3119" s="28" t="n">
        <x:v>0</x:v>
      </x:c>
      <x:c r="H3119" s="28" t="n">
        <x:v>27</x:v>
      </x:c>
      <x:c r="I3119" s="28" t="n">
        <x:v>3</x:v>
      </x:c>
      <x:c r="J3119" s="28" t="n">
        <x:v>4</x:v>
      </x:c>
      <x:c r="K3119" s="28" t="n">
        <x:v>0</x:v>
      </x:c>
      <x:c r="L3119" s="28" t="n">
        <x:v>13</x:v>
      </x:c>
      <x:c r="M3119" s="28" t="n">
        <x:v>1</x:v>
      </x:c>
      <x:c r="N3119" s="28" t="n">
        <x:v>2</x:v>
      </x:c>
      <x:c r="O3119" s="28" t="n">
        <x:v>0</x:v>
      </x:c>
      <x:c r="P3119" s="28" t="n">
        <x:v>3</x:v>
      </x:c>
      <x:c r="Q3119" s="24" t="n">
        <x:f>IFERROR(J3119/H3119,0)</x:f>
        <x:v>0.14814814814814814</x:v>
      </x:c>
      <x:c r="R3119" s="24" t="n">
        <x:f>IFERROR(F3119/H3119,0)</x:f>
        <x:v>0.037037037037037035</x:v>
      </x:c>
      <x:c r="S3119" s="24" t="n">
        <x:f>IFERROR(F3119/J3119,0)</x:f>
        <x:v>0.25</x:v>
      </x:c>
      <x:c r="T3119" s="28" t="n">
        <x:f>H3119-I3119</x:f>
        <x:v>24</x:v>
      </x:c>
      <x:c r="U3119" s="24" t="n">
        <x:f>IFERROR(J3119/H3119,0)-IFERROR(K3119/I3119,0)</x:f>
        <x:v>0.14814814814814814</x:v>
      </x:c>
      <x:c r="V3119" s="24" t="n">
        <x:f>IFERROR(F3119/J3119,0)-IFERROR(G3119/K3119,0)</x:f>
        <x:v>0.25</x:v>
      </x:c>
      <x:c r="W3119" s="28" t="n">
        <x:f>L3119-M3119</x:f>
        <x:v>12</x:v>
      </x:c>
      <x:c r="X3119" s="24" t="n">
        <x:f>IFERROR(K3119/I3119,0)</x:f>
        <x:v>0</x:v>
      </x:c>
      <x:c r="Y3119" s="24" t="n">
        <x:f>IFERROR(G3119/I3119,0)</x:f>
        <x:v>0</x:v>
      </x:c>
      <x:c r="Z3119" s="24" t="n">
        <x:f>IFERROR(G3119/K3119,0)</x:f>
        <x:v>0</x:v>
      </x:c>
      <x:c r="AA3119" s="24" t="n">
        <x:f>IFERROR(F3119/H3119,0)-IFERROR(G3119/I3119,0)</x:f>
        <x:v>0.037037037037037035</x:v>
      </x:c>
      <x:c r="AB3119" s="28" t="n">
        <x:f>J3119-K3119</x:f>
        <x:v>4</x:v>
      </x:c>
      <x:c r="AC3119" s="32" t="n">
        <x:f>F3119-G3119</x:f>
        <x:v>1</x:v>
      </x:c>
    </x:row>
    <x:row r="3120">
      <x:c r="A3120" s="4" t="str">
        <x:v>2025-26</x:v>
      </x:c>
      <x:c r="B3120" s="20" t="n">
        <x:v>45914</x:v>
      </x:c>
      <x:c r="C3120" s="4" t="str">
        <x:v>Man City</x:v>
      </x:c>
      <x:c r="D3120" s="4" t="str">
        <x:v>Man United</x:v>
      </x:c>
      <x:c r="E3120" s="4" t="str">
        <x:v>Home</x:v>
      </x:c>
      <x:c r="F3120" s="28" t="n">
        <x:v>3</x:v>
      </x:c>
      <x:c r="G3120" s="28" t="n">
        <x:v>0</x:v>
      </x:c>
      <x:c r="H3120" s="28" t="n">
        <x:v>13</x:v>
      </x:c>
      <x:c r="I3120" s="28" t="n">
        <x:v>12</x:v>
      </x:c>
      <x:c r="J3120" s="28" t="n">
        <x:v>6</x:v>
      </x:c>
      <x:c r="K3120" s="28" t="n">
        <x:v>2</x:v>
      </x:c>
      <x:c r="L3120" s="28" t="n">
        <x:v>2</x:v>
      </x:c>
      <x:c r="M3120" s="28" t="n">
        <x:v>4</x:v>
      </x:c>
      <x:c r="N3120" s="28" t="n">
        <x:v>0</x:v>
      </x:c>
      <x:c r="O3120" s="28" t="n">
        <x:v>0</x:v>
      </x:c>
      <x:c r="P3120" s="28" t="n">
        <x:v>3</x:v>
      </x:c>
      <x:c r="Q3120" s="24" t="n">
        <x:f>IFERROR(J3120/H3120,0)</x:f>
        <x:v>0.46153846153846156</x:v>
      </x:c>
      <x:c r="R3120" s="24" t="n">
        <x:f>IFERROR(F3120/H3120,0)</x:f>
        <x:v>0.23076923076923078</x:v>
      </x:c>
      <x:c r="S3120" s="24" t="n">
        <x:f>IFERROR(F3120/J3120,0)</x:f>
        <x:v>0.5</x:v>
      </x:c>
      <x:c r="T3120" s="28" t="n">
        <x:f>H3120-I3120</x:f>
        <x:v>1</x:v>
      </x:c>
      <x:c r="U3120" s="24" t="n">
        <x:f>IFERROR(J3120/H3120,0)-IFERROR(K3120/I3120,0)</x:f>
        <x:v>0.29487179487179493</x:v>
      </x:c>
      <x:c r="V3120" s="24" t="n">
        <x:f>IFERROR(F3120/J3120,0)-IFERROR(G3120/K3120,0)</x:f>
        <x:v>0.5</x:v>
      </x:c>
      <x:c r="W3120" s="28" t="n">
        <x:f>L3120-M3120</x:f>
        <x:v>-2</x:v>
      </x:c>
      <x:c r="X3120" s="24" t="n">
        <x:f>IFERROR(K3120/I3120,0)</x:f>
        <x:v>0.16666666666666666</x:v>
      </x:c>
      <x:c r="Y3120" s="24" t="n">
        <x:f>IFERROR(G3120/I3120,0)</x:f>
        <x:v>0</x:v>
      </x:c>
      <x:c r="Z3120" s="24" t="n">
        <x:f>IFERROR(G3120/K3120,0)</x:f>
        <x:v>0</x:v>
      </x:c>
      <x:c r="AA3120" s="24" t="n">
        <x:f>IFERROR(F3120/H3120,0)-IFERROR(G3120/I3120,0)</x:f>
        <x:v>0.23076923076923078</x:v>
      </x:c>
      <x:c r="AB3120" s="28" t="n">
        <x:f>J3120-K3120</x:f>
        <x:v>4</x:v>
      </x:c>
      <x:c r="AC3120" s="32" t="n">
        <x:f>F3120-G3120</x:f>
        <x:v>3</x:v>
      </x:c>
    </x:row>
    <x:row r="3121">
      <x:c r="A3121" s="4" t="str">
        <x:v>2025-26</x:v>
      </x:c>
      <x:c r="B3121" s="20" t="n">
        <x:v>45914</x:v>
      </x:c>
      <x:c r="C3121" s="4" t="str">
        <x:v>Man United</x:v>
      </x:c>
      <x:c r="D3121" s="4" t="str">
        <x:v>Man City</x:v>
      </x:c>
      <x:c r="E3121" s="4" t="str">
        <x:v>Away</x:v>
      </x:c>
      <x:c r="F3121" s="28" t="n">
        <x:v>0</x:v>
      </x:c>
      <x:c r="G3121" s="28" t="n">
        <x:v>3</x:v>
      </x:c>
      <x:c r="H3121" s="28" t="n">
        <x:v>12</x:v>
      </x:c>
      <x:c r="I3121" s="28" t="n">
        <x:v>13</x:v>
      </x:c>
      <x:c r="J3121" s="28" t="n">
        <x:v>2</x:v>
      </x:c>
      <x:c r="K3121" s="28" t="n">
        <x:v>6</x:v>
      </x:c>
      <x:c r="L3121" s="28" t="n">
        <x:v>4</x:v>
      </x:c>
      <x:c r="M3121" s="28" t="n">
        <x:v>2</x:v>
      </x:c>
      <x:c r="N3121" s="28" t="n">
        <x:v>0</x:v>
      </x:c>
      <x:c r="O3121" s="28" t="n">
        <x:v>0</x:v>
      </x:c>
      <x:c r="P3121" s="28" t="n">
        <x:v>0</x:v>
      </x:c>
      <x:c r="Q3121" s="24" t="n">
        <x:f>IFERROR(J3121/H3121,0)</x:f>
        <x:v>0.16666666666666666</x:v>
      </x:c>
      <x:c r="R3121" s="24" t="n">
        <x:f>IFERROR(F3121/H3121,0)</x:f>
        <x:v>0</x:v>
      </x:c>
      <x:c r="S3121" s="24" t="n">
        <x:f>IFERROR(F3121/J3121,0)</x:f>
        <x:v>0</x:v>
      </x:c>
      <x:c r="T3121" s="28" t="n">
        <x:f>H3121-I3121</x:f>
        <x:v>-1</x:v>
      </x:c>
      <x:c r="U3121" s="24" t="n">
        <x:f>IFERROR(J3121/H3121,0)-IFERROR(K3121/I3121,0)</x:f>
        <x:v>-0.29487179487179493</x:v>
      </x:c>
      <x:c r="V3121" s="24" t="n">
        <x:f>IFERROR(F3121/J3121,0)-IFERROR(G3121/K3121,0)</x:f>
        <x:v>-0.5</x:v>
      </x:c>
      <x:c r="W3121" s="28" t="n">
        <x:f>L3121-M3121</x:f>
        <x:v>2</x:v>
      </x:c>
      <x:c r="X3121" s="24" t="n">
        <x:f>IFERROR(K3121/I3121,0)</x:f>
        <x:v>0.46153846153846156</x:v>
      </x:c>
      <x:c r="Y3121" s="24" t="n">
        <x:f>IFERROR(G3121/I3121,0)</x:f>
        <x:v>0.23076923076923078</x:v>
      </x:c>
      <x:c r="Z3121" s="24" t="n">
        <x:f>IFERROR(G3121/K3121,0)</x:f>
        <x:v>0.5</x:v>
      </x:c>
      <x:c r="AA3121" s="24" t="n">
        <x:f>IFERROR(F3121/H3121,0)-IFERROR(G3121/I3121,0)</x:f>
        <x:v>-0.23076923076923078</x:v>
      </x:c>
      <x:c r="AB3121" s="28" t="n">
        <x:f>J3121-K3121</x:f>
        <x:v>-4</x:v>
      </x:c>
      <x:c r="AC3121" s="32" t="n">
        <x:f>F3121-G3121</x:f>
        <x:v>-3</x:v>
      </x:c>
    </x:row>
    <x:row r="3122">
      <x:c r="A3122" s="4" t="str">
        <x:v>2025-26</x:v>
      </x:c>
      <x:c r="B3122" s="20" t="n">
        <x:v>45920</x:v>
      </x:c>
      <x:c r="C3122" s="4" t="str">
        <x:v>Brentford</x:v>
      </x:c>
      <x:c r="D3122" s="4" t="str">
        <x:v>Fulham</x:v>
      </x:c>
      <x:c r="E3122" s="4" t="str">
        <x:v>Away</x:v>
      </x:c>
      <x:c r="F3122" s="28" t="n">
        <x:v>1</x:v>
      </x:c>
      <x:c r="G3122" s="28" t="n">
        <x:v>3</x:v>
      </x:c>
      <x:c r="H3122" s="28" t="n">
        <x:v>8</x:v>
      </x:c>
      <x:c r="I3122" s="28" t="n">
        <x:v>14</x:v>
      </x:c>
      <x:c r="J3122" s="28" t="n">
        <x:v>3</x:v>
      </x:c>
      <x:c r="K3122" s="28" t="n">
        <x:v>3</x:v>
      </x:c>
      <x:c r="L3122" s="28" t="n">
        <x:v>10</x:v>
      </x:c>
      <x:c r="M3122" s="28" t="n">
        <x:v>2</x:v>
      </x:c>
      <x:c r="N3122" s="28" t="n">
        <x:v>1</x:v>
      </x:c>
      <x:c r="O3122" s="28" t="n">
        <x:v>0</x:v>
      </x:c>
      <x:c r="P3122" s="28" t="n">
        <x:v>0</x:v>
      </x:c>
      <x:c r="Q3122" s="24" t="n">
        <x:f>IFERROR(J3122/H3122,0)</x:f>
        <x:v>0.375</x:v>
      </x:c>
      <x:c r="R3122" s="24" t="n">
        <x:f>IFERROR(F3122/H3122,0)</x:f>
        <x:v>0.125</x:v>
      </x:c>
      <x:c r="S3122" s="24" t="n">
        <x:f>IFERROR(F3122/J3122,0)</x:f>
        <x:v>0.3333333333333333</x:v>
      </x:c>
      <x:c r="T3122" s="28" t="n">
        <x:f>H3122-I3122</x:f>
        <x:v>-6</x:v>
      </x:c>
      <x:c r="U3122" s="24" t="n">
        <x:f>IFERROR(J3122/H3122,0)-IFERROR(K3122/I3122,0)</x:f>
        <x:v>0.16071428571428573</x:v>
      </x:c>
      <x:c r="V3122" s="24" t="n">
        <x:f>IFERROR(F3122/J3122,0)-IFERROR(G3122/K3122,0)</x:f>
        <x:v>-0.6666666666666667</x:v>
      </x:c>
      <x:c r="W3122" s="28" t="n">
        <x:f>L3122-M3122</x:f>
        <x:v>8</x:v>
      </x:c>
      <x:c r="X3122" s="24" t="n">
        <x:f>IFERROR(K3122/I3122,0)</x:f>
        <x:v>0.21428571428571427</x:v>
      </x:c>
      <x:c r="Y3122" s="24" t="n">
        <x:f>IFERROR(G3122/I3122,0)</x:f>
        <x:v>0.21428571428571427</x:v>
      </x:c>
      <x:c r="Z3122" s="24" t="n">
        <x:f>IFERROR(G3122/K3122,0)</x:f>
        <x:v>1</x:v>
      </x:c>
      <x:c r="AA3122" s="24" t="n">
        <x:f>IFERROR(F3122/H3122,0)-IFERROR(G3122/I3122,0)</x:f>
        <x:v>-0.08928571428571427</x:v>
      </x:c>
      <x:c r="AB3122" s="28" t="n">
        <x:f>J3122-K3122</x:f>
        <x:v>0</x:v>
      </x:c>
      <x:c r="AC3122" s="32" t="n">
        <x:f>F3122-G3122</x:f>
        <x:v>-2</x:v>
      </x:c>
    </x:row>
    <x:row r="3123">
      <x:c r="A3123" s="4" t="str">
        <x:v>2025-26</x:v>
      </x:c>
      <x:c r="B3123" s="20" t="n">
        <x:v>45920</x:v>
      </x:c>
      <x:c r="C3123" s="4" t="str">
        <x:v>Brighton</x:v>
      </x:c>
      <x:c r="D3123" s="4" t="str">
        <x:v>Tottenham</x:v>
      </x:c>
      <x:c r="E3123" s="4" t="str">
        <x:v>Home</x:v>
      </x:c>
      <x:c r="F3123" s="28" t="n">
        <x:v>2</x:v>
      </x:c>
      <x:c r="G3123" s="28" t="n">
        <x:v>2</x:v>
      </x:c>
      <x:c r="H3123" s="28" t="n">
        <x:v>12</x:v>
      </x:c>
      <x:c r="I3123" s="28" t="n">
        <x:v>11</x:v>
      </x:c>
      <x:c r="J3123" s="28" t="n">
        <x:v>4</x:v>
      </x:c>
      <x:c r="K3123" s="28" t="n">
        <x:v>3</x:v>
      </x:c>
      <x:c r="L3123" s="28" t="n">
        <x:v>2</x:v>
      </x:c>
      <x:c r="M3123" s="28" t="n">
        <x:v>10</x:v>
      </x:c>
      <x:c r="N3123" s="28" t="n">
        <x:v>1</x:v>
      </x:c>
      <x:c r="O3123" s="28" t="n">
        <x:v>0</x:v>
      </x:c>
      <x:c r="P3123" s="28" t="n">
        <x:v>1</x:v>
      </x:c>
      <x:c r="Q3123" s="24" t="n">
        <x:f>IFERROR(J3123/H3123,0)</x:f>
        <x:v>0.3333333333333333</x:v>
      </x:c>
      <x:c r="R3123" s="24" t="n">
        <x:f>IFERROR(F3123/H3123,0)</x:f>
        <x:v>0.16666666666666666</x:v>
      </x:c>
      <x:c r="S3123" s="24" t="n">
        <x:f>IFERROR(F3123/J3123,0)</x:f>
        <x:v>0.5</x:v>
      </x:c>
      <x:c r="T3123" s="28" t="n">
        <x:f>H3123-I3123</x:f>
        <x:v>1</x:v>
      </x:c>
      <x:c r="U3123" s="24" t="n">
        <x:f>IFERROR(J3123/H3123,0)-IFERROR(K3123/I3123,0)</x:f>
        <x:v>0.06060606060606061</x:v>
      </x:c>
      <x:c r="V3123" s="24" t="n">
        <x:f>IFERROR(F3123/J3123,0)-IFERROR(G3123/K3123,0)</x:f>
        <x:v>-0.16666666666666663</x:v>
      </x:c>
      <x:c r="W3123" s="28" t="n">
        <x:f>L3123-M3123</x:f>
        <x:v>-8</x:v>
      </x:c>
      <x:c r="X3123" s="24" t="n">
        <x:f>IFERROR(K3123/I3123,0)</x:f>
        <x:v>0.2727272727272727</x:v>
      </x:c>
      <x:c r="Y3123" s="24" t="n">
        <x:f>IFERROR(G3123/I3123,0)</x:f>
        <x:v>0.18181818181818182</x:v>
      </x:c>
      <x:c r="Z3123" s="24" t="n">
        <x:f>IFERROR(G3123/K3123,0)</x:f>
        <x:v>0.6666666666666666</x:v>
      </x:c>
      <x:c r="AA3123" s="24" t="n">
        <x:f>IFERROR(F3123/H3123,0)-IFERROR(G3123/I3123,0)</x:f>
        <x:v>-0.015151515151515166</x:v>
      </x:c>
      <x:c r="AB3123" s="28" t="n">
        <x:f>J3123-K3123</x:f>
        <x:v>1</x:v>
      </x:c>
      <x:c r="AC3123" s="32" t="n">
        <x:f>F3123-G3123</x:f>
        <x:v>0</x:v>
      </x:c>
    </x:row>
    <x:row r="3124">
      <x:c r="A3124" s="4" t="str">
        <x:v>2025-26</x:v>
      </x:c>
      <x:c r="B3124" s="20" t="n">
        <x:v>45920</x:v>
      </x:c>
      <x:c r="C3124" s="4" t="str">
        <x:v>Burnley</x:v>
      </x:c>
      <x:c r="D3124" s="4" t="str">
        <x:v>Nott'm Forest</x:v>
      </x:c>
      <x:c r="E3124" s="4" t="str">
        <x:v>Home</x:v>
      </x:c>
      <x:c r="F3124" s="28" t="n">
        <x:v>1</x:v>
      </x:c>
      <x:c r="G3124" s="28" t="n">
        <x:v>1</x:v>
      </x:c>
      <x:c r="H3124" s="28" t="n">
        <x:v>12</x:v>
      </x:c>
      <x:c r="I3124" s="28" t="n">
        <x:v>17</x:v>
      </x:c>
      <x:c r="J3124" s="28" t="n">
        <x:v>5</x:v>
      </x:c>
      <x:c r="K3124" s="28" t="n">
        <x:v>8</x:v>
      </x:c>
      <x:c r="L3124" s="28" t="n">
        <x:v>4</x:v>
      </x:c>
      <x:c r="M3124" s="28" t="n">
        <x:v>5</x:v>
      </x:c>
      <x:c r="N3124" s="28" t="n">
        <x:v>1</x:v>
      </x:c>
      <x:c r="O3124" s="28" t="n">
        <x:v>0</x:v>
      </x:c>
      <x:c r="P3124" s="28" t="n">
        <x:v>1</x:v>
      </x:c>
      <x:c r="Q3124" s="24" t="n">
        <x:f>IFERROR(J3124/H3124,0)</x:f>
        <x:v>0.4166666666666667</x:v>
      </x:c>
      <x:c r="R3124" s="24" t="n">
        <x:f>IFERROR(F3124/H3124,0)</x:f>
        <x:v>0.08333333333333333</x:v>
      </x:c>
      <x:c r="S3124" s="24" t="n">
        <x:f>IFERROR(F3124/J3124,0)</x:f>
        <x:v>0.2</x:v>
      </x:c>
      <x:c r="T3124" s="28" t="n">
        <x:f>H3124-I3124</x:f>
        <x:v>-5</x:v>
      </x:c>
      <x:c r="U3124" s="24" t="n">
        <x:f>IFERROR(J3124/H3124,0)-IFERROR(K3124/I3124,0)</x:f>
        <x:v>-0.053921568627450955</x:v>
      </x:c>
      <x:c r="V3124" s="24" t="n">
        <x:f>IFERROR(F3124/J3124,0)-IFERROR(G3124/K3124,0)</x:f>
        <x:v>0.07500000000000001</x:v>
      </x:c>
      <x:c r="W3124" s="28" t="n">
        <x:f>L3124-M3124</x:f>
        <x:v>-1</x:v>
      </x:c>
      <x:c r="X3124" s="24" t="n">
        <x:f>IFERROR(K3124/I3124,0)</x:f>
        <x:v>0.47058823529411764</x:v>
      </x:c>
      <x:c r="Y3124" s="24" t="n">
        <x:f>IFERROR(G3124/I3124,0)</x:f>
        <x:v>0.058823529411764705</x:v>
      </x:c>
      <x:c r="Z3124" s="24" t="n">
        <x:f>IFERROR(G3124/K3124,0)</x:f>
        <x:v>0.125</x:v>
      </x:c>
      <x:c r="AA3124" s="24" t="n">
        <x:f>IFERROR(F3124/H3124,0)-IFERROR(G3124/I3124,0)</x:f>
        <x:v>0.024509803921568624</x:v>
      </x:c>
      <x:c r="AB3124" s="28" t="n">
        <x:f>J3124-K3124</x:f>
        <x:v>-3</x:v>
      </x:c>
      <x:c r="AC3124" s="32" t="n">
        <x:f>F3124-G3124</x:f>
        <x:v>0</x:v>
      </x:c>
    </x:row>
    <x:row r="3125">
      <x:c r="A3125" s="4" t="str">
        <x:v>2025-26</x:v>
      </x:c>
      <x:c r="B3125" s="20" t="n">
        <x:v>45920</x:v>
      </x:c>
      <x:c r="C3125" s="4" t="str">
        <x:v>Chelsea</x:v>
      </x:c>
      <x:c r="D3125" s="4" t="str">
        <x:v>Man United</x:v>
      </x:c>
      <x:c r="E3125" s="4" t="str">
        <x:v>Away</x:v>
      </x:c>
      <x:c r="F3125" s="28" t="n">
        <x:v>1</x:v>
      </x:c>
      <x:c r="G3125" s="28" t="n">
        <x:v>2</x:v>
      </x:c>
      <x:c r="H3125" s="28" t="n">
        <x:v>5</x:v>
      </x:c>
      <x:c r="I3125" s="28" t="n">
        <x:v>11</x:v>
      </x:c>
      <x:c r="J3125" s="28" t="n">
        <x:v>1</x:v>
      </x:c>
      <x:c r="K3125" s="28" t="n">
        <x:v>4</x:v>
      </x:c>
      <x:c r="L3125" s="28" t="n">
        <x:v>5</x:v>
      </x:c>
      <x:c r="M3125" s="28" t="n">
        <x:v>5</x:v>
      </x:c>
      <x:c r="N3125" s="28" t="n">
        <x:v>5</x:v>
      </x:c>
      <x:c r="O3125" s="28" t="n">
        <x:v>1</x:v>
      </x:c>
      <x:c r="P3125" s="28" t="n">
        <x:v>0</x:v>
      </x:c>
      <x:c r="Q3125" s="24" t="n">
        <x:f>IFERROR(J3125/H3125,0)</x:f>
        <x:v>0.2</x:v>
      </x:c>
      <x:c r="R3125" s="24" t="n">
        <x:f>IFERROR(F3125/H3125,0)</x:f>
        <x:v>0.2</x:v>
      </x:c>
      <x:c r="S3125" s="24" t="n">
        <x:f>IFERROR(F3125/J3125,0)</x:f>
        <x:v>1</x:v>
      </x:c>
      <x:c r="T3125" s="28" t="n">
        <x:f>H3125-I3125</x:f>
        <x:v>-6</x:v>
      </x:c>
      <x:c r="U3125" s="24" t="n">
        <x:f>IFERROR(J3125/H3125,0)-IFERROR(K3125/I3125,0)</x:f>
        <x:v>-0.16363636363636364</x:v>
      </x:c>
      <x:c r="V3125" s="24" t="n">
        <x:f>IFERROR(F3125/J3125,0)-IFERROR(G3125/K3125,0)</x:f>
        <x:v>0.5</x:v>
      </x:c>
      <x:c r="W3125" s="28" t="n">
        <x:f>L3125-M3125</x:f>
        <x:v>0</x:v>
      </x:c>
      <x:c r="X3125" s="24" t="n">
        <x:f>IFERROR(K3125/I3125,0)</x:f>
        <x:v>0.36363636363636365</x:v>
      </x:c>
      <x:c r="Y3125" s="24" t="n">
        <x:f>IFERROR(G3125/I3125,0)</x:f>
        <x:v>0.18181818181818182</x:v>
      </x:c>
      <x:c r="Z3125" s="24" t="n">
        <x:f>IFERROR(G3125/K3125,0)</x:f>
        <x:v>0.5</x:v>
      </x:c>
      <x:c r="AA3125" s="24" t="n">
        <x:f>IFERROR(F3125/H3125,0)-IFERROR(G3125/I3125,0)</x:f>
        <x:v>0.018181818181818188</x:v>
      </x:c>
      <x:c r="AB3125" s="28" t="n">
        <x:f>J3125-K3125</x:f>
        <x:v>-3</x:v>
      </x:c>
      <x:c r="AC3125" s="32" t="n">
        <x:f>F3125-G3125</x:f>
        <x:v>-1</x:v>
      </x:c>
    </x:row>
    <x:row r="3126">
      <x:c r="A3126" s="4" t="str">
        <x:v>2025-26</x:v>
      </x:c>
      <x:c r="B3126" s="20" t="n">
        <x:v>45920</x:v>
      </x:c>
      <x:c r="C3126" s="4" t="str">
        <x:v>Crystal Palace</x:v>
      </x:c>
      <x:c r="D3126" s="4" t="str">
        <x:v>West Ham</x:v>
      </x:c>
      <x:c r="E3126" s="4" t="str">
        <x:v>Away</x:v>
      </x:c>
      <x:c r="F3126" s="28" t="n">
        <x:v>2</x:v>
      </x:c>
      <x:c r="G3126" s="28" t="n">
        <x:v>1</x:v>
      </x:c>
      <x:c r="H3126" s="28" t="n">
        <x:v>18</x:v>
      </x:c>
      <x:c r="I3126" s="28" t="n">
        <x:v>8</x:v>
      </x:c>
      <x:c r="J3126" s="28" t="n">
        <x:v>3</x:v>
      </x:c>
      <x:c r="K3126" s="28" t="n">
        <x:v>3</x:v>
      </x:c>
      <x:c r="L3126" s="28" t="n">
        <x:v>8</x:v>
      </x:c>
      <x:c r="M3126" s="28" t="n">
        <x:v>8</x:v>
      </x:c>
      <x:c r="N3126" s="28" t="n">
        <x:v>3</x:v>
      </x:c>
      <x:c r="O3126" s="28" t="n">
        <x:v>0</x:v>
      </x:c>
      <x:c r="P3126" s="28" t="n">
        <x:v>3</x:v>
      </x:c>
      <x:c r="Q3126" s="24" t="n">
        <x:f>IFERROR(J3126/H3126,0)</x:f>
        <x:v>0.16666666666666666</x:v>
      </x:c>
      <x:c r="R3126" s="24" t="n">
        <x:f>IFERROR(F3126/H3126,0)</x:f>
        <x:v>0.1111111111111111</x:v>
      </x:c>
      <x:c r="S3126" s="24" t="n">
        <x:f>IFERROR(F3126/J3126,0)</x:f>
        <x:v>0.6666666666666666</x:v>
      </x:c>
      <x:c r="T3126" s="28" t="n">
        <x:f>H3126-I3126</x:f>
        <x:v>10</x:v>
      </x:c>
      <x:c r="U3126" s="24" t="n">
        <x:f>IFERROR(J3126/H3126,0)-IFERROR(K3126/I3126,0)</x:f>
        <x:v>-0.20833333333333334</x:v>
      </x:c>
      <x:c r="V3126" s="24" t="n">
        <x:f>IFERROR(F3126/J3126,0)-IFERROR(G3126/K3126,0)</x:f>
        <x:v>0.3333333333333333</x:v>
      </x:c>
      <x:c r="W3126" s="28" t="n">
        <x:f>L3126-M3126</x:f>
        <x:v>0</x:v>
      </x:c>
      <x:c r="X3126" s="24" t="n">
        <x:f>IFERROR(K3126/I3126,0)</x:f>
        <x:v>0.375</x:v>
      </x:c>
      <x:c r="Y3126" s="24" t="n">
        <x:f>IFERROR(G3126/I3126,0)</x:f>
        <x:v>0.125</x:v>
      </x:c>
      <x:c r="Z3126" s="24" t="n">
        <x:f>IFERROR(G3126/K3126,0)</x:f>
        <x:v>0.3333333333333333</x:v>
      </x:c>
      <x:c r="AA3126" s="24" t="n">
        <x:f>IFERROR(F3126/H3126,0)-IFERROR(G3126/I3126,0)</x:f>
        <x:v>-0.013888888888888895</x:v>
      </x:c>
      <x:c r="AB3126" s="28" t="n">
        <x:f>J3126-K3126</x:f>
        <x:v>0</x:v>
      </x:c>
      <x:c r="AC3126" s="32" t="n">
        <x:f>F3126-G3126</x:f>
        <x:v>1</x:v>
      </x:c>
    </x:row>
    <x:row r="3127">
      <x:c r="A3127" s="4" t="str">
        <x:v>2025-26</x:v>
      </x:c>
      <x:c r="B3127" s="20" t="n">
        <x:v>45920</x:v>
      </x:c>
      <x:c r="C3127" s="4" t="str">
        <x:v>Everton</x:v>
      </x:c>
      <x:c r="D3127" s="4" t="str">
        <x:v>Liverpool</x:v>
      </x:c>
      <x:c r="E3127" s="4" t="str">
        <x:v>Away</x:v>
      </x:c>
      <x:c r="F3127" s="28" t="n">
        <x:v>1</x:v>
      </x:c>
      <x:c r="G3127" s="28" t="n">
        <x:v>2</x:v>
      </x:c>
      <x:c r="H3127" s="28" t="n">
        <x:v>9</x:v>
      </x:c>
      <x:c r="I3127" s="28" t="n">
        <x:v>11</x:v>
      </x:c>
      <x:c r="J3127" s="28" t="n">
        <x:v>2</x:v>
      </x:c>
      <x:c r="K3127" s="28" t="n">
        <x:v>3</x:v>
      </x:c>
      <x:c r="L3127" s="28" t="n">
        <x:v>4</x:v>
      </x:c>
      <x:c r="M3127" s="28" t="n">
        <x:v>5</x:v>
      </x:c>
      <x:c r="N3127" s="28" t="n">
        <x:v>3</x:v>
      </x:c>
      <x:c r="O3127" s="28" t="n">
        <x:v>0</x:v>
      </x:c>
      <x:c r="P3127" s="28" t="n">
        <x:v>0</x:v>
      </x:c>
      <x:c r="Q3127" s="24" t="n">
        <x:f>IFERROR(J3127/H3127,0)</x:f>
        <x:v>0.2222222222222222</x:v>
      </x:c>
      <x:c r="R3127" s="24" t="n">
        <x:f>IFERROR(F3127/H3127,0)</x:f>
        <x:v>0.1111111111111111</x:v>
      </x:c>
      <x:c r="S3127" s="24" t="n">
        <x:f>IFERROR(F3127/J3127,0)</x:f>
        <x:v>0.5</x:v>
      </x:c>
      <x:c r="T3127" s="28" t="n">
        <x:f>H3127-I3127</x:f>
        <x:v>-2</x:v>
      </x:c>
      <x:c r="U3127" s="24" t="n">
        <x:f>IFERROR(J3127/H3127,0)-IFERROR(K3127/I3127,0)</x:f>
        <x:v>-0.0505050505050505</x:v>
      </x:c>
      <x:c r="V3127" s="24" t="n">
        <x:f>IFERROR(F3127/J3127,0)-IFERROR(G3127/K3127,0)</x:f>
        <x:v>-0.16666666666666663</x:v>
      </x:c>
      <x:c r="W3127" s="28" t="n">
        <x:f>L3127-M3127</x:f>
        <x:v>-1</x:v>
      </x:c>
      <x:c r="X3127" s="24" t="n">
        <x:f>IFERROR(K3127/I3127,0)</x:f>
        <x:v>0.2727272727272727</x:v>
      </x:c>
      <x:c r="Y3127" s="24" t="n">
        <x:f>IFERROR(G3127/I3127,0)</x:f>
        <x:v>0.18181818181818182</x:v>
      </x:c>
      <x:c r="Z3127" s="24" t="n">
        <x:f>IFERROR(G3127/K3127,0)</x:f>
        <x:v>0.6666666666666666</x:v>
      </x:c>
      <x:c r="AA3127" s="24" t="n">
        <x:f>IFERROR(F3127/H3127,0)-IFERROR(G3127/I3127,0)</x:f>
        <x:v>-0.07070707070707072</x:v>
      </x:c>
      <x:c r="AB3127" s="28" t="n">
        <x:f>J3127-K3127</x:f>
        <x:v>-1</x:v>
      </x:c>
      <x:c r="AC3127" s="32" t="n">
        <x:f>F3127-G3127</x:f>
        <x:v>-1</x:v>
      </x:c>
    </x:row>
    <x:row r="3128">
      <x:c r="A3128" s="4" t="str">
        <x:v>2025-26</x:v>
      </x:c>
      <x:c r="B3128" s="20" t="n">
        <x:v>45920</x:v>
      </x:c>
      <x:c r="C3128" s="4" t="str">
        <x:v>Fulham</x:v>
      </x:c>
      <x:c r="D3128" s="4" t="str">
        <x:v>Brentford</x:v>
      </x:c>
      <x:c r="E3128" s="4" t="str">
        <x:v>Home</x:v>
      </x:c>
      <x:c r="F3128" s="28" t="n">
        <x:v>3</x:v>
      </x:c>
      <x:c r="G3128" s="28" t="n">
        <x:v>1</x:v>
      </x:c>
      <x:c r="H3128" s="28" t="n">
        <x:v>14</x:v>
      </x:c>
      <x:c r="I3128" s="28" t="n">
        <x:v>8</x:v>
      </x:c>
      <x:c r="J3128" s="28" t="n">
        <x:v>3</x:v>
      </x:c>
      <x:c r="K3128" s="28" t="n">
        <x:v>3</x:v>
      </x:c>
      <x:c r="L3128" s="28" t="n">
        <x:v>2</x:v>
      </x:c>
      <x:c r="M3128" s="28" t="n">
        <x:v>10</x:v>
      </x:c>
      <x:c r="N3128" s="28" t="n">
        <x:v>4</x:v>
      </x:c>
      <x:c r="O3128" s="28" t="n">
        <x:v>0</x:v>
      </x:c>
      <x:c r="P3128" s="28" t="n">
        <x:v>3</x:v>
      </x:c>
      <x:c r="Q3128" s="24" t="n">
        <x:f>IFERROR(J3128/H3128,0)</x:f>
        <x:v>0.21428571428571427</x:v>
      </x:c>
      <x:c r="R3128" s="24" t="n">
        <x:f>IFERROR(F3128/H3128,0)</x:f>
        <x:v>0.21428571428571427</x:v>
      </x:c>
      <x:c r="S3128" s="24" t="n">
        <x:f>IFERROR(F3128/J3128,0)</x:f>
        <x:v>1</x:v>
      </x:c>
      <x:c r="T3128" s="28" t="n">
        <x:f>H3128-I3128</x:f>
        <x:v>6</x:v>
      </x:c>
      <x:c r="U3128" s="24" t="n">
        <x:f>IFERROR(J3128/H3128,0)-IFERROR(K3128/I3128,0)</x:f>
        <x:v>-0.16071428571428573</x:v>
      </x:c>
      <x:c r="V3128" s="24" t="n">
        <x:f>IFERROR(F3128/J3128,0)-IFERROR(G3128/K3128,0)</x:f>
        <x:v>0.6666666666666667</x:v>
      </x:c>
      <x:c r="W3128" s="28" t="n">
        <x:f>L3128-M3128</x:f>
        <x:v>-8</x:v>
      </x:c>
      <x:c r="X3128" s="24" t="n">
        <x:f>IFERROR(K3128/I3128,0)</x:f>
        <x:v>0.375</x:v>
      </x:c>
      <x:c r="Y3128" s="24" t="n">
        <x:f>IFERROR(G3128/I3128,0)</x:f>
        <x:v>0.125</x:v>
      </x:c>
      <x:c r="Z3128" s="24" t="n">
        <x:f>IFERROR(G3128/K3128,0)</x:f>
        <x:v>0.3333333333333333</x:v>
      </x:c>
      <x:c r="AA3128" s="24" t="n">
        <x:f>IFERROR(F3128/H3128,0)-IFERROR(G3128/I3128,0)</x:f>
        <x:v>0.08928571428571427</x:v>
      </x:c>
      <x:c r="AB3128" s="28" t="n">
        <x:f>J3128-K3128</x:f>
        <x:v>0</x:v>
      </x:c>
      <x:c r="AC3128" s="32" t="n">
        <x:f>F3128-G3128</x:f>
        <x:v>2</x:v>
      </x:c>
    </x:row>
    <x:row r="3129">
      <x:c r="A3129" s="4" t="str">
        <x:v>2025-26</x:v>
      </x:c>
      <x:c r="B3129" s="20" t="n">
        <x:v>45920</x:v>
      </x:c>
      <x:c r="C3129" s="4" t="str">
        <x:v>Leeds</x:v>
      </x:c>
      <x:c r="D3129" s="4" t="str">
        <x:v>Wolves</x:v>
      </x:c>
      <x:c r="E3129" s="4" t="str">
        <x:v>Away</x:v>
      </x:c>
      <x:c r="F3129" s="28" t="n">
        <x:v>3</x:v>
      </x:c>
      <x:c r="G3129" s="28" t="n">
        <x:v>1</x:v>
      </x:c>
      <x:c r="H3129" s="28" t="n">
        <x:v>6</x:v>
      </x:c>
      <x:c r="I3129" s="28" t="n">
        <x:v>16</x:v>
      </x:c>
      <x:c r="J3129" s="28" t="n">
        <x:v>4</x:v>
      </x:c>
      <x:c r="K3129" s="28" t="n">
        <x:v>6</x:v>
      </x:c>
      <x:c r="L3129" s="28" t="n">
        <x:v>0</x:v>
      </x:c>
      <x:c r="M3129" s="28" t="n">
        <x:v>4</x:v>
      </x:c>
      <x:c r="N3129" s="28" t="n">
        <x:v>1</x:v>
      </x:c>
      <x:c r="O3129" s="28" t="n">
        <x:v>0</x:v>
      </x:c>
      <x:c r="P3129" s="28" t="n">
        <x:v>3</x:v>
      </x:c>
      <x:c r="Q3129" s="24" t="n">
        <x:f>IFERROR(J3129/H3129,0)</x:f>
        <x:v>0.6666666666666666</x:v>
      </x:c>
      <x:c r="R3129" s="24" t="n">
        <x:f>IFERROR(F3129/H3129,0)</x:f>
        <x:v>0.5</x:v>
      </x:c>
      <x:c r="S3129" s="24" t="n">
        <x:f>IFERROR(F3129/J3129,0)</x:f>
        <x:v>0.75</x:v>
      </x:c>
      <x:c r="T3129" s="28" t="n">
        <x:f>H3129-I3129</x:f>
        <x:v>-10</x:v>
      </x:c>
      <x:c r="U3129" s="24" t="n">
        <x:f>IFERROR(J3129/H3129,0)-IFERROR(K3129/I3129,0)</x:f>
        <x:v>0.29166666666666663</x:v>
      </x:c>
      <x:c r="V3129" s="24" t="n">
        <x:f>IFERROR(F3129/J3129,0)-IFERROR(G3129/K3129,0)</x:f>
        <x:v>0.5833333333333334</x:v>
      </x:c>
      <x:c r="W3129" s="28" t="n">
        <x:f>L3129-M3129</x:f>
        <x:v>-4</x:v>
      </x:c>
      <x:c r="X3129" s="24" t="n">
        <x:f>IFERROR(K3129/I3129,0)</x:f>
        <x:v>0.375</x:v>
      </x:c>
      <x:c r="Y3129" s="24" t="n">
        <x:f>IFERROR(G3129/I3129,0)</x:f>
        <x:v>0.0625</x:v>
      </x:c>
      <x:c r="Z3129" s="24" t="n">
        <x:f>IFERROR(G3129/K3129,0)</x:f>
        <x:v>0.16666666666666666</x:v>
      </x:c>
      <x:c r="AA3129" s="24" t="n">
        <x:f>IFERROR(F3129/H3129,0)-IFERROR(G3129/I3129,0)</x:f>
        <x:v>0.4375</x:v>
      </x:c>
      <x:c r="AB3129" s="28" t="n">
        <x:f>J3129-K3129</x:f>
        <x:v>-2</x:v>
      </x:c>
      <x:c r="AC3129" s="32" t="n">
        <x:f>F3129-G3129</x:f>
        <x:v>2</x:v>
      </x:c>
    </x:row>
    <x:row r="3130">
      <x:c r="A3130" s="4" t="str">
        <x:v>2025-26</x:v>
      </x:c>
      <x:c r="B3130" s="20" t="n">
        <x:v>45920</x:v>
      </x:c>
      <x:c r="C3130" s="4" t="str">
        <x:v>Liverpool</x:v>
      </x:c>
      <x:c r="D3130" s="4" t="str">
        <x:v>Everton</x:v>
      </x:c>
      <x:c r="E3130" s="4" t="str">
        <x:v>Home</x:v>
      </x:c>
      <x:c r="F3130" s="28" t="n">
        <x:v>2</x:v>
      </x:c>
      <x:c r="G3130" s="28" t="n">
        <x:v>1</x:v>
      </x:c>
      <x:c r="H3130" s="28" t="n">
        <x:v>11</x:v>
      </x:c>
      <x:c r="I3130" s="28" t="n">
        <x:v>9</x:v>
      </x:c>
      <x:c r="J3130" s="28" t="n">
        <x:v>3</x:v>
      </x:c>
      <x:c r="K3130" s="28" t="n">
        <x:v>2</x:v>
      </x:c>
      <x:c r="L3130" s="28" t="n">
        <x:v>5</x:v>
      </x:c>
      <x:c r="M3130" s="28" t="n">
        <x:v>4</x:v>
      </x:c>
      <x:c r="N3130" s="28" t="n">
        <x:v>2</x:v>
      </x:c>
      <x:c r="O3130" s="28" t="n">
        <x:v>0</x:v>
      </x:c>
      <x:c r="P3130" s="28" t="n">
        <x:v>3</x:v>
      </x:c>
      <x:c r="Q3130" s="24" t="n">
        <x:f>IFERROR(J3130/H3130,0)</x:f>
        <x:v>0.2727272727272727</x:v>
      </x:c>
      <x:c r="R3130" s="24" t="n">
        <x:f>IFERROR(F3130/H3130,0)</x:f>
        <x:v>0.18181818181818182</x:v>
      </x:c>
      <x:c r="S3130" s="24" t="n">
        <x:f>IFERROR(F3130/J3130,0)</x:f>
        <x:v>0.6666666666666666</x:v>
      </x:c>
      <x:c r="T3130" s="28" t="n">
        <x:f>H3130-I3130</x:f>
        <x:v>2</x:v>
      </x:c>
      <x:c r="U3130" s="24" t="n">
        <x:f>IFERROR(J3130/H3130,0)-IFERROR(K3130/I3130,0)</x:f>
        <x:v>0.0505050505050505</x:v>
      </x:c>
      <x:c r="V3130" s="24" t="n">
        <x:f>IFERROR(F3130/J3130,0)-IFERROR(G3130/K3130,0)</x:f>
        <x:v>0.16666666666666663</x:v>
      </x:c>
      <x:c r="W3130" s="28" t="n">
        <x:f>L3130-M3130</x:f>
        <x:v>1</x:v>
      </x:c>
      <x:c r="X3130" s="24" t="n">
        <x:f>IFERROR(K3130/I3130,0)</x:f>
        <x:v>0.2222222222222222</x:v>
      </x:c>
      <x:c r="Y3130" s="24" t="n">
        <x:f>IFERROR(G3130/I3130,0)</x:f>
        <x:v>0.1111111111111111</x:v>
      </x:c>
      <x:c r="Z3130" s="24" t="n">
        <x:f>IFERROR(G3130/K3130,0)</x:f>
        <x:v>0.5</x:v>
      </x:c>
      <x:c r="AA3130" s="24" t="n">
        <x:f>IFERROR(F3130/H3130,0)-IFERROR(G3130/I3130,0)</x:f>
        <x:v>0.07070707070707072</x:v>
      </x:c>
      <x:c r="AB3130" s="28" t="n">
        <x:f>J3130-K3130</x:f>
        <x:v>1</x:v>
      </x:c>
      <x:c r="AC3130" s="32" t="n">
        <x:f>F3130-G3130</x:f>
        <x:v>1</x:v>
      </x:c>
    </x:row>
    <x:row r="3131">
      <x:c r="A3131" s="4" t="str">
        <x:v>2025-26</x:v>
      </x:c>
      <x:c r="B3131" s="20" t="n">
        <x:v>45920</x:v>
      </x:c>
      <x:c r="C3131" s="4" t="str">
        <x:v>Man United</x:v>
      </x:c>
      <x:c r="D3131" s="4" t="str">
        <x:v>Chelsea</x:v>
      </x:c>
      <x:c r="E3131" s="4" t="str">
        <x:v>Home</x:v>
      </x:c>
      <x:c r="F3131" s="28" t="n">
        <x:v>2</x:v>
      </x:c>
      <x:c r="G3131" s="28" t="n">
        <x:v>1</x:v>
      </x:c>
      <x:c r="H3131" s="28" t="n">
        <x:v>11</x:v>
      </x:c>
      <x:c r="I3131" s="28" t="n">
        <x:v>5</x:v>
      </x:c>
      <x:c r="J3131" s="28" t="n">
        <x:v>4</x:v>
      </x:c>
      <x:c r="K3131" s="28" t="n">
        <x:v>1</x:v>
      </x:c>
      <x:c r="L3131" s="28" t="n">
        <x:v>5</x:v>
      </x:c>
      <x:c r="M3131" s="28" t="n">
        <x:v>5</x:v>
      </x:c>
      <x:c r="N3131" s="28" t="n">
        <x:v>0</x:v>
      </x:c>
      <x:c r="O3131" s="28" t="n">
        <x:v>1</x:v>
      </x:c>
      <x:c r="P3131" s="28" t="n">
        <x:v>3</x:v>
      </x:c>
      <x:c r="Q3131" s="24" t="n">
        <x:f>IFERROR(J3131/H3131,0)</x:f>
        <x:v>0.36363636363636365</x:v>
      </x:c>
      <x:c r="R3131" s="24" t="n">
        <x:f>IFERROR(F3131/H3131,0)</x:f>
        <x:v>0.18181818181818182</x:v>
      </x:c>
      <x:c r="S3131" s="24" t="n">
        <x:f>IFERROR(F3131/J3131,0)</x:f>
        <x:v>0.5</x:v>
      </x:c>
      <x:c r="T3131" s="28" t="n">
        <x:f>H3131-I3131</x:f>
        <x:v>6</x:v>
      </x:c>
      <x:c r="U3131" s="24" t="n">
        <x:f>IFERROR(J3131/H3131,0)-IFERROR(K3131/I3131,0)</x:f>
        <x:v>0.16363636363636364</x:v>
      </x:c>
      <x:c r="V3131" s="24" t="n">
        <x:f>IFERROR(F3131/J3131,0)-IFERROR(G3131/K3131,0)</x:f>
        <x:v>-0.5</x:v>
      </x:c>
      <x:c r="W3131" s="28" t="n">
        <x:f>L3131-M3131</x:f>
        <x:v>0</x:v>
      </x:c>
      <x:c r="X3131" s="24" t="n">
        <x:f>IFERROR(K3131/I3131,0)</x:f>
        <x:v>0.2</x:v>
      </x:c>
      <x:c r="Y3131" s="24" t="n">
        <x:f>IFERROR(G3131/I3131,0)</x:f>
        <x:v>0.2</x:v>
      </x:c>
      <x:c r="Z3131" s="24" t="n">
        <x:f>IFERROR(G3131/K3131,0)</x:f>
        <x:v>1</x:v>
      </x:c>
      <x:c r="AA3131" s="24" t="n">
        <x:f>IFERROR(F3131/H3131,0)-IFERROR(G3131/I3131,0)</x:f>
        <x:v>-0.018181818181818188</x:v>
      </x:c>
      <x:c r="AB3131" s="28" t="n">
        <x:f>J3131-K3131</x:f>
        <x:v>3</x:v>
      </x:c>
      <x:c r="AC3131" s="32" t="n">
        <x:f>F3131-G3131</x:f>
        <x:v>1</x:v>
      </x:c>
    </x:row>
    <x:row r="3132">
      <x:c r="A3132" s="4" t="str">
        <x:v>2025-26</x:v>
      </x:c>
      <x:c r="B3132" s="20" t="n">
        <x:v>45920</x:v>
      </x:c>
      <x:c r="C3132" s="4" t="str">
        <x:v>Nott'm Forest</x:v>
      </x:c>
      <x:c r="D3132" s="4" t="str">
        <x:v>Burnley</x:v>
      </x:c>
      <x:c r="E3132" s="4" t="str">
        <x:v>Away</x:v>
      </x:c>
      <x:c r="F3132" s="28" t="n">
        <x:v>1</x:v>
      </x:c>
      <x:c r="G3132" s="28" t="n">
        <x:v>1</x:v>
      </x:c>
      <x:c r="H3132" s="28" t="n">
        <x:v>17</x:v>
      </x:c>
      <x:c r="I3132" s="28" t="n">
        <x:v>12</x:v>
      </x:c>
      <x:c r="J3132" s="28" t="n">
        <x:v>8</x:v>
      </x:c>
      <x:c r="K3132" s="28" t="n">
        <x:v>5</x:v>
      </x:c>
      <x:c r="L3132" s="28" t="n">
        <x:v>5</x:v>
      </x:c>
      <x:c r="M3132" s="28" t="n">
        <x:v>4</x:v>
      </x:c>
      <x:c r="N3132" s="28" t="n">
        <x:v>1</x:v>
      </x:c>
      <x:c r="O3132" s="28" t="n">
        <x:v>0</x:v>
      </x:c>
      <x:c r="P3132" s="28" t="n">
        <x:v>1</x:v>
      </x:c>
      <x:c r="Q3132" s="24" t="n">
        <x:f>IFERROR(J3132/H3132,0)</x:f>
        <x:v>0.47058823529411764</x:v>
      </x:c>
      <x:c r="R3132" s="24" t="n">
        <x:f>IFERROR(F3132/H3132,0)</x:f>
        <x:v>0.058823529411764705</x:v>
      </x:c>
      <x:c r="S3132" s="24" t="n">
        <x:f>IFERROR(F3132/J3132,0)</x:f>
        <x:v>0.125</x:v>
      </x:c>
      <x:c r="T3132" s="28" t="n">
        <x:f>H3132-I3132</x:f>
        <x:v>5</x:v>
      </x:c>
      <x:c r="U3132" s="24" t="n">
        <x:f>IFERROR(J3132/H3132,0)-IFERROR(K3132/I3132,0)</x:f>
        <x:v>0.053921568627450955</x:v>
      </x:c>
      <x:c r="V3132" s="24" t="n">
        <x:f>IFERROR(F3132/J3132,0)-IFERROR(G3132/K3132,0)</x:f>
        <x:v>-0.07500000000000001</x:v>
      </x:c>
      <x:c r="W3132" s="28" t="n">
        <x:f>L3132-M3132</x:f>
        <x:v>1</x:v>
      </x:c>
      <x:c r="X3132" s="24" t="n">
        <x:f>IFERROR(K3132/I3132,0)</x:f>
        <x:v>0.4166666666666667</x:v>
      </x:c>
      <x:c r="Y3132" s="24" t="n">
        <x:f>IFERROR(G3132/I3132,0)</x:f>
        <x:v>0.08333333333333333</x:v>
      </x:c>
      <x:c r="Z3132" s="24" t="n">
        <x:f>IFERROR(G3132/K3132,0)</x:f>
        <x:v>0.2</x:v>
      </x:c>
      <x:c r="AA3132" s="24" t="n">
        <x:f>IFERROR(F3132/H3132,0)-IFERROR(G3132/I3132,0)</x:f>
        <x:v>-0.024509803921568624</x:v>
      </x:c>
      <x:c r="AB3132" s="28" t="n">
        <x:f>J3132-K3132</x:f>
        <x:v>3</x:v>
      </x:c>
      <x:c r="AC3132" s="32" t="n">
        <x:f>F3132-G3132</x:f>
        <x:v>0</x:v>
      </x:c>
    </x:row>
    <x:row r="3133">
      <x:c r="A3133" s="4" t="str">
        <x:v>2025-26</x:v>
      </x:c>
      <x:c r="B3133" s="20" t="n">
        <x:v>45920</x:v>
      </x:c>
      <x:c r="C3133" s="4" t="str">
        <x:v>Tottenham</x:v>
      </x:c>
      <x:c r="D3133" s="4" t="str">
        <x:v>Brighton</x:v>
      </x:c>
      <x:c r="E3133" s="4" t="str">
        <x:v>Away</x:v>
      </x:c>
      <x:c r="F3133" s="28" t="n">
        <x:v>2</x:v>
      </x:c>
      <x:c r="G3133" s="28" t="n">
        <x:v>2</x:v>
      </x:c>
      <x:c r="H3133" s="28" t="n">
        <x:v>11</x:v>
      </x:c>
      <x:c r="I3133" s="28" t="n">
        <x:v>12</x:v>
      </x:c>
      <x:c r="J3133" s="28" t="n">
        <x:v>3</x:v>
      </x:c>
      <x:c r="K3133" s="28" t="n">
        <x:v>4</x:v>
      </x:c>
      <x:c r="L3133" s="28" t="n">
        <x:v>10</x:v>
      </x:c>
      <x:c r="M3133" s="28" t="n">
        <x:v>2</x:v>
      </x:c>
      <x:c r="N3133" s="28" t="n">
        <x:v>2</x:v>
      </x:c>
      <x:c r="O3133" s="28" t="n">
        <x:v>0</x:v>
      </x:c>
      <x:c r="P3133" s="28" t="n">
        <x:v>1</x:v>
      </x:c>
      <x:c r="Q3133" s="24" t="n">
        <x:f>IFERROR(J3133/H3133,0)</x:f>
        <x:v>0.2727272727272727</x:v>
      </x:c>
      <x:c r="R3133" s="24" t="n">
        <x:f>IFERROR(F3133/H3133,0)</x:f>
        <x:v>0.18181818181818182</x:v>
      </x:c>
      <x:c r="S3133" s="24" t="n">
        <x:f>IFERROR(F3133/J3133,0)</x:f>
        <x:v>0.6666666666666666</x:v>
      </x:c>
      <x:c r="T3133" s="28" t="n">
        <x:f>H3133-I3133</x:f>
        <x:v>-1</x:v>
      </x:c>
      <x:c r="U3133" s="24" t="n">
        <x:f>IFERROR(J3133/H3133,0)-IFERROR(K3133/I3133,0)</x:f>
        <x:v>-0.06060606060606061</x:v>
      </x:c>
      <x:c r="V3133" s="24" t="n">
        <x:f>IFERROR(F3133/J3133,0)-IFERROR(G3133/K3133,0)</x:f>
        <x:v>0.16666666666666663</x:v>
      </x:c>
      <x:c r="W3133" s="28" t="n">
        <x:f>L3133-M3133</x:f>
        <x:v>8</x:v>
      </x:c>
      <x:c r="X3133" s="24" t="n">
        <x:f>IFERROR(K3133/I3133,0)</x:f>
        <x:v>0.3333333333333333</x:v>
      </x:c>
      <x:c r="Y3133" s="24" t="n">
        <x:f>IFERROR(G3133/I3133,0)</x:f>
        <x:v>0.16666666666666666</x:v>
      </x:c>
      <x:c r="Z3133" s="24" t="n">
        <x:f>IFERROR(G3133/K3133,0)</x:f>
        <x:v>0.5</x:v>
      </x:c>
      <x:c r="AA3133" s="24" t="n">
        <x:f>IFERROR(F3133/H3133,0)-IFERROR(G3133/I3133,0)</x:f>
        <x:v>0.015151515151515166</x:v>
      </x:c>
      <x:c r="AB3133" s="28" t="n">
        <x:f>J3133-K3133</x:f>
        <x:v>-1</x:v>
      </x:c>
      <x:c r="AC3133" s="32" t="n">
        <x:f>F3133-G3133</x:f>
        <x:v>0</x:v>
      </x:c>
    </x:row>
    <x:row r="3134">
      <x:c r="A3134" s="4" t="str">
        <x:v>2025-26</x:v>
      </x:c>
      <x:c r="B3134" s="20" t="n">
        <x:v>45920</x:v>
      </x:c>
      <x:c r="C3134" s="4" t="str">
        <x:v>West Ham</x:v>
      </x:c>
      <x:c r="D3134" s="4" t="str">
        <x:v>Crystal Palace</x:v>
      </x:c>
      <x:c r="E3134" s="4" t="str">
        <x:v>Home</x:v>
      </x:c>
      <x:c r="F3134" s="28" t="n">
        <x:v>1</x:v>
      </x:c>
      <x:c r="G3134" s="28" t="n">
        <x:v>2</x:v>
      </x:c>
      <x:c r="H3134" s="28" t="n">
        <x:v>8</x:v>
      </x:c>
      <x:c r="I3134" s="28" t="n">
        <x:v>18</x:v>
      </x:c>
      <x:c r="J3134" s="28" t="n">
        <x:v>3</x:v>
      </x:c>
      <x:c r="K3134" s="28" t="n">
        <x:v>3</x:v>
      </x:c>
      <x:c r="L3134" s="28" t="n">
        <x:v>8</x:v>
      </x:c>
      <x:c r="M3134" s="28" t="n">
        <x:v>8</x:v>
      </x:c>
      <x:c r="N3134" s="28" t="n">
        <x:v>3</x:v>
      </x:c>
      <x:c r="O3134" s="28" t="n">
        <x:v>0</x:v>
      </x:c>
      <x:c r="P3134" s="28" t="n">
        <x:v>0</x:v>
      </x:c>
      <x:c r="Q3134" s="24" t="n">
        <x:f>IFERROR(J3134/H3134,0)</x:f>
        <x:v>0.375</x:v>
      </x:c>
      <x:c r="R3134" s="24" t="n">
        <x:f>IFERROR(F3134/H3134,0)</x:f>
        <x:v>0.125</x:v>
      </x:c>
      <x:c r="S3134" s="24" t="n">
        <x:f>IFERROR(F3134/J3134,0)</x:f>
        <x:v>0.3333333333333333</x:v>
      </x:c>
      <x:c r="T3134" s="28" t="n">
        <x:f>H3134-I3134</x:f>
        <x:v>-10</x:v>
      </x:c>
      <x:c r="U3134" s="24" t="n">
        <x:f>IFERROR(J3134/H3134,0)-IFERROR(K3134/I3134,0)</x:f>
        <x:v>0.20833333333333334</x:v>
      </x:c>
      <x:c r="V3134" s="24" t="n">
        <x:f>IFERROR(F3134/J3134,0)-IFERROR(G3134/K3134,0)</x:f>
        <x:v>-0.3333333333333333</x:v>
      </x:c>
      <x:c r="W3134" s="28" t="n">
        <x:f>L3134-M3134</x:f>
        <x:v>0</x:v>
      </x:c>
      <x:c r="X3134" s="24" t="n">
        <x:f>IFERROR(K3134/I3134,0)</x:f>
        <x:v>0.16666666666666666</x:v>
      </x:c>
      <x:c r="Y3134" s="24" t="n">
        <x:f>IFERROR(G3134/I3134,0)</x:f>
        <x:v>0.1111111111111111</x:v>
      </x:c>
      <x:c r="Z3134" s="24" t="n">
        <x:f>IFERROR(G3134/K3134,0)</x:f>
        <x:v>0.6666666666666666</x:v>
      </x:c>
      <x:c r="AA3134" s="24" t="n">
        <x:f>IFERROR(F3134/H3134,0)-IFERROR(G3134/I3134,0)</x:f>
        <x:v>0.013888888888888895</x:v>
      </x:c>
      <x:c r="AB3134" s="28" t="n">
        <x:f>J3134-K3134</x:f>
        <x:v>0</x:v>
      </x:c>
      <x:c r="AC3134" s="32" t="n">
        <x:f>F3134-G3134</x:f>
        <x:v>-1</x:v>
      </x:c>
    </x:row>
    <x:row r="3135">
      <x:c r="A3135" s="4" t="str">
        <x:v>2025-26</x:v>
      </x:c>
      <x:c r="B3135" s="20" t="n">
        <x:v>45920</x:v>
      </x:c>
      <x:c r="C3135" s="4" t="str">
        <x:v>Wolves</x:v>
      </x:c>
      <x:c r="D3135" s="4" t="str">
        <x:v>Leeds</x:v>
      </x:c>
      <x:c r="E3135" s="4" t="str">
        <x:v>Home</x:v>
      </x:c>
      <x:c r="F3135" s="28" t="n">
        <x:v>1</x:v>
      </x:c>
      <x:c r="G3135" s="28" t="n">
        <x:v>3</x:v>
      </x:c>
      <x:c r="H3135" s="28" t="n">
        <x:v>16</x:v>
      </x:c>
      <x:c r="I3135" s="28" t="n">
        <x:v>6</x:v>
      </x:c>
      <x:c r="J3135" s="28" t="n">
        <x:v>6</x:v>
      </x:c>
      <x:c r="K3135" s="28" t="n">
        <x:v>4</x:v>
      </x:c>
      <x:c r="L3135" s="28" t="n">
        <x:v>4</x:v>
      </x:c>
      <x:c r="M3135" s="28" t="n">
        <x:v>0</x:v>
      </x:c>
      <x:c r="N3135" s="28" t="n">
        <x:v>1</x:v>
      </x:c>
      <x:c r="O3135" s="28" t="n">
        <x:v>0</x:v>
      </x:c>
      <x:c r="P3135" s="28" t="n">
        <x:v>0</x:v>
      </x:c>
      <x:c r="Q3135" s="24" t="n">
        <x:f>IFERROR(J3135/H3135,0)</x:f>
        <x:v>0.375</x:v>
      </x:c>
      <x:c r="R3135" s="24" t="n">
        <x:f>IFERROR(F3135/H3135,0)</x:f>
        <x:v>0.0625</x:v>
      </x:c>
      <x:c r="S3135" s="24" t="n">
        <x:f>IFERROR(F3135/J3135,0)</x:f>
        <x:v>0.16666666666666666</x:v>
      </x:c>
      <x:c r="T3135" s="28" t="n">
        <x:f>H3135-I3135</x:f>
        <x:v>10</x:v>
      </x:c>
      <x:c r="U3135" s="24" t="n">
        <x:f>IFERROR(J3135/H3135,0)-IFERROR(K3135/I3135,0)</x:f>
        <x:v>-0.29166666666666663</x:v>
      </x:c>
      <x:c r="V3135" s="24" t="n">
        <x:f>IFERROR(F3135/J3135,0)-IFERROR(G3135/K3135,0)</x:f>
        <x:v>-0.5833333333333334</x:v>
      </x:c>
      <x:c r="W3135" s="28" t="n">
        <x:f>L3135-M3135</x:f>
        <x:v>4</x:v>
      </x:c>
      <x:c r="X3135" s="24" t="n">
        <x:f>IFERROR(K3135/I3135,0)</x:f>
        <x:v>0.6666666666666666</x:v>
      </x:c>
      <x:c r="Y3135" s="24" t="n">
        <x:f>IFERROR(G3135/I3135,0)</x:f>
        <x:v>0.5</x:v>
      </x:c>
      <x:c r="Z3135" s="24" t="n">
        <x:f>IFERROR(G3135/K3135,0)</x:f>
        <x:v>0.75</x:v>
      </x:c>
      <x:c r="AA3135" s="24" t="n">
        <x:f>IFERROR(F3135/H3135,0)-IFERROR(G3135/I3135,0)</x:f>
        <x:v>-0.4375</x:v>
      </x:c>
      <x:c r="AB3135" s="28" t="n">
        <x:f>J3135-K3135</x:f>
        <x:v>2</x:v>
      </x:c>
      <x:c r="AC3135" s="32" t="n">
        <x:f>F3135-G3135</x:f>
        <x:v>-2</x:v>
      </x:c>
    </x:row>
    <x:row r="3136">
      <x:c r="A3136" s="4" t="str">
        <x:v>2025-26</x:v>
      </x:c>
      <x:c r="B3136" s="20" t="n">
        <x:v>45921</x:v>
      </x:c>
      <x:c r="C3136" s="4" t="str">
        <x:v>Arsenal</x:v>
      </x:c>
      <x:c r="D3136" s="4" t="str">
        <x:v>Man City</x:v>
      </x:c>
      <x:c r="E3136" s="4" t="str">
        <x:v>Home</x:v>
      </x:c>
      <x:c r="F3136" s="28" t="n">
        <x:v>1</x:v>
      </x:c>
      <x:c r="G3136" s="28" t="n">
        <x:v>1</x:v>
      </x:c>
      <x:c r="H3136" s="28" t="n">
        <x:v>12</x:v>
      </x:c>
      <x:c r="I3136" s="28" t="n">
        <x:v>5</x:v>
      </x:c>
      <x:c r="J3136" s="28" t="n">
        <x:v>3</x:v>
      </x:c>
      <x:c r="K3136" s="28" t="n">
        <x:v>3</x:v>
      </x:c>
      <x:c r="L3136" s="28" t="n">
        <x:v>11</x:v>
      </x:c>
      <x:c r="M3136" s="28" t="n">
        <x:v>2</x:v>
      </x:c>
      <x:c r="N3136" s="28" t="n">
        <x:v>1</x:v>
      </x:c>
      <x:c r="O3136" s="28" t="n">
        <x:v>0</x:v>
      </x:c>
      <x:c r="P3136" s="28" t="n">
        <x:v>1</x:v>
      </x:c>
      <x:c r="Q3136" s="24" t="n">
        <x:f>IFERROR(J3136/H3136,0)</x:f>
        <x:v>0.25</x:v>
      </x:c>
      <x:c r="R3136" s="24" t="n">
        <x:f>IFERROR(F3136/H3136,0)</x:f>
        <x:v>0.08333333333333333</x:v>
      </x:c>
      <x:c r="S3136" s="24" t="n">
        <x:f>IFERROR(F3136/J3136,0)</x:f>
        <x:v>0.3333333333333333</x:v>
      </x:c>
      <x:c r="T3136" s="28" t="n">
        <x:f>H3136-I3136</x:f>
        <x:v>7</x:v>
      </x:c>
      <x:c r="U3136" s="24" t="n">
        <x:f>IFERROR(J3136/H3136,0)-IFERROR(K3136/I3136,0)</x:f>
        <x:v>-0.35</x:v>
      </x:c>
      <x:c r="V3136" s="24" t="n">
        <x:f>IFERROR(F3136/J3136,0)-IFERROR(G3136/K3136,0)</x:f>
        <x:v>0</x:v>
      </x:c>
      <x:c r="W3136" s="28" t="n">
        <x:f>L3136-M3136</x:f>
        <x:v>9</x:v>
      </x:c>
      <x:c r="X3136" s="24" t="n">
        <x:f>IFERROR(K3136/I3136,0)</x:f>
        <x:v>0.6</x:v>
      </x:c>
      <x:c r="Y3136" s="24" t="n">
        <x:f>IFERROR(G3136/I3136,0)</x:f>
        <x:v>0.2</x:v>
      </x:c>
      <x:c r="Z3136" s="24" t="n">
        <x:f>IFERROR(G3136/K3136,0)</x:f>
        <x:v>0.3333333333333333</x:v>
      </x:c>
      <x:c r="AA3136" s="24" t="n">
        <x:f>IFERROR(F3136/H3136,0)-IFERROR(G3136/I3136,0)</x:f>
        <x:v>-0.11666666666666668</x:v>
      </x:c>
      <x:c r="AB3136" s="28" t="n">
        <x:f>J3136-K3136</x:f>
        <x:v>0</x:v>
      </x:c>
      <x:c r="AC3136" s="32" t="n">
        <x:f>F3136-G3136</x:f>
        <x:v>0</x:v>
      </x:c>
    </x:row>
    <x:row r="3137">
      <x:c r="A3137" s="4" t="str">
        <x:v>2025-26</x:v>
      </x:c>
      <x:c r="B3137" s="20" t="n">
        <x:v>45921</x:v>
      </x:c>
      <x:c r="C3137" s="4" t="str">
        <x:v>Aston Villa</x:v>
      </x:c>
      <x:c r="D3137" s="4" t="str">
        <x:v>Sunderland</x:v>
      </x:c>
      <x:c r="E3137" s="4" t="str">
        <x:v>Away</x:v>
      </x:c>
      <x:c r="F3137" s="28" t="n">
        <x:v>1</x:v>
      </x:c>
      <x:c r="G3137" s="28" t="n">
        <x:v>1</x:v>
      </x:c>
      <x:c r="H3137" s="28" t="n">
        <x:v>12</x:v>
      </x:c>
      <x:c r="I3137" s="28" t="n">
        <x:v>14</x:v>
      </x:c>
      <x:c r="J3137" s="28" t="n">
        <x:v>2</x:v>
      </x:c>
      <x:c r="K3137" s="28" t="n">
        <x:v>4</x:v>
      </x:c>
      <x:c r="L3137" s="28" t="n">
        <x:v>5</x:v>
      </x:c>
      <x:c r="M3137" s="28" t="n">
        <x:v>6</x:v>
      </x:c>
      <x:c r="N3137" s="28" t="n">
        <x:v>1</x:v>
      </x:c>
      <x:c r="O3137" s="28" t="n">
        <x:v>0</x:v>
      </x:c>
      <x:c r="P3137" s="28" t="n">
        <x:v>1</x:v>
      </x:c>
      <x:c r="Q3137" s="24" t="n">
        <x:f>IFERROR(J3137/H3137,0)</x:f>
        <x:v>0.16666666666666666</x:v>
      </x:c>
      <x:c r="R3137" s="24" t="n">
        <x:f>IFERROR(F3137/H3137,0)</x:f>
        <x:v>0.08333333333333333</x:v>
      </x:c>
      <x:c r="S3137" s="24" t="n">
        <x:f>IFERROR(F3137/J3137,0)</x:f>
        <x:v>0.5</x:v>
      </x:c>
      <x:c r="T3137" s="28" t="n">
        <x:f>H3137-I3137</x:f>
        <x:v>-2</x:v>
      </x:c>
      <x:c r="U3137" s="24" t="n">
        <x:f>IFERROR(J3137/H3137,0)-IFERROR(K3137/I3137,0)</x:f>
        <x:v>-0.11904761904761904</x:v>
      </x:c>
      <x:c r="V3137" s="24" t="n">
        <x:f>IFERROR(F3137/J3137,0)-IFERROR(G3137/K3137,0)</x:f>
        <x:v>0.25</x:v>
      </x:c>
      <x:c r="W3137" s="28" t="n">
        <x:f>L3137-M3137</x:f>
        <x:v>-1</x:v>
      </x:c>
      <x:c r="X3137" s="24" t="n">
        <x:f>IFERROR(K3137/I3137,0)</x:f>
        <x:v>0.2857142857142857</x:v>
      </x:c>
      <x:c r="Y3137" s="24" t="n">
        <x:f>IFERROR(G3137/I3137,0)</x:f>
        <x:v>0.07142857142857142</x:v>
      </x:c>
      <x:c r="Z3137" s="24" t="n">
        <x:f>IFERROR(G3137/K3137,0)</x:f>
        <x:v>0.25</x:v>
      </x:c>
      <x:c r="AA3137" s="24" t="n">
        <x:f>IFERROR(F3137/H3137,0)-IFERROR(G3137/I3137,0)</x:f>
        <x:v>0.011904761904761904</x:v>
      </x:c>
      <x:c r="AB3137" s="28" t="n">
        <x:f>J3137-K3137</x:f>
        <x:v>-2</x:v>
      </x:c>
      <x:c r="AC3137" s="32" t="n">
        <x:f>F3137-G3137</x:f>
        <x:v>0</x:v>
      </x:c>
    </x:row>
    <x:row r="3138">
      <x:c r="A3138" s="4" t="str">
        <x:v>2025-26</x:v>
      </x:c>
      <x:c r="B3138" s="20" t="n">
        <x:v>45921</x:v>
      </x:c>
      <x:c r="C3138" s="4" t="str">
        <x:v>Bournemouth</x:v>
      </x:c>
      <x:c r="D3138" s="4" t="str">
        <x:v>Newcastle</x:v>
      </x:c>
      <x:c r="E3138" s="4" t="str">
        <x:v>Home</x:v>
      </x:c>
      <x:c r="F3138" s="28" t="n">
        <x:v>0</x:v>
      </x:c>
      <x:c r="G3138" s="28" t="n">
        <x:v>0</x:v>
      </x:c>
      <x:c r="H3138" s="28" t="n">
        <x:v>11</x:v>
      </x:c>
      <x:c r="I3138" s="28" t="n">
        <x:v>4</x:v>
      </x:c>
      <x:c r="J3138" s="28" t="n">
        <x:v>2</x:v>
      </x:c>
      <x:c r="K3138" s="28" t="n">
        <x:v>1</x:v>
      </x:c>
      <x:c r="L3138" s="28" t="n">
        <x:v>5</x:v>
      </x:c>
      <x:c r="M3138" s="28" t="n">
        <x:v>2</x:v>
      </x:c>
      <x:c r="N3138" s="28" t="n">
        <x:v>2</x:v>
      </x:c>
      <x:c r="O3138" s="28" t="n">
        <x:v>0</x:v>
      </x:c>
      <x:c r="P3138" s="28" t="n">
        <x:v>1</x:v>
      </x:c>
      <x:c r="Q3138" s="24" t="n">
        <x:f>IFERROR(J3138/H3138,0)</x:f>
        <x:v>0.18181818181818182</x:v>
      </x:c>
      <x:c r="R3138" s="24" t="n">
        <x:f>IFERROR(F3138/H3138,0)</x:f>
        <x:v>0</x:v>
      </x:c>
      <x:c r="S3138" s="24" t="n">
        <x:f>IFERROR(F3138/J3138,0)</x:f>
        <x:v>0</x:v>
      </x:c>
      <x:c r="T3138" s="28" t="n">
        <x:f>H3138-I3138</x:f>
        <x:v>7</x:v>
      </x:c>
      <x:c r="U3138" s="24" t="n">
        <x:f>IFERROR(J3138/H3138,0)-IFERROR(K3138/I3138,0)</x:f>
        <x:v>-0.06818181818181818</x:v>
      </x:c>
      <x:c r="V3138" s="24" t="n">
        <x:f>IFERROR(F3138/J3138,0)-IFERROR(G3138/K3138,0)</x:f>
        <x:v>0</x:v>
      </x:c>
      <x:c r="W3138" s="28" t="n">
        <x:f>L3138-M3138</x:f>
        <x:v>3</x:v>
      </x:c>
      <x:c r="X3138" s="24" t="n">
        <x:f>IFERROR(K3138/I3138,0)</x:f>
        <x:v>0.25</x:v>
      </x:c>
      <x:c r="Y3138" s="24" t="n">
        <x:f>IFERROR(G3138/I3138,0)</x:f>
        <x:v>0</x:v>
      </x:c>
      <x:c r="Z3138" s="24" t="n">
        <x:f>IFERROR(G3138/K3138,0)</x:f>
        <x:v>0</x:v>
      </x:c>
      <x:c r="AA3138" s="24" t="n">
        <x:f>IFERROR(F3138/H3138,0)-IFERROR(G3138/I3138,0)</x:f>
        <x:v>0</x:v>
      </x:c>
      <x:c r="AB3138" s="28" t="n">
        <x:f>J3138-K3138</x:f>
        <x:v>1</x:v>
      </x:c>
      <x:c r="AC3138" s="32" t="n">
        <x:f>F3138-G3138</x:f>
        <x:v>0</x:v>
      </x:c>
    </x:row>
    <x:row r="3139">
      <x:c r="A3139" s="4" t="str">
        <x:v>2025-26</x:v>
      </x:c>
      <x:c r="B3139" s="20" t="n">
        <x:v>45921</x:v>
      </x:c>
      <x:c r="C3139" s="4" t="str">
        <x:v>Man City</x:v>
      </x:c>
      <x:c r="D3139" s="4" t="str">
        <x:v>Arsenal</x:v>
      </x:c>
      <x:c r="E3139" s="4" t="str">
        <x:v>Away</x:v>
      </x:c>
      <x:c r="F3139" s="28" t="n">
        <x:v>1</x:v>
      </x:c>
      <x:c r="G3139" s="28" t="n">
        <x:v>1</x:v>
      </x:c>
      <x:c r="H3139" s="28" t="n">
        <x:v>5</x:v>
      </x:c>
      <x:c r="I3139" s="28" t="n">
        <x:v>12</x:v>
      </x:c>
      <x:c r="J3139" s="28" t="n">
        <x:v>3</x:v>
      </x:c>
      <x:c r="K3139" s="28" t="n">
        <x:v>3</x:v>
      </x:c>
      <x:c r="L3139" s="28" t="n">
        <x:v>2</x:v>
      </x:c>
      <x:c r="M3139" s="28" t="n">
        <x:v>11</x:v>
      </x:c>
      <x:c r="N3139" s="28" t="n">
        <x:v>2</x:v>
      </x:c>
      <x:c r="O3139" s="28" t="n">
        <x:v>0</x:v>
      </x:c>
      <x:c r="P3139" s="28" t="n">
        <x:v>1</x:v>
      </x:c>
      <x:c r="Q3139" s="24" t="n">
        <x:f>IFERROR(J3139/H3139,0)</x:f>
        <x:v>0.6</x:v>
      </x:c>
      <x:c r="R3139" s="24" t="n">
        <x:f>IFERROR(F3139/H3139,0)</x:f>
        <x:v>0.2</x:v>
      </x:c>
      <x:c r="S3139" s="24" t="n">
        <x:f>IFERROR(F3139/J3139,0)</x:f>
        <x:v>0.3333333333333333</x:v>
      </x:c>
      <x:c r="T3139" s="28" t="n">
        <x:f>H3139-I3139</x:f>
        <x:v>-7</x:v>
      </x:c>
      <x:c r="U3139" s="24" t="n">
        <x:f>IFERROR(J3139/H3139,0)-IFERROR(K3139/I3139,0)</x:f>
        <x:v>0.35</x:v>
      </x:c>
      <x:c r="V3139" s="24" t="n">
        <x:f>IFERROR(F3139/J3139,0)-IFERROR(G3139/K3139,0)</x:f>
        <x:v>0</x:v>
      </x:c>
      <x:c r="W3139" s="28" t="n">
        <x:f>L3139-M3139</x:f>
        <x:v>-9</x:v>
      </x:c>
      <x:c r="X3139" s="24" t="n">
        <x:f>IFERROR(K3139/I3139,0)</x:f>
        <x:v>0.25</x:v>
      </x:c>
      <x:c r="Y3139" s="24" t="n">
        <x:f>IFERROR(G3139/I3139,0)</x:f>
        <x:v>0.08333333333333333</x:v>
      </x:c>
      <x:c r="Z3139" s="24" t="n">
        <x:f>IFERROR(G3139/K3139,0)</x:f>
        <x:v>0.3333333333333333</x:v>
      </x:c>
      <x:c r="AA3139" s="24" t="n">
        <x:f>IFERROR(F3139/H3139,0)-IFERROR(G3139/I3139,0)</x:f>
        <x:v>0.11666666666666668</x:v>
      </x:c>
      <x:c r="AB3139" s="28" t="n">
        <x:f>J3139-K3139</x:f>
        <x:v>0</x:v>
      </x:c>
      <x:c r="AC3139" s="32" t="n">
        <x:f>F3139-G3139</x:f>
        <x:v>0</x:v>
      </x:c>
    </x:row>
    <x:row r="3140">
      <x:c r="A3140" s="4" t="str">
        <x:v>2025-26</x:v>
      </x:c>
      <x:c r="B3140" s="20" t="n">
        <x:v>45921</x:v>
      </x:c>
      <x:c r="C3140" s="4" t="str">
        <x:v>Newcastle</x:v>
      </x:c>
      <x:c r="D3140" s="4" t="str">
        <x:v>Bournemouth</x:v>
      </x:c>
      <x:c r="E3140" s="4" t="str">
        <x:v>Away</x:v>
      </x:c>
      <x:c r="F3140" s="28" t="n">
        <x:v>0</x:v>
      </x:c>
      <x:c r="G3140" s="28" t="n">
        <x:v>0</x:v>
      </x:c>
      <x:c r="H3140" s="28" t="n">
        <x:v>4</x:v>
      </x:c>
      <x:c r="I3140" s="28" t="n">
        <x:v>11</x:v>
      </x:c>
      <x:c r="J3140" s="28" t="n">
        <x:v>1</x:v>
      </x:c>
      <x:c r="K3140" s="28" t="n">
        <x:v>2</x:v>
      </x:c>
      <x:c r="L3140" s="28" t="n">
        <x:v>2</x:v>
      </x:c>
      <x:c r="M3140" s="28" t="n">
        <x:v>5</x:v>
      </x:c>
      <x:c r="N3140" s="28" t="n">
        <x:v>1</x:v>
      </x:c>
      <x:c r="O3140" s="28" t="n">
        <x:v>0</x:v>
      </x:c>
      <x:c r="P3140" s="28" t="n">
        <x:v>1</x:v>
      </x:c>
      <x:c r="Q3140" s="24" t="n">
        <x:f>IFERROR(J3140/H3140,0)</x:f>
        <x:v>0.25</x:v>
      </x:c>
      <x:c r="R3140" s="24" t="n">
        <x:f>IFERROR(F3140/H3140,0)</x:f>
        <x:v>0</x:v>
      </x:c>
      <x:c r="S3140" s="24" t="n">
        <x:f>IFERROR(F3140/J3140,0)</x:f>
        <x:v>0</x:v>
      </x:c>
      <x:c r="T3140" s="28" t="n">
        <x:f>H3140-I3140</x:f>
        <x:v>-7</x:v>
      </x:c>
      <x:c r="U3140" s="24" t="n">
        <x:f>IFERROR(J3140/H3140,0)-IFERROR(K3140/I3140,0)</x:f>
        <x:v>0.06818181818181818</x:v>
      </x:c>
      <x:c r="V3140" s="24" t="n">
        <x:f>IFERROR(F3140/J3140,0)-IFERROR(G3140/K3140,0)</x:f>
        <x:v>0</x:v>
      </x:c>
      <x:c r="W3140" s="28" t="n">
        <x:f>L3140-M3140</x:f>
        <x:v>-3</x:v>
      </x:c>
      <x:c r="X3140" s="24" t="n">
        <x:f>IFERROR(K3140/I3140,0)</x:f>
        <x:v>0.18181818181818182</x:v>
      </x:c>
      <x:c r="Y3140" s="24" t="n">
        <x:f>IFERROR(G3140/I3140,0)</x:f>
        <x:v>0</x:v>
      </x:c>
      <x:c r="Z3140" s="24" t="n">
        <x:f>IFERROR(G3140/K3140,0)</x:f>
        <x:v>0</x:v>
      </x:c>
      <x:c r="AA3140" s="24" t="n">
        <x:f>IFERROR(F3140/H3140,0)-IFERROR(G3140/I3140,0)</x:f>
        <x:v>0</x:v>
      </x:c>
      <x:c r="AB3140" s="28" t="n">
        <x:f>J3140-K3140</x:f>
        <x:v>-1</x:v>
      </x:c>
      <x:c r="AC3140" s="32" t="n">
        <x:f>F3140-G3140</x:f>
        <x:v>0</x:v>
      </x:c>
    </x:row>
    <x:row r="3141">
      <x:c r="A3141" s="4" t="str">
        <x:v>2025-26</x:v>
      </x:c>
      <x:c r="B3141" s="20" t="n">
        <x:v>45921</x:v>
      </x:c>
      <x:c r="C3141" s="4" t="str">
        <x:v>Sunderland</x:v>
      </x:c>
      <x:c r="D3141" s="4" t="str">
        <x:v>Aston Villa</x:v>
      </x:c>
      <x:c r="E3141" s="4" t="str">
        <x:v>Home</x:v>
      </x:c>
      <x:c r="F3141" s="28" t="n">
        <x:v>1</x:v>
      </x:c>
      <x:c r="G3141" s="28" t="n">
        <x:v>1</x:v>
      </x:c>
      <x:c r="H3141" s="28" t="n">
        <x:v>14</x:v>
      </x:c>
      <x:c r="I3141" s="28" t="n">
        <x:v>12</x:v>
      </x:c>
      <x:c r="J3141" s="28" t="n">
        <x:v>4</x:v>
      </x:c>
      <x:c r="K3141" s="28" t="n">
        <x:v>2</x:v>
      </x:c>
      <x:c r="L3141" s="28" t="n">
        <x:v>6</x:v>
      </x:c>
      <x:c r="M3141" s="28" t="n">
        <x:v>5</x:v>
      </x:c>
      <x:c r="N3141" s="28" t="n">
        <x:v>2</x:v>
      </x:c>
      <x:c r="O3141" s="28" t="n">
        <x:v>1</x:v>
      </x:c>
      <x:c r="P3141" s="28" t="n">
        <x:v>1</x:v>
      </x:c>
      <x:c r="Q3141" s="24" t="n">
        <x:f>IFERROR(J3141/H3141,0)</x:f>
        <x:v>0.2857142857142857</x:v>
      </x:c>
      <x:c r="R3141" s="24" t="n">
        <x:f>IFERROR(F3141/H3141,0)</x:f>
        <x:v>0.07142857142857142</x:v>
      </x:c>
      <x:c r="S3141" s="24" t="n">
        <x:f>IFERROR(F3141/J3141,0)</x:f>
        <x:v>0.25</x:v>
      </x:c>
      <x:c r="T3141" s="28" t="n">
        <x:f>H3141-I3141</x:f>
        <x:v>2</x:v>
      </x:c>
      <x:c r="U3141" s="24" t="n">
        <x:f>IFERROR(J3141/H3141,0)-IFERROR(K3141/I3141,0)</x:f>
        <x:v>0.11904761904761904</x:v>
      </x:c>
      <x:c r="V3141" s="24" t="n">
        <x:f>IFERROR(F3141/J3141,0)-IFERROR(G3141/K3141,0)</x:f>
        <x:v>-0.25</x:v>
      </x:c>
      <x:c r="W3141" s="28" t="n">
        <x:f>L3141-M3141</x:f>
        <x:v>1</x:v>
      </x:c>
      <x:c r="X3141" s="24" t="n">
        <x:f>IFERROR(K3141/I3141,0)</x:f>
        <x:v>0.16666666666666666</x:v>
      </x:c>
      <x:c r="Y3141" s="24" t="n">
        <x:f>IFERROR(G3141/I3141,0)</x:f>
        <x:v>0.08333333333333333</x:v>
      </x:c>
      <x:c r="Z3141" s="24" t="n">
        <x:f>IFERROR(G3141/K3141,0)</x:f>
        <x:v>0.5</x:v>
      </x:c>
      <x:c r="AA3141" s="24" t="n">
        <x:f>IFERROR(F3141/H3141,0)-IFERROR(G3141/I3141,0)</x:f>
        <x:v>-0.011904761904761904</x:v>
      </x:c>
      <x:c r="AB3141" s="28" t="n">
        <x:f>J3141-K3141</x:f>
        <x:v>2</x:v>
      </x:c>
      <x:c r="AC3141" s="32" t="n">
        <x:f>F3141-G3141</x:f>
        <x:v>0</x:v>
      </x:c>
    </x:row>
    <x:row r="3142">
      <x:c r="A3142" s="4" t="str">
        <x:v>2025-26</x:v>
      </x:c>
      <x:c r="B3142" s="20" t="n">
        <x:v>45927</x:v>
      </x:c>
      <x:c r="C3142" s="4" t="str">
        <x:v>Bournemouth</x:v>
      </x:c>
      <x:c r="D3142" s="4" t="str">
        <x:v>Leeds</x:v>
      </x:c>
      <x:c r="E3142" s="4" t="str">
        <x:v>Away</x:v>
      </x:c>
      <x:c r="F3142" s="28" t="n">
        <x:v>2</x:v>
      </x:c>
      <x:c r="G3142" s="28" t="n">
        <x:v>2</x:v>
      </x:c>
      <x:c r="H3142" s="28" t="n">
        <x:v>12</x:v>
      </x:c>
      <x:c r="I3142" s="28" t="n">
        <x:v>19</x:v>
      </x:c>
      <x:c r="J3142" s="28" t="n">
        <x:v>5</x:v>
      </x:c>
      <x:c r="K3142" s="28" t="n">
        <x:v>8</x:v>
      </x:c>
      <x:c r="L3142" s="28" t="n">
        <x:v>4</x:v>
      </x:c>
      <x:c r="M3142" s="28" t="n">
        <x:v>7</x:v>
      </x:c>
      <x:c r="N3142" s="28" t="n">
        <x:v>2</x:v>
      </x:c>
      <x:c r="O3142" s="28" t="n">
        <x:v>0</x:v>
      </x:c>
      <x:c r="P3142" s="28" t="n">
        <x:v>1</x:v>
      </x:c>
      <x:c r="Q3142" s="24" t="n">
        <x:f>IFERROR(J3142/H3142,0)</x:f>
        <x:v>0.4166666666666667</x:v>
      </x:c>
      <x:c r="R3142" s="24" t="n">
        <x:f>IFERROR(F3142/H3142,0)</x:f>
        <x:v>0.16666666666666666</x:v>
      </x:c>
      <x:c r="S3142" s="24" t="n">
        <x:f>IFERROR(F3142/J3142,0)</x:f>
        <x:v>0.4</x:v>
      </x:c>
      <x:c r="T3142" s="28" t="n">
        <x:f>H3142-I3142</x:f>
        <x:v>-7</x:v>
      </x:c>
      <x:c r="U3142" s="24" t="n">
        <x:f>IFERROR(J3142/H3142,0)-IFERROR(K3142/I3142,0)</x:f>
        <x:v>-0.00438596491228066</x:v>
      </x:c>
      <x:c r="V3142" s="24" t="n">
        <x:f>IFERROR(F3142/J3142,0)-IFERROR(G3142/K3142,0)</x:f>
        <x:v>0.15000000000000002</x:v>
      </x:c>
      <x:c r="W3142" s="28" t="n">
        <x:f>L3142-M3142</x:f>
        <x:v>-3</x:v>
      </x:c>
      <x:c r="X3142" s="24" t="n">
        <x:f>IFERROR(K3142/I3142,0)</x:f>
        <x:v>0.42105263157894735</x:v>
      </x:c>
      <x:c r="Y3142" s="24" t="n">
        <x:f>IFERROR(G3142/I3142,0)</x:f>
        <x:v>0.10526315789473684</x:v>
      </x:c>
      <x:c r="Z3142" s="24" t="n">
        <x:f>IFERROR(G3142/K3142,0)</x:f>
        <x:v>0.25</x:v>
      </x:c>
      <x:c r="AA3142" s="24" t="n">
        <x:f>IFERROR(F3142/H3142,0)-IFERROR(G3142/I3142,0)</x:f>
        <x:v>0.06140350877192982</x:v>
      </x:c>
      <x:c r="AB3142" s="28" t="n">
        <x:f>J3142-K3142</x:f>
        <x:v>-3</x:v>
      </x:c>
      <x:c r="AC3142" s="32" t="n">
        <x:f>F3142-G3142</x:f>
        <x:v>0</x:v>
      </x:c>
    </x:row>
    <x:row r="3143">
      <x:c r="A3143" s="4" t="str">
        <x:v>2025-26</x:v>
      </x:c>
      <x:c r="B3143" s="20" t="n">
        <x:v>45927</x:v>
      </x:c>
      <x:c r="C3143" s="4" t="str">
        <x:v>Brentford</x:v>
      </x:c>
      <x:c r="D3143" s="4" t="str">
        <x:v>Man United</x:v>
      </x:c>
      <x:c r="E3143" s="4" t="str">
        <x:v>Home</x:v>
      </x:c>
      <x:c r="F3143" s="28" t="n">
        <x:v>3</x:v>
      </x:c>
      <x:c r="G3143" s="28" t="n">
        <x:v>1</x:v>
      </x:c>
      <x:c r="H3143" s="28" t="n">
        <x:v>10</x:v>
      </x:c>
      <x:c r="I3143" s="28" t="n">
        <x:v>14</x:v>
      </x:c>
      <x:c r="J3143" s="28" t="n">
        <x:v>8</x:v>
      </x:c>
      <x:c r="K3143" s="28" t="n">
        <x:v>6</x:v>
      </x:c>
      <x:c r="L3143" s="28" t="n">
        <x:v>4</x:v>
      </x:c>
      <x:c r="M3143" s="28" t="n">
        <x:v>2</x:v>
      </x:c>
      <x:c r="N3143" s="28" t="n">
        <x:v>2</x:v>
      </x:c>
      <x:c r="O3143" s="28" t="n">
        <x:v>0</x:v>
      </x:c>
      <x:c r="P3143" s="28" t="n">
        <x:v>3</x:v>
      </x:c>
      <x:c r="Q3143" s="24" t="n">
        <x:f>IFERROR(J3143/H3143,0)</x:f>
        <x:v>0.8</x:v>
      </x:c>
      <x:c r="R3143" s="24" t="n">
        <x:f>IFERROR(F3143/H3143,0)</x:f>
        <x:v>0.3</x:v>
      </x:c>
      <x:c r="S3143" s="24" t="n">
        <x:f>IFERROR(F3143/J3143,0)</x:f>
        <x:v>0.375</x:v>
      </x:c>
      <x:c r="T3143" s="28" t="n">
        <x:f>H3143-I3143</x:f>
        <x:v>-4</x:v>
      </x:c>
      <x:c r="U3143" s="24" t="n">
        <x:f>IFERROR(J3143/H3143,0)-IFERROR(K3143/I3143,0)</x:f>
        <x:v>0.3714285714285715</x:v>
      </x:c>
      <x:c r="V3143" s="24" t="n">
        <x:f>IFERROR(F3143/J3143,0)-IFERROR(G3143/K3143,0)</x:f>
        <x:v>0.20833333333333334</x:v>
      </x:c>
      <x:c r="W3143" s="28" t="n">
        <x:f>L3143-M3143</x:f>
        <x:v>2</x:v>
      </x:c>
      <x:c r="X3143" s="24" t="n">
        <x:f>IFERROR(K3143/I3143,0)</x:f>
        <x:v>0.42857142857142855</x:v>
      </x:c>
      <x:c r="Y3143" s="24" t="n">
        <x:f>IFERROR(G3143/I3143,0)</x:f>
        <x:v>0.07142857142857142</x:v>
      </x:c>
      <x:c r="Z3143" s="24" t="n">
        <x:f>IFERROR(G3143/K3143,0)</x:f>
        <x:v>0.16666666666666666</x:v>
      </x:c>
      <x:c r="AA3143" s="24" t="n">
        <x:f>IFERROR(F3143/H3143,0)-IFERROR(G3143/I3143,0)</x:f>
        <x:v>0.22857142857142856</x:v>
      </x:c>
      <x:c r="AB3143" s="28" t="n">
        <x:f>J3143-K3143</x:f>
        <x:v>2</x:v>
      </x:c>
      <x:c r="AC3143" s="32" t="n">
        <x:f>F3143-G3143</x:f>
        <x:v>2</x:v>
      </x:c>
    </x:row>
    <x:row r="3144">
      <x:c r="A3144" s="4" t="str">
        <x:v>2025-26</x:v>
      </x:c>
      <x:c r="B3144" s="20" t="n">
        <x:v>45927</x:v>
      </x:c>
      <x:c r="C3144" s="4" t="str">
        <x:v>Brighton</x:v>
      </x:c>
      <x:c r="D3144" s="4" t="str">
        <x:v>Chelsea</x:v>
      </x:c>
      <x:c r="E3144" s="4" t="str">
        <x:v>Away</x:v>
      </x:c>
      <x:c r="F3144" s="28" t="n">
        <x:v>3</x:v>
      </x:c>
      <x:c r="G3144" s="28" t="n">
        <x:v>1</x:v>
      </x:c>
      <x:c r="H3144" s="28" t="n">
        <x:v>12</x:v>
      </x:c>
      <x:c r="I3144" s="28" t="n">
        <x:v>13</x:v>
      </x:c>
      <x:c r="J3144" s="28" t="n">
        <x:v>3</x:v>
      </x:c>
      <x:c r="K3144" s="28" t="n">
        <x:v>3</x:v>
      </x:c>
      <x:c r="L3144" s="28" t="n">
        <x:v>7</x:v>
      </x:c>
      <x:c r="M3144" s="28" t="n">
        <x:v>5</x:v>
      </x:c>
      <x:c r="N3144" s="28" t="n">
        <x:v>5</x:v>
      </x:c>
      <x:c r="O3144" s="28" t="n">
        <x:v>0</x:v>
      </x:c>
      <x:c r="P3144" s="28" t="n">
        <x:v>3</x:v>
      </x:c>
      <x:c r="Q3144" s="24" t="n">
        <x:f>IFERROR(J3144/H3144,0)</x:f>
        <x:v>0.25</x:v>
      </x:c>
      <x:c r="R3144" s="24" t="n">
        <x:f>IFERROR(F3144/H3144,0)</x:f>
        <x:v>0.25</x:v>
      </x:c>
      <x:c r="S3144" s="24" t="n">
        <x:f>IFERROR(F3144/J3144,0)</x:f>
        <x:v>1</x:v>
      </x:c>
      <x:c r="T3144" s="28" t="n">
        <x:f>H3144-I3144</x:f>
        <x:v>-1</x:v>
      </x:c>
      <x:c r="U3144" s="24" t="n">
        <x:f>IFERROR(J3144/H3144,0)-IFERROR(K3144/I3144,0)</x:f>
        <x:v>0.019230769230769218</x:v>
      </x:c>
      <x:c r="V3144" s="24" t="n">
        <x:f>IFERROR(F3144/J3144,0)-IFERROR(G3144/K3144,0)</x:f>
        <x:v>0.6666666666666667</x:v>
      </x:c>
      <x:c r="W3144" s="28" t="n">
        <x:f>L3144-M3144</x:f>
        <x:v>2</x:v>
      </x:c>
      <x:c r="X3144" s="24" t="n">
        <x:f>IFERROR(K3144/I3144,0)</x:f>
        <x:v>0.23076923076923078</x:v>
      </x:c>
      <x:c r="Y3144" s="24" t="n">
        <x:f>IFERROR(G3144/I3144,0)</x:f>
        <x:v>0.07692307692307693</x:v>
      </x:c>
      <x:c r="Z3144" s="24" t="n">
        <x:f>IFERROR(G3144/K3144,0)</x:f>
        <x:v>0.3333333333333333</x:v>
      </x:c>
      <x:c r="AA3144" s="24" t="n">
        <x:f>IFERROR(F3144/H3144,0)-IFERROR(G3144/I3144,0)</x:f>
        <x:v>0.17307692307692307</x:v>
      </x:c>
      <x:c r="AB3144" s="28" t="n">
        <x:f>J3144-K3144</x:f>
        <x:v>0</x:v>
      </x:c>
      <x:c r="AC3144" s="32" t="n">
        <x:f>F3144-G3144</x:f>
        <x:v>2</x:v>
      </x:c>
    </x:row>
    <x:row r="3145">
      <x:c r="A3145" s="4" t="str">
        <x:v>2025-26</x:v>
      </x:c>
      <x:c r="B3145" s="20" t="n">
        <x:v>45927</x:v>
      </x:c>
      <x:c r="C3145" s="4" t="str">
        <x:v>Burnley</x:v>
      </x:c>
      <x:c r="D3145" s="4" t="str">
        <x:v>Man City</x:v>
      </x:c>
      <x:c r="E3145" s="4" t="str">
        <x:v>Away</x:v>
      </x:c>
      <x:c r="F3145" s="28" t="n">
        <x:v>1</x:v>
      </x:c>
      <x:c r="G3145" s="28" t="n">
        <x:v>5</x:v>
      </x:c>
      <x:c r="H3145" s="28" t="n">
        <x:v>9</x:v>
      </x:c>
      <x:c r="I3145" s="28" t="n">
        <x:v>21</x:v>
      </x:c>
      <x:c r="J3145" s="28" t="n">
        <x:v>2</x:v>
      </x:c>
      <x:c r="K3145" s="28" t="n">
        <x:v>8</x:v>
      </x:c>
      <x:c r="L3145" s="28" t="n">
        <x:v>2</x:v>
      </x:c>
      <x:c r="M3145" s="28" t="n">
        <x:v>10</x:v>
      </x:c>
      <x:c r="N3145" s="28" t="n">
        <x:v>3</x:v>
      </x:c>
      <x:c r="O3145" s="28" t="n">
        <x:v>0</x:v>
      </x:c>
      <x:c r="P3145" s="28" t="n">
        <x:v>0</x:v>
      </x:c>
      <x:c r="Q3145" s="24" t="n">
        <x:f>IFERROR(J3145/H3145,0)</x:f>
        <x:v>0.2222222222222222</x:v>
      </x:c>
      <x:c r="R3145" s="24" t="n">
        <x:f>IFERROR(F3145/H3145,0)</x:f>
        <x:v>0.1111111111111111</x:v>
      </x:c>
      <x:c r="S3145" s="24" t="n">
        <x:f>IFERROR(F3145/J3145,0)</x:f>
        <x:v>0.5</x:v>
      </x:c>
      <x:c r="T3145" s="28" t="n">
        <x:f>H3145-I3145</x:f>
        <x:v>-12</x:v>
      </x:c>
      <x:c r="U3145" s="24" t="n">
        <x:f>IFERROR(J3145/H3145,0)-IFERROR(K3145/I3145,0)</x:f>
        <x:v>-0.15873015873015872</x:v>
      </x:c>
      <x:c r="V3145" s="24" t="n">
        <x:f>IFERROR(F3145/J3145,0)-IFERROR(G3145/K3145,0)</x:f>
        <x:v>-0.125</x:v>
      </x:c>
      <x:c r="W3145" s="28" t="n">
        <x:f>L3145-M3145</x:f>
        <x:v>-8</x:v>
      </x:c>
      <x:c r="X3145" s="24" t="n">
        <x:f>IFERROR(K3145/I3145,0)</x:f>
        <x:v>0.38095238095238093</x:v>
      </x:c>
      <x:c r="Y3145" s="24" t="n">
        <x:f>IFERROR(G3145/I3145,0)</x:f>
        <x:v>0.23809523809523808</x:v>
      </x:c>
      <x:c r="Z3145" s="24" t="n">
        <x:f>IFERROR(G3145/K3145,0)</x:f>
        <x:v>0.625</x:v>
      </x:c>
      <x:c r="AA3145" s="24" t="n">
        <x:f>IFERROR(F3145/H3145,0)-IFERROR(G3145/I3145,0)</x:f>
        <x:v>-0.12698412698412698</x:v>
      </x:c>
      <x:c r="AB3145" s="28" t="n">
        <x:f>J3145-K3145</x:f>
        <x:v>-6</x:v>
      </x:c>
      <x:c r="AC3145" s="32" t="n">
        <x:f>F3145-G3145</x:f>
        <x:v>-4</x:v>
      </x:c>
    </x:row>
    <x:row r="3146">
      <x:c r="A3146" s="4" t="str">
        <x:v>2025-26</x:v>
      </x:c>
      <x:c r="B3146" s="20" t="n">
        <x:v>45927</x:v>
      </x:c>
      <x:c r="C3146" s="4" t="str">
        <x:v>Chelsea</x:v>
      </x:c>
      <x:c r="D3146" s="4" t="str">
        <x:v>Brighton</x:v>
      </x:c>
      <x:c r="E3146" s="4" t="str">
        <x:v>Home</x:v>
      </x:c>
      <x:c r="F3146" s="28" t="n">
        <x:v>1</x:v>
      </x:c>
      <x:c r="G3146" s="28" t="n">
        <x:v>3</x:v>
      </x:c>
      <x:c r="H3146" s="28" t="n">
        <x:v>13</x:v>
      </x:c>
      <x:c r="I3146" s="28" t="n">
        <x:v>12</x:v>
      </x:c>
      <x:c r="J3146" s="28" t="n">
        <x:v>3</x:v>
      </x:c>
      <x:c r="K3146" s="28" t="n">
        <x:v>3</x:v>
      </x:c>
      <x:c r="L3146" s="28" t="n">
        <x:v>5</x:v>
      </x:c>
      <x:c r="M3146" s="28" t="n">
        <x:v>7</x:v>
      </x:c>
      <x:c r="N3146" s="28" t="n">
        <x:v>3</x:v>
      </x:c>
      <x:c r="O3146" s="28" t="n">
        <x:v>1</x:v>
      </x:c>
      <x:c r="P3146" s="28" t="n">
        <x:v>0</x:v>
      </x:c>
      <x:c r="Q3146" s="24" t="n">
        <x:f>IFERROR(J3146/H3146,0)</x:f>
        <x:v>0.23076923076923078</x:v>
      </x:c>
      <x:c r="R3146" s="24" t="n">
        <x:f>IFERROR(F3146/H3146,0)</x:f>
        <x:v>0.07692307692307693</x:v>
      </x:c>
      <x:c r="S3146" s="24" t="n">
        <x:f>IFERROR(F3146/J3146,0)</x:f>
        <x:v>0.3333333333333333</x:v>
      </x:c>
      <x:c r="T3146" s="28" t="n">
        <x:f>H3146-I3146</x:f>
        <x:v>1</x:v>
      </x:c>
      <x:c r="U3146" s="24" t="n">
        <x:f>IFERROR(J3146/H3146,0)-IFERROR(K3146/I3146,0)</x:f>
        <x:v>-0.019230769230769218</x:v>
      </x:c>
      <x:c r="V3146" s="24" t="n">
        <x:f>IFERROR(F3146/J3146,0)-IFERROR(G3146/K3146,0)</x:f>
        <x:v>-0.6666666666666667</x:v>
      </x:c>
      <x:c r="W3146" s="28" t="n">
        <x:f>L3146-M3146</x:f>
        <x:v>-2</x:v>
      </x:c>
      <x:c r="X3146" s="24" t="n">
        <x:f>IFERROR(K3146/I3146,0)</x:f>
        <x:v>0.25</x:v>
      </x:c>
      <x:c r="Y3146" s="24" t="n">
        <x:f>IFERROR(G3146/I3146,0)</x:f>
        <x:v>0.25</x:v>
      </x:c>
      <x:c r="Z3146" s="24" t="n">
        <x:f>IFERROR(G3146/K3146,0)</x:f>
        <x:v>1</x:v>
      </x:c>
      <x:c r="AA3146" s="24" t="n">
        <x:f>IFERROR(F3146/H3146,0)-IFERROR(G3146/I3146,0)</x:f>
        <x:v>-0.17307692307692307</x:v>
      </x:c>
      <x:c r="AB3146" s="28" t="n">
        <x:f>J3146-K3146</x:f>
        <x:v>0</x:v>
      </x:c>
      <x:c r="AC3146" s="32" t="n">
        <x:f>F3146-G3146</x:f>
        <x:v>-2</x:v>
      </x:c>
    </x:row>
    <x:row r="3147">
      <x:c r="A3147" s="4" t="str">
        <x:v>2025-26</x:v>
      </x:c>
      <x:c r="B3147" s="20" t="n">
        <x:v>45927</x:v>
      </x:c>
      <x:c r="C3147" s="4" t="str">
        <x:v>Crystal Palace</x:v>
      </x:c>
      <x:c r="D3147" s="4" t="str">
        <x:v>Liverpool</x:v>
      </x:c>
      <x:c r="E3147" s="4" t="str">
        <x:v>Home</x:v>
      </x:c>
      <x:c r="F3147" s="28" t="n">
        <x:v>2</x:v>
      </x:c>
      <x:c r="G3147" s="28" t="n">
        <x:v>1</x:v>
      </x:c>
      <x:c r="H3147" s="28" t="n">
        <x:v>16</x:v>
      </x:c>
      <x:c r="I3147" s="28" t="n">
        <x:v>20</x:v>
      </x:c>
      <x:c r="J3147" s="28" t="n">
        <x:v>7</x:v>
      </x:c>
      <x:c r="K3147" s="28" t="n">
        <x:v>4</x:v>
      </x:c>
      <x:c r="L3147" s="28" t="n">
        <x:v>2</x:v>
      </x:c>
      <x:c r="M3147" s="28" t="n">
        <x:v>6</x:v>
      </x:c>
      <x:c r="N3147" s="28" t="n">
        <x:v>1</x:v>
      </x:c>
      <x:c r="O3147" s="28" t="n">
        <x:v>0</x:v>
      </x:c>
      <x:c r="P3147" s="28" t="n">
        <x:v>3</x:v>
      </x:c>
      <x:c r="Q3147" s="24" t="n">
        <x:f>IFERROR(J3147/H3147,0)</x:f>
        <x:v>0.4375</x:v>
      </x:c>
      <x:c r="R3147" s="24" t="n">
        <x:f>IFERROR(F3147/H3147,0)</x:f>
        <x:v>0.125</x:v>
      </x:c>
      <x:c r="S3147" s="24" t="n">
        <x:f>IFERROR(F3147/J3147,0)</x:f>
        <x:v>0.2857142857142857</x:v>
      </x:c>
      <x:c r="T3147" s="28" t="n">
        <x:f>H3147-I3147</x:f>
        <x:v>-4</x:v>
      </x:c>
      <x:c r="U3147" s="24" t="n">
        <x:f>IFERROR(J3147/H3147,0)-IFERROR(K3147/I3147,0)</x:f>
        <x:v>0.2375</x:v>
      </x:c>
      <x:c r="V3147" s="24" t="n">
        <x:f>IFERROR(F3147/J3147,0)-IFERROR(G3147/K3147,0)</x:f>
        <x:v>0.0357142857142857</x:v>
      </x:c>
      <x:c r="W3147" s="28" t="n">
        <x:f>L3147-M3147</x:f>
        <x:v>-4</x:v>
      </x:c>
      <x:c r="X3147" s="24" t="n">
        <x:f>IFERROR(K3147/I3147,0)</x:f>
        <x:v>0.2</x:v>
      </x:c>
      <x:c r="Y3147" s="24" t="n">
        <x:f>IFERROR(G3147/I3147,0)</x:f>
        <x:v>0.05</x:v>
      </x:c>
      <x:c r="Z3147" s="24" t="n">
        <x:f>IFERROR(G3147/K3147,0)</x:f>
        <x:v>0.25</x:v>
      </x:c>
      <x:c r="AA3147" s="24" t="n">
        <x:f>IFERROR(F3147/H3147,0)-IFERROR(G3147/I3147,0)</x:f>
        <x:v>0.075</x:v>
      </x:c>
      <x:c r="AB3147" s="28" t="n">
        <x:f>J3147-K3147</x:f>
        <x:v>3</x:v>
      </x:c>
      <x:c r="AC3147" s="32" t="n">
        <x:f>F3147-G3147</x:f>
        <x:v>1</x:v>
      </x:c>
    </x:row>
    <x:row r="3148">
      <x:c r="A3148" s="4" t="str">
        <x:v>2025-26</x:v>
      </x:c>
      <x:c r="B3148" s="20" t="n">
        <x:v>45927</x:v>
      </x:c>
      <x:c r="C3148" s="4" t="str">
        <x:v>Leeds</x:v>
      </x:c>
      <x:c r="D3148" s="4" t="str">
        <x:v>Bournemouth</x:v>
      </x:c>
      <x:c r="E3148" s="4" t="str">
        <x:v>Home</x:v>
      </x:c>
      <x:c r="F3148" s="28" t="n">
        <x:v>2</x:v>
      </x:c>
      <x:c r="G3148" s="28" t="n">
        <x:v>2</x:v>
      </x:c>
      <x:c r="H3148" s="28" t="n">
        <x:v>19</x:v>
      </x:c>
      <x:c r="I3148" s="28" t="n">
        <x:v>12</x:v>
      </x:c>
      <x:c r="J3148" s="28" t="n">
        <x:v>8</x:v>
      </x:c>
      <x:c r="K3148" s="28" t="n">
        <x:v>5</x:v>
      </x:c>
      <x:c r="L3148" s="28" t="n">
        <x:v>7</x:v>
      </x:c>
      <x:c r="M3148" s="28" t="n">
        <x:v>4</x:v>
      </x:c>
      <x:c r="N3148" s="28" t="n">
        <x:v>2</x:v>
      </x:c>
      <x:c r="O3148" s="28" t="n">
        <x:v>0</x:v>
      </x:c>
      <x:c r="P3148" s="28" t="n">
        <x:v>1</x:v>
      </x:c>
      <x:c r="Q3148" s="24" t="n">
        <x:f>IFERROR(J3148/H3148,0)</x:f>
        <x:v>0.42105263157894735</x:v>
      </x:c>
      <x:c r="R3148" s="24" t="n">
        <x:f>IFERROR(F3148/H3148,0)</x:f>
        <x:v>0.10526315789473684</x:v>
      </x:c>
      <x:c r="S3148" s="24" t="n">
        <x:f>IFERROR(F3148/J3148,0)</x:f>
        <x:v>0.25</x:v>
      </x:c>
      <x:c r="T3148" s="28" t="n">
        <x:f>H3148-I3148</x:f>
        <x:v>7</x:v>
      </x:c>
      <x:c r="U3148" s="24" t="n">
        <x:f>IFERROR(J3148/H3148,0)-IFERROR(K3148/I3148,0)</x:f>
        <x:v>0.00438596491228066</x:v>
      </x:c>
      <x:c r="V3148" s="24" t="n">
        <x:f>IFERROR(F3148/J3148,0)-IFERROR(G3148/K3148,0)</x:f>
        <x:v>-0.15000000000000002</x:v>
      </x:c>
      <x:c r="W3148" s="28" t="n">
        <x:f>L3148-M3148</x:f>
        <x:v>3</x:v>
      </x:c>
      <x:c r="X3148" s="24" t="n">
        <x:f>IFERROR(K3148/I3148,0)</x:f>
        <x:v>0.4166666666666667</x:v>
      </x:c>
      <x:c r="Y3148" s="24" t="n">
        <x:f>IFERROR(G3148/I3148,0)</x:f>
        <x:v>0.16666666666666666</x:v>
      </x:c>
      <x:c r="Z3148" s="24" t="n">
        <x:f>IFERROR(G3148/K3148,0)</x:f>
        <x:v>0.4</x:v>
      </x:c>
      <x:c r="AA3148" s="24" t="n">
        <x:f>IFERROR(F3148/H3148,0)-IFERROR(G3148/I3148,0)</x:f>
        <x:v>-0.06140350877192982</x:v>
      </x:c>
      <x:c r="AB3148" s="28" t="n">
        <x:f>J3148-K3148</x:f>
        <x:v>3</x:v>
      </x:c>
      <x:c r="AC3148" s="32" t="n">
        <x:f>F3148-G3148</x:f>
        <x:v>0</x:v>
      </x:c>
    </x:row>
    <x:row r="3149">
      <x:c r="A3149" s="4" t="str">
        <x:v>2025-26</x:v>
      </x:c>
      <x:c r="B3149" s="20" t="n">
        <x:v>45927</x:v>
      </x:c>
      <x:c r="C3149" s="4" t="str">
        <x:v>Liverpool</x:v>
      </x:c>
      <x:c r="D3149" s="4" t="str">
        <x:v>Crystal Palace</x:v>
      </x:c>
      <x:c r="E3149" s="4" t="str">
        <x:v>Away</x:v>
      </x:c>
      <x:c r="F3149" s="28" t="n">
        <x:v>1</x:v>
      </x:c>
      <x:c r="G3149" s="28" t="n">
        <x:v>2</x:v>
      </x:c>
      <x:c r="H3149" s="28" t="n">
        <x:v>20</x:v>
      </x:c>
      <x:c r="I3149" s="28" t="n">
        <x:v>16</x:v>
      </x:c>
      <x:c r="J3149" s="28" t="n">
        <x:v>4</x:v>
      </x:c>
      <x:c r="K3149" s="28" t="n">
        <x:v>7</x:v>
      </x:c>
      <x:c r="L3149" s="28" t="n">
        <x:v>6</x:v>
      </x:c>
      <x:c r="M3149" s="28" t="n">
        <x:v>2</x:v>
      </x:c>
      <x:c r="N3149" s="28" t="n">
        <x:v>3</x:v>
      </x:c>
      <x:c r="O3149" s="28" t="n">
        <x:v>0</x:v>
      </x:c>
      <x:c r="P3149" s="28" t="n">
        <x:v>0</x:v>
      </x:c>
      <x:c r="Q3149" s="24" t="n">
        <x:f>IFERROR(J3149/H3149,0)</x:f>
        <x:v>0.2</x:v>
      </x:c>
      <x:c r="R3149" s="24" t="n">
        <x:f>IFERROR(F3149/H3149,0)</x:f>
        <x:v>0.05</x:v>
      </x:c>
      <x:c r="S3149" s="24" t="n">
        <x:f>IFERROR(F3149/J3149,0)</x:f>
        <x:v>0.25</x:v>
      </x:c>
      <x:c r="T3149" s="28" t="n">
        <x:f>H3149-I3149</x:f>
        <x:v>4</x:v>
      </x:c>
      <x:c r="U3149" s="24" t="n">
        <x:f>IFERROR(J3149/H3149,0)-IFERROR(K3149/I3149,0)</x:f>
        <x:v>-0.2375</x:v>
      </x:c>
      <x:c r="V3149" s="24" t="n">
        <x:f>IFERROR(F3149/J3149,0)-IFERROR(G3149/K3149,0)</x:f>
        <x:v>-0.0357142857142857</x:v>
      </x:c>
      <x:c r="W3149" s="28" t="n">
        <x:f>L3149-M3149</x:f>
        <x:v>4</x:v>
      </x:c>
      <x:c r="X3149" s="24" t="n">
        <x:f>IFERROR(K3149/I3149,0)</x:f>
        <x:v>0.4375</x:v>
      </x:c>
      <x:c r="Y3149" s="24" t="n">
        <x:f>IFERROR(G3149/I3149,0)</x:f>
        <x:v>0.125</x:v>
      </x:c>
      <x:c r="Z3149" s="24" t="n">
        <x:f>IFERROR(G3149/K3149,0)</x:f>
        <x:v>0.2857142857142857</x:v>
      </x:c>
      <x:c r="AA3149" s="24" t="n">
        <x:f>IFERROR(F3149/H3149,0)-IFERROR(G3149/I3149,0)</x:f>
        <x:v>-0.075</x:v>
      </x:c>
      <x:c r="AB3149" s="28" t="n">
        <x:f>J3149-K3149</x:f>
        <x:v>-3</x:v>
      </x:c>
      <x:c r="AC3149" s="32" t="n">
        <x:f>F3149-G3149</x:f>
        <x:v>-1</x:v>
      </x:c>
    </x:row>
    <x:row r="3150">
      <x:c r="A3150" s="4" t="str">
        <x:v>2025-26</x:v>
      </x:c>
      <x:c r="B3150" s="20" t="n">
        <x:v>45927</x:v>
      </x:c>
      <x:c r="C3150" s="4" t="str">
        <x:v>Man City</x:v>
      </x:c>
      <x:c r="D3150" s="4" t="str">
        <x:v>Burnley</x:v>
      </x:c>
      <x:c r="E3150" s="4" t="str">
        <x:v>Home</x:v>
      </x:c>
      <x:c r="F3150" s="28" t="n">
        <x:v>5</x:v>
      </x:c>
      <x:c r="G3150" s="28" t="n">
        <x:v>1</x:v>
      </x:c>
      <x:c r="H3150" s="28" t="n">
        <x:v>21</x:v>
      </x:c>
      <x:c r="I3150" s="28" t="n">
        <x:v>9</x:v>
      </x:c>
      <x:c r="J3150" s="28" t="n">
        <x:v>8</x:v>
      </x:c>
      <x:c r="K3150" s="28" t="n">
        <x:v>2</x:v>
      </x:c>
      <x:c r="L3150" s="28" t="n">
        <x:v>10</x:v>
      </x:c>
      <x:c r="M3150" s="28" t="n">
        <x:v>2</x:v>
      </x:c>
      <x:c r="N3150" s="28" t="n">
        <x:v>1</x:v>
      </x:c>
      <x:c r="O3150" s="28" t="n">
        <x:v>0</x:v>
      </x:c>
      <x:c r="P3150" s="28" t="n">
        <x:v>3</x:v>
      </x:c>
      <x:c r="Q3150" s="24" t="n">
        <x:f>IFERROR(J3150/H3150,0)</x:f>
        <x:v>0.38095238095238093</x:v>
      </x:c>
      <x:c r="R3150" s="24" t="n">
        <x:f>IFERROR(F3150/H3150,0)</x:f>
        <x:v>0.23809523809523808</x:v>
      </x:c>
      <x:c r="S3150" s="24" t="n">
        <x:f>IFERROR(F3150/J3150,0)</x:f>
        <x:v>0.625</x:v>
      </x:c>
      <x:c r="T3150" s="28" t="n">
        <x:f>H3150-I3150</x:f>
        <x:v>12</x:v>
      </x:c>
      <x:c r="U3150" s="24" t="n">
        <x:f>IFERROR(J3150/H3150,0)-IFERROR(K3150/I3150,0)</x:f>
        <x:v>0.15873015873015872</x:v>
      </x:c>
      <x:c r="V3150" s="24" t="n">
        <x:f>IFERROR(F3150/J3150,0)-IFERROR(G3150/K3150,0)</x:f>
        <x:v>0.125</x:v>
      </x:c>
      <x:c r="W3150" s="28" t="n">
        <x:f>L3150-M3150</x:f>
        <x:v>8</x:v>
      </x:c>
      <x:c r="X3150" s="24" t="n">
        <x:f>IFERROR(K3150/I3150,0)</x:f>
        <x:v>0.2222222222222222</x:v>
      </x:c>
      <x:c r="Y3150" s="24" t="n">
        <x:f>IFERROR(G3150/I3150,0)</x:f>
        <x:v>0.1111111111111111</x:v>
      </x:c>
      <x:c r="Z3150" s="24" t="n">
        <x:f>IFERROR(G3150/K3150,0)</x:f>
        <x:v>0.5</x:v>
      </x:c>
      <x:c r="AA3150" s="24" t="n">
        <x:f>IFERROR(F3150/H3150,0)-IFERROR(G3150/I3150,0)</x:f>
        <x:v>0.12698412698412698</x:v>
      </x:c>
      <x:c r="AB3150" s="28" t="n">
        <x:f>J3150-K3150</x:f>
        <x:v>6</x:v>
      </x:c>
      <x:c r="AC3150" s="32" t="n">
        <x:f>F3150-G3150</x:f>
        <x:v>4</x:v>
      </x:c>
    </x:row>
    <x:row r="3151">
      <x:c r="A3151" s="4" t="str">
        <x:v>2025-26</x:v>
      </x:c>
      <x:c r="B3151" s="20" t="n">
        <x:v>45927</x:v>
      </x:c>
      <x:c r="C3151" s="4" t="str">
        <x:v>Man United</x:v>
      </x:c>
      <x:c r="D3151" s="4" t="str">
        <x:v>Brentford</x:v>
      </x:c>
      <x:c r="E3151" s="4" t="str">
        <x:v>Away</x:v>
      </x:c>
      <x:c r="F3151" s="28" t="n">
        <x:v>1</x:v>
      </x:c>
      <x:c r="G3151" s="28" t="n">
        <x:v>3</x:v>
      </x:c>
      <x:c r="H3151" s="28" t="n">
        <x:v>14</x:v>
      </x:c>
      <x:c r="I3151" s="28" t="n">
        <x:v>10</x:v>
      </x:c>
      <x:c r="J3151" s="28" t="n">
        <x:v>6</x:v>
      </x:c>
      <x:c r="K3151" s="28" t="n">
        <x:v>8</x:v>
      </x:c>
      <x:c r="L3151" s="28" t="n">
        <x:v>2</x:v>
      </x:c>
      <x:c r="M3151" s="28" t="n">
        <x:v>4</x:v>
      </x:c>
      <x:c r="N3151" s="28" t="n">
        <x:v>2</x:v>
      </x:c>
      <x:c r="O3151" s="28" t="n">
        <x:v>0</x:v>
      </x:c>
      <x:c r="P3151" s="28" t="n">
        <x:v>0</x:v>
      </x:c>
      <x:c r="Q3151" s="24" t="n">
        <x:f>IFERROR(J3151/H3151,0)</x:f>
        <x:v>0.42857142857142855</x:v>
      </x:c>
      <x:c r="R3151" s="24" t="n">
        <x:f>IFERROR(F3151/H3151,0)</x:f>
        <x:v>0.07142857142857142</x:v>
      </x:c>
      <x:c r="S3151" s="24" t="n">
        <x:f>IFERROR(F3151/J3151,0)</x:f>
        <x:v>0.16666666666666666</x:v>
      </x:c>
      <x:c r="T3151" s="28" t="n">
        <x:f>H3151-I3151</x:f>
        <x:v>4</x:v>
      </x:c>
      <x:c r="U3151" s="24" t="n">
        <x:f>IFERROR(J3151/H3151,0)-IFERROR(K3151/I3151,0)</x:f>
        <x:v>-0.3714285714285715</x:v>
      </x:c>
      <x:c r="V3151" s="24" t="n">
        <x:f>IFERROR(F3151/J3151,0)-IFERROR(G3151/K3151,0)</x:f>
        <x:v>-0.20833333333333334</x:v>
      </x:c>
      <x:c r="W3151" s="28" t="n">
        <x:f>L3151-M3151</x:f>
        <x:v>-2</x:v>
      </x:c>
      <x:c r="X3151" s="24" t="n">
        <x:f>IFERROR(K3151/I3151,0)</x:f>
        <x:v>0.8</x:v>
      </x:c>
      <x:c r="Y3151" s="24" t="n">
        <x:f>IFERROR(G3151/I3151,0)</x:f>
        <x:v>0.3</x:v>
      </x:c>
      <x:c r="Z3151" s="24" t="n">
        <x:f>IFERROR(G3151/K3151,0)</x:f>
        <x:v>0.375</x:v>
      </x:c>
      <x:c r="AA3151" s="24" t="n">
        <x:f>IFERROR(F3151/H3151,0)-IFERROR(G3151/I3151,0)</x:f>
        <x:v>-0.22857142857142856</x:v>
      </x:c>
      <x:c r="AB3151" s="28" t="n">
        <x:f>J3151-K3151</x:f>
        <x:v>-2</x:v>
      </x:c>
      <x:c r="AC3151" s="32" t="n">
        <x:f>F3151-G3151</x:f>
        <x:v>-2</x:v>
      </x:c>
    </x:row>
    <x:row r="3152">
      <x:c r="A3152" s="4" t="str">
        <x:v>2025-26</x:v>
      </x:c>
      <x:c r="B3152" s="20" t="n">
        <x:v>45927</x:v>
      </x:c>
      <x:c r="C3152" s="4" t="str">
        <x:v>Nott'm Forest</x:v>
      </x:c>
      <x:c r="D3152" s="4" t="str">
        <x:v>Sunderland</x:v>
      </x:c>
      <x:c r="E3152" s="4" t="str">
        <x:v>Home</x:v>
      </x:c>
      <x:c r="F3152" s="28" t="n">
        <x:v>0</x:v>
      </x:c>
      <x:c r="G3152" s="28" t="n">
        <x:v>1</x:v>
      </x:c>
      <x:c r="H3152" s="28" t="n">
        <x:v>22</x:v>
      </x:c>
      <x:c r="I3152" s="28" t="n">
        <x:v>11</x:v>
      </x:c>
      <x:c r="J3152" s="28" t="n">
        <x:v>6</x:v>
      </x:c>
      <x:c r="K3152" s="28" t="n">
        <x:v>3</x:v>
      </x:c>
      <x:c r="L3152" s="28" t="n">
        <x:v>7</x:v>
      </x:c>
      <x:c r="M3152" s="28" t="n">
        <x:v>4</x:v>
      </x:c>
      <x:c r="N3152" s="28" t="n">
        <x:v>4</x:v>
      </x:c>
      <x:c r="O3152" s="28" t="n">
        <x:v>0</x:v>
      </x:c>
      <x:c r="P3152" s="28" t="n">
        <x:v>0</x:v>
      </x:c>
      <x:c r="Q3152" s="24" t="n">
        <x:f>IFERROR(J3152/H3152,0)</x:f>
        <x:v>0.2727272727272727</x:v>
      </x:c>
      <x:c r="R3152" s="24" t="n">
        <x:f>IFERROR(F3152/H3152,0)</x:f>
        <x:v>0</x:v>
      </x:c>
      <x:c r="S3152" s="24" t="n">
        <x:f>IFERROR(F3152/J3152,0)</x:f>
        <x:v>0</x:v>
      </x:c>
      <x:c r="T3152" s="28" t="n">
        <x:f>H3152-I3152</x:f>
        <x:v>11</x:v>
      </x:c>
      <x:c r="U3152" s="24" t="n">
        <x:f>IFERROR(J3152/H3152,0)-IFERROR(K3152/I3152,0)</x:f>
        <x:v>0</x:v>
      </x:c>
      <x:c r="V3152" s="24" t="n">
        <x:f>IFERROR(F3152/J3152,0)-IFERROR(G3152/K3152,0)</x:f>
        <x:v>-0.3333333333333333</x:v>
      </x:c>
      <x:c r="W3152" s="28" t="n">
        <x:f>L3152-M3152</x:f>
        <x:v>3</x:v>
      </x:c>
      <x:c r="X3152" s="24" t="n">
        <x:f>IFERROR(K3152/I3152,0)</x:f>
        <x:v>0.2727272727272727</x:v>
      </x:c>
      <x:c r="Y3152" s="24" t="n">
        <x:f>IFERROR(G3152/I3152,0)</x:f>
        <x:v>0.09090909090909091</x:v>
      </x:c>
      <x:c r="Z3152" s="24" t="n">
        <x:f>IFERROR(G3152/K3152,0)</x:f>
        <x:v>0.3333333333333333</x:v>
      </x:c>
      <x:c r="AA3152" s="24" t="n">
        <x:f>IFERROR(F3152/H3152,0)-IFERROR(G3152/I3152,0)</x:f>
        <x:v>-0.09090909090909091</x:v>
      </x:c>
      <x:c r="AB3152" s="28" t="n">
        <x:f>J3152-K3152</x:f>
        <x:v>3</x:v>
      </x:c>
      <x:c r="AC3152" s="32" t="n">
        <x:f>F3152-G3152</x:f>
        <x:v>-1</x:v>
      </x:c>
    </x:row>
    <x:row r="3153">
      <x:c r="A3153" s="4" t="str">
        <x:v>2025-26</x:v>
      </x:c>
      <x:c r="B3153" s="20" t="n">
        <x:v>45927</x:v>
      </x:c>
      <x:c r="C3153" s="4" t="str">
        <x:v>Sunderland</x:v>
      </x:c>
      <x:c r="D3153" s="4" t="str">
        <x:v>Nott'm Forest</x:v>
      </x:c>
      <x:c r="E3153" s="4" t="str">
        <x:v>Away</x:v>
      </x:c>
      <x:c r="F3153" s="28" t="n">
        <x:v>1</x:v>
      </x:c>
      <x:c r="G3153" s="28" t="n">
        <x:v>0</x:v>
      </x:c>
      <x:c r="H3153" s="28" t="n">
        <x:v>11</x:v>
      </x:c>
      <x:c r="I3153" s="28" t="n">
        <x:v>22</x:v>
      </x:c>
      <x:c r="J3153" s="28" t="n">
        <x:v>3</x:v>
      </x:c>
      <x:c r="K3153" s="28" t="n">
        <x:v>6</x:v>
      </x:c>
      <x:c r="L3153" s="28" t="n">
        <x:v>4</x:v>
      </x:c>
      <x:c r="M3153" s="28" t="n">
        <x:v>7</x:v>
      </x:c>
      <x:c r="N3153" s="28" t="n">
        <x:v>2</x:v>
      </x:c>
      <x:c r="O3153" s="28" t="n">
        <x:v>0</x:v>
      </x:c>
      <x:c r="P3153" s="28" t="n">
        <x:v>3</x:v>
      </x:c>
      <x:c r="Q3153" s="24" t="n">
        <x:f>IFERROR(J3153/H3153,0)</x:f>
        <x:v>0.2727272727272727</x:v>
      </x:c>
      <x:c r="R3153" s="24" t="n">
        <x:f>IFERROR(F3153/H3153,0)</x:f>
        <x:v>0.09090909090909091</x:v>
      </x:c>
      <x:c r="S3153" s="24" t="n">
        <x:f>IFERROR(F3153/J3153,0)</x:f>
        <x:v>0.3333333333333333</x:v>
      </x:c>
      <x:c r="T3153" s="28" t="n">
        <x:f>H3153-I3153</x:f>
        <x:v>-11</x:v>
      </x:c>
      <x:c r="U3153" s="24" t="n">
        <x:f>IFERROR(J3153/H3153,0)-IFERROR(K3153/I3153,0)</x:f>
        <x:v>0</x:v>
      </x:c>
      <x:c r="V3153" s="24" t="n">
        <x:f>IFERROR(F3153/J3153,0)-IFERROR(G3153/K3153,0)</x:f>
        <x:v>0.3333333333333333</x:v>
      </x:c>
      <x:c r="W3153" s="28" t="n">
        <x:f>L3153-M3153</x:f>
        <x:v>-3</x:v>
      </x:c>
      <x:c r="X3153" s="24" t="n">
        <x:f>IFERROR(K3153/I3153,0)</x:f>
        <x:v>0.2727272727272727</x:v>
      </x:c>
      <x:c r="Y3153" s="24" t="n">
        <x:f>IFERROR(G3153/I3153,0)</x:f>
        <x:v>0</x:v>
      </x:c>
      <x:c r="Z3153" s="24" t="n">
        <x:f>IFERROR(G3153/K3153,0)</x:f>
        <x:v>0</x:v>
      </x:c>
      <x:c r="AA3153" s="24" t="n">
        <x:f>IFERROR(F3153/H3153,0)-IFERROR(G3153/I3153,0)</x:f>
        <x:v>0.09090909090909091</x:v>
      </x:c>
      <x:c r="AB3153" s="28" t="n">
        <x:f>J3153-K3153</x:f>
        <x:v>-3</x:v>
      </x:c>
      <x:c r="AC3153" s="32" t="n">
        <x:f>F3153-G3153</x:f>
        <x:v>1</x:v>
      </x:c>
    </x:row>
    <x:row r="3154">
      <x:c r="A3154" s="4" t="str">
        <x:v>2025-26</x:v>
      </x:c>
      <x:c r="B3154" s="20" t="n">
        <x:v>45927</x:v>
      </x:c>
      <x:c r="C3154" s="4" t="str">
        <x:v>Tottenham</x:v>
      </x:c>
      <x:c r="D3154" s="4" t="str">
        <x:v>Wolves</x:v>
      </x:c>
      <x:c r="E3154" s="4" t="str">
        <x:v>Home</x:v>
      </x:c>
      <x:c r="F3154" s="28" t="n">
        <x:v>1</x:v>
      </x:c>
      <x:c r="G3154" s="28" t="n">
        <x:v>1</x:v>
      </x:c>
      <x:c r="H3154" s="28" t="n">
        <x:v>10</x:v>
      </x:c>
      <x:c r="I3154" s="28" t="n">
        <x:v>9</x:v>
      </x:c>
      <x:c r="J3154" s="28" t="n">
        <x:v>3</x:v>
      </x:c>
      <x:c r="K3154" s="28" t="n">
        <x:v>3</x:v>
      </x:c>
      <x:c r="L3154" s="28" t="n">
        <x:v>10</x:v>
      </x:c>
      <x:c r="M3154" s="28" t="n">
        <x:v>9</x:v>
      </x:c>
      <x:c r="N3154" s="28" t="n">
        <x:v>3</x:v>
      </x:c>
      <x:c r="O3154" s="28" t="n">
        <x:v>0</x:v>
      </x:c>
      <x:c r="P3154" s="28" t="n">
        <x:v>1</x:v>
      </x:c>
      <x:c r="Q3154" s="24" t="n">
        <x:f>IFERROR(J3154/H3154,0)</x:f>
        <x:v>0.3</x:v>
      </x:c>
      <x:c r="R3154" s="24" t="n">
        <x:f>IFERROR(F3154/H3154,0)</x:f>
        <x:v>0.1</x:v>
      </x:c>
      <x:c r="S3154" s="24" t="n">
        <x:f>IFERROR(F3154/J3154,0)</x:f>
        <x:v>0.3333333333333333</x:v>
      </x:c>
      <x:c r="T3154" s="28" t="n">
        <x:f>H3154-I3154</x:f>
        <x:v>1</x:v>
      </x:c>
      <x:c r="U3154" s="24" t="n">
        <x:f>IFERROR(J3154/H3154,0)-IFERROR(K3154/I3154,0)</x:f>
        <x:v>-0.033333333333333326</x:v>
      </x:c>
      <x:c r="V3154" s="24" t="n">
        <x:f>IFERROR(F3154/J3154,0)-IFERROR(G3154/K3154,0)</x:f>
        <x:v>0</x:v>
      </x:c>
      <x:c r="W3154" s="28" t="n">
        <x:f>L3154-M3154</x:f>
        <x:v>1</x:v>
      </x:c>
      <x:c r="X3154" s="24" t="n">
        <x:f>IFERROR(K3154/I3154,0)</x:f>
        <x:v>0.3333333333333333</x:v>
      </x:c>
      <x:c r="Y3154" s="24" t="n">
        <x:f>IFERROR(G3154/I3154,0)</x:f>
        <x:v>0.1111111111111111</x:v>
      </x:c>
      <x:c r="Z3154" s="24" t="n">
        <x:f>IFERROR(G3154/K3154,0)</x:f>
        <x:v>0.3333333333333333</x:v>
      </x:c>
      <x:c r="AA3154" s="24" t="n">
        <x:f>IFERROR(F3154/H3154,0)-IFERROR(G3154/I3154,0)</x:f>
        <x:v>-0.0111111111111111</x:v>
      </x:c>
      <x:c r="AB3154" s="28" t="n">
        <x:f>J3154-K3154</x:f>
        <x:v>0</x:v>
      </x:c>
      <x:c r="AC3154" s="32" t="n">
        <x:f>F3154-G3154</x:f>
        <x:v>0</x:v>
      </x:c>
    </x:row>
    <x:row r="3155">
      <x:c r="A3155" s="4" t="str">
        <x:v>2025-26</x:v>
      </x:c>
      <x:c r="B3155" s="20" t="n">
        <x:v>45927</x:v>
      </x:c>
      <x:c r="C3155" s="4" t="str">
        <x:v>Wolves</x:v>
      </x:c>
      <x:c r="D3155" s="4" t="str">
        <x:v>Tottenham</x:v>
      </x:c>
      <x:c r="E3155" s="4" t="str">
        <x:v>Away</x:v>
      </x:c>
      <x:c r="F3155" s="28" t="n">
        <x:v>1</x:v>
      </x:c>
      <x:c r="G3155" s="28" t="n">
        <x:v>1</x:v>
      </x:c>
      <x:c r="H3155" s="28" t="n">
        <x:v>9</x:v>
      </x:c>
      <x:c r="I3155" s="28" t="n">
        <x:v>10</x:v>
      </x:c>
      <x:c r="J3155" s="28" t="n">
        <x:v>3</x:v>
      </x:c>
      <x:c r="K3155" s="28" t="n">
        <x:v>3</x:v>
      </x:c>
      <x:c r="L3155" s="28" t="n">
        <x:v>9</x:v>
      </x:c>
      <x:c r="M3155" s="28" t="n">
        <x:v>10</x:v>
      </x:c>
      <x:c r="N3155" s="28" t="n">
        <x:v>2</x:v>
      </x:c>
      <x:c r="O3155" s="28" t="n">
        <x:v>0</x:v>
      </x:c>
      <x:c r="P3155" s="28" t="n">
        <x:v>1</x:v>
      </x:c>
      <x:c r="Q3155" s="24" t="n">
        <x:f>IFERROR(J3155/H3155,0)</x:f>
        <x:v>0.3333333333333333</x:v>
      </x:c>
      <x:c r="R3155" s="24" t="n">
        <x:f>IFERROR(F3155/H3155,0)</x:f>
        <x:v>0.1111111111111111</x:v>
      </x:c>
      <x:c r="S3155" s="24" t="n">
        <x:f>IFERROR(F3155/J3155,0)</x:f>
        <x:v>0.3333333333333333</x:v>
      </x:c>
      <x:c r="T3155" s="28" t="n">
        <x:f>H3155-I3155</x:f>
        <x:v>-1</x:v>
      </x:c>
      <x:c r="U3155" s="24" t="n">
        <x:f>IFERROR(J3155/H3155,0)-IFERROR(K3155/I3155,0)</x:f>
        <x:v>0.033333333333333326</x:v>
      </x:c>
      <x:c r="V3155" s="24" t="n">
        <x:f>IFERROR(F3155/J3155,0)-IFERROR(G3155/K3155,0)</x:f>
        <x:v>0</x:v>
      </x:c>
      <x:c r="W3155" s="28" t="n">
        <x:f>L3155-M3155</x:f>
        <x:v>-1</x:v>
      </x:c>
      <x:c r="X3155" s="24" t="n">
        <x:f>IFERROR(K3155/I3155,0)</x:f>
        <x:v>0.3</x:v>
      </x:c>
      <x:c r="Y3155" s="24" t="n">
        <x:f>IFERROR(G3155/I3155,0)</x:f>
        <x:v>0.1</x:v>
      </x:c>
      <x:c r="Z3155" s="24" t="n">
        <x:f>IFERROR(G3155/K3155,0)</x:f>
        <x:v>0.3333333333333333</x:v>
      </x:c>
      <x:c r="AA3155" s="24" t="n">
        <x:f>IFERROR(F3155/H3155,0)-IFERROR(G3155/I3155,0)</x:f>
        <x:v>0.0111111111111111</x:v>
      </x:c>
      <x:c r="AB3155" s="28" t="n">
        <x:f>J3155-K3155</x:f>
        <x:v>0</x:v>
      </x:c>
      <x:c r="AC3155" s="32" t="n">
        <x:f>F3155-G3155</x:f>
        <x:v>0</x:v>
      </x:c>
    </x:row>
    <x:row r="3156">
      <x:c r="A3156" s="4" t="str">
        <x:v>2025-26</x:v>
      </x:c>
      <x:c r="B3156" s="20" t="n">
        <x:v>45928</x:v>
      </x:c>
      <x:c r="C3156" s="4" t="str">
        <x:v>Arsenal</x:v>
      </x:c>
      <x:c r="D3156" s="4" t="str">
        <x:v>Newcastle</x:v>
      </x:c>
      <x:c r="E3156" s="4" t="str">
        <x:v>Away</x:v>
      </x:c>
      <x:c r="F3156" s="28" t="n">
        <x:v>2</x:v>
      </x:c>
      <x:c r="G3156" s="28" t="n">
        <x:v>1</x:v>
      </x:c>
      <x:c r="H3156" s="28" t="n">
        <x:v>20</x:v>
      </x:c>
      <x:c r="I3156" s="28" t="n">
        <x:v>8</x:v>
      </x:c>
      <x:c r="J3156" s="28" t="n">
        <x:v>7</x:v>
      </x:c>
      <x:c r="K3156" s="28" t="n">
        <x:v>3</x:v>
      </x:c>
      <x:c r="L3156" s="28" t="n">
        <x:v>12</x:v>
      </x:c>
      <x:c r="M3156" s="28" t="n">
        <x:v>7</x:v>
      </x:c>
      <x:c r="N3156" s="28" t="n">
        <x:v>1</x:v>
      </x:c>
      <x:c r="O3156" s="28" t="n">
        <x:v>0</x:v>
      </x:c>
      <x:c r="P3156" s="28" t="n">
        <x:v>3</x:v>
      </x:c>
      <x:c r="Q3156" s="24" t="n">
        <x:f>IFERROR(J3156/H3156,0)</x:f>
        <x:v>0.35</x:v>
      </x:c>
      <x:c r="R3156" s="24" t="n">
        <x:f>IFERROR(F3156/H3156,0)</x:f>
        <x:v>0.1</x:v>
      </x:c>
      <x:c r="S3156" s="24" t="n">
        <x:f>IFERROR(F3156/J3156,0)</x:f>
        <x:v>0.2857142857142857</x:v>
      </x:c>
      <x:c r="T3156" s="28" t="n">
        <x:f>H3156-I3156</x:f>
        <x:v>12</x:v>
      </x:c>
      <x:c r="U3156" s="24" t="n">
        <x:f>IFERROR(J3156/H3156,0)-IFERROR(K3156/I3156,0)</x:f>
        <x:v>-0.025000000000000022</x:v>
      </x:c>
      <x:c r="V3156" s="24" t="n">
        <x:f>IFERROR(F3156/J3156,0)-IFERROR(G3156/K3156,0)</x:f>
        <x:v>-0.047619047619047616</x:v>
      </x:c>
      <x:c r="W3156" s="28" t="n">
        <x:f>L3156-M3156</x:f>
        <x:v>5</x:v>
      </x:c>
      <x:c r="X3156" s="24" t="n">
        <x:f>IFERROR(K3156/I3156,0)</x:f>
        <x:v>0.375</x:v>
      </x:c>
      <x:c r="Y3156" s="24" t="n">
        <x:f>IFERROR(G3156/I3156,0)</x:f>
        <x:v>0.125</x:v>
      </x:c>
      <x:c r="Z3156" s="24" t="n">
        <x:f>IFERROR(G3156/K3156,0)</x:f>
        <x:v>0.3333333333333333</x:v>
      </x:c>
      <x:c r="AA3156" s="24" t="n">
        <x:f>IFERROR(F3156/H3156,0)-IFERROR(G3156/I3156,0)</x:f>
        <x:v>-0.024999999999999994</x:v>
      </x:c>
      <x:c r="AB3156" s="28" t="n">
        <x:f>J3156-K3156</x:f>
        <x:v>4</x:v>
      </x:c>
      <x:c r="AC3156" s="32" t="n">
        <x:f>F3156-G3156</x:f>
        <x:v>1</x:v>
      </x:c>
    </x:row>
    <x:row r="3157">
      <x:c r="A3157" s="4" t="str">
        <x:v>2025-26</x:v>
      </x:c>
      <x:c r="B3157" s="20" t="n">
        <x:v>45928</x:v>
      </x:c>
      <x:c r="C3157" s="4" t="str">
        <x:v>Aston Villa</x:v>
      </x:c>
      <x:c r="D3157" s="4" t="str">
        <x:v>Fulham</x:v>
      </x:c>
      <x:c r="E3157" s="4" t="str">
        <x:v>Home</x:v>
      </x:c>
      <x:c r="F3157" s="28" t="n">
        <x:v>3</x:v>
      </x:c>
      <x:c r="G3157" s="28" t="n">
        <x:v>1</x:v>
      </x:c>
      <x:c r="H3157" s="28" t="n">
        <x:v>9</x:v>
      </x:c>
      <x:c r="I3157" s="28" t="n">
        <x:v>11</x:v>
      </x:c>
      <x:c r="J3157" s="28" t="n">
        <x:v>4</x:v>
      </x:c>
      <x:c r="K3157" s="28" t="n">
        <x:v>4</x:v>
      </x:c>
      <x:c r="L3157" s="28" t="n">
        <x:v>2</x:v>
      </x:c>
      <x:c r="M3157" s="28" t="n">
        <x:v>8</x:v>
      </x:c>
      <x:c r="N3157" s="28" t="n">
        <x:v>1</x:v>
      </x:c>
      <x:c r="O3157" s="28" t="n">
        <x:v>0</x:v>
      </x:c>
      <x:c r="P3157" s="28" t="n">
        <x:v>3</x:v>
      </x:c>
      <x:c r="Q3157" s="24" t="n">
        <x:f>IFERROR(J3157/H3157,0)</x:f>
        <x:v>0.4444444444444444</x:v>
      </x:c>
      <x:c r="R3157" s="24" t="n">
        <x:f>IFERROR(F3157/H3157,0)</x:f>
        <x:v>0.3333333333333333</x:v>
      </x:c>
      <x:c r="S3157" s="24" t="n">
        <x:f>IFERROR(F3157/J3157,0)</x:f>
        <x:v>0.75</x:v>
      </x:c>
      <x:c r="T3157" s="28" t="n">
        <x:f>H3157-I3157</x:f>
        <x:v>-2</x:v>
      </x:c>
      <x:c r="U3157" s="24" t="n">
        <x:f>IFERROR(J3157/H3157,0)-IFERROR(K3157/I3157,0)</x:f>
        <x:v>0.08080808080808077</x:v>
      </x:c>
      <x:c r="V3157" s="24" t="n">
        <x:f>IFERROR(F3157/J3157,0)-IFERROR(G3157/K3157,0)</x:f>
        <x:v>0.5</x:v>
      </x:c>
      <x:c r="W3157" s="28" t="n">
        <x:f>L3157-M3157</x:f>
        <x:v>-6</x:v>
      </x:c>
      <x:c r="X3157" s="24" t="n">
        <x:f>IFERROR(K3157/I3157,0)</x:f>
        <x:v>0.36363636363636365</x:v>
      </x:c>
      <x:c r="Y3157" s="24" t="n">
        <x:f>IFERROR(G3157/I3157,0)</x:f>
        <x:v>0.09090909090909091</x:v>
      </x:c>
      <x:c r="Z3157" s="24" t="n">
        <x:f>IFERROR(G3157/K3157,0)</x:f>
        <x:v>0.25</x:v>
      </x:c>
      <x:c r="AA3157" s="24" t="n">
        <x:f>IFERROR(F3157/H3157,0)-IFERROR(G3157/I3157,0)</x:f>
        <x:v>0.2424242424242424</x:v>
      </x:c>
      <x:c r="AB3157" s="28" t="n">
        <x:f>J3157-K3157</x:f>
        <x:v>0</x:v>
      </x:c>
      <x:c r="AC3157" s="32" t="n">
        <x:f>F3157-G3157</x:f>
        <x:v>2</x:v>
      </x:c>
    </x:row>
    <x:row r="3158">
      <x:c r="A3158" s="4" t="str">
        <x:v>2025-26</x:v>
      </x:c>
      <x:c r="B3158" s="20" t="n">
        <x:v>45928</x:v>
      </x:c>
      <x:c r="C3158" s="4" t="str">
        <x:v>Fulham</x:v>
      </x:c>
      <x:c r="D3158" s="4" t="str">
        <x:v>Aston Villa</x:v>
      </x:c>
      <x:c r="E3158" s="4" t="str">
        <x:v>Away</x:v>
      </x:c>
      <x:c r="F3158" s="28" t="n">
        <x:v>1</x:v>
      </x:c>
      <x:c r="G3158" s="28" t="n">
        <x:v>3</x:v>
      </x:c>
      <x:c r="H3158" s="28" t="n">
        <x:v>11</x:v>
      </x:c>
      <x:c r="I3158" s="28" t="n">
        <x:v>9</x:v>
      </x:c>
      <x:c r="J3158" s="28" t="n">
        <x:v>4</x:v>
      </x:c>
      <x:c r="K3158" s="28" t="n">
        <x:v>4</x:v>
      </x:c>
      <x:c r="L3158" s="28" t="n">
        <x:v>8</x:v>
      </x:c>
      <x:c r="M3158" s="28" t="n">
        <x:v>2</x:v>
      </x:c>
      <x:c r="N3158" s="28" t="n">
        <x:v>4</x:v>
      </x:c>
      <x:c r="O3158" s="28" t="n">
        <x:v>0</x:v>
      </x:c>
      <x:c r="P3158" s="28" t="n">
        <x:v>0</x:v>
      </x:c>
      <x:c r="Q3158" s="24" t="n">
        <x:f>IFERROR(J3158/H3158,0)</x:f>
        <x:v>0.36363636363636365</x:v>
      </x:c>
      <x:c r="R3158" s="24" t="n">
        <x:f>IFERROR(F3158/H3158,0)</x:f>
        <x:v>0.09090909090909091</x:v>
      </x:c>
      <x:c r="S3158" s="24" t="n">
        <x:f>IFERROR(F3158/J3158,0)</x:f>
        <x:v>0.25</x:v>
      </x:c>
      <x:c r="T3158" s="28" t="n">
        <x:f>H3158-I3158</x:f>
        <x:v>2</x:v>
      </x:c>
      <x:c r="U3158" s="24" t="n">
        <x:f>IFERROR(J3158/H3158,0)-IFERROR(K3158/I3158,0)</x:f>
        <x:v>-0.08080808080808077</x:v>
      </x:c>
      <x:c r="V3158" s="24" t="n">
        <x:f>IFERROR(F3158/J3158,0)-IFERROR(G3158/K3158,0)</x:f>
        <x:v>-0.5</x:v>
      </x:c>
      <x:c r="W3158" s="28" t="n">
        <x:f>L3158-M3158</x:f>
        <x:v>6</x:v>
      </x:c>
      <x:c r="X3158" s="24" t="n">
        <x:f>IFERROR(K3158/I3158,0)</x:f>
        <x:v>0.4444444444444444</x:v>
      </x:c>
      <x:c r="Y3158" s="24" t="n">
        <x:f>IFERROR(G3158/I3158,0)</x:f>
        <x:v>0.3333333333333333</x:v>
      </x:c>
      <x:c r="Z3158" s="24" t="n">
        <x:f>IFERROR(G3158/K3158,0)</x:f>
        <x:v>0.75</x:v>
      </x:c>
      <x:c r="AA3158" s="24" t="n">
        <x:f>IFERROR(F3158/H3158,0)-IFERROR(G3158/I3158,0)</x:f>
        <x:v>-0.2424242424242424</x:v>
      </x:c>
      <x:c r="AB3158" s="28" t="n">
        <x:f>J3158-K3158</x:f>
        <x:v>0</x:v>
      </x:c>
      <x:c r="AC3158" s="32" t="n">
        <x:f>F3158-G3158</x:f>
        <x:v>-2</x:v>
      </x:c>
    </x:row>
    <x:row r="3159">
      <x:c r="A3159" s="4" t="str">
        <x:v>2025-26</x:v>
      </x:c>
      <x:c r="B3159" s="20" t="n">
        <x:v>45928</x:v>
      </x:c>
      <x:c r="C3159" s="4" t="str">
        <x:v>Newcastle</x:v>
      </x:c>
      <x:c r="D3159" s="4" t="str">
        <x:v>Arsenal</x:v>
      </x:c>
      <x:c r="E3159" s="4" t="str">
        <x:v>Home</x:v>
      </x:c>
      <x:c r="F3159" s="28" t="n">
        <x:v>1</x:v>
      </x:c>
      <x:c r="G3159" s="28" t="n">
        <x:v>2</x:v>
      </x:c>
      <x:c r="H3159" s="28" t="n">
        <x:v>8</x:v>
      </x:c>
      <x:c r="I3159" s="28" t="n">
        <x:v>20</x:v>
      </x:c>
      <x:c r="J3159" s="28" t="n">
        <x:v>3</x:v>
      </x:c>
      <x:c r="K3159" s="28" t="n">
        <x:v>7</x:v>
      </x:c>
      <x:c r="L3159" s="28" t="n">
        <x:v>7</x:v>
      </x:c>
      <x:c r="M3159" s="28" t="n">
        <x:v>12</x:v>
      </x:c>
      <x:c r="N3159" s="28" t="n">
        <x:v>2</x:v>
      </x:c>
      <x:c r="O3159" s="28" t="n">
        <x:v>0</x:v>
      </x:c>
      <x:c r="P3159" s="28" t="n">
        <x:v>0</x:v>
      </x:c>
      <x:c r="Q3159" s="24" t="n">
        <x:f>IFERROR(J3159/H3159,0)</x:f>
        <x:v>0.375</x:v>
      </x:c>
      <x:c r="R3159" s="24" t="n">
        <x:f>IFERROR(F3159/H3159,0)</x:f>
        <x:v>0.125</x:v>
      </x:c>
      <x:c r="S3159" s="24" t="n">
        <x:f>IFERROR(F3159/J3159,0)</x:f>
        <x:v>0.3333333333333333</x:v>
      </x:c>
      <x:c r="T3159" s="28" t="n">
        <x:f>H3159-I3159</x:f>
        <x:v>-12</x:v>
      </x:c>
      <x:c r="U3159" s="24" t="n">
        <x:f>IFERROR(J3159/H3159,0)-IFERROR(K3159/I3159,0)</x:f>
        <x:v>0.025000000000000022</x:v>
      </x:c>
      <x:c r="V3159" s="24" t="n">
        <x:f>IFERROR(F3159/J3159,0)-IFERROR(G3159/K3159,0)</x:f>
        <x:v>0.047619047619047616</x:v>
      </x:c>
      <x:c r="W3159" s="28" t="n">
        <x:f>L3159-M3159</x:f>
        <x:v>-5</x:v>
      </x:c>
      <x:c r="X3159" s="24" t="n">
        <x:f>IFERROR(K3159/I3159,0)</x:f>
        <x:v>0.35</x:v>
      </x:c>
      <x:c r="Y3159" s="24" t="n">
        <x:f>IFERROR(G3159/I3159,0)</x:f>
        <x:v>0.1</x:v>
      </x:c>
      <x:c r="Z3159" s="24" t="n">
        <x:f>IFERROR(G3159/K3159,0)</x:f>
        <x:v>0.2857142857142857</x:v>
      </x:c>
      <x:c r="AA3159" s="24" t="n">
        <x:f>IFERROR(F3159/H3159,0)-IFERROR(G3159/I3159,0)</x:f>
        <x:v>0.024999999999999994</x:v>
      </x:c>
      <x:c r="AB3159" s="28" t="n">
        <x:f>J3159-K3159</x:f>
        <x:v>-4</x:v>
      </x:c>
      <x:c r="AC3159" s="32" t="n">
        <x:f>F3159-G3159</x:f>
        <x:v>-1</x:v>
      </x:c>
    </x:row>
    <x:row r="3160">
      <x:c r="A3160" s="4" t="str">
        <x:v>2025-26</x:v>
      </x:c>
      <x:c r="B3160" s="20" t="n">
        <x:v>45929</x:v>
      </x:c>
      <x:c r="C3160" s="4" t="str">
        <x:v>Everton</x:v>
      </x:c>
      <x:c r="D3160" s="4" t="str">
        <x:v>West Ham</x:v>
      </x:c>
      <x:c r="E3160" s="4" t="str">
        <x:v>Home</x:v>
      </x:c>
      <x:c r="F3160" s="28" t="n">
        <x:v>1</x:v>
      </x:c>
      <x:c r="G3160" s="28" t="n">
        <x:v>1</x:v>
      </x:c>
      <x:c r="H3160" s="28" t="n">
        <x:v>12</x:v>
      </x:c>
      <x:c r="I3160" s="28" t="n">
        <x:v>14</x:v>
      </x:c>
      <x:c r="J3160" s="28" t="n">
        <x:v>6</x:v>
      </x:c>
      <x:c r="K3160" s="28" t="n">
        <x:v>3</x:v>
      </x:c>
      <x:c r="L3160" s="28" t="n">
        <x:v>3</x:v>
      </x:c>
      <x:c r="M3160" s="28" t="n">
        <x:v>5</x:v>
      </x:c>
      <x:c r="N3160" s="28" t="n">
        <x:v>3</x:v>
      </x:c>
      <x:c r="O3160" s="28" t="n">
        <x:v>0</x:v>
      </x:c>
      <x:c r="P3160" s="28" t="n">
        <x:v>1</x:v>
      </x:c>
      <x:c r="Q3160" s="24" t="n">
        <x:f>IFERROR(J3160/H3160,0)</x:f>
        <x:v>0.5</x:v>
      </x:c>
      <x:c r="R3160" s="24" t="n">
        <x:f>IFERROR(F3160/H3160,0)</x:f>
        <x:v>0.08333333333333333</x:v>
      </x:c>
      <x:c r="S3160" s="24" t="n">
        <x:f>IFERROR(F3160/J3160,0)</x:f>
        <x:v>0.16666666666666666</x:v>
      </x:c>
      <x:c r="T3160" s="28" t="n">
        <x:f>H3160-I3160</x:f>
        <x:v>-2</x:v>
      </x:c>
      <x:c r="U3160" s="24" t="n">
        <x:f>IFERROR(J3160/H3160,0)-IFERROR(K3160/I3160,0)</x:f>
        <x:v>0.2857142857142857</x:v>
      </x:c>
      <x:c r="V3160" s="24" t="n">
        <x:f>IFERROR(F3160/J3160,0)-IFERROR(G3160/K3160,0)</x:f>
        <x:v>-0.16666666666666666</x:v>
      </x:c>
      <x:c r="W3160" s="28" t="n">
        <x:f>L3160-M3160</x:f>
        <x:v>-2</x:v>
      </x:c>
      <x:c r="X3160" s="24" t="n">
        <x:f>IFERROR(K3160/I3160,0)</x:f>
        <x:v>0.21428571428571427</x:v>
      </x:c>
      <x:c r="Y3160" s="24" t="n">
        <x:f>IFERROR(G3160/I3160,0)</x:f>
        <x:v>0.07142857142857142</x:v>
      </x:c>
      <x:c r="Z3160" s="24" t="n">
        <x:f>IFERROR(G3160/K3160,0)</x:f>
        <x:v>0.3333333333333333</x:v>
      </x:c>
      <x:c r="AA3160" s="24" t="n">
        <x:f>IFERROR(F3160/H3160,0)-IFERROR(G3160/I3160,0)</x:f>
        <x:v>0.011904761904761904</x:v>
      </x:c>
      <x:c r="AB3160" s="28" t="n">
        <x:f>J3160-K3160</x:f>
        <x:v>3</x:v>
      </x:c>
      <x:c r="AC3160" s="32" t="n">
        <x:f>F3160-G3160</x:f>
        <x:v>0</x:v>
      </x:c>
    </x:row>
    <x:row r="3161">
      <x:c r="A3161" s="4" t="str">
        <x:v>2025-26</x:v>
      </x:c>
      <x:c r="B3161" s="20" t="n">
        <x:v>45929</x:v>
      </x:c>
      <x:c r="C3161" s="4" t="str">
        <x:v>West Ham</x:v>
      </x:c>
      <x:c r="D3161" s="4" t="str">
        <x:v>Everton</x:v>
      </x:c>
      <x:c r="E3161" s="4" t="str">
        <x:v>Away</x:v>
      </x:c>
      <x:c r="F3161" s="28" t="n">
        <x:v>1</x:v>
      </x:c>
      <x:c r="G3161" s="28" t="n">
        <x:v>1</x:v>
      </x:c>
      <x:c r="H3161" s="28" t="n">
        <x:v>14</x:v>
      </x:c>
      <x:c r="I3161" s="28" t="n">
        <x:v>12</x:v>
      </x:c>
      <x:c r="J3161" s="28" t="n">
        <x:v>3</x:v>
      </x:c>
      <x:c r="K3161" s="28" t="n">
        <x:v>6</x:v>
      </x:c>
      <x:c r="L3161" s="28" t="n">
        <x:v>5</x:v>
      </x:c>
      <x:c r="M3161" s="28" t="n">
        <x:v>3</x:v>
      </x:c>
      <x:c r="N3161" s="28" t="n">
        <x:v>4</x:v>
      </x:c>
      <x:c r="O3161" s="28" t="n">
        <x:v>0</x:v>
      </x:c>
      <x:c r="P3161" s="28" t="n">
        <x:v>1</x:v>
      </x:c>
      <x:c r="Q3161" s="24" t="n">
        <x:f>IFERROR(J3161/H3161,0)</x:f>
        <x:v>0.21428571428571427</x:v>
      </x:c>
      <x:c r="R3161" s="24" t="n">
        <x:f>IFERROR(F3161/H3161,0)</x:f>
        <x:v>0.07142857142857142</x:v>
      </x:c>
      <x:c r="S3161" s="24" t="n">
        <x:f>IFERROR(F3161/J3161,0)</x:f>
        <x:v>0.3333333333333333</x:v>
      </x:c>
      <x:c r="T3161" s="28" t="n">
        <x:f>H3161-I3161</x:f>
        <x:v>2</x:v>
      </x:c>
      <x:c r="U3161" s="24" t="n">
        <x:f>IFERROR(J3161/H3161,0)-IFERROR(K3161/I3161,0)</x:f>
        <x:v>-0.2857142857142857</x:v>
      </x:c>
      <x:c r="V3161" s="24" t="n">
        <x:f>IFERROR(F3161/J3161,0)-IFERROR(G3161/K3161,0)</x:f>
        <x:v>0.16666666666666666</x:v>
      </x:c>
      <x:c r="W3161" s="28" t="n">
        <x:f>L3161-M3161</x:f>
        <x:v>2</x:v>
      </x:c>
      <x:c r="X3161" s="24" t="n">
        <x:f>IFERROR(K3161/I3161,0)</x:f>
        <x:v>0.5</x:v>
      </x:c>
      <x:c r="Y3161" s="24" t="n">
        <x:f>IFERROR(G3161/I3161,0)</x:f>
        <x:v>0.08333333333333333</x:v>
      </x:c>
      <x:c r="Z3161" s="24" t="n">
        <x:f>IFERROR(G3161/K3161,0)</x:f>
        <x:v>0.16666666666666666</x:v>
      </x:c>
      <x:c r="AA3161" s="24" t="n">
        <x:f>IFERROR(F3161/H3161,0)-IFERROR(G3161/I3161,0)</x:f>
        <x:v>-0.011904761904761904</x:v>
      </x:c>
      <x:c r="AB3161" s="28" t="n">
        <x:f>J3161-K3161</x:f>
        <x:v>-3</x:v>
      </x:c>
      <x:c r="AC3161" s="32" t="n">
        <x:f>F3161-G3161</x:f>
        <x:v>0</x:v>
      </x:c>
    </x:row>
    <x:row r="3162">
      <x:c r="A3162" s="4" t="str">
        <x:v>2025-26</x:v>
      </x:c>
      <x:c r="B3162" s="20" t="n">
        <x:v>45933</x:v>
      </x:c>
      <x:c r="C3162" s="4" t="str">
        <x:v>Bournemouth</x:v>
      </x:c>
      <x:c r="D3162" s="4" t="str">
        <x:v>Fulham</x:v>
      </x:c>
      <x:c r="E3162" s="4" t="str">
        <x:v>Home</x:v>
      </x:c>
      <x:c r="F3162" s="28" t="n">
        <x:v>3</x:v>
      </x:c>
      <x:c r="G3162" s="28" t="n">
        <x:v>1</x:v>
      </x:c>
      <x:c r="H3162" s="28" t="n">
        <x:v>11</x:v>
      </x:c>
      <x:c r="I3162" s="28" t="n">
        <x:v>12</x:v>
      </x:c>
      <x:c r="J3162" s="28" t="n">
        <x:v>6</x:v>
      </x:c>
      <x:c r="K3162" s="28" t="n">
        <x:v>4</x:v>
      </x:c>
      <x:c r="L3162" s="28" t="n">
        <x:v>4</x:v>
      </x:c>
      <x:c r="M3162" s="28" t="n">
        <x:v>3</x:v>
      </x:c>
      <x:c r="N3162" s="28" t="n">
        <x:v>0</x:v>
      </x:c>
      <x:c r="O3162" s="28" t="n">
        <x:v>0</x:v>
      </x:c>
      <x:c r="P3162" s="28" t="n">
        <x:v>3</x:v>
      </x:c>
      <x:c r="Q3162" s="24" t="n">
        <x:f>IFERROR(J3162/H3162,0)</x:f>
        <x:v>0.5454545454545454</x:v>
      </x:c>
      <x:c r="R3162" s="24" t="n">
        <x:f>IFERROR(F3162/H3162,0)</x:f>
        <x:v>0.2727272727272727</x:v>
      </x:c>
      <x:c r="S3162" s="24" t="n">
        <x:f>IFERROR(F3162/J3162,0)</x:f>
        <x:v>0.5</x:v>
      </x:c>
      <x:c r="T3162" s="28" t="n">
        <x:f>H3162-I3162</x:f>
        <x:v>-1</x:v>
      </x:c>
      <x:c r="U3162" s="24" t="n">
        <x:f>IFERROR(J3162/H3162,0)-IFERROR(K3162/I3162,0)</x:f>
        <x:v>0.2121212121212121</x:v>
      </x:c>
      <x:c r="V3162" s="24" t="n">
        <x:f>IFERROR(F3162/J3162,0)-IFERROR(G3162/K3162,0)</x:f>
        <x:v>0.25</x:v>
      </x:c>
      <x:c r="W3162" s="28" t="n">
        <x:f>L3162-M3162</x:f>
        <x:v>1</x:v>
      </x:c>
      <x:c r="X3162" s="24" t="n">
        <x:f>IFERROR(K3162/I3162,0)</x:f>
        <x:v>0.3333333333333333</x:v>
      </x:c>
      <x:c r="Y3162" s="24" t="n">
        <x:f>IFERROR(G3162/I3162,0)</x:f>
        <x:v>0.08333333333333333</x:v>
      </x:c>
      <x:c r="Z3162" s="24" t="n">
        <x:f>IFERROR(G3162/K3162,0)</x:f>
        <x:v>0.25</x:v>
      </x:c>
      <x:c r="AA3162" s="24" t="n">
        <x:f>IFERROR(F3162/H3162,0)-IFERROR(G3162/I3162,0)</x:f>
        <x:v>0.1893939393939394</x:v>
      </x:c>
      <x:c r="AB3162" s="28" t="n">
        <x:f>J3162-K3162</x:f>
        <x:v>2</x:v>
      </x:c>
      <x:c r="AC3162" s="32" t="n">
        <x:f>F3162-G3162</x:f>
        <x:v>2</x:v>
      </x:c>
    </x:row>
    <x:row r="3163">
      <x:c r="A3163" s="4" t="str">
        <x:v>2025-26</x:v>
      </x:c>
      <x:c r="B3163" s="20" t="n">
        <x:v>45933</x:v>
      </x:c>
      <x:c r="C3163" s="4" t="str">
        <x:v>Fulham</x:v>
      </x:c>
      <x:c r="D3163" s="4" t="str">
        <x:v>Bournemouth</x:v>
      </x:c>
      <x:c r="E3163" s="4" t="str">
        <x:v>Away</x:v>
      </x:c>
      <x:c r="F3163" s="28" t="n">
        <x:v>1</x:v>
      </x:c>
      <x:c r="G3163" s="28" t="n">
        <x:v>3</x:v>
      </x:c>
      <x:c r="H3163" s="28" t="n">
        <x:v>12</x:v>
      </x:c>
      <x:c r="I3163" s="28" t="n">
        <x:v>11</x:v>
      </x:c>
      <x:c r="J3163" s="28" t="n">
        <x:v>4</x:v>
      </x:c>
      <x:c r="K3163" s="28" t="n">
        <x:v>6</x:v>
      </x:c>
      <x:c r="L3163" s="28" t="n">
        <x:v>3</x:v>
      </x:c>
      <x:c r="M3163" s="28" t="n">
        <x:v>4</x:v>
      </x:c>
      <x:c r="N3163" s="28" t="n">
        <x:v>1</x:v>
      </x:c>
      <x:c r="O3163" s="28" t="n">
        <x:v>0</x:v>
      </x:c>
      <x:c r="P3163" s="28" t="n">
        <x:v>0</x:v>
      </x:c>
      <x:c r="Q3163" s="24" t="n">
        <x:f>IFERROR(J3163/H3163,0)</x:f>
        <x:v>0.3333333333333333</x:v>
      </x:c>
      <x:c r="R3163" s="24" t="n">
        <x:f>IFERROR(F3163/H3163,0)</x:f>
        <x:v>0.08333333333333333</x:v>
      </x:c>
      <x:c r="S3163" s="24" t="n">
        <x:f>IFERROR(F3163/J3163,0)</x:f>
        <x:v>0.25</x:v>
      </x:c>
      <x:c r="T3163" s="28" t="n">
        <x:f>H3163-I3163</x:f>
        <x:v>1</x:v>
      </x:c>
      <x:c r="U3163" s="24" t="n">
        <x:f>IFERROR(J3163/H3163,0)-IFERROR(K3163/I3163,0)</x:f>
        <x:v>-0.2121212121212121</x:v>
      </x:c>
      <x:c r="V3163" s="24" t="n">
        <x:f>IFERROR(F3163/J3163,0)-IFERROR(G3163/K3163,0)</x:f>
        <x:v>-0.25</x:v>
      </x:c>
      <x:c r="W3163" s="28" t="n">
        <x:f>L3163-M3163</x:f>
        <x:v>-1</x:v>
      </x:c>
      <x:c r="X3163" s="24" t="n">
        <x:f>IFERROR(K3163/I3163,0)</x:f>
        <x:v>0.5454545454545454</x:v>
      </x:c>
      <x:c r="Y3163" s="24" t="n">
        <x:f>IFERROR(G3163/I3163,0)</x:f>
        <x:v>0.2727272727272727</x:v>
      </x:c>
      <x:c r="Z3163" s="24" t="n">
        <x:f>IFERROR(G3163/K3163,0)</x:f>
        <x:v>0.5</x:v>
      </x:c>
      <x:c r="AA3163" s="24" t="n">
        <x:f>IFERROR(F3163/H3163,0)-IFERROR(G3163/I3163,0)</x:f>
        <x:v>-0.1893939393939394</x:v>
      </x:c>
      <x:c r="AB3163" s="28" t="n">
        <x:f>J3163-K3163</x:f>
        <x:v>-2</x:v>
      </x:c>
      <x:c r="AC3163" s="32" t="n">
        <x:f>F3163-G3163</x:f>
        <x:v>-2</x:v>
      </x:c>
    </x:row>
    <x:row r="3164">
      <x:c r="A3164" s="4" t="str">
        <x:v>2025-26</x:v>
      </x:c>
      <x:c r="B3164" s="20" t="n">
        <x:v>45934</x:v>
      </x:c>
      <x:c r="C3164" s="4" t="str">
        <x:v>Arsenal</x:v>
      </x:c>
      <x:c r="D3164" s="4" t="str">
        <x:v>West Ham</x:v>
      </x:c>
      <x:c r="E3164" s="4" t="str">
        <x:v>Home</x:v>
      </x:c>
      <x:c r="F3164" s="28" t="n">
        <x:v>2</x:v>
      </x:c>
      <x:c r="G3164" s="28" t="n">
        <x:v>0</x:v>
      </x:c>
      <x:c r="H3164" s="28" t="n">
        <x:v>21</x:v>
      </x:c>
      <x:c r="I3164" s="28" t="n">
        <x:v>4</x:v>
      </x:c>
      <x:c r="J3164" s="28" t="n">
        <x:v>5</x:v>
      </x:c>
      <x:c r="K3164" s="28" t="n">
        <x:v>0</x:v>
      </x:c>
      <x:c r="L3164" s="28" t="n">
        <x:v>8</x:v>
      </x:c>
      <x:c r="M3164" s="28" t="n">
        <x:v>3</x:v>
      </x:c>
      <x:c r="N3164" s="28" t="n">
        <x:v>0</x:v>
      </x:c>
      <x:c r="O3164" s="28" t="n">
        <x:v>0</x:v>
      </x:c>
      <x:c r="P3164" s="28" t="n">
        <x:v>3</x:v>
      </x:c>
      <x:c r="Q3164" s="24" t="n">
        <x:f>IFERROR(J3164/H3164,0)</x:f>
        <x:v>0.23809523809523808</x:v>
      </x:c>
      <x:c r="R3164" s="24" t="n">
        <x:f>IFERROR(F3164/H3164,0)</x:f>
        <x:v>0.09523809523809523</x:v>
      </x:c>
      <x:c r="S3164" s="24" t="n">
        <x:f>IFERROR(F3164/J3164,0)</x:f>
        <x:v>0.4</x:v>
      </x:c>
      <x:c r="T3164" s="28" t="n">
        <x:f>H3164-I3164</x:f>
        <x:v>17</x:v>
      </x:c>
      <x:c r="U3164" s="24" t="n">
        <x:f>IFERROR(J3164/H3164,0)-IFERROR(K3164/I3164,0)</x:f>
        <x:v>0.23809523809523808</x:v>
      </x:c>
      <x:c r="V3164" s="24" t="n">
        <x:f>IFERROR(F3164/J3164,0)-IFERROR(G3164/K3164,0)</x:f>
        <x:v>0.4</x:v>
      </x:c>
      <x:c r="W3164" s="28" t="n">
        <x:f>L3164-M3164</x:f>
        <x:v>5</x:v>
      </x:c>
      <x:c r="X3164" s="24" t="n">
        <x:f>IFERROR(K3164/I3164,0)</x:f>
        <x:v>0</x:v>
      </x:c>
      <x:c r="Y3164" s="24" t="n">
        <x:f>IFERROR(G3164/I3164,0)</x:f>
        <x:v>0</x:v>
      </x:c>
      <x:c r="Z3164" s="24" t="n">
        <x:f>IFERROR(G3164/K3164,0)</x:f>
        <x:v>0</x:v>
      </x:c>
      <x:c r="AA3164" s="24" t="n">
        <x:f>IFERROR(F3164/H3164,0)-IFERROR(G3164/I3164,0)</x:f>
        <x:v>0.09523809523809523</x:v>
      </x:c>
      <x:c r="AB3164" s="28" t="n">
        <x:f>J3164-K3164</x:f>
        <x:v>5</x:v>
      </x:c>
      <x:c r="AC3164" s="32" t="n">
        <x:f>F3164-G3164</x:f>
        <x:v>2</x:v>
      </x:c>
    </x:row>
    <x:row r="3165">
      <x:c r="A3165" s="4" t="str">
        <x:v>2025-26</x:v>
      </x:c>
      <x:c r="B3165" s="20" t="n">
        <x:v>45934</x:v>
      </x:c>
      <x:c r="C3165" s="4" t="str">
        <x:v>Chelsea</x:v>
      </x:c>
      <x:c r="D3165" s="4" t="str">
        <x:v>Liverpool</x:v>
      </x:c>
      <x:c r="E3165" s="4" t="str">
        <x:v>Home</x:v>
      </x:c>
      <x:c r="F3165" s="28" t="n">
        <x:v>2</x:v>
      </x:c>
      <x:c r="G3165" s="28" t="n">
        <x:v>1</x:v>
      </x:c>
      <x:c r="H3165" s="28" t="n">
        <x:v>12</x:v>
      </x:c>
      <x:c r="I3165" s="28" t="n">
        <x:v>12</x:v>
      </x:c>
      <x:c r="J3165" s="28" t="n">
        <x:v>6</x:v>
      </x:c>
      <x:c r="K3165" s="28" t="n">
        <x:v>2</x:v>
      </x:c>
      <x:c r="L3165" s="28" t="n">
        <x:v>7</x:v>
      </x:c>
      <x:c r="M3165" s="28" t="n">
        <x:v>2</x:v>
      </x:c>
      <x:c r="N3165" s="28" t="n">
        <x:v>0</x:v>
      </x:c>
      <x:c r="O3165" s="28" t="n">
        <x:v>0</x:v>
      </x:c>
      <x:c r="P3165" s="28" t="n">
        <x:v>3</x:v>
      </x:c>
      <x:c r="Q3165" s="24" t="n">
        <x:f>IFERROR(J3165/H3165,0)</x:f>
        <x:v>0.5</x:v>
      </x:c>
      <x:c r="R3165" s="24" t="n">
        <x:f>IFERROR(F3165/H3165,0)</x:f>
        <x:v>0.16666666666666666</x:v>
      </x:c>
      <x:c r="S3165" s="24" t="n">
        <x:f>IFERROR(F3165/J3165,0)</x:f>
        <x:v>0.3333333333333333</x:v>
      </x:c>
      <x:c r="T3165" s="28" t="n">
        <x:f>H3165-I3165</x:f>
        <x:v>0</x:v>
      </x:c>
      <x:c r="U3165" s="24" t="n">
        <x:f>IFERROR(J3165/H3165,0)-IFERROR(K3165/I3165,0)</x:f>
        <x:v>0.33333333333333337</x:v>
      </x:c>
      <x:c r="V3165" s="24" t="n">
        <x:f>IFERROR(F3165/J3165,0)-IFERROR(G3165/K3165,0)</x:f>
        <x:v>-0.16666666666666669</x:v>
      </x:c>
      <x:c r="W3165" s="28" t="n">
        <x:f>L3165-M3165</x:f>
        <x:v>5</x:v>
      </x:c>
      <x:c r="X3165" s="24" t="n">
        <x:f>IFERROR(K3165/I3165,0)</x:f>
        <x:v>0.16666666666666666</x:v>
      </x:c>
      <x:c r="Y3165" s="24" t="n">
        <x:f>IFERROR(G3165/I3165,0)</x:f>
        <x:v>0.08333333333333333</x:v>
      </x:c>
      <x:c r="Z3165" s="24" t="n">
        <x:f>IFERROR(G3165/K3165,0)</x:f>
        <x:v>0.5</x:v>
      </x:c>
      <x:c r="AA3165" s="24" t="n">
        <x:f>IFERROR(F3165/H3165,0)-IFERROR(G3165/I3165,0)</x:f>
        <x:v>0.08333333333333333</x:v>
      </x:c>
      <x:c r="AB3165" s="28" t="n">
        <x:f>J3165-K3165</x:f>
        <x:v>4</x:v>
      </x:c>
      <x:c r="AC3165" s="32" t="n">
        <x:f>F3165-G3165</x:f>
        <x:v>1</x:v>
      </x:c>
    </x:row>
    <x:row r="3166">
      <x:c r="A3166" s="4" t="str">
        <x:v>2025-26</x:v>
      </x:c>
      <x:c r="B3166" s="20" t="n">
        <x:v>45934</x:v>
      </x:c>
      <x:c r="C3166" s="4" t="str">
        <x:v>Leeds</x:v>
      </x:c>
      <x:c r="D3166" s="4" t="str">
        <x:v>Tottenham</x:v>
      </x:c>
      <x:c r="E3166" s="4" t="str">
        <x:v>Home</x:v>
      </x:c>
      <x:c r="F3166" s="28" t="n">
        <x:v>1</x:v>
      </x:c>
      <x:c r="G3166" s="28" t="n">
        <x:v>2</x:v>
      </x:c>
      <x:c r="H3166" s="28" t="n">
        <x:v>16</x:v>
      </x:c>
      <x:c r="I3166" s="28" t="n">
        <x:v>9</x:v>
      </x:c>
      <x:c r="J3166" s="28" t="n">
        <x:v>4</x:v>
      </x:c>
      <x:c r="K3166" s="28" t="n">
        <x:v>3</x:v>
      </x:c>
      <x:c r="L3166" s="28" t="n">
        <x:v>4</x:v>
      </x:c>
      <x:c r="M3166" s="28" t="n">
        <x:v>1</x:v>
      </x:c>
      <x:c r="N3166" s="28" t="n">
        <x:v>2</x:v>
      </x:c>
      <x:c r="O3166" s="28" t="n">
        <x:v>0</x:v>
      </x:c>
      <x:c r="P3166" s="28" t="n">
        <x:v>0</x:v>
      </x:c>
      <x:c r="Q3166" s="24" t="n">
        <x:f>IFERROR(J3166/H3166,0)</x:f>
        <x:v>0.25</x:v>
      </x:c>
      <x:c r="R3166" s="24" t="n">
        <x:f>IFERROR(F3166/H3166,0)</x:f>
        <x:v>0.0625</x:v>
      </x:c>
      <x:c r="S3166" s="24" t="n">
        <x:f>IFERROR(F3166/J3166,0)</x:f>
        <x:v>0.25</x:v>
      </x:c>
      <x:c r="T3166" s="28" t="n">
        <x:f>H3166-I3166</x:f>
        <x:v>7</x:v>
      </x:c>
      <x:c r="U3166" s="24" t="n">
        <x:f>IFERROR(J3166/H3166,0)-IFERROR(K3166/I3166,0)</x:f>
        <x:v>-0.08333333333333331</x:v>
      </x:c>
      <x:c r="V3166" s="24" t="n">
        <x:f>IFERROR(F3166/J3166,0)-IFERROR(G3166/K3166,0)</x:f>
        <x:v>-0.41666666666666663</x:v>
      </x:c>
      <x:c r="W3166" s="28" t="n">
        <x:f>L3166-M3166</x:f>
        <x:v>3</x:v>
      </x:c>
      <x:c r="X3166" s="24" t="n">
        <x:f>IFERROR(K3166/I3166,0)</x:f>
        <x:v>0.3333333333333333</x:v>
      </x:c>
      <x:c r="Y3166" s="24" t="n">
        <x:f>IFERROR(G3166/I3166,0)</x:f>
        <x:v>0.2222222222222222</x:v>
      </x:c>
      <x:c r="Z3166" s="24" t="n">
        <x:f>IFERROR(G3166/K3166,0)</x:f>
        <x:v>0.6666666666666666</x:v>
      </x:c>
      <x:c r="AA3166" s="24" t="n">
        <x:f>IFERROR(F3166/H3166,0)-IFERROR(G3166/I3166,0)</x:f>
        <x:v>-0.1597222222222222</x:v>
      </x:c>
      <x:c r="AB3166" s="28" t="n">
        <x:f>J3166-K3166</x:f>
        <x:v>1</x:v>
      </x:c>
      <x:c r="AC3166" s="32" t="n">
        <x:f>F3166-G3166</x:f>
        <x:v>-1</x:v>
      </x:c>
    </x:row>
    <x:row r="3167">
      <x:c r="A3167" s="4" t="str">
        <x:v>2025-26</x:v>
      </x:c>
      <x:c r="B3167" s="20" t="n">
        <x:v>45934</x:v>
      </x:c>
      <x:c r="C3167" s="4" t="str">
        <x:v>Liverpool</x:v>
      </x:c>
      <x:c r="D3167" s="4" t="str">
        <x:v>Chelsea</x:v>
      </x:c>
      <x:c r="E3167" s="4" t="str">
        <x:v>Away</x:v>
      </x:c>
      <x:c r="F3167" s="28" t="n">
        <x:v>1</x:v>
      </x:c>
      <x:c r="G3167" s="28" t="n">
        <x:v>2</x:v>
      </x:c>
      <x:c r="H3167" s="28" t="n">
        <x:v>12</x:v>
      </x:c>
      <x:c r="I3167" s="28" t="n">
        <x:v>12</x:v>
      </x:c>
      <x:c r="J3167" s="28" t="n">
        <x:v>2</x:v>
      </x:c>
      <x:c r="K3167" s="28" t="n">
        <x:v>6</x:v>
      </x:c>
      <x:c r="L3167" s="28" t="n">
        <x:v>2</x:v>
      </x:c>
      <x:c r="M3167" s="28" t="n">
        <x:v>7</x:v>
      </x:c>
      <x:c r="N3167" s="28" t="n">
        <x:v>2</x:v>
      </x:c>
      <x:c r="O3167" s="28" t="n">
        <x:v>0</x:v>
      </x:c>
      <x:c r="P3167" s="28" t="n">
        <x:v>0</x:v>
      </x:c>
      <x:c r="Q3167" s="24" t="n">
        <x:f>IFERROR(J3167/H3167,0)</x:f>
        <x:v>0.16666666666666666</x:v>
      </x:c>
      <x:c r="R3167" s="24" t="n">
        <x:f>IFERROR(F3167/H3167,0)</x:f>
        <x:v>0.08333333333333333</x:v>
      </x:c>
      <x:c r="S3167" s="24" t="n">
        <x:f>IFERROR(F3167/J3167,0)</x:f>
        <x:v>0.5</x:v>
      </x:c>
      <x:c r="T3167" s="28" t="n">
        <x:f>H3167-I3167</x:f>
        <x:v>0</x:v>
      </x:c>
      <x:c r="U3167" s="24" t="n">
        <x:f>IFERROR(J3167/H3167,0)-IFERROR(K3167/I3167,0)</x:f>
        <x:v>-0.33333333333333337</x:v>
      </x:c>
      <x:c r="V3167" s="24" t="n">
        <x:f>IFERROR(F3167/J3167,0)-IFERROR(G3167/K3167,0)</x:f>
        <x:v>0.16666666666666669</x:v>
      </x:c>
      <x:c r="W3167" s="28" t="n">
        <x:f>L3167-M3167</x:f>
        <x:v>-5</x:v>
      </x:c>
      <x:c r="X3167" s="24" t="n">
        <x:f>IFERROR(K3167/I3167,0)</x:f>
        <x:v>0.5</x:v>
      </x:c>
      <x:c r="Y3167" s="24" t="n">
        <x:f>IFERROR(G3167/I3167,0)</x:f>
        <x:v>0.16666666666666666</x:v>
      </x:c>
      <x:c r="Z3167" s="24" t="n">
        <x:f>IFERROR(G3167/K3167,0)</x:f>
        <x:v>0.3333333333333333</x:v>
      </x:c>
      <x:c r="AA3167" s="24" t="n">
        <x:f>IFERROR(F3167/H3167,0)-IFERROR(G3167/I3167,0)</x:f>
        <x:v>-0.08333333333333333</x:v>
      </x:c>
      <x:c r="AB3167" s="28" t="n">
        <x:f>J3167-K3167</x:f>
        <x:v>-4</x:v>
      </x:c>
      <x:c r="AC3167" s="32" t="n">
        <x:f>F3167-G3167</x:f>
        <x:v>-1</x:v>
      </x:c>
    </x:row>
    <x:row r="3168">
      <x:c r="A3168" s="4" t="str">
        <x:v>2025-26</x:v>
      </x:c>
      <x:c r="B3168" s="20" t="n">
        <x:v>45934</x:v>
      </x:c>
      <x:c r="C3168" s="4" t="str">
        <x:v>Man United</x:v>
      </x:c>
      <x:c r="D3168" s="4" t="str">
        <x:v>Sunderland</x:v>
      </x:c>
      <x:c r="E3168" s="4" t="str">
        <x:v>Home</x:v>
      </x:c>
      <x:c r="F3168" s="28" t="n">
        <x:v>2</x:v>
      </x:c>
      <x:c r="G3168" s="28" t="n">
        <x:v>0</x:v>
      </x:c>
      <x:c r="H3168" s="28" t="n">
        <x:v>15</x:v>
      </x:c>
      <x:c r="I3168" s="28" t="n">
        <x:v>8</x:v>
      </x:c>
      <x:c r="J3168" s="28" t="n">
        <x:v>6</x:v>
      </x:c>
      <x:c r="K3168" s="28" t="n">
        <x:v>3</x:v>
      </x:c>
      <x:c r="L3168" s="28" t="n">
        <x:v>2</x:v>
      </x:c>
      <x:c r="M3168" s="28" t="n">
        <x:v>3</x:v>
      </x:c>
      <x:c r="N3168" s="28" t="n">
        <x:v>1</x:v>
      </x:c>
      <x:c r="O3168" s="28" t="n">
        <x:v>0</x:v>
      </x:c>
      <x:c r="P3168" s="28" t="n">
        <x:v>3</x:v>
      </x:c>
      <x:c r="Q3168" s="24" t="n">
        <x:f>IFERROR(J3168/H3168,0)</x:f>
        <x:v>0.4</x:v>
      </x:c>
      <x:c r="R3168" s="24" t="n">
        <x:f>IFERROR(F3168/H3168,0)</x:f>
        <x:v>0.13333333333333333</x:v>
      </x:c>
      <x:c r="S3168" s="24" t="n">
        <x:f>IFERROR(F3168/J3168,0)</x:f>
        <x:v>0.3333333333333333</x:v>
      </x:c>
      <x:c r="T3168" s="28" t="n">
        <x:f>H3168-I3168</x:f>
        <x:v>7</x:v>
      </x:c>
      <x:c r="U3168" s="24" t="n">
        <x:f>IFERROR(J3168/H3168,0)-IFERROR(K3168/I3168,0)</x:f>
        <x:v>0.025000000000000022</x:v>
      </x:c>
      <x:c r="V3168" s="24" t="n">
        <x:f>IFERROR(F3168/J3168,0)-IFERROR(G3168/K3168,0)</x:f>
        <x:v>0.3333333333333333</x:v>
      </x:c>
      <x:c r="W3168" s="28" t="n">
        <x:f>L3168-M3168</x:f>
        <x:v>-1</x:v>
      </x:c>
      <x:c r="X3168" s="24" t="n">
        <x:f>IFERROR(K3168/I3168,0)</x:f>
        <x:v>0.375</x:v>
      </x:c>
      <x:c r="Y3168" s="24" t="n">
        <x:f>IFERROR(G3168/I3168,0)</x:f>
        <x:v>0</x:v>
      </x:c>
      <x:c r="Z3168" s="24" t="n">
        <x:f>IFERROR(G3168/K3168,0)</x:f>
        <x:v>0</x:v>
      </x:c>
      <x:c r="AA3168" s="24" t="n">
        <x:f>IFERROR(F3168/H3168,0)-IFERROR(G3168/I3168,0)</x:f>
        <x:v>0.13333333333333333</x:v>
      </x:c>
      <x:c r="AB3168" s="28" t="n">
        <x:f>J3168-K3168</x:f>
        <x:v>3</x:v>
      </x:c>
      <x:c r="AC3168" s="32" t="n">
        <x:f>F3168-G3168</x:f>
        <x:v>2</x:v>
      </x:c>
    </x:row>
    <x:row r="3169">
      <x:c r="A3169" s="4" t="str">
        <x:v>2025-26</x:v>
      </x:c>
      <x:c r="B3169" s="20" t="n">
        <x:v>45934</x:v>
      </x:c>
      <x:c r="C3169" s="4" t="str">
        <x:v>Sunderland</x:v>
      </x:c>
      <x:c r="D3169" s="4" t="str">
        <x:v>Man United</x:v>
      </x:c>
      <x:c r="E3169" s="4" t="str">
        <x:v>Away</x:v>
      </x:c>
      <x:c r="F3169" s="28" t="n">
        <x:v>0</x:v>
      </x:c>
      <x:c r="G3169" s="28" t="n">
        <x:v>2</x:v>
      </x:c>
      <x:c r="H3169" s="28" t="n">
        <x:v>8</x:v>
      </x:c>
      <x:c r="I3169" s="28" t="n">
        <x:v>15</x:v>
      </x:c>
      <x:c r="J3169" s="28" t="n">
        <x:v>3</x:v>
      </x:c>
      <x:c r="K3169" s="28" t="n">
        <x:v>6</x:v>
      </x:c>
      <x:c r="L3169" s="28" t="n">
        <x:v>3</x:v>
      </x:c>
      <x:c r="M3169" s="28" t="n">
        <x:v>2</x:v>
      </x:c>
      <x:c r="N3169" s="28" t="n">
        <x:v>4</x:v>
      </x:c>
      <x:c r="O3169" s="28" t="n">
        <x:v>0</x:v>
      </x:c>
      <x:c r="P3169" s="28" t="n">
        <x:v>0</x:v>
      </x:c>
      <x:c r="Q3169" s="24" t="n">
        <x:f>IFERROR(J3169/H3169,0)</x:f>
        <x:v>0.375</x:v>
      </x:c>
      <x:c r="R3169" s="24" t="n">
        <x:f>IFERROR(F3169/H3169,0)</x:f>
        <x:v>0</x:v>
      </x:c>
      <x:c r="S3169" s="24" t="n">
        <x:f>IFERROR(F3169/J3169,0)</x:f>
        <x:v>0</x:v>
      </x:c>
      <x:c r="T3169" s="28" t="n">
        <x:f>H3169-I3169</x:f>
        <x:v>-7</x:v>
      </x:c>
      <x:c r="U3169" s="24" t="n">
        <x:f>IFERROR(J3169/H3169,0)-IFERROR(K3169/I3169,0)</x:f>
        <x:v>-0.025000000000000022</x:v>
      </x:c>
      <x:c r="V3169" s="24" t="n">
        <x:f>IFERROR(F3169/J3169,0)-IFERROR(G3169/K3169,0)</x:f>
        <x:v>-0.3333333333333333</x:v>
      </x:c>
      <x:c r="W3169" s="28" t="n">
        <x:f>L3169-M3169</x:f>
        <x:v>1</x:v>
      </x:c>
      <x:c r="X3169" s="24" t="n">
        <x:f>IFERROR(K3169/I3169,0)</x:f>
        <x:v>0.4</x:v>
      </x:c>
      <x:c r="Y3169" s="24" t="n">
        <x:f>IFERROR(G3169/I3169,0)</x:f>
        <x:v>0.13333333333333333</x:v>
      </x:c>
      <x:c r="Z3169" s="24" t="n">
        <x:f>IFERROR(G3169/K3169,0)</x:f>
        <x:v>0.3333333333333333</x:v>
      </x:c>
      <x:c r="AA3169" s="24" t="n">
        <x:f>IFERROR(F3169/H3169,0)-IFERROR(G3169/I3169,0)</x:f>
        <x:v>-0.13333333333333333</x:v>
      </x:c>
      <x:c r="AB3169" s="28" t="n">
        <x:f>J3169-K3169</x:f>
        <x:v>-3</x:v>
      </x:c>
      <x:c r="AC3169" s="32" t="n">
        <x:f>F3169-G3169</x:f>
        <x:v>-2</x:v>
      </x:c>
    </x:row>
    <x:row r="3170">
      <x:c r="A3170" s="4" t="str">
        <x:v>2025-26</x:v>
      </x:c>
      <x:c r="B3170" s="20" t="n">
        <x:v>45934</x:v>
      </x:c>
      <x:c r="C3170" s="4" t="str">
        <x:v>Tottenham</x:v>
      </x:c>
      <x:c r="D3170" s="4" t="str">
        <x:v>Leeds</x:v>
      </x:c>
      <x:c r="E3170" s="4" t="str">
        <x:v>Away</x:v>
      </x:c>
      <x:c r="F3170" s="28" t="n">
        <x:v>2</x:v>
      </x:c>
      <x:c r="G3170" s="28" t="n">
        <x:v>1</x:v>
      </x:c>
      <x:c r="H3170" s="28" t="n">
        <x:v>9</x:v>
      </x:c>
      <x:c r="I3170" s="28" t="n">
        <x:v>16</x:v>
      </x:c>
      <x:c r="J3170" s="28" t="n">
        <x:v>3</x:v>
      </x:c>
      <x:c r="K3170" s="28" t="n">
        <x:v>4</x:v>
      </x:c>
      <x:c r="L3170" s="28" t="n">
        <x:v>1</x:v>
      </x:c>
      <x:c r="M3170" s="28" t="n">
        <x:v>4</x:v>
      </x:c>
      <x:c r="N3170" s="28" t="n">
        <x:v>3</x:v>
      </x:c>
      <x:c r="O3170" s="28" t="n">
        <x:v>0</x:v>
      </x:c>
      <x:c r="P3170" s="28" t="n">
        <x:v>3</x:v>
      </x:c>
      <x:c r="Q3170" s="24" t="n">
        <x:f>IFERROR(J3170/H3170,0)</x:f>
        <x:v>0.3333333333333333</x:v>
      </x:c>
      <x:c r="R3170" s="24" t="n">
        <x:f>IFERROR(F3170/H3170,0)</x:f>
        <x:v>0.2222222222222222</x:v>
      </x:c>
      <x:c r="S3170" s="24" t="n">
        <x:f>IFERROR(F3170/J3170,0)</x:f>
        <x:v>0.6666666666666666</x:v>
      </x:c>
      <x:c r="T3170" s="28" t="n">
        <x:f>H3170-I3170</x:f>
        <x:v>-7</x:v>
      </x:c>
      <x:c r="U3170" s="24" t="n">
        <x:f>IFERROR(J3170/H3170,0)-IFERROR(K3170/I3170,0)</x:f>
        <x:v>0.08333333333333331</x:v>
      </x:c>
      <x:c r="V3170" s="24" t="n">
        <x:f>IFERROR(F3170/J3170,0)-IFERROR(G3170/K3170,0)</x:f>
        <x:v>0.41666666666666663</x:v>
      </x:c>
      <x:c r="W3170" s="28" t="n">
        <x:f>L3170-M3170</x:f>
        <x:v>-3</x:v>
      </x:c>
      <x:c r="X3170" s="24" t="n">
        <x:f>IFERROR(K3170/I3170,0)</x:f>
        <x:v>0.25</x:v>
      </x:c>
      <x:c r="Y3170" s="24" t="n">
        <x:f>IFERROR(G3170/I3170,0)</x:f>
        <x:v>0.0625</x:v>
      </x:c>
      <x:c r="Z3170" s="24" t="n">
        <x:f>IFERROR(G3170/K3170,0)</x:f>
        <x:v>0.25</x:v>
      </x:c>
      <x:c r="AA3170" s="24" t="n">
        <x:f>IFERROR(F3170/H3170,0)-IFERROR(G3170/I3170,0)</x:f>
        <x:v>0.1597222222222222</x:v>
      </x:c>
      <x:c r="AB3170" s="28" t="n">
        <x:f>J3170-K3170</x:f>
        <x:v>-1</x:v>
      </x:c>
      <x:c r="AC3170" s="32" t="n">
        <x:f>F3170-G3170</x:f>
        <x:v>1</x:v>
      </x:c>
    </x:row>
    <x:row r="3171">
      <x:c r="A3171" s="4" t="str">
        <x:v>2025-26</x:v>
      </x:c>
      <x:c r="B3171" s="20" t="n">
        <x:v>45934</x:v>
      </x:c>
      <x:c r="C3171" s="4" t="str">
        <x:v>West Ham</x:v>
      </x:c>
      <x:c r="D3171" s="4" t="str">
        <x:v>Arsenal</x:v>
      </x:c>
      <x:c r="E3171" s="4" t="str">
        <x:v>Away</x:v>
      </x:c>
      <x:c r="F3171" s="28" t="n">
        <x:v>0</x:v>
      </x:c>
      <x:c r="G3171" s="28" t="n">
        <x:v>2</x:v>
      </x:c>
      <x:c r="H3171" s="28" t="n">
        <x:v>4</x:v>
      </x:c>
      <x:c r="I3171" s="28" t="n">
        <x:v>21</x:v>
      </x:c>
      <x:c r="J3171" s="28" t="n">
        <x:v>0</x:v>
      </x:c>
      <x:c r="K3171" s="28" t="n">
        <x:v>5</x:v>
      </x:c>
      <x:c r="L3171" s="28" t="n">
        <x:v>3</x:v>
      </x:c>
      <x:c r="M3171" s="28" t="n">
        <x:v>8</x:v>
      </x:c>
      <x:c r="N3171" s="28" t="n">
        <x:v>2</x:v>
      </x:c>
      <x:c r="O3171" s="28" t="n">
        <x:v>0</x:v>
      </x:c>
      <x:c r="P3171" s="28" t="n">
        <x:v>0</x:v>
      </x:c>
      <x:c r="Q3171" s="24" t="n">
        <x:f>IFERROR(J3171/H3171,0)</x:f>
        <x:v>0</x:v>
      </x:c>
      <x:c r="R3171" s="24" t="n">
        <x:f>IFERROR(F3171/H3171,0)</x:f>
        <x:v>0</x:v>
      </x:c>
      <x:c r="S3171" s="24" t="n">
        <x:f>IFERROR(F3171/J3171,0)</x:f>
        <x:v>0</x:v>
      </x:c>
      <x:c r="T3171" s="28" t="n">
        <x:f>H3171-I3171</x:f>
        <x:v>-17</x:v>
      </x:c>
      <x:c r="U3171" s="24" t="n">
        <x:f>IFERROR(J3171/H3171,0)-IFERROR(K3171/I3171,0)</x:f>
        <x:v>-0.23809523809523808</x:v>
      </x:c>
      <x:c r="V3171" s="24" t="n">
        <x:f>IFERROR(F3171/J3171,0)-IFERROR(G3171/K3171,0)</x:f>
        <x:v>-0.4</x:v>
      </x:c>
      <x:c r="W3171" s="28" t="n">
        <x:f>L3171-M3171</x:f>
        <x:v>-5</x:v>
      </x:c>
      <x:c r="X3171" s="24" t="n">
        <x:f>IFERROR(K3171/I3171,0)</x:f>
        <x:v>0.23809523809523808</x:v>
      </x:c>
      <x:c r="Y3171" s="24" t="n">
        <x:f>IFERROR(G3171/I3171,0)</x:f>
        <x:v>0.09523809523809523</x:v>
      </x:c>
      <x:c r="Z3171" s="24" t="n">
        <x:f>IFERROR(G3171/K3171,0)</x:f>
        <x:v>0.4</x:v>
      </x:c>
      <x:c r="AA3171" s="24" t="n">
        <x:f>IFERROR(F3171/H3171,0)-IFERROR(G3171/I3171,0)</x:f>
        <x:v>-0.09523809523809523</x:v>
      </x:c>
      <x:c r="AB3171" s="28" t="n">
        <x:f>J3171-K3171</x:f>
        <x:v>-5</x:v>
      </x:c>
      <x:c r="AC3171" s="32" t="n">
        <x:f>F3171-G3171</x:f>
        <x:v>-2</x:v>
      </x:c>
    </x:row>
    <x:row r="3172">
      <x:c r="A3172" s="4" t="str">
        <x:v>2025-26</x:v>
      </x:c>
      <x:c r="B3172" s="20" t="n">
        <x:v>45935</x:v>
      </x:c>
      <x:c r="C3172" s="4" t="str">
        <x:v>Aston Villa</x:v>
      </x:c>
      <x:c r="D3172" s="4" t="str">
        <x:v>Burnley</x:v>
      </x:c>
      <x:c r="E3172" s="4" t="str">
        <x:v>Home</x:v>
      </x:c>
      <x:c r="F3172" s="28" t="n">
        <x:v>2</x:v>
      </x:c>
      <x:c r="G3172" s="28" t="n">
        <x:v>1</x:v>
      </x:c>
      <x:c r="H3172" s="28" t="n">
        <x:v>15</x:v>
      </x:c>
      <x:c r="I3172" s="28" t="n">
        <x:v>5</x:v>
      </x:c>
      <x:c r="J3172" s="28" t="n">
        <x:v>7</x:v>
      </x:c>
      <x:c r="K3172" s="28" t="n">
        <x:v>2</x:v>
      </x:c>
      <x:c r="L3172" s="28" t="n">
        <x:v>6</x:v>
      </x:c>
      <x:c r="M3172" s="28" t="n">
        <x:v>4</x:v>
      </x:c>
      <x:c r="N3172" s="28" t="n">
        <x:v>3</x:v>
      </x:c>
      <x:c r="O3172" s="28" t="n">
        <x:v>0</x:v>
      </x:c>
      <x:c r="P3172" s="28" t="n">
        <x:v>3</x:v>
      </x:c>
      <x:c r="Q3172" s="24" t="n">
        <x:f>IFERROR(J3172/H3172,0)</x:f>
        <x:v>0.4666666666666667</x:v>
      </x:c>
      <x:c r="R3172" s="24" t="n">
        <x:f>IFERROR(F3172/H3172,0)</x:f>
        <x:v>0.13333333333333333</x:v>
      </x:c>
      <x:c r="S3172" s="24" t="n">
        <x:f>IFERROR(F3172/J3172,0)</x:f>
        <x:v>0.2857142857142857</x:v>
      </x:c>
      <x:c r="T3172" s="28" t="n">
        <x:f>H3172-I3172</x:f>
        <x:v>10</x:v>
      </x:c>
      <x:c r="U3172" s="24" t="n">
        <x:f>IFERROR(J3172/H3172,0)-IFERROR(K3172/I3172,0)</x:f>
        <x:v>0.06666666666666665</x:v>
      </x:c>
      <x:c r="V3172" s="24" t="n">
        <x:f>IFERROR(F3172/J3172,0)-IFERROR(G3172/K3172,0)</x:f>
        <x:v>-0.2142857142857143</x:v>
      </x:c>
      <x:c r="W3172" s="28" t="n">
        <x:f>L3172-M3172</x:f>
        <x:v>2</x:v>
      </x:c>
      <x:c r="X3172" s="24" t="n">
        <x:f>IFERROR(K3172/I3172,0)</x:f>
        <x:v>0.4</x:v>
      </x:c>
      <x:c r="Y3172" s="24" t="n">
        <x:f>IFERROR(G3172/I3172,0)</x:f>
        <x:v>0.2</x:v>
      </x:c>
      <x:c r="Z3172" s="24" t="n">
        <x:f>IFERROR(G3172/K3172,0)</x:f>
        <x:v>0.5</x:v>
      </x:c>
      <x:c r="AA3172" s="24" t="n">
        <x:f>IFERROR(F3172/H3172,0)-IFERROR(G3172/I3172,0)</x:f>
        <x:v>-0.06666666666666668</x:v>
      </x:c>
      <x:c r="AB3172" s="28" t="n">
        <x:f>J3172-K3172</x:f>
        <x:v>5</x:v>
      </x:c>
      <x:c r="AC3172" s="32" t="n">
        <x:f>F3172-G3172</x:f>
        <x:v>1</x:v>
      </x:c>
    </x:row>
    <x:row r="3173">
      <x:c r="A3173" s="4" t="str">
        <x:v>2025-26</x:v>
      </x:c>
      <x:c r="B3173" s="20" t="n">
        <x:v>45935</x:v>
      </x:c>
      <x:c r="C3173" s="4" t="str">
        <x:v>Brentford</x:v>
      </x:c>
      <x:c r="D3173" s="4" t="str">
        <x:v>Man City</x:v>
      </x:c>
      <x:c r="E3173" s="4" t="str">
        <x:v>Home</x:v>
      </x:c>
      <x:c r="F3173" s="28" t="n">
        <x:v>0</x:v>
      </x:c>
      <x:c r="G3173" s="28" t="n">
        <x:v>1</x:v>
      </x:c>
      <x:c r="H3173" s="28" t="n">
        <x:v>6</x:v>
      </x:c>
      <x:c r="I3173" s="28" t="n">
        <x:v>10</x:v>
      </x:c>
      <x:c r="J3173" s="28" t="n">
        <x:v>1</x:v>
      </x:c>
      <x:c r="K3173" s="28" t="n">
        <x:v>4</x:v>
      </x:c>
      <x:c r="L3173" s="28" t="n">
        <x:v>3</x:v>
      </x:c>
      <x:c r="M3173" s="28" t="n">
        <x:v>2</x:v>
      </x:c>
      <x:c r="N3173" s="28" t="n">
        <x:v>3</x:v>
      </x:c>
      <x:c r="O3173" s="28" t="n">
        <x:v>0</x:v>
      </x:c>
      <x:c r="P3173" s="28" t="n">
        <x:v>0</x:v>
      </x:c>
      <x:c r="Q3173" s="24" t="n">
        <x:f>IFERROR(J3173/H3173,0)</x:f>
        <x:v>0.16666666666666666</x:v>
      </x:c>
      <x:c r="R3173" s="24" t="n">
        <x:f>IFERROR(F3173/H3173,0)</x:f>
        <x:v>0</x:v>
      </x:c>
      <x:c r="S3173" s="24" t="n">
        <x:f>IFERROR(F3173/J3173,0)</x:f>
        <x:v>0</x:v>
      </x:c>
      <x:c r="T3173" s="28" t="n">
        <x:f>H3173-I3173</x:f>
        <x:v>-4</x:v>
      </x:c>
      <x:c r="U3173" s="24" t="n">
        <x:f>IFERROR(J3173/H3173,0)-IFERROR(K3173/I3173,0)</x:f>
        <x:v>-0.23333333333333336</x:v>
      </x:c>
      <x:c r="V3173" s="24" t="n">
        <x:f>IFERROR(F3173/J3173,0)-IFERROR(G3173/K3173,0)</x:f>
        <x:v>-0.25</x:v>
      </x:c>
      <x:c r="W3173" s="28" t="n">
        <x:f>L3173-M3173</x:f>
        <x:v>1</x:v>
      </x:c>
      <x:c r="X3173" s="24" t="n">
        <x:f>IFERROR(K3173/I3173,0)</x:f>
        <x:v>0.4</x:v>
      </x:c>
      <x:c r="Y3173" s="24" t="n">
        <x:f>IFERROR(G3173/I3173,0)</x:f>
        <x:v>0.1</x:v>
      </x:c>
      <x:c r="Z3173" s="24" t="n">
        <x:f>IFERROR(G3173/K3173,0)</x:f>
        <x:v>0.25</x:v>
      </x:c>
      <x:c r="AA3173" s="24" t="n">
        <x:f>IFERROR(F3173/H3173,0)-IFERROR(G3173/I3173,0)</x:f>
        <x:v>-0.1</x:v>
      </x:c>
      <x:c r="AB3173" s="28" t="n">
        <x:f>J3173-K3173</x:f>
        <x:v>-3</x:v>
      </x:c>
      <x:c r="AC3173" s="32" t="n">
        <x:f>F3173-G3173</x:f>
        <x:v>-1</x:v>
      </x:c>
    </x:row>
    <x:row r="3174">
      <x:c r="A3174" s="4" t="str">
        <x:v>2025-26</x:v>
      </x:c>
      <x:c r="B3174" s="20" t="n">
        <x:v>45935</x:v>
      </x:c>
      <x:c r="C3174" s="4" t="str">
        <x:v>Brighton</x:v>
      </x:c>
      <x:c r="D3174" s="4" t="str">
        <x:v>Wolves</x:v>
      </x:c>
      <x:c r="E3174" s="4" t="str">
        <x:v>Away</x:v>
      </x:c>
      <x:c r="F3174" s="28" t="n">
        <x:v>1</x:v>
      </x:c>
      <x:c r="G3174" s="28" t="n">
        <x:v>1</x:v>
      </x:c>
      <x:c r="H3174" s="28" t="n">
        <x:v>17</x:v>
      </x:c>
      <x:c r="I3174" s="28" t="n">
        <x:v>6</x:v>
      </x:c>
      <x:c r="J3174" s="28" t="n">
        <x:v>6</x:v>
      </x:c>
      <x:c r="K3174" s="28" t="n">
        <x:v>3</x:v>
      </x:c>
      <x:c r="L3174" s="28" t="n">
        <x:v>8</x:v>
      </x:c>
      <x:c r="M3174" s="28" t="n">
        <x:v>2</x:v>
      </x:c>
      <x:c r="N3174" s="28" t="n">
        <x:v>4</x:v>
      </x:c>
      <x:c r="O3174" s="28" t="n">
        <x:v>0</x:v>
      </x:c>
      <x:c r="P3174" s="28" t="n">
        <x:v>1</x:v>
      </x:c>
      <x:c r="Q3174" s="24" t="n">
        <x:f>IFERROR(J3174/H3174,0)</x:f>
        <x:v>0.35294117647058826</x:v>
      </x:c>
      <x:c r="R3174" s="24" t="n">
        <x:f>IFERROR(F3174/H3174,0)</x:f>
        <x:v>0.058823529411764705</x:v>
      </x:c>
      <x:c r="S3174" s="24" t="n">
        <x:f>IFERROR(F3174/J3174,0)</x:f>
        <x:v>0.16666666666666666</x:v>
      </x:c>
      <x:c r="T3174" s="28" t="n">
        <x:f>H3174-I3174</x:f>
        <x:v>11</x:v>
      </x:c>
      <x:c r="U3174" s="24" t="n">
        <x:f>IFERROR(J3174/H3174,0)-IFERROR(K3174/I3174,0)</x:f>
        <x:v>-0.14705882352941174</x:v>
      </x:c>
      <x:c r="V3174" s="24" t="n">
        <x:f>IFERROR(F3174/J3174,0)-IFERROR(G3174/K3174,0)</x:f>
        <x:v>-0.16666666666666666</x:v>
      </x:c>
      <x:c r="W3174" s="28" t="n">
        <x:f>L3174-M3174</x:f>
        <x:v>6</x:v>
      </x:c>
      <x:c r="X3174" s="24" t="n">
        <x:f>IFERROR(K3174/I3174,0)</x:f>
        <x:v>0.5</x:v>
      </x:c>
      <x:c r="Y3174" s="24" t="n">
        <x:f>IFERROR(G3174/I3174,0)</x:f>
        <x:v>0.16666666666666666</x:v>
      </x:c>
      <x:c r="Z3174" s="24" t="n">
        <x:f>IFERROR(G3174/K3174,0)</x:f>
        <x:v>0.3333333333333333</x:v>
      </x:c>
      <x:c r="AA3174" s="24" t="n">
        <x:f>IFERROR(F3174/H3174,0)-IFERROR(G3174/I3174,0)</x:f>
        <x:v>-0.10784313725490195</x:v>
      </x:c>
      <x:c r="AB3174" s="28" t="n">
        <x:f>J3174-K3174</x:f>
        <x:v>3</x:v>
      </x:c>
      <x:c r="AC3174" s="32" t="n">
        <x:f>F3174-G3174</x:f>
        <x:v>0</x:v>
      </x:c>
    </x:row>
    <x:row r="3175">
      <x:c r="A3175" s="4" t="str">
        <x:v>2025-26</x:v>
      </x:c>
      <x:c r="B3175" s="20" t="n">
        <x:v>45935</x:v>
      </x:c>
      <x:c r="C3175" s="4" t="str">
        <x:v>Burnley</x:v>
      </x:c>
      <x:c r="D3175" s="4" t="str">
        <x:v>Aston Villa</x:v>
      </x:c>
      <x:c r="E3175" s="4" t="str">
        <x:v>Away</x:v>
      </x:c>
      <x:c r="F3175" s="28" t="n">
        <x:v>1</x:v>
      </x:c>
      <x:c r="G3175" s="28" t="n">
        <x:v>2</x:v>
      </x:c>
      <x:c r="H3175" s="28" t="n">
        <x:v>5</x:v>
      </x:c>
      <x:c r="I3175" s="28" t="n">
        <x:v>15</x:v>
      </x:c>
      <x:c r="J3175" s="28" t="n">
        <x:v>2</x:v>
      </x:c>
      <x:c r="K3175" s="28" t="n">
        <x:v>7</x:v>
      </x:c>
      <x:c r="L3175" s="28" t="n">
        <x:v>4</x:v>
      </x:c>
      <x:c r="M3175" s="28" t="n">
        <x:v>6</x:v>
      </x:c>
      <x:c r="N3175" s="28" t="n">
        <x:v>1</x:v>
      </x:c>
      <x:c r="O3175" s="28" t="n">
        <x:v>0</x:v>
      </x:c>
      <x:c r="P3175" s="28" t="n">
        <x:v>0</x:v>
      </x:c>
      <x:c r="Q3175" s="24" t="n">
        <x:f>IFERROR(J3175/H3175,0)</x:f>
        <x:v>0.4</x:v>
      </x:c>
      <x:c r="R3175" s="24" t="n">
        <x:f>IFERROR(F3175/H3175,0)</x:f>
        <x:v>0.2</x:v>
      </x:c>
      <x:c r="S3175" s="24" t="n">
        <x:f>IFERROR(F3175/J3175,0)</x:f>
        <x:v>0.5</x:v>
      </x:c>
      <x:c r="T3175" s="28" t="n">
        <x:f>H3175-I3175</x:f>
        <x:v>-10</x:v>
      </x:c>
      <x:c r="U3175" s="24" t="n">
        <x:f>IFERROR(J3175/H3175,0)-IFERROR(K3175/I3175,0)</x:f>
        <x:v>-0.06666666666666665</x:v>
      </x:c>
      <x:c r="V3175" s="24" t="n">
        <x:f>IFERROR(F3175/J3175,0)-IFERROR(G3175/K3175,0)</x:f>
        <x:v>0.2142857142857143</x:v>
      </x:c>
      <x:c r="W3175" s="28" t="n">
        <x:f>L3175-M3175</x:f>
        <x:v>-2</x:v>
      </x:c>
      <x:c r="X3175" s="24" t="n">
        <x:f>IFERROR(K3175/I3175,0)</x:f>
        <x:v>0.4666666666666667</x:v>
      </x:c>
      <x:c r="Y3175" s="24" t="n">
        <x:f>IFERROR(G3175/I3175,0)</x:f>
        <x:v>0.13333333333333333</x:v>
      </x:c>
      <x:c r="Z3175" s="24" t="n">
        <x:f>IFERROR(G3175/K3175,0)</x:f>
        <x:v>0.2857142857142857</x:v>
      </x:c>
      <x:c r="AA3175" s="24" t="n">
        <x:f>IFERROR(F3175/H3175,0)-IFERROR(G3175/I3175,0)</x:f>
        <x:v>0.06666666666666668</x:v>
      </x:c>
      <x:c r="AB3175" s="28" t="n">
        <x:f>J3175-K3175</x:f>
        <x:v>-5</x:v>
      </x:c>
      <x:c r="AC3175" s="32" t="n">
        <x:f>F3175-G3175</x:f>
        <x:v>-1</x:v>
      </x:c>
    </x:row>
    <x:row r="3176">
      <x:c r="A3176" s="4" t="str">
        <x:v>2025-26</x:v>
      </x:c>
      <x:c r="B3176" s="20" t="n">
        <x:v>45935</x:v>
      </x:c>
      <x:c r="C3176" s="4" t="str">
        <x:v>Crystal Palace</x:v>
      </x:c>
      <x:c r="D3176" s="4" t="str">
        <x:v>Everton</x:v>
      </x:c>
      <x:c r="E3176" s="4" t="str">
        <x:v>Away</x:v>
      </x:c>
      <x:c r="F3176" s="28" t="n">
        <x:v>1</x:v>
      </x:c>
      <x:c r="G3176" s="28" t="n">
        <x:v>2</x:v>
      </x:c>
      <x:c r="H3176" s="28" t="n">
        <x:v>15</x:v>
      </x:c>
      <x:c r="I3176" s="28" t="n">
        <x:v>14</x:v>
      </x:c>
      <x:c r="J3176" s="28" t="n">
        <x:v>8</x:v>
      </x:c>
      <x:c r="K3176" s="28" t="n">
        <x:v>7</x:v>
      </x:c>
      <x:c r="L3176" s="28" t="n">
        <x:v>4</x:v>
      </x:c>
      <x:c r="M3176" s="28" t="n">
        <x:v>2</x:v>
      </x:c>
      <x:c r="N3176" s="28" t="n">
        <x:v>3</x:v>
      </x:c>
      <x:c r="O3176" s="28" t="n">
        <x:v>0</x:v>
      </x:c>
      <x:c r="P3176" s="28" t="n">
        <x:v>0</x:v>
      </x:c>
      <x:c r="Q3176" s="24" t="n">
        <x:f>IFERROR(J3176/H3176,0)</x:f>
        <x:v>0.5333333333333333</x:v>
      </x:c>
      <x:c r="R3176" s="24" t="n">
        <x:f>IFERROR(F3176/H3176,0)</x:f>
        <x:v>0.06666666666666667</x:v>
      </x:c>
      <x:c r="S3176" s="24" t="n">
        <x:f>IFERROR(F3176/J3176,0)</x:f>
        <x:v>0.125</x:v>
      </x:c>
      <x:c r="T3176" s="28" t="n">
        <x:f>H3176-I3176</x:f>
        <x:v>1</x:v>
      </x:c>
      <x:c r="U3176" s="24" t="n">
        <x:f>IFERROR(J3176/H3176,0)-IFERROR(K3176/I3176,0)</x:f>
        <x:v>0.033333333333333326</x:v>
      </x:c>
      <x:c r="V3176" s="24" t="n">
        <x:f>IFERROR(F3176/J3176,0)-IFERROR(G3176/K3176,0)</x:f>
        <x:v>-0.1607142857142857</x:v>
      </x:c>
      <x:c r="W3176" s="28" t="n">
        <x:f>L3176-M3176</x:f>
        <x:v>2</x:v>
      </x:c>
      <x:c r="X3176" s="24" t="n">
        <x:f>IFERROR(K3176/I3176,0)</x:f>
        <x:v>0.5</x:v>
      </x:c>
      <x:c r="Y3176" s="24" t="n">
        <x:f>IFERROR(G3176/I3176,0)</x:f>
        <x:v>0.14285714285714285</x:v>
      </x:c>
      <x:c r="Z3176" s="24" t="n">
        <x:f>IFERROR(G3176/K3176,0)</x:f>
        <x:v>0.2857142857142857</x:v>
      </x:c>
      <x:c r="AA3176" s="24" t="n">
        <x:f>IFERROR(F3176/H3176,0)-IFERROR(G3176/I3176,0)</x:f>
        <x:v>-0.07619047619047618</x:v>
      </x:c>
      <x:c r="AB3176" s="28" t="n">
        <x:f>J3176-K3176</x:f>
        <x:v>1</x:v>
      </x:c>
      <x:c r="AC3176" s="32" t="n">
        <x:f>F3176-G3176</x:f>
        <x:v>-1</x:v>
      </x:c>
    </x:row>
    <x:row r="3177">
      <x:c r="A3177" s="4" t="str">
        <x:v>2025-26</x:v>
      </x:c>
      <x:c r="B3177" s="20" t="n">
        <x:v>45935</x:v>
      </x:c>
      <x:c r="C3177" s="4" t="str">
        <x:v>Everton</x:v>
      </x:c>
      <x:c r="D3177" s="4" t="str">
        <x:v>Crystal Palace</x:v>
      </x:c>
      <x:c r="E3177" s="4" t="str">
        <x:v>Home</x:v>
      </x:c>
      <x:c r="F3177" s="28" t="n">
        <x:v>2</x:v>
      </x:c>
      <x:c r="G3177" s="28" t="n">
        <x:v>1</x:v>
      </x:c>
      <x:c r="H3177" s="28" t="n">
        <x:v>14</x:v>
      </x:c>
      <x:c r="I3177" s="28" t="n">
        <x:v>15</x:v>
      </x:c>
      <x:c r="J3177" s="28" t="n">
        <x:v>7</x:v>
      </x:c>
      <x:c r="K3177" s="28" t="n">
        <x:v>8</x:v>
      </x:c>
      <x:c r="L3177" s="28" t="n">
        <x:v>2</x:v>
      </x:c>
      <x:c r="M3177" s="28" t="n">
        <x:v>4</x:v>
      </x:c>
      <x:c r="N3177" s="28" t="n">
        <x:v>2</x:v>
      </x:c>
      <x:c r="O3177" s="28" t="n">
        <x:v>0</x:v>
      </x:c>
      <x:c r="P3177" s="28" t="n">
        <x:v>3</x:v>
      </x:c>
      <x:c r="Q3177" s="24" t="n">
        <x:f>IFERROR(J3177/H3177,0)</x:f>
        <x:v>0.5</x:v>
      </x:c>
      <x:c r="R3177" s="24" t="n">
        <x:f>IFERROR(F3177/H3177,0)</x:f>
        <x:v>0.14285714285714285</x:v>
      </x:c>
      <x:c r="S3177" s="24" t="n">
        <x:f>IFERROR(F3177/J3177,0)</x:f>
        <x:v>0.2857142857142857</x:v>
      </x:c>
      <x:c r="T3177" s="28" t="n">
        <x:f>H3177-I3177</x:f>
        <x:v>-1</x:v>
      </x:c>
      <x:c r="U3177" s="24" t="n">
        <x:f>IFERROR(J3177/H3177,0)-IFERROR(K3177/I3177,0)</x:f>
        <x:v>-0.033333333333333326</x:v>
      </x:c>
      <x:c r="V3177" s="24" t="n">
        <x:f>IFERROR(F3177/J3177,0)-IFERROR(G3177/K3177,0)</x:f>
        <x:v>0.1607142857142857</x:v>
      </x:c>
      <x:c r="W3177" s="28" t="n">
        <x:f>L3177-M3177</x:f>
        <x:v>-2</x:v>
      </x:c>
      <x:c r="X3177" s="24" t="n">
        <x:f>IFERROR(K3177/I3177,0)</x:f>
        <x:v>0.5333333333333333</x:v>
      </x:c>
      <x:c r="Y3177" s="24" t="n">
        <x:f>IFERROR(G3177/I3177,0)</x:f>
        <x:v>0.06666666666666667</x:v>
      </x:c>
      <x:c r="Z3177" s="24" t="n">
        <x:f>IFERROR(G3177/K3177,0)</x:f>
        <x:v>0.125</x:v>
      </x:c>
      <x:c r="AA3177" s="24" t="n">
        <x:f>IFERROR(F3177/H3177,0)-IFERROR(G3177/I3177,0)</x:f>
        <x:v>0.07619047619047618</x:v>
      </x:c>
      <x:c r="AB3177" s="28" t="n">
        <x:f>J3177-K3177</x:f>
        <x:v>-1</x:v>
      </x:c>
      <x:c r="AC3177" s="32" t="n">
        <x:f>F3177-G3177</x:f>
        <x:v>1</x:v>
      </x:c>
    </x:row>
    <x:row r="3178">
      <x:c r="A3178" s="4" t="str">
        <x:v>2025-26</x:v>
      </x:c>
      <x:c r="B3178" s="20" t="n">
        <x:v>45935</x:v>
      </x:c>
      <x:c r="C3178" s="4" t="str">
        <x:v>Man City</x:v>
      </x:c>
      <x:c r="D3178" s="4" t="str">
        <x:v>Brentford</x:v>
      </x:c>
      <x:c r="E3178" s="4" t="str">
        <x:v>Away</x:v>
      </x:c>
      <x:c r="F3178" s="28" t="n">
        <x:v>1</x:v>
      </x:c>
      <x:c r="G3178" s="28" t="n">
        <x:v>0</x:v>
      </x:c>
      <x:c r="H3178" s="28" t="n">
        <x:v>10</x:v>
      </x:c>
      <x:c r="I3178" s="28" t="n">
        <x:v>6</x:v>
      </x:c>
      <x:c r="J3178" s="28" t="n">
        <x:v>4</x:v>
      </x:c>
      <x:c r="K3178" s="28" t="n">
        <x:v>1</x:v>
      </x:c>
      <x:c r="L3178" s="28" t="n">
        <x:v>2</x:v>
      </x:c>
      <x:c r="M3178" s="28" t="n">
        <x:v>3</x:v>
      </x:c>
      <x:c r="N3178" s="28" t="n">
        <x:v>2</x:v>
      </x:c>
      <x:c r="O3178" s="28" t="n">
        <x:v>0</x:v>
      </x:c>
      <x:c r="P3178" s="28" t="n">
        <x:v>3</x:v>
      </x:c>
      <x:c r="Q3178" s="24" t="n">
        <x:f>IFERROR(J3178/H3178,0)</x:f>
        <x:v>0.4</x:v>
      </x:c>
      <x:c r="R3178" s="24" t="n">
        <x:f>IFERROR(F3178/H3178,0)</x:f>
        <x:v>0.1</x:v>
      </x:c>
      <x:c r="S3178" s="24" t="n">
        <x:f>IFERROR(F3178/J3178,0)</x:f>
        <x:v>0.25</x:v>
      </x:c>
      <x:c r="T3178" s="28" t="n">
        <x:f>H3178-I3178</x:f>
        <x:v>4</x:v>
      </x:c>
      <x:c r="U3178" s="24" t="n">
        <x:f>IFERROR(J3178/H3178,0)-IFERROR(K3178/I3178,0)</x:f>
        <x:v>0.23333333333333336</x:v>
      </x:c>
      <x:c r="V3178" s="24" t="n">
        <x:f>IFERROR(F3178/J3178,0)-IFERROR(G3178/K3178,0)</x:f>
        <x:v>0.25</x:v>
      </x:c>
      <x:c r="W3178" s="28" t="n">
        <x:f>L3178-M3178</x:f>
        <x:v>-1</x:v>
      </x:c>
      <x:c r="X3178" s="24" t="n">
        <x:f>IFERROR(K3178/I3178,0)</x:f>
        <x:v>0.16666666666666666</x:v>
      </x:c>
      <x:c r="Y3178" s="24" t="n">
        <x:f>IFERROR(G3178/I3178,0)</x:f>
        <x:v>0</x:v>
      </x:c>
      <x:c r="Z3178" s="24" t="n">
        <x:f>IFERROR(G3178/K3178,0)</x:f>
        <x:v>0</x:v>
      </x:c>
      <x:c r="AA3178" s="24" t="n">
        <x:f>IFERROR(F3178/H3178,0)-IFERROR(G3178/I3178,0)</x:f>
        <x:v>0.1</x:v>
      </x:c>
      <x:c r="AB3178" s="28" t="n">
        <x:f>J3178-K3178</x:f>
        <x:v>3</x:v>
      </x:c>
      <x:c r="AC3178" s="32" t="n">
        <x:f>F3178-G3178</x:f>
        <x:v>1</x:v>
      </x:c>
    </x:row>
    <x:row r="3179">
      <x:c r="A3179" s="4" t="str">
        <x:v>2025-26</x:v>
      </x:c>
      <x:c r="B3179" s="20" t="n">
        <x:v>45935</x:v>
      </x:c>
      <x:c r="C3179" s="4" t="str">
        <x:v>Newcastle</x:v>
      </x:c>
      <x:c r="D3179" s="4" t="str">
        <x:v>Nott'm Forest</x:v>
      </x:c>
      <x:c r="E3179" s="4" t="str">
        <x:v>Home</x:v>
      </x:c>
      <x:c r="F3179" s="28" t="n">
        <x:v>2</x:v>
      </x:c>
      <x:c r="G3179" s="28" t="n">
        <x:v>0</x:v>
      </x:c>
      <x:c r="H3179" s="28" t="n">
        <x:v>18</x:v>
      </x:c>
      <x:c r="I3179" s="28" t="n">
        <x:v>5</x:v>
      </x:c>
      <x:c r="J3179" s="28" t="n">
        <x:v>9</x:v>
      </x:c>
      <x:c r="K3179" s="28" t="n">
        <x:v>4</x:v>
      </x:c>
      <x:c r="L3179" s="28" t="n">
        <x:v>8</x:v>
      </x:c>
      <x:c r="M3179" s="28" t="n">
        <x:v>1</x:v>
      </x:c>
      <x:c r="N3179" s="28" t="n">
        <x:v>0</x:v>
      </x:c>
      <x:c r="O3179" s="28" t="n">
        <x:v>0</x:v>
      </x:c>
      <x:c r="P3179" s="28" t="n">
        <x:v>3</x:v>
      </x:c>
      <x:c r="Q3179" s="24" t="n">
        <x:f>IFERROR(J3179/H3179,0)</x:f>
        <x:v>0.5</x:v>
      </x:c>
      <x:c r="R3179" s="24" t="n">
        <x:f>IFERROR(F3179/H3179,0)</x:f>
        <x:v>0.1111111111111111</x:v>
      </x:c>
      <x:c r="S3179" s="24" t="n">
        <x:f>IFERROR(F3179/J3179,0)</x:f>
        <x:v>0.2222222222222222</x:v>
      </x:c>
      <x:c r="T3179" s="28" t="n">
        <x:f>H3179-I3179</x:f>
        <x:v>13</x:v>
      </x:c>
      <x:c r="U3179" s="24" t="n">
        <x:f>IFERROR(J3179/H3179,0)-IFERROR(K3179/I3179,0)</x:f>
        <x:v>-0.30000000000000004</x:v>
      </x:c>
      <x:c r="V3179" s="24" t="n">
        <x:f>IFERROR(F3179/J3179,0)-IFERROR(G3179/K3179,0)</x:f>
        <x:v>0.2222222222222222</x:v>
      </x:c>
      <x:c r="W3179" s="28" t="n">
        <x:f>L3179-M3179</x:f>
        <x:v>7</x:v>
      </x:c>
      <x:c r="X3179" s="24" t="n">
        <x:f>IFERROR(K3179/I3179,0)</x:f>
        <x:v>0.8</x:v>
      </x:c>
      <x:c r="Y3179" s="24" t="n">
        <x:f>IFERROR(G3179/I3179,0)</x:f>
        <x:v>0</x:v>
      </x:c>
      <x:c r="Z3179" s="24" t="n">
        <x:f>IFERROR(G3179/K3179,0)</x:f>
        <x:v>0</x:v>
      </x:c>
      <x:c r="AA3179" s="24" t="n">
        <x:f>IFERROR(F3179/H3179,0)-IFERROR(G3179/I3179,0)</x:f>
        <x:v>0.1111111111111111</x:v>
      </x:c>
      <x:c r="AB3179" s="28" t="n">
        <x:f>J3179-K3179</x:f>
        <x:v>5</x:v>
      </x:c>
      <x:c r="AC3179" s="32" t="n">
        <x:f>F3179-G3179</x:f>
        <x:v>2</x:v>
      </x:c>
    </x:row>
    <x:row r="3180">
      <x:c r="A3180" s="4" t="str">
        <x:v>2025-26</x:v>
      </x:c>
      <x:c r="B3180" s="20" t="n">
        <x:v>45935</x:v>
      </x:c>
      <x:c r="C3180" s="4" t="str">
        <x:v>Nott'm Forest</x:v>
      </x:c>
      <x:c r="D3180" s="4" t="str">
        <x:v>Newcastle</x:v>
      </x:c>
      <x:c r="E3180" s="4" t="str">
        <x:v>Away</x:v>
      </x:c>
      <x:c r="F3180" s="28" t="n">
        <x:v>0</x:v>
      </x:c>
      <x:c r="G3180" s="28" t="n">
        <x:v>2</x:v>
      </x:c>
      <x:c r="H3180" s="28" t="n">
        <x:v>5</x:v>
      </x:c>
      <x:c r="I3180" s="28" t="n">
        <x:v>18</x:v>
      </x:c>
      <x:c r="J3180" s="28" t="n">
        <x:v>4</x:v>
      </x:c>
      <x:c r="K3180" s="28" t="n">
        <x:v>9</x:v>
      </x:c>
      <x:c r="L3180" s="28" t="n">
        <x:v>1</x:v>
      </x:c>
      <x:c r="M3180" s="28" t="n">
        <x:v>8</x:v>
      </x:c>
      <x:c r="N3180" s="28" t="n">
        <x:v>4</x:v>
      </x:c>
      <x:c r="O3180" s="28" t="n">
        <x:v>0</x:v>
      </x:c>
      <x:c r="P3180" s="28" t="n">
        <x:v>0</x:v>
      </x:c>
      <x:c r="Q3180" s="24" t="n">
        <x:f>IFERROR(J3180/H3180,0)</x:f>
        <x:v>0.8</x:v>
      </x:c>
      <x:c r="R3180" s="24" t="n">
        <x:f>IFERROR(F3180/H3180,0)</x:f>
        <x:v>0</x:v>
      </x:c>
      <x:c r="S3180" s="24" t="n">
        <x:f>IFERROR(F3180/J3180,0)</x:f>
        <x:v>0</x:v>
      </x:c>
      <x:c r="T3180" s="28" t="n">
        <x:f>H3180-I3180</x:f>
        <x:v>-13</x:v>
      </x:c>
      <x:c r="U3180" s="24" t="n">
        <x:f>IFERROR(J3180/H3180,0)-IFERROR(K3180/I3180,0)</x:f>
        <x:v>0.30000000000000004</x:v>
      </x:c>
      <x:c r="V3180" s="24" t="n">
        <x:f>IFERROR(F3180/J3180,0)-IFERROR(G3180/K3180,0)</x:f>
        <x:v>-0.2222222222222222</x:v>
      </x:c>
      <x:c r="W3180" s="28" t="n">
        <x:f>L3180-M3180</x:f>
        <x:v>-7</x:v>
      </x:c>
      <x:c r="X3180" s="24" t="n">
        <x:f>IFERROR(K3180/I3180,0)</x:f>
        <x:v>0.5</x:v>
      </x:c>
      <x:c r="Y3180" s="24" t="n">
        <x:f>IFERROR(G3180/I3180,0)</x:f>
        <x:v>0.1111111111111111</x:v>
      </x:c>
      <x:c r="Z3180" s="24" t="n">
        <x:f>IFERROR(G3180/K3180,0)</x:f>
        <x:v>0.2222222222222222</x:v>
      </x:c>
      <x:c r="AA3180" s="24" t="n">
        <x:f>IFERROR(F3180/H3180,0)-IFERROR(G3180/I3180,0)</x:f>
        <x:v>-0.1111111111111111</x:v>
      </x:c>
      <x:c r="AB3180" s="28" t="n">
        <x:f>J3180-K3180</x:f>
        <x:v>-5</x:v>
      </x:c>
      <x:c r="AC3180" s="32" t="n">
        <x:f>F3180-G3180</x:f>
        <x:v>-2</x:v>
      </x:c>
    </x:row>
    <x:row r="3181">
      <x:c r="A3181" s="4" t="str">
        <x:v>2025-26</x:v>
      </x:c>
      <x:c r="B3181" s="20" t="n">
        <x:v>45935</x:v>
      </x:c>
      <x:c r="C3181" s="4" t="str">
        <x:v>Wolves</x:v>
      </x:c>
      <x:c r="D3181" s="4" t="str">
        <x:v>Brighton</x:v>
      </x:c>
      <x:c r="E3181" s="4" t="str">
        <x:v>Home</x:v>
      </x:c>
      <x:c r="F3181" s="28" t="n">
        <x:v>1</x:v>
      </x:c>
      <x:c r="G3181" s="28" t="n">
        <x:v>1</x:v>
      </x:c>
      <x:c r="H3181" s="28" t="n">
        <x:v>6</x:v>
      </x:c>
      <x:c r="I3181" s="28" t="n">
        <x:v>17</x:v>
      </x:c>
      <x:c r="J3181" s="28" t="n">
        <x:v>3</x:v>
      </x:c>
      <x:c r="K3181" s="28" t="n">
        <x:v>6</x:v>
      </x:c>
      <x:c r="L3181" s="28" t="n">
        <x:v>2</x:v>
      </x:c>
      <x:c r="M3181" s="28" t="n">
        <x:v>8</x:v>
      </x:c>
      <x:c r="N3181" s="28" t="n">
        <x:v>2</x:v>
      </x:c>
      <x:c r="O3181" s="28" t="n">
        <x:v>0</x:v>
      </x:c>
      <x:c r="P3181" s="28" t="n">
        <x:v>1</x:v>
      </x:c>
      <x:c r="Q3181" s="24" t="n">
        <x:f>IFERROR(J3181/H3181,0)</x:f>
        <x:v>0.5</x:v>
      </x:c>
      <x:c r="R3181" s="24" t="n">
        <x:f>IFERROR(F3181/H3181,0)</x:f>
        <x:v>0.16666666666666666</x:v>
      </x:c>
      <x:c r="S3181" s="24" t="n">
        <x:f>IFERROR(F3181/J3181,0)</x:f>
        <x:v>0.3333333333333333</x:v>
      </x:c>
      <x:c r="T3181" s="28" t="n">
        <x:f>H3181-I3181</x:f>
        <x:v>-11</x:v>
      </x:c>
      <x:c r="U3181" s="24" t="n">
        <x:f>IFERROR(J3181/H3181,0)-IFERROR(K3181/I3181,0)</x:f>
        <x:v>0.14705882352941174</x:v>
      </x:c>
      <x:c r="V3181" s="24" t="n">
        <x:f>IFERROR(F3181/J3181,0)-IFERROR(G3181/K3181,0)</x:f>
        <x:v>0.16666666666666666</x:v>
      </x:c>
      <x:c r="W3181" s="28" t="n">
        <x:f>L3181-M3181</x:f>
        <x:v>-6</x:v>
      </x:c>
      <x:c r="X3181" s="24" t="n">
        <x:f>IFERROR(K3181/I3181,0)</x:f>
        <x:v>0.35294117647058826</x:v>
      </x:c>
      <x:c r="Y3181" s="24" t="n">
        <x:f>IFERROR(G3181/I3181,0)</x:f>
        <x:v>0.058823529411764705</x:v>
      </x:c>
      <x:c r="Z3181" s="24" t="n">
        <x:f>IFERROR(G3181/K3181,0)</x:f>
        <x:v>0.16666666666666666</x:v>
      </x:c>
      <x:c r="AA3181" s="24" t="n">
        <x:f>IFERROR(F3181/H3181,0)-IFERROR(G3181/I3181,0)</x:f>
        <x:v>0.10784313725490195</x:v>
      </x:c>
      <x:c r="AB3181" s="28" t="n">
        <x:f>J3181-K3181</x:f>
        <x:v>-3</x:v>
      </x:c>
      <x:c r="AC3181" s="32" t="n">
        <x:f>F3181-G3181</x:f>
        <x:v>0</x:v>
      </x:c>
    </x:row>
    <x:row r="3182">
      <x:c r="A3182" s="4" t="str">
        <x:v>2025-26</x:v>
      </x:c>
      <x:c r="B3182" s="20" t="n">
        <x:v>45948</x:v>
      </x:c>
      <x:c r="C3182" s="4" t="str">
        <x:v>Arsenal</x:v>
      </x:c>
      <x:c r="D3182" s="4" t="str">
        <x:v>Fulham</x:v>
      </x:c>
      <x:c r="E3182" s="4" t="str">
        <x:v>Away</x:v>
      </x:c>
      <x:c r="F3182" s="28" t="n">
        <x:v>1</x:v>
      </x:c>
      <x:c r="G3182" s="28" t="n">
        <x:v>0</x:v>
      </x:c>
      <x:c r="H3182" s="28" t="n">
        <x:v>16</x:v>
      </x:c>
      <x:c r="I3182" s="28" t="n">
        <x:v>9</x:v>
      </x:c>
      <x:c r="J3182" s="28" t="n">
        <x:v>5</x:v>
      </x:c>
      <x:c r="K3182" s="28" t="n">
        <x:v>0</x:v>
      </x:c>
      <x:c r="L3182" s="28" t="n">
        <x:v>10</x:v>
      </x:c>
      <x:c r="M3182" s="28" t="n">
        <x:v>6</x:v>
      </x:c>
      <x:c r="N3182" s="28" t="n">
        <x:v>0</x:v>
      </x:c>
      <x:c r="O3182" s="28" t="n">
        <x:v>0</x:v>
      </x:c>
      <x:c r="P3182" s="28" t="n">
        <x:v>3</x:v>
      </x:c>
      <x:c r="Q3182" s="24" t="n">
        <x:f>IFERROR(J3182/H3182,0)</x:f>
        <x:v>0.3125</x:v>
      </x:c>
      <x:c r="R3182" s="24" t="n">
        <x:f>IFERROR(F3182/H3182,0)</x:f>
        <x:v>0.0625</x:v>
      </x:c>
      <x:c r="S3182" s="24" t="n">
        <x:f>IFERROR(F3182/J3182,0)</x:f>
        <x:v>0.2</x:v>
      </x:c>
      <x:c r="T3182" s="28" t="n">
        <x:f>H3182-I3182</x:f>
        <x:v>7</x:v>
      </x:c>
      <x:c r="U3182" s="24" t="n">
        <x:f>IFERROR(J3182/H3182,0)-IFERROR(K3182/I3182,0)</x:f>
        <x:v>0.3125</x:v>
      </x:c>
      <x:c r="V3182" s="24" t="n">
        <x:f>IFERROR(F3182/J3182,0)-IFERROR(G3182/K3182,0)</x:f>
        <x:v>0.2</x:v>
      </x:c>
      <x:c r="W3182" s="28" t="n">
        <x:f>L3182-M3182</x:f>
        <x:v>4</x:v>
      </x:c>
      <x:c r="X3182" s="24" t="n">
        <x:f>IFERROR(K3182/I3182,0)</x:f>
        <x:v>0</x:v>
      </x:c>
      <x:c r="Y3182" s="24" t="n">
        <x:f>IFERROR(G3182/I3182,0)</x:f>
        <x:v>0</x:v>
      </x:c>
      <x:c r="Z3182" s="24" t="n">
        <x:f>IFERROR(G3182/K3182,0)</x:f>
        <x:v>0</x:v>
      </x:c>
      <x:c r="AA3182" s="24" t="n">
        <x:f>IFERROR(F3182/H3182,0)-IFERROR(G3182/I3182,0)</x:f>
        <x:v>0.0625</x:v>
      </x:c>
      <x:c r="AB3182" s="28" t="n">
        <x:f>J3182-K3182</x:f>
        <x:v>5</x:v>
      </x:c>
      <x:c r="AC3182" s="32" t="n">
        <x:f>F3182-G3182</x:f>
        <x:v>1</x:v>
      </x:c>
    </x:row>
    <x:row r="3183">
      <x:c r="A3183" s="4" t="str">
        <x:v>2025-26</x:v>
      </x:c>
      <x:c r="B3183" s="20" t="n">
        <x:v>45948</x:v>
      </x:c>
      <x:c r="C3183" s="4" t="str">
        <x:v>Bournemouth</x:v>
      </x:c>
      <x:c r="D3183" s="4" t="str">
        <x:v>Crystal Palace</x:v>
      </x:c>
      <x:c r="E3183" s="4" t="str">
        <x:v>Away</x:v>
      </x:c>
      <x:c r="F3183" s="28" t="n">
        <x:v>3</x:v>
      </x:c>
      <x:c r="G3183" s="28" t="n">
        <x:v>3</x:v>
      </x:c>
      <x:c r="H3183" s="28" t="n">
        <x:v>8</x:v>
      </x:c>
      <x:c r="I3183" s="28" t="n">
        <x:v>20</x:v>
      </x:c>
      <x:c r="J3183" s="28" t="n">
        <x:v>5</x:v>
      </x:c>
      <x:c r="K3183" s="28" t="n">
        <x:v>7</x:v>
      </x:c>
      <x:c r="L3183" s="28" t="n">
        <x:v>5</x:v>
      </x:c>
      <x:c r="M3183" s="28" t="n">
        <x:v>6</x:v>
      </x:c>
      <x:c r="N3183" s="28" t="n">
        <x:v>4</x:v>
      </x:c>
      <x:c r="O3183" s="28" t="n">
        <x:v>0</x:v>
      </x:c>
      <x:c r="P3183" s="28" t="n">
        <x:v>1</x:v>
      </x:c>
      <x:c r="Q3183" s="24" t="n">
        <x:f>IFERROR(J3183/H3183,0)</x:f>
        <x:v>0.625</x:v>
      </x:c>
      <x:c r="R3183" s="24" t="n">
        <x:f>IFERROR(F3183/H3183,0)</x:f>
        <x:v>0.375</x:v>
      </x:c>
      <x:c r="S3183" s="24" t="n">
        <x:f>IFERROR(F3183/J3183,0)</x:f>
        <x:v>0.6</x:v>
      </x:c>
      <x:c r="T3183" s="28" t="n">
        <x:f>H3183-I3183</x:f>
        <x:v>-12</x:v>
      </x:c>
      <x:c r="U3183" s="24" t="n">
        <x:f>IFERROR(J3183/H3183,0)-IFERROR(K3183/I3183,0)</x:f>
        <x:v>0.275</x:v>
      </x:c>
      <x:c r="V3183" s="24" t="n">
        <x:f>IFERROR(F3183/J3183,0)-IFERROR(G3183/K3183,0)</x:f>
        <x:v>0.17142857142857143</x:v>
      </x:c>
      <x:c r="W3183" s="28" t="n">
        <x:f>L3183-M3183</x:f>
        <x:v>-1</x:v>
      </x:c>
      <x:c r="X3183" s="24" t="n">
        <x:f>IFERROR(K3183/I3183,0)</x:f>
        <x:v>0.35</x:v>
      </x:c>
      <x:c r="Y3183" s="24" t="n">
        <x:f>IFERROR(G3183/I3183,0)</x:f>
        <x:v>0.15</x:v>
      </x:c>
      <x:c r="Z3183" s="24" t="n">
        <x:f>IFERROR(G3183/K3183,0)</x:f>
        <x:v>0.42857142857142855</x:v>
      </x:c>
      <x:c r="AA3183" s="24" t="n">
        <x:f>IFERROR(F3183/H3183,0)-IFERROR(G3183/I3183,0)</x:f>
        <x:v>0.225</x:v>
      </x:c>
      <x:c r="AB3183" s="28" t="n">
        <x:f>J3183-K3183</x:f>
        <x:v>-2</x:v>
      </x:c>
      <x:c r="AC3183" s="32" t="n">
        <x:f>F3183-G3183</x:f>
        <x:v>0</x:v>
      </x:c>
    </x:row>
    <x:row r="3184">
      <x:c r="A3184" s="4" t="str">
        <x:v>2025-26</x:v>
      </x:c>
      <x:c r="B3184" s="20" t="n">
        <x:v>45948</x:v>
      </x:c>
      <x:c r="C3184" s="4" t="str">
        <x:v>Brighton</x:v>
      </x:c>
      <x:c r="D3184" s="4" t="str">
        <x:v>Newcastle</x:v>
      </x:c>
      <x:c r="E3184" s="4" t="str">
        <x:v>Home</x:v>
      </x:c>
      <x:c r="F3184" s="28" t="n">
        <x:v>2</x:v>
      </x:c>
      <x:c r="G3184" s="28" t="n">
        <x:v>1</x:v>
      </x:c>
      <x:c r="H3184" s="28" t="n">
        <x:v>13</x:v>
      </x:c>
      <x:c r="I3184" s="28" t="n">
        <x:v>16</x:v>
      </x:c>
      <x:c r="J3184" s="28" t="n">
        <x:v>5</x:v>
      </x:c>
      <x:c r="K3184" s="28" t="n">
        <x:v>3</x:v>
      </x:c>
      <x:c r="L3184" s="28" t="n">
        <x:v>8</x:v>
      </x:c>
      <x:c r="M3184" s="28" t="n">
        <x:v>4</x:v>
      </x:c>
      <x:c r="N3184" s="28" t="n">
        <x:v>0</x:v>
      </x:c>
      <x:c r="O3184" s="28" t="n">
        <x:v>0</x:v>
      </x:c>
      <x:c r="P3184" s="28" t="n">
        <x:v>3</x:v>
      </x:c>
      <x:c r="Q3184" s="24" t="n">
        <x:f>IFERROR(J3184/H3184,0)</x:f>
        <x:v>0.38461538461538464</x:v>
      </x:c>
      <x:c r="R3184" s="24" t="n">
        <x:f>IFERROR(F3184/H3184,0)</x:f>
        <x:v>0.15384615384615385</x:v>
      </x:c>
      <x:c r="S3184" s="24" t="n">
        <x:f>IFERROR(F3184/J3184,0)</x:f>
        <x:v>0.4</x:v>
      </x:c>
      <x:c r="T3184" s="28" t="n">
        <x:f>H3184-I3184</x:f>
        <x:v>-3</x:v>
      </x:c>
      <x:c r="U3184" s="24" t="n">
        <x:f>IFERROR(J3184/H3184,0)-IFERROR(K3184/I3184,0)</x:f>
        <x:v>0.19711538461538464</x:v>
      </x:c>
      <x:c r="V3184" s="24" t="n">
        <x:f>IFERROR(F3184/J3184,0)-IFERROR(G3184/K3184,0)</x:f>
        <x:v>0.06666666666666671</x:v>
      </x:c>
      <x:c r="W3184" s="28" t="n">
        <x:f>L3184-M3184</x:f>
        <x:v>4</x:v>
      </x:c>
      <x:c r="X3184" s="24" t="n">
        <x:f>IFERROR(K3184/I3184,0)</x:f>
        <x:v>0.1875</x:v>
      </x:c>
      <x:c r="Y3184" s="24" t="n">
        <x:f>IFERROR(G3184/I3184,0)</x:f>
        <x:v>0.0625</x:v>
      </x:c>
      <x:c r="Z3184" s="24" t="n">
        <x:f>IFERROR(G3184/K3184,0)</x:f>
        <x:v>0.3333333333333333</x:v>
      </x:c>
      <x:c r="AA3184" s="24" t="n">
        <x:f>IFERROR(F3184/H3184,0)-IFERROR(G3184/I3184,0)</x:f>
        <x:v>0.09134615384615385</x:v>
      </x:c>
      <x:c r="AB3184" s="28" t="n">
        <x:f>J3184-K3184</x:f>
        <x:v>2</x:v>
      </x:c>
      <x:c r="AC3184" s="32" t="n">
        <x:f>F3184-G3184</x:f>
        <x:v>1</x:v>
      </x:c>
    </x:row>
    <x:row r="3185">
      <x:c r="A3185" s="4" t="str">
        <x:v>2025-26</x:v>
      </x:c>
      <x:c r="B3185" s="20" t="n">
        <x:v>45948</x:v>
      </x:c>
      <x:c r="C3185" s="4" t="str">
        <x:v>Burnley</x:v>
      </x:c>
      <x:c r="D3185" s="4" t="str">
        <x:v>Leeds</x:v>
      </x:c>
      <x:c r="E3185" s="4" t="str">
        <x:v>Home</x:v>
      </x:c>
      <x:c r="F3185" s="28" t="n">
        <x:v>2</x:v>
      </x:c>
      <x:c r="G3185" s="28" t="n">
        <x:v>0</x:v>
      </x:c>
      <x:c r="H3185" s="28" t="n">
        <x:v>4</x:v>
      </x:c>
      <x:c r="I3185" s="28" t="n">
        <x:v>19</x:v>
      </x:c>
      <x:c r="J3185" s="28" t="n">
        <x:v>3</x:v>
      </x:c>
      <x:c r="K3185" s="28" t="n">
        <x:v>4</x:v>
      </x:c>
      <x:c r="L3185" s="28" t="n">
        <x:v>1</x:v>
      </x:c>
      <x:c r="M3185" s="28" t="n">
        <x:v>5</x:v>
      </x:c>
      <x:c r="N3185" s="28" t="n">
        <x:v>2</x:v>
      </x:c>
      <x:c r="O3185" s="28" t="n">
        <x:v>0</x:v>
      </x:c>
      <x:c r="P3185" s="28" t="n">
        <x:v>3</x:v>
      </x:c>
      <x:c r="Q3185" s="24" t="n">
        <x:f>IFERROR(J3185/H3185,0)</x:f>
        <x:v>0.75</x:v>
      </x:c>
      <x:c r="R3185" s="24" t="n">
        <x:f>IFERROR(F3185/H3185,0)</x:f>
        <x:v>0.5</x:v>
      </x:c>
      <x:c r="S3185" s="24" t="n">
        <x:f>IFERROR(F3185/J3185,0)</x:f>
        <x:v>0.6666666666666666</x:v>
      </x:c>
      <x:c r="T3185" s="28" t="n">
        <x:f>H3185-I3185</x:f>
        <x:v>-15</x:v>
      </x:c>
      <x:c r="U3185" s="24" t="n">
        <x:f>IFERROR(J3185/H3185,0)-IFERROR(K3185/I3185,0)</x:f>
        <x:v>0.5394736842105263</x:v>
      </x:c>
      <x:c r="V3185" s="24" t="n">
        <x:f>IFERROR(F3185/J3185,0)-IFERROR(G3185/K3185,0)</x:f>
        <x:v>0.6666666666666666</x:v>
      </x:c>
      <x:c r="W3185" s="28" t="n">
        <x:f>L3185-M3185</x:f>
        <x:v>-4</x:v>
      </x:c>
      <x:c r="X3185" s="24" t="n">
        <x:f>IFERROR(K3185/I3185,0)</x:f>
        <x:v>0.21052631578947367</x:v>
      </x:c>
      <x:c r="Y3185" s="24" t="n">
        <x:f>IFERROR(G3185/I3185,0)</x:f>
        <x:v>0</x:v>
      </x:c>
      <x:c r="Z3185" s="24" t="n">
        <x:f>IFERROR(G3185/K3185,0)</x:f>
        <x:v>0</x:v>
      </x:c>
      <x:c r="AA3185" s="24" t="n">
        <x:f>IFERROR(F3185/H3185,0)-IFERROR(G3185/I3185,0)</x:f>
        <x:v>0.5</x:v>
      </x:c>
      <x:c r="AB3185" s="28" t="n">
        <x:f>J3185-K3185</x:f>
        <x:v>-1</x:v>
      </x:c>
      <x:c r="AC3185" s="32" t="n">
        <x:f>F3185-G3185</x:f>
        <x:v>2</x:v>
      </x:c>
    </x:row>
    <x:row r="3186">
      <x:c r="A3186" s="4" t="str">
        <x:v>2025-26</x:v>
      </x:c>
      <x:c r="B3186" s="20" t="n">
        <x:v>45948</x:v>
      </x:c>
      <x:c r="C3186" s="4" t="str">
        <x:v>Chelsea</x:v>
      </x:c>
      <x:c r="D3186" s="4" t="str">
        <x:v>Nott'm Forest</x:v>
      </x:c>
      <x:c r="E3186" s="4" t="str">
        <x:v>Away</x:v>
      </x:c>
      <x:c r="F3186" s="28" t="n">
        <x:v>3</x:v>
      </x:c>
      <x:c r="G3186" s="28" t="n">
        <x:v>0</x:v>
      </x:c>
      <x:c r="H3186" s="28" t="n">
        <x:v>17</x:v>
      </x:c>
      <x:c r="I3186" s="28" t="n">
        <x:v>12</x:v>
      </x:c>
      <x:c r="J3186" s="28" t="n">
        <x:v>6</x:v>
      </x:c>
      <x:c r="K3186" s="28" t="n">
        <x:v>2</x:v>
      </x:c>
      <x:c r="L3186" s="28" t="n">
        <x:v>2</x:v>
      </x:c>
      <x:c r="M3186" s="28" t="n">
        <x:v>5</x:v>
      </x:c>
      <x:c r="N3186" s="28" t="n">
        <x:v>2</x:v>
      </x:c>
      <x:c r="O3186" s="28" t="n">
        <x:v>1</x:v>
      </x:c>
      <x:c r="P3186" s="28" t="n">
        <x:v>3</x:v>
      </x:c>
      <x:c r="Q3186" s="24" t="n">
        <x:f>IFERROR(J3186/H3186,0)</x:f>
        <x:v>0.35294117647058826</x:v>
      </x:c>
      <x:c r="R3186" s="24" t="n">
        <x:f>IFERROR(F3186/H3186,0)</x:f>
        <x:v>0.17647058823529413</x:v>
      </x:c>
      <x:c r="S3186" s="24" t="n">
        <x:f>IFERROR(F3186/J3186,0)</x:f>
        <x:v>0.5</x:v>
      </x:c>
      <x:c r="T3186" s="28" t="n">
        <x:f>H3186-I3186</x:f>
        <x:v>5</x:v>
      </x:c>
      <x:c r="U3186" s="24" t="n">
        <x:f>IFERROR(J3186/H3186,0)-IFERROR(K3186/I3186,0)</x:f>
        <x:v>0.1862745098039216</x:v>
      </x:c>
      <x:c r="V3186" s="24" t="n">
        <x:f>IFERROR(F3186/J3186,0)-IFERROR(G3186/K3186,0)</x:f>
        <x:v>0.5</x:v>
      </x:c>
      <x:c r="W3186" s="28" t="n">
        <x:f>L3186-M3186</x:f>
        <x:v>-3</x:v>
      </x:c>
      <x:c r="X3186" s="24" t="n">
        <x:f>IFERROR(K3186/I3186,0)</x:f>
        <x:v>0.16666666666666666</x:v>
      </x:c>
      <x:c r="Y3186" s="24" t="n">
        <x:f>IFERROR(G3186/I3186,0)</x:f>
        <x:v>0</x:v>
      </x:c>
      <x:c r="Z3186" s="24" t="n">
        <x:f>IFERROR(G3186/K3186,0)</x:f>
        <x:v>0</x:v>
      </x:c>
      <x:c r="AA3186" s="24" t="n">
        <x:f>IFERROR(F3186/H3186,0)-IFERROR(G3186/I3186,0)</x:f>
        <x:v>0.17647058823529413</x:v>
      </x:c>
      <x:c r="AB3186" s="28" t="n">
        <x:f>J3186-K3186</x:f>
        <x:v>4</x:v>
      </x:c>
      <x:c r="AC3186" s="32" t="n">
        <x:f>F3186-G3186</x:f>
        <x:v>3</x:v>
      </x:c>
    </x:row>
    <x:row r="3187">
      <x:c r="A3187" s="4" t="str">
        <x:v>2025-26</x:v>
      </x:c>
      <x:c r="B3187" s="20" t="n">
        <x:v>45948</x:v>
      </x:c>
      <x:c r="C3187" s="4" t="str">
        <x:v>Crystal Palace</x:v>
      </x:c>
      <x:c r="D3187" s="4" t="str">
        <x:v>Bournemouth</x:v>
      </x:c>
      <x:c r="E3187" s="4" t="str">
        <x:v>Home</x:v>
      </x:c>
      <x:c r="F3187" s="28" t="n">
        <x:v>3</x:v>
      </x:c>
      <x:c r="G3187" s="28" t="n">
        <x:v>3</x:v>
      </x:c>
      <x:c r="H3187" s="28" t="n">
        <x:v>20</x:v>
      </x:c>
      <x:c r="I3187" s="28" t="n">
        <x:v>8</x:v>
      </x:c>
      <x:c r="J3187" s="28" t="n">
        <x:v>7</x:v>
      </x:c>
      <x:c r="K3187" s="28" t="n">
        <x:v>5</x:v>
      </x:c>
      <x:c r="L3187" s="28" t="n">
        <x:v>6</x:v>
      </x:c>
      <x:c r="M3187" s="28" t="n">
        <x:v>5</x:v>
      </x:c>
      <x:c r="N3187" s="28" t="n">
        <x:v>1</x:v>
      </x:c>
      <x:c r="O3187" s="28" t="n">
        <x:v>0</x:v>
      </x:c>
      <x:c r="P3187" s="28" t="n">
        <x:v>1</x:v>
      </x:c>
      <x:c r="Q3187" s="24" t="n">
        <x:f>IFERROR(J3187/H3187,0)</x:f>
        <x:v>0.35</x:v>
      </x:c>
      <x:c r="R3187" s="24" t="n">
        <x:f>IFERROR(F3187/H3187,0)</x:f>
        <x:v>0.15</x:v>
      </x:c>
      <x:c r="S3187" s="24" t="n">
        <x:f>IFERROR(F3187/J3187,0)</x:f>
        <x:v>0.42857142857142855</x:v>
      </x:c>
      <x:c r="T3187" s="28" t="n">
        <x:f>H3187-I3187</x:f>
        <x:v>12</x:v>
      </x:c>
      <x:c r="U3187" s="24" t="n">
        <x:f>IFERROR(J3187/H3187,0)-IFERROR(K3187/I3187,0)</x:f>
        <x:v>-0.275</x:v>
      </x:c>
      <x:c r="V3187" s="24" t="n">
        <x:f>IFERROR(F3187/J3187,0)-IFERROR(G3187/K3187,0)</x:f>
        <x:v>-0.17142857142857143</x:v>
      </x:c>
      <x:c r="W3187" s="28" t="n">
        <x:f>L3187-M3187</x:f>
        <x:v>1</x:v>
      </x:c>
      <x:c r="X3187" s="24" t="n">
        <x:f>IFERROR(K3187/I3187,0)</x:f>
        <x:v>0.625</x:v>
      </x:c>
      <x:c r="Y3187" s="24" t="n">
        <x:f>IFERROR(G3187/I3187,0)</x:f>
        <x:v>0.375</x:v>
      </x:c>
      <x:c r="Z3187" s="24" t="n">
        <x:f>IFERROR(G3187/K3187,0)</x:f>
        <x:v>0.6</x:v>
      </x:c>
      <x:c r="AA3187" s="24" t="n">
        <x:f>IFERROR(F3187/H3187,0)-IFERROR(G3187/I3187,0)</x:f>
        <x:v>-0.225</x:v>
      </x:c>
      <x:c r="AB3187" s="28" t="n">
        <x:f>J3187-K3187</x:f>
        <x:v>2</x:v>
      </x:c>
      <x:c r="AC3187" s="32" t="n">
        <x:f>F3187-G3187</x:f>
        <x:v>0</x:v>
      </x:c>
    </x:row>
    <x:row r="3188">
      <x:c r="A3188" s="4" t="str">
        <x:v>2025-26</x:v>
      </x:c>
      <x:c r="B3188" s="20" t="n">
        <x:v>45948</x:v>
      </x:c>
      <x:c r="C3188" s="4" t="str">
        <x:v>Everton</x:v>
      </x:c>
      <x:c r="D3188" s="4" t="str">
        <x:v>Man City</x:v>
      </x:c>
      <x:c r="E3188" s="4" t="str">
        <x:v>Away</x:v>
      </x:c>
      <x:c r="F3188" s="28" t="n">
        <x:v>0</x:v>
      </x:c>
      <x:c r="G3188" s="28" t="n">
        <x:v>2</x:v>
      </x:c>
      <x:c r="H3188" s="28" t="n">
        <x:v>5</x:v>
      </x:c>
      <x:c r="I3188" s="28" t="n">
        <x:v>19</x:v>
      </x:c>
      <x:c r="J3188" s="28" t="n">
        <x:v>1</x:v>
      </x:c>
      <x:c r="K3188" s="28" t="n">
        <x:v>7</x:v>
      </x:c>
      <x:c r="L3188" s="28" t="n">
        <x:v>3</x:v>
      </x:c>
      <x:c r="M3188" s="28" t="n">
        <x:v>11</x:v>
      </x:c>
      <x:c r="N3188" s="28" t="n">
        <x:v>2</x:v>
      </x:c>
      <x:c r="O3188" s="28" t="n">
        <x:v>0</x:v>
      </x:c>
      <x:c r="P3188" s="28" t="n">
        <x:v>0</x:v>
      </x:c>
      <x:c r="Q3188" s="24" t="n">
        <x:f>IFERROR(J3188/H3188,0)</x:f>
        <x:v>0.2</x:v>
      </x:c>
      <x:c r="R3188" s="24" t="n">
        <x:f>IFERROR(F3188/H3188,0)</x:f>
        <x:v>0</x:v>
      </x:c>
      <x:c r="S3188" s="24" t="n">
        <x:f>IFERROR(F3188/J3188,0)</x:f>
        <x:v>0</x:v>
      </x:c>
      <x:c r="T3188" s="28" t="n">
        <x:f>H3188-I3188</x:f>
        <x:v>-14</x:v>
      </x:c>
      <x:c r="U3188" s="24" t="n">
        <x:f>IFERROR(J3188/H3188,0)-IFERROR(K3188/I3188,0)</x:f>
        <x:v>-0.16842105263157892</x:v>
      </x:c>
      <x:c r="V3188" s="24" t="n">
        <x:f>IFERROR(F3188/J3188,0)-IFERROR(G3188/K3188,0)</x:f>
        <x:v>-0.2857142857142857</x:v>
      </x:c>
      <x:c r="W3188" s="28" t="n">
        <x:f>L3188-M3188</x:f>
        <x:v>-8</x:v>
      </x:c>
      <x:c r="X3188" s="24" t="n">
        <x:f>IFERROR(K3188/I3188,0)</x:f>
        <x:v>0.3684210526315789</x:v>
      </x:c>
      <x:c r="Y3188" s="24" t="n">
        <x:f>IFERROR(G3188/I3188,0)</x:f>
        <x:v>0.10526315789473684</x:v>
      </x:c>
      <x:c r="Z3188" s="24" t="n">
        <x:f>IFERROR(G3188/K3188,0)</x:f>
        <x:v>0.2857142857142857</x:v>
      </x:c>
      <x:c r="AA3188" s="24" t="n">
        <x:f>IFERROR(F3188/H3188,0)-IFERROR(G3188/I3188,0)</x:f>
        <x:v>-0.10526315789473684</x:v>
      </x:c>
      <x:c r="AB3188" s="28" t="n">
        <x:f>J3188-K3188</x:f>
        <x:v>-6</x:v>
      </x:c>
      <x:c r="AC3188" s="32" t="n">
        <x:f>F3188-G3188</x:f>
        <x:v>-2</x:v>
      </x:c>
    </x:row>
    <x:row r="3189">
      <x:c r="A3189" s="4" t="str">
        <x:v>2025-26</x:v>
      </x:c>
      <x:c r="B3189" s="20" t="n">
        <x:v>45948</x:v>
      </x:c>
      <x:c r="C3189" s="4" t="str">
        <x:v>Fulham</x:v>
      </x:c>
      <x:c r="D3189" s="4" t="str">
        <x:v>Arsenal</x:v>
      </x:c>
      <x:c r="E3189" s="4" t="str">
        <x:v>Home</x:v>
      </x:c>
      <x:c r="F3189" s="28" t="n">
        <x:v>0</x:v>
      </x:c>
      <x:c r="G3189" s="28" t="n">
        <x:v>1</x:v>
      </x:c>
      <x:c r="H3189" s="28" t="n">
        <x:v>9</x:v>
      </x:c>
      <x:c r="I3189" s="28" t="n">
        <x:v>16</x:v>
      </x:c>
      <x:c r="J3189" s="28" t="n">
        <x:v>0</x:v>
      </x:c>
      <x:c r="K3189" s="28" t="n">
        <x:v>5</x:v>
      </x:c>
      <x:c r="L3189" s="28" t="n">
        <x:v>6</x:v>
      </x:c>
      <x:c r="M3189" s="28" t="n">
        <x:v>10</x:v>
      </x:c>
      <x:c r="N3189" s="28" t="n">
        <x:v>0</x:v>
      </x:c>
      <x:c r="O3189" s="28" t="n">
        <x:v>0</x:v>
      </x:c>
      <x:c r="P3189" s="28" t="n">
        <x:v>0</x:v>
      </x:c>
      <x:c r="Q3189" s="24" t="n">
        <x:f>IFERROR(J3189/H3189,0)</x:f>
        <x:v>0</x:v>
      </x:c>
      <x:c r="R3189" s="24" t="n">
        <x:f>IFERROR(F3189/H3189,0)</x:f>
        <x:v>0</x:v>
      </x:c>
      <x:c r="S3189" s="24" t="n">
        <x:f>IFERROR(F3189/J3189,0)</x:f>
        <x:v>0</x:v>
      </x:c>
      <x:c r="T3189" s="28" t="n">
        <x:f>H3189-I3189</x:f>
        <x:v>-7</x:v>
      </x:c>
      <x:c r="U3189" s="24" t="n">
        <x:f>IFERROR(J3189/H3189,0)-IFERROR(K3189/I3189,0)</x:f>
        <x:v>-0.3125</x:v>
      </x:c>
      <x:c r="V3189" s="24" t="n">
        <x:f>IFERROR(F3189/J3189,0)-IFERROR(G3189/K3189,0)</x:f>
        <x:v>-0.2</x:v>
      </x:c>
      <x:c r="W3189" s="28" t="n">
        <x:f>L3189-M3189</x:f>
        <x:v>-4</x:v>
      </x:c>
      <x:c r="X3189" s="24" t="n">
        <x:f>IFERROR(K3189/I3189,0)</x:f>
        <x:v>0.3125</x:v>
      </x:c>
      <x:c r="Y3189" s="24" t="n">
        <x:f>IFERROR(G3189/I3189,0)</x:f>
        <x:v>0.0625</x:v>
      </x:c>
      <x:c r="Z3189" s="24" t="n">
        <x:f>IFERROR(G3189/K3189,0)</x:f>
        <x:v>0.2</x:v>
      </x:c>
      <x:c r="AA3189" s="24" t="n">
        <x:f>IFERROR(F3189/H3189,0)-IFERROR(G3189/I3189,0)</x:f>
        <x:v>-0.0625</x:v>
      </x:c>
      <x:c r="AB3189" s="28" t="n">
        <x:f>J3189-K3189</x:f>
        <x:v>-5</x:v>
      </x:c>
      <x:c r="AC3189" s="32" t="n">
        <x:f>F3189-G3189</x:f>
        <x:v>-1</x:v>
      </x:c>
    </x:row>
    <x:row r="3190">
      <x:c r="A3190" s="4" t="str">
        <x:v>2025-26</x:v>
      </x:c>
      <x:c r="B3190" s="20" t="n">
        <x:v>45948</x:v>
      </x:c>
      <x:c r="C3190" s="4" t="str">
        <x:v>Leeds</x:v>
      </x:c>
      <x:c r="D3190" s="4" t="str">
        <x:v>Burnley</x:v>
      </x:c>
      <x:c r="E3190" s="4" t="str">
        <x:v>Away</x:v>
      </x:c>
      <x:c r="F3190" s="28" t="n">
        <x:v>0</x:v>
      </x:c>
      <x:c r="G3190" s="28" t="n">
        <x:v>2</x:v>
      </x:c>
      <x:c r="H3190" s="28" t="n">
        <x:v>19</x:v>
      </x:c>
      <x:c r="I3190" s="28" t="n">
        <x:v>4</x:v>
      </x:c>
      <x:c r="J3190" s="28" t="n">
        <x:v>4</x:v>
      </x:c>
      <x:c r="K3190" s="28" t="n">
        <x:v>3</x:v>
      </x:c>
      <x:c r="L3190" s="28" t="n">
        <x:v>5</x:v>
      </x:c>
      <x:c r="M3190" s="28" t="n">
        <x:v>1</x:v>
      </x:c>
      <x:c r="N3190" s="28" t="n">
        <x:v>1</x:v>
      </x:c>
      <x:c r="O3190" s="28" t="n">
        <x:v>0</x:v>
      </x:c>
      <x:c r="P3190" s="28" t="n">
        <x:v>0</x:v>
      </x:c>
      <x:c r="Q3190" s="24" t="n">
        <x:f>IFERROR(J3190/H3190,0)</x:f>
        <x:v>0.21052631578947367</x:v>
      </x:c>
      <x:c r="R3190" s="24" t="n">
        <x:f>IFERROR(F3190/H3190,0)</x:f>
        <x:v>0</x:v>
      </x:c>
      <x:c r="S3190" s="24" t="n">
        <x:f>IFERROR(F3190/J3190,0)</x:f>
        <x:v>0</x:v>
      </x:c>
      <x:c r="T3190" s="28" t="n">
        <x:f>H3190-I3190</x:f>
        <x:v>15</x:v>
      </x:c>
      <x:c r="U3190" s="24" t="n">
        <x:f>IFERROR(J3190/H3190,0)-IFERROR(K3190/I3190,0)</x:f>
        <x:v>-0.5394736842105263</x:v>
      </x:c>
      <x:c r="V3190" s="24" t="n">
        <x:f>IFERROR(F3190/J3190,0)-IFERROR(G3190/K3190,0)</x:f>
        <x:v>-0.6666666666666666</x:v>
      </x:c>
      <x:c r="W3190" s="28" t="n">
        <x:f>L3190-M3190</x:f>
        <x:v>4</x:v>
      </x:c>
      <x:c r="X3190" s="24" t="n">
        <x:f>IFERROR(K3190/I3190,0)</x:f>
        <x:v>0.75</x:v>
      </x:c>
      <x:c r="Y3190" s="24" t="n">
        <x:f>IFERROR(G3190/I3190,0)</x:f>
        <x:v>0.5</x:v>
      </x:c>
      <x:c r="Z3190" s="24" t="n">
        <x:f>IFERROR(G3190/K3190,0)</x:f>
        <x:v>0.6666666666666666</x:v>
      </x:c>
      <x:c r="AA3190" s="24" t="n">
        <x:f>IFERROR(F3190/H3190,0)-IFERROR(G3190/I3190,0)</x:f>
        <x:v>-0.5</x:v>
      </x:c>
      <x:c r="AB3190" s="28" t="n">
        <x:f>J3190-K3190</x:f>
        <x:v>1</x:v>
      </x:c>
      <x:c r="AC3190" s="32" t="n">
        <x:f>F3190-G3190</x:f>
        <x:v>-2</x:v>
      </x:c>
    </x:row>
    <x:row r="3191">
      <x:c r="A3191" s="4" t="str">
        <x:v>2025-26</x:v>
      </x:c>
      <x:c r="B3191" s="20" t="n">
        <x:v>45948</x:v>
      </x:c>
      <x:c r="C3191" s="4" t="str">
        <x:v>Man City</x:v>
      </x:c>
      <x:c r="D3191" s="4" t="str">
        <x:v>Everton</x:v>
      </x:c>
      <x:c r="E3191" s="4" t="str">
        <x:v>Home</x:v>
      </x:c>
      <x:c r="F3191" s="28" t="n">
        <x:v>2</x:v>
      </x:c>
      <x:c r="G3191" s="28" t="n">
        <x:v>0</x:v>
      </x:c>
      <x:c r="H3191" s="28" t="n">
        <x:v>19</x:v>
      </x:c>
      <x:c r="I3191" s="28" t="n">
        <x:v>5</x:v>
      </x:c>
      <x:c r="J3191" s="28" t="n">
        <x:v>7</x:v>
      </x:c>
      <x:c r="K3191" s="28" t="n">
        <x:v>1</x:v>
      </x:c>
      <x:c r="L3191" s="28" t="n">
        <x:v>11</x:v>
      </x:c>
      <x:c r="M3191" s="28" t="n">
        <x:v>3</x:v>
      </x:c>
      <x:c r="N3191" s="28" t="n">
        <x:v>0</x:v>
      </x:c>
      <x:c r="O3191" s="28" t="n">
        <x:v>0</x:v>
      </x:c>
      <x:c r="P3191" s="28" t="n">
        <x:v>3</x:v>
      </x:c>
      <x:c r="Q3191" s="24" t="n">
        <x:f>IFERROR(J3191/H3191,0)</x:f>
        <x:v>0.3684210526315789</x:v>
      </x:c>
      <x:c r="R3191" s="24" t="n">
        <x:f>IFERROR(F3191/H3191,0)</x:f>
        <x:v>0.10526315789473684</x:v>
      </x:c>
      <x:c r="S3191" s="24" t="n">
        <x:f>IFERROR(F3191/J3191,0)</x:f>
        <x:v>0.2857142857142857</x:v>
      </x:c>
      <x:c r="T3191" s="28" t="n">
        <x:f>H3191-I3191</x:f>
        <x:v>14</x:v>
      </x:c>
      <x:c r="U3191" s="24" t="n">
        <x:f>IFERROR(J3191/H3191,0)-IFERROR(K3191/I3191,0)</x:f>
        <x:v>0.16842105263157892</x:v>
      </x:c>
      <x:c r="V3191" s="24" t="n">
        <x:f>IFERROR(F3191/J3191,0)-IFERROR(G3191/K3191,0)</x:f>
        <x:v>0.2857142857142857</x:v>
      </x:c>
      <x:c r="W3191" s="28" t="n">
        <x:f>L3191-M3191</x:f>
        <x:v>8</x:v>
      </x:c>
      <x:c r="X3191" s="24" t="n">
        <x:f>IFERROR(K3191/I3191,0)</x:f>
        <x:v>0.2</x:v>
      </x:c>
      <x:c r="Y3191" s="24" t="n">
        <x:f>IFERROR(G3191/I3191,0)</x:f>
        <x:v>0</x:v>
      </x:c>
      <x:c r="Z3191" s="24" t="n">
        <x:f>IFERROR(G3191/K3191,0)</x:f>
        <x:v>0</x:v>
      </x:c>
      <x:c r="AA3191" s="24" t="n">
        <x:f>IFERROR(F3191/H3191,0)-IFERROR(G3191/I3191,0)</x:f>
        <x:v>0.10526315789473684</x:v>
      </x:c>
      <x:c r="AB3191" s="28" t="n">
        <x:f>J3191-K3191</x:f>
        <x:v>6</x:v>
      </x:c>
      <x:c r="AC3191" s="32" t="n">
        <x:f>F3191-G3191</x:f>
        <x:v>2</x:v>
      </x:c>
    </x:row>
    <x:row r="3192">
      <x:c r="A3192" s="4" t="str">
        <x:v>2025-26</x:v>
      </x:c>
      <x:c r="B3192" s="20" t="n">
        <x:v>45948</x:v>
      </x:c>
      <x:c r="C3192" s="4" t="str">
        <x:v>Newcastle</x:v>
      </x:c>
      <x:c r="D3192" s="4" t="str">
        <x:v>Brighton</x:v>
      </x:c>
      <x:c r="E3192" s="4" t="str">
        <x:v>Away</x:v>
      </x:c>
      <x:c r="F3192" s="28" t="n">
        <x:v>1</x:v>
      </x:c>
      <x:c r="G3192" s="28" t="n">
        <x:v>2</x:v>
      </x:c>
      <x:c r="H3192" s="28" t="n">
        <x:v>16</x:v>
      </x:c>
      <x:c r="I3192" s="28" t="n">
        <x:v>13</x:v>
      </x:c>
      <x:c r="J3192" s="28" t="n">
        <x:v>3</x:v>
      </x:c>
      <x:c r="K3192" s="28" t="n">
        <x:v>5</x:v>
      </x:c>
      <x:c r="L3192" s="28" t="n">
        <x:v>4</x:v>
      </x:c>
      <x:c r="M3192" s="28" t="n">
        <x:v>8</x:v>
      </x:c>
      <x:c r="N3192" s="28" t="n">
        <x:v>1</x:v>
      </x:c>
      <x:c r="O3192" s="28" t="n">
        <x:v>0</x:v>
      </x:c>
      <x:c r="P3192" s="28" t="n">
        <x:v>0</x:v>
      </x:c>
      <x:c r="Q3192" s="24" t="n">
        <x:f>IFERROR(J3192/H3192,0)</x:f>
        <x:v>0.1875</x:v>
      </x:c>
      <x:c r="R3192" s="24" t="n">
        <x:f>IFERROR(F3192/H3192,0)</x:f>
        <x:v>0.0625</x:v>
      </x:c>
      <x:c r="S3192" s="24" t="n">
        <x:f>IFERROR(F3192/J3192,0)</x:f>
        <x:v>0.3333333333333333</x:v>
      </x:c>
      <x:c r="T3192" s="28" t="n">
        <x:f>H3192-I3192</x:f>
        <x:v>3</x:v>
      </x:c>
      <x:c r="U3192" s="24" t="n">
        <x:f>IFERROR(J3192/H3192,0)-IFERROR(K3192/I3192,0)</x:f>
        <x:v>-0.19711538461538464</x:v>
      </x:c>
      <x:c r="V3192" s="24" t="n">
        <x:f>IFERROR(F3192/J3192,0)-IFERROR(G3192/K3192,0)</x:f>
        <x:v>-0.06666666666666671</x:v>
      </x:c>
      <x:c r="W3192" s="28" t="n">
        <x:f>L3192-M3192</x:f>
        <x:v>-4</x:v>
      </x:c>
      <x:c r="X3192" s="24" t="n">
        <x:f>IFERROR(K3192/I3192,0)</x:f>
        <x:v>0.38461538461538464</x:v>
      </x:c>
      <x:c r="Y3192" s="24" t="n">
        <x:f>IFERROR(G3192/I3192,0)</x:f>
        <x:v>0.15384615384615385</x:v>
      </x:c>
      <x:c r="Z3192" s="24" t="n">
        <x:f>IFERROR(G3192/K3192,0)</x:f>
        <x:v>0.4</x:v>
      </x:c>
      <x:c r="AA3192" s="24" t="n">
        <x:f>IFERROR(F3192/H3192,0)-IFERROR(G3192/I3192,0)</x:f>
        <x:v>-0.09134615384615385</x:v>
      </x:c>
      <x:c r="AB3192" s="28" t="n">
        <x:f>J3192-K3192</x:f>
        <x:v>-2</x:v>
      </x:c>
      <x:c r="AC3192" s="32" t="n">
        <x:f>F3192-G3192</x:f>
        <x:v>-1</x:v>
      </x:c>
    </x:row>
    <x:row r="3193">
      <x:c r="A3193" s="4" t="str">
        <x:v>2025-26</x:v>
      </x:c>
      <x:c r="B3193" s="20" t="n">
        <x:v>45948</x:v>
      </x:c>
      <x:c r="C3193" s="4" t="str">
        <x:v>Nott'm Forest</x:v>
      </x:c>
      <x:c r="D3193" s="4" t="str">
        <x:v>Chelsea</x:v>
      </x:c>
      <x:c r="E3193" s="4" t="str">
        <x:v>Home</x:v>
      </x:c>
      <x:c r="F3193" s="28" t="n">
        <x:v>0</x:v>
      </x:c>
      <x:c r="G3193" s="28" t="n">
        <x:v>3</x:v>
      </x:c>
      <x:c r="H3193" s="28" t="n">
        <x:v>12</x:v>
      </x:c>
      <x:c r="I3193" s="28" t="n">
        <x:v>17</x:v>
      </x:c>
      <x:c r="J3193" s="28" t="n">
        <x:v>2</x:v>
      </x:c>
      <x:c r="K3193" s="28" t="n">
        <x:v>6</x:v>
      </x:c>
      <x:c r="L3193" s="28" t="n">
        <x:v>5</x:v>
      </x:c>
      <x:c r="M3193" s="28" t="n">
        <x:v>2</x:v>
      </x:c>
      <x:c r="N3193" s="28" t="n">
        <x:v>2</x:v>
      </x:c>
      <x:c r="O3193" s="28" t="n">
        <x:v>0</x:v>
      </x:c>
      <x:c r="P3193" s="28" t="n">
        <x:v>0</x:v>
      </x:c>
      <x:c r="Q3193" s="24" t="n">
        <x:f>IFERROR(J3193/H3193,0)</x:f>
        <x:v>0.16666666666666666</x:v>
      </x:c>
      <x:c r="R3193" s="24" t="n">
        <x:f>IFERROR(F3193/H3193,0)</x:f>
        <x:v>0</x:v>
      </x:c>
      <x:c r="S3193" s="24" t="n">
        <x:f>IFERROR(F3193/J3193,0)</x:f>
        <x:v>0</x:v>
      </x:c>
      <x:c r="T3193" s="28" t="n">
        <x:f>H3193-I3193</x:f>
        <x:v>-5</x:v>
      </x:c>
      <x:c r="U3193" s="24" t="n">
        <x:f>IFERROR(J3193/H3193,0)-IFERROR(K3193/I3193,0)</x:f>
        <x:v>-0.1862745098039216</x:v>
      </x:c>
      <x:c r="V3193" s="24" t="n">
        <x:f>IFERROR(F3193/J3193,0)-IFERROR(G3193/K3193,0)</x:f>
        <x:v>-0.5</x:v>
      </x:c>
      <x:c r="W3193" s="28" t="n">
        <x:f>L3193-M3193</x:f>
        <x:v>3</x:v>
      </x:c>
      <x:c r="X3193" s="24" t="n">
        <x:f>IFERROR(K3193/I3193,0)</x:f>
        <x:v>0.35294117647058826</x:v>
      </x:c>
      <x:c r="Y3193" s="24" t="n">
        <x:f>IFERROR(G3193/I3193,0)</x:f>
        <x:v>0.17647058823529413</x:v>
      </x:c>
      <x:c r="Z3193" s="24" t="n">
        <x:f>IFERROR(G3193/K3193,0)</x:f>
        <x:v>0.5</x:v>
      </x:c>
      <x:c r="AA3193" s="24" t="n">
        <x:f>IFERROR(F3193/H3193,0)-IFERROR(G3193/I3193,0)</x:f>
        <x:v>-0.17647058823529413</x:v>
      </x:c>
      <x:c r="AB3193" s="28" t="n">
        <x:f>J3193-K3193</x:f>
        <x:v>-4</x:v>
      </x:c>
      <x:c r="AC3193" s="32" t="n">
        <x:f>F3193-G3193</x:f>
        <x:v>-3</x:v>
      </x:c>
    </x:row>
    <x:row r="3194">
      <x:c r="A3194" s="4" t="str">
        <x:v>2025-26</x:v>
      </x:c>
      <x:c r="B3194" s="20" t="n">
        <x:v>45948</x:v>
      </x:c>
      <x:c r="C3194" s="4" t="str">
        <x:v>Sunderland</x:v>
      </x:c>
      <x:c r="D3194" s="4" t="str">
        <x:v>Wolves</x:v>
      </x:c>
      <x:c r="E3194" s="4" t="str">
        <x:v>Home</x:v>
      </x:c>
      <x:c r="F3194" s="28" t="n">
        <x:v>2</x:v>
      </x:c>
      <x:c r="G3194" s="28" t="n">
        <x:v>0</x:v>
      </x:c>
      <x:c r="H3194" s="28" t="n">
        <x:v>8</x:v>
      </x:c>
      <x:c r="I3194" s="28" t="n">
        <x:v>16</x:v>
      </x:c>
      <x:c r="J3194" s="28" t="n">
        <x:v>2</x:v>
      </x:c>
      <x:c r="K3194" s="28" t="n">
        <x:v>3</x:v>
      </x:c>
      <x:c r="L3194" s="28" t="n">
        <x:v>3</x:v>
      </x:c>
      <x:c r="M3194" s="28" t="n">
        <x:v>2</x:v>
      </x:c>
      <x:c r="N3194" s="28" t="n">
        <x:v>0</x:v>
      </x:c>
      <x:c r="O3194" s="28" t="n">
        <x:v>0</x:v>
      </x:c>
      <x:c r="P3194" s="28" t="n">
        <x:v>3</x:v>
      </x:c>
      <x:c r="Q3194" s="24" t="n">
        <x:f>IFERROR(J3194/H3194,0)</x:f>
        <x:v>0.25</x:v>
      </x:c>
      <x:c r="R3194" s="24" t="n">
        <x:f>IFERROR(F3194/H3194,0)</x:f>
        <x:v>0.25</x:v>
      </x:c>
      <x:c r="S3194" s="24" t="n">
        <x:f>IFERROR(F3194/J3194,0)</x:f>
        <x:v>1</x:v>
      </x:c>
      <x:c r="T3194" s="28" t="n">
        <x:f>H3194-I3194</x:f>
        <x:v>-8</x:v>
      </x:c>
      <x:c r="U3194" s="24" t="n">
        <x:f>IFERROR(J3194/H3194,0)-IFERROR(K3194/I3194,0)</x:f>
        <x:v>0.0625</x:v>
      </x:c>
      <x:c r="V3194" s="24" t="n">
        <x:f>IFERROR(F3194/J3194,0)-IFERROR(G3194/K3194,0)</x:f>
        <x:v>1</x:v>
      </x:c>
      <x:c r="W3194" s="28" t="n">
        <x:f>L3194-M3194</x:f>
        <x:v>1</x:v>
      </x:c>
      <x:c r="X3194" s="24" t="n">
        <x:f>IFERROR(K3194/I3194,0)</x:f>
        <x:v>0.1875</x:v>
      </x:c>
      <x:c r="Y3194" s="24" t="n">
        <x:f>IFERROR(G3194/I3194,0)</x:f>
        <x:v>0</x:v>
      </x:c>
      <x:c r="Z3194" s="24" t="n">
        <x:f>IFERROR(G3194/K3194,0)</x:f>
        <x:v>0</x:v>
      </x:c>
      <x:c r="AA3194" s="24" t="n">
        <x:f>IFERROR(F3194/H3194,0)-IFERROR(G3194/I3194,0)</x:f>
        <x:v>0.25</x:v>
      </x:c>
      <x:c r="AB3194" s="28" t="n">
        <x:f>J3194-K3194</x:f>
        <x:v>-1</x:v>
      </x:c>
      <x:c r="AC3194" s="32" t="n">
        <x:f>F3194-G3194</x:f>
        <x:v>2</x:v>
      </x:c>
    </x:row>
    <x:row r="3195">
      <x:c r="A3195" s="4" t="str">
        <x:v>2025-26</x:v>
      </x:c>
      <x:c r="B3195" s="20" t="n">
        <x:v>45948</x:v>
      </x:c>
      <x:c r="C3195" s="4" t="str">
        <x:v>Wolves</x:v>
      </x:c>
      <x:c r="D3195" s="4" t="str">
        <x:v>Sunderland</x:v>
      </x:c>
      <x:c r="E3195" s="4" t="str">
        <x:v>Away</x:v>
      </x:c>
      <x:c r="F3195" s="28" t="n">
        <x:v>0</x:v>
      </x:c>
      <x:c r="G3195" s="28" t="n">
        <x:v>2</x:v>
      </x:c>
      <x:c r="H3195" s="28" t="n">
        <x:v>16</x:v>
      </x:c>
      <x:c r="I3195" s="28" t="n">
        <x:v>8</x:v>
      </x:c>
      <x:c r="J3195" s="28" t="n">
        <x:v>3</x:v>
      </x:c>
      <x:c r="K3195" s="28" t="n">
        <x:v>2</x:v>
      </x:c>
      <x:c r="L3195" s="28" t="n">
        <x:v>2</x:v>
      </x:c>
      <x:c r="M3195" s="28" t="n">
        <x:v>3</x:v>
      </x:c>
      <x:c r="N3195" s="28" t="n">
        <x:v>0</x:v>
      </x:c>
      <x:c r="O3195" s="28" t="n">
        <x:v>0</x:v>
      </x:c>
      <x:c r="P3195" s="28" t="n">
        <x:v>0</x:v>
      </x:c>
      <x:c r="Q3195" s="24" t="n">
        <x:f>IFERROR(J3195/H3195,0)</x:f>
        <x:v>0.1875</x:v>
      </x:c>
      <x:c r="R3195" s="24" t="n">
        <x:f>IFERROR(F3195/H3195,0)</x:f>
        <x:v>0</x:v>
      </x:c>
      <x:c r="S3195" s="24" t="n">
        <x:f>IFERROR(F3195/J3195,0)</x:f>
        <x:v>0</x:v>
      </x:c>
      <x:c r="T3195" s="28" t="n">
        <x:f>H3195-I3195</x:f>
        <x:v>8</x:v>
      </x:c>
      <x:c r="U3195" s="24" t="n">
        <x:f>IFERROR(J3195/H3195,0)-IFERROR(K3195/I3195,0)</x:f>
        <x:v>-0.0625</x:v>
      </x:c>
      <x:c r="V3195" s="24" t="n">
        <x:f>IFERROR(F3195/J3195,0)-IFERROR(G3195/K3195,0)</x:f>
        <x:v>-1</x:v>
      </x:c>
      <x:c r="W3195" s="28" t="n">
        <x:f>L3195-M3195</x:f>
        <x:v>-1</x:v>
      </x:c>
      <x:c r="X3195" s="24" t="n">
        <x:f>IFERROR(K3195/I3195,0)</x:f>
        <x:v>0.25</x:v>
      </x:c>
      <x:c r="Y3195" s="24" t="n">
        <x:f>IFERROR(G3195/I3195,0)</x:f>
        <x:v>0.25</x:v>
      </x:c>
      <x:c r="Z3195" s="24" t="n">
        <x:f>IFERROR(G3195/K3195,0)</x:f>
        <x:v>1</x:v>
      </x:c>
      <x:c r="AA3195" s="24" t="n">
        <x:f>IFERROR(F3195/H3195,0)-IFERROR(G3195/I3195,0)</x:f>
        <x:v>-0.25</x:v>
      </x:c>
      <x:c r="AB3195" s="28" t="n">
        <x:f>J3195-K3195</x:f>
        <x:v>1</x:v>
      </x:c>
      <x:c r="AC3195" s="32" t="n">
        <x:f>F3195-G3195</x:f>
        <x:v>-2</x:v>
      </x:c>
    </x:row>
    <x:row r="3196">
      <x:c r="A3196" s="4" t="str">
        <x:v>2025-26</x:v>
      </x:c>
      <x:c r="B3196" s="20" t="n">
        <x:v>45949</x:v>
      </x:c>
      <x:c r="C3196" s="4" t="str">
        <x:v>Aston Villa</x:v>
      </x:c>
      <x:c r="D3196" s="4" t="str">
        <x:v>Tottenham</x:v>
      </x:c>
      <x:c r="E3196" s="4" t="str">
        <x:v>Away</x:v>
      </x:c>
      <x:c r="F3196" s="28" t="n">
        <x:v>2</x:v>
      </x:c>
      <x:c r="G3196" s="28" t="n">
        <x:v>1</x:v>
      </x:c>
      <x:c r="H3196" s="28" t="n">
        <x:v>8</x:v>
      </x:c>
      <x:c r="I3196" s="28" t="n">
        <x:v>9</x:v>
      </x:c>
      <x:c r="J3196" s="28" t="n">
        <x:v>2</x:v>
      </x:c>
      <x:c r="K3196" s="28" t="n">
        <x:v>3</x:v>
      </x:c>
      <x:c r="L3196" s="28" t="n">
        <x:v>6</x:v>
      </x:c>
      <x:c r="M3196" s="28" t="n">
        <x:v>6</x:v>
      </x:c>
      <x:c r="N3196" s="28" t="n">
        <x:v>0</x:v>
      </x:c>
      <x:c r="O3196" s="28" t="n">
        <x:v>0</x:v>
      </x:c>
      <x:c r="P3196" s="28" t="n">
        <x:v>3</x:v>
      </x:c>
      <x:c r="Q3196" s="24" t="n">
        <x:f>IFERROR(J3196/H3196,0)</x:f>
        <x:v>0.25</x:v>
      </x:c>
      <x:c r="R3196" s="24" t="n">
        <x:f>IFERROR(F3196/H3196,0)</x:f>
        <x:v>0.25</x:v>
      </x:c>
      <x:c r="S3196" s="24" t="n">
        <x:f>IFERROR(F3196/J3196,0)</x:f>
        <x:v>1</x:v>
      </x:c>
      <x:c r="T3196" s="28" t="n">
        <x:f>H3196-I3196</x:f>
        <x:v>-1</x:v>
      </x:c>
      <x:c r="U3196" s="24" t="n">
        <x:f>IFERROR(J3196/H3196,0)-IFERROR(K3196/I3196,0)</x:f>
        <x:v>-0.08333333333333331</x:v>
      </x:c>
      <x:c r="V3196" s="24" t="n">
        <x:f>IFERROR(F3196/J3196,0)-IFERROR(G3196/K3196,0)</x:f>
        <x:v>0.6666666666666667</x:v>
      </x:c>
      <x:c r="W3196" s="28" t="n">
        <x:f>L3196-M3196</x:f>
        <x:v>0</x:v>
      </x:c>
      <x:c r="X3196" s="24" t="n">
        <x:f>IFERROR(K3196/I3196,0)</x:f>
        <x:v>0.3333333333333333</x:v>
      </x:c>
      <x:c r="Y3196" s="24" t="n">
        <x:f>IFERROR(G3196/I3196,0)</x:f>
        <x:v>0.1111111111111111</x:v>
      </x:c>
      <x:c r="Z3196" s="24" t="n">
        <x:f>IFERROR(G3196/K3196,0)</x:f>
        <x:v>0.3333333333333333</x:v>
      </x:c>
      <x:c r="AA3196" s="24" t="n">
        <x:f>IFERROR(F3196/H3196,0)-IFERROR(G3196/I3196,0)</x:f>
        <x:v>0.1388888888888889</x:v>
      </x:c>
      <x:c r="AB3196" s="28" t="n">
        <x:f>J3196-K3196</x:f>
        <x:v>-1</x:v>
      </x:c>
      <x:c r="AC3196" s="32" t="n">
        <x:f>F3196-G3196</x:f>
        <x:v>1</x:v>
      </x:c>
    </x:row>
    <x:row r="3197">
      <x:c r="A3197" s="4" t="str">
        <x:v>2025-26</x:v>
      </x:c>
      <x:c r="B3197" s="20" t="n">
        <x:v>45949</x:v>
      </x:c>
      <x:c r="C3197" s="4" t="str">
        <x:v>Liverpool</x:v>
      </x:c>
      <x:c r="D3197" s="4" t="str">
        <x:v>Man United</x:v>
      </x:c>
      <x:c r="E3197" s="4" t="str">
        <x:v>Home</x:v>
      </x:c>
      <x:c r="F3197" s="28" t="n">
        <x:v>1</x:v>
      </x:c>
      <x:c r="G3197" s="28" t="n">
        <x:v>2</x:v>
      </x:c>
      <x:c r="H3197" s="28" t="n">
        <x:v>19</x:v>
      </x:c>
      <x:c r="I3197" s="28" t="n">
        <x:v>12</x:v>
      </x:c>
      <x:c r="J3197" s="28" t="n">
        <x:v>6</x:v>
      </x:c>
      <x:c r="K3197" s="28" t="n">
        <x:v>4</x:v>
      </x:c>
      <x:c r="L3197" s="28" t="n">
        <x:v>9</x:v>
      </x:c>
      <x:c r="M3197" s="28" t="n">
        <x:v>4</x:v>
      </x:c>
      <x:c r="N3197" s="28" t="n">
        <x:v>0</x:v>
      </x:c>
      <x:c r="O3197" s="28" t="n">
        <x:v>0</x:v>
      </x:c>
      <x:c r="P3197" s="28" t="n">
        <x:v>0</x:v>
      </x:c>
      <x:c r="Q3197" s="24" t="n">
        <x:f>IFERROR(J3197/H3197,0)</x:f>
        <x:v>0.3157894736842105</x:v>
      </x:c>
      <x:c r="R3197" s="24" t="n">
        <x:f>IFERROR(F3197/H3197,0)</x:f>
        <x:v>0.05263157894736842</x:v>
      </x:c>
      <x:c r="S3197" s="24" t="n">
        <x:f>IFERROR(F3197/J3197,0)</x:f>
        <x:v>0.16666666666666666</x:v>
      </x:c>
      <x:c r="T3197" s="28" t="n">
        <x:f>H3197-I3197</x:f>
        <x:v>7</x:v>
      </x:c>
      <x:c r="U3197" s="24" t="n">
        <x:f>IFERROR(J3197/H3197,0)-IFERROR(K3197/I3197,0)</x:f>
        <x:v>-0.017543859649122806</x:v>
      </x:c>
      <x:c r="V3197" s="24" t="n">
        <x:f>IFERROR(F3197/J3197,0)-IFERROR(G3197/K3197,0)</x:f>
        <x:v>-0.33333333333333337</x:v>
      </x:c>
      <x:c r="W3197" s="28" t="n">
        <x:f>L3197-M3197</x:f>
        <x:v>5</x:v>
      </x:c>
      <x:c r="X3197" s="24" t="n">
        <x:f>IFERROR(K3197/I3197,0)</x:f>
        <x:v>0.3333333333333333</x:v>
      </x:c>
      <x:c r="Y3197" s="24" t="n">
        <x:f>IFERROR(G3197/I3197,0)</x:f>
        <x:v>0.16666666666666666</x:v>
      </x:c>
      <x:c r="Z3197" s="24" t="n">
        <x:f>IFERROR(G3197/K3197,0)</x:f>
        <x:v>0.5</x:v>
      </x:c>
      <x:c r="AA3197" s="24" t="n">
        <x:f>IFERROR(F3197/H3197,0)-IFERROR(G3197/I3197,0)</x:f>
        <x:v>-0.11403508771929824</x:v>
      </x:c>
      <x:c r="AB3197" s="28" t="n">
        <x:f>J3197-K3197</x:f>
        <x:v>2</x:v>
      </x:c>
      <x:c r="AC3197" s="32" t="n">
        <x:f>F3197-G3197</x:f>
        <x:v>-1</x:v>
      </x:c>
    </x:row>
    <x:row r="3198">
      <x:c r="A3198" s="4" t="str">
        <x:v>2025-26</x:v>
      </x:c>
      <x:c r="B3198" s="20" t="n">
        <x:v>45949</x:v>
      </x:c>
      <x:c r="C3198" s="4" t="str">
        <x:v>Man United</x:v>
      </x:c>
      <x:c r="D3198" s="4" t="str">
        <x:v>Liverpool</x:v>
      </x:c>
      <x:c r="E3198" s="4" t="str">
        <x:v>Away</x:v>
      </x:c>
      <x:c r="F3198" s="28" t="n">
        <x:v>2</x:v>
      </x:c>
      <x:c r="G3198" s="28" t="n">
        <x:v>1</x:v>
      </x:c>
      <x:c r="H3198" s="28" t="n">
        <x:v>12</x:v>
      </x:c>
      <x:c r="I3198" s="28" t="n">
        <x:v>19</x:v>
      </x:c>
      <x:c r="J3198" s="28" t="n">
        <x:v>4</x:v>
      </x:c>
      <x:c r="K3198" s="28" t="n">
        <x:v>6</x:v>
      </x:c>
      <x:c r="L3198" s="28" t="n">
        <x:v>4</x:v>
      </x:c>
      <x:c r="M3198" s="28" t="n">
        <x:v>9</x:v>
      </x:c>
      <x:c r="N3198" s="28" t="n">
        <x:v>2</x:v>
      </x:c>
      <x:c r="O3198" s="28" t="n">
        <x:v>0</x:v>
      </x:c>
      <x:c r="P3198" s="28" t="n">
        <x:v>3</x:v>
      </x:c>
      <x:c r="Q3198" s="24" t="n">
        <x:f>IFERROR(J3198/H3198,0)</x:f>
        <x:v>0.3333333333333333</x:v>
      </x:c>
      <x:c r="R3198" s="24" t="n">
        <x:f>IFERROR(F3198/H3198,0)</x:f>
        <x:v>0.16666666666666666</x:v>
      </x:c>
      <x:c r="S3198" s="24" t="n">
        <x:f>IFERROR(F3198/J3198,0)</x:f>
        <x:v>0.5</x:v>
      </x:c>
      <x:c r="T3198" s="28" t="n">
        <x:f>H3198-I3198</x:f>
        <x:v>-7</x:v>
      </x:c>
      <x:c r="U3198" s="24" t="n">
        <x:f>IFERROR(J3198/H3198,0)-IFERROR(K3198/I3198,0)</x:f>
        <x:v>0.017543859649122806</x:v>
      </x:c>
      <x:c r="V3198" s="24" t="n">
        <x:f>IFERROR(F3198/J3198,0)-IFERROR(G3198/K3198,0)</x:f>
        <x:v>0.33333333333333337</x:v>
      </x:c>
      <x:c r="W3198" s="28" t="n">
        <x:f>L3198-M3198</x:f>
        <x:v>-5</x:v>
      </x:c>
      <x:c r="X3198" s="24" t="n">
        <x:f>IFERROR(K3198/I3198,0)</x:f>
        <x:v>0.3157894736842105</x:v>
      </x:c>
      <x:c r="Y3198" s="24" t="n">
        <x:f>IFERROR(G3198/I3198,0)</x:f>
        <x:v>0.05263157894736842</x:v>
      </x:c>
      <x:c r="Z3198" s="24" t="n">
        <x:f>IFERROR(G3198/K3198,0)</x:f>
        <x:v>0.16666666666666666</x:v>
      </x:c>
      <x:c r="AA3198" s="24" t="n">
        <x:f>IFERROR(F3198/H3198,0)-IFERROR(G3198/I3198,0)</x:f>
        <x:v>0.11403508771929824</x:v>
      </x:c>
      <x:c r="AB3198" s="28" t="n">
        <x:f>J3198-K3198</x:f>
        <x:v>-2</x:v>
      </x:c>
      <x:c r="AC3198" s="32" t="n">
        <x:f>F3198-G3198</x:f>
        <x:v>1</x:v>
      </x:c>
    </x:row>
    <x:row r="3199">
      <x:c r="A3199" s="4" t="str">
        <x:v>2025-26</x:v>
      </x:c>
      <x:c r="B3199" s="20" t="n">
        <x:v>45949</x:v>
      </x:c>
      <x:c r="C3199" s="4" t="str">
        <x:v>Tottenham</x:v>
      </x:c>
      <x:c r="D3199" s="4" t="str">
        <x:v>Aston Villa</x:v>
      </x:c>
      <x:c r="E3199" s="4" t="str">
        <x:v>Home</x:v>
      </x:c>
      <x:c r="F3199" s="28" t="n">
        <x:v>1</x:v>
      </x:c>
      <x:c r="G3199" s="28" t="n">
        <x:v>2</x:v>
      </x:c>
      <x:c r="H3199" s="28" t="n">
        <x:v>9</x:v>
      </x:c>
      <x:c r="I3199" s="28" t="n">
        <x:v>8</x:v>
      </x:c>
      <x:c r="J3199" s="28" t="n">
        <x:v>3</x:v>
      </x:c>
      <x:c r="K3199" s="28" t="n">
        <x:v>2</x:v>
      </x:c>
      <x:c r="L3199" s="28" t="n">
        <x:v>6</x:v>
      </x:c>
      <x:c r="M3199" s="28" t="n">
        <x:v>6</x:v>
      </x:c>
      <x:c r="N3199" s="28" t="n">
        <x:v>2</x:v>
      </x:c>
      <x:c r="O3199" s="28" t="n">
        <x:v>0</x:v>
      </x:c>
      <x:c r="P3199" s="28" t="n">
        <x:v>0</x:v>
      </x:c>
      <x:c r="Q3199" s="24" t="n">
        <x:f>IFERROR(J3199/H3199,0)</x:f>
        <x:v>0.3333333333333333</x:v>
      </x:c>
      <x:c r="R3199" s="24" t="n">
        <x:f>IFERROR(F3199/H3199,0)</x:f>
        <x:v>0.1111111111111111</x:v>
      </x:c>
      <x:c r="S3199" s="24" t="n">
        <x:f>IFERROR(F3199/J3199,0)</x:f>
        <x:v>0.3333333333333333</x:v>
      </x:c>
      <x:c r="T3199" s="28" t="n">
        <x:f>H3199-I3199</x:f>
        <x:v>1</x:v>
      </x:c>
      <x:c r="U3199" s="24" t="n">
        <x:f>IFERROR(J3199/H3199,0)-IFERROR(K3199/I3199,0)</x:f>
        <x:v>0.08333333333333331</x:v>
      </x:c>
      <x:c r="V3199" s="24" t="n">
        <x:f>IFERROR(F3199/J3199,0)-IFERROR(G3199/K3199,0)</x:f>
        <x:v>-0.6666666666666667</x:v>
      </x:c>
      <x:c r="W3199" s="28" t="n">
        <x:f>L3199-M3199</x:f>
        <x:v>0</x:v>
      </x:c>
      <x:c r="X3199" s="24" t="n">
        <x:f>IFERROR(K3199/I3199,0)</x:f>
        <x:v>0.25</x:v>
      </x:c>
      <x:c r="Y3199" s="24" t="n">
        <x:f>IFERROR(G3199/I3199,0)</x:f>
        <x:v>0.25</x:v>
      </x:c>
      <x:c r="Z3199" s="24" t="n">
        <x:f>IFERROR(G3199/K3199,0)</x:f>
        <x:v>1</x:v>
      </x:c>
      <x:c r="AA3199" s="24" t="n">
        <x:f>IFERROR(F3199/H3199,0)-IFERROR(G3199/I3199,0)</x:f>
        <x:v>-0.1388888888888889</x:v>
      </x:c>
      <x:c r="AB3199" s="28" t="n">
        <x:f>J3199-K3199</x:f>
        <x:v>1</x:v>
      </x:c>
      <x:c r="AC3199" s="32" t="n">
        <x:f>F3199-G3199</x:f>
        <x:v>-1</x:v>
      </x:c>
    </x:row>
    <x:row r="3200">
      <x:c r="A3200" s="4" t="str">
        <x:v>2025-26</x:v>
      </x:c>
      <x:c r="B3200" s="20" t="n">
        <x:v>45950</x:v>
      </x:c>
      <x:c r="C3200" s="4" t="str">
        <x:v>Brentford</x:v>
      </x:c>
      <x:c r="D3200" s="4" t="str">
        <x:v>West Ham</x:v>
      </x:c>
      <x:c r="E3200" s="4" t="str">
        <x:v>Away</x:v>
      </x:c>
      <x:c r="F3200" s="28" t="n">
        <x:v>2</x:v>
      </x:c>
      <x:c r="G3200" s="28" t="n">
        <x:v>0</x:v>
      </x:c>
      <x:c r="H3200" s="28" t="n">
        <x:v>22</x:v>
      </x:c>
      <x:c r="I3200" s="28" t="n">
        <x:v>7</x:v>
      </x:c>
      <x:c r="J3200" s="28" t="n">
        <x:v>7</x:v>
      </x:c>
      <x:c r="K3200" s="28" t="n">
        <x:v>1</x:v>
      </x:c>
      <x:c r="L3200" s="28" t="n">
        <x:v>10</x:v>
      </x:c>
      <x:c r="M3200" s="28" t="n">
        <x:v>6</x:v>
      </x:c>
      <x:c r="N3200" s="28" t="n">
        <x:v>1</x:v>
      </x:c>
      <x:c r="O3200" s="28" t="n">
        <x:v>0</x:v>
      </x:c>
      <x:c r="P3200" s="28" t="n">
        <x:v>3</x:v>
      </x:c>
      <x:c r="Q3200" s="24" t="n">
        <x:f>IFERROR(J3200/H3200,0)</x:f>
        <x:v>0.3181818181818182</x:v>
      </x:c>
      <x:c r="R3200" s="24" t="n">
        <x:f>IFERROR(F3200/H3200,0)</x:f>
        <x:v>0.09090909090909091</x:v>
      </x:c>
      <x:c r="S3200" s="24" t="n">
        <x:f>IFERROR(F3200/J3200,0)</x:f>
        <x:v>0.2857142857142857</x:v>
      </x:c>
      <x:c r="T3200" s="28" t="n">
        <x:f>H3200-I3200</x:f>
        <x:v>15</x:v>
      </x:c>
      <x:c r="U3200" s="24" t="n">
        <x:f>IFERROR(J3200/H3200,0)-IFERROR(K3200/I3200,0)</x:f>
        <x:v>0.17532467532467533</x:v>
      </x:c>
      <x:c r="V3200" s="24" t="n">
        <x:f>IFERROR(F3200/J3200,0)-IFERROR(G3200/K3200,0)</x:f>
        <x:v>0.2857142857142857</x:v>
      </x:c>
      <x:c r="W3200" s="28" t="n">
        <x:f>L3200-M3200</x:f>
        <x:v>4</x:v>
      </x:c>
      <x:c r="X3200" s="24" t="n">
        <x:f>IFERROR(K3200/I3200,0)</x:f>
        <x:v>0.14285714285714285</x:v>
      </x:c>
      <x:c r="Y3200" s="24" t="n">
        <x:f>IFERROR(G3200/I3200,0)</x:f>
        <x:v>0</x:v>
      </x:c>
      <x:c r="Z3200" s="24" t="n">
        <x:f>IFERROR(G3200/K3200,0)</x:f>
        <x:v>0</x:v>
      </x:c>
      <x:c r="AA3200" s="24" t="n">
        <x:f>IFERROR(F3200/H3200,0)-IFERROR(G3200/I3200,0)</x:f>
        <x:v>0.09090909090909091</x:v>
      </x:c>
      <x:c r="AB3200" s="28" t="n">
        <x:f>J3200-K3200</x:f>
        <x:v>6</x:v>
      </x:c>
      <x:c r="AC3200" s="32" t="n">
        <x:f>F3200-G3200</x:f>
        <x:v>2</x:v>
      </x:c>
    </x:row>
    <x:row r="3201">
      <x:c r="A3201" s="4" t="str">
        <x:v>2025-26</x:v>
      </x:c>
      <x:c r="B3201" s="20" t="n">
        <x:v>45950</x:v>
      </x:c>
      <x:c r="C3201" s="4" t="str">
        <x:v>West Ham</x:v>
      </x:c>
      <x:c r="D3201" s="4" t="str">
        <x:v>Brentford</x:v>
      </x:c>
      <x:c r="E3201" s="4" t="str">
        <x:v>Home</x:v>
      </x:c>
      <x:c r="F3201" s="28" t="n">
        <x:v>0</x:v>
      </x:c>
      <x:c r="G3201" s="28" t="n">
        <x:v>2</x:v>
      </x:c>
      <x:c r="H3201" s="28" t="n">
        <x:v>7</x:v>
      </x:c>
      <x:c r="I3201" s="28" t="n">
        <x:v>22</x:v>
      </x:c>
      <x:c r="J3201" s="28" t="n">
        <x:v>1</x:v>
      </x:c>
      <x:c r="K3201" s="28" t="n">
        <x:v>7</x:v>
      </x:c>
      <x:c r="L3201" s="28" t="n">
        <x:v>6</x:v>
      </x:c>
      <x:c r="M3201" s="28" t="n">
        <x:v>10</x:v>
      </x:c>
      <x:c r="N3201" s="28" t="n">
        <x:v>1</x:v>
      </x:c>
      <x:c r="O3201" s="28" t="n">
        <x:v>0</x:v>
      </x:c>
      <x:c r="P3201" s="28" t="n">
        <x:v>0</x:v>
      </x:c>
      <x:c r="Q3201" s="24" t="n">
        <x:f>IFERROR(J3201/H3201,0)</x:f>
        <x:v>0.14285714285714285</x:v>
      </x:c>
      <x:c r="R3201" s="24" t="n">
        <x:f>IFERROR(F3201/H3201,0)</x:f>
        <x:v>0</x:v>
      </x:c>
      <x:c r="S3201" s="24" t="n">
        <x:f>IFERROR(F3201/J3201,0)</x:f>
        <x:v>0</x:v>
      </x:c>
      <x:c r="T3201" s="28" t="n">
        <x:f>H3201-I3201</x:f>
        <x:v>-15</x:v>
      </x:c>
      <x:c r="U3201" s="24" t="n">
        <x:f>IFERROR(J3201/H3201,0)-IFERROR(K3201/I3201,0)</x:f>
        <x:v>-0.17532467532467533</x:v>
      </x:c>
      <x:c r="V3201" s="24" t="n">
        <x:f>IFERROR(F3201/J3201,0)-IFERROR(G3201/K3201,0)</x:f>
        <x:v>-0.2857142857142857</x:v>
      </x:c>
      <x:c r="W3201" s="28" t="n">
        <x:f>L3201-M3201</x:f>
        <x:v>-4</x:v>
      </x:c>
      <x:c r="X3201" s="24" t="n">
        <x:f>IFERROR(K3201/I3201,0)</x:f>
        <x:v>0.3181818181818182</x:v>
      </x:c>
      <x:c r="Y3201" s="24" t="n">
        <x:f>IFERROR(G3201/I3201,0)</x:f>
        <x:v>0.09090909090909091</x:v>
      </x:c>
      <x:c r="Z3201" s="24" t="n">
        <x:f>IFERROR(G3201/K3201,0)</x:f>
        <x:v>0.2857142857142857</x:v>
      </x:c>
      <x:c r="AA3201" s="24" t="n">
        <x:f>IFERROR(F3201/H3201,0)-IFERROR(G3201/I3201,0)</x:f>
        <x:v>-0.09090909090909091</x:v>
      </x:c>
      <x:c r="AB3201" s="28" t="n">
        <x:f>J3201-K3201</x:f>
        <x:v>-6</x:v>
      </x:c>
      <x:c r="AC3201" s="32" t="n">
        <x:f>F3201-G3201</x:f>
        <x:v>-2</x:v>
      </x:c>
    </x:row>
    <x:row r="3202">
      <x:c r="A3202" s="4" t="str">
        <x:v>2025-26</x:v>
      </x:c>
      <x:c r="B3202" s="20" t="n">
        <x:v>45954</x:v>
      </x:c>
      <x:c r="C3202" s="4" t="str">
        <x:v>Leeds</x:v>
      </x:c>
      <x:c r="D3202" s="4" t="str">
        <x:v>West Ham</x:v>
      </x:c>
      <x:c r="E3202" s="4" t="str">
        <x:v>Home</x:v>
      </x:c>
      <x:c r="F3202" s="28" t="n">
        <x:v>2</x:v>
      </x:c>
      <x:c r="G3202" s="28" t="n">
        <x:v>1</x:v>
      </x:c>
      <x:c r="H3202" s="28" t="n">
        <x:v>13</x:v>
      </x:c>
      <x:c r="I3202" s="28" t="n">
        <x:v>9</x:v>
      </x:c>
      <x:c r="J3202" s="28" t="n">
        <x:v>5</x:v>
      </x:c>
      <x:c r="K3202" s="28" t="n">
        <x:v>3</x:v>
      </x:c>
      <x:c r="L3202" s="28" t="n">
        <x:v>3</x:v>
      </x:c>
      <x:c r="M3202" s="28" t="n">
        <x:v>4</x:v>
      </x:c>
      <x:c r="N3202" s="28" t="n">
        <x:v>3</x:v>
      </x:c>
      <x:c r="O3202" s="28" t="n">
        <x:v>0</x:v>
      </x:c>
      <x:c r="P3202" s="28" t="n">
        <x:v>3</x:v>
      </x:c>
      <x:c r="Q3202" s="24" t="n">
        <x:f>IFERROR(J3202/H3202,0)</x:f>
        <x:v>0.38461538461538464</x:v>
      </x:c>
      <x:c r="R3202" s="24" t="n">
        <x:f>IFERROR(F3202/H3202,0)</x:f>
        <x:v>0.15384615384615385</x:v>
      </x:c>
      <x:c r="S3202" s="24" t="n">
        <x:f>IFERROR(F3202/J3202,0)</x:f>
        <x:v>0.4</x:v>
      </x:c>
      <x:c r="T3202" s="28" t="n">
        <x:f>H3202-I3202</x:f>
        <x:v>4</x:v>
      </x:c>
      <x:c r="U3202" s="24" t="n">
        <x:f>IFERROR(J3202/H3202,0)-IFERROR(K3202/I3202,0)</x:f>
        <x:v>0.05128205128205132</x:v>
      </x:c>
      <x:c r="V3202" s="24" t="n">
        <x:f>IFERROR(F3202/J3202,0)-IFERROR(G3202/K3202,0)</x:f>
        <x:v>0.06666666666666671</x:v>
      </x:c>
      <x:c r="W3202" s="28" t="n">
        <x:f>L3202-M3202</x:f>
        <x:v>-1</x:v>
      </x:c>
      <x:c r="X3202" s="24" t="n">
        <x:f>IFERROR(K3202/I3202,0)</x:f>
        <x:v>0.3333333333333333</x:v>
      </x:c>
      <x:c r="Y3202" s="24" t="n">
        <x:f>IFERROR(G3202/I3202,0)</x:f>
        <x:v>0.1111111111111111</x:v>
      </x:c>
      <x:c r="Z3202" s="24" t="n">
        <x:f>IFERROR(G3202/K3202,0)</x:f>
        <x:v>0.3333333333333333</x:v>
      </x:c>
      <x:c r="AA3202" s="24" t="n">
        <x:f>IFERROR(F3202/H3202,0)-IFERROR(G3202/I3202,0)</x:f>
        <x:v>0.04273504273504275</x:v>
      </x:c>
      <x:c r="AB3202" s="28" t="n">
        <x:f>J3202-K3202</x:f>
        <x:v>2</x:v>
      </x:c>
      <x:c r="AC3202" s="32" t="n">
        <x:f>F3202-G3202</x:f>
        <x:v>1</x:v>
      </x:c>
    </x:row>
    <x:row r="3203">
      <x:c r="A3203" s="4" t="str">
        <x:v>2025-26</x:v>
      </x:c>
      <x:c r="B3203" s="20" t="n">
        <x:v>45954</x:v>
      </x:c>
      <x:c r="C3203" s="4" t="str">
        <x:v>West Ham</x:v>
      </x:c>
      <x:c r="D3203" s="4" t="str">
        <x:v>Leeds</x:v>
      </x:c>
      <x:c r="E3203" s="4" t="str">
        <x:v>Away</x:v>
      </x:c>
      <x:c r="F3203" s="28" t="n">
        <x:v>1</x:v>
      </x:c>
      <x:c r="G3203" s="28" t="n">
        <x:v>2</x:v>
      </x:c>
      <x:c r="H3203" s="28" t="n">
        <x:v>9</x:v>
      </x:c>
      <x:c r="I3203" s="28" t="n">
        <x:v>13</x:v>
      </x:c>
      <x:c r="J3203" s="28" t="n">
        <x:v>3</x:v>
      </x:c>
      <x:c r="K3203" s="28" t="n">
        <x:v>5</x:v>
      </x:c>
      <x:c r="L3203" s="28" t="n">
        <x:v>4</x:v>
      </x:c>
      <x:c r="M3203" s="28" t="n">
        <x:v>3</x:v>
      </x:c>
      <x:c r="N3203" s="28" t="n">
        <x:v>3</x:v>
      </x:c>
      <x:c r="O3203" s="28" t="n">
        <x:v>0</x:v>
      </x:c>
      <x:c r="P3203" s="28" t="n">
        <x:v>0</x:v>
      </x:c>
      <x:c r="Q3203" s="24" t="n">
        <x:f>IFERROR(J3203/H3203,0)</x:f>
        <x:v>0.3333333333333333</x:v>
      </x:c>
      <x:c r="R3203" s="24" t="n">
        <x:f>IFERROR(F3203/H3203,0)</x:f>
        <x:v>0.1111111111111111</x:v>
      </x:c>
      <x:c r="S3203" s="24" t="n">
        <x:f>IFERROR(F3203/J3203,0)</x:f>
        <x:v>0.3333333333333333</x:v>
      </x:c>
      <x:c r="T3203" s="28" t="n">
        <x:f>H3203-I3203</x:f>
        <x:v>-4</x:v>
      </x:c>
      <x:c r="U3203" s="24" t="n">
        <x:f>IFERROR(J3203/H3203,0)-IFERROR(K3203/I3203,0)</x:f>
        <x:v>-0.05128205128205132</x:v>
      </x:c>
      <x:c r="V3203" s="24" t="n">
        <x:f>IFERROR(F3203/J3203,0)-IFERROR(G3203/K3203,0)</x:f>
        <x:v>-0.06666666666666671</x:v>
      </x:c>
      <x:c r="W3203" s="28" t="n">
        <x:f>L3203-M3203</x:f>
        <x:v>1</x:v>
      </x:c>
      <x:c r="X3203" s="24" t="n">
        <x:f>IFERROR(K3203/I3203,0)</x:f>
        <x:v>0.38461538461538464</x:v>
      </x:c>
      <x:c r="Y3203" s="24" t="n">
        <x:f>IFERROR(G3203/I3203,0)</x:f>
        <x:v>0.15384615384615385</x:v>
      </x:c>
      <x:c r="Z3203" s="24" t="n">
        <x:f>IFERROR(G3203/K3203,0)</x:f>
        <x:v>0.4</x:v>
      </x:c>
      <x:c r="AA3203" s="24" t="n">
        <x:f>IFERROR(F3203/H3203,0)-IFERROR(G3203/I3203,0)</x:f>
        <x:v>-0.04273504273504275</x:v>
      </x:c>
      <x:c r="AB3203" s="28" t="n">
        <x:f>J3203-K3203</x:f>
        <x:v>-2</x:v>
      </x:c>
      <x:c r="AC3203" s="32" t="n">
        <x:f>F3203-G3203</x:f>
        <x:v>-1</x:v>
      </x:c>
    </x:row>
    <x:row r="3204">
      <x:c r="A3204" s="4" t="str">
        <x:v>2025-26</x:v>
      </x:c>
      <x:c r="B3204" s="20" t="n">
        <x:v>45955</x:v>
      </x:c>
      <x:c r="C3204" s="4" t="str">
        <x:v>Brentford</x:v>
      </x:c>
      <x:c r="D3204" s="4" t="str">
        <x:v>Liverpool</x:v>
      </x:c>
      <x:c r="E3204" s="4" t="str">
        <x:v>Home</x:v>
      </x:c>
      <x:c r="F3204" s="28" t="n">
        <x:v>3</x:v>
      </x:c>
      <x:c r="G3204" s="28" t="n">
        <x:v>2</x:v>
      </x:c>
      <x:c r="H3204" s="28" t="n">
        <x:v>17</x:v>
      </x:c>
      <x:c r="I3204" s="28" t="n">
        <x:v>18</x:v>
      </x:c>
      <x:c r="J3204" s="28" t="n">
        <x:v>8</x:v>
      </x:c>
      <x:c r="K3204" s="28" t="n">
        <x:v>5</x:v>
      </x:c>
      <x:c r="L3204" s="28" t="n">
        <x:v>5</x:v>
      </x:c>
      <x:c r="M3204" s="28" t="n">
        <x:v>4</x:v>
      </x:c>
      <x:c r="N3204" s="28" t="n">
        <x:v>3</x:v>
      </x:c>
      <x:c r="O3204" s="28" t="n">
        <x:v>0</x:v>
      </x:c>
      <x:c r="P3204" s="28" t="n">
        <x:v>3</x:v>
      </x:c>
      <x:c r="Q3204" s="24" t="n">
        <x:f>IFERROR(J3204/H3204,0)</x:f>
        <x:v>0.47058823529411764</x:v>
      </x:c>
      <x:c r="R3204" s="24" t="n">
        <x:f>IFERROR(F3204/H3204,0)</x:f>
        <x:v>0.17647058823529413</x:v>
      </x:c>
      <x:c r="S3204" s="24" t="n">
        <x:f>IFERROR(F3204/J3204,0)</x:f>
        <x:v>0.375</x:v>
      </x:c>
      <x:c r="T3204" s="28" t="n">
        <x:f>H3204-I3204</x:f>
        <x:v>-1</x:v>
      </x:c>
      <x:c r="U3204" s="24" t="n">
        <x:f>IFERROR(J3204/H3204,0)-IFERROR(K3204/I3204,0)</x:f>
        <x:v>0.19281045751633985</x:v>
      </x:c>
      <x:c r="V3204" s="24" t="n">
        <x:f>IFERROR(F3204/J3204,0)-IFERROR(G3204/K3204,0)</x:f>
        <x:v>-0.025000000000000022</x:v>
      </x:c>
      <x:c r="W3204" s="28" t="n">
        <x:f>L3204-M3204</x:f>
        <x:v>1</x:v>
      </x:c>
      <x:c r="X3204" s="24" t="n">
        <x:f>IFERROR(K3204/I3204,0)</x:f>
        <x:v>0.2777777777777778</x:v>
      </x:c>
      <x:c r="Y3204" s="24" t="n">
        <x:f>IFERROR(G3204/I3204,0)</x:f>
        <x:v>0.1111111111111111</x:v>
      </x:c>
      <x:c r="Z3204" s="24" t="n">
        <x:f>IFERROR(G3204/K3204,0)</x:f>
        <x:v>0.4</x:v>
      </x:c>
      <x:c r="AA3204" s="24" t="n">
        <x:f>IFERROR(F3204/H3204,0)-IFERROR(G3204/I3204,0)</x:f>
        <x:v>0.06535947712418302</x:v>
      </x:c>
      <x:c r="AB3204" s="28" t="n">
        <x:f>J3204-K3204</x:f>
        <x:v>3</x:v>
      </x:c>
      <x:c r="AC3204" s="32" t="n">
        <x:f>F3204-G3204</x:f>
        <x:v>1</x:v>
      </x:c>
    </x:row>
    <x:row r="3205">
      <x:c r="A3205" s="4" t="str">
        <x:v>2025-26</x:v>
      </x:c>
      <x:c r="B3205" s="20" t="n">
        <x:v>45955</x:v>
      </x:c>
      <x:c r="C3205" s="4" t="str">
        <x:v>Brighton</x:v>
      </x:c>
      <x:c r="D3205" s="4" t="str">
        <x:v>Man United</x:v>
      </x:c>
      <x:c r="E3205" s="4" t="str">
        <x:v>Away</x:v>
      </x:c>
      <x:c r="F3205" s="28" t="n">
        <x:v>2</x:v>
      </x:c>
      <x:c r="G3205" s="28" t="n">
        <x:v>4</x:v>
      </x:c>
      <x:c r="H3205" s="28" t="n">
        <x:v>17</x:v>
      </x:c>
      <x:c r="I3205" s="28" t="n">
        <x:v>13</x:v>
      </x:c>
      <x:c r="J3205" s="28" t="n">
        <x:v>5</x:v>
      </x:c>
      <x:c r="K3205" s="28" t="n">
        <x:v>9</x:v>
      </x:c>
      <x:c r="L3205" s="28" t="n">
        <x:v>6</x:v>
      </x:c>
      <x:c r="M3205" s="28" t="n">
        <x:v>1</x:v>
      </x:c>
      <x:c r="N3205" s="28" t="n">
        <x:v>2</x:v>
      </x:c>
      <x:c r="O3205" s="28" t="n">
        <x:v>0</x:v>
      </x:c>
      <x:c r="P3205" s="28" t="n">
        <x:v>0</x:v>
      </x:c>
      <x:c r="Q3205" s="24" t="n">
        <x:f>IFERROR(J3205/H3205,0)</x:f>
        <x:v>0.29411764705882354</x:v>
      </x:c>
      <x:c r="R3205" s="24" t="n">
        <x:f>IFERROR(F3205/H3205,0)</x:f>
        <x:v>0.11764705882352941</x:v>
      </x:c>
      <x:c r="S3205" s="24" t="n">
        <x:f>IFERROR(F3205/J3205,0)</x:f>
        <x:v>0.4</x:v>
      </x:c>
      <x:c r="T3205" s="28" t="n">
        <x:f>H3205-I3205</x:f>
        <x:v>4</x:v>
      </x:c>
      <x:c r="U3205" s="24" t="n">
        <x:f>IFERROR(J3205/H3205,0)-IFERROR(K3205/I3205,0)</x:f>
        <x:v>-0.39819004524886875</x:v>
      </x:c>
      <x:c r="V3205" s="24" t="n">
        <x:f>IFERROR(F3205/J3205,0)-IFERROR(G3205/K3205,0)</x:f>
        <x:v>-0.0444444444444444</x:v>
      </x:c>
      <x:c r="W3205" s="28" t="n">
        <x:f>L3205-M3205</x:f>
        <x:v>5</x:v>
      </x:c>
      <x:c r="X3205" s="24" t="n">
        <x:f>IFERROR(K3205/I3205,0)</x:f>
        <x:v>0.6923076923076923</x:v>
      </x:c>
      <x:c r="Y3205" s="24" t="n">
        <x:f>IFERROR(G3205/I3205,0)</x:f>
        <x:v>0.3076923076923077</x:v>
      </x:c>
      <x:c r="Z3205" s="24" t="n">
        <x:f>IFERROR(G3205/K3205,0)</x:f>
        <x:v>0.4444444444444444</x:v>
      </x:c>
      <x:c r="AA3205" s="24" t="n">
        <x:f>IFERROR(F3205/H3205,0)-IFERROR(G3205/I3205,0)</x:f>
        <x:v>-0.1900452488687783</x:v>
      </x:c>
      <x:c r="AB3205" s="28" t="n">
        <x:f>J3205-K3205</x:f>
        <x:v>-4</x:v>
      </x:c>
      <x:c r="AC3205" s="32" t="n">
        <x:f>F3205-G3205</x:f>
        <x:v>-2</x:v>
      </x:c>
    </x:row>
    <x:row r="3206">
      <x:c r="A3206" s="4" t="str">
        <x:v>2025-26</x:v>
      </x:c>
      <x:c r="B3206" s="20" t="n">
        <x:v>45955</x:v>
      </x:c>
      <x:c r="C3206" s="4" t="str">
        <x:v>Chelsea</x:v>
      </x:c>
      <x:c r="D3206" s="4" t="str">
        <x:v>Sunderland</x:v>
      </x:c>
      <x:c r="E3206" s="4" t="str">
        <x:v>Home</x:v>
      </x:c>
      <x:c r="F3206" s="28" t="n">
        <x:v>1</x:v>
      </x:c>
      <x:c r="G3206" s="28" t="n">
        <x:v>2</x:v>
      </x:c>
      <x:c r="H3206" s="28" t="n">
        <x:v>16</x:v>
      </x:c>
      <x:c r="I3206" s="28" t="n">
        <x:v>10</x:v>
      </x:c>
      <x:c r="J3206" s="28" t="n">
        <x:v>7</x:v>
      </x:c>
      <x:c r="K3206" s="28" t="n">
        <x:v>4</x:v>
      </x:c>
      <x:c r="L3206" s="28" t="n">
        <x:v>9</x:v>
      </x:c>
      <x:c r="M3206" s="28" t="n">
        <x:v>1</x:v>
      </x:c>
      <x:c r="N3206" s="28" t="n">
        <x:v>1</x:v>
      </x:c>
      <x:c r="O3206" s="28" t="n">
        <x:v>0</x:v>
      </x:c>
      <x:c r="P3206" s="28" t="n">
        <x:v>0</x:v>
      </x:c>
      <x:c r="Q3206" s="24" t="n">
        <x:f>IFERROR(J3206/H3206,0)</x:f>
        <x:v>0.4375</x:v>
      </x:c>
      <x:c r="R3206" s="24" t="n">
        <x:f>IFERROR(F3206/H3206,0)</x:f>
        <x:v>0.0625</x:v>
      </x:c>
      <x:c r="S3206" s="24" t="n">
        <x:f>IFERROR(F3206/J3206,0)</x:f>
        <x:v>0.14285714285714285</x:v>
      </x:c>
      <x:c r="T3206" s="28" t="n">
        <x:f>H3206-I3206</x:f>
        <x:v>6</x:v>
      </x:c>
      <x:c r="U3206" s="24" t="n">
        <x:f>IFERROR(J3206/H3206,0)-IFERROR(K3206/I3206,0)</x:f>
        <x:v>0.03749999999999998</x:v>
      </x:c>
      <x:c r="V3206" s="24" t="n">
        <x:f>IFERROR(F3206/J3206,0)-IFERROR(G3206/K3206,0)</x:f>
        <x:v>-0.35714285714285715</x:v>
      </x:c>
      <x:c r="W3206" s="28" t="n">
        <x:f>L3206-M3206</x:f>
        <x:v>8</x:v>
      </x:c>
      <x:c r="X3206" s="24" t="n">
        <x:f>IFERROR(K3206/I3206,0)</x:f>
        <x:v>0.4</x:v>
      </x:c>
      <x:c r="Y3206" s="24" t="n">
        <x:f>IFERROR(G3206/I3206,0)</x:f>
        <x:v>0.2</x:v>
      </x:c>
      <x:c r="Z3206" s="24" t="n">
        <x:f>IFERROR(G3206/K3206,0)</x:f>
        <x:v>0.5</x:v>
      </x:c>
      <x:c r="AA3206" s="24" t="n">
        <x:f>IFERROR(F3206/H3206,0)-IFERROR(G3206/I3206,0)</x:f>
        <x:v>-0.1375</x:v>
      </x:c>
      <x:c r="AB3206" s="28" t="n">
        <x:f>J3206-K3206</x:f>
        <x:v>3</x:v>
      </x:c>
      <x:c r="AC3206" s="32" t="n">
        <x:f>F3206-G3206</x:f>
        <x:v>-1</x:v>
      </x:c>
    </x:row>
    <x:row r="3207">
      <x:c r="A3207" s="4" t="str">
        <x:v>2025-26</x:v>
      </x:c>
      <x:c r="B3207" s="20" t="n">
        <x:v>45955</x:v>
      </x:c>
      <x:c r="C3207" s="4" t="str">
        <x:v>Fulham</x:v>
      </x:c>
      <x:c r="D3207" s="4" t="str">
        <x:v>Newcastle</x:v>
      </x:c>
      <x:c r="E3207" s="4" t="str">
        <x:v>Away</x:v>
      </x:c>
      <x:c r="F3207" s="28" t="n">
        <x:v>1</x:v>
      </x:c>
      <x:c r="G3207" s="28" t="n">
        <x:v>2</x:v>
      </x:c>
      <x:c r="H3207" s="28" t="n">
        <x:v>12</x:v>
      </x:c>
      <x:c r="I3207" s="28" t="n">
        <x:v>18</x:v>
      </x:c>
      <x:c r="J3207" s="28" t="n">
        <x:v>5</x:v>
      </x:c>
      <x:c r="K3207" s="28" t="n">
        <x:v>7</x:v>
      </x:c>
      <x:c r="L3207" s="28" t="n">
        <x:v>3</x:v>
      </x:c>
      <x:c r="M3207" s="28" t="n">
        <x:v>4</x:v>
      </x:c>
      <x:c r="N3207" s="28" t="n">
        <x:v>2</x:v>
      </x:c>
      <x:c r="O3207" s="28" t="n">
        <x:v>0</x:v>
      </x:c>
      <x:c r="P3207" s="28" t="n">
        <x:v>0</x:v>
      </x:c>
      <x:c r="Q3207" s="24" t="n">
        <x:f>IFERROR(J3207/H3207,0)</x:f>
        <x:v>0.4166666666666667</x:v>
      </x:c>
      <x:c r="R3207" s="24" t="n">
        <x:f>IFERROR(F3207/H3207,0)</x:f>
        <x:v>0.08333333333333333</x:v>
      </x:c>
      <x:c r="S3207" s="24" t="n">
        <x:f>IFERROR(F3207/J3207,0)</x:f>
        <x:v>0.2</x:v>
      </x:c>
      <x:c r="T3207" s="28" t="n">
        <x:f>H3207-I3207</x:f>
        <x:v>-6</x:v>
      </x:c>
      <x:c r="U3207" s="24" t="n">
        <x:f>IFERROR(J3207/H3207,0)-IFERROR(K3207/I3207,0)</x:f>
        <x:v>0.02777777777777779</x:v>
      </x:c>
      <x:c r="V3207" s="24" t="n">
        <x:f>IFERROR(F3207/J3207,0)-IFERROR(G3207/K3207,0)</x:f>
        <x:v>-0.08571428571428569</x:v>
      </x:c>
      <x:c r="W3207" s="28" t="n">
        <x:f>L3207-M3207</x:f>
        <x:v>-1</x:v>
      </x:c>
      <x:c r="X3207" s="24" t="n">
        <x:f>IFERROR(K3207/I3207,0)</x:f>
        <x:v>0.3888888888888889</x:v>
      </x:c>
      <x:c r="Y3207" s="24" t="n">
        <x:f>IFERROR(G3207/I3207,0)</x:f>
        <x:v>0.1111111111111111</x:v>
      </x:c>
      <x:c r="Z3207" s="24" t="n">
        <x:f>IFERROR(G3207/K3207,0)</x:f>
        <x:v>0.2857142857142857</x:v>
      </x:c>
      <x:c r="AA3207" s="24" t="n">
        <x:f>IFERROR(F3207/H3207,0)-IFERROR(G3207/I3207,0)</x:f>
        <x:v>-0.027777777777777776</x:v>
      </x:c>
      <x:c r="AB3207" s="28" t="n">
        <x:f>J3207-K3207</x:f>
        <x:v>-2</x:v>
      </x:c>
      <x:c r="AC3207" s="32" t="n">
        <x:f>F3207-G3207</x:f>
        <x:v>-1</x:v>
      </x:c>
    </x:row>
    <x:row r="3208">
      <x:c r="A3208" s="4" t="str">
        <x:v>2025-26</x:v>
      </x:c>
      <x:c r="B3208" s="20" t="n">
        <x:v>45955</x:v>
      </x:c>
      <x:c r="C3208" s="4" t="str">
        <x:v>Liverpool</x:v>
      </x:c>
      <x:c r="D3208" s="4" t="str">
        <x:v>Brentford</x:v>
      </x:c>
      <x:c r="E3208" s="4" t="str">
        <x:v>Away</x:v>
      </x:c>
      <x:c r="F3208" s="28" t="n">
        <x:v>2</x:v>
      </x:c>
      <x:c r="G3208" s="28" t="n">
        <x:v>3</x:v>
      </x:c>
      <x:c r="H3208" s="28" t="n">
        <x:v>18</x:v>
      </x:c>
      <x:c r="I3208" s="28" t="n">
        <x:v>17</x:v>
      </x:c>
      <x:c r="J3208" s="28" t="n">
        <x:v>5</x:v>
      </x:c>
      <x:c r="K3208" s="28" t="n">
        <x:v>8</x:v>
      </x:c>
      <x:c r="L3208" s="28" t="n">
        <x:v>4</x:v>
      </x:c>
      <x:c r="M3208" s="28" t="n">
        <x:v>5</x:v>
      </x:c>
      <x:c r="N3208" s="28" t="n">
        <x:v>2</x:v>
      </x:c>
      <x:c r="O3208" s="28" t="n">
        <x:v>0</x:v>
      </x:c>
      <x:c r="P3208" s="28" t="n">
        <x:v>0</x:v>
      </x:c>
      <x:c r="Q3208" s="24" t="n">
        <x:f>IFERROR(J3208/H3208,0)</x:f>
        <x:v>0.2777777777777778</x:v>
      </x:c>
      <x:c r="R3208" s="24" t="n">
        <x:f>IFERROR(F3208/H3208,0)</x:f>
        <x:v>0.1111111111111111</x:v>
      </x:c>
      <x:c r="S3208" s="24" t="n">
        <x:f>IFERROR(F3208/J3208,0)</x:f>
        <x:v>0.4</x:v>
      </x:c>
      <x:c r="T3208" s="28" t="n">
        <x:f>H3208-I3208</x:f>
        <x:v>1</x:v>
      </x:c>
      <x:c r="U3208" s="24" t="n">
        <x:f>IFERROR(J3208/H3208,0)-IFERROR(K3208/I3208,0)</x:f>
        <x:v>-0.19281045751633985</x:v>
      </x:c>
      <x:c r="V3208" s="24" t="n">
        <x:f>IFERROR(F3208/J3208,0)-IFERROR(G3208/K3208,0)</x:f>
        <x:v>0.025000000000000022</x:v>
      </x:c>
      <x:c r="W3208" s="28" t="n">
        <x:f>L3208-M3208</x:f>
        <x:v>-1</x:v>
      </x:c>
      <x:c r="X3208" s="24" t="n">
        <x:f>IFERROR(K3208/I3208,0)</x:f>
        <x:v>0.47058823529411764</x:v>
      </x:c>
      <x:c r="Y3208" s="24" t="n">
        <x:f>IFERROR(G3208/I3208,0)</x:f>
        <x:v>0.17647058823529413</x:v>
      </x:c>
      <x:c r="Z3208" s="24" t="n">
        <x:f>IFERROR(G3208/K3208,0)</x:f>
        <x:v>0.375</x:v>
      </x:c>
      <x:c r="AA3208" s="24" t="n">
        <x:f>IFERROR(F3208/H3208,0)-IFERROR(G3208/I3208,0)</x:f>
        <x:v>-0.06535947712418302</x:v>
      </x:c>
      <x:c r="AB3208" s="28" t="n">
        <x:f>J3208-K3208</x:f>
        <x:v>-3</x:v>
      </x:c>
      <x:c r="AC3208" s="32" t="n">
        <x:f>F3208-G3208</x:f>
        <x:v>-1</x:v>
      </x:c>
    </x:row>
    <x:row r="3209">
      <x:c r="A3209" s="4" t="str">
        <x:v>2025-26</x:v>
      </x:c>
      <x:c r="B3209" s="20" t="n">
        <x:v>45955</x:v>
      </x:c>
      <x:c r="C3209" s="4" t="str">
        <x:v>Man United</x:v>
      </x:c>
      <x:c r="D3209" s="4" t="str">
        <x:v>Brighton</x:v>
      </x:c>
      <x:c r="E3209" s="4" t="str">
        <x:v>Home</x:v>
      </x:c>
      <x:c r="F3209" s="28" t="n">
        <x:v>4</x:v>
      </x:c>
      <x:c r="G3209" s="28" t="n">
        <x:v>2</x:v>
      </x:c>
      <x:c r="H3209" s="28" t="n">
        <x:v>13</x:v>
      </x:c>
      <x:c r="I3209" s="28" t="n">
        <x:v>17</x:v>
      </x:c>
      <x:c r="J3209" s="28" t="n">
        <x:v>9</x:v>
      </x:c>
      <x:c r="K3209" s="28" t="n">
        <x:v>5</x:v>
      </x:c>
      <x:c r="L3209" s="28" t="n">
        <x:v>1</x:v>
      </x:c>
      <x:c r="M3209" s="28" t="n">
        <x:v>6</x:v>
      </x:c>
      <x:c r="N3209" s="28" t="n">
        <x:v>2</x:v>
      </x:c>
      <x:c r="O3209" s="28" t="n">
        <x:v>0</x:v>
      </x:c>
      <x:c r="P3209" s="28" t="n">
        <x:v>3</x:v>
      </x:c>
      <x:c r="Q3209" s="24" t="n">
        <x:f>IFERROR(J3209/H3209,0)</x:f>
        <x:v>0.6923076923076923</x:v>
      </x:c>
      <x:c r="R3209" s="24" t="n">
        <x:f>IFERROR(F3209/H3209,0)</x:f>
        <x:v>0.3076923076923077</x:v>
      </x:c>
      <x:c r="S3209" s="24" t="n">
        <x:f>IFERROR(F3209/J3209,0)</x:f>
        <x:v>0.4444444444444444</x:v>
      </x:c>
      <x:c r="T3209" s="28" t="n">
        <x:f>H3209-I3209</x:f>
        <x:v>-4</x:v>
      </x:c>
      <x:c r="U3209" s="24" t="n">
        <x:f>IFERROR(J3209/H3209,0)-IFERROR(K3209/I3209,0)</x:f>
        <x:v>0.39819004524886875</x:v>
      </x:c>
      <x:c r="V3209" s="24" t="n">
        <x:f>IFERROR(F3209/J3209,0)-IFERROR(G3209/K3209,0)</x:f>
        <x:v>0.0444444444444444</x:v>
      </x:c>
      <x:c r="W3209" s="28" t="n">
        <x:f>L3209-M3209</x:f>
        <x:v>-5</x:v>
      </x:c>
      <x:c r="X3209" s="24" t="n">
        <x:f>IFERROR(K3209/I3209,0)</x:f>
        <x:v>0.29411764705882354</x:v>
      </x:c>
      <x:c r="Y3209" s="24" t="n">
        <x:f>IFERROR(G3209/I3209,0)</x:f>
        <x:v>0.11764705882352941</x:v>
      </x:c>
      <x:c r="Z3209" s="24" t="n">
        <x:f>IFERROR(G3209/K3209,0)</x:f>
        <x:v>0.4</x:v>
      </x:c>
      <x:c r="AA3209" s="24" t="n">
        <x:f>IFERROR(F3209/H3209,0)-IFERROR(G3209/I3209,0)</x:f>
        <x:v>0.1900452488687783</x:v>
      </x:c>
      <x:c r="AB3209" s="28" t="n">
        <x:f>J3209-K3209</x:f>
        <x:v>4</x:v>
      </x:c>
      <x:c r="AC3209" s="32" t="n">
        <x:f>F3209-G3209</x:f>
        <x:v>2</x:v>
      </x:c>
    </x:row>
    <x:row r="3210">
      <x:c r="A3210" s="4" t="str">
        <x:v>2025-26</x:v>
      </x:c>
      <x:c r="B3210" s="20" t="n">
        <x:v>45955</x:v>
      </x:c>
      <x:c r="C3210" s="4" t="str">
        <x:v>Newcastle</x:v>
      </x:c>
      <x:c r="D3210" s="4" t="str">
        <x:v>Fulham</x:v>
      </x:c>
      <x:c r="E3210" s="4" t="str">
        <x:v>Home</x:v>
      </x:c>
      <x:c r="F3210" s="28" t="n">
        <x:v>2</x:v>
      </x:c>
      <x:c r="G3210" s="28" t="n">
        <x:v>1</x:v>
      </x:c>
      <x:c r="H3210" s="28" t="n">
        <x:v>18</x:v>
      </x:c>
      <x:c r="I3210" s="28" t="n">
        <x:v>12</x:v>
      </x:c>
      <x:c r="J3210" s="28" t="n">
        <x:v>7</x:v>
      </x:c>
      <x:c r="K3210" s="28" t="n">
        <x:v>5</x:v>
      </x:c>
      <x:c r="L3210" s="28" t="n">
        <x:v>4</x:v>
      </x:c>
      <x:c r="M3210" s="28" t="n">
        <x:v>3</x:v>
      </x:c>
      <x:c r="N3210" s="28" t="n">
        <x:v>0</x:v>
      </x:c>
      <x:c r="O3210" s="28" t="n">
        <x:v>0</x:v>
      </x:c>
      <x:c r="P3210" s="28" t="n">
        <x:v>3</x:v>
      </x:c>
      <x:c r="Q3210" s="24" t="n">
        <x:f>IFERROR(J3210/H3210,0)</x:f>
        <x:v>0.3888888888888889</x:v>
      </x:c>
      <x:c r="R3210" s="24" t="n">
        <x:f>IFERROR(F3210/H3210,0)</x:f>
        <x:v>0.1111111111111111</x:v>
      </x:c>
      <x:c r="S3210" s="24" t="n">
        <x:f>IFERROR(F3210/J3210,0)</x:f>
        <x:v>0.2857142857142857</x:v>
      </x:c>
      <x:c r="T3210" s="28" t="n">
        <x:f>H3210-I3210</x:f>
        <x:v>6</x:v>
      </x:c>
      <x:c r="U3210" s="24" t="n">
        <x:f>IFERROR(J3210/H3210,0)-IFERROR(K3210/I3210,0)</x:f>
        <x:v>-0.02777777777777779</x:v>
      </x:c>
      <x:c r="V3210" s="24" t="n">
        <x:f>IFERROR(F3210/J3210,0)-IFERROR(G3210/K3210,0)</x:f>
        <x:v>0.08571428571428569</x:v>
      </x:c>
      <x:c r="W3210" s="28" t="n">
        <x:f>L3210-M3210</x:f>
        <x:v>1</x:v>
      </x:c>
      <x:c r="X3210" s="24" t="n">
        <x:f>IFERROR(K3210/I3210,0)</x:f>
        <x:v>0.4166666666666667</x:v>
      </x:c>
      <x:c r="Y3210" s="24" t="n">
        <x:f>IFERROR(G3210/I3210,0)</x:f>
        <x:v>0.08333333333333333</x:v>
      </x:c>
      <x:c r="Z3210" s="24" t="n">
        <x:f>IFERROR(G3210/K3210,0)</x:f>
        <x:v>0.2</x:v>
      </x:c>
      <x:c r="AA3210" s="24" t="n">
        <x:f>IFERROR(F3210/H3210,0)-IFERROR(G3210/I3210,0)</x:f>
        <x:v>0.027777777777777776</x:v>
      </x:c>
      <x:c r="AB3210" s="28" t="n">
        <x:f>J3210-K3210</x:f>
        <x:v>2</x:v>
      </x:c>
      <x:c r="AC3210" s="32" t="n">
        <x:f>F3210-G3210</x:f>
        <x:v>1</x:v>
      </x:c>
    </x:row>
    <x:row r="3211">
      <x:c r="A3211" s="4" t="str">
        <x:v>2025-26</x:v>
      </x:c>
      <x:c r="B3211" s="20" t="n">
        <x:v>45955</x:v>
      </x:c>
      <x:c r="C3211" s="4" t="str">
        <x:v>Sunderland</x:v>
      </x:c>
      <x:c r="D3211" s="4" t="str">
        <x:v>Chelsea</x:v>
      </x:c>
      <x:c r="E3211" s="4" t="str">
        <x:v>Away</x:v>
      </x:c>
      <x:c r="F3211" s="28" t="n">
        <x:v>2</x:v>
      </x:c>
      <x:c r="G3211" s="28" t="n">
        <x:v>1</x:v>
      </x:c>
      <x:c r="H3211" s="28" t="n">
        <x:v>10</x:v>
      </x:c>
      <x:c r="I3211" s="28" t="n">
        <x:v>16</x:v>
      </x:c>
      <x:c r="J3211" s="28" t="n">
        <x:v>4</x:v>
      </x:c>
      <x:c r="K3211" s="28" t="n">
        <x:v>7</x:v>
      </x:c>
      <x:c r="L3211" s="28" t="n">
        <x:v>1</x:v>
      </x:c>
      <x:c r="M3211" s="28" t="n">
        <x:v>9</x:v>
      </x:c>
      <x:c r="N3211" s="28" t="n">
        <x:v>1</x:v>
      </x:c>
      <x:c r="O3211" s="28" t="n">
        <x:v>0</x:v>
      </x:c>
      <x:c r="P3211" s="28" t="n">
        <x:v>3</x:v>
      </x:c>
      <x:c r="Q3211" s="24" t="n">
        <x:f>IFERROR(J3211/H3211,0)</x:f>
        <x:v>0.4</x:v>
      </x:c>
      <x:c r="R3211" s="24" t="n">
        <x:f>IFERROR(F3211/H3211,0)</x:f>
        <x:v>0.2</x:v>
      </x:c>
      <x:c r="S3211" s="24" t="n">
        <x:f>IFERROR(F3211/J3211,0)</x:f>
        <x:v>0.5</x:v>
      </x:c>
      <x:c r="T3211" s="28" t="n">
        <x:f>H3211-I3211</x:f>
        <x:v>-6</x:v>
      </x:c>
      <x:c r="U3211" s="24" t="n">
        <x:f>IFERROR(J3211/H3211,0)-IFERROR(K3211/I3211,0)</x:f>
        <x:v>-0.03749999999999998</x:v>
      </x:c>
      <x:c r="V3211" s="24" t="n">
        <x:f>IFERROR(F3211/J3211,0)-IFERROR(G3211/K3211,0)</x:f>
        <x:v>0.35714285714285715</x:v>
      </x:c>
      <x:c r="W3211" s="28" t="n">
        <x:f>L3211-M3211</x:f>
        <x:v>-8</x:v>
      </x:c>
      <x:c r="X3211" s="24" t="n">
        <x:f>IFERROR(K3211/I3211,0)</x:f>
        <x:v>0.4375</x:v>
      </x:c>
      <x:c r="Y3211" s="24" t="n">
        <x:f>IFERROR(G3211/I3211,0)</x:f>
        <x:v>0.0625</x:v>
      </x:c>
      <x:c r="Z3211" s="24" t="n">
        <x:f>IFERROR(G3211/K3211,0)</x:f>
        <x:v>0.14285714285714285</x:v>
      </x:c>
      <x:c r="AA3211" s="24" t="n">
        <x:f>IFERROR(F3211/H3211,0)-IFERROR(G3211/I3211,0)</x:f>
        <x:v>0.1375</x:v>
      </x:c>
      <x:c r="AB3211" s="28" t="n">
        <x:f>J3211-K3211</x:f>
        <x:v>-3</x:v>
      </x:c>
      <x:c r="AC3211" s="32" t="n">
        <x:f>F3211-G3211</x:f>
        <x:v>1</x:v>
      </x:c>
    </x:row>
    <x:row r="3212">
      <x:c r="A3212" s="4" t="str">
        <x:v>2025-26</x:v>
      </x:c>
      <x:c r="B3212" s="20" t="n">
        <x:v>45956</x:v>
      </x:c>
      <x:c r="C3212" s="4" t="str">
        <x:v>Arsenal</x:v>
      </x:c>
      <x:c r="D3212" s="4" t="str">
        <x:v>Crystal Palace</x:v>
      </x:c>
      <x:c r="E3212" s="4" t="str">
        <x:v>Home</x:v>
      </x:c>
      <x:c r="F3212" s="28" t="n">
        <x:v>1</x:v>
      </x:c>
      <x:c r="G3212" s="28" t="n">
        <x:v>0</x:v>
      </x:c>
      <x:c r="H3212" s="28" t="n">
        <x:v>10</x:v>
      </x:c>
      <x:c r="I3212" s="28" t="n">
        <x:v>7</x:v>
      </x:c>
      <x:c r="J3212" s="28" t="n">
        <x:v>3</x:v>
      </x:c>
      <x:c r="K3212" s="28" t="n">
        <x:v>1</x:v>
      </x:c>
      <x:c r="L3212" s="28" t="n">
        <x:v>4</x:v>
      </x:c>
      <x:c r="M3212" s="28" t="n">
        <x:v>3</x:v>
      </x:c>
      <x:c r="N3212" s="28" t="n">
        <x:v>0</x:v>
      </x:c>
      <x:c r="O3212" s="28" t="n">
        <x:v>0</x:v>
      </x:c>
      <x:c r="P3212" s="28" t="n">
        <x:v>3</x:v>
      </x:c>
      <x:c r="Q3212" s="24" t="n">
        <x:f>IFERROR(J3212/H3212,0)</x:f>
        <x:v>0.3</x:v>
      </x:c>
      <x:c r="R3212" s="24" t="n">
        <x:f>IFERROR(F3212/H3212,0)</x:f>
        <x:v>0.1</x:v>
      </x:c>
      <x:c r="S3212" s="24" t="n">
        <x:f>IFERROR(F3212/J3212,0)</x:f>
        <x:v>0.3333333333333333</x:v>
      </x:c>
      <x:c r="T3212" s="28" t="n">
        <x:f>H3212-I3212</x:f>
        <x:v>3</x:v>
      </x:c>
      <x:c r="U3212" s="24" t="n">
        <x:f>IFERROR(J3212/H3212,0)-IFERROR(K3212/I3212,0)</x:f>
        <x:v>0.15714285714285714</x:v>
      </x:c>
      <x:c r="V3212" s="24" t="n">
        <x:f>IFERROR(F3212/J3212,0)-IFERROR(G3212/K3212,0)</x:f>
        <x:v>0.3333333333333333</x:v>
      </x:c>
      <x:c r="W3212" s="28" t="n">
        <x:f>L3212-M3212</x:f>
        <x:v>1</x:v>
      </x:c>
      <x:c r="X3212" s="24" t="n">
        <x:f>IFERROR(K3212/I3212,0)</x:f>
        <x:v>0.14285714285714285</x:v>
      </x:c>
      <x:c r="Y3212" s="24" t="n">
        <x:f>IFERROR(G3212/I3212,0)</x:f>
        <x:v>0</x:v>
      </x:c>
      <x:c r="Z3212" s="24" t="n">
        <x:f>IFERROR(G3212/K3212,0)</x:f>
        <x:v>0</x:v>
      </x:c>
      <x:c r="AA3212" s="24" t="n">
        <x:f>IFERROR(F3212/H3212,0)-IFERROR(G3212/I3212,0)</x:f>
        <x:v>0.1</x:v>
      </x:c>
      <x:c r="AB3212" s="28" t="n">
        <x:f>J3212-K3212</x:f>
        <x:v>2</x:v>
      </x:c>
      <x:c r="AC3212" s="32" t="n">
        <x:f>F3212-G3212</x:f>
        <x:v>1</x:v>
      </x:c>
    </x:row>
    <x:row r="3213">
      <x:c r="A3213" s="4" t="str">
        <x:v>2025-26</x:v>
      </x:c>
      <x:c r="B3213" s="20" t="n">
        <x:v>45956</x:v>
      </x:c>
      <x:c r="C3213" s="4" t="str">
        <x:v>Aston Villa</x:v>
      </x:c>
      <x:c r="D3213" s="4" t="str">
        <x:v>Man City</x:v>
      </x:c>
      <x:c r="E3213" s="4" t="str">
        <x:v>Home</x:v>
      </x:c>
      <x:c r="F3213" s="28" t="n">
        <x:v>1</x:v>
      </x:c>
      <x:c r="G3213" s="28" t="n">
        <x:v>0</x:v>
      </x:c>
      <x:c r="H3213" s="28" t="n">
        <x:v>9</x:v>
      </x:c>
      <x:c r="I3213" s="28" t="n">
        <x:v>18</x:v>
      </x:c>
      <x:c r="J3213" s="28" t="n">
        <x:v>3</x:v>
      </x:c>
      <x:c r="K3213" s="28" t="n">
        <x:v>4</x:v>
      </x:c>
      <x:c r="L3213" s="28" t="n">
        <x:v>5</x:v>
      </x:c>
      <x:c r="M3213" s="28" t="n">
        <x:v>6</x:v>
      </x:c>
      <x:c r="N3213" s="28" t="n">
        <x:v>1</x:v>
      </x:c>
      <x:c r="O3213" s="28" t="n">
        <x:v>0</x:v>
      </x:c>
      <x:c r="P3213" s="28" t="n">
        <x:v>3</x:v>
      </x:c>
      <x:c r="Q3213" s="24" t="n">
        <x:f>IFERROR(J3213/H3213,0)</x:f>
        <x:v>0.3333333333333333</x:v>
      </x:c>
      <x:c r="R3213" s="24" t="n">
        <x:f>IFERROR(F3213/H3213,0)</x:f>
        <x:v>0.1111111111111111</x:v>
      </x:c>
      <x:c r="S3213" s="24" t="n">
        <x:f>IFERROR(F3213/J3213,0)</x:f>
        <x:v>0.3333333333333333</x:v>
      </x:c>
      <x:c r="T3213" s="28" t="n">
        <x:f>H3213-I3213</x:f>
        <x:v>-9</x:v>
      </x:c>
      <x:c r="U3213" s="24" t="n">
        <x:f>IFERROR(J3213/H3213,0)-IFERROR(K3213/I3213,0)</x:f>
        <x:v>0.1111111111111111</x:v>
      </x:c>
      <x:c r="V3213" s="24" t="n">
        <x:f>IFERROR(F3213/J3213,0)-IFERROR(G3213/K3213,0)</x:f>
        <x:v>0.3333333333333333</x:v>
      </x:c>
      <x:c r="W3213" s="28" t="n">
        <x:f>L3213-M3213</x:f>
        <x:v>-1</x:v>
      </x:c>
      <x:c r="X3213" s="24" t="n">
        <x:f>IFERROR(K3213/I3213,0)</x:f>
        <x:v>0.2222222222222222</x:v>
      </x:c>
      <x:c r="Y3213" s="24" t="n">
        <x:f>IFERROR(G3213/I3213,0)</x:f>
        <x:v>0</x:v>
      </x:c>
      <x:c r="Z3213" s="24" t="n">
        <x:f>IFERROR(G3213/K3213,0)</x:f>
        <x:v>0</x:v>
      </x:c>
      <x:c r="AA3213" s="24" t="n">
        <x:f>IFERROR(F3213/H3213,0)-IFERROR(G3213/I3213,0)</x:f>
        <x:v>0.1111111111111111</x:v>
      </x:c>
      <x:c r="AB3213" s="28" t="n">
        <x:f>J3213-K3213</x:f>
        <x:v>-1</x:v>
      </x:c>
      <x:c r="AC3213" s="32" t="n">
        <x:f>F3213-G3213</x:f>
        <x:v>1</x:v>
      </x:c>
    </x:row>
    <x:row r="3214">
      <x:c r="A3214" s="4" t="str">
        <x:v>2025-26</x:v>
      </x:c>
      <x:c r="B3214" s="20" t="n">
        <x:v>45956</x:v>
      </x:c>
      <x:c r="C3214" s="4" t="str">
        <x:v>Bournemouth</x:v>
      </x:c>
      <x:c r="D3214" s="4" t="str">
        <x:v>Nott'm Forest</x:v>
      </x:c>
      <x:c r="E3214" s="4" t="str">
        <x:v>Home</x:v>
      </x:c>
      <x:c r="F3214" s="28" t="n">
        <x:v>2</x:v>
      </x:c>
      <x:c r="G3214" s="28" t="n">
        <x:v>0</x:v>
      </x:c>
      <x:c r="H3214" s="28" t="n">
        <x:v>13</x:v>
      </x:c>
      <x:c r="I3214" s="28" t="n">
        <x:v>8</x:v>
      </x:c>
      <x:c r="J3214" s="28" t="n">
        <x:v>5</x:v>
      </x:c>
      <x:c r="K3214" s="28" t="n">
        <x:v>4</x:v>
      </x:c>
      <x:c r="L3214" s="28" t="n">
        <x:v>6</x:v>
      </x:c>
      <x:c r="M3214" s="28" t="n">
        <x:v>4</x:v>
      </x:c>
      <x:c r="N3214" s="28" t="n">
        <x:v>3</x:v>
      </x:c>
      <x:c r="O3214" s="28" t="n">
        <x:v>0</x:v>
      </x:c>
      <x:c r="P3214" s="28" t="n">
        <x:v>3</x:v>
      </x:c>
      <x:c r="Q3214" s="24" t="n">
        <x:f>IFERROR(J3214/H3214,0)</x:f>
        <x:v>0.38461538461538464</x:v>
      </x:c>
      <x:c r="R3214" s="24" t="n">
        <x:f>IFERROR(F3214/H3214,0)</x:f>
        <x:v>0.15384615384615385</x:v>
      </x:c>
      <x:c r="S3214" s="24" t="n">
        <x:f>IFERROR(F3214/J3214,0)</x:f>
        <x:v>0.4</x:v>
      </x:c>
      <x:c r="T3214" s="28" t="n">
        <x:f>H3214-I3214</x:f>
        <x:v>5</x:v>
      </x:c>
      <x:c r="U3214" s="24" t="n">
        <x:f>IFERROR(J3214/H3214,0)-IFERROR(K3214/I3214,0)</x:f>
        <x:v>-0.11538461538461536</x:v>
      </x:c>
      <x:c r="V3214" s="24" t="n">
        <x:f>IFERROR(F3214/J3214,0)-IFERROR(G3214/K3214,0)</x:f>
        <x:v>0.4</x:v>
      </x:c>
      <x:c r="W3214" s="28" t="n">
        <x:f>L3214-M3214</x:f>
        <x:v>2</x:v>
      </x:c>
      <x:c r="X3214" s="24" t="n">
        <x:f>IFERROR(K3214/I3214,0)</x:f>
        <x:v>0.5</x:v>
      </x:c>
      <x:c r="Y3214" s="24" t="n">
        <x:f>IFERROR(G3214/I3214,0)</x:f>
        <x:v>0</x:v>
      </x:c>
      <x:c r="Z3214" s="24" t="n">
        <x:f>IFERROR(G3214/K3214,0)</x:f>
        <x:v>0</x:v>
      </x:c>
      <x:c r="AA3214" s="24" t="n">
        <x:f>IFERROR(F3214/H3214,0)-IFERROR(G3214/I3214,0)</x:f>
        <x:v>0.15384615384615385</x:v>
      </x:c>
      <x:c r="AB3214" s="28" t="n">
        <x:f>J3214-K3214</x:f>
        <x:v>1</x:v>
      </x:c>
      <x:c r="AC3214" s="32" t="n">
        <x:f>F3214-G3214</x:f>
        <x:v>2</x:v>
      </x:c>
    </x:row>
    <x:row r="3215">
      <x:c r="A3215" s="4" t="str">
        <x:v>2025-26</x:v>
      </x:c>
      <x:c r="B3215" s="20" t="n">
        <x:v>45956</x:v>
      </x:c>
      <x:c r="C3215" s="4" t="str">
        <x:v>Burnley</x:v>
      </x:c>
      <x:c r="D3215" s="4" t="str">
        <x:v>Wolves</x:v>
      </x:c>
      <x:c r="E3215" s="4" t="str">
        <x:v>Away</x:v>
      </x:c>
      <x:c r="F3215" s="28" t="n">
        <x:v>3</x:v>
      </x:c>
      <x:c r="G3215" s="28" t="n">
        <x:v>2</x:v>
      </x:c>
      <x:c r="H3215" s="28" t="n">
        <x:v>11</x:v>
      </x:c>
      <x:c r="I3215" s="28" t="n">
        <x:v>15</x:v>
      </x:c>
      <x:c r="J3215" s="28" t="n">
        <x:v>7</x:v>
      </x:c>
      <x:c r="K3215" s="28" t="n">
        <x:v>7</x:v>
      </x:c>
      <x:c r="L3215" s="28" t="n">
        <x:v>3</x:v>
      </x:c>
      <x:c r="M3215" s="28" t="n">
        <x:v>5</x:v>
      </x:c>
      <x:c r="N3215" s="28" t="n">
        <x:v>0</x:v>
      </x:c>
      <x:c r="O3215" s="28" t="n">
        <x:v>0</x:v>
      </x:c>
      <x:c r="P3215" s="28" t="n">
        <x:v>3</x:v>
      </x:c>
      <x:c r="Q3215" s="24" t="n">
        <x:f>IFERROR(J3215/H3215,0)</x:f>
        <x:v>0.6363636363636364</x:v>
      </x:c>
      <x:c r="R3215" s="24" t="n">
        <x:f>IFERROR(F3215/H3215,0)</x:f>
        <x:v>0.2727272727272727</x:v>
      </x:c>
      <x:c r="S3215" s="24" t="n">
        <x:f>IFERROR(F3215/J3215,0)</x:f>
        <x:v>0.42857142857142855</x:v>
      </x:c>
      <x:c r="T3215" s="28" t="n">
        <x:f>H3215-I3215</x:f>
        <x:v>-4</x:v>
      </x:c>
      <x:c r="U3215" s="24" t="n">
        <x:f>IFERROR(J3215/H3215,0)-IFERROR(K3215/I3215,0)</x:f>
        <x:v>0.16969696969696968</x:v>
      </x:c>
      <x:c r="V3215" s="24" t="n">
        <x:f>IFERROR(F3215/J3215,0)-IFERROR(G3215/K3215,0)</x:f>
        <x:v>0.14285714285714285</x:v>
      </x:c>
      <x:c r="W3215" s="28" t="n">
        <x:f>L3215-M3215</x:f>
        <x:v>-2</x:v>
      </x:c>
      <x:c r="X3215" s="24" t="n">
        <x:f>IFERROR(K3215/I3215,0)</x:f>
        <x:v>0.4666666666666667</x:v>
      </x:c>
      <x:c r="Y3215" s="24" t="n">
        <x:f>IFERROR(G3215/I3215,0)</x:f>
        <x:v>0.13333333333333333</x:v>
      </x:c>
      <x:c r="Z3215" s="24" t="n">
        <x:f>IFERROR(G3215/K3215,0)</x:f>
        <x:v>0.2857142857142857</x:v>
      </x:c>
      <x:c r="AA3215" s="24" t="n">
        <x:f>IFERROR(F3215/H3215,0)-IFERROR(G3215/I3215,0)</x:f>
        <x:v>0.13939393939393938</x:v>
      </x:c>
      <x:c r="AB3215" s="28" t="n">
        <x:f>J3215-K3215</x:f>
        <x:v>0</x:v>
      </x:c>
      <x:c r="AC3215" s="32" t="n">
        <x:f>F3215-G3215</x:f>
        <x:v>1</x:v>
      </x:c>
    </x:row>
    <x:row r="3216">
      <x:c r="A3216" s="4" t="str">
        <x:v>2025-26</x:v>
      </x:c>
      <x:c r="B3216" s="20" t="n">
        <x:v>45956</x:v>
      </x:c>
      <x:c r="C3216" s="4" t="str">
        <x:v>Crystal Palace</x:v>
      </x:c>
      <x:c r="D3216" s="4" t="str">
        <x:v>Arsenal</x:v>
      </x:c>
      <x:c r="E3216" s="4" t="str">
        <x:v>Away</x:v>
      </x:c>
      <x:c r="F3216" s="28" t="n">
        <x:v>0</x:v>
      </x:c>
      <x:c r="G3216" s="28" t="n">
        <x:v>1</x:v>
      </x:c>
      <x:c r="H3216" s="28" t="n">
        <x:v>7</x:v>
      </x:c>
      <x:c r="I3216" s="28" t="n">
        <x:v>10</x:v>
      </x:c>
      <x:c r="J3216" s="28" t="n">
        <x:v>1</x:v>
      </x:c>
      <x:c r="K3216" s="28" t="n">
        <x:v>3</x:v>
      </x:c>
      <x:c r="L3216" s="28" t="n">
        <x:v>3</x:v>
      </x:c>
      <x:c r="M3216" s="28" t="n">
        <x:v>4</x:v>
      </x:c>
      <x:c r="N3216" s="28" t="n">
        <x:v>0</x:v>
      </x:c>
      <x:c r="O3216" s="28" t="n">
        <x:v>0</x:v>
      </x:c>
      <x:c r="P3216" s="28" t="n">
        <x:v>0</x:v>
      </x:c>
      <x:c r="Q3216" s="24" t="n">
        <x:f>IFERROR(J3216/H3216,0)</x:f>
        <x:v>0.14285714285714285</x:v>
      </x:c>
      <x:c r="R3216" s="24" t="n">
        <x:f>IFERROR(F3216/H3216,0)</x:f>
        <x:v>0</x:v>
      </x:c>
      <x:c r="S3216" s="24" t="n">
        <x:f>IFERROR(F3216/J3216,0)</x:f>
        <x:v>0</x:v>
      </x:c>
      <x:c r="T3216" s="28" t="n">
        <x:f>H3216-I3216</x:f>
        <x:v>-3</x:v>
      </x:c>
      <x:c r="U3216" s="24" t="n">
        <x:f>IFERROR(J3216/H3216,0)-IFERROR(K3216/I3216,0)</x:f>
        <x:v>-0.15714285714285714</x:v>
      </x:c>
      <x:c r="V3216" s="24" t="n">
        <x:f>IFERROR(F3216/J3216,0)-IFERROR(G3216/K3216,0)</x:f>
        <x:v>-0.3333333333333333</x:v>
      </x:c>
      <x:c r="W3216" s="28" t="n">
        <x:f>L3216-M3216</x:f>
        <x:v>-1</x:v>
      </x:c>
      <x:c r="X3216" s="24" t="n">
        <x:f>IFERROR(K3216/I3216,0)</x:f>
        <x:v>0.3</x:v>
      </x:c>
      <x:c r="Y3216" s="24" t="n">
        <x:f>IFERROR(G3216/I3216,0)</x:f>
        <x:v>0.1</x:v>
      </x:c>
      <x:c r="Z3216" s="24" t="n">
        <x:f>IFERROR(G3216/K3216,0)</x:f>
        <x:v>0.3333333333333333</x:v>
      </x:c>
      <x:c r="AA3216" s="24" t="n">
        <x:f>IFERROR(F3216/H3216,0)-IFERROR(G3216/I3216,0)</x:f>
        <x:v>-0.1</x:v>
      </x:c>
      <x:c r="AB3216" s="28" t="n">
        <x:f>J3216-K3216</x:f>
        <x:v>-2</x:v>
      </x:c>
      <x:c r="AC3216" s="32" t="n">
        <x:f>F3216-G3216</x:f>
        <x:v>-1</x:v>
      </x:c>
    </x:row>
    <x:row r="3217">
      <x:c r="A3217" s="4" t="str">
        <x:v>2025-26</x:v>
      </x:c>
      <x:c r="B3217" s="20" t="n">
        <x:v>45956</x:v>
      </x:c>
      <x:c r="C3217" s="4" t="str">
        <x:v>Everton</x:v>
      </x:c>
      <x:c r="D3217" s="4" t="str">
        <x:v>Tottenham</x:v>
      </x:c>
      <x:c r="E3217" s="4" t="str">
        <x:v>Home</x:v>
      </x:c>
      <x:c r="F3217" s="28" t="n">
        <x:v>0</x:v>
      </x:c>
      <x:c r="G3217" s="28" t="n">
        <x:v>3</x:v>
      </x:c>
      <x:c r="H3217" s="28" t="n">
        <x:v>12</x:v>
      </x:c>
      <x:c r="I3217" s="28" t="n">
        <x:v>7</x:v>
      </x:c>
      <x:c r="J3217" s="28" t="n">
        <x:v>2</x:v>
      </x:c>
      <x:c r="K3217" s="28" t="n">
        <x:v>4</x:v>
      </x:c>
      <x:c r="L3217" s="28" t="n">
        <x:v>9</x:v>
      </x:c>
      <x:c r="M3217" s="28" t="n">
        <x:v>8</x:v>
      </x:c>
      <x:c r="N3217" s="28" t="n">
        <x:v>2</x:v>
      </x:c>
      <x:c r="O3217" s="28" t="n">
        <x:v>0</x:v>
      </x:c>
      <x:c r="P3217" s="28" t="n">
        <x:v>0</x:v>
      </x:c>
      <x:c r="Q3217" s="24" t="n">
        <x:f>IFERROR(J3217/H3217,0)</x:f>
        <x:v>0.16666666666666666</x:v>
      </x:c>
      <x:c r="R3217" s="24" t="n">
        <x:f>IFERROR(F3217/H3217,0)</x:f>
        <x:v>0</x:v>
      </x:c>
      <x:c r="S3217" s="24" t="n">
        <x:f>IFERROR(F3217/J3217,0)</x:f>
        <x:v>0</x:v>
      </x:c>
      <x:c r="T3217" s="28" t="n">
        <x:f>H3217-I3217</x:f>
        <x:v>5</x:v>
      </x:c>
      <x:c r="U3217" s="24" t="n">
        <x:f>IFERROR(J3217/H3217,0)-IFERROR(K3217/I3217,0)</x:f>
        <x:v>-0.40476190476190477</x:v>
      </x:c>
      <x:c r="V3217" s="24" t="n">
        <x:f>IFERROR(F3217/J3217,0)-IFERROR(G3217/K3217,0)</x:f>
        <x:v>-0.75</x:v>
      </x:c>
      <x:c r="W3217" s="28" t="n">
        <x:f>L3217-M3217</x:f>
        <x:v>1</x:v>
      </x:c>
      <x:c r="X3217" s="24" t="n">
        <x:f>IFERROR(K3217/I3217,0)</x:f>
        <x:v>0.5714285714285714</x:v>
      </x:c>
      <x:c r="Y3217" s="24" t="n">
        <x:f>IFERROR(G3217/I3217,0)</x:f>
        <x:v>0.42857142857142855</x:v>
      </x:c>
      <x:c r="Z3217" s="24" t="n">
        <x:f>IFERROR(G3217/K3217,0)</x:f>
        <x:v>0.75</x:v>
      </x:c>
      <x:c r="AA3217" s="24" t="n">
        <x:f>IFERROR(F3217/H3217,0)-IFERROR(G3217/I3217,0)</x:f>
        <x:v>-0.42857142857142855</x:v>
      </x:c>
      <x:c r="AB3217" s="28" t="n">
        <x:f>J3217-K3217</x:f>
        <x:v>-2</x:v>
      </x:c>
      <x:c r="AC3217" s="32" t="n">
        <x:f>F3217-G3217</x:f>
        <x:v>-3</x:v>
      </x:c>
    </x:row>
    <x:row r="3218">
      <x:c r="A3218" s="4" t="str">
        <x:v>2025-26</x:v>
      </x:c>
      <x:c r="B3218" s="20" t="n">
        <x:v>45956</x:v>
      </x:c>
      <x:c r="C3218" s="4" t="str">
        <x:v>Man City</x:v>
      </x:c>
      <x:c r="D3218" s="4" t="str">
        <x:v>Aston Villa</x:v>
      </x:c>
      <x:c r="E3218" s="4" t="str">
        <x:v>Away</x:v>
      </x:c>
      <x:c r="F3218" s="28" t="n">
        <x:v>0</x:v>
      </x:c>
      <x:c r="G3218" s="28" t="n">
        <x:v>1</x:v>
      </x:c>
      <x:c r="H3218" s="28" t="n">
        <x:v>18</x:v>
      </x:c>
      <x:c r="I3218" s="28" t="n">
        <x:v>9</x:v>
      </x:c>
      <x:c r="J3218" s="28" t="n">
        <x:v>4</x:v>
      </x:c>
      <x:c r="K3218" s="28" t="n">
        <x:v>3</x:v>
      </x:c>
      <x:c r="L3218" s="28" t="n">
        <x:v>6</x:v>
      </x:c>
      <x:c r="M3218" s="28" t="n">
        <x:v>5</x:v>
      </x:c>
      <x:c r="N3218" s="28" t="n">
        <x:v>4</x:v>
      </x:c>
      <x:c r="O3218" s="28" t="n">
        <x:v>0</x:v>
      </x:c>
      <x:c r="P3218" s="28" t="n">
        <x:v>0</x:v>
      </x:c>
      <x:c r="Q3218" s="24" t="n">
        <x:f>IFERROR(J3218/H3218,0)</x:f>
        <x:v>0.2222222222222222</x:v>
      </x:c>
      <x:c r="R3218" s="24" t="n">
        <x:f>IFERROR(F3218/H3218,0)</x:f>
        <x:v>0</x:v>
      </x:c>
      <x:c r="S3218" s="24" t="n">
        <x:f>IFERROR(F3218/J3218,0)</x:f>
        <x:v>0</x:v>
      </x:c>
      <x:c r="T3218" s="28" t="n">
        <x:f>H3218-I3218</x:f>
        <x:v>9</x:v>
      </x:c>
      <x:c r="U3218" s="24" t="n">
        <x:f>IFERROR(J3218/H3218,0)-IFERROR(K3218/I3218,0)</x:f>
        <x:v>-0.1111111111111111</x:v>
      </x:c>
      <x:c r="V3218" s="24" t="n">
        <x:f>IFERROR(F3218/J3218,0)-IFERROR(G3218/K3218,0)</x:f>
        <x:v>-0.3333333333333333</x:v>
      </x:c>
      <x:c r="W3218" s="28" t="n">
        <x:f>L3218-M3218</x:f>
        <x:v>1</x:v>
      </x:c>
      <x:c r="X3218" s="24" t="n">
        <x:f>IFERROR(K3218/I3218,0)</x:f>
        <x:v>0.3333333333333333</x:v>
      </x:c>
      <x:c r="Y3218" s="24" t="n">
        <x:f>IFERROR(G3218/I3218,0)</x:f>
        <x:v>0.1111111111111111</x:v>
      </x:c>
      <x:c r="Z3218" s="24" t="n">
        <x:f>IFERROR(G3218/K3218,0)</x:f>
        <x:v>0.3333333333333333</x:v>
      </x:c>
      <x:c r="AA3218" s="24" t="n">
        <x:f>IFERROR(F3218/H3218,0)-IFERROR(G3218/I3218,0)</x:f>
        <x:v>-0.1111111111111111</x:v>
      </x:c>
      <x:c r="AB3218" s="28" t="n">
        <x:f>J3218-K3218</x:f>
        <x:v>1</x:v>
      </x:c>
      <x:c r="AC3218" s="32" t="n">
        <x:f>F3218-G3218</x:f>
        <x:v>-1</x:v>
      </x:c>
    </x:row>
    <x:row r="3219">
      <x:c r="A3219" s="4" t="str">
        <x:v>2025-26</x:v>
      </x:c>
      <x:c r="B3219" s="20" t="n">
        <x:v>45956</x:v>
      </x:c>
      <x:c r="C3219" s="4" t="str">
        <x:v>Nott'm Forest</x:v>
      </x:c>
      <x:c r="D3219" s="4" t="str">
        <x:v>Bournemouth</x:v>
      </x:c>
      <x:c r="E3219" s="4" t="str">
        <x:v>Away</x:v>
      </x:c>
      <x:c r="F3219" s="28" t="n">
        <x:v>0</x:v>
      </x:c>
      <x:c r="G3219" s="28" t="n">
        <x:v>2</x:v>
      </x:c>
      <x:c r="H3219" s="28" t="n">
        <x:v>8</x:v>
      </x:c>
      <x:c r="I3219" s="28" t="n">
        <x:v>13</x:v>
      </x:c>
      <x:c r="J3219" s="28" t="n">
        <x:v>4</x:v>
      </x:c>
      <x:c r="K3219" s="28" t="n">
        <x:v>5</x:v>
      </x:c>
      <x:c r="L3219" s="28" t="n">
        <x:v>4</x:v>
      </x:c>
      <x:c r="M3219" s="28" t="n">
        <x:v>6</x:v>
      </x:c>
      <x:c r="N3219" s="28" t="n">
        <x:v>1</x:v>
      </x:c>
      <x:c r="O3219" s="28" t="n">
        <x:v>0</x:v>
      </x:c>
      <x:c r="P3219" s="28" t="n">
        <x:v>0</x:v>
      </x:c>
      <x:c r="Q3219" s="24" t="n">
        <x:f>IFERROR(J3219/H3219,0)</x:f>
        <x:v>0.5</x:v>
      </x:c>
      <x:c r="R3219" s="24" t="n">
        <x:f>IFERROR(F3219/H3219,0)</x:f>
        <x:v>0</x:v>
      </x:c>
      <x:c r="S3219" s="24" t="n">
        <x:f>IFERROR(F3219/J3219,0)</x:f>
        <x:v>0</x:v>
      </x:c>
      <x:c r="T3219" s="28" t="n">
        <x:f>H3219-I3219</x:f>
        <x:v>-5</x:v>
      </x:c>
      <x:c r="U3219" s="24" t="n">
        <x:f>IFERROR(J3219/H3219,0)-IFERROR(K3219/I3219,0)</x:f>
        <x:v>0.11538461538461536</x:v>
      </x:c>
      <x:c r="V3219" s="24" t="n">
        <x:f>IFERROR(F3219/J3219,0)-IFERROR(G3219/K3219,0)</x:f>
        <x:v>-0.4</x:v>
      </x:c>
      <x:c r="W3219" s="28" t="n">
        <x:f>L3219-M3219</x:f>
        <x:v>-2</x:v>
      </x:c>
      <x:c r="X3219" s="24" t="n">
        <x:f>IFERROR(K3219/I3219,0)</x:f>
        <x:v>0.38461538461538464</x:v>
      </x:c>
      <x:c r="Y3219" s="24" t="n">
        <x:f>IFERROR(G3219/I3219,0)</x:f>
        <x:v>0.15384615384615385</x:v>
      </x:c>
      <x:c r="Z3219" s="24" t="n">
        <x:f>IFERROR(G3219/K3219,0)</x:f>
        <x:v>0.4</x:v>
      </x:c>
      <x:c r="AA3219" s="24" t="n">
        <x:f>IFERROR(F3219/H3219,0)-IFERROR(G3219/I3219,0)</x:f>
        <x:v>-0.15384615384615385</x:v>
      </x:c>
      <x:c r="AB3219" s="28" t="n">
        <x:f>J3219-K3219</x:f>
        <x:v>-1</x:v>
      </x:c>
      <x:c r="AC3219" s="32" t="n">
        <x:f>F3219-G3219</x:f>
        <x:v>-2</x:v>
      </x:c>
    </x:row>
    <x:row r="3220">
      <x:c r="A3220" s="4" t="str">
        <x:v>2025-26</x:v>
      </x:c>
      <x:c r="B3220" s="20" t="n">
        <x:v>45956</x:v>
      </x:c>
      <x:c r="C3220" s="4" t="str">
        <x:v>Tottenham</x:v>
      </x:c>
      <x:c r="D3220" s="4" t="str">
        <x:v>Everton</x:v>
      </x:c>
      <x:c r="E3220" s="4" t="str">
        <x:v>Away</x:v>
      </x:c>
      <x:c r="F3220" s="28" t="n">
        <x:v>3</x:v>
      </x:c>
      <x:c r="G3220" s="28" t="n">
        <x:v>0</x:v>
      </x:c>
      <x:c r="H3220" s="28" t="n">
        <x:v>7</x:v>
      </x:c>
      <x:c r="I3220" s="28" t="n">
        <x:v>12</x:v>
      </x:c>
      <x:c r="J3220" s="28" t="n">
        <x:v>4</x:v>
      </x:c>
      <x:c r="K3220" s="28" t="n">
        <x:v>2</x:v>
      </x:c>
      <x:c r="L3220" s="28" t="n">
        <x:v>8</x:v>
      </x:c>
      <x:c r="M3220" s="28" t="n">
        <x:v>9</x:v>
      </x:c>
      <x:c r="N3220" s="28" t="n">
        <x:v>0</x:v>
      </x:c>
      <x:c r="O3220" s="28" t="n">
        <x:v>0</x:v>
      </x:c>
      <x:c r="P3220" s="28" t="n">
        <x:v>3</x:v>
      </x:c>
      <x:c r="Q3220" s="24" t="n">
        <x:f>IFERROR(J3220/H3220,0)</x:f>
        <x:v>0.5714285714285714</x:v>
      </x:c>
      <x:c r="R3220" s="24" t="n">
        <x:f>IFERROR(F3220/H3220,0)</x:f>
        <x:v>0.42857142857142855</x:v>
      </x:c>
      <x:c r="S3220" s="24" t="n">
        <x:f>IFERROR(F3220/J3220,0)</x:f>
        <x:v>0.75</x:v>
      </x:c>
      <x:c r="T3220" s="28" t="n">
        <x:f>H3220-I3220</x:f>
        <x:v>-5</x:v>
      </x:c>
      <x:c r="U3220" s="24" t="n">
        <x:f>IFERROR(J3220/H3220,0)-IFERROR(K3220/I3220,0)</x:f>
        <x:v>0.40476190476190477</x:v>
      </x:c>
      <x:c r="V3220" s="24" t="n">
        <x:f>IFERROR(F3220/J3220,0)-IFERROR(G3220/K3220,0)</x:f>
        <x:v>0.75</x:v>
      </x:c>
      <x:c r="W3220" s="28" t="n">
        <x:f>L3220-M3220</x:f>
        <x:v>-1</x:v>
      </x:c>
      <x:c r="X3220" s="24" t="n">
        <x:f>IFERROR(K3220/I3220,0)</x:f>
        <x:v>0.16666666666666666</x:v>
      </x:c>
      <x:c r="Y3220" s="24" t="n">
        <x:f>IFERROR(G3220/I3220,0)</x:f>
        <x:v>0</x:v>
      </x:c>
      <x:c r="Z3220" s="24" t="n">
        <x:f>IFERROR(G3220/K3220,0)</x:f>
        <x:v>0</x:v>
      </x:c>
      <x:c r="AA3220" s="24" t="n">
        <x:f>IFERROR(F3220/H3220,0)-IFERROR(G3220/I3220,0)</x:f>
        <x:v>0.42857142857142855</x:v>
      </x:c>
      <x:c r="AB3220" s="28" t="n">
        <x:f>J3220-K3220</x:f>
        <x:v>2</x:v>
      </x:c>
      <x:c r="AC3220" s="32" t="n">
        <x:f>F3220-G3220</x:f>
        <x:v>3</x:v>
      </x:c>
    </x:row>
    <x:row r="3221">
      <x:c r="A3221" s="4" t="str">
        <x:v>2025-26</x:v>
      </x:c>
      <x:c r="B3221" s="20" t="n">
        <x:v>45956</x:v>
      </x:c>
      <x:c r="C3221" s="4" t="str">
        <x:v>Wolves</x:v>
      </x:c>
      <x:c r="D3221" s="4" t="str">
        <x:v>Burnley</x:v>
      </x:c>
      <x:c r="E3221" s="4" t="str">
        <x:v>Home</x:v>
      </x:c>
      <x:c r="F3221" s="28" t="n">
        <x:v>2</x:v>
      </x:c>
      <x:c r="G3221" s="28" t="n">
        <x:v>3</x:v>
      </x:c>
      <x:c r="H3221" s="28" t="n">
        <x:v>15</x:v>
      </x:c>
      <x:c r="I3221" s="28" t="n">
        <x:v>11</x:v>
      </x:c>
      <x:c r="J3221" s="28" t="n">
        <x:v>7</x:v>
      </x:c>
      <x:c r="K3221" s="28" t="n">
        <x:v>7</x:v>
      </x:c>
      <x:c r="L3221" s="28" t="n">
        <x:v>5</x:v>
      </x:c>
      <x:c r="M3221" s="28" t="n">
        <x:v>3</x:v>
      </x:c>
      <x:c r="N3221" s="28" t="n">
        <x:v>1</x:v>
      </x:c>
      <x:c r="O3221" s="28" t="n">
        <x:v>0</x:v>
      </x:c>
      <x:c r="P3221" s="28" t="n">
        <x:v>0</x:v>
      </x:c>
      <x:c r="Q3221" s="24" t="n">
        <x:f>IFERROR(J3221/H3221,0)</x:f>
        <x:v>0.4666666666666667</x:v>
      </x:c>
      <x:c r="R3221" s="24" t="n">
        <x:f>IFERROR(F3221/H3221,0)</x:f>
        <x:v>0.13333333333333333</x:v>
      </x:c>
      <x:c r="S3221" s="24" t="n">
        <x:f>IFERROR(F3221/J3221,0)</x:f>
        <x:v>0.2857142857142857</x:v>
      </x:c>
      <x:c r="T3221" s="28" t="n">
        <x:f>H3221-I3221</x:f>
        <x:v>4</x:v>
      </x:c>
      <x:c r="U3221" s="24" t="n">
        <x:f>IFERROR(J3221/H3221,0)-IFERROR(K3221/I3221,0)</x:f>
        <x:v>-0.16969696969696968</x:v>
      </x:c>
      <x:c r="V3221" s="24" t="n">
        <x:f>IFERROR(F3221/J3221,0)-IFERROR(G3221/K3221,0)</x:f>
        <x:v>-0.14285714285714285</x:v>
      </x:c>
      <x:c r="W3221" s="28" t="n">
        <x:f>L3221-M3221</x:f>
        <x:v>2</x:v>
      </x:c>
      <x:c r="X3221" s="24" t="n">
        <x:f>IFERROR(K3221/I3221,0)</x:f>
        <x:v>0.6363636363636364</x:v>
      </x:c>
      <x:c r="Y3221" s="24" t="n">
        <x:f>IFERROR(G3221/I3221,0)</x:f>
        <x:v>0.2727272727272727</x:v>
      </x:c>
      <x:c r="Z3221" s="24" t="n">
        <x:f>IFERROR(G3221/K3221,0)</x:f>
        <x:v>0.42857142857142855</x:v>
      </x:c>
      <x:c r="AA3221" s="24" t="n">
        <x:f>IFERROR(F3221/H3221,0)-IFERROR(G3221/I3221,0)</x:f>
        <x:v>-0.13939393939393938</x:v>
      </x:c>
      <x:c r="AB3221" s="28" t="n">
        <x:f>J3221-K3221</x:f>
        <x:v>0</x:v>
      </x:c>
      <x:c r="AC3221" s="32" t="n">
        <x:f>F3221-G3221</x:f>
        <x:v>-1</x:v>
      </x:c>
    </x:row>
    <x:row r="3222">
      <x:c r="A3222" s="4" t="str">
        <x:v>2025-26</x:v>
      </x:c>
      <x:c r="B3222" s="20" t="n">
        <x:v>45962</x:v>
      </x:c>
      <x:c r="C3222" s="4" t="str">
        <x:v>Arsenal</x:v>
      </x:c>
      <x:c r="D3222" s="4" t="str">
        <x:v>Burnley</x:v>
      </x:c>
      <x:c r="E3222" s="4" t="str">
        <x:v>Away</x:v>
      </x:c>
      <x:c r="F3222" s="28" t="n">
        <x:v>2</x:v>
      </x:c>
      <x:c r="G3222" s="28" t="n">
        <x:v>0</x:v>
      </x:c>
      <x:c r="H3222" s="28" t="n">
        <x:v>12</x:v>
      </x:c>
      <x:c r="I3222" s="28" t="n">
        <x:v>3</x:v>
      </x:c>
      <x:c r="J3222" s="28" t="n">
        <x:v>8</x:v>
      </x:c>
      <x:c r="K3222" s="28" t="n">
        <x:v>0</x:v>
      </x:c>
      <x:c r="L3222" s="28" t="n">
        <x:v>6</x:v>
      </x:c>
      <x:c r="M3222" s="28" t="n">
        <x:v>1</x:v>
      </x:c>
      <x:c r="N3222" s="28" t="n">
        <x:v>1</x:v>
      </x:c>
      <x:c r="O3222" s="28" t="n">
        <x:v>0</x:v>
      </x:c>
      <x:c r="P3222" s="28" t="n">
        <x:v>3</x:v>
      </x:c>
      <x:c r="Q3222" s="24" t="n">
        <x:f>IFERROR(J3222/H3222,0)</x:f>
        <x:v>0.6666666666666666</x:v>
      </x:c>
      <x:c r="R3222" s="24" t="n">
        <x:f>IFERROR(F3222/H3222,0)</x:f>
        <x:v>0.16666666666666666</x:v>
      </x:c>
      <x:c r="S3222" s="24" t="n">
        <x:f>IFERROR(F3222/J3222,0)</x:f>
        <x:v>0.25</x:v>
      </x:c>
      <x:c r="T3222" s="28" t="n">
        <x:f>H3222-I3222</x:f>
        <x:v>9</x:v>
      </x:c>
      <x:c r="U3222" s="24" t="n">
        <x:f>IFERROR(J3222/H3222,0)-IFERROR(K3222/I3222,0)</x:f>
        <x:v>0.6666666666666666</x:v>
      </x:c>
      <x:c r="V3222" s="24" t="n">
        <x:f>IFERROR(F3222/J3222,0)-IFERROR(G3222/K3222,0)</x:f>
        <x:v>0.25</x:v>
      </x:c>
      <x:c r="W3222" s="28" t="n">
        <x:f>L3222-M3222</x:f>
        <x:v>5</x:v>
      </x:c>
      <x:c r="X3222" s="24" t="n">
        <x:f>IFERROR(K3222/I3222,0)</x:f>
        <x:v>0</x:v>
      </x:c>
      <x:c r="Y3222" s="24" t="n">
        <x:f>IFERROR(G3222/I3222,0)</x:f>
        <x:v>0</x:v>
      </x:c>
      <x:c r="Z3222" s="24" t="n">
        <x:f>IFERROR(G3222/K3222,0)</x:f>
        <x:v>0</x:v>
      </x:c>
      <x:c r="AA3222" s="24" t="n">
        <x:f>IFERROR(F3222/H3222,0)-IFERROR(G3222/I3222,0)</x:f>
        <x:v>0.16666666666666666</x:v>
      </x:c>
      <x:c r="AB3222" s="28" t="n">
        <x:f>J3222-K3222</x:f>
        <x:v>8</x:v>
      </x:c>
      <x:c r="AC3222" s="32" t="n">
        <x:f>F3222-G3222</x:f>
        <x:v>2</x:v>
      </x:c>
    </x:row>
    <x:row r="3223">
      <x:c r="A3223" s="4" t="str">
        <x:v>2025-26</x:v>
      </x:c>
      <x:c r="B3223" s="20" t="n">
        <x:v>45962</x:v>
      </x:c>
      <x:c r="C3223" s="4" t="str">
        <x:v>Aston Villa</x:v>
      </x:c>
      <x:c r="D3223" s="4" t="str">
        <x:v>Liverpool</x:v>
      </x:c>
      <x:c r="E3223" s="4" t="str">
        <x:v>Away</x:v>
      </x:c>
      <x:c r="F3223" s="28" t="n">
        <x:v>0</x:v>
      </x:c>
      <x:c r="G3223" s="28" t="n">
        <x:v>2</x:v>
      </x:c>
      <x:c r="H3223" s="28" t="n">
        <x:v>10</x:v>
      </x:c>
      <x:c r="I3223" s="28" t="n">
        <x:v>16</x:v>
      </x:c>
      <x:c r="J3223" s="28" t="n">
        <x:v>3</x:v>
      </x:c>
      <x:c r="K3223" s="28" t="n">
        <x:v>4</x:v>
      </x:c>
      <x:c r="L3223" s="28" t="n">
        <x:v>4</x:v>
      </x:c>
      <x:c r="M3223" s="28" t="n">
        <x:v>1</x:v>
      </x:c>
      <x:c r="N3223" s="28" t="n">
        <x:v>3</x:v>
      </x:c>
      <x:c r="O3223" s="28" t="n">
        <x:v>0</x:v>
      </x:c>
      <x:c r="P3223" s="28" t="n">
        <x:v>0</x:v>
      </x:c>
      <x:c r="Q3223" s="24" t="n">
        <x:f>IFERROR(J3223/H3223,0)</x:f>
        <x:v>0.3</x:v>
      </x:c>
      <x:c r="R3223" s="24" t="n">
        <x:f>IFERROR(F3223/H3223,0)</x:f>
        <x:v>0</x:v>
      </x:c>
      <x:c r="S3223" s="24" t="n">
        <x:f>IFERROR(F3223/J3223,0)</x:f>
        <x:v>0</x:v>
      </x:c>
      <x:c r="T3223" s="28" t="n">
        <x:f>H3223-I3223</x:f>
        <x:v>-6</x:v>
      </x:c>
      <x:c r="U3223" s="24" t="n">
        <x:f>IFERROR(J3223/H3223,0)-IFERROR(K3223/I3223,0)</x:f>
        <x:v>0.04999999999999999</x:v>
      </x:c>
      <x:c r="V3223" s="24" t="n">
        <x:f>IFERROR(F3223/J3223,0)-IFERROR(G3223/K3223,0)</x:f>
        <x:v>-0.5</x:v>
      </x:c>
      <x:c r="W3223" s="28" t="n">
        <x:f>L3223-M3223</x:f>
        <x:v>3</x:v>
      </x:c>
      <x:c r="X3223" s="24" t="n">
        <x:f>IFERROR(K3223/I3223,0)</x:f>
        <x:v>0.25</x:v>
      </x:c>
      <x:c r="Y3223" s="24" t="n">
        <x:f>IFERROR(G3223/I3223,0)</x:f>
        <x:v>0.125</x:v>
      </x:c>
      <x:c r="Z3223" s="24" t="n">
        <x:f>IFERROR(G3223/K3223,0)</x:f>
        <x:v>0.5</x:v>
      </x:c>
      <x:c r="AA3223" s="24" t="n">
        <x:f>IFERROR(F3223/H3223,0)-IFERROR(G3223/I3223,0)</x:f>
        <x:v>-0.125</x:v>
      </x:c>
      <x:c r="AB3223" s="28" t="n">
        <x:f>J3223-K3223</x:f>
        <x:v>-1</x:v>
      </x:c>
      <x:c r="AC3223" s="32" t="n">
        <x:f>F3223-G3223</x:f>
        <x:v>-2</x:v>
      </x:c>
    </x:row>
    <x:row r="3224">
      <x:c r="A3224" s="4" t="str">
        <x:v>2025-26</x:v>
      </x:c>
      <x:c r="B3224" s="20" t="n">
        <x:v>45962</x:v>
      </x:c>
      <x:c r="C3224" s="4" t="str">
        <x:v>Brentford</x:v>
      </x:c>
      <x:c r="D3224" s="4" t="str">
        <x:v>Crystal Palace</x:v>
      </x:c>
      <x:c r="E3224" s="4" t="str">
        <x:v>Away</x:v>
      </x:c>
      <x:c r="F3224" s="28" t="n">
        <x:v>0</x:v>
      </x:c>
      <x:c r="G3224" s="28" t="n">
        <x:v>2</x:v>
      </x:c>
      <x:c r="H3224" s="28" t="n">
        <x:v>6</x:v>
      </x:c>
      <x:c r="I3224" s="28" t="n">
        <x:v>9</x:v>
      </x:c>
      <x:c r="J3224" s="28" t="n">
        <x:v>2</x:v>
      </x:c>
      <x:c r="K3224" s="28" t="n">
        <x:v>2</x:v>
      </x:c>
      <x:c r="L3224" s="28" t="n">
        <x:v>5</x:v>
      </x:c>
      <x:c r="M3224" s="28" t="n">
        <x:v>6</x:v>
      </x:c>
      <x:c r="N3224" s="28" t="n">
        <x:v>3</x:v>
      </x:c>
      <x:c r="O3224" s="28" t="n">
        <x:v>0</x:v>
      </x:c>
      <x:c r="P3224" s="28" t="n">
        <x:v>0</x:v>
      </x:c>
      <x:c r="Q3224" s="24" t="n">
        <x:f>IFERROR(J3224/H3224,0)</x:f>
        <x:v>0.3333333333333333</x:v>
      </x:c>
      <x:c r="R3224" s="24" t="n">
        <x:f>IFERROR(F3224/H3224,0)</x:f>
        <x:v>0</x:v>
      </x:c>
      <x:c r="S3224" s="24" t="n">
        <x:f>IFERROR(F3224/J3224,0)</x:f>
        <x:v>0</x:v>
      </x:c>
      <x:c r="T3224" s="28" t="n">
        <x:f>H3224-I3224</x:f>
        <x:v>-3</x:v>
      </x:c>
      <x:c r="U3224" s="24" t="n">
        <x:f>IFERROR(J3224/H3224,0)-IFERROR(K3224/I3224,0)</x:f>
        <x:v>0.1111111111111111</x:v>
      </x:c>
      <x:c r="V3224" s="24" t="n">
        <x:f>IFERROR(F3224/J3224,0)-IFERROR(G3224/K3224,0)</x:f>
        <x:v>-1</x:v>
      </x:c>
      <x:c r="W3224" s="28" t="n">
        <x:f>L3224-M3224</x:f>
        <x:v>-1</x:v>
      </x:c>
      <x:c r="X3224" s="24" t="n">
        <x:f>IFERROR(K3224/I3224,0)</x:f>
        <x:v>0.2222222222222222</x:v>
      </x:c>
      <x:c r="Y3224" s="24" t="n">
        <x:f>IFERROR(G3224/I3224,0)</x:f>
        <x:v>0.2222222222222222</x:v>
      </x:c>
      <x:c r="Z3224" s="24" t="n">
        <x:f>IFERROR(G3224/K3224,0)</x:f>
        <x:v>1</x:v>
      </x:c>
      <x:c r="AA3224" s="24" t="n">
        <x:f>IFERROR(F3224/H3224,0)-IFERROR(G3224/I3224,0)</x:f>
        <x:v>-0.2222222222222222</x:v>
      </x:c>
      <x:c r="AB3224" s="28" t="n">
        <x:f>J3224-K3224</x:f>
        <x:v>0</x:v>
      </x:c>
      <x:c r="AC3224" s="32" t="n">
        <x:f>F3224-G3224</x:f>
        <x:v>-2</x:v>
      </x:c>
    </x:row>
    <x:row r="3225">
      <x:c r="A3225" s="4" t="str">
        <x:v>2025-26</x:v>
      </x:c>
      <x:c r="B3225" s="20" t="n">
        <x:v>45962</x:v>
      </x:c>
      <x:c r="C3225" s="4" t="str">
        <x:v>Brighton</x:v>
      </x:c>
      <x:c r="D3225" s="4" t="str">
        <x:v>Leeds</x:v>
      </x:c>
      <x:c r="E3225" s="4" t="str">
        <x:v>Home</x:v>
      </x:c>
      <x:c r="F3225" s="28" t="n">
        <x:v>3</x:v>
      </x:c>
      <x:c r="G3225" s="28" t="n">
        <x:v>0</x:v>
      </x:c>
      <x:c r="H3225" s="28" t="n">
        <x:v>14</x:v>
      </x:c>
      <x:c r="I3225" s="28" t="n">
        <x:v>5</x:v>
      </x:c>
      <x:c r="J3225" s="28" t="n">
        <x:v>7</x:v>
      </x:c>
      <x:c r="K3225" s="28" t="n">
        <x:v>2</x:v>
      </x:c>
      <x:c r="L3225" s="28" t="n">
        <x:v>4</x:v>
      </x:c>
      <x:c r="M3225" s="28" t="n">
        <x:v>7</x:v>
      </x:c>
      <x:c r="N3225" s="28" t="n">
        <x:v>0</x:v>
      </x:c>
      <x:c r="O3225" s="28" t="n">
        <x:v>0</x:v>
      </x:c>
      <x:c r="P3225" s="28" t="n">
        <x:v>3</x:v>
      </x:c>
      <x:c r="Q3225" s="24" t="n">
        <x:f>IFERROR(J3225/H3225,0)</x:f>
        <x:v>0.5</x:v>
      </x:c>
      <x:c r="R3225" s="24" t="n">
        <x:f>IFERROR(F3225/H3225,0)</x:f>
        <x:v>0.21428571428571427</x:v>
      </x:c>
      <x:c r="S3225" s="24" t="n">
        <x:f>IFERROR(F3225/J3225,0)</x:f>
        <x:v>0.42857142857142855</x:v>
      </x:c>
      <x:c r="T3225" s="28" t="n">
        <x:f>H3225-I3225</x:f>
        <x:v>9</x:v>
      </x:c>
      <x:c r="U3225" s="24" t="n">
        <x:f>IFERROR(J3225/H3225,0)-IFERROR(K3225/I3225,0)</x:f>
        <x:v>0.09999999999999998</x:v>
      </x:c>
      <x:c r="V3225" s="24" t="n">
        <x:f>IFERROR(F3225/J3225,0)-IFERROR(G3225/K3225,0)</x:f>
        <x:v>0.42857142857142855</x:v>
      </x:c>
      <x:c r="W3225" s="28" t="n">
        <x:f>L3225-M3225</x:f>
        <x:v>-3</x:v>
      </x:c>
      <x:c r="X3225" s="24" t="n">
        <x:f>IFERROR(K3225/I3225,0)</x:f>
        <x:v>0.4</x:v>
      </x:c>
      <x:c r="Y3225" s="24" t="n">
        <x:f>IFERROR(G3225/I3225,0)</x:f>
        <x:v>0</x:v>
      </x:c>
      <x:c r="Z3225" s="24" t="n">
        <x:f>IFERROR(G3225/K3225,0)</x:f>
        <x:v>0</x:v>
      </x:c>
      <x:c r="AA3225" s="24" t="n">
        <x:f>IFERROR(F3225/H3225,0)-IFERROR(G3225/I3225,0)</x:f>
        <x:v>0.21428571428571427</x:v>
      </x:c>
      <x:c r="AB3225" s="28" t="n">
        <x:f>J3225-K3225</x:f>
        <x:v>5</x:v>
      </x:c>
      <x:c r="AC3225" s="32" t="n">
        <x:f>F3225-G3225</x:f>
        <x:v>3</x:v>
      </x:c>
    </x:row>
    <x:row r="3226">
      <x:c r="A3226" s="4" t="str">
        <x:v>2025-26</x:v>
      </x:c>
      <x:c r="B3226" s="20" t="n">
        <x:v>45962</x:v>
      </x:c>
      <x:c r="C3226" s="4" t="str">
        <x:v>Burnley</x:v>
      </x:c>
      <x:c r="D3226" s="4" t="str">
        <x:v>Arsenal</x:v>
      </x:c>
      <x:c r="E3226" s="4" t="str">
        <x:v>Home</x:v>
      </x:c>
      <x:c r="F3226" s="28" t="n">
        <x:v>0</x:v>
      </x:c>
      <x:c r="G3226" s="28" t="n">
        <x:v>2</x:v>
      </x:c>
      <x:c r="H3226" s="28" t="n">
        <x:v>3</x:v>
      </x:c>
      <x:c r="I3226" s="28" t="n">
        <x:v>12</x:v>
      </x:c>
      <x:c r="J3226" s="28" t="n">
        <x:v>0</x:v>
      </x:c>
      <x:c r="K3226" s="28" t="n">
        <x:v>8</x:v>
      </x:c>
      <x:c r="L3226" s="28" t="n">
        <x:v>1</x:v>
      </x:c>
      <x:c r="M3226" s="28" t="n">
        <x:v>6</x:v>
      </x:c>
      <x:c r="N3226" s="28" t="n">
        <x:v>2</x:v>
      </x:c>
      <x:c r="O3226" s="28" t="n">
        <x:v>0</x:v>
      </x:c>
      <x:c r="P3226" s="28" t="n">
        <x:v>0</x:v>
      </x:c>
      <x:c r="Q3226" s="24" t="n">
        <x:f>IFERROR(J3226/H3226,0)</x:f>
        <x:v>0</x:v>
      </x:c>
      <x:c r="R3226" s="24" t="n">
        <x:f>IFERROR(F3226/H3226,0)</x:f>
        <x:v>0</x:v>
      </x:c>
      <x:c r="S3226" s="24" t="n">
        <x:f>IFERROR(F3226/J3226,0)</x:f>
        <x:v>0</x:v>
      </x:c>
      <x:c r="T3226" s="28" t="n">
        <x:f>H3226-I3226</x:f>
        <x:v>-9</x:v>
      </x:c>
      <x:c r="U3226" s="24" t="n">
        <x:f>IFERROR(J3226/H3226,0)-IFERROR(K3226/I3226,0)</x:f>
        <x:v>-0.6666666666666666</x:v>
      </x:c>
      <x:c r="V3226" s="24" t="n">
        <x:f>IFERROR(F3226/J3226,0)-IFERROR(G3226/K3226,0)</x:f>
        <x:v>-0.25</x:v>
      </x:c>
      <x:c r="W3226" s="28" t="n">
        <x:f>L3226-M3226</x:f>
        <x:v>-5</x:v>
      </x:c>
      <x:c r="X3226" s="24" t="n">
        <x:f>IFERROR(K3226/I3226,0)</x:f>
        <x:v>0.6666666666666666</x:v>
      </x:c>
      <x:c r="Y3226" s="24" t="n">
        <x:f>IFERROR(G3226/I3226,0)</x:f>
        <x:v>0.16666666666666666</x:v>
      </x:c>
      <x:c r="Z3226" s="24" t="n">
        <x:f>IFERROR(G3226/K3226,0)</x:f>
        <x:v>0.25</x:v>
      </x:c>
      <x:c r="AA3226" s="24" t="n">
        <x:f>IFERROR(F3226/H3226,0)-IFERROR(G3226/I3226,0)</x:f>
        <x:v>-0.16666666666666666</x:v>
      </x:c>
      <x:c r="AB3226" s="28" t="n">
        <x:f>J3226-K3226</x:f>
        <x:v>-8</x:v>
      </x:c>
      <x:c r="AC3226" s="32" t="n">
        <x:f>F3226-G3226</x:f>
        <x:v>-2</x:v>
      </x:c>
    </x:row>
    <x:row r="3227">
      <x:c r="A3227" s="4" t="str">
        <x:v>2025-26</x:v>
      </x:c>
      <x:c r="B3227" s="20" t="n">
        <x:v>45962</x:v>
      </x:c>
      <x:c r="C3227" s="4" t="str">
        <x:v>Chelsea</x:v>
      </x:c>
      <x:c r="D3227" s="4" t="str">
        <x:v>Tottenham</x:v>
      </x:c>
      <x:c r="E3227" s="4" t="str">
        <x:v>Away</x:v>
      </x:c>
      <x:c r="F3227" s="28" t="n">
        <x:v>1</x:v>
      </x:c>
      <x:c r="G3227" s="28" t="n">
        <x:v>0</x:v>
      </x:c>
      <x:c r="H3227" s="28" t="n">
        <x:v>15</x:v>
      </x:c>
      <x:c r="I3227" s="28" t="n">
        <x:v>3</x:v>
      </x:c>
      <x:c r="J3227" s="28" t="n">
        <x:v>9</x:v>
      </x:c>
      <x:c r="K3227" s="28" t="n">
        <x:v>1</x:v>
      </x:c>
      <x:c r="L3227" s="28" t="n">
        <x:v>5</x:v>
      </x:c>
      <x:c r="M3227" s="28" t="n">
        <x:v>6</x:v>
      </x:c>
      <x:c r="N3227" s="28" t="n">
        <x:v>2</x:v>
      </x:c>
      <x:c r="O3227" s="28" t="n">
        <x:v>0</x:v>
      </x:c>
      <x:c r="P3227" s="28" t="n">
        <x:v>3</x:v>
      </x:c>
      <x:c r="Q3227" s="24" t="n">
        <x:f>IFERROR(J3227/H3227,0)</x:f>
        <x:v>0.6</x:v>
      </x:c>
      <x:c r="R3227" s="24" t="n">
        <x:f>IFERROR(F3227/H3227,0)</x:f>
        <x:v>0.06666666666666667</x:v>
      </x:c>
      <x:c r="S3227" s="24" t="n">
        <x:f>IFERROR(F3227/J3227,0)</x:f>
        <x:v>0.1111111111111111</x:v>
      </x:c>
      <x:c r="T3227" s="28" t="n">
        <x:f>H3227-I3227</x:f>
        <x:v>12</x:v>
      </x:c>
      <x:c r="U3227" s="24" t="n">
        <x:f>IFERROR(J3227/H3227,0)-IFERROR(K3227/I3227,0)</x:f>
        <x:v>0.26666666666666666</x:v>
      </x:c>
      <x:c r="V3227" s="24" t="n">
        <x:f>IFERROR(F3227/J3227,0)-IFERROR(G3227/K3227,0)</x:f>
        <x:v>0.1111111111111111</x:v>
      </x:c>
      <x:c r="W3227" s="28" t="n">
        <x:f>L3227-M3227</x:f>
        <x:v>-1</x:v>
      </x:c>
      <x:c r="X3227" s="24" t="n">
        <x:f>IFERROR(K3227/I3227,0)</x:f>
        <x:v>0.3333333333333333</x:v>
      </x:c>
      <x:c r="Y3227" s="24" t="n">
        <x:f>IFERROR(G3227/I3227,0)</x:f>
        <x:v>0</x:v>
      </x:c>
      <x:c r="Z3227" s="24" t="n">
        <x:f>IFERROR(G3227/K3227,0)</x:f>
        <x:v>0</x:v>
      </x:c>
      <x:c r="AA3227" s="24" t="n">
        <x:f>IFERROR(F3227/H3227,0)-IFERROR(G3227/I3227,0)</x:f>
        <x:v>0.06666666666666667</x:v>
      </x:c>
      <x:c r="AB3227" s="28" t="n">
        <x:f>J3227-K3227</x:f>
        <x:v>8</x:v>
      </x:c>
      <x:c r="AC3227" s="32" t="n">
        <x:f>F3227-G3227</x:f>
        <x:v>1</x:v>
      </x:c>
    </x:row>
    <x:row r="3228">
      <x:c r="A3228" s="4" t="str">
        <x:v>2025-26</x:v>
      </x:c>
      <x:c r="B3228" s="20" t="n">
        <x:v>45962</x:v>
      </x:c>
      <x:c r="C3228" s="4" t="str">
        <x:v>Crystal Palace</x:v>
      </x:c>
      <x:c r="D3228" s="4" t="str">
        <x:v>Brentford</x:v>
      </x:c>
      <x:c r="E3228" s="4" t="str">
        <x:v>Home</x:v>
      </x:c>
      <x:c r="F3228" s="28" t="n">
        <x:v>2</x:v>
      </x:c>
      <x:c r="G3228" s="28" t="n">
        <x:v>0</x:v>
      </x:c>
      <x:c r="H3228" s="28" t="n">
        <x:v>9</x:v>
      </x:c>
      <x:c r="I3228" s="28" t="n">
        <x:v>6</x:v>
      </x:c>
      <x:c r="J3228" s="28" t="n">
        <x:v>2</x:v>
      </x:c>
      <x:c r="K3228" s="28" t="n">
        <x:v>2</x:v>
      </x:c>
      <x:c r="L3228" s="28" t="n">
        <x:v>6</x:v>
      </x:c>
      <x:c r="M3228" s="28" t="n">
        <x:v>5</x:v>
      </x:c>
      <x:c r="N3228" s="28" t="n">
        <x:v>0</x:v>
      </x:c>
      <x:c r="O3228" s="28" t="n">
        <x:v>0</x:v>
      </x:c>
      <x:c r="P3228" s="28" t="n">
        <x:v>3</x:v>
      </x:c>
      <x:c r="Q3228" s="24" t="n">
        <x:f>IFERROR(J3228/H3228,0)</x:f>
        <x:v>0.2222222222222222</x:v>
      </x:c>
      <x:c r="R3228" s="24" t="n">
        <x:f>IFERROR(F3228/H3228,0)</x:f>
        <x:v>0.2222222222222222</x:v>
      </x:c>
      <x:c r="S3228" s="24" t="n">
        <x:f>IFERROR(F3228/J3228,0)</x:f>
        <x:v>1</x:v>
      </x:c>
      <x:c r="T3228" s="28" t="n">
        <x:f>H3228-I3228</x:f>
        <x:v>3</x:v>
      </x:c>
      <x:c r="U3228" s="24" t="n">
        <x:f>IFERROR(J3228/H3228,0)-IFERROR(K3228/I3228,0)</x:f>
        <x:v>-0.1111111111111111</x:v>
      </x:c>
      <x:c r="V3228" s="24" t="n">
        <x:f>IFERROR(F3228/J3228,0)-IFERROR(G3228/K3228,0)</x:f>
        <x:v>1</x:v>
      </x:c>
      <x:c r="W3228" s="28" t="n">
        <x:f>L3228-M3228</x:f>
        <x:v>1</x:v>
      </x:c>
      <x:c r="X3228" s="24" t="n">
        <x:f>IFERROR(K3228/I3228,0)</x:f>
        <x:v>0.3333333333333333</x:v>
      </x:c>
      <x:c r="Y3228" s="24" t="n">
        <x:f>IFERROR(G3228/I3228,0)</x:f>
        <x:v>0</x:v>
      </x:c>
      <x:c r="Z3228" s="24" t="n">
        <x:f>IFERROR(G3228/K3228,0)</x:f>
        <x:v>0</x:v>
      </x:c>
      <x:c r="AA3228" s="24" t="n">
        <x:f>IFERROR(F3228/H3228,0)-IFERROR(G3228/I3228,0)</x:f>
        <x:v>0.2222222222222222</x:v>
      </x:c>
      <x:c r="AB3228" s="28" t="n">
        <x:f>J3228-K3228</x:f>
        <x:v>0</x:v>
      </x:c>
      <x:c r="AC3228" s="32" t="n">
        <x:f>F3228-G3228</x:f>
        <x:v>2</x:v>
      </x:c>
    </x:row>
    <x:row r="3229">
      <x:c r="A3229" s="4" t="str">
        <x:v>2025-26</x:v>
      </x:c>
      <x:c r="B3229" s="20" t="n">
        <x:v>45962</x:v>
      </x:c>
      <x:c r="C3229" s="4" t="str">
        <x:v>Fulham</x:v>
      </x:c>
      <x:c r="D3229" s="4" t="str">
        <x:v>Wolves</x:v>
      </x:c>
      <x:c r="E3229" s="4" t="str">
        <x:v>Home</x:v>
      </x:c>
      <x:c r="F3229" s="28" t="n">
        <x:v>3</x:v>
      </x:c>
      <x:c r="G3229" s="28" t="n">
        <x:v>0</x:v>
      </x:c>
      <x:c r="H3229" s="28" t="n">
        <x:v>19</x:v>
      </x:c>
      <x:c r="I3229" s="28" t="n">
        <x:v>5</x:v>
      </x:c>
      <x:c r="J3229" s="28" t="n">
        <x:v>6</x:v>
      </x:c>
      <x:c r="K3229" s="28" t="n">
        <x:v>2</x:v>
      </x:c>
      <x:c r="L3229" s="28" t="n">
        <x:v>10</x:v>
      </x:c>
      <x:c r="M3229" s="28" t="n">
        <x:v>1</x:v>
      </x:c>
      <x:c r="N3229" s="28" t="n">
        <x:v>1</x:v>
      </x:c>
      <x:c r="O3229" s="28" t="n">
        <x:v>0</x:v>
      </x:c>
      <x:c r="P3229" s="28" t="n">
        <x:v>3</x:v>
      </x:c>
      <x:c r="Q3229" s="24" t="n">
        <x:f>IFERROR(J3229/H3229,0)</x:f>
        <x:v>0.3157894736842105</x:v>
      </x:c>
      <x:c r="R3229" s="24" t="n">
        <x:f>IFERROR(F3229/H3229,0)</x:f>
        <x:v>0.15789473684210525</x:v>
      </x:c>
      <x:c r="S3229" s="24" t="n">
        <x:f>IFERROR(F3229/J3229,0)</x:f>
        <x:v>0.5</x:v>
      </x:c>
      <x:c r="T3229" s="28" t="n">
        <x:f>H3229-I3229</x:f>
        <x:v>14</x:v>
      </x:c>
      <x:c r="U3229" s="24" t="n">
        <x:f>IFERROR(J3229/H3229,0)-IFERROR(K3229/I3229,0)</x:f>
        <x:v>-0.08421052631578951</x:v>
      </x:c>
      <x:c r="V3229" s="24" t="n">
        <x:f>IFERROR(F3229/J3229,0)-IFERROR(G3229/K3229,0)</x:f>
        <x:v>0.5</x:v>
      </x:c>
      <x:c r="W3229" s="28" t="n">
        <x:f>L3229-M3229</x:f>
        <x:v>9</x:v>
      </x:c>
      <x:c r="X3229" s="24" t="n">
        <x:f>IFERROR(K3229/I3229,0)</x:f>
        <x:v>0.4</x:v>
      </x:c>
      <x:c r="Y3229" s="24" t="n">
        <x:f>IFERROR(G3229/I3229,0)</x:f>
        <x:v>0</x:v>
      </x:c>
      <x:c r="Z3229" s="24" t="n">
        <x:f>IFERROR(G3229/K3229,0)</x:f>
        <x:v>0</x:v>
      </x:c>
      <x:c r="AA3229" s="24" t="n">
        <x:f>IFERROR(F3229/H3229,0)-IFERROR(G3229/I3229,0)</x:f>
        <x:v>0.15789473684210525</x:v>
      </x:c>
      <x:c r="AB3229" s="28" t="n">
        <x:f>J3229-K3229</x:f>
        <x:v>4</x:v>
      </x:c>
      <x:c r="AC3229" s="32" t="n">
        <x:f>F3229-G3229</x:f>
        <x:v>3</x:v>
      </x:c>
    </x:row>
    <x:row r="3230">
      <x:c r="A3230" s="4" t="str">
        <x:v>2025-26</x:v>
      </x:c>
      <x:c r="B3230" s="20" t="n">
        <x:v>45962</x:v>
      </x:c>
      <x:c r="C3230" s="4" t="str">
        <x:v>Leeds</x:v>
      </x:c>
      <x:c r="D3230" s="4" t="str">
        <x:v>Brighton</x:v>
      </x:c>
      <x:c r="E3230" s="4" t="str">
        <x:v>Away</x:v>
      </x:c>
      <x:c r="F3230" s="28" t="n">
        <x:v>0</x:v>
      </x:c>
      <x:c r="G3230" s="28" t="n">
        <x:v>3</x:v>
      </x:c>
      <x:c r="H3230" s="28" t="n">
        <x:v>5</x:v>
      </x:c>
      <x:c r="I3230" s="28" t="n">
        <x:v>14</x:v>
      </x:c>
      <x:c r="J3230" s="28" t="n">
        <x:v>2</x:v>
      </x:c>
      <x:c r="K3230" s="28" t="n">
        <x:v>7</x:v>
      </x:c>
      <x:c r="L3230" s="28" t="n">
        <x:v>7</x:v>
      </x:c>
      <x:c r="M3230" s="28" t="n">
        <x:v>4</x:v>
      </x:c>
      <x:c r="N3230" s="28" t="n">
        <x:v>1</x:v>
      </x:c>
      <x:c r="O3230" s="28" t="n">
        <x:v>0</x:v>
      </x:c>
      <x:c r="P3230" s="28" t="n">
        <x:v>0</x:v>
      </x:c>
      <x:c r="Q3230" s="24" t="n">
        <x:f>IFERROR(J3230/H3230,0)</x:f>
        <x:v>0.4</x:v>
      </x:c>
      <x:c r="R3230" s="24" t="n">
        <x:f>IFERROR(F3230/H3230,0)</x:f>
        <x:v>0</x:v>
      </x:c>
      <x:c r="S3230" s="24" t="n">
        <x:f>IFERROR(F3230/J3230,0)</x:f>
        <x:v>0</x:v>
      </x:c>
      <x:c r="T3230" s="28" t="n">
        <x:f>H3230-I3230</x:f>
        <x:v>-9</x:v>
      </x:c>
      <x:c r="U3230" s="24" t="n">
        <x:f>IFERROR(J3230/H3230,0)-IFERROR(K3230/I3230,0)</x:f>
        <x:v>-0.09999999999999998</x:v>
      </x:c>
      <x:c r="V3230" s="24" t="n">
        <x:f>IFERROR(F3230/J3230,0)-IFERROR(G3230/K3230,0)</x:f>
        <x:v>-0.42857142857142855</x:v>
      </x:c>
      <x:c r="W3230" s="28" t="n">
        <x:f>L3230-M3230</x:f>
        <x:v>3</x:v>
      </x:c>
      <x:c r="X3230" s="24" t="n">
        <x:f>IFERROR(K3230/I3230,0)</x:f>
        <x:v>0.5</x:v>
      </x:c>
      <x:c r="Y3230" s="24" t="n">
        <x:f>IFERROR(G3230/I3230,0)</x:f>
        <x:v>0.21428571428571427</x:v>
      </x:c>
      <x:c r="Z3230" s="24" t="n">
        <x:f>IFERROR(G3230/K3230,0)</x:f>
        <x:v>0.42857142857142855</x:v>
      </x:c>
      <x:c r="AA3230" s="24" t="n">
        <x:f>IFERROR(F3230/H3230,0)-IFERROR(G3230/I3230,0)</x:f>
        <x:v>-0.21428571428571427</x:v>
      </x:c>
      <x:c r="AB3230" s="28" t="n">
        <x:f>J3230-K3230</x:f>
        <x:v>-5</x:v>
      </x:c>
      <x:c r="AC3230" s="32" t="n">
        <x:f>F3230-G3230</x:f>
        <x:v>-3</x:v>
      </x:c>
    </x:row>
    <x:row r="3231">
      <x:c r="A3231" s="4" t="str">
        <x:v>2025-26</x:v>
      </x:c>
      <x:c r="B3231" s="20" t="n">
        <x:v>45962</x:v>
      </x:c>
      <x:c r="C3231" s="4" t="str">
        <x:v>Liverpool</x:v>
      </x:c>
      <x:c r="D3231" s="4" t="str">
        <x:v>Aston Villa</x:v>
      </x:c>
      <x:c r="E3231" s="4" t="str">
        <x:v>Home</x:v>
      </x:c>
      <x:c r="F3231" s="28" t="n">
        <x:v>2</x:v>
      </x:c>
      <x:c r="G3231" s="28" t="n">
        <x:v>0</x:v>
      </x:c>
      <x:c r="H3231" s="28" t="n">
        <x:v>16</x:v>
      </x:c>
      <x:c r="I3231" s="28" t="n">
        <x:v>10</x:v>
      </x:c>
      <x:c r="J3231" s="28" t="n">
        <x:v>4</x:v>
      </x:c>
      <x:c r="K3231" s="28" t="n">
        <x:v>3</x:v>
      </x:c>
      <x:c r="L3231" s="28" t="n">
        <x:v>1</x:v>
      </x:c>
      <x:c r="M3231" s="28" t="n">
        <x:v>4</x:v>
      </x:c>
      <x:c r="N3231" s="28" t="n">
        <x:v>2</x:v>
      </x:c>
      <x:c r="O3231" s="28" t="n">
        <x:v>0</x:v>
      </x:c>
      <x:c r="P3231" s="28" t="n">
        <x:v>3</x:v>
      </x:c>
      <x:c r="Q3231" s="24" t="n">
        <x:f>IFERROR(J3231/H3231,0)</x:f>
        <x:v>0.25</x:v>
      </x:c>
      <x:c r="R3231" s="24" t="n">
        <x:f>IFERROR(F3231/H3231,0)</x:f>
        <x:v>0.125</x:v>
      </x:c>
      <x:c r="S3231" s="24" t="n">
        <x:f>IFERROR(F3231/J3231,0)</x:f>
        <x:v>0.5</x:v>
      </x:c>
      <x:c r="T3231" s="28" t="n">
        <x:f>H3231-I3231</x:f>
        <x:v>6</x:v>
      </x:c>
      <x:c r="U3231" s="24" t="n">
        <x:f>IFERROR(J3231/H3231,0)-IFERROR(K3231/I3231,0)</x:f>
        <x:v>-0.04999999999999999</x:v>
      </x:c>
      <x:c r="V3231" s="24" t="n">
        <x:f>IFERROR(F3231/J3231,0)-IFERROR(G3231/K3231,0)</x:f>
        <x:v>0.5</x:v>
      </x:c>
      <x:c r="W3231" s="28" t="n">
        <x:f>L3231-M3231</x:f>
        <x:v>-3</x:v>
      </x:c>
      <x:c r="X3231" s="24" t="n">
        <x:f>IFERROR(K3231/I3231,0)</x:f>
        <x:v>0.3</x:v>
      </x:c>
      <x:c r="Y3231" s="24" t="n">
        <x:f>IFERROR(G3231/I3231,0)</x:f>
        <x:v>0</x:v>
      </x:c>
      <x:c r="Z3231" s="24" t="n">
        <x:f>IFERROR(G3231/K3231,0)</x:f>
        <x:v>0</x:v>
      </x:c>
      <x:c r="AA3231" s="24" t="n">
        <x:f>IFERROR(F3231/H3231,0)-IFERROR(G3231/I3231,0)</x:f>
        <x:v>0.125</x:v>
      </x:c>
      <x:c r="AB3231" s="28" t="n">
        <x:f>J3231-K3231</x:f>
        <x:v>1</x:v>
      </x:c>
      <x:c r="AC3231" s="32" t="n">
        <x:f>F3231-G3231</x:f>
        <x:v>2</x:v>
      </x:c>
    </x:row>
    <x:row r="3232">
      <x:c r="A3232" s="4" t="str">
        <x:v>2025-26</x:v>
      </x:c>
      <x:c r="B3232" s="20" t="n">
        <x:v>45962</x:v>
      </x:c>
      <x:c r="C3232" s="4" t="str">
        <x:v>Man United</x:v>
      </x:c>
      <x:c r="D3232" s="4" t="str">
        <x:v>Nott'm Forest</x:v>
      </x:c>
      <x:c r="E3232" s="4" t="str">
        <x:v>Away</x:v>
      </x:c>
      <x:c r="F3232" s="28" t="n">
        <x:v>2</x:v>
      </x:c>
      <x:c r="G3232" s="28" t="n">
        <x:v>2</x:v>
      </x:c>
      <x:c r="H3232" s="28" t="n">
        <x:v>18</x:v>
      </x:c>
      <x:c r="I3232" s="28" t="n">
        <x:v>17</x:v>
      </x:c>
      <x:c r="J3232" s="28" t="n">
        <x:v>7</x:v>
      </x:c>
      <x:c r="K3232" s="28" t="n">
        <x:v>3</x:v>
      </x:c>
      <x:c r="L3232" s="28" t="n">
        <x:v>5</x:v>
      </x:c>
      <x:c r="M3232" s="28" t="n">
        <x:v>8</x:v>
      </x:c>
      <x:c r="N3232" s="28" t="n">
        <x:v>1</x:v>
      </x:c>
      <x:c r="O3232" s="28" t="n">
        <x:v>0</x:v>
      </x:c>
      <x:c r="P3232" s="28" t="n">
        <x:v>1</x:v>
      </x:c>
      <x:c r="Q3232" s="24" t="n">
        <x:f>IFERROR(J3232/H3232,0)</x:f>
        <x:v>0.3888888888888889</x:v>
      </x:c>
      <x:c r="R3232" s="24" t="n">
        <x:f>IFERROR(F3232/H3232,0)</x:f>
        <x:v>0.1111111111111111</x:v>
      </x:c>
      <x:c r="S3232" s="24" t="n">
        <x:f>IFERROR(F3232/J3232,0)</x:f>
        <x:v>0.2857142857142857</x:v>
      </x:c>
      <x:c r="T3232" s="28" t="n">
        <x:f>H3232-I3232</x:f>
        <x:v>1</x:v>
      </x:c>
      <x:c r="U3232" s="24" t="n">
        <x:f>IFERROR(J3232/H3232,0)-IFERROR(K3232/I3232,0)</x:f>
        <x:v>0.21241830065359477</x:v>
      </x:c>
      <x:c r="V3232" s="24" t="n">
        <x:f>IFERROR(F3232/J3232,0)-IFERROR(G3232/K3232,0)</x:f>
        <x:v>-0.38095238095238093</x:v>
      </x:c>
      <x:c r="W3232" s="28" t="n">
        <x:f>L3232-M3232</x:f>
        <x:v>-3</x:v>
      </x:c>
      <x:c r="X3232" s="24" t="n">
        <x:f>IFERROR(K3232/I3232,0)</x:f>
        <x:v>0.17647058823529413</x:v>
      </x:c>
      <x:c r="Y3232" s="24" t="n">
        <x:f>IFERROR(G3232/I3232,0)</x:f>
        <x:v>0.11764705882352941</x:v>
      </x:c>
      <x:c r="Z3232" s="24" t="n">
        <x:f>IFERROR(G3232/K3232,0)</x:f>
        <x:v>0.6666666666666666</x:v>
      </x:c>
      <x:c r="AA3232" s="24" t="n">
        <x:f>IFERROR(F3232/H3232,0)-IFERROR(G3232/I3232,0)</x:f>
        <x:v>-0.006535947712418305</x:v>
      </x:c>
      <x:c r="AB3232" s="28" t="n">
        <x:f>J3232-K3232</x:f>
        <x:v>4</x:v>
      </x:c>
      <x:c r="AC3232" s="32" t="n">
        <x:f>F3232-G3232</x:f>
        <x:v>0</x:v>
      </x:c>
    </x:row>
    <x:row r="3233">
      <x:c r="A3233" s="4" t="str">
        <x:v>2025-26</x:v>
      </x:c>
      <x:c r="B3233" s="20" t="n">
        <x:v>45962</x:v>
      </x:c>
      <x:c r="C3233" s="4" t="str">
        <x:v>Nott'm Forest</x:v>
      </x:c>
      <x:c r="D3233" s="4" t="str">
        <x:v>Man United</x:v>
      </x:c>
      <x:c r="E3233" s="4" t="str">
        <x:v>Home</x:v>
      </x:c>
      <x:c r="F3233" s="28" t="n">
        <x:v>2</x:v>
      </x:c>
      <x:c r="G3233" s="28" t="n">
        <x:v>2</x:v>
      </x:c>
      <x:c r="H3233" s="28" t="n">
        <x:v>17</x:v>
      </x:c>
      <x:c r="I3233" s="28" t="n">
        <x:v>18</x:v>
      </x:c>
      <x:c r="J3233" s="28" t="n">
        <x:v>3</x:v>
      </x:c>
      <x:c r="K3233" s="28" t="n">
        <x:v>7</x:v>
      </x:c>
      <x:c r="L3233" s="28" t="n">
        <x:v>8</x:v>
      </x:c>
      <x:c r="M3233" s="28" t="n">
        <x:v>5</x:v>
      </x:c>
      <x:c r="N3233" s="28" t="n">
        <x:v>1</x:v>
      </x:c>
      <x:c r="O3233" s="28" t="n">
        <x:v>0</x:v>
      </x:c>
      <x:c r="P3233" s="28" t="n">
        <x:v>1</x:v>
      </x:c>
      <x:c r="Q3233" s="24" t="n">
        <x:f>IFERROR(J3233/H3233,0)</x:f>
        <x:v>0.17647058823529413</x:v>
      </x:c>
      <x:c r="R3233" s="24" t="n">
        <x:f>IFERROR(F3233/H3233,0)</x:f>
        <x:v>0.11764705882352941</x:v>
      </x:c>
      <x:c r="S3233" s="24" t="n">
        <x:f>IFERROR(F3233/J3233,0)</x:f>
        <x:v>0.6666666666666666</x:v>
      </x:c>
      <x:c r="T3233" s="28" t="n">
        <x:f>H3233-I3233</x:f>
        <x:v>-1</x:v>
      </x:c>
      <x:c r="U3233" s="24" t="n">
        <x:f>IFERROR(J3233/H3233,0)-IFERROR(K3233/I3233,0)</x:f>
        <x:v>-0.21241830065359477</x:v>
      </x:c>
      <x:c r="V3233" s="24" t="n">
        <x:f>IFERROR(F3233/J3233,0)-IFERROR(G3233/K3233,0)</x:f>
        <x:v>0.38095238095238093</x:v>
      </x:c>
      <x:c r="W3233" s="28" t="n">
        <x:f>L3233-M3233</x:f>
        <x:v>3</x:v>
      </x:c>
      <x:c r="X3233" s="24" t="n">
        <x:f>IFERROR(K3233/I3233,0)</x:f>
        <x:v>0.3888888888888889</x:v>
      </x:c>
      <x:c r="Y3233" s="24" t="n">
        <x:f>IFERROR(G3233/I3233,0)</x:f>
        <x:v>0.1111111111111111</x:v>
      </x:c>
      <x:c r="Z3233" s="24" t="n">
        <x:f>IFERROR(G3233/K3233,0)</x:f>
        <x:v>0.2857142857142857</x:v>
      </x:c>
      <x:c r="AA3233" s="24" t="n">
        <x:f>IFERROR(F3233/H3233,0)-IFERROR(G3233/I3233,0)</x:f>
        <x:v>0.006535947712418305</x:v>
      </x:c>
      <x:c r="AB3233" s="28" t="n">
        <x:f>J3233-K3233</x:f>
        <x:v>-4</x:v>
      </x:c>
      <x:c r="AC3233" s="32" t="n">
        <x:f>F3233-G3233</x:f>
        <x:v>0</x:v>
      </x:c>
    </x:row>
    <x:row r="3234">
      <x:c r="A3234" s="4" t="str">
        <x:v>2025-26</x:v>
      </x:c>
      <x:c r="B3234" s="20" t="n">
        <x:v>45962</x:v>
      </x:c>
      <x:c r="C3234" s="4" t="str">
        <x:v>Tottenham</x:v>
      </x:c>
      <x:c r="D3234" s="4" t="str">
        <x:v>Chelsea</x:v>
      </x:c>
      <x:c r="E3234" s="4" t="str">
        <x:v>Home</x:v>
      </x:c>
      <x:c r="F3234" s="28" t="n">
        <x:v>0</x:v>
      </x:c>
      <x:c r="G3234" s="28" t="n">
        <x:v>1</x:v>
      </x:c>
      <x:c r="H3234" s="28" t="n">
        <x:v>3</x:v>
      </x:c>
      <x:c r="I3234" s="28" t="n">
        <x:v>15</x:v>
      </x:c>
      <x:c r="J3234" s="28" t="n">
        <x:v>1</x:v>
      </x:c>
      <x:c r="K3234" s="28" t="n">
        <x:v>9</x:v>
      </x:c>
      <x:c r="L3234" s="28" t="n">
        <x:v>6</x:v>
      </x:c>
      <x:c r="M3234" s="28" t="n">
        <x:v>5</x:v>
      </x:c>
      <x:c r="N3234" s="28" t="n">
        <x:v>4</x:v>
      </x:c>
      <x:c r="O3234" s="28" t="n">
        <x:v>0</x:v>
      </x:c>
      <x:c r="P3234" s="28" t="n">
        <x:v>0</x:v>
      </x:c>
      <x:c r="Q3234" s="24" t="n">
        <x:f>IFERROR(J3234/H3234,0)</x:f>
        <x:v>0.3333333333333333</x:v>
      </x:c>
      <x:c r="R3234" s="24" t="n">
        <x:f>IFERROR(F3234/H3234,0)</x:f>
        <x:v>0</x:v>
      </x:c>
      <x:c r="S3234" s="24" t="n">
        <x:f>IFERROR(F3234/J3234,0)</x:f>
        <x:v>0</x:v>
      </x:c>
      <x:c r="T3234" s="28" t="n">
        <x:f>H3234-I3234</x:f>
        <x:v>-12</x:v>
      </x:c>
      <x:c r="U3234" s="24" t="n">
        <x:f>IFERROR(J3234/H3234,0)-IFERROR(K3234/I3234,0)</x:f>
        <x:v>-0.26666666666666666</x:v>
      </x:c>
      <x:c r="V3234" s="24" t="n">
        <x:f>IFERROR(F3234/J3234,0)-IFERROR(G3234/K3234,0)</x:f>
        <x:v>-0.1111111111111111</x:v>
      </x:c>
      <x:c r="W3234" s="28" t="n">
        <x:f>L3234-M3234</x:f>
        <x:v>1</x:v>
      </x:c>
      <x:c r="X3234" s="24" t="n">
        <x:f>IFERROR(K3234/I3234,0)</x:f>
        <x:v>0.6</x:v>
      </x:c>
      <x:c r="Y3234" s="24" t="n">
        <x:f>IFERROR(G3234/I3234,0)</x:f>
        <x:v>0.06666666666666667</x:v>
      </x:c>
      <x:c r="Z3234" s="24" t="n">
        <x:f>IFERROR(G3234/K3234,0)</x:f>
        <x:v>0.1111111111111111</x:v>
      </x:c>
      <x:c r="AA3234" s="24" t="n">
        <x:f>IFERROR(F3234/H3234,0)-IFERROR(G3234/I3234,0)</x:f>
        <x:v>-0.06666666666666667</x:v>
      </x:c>
      <x:c r="AB3234" s="28" t="n">
        <x:f>J3234-K3234</x:f>
        <x:v>-8</x:v>
      </x:c>
      <x:c r="AC3234" s="32" t="n">
        <x:f>F3234-G3234</x:f>
        <x:v>-1</x:v>
      </x:c>
    </x:row>
    <x:row r="3235">
      <x:c r="A3235" s="4" t="str">
        <x:v>2025-26</x:v>
      </x:c>
      <x:c r="B3235" s="20" t="n">
        <x:v>45962</x:v>
      </x:c>
      <x:c r="C3235" s="4" t="str">
        <x:v>Wolves</x:v>
      </x:c>
      <x:c r="D3235" s="4" t="str">
        <x:v>Fulham</x:v>
      </x:c>
      <x:c r="E3235" s="4" t="str">
        <x:v>Away</x:v>
      </x:c>
      <x:c r="F3235" s="28" t="n">
        <x:v>0</x:v>
      </x:c>
      <x:c r="G3235" s="28" t="n">
        <x:v>3</x:v>
      </x:c>
      <x:c r="H3235" s="28" t="n">
        <x:v>5</x:v>
      </x:c>
      <x:c r="I3235" s="28" t="n">
        <x:v>19</x:v>
      </x:c>
      <x:c r="J3235" s="28" t="n">
        <x:v>2</x:v>
      </x:c>
      <x:c r="K3235" s="28" t="n">
        <x:v>6</x:v>
      </x:c>
      <x:c r="L3235" s="28" t="n">
        <x:v>1</x:v>
      </x:c>
      <x:c r="M3235" s="28" t="n">
        <x:v>10</x:v>
      </x:c>
      <x:c r="N3235" s="28" t="n">
        <x:v>3</x:v>
      </x:c>
      <x:c r="O3235" s="28" t="n">
        <x:v>1</x:v>
      </x:c>
      <x:c r="P3235" s="28" t="n">
        <x:v>0</x:v>
      </x:c>
      <x:c r="Q3235" s="24" t="n">
        <x:f>IFERROR(J3235/H3235,0)</x:f>
        <x:v>0.4</x:v>
      </x:c>
      <x:c r="R3235" s="24" t="n">
        <x:f>IFERROR(F3235/H3235,0)</x:f>
        <x:v>0</x:v>
      </x:c>
      <x:c r="S3235" s="24" t="n">
        <x:f>IFERROR(F3235/J3235,0)</x:f>
        <x:v>0</x:v>
      </x:c>
      <x:c r="T3235" s="28" t="n">
        <x:f>H3235-I3235</x:f>
        <x:v>-14</x:v>
      </x:c>
      <x:c r="U3235" s="24" t="n">
        <x:f>IFERROR(J3235/H3235,0)-IFERROR(K3235/I3235,0)</x:f>
        <x:v>0.08421052631578951</x:v>
      </x:c>
      <x:c r="V3235" s="24" t="n">
        <x:f>IFERROR(F3235/J3235,0)-IFERROR(G3235/K3235,0)</x:f>
        <x:v>-0.5</x:v>
      </x:c>
      <x:c r="W3235" s="28" t="n">
        <x:f>L3235-M3235</x:f>
        <x:v>-9</x:v>
      </x:c>
      <x:c r="X3235" s="24" t="n">
        <x:f>IFERROR(K3235/I3235,0)</x:f>
        <x:v>0.3157894736842105</x:v>
      </x:c>
      <x:c r="Y3235" s="24" t="n">
        <x:f>IFERROR(G3235/I3235,0)</x:f>
        <x:v>0.15789473684210525</x:v>
      </x:c>
      <x:c r="Z3235" s="24" t="n">
        <x:f>IFERROR(G3235/K3235,0)</x:f>
        <x:v>0.5</x:v>
      </x:c>
      <x:c r="AA3235" s="24" t="n">
        <x:f>IFERROR(F3235/H3235,0)-IFERROR(G3235/I3235,0)</x:f>
        <x:v>-0.15789473684210525</x:v>
      </x:c>
      <x:c r="AB3235" s="28" t="n">
        <x:f>J3235-K3235</x:f>
        <x:v>-4</x:v>
      </x:c>
      <x:c r="AC3235" s="32" t="n">
        <x:f>F3235-G3235</x:f>
        <x:v>-3</x:v>
      </x:c>
    </x:row>
    <x:row r="3236">
      <x:c r="A3236" s="4" t="str">
        <x:v>2025-26</x:v>
      </x:c>
      <x:c r="B3236" s="20" t="n">
        <x:v>45963</x:v>
      </x:c>
      <x:c r="C3236" s="4" t="str">
        <x:v>Bournemouth</x:v>
      </x:c>
      <x:c r="D3236" s="4" t="str">
        <x:v>Man City</x:v>
      </x:c>
      <x:c r="E3236" s="4" t="str">
        <x:v>Away</x:v>
      </x:c>
      <x:c r="F3236" s="28" t="n">
        <x:v>1</x:v>
      </x:c>
      <x:c r="G3236" s="28" t="n">
        <x:v>3</x:v>
      </x:c>
      <x:c r="H3236" s="28" t="n">
        <x:v>8</x:v>
      </x:c>
      <x:c r="I3236" s="28" t="n">
        <x:v>15</x:v>
      </x:c>
      <x:c r="J3236" s="28" t="n">
        <x:v>5</x:v>
      </x:c>
      <x:c r="K3236" s="28" t="n">
        <x:v>8</x:v>
      </x:c>
      <x:c r="L3236" s="28" t="n">
        <x:v>4</x:v>
      </x:c>
      <x:c r="M3236" s="28" t="n">
        <x:v>10</x:v>
      </x:c>
      <x:c r="N3236" s="28" t="n">
        <x:v>2</x:v>
      </x:c>
      <x:c r="O3236" s="28" t="n">
        <x:v>0</x:v>
      </x:c>
      <x:c r="P3236" s="28" t="n">
        <x:v>0</x:v>
      </x:c>
      <x:c r="Q3236" s="24" t="n">
        <x:f>IFERROR(J3236/H3236,0)</x:f>
        <x:v>0.625</x:v>
      </x:c>
      <x:c r="R3236" s="24" t="n">
        <x:f>IFERROR(F3236/H3236,0)</x:f>
        <x:v>0.125</x:v>
      </x:c>
      <x:c r="S3236" s="24" t="n">
        <x:f>IFERROR(F3236/J3236,0)</x:f>
        <x:v>0.2</x:v>
      </x:c>
      <x:c r="T3236" s="28" t="n">
        <x:f>H3236-I3236</x:f>
        <x:v>-7</x:v>
      </x:c>
      <x:c r="U3236" s="24" t="n">
        <x:f>IFERROR(J3236/H3236,0)-IFERROR(K3236/I3236,0)</x:f>
        <x:v>0.09166666666666667</x:v>
      </x:c>
      <x:c r="V3236" s="24" t="n">
        <x:f>IFERROR(F3236/J3236,0)-IFERROR(G3236/K3236,0)</x:f>
        <x:v>-0.175</x:v>
      </x:c>
      <x:c r="W3236" s="28" t="n">
        <x:f>L3236-M3236</x:f>
        <x:v>-6</x:v>
      </x:c>
      <x:c r="X3236" s="24" t="n">
        <x:f>IFERROR(K3236/I3236,0)</x:f>
        <x:v>0.5333333333333333</x:v>
      </x:c>
      <x:c r="Y3236" s="24" t="n">
        <x:f>IFERROR(G3236/I3236,0)</x:f>
        <x:v>0.2</x:v>
      </x:c>
      <x:c r="Z3236" s="24" t="n">
        <x:f>IFERROR(G3236/K3236,0)</x:f>
        <x:v>0.375</x:v>
      </x:c>
      <x:c r="AA3236" s="24" t="n">
        <x:f>IFERROR(F3236/H3236,0)-IFERROR(G3236/I3236,0)</x:f>
        <x:v>-0.07500000000000001</x:v>
      </x:c>
      <x:c r="AB3236" s="28" t="n">
        <x:f>J3236-K3236</x:f>
        <x:v>-3</x:v>
      </x:c>
      <x:c r="AC3236" s="32" t="n">
        <x:f>F3236-G3236</x:f>
        <x:v>-2</x:v>
      </x:c>
    </x:row>
    <x:row r="3237">
      <x:c r="A3237" s="4" t="str">
        <x:v>2025-26</x:v>
      </x:c>
      <x:c r="B3237" s="20" t="n">
        <x:v>45963</x:v>
      </x:c>
      <x:c r="C3237" s="4" t="str">
        <x:v>Man City</x:v>
      </x:c>
      <x:c r="D3237" s="4" t="str">
        <x:v>Bournemouth</x:v>
      </x:c>
      <x:c r="E3237" s="4" t="str">
        <x:v>Home</x:v>
      </x:c>
      <x:c r="F3237" s="28" t="n">
        <x:v>3</x:v>
      </x:c>
      <x:c r="G3237" s="28" t="n">
        <x:v>1</x:v>
      </x:c>
      <x:c r="H3237" s="28" t="n">
        <x:v>15</x:v>
      </x:c>
      <x:c r="I3237" s="28" t="n">
        <x:v>8</x:v>
      </x:c>
      <x:c r="J3237" s="28" t="n">
        <x:v>8</x:v>
      </x:c>
      <x:c r="K3237" s="28" t="n">
        <x:v>5</x:v>
      </x:c>
      <x:c r="L3237" s="28" t="n">
        <x:v>10</x:v>
      </x:c>
      <x:c r="M3237" s="28" t="n">
        <x:v>4</x:v>
      </x:c>
      <x:c r="N3237" s="28" t="n">
        <x:v>2</x:v>
      </x:c>
      <x:c r="O3237" s="28" t="n">
        <x:v>0</x:v>
      </x:c>
      <x:c r="P3237" s="28" t="n">
        <x:v>3</x:v>
      </x:c>
      <x:c r="Q3237" s="24" t="n">
        <x:f>IFERROR(J3237/H3237,0)</x:f>
        <x:v>0.5333333333333333</x:v>
      </x:c>
      <x:c r="R3237" s="24" t="n">
        <x:f>IFERROR(F3237/H3237,0)</x:f>
        <x:v>0.2</x:v>
      </x:c>
      <x:c r="S3237" s="24" t="n">
        <x:f>IFERROR(F3237/J3237,0)</x:f>
        <x:v>0.375</x:v>
      </x:c>
      <x:c r="T3237" s="28" t="n">
        <x:f>H3237-I3237</x:f>
        <x:v>7</x:v>
      </x:c>
      <x:c r="U3237" s="24" t="n">
        <x:f>IFERROR(J3237/H3237,0)-IFERROR(K3237/I3237,0)</x:f>
        <x:v>-0.09166666666666667</x:v>
      </x:c>
      <x:c r="V3237" s="24" t="n">
        <x:f>IFERROR(F3237/J3237,0)-IFERROR(G3237/K3237,0)</x:f>
        <x:v>0.175</x:v>
      </x:c>
      <x:c r="W3237" s="28" t="n">
        <x:f>L3237-M3237</x:f>
        <x:v>6</x:v>
      </x:c>
      <x:c r="X3237" s="24" t="n">
        <x:f>IFERROR(K3237/I3237,0)</x:f>
        <x:v>0.625</x:v>
      </x:c>
      <x:c r="Y3237" s="24" t="n">
        <x:f>IFERROR(G3237/I3237,0)</x:f>
        <x:v>0.125</x:v>
      </x:c>
      <x:c r="Z3237" s="24" t="n">
        <x:f>IFERROR(G3237/K3237,0)</x:f>
        <x:v>0.2</x:v>
      </x:c>
      <x:c r="AA3237" s="24" t="n">
        <x:f>IFERROR(F3237/H3237,0)-IFERROR(G3237/I3237,0)</x:f>
        <x:v>0.07500000000000001</x:v>
      </x:c>
      <x:c r="AB3237" s="28" t="n">
        <x:f>J3237-K3237</x:f>
        <x:v>3</x:v>
      </x:c>
      <x:c r="AC3237" s="32" t="n">
        <x:f>F3237-G3237</x:f>
        <x:v>2</x:v>
      </x:c>
    </x:row>
    <x:row r="3238">
      <x:c r="A3238" s="4" t="str">
        <x:v>2025-26</x:v>
      </x:c>
      <x:c r="B3238" s="20" t="n">
        <x:v>45963</x:v>
      </x:c>
      <x:c r="C3238" s="4" t="str">
        <x:v>Newcastle</x:v>
      </x:c>
      <x:c r="D3238" s="4" t="str">
        <x:v>West Ham</x:v>
      </x:c>
      <x:c r="E3238" s="4" t="str">
        <x:v>Away</x:v>
      </x:c>
      <x:c r="F3238" s="28" t="n">
        <x:v>1</x:v>
      </x:c>
      <x:c r="G3238" s="28" t="n">
        <x:v>3</x:v>
      </x:c>
      <x:c r="H3238" s="28" t="n">
        <x:v>12</x:v>
      </x:c>
      <x:c r="I3238" s="28" t="n">
        <x:v>15</x:v>
      </x:c>
      <x:c r="J3238" s="28" t="n">
        <x:v>4</x:v>
      </x:c>
      <x:c r="K3238" s="28" t="n">
        <x:v>9</x:v>
      </x:c>
      <x:c r="L3238" s="28" t="n">
        <x:v>6</x:v>
      </x:c>
      <x:c r="M3238" s="28" t="n">
        <x:v>7</x:v>
      </x:c>
      <x:c r="N3238" s="28" t="n">
        <x:v>2</x:v>
      </x:c>
      <x:c r="O3238" s="28" t="n">
        <x:v>0</x:v>
      </x:c>
      <x:c r="P3238" s="28" t="n">
        <x:v>0</x:v>
      </x:c>
      <x:c r="Q3238" s="24" t="n">
        <x:f>IFERROR(J3238/H3238,0)</x:f>
        <x:v>0.3333333333333333</x:v>
      </x:c>
      <x:c r="R3238" s="24" t="n">
        <x:f>IFERROR(F3238/H3238,0)</x:f>
        <x:v>0.08333333333333333</x:v>
      </x:c>
      <x:c r="S3238" s="24" t="n">
        <x:f>IFERROR(F3238/J3238,0)</x:f>
        <x:v>0.25</x:v>
      </x:c>
      <x:c r="T3238" s="28" t="n">
        <x:f>H3238-I3238</x:f>
        <x:v>-3</x:v>
      </x:c>
      <x:c r="U3238" s="24" t="n">
        <x:f>IFERROR(J3238/H3238,0)-IFERROR(K3238/I3238,0)</x:f>
        <x:v>-0.26666666666666666</x:v>
      </x:c>
      <x:c r="V3238" s="24" t="n">
        <x:f>IFERROR(F3238/J3238,0)-IFERROR(G3238/K3238,0)</x:f>
        <x:v>-0.08333333333333331</x:v>
      </x:c>
      <x:c r="W3238" s="28" t="n">
        <x:f>L3238-M3238</x:f>
        <x:v>-1</x:v>
      </x:c>
      <x:c r="X3238" s="24" t="n">
        <x:f>IFERROR(K3238/I3238,0)</x:f>
        <x:v>0.6</x:v>
      </x:c>
      <x:c r="Y3238" s="24" t="n">
        <x:f>IFERROR(G3238/I3238,0)</x:f>
        <x:v>0.2</x:v>
      </x:c>
      <x:c r="Z3238" s="24" t="n">
        <x:f>IFERROR(G3238/K3238,0)</x:f>
        <x:v>0.3333333333333333</x:v>
      </x:c>
      <x:c r="AA3238" s="24" t="n">
        <x:f>IFERROR(F3238/H3238,0)-IFERROR(G3238/I3238,0)</x:f>
        <x:v>-0.11666666666666668</x:v>
      </x:c>
      <x:c r="AB3238" s="28" t="n">
        <x:f>J3238-K3238</x:f>
        <x:v>-5</x:v>
      </x:c>
      <x:c r="AC3238" s="32" t="n">
        <x:f>F3238-G3238</x:f>
        <x:v>-2</x:v>
      </x:c>
    </x:row>
    <x:row r="3239">
      <x:c r="A3239" s="4" t="str">
        <x:v>2025-26</x:v>
      </x:c>
      <x:c r="B3239" s="20" t="n">
        <x:v>45963</x:v>
      </x:c>
      <x:c r="C3239" s="4" t="str">
        <x:v>West Ham</x:v>
      </x:c>
      <x:c r="D3239" s="4" t="str">
        <x:v>Newcastle</x:v>
      </x:c>
      <x:c r="E3239" s="4" t="str">
        <x:v>Home</x:v>
      </x:c>
      <x:c r="F3239" s="28" t="n">
        <x:v>3</x:v>
      </x:c>
      <x:c r="G3239" s="28" t="n">
        <x:v>1</x:v>
      </x:c>
      <x:c r="H3239" s="28" t="n">
        <x:v>15</x:v>
      </x:c>
      <x:c r="I3239" s="28" t="n">
        <x:v>12</x:v>
      </x:c>
      <x:c r="J3239" s="28" t="n">
        <x:v>9</x:v>
      </x:c>
      <x:c r="K3239" s="28" t="n">
        <x:v>4</x:v>
      </x:c>
      <x:c r="L3239" s="28" t="n">
        <x:v>7</x:v>
      </x:c>
      <x:c r="M3239" s="28" t="n">
        <x:v>6</x:v>
      </x:c>
      <x:c r="N3239" s="28" t="n">
        <x:v>1</x:v>
      </x:c>
      <x:c r="O3239" s="28" t="n">
        <x:v>0</x:v>
      </x:c>
      <x:c r="P3239" s="28" t="n">
        <x:v>3</x:v>
      </x:c>
      <x:c r="Q3239" s="24" t="n">
        <x:f>IFERROR(J3239/H3239,0)</x:f>
        <x:v>0.6</x:v>
      </x:c>
      <x:c r="R3239" s="24" t="n">
        <x:f>IFERROR(F3239/H3239,0)</x:f>
        <x:v>0.2</x:v>
      </x:c>
      <x:c r="S3239" s="24" t="n">
        <x:f>IFERROR(F3239/J3239,0)</x:f>
        <x:v>0.3333333333333333</x:v>
      </x:c>
      <x:c r="T3239" s="28" t="n">
        <x:f>H3239-I3239</x:f>
        <x:v>3</x:v>
      </x:c>
      <x:c r="U3239" s="24" t="n">
        <x:f>IFERROR(J3239/H3239,0)-IFERROR(K3239/I3239,0)</x:f>
        <x:v>0.26666666666666666</x:v>
      </x:c>
      <x:c r="V3239" s="24" t="n">
        <x:f>IFERROR(F3239/J3239,0)-IFERROR(G3239/K3239,0)</x:f>
        <x:v>0.08333333333333331</x:v>
      </x:c>
      <x:c r="W3239" s="28" t="n">
        <x:f>L3239-M3239</x:f>
        <x:v>1</x:v>
      </x:c>
      <x:c r="X3239" s="24" t="n">
        <x:f>IFERROR(K3239/I3239,0)</x:f>
        <x:v>0.3333333333333333</x:v>
      </x:c>
      <x:c r="Y3239" s="24" t="n">
        <x:f>IFERROR(G3239/I3239,0)</x:f>
        <x:v>0.08333333333333333</x:v>
      </x:c>
      <x:c r="Z3239" s="24" t="n">
        <x:f>IFERROR(G3239/K3239,0)</x:f>
        <x:v>0.25</x:v>
      </x:c>
      <x:c r="AA3239" s="24" t="n">
        <x:f>IFERROR(F3239/H3239,0)-IFERROR(G3239/I3239,0)</x:f>
        <x:v>0.11666666666666668</x:v>
      </x:c>
      <x:c r="AB3239" s="28" t="n">
        <x:f>J3239-K3239</x:f>
        <x:v>5</x:v>
      </x:c>
      <x:c r="AC3239" s="32" t="n">
        <x:f>F3239-G3239</x:f>
        <x:v>2</x:v>
      </x:c>
    </x:row>
    <x:row r="3240">
      <x:c r="A3240" s="4" t="str">
        <x:v>2025-26</x:v>
      </x:c>
      <x:c r="B3240" s="20" t="n">
        <x:v>45964</x:v>
      </x:c>
      <x:c r="C3240" s="4" t="str">
        <x:v>Everton</x:v>
      </x:c>
      <x:c r="D3240" s="4" t="str">
        <x:v>Sunderland</x:v>
      </x:c>
      <x:c r="E3240" s="4" t="str">
        <x:v>Away</x:v>
      </x:c>
      <x:c r="F3240" s="28" t="n">
        <x:v>1</x:v>
      </x:c>
      <x:c r="G3240" s="28" t="n">
        <x:v>1</x:v>
      </x:c>
      <x:c r="H3240" s="28" t="n">
        <x:v>8</x:v>
      </x:c>
      <x:c r="I3240" s="28" t="n">
        <x:v>17</x:v>
      </x:c>
      <x:c r="J3240" s="28" t="n">
        <x:v>2</x:v>
      </x:c>
      <x:c r="K3240" s="28" t="n">
        <x:v>3</x:v>
      </x:c>
      <x:c r="L3240" s="28" t="n">
        <x:v>1</x:v>
      </x:c>
      <x:c r="M3240" s="28" t="n">
        <x:v>4</x:v>
      </x:c>
      <x:c r="N3240" s="28" t="n">
        <x:v>2</x:v>
      </x:c>
      <x:c r="O3240" s="28" t="n">
        <x:v>0</x:v>
      </x:c>
      <x:c r="P3240" s="28" t="n">
        <x:v>1</x:v>
      </x:c>
      <x:c r="Q3240" s="24" t="n">
        <x:f>IFERROR(J3240/H3240,0)</x:f>
        <x:v>0.25</x:v>
      </x:c>
      <x:c r="R3240" s="24" t="n">
        <x:f>IFERROR(F3240/H3240,0)</x:f>
        <x:v>0.125</x:v>
      </x:c>
      <x:c r="S3240" s="24" t="n">
        <x:f>IFERROR(F3240/J3240,0)</x:f>
        <x:v>0.5</x:v>
      </x:c>
      <x:c r="T3240" s="28" t="n">
        <x:f>H3240-I3240</x:f>
        <x:v>-9</x:v>
      </x:c>
      <x:c r="U3240" s="24" t="n">
        <x:f>IFERROR(J3240/H3240,0)-IFERROR(K3240/I3240,0)</x:f>
        <x:v>0.07352941176470587</x:v>
      </x:c>
      <x:c r="V3240" s="24" t="n">
        <x:f>IFERROR(F3240/J3240,0)-IFERROR(G3240/K3240,0)</x:f>
        <x:v>0.16666666666666669</x:v>
      </x:c>
      <x:c r="W3240" s="28" t="n">
        <x:f>L3240-M3240</x:f>
        <x:v>-3</x:v>
      </x:c>
      <x:c r="X3240" s="24" t="n">
        <x:f>IFERROR(K3240/I3240,0)</x:f>
        <x:v>0.17647058823529413</x:v>
      </x:c>
      <x:c r="Y3240" s="24" t="n">
        <x:f>IFERROR(G3240/I3240,0)</x:f>
        <x:v>0.058823529411764705</x:v>
      </x:c>
      <x:c r="Z3240" s="24" t="n">
        <x:f>IFERROR(G3240/K3240,0)</x:f>
        <x:v>0.3333333333333333</x:v>
      </x:c>
      <x:c r="AA3240" s="24" t="n">
        <x:f>IFERROR(F3240/H3240,0)-IFERROR(G3240/I3240,0)</x:f>
        <x:v>0.0661764705882353</x:v>
      </x:c>
      <x:c r="AB3240" s="28" t="n">
        <x:f>J3240-K3240</x:f>
        <x:v>-1</x:v>
      </x:c>
      <x:c r="AC3240" s="32" t="n">
        <x:f>F3240-G3240</x:f>
        <x:v>0</x:v>
      </x:c>
    </x:row>
    <x:row r="3241">
      <x:c r="A3241" s="4" t="str">
        <x:v>2025-26</x:v>
      </x:c>
      <x:c r="B3241" s="20" t="n">
        <x:v>45964</x:v>
      </x:c>
      <x:c r="C3241" s="4" t="str">
        <x:v>Sunderland</x:v>
      </x:c>
      <x:c r="D3241" s="4" t="str">
        <x:v>Everton</x:v>
      </x:c>
      <x:c r="E3241" s="4" t="str">
        <x:v>Home</x:v>
      </x:c>
      <x:c r="F3241" s="28" t="n">
        <x:v>1</x:v>
      </x:c>
      <x:c r="G3241" s="28" t="n">
        <x:v>1</x:v>
      </x:c>
      <x:c r="H3241" s="28" t="n">
        <x:v>17</x:v>
      </x:c>
      <x:c r="I3241" s="28" t="n">
        <x:v>8</x:v>
      </x:c>
      <x:c r="J3241" s="28" t="n">
        <x:v>3</x:v>
      </x:c>
      <x:c r="K3241" s="28" t="n">
        <x:v>2</x:v>
      </x:c>
      <x:c r="L3241" s="28" t="n">
        <x:v>4</x:v>
      </x:c>
      <x:c r="M3241" s="28" t="n">
        <x:v>1</x:v>
      </x:c>
      <x:c r="N3241" s="28" t="n">
        <x:v>3</x:v>
      </x:c>
      <x:c r="O3241" s="28" t="n">
        <x:v>0</x:v>
      </x:c>
      <x:c r="P3241" s="28" t="n">
        <x:v>1</x:v>
      </x:c>
      <x:c r="Q3241" s="24" t="n">
        <x:f>IFERROR(J3241/H3241,0)</x:f>
        <x:v>0.17647058823529413</x:v>
      </x:c>
      <x:c r="R3241" s="24" t="n">
        <x:f>IFERROR(F3241/H3241,0)</x:f>
        <x:v>0.058823529411764705</x:v>
      </x:c>
      <x:c r="S3241" s="24" t="n">
        <x:f>IFERROR(F3241/J3241,0)</x:f>
        <x:v>0.3333333333333333</x:v>
      </x:c>
      <x:c r="T3241" s="28" t="n">
        <x:f>H3241-I3241</x:f>
        <x:v>9</x:v>
      </x:c>
      <x:c r="U3241" s="24" t="n">
        <x:f>IFERROR(J3241/H3241,0)-IFERROR(K3241/I3241,0)</x:f>
        <x:v>-0.07352941176470587</x:v>
      </x:c>
      <x:c r="V3241" s="24" t="n">
        <x:f>IFERROR(F3241/J3241,0)-IFERROR(G3241/K3241,0)</x:f>
        <x:v>-0.16666666666666669</x:v>
      </x:c>
      <x:c r="W3241" s="28" t="n">
        <x:f>L3241-M3241</x:f>
        <x:v>3</x:v>
      </x:c>
      <x:c r="X3241" s="24" t="n">
        <x:f>IFERROR(K3241/I3241,0)</x:f>
        <x:v>0.25</x:v>
      </x:c>
      <x:c r="Y3241" s="24" t="n">
        <x:f>IFERROR(G3241/I3241,0)</x:f>
        <x:v>0.125</x:v>
      </x:c>
      <x:c r="Z3241" s="24" t="n">
        <x:f>IFERROR(G3241/K3241,0)</x:f>
        <x:v>0.5</x:v>
      </x:c>
      <x:c r="AA3241" s="24" t="n">
        <x:f>IFERROR(F3241/H3241,0)-IFERROR(G3241/I3241,0)</x:f>
        <x:v>-0.0661764705882353</x:v>
      </x:c>
      <x:c r="AB3241" s="28" t="n">
        <x:f>J3241-K3241</x:f>
        <x:v>1</x:v>
      </x:c>
      <x:c r="AC3241" s="32" t="n">
        <x:f>F3241-G3241</x:f>
        <x:v>0</x:v>
      </x:c>
    </x:row>
    <x:row r="3242">
      <x:c r="A3242" s="4" t="str">
        <x:v>2025-26</x:v>
      </x:c>
      <x:c r="B3242" s="20" t="n">
        <x:v>45969</x:v>
      </x:c>
      <x:c r="C3242" s="4" t="str">
        <x:v>Arsenal</x:v>
      </x:c>
      <x:c r="D3242" s="4" t="str">
        <x:v>Sunderland</x:v>
      </x:c>
      <x:c r="E3242" s="4" t="str">
        <x:v>Away</x:v>
      </x:c>
      <x:c r="F3242" s="28" t="n">
        <x:v>2</x:v>
      </x:c>
      <x:c r="G3242" s="28" t="n">
        <x:v>2</x:v>
      </x:c>
      <x:c r="H3242" s="28" t="n">
        <x:v>17</x:v>
      </x:c>
      <x:c r="I3242" s="28" t="n">
        <x:v>6</x:v>
      </x:c>
      <x:c r="J3242" s="28" t="n">
        <x:v>7</x:v>
      </x:c>
      <x:c r="K3242" s="28" t="n">
        <x:v>2</x:v>
      </x:c>
      <x:c r="L3242" s="28" t="n">
        <x:v>2</x:v>
      </x:c>
      <x:c r="M3242" s="28" t="n">
        <x:v>2</x:v>
      </x:c>
      <x:c r="N3242" s="28" t="n">
        <x:v>1</x:v>
      </x:c>
      <x:c r="O3242" s="28" t="n">
        <x:v>0</x:v>
      </x:c>
      <x:c r="P3242" s="28" t="n">
        <x:v>1</x:v>
      </x:c>
      <x:c r="Q3242" s="24" t="n">
        <x:f>IFERROR(J3242/H3242,0)</x:f>
        <x:v>0.4117647058823529</x:v>
      </x:c>
      <x:c r="R3242" s="24" t="n">
        <x:f>IFERROR(F3242/H3242,0)</x:f>
        <x:v>0.11764705882352941</x:v>
      </x:c>
      <x:c r="S3242" s="24" t="n">
        <x:f>IFERROR(F3242/J3242,0)</x:f>
        <x:v>0.2857142857142857</x:v>
      </x:c>
      <x:c r="T3242" s="28" t="n">
        <x:f>H3242-I3242</x:f>
        <x:v>11</x:v>
      </x:c>
      <x:c r="U3242" s="24" t="n">
        <x:f>IFERROR(J3242/H3242,0)-IFERROR(K3242/I3242,0)</x:f>
        <x:v>0.0784313725490196</x:v>
      </x:c>
      <x:c r="V3242" s="24" t="n">
        <x:f>IFERROR(F3242/J3242,0)-IFERROR(G3242/K3242,0)</x:f>
        <x:v>-0.7142857142857143</x:v>
      </x:c>
      <x:c r="W3242" s="28" t="n">
        <x:f>L3242-M3242</x:f>
        <x:v>0</x:v>
      </x:c>
      <x:c r="X3242" s="24" t="n">
        <x:f>IFERROR(K3242/I3242,0)</x:f>
        <x:v>0.3333333333333333</x:v>
      </x:c>
      <x:c r="Y3242" s="24" t="n">
        <x:f>IFERROR(G3242/I3242,0)</x:f>
        <x:v>0.3333333333333333</x:v>
      </x:c>
      <x:c r="Z3242" s="24" t="n">
        <x:f>IFERROR(G3242/K3242,0)</x:f>
        <x:v>1</x:v>
      </x:c>
      <x:c r="AA3242" s="24" t="n">
        <x:f>IFERROR(F3242/H3242,0)-IFERROR(G3242/I3242,0)</x:f>
        <x:v>-0.2156862745098039</x:v>
      </x:c>
      <x:c r="AB3242" s="28" t="n">
        <x:f>J3242-K3242</x:f>
        <x:v>5</x:v>
      </x:c>
      <x:c r="AC3242" s="32" t="n">
        <x:f>F3242-G3242</x:f>
        <x:v>0</x:v>
      </x:c>
    </x:row>
    <x:row r="3243">
      <x:c r="A3243" s="4" t="str">
        <x:v>2025-26</x:v>
      </x:c>
      <x:c r="B3243" s="20" t="n">
        <x:v>45969</x:v>
      </x:c>
      <x:c r="C3243" s="4" t="str">
        <x:v>Burnley</x:v>
      </x:c>
      <x:c r="D3243" s="4" t="str">
        <x:v>West Ham</x:v>
      </x:c>
      <x:c r="E3243" s="4" t="str">
        <x:v>Away</x:v>
      </x:c>
      <x:c r="F3243" s="28" t="n">
        <x:v>2</x:v>
      </x:c>
      <x:c r="G3243" s="28" t="n">
        <x:v>3</x:v>
      </x:c>
      <x:c r="H3243" s="28" t="n">
        <x:v>16</x:v>
      </x:c>
      <x:c r="I3243" s="28" t="n">
        <x:v>15</x:v>
      </x:c>
      <x:c r="J3243" s="28" t="n">
        <x:v>7</x:v>
      </x:c>
      <x:c r="K3243" s="28" t="n">
        <x:v>6</x:v>
      </x:c>
      <x:c r="L3243" s="28" t="n">
        <x:v>4</x:v>
      </x:c>
      <x:c r="M3243" s="28" t="n">
        <x:v>7</x:v>
      </x:c>
      <x:c r="N3243" s="28" t="n">
        <x:v>2</x:v>
      </x:c>
      <x:c r="O3243" s="28" t="n">
        <x:v>0</x:v>
      </x:c>
      <x:c r="P3243" s="28" t="n">
        <x:v>0</x:v>
      </x:c>
      <x:c r="Q3243" s="24" t="n">
        <x:f>IFERROR(J3243/H3243,0)</x:f>
        <x:v>0.4375</x:v>
      </x:c>
      <x:c r="R3243" s="24" t="n">
        <x:f>IFERROR(F3243/H3243,0)</x:f>
        <x:v>0.125</x:v>
      </x:c>
      <x:c r="S3243" s="24" t="n">
        <x:f>IFERROR(F3243/J3243,0)</x:f>
        <x:v>0.2857142857142857</x:v>
      </x:c>
      <x:c r="T3243" s="28" t="n">
        <x:f>H3243-I3243</x:f>
        <x:v>1</x:v>
      </x:c>
      <x:c r="U3243" s="24" t="n">
        <x:f>IFERROR(J3243/H3243,0)-IFERROR(K3243/I3243,0)</x:f>
        <x:v>0.03749999999999998</x:v>
      </x:c>
      <x:c r="V3243" s="24" t="n">
        <x:f>IFERROR(F3243/J3243,0)-IFERROR(G3243/K3243,0)</x:f>
        <x:v>-0.2142857142857143</x:v>
      </x:c>
      <x:c r="W3243" s="28" t="n">
        <x:f>L3243-M3243</x:f>
        <x:v>-3</x:v>
      </x:c>
      <x:c r="X3243" s="24" t="n">
        <x:f>IFERROR(K3243/I3243,0)</x:f>
        <x:v>0.4</x:v>
      </x:c>
      <x:c r="Y3243" s="24" t="n">
        <x:f>IFERROR(G3243/I3243,0)</x:f>
        <x:v>0.2</x:v>
      </x:c>
      <x:c r="Z3243" s="24" t="n">
        <x:f>IFERROR(G3243/K3243,0)</x:f>
        <x:v>0.5</x:v>
      </x:c>
      <x:c r="AA3243" s="24" t="n">
        <x:f>IFERROR(F3243/H3243,0)-IFERROR(G3243/I3243,0)</x:f>
        <x:v>-0.07500000000000001</x:v>
      </x:c>
      <x:c r="AB3243" s="28" t="n">
        <x:f>J3243-K3243</x:f>
        <x:v>1</x:v>
      </x:c>
      <x:c r="AC3243" s="32" t="n">
        <x:f>F3243-G3243</x:f>
        <x:v>-1</x:v>
      </x:c>
    </x:row>
    <x:row r="3244">
      <x:c r="A3244" s="4" t="str">
        <x:v>2025-26</x:v>
      </x:c>
      <x:c r="B3244" s="20" t="n">
        <x:v>45969</x:v>
      </x:c>
      <x:c r="C3244" s="4" t="str">
        <x:v>Chelsea</x:v>
      </x:c>
      <x:c r="D3244" s="4" t="str">
        <x:v>Wolves</x:v>
      </x:c>
      <x:c r="E3244" s="4" t="str">
        <x:v>Home</x:v>
      </x:c>
      <x:c r="F3244" s="28" t="n">
        <x:v>3</x:v>
      </x:c>
      <x:c r="G3244" s="28" t="n">
        <x:v>0</x:v>
      </x:c>
      <x:c r="H3244" s="28" t="n">
        <x:v>20</x:v>
      </x:c>
      <x:c r="I3244" s="28" t="n">
        <x:v>3</x:v>
      </x:c>
      <x:c r="J3244" s="28" t="n">
        <x:v>8</x:v>
      </x:c>
      <x:c r="K3244" s="28" t="n">
        <x:v>0</x:v>
      </x:c>
      <x:c r="L3244" s="28" t="n">
        <x:v>10</x:v>
      </x:c>
      <x:c r="M3244" s="28" t="n">
        <x:v>1</x:v>
      </x:c>
      <x:c r="N3244" s="28" t="n">
        <x:v>1</x:v>
      </x:c>
      <x:c r="O3244" s="28" t="n">
        <x:v>0</x:v>
      </x:c>
      <x:c r="P3244" s="28" t="n">
        <x:v>3</x:v>
      </x:c>
      <x:c r="Q3244" s="24" t="n">
        <x:f>IFERROR(J3244/H3244,0)</x:f>
        <x:v>0.4</x:v>
      </x:c>
      <x:c r="R3244" s="24" t="n">
        <x:f>IFERROR(F3244/H3244,0)</x:f>
        <x:v>0.15</x:v>
      </x:c>
      <x:c r="S3244" s="24" t="n">
        <x:f>IFERROR(F3244/J3244,0)</x:f>
        <x:v>0.375</x:v>
      </x:c>
      <x:c r="T3244" s="28" t="n">
        <x:f>H3244-I3244</x:f>
        <x:v>17</x:v>
      </x:c>
      <x:c r="U3244" s="24" t="n">
        <x:f>IFERROR(J3244/H3244,0)-IFERROR(K3244/I3244,0)</x:f>
        <x:v>0.4</x:v>
      </x:c>
      <x:c r="V3244" s="24" t="n">
        <x:f>IFERROR(F3244/J3244,0)-IFERROR(G3244/K3244,0)</x:f>
        <x:v>0.375</x:v>
      </x:c>
      <x:c r="W3244" s="28" t="n">
        <x:f>L3244-M3244</x:f>
        <x:v>9</x:v>
      </x:c>
      <x:c r="X3244" s="24" t="n">
        <x:f>IFERROR(K3244/I3244,0)</x:f>
        <x:v>0</x:v>
      </x:c>
      <x:c r="Y3244" s="24" t="n">
        <x:f>IFERROR(G3244/I3244,0)</x:f>
        <x:v>0</x:v>
      </x:c>
      <x:c r="Z3244" s="24" t="n">
        <x:f>IFERROR(G3244/K3244,0)</x:f>
        <x:v>0</x:v>
      </x:c>
      <x:c r="AA3244" s="24" t="n">
        <x:f>IFERROR(F3244/H3244,0)-IFERROR(G3244/I3244,0)</x:f>
        <x:v>0.15</x:v>
      </x:c>
      <x:c r="AB3244" s="28" t="n">
        <x:f>J3244-K3244</x:f>
        <x:v>8</x:v>
      </x:c>
      <x:c r="AC3244" s="32" t="n">
        <x:f>F3244-G3244</x:f>
        <x:v>3</x:v>
      </x:c>
    </x:row>
    <x:row r="3245">
      <x:c r="A3245" s="4" t="str">
        <x:v>2025-26</x:v>
      </x:c>
      <x:c r="B3245" s="20" t="n">
        <x:v>45969</x:v>
      </x:c>
      <x:c r="C3245" s="4" t="str">
        <x:v>Everton</x:v>
      </x:c>
      <x:c r="D3245" s="4" t="str">
        <x:v>Fulham</x:v>
      </x:c>
      <x:c r="E3245" s="4" t="str">
        <x:v>Home</x:v>
      </x:c>
      <x:c r="F3245" s="28" t="n">
        <x:v>2</x:v>
      </x:c>
      <x:c r="G3245" s="28" t="n">
        <x:v>0</x:v>
      </x:c>
      <x:c r="H3245" s="28" t="n">
        <x:v>14</x:v>
      </x:c>
      <x:c r="I3245" s="28" t="n">
        <x:v>8</x:v>
      </x:c>
      <x:c r="J3245" s="28" t="n">
        <x:v>5</x:v>
      </x:c>
      <x:c r="K3245" s="28" t="n">
        <x:v>4</x:v>
      </x:c>
      <x:c r="L3245" s="28" t="n">
        <x:v>7</x:v>
      </x:c>
      <x:c r="M3245" s="28" t="n">
        <x:v>5</x:v>
      </x:c>
      <x:c r="N3245" s="28" t="n">
        <x:v>2</x:v>
      </x:c>
      <x:c r="O3245" s="28" t="n">
        <x:v>0</x:v>
      </x:c>
      <x:c r="P3245" s="28" t="n">
        <x:v>3</x:v>
      </x:c>
      <x:c r="Q3245" s="24" t="n">
        <x:f>IFERROR(J3245/H3245,0)</x:f>
        <x:v>0.35714285714285715</x:v>
      </x:c>
      <x:c r="R3245" s="24" t="n">
        <x:f>IFERROR(F3245/H3245,0)</x:f>
        <x:v>0.14285714285714285</x:v>
      </x:c>
      <x:c r="S3245" s="24" t="n">
        <x:f>IFERROR(F3245/J3245,0)</x:f>
        <x:v>0.4</x:v>
      </x:c>
      <x:c r="T3245" s="28" t="n">
        <x:f>H3245-I3245</x:f>
        <x:v>6</x:v>
      </x:c>
      <x:c r="U3245" s="24" t="n">
        <x:f>IFERROR(J3245/H3245,0)-IFERROR(K3245/I3245,0)</x:f>
        <x:v>-0.14285714285714285</x:v>
      </x:c>
      <x:c r="V3245" s="24" t="n">
        <x:f>IFERROR(F3245/J3245,0)-IFERROR(G3245/K3245,0)</x:f>
        <x:v>0.4</x:v>
      </x:c>
      <x:c r="W3245" s="28" t="n">
        <x:f>L3245-M3245</x:f>
        <x:v>2</x:v>
      </x:c>
      <x:c r="X3245" s="24" t="n">
        <x:f>IFERROR(K3245/I3245,0)</x:f>
        <x:v>0.5</x:v>
      </x:c>
      <x:c r="Y3245" s="24" t="n">
        <x:f>IFERROR(G3245/I3245,0)</x:f>
        <x:v>0</x:v>
      </x:c>
      <x:c r="Z3245" s="24" t="n">
        <x:f>IFERROR(G3245/K3245,0)</x:f>
        <x:v>0</x:v>
      </x:c>
      <x:c r="AA3245" s="24" t="n">
        <x:f>IFERROR(F3245/H3245,0)-IFERROR(G3245/I3245,0)</x:f>
        <x:v>0.14285714285714285</x:v>
      </x:c>
      <x:c r="AB3245" s="28" t="n">
        <x:f>J3245-K3245</x:f>
        <x:v>1</x:v>
      </x:c>
      <x:c r="AC3245" s="32" t="n">
        <x:f>F3245-G3245</x:f>
        <x:v>2</x:v>
      </x:c>
    </x:row>
    <x:row r="3246">
      <x:c r="A3246" s="4" t="str">
        <x:v>2025-26</x:v>
      </x:c>
      <x:c r="B3246" s="20" t="n">
        <x:v>45969</x:v>
      </x:c>
      <x:c r="C3246" s="4" t="str">
        <x:v>Fulham</x:v>
      </x:c>
      <x:c r="D3246" s="4" t="str">
        <x:v>Everton</x:v>
      </x:c>
      <x:c r="E3246" s="4" t="str">
        <x:v>Away</x:v>
      </x:c>
      <x:c r="F3246" s="28" t="n">
        <x:v>0</x:v>
      </x:c>
      <x:c r="G3246" s="28" t="n">
        <x:v>2</x:v>
      </x:c>
      <x:c r="H3246" s="28" t="n">
        <x:v>8</x:v>
      </x:c>
      <x:c r="I3246" s="28" t="n">
        <x:v>14</x:v>
      </x:c>
      <x:c r="J3246" s="28" t="n">
        <x:v>4</x:v>
      </x:c>
      <x:c r="K3246" s="28" t="n">
        <x:v>5</x:v>
      </x:c>
      <x:c r="L3246" s="28" t="n">
        <x:v>5</x:v>
      </x:c>
      <x:c r="M3246" s="28" t="n">
        <x:v>7</x:v>
      </x:c>
      <x:c r="N3246" s="28" t="n">
        <x:v>2</x:v>
      </x:c>
      <x:c r="O3246" s="28" t="n">
        <x:v>0</x:v>
      </x:c>
      <x:c r="P3246" s="28" t="n">
        <x:v>0</x:v>
      </x:c>
      <x:c r="Q3246" s="24" t="n">
        <x:f>IFERROR(J3246/H3246,0)</x:f>
        <x:v>0.5</x:v>
      </x:c>
      <x:c r="R3246" s="24" t="n">
        <x:f>IFERROR(F3246/H3246,0)</x:f>
        <x:v>0</x:v>
      </x:c>
      <x:c r="S3246" s="24" t="n">
        <x:f>IFERROR(F3246/J3246,0)</x:f>
        <x:v>0</x:v>
      </x:c>
      <x:c r="T3246" s="28" t="n">
        <x:f>H3246-I3246</x:f>
        <x:v>-6</x:v>
      </x:c>
      <x:c r="U3246" s="24" t="n">
        <x:f>IFERROR(J3246/H3246,0)-IFERROR(K3246/I3246,0)</x:f>
        <x:v>0.14285714285714285</x:v>
      </x:c>
      <x:c r="V3246" s="24" t="n">
        <x:f>IFERROR(F3246/J3246,0)-IFERROR(G3246/K3246,0)</x:f>
        <x:v>-0.4</x:v>
      </x:c>
      <x:c r="W3246" s="28" t="n">
        <x:f>L3246-M3246</x:f>
        <x:v>-2</x:v>
      </x:c>
      <x:c r="X3246" s="24" t="n">
        <x:f>IFERROR(K3246/I3246,0)</x:f>
        <x:v>0.35714285714285715</x:v>
      </x:c>
      <x:c r="Y3246" s="24" t="n">
        <x:f>IFERROR(G3246/I3246,0)</x:f>
        <x:v>0.14285714285714285</x:v>
      </x:c>
      <x:c r="Z3246" s="24" t="n">
        <x:f>IFERROR(G3246/K3246,0)</x:f>
        <x:v>0.4</x:v>
      </x:c>
      <x:c r="AA3246" s="24" t="n">
        <x:f>IFERROR(F3246/H3246,0)-IFERROR(G3246/I3246,0)</x:f>
        <x:v>-0.14285714285714285</x:v>
      </x:c>
      <x:c r="AB3246" s="28" t="n">
        <x:f>J3246-K3246</x:f>
        <x:v>-1</x:v>
      </x:c>
      <x:c r="AC3246" s="32" t="n">
        <x:f>F3246-G3246</x:f>
        <x:v>-2</x:v>
      </x:c>
    </x:row>
    <x:row r="3247">
      <x:c r="A3247" s="4" t="str">
        <x:v>2025-26</x:v>
      </x:c>
      <x:c r="B3247" s="20" t="n">
        <x:v>45969</x:v>
      </x:c>
      <x:c r="C3247" s="4" t="str">
        <x:v>Man United</x:v>
      </x:c>
      <x:c r="D3247" s="4" t="str">
        <x:v>Tottenham</x:v>
      </x:c>
      <x:c r="E3247" s="4" t="str">
        <x:v>Away</x:v>
      </x:c>
      <x:c r="F3247" s="28" t="n">
        <x:v>2</x:v>
      </x:c>
      <x:c r="G3247" s="28" t="n">
        <x:v>2</x:v>
      </x:c>
      <x:c r="H3247" s="28" t="n">
        <x:v>5</x:v>
      </x:c>
      <x:c r="I3247" s="28" t="n">
        <x:v>10</x:v>
      </x:c>
      <x:c r="J3247" s="28" t="n">
        <x:v>2</x:v>
      </x:c>
      <x:c r="K3247" s="28" t="n">
        <x:v>4</x:v>
      </x:c>
      <x:c r="L3247" s="28" t="n">
        <x:v>3</x:v>
      </x:c>
      <x:c r="M3247" s="28" t="n">
        <x:v>5</x:v>
      </x:c>
      <x:c r="N3247" s="28" t="n">
        <x:v>1</x:v>
      </x:c>
      <x:c r="O3247" s="28" t="n">
        <x:v>0</x:v>
      </x:c>
      <x:c r="P3247" s="28" t="n">
        <x:v>1</x:v>
      </x:c>
      <x:c r="Q3247" s="24" t="n">
        <x:f>IFERROR(J3247/H3247,0)</x:f>
        <x:v>0.4</x:v>
      </x:c>
      <x:c r="R3247" s="24" t="n">
        <x:f>IFERROR(F3247/H3247,0)</x:f>
        <x:v>0.4</x:v>
      </x:c>
      <x:c r="S3247" s="24" t="n">
        <x:f>IFERROR(F3247/J3247,0)</x:f>
        <x:v>1</x:v>
      </x:c>
      <x:c r="T3247" s="28" t="n">
        <x:f>H3247-I3247</x:f>
        <x:v>-5</x:v>
      </x:c>
      <x:c r="U3247" s="24" t="n">
        <x:f>IFERROR(J3247/H3247,0)-IFERROR(K3247/I3247,0)</x:f>
        <x:v>0</x:v>
      </x:c>
      <x:c r="V3247" s="24" t="n">
        <x:f>IFERROR(F3247/J3247,0)-IFERROR(G3247/K3247,0)</x:f>
        <x:v>0.5</x:v>
      </x:c>
      <x:c r="W3247" s="28" t="n">
        <x:f>L3247-M3247</x:f>
        <x:v>-2</x:v>
      </x:c>
      <x:c r="X3247" s="24" t="n">
        <x:f>IFERROR(K3247/I3247,0)</x:f>
        <x:v>0.4</x:v>
      </x:c>
      <x:c r="Y3247" s="24" t="n">
        <x:f>IFERROR(G3247/I3247,0)</x:f>
        <x:v>0.2</x:v>
      </x:c>
      <x:c r="Z3247" s="24" t="n">
        <x:f>IFERROR(G3247/K3247,0)</x:f>
        <x:v>0.5</x:v>
      </x:c>
      <x:c r="AA3247" s="24" t="n">
        <x:f>IFERROR(F3247/H3247,0)-IFERROR(G3247/I3247,0)</x:f>
        <x:v>0.2</x:v>
      </x:c>
      <x:c r="AB3247" s="28" t="n">
        <x:f>J3247-K3247</x:f>
        <x:v>-2</x:v>
      </x:c>
      <x:c r="AC3247" s="32" t="n">
        <x:f>F3247-G3247</x:f>
        <x:v>0</x:v>
      </x:c>
    </x:row>
    <x:row r="3248">
      <x:c r="A3248" s="4" t="str">
        <x:v>2025-26</x:v>
      </x:c>
      <x:c r="B3248" s="20" t="n">
        <x:v>45969</x:v>
      </x:c>
      <x:c r="C3248" s="4" t="str">
        <x:v>Sunderland</x:v>
      </x:c>
      <x:c r="D3248" s="4" t="str">
        <x:v>Arsenal</x:v>
      </x:c>
      <x:c r="E3248" s="4" t="str">
        <x:v>Home</x:v>
      </x:c>
      <x:c r="F3248" s="28" t="n">
        <x:v>2</x:v>
      </x:c>
      <x:c r="G3248" s="28" t="n">
        <x:v>2</x:v>
      </x:c>
      <x:c r="H3248" s="28" t="n">
        <x:v>6</x:v>
      </x:c>
      <x:c r="I3248" s="28" t="n">
        <x:v>17</x:v>
      </x:c>
      <x:c r="J3248" s="28" t="n">
        <x:v>2</x:v>
      </x:c>
      <x:c r="K3248" s="28" t="n">
        <x:v>7</x:v>
      </x:c>
      <x:c r="L3248" s="28" t="n">
        <x:v>2</x:v>
      </x:c>
      <x:c r="M3248" s="28" t="n">
        <x:v>2</x:v>
      </x:c>
      <x:c r="N3248" s="28" t="n">
        <x:v>2</x:v>
      </x:c>
      <x:c r="O3248" s="28" t="n">
        <x:v>0</x:v>
      </x:c>
      <x:c r="P3248" s="28" t="n">
        <x:v>1</x:v>
      </x:c>
      <x:c r="Q3248" s="24" t="n">
        <x:f>IFERROR(J3248/H3248,0)</x:f>
        <x:v>0.3333333333333333</x:v>
      </x:c>
      <x:c r="R3248" s="24" t="n">
        <x:f>IFERROR(F3248/H3248,0)</x:f>
        <x:v>0.3333333333333333</x:v>
      </x:c>
      <x:c r="S3248" s="24" t="n">
        <x:f>IFERROR(F3248/J3248,0)</x:f>
        <x:v>1</x:v>
      </x:c>
      <x:c r="T3248" s="28" t="n">
        <x:f>H3248-I3248</x:f>
        <x:v>-11</x:v>
      </x:c>
      <x:c r="U3248" s="24" t="n">
        <x:f>IFERROR(J3248/H3248,0)-IFERROR(K3248/I3248,0)</x:f>
        <x:v>-0.0784313725490196</x:v>
      </x:c>
      <x:c r="V3248" s="24" t="n">
        <x:f>IFERROR(F3248/J3248,0)-IFERROR(G3248/K3248,0)</x:f>
        <x:v>0.7142857142857143</x:v>
      </x:c>
      <x:c r="W3248" s="28" t="n">
        <x:f>L3248-M3248</x:f>
        <x:v>0</x:v>
      </x:c>
      <x:c r="X3248" s="24" t="n">
        <x:f>IFERROR(K3248/I3248,0)</x:f>
        <x:v>0.4117647058823529</x:v>
      </x:c>
      <x:c r="Y3248" s="24" t="n">
        <x:f>IFERROR(G3248/I3248,0)</x:f>
        <x:v>0.11764705882352941</x:v>
      </x:c>
      <x:c r="Z3248" s="24" t="n">
        <x:f>IFERROR(G3248/K3248,0)</x:f>
        <x:v>0.2857142857142857</x:v>
      </x:c>
      <x:c r="AA3248" s="24" t="n">
        <x:f>IFERROR(F3248/H3248,0)-IFERROR(G3248/I3248,0)</x:f>
        <x:v>0.2156862745098039</x:v>
      </x:c>
      <x:c r="AB3248" s="28" t="n">
        <x:f>J3248-K3248</x:f>
        <x:v>-5</x:v>
      </x:c>
      <x:c r="AC3248" s="32" t="n">
        <x:f>F3248-G3248</x:f>
        <x:v>0</x:v>
      </x:c>
    </x:row>
    <x:row r="3249">
      <x:c r="A3249" s="4" t="str">
        <x:v>2025-26</x:v>
      </x:c>
      <x:c r="B3249" s="20" t="n">
        <x:v>45969</x:v>
      </x:c>
      <x:c r="C3249" s="4" t="str">
        <x:v>Tottenham</x:v>
      </x:c>
      <x:c r="D3249" s="4" t="str">
        <x:v>Man United</x:v>
      </x:c>
      <x:c r="E3249" s="4" t="str">
        <x:v>Home</x:v>
      </x:c>
      <x:c r="F3249" s="28" t="n">
        <x:v>2</x:v>
      </x:c>
      <x:c r="G3249" s="28" t="n">
        <x:v>2</x:v>
      </x:c>
      <x:c r="H3249" s="28" t="n">
        <x:v>10</x:v>
      </x:c>
      <x:c r="I3249" s="28" t="n">
        <x:v>5</x:v>
      </x:c>
      <x:c r="J3249" s="28" t="n">
        <x:v>4</x:v>
      </x:c>
      <x:c r="K3249" s="28" t="n">
        <x:v>2</x:v>
      </x:c>
      <x:c r="L3249" s="28" t="n">
        <x:v>5</x:v>
      </x:c>
      <x:c r="M3249" s="28" t="n">
        <x:v>3</x:v>
      </x:c>
      <x:c r="N3249" s="28" t="n">
        <x:v>5</x:v>
      </x:c>
      <x:c r="O3249" s="28" t="n">
        <x:v>0</x:v>
      </x:c>
      <x:c r="P3249" s="28" t="n">
        <x:v>1</x:v>
      </x:c>
      <x:c r="Q3249" s="24" t="n">
        <x:f>IFERROR(J3249/H3249,0)</x:f>
        <x:v>0.4</x:v>
      </x:c>
      <x:c r="R3249" s="24" t="n">
        <x:f>IFERROR(F3249/H3249,0)</x:f>
        <x:v>0.2</x:v>
      </x:c>
      <x:c r="S3249" s="24" t="n">
        <x:f>IFERROR(F3249/J3249,0)</x:f>
        <x:v>0.5</x:v>
      </x:c>
      <x:c r="T3249" s="28" t="n">
        <x:f>H3249-I3249</x:f>
        <x:v>5</x:v>
      </x:c>
      <x:c r="U3249" s="24" t="n">
        <x:f>IFERROR(J3249/H3249,0)-IFERROR(K3249/I3249,0)</x:f>
        <x:v>0</x:v>
      </x:c>
      <x:c r="V3249" s="24" t="n">
        <x:f>IFERROR(F3249/J3249,0)-IFERROR(G3249/K3249,0)</x:f>
        <x:v>-0.5</x:v>
      </x:c>
      <x:c r="W3249" s="28" t="n">
        <x:f>L3249-M3249</x:f>
        <x:v>2</x:v>
      </x:c>
      <x:c r="X3249" s="24" t="n">
        <x:f>IFERROR(K3249/I3249,0)</x:f>
        <x:v>0.4</x:v>
      </x:c>
      <x:c r="Y3249" s="24" t="n">
        <x:f>IFERROR(G3249/I3249,0)</x:f>
        <x:v>0.4</x:v>
      </x:c>
      <x:c r="Z3249" s="24" t="n">
        <x:f>IFERROR(G3249/K3249,0)</x:f>
        <x:v>1</x:v>
      </x:c>
      <x:c r="AA3249" s="24" t="n">
        <x:f>IFERROR(F3249/H3249,0)-IFERROR(G3249/I3249,0)</x:f>
        <x:v>-0.2</x:v>
      </x:c>
      <x:c r="AB3249" s="28" t="n">
        <x:f>J3249-K3249</x:f>
        <x:v>2</x:v>
      </x:c>
      <x:c r="AC3249" s="32" t="n">
        <x:f>F3249-G3249</x:f>
        <x:v>0</x:v>
      </x:c>
    </x:row>
    <x:row r="3250">
      <x:c r="A3250" s="4" t="str">
        <x:v>2025-26</x:v>
      </x:c>
      <x:c r="B3250" s="20" t="n">
        <x:v>45969</x:v>
      </x:c>
      <x:c r="C3250" s="4" t="str">
        <x:v>West Ham</x:v>
      </x:c>
      <x:c r="D3250" s="4" t="str">
        <x:v>Burnley</x:v>
      </x:c>
      <x:c r="E3250" s="4" t="str">
        <x:v>Home</x:v>
      </x:c>
      <x:c r="F3250" s="28" t="n">
        <x:v>3</x:v>
      </x:c>
      <x:c r="G3250" s="28" t="n">
        <x:v>2</x:v>
      </x:c>
      <x:c r="H3250" s="28" t="n">
        <x:v>15</x:v>
      </x:c>
      <x:c r="I3250" s="28" t="n">
        <x:v>16</x:v>
      </x:c>
      <x:c r="J3250" s="28" t="n">
        <x:v>6</x:v>
      </x:c>
      <x:c r="K3250" s="28" t="n">
        <x:v>7</x:v>
      </x:c>
      <x:c r="L3250" s="28" t="n">
        <x:v>7</x:v>
      </x:c>
      <x:c r="M3250" s="28" t="n">
        <x:v>4</x:v>
      </x:c>
      <x:c r="N3250" s="28" t="n">
        <x:v>2</x:v>
      </x:c>
      <x:c r="O3250" s="28" t="n">
        <x:v>0</x:v>
      </x:c>
      <x:c r="P3250" s="28" t="n">
        <x:v>3</x:v>
      </x:c>
      <x:c r="Q3250" s="24" t="n">
        <x:f>IFERROR(J3250/H3250,0)</x:f>
        <x:v>0.4</x:v>
      </x:c>
      <x:c r="R3250" s="24" t="n">
        <x:f>IFERROR(F3250/H3250,0)</x:f>
        <x:v>0.2</x:v>
      </x:c>
      <x:c r="S3250" s="24" t="n">
        <x:f>IFERROR(F3250/J3250,0)</x:f>
        <x:v>0.5</x:v>
      </x:c>
      <x:c r="T3250" s="28" t="n">
        <x:f>H3250-I3250</x:f>
        <x:v>-1</x:v>
      </x:c>
      <x:c r="U3250" s="24" t="n">
        <x:f>IFERROR(J3250/H3250,0)-IFERROR(K3250/I3250,0)</x:f>
        <x:v>-0.03749999999999998</x:v>
      </x:c>
      <x:c r="V3250" s="24" t="n">
        <x:f>IFERROR(F3250/J3250,0)-IFERROR(G3250/K3250,0)</x:f>
        <x:v>0.2142857142857143</x:v>
      </x:c>
      <x:c r="W3250" s="28" t="n">
        <x:f>L3250-M3250</x:f>
        <x:v>3</x:v>
      </x:c>
      <x:c r="X3250" s="24" t="n">
        <x:f>IFERROR(K3250/I3250,0)</x:f>
        <x:v>0.4375</x:v>
      </x:c>
      <x:c r="Y3250" s="24" t="n">
        <x:f>IFERROR(G3250/I3250,0)</x:f>
        <x:v>0.125</x:v>
      </x:c>
      <x:c r="Z3250" s="24" t="n">
        <x:f>IFERROR(G3250/K3250,0)</x:f>
        <x:v>0.2857142857142857</x:v>
      </x:c>
      <x:c r="AA3250" s="24" t="n">
        <x:f>IFERROR(F3250/H3250,0)-IFERROR(G3250/I3250,0)</x:f>
        <x:v>0.07500000000000001</x:v>
      </x:c>
      <x:c r="AB3250" s="28" t="n">
        <x:f>J3250-K3250</x:f>
        <x:v>-1</x:v>
      </x:c>
      <x:c r="AC3250" s="32" t="n">
        <x:f>F3250-G3250</x:f>
        <x:v>1</x:v>
      </x:c>
    </x:row>
    <x:row r="3251">
      <x:c r="A3251" s="4" t="str">
        <x:v>2025-26</x:v>
      </x:c>
      <x:c r="B3251" s="20" t="n">
        <x:v>45969</x:v>
      </x:c>
      <x:c r="C3251" s="4" t="str">
        <x:v>Wolves</x:v>
      </x:c>
      <x:c r="D3251" s="4" t="str">
        <x:v>Chelsea</x:v>
      </x:c>
      <x:c r="E3251" s="4" t="str">
        <x:v>Away</x:v>
      </x:c>
      <x:c r="F3251" s="28" t="n">
        <x:v>0</x:v>
      </x:c>
      <x:c r="G3251" s="28" t="n">
        <x:v>3</x:v>
      </x:c>
      <x:c r="H3251" s="28" t="n">
        <x:v>3</x:v>
      </x:c>
      <x:c r="I3251" s="28" t="n">
        <x:v>20</x:v>
      </x:c>
      <x:c r="J3251" s="28" t="n">
        <x:v>0</x:v>
      </x:c>
      <x:c r="K3251" s="28" t="n">
        <x:v>8</x:v>
      </x:c>
      <x:c r="L3251" s="28" t="n">
        <x:v>1</x:v>
      </x:c>
      <x:c r="M3251" s="28" t="n">
        <x:v>10</x:v>
      </x:c>
      <x:c r="N3251" s="28" t="n">
        <x:v>2</x:v>
      </x:c>
      <x:c r="O3251" s="28" t="n">
        <x:v>0</x:v>
      </x:c>
      <x:c r="P3251" s="28" t="n">
        <x:v>0</x:v>
      </x:c>
      <x:c r="Q3251" s="24" t="n">
        <x:f>IFERROR(J3251/H3251,0)</x:f>
        <x:v>0</x:v>
      </x:c>
      <x:c r="R3251" s="24" t="n">
        <x:f>IFERROR(F3251/H3251,0)</x:f>
        <x:v>0</x:v>
      </x:c>
      <x:c r="S3251" s="24" t="n">
        <x:f>IFERROR(F3251/J3251,0)</x:f>
        <x:v>0</x:v>
      </x:c>
      <x:c r="T3251" s="28" t="n">
        <x:f>H3251-I3251</x:f>
        <x:v>-17</x:v>
      </x:c>
      <x:c r="U3251" s="24" t="n">
        <x:f>IFERROR(J3251/H3251,0)-IFERROR(K3251/I3251,0)</x:f>
        <x:v>-0.4</x:v>
      </x:c>
      <x:c r="V3251" s="24" t="n">
        <x:f>IFERROR(F3251/J3251,0)-IFERROR(G3251/K3251,0)</x:f>
        <x:v>-0.375</x:v>
      </x:c>
      <x:c r="W3251" s="28" t="n">
        <x:f>L3251-M3251</x:f>
        <x:v>-9</x:v>
      </x:c>
      <x:c r="X3251" s="24" t="n">
        <x:f>IFERROR(K3251/I3251,0)</x:f>
        <x:v>0.4</x:v>
      </x:c>
      <x:c r="Y3251" s="24" t="n">
        <x:f>IFERROR(G3251/I3251,0)</x:f>
        <x:v>0.15</x:v>
      </x:c>
      <x:c r="Z3251" s="24" t="n">
        <x:f>IFERROR(G3251/K3251,0)</x:f>
        <x:v>0.375</x:v>
      </x:c>
      <x:c r="AA3251" s="24" t="n">
        <x:f>IFERROR(F3251/H3251,0)-IFERROR(G3251/I3251,0)</x:f>
        <x:v>-0.15</x:v>
      </x:c>
      <x:c r="AB3251" s="28" t="n">
        <x:f>J3251-K3251</x:f>
        <x:v>-8</x:v>
      </x:c>
      <x:c r="AC3251" s="32" t="n">
        <x:f>F3251-G3251</x:f>
        <x:v>-3</x:v>
      </x:c>
    </x:row>
    <x:row r="3252">
      <x:c r="A3252" s="4" t="str">
        <x:v>2025-26</x:v>
      </x:c>
      <x:c r="B3252" s="20" t="n">
        <x:v>45970</x:v>
      </x:c>
      <x:c r="C3252" s="4" t="str">
        <x:v>Aston Villa</x:v>
      </x:c>
      <x:c r="D3252" s="4" t="str">
        <x:v>Bournemouth</x:v>
      </x:c>
      <x:c r="E3252" s="4" t="str">
        <x:v>Home</x:v>
      </x:c>
      <x:c r="F3252" s="28" t="n">
        <x:v>4</x:v>
      </x:c>
      <x:c r="G3252" s="28" t="n">
        <x:v>0</x:v>
      </x:c>
      <x:c r="H3252" s="28" t="n">
        <x:v>16</x:v>
      </x:c>
      <x:c r="I3252" s="28" t="n">
        <x:v>13</x:v>
      </x:c>
      <x:c r="J3252" s="28" t="n">
        <x:v>8</x:v>
      </x:c>
      <x:c r="K3252" s="28" t="n">
        <x:v>4</x:v>
      </x:c>
      <x:c r="L3252" s="28" t="n">
        <x:v>6</x:v>
      </x:c>
      <x:c r="M3252" s="28" t="n">
        <x:v>9</x:v>
      </x:c>
      <x:c r="N3252" s="28" t="n">
        <x:v>2</x:v>
      </x:c>
      <x:c r="O3252" s="28" t="n">
        <x:v>0</x:v>
      </x:c>
      <x:c r="P3252" s="28" t="n">
        <x:v>3</x:v>
      </x:c>
      <x:c r="Q3252" s="24" t="n">
        <x:f>IFERROR(J3252/H3252,0)</x:f>
        <x:v>0.5</x:v>
      </x:c>
      <x:c r="R3252" s="24" t="n">
        <x:f>IFERROR(F3252/H3252,0)</x:f>
        <x:v>0.25</x:v>
      </x:c>
      <x:c r="S3252" s="24" t="n">
        <x:f>IFERROR(F3252/J3252,0)</x:f>
        <x:v>0.5</x:v>
      </x:c>
      <x:c r="T3252" s="28" t="n">
        <x:f>H3252-I3252</x:f>
        <x:v>3</x:v>
      </x:c>
      <x:c r="U3252" s="24" t="n">
        <x:f>IFERROR(J3252/H3252,0)-IFERROR(K3252/I3252,0)</x:f>
        <x:v>0.1923076923076923</x:v>
      </x:c>
      <x:c r="V3252" s="24" t="n">
        <x:f>IFERROR(F3252/J3252,0)-IFERROR(G3252/K3252,0)</x:f>
        <x:v>0.5</x:v>
      </x:c>
      <x:c r="W3252" s="28" t="n">
        <x:f>L3252-M3252</x:f>
        <x:v>-3</x:v>
      </x:c>
      <x:c r="X3252" s="24" t="n">
        <x:f>IFERROR(K3252/I3252,0)</x:f>
        <x:v>0.3076923076923077</x:v>
      </x:c>
      <x:c r="Y3252" s="24" t="n">
        <x:f>IFERROR(G3252/I3252,0)</x:f>
        <x:v>0</x:v>
      </x:c>
      <x:c r="Z3252" s="24" t="n">
        <x:f>IFERROR(G3252/K3252,0)</x:f>
        <x:v>0</x:v>
      </x:c>
      <x:c r="AA3252" s="24" t="n">
        <x:f>IFERROR(F3252/H3252,0)-IFERROR(G3252/I3252,0)</x:f>
        <x:v>0.25</x:v>
      </x:c>
      <x:c r="AB3252" s="28" t="n">
        <x:f>J3252-K3252</x:f>
        <x:v>4</x:v>
      </x:c>
      <x:c r="AC3252" s="32" t="n">
        <x:f>F3252-G3252</x:f>
        <x:v>4</x:v>
      </x:c>
    </x:row>
    <x:row r="3253">
      <x:c r="A3253" s="4" t="str">
        <x:v>2025-26</x:v>
      </x:c>
      <x:c r="B3253" s="20" t="n">
        <x:v>45970</x:v>
      </x:c>
      <x:c r="C3253" s="4" t="str">
        <x:v>Bournemouth</x:v>
      </x:c>
      <x:c r="D3253" s="4" t="str">
        <x:v>Aston Villa</x:v>
      </x:c>
      <x:c r="E3253" s="4" t="str">
        <x:v>Away</x:v>
      </x:c>
      <x:c r="F3253" s="28" t="n">
        <x:v>0</x:v>
      </x:c>
      <x:c r="G3253" s="28" t="n">
        <x:v>4</x:v>
      </x:c>
      <x:c r="H3253" s="28" t="n">
        <x:v>13</x:v>
      </x:c>
      <x:c r="I3253" s="28" t="n">
        <x:v>16</x:v>
      </x:c>
      <x:c r="J3253" s="28" t="n">
        <x:v>4</x:v>
      </x:c>
      <x:c r="K3253" s="28" t="n">
        <x:v>8</x:v>
      </x:c>
      <x:c r="L3253" s="28" t="n">
        <x:v>9</x:v>
      </x:c>
      <x:c r="M3253" s="28" t="n">
        <x:v>6</x:v>
      </x:c>
      <x:c r="N3253" s="28" t="n">
        <x:v>2</x:v>
      </x:c>
      <x:c r="O3253" s="28" t="n">
        <x:v>0</x:v>
      </x:c>
      <x:c r="P3253" s="28" t="n">
        <x:v>0</x:v>
      </x:c>
      <x:c r="Q3253" s="24" t="n">
        <x:f>IFERROR(J3253/H3253,0)</x:f>
        <x:v>0.3076923076923077</x:v>
      </x:c>
      <x:c r="R3253" s="24" t="n">
        <x:f>IFERROR(F3253/H3253,0)</x:f>
        <x:v>0</x:v>
      </x:c>
      <x:c r="S3253" s="24" t="n">
        <x:f>IFERROR(F3253/J3253,0)</x:f>
        <x:v>0</x:v>
      </x:c>
      <x:c r="T3253" s="28" t="n">
        <x:f>H3253-I3253</x:f>
        <x:v>-3</x:v>
      </x:c>
      <x:c r="U3253" s="24" t="n">
        <x:f>IFERROR(J3253/H3253,0)-IFERROR(K3253/I3253,0)</x:f>
        <x:v>-0.1923076923076923</x:v>
      </x:c>
      <x:c r="V3253" s="24" t="n">
        <x:f>IFERROR(F3253/J3253,0)-IFERROR(G3253/K3253,0)</x:f>
        <x:v>-0.5</x:v>
      </x:c>
      <x:c r="W3253" s="28" t="n">
        <x:f>L3253-M3253</x:f>
        <x:v>3</x:v>
      </x:c>
      <x:c r="X3253" s="24" t="n">
        <x:f>IFERROR(K3253/I3253,0)</x:f>
        <x:v>0.5</x:v>
      </x:c>
      <x:c r="Y3253" s="24" t="n">
        <x:f>IFERROR(G3253/I3253,0)</x:f>
        <x:v>0.25</x:v>
      </x:c>
      <x:c r="Z3253" s="24" t="n">
        <x:f>IFERROR(G3253/K3253,0)</x:f>
        <x:v>0.5</x:v>
      </x:c>
      <x:c r="AA3253" s="24" t="n">
        <x:f>IFERROR(F3253/H3253,0)-IFERROR(G3253/I3253,0)</x:f>
        <x:v>-0.25</x:v>
      </x:c>
      <x:c r="AB3253" s="28" t="n">
        <x:f>J3253-K3253</x:f>
        <x:v>-4</x:v>
      </x:c>
      <x:c r="AC3253" s="32" t="n">
        <x:f>F3253-G3253</x:f>
        <x:v>-4</x:v>
      </x:c>
    </x:row>
    <x:row r="3254">
      <x:c r="A3254" s="4" t="str">
        <x:v>2025-26</x:v>
      </x:c>
      <x:c r="B3254" s="20" t="n">
        <x:v>45970</x:v>
      </x:c>
      <x:c r="C3254" s="4" t="str">
        <x:v>Brentford</x:v>
      </x:c>
      <x:c r="D3254" s="4" t="str">
        <x:v>Newcastle</x:v>
      </x:c>
      <x:c r="E3254" s="4" t="str">
        <x:v>Home</x:v>
      </x:c>
      <x:c r="F3254" s="28" t="n">
        <x:v>3</x:v>
      </x:c>
      <x:c r="G3254" s="28" t="n">
        <x:v>1</x:v>
      </x:c>
      <x:c r="H3254" s="28" t="n">
        <x:v>15</x:v>
      </x:c>
      <x:c r="I3254" s="28" t="n">
        <x:v>5</x:v>
      </x:c>
      <x:c r="J3254" s="28" t="n">
        <x:v>7</x:v>
      </x:c>
      <x:c r="K3254" s="28" t="n">
        <x:v>1</x:v>
      </x:c>
      <x:c r="L3254" s="28" t="n">
        <x:v>6</x:v>
      </x:c>
      <x:c r="M3254" s="28" t="n">
        <x:v>2</x:v>
      </x:c>
      <x:c r="N3254" s="28" t="n">
        <x:v>2</x:v>
      </x:c>
      <x:c r="O3254" s="28" t="n">
        <x:v>0</x:v>
      </x:c>
      <x:c r="P3254" s="28" t="n">
        <x:v>3</x:v>
      </x:c>
      <x:c r="Q3254" s="24" t="n">
        <x:f>IFERROR(J3254/H3254,0)</x:f>
        <x:v>0.4666666666666667</x:v>
      </x:c>
      <x:c r="R3254" s="24" t="n">
        <x:f>IFERROR(F3254/H3254,0)</x:f>
        <x:v>0.2</x:v>
      </x:c>
      <x:c r="S3254" s="24" t="n">
        <x:f>IFERROR(F3254/J3254,0)</x:f>
        <x:v>0.42857142857142855</x:v>
      </x:c>
      <x:c r="T3254" s="28" t="n">
        <x:f>H3254-I3254</x:f>
        <x:v>10</x:v>
      </x:c>
      <x:c r="U3254" s="24" t="n">
        <x:f>IFERROR(J3254/H3254,0)-IFERROR(K3254/I3254,0)</x:f>
        <x:v>0.26666666666666666</x:v>
      </x:c>
      <x:c r="V3254" s="24" t="n">
        <x:f>IFERROR(F3254/J3254,0)-IFERROR(G3254/K3254,0)</x:f>
        <x:v>-0.5714285714285714</x:v>
      </x:c>
      <x:c r="W3254" s="28" t="n">
        <x:f>L3254-M3254</x:f>
        <x:v>4</x:v>
      </x:c>
      <x:c r="X3254" s="24" t="n">
        <x:f>IFERROR(K3254/I3254,0)</x:f>
        <x:v>0.2</x:v>
      </x:c>
      <x:c r="Y3254" s="24" t="n">
        <x:f>IFERROR(G3254/I3254,0)</x:f>
        <x:v>0.2</x:v>
      </x:c>
      <x:c r="Z3254" s="24" t="n">
        <x:f>IFERROR(G3254/K3254,0)</x:f>
        <x:v>1</x:v>
      </x:c>
      <x:c r="AA3254" s="24" t="n">
        <x:f>IFERROR(F3254/H3254,0)-IFERROR(G3254/I3254,0)</x:f>
        <x:v>0</x:v>
      </x:c>
      <x:c r="AB3254" s="28" t="n">
        <x:f>J3254-K3254</x:f>
        <x:v>6</x:v>
      </x:c>
      <x:c r="AC3254" s="32" t="n">
        <x:f>F3254-G3254</x:f>
        <x:v>2</x:v>
      </x:c>
    </x:row>
    <x:row r="3255">
      <x:c r="A3255" s="4" t="str">
        <x:v>2025-26</x:v>
      </x:c>
      <x:c r="B3255" s="20" t="n">
        <x:v>45970</x:v>
      </x:c>
      <x:c r="C3255" s="4" t="str">
        <x:v>Brighton</x:v>
      </x:c>
      <x:c r="D3255" s="4" t="str">
        <x:v>Crystal Palace</x:v>
      </x:c>
      <x:c r="E3255" s="4" t="str">
        <x:v>Away</x:v>
      </x:c>
      <x:c r="F3255" s="28" t="n">
        <x:v>0</x:v>
      </x:c>
      <x:c r="G3255" s="28" t="n">
        <x:v>0</x:v>
      </x:c>
      <x:c r="H3255" s="28" t="n">
        <x:v>7</x:v>
      </x:c>
      <x:c r="I3255" s="28" t="n">
        <x:v>10</x:v>
      </x:c>
      <x:c r="J3255" s="28" t="n">
        <x:v>3</x:v>
      </x:c>
      <x:c r="K3255" s="28" t="n">
        <x:v>2</x:v>
      </x:c>
      <x:c r="L3255" s="28" t="n">
        <x:v>8</x:v>
      </x:c>
      <x:c r="M3255" s="28" t="n">
        <x:v>4</x:v>
      </x:c>
      <x:c r="N3255" s="28" t="n">
        <x:v>4</x:v>
      </x:c>
      <x:c r="O3255" s="28" t="n">
        <x:v>0</x:v>
      </x:c>
      <x:c r="P3255" s="28" t="n">
        <x:v>1</x:v>
      </x:c>
      <x:c r="Q3255" s="24" t="n">
        <x:f>IFERROR(J3255/H3255,0)</x:f>
        <x:v>0.42857142857142855</x:v>
      </x:c>
      <x:c r="R3255" s="24" t="n">
        <x:f>IFERROR(F3255/H3255,0)</x:f>
        <x:v>0</x:v>
      </x:c>
      <x:c r="S3255" s="24" t="n">
        <x:f>IFERROR(F3255/J3255,0)</x:f>
        <x:v>0</x:v>
      </x:c>
      <x:c r="T3255" s="28" t="n">
        <x:f>H3255-I3255</x:f>
        <x:v>-3</x:v>
      </x:c>
      <x:c r="U3255" s="24" t="n">
        <x:f>IFERROR(J3255/H3255,0)-IFERROR(K3255/I3255,0)</x:f>
        <x:v>0.22857142857142854</x:v>
      </x:c>
      <x:c r="V3255" s="24" t="n">
        <x:f>IFERROR(F3255/J3255,0)-IFERROR(G3255/K3255,0)</x:f>
        <x:v>0</x:v>
      </x:c>
      <x:c r="W3255" s="28" t="n">
        <x:f>L3255-M3255</x:f>
        <x:v>4</x:v>
      </x:c>
      <x:c r="X3255" s="24" t="n">
        <x:f>IFERROR(K3255/I3255,0)</x:f>
        <x:v>0.2</x:v>
      </x:c>
      <x:c r="Y3255" s="24" t="n">
        <x:f>IFERROR(G3255/I3255,0)</x:f>
        <x:v>0</x:v>
      </x:c>
      <x:c r="Z3255" s="24" t="n">
        <x:f>IFERROR(G3255/K3255,0)</x:f>
        <x:v>0</x:v>
      </x:c>
      <x:c r="AA3255" s="24" t="n">
        <x:f>IFERROR(F3255/H3255,0)-IFERROR(G3255/I3255,0)</x:f>
        <x:v>0</x:v>
      </x:c>
      <x:c r="AB3255" s="28" t="n">
        <x:f>J3255-K3255</x:f>
        <x:v>1</x:v>
      </x:c>
      <x:c r="AC3255" s="32" t="n">
        <x:f>F3255-G3255</x:f>
        <x:v>0</x:v>
      </x:c>
    </x:row>
    <x:row r="3256">
      <x:c r="A3256" s="4" t="str">
        <x:v>2025-26</x:v>
      </x:c>
      <x:c r="B3256" s="20" t="n">
        <x:v>45970</x:v>
      </x:c>
      <x:c r="C3256" s="4" t="str">
        <x:v>Crystal Palace</x:v>
      </x:c>
      <x:c r="D3256" s="4" t="str">
        <x:v>Brighton</x:v>
      </x:c>
      <x:c r="E3256" s="4" t="str">
        <x:v>Home</x:v>
      </x:c>
      <x:c r="F3256" s="28" t="n">
        <x:v>0</x:v>
      </x:c>
      <x:c r="G3256" s="28" t="n">
        <x:v>0</x:v>
      </x:c>
      <x:c r="H3256" s="28" t="n">
        <x:v>10</x:v>
      </x:c>
      <x:c r="I3256" s="28" t="n">
        <x:v>7</x:v>
      </x:c>
      <x:c r="J3256" s="28" t="n">
        <x:v>2</x:v>
      </x:c>
      <x:c r="K3256" s="28" t="n">
        <x:v>3</x:v>
      </x:c>
      <x:c r="L3256" s="28" t="n">
        <x:v>4</x:v>
      </x:c>
      <x:c r="M3256" s="28" t="n">
        <x:v>8</x:v>
      </x:c>
      <x:c r="N3256" s="28" t="n">
        <x:v>1</x:v>
      </x:c>
      <x:c r="O3256" s="28" t="n">
        <x:v>0</x:v>
      </x:c>
      <x:c r="P3256" s="28" t="n">
        <x:v>1</x:v>
      </x:c>
      <x:c r="Q3256" s="24" t="n">
        <x:f>IFERROR(J3256/H3256,0)</x:f>
        <x:v>0.2</x:v>
      </x:c>
      <x:c r="R3256" s="24" t="n">
        <x:f>IFERROR(F3256/H3256,0)</x:f>
        <x:v>0</x:v>
      </x:c>
      <x:c r="S3256" s="24" t="n">
        <x:f>IFERROR(F3256/J3256,0)</x:f>
        <x:v>0</x:v>
      </x:c>
      <x:c r="T3256" s="28" t="n">
        <x:f>H3256-I3256</x:f>
        <x:v>3</x:v>
      </x:c>
      <x:c r="U3256" s="24" t="n">
        <x:f>IFERROR(J3256/H3256,0)-IFERROR(K3256/I3256,0)</x:f>
        <x:v>-0.22857142857142854</x:v>
      </x:c>
      <x:c r="V3256" s="24" t="n">
        <x:f>IFERROR(F3256/J3256,0)-IFERROR(G3256/K3256,0)</x:f>
        <x:v>0</x:v>
      </x:c>
      <x:c r="W3256" s="28" t="n">
        <x:f>L3256-M3256</x:f>
        <x:v>-4</x:v>
      </x:c>
      <x:c r="X3256" s="24" t="n">
        <x:f>IFERROR(K3256/I3256,0)</x:f>
        <x:v>0.42857142857142855</x:v>
      </x:c>
      <x:c r="Y3256" s="24" t="n">
        <x:f>IFERROR(G3256/I3256,0)</x:f>
        <x:v>0</x:v>
      </x:c>
      <x:c r="Z3256" s="24" t="n">
        <x:f>IFERROR(G3256/K3256,0)</x:f>
        <x:v>0</x:v>
      </x:c>
      <x:c r="AA3256" s="24" t="n">
        <x:f>IFERROR(F3256/H3256,0)-IFERROR(G3256/I3256,0)</x:f>
        <x:v>0</x:v>
      </x:c>
      <x:c r="AB3256" s="28" t="n">
        <x:f>J3256-K3256</x:f>
        <x:v>-1</x:v>
      </x:c>
      <x:c r="AC3256" s="32" t="n">
        <x:f>F3256-G3256</x:f>
        <x:v>0</x:v>
      </x:c>
    </x:row>
    <x:row r="3257">
      <x:c r="A3257" s="4" t="str">
        <x:v>2025-26</x:v>
      </x:c>
      <x:c r="B3257" s="20" t="n">
        <x:v>45970</x:v>
      </x:c>
      <x:c r="C3257" s="4" t="str">
        <x:v>Leeds</x:v>
      </x:c>
      <x:c r="D3257" s="4" t="str">
        <x:v>Nott'm Forest</x:v>
      </x:c>
      <x:c r="E3257" s="4" t="str">
        <x:v>Away</x:v>
      </x:c>
      <x:c r="F3257" s="28" t="n">
        <x:v>1</x:v>
      </x:c>
      <x:c r="G3257" s="28" t="n">
        <x:v>3</x:v>
      </x:c>
      <x:c r="H3257" s="28" t="n">
        <x:v>10</x:v>
      </x:c>
      <x:c r="I3257" s="28" t="n">
        <x:v>14</x:v>
      </x:c>
      <x:c r="J3257" s="28" t="n">
        <x:v>3</x:v>
      </x:c>
      <x:c r="K3257" s="28" t="n">
        <x:v>6</x:v>
      </x:c>
      <x:c r="L3257" s="28" t="n">
        <x:v>4</x:v>
      </x:c>
      <x:c r="M3257" s="28" t="n">
        <x:v>6</x:v>
      </x:c>
      <x:c r="N3257" s="28" t="n">
        <x:v>1</x:v>
      </x:c>
      <x:c r="O3257" s="28" t="n">
        <x:v>0</x:v>
      </x:c>
      <x:c r="P3257" s="28" t="n">
        <x:v>0</x:v>
      </x:c>
      <x:c r="Q3257" s="24" t="n">
        <x:f>IFERROR(J3257/H3257,0)</x:f>
        <x:v>0.3</x:v>
      </x:c>
      <x:c r="R3257" s="24" t="n">
        <x:f>IFERROR(F3257/H3257,0)</x:f>
        <x:v>0.1</x:v>
      </x:c>
      <x:c r="S3257" s="24" t="n">
        <x:f>IFERROR(F3257/J3257,0)</x:f>
        <x:v>0.3333333333333333</x:v>
      </x:c>
      <x:c r="T3257" s="28" t="n">
        <x:f>H3257-I3257</x:f>
        <x:v>-4</x:v>
      </x:c>
      <x:c r="U3257" s="24" t="n">
        <x:f>IFERROR(J3257/H3257,0)-IFERROR(K3257/I3257,0)</x:f>
        <x:v>-0.12857142857142856</x:v>
      </x:c>
      <x:c r="V3257" s="24" t="n">
        <x:f>IFERROR(F3257/J3257,0)-IFERROR(G3257/K3257,0)</x:f>
        <x:v>-0.16666666666666669</x:v>
      </x:c>
      <x:c r="W3257" s="28" t="n">
        <x:f>L3257-M3257</x:f>
        <x:v>-2</x:v>
      </x:c>
      <x:c r="X3257" s="24" t="n">
        <x:f>IFERROR(K3257/I3257,0)</x:f>
        <x:v>0.42857142857142855</x:v>
      </x:c>
      <x:c r="Y3257" s="24" t="n">
        <x:f>IFERROR(G3257/I3257,0)</x:f>
        <x:v>0.21428571428571427</x:v>
      </x:c>
      <x:c r="Z3257" s="24" t="n">
        <x:f>IFERROR(G3257/K3257,0)</x:f>
        <x:v>0.5</x:v>
      </x:c>
      <x:c r="AA3257" s="24" t="n">
        <x:f>IFERROR(F3257/H3257,0)-IFERROR(G3257/I3257,0)</x:f>
        <x:v>-0.11428571428571427</x:v>
      </x:c>
      <x:c r="AB3257" s="28" t="n">
        <x:f>J3257-K3257</x:f>
        <x:v>-3</x:v>
      </x:c>
      <x:c r="AC3257" s="32" t="n">
        <x:f>F3257-G3257</x:f>
        <x:v>-2</x:v>
      </x:c>
    </x:row>
    <x:row r="3258">
      <x:c r="A3258" s="4" t="str">
        <x:v>2025-26</x:v>
      </x:c>
      <x:c r="B3258" s="20" t="n">
        <x:v>45970</x:v>
      </x:c>
      <x:c r="C3258" s="4" t="str">
        <x:v>Liverpool</x:v>
      </x:c>
      <x:c r="D3258" s="4" t="str">
        <x:v>Man City</x:v>
      </x:c>
      <x:c r="E3258" s="4" t="str">
        <x:v>Away</x:v>
      </x:c>
      <x:c r="F3258" s="28" t="n">
        <x:v>0</x:v>
      </x:c>
      <x:c r="G3258" s="28" t="n">
        <x:v>3</x:v>
      </x:c>
      <x:c r="H3258" s="28" t="n">
        <x:v>7</x:v>
      </x:c>
      <x:c r="I3258" s="28" t="n">
        <x:v>14</x:v>
      </x:c>
      <x:c r="J3258" s="28" t="n">
        <x:v>1</x:v>
      </x:c>
      <x:c r="K3258" s="28" t="n">
        <x:v>6</x:v>
      </x:c>
      <x:c r="L3258" s="28" t="n">
        <x:v>7</x:v>
      </x:c>
      <x:c r="M3258" s="28" t="n">
        <x:v>7</x:v>
      </x:c>
      <x:c r="N3258" s="28" t="n">
        <x:v>4</x:v>
      </x:c>
      <x:c r="O3258" s="28" t="n">
        <x:v>0</x:v>
      </x:c>
      <x:c r="P3258" s="28" t="n">
        <x:v>0</x:v>
      </x:c>
      <x:c r="Q3258" s="24" t="n">
        <x:f>IFERROR(J3258/H3258,0)</x:f>
        <x:v>0.14285714285714285</x:v>
      </x:c>
      <x:c r="R3258" s="24" t="n">
        <x:f>IFERROR(F3258/H3258,0)</x:f>
        <x:v>0</x:v>
      </x:c>
      <x:c r="S3258" s="24" t="n">
        <x:f>IFERROR(F3258/J3258,0)</x:f>
        <x:v>0</x:v>
      </x:c>
      <x:c r="T3258" s="28" t="n">
        <x:f>H3258-I3258</x:f>
        <x:v>-7</x:v>
      </x:c>
      <x:c r="U3258" s="24" t="n">
        <x:f>IFERROR(J3258/H3258,0)-IFERROR(K3258/I3258,0)</x:f>
        <x:v>-0.2857142857142857</x:v>
      </x:c>
      <x:c r="V3258" s="24" t="n">
        <x:f>IFERROR(F3258/J3258,0)-IFERROR(G3258/K3258,0)</x:f>
        <x:v>-0.5</x:v>
      </x:c>
      <x:c r="W3258" s="28" t="n">
        <x:f>L3258-M3258</x:f>
        <x:v>0</x:v>
      </x:c>
      <x:c r="X3258" s="24" t="n">
        <x:f>IFERROR(K3258/I3258,0)</x:f>
        <x:v>0.42857142857142855</x:v>
      </x:c>
      <x:c r="Y3258" s="24" t="n">
        <x:f>IFERROR(G3258/I3258,0)</x:f>
        <x:v>0.21428571428571427</x:v>
      </x:c>
      <x:c r="Z3258" s="24" t="n">
        <x:f>IFERROR(G3258/K3258,0)</x:f>
        <x:v>0.5</x:v>
      </x:c>
      <x:c r="AA3258" s="24" t="n">
        <x:f>IFERROR(F3258/H3258,0)-IFERROR(G3258/I3258,0)</x:f>
        <x:v>-0.21428571428571427</x:v>
      </x:c>
      <x:c r="AB3258" s="28" t="n">
        <x:f>J3258-K3258</x:f>
        <x:v>-5</x:v>
      </x:c>
      <x:c r="AC3258" s="32" t="n">
        <x:f>F3258-G3258</x:f>
        <x:v>-3</x:v>
      </x:c>
    </x:row>
    <x:row r="3259">
      <x:c r="A3259" s="4" t="str">
        <x:v>2025-26</x:v>
      </x:c>
      <x:c r="B3259" s="20" t="n">
        <x:v>45970</x:v>
      </x:c>
      <x:c r="C3259" s="4" t="str">
        <x:v>Man City</x:v>
      </x:c>
      <x:c r="D3259" s="4" t="str">
        <x:v>Liverpool</x:v>
      </x:c>
      <x:c r="E3259" s="4" t="str">
        <x:v>Home</x:v>
      </x:c>
      <x:c r="F3259" s="28" t="n">
        <x:v>3</x:v>
      </x:c>
      <x:c r="G3259" s="28" t="n">
        <x:v>0</x:v>
      </x:c>
      <x:c r="H3259" s="28" t="n">
        <x:v>14</x:v>
      </x:c>
      <x:c r="I3259" s="28" t="n">
        <x:v>7</x:v>
      </x:c>
      <x:c r="J3259" s="28" t="n">
        <x:v>6</x:v>
      </x:c>
      <x:c r="K3259" s="28" t="n">
        <x:v>1</x:v>
      </x:c>
      <x:c r="L3259" s="28" t="n">
        <x:v>7</x:v>
      </x:c>
      <x:c r="M3259" s="28" t="n">
        <x:v>7</x:v>
      </x:c>
      <x:c r="N3259" s="28" t="n">
        <x:v>2</x:v>
      </x:c>
      <x:c r="O3259" s="28" t="n">
        <x:v>0</x:v>
      </x:c>
      <x:c r="P3259" s="28" t="n">
        <x:v>3</x:v>
      </x:c>
      <x:c r="Q3259" s="24" t="n">
        <x:f>IFERROR(J3259/H3259,0)</x:f>
        <x:v>0.42857142857142855</x:v>
      </x:c>
      <x:c r="R3259" s="24" t="n">
        <x:f>IFERROR(F3259/H3259,0)</x:f>
        <x:v>0.21428571428571427</x:v>
      </x:c>
      <x:c r="S3259" s="24" t="n">
        <x:f>IFERROR(F3259/J3259,0)</x:f>
        <x:v>0.5</x:v>
      </x:c>
      <x:c r="T3259" s="28" t="n">
        <x:f>H3259-I3259</x:f>
        <x:v>7</x:v>
      </x:c>
      <x:c r="U3259" s="24" t="n">
        <x:f>IFERROR(J3259/H3259,0)-IFERROR(K3259/I3259,0)</x:f>
        <x:v>0.2857142857142857</x:v>
      </x:c>
      <x:c r="V3259" s="24" t="n">
        <x:f>IFERROR(F3259/J3259,0)-IFERROR(G3259/K3259,0)</x:f>
        <x:v>0.5</x:v>
      </x:c>
      <x:c r="W3259" s="28" t="n">
        <x:f>L3259-M3259</x:f>
        <x:v>0</x:v>
      </x:c>
      <x:c r="X3259" s="24" t="n">
        <x:f>IFERROR(K3259/I3259,0)</x:f>
        <x:v>0.14285714285714285</x:v>
      </x:c>
      <x:c r="Y3259" s="24" t="n">
        <x:f>IFERROR(G3259/I3259,0)</x:f>
        <x:v>0</x:v>
      </x:c>
      <x:c r="Z3259" s="24" t="n">
        <x:f>IFERROR(G3259/K3259,0)</x:f>
        <x:v>0</x:v>
      </x:c>
      <x:c r="AA3259" s="24" t="n">
        <x:f>IFERROR(F3259/H3259,0)-IFERROR(G3259/I3259,0)</x:f>
        <x:v>0.21428571428571427</x:v>
      </x:c>
      <x:c r="AB3259" s="28" t="n">
        <x:f>J3259-K3259</x:f>
        <x:v>5</x:v>
      </x:c>
      <x:c r="AC3259" s="32" t="n">
        <x:f>F3259-G3259</x:f>
        <x:v>3</x:v>
      </x:c>
    </x:row>
    <x:row r="3260">
      <x:c r="A3260" s="4" t="str">
        <x:v>2025-26</x:v>
      </x:c>
      <x:c r="B3260" s="20" t="n">
        <x:v>45970</x:v>
      </x:c>
      <x:c r="C3260" s="4" t="str">
        <x:v>Newcastle</x:v>
      </x:c>
      <x:c r="D3260" s="4" t="str">
        <x:v>Brentford</x:v>
      </x:c>
      <x:c r="E3260" s="4" t="str">
        <x:v>Away</x:v>
      </x:c>
      <x:c r="F3260" s="28" t="n">
        <x:v>1</x:v>
      </x:c>
      <x:c r="G3260" s="28" t="n">
        <x:v>3</x:v>
      </x:c>
      <x:c r="H3260" s="28" t="n">
        <x:v>5</x:v>
      </x:c>
      <x:c r="I3260" s="28" t="n">
        <x:v>15</x:v>
      </x:c>
      <x:c r="J3260" s="28" t="n">
        <x:v>1</x:v>
      </x:c>
      <x:c r="K3260" s="28" t="n">
        <x:v>7</x:v>
      </x:c>
      <x:c r="L3260" s="28" t="n">
        <x:v>2</x:v>
      </x:c>
      <x:c r="M3260" s="28" t="n">
        <x:v>6</x:v>
      </x:c>
      <x:c r="N3260" s="28" t="n">
        <x:v>1</x:v>
      </x:c>
      <x:c r="O3260" s="28" t="n">
        <x:v>0</x:v>
      </x:c>
      <x:c r="P3260" s="28" t="n">
        <x:v>0</x:v>
      </x:c>
      <x:c r="Q3260" s="24" t="n">
        <x:f>IFERROR(J3260/H3260,0)</x:f>
        <x:v>0.2</x:v>
      </x:c>
      <x:c r="R3260" s="24" t="n">
        <x:f>IFERROR(F3260/H3260,0)</x:f>
        <x:v>0.2</x:v>
      </x:c>
      <x:c r="S3260" s="24" t="n">
        <x:f>IFERROR(F3260/J3260,0)</x:f>
        <x:v>1</x:v>
      </x:c>
      <x:c r="T3260" s="28" t="n">
        <x:f>H3260-I3260</x:f>
        <x:v>-10</x:v>
      </x:c>
      <x:c r="U3260" s="24" t="n">
        <x:f>IFERROR(J3260/H3260,0)-IFERROR(K3260/I3260,0)</x:f>
        <x:v>-0.26666666666666666</x:v>
      </x:c>
      <x:c r="V3260" s="24" t="n">
        <x:f>IFERROR(F3260/J3260,0)-IFERROR(G3260/K3260,0)</x:f>
        <x:v>0.5714285714285714</x:v>
      </x:c>
      <x:c r="W3260" s="28" t="n">
        <x:f>L3260-M3260</x:f>
        <x:v>-4</x:v>
      </x:c>
      <x:c r="X3260" s="24" t="n">
        <x:f>IFERROR(K3260/I3260,0)</x:f>
        <x:v>0.4666666666666667</x:v>
      </x:c>
      <x:c r="Y3260" s="24" t="n">
        <x:f>IFERROR(G3260/I3260,0)</x:f>
        <x:v>0.2</x:v>
      </x:c>
      <x:c r="Z3260" s="24" t="n">
        <x:f>IFERROR(G3260/K3260,0)</x:f>
        <x:v>0.42857142857142855</x:v>
      </x:c>
      <x:c r="AA3260" s="24" t="n">
        <x:f>IFERROR(F3260/H3260,0)-IFERROR(G3260/I3260,0)</x:f>
        <x:v>0</x:v>
      </x:c>
      <x:c r="AB3260" s="28" t="n">
        <x:f>J3260-K3260</x:f>
        <x:v>-6</x:v>
      </x:c>
      <x:c r="AC3260" s="32" t="n">
        <x:f>F3260-G3260</x:f>
        <x:v>-2</x:v>
      </x:c>
    </x:row>
    <x:row r="3261">
      <x:c r="A3261" s="4" t="str">
        <x:v>2025-26</x:v>
      </x:c>
      <x:c r="B3261" s="20" t="n">
        <x:v>45970</x:v>
      </x:c>
      <x:c r="C3261" s="4" t="str">
        <x:v>Nott'm Forest</x:v>
      </x:c>
      <x:c r="D3261" s="4" t="str">
        <x:v>Leeds</x:v>
      </x:c>
      <x:c r="E3261" s="4" t="str">
        <x:v>Home</x:v>
      </x:c>
      <x:c r="F3261" s="28" t="n">
        <x:v>3</x:v>
      </x:c>
      <x:c r="G3261" s="28" t="n">
        <x:v>1</x:v>
      </x:c>
      <x:c r="H3261" s="28" t="n">
        <x:v>14</x:v>
      </x:c>
      <x:c r="I3261" s="28" t="n">
        <x:v>10</x:v>
      </x:c>
      <x:c r="J3261" s="28" t="n">
        <x:v>6</x:v>
      </x:c>
      <x:c r="K3261" s="28" t="n">
        <x:v>3</x:v>
      </x:c>
      <x:c r="L3261" s="28" t="n">
        <x:v>6</x:v>
      </x:c>
      <x:c r="M3261" s="28" t="n">
        <x:v>4</x:v>
      </x:c>
      <x:c r="N3261" s="28" t="n">
        <x:v>2</x:v>
      </x:c>
      <x:c r="O3261" s="28" t="n">
        <x:v>0</x:v>
      </x:c>
      <x:c r="P3261" s="28" t="n">
        <x:v>3</x:v>
      </x:c>
      <x:c r="Q3261" s="24" t="n">
        <x:f>IFERROR(J3261/H3261,0)</x:f>
        <x:v>0.42857142857142855</x:v>
      </x:c>
      <x:c r="R3261" s="24" t="n">
        <x:f>IFERROR(F3261/H3261,0)</x:f>
        <x:v>0.21428571428571427</x:v>
      </x:c>
      <x:c r="S3261" s="24" t="n">
        <x:f>IFERROR(F3261/J3261,0)</x:f>
        <x:v>0.5</x:v>
      </x:c>
      <x:c r="T3261" s="28" t="n">
        <x:f>H3261-I3261</x:f>
        <x:v>4</x:v>
      </x:c>
      <x:c r="U3261" s="24" t="n">
        <x:f>IFERROR(J3261/H3261,0)-IFERROR(K3261/I3261,0)</x:f>
        <x:v>0.12857142857142856</x:v>
      </x:c>
      <x:c r="V3261" s="24" t="n">
        <x:f>IFERROR(F3261/J3261,0)-IFERROR(G3261/K3261,0)</x:f>
        <x:v>0.16666666666666669</x:v>
      </x:c>
      <x:c r="W3261" s="28" t="n">
        <x:f>L3261-M3261</x:f>
        <x:v>2</x:v>
      </x:c>
      <x:c r="X3261" s="24" t="n">
        <x:f>IFERROR(K3261/I3261,0)</x:f>
        <x:v>0.3</x:v>
      </x:c>
      <x:c r="Y3261" s="24" t="n">
        <x:f>IFERROR(G3261/I3261,0)</x:f>
        <x:v>0.1</x:v>
      </x:c>
      <x:c r="Z3261" s="24" t="n">
        <x:f>IFERROR(G3261/K3261,0)</x:f>
        <x:v>0.3333333333333333</x:v>
      </x:c>
      <x:c r="AA3261" s="24" t="n">
        <x:f>IFERROR(F3261/H3261,0)-IFERROR(G3261/I3261,0)</x:f>
        <x:v>0.11428571428571427</x:v>
      </x:c>
      <x:c r="AB3261" s="28" t="n">
        <x:f>J3261-K3261</x:f>
        <x:v>3</x:v>
      </x:c>
      <x:c r="AC3261" s="32" t="n">
        <x:f>F3261-G3261</x:f>
        <x:v>2</x:v>
      </x:c>
    </x:row>
    <x:row r="3262">
      <x:c r="A3262" s="4" t="str">
        <x:v>2025-26</x:v>
      </x:c>
      <x:c r="B3262" s="20" t="n">
        <x:v>45983</x:v>
      </x:c>
      <x:c r="C3262" s="4" t="str">
        <x:v>Bournemouth</x:v>
      </x:c>
      <x:c r="D3262" s="4" t="str">
        <x:v>West Ham</x:v>
      </x:c>
      <x:c r="E3262" s="4" t="str">
        <x:v>Home</x:v>
      </x:c>
      <x:c r="F3262" s="28" t="n">
        <x:v>2</x:v>
      </x:c>
      <x:c r="G3262" s="28" t="n">
        <x:v>2</x:v>
      </x:c>
      <x:c r="H3262" s="28" t="n">
        <x:v>28</x:v>
      </x:c>
      <x:c r="I3262" s="28" t="n">
        <x:v>5</x:v>
      </x:c>
      <x:c r="J3262" s="28" t="n">
        <x:v>10</x:v>
      </x:c>
      <x:c r="K3262" s="28" t="n">
        <x:v>2</x:v>
      </x:c>
      <x:c r="L3262" s="28" t="n">
        <x:v>9</x:v>
      </x:c>
      <x:c r="M3262" s="28" t="n">
        <x:v>2</x:v>
      </x:c>
      <x:c r="N3262" s="28" t="n">
        <x:v>3</x:v>
      </x:c>
      <x:c r="O3262" s="28" t="n">
        <x:v>0</x:v>
      </x:c>
      <x:c r="P3262" s="28" t="n">
        <x:v>1</x:v>
      </x:c>
      <x:c r="Q3262" s="24" t="n">
        <x:f>IFERROR(J3262/H3262,0)</x:f>
        <x:v>0.35714285714285715</x:v>
      </x:c>
      <x:c r="R3262" s="24" t="n">
        <x:f>IFERROR(F3262/H3262,0)</x:f>
        <x:v>0.07142857142857142</x:v>
      </x:c>
      <x:c r="S3262" s="24" t="n">
        <x:f>IFERROR(F3262/J3262,0)</x:f>
        <x:v>0.2</x:v>
      </x:c>
      <x:c r="T3262" s="28" t="n">
        <x:f>H3262-I3262</x:f>
        <x:v>23</x:v>
      </x:c>
      <x:c r="U3262" s="24" t="n">
        <x:f>IFERROR(J3262/H3262,0)-IFERROR(K3262/I3262,0)</x:f>
        <x:v>-0.04285714285714287</x:v>
      </x:c>
      <x:c r="V3262" s="24" t="n">
        <x:f>IFERROR(F3262/J3262,0)-IFERROR(G3262/K3262,0)</x:f>
        <x:v>-0.8</x:v>
      </x:c>
      <x:c r="W3262" s="28" t="n">
        <x:f>L3262-M3262</x:f>
        <x:v>7</x:v>
      </x:c>
      <x:c r="X3262" s="24" t="n">
        <x:f>IFERROR(K3262/I3262,0)</x:f>
        <x:v>0.4</x:v>
      </x:c>
      <x:c r="Y3262" s="24" t="n">
        <x:f>IFERROR(G3262/I3262,0)</x:f>
        <x:v>0.4</x:v>
      </x:c>
      <x:c r="Z3262" s="24" t="n">
        <x:f>IFERROR(G3262/K3262,0)</x:f>
        <x:v>1</x:v>
      </x:c>
      <x:c r="AA3262" s="24" t="n">
        <x:f>IFERROR(F3262/H3262,0)-IFERROR(G3262/I3262,0)</x:f>
        <x:v>-0.3285714285714286</x:v>
      </x:c>
      <x:c r="AB3262" s="28" t="n">
        <x:f>J3262-K3262</x:f>
        <x:v>8</x:v>
      </x:c>
      <x:c r="AC3262" s="32" t="n">
        <x:f>F3262-G3262</x:f>
        <x:v>0</x:v>
      </x:c>
    </x:row>
    <x:row r="3263">
      <x:c r="A3263" s="4" t="str">
        <x:v>2025-26</x:v>
      </x:c>
      <x:c r="B3263" s="20" t="n">
        <x:v>45983</x:v>
      </x:c>
      <x:c r="C3263" s="4" t="str">
        <x:v>Brentford</x:v>
      </x:c>
      <x:c r="D3263" s="4" t="str">
        <x:v>Brighton</x:v>
      </x:c>
      <x:c r="E3263" s="4" t="str">
        <x:v>Away</x:v>
      </x:c>
      <x:c r="F3263" s="28" t="n">
        <x:v>1</x:v>
      </x:c>
      <x:c r="G3263" s="28" t="n">
        <x:v>2</x:v>
      </x:c>
      <x:c r="H3263" s="28" t="n">
        <x:v>10</x:v>
      </x:c>
      <x:c r="I3263" s="28" t="n">
        <x:v>14</x:v>
      </x:c>
      <x:c r="J3263" s="28" t="n">
        <x:v>4</x:v>
      </x:c>
      <x:c r="K3263" s="28" t="n">
        <x:v>5</x:v>
      </x:c>
      <x:c r="L3263" s="28" t="n">
        <x:v>4</x:v>
      </x:c>
      <x:c r="M3263" s="28" t="n">
        <x:v>7</x:v>
      </x:c>
      <x:c r="N3263" s="28" t="n">
        <x:v>2</x:v>
      </x:c>
      <x:c r="O3263" s="28" t="n">
        <x:v>0</x:v>
      </x:c>
      <x:c r="P3263" s="28" t="n">
        <x:v>0</x:v>
      </x:c>
      <x:c r="Q3263" s="24" t="n">
        <x:f>IFERROR(J3263/H3263,0)</x:f>
        <x:v>0.4</x:v>
      </x:c>
      <x:c r="R3263" s="24" t="n">
        <x:f>IFERROR(F3263/H3263,0)</x:f>
        <x:v>0.1</x:v>
      </x:c>
      <x:c r="S3263" s="24" t="n">
        <x:f>IFERROR(F3263/J3263,0)</x:f>
        <x:v>0.25</x:v>
      </x:c>
      <x:c r="T3263" s="28" t="n">
        <x:f>H3263-I3263</x:f>
        <x:v>-4</x:v>
      </x:c>
      <x:c r="U3263" s="24" t="n">
        <x:f>IFERROR(J3263/H3263,0)-IFERROR(K3263/I3263,0)</x:f>
        <x:v>0.04285714285714287</x:v>
      </x:c>
      <x:c r="V3263" s="24" t="n">
        <x:f>IFERROR(F3263/J3263,0)-IFERROR(G3263/K3263,0)</x:f>
        <x:v>-0.15000000000000002</x:v>
      </x:c>
      <x:c r="W3263" s="28" t="n">
        <x:f>L3263-M3263</x:f>
        <x:v>-3</x:v>
      </x:c>
      <x:c r="X3263" s="24" t="n">
        <x:f>IFERROR(K3263/I3263,0)</x:f>
        <x:v>0.35714285714285715</x:v>
      </x:c>
      <x:c r="Y3263" s="24" t="n">
        <x:f>IFERROR(G3263/I3263,0)</x:f>
        <x:v>0.14285714285714285</x:v>
      </x:c>
      <x:c r="Z3263" s="24" t="n">
        <x:f>IFERROR(G3263/K3263,0)</x:f>
        <x:v>0.4</x:v>
      </x:c>
      <x:c r="AA3263" s="24" t="n">
        <x:f>IFERROR(F3263/H3263,0)-IFERROR(G3263/I3263,0)</x:f>
        <x:v>-0.042857142857142844</x:v>
      </x:c>
      <x:c r="AB3263" s="28" t="n">
        <x:f>J3263-K3263</x:f>
        <x:v>-1</x:v>
      </x:c>
      <x:c r="AC3263" s="32" t="n">
        <x:f>F3263-G3263</x:f>
        <x:v>-1</x:v>
      </x:c>
    </x:row>
    <x:row r="3264">
      <x:c r="A3264" s="4" t="str">
        <x:v>2025-26</x:v>
      </x:c>
      <x:c r="B3264" s="20" t="n">
        <x:v>45983</x:v>
      </x:c>
      <x:c r="C3264" s="4" t="str">
        <x:v>Brighton</x:v>
      </x:c>
      <x:c r="D3264" s="4" t="str">
        <x:v>Brentford</x:v>
      </x:c>
      <x:c r="E3264" s="4" t="str">
        <x:v>Home</x:v>
      </x:c>
      <x:c r="F3264" s="28" t="n">
        <x:v>2</x:v>
      </x:c>
      <x:c r="G3264" s="28" t="n">
        <x:v>1</x:v>
      </x:c>
      <x:c r="H3264" s="28" t="n">
        <x:v>14</x:v>
      </x:c>
      <x:c r="I3264" s="28" t="n">
        <x:v>10</x:v>
      </x:c>
      <x:c r="J3264" s="28" t="n">
        <x:v>5</x:v>
      </x:c>
      <x:c r="K3264" s="28" t="n">
        <x:v>4</x:v>
      </x:c>
      <x:c r="L3264" s="28" t="n">
        <x:v>7</x:v>
      </x:c>
      <x:c r="M3264" s="28" t="n">
        <x:v>4</x:v>
      </x:c>
      <x:c r="N3264" s="28" t="n">
        <x:v>4</x:v>
      </x:c>
      <x:c r="O3264" s="28" t="n">
        <x:v>0</x:v>
      </x:c>
      <x:c r="P3264" s="28" t="n">
        <x:v>3</x:v>
      </x:c>
      <x:c r="Q3264" s="24" t="n">
        <x:f>IFERROR(J3264/H3264,0)</x:f>
        <x:v>0.35714285714285715</x:v>
      </x:c>
      <x:c r="R3264" s="24" t="n">
        <x:f>IFERROR(F3264/H3264,0)</x:f>
        <x:v>0.14285714285714285</x:v>
      </x:c>
      <x:c r="S3264" s="24" t="n">
        <x:f>IFERROR(F3264/J3264,0)</x:f>
        <x:v>0.4</x:v>
      </x:c>
      <x:c r="T3264" s="28" t="n">
        <x:f>H3264-I3264</x:f>
        <x:v>4</x:v>
      </x:c>
      <x:c r="U3264" s="24" t="n">
        <x:f>IFERROR(J3264/H3264,0)-IFERROR(K3264/I3264,0)</x:f>
        <x:v>-0.04285714285714287</x:v>
      </x:c>
      <x:c r="V3264" s="24" t="n">
        <x:f>IFERROR(F3264/J3264,0)-IFERROR(G3264/K3264,0)</x:f>
        <x:v>0.15000000000000002</x:v>
      </x:c>
      <x:c r="W3264" s="28" t="n">
        <x:f>L3264-M3264</x:f>
        <x:v>3</x:v>
      </x:c>
      <x:c r="X3264" s="24" t="n">
        <x:f>IFERROR(K3264/I3264,0)</x:f>
        <x:v>0.4</x:v>
      </x:c>
      <x:c r="Y3264" s="24" t="n">
        <x:f>IFERROR(G3264/I3264,0)</x:f>
        <x:v>0.1</x:v>
      </x:c>
      <x:c r="Z3264" s="24" t="n">
        <x:f>IFERROR(G3264/K3264,0)</x:f>
        <x:v>0.25</x:v>
      </x:c>
      <x:c r="AA3264" s="24" t="n">
        <x:f>IFERROR(F3264/H3264,0)-IFERROR(G3264/I3264,0)</x:f>
        <x:v>0.042857142857142844</x:v>
      </x:c>
      <x:c r="AB3264" s="28" t="n">
        <x:f>J3264-K3264</x:f>
        <x:v>1</x:v>
      </x:c>
      <x:c r="AC3264" s="32" t="n">
        <x:f>F3264-G3264</x:f>
        <x:v>1</x:v>
      </x:c>
    </x:row>
    <x:row r="3265">
      <x:c r="A3265" s="4" t="str">
        <x:v>2025-26</x:v>
      </x:c>
      <x:c r="B3265" s="20" t="n">
        <x:v>45983</x:v>
      </x:c>
      <x:c r="C3265" s="4" t="str">
        <x:v>Burnley</x:v>
      </x:c>
      <x:c r="D3265" s="4" t="str">
        <x:v>Chelsea</x:v>
      </x:c>
      <x:c r="E3265" s="4" t="str">
        <x:v>Home</x:v>
      </x:c>
      <x:c r="F3265" s="28" t="n">
        <x:v>0</x:v>
      </x:c>
      <x:c r="G3265" s="28" t="n">
        <x:v>2</x:v>
      </x:c>
      <x:c r="H3265" s="28" t="n">
        <x:v>8</x:v>
      </x:c>
      <x:c r="I3265" s="28" t="n">
        <x:v>15</x:v>
      </x:c>
      <x:c r="J3265" s="28" t="n">
        <x:v>2</x:v>
      </x:c>
      <x:c r="K3265" s="28" t="n">
        <x:v>5</x:v>
      </x:c>
      <x:c r="L3265" s="28" t="n">
        <x:v>1</x:v>
      </x:c>
      <x:c r="M3265" s="28" t="n">
        <x:v>9</x:v>
      </x:c>
      <x:c r="N3265" s="28" t="n">
        <x:v>2</x:v>
      </x:c>
      <x:c r="O3265" s="28" t="n">
        <x:v>0</x:v>
      </x:c>
      <x:c r="P3265" s="28" t="n">
        <x:v>0</x:v>
      </x:c>
      <x:c r="Q3265" s="24" t="n">
        <x:f>IFERROR(J3265/H3265,0)</x:f>
        <x:v>0.25</x:v>
      </x:c>
      <x:c r="R3265" s="24" t="n">
        <x:f>IFERROR(F3265/H3265,0)</x:f>
        <x:v>0</x:v>
      </x:c>
      <x:c r="S3265" s="24" t="n">
        <x:f>IFERROR(F3265/J3265,0)</x:f>
        <x:v>0</x:v>
      </x:c>
      <x:c r="T3265" s="28" t="n">
        <x:f>H3265-I3265</x:f>
        <x:v>-7</x:v>
      </x:c>
      <x:c r="U3265" s="24" t="n">
        <x:f>IFERROR(J3265/H3265,0)-IFERROR(K3265/I3265,0)</x:f>
        <x:v>-0.08333333333333331</x:v>
      </x:c>
      <x:c r="V3265" s="24" t="n">
        <x:f>IFERROR(F3265/J3265,0)-IFERROR(G3265/K3265,0)</x:f>
        <x:v>-0.4</x:v>
      </x:c>
      <x:c r="W3265" s="28" t="n">
        <x:f>L3265-M3265</x:f>
        <x:v>-8</x:v>
      </x:c>
      <x:c r="X3265" s="24" t="n">
        <x:f>IFERROR(K3265/I3265,0)</x:f>
        <x:v>0.3333333333333333</x:v>
      </x:c>
      <x:c r="Y3265" s="24" t="n">
        <x:f>IFERROR(G3265/I3265,0)</x:f>
        <x:v>0.13333333333333333</x:v>
      </x:c>
      <x:c r="Z3265" s="24" t="n">
        <x:f>IFERROR(G3265/K3265,0)</x:f>
        <x:v>0.4</x:v>
      </x:c>
      <x:c r="AA3265" s="24" t="n">
        <x:f>IFERROR(F3265/H3265,0)-IFERROR(G3265/I3265,0)</x:f>
        <x:v>-0.13333333333333333</x:v>
      </x:c>
      <x:c r="AB3265" s="28" t="n">
        <x:f>J3265-K3265</x:f>
        <x:v>-3</x:v>
      </x:c>
      <x:c r="AC3265" s="32" t="n">
        <x:f>F3265-G3265</x:f>
        <x:v>-2</x:v>
      </x:c>
    </x:row>
    <x:row r="3266">
      <x:c r="A3266" s="4" t="str">
        <x:v>2025-26</x:v>
      </x:c>
      <x:c r="B3266" s="20" t="n">
        <x:v>45983</x:v>
      </x:c>
      <x:c r="C3266" s="4" t="str">
        <x:v>Chelsea</x:v>
      </x:c>
      <x:c r="D3266" s="4" t="str">
        <x:v>Burnley</x:v>
      </x:c>
      <x:c r="E3266" s="4" t="str">
        <x:v>Away</x:v>
      </x:c>
      <x:c r="F3266" s="28" t="n">
        <x:v>2</x:v>
      </x:c>
      <x:c r="G3266" s="28" t="n">
        <x:v>0</x:v>
      </x:c>
      <x:c r="H3266" s="28" t="n">
        <x:v>15</x:v>
      </x:c>
      <x:c r="I3266" s="28" t="n">
        <x:v>8</x:v>
      </x:c>
      <x:c r="J3266" s="28" t="n">
        <x:v>5</x:v>
      </x:c>
      <x:c r="K3266" s="28" t="n">
        <x:v>2</x:v>
      </x:c>
      <x:c r="L3266" s="28" t="n">
        <x:v>9</x:v>
      </x:c>
      <x:c r="M3266" s="28" t="n">
        <x:v>1</x:v>
      </x:c>
      <x:c r="N3266" s="28" t="n">
        <x:v>3</x:v>
      </x:c>
      <x:c r="O3266" s="28" t="n">
        <x:v>0</x:v>
      </x:c>
      <x:c r="P3266" s="28" t="n">
        <x:v>3</x:v>
      </x:c>
      <x:c r="Q3266" s="24" t="n">
        <x:f>IFERROR(J3266/H3266,0)</x:f>
        <x:v>0.3333333333333333</x:v>
      </x:c>
      <x:c r="R3266" s="24" t="n">
        <x:f>IFERROR(F3266/H3266,0)</x:f>
        <x:v>0.13333333333333333</x:v>
      </x:c>
      <x:c r="S3266" s="24" t="n">
        <x:f>IFERROR(F3266/J3266,0)</x:f>
        <x:v>0.4</x:v>
      </x:c>
      <x:c r="T3266" s="28" t="n">
        <x:f>H3266-I3266</x:f>
        <x:v>7</x:v>
      </x:c>
      <x:c r="U3266" s="24" t="n">
        <x:f>IFERROR(J3266/H3266,0)-IFERROR(K3266/I3266,0)</x:f>
        <x:v>0.08333333333333331</x:v>
      </x:c>
      <x:c r="V3266" s="24" t="n">
        <x:f>IFERROR(F3266/J3266,0)-IFERROR(G3266/K3266,0)</x:f>
        <x:v>0.4</x:v>
      </x:c>
      <x:c r="W3266" s="28" t="n">
        <x:f>L3266-M3266</x:f>
        <x:v>8</x:v>
      </x:c>
      <x:c r="X3266" s="24" t="n">
        <x:f>IFERROR(K3266/I3266,0)</x:f>
        <x:v>0.25</x:v>
      </x:c>
      <x:c r="Y3266" s="24" t="n">
        <x:f>IFERROR(G3266/I3266,0)</x:f>
        <x:v>0</x:v>
      </x:c>
      <x:c r="Z3266" s="24" t="n">
        <x:f>IFERROR(G3266/K3266,0)</x:f>
        <x:v>0</x:v>
      </x:c>
      <x:c r="AA3266" s="24" t="n">
        <x:f>IFERROR(F3266/H3266,0)-IFERROR(G3266/I3266,0)</x:f>
        <x:v>0.13333333333333333</x:v>
      </x:c>
      <x:c r="AB3266" s="28" t="n">
        <x:f>J3266-K3266</x:f>
        <x:v>3</x:v>
      </x:c>
      <x:c r="AC3266" s="32" t="n">
        <x:f>F3266-G3266</x:f>
        <x:v>2</x:v>
      </x:c>
    </x:row>
    <x:row r="3267">
      <x:c r="A3267" s="4" t="str">
        <x:v>2025-26</x:v>
      </x:c>
      <x:c r="B3267" s="20" t="n">
        <x:v>45983</x:v>
      </x:c>
      <x:c r="C3267" s="4" t="str">
        <x:v>Crystal Palace</x:v>
      </x:c>
      <x:c r="D3267" s="4" t="str">
        <x:v>Wolves</x:v>
      </x:c>
      <x:c r="E3267" s="4" t="str">
        <x:v>Away</x:v>
      </x:c>
      <x:c r="F3267" s="28" t="n">
        <x:v>2</x:v>
      </x:c>
      <x:c r="G3267" s="28" t="n">
        <x:v>0</x:v>
      </x:c>
      <x:c r="H3267" s="28" t="n">
        <x:v>10</x:v>
      </x:c>
      <x:c r="I3267" s="28" t="n">
        <x:v>8</x:v>
      </x:c>
      <x:c r="J3267" s="28" t="n">
        <x:v>4</x:v>
      </x:c>
      <x:c r="K3267" s="28" t="n">
        <x:v>1</x:v>
      </x:c>
      <x:c r="L3267" s="28" t="n">
        <x:v>4</x:v>
      </x:c>
      <x:c r="M3267" s="28" t="n">
        <x:v>1</x:v>
      </x:c>
      <x:c r="N3267" s="28" t="n">
        <x:v>3</x:v>
      </x:c>
      <x:c r="O3267" s="28" t="n">
        <x:v>0</x:v>
      </x:c>
      <x:c r="P3267" s="28" t="n">
        <x:v>3</x:v>
      </x:c>
      <x:c r="Q3267" s="24" t="n">
        <x:f>IFERROR(J3267/H3267,0)</x:f>
        <x:v>0.4</x:v>
      </x:c>
      <x:c r="R3267" s="24" t="n">
        <x:f>IFERROR(F3267/H3267,0)</x:f>
        <x:v>0.2</x:v>
      </x:c>
      <x:c r="S3267" s="24" t="n">
        <x:f>IFERROR(F3267/J3267,0)</x:f>
        <x:v>0.5</x:v>
      </x:c>
      <x:c r="T3267" s="28" t="n">
        <x:f>H3267-I3267</x:f>
        <x:v>2</x:v>
      </x:c>
      <x:c r="U3267" s="24" t="n">
        <x:f>IFERROR(J3267/H3267,0)-IFERROR(K3267/I3267,0)</x:f>
        <x:v>0.275</x:v>
      </x:c>
      <x:c r="V3267" s="24" t="n">
        <x:f>IFERROR(F3267/J3267,0)-IFERROR(G3267/K3267,0)</x:f>
        <x:v>0.5</x:v>
      </x:c>
      <x:c r="W3267" s="28" t="n">
        <x:f>L3267-M3267</x:f>
        <x:v>3</x:v>
      </x:c>
      <x:c r="X3267" s="24" t="n">
        <x:f>IFERROR(K3267/I3267,0)</x:f>
        <x:v>0.125</x:v>
      </x:c>
      <x:c r="Y3267" s="24" t="n">
        <x:f>IFERROR(G3267/I3267,0)</x:f>
        <x:v>0</x:v>
      </x:c>
      <x:c r="Z3267" s="24" t="n">
        <x:f>IFERROR(G3267/K3267,0)</x:f>
        <x:v>0</x:v>
      </x:c>
      <x:c r="AA3267" s="24" t="n">
        <x:f>IFERROR(F3267/H3267,0)-IFERROR(G3267/I3267,0)</x:f>
        <x:v>0.2</x:v>
      </x:c>
      <x:c r="AB3267" s="28" t="n">
        <x:f>J3267-K3267</x:f>
        <x:v>3</x:v>
      </x:c>
      <x:c r="AC3267" s="32" t="n">
        <x:f>F3267-G3267</x:f>
        <x:v>2</x:v>
      </x:c>
    </x:row>
    <x:row r="3268">
      <x:c r="A3268" s="4" t="str">
        <x:v>2025-26</x:v>
      </x:c>
      <x:c r="B3268" s="20" t="n">
        <x:v>45983</x:v>
      </x:c>
      <x:c r="C3268" s="4" t="str">
        <x:v>Fulham</x:v>
      </x:c>
      <x:c r="D3268" s="4" t="str">
        <x:v>Sunderland</x:v>
      </x:c>
      <x:c r="E3268" s="4" t="str">
        <x:v>Home</x:v>
      </x:c>
      <x:c r="F3268" s="28" t="n">
        <x:v>1</x:v>
      </x:c>
      <x:c r="G3268" s="28" t="n">
        <x:v>0</x:v>
      </x:c>
      <x:c r="H3268" s="28" t="n">
        <x:v>24</x:v>
      </x:c>
      <x:c r="I3268" s="28" t="n">
        <x:v>4</x:v>
      </x:c>
      <x:c r="J3268" s="28" t="n">
        <x:v>6</x:v>
      </x:c>
      <x:c r="K3268" s="28" t="n">
        <x:v>2</x:v>
      </x:c>
      <x:c r="L3268" s="28" t="n">
        <x:v>7</x:v>
      </x:c>
      <x:c r="M3268" s="28" t="n">
        <x:v>4</x:v>
      </x:c>
      <x:c r="N3268" s="28" t="n">
        <x:v>3</x:v>
      </x:c>
      <x:c r="O3268" s="28" t="n">
        <x:v>0</x:v>
      </x:c>
      <x:c r="P3268" s="28" t="n">
        <x:v>3</x:v>
      </x:c>
      <x:c r="Q3268" s="24" t="n">
        <x:f>IFERROR(J3268/H3268,0)</x:f>
        <x:v>0.25</x:v>
      </x:c>
      <x:c r="R3268" s="24" t="n">
        <x:f>IFERROR(F3268/H3268,0)</x:f>
        <x:v>0.041666666666666664</x:v>
      </x:c>
      <x:c r="S3268" s="24" t="n">
        <x:f>IFERROR(F3268/J3268,0)</x:f>
        <x:v>0.16666666666666666</x:v>
      </x:c>
      <x:c r="T3268" s="28" t="n">
        <x:f>H3268-I3268</x:f>
        <x:v>20</x:v>
      </x:c>
      <x:c r="U3268" s="24" t="n">
        <x:f>IFERROR(J3268/H3268,0)-IFERROR(K3268/I3268,0)</x:f>
        <x:v>-0.25</x:v>
      </x:c>
      <x:c r="V3268" s="24" t="n">
        <x:f>IFERROR(F3268/J3268,0)-IFERROR(G3268/K3268,0)</x:f>
        <x:v>0.16666666666666666</x:v>
      </x:c>
      <x:c r="W3268" s="28" t="n">
        <x:f>L3268-M3268</x:f>
        <x:v>3</x:v>
      </x:c>
      <x:c r="X3268" s="24" t="n">
        <x:f>IFERROR(K3268/I3268,0)</x:f>
        <x:v>0.5</x:v>
      </x:c>
      <x:c r="Y3268" s="24" t="n">
        <x:f>IFERROR(G3268/I3268,0)</x:f>
        <x:v>0</x:v>
      </x:c>
      <x:c r="Z3268" s="24" t="n">
        <x:f>IFERROR(G3268/K3268,0)</x:f>
        <x:v>0</x:v>
      </x:c>
      <x:c r="AA3268" s="24" t="n">
        <x:f>IFERROR(F3268/H3268,0)-IFERROR(G3268/I3268,0)</x:f>
        <x:v>0.041666666666666664</x:v>
      </x:c>
      <x:c r="AB3268" s="28" t="n">
        <x:f>J3268-K3268</x:f>
        <x:v>4</x:v>
      </x:c>
      <x:c r="AC3268" s="32" t="n">
        <x:f>F3268-G3268</x:f>
        <x:v>1</x:v>
      </x:c>
    </x:row>
    <x:row r="3269">
      <x:c r="A3269" s="4" t="str">
        <x:v>2025-26</x:v>
      </x:c>
      <x:c r="B3269" s="20" t="n">
        <x:v>45983</x:v>
      </x:c>
      <x:c r="C3269" s="4" t="str">
        <x:v>Liverpool</x:v>
      </x:c>
      <x:c r="D3269" s="4" t="str">
        <x:v>Nott'm Forest</x:v>
      </x:c>
      <x:c r="E3269" s="4" t="str">
        <x:v>Home</x:v>
      </x:c>
      <x:c r="F3269" s="28" t="n">
        <x:v>0</x:v>
      </x:c>
      <x:c r="G3269" s="28" t="n">
        <x:v>3</x:v>
      </x:c>
      <x:c r="H3269" s="28" t="n">
        <x:v>21</x:v>
      </x:c>
      <x:c r="I3269" s="28" t="n">
        <x:v>15</x:v>
      </x:c>
      <x:c r="J3269" s="28" t="n">
        <x:v>4</x:v>
      </x:c>
      <x:c r="K3269" s="28" t="n">
        <x:v>7</x:v>
      </x:c>
      <x:c r="L3269" s="28" t="n">
        <x:v>8</x:v>
      </x:c>
      <x:c r="M3269" s="28" t="n">
        <x:v>6</x:v>
      </x:c>
      <x:c r="N3269" s="28" t="n">
        <x:v>2</x:v>
      </x:c>
      <x:c r="O3269" s="28" t="n">
        <x:v>0</x:v>
      </x:c>
      <x:c r="P3269" s="28" t="n">
        <x:v>0</x:v>
      </x:c>
      <x:c r="Q3269" s="24" t="n">
        <x:f>IFERROR(J3269/H3269,0)</x:f>
        <x:v>0.19047619047619047</x:v>
      </x:c>
      <x:c r="R3269" s="24" t="n">
        <x:f>IFERROR(F3269/H3269,0)</x:f>
        <x:v>0</x:v>
      </x:c>
      <x:c r="S3269" s="24" t="n">
        <x:f>IFERROR(F3269/J3269,0)</x:f>
        <x:v>0</x:v>
      </x:c>
      <x:c r="T3269" s="28" t="n">
        <x:f>H3269-I3269</x:f>
        <x:v>6</x:v>
      </x:c>
      <x:c r="U3269" s="24" t="n">
        <x:f>IFERROR(J3269/H3269,0)-IFERROR(K3269/I3269,0)</x:f>
        <x:v>-0.2761904761904762</x:v>
      </x:c>
      <x:c r="V3269" s="24" t="n">
        <x:f>IFERROR(F3269/J3269,0)-IFERROR(G3269/K3269,0)</x:f>
        <x:v>-0.42857142857142855</x:v>
      </x:c>
      <x:c r="W3269" s="28" t="n">
        <x:f>L3269-M3269</x:f>
        <x:v>2</x:v>
      </x:c>
      <x:c r="X3269" s="24" t="n">
        <x:f>IFERROR(K3269/I3269,0)</x:f>
        <x:v>0.4666666666666667</x:v>
      </x:c>
      <x:c r="Y3269" s="24" t="n">
        <x:f>IFERROR(G3269/I3269,0)</x:f>
        <x:v>0.2</x:v>
      </x:c>
      <x:c r="Z3269" s="24" t="n">
        <x:f>IFERROR(G3269/K3269,0)</x:f>
        <x:v>0.42857142857142855</x:v>
      </x:c>
      <x:c r="AA3269" s="24" t="n">
        <x:f>IFERROR(F3269/H3269,0)-IFERROR(G3269/I3269,0)</x:f>
        <x:v>-0.2</x:v>
      </x:c>
      <x:c r="AB3269" s="28" t="n">
        <x:f>J3269-K3269</x:f>
        <x:v>-3</x:v>
      </x:c>
      <x:c r="AC3269" s="32" t="n">
        <x:f>F3269-G3269</x:f>
        <x:v>-3</x:v>
      </x:c>
    </x:row>
    <x:row r="3270">
      <x:c r="A3270" s="4" t="str">
        <x:v>2025-26</x:v>
      </x:c>
      <x:c r="B3270" s="20" t="n">
        <x:v>45983</x:v>
      </x:c>
      <x:c r="C3270" s="4" t="str">
        <x:v>Man City</x:v>
      </x:c>
      <x:c r="D3270" s="4" t="str">
        <x:v>Newcastle</x:v>
      </x:c>
      <x:c r="E3270" s="4" t="str">
        <x:v>Away</x:v>
      </x:c>
      <x:c r="F3270" s="28" t="n">
        <x:v>1</x:v>
      </x:c>
      <x:c r="G3270" s="28" t="n">
        <x:v>2</x:v>
      </x:c>
      <x:c r="H3270" s="28" t="n">
        <x:v>17</x:v>
      </x:c>
      <x:c r="I3270" s="28" t="n">
        <x:v>9</x:v>
      </x:c>
      <x:c r="J3270" s="28" t="n">
        <x:v>4</x:v>
      </x:c>
      <x:c r="K3270" s="28" t="n">
        <x:v>5</x:v>
      </x:c>
      <x:c r="L3270" s="28" t="n">
        <x:v>9</x:v>
      </x:c>
      <x:c r="M3270" s="28" t="n">
        <x:v>5</x:v>
      </x:c>
      <x:c r="N3270" s="28" t="n">
        <x:v>3</x:v>
      </x:c>
      <x:c r="O3270" s="28" t="n">
        <x:v>0</x:v>
      </x:c>
      <x:c r="P3270" s="28" t="n">
        <x:v>0</x:v>
      </x:c>
      <x:c r="Q3270" s="24" t="n">
        <x:f>IFERROR(J3270/H3270,0)</x:f>
        <x:v>0.23529411764705882</x:v>
      </x:c>
      <x:c r="R3270" s="24" t="n">
        <x:f>IFERROR(F3270/H3270,0)</x:f>
        <x:v>0.058823529411764705</x:v>
      </x:c>
      <x:c r="S3270" s="24" t="n">
        <x:f>IFERROR(F3270/J3270,0)</x:f>
        <x:v>0.25</x:v>
      </x:c>
      <x:c r="T3270" s="28" t="n">
        <x:f>H3270-I3270</x:f>
        <x:v>8</x:v>
      </x:c>
      <x:c r="U3270" s="24" t="n">
        <x:f>IFERROR(J3270/H3270,0)-IFERROR(K3270/I3270,0)</x:f>
        <x:v>-0.32026143790849676</x:v>
      </x:c>
      <x:c r="V3270" s="24" t="n">
        <x:f>IFERROR(F3270/J3270,0)-IFERROR(G3270/K3270,0)</x:f>
        <x:v>-0.15000000000000002</x:v>
      </x:c>
      <x:c r="W3270" s="28" t="n">
        <x:f>L3270-M3270</x:f>
        <x:v>4</x:v>
      </x:c>
      <x:c r="X3270" s="24" t="n">
        <x:f>IFERROR(K3270/I3270,0)</x:f>
        <x:v>0.5555555555555556</x:v>
      </x:c>
      <x:c r="Y3270" s="24" t="n">
        <x:f>IFERROR(G3270/I3270,0)</x:f>
        <x:v>0.2222222222222222</x:v>
      </x:c>
      <x:c r="Z3270" s="24" t="n">
        <x:f>IFERROR(G3270/K3270,0)</x:f>
        <x:v>0.4</x:v>
      </x:c>
      <x:c r="AA3270" s="24" t="n">
        <x:f>IFERROR(F3270/H3270,0)-IFERROR(G3270/I3270,0)</x:f>
        <x:v>-0.1633986928104575</x:v>
      </x:c>
      <x:c r="AB3270" s="28" t="n">
        <x:f>J3270-K3270</x:f>
        <x:v>-1</x:v>
      </x:c>
      <x:c r="AC3270" s="32" t="n">
        <x:f>F3270-G3270</x:f>
        <x:v>-1</x:v>
      </x:c>
    </x:row>
    <x:row r="3271">
      <x:c r="A3271" s="4" t="str">
        <x:v>2025-26</x:v>
      </x:c>
      <x:c r="B3271" s="20" t="n">
        <x:v>45983</x:v>
      </x:c>
      <x:c r="C3271" s="4" t="str">
        <x:v>Newcastle</x:v>
      </x:c>
      <x:c r="D3271" s="4" t="str">
        <x:v>Man City</x:v>
      </x:c>
      <x:c r="E3271" s="4" t="str">
        <x:v>Home</x:v>
      </x:c>
      <x:c r="F3271" s="28" t="n">
        <x:v>2</x:v>
      </x:c>
      <x:c r="G3271" s="28" t="n">
        <x:v>1</x:v>
      </x:c>
      <x:c r="H3271" s="28" t="n">
        <x:v>9</x:v>
      </x:c>
      <x:c r="I3271" s="28" t="n">
        <x:v>17</x:v>
      </x:c>
      <x:c r="J3271" s="28" t="n">
        <x:v>5</x:v>
      </x:c>
      <x:c r="K3271" s="28" t="n">
        <x:v>4</x:v>
      </x:c>
      <x:c r="L3271" s="28" t="n">
        <x:v>5</x:v>
      </x:c>
      <x:c r="M3271" s="28" t="n">
        <x:v>9</x:v>
      </x:c>
      <x:c r="N3271" s="28" t="n">
        <x:v>1</x:v>
      </x:c>
      <x:c r="O3271" s="28" t="n">
        <x:v>0</x:v>
      </x:c>
      <x:c r="P3271" s="28" t="n">
        <x:v>3</x:v>
      </x:c>
      <x:c r="Q3271" s="24" t="n">
        <x:f>IFERROR(J3271/H3271,0)</x:f>
        <x:v>0.5555555555555556</x:v>
      </x:c>
      <x:c r="R3271" s="24" t="n">
        <x:f>IFERROR(F3271/H3271,0)</x:f>
        <x:v>0.2222222222222222</x:v>
      </x:c>
      <x:c r="S3271" s="24" t="n">
        <x:f>IFERROR(F3271/J3271,0)</x:f>
        <x:v>0.4</x:v>
      </x:c>
      <x:c r="T3271" s="28" t="n">
        <x:f>H3271-I3271</x:f>
        <x:v>-8</x:v>
      </x:c>
      <x:c r="U3271" s="24" t="n">
        <x:f>IFERROR(J3271/H3271,0)-IFERROR(K3271/I3271,0)</x:f>
        <x:v>0.32026143790849676</x:v>
      </x:c>
      <x:c r="V3271" s="24" t="n">
        <x:f>IFERROR(F3271/J3271,0)-IFERROR(G3271/K3271,0)</x:f>
        <x:v>0.15000000000000002</x:v>
      </x:c>
      <x:c r="W3271" s="28" t="n">
        <x:f>L3271-M3271</x:f>
        <x:v>-4</x:v>
      </x:c>
      <x:c r="X3271" s="24" t="n">
        <x:f>IFERROR(K3271/I3271,0)</x:f>
        <x:v>0.23529411764705882</x:v>
      </x:c>
      <x:c r="Y3271" s="24" t="n">
        <x:f>IFERROR(G3271/I3271,0)</x:f>
        <x:v>0.058823529411764705</x:v>
      </x:c>
      <x:c r="Z3271" s="24" t="n">
        <x:f>IFERROR(G3271/K3271,0)</x:f>
        <x:v>0.25</x:v>
      </x:c>
      <x:c r="AA3271" s="24" t="n">
        <x:f>IFERROR(F3271/H3271,0)-IFERROR(G3271/I3271,0)</x:f>
        <x:v>0.1633986928104575</x:v>
      </x:c>
      <x:c r="AB3271" s="28" t="n">
        <x:f>J3271-K3271</x:f>
        <x:v>1</x:v>
      </x:c>
      <x:c r="AC3271" s="32" t="n">
        <x:f>F3271-G3271</x:f>
        <x:v>1</x:v>
      </x:c>
    </x:row>
    <x:row r="3272">
      <x:c r="A3272" s="4" t="str">
        <x:v>2025-26</x:v>
      </x:c>
      <x:c r="B3272" s="20" t="n">
        <x:v>45983</x:v>
      </x:c>
      <x:c r="C3272" s="4" t="str">
        <x:v>Nott'm Forest</x:v>
      </x:c>
      <x:c r="D3272" s="4" t="str">
        <x:v>Liverpool</x:v>
      </x:c>
      <x:c r="E3272" s="4" t="str">
        <x:v>Away</x:v>
      </x:c>
      <x:c r="F3272" s="28" t="n">
        <x:v>3</x:v>
      </x:c>
      <x:c r="G3272" s="28" t="n">
        <x:v>0</x:v>
      </x:c>
      <x:c r="H3272" s="28" t="n">
        <x:v>15</x:v>
      </x:c>
      <x:c r="I3272" s="28" t="n">
        <x:v>21</x:v>
      </x:c>
      <x:c r="J3272" s="28" t="n">
        <x:v>7</x:v>
      </x:c>
      <x:c r="K3272" s="28" t="n">
        <x:v>4</x:v>
      </x:c>
      <x:c r="L3272" s="28" t="n">
        <x:v>6</x:v>
      </x:c>
      <x:c r="M3272" s="28" t="n">
        <x:v>8</x:v>
      </x:c>
      <x:c r="N3272" s="28" t="n">
        <x:v>0</x:v>
      </x:c>
      <x:c r="O3272" s="28" t="n">
        <x:v>0</x:v>
      </x:c>
      <x:c r="P3272" s="28" t="n">
        <x:v>3</x:v>
      </x:c>
      <x:c r="Q3272" s="24" t="n">
        <x:f>IFERROR(J3272/H3272,0)</x:f>
        <x:v>0.4666666666666667</x:v>
      </x:c>
      <x:c r="R3272" s="24" t="n">
        <x:f>IFERROR(F3272/H3272,0)</x:f>
        <x:v>0.2</x:v>
      </x:c>
      <x:c r="S3272" s="24" t="n">
        <x:f>IFERROR(F3272/J3272,0)</x:f>
        <x:v>0.42857142857142855</x:v>
      </x:c>
      <x:c r="T3272" s="28" t="n">
        <x:f>H3272-I3272</x:f>
        <x:v>-6</x:v>
      </x:c>
      <x:c r="U3272" s="24" t="n">
        <x:f>IFERROR(J3272/H3272,0)-IFERROR(K3272/I3272,0)</x:f>
        <x:v>0.2761904761904762</x:v>
      </x:c>
      <x:c r="V3272" s="24" t="n">
        <x:f>IFERROR(F3272/J3272,0)-IFERROR(G3272/K3272,0)</x:f>
        <x:v>0.42857142857142855</x:v>
      </x:c>
      <x:c r="W3272" s="28" t="n">
        <x:f>L3272-M3272</x:f>
        <x:v>-2</x:v>
      </x:c>
      <x:c r="X3272" s="24" t="n">
        <x:f>IFERROR(K3272/I3272,0)</x:f>
        <x:v>0.19047619047619047</x:v>
      </x:c>
      <x:c r="Y3272" s="24" t="n">
        <x:f>IFERROR(G3272/I3272,0)</x:f>
        <x:v>0</x:v>
      </x:c>
      <x:c r="Z3272" s="24" t="n">
        <x:f>IFERROR(G3272/K3272,0)</x:f>
        <x:v>0</x:v>
      </x:c>
      <x:c r="AA3272" s="24" t="n">
        <x:f>IFERROR(F3272/H3272,0)-IFERROR(G3272/I3272,0)</x:f>
        <x:v>0.2</x:v>
      </x:c>
      <x:c r="AB3272" s="28" t="n">
        <x:f>J3272-K3272</x:f>
        <x:v>3</x:v>
      </x:c>
      <x:c r="AC3272" s="32" t="n">
        <x:f>F3272-G3272</x:f>
        <x:v>3</x:v>
      </x:c>
    </x:row>
    <x:row r="3273">
      <x:c r="A3273" s="4" t="str">
        <x:v>2025-26</x:v>
      </x:c>
      <x:c r="B3273" s="20" t="n">
        <x:v>45983</x:v>
      </x:c>
      <x:c r="C3273" s="4" t="str">
        <x:v>Sunderland</x:v>
      </x:c>
      <x:c r="D3273" s="4" t="str">
        <x:v>Fulham</x:v>
      </x:c>
      <x:c r="E3273" s="4" t="str">
        <x:v>Away</x:v>
      </x:c>
      <x:c r="F3273" s="28" t="n">
        <x:v>0</x:v>
      </x:c>
      <x:c r="G3273" s="28" t="n">
        <x:v>1</x:v>
      </x:c>
      <x:c r="H3273" s="28" t="n">
        <x:v>4</x:v>
      </x:c>
      <x:c r="I3273" s="28" t="n">
        <x:v>24</x:v>
      </x:c>
      <x:c r="J3273" s="28" t="n">
        <x:v>2</x:v>
      </x:c>
      <x:c r="K3273" s="28" t="n">
        <x:v>6</x:v>
      </x:c>
      <x:c r="L3273" s="28" t="n">
        <x:v>4</x:v>
      </x:c>
      <x:c r="M3273" s="28" t="n">
        <x:v>7</x:v>
      </x:c>
      <x:c r="N3273" s="28" t="n">
        <x:v>3</x:v>
      </x:c>
      <x:c r="O3273" s="28" t="n">
        <x:v>0</x:v>
      </x:c>
      <x:c r="P3273" s="28" t="n">
        <x:v>0</x:v>
      </x:c>
      <x:c r="Q3273" s="24" t="n">
        <x:f>IFERROR(J3273/H3273,0)</x:f>
        <x:v>0.5</x:v>
      </x:c>
      <x:c r="R3273" s="24" t="n">
        <x:f>IFERROR(F3273/H3273,0)</x:f>
        <x:v>0</x:v>
      </x:c>
      <x:c r="S3273" s="24" t="n">
        <x:f>IFERROR(F3273/J3273,0)</x:f>
        <x:v>0</x:v>
      </x:c>
      <x:c r="T3273" s="28" t="n">
        <x:f>H3273-I3273</x:f>
        <x:v>-20</x:v>
      </x:c>
      <x:c r="U3273" s="24" t="n">
        <x:f>IFERROR(J3273/H3273,0)-IFERROR(K3273/I3273,0)</x:f>
        <x:v>0.25</x:v>
      </x:c>
      <x:c r="V3273" s="24" t="n">
        <x:f>IFERROR(F3273/J3273,0)-IFERROR(G3273/K3273,0)</x:f>
        <x:v>-0.16666666666666666</x:v>
      </x:c>
      <x:c r="W3273" s="28" t="n">
        <x:f>L3273-M3273</x:f>
        <x:v>-3</x:v>
      </x:c>
      <x:c r="X3273" s="24" t="n">
        <x:f>IFERROR(K3273/I3273,0)</x:f>
        <x:v>0.25</x:v>
      </x:c>
      <x:c r="Y3273" s="24" t="n">
        <x:f>IFERROR(G3273/I3273,0)</x:f>
        <x:v>0.041666666666666664</x:v>
      </x:c>
      <x:c r="Z3273" s="24" t="n">
        <x:f>IFERROR(G3273/K3273,0)</x:f>
        <x:v>0.16666666666666666</x:v>
      </x:c>
      <x:c r="AA3273" s="24" t="n">
        <x:f>IFERROR(F3273/H3273,0)-IFERROR(G3273/I3273,0)</x:f>
        <x:v>-0.041666666666666664</x:v>
      </x:c>
      <x:c r="AB3273" s="28" t="n">
        <x:f>J3273-K3273</x:f>
        <x:v>-4</x:v>
      </x:c>
      <x:c r="AC3273" s="32" t="n">
        <x:f>F3273-G3273</x:f>
        <x:v>-1</x:v>
      </x:c>
    </x:row>
    <x:row r="3274">
      <x:c r="A3274" s="4" t="str">
        <x:v>2025-26</x:v>
      </x:c>
      <x:c r="B3274" s="20" t="n">
        <x:v>45983</x:v>
      </x:c>
      <x:c r="C3274" s="4" t="str">
        <x:v>West Ham</x:v>
      </x:c>
      <x:c r="D3274" s="4" t="str">
        <x:v>Bournemouth</x:v>
      </x:c>
      <x:c r="E3274" s="4" t="str">
        <x:v>Away</x:v>
      </x:c>
      <x:c r="F3274" s="28" t="n">
        <x:v>2</x:v>
      </x:c>
      <x:c r="G3274" s="28" t="n">
        <x:v>2</x:v>
      </x:c>
      <x:c r="H3274" s="28" t="n">
        <x:v>5</x:v>
      </x:c>
      <x:c r="I3274" s="28" t="n">
        <x:v>28</x:v>
      </x:c>
      <x:c r="J3274" s="28" t="n">
        <x:v>2</x:v>
      </x:c>
      <x:c r="K3274" s="28" t="n">
        <x:v>10</x:v>
      </x:c>
      <x:c r="L3274" s="28" t="n">
        <x:v>2</x:v>
      </x:c>
      <x:c r="M3274" s="28" t="n">
        <x:v>9</x:v>
      </x:c>
      <x:c r="N3274" s="28" t="n">
        <x:v>2</x:v>
      </x:c>
      <x:c r="O3274" s="28" t="n">
        <x:v>0</x:v>
      </x:c>
      <x:c r="P3274" s="28" t="n">
        <x:v>1</x:v>
      </x:c>
      <x:c r="Q3274" s="24" t="n">
        <x:f>IFERROR(J3274/H3274,0)</x:f>
        <x:v>0.4</x:v>
      </x:c>
      <x:c r="R3274" s="24" t="n">
        <x:f>IFERROR(F3274/H3274,0)</x:f>
        <x:v>0.4</x:v>
      </x:c>
      <x:c r="S3274" s="24" t="n">
        <x:f>IFERROR(F3274/J3274,0)</x:f>
        <x:v>1</x:v>
      </x:c>
      <x:c r="T3274" s="28" t="n">
        <x:f>H3274-I3274</x:f>
        <x:v>-23</x:v>
      </x:c>
      <x:c r="U3274" s="24" t="n">
        <x:f>IFERROR(J3274/H3274,0)-IFERROR(K3274/I3274,0)</x:f>
        <x:v>0.04285714285714287</x:v>
      </x:c>
      <x:c r="V3274" s="24" t="n">
        <x:f>IFERROR(F3274/J3274,0)-IFERROR(G3274/K3274,0)</x:f>
        <x:v>0.8</x:v>
      </x:c>
      <x:c r="W3274" s="28" t="n">
        <x:f>L3274-M3274</x:f>
        <x:v>-7</x:v>
      </x:c>
      <x:c r="X3274" s="24" t="n">
        <x:f>IFERROR(K3274/I3274,0)</x:f>
        <x:v>0.35714285714285715</x:v>
      </x:c>
      <x:c r="Y3274" s="24" t="n">
        <x:f>IFERROR(G3274/I3274,0)</x:f>
        <x:v>0.07142857142857142</x:v>
      </x:c>
      <x:c r="Z3274" s="24" t="n">
        <x:f>IFERROR(G3274/K3274,0)</x:f>
        <x:v>0.2</x:v>
      </x:c>
      <x:c r="AA3274" s="24" t="n">
        <x:f>IFERROR(F3274/H3274,0)-IFERROR(G3274/I3274,0)</x:f>
        <x:v>0.3285714285714286</x:v>
      </x:c>
      <x:c r="AB3274" s="28" t="n">
        <x:f>J3274-K3274</x:f>
        <x:v>-8</x:v>
      </x:c>
      <x:c r="AC3274" s="32" t="n">
        <x:f>F3274-G3274</x:f>
        <x:v>0</x:v>
      </x:c>
    </x:row>
    <x:row r="3275">
      <x:c r="A3275" s="4" t="str">
        <x:v>2025-26</x:v>
      </x:c>
      <x:c r="B3275" s="20" t="n">
        <x:v>45983</x:v>
      </x:c>
      <x:c r="C3275" s="4" t="str">
        <x:v>Wolves</x:v>
      </x:c>
      <x:c r="D3275" s="4" t="str">
        <x:v>Crystal Palace</x:v>
      </x:c>
      <x:c r="E3275" s="4" t="str">
        <x:v>Home</x:v>
      </x:c>
      <x:c r="F3275" s="28" t="n">
        <x:v>0</x:v>
      </x:c>
      <x:c r="G3275" s="28" t="n">
        <x:v>2</x:v>
      </x:c>
      <x:c r="H3275" s="28" t="n">
        <x:v>8</x:v>
      </x:c>
      <x:c r="I3275" s="28" t="n">
        <x:v>10</x:v>
      </x:c>
      <x:c r="J3275" s="28" t="n">
        <x:v>1</x:v>
      </x:c>
      <x:c r="K3275" s="28" t="n">
        <x:v>4</x:v>
      </x:c>
      <x:c r="L3275" s="28" t="n">
        <x:v>1</x:v>
      </x:c>
      <x:c r="M3275" s="28" t="n">
        <x:v>4</x:v>
      </x:c>
      <x:c r="N3275" s="28" t="n">
        <x:v>2</x:v>
      </x:c>
      <x:c r="O3275" s="28" t="n">
        <x:v>0</x:v>
      </x:c>
      <x:c r="P3275" s="28" t="n">
        <x:v>0</x:v>
      </x:c>
      <x:c r="Q3275" s="24" t="n">
        <x:f>IFERROR(J3275/H3275,0)</x:f>
        <x:v>0.125</x:v>
      </x:c>
      <x:c r="R3275" s="24" t="n">
        <x:f>IFERROR(F3275/H3275,0)</x:f>
        <x:v>0</x:v>
      </x:c>
      <x:c r="S3275" s="24" t="n">
        <x:f>IFERROR(F3275/J3275,0)</x:f>
        <x:v>0</x:v>
      </x:c>
      <x:c r="T3275" s="28" t="n">
        <x:f>H3275-I3275</x:f>
        <x:v>-2</x:v>
      </x:c>
      <x:c r="U3275" s="24" t="n">
        <x:f>IFERROR(J3275/H3275,0)-IFERROR(K3275/I3275,0)</x:f>
        <x:v>-0.275</x:v>
      </x:c>
      <x:c r="V3275" s="24" t="n">
        <x:f>IFERROR(F3275/J3275,0)-IFERROR(G3275/K3275,0)</x:f>
        <x:v>-0.5</x:v>
      </x:c>
      <x:c r="W3275" s="28" t="n">
        <x:f>L3275-M3275</x:f>
        <x:v>-3</x:v>
      </x:c>
      <x:c r="X3275" s="24" t="n">
        <x:f>IFERROR(K3275/I3275,0)</x:f>
        <x:v>0.4</x:v>
      </x:c>
      <x:c r="Y3275" s="24" t="n">
        <x:f>IFERROR(G3275/I3275,0)</x:f>
        <x:v>0.2</x:v>
      </x:c>
      <x:c r="Z3275" s="24" t="n">
        <x:f>IFERROR(G3275/K3275,0)</x:f>
        <x:v>0.5</x:v>
      </x:c>
      <x:c r="AA3275" s="24" t="n">
        <x:f>IFERROR(F3275/H3275,0)-IFERROR(G3275/I3275,0)</x:f>
        <x:v>-0.2</x:v>
      </x:c>
      <x:c r="AB3275" s="28" t="n">
        <x:f>J3275-K3275</x:f>
        <x:v>-3</x:v>
      </x:c>
      <x:c r="AC3275" s="32" t="n">
        <x:f>F3275-G3275</x:f>
        <x:v>-2</x:v>
      </x:c>
    </x:row>
    <x:row r="3276">
      <x:c r="A3276" s="4" t="str">
        <x:v>2025-26</x:v>
      </x:c>
      <x:c r="B3276" s="20" t="n">
        <x:v>45984</x:v>
      </x:c>
      <x:c r="C3276" s="4" t="str">
        <x:v>Arsenal</x:v>
      </x:c>
      <x:c r="D3276" s="4" t="str">
        <x:v>Tottenham</x:v>
      </x:c>
      <x:c r="E3276" s="4" t="str">
        <x:v>Home</x:v>
      </x:c>
      <x:c r="F3276" s="28" t="n">
        <x:v>4</x:v>
      </x:c>
      <x:c r="G3276" s="28" t="n">
        <x:v>1</x:v>
      </x:c>
      <x:c r="H3276" s="28" t="n">
        <x:v>17</x:v>
      </x:c>
      <x:c r="I3276" s="28" t="n">
        <x:v>3</x:v>
      </x:c>
      <x:c r="J3276" s="28" t="n">
        <x:v>8</x:v>
      </x:c>
      <x:c r="K3276" s="28" t="n">
        <x:v>2</x:v>
      </x:c>
      <x:c r="L3276" s="28" t="n">
        <x:v>4</x:v>
      </x:c>
      <x:c r="M3276" s="28" t="n">
        <x:v>1</x:v>
      </x:c>
      <x:c r="N3276" s="28" t="n">
        <x:v>1</x:v>
      </x:c>
      <x:c r="O3276" s="28" t="n">
        <x:v>0</x:v>
      </x:c>
      <x:c r="P3276" s="28" t="n">
        <x:v>3</x:v>
      </x:c>
      <x:c r="Q3276" s="24" t="n">
        <x:f>IFERROR(J3276/H3276,0)</x:f>
        <x:v>0.47058823529411764</x:v>
      </x:c>
      <x:c r="R3276" s="24" t="n">
        <x:f>IFERROR(F3276/H3276,0)</x:f>
        <x:v>0.23529411764705882</x:v>
      </x:c>
      <x:c r="S3276" s="24" t="n">
        <x:f>IFERROR(F3276/J3276,0)</x:f>
        <x:v>0.5</x:v>
      </x:c>
      <x:c r="T3276" s="28" t="n">
        <x:f>H3276-I3276</x:f>
        <x:v>14</x:v>
      </x:c>
      <x:c r="U3276" s="24" t="n">
        <x:f>IFERROR(J3276/H3276,0)-IFERROR(K3276/I3276,0)</x:f>
        <x:v>-0.196078431372549</x:v>
      </x:c>
      <x:c r="V3276" s="24" t="n">
        <x:f>IFERROR(F3276/J3276,0)-IFERROR(G3276/K3276,0)</x:f>
        <x:v>0</x:v>
      </x:c>
      <x:c r="W3276" s="28" t="n">
        <x:f>L3276-M3276</x:f>
        <x:v>3</x:v>
      </x:c>
      <x:c r="X3276" s="24" t="n">
        <x:f>IFERROR(K3276/I3276,0)</x:f>
        <x:v>0.6666666666666666</x:v>
      </x:c>
      <x:c r="Y3276" s="24" t="n">
        <x:f>IFERROR(G3276/I3276,0)</x:f>
        <x:v>0.3333333333333333</x:v>
      </x:c>
      <x:c r="Z3276" s="24" t="n">
        <x:f>IFERROR(G3276/K3276,0)</x:f>
        <x:v>0.5</x:v>
      </x:c>
      <x:c r="AA3276" s="24" t="n">
        <x:f>IFERROR(F3276/H3276,0)-IFERROR(G3276/I3276,0)</x:f>
        <x:v>-0.0980392156862745</x:v>
      </x:c>
      <x:c r="AB3276" s="28" t="n">
        <x:f>J3276-K3276</x:f>
        <x:v>6</x:v>
      </x:c>
      <x:c r="AC3276" s="32" t="n">
        <x:f>F3276-G3276</x:f>
        <x:v>3</x:v>
      </x:c>
    </x:row>
    <x:row r="3277">
      <x:c r="A3277" s="4" t="str">
        <x:v>2025-26</x:v>
      </x:c>
      <x:c r="B3277" s="20" t="n">
        <x:v>45984</x:v>
      </x:c>
      <x:c r="C3277" s="4" t="str">
        <x:v>Aston Villa</x:v>
      </x:c>
      <x:c r="D3277" s="4" t="str">
        <x:v>Leeds</x:v>
      </x:c>
      <x:c r="E3277" s="4" t="str">
        <x:v>Away</x:v>
      </x:c>
      <x:c r="F3277" s="28" t="n">
        <x:v>2</x:v>
      </x:c>
      <x:c r="G3277" s="28" t="n">
        <x:v>1</x:v>
      </x:c>
      <x:c r="H3277" s="28" t="n">
        <x:v>14</x:v>
      </x:c>
      <x:c r="I3277" s="28" t="n">
        <x:v>14</x:v>
      </x:c>
      <x:c r="J3277" s="28" t="n">
        <x:v>3</x:v>
      </x:c>
      <x:c r="K3277" s="28" t="n">
        <x:v>5</x:v>
      </x:c>
      <x:c r="L3277" s="28" t="n">
        <x:v>3</x:v>
      </x:c>
      <x:c r="M3277" s="28" t="n">
        <x:v>3</x:v>
      </x:c>
      <x:c r="N3277" s="28" t="n">
        <x:v>1</x:v>
      </x:c>
      <x:c r="O3277" s="28" t="n">
        <x:v>0</x:v>
      </x:c>
      <x:c r="P3277" s="28" t="n">
        <x:v>3</x:v>
      </x:c>
      <x:c r="Q3277" s="24" t="n">
        <x:f>IFERROR(J3277/H3277,0)</x:f>
        <x:v>0.21428571428571427</x:v>
      </x:c>
      <x:c r="R3277" s="24" t="n">
        <x:f>IFERROR(F3277/H3277,0)</x:f>
        <x:v>0.14285714285714285</x:v>
      </x:c>
      <x:c r="S3277" s="24" t="n">
        <x:f>IFERROR(F3277/J3277,0)</x:f>
        <x:v>0.6666666666666666</x:v>
      </x:c>
      <x:c r="T3277" s="28" t="n">
        <x:f>H3277-I3277</x:f>
        <x:v>0</x:v>
      </x:c>
      <x:c r="U3277" s="24" t="n">
        <x:f>IFERROR(J3277/H3277,0)-IFERROR(K3277/I3277,0)</x:f>
        <x:v>-0.14285714285714288</x:v>
      </x:c>
      <x:c r="V3277" s="24" t="n">
        <x:f>IFERROR(F3277/J3277,0)-IFERROR(G3277/K3277,0)</x:f>
        <x:v>0.4666666666666666</x:v>
      </x:c>
      <x:c r="W3277" s="28" t="n">
        <x:f>L3277-M3277</x:f>
        <x:v>0</x:v>
      </x:c>
      <x:c r="X3277" s="24" t="n">
        <x:f>IFERROR(K3277/I3277,0)</x:f>
        <x:v>0.35714285714285715</x:v>
      </x:c>
      <x:c r="Y3277" s="24" t="n">
        <x:f>IFERROR(G3277/I3277,0)</x:f>
        <x:v>0.07142857142857142</x:v>
      </x:c>
      <x:c r="Z3277" s="24" t="n">
        <x:f>IFERROR(G3277/K3277,0)</x:f>
        <x:v>0.2</x:v>
      </x:c>
      <x:c r="AA3277" s="24" t="n">
        <x:f>IFERROR(F3277/H3277,0)-IFERROR(G3277/I3277,0)</x:f>
        <x:v>0.07142857142857142</x:v>
      </x:c>
      <x:c r="AB3277" s="28" t="n">
        <x:f>J3277-K3277</x:f>
        <x:v>-2</x:v>
      </x:c>
      <x:c r="AC3277" s="32" t="n">
        <x:f>F3277-G3277</x:f>
        <x:v>1</x:v>
      </x:c>
    </x:row>
    <x:row r="3278">
      <x:c r="A3278" s="4" t="str">
        <x:v>2025-26</x:v>
      </x:c>
      <x:c r="B3278" s="20" t="n">
        <x:v>45984</x:v>
      </x:c>
      <x:c r="C3278" s="4" t="str">
        <x:v>Leeds</x:v>
      </x:c>
      <x:c r="D3278" s="4" t="str">
        <x:v>Aston Villa</x:v>
      </x:c>
      <x:c r="E3278" s="4" t="str">
        <x:v>Home</x:v>
      </x:c>
      <x:c r="F3278" s="28" t="n">
        <x:v>1</x:v>
      </x:c>
      <x:c r="G3278" s="28" t="n">
        <x:v>2</x:v>
      </x:c>
      <x:c r="H3278" s="28" t="n">
        <x:v>14</x:v>
      </x:c>
      <x:c r="I3278" s="28" t="n">
        <x:v>14</x:v>
      </x:c>
      <x:c r="J3278" s="28" t="n">
        <x:v>5</x:v>
      </x:c>
      <x:c r="K3278" s="28" t="n">
        <x:v>3</x:v>
      </x:c>
      <x:c r="L3278" s="28" t="n">
        <x:v>3</x:v>
      </x:c>
      <x:c r="M3278" s="28" t="n">
        <x:v>3</x:v>
      </x:c>
      <x:c r="N3278" s="28" t="n">
        <x:v>5</x:v>
      </x:c>
      <x:c r="O3278" s="28" t="n">
        <x:v>0</x:v>
      </x:c>
      <x:c r="P3278" s="28" t="n">
        <x:v>0</x:v>
      </x:c>
      <x:c r="Q3278" s="24" t="n">
        <x:f>IFERROR(J3278/H3278,0)</x:f>
        <x:v>0.35714285714285715</x:v>
      </x:c>
      <x:c r="R3278" s="24" t="n">
        <x:f>IFERROR(F3278/H3278,0)</x:f>
        <x:v>0.07142857142857142</x:v>
      </x:c>
      <x:c r="S3278" s="24" t="n">
        <x:f>IFERROR(F3278/J3278,0)</x:f>
        <x:v>0.2</x:v>
      </x:c>
      <x:c r="T3278" s="28" t="n">
        <x:f>H3278-I3278</x:f>
        <x:v>0</x:v>
      </x:c>
      <x:c r="U3278" s="24" t="n">
        <x:f>IFERROR(J3278/H3278,0)-IFERROR(K3278/I3278,0)</x:f>
        <x:v>0.14285714285714288</x:v>
      </x:c>
      <x:c r="V3278" s="24" t="n">
        <x:f>IFERROR(F3278/J3278,0)-IFERROR(G3278/K3278,0)</x:f>
        <x:v>-0.4666666666666666</x:v>
      </x:c>
      <x:c r="W3278" s="28" t="n">
        <x:f>L3278-M3278</x:f>
        <x:v>0</x:v>
      </x:c>
      <x:c r="X3278" s="24" t="n">
        <x:f>IFERROR(K3278/I3278,0)</x:f>
        <x:v>0.21428571428571427</x:v>
      </x:c>
      <x:c r="Y3278" s="24" t="n">
        <x:f>IFERROR(G3278/I3278,0)</x:f>
        <x:v>0.14285714285714285</x:v>
      </x:c>
      <x:c r="Z3278" s="24" t="n">
        <x:f>IFERROR(G3278/K3278,0)</x:f>
        <x:v>0.6666666666666666</x:v>
      </x:c>
      <x:c r="AA3278" s="24" t="n">
        <x:f>IFERROR(F3278/H3278,0)-IFERROR(G3278/I3278,0)</x:f>
        <x:v>-0.07142857142857142</x:v>
      </x:c>
      <x:c r="AB3278" s="28" t="n">
        <x:f>J3278-K3278</x:f>
        <x:v>2</x:v>
      </x:c>
      <x:c r="AC3278" s="32" t="n">
        <x:f>F3278-G3278</x:f>
        <x:v>-1</x:v>
      </x:c>
    </x:row>
    <x:row r="3279">
      <x:c r="A3279" s="4" t="str">
        <x:v>2025-26</x:v>
      </x:c>
      <x:c r="B3279" s="20" t="n">
        <x:v>45984</x:v>
      </x:c>
      <x:c r="C3279" s="4" t="str">
        <x:v>Tottenham</x:v>
      </x:c>
      <x:c r="D3279" s="4" t="str">
        <x:v>Arsenal</x:v>
      </x:c>
      <x:c r="E3279" s="4" t="str">
        <x:v>Away</x:v>
      </x:c>
      <x:c r="F3279" s="28" t="n">
        <x:v>1</x:v>
      </x:c>
      <x:c r="G3279" s="28" t="n">
        <x:v>4</x:v>
      </x:c>
      <x:c r="H3279" s="28" t="n">
        <x:v>3</x:v>
      </x:c>
      <x:c r="I3279" s="28" t="n">
        <x:v>17</x:v>
      </x:c>
      <x:c r="J3279" s="28" t="n">
        <x:v>2</x:v>
      </x:c>
      <x:c r="K3279" s="28" t="n">
        <x:v>8</x:v>
      </x:c>
      <x:c r="L3279" s="28" t="n">
        <x:v>1</x:v>
      </x:c>
      <x:c r="M3279" s="28" t="n">
        <x:v>4</x:v>
      </x:c>
      <x:c r="N3279" s="28" t="n">
        <x:v>3</x:v>
      </x:c>
      <x:c r="O3279" s="28" t="n">
        <x:v>0</x:v>
      </x:c>
      <x:c r="P3279" s="28" t="n">
        <x:v>0</x:v>
      </x:c>
      <x:c r="Q3279" s="24" t="n">
        <x:f>IFERROR(J3279/H3279,0)</x:f>
        <x:v>0.6666666666666666</x:v>
      </x:c>
      <x:c r="R3279" s="24" t="n">
        <x:f>IFERROR(F3279/H3279,0)</x:f>
        <x:v>0.3333333333333333</x:v>
      </x:c>
      <x:c r="S3279" s="24" t="n">
        <x:f>IFERROR(F3279/J3279,0)</x:f>
        <x:v>0.5</x:v>
      </x:c>
      <x:c r="T3279" s="28" t="n">
        <x:f>H3279-I3279</x:f>
        <x:v>-14</x:v>
      </x:c>
      <x:c r="U3279" s="24" t="n">
        <x:f>IFERROR(J3279/H3279,0)-IFERROR(K3279/I3279,0)</x:f>
        <x:v>0.196078431372549</x:v>
      </x:c>
      <x:c r="V3279" s="24" t="n">
        <x:f>IFERROR(F3279/J3279,0)-IFERROR(G3279/K3279,0)</x:f>
        <x:v>0</x:v>
      </x:c>
      <x:c r="W3279" s="28" t="n">
        <x:f>L3279-M3279</x:f>
        <x:v>-3</x:v>
      </x:c>
      <x:c r="X3279" s="24" t="n">
        <x:f>IFERROR(K3279/I3279,0)</x:f>
        <x:v>0.47058823529411764</x:v>
      </x:c>
      <x:c r="Y3279" s="24" t="n">
        <x:f>IFERROR(G3279/I3279,0)</x:f>
        <x:v>0.23529411764705882</x:v>
      </x:c>
      <x:c r="Z3279" s="24" t="n">
        <x:f>IFERROR(G3279/K3279,0)</x:f>
        <x:v>0.5</x:v>
      </x:c>
      <x:c r="AA3279" s="24" t="n">
        <x:f>IFERROR(F3279/H3279,0)-IFERROR(G3279/I3279,0)</x:f>
        <x:v>0.0980392156862745</x:v>
      </x:c>
      <x:c r="AB3279" s="28" t="n">
        <x:f>J3279-K3279</x:f>
        <x:v>-6</x:v>
      </x:c>
      <x:c r="AC3279" s="32" t="n">
        <x:f>F3279-G3279</x:f>
        <x:v>-3</x:v>
      </x:c>
    </x:row>
    <x:row r="3280">
      <x:c r="A3280" s="4" t="str">
        <x:v>2025-26</x:v>
      </x:c>
      <x:c r="B3280" s="20" t="n">
        <x:v>45985</x:v>
      </x:c>
      <x:c r="C3280" s="4" t="str">
        <x:v>Everton</x:v>
      </x:c>
      <x:c r="D3280" s="4" t="str">
        <x:v>Man United</x:v>
      </x:c>
      <x:c r="E3280" s="4" t="str">
        <x:v>Away</x:v>
      </x:c>
      <x:c r="F3280" s="28" t="n">
        <x:v>1</x:v>
      </x:c>
      <x:c r="G3280" s="28" t="n">
        <x:v>0</x:v>
      </x:c>
      <x:c r="H3280" s="28" t="n">
        <x:v>3</x:v>
      </x:c>
      <x:c r="I3280" s="28" t="n">
        <x:v>25</x:v>
      </x:c>
      <x:c r="J3280" s="28" t="n">
        <x:v>1</x:v>
      </x:c>
      <x:c r="K3280" s="28" t="n">
        <x:v>6</x:v>
      </x:c>
      <x:c r="L3280" s="28" t="n">
        <x:v>1</x:v>
      </x:c>
      <x:c r="M3280" s="28" t="n">
        <x:v>9</x:v>
      </x:c>
      <x:c r="N3280" s="28" t="n">
        <x:v>0</x:v>
      </x:c>
      <x:c r="O3280" s="28" t="n">
        <x:v>1</x:v>
      </x:c>
      <x:c r="P3280" s="28" t="n">
        <x:v>3</x:v>
      </x:c>
      <x:c r="Q3280" s="24" t="n">
        <x:f>IFERROR(J3280/H3280,0)</x:f>
        <x:v>0.3333333333333333</x:v>
      </x:c>
      <x:c r="R3280" s="24" t="n">
        <x:f>IFERROR(F3280/H3280,0)</x:f>
        <x:v>0.3333333333333333</x:v>
      </x:c>
      <x:c r="S3280" s="24" t="n">
        <x:f>IFERROR(F3280/J3280,0)</x:f>
        <x:v>1</x:v>
      </x:c>
      <x:c r="T3280" s="28" t="n">
        <x:f>H3280-I3280</x:f>
        <x:v>-22</x:v>
      </x:c>
      <x:c r="U3280" s="24" t="n">
        <x:f>IFERROR(J3280/H3280,0)-IFERROR(K3280/I3280,0)</x:f>
        <x:v>0.09333333333333332</x:v>
      </x:c>
      <x:c r="V3280" s="24" t="n">
        <x:f>IFERROR(F3280/J3280,0)-IFERROR(G3280/K3280,0)</x:f>
        <x:v>1</x:v>
      </x:c>
      <x:c r="W3280" s="28" t="n">
        <x:f>L3280-M3280</x:f>
        <x:v>-8</x:v>
      </x:c>
      <x:c r="X3280" s="24" t="n">
        <x:f>IFERROR(K3280/I3280,0)</x:f>
        <x:v>0.24</x:v>
      </x:c>
      <x:c r="Y3280" s="24" t="n">
        <x:f>IFERROR(G3280/I3280,0)</x:f>
        <x:v>0</x:v>
      </x:c>
      <x:c r="Z3280" s="24" t="n">
        <x:f>IFERROR(G3280/K3280,0)</x:f>
        <x:v>0</x:v>
      </x:c>
      <x:c r="AA3280" s="24" t="n">
        <x:f>IFERROR(F3280/H3280,0)-IFERROR(G3280/I3280,0)</x:f>
        <x:v>0.3333333333333333</x:v>
      </x:c>
      <x:c r="AB3280" s="28" t="n">
        <x:f>J3280-K3280</x:f>
        <x:v>-5</x:v>
      </x:c>
      <x:c r="AC3280" s="32" t="n">
        <x:f>F3280-G3280</x:f>
        <x:v>1</x:v>
      </x:c>
    </x:row>
    <x:row r="3281">
      <x:c r="A3281" s="4" t="str">
        <x:v>2025-26</x:v>
      </x:c>
      <x:c r="B3281" s="20" t="n">
        <x:v>45985</x:v>
      </x:c>
      <x:c r="C3281" s="4" t="str">
        <x:v>Man United</x:v>
      </x:c>
      <x:c r="D3281" s="4" t="str">
        <x:v>Everton</x:v>
      </x:c>
      <x:c r="E3281" s="4" t="str">
        <x:v>Home</x:v>
      </x:c>
      <x:c r="F3281" s="28" t="n">
        <x:v>0</x:v>
      </x:c>
      <x:c r="G3281" s="28" t="n">
        <x:v>1</x:v>
      </x:c>
      <x:c r="H3281" s="28" t="n">
        <x:v>25</x:v>
      </x:c>
      <x:c r="I3281" s="28" t="n">
        <x:v>3</x:v>
      </x:c>
      <x:c r="J3281" s="28" t="n">
        <x:v>6</x:v>
      </x:c>
      <x:c r="K3281" s="28" t="n">
        <x:v>1</x:v>
      </x:c>
      <x:c r="L3281" s="28" t="n">
        <x:v>9</x:v>
      </x:c>
      <x:c r="M3281" s="28" t="n">
        <x:v>1</x:v>
      </x:c>
      <x:c r="N3281" s="28" t="n">
        <x:v>2</x:v>
      </x:c>
      <x:c r="O3281" s="28" t="n">
        <x:v>0</x:v>
      </x:c>
      <x:c r="P3281" s="28" t="n">
        <x:v>0</x:v>
      </x:c>
      <x:c r="Q3281" s="24" t="n">
        <x:f>IFERROR(J3281/H3281,0)</x:f>
        <x:v>0.24</x:v>
      </x:c>
      <x:c r="R3281" s="24" t="n">
        <x:f>IFERROR(F3281/H3281,0)</x:f>
        <x:v>0</x:v>
      </x:c>
      <x:c r="S3281" s="24" t="n">
        <x:f>IFERROR(F3281/J3281,0)</x:f>
        <x:v>0</x:v>
      </x:c>
      <x:c r="T3281" s="28" t="n">
        <x:f>H3281-I3281</x:f>
        <x:v>22</x:v>
      </x:c>
      <x:c r="U3281" s="24" t="n">
        <x:f>IFERROR(J3281/H3281,0)-IFERROR(K3281/I3281,0)</x:f>
        <x:v>-0.09333333333333332</x:v>
      </x:c>
      <x:c r="V3281" s="24" t="n">
        <x:f>IFERROR(F3281/J3281,0)-IFERROR(G3281/K3281,0)</x:f>
        <x:v>-1</x:v>
      </x:c>
      <x:c r="W3281" s="28" t="n">
        <x:f>L3281-M3281</x:f>
        <x:v>8</x:v>
      </x:c>
      <x:c r="X3281" s="24" t="n">
        <x:f>IFERROR(K3281/I3281,0)</x:f>
        <x:v>0.3333333333333333</x:v>
      </x:c>
      <x:c r="Y3281" s="24" t="n">
        <x:f>IFERROR(G3281/I3281,0)</x:f>
        <x:v>0.3333333333333333</x:v>
      </x:c>
      <x:c r="Z3281" s="24" t="n">
        <x:f>IFERROR(G3281/K3281,0)</x:f>
        <x:v>1</x:v>
      </x:c>
      <x:c r="AA3281" s="24" t="n">
        <x:f>IFERROR(F3281/H3281,0)-IFERROR(G3281/I3281,0)</x:f>
        <x:v>-0.3333333333333333</x:v>
      </x:c>
      <x:c r="AB3281" s="28" t="n">
        <x:f>J3281-K3281</x:f>
        <x:v>5</x:v>
      </x:c>
      <x:c r="AC3281" s="32" t="n">
        <x:f>F3281-G3281</x:f>
        <x:v>-1</x:v>
      </x:c>
    </x:row>
    <x:row r="3282">
      <x:c r="A3282" s="4" t="str">
        <x:v>2025-26</x:v>
      </x:c>
      <x:c r="B3282" s="20" t="n">
        <x:v>45990</x:v>
      </x:c>
      <x:c r="C3282" s="4" t="str">
        <x:v>Bournemouth</x:v>
      </x:c>
      <x:c r="D3282" s="4" t="str">
        <x:v>Sunderland</x:v>
      </x:c>
      <x:c r="E3282" s="4" t="str">
        <x:v>Away</x:v>
      </x:c>
      <x:c r="F3282" s="28" t="n">
        <x:v>2</x:v>
      </x:c>
      <x:c r="G3282" s="28" t="n">
        <x:v>3</x:v>
      </x:c>
      <x:c r="H3282" s="28" t="n">
        <x:v>18</x:v>
      </x:c>
      <x:c r="I3282" s="28" t="n">
        <x:v>12</x:v>
      </x:c>
      <x:c r="J3282" s="28" t="n">
        <x:v>6</x:v>
      </x:c>
      <x:c r="K3282" s="28" t="n">
        <x:v>6</x:v>
      </x:c>
      <x:c r="L3282" s="28" t="n">
        <x:v>3</x:v>
      </x:c>
      <x:c r="M3282" s="28" t="n">
        <x:v>6</x:v>
      </x:c>
      <x:c r="N3282" s="28" t="n">
        <x:v>5</x:v>
      </x:c>
      <x:c r="O3282" s="28" t="n">
        <x:v>1</x:v>
      </x:c>
      <x:c r="P3282" s="28" t="n">
        <x:v>0</x:v>
      </x:c>
      <x:c r="Q3282" s="24" t="n">
        <x:f>IFERROR(J3282/H3282,0)</x:f>
        <x:v>0.3333333333333333</x:v>
      </x:c>
      <x:c r="R3282" s="24" t="n">
        <x:f>IFERROR(F3282/H3282,0)</x:f>
        <x:v>0.1111111111111111</x:v>
      </x:c>
      <x:c r="S3282" s="24" t="n">
        <x:f>IFERROR(F3282/J3282,0)</x:f>
        <x:v>0.3333333333333333</x:v>
      </x:c>
      <x:c r="T3282" s="28" t="n">
        <x:f>H3282-I3282</x:f>
        <x:v>6</x:v>
      </x:c>
      <x:c r="U3282" s="24" t="n">
        <x:f>IFERROR(J3282/H3282,0)-IFERROR(K3282/I3282,0)</x:f>
        <x:v>-0.16666666666666669</x:v>
      </x:c>
      <x:c r="V3282" s="24" t="n">
        <x:f>IFERROR(F3282/J3282,0)-IFERROR(G3282/K3282,0)</x:f>
        <x:v>-0.16666666666666669</x:v>
      </x:c>
      <x:c r="W3282" s="28" t="n">
        <x:f>L3282-M3282</x:f>
        <x:v>-3</x:v>
      </x:c>
      <x:c r="X3282" s="24" t="n">
        <x:f>IFERROR(K3282/I3282,0)</x:f>
        <x:v>0.5</x:v>
      </x:c>
      <x:c r="Y3282" s="24" t="n">
        <x:f>IFERROR(G3282/I3282,0)</x:f>
        <x:v>0.25</x:v>
      </x:c>
      <x:c r="Z3282" s="24" t="n">
        <x:f>IFERROR(G3282/K3282,0)</x:f>
        <x:v>0.5</x:v>
      </x:c>
      <x:c r="AA3282" s="24" t="n">
        <x:f>IFERROR(F3282/H3282,0)-IFERROR(G3282/I3282,0)</x:f>
        <x:v>-0.1388888888888889</x:v>
      </x:c>
      <x:c r="AB3282" s="28" t="n">
        <x:f>J3282-K3282</x:f>
        <x:v>0</x:v>
      </x:c>
      <x:c r="AC3282" s="32" t="n">
        <x:f>F3282-G3282</x:f>
        <x:v>-1</x:v>
      </x:c>
    </x:row>
    <x:row r="3283">
      <x:c r="A3283" s="4" t="str">
        <x:v>2025-26</x:v>
      </x:c>
      <x:c r="B3283" s="20" t="n">
        <x:v>45990</x:v>
      </x:c>
      <x:c r="C3283" s="4" t="str">
        <x:v>Brentford</x:v>
      </x:c>
      <x:c r="D3283" s="4" t="str">
        <x:v>Burnley</x:v>
      </x:c>
      <x:c r="E3283" s="4" t="str">
        <x:v>Home</x:v>
      </x:c>
      <x:c r="F3283" s="28" t="n">
        <x:v>3</x:v>
      </x:c>
      <x:c r="G3283" s="28" t="n">
        <x:v>1</x:v>
      </x:c>
      <x:c r="H3283" s="28" t="n">
        <x:v>14</x:v>
      </x:c>
      <x:c r="I3283" s="28" t="n">
        <x:v>6</x:v>
      </x:c>
      <x:c r="J3283" s="28" t="n">
        <x:v>4</x:v>
      </x:c>
      <x:c r="K3283" s="28" t="n">
        <x:v>2</x:v>
      </x:c>
      <x:c r="L3283" s="28" t="n">
        <x:v>5</x:v>
      </x:c>
      <x:c r="M3283" s="28" t="n">
        <x:v>6</x:v>
      </x:c>
      <x:c r="N3283" s="28" t="n">
        <x:v>0</x:v>
      </x:c>
      <x:c r="O3283" s="28" t="n">
        <x:v>0</x:v>
      </x:c>
      <x:c r="P3283" s="28" t="n">
        <x:v>3</x:v>
      </x:c>
      <x:c r="Q3283" s="24" t="n">
        <x:f>IFERROR(J3283/H3283,0)</x:f>
        <x:v>0.2857142857142857</x:v>
      </x:c>
      <x:c r="R3283" s="24" t="n">
        <x:f>IFERROR(F3283/H3283,0)</x:f>
        <x:v>0.21428571428571427</x:v>
      </x:c>
      <x:c r="S3283" s="24" t="n">
        <x:f>IFERROR(F3283/J3283,0)</x:f>
        <x:v>0.75</x:v>
      </x:c>
      <x:c r="T3283" s="28" t="n">
        <x:f>H3283-I3283</x:f>
        <x:v>8</x:v>
      </x:c>
      <x:c r="U3283" s="24" t="n">
        <x:f>IFERROR(J3283/H3283,0)-IFERROR(K3283/I3283,0)</x:f>
        <x:v>-0.047619047619047616</x:v>
      </x:c>
      <x:c r="V3283" s="24" t="n">
        <x:f>IFERROR(F3283/J3283,0)-IFERROR(G3283/K3283,0)</x:f>
        <x:v>0.25</x:v>
      </x:c>
      <x:c r="W3283" s="28" t="n">
        <x:f>L3283-M3283</x:f>
        <x:v>-1</x:v>
      </x:c>
      <x:c r="X3283" s="24" t="n">
        <x:f>IFERROR(K3283/I3283,0)</x:f>
        <x:v>0.3333333333333333</x:v>
      </x:c>
      <x:c r="Y3283" s="24" t="n">
        <x:f>IFERROR(G3283/I3283,0)</x:f>
        <x:v>0.16666666666666666</x:v>
      </x:c>
      <x:c r="Z3283" s="24" t="n">
        <x:f>IFERROR(G3283/K3283,0)</x:f>
        <x:v>0.5</x:v>
      </x:c>
      <x:c r="AA3283" s="24" t="n">
        <x:f>IFERROR(F3283/H3283,0)-IFERROR(G3283/I3283,0)</x:f>
        <x:v>0.047619047619047616</x:v>
      </x:c>
      <x:c r="AB3283" s="28" t="n">
        <x:f>J3283-K3283</x:f>
        <x:v>2</x:v>
      </x:c>
      <x:c r="AC3283" s="32" t="n">
        <x:f>F3283-G3283</x:f>
        <x:v>2</x:v>
      </x:c>
    </x:row>
    <x:row r="3284">
      <x:c r="A3284" s="4" t="str">
        <x:v>2025-26</x:v>
      </x:c>
      <x:c r="B3284" s="20" t="n">
        <x:v>45990</x:v>
      </x:c>
      <x:c r="C3284" s="4" t="str">
        <x:v>Burnley</x:v>
      </x:c>
      <x:c r="D3284" s="4" t="str">
        <x:v>Brentford</x:v>
      </x:c>
      <x:c r="E3284" s="4" t="str">
        <x:v>Away</x:v>
      </x:c>
      <x:c r="F3284" s="28" t="n">
        <x:v>1</x:v>
      </x:c>
      <x:c r="G3284" s="28" t="n">
        <x:v>3</x:v>
      </x:c>
      <x:c r="H3284" s="28" t="n">
        <x:v>6</x:v>
      </x:c>
      <x:c r="I3284" s="28" t="n">
        <x:v>14</x:v>
      </x:c>
      <x:c r="J3284" s="28" t="n">
        <x:v>2</x:v>
      </x:c>
      <x:c r="K3284" s="28" t="n">
        <x:v>4</x:v>
      </x:c>
      <x:c r="L3284" s="28" t="n">
        <x:v>6</x:v>
      </x:c>
      <x:c r="M3284" s="28" t="n">
        <x:v>5</x:v>
      </x:c>
      <x:c r="N3284" s="28" t="n">
        <x:v>2</x:v>
      </x:c>
      <x:c r="O3284" s="28" t="n">
        <x:v>0</x:v>
      </x:c>
      <x:c r="P3284" s="28" t="n">
        <x:v>0</x:v>
      </x:c>
      <x:c r="Q3284" s="24" t="n">
        <x:f>IFERROR(J3284/H3284,0)</x:f>
        <x:v>0.3333333333333333</x:v>
      </x:c>
      <x:c r="R3284" s="24" t="n">
        <x:f>IFERROR(F3284/H3284,0)</x:f>
        <x:v>0.16666666666666666</x:v>
      </x:c>
      <x:c r="S3284" s="24" t="n">
        <x:f>IFERROR(F3284/J3284,0)</x:f>
        <x:v>0.5</x:v>
      </x:c>
      <x:c r="T3284" s="28" t="n">
        <x:f>H3284-I3284</x:f>
        <x:v>-8</x:v>
      </x:c>
      <x:c r="U3284" s="24" t="n">
        <x:f>IFERROR(J3284/H3284,0)-IFERROR(K3284/I3284,0)</x:f>
        <x:v>0.047619047619047616</x:v>
      </x:c>
      <x:c r="V3284" s="24" t="n">
        <x:f>IFERROR(F3284/J3284,0)-IFERROR(G3284/K3284,0)</x:f>
        <x:v>-0.25</x:v>
      </x:c>
      <x:c r="W3284" s="28" t="n">
        <x:f>L3284-M3284</x:f>
        <x:v>1</x:v>
      </x:c>
      <x:c r="X3284" s="24" t="n">
        <x:f>IFERROR(K3284/I3284,0)</x:f>
        <x:v>0.2857142857142857</x:v>
      </x:c>
      <x:c r="Y3284" s="24" t="n">
        <x:f>IFERROR(G3284/I3284,0)</x:f>
        <x:v>0.21428571428571427</x:v>
      </x:c>
      <x:c r="Z3284" s="24" t="n">
        <x:f>IFERROR(G3284/K3284,0)</x:f>
        <x:v>0.75</x:v>
      </x:c>
      <x:c r="AA3284" s="24" t="n">
        <x:f>IFERROR(F3284/H3284,0)-IFERROR(G3284/I3284,0)</x:f>
        <x:v>-0.047619047619047616</x:v>
      </x:c>
      <x:c r="AB3284" s="28" t="n">
        <x:f>J3284-K3284</x:f>
        <x:v>-2</x:v>
      </x:c>
      <x:c r="AC3284" s="32" t="n">
        <x:f>F3284-G3284</x:f>
        <x:v>-2</x:v>
      </x:c>
    </x:row>
    <x:row r="3285">
      <x:c r="A3285" s="4" t="str">
        <x:v>2025-26</x:v>
      </x:c>
      <x:c r="B3285" s="20" t="n">
        <x:v>45990</x:v>
      </x:c>
      <x:c r="C3285" s="4" t="str">
        <x:v>Everton</x:v>
      </x:c>
      <x:c r="D3285" s="4" t="str">
        <x:v>Newcastle</x:v>
      </x:c>
      <x:c r="E3285" s="4" t="str">
        <x:v>Home</x:v>
      </x:c>
      <x:c r="F3285" s="28" t="n">
        <x:v>1</x:v>
      </x:c>
      <x:c r="G3285" s="28" t="n">
        <x:v>4</x:v>
      </x:c>
      <x:c r="H3285" s="28" t="n">
        <x:v>10</x:v>
      </x:c>
      <x:c r="I3285" s="28" t="n">
        <x:v>13</x:v>
      </x:c>
      <x:c r="J3285" s="28" t="n">
        <x:v>2</x:v>
      </x:c>
      <x:c r="K3285" s="28" t="n">
        <x:v>8</x:v>
      </x:c>
      <x:c r="L3285" s="28" t="n">
        <x:v>8</x:v>
      </x:c>
      <x:c r="M3285" s="28" t="n">
        <x:v>7</x:v>
      </x:c>
      <x:c r="N3285" s="28" t="n">
        <x:v>0</x:v>
      </x:c>
      <x:c r="O3285" s="28" t="n">
        <x:v>0</x:v>
      </x:c>
      <x:c r="P3285" s="28" t="n">
        <x:v>0</x:v>
      </x:c>
      <x:c r="Q3285" s="24" t="n">
        <x:f>IFERROR(J3285/H3285,0)</x:f>
        <x:v>0.2</x:v>
      </x:c>
      <x:c r="R3285" s="24" t="n">
        <x:f>IFERROR(F3285/H3285,0)</x:f>
        <x:v>0.1</x:v>
      </x:c>
      <x:c r="S3285" s="24" t="n">
        <x:f>IFERROR(F3285/J3285,0)</x:f>
        <x:v>0.5</x:v>
      </x:c>
      <x:c r="T3285" s="28" t="n">
        <x:f>H3285-I3285</x:f>
        <x:v>-3</x:v>
      </x:c>
      <x:c r="U3285" s="24" t="n">
        <x:f>IFERROR(J3285/H3285,0)-IFERROR(K3285/I3285,0)</x:f>
        <x:v>-0.4153846153846154</x:v>
      </x:c>
      <x:c r="V3285" s="24" t="n">
        <x:f>IFERROR(F3285/J3285,0)-IFERROR(G3285/K3285,0)</x:f>
        <x:v>0</x:v>
      </x:c>
      <x:c r="W3285" s="28" t="n">
        <x:f>L3285-M3285</x:f>
        <x:v>1</x:v>
      </x:c>
      <x:c r="X3285" s="24" t="n">
        <x:f>IFERROR(K3285/I3285,0)</x:f>
        <x:v>0.6153846153846154</x:v>
      </x:c>
      <x:c r="Y3285" s="24" t="n">
        <x:f>IFERROR(G3285/I3285,0)</x:f>
        <x:v>0.3076923076923077</x:v>
      </x:c>
      <x:c r="Z3285" s="24" t="n">
        <x:f>IFERROR(G3285/K3285,0)</x:f>
        <x:v>0.5</x:v>
      </x:c>
      <x:c r="AA3285" s="24" t="n">
        <x:f>IFERROR(F3285/H3285,0)-IFERROR(G3285/I3285,0)</x:f>
        <x:v>-0.2076923076923077</x:v>
      </x:c>
      <x:c r="AB3285" s="28" t="n">
        <x:f>J3285-K3285</x:f>
        <x:v>-6</x:v>
      </x:c>
      <x:c r="AC3285" s="32" t="n">
        <x:f>F3285-G3285</x:f>
        <x:v>-3</x:v>
      </x:c>
    </x:row>
    <x:row r="3286">
      <x:c r="A3286" s="4" t="str">
        <x:v>2025-26</x:v>
      </x:c>
      <x:c r="B3286" s="20" t="n">
        <x:v>45990</x:v>
      </x:c>
      <x:c r="C3286" s="4" t="str">
        <x:v>Fulham</x:v>
      </x:c>
      <x:c r="D3286" s="4" t="str">
        <x:v>Tottenham</x:v>
      </x:c>
      <x:c r="E3286" s="4" t="str">
        <x:v>Away</x:v>
      </x:c>
      <x:c r="F3286" s="28" t="n">
        <x:v>2</x:v>
      </x:c>
      <x:c r="G3286" s="28" t="n">
        <x:v>1</x:v>
      </x:c>
      <x:c r="H3286" s="28" t="n">
        <x:v>7</x:v>
      </x:c>
      <x:c r="I3286" s="28" t="n">
        <x:v>14</x:v>
      </x:c>
      <x:c r="J3286" s="28" t="n">
        <x:v>3</x:v>
      </x:c>
      <x:c r="K3286" s="28" t="n">
        <x:v>2</x:v>
      </x:c>
      <x:c r="L3286" s="28" t="n">
        <x:v>2</x:v>
      </x:c>
      <x:c r="M3286" s="28" t="n">
        <x:v>8</x:v>
      </x:c>
      <x:c r="N3286" s="28" t="n">
        <x:v>2</x:v>
      </x:c>
      <x:c r="O3286" s="28" t="n">
        <x:v>0</x:v>
      </x:c>
      <x:c r="P3286" s="28" t="n">
        <x:v>3</x:v>
      </x:c>
      <x:c r="Q3286" s="24" t="n">
        <x:f>IFERROR(J3286/H3286,0)</x:f>
        <x:v>0.42857142857142855</x:v>
      </x:c>
      <x:c r="R3286" s="24" t="n">
        <x:f>IFERROR(F3286/H3286,0)</x:f>
        <x:v>0.2857142857142857</x:v>
      </x:c>
      <x:c r="S3286" s="24" t="n">
        <x:f>IFERROR(F3286/J3286,0)</x:f>
        <x:v>0.6666666666666666</x:v>
      </x:c>
      <x:c r="T3286" s="28" t="n">
        <x:f>H3286-I3286</x:f>
        <x:v>-7</x:v>
      </x:c>
      <x:c r="U3286" s="24" t="n">
        <x:f>IFERROR(J3286/H3286,0)-IFERROR(K3286/I3286,0)</x:f>
        <x:v>0.2857142857142857</x:v>
      </x:c>
      <x:c r="V3286" s="24" t="n">
        <x:f>IFERROR(F3286/J3286,0)-IFERROR(G3286/K3286,0)</x:f>
        <x:v>0.16666666666666663</x:v>
      </x:c>
      <x:c r="W3286" s="28" t="n">
        <x:f>L3286-M3286</x:f>
        <x:v>-6</x:v>
      </x:c>
      <x:c r="X3286" s="24" t="n">
        <x:f>IFERROR(K3286/I3286,0)</x:f>
        <x:v>0.14285714285714285</x:v>
      </x:c>
      <x:c r="Y3286" s="24" t="n">
        <x:f>IFERROR(G3286/I3286,0)</x:f>
        <x:v>0.07142857142857142</x:v>
      </x:c>
      <x:c r="Z3286" s="24" t="n">
        <x:f>IFERROR(G3286/K3286,0)</x:f>
        <x:v>0.5</x:v>
      </x:c>
      <x:c r="AA3286" s="24" t="n">
        <x:f>IFERROR(F3286/H3286,0)-IFERROR(G3286/I3286,0)</x:f>
        <x:v>0.21428571428571427</x:v>
      </x:c>
      <x:c r="AB3286" s="28" t="n">
        <x:f>J3286-K3286</x:f>
        <x:v>1</x:v>
      </x:c>
      <x:c r="AC3286" s="32" t="n">
        <x:f>F3286-G3286</x:f>
        <x:v>1</x:v>
      </x:c>
    </x:row>
    <x:row r="3287">
      <x:c r="A3287" s="4" t="str">
        <x:v>2025-26</x:v>
      </x:c>
      <x:c r="B3287" s="20" t="n">
        <x:v>45990</x:v>
      </x:c>
      <x:c r="C3287" s="4" t="str">
        <x:v>Leeds</x:v>
      </x:c>
      <x:c r="D3287" s="4" t="str">
        <x:v>Man City</x:v>
      </x:c>
      <x:c r="E3287" s="4" t="str">
        <x:v>Away</x:v>
      </x:c>
      <x:c r="F3287" s="28" t="n">
        <x:v>2</x:v>
      </x:c>
      <x:c r="G3287" s="28" t="n">
        <x:v>3</x:v>
      </x:c>
      <x:c r="H3287" s="28" t="n">
        <x:v>9</x:v>
      </x:c>
      <x:c r="I3287" s="28" t="n">
        <x:v>18</x:v>
      </x:c>
      <x:c r="J3287" s="28" t="n">
        <x:v>4</x:v>
      </x:c>
      <x:c r="K3287" s="28" t="n">
        <x:v>9</x:v>
      </x:c>
      <x:c r="L3287" s="28" t="n">
        <x:v>1</x:v>
      </x:c>
      <x:c r="M3287" s="28" t="n">
        <x:v>8</x:v>
      </x:c>
      <x:c r="N3287" s="28" t="n">
        <x:v>1</x:v>
      </x:c>
      <x:c r="O3287" s="28" t="n">
        <x:v>0</x:v>
      </x:c>
      <x:c r="P3287" s="28" t="n">
        <x:v>0</x:v>
      </x:c>
      <x:c r="Q3287" s="24" t="n">
        <x:f>IFERROR(J3287/H3287,0)</x:f>
        <x:v>0.4444444444444444</x:v>
      </x:c>
      <x:c r="R3287" s="24" t="n">
        <x:f>IFERROR(F3287/H3287,0)</x:f>
        <x:v>0.2222222222222222</x:v>
      </x:c>
      <x:c r="S3287" s="24" t="n">
        <x:f>IFERROR(F3287/J3287,0)</x:f>
        <x:v>0.5</x:v>
      </x:c>
      <x:c r="T3287" s="28" t="n">
        <x:f>H3287-I3287</x:f>
        <x:v>-9</x:v>
      </x:c>
      <x:c r="U3287" s="24" t="n">
        <x:f>IFERROR(J3287/H3287,0)-IFERROR(K3287/I3287,0)</x:f>
        <x:v>-0.05555555555555558</x:v>
      </x:c>
      <x:c r="V3287" s="24" t="n">
        <x:f>IFERROR(F3287/J3287,0)-IFERROR(G3287/K3287,0)</x:f>
        <x:v>0.16666666666666669</x:v>
      </x:c>
      <x:c r="W3287" s="28" t="n">
        <x:f>L3287-M3287</x:f>
        <x:v>-7</x:v>
      </x:c>
      <x:c r="X3287" s="24" t="n">
        <x:f>IFERROR(K3287/I3287,0)</x:f>
        <x:v>0.5</x:v>
      </x:c>
      <x:c r="Y3287" s="24" t="n">
        <x:f>IFERROR(G3287/I3287,0)</x:f>
        <x:v>0.16666666666666666</x:v>
      </x:c>
      <x:c r="Z3287" s="24" t="n">
        <x:f>IFERROR(G3287/K3287,0)</x:f>
        <x:v>0.3333333333333333</x:v>
      </x:c>
      <x:c r="AA3287" s="24" t="n">
        <x:f>IFERROR(F3287/H3287,0)-IFERROR(G3287/I3287,0)</x:f>
        <x:v>0.05555555555555555</x:v>
      </x:c>
      <x:c r="AB3287" s="28" t="n">
        <x:f>J3287-K3287</x:f>
        <x:v>-5</x:v>
      </x:c>
      <x:c r="AC3287" s="32" t="n">
        <x:f>F3287-G3287</x:f>
        <x:v>-1</x:v>
      </x:c>
    </x:row>
    <x:row r="3288">
      <x:c r="A3288" s="4" t="str">
        <x:v>2025-26</x:v>
      </x:c>
      <x:c r="B3288" s="20" t="n">
        <x:v>45990</x:v>
      </x:c>
      <x:c r="C3288" s="4" t="str">
        <x:v>Man City</x:v>
      </x:c>
      <x:c r="D3288" s="4" t="str">
        <x:v>Leeds</x:v>
      </x:c>
      <x:c r="E3288" s="4" t="str">
        <x:v>Home</x:v>
      </x:c>
      <x:c r="F3288" s="28" t="n">
        <x:v>3</x:v>
      </x:c>
      <x:c r="G3288" s="28" t="n">
        <x:v>2</x:v>
      </x:c>
      <x:c r="H3288" s="28" t="n">
        <x:v>18</x:v>
      </x:c>
      <x:c r="I3288" s="28" t="n">
        <x:v>9</x:v>
      </x:c>
      <x:c r="J3288" s="28" t="n">
        <x:v>9</x:v>
      </x:c>
      <x:c r="K3288" s="28" t="n">
        <x:v>4</x:v>
      </x:c>
      <x:c r="L3288" s="28" t="n">
        <x:v>8</x:v>
      </x:c>
      <x:c r="M3288" s="28" t="n">
        <x:v>1</x:v>
      </x:c>
      <x:c r="N3288" s="28" t="n">
        <x:v>4</x:v>
      </x:c>
      <x:c r="O3288" s="28" t="n">
        <x:v>0</x:v>
      </x:c>
      <x:c r="P3288" s="28" t="n">
        <x:v>3</x:v>
      </x:c>
      <x:c r="Q3288" s="24" t="n">
        <x:f>IFERROR(J3288/H3288,0)</x:f>
        <x:v>0.5</x:v>
      </x:c>
      <x:c r="R3288" s="24" t="n">
        <x:f>IFERROR(F3288/H3288,0)</x:f>
        <x:v>0.16666666666666666</x:v>
      </x:c>
      <x:c r="S3288" s="24" t="n">
        <x:f>IFERROR(F3288/J3288,0)</x:f>
        <x:v>0.3333333333333333</x:v>
      </x:c>
      <x:c r="T3288" s="28" t="n">
        <x:f>H3288-I3288</x:f>
        <x:v>9</x:v>
      </x:c>
      <x:c r="U3288" s="24" t="n">
        <x:f>IFERROR(J3288/H3288,0)-IFERROR(K3288/I3288,0)</x:f>
        <x:v>0.05555555555555558</x:v>
      </x:c>
      <x:c r="V3288" s="24" t="n">
        <x:f>IFERROR(F3288/J3288,0)-IFERROR(G3288/K3288,0)</x:f>
        <x:v>-0.16666666666666669</x:v>
      </x:c>
      <x:c r="W3288" s="28" t="n">
        <x:f>L3288-M3288</x:f>
        <x:v>7</x:v>
      </x:c>
      <x:c r="X3288" s="24" t="n">
        <x:f>IFERROR(K3288/I3288,0)</x:f>
        <x:v>0.4444444444444444</x:v>
      </x:c>
      <x:c r="Y3288" s="24" t="n">
        <x:f>IFERROR(G3288/I3288,0)</x:f>
        <x:v>0.2222222222222222</x:v>
      </x:c>
      <x:c r="Z3288" s="24" t="n">
        <x:f>IFERROR(G3288/K3288,0)</x:f>
        <x:v>0.5</x:v>
      </x:c>
      <x:c r="AA3288" s="24" t="n">
        <x:f>IFERROR(F3288/H3288,0)-IFERROR(G3288/I3288,0)</x:f>
        <x:v>-0.05555555555555555</x:v>
      </x:c>
      <x:c r="AB3288" s="28" t="n">
        <x:f>J3288-K3288</x:f>
        <x:v>5</x:v>
      </x:c>
      <x:c r="AC3288" s="32" t="n">
        <x:f>F3288-G3288</x:f>
        <x:v>1</x:v>
      </x:c>
    </x:row>
    <x:row r="3289">
      <x:c r="A3289" s="4" t="str">
        <x:v>2025-26</x:v>
      </x:c>
      <x:c r="B3289" s="20" t="n">
        <x:v>45990</x:v>
      </x:c>
      <x:c r="C3289" s="4" t="str">
        <x:v>Newcastle</x:v>
      </x:c>
      <x:c r="D3289" s="4" t="str">
        <x:v>Everton</x:v>
      </x:c>
      <x:c r="E3289" s="4" t="str">
        <x:v>Away</x:v>
      </x:c>
      <x:c r="F3289" s="28" t="n">
        <x:v>4</x:v>
      </x:c>
      <x:c r="G3289" s="28" t="n">
        <x:v>1</x:v>
      </x:c>
      <x:c r="H3289" s="28" t="n">
        <x:v>13</x:v>
      </x:c>
      <x:c r="I3289" s="28" t="n">
        <x:v>10</x:v>
      </x:c>
      <x:c r="J3289" s="28" t="n">
        <x:v>8</x:v>
      </x:c>
      <x:c r="K3289" s="28" t="n">
        <x:v>2</x:v>
      </x:c>
      <x:c r="L3289" s="28" t="n">
        <x:v>7</x:v>
      </x:c>
      <x:c r="M3289" s="28" t="n">
        <x:v>8</x:v>
      </x:c>
      <x:c r="N3289" s="28" t="n">
        <x:v>0</x:v>
      </x:c>
      <x:c r="O3289" s="28" t="n">
        <x:v>0</x:v>
      </x:c>
      <x:c r="P3289" s="28" t="n">
        <x:v>3</x:v>
      </x:c>
      <x:c r="Q3289" s="24" t="n">
        <x:f>IFERROR(J3289/H3289,0)</x:f>
        <x:v>0.6153846153846154</x:v>
      </x:c>
      <x:c r="R3289" s="24" t="n">
        <x:f>IFERROR(F3289/H3289,0)</x:f>
        <x:v>0.3076923076923077</x:v>
      </x:c>
      <x:c r="S3289" s="24" t="n">
        <x:f>IFERROR(F3289/J3289,0)</x:f>
        <x:v>0.5</x:v>
      </x:c>
      <x:c r="T3289" s="28" t="n">
        <x:f>H3289-I3289</x:f>
        <x:v>3</x:v>
      </x:c>
      <x:c r="U3289" s="24" t="n">
        <x:f>IFERROR(J3289/H3289,0)-IFERROR(K3289/I3289,0)</x:f>
        <x:v>0.4153846153846154</x:v>
      </x:c>
      <x:c r="V3289" s="24" t="n">
        <x:f>IFERROR(F3289/J3289,0)-IFERROR(G3289/K3289,0)</x:f>
        <x:v>0</x:v>
      </x:c>
      <x:c r="W3289" s="28" t="n">
        <x:f>L3289-M3289</x:f>
        <x:v>-1</x:v>
      </x:c>
      <x:c r="X3289" s="24" t="n">
        <x:f>IFERROR(K3289/I3289,0)</x:f>
        <x:v>0.2</x:v>
      </x:c>
      <x:c r="Y3289" s="24" t="n">
        <x:f>IFERROR(G3289/I3289,0)</x:f>
        <x:v>0.1</x:v>
      </x:c>
      <x:c r="Z3289" s="24" t="n">
        <x:f>IFERROR(G3289/K3289,0)</x:f>
        <x:v>0.5</x:v>
      </x:c>
      <x:c r="AA3289" s="24" t="n">
        <x:f>IFERROR(F3289/H3289,0)-IFERROR(G3289/I3289,0)</x:f>
        <x:v>0.2076923076923077</x:v>
      </x:c>
      <x:c r="AB3289" s="28" t="n">
        <x:f>J3289-K3289</x:f>
        <x:v>6</x:v>
      </x:c>
      <x:c r="AC3289" s="32" t="n">
        <x:f>F3289-G3289</x:f>
        <x:v>3</x:v>
      </x:c>
    </x:row>
    <x:row r="3290">
      <x:c r="A3290" s="4" t="str">
        <x:v>2025-26</x:v>
      </x:c>
      <x:c r="B3290" s="20" t="n">
        <x:v>45990</x:v>
      </x:c>
      <x:c r="C3290" s="4" t="str">
        <x:v>Sunderland</x:v>
      </x:c>
      <x:c r="D3290" s="4" t="str">
        <x:v>Bournemouth</x:v>
      </x:c>
      <x:c r="E3290" s="4" t="str">
        <x:v>Home</x:v>
      </x:c>
      <x:c r="F3290" s="28" t="n">
        <x:v>3</x:v>
      </x:c>
      <x:c r="G3290" s="28" t="n">
        <x:v>2</x:v>
      </x:c>
      <x:c r="H3290" s="28" t="n">
        <x:v>12</x:v>
      </x:c>
      <x:c r="I3290" s="28" t="n">
        <x:v>18</x:v>
      </x:c>
      <x:c r="J3290" s="28" t="n">
        <x:v>6</x:v>
      </x:c>
      <x:c r="K3290" s="28" t="n">
        <x:v>6</x:v>
      </x:c>
      <x:c r="L3290" s="28" t="n">
        <x:v>6</x:v>
      </x:c>
      <x:c r="M3290" s="28" t="n">
        <x:v>3</x:v>
      </x:c>
      <x:c r="N3290" s="28" t="n">
        <x:v>5</x:v>
      </x:c>
      <x:c r="O3290" s="28" t="n">
        <x:v>0</x:v>
      </x:c>
      <x:c r="P3290" s="28" t="n">
        <x:v>3</x:v>
      </x:c>
      <x:c r="Q3290" s="24" t="n">
        <x:f>IFERROR(J3290/H3290,0)</x:f>
        <x:v>0.5</x:v>
      </x:c>
      <x:c r="R3290" s="24" t="n">
        <x:f>IFERROR(F3290/H3290,0)</x:f>
        <x:v>0.25</x:v>
      </x:c>
      <x:c r="S3290" s="24" t="n">
        <x:f>IFERROR(F3290/J3290,0)</x:f>
        <x:v>0.5</x:v>
      </x:c>
      <x:c r="T3290" s="28" t="n">
        <x:f>H3290-I3290</x:f>
        <x:v>-6</x:v>
      </x:c>
      <x:c r="U3290" s="24" t="n">
        <x:f>IFERROR(J3290/H3290,0)-IFERROR(K3290/I3290,0)</x:f>
        <x:v>0.16666666666666669</x:v>
      </x:c>
      <x:c r="V3290" s="24" t="n">
        <x:f>IFERROR(F3290/J3290,0)-IFERROR(G3290/K3290,0)</x:f>
        <x:v>0.16666666666666669</x:v>
      </x:c>
      <x:c r="W3290" s="28" t="n">
        <x:f>L3290-M3290</x:f>
        <x:v>3</x:v>
      </x:c>
      <x:c r="X3290" s="24" t="n">
        <x:f>IFERROR(K3290/I3290,0)</x:f>
        <x:v>0.3333333333333333</x:v>
      </x:c>
      <x:c r="Y3290" s="24" t="n">
        <x:f>IFERROR(G3290/I3290,0)</x:f>
        <x:v>0.1111111111111111</x:v>
      </x:c>
      <x:c r="Z3290" s="24" t="n">
        <x:f>IFERROR(G3290/K3290,0)</x:f>
        <x:v>0.3333333333333333</x:v>
      </x:c>
      <x:c r="AA3290" s="24" t="n">
        <x:f>IFERROR(F3290/H3290,0)-IFERROR(G3290/I3290,0)</x:f>
        <x:v>0.1388888888888889</x:v>
      </x:c>
      <x:c r="AB3290" s="28" t="n">
        <x:f>J3290-K3290</x:f>
        <x:v>0</x:v>
      </x:c>
      <x:c r="AC3290" s="32" t="n">
        <x:f>F3290-G3290</x:f>
        <x:v>1</x:v>
      </x:c>
    </x:row>
    <x:row r="3291">
      <x:c r="A3291" s="4" t="str">
        <x:v>2025-26</x:v>
      </x:c>
      <x:c r="B3291" s="20" t="n">
        <x:v>45990</x:v>
      </x:c>
      <x:c r="C3291" s="4" t="str">
        <x:v>Tottenham</x:v>
      </x:c>
      <x:c r="D3291" s="4" t="str">
        <x:v>Fulham</x:v>
      </x:c>
      <x:c r="E3291" s="4" t="str">
        <x:v>Home</x:v>
      </x:c>
      <x:c r="F3291" s="28" t="n">
        <x:v>1</x:v>
      </x:c>
      <x:c r="G3291" s="28" t="n">
        <x:v>2</x:v>
      </x:c>
      <x:c r="H3291" s="28" t="n">
        <x:v>14</x:v>
      </x:c>
      <x:c r="I3291" s="28" t="n">
        <x:v>7</x:v>
      </x:c>
      <x:c r="J3291" s="28" t="n">
        <x:v>2</x:v>
      </x:c>
      <x:c r="K3291" s="28" t="n">
        <x:v>3</x:v>
      </x:c>
      <x:c r="L3291" s="28" t="n">
        <x:v>8</x:v>
      </x:c>
      <x:c r="M3291" s="28" t="n">
        <x:v>2</x:v>
      </x:c>
      <x:c r="N3291" s="28" t="n">
        <x:v>3</x:v>
      </x:c>
      <x:c r="O3291" s="28" t="n">
        <x:v>0</x:v>
      </x:c>
      <x:c r="P3291" s="28" t="n">
        <x:v>0</x:v>
      </x:c>
      <x:c r="Q3291" s="24" t="n">
        <x:f>IFERROR(J3291/H3291,0)</x:f>
        <x:v>0.14285714285714285</x:v>
      </x:c>
      <x:c r="R3291" s="24" t="n">
        <x:f>IFERROR(F3291/H3291,0)</x:f>
        <x:v>0.07142857142857142</x:v>
      </x:c>
      <x:c r="S3291" s="24" t="n">
        <x:f>IFERROR(F3291/J3291,0)</x:f>
        <x:v>0.5</x:v>
      </x:c>
      <x:c r="T3291" s="28" t="n">
        <x:f>H3291-I3291</x:f>
        <x:v>7</x:v>
      </x:c>
      <x:c r="U3291" s="24" t="n">
        <x:f>IFERROR(J3291/H3291,0)-IFERROR(K3291/I3291,0)</x:f>
        <x:v>-0.2857142857142857</x:v>
      </x:c>
      <x:c r="V3291" s="24" t="n">
        <x:f>IFERROR(F3291/J3291,0)-IFERROR(G3291/K3291,0)</x:f>
        <x:v>-0.16666666666666663</x:v>
      </x:c>
      <x:c r="W3291" s="28" t="n">
        <x:f>L3291-M3291</x:f>
        <x:v>6</x:v>
      </x:c>
      <x:c r="X3291" s="24" t="n">
        <x:f>IFERROR(K3291/I3291,0)</x:f>
        <x:v>0.42857142857142855</x:v>
      </x:c>
      <x:c r="Y3291" s="24" t="n">
        <x:f>IFERROR(G3291/I3291,0)</x:f>
        <x:v>0.2857142857142857</x:v>
      </x:c>
      <x:c r="Z3291" s="24" t="n">
        <x:f>IFERROR(G3291/K3291,0)</x:f>
        <x:v>0.6666666666666666</x:v>
      </x:c>
      <x:c r="AA3291" s="24" t="n">
        <x:f>IFERROR(F3291/H3291,0)-IFERROR(G3291/I3291,0)</x:f>
        <x:v>-0.21428571428571427</x:v>
      </x:c>
      <x:c r="AB3291" s="28" t="n">
        <x:f>J3291-K3291</x:f>
        <x:v>-1</x:v>
      </x:c>
      <x:c r="AC3291" s="32" t="n">
        <x:f>F3291-G3291</x:f>
        <x:v>-1</x:v>
      </x:c>
    </x:row>
    <x:row r="3292">
      <x:c r="A3292" s="4" t="str">
        <x:v>2025-26</x:v>
      </x:c>
      <x:c r="B3292" s="20" t="n">
        <x:v>45991</x:v>
      </x:c>
      <x:c r="C3292" s="4" t="str">
        <x:v>Arsenal</x:v>
      </x:c>
      <x:c r="D3292" s="4" t="str">
        <x:v>Chelsea</x:v>
      </x:c>
      <x:c r="E3292" s="4" t="str">
        <x:v>Away</x:v>
      </x:c>
      <x:c r="F3292" s="28" t="n">
        <x:v>1</x:v>
      </x:c>
      <x:c r="G3292" s="28" t="n">
        <x:v>1</x:v>
      </x:c>
      <x:c r="H3292" s="28" t="n">
        <x:v>8</x:v>
      </x:c>
      <x:c r="I3292" s="28" t="n">
        <x:v>11</x:v>
      </x:c>
      <x:c r="J3292" s="28" t="n">
        <x:v>4</x:v>
      </x:c>
      <x:c r="K3292" s="28" t="n">
        <x:v>4</x:v>
      </x:c>
      <x:c r="L3292" s="28" t="n">
        <x:v>3</x:v>
      </x:c>
      <x:c r="M3292" s="28" t="n">
        <x:v>3</x:v>
      </x:c>
      <x:c r="N3292" s="28" t="n">
        <x:v>6</x:v>
      </x:c>
      <x:c r="O3292" s="28" t="n">
        <x:v>0</x:v>
      </x:c>
      <x:c r="P3292" s="28" t="n">
        <x:v>1</x:v>
      </x:c>
      <x:c r="Q3292" s="24" t="n">
        <x:f>IFERROR(J3292/H3292,0)</x:f>
        <x:v>0.5</x:v>
      </x:c>
      <x:c r="R3292" s="24" t="n">
        <x:f>IFERROR(F3292/H3292,0)</x:f>
        <x:v>0.125</x:v>
      </x:c>
      <x:c r="S3292" s="24" t="n">
        <x:f>IFERROR(F3292/J3292,0)</x:f>
        <x:v>0.25</x:v>
      </x:c>
      <x:c r="T3292" s="28" t="n">
        <x:f>H3292-I3292</x:f>
        <x:v>-3</x:v>
      </x:c>
      <x:c r="U3292" s="24" t="n">
        <x:f>IFERROR(J3292/H3292,0)-IFERROR(K3292/I3292,0)</x:f>
        <x:v>0.13636363636363635</x:v>
      </x:c>
      <x:c r="V3292" s="24" t="n">
        <x:f>IFERROR(F3292/J3292,0)-IFERROR(G3292/K3292,0)</x:f>
        <x:v>0</x:v>
      </x:c>
      <x:c r="W3292" s="28" t="n">
        <x:f>L3292-M3292</x:f>
        <x:v>0</x:v>
      </x:c>
      <x:c r="X3292" s="24" t="n">
        <x:f>IFERROR(K3292/I3292,0)</x:f>
        <x:v>0.36363636363636365</x:v>
      </x:c>
      <x:c r="Y3292" s="24" t="n">
        <x:f>IFERROR(G3292/I3292,0)</x:f>
        <x:v>0.09090909090909091</x:v>
      </x:c>
      <x:c r="Z3292" s="24" t="n">
        <x:f>IFERROR(G3292/K3292,0)</x:f>
        <x:v>0.25</x:v>
      </x:c>
      <x:c r="AA3292" s="24" t="n">
        <x:f>IFERROR(F3292/H3292,0)-IFERROR(G3292/I3292,0)</x:f>
        <x:v>0.03409090909090909</x:v>
      </x:c>
      <x:c r="AB3292" s="28" t="n">
        <x:f>J3292-K3292</x:f>
        <x:v>0</x:v>
      </x:c>
      <x:c r="AC3292" s="32" t="n">
        <x:f>F3292-G3292</x:f>
        <x:v>0</x:v>
      </x:c>
    </x:row>
    <x:row r="3293">
      <x:c r="A3293" s="4" t="str">
        <x:v>2025-26</x:v>
      </x:c>
      <x:c r="B3293" s="20" t="n">
        <x:v>45991</x:v>
      </x:c>
      <x:c r="C3293" s="4" t="str">
        <x:v>Aston Villa</x:v>
      </x:c>
      <x:c r="D3293" s="4" t="str">
        <x:v>Wolves</x:v>
      </x:c>
      <x:c r="E3293" s="4" t="str">
        <x:v>Home</x:v>
      </x:c>
      <x:c r="F3293" s="28" t="n">
        <x:v>1</x:v>
      </x:c>
      <x:c r="G3293" s="28" t="n">
        <x:v>0</x:v>
      </x:c>
      <x:c r="H3293" s="28" t="n">
        <x:v>16</x:v>
      </x:c>
      <x:c r="I3293" s="28" t="n">
        <x:v>9</x:v>
      </x:c>
      <x:c r="J3293" s="28" t="n">
        <x:v>6</x:v>
      </x:c>
      <x:c r="K3293" s="28" t="n">
        <x:v>4</x:v>
      </x:c>
      <x:c r="L3293" s="28" t="n">
        <x:v>7</x:v>
      </x:c>
      <x:c r="M3293" s="28" t="n">
        <x:v>3</x:v>
      </x:c>
      <x:c r="N3293" s="28" t="n">
        <x:v>0</x:v>
      </x:c>
      <x:c r="O3293" s="28" t="n">
        <x:v>0</x:v>
      </x:c>
      <x:c r="P3293" s="28" t="n">
        <x:v>3</x:v>
      </x:c>
      <x:c r="Q3293" s="24" t="n">
        <x:f>IFERROR(J3293/H3293,0)</x:f>
        <x:v>0.375</x:v>
      </x:c>
      <x:c r="R3293" s="24" t="n">
        <x:f>IFERROR(F3293/H3293,0)</x:f>
        <x:v>0.0625</x:v>
      </x:c>
      <x:c r="S3293" s="24" t="n">
        <x:f>IFERROR(F3293/J3293,0)</x:f>
        <x:v>0.16666666666666666</x:v>
      </x:c>
      <x:c r="T3293" s="28" t="n">
        <x:f>H3293-I3293</x:f>
        <x:v>7</x:v>
      </x:c>
      <x:c r="U3293" s="24" t="n">
        <x:f>IFERROR(J3293/H3293,0)-IFERROR(K3293/I3293,0)</x:f>
        <x:v>-0.06944444444444442</x:v>
      </x:c>
      <x:c r="V3293" s="24" t="n">
        <x:f>IFERROR(F3293/J3293,0)-IFERROR(G3293/K3293,0)</x:f>
        <x:v>0.16666666666666666</x:v>
      </x:c>
      <x:c r="W3293" s="28" t="n">
        <x:f>L3293-M3293</x:f>
        <x:v>4</x:v>
      </x:c>
      <x:c r="X3293" s="24" t="n">
        <x:f>IFERROR(K3293/I3293,0)</x:f>
        <x:v>0.4444444444444444</x:v>
      </x:c>
      <x:c r="Y3293" s="24" t="n">
        <x:f>IFERROR(G3293/I3293,0)</x:f>
        <x:v>0</x:v>
      </x:c>
      <x:c r="Z3293" s="24" t="n">
        <x:f>IFERROR(G3293/K3293,0)</x:f>
        <x:v>0</x:v>
      </x:c>
      <x:c r="AA3293" s="24" t="n">
        <x:f>IFERROR(F3293/H3293,0)-IFERROR(G3293/I3293,0)</x:f>
        <x:v>0.0625</x:v>
      </x:c>
      <x:c r="AB3293" s="28" t="n">
        <x:f>J3293-K3293</x:f>
        <x:v>2</x:v>
      </x:c>
      <x:c r="AC3293" s="32" t="n">
        <x:f>F3293-G3293</x:f>
        <x:v>1</x:v>
      </x:c>
    </x:row>
    <x:row r="3294">
      <x:c r="A3294" s="4" t="str">
        <x:v>2025-26</x:v>
      </x:c>
      <x:c r="B3294" s="20" t="n">
        <x:v>45991</x:v>
      </x:c>
      <x:c r="C3294" s="4" t="str">
        <x:v>Brighton</x:v>
      </x:c>
      <x:c r="D3294" s="4" t="str">
        <x:v>Nott'm Forest</x:v>
      </x:c>
      <x:c r="E3294" s="4" t="str">
        <x:v>Away</x:v>
      </x:c>
      <x:c r="F3294" s="28" t="n">
        <x:v>2</x:v>
      </x:c>
      <x:c r="G3294" s="28" t="n">
        <x:v>0</x:v>
      </x:c>
      <x:c r="H3294" s="28" t="n">
        <x:v>17</x:v>
      </x:c>
      <x:c r="I3294" s="28" t="n">
        <x:v>19</x:v>
      </x:c>
      <x:c r="J3294" s="28" t="n">
        <x:v>6</x:v>
      </x:c>
      <x:c r="K3294" s="28" t="n">
        <x:v>3</x:v>
      </x:c>
      <x:c r="L3294" s="28" t="n">
        <x:v>2</x:v>
      </x:c>
      <x:c r="M3294" s="28" t="n">
        <x:v>9</x:v>
      </x:c>
      <x:c r="N3294" s="28" t="n">
        <x:v>1</x:v>
      </x:c>
      <x:c r="O3294" s="28" t="n">
        <x:v>0</x:v>
      </x:c>
      <x:c r="P3294" s="28" t="n">
        <x:v>3</x:v>
      </x:c>
      <x:c r="Q3294" s="24" t="n">
        <x:f>IFERROR(J3294/H3294,0)</x:f>
        <x:v>0.35294117647058826</x:v>
      </x:c>
      <x:c r="R3294" s="24" t="n">
        <x:f>IFERROR(F3294/H3294,0)</x:f>
        <x:v>0.11764705882352941</x:v>
      </x:c>
      <x:c r="S3294" s="24" t="n">
        <x:f>IFERROR(F3294/J3294,0)</x:f>
        <x:v>0.3333333333333333</x:v>
      </x:c>
      <x:c r="T3294" s="28" t="n">
        <x:f>H3294-I3294</x:f>
        <x:v>-2</x:v>
      </x:c>
      <x:c r="U3294" s="24" t="n">
        <x:f>IFERROR(J3294/H3294,0)-IFERROR(K3294/I3294,0)</x:f>
        <x:v>0.195046439628483</x:v>
      </x:c>
      <x:c r="V3294" s="24" t="n">
        <x:f>IFERROR(F3294/J3294,0)-IFERROR(G3294/K3294,0)</x:f>
        <x:v>0.3333333333333333</x:v>
      </x:c>
      <x:c r="W3294" s="28" t="n">
        <x:f>L3294-M3294</x:f>
        <x:v>-7</x:v>
      </x:c>
      <x:c r="X3294" s="24" t="n">
        <x:f>IFERROR(K3294/I3294,0)</x:f>
        <x:v>0.15789473684210525</x:v>
      </x:c>
      <x:c r="Y3294" s="24" t="n">
        <x:f>IFERROR(G3294/I3294,0)</x:f>
        <x:v>0</x:v>
      </x:c>
      <x:c r="Z3294" s="24" t="n">
        <x:f>IFERROR(G3294/K3294,0)</x:f>
        <x:v>0</x:v>
      </x:c>
      <x:c r="AA3294" s="24" t="n">
        <x:f>IFERROR(F3294/H3294,0)-IFERROR(G3294/I3294,0)</x:f>
        <x:v>0.11764705882352941</x:v>
      </x:c>
      <x:c r="AB3294" s="28" t="n">
        <x:f>J3294-K3294</x:f>
        <x:v>3</x:v>
      </x:c>
      <x:c r="AC3294" s="32" t="n">
        <x:f>F3294-G3294</x:f>
        <x:v>2</x:v>
      </x:c>
    </x:row>
    <x:row r="3295">
      <x:c r="A3295" s="4" t="str">
        <x:v>2025-26</x:v>
      </x:c>
      <x:c r="B3295" s="20" t="n">
        <x:v>45991</x:v>
      </x:c>
      <x:c r="C3295" s="4" t="str">
        <x:v>Chelsea</x:v>
      </x:c>
      <x:c r="D3295" s="4" t="str">
        <x:v>Arsenal</x:v>
      </x:c>
      <x:c r="E3295" s="4" t="str">
        <x:v>Home</x:v>
      </x:c>
      <x:c r="F3295" s="28" t="n">
        <x:v>1</x:v>
      </x:c>
      <x:c r="G3295" s="28" t="n">
        <x:v>1</x:v>
      </x:c>
      <x:c r="H3295" s="28" t="n">
        <x:v>11</x:v>
      </x:c>
      <x:c r="I3295" s="28" t="n">
        <x:v>8</x:v>
      </x:c>
      <x:c r="J3295" s="28" t="n">
        <x:v>4</x:v>
      </x:c>
      <x:c r="K3295" s="28" t="n">
        <x:v>4</x:v>
      </x:c>
      <x:c r="L3295" s="28" t="n">
        <x:v>3</x:v>
      </x:c>
      <x:c r="M3295" s="28" t="n">
        <x:v>3</x:v>
      </x:c>
      <x:c r="N3295" s="28" t="n">
        <x:v>1</x:v>
      </x:c>
      <x:c r="O3295" s="28" t="n">
        <x:v>1</x:v>
      </x:c>
      <x:c r="P3295" s="28" t="n">
        <x:v>1</x:v>
      </x:c>
      <x:c r="Q3295" s="24" t="n">
        <x:f>IFERROR(J3295/H3295,0)</x:f>
        <x:v>0.36363636363636365</x:v>
      </x:c>
      <x:c r="R3295" s="24" t="n">
        <x:f>IFERROR(F3295/H3295,0)</x:f>
        <x:v>0.09090909090909091</x:v>
      </x:c>
      <x:c r="S3295" s="24" t="n">
        <x:f>IFERROR(F3295/J3295,0)</x:f>
        <x:v>0.25</x:v>
      </x:c>
      <x:c r="T3295" s="28" t="n">
        <x:f>H3295-I3295</x:f>
        <x:v>3</x:v>
      </x:c>
      <x:c r="U3295" s="24" t="n">
        <x:f>IFERROR(J3295/H3295,0)-IFERROR(K3295/I3295,0)</x:f>
        <x:v>-0.13636363636363635</x:v>
      </x:c>
      <x:c r="V3295" s="24" t="n">
        <x:f>IFERROR(F3295/J3295,0)-IFERROR(G3295/K3295,0)</x:f>
        <x:v>0</x:v>
      </x:c>
      <x:c r="W3295" s="28" t="n">
        <x:f>L3295-M3295</x:f>
        <x:v>0</x:v>
      </x:c>
      <x:c r="X3295" s="24" t="n">
        <x:f>IFERROR(K3295/I3295,0)</x:f>
        <x:v>0.5</x:v>
      </x:c>
      <x:c r="Y3295" s="24" t="n">
        <x:f>IFERROR(G3295/I3295,0)</x:f>
        <x:v>0.125</x:v>
      </x:c>
      <x:c r="Z3295" s="24" t="n">
        <x:f>IFERROR(G3295/K3295,0)</x:f>
        <x:v>0.25</x:v>
      </x:c>
      <x:c r="AA3295" s="24" t="n">
        <x:f>IFERROR(F3295/H3295,0)-IFERROR(G3295/I3295,0)</x:f>
        <x:v>-0.03409090909090909</x:v>
      </x:c>
      <x:c r="AB3295" s="28" t="n">
        <x:f>J3295-K3295</x:f>
        <x:v>0</x:v>
      </x:c>
      <x:c r="AC3295" s="32" t="n">
        <x:f>F3295-G3295</x:f>
        <x:v>0</x:v>
      </x:c>
    </x:row>
    <x:row r="3296">
      <x:c r="A3296" s="4" t="str">
        <x:v>2025-26</x:v>
      </x:c>
      <x:c r="B3296" s="20" t="n">
        <x:v>45991</x:v>
      </x:c>
      <x:c r="C3296" s="4" t="str">
        <x:v>Crystal Palace</x:v>
      </x:c>
      <x:c r="D3296" s="4" t="str">
        <x:v>Man United</x:v>
      </x:c>
      <x:c r="E3296" s="4" t="str">
        <x:v>Home</x:v>
      </x:c>
      <x:c r="F3296" s="28" t="n">
        <x:v>1</x:v>
      </x:c>
      <x:c r="G3296" s="28" t="n">
        <x:v>2</x:v>
      </x:c>
      <x:c r="H3296" s="28" t="n">
        <x:v>14</x:v>
      </x:c>
      <x:c r="I3296" s="28" t="n">
        <x:v>14</x:v>
      </x:c>
      <x:c r="J3296" s="28" t="n">
        <x:v>3</x:v>
      </x:c>
      <x:c r="K3296" s="28" t="n">
        <x:v>6</x:v>
      </x:c>
      <x:c r="L3296" s="28" t="n">
        <x:v>4</x:v>
      </x:c>
      <x:c r="M3296" s="28" t="n">
        <x:v>4</x:v>
      </x:c>
      <x:c r="N3296" s="28" t="n">
        <x:v>3</x:v>
      </x:c>
      <x:c r="O3296" s="28" t="n">
        <x:v>0</x:v>
      </x:c>
      <x:c r="P3296" s="28" t="n">
        <x:v>0</x:v>
      </x:c>
      <x:c r="Q3296" s="24" t="n">
        <x:f>IFERROR(J3296/H3296,0)</x:f>
        <x:v>0.21428571428571427</x:v>
      </x:c>
      <x:c r="R3296" s="24" t="n">
        <x:f>IFERROR(F3296/H3296,0)</x:f>
        <x:v>0.07142857142857142</x:v>
      </x:c>
      <x:c r="S3296" s="24" t="n">
        <x:f>IFERROR(F3296/J3296,0)</x:f>
        <x:v>0.3333333333333333</x:v>
      </x:c>
      <x:c r="T3296" s="28" t="n">
        <x:f>H3296-I3296</x:f>
        <x:v>0</x:v>
      </x:c>
      <x:c r="U3296" s="24" t="n">
        <x:f>IFERROR(J3296/H3296,0)-IFERROR(K3296/I3296,0)</x:f>
        <x:v>-0.21428571428571427</x:v>
      </x:c>
      <x:c r="V3296" s="24" t="n">
        <x:f>IFERROR(F3296/J3296,0)-IFERROR(G3296/K3296,0)</x:f>
        <x:v>0</x:v>
      </x:c>
      <x:c r="W3296" s="28" t="n">
        <x:f>L3296-M3296</x:f>
        <x:v>0</x:v>
      </x:c>
      <x:c r="X3296" s="24" t="n">
        <x:f>IFERROR(K3296/I3296,0)</x:f>
        <x:v>0.42857142857142855</x:v>
      </x:c>
      <x:c r="Y3296" s="24" t="n">
        <x:f>IFERROR(G3296/I3296,0)</x:f>
        <x:v>0.14285714285714285</x:v>
      </x:c>
      <x:c r="Z3296" s="24" t="n">
        <x:f>IFERROR(G3296/K3296,0)</x:f>
        <x:v>0.3333333333333333</x:v>
      </x:c>
      <x:c r="AA3296" s="24" t="n">
        <x:f>IFERROR(F3296/H3296,0)-IFERROR(G3296/I3296,0)</x:f>
        <x:v>-0.07142857142857142</x:v>
      </x:c>
      <x:c r="AB3296" s="28" t="n">
        <x:f>J3296-K3296</x:f>
        <x:v>-3</x:v>
      </x:c>
      <x:c r="AC3296" s="32" t="n">
        <x:f>F3296-G3296</x:f>
        <x:v>-1</x:v>
      </x:c>
    </x:row>
    <x:row r="3297">
      <x:c r="A3297" s="4" t="str">
        <x:v>2025-26</x:v>
      </x:c>
      <x:c r="B3297" s="20" t="n">
        <x:v>45991</x:v>
      </x:c>
      <x:c r="C3297" s="4" t="str">
        <x:v>Liverpool</x:v>
      </x:c>
      <x:c r="D3297" s="4" t="str">
        <x:v>West Ham</x:v>
      </x:c>
      <x:c r="E3297" s="4" t="str">
        <x:v>Away</x:v>
      </x:c>
      <x:c r="F3297" s="28" t="n">
        <x:v>2</x:v>
      </x:c>
      <x:c r="G3297" s="28" t="n">
        <x:v>0</x:v>
      </x:c>
      <x:c r="H3297" s="28" t="n">
        <x:v>9</x:v>
      </x:c>
      <x:c r="I3297" s="28" t="n">
        <x:v>7</x:v>
      </x:c>
      <x:c r="J3297" s="28" t="n">
        <x:v>5</x:v>
      </x:c>
      <x:c r="K3297" s="28" t="n">
        <x:v>0</x:v>
      </x:c>
      <x:c r="L3297" s="28" t="n">
        <x:v>2</x:v>
      </x:c>
      <x:c r="M3297" s="28" t="n">
        <x:v>7</x:v>
      </x:c>
      <x:c r="N3297" s="28" t="n">
        <x:v>0</x:v>
      </x:c>
      <x:c r="O3297" s="28" t="n">
        <x:v>0</x:v>
      </x:c>
      <x:c r="P3297" s="28" t="n">
        <x:v>3</x:v>
      </x:c>
      <x:c r="Q3297" s="24" t="n">
        <x:f>IFERROR(J3297/H3297,0)</x:f>
        <x:v>0.5555555555555556</x:v>
      </x:c>
      <x:c r="R3297" s="24" t="n">
        <x:f>IFERROR(F3297/H3297,0)</x:f>
        <x:v>0.2222222222222222</x:v>
      </x:c>
      <x:c r="S3297" s="24" t="n">
        <x:f>IFERROR(F3297/J3297,0)</x:f>
        <x:v>0.4</x:v>
      </x:c>
      <x:c r="T3297" s="28" t="n">
        <x:f>H3297-I3297</x:f>
        <x:v>2</x:v>
      </x:c>
      <x:c r="U3297" s="24" t="n">
        <x:f>IFERROR(J3297/H3297,0)-IFERROR(K3297/I3297,0)</x:f>
        <x:v>0.5555555555555556</x:v>
      </x:c>
      <x:c r="V3297" s="24" t="n">
        <x:f>IFERROR(F3297/J3297,0)-IFERROR(G3297/K3297,0)</x:f>
        <x:v>0.4</x:v>
      </x:c>
      <x:c r="W3297" s="28" t="n">
        <x:f>L3297-M3297</x:f>
        <x:v>-5</x:v>
      </x:c>
      <x:c r="X3297" s="24" t="n">
        <x:f>IFERROR(K3297/I3297,0)</x:f>
        <x:v>0</x:v>
      </x:c>
      <x:c r="Y3297" s="24" t="n">
        <x:f>IFERROR(G3297/I3297,0)</x:f>
        <x:v>0</x:v>
      </x:c>
      <x:c r="Z3297" s="24" t="n">
        <x:f>IFERROR(G3297/K3297,0)</x:f>
        <x:v>0</x:v>
      </x:c>
      <x:c r="AA3297" s="24" t="n">
        <x:f>IFERROR(F3297/H3297,0)-IFERROR(G3297/I3297,0)</x:f>
        <x:v>0.2222222222222222</x:v>
      </x:c>
      <x:c r="AB3297" s="28" t="n">
        <x:f>J3297-K3297</x:f>
        <x:v>5</x:v>
      </x:c>
      <x:c r="AC3297" s="32" t="n">
        <x:f>F3297-G3297</x:f>
        <x:v>2</x:v>
      </x:c>
    </x:row>
    <x:row r="3298">
      <x:c r="A3298" s="4" t="str">
        <x:v>2025-26</x:v>
      </x:c>
      <x:c r="B3298" s="20" t="n">
        <x:v>45991</x:v>
      </x:c>
      <x:c r="C3298" s="4" t="str">
        <x:v>Man United</x:v>
      </x:c>
      <x:c r="D3298" s="4" t="str">
        <x:v>Crystal Palace</x:v>
      </x:c>
      <x:c r="E3298" s="4" t="str">
        <x:v>Away</x:v>
      </x:c>
      <x:c r="F3298" s="28" t="n">
        <x:v>2</x:v>
      </x:c>
      <x:c r="G3298" s="28" t="n">
        <x:v>1</x:v>
      </x:c>
      <x:c r="H3298" s="28" t="n">
        <x:v>14</x:v>
      </x:c>
      <x:c r="I3298" s="28" t="n">
        <x:v>14</x:v>
      </x:c>
      <x:c r="J3298" s="28" t="n">
        <x:v>6</x:v>
      </x:c>
      <x:c r="K3298" s="28" t="n">
        <x:v>3</x:v>
      </x:c>
      <x:c r="L3298" s="28" t="n">
        <x:v>4</x:v>
      </x:c>
      <x:c r="M3298" s="28" t="n">
        <x:v>4</x:v>
      </x:c>
      <x:c r="N3298" s="28" t="n">
        <x:v>2</x:v>
      </x:c>
      <x:c r="O3298" s="28" t="n">
        <x:v>0</x:v>
      </x:c>
      <x:c r="P3298" s="28" t="n">
        <x:v>3</x:v>
      </x:c>
      <x:c r="Q3298" s="24" t="n">
        <x:f>IFERROR(J3298/H3298,0)</x:f>
        <x:v>0.42857142857142855</x:v>
      </x:c>
      <x:c r="R3298" s="24" t="n">
        <x:f>IFERROR(F3298/H3298,0)</x:f>
        <x:v>0.14285714285714285</x:v>
      </x:c>
      <x:c r="S3298" s="24" t="n">
        <x:f>IFERROR(F3298/J3298,0)</x:f>
        <x:v>0.3333333333333333</x:v>
      </x:c>
      <x:c r="T3298" s="28" t="n">
        <x:f>H3298-I3298</x:f>
        <x:v>0</x:v>
      </x:c>
      <x:c r="U3298" s="24" t="n">
        <x:f>IFERROR(J3298/H3298,0)-IFERROR(K3298/I3298,0)</x:f>
        <x:v>0.21428571428571427</x:v>
      </x:c>
      <x:c r="V3298" s="24" t="n">
        <x:f>IFERROR(F3298/J3298,0)-IFERROR(G3298/K3298,0)</x:f>
        <x:v>0</x:v>
      </x:c>
      <x:c r="W3298" s="28" t="n">
        <x:f>L3298-M3298</x:f>
        <x:v>0</x:v>
      </x:c>
      <x:c r="X3298" s="24" t="n">
        <x:f>IFERROR(K3298/I3298,0)</x:f>
        <x:v>0.21428571428571427</x:v>
      </x:c>
      <x:c r="Y3298" s="24" t="n">
        <x:f>IFERROR(G3298/I3298,0)</x:f>
        <x:v>0.07142857142857142</x:v>
      </x:c>
      <x:c r="Z3298" s="24" t="n">
        <x:f>IFERROR(G3298/K3298,0)</x:f>
        <x:v>0.3333333333333333</x:v>
      </x:c>
      <x:c r="AA3298" s="24" t="n">
        <x:f>IFERROR(F3298/H3298,0)-IFERROR(G3298/I3298,0)</x:f>
        <x:v>0.07142857142857142</x:v>
      </x:c>
      <x:c r="AB3298" s="28" t="n">
        <x:f>J3298-K3298</x:f>
        <x:v>3</x:v>
      </x:c>
      <x:c r="AC3298" s="32" t="n">
        <x:f>F3298-G3298</x:f>
        <x:v>1</x:v>
      </x:c>
    </x:row>
    <x:row r="3299">
      <x:c r="A3299" s="4" t="str">
        <x:v>2025-26</x:v>
      </x:c>
      <x:c r="B3299" s="20" t="n">
        <x:v>45991</x:v>
      </x:c>
      <x:c r="C3299" s="4" t="str">
        <x:v>Nott'm Forest</x:v>
      </x:c>
      <x:c r="D3299" s="4" t="str">
        <x:v>Brighton</x:v>
      </x:c>
      <x:c r="E3299" s="4" t="str">
        <x:v>Home</x:v>
      </x:c>
      <x:c r="F3299" s="28" t="n">
        <x:v>0</x:v>
      </x:c>
      <x:c r="G3299" s="28" t="n">
        <x:v>2</x:v>
      </x:c>
      <x:c r="H3299" s="28" t="n">
        <x:v>19</x:v>
      </x:c>
      <x:c r="I3299" s="28" t="n">
        <x:v>17</x:v>
      </x:c>
      <x:c r="J3299" s="28" t="n">
        <x:v>3</x:v>
      </x:c>
      <x:c r="K3299" s="28" t="n">
        <x:v>6</x:v>
      </x:c>
      <x:c r="L3299" s="28" t="n">
        <x:v>9</x:v>
      </x:c>
      <x:c r="M3299" s="28" t="n">
        <x:v>2</x:v>
      </x:c>
      <x:c r="N3299" s="28" t="n">
        <x:v>0</x:v>
      </x:c>
      <x:c r="O3299" s="28" t="n">
        <x:v>0</x:v>
      </x:c>
      <x:c r="P3299" s="28" t="n">
        <x:v>0</x:v>
      </x:c>
      <x:c r="Q3299" s="24" t="n">
        <x:f>IFERROR(J3299/H3299,0)</x:f>
        <x:v>0.15789473684210525</x:v>
      </x:c>
      <x:c r="R3299" s="24" t="n">
        <x:f>IFERROR(F3299/H3299,0)</x:f>
        <x:v>0</x:v>
      </x:c>
      <x:c r="S3299" s="24" t="n">
        <x:f>IFERROR(F3299/J3299,0)</x:f>
        <x:v>0</x:v>
      </x:c>
      <x:c r="T3299" s="28" t="n">
        <x:f>H3299-I3299</x:f>
        <x:v>2</x:v>
      </x:c>
      <x:c r="U3299" s="24" t="n">
        <x:f>IFERROR(J3299/H3299,0)-IFERROR(K3299/I3299,0)</x:f>
        <x:v>-0.195046439628483</x:v>
      </x:c>
      <x:c r="V3299" s="24" t="n">
        <x:f>IFERROR(F3299/J3299,0)-IFERROR(G3299/K3299,0)</x:f>
        <x:v>-0.3333333333333333</x:v>
      </x:c>
      <x:c r="W3299" s="28" t="n">
        <x:f>L3299-M3299</x:f>
        <x:v>7</x:v>
      </x:c>
      <x:c r="X3299" s="24" t="n">
        <x:f>IFERROR(K3299/I3299,0)</x:f>
        <x:v>0.35294117647058826</x:v>
      </x:c>
      <x:c r="Y3299" s="24" t="n">
        <x:f>IFERROR(G3299/I3299,0)</x:f>
        <x:v>0.11764705882352941</x:v>
      </x:c>
      <x:c r="Z3299" s="24" t="n">
        <x:f>IFERROR(G3299/K3299,0)</x:f>
        <x:v>0.3333333333333333</x:v>
      </x:c>
      <x:c r="AA3299" s="24" t="n">
        <x:f>IFERROR(F3299/H3299,0)-IFERROR(G3299/I3299,0)</x:f>
        <x:v>-0.11764705882352941</x:v>
      </x:c>
      <x:c r="AB3299" s="28" t="n">
        <x:f>J3299-K3299</x:f>
        <x:v>-3</x:v>
      </x:c>
      <x:c r="AC3299" s="32" t="n">
        <x:f>F3299-G3299</x:f>
        <x:v>-2</x:v>
      </x:c>
    </x:row>
    <x:row r="3300">
      <x:c r="A3300" s="4" t="str">
        <x:v>2025-26</x:v>
      </x:c>
      <x:c r="B3300" s="20" t="n">
        <x:v>45991</x:v>
      </x:c>
      <x:c r="C3300" s="4" t="str">
        <x:v>West Ham</x:v>
      </x:c>
      <x:c r="D3300" s="4" t="str">
        <x:v>Liverpool</x:v>
      </x:c>
      <x:c r="E3300" s="4" t="str">
        <x:v>Home</x:v>
      </x:c>
      <x:c r="F3300" s="28" t="n">
        <x:v>0</x:v>
      </x:c>
      <x:c r="G3300" s="28" t="n">
        <x:v>2</x:v>
      </x:c>
      <x:c r="H3300" s="28" t="n">
        <x:v>7</x:v>
      </x:c>
      <x:c r="I3300" s="28" t="n">
        <x:v>9</x:v>
      </x:c>
      <x:c r="J3300" s="28" t="n">
        <x:v>0</x:v>
      </x:c>
      <x:c r="K3300" s="28" t="n">
        <x:v>5</x:v>
      </x:c>
      <x:c r="L3300" s="28" t="n">
        <x:v>7</x:v>
      </x:c>
      <x:c r="M3300" s="28" t="n">
        <x:v>2</x:v>
      </x:c>
      <x:c r="N3300" s="28" t="n">
        <x:v>1</x:v>
      </x:c>
      <x:c r="O3300" s="28" t="n">
        <x:v>1</x:v>
      </x:c>
      <x:c r="P3300" s="28" t="n">
        <x:v>0</x:v>
      </x:c>
      <x:c r="Q3300" s="24" t="n">
        <x:f>IFERROR(J3300/H3300,0)</x:f>
        <x:v>0</x:v>
      </x:c>
      <x:c r="R3300" s="24" t="n">
        <x:f>IFERROR(F3300/H3300,0)</x:f>
        <x:v>0</x:v>
      </x:c>
      <x:c r="S3300" s="24" t="n">
        <x:f>IFERROR(F3300/J3300,0)</x:f>
        <x:v>0</x:v>
      </x:c>
      <x:c r="T3300" s="28" t="n">
        <x:f>H3300-I3300</x:f>
        <x:v>-2</x:v>
      </x:c>
      <x:c r="U3300" s="24" t="n">
        <x:f>IFERROR(J3300/H3300,0)-IFERROR(K3300/I3300,0)</x:f>
        <x:v>-0.5555555555555556</x:v>
      </x:c>
      <x:c r="V3300" s="24" t="n">
        <x:f>IFERROR(F3300/J3300,0)-IFERROR(G3300/K3300,0)</x:f>
        <x:v>-0.4</x:v>
      </x:c>
      <x:c r="W3300" s="28" t="n">
        <x:f>L3300-M3300</x:f>
        <x:v>5</x:v>
      </x:c>
      <x:c r="X3300" s="24" t="n">
        <x:f>IFERROR(K3300/I3300,0)</x:f>
        <x:v>0.5555555555555556</x:v>
      </x:c>
      <x:c r="Y3300" s="24" t="n">
        <x:f>IFERROR(G3300/I3300,0)</x:f>
        <x:v>0.2222222222222222</x:v>
      </x:c>
      <x:c r="Z3300" s="24" t="n">
        <x:f>IFERROR(G3300/K3300,0)</x:f>
        <x:v>0.4</x:v>
      </x:c>
      <x:c r="AA3300" s="24" t="n">
        <x:f>IFERROR(F3300/H3300,0)-IFERROR(G3300/I3300,0)</x:f>
        <x:v>-0.2222222222222222</x:v>
      </x:c>
      <x:c r="AB3300" s="28" t="n">
        <x:f>J3300-K3300</x:f>
        <x:v>-5</x:v>
      </x:c>
      <x:c r="AC3300" s="32" t="n">
        <x:f>F3300-G3300</x:f>
        <x:v>-2</x:v>
      </x:c>
    </x:row>
    <x:row r="3301">
      <x:c r="A3301" s="4" t="str">
        <x:v>2025-26</x:v>
      </x:c>
      <x:c r="B3301" s="20" t="n">
        <x:v>45991</x:v>
      </x:c>
      <x:c r="C3301" s="4" t="str">
        <x:v>Wolves</x:v>
      </x:c>
      <x:c r="D3301" s="4" t="str">
        <x:v>Aston Villa</x:v>
      </x:c>
      <x:c r="E3301" s="4" t="str">
        <x:v>Away</x:v>
      </x:c>
      <x:c r="F3301" s="28" t="n">
        <x:v>0</x:v>
      </x:c>
      <x:c r="G3301" s="28" t="n">
        <x:v>1</x:v>
      </x:c>
      <x:c r="H3301" s="28" t="n">
        <x:v>9</x:v>
      </x:c>
      <x:c r="I3301" s="28" t="n">
        <x:v>16</x:v>
      </x:c>
      <x:c r="J3301" s="28" t="n">
        <x:v>4</x:v>
      </x:c>
      <x:c r="K3301" s="28" t="n">
        <x:v>6</x:v>
      </x:c>
      <x:c r="L3301" s="28" t="n">
        <x:v>3</x:v>
      </x:c>
      <x:c r="M3301" s="28" t="n">
        <x:v>7</x:v>
      </x:c>
      <x:c r="N3301" s="28" t="n">
        <x:v>4</x:v>
      </x:c>
      <x:c r="O3301" s="28" t="n">
        <x:v>0</x:v>
      </x:c>
      <x:c r="P3301" s="28" t="n">
        <x:v>0</x:v>
      </x:c>
      <x:c r="Q3301" s="24" t="n">
        <x:f>IFERROR(J3301/H3301,0)</x:f>
        <x:v>0.4444444444444444</x:v>
      </x:c>
      <x:c r="R3301" s="24" t="n">
        <x:f>IFERROR(F3301/H3301,0)</x:f>
        <x:v>0</x:v>
      </x:c>
      <x:c r="S3301" s="24" t="n">
        <x:f>IFERROR(F3301/J3301,0)</x:f>
        <x:v>0</x:v>
      </x:c>
      <x:c r="T3301" s="28" t="n">
        <x:f>H3301-I3301</x:f>
        <x:v>-7</x:v>
      </x:c>
      <x:c r="U3301" s="24" t="n">
        <x:f>IFERROR(J3301/H3301,0)-IFERROR(K3301/I3301,0)</x:f>
        <x:v>0.06944444444444442</x:v>
      </x:c>
      <x:c r="V3301" s="24" t="n">
        <x:f>IFERROR(F3301/J3301,0)-IFERROR(G3301/K3301,0)</x:f>
        <x:v>-0.16666666666666666</x:v>
      </x:c>
      <x:c r="W3301" s="28" t="n">
        <x:f>L3301-M3301</x:f>
        <x:v>-4</x:v>
      </x:c>
      <x:c r="X3301" s="24" t="n">
        <x:f>IFERROR(K3301/I3301,0)</x:f>
        <x:v>0.375</x:v>
      </x:c>
      <x:c r="Y3301" s="24" t="n">
        <x:f>IFERROR(G3301/I3301,0)</x:f>
        <x:v>0.0625</x:v>
      </x:c>
      <x:c r="Z3301" s="24" t="n">
        <x:f>IFERROR(G3301/K3301,0)</x:f>
        <x:v>0.16666666666666666</x:v>
      </x:c>
      <x:c r="AA3301" s="24" t="n">
        <x:f>IFERROR(F3301/H3301,0)-IFERROR(G3301/I3301,0)</x:f>
        <x:v>-0.0625</x:v>
      </x:c>
      <x:c r="AB3301" s="28" t="n">
        <x:f>J3301-K3301</x:f>
        <x:v>-2</x:v>
      </x:c>
      <x:c r="AC3301" s="32" t="n">
        <x:f>F3301-G3301</x:f>
        <x:v>-1</x:v>
      </x:c>
    </x:row>
    <x:row r="3302">
      <x:c r="A3302" s="4" t="str">
        <x:v>2025-26</x:v>
      </x:c>
      <x:c r="B3302" s="20" t="n">
        <x:v>45993</x:v>
      </x:c>
      <x:c r="C3302" s="4" t="str">
        <x:v>Bournemouth</x:v>
      </x:c>
      <x:c r="D3302" s="4" t="str">
        <x:v>Everton</x:v>
      </x:c>
      <x:c r="E3302" s="4" t="str">
        <x:v>Home</x:v>
      </x:c>
      <x:c r="F3302" s="28" t="n">
        <x:v>0</x:v>
      </x:c>
      <x:c r="G3302" s="28" t="n">
        <x:v>1</x:v>
      </x:c>
      <x:c r="H3302" s="28" t="n">
        <x:v>5</x:v>
      </x:c>
      <x:c r="I3302" s="28" t="n">
        <x:v>13</x:v>
      </x:c>
      <x:c r="J3302" s="28" t="n">
        <x:v>2</x:v>
      </x:c>
      <x:c r="K3302" s="28" t="n">
        <x:v>3</x:v>
      </x:c>
      <x:c r="L3302" s="28" t="n">
        <x:v>1</x:v>
      </x:c>
      <x:c r="M3302" s="28" t="n">
        <x:v>6</x:v>
      </x:c>
      <x:c r="N3302" s="28" t="n">
        <x:v>3</x:v>
      </x:c>
      <x:c r="O3302" s="28" t="n">
        <x:v>0</x:v>
      </x:c>
      <x:c r="P3302" s="28" t="n">
        <x:v>0</x:v>
      </x:c>
      <x:c r="Q3302" s="24" t="n">
        <x:f>IFERROR(J3302/H3302,0)</x:f>
        <x:v>0.4</x:v>
      </x:c>
      <x:c r="R3302" s="24" t="n">
        <x:f>IFERROR(F3302/H3302,0)</x:f>
        <x:v>0</x:v>
      </x:c>
      <x:c r="S3302" s="24" t="n">
        <x:f>IFERROR(F3302/J3302,0)</x:f>
        <x:v>0</x:v>
      </x:c>
      <x:c r="T3302" s="28" t="n">
        <x:f>H3302-I3302</x:f>
        <x:v>-8</x:v>
      </x:c>
      <x:c r="U3302" s="24" t="n">
        <x:f>IFERROR(J3302/H3302,0)-IFERROR(K3302/I3302,0)</x:f>
        <x:v>0.16923076923076924</x:v>
      </x:c>
      <x:c r="V3302" s="24" t="n">
        <x:f>IFERROR(F3302/J3302,0)-IFERROR(G3302/K3302,0)</x:f>
        <x:v>-0.3333333333333333</x:v>
      </x:c>
      <x:c r="W3302" s="28" t="n">
        <x:f>L3302-M3302</x:f>
        <x:v>-5</x:v>
      </x:c>
      <x:c r="X3302" s="24" t="n">
        <x:f>IFERROR(K3302/I3302,0)</x:f>
        <x:v>0.23076923076923078</x:v>
      </x:c>
      <x:c r="Y3302" s="24" t="n">
        <x:f>IFERROR(G3302/I3302,0)</x:f>
        <x:v>0.07692307692307693</x:v>
      </x:c>
      <x:c r="Z3302" s="24" t="n">
        <x:f>IFERROR(G3302/K3302,0)</x:f>
        <x:v>0.3333333333333333</x:v>
      </x:c>
      <x:c r="AA3302" s="24" t="n">
        <x:f>IFERROR(F3302/H3302,0)-IFERROR(G3302/I3302,0)</x:f>
        <x:v>-0.07692307692307693</x:v>
      </x:c>
      <x:c r="AB3302" s="28" t="n">
        <x:f>J3302-K3302</x:f>
        <x:v>-1</x:v>
      </x:c>
      <x:c r="AC3302" s="32" t="n">
        <x:f>F3302-G3302</x:f>
        <x:v>-1</x:v>
      </x:c>
    </x:row>
    <x:row r="3303">
      <x:c r="A3303" s="4" t="str">
        <x:v>2025-26</x:v>
      </x:c>
      <x:c r="B3303" s="20" t="n">
        <x:v>45993</x:v>
      </x:c>
      <x:c r="C3303" s="4" t="str">
        <x:v>Everton</x:v>
      </x:c>
      <x:c r="D3303" s="4" t="str">
        <x:v>Bournemouth</x:v>
      </x:c>
      <x:c r="E3303" s="4" t="str">
        <x:v>Away</x:v>
      </x:c>
      <x:c r="F3303" s="28" t="n">
        <x:v>1</x:v>
      </x:c>
      <x:c r="G3303" s="28" t="n">
        <x:v>0</x:v>
      </x:c>
      <x:c r="H3303" s="28" t="n">
        <x:v>13</x:v>
      </x:c>
      <x:c r="I3303" s="28" t="n">
        <x:v>5</x:v>
      </x:c>
      <x:c r="J3303" s="28" t="n">
        <x:v>3</x:v>
      </x:c>
      <x:c r="K3303" s="28" t="n">
        <x:v>2</x:v>
      </x:c>
      <x:c r="L3303" s="28" t="n">
        <x:v>6</x:v>
      </x:c>
      <x:c r="M3303" s="28" t="n">
        <x:v>1</x:v>
      </x:c>
      <x:c r="N3303" s="28" t="n">
        <x:v>3</x:v>
      </x:c>
      <x:c r="O3303" s="28" t="n">
        <x:v>0</x:v>
      </x:c>
      <x:c r="P3303" s="28" t="n">
        <x:v>3</x:v>
      </x:c>
      <x:c r="Q3303" s="24" t="n">
        <x:f>IFERROR(J3303/H3303,0)</x:f>
        <x:v>0.23076923076923078</x:v>
      </x:c>
      <x:c r="R3303" s="24" t="n">
        <x:f>IFERROR(F3303/H3303,0)</x:f>
        <x:v>0.07692307692307693</x:v>
      </x:c>
      <x:c r="S3303" s="24" t="n">
        <x:f>IFERROR(F3303/J3303,0)</x:f>
        <x:v>0.3333333333333333</x:v>
      </x:c>
      <x:c r="T3303" s="28" t="n">
        <x:f>H3303-I3303</x:f>
        <x:v>8</x:v>
      </x:c>
      <x:c r="U3303" s="24" t="n">
        <x:f>IFERROR(J3303/H3303,0)-IFERROR(K3303/I3303,0)</x:f>
        <x:v>-0.16923076923076924</x:v>
      </x:c>
      <x:c r="V3303" s="24" t="n">
        <x:f>IFERROR(F3303/J3303,0)-IFERROR(G3303/K3303,0)</x:f>
        <x:v>0.3333333333333333</x:v>
      </x:c>
      <x:c r="W3303" s="28" t="n">
        <x:f>L3303-M3303</x:f>
        <x:v>5</x:v>
      </x:c>
      <x:c r="X3303" s="24" t="n">
        <x:f>IFERROR(K3303/I3303,0)</x:f>
        <x:v>0.4</x:v>
      </x:c>
      <x:c r="Y3303" s="24" t="n">
        <x:f>IFERROR(G3303/I3303,0)</x:f>
        <x:v>0</x:v>
      </x:c>
      <x:c r="Z3303" s="24" t="n">
        <x:f>IFERROR(G3303/K3303,0)</x:f>
        <x:v>0</x:v>
      </x:c>
      <x:c r="AA3303" s="24" t="n">
        <x:f>IFERROR(F3303/H3303,0)-IFERROR(G3303/I3303,0)</x:f>
        <x:v>0.07692307692307693</x:v>
      </x:c>
      <x:c r="AB3303" s="28" t="n">
        <x:f>J3303-K3303</x:f>
        <x:v>1</x:v>
      </x:c>
      <x:c r="AC3303" s="32" t="n">
        <x:f>F3303-G3303</x:f>
        <x:v>1</x:v>
      </x:c>
    </x:row>
    <x:row r="3304">
      <x:c r="A3304" s="4" t="str">
        <x:v>2025-26</x:v>
      </x:c>
      <x:c r="B3304" s="20" t="n">
        <x:v>45993</x:v>
      </x:c>
      <x:c r="C3304" s="4" t="str">
        <x:v>Fulham</x:v>
      </x:c>
      <x:c r="D3304" s="4" t="str">
        <x:v>Man City</x:v>
      </x:c>
      <x:c r="E3304" s="4" t="str">
        <x:v>Home</x:v>
      </x:c>
      <x:c r="F3304" s="28" t="n">
        <x:v>4</x:v>
      </x:c>
      <x:c r="G3304" s="28" t="n">
        <x:v>5</x:v>
      </x:c>
      <x:c r="H3304" s="28" t="n">
        <x:v>12</x:v>
      </x:c>
      <x:c r="I3304" s="28" t="n">
        <x:v>11</x:v>
      </x:c>
      <x:c r="J3304" s="28" t="n">
        <x:v>6</x:v>
      </x:c>
      <x:c r="K3304" s="28" t="n">
        <x:v>4</x:v>
      </x:c>
      <x:c r="L3304" s="28" t="n">
        <x:v>7</x:v>
      </x:c>
      <x:c r="M3304" s="28" t="n">
        <x:v>2</x:v>
      </x:c>
      <x:c r="N3304" s="28" t="n">
        <x:v>0</x:v>
      </x:c>
      <x:c r="O3304" s="28" t="n">
        <x:v>0</x:v>
      </x:c>
      <x:c r="P3304" s="28" t="n">
        <x:v>0</x:v>
      </x:c>
      <x:c r="Q3304" s="24" t="n">
        <x:f>IFERROR(J3304/H3304,0)</x:f>
        <x:v>0.5</x:v>
      </x:c>
      <x:c r="R3304" s="24" t="n">
        <x:f>IFERROR(F3304/H3304,0)</x:f>
        <x:v>0.3333333333333333</x:v>
      </x:c>
      <x:c r="S3304" s="24" t="n">
        <x:f>IFERROR(F3304/J3304,0)</x:f>
        <x:v>0.6666666666666666</x:v>
      </x:c>
      <x:c r="T3304" s="28" t="n">
        <x:f>H3304-I3304</x:f>
        <x:v>1</x:v>
      </x:c>
      <x:c r="U3304" s="24" t="n">
        <x:f>IFERROR(J3304/H3304,0)-IFERROR(K3304/I3304,0)</x:f>
        <x:v>0.13636363636363635</x:v>
      </x:c>
      <x:c r="V3304" s="24" t="n">
        <x:f>IFERROR(F3304/J3304,0)-IFERROR(G3304/K3304,0)</x:f>
        <x:v>-0.5833333333333334</x:v>
      </x:c>
      <x:c r="W3304" s="28" t="n">
        <x:f>L3304-M3304</x:f>
        <x:v>5</x:v>
      </x:c>
      <x:c r="X3304" s="24" t="n">
        <x:f>IFERROR(K3304/I3304,0)</x:f>
        <x:v>0.36363636363636365</x:v>
      </x:c>
      <x:c r="Y3304" s="24" t="n">
        <x:f>IFERROR(G3304/I3304,0)</x:f>
        <x:v>0.45454545454545453</x:v>
      </x:c>
      <x:c r="Z3304" s="24" t="n">
        <x:f>IFERROR(G3304/K3304,0)</x:f>
        <x:v>1.25</x:v>
      </x:c>
      <x:c r="AA3304" s="24" t="n">
        <x:f>IFERROR(F3304/H3304,0)-IFERROR(G3304/I3304,0)</x:f>
        <x:v>-0.12121212121212122</x:v>
      </x:c>
      <x:c r="AB3304" s="28" t="n">
        <x:f>J3304-K3304</x:f>
        <x:v>2</x:v>
      </x:c>
      <x:c r="AC3304" s="32" t="n">
        <x:f>F3304-G3304</x:f>
        <x:v>-1</x:v>
      </x:c>
    </x:row>
    <x:row r="3305">
      <x:c r="A3305" s="4" t="str">
        <x:v>2025-26</x:v>
      </x:c>
      <x:c r="B3305" s="20" t="n">
        <x:v>45993</x:v>
      </x:c>
      <x:c r="C3305" s="4" t="str">
        <x:v>Man City</x:v>
      </x:c>
      <x:c r="D3305" s="4" t="str">
        <x:v>Fulham</x:v>
      </x:c>
      <x:c r="E3305" s="4" t="str">
        <x:v>Away</x:v>
      </x:c>
      <x:c r="F3305" s="28" t="n">
        <x:v>5</x:v>
      </x:c>
      <x:c r="G3305" s="28" t="n">
        <x:v>4</x:v>
      </x:c>
      <x:c r="H3305" s="28" t="n">
        <x:v>11</x:v>
      </x:c>
      <x:c r="I3305" s="28" t="n">
        <x:v>12</x:v>
      </x:c>
      <x:c r="J3305" s="28" t="n">
        <x:v>4</x:v>
      </x:c>
      <x:c r="K3305" s="28" t="n">
        <x:v>6</x:v>
      </x:c>
      <x:c r="L3305" s="28" t="n">
        <x:v>2</x:v>
      </x:c>
      <x:c r="M3305" s="28" t="n">
        <x:v>7</x:v>
      </x:c>
      <x:c r="N3305" s="28" t="n">
        <x:v>1</x:v>
      </x:c>
      <x:c r="O3305" s="28" t="n">
        <x:v>0</x:v>
      </x:c>
      <x:c r="P3305" s="28" t="n">
        <x:v>3</x:v>
      </x:c>
      <x:c r="Q3305" s="24" t="n">
        <x:f>IFERROR(J3305/H3305,0)</x:f>
        <x:v>0.36363636363636365</x:v>
      </x:c>
      <x:c r="R3305" s="24" t="n">
        <x:f>IFERROR(F3305/H3305,0)</x:f>
        <x:v>0.45454545454545453</x:v>
      </x:c>
      <x:c r="S3305" s="24" t="n">
        <x:f>IFERROR(F3305/J3305,0)</x:f>
        <x:v>1.25</x:v>
      </x:c>
      <x:c r="T3305" s="28" t="n">
        <x:f>H3305-I3305</x:f>
        <x:v>-1</x:v>
      </x:c>
      <x:c r="U3305" s="24" t="n">
        <x:f>IFERROR(J3305/H3305,0)-IFERROR(K3305/I3305,0)</x:f>
        <x:v>-0.13636363636363635</x:v>
      </x:c>
      <x:c r="V3305" s="24" t="n">
        <x:f>IFERROR(F3305/J3305,0)-IFERROR(G3305/K3305,0)</x:f>
        <x:v>0.5833333333333334</x:v>
      </x:c>
      <x:c r="W3305" s="28" t="n">
        <x:f>L3305-M3305</x:f>
        <x:v>-5</x:v>
      </x:c>
      <x:c r="X3305" s="24" t="n">
        <x:f>IFERROR(K3305/I3305,0)</x:f>
        <x:v>0.5</x:v>
      </x:c>
      <x:c r="Y3305" s="24" t="n">
        <x:f>IFERROR(G3305/I3305,0)</x:f>
        <x:v>0.3333333333333333</x:v>
      </x:c>
      <x:c r="Z3305" s="24" t="n">
        <x:f>IFERROR(G3305/K3305,0)</x:f>
        <x:v>0.6666666666666666</x:v>
      </x:c>
      <x:c r="AA3305" s="24" t="n">
        <x:f>IFERROR(F3305/H3305,0)-IFERROR(G3305/I3305,0)</x:f>
        <x:v>0.12121212121212122</x:v>
      </x:c>
      <x:c r="AB3305" s="28" t="n">
        <x:f>J3305-K3305</x:f>
        <x:v>-2</x:v>
      </x:c>
      <x:c r="AC3305" s="32" t="n">
        <x:f>F3305-G3305</x:f>
        <x:v>1</x:v>
      </x:c>
    </x:row>
    <x:row r="3306">
      <x:c r="A3306" s="4" t="str">
        <x:v>2025-26</x:v>
      </x:c>
      <x:c r="B3306" s="20" t="n">
        <x:v>45993</x:v>
      </x:c>
      <x:c r="C3306" s="4" t="str">
        <x:v>Newcastle</x:v>
      </x:c>
      <x:c r="D3306" s="4" t="str">
        <x:v>Tottenham</x:v>
      </x:c>
      <x:c r="E3306" s="4" t="str">
        <x:v>Home</x:v>
      </x:c>
      <x:c r="F3306" s="28" t="n">
        <x:v>2</x:v>
      </x:c>
      <x:c r="G3306" s="28" t="n">
        <x:v>2</x:v>
      </x:c>
      <x:c r="H3306" s="28" t="n">
        <x:v>19</x:v>
      </x:c>
      <x:c r="I3306" s="28" t="n">
        <x:v>8</x:v>
      </x:c>
      <x:c r="J3306" s="28" t="n">
        <x:v>7</x:v>
      </x:c>
      <x:c r="K3306" s="28" t="n">
        <x:v>2</x:v>
      </x:c>
      <x:c r="L3306" s="28" t="n">
        <x:v>11</x:v>
      </x:c>
      <x:c r="M3306" s="28" t="n">
        <x:v>8</x:v>
      </x:c>
      <x:c r="N3306" s="28" t="n">
        <x:v>0</x:v>
      </x:c>
      <x:c r="O3306" s="28" t="n">
        <x:v>0</x:v>
      </x:c>
      <x:c r="P3306" s="28" t="n">
        <x:v>1</x:v>
      </x:c>
      <x:c r="Q3306" s="24" t="n">
        <x:f>IFERROR(J3306/H3306,0)</x:f>
        <x:v>0.3684210526315789</x:v>
      </x:c>
      <x:c r="R3306" s="24" t="n">
        <x:f>IFERROR(F3306/H3306,0)</x:f>
        <x:v>0.10526315789473684</x:v>
      </x:c>
      <x:c r="S3306" s="24" t="n">
        <x:f>IFERROR(F3306/J3306,0)</x:f>
        <x:v>0.2857142857142857</x:v>
      </x:c>
      <x:c r="T3306" s="28" t="n">
        <x:f>H3306-I3306</x:f>
        <x:v>11</x:v>
      </x:c>
      <x:c r="U3306" s="24" t="n">
        <x:f>IFERROR(J3306/H3306,0)-IFERROR(K3306/I3306,0)</x:f>
        <x:v>0.11842105263157893</x:v>
      </x:c>
      <x:c r="V3306" s="24" t="n">
        <x:f>IFERROR(F3306/J3306,0)-IFERROR(G3306/K3306,0)</x:f>
        <x:v>-0.7142857142857143</x:v>
      </x:c>
      <x:c r="W3306" s="28" t="n">
        <x:f>L3306-M3306</x:f>
        <x:v>3</x:v>
      </x:c>
      <x:c r="X3306" s="24" t="n">
        <x:f>IFERROR(K3306/I3306,0)</x:f>
        <x:v>0.25</x:v>
      </x:c>
      <x:c r="Y3306" s="24" t="n">
        <x:f>IFERROR(G3306/I3306,0)</x:f>
        <x:v>0.25</x:v>
      </x:c>
      <x:c r="Z3306" s="24" t="n">
        <x:f>IFERROR(G3306/K3306,0)</x:f>
        <x:v>1</x:v>
      </x:c>
      <x:c r="AA3306" s="24" t="n">
        <x:f>IFERROR(F3306/H3306,0)-IFERROR(G3306/I3306,0)</x:f>
        <x:v>-0.14473684210526316</x:v>
      </x:c>
      <x:c r="AB3306" s="28" t="n">
        <x:f>J3306-K3306</x:f>
        <x:v>5</x:v>
      </x:c>
      <x:c r="AC3306" s="32" t="n">
        <x:f>F3306-G3306</x:f>
        <x:v>0</x:v>
      </x:c>
    </x:row>
    <x:row r="3307">
      <x:c r="A3307" s="4" t="str">
        <x:v>2025-26</x:v>
      </x:c>
      <x:c r="B3307" s="20" t="n">
        <x:v>45993</x:v>
      </x:c>
      <x:c r="C3307" s="4" t="str">
        <x:v>Tottenham</x:v>
      </x:c>
      <x:c r="D3307" s="4" t="str">
        <x:v>Newcastle</x:v>
      </x:c>
      <x:c r="E3307" s="4" t="str">
        <x:v>Away</x:v>
      </x:c>
      <x:c r="F3307" s="28" t="n">
        <x:v>2</x:v>
      </x:c>
      <x:c r="G3307" s="28" t="n">
        <x:v>2</x:v>
      </x:c>
      <x:c r="H3307" s="28" t="n">
        <x:v>8</x:v>
      </x:c>
      <x:c r="I3307" s="28" t="n">
        <x:v>19</x:v>
      </x:c>
      <x:c r="J3307" s="28" t="n">
        <x:v>2</x:v>
      </x:c>
      <x:c r="K3307" s="28" t="n">
        <x:v>7</x:v>
      </x:c>
      <x:c r="L3307" s="28" t="n">
        <x:v>8</x:v>
      </x:c>
      <x:c r="M3307" s="28" t="n">
        <x:v>11</x:v>
      </x:c>
      <x:c r="N3307" s="28" t="n">
        <x:v>3</x:v>
      </x:c>
      <x:c r="O3307" s="28" t="n">
        <x:v>0</x:v>
      </x:c>
      <x:c r="P3307" s="28" t="n">
        <x:v>1</x:v>
      </x:c>
      <x:c r="Q3307" s="24" t="n">
        <x:f>IFERROR(J3307/H3307,0)</x:f>
        <x:v>0.25</x:v>
      </x:c>
      <x:c r="R3307" s="24" t="n">
        <x:f>IFERROR(F3307/H3307,0)</x:f>
        <x:v>0.25</x:v>
      </x:c>
      <x:c r="S3307" s="24" t="n">
        <x:f>IFERROR(F3307/J3307,0)</x:f>
        <x:v>1</x:v>
      </x:c>
      <x:c r="T3307" s="28" t="n">
        <x:f>H3307-I3307</x:f>
        <x:v>-11</x:v>
      </x:c>
      <x:c r="U3307" s="24" t="n">
        <x:f>IFERROR(J3307/H3307,0)-IFERROR(K3307/I3307,0)</x:f>
        <x:v>-0.11842105263157893</x:v>
      </x:c>
      <x:c r="V3307" s="24" t="n">
        <x:f>IFERROR(F3307/J3307,0)-IFERROR(G3307/K3307,0)</x:f>
        <x:v>0.7142857142857143</x:v>
      </x:c>
      <x:c r="W3307" s="28" t="n">
        <x:f>L3307-M3307</x:f>
        <x:v>-3</x:v>
      </x:c>
      <x:c r="X3307" s="24" t="n">
        <x:f>IFERROR(K3307/I3307,0)</x:f>
        <x:v>0.3684210526315789</x:v>
      </x:c>
      <x:c r="Y3307" s="24" t="n">
        <x:f>IFERROR(G3307/I3307,0)</x:f>
        <x:v>0.10526315789473684</x:v>
      </x:c>
      <x:c r="Z3307" s="24" t="n">
        <x:f>IFERROR(G3307/K3307,0)</x:f>
        <x:v>0.2857142857142857</x:v>
      </x:c>
      <x:c r="AA3307" s="24" t="n">
        <x:f>IFERROR(F3307/H3307,0)-IFERROR(G3307/I3307,0)</x:f>
        <x:v>0.14473684210526316</x:v>
      </x:c>
      <x:c r="AB3307" s="28" t="n">
        <x:f>J3307-K3307</x:f>
        <x:v>-5</x:v>
      </x:c>
      <x:c r="AC3307" s="32" t="n">
        <x:f>F3307-G3307</x:f>
        <x:v>0</x:v>
      </x:c>
    </x:row>
    <x:row r="3308">
      <x:c r="A3308" s="4" t="str">
        <x:v>2025-26</x:v>
      </x:c>
      <x:c r="B3308" s="20" t="n">
        <x:v>45994</x:v>
      </x:c>
      <x:c r="C3308" s="4" t="str">
        <x:v>Arsenal</x:v>
      </x:c>
      <x:c r="D3308" s="4" t="str">
        <x:v>Brentford</x:v>
      </x:c>
      <x:c r="E3308" s="4" t="str">
        <x:v>Home</x:v>
      </x:c>
      <x:c r="F3308" s="28" t="n">
        <x:v>2</x:v>
      </x:c>
      <x:c r="G3308" s="28" t="n">
        <x:v>0</x:v>
      </x:c>
      <x:c r="H3308" s="28" t="n">
        <x:v>15</x:v>
      </x:c>
      <x:c r="I3308" s="28" t="n">
        <x:v>6</x:v>
      </x:c>
      <x:c r="J3308" s="28" t="n">
        <x:v>7</x:v>
      </x:c>
      <x:c r="K3308" s="28" t="n">
        <x:v>1</x:v>
      </x:c>
      <x:c r="L3308" s="28" t="n">
        <x:v>4</x:v>
      </x:c>
      <x:c r="M3308" s="28" t="n">
        <x:v>8</x:v>
      </x:c>
      <x:c r="N3308" s="28" t="n">
        <x:v>0</x:v>
      </x:c>
      <x:c r="O3308" s="28" t="n">
        <x:v>0</x:v>
      </x:c>
      <x:c r="P3308" s="28" t="n">
        <x:v>3</x:v>
      </x:c>
      <x:c r="Q3308" s="24" t="n">
        <x:f>IFERROR(J3308/H3308,0)</x:f>
        <x:v>0.4666666666666667</x:v>
      </x:c>
      <x:c r="R3308" s="24" t="n">
        <x:f>IFERROR(F3308/H3308,0)</x:f>
        <x:v>0.13333333333333333</x:v>
      </x:c>
      <x:c r="S3308" s="24" t="n">
        <x:f>IFERROR(F3308/J3308,0)</x:f>
        <x:v>0.2857142857142857</x:v>
      </x:c>
      <x:c r="T3308" s="28" t="n">
        <x:f>H3308-I3308</x:f>
        <x:v>9</x:v>
      </x:c>
      <x:c r="U3308" s="24" t="n">
        <x:f>IFERROR(J3308/H3308,0)-IFERROR(K3308/I3308,0)</x:f>
        <x:v>0.30000000000000004</x:v>
      </x:c>
      <x:c r="V3308" s="24" t="n">
        <x:f>IFERROR(F3308/J3308,0)-IFERROR(G3308/K3308,0)</x:f>
        <x:v>0.2857142857142857</x:v>
      </x:c>
      <x:c r="W3308" s="28" t="n">
        <x:f>L3308-M3308</x:f>
        <x:v>-4</x:v>
      </x:c>
      <x:c r="X3308" s="24" t="n">
        <x:f>IFERROR(K3308/I3308,0)</x:f>
        <x:v>0.16666666666666666</x:v>
      </x:c>
      <x:c r="Y3308" s="24" t="n">
        <x:f>IFERROR(G3308/I3308,0)</x:f>
        <x:v>0</x:v>
      </x:c>
      <x:c r="Z3308" s="24" t="n">
        <x:f>IFERROR(G3308/K3308,0)</x:f>
        <x:v>0</x:v>
      </x:c>
      <x:c r="AA3308" s="24" t="n">
        <x:f>IFERROR(F3308/H3308,0)-IFERROR(G3308/I3308,0)</x:f>
        <x:v>0.13333333333333333</x:v>
      </x:c>
      <x:c r="AB3308" s="28" t="n">
        <x:f>J3308-K3308</x:f>
        <x:v>6</x:v>
      </x:c>
      <x:c r="AC3308" s="32" t="n">
        <x:f>F3308-G3308</x:f>
        <x:v>2</x:v>
      </x:c>
    </x:row>
    <x:row r="3309">
      <x:c r="A3309" s="4" t="str">
        <x:v>2025-26</x:v>
      </x:c>
      <x:c r="B3309" s="20" t="n">
        <x:v>45994</x:v>
      </x:c>
      <x:c r="C3309" s="4" t="str">
        <x:v>Aston Villa</x:v>
      </x:c>
      <x:c r="D3309" s="4" t="str">
        <x:v>Brighton</x:v>
      </x:c>
      <x:c r="E3309" s="4" t="str">
        <x:v>Away</x:v>
      </x:c>
      <x:c r="F3309" s="28" t="n">
        <x:v>4</x:v>
      </x:c>
      <x:c r="G3309" s="28" t="n">
        <x:v>3</x:v>
      </x:c>
      <x:c r="H3309" s="28" t="n">
        <x:v>14</x:v>
      </x:c>
      <x:c r="I3309" s="28" t="n">
        <x:v>16</x:v>
      </x:c>
      <x:c r="J3309" s="28" t="n">
        <x:v>10</x:v>
      </x:c>
      <x:c r="K3309" s="28" t="n">
        <x:v>7</x:v>
      </x:c>
      <x:c r="L3309" s="28" t="n">
        <x:v>6</x:v>
      </x:c>
      <x:c r="M3309" s="28" t="n">
        <x:v>5</x:v>
      </x:c>
      <x:c r="N3309" s="28" t="n">
        <x:v>2</x:v>
      </x:c>
      <x:c r="O3309" s="28" t="n">
        <x:v>0</x:v>
      </x:c>
      <x:c r="P3309" s="28" t="n">
        <x:v>3</x:v>
      </x:c>
      <x:c r="Q3309" s="24" t="n">
        <x:f>IFERROR(J3309/H3309,0)</x:f>
        <x:v>0.7142857142857143</x:v>
      </x:c>
      <x:c r="R3309" s="24" t="n">
        <x:f>IFERROR(F3309/H3309,0)</x:f>
        <x:v>0.2857142857142857</x:v>
      </x:c>
      <x:c r="S3309" s="24" t="n">
        <x:f>IFERROR(F3309/J3309,0)</x:f>
        <x:v>0.4</x:v>
      </x:c>
      <x:c r="T3309" s="28" t="n">
        <x:f>H3309-I3309</x:f>
        <x:v>-2</x:v>
      </x:c>
      <x:c r="U3309" s="24" t="n">
        <x:f>IFERROR(J3309/H3309,0)-IFERROR(K3309/I3309,0)</x:f>
        <x:v>0.2767857142857143</x:v>
      </x:c>
      <x:c r="V3309" s="24" t="n">
        <x:f>IFERROR(F3309/J3309,0)-IFERROR(G3309/K3309,0)</x:f>
        <x:v>-0.028571428571428525</x:v>
      </x:c>
      <x:c r="W3309" s="28" t="n">
        <x:f>L3309-M3309</x:f>
        <x:v>1</x:v>
      </x:c>
      <x:c r="X3309" s="24" t="n">
        <x:f>IFERROR(K3309/I3309,0)</x:f>
        <x:v>0.4375</x:v>
      </x:c>
      <x:c r="Y3309" s="24" t="n">
        <x:f>IFERROR(G3309/I3309,0)</x:f>
        <x:v>0.1875</x:v>
      </x:c>
      <x:c r="Z3309" s="24" t="n">
        <x:f>IFERROR(G3309/K3309,0)</x:f>
        <x:v>0.42857142857142855</x:v>
      </x:c>
      <x:c r="AA3309" s="24" t="n">
        <x:f>IFERROR(F3309/H3309,0)-IFERROR(G3309/I3309,0)</x:f>
        <x:v>0.0982142857142857</x:v>
      </x:c>
      <x:c r="AB3309" s="28" t="n">
        <x:f>J3309-K3309</x:f>
        <x:v>3</x:v>
      </x:c>
      <x:c r="AC3309" s="32" t="n">
        <x:f>F3309-G3309</x:f>
        <x:v>1</x:v>
      </x:c>
    </x:row>
    <x:row r="3310">
      <x:c r="A3310" s="4" t="str">
        <x:v>2025-26</x:v>
      </x:c>
      <x:c r="B3310" s="20" t="n">
        <x:v>45994</x:v>
      </x:c>
      <x:c r="C3310" s="4" t="str">
        <x:v>Brentford</x:v>
      </x:c>
      <x:c r="D3310" s="4" t="str">
        <x:v>Arsenal</x:v>
      </x:c>
      <x:c r="E3310" s="4" t="str">
        <x:v>Away</x:v>
      </x:c>
      <x:c r="F3310" s="28" t="n">
        <x:v>0</x:v>
      </x:c>
      <x:c r="G3310" s="28" t="n">
        <x:v>2</x:v>
      </x:c>
      <x:c r="H3310" s="28" t="n">
        <x:v>6</x:v>
      </x:c>
      <x:c r="I3310" s="28" t="n">
        <x:v>15</x:v>
      </x:c>
      <x:c r="J3310" s="28" t="n">
        <x:v>1</x:v>
      </x:c>
      <x:c r="K3310" s="28" t="n">
        <x:v>7</x:v>
      </x:c>
      <x:c r="L3310" s="28" t="n">
        <x:v>8</x:v>
      </x:c>
      <x:c r="M3310" s="28" t="n">
        <x:v>4</x:v>
      </x:c>
      <x:c r="N3310" s="28" t="n">
        <x:v>1</x:v>
      </x:c>
      <x:c r="O3310" s="28" t="n">
        <x:v>0</x:v>
      </x:c>
      <x:c r="P3310" s="28" t="n">
        <x:v>0</x:v>
      </x:c>
      <x:c r="Q3310" s="24" t="n">
        <x:f>IFERROR(J3310/H3310,0)</x:f>
        <x:v>0.16666666666666666</x:v>
      </x:c>
      <x:c r="R3310" s="24" t="n">
        <x:f>IFERROR(F3310/H3310,0)</x:f>
        <x:v>0</x:v>
      </x:c>
      <x:c r="S3310" s="24" t="n">
        <x:f>IFERROR(F3310/J3310,0)</x:f>
        <x:v>0</x:v>
      </x:c>
      <x:c r="T3310" s="28" t="n">
        <x:f>H3310-I3310</x:f>
        <x:v>-9</x:v>
      </x:c>
      <x:c r="U3310" s="24" t="n">
        <x:f>IFERROR(J3310/H3310,0)-IFERROR(K3310/I3310,0)</x:f>
        <x:v>-0.30000000000000004</x:v>
      </x:c>
      <x:c r="V3310" s="24" t="n">
        <x:f>IFERROR(F3310/J3310,0)-IFERROR(G3310/K3310,0)</x:f>
        <x:v>-0.2857142857142857</x:v>
      </x:c>
      <x:c r="W3310" s="28" t="n">
        <x:f>L3310-M3310</x:f>
        <x:v>4</x:v>
      </x:c>
      <x:c r="X3310" s="24" t="n">
        <x:f>IFERROR(K3310/I3310,0)</x:f>
        <x:v>0.4666666666666667</x:v>
      </x:c>
      <x:c r="Y3310" s="24" t="n">
        <x:f>IFERROR(G3310/I3310,0)</x:f>
        <x:v>0.13333333333333333</x:v>
      </x:c>
      <x:c r="Z3310" s="24" t="n">
        <x:f>IFERROR(G3310/K3310,0)</x:f>
        <x:v>0.2857142857142857</x:v>
      </x:c>
      <x:c r="AA3310" s="24" t="n">
        <x:f>IFERROR(F3310/H3310,0)-IFERROR(G3310/I3310,0)</x:f>
        <x:v>-0.13333333333333333</x:v>
      </x:c>
      <x:c r="AB3310" s="28" t="n">
        <x:f>J3310-K3310</x:f>
        <x:v>-6</x:v>
      </x:c>
      <x:c r="AC3310" s="32" t="n">
        <x:f>F3310-G3310</x:f>
        <x:v>-2</x:v>
      </x:c>
    </x:row>
    <x:row r="3311">
      <x:c r="A3311" s="4" t="str">
        <x:v>2025-26</x:v>
      </x:c>
      <x:c r="B3311" s="20" t="n">
        <x:v>45994</x:v>
      </x:c>
      <x:c r="C3311" s="4" t="str">
        <x:v>Brighton</x:v>
      </x:c>
      <x:c r="D3311" s="4" t="str">
        <x:v>Aston Villa</x:v>
      </x:c>
      <x:c r="E3311" s="4" t="str">
        <x:v>Home</x:v>
      </x:c>
      <x:c r="F3311" s="28" t="n">
        <x:v>3</x:v>
      </x:c>
      <x:c r="G3311" s="28" t="n">
        <x:v>4</x:v>
      </x:c>
      <x:c r="H3311" s="28" t="n">
        <x:v>16</x:v>
      </x:c>
      <x:c r="I3311" s="28" t="n">
        <x:v>14</x:v>
      </x:c>
      <x:c r="J3311" s="28" t="n">
        <x:v>7</x:v>
      </x:c>
      <x:c r="K3311" s="28" t="n">
        <x:v>10</x:v>
      </x:c>
      <x:c r="L3311" s="28" t="n">
        <x:v>5</x:v>
      </x:c>
      <x:c r="M3311" s="28" t="n">
        <x:v>6</x:v>
      </x:c>
      <x:c r="N3311" s="28" t="n">
        <x:v>2</x:v>
      </x:c>
      <x:c r="O3311" s="28" t="n">
        <x:v>0</x:v>
      </x:c>
      <x:c r="P3311" s="28" t="n">
        <x:v>0</x:v>
      </x:c>
      <x:c r="Q3311" s="24" t="n">
        <x:f>IFERROR(J3311/H3311,0)</x:f>
        <x:v>0.4375</x:v>
      </x:c>
      <x:c r="R3311" s="24" t="n">
        <x:f>IFERROR(F3311/H3311,0)</x:f>
        <x:v>0.1875</x:v>
      </x:c>
      <x:c r="S3311" s="24" t="n">
        <x:f>IFERROR(F3311/J3311,0)</x:f>
        <x:v>0.42857142857142855</x:v>
      </x:c>
      <x:c r="T3311" s="28" t="n">
        <x:f>H3311-I3311</x:f>
        <x:v>2</x:v>
      </x:c>
      <x:c r="U3311" s="24" t="n">
        <x:f>IFERROR(J3311/H3311,0)-IFERROR(K3311/I3311,0)</x:f>
        <x:v>-0.2767857142857143</x:v>
      </x:c>
      <x:c r="V3311" s="24" t="n">
        <x:f>IFERROR(F3311/J3311,0)-IFERROR(G3311/K3311,0)</x:f>
        <x:v>0.028571428571428525</x:v>
      </x:c>
      <x:c r="W3311" s="28" t="n">
        <x:f>L3311-M3311</x:f>
        <x:v>-1</x:v>
      </x:c>
      <x:c r="X3311" s="24" t="n">
        <x:f>IFERROR(K3311/I3311,0)</x:f>
        <x:v>0.7142857142857143</x:v>
      </x:c>
      <x:c r="Y3311" s="24" t="n">
        <x:f>IFERROR(G3311/I3311,0)</x:f>
        <x:v>0.2857142857142857</x:v>
      </x:c>
      <x:c r="Z3311" s="24" t="n">
        <x:f>IFERROR(G3311/K3311,0)</x:f>
        <x:v>0.4</x:v>
      </x:c>
      <x:c r="AA3311" s="24" t="n">
        <x:f>IFERROR(F3311/H3311,0)-IFERROR(G3311/I3311,0)</x:f>
        <x:v>-0.0982142857142857</x:v>
      </x:c>
      <x:c r="AB3311" s="28" t="n">
        <x:f>J3311-K3311</x:f>
        <x:v>-3</x:v>
      </x:c>
      <x:c r="AC3311" s="32" t="n">
        <x:f>F3311-G3311</x:f>
        <x:v>-1</x:v>
      </x:c>
    </x:row>
    <x:row r="3312">
      <x:c r="A3312" s="4" t="str">
        <x:v>2025-26</x:v>
      </x:c>
      <x:c r="B3312" s="20" t="n">
        <x:v>45994</x:v>
      </x:c>
      <x:c r="C3312" s="4" t="str">
        <x:v>Burnley</x:v>
      </x:c>
      <x:c r="D3312" s="4" t="str">
        <x:v>Crystal Palace</x:v>
      </x:c>
      <x:c r="E3312" s="4" t="str">
        <x:v>Home</x:v>
      </x:c>
      <x:c r="F3312" s="28" t="n">
        <x:v>0</x:v>
      </x:c>
      <x:c r="G3312" s="28" t="n">
        <x:v>1</x:v>
      </x:c>
      <x:c r="H3312" s="28" t="n">
        <x:v>11</x:v>
      </x:c>
      <x:c r="I3312" s="28" t="n">
        <x:v>3</x:v>
      </x:c>
      <x:c r="J3312" s="28" t="n">
        <x:v>4</x:v>
      </x:c>
      <x:c r="K3312" s="28" t="n">
        <x:v>3</x:v>
      </x:c>
      <x:c r="L3312" s="28" t="n">
        <x:v>3</x:v>
      </x:c>
      <x:c r="M3312" s="28" t="n">
        <x:v>4</x:v>
      </x:c>
      <x:c r="N3312" s="28" t="n">
        <x:v>0</x:v>
      </x:c>
      <x:c r="O3312" s="28" t="n">
        <x:v>0</x:v>
      </x:c>
      <x:c r="P3312" s="28" t="n">
        <x:v>0</x:v>
      </x:c>
      <x:c r="Q3312" s="24" t="n">
        <x:f>IFERROR(J3312/H3312,0)</x:f>
        <x:v>0.36363636363636365</x:v>
      </x:c>
      <x:c r="R3312" s="24" t="n">
        <x:f>IFERROR(F3312/H3312,0)</x:f>
        <x:v>0</x:v>
      </x:c>
      <x:c r="S3312" s="24" t="n">
        <x:f>IFERROR(F3312/J3312,0)</x:f>
        <x:v>0</x:v>
      </x:c>
      <x:c r="T3312" s="28" t="n">
        <x:f>H3312-I3312</x:f>
        <x:v>8</x:v>
      </x:c>
      <x:c r="U3312" s="24" t="n">
        <x:f>IFERROR(J3312/H3312,0)-IFERROR(K3312/I3312,0)</x:f>
        <x:v>-0.6363636363636364</x:v>
      </x:c>
      <x:c r="V3312" s="24" t="n">
        <x:f>IFERROR(F3312/J3312,0)-IFERROR(G3312/K3312,0)</x:f>
        <x:v>-0.3333333333333333</x:v>
      </x:c>
      <x:c r="W3312" s="28" t="n">
        <x:f>L3312-M3312</x:f>
        <x:v>-1</x:v>
      </x:c>
      <x:c r="X3312" s="24" t="n">
        <x:f>IFERROR(K3312/I3312,0)</x:f>
        <x:v>1</x:v>
      </x:c>
      <x:c r="Y3312" s="24" t="n">
        <x:f>IFERROR(G3312/I3312,0)</x:f>
        <x:v>0.3333333333333333</x:v>
      </x:c>
      <x:c r="Z3312" s="24" t="n">
        <x:f>IFERROR(G3312/K3312,0)</x:f>
        <x:v>0.3333333333333333</x:v>
      </x:c>
      <x:c r="AA3312" s="24" t="n">
        <x:f>IFERROR(F3312/H3312,0)-IFERROR(G3312/I3312,0)</x:f>
        <x:v>-0.3333333333333333</x:v>
      </x:c>
      <x:c r="AB3312" s="28" t="n">
        <x:f>J3312-K3312</x:f>
        <x:v>1</x:v>
      </x:c>
      <x:c r="AC3312" s="32" t="n">
        <x:f>F3312-G3312</x:f>
        <x:v>-1</x:v>
      </x:c>
    </x:row>
    <x:row r="3313">
      <x:c r="A3313" s="4" t="str">
        <x:v>2025-26</x:v>
      </x:c>
      <x:c r="B3313" s="20" t="n">
        <x:v>45994</x:v>
      </x:c>
      <x:c r="C3313" s="4" t="str">
        <x:v>Chelsea</x:v>
      </x:c>
      <x:c r="D3313" s="4" t="str">
        <x:v>Leeds</x:v>
      </x:c>
      <x:c r="E3313" s="4" t="str">
        <x:v>Away</x:v>
      </x:c>
      <x:c r="F3313" s="28" t="n">
        <x:v>1</x:v>
      </x:c>
      <x:c r="G3313" s="28" t="n">
        <x:v>3</x:v>
      </x:c>
      <x:c r="H3313" s="28" t="n">
        <x:v>14</x:v>
      </x:c>
      <x:c r="I3313" s="28" t="n">
        <x:v>17</x:v>
      </x:c>
      <x:c r="J3313" s="28" t="n">
        <x:v>2</x:v>
      </x:c>
      <x:c r="K3313" s="28" t="n">
        <x:v>5</x:v>
      </x:c>
      <x:c r="L3313" s="28" t="n">
        <x:v>2</x:v>
      </x:c>
      <x:c r="M3313" s="28" t="n">
        <x:v>4</x:v>
      </x:c>
      <x:c r="N3313" s="28" t="n">
        <x:v>1</x:v>
      </x:c>
      <x:c r="O3313" s="28" t="n">
        <x:v>0</x:v>
      </x:c>
      <x:c r="P3313" s="28" t="n">
        <x:v>0</x:v>
      </x:c>
      <x:c r="Q3313" s="24" t="n">
        <x:f>IFERROR(J3313/H3313,0)</x:f>
        <x:v>0.14285714285714285</x:v>
      </x:c>
      <x:c r="R3313" s="24" t="n">
        <x:f>IFERROR(F3313/H3313,0)</x:f>
        <x:v>0.07142857142857142</x:v>
      </x:c>
      <x:c r="S3313" s="24" t="n">
        <x:f>IFERROR(F3313/J3313,0)</x:f>
        <x:v>0.5</x:v>
      </x:c>
      <x:c r="T3313" s="28" t="n">
        <x:f>H3313-I3313</x:f>
        <x:v>-3</x:v>
      </x:c>
      <x:c r="U3313" s="24" t="n">
        <x:f>IFERROR(J3313/H3313,0)-IFERROR(K3313/I3313,0)</x:f>
        <x:v>-0.1512605042016807</x:v>
      </x:c>
      <x:c r="V3313" s="24" t="n">
        <x:f>IFERROR(F3313/J3313,0)-IFERROR(G3313/K3313,0)</x:f>
        <x:v>-0.09999999999999998</x:v>
      </x:c>
      <x:c r="W3313" s="28" t="n">
        <x:f>L3313-M3313</x:f>
        <x:v>-2</x:v>
      </x:c>
      <x:c r="X3313" s="24" t="n">
        <x:f>IFERROR(K3313/I3313,0)</x:f>
        <x:v>0.29411764705882354</x:v>
      </x:c>
      <x:c r="Y3313" s="24" t="n">
        <x:f>IFERROR(G3313/I3313,0)</x:f>
        <x:v>0.17647058823529413</x:v>
      </x:c>
      <x:c r="Z3313" s="24" t="n">
        <x:f>IFERROR(G3313/K3313,0)</x:f>
        <x:v>0.6</x:v>
      </x:c>
      <x:c r="AA3313" s="24" t="n">
        <x:f>IFERROR(F3313/H3313,0)-IFERROR(G3313/I3313,0)</x:f>
        <x:v>-0.1050420168067227</x:v>
      </x:c>
      <x:c r="AB3313" s="28" t="n">
        <x:f>J3313-K3313</x:f>
        <x:v>-3</x:v>
      </x:c>
      <x:c r="AC3313" s="32" t="n">
        <x:f>F3313-G3313</x:f>
        <x:v>-2</x:v>
      </x:c>
    </x:row>
    <x:row r="3314">
      <x:c r="A3314" s="4" t="str">
        <x:v>2025-26</x:v>
      </x:c>
      <x:c r="B3314" s="20" t="n">
        <x:v>45994</x:v>
      </x:c>
      <x:c r="C3314" s="4" t="str">
        <x:v>Crystal Palace</x:v>
      </x:c>
      <x:c r="D3314" s="4" t="str">
        <x:v>Burnley</x:v>
      </x:c>
      <x:c r="E3314" s="4" t="str">
        <x:v>Away</x:v>
      </x:c>
      <x:c r="F3314" s="28" t="n">
        <x:v>1</x:v>
      </x:c>
      <x:c r="G3314" s="28" t="n">
        <x:v>0</x:v>
      </x:c>
      <x:c r="H3314" s="28" t="n">
        <x:v>3</x:v>
      </x:c>
      <x:c r="I3314" s="28" t="n">
        <x:v>11</x:v>
      </x:c>
      <x:c r="J3314" s="28" t="n">
        <x:v>3</x:v>
      </x:c>
      <x:c r="K3314" s="28" t="n">
        <x:v>4</x:v>
      </x:c>
      <x:c r="L3314" s="28" t="n">
        <x:v>4</x:v>
      </x:c>
      <x:c r="M3314" s="28" t="n">
        <x:v>3</x:v>
      </x:c>
      <x:c r="N3314" s="28" t="n">
        <x:v>0</x:v>
      </x:c>
      <x:c r="O3314" s="28" t="n">
        <x:v>0</x:v>
      </x:c>
      <x:c r="P3314" s="28" t="n">
        <x:v>3</x:v>
      </x:c>
      <x:c r="Q3314" s="24" t="n">
        <x:f>IFERROR(J3314/H3314,0)</x:f>
        <x:v>1</x:v>
      </x:c>
      <x:c r="R3314" s="24" t="n">
        <x:f>IFERROR(F3314/H3314,0)</x:f>
        <x:v>0.3333333333333333</x:v>
      </x:c>
      <x:c r="S3314" s="24" t="n">
        <x:f>IFERROR(F3314/J3314,0)</x:f>
        <x:v>0.3333333333333333</x:v>
      </x:c>
      <x:c r="T3314" s="28" t="n">
        <x:f>H3314-I3314</x:f>
        <x:v>-8</x:v>
      </x:c>
      <x:c r="U3314" s="24" t="n">
        <x:f>IFERROR(J3314/H3314,0)-IFERROR(K3314/I3314,0)</x:f>
        <x:v>0.6363636363636364</x:v>
      </x:c>
      <x:c r="V3314" s="24" t="n">
        <x:f>IFERROR(F3314/J3314,0)-IFERROR(G3314/K3314,0)</x:f>
        <x:v>0.3333333333333333</x:v>
      </x:c>
      <x:c r="W3314" s="28" t="n">
        <x:f>L3314-M3314</x:f>
        <x:v>1</x:v>
      </x:c>
      <x:c r="X3314" s="24" t="n">
        <x:f>IFERROR(K3314/I3314,0)</x:f>
        <x:v>0.36363636363636365</x:v>
      </x:c>
      <x:c r="Y3314" s="24" t="n">
        <x:f>IFERROR(G3314/I3314,0)</x:f>
        <x:v>0</x:v>
      </x:c>
      <x:c r="Z3314" s="24" t="n">
        <x:f>IFERROR(G3314/K3314,0)</x:f>
        <x:v>0</x:v>
      </x:c>
      <x:c r="AA3314" s="24" t="n">
        <x:f>IFERROR(F3314/H3314,0)-IFERROR(G3314/I3314,0)</x:f>
        <x:v>0.3333333333333333</x:v>
      </x:c>
      <x:c r="AB3314" s="28" t="n">
        <x:f>J3314-K3314</x:f>
        <x:v>-1</x:v>
      </x:c>
      <x:c r="AC3314" s="32" t="n">
        <x:f>F3314-G3314</x:f>
        <x:v>1</x:v>
      </x:c>
    </x:row>
    <x:row r="3315">
      <x:c r="A3315" s="4" t="str">
        <x:v>2025-26</x:v>
      </x:c>
      <x:c r="B3315" s="20" t="n">
        <x:v>45994</x:v>
      </x:c>
      <x:c r="C3315" s="4" t="str">
        <x:v>Leeds</x:v>
      </x:c>
      <x:c r="D3315" s="4" t="str">
        <x:v>Chelsea</x:v>
      </x:c>
      <x:c r="E3315" s="4" t="str">
        <x:v>Home</x:v>
      </x:c>
      <x:c r="F3315" s="28" t="n">
        <x:v>3</x:v>
      </x:c>
      <x:c r="G3315" s="28" t="n">
        <x:v>1</x:v>
      </x:c>
      <x:c r="H3315" s="28" t="n">
        <x:v>17</x:v>
      </x:c>
      <x:c r="I3315" s="28" t="n">
        <x:v>14</x:v>
      </x:c>
      <x:c r="J3315" s="28" t="n">
        <x:v>5</x:v>
      </x:c>
      <x:c r="K3315" s="28" t="n">
        <x:v>2</x:v>
      </x:c>
      <x:c r="L3315" s="28" t="n">
        <x:v>4</x:v>
      </x:c>
      <x:c r="M3315" s="28" t="n">
        <x:v>2</x:v>
      </x:c>
      <x:c r="N3315" s="28" t="n">
        <x:v>1</x:v>
      </x:c>
      <x:c r="O3315" s="28" t="n">
        <x:v>0</x:v>
      </x:c>
      <x:c r="P3315" s="28" t="n">
        <x:v>3</x:v>
      </x:c>
      <x:c r="Q3315" s="24" t="n">
        <x:f>IFERROR(J3315/H3315,0)</x:f>
        <x:v>0.29411764705882354</x:v>
      </x:c>
      <x:c r="R3315" s="24" t="n">
        <x:f>IFERROR(F3315/H3315,0)</x:f>
        <x:v>0.17647058823529413</x:v>
      </x:c>
      <x:c r="S3315" s="24" t="n">
        <x:f>IFERROR(F3315/J3315,0)</x:f>
        <x:v>0.6</x:v>
      </x:c>
      <x:c r="T3315" s="28" t="n">
        <x:f>H3315-I3315</x:f>
        <x:v>3</x:v>
      </x:c>
      <x:c r="U3315" s="24" t="n">
        <x:f>IFERROR(J3315/H3315,0)-IFERROR(K3315/I3315,0)</x:f>
        <x:v>0.1512605042016807</x:v>
      </x:c>
      <x:c r="V3315" s="24" t="n">
        <x:f>IFERROR(F3315/J3315,0)-IFERROR(G3315/K3315,0)</x:f>
        <x:v>0.09999999999999998</x:v>
      </x:c>
      <x:c r="W3315" s="28" t="n">
        <x:f>L3315-M3315</x:f>
        <x:v>2</x:v>
      </x:c>
      <x:c r="X3315" s="24" t="n">
        <x:f>IFERROR(K3315/I3315,0)</x:f>
        <x:v>0.14285714285714285</x:v>
      </x:c>
      <x:c r="Y3315" s="24" t="n">
        <x:f>IFERROR(G3315/I3315,0)</x:f>
        <x:v>0.07142857142857142</x:v>
      </x:c>
      <x:c r="Z3315" s="24" t="n">
        <x:f>IFERROR(G3315/K3315,0)</x:f>
        <x:v>0.5</x:v>
      </x:c>
      <x:c r="AA3315" s="24" t="n">
        <x:f>IFERROR(F3315/H3315,0)-IFERROR(G3315/I3315,0)</x:f>
        <x:v>0.1050420168067227</x:v>
      </x:c>
      <x:c r="AB3315" s="28" t="n">
        <x:f>J3315-K3315</x:f>
        <x:v>3</x:v>
      </x:c>
      <x:c r="AC3315" s="32" t="n">
        <x:f>F3315-G3315</x:f>
        <x:v>2</x:v>
      </x:c>
    </x:row>
    <x:row r="3316">
      <x:c r="A3316" s="4" t="str">
        <x:v>2025-26</x:v>
      </x:c>
      <x:c r="B3316" s="20" t="n">
        <x:v>45994</x:v>
      </x:c>
      <x:c r="C3316" s="4" t="str">
        <x:v>Liverpool</x:v>
      </x:c>
      <x:c r="D3316" s="4" t="str">
        <x:v>Sunderland</x:v>
      </x:c>
      <x:c r="E3316" s="4" t="str">
        <x:v>Home</x:v>
      </x:c>
      <x:c r="F3316" s="28" t="n">
        <x:v>1</x:v>
      </x:c>
      <x:c r="G3316" s="28" t="n">
        <x:v>1</x:v>
      </x:c>
      <x:c r="H3316" s="28" t="n">
        <x:v>23</x:v>
      </x:c>
      <x:c r="I3316" s="28" t="n">
        <x:v>9</x:v>
      </x:c>
      <x:c r="J3316" s="28" t="n">
        <x:v>4</x:v>
      </x:c>
      <x:c r="K3316" s="28" t="n">
        <x:v>6</x:v>
      </x:c>
      <x:c r="L3316" s="28" t="n">
        <x:v>7</x:v>
      </x:c>
      <x:c r="M3316" s="28" t="n">
        <x:v>3</x:v>
      </x:c>
      <x:c r="N3316" s="28" t="n">
        <x:v>1</x:v>
      </x:c>
      <x:c r="O3316" s="28" t="n">
        <x:v>0</x:v>
      </x:c>
      <x:c r="P3316" s="28" t="n">
        <x:v>1</x:v>
      </x:c>
      <x:c r="Q3316" s="24" t="n">
        <x:f>IFERROR(J3316/H3316,0)</x:f>
        <x:v>0.17391304347826086</x:v>
      </x:c>
      <x:c r="R3316" s="24" t="n">
        <x:f>IFERROR(F3316/H3316,0)</x:f>
        <x:v>0.043478260869565216</x:v>
      </x:c>
      <x:c r="S3316" s="24" t="n">
        <x:f>IFERROR(F3316/J3316,0)</x:f>
        <x:v>0.25</x:v>
      </x:c>
      <x:c r="T3316" s="28" t="n">
        <x:f>H3316-I3316</x:f>
        <x:v>14</x:v>
      </x:c>
      <x:c r="U3316" s="24" t="n">
        <x:f>IFERROR(J3316/H3316,0)-IFERROR(K3316/I3316,0)</x:f>
        <x:v>-0.49275362318840576</x:v>
      </x:c>
      <x:c r="V3316" s="24" t="n">
        <x:f>IFERROR(F3316/J3316,0)-IFERROR(G3316/K3316,0)</x:f>
        <x:v>0.08333333333333334</x:v>
      </x:c>
      <x:c r="W3316" s="28" t="n">
        <x:f>L3316-M3316</x:f>
        <x:v>4</x:v>
      </x:c>
      <x:c r="X3316" s="24" t="n">
        <x:f>IFERROR(K3316/I3316,0)</x:f>
        <x:v>0.6666666666666666</x:v>
      </x:c>
      <x:c r="Y3316" s="24" t="n">
        <x:f>IFERROR(G3316/I3316,0)</x:f>
        <x:v>0.1111111111111111</x:v>
      </x:c>
      <x:c r="Z3316" s="24" t="n">
        <x:f>IFERROR(G3316/K3316,0)</x:f>
        <x:v>0.16666666666666666</x:v>
      </x:c>
      <x:c r="AA3316" s="24" t="n">
        <x:f>IFERROR(F3316/H3316,0)-IFERROR(G3316/I3316,0)</x:f>
        <x:v>-0.06763285024154589</x:v>
      </x:c>
      <x:c r="AB3316" s="28" t="n">
        <x:f>J3316-K3316</x:f>
        <x:v>-2</x:v>
      </x:c>
      <x:c r="AC3316" s="32" t="n">
        <x:f>F3316-G3316</x:f>
        <x:v>0</x:v>
      </x:c>
    </x:row>
    <x:row r="3317">
      <x:c r="A3317" s="4" t="str">
        <x:v>2025-26</x:v>
      </x:c>
      <x:c r="B3317" s="20" t="n">
        <x:v>45994</x:v>
      </x:c>
      <x:c r="C3317" s="4" t="str">
        <x:v>Nott'm Forest</x:v>
      </x:c>
      <x:c r="D3317" s="4" t="str">
        <x:v>Wolves</x:v>
      </x:c>
      <x:c r="E3317" s="4" t="str">
        <x:v>Away</x:v>
      </x:c>
      <x:c r="F3317" s="28" t="n">
        <x:v>1</x:v>
      </x:c>
      <x:c r="G3317" s="28" t="n">
        <x:v>0</x:v>
      </x:c>
      <x:c r="H3317" s="28" t="n">
        <x:v>10</x:v>
      </x:c>
      <x:c r="I3317" s="28" t="n">
        <x:v>5</x:v>
      </x:c>
      <x:c r="J3317" s="28" t="n">
        <x:v>3</x:v>
      </x:c>
      <x:c r="K3317" s="28" t="n">
        <x:v>1</x:v>
      </x:c>
      <x:c r="L3317" s="28" t="n">
        <x:v>9</x:v>
      </x:c>
      <x:c r="M3317" s="28" t="n">
        <x:v>3</x:v>
      </x:c>
      <x:c r="N3317" s="28" t="n">
        <x:v>2</x:v>
      </x:c>
      <x:c r="O3317" s="28" t="n">
        <x:v>0</x:v>
      </x:c>
      <x:c r="P3317" s="28" t="n">
        <x:v>3</x:v>
      </x:c>
      <x:c r="Q3317" s="24" t="n">
        <x:f>IFERROR(J3317/H3317,0)</x:f>
        <x:v>0.3</x:v>
      </x:c>
      <x:c r="R3317" s="24" t="n">
        <x:f>IFERROR(F3317/H3317,0)</x:f>
        <x:v>0.1</x:v>
      </x:c>
      <x:c r="S3317" s="24" t="n">
        <x:f>IFERROR(F3317/J3317,0)</x:f>
        <x:v>0.3333333333333333</x:v>
      </x:c>
      <x:c r="T3317" s="28" t="n">
        <x:f>H3317-I3317</x:f>
        <x:v>5</x:v>
      </x:c>
      <x:c r="U3317" s="24" t="n">
        <x:f>IFERROR(J3317/H3317,0)-IFERROR(K3317/I3317,0)</x:f>
        <x:v>0.09999999999999998</x:v>
      </x:c>
      <x:c r="V3317" s="24" t="n">
        <x:f>IFERROR(F3317/J3317,0)-IFERROR(G3317/K3317,0)</x:f>
        <x:v>0.3333333333333333</x:v>
      </x:c>
      <x:c r="W3317" s="28" t="n">
        <x:f>L3317-M3317</x:f>
        <x:v>6</x:v>
      </x:c>
      <x:c r="X3317" s="24" t="n">
        <x:f>IFERROR(K3317/I3317,0)</x:f>
        <x:v>0.2</x:v>
      </x:c>
      <x:c r="Y3317" s="24" t="n">
        <x:f>IFERROR(G3317/I3317,0)</x:f>
        <x:v>0</x:v>
      </x:c>
      <x:c r="Z3317" s="24" t="n">
        <x:f>IFERROR(G3317/K3317,0)</x:f>
        <x:v>0</x:v>
      </x:c>
      <x:c r="AA3317" s="24" t="n">
        <x:f>IFERROR(F3317/H3317,0)-IFERROR(G3317/I3317,0)</x:f>
        <x:v>0.1</x:v>
      </x:c>
      <x:c r="AB3317" s="28" t="n">
        <x:f>J3317-K3317</x:f>
        <x:v>2</x:v>
      </x:c>
      <x:c r="AC3317" s="32" t="n">
        <x:f>F3317-G3317</x:f>
        <x:v>1</x:v>
      </x:c>
    </x:row>
    <x:row r="3318">
      <x:c r="A3318" s="4" t="str">
        <x:v>2025-26</x:v>
      </x:c>
      <x:c r="B3318" s="20" t="n">
        <x:v>45994</x:v>
      </x:c>
      <x:c r="C3318" s="4" t="str">
        <x:v>Sunderland</x:v>
      </x:c>
      <x:c r="D3318" s="4" t="str">
        <x:v>Liverpool</x:v>
      </x:c>
      <x:c r="E3318" s="4" t="str">
        <x:v>Away</x:v>
      </x:c>
      <x:c r="F3318" s="28" t="n">
        <x:v>1</x:v>
      </x:c>
      <x:c r="G3318" s="28" t="n">
        <x:v>1</x:v>
      </x:c>
      <x:c r="H3318" s="28" t="n">
        <x:v>9</x:v>
      </x:c>
      <x:c r="I3318" s="28" t="n">
        <x:v>23</x:v>
      </x:c>
      <x:c r="J3318" s="28" t="n">
        <x:v>6</x:v>
      </x:c>
      <x:c r="K3318" s="28" t="n">
        <x:v>4</x:v>
      </x:c>
      <x:c r="L3318" s="28" t="n">
        <x:v>3</x:v>
      </x:c>
      <x:c r="M3318" s="28" t="n">
        <x:v>7</x:v>
      </x:c>
      <x:c r="N3318" s="28" t="n">
        <x:v>1</x:v>
      </x:c>
      <x:c r="O3318" s="28" t="n">
        <x:v>0</x:v>
      </x:c>
      <x:c r="P3318" s="28" t="n">
        <x:v>1</x:v>
      </x:c>
      <x:c r="Q3318" s="24" t="n">
        <x:f>IFERROR(J3318/H3318,0)</x:f>
        <x:v>0.6666666666666666</x:v>
      </x:c>
      <x:c r="R3318" s="24" t="n">
        <x:f>IFERROR(F3318/H3318,0)</x:f>
        <x:v>0.1111111111111111</x:v>
      </x:c>
      <x:c r="S3318" s="24" t="n">
        <x:f>IFERROR(F3318/J3318,0)</x:f>
        <x:v>0.16666666666666666</x:v>
      </x:c>
      <x:c r="T3318" s="28" t="n">
        <x:f>H3318-I3318</x:f>
        <x:v>-14</x:v>
      </x:c>
      <x:c r="U3318" s="24" t="n">
        <x:f>IFERROR(J3318/H3318,0)-IFERROR(K3318/I3318,0)</x:f>
        <x:v>0.49275362318840576</x:v>
      </x:c>
      <x:c r="V3318" s="24" t="n">
        <x:f>IFERROR(F3318/J3318,0)-IFERROR(G3318/K3318,0)</x:f>
        <x:v>-0.08333333333333334</x:v>
      </x:c>
      <x:c r="W3318" s="28" t="n">
        <x:f>L3318-M3318</x:f>
        <x:v>-4</x:v>
      </x:c>
      <x:c r="X3318" s="24" t="n">
        <x:f>IFERROR(K3318/I3318,0)</x:f>
        <x:v>0.17391304347826086</x:v>
      </x:c>
      <x:c r="Y3318" s="24" t="n">
        <x:f>IFERROR(G3318/I3318,0)</x:f>
        <x:v>0.043478260869565216</x:v>
      </x:c>
      <x:c r="Z3318" s="24" t="n">
        <x:f>IFERROR(G3318/K3318,0)</x:f>
        <x:v>0.25</x:v>
      </x:c>
      <x:c r="AA3318" s="24" t="n">
        <x:f>IFERROR(F3318/H3318,0)-IFERROR(G3318/I3318,0)</x:f>
        <x:v>0.06763285024154589</x:v>
      </x:c>
      <x:c r="AB3318" s="28" t="n">
        <x:f>J3318-K3318</x:f>
        <x:v>2</x:v>
      </x:c>
      <x:c r="AC3318" s="32" t="n">
        <x:f>F3318-G3318</x:f>
        <x:v>0</x:v>
      </x:c>
    </x:row>
    <x:row r="3319">
      <x:c r="A3319" s="4" t="str">
        <x:v>2025-26</x:v>
      </x:c>
      <x:c r="B3319" s="20" t="n">
        <x:v>45994</x:v>
      </x:c>
      <x:c r="C3319" s="4" t="str">
        <x:v>Wolves</x:v>
      </x:c>
      <x:c r="D3319" s="4" t="str">
        <x:v>Nott'm Forest</x:v>
      </x:c>
      <x:c r="E3319" s="4" t="str">
        <x:v>Home</x:v>
      </x:c>
      <x:c r="F3319" s="28" t="n">
        <x:v>0</x:v>
      </x:c>
      <x:c r="G3319" s="28" t="n">
        <x:v>1</x:v>
      </x:c>
      <x:c r="H3319" s="28" t="n">
        <x:v>5</x:v>
      </x:c>
      <x:c r="I3319" s="28" t="n">
        <x:v>10</x:v>
      </x:c>
      <x:c r="J3319" s="28" t="n">
        <x:v>1</x:v>
      </x:c>
      <x:c r="K3319" s="28" t="n">
        <x:v>3</x:v>
      </x:c>
      <x:c r="L3319" s="28" t="n">
        <x:v>3</x:v>
      </x:c>
      <x:c r="M3319" s="28" t="n">
        <x:v>9</x:v>
      </x:c>
      <x:c r="N3319" s="28" t="n">
        <x:v>2</x:v>
      </x:c>
      <x:c r="O3319" s="28" t="n">
        <x:v>0</x:v>
      </x:c>
      <x:c r="P3319" s="28" t="n">
        <x:v>0</x:v>
      </x:c>
      <x:c r="Q3319" s="24" t="n">
        <x:f>IFERROR(J3319/H3319,0)</x:f>
        <x:v>0.2</x:v>
      </x:c>
      <x:c r="R3319" s="24" t="n">
        <x:f>IFERROR(F3319/H3319,0)</x:f>
        <x:v>0</x:v>
      </x:c>
      <x:c r="S3319" s="24" t="n">
        <x:f>IFERROR(F3319/J3319,0)</x:f>
        <x:v>0</x:v>
      </x:c>
      <x:c r="T3319" s="28" t="n">
        <x:f>H3319-I3319</x:f>
        <x:v>-5</x:v>
      </x:c>
      <x:c r="U3319" s="24" t="n">
        <x:f>IFERROR(J3319/H3319,0)-IFERROR(K3319/I3319,0)</x:f>
        <x:v>-0.09999999999999998</x:v>
      </x:c>
      <x:c r="V3319" s="24" t="n">
        <x:f>IFERROR(F3319/J3319,0)-IFERROR(G3319/K3319,0)</x:f>
        <x:v>-0.3333333333333333</x:v>
      </x:c>
      <x:c r="W3319" s="28" t="n">
        <x:f>L3319-M3319</x:f>
        <x:v>-6</x:v>
      </x:c>
      <x:c r="X3319" s="24" t="n">
        <x:f>IFERROR(K3319/I3319,0)</x:f>
        <x:v>0.3</x:v>
      </x:c>
      <x:c r="Y3319" s="24" t="n">
        <x:f>IFERROR(G3319/I3319,0)</x:f>
        <x:v>0.1</x:v>
      </x:c>
      <x:c r="Z3319" s="24" t="n">
        <x:f>IFERROR(G3319/K3319,0)</x:f>
        <x:v>0.3333333333333333</x:v>
      </x:c>
      <x:c r="AA3319" s="24" t="n">
        <x:f>IFERROR(F3319/H3319,0)-IFERROR(G3319/I3319,0)</x:f>
        <x:v>-0.1</x:v>
      </x:c>
      <x:c r="AB3319" s="28" t="n">
        <x:f>J3319-K3319</x:f>
        <x:v>-2</x:v>
      </x:c>
      <x:c r="AC3319" s="32" t="n">
        <x:f>F3319-G3319</x:f>
        <x:v>-1</x:v>
      </x:c>
    </x:row>
    <x:row r="3320">
      <x:c r="A3320" s="4" t="str">
        <x:v>2025-26</x:v>
      </x:c>
      <x:c r="B3320" s="20" t="n">
        <x:v>45995</x:v>
      </x:c>
      <x:c r="C3320" s="4" t="str">
        <x:v>Man United</x:v>
      </x:c>
      <x:c r="D3320" s="4" t="str">
        <x:v>West Ham</x:v>
      </x:c>
      <x:c r="E3320" s="4" t="str">
        <x:v>Home</x:v>
      </x:c>
      <x:c r="F3320" s="28" t="n">
        <x:v>1</x:v>
      </x:c>
      <x:c r="G3320" s="28" t="n">
        <x:v>1</x:v>
      </x:c>
      <x:c r="H3320" s="28" t="n">
        <x:v>17</x:v>
      </x:c>
      <x:c r="I3320" s="28" t="n">
        <x:v>11</x:v>
      </x:c>
      <x:c r="J3320" s="28" t="n">
        <x:v>4</x:v>
      </x:c>
      <x:c r="K3320" s="28" t="n">
        <x:v>3</x:v>
      </x:c>
      <x:c r="L3320" s="28" t="n">
        <x:v>6</x:v>
      </x:c>
      <x:c r="M3320" s="28" t="n">
        <x:v>6</x:v>
      </x:c>
      <x:c r="N3320" s="28" t="n">
        <x:v>2</x:v>
      </x:c>
      <x:c r="O3320" s="28" t="n">
        <x:v>0</x:v>
      </x:c>
      <x:c r="P3320" s="28" t="n">
        <x:v>1</x:v>
      </x:c>
      <x:c r="Q3320" s="24" t="n">
        <x:f>IFERROR(J3320/H3320,0)</x:f>
        <x:v>0.23529411764705882</x:v>
      </x:c>
      <x:c r="R3320" s="24" t="n">
        <x:f>IFERROR(F3320/H3320,0)</x:f>
        <x:v>0.058823529411764705</x:v>
      </x:c>
      <x:c r="S3320" s="24" t="n">
        <x:f>IFERROR(F3320/J3320,0)</x:f>
        <x:v>0.25</x:v>
      </x:c>
      <x:c r="T3320" s="28" t="n">
        <x:f>H3320-I3320</x:f>
        <x:v>6</x:v>
      </x:c>
      <x:c r="U3320" s="24" t="n">
        <x:f>IFERROR(J3320/H3320,0)-IFERROR(K3320/I3320,0)</x:f>
        <x:v>-0.03743315508021389</x:v>
      </x:c>
      <x:c r="V3320" s="24" t="n">
        <x:f>IFERROR(F3320/J3320,0)-IFERROR(G3320/K3320,0)</x:f>
        <x:v>-0.08333333333333331</x:v>
      </x:c>
      <x:c r="W3320" s="28" t="n">
        <x:f>L3320-M3320</x:f>
        <x:v>0</x:v>
      </x:c>
      <x:c r="X3320" s="24" t="n">
        <x:f>IFERROR(K3320/I3320,0)</x:f>
        <x:v>0.2727272727272727</x:v>
      </x:c>
      <x:c r="Y3320" s="24" t="n">
        <x:f>IFERROR(G3320/I3320,0)</x:f>
        <x:v>0.09090909090909091</x:v>
      </x:c>
      <x:c r="Z3320" s="24" t="n">
        <x:f>IFERROR(G3320/K3320,0)</x:f>
        <x:v>0.3333333333333333</x:v>
      </x:c>
      <x:c r="AA3320" s="24" t="n">
        <x:f>IFERROR(F3320/H3320,0)-IFERROR(G3320/I3320,0)</x:f>
        <x:v>-0.03208556149732621</x:v>
      </x:c>
      <x:c r="AB3320" s="28" t="n">
        <x:f>J3320-K3320</x:f>
        <x:v>1</x:v>
      </x:c>
      <x:c r="AC3320" s="32" t="n">
        <x:f>F3320-G3320</x:f>
        <x:v>0</x:v>
      </x:c>
    </x:row>
    <x:row r="3321">
      <x:c r="A3321" s="4" t="str">
        <x:v>2025-26</x:v>
      </x:c>
      <x:c r="B3321" s="20" t="n">
        <x:v>45995</x:v>
      </x:c>
      <x:c r="C3321" s="4" t="str">
        <x:v>West Ham</x:v>
      </x:c>
      <x:c r="D3321" s="4" t="str">
        <x:v>Man United</x:v>
      </x:c>
      <x:c r="E3321" s="4" t="str">
        <x:v>Away</x:v>
      </x:c>
      <x:c r="F3321" s="28" t="n">
        <x:v>1</x:v>
      </x:c>
      <x:c r="G3321" s="28" t="n">
        <x:v>1</x:v>
      </x:c>
      <x:c r="H3321" s="28" t="n">
        <x:v>11</x:v>
      </x:c>
      <x:c r="I3321" s="28" t="n">
        <x:v>17</x:v>
      </x:c>
      <x:c r="J3321" s="28" t="n">
        <x:v>3</x:v>
      </x:c>
      <x:c r="K3321" s="28" t="n">
        <x:v>4</x:v>
      </x:c>
      <x:c r="L3321" s="28" t="n">
        <x:v>6</x:v>
      </x:c>
      <x:c r="M3321" s="28" t="n">
        <x:v>6</x:v>
      </x:c>
      <x:c r="N3321" s="28" t="n">
        <x:v>2</x:v>
      </x:c>
      <x:c r="O3321" s="28" t="n">
        <x:v>0</x:v>
      </x:c>
      <x:c r="P3321" s="28" t="n">
        <x:v>1</x:v>
      </x:c>
      <x:c r="Q3321" s="24" t="n">
        <x:f>IFERROR(J3321/H3321,0)</x:f>
        <x:v>0.2727272727272727</x:v>
      </x:c>
      <x:c r="R3321" s="24" t="n">
        <x:f>IFERROR(F3321/H3321,0)</x:f>
        <x:v>0.09090909090909091</x:v>
      </x:c>
      <x:c r="S3321" s="24" t="n">
        <x:f>IFERROR(F3321/J3321,0)</x:f>
        <x:v>0.3333333333333333</x:v>
      </x:c>
      <x:c r="T3321" s="28" t="n">
        <x:f>H3321-I3321</x:f>
        <x:v>-6</x:v>
      </x:c>
      <x:c r="U3321" s="24" t="n">
        <x:f>IFERROR(J3321/H3321,0)-IFERROR(K3321/I3321,0)</x:f>
        <x:v>0.03743315508021389</x:v>
      </x:c>
      <x:c r="V3321" s="24" t="n">
        <x:f>IFERROR(F3321/J3321,0)-IFERROR(G3321/K3321,0)</x:f>
        <x:v>0.08333333333333331</x:v>
      </x:c>
      <x:c r="W3321" s="28" t="n">
        <x:f>L3321-M3321</x:f>
        <x:v>0</x:v>
      </x:c>
      <x:c r="X3321" s="24" t="n">
        <x:f>IFERROR(K3321/I3321,0)</x:f>
        <x:v>0.23529411764705882</x:v>
      </x:c>
      <x:c r="Y3321" s="24" t="n">
        <x:f>IFERROR(G3321/I3321,0)</x:f>
        <x:v>0.058823529411764705</x:v>
      </x:c>
      <x:c r="Z3321" s="24" t="n">
        <x:f>IFERROR(G3321/K3321,0)</x:f>
        <x:v>0.25</x:v>
      </x:c>
      <x:c r="AA3321" s="24" t="n">
        <x:f>IFERROR(F3321/H3321,0)-IFERROR(G3321/I3321,0)</x:f>
        <x:v>0.03208556149732621</x:v>
      </x:c>
      <x:c r="AB3321" s="28" t="n">
        <x:f>J3321-K3321</x:f>
        <x:v>-1</x:v>
      </x:c>
      <x:c r="AC3321" s="32" t="n">
        <x:f>F3321-G3321</x:f>
        <x:v>0</x:v>
      </x:c>
    </x:row>
    <x:row r="3322">
      <x:c r="A3322" s="4" t="str">
        <x:v>2025-26</x:v>
      </x:c>
      <x:c r="B3322" s="20" t="n">
        <x:v>45997</x:v>
      </x:c>
      <x:c r="C3322" s="4" t="str">
        <x:v>Arsenal</x:v>
      </x:c>
      <x:c r="D3322" s="4" t="str">
        <x:v>Aston Villa</x:v>
      </x:c>
      <x:c r="E3322" s="4" t="str">
        <x:v>Away</x:v>
      </x:c>
      <x:c r="F3322" s="28" t="n">
        <x:v>1</x:v>
      </x:c>
      <x:c r="G3322" s="28" t="n">
        <x:v>2</x:v>
      </x:c>
      <x:c r="H3322" s="28" t="n">
        <x:v>15</x:v>
      </x:c>
      <x:c r="I3322" s="28" t="n">
        <x:v>15</x:v>
      </x:c>
      <x:c r="J3322" s="28" t="n">
        <x:v>9</x:v>
      </x:c>
      <x:c r="K3322" s="28" t="n">
        <x:v>6</x:v>
      </x:c>
      <x:c r="L3322" s="28" t="n">
        <x:v>3</x:v>
      </x:c>
      <x:c r="M3322" s="28" t="n">
        <x:v>3</x:v>
      </x:c>
      <x:c r="N3322" s="28" t="n">
        <x:v>2</x:v>
      </x:c>
      <x:c r="O3322" s="28" t="n">
        <x:v>0</x:v>
      </x:c>
      <x:c r="P3322" s="28" t="n">
        <x:v>0</x:v>
      </x:c>
      <x:c r="Q3322" s="24" t="n">
        <x:f>IFERROR(J3322/H3322,0)</x:f>
        <x:v>0.6</x:v>
      </x:c>
      <x:c r="R3322" s="24" t="n">
        <x:f>IFERROR(F3322/H3322,0)</x:f>
        <x:v>0.06666666666666667</x:v>
      </x:c>
      <x:c r="S3322" s="24" t="n">
        <x:f>IFERROR(F3322/J3322,0)</x:f>
        <x:v>0.1111111111111111</x:v>
      </x:c>
      <x:c r="T3322" s="28" t="n">
        <x:f>H3322-I3322</x:f>
        <x:v>0</x:v>
      </x:c>
      <x:c r="U3322" s="24" t="n">
        <x:f>IFERROR(J3322/H3322,0)-IFERROR(K3322/I3322,0)</x:f>
        <x:v>0.19999999999999996</x:v>
      </x:c>
      <x:c r="V3322" s="24" t="n">
        <x:f>IFERROR(F3322/J3322,0)-IFERROR(G3322/K3322,0)</x:f>
        <x:v>-0.2222222222222222</x:v>
      </x:c>
      <x:c r="W3322" s="28" t="n">
        <x:f>L3322-M3322</x:f>
        <x:v>0</x:v>
      </x:c>
      <x:c r="X3322" s="24" t="n">
        <x:f>IFERROR(K3322/I3322,0)</x:f>
        <x:v>0.4</x:v>
      </x:c>
      <x:c r="Y3322" s="24" t="n">
        <x:f>IFERROR(G3322/I3322,0)</x:f>
        <x:v>0.13333333333333333</x:v>
      </x:c>
      <x:c r="Z3322" s="24" t="n">
        <x:f>IFERROR(G3322/K3322,0)</x:f>
        <x:v>0.3333333333333333</x:v>
      </x:c>
      <x:c r="AA3322" s="24" t="n">
        <x:f>IFERROR(F3322/H3322,0)-IFERROR(G3322/I3322,0)</x:f>
        <x:v>-0.06666666666666667</x:v>
      </x:c>
      <x:c r="AB3322" s="28" t="n">
        <x:f>J3322-K3322</x:f>
        <x:v>3</x:v>
      </x:c>
      <x:c r="AC3322" s="32" t="n">
        <x:f>F3322-G3322</x:f>
        <x:v>-1</x:v>
      </x:c>
    </x:row>
    <x:row r="3323">
      <x:c r="A3323" s="4" t="str">
        <x:v>2025-26</x:v>
      </x:c>
      <x:c r="B3323" s="20" t="n">
        <x:v>45997</x:v>
      </x:c>
      <x:c r="C3323" s="4" t="str">
        <x:v>Aston Villa</x:v>
      </x:c>
      <x:c r="D3323" s="4" t="str">
        <x:v>Arsenal</x:v>
      </x:c>
      <x:c r="E3323" s="4" t="str">
        <x:v>Home</x:v>
      </x:c>
      <x:c r="F3323" s="28" t="n">
        <x:v>2</x:v>
      </x:c>
      <x:c r="G3323" s="28" t="n">
        <x:v>1</x:v>
      </x:c>
      <x:c r="H3323" s="28" t="n">
        <x:v>15</x:v>
      </x:c>
      <x:c r="I3323" s="28" t="n">
        <x:v>15</x:v>
      </x:c>
      <x:c r="J3323" s="28" t="n">
        <x:v>6</x:v>
      </x:c>
      <x:c r="K3323" s="28" t="n">
        <x:v>9</x:v>
      </x:c>
      <x:c r="L3323" s="28" t="n">
        <x:v>3</x:v>
      </x:c>
      <x:c r="M3323" s="28" t="n">
        <x:v>3</x:v>
      </x:c>
      <x:c r="N3323" s="28" t="n">
        <x:v>0</x:v>
      </x:c>
      <x:c r="O3323" s="28" t="n">
        <x:v>0</x:v>
      </x:c>
      <x:c r="P3323" s="28" t="n">
        <x:v>3</x:v>
      </x:c>
      <x:c r="Q3323" s="24" t="n">
        <x:f>IFERROR(J3323/H3323,0)</x:f>
        <x:v>0.4</x:v>
      </x:c>
      <x:c r="R3323" s="24" t="n">
        <x:f>IFERROR(F3323/H3323,0)</x:f>
        <x:v>0.13333333333333333</x:v>
      </x:c>
      <x:c r="S3323" s="24" t="n">
        <x:f>IFERROR(F3323/J3323,0)</x:f>
        <x:v>0.3333333333333333</x:v>
      </x:c>
      <x:c r="T3323" s="28" t="n">
        <x:f>H3323-I3323</x:f>
        <x:v>0</x:v>
      </x:c>
      <x:c r="U3323" s="24" t="n">
        <x:f>IFERROR(J3323/H3323,0)-IFERROR(K3323/I3323,0)</x:f>
        <x:v>-0.19999999999999996</x:v>
      </x:c>
      <x:c r="V3323" s="24" t="n">
        <x:f>IFERROR(F3323/J3323,0)-IFERROR(G3323/K3323,0)</x:f>
        <x:v>0.2222222222222222</x:v>
      </x:c>
      <x:c r="W3323" s="28" t="n">
        <x:f>L3323-M3323</x:f>
        <x:v>0</x:v>
      </x:c>
      <x:c r="X3323" s="24" t="n">
        <x:f>IFERROR(K3323/I3323,0)</x:f>
        <x:v>0.6</x:v>
      </x:c>
      <x:c r="Y3323" s="24" t="n">
        <x:f>IFERROR(G3323/I3323,0)</x:f>
        <x:v>0.06666666666666667</x:v>
      </x:c>
      <x:c r="Z3323" s="24" t="n">
        <x:f>IFERROR(G3323/K3323,0)</x:f>
        <x:v>0.1111111111111111</x:v>
      </x:c>
      <x:c r="AA3323" s="24" t="n">
        <x:f>IFERROR(F3323/H3323,0)-IFERROR(G3323/I3323,0)</x:f>
        <x:v>0.06666666666666667</x:v>
      </x:c>
      <x:c r="AB3323" s="28" t="n">
        <x:f>J3323-K3323</x:f>
        <x:v>-3</x:v>
      </x:c>
      <x:c r="AC3323" s="32" t="n">
        <x:f>F3323-G3323</x:f>
        <x:v>1</x:v>
      </x:c>
    </x:row>
    <x:row r="3324">
      <x:c r="A3324" s="4" t="str">
        <x:v>2025-26</x:v>
      </x:c>
      <x:c r="B3324" s="20" t="n">
        <x:v>45997</x:v>
      </x:c>
      <x:c r="C3324" s="4" t="str">
        <x:v>Bournemouth</x:v>
      </x:c>
      <x:c r="D3324" s="4" t="str">
        <x:v>Chelsea</x:v>
      </x:c>
      <x:c r="E3324" s="4" t="str">
        <x:v>Home</x:v>
      </x:c>
      <x:c r="F3324" s="28" t="n">
        <x:v>0</x:v>
      </x:c>
      <x:c r="G3324" s="28" t="n">
        <x:v>0</x:v>
      </x:c>
      <x:c r="H3324" s="28" t="n">
        <x:v>13</x:v>
      </x:c>
      <x:c r="I3324" s="28" t="n">
        <x:v>11</x:v>
      </x:c>
      <x:c r="J3324" s="28" t="n">
        <x:v>5</x:v>
      </x:c>
      <x:c r="K3324" s="28" t="n">
        <x:v>4</x:v>
      </x:c>
      <x:c r="L3324" s="28" t="n">
        <x:v>5</x:v>
      </x:c>
      <x:c r="M3324" s="28" t="n">
        <x:v>0</x:v>
      </x:c>
      <x:c r="N3324" s="28" t="n">
        <x:v>0</x:v>
      </x:c>
      <x:c r="O3324" s="28" t="n">
        <x:v>0</x:v>
      </x:c>
      <x:c r="P3324" s="28" t="n">
        <x:v>1</x:v>
      </x:c>
      <x:c r="Q3324" s="24" t="n">
        <x:f>IFERROR(J3324/H3324,0)</x:f>
        <x:v>0.38461538461538464</x:v>
      </x:c>
      <x:c r="R3324" s="24" t="n">
        <x:f>IFERROR(F3324/H3324,0)</x:f>
        <x:v>0</x:v>
      </x:c>
      <x:c r="S3324" s="24" t="n">
        <x:f>IFERROR(F3324/J3324,0)</x:f>
        <x:v>0</x:v>
      </x:c>
      <x:c r="T3324" s="28" t="n">
        <x:f>H3324-I3324</x:f>
        <x:v>2</x:v>
      </x:c>
      <x:c r="U3324" s="24" t="n">
        <x:f>IFERROR(J3324/H3324,0)-IFERROR(K3324/I3324,0)</x:f>
        <x:v>0.02097902097902099</x:v>
      </x:c>
      <x:c r="V3324" s="24" t="n">
        <x:f>IFERROR(F3324/J3324,0)-IFERROR(G3324/K3324,0)</x:f>
        <x:v>0</x:v>
      </x:c>
      <x:c r="W3324" s="28" t="n">
        <x:f>L3324-M3324</x:f>
        <x:v>5</x:v>
      </x:c>
      <x:c r="X3324" s="24" t="n">
        <x:f>IFERROR(K3324/I3324,0)</x:f>
        <x:v>0.36363636363636365</x:v>
      </x:c>
      <x:c r="Y3324" s="24" t="n">
        <x:f>IFERROR(G3324/I3324,0)</x:f>
        <x:v>0</x:v>
      </x:c>
      <x:c r="Z3324" s="24" t="n">
        <x:f>IFERROR(G3324/K3324,0)</x:f>
        <x:v>0</x:v>
      </x:c>
      <x:c r="AA3324" s="24" t="n">
        <x:f>IFERROR(F3324/H3324,0)-IFERROR(G3324/I3324,0)</x:f>
        <x:v>0</x:v>
      </x:c>
      <x:c r="AB3324" s="28" t="n">
        <x:f>J3324-K3324</x:f>
        <x:v>1</x:v>
      </x:c>
      <x:c r="AC3324" s="32" t="n">
        <x:f>F3324-G3324</x:f>
        <x:v>0</x:v>
      </x:c>
    </x:row>
    <x:row r="3325">
      <x:c r="A3325" s="4" t="str">
        <x:v>2025-26</x:v>
      </x:c>
      <x:c r="B3325" s="20" t="n">
        <x:v>45997</x:v>
      </x:c>
      <x:c r="C3325" s="4" t="str">
        <x:v>Brentford</x:v>
      </x:c>
      <x:c r="D3325" s="4" t="str">
        <x:v>Tottenham</x:v>
      </x:c>
      <x:c r="E3325" s="4" t="str">
        <x:v>Away</x:v>
      </x:c>
      <x:c r="F3325" s="28" t="n">
        <x:v>0</x:v>
      </x:c>
      <x:c r="G3325" s="28" t="n">
        <x:v>2</x:v>
      </x:c>
      <x:c r="H3325" s="28" t="n">
        <x:v>4</x:v>
      </x:c>
      <x:c r="I3325" s="28" t="n">
        <x:v>15</x:v>
      </x:c>
      <x:c r="J3325" s="28" t="n">
        <x:v>1</x:v>
      </x:c>
      <x:c r="K3325" s="28" t="n">
        <x:v>7</x:v>
      </x:c>
      <x:c r="L3325" s="28" t="n">
        <x:v>6</x:v>
      </x:c>
      <x:c r="M3325" s="28" t="n">
        <x:v>7</x:v>
      </x:c>
      <x:c r="N3325" s="28" t="n">
        <x:v>4</x:v>
      </x:c>
      <x:c r="O3325" s="28" t="n">
        <x:v>0</x:v>
      </x:c>
      <x:c r="P3325" s="28" t="n">
        <x:v>0</x:v>
      </x:c>
      <x:c r="Q3325" s="24" t="n">
        <x:f>IFERROR(J3325/H3325,0)</x:f>
        <x:v>0.25</x:v>
      </x:c>
      <x:c r="R3325" s="24" t="n">
        <x:f>IFERROR(F3325/H3325,0)</x:f>
        <x:v>0</x:v>
      </x:c>
      <x:c r="S3325" s="24" t="n">
        <x:f>IFERROR(F3325/J3325,0)</x:f>
        <x:v>0</x:v>
      </x:c>
      <x:c r="T3325" s="28" t="n">
        <x:f>H3325-I3325</x:f>
        <x:v>-11</x:v>
      </x:c>
      <x:c r="U3325" s="24" t="n">
        <x:f>IFERROR(J3325/H3325,0)-IFERROR(K3325/I3325,0)</x:f>
        <x:v>-0.21666666666666667</x:v>
      </x:c>
      <x:c r="V3325" s="24" t="n">
        <x:f>IFERROR(F3325/J3325,0)-IFERROR(G3325/K3325,0)</x:f>
        <x:v>-0.2857142857142857</x:v>
      </x:c>
      <x:c r="W3325" s="28" t="n">
        <x:f>L3325-M3325</x:f>
        <x:v>-1</x:v>
      </x:c>
      <x:c r="X3325" s="24" t="n">
        <x:f>IFERROR(K3325/I3325,0)</x:f>
        <x:v>0.4666666666666667</x:v>
      </x:c>
      <x:c r="Y3325" s="24" t="n">
        <x:f>IFERROR(G3325/I3325,0)</x:f>
        <x:v>0.13333333333333333</x:v>
      </x:c>
      <x:c r="Z3325" s="24" t="n">
        <x:f>IFERROR(G3325/K3325,0)</x:f>
        <x:v>0.2857142857142857</x:v>
      </x:c>
      <x:c r="AA3325" s="24" t="n">
        <x:f>IFERROR(F3325/H3325,0)-IFERROR(G3325/I3325,0)</x:f>
        <x:v>-0.13333333333333333</x:v>
      </x:c>
      <x:c r="AB3325" s="28" t="n">
        <x:f>J3325-K3325</x:f>
        <x:v>-6</x:v>
      </x:c>
      <x:c r="AC3325" s="32" t="n">
        <x:f>F3325-G3325</x:f>
        <x:v>-2</x:v>
      </x:c>
    </x:row>
    <x:row r="3326">
      <x:c r="A3326" s="4" t="str">
        <x:v>2025-26</x:v>
      </x:c>
      <x:c r="B3326" s="20" t="n">
        <x:v>45997</x:v>
      </x:c>
      <x:c r="C3326" s="4" t="str">
        <x:v>Burnley</x:v>
      </x:c>
      <x:c r="D3326" s="4" t="str">
        <x:v>Newcastle</x:v>
      </x:c>
      <x:c r="E3326" s="4" t="str">
        <x:v>Away</x:v>
      </x:c>
      <x:c r="F3326" s="28" t="n">
        <x:v>1</x:v>
      </x:c>
      <x:c r="G3326" s="28" t="n">
        <x:v>2</x:v>
      </x:c>
      <x:c r="H3326" s="28" t="n">
        <x:v>9</x:v>
      </x:c>
      <x:c r="I3326" s="28" t="n">
        <x:v>17</x:v>
      </x:c>
      <x:c r="J3326" s="28" t="n">
        <x:v>3</x:v>
      </x:c>
      <x:c r="K3326" s="28" t="n">
        <x:v>7</x:v>
      </x:c>
      <x:c r="L3326" s="28" t="n">
        <x:v>9</x:v>
      </x:c>
      <x:c r="M3326" s="28" t="n">
        <x:v>9</x:v>
      </x:c>
      <x:c r="N3326" s="28" t="n">
        <x:v>2</x:v>
      </x:c>
      <x:c r="O3326" s="28" t="n">
        <x:v>1</x:v>
      </x:c>
      <x:c r="P3326" s="28" t="n">
        <x:v>0</x:v>
      </x:c>
      <x:c r="Q3326" s="24" t="n">
        <x:f>IFERROR(J3326/H3326,0)</x:f>
        <x:v>0.3333333333333333</x:v>
      </x:c>
      <x:c r="R3326" s="24" t="n">
        <x:f>IFERROR(F3326/H3326,0)</x:f>
        <x:v>0.1111111111111111</x:v>
      </x:c>
      <x:c r="S3326" s="24" t="n">
        <x:f>IFERROR(F3326/J3326,0)</x:f>
        <x:v>0.3333333333333333</x:v>
      </x:c>
      <x:c r="T3326" s="28" t="n">
        <x:f>H3326-I3326</x:f>
        <x:v>-8</x:v>
      </x:c>
      <x:c r="U3326" s="24" t="n">
        <x:f>IFERROR(J3326/H3326,0)-IFERROR(K3326/I3326,0)</x:f>
        <x:v>-0.0784313725490196</x:v>
      </x:c>
      <x:c r="V3326" s="24" t="n">
        <x:f>IFERROR(F3326/J3326,0)-IFERROR(G3326/K3326,0)</x:f>
        <x:v>0.047619047619047616</x:v>
      </x:c>
      <x:c r="W3326" s="28" t="n">
        <x:f>L3326-M3326</x:f>
        <x:v>0</x:v>
      </x:c>
      <x:c r="X3326" s="24" t="n">
        <x:f>IFERROR(K3326/I3326,0)</x:f>
        <x:v>0.4117647058823529</x:v>
      </x:c>
      <x:c r="Y3326" s="24" t="n">
        <x:f>IFERROR(G3326/I3326,0)</x:f>
        <x:v>0.11764705882352941</x:v>
      </x:c>
      <x:c r="Z3326" s="24" t="n">
        <x:f>IFERROR(G3326/K3326,0)</x:f>
        <x:v>0.2857142857142857</x:v>
      </x:c>
      <x:c r="AA3326" s="24" t="n">
        <x:f>IFERROR(F3326/H3326,0)-IFERROR(G3326/I3326,0)</x:f>
        <x:v>-0.006535947712418305</x:v>
      </x:c>
      <x:c r="AB3326" s="28" t="n">
        <x:f>J3326-K3326</x:f>
        <x:v>-4</x:v>
      </x:c>
      <x:c r="AC3326" s="32" t="n">
        <x:f>F3326-G3326</x:f>
        <x:v>-1</x:v>
      </x:c>
    </x:row>
    <x:row r="3327">
      <x:c r="A3327" s="4" t="str">
        <x:v>2025-26</x:v>
      </x:c>
      <x:c r="B3327" s="20" t="n">
        <x:v>45997</x:v>
      </x:c>
      <x:c r="C3327" s="4" t="str">
        <x:v>Chelsea</x:v>
      </x:c>
      <x:c r="D3327" s="4" t="str">
        <x:v>Bournemouth</x:v>
      </x:c>
      <x:c r="E3327" s="4" t="str">
        <x:v>Away</x:v>
      </x:c>
      <x:c r="F3327" s="28" t="n">
        <x:v>0</x:v>
      </x:c>
      <x:c r="G3327" s="28" t="n">
        <x:v>0</x:v>
      </x:c>
      <x:c r="H3327" s="28" t="n">
        <x:v>11</x:v>
      </x:c>
      <x:c r="I3327" s="28" t="n">
        <x:v>13</x:v>
      </x:c>
      <x:c r="J3327" s="28" t="n">
        <x:v>4</x:v>
      </x:c>
      <x:c r="K3327" s="28" t="n">
        <x:v>5</x:v>
      </x:c>
      <x:c r="L3327" s="28" t="n">
        <x:v>0</x:v>
      </x:c>
      <x:c r="M3327" s="28" t="n">
        <x:v>5</x:v>
      </x:c>
      <x:c r="N3327" s="28" t="n">
        <x:v>2</x:v>
      </x:c>
      <x:c r="O3327" s="28" t="n">
        <x:v>0</x:v>
      </x:c>
      <x:c r="P3327" s="28" t="n">
        <x:v>1</x:v>
      </x:c>
      <x:c r="Q3327" s="24" t="n">
        <x:f>IFERROR(J3327/H3327,0)</x:f>
        <x:v>0.36363636363636365</x:v>
      </x:c>
      <x:c r="R3327" s="24" t="n">
        <x:f>IFERROR(F3327/H3327,0)</x:f>
        <x:v>0</x:v>
      </x:c>
      <x:c r="S3327" s="24" t="n">
        <x:f>IFERROR(F3327/J3327,0)</x:f>
        <x:v>0</x:v>
      </x:c>
      <x:c r="T3327" s="28" t="n">
        <x:f>H3327-I3327</x:f>
        <x:v>-2</x:v>
      </x:c>
      <x:c r="U3327" s="24" t="n">
        <x:f>IFERROR(J3327/H3327,0)-IFERROR(K3327/I3327,0)</x:f>
        <x:v>-0.02097902097902099</x:v>
      </x:c>
      <x:c r="V3327" s="24" t="n">
        <x:f>IFERROR(F3327/J3327,0)-IFERROR(G3327/K3327,0)</x:f>
        <x:v>0</x:v>
      </x:c>
      <x:c r="W3327" s="28" t="n">
        <x:f>L3327-M3327</x:f>
        <x:v>-5</x:v>
      </x:c>
      <x:c r="X3327" s="24" t="n">
        <x:f>IFERROR(K3327/I3327,0)</x:f>
        <x:v>0.38461538461538464</x:v>
      </x:c>
      <x:c r="Y3327" s="24" t="n">
        <x:f>IFERROR(G3327/I3327,0)</x:f>
        <x:v>0</x:v>
      </x:c>
      <x:c r="Z3327" s="24" t="n">
        <x:f>IFERROR(G3327/K3327,0)</x:f>
        <x:v>0</x:v>
      </x:c>
      <x:c r="AA3327" s="24" t="n">
        <x:f>IFERROR(F3327/H3327,0)-IFERROR(G3327/I3327,0)</x:f>
        <x:v>0</x:v>
      </x:c>
      <x:c r="AB3327" s="28" t="n">
        <x:f>J3327-K3327</x:f>
        <x:v>-1</x:v>
      </x:c>
      <x:c r="AC3327" s="32" t="n">
        <x:f>F3327-G3327</x:f>
        <x:v>0</x:v>
      </x:c>
    </x:row>
    <x:row r="3328">
      <x:c r="A3328" s="4" t="str">
        <x:v>2025-26</x:v>
      </x:c>
      <x:c r="B3328" s="20" t="n">
        <x:v>45997</x:v>
      </x:c>
      <x:c r="C3328" s="4" t="str">
        <x:v>Everton</x:v>
      </x:c>
      <x:c r="D3328" s="4" t="str">
        <x:v>Nott'm Forest</x:v>
      </x:c>
      <x:c r="E3328" s="4" t="str">
        <x:v>Home</x:v>
      </x:c>
      <x:c r="F3328" s="28" t="n">
        <x:v>3</x:v>
      </x:c>
      <x:c r="G3328" s="28" t="n">
        <x:v>0</x:v>
      </x:c>
      <x:c r="H3328" s="28" t="n">
        <x:v>11</x:v>
      </x:c>
      <x:c r="I3328" s="28" t="n">
        <x:v>7</x:v>
      </x:c>
      <x:c r="J3328" s="28" t="n">
        <x:v>5</x:v>
      </x:c>
      <x:c r="K3328" s="28" t="n">
        <x:v>3</x:v>
      </x:c>
      <x:c r="L3328" s="28" t="n">
        <x:v>6</x:v>
      </x:c>
      <x:c r="M3328" s="28" t="n">
        <x:v>3</x:v>
      </x:c>
      <x:c r="N3328" s="28" t="n">
        <x:v>4</x:v>
      </x:c>
      <x:c r="O3328" s="28" t="n">
        <x:v>0</x:v>
      </x:c>
      <x:c r="P3328" s="28" t="n">
        <x:v>3</x:v>
      </x:c>
      <x:c r="Q3328" s="24" t="n">
        <x:f>IFERROR(J3328/H3328,0)</x:f>
        <x:v>0.45454545454545453</x:v>
      </x:c>
      <x:c r="R3328" s="24" t="n">
        <x:f>IFERROR(F3328/H3328,0)</x:f>
        <x:v>0.2727272727272727</x:v>
      </x:c>
      <x:c r="S3328" s="24" t="n">
        <x:f>IFERROR(F3328/J3328,0)</x:f>
        <x:v>0.6</x:v>
      </x:c>
      <x:c r="T3328" s="28" t="n">
        <x:f>H3328-I3328</x:f>
        <x:v>4</x:v>
      </x:c>
      <x:c r="U3328" s="24" t="n">
        <x:f>IFERROR(J3328/H3328,0)-IFERROR(K3328/I3328,0)</x:f>
        <x:v>0.025974025974025983</x:v>
      </x:c>
      <x:c r="V3328" s="24" t="n">
        <x:f>IFERROR(F3328/J3328,0)-IFERROR(G3328/K3328,0)</x:f>
        <x:v>0.6</x:v>
      </x:c>
      <x:c r="W3328" s="28" t="n">
        <x:f>L3328-M3328</x:f>
        <x:v>3</x:v>
      </x:c>
      <x:c r="X3328" s="24" t="n">
        <x:f>IFERROR(K3328/I3328,0)</x:f>
        <x:v>0.42857142857142855</x:v>
      </x:c>
      <x:c r="Y3328" s="24" t="n">
        <x:f>IFERROR(G3328/I3328,0)</x:f>
        <x:v>0</x:v>
      </x:c>
      <x:c r="Z3328" s="24" t="n">
        <x:f>IFERROR(G3328/K3328,0)</x:f>
        <x:v>0</x:v>
      </x:c>
      <x:c r="AA3328" s="24" t="n">
        <x:f>IFERROR(F3328/H3328,0)-IFERROR(G3328/I3328,0)</x:f>
        <x:v>0.2727272727272727</x:v>
      </x:c>
      <x:c r="AB3328" s="28" t="n">
        <x:f>J3328-K3328</x:f>
        <x:v>2</x:v>
      </x:c>
      <x:c r="AC3328" s="32" t="n">
        <x:f>F3328-G3328</x:f>
        <x:v>3</x:v>
      </x:c>
    </x:row>
    <x:row r="3329">
      <x:c r="A3329" s="4" t="str">
        <x:v>2025-26</x:v>
      </x:c>
      <x:c r="B3329" s="20" t="n">
        <x:v>45997</x:v>
      </x:c>
      <x:c r="C3329" s="4" t="str">
        <x:v>Leeds</x:v>
      </x:c>
      <x:c r="D3329" s="4" t="str">
        <x:v>Liverpool</x:v>
      </x:c>
      <x:c r="E3329" s="4" t="str">
        <x:v>Home</x:v>
      </x:c>
      <x:c r="F3329" s="28" t="n">
        <x:v>3</x:v>
      </x:c>
      <x:c r="G3329" s="28" t="n">
        <x:v>3</x:v>
      </x:c>
      <x:c r="H3329" s="28" t="n">
        <x:v>12</x:v>
      </x:c>
      <x:c r="I3329" s="28" t="n">
        <x:v>16</x:v>
      </x:c>
      <x:c r="J3329" s="28" t="n">
        <x:v>5</x:v>
      </x:c>
      <x:c r="K3329" s="28" t="n">
        <x:v>7</x:v>
      </x:c>
      <x:c r="L3329" s="28" t="n">
        <x:v>5</x:v>
      </x:c>
      <x:c r="M3329" s="28" t="n">
        <x:v>4</x:v>
      </x:c>
      <x:c r="N3329" s="28" t="n">
        <x:v>3</x:v>
      </x:c>
      <x:c r="O3329" s="28" t="n">
        <x:v>0</x:v>
      </x:c>
      <x:c r="P3329" s="28" t="n">
        <x:v>1</x:v>
      </x:c>
      <x:c r="Q3329" s="24" t="n">
        <x:f>IFERROR(J3329/H3329,0)</x:f>
        <x:v>0.4166666666666667</x:v>
      </x:c>
      <x:c r="R3329" s="24" t="n">
        <x:f>IFERROR(F3329/H3329,0)</x:f>
        <x:v>0.25</x:v>
      </x:c>
      <x:c r="S3329" s="24" t="n">
        <x:f>IFERROR(F3329/J3329,0)</x:f>
        <x:v>0.6</x:v>
      </x:c>
      <x:c r="T3329" s="28" t="n">
        <x:f>H3329-I3329</x:f>
        <x:v>-4</x:v>
      </x:c>
      <x:c r="U3329" s="24" t="n">
        <x:f>IFERROR(J3329/H3329,0)-IFERROR(K3329/I3329,0)</x:f>
        <x:v>-0.020833333333333315</x:v>
      </x:c>
      <x:c r="V3329" s="24" t="n">
        <x:f>IFERROR(F3329/J3329,0)-IFERROR(G3329/K3329,0)</x:f>
        <x:v>0.17142857142857143</x:v>
      </x:c>
      <x:c r="W3329" s="28" t="n">
        <x:f>L3329-M3329</x:f>
        <x:v>1</x:v>
      </x:c>
      <x:c r="X3329" s="24" t="n">
        <x:f>IFERROR(K3329/I3329,0)</x:f>
        <x:v>0.4375</x:v>
      </x:c>
      <x:c r="Y3329" s="24" t="n">
        <x:f>IFERROR(G3329/I3329,0)</x:f>
        <x:v>0.1875</x:v>
      </x:c>
      <x:c r="Z3329" s="24" t="n">
        <x:f>IFERROR(G3329/K3329,0)</x:f>
        <x:v>0.42857142857142855</x:v>
      </x:c>
      <x:c r="AA3329" s="24" t="n">
        <x:f>IFERROR(F3329/H3329,0)-IFERROR(G3329/I3329,0)</x:f>
        <x:v>0.0625</x:v>
      </x:c>
      <x:c r="AB3329" s="28" t="n">
        <x:f>J3329-K3329</x:f>
        <x:v>-2</x:v>
      </x:c>
      <x:c r="AC3329" s="32" t="n">
        <x:f>F3329-G3329</x:f>
        <x:v>0</x:v>
      </x:c>
    </x:row>
    <x:row r="3330">
      <x:c r="A3330" s="4" t="str">
        <x:v>2025-26</x:v>
      </x:c>
      <x:c r="B3330" s="20" t="n">
        <x:v>45997</x:v>
      </x:c>
      <x:c r="C3330" s="4" t="str">
        <x:v>Liverpool</x:v>
      </x:c>
      <x:c r="D3330" s="4" t="str">
        <x:v>Leeds</x:v>
      </x:c>
      <x:c r="E3330" s="4" t="str">
        <x:v>Away</x:v>
      </x:c>
      <x:c r="F3330" s="28" t="n">
        <x:v>3</x:v>
      </x:c>
      <x:c r="G3330" s="28" t="n">
        <x:v>3</x:v>
      </x:c>
      <x:c r="H3330" s="28" t="n">
        <x:v>16</x:v>
      </x:c>
      <x:c r="I3330" s="28" t="n">
        <x:v>12</x:v>
      </x:c>
      <x:c r="J3330" s="28" t="n">
        <x:v>7</x:v>
      </x:c>
      <x:c r="K3330" s="28" t="n">
        <x:v>5</x:v>
      </x:c>
      <x:c r="L3330" s="28" t="n">
        <x:v>4</x:v>
      </x:c>
      <x:c r="M3330" s="28" t="n">
        <x:v>5</x:v>
      </x:c>
      <x:c r="N3330" s="28" t="n">
        <x:v>3</x:v>
      </x:c>
      <x:c r="O3330" s="28" t="n">
        <x:v>0</x:v>
      </x:c>
      <x:c r="P3330" s="28" t="n">
        <x:v>1</x:v>
      </x:c>
      <x:c r="Q3330" s="24" t="n">
        <x:f>IFERROR(J3330/H3330,0)</x:f>
        <x:v>0.4375</x:v>
      </x:c>
      <x:c r="R3330" s="24" t="n">
        <x:f>IFERROR(F3330/H3330,0)</x:f>
        <x:v>0.1875</x:v>
      </x:c>
      <x:c r="S3330" s="24" t="n">
        <x:f>IFERROR(F3330/J3330,0)</x:f>
        <x:v>0.42857142857142855</x:v>
      </x:c>
      <x:c r="T3330" s="28" t="n">
        <x:f>H3330-I3330</x:f>
        <x:v>4</x:v>
      </x:c>
      <x:c r="U3330" s="24" t="n">
        <x:f>IFERROR(J3330/H3330,0)-IFERROR(K3330/I3330,0)</x:f>
        <x:v>0.020833333333333315</x:v>
      </x:c>
      <x:c r="V3330" s="24" t="n">
        <x:f>IFERROR(F3330/J3330,0)-IFERROR(G3330/K3330,0)</x:f>
        <x:v>-0.17142857142857143</x:v>
      </x:c>
      <x:c r="W3330" s="28" t="n">
        <x:f>L3330-M3330</x:f>
        <x:v>-1</x:v>
      </x:c>
      <x:c r="X3330" s="24" t="n">
        <x:f>IFERROR(K3330/I3330,0)</x:f>
        <x:v>0.4166666666666667</x:v>
      </x:c>
      <x:c r="Y3330" s="24" t="n">
        <x:f>IFERROR(G3330/I3330,0)</x:f>
        <x:v>0.25</x:v>
      </x:c>
      <x:c r="Z3330" s="24" t="n">
        <x:f>IFERROR(G3330/K3330,0)</x:f>
        <x:v>0.6</x:v>
      </x:c>
      <x:c r="AA3330" s="24" t="n">
        <x:f>IFERROR(F3330/H3330,0)-IFERROR(G3330/I3330,0)</x:f>
        <x:v>-0.0625</x:v>
      </x:c>
      <x:c r="AB3330" s="28" t="n">
        <x:f>J3330-K3330</x:f>
        <x:v>2</x:v>
      </x:c>
      <x:c r="AC3330" s="32" t="n">
        <x:f>F3330-G3330</x:f>
        <x:v>0</x:v>
      </x:c>
    </x:row>
    <x:row r="3331">
      <x:c r="A3331" s="4" t="str">
        <x:v>2025-26</x:v>
      </x:c>
      <x:c r="B3331" s="20" t="n">
        <x:v>45997</x:v>
      </x:c>
      <x:c r="C3331" s="4" t="str">
        <x:v>Man City</x:v>
      </x:c>
      <x:c r="D3331" s="4" t="str">
        <x:v>Sunderland</x:v>
      </x:c>
      <x:c r="E3331" s="4" t="str">
        <x:v>Home</x:v>
      </x:c>
      <x:c r="F3331" s="28" t="n">
        <x:v>3</x:v>
      </x:c>
      <x:c r="G3331" s="28" t="n">
        <x:v>0</x:v>
      </x:c>
      <x:c r="H3331" s="28" t="n">
        <x:v>18</x:v>
      </x:c>
      <x:c r="I3331" s="28" t="n">
        <x:v>8</x:v>
      </x:c>
      <x:c r="J3331" s="28" t="n">
        <x:v>6</x:v>
      </x:c>
      <x:c r="K3331" s="28" t="n">
        <x:v>1</x:v>
      </x:c>
      <x:c r="L3331" s="28" t="n">
        <x:v>6</x:v>
      </x:c>
      <x:c r="M3331" s="28" t="n">
        <x:v>5</x:v>
      </x:c>
      <x:c r="N3331" s="28" t="n">
        <x:v>1</x:v>
      </x:c>
      <x:c r="O3331" s="28" t="n">
        <x:v>0</x:v>
      </x:c>
      <x:c r="P3331" s="28" t="n">
        <x:v>3</x:v>
      </x:c>
      <x:c r="Q3331" s="24" t="n">
        <x:f>IFERROR(J3331/H3331,0)</x:f>
        <x:v>0.3333333333333333</x:v>
      </x:c>
      <x:c r="R3331" s="24" t="n">
        <x:f>IFERROR(F3331/H3331,0)</x:f>
        <x:v>0.16666666666666666</x:v>
      </x:c>
      <x:c r="S3331" s="24" t="n">
        <x:f>IFERROR(F3331/J3331,0)</x:f>
        <x:v>0.5</x:v>
      </x:c>
      <x:c r="T3331" s="28" t="n">
        <x:f>H3331-I3331</x:f>
        <x:v>10</x:v>
      </x:c>
      <x:c r="U3331" s="24" t="n">
        <x:f>IFERROR(J3331/H3331,0)-IFERROR(K3331/I3331,0)</x:f>
        <x:v>0.20833333333333331</x:v>
      </x:c>
      <x:c r="V3331" s="24" t="n">
        <x:f>IFERROR(F3331/J3331,0)-IFERROR(G3331/K3331,0)</x:f>
        <x:v>0.5</x:v>
      </x:c>
      <x:c r="W3331" s="28" t="n">
        <x:f>L3331-M3331</x:f>
        <x:v>1</x:v>
      </x:c>
      <x:c r="X3331" s="24" t="n">
        <x:f>IFERROR(K3331/I3331,0)</x:f>
        <x:v>0.125</x:v>
      </x:c>
      <x:c r="Y3331" s="24" t="n">
        <x:f>IFERROR(G3331/I3331,0)</x:f>
        <x:v>0</x:v>
      </x:c>
      <x:c r="Z3331" s="24" t="n">
        <x:f>IFERROR(G3331/K3331,0)</x:f>
        <x:v>0</x:v>
      </x:c>
      <x:c r="AA3331" s="24" t="n">
        <x:f>IFERROR(F3331/H3331,0)-IFERROR(G3331/I3331,0)</x:f>
        <x:v>0.16666666666666666</x:v>
      </x:c>
      <x:c r="AB3331" s="28" t="n">
        <x:f>J3331-K3331</x:f>
        <x:v>5</x:v>
      </x:c>
      <x:c r="AC3331" s="32" t="n">
        <x:f>F3331-G3331</x:f>
        <x:v>3</x:v>
      </x:c>
    </x:row>
    <x:row r="3332">
      <x:c r="A3332" s="4" t="str">
        <x:v>2025-26</x:v>
      </x:c>
      <x:c r="B3332" s="20" t="n">
        <x:v>45997</x:v>
      </x:c>
      <x:c r="C3332" s="4" t="str">
        <x:v>Newcastle</x:v>
      </x:c>
      <x:c r="D3332" s="4" t="str">
        <x:v>Burnley</x:v>
      </x:c>
      <x:c r="E3332" s="4" t="str">
        <x:v>Home</x:v>
      </x:c>
      <x:c r="F3332" s="28" t="n">
        <x:v>2</x:v>
      </x:c>
      <x:c r="G3332" s="28" t="n">
        <x:v>1</x:v>
      </x:c>
      <x:c r="H3332" s="28" t="n">
        <x:v>17</x:v>
      </x:c>
      <x:c r="I3332" s="28" t="n">
        <x:v>9</x:v>
      </x:c>
      <x:c r="J3332" s="28" t="n">
        <x:v>7</x:v>
      </x:c>
      <x:c r="K3332" s="28" t="n">
        <x:v>3</x:v>
      </x:c>
      <x:c r="L3332" s="28" t="n">
        <x:v>9</x:v>
      </x:c>
      <x:c r="M3332" s="28" t="n">
        <x:v>9</x:v>
      </x:c>
      <x:c r="N3332" s="28" t="n">
        <x:v>2</x:v>
      </x:c>
      <x:c r="O3332" s="28" t="n">
        <x:v>0</x:v>
      </x:c>
      <x:c r="P3332" s="28" t="n">
        <x:v>3</x:v>
      </x:c>
      <x:c r="Q3332" s="24" t="n">
        <x:f>IFERROR(J3332/H3332,0)</x:f>
        <x:v>0.4117647058823529</x:v>
      </x:c>
      <x:c r="R3332" s="24" t="n">
        <x:f>IFERROR(F3332/H3332,0)</x:f>
        <x:v>0.11764705882352941</x:v>
      </x:c>
      <x:c r="S3332" s="24" t="n">
        <x:f>IFERROR(F3332/J3332,0)</x:f>
        <x:v>0.2857142857142857</x:v>
      </x:c>
      <x:c r="T3332" s="28" t="n">
        <x:f>H3332-I3332</x:f>
        <x:v>8</x:v>
      </x:c>
      <x:c r="U3332" s="24" t="n">
        <x:f>IFERROR(J3332/H3332,0)-IFERROR(K3332/I3332,0)</x:f>
        <x:v>0.0784313725490196</x:v>
      </x:c>
      <x:c r="V3332" s="24" t="n">
        <x:f>IFERROR(F3332/J3332,0)-IFERROR(G3332/K3332,0)</x:f>
        <x:v>-0.047619047619047616</x:v>
      </x:c>
      <x:c r="W3332" s="28" t="n">
        <x:f>L3332-M3332</x:f>
        <x:v>0</x:v>
      </x:c>
      <x:c r="X3332" s="24" t="n">
        <x:f>IFERROR(K3332/I3332,0)</x:f>
        <x:v>0.3333333333333333</x:v>
      </x:c>
      <x:c r="Y3332" s="24" t="n">
        <x:f>IFERROR(G3332/I3332,0)</x:f>
        <x:v>0.1111111111111111</x:v>
      </x:c>
      <x:c r="Z3332" s="24" t="n">
        <x:f>IFERROR(G3332/K3332,0)</x:f>
        <x:v>0.3333333333333333</x:v>
      </x:c>
      <x:c r="AA3332" s="24" t="n">
        <x:f>IFERROR(F3332/H3332,0)-IFERROR(G3332/I3332,0)</x:f>
        <x:v>0.006535947712418305</x:v>
      </x:c>
      <x:c r="AB3332" s="28" t="n">
        <x:f>J3332-K3332</x:f>
        <x:v>4</x:v>
      </x:c>
      <x:c r="AC3332" s="32" t="n">
        <x:f>F3332-G3332</x:f>
        <x:v>1</x:v>
      </x:c>
    </x:row>
    <x:row r="3333">
      <x:c r="A3333" s="4" t="str">
        <x:v>2025-26</x:v>
      </x:c>
      <x:c r="B3333" s="20" t="n">
        <x:v>45997</x:v>
      </x:c>
      <x:c r="C3333" s="4" t="str">
        <x:v>Nott'm Forest</x:v>
      </x:c>
      <x:c r="D3333" s="4" t="str">
        <x:v>Everton</x:v>
      </x:c>
      <x:c r="E3333" s="4" t="str">
        <x:v>Away</x:v>
      </x:c>
      <x:c r="F3333" s="28" t="n">
        <x:v>0</x:v>
      </x:c>
      <x:c r="G3333" s="28" t="n">
        <x:v>3</x:v>
      </x:c>
      <x:c r="H3333" s="28" t="n">
        <x:v>7</x:v>
      </x:c>
      <x:c r="I3333" s="28" t="n">
        <x:v>11</x:v>
      </x:c>
      <x:c r="J3333" s="28" t="n">
        <x:v>3</x:v>
      </x:c>
      <x:c r="K3333" s="28" t="n">
        <x:v>5</x:v>
      </x:c>
      <x:c r="L3333" s="28" t="n">
        <x:v>3</x:v>
      </x:c>
      <x:c r="M3333" s="28" t="n">
        <x:v>6</x:v>
      </x:c>
      <x:c r="N3333" s="28" t="n">
        <x:v>3</x:v>
      </x:c>
      <x:c r="O3333" s="28" t="n">
        <x:v>0</x:v>
      </x:c>
      <x:c r="P3333" s="28" t="n">
        <x:v>0</x:v>
      </x:c>
      <x:c r="Q3333" s="24" t="n">
        <x:f>IFERROR(J3333/H3333,0)</x:f>
        <x:v>0.42857142857142855</x:v>
      </x:c>
      <x:c r="R3333" s="24" t="n">
        <x:f>IFERROR(F3333/H3333,0)</x:f>
        <x:v>0</x:v>
      </x:c>
      <x:c r="S3333" s="24" t="n">
        <x:f>IFERROR(F3333/J3333,0)</x:f>
        <x:v>0</x:v>
      </x:c>
      <x:c r="T3333" s="28" t="n">
        <x:f>H3333-I3333</x:f>
        <x:v>-4</x:v>
      </x:c>
      <x:c r="U3333" s="24" t="n">
        <x:f>IFERROR(J3333/H3333,0)-IFERROR(K3333/I3333,0)</x:f>
        <x:v>-0.025974025974025983</x:v>
      </x:c>
      <x:c r="V3333" s="24" t="n">
        <x:f>IFERROR(F3333/J3333,0)-IFERROR(G3333/K3333,0)</x:f>
        <x:v>-0.6</x:v>
      </x:c>
      <x:c r="W3333" s="28" t="n">
        <x:f>L3333-M3333</x:f>
        <x:v>-3</x:v>
      </x:c>
      <x:c r="X3333" s="24" t="n">
        <x:f>IFERROR(K3333/I3333,0)</x:f>
        <x:v>0.45454545454545453</x:v>
      </x:c>
      <x:c r="Y3333" s="24" t="n">
        <x:f>IFERROR(G3333/I3333,0)</x:f>
        <x:v>0.2727272727272727</x:v>
      </x:c>
      <x:c r="Z3333" s="24" t="n">
        <x:f>IFERROR(G3333/K3333,0)</x:f>
        <x:v>0.6</x:v>
      </x:c>
      <x:c r="AA3333" s="24" t="n">
        <x:f>IFERROR(F3333/H3333,0)-IFERROR(G3333/I3333,0)</x:f>
        <x:v>-0.2727272727272727</x:v>
      </x:c>
      <x:c r="AB3333" s="28" t="n">
        <x:f>J3333-K3333</x:f>
        <x:v>-2</x:v>
      </x:c>
      <x:c r="AC3333" s="32" t="n">
        <x:f>F3333-G3333</x:f>
        <x:v>-3</x:v>
      </x:c>
    </x:row>
    <x:row r="3334">
      <x:c r="A3334" s="4" t="str">
        <x:v>2025-26</x:v>
      </x:c>
      <x:c r="B3334" s="20" t="n">
        <x:v>45997</x:v>
      </x:c>
      <x:c r="C3334" s="4" t="str">
        <x:v>Sunderland</x:v>
      </x:c>
      <x:c r="D3334" s="4" t="str">
        <x:v>Man City</x:v>
      </x:c>
      <x:c r="E3334" s="4" t="str">
        <x:v>Away</x:v>
      </x:c>
      <x:c r="F3334" s="28" t="n">
        <x:v>0</x:v>
      </x:c>
      <x:c r="G3334" s="28" t="n">
        <x:v>3</x:v>
      </x:c>
      <x:c r="H3334" s="28" t="n">
        <x:v>8</x:v>
      </x:c>
      <x:c r="I3334" s="28" t="n">
        <x:v>18</x:v>
      </x:c>
      <x:c r="J3334" s="28" t="n">
        <x:v>1</x:v>
      </x:c>
      <x:c r="K3334" s="28" t="n">
        <x:v>6</x:v>
      </x:c>
      <x:c r="L3334" s="28" t="n">
        <x:v>5</x:v>
      </x:c>
      <x:c r="M3334" s="28" t="n">
        <x:v>6</x:v>
      </x:c>
      <x:c r="N3334" s="28" t="n">
        <x:v>0</x:v>
      </x:c>
      <x:c r="O3334" s="28" t="n">
        <x:v>1</x:v>
      </x:c>
      <x:c r="P3334" s="28" t="n">
        <x:v>0</x:v>
      </x:c>
      <x:c r="Q3334" s="24" t="n">
        <x:f>IFERROR(J3334/H3334,0)</x:f>
        <x:v>0.125</x:v>
      </x:c>
      <x:c r="R3334" s="24" t="n">
        <x:f>IFERROR(F3334/H3334,0)</x:f>
        <x:v>0</x:v>
      </x:c>
      <x:c r="S3334" s="24" t="n">
        <x:f>IFERROR(F3334/J3334,0)</x:f>
        <x:v>0</x:v>
      </x:c>
      <x:c r="T3334" s="28" t="n">
        <x:f>H3334-I3334</x:f>
        <x:v>-10</x:v>
      </x:c>
      <x:c r="U3334" s="24" t="n">
        <x:f>IFERROR(J3334/H3334,0)-IFERROR(K3334/I3334,0)</x:f>
        <x:v>-0.20833333333333331</x:v>
      </x:c>
      <x:c r="V3334" s="24" t="n">
        <x:f>IFERROR(F3334/J3334,0)-IFERROR(G3334/K3334,0)</x:f>
        <x:v>-0.5</x:v>
      </x:c>
      <x:c r="W3334" s="28" t="n">
        <x:f>L3334-M3334</x:f>
        <x:v>-1</x:v>
      </x:c>
      <x:c r="X3334" s="24" t="n">
        <x:f>IFERROR(K3334/I3334,0)</x:f>
        <x:v>0.3333333333333333</x:v>
      </x:c>
      <x:c r="Y3334" s="24" t="n">
        <x:f>IFERROR(G3334/I3334,0)</x:f>
        <x:v>0.16666666666666666</x:v>
      </x:c>
      <x:c r="Z3334" s="24" t="n">
        <x:f>IFERROR(G3334/K3334,0)</x:f>
        <x:v>0.5</x:v>
      </x:c>
      <x:c r="AA3334" s="24" t="n">
        <x:f>IFERROR(F3334/H3334,0)-IFERROR(G3334/I3334,0)</x:f>
        <x:v>-0.16666666666666666</x:v>
      </x:c>
      <x:c r="AB3334" s="28" t="n">
        <x:f>J3334-K3334</x:f>
        <x:v>-5</x:v>
      </x:c>
      <x:c r="AC3334" s="32" t="n">
        <x:f>F3334-G3334</x:f>
        <x:v>-3</x:v>
      </x:c>
    </x:row>
    <x:row r="3335">
      <x:c r="A3335" s="4" t="str">
        <x:v>2025-26</x:v>
      </x:c>
      <x:c r="B3335" s="20" t="n">
        <x:v>45997</x:v>
      </x:c>
      <x:c r="C3335" s="4" t="str">
        <x:v>Tottenham</x:v>
      </x:c>
      <x:c r="D3335" s="4" t="str">
        <x:v>Brentford</x:v>
      </x:c>
      <x:c r="E3335" s="4" t="str">
        <x:v>Home</x:v>
      </x:c>
      <x:c r="F3335" s="28" t="n">
        <x:v>2</x:v>
      </x:c>
      <x:c r="G3335" s="28" t="n">
        <x:v>0</x:v>
      </x:c>
      <x:c r="H3335" s="28" t="n">
        <x:v>15</x:v>
      </x:c>
      <x:c r="I3335" s="28" t="n">
        <x:v>4</x:v>
      </x:c>
      <x:c r="J3335" s="28" t="n">
        <x:v>7</x:v>
      </x:c>
      <x:c r="K3335" s="28" t="n">
        <x:v>1</x:v>
      </x:c>
      <x:c r="L3335" s="28" t="n">
        <x:v>7</x:v>
      </x:c>
      <x:c r="M3335" s="28" t="n">
        <x:v>6</x:v>
      </x:c>
      <x:c r="N3335" s="28" t="n">
        <x:v>3</x:v>
      </x:c>
      <x:c r="O3335" s="28" t="n">
        <x:v>0</x:v>
      </x:c>
      <x:c r="P3335" s="28" t="n">
        <x:v>3</x:v>
      </x:c>
      <x:c r="Q3335" s="24" t="n">
        <x:f>IFERROR(J3335/H3335,0)</x:f>
        <x:v>0.4666666666666667</x:v>
      </x:c>
      <x:c r="R3335" s="24" t="n">
        <x:f>IFERROR(F3335/H3335,0)</x:f>
        <x:v>0.13333333333333333</x:v>
      </x:c>
      <x:c r="S3335" s="24" t="n">
        <x:f>IFERROR(F3335/J3335,0)</x:f>
        <x:v>0.2857142857142857</x:v>
      </x:c>
      <x:c r="T3335" s="28" t="n">
        <x:f>H3335-I3335</x:f>
        <x:v>11</x:v>
      </x:c>
      <x:c r="U3335" s="24" t="n">
        <x:f>IFERROR(J3335/H3335,0)-IFERROR(K3335/I3335,0)</x:f>
        <x:v>0.21666666666666667</x:v>
      </x:c>
      <x:c r="V3335" s="24" t="n">
        <x:f>IFERROR(F3335/J3335,0)-IFERROR(G3335/K3335,0)</x:f>
        <x:v>0.2857142857142857</x:v>
      </x:c>
      <x:c r="W3335" s="28" t="n">
        <x:f>L3335-M3335</x:f>
        <x:v>1</x:v>
      </x:c>
      <x:c r="X3335" s="24" t="n">
        <x:f>IFERROR(K3335/I3335,0)</x:f>
        <x:v>0.25</x:v>
      </x:c>
      <x:c r="Y3335" s="24" t="n">
        <x:f>IFERROR(G3335/I3335,0)</x:f>
        <x:v>0</x:v>
      </x:c>
      <x:c r="Z3335" s="24" t="n">
        <x:f>IFERROR(G3335/K3335,0)</x:f>
        <x:v>0</x:v>
      </x:c>
      <x:c r="AA3335" s="24" t="n">
        <x:f>IFERROR(F3335/H3335,0)-IFERROR(G3335/I3335,0)</x:f>
        <x:v>0.13333333333333333</x:v>
      </x:c>
      <x:c r="AB3335" s="28" t="n">
        <x:f>J3335-K3335</x:f>
        <x:v>6</x:v>
      </x:c>
      <x:c r="AC3335" s="32" t="n">
        <x:f>F3335-G3335</x:f>
        <x:v>2</x:v>
      </x:c>
    </x:row>
    <x:row r="3336">
      <x:c r="A3336" s="4" t="str">
        <x:v>2025-26</x:v>
      </x:c>
      <x:c r="B3336" s="20" t="n">
        <x:v>45998</x:v>
      </x:c>
      <x:c r="C3336" s="4" t="str">
        <x:v>Brighton</x:v>
      </x:c>
      <x:c r="D3336" s="4" t="str">
        <x:v>West Ham</x:v>
      </x:c>
      <x:c r="E3336" s="4" t="str">
        <x:v>Home</x:v>
      </x:c>
      <x:c r="F3336" s="28" t="n">
        <x:v>1</x:v>
      </x:c>
      <x:c r="G3336" s="28" t="n">
        <x:v>1</x:v>
      </x:c>
      <x:c r="H3336" s="28" t="n">
        <x:v>22</x:v>
      </x:c>
      <x:c r="I3336" s="28" t="n">
        <x:v>14</x:v>
      </x:c>
      <x:c r="J3336" s="28" t="n">
        <x:v>4</x:v>
      </x:c>
      <x:c r="K3336" s="28" t="n">
        <x:v>5</x:v>
      </x:c>
      <x:c r="L3336" s="28" t="n">
        <x:v>10</x:v>
      </x:c>
      <x:c r="M3336" s="28" t="n">
        <x:v>6</x:v>
      </x:c>
      <x:c r="N3336" s="28" t="n">
        <x:v>2</x:v>
      </x:c>
      <x:c r="O3336" s="28" t="n">
        <x:v>0</x:v>
      </x:c>
      <x:c r="P3336" s="28" t="n">
        <x:v>1</x:v>
      </x:c>
      <x:c r="Q3336" s="24" t="n">
        <x:f>IFERROR(J3336/H3336,0)</x:f>
        <x:v>0.18181818181818182</x:v>
      </x:c>
      <x:c r="R3336" s="24" t="n">
        <x:f>IFERROR(F3336/H3336,0)</x:f>
        <x:v>0.045454545454545456</x:v>
      </x:c>
      <x:c r="S3336" s="24" t="n">
        <x:f>IFERROR(F3336/J3336,0)</x:f>
        <x:v>0.25</x:v>
      </x:c>
      <x:c r="T3336" s="28" t="n">
        <x:f>H3336-I3336</x:f>
        <x:v>8</x:v>
      </x:c>
      <x:c r="U3336" s="24" t="n">
        <x:f>IFERROR(J3336/H3336,0)-IFERROR(K3336/I3336,0)</x:f>
        <x:v>-0.17532467532467533</x:v>
      </x:c>
      <x:c r="V3336" s="24" t="n">
        <x:f>IFERROR(F3336/J3336,0)-IFERROR(G3336/K3336,0)</x:f>
        <x:v>0.04999999999999999</x:v>
      </x:c>
      <x:c r="W3336" s="28" t="n">
        <x:f>L3336-M3336</x:f>
        <x:v>4</x:v>
      </x:c>
      <x:c r="X3336" s="24" t="n">
        <x:f>IFERROR(K3336/I3336,0)</x:f>
        <x:v>0.35714285714285715</x:v>
      </x:c>
      <x:c r="Y3336" s="24" t="n">
        <x:f>IFERROR(G3336/I3336,0)</x:f>
        <x:v>0.07142857142857142</x:v>
      </x:c>
      <x:c r="Z3336" s="24" t="n">
        <x:f>IFERROR(G3336/K3336,0)</x:f>
        <x:v>0.2</x:v>
      </x:c>
      <x:c r="AA3336" s="24" t="n">
        <x:f>IFERROR(F3336/H3336,0)-IFERROR(G3336/I3336,0)</x:f>
        <x:v>-0.02597402597402597</x:v>
      </x:c>
      <x:c r="AB3336" s="28" t="n">
        <x:f>J3336-K3336</x:f>
        <x:v>-1</x:v>
      </x:c>
      <x:c r="AC3336" s="32" t="n">
        <x:f>F3336-G3336</x:f>
        <x:v>0</x:v>
      </x:c>
    </x:row>
    <x:row r="3337">
      <x:c r="A3337" s="4" t="str">
        <x:v>2025-26</x:v>
      </x:c>
      <x:c r="B3337" s="20" t="n">
        <x:v>45998</x:v>
      </x:c>
      <x:c r="C3337" s="4" t="str">
        <x:v>Crystal Palace</x:v>
      </x:c>
      <x:c r="D3337" s="4" t="str">
        <x:v>Fulham</x:v>
      </x:c>
      <x:c r="E3337" s="4" t="str">
        <x:v>Away</x:v>
      </x:c>
      <x:c r="F3337" s="28" t="n">
        <x:v>2</x:v>
      </x:c>
      <x:c r="G3337" s="28" t="n">
        <x:v>1</x:v>
      </x:c>
      <x:c r="H3337" s="28" t="n">
        <x:v>11</x:v>
      </x:c>
      <x:c r="I3337" s="28" t="n">
        <x:v>12</x:v>
      </x:c>
      <x:c r="J3337" s="28" t="n">
        <x:v>5</x:v>
      </x:c>
      <x:c r="K3337" s="28" t="n">
        <x:v>4</x:v>
      </x:c>
      <x:c r="L3337" s="28" t="n">
        <x:v>4</x:v>
      </x:c>
      <x:c r="M3337" s="28" t="n">
        <x:v>6</x:v>
      </x:c>
      <x:c r="N3337" s="28" t="n">
        <x:v>0</x:v>
      </x:c>
      <x:c r="O3337" s="28" t="n">
        <x:v>0</x:v>
      </x:c>
      <x:c r="P3337" s="28" t="n">
        <x:v>3</x:v>
      </x:c>
      <x:c r="Q3337" s="24" t="n">
        <x:f>IFERROR(J3337/H3337,0)</x:f>
        <x:v>0.45454545454545453</x:v>
      </x:c>
      <x:c r="R3337" s="24" t="n">
        <x:f>IFERROR(F3337/H3337,0)</x:f>
        <x:v>0.18181818181818182</x:v>
      </x:c>
      <x:c r="S3337" s="24" t="n">
        <x:f>IFERROR(F3337/J3337,0)</x:f>
        <x:v>0.4</x:v>
      </x:c>
      <x:c r="T3337" s="28" t="n">
        <x:f>H3337-I3337</x:f>
        <x:v>-1</x:v>
      </x:c>
      <x:c r="U3337" s="24" t="n">
        <x:f>IFERROR(J3337/H3337,0)-IFERROR(K3337/I3337,0)</x:f>
        <x:v>0.12121212121212122</x:v>
      </x:c>
      <x:c r="V3337" s="24" t="n">
        <x:f>IFERROR(F3337/J3337,0)-IFERROR(G3337/K3337,0)</x:f>
        <x:v>0.15000000000000002</x:v>
      </x:c>
      <x:c r="W3337" s="28" t="n">
        <x:f>L3337-M3337</x:f>
        <x:v>-2</x:v>
      </x:c>
      <x:c r="X3337" s="24" t="n">
        <x:f>IFERROR(K3337/I3337,0)</x:f>
        <x:v>0.3333333333333333</x:v>
      </x:c>
      <x:c r="Y3337" s="24" t="n">
        <x:f>IFERROR(G3337/I3337,0)</x:f>
        <x:v>0.08333333333333333</x:v>
      </x:c>
      <x:c r="Z3337" s="24" t="n">
        <x:f>IFERROR(G3337/K3337,0)</x:f>
        <x:v>0.25</x:v>
      </x:c>
      <x:c r="AA3337" s="24" t="n">
        <x:f>IFERROR(F3337/H3337,0)-IFERROR(G3337/I3337,0)</x:f>
        <x:v>0.0984848484848485</x:v>
      </x:c>
      <x:c r="AB3337" s="28" t="n">
        <x:f>J3337-K3337</x:f>
        <x:v>1</x:v>
      </x:c>
      <x:c r="AC3337" s="32" t="n">
        <x:f>F3337-G3337</x:f>
        <x:v>1</x:v>
      </x:c>
    </x:row>
    <x:row r="3338">
      <x:c r="A3338" s="4" t="str">
        <x:v>2025-26</x:v>
      </x:c>
      <x:c r="B3338" s="20" t="n">
        <x:v>45998</x:v>
      </x:c>
      <x:c r="C3338" s="4" t="str">
        <x:v>Fulham</x:v>
      </x:c>
      <x:c r="D3338" s="4" t="str">
        <x:v>Crystal Palace</x:v>
      </x:c>
      <x:c r="E3338" s="4" t="str">
        <x:v>Home</x:v>
      </x:c>
      <x:c r="F3338" s="28" t="n">
        <x:v>1</x:v>
      </x:c>
      <x:c r="G3338" s="28" t="n">
        <x:v>2</x:v>
      </x:c>
      <x:c r="H3338" s="28" t="n">
        <x:v>12</x:v>
      </x:c>
      <x:c r="I3338" s="28" t="n">
        <x:v>11</x:v>
      </x:c>
      <x:c r="J3338" s="28" t="n">
        <x:v>4</x:v>
      </x:c>
      <x:c r="K3338" s="28" t="n">
        <x:v>5</x:v>
      </x:c>
      <x:c r="L3338" s="28" t="n">
        <x:v>6</x:v>
      </x:c>
      <x:c r="M3338" s="28" t="n">
        <x:v>4</x:v>
      </x:c>
      <x:c r="N3338" s="28" t="n">
        <x:v>0</x:v>
      </x:c>
      <x:c r="O3338" s="28" t="n">
        <x:v>0</x:v>
      </x:c>
      <x:c r="P3338" s="28" t="n">
        <x:v>0</x:v>
      </x:c>
      <x:c r="Q3338" s="24" t="n">
        <x:f>IFERROR(J3338/H3338,0)</x:f>
        <x:v>0.3333333333333333</x:v>
      </x:c>
      <x:c r="R3338" s="24" t="n">
        <x:f>IFERROR(F3338/H3338,0)</x:f>
        <x:v>0.08333333333333333</x:v>
      </x:c>
      <x:c r="S3338" s="24" t="n">
        <x:f>IFERROR(F3338/J3338,0)</x:f>
        <x:v>0.25</x:v>
      </x:c>
      <x:c r="T3338" s="28" t="n">
        <x:f>H3338-I3338</x:f>
        <x:v>1</x:v>
      </x:c>
      <x:c r="U3338" s="24" t="n">
        <x:f>IFERROR(J3338/H3338,0)-IFERROR(K3338/I3338,0)</x:f>
        <x:v>-0.12121212121212122</x:v>
      </x:c>
      <x:c r="V3338" s="24" t="n">
        <x:f>IFERROR(F3338/J3338,0)-IFERROR(G3338/K3338,0)</x:f>
        <x:v>-0.15000000000000002</x:v>
      </x:c>
      <x:c r="W3338" s="28" t="n">
        <x:f>L3338-M3338</x:f>
        <x:v>2</x:v>
      </x:c>
      <x:c r="X3338" s="24" t="n">
        <x:f>IFERROR(K3338/I3338,0)</x:f>
        <x:v>0.45454545454545453</x:v>
      </x:c>
      <x:c r="Y3338" s="24" t="n">
        <x:f>IFERROR(G3338/I3338,0)</x:f>
        <x:v>0.18181818181818182</x:v>
      </x:c>
      <x:c r="Z3338" s="24" t="n">
        <x:f>IFERROR(G3338/K3338,0)</x:f>
        <x:v>0.4</x:v>
      </x:c>
      <x:c r="AA3338" s="24" t="n">
        <x:f>IFERROR(F3338/H3338,0)-IFERROR(G3338/I3338,0)</x:f>
        <x:v>-0.0984848484848485</x:v>
      </x:c>
      <x:c r="AB3338" s="28" t="n">
        <x:f>J3338-K3338</x:f>
        <x:v>-1</x:v>
      </x:c>
      <x:c r="AC3338" s="32" t="n">
        <x:f>F3338-G3338</x:f>
        <x:v>-1</x:v>
      </x:c>
    </x:row>
    <x:row r="3339">
      <x:c r="A3339" s="4" t="str">
        <x:v>2025-26</x:v>
      </x:c>
      <x:c r="B3339" s="20" t="n">
        <x:v>45998</x:v>
      </x:c>
      <x:c r="C3339" s="4" t="str">
        <x:v>West Ham</x:v>
      </x:c>
      <x:c r="D3339" s="4" t="str">
        <x:v>Brighton</x:v>
      </x:c>
      <x:c r="E3339" s="4" t="str">
        <x:v>Away</x:v>
      </x:c>
      <x:c r="F3339" s="28" t="n">
        <x:v>1</x:v>
      </x:c>
      <x:c r="G3339" s="28" t="n">
        <x:v>1</x:v>
      </x:c>
      <x:c r="H3339" s="28" t="n">
        <x:v>14</x:v>
      </x:c>
      <x:c r="I3339" s="28" t="n">
        <x:v>22</x:v>
      </x:c>
      <x:c r="J3339" s="28" t="n">
        <x:v>5</x:v>
      </x:c>
      <x:c r="K3339" s="28" t="n">
        <x:v>4</x:v>
      </x:c>
      <x:c r="L3339" s="28" t="n">
        <x:v>6</x:v>
      </x:c>
      <x:c r="M3339" s="28" t="n">
        <x:v>10</x:v>
      </x:c>
      <x:c r="N3339" s="28" t="n">
        <x:v>2</x:v>
      </x:c>
      <x:c r="O3339" s="28" t="n">
        <x:v>0</x:v>
      </x:c>
      <x:c r="P3339" s="28" t="n">
        <x:v>1</x:v>
      </x:c>
      <x:c r="Q3339" s="24" t="n">
        <x:f>IFERROR(J3339/H3339,0)</x:f>
        <x:v>0.35714285714285715</x:v>
      </x:c>
      <x:c r="R3339" s="24" t="n">
        <x:f>IFERROR(F3339/H3339,0)</x:f>
        <x:v>0.07142857142857142</x:v>
      </x:c>
      <x:c r="S3339" s="24" t="n">
        <x:f>IFERROR(F3339/J3339,0)</x:f>
        <x:v>0.2</x:v>
      </x:c>
      <x:c r="T3339" s="28" t="n">
        <x:f>H3339-I3339</x:f>
        <x:v>-8</x:v>
      </x:c>
      <x:c r="U3339" s="24" t="n">
        <x:f>IFERROR(J3339/H3339,0)-IFERROR(K3339/I3339,0)</x:f>
        <x:v>0.17532467532467533</x:v>
      </x:c>
      <x:c r="V3339" s="24" t="n">
        <x:f>IFERROR(F3339/J3339,0)-IFERROR(G3339/K3339,0)</x:f>
        <x:v>-0.04999999999999999</x:v>
      </x:c>
      <x:c r="W3339" s="28" t="n">
        <x:f>L3339-M3339</x:f>
        <x:v>-4</x:v>
      </x:c>
      <x:c r="X3339" s="24" t="n">
        <x:f>IFERROR(K3339/I3339,0)</x:f>
        <x:v>0.18181818181818182</x:v>
      </x:c>
      <x:c r="Y3339" s="24" t="n">
        <x:f>IFERROR(G3339/I3339,0)</x:f>
        <x:v>0.045454545454545456</x:v>
      </x:c>
      <x:c r="Z3339" s="24" t="n">
        <x:f>IFERROR(G3339/K3339,0)</x:f>
        <x:v>0.25</x:v>
      </x:c>
      <x:c r="AA3339" s="24" t="n">
        <x:f>IFERROR(F3339/H3339,0)-IFERROR(G3339/I3339,0)</x:f>
        <x:v>0.02597402597402597</x:v>
      </x:c>
      <x:c r="AB3339" s="28" t="n">
        <x:f>J3339-K3339</x:f>
        <x:v>1</x:v>
      </x:c>
      <x:c r="AC3339" s="32" t="n">
        <x:f>F3339-G3339</x:f>
        <x:v>0</x:v>
      </x:c>
    </x:row>
    <x:row r="3340">
      <x:c r="A3340" s="4" t="str">
        <x:v>2025-26</x:v>
      </x:c>
      <x:c r="B3340" s="20" t="n">
        <x:v>45999</x:v>
      </x:c>
      <x:c r="C3340" s="4" t="str">
        <x:v>Man United</x:v>
      </x:c>
      <x:c r="D3340" s="4" t="str">
        <x:v>Wolves</x:v>
      </x:c>
      <x:c r="E3340" s="4" t="str">
        <x:v>Away</x:v>
      </x:c>
      <x:c r="F3340" s="28" t="n">
        <x:v>4</x:v>
      </x:c>
      <x:c r="G3340" s="28" t="n">
        <x:v>1</x:v>
      </x:c>
      <x:c r="H3340" s="28" t="n">
        <x:v>27</x:v>
      </x:c>
      <x:c r="I3340" s="28" t="n">
        <x:v>8</x:v>
      </x:c>
      <x:c r="J3340" s="28" t="n">
        <x:v>10</x:v>
      </x:c>
      <x:c r="K3340" s="28" t="n">
        <x:v>2</x:v>
      </x:c>
      <x:c r="L3340" s="28" t="n">
        <x:v>9</x:v>
      </x:c>
      <x:c r="M3340" s="28" t="n">
        <x:v>1</x:v>
      </x:c>
      <x:c r="N3340" s="28" t="n">
        <x:v>2</x:v>
      </x:c>
      <x:c r="O3340" s="28" t="n">
        <x:v>0</x:v>
      </x:c>
      <x:c r="P3340" s="28" t="n">
        <x:v>3</x:v>
      </x:c>
      <x:c r="Q3340" s="24" t="n">
        <x:f>IFERROR(J3340/H3340,0)</x:f>
        <x:v>0.37037037037037035</x:v>
      </x:c>
      <x:c r="R3340" s="24" t="n">
        <x:f>IFERROR(F3340/H3340,0)</x:f>
        <x:v>0.14814814814814814</x:v>
      </x:c>
      <x:c r="S3340" s="24" t="n">
        <x:f>IFERROR(F3340/J3340,0)</x:f>
        <x:v>0.4</x:v>
      </x:c>
      <x:c r="T3340" s="28" t="n">
        <x:f>H3340-I3340</x:f>
        <x:v>19</x:v>
      </x:c>
      <x:c r="U3340" s="24" t="n">
        <x:f>IFERROR(J3340/H3340,0)-IFERROR(K3340/I3340,0)</x:f>
        <x:v>0.12037037037037035</x:v>
      </x:c>
      <x:c r="V3340" s="24" t="n">
        <x:f>IFERROR(F3340/J3340,0)-IFERROR(G3340/K3340,0)</x:f>
        <x:v>-0.09999999999999998</x:v>
      </x:c>
      <x:c r="W3340" s="28" t="n">
        <x:f>L3340-M3340</x:f>
        <x:v>8</x:v>
      </x:c>
      <x:c r="X3340" s="24" t="n">
        <x:f>IFERROR(K3340/I3340,0)</x:f>
        <x:v>0.25</x:v>
      </x:c>
      <x:c r="Y3340" s="24" t="n">
        <x:f>IFERROR(G3340/I3340,0)</x:f>
        <x:v>0.125</x:v>
      </x:c>
      <x:c r="Z3340" s="24" t="n">
        <x:f>IFERROR(G3340/K3340,0)</x:f>
        <x:v>0.5</x:v>
      </x:c>
      <x:c r="AA3340" s="24" t="n">
        <x:f>IFERROR(F3340/H3340,0)-IFERROR(G3340/I3340,0)</x:f>
        <x:v>0.02314814814814814</x:v>
      </x:c>
      <x:c r="AB3340" s="28" t="n">
        <x:f>J3340-K3340</x:f>
        <x:v>8</x:v>
      </x:c>
      <x:c r="AC3340" s="32" t="n">
        <x:f>F3340-G3340</x:f>
        <x:v>3</x:v>
      </x:c>
    </x:row>
    <x:row r="3341">
      <x:c r="A3341" s="4" t="str">
        <x:v>2025-26</x:v>
      </x:c>
      <x:c r="B3341" s="20" t="n">
        <x:v>45999</x:v>
      </x:c>
      <x:c r="C3341" s="4" t="str">
        <x:v>Wolves</x:v>
      </x:c>
      <x:c r="D3341" s="4" t="str">
        <x:v>Man United</x:v>
      </x:c>
      <x:c r="E3341" s="4" t="str">
        <x:v>Home</x:v>
      </x:c>
      <x:c r="F3341" s="28" t="n">
        <x:v>1</x:v>
      </x:c>
      <x:c r="G3341" s="28" t="n">
        <x:v>4</x:v>
      </x:c>
      <x:c r="H3341" s="28" t="n">
        <x:v>8</x:v>
      </x:c>
      <x:c r="I3341" s="28" t="n">
        <x:v>27</x:v>
      </x:c>
      <x:c r="J3341" s="28" t="n">
        <x:v>2</x:v>
      </x:c>
      <x:c r="K3341" s="28" t="n">
        <x:v>10</x:v>
      </x:c>
      <x:c r="L3341" s="28" t="n">
        <x:v>1</x:v>
      </x:c>
      <x:c r="M3341" s="28" t="n">
        <x:v>9</x:v>
      </x:c>
      <x:c r="N3341" s="28" t="n">
        <x:v>3</x:v>
      </x:c>
      <x:c r="O3341" s="28" t="n">
        <x:v>0</x:v>
      </x:c>
      <x:c r="P3341" s="28" t="n">
        <x:v>0</x:v>
      </x:c>
      <x:c r="Q3341" s="24" t="n">
        <x:f>IFERROR(J3341/H3341,0)</x:f>
        <x:v>0.25</x:v>
      </x:c>
      <x:c r="R3341" s="24" t="n">
        <x:f>IFERROR(F3341/H3341,0)</x:f>
        <x:v>0.125</x:v>
      </x:c>
      <x:c r="S3341" s="24" t="n">
        <x:f>IFERROR(F3341/J3341,0)</x:f>
        <x:v>0.5</x:v>
      </x:c>
      <x:c r="T3341" s="28" t="n">
        <x:f>H3341-I3341</x:f>
        <x:v>-19</x:v>
      </x:c>
      <x:c r="U3341" s="24" t="n">
        <x:f>IFERROR(J3341/H3341,0)-IFERROR(K3341/I3341,0)</x:f>
        <x:v>-0.12037037037037035</x:v>
      </x:c>
      <x:c r="V3341" s="24" t="n">
        <x:f>IFERROR(F3341/J3341,0)-IFERROR(G3341/K3341,0)</x:f>
        <x:v>0.09999999999999998</x:v>
      </x:c>
      <x:c r="W3341" s="28" t="n">
        <x:f>L3341-M3341</x:f>
        <x:v>-8</x:v>
      </x:c>
      <x:c r="X3341" s="24" t="n">
        <x:f>IFERROR(K3341/I3341,0)</x:f>
        <x:v>0.37037037037037035</x:v>
      </x:c>
      <x:c r="Y3341" s="24" t="n">
        <x:f>IFERROR(G3341/I3341,0)</x:f>
        <x:v>0.14814814814814814</x:v>
      </x:c>
      <x:c r="Z3341" s="24" t="n">
        <x:f>IFERROR(G3341/K3341,0)</x:f>
        <x:v>0.4</x:v>
      </x:c>
      <x:c r="AA3341" s="24" t="n">
        <x:f>IFERROR(F3341/H3341,0)-IFERROR(G3341/I3341,0)</x:f>
        <x:v>-0.02314814814814814</x:v>
      </x:c>
      <x:c r="AB3341" s="28" t="n">
        <x:f>J3341-K3341</x:f>
        <x:v>-8</x:v>
      </x:c>
      <x:c r="AC3341" s="32" t="n">
        <x:f>F3341-G3341</x:f>
        <x:v>-3</x:v>
      </x:c>
    </x:row>
    <x:row r="3342">
      <x:c r="A3342" s="4" t="str">
        <x:v>2025-26</x:v>
      </x:c>
      <x:c r="B3342" s="20" t="n">
        <x:v>46004</x:v>
      </x:c>
      <x:c r="C3342" s="4" t="str">
        <x:v>Arsenal</x:v>
      </x:c>
      <x:c r="D3342" s="4" t="str">
        <x:v>Wolves</x:v>
      </x:c>
      <x:c r="E3342" s="4" t="str">
        <x:v>Home</x:v>
      </x:c>
      <x:c r="F3342" s="28" t="n">
        <x:v>2</x:v>
      </x:c>
      <x:c r="G3342" s="28" t="n">
        <x:v>1</x:v>
      </x:c>
      <x:c r="H3342" s="28" t="n">
        <x:v>16</x:v>
      </x:c>
      <x:c r="I3342" s="28" t="n">
        <x:v>3</x:v>
      </x:c>
      <x:c r="J3342" s="28" t="n">
        <x:v>2</x:v>
      </x:c>
      <x:c r="K3342" s="28" t="n">
        <x:v>2</x:v>
      </x:c>
      <x:c r="L3342" s="28" t="n">
        <x:v>8</x:v>
      </x:c>
      <x:c r="M3342" s="28" t="n">
        <x:v>0</x:v>
      </x:c>
      <x:c r="N3342" s="28" t="n">
        <x:v>0</x:v>
      </x:c>
      <x:c r="O3342" s="28" t="n">
        <x:v>0</x:v>
      </x:c>
      <x:c r="P3342" s="28" t="n">
        <x:v>3</x:v>
      </x:c>
      <x:c r="Q3342" s="24" t="n">
        <x:f>IFERROR(J3342/H3342,0)</x:f>
        <x:v>0.125</x:v>
      </x:c>
      <x:c r="R3342" s="24" t="n">
        <x:f>IFERROR(F3342/H3342,0)</x:f>
        <x:v>0.125</x:v>
      </x:c>
      <x:c r="S3342" s="24" t="n">
        <x:f>IFERROR(F3342/J3342,0)</x:f>
        <x:v>1</x:v>
      </x:c>
      <x:c r="T3342" s="28" t="n">
        <x:f>H3342-I3342</x:f>
        <x:v>13</x:v>
      </x:c>
      <x:c r="U3342" s="24" t="n">
        <x:f>IFERROR(J3342/H3342,0)-IFERROR(K3342/I3342,0)</x:f>
        <x:v>-0.5416666666666666</x:v>
      </x:c>
      <x:c r="V3342" s="24" t="n">
        <x:f>IFERROR(F3342/J3342,0)-IFERROR(G3342/K3342,0)</x:f>
        <x:v>0.5</x:v>
      </x:c>
      <x:c r="W3342" s="28" t="n">
        <x:f>L3342-M3342</x:f>
        <x:v>8</x:v>
      </x:c>
      <x:c r="X3342" s="24" t="n">
        <x:f>IFERROR(K3342/I3342,0)</x:f>
        <x:v>0.6666666666666666</x:v>
      </x:c>
      <x:c r="Y3342" s="24" t="n">
        <x:f>IFERROR(G3342/I3342,0)</x:f>
        <x:v>0.3333333333333333</x:v>
      </x:c>
      <x:c r="Z3342" s="24" t="n">
        <x:f>IFERROR(G3342/K3342,0)</x:f>
        <x:v>0.5</x:v>
      </x:c>
      <x:c r="AA3342" s="24" t="n">
        <x:f>IFERROR(F3342/H3342,0)-IFERROR(G3342/I3342,0)</x:f>
        <x:v>-0.20833333333333331</x:v>
      </x:c>
      <x:c r="AB3342" s="28" t="n">
        <x:f>J3342-K3342</x:f>
        <x:v>0</x:v>
      </x:c>
      <x:c r="AC3342" s="32" t="n">
        <x:f>F3342-G3342</x:f>
        <x:v>1</x:v>
      </x:c>
    </x:row>
    <x:row r="3343">
      <x:c r="A3343" s="4" t="str">
        <x:v>2025-26</x:v>
      </x:c>
      <x:c r="B3343" s="20" t="n">
        <x:v>46004</x:v>
      </x:c>
      <x:c r="C3343" s="4" t="str">
        <x:v>Brighton</x:v>
      </x:c>
      <x:c r="D3343" s="4" t="str">
        <x:v>Liverpool</x:v>
      </x:c>
      <x:c r="E3343" s="4" t="str">
        <x:v>Away</x:v>
      </x:c>
      <x:c r="F3343" s="28" t="n">
        <x:v>0</x:v>
      </x:c>
      <x:c r="G3343" s="28" t="n">
        <x:v>2</x:v>
      </x:c>
      <x:c r="H3343" s="28" t="n">
        <x:v>14</x:v>
      </x:c>
      <x:c r="I3343" s="28" t="n">
        <x:v>18</x:v>
      </x:c>
      <x:c r="J3343" s="28" t="n">
        <x:v>1</x:v>
      </x:c>
      <x:c r="K3343" s="28" t="n">
        <x:v>4</x:v>
      </x:c>
      <x:c r="L3343" s="28" t="n">
        <x:v>2</x:v>
      </x:c>
      <x:c r="M3343" s="28" t="n">
        <x:v>2</x:v>
      </x:c>
      <x:c r="N3343" s="28" t="n">
        <x:v>2</x:v>
      </x:c>
      <x:c r="O3343" s="28" t="n">
        <x:v>0</x:v>
      </x:c>
      <x:c r="P3343" s="28" t="n">
        <x:v>0</x:v>
      </x:c>
      <x:c r="Q3343" s="24" t="n">
        <x:f>IFERROR(J3343/H3343,0)</x:f>
        <x:v>0.07142857142857142</x:v>
      </x:c>
      <x:c r="R3343" s="24" t="n">
        <x:f>IFERROR(F3343/H3343,0)</x:f>
        <x:v>0</x:v>
      </x:c>
      <x:c r="S3343" s="24" t="n">
        <x:f>IFERROR(F3343/J3343,0)</x:f>
        <x:v>0</x:v>
      </x:c>
      <x:c r="T3343" s="28" t="n">
        <x:f>H3343-I3343</x:f>
        <x:v>-4</x:v>
      </x:c>
      <x:c r="U3343" s="24" t="n">
        <x:f>IFERROR(J3343/H3343,0)-IFERROR(K3343/I3343,0)</x:f>
        <x:v>-0.15079365079365079</x:v>
      </x:c>
      <x:c r="V3343" s="24" t="n">
        <x:f>IFERROR(F3343/J3343,0)-IFERROR(G3343/K3343,0)</x:f>
        <x:v>-0.5</x:v>
      </x:c>
      <x:c r="W3343" s="28" t="n">
        <x:f>L3343-M3343</x:f>
        <x:v>0</x:v>
      </x:c>
      <x:c r="X3343" s="24" t="n">
        <x:f>IFERROR(K3343/I3343,0)</x:f>
        <x:v>0.2222222222222222</x:v>
      </x:c>
      <x:c r="Y3343" s="24" t="n">
        <x:f>IFERROR(G3343/I3343,0)</x:f>
        <x:v>0.1111111111111111</x:v>
      </x:c>
      <x:c r="Z3343" s="24" t="n">
        <x:f>IFERROR(G3343/K3343,0)</x:f>
        <x:v>0.5</x:v>
      </x:c>
      <x:c r="AA3343" s="24" t="n">
        <x:f>IFERROR(F3343/H3343,0)-IFERROR(G3343/I3343,0)</x:f>
        <x:v>-0.1111111111111111</x:v>
      </x:c>
      <x:c r="AB3343" s="28" t="n">
        <x:f>J3343-K3343</x:f>
        <x:v>-3</x:v>
      </x:c>
      <x:c r="AC3343" s="32" t="n">
        <x:f>F3343-G3343</x:f>
        <x:v>-2</x:v>
      </x:c>
    </x:row>
    <x:row r="3344">
      <x:c r="A3344" s="4" t="str">
        <x:v>2025-26</x:v>
      </x:c>
      <x:c r="B3344" s="20" t="n">
        <x:v>46004</x:v>
      </x:c>
      <x:c r="C3344" s="4" t="str">
        <x:v>Burnley</x:v>
      </x:c>
      <x:c r="D3344" s="4" t="str">
        <x:v>Fulham</x:v>
      </x:c>
      <x:c r="E3344" s="4" t="str">
        <x:v>Home</x:v>
      </x:c>
      <x:c r="F3344" s="28" t="n">
        <x:v>2</x:v>
      </x:c>
      <x:c r="G3344" s="28" t="n">
        <x:v>3</x:v>
      </x:c>
      <x:c r="H3344" s="28" t="n">
        <x:v>16</x:v>
      </x:c>
      <x:c r="I3344" s="28" t="n">
        <x:v>6</x:v>
      </x:c>
      <x:c r="J3344" s="28" t="n">
        <x:v>8</x:v>
      </x:c>
      <x:c r="K3344" s="28" t="n">
        <x:v>4</x:v>
      </x:c>
      <x:c r="L3344" s="28" t="n">
        <x:v>10</x:v>
      </x:c>
      <x:c r="M3344" s="28" t="n">
        <x:v>4</x:v>
      </x:c>
      <x:c r="N3344" s="28" t="n">
        <x:v>1</x:v>
      </x:c>
      <x:c r="O3344" s="28" t="n">
        <x:v>0</x:v>
      </x:c>
      <x:c r="P3344" s="28" t="n">
        <x:v>0</x:v>
      </x:c>
      <x:c r="Q3344" s="24" t="n">
        <x:f>IFERROR(J3344/H3344,0)</x:f>
        <x:v>0.5</x:v>
      </x:c>
      <x:c r="R3344" s="24" t="n">
        <x:f>IFERROR(F3344/H3344,0)</x:f>
        <x:v>0.125</x:v>
      </x:c>
      <x:c r="S3344" s="24" t="n">
        <x:f>IFERROR(F3344/J3344,0)</x:f>
        <x:v>0.25</x:v>
      </x:c>
      <x:c r="T3344" s="28" t="n">
        <x:f>H3344-I3344</x:f>
        <x:v>10</x:v>
      </x:c>
      <x:c r="U3344" s="24" t="n">
        <x:f>IFERROR(J3344/H3344,0)-IFERROR(K3344/I3344,0)</x:f>
        <x:v>-0.16666666666666663</x:v>
      </x:c>
      <x:c r="V3344" s="24" t="n">
        <x:f>IFERROR(F3344/J3344,0)-IFERROR(G3344/K3344,0)</x:f>
        <x:v>-0.5</x:v>
      </x:c>
      <x:c r="W3344" s="28" t="n">
        <x:f>L3344-M3344</x:f>
        <x:v>6</x:v>
      </x:c>
      <x:c r="X3344" s="24" t="n">
        <x:f>IFERROR(K3344/I3344,0)</x:f>
        <x:v>0.6666666666666666</x:v>
      </x:c>
      <x:c r="Y3344" s="24" t="n">
        <x:f>IFERROR(G3344/I3344,0)</x:f>
        <x:v>0.5</x:v>
      </x:c>
      <x:c r="Z3344" s="24" t="n">
        <x:f>IFERROR(G3344/K3344,0)</x:f>
        <x:v>0.75</x:v>
      </x:c>
      <x:c r="AA3344" s="24" t="n">
        <x:f>IFERROR(F3344/H3344,0)-IFERROR(G3344/I3344,0)</x:f>
        <x:v>-0.375</x:v>
      </x:c>
      <x:c r="AB3344" s="28" t="n">
        <x:f>J3344-K3344</x:f>
        <x:v>4</x:v>
      </x:c>
      <x:c r="AC3344" s="32" t="n">
        <x:f>F3344-G3344</x:f>
        <x:v>-1</x:v>
      </x:c>
    </x:row>
    <x:row r="3345">
      <x:c r="A3345" s="4" t="str">
        <x:v>2025-26</x:v>
      </x:c>
      <x:c r="B3345" s="20" t="n">
        <x:v>46004</x:v>
      </x:c>
      <x:c r="C3345" s="4" t="str">
        <x:v>Chelsea</x:v>
      </x:c>
      <x:c r="D3345" s="4" t="str">
        <x:v>Everton</x:v>
      </x:c>
      <x:c r="E3345" s="4" t="str">
        <x:v>Home</x:v>
      </x:c>
      <x:c r="F3345" s="28" t="n">
        <x:v>2</x:v>
      </x:c>
      <x:c r="G3345" s="28" t="n">
        <x:v>0</x:v>
      </x:c>
      <x:c r="H3345" s="28" t="n">
        <x:v>17</x:v>
      </x:c>
      <x:c r="I3345" s="28" t="n">
        <x:v>11</x:v>
      </x:c>
      <x:c r="J3345" s="28" t="n">
        <x:v>5</x:v>
      </x:c>
      <x:c r="K3345" s="28" t="n">
        <x:v>2</x:v>
      </x:c>
      <x:c r="L3345" s="28" t="n">
        <x:v>4</x:v>
      </x:c>
      <x:c r="M3345" s="28" t="n">
        <x:v>7</x:v>
      </x:c>
      <x:c r="N3345" s="28" t="n">
        <x:v>1</x:v>
      </x:c>
      <x:c r="O3345" s="28" t="n">
        <x:v>0</x:v>
      </x:c>
      <x:c r="P3345" s="28" t="n">
        <x:v>3</x:v>
      </x:c>
      <x:c r="Q3345" s="24" t="n">
        <x:f>IFERROR(J3345/H3345,0)</x:f>
        <x:v>0.29411764705882354</x:v>
      </x:c>
      <x:c r="R3345" s="24" t="n">
        <x:f>IFERROR(F3345/H3345,0)</x:f>
        <x:v>0.11764705882352941</x:v>
      </x:c>
      <x:c r="S3345" s="24" t="n">
        <x:f>IFERROR(F3345/J3345,0)</x:f>
        <x:v>0.4</x:v>
      </x:c>
      <x:c r="T3345" s="28" t="n">
        <x:f>H3345-I3345</x:f>
        <x:v>6</x:v>
      </x:c>
      <x:c r="U3345" s="24" t="n">
        <x:f>IFERROR(J3345/H3345,0)-IFERROR(K3345/I3345,0)</x:f>
        <x:v>0.11229946524064172</x:v>
      </x:c>
      <x:c r="V3345" s="24" t="n">
        <x:f>IFERROR(F3345/J3345,0)-IFERROR(G3345/K3345,0)</x:f>
        <x:v>0.4</x:v>
      </x:c>
      <x:c r="W3345" s="28" t="n">
        <x:f>L3345-M3345</x:f>
        <x:v>-3</x:v>
      </x:c>
      <x:c r="X3345" s="24" t="n">
        <x:f>IFERROR(K3345/I3345,0)</x:f>
        <x:v>0.18181818181818182</x:v>
      </x:c>
      <x:c r="Y3345" s="24" t="n">
        <x:f>IFERROR(G3345/I3345,0)</x:f>
        <x:v>0</x:v>
      </x:c>
      <x:c r="Z3345" s="24" t="n">
        <x:f>IFERROR(G3345/K3345,0)</x:f>
        <x:v>0</x:v>
      </x:c>
      <x:c r="AA3345" s="24" t="n">
        <x:f>IFERROR(F3345/H3345,0)-IFERROR(G3345/I3345,0)</x:f>
        <x:v>0.11764705882352941</x:v>
      </x:c>
      <x:c r="AB3345" s="28" t="n">
        <x:f>J3345-K3345</x:f>
        <x:v>3</x:v>
      </x:c>
      <x:c r="AC3345" s="32" t="n">
        <x:f>F3345-G3345</x:f>
        <x:v>2</x:v>
      </x:c>
    </x:row>
    <x:row r="3346">
      <x:c r="A3346" s="4" t="str">
        <x:v>2025-26</x:v>
      </x:c>
      <x:c r="B3346" s="20" t="n">
        <x:v>46004</x:v>
      </x:c>
      <x:c r="C3346" s="4" t="str">
        <x:v>Everton</x:v>
      </x:c>
      <x:c r="D3346" s="4" t="str">
        <x:v>Chelsea</x:v>
      </x:c>
      <x:c r="E3346" s="4" t="str">
        <x:v>Away</x:v>
      </x:c>
      <x:c r="F3346" s="28" t="n">
        <x:v>0</x:v>
      </x:c>
      <x:c r="G3346" s="28" t="n">
        <x:v>2</x:v>
      </x:c>
      <x:c r="H3346" s="28" t="n">
        <x:v>11</x:v>
      </x:c>
      <x:c r="I3346" s="28" t="n">
        <x:v>17</x:v>
      </x:c>
      <x:c r="J3346" s="28" t="n">
        <x:v>2</x:v>
      </x:c>
      <x:c r="K3346" s="28" t="n">
        <x:v>5</x:v>
      </x:c>
      <x:c r="L3346" s="28" t="n">
        <x:v>7</x:v>
      </x:c>
      <x:c r="M3346" s="28" t="n">
        <x:v>4</x:v>
      </x:c>
      <x:c r="N3346" s="28" t="n">
        <x:v>0</x:v>
      </x:c>
      <x:c r="O3346" s="28" t="n">
        <x:v>0</x:v>
      </x:c>
      <x:c r="P3346" s="28" t="n">
        <x:v>0</x:v>
      </x:c>
      <x:c r="Q3346" s="24" t="n">
        <x:f>IFERROR(J3346/H3346,0)</x:f>
        <x:v>0.18181818181818182</x:v>
      </x:c>
      <x:c r="R3346" s="24" t="n">
        <x:f>IFERROR(F3346/H3346,0)</x:f>
        <x:v>0</x:v>
      </x:c>
      <x:c r="S3346" s="24" t="n">
        <x:f>IFERROR(F3346/J3346,0)</x:f>
        <x:v>0</x:v>
      </x:c>
      <x:c r="T3346" s="28" t="n">
        <x:f>H3346-I3346</x:f>
        <x:v>-6</x:v>
      </x:c>
      <x:c r="U3346" s="24" t="n">
        <x:f>IFERROR(J3346/H3346,0)-IFERROR(K3346/I3346,0)</x:f>
        <x:v>-0.11229946524064172</x:v>
      </x:c>
      <x:c r="V3346" s="24" t="n">
        <x:f>IFERROR(F3346/J3346,0)-IFERROR(G3346/K3346,0)</x:f>
        <x:v>-0.4</x:v>
      </x:c>
      <x:c r="W3346" s="28" t="n">
        <x:f>L3346-M3346</x:f>
        <x:v>3</x:v>
      </x:c>
      <x:c r="X3346" s="24" t="n">
        <x:f>IFERROR(K3346/I3346,0)</x:f>
        <x:v>0.29411764705882354</x:v>
      </x:c>
      <x:c r="Y3346" s="24" t="n">
        <x:f>IFERROR(G3346/I3346,0)</x:f>
        <x:v>0.11764705882352941</x:v>
      </x:c>
      <x:c r="Z3346" s="24" t="n">
        <x:f>IFERROR(G3346/K3346,0)</x:f>
        <x:v>0.4</x:v>
      </x:c>
      <x:c r="AA3346" s="24" t="n">
        <x:f>IFERROR(F3346/H3346,0)-IFERROR(G3346/I3346,0)</x:f>
        <x:v>-0.11764705882352941</x:v>
      </x:c>
      <x:c r="AB3346" s="28" t="n">
        <x:f>J3346-K3346</x:f>
        <x:v>-3</x:v>
      </x:c>
      <x:c r="AC3346" s="32" t="n">
        <x:f>F3346-G3346</x:f>
        <x:v>-2</x:v>
      </x:c>
    </x:row>
    <x:row r="3347">
      <x:c r="A3347" s="4" t="str">
        <x:v>2025-26</x:v>
      </x:c>
      <x:c r="B3347" s="20" t="n">
        <x:v>46004</x:v>
      </x:c>
      <x:c r="C3347" s="4" t="str">
        <x:v>Fulham</x:v>
      </x:c>
      <x:c r="D3347" s="4" t="str">
        <x:v>Burnley</x:v>
      </x:c>
      <x:c r="E3347" s="4" t="str">
        <x:v>Away</x:v>
      </x:c>
      <x:c r="F3347" s="28" t="n">
        <x:v>3</x:v>
      </x:c>
      <x:c r="G3347" s="28" t="n">
        <x:v>2</x:v>
      </x:c>
      <x:c r="H3347" s="28" t="n">
        <x:v>6</x:v>
      </x:c>
      <x:c r="I3347" s="28" t="n">
        <x:v>16</x:v>
      </x:c>
      <x:c r="J3347" s="28" t="n">
        <x:v>4</x:v>
      </x:c>
      <x:c r="K3347" s="28" t="n">
        <x:v>8</x:v>
      </x:c>
      <x:c r="L3347" s="28" t="n">
        <x:v>4</x:v>
      </x:c>
      <x:c r="M3347" s="28" t="n">
        <x:v>10</x:v>
      </x:c>
      <x:c r="N3347" s="28" t="n">
        <x:v>2</x:v>
      </x:c>
      <x:c r="O3347" s="28" t="n">
        <x:v>0</x:v>
      </x:c>
      <x:c r="P3347" s="28" t="n">
        <x:v>3</x:v>
      </x:c>
      <x:c r="Q3347" s="24" t="n">
        <x:f>IFERROR(J3347/H3347,0)</x:f>
        <x:v>0.6666666666666666</x:v>
      </x:c>
      <x:c r="R3347" s="24" t="n">
        <x:f>IFERROR(F3347/H3347,0)</x:f>
        <x:v>0.5</x:v>
      </x:c>
      <x:c r="S3347" s="24" t="n">
        <x:f>IFERROR(F3347/J3347,0)</x:f>
        <x:v>0.75</x:v>
      </x:c>
      <x:c r="T3347" s="28" t="n">
        <x:f>H3347-I3347</x:f>
        <x:v>-10</x:v>
      </x:c>
      <x:c r="U3347" s="24" t="n">
        <x:f>IFERROR(J3347/H3347,0)-IFERROR(K3347/I3347,0)</x:f>
        <x:v>0.16666666666666663</x:v>
      </x:c>
      <x:c r="V3347" s="24" t="n">
        <x:f>IFERROR(F3347/J3347,0)-IFERROR(G3347/K3347,0)</x:f>
        <x:v>0.5</x:v>
      </x:c>
      <x:c r="W3347" s="28" t="n">
        <x:f>L3347-M3347</x:f>
        <x:v>-6</x:v>
      </x:c>
      <x:c r="X3347" s="24" t="n">
        <x:f>IFERROR(K3347/I3347,0)</x:f>
        <x:v>0.5</x:v>
      </x:c>
      <x:c r="Y3347" s="24" t="n">
        <x:f>IFERROR(G3347/I3347,0)</x:f>
        <x:v>0.125</x:v>
      </x:c>
      <x:c r="Z3347" s="24" t="n">
        <x:f>IFERROR(G3347/K3347,0)</x:f>
        <x:v>0.25</x:v>
      </x:c>
      <x:c r="AA3347" s="24" t="n">
        <x:f>IFERROR(F3347/H3347,0)-IFERROR(G3347/I3347,0)</x:f>
        <x:v>0.375</x:v>
      </x:c>
      <x:c r="AB3347" s="28" t="n">
        <x:f>J3347-K3347</x:f>
        <x:v>-4</x:v>
      </x:c>
      <x:c r="AC3347" s="32" t="n">
        <x:f>F3347-G3347</x:f>
        <x:v>1</x:v>
      </x:c>
    </x:row>
    <x:row r="3348">
      <x:c r="A3348" s="4" t="str">
        <x:v>2025-26</x:v>
      </x:c>
      <x:c r="B3348" s="20" t="n">
        <x:v>46004</x:v>
      </x:c>
      <x:c r="C3348" s="4" t="str">
        <x:v>Liverpool</x:v>
      </x:c>
      <x:c r="D3348" s="4" t="str">
        <x:v>Brighton</x:v>
      </x:c>
      <x:c r="E3348" s="4" t="str">
        <x:v>Home</x:v>
      </x:c>
      <x:c r="F3348" s="28" t="n">
        <x:v>2</x:v>
      </x:c>
      <x:c r="G3348" s="28" t="n">
        <x:v>0</x:v>
      </x:c>
      <x:c r="H3348" s="28" t="n">
        <x:v>18</x:v>
      </x:c>
      <x:c r="I3348" s="28" t="n">
        <x:v>14</x:v>
      </x:c>
      <x:c r="J3348" s="28" t="n">
        <x:v>4</x:v>
      </x:c>
      <x:c r="K3348" s="28" t="n">
        <x:v>1</x:v>
      </x:c>
      <x:c r="L3348" s="28" t="n">
        <x:v>2</x:v>
      </x:c>
      <x:c r="M3348" s="28" t="n">
        <x:v>2</x:v>
      </x:c>
      <x:c r="N3348" s="28" t="n">
        <x:v>1</x:v>
      </x:c>
      <x:c r="O3348" s="28" t="n">
        <x:v>0</x:v>
      </x:c>
      <x:c r="P3348" s="28" t="n">
        <x:v>3</x:v>
      </x:c>
      <x:c r="Q3348" s="24" t="n">
        <x:f>IFERROR(J3348/H3348,0)</x:f>
        <x:v>0.2222222222222222</x:v>
      </x:c>
      <x:c r="R3348" s="24" t="n">
        <x:f>IFERROR(F3348/H3348,0)</x:f>
        <x:v>0.1111111111111111</x:v>
      </x:c>
      <x:c r="S3348" s="24" t="n">
        <x:f>IFERROR(F3348/J3348,0)</x:f>
        <x:v>0.5</x:v>
      </x:c>
      <x:c r="T3348" s="28" t="n">
        <x:f>H3348-I3348</x:f>
        <x:v>4</x:v>
      </x:c>
      <x:c r="U3348" s="24" t="n">
        <x:f>IFERROR(J3348/H3348,0)-IFERROR(K3348/I3348,0)</x:f>
        <x:v>0.15079365079365079</x:v>
      </x:c>
      <x:c r="V3348" s="24" t="n">
        <x:f>IFERROR(F3348/J3348,0)-IFERROR(G3348/K3348,0)</x:f>
        <x:v>0.5</x:v>
      </x:c>
      <x:c r="W3348" s="28" t="n">
        <x:f>L3348-M3348</x:f>
        <x:v>0</x:v>
      </x:c>
      <x:c r="X3348" s="24" t="n">
        <x:f>IFERROR(K3348/I3348,0)</x:f>
        <x:v>0.07142857142857142</x:v>
      </x:c>
      <x:c r="Y3348" s="24" t="n">
        <x:f>IFERROR(G3348/I3348,0)</x:f>
        <x:v>0</x:v>
      </x:c>
      <x:c r="Z3348" s="24" t="n">
        <x:f>IFERROR(G3348/K3348,0)</x:f>
        <x:v>0</x:v>
      </x:c>
      <x:c r="AA3348" s="24" t="n">
        <x:f>IFERROR(F3348/H3348,0)-IFERROR(G3348/I3348,0)</x:f>
        <x:v>0.1111111111111111</x:v>
      </x:c>
      <x:c r="AB3348" s="28" t="n">
        <x:f>J3348-K3348</x:f>
        <x:v>3</x:v>
      </x:c>
      <x:c r="AC3348" s="32" t="n">
        <x:f>F3348-G3348</x:f>
        <x:v>2</x:v>
      </x:c>
    </x:row>
    <x:row r="3349">
      <x:c r="A3349" s="4" t="str">
        <x:v>2025-26</x:v>
      </x:c>
      <x:c r="B3349" s="20" t="n">
        <x:v>46004</x:v>
      </x:c>
      <x:c r="C3349" s="4" t="str">
        <x:v>Wolves</x:v>
      </x:c>
      <x:c r="D3349" s="4" t="str">
        <x:v>Arsenal</x:v>
      </x:c>
      <x:c r="E3349" s="4" t="str">
        <x:v>Away</x:v>
      </x:c>
      <x:c r="F3349" s="28" t="n">
        <x:v>1</x:v>
      </x:c>
      <x:c r="G3349" s="28" t="n">
        <x:v>2</x:v>
      </x:c>
      <x:c r="H3349" s="28" t="n">
        <x:v>3</x:v>
      </x:c>
      <x:c r="I3349" s="28" t="n">
        <x:v>16</x:v>
      </x:c>
      <x:c r="J3349" s="28" t="n">
        <x:v>2</x:v>
      </x:c>
      <x:c r="K3349" s="28" t="n">
        <x:v>2</x:v>
      </x:c>
      <x:c r="L3349" s="28" t="n">
        <x:v>0</x:v>
      </x:c>
      <x:c r="M3349" s="28" t="n">
        <x:v>8</x:v>
      </x:c>
      <x:c r="N3349" s="28" t="n">
        <x:v>4</x:v>
      </x:c>
      <x:c r="O3349" s="28" t="n">
        <x:v>0</x:v>
      </x:c>
      <x:c r="P3349" s="28" t="n">
        <x:v>0</x:v>
      </x:c>
      <x:c r="Q3349" s="24" t="n">
        <x:f>IFERROR(J3349/H3349,0)</x:f>
        <x:v>0.6666666666666666</x:v>
      </x:c>
      <x:c r="R3349" s="24" t="n">
        <x:f>IFERROR(F3349/H3349,0)</x:f>
        <x:v>0.3333333333333333</x:v>
      </x:c>
      <x:c r="S3349" s="24" t="n">
        <x:f>IFERROR(F3349/J3349,0)</x:f>
        <x:v>0.5</x:v>
      </x:c>
      <x:c r="T3349" s="28" t="n">
        <x:f>H3349-I3349</x:f>
        <x:v>-13</x:v>
      </x:c>
      <x:c r="U3349" s="24" t="n">
        <x:f>IFERROR(J3349/H3349,0)-IFERROR(K3349/I3349,0)</x:f>
        <x:v>0.5416666666666666</x:v>
      </x:c>
      <x:c r="V3349" s="24" t="n">
        <x:f>IFERROR(F3349/J3349,0)-IFERROR(G3349/K3349,0)</x:f>
        <x:v>-0.5</x:v>
      </x:c>
      <x:c r="W3349" s="28" t="n">
        <x:f>L3349-M3349</x:f>
        <x:v>-8</x:v>
      </x:c>
      <x:c r="X3349" s="24" t="n">
        <x:f>IFERROR(K3349/I3349,0)</x:f>
        <x:v>0.125</x:v>
      </x:c>
      <x:c r="Y3349" s="24" t="n">
        <x:f>IFERROR(G3349/I3349,0)</x:f>
        <x:v>0.125</x:v>
      </x:c>
      <x:c r="Z3349" s="24" t="n">
        <x:f>IFERROR(G3349/K3349,0)</x:f>
        <x:v>1</x:v>
      </x:c>
      <x:c r="AA3349" s="24" t="n">
        <x:f>IFERROR(F3349/H3349,0)-IFERROR(G3349/I3349,0)</x:f>
        <x:v>0.20833333333333331</x:v>
      </x:c>
      <x:c r="AB3349" s="28" t="n">
        <x:f>J3349-K3349</x:f>
        <x:v>0</x:v>
      </x:c>
      <x:c r="AC3349" s="32" t="n">
        <x:f>F3349-G3349</x:f>
        <x:v>-1</x:v>
      </x:c>
    </x:row>
    <x:row r="3350">
      <x:c r="A3350" s="4" t="str">
        <x:v>2025-26</x:v>
      </x:c>
      <x:c r="B3350" s="20" t="n">
        <x:v>46005</x:v>
      </x:c>
      <x:c r="C3350" s="4" t="str">
        <x:v>Aston Villa</x:v>
      </x:c>
      <x:c r="D3350" s="4" t="str">
        <x:v>West Ham</x:v>
      </x:c>
      <x:c r="E3350" s="4" t="str">
        <x:v>Away</x:v>
      </x:c>
      <x:c r="F3350" s="28" t="n">
        <x:v>3</x:v>
      </x:c>
      <x:c r="G3350" s="28" t="n">
        <x:v>2</x:v>
      </x:c>
      <x:c r="H3350" s="28" t="n">
        <x:v>7</x:v>
      </x:c>
      <x:c r="I3350" s="28" t="n">
        <x:v>10</x:v>
      </x:c>
      <x:c r="J3350" s="28" t="n">
        <x:v>4</x:v>
      </x:c>
      <x:c r="K3350" s="28" t="n">
        <x:v>3</x:v>
      </x:c>
      <x:c r="L3350" s="28" t="n">
        <x:v>3</x:v>
      </x:c>
      <x:c r="M3350" s="28" t="n">
        <x:v>5</x:v>
      </x:c>
      <x:c r="N3350" s="28" t="n">
        <x:v>2</x:v>
      </x:c>
      <x:c r="O3350" s="28" t="n">
        <x:v>0</x:v>
      </x:c>
      <x:c r="P3350" s="28" t="n">
        <x:v>3</x:v>
      </x:c>
      <x:c r="Q3350" s="24" t="n">
        <x:f>IFERROR(J3350/H3350,0)</x:f>
        <x:v>0.5714285714285714</x:v>
      </x:c>
      <x:c r="R3350" s="24" t="n">
        <x:f>IFERROR(F3350/H3350,0)</x:f>
        <x:v>0.42857142857142855</x:v>
      </x:c>
      <x:c r="S3350" s="24" t="n">
        <x:f>IFERROR(F3350/J3350,0)</x:f>
        <x:v>0.75</x:v>
      </x:c>
      <x:c r="T3350" s="28" t="n">
        <x:f>H3350-I3350</x:f>
        <x:v>-3</x:v>
      </x:c>
      <x:c r="U3350" s="24" t="n">
        <x:f>IFERROR(J3350/H3350,0)-IFERROR(K3350/I3350,0)</x:f>
        <x:v>0.2714285714285714</x:v>
      </x:c>
      <x:c r="V3350" s="24" t="n">
        <x:f>IFERROR(F3350/J3350,0)-IFERROR(G3350/K3350,0)</x:f>
        <x:v>0.08333333333333337</x:v>
      </x:c>
      <x:c r="W3350" s="28" t="n">
        <x:f>L3350-M3350</x:f>
        <x:v>-2</x:v>
      </x:c>
      <x:c r="X3350" s="24" t="n">
        <x:f>IFERROR(K3350/I3350,0)</x:f>
        <x:v>0.3</x:v>
      </x:c>
      <x:c r="Y3350" s="24" t="n">
        <x:f>IFERROR(G3350/I3350,0)</x:f>
        <x:v>0.2</x:v>
      </x:c>
      <x:c r="Z3350" s="24" t="n">
        <x:f>IFERROR(G3350/K3350,0)</x:f>
        <x:v>0.6666666666666666</x:v>
      </x:c>
      <x:c r="AA3350" s="24" t="n">
        <x:f>IFERROR(F3350/H3350,0)-IFERROR(G3350/I3350,0)</x:f>
        <x:v>0.22857142857142854</x:v>
      </x:c>
      <x:c r="AB3350" s="28" t="n">
        <x:f>J3350-K3350</x:f>
        <x:v>1</x:v>
      </x:c>
      <x:c r="AC3350" s="32" t="n">
        <x:f>F3350-G3350</x:f>
        <x:v>1</x:v>
      </x:c>
    </x:row>
    <x:row r="3351">
      <x:c r="A3351" s="4" t="str">
        <x:v>2025-26</x:v>
      </x:c>
      <x:c r="B3351" s="20" t="n">
        <x:v>46005</x:v>
      </x:c>
      <x:c r="C3351" s="4" t="str">
        <x:v>Brentford</x:v>
      </x:c>
      <x:c r="D3351" s="4" t="str">
        <x:v>Leeds</x:v>
      </x:c>
      <x:c r="E3351" s="4" t="str">
        <x:v>Home</x:v>
      </x:c>
      <x:c r="F3351" s="28" t="n">
        <x:v>1</x:v>
      </x:c>
      <x:c r="G3351" s="28" t="n">
        <x:v>1</x:v>
      </x:c>
      <x:c r="H3351" s="28" t="n">
        <x:v>7</x:v>
      </x:c>
      <x:c r="I3351" s="28" t="n">
        <x:v>18</x:v>
      </x:c>
      <x:c r="J3351" s="28" t="n">
        <x:v>2</x:v>
      </x:c>
      <x:c r="K3351" s="28" t="n">
        <x:v>4</x:v>
      </x:c>
      <x:c r="L3351" s="28" t="n">
        <x:v>0</x:v>
      </x:c>
      <x:c r="M3351" s="28" t="n">
        <x:v>3</x:v>
      </x:c>
      <x:c r="N3351" s="28" t="n">
        <x:v>0</x:v>
      </x:c>
      <x:c r="O3351" s="28" t="n">
        <x:v>0</x:v>
      </x:c>
      <x:c r="P3351" s="28" t="n">
        <x:v>1</x:v>
      </x:c>
      <x:c r="Q3351" s="24" t="n">
        <x:f>IFERROR(J3351/H3351,0)</x:f>
        <x:v>0.2857142857142857</x:v>
      </x:c>
      <x:c r="R3351" s="24" t="n">
        <x:f>IFERROR(F3351/H3351,0)</x:f>
        <x:v>0.14285714285714285</x:v>
      </x:c>
      <x:c r="S3351" s="24" t="n">
        <x:f>IFERROR(F3351/J3351,0)</x:f>
        <x:v>0.5</x:v>
      </x:c>
      <x:c r="T3351" s="28" t="n">
        <x:f>H3351-I3351</x:f>
        <x:v>-11</x:v>
      </x:c>
      <x:c r="U3351" s="24" t="n">
        <x:f>IFERROR(J3351/H3351,0)-IFERROR(K3351/I3351,0)</x:f>
        <x:v>0.06349206349206349</x:v>
      </x:c>
      <x:c r="V3351" s="24" t="n">
        <x:f>IFERROR(F3351/J3351,0)-IFERROR(G3351/K3351,0)</x:f>
        <x:v>0.25</x:v>
      </x:c>
      <x:c r="W3351" s="28" t="n">
        <x:f>L3351-M3351</x:f>
        <x:v>-3</x:v>
      </x:c>
      <x:c r="X3351" s="24" t="n">
        <x:f>IFERROR(K3351/I3351,0)</x:f>
        <x:v>0.2222222222222222</x:v>
      </x:c>
      <x:c r="Y3351" s="24" t="n">
        <x:f>IFERROR(G3351/I3351,0)</x:f>
        <x:v>0.05555555555555555</x:v>
      </x:c>
      <x:c r="Z3351" s="24" t="n">
        <x:f>IFERROR(G3351/K3351,0)</x:f>
        <x:v>0.25</x:v>
      </x:c>
      <x:c r="AA3351" s="24" t="n">
        <x:f>IFERROR(F3351/H3351,0)-IFERROR(G3351/I3351,0)</x:f>
        <x:v>0.0873015873015873</x:v>
      </x:c>
      <x:c r="AB3351" s="28" t="n">
        <x:f>J3351-K3351</x:f>
        <x:v>-2</x:v>
      </x:c>
      <x:c r="AC3351" s="32" t="n">
        <x:f>F3351-G3351</x:f>
        <x:v>0</x:v>
      </x:c>
    </x:row>
    <x:row r="3352">
      <x:c r="A3352" s="4" t="str">
        <x:v>2025-26</x:v>
      </x:c>
      <x:c r="B3352" s="20" t="n">
        <x:v>46005</x:v>
      </x:c>
      <x:c r="C3352" s="4" t="str">
        <x:v>Crystal Palace</x:v>
      </x:c>
      <x:c r="D3352" s="4" t="str">
        <x:v>Man City</x:v>
      </x:c>
      <x:c r="E3352" s="4" t="str">
        <x:v>Home</x:v>
      </x:c>
      <x:c r="F3352" s="28" t="n">
        <x:v>0</x:v>
      </x:c>
      <x:c r="G3352" s="28" t="n">
        <x:v>3</x:v>
      </x:c>
      <x:c r="H3352" s="28" t="n">
        <x:v>16</x:v>
      </x:c>
      <x:c r="I3352" s="28" t="n">
        <x:v>7</x:v>
      </x:c>
      <x:c r="J3352" s="28" t="n">
        <x:v>4</x:v>
      </x:c>
      <x:c r="K3352" s="28" t="n">
        <x:v>6</x:v>
      </x:c>
      <x:c r="L3352" s="28" t="n">
        <x:v>2</x:v>
      </x:c>
      <x:c r="M3352" s="28" t="n">
        <x:v>2</x:v>
      </x:c>
      <x:c r="N3352" s="28" t="n">
        <x:v>2</x:v>
      </x:c>
      <x:c r="O3352" s="28" t="n">
        <x:v>0</x:v>
      </x:c>
      <x:c r="P3352" s="28" t="n">
        <x:v>0</x:v>
      </x:c>
      <x:c r="Q3352" s="24" t="n">
        <x:f>IFERROR(J3352/H3352,0)</x:f>
        <x:v>0.25</x:v>
      </x:c>
      <x:c r="R3352" s="24" t="n">
        <x:f>IFERROR(F3352/H3352,0)</x:f>
        <x:v>0</x:v>
      </x:c>
      <x:c r="S3352" s="24" t="n">
        <x:f>IFERROR(F3352/J3352,0)</x:f>
        <x:v>0</x:v>
      </x:c>
      <x:c r="T3352" s="28" t="n">
        <x:f>H3352-I3352</x:f>
        <x:v>9</x:v>
      </x:c>
      <x:c r="U3352" s="24" t="n">
        <x:f>IFERROR(J3352/H3352,0)-IFERROR(K3352/I3352,0)</x:f>
        <x:v>-0.6071428571428571</x:v>
      </x:c>
      <x:c r="V3352" s="24" t="n">
        <x:f>IFERROR(F3352/J3352,0)-IFERROR(G3352/K3352,0)</x:f>
        <x:v>-0.5</x:v>
      </x:c>
      <x:c r="W3352" s="28" t="n">
        <x:f>L3352-M3352</x:f>
        <x:v>0</x:v>
      </x:c>
      <x:c r="X3352" s="24" t="n">
        <x:f>IFERROR(K3352/I3352,0)</x:f>
        <x:v>0.8571428571428571</x:v>
      </x:c>
      <x:c r="Y3352" s="24" t="n">
        <x:f>IFERROR(G3352/I3352,0)</x:f>
        <x:v>0.42857142857142855</x:v>
      </x:c>
      <x:c r="Z3352" s="24" t="n">
        <x:f>IFERROR(G3352/K3352,0)</x:f>
        <x:v>0.5</x:v>
      </x:c>
      <x:c r="AA3352" s="24" t="n">
        <x:f>IFERROR(F3352/H3352,0)-IFERROR(G3352/I3352,0)</x:f>
        <x:v>-0.42857142857142855</x:v>
      </x:c>
      <x:c r="AB3352" s="28" t="n">
        <x:f>J3352-K3352</x:f>
        <x:v>-2</x:v>
      </x:c>
      <x:c r="AC3352" s="32" t="n">
        <x:f>F3352-G3352</x:f>
        <x:v>-3</x:v>
      </x:c>
    </x:row>
    <x:row r="3353">
      <x:c r="A3353" s="4" t="str">
        <x:v>2025-26</x:v>
      </x:c>
      <x:c r="B3353" s="20" t="n">
        <x:v>46005</x:v>
      </x:c>
      <x:c r="C3353" s="4" t="str">
        <x:v>Leeds</x:v>
      </x:c>
      <x:c r="D3353" s="4" t="str">
        <x:v>Brentford</x:v>
      </x:c>
      <x:c r="E3353" s="4" t="str">
        <x:v>Away</x:v>
      </x:c>
      <x:c r="F3353" s="28" t="n">
        <x:v>1</x:v>
      </x:c>
      <x:c r="G3353" s="28" t="n">
        <x:v>1</x:v>
      </x:c>
      <x:c r="H3353" s="28" t="n">
        <x:v>18</x:v>
      </x:c>
      <x:c r="I3353" s="28" t="n">
        <x:v>7</x:v>
      </x:c>
      <x:c r="J3353" s="28" t="n">
        <x:v>4</x:v>
      </x:c>
      <x:c r="K3353" s="28" t="n">
        <x:v>2</x:v>
      </x:c>
      <x:c r="L3353" s="28" t="n">
        <x:v>3</x:v>
      </x:c>
      <x:c r="M3353" s="28" t="n">
        <x:v>0</x:v>
      </x:c>
      <x:c r="N3353" s="28" t="n">
        <x:v>0</x:v>
      </x:c>
      <x:c r="O3353" s="28" t="n">
        <x:v>0</x:v>
      </x:c>
      <x:c r="P3353" s="28" t="n">
        <x:v>1</x:v>
      </x:c>
      <x:c r="Q3353" s="24" t="n">
        <x:f>IFERROR(J3353/H3353,0)</x:f>
        <x:v>0.2222222222222222</x:v>
      </x:c>
      <x:c r="R3353" s="24" t="n">
        <x:f>IFERROR(F3353/H3353,0)</x:f>
        <x:v>0.05555555555555555</x:v>
      </x:c>
      <x:c r="S3353" s="24" t="n">
        <x:f>IFERROR(F3353/J3353,0)</x:f>
        <x:v>0.25</x:v>
      </x:c>
      <x:c r="T3353" s="28" t="n">
        <x:f>H3353-I3353</x:f>
        <x:v>11</x:v>
      </x:c>
      <x:c r="U3353" s="24" t="n">
        <x:f>IFERROR(J3353/H3353,0)-IFERROR(K3353/I3353,0)</x:f>
        <x:v>-0.06349206349206349</x:v>
      </x:c>
      <x:c r="V3353" s="24" t="n">
        <x:f>IFERROR(F3353/J3353,0)-IFERROR(G3353/K3353,0)</x:f>
        <x:v>-0.25</x:v>
      </x:c>
      <x:c r="W3353" s="28" t="n">
        <x:f>L3353-M3353</x:f>
        <x:v>3</x:v>
      </x:c>
      <x:c r="X3353" s="24" t="n">
        <x:f>IFERROR(K3353/I3353,0)</x:f>
        <x:v>0.2857142857142857</x:v>
      </x:c>
      <x:c r="Y3353" s="24" t="n">
        <x:f>IFERROR(G3353/I3353,0)</x:f>
        <x:v>0.14285714285714285</x:v>
      </x:c>
      <x:c r="Z3353" s="24" t="n">
        <x:f>IFERROR(G3353/K3353,0)</x:f>
        <x:v>0.5</x:v>
      </x:c>
      <x:c r="AA3353" s="24" t="n">
        <x:f>IFERROR(F3353/H3353,0)-IFERROR(G3353/I3353,0)</x:f>
        <x:v>-0.0873015873015873</x:v>
      </x:c>
      <x:c r="AB3353" s="28" t="n">
        <x:f>J3353-K3353</x:f>
        <x:v>2</x:v>
      </x:c>
      <x:c r="AC3353" s="32" t="n">
        <x:f>F3353-G3353</x:f>
        <x:v>0</x:v>
      </x:c>
    </x:row>
    <x:row r="3354">
      <x:c r="A3354" s="4" t="str">
        <x:v>2025-26</x:v>
      </x:c>
      <x:c r="B3354" s="20" t="n">
        <x:v>46005</x:v>
      </x:c>
      <x:c r="C3354" s="4" t="str">
        <x:v>Man City</x:v>
      </x:c>
      <x:c r="D3354" s="4" t="str">
        <x:v>Crystal Palace</x:v>
      </x:c>
      <x:c r="E3354" s="4" t="str">
        <x:v>Away</x:v>
      </x:c>
      <x:c r="F3354" s="28" t="n">
        <x:v>3</x:v>
      </x:c>
      <x:c r="G3354" s="28" t="n">
        <x:v>0</x:v>
      </x:c>
      <x:c r="H3354" s="28" t="n">
        <x:v>7</x:v>
      </x:c>
      <x:c r="I3354" s="28" t="n">
        <x:v>16</x:v>
      </x:c>
      <x:c r="J3354" s="28" t="n">
        <x:v>6</x:v>
      </x:c>
      <x:c r="K3354" s="28" t="n">
        <x:v>4</x:v>
      </x:c>
      <x:c r="L3354" s="28" t="n">
        <x:v>2</x:v>
      </x:c>
      <x:c r="M3354" s="28" t="n">
        <x:v>2</x:v>
      </x:c>
      <x:c r="N3354" s="28" t="n">
        <x:v>0</x:v>
      </x:c>
      <x:c r="O3354" s="28" t="n">
        <x:v>0</x:v>
      </x:c>
      <x:c r="P3354" s="28" t="n">
        <x:v>3</x:v>
      </x:c>
      <x:c r="Q3354" s="24" t="n">
        <x:f>IFERROR(J3354/H3354,0)</x:f>
        <x:v>0.8571428571428571</x:v>
      </x:c>
      <x:c r="R3354" s="24" t="n">
        <x:f>IFERROR(F3354/H3354,0)</x:f>
        <x:v>0.42857142857142855</x:v>
      </x:c>
      <x:c r="S3354" s="24" t="n">
        <x:f>IFERROR(F3354/J3354,0)</x:f>
        <x:v>0.5</x:v>
      </x:c>
      <x:c r="T3354" s="28" t="n">
        <x:f>H3354-I3354</x:f>
        <x:v>-9</x:v>
      </x:c>
      <x:c r="U3354" s="24" t="n">
        <x:f>IFERROR(J3354/H3354,0)-IFERROR(K3354/I3354,0)</x:f>
        <x:v>0.6071428571428571</x:v>
      </x:c>
      <x:c r="V3354" s="24" t="n">
        <x:f>IFERROR(F3354/J3354,0)-IFERROR(G3354/K3354,0)</x:f>
        <x:v>0.5</x:v>
      </x:c>
      <x:c r="W3354" s="28" t="n">
        <x:f>L3354-M3354</x:f>
        <x:v>0</x:v>
      </x:c>
      <x:c r="X3354" s="24" t="n">
        <x:f>IFERROR(K3354/I3354,0)</x:f>
        <x:v>0.25</x:v>
      </x:c>
      <x:c r="Y3354" s="24" t="n">
        <x:f>IFERROR(G3354/I3354,0)</x:f>
        <x:v>0</x:v>
      </x:c>
      <x:c r="Z3354" s="24" t="n">
        <x:f>IFERROR(G3354/K3354,0)</x:f>
        <x:v>0</x:v>
      </x:c>
      <x:c r="AA3354" s="24" t="n">
        <x:f>IFERROR(F3354/H3354,0)-IFERROR(G3354/I3354,0)</x:f>
        <x:v>0.42857142857142855</x:v>
      </x:c>
      <x:c r="AB3354" s="28" t="n">
        <x:f>J3354-K3354</x:f>
        <x:v>2</x:v>
      </x:c>
      <x:c r="AC3354" s="32" t="n">
        <x:f>F3354-G3354</x:f>
        <x:v>3</x:v>
      </x:c>
    </x:row>
    <x:row r="3355">
      <x:c r="A3355" s="4" t="str">
        <x:v>2025-26</x:v>
      </x:c>
      <x:c r="B3355" s="20" t="n">
        <x:v>46005</x:v>
      </x:c>
      <x:c r="C3355" s="4" t="str">
        <x:v>Newcastle</x:v>
      </x:c>
      <x:c r="D3355" s="4" t="str">
        <x:v>Sunderland</x:v>
      </x:c>
      <x:c r="E3355" s="4" t="str">
        <x:v>Away</x:v>
      </x:c>
      <x:c r="F3355" s="28" t="n">
        <x:v>0</x:v>
      </x:c>
      <x:c r="G3355" s="28" t="n">
        <x:v>1</x:v>
      </x:c>
      <x:c r="H3355" s="28" t="n">
        <x:v>6</x:v>
      </x:c>
      <x:c r="I3355" s="28" t="n">
        <x:v>5</x:v>
      </x:c>
      <x:c r="J3355" s="28" t="n">
        <x:v>2</x:v>
      </x:c>
      <x:c r="K3355" s="28" t="n">
        <x:v>1</x:v>
      </x:c>
      <x:c r="L3355" s="28" t="n">
        <x:v>6</x:v>
      </x:c>
      <x:c r="M3355" s="28" t="n">
        <x:v>3</x:v>
      </x:c>
      <x:c r="N3355" s="28" t="n">
        <x:v>4</x:v>
      </x:c>
      <x:c r="O3355" s="28" t="n">
        <x:v>0</x:v>
      </x:c>
      <x:c r="P3355" s="28" t="n">
        <x:v>0</x:v>
      </x:c>
      <x:c r="Q3355" s="24" t="n">
        <x:f>IFERROR(J3355/H3355,0)</x:f>
        <x:v>0.3333333333333333</x:v>
      </x:c>
      <x:c r="R3355" s="24" t="n">
        <x:f>IFERROR(F3355/H3355,0)</x:f>
        <x:v>0</x:v>
      </x:c>
      <x:c r="S3355" s="24" t="n">
        <x:f>IFERROR(F3355/J3355,0)</x:f>
        <x:v>0</x:v>
      </x:c>
      <x:c r="T3355" s="28" t="n">
        <x:f>H3355-I3355</x:f>
        <x:v>1</x:v>
      </x:c>
      <x:c r="U3355" s="24" t="n">
        <x:f>IFERROR(J3355/H3355,0)-IFERROR(K3355/I3355,0)</x:f>
        <x:v>0.1333333333333333</x:v>
      </x:c>
      <x:c r="V3355" s="24" t="n">
        <x:f>IFERROR(F3355/J3355,0)-IFERROR(G3355/K3355,0)</x:f>
        <x:v>-1</x:v>
      </x:c>
      <x:c r="W3355" s="28" t="n">
        <x:f>L3355-M3355</x:f>
        <x:v>3</x:v>
      </x:c>
      <x:c r="X3355" s="24" t="n">
        <x:f>IFERROR(K3355/I3355,0)</x:f>
        <x:v>0.2</x:v>
      </x:c>
      <x:c r="Y3355" s="24" t="n">
        <x:f>IFERROR(G3355/I3355,0)</x:f>
        <x:v>0.2</x:v>
      </x:c>
      <x:c r="Z3355" s="24" t="n">
        <x:f>IFERROR(G3355/K3355,0)</x:f>
        <x:v>1</x:v>
      </x:c>
      <x:c r="AA3355" s="24" t="n">
        <x:f>IFERROR(F3355/H3355,0)-IFERROR(G3355/I3355,0)</x:f>
        <x:v>-0.2</x:v>
      </x:c>
      <x:c r="AB3355" s="28" t="n">
        <x:f>J3355-K3355</x:f>
        <x:v>1</x:v>
      </x:c>
      <x:c r="AC3355" s="32" t="n">
        <x:f>F3355-G3355</x:f>
        <x:v>-1</x:v>
      </x:c>
    </x:row>
    <x:row r="3356">
      <x:c r="A3356" s="4" t="str">
        <x:v>2025-26</x:v>
      </x:c>
      <x:c r="B3356" s="20" t="n">
        <x:v>46005</x:v>
      </x:c>
      <x:c r="C3356" s="4" t="str">
        <x:v>Nott'm Forest</x:v>
      </x:c>
      <x:c r="D3356" s="4" t="str">
        <x:v>Tottenham</x:v>
      </x:c>
      <x:c r="E3356" s="4" t="str">
        <x:v>Home</x:v>
      </x:c>
      <x:c r="F3356" s="28" t="n">
        <x:v>3</x:v>
      </x:c>
      <x:c r="G3356" s="28" t="n">
        <x:v>0</x:v>
      </x:c>
      <x:c r="H3356" s="28" t="n">
        <x:v>15</x:v>
      </x:c>
      <x:c r="I3356" s="28" t="n">
        <x:v>6</x:v>
      </x:c>
      <x:c r="J3356" s="28" t="n">
        <x:v>6</x:v>
      </x:c>
      <x:c r="K3356" s="28" t="n">
        <x:v>1</x:v>
      </x:c>
      <x:c r="L3356" s="28" t="n">
        <x:v>3</x:v>
      </x:c>
      <x:c r="M3356" s="28" t="n">
        <x:v>3</x:v>
      </x:c>
      <x:c r="N3356" s="28" t="n">
        <x:v>1</x:v>
      </x:c>
      <x:c r="O3356" s="28" t="n">
        <x:v>0</x:v>
      </x:c>
      <x:c r="P3356" s="28" t="n">
        <x:v>3</x:v>
      </x:c>
      <x:c r="Q3356" s="24" t="n">
        <x:f>IFERROR(J3356/H3356,0)</x:f>
        <x:v>0.4</x:v>
      </x:c>
      <x:c r="R3356" s="24" t="n">
        <x:f>IFERROR(F3356/H3356,0)</x:f>
        <x:v>0.2</x:v>
      </x:c>
      <x:c r="S3356" s="24" t="n">
        <x:f>IFERROR(F3356/J3356,0)</x:f>
        <x:v>0.5</x:v>
      </x:c>
      <x:c r="T3356" s="28" t="n">
        <x:f>H3356-I3356</x:f>
        <x:v>9</x:v>
      </x:c>
      <x:c r="U3356" s="24" t="n">
        <x:f>IFERROR(J3356/H3356,0)-IFERROR(K3356/I3356,0)</x:f>
        <x:v>0.23333333333333336</x:v>
      </x:c>
      <x:c r="V3356" s="24" t="n">
        <x:f>IFERROR(F3356/J3356,0)-IFERROR(G3356/K3356,0)</x:f>
        <x:v>0.5</x:v>
      </x:c>
      <x:c r="W3356" s="28" t="n">
        <x:f>L3356-M3356</x:f>
        <x:v>0</x:v>
      </x:c>
      <x:c r="X3356" s="24" t="n">
        <x:f>IFERROR(K3356/I3356,0)</x:f>
        <x:v>0.16666666666666666</x:v>
      </x:c>
      <x:c r="Y3356" s="24" t="n">
        <x:f>IFERROR(G3356/I3356,0)</x:f>
        <x:v>0</x:v>
      </x:c>
      <x:c r="Z3356" s="24" t="n">
        <x:f>IFERROR(G3356/K3356,0)</x:f>
        <x:v>0</x:v>
      </x:c>
      <x:c r="AA3356" s="24" t="n">
        <x:f>IFERROR(F3356/H3356,0)-IFERROR(G3356/I3356,0)</x:f>
        <x:v>0.2</x:v>
      </x:c>
      <x:c r="AB3356" s="28" t="n">
        <x:f>J3356-K3356</x:f>
        <x:v>5</x:v>
      </x:c>
      <x:c r="AC3356" s="32" t="n">
        <x:f>F3356-G3356</x:f>
        <x:v>3</x:v>
      </x:c>
    </x:row>
    <x:row r="3357">
      <x:c r="A3357" s="4" t="str">
        <x:v>2025-26</x:v>
      </x:c>
      <x:c r="B3357" s="20" t="n">
        <x:v>46005</x:v>
      </x:c>
      <x:c r="C3357" s="4" t="str">
        <x:v>Sunderland</x:v>
      </x:c>
      <x:c r="D3357" s="4" t="str">
        <x:v>Newcastle</x:v>
      </x:c>
      <x:c r="E3357" s="4" t="str">
        <x:v>Home</x:v>
      </x:c>
      <x:c r="F3357" s="28" t="n">
        <x:v>1</x:v>
      </x:c>
      <x:c r="G3357" s="28" t="n">
        <x:v>0</x:v>
      </x:c>
      <x:c r="H3357" s="28" t="n">
        <x:v>5</x:v>
      </x:c>
      <x:c r="I3357" s="28" t="n">
        <x:v>6</x:v>
      </x:c>
      <x:c r="J3357" s="28" t="n">
        <x:v>1</x:v>
      </x:c>
      <x:c r="K3357" s="28" t="n">
        <x:v>2</x:v>
      </x:c>
      <x:c r="L3357" s="28" t="n">
        <x:v>3</x:v>
      </x:c>
      <x:c r="M3357" s="28" t="n">
        <x:v>6</x:v>
      </x:c>
      <x:c r="N3357" s="28" t="n">
        <x:v>5</x:v>
      </x:c>
      <x:c r="O3357" s="28" t="n">
        <x:v>0</x:v>
      </x:c>
      <x:c r="P3357" s="28" t="n">
        <x:v>3</x:v>
      </x:c>
      <x:c r="Q3357" s="24" t="n">
        <x:f>IFERROR(J3357/H3357,0)</x:f>
        <x:v>0.2</x:v>
      </x:c>
      <x:c r="R3357" s="24" t="n">
        <x:f>IFERROR(F3357/H3357,0)</x:f>
        <x:v>0.2</x:v>
      </x:c>
      <x:c r="S3357" s="24" t="n">
        <x:f>IFERROR(F3357/J3357,0)</x:f>
        <x:v>1</x:v>
      </x:c>
      <x:c r="T3357" s="28" t="n">
        <x:f>H3357-I3357</x:f>
        <x:v>-1</x:v>
      </x:c>
      <x:c r="U3357" s="24" t="n">
        <x:f>IFERROR(J3357/H3357,0)-IFERROR(K3357/I3357,0)</x:f>
        <x:v>-0.1333333333333333</x:v>
      </x:c>
      <x:c r="V3357" s="24" t="n">
        <x:f>IFERROR(F3357/J3357,0)-IFERROR(G3357/K3357,0)</x:f>
        <x:v>1</x:v>
      </x:c>
      <x:c r="W3357" s="28" t="n">
        <x:f>L3357-M3357</x:f>
        <x:v>-3</x:v>
      </x:c>
      <x:c r="X3357" s="24" t="n">
        <x:f>IFERROR(K3357/I3357,0)</x:f>
        <x:v>0.3333333333333333</x:v>
      </x:c>
      <x:c r="Y3357" s="24" t="n">
        <x:f>IFERROR(G3357/I3357,0)</x:f>
        <x:v>0</x:v>
      </x:c>
      <x:c r="Z3357" s="24" t="n">
        <x:f>IFERROR(G3357/K3357,0)</x:f>
        <x:v>0</x:v>
      </x:c>
      <x:c r="AA3357" s="24" t="n">
        <x:f>IFERROR(F3357/H3357,0)-IFERROR(G3357/I3357,0)</x:f>
        <x:v>0.2</x:v>
      </x:c>
      <x:c r="AB3357" s="28" t="n">
        <x:f>J3357-K3357</x:f>
        <x:v>-1</x:v>
      </x:c>
      <x:c r="AC3357" s="32" t="n">
        <x:f>F3357-G3357</x:f>
        <x:v>1</x:v>
      </x:c>
    </x:row>
    <x:row r="3358">
      <x:c r="A3358" s="4" t="str">
        <x:v>2025-26</x:v>
      </x:c>
      <x:c r="B3358" s="20" t="n">
        <x:v>46005</x:v>
      </x:c>
      <x:c r="C3358" s="4" t="str">
        <x:v>Tottenham</x:v>
      </x:c>
      <x:c r="D3358" s="4" t="str">
        <x:v>Nott'm Forest</x:v>
      </x:c>
      <x:c r="E3358" s="4" t="str">
        <x:v>Away</x:v>
      </x:c>
      <x:c r="F3358" s="28" t="n">
        <x:v>0</x:v>
      </x:c>
      <x:c r="G3358" s="28" t="n">
        <x:v>3</x:v>
      </x:c>
      <x:c r="H3358" s="28" t="n">
        <x:v>6</x:v>
      </x:c>
      <x:c r="I3358" s="28" t="n">
        <x:v>15</x:v>
      </x:c>
      <x:c r="J3358" s="28" t="n">
        <x:v>1</x:v>
      </x:c>
      <x:c r="K3358" s="28" t="n">
        <x:v>6</x:v>
      </x:c>
      <x:c r="L3358" s="28" t="n">
        <x:v>3</x:v>
      </x:c>
      <x:c r="M3358" s="28" t="n">
        <x:v>3</x:v>
      </x:c>
      <x:c r="N3358" s="28" t="n">
        <x:v>3</x:v>
      </x:c>
      <x:c r="O3358" s="28" t="n">
        <x:v>0</x:v>
      </x:c>
      <x:c r="P3358" s="28" t="n">
        <x:v>0</x:v>
      </x:c>
      <x:c r="Q3358" s="24" t="n">
        <x:f>IFERROR(J3358/H3358,0)</x:f>
        <x:v>0.16666666666666666</x:v>
      </x:c>
      <x:c r="R3358" s="24" t="n">
        <x:f>IFERROR(F3358/H3358,0)</x:f>
        <x:v>0</x:v>
      </x:c>
      <x:c r="S3358" s="24" t="n">
        <x:f>IFERROR(F3358/J3358,0)</x:f>
        <x:v>0</x:v>
      </x:c>
      <x:c r="T3358" s="28" t="n">
        <x:f>H3358-I3358</x:f>
        <x:v>-9</x:v>
      </x:c>
      <x:c r="U3358" s="24" t="n">
        <x:f>IFERROR(J3358/H3358,0)-IFERROR(K3358/I3358,0)</x:f>
        <x:v>-0.23333333333333336</x:v>
      </x:c>
      <x:c r="V3358" s="24" t="n">
        <x:f>IFERROR(F3358/J3358,0)-IFERROR(G3358/K3358,0)</x:f>
        <x:v>-0.5</x:v>
      </x:c>
      <x:c r="W3358" s="28" t="n">
        <x:f>L3358-M3358</x:f>
        <x:v>0</x:v>
      </x:c>
      <x:c r="X3358" s="24" t="n">
        <x:f>IFERROR(K3358/I3358,0)</x:f>
        <x:v>0.4</x:v>
      </x:c>
      <x:c r="Y3358" s="24" t="n">
        <x:f>IFERROR(G3358/I3358,0)</x:f>
        <x:v>0.2</x:v>
      </x:c>
      <x:c r="Z3358" s="24" t="n">
        <x:f>IFERROR(G3358/K3358,0)</x:f>
        <x:v>0.5</x:v>
      </x:c>
      <x:c r="AA3358" s="24" t="n">
        <x:f>IFERROR(F3358/H3358,0)-IFERROR(G3358/I3358,0)</x:f>
        <x:v>-0.2</x:v>
      </x:c>
      <x:c r="AB3358" s="28" t="n">
        <x:f>J3358-K3358</x:f>
        <x:v>-5</x:v>
      </x:c>
      <x:c r="AC3358" s="32" t="n">
        <x:f>F3358-G3358</x:f>
        <x:v>-3</x:v>
      </x:c>
    </x:row>
    <x:row r="3359">
      <x:c r="A3359" s="4" t="str">
        <x:v>2025-26</x:v>
      </x:c>
      <x:c r="B3359" s="20" t="n">
        <x:v>46005</x:v>
      </x:c>
      <x:c r="C3359" s="4" t="str">
        <x:v>West Ham</x:v>
      </x:c>
      <x:c r="D3359" s="4" t="str">
        <x:v>Aston Villa</x:v>
      </x:c>
      <x:c r="E3359" s="4" t="str">
        <x:v>Home</x:v>
      </x:c>
      <x:c r="F3359" s="28" t="n">
        <x:v>2</x:v>
      </x:c>
      <x:c r="G3359" s="28" t="n">
        <x:v>3</x:v>
      </x:c>
      <x:c r="H3359" s="28" t="n">
        <x:v>10</x:v>
      </x:c>
      <x:c r="I3359" s="28" t="n">
        <x:v>7</x:v>
      </x:c>
      <x:c r="J3359" s="28" t="n">
        <x:v>3</x:v>
      </x:c>
      <x:c r="K3359" s="28" t="n">
        <x:v>4</x:v>
      </x:c>
      <x:c r="L3359" s="28" t="n">
        <x:v>5</x:v>
      </x:c>
      <x:c r="M3359" s="28" t="n">
        <x:v>3</x:v>
      </x:c>
      <x:c r="N3359" s="28" t="n">
        <x:v>1</x:v>
      </x:c>
      <x:c r="O3359" s="28" t="n">
        <x:v>0</x:v>
      </x:c>
      <x:c r="P3359" s="28" t="n">
        <x:v>0</x:v>
      </x:c>
      <x:c r="Q3359" s="24" t="n">
        <x:f>IFERROR(J3359/H3359,0)</x:f>
        <x:v>0.3</x:v>
      </x:c>
      <x:c r="R3359" s="24" t="n">
        <x:f>IFERROR(F3359/H3359,0)</x:f>
        <x:v>0.2</x:v>
      </x:c>
      <x:c r="S3359" s="24" t="n">
        <x:f>IFERROR(F3359/J3359,0)</x:f>
        <x:v>0.6666666666666666</x:v>
      </x:c>
      <x:c r="T3359" s="28" t="n">
        <x:f>H3359-I3359</x:f>
        <x:v>3</x:v>
      </x:c>
      <x:c r="U3359" s="24" t="n">
        <x:f>IFERROR(J3359/H3359,0)-IFERROR(K3359/I3359,0)</x:f>
        <x:v>-0.2714285714285714</x:v>
      </x:c>
      <x:c r="V3359" s="24" t="n">
        <x:f>IFERROR(F3359/J3359,0)-IFERROR(G3359/K3359,0)</x:f>
        <x:v>-0.08333333333333337</x:v>
      </x:c>
      <x:c r="W3359" s="28" t="n">
        <x:f>L3359-M3359</x:f>
        <x:v>2</x:v>
      </x:c>
      <x:c r="X3359" s="24" t="n">
        <x:f>IFERROR(K3359/I3359,0)</x:f>
        <x:v>0.5714285714285714</x:v>
      </x:c>
      <x:c r="Y3359" s="24" t="n">
        <x:f>IFERROR(G3359/I3359,0)</x:f>
        <x:v>0.42857142857142855</x:v>
      </x:c>
      <x:c r="Z3359" s="24" t="n">
        <x:f>IFERROR(G3359/K3359,0)</x:f>
        <x:v>0.75</x:v>
      </x:c>
      <x:c r="AA3359" s="24" t="n">
        <x:f>IFERROR(F3359/H3359,0)-IFERROR(G3359/I3359,0)</x:f>
        <x:v>-0.22857142857142854</x:v>
      </x:c>
      <x:c r="AB3359" s="28" t="n">
        <x:f>J3359-K3359</x:f>
        <x:v>-1</x:v>
      </x:c>
      <x:c r="AC3359" s="32" t="n">
        <x:f>F3359-G3359</x:f>
        <x:v>-1</x:v>
      </x:c>
    </x:row>
    <x:row r="3360">
      <x:c r="A3360" s="4" t="str">
        <x:v>2025-26</x:v>
      </x:c>
      <x:c r="B3360" s="20" t="n">
        <x:v>46006</x:v>
      </x:c>
      <x:c r="C3360" s="4" t="str">
        <x:v>Bournemouth</x:v>
      </x:c>
      <x:c r="D3360" s="4" t="str">
        <x:v>Man United</x:v>
      </x:c>
      <x:c r="E3360" s="4" t="str">
        <x:v>Away</x:v>
      </x:c>
      <x:c r="F3360" s="28" t="n">
        <x:v>4</x:v>
      </x:c>
      <x:c r="G3360" s="28" t="n">
        <x:v>4</x:v>
      </x:c>
      <x:c r="H3360" s="28" t="n">
        <x:v>14</x:v>
      </x:c>
      <x:c r="I3360" s="28" t="n">
        <x:v>25</x:v>
      </x:c>
      <x:c r="J3360" s="28" t="n">
        <x:v>9</x:v>
      </x:c>
      <x:c r="K3360" s="28" t="n">
        <x:v>9</x:v>
      </x:c>
      <x:c r="L3360" s="28" t="n">
        <x:v>4</x:v>
      </x:c>
      <x:c r="M3360" s="28" t="n">
        <x:v>5</x:v>
      </x:c>
      <x:c r="N3360" s="28" t="n">
        <x:v>3</x:v>
      </x:c>
      <x:c r="O3360" s="28" t="n">
        <x:v>0</x:v>
      </x:c>
      <x:c r="P3360" s="28" t="n">
        <x:v>1</x:v>
      </x:c>
      <x:c r="Q3360" s="24" t="n">
        <x:f>IFERROR(J3360/H3360,0)</x:f>
        <x:v>0.6428571428571429</x:v>
      </x:c>
      <x:c r="R3360" s="24" t="n">
        <x:f>IFERROR(F3360/H3360,0)</x:f>
        <x:v>0.2857142857142857</x:v>
      </x:c>
      <x:c r="S3360" s="24" t="n">
        <x:f>IFERROR(F3360/J3360,0)</x:f>
        <x:v>0.4444444444444444</x:v>
      </x:c>
      <x:c r="T3360" s="28" t="n">
        <x:f>H3360-I3360</x:f>
        <x:v>-11</x:v>
      </x:c>
      <x:c r="U3360" s="24" t="n">
        <x:f>IFERROR(J3360/H3360,0)-IFERROR(K3360/I3360,0)</x:f>
        <x:v>0.2828571428571429</x:v>
      </x:c>
      <x:c r="V3360" s="24" t="n">
        <x:f>IFERROR(F3360/J3360,0)-IFERROR(G3360/K3360,0)</x:f>
        <x:v>0</x:v>
      </x:c>
      <x:c r="W3360" s="28" t="n">
        <x:f>L3360-M3360</x:f>
        <x:v>-1</x:v>
      </x:c>
      <x:c r="X3360" s="24" t="n">
        <x:f>IFERROR(K3360/I3360,0)</x:f>
        <x:v>0.36</x:v>
      </x:c>
      <x:c r="Y3360" s="24" t="n">
        <x:f>IFERROR(G3360/I3360,0)</x:f>
        <x:v>0.16</x:v>
      </x:c>
      <x:c r="Z3360" s="24" t="n">
        <x:f>IFERROR(G3360/K3360,0)</x:f>
        <x:v>0.4444444444444444</x:v>
      </x:c>
      <x:c r="AA3360" s="24" t="n">
        <x:f>IFERROR(F3360/H3360,0)-IFERROR(G3360/I3360,0)</x:f>
        <x:v>0.1257142857142857</x:v>
      </x:c>
      <x:c r="AB3360" s="28" t="n">
        <x:f>J3360-K3360</x:f>
        <x:v>0</x:v>
      </x:c>
      <x:c r="AC3360" s="32" t="n">
        <x:f>F3360-G3360</x:f>
        <x:v>0</x:v>
      </x:c>
    </x:row>
    <x:row r="3361">
      <x:c r="A3361" s="4" t="str">
        <x:v>2025-26</x:v>
      </x:c>
      <x:c r="B3361" s="20" t="n">
        <x:v>46006</x:v>
      </x:c>
      <x:c r="C3361" s="4" t="str">
        <x:v>Man United</x:v>
      </x:c>
      <x:c r="D3361" s="4" t="str">
        <x:v>Bournemouth</x:v>
      </x:c>
      <x:c r="E3361" s="4" t="str">
        <x:v>Home</x:v>
      </x:c>
      <x:c r="F3361" s="28" t="n">
        <x:v>4</x:v>
      </x:c>
      <x:c r="G3361" s="28" t="n">
        <x:v>4</x:v>
      </x:c>
      <x:c r="H3361" s="28" t="n">
        <x:v>25</x:v>
      </x:c>
      <x:c r="I3361" s="28" t="n">
        <x:v>14</x:v>
      </x:c>
      <x:c r="J3361" s="28" t="n">
        <x:v>9</x:v>
      </x:c>
      <x:c r="K3361" s="28" t="n">
        <x:v>9</x:v>
      </x:c>
      <x:c r="L3361" s="28" t="n">
        <x:v>5</x:v>
      </x:c>
      <x:c r="M3361" s="28" t="n">
        <x:v>4</x:v>
      </x:c>
      <x:c r="N3361" s="28" t="n">
        <x:v>2</x:v>
      </x:c>
      <x:c r="O3361" s="28" t="n">
        <x:v>0</x:v>
      </x:c>
      <x:c r="P3361" s="28" t="n">
        <x:v>1</x:v>
      </x:c>
      <x:c r="Q3361" s="24" t="n">
        <x:f>IFERROR(J3361/H3361,0)</x:f>
        <x:v>0.36</x:v>
      </x:c>
      <x:c r="R3361" s="24" t="n">
        <x:f>IFERROR(F3361/H3361,0)</x:f>
        <x:v>0.16</x:v>
      </x:c>
      <x:c r="S3361" s="24" t="n">
        <x:f>IFERROR(F3361/J3361,0)</x:f>
        <x:v>0.4444444444444444</x:v>
      </x:c>
      <x:c r="T3361" s="28" t="n">
        <x:f>H3361-I3361</x:f>
        <x:v>11</x:v>
      </x:c>
      <x:c r="U3361" s="24" t="n">
        <x:f>IFERROR(J3361/H3361,0)-IFERROR(K3361/I3361,0)</x:f>
        <x:v>-0.2828571428571429</x:v>
      </x:c>
      <x:c r="V3361" s="24" t="n">
        <x:f>IFERROR(F3361/J3361,0)-IFERROR(G3361/K3361,0)</x:f>
        <x:v>0</x:v>
      </x:c>
      <x:c r="W3361" s="28" t="n">
        <x:f>L3361-M3361</x:f>
        <x:v>1</x:v>
      </x:c>
      <x:c r="X3361" s="24" t="n">
        <x:f>IFERROR(K3361/I3361,0)</x:f>
        <x:v>0.6428571428571429</x:v>
      </x:c>
      <x:c r="Y3361" s="24" t="n">
        <x:f>IFERROR(G3361/I3361,0)</x:f>
        <x:v>0.2857142857142857</x:v>
      </x:c>
      <x:c r="Z3361" s="24" t="n">
        <x:f>IFERROR(G3361/K3361,0)</x:f>
        <x:v>0.4444444444444444</x:v>
      </x:c>
      <x:c r="AA3361" s="24" t="n">
        <x:f>IFERROR(F3361/H3361,0)-IFERROR(G3361/I3361,0)</x:f>
        <x:v>-0.1257142857142857</x:v>
      </x:c>
      <x:c r="AB3361" s="28" t="n">
        <x:f>J3361-K3361</x:f>
        <x:v>0</x:v>
      </x:c>
      <x:c r="AC3361" s="32" t="n">
        <x:f>F3361-G3361</x:f>
        <x:v>0</x:v>
      </x:c>
    </x:row>
    <x:row r="3362">
      <x:c r="A3362" s="4" t="str">
        <x:v>2025-26</x:v>
      </x:c>
      <x:c r="B3362" s="20" t="n">
        <x:v>46011</x:v>
      </x:c>
      <x:c r="C3362" s="4" t="str">
        <x:v>Arsenal</x:v>
      </x:c>
      <x:c r="D3362" s="4" t="str">
        <x:v>Everton</x:v>
      </x:c>
      <x:c r="E3362" s="4" t="str">
        <x:v>Away</x:v>
      </x:c>
      <x:c r="F3362" s="28" t="n">
        <x:v>1</x:v>
      </x:c>
      <x:c r="G3362" s="28" t="n">
        <x:v>0</x:v>
      </x:c>
      <x:c r="H3362" s="28" t="n">
        <x:v>13</x:v>
      </x:c>
      <x:c r="I3362" s="28" t="n">
        <x:v>5</x:v>
      </x:c>
      <x:c r="J3362" s="28" t="n">
        <x:v>2</x:v>
      </x:c>
      <x:c r="K3362" s="28" t="n">
        <x:v>1</x:v>
      </x:c>
      <x:c r="L3362" s="28" t="n">
        <x:v>3</x:v>
      </x:c>
      <x:c r="M3362" s="28" t="n">
        <x:v>2</x:v>
      </x:c>
      <x:c r="N3362" s="28" t="n">
        <x:v>2</x:v>
      </x:c>
      <x:c r="O3362" s="28" t="n">
        <x:v>0</x:v>
      </x:c>
      <x:c r="P3362" s="28" t="n">
        <x:v>3</x:v>
      </x:c>
      <x:c r="Q3362" s="24" t="n">
        <x:f>IFERROR(J3362/H3362,0)</x:f>
        <x:v>0.15384615384615385</x:v>
      </x:c>
      <x:c r="R3362" s="24" t="n">
        <x:f>IFERROR(F3362/H3362,0)</x:f>
        <x:v>0.07692307692307693</x:v>
      </x:c>
      <x:c r="S3362" s="24" t="n">
        <x:f>IFERROR(F3362/J3362,0)</x:f>
        <x:v>0.5</x:v>
      </x:c>
      <x:c r="T3362" s="28" t="n">
        <x:f>H3362-I3362</x:f>
        <x:v>8</x:v>
      </x:c>
      <x:c r="U3362" s="24" t="n">
        <x:f>IFERROR(J3362/H3362,0)-IFERROR(K3362/I3362,0)</x:f>
        <x:v>-0.046153846153846156</x:v>
      </x:c>
      <x:c r="V3362" s="24" t="n">
        <x:f>IFERROR(F3362/J3362,0)-IFERROR(G3362/K3362,0)</x:f>
        <x:v>0.5</x:v>
      </x:c>
      <x:c r="W3362" s="28" t="n">
        <x:f>L3362-M3362</x:f>
        <x:v>1</x:v>
      </x:c>
      <x:c r="X3362" s="24" t="n">
        <x:f>IFERROR(K3362/I3362,0)</x:f>
        <x:v>0.2</x:v>
      </x:c>
      <x:c r="Y3362" s="24" t="n">
        <x:f>IFERROR(G3362/I3362,0)</x:f>
        <x:v>0</x:v>
      </x:c>
      <x:c r="Z3362" s="24" t="n">
        <x:f>IFERROR(G3362/K3362,0)</x:f>
        <x:v>0</x:v>
      </x:c>
      <x:c r="AA3362" s="24" t="n">
        <x:f>IFERROR(F3362/H3362,0)-IFERROR(G3362/I3362,0)</x:f>
        <x:v>0.07692307692307693</x:v>
      </x:c>
      <x:c r="AB3362" s="28" t="n">
        <x:f>J3362-K3362</x:f>
        <x:v>1</x:v>
      </x:c>
      <x:c r="AC3362" s="32" t="n">
        <x:f>F3362-G3362</x:f>
        <x:v>1</x:v>
      </x:c>
    </x:row>
    <x:row r="3363">
      <x:c r="A3363" s="4" t="str">
        <x:v>2025-26</x:v>
      </x:c>
      <x:c r="B3363" s="20" t="n">
        <x:v>46011</x:v>
      </x:c>
      <x:c r="C3363" s="4" t="str">
        <x:v>Bournemouth</x:v>
      </x:c>
      <x:c r="D3363" s="4" t="str">
        <x:v>Burnley</x:v>
      </x:c>
      <x:c r="E3363" s="4" t="str">
        <x:v>Home</x:v>
      </x:c>
      <x:c r="F3363" s="28" t="n">
        <x:v>1</x:v>
      </x:c>
      <x:c r="G3363" s="28" t="n">
        <x:v>1</x:v>
      </x:c>
      <x:c r="H3363" s="28" t="n">
        <x:v>16</x:v>
      </x:c>
      <x:c r="I3363" s="28" t="n">
        <x:v>4</x:v>
      </x:c>
      <x:c r="J3363" s="28" t="n">
        <x:v>1</x:v>
      </x:c>
      <x:c r="K3363" s="28" t="n">
        <x:v>1</x:v>
      </x:c>
      <x:c r="L3363" s="28" t="n">
        <x:v>5</x:v>
      </x:c>
      <x:c r="M3363" s="28" t="n">
        <x:v>3</x:v>
      </x:c>
      <x:c r="N3363" s="28" t="n">
        <x:v>1</x:v>
      </x:c>
      <x:c r="O3363" s="28" t="n">
        <x:v>0</x:v>
      </x:c>
      <x:c r="P3363" s="28" t="n">
        <x:v>1</x:v>
      </x:c>
      <x:c r="Q3363" s="24" t="n">
        <x:f>IFERROR(J3363/H3363,0)</x:f>
        <x:v>0.0625</x:v>
      </x:c>
      <x:c r="R3363" s="24" t="n">
        <x:f>IFERROR(F3363/H3363,0)</x:f>
        <x:v>0.0625</x:v>
      </x:c>
      <x:c r="S3363" s="24" t="n">
        <x:f>IFERROR(F3363/J3363,0)</x:f>
        <x:v>1</x:v>
      </x:c>
      <x:c r="T3363" s="28" t="n">
        <x:f>H3363-I3363</x:f>
        <x:v>12</x:v>
      </x:c>
      <x:c r="U3363" s="24" t="n">
        <x:f>IFERROR(J3363/H3363,0)-IFERROR(K3363/I3363,0)</x:f>
        <x:v>-0.1875</x:v>
      </x:c>
      <x:c r="V3363" s="24" t="n">
        <x:f>IFERROR(F3363/J3363,0)-IFERROR(G3363/K3363,0)</x:f>
        <x:v>0</x:v>
      </x:c>
      <x:c r="W3363" s="28" t="n">
        <x:f>L3363-M3363</x:f>
        <x:v>2</x:v>
      </x:c>
      <x:c r="X3363" s="24" t="n">
        <x:f>IFERROR(K3363/I3363,0)</x:f>
        <x:v>0.25</x:v>
      </x:c>
      <x:c r="Y3363" s="24" t="n">
        <x:f>IFERROR(G3363/I3363,0)</x:f>
        <x:v>0.25</x:v>
      </x:c>
      <x:c r="Z3363" s="24" t="n">
        <x:f>IFERROR(G3363/K3363,0)</x:f>
        <x:v>1</x:v>
      </x:c>
      <x:c r="AA3363" s="24" t="n">
        <x:f>IFERROR(F3363/H3363,0)-IFERROR(G3363/I3363,0)</x:f>
        <x:v>-0.1875</x:v>
      </x:c>
      <x:c r="AB3363" s="28" t="n">
        <x:f>J3363-K3363</x:f>
        <x:v>0</x:v>
      </x:c>
      <x:c r="AC3363" s="32" t="n">
        <x:f>F3363-G3363</x:f>
        <x:v>0</x:v>
      </x:c>
    </x:row>
    <x:row r="3364">
      <x:c r="A3364" s="4" t="str">
        <x:v>2025-26</x:v>
      </x:c>
      <x:c r="B3364" s="20" t="n">
        <x:v>46011</x:v>
      </x:c>
      <x:c r="C3364" s="4" t="str">
        <x:v>Brentford</x:v>
      </x:c>
      <x:c r="D3364" s="4" t="str">
        <x:v>Wolves</x:v>
      </x:c>
      <x:c r="E3364" s="4" t="str">
        <x:v>Away</x:v>
      </x:c>
      <x:c r="F3364" s="28" t="n">
        <x:v>2</x:v>
      </x:c>
      <x:c r="G3364" s="28" t="n">
        <x:v>0</x:v>
      </x:c>
      <x:c r="H3364" s="28" t="n">
        <x:v>7</x:v>
      </x:c>
      <x:c r="I3364" s="28" t="n">
        <x:v>9</x:v>
      </x:c>
      <x:c r="J3364" s="28" t="n">
        <x:v>6</x:v>
      </x:c>
      <x:c r="K3364" s="28" t="n">
        <x:v>2</x:v>
      </x:c>
      <x:c r="L3364" s="28" t="n">
        <x:v>4</x:v>
      </x:c>
      <x:c r="M3364" s="28" t="n">
        <x:v>3</x:v>
      </x:c>
      <x:c r="N3364" s="28" t="n">
        <x:v>4</x:v>
      </x:c>
      <x:c r="O3364" s="28" t="n">
        <x:v>0</x:v>
      </x:c>
      <x:c r="P3364" s="28" t="n">
        <x:v>3</x:v>
      </x:c>
      <x:c r="Q3364" s="24" t="n">
        <x:f>IFERROR(J3364/H3364,0)</x:f>
        <x:v>0.8571428571428571</x:v>
      </x:c>
      <x:c r="R3364" s="24" t="n">
        <x:f>IFERROR(F3364/H3364,0)</x:f>
        <x:v>0.2857142857142857</x:v>
      </x:c>
      <x:c r="S3364" s="24" t="n">
        <x:f>IFERROR(F3364/J3364,0)</x:f>
        <x:v>0.3333333333333333</x:v>
      </x:c>
      <x:c r="T3364" s="28" t="n">
        <x:f>H3364-I3364</x:f>
        <x:v>-2</x:v>
      </x:c>
      <x:c r="U3364" s="24" t="n">
        <x:f>IFERROR(J3364/H3364,0)-IFERROR(K3364/I3364,0)</x:f>
        <x:v>0.6349206349206349</x:v>
      </x:c>
      <x:c r="V3364" s="24" t="n">
        <x:f>IFERROR(F3364/J3364,0)-IFERROR(G3364/K3364,0)</x:f>
        <x:v>0.3333333333333333</x:v>
      </x:c>
      <x:c r="W3364" s="28" t="n">
        <x:f>L3364-M3364</x:f>
        <x:v>1</x:v>
      </x:c>
      <x:c r="X3364" s="24" t="n">
        <x:f>IFERROR(K3364/I3364,0)</x:f>
        <x:v>0.2222222222222222</x:v>
      </x:c>
      <x:c r="Y3364" s="24" t="n">
        <x:f>IFERROR(G3364/I3364,0)</x:f>
        <x:v>0</x:v>
      </x:c>
      <x:c r="Z3364" s="24" t="n">
        <x:f>IFERROR(G3364/K3364,0)</x:f>
        <x:v>0</x:v>
      </x:c>
      <x:c r="AA3364" s="24" t="n">
        <x:f>IFERROR(F3364/H3364,0)-IFERROR(G3364/I3364,0)</x:f>
        <x:v>0.2857142857142857</x:v>
      </x:c>
      <x:c r="AB3364" s="28" t="n">
        <x:f>J3364-K3364</x:f>
        <x:v>4</x:v>
      </x:c>
      <x:c r="AC3364" s="32" t="n">
        <x:f>F3364-G3364</x:f>
        <x:v>2</x:v>
      </x:c>
    </x:row>
    <x:row r="3365">
      <x:c r="A3365" s="4" t="str">
        <x:v>2025-26</x:v>
      </x:c>
      <x:c r="B3365" s="20" t="n">
        <x:v>46011</x:v>
      </x:c>
      <x:c r="C3365" s="4" t="str">
        <x:v>Brighton</x:v>
      </x:c>
      <x:c r="D3365" s="4" t="str">
        <x:v>Sunderland</x:v>
      </x:c>
      <x:c r="E3365" s="4" t="str">
        <x:v>Home</x:v>
      </x:c>
      <x:c r="F3365" s="28" t="n">
        <x:v>0</x:v>
      </x:c>
      <x:c r="G3365" s="28" t="n">
        <x:v>0</x:v>
      </x:c>
      <x:c r="H3365" s="28" t="n">
        <x:v>16</x:v>
      </x:c>
      <x:c r="I3365" s="28" t="n">
        <x:v>14</x:v>
      </x:c>
      <x:c r="J3365" s="28" t="n">
        <x:v>4</x:v>
      </x:c>
      <x:c r="K3365" s="28" t="n">
        <x:v>6</x:v>
      </x:c>
      <x:c r="L3365" s="28" t="n">
        <x:v>3</x:v>
      </x:c>
      <x:c r="M3365" s="28" t="n">
        <x:v>4</x:v>
      </x:c>
      <x:c r="N3365" s="28" t="n">
        <x:v>2</x:v>
      </x:c>
      <x:c r="O3365" s="28" t="n">
        <x:v>0</x:v>
      </x:c>
      <x:c r="P3365" s="28" t="n">
        <x:v>1</x:v>
      </x:c>
      <x:c r="Q3365" s="24" t="n">
        <x:f>IFERROR(J3365/H3365,0)</x:f>
        <x:v>0.25</x:v>
      </x:c>
      <x:c r="R3365" s="24" t="n">
        <x:f>IFERROR(F3365/H3365,0)</x:f>
        <x:v>0</x:v>
      </x:c>
      <x:c r="S3365" s="24" t="n">
        <x:f>IFERROR(F3365/J3365,0)</x:f>
        <x:v>0</x:v>
      </x:c>
      <x:c r="T3365" s="28" t="n">
        <x:f>H3365-I3365</x:f>
        <x:v>2</x:v>
      </x:c>
      <x:c r="U3365" s="24" t="n">
        <x:f>IFERROR(J3365/H3365,0)-IFERROR(K3365/I3365,0)</x:f>
        <x:v>-0.17857142857142855</x:v>
      </x:c>
      <x:c r="V3365" s="24" t="n">
        <x:f>IFERROR(F3365/J3365,0)-IFERROR(G3365/K3365,0)</x:f>
        <x:v>0</x:v>
      </x:c>
      <x:c r="W3365" s="28" t="n">
        <x:f>L3365-M3365</x:f>
        <x:v>-1</x:v>
      </x:c>
      <x:c r="X3365" s="24" t="n">
        <x:f>IFERROR(K3365/I3365,0)</x:f>
        <x:v>0.42857142857142855</x:v>
      </x:c>
      <x:c r="Y3365" s="24" t="n">
        <x:f>IFERROR(G3365/I3365,0)</x:f>
        <x:v>0</x:v>
      </x:c>
      <x:c r="Z3365" s="24" t="n">
        <x:f>IFERROR(G3365/K3365,0)</x:f>
        <x:v>0</x:v>
      </x:c>
      <x:c r="AA3365" s="24" t="n">
        <x:f>IFERROR(F3365/H3365,0)-IFERROR(G3365/I3365,0)</x:f>
        <x:v>0</x:v>
      </x:c>
      <x:c r="AB3365" s="28" t="n">
        <x:f>J3365-K3365</x:f>
        <x:v>-2</x:v>
      </x:c>
      <x:c r="AC3365" s="32" t="n">
        <x:f>F3365-G3365</x:f>
        <x:v>0</x:v>
      </x:c>
    </x:row>
    <x:row r="3366">
      <x:c r="A3366" s="4" t="str">
        <x:v>2025-26</x:v>
      </x:c>
      <x:c r="B3366" s="20" t="n">
        <x:v>46011</x:v>
      </x:c>
      <x:c r="C3366" s="4" t="str">
        <x:v>Burnley</x:v>
      </x:c>
      <x:c r="D3366" s="4" t="str">
        <x:v>Bournemouth</x:v>
      </x:c>
      <x:c r="E3366" s="4" t="str">
        <x:v>Away</x:v>
      </x:c>
      <x:c r="F3366" s="28" t="n">
        <x:v>1</x:v>
      </x:c>
      <x:c r="G3366" s="28" t="n">
        <x:v>1</x:v>
      </x:c>
      <x:c r="H3366" s="28" t="n">
        <x:v>4</x:v>
      </x:c>
      <x:c r="I3366" s="28" t="n">
        <x:v>16</x:v>
      </x:c>
      <x:c r="J3366" s="28" t="n">
        <x:v>1</x:v>
      </x:c>
      <x:c r="K3366" s="28" t="n">
        <x:v>1</x:v>
      </x:c>
      <x:c r="L3366" s="28" t="n">
        <x:v>3</x:v>
      </x:c>
      <x:c r="M3366" s="28" t="n">
        <x:v>5</x:v>
      </x:c>
      <x:c r="N3366" s="28" t="n">
        <x:v>1</x:v>
      </x:c>
      <x:c r="O3366" s="28" t="n">
        <x:v>0</x:v>
      </x:c>
      <x:c r="P3366" s="28" t="n">
        <x:v>1</x:v>
      </x:c>
      <x:c r="Q3366" s="24" t="n">
        <x:f>IFERROR(J3366/H3366,0)</x:f>
        <x:v>0.25</x:v>
      </x:c>
      <x:c r="R3366" s="24" t="n">
        <x:f>IFERROR(F3366/H3366,0)</x:f>
        <x:v>0.25</x:v>
      </x:c>
      <x:c r="S3366" s="24" t="n">
        <x:f>IFERROR(F3366/J3366,0)</x:f>
        <x:v>1</x:v>
      </x:c>
      <x:c r="T3366" s="28" t="n">
        <x:f>H3366-I3366</x:f>
        <x:v>-12</x:v>
      </x:c>
      <x:c r="U3366" s="24" t="n">
        <x:f>IFERROR(J3366/H3366,0)-IFERROR(K3366/I3366,0)</x:f>
        <x:v>0.1875</x:v>
      </x:c>
      <x:c r="V3366" s="24" t="n">
        <x:f>IFERROR(F3366/J3366,0)-IFERROR(G3366/K3366,0)</x:f>
        <x:v>0</x:v>
      </x:c>
      <x:c r="W3366" s="28" t="n">
        <x:f>L3366-M3366</x:f>
        <x:v>-2</x:v>
      </x:c>
      <x:c r="X3366" s="24" t="n">
        <x:f>IFERROR(K3366/I3366,0)</x:f>
        <x:v>0.0625</x:v>
      </x:c>
      <x:c r="Y3366" s="24" t="n">
        <x:f>IFERROR(G3366/I3366,0)</x:f>
        <x:v>0.0625</x:v>
      </x:c>
      <x:c r="Z3366" s="24" t="n">
        <x:f>IFERROR(G3366/K3366,0)</x:f>
        <x:v>1</x:v>
      </x:c>
      <x:c r="AA3366" s="24" t="n">
        <x:f>IFERROR(F3366/H3366,0)-IFERROR(G3366/I3366,0)</x:f>
        <x:v>0.1875</x:v>
      </x:c>
      <x:c r="AB3366" s="28" t="n">
        <x:f>J3366-K3366</x:f>
        <x:v>0</x:v>
      </x:c>
      <x:c r="AC3366" s="32" t="n">
        <x:f>F3366-G3366</x:f>
        <x:v>0</x:v>
      </x:c>
    </x:row>
    <x:row r="3367">
      <x:c r="A3367" s="4" t="str">
        <x:v>2025-26</x:v>
      </x:c>
      <x:c r="B3367" s="20" t="n">
        <x:v>46011</x:v>
      </x:c>
      <x:c r="C3367" s="4" t="str">
        <x:v>Chelsea</x:v>
      </x:c>
      <x:c r="D3367" s="4" t="str">
        <x:v>Newcastle</x:v>
      </x:c>
      <x:c r="E3367" s="4" t="str">
        <x:v>Away</x:v>
      </x:c>
      <x:c r="F3367" s="28" t="n">
        <x:v>2</x:v>
      </x:c>
      <x:c r="G3367" s="28" t="n">
        <x:v>2</x:v>
      </x:c>
      <x:c r="H3367" s="28" t="n">
        <x:v>13</x:v>
      </x:c>
      <x:c r="I3367" s="28" t="n">
        <x:v>11</x:v>
      </x:c>
      <x:c r="J3367" s="28" t="n">
        <x:v>4</x:v>
      </x:c>
      <x:c r="K3367" s="28" t="n">
        <x:v>5</x:v>
      </x:c>
      <x:c r="L3367" s="28" t="n">
        <x:v>4</x:v>
      </x:c>
      <x:c r="M3367" s="28" t="n">
        <x:v>6</x:v>
      </x:c>
      <x:c r="N3367" s="28" t="n">
        <x:v>6</x:v>
      </x:c>
      <x:c r="O3367" s="28" t="n">
        <x:v>0</x:v>
      </x:c>
      <x:c r="P3367" s="28" t="n">
        <x:v>1</x:v>
      </x:c>
      <x:c r="Q3367" s="24" t="n">
        <x:f>IFERROR(J3367/H3367,0)</x:f>
        <x:v>0.3076923076923077</x:v>
      </x:c>
      <x:c r="R3367" s="24" t="n">
        <x:f>IFERROR(F3367/H3367,0)</x:f>
        <x:v>0.15384615384615385</x:v>
      </x:c>
      <x:c r="S3367" s="24" t="n">
        <x:f>IFERROR(F3367/J3367,0)</x:f>
        <x:v>0.5</x:v>
      </x:c>
      <x:c r="T3367" s="28" t="n">
        <x:f>H3367-I3367</x:f>
        <x:v>2</x:v>
      </x:c>
      <x:c r="U3367" s="24" t="n">
        <x:f>IFERROR(J3367/H3367,0)-IFERROR(K3367/I3367,0)</x:f>
        <x:v>-0.14685314685314682</x:v>
      </x:c>
      <x:c r="V3367" s="24" t="n">
        <x:f>IFERROR(F3367/J3367,0)-IFERROR(G3367/K3367,0)</x:f>
        <x:v>0.09999999999999998</x:v>
      </x:c>
      <x:c r="W3367" s="28" t="n">
        <x:f>L3367-M3367</x:f>
        <x:v>-2</x:v>
      </x:c>
      <x:c r="X3367" s="24" t="n">
        <x:f>IFERROR(K3367/I3367,0)</x:f>
        <x:v>0.45454545454545453</x:v>
      </x:c>
      <x:c r="Y3367" s="24" t="n">
        <x:f>IFERROR(G3367/I3367,0)</x:f>
        <x:v>0.18181818181818182</x:v>
      </x:c>
      <x:c r="Z3367" s="24" t="n">
        <x:f>IFERROR(G3367/K3367,0)</x:f>
        <x:v>0.4</x:v>
      </x:c>
      <x:c r="AA3367" s="24" t="n">
        <x:f>IFERROR(F3367/H3367,0)-IFERROR(G3367/I3367,0)</x:f>
        <x:v>-0.02797202797202797</x:v>
      </x:c>
      <x:c r="AB3367" s="28" t="n">
        <x:f>J3367-K3367</x:f>
        <x:v>-1</x:v>
      </x:c>
      <x:c r="AC3367" s="32" t="n">
        <x:f>F3367-G3367</x:f>
        <x:v>0</x:v>
      </x:c>
    </x:row>
    <x:row r="3368">
      <x:c r="A3368" s="4" t="str">
        <x:v>2025-26</x:v>
      </x:c>
      <x:c r="B3368" s="20" t="n">
        <x:v>46011</x:v>
      </x:c>
      <x:c r="C3368" s="4" t="str">
        <x:v>Crystal Palace</x:v>
      </x:c>
      <x:c r="D3368" s="4" t="str">
        <x:v>Leeds</x:v>
      </x:c>
      <x:c r="E3368" s="4" t="str">
        <x:v>Away</x:v>
      </x:c>
      <x:c r="F3368" s="28" t="n">
        <x:v>1</x:v>
      </x:c>
      <x:c r="G3368" s="28" t="n">
        <x:v>4</x:v>
      </x:c>
      <x:c r="H3368" s="28" t="n">
        <x:v>9</x:v>
      </x:c>
      <x:c r="I3368" s="28" t="n">
        <x:v>20</x:v>
      </x:c>
      <x:c r="J3368" s="28" t="n">
        <x:v>3</x:v>
      </x:c>
      <x:c r="K3368" s="28" t="n">
        <x:v>8</x:v>
      </x:c>
      <x:c r="L3368" s="28" t="n">
        <x:v>5</x:v>
      </x:c>
      <x:c r="M3368" s="28" t="n">
        <x:v>9</x:v>
      </x:c>
      <x:c r="N3368" s="28" t="n">
        <x:v>3</x:v>
      </x:c>
      <x:c r="O3368" s="28" t="n">
        <x:v>0</x:v>
      </x:c>
      <x:c r="P3368" s="28" t="n">
        <x:v>0</x:v>
      </x:c>
      <x:c r="Q3368" s="24" t="n">
        <x:f>IFERROR(J3368/H3368,0)</x:f>
        <x:v>0.3333333333333333</x:v>
      </x:c>
      <x:c r="R3368" s="24" t="n">
        <x:f>IFERROR(F3368/H3368,0)</x:f>
        <x:v>0.1111111111111111</x:v>
      </x:c>
      <x:c r="S3368" s="24" t="n">
        <x:f>IFERROR(F3368/J3368,0)</x:f>
        <x:v>0.3333333333333333</x:v>
      </x:c>
      <x:c r="T3368" s="28" t="n">
        <x:f>H3368-I3368</x:f>
        <x:v>-11</x:v>
      </x:c>
      <x:c r="U3368" s="24" t="n">
        <x:f>IFERROR(J3368/H3368,0)-IFERROR(K3368/I3368,0)</x:f>
        <x:v>-0.06666666666666671</x:v>
      </x:c>
      <x:c r="V3368" s="24" t="n">
        <x:f>IFERROR(F3368/J3368,0)-IFERROR(G3368/K3368,0)</x:f>
        <x:v>-0.16666666666666669</x:v>
      </x:c>
      <x:c r="W3368" s="28" t="n">
        <x:f>L3368-M3368</x:f>
        <x:v>-4</x:v>
      </x:c>
      <x:c r="X3368" s="24" t="n">
        <x:f>IFERROR(K3368/I3368,0)</x:f>
        <x:v>0.4</x:v>
      </x:c>
      <x:c r="Y3368" s="24" t="n">
        <x:f>IFERROR(G3368/I3368,0)</x:f>
        <x:v>0.2</x:v>
      </x:c>
      <x:c r="Z3368" s="24" t="n">
        <x:f>IFERROR(G3368/K3368,0)</x:f>
        <x:v>0.5</x:v>
      </x:c>
      <x:c r="AA3368" s="24" t="n">
        <x:f>IFERROR(F3368/H3368,0)-IFERROR(G3368/I3368,0)</x:f>
        <x:v>-0.0888888888888889</x:v>
      </x:c>
      <x:c r="AB3368" s="28" t="n">
        <x:f>J3368-K3368</x:f>
        <x:v>-5</x:v>
      </x:c>
      <x:c r="AC3368" s="32" t="n">
        <x:f>F3368-G3368</x:f>
        <x:v>-3</x:v>
      </x:c>
    </x:row>
    <x:row r="3369">
      <x:c r="A3369" s="4" t="str">
        <x:v>2025-26</x:v>
      </x:c>
      <x:c r="B3369" s="20" t="n">
        <x:v>46011</x:v>
      </x:c>
      <x:c r="C3369" s="4" t="str">
        <x:v>Everton</x:v>
      </x:c>
      <x:c r="D3369" s="4" t="str">
        <x:v>Arsenal</x:v>
      </x:c>
      <x:c r="E3369" s="4" t="str">
        <x:v>Home</x:v>
      </x:c>
      <x:c r="F3369" s="28" t="n">
        <x:v>0</x:v>
      </x:c>
      <x:c r="G3369" s="28" t="n">
        <x:v>1</x:v>
      </x:c>
      <x:c r="H3369" s="28" t="n">
        <x:v>5</x:v>
      </x:c>
      <x:c r="I3369" s="28" t="n">
        <x:v>13</x:v>
      </x:c>
      <x:c r="J3369" s="28" t="n">
        <x:v>1</x:v>
      </x:c>
      <x:c r="K3369" s="28" t="n">
        <x:v>2</x:v>
      </x:c>
      <x:c r="L3369" s="28" t="n">
        <x:v>2</x:v>
      </x:c>
      <x:c r="M3369" s="28" t="n">
        <x:v>3</x:v>
      </x:c>
      <x:c r="N3369" s="28" t="n">
        <x:v>2</x:v>
      </x:c>
      <x:c r="O3369" s="28" t="n">
        <x:v>0</x:v>
      </x:c>
      <x:c r="P3369" s="28" t="n">
        <x:v>0</x:v>
      </x:c>
      <x:c r="Q3369" s="24" t="n">
        <x:f>IFERROR(J3369/H3369,0)</x:f>
        <x:v>0.2</x:v>
      </x:c>
      <x:c r="R3369" s="24" t="n">
        <x:f>IFERROR(F3369/H3369,0)</x:f>
        <x:v>0</x:v>
      </x:c>
      <x:c r="S3369" s="24" t="n">
        <x:f>IFERROR(F3369/J3369,0)</x:f>
        <x:v>0</x:v>
      </x:c>
      <x:c r="T3369" s="28" t="n">
        <x:f>H3369-I3369</x:f>
        <x:v>-8</x:v>
      </x:c>
      <x:c r="U3369" s="24" t="n">
        <x:f>IFERROR(J3369/H3369,0)-IFERROR(K3369/I3369,0)</x:f>
        <x:v>0.046153846153846156</x:v>
      </x:c>
      <x:c r="V3369" s="24" t="n">
        <x:f>IFERROR(F3369/J3369,0)-IFERROR(G3369/K3369,0)</x:f>
        <x:v>-0.5</x:v>
      </x:c>
      <x:c r="W3369" s="28" t="n">
        <x:f>L3369-M3369</x:f>
        <x:v>-1</x:v>
      </x:c>
      <x:c r="X3369" s="24" t="n">
        <x:f>IFERROR(K3369/I3369,0)</x:f>
        <x:v>0.15384615384615385</x:v>
      </x:c>
      <x:c r="Y3369" s="24" t="n">
        <x:f>IFERROR(G3369/I3369,0)</x:f>
        <x:v>0.07692307692307693</x:v>
      </x:c>
      <x:c r="Z3369" s="24" t="n">
        <x:f>IFERROR(G3369/K3369,0)</x:f>
        <x:v>0.5</x:v>
      </x:c>
      <x:c r="AA3369" s="24" t="n">
        <x:f>IFERROR(F3369/H3369,0)-IFERROR(G3369/I3369,0)</x:f>
        <x:v>-0.07692307692307693</x:v>
      </x:c>
      <x:c r="AB3369" s="28" t="n">
        <x:f>J3369-K3369</x:f>
        <x:v>-1</x:v>
      </x:c>
      <x:c r="AC3369" s="32" t="n">
        <x:f>F3369-G3369</x:f>
        <x:v>-1</x:v>
      </x:c>
    </x:row>
    <x:row r="3370">
      <x:c r="A3370" s="4" t="str">
        <x:v>2025-26</x:v>
      </x:c>
      <x:c r="B3370" s="20" t="n">
        <x:v>46011</x:v>
      </x:c>
      <x:c r="C3370" s="4" t="str">
        <x:v>Leeds</x:v>
      </x:c>
      <x:c r="D3370" s="4" t="str">
        <x:v>Crystal Palace</x:v>
      </x:c>
      <x:c r="E3370" s="4" t="str">
        <x:v>Home</x:v>
      </x:c>
      <x:c r="F3370" s="28" t="n">
        <x:v>4</x:v>
      </x:c>
      <x:c r="G3370" s="28" t="n">
        <x:v>1</x:v>
      </x:c>
      <x:c r="H3370" s="28" t="n">
        <x:v>20</x:v>
      </x:c>
      <x:c r="I3370" s="28" t="n">
        <x:v>9</x:v>
      </x:c>
      <x:c r="J3370" s="28" t="n">
        <x:v>8</x:v>
      </x:c>
      <x:c r="K3370" s="28" t="n">
        <x:v>3</x:v>
      </x:c>
      <x:c r="L3370" s="28" t="n">
        <x:v>9</x:v>
      </x:c>
      <x:c r="M3370" s="28" t="n">
        <x:v>5</x:v>
      </x:c>
      <x:c r="N3370" s="28" t="n">
        <x:v>1</x:v>
      </x:c>
      <x:c r="O3370" s="28" t="n">
        <x:v>0</x:v>
      </x:c>
      <x:c r="P3370" s="28" t="n">
        <x:v>3</x:v>
      </x:c>
      <x:c r="Q3370" s="24" t="n">
        <x:f>IFERROR(J3370/H3370,0)</x:f>
        <x:v>0.4</x:v>
      </x:c>
      <x:c r="R3370" s="24" t="n">
        <x:f>IFERROR(F3370/H3370,0)</x:f>
        <x:v>0.2</x:v>
      </x:c>
      <x:c r="S3370" s="24" t="n">
        <x:f>IFERROR(F3370/J3370,0)</x:f>
        <x:v>0.5</x:v>
      </x:c>
      <x:c r="T3370" s="28" t="n">
        <x:f>H3370-I3370</x:f>
        <x:v>11</x:v>
      </x:c>
      <x:c r="U3370" s="24" t="n">
        <x:f>IFERROR(J3370/H3370,0)-IFERROR(K3370/I3370,0)</x:f>
        <x:v>0.06666666666666671</x:v>
      </x:c>
      <x:c r="V3370" s="24" t="n">
        <x:f>IFERROR(F3370/J3370,0)-IFERROR(G3370/K3370,0)</x:f>
        <x:v>0.16666666666666669</x:v>
      </x:c>
      <x:c r="W3370" s="28" t="n">
        <x:f>L3370-M3370</x:f>
        <x:v>4</x:v>
      </x:c>
      <x:c r="X3370" s="24" t="n">
        <x:f>IFERROR(K3370/I3370,0)</x:f>
        <x:v>0.3333333333333333</x:v>
      </x:c>
      <x:c r="Y3370" s="24" t="n">
        <x:f>IFERROR(G3370/I3370,0)</x:f>
        <x:v>0.1111111111111111</x:v>
      </x:c>
      <x:c r="Z3370" s="24" t="n">
        <x:f>IFERROR(G3370/K3370,0)</x:f>
        <x:v>0.3333333333333333</x:v>
      </x:c>
      <x:c r="AA3370" s="24" t="n">
        <x:f>IFERROR(F3370/H3370,0)-IFERROR(G3370/I3370,0)</x:f>
        <x:v>0.0888888888888889</x:v>
      </x:c>
      <x:c r="AB3370" s="28" t="n">
        <x:f>J3370-K3370</x:f>
        <x:v>5</x:v>
      </x:c>
      <x:c r="AC3370" s="32" t="n">
        <x:f>F3370-G3370</x:f>
        <x:v>3</x:v>
      </x:c>
    </x:row>
    <x:row r="3371">
      <x:c r="A3371" s="4" t="str">
        <x:v>2025-26</x:v>
      </x:c>
      <x:c r="B3371" s="20" t="n">
        <x:v>46011</x:v>
      </x:c>
      <x:c r="C3371" s="4" t="str">
        <x:v>Liverpool</x:v>
      </x:c>
      <x:c r="D3371" s="4" t="str">
        <x:v>Tottenham</x:v>
      </x:c>
      <x:c r="E3371" s="4" t="str">
        <x:v>Away</x:v>
      </x:c>
      <x:c r="F3371" s="28" t="n">
        <x:v>2</x:v>
      </x:c>
      <x:c r="G3371" s="28" t="n">
        <x:v>1</x:v>
      </x:c>
      <x:c r="H3371" s="28" t="n">
        <x:v>8</x:v>
      </x:c>
      <x:c r="I3371" s="28" t="n">
        <x:v>15</x:v>
      </x:c>
      <x:c r="J3371" s="28" t="n">
        <x:v>4</x:v>
      </x:c>
      <x:c r="K3371" s="28" t="n">
        <x:v>4</x:v>
      </x:c>
      <x:c r="L3371" s="28" t="n">
        <x:v>6</x:v>
      </x:c>
      <x:c r="M3371" s="28" t="n">
        <x:v>2</x:v>
      </x:c>
      <x:c r="N3371" s="28" t="n">
        <x:v>3</x:v>
      </x:c>
      <x:c r="O3371" s="28" t="n">
        <x:v>0</x:v>
      </x:c>
      <x:c r="P3371" s="28" t="n">
        <x:v>3</x:v>
      </x:c>
      <x:c r="Q3371" s="24" t="n">
        <x:f>IFERROR(J3371/H3371,0)</x:f>
        <x:v>0.5</x:v>
      </x:c>
      <x:c r="R3371" s="24" t="n">
        <x:f>IFERROR(F3371/H3371,0)</x:f>
        <x:v>0.25</x:v>
      </x:c>
      <x:c r="S3371" s="24" t="n">
        <x:f>IFERROR(F3371/J3371,0)</x:f>
        <x:v>0.5</x:v>
      </x:c>
      <x:c r="T3371" s="28" t="n">
        <x:f>H3371-I3371</x:f>
        <x:v>-7</x:v>
      </x:c>
      <x:c r="U3371" s="24" t="n">
        <x:f>IFERROR(J3371/H3371,0)-IFERROR(K3371/I3371,0)</x:f>
        <x:v>0.23333333333333334</x:v>
      </x:c>
      <x:c r="V3371" s="24" t="n">
        <x:f>IFERROR(F3371/J3371,0)-IFERROR(G3371/K3371,0)</x:f>
        <x:v>0.25</x:v>
      </x:c>
      <x:c r="W3371" s="28" t="n">
        <x:f>L3371-M3371</x:f>
        <x:v>4</x:v>
      </x:c>
      <x:c r="X3371" s="24" t="n">
        <x:f>IFERROR(K3371/I3371,0)</x:f>
        <x:v>0.26666666666666666</x:v>
      </x:c>
      <x:c r="Y3371" s="24" t="n">
        <x:f>IFERROR(G3371/I3371,0)</x:f>
        <x:v>0.06666666666666667</x:v>
      </x:c>
      <x:c r="Z3371" s="24" t="n">
        <x:f>IFERROR(G3371/K3371,0)</x:f>
        <x:v>0.25</x:v>
      </x:c>
      <x:c r="AA3371" s="24" t="n">
        <x:f>IFERROR(F3371/H3371,0)-IFERROR(G3371/I3371,0)</x:f>
        <x:v>0.18333333333333335</x:v>
      </x:c>
      <x:c r="AB3371" s="28" t="n">
        <x:f>J3371-K3371</x:f>
        <x:v>0</x:v>
      </x:c>
      <x:c r="AC3371" s="32" t="n">
        <x:f>F3371-G3371</x:f>
        <x:v>1</x:v>
      </x:c>
    </x:row>
    <x:row r="3372">
      <x:c r="A3372" s="4" t="str">
        <x:v>2025-26</x:v>
      </x:c>
      <x:c r="B3372" s="20" t="n">
        <x:v>46011</x:v>
      </x:c>
      <x:c r="C3372" s="4" t="str">
        <x:v>Man City</x:v>
      </x:c>
      <x:c r="D3372" s="4" t="str">
        <x:v>West Ham</x:v>
      </x:c>
      <x:c r="E3372" s="4" t="str">
        <x:v>Home</x:v>
      </x:c>
      <x:c r="F3372" s="28" t="n">
        <x:v>3</x:v>
      </x:c>
      <x:c r="G3372" s="28" t="n">
        <x:v>0</x:v>
      </x:c>
      <x:c r="H3372" s="28" t="n">
        <x:v>17</x:v>
      </x:c>
      <x:c r="I3372" s="28" t="n">
        <x:v>7</x:v>
      </x:c>
      <x:c r="J3372" s="28" t="n">
        <x:v>8</x:v>
      </x:c>
      <x:c r="K3372" s="28" t="n">
        <x:v>3</x:v>
      </x:c>
      <x:c r="L3372" s="28" t="n">
        <x:v>6</x:v>
      </x:c>
      <x:c r="M3372" s="28" t="n">
        <x:v>0</x:v>
      </x:c>
      <x:c r="N3372" s="28" t="n">
        <x:v>1</x:v>
      </x:c>
      <x:c r="O3372" s="28" t="n">
        <x:v>0</x:v>
      </x:c>
      <x:c r="P3372" s="28" t="n">
        <x:v>3</x:v>
      </x:c>
      <x:c r="Q3372" s="24" t="n">
        <x:f>IFERROR(J3372/H3372,0)</x:f>
        <x:v>0.47058823529411764</x:v>
      </x:c>
      <x:c r="R3372" s="24" t="n">
        <x:f>IFERROR(F3372/H3372,0)</x:f>
        <x:v>0.17647058823529413</x:v>
      </x:c>
      <x:c r="S3372" s="24" t="n">
        <x:f>IFERROR(F3372/J3372,0)</x:f>
        <x:v>0.375</x:v>
      </x:c>
      <x:c r="T3372" s="28" t="n">
        <x:f>H3372-I3372</x:f>
        <x:v>10</x:v>
      </x:c>
      <x:c r="U3372" s="24" t="n">
        <x:f>IFERROR(J3372/H3372,0)-IFERROR(K3372/I3372,0)</x:f>
        <x:v>0.04201680672268909</x:v>
      </x:c>
      <x:c r="V3372" s="24" t="n">
        <x:f>IFERROR(F3372/J3372,0)-IFERROR(G3372/K3372,0)</x:f>
        <x:v>0.375</x:v>
      </x:c>
      <x:c r="W3372" s="28" t="n">
        <x:f>L3372-M3372</x:f>
        <x:v>6</x:v>
      </x:c>
      <x:c r="X3372" s="24" t="n">
        <x:f>IFERROR(K3372/I3372,0)</x:f>
        <x:v>0.42857142857142855</x:v>
      </x:c>
      <x:c r="Y3372" s="24" t="n">
        <x:f>IFERROR(G3372/I3372,0)</x:f>
        <x:v>0</x:v>
      </x:c>
      <x:c r="Z3372" s="24" t="n">
        <x:f>IFERROR(G3372/K3372,0)</x:f>
        <x:v>0</x:v>
      </x:c>
      <x:c r="AA3372" s="24" t="n">
        <x:f>IFERROR(F3372/H3372,0)-IFERROR(G3372/I3372,0)</x:f>
        <x:v>0.17647058823529413</x:v>
      </x:c>
      <x:c r="AB3372" s="28" t="n">
        <x:f>J3372-K3372</x:f>
        <x:v>5</x:v>
      </x:c>
      <x:c r="AC3372" s="32" t="n">
        <x:f>F3372-G3372</x:f>
        <x:v>3</x:v>
      </x:c>
    </x:row>
    <x:row r="3373">
      <x:c r="A3373" s="4" t="str">
        <x:v>2025-26</x:v>
      </x:c>
      <x:c r="B3373" s="20" t="n">
        <x:v>46011</x:v>
      </x:c>
      <x:c r="C3373" s="4" t="str">
        <x:v>Newcastle</x:v>
      </x:c>
      <x:c r="D3373" s="4" t="str">
        <x:v>Chelsea</x:v>
      </x:c>
      <x:c r="E3373" s="4" t="str">
        <x:v>Home</x:v>
      </x:c>
      <x:c r="F3373" s="28" t="n">
        <x:v>2</x:v>
      </x:c>
      <x:c r="G3373" s="28" t="n">
        <x:v>2</x:v>
      </x:c>
      <x:c r="H3373" s="28" t="n">
        <x:v>11</x:v>
      </x:c>
      <x:c r="I3373" s="28" t="n">
        <x:v>13</x:v>
      </x:c>
      <x:c r="J3373" s="28" t="n">
        <x:v>5</x:v>
      </x:c>
      <x:c r="K3373" s="28" t="n">
        <x:v>4</x:v>
      </x:c>
      <x:c r="L3373" s="28" t="n">
        <x:v>6</x:v>
      </x:c>
      <x:c r="M3373" s="28" t="n">
        <x:v>4</x:v>
      </x:c>
      <x:c r="N3373" s="28" t="n">
        <x:v>3</x:v>
      </x:c>
      <x:c r="O3373" s="28" t="n">
        <x:v>0</x:v>
      </x:c>
      <x:c r="P3373" s="28" t="n">
        <x:v>1</x:v>
      </x:c>
      <x:c r="Q3373" s="24" t="n">
        <x:f>IFERROR(J3373/H3373,0)</x:f>
        <x:v>0.45454545454545453</x:v>
      </x:c>
      <x:c r="R3373" s="24" t="n">
        <x:f>IFERROR(F3373/H3373,0)</x:f>
        <x:v>0.18181818181818182</x:v>
      </x:c>
      <x:c r="S3373" s="24" t="n">
        <x:f>IFERROR(F3373/J3373,0)</x:f>
        <x:v>0.4</x:v>
      </x:c>
      <x:c r="T3373" s="28" t="n">
        <x:f>H3373-I3373</x:f>
        <x:v>-2</x:v>
      </x:c>
      <x:c r="U3373" s="24" t="n">
        <x:f>IFERROR(J3373/H3373,0)-IFERROR(K3373/I3373,0)</x:f>
        <x:v>0.14685314685314682</x:v>
      </x:c>
      <x:c r="V3373" s="24" t="n">
        <x:f>IFERROR(F3373/J3373,0)-IFERROR(G3373/K3373,0)</x:f>
        <x:v>-0.09999999999999998</x:v>
      </x:c>
      <x:c r="W3373" s="28" t="n">
        <x:f>L3373-M3373</x:f>
        <x:v>2</x:v>
      </x:c>
      <x:c r="X3373" s="24" t="n">
        <x:f>IFERROR(K3373/I3373,0)</x:f>
        <x:v>0.3076923076923077</x:v>
      </x:c>
      <x:c r="Y3373" s="24" t="n">
        <x:f>IFERROR(G3373/I3373,0)</x:f>
        <x:v>0.15384615384615385</x:v>
      </x:c>
      <x:c r="Z3373" s="24" t="n">
        <x:f>IFERROR(G3373/K3373,0)</x:f>
        <x:v>0.5</x:v>
      </x:c>
      <x:c r="AA3373" s="24" t="n">
        <x:f>IFERROR(F3373/H3373,0)-IFERROR(G3373/I3373,0)</x:f>
        <x:v>0.02797202797202797</x:v>
      </x:c>
      <x:c r="AB3373" s="28" t="n">
        <x:f>J3373-K3373</x:f>
        <x:v>1</x:v>
      </x:c>
      <x:c r="AC3373" s="32" t="n">
        <x:f>F3373-G3373</x:f>
        <x:v>0</x:v>
      </x:c>
    </x:row>
    <x:row r="3374">
      <x:c r="A3374" s="4" t="str">
        <x:v>2025-26</x:v>
      </x:c>
      <x:c r="B3374" s="20" t="n">
        <x:v>46011</x:v>
      </x:c>
      <x:c r="C3374" s="4" t="str">
        <x:v>Sunderland</x:v>
      </x:c>
      <x:c r="D3374" s="4" t="str">
        <x:v>Brighton</x:v>
      </x:c>
      <x:c r="E3374" s="4" t="str">
        <x:v>Away</x:v>
      </x:c>
      <x:c r="F3374" s="28" t="n">
        <x:v>0</x:v>
      </x:c>
      <x:c r="G3374" s="28" t="n">
        <x:v>0</x:v>
      </x:c>
      <x:c r="H3374" s="28" t="n">
        <x:v>14</x:v>
      </x:c>
      <x:c r="I3374" s="28" t="n">
        <x:v>16</x:v>
      </x:c>
      <x:c r="J3374" s="28" t="n">
        <x:v>6</x:v>
      </x:c>
      <x:c r="K3374" s="28" t="n">
        <x:v>4</x:v>
      </x:c>
      <x:c r="L3374" s="28" t="n">
        <x:v>4</x:v>
      </x:c>
      <x:c r="M3374" s="28" t="n">
        <x:v>3</x:v>
      </x:c>
      <x:c r="N3374" s="28" t="n">
        <x:v>2</x:v>
      </x:c>
      <x:c r="O3374" s="28" t="n">
        <x:v>0</x:v>
      </x:c>
      <x:c r="P3374" s="28" t="n">
        <x:v>1</x:v>
      </x:c>
      <x:c r="Q3374" s="24" t="n">
        <x:f>IFERROR(J3374/H3374,0)</x:f>
        <x:v>0.42857142857142855</x:v>
      </x:c>
      <x:c r="R3374" s="24" t="n">
        <x:f>IFERROR(F3374/H3374,0)</x:f>
        <x:v>0</x:v>
      </x:c>
      <x:c r="S3374" s="24" t="n">
        <x:f>IFERROR(F3374/J3374,0)</x:f>
        <x:v>0</x:v>
      </x:c>
      <x:c r="T3374" s="28" t="n">
        <x:f>H3374-I3374</x:f>
        <x:v>-2</x:v>
      </x:c>
      <x:c r="U3374" s="24" t="n">
        <x:f>IFERROR(J3374/H3374,0)-IFERROR(K3374/I3374,0)</x:f>
        <x:v>0.17857142857142855</x:v>
      </x:c>
      <x:c r="V3374" s="24" t="n">
        <x:f>IFERROR(F3374/J3374,0)-IFERROR(G3374/K3374,0)</x:f>
        <x:v>0</x:v>
      </x:c>
      <x:c r="W3374" s="28" t="n">
        <x:f>L3374-M3374</x:f>
        <x:v>1</x:v>
      </x:c>
      <x:c r="X3374" s="24" t="n">
        <x:f>IFERROR(K3374/I3374,0)</x:f>
        <x:v>0.25</x:v>
      </x:c>
      <x:c r="Y3374" s="24" t="n">
        <x:f>IFERROR(G3374/I3374,0)</x:f>
        <x:v>0</x:v>
      </x:c>
      <x:c r="Z3374" s="24" t="n">
        <x:f>IFERROR(G3374/K3374,0)</x:f>
        <x:v>0</x:v>
      </x:c>
      <x:c r="AA3374" s="24" t="n">
        <x:f>IFERROR(F3374/H3374,0)-IFERROR(G3374/I3374,0)</x:f>
        <x:v>0</x:v>
      </x:c>
      <x:c r="AB3374" s="28" t="n">
        <x:f>J3374-K3374</x:f>
        <x:v>2</x:v>
      </x:c>
      <x:c r="AC3374" s="32" t="n">
        <x:f>F3374-G3374</x:f>
        <x:v>0</x:v>
      </x:c>
    </x:row>
    <x:row r="3375">
      <x:c r="A3375" s="4" t="str">
        <x:v>2025-26</x:v>
      </x:c>
      <x:c r="B3375" s="20" t="n">
        <x:v>46011</x:v>
      </x:c>
      <x:c r="C3375" s="4" t="str">
        <x:v>Tottenham</x:v>
      </x:c>
      <x:c r="D3375" s="4" t="str">
        <x:v>Liverpool</x:v>
      </x:c>
      <x:c r="E3375" s="4" t="str">
        <x:v>Home</x:v>
      </x:c>
      <x:c r="F3375" s="28" t="n">
        <x:v>1</x:v>
      </x:c>
      <x:c r="G3375" s="28" t="n">
        <x:v>2</x:v>
      </x:c>
      <x:c r="H3375" s="28" t="n">
        <x:v>15</x:v>
      </x:c>
      <x:c r="I3375" s="28" t="n">
        <x:v>8</x:v>
      </x:c>
      <x:c r="J3375" s="28" t="n">
        <x:v>4</x:v>
      </x:c>
      <x:c r="K3375" s="28" t="n">
        <x:v>4</x:v>
      </x:c>
      <x:c r="L3375" s="28" t="n">
        <x:v>2</x:v>
      </x:c>
      <x:c r="M3375" s="28" t="n">
        <x:v>6</x:v>
      </x:c>
      <x:c r="N3375" s="28" t="n">
        <x:v>3</x:v>
      </x:c>
      <x:c r="O3375" s="28" t="n">
        <x:v>2</x:v>
      </x:c>
      <x:c r="P3375" s="28" t="n">
        <x:v>0</x:v>
      </x:c>
      <x:c r="Q3375" s="24" t="n">
        <x:f>IFERROR(J3375/H3375,0)</x:f>
        <x:v>0.26666666666666666</x:v>
      </x:c>
      <x:c r="R3375" s="24" t="n">
        <x:f>IFERROR(F3375/H3375,0)</x:f>
        <x:v>0.06666666666666667</x:v>
      </x:c>
      <x:c r="S3375" s="24" t="n">
        <x:f>IFERROR(F3375/J3375,0)</x:f>
        <x:v>0.25</x:v>
      </x:c>
      <x:c r="T3375" s="28" t="n">
        <x:f>H3375-I3375</x:f>
        <x:v>7</x:v>
      </x:c>
      <x:c r="U3375" s="24" t="n">
        <x:f>IFERROR(J3375/H3375,0)-IFERROR(K3375/I3375,0)</x:f>
        <x:v>-0.23333333333333334</x:v>
      </x:c>
      <x:c r="V3375" s="24" t="n">
        <x:f>IFERROR(F3375/J3375,0)-IFERROR(G3375/K3375,0)</x:f>
        <x:v>-0.25</x:v>
      </x:c>
      <x:c r="W3375" s="28" t="n">
        <x:f>L3375-M3375</x:f>
        <x:v>-4</x:v>
      </x:c>
      <x:c r="X3375" s="24" t="n">
        <x:f>IFERROR(K3375/I3375,0)</x:f>
        <x:v>0.5</x:v>
      </x:c>
      <x:c r="Y3375" s="24" t="n">
        <x:f>IFERROR(G3375/I3375,0)</x:f>
        <x:v>0.25</x:v>
      </x:c>
      <x:c r="Z3375" s="24" t="n">
        <x:f>IFERROR(G3375/K3375,0)</x:f>
        <x:v>0.5</x:v>
      </x:c>
      <x:c r="AA3375" s="24" t="n">
        <x:f>IFERROR(F3375/H3375,0)-IFERROR(G3375/I3375,0)</x:f>
        <x:v>-0.18333333333333335</x:v>
      </x:c>
      <x:c r="AB3375" s="28" t="n">
        <x:f>J3375-K3375</x:f>
        <x:v>0</x:v>
      </x:c>
      <x:c r="AC3375" s="32" t="n">
        <x:f>F3375-G3375</x:f>
        <x:v>-1</x:v>
      </x:c>
    </x:row>
    <x:row r="3376">
      <x:c r="A3376" s="4" t="str">
        <x:v>2025-26</x:v>
      </x:c>
      <x:c r="B3376" s="20" t="n">
        <x:v>46011</x:v>
      </x:c>
      <x:c r="C3376" s="4" t="str">
        <x:v>West Ham</x:v>
      </x:c>
      <x:c r="D3376" s="4" t="str">
        <x:v>Man City</x:v>
      </x:c>
      <x:c r="E3376" s="4" t="str">
        <x:v>Away</x:v>
      </x:c>
      <x:c r="F3376" s="28" t="n">
        <x:v>0</x:v>
      </x:c>
      <x:c r="G3376" s="28" t="n">
        <x:v>3</x:v>
      </x:c>
      <x:c r="H3376" s="28" t="n">
        <x:v>7</x:v>
      </x:c>
      <x:c r="I3376" s="28" t="n">
        <x:v>17</x:v>
      </x:c>
      <x:c r="J3376" s="28" t="n">
        <x:v>3</x:v>
      </x:c>
      <x:c r="K3376" s="28" t="n">
        <x:v>8</x:v>
      </x:c>
      <x:c r="L3376" s="28" t="n">
        <x:v>0</x:v>
      </x:c>
      <x:c r="M3376" s="28" t="n">
        <x:v>6</x:v>
      </x:c>
      <x:c r="N3376" s="28" t="n">
        <x:v>1</x:v>
      </x:c>
      <x:c r="O3376" s="28" t="n">
        <x:v>0</x:v>
      </x:c>
      <x:c r="P3376" s="28" t="n">
        <x:v>0</x:v>
      </x:c>
      <x:c r="Q3376" s="24" t="n">
        <x:f>IFERROR(J3376/H3376,0)</x:f>
        <x:v>0.42857142857142855</x:v>
      </x:c>
      <x:c r="R3376" s="24" t="n">
        <x:f>IFERROR(F3376/H3376,0)</x:f>
        <x:v>0</x:v>
      </x:c>
      <x:c r="S3376" s="24" t="n">
        <x:f>IFERROR(F3376/J3376,0)</x:f>
        <x:v>0</x:v>
      </x:c>
      <x:c r="T3376" s="28" t="n">
        <x:f>H3376-I3376</x:f>
        <x:v>-10</x:v>
      </x:c>
      <x:c r="U3376" s="24" t="n">
        <x:f>IFERROR(J3376/H3376,0)-IFERROR(K3376/I3376,0)</x:f>
        <x:v>-0.04201680672268909</x:v>
      </x:c>
      <x:c r="V3376" s="24" t="n">
        <x:f>IFERROR(F3376/J3376,0)-IFERROR(G3376/K3376,0)</x:f>
        <x:v>-0.375</x:v>
      </x:c>
      <x:c r="W3376" s="28" t="n">
        <x:f>L3376-M3376</x:f>
        <x:v>-6</x:v>
      </x:c>
      <x:c r="X3376" s="24" t="n">
        <x:f>IFERROR(K3376/I3376,0)</x:f>
        <x:v>0.47058823529411764</x:v>
      </x:c>
      <x:c r="Y3376" s="24" t="n">
        <x:f>IFERROR(G3376/I3376,0)</x:f>
        <x:v>0.17647058823529413</x:v>
      </x:c>
      <x:c r="Z3376" s="24" t="n">
        <x:f>IFERROR(G3376/K3376,0)</x:f>
        <x:v>0.375</x:v>
      </x:c>
      <x:c r="AA3376" s="24" t="n">
        <x:f>IFERROR(F3376/H3376,0)-IFERROR(G3376/I3376,0)</x:f>
        <x:v>-0.17647058823529413</x:v>
      </x:c>
      <x:c r="AB3376" s="28" t="n">
        <x:f>J3376-K3376</x:f>
        <x:v>-5</x:v>
      </x:c>
      <x:c r="AC3376" s="32" t="n">
        <x:f>F3376-G3376</x:f>
        <x:v>-3</x:v>
      </x:c>
    </x:row>
    <x:row r="3377">
      <x:c r="A3377" s="4" t="str">
        <x:v>2025-26</x:v>
      </x:c>
      <x:c r="B3377" s="20" t="n">
        <x:v>46011</x:v>
      </x:c>
      <x:c r="C3377" s="4" t="str">
        <x:v>Wolves</x:v>
      </x:c>
      <x:c r="D3377" s="4" t="str">
        <x:v>Brentford</x:v>
      </x:c>
      <x:c r="E3377" s="4" t="str">
        <x:v>Home</x:v>
      </x:c>
      <x:c r="F3377" s="28" t="n">
        <x:v>0</x:v>
      </x:c>
      <x:c r="G3377" s="28" t="n">
        <x:v>2</x:v>
      </x:c>
      <x:c r="H3377" s="28" t="n">
        <x:v>9</x:v>
      </x:c>
      <x:c r="I3377" s="28" t="n">
        <x:v>7</x:v>
      </x:c>
      <x:c r="J3377" s="28" t="n">
        <x:v>2</x:v>
      </x:c>
      <x:c r="K3377" s="28" t="n">
        <x:v>6</x:v>
      </x:c>
      <x:c r="L3377" s="28" t="n">
        <x:v>3</x:v>
      </x:c>
      <x:c r="M3377" s="28" t="n">
        <x:v>4</x:v>
      </x:c>
      <x:c r="N3377" s="28" t="n">
        <x:v>2</x:v>
      </x:c>
      <x:c r="O3377" s="28" t="n">
        <x:v>0</x:v>
      </x:c>
      <x:c r="P3377" s="28" t="n">
        <x:v>0</x:v>
      </x:c>
      <x:c r="Q3377" s="24" t="n">
        <x:f>IFERROR(J3377/H3377,0)</x:f>
        <x:v>0.2222222222222222</x:v>
      </x:c>
      <x:c r="R3377" s="24" t="n">
        <x:f>IFERROR(F3377/H3377,0)</x:f>
        <x:v>0</x:v>
      </x:c>
      <x:c r="S3377" s="24" t="n">
        <x:f>IFERROR(F3377/J3377,0)</x:f>
        <x:v>0</x:v>
      </x:c>
      <x:c r="T3377" s="28" t="n">
        <x:f>H3377-I3377</x:f>
        <x:v>2</x:v>
      </x:c>
      <x:c r="U3377" s="24" t="n">
        <x:f>IFERROR(J3377/H3377,0)-IFERROR(K3377/I3377,0)</x:f>
        <x:v>-0.6349206349206349</x:v>
      </x:c>
      <x:c r="V3377" s="24" t="n">
        <x:f>IFERROR(F3377/J3377,0)-IFERROR(G3377/K3377,0)</x:f>
        <x:v>-0.3333333333333333</x:v>
      </x:c>
      <x:c r="W3377" s="28" t="n">
        <x:f>L3377-M3377</x:f>
        <x:v>-1</x:v>
      </x:c>
      <x:c r="X3377" s="24" t="n">
        <x:f>IFERROR(K3377/I3377,0)</x:f>
        <x:v>0.8571428571428571</x:v>
      </x:c>
      <x:c r="Y3377" s="24" t="n">
        <x:f>IFERROR(G3377/I3377,0)</x:f>
        <x:v>0.2857142857142857</x:v>
      </x:c>
      <x:c r="Z3377" s="24" t="n">
        <x:f>IFERROR(G3377/K3377,0)</x:f>
        <x:v>0.3333333333333333</x:v>
      </x:c>
      <x:c r="AA3377" s="24" t="n">
        <x:f>IFERROR(F3377/H3377,0)-IFERROR(G3377/I3377,0)</x:f>
        <x:v>-0.2857142857142857</x:v>
      </x:c>
      <x:c r="AB3377" s="28" t="n">
        <x:f>J3377-K3377</x:f>
        <x:v>-4</x:v>
      </x:c>
      <x:c r="AC3377" s="32" t="n">
        <x:f>F3377-G3377</x:f>
        <x:v>-2</x:v>
      </x:c>
    </x:row>
    <x:row r="3378">
      <x:c r="A3378" s="4" t="str">
        <x:v>2025-26</x:v>
      </x:c>
      <x:c r="B3378" s="20" t="n">
        <x:v>46012</x:v>
      </x:c>
      <x:c r="C3378" s="4" t="str">
        <x:v>Aston Villa</x:v>
      </x:c>
      <x:c r="D3378" s="4" t="str">
        <x:v>Man United</x:v>
      </x:c>
      <x:c r="E3378" s="4" t="str">
        <x:v>Home</x:v>
      </x:c>
      <x:c r="F3378" s="28" t="n">
        <x:v>2</x:v>
      </x:c>
      <x:c r="G3378" s="28" t="n">
        <x:v>1</x:v>
      </x:c>
      <x:c r="H3378" s="28" t="n">
        <x:v>12</x:v>
      </x:c>
      <x:c r="I3378" s="28" t="n">
        <x:v>15</x:v>
      </x:c>
      <x:c r="J3378" s="28" t="n">
        <x:v>4</x:v>
      </x:c>
      <x:c r="K3378" s="28" t="n">
        <x:v>6</x:v>
      </x:c>
      <x:c r="L3378" s="28" t="n">
        <x:v>5</x:v>
      </x:c>
      <x:c r="M3378" s="28" t="n">
        <x:v>5</x:v>
      </x:c>
      <x:c r="N3378" s="28" t="n">
        <x:v>1</x:v>
      </x:c>
      <x:c r="O3378" s="28" t="n">
        <x:v>0</x:v>
      </x:c>
      <x:c r="P3378" s="28" t="n">
        <x:v>3</x:v>
      </x:c>
      <x:c r="Q3378" s="24" t="n">
        <x:f>IFERROR(J3378/H3378,0)</x:f>
        <x:v>0.3333333333333333</x:v>
      </x:c>
      <x:c r="R3378" s="24" t="n">
        <x:f>IFERROR(F3378/H3378,0)</x:f>
        <x:v>0.16666666666666666</x:v>
      </x:c>
      <x:c r="S3378" s="24" t="n">
        <x:f>IFERROR(F3378/J3378,0)</x:f>
        <x:v>0.5</x:v>
      </x:c>
      <x:c r="T3378" s="28" t="n">
        <x:f>H3378-I3378</x:f>
        <x:v>-3</x:v>
      </x:c>
      <x:c r="U3378" s="24" t="n">
        <x:f>IFERROR(J3378/H3378,0)-IFERROR(K3378/I3378,0)</x:f>
        <x:v>-0.06666666666666671</x:v>
      </x:c>
      <x:c r="V3378" s="24" t="n">
        <x:f>IFERROR(F3378/J3378,0)-IFERROR(G3378/K3378,0)</x:f>
        <x:v>0.33333333333333337</x:v>
      </x:c>
      <x:c r="W3378" s="28" t="n">
        <x:f>L3378-M3378</x:f>
        <x:v>0</x:v>
      </x:c>
      <x:c r="X3378" s="24" t="n">
        <x:f>IFERROR(K3378/I3378,0)</x:f>
        <x:v>0.4</x:v>
      </x:c>
      <x:c r="Y3378" s="24" t="n">
        <x:f>IFERROR(G3378/I3378,0)</x:f>
        <x:v>0.06666666666666667</x:v>
      </x:c>
      <x:c r="Z3378" s="24" t="n">
        <x:f>IFERROR(G3378/K3378,0)</x:f>
        <x:v>0.16666666666666666</x:v>
      </x:c>
      <x:c r="AA3378" s="24" t="n">
        <x:f>IFERROR(F3378/H3378,0)-IFERROR(G3378/I3378,0)</x:f>
        <x:v>0.09999999999999999</x:v>
      </x:c>
      <x:c r="AB3378" s="28" t="n">
        <x:f>J3378-K3378</x:f>
        <x:v>-2</x:v>
      </x:c>
      <x:c r="AC3378" s="32" t="n">
        <x:f>F3378-G3378</x:f>
        <x:v>1</x:v>
      </x:c>
    </x:row>
    <x:row r="3379">
      <x:c r="A3379" s="4" t="str">
        <x:v>2025-26</x:v>
      </x:c>
      <x:c r="B3379" s="20" t="n">
        <x:v>46012</x:v>
      </x:c>
      <x:c r="C3379" s="4" t="str">
        <x:v>Man United</x:v>
      </x:c>
      <x:c r="D3379" s="4" t="str">
        <x:v>Aston Villa</x:v>
      </x:c>
      <x:c r="E3379" s="4" t="str">
        <x:v>Away</x:v>
      </x:c>
      <x:c r="F3379" s="28" t="n">
        <x:v>1</x:v>
      </x:c>
      <x:c r="G3379" s="28" t="n">
        <x:v>2</x:v>
      </x:c>
      <x:c r="H3379" s="28" t="n">
        <x:v>15</x:v>
      </x:c>
      <x:c r="I3379" s="28" t="n">
        <x:v>12</x:v>
      </x:c>
      <x:c r="J3379" s="28" t="n">
        <x:v>6</x:v>
      </x:c>
      <x:c r="K3379" s="28" t="n">
        <x:v>4</x:v>
      </x:c>
      <x:c r="L3379" s="28" t="n">
        <x:v>5</x:v>
      </x:c>
      <x:c r="M3379" s="28" t="n">
        <x:v>5</x:v>
      </x:c>
      <x:c r="N3379" s="28" t="n">
        <x:v>2</x:v>
      </x:c>
      <x:c r="O3379" s="28" t="n">
        <x:v>0</x:v>
      </x:c>
      <x:c r="P3379" s="28" t="n">
        <x:v>0</x:v>
      </x:c>
      <x:c r="Q3379" s="24" t="n">
        <x:f>IFERROR(J3379/H3379,0)</x:f>
        <x:v>0.4</x:v>
      </x:c>
      <x:c r="R3379" s="24" t="n">
        <x:f>IFERROR(F3379/H3379,0)</x:f>
        <x:v>0.06666666666666667</x:v>
      </x:c>
      <x:c r="S3379" s="24" t="n">
        <x:f>IFERROR(F3379/J3379,0)</x:f>
        <x:v>0.16666666666666666</x:v>
      </x:c>
      <x:c r="T3379" s="28" t="n">
        <x:f>H3379-I3379</x:f>
        <x:v>3</x:v>
      </x:c>
      <x:c r="U3379" s="24" t="n">
        <x:f>IFERROR(J3379/H3379,0)-IFERROR(K3379/I3379,0)</x:f>
        <x:v>0.06666666666666671</x:v>
      </x:c>
      <x:c r="V3379" s="24" t="n">
        <x:f>IFERROR(F3379/J3379,0)-IFERROR(G3379/K3379,0)</x:f>
        <x:v>-0.33333333333333337</x:v>
      </x:c>
      <x:c r="W3379" s="28" t="n">
        <x:f>L3379-M3379</x:f>
        <x:v>0</x:v>
      </x:c>
      <x:c r="X3379" s="24" t="n">
        <x:f>IFERROR(K3379/I3379,0)</x:f>
        <x:v>0.3333333333333333</x:v>
      </x:c>
      <x:c r="Y3379" s="24" t="n">
        <x:f>IFERROR(G3379/I3379,0)</x:f>
        <x:v>0.16666666666666666</x:v>
      </x:c>
      <x:c r="Z3379" s="24" t="n">
        <x:f>IFERROR(G3379/K3379,0)</x:f>
        <x:v>0.5</x:v>
      </x:c>
      <x:c r="AA3379" s="24" t="n">
        <x:f>IFERROR(F3379/H3379,0)-IFERROR(G3379/I3379,0)</x:f>
        <x:v>-0.09999999999999999</x:v>
      </x:c>
      <x:c r="AB3379" s="28" t="n">
        <x:f>J3379-K3379</x:f>
        <x:v>2</x:v>
      </x:c>
      <x:c r="AC3379" s="32" t="n">
        <x:f>F3379-G3379</x:f>
        <x:v>-1</x:v>
      </x:c>
    </x:row>
    <x:row r="3380">
      <x:c r="A3380" s="4" t="str">
        <x:v>2025-26</x:v>
      </x:c>
      <x:c r="B3380" s="20" t="n">
        <x:v>46013</x:v>
      </x:c>
      <x:c r="C3380" s="4" t="str">
        <x:v>Fulham</x:v>
      </x:c>
      <x:c r="D3380" s="4" t="str">
        <x:v>Nott'm Forest</x:v>
      </x:c>
      <x:c r="E3380" s="4" t="str">
        <x:v>Home</x:v>
      </x:c>
      <x:c r="F3380" s="28" t="n">
        <x:v>1</x:v>
      </x:c>
      <x:c r="G3380" s="28" t="n">
        <x:v>0</x:v>
      </x:c>
      <x:c r="H3380" s="28" t="n">
        <x:v>11</x:v>
      </x:c>
      <x:c r="I3380" s="28" t="n">
        <x:v>12</x:v>
      </x:c>
      <x:c r="J3380" s="28" t="n">
        <x:v>1</x:v>
      </x:c>
      <x:c r="K3380" s="28" t="n">
        <x:v>2</x:v>
      </x:c>
      <x:c r="L3380" s="28" t="n">
        <x:v>1</x:v>
      </x:c>
      <x:c r="M3380" s="28" t="n">
        <x:v>5</x:v>
      </x:c>
      <x:c r="N3380" s="28" t="n">
        <x:v>5</x:v>
      </x:c>
      <x:c r="O3380" s="28" t="n">
        <x:v>0</x:v>
      </x:c>
      <x:c r="P3380" s="28" t="n">
        <x:v>3</x:v>
      </x:c>
      <x:c r="Q3380" s="24" t="n">
        <x:f>IFERROR(J3380/H3380,0)</x:f>
        <x:v>0.09090909090909091</x:v>
      </x:c>
      <x:c r="R3380" s="24" t="n">
        <x:f>IFERROR(F3380/H3380,0)</x:f>
        <x:v>0.09090909090909091</x:v>
      </x:c>
      <x:c r="S3380" s="24" t="n">
        <x:f>IFERROR(F3380/J3380,0)</x:f>
        <x:v>1</x:v>
      </x:c>
      <x:c r="T3380" s="28" t="n">
        <x:f>H3380-I3380</x:f>
        <x:v>-1</x:v>
      </x:c>
      <x:c r="U3380" s="24" t="n">
        <x:f>IFERROR(J3380/H3380,0)-IFERROR(K3380/I3380,0)</x:f>
        <x:v>-0.07575757575757575</x:v>
      </x:c>
      <x:c r="V3380" s="24" t="n">
        <x:f>IFERROR(F3380/J3380,0)-IFERROR(G3380/K3380,0)</x:f>
        <x:v>1</x:v>
      </x:c>
      <x:c r="W3380" s="28" t="n">
        <x:f>L3380-M3380</x:f>
        <x:v>-4</x:v>
      </x:c>
      <x:c r="X3380" s="24" t="n">
        <x:f>IFERROR(K3380/I3380,0)</x:f>
        <x:v>0.16666666666666666</x:v>
      </x:c>
      <x:c r="Y3380" s="24" t="n">
        <x:f>IFERROR(G3380/I3380,0)</x:f>
        <x:v>0</x:v>
      </x:c>
      <x:c r="Z3380" s="24" t="n">
        <x:f>IFERROR(G3380/K3380,0)</x:f>
        <x:v>0</x:v>
      </x:c>
      <x:c r="AA3380" s="24" t="n">
        <x:f>IFERROR(F3380/H3380,0)-IFERROR(G3380/I3380,0)</x:f>
        <x:v>0.09090909090909091</x:v>
      </x:c>
      <x:c r="AB3380" s="28" t="n">
        <x:f>J3380-K3380</x:f>
        <x:v>-1</x:v>
      </x:c>
      <x:c r="AC3380" s="32" t="n">
        <x:f>F3380-G3380</x:f>
        <x:v>1</x:v>
      </x:c>
    </x:row>
    <x:row r="3381">
      <x:c r="A3381" s="4" t="str">
        <x:v>2025-26</x:v>
      </x:c>
      <x:c r="B3381" s="20" t="n">
        <x:v>46013</x:v>
      </x:c>
      <x:c r="C3381" s="4" t="str">
        <x:v>Nott'm Forest</x:v>
      </x:c>
      <x:c r="D3381" s="4" t="str">
        <x:v>Fulham</x:v>
      </x:c>
      <x:c r="E3381" s="4" t="str">
        <x:v>Away</x:v>
      </x:c>
      <x:c r="F3381" s="28" t="n">
        <x:v>0</x:v>
      </x:c>
      <x:c r="G3381" s="28" t="n">
        <x:v>1</x:v>
      </x:c>
      <x:c r="H3381" s="28" t="n">
        <x:v>12</x:v>
      </x:c>
      <x:c r="I3381" s="28" t="n">
        <x:v>11</x:v>
      </x:c>
      <x:c r="J3381" s="28" t="n">
        <x:v>2</x:v>
      </x:c>
      <x:c r="K3381" s="28" t="n">
        <x:v>1</x:v>
      </x:c>
      <x:c r="L3381" s="28" t="n">
        <x:v>5</x:v>
      </x:c>
      <x:c r="M3381" s="28" t="n">
        <x:v>1</x:v>
      </x:c>
      <x:c r="N3381" s="28" t="n">
        <x:v>4</x:v>
      </x:c>
      <x:c r="O3381" s="28" t="n">
        <x:v>0</x:v>
      </x:c>
      <x:c r="P3381" s="28" t="n">
        <x:v>0</x:v>
      </x:c>
      <x:c r="Q3381" s="24" t="n">
        <x:f>IFERROR(J3381/H3381,0)</x:f>
        <x:v>0.16666666666666666</x:v>
      </x:c>
      <x:c r="R3381" s="24" t="n">
        <x:f>IFERROR(F3381/H3381,0)</x:f>
        <x:v>0</x:v>
      </x:c>
      <x:c r="S3381" s="24" t="n">
        <x:f>IFERROR(F3381/J3381,0)</x:f>
        <x:v>0</x:v>
      </x:c>
      <x:c r="T3381" s="28" t="n">
        <x:f>H3381-I3381</x:f>
        <x:v>1</x:v>
      </x:c>
      <x:c r="U3381" s="24" t="n">
        <x:f>IFERROR(J3381/H3381,0)-IFERROR(K3381/I3381,0)</x:f>
        <x:v>0.07575757575757575</x:v>
      </x:c>
      <x:c r="V3381" s="24" t="n">
        <x:f>IFERROR(F3381/J3381,0)-IFERROR(G3381/K3381,0)</x:f>
        <x:v>-1</x:v>
      </x:c>
      <x:c r="W3381" s="28" t="n">
        <x:f>L3381-M3381</x:f>
        <x:v>4</x:v>
      </x:c>
      <x:c r="X3381" s="24" t="n">
        <x:f>IFERROR(K3381/I3381,0)</x:f>
        <x:v>0.09090909090909091</x:v>
      </x:c>
      <x:c r="Y3381" s="24" t="n">
        <x:f>IFERROR(G3381/I3381,0)</x:f>
        <x:v>0.09090909090909091</x:v>
      </x:c>
      <x:c r="Z3381" s="24" t="n">
        <x:f>IFERROR(G3381/K3381,0)</x:f>
        <x:v>1</x:v>
      </x:c>
      <x:c r="AA3381" s="24" t="n">
        <x:f>IFERROR(F3381/H3381,0)-IFERROR(G3381/I3381,0)</x:f>
        <x:v>-0.09090909090909091</x:v>
      </x:c>
      <x:c r="AB3381" s="28" t="n">
        <x:f>J3381-K3381</x:f>
        <x:v>1</x:v>
      </x:c>
      <x:c r="AC3381" s="32" t="n">
        <x:f>F3381-G3381</x:f>
        <x:v>-1</x:v>
      </x:c>
    </x:row>
    <x:row r="3382">
      <x:c r="A3382" s="4" t="str">
        <x:v>2025-26</x:v>
      </x:c>
      <x:c r="B3382" s="20" t="n">
        <x:v>46017</x:v>
      </x:c>
      <x:c r="C3382" s="4" t="str">
        <x:v>Man United</x:v>
      </x:c>
      <x:c r="D3382" s="4" t="str">
        <x:v>Newcastle</x:v>
      </x:c>
      <x:c r="E3382" s="4" t="str">
        <x:v>Home</x:v>
      </x:c>
      <x:c r="F3382" s="28" t="n">
        <x:v>1</x:v>
      </x:c>
      <x:c r="G3382" s="28" t="n">
        <x:v>0</x:v>
      </x:c>
      <x:c r="H3382" s="28" t="n">
        <x:v>10</x:v>
      </x:c>
      <x:c r="I3382" s="28" t="n">
        <x:v>16</x:v>
      </x:c>
      <x:c r="J3382" s="28" t="n">
        <x:v>4</x:v>
      </x:c>
      <x:c r="K3382" s="28" t="n">
        <x:v>3</x:v>
      </x:c>
      <x:c r="L3382" s="28" t="n">
        <x:v>2</x:v>
      </x:c>
      <x:c r="M3382" s="28" t="n">
        <x:v>11</x:v>
      </x:c>
      <x:c r="N3382" s="28" t="n">
        <x:v>2</x:v>
      </x:c>
      <x:c r="O3382" s="28" t="n">
        <x:v>0</x:v>
      </x:c>
      <x:c r="P3382" s="28" t="n">
        <x:v>3</x:v>
      </x:c>
      <x:c r="Q3382" s="24" t="n">
        <x:f>IFERROR(J3382/H3382,0)</x:f>
        <x:v>0.4</x:v>
      </x:c>
      <x:c r="R3382" s="24" t="n">
        <x:f>IFERROR(F3382/H3382,0)</x:f>
        <x:v>0.1</x:v>
      </x:c>
      <x:c r="S3382" s="24" t="n">
        <x:f>IFERROR(F3382/J3382,0)</x:f>
        <x:v>0.25</x:v>
      </x:c>
      <x:c r="T3382" s="28" t="n">
        <x:f>H3382-I3382</x:f>
        <x:v>-6</x:v>
      </x:c>
      <x:c r="U3382" s="24" t="n">
        <x:f>IFERROR(J3382/H3382,0)-IFERROR(K3382/I3382,0)</x:f>
        <x:v>0.21250000000000002</x:v>
      </x:c>
      <x:c r="V3382" s="24" t="n">
        <x:f>IFERROR(F3382/J3382,0)-IFERROR(G3382/K3382,0)</x:f>
        <x:v>0.25</x:v>
      </x:c>
      <x:c r="W3382" s="28" t="n">
        <x:f>L3382-M3382</x:f>
        <x:v>-9</x:v>
      </x:c>
      <x:c r="X3382" s="24" t="n">
        <x:f>IFERROR(K3382/I3382,0)</x:f>
        <x:v>0.1875</x:v>
      </x:c>
      <x:c r="Y3382" s="24" t="n">
        <x:f>IFERROR(G3382/I3382,0)</x:f>
        <x:v>0</x:v>
      </x:c>
      <x:c r="Z3382" s="24" t="n">
        <x:f>IFERROR(G3382/K3382,0)</x:f>
        <x:v>0</x:v>
      </x:c>
      <x:c r="AA3382" s="24" t="n">
        <x:f>IFERROR(F3382/H3382,0)-IFERROR(G3382/I3382,0)</x:f>
        <x:v>0.1</x:v>
      </x:c>
      <x:c r="AB3382" s="28" t="n">
        <x:f>J3382-K3382</x:f>
        <x:v>1</x:v>
      </x:c>
      <x:c r="AC3382" s="32" t="n">
        <x:f>F3382-G3382</x:f>
        <x:v>1</x:v>
      </x:c>
    </x:row>
    <x:row r="3383">
      <x:c r="A3383" s="4" t="str">
        <x:v>2025-26</x:v>
      </x:c>
      <x:c r="B3383" s="20" t="n">
        <x:v>46017</x:v>
      </x:c>
      <x:c r="C3383" s="4" t="str">
        <x:v>Newcastle</x:v>
      </x:c>
      <x:c r="D3383" s="4" t="str">
        <x:v>Man United</x:v>
      </x:c>
      <x:c r="E3383" s="4" t="str">
        <x:v>Away</x:v>
      </x:c>
      <x:c r="F3383" s="28" t="n">
        <x:v>0</x:v>
      </x:c>
      <x:c r="G3383" s="28" t="n">
        <x:v>1</x:v>
      </x:c>
      <x:c r="H3383" s="28" t="n">
        <x:v>16</x:v>
      </x:c>
      <x:c r="I3383" s="28" t="n">
        <x:v>10</x:v>
      </x:c>
      <x:c r="J3383" s="28" t="n">
        <x:v>3</x:v>
      </x:c>
      <x:c r="K3383" s="28" t="n">
        <x:v>4</x:v>
      </x:c>
      <x:c r="L3383" s="28" t="n">
        <x:v>11</x:v>
      </x:c>
      <x:c r="M3383" s="28" t="n">
        <x:v>2</x:v>
      </x:c>
      <x:c r="N3383" s="28" t="n">
        <x:v>1</x:v>
      </x:c>
      <x:c r="O3383" s="28" t="n">
        <x:v>0</x:v>
      </x:c>
      <x:c r="P3383" s="28" t="n">
        <x:v>0</x:v>
      </x:c>
      <x:c r="Q3383" s="24" t="n">
        <x:f>IFERROR(J3383/H3383,0)</x:f>
        <x:v>0.1875</x:v>
      </x:c>
      <x:c r="R3383" s="24" t="n">
        <x:f>IFERROR(F3383/H3383,0)</x:f>
        <x:v>0</x:v>
      </x:c>
      <x:c r="S3383" s="24" t="n">
        <x:f>IFERROR(F3383/J3383,0)</x:f>
        <x:v>0</x:v>
      </x:c>
      <x:c r="T3383" s="28" t="n">
        <x:f>H3383-I3383</x:f>
        <x:v>6</x:v>
      </x:c>
      <x:c r="U3383" s="24" t="n">
        <x:f>IFERROR(J3383/H3383,0)-IFERROR(K3383/I3383,0)</x:f>
        <x:v>-0.21250000000000002</x:v>
      </x:c>
      <x:c r="V3383" s="24" t="n">
        <x:f>IFERROR(F3383/J3383,0)-IFERROR(G3383/K3383,0)</x:f>
        <x:v>-0.25</x:v>
      </x:c>
      <x:c r="W3383" s="28" t="n">
        <x:f>L3383-M3383</x:f>
        <x:v>9</x:v>
      </x:c>
      <x:c r="X3383" s="24" t="n">
        <x:f>IFERROR(K3383/I3383,0)</x:f>
        <x:v>0.4</x:v>
      </x:c>
      <x:c r="Y3383" s="24" t="n">
        <x:f>IFERROR(G3383/I3383,0)</x:f>
        <x:v>0.1</x:v>
      </x:c>
      <x:c r="Z3383" s="24" t="n">
        <x:f>IFERROR(G3383/K3383,0)</x:f>
        <x:v>0.25</x:v>
      </x:c>
      <x:c r="AA3383" s="24" t="n">
        <x:f>IFERROR(F3383/H3383,0)-IFERROR(G3383/I3383,0)</x:f>
        <x:v>-0.1</x:v>
      </x:c>
      <x:c r="AB3383" s="28" t="n">
        <x:f>J3383-K3383</x:f>
        <x:v>-1</x:v>
      </x:c>
      <x:c r="AC3383" s="32" t="n">
        <x:f>F3383-G3383</x:f>
        <x:v>-1</x:v>
      </x:c>
    </x:row>
    <x:row r="3384">
      <x:c r="A3384" s="4" t="str">
        <x:v>2025-26</x:v>
      </x:c>
      <x:c r="B3384" s="20" t="n">
        <x:v>46018</x:v>
      </x:c>
      <x:c r="C3384" s="4" t="str">
        <x:v>Arsenal</x:v>
      </x:c>
      <x:c r="D3384" s="4" t="str">
        <x:v>Brighton</x:v>
      </x:c>
      <x:c r="E3384" s="4" t="str">
        <x:v>Home</x:v>
      </x:c>
      <x:c r="F3384" s="28" t="n">
        <x:v>2</x:v>
      </x:c>
      <x:c r="G3384" s="28" t="n">
        <x:v>1</x:v>
      </x:c>
      <x:c r="H3384" s="28" t="n">
        <x:v>24</x:v>
      </x:c>
      <x:c r="I3384" s="28" t="n">
        <x:v>8</x:v>
      </x:c>
      <x:c r="J3384" s="28" t="n">
        <x:v>6</x:v>
      </x:c>
      <x:c r="K3384" s="28" t="n">
        <x:v>3</x:v>
      </x:c>
      <x:c r="L3384" s="28" t="n">
        <x:v>7</x:v>
      </x:c>
      <x:c r="M3384" s="28" t="n">
        <x:v>2</x:v>
      </x:c>
      <x:c r="N3384" s="28" t="n">
        <x:v>2</x:v>
      </x:c>
      <x:c r="O3384" s="28" t="n">
        <x:v>0</x:v>
      </x:c>
      <x:c r="P3384" s="28" t="n">
        <x:v>3</x:v>
      </x:c>
      <x:c r="Q3384" s="24" t="n">
        <x:f>IFERROR(J3384/H3384,0)</x:f>
        <x:v>0.25</x:v>
      </x:c>
      <x:c r="R3384" s="24" t="n">
        <x:f>IFERROR(F3384/H3384,0)</x:f>
        <x:v>0.08333333333333333</x:v>
      </x:c>
      <x:c r="S3384" s="24" t="n">
        <x:f>IFERROR(F3384/J3384,0)</x:f>
        <x:v>0.3333333333333333</x:v>
      </x:c>
      <x:c r="T3384" s="28" t="n">
        <x:f>H3384-I3384</x:f>
        <x:v>16</x:v>
      </x:c>
      <x:c r="U3384" s="24" t="n">
        <x:f>IFERROR(J3384/H3384,0)-IFERROR(K3384/I3384,0)</x:f>
        <x:v>-0.125</x:v>
      </x:c>
      <x:c r="V3384" s="24" t="n">
        <x:f>IFERROR(F3384/J3384,0)-IFERROR(G3384/K3384,0)</x:f>
        <x:v>0</x:v>
      </x:c>
      <x:c r="W3384" s="28" t="n">
        <x:f>L3384-M3384</x:f>
        <x:v>5</x:v>
      </x:c>
      <x:c r="X3384" s="24" t="n">
        <x:f>IFERROR(K3384/I3384,0)</x:f>
        <x:v>0.375</x:v>
      </x:c>
      <x:c r="Y3384" s="24" t="n">
        <x:f>IFERROR(G3384/I3384,0)</x:f>
        <x:v>0.125</x:v>
      </x:c>
      <x:c r="Z3384" s="24" t="n">
        <x:f>IFERROR(G3384/K3384,0)</x:f>
        <x:v>0.3333333333333333</x:v>
      </x:c>
      <x:c r="AA3384" s="24" t="n">
        <x:f>IFERROR(F3384/H3384,0)-IFERROR(G3384/I3384,0)</x:f>
        <x:v>-0.04166666666666667</x:v>
      </x:c>
      <x:c r="AB3384" s="28" t="n">
        <x:f>J3384-K3384</x:f>
        <x:v>3</x:v>
      </x:c>
      <x:c r="AC3384" s="32" t="n">
        <x:f>F3384-G3384</x:f>
        <x:v>1</x:v>
      </x:c>
    </x:row>
    <x:row r="3385">
      <x:c r="A3385" s="4" t="str">
        <x:v>2025-26</x:v>
      </x:c>
      <x:c r="B3385" s="20" t="n">
        <x:v>46018</x:v>
      </x:c>
      <x:c r="C3385" s="4" t="str">
        <x:v>Aston Villa</x:v>
      </x:c>
      <x:c r="D3385" s="4" t="str">
        <x:v>Chelsea</x:v>
      </x:c>
      <x:c r="E3385" s="4" t="str">
        <x:v>Away</x:v>
      </x:c>
      <x:c r="F3385" s="28" t="n">
        <x:v>2</x:v>
      </x:c>
      <x:c r="G3385" s="28" t="n">
        <x:v>1</x:v>
      </x:c>
      <x:c r="H3385" s="28" t="n">
        <x:v>11</x:v>
      </x:c>
      <x:c r="I3385" s="28" t="n">
        <x:v>14</x:v>
      </x:c>
      <x:c r="J3385" s="28" t="n">
        <x:v>8</x:v>
      </x:c>
      <x:c r="K3385" s="28" t="n">
        <x:v>3</x:v>
      </x:c>
      <x:c r="L3385" s="28" t="n">
        <x:v>7</x:v>
      </x:c>
      <x:c r="M3385" s="28" t="n">
        <x:v>6</x:v>
      </x:c>
      <x:c r="N3385" s="28" t="n">
        <x:v>3</x:v>
      </x:c>
      <x:c r="O3385" s="28" t="n">
        <x:v>0</x:v>
      </x:c>
      <x:c r="P3385" s="28" t="n">
        <x:v>3</x:v>
      </x:c>
      <x:c r="Q3385" s="24" t="n">
        <x:f>IFERROR(J3385/H3385,0)</x:f>
        <x:v>0.7272727272727273</x:v>
      </x:c>
      <x:c r="R3385" s="24" t="n">
        <x:f>IFERROR(F3385/H3385,0)</x:f>
        <x:v>0.18181818181818182</x:v>
      </x:c>
      <x:c r="S3385" s="24" t="n">
        <x:f>IFERROR(F3385/J3385,0)</x:f>
        <x:v>0.25</x:v>
      </x:c>
      <x:c r="T3385" s="28" t="n">
        <x:f>H3385-I3385</x:f>
        <x:v>-3</x:v>
      </x:c>
      <x:c r="U3385" s="24" t="n">
        <x:f>IFERROR(J3385/H3385,0)-IFERROR(K3385/I3385,0)</x:f>
        <x:v>0.512987012987013</x:v>
      </x:c>
      <x:c r="V3385" s="24" t="n">
        <x:f>IFERROR(F3385/J3385,0)-IFERROR(G3385/K3385,0)</x:f>
        <x:v>-0.08333333333333331</x:v>
      </x:c>
      <x:c r="W3385" s="28" t="n">
        <x:f>L3385-M3385</x:f>
        <x:v>1</x:v>
      </x:c>
      <x:c r="X3385" s="24" t="n">
        <x:f>IFERROR(K3385/I3385,0)</x:f>
        <x:v>0.21428571428571427</x:v>
      </x:c>
      <x:c r="Y3385" s="24" t="n">
        <x:f>IFERROR(G3385/I3385,0)</x:f>
        <x:v>0.07142857142857142</x:v>
      </x:c>
      <x:c r="Z3385" s="24" t="n">
        <x:f>IFERROR(G3385/K3385,0)</x:f>
        <x:v>0.3333333333333333</x:v>
      </x:c>
      <x:c r="AA3385" s="24" t="n">
        <x:f>IFERROR(F3385/H3385,0)-IFERROR(G3385/I3385,0)</x:f>
        <x:v>0.1103896103896104</x:v>
      </x:c>
      <x:c r="AB3385" s="28" t="n">
        <x:f>J3385-K3385</x:f>
        <x:v>5</x:v>
      </x:c>
      <x:c r="AC3385" s="32" t="n">
        <x:f>F3385-G3385</x:f>
        <x:v>1</x:v>
      </x:c>
    </x:row>
    <x:row r="3386">
      <x:c r="A3386" s="4" t="str">
        <x:v>2025-26</x:v>
      </x:c>
      <x:c r="B3386" s="20" t="n">
        <x:v>46018</x:v>
      </x:c>
      <x:c r="C3386" s="4" t="str">
        <x:v>Bournemouth</x:v>
      </x:c>
      <x:c r="D3386" s="4" t="str">
        <x:v>Brentford</x:v>
      </x:c>
      <x:c r="E3386" s="4" t="str">
        <x:v>Away</x:v>
      </x:c>
      <x:c r="F3386" s="28" t="n">
        <x:v>1</x:v>
      </x:c>
      <x:c r="G3386" s="28" t="n">
        <x:v>4</x:v>
      </x:c>
      <x:c r="H3386" s="28" t="n">
        <x:v>20</x:v>
      </x:c>
      <x:c r="I3386" s="28" t="n">
        <x:v>15</x:v>
      </x:c>
      <x:c r="J3386" s="28" t="n">
        <x:v>10</x:v>
      </x:c>
      <x:c r="K3386" s="28" t="n">
        <x:v>7</x:v>
      </x:c>
      <x:c r="L3386" s="28" t="n">
        <x:v>15</x:v>
      </x:c>
      <x:c r="M3386" s="28" t="n">
        <x:v>2</x:v>
      </x:c>
      <x:c r="N3386" s="28" t="n">
        <x:v>2</x:v>
      </x:c>
      <x:c r="O3386" s="28" t="n">
        <x:v>0</x:v>
      </x:c>
      <x:c r="P3386" s="28" t="n">
        <x:v>0</x:v>
      </x:c>
      <x:c r="Q3386" s="24" t="n">
        <x:f>IFERROR(J3386/H3386,0)</x:f>
        <x:v>0.5</x:v>
      </x:c>
      <x:c r="R3386" s="24" t="n">
        <x:f>IFERROR(F3386/H3386,0)</x:f>
        <x:v>0.05</x:v>
      </x:c>
      <x:c r="S3386" s="24" t="n">
        <x:f>IFERROR(F3386/J3386,0)</x:f>
        <x:v>0.1</x:v>
      </x:c>
      <x:c r="T3386" s="28" t="n">
        <x:f>H3386-I3386</x:f>
        <x:v>5</x:v>
      </x:c>
      <x:c r="U3386" s="24" t="n">
        <x:f>IFERROR(J3386/H3386,0)-IFERROR(K3386/I3386,0)</x:f>
        <x:v>0.033333333333333326</x:v>
      </x:c>
      <x:c r="V3386" s="24" t="n">
        <x:f>IFERROR(F3386/J3386,0)-IFERROR(G3386/K3386,0)</x:f>
        <x:v>-0.4714285714285714</x:v>
      </x:c>
      <x:c r="W3386" s="28" t="n">
        <x:f>L3386-M3386</x:f>
        <x:v>13</x:v>
      </x:c>
      <x:c r="X3386" s="24" t="n">
        <x:f>IFERROR(K3386/I3386,0)</x:f>
        <x:v>0.4666666666666667</x:v>
      </x:c>
      <x:c r="Y3386" s="24" t="n">
        <x:f>IFERROR(G3386/I3386,0)</x:f>
        <x:v>0.26666666666666666</x:v>
      </x:c>
      <x:c r="Z3386" s="24" t="n">
        <x:f>IFERROR(G3386/K3386,0)</x:f>
        <x:v>0.5714285714285714</x:v>
      </x:c>
      <x:c r="AA3386" s="24" t="n">
        <x:f>IFERROR(F3386/H3386,0)-IFERROR(G3386/I3386,0)</x:f>
        <x:v>-0.21666666666666667</x:v>
      </x:c>
      <x:c r="AB3386" s="28" t="n">
        <x:f>J3386-K3386</x:f>
        <x:v>3</x:v>
      </x:c>
      <x:c r="AC3386" s="32" t="n">
        <x:f>F3386-G3386</x:f>
        <x:v>-3</x:v>
      </x:c>
    </x:row>
    <x:row r="3387">
      <x:c r="A3387" s="4" t="str">
        <x:v>2025-26</x:v>
      </x:c>
      <x:c r="B3387" s="20" t="n">
        <x:v>46018</x:v>
      </x:c>
      <x:c r="C3387" s="4" t="str">
        <x:v>Brentford</x:v>
      </x:c>
      <x:c r="D3387" s="4" t="str">
        <x:v>Bournemouth</x:v>
      </x:c>
      <x:c r="E3387" s="4" t="str">
        <x:v>Home</x:v>
      </x:c>
      <x:c r="F3387" s="28" t="n">
        <x:v>4</x:v>
      </x:c>
      <x:c r="G3387" s="28" t="n">
        <x:v>1</x:v>
      </x:c>
      <x:c r="H3387" s="28" t="n">
        <x:v>15</x:v>
      </x:c>
      <x:c r="I3387" s="28" t="n">
        <x:v>20</x:v>
      </x:c>
      <x:c r="J3387" s="28" t="n">
        <x:v>7</x:v>
      </x:c>
      <x:c r="K3387" s="28" t="n">
        <x:v>10</x:v>
      </x:c>
      <x:c r="L3387" s="28" t="n">
        <x:v>2</x:v>
      </x:c>
      <x:c r="M3387" s="28" t="n">
        <x:v>15</x:v>
      </x:c>
      <x:c r="N3387" s="28" t="n">
        <x:v>2</x:v>
      </x:c>
      <x:c r="O3387" s="28" t="n">
        <x:v>0</x:v>
      </x:c>
      <x:c r="P3387" s="28" t="n">
        <x:v>3</x:v>
      </x:c>
      <x:c r="Q3387" s="24" t="n">
        <x:f>IFERROR(J3387/H3387,0)</x:f>
        <x:v>0.4666666666666667</x:v>
      </x:c>
      <x:c r="R3387" s="24" t="n">
        <x:f>IFERROR(F3387/H3387,0)</x:f>
        <x:v>0.26666666666666666</x:v>
      </x:c>
      <x:c r="S3387" s="24" t="n">
        <x:f>IFERROR(F3387/J3387,0)</x:f>
        <x:v>0.5714285714285714</x:v>
      </x:c>
      <x:c r="T3387" s="28" t="n">
        <x:f>H3387-I3387</x:f>
        <x:v>-5</x:v>
      </x:c>
      <x:c r="U3387" s="24" t="n">
        <x:f>IFERROR(J3387/H3387,0)-IFERROR(K3387/I3387,0)</x:f>
        <x:v>-0.033333333333333326</x:v>
      </x:c>
      <x:c r="V3387" s="24" t="n">
        <x:f>IFERROR(F3387/J3387,0)-IFERROR(G3387/K3387,0)</x:f>
        <x:v>0.4714285714285714</x:v>
      </x:c>
      <x:c r="W3387" s="28" t="n">
        <x:f>L3387-M3387</x:f>
        <x:v>-13</x:v>
      </x:c>
      <x:c r="X3387" s="24" t="n">
        <x:f>IFERROR(K3387/I3387,0)</x:f>
        <x:v>0.5</x:v>
      </x:c>
      <x:c r="Y3387" s="24" t="n">
        <x:f>IFERROR(G3387/I3387,0)</x:f>
        <x:v>0.05</x:v>
      </x:c>
      <x:c r="Z3387" s="24" t="n">
        <x:f>IFERROR(G3387/K3387,0)</x:f>
        <x:v>0.1</x:v>
      </x:c>
      <x:c r="AA3387" s="24" t="n">
        <x:f>IFERROR(F3387/H3387,0)-IFERROR(G3387/I3387,0)</x:f>
        <x:v>0.21666666666666667</x:v>
      </x:c>
      <x:c r="AB3387" s="28" t="n">
        <x:f>J3387-K3387</x:f>
        <x:v>-3</x:v>
      </x:c>
      <x:c r="AC3387" s="32" t="n">
        <x:f>F3387-G3387</x:f>
        <x:v>3</x:v>
      </x:c>
    </x:row>
    <x:row r="3388">
      <x:c r="A3388" s="4" t="str">
        <x:v>2025-26</x:v>
      </x:c>
      <x:c r="B3388" s="20" t="n">
        <x:v>46018</x:v>
      </x:c>
      <x:c r="C3388" s="4" t="str">
        <x:v>Brighton</x:v>
      </x:c>
      <x:c r="D3388" s="4" t="str">
        <x:v>Arsenal</x:v>
      </x:c>
      <x:c r="E3388" s="4" t="str">
        <x:v>Away</x:v>
      </x:c>
      <x:c r="F3388" s="28" t="n">
        <x:v>1</x:v>
      </x:c>
      <x:c r="G3388" s="28" t="n">
        <x:v>2</x:v>
      </x:c>
      <x:c r="H3388" s="28" t="n">
        <x:v>8</x:v>
      </x:c>
      <x:c r="I3388" s="28" t="n">
        <x:v>24</x:v>
      </x:c>
      <x:c r="J3388" s="28" t="n">
        <x:v>3</x:v>
      </x:c>
      <x:c r="K3388" s="28" t="n">
        <x:v>6</x:v>
      </x:c>
      <x:c r="L3388" s="28" t="n">
        <x:v>2</x:v>
      </x:c>
      <x:c r="M3388" s="28" t="n">
        <x:v>7</x:v>
      </x:c>
      <x:c r="N3388" s="28" t="n">
        <x:v>3</x:v>
      </x:c>
      <x:c r="O3388" s="28" t="n">
        <x:v>0</x:v>
      </x:c>
      <x:c r="P3388" s="28" t="n">
        <x:v>0</x:v>
      </x:c>
      <x:c r="Q3388" s="24" t="n">
        <x:f>IFERROR(J3388/H3388,0)</x:f>
        <x:v>0.375</x:v>
      </x:c>
      <x:c r="R3388" s="24" t="n">
        <x:f>IFERROR(F3388/H3388,0)</x:f>
        <x:v>0.125</x:v>
      </x:c>
      <x:c r="S3388" s="24" t="n">
        <x:f>IFERROR(F3388/J3388,0)</x:f>
        <x:v>0.3333333333333333</x:v>
      </x:c>
      <x:c r="T3388" s="28" t="n">
        <x:f>H3388-I3388</x:f>
        <x:v>-16</x:v>
      </x:c>
      <x:c r="U3388" s="24" t="n">
        <x:f>IFERROR(J3388/H3388,0)-IFERROR(K3388/I3388,0)</x:f>
        <x:v>0.125</x:v>
      </x:c>
      <x:c r="V3388" s="24" t="n">
        <x:f>IFERROR(F3388/J3388,0)-IFERROR(G3388/K3388,0)</x:f>
        <x:v>0</x:v>
      </x:c>
      <x:c r="W3388" s="28" t="n">
        <x:f>L3388-M3388</x:f>
        <x:v>-5</x:v>
      </x:c>
      <x:c r="X3388" s="24" t="n">
        <x:f>IFERROR(K3388/I3388,0)</x:f>
        <x:v>0.25</x:v>
      </x:c>
      <x:c r="Y3388" s="24" t="n">
        <x:f>IFERROR(G3388/I3388,0)</x:f>
        <x:v>0.08333333333333333</x:v>
      </x:c>
      <x:c r="Z3388" s="24" t="n">
        <x:f>IFERROR(G3388/K3388,0)</x:f>
        <x:v>0.3333333333333333</x:v>
      </x:c>
      <x:c r="AA3388" s="24" t="n">
        <x:f>IFERROR(F3388/H3388,0)-IFERROR(G3388/I3388,0)</x:f>
        <x:v>0.04166666666666667</x:v>
      </x:c>
      <x:c r="AB3388" s="28" t="n">
        <x:f>J3388-K3388</x:f>
        <x:v>-3</x:v>
      </x:c>
      <x:c r="AC3388" s="32" t="n">
        <x:f>F3388-G3388</x:f>
        <x:v>-1</x:v>
      </x:c>
    </x:row>
    <x:row r="3389">
      <x:c r="A3389" s="4" t="str">
        <x:v>2025-26</x:v>
      </x:c>
      <x:c r="B3389" s="20" t="n">
        <x:v>46018</x:v>
      </x:c>
      <x:c r="C3389" s="4" t="str">
        <x:v>Burnley</x:v>
      </x:c>
      <x:c r="D3389" s="4" t="str">
        <x:v>Everton</x:v>
      </x:c>
      <x:c r="E3389" s="4" t="str">
        <x:v>Home</x:v>
      </x:c>
      <x:c r="F3389" s="28" t="n">
        <x:v>0</x:v>
      </x:c>
      <x:c r="G3389" s="28" t="n">
        <x:v>0</x:v>
      </x:c>
      <x:c r="H3389" s="28" t="n">
        <x:v>16</x:v>
      </x:c>
      <x:c r="I3389" s="28" t="n">
        <x:v>15</x:v>
      </x:c>
      <x:c r="J3389" s="28" t="n">
        <x:v>0</x:v>
      </x:c>
      <x:c r="K3389" s="28" t="n">
        <x:v>6</x:v>
      </x:c>
      <x:c r="L3389" s="28" t="n">
        <x:v>6</x:v>
      </x:c>
      <x:c r="M3389" s="28" t="n">
        <x:v>5</x:v>
      </x:c>
      <x:c r="N3389" s="28" t="n">
        <x:v>0</x:v>
      </x:c>
      <x:c r="O3389" s="28" t="n">
        <x:v>0</x:v>
      </x:c>
      <x:c r="P3389" s="28" t="n">
        <x:v>1</x:v>
      </x:c>
      <x:c r="Q3389" s="24" t="n">
        <x:f>IFERROR(J3389/H3389,0)</x:f>
        <x:v>0</x:v>
      </x:c>
      <x:c r="R3389" s="24" t="n">
        <x:f>IFERROR(F3389/H3389,0)</x:f>
        <x:v>0</x:v>
      </x:c>
      <x:c r="S3389" s="24" t="n">
        <x:f>IFERROR(F3389/J3389,0)</x:f>
        <x:v>0</x:v>
      </x:c>
      <x:c r="T3389" s="28" t="n">
        <x:f>H3389-I3389</x:f>
        <x:v>1</x:v>
      </x:c>
      <x:c r="U3389" s="24" t="n">
        <x:f>IFERROR(J3389/H3389,0)-IFERROR(K3389/I3389,0)</x:f>
        <x:v>-0.4</x:v>
      </x:c>
      <x:c r="V3389" s="24" t="n">
        <x:f>IFERROR(F3389/J3389,0)-IFERROR(G3389/K3389,0)</x:f>
        <x:v>0</x:v>
      </x:c>
      <x:c r="W3389" s="28" t="n">
        <x:f>L3389-M3389</x:f>
        <x:v>1</x:v>
      </x:c>
      <x:c r="X3389" s="24" t="n">
        <x:f>IFERROR(K3389/I3389,0)</x:f>
        <x:v>0.4</x:v>
      </x:c>
      <x:c r="Y3389" s="24" t="n">
        <x:f>IFERROR(G3389/I3389,0)</x:f>
        <x:v>0</x:v>
      </x:c>
      <x:c r="Z3389" s="24" t="n">
        <x:f>IFERROR(G3389/K3389,0)</x:f>
        <x:v>0</x:v>
      </x:c>
      <x:c r="AA3389" s="24" t="n">
        <x:f>IFERROR(F3389/H3389,0)-IFERROR(G3389/I3389,0)</x:f>
        <x:v>0</x:v>
      </x:c>
      <x:c r="AB3389" s="28" t="n">
        <x:f>J3389-K3389</x:f>
        <x:v>-6</x:v>
      </x:c>
      <x:c r="AC3389" s="32" t="n">
        <x:f>F3389-G3389</x:f>
        <x:v>0</x:v>
      </x:c>
    </x:row>
    <x:row r="3390">
      <x:c r="A3390" s="4" t="str">
        <x:v>2025-26</x:v>
      </x:c>
      <x:c r="B3390" s="20" t="n">
        <x:v>46018</x:v>
      </x:c>
      <x:c r="C3390" s="4" t="str">
        <x:v>Chelsea</x:v>
      </x:c>
      <x:c r="D3390" s="4" t="str">
        <x:v>Aston Villa</x:v>
      </x:c>
      <x:c r="E3390" s="4" t="str">
        <x:v>Home</x:v>
      </x:c>
      <x:c r="F3390" s="28" t="n">
        <x:v>1</x:v>
      </x:c>
      <x:c r="G3390" s="28" t="n">
        <x:v>2</x:v>
      </x:c>
      <x:c r="H3390" s="28" t="n">
        <x:v>14</x:v>
      </x:c>
      <x:c r="I3390" s="28" t="n">
        <x:v>11</x:v>
      </x:c>
      <x:c r="J3390" s="28" t="n">
        <x:v>3</x:v>
      </x:c>
      <x:c r="K3390" s="28" t="n">
        <x:v>8</x:v>
      </x:c>
      <x:c r="L3390" s="28" t="n">
        <x:v>6</x:v>
      </x:c>
      <x:c r="M3390" s="28" t="n">
        <x:v>7</x:v>
      </x:c>
      <x:c r="N3390" s="28" t="n">
        <x:v>5</x:v>
      </x:c>
      <x:c r="O3390" s="28" t="n">
        <x:v>0</x:v>
      </x:c>
      <x:c r="P3390" s="28" t="n">
        <x:v>0</x:v>
      </x:c>
      <x:c r="Q3390" s="24" t="n">
        <x:f>IFERROR(J3390/H3390,0)</x:f>
        <x:v>0.21428571428571427</x:v>
      </x:c>
      <x:c r="R3390" s="24" t="n">
        <x:f>IFERROR(F3390/H3390,0)</x:f>
        <x:v>0.07142857142857142</x:v>
      </x:c>
      <x:c r="S3390" s="24" t="n">
        <x:f>IFERROR(F3390/J3390,0)</x:f>
        <x:v>0.3333333333333333</x:v>
      </x:c>
      <x:c r="T3390" s="28" t="n">
        <x:f>H3390-I3390</x:f>
        <x:v>3</x:v>
      </x:c>
      <x:c r="U3390" s="24" t="n">
        <x:f>IFERROR(J3390/H3390,0)-IFERROR(K3390/I3390,0)</x:f>
        <x:v>-0.512987012987013</x:v>
      </x:c>
      <x:c r="V3390" s="24" t="n">
        <x:f>IFERROR(F3390/J3390,0)-IFERROR(G3390/K3390,0)</x:f>
        <x:v>0.08333333333333331</x:v>
      </x:c>
      <x:c r="W3390" s="28" t="n">
        <x:f>L3390-M3390</x:f>
        <x:v>-1</x:v>
      </x:c>
      <x:c r="X3390" s="24" t="n">
        <x:f>IFERROR(K3390/I3390,0)</x:f>
        <x:v>0.7272727272727273</x:v>
      </x:c>
      <x:c r="Y3390" s="24" t="n">
        <x:f>IFERROR(G3390/I3390,0)</x:f>
        <x:v>0.18181818181818182</x:v>
      </x:c>
      <x:c r="Z3390" s="24" t="n">
        <x:f>IFERROR(G3390/K3390,0)</x:f>
        <x:v>0.25</x:v>
      </x:c>
      <x:c r="AA3390" s="24" t="n">
        <x:f>IFERROR(F3390/H3390,0)-IFERROR(G3390/I3390,0)</x:f>
        <x:v>-0.1103896103896104</x:v>
      </x:c>
      <x:c r="AB3390" s="28" t="n">
        <x:f>J3390-K3390</x:f>
        <x:v>-5</x:v>
      </x:c>
      <x:c r="AC3390" s="32" t="n">
        <x:f>F3390-G3390</x:f>
        <x:v>-1</x:v>
      </x:c>
    </x:row>
    <x:row r="3391">
      <x:c r="A3391" s="4" t="str">
        <x:v>2025-26</x:v>
      </x:c>
      <x:c r="B3391" s="20" t="n">
        <x:v>46018</x:v>
      </x:c>
      <x:c r="C3391" s="4" t="str">
        <x:v>Everton</x:v>
      </x:c>
      <x:c r="D3391" s="4" t="str">
        <x:v>Burnley</x:v>
      </x:c>
      <x:c r="E3391" s="4" t="str">
        <x:v>Away</x:v>
      </x:c>
      <x:c r="F3391" s="28" t="n">
        <x:v>0</x:v>
      </x:c>
      <x:c r="G3391" s="28" t="n">
        <x:v>0</x:v>
      </x:c>
      <x:c r="H3391" s="28" t="n">
        <x:v>15</x:v>
      </x:c>
      <x:c r="I3391" s="28" t="n">
        <x:v>16</x:v>
      </x:c>
      <x:c r="J3391" s="28" t="n">
        <x:v>6</x:v>
      </x:c>
      <x:c r="K3391" s="28" t="n">
        <x:v>0</x:v>
      </x:c>
      <x:c r="L3391" s="28" t="n">
        <x:v>5</x:v>
      </x:c>
      <x:c r="M3391" s="28" t="n">
        <x:v>6</x:v>
      </x:c>
      <x:c r="N3391" s="28" t="n">
        <x:v>2</x:v>
      </x:c>
      <x:c r="O3391" s="28" t="n">
        <x:v>0</x:v>
      </x:c>
      <x:c r="P3391" s="28" t="n">
        <x:v>1</x:v>
      </x:c>
      <x:c r="Q3391" s="24" t="n">
        <x:f>IFERROR(J3391/H3391,0)</x:f>
        <x:v>0.4</x:v>
      </x:c>
      <x:c r="R3391" s="24" t="n">
        <x:f>IFERROR(F3391/H3391,0)</x:f>
        <x:v>0</x:v>
      </x:c>
      <x:c r="S3391" s="24" t="n">
        <x:f>IFERROR(F3391/J3391,0)</x:f>
        <x:v>0</x:v>
      </x:c>
      <x:c r="T3391" s="28" t="n">
        <x:f>H3391-I3391</x:f>
        <x:v>-1</x:v>
      </x:c>
      <x:c r="U3391" s="24" t="n">
        <x:f>IFERROR(J3391/H3391,0)-IFERROR(K3391/I3391,0)</x:f>
        <x:v>0.4</x:v>
      </x:c>
      <x:c r="V3391" s="24" t="n">
        <x:f>IFERROR(F3391/J3391,0)-IFERROR(G3391/K3391,0)</x:f>
        <x:v>0</x:v>
      </x:c>
      <x:c r="W3391" s="28" t="n">
        <x:f>L3391-M3391</x:f>
        <x:v>-1</x:v>
      </x:c>
      <x:c r="X3391" s="24" t="n">
        <x:f>IFERROR(K3391/I3391,0)</x:f>
        <x:v>0</x:v>
      </x:c>
      <x:c r="Y3391" s="24" t="n">
        <x:f>IFERROR(G3391/I3391,0)</x:f>
        <x:v>0</x:v>
      </x:c>
      <x:c r="Z3391" s="24" t="n">
        <x:f>IFERROR(G3391/K3391,0)</x:f>
        <x:v>0</x:v>
      </x:c>
      <x:c r="AA3391" s="24" t="n">
        <x:f>IFERROR(F3391/H3391,0)-IFERROR(G3391/I3391,0)</x:f>
        <x:v>0</x:v>
      </x:c>
      <x:c r="AB3391" s="28" t="n">
        <x:f>J3391-K3391</x:f>
        <x:v>6</x:v>
      </x:c>
      <x:c r="AC3391" s="32" t="n">
        <x:f>F3391-G3391</x:f>
        <x:v>0</x:v>
      </x:c>
    </x:row>
    <x:row r="3392">
      <x:c r="A3392" s="4" t="str">
        <x:v>2025-26</x:v>
      </x:c>
      <x:c r="B3392" s="20" t="n">
        <x:v>46018</x:v>
      </x:c>
      <x:c r="C3392" s="4" t="str">
        <x:v>Fulham</x:v>
      </x:c>
      <x:c r="D3392" s="4" t="str">
        <x:v>West Ham</x:v>
      </x:c>
      <x:c r="E3392" s="4" t="str">
        <x:v>Away</x:v>
      </x:c>
      <x:c r="F3392" s="28" t="n">
        <x:v>1</x:v>
      </x:c>
      <x:c r="G3392" s="28" t="n">
        <x:v>0</x:v>
      </x:c>
      <x:c r="H3392" s="28" t="n">
        <x:v>15</x:v>
      </x:c>
      <x:c r="I3392" s="28" t="n">
        <x:v>11</x:v>
      </x:c>
      <x:c r="J3392" s="28" t="n">
        <x:v>4</x:v>
      </x:c>
      <x:c r="K3392" s="28" t="n">
        <x:v>2</x:v>
      </x:c>
      <x:c r="L3392" s="28" t="n">
        <x:v>4</x:v>
      </x:c>
      <x:c r="M3392" s="28" t="n">
        <x:v>5</x:v>
      </x:c>
      <x:c r="N3392" s="28" t="n">
        <x:v>3</x:v>
      </x:c>
      <x:c r="O3392" s="28" t="n">
        <x:v>0</x:v>
      </x:c>
      <x:c r="P3392" s="28" t="n">
        <x:v>3</x:v>
      </x:c>
      <x:c r="Q3392" s="24" t="n">
        <x:f>IFERROR(J3392/H3392,0)</x:f>
        <x:v>0.26666666666666666</x:v>
      </x:c>
      <x:c r="R3392" s="24" t="n">
        <x:f>IFERROR(F3392/H3392,0)</x:f>
        <x:v>0.06666666666666667</x:v>
      </x:c>
      <x:c r="S3392" s="24" t="n">
        <x:f>IFERROR(F3392/J3392,0)</x:f>
        <x:v>0.25</x:v>
      </x:c>
      <x:c r="T3392" s="28" t="n">
        <x:f>H3392-I3392</x:f>
        <x:v>4</x:v>
      </x:c>
      <x:c r="U3392" s="24" t="n">
        <x:f>IFERROR(J3392/H3392,0)-IFERROR(K3392/I3392,0)</x:f>
        <x:v>0.08484848484848484</x:v>
      </x:c>
      <x:c r="V3392" s="24" t="n">
        <x:f>IFERROR(F3392/J3392,0)-IFERROR(G3392/K3392,0)</x:f>
        <x:v>0.25</x:v>
      </x:c>
      <x:c r="W3392" s="28" t="n">
        <x:f>L3392-M3392</x:f>
        <x:v>-1</x:v>
      </x:c>
      <x:c r="X3392" s="24" t="n">
        <x:f>IFERROR(K3392/I3392,0)</x:f>
        <x:v>0.18181818181818182</x:v>
      </x:c>
      <x:c r="Y3392" s="24" t="n">
        <x:f>IFERROR(G3392/I3392,0)</x:f>
        <x:v>0</x:v>
      </x:c>
      <x:c r="Z3392" s="24" t="n">
        <x:f>IFERROR(G3392/K3392,0)</x:f>
        <x:v>0</x:v>
      </x:c>
      <x:c r="AA3392" s="24" t="n">
        <x:f>IFERROR(F3392/H3392,0)-IFERROR(G3392/I3392,0)</x:f>
        <x:v>0.06666666666666667</x:v>
      </x:c>
      <x:c r="AB3392" s="28" t="n">
        <x:f>J3392-K3392</x:f>
        <x:v>2</x:v>
      </x:c>
      <x:c r="AC3392" s="32" t="n">
        <x:f>F3392-G3392</x:f>
        <x:v>1</x:v>
      </x:c>
    </x:row>
    <x:row r="3393">
      <x:c r="A3393" s="4" t="str">
        <x:v>2025-26</x:v>
      </x:c>
      <x:c r="B3393" s="20" t="n">
        <x:v>46018</x:v>
      </x:c>
      <x:c r="C3393" s="4" t="str">
        <x:v>Liverpool</x:v>
      </x:c>
      <x:c r="D3393" s="4" t="str">
        <x:v>Wolves</x:v>
      </x:c>
      <x:c r="E3393" s="4" t="str">
        <x:v>Home</x:v>
      </x:c>
      <x:c r="F3393" s="28" t="n">
        <x:v>2</x:v>
      </x:c>
      <x:c r="G3393" s="28" t="n">
        <x:v>1</x:v>
      </x:c>
      <x:c r="H3393" s="28" t="n">
        <x:v>14</x:v>
      </x:c>
      <x:c r="I3393" s="28" t="n">
        <x:v>9</x:v>
      </x:c>
      <x:c r="J3393" s="28" t="n">
        <x:v>4</x:v>
      </x:c>
      <x:c r="K3393" s="28" t="n">
        <x:v>4</x:v>
      </x:c>
      <x:c r="L3393" s="28" t="n">
        <x:v>6</x:v>
      </x:c>
      <x:c r="M3393" s="28" t="n">
        <x:v>4</x:v>
      </x:c>
      <x:c r="N3393" s="28" t="n">
        <x:v>0</x:v>
      </x:c>
      <x:c r="O3393" s="28" t="n">
        <x:v>0</x:v>
      </x:c>
      <x:c r="P3393" s="28" t="n">
        <x:v>3</x:v>
      </x:c>
      <x:c r="Q3393" s="24" t="n">
        <x:f>IFERROR(J3393/H3393,0)</x:f>
        <x:v>0.2857142857142857</x:v>
      </x:c>
      <x:c r="R3393" s="24" t="n">
        <x:f>IFERROR(F3393/H3393,0)</x:f>
        <x:v>0.14285714285714285</x:v>
      </x:c>
      <x:c r="S3393" s="24" t="n">
        <x:f>IFERROR(F3393/J3393,0)</x:f>
        <x:v>0.5</x:v>
      </x:c>
      <x:c r="T3393" s="28" t="n">
        <x:f>H3393-I3393</x:f>
        <x:v>5</x:v>
      </x:c>
      <x:c r="U3393" s="24" t="n">
        <x:f>IFERROR(J3393/H3393,0)-IFERROR(K3393/I3393,0)</x:f>
        <x:v>-0.15873015873015872</x:v>
      </x:c>
      <x:c r="V3393" s="24" t="n">
        <x:f>IFERROR(F3393/J3393,0)-IFERROR(G3393/K3393,0)</x:f>
        <x:v>0.25</x:v>
      </x:c>
      <x:c r="W3393" s="28" t="n">
        <x:f>L3393-M3393</x:f>
        <x:v>2</x:v>
      </x:c>
      <x:c r="X3393" s="24" t="n">
        <x:f>IFERROR(K3393/I3393,0)</x:f>
        <x:v>0.4444444444444444</x:v>
      </x:c>
      <x:c r="Y3393" s="24" t="n">
        <x:f>IFERROR(G3393/I3393,0)</x:f>
        <x:v>0.1111111111111111</x:v>
      </x:c>
      <x:c r="Z3393" s="24" t="n">
        <x:f>IFERROR(G3393/K3393,0)</x:f>
        <x:v>0.25</x:v>
      </x:c>
      <x:c r="AA3393" s="24" t="n">
        <x:f>IFERROR(F3393/H3393,0)-IFERROR(G3393/I3393,0)</x:f>
        <x:v>0.031746031746031744</x:v>
      </x:c>
      <x:c r="AB3393" s="28" t="n">
        <x:f>J3393-K3393</x:f>
        <x:v>0</x:v>
      </x:c>
      <x:c r="AC3393" s="32" t="n">
        <x:f>F3393-G3393</x:f>
        <x:v>1</x:v>
      </x:c>
    </x:row>
    <x:row r="3394">
      <x:c r="A3394" s="4" t="str">
        <x:v>2025-26</x:v>
      </x:c>
      <x:c r="B3394" s="20" t="n">
        <x:v>46018</x:v>
      </x:c>
      <x:c r="C3394" s="4" t="str">
        <x:v>Man City</x:v>
      </x:c>
      <x:c r="D3394" s="4" t="str">
        <x:v>Nott'm Forest</x:v>
      </x:c>
      <x:c r="E3394" s="4" t="str">
        <x:v>Away</x:v>
      </x:c>
      <x:c r="F3394" s="28" t="n">
        <x:v>2</x:v>
      </x:c>
      <x:c r="G3394" s="28" t="n">
        <x:v>1</x:v>
      </x:c>
      <x:c r="H3394" s="28" t="n">
        <x:v>16</x:v>
      </x:c>
      <x:c r="I3394" s="28" t="n">
        <x:v>7</x:v>
      </x:c>
      <x:c r="J3394" s="28" t="n">
        <x:v>5</x:v>
      </x:c>
      <x:c r="K3394" s="28" t="n">
        <x:v>2</x:v>
      </x:c>
      <x:c r="L3394" s="28" t="n">
        <x:v>5</x:v>
      </x:c>
      <x:c r="M3394" s="28" t="n">
        <x:v>5</x:v>
      </x:c>
      <x:c r="N3394" s="28" t="n">
        <x:v>2</x:v>
      </x:c>
      <x:c r="O3394" s="28" t="n">
        <x:v>0</x:v>
      </x:c>
      <x:c r="P3394" s="28" t="n">
        <x:v>3</x:v>
      </x:c>
      <x:c r="Q3394" s="24" t="n">
        <x:f>IFERROR(J3394/H3394,0)</x:f>
        <x:v>0.3125</x:v>
      </x:c>
      <x:c r="R3394" s="24" t="n">
        <x:f>IFERROR(F3394/H3394,0)</x:f>
        <x:v>0.125</x:v>
      </x:c>
      <x:c r="S3394" s="24" t="n">
        <x:f>IFERROR(F3394/J3394,0)</x:f>
        <x:v>0.4</x:v>
      </x:c>
      <x:c r="T3394" s="28" t="n">
        <x:f>H3394-I3394</x:f>
        <x:v>9</x:v>
      </x:c>
      <x:c r="U3394" s="24" t="n">
        <x:f>IFERROR(J3394/H3394,0)-IFERROR(K3394/I3394,0)</x:f>
        <x:v>0.0267857142857143</x:v>
      </x:c>
      <x:c r="V3394" s="24" t="n">
        <x:f>IFERROR(F3394/J3394,0)-IFERROR(G3394/K3394,0)</x:f>
        <x:v>-0.09999999999999998</x:v>
      </x:c>
      <x:c r="W3394" s="28" t="n">
        <x:f>L3394-M3394</x:f>
        <x:v>0</x:v>
      </x:c>
      <x:c r="X3394" s="24" t="n">
        <x:f>IFERROR(K3394/I3394,0)</x:f>
        <x:v>0.2857142857142857</x:v>
      </x:c>
      <x:c r="Y3394" s="24" t="n">
        <x:f>IFERROR(G3394/I3394,0)</x:f>
        <x:v>0.14285714285714285</x:v>
      </x:c>
      <x:c r="Z3394" s="24" t="n">
        <x:f>IFERROR(G3394/K3394,0)</x:f>
        <x:v>0.5</x:v>
      </x:c>
      <x:c r="AA3394" s="24" t="n">
        <x:f>IFERROR(F3394/H3394,0)-IFERROR(G3394/I3394,0)</x:f>
        <x:v>-0.01785714285714285</x:v>
      </x:c>
      <x:c r="AB3394" s="28" t="n">
        <x:f>J3394-K3394</x:f>
        <x:v>3</x:v>
      </x:c>
      <x:c r="AC3394" s="32" t="n">
        <x:f>F3394-G3394</x:f>
        <x:v>1</x:v>
      </x:c>
    </x:row>
    <x:row r="3395">
      <x:c r="A3395" s="4" t="str">
        <x:v>2025-26</x:v>
      </x:c>
      <x:c r="B3395" s="20" t="n">
        <x:v>46018</x:v>
      </x:c>
      <x:c r="C3395" s="4" t="str">
        <x:v>Nott'm Forest</x:v>
      </x:c>
      <x:c r="D3395" s="4" t="str">
        <x:v>Man City</x:v>
      </x:c>
      <x:c r="E3395" s="4" t="str">
        <x:v>Home</x:v>
      </x:c>
      <x:c r="F3395" s="28" t="n">
        <x:v>1</x:v>
      </x:c>
      <x:c r="G3395" s="28" t="n">
        <x:v>2</x:v>
      </x:c>
      <x:c r="H3395" s="28" t="n">
        <x:v>7</x:v>
      </x:c>
      <x:c r="I3395" s="28" t="n">
        <x:v>16</x:v>
      </x:c>
      <x:c r="J3395" s="28" t="n">
        <x:v>2</x:v>
      </x:c>
      <x:c r="K3395" s="28" t="n">
        <x:v>5</x:v>
      </x:c>
      <x:c r="L3395" s="28" t="n">
        <x:v>5</x:v>
      </x:c>
      <x:c r="M3395" s="28" t="n">
        <x:v>5</x:v>
      </x:c>
      <x:c r="N3395" s="28" t="n">
        <x:v>1</x:v>
      </x:c>
      <x:c r="O3395" s="28" t="n">
        <x:v>0</x:v>
      </x:c>
      <x:c r="P3395" s="28" t="n">
        <x:v>0</x:v>
      </x:c>
      <x:c r="Q3395" s="24" t="n">
        <x:f>IFERROR(J3395/H3395,0)</x:f>
        <x:v>0.2857142857142857</x:v>
      </x:c>
      <x:c r="R3395" s="24" t="n">
        <x:f>IFERROR(F3395/H3395,0)</x:f>
        <x:v>0.14285714285714285</x:v>
      </x:c>
      <x:c r="S3395" s="24" t="n">
        <x:f>IFERROR(F3395/J3395,0)</x:f>
        <x:v>0.5</x:v>
      </x:c>
      <x:c r="T3395" s="28" t="n">
        <x:f>H3395-I3395</x:f>
        <x:v>-9</x:v>
      </x:c>
      <x:c r="U3395" s="24" t="n">
        <x:f>IFERROR(J3395/H3395,0)-IFERROR(K3395/I3395,0)</x:f>
        <x:v>-0.0267857142857143</x:v>
      </x:c>
      <x:c r="V3395" s="24" t="n">
        <x:f>IFERROR(F3395/J3395,0)-IFERROR(G3395/K3395,0)</x:f>
        <x:v>0.09999999999999998</x:v>
      </x:c>
      <x:c r="W3395" s="28" t="n">
        <x:f>L3395-M3395</x:f>
        <x:v>0</x:v>
      </x:c>
      <x:c r="X3395" s="24" t="n">
        <x:f>IFERROR(K3395/I3395,0)</x:f>
        <x:v>0.3125</x:v>
      </x:c>
      <x:c r="Y3395" s="24" t="n">
        <x:f>IFERROR(G3395/I3395,0)</x:f>
        <x:v>0.125</x:v>
      </x:c>
      <x:c r="Z3395" s="24" t="n">
        <x:f>IFERROR(G3395/K3395,0)</x:f>
        <x:v>0.4</x:v>
      </x:c>
      <x:c r="AA3395" s="24" t="n">
        <x:f>IFERROR(F3395/H3395,0)-IFERROR(G3395/I3395,0)</x:f>
        <x:v>0.01785714285714285</x:v>
      </x:c>
      <x:c r="AB3395" s="28" t="n">
        <x:f>J3395-K3395</x:f>
        <x:v>-3</x:v>
      </x:c>
      <x:c r="AC3395" s="32" t="n">
        <x:f>F3395-G3395</x:f>
        <x:v>-1</x:v>
      </x:c>
    </x:row>
    <x:row r="3396">
      <x:c r="A3396" s="4" t="str">
        <x:v>2025-26</x:v>
      </x:c>
      <x:c r="B3396" s="20" t="n">
        <x:v>46018</x:v>
      </x:c>
      <x:c r="C3396" s="4" t="str">
        <x:v>West Ham</x:v>
      </x:c>
      <x:c r="D3396" s="4" t="str">
        <x:v>Fulham</x:v>
      </x:c>
      <x:c r="E3396" s="4" t="str">
        <x:v>Home</x:v>
      </x:c>
      <x:c r="F3396" s="28" t="n">
        <x:v>0</x:v>
      </x:c>
      <x:c r="G3396" s="28" t="n">
        <x:v>1</x:v>
      </x:c>
      <x:c r="H3396" s="28" t="n">
        <x:v>11</x:v>
      </x:c>
      <x:c r="I3396" s="28" t="n">
        <x:v>15</x:v>
      </x:c>
      <x:c r="J3396" s="28" t="n">
        <x:v>2</x:v>
      </x:c>
      <x:c r="K3396" s="28" t="n">
        <x:v>4</x:v>
      </x:c>
      <x:c r="L3396" s="28" t="n">
        <x:v>5</x:v>
      </x:c>
      <x:c r="M3396" s="28" t="n">
        <x:v>4</x:v>
      </x:c>
      <x:c r="N3396" s="28" t="n">
        <x:v>1</x:v>
      </x:c>
      <x:c r="O3396" s="28" t="n">
        <x:v>0</x:v>
      </x:c>
      <x:c r="P3396" s="28" t="n">
        <x:v>0</x:v>
      </x:c>
      <x:c r="Q3396" s="24" t="n">
        <x:f>IFERROR(J3396/H3396,0)</x:f>
        <x:v>0.18181818181818182</x:v>
      </x:c>
      <x:c r="R3396" s="24" t="n">
        <x:f>IFERROR(F3396/H3396,0)</x:f>
        <x:v>0</x:v>
      </x:c>
      <x:c r="S3396" s="24" t="n">
        <x:f>IFERROR(F3396/J3396,0)</x:f>
        <x:v>0</x:v>
      </x:c>
      <x:c r="T3396" s="28" t="n">
        <x:f>H3396-I3396</x:f>
        <x:v>-4</x:v>
      </x:c>
      <x:c r="U3396" s="24" t="n">
        <x:f>IFERROR(J3396/H3396,0)-IFERROR(K3396/I3396,0)</x:f>
        <x:v>-0.08484848484848484</x:v>
      </x:c>
      <x:c r="V3396" s="24" t="n">
        <x:f>IFERROR(F3396/J3396,0)-IFERROR(G3396/K3396,0)</x:f>
        <x:v>-0.25</x:v>
      </x:c>
      <x:c r="W3396" s="28" t="n">
        <x:f>L3396-M3396</x:f>
        <x:v>1</x:v>
      </x:c>
      <x:c r="X3396" s="24" t="n">
        <x:f>IFERROR(K3396/I3396,0)</x:f>
        <x:v>0.26666666666666666</x:v>
      </x:c>
      <x:c r="Y3396" s="24" t="n">
        <x:f>IFERROR(G3396/I3396,0)</x:f>
        <x:v>0.06666666666666667</x:v>
      </x:c>
      <x:c r="Z3396" s="24" t="n">
        <x:f>IFERROR(G3396/K3396,0)</x:f>
        <x:v>0.25</x:v>
      </x:c>
      <x:c r="AA3396" s="24" t="n">
        <x:f>IFERROR(F3396/H3396,0)-IFERROR(G3396/I3396,0)</x:f>
        <x:v>-0.06666666666666667</x:v>
      </x:c>
      <x:c r="AB3396" s="28" t="n">
        <x:f>J3396-K3396</x:f>
        <x:v>-2</x:v>
      </x:c>
      <x:c r="AC3396" s="32" t="n">
        <x:f>F3396-G3396</x:f>
        <x:v>-1</x:v>
      </x:c>
    </x:row>
    <x:row r="3397">
      <x:c r="A3397" s="4" t="str">
        <x:v>2025-26</x:v>
      </x:c>
      <x:c r="B3397" s="20" t="n">
        <x:v>46018</x:v>
      </x:c>
      <x:c r="C3397" s="4" t="str">
        <x:v>Wolves</x:v>
      </x:c>
      <x:c r="D3397" s="4" t="str">
        <x:v>Liverpool</x:v>
      </x:c>
      <x:c r="E3397" s="4" t="str">
        <x:v>Away</x:v>
      </x:c>
      <x:c r="F3397" s="28" t="n">
        <x:v>1</x:v>
      </x:c>
      <x:c r="G3397" s="28" t="n">
        <x:v>2</x:v>
      </x:c>
      <x:c r="H3397" s="28" t="n">
        <x:v>9</x:v>
      </x:c>
      <x:c r="I3397" s="28" t="n">
        <x:v>14</x:v>
      </x:c>
      <x:c r="J3397" s="28" t="n">
        <x:v>4</x:v>
      </x:c>
      <x:c r="K3397" s="28" t="n">
        <x:v>4</x:v>
      </x:c>
      <x:c r="L3397" s="28" t="n">
        <x:v>4</x:v>
      </x:c>
      <x:c r="M3397" s="28" t="n">
        <x:v>6</x:v>
      </x:c>
      <x:c r="N3397" s="28" t="n">
        <x:v>1</x:v>
      </x:c>
      <x:c r="O3397" s="28" t="n">
        <x:v>0</x:v>
      </x:c>
      <x:c r="P3397" s="28" t="n">
        <x:v>0</x:v>
      </x:c>
      <x:c r="Q3397" s="24" t="n">
        <x:f>IFERROR(J3397/H3397,0)</x:f>
        <x:v>0.4444444444444444</x:v>
      </x:c>
      <x:c r="R3397" s="24" t="n">
        <x:f>IFERROR(F3397/H3397,0)</x:f>
        <x:v>0.1111111111111111</x:v>
      </x:c>
      <x:c r="S3397" s="24" t="n">
        <x:f>IFERROR(F3397/J3397,0)</x:f>
        <x:v>0.25</x:v>
      </x:c>
      <x:c r="T3397" s="28" t="n">
        <x:f>H3397-I3397</x:f>
        <x:v>-5</x:v>
      </x:c>
      <x:c r="U3397" s="24" t="n">
        <x:f>IFERROR(J3397/H3397,0)-IFERROR(K3397/I3397,0)</x:f>
        <x:v>0.15873015873015872</x:v>
      </x:c>
      <x:c r="V3397" s="24" t="n">
        <x:f>IFERROR(F3397/J3397,0)-IFERROR(G3397/K3397,0)</x:f>
        <x:v>-0.25</x:v>
      </x:c>
      <x:c r="W3397" s="28" t="n">
        <x:f>L3397-M3397</x:f>
        <x:v>-2</x:v>
      </x:c>
      <x:c r="X3397" s="24" t="n">
        <x:f>IFERROR(K3397/I3397,0)</x:f>
        <x:v>0.2857142857142857</x:v>
      </x:c>
      <x:c r="Y3397" s="24" t="n">
        <x:f>IFERROR(G3397/I3397,0)</x:f>
        <x:v>0.14285714285714285</x:v>
      </x:c>
      <x:c r="Z3397" s="24" t="n">
        <x:f>IFERROR(G3397/K3397,0)</x:f>
        <x:v>0.5</x:v>
      </x:c>
      <x:c r="AA3397" s="24" t="n">
        <x:f>IFERROR(F3397/H3397,0)-IFERROR(G3397/I3397,0)</x:f>
        <x:v>-0.031746031746031744</x:v>
      </x:c>
      <x:c r="AB3397" s="28" t="n">
        <x:f>J3397-K3397</x:f>
        <x:v>0</x:v>
      </x:c>
      <x:c r="AC3397" s="32" t="n">
        <x:f>F3397-G3397</x:f>
        <x:v>-1</x:v>
      </x:c>
    </x:row>
    <x:row r="3398">
      <x:c r="A3398" s="4" t="str">
        <x:v>2025-26</x:v>
      </x:c>
      <x:c r="B3398" s="20" t="n">
        <x:v>46019</x:v>
      </x:c>
      <x:c r="C3398" s="4" t="str">
        <x:v>Crystal Palace</x:v>
      </x:c>
      <x:c r="D3398" s="4" t="str">
        <x:v>Tottenham</x:v>
      </x:c>
      <x:c r="E3398" s="4" t="str">
        <x:v>Home</x:v>
      </x:c>
      <x:c r="F3398" s="28" t="n">
        <x:v>0</x:v>
      </x:c>
      <x:c r="G3398" s="28" t="n">
        <x:v>1</x:v>
      </x:c>
      <x:c r="H3398" s="28" t="n">
        <x:v>15</x:v>
      </x:c>
      <x:c r="I3398" s="28" t="n">
        <x:v>8</x:v>
      </x:c>
      <x:c r="J3398" s="28" t="n">
        <x:v>2</x:v>
      </x:c>
      <x:c r="K3398" s="28" t="n">
        <x:v>4</x:v>
      </x:c>
      <x:c r="L3398" s="28" t="n">
        <x:v>3</x:v>
      </x:c>
      <x:c r="M3398" s="28" t="n">
        <x:v>2</x:v>
      </x:c>
      <x:c r="N3398" s="28" t="n">
        <x:v>3</x:v>
      </x:c>
      <x:c r="O3398" s="28" t="n">
        <x:v>0</x:v>
      </x:c>
      <x:c r="P3398" s="28" t="n">
        <x:v>0</x:v>
      </x:c>
      <x:c r="Q3398" s="24" t="n">
        <x:f>IFERROR(J3398/H3398,0)</x:f>
        <x:v>0.13333333333333333</x:v>
      </x:c>
      <x:c r="R3398" s="24" t="n">
        <x:f>IFERROR(F3398/H3398,0)</x:f>
        <x:v>0</x:v>
      </x:c>
      <x:c r="S3398" s="24" t="n">
        <x:f>IFERROR(F3398/J3398,0)</x:f>
        <x:v>0</x:v>
      </x:c>
      <x:c r="T3398" s="28" t="n">
        <x:f>H3398-I3398</x:f>
        <x:v>7</x:v>
      </x:c>
      <x:c r="U3398" s="24" t="n">
        <x:f>IFERROR(J3398/H3398,0)-IFERROR(K3398/I3398,0)</x:f>
        <x:v>-0.3666666666666667</x:v>
      </x:c>
      <x:c r="V3398" s="24" t="n">
        <x:f>IFERROR(F3398/J3398,0)-IFERROR(G3398/K3398,0)</x:f>
        <x:v>-0.25</x:v>
      </x:c>
      <x:c r="W3398" s="28" t="n">
        <x:f>L3398-M3398</x:f>
        <x:v>1</x:v>
      </x:c>
      <x:c r="X3398" s="24" t="n">
        <x:f>IFERROR(K3398/I3398,0)</x:f>
        <x:v>0.5</x:v>
      </x:c>
      <x:c r="Y3398" s="24" t="n">
        <x:f>IFERROR(G3398/I3398,0)</x:f>
        <x:v>0.125</x:v>
      </x:c>
      <x:c r="Z3398" s="24" t="n">
        <x:f>IFERROR(G3398/K3398,0)</x:f>
        <x:v>0.25</x:v>
      </x:c>
      <x:c r="AA3398" s="24" t="n">
        <x:f>IFERROR(F3398/H3398,0)-IFERROR(G3398/I3398,0)</x:f>
        <x:v>-0.125</x:v>
      </x:c>
      <x:c r="AB3398" s="28" t="n">
        <x:f>J3398-K3398</x:f>
        <x:v>-2</x:v>
      </x:c>
      <x:c r="AC3398" s="32" t="n">
        <x:f>F3398-G3398</x:f>
        <x:v>-1</x:v>
      </x:c>
    </x:row>
    <x:row r="3399">
      <x:c r="A3399" s="4" t="str">
        <x:v>2025-26</x:v>
      </x:c>
      <x:c r="B3399" s="20" t="n">
        <x:v>46019</x:v>
      </x:c>
      <x:c r="C3399" s="4" t="str">
        <x:v>Leeds</x:v>
      </x:c>
      <x:c r="D3399" s="4" t="str">
        <x:v>Sunderland</x:v>
      </x:c>
      <x:c r="E3399" s="4" t="str">
        <x:v>Away</x:v>
      </x:c>
      <x:c r="F3399" s="28" t="n">
        <x:v>1</x:v>
      </x:c>
      <x:c r="G3399" s="28" t="n">
        <x:v>1</x:v>
      </x:c>
      <x:c r="H3399" s="28" t="n">
        <x:v>17</x:v>
      </x:c>
      <x:c r="I3399" s="28" t="n">
        <x:v>8</x:v>
      </x:c>
      <x:c r="J3399" s="28" t="n">
        <x:v>6</x:v>
      </x:c>
      <x:c r="K3399" s="28" t="n">
        <x:v>3</x:v>
      </x:c>
      <x:c r="L3399" s="28" t="n">
        <x:v>9</x:v>
      </x:c>
      <x:c r="M3399" s="28" t="n">
        <x:v>3</x:v>
      </x:c>
      <x:c r="N3399" s="28" t="n">
        <x:v>0</x:v>
      </x:c>
      <x:c r="O3399" s="28" t="n">
        <x:v>0</x:v>
      </x:c>
      <x:c r="P3399" s="28" t="n">
        <x:v>1</x:v>
      </x:c>
      <x:c r="Q3399" s="24" t="n">
        <x:f>IFERROR(J3399/H3399,0)</x:f>
        <x:v>0.35294117647058826</x:v>
      </x:c>
      <x:c r="R3399" s="24" t="n">
        <x:f>IFERROR(F3399/H3399,0)</x:f>
        <x:v>0.058823529411764705</x:v>
      </x:c>
      <x:c r="S3399" s="24" t="n">
        <x:f>IFERROR(F3399/J3399,0)</x:f>
        <x:v>0.16666666666666666</x:v>
      </x:c>
      <x:c r="T3399" s="28" t="n">
        <x:f>H3399-I3399</x:f>
        <x:v>9</x:v>
      </x:c>
      <x:c r="U3399" s="24" t="n">
        <x:f>IFERROR(J3399/H3399,0)-IFERROR(K3399/I3399,0)</x:f>
        <x:v>-0.022058823529411742</x:v>
      </x:c>
      <x:c r="V3399" s="24" t="n">
        <x:f>IFERROR(F3399/J3399,0)-IFERROR(G3399/K3399,0)</x:f>
        <x:v>-0.16666666666666666</x:v>
      </x:c>
      <x:c r="W3399" s="28" t="n">
        <x:f>L3399-M3399</x:f>
        <x:v>6</x:v>
      </x:c>
      <x:c r="X3399" s="24" t="n">
        <x:f>IFERROR(K3399/I3399,0)</x:f>
        <x:v>0.375</x:v>
      </x:c>
      <x:c r="Y3399" s="24" t="n">
        <x:f>IFERROR(G3399/I3399,0)</x:f>
        <x:v>0.125</x:v>
      </x:c>
      <x:c r="Z3399" s="24" t="n">
        <x:f>IFERROR(G3399/K3399,0)</x:f>
        <x:v>0.3333333333333333</x:v>
      </x:c>
      <x:c r="AA3399" s="24" t="n">
        <x:f>IFERROR(F3399/H3399,0)-IFERROR(G3399/I3399,0)</x:f>
        <x:v>-0.0661764705882353</x:v>
      </x:c>
      <x:c r="AB3399" s="28" t="n">
        <x:f>J3399-K3399</x:f>
        <x:v>3</x:v>
      </x:c>
      <x:c r="AC3399" s="32" t="n">
        <x:f>F3399-G3399</x:f>
        <x:v>0</x:v>
      </x:c>
    </x:row>
    <x:row r="3400">
      <x:c r="A3400" s="4" t="str">
        <x:v>2025-26</x:v>
      </x:c>
      <x:c r="B3400" s="20" t="n">
        <x:v>46019</x:v>
      </x:c>
      <x:c r="C3400" s="4" t="str">
        <x:v>Sunderland</x:v>
      </x:c>
      <x:c r="D3400" s="4" t="str">
        <x:v>Leeds</x:v>
      </x:c>
      <x:c r="E3400" s="4" t="str">
        <x:v>Home</x:v>
      </x:c>
      <x:c r="F3400" s="28" t="n">
        <x:v>1</x:v>
      </x:c>
      <x:c r="G3400" s="28" t="n">
        <x:v>1</x:v>
      </x:c>
      <x:c r="H3400" s="28" t="n">
        <x:v>8</x:v>
      </x:c>
      <x:c r="I3400" s="28" t="n">
        <x:v>17</x:v>
      </x:c>
      <x:c r="J3400" s="28" t="n">
        <x:v>3</x:v>
      </x:c>
      <x:c r="K3400" s="28" t="n">
        <x:v>6</x:v>
      </x:c>
      <x:c r="L3400" s="28" t="n">
        <x:v>3</x:v>
      </x:c>
      <x:c r="M3400" s="28" t="n">
        <x:v>9</x:v>
      </x:c>
      <x:c r="N3400" s="28" t="n">
        <x:v>1</x:v>
      </x:c>
      <x:c r="O3400" s="28" t="n">
        <x:v>0</x:v>
      </x:c>
      <x:c r="P3400" s="28" t="n">
        <x:v>1</x:v>
      </x:c>
      <x:c r="Q3400" s="24" t="n">
        <x:f>IFERROR(J3400/H3400,0)</x:f>
        <x:v>0.375</x:v>
      </x:c>
      <x:c r="R3400" s="24" t="n">
        <x:f>IFERROR(F3400/H3400,0)</x:f>
        <x:v>0.125</x:v>
      </x:c>
      <x:c r="S3400" s="24" t="n">
        <x:f>IFERROR(F3400/J3400,0)</x:f>
        <x:v>0.3333333333333333</x:v>
      </x:c>
      <x:c r="T3400" s="28" t="n">
        <x:f>H3400-I3400</x:f>
        <x:v>-9</x:v>
      </x:c>
      <x:c r="U3400" s="24" t="n">
        <x:f>IFERROR(J3400/H3400,0)-IFERROR(K3400/I3400,0)</x:f>
        <x:v>0.022058823529411742</x:v>
      </x:c>
      <x:c r="V3400" s="24" t="n">
        <x:f>IFERROR(F3400/J3400,0)-IFERROR(G3400/K3400,0)</x:f>
        <x:v>0.16666666666666666</x:v>
      </x:c>
      <x:c r="W3400" s="28" t="n">
        <x:f>L3400-M3400</x:f>
        <x:v>-6</x:v>
      </x:c>
      <x:c r="X3400" s="24" t="n">
        <x:f>IFERROR(K3400/I3400,0)</x:f>
        <x:v>0.35294117647058826</x:v>
      </x:c>
      <x:c r="Y3400" s="24" t="n">
        <x:f>IFERROR(G3400/I3400,0)</x:f>
        <x:v>0.058823529411764705</x:v>
      </x:c>
      <x:c r="Z3400" s="24" t="n">
        <x:f>IFERROR(G3400/K3400,0)</x:f>
        <x:v>0.16666666666666666</x:v>
      </x:c>
      <x:c r="AA3400" s="24" t="n">
        <x:f>IFERROR(F3400/H3400,0)-IFERROR(G3400/I3400,0)</x:f>
        <x:v>0.0661764705882353</x:v>
      </x:c>
      <x:c r="AB3400" s="28" t="n">
        <x:f>J3400-K3400</x:f>
        <x:v>-3</x:v>
      </x:c>
      <x:c r="AC3400" s="32" t="n">
        <x:f>F3400-G3400</x:f>
        <x:v>0</x:v>
      </x:c>
    </x:row>
    <x:row r="3401">
      <x:c r="A3401" s="4" t="str">
        <x:v>2025-26</x:v>
      </x:c>
      <x:c r="B3401" s="20" t="n">
        <x:v>46019</x:v>
      </x:c>
      <x:c r="C3401" s="4" t="str">
        <x:v>Tottenham</x:v>
      </x:c>
      <x:c r="D3401" s="4" t="str">
        <x:v>Crystal Palace</x:v>
      </x:c>
      <x:c r="E3401" s="4" t="str">
        <x:v>Away</x:v>
      </x:c>
      <x:c r="F3401" s="28" t="n">
        <x:v>1</x:v>
      </x:c>
      <x:c r="G3401" s="28" t="n">
        <x:v>0</x:v>
      </x:c>
      <x:c r="H3401" s="28" t="n">
        <x:v>8</x:v>
      </x:c>
      <x:c r="I3401" s="28" t="n">
        <x:v>15</x:v>
      </x:c>
      <x:c r="J3401" s="28" t="n">
        <x:v>4</x:v>
      </x:c>
      <x:c r="K3401" s="28" t="n">
        <x:v>2</x:v>
      </x:c>
      <x:c r="L3401" s="28" t="n">
        <x:v>2</x:v>
      </x:c>
      <x:c r="M3401" s="28" t="n">
        <x:v>3</x:v>
      </x:c>
      <x:c r="N3401" s="28" t="n">
        <x:v>2</x:v>
      </x:c>
      <x:c r="O3401" s="28" t="n">
        <x:v>0</x:v>
      </x:c>
      <x:c r="P3401" s="28" t="n">
        <x:v>3</x:v>
      </x:c>
      <x:c r="Q3401" s="24" t="n">
        <x:f>IFERROR(J3401/H3401,0)</x:f>
        <x:v>0.5</x:v>
      </x:c>
      <x:c r="R3401" s="24" t="n">
        <x:f>IFERROR(F3401/H3401,0)</x:f>
        <x:v>0.125</x:v>
      </x:c>
      <x:c r="S3401" s="24" t="n">
        <x:f>IFERROR(F3401/J3401,0)</x:f>
        <x:v>0.25</x:v>
      </x:c>
      <x:c r="T3401" s="28" t="n">
        <x:f>H3401-I3401</x:f>
        <x:v>-7</x:v>
      </x:c>
      <x:c r="U3401" s="24" t="n">
        <x:f>IFERROR(J3401/H3401,0)-IFERROR(K3401/I3401,0)</x:f>
        <x:v>0.3666666666666667</x:v>
      </x:c>
      <x:c r="V3401" s="24" t="n">
        <x:f>IFERROR(F3401/J3401,0)-IFERROR(G3401/K3401,0)</x:f>
        <x:v>0.25</x:v>
      </x:c>
      <x:c r="W3401" s="28" t="n">
        <x:f>L3401-M3401</x:f>
        <x:v>-1</x:v>
      </x:c>
      <x:c r="X3401" s="24" t="n">
        <x:f>IFERROR(K3401/I3401,0)</x:f>
        <x:v>0.13333333333333333</x:v>
      </x:c>
      <x:c r="Y3401" s="24" t="n">
        <x:f>IFERROR(G3401/I3401,0)</x:f>
        <x:v>0</x:v>
      </x:c>
      <x:c r="Z3401" s="24" t="n">
        <x:f>IFERROR(G3401/K3401,0)</x:f>
        <x:v>0</x:v>
      </x:c>
      <x:c r="AA3401" s="24" t="n">
        <x:f>IFERROR(F3401/H3401,0)-IFERROR(G3401/I3401,0)</x:f>
        <x:v>0.125</x:v>
      </x:c>
      <x:c r="AB3401" s="28" t="n">
        <x:f>J3401-K3401</x:f>
        <x:v>2</x:v>
      </x:c>
      <x:c r="AC3401" s="32" t="n">
        <x:f>F3401-G3401</x:f>
        <x:v>1</x:v>
      </x:c>
    </x:row>
    <x:row r="3402">
      <x:c r="A3402" s="4" t="str">
        <x:v>2025-26</x:v>
      </x:c>
      <x:c r="B3402" s="20" t="n">
        <x:v>46021</x:v>
      </x:c>
      <x:c r="C3402" s="4" t="str">
        <x:v>Arsenal</x:v>
      </x:c>
      <x:c r="D3402" s="4" t="str">
        <x:v>Aston Villa</x:v>
      </x:c>
      <x:c r="E3402" s="4" t="str">
        <x:v>Home</x:v>
      </x:c>
      <x:c r="F3402" s="28" t="n">
        <x:v>4</x:v>
      </x:c>
      <x:c r="G3402" s="28" t="n">
        <x:v>1</x:v>
      </x:c>
      <x:c r="H3402" s="28" t="n">
        <x:v>22</x:v>
      </x:c>
      <x:c r="I3402" s="28" t="n">
        <x:v>11</x:v>
      </x:c>
      <x:c r="J3402" s="28" t="n">
        <x:v>7</x:v>
      </x:c>
      <x:c r="K3402" s="28" t="n">
        <x:v>3</x:v>
      </x:c>
      <x:c r="L3402" s="28" t="n">
        <x:v>3</x:v>
      </x:c>
      <x:c r="M3402" s="28" t="n">
        <x:v>3</x:v>
      </x:c>
      <x:c r="N3402" s="28" t="n">
        <x:v>2</x:v>
      </x:c>
      <x:c r="O3402" s="28" t="n">
        <x:v>0</x:v>
      </x:c>
      <x:c r="P3402" s="28" t="n">
        <x:v>3</x:v>
      </x:c>
      <x:c r="Q3402" s="24" t="n">
        <x:f>IFERROR(J3402/H3402,0)</x:f>
        <x:v>0.3181818181818182</x:v>
      </x:c>
      <x:c r="R3402" s="24" t="n">
        <x:f>IFERROR(F3402/H3402,0)</x:f>
        <x:v>0.18181818181818182</x:v>
      </x:c>
      <x:c r="S3402" s="24" t="n">
        <x:f>IFERROR(F3402/J3402,0)</x:f>
        <x:v>0.5714285714285714</x:v>
      </x:c>
      <x:c r="T3402" s="28" t="n">
        <x:f>H3402-I3402</x:f>
        <x:v>11</x:v>
      </x:c>
      <x:c r="U3402" s="24" t="n">
        <x:f>IFERROR(J3402/H3402,0)-IFERROR(K3402/I3402,0)</x:f>
        <x:v>0.04545454545454547</x:v>
      </x:c>
      <x:c r="V3402" s="24" t="n">
        <x:f>IFERROR(F3402/J3402,0)-IFERROR(G3402/K3402,0)</x:f>
        <x:v>0.23809523809523808</x:v>
      </x:c>
      <x:c r="W3402" s="28" t="n">
        <x:f>L3402-M3402</x:f>
        <x:v>0</x:v>
      </x:c>
      <x:c r="X3402" s="24" t="n">
        <x:f>IFERROR(K3402/I3402,0)</x:f>
        <x:v>0.2727272727272727</x:v>
      </x:c>
      <x:c r="Y3402" s="24" t="n">
        <x:f>IFERROR(G3402/I3402,0)</x:f>
        <x:v>0.09090909090909091</x:v>
      </x:c>
      <x:c r="Z3402" s="24" t="n">
        <x:f>IFERROR(G3402/K3402,0)</x:f>
        <x:v>0.3333333333333333</x:v>
      </x:c>
      <x:c r="AA3402" s="24" t="n">
        <x:f>IFERROR(F3402/H3402,0)-IFERROR(G3402/I3402,0)</x:f>
        <x:v>0.09090909090909091</x:v>
      </x:c>
      <x:c r="AB3402" s="28" t="n">
        <x:f>J3402-K3402</x:f>
        <x:v>4</x:v>
      </x:c>
      <x:c r="AC3402" s="32" t="n">
        <x:f>F3402-G3402</x:f>
        <x:v>3</x:v>
      </x:c>
    </x:row>
    <x:row r="3403">
      <x:c r="A3403" s="4" t="str">
        <x:v>2025-26</x:v>
      </x:c>
      <x:c r="B3403" s="20" t="n">
        <x:v>46021</x:v>
      </x:c>
      <x:c r="C3403" s="4" t="str">
        <x:v>Aston Villa</x:v>
      </x:c>
      <x:c r="D3403" s="4" t="str">
        <x:v>Arsenal</x:v>
      </x:c>
      <x:c r="E3403" s="4" t="str">
        <x:v>Away</x:v>
      </x:c>
      <x:c r="F3403" s="28" t="n">
        <x:v>1</x:v>
      </x:c>
      <x:c r="G3403" s="28" t="n">
        <x:v>4</x:v>
      </x:c>
      <x:c r="H3403" s="28" t="n">
        <x:v>11</x:v>
      </x:c>
      <x:c r="I3403" s="28" t="n">
        <x:v>22</x:v>
      </x:c>
      <x:c r="J3403" s="28" t="n">
        <x:v>3</x:v>
      </x:c>
      <x:c r="K3403" s="28" t="n">
        <x:v>7</x:v>
      </x:c>
      <x:c r="L3403" s="28" t="n">
        <x:v>3</x:v>
      </x:c>
      <x:c r="M3403" s="28" t="n">
        <x:v>3</x:v>
      </x:c>
      <x:c r="N3403" s="28" t="n">
        <x:v>3</x:v>
      </x:c>
      <x:c r="O3403" s="28" t="n">
        <x:v>0</x:v>
      </x:c>
      <x:c r="P3403" s="28" t="n">
        <x:v>0</x:v>
      </x:c>
      <x:c r="Q3403" s="24" t="n">
        <x:f>IFERROR(J3403/H3403,0)</x:f>
        <x:v>0.2727272727272727</x:v>
      </x:c>
      <x:c r="R3403" s="24" t="n">
        <x:f>IFERROR(F3403/H3403,0)</x:f>
        <x:v>0.09090909090909091</x:v>
      </x:c>
      <x:c r="S3403" s="24" t="n">
        <x:f>IFERROR(F3403/J3403,0)</x:f>
        <x:v>0.3333333333333333</x:v>
      </x:c>
      <x:c r="T3403" s="28" t="n">
        <x:f>H3403-I3403</x:f>
        <x:v>-11</x:v>
      </x:c>
      <x:c r="U3403" s="24" t="n">
        <x:f>IFERROR(J3403/H3403,0)-IFERROR(K3403/I3403,0)</x:f>
        <x:v>-0.04545454545454547</x:v>
      </x:c>
      <x:c r="V3403" s="24" t="n">
        <x:f>IFERROR(F3403/J3403,0)-IFERROR(G3403/K3403,0)</x:f>
        <x:v>-0.23809523809523808</x:v>
      </x:c>
      <x:c r="W3403" s="28" t="n">
        <x:f>L3403-M3403</x:f>
        <x:v>0</x:v>
      </x:c>
      <x:c r="X3403" s="24" t="n">
        <x:f>IFERROR(K3403/I3403,0)</x:f>
        <x:v>0.3181818181818182</x:v>
      </x:c>
      <x:c r="Y3403" s="24" t="n">
        <x:f>IFERROR(G3403/I3403,0)</x:f>
        <x:v>0.18181818181818182</x:v>
      </x:c>
      <x:c r="Z3403" s="24" t="n">
        <x:f>IFERROR(G3403/K3403,0)</x:f>
        <x:v>0.5714285714285714</x:v>
      </x:c>
      <x:c r="AA3403" s="24" t="n">
        <x:f>IFERROR(F3403/H3403,0)-IFERROR(G3403/I3403,0)</x:f>
        <x:v>-0.09090909090909091</x:v>
      </x:c>
      <x:c r="AB3403" s="28" t="n">
        <x:f>J3403-K3403</x:f>
        <x:v>-4</x:v>
      </x:c>
      <x:c r="AC3403" s="32" t="n">
        <x:f>F3403-G3403</x:f>
        <x:v>-3</x:v>
      </x:c>
    </x:row>
    <x:row r="3404">
      <x:c r="A3404" s="4" t="str">
        <x:v>2025-26</x:v>
      </x:c>
      <x:c r="B3404" s="20" t="n">
        <x:v>46021</x:v>
      </x:c>
      <x:c r="C3404" s="4" t="str">
        <x:v>Bournemouth</x:v>
      </x:c>
      <x:c r="D3404" s="4" t="str">
        <x:v>Chelsea</x:v>
      </x:c>
      <x:c r="E3404" s="4" t="str">
        <x:v>Away</x:v>
      </x:c>
      <x:c r="F3404" s="28" t="n">
        <x:v>2</x:v>
      </x:c>
      <x:c r="G3404" s="28" t="n">
        <x:v>2</x:v>
      </x:c>
      <x:c r="H3404" s="28" t="n">
        <x:v>17</x:v>
      </x:c>
      <x:c r="I3404" s="28" t="n">
        <x:v>17</x:v>
      </x:c>
      <x:c r="J3404" s="28" t="n">
        <x:v>6</x:v>
      </x:c>
      <x:c r="K3404" s="28" t="n">
        <x:v>3</x:v>
      </x:c>
      <x:c r="L3404" s="28" t="n">
        <x:v>3</x:v>
      </x:c>
      <x:c r="M3404" s="28" t="n">
        <x:v>12</x:v>
      </x:c>
      <x:c r="N3404" s="28" t="n">
        <x:v>1</x:v>
      </x:c>
      <x:c r="O3404" s="28" t="n">
        <x:v>0</x:v>
      </x:c>
      <x:c r="P3404" s="28" t="n">
        <x:v>1</x:v>
      </x:c>
      <x:c r="Q3404" s="24" t="n">
        <x:f>IFERROR(J3404/H3404,0)</x:f>
        <x:v>0.35294117647058826</x:v>
      </x:c>
      <x:c r="R3404" s="24" t="n">
        <x:f>IFERROR(F3404/H3404,0)</x:f>
        <x:v>0.11764705882352941</x:v>
      </x:c>
      <x:c r="S3404" s="24" t="n">
        <x:f>IFERROR(F3404/J3404,0)</x:f>
        <x:v>0.3333333333333333</x:v>
      </x:c>
      <x:c r="T3404" s="28" t="n">
        <x:f>H3404-I3404</x:f>
        <x:v>0</x:v>
      </x:c>
      <x:c r="U3404" s="24" t="n">
        <x:f>IFERROR(J3404/H3404,0)-IFERROR(K3404/I3404,0)</x:f>
        <x:v>0.17647058823529413</x:v>
      </x:c>
      <x:c r="V3404" s="24" t="n">
        <x:f>IFERROR(F3404/J3404,0)-IFERROR(G3404/K3404,0)</x:f>
        <x:v>-0.3333333333333333</x:v>
      </x:c>
      <x:c r="W3404" s="28" t="n">
        <x:f>L3404-M3404</x:f>
        <x:v>-9</x:v>
      </x:c>
      <x:c r="X3404" s="24" t="n">
        <x:f>IFERROR(K3404/I3404,0)</x:f>
        <x:v>0.17647058823529413</x:v>
      </x:c>
      <x:c r="Y3404" s="24" t="n">
        <x:f>IFERROR(G3404/I3404,0)</x:f>
        <x:v>0.11764705882352941</x:v>
      </x:c>
      <x:c r="Z3404" s="24" t="n">
        <x:f>IFERROR(G3404/K3404,0)</x:f>
        <x:v>0.6666666666666666</x:v>
      </x:c>
      <x:c r="AA3404" s="24" t="n">
        <x:f>IFERROR(F3404/H3404,0)-IFERROR(G3404/I3404,0)</x:f>
        <x:v>0</x:v>
      </x:c>
      <x:c r="AB3404" s="28" t="n">
        <x:f>J3404-K3404</x:f>
        <x:v>3</x:v>
      </x:c>
      <x:c r="AC3404" s="32" t="n">
        <x:f>F3404-G3404</x:f>
        <x:v>0</x:v>
      </x:c>
    </x:row>
    <x:row r="3405">
      <x:c r="A3405" s="4" t="str">
        <x:v>2025-26</x:v>
      </x:c>
      <x:c r="B3405" s="20" t="n">
        <x:v>46021</x:v>
      </x:c>
      <x:c r="C3405" s="4" t="str">
        <x:v>Brighton</x:v>
      </x:c>
      <x:c r="D3405" s="4" t="str">
        <x:v>West Ham</x:v>
      </x:c>
      <x:c r="E3405" s="4" t="str">
        <x:v>Away</x:v>
      </x:c>
      <x:c r="F3405" s="28" t="n">
        <x:v>2</x:v>
      </x:c>
      <x:c r="G3405" s="28" t="n">
        <x:v>2</x:v>
      </x:c>
      <x:c r="H3405" s="28" t="n">
        <x:v>16</x:v>
      </x:c>
      <x:c r="I3405" s="28" t="n">
        <x:v>10</x:v>
      </x:c>
      <x:c r="J3405" s="28" t="n">
        <x:v>6</x:v>
      </x:c>
      <x:c r="K3405" s="28" t="n">
        <x:v>4</x:v>
      </x:c>
      <x:c r="L3405" s="28" t="n">
        <x:v>5</x:v>
      </x:c>
      <x:c r="M3405" s="28" t="n">
        <x:v>5</x:v>
      </x:c>
      <x:c r="N3405" s="28" t="n">
        <x:v>5</x:v>
      </x:c>
      <x:c r="O3405" s="28" t="n">
        <x:v>0</x:v>
      </x:c>
      <x:c r="P3405" s="28" t="n">
        <x:v>1</x:v>
      </x:c>
      <x:c r="Q3405" s="24" t="n">
        <x:f>IFERROR(J3405/H3405,0)</x:f>
        <x:v>0.375</x:v>
      </x:c>
      <x:c r="R3405" s="24" t="n">
        <x:f>IFERROR(F3405/H3405,0)</x:f>
        <x:v>0.125</x:v>
      </x:c>
      <x:c r="S3405" s="24" t="n">
        <x:f>IFERROR(F3405/J3405,0)</x:f>
        <x:v>0.3333333333333333</x:v>
      </x:c>
      <x:c r="T3405" s="28" t="n">
        <x:f>H3405-I3405</x:f>
        <x:v>6</x:v>
      </x:c>
      <x:c r="U3405" s="24" t="n">
        <x:f>IFERROR(J3405/H3405,0)-IFERROR(K3405/I3405,0)</x:f>
        <x:v>-0.025000000000000022</x:v>
      </x:c>
      <x:c r="V3405" s="24" t="n">
        <x:f>IFERROR(F3405/J3405,0)-IFERROR(G3405/K3405,0)</x:f>
        <x:v>-0.16666666666666669</x:v>
      </x:c>
      <x:c r="W3405" s="28" t="n">
        <x:f>L3405-M3405</x:f>
        <x:v>0</x:v>
      </x:c>
      <x:c r="X3405" s="24" t="n">
        <x:f>IFERROR(K3405/I3405,0)</x:f>
        <x:v>0.4</x:v>
      </x:c>
      <x:c r="Y3405" s="24" t="n">
        <x:f>IFERROR(G3405/I3405,0)</x:f>
        <x:v>0.2</x:v>
      </x:c>
      <x:c r="Z3405" s="24" t="n">
        <x:f>IFERROR(G3405/K3405,0)</x:f>
        <x:v>0.5</x:v>
      </x:c>
      <x:c r="AA3405" s="24" t="n">
        <x:f>IFERROR(F3405/H3405,0)-IFERROR(G3405/I3405,0)</x:f>
        <x:v>-0.07500000000000001</x:v>
      </x:c>
      <x:c r="AB3405" s="28" t="n">
        <x:f>J3405-K3405</x:f>
        <x:v>2</x:v>
      </x:c>
      <x:c r="AC3405" s="32" t="n">
        <x:f>F3405-G3405</x:f>
        <x:v>0</x:v>
      </x:c>
    </x:row>
    <x:row r="3406">
      <x:c r="A3406" s="4" t="str">
        <x:v>2025-26</x:v>
      </x:c>
      <x:c r="B3406" s="20" t="n">
        <x:v>46021</x:v>
      </x:c>
      <x:c r="C3406" s="4" t="str">
        <x:v>Burnley</x:v>
      </x:c>
      <x:c r="D3406" s="4" t="str">
        <x:v>Newcastle</x:v>
      </x:c>
      <x:c r="E3406" s="4" t="str">
        <x:v>Home</x:v>
      </x:c>
      <x:c r="F3406" s="28" t="n">
        <x:v>1</x:v>
      </x:c>
      <x:c r="G3406" s="28" t="n">
        <x:v>3</x:v>
      </x:c>
      <x:c r="H3406" s="28" t="n">
        <x:v>15</x:v>
      </x:c>
      <x:c r="I3406" s="28" t="n">
        <x:v>20</x:v>
      </x:c>
      <x:c r="J3406" s="28" t="n">
        <x:v>4</x:v>
      </x:c>
      <x:c r="K3406" s="28" t="n">
        <x:v>9</x:v>
      </x:c>
      <x:c r="L3406" s="28" t="n">
        <x:v>3</x:v>
      </x:c>
      <x:c r="M3406" s="28" t="n">
        <x:v>4</x:v>
      </x:c>
      <x:c r="N3406" s="28" t="n">
        <x:v>2</x:v>
      </x:c>
      <x:c r="O3406" s="28" t="n">
        <x:v>0</x:v>
      </x:c>
      <x:c r="P3406" s="28" t="n">
        <x:v>0</x:v>
      </x:c>
      <x:c r="Q3406" s="24" t="n">
        <x:f>IFERROR(J3406/H3406,0)</x:f>
        <x:v>0.26666666666666666</x:v>
      </x:c>
      <x:c r="R3406" s="24" t="n">
        <x:f>IFERROR(F3406/H3406,0)</x:f>
        <x:v>0.06666666666666667</x:v>
      </x:c>
      <x:c r="S3406" s="24" t="n">
        <x:f>IFERROR(F3406/J3406,0)</x:f>
        <x:v>0.25</x:v>
      </x:c>
      <x:c r="T3406" s="28" t="n">
        <x:f>H3406-I3406</x:f>
        <x:v>-5</x:v>
      </x:c>
      <x:c r="U3406" s="24" t="n">
        <x:f>IFERROR(J3406/H3406,0)-IFERROR(K3406/I3406,0)</x:f>
        <x:v>-0.18333333333333335</x:v>
      </x:c>
      <x:c r="V3406" s="24" t="n">
        <x:f>IFERROR(F3406/J3406,0)-IFERROR(G3406/K3406,0)</x:f>
        <x:v>-0.08333333333333331</x:v>
      </x:c>
      <x:c r="W3406" s="28" t="n">
        <x:f>L3406-M3406</x:f>
        <x:v>-1</x:v>
      </x:c>
      <x:c r="X3406" s="24" t="n">
        <x:f>IFERROR(K3406/I3406,0)</x:f>
        <x:v>0.45</x:v>
      </x:c>
      <x:c r="Y3406" s="24" t="n">
        <x:f>IFERROR(G3406/I3406,0)</x:f>
        <x:v>0.15</x:v>
      </x:c>
      <x:c r="Z3406" s="24" t="n">
        <x:f>IFERROR(G3406/K3406,0)</x:f>
        <x:v>0.3333333333333333</x:v>
      </x:c>
      <x:c r="AA3406" s="24" t="n">
        <x:f>IFERROR(F3406/H3406,0)-IFERROR(G3406/I3406,0)</x:f>
        <x:v>-0.08333333333333333</x:v>
      </x:c>
      <x:c r="AB3406" s="28" t="n">
        <x:f>J3406-K3406</x:f>
        <x:v>-5</x:v>
      </x:c>
      <x:c r="AC3406" s="32" t="n">
        <x:f>F3406-G3406</x:f>
        <x:v>-2</x:v>
      </x:c>
    </x:row>
    <x:row r="3407">
      <x:c r="A3407" s="4" t="str">
        <x:v>2025-26</x:v>
      </x:c>
      <x:c r="B3407" s="20" t="n">
        <x:v>46021</x:v>
      </x:c>
      <x:c r="C3407" s="4" t="str">
        <x:v>Chelsea</x:v>
      </x:c>
      <x:c r="D3407" s="4" t="str">
        <x:v>Bournemouth</x:v>
      </x:c>
      <x:c r="E3407" s="4" t="str">
        <x:v>Home</x:v>
      </x:c>
      <x:c r="F3407" s="28" t="n">
        <x:v>2</x:v>
      </x:c>
      <x:c r="G3407" s="28" t="n">
        <x:v>2</x:v>
      </x:c>
      <x:c r="H3407" s="28" t="n">
        <x:v>17</x:v>
      </x:c>
      <x:c r="I3407" s="28" t="n">
        <x:v>17</x:v>
      </x:c>
      <x:c r="J3407" s="28" t="n">
        <x:v>3</x:v>
      </x:c>
      <x:c r="K3407" s="28" t="n">
        <x:v>6</x:v>
      </x:c>
      <x:c r="L3407" s="28" t="n">
        <x:v>12</x:v>
      </x:c>
      <x:c r="M3407" s="28" t="n">
        <x:v>3</x:v>
      </x:c>
      <x:c r="N3407" s="28" t="n">
        <x:v>1</x:v>
      </x:c>
      <x:c r="O3407" s="28" t="n">
        <x:v>0</x:v>
      </x:c>
      <x:c r="P3407" s="28" t="n">
        <x:v>1</x:v>
      </x:c>
      <x:c r="Q3407" s="24" t="n">
        <x:f>IFERROR(J3407/H3407,0)</x:f>
        <x:v>0.17647058823529413</x:v>
      </x:c>
      <x:c r="R3407" s="24" t="n">
        <x:f>IFERROR(F3407/H3407,0)</x:f>
        <x:v>0.11764705882352941</x:v>
      </x:c>
      <x:c r="S3407" s="24" t="n">
        <x:f>IFERROR(F3407/J3407,0)</x:f>
        <x:v>0.6666666666666666</x:v>
      </x:c>
      <x:c r="T3407" s="28" t="n">
        <x:f>H3407-I3407</x:f>
        <x:v>0</x:v>
      </x:c>
      <x:c r="U3407" s="24" t="n">
        <x:f>IFERROR(J3407/H3407,0)-IFERROR(K3407/I3407,0)</x:f>
        <x:v>-0.17647058823529413</x:v>
      </x:c>
      <x:c r="V3407" s="24" t="n">
        <x:f>IFERROR(F3407/J3407,0)-IFERROR(G3407/K3407,0)</x:f>
        <x:v>0.3333333333333333</x:v>
      </x:c>
      <x:c r="W3407" s="28" t="n">
        <x:f>L3407-M3407</x:f>
        <x:v>9</x:v>
      </x:c>
      <x:c r="X3407" s="24" t="n">
        <x:f>IFERROR(K3407/I3407,0)</x:f>
        <x:v>0.35294117647058826</x:v>
      </x:c>
      <x:c r="Y3407" s="24" t="n">
        <x:f>IFERROR(G3407/I3407,0)</x:f>
        <x:v>0.11764705882352941</x:v>
      </x:c>
      <x:c r="Z3407" s="24" t="n">
        <x:f>IFERROR(G3407/K3407,0)</x:f>
        <x:v>0.3333333333333333</x:v>
      </x:c>
      <x:c r="AA3407" s="24" t="n">
        <x:f>IFERROR(F3407/H3407,0)-IFERROR(G3407/I3407,0)</x:f>
        <x:v>0</x:v>
      </x:c>
      <x:c r="AB3407" s="28" t="n">
        <x:f>J3407-K3407</x:f>
        <x:v>-3</x:v>
      </x:c>
      <x:c r="AC3407" s="32" t="n">
        <x:f>F3407-G3407</x:f>
        <x:v>0</x:v>
      </x:c>
    </x:row>
    <x:row r="3408">
      <x:c r="A3408" s="4" t="str">
        <x:v>2025-26</x:v>
      </x:c>
      <x:c r="B3408" s="20" t="n">
        <x:v>46021</x:v>
      </x:c>
      <x:c r="C3408" s="4" t="str">
        <x:v>Everton</x:v>
      </x:c>
      <x:c r="D3408" s="4" t="str">
        <x:v>Nott'm Forest</x:v>
      </x:c>
      <x:c r="E3408" s="4" t="str">
        <x:v>Away</x:v>
      </x:c>
      <x:c r="F3408" s="28" t="n">
        <x:v>2</x:v>
      </x:c>
      <x:c r="G3408" s="28" t="n">
        <x:v>0</x:v>
      </x:c>
      <x:c r="H3408" s="28" t="n">
        <x:v>11</x:v>
      </x:c>
      <x:c r="I3408" s="28" t="n">
        <x:v>21</x:v>
      </x:c>
      <x:c r="J3408" s="28" t="n">
        <x:v>3</x:v>
      </x:c>
      <x:c r="K3408" s="28" t="n">
        <x:v>6</x:v>
      </x:c>
      <x:c r="L3408" s="28" t="n">
        <x:v>2</x:v>
      </x:c>
      <x:c r="M3408" s="28" t="n">
        <x:v>9</x:v>
      </x:c>
      <x:c r="N3408" s="28" t="n">
        <x:v>0</x:v>
      </x:c>
      <x:c r="O3408" s="28" t="n">
        <x:v>0</x:v>
      </x:c>
      <x:c r="P3408" s="28" t="n">
        <x:v>3</x:v>
      </x:c>
      <x:c r="Q3408" s="24" t="n">
        <x:f>IFERROR(J3408/H3408,0)</x:f>
        <x:v>0.2727272727272727</x:v>
      </x:c>
      <x:c r="R3408" s="24" t="n">
        <x:f>IFERROR(F3408/H3408,0)</x:f>
        <x:v>0.18181818181818182</x:v>
      </x:c>
      <x:c r="S3408" s="24" t="n">
        <x:f>IFERROR(F3408/J3408,0)</x:f>
        <x:v>0.6666666666666666</x:v>
      </x:c>
      <x:c r="T3408" s="28" t="n">
        <x:f>H3408-I3408</x:f>
        <x:v>-10</x:v>
      </x:c>
      <x:c r="U3408" s="24" t="n">
        <x:f>IFERROR(J3408/H3408,0)-IFERROR(K3408/I3408,0)</x:f>
        <x:v>-0.012987012987012991</x:v>
      </x:c>
      <x:c r="V3408" s="24" t="n">
        <x:f>IFERROR(F3408/J3408,0)-IFERROR(G3408/K3408,0)</x:f>
        <x:v>0.6666666666666666</x:v>
      </x:c>
      <x:c r="W3408" s="28" t="n">
        <x:f>L3408-M3408</x:f>
        <x:v>-7</x:v>
      </x:c>
      <x:c r="X3408" s="24" t="n">
        <x:f>IFERROR(K3408/I3408,0)</x:f>
        <x:v>0.2857142857142857</x:v>
      </x:c>
      <x:c r="Y3408" s="24" t="n">
        <x:f>IFERROR(G3408/I3408,0)</x:f>
        <x:v>0</x:v>
      </x:c>
      <x:c r="Z3408" s="24" t="n">
        <x:f>IFERROR(G3408/K3408,0)</x:f>
        <x:v>0</x:v>
      </x:c>
      <x:c r="AA3408" s="24" t="n">
        <x:f>IFERROR(F3408/H3408,0)-IFERROR(G3408/I3408,0)</x:f>
        <x:v>0.18181818181818182</x:v>
      </x:c>
      <x:c r="AB3408" s="28" t="n">
        <x:f>J3408-K3408</x:f>
        <x:v>-3</x:v>
      </x:c>
      <x:c r="AC3408" s="32" t="n">
        <x:f>F3408-G3408</x:f>
        <x:v>2</x:v>
      </x:c>
    </x:row>
    <x:row r="3409">
      <x:c r="A3409" s="4" t="str">
        <x:v>2025-26</x:v>
      </x:c>
      <x:c r="B3409" s="20" t="n">
        <x:v>46021</x:v>
      </x:c>
      <x:c r="C3409" s="4" t="str">
        <x:v>Man United</x:v>
      </x:c>
      <x:c r="D3409" s="4" t="str">
        <x:v>Wolves</x:v>
      </x:c>
      <x:c r="E3409" s="4" t="str">
        <x:v>Home</x:v>
      </x:c>
      <x:c r="F3409" s="28" t="n">
        <x:v>1</x:v>
      </x:c>
      <x:c r="G3409" s="28" t="n">
        <x:v>1</x:v>
      </x:c>
      <x:c r="H3409" s="28" t="n">
        <x:v>15</x:v>
      </x:c>
      <x:c r="I3409" s="28" t="n">
        <x:v>11</x:v>
      </x:c>
      <x:c r="J3409" s="28" t="n">
        <x:v>6</x:v>
      </x:c>
      <x:c r="K3409" s="28" t="n">
        <x:v>4</x:v>
      </x:c>
      <x:c r="L3409" s="28" t="n">
        <x:v>8</x:v>
      </x:c>
      <x:c r="M3409" s="28" t="n">
        <x:v>4</x:v>
      </x:c>
      <x:c r="N3409" s="28" t="n">
        <x:v>0</x:v>
      </x:c>
      <x:c r="O3409" s="28" t="n">
        <x:v>0</x:v>
      </x:c>
      <x:c r="P3409" s="28" t="n">
        <x:v>1</x:v>
      </x:c>
      <x:c r="Q3409" s="24" t="n">
        <x:f>IFERROR(J3409/H3409,0)</x:f>
        <x:v>0.4</x:v>
      </x:c>
      <x:c r="R3409" s="24" t="n">
        <x:f>IFERROR(F3409/H3409,0)</x:f>
        <x:v>0.06666666666666667</x:v>
      </x:c>
      <x:c r="S3409" s="24" t="n">
        <x:f>IFERROR(F3409/J3409,0)</x:f>
        <x:v>0.16666666666666666</x:v>
      </x:c>
      <x:c r="T3409" s="28" t="n">
        <x:f>H3409-I3409</x:f>
        <x:v>4</x:v>
      </x:c>
      <x:c r="U3409" s="24" t="n">
        <x:f>IFERROR(J3409/H3409,0)-IFERROR(K3409/I3409,0)</x:f>
        <x:v>0.036363636363636376</x:v>
      </x:c>
      <x:c r="V3409" s="24" t="n">
        <x:f>IFERROR(F3409/J3409,0)-IFERROR(G3409/K3409,0)</x:f>
        <x:v>-0.08333333333333334</x:v>
      </x:c>
      <x:c r="W3409" s="28" t="n">
        <x:f>L3409-M3409</x:f>
        <x:v>4</x:v>
      </x:c>
      <x:c r="X3409" s="24" t="n">
        <x:f>IFERROR(K3409/I3409,0)</x:f>
        <x:v>0.36363636363636365</x:v>
      </x:c>
      <x:c r="Y3409" s="24" t="n">
        <x:f>IFERROR(G3409/I3409,0)</x:f>
        <x:v>0.09090909090909091</x:v>
      </x:c>
      <x:c r="Z3409" s="24" t="n">
        <x:f>IFERROR(G3409/K3409,0)</x:f>
        <x:v>0.25</x:v>
      </x:c>
      <x:c r="AA3409" s="24" t="n">
        <x:f>IFERROR(F3409/H3409,0)-IFERROR(G3409/I3409,0)</x:f>
        <x:v>-0.024242424242424246</x:v>
      </x:c>
      <x:c r="AB3409" s="28" t="n">
        <x:f>J3409-K3409</x:f>
        <x:v>2</x:v>
      </x:c>
      <x:c r="AC3409" s="32" t="n">
        <x:f>F3409-G3409</x:f>
        <x:v>0</x:v>
      </x:c>
    </x:row>
    <x:row r="3410">
      <x:c r="A3410" s="4" t="str">
        <x:v>2025-26</x:v>
      </x:c>
      <x:c r="B3410" s="20" t="n">
        <x:v>46021</x:v>
      </x:c>
      <x:c r="C3410" s="4" t="str">
        <x:v>Newcastle</x:v>
      </x:c>
      <x:c r="D3410" s="4" t="str">
        <x:v>Burnley</x:v>
      </x:c>
      <x:c r="E3410" s="4" t="str">
        <x:v>Away</x:v>
      </x:c>
      <x:c r="F3410" s="28" t="n">
        <x:v>3</x:v>
      </x:c>
      <x:c r="G3410" s="28" t="n">
        <x:v>1</x:v>
      </x:c>
      <x:c r="H3410" s="28" t="n">
        <x:v>20</x:v>
      </x:c>
      <x:c r="I3410" s="28" t="n">
        <x:v>15</x:v>
      </x:c>
      <x:c r="J3410" s="28" t="n">
        <x:v>9</x:v>
      </x:c>
      <x:c r="K3410" s="28" t="n">
        <x:v>4</x:v>
      </x:c>
      <x:c r="L3410" s="28" t="n">
        <x:v>4</x:v>
      </x:c>
      <x:c r="M3410" s="28" t="n">
        <x:v>3</x:v>
      </x:c>
      <x:c r="N3410" s="28" t="n">
        <x:v>1</x:v>
      </x:c>
      <x:c r="O3410" s="28" t="n">
        <x:v>0</x:v>
      </x:c>
      <x:c r="P3410" s="28" t="n">
        <x:v>3</x:v>
      </x:c>
      <x:c r="Q3410" s="24" t="n">
        <x:f>IFERROR(J3410/H3410,0)</x:f>
        <x:v>0.45</x:v>
      </x:c>
      <x:c r="R3410" s="24" t="n">
        <x:f>IFERROR(F3410/H3410,0)</x:f>
        <x:v>0.15</x:v>
      </x:c>
      <x:c r="S3410" s="24" t="n">
        <x:f>IFERROR(F3410/J3410,0)</x:f>
        <x:v>0.3333333333333333</x:v>
      </x:c>
      <x:c r="T3410" s="28" t="n">
        <x:f>H3410-I3410</x:f>
        <x:v>5</x:v>
      </x:c>
      <x:c r="U3410" s="24" t="n">
        <x:f>IFERROR(J3410/H3410,0)-IFERROR(K3410/I3410,0)</x:f>
        <x:v>0.18333333333333335</x:v>
      </x:c>
      <x:c r="V3410" s="24" t="n">
        <x:f>IFERROR(F3410/J3410,0)-IFERROR(G3410/K3410,0)</x:f>
        <x:v>0.08333333333333331</x:v>
      </x:c>
      <x:c r="W3410" s="28" t="n">
        <x:f>L3410-M3410</x:f>
        <x:v>1</x:v>
      </x:c>
      <x:c r="X3410" s="24" t="n">
        <x:f>IFERROR(K3410/I3410,0)</x:f>
        <x:v>0.26666666666666666</x:v>
      </x:c>
      <x:c r="Y3410" s="24" t="n">
        <x:f>IFERROR(G3410/I3410,0)</x:f>
        <x:v>0.06666666666666667</x:v>
      </x:c>
      <x:c r="Z3410" s="24" t="n">
        <x:f>IFERROR(G3410/K3410,0)</x:f>
        <x:v>0.25</x:v>
      </x:c>
      <x:c r="AA3410" s="24" t="n">
        <x:f>IFERROR(F3410/H3410,0)-IFERROR(G3410/I3410,0)</x:f>
        <x:v>0.08333333333333333</x:v>
      </x:c>
      <x:c r="AB3410" s="28" t="n">
        <x:f>J3410-K3410</x:f>
        <x:v>5</x:v>
      </x:c>
      <x:c r="AC3410" s="32" t="n">
        <x:f>F3410-G3410</x:f>
        <x:v>2</x:v>
      </x:c>
    </x:row>
    <x:row r="3411">
      <x:c r="A3411" s="4" t="str">
        <x:v>2025-26</x:v>
      </x:c>
      <x:c r="B3411" s="20" t="n">
        <x:v>46021</x:v>
      </x:c>
      <x:c r="C3411" s="4" t="str">
        <x:v>Nott'm Forest</x:v>
      </x:c>
      <x:c r="D3411" s="4" t="str">
        <x:v>Everton</x:v>
      </x:c>
      <x:c r="E3411" s="4" t="str">
        <x:v>Home</x:v>
      </x:c>
      <x:c r="F3411" s="28" t="n">
        <x:v>0</x:v>
      </x:c>
      <x:c r="G3411" s="28" t="n">
        <x:v>2</x:v>
      </x:c>
      <x:c r="H3411" s="28" t="n">
        <x:v>21</x:v>
      </x:c>
      <x:c r="I3411" s="28" t="n">
        <x:v>11</x:v>
      </x:c>
      <x:c r="J3411" s="28" t="n">
        <x:v>6</x:v>
      </x:c>
      <x:c r="K3411" s="28" t="n">
        <x:v>3</x:v>
      </x:c>
      <x:c r="L3411" s="28" t="n">
        <x:v>9</x:v>
      </x:c>
      <x:c r="M3411" s="28" t="n">
        <x:v>2</x:v>
      </x:c>
      <x:c r="N3411" s="28" t="n">
        <x:v>1</x:v>
      </x:c>
      <x:c r="O3411" s="28" t="n">
        <x:v>0</x:v>
      </x:c>
      <x:c r="P3411" s="28" t="n">
        <x:v>0</x:v>
      </x:c>
      <x:c r="Q3411" s="24" t="n">
        <x:f>IFERROR(J3411/H3411,0)</x:f>
        <x:v>0.2857142857142857</x:v>
      </x:c>
      <x:c r="R3411" s="24" t="n">
        <x:f>IFERROR(F3411/H3411,0)</x:f>
        <x:v>0</x:v>
      </x:c>
      <x:c r="S3411" s="24" t="n">
        <x:f>IFERROR(F3411/J3411,0)</x:f>
        <x:v>0</x:v>
      </x:c>
      <x:c r="T3411" s="28" t="n">
        <x:f>H3411-I3411</x:f>
        <x:v>10</x:v>
      </x:c>
      <x:c r="U3411" s="24" t="n">
        <x:f>IFERROR(J3411/H3411,0)-IFERROR(K3411/I3411,0)</x:f>
        <x:v>0.012987012987012991</x:v>
      </x:c>
      <x:c r="V3411" s="24" t="n">
        <x:f>IFERROR(F3411/J3411,0)-IFERROR(G3411/K3411,0)</x:f>
        <x:v>-0.6666666666666666</x:v>
      </x:c>
      <x:c r="W3411" s="28" t="n">
        <x:f>L3411-M3411</x:f>
        <x:v>7</x:v>
      </x:c>
      <x:c r="X3411" s="24" t="n">
        <x:f>IFERROR(K3411/I3411,0)</x:f>
        <x:v>0.2727272727272727</x:v>
      </x:c>
      <x:c r="Y3411" s="24" t="n">
        <x:f>IFERROR(G3411/I3411,0)</x:f>
        <x:v>0.18181818181818182</x:v>
      </x:c>
      <x:c r="Z3411" s="24" t="n">
        <x:f>IFERROR(G3411/K3411,0)</x:f>
        <x:v>0.6666666666666666</x:v>
      </x:c>
      <x:c r="AA3411" s="24" t="n">
        <x:f>IFERROR(F3411/H3411,0)-IFERROR(G3411/I3411,0)</x:f>
        <x:v>-0.18181818181818182</x:v>
      </x:c>
      <x:c r="AB3411" s="28" t="n">
        <x:f>J3411-K3411</x:f>
        <x:v>3</x:v>
      </x:c>
      <x:c r="AC3411" s="32" t="n">
        <x:f>F3411-G3411</x:f>
        <x:v>-2</x:v>
      </x:c>
    </x:row>
    <x:row r="3412">
      <x:c r="A3412" s="4" t="str">
        <x:v>2025-26</x:v>
      </x:c>
      <x:c r="B3412" s="20" t="n">
        <x:v>46021</x:v>
      </x:c>
      <x:c r="C3412" s="4" t="str">
        <x:v>West Ham</x:v>
      </x:c>
      <x:c r="D3412" s="4" t="str">
        <x:v>Brighton</x:v>
      </x:c>
      <x:c r="E3412" s="4" t="str">
        <x:v>Home</x:v>
      </x:c>
      <x:c r="F3412" s="28" t="n">
        <x:v>2</x:v>
      </x:c>
      <x:c r="G3412" s="28" t="n">
        <x:v>2</x:v>
      </x:c>
      <x:c r="H3412" s="28" t="n">
        <x:v>10</x:v>
      </x:c>
      <x:c r="I3412" s="28" t="n">
        <x:v>16</x:v>
      </x:c>
      <x:c r="J3412" s="28" t="n">
        <x:v>4</x:v>
      </x:c>
      <x:c r="K3412" s="28" t="n">
        <x:v>6</x:v>
      </x:c>
      <x:c r="L3412" s="28" t="n">
        <x:v>5</x:v>
      </x:c>
      <x:c r="M3412" s="28" t="n">
        <x:v>5</x:v>
      </x:c>
      <x:c r="N3412" s="28" t="n">
        <x:v>3</x:v>
      </x:c>
      <x:c r="O3412" s="28" t="n">
        <x:v>0</x:v>
      </x:c>
      <x:c r="P3412" s="28" t="n">
        <x:v>1</x:v>
      </x:c>
      <x:c r="Q3412" s="24" t="n">
        <x:f>IFERROR(J3412/H3412,0)</x:f>
        <x:v>0.4</x:v>
      </x:c>
      <x:c r="R3412" s="24" t="n">
        <x:f>IFERROR(F3412/H3412,0)</x:f>
        <x:v>0.2</x:v>
      </x:c>
      <x:c r="S3412" s="24" t="n">
        <x:f>IFERROR(F3412/J3412,0)</x:f>
        <x:v>0.5</x:v>
      </x:c>
      <x:c r="T3412" s="28" t="n">
        <x:f>H3412-I3412</x:f>
        <x:v>-6</x:v>
      </x:c>
      <x:c r="U3412" s="24" t="n">
        <x:f>IFERROR(J3412/H3412,0)-IFERROR(K3412/I3412,0)</x:f>
        <x:v>0.025000000000000022</x:v>
      </x:c>
      <x:c r="V3412" s="24" t="n">
        <x:f>IFERROR(F3412/J3412,0)-IFERROR(G3412/K3412,0)</x:f>
        <x:v>0.16666666666666669</x:v>
      </x:c>
      <x:c r="W3412" s="28" t="n">
        <x:f>L3412-M3412</x:f>
        <x:v>0</x:v>
      </x:c>
      <x:c r="X3412" s="24" t="n">
        <x:f>IFERROR(K3412/I3412,0)</x:f>
        <x:v>0.375</x:v>
      </x:c>
      <x:c r="Y3412" s="24" t="n">
        <x:f>IFERROR(G3412/I3412,0)</x:f>
        <x:v>0.125</x:v>
      </x:c>
      <x:c r="Z3412" s="24" t="n">
        <x:f>IFERROR(G3412/K3412,0)</x:f>
        <x:v>0.3333333333333333</x:v>
      </x:c>
      <x:c r="AA3412" s="24" t="n">
        <x:f>IFERROR(F3412/H3412,0)-IFERROR(G3412/I3412,0)</x:f>
        <x:v>0.07500000000000001</x:v>
      </x:c>
      <x:c r="AB3412" s="28" t="n">
        <x:f>J3412-K3412</x:f>
        <x:v>-2</x:v>
      </x:c>
      <x:c r="AC3412" s="32" t="n">
        <x:f>F3412-G3412</x:f>
        <x:v>0</x:v>
      </x:c>
    </x:row>
    <x:row r="3413">
      <x:c r="A3413" s="4" t="str">
        <x:v>2025-26</x:v>
      </x:c>
      <x:c r="B3413" s="20" t="n">
        <x:v>46021</x:v>
      </x:c>
      <x:c r="C3413" s="4" t="str">
        <x:v>Wolves</x:v>
      </x:c>
      <x:c r="D3413" s="4" t="str">
        <x:v>Man United</x:v>
      </x:c>
      <x:c r="E3413" s="4" t="str">
        <x:v>Away</x:v>
      </x:c>
      <x:c r="F3413" s="28" t="n">
        <x:v>1</x:v>
      </x:c>
      <x:c r="G3413" s="28" t="n">
        <x:v>1</x:v>
      </x:c>
      <x:c r="H3413" s="28" t="n">
        <x:v>11</x:v>
      </x:c>
      <x:c r="I3413" s="28" t="n">
        <x:v>15</x:v>
      </x:c>
      <x:c r="J3413" s="28" t="n">
        <x:v>4</x:v>
      </x:c>
      <x:c r="K3413" s="28" t="n">
        <x:v>6</x:v>
      </x:c>
      <x:c r="L3413" s="28" t="n">
        <x:v>4</x:v>
      </x:c>
      <x:c r="M3413" s="28" t="n">
        <x:v>8</x:v>
      </x:c>
      <x:c r="N3413" s="28" t="n">
        <x:v>2</x:v>
      </x:c>
      <x:c r="O3413" s="28" t="n">
        <x:v>0</x:v>
      </x:c>
      <x:c r="P3413" s="28" t="n">
        <x:v>1</x:v>
      </x:c>
      <x:c r="Q3413" s="24" t="n">
        <x:f>IFERROR(J3413/H3413,0)</x:f>
        <x:v>0.36363636363636365</x:v>
      </x:c>
      <x:c r="R3413" s="24" t="n">
        <x:f>IFERROR(F3413/H3413,0)</x:f>
        <x:v>0.09090909090909091</x:v>
      </x:c>
      <x:c r="S3413" s="24" t="n">
        <x:f>IFERROR(F3413/J3413,0)</x:f>
        <x:v>0.25</x:v>
      </x:c>
      <x:c r="T3413" s="28" t="n">
        <x:f>H3413-I3413</x:f>
        <x:v>-4</x:v>
      </x:c>
      <x:c r="U3413" s="24" t="n">
        <x:f>IFERROR(J3413/H3413,0)-IFERROR(K3413/I3413,0)</x:f>
        <x:v>-0.036363636363636376</x:v>
      </x:c>
      <x:c r="V3413" s="24" t="n">
        <x:f>IFERROR(F3413/J3413,0)-IFERROR(G3413/K3413,0)</x:f>
        <x:v>0.08333333333333334</x:v>
      </x:c>
      <x:c r="W3413" s="28" t="n">
        <x:f>L3413-M3413</x:f>
        <x:v>-4</x:v>
      </x:c>
      <x:c r="X3413" s="24" t="n">
        <x:f>IFERROR(K3413/I3413,0)</x:f>
        <x:v>0.4</x:v>
      </x:c>
      <x:c r="Y3413" s="24" t="n">
        <x:f>IFERROR(G3413/I3413,0)</x:f>
        <x:v>0.06666666666666667</x:v>
      </x:c>
      <x:c r="Z3413" s="24" t="n">
        <x:f>IFERROR(G3413/K3413,0)</x:f>
        <x:v>0.16666666666666666</x:v>
      </x:c>
      <x:c r="AA3413" s="24" t="n">
        <x:f>IFERROR(F3413/H3413,0)-IFERROR(G3413/I3413,0)</x:f>
        <x:v>0.024242424242424246</x:v>
      </x:c>
      <x:c r="AB3413" s="28" t="n">
        <x:f>J3413-K3413</x:f>
        <x:v>-2</x:v>
      </x:c>
      <x:c r="AC3413" s="32" t="n">
        <x:f>F3413-G3413</x:f>
        <x:v>0</x:v>
      </x:c>
    </x:row>
    <x:row r="3414">
      <x:c r="A3414" s="4" t="str">
        <x:v>2025-26</x:v>
      </x:c>
      <x:c r="B3414" s="20" t="n">
        <x:v>46023</x:v>
      </x:c>
      <x:c r="C3414" s="4" t="str">
        <x:v>Brentford</x:v>
      </x:c>
      <x:c r="D3414" s="4" t="str">
        <x:v>Tottenham</x:v>
      </x:c>
      <x:c r="E3414" s="4" t="str">
        <x:v>Home</x:v>
      </x:c>
      <x:c r="F3414" s="28" t="n">
        <x:v>0</x:v>
      </x:c>
      <x:c r="G3414" s="28" t="n">
        <x:v>0</x:v>
      </x:c>
      <x:c r="H3414" s="28" t="n">
        <x:v>7</x:v>
      </x:c>
      <x:c r="I3414" s="28" t="n">
        <x:v>9</x:v>
      </x:c>
      <x:c r="J3414" s="28" t="n">
        <x:v>2</x:v>
      </x:c>
      <x:c r="K3414" s="28" t="n">
        <x:v>3</x:v>
      </x:c>
      <x:c r="L3414" s="28" t="n">
        <x:v>3</x:v>
      </x:c>
      <x:c r="M3414" s="28" t="n">
        <x:v>1</x:v>
      </x:c>
      <x:c r="N3414" s="28" t="n">
        <x:v>1</x:v>
      </x:c>
      <x:c r="O3414" s="28" t="n">
        <x:v>0</x:v>
      </x:c>
      <x:c r="P3414" s="28" t="n">
        <x:v>1</x:v>
      </x:c>
      <x:c r="Q3414" s="24" t="n">
        <x:f>IFERROR(J3414/H3414,0)</x:f>
        <x:v>0.2857142857142857</x:v>
      </x:c>
      <x:c r="R3414" s="24" t="n">
        <x:f>IFERROR(F3414/H3414,0)</x:f>
        <x:v>0</x:v>
      </x:c>
      <x:c r="S3414" s="24" t="n">
        <x:f>IFERROR(F3414/J3414,0)</x:f>
        <x:v>0</x:v>
      </x:c>
      <x:c r="T3414" s="28" t="n">
        <x:f>H3414-I3414</x:f>
        <x:v>-2</x:v>
      </x:c>
      <x:c r="U3414" s="24" t="n">
        <x:f>IFERROR(J3414/H3414,0)-IFERROR(K3414/I3414,0)</x:f>
        <x:v>-0.047619047619047616</x:v>
      </x:c>
      <x:c r="V3414" s="24" t="n">
        <x:f>IFERROR(F3414/J3414,0)-IFERROR(G3414/K3414,0)</x:f>
        <x:v>0</x:v>
      </x:c>
      <x:c r="W3414" s="28" t="n">
        <x:f>L3414-M3414</x:f>
        <x:v>2</x:v>
      </x:c>
      <x:c r="X3414" s="24" t="n">
        <x:f>IFERROR(K3414/I3414,0)</x:f>
        <x:v>0.3333333333333333</x:v>
      </x:c>
      <x:c r="Y3414" s="24" t="n">
        <x:f>IFERROR(G3414/I3414,0)</x:f>
        <x:v>0</x:v>
      </x:c>
      <x:c r="Z3414" s="24" t="n">
        <x:f>IFERROR(G3414/K3414,0)</x:f>
        <x:v>0</x:v>
      </x:c>
      <x:c r="AA3414" s="24" t="n">
        <x:f>IFERROR(F3414/H3414,0)-IFERROR(G3414/I3414,0)</x:f>
        <x:v>0</x:v>
      </x:c>
      <x:c r="AB3414" s="28" t="n">
        <x:f>J3414-K3414</x:f>
        <x:v>-1</x:v>
      </x:c>
      <x:c r="AC3414" s="32" t="n">
        <x:f>F3414-G3414</x:f>
        <x:v>0</x:v>
      </x:c>
    </x:row>
    <x:row r="3415">
      <x:c r="A3415" s="4" t="str">
        <x:v>2025-26</x:v>
      </x:c>
      <x:c r="B3415" s="20" t="n">
        <x:v>46023</x:v>
      </x:c>
      <x:c r="C3415" s="4" t="str">
        <x:v>Crystal Palace</x:v>
      </x:c>
      <x:c r="D3415" s="4" t="str">
        <x:v>Fulham</x:v>
      </x:c>
      <x:c r="E3415" s="4" t="str">
        <x:v>Home</x:v>
      </x:c>
      <x:c r="F3415" s="28" t="n">
        <x:v>1</x:v>
      </x:c>
      <x:c r="G3415" s="28" t="n">
        <x:v>1</x:v>
      </x:c>
      <x:c r="H3415" s="28" t="n">
        <x:v>11</x:v>
      </x:c>
      <x:c r="I3415" s="28" t="n">
        <x:v>17</x:v>
      </x:c>
      <x:c r="J3415" s="28" t="n">
        <x:v>2</x:v>
      </x:c>
      <x:c r="K3415" s="28" t="n">
        <x:v>5</x:v>
      </x:c>
      <x:c r="L3415" s="28" t="n">
        <x:v>6</x:v>
      </x:c>
      <x:c r="M3415" s="28" t="n">
        <x:v>3</x:v>
      </x:c>
      <x:c r="N3415" s="28" t="n">
        <x:v>0</x:v>
      </x:c>
      <x:c r="O3415" s="28" t="n">
        <x:v>0</x:v>
      </x:c>
      <x:c r="P3415" s="28" t="n">
        <x:v>1</x:v>
      </x:c>
      <x:c r="Q3415" s="24" t="n">
        <x:f>IFERROR(J3415/H3415,0)</x:f>
        <x:v>0.18181818181818182</x:v>
      </x:c>
      <x:c r="R3415" s="24" t="n">
        <x:f>IFERROR(F3415/H3415,0)</x:f>
        <x:v>0.09090909090909091</x:v>
      </x:c>
      <x:c r="S3415" s="24" t="n">
        <x:f>IFERROR(F3415/J3415,0)</x:f>
        <x:v>0.5</x:v>
      </x:c>
      <x:c r="T3415" s="28" t="n">
        <x:f>H3415-I3415</x:f>
        <x:v>-6</x:v>
      </x:c>
      <x:c r="U3415" s="24" t="n">
        <x:f>IFERROR(J3415/H3415,0)-IFERROR(K3415/I3415,0)</x:f>
        <x:v>-0.11229946524064172</x:v>
      </x:c>
      <x:c r="V3415" s="24" t="n">
        <x:f>IFERROR(F3415/J3415,0)-IFERROR(G3415/K3415,0)</x:f>
        <x:v>0.3</x:v>
      </x:c>
      <x:c r="W3415" s="28" t="n">
        <x:f>L3415-M3415</x:f>
        <x:v>3</x:v>
      </x:c>
      <x:c r="X3415" s="24" t="n">
        <x:f>IFERROR(K3415/I3415,0)</x:f>
        <x:v>0.29411764705882354</x:v>
      </x:c>
      <x:c r="Y3415" s="24" t="n">
        <x:f>IFERROR(G3415/I3415,0)</x:f>
        <x:v>0.058823529411764705</x:v>
      </x:c>
      <x:c r="Z3415" s="24" t="n">
        <x:f>IFERROR(G3415/K3415,0)</x:f>
        <x:v>0.2</x:v>
      </x:c>
      <x:c r="AA3415" s="24" t="n">
        <x:f>IFERROR(F3415/H3415,0)-IFERROR(G3415/I3415,0)</x:f>
        <x:v>0.03208556149732621</x:v>
      </x:c>
      <x:c r="AB3415" s="28" t="n">
        <x:f>J3415-K3415</x:f>
        <x:v>-3</x:v>
      </x:c>
      <x:c r="AC3415" s="32" t="n">
        <x:f>F3415-G3415</x:f>
        <x:v>0</x:v>
      </x:c>
    </x:row>
    <x:row r="3416">
      <x:c r="A3416" s="4" t="str">
        <x:v>2025-26</x:v>
      </x:c>
      <x:c r="B3416" s="20" t="n">
        <x:v>46023</x:v>
      </x:c>
      <x:c r="C3416" s="4" t="str">
        <x:v>Fulham</x:v>
      </x:c>
      <x:c r="D3416" s="4" t="str">
        <x:v>Crystal Palace</x:v>
      </x:c>
      <x:c r="E3416" s="4" t="str">
        <x:v>Away</x:v>
      </x:c>
      <x:c r="F3416" s="28" t="n">
        <x:v>1</x:v>
      </x:c>
      <x:c r="G3416" s="28" t="n">
        <x:v>1</x:v>
      </x:c>
      <x:c r="H3416" s="28" t="n">
        <x:v>17</x:v>
      </x:c>
      <x:c r="I3416" s="28" t="n">
        <x:v>11</x:v>
      </x:c>
      <x:c r="J3416" s="28" t="n">
        <x:v>5</x:v>
      </x:c>
      <x:c r="K3416" s="28" t="n">
        <x:v>2</x:v>
      </x:c>
      <x:c r="L3416" s="28" t="n">
        <x:v>3</x:v>
      </x:c>
      <x:c r="M3416" s="28" t="n">
        <x:v>6</x:v>
      </x:c>
      <x:c r="N3416" s="28" t="n">
        <x:v>5</x:v>
      </x:c>
      <x:c r="O3416" s="28" t="n">
        <x:v>0</x:v>
      </x:c>
      <x:c r="P3416" s="28" t="n">
        <x:v>1</x:v>
      </x:c>
      <x:c r="Q3416" s="24" t="n">
        <x:f>IFERROR(J3416/H3416,0)</x:f>
        <x:v>0.29411764705882354</x:v>
      </x:c>
      <x:c r="R3416" s="24" t="n">
        <x:f>IFERROR(F3416/H3416,0)</x:f>
        <x:v>0.058823529411764705</x:v>
      </x:c>
      <x:c r="S3416" s="24" t="n">
        <x:f>IFERROR(F3416/J3416,0)</x:f>
        <x:v>0.2</x:v>
      </x:c>
      <x:c r="T3416" s="28" t="n">
        <x:f>H3416-I3416</x:f>
        <x:v>6</x:v>
      </x:c>
      <x:c r="U3416" s="24" t="n">
        <x:f>IFERROR(J3416/H3416,0)-IFERROR(K3416/I3416,0)</x:f>
        <x:v>0.11229946524064172</x:v>
      </x:c>
      <x:c r="V3416" s="24" t="n">
        <x:f>IFERROR(F3416/J3416,0)-IFERROR(G3416/K3416,0)</x:f>
        <x:v>-0.3</x:v>
      </x:c>
      <x:c r="W3416" s="28" t="n">
        <x:f>L3416-M3416</x:f>
        <x:v>-3</x:v>
      </x:c>
      <x:c r="X3416" s="24" t="n">
        <x:f>IFERROR(K3416/I3416,0)</x:f>
        <x:v>0.18181818181818182</x:v>
      </x:c>
      <x:c r="Y3416" s="24" t="n">
        <x:f>IFERROR(G3416/I3416,0)</x:f>
        <x:v>0.09090909090909091</x:v>
      </x:c>
      <x:c r="Z3416" s="24" t="n">
        <x:f>IFERROR(G3416/K3416,0)</x:f>
        <x:v>0.5</x:v>
      </x:c>
      <x:c r="AA3416" s="24" t="n">
        <x:f>IFERROR(F3416/H3416,0)-IFERROR(G3416/I3416,0)</x:f>
        <x:v>-0.03208556149732621</x:v>
      </x:c>
      <x:c r="AB3416" s="28" t="n">
        <x:f>J3416-K3416</x:f>
        <x:v>3</x:v>
      </x:c>
      <x:c r="AC3416" s="32" t="n">
        <x:f>F3416-G3416</x:f>
        <x:v>0</x:v>
      </x:c>
    </x:row>
    <x:row r="3417">
      <x:c r="A3417" s="4" t="str">
        <x:v>2025-26</x:v>
      </x:c>
      <x:c r="B3417" s="20" t="n">
        <x:v>46023</x:v>
      </x:c>
      <x:c r="C3417" s="4" t="str">
        <x:v>Leeds</x:v>
      </x:c>
      <x:c r="D3417" s="4" t="str">
        <x:v>Liverpool</x:v>
      </x:c>
      <x:c r="E3417" s="4" t="str">
        <x:v>Away</x:v>
      </x:c>
      <x:c r="F3417" s="28" t="n">
        <x:v>0</x:v>
      </x:c>
      <x:c r="G3417" s="28" t="n">
        <x:v>0</x:v>
      </x:c>
      <x:c r="H3417" s="28" t="n">
        <x:v>4</x:v>
      </x:c>
      <x:c r="I3417" s="28" t="n">
        <x:v>19</x:v>
      </x:c>
      <x:c r="J3417" s="28" t="n">
        <x:v>2</x:v>
      </x:c>
      <x:c r="K3417" s="28" t="n">
        <x:v>4</x:v>
      </x:c>
      <x:c r="L3417" s="28" t="n">
        <x:v>3</x:v>
      </x:c>
      <x:c r="M3417" s="28" t="n">
        <x:v>8</x:v>
      </x:c>
      <x:c r="N3417" s="28" t="n">
        <x:v>2</x:v>
      </x:c>
      <x:c r="O3417" s="28" t="n">
        <x:v>0</x:v>
      </x:c>
      <x:c r="P3417" s="28" t="n">
        <x:v>1</x:v>
      </x:c>
      <x:c r="Q3417" s="24" t="n">
        <x:f>IFERROR(J3417/H3417,0)</x:f>
        <x:v>0.5</x:v>
      </x:c>
      <x:c r="R3417" s="24" t="n">
        <x:f>IFERROR(F3417/H3417,0)</x:f>
        <x:v>0</x:v>
      </x:c>
      <x:c r="S3417" s="24" t="n">
        <x:f>IFERROR(F3417/J3417,0)</x:f>
        <x:v>0</x:v>
      </x:c>
      <x:c r="T3417" s="28" t="n">
        <x:f>H3417-I3417</x:f>
        <x:v>-15</x:v>
      </x:c>
      <x:c r="U3417" s="24" t="n">
        <x:f>IFERROR(J3417/H3417,0)-IFERROR(K3417/I3417,0)</x:f>
        <x:v>0.2894736842105263</x:v>
      </x:c>
      <x:c r="V3417" s="24" t="n">
        <x:f>IFERROR(F3417/J3417,0)-IFERROR(G3417/K3417,0)</x:f>
        <x:v>0</x:v>
      </x:c>
      <x:c r="W3417" s="28" t="n">
        <x:f>L3417-M3417</x:f>
        <x:v>-5</x:v>
      </x:c>
      <x:c r="X3417" s="24" t="n">
        <x:f>IFERROR(K3417/I3417,0)</x:f>
        <x:v>0.21052631578947367</x:v>
      </x:c>
      <x:c r="Y3417" s="24" t="n">
        <x:f>IFERROR(G3417/I3417,0)</x:f>
        <x:v>0</x:v>
      </x:c>
      <x:c r="Z3417" s="24" t="n">
        <x:f>IFERROR(G3417/K3417,0)</x:f>
        <x:v>0</x:v>
      </x:c>
      <x:c r="AA3417" s="24" t="n">
        <x:f>IFERROR(F3417/H3417,0)-IFERROR(G3417/I3417,0)</x:f>
        <x:v>0</x:v>
      </x:c>
      <x:c r="AB3417" s="28" t="n">
        <x:f>J3417-K3417</x:f>
        <x:v>-2</x:v>
      </x:c>
      <x:c r="AC3417" s="32" t="n">
        <x:f>F3417-G3417</x:f>
        <x:v>0</x:v>
      </x:c>
    </x:row>
    <x:row r="3418">
      <x:c r="A3418" s="4" t="str">
        <x:v>2025-26</x:v>
      </x:c>
      <x:c r="B3418" s="20" t="n">
        <x:v>46023</x:v>
      </x:c>
      <x:c r="C3418" s="4" t="str">
        <x:v>Liverpool</x:v>
      </x:c>
      <x:c r="D3418" s="4" t="str">
        <x:v>Leeds</x:v>
      </x:c>
      <x:c r="E3418" s="4" t="str">
        <x:v>Home</x:v>
      </x:c>
      <x:c r="F3418" s="28" t="n">
        <x:v>0</x:v>
      </x:c>
      <x:c r="G3418" s="28" t="n">
        <x:v>0</x:v>
      </x:c>
      <x:c r="H3418" s="28" t="n">
        <x:v>19</x:v>
      </x:c>
      <x:c r="I3418" s="28" t="n">
        <x:v>4</x:v>
      </x:c>
      <x:c r="J3418" s="28" t="n">
        <x:v>4</x:v>
      </x:c>
      <x:c r="K3418" s="28" t="n">
        <x:v>2</x:v>
      </x:c>
      <x:c r="L3418" s="28" t="n">
        <x:v>8</x:v>
      </x:c>
      <x:c r="M3418" s="28" t="n">
        <x:v>3</x:v>
      </x:c>
      <x:c r="N3418" s="28" t="n">
        <x:v>0</x:v>
      </x:c>
      <x:c r="O3418" s="28" t="n">
        <x:v>0</x:v>
      </x:c>
      <x:c r="P3418" s="28" t="n">
        <x:v>1</x:v>
      </x:c>
      <x:c r="Q3418" s="24" t="n">
        <x:f>IFERROR(J3418/H3418,0)</x:f>
        <x:v>0.21052631578947367</x:v>
      </x:c>
      <x:c r="R3418" s="24" t="n">
        <x:f>IFERROR(F3418/H3418,0)</x:f>
        <x:v>0</x:v>
      </x:c>
      <x:c r="S3418" s="24" t="n">
        <x:f>IFERROR(F3418/J3418,0)</x:f>
        <x:v>0</x:v>
      </x:c>
      <x:c r="T3418" s="28" t="n">
        <x:f>H3418-I3418</x:f>
        <x:v>15</x:v>
      </x:c>
      <x:c r="U3418" s="24" t="n">
        <x:f>IFERROR(J3418/H3418,0)-IFERROR(K3418/I3418,0)</x:f>
        <x:v>-0.2894736842105263</x:v>
      </x:c>
      <x:c r="V3418" s="24" t="n">
        <x:f>IFERROR(F3418/J3418,0)-IFERROR(G3418/K3418,0)</x:f>
        <x:v>0</x:v>
      </x:c>
      <x:c r="W3418" s="28" t="n">
        <x:f>L3418-M3418</x:f>
        <x:v>5</x:v>
      </x:c>
      <x:c r="X3418" s="24" t="n">
        <x:f>IFERROR(K3418/I3418,0)</x:f>
        <x:v>0.5</x:v>
      </x:c>
      <x:c r="Y3418" s="24" t="n">
        <x:f>IFERROR(G3418/I3418,0)</x:f>
        <x:v>0</x:v>
      </x:c>
      <x:c r="Z3418" s="24" t="n">
        <x:f>IFERROR(G3418/K3418,0)</x:f>
        <x:v>0</x:v>
      </x:c>
      <x:c r="AA3418" s="24" t="n">
        <x:f>IFERROR(F3418/H3418,0)-IFERROR(G3418/I3418,0)</x:f>
        <x:v>0</x:v>
      </x:c>
      <x:c r="AB3418" s="28" t="n">
        <x:f>J3418-K3418</x:f>
        <x:v>2</x:v>
      </x:c>
      <x:c r="AC3418" s="32" t="n">
        <x:f>F3418-G3418</x:f>
        <x:v>0</x:v>
      </x:c>
    </x:row>
    <x:row r="3419">
      <x:c r="A3419" s="4" t="str">
        <x:v>2025-26</x:v>
      </x:c>
      <x:c r="B3419" s="20" t="n">
        <x:v>46023</x:v>
      </x:c>
      <x:c r="C3419" s="4" t="str">
        <x:v>Man City</x:v>
      </x:c>
      <x:c r="D3419" s="4" t="str">
        <x:v>Sunderland</x:v>
      </x:c>
      <x:c r="E3419" s="4" t="str">
        <x:v>Away</x:v>
      </x:c>
      <x:c r="F3419" s="28" t="n">
        <x:v>0</x:v>
      </x:c>
      <x:c r="G3419" s="28" t="n">
        <x:v>0</x:v>
      </x:c>
      <x:c r="H3419" s="28" t="n">
        <x:v>14</x:v>
      </x:c>
      <x:c r="I3419" s="28" t="n">
        <x:v>10</x:v>
      </x:c>
      <x:c r="J3419" s="28" t="n">
        <x:v>4</x:v>
      </x:c>
      <x:c r="K3419" s="28" t="n">
        <x:v>4</x:v>
      </x:c>
      <x:c r="L3419" s="28" t="n">
        <x:v>5</x:v>
      </x:c>
      <x:c r="M3419" s="28" t="n">
        <x:v>3</x:v>
      </x:c>
      <x:c r="N3419" s="28" t="n">
        <x:v>1</x:v>
      </x:c>
      <x:c r="O3419" s="28" t="n">
        <x:v>0</x:v>
      </x:c>
      <x:c r="P3419" s="28" t="n">
        <x:v>1</x:v>
      </x:c>
      <x:c r="Q3419" s="24" t="n">
        <x:f>IFERROR(J3419/H3419,0)</x:f>
        <x:v>0.2857142857142857</x:v>
      </x:c>
      <x:c r="R3419" s="24" t="n">
        <x:f>IFERROR(F3419/H3419,0)</x:f>
        <x:v>0</x:v>
      </x:c>
      <x:c r="S3419" s="24" t="n">
        <x:f>IFERROR(F3419/J3419,0)</x:f>
        <x:v>0</x:v>
      </x:c>
      <x:c r="T3419" s="28" t="n">
        <x:f>H3419-I3419</x:f>
        <x:v>4</x:v>
      </x:c>
      <x:c r="U3419" s="24" t="n">
        <x:f>IFERROR(J3419/H3419,0)-IFERROR(K3419/I3419,0)</x:f>
        <x:v>-0.11428571428571432</x:v>
      </x:c>
      <x:c r="V3419" s="24" t="n">
        <x:f>IFERROR(F3419/J3419,0)-IFERROR(G3419/K3419,0)</x:f>
        <x:v>0</x:v>
      </x:c>
      <x:c r="W3419" s="28" t="n">
        <x:f>L3419-M3419</x:f>
        <x:v>2</x:v>
      </x:c>
      <x:c r="X3419" s="24" t="n">
        <x:f>IFERROR(K3419/I3419,0)</x:f>
        <x:v>0.4</x:v>
      </x:c>
      <x:c r="Y3419" s="24" t="n">
        <x:f>IFERROR(G3419/I3419,0)</x:f>
        <x:v>0</x:v>
      </x:c>
      <x:c r="Z3419" s="24" t="n">
        <x:f>IFERROR(G3419/K3419,0)</x:f>
        <x:v>0</x:v>
      </x:c>
      <x:c r="AA3419" s="24" t="n">
        <x:f>IFERROR(F3419/H3419,0)-IFERROR(G3419/I3419,0)</x:f>
        <x:v>0</x:v>
      </x:c>
      <x:c r="AB3419" s="28" t="n">
        <x:f>J3419-K3419</x:f>
        <x:v>0</x:v>
      </x:c>
      <x:c r="AC3419" s="32" t="n">
        <x:f>F3419-G3419</x:f>
        <x:v>0</x:v>
      </x:c>
    </x:row>
    <x:row r="3420">
      <x:c r="A3420" s="4" t="str">
        <x:v>2025-26</x:v>
      </x:c>
      <x:c r="B3420" s="20" t="n">
        <x:v>46023</x:v>
      </x:c>
      <x:c r="C3420" s="4" t="str">
        <x:v>Sunderland</x:v>
      </x:c>
      <x:c r="D3420" s="4" t="str">
        <x:v>Man City</x:v>
      </x:c>
      <x:c r="E3420" s="4" t="str">
        <x:v>Home</x:v>
      </x:c>
      <x:c r="F3420" s="28" t="n">
        <x:v>0</x:v>
      </x:c>
      <x:c r="G3420" s="28" t="n">
        <x:v>0</x:v>
      </x:c>
      <x:c r="H3420" s="28" t="n">
        <x:v>10</x:v>
      </x:c>
      <x:c r="I3420" s="28" t="n">
        <x:v>14</x:v>
      </x:c>
      <x:c r="J3420" s="28" t="n">
        <x:v>4</x:v>
      </x:c>
      <x:c r="K3420" s="28" t="n">
        <x:v>4</x:v>
      </x:c>
      <x:c r="L3420" s="28" t="n">
        <x:v>3</x:v>
      </x:c>
      <x:c r="M3420" s="28" t="n">
        <x:v>5</x:v>
      </x:c>
      <x:c r="N3420" s="28" t="n">
        <x:v>1</x:v>
      </x:c>
      <x:c r="O3420" s="28" t="n">
        <x:v>0</x:v>
      </x:c>
      <x:c r="P3420" s="28" t="n">
        <x:v>1</x:v>
      </x:c>
      <x:c r="Q3420" s="24" t="n">
        <x:f>IFERROR(J3420/H3420,0)</x:f>
        <x:v>0.4</x:v>
      </x:c>
      <x:c r="R3420" s="24" t="n">
        <x:f>IFERROR(F3420/H3420,0)</x:f>
        <x:v>0</x:v>
      </x:c>
      <x:c r="S3420" s="24" t="n">
        <x:f>IFERROR(F3420/J3420,0)</x:f>
        <x:v>0</x:v>
      </x:c>
      <x:c r="T3420" s="28" t="n">
        <x:f>H3420-I3420</x:f>
        <x:v>-4</x:v>
      </x:c>
      <x:c r="U3420" s="24" t="n">
        <x:f>IFERROR(J3420/H3420,0)-IFERROR(K3420/I3420,0)</x:f>
        <x:v>0.11428571428571432</x:v>
      </x:c>
      <x:c r="V3420" s="24" t="n">
        <x:f>IFERROR(F3420/J3420,0)-IFERROR(G3420/K3420,0)</x:f>
        <x:v>0</x:v>
      </x:c>
      <x:c r="W3420" s="28" t="n">
        <x:f>L3420-M3420</x:f>
        <x:v>-2</x:v>
      </x:c>
      <x:c r="X3420" s="24" t="n">
        <x:f>IFERROR(K3420/I3420,0)</x:f>
        <x:v>0.2857142857142857</x:v>
      </x:c>
      <x:c r="Y3420" s="24" t="n">
        <x:f>IFERROR(G3420/I3420,0)</x:f>
        <x:v>0</x:v>
      </x:c>
      <x:c r="Z3420" s="24" t="n">
        <x:f>IFERROR(G3420/K3420,0)</x:f>
        <x:v>0</x:v>
      </x:c>
      <x:c r="AA3420" s="24" t="n">
        <x:f>IFERROR(F3420/H3420,0)-IFERROR(G3420/I3420,0)</x:f>
        <x:v>0</x:v>
      </x:c>
      <x:c r="AB3420" s="28" t="n">
        <x:f>J3420-K3420</x:f>
        <x:v>0</x:v>
      </x:c>
      <x:c r="AC3420" s="32" t="n">
        <x:f>F3420-G3420</x:f>
        <x:v>0</x:v>
      </x:c>
    </x:row>
    <x:row r="3421">
      <x:c r="A3421" s="4" t="str">
        <x:v>2025-26</x:v>
      </x:c>
      <x:c r="B3421" s="20" t="n">
        <x:v>46023</x:v>
      </x:c>
      <x:c r="C3421" s="4" t="str">
        <x:v>Tottenham</x:v>
      </x:c>
      <x:c r="D3421" s="4" t="str">
        <x:v>Brentford</x:v>
      </x:c>
      <x:c r="E3421" s="4" t="str">
        <x:v>Away</x:v>
      </x:c>
      <x:c r="F3421" s="28" t="n">
        <x:v>0</x:v>
      </x:c>
      <x:c r="G3421" s="28" t="n">
        <x:v>0</x:v>
      </x:c>
      <x:c r="H3421" s="28" t="n">
        <x:v>9</x:v>
      </x:c>
      <x:c r="I3421" s="28" t="n">
        <x:v>7</x:v>
      </x:c>
      <x:c r="J3421" s="28" t="n">
        <x:v>3</x:v>
      </x:c>
      <x:c r="K3421" s="28" t="n">
        <x:v>2</x:v>
      </x:c>
      <x:c r="L3421" s="28" t="n">
        <x:v>1</x:v>
      </x:c>
      <x:c r="M3421" s="28" t="n">
        <x:v>3</x:v>
      </x:c>
      <x:c r="N3421" s="28" t="n">
        <x:v>2</x:v>
      </x:c>
      <x:c r="O3421" s="28" t="n">
        <x:v>0</x:v>
      </x:c>
      <x:c r="P3421" s="28" t="n">
        <x:v>1</x:v>
      </x:c>
      <x:c r="Q3421" s="24" t="n">
        <x:f>IFERROR(J3421/H3421,0)</x:f>
        <x:v>0.3333333333333333</x:v>
      </x:c>
      <x:c r="R3421" s="24" t="n">
        <x:f>IFERROR(F3421/H3421,0)</x:f>
        <x:v>0</x:v>
      </x:c>
      <x:c r="S3421" s="24" t="n">
        <x:f>IFERROR(F3421/J3421,0)</x:f>
        <x:v>0</x:v>
      </x:c>
      <x:c r="T3421" s="28" t="n">
        <x:f>H3421-I3421</x:f>
        <x:v>2</x:v>
      </x:c>
      <x:c r="U3421" s="24" t="n">
        <x:f>IFERROR(J3421/H3421,0)-IFERROR(K3421/I3421,0)</x:f>
        <x:v>0.047619047619047616</x:v>
      </x:c>
      <x:c r="V3421" s="24" t="n">
        <x:f>IFERROR(F3421/J3421,0)-IFERROR(G3421/K3421,0)</x:f>
        <x:v>0</x:v>
      </x:c>
      <x:c r="W3421" s="28" t="n">
        <x:f>L3421-M3421</x:f>
        <x:v>-2</x:v>
      </x:c>
      <x:c r="X3421" s="24" t="n">
        <x:f>IFERROR(K3421/I3421,0)</x:f>
        <x:v>0.2857142857142857</x:v>
      </x:c>
      <x:c r="Y3421" s="24" t="n">
        <x:f>IFERROR(G3421/I3421,0)</x:f>
        <x:v>0</x:v>
      </x:c>
      <x:c r="Z3421" s="24" t="n">
        <x:f>IFERROR(G3421/K3421,0)</x:f>
        <x:v>0</x:v>
      </x:c>
      <x:c r="AA3421" s="24" t="n">
        <x:f>IFERROR(F3421/H3421,0)-IFERROR(G3421/I3421,0)</x:f>
        <x:v>0</x:v>
      </x:c>
      <x:c r="AB3421" s="28" t="n">
        <x:f>J3421-K3421</x:f>
        <x:v>1</x:v>
      </x:c>
      <x:c r="AC3421" s="32" t="n">
        <x:f>F3421-G3421</x:f>
        <x:v>0</x:v>
      </x:c>
    </x:row>
    <x:row r="3422">
      <x:c r="A3422" s="4" t="str">
        <x:v>2025-26</x:v>
      </x:c>
      <x:c r="B3422" s="20" t="n">
        <x:v>46025</x:v>
      </x:c>
      <x:c r="C3422" s="4" t="str">
        <x:v>Arsenal</x:v>
      </x:c>
      <x:c r="D3422" s="4" t="str">
        <x:v>Bournemouth</x:v>
      </x:c>
      <x:c r="E3422" s="4" t="str">
        <x:v>Away</x:v>
      </x:c>
      <x:c r="F3422" s="28" t="n">
        <x:v>3</x:v>
      </x:c>
      <x:c r="G3422" s="28" t="n">
        <x:v>2</x:v>
      </x:c>
      <x:c r="H3422" s="28" t="n">
        <x:v>12</x:v>
      </x:c>
      <x:c r="I3422" s="28" t="n">
        <x:v>15</x:v>
      </x:c>
      <x:c r="J3422" s="28" t="n">
        <x:v>5</x:v>
      </x:c>
      <x:c r="K3422" s="28" t="n">
        <x:v>3</x:v>
      </x:c>
      <x:c r="L3422" s="28" t="n">
        <x:v>5</x:v>
      </x:c>
      <x:c r="M3422" s="28" t="n">
        <x:v>7</x:v>
      </x:c>
      <x:c r="N3422" s="28" t="n">
        <x:v>1</x:v>
      </x:c>
      <x:c r="O3422" s="28" t="n">
        <x:v>0</x:v>
      </x:c>
      <x:c r="P3422" s="28" t="n">
        <x:v>3</x:v>
      </x:c>
      <x:c r="Q3422" s="24" t="n">
        <x:f>IFERROR(J3422/H3422,0)</x:f>
        <x:v>0.4166666666666667</x:v>
      </x:c>
      <x:c r="R3422" s="24" t="n">
        <x:f>IFERROR(F3422/H3422,0)</x:f>
        <x:v>0.25</x:v>
      </x:c>
      <x:c r="S3422" s="24" t="n">
        <x:f>IFERROR(F3422/J3422,0)</x:f>
        <x:v>0.6</x:v>
      </x:c>
      <x:c r="T3422" s="28" t="n">
        <x:f>H3422-I3422</x:f>
        <x:v>-3</x:v>
      </x:c>
      <x:c r="U3422" s="24" t="n">
        <x:f>IFERROR(J3422/H3422,0)-IFERROR(K3422/I3422,0)</x:f>
        <x:v>0.21666666666666667</x:v>
      </x:c>
      <x:c r="V3422" s="24" t="n">
        <x:f>IFERROR(F3422/J3422,0)-IFERROR(G3422/K3422,0)</x:f>
        <x:v>-0.06666666666666665</x:v>
      </x:c>
      <x:c r="W3422" s="28" t="n">
        <x:f>L3422-M3422</x:f>
        <x:v>-2</x:v>
      </x:c>
      <x:c r="X3422" s="24" t="n">
        <x:f>IFERROR(K3422/I3422,0)</x:f>
        <x:v>0.2</x:v>
      </x:c>
      <x:c r="Y3422" s="24" t="n">
        <x:f>IFERROR(G3422/I3422,0)</x:f>
        <x:v>0.13333333333333333</x:v>
      </x:c>
      <x:c r="Z3422" s="24" t="n">
        <x:f>IFERROR(G3422/K3422,0)</x:f>
        <x:v>0.6666666666666666</x:v>
      </x:c>
      <x:c r="AA3422" s="24" t="n">
        <x:f>IFERROR(F3422/H3422,0)-IFERROR(G3422/I3422,0)</x:f>
        <x:v>0.11666666666666667</x:v>
      </x:c>
      <x:c r="AB3422" s="28" t="n">
        <x:f>J3422-K3422</x:f>
        <x:v>2</x:v>
      </x:c>
      <x:c r="AC3422" s="32" t="n">
        <x:f>F3422-G3422</x:f>
        <x:v>1</x:v>
      </x:c>
    </x:row>
    <x:row r="3423">
      <x:c r="A3423" s="4" t="str">
        <x:v>2025-26</x:v>
      </x:c>
      <x:c r="B3423" s="20" t="n">
        <x:v>46025</x:v>
      </x:c>
      <x:c r="C3423" s="4" t="str">
        <x:v>Aston Villa</x:v>
      </x:c>
      <x:c r="D3423" s="4" t="str">
        <x:v>Nott'm Forest</x:v>
      </x:c>
      <x:c r="E3423" s="4" t="str">
        <x:v>Home</x:v>
      </x:c>
      <x:c r="F3423" s="28" t="n">
        <x:v>3</x:v>
      </x:c>
      <x:c r="G3423" s="28" t="n">
        <x:v>1</x:v>
      </x:c>
      <x:c r="H3423" s="28" t="n">
        <x:v>11</x:v>
      </x:c>
      <x:c r="I3423" s="28" t="n">
        <x:v>10</x:v>
      </x:c>
      <x:c r="J3423" s="28" t="n">
        <x:v>4</x:v>
      </x:c>
      <x:c r="K3423" s="28" t="n">
        <x:v>5</x:v>
      </x:c>
      <x:c r="L3423" s="28" t="n">
        <x:v>4</x:v>
      </x:c>
      <x:c r="M3423" s="28" t="n">
        <x:v>4</x:v>
      </x:c>
      <x:c r="N3423" s="28" t="n">
        <x:v>1</x:v>
      </x:c>
      <x:c r="O3423" s="28" t="n">
        <x:v>0</x:v>
      </x:c>
      <x:c r="P3423" s="28" t="n">
        <x:v>3</x:v>
      </x:c>
      <x:c r="Q3423" s="24" t="n">
        <x:f>IFERROR(J3423/H3423,0)</x:f>
        <x:v>0.36363636363636365</x:v>
      </x:c>
      <x:c r="R3423" s="24" t="n">
        <x:f>IFERROR(F3423/H3423,0)</x:f>
        <x:v>0.2727272727272727</x:v>
      </x:c>
      <x:c r="S3423" s="24" t="n">
        <x:f>IFERROR(F3423/J3423,0)</x:f>
        <x:v>0.75</x:v>
      </x:c>
      <x:c r="T3423" s="28" t="n">
        <x:f>H3423-I3423</x:f>
        <x:v>1</x:v>
      </x:c>
      <x:c r="U3423" s="24" t="n">
        <x:f>IFERROR(J3423/H3423,0)-IFERROR(K3423/I3423,0)</x:f>
        <x:v>-0.13636363636363635</x:v>
      </x:c>
      <x:c r="V3423" s="24" t="n">
        <x:f>IFERROR(F3423/J3423,0)-IFERROR(G3423/K3423,0)</x:f>
        <x:v>0.55</x:v>
      </x:c>
      <x:c r="W3423" s="28" t="n">
        <x:f>L3423-M3423</x:f>
        <x:v>0</x:v>
      </x:c>
      <x:c r="X3423" s="24" t="n">
        <x:f>IFERROR(K3423/I3423,0)</x:f>
        <x:v>0.5</x:v>
      </x:c>
      <x:c r="Y3423" s="24" t="n">
        <x:f>IFERROR(G3423/I3423,0)</x:f>
        <x:v>0.1</x:v>
      </x:c>
      <x:c r="Z3423" s="24" t="n">
        <x:f>IFERROR(G3423/K3423,0)</x:f>
        <x:v>0.2</x:v>
      </x:c>
      <x:c r="AA3423" s="24" t="n">
        <x:f>IFERROR(F3423/H3423,0)-IFERROR(G3423/I3423,0)</x:f>
        <x:v>0.1727272727272727</x:v>
      </x:c>
      <x:c r="AB3423" s="28" t="n">
        <x:f>J3423-K3423</x:f>
        <x:v>-1</x:v>
      </x:c>
      <x:c r="AC3423" s="32" t="n">
        <x:f>F3423-G3423</x:f>
        <x:v>2</x:v>
      </x:c>
    </x:row>
    <x:row r="3424">
      <x:c r="A3424" s="4" t="str">
        <x:v>2025-26</x:v>
      </x:c>
      <x:c r="B3424" s="20" t="n">
        <x:v>46025</x:v>
      </x:c>
      <x:c r="C3424" s="4" t="str">
        <x:v>Bournemouth</x:v>
      </x:c>
      <x:c r="D3424" s="4" t="str">
        <x:v>Arsenal</x:v>
      </x:c>
      <x:c r="E3424" s="4" t="str">
        <x:v>Home</x:v>
      </x:c>
      <x:c r="F3424" s="28" t="n">
        <x:v>2</x:v>
      </x:c>
      <x:c r="G3424" s="28" t="n">
        <x:v>3</x:v>
      </x:c>
      <x:c r="H3424" s="28" t="n">
        <x:v>15</x:v>
      </x:c>
      <x:c r="I3424" s="28" t="n">
        <x:v>12</x:v>
      </x:c>
      <x:c r="J3424" s="28" t="n">
        <x:v>3</x:v>
      </x:c>
      <x:c r="K3424" s="28" t="n">
        <x:v>5</x:v>
      </x:c>
      <x:c r="L3424" s="28" t="n">
        <x:v>7</x:v>
      </x:c>
      <x:c r="M3424" s="28" t="n">
        <x:v>5</x:v>
      </x:c>
      <x:c r="N3424" s="28" t="n">
        <x:v>3</x:v>
      </x:c>
      <x:c r="O3424" s="28" t="n">
        <x:v>0</x:v>
      </x:c>
      <x:c r="P3424" s="28" t="n">
        <x:v>0</x:v>
      </x:c>
      <x:c r="Q3424" s="24" t="n">
        <x:f>IFERROR(J3424/H3424,0)</x:f>
        <x:v>0.2</x:v>
      </x:c>
      <x:c r="R3424" s="24" t="n">
        <x:f>IFERROR(F3424/H3424,0)</x:f>
        <x:v>0.13333333333333333</x:v>
      </x:c>
      <x:c r="S3424" s="24" t="n">
        <x:f>IFERROR(F3424/J3424,0)</x:f>
        <x:v>0.6666666666666666</x:v>
      </x:c>
      <x:c r="T3424" s="28" t="n">
        <x:f>H3424-I3424</x:f>
        <x:v>3</x:v>
      </x:c>
      <x:c r="U3424" s="24" t="n">
        <x:f>IFERROR(J3424/H3424,0)-IFERROR(K3424/I3424,0)</x:f>
        <x:v>-0.21666666666666667</x:v>
      </x:c>
      <x:c r="V3424" s="24" t="n">
        <x:f>IFERROR(F3424/J3424,0)-IFERROR(G3424/K3424,0)</x:f>
        <x:v>0.06666666666666665</x:v>
      </x:c>
      <x:c r="W3424" s="28" t="n">
        <x:f>L3424-M3424</x:f>
        <x:v>2</x:v>
      </x:c>
      <x:c r="X3424" s="24" t="n">
        <x:f>IFERROR(K3424/I3424,0)</x:f>
        <x:v>0.4166666666666667</x:v>
      </x:c>
      <x:c r="Y3424" s="24" t="n">
        <x:f>IFERROR(G3424/I3424,0)</x:f>
        <x:v>0.25</x:v>
      </x:c>
      <x:c r="Z3424" s="24" t="n">
        <x:f>IFERROR(G3424/K3424,0)</x:f>
        <x:v>0.6</x:v>
      </x:c>
      <x:c r="AA3424" s="24" t="n">
        <x:f>IFERROR(F3424/H3424,0)-IFERROR(G3424/I3424,0)</x:f>
        <x:v>-0.11666666666666667</x:v>
      </x:c>
      <x:c r="AB3424" s="28" t="n">
        <x:f>J3424-K3424</x:f>
        <x:v>-2</x:v>
      </x:c>
      <x:c r="AC3424" s="32" t="n">
        <x:f>F3424-G3424</x:f>
        <x:v>-1</x:v>
      </x:c>
    </x:row>
    <x:row r="3425">
      <x:c r="A3425" s="4" t="str">
        <x:v>2025-26</x:v>
      </x:c>
      <x:c r="B3425" s="20" t="n">
        <x:v>46025</x:v>
      </x:c>
      <x:c r="C3425" s="4" t="str">
        <x:v>Brighton</x:v>
      </x:c>
      <x:c r="D3425" s="4" t="str">
        <x:v>Burnley</x:v>
      </x:c>
      <x:c r="E3425" s="4" t="str">
        <x:v>Home</x:v>
      </x:c>
      <x:c r="F3425" s="28" t="n">
        <x:v>2</x:v>
      </x:c>
      <x:c r="G3425" s="28" t="n">
        <x:v>0</x:v>
      </x:c>
      <x:c r="H3425" s="28" t="n">
        <x:v>15</x:v>
      </x:c>
      <x:c r="I3425" s="28" t="n">
        <x:v>5</x:v>
      </x:c>
      <x:c r="J3425" s="28" t="n">
        <x:v>4</x:v>
      </x:c>
      <x:c r="K3425" s="28" t="n">
        <x:v>3</x:v>
      </x:c>
      <x:c r="L3425" s="28" t="n">
        <x:v>4</x:v>
      </x:c>
      <x:c r="M3425" s="28" t="n">
        <x:v>4</x:v>
      </x:c>
      <x:c r="N3425" s="28" t="n">
        <x:v>0</x:v>
      </x:c>
      <x:c r="O3425" s="28" t="n">
        <x:v>0</x:v>
      </x:c>
      <x:c r="P3425" s="28" t="n">
        <x:v>3</x:v>
      </x:c>
      <x:c r="Q3425" s="24" t="n">
        <x:f>IFERROR(J3425/H3425,0)</x:f>
        <x:v>0.26666666666666666</x:v>
      </x:c>
      <x:c r="R3425" s="24" t="n">
        <x:f>IFERROR(F3425/H3425,0)</x:f>
        <x:v>0.13333333333333333</x:v>
      </x:c>
      <x:c r="S3425" s="24" t="n">
        <x:f>IFERROR(F3425/J3425,0)</x:f>
        <x:v>0.5</x:v>
      </x:c>
      <x:c r="T3425" s="28" t="n">
        <x:f>H3425-I3425</x:f>
        <x:v>10</x:v>
      </x:c>
      <x:c r="U3425" s="24" t="n">
        <x:f>IFERROR(J3425/H3425,0)-IFERROR(K3425/I3425,0)</x:f>
        <x:v>-0.3333333333333333</x:v>
      </x:c>
      <x:c r="V3425" s="24" t="n">
        <x:f>IFERROR(F3425/J3425,0)-IFERROR(G3425/K3425,0)</x:f>
        <x:v>0.5</x:v>
      </x:c>
      <x:c r="W3425" s="28" t="n">
        <x:f>L3425-M3425</x:f>
        <x:v>0</x:v>
      </x:c>
      <x:c r="X3425" s="24" t="n">
        <x:f>IFERROR(K3425/I3425,0)</x:f>
        <x:v>0.6</x:v>
      </x:c>
      <x:c r="Y3425" s="24" t="n">
        <x:f>IFERROR(G3425/I3425,0)</x:f>
        <x:v>0</x:v>
      </x:c>
      <x:c r="Z3425" s="24" t="n">
        <x:f>IFERROR(G3425/K3425,0)</x:f>
        <x:v>0</x:v>
      </x:c>
      <x:c r="AA3425" s="24" t="n">
        <x:f>IFERROR(F3425/H3425,0)-IFERROR(G3425/I3425,0)</x:f>
        <x:v>0.13333333333333333</x:v>
      </x:c>
      <x:c r="AB3425" s="28" t="n">
        <x:f>J3425-K3425</x:f>
        <x:v>1</x:v>
      </x:c>
      <x:c r="AC3425" s="32" t="n">
        <x:f>F3425-G3425</x:f>
        <x:v>2</x:v>
      </x:c>
    </x:row>
    <x:row r="3426">
      <x:c r="A3426" s="4" t="str">
        <x:v>2025-26</x:v>
      </x:c>
      <x:c r="B3426" s="20" t="n">
        <x:v>46025</x:v>
      </x:c>
      <x:c r="C3426" s="4" t="str">
        <x:v>Burnley</x:v>
      </x:c>
      <x:c r="D3426" s="4" t="str">
        <x:v>Brighton</x:v>
      </x:c>
      <x:c r="E3426" s="4" t="str">
        <x:v>Away</x:v>
      </x:c>
      <x:c r="F3426" s="28" t="n">
        <x:v>0</x:v>
      </x:c>
      <x:c r="G3426" s="28" t="n">
        <x:v>2</x:v>
      </x:c>
      <x:c r="H3426" s="28" t="n">
        <x:v>5</x:v>
      </x:c>
      <x:c r="I3426" s="28" t="n">
        <x:v>15</x:v>
      </x:c>
      <x:c r="J3426" s="28" t="n">
        <x:v>3</x:v>
      </x:c>
      <x:c r="K3426" s="28" t="n">
        <x:v>4</x:v>
      </x:c>
      <x:c r="L3426" s="28" t="n">
        <x:v>4</x:v>
      </x:c>
      <x:c r="M3426" s="28" t="n">
        <x:v>4</x:v>
      </x:c>
      <x:c r="N3426" s="28" t="n">
        <x:v>4</x:v>
      </x:c>
      <x:c r="O3426" s="28" t="n">
        <x:v>0</x:v>
      </x:c>
      <x:c r="P3426" s="28" t="n">
        <x:v>0</x:v>
      </x:c>
      <x:c r="Q3426" s="24" t="n">
        <x:f>IFERROR(J3426/H3426,0)</x:f>
        <x:v>0.6</x:v>
      </x:c>
      <x:c r="R3426" s="24" t="n">
        <x:f>IFERROR(F3426/H3426,0)</x:f>
        <x:v>0</x:v>
      </x:c>
      <x:c r="S3426" s="24" t="n">
        <x:f>IFERROR(F3426/J3426,0)</x:f>
        <x:v>0</x:v>
      </x:c>
      <x:c r="T3426" s="28" t="n">
        <x:f>H3426-I3426</x:f>
        <x:v>-10</x:v>
      </x:c>
      <x:c r="U3426" s="24" t="n">
        <x:f>IFERROR(J3426/H3426,0)-IFERROR(K3426/I3426,0)</x:f>
        <x:v>0.3333333333333333</x:v>
      </x:c>
      <x:c r="V3426" s="24" t="n">
        <x:f>IFERROR(F3426/J3426,0)-IFERROR(G3426/K3426,0)</x:f>
        <x:v>-0.5</x:v>
      </x:c>
      <x:c r="W3426" s="28" t="n">
        <x:f>L3426-M3426</x:f>
        <x:v>0</x:v>
      </x:c>
      <x:c r="X3426" s="24" t="n">
        <x:f>IFERROR(K3426/I3426,0)</x:f>
        <x:v>0.26666666666666666</x:v>
      </x:c>
      <x:c r="Y3426" s="24" t="n">
        <x:f>IFERROR(G3426/I3426,0)</x:f>
        <x:v>0.13333333333333333</x:v>
      </x:c>
      <x:c r="Z3426" s="24" t="n">
        <x:f>IFERROR(G3426/K3426,0)</x:f>
        <x:v>0.5</x:v>
      </x:c>
      <x:c r="AA3426" s="24" t="n">
        <x:f>IFERROR(F3426/H3426,0)-IFERROR(G3426/I3426,0)</x:f>
        <x:v>-0.13333333333333333</x:v>
      </x:c>
      <x:c r="AB3426" s="28" t="n">
        <x:f>J3426-K3426</x:f>
        <x:v>-1</x:v>
      </x:c>
      <x:c r="AC3426" s="32" t="n">
        <x:f>F3426-G3426</x:f>
        <x:v>-2</x:v>
      </x:c>
    </x:row>
    <x:row r="3427">
      <x:c r="A3427" s="4" t="str">
        <x:v>2025-26</x:v>
      </x:c>
      <x:c r="B3427" s="20" t="n">
        <x:v>46025</x:v>
      </x:c>
      <x:c r="C3427" s="4" t="str">
        <x:v>Nott'm Forest</x:v>
      </x:c>
      <x:c r="D3427" s="4" t="str">
        <x:v>Aston Villa</x:v>
      </x:c>
      <x:c r="E3427" s="4" t="str">
        <x:v>Away</x:v>
      </x:c>
      <x:c r="F3427" s="28" t="n">
        <x:v>1</x:v>
      </x:c>
      <x:c r="G3427" s="28" t="n">
        <x:v>3</x:v>
      </x:c>
      <x:c r="H3427" s="28" t="n">
        <x:v>10</x:v>
      </x:c>
      <x:c r="I3427" s="28" t="n">
        <x:v>11</x:v>
      </x:c>
      <x:c r="J3427" s="28" t="n">
        <x:v>5</x:v>
      </x:c>
      <x:c r="K3427" s="28" t="n">
        <x:v>4</x:v>
      </x:c>
      <x:c r="L3427" s="28" t="n">
        <x:v>4</x:v>
      </x:c>
      <x:c r="M3427" s="28" t="n">
        <x:v>4</x:v>
      </x:c>
      <x:c r="N3427" s="28" t="n">
        <x:v>2</x:v>
      </x:c>
      <x:c r="O3427" s="28" t="n">
        <x:v>0</x:v>
      </x:c>
      <x:c r="P3427" s="28" t="n">
        <x:v>0</x:v>
      </x:c>
      <x:c r="Q3427" s="24" t="n">
        <x:f>IFERROR(J3427/H3427,0)</x:f>
        <x:v>0.5</x:v>
      </x:c>
      <x:c r="R3427" s="24" t="n">
        <x:f>IFERROR(F3427/H3427,0)</x:f>
        <x:v>0.1</x:v>
      </x:c>
      <x:c r="S3427" s="24" t="n">
        <x:f>IFERROR(F3427/J3427,0)</x:f>
        <x:v>0.2</x:v>
      </x:c>
      <x:c r="T3427" s="28" t="n">
        <x:f>H3427-I3427</x:f>
        <x:v>-1</x:v>
      </x:c>
      <x:c r="U3427" s="24" t="n">
        <x:f>IFERROR(J3427/H3427,0)-IFERROR(K3427/I3427,0)</x:f>
        <x:v>0.13636363636363635</x:v>
      </x:c>
      <x:c r="V3427" s="24" t="n">
        <x:f>IFERROR(F3427/J3427,0)-IFERROR(G3427/K3427,0)</x:f>
        <x:v>-0.55</x:v>
      </x:c>
      <x:c r="W3427" s="28" t="n">
        <x:f>L3427-M3427</x:f>
        <x:v>0</x:v>
      </x:c>
      <x:c r="X3427" s="24" t="n">
        <x:f>IFERROR(K3427/I3427,0)</x:f>
        <x:v>0.36363636363636365</x:v>
      </x:c>
      <x:c r="Y3427" s="24" t="n">
        <x:f>IFERROR(G3427/I3427,0)</x:f>
        <x:v>0.2727272727272727</x:v>
      </x:c>
      <x:c r="Z3427" s="24" t="n">
        <x:f>IFERROR(G3427/K3427,0)</x:f>
        <x:v>0.75</x:v>
      </x:c>
      <x:c r="AA3427" s="24" t="n">
        <x:f>IFERROR(F3427/H3427,0)-IFERROR(G3427/I3427,0)</x:f>
        <x:v>-0.1727272727272727</x:v>
      </x:c>
      <x:c r="AB3427" s="28" t="n">
        <x:f>J3427-K3427</x:f>
        <x:v>1</x:v>
      </x:c>
      <x:c r="AC3427" s="32" t="n">
        <x:f>F3427-G3427</x:f>
        <x:v>-2</x:v>
      </x:c>
    </x:row>
    <x:row r="3428">
      <x:c r="A3428" s="4" t="str">
        <x:v>2025-26</x:v>
      </x:c>
      <x:c r="B3428" s="20" t="n">
        <x:v>46025</x:v>
      </x:c>
      <x:c r="C3428" s="4" t="str">
        <x:v>West Ham</x:v>
      </x:c>
      <x:c r="D3428" s="4" t="str">
        <x:v>Wolves</x:v>
      </x:c>
      <x:c r="E3428" s="4" t="str">
        <x:v>Away</x:v>
      </x:c>
      <x:c r="F3428" s="28" t="n">
        <x:v>0</x:v>
      </x:c>
      <x:c r="G3428" s="28" t="n">
        <x:v>3</x:v>
      </x:c>
      <x:c r="H3428" s="28" t="n">
        <x:v>6</x:v>
      </x:c>
      <x:c r="I3428" s="28" t="n">
        <x:v>11</x:v>
      </x:c>
      <x:c r="J3428" s="28" t="n">
        <x:v>0</x:v>
      </x:c>
      <x:c r="K3428" s="28" t="n">
        <x:v>8</x:v>
      </x:c>
      <x:c r="L3428" s="28" t="n">
        <x:v>7</x:v>
      </x:c>
      <x:c r="M3428" s="28" t="n">
        <x:v>6</x:v>
      </x:c>
      <x:c r="N3428" s="28" t="n">
        <x:v>0</x:v>
      </x:c>
      <x:c r="O3428" s="28" t="n">
        <x:v>0</x:v>
      </x:c>
      <x:c r="P3428" s="28" t="n">
        <x:v>0</x:v>
      </x:c>
      <x:c r="Q3428" s="24" t="n">
        <x:f>IFERROR(J3428/H3428,0)</x:f>
        <x:v>0</x:v>
      </x:c>
      <x:c r="R3428" s="24" t="n">
        <x:f>IFERROR(F3428/H3428,0)</x:f>
        <x:v>0</x:v>
      </x:c>
      <x:c r="S3428" s="24" t="n">
        <x:f>IFERROR(F3428/J3428,0)</x:f>
        <x:v>0</x:v>
      </x:c>
      <x:c r="T3428" s="28" t="n">
        <x:f>H3428-I3428</x:f>
        <x:v>-5</x:v>
      </x:c>
      <x:c r="U3428" s="24" t="n">
        <x:f>IFERROR(J3428/H3428,0)-IFERROR(K3428/I3428,0)</x:f>
        <x:v>-0.7272727272727273</x:v>
      </x:c>
      <x:c r="V3428" s="24" t="n">
        <x:f>IFERROR(F3428/J3428,0)-IFERROR(G3428/K3428,0)</x:f>
        <x:v>-0.375</x:v>
      </x:c>
      <x:c r="W3428" s="28" t="n">
        <x:f>L3428-M3428</x:f>
        <x:v>1</x:v>
      </x:c>
      <x:c r="X3428" s="24" t="n">
        <x:f>IFERROR(K3428/I3428,0)</x:f>
        <x:v>0.7272727272727273</x:v>
      </x:c>
      <x:c r="Y3428" s="24" t="n">
        <x:f>IFERROR(G3428/I3428,0)</x:f>
        <x:v>0.2727272727272727</x:v>
      </x:c>
      <x:c r="Z3428" s="24" t="n">
        <x:f>IFERROR(G3428/K3428,0)</x:f>
        <x:v>0.375</x:v>
      </x:c>
      <x:c r="AA3428" s="24" t="n">
        <x:f>IFERROR(F3428/H3428,0)-IFERROR(G3428/I3428,0)</x:f>
        <x:v>-0.2727272727272727</x:v>
      </x:c>
      <x:c r="AB3428" s="28" t="n">
        <x:f>J3428-K3428</x:f>
        <x:v>-8</x:v>
      </x:c>
      <x:c r="AC3428" s="32" t="n">
        <x:f>F3428-G3428</x:f>
        <x:v>-3</x:v>
      </x:c>
    </x:row>
    <x:row r="3429">
      <x:c r="A3429" s="4" t="str">
        <x:v>2025-26</x:v>
      </x:c>
      <x:c r="B3429" s="20" t="n">
        <x:v>46025</x:v>
      </x:c>
      <x:c r="C3429" s="4" t="str">
        <x:v>Wolves</x:v>
      </x:c>
      <x:c r="D3429" s="4" t="str">
        <x:v>West Ham</x:v>
      </x:c>
      <x:c r="E3429" s="4" t="str">
        <x:v>Home</x:v>
      </x:c>
      <x:c r="F3429" s="28" t="n">
        <x:v>3</x:v>
      </x:c>
      <x:c r="G3429" s="28" t="n">
        <x:v>0</x:v>
      </x:c>
      <x:c r="H3429" s="28" t="n">
        <x:v>11</x:v>
      </x:c>
      <x:c r="I3429" s="28" t="n">
        <x:v>6</x:v>
      </x:c>
      <x:c r="J3429" s="28" t="n">
        <x:v>8</x:v>
      </x:c>
      <x:c r="K3429" s="28" t="n">
        <x:v>0</x:v>
      </x:c>
      <x:c r="L3429" s="28" t="n">
        <x:v>6</x:v>
      </x:c>
      <x:c r="M3429" s="28" t="n">
        <x:v>7</x:v>
      </x:c>
      <x:c r="N3429" s="28" t="n">
        <x:v>1</x:v>
      </x:c>
      <x:c r="O3429" s="28" t="n">
        <x:v>0</x:v>
      </x:c>
      <x:c r="P3429" s="28" t="n">
        <x:v>3</x:v>
      </x:c>
      <x:c r="Q3429" s="24" t="n">
        <x:f>IFERROR(J3429/H3429,0)</x:f>
        <x:v>0.7272727272727273</x:v>
      </x:c>
      <x:c r="R3429" s="24" t="n">
        <x:f>IFERROR(F3429/H3429,0)</x:f>
        <x:v>0.2727272727272727</x:v>
      </x:c>
      <x:c r="S3429" s="24" t="n">
        <x:f>IFERROR(F3429/J3429,0)</x:f>
        <x:v>0.375</x:v>
      </x:c>
      <x:c r="T3429" s="28" t="n">
        <x:f>H3429-I3429</x:f>
        <x:v>5</x:v>
      </x:c>
      <x:c r="U3429" s="24" t="n">
        <x:f>IFERROR(J3429/H3429,0)-IFERROR(K3429/I3429,0)</x:f>
        <x:v>0.7272727272727273</x:v>
      </x:c>
      <x:c r="V3429" s="24" t="n">
        <x:f>IFERROR(F3429/J3429,0)-IFERROR(G3429/K3429,0)</x:f>
        <x:v>0.375</x:v>
      </x:c>
      <x:c r="W3429" s="28" t="n">
        <x:f>L3429-M3429</x:f>
        <x:v>-1</x:v>
      </x:c>
      <x:c r="X3429" s="24" t="n">
        <x:f>IFERROR(K3429/I3429,0)</x:f>
        <x:v>0</x:v>
      </x:c>
      <x:c r="Y3429" s="24" t="n">
        <x:f>IFERROR(G3429/I3429,0)</x:f>
        <x:v>0</x:v>
      </x:c>
      <x:c r="Z3429" s="24" t="n">
        <x:f>IFERROR(G3429/K3429,0)</x:f>
        <x:v>0</x:v>
      </x:c>
      <x:c r="AA3429" s="24" t="n">
        <x:f>IFERROR(F3429/H3429,0)-IFERROR(G3429/I3429,0)</x:f>
        <x:v>0.2727272727272727</x:v>
      </x:c>
      <x:c r="AB3429" s="28" t="n">
        <x:f>J3429-K3429</x:f>
        <x:v>8</x:v>
      </x:c>
      <x:c r="AC3429" s="32" t="n">
        <x:f>F3429-G3429</x:f>
        <x:v>3</x:v>
      </x:c>
    </x:row>
    <x:row r="3430">
      <x:c r="A3430" s="4" t="str">
        <x:v>2025-26</x:v>
      </x:c>
      <x:c r="B3430" s="20" t="n">
        <x:v>46026</x:v>
      </x:c>
      <x:c r="C3430" s="4" t="str">
        <x:v>Brentford</x:v>
      </x:c>
      <x:c r="D3430" s="4" t="str">
        <x:v>Everton</x:v>
      </x:c>
      <x:c r="E3430" s="4" t="str">
        <x:v>Away</x:v>
      </x:c>
      <x:c r="F3430" s="28" t="n">
        <x:v>4</x:v>
      </x:c>
      <x:c r="G3430" s="28" t="n">
        <x:v>2</x:v>
      </x:c>
      <x:c r="H3430" s="28" t="n">
        <x:v>11</x:v>
      </x:c>
      <x:c r="I3430" s="28" t="n">
        <x:v>14</x:v>
      </x:c>
      <x:c r="J3430" s="28" t="n">
        <x:v>7</x:v>
      </x:c>
      <x:c r="K3430" s="28" t="n">
        <x:v>6</x:v>
      </x:c>
      <x:c r="L3430" s="28" t="n">
        <x:v>5</x:v>
      </x:c>
      <x:c r="M3430" s="28" t="n">
        <x:v>4</x:v>
      </x:c>
      <x:c r="N3430" s="28" t="n">
        <x:v>2</x:v>
      </x:c>
      <x:c r="O3430" s="28" t="n">
        <x:v>0</x:v>
      </x:c>
      <x:c r="P3430" s="28" t="n">
        <x:v>3</x:v>
      </x:c>
      <x:c r="Q3430" s="24" t="n">
        <x:f>IFERROR(J3430/H3430,0)</x:f>
        <x:v>0.6363636363636364</x:v>
      </x:c>
      <x:c r="R3430" s="24" t="n">
        <x:f>IFERROR(F3430/H3430,0)</x:f>
        <x:v>0.36363636363636365</x:v>
      </x:c>
      <x:c r="S3430" s="24" t="n">
        <x:f>IFERROR(F3430/J3430,0)</x:f>
        <x:v>0.5714285714285714</x:v>
      </x:c>
      <x:c r="T3430" s="28" t="n">
        <x:f>H3430-I3430</x:f>
        <x:v>-3</x:v>
      </x:c>
      <x:c r="U3430" s="24" t="n">
        <x:f>IFERROR(J3430/H3430,0)-IFERROR(K3430/I3430,0)</x:f>
        <x:v>0.2077922077922078</x:v>
      </x:c>
      <x:c r="V3430" s="24" t="n">
        <x:f>IFERROR(F3430/J3430,0)-IFERROR(G3430/K3430,0)</x:f>
        <x:v>0.23809523809523808</x:v>
      </x:c>
      <x:c r="W3430" s="28" t="n">
        <x:f>L3430-M3430</x:f>
        <x:v>1</x:v>
      </x:c>
      <x:c r="X3430" s="24" t="n">
        <x:f>IFERROR(K3430/I3430,0)</x:f>
        <x:v>0.42857142857142855</x:v>
      </x:c>
      <x:c r="Y3430" s="24" t="n">
        <x:f>IFERROR(G3430/I3430,0)</x:f>
        <x:v>0.14285714285714285</x:v>
      </x:c>
      <x:c r="Z3430" s="24" t="n">
        <x:f>IFERROR(G3430/K3430,0)</x:f>
        <x:v>0.3333333333333333</x:v>
      </x:c>
      <x:c r="AA3430" s="24" t="n">
        <x:f>IFERROR(F3430/H3430,0)-IFERROR(G3430/I3430,0)</x:f>
        <x:v>0.2207792207792208</x:v>
      </x:c>
      <x:c r="AB3430" s="28" t="n">
        <x:f>J3430-K3430</x:f>
        <x:v>1</x:v>
      </x:c>
      <x:c r="AC3430" s="32" t="n">
        <x:f>F3430-G3430</x:f>
        <x:v>2</x:v>
      </x:c>
    </x:row>
    <x:row r="3431">
      <x:c r="A3431" s="4" t="str">
        <x:v>2025-26</x:v>
      </x:c>
      <x:c r="B3431" s="20" t="n">
        <x:v>46026</x:v>
      </x:c>
      <x:c r="C3431" s="4" t="str">
        <x:v>Chelsea</x:v>
      </x:c>
      <x:c r="D3431" s="4" t="str">
        <x:v>Man City</x:v>
      </x:c>
      <x:c r="E3431" s="4" t="str">
        <x:v>Away</x:v>
      </x:c>
      <x:c r="F3431" s="28" t="n">
        <x:v>1</x:v>
      </x:c>
      <x:c r="G3431" s="28" t="n">
        <x:v>1</x:v>
      </x:c>
      <x:c r="H3431" s="28" t="n">
        <x:v>8</x:v>
      </x:c>
      <x:c r="I3431" s="28" t="n">
        <x:v>14</x:v>
      </x:c>
      <x:c r="J3431" s="28" t="n">
        <x:v>3</x:v>
      </x:c>
      <x:c r="K3431" s="28" t="n">
        <x:v>3</x:v>
      </x:c>
      <x:c r="L3431" s="28" t="n">
        <x:v>2</x:v>
      </x:c>
      <x:c r="M3431" s="28" t="n">
        <x:v>8</x:v>
      </x:c>
      <x:c r="N3431" s="28" t="n">
        <x:v>3</x:v>
      </x:c>
      <x:c r="O3431" s="28" t="n">
        <x:v>0</x:v>
      </x:c>
      <x:c r="P3431" s="28" t="n">
        <x:v>1</x:v>
      </x:c>
      <x:c r="Q3431" s="24" t="n">
        <x:f>IFERROR(J3431/H3431,0)</x:f>
        <x:v>0.375</x:v>
      </x:c>
      <x:c r="R3431" s="24" t="n">
        <x:f>IFERROR(F3431/H3431,0)</x:f>
        <x:v>0.125</x:v>
      </x:c>
      <x:c r="S3431" s="24" t="n">
        <x:f>IFERROR(F3431/J3431,0)</x:f>
        <x:v>0.3333333333333333</x:v>
      </x:c>
      <x:c r="T3431" s="28" t="n">
        <x:f>H3431-I3431</x:f>
        <x:v>-6</x:v>
      </x:c>
      <x:c r="U3431" s="24" t="n">
        <x:f>IFERROR(J3431/H3431,0)-IFERROR(K3431/I3431,0)</x:f>
        <x:v>0.16071428571428573</x:v>
      </x:c>
      <x:c r="V3431" s="24" t="n">
        <x:f>IFERROR(F3431/J3431,0)-IFERROR(G3431/K3431,0)</x:f>
        <x:v>0</x:v>
      </x:c>
      <x:c r="W3431" s="28" t="n">
        <x:f>L3431-M3431</x:f>
        <x:v>-6</x:v>
      </x:c>
      <x:c r="X3431" s="24" t="n">
        <x:f>IFERROR(K3431/I3431,0)</x:f>
        <x:v>0.21428571428571427</x:v>
      </x:c>
      <x:c r="Y3431" s="24" t="n">
        <x:f>IFERROR(G3431/I3431,0)</x:f>
        <x:v>0.07142857142857142</x:v>
      </x:c>
      <x:c r="Z3431" s="24" t="n">
        <x:f>IFERROR(G3431/K3431,0)</x:f>
        <x:v>0.3333333333333333</x:v>
      </x:c>
      <x:c r="AA3431" s="24" t="n">
        <x:f>IFERROR(F3431/H3431,0)-IFERROR(G3431/I3431,0)</x:f>
        <x:v>0.053571428571428575</x:v>
      </x:c>
      <x:c r="AB3431" s="28" t="n">
        <x:f>J3431-K3431</x:f>
        <x:v>0</x:v>
      </x:c>
      <x:c r="AC3431" s="32" t="n">
        <x:f>F3431-G3431</x:f>
        <x:v>0</x:v>
      </x:c>
    </x:row>
    <x:row r="3432">
      <x:c r="A3432" s="4" t="str">
        <x:v>2025-26</x:v>
      </x:c>
      <x:c r="B3432" s="20" t="n">
        <x:v>46026</x:v>
      </x:c>
      <x:c r="C3432" s="4" t="str">
        <x:v>Crystal Palace</x:v>
      </x:c>
      <x:c r="D3432" s="4" t="str">
        <x:v>Newcastle</x:v>
      </x:c>
      <x:c r="E3432" s="4" t="str">
        <x:v>Away</x:v>
      </x:c>
      <x:c r="F3432" s="28" t="n">
        <x:v>0</x:v>
      </x:c>
      <x:c r="G3432" s="28" t="n">
        <x:v>2</x:v>
      </x:c>
      <x:c r="H3432" s="28" t="n">
        <x:v>11</x:v>
      </x:c>
      <x:c r="I3432" s="28" t="n">
        <x:v>12</x:v>
      </x:c>
      <x:c r="J3432" s="28" t="n">
        <x:v>1</x:v>
      </x:c>
      <x:c r="K3432" s="28" t="n">
        <x:v>7</x:v>
      </x:c>
      <x:c r="L3432" s="28" t="n">
        <x:v>6</x:v>
      </x:c>
      <x:c r="M3432" s="28" t="n">
        <x:v>8</x:v>
      </x:c>
      <x:c r="N3432" s="28" t="n">
        <x:v>3</x:v>
      </x:c>
      <x:c r="O3432" s="28" t="n">
        <x:v>0</x:v>
      </x:c>
      <x:c r="P3432" s="28" t="n">
        <x:v>0</x:v>
      </x:c>
      <x:c r="Q3432" s="24" t="n">
        <x:f>IFERROR(J3432/H3432,0)</x:f>
        <x:v>0.09090909090909091</x:v>
      </x:c>
      <x:c r="R3432" s="24" t="n">
        <x:f>IFERROR(F3432/H3432,0)</x:f>
        <x:v>0</x:v>
      </x:c>
      <x:c r="S3432" s="24" t="n">
        <x:f>IFERROR(F3432/J3432,0)</x:f>
        <x:v>0</x:v>
      </x:c>
      <x:c r="T3432" s="28" t="n">
        <x:f>H3432-I3432</x:f>
        <x:v>-1</x:v>
      </x:c>
      <x:c r="U3432" s="24" t="n">
        <x:f>IFERROR(J3432/H3432,0)-IFERROR(K3432/I3432,0)</x:f>
        <x:v>-0.49242424242424243</x:v>
      </x:c>
      <x:c r="V3432" s="24" t="n">
        <x:f>IFERROR(F3432/J3432,0)-IFERROR(G3432/K3432,0)</x:f>
        <x:v>-0.2857142857142857</x:v>
      </x:c>
      <x:c r="W3432" s="28" t="n">
        <x:f>L3432-M3432</x:f>
        <x:v>-2</x:v>
      </x:c>
      <x:c r="X3432" s="24" t="n">
        <x:f>IFERROR(K3432/I3432,0)</x:f>
        <x:v>0.5833333333333334</x:v>
      </x:c>
      <x:c r="Y3432" s="24" t="n">
        <x:f>IFERROR(G3432/I3432,0)</x:f>
        <x:v>0.16666666666666666</x:v>
      </x:c>
      <x:c r="Z3432" s="24" t="n">
        <x:f>IFERROR(G3432/K3432,0)</x:f>
        <x:v>0.2857142857142857</x:v>
      </x:c>
      <x:c r="AA3432" s="24" t="n">
        <x:f>IFERROR(F3432/H3432,0)-IFERROR(G3432/I3432,0)</x:f>
        <x:v>-0.16666666666666666</x:v>
      </x:c>
      <x:c r="AB3432" s="28" t="n">
        <x:f>J3432-K3432</x:f>
        <x:v>-6</x:v>
      </x:c>
      <x:c r="AC3432" s="32" t="n">
        <x:f>F3432-G3432</x:f>
        <x:v>-2</x:v>
      </x:c>
    </x:row>
    <x:row r="3433">
      <x:c r="A3433" s="4" t="str">
        <x:v>2025-26</x:v>
      </x:c>
      <x:c r="B3433" s="20" t="n">
        <x:v>46026</x:v>
      </x:c>
      <x:c r="C3433" s="4" t="str">
        <x:v>Everton</x:v>
      </x:c>
      <x:c r="D3433" s="4" t="str">
        <x:v>Brentford</x:v>
      </x:c>
      <x:c r="E3433" s="4" t="str">
        <x:v>Home</x:v>
      </x:c>
      <x:c r="F3433" s="28" t="n">
        <x:v>2</x:v>
      </x:c>
      <x:c r="G3433" s="28" t="n">
        <x:v>4</x:v>
      </x:c>
      <x:c r="H3433" s="28" t="n">
        <x:v>14</x:v>
      </x:c>
      <x:c r="I3433" s="28" t="n">
        <x:v>11</x:v>
      </x:c>
      <x:c r="J3433" s="28" t="n">
        <x:v>6</x:v>
      </x:c>
      <x:c r="K3433" s="28" t="n">
        <x:v>7</x:v>
      </x:c>
      <x:c r="L3433" s="28" t="n">
        <x:v>4</x:v>
      </x:c>
      <x:c r="M3433" s="28" t="n">
        <x:v>5</x:v>
      </x:c>
      <x:c r="N3433" s="28" t="n">
        <x:v>0</x:v>
      </x:c>
      <x:c r="O3433" s="28" t="n">
        <x:v>0</x:v>
      </x:c>
      <x:c r="P3433" s="28" t="n">
        <x:v>0</x:v>
      </x:c>
      <x:c r="Q3433" s="24" t="n">
        <x:f>IFERROR(J3433/H3433,0)</x:f>
        <x:v>0.42857142857142855</x:v>
      </x:c>
      <x:c r="R3433" s="24" t="n">
        <x:f>IFERROR(F3433/H3433,0)</x:f>
        <x:v>0.14285714285714285</x:v>
      </x:c>
      <x:c r="S3433" s="24" t="n">
        <x:f>IFERROR(F3433/J3433,0)</x:f>
        <x:v>0.3333333333333333</x:v>
      </x:c>
      <x:c r="T3433" s="28" t="n">
        <x:f>H3433-I3433</x:f>
        <x:v>3</x:v>
      </x:c>
      <x:c r="U3433" s="24" t="n">
        <x:f>IFERROR(J3433/H3433,0)-IFERROR(K3433/I3433,0)</x:f>
        <x:v>-0.2077922077922078</x:v>
      </x:c>
      <x:c r="V3433" s="24" t="n">
        <x:f>IFERROR(F3433/J3433,0)-IFERROR(G3433/K3433,0)</x:f>
        <x:v>-0.23809523809523808</x:v>
      </x:c>
      <x:c r="W3433" s="28" t="n">
        <x:f>L3433-M3433</x:f>
        <x:v>-1</x:v>
      </x:c>
      <x:c r="X3433" s="24" t="n">
        <x:f>IFERROR(K3433/I3433,0)</x:f>
        <x:v>0.6363636363636364</x:v>
      </x:c>
      <x:c r="Y3433" s="24" t="n">
        <x:f>IFERROR(G3433/I3433,0)</x:f>
        <x:v>0.36363636363636365</x:v>
      </x:c>
      <x:c r="Z3433" s="24" t="n">
        <x:f>IFERROR(G3433/K3433,0)</x:f>
        <x:v>0.5714285714285714</x:v>
      </x:c>
      <x:c r="AA3433" s="24" t="n">
        <x:f>IFERROR(F3433/H3433,0)-IFERROR(G3433/I3433,0)</x:f>
        <x:v>-0.2207792207792208</x:v>
      </x:c>
      <x:c r="AB3433" s="28" t="n">
        <x:f>J3433-K3433</x:f>
        <x:v>-1</x:v>
      </x:c>
      <x:c r="AC3433" s="32" t="n">
        <x:f>F3433-G3433</x:f>
        <x:v>-2</x:v>
      </x:c>
    </x:row>
    <x:row r="3434">
      <x:c r="A3434" s="4" t="str">
        <x:v>2025-26</x:v>
      </x:c>
      <x:c r="B3434" s="20" t="n">
        <x:v>46026</x:v>
      </x:c>
      <x:c r="C3434" s="4" t="str">
        <x:v>Fulham</x:v>
      </x:c>
      <x:c r="D3434" s="4" t="str">
        <x:v>Liverpool</x:v>
      </x:c>
      <x:c r="E3434" s="4" t="str">
        <x:v>Home</x:v>
      </x:c>
      <x:c r="F3434" s="28" t="n">
        <x:v>2</x:v>
      </x:c>
      <x:c r="G3434" s="28" t="n">
        <x:v>2</x:v>
      </x:c>
      <x:c r="H3434" s="28" t="n">
        <x:v>8</x:v>
      </x:c>
      <x:c r="I3434" s="28" t="n">
        <x:v>10</x:v>
      </x:c>
      <x:c r="J3434" s="28" t="n">
        <x:v>2</x:v>
      </x:c>
      <x:c r="K3434" s="28" t="n">
        <x:v>2</x:v>
      </x:c>
      <x:c r="L3434" s="28" t="n">
        <x:v>3</x:v>
      </x:c>
      <x:c r="M3434" s="28" t="n">
        <x:v>8</x:v>
      </x:c>
      <x:c r="N3434" s="28" t="n">
        <x:v>1</x:v>
      </x:c>
      <x:c r="O3434" s="28" t="n">
        <x:v>0</x:v>
      </x:c>
      <x:c r="P3434" s="28" t="n">
        <x:v>1</x:v>
      </x:c>
      <x:c r="Q3434" s="24" t="n">
        <x:f>IFERROR(J3434/H3434,0)</x:f>
        <x:v>0.25</x:v>
      </x:c>
      <x:c r="R3434" s="24" t="n">
        <x:f>IFERROR(F3434/H3434,0)</x:f>
        <x:v>0.25</x:v>
      </x:c>
      <x:c r="S3434" s="24" t="n">
        <x:f>IFERROR(F3434/J3434,0)</x:f>
        <x:v>1</x:v>
      </x:c>
      <x:c r="T3434" s="28" t="n">
        <x:f>H3434-I3434</x:f>
        <x:v>-2</x:v>
      </x:c>
      <x:c r="U3434" s="24" t="n">
        <x:f>IFERROR(J3434/H3434,0)-IFERROR(K3434/I3434,0)</x:f>
        <x:v>0.04999999999999999</x:v>
      </x:c>
      <x:c r="V3434" s="24" t="n">
        <x:f>IFERROR(F3434/J3434,0)-IFERROR(G3434/K3434,0)</x:f>
        <x:v>0</x:v>
      </x:c>
      <x:c r="W3434" s="28" t="n">
        <x:f>L3434-M3434</x:f>
        <x:v>-5</x:v>
      </x:c>
      <x:c r="X3434" s="24" t="n">
        <x:f>IFERROR(K3434/I3434,0)</x:f>
        <x:v>0.2</x:v>
      </x:c>
      <x:c r="Y3434" s="24" t="n">
        <x:f>IFERROR(G3434/I3434,0)</x:f>
        <x:v>0.2</x:v>
      </x:c>
      <x:c r="Z3434" s="24" t="n">
        <x:f>IFERROR(G3434/K3434,0)</x:f>
        <x:v>1</x:v>
      </x:c>
      <x:c r="AA3434" s="24" t="n">
        <x:f>IFERROR(F3434/H3434,0)-IFERROR(G3434/I3434,0)</x:f>
        <x:v>0.04999999999999999</x:v>
      </x:c>
      <x:c r="AB3434" s="28" t="n">
        <x:f>J3434-K3434</x:f>
        <x:v>0</x:v>
      </x:c>
      <x:c r="AC3434" s="32" t="n">
        <x:f>F3434-G3434</x:f>
        <x:v>0</x:v>
      </x:c>
    </x:row>
    <x:row r="3435">
      <x:c r="A3435" s="4" t="str">
        <x:v>2025-26</x:v>
      </x:c>
      <x:c r="B3435" s="20" t="n">
        <x:v>46026</x:v>
      </x:c>
      <x:c r="C3435" s="4" t="str">
        <x:v>Leeds</x:v>
      </x:c>
      <x:c r="D3435" s="4" t="str">
        <x:v>Man United</x:v>
      </x:c>
      <x:c r="E3435" s="4" t="str">
        <x:v>Home</x:v>
      </x:c>
      <x:c r="F3435" s="28" t="n">
        <x:v>1</x:v>
      </x:c>
      <x:c r="G3435" s="28" t="n">
        <x:v>1</x:v>
      </x:c>
      <x:c r="H3435" s="28" t="n">
        <x:v>11</x:v>
      </x:c>
      <x:c r="I3435" s="28" t="n">
        <x:v>15</x:v>
      </x:c>
      <x:c r="J3435" s="28" t="n">
        <x:v>3</x:v>
      </x:c>
      <x:c r="K3435" s="28" t="n">
        <x:v>2</x:v>
      </x:c>
      <x:c r="L3435" s="28" t="n">
        <x:v>6</x:v>
      </x:c>
      <x:c r="M3435" s="28" t="n">
        <x:v>4</x:v>
      </x:c>
      <x:c r="N3435" s="28" t="n">
        <x:v>0</x:v>
      </x:c>
      <x:c r="O3435" s="28" t="n">
        <x:v>0</x:v>
      </x:c>
      <x:c r="P3435" s="28" t="n">
        <x:v>1</x:v>
      </x:c>
      <x:c r="Q3435" s="24" t="n">
        <x:f>IFERROR(J3435/H3435,0)</x:f>
        <x:v>0.2727272727272727</x:v>
      </x:c>
      <x:c r="R3435" s="24" t="n">
        <x:f>IFERROR(F3435/H3435,0)</x:f>
        <x:v>0.09090909090909091</x:v>
      </x:c>
      <x:c r="S3435" s="24" t="n">
        <x:f>IFERROR(F3435/J3435,0)</x:f>
        <x:v>0.3333333333333333</x:v>
      </x:c>
      <x:c r="T3435" s="28" t="n">
        <x:f>H3435-I3435</x:f>
        <x:v>-4</x:v>
      </x:c>
      <x:c r="U3435" s="24" t="n">
        <x:f>IFERROR(J3435/H3435,0)-IFERROR(K3435/I3435,0)</x:f>
        <x:v>0.13939393939393938</x:v>
      </x:c>
      <x:c r="V3435" s="24" t="n">
        <x:f>IFERROR(F3435/J3435,0)-IFERROR(G3435/K3435,0)</x:f>
        <x:v>-0.16666666666666669</x:v>
      </x:c>
      <x:c r="W3435" s="28" t="n">
        <x:f>L3435-M3435</x:f>
        <x:v>2</x:v>
      </x:c>
      <x:c r="X3435" s="24" t="n">
        <x:f>IFERROR(K3435/I3435,0)</x:f>
        <x:v>0.13333333333333333</x:v>
      </x:c>
      <x:c r="Y3435" s="24" t="n">
        <x:f>IFERROR(G3435/I3435,0)</x:f>
        <x:v>0.06666666666666667</x:v>
      </x:c>
      <x:c r="Z3435" s="24" t="n">
        <x:f>IFERROR(G3435/K3435,0)</x:f>
        <x:v>0.5</x:v>
      </x:c>
      <x:c r="AA3435" s="24" t="n">
        <x:f>IFERROR(F3435/H3435,0)-IFERROR(G3435/I3435,0)</x:f>
        <x:v>0.024242424242424246</x:v>
      </x:c>
      <x:c r="AB3435" s="28" t="n">
        <x:f>J3435-K3435</x:f>
        <x:v>1</x:v>
      </x:c>
      <x:c r="AC3435" s="32" t="n">
        <x:f>F3435-G3435</x:f>
        <x:v>0</x:v>
      </x:c>
    </x:row>
    <x:row r="3436">
      <x:c r="A3436" s="4" t="str">
        <x:v>2025-26</x:v>
      </x:c>
      <x:c r="B3436" s="20" t="n">
        <x:v>46026</x:v>
      </x:c>
      <x:c r="C3436" s="4" t="str">
        <x:v>Liverpool</x:v>
      </x:c>
      <x:c r="D3436" s="4" t="str">
        <x:v>Fulham</x:v>
      </x:c>
      <x:c r="E3436" s="4" t="str">
        <x:v>Away</x:v>
      </x:c>
      <x:c r="F3436" s="28" t="n">
        <x:v>2</x:v>
      </x:c>
      <x:c r="G3436" s="28" t="n">
        <x:v>2</x:v>
      </x:c>
      <x:c r="H3436" s="28" t="n">
        <x:v>10</x:v>
      </x:c>
      <x:c r="I3436" s="28" t="n">
        <x:v>8</x:v>
      </x:c>
      <x:c r="J3436" s="28" t="n">
        <x:v>2</x:v>
      </x:c>
      <x:c r="K3436" s="28" t="n">
        <x:v>2</x:v>
      </x:c>
      <x:c r="L3436" s="28" t="n">
        <x:v>8</x:v>
      </x:c>
      <x:c r="M3436" s="28" t="n">
        <x:v>3</x:v>
      </x:c>
      <x:c r="N3436" s="28" t="n">
        <x:v>1</x:v>
      </x:c>
      <x:c r="O3436" s="28" t="n">
        <x:v>0</x:v>
      </x:c>
      <x:c r="P3436" s="28" t="n">
        <x:v>1</x:v>
      </x:c>
      <x:c r="Q3436" s="24" t="n">
        <x:f>IFERROR(J3436/H3436,0)</x:f>
        <x:v>0.2</x:v>
      </x:c>
      <x:c r="R3436" s="24" t="n">
        <x:f>IFERROR(F3436/H3436,0)</x:f>
        <x:v>0.2</x:v>
      </x:c>
      <x:c r="S3436" s="24" t="n">
        <x:f>IFERROR(F3436/J3436,0)</x:f>
        <x:v>1</x:v>
      </x:c>
      <x:c r="T3436" s="28" t="n">
        <x:f>H3436-I3436</x:f>
        <x:v>2</x:v>
      </x:c>
      <x:c r="U3436" s="24" t="n">
        <x:f>IFERROR(J3436/H3436,0)-IFERROR(K3436/I3436,0)</x:f>
        <x:v>-0.04999999999999999</x:v>
      </x:c>
      <x:c r="V3436" s="24" t="n">
        <x:f>IFERROR(F3436/J3436,0)-IFERROR(G3436/K3436,0)</x:f>
        <x:v>0</x:v>
      </x:c>
      <x:c r="W3436" s="28" t="n">
        <x:f>L3436-M3436</x:f>
        <x:v>5</x:v>
      </x:c>
      <x:c r="X3436" s="24" t="n">
        <x:f>IFERROR(K3436/I3436,0)</x:f>
        <x:v>0.25</x:v>
      </x:c>
      <x:c r="Y3436" s="24" t="n">
        <x:f>IFERROR(G3436/I3436,0)</x:f>
        <x:v>0.25</x:v>
      </x:c>
      <x:c r="Z3436" s="24" t="n">
        <x:f>IFERROR(G3436/K3436,0)</x:f>
        <x:v>1</x:v>
      </x:c>
      <x:c r="AA3436" s="24" t="n">
        <x:f>IFERROR(F3436/H3436,0)-IFERROR(G3436/I3436,0)</x:f>
        <x:v>-0.04999999999999999</x:v>
      </x:c>
      <x:c r="AB3436" s="28" t="n">
        <x:f>J3436-K3436</x:f>
        <x:v>0</x:v>
      </x:c>
      <x:c r="AC3436" s="32" t="n">
        <x:f>F3436-G3436</x:f>
        <x:v>0</x:v>
      </x:c>
    </x:row>
    <x:row r="3437">
      <x:c r="A3437" s="4" t="str">
        <x:v>2025-26</x:v>
      </x:c>
      <x:c r="B3437" s="20" t="n">
        <x:v>46026</x:v>
      </x:c>
      <x:c r="C3437" s="4" t="str">
        <x:v>Man City</x:v>
      </x:c>
      <x:c r="D3437" s="4" t="str">
        <x:v>Chelsea</x:v>
      </x:c>
      <x:c r="E3437" s="4" t="str">
        <x:v>Home</x:v>
      </x:c>
      <x:c r="F3437" s="28" t="n">
        <x:v>1</x:v>
      </x:c>
      <x:c r="G3437" s="28" t="n">
        <x:v>1</x:v>
      </x:c>
      <x:c r="H3437" s="28" t="n">
        <x:v>14</x:v>
      </x:c>
      <x:c r="I3437" s="28" t="n">
        <x:v>8</x:v>
      </x:c>
      <x:c r="J3437" s="28" t="n">
        <x:v>3</x:v>
      </x:c>
      <x:c r="K3437" s="28" t="n">
        <x:v>3</x:v>
      </x:c>
      <x:c r="L3437" s="28" t="n">
        <x:v>8</x:v>
      </x:c>
      <x:c r="M3437" s="28" t="n">
        <x:v>2</x:v>
      </x:c>
      <x:c r="N3437" s="28" t="n">
        <x:v>3</x:v>
      </x:c>
      <x:c r="O3437" s="28" t="n">
        <x:v>0</x:v>
      </x:c>
      <x:c r="P3437" s="28" t="n">
        <x:v>1</x:v>
      </x:c>
      <x:c r="Q3437" s="24" t="n">
        <x:f>IFERROR(J3437/H3437,0)</x:f>
        <x:v>0.21428571428571427</x:v>
      </x:c>
      <x:c r="R3437" s="24" t="n">
        <x:f>IFERROR(F3437/H3437,0)</x:f>
        <x:v>0.07142857142857142</x:v>
      </x:c>
      <x:c r="S3437" s="24" t="n">
        <x:f>IFERROR(F3437/J3437,0)</x:f>
        <x:v>0.3333333333333333</x:v>
      </x:c>
      <x:c r="T3437" s="28" t="n">
        <x:f>H3437-I3437</x:f>
        <x:v>6</x:v>
      </x:c>
      <x:c r="U3437" s="24" t="n">
        <x:f>IFERROR(J3437/H3437,0)-IFERROR(K3437/I3437,0)</x:f>
        <x:v>-0.16071428571428573</x:v>
      </x:c>
      <x:c r="V3437" s="24" t="n">
        <x:f>IFERROR(F3437/J3437,0)-IFERROR(G3437/K3437,0)</x:f>
        <x:v>0</x:v>
      </x:c>
      <x:c r="W3437" s="28" t="n">
        <x:f>L3437-M3437</x:f>
        <x:v>6</x:v>
      </x:c>
      <x:c r="X3437" s="24" t="n">
        <x:f>IFERROR(K3437/I3437,0)</x:f>
        <x:v>0.375</x:v>
      </x:c>
      <x:c r="Y3437" s="24" t="n">
        <x:f>IFERROR(G3437/I3437,0)</x:f>
        <x:v>0.125</x:v>
      </x:c>
      <x:c r="Z3437" s="24" t="n">
        <x:f>IFERROR(G3437/K3437,0)</x:f>
        <x:v>0.3333333333333333</x:v>
      </x:c>
      <x:c r="AA3437" s="24" t="n">
        <x:f>IFERROR(F3437/H3437,0)-IFERROR(G3437/I3437,0)</x:f>
        <x:v>-0.053571428571428575</x:v>
      </x:c>
      <x:c r="AB3437" s="28" t="n">
        <x:f>J3437-K3437</x:f>
        <x:v>0</x:v>
      </x:c>
      <x:c r="AC3437" s="32" t="n">
        <x:f>F3437-G3437</x:f>
        <x:v>0</x:v>
      </x:c>
    </x:row>
    <x:row r="3438">
      <x:c r="A3438" s="4" t="str">
        <x:v>2025-26</x:v>
      </x:c>
      <x:c r="B3438" s="20" t="n">
        <x:v>46026</x:v>
      </x:c>
      <x:c r="C3438" s="4" t="str">
        <x:v>Man United</x:v>
      </x:c>
      <x:c r="D3438" s="4" t="str">
        <x:v>Leeds</x:v>
      </x:c>
      <x:c r="E3438" s="4" t="str">
        <x:v>Away</x:v>
      </x:c>
      <x:c r="F3438" s="28" t="n">
        <x:v>1</x:v>
      </x:c>
      <x:c r="G3438" s="28" t="n">
        <x:v>1</x:v>
      </x:c>
      <x:c r="H3438" s="28" t="n">
        <x:v>15</x:v>
      </x:c>
      <x:c r="I3438" s="28" t="n">
        <x:v>11</x:v>
      </x:c>
      <x:c r="J3438" s="28" t="n">
        <x:v>2</x:v>
      </x:c>
      <x:c r="K3438" s="28" t="n">
        <x:v>3</x:v>
      </x:c>
      <x:c r="L3438" s="28" t="n">
        <x:v>4</x:v>
      </x:c>
      <x:c r="M3438" s="28" t="n">
        <x:v>6</x:v>
      </x:c>
      <x:c r="N3438" s="28" t="n">
        <x:v>1</x:v>
      </x:c>
      <x:c r="O3438" s="28" t="n">
        <x:v>0</x:v>
      </x:c>
      <x:c r="P3438" s="28" t="n">
        <x:v>1</x:v>
      </x:c>
      <x:c r="Q3438" s="24" t="n">
        <x:f>IFERROR(J3438/H3438,0)</x:f>
        <x:v>0.13333333333333333</x:v>
      </x:c>
      <x:c r="R3438" s="24" t="n">
        <x:f>IFERROR(F3438/H3438,0)</x:f>
        <x:v>0.06666666666666667</x:v>
      </x:c>
      <x:c r="S3438" s="24" t="n">
        <x:f>IFERROR(F3438/J3438,0)</x:f>
        <x:v>0.5</x:v>
      </x:c>
      <x:c r="T3438" s="28" t="n">
        <x:f>H3438-I3438</x:f>
        <x:v>4</x:v>
      </x:c>
      <x:c r="U3438" s="24" t="n">
        <x:f>IFERROR(J3438/H3438,0)-IFERROR(K3438/I3438,0)</x:f>
        <x:v>-0.13939393939393938</x:v>
      </x:c>
      <x:c r="V3438" s="24" t="n">
        <x:f>IFERROR(F3438/J3438,0)-IFERROR(G3438/K3438,0)</x:f>
        <x:v>0.16666666666666669</x:v>
      </x:c>
      <x:c r="W3438" s="28" t="n">
        <x:f>L3438-M3438</x:f>
        <x:v>-2</x:v>
      </x:c>
      <x:c r="X3438" s="24" t="n">
        <x:f>IFERROR(K3438/I3438,0)</x:f>
        <x:v>0.2727272727272727</x:v>
      </x:c>
      <x:c r="Y3438" s="24" t="n">
        <x:f>IFERROR(G3438/I3438,0)</x:f>
        <x:v>0.09090909090909091</x:v>
      </x:c>
      <x:c r="Z3438" s="24" t="n">
        <x:f>IFERROR(G3438/K3438,0)</x:f>
        <x:v>0.3333333333333333</x:v>
      </x:c>
      <x:c r="AA3438" s="24" t="n">
        <x:f>IFERROR(F3438/H3438,0)-IFERROR(G3438/I3438,0)</x:f>
        <x:v>-0.024242424242424246</x:v>
      </x:c>
      <x:c r="AB3438" s="28" t="n">
        <x:f>J3438-K3438</x:f>
        <x:v>-1</x:v>
      </x:c>
      <x:c r="AC3438" s="32" t="n">
        <x:f>F3438-G3438</x:f>
        <x:v>0</x:v>
      </x:c>
    </x:row>
    <x:row r="3439">
      <x:c r="A3439" s="4" t="str">
        <x:v>2025-26</x:v>
      </x:c>
      <x:c r="B3439" s="20" t="n">
        <x:v>46026</x:v>
      </x:c>
      <x:c r="C3439" s="4" t="str">
        <x:v>Newcastle</x:v>
      </x:c>
      <x:c r="D3439" s="4" t="str">
        <x:v>Crystal Palace</x:v>
      </x:c>
      <x:c r="E3439" s="4" t="str">
        <x:v>Home</x:v>
      </x:c>
      <x:c r="F3439" s="28" t="n">
        <x:v>2</x:v>
      </x:c>
      <x:c r="G3439" s="28" t="n">
        <x:v>0</x:v>
      </x:c>
      <x:c r="H3439" s="28" t="n">
        <x:v>12</x:v>
      </x:c>
      <x:c r="I3439" s="28" t="n">
        <x:v>11</x:v>
      </x:c>
      <x:c r="J3439" s="28" t="n">
        <x:v>7</x:v>
      </x:c>
      <x:c r="K3439" s="28" t="n">
        <x:v>1</x:v>
      </x:c>
      <x:c r="L3439" s="28" t="n">
        <x:v>8</x:v>
      </x:c>
      <x:c r="M3439" s="28" t="n">
        <x:v>6</x:v>
      </x:c>
      <x:c r="N3439" s="28" t="n">
        <x:v>1</x:v>
      </x:c>
      <x:c r="O3439" s="28" t="n">
        <x:v>0</x:v>
      </x:c>
      <x:c r="P3439" s="28" t="n">
        <x:v>3</x:v>
      </x:c>
      <x:c r="Q3439" s="24" t="n">
        <x:f>IFERROR(J3439/H3439,0)</x:f>
        <x:v>0.5833333333333334</x:v>
      </x:c>
      <x:c r="R3439" s="24" t="n">
        <x:f>IFERROR(F3439/H3439,0)</x:f>
        <x:v>0.16666666666666666</x:v>
      </x:c>
      <x:c r="S3439" s="24" t="n">
        <x:f>IFERROR(F3439/J3439,0)</x:f>
        <x:v>0.2857142857142857</x:v>
      </x:c>
      <x:c r="T3439" s="28" t="n">
        <x:f>H3439-I3439</x:f>
        <x:v>1</x:v>
      </x:c>
      <x:c r="U3439" s="24" t="n">
        <x:f>IFERROR(J3439/H3439,0)-IFERROR(K3439/I3439,0)</x:f>
        <x:v>0.49242424242424243</x:v>
      </x:c>
      <x:c r="V3439" s="24" t="n">
        <x:f>IFERROR(F3439/J3439,0)-IFERROR(G3439/K3439,0)</x:f>
        <x:v>0.2857142857142857</x:v>
      </x:c>
      <x:c r="W3439" s="28" t="n">
        <x:f>L3439-M3439</x:f>
        <x:v>2</x:v>
      </x:c>
      <x:c r="X3439" s="24" t="n">
        <x:f>IFERROR(K3439/I3439,0)</x:f>
        <x:v>0.09090909090909091</x:v>
      </x:c>
      <x:c r="Y3439" s="24" t="n">
        <x:f>IFERROR(G3439/I3439,0)</x:f>
        <x:v>0</x:v>
      </x:c>
      <x:c r="Z3439" s="24" t="n">
        <x:f>IFERROR(G3439/K3439,0)</x:f>
        <x:v>0</x:v>
      </x:c>
      <x:c r="AA3439" s="24" t="n">
        <x:f>IFERROR(F3439/H3439,0)-IFERROR(G3439/I3439,0)</x:f>
        <x:v>0.16666666666666666</x:v>
      </x:c>
      <x:c r="AB3439" s="28" t="n">
        <x:f>J3439-K3439</x:f>
        <x:v>6</x:v>
      </x:c>
      <x:c r="AC3439" s="32" t="n">
        <x:f>F3439-G3439</x:f>
        <x:v>2</x:v>
      </x:c>
    </x:row>
    <x:row r="3440">
      <x:c r="A3440" s="4" t="str">
        <x:v>2025-26</x:v>
      </x:c>
      <x:c r="B3440" s="20" t="n">
        <x:v>46026</x:v>
      </x:c>
      <x:c r="C3440" s="4" t="str">
        <x:v>Sunderland</x:v>
      </x:c>
      <x:c r="D3440" s="4" t="str">
        <x:v>Tottenham</x:v>
      </x:c>
      <x:c r="E3440" s="4" t="str">
        <x:v>Away</x:v>
      </x:c>
      <x:c r="F3440" s="28" t="n">
        <x:v>1</x:v>
      </x:c>
      <x:c r="G3440" s="28" t="n">
        <x:v>1</x:v>
      </x:c>
      <x:c r="H3440" s="28" t="n">
        <x:v>10</x:v>
      </x:c>
      <x:c r="I3440" s="28" t="n">
        <x:v>13</x:v>
      </x:c>
      <x:c r="J3440" s="28" t="n">
        <x:v>3</x:v>
      </x:c>
      <x:c r="K3440" s="28" t="n">
        <x:v>5</x:v>
      </x:c>
      <x:c r="L3440" s="28" t="n">
        <x:v>5</x:v>
      </x:c>
      <x:c r="M3440" s="28" t="n">
        <x:v>3</x:v>
      </x:c>
      <x:c r="N3440" s="28" t="n">
        <x:v>3</x:v>
      </x:c>
      <x:c r="O3440" s="28" t="n">
        <x:v>0</x:v>
      </x:c>
      <x:c r="P3440" s="28" t="n">
        <x:v>1</x:v>
      </x:c>
      <x:c r="Q3440" s="24" t="n">
        <x:f>IFERROR(J3440/H3440,0)</x:f>
        <x:v>0.3</x:v>
      </x:c>
      <x:c r="R3440" s="24" t="n">
        <x:f>IFERROR(F3440/H3440,0)</x:f>
        <x:v>0.1</x:v>
      </x:c>
      <x:c r="S3440" s="24" t="n">
        <x:f>IFERROR(F3440/J3440,0)</x:f>
        <x:v>0.3333333333333333</x:v>
      </x:c>
      <x:c r="T3440" s="28" t="n">
        <x:f>H3440-I3440</x:f>
        <x:v>-3</x:v>
      </x:c>
      <x:c r="U3440" s="24" t="n">
        <x:f>IFERROR(J3440/H3440,0)-IFERROR(K3440/I3440,0)</x:f>
        <x:v>-0.08461538461538465</x:v>
      </x:c>
      <x:c r="V3440" s="24" t="n">
        <x:f>IFERROR(F3440/J3440,0)-IFERROR(G3440/K3440,0)</x:f>
        <x:v>0.1333333333333333</x:v>
      </x:c>
      <x:c r="W3440" s="28" t="n">
        <x:f>L3440-M3440</x:f>
        <x:v>2</x:v>
      </x:c>
      <x:c r="X3440" s="24" t="n">
        <x:f>IFERROR(K3440/I3440,0)</x:f>
        <x:v>0.38461538461538464</x:v>
      </x:c>
      <x:c r="Y3440" s="24" t="n">
        <x:f>IFERROR(G3440/I3440,0)</x:f>
        <x:v>0.07692307692307693</x:v>
      </x:c>
      <x:c r="Z3440" s="24" t="n">
        <x:f>IFERROR(G3440/K3440,0)</x:f>
        <x:v>0.2</x:v>
      </x:c>
      <x:c r="AA3440" s="24" t="n">
        <x:f>IFERROR(F3440/H3440,0)-IFERROR(G3440/I3440,0)</x:f>
        <x:v>0.023076923076923078</x:v>
      </x:c>
      <x:c r="AB3440" s="28" t="n">
        <x:f>J3440-K3440</x:f>
        <x:v>-2</x:v>
      </x:c>
      <x:c r="AC3440" s="32" t="n">
        <x:f>F3440-G3440</x:f>
        <x:v>0</x:v>
      </x:c>
    </x:row>
    <x:row r="3441">
      <x:c r="A3441" s="4" t="str">
        <x:v>2025-26</x:v>
      </x:c>
      <x:c r="B3441" s="20" t="n">
        <x:v>46026</x:v>
      </x:c>
      <x:c r="C3441" s="4" t="str">
        <x:v>Tottenham</x:v>
      </x:c>
      <x:c r="D3441" s="4" t="str">
        <x:v>Sunderland</x:v>
      </x:c>
      <x:c r="E3441" s="4" t="str">
        <x:v>Home</x:v>
      </x:c>
      <x:c r="F3441" s="28" t="n">
        <x:v>1</x:v>
      </x:c>
      <x:c r="G3441" s="28" t="n">
        <x:v>1</x:v>
      </x:c>
      <x:c r="H3441" s="28" t="n">
        <x:v>13</x:v>
      </x:c>
      <x:c r="I3441" s="28" t="n">
        <x:v>10</x:v>
      </x:c>
      <x:c r="J3441" s="28" t="n">
        <x:v>5</x:v>
      </x:c>
      <x:c r="K3441" s="28" t="n">
        <x:v>3</x:v>
      </x:c>
      <x:c r="L3441" s="28" t="n">
        <x:v>3</x:v>
      </x:c>
      <x:c r="M3441" s="28" t="n">
        <x:v>5</x:v>
      </x:c>
      <x:c r="N3441" s="28" t="n">
        <x:v>2</x:v>
      </x:c>
      <x:c r="O3441" s="28" t="n">
        <x:v>0</x:v>
      </x:c>
      <x:c r="P3441" s="28" t="n">
        <x:v>1</x:v>
      </x:c>
      <x:c r="Q3441" s="24" t="n">
        <x:f>IFERROR(J3441/H3441,0)</x:f>
        <x:v>0.38461538461538464</x:v>
      </x:c>
      <x:c r="R3441" s="24" t="n">
        <x:f>IFERROR(F3441/H3441,0)</x:f>
        <x:v>0.07692307692307693</x:v>
      </x:c>
      <x:c r="S3441" s="24" t="n">
        <x:f>IFERROR(F3441/J3441,0)</x:f>
        <x:v>0.2</x:v>
      </x:c>
      <x:c r="T3441" s="28" t="n">
        <x:f>H3441-I3441</x:f>
        <x:v>3</x:v>
      </x:c>
      <x:c r="U3441" s="24" t="n">
        <x:f>IFERROR(J3441/H3441,0)-IFERROR(K3441/I3441,0)</x:f>
        <x:v>0.08461538461538465</x:v>
      </x:c>
      <x:c r="V3441" s="24" t="n">
        <x:f>IFERROR(F3441/J3441,0)-IFERROR(G3441/K3441,0)</x:f>
        <x:v>-0.1333333333333333</x:v>
      </x:c>
      <x:c r="W3441" s="28" t="n">
        <x:f>L3441-M3441</x:f>
        <x:v>-2</x:v>
      </x:c>
      <x:c r="X3441" s="24" t="n">
        <x:f>IFERROR(K3441/I3441,0)</x:f>
        <x:v>0.3</x:v>
      </x:c>
      <x:c r="Y3441" s="24" t="n">
        <x:f>IFERROR(G3441/I3441,0)</x:f>
        <x:v>0.1</x:v>
      </x:c>
      <x:c r="Z3441" s="24" t="n">
        <x:f>IFERROR(G3441/K3441,0)</x:f>
        <x:v>0.3333333333333333</x:v>
      </x:c>
      <x:c r="AA3441" s="24" t="n">
        <x:f>IFERROR(F3441/H3441,0)-IFERROR(G3441/I3441,0)</x:f>
        <x:v>-0.023076923076923078</x:v>
      </x:c>
      <x:c r="AB3441" s="28" t="n">
        <x:f>J3441-K3441</x:f>
        <x:v>2</x:v>
      </x:c>
      <x:c r="AC3441" s="32" t="n">
        <x:f>F3441-G3441</x:f>
        <x:v>0</x:v>
      </x:c>
    </x:row>
    <x:row r="3442">
      <x:c r="A3442" s="4" t="str">
        <x:v>2025-26</x:v>
      </x:c>
      <x:c r="B3442" s="20" t="n">
        <x:v>46028</x:v>
      </x:c>
      <x:c r="C3442" s="4" t="str">
        <x:v>Nott'm Forest</x:v>
      </x:c>
      <x:c r="D3442" s="4" t="str">
        <x:v>West Ham</x:v>
      </x:c>
      <x:c r="E3442" s="4" t="str">
        <x:v>Away</x:v>
      </x:c>
      <x:c r="F3442" s="28" t="n">
        <x:v>2</x:v>
      </x:c>
      <x:c r="G3442" s="28" t="n">
        <x:v>1</x:v>
      </x:c>
      <x:c r="H3442" s="28" t="n">
        <x:v>13</x:v>
      </x:c>
      <x:c r="I3442" s="28" t="n">
        <x:v>14</x:v>
      </x:c>
      <x:c r="J3442" s="28" t="n">
        <x:v>5</x:v>
      </x:c>
      <x:c r="K3442" s="28" t="n">
        <x:v>3</x:v>
      </x:c>
      <x:c r="L3442" s="28" t="n">
        <x:v>5</x:v>
      </x:c>
      <x:c r="M3442" s="28" t="n">
        <x:v>6</x:v>
      </x:c>
      <x:c r="N3442" s="28" t="n">
        <x:v>0</x:v>
      </x:c>
      <x:c r="O3442" s="28" t="n">
        <x:v>0</x:v>
      </x:c>
      <x:c r="P3442" s="28" t="n">
        <x:v>3</x:v>
      </x:c>
      <x:c r="Q3442" s="24" t="n">
        <x:f>IFERROR(J3442/H3442,0)</x:f>
        <x:v>0.38461538461538464</x:v>
      </x:c>
      <x:c r="R3442" s="24" t="n">
        <x:f>IFERROR(F3442/H3442,0)</x:f>
        <x:v>0.15384615384615385</x:v>
      </x:c>
      <x:c r="S3442" s="24" t="n">
        <x:f>IFERROR(F3442/J3442,0)</x:f>
        <x:v>0.4</x:v>
      </x:c>
      <x:c r="T3442" s="28" t="n">
        <x:f>H3442-I3442</x:f>
        <x:v>-1</x:v>
      </x:c>
      <x:c r="U3442" s="24" t="n">
        <x:f>IFERROR(J3442/H3442,0)-IFERROR(K3442/I3442,0)</x:f>
        <x:v>0.17032967032967036</x:v>
      </x:c>
      <x:c r="V3442" s="24" t="n">
        <x:f>IFERROR(F3442/J3442,0)-IFERROR(G3442/K3442,0)</x:f>
        <x:v>0.06666666666666671</x:v>
      </x:c>
      <x:c r="W3442" s="28" t="n">
        <x:f>L3442-M3442</x:f>
        <x:v>-1</x:v>
      </x:c>
      <x:c r="X3442" s="24" t="n">
        <x:f>IFERROR(K3442/I3442,0)</x:f>
        <x:v>0.21428571428571427</x:v>
      </x:c>
      <x:c r="Y3442" s="24" t="n">
        <x:f>IFERROR(G3442/I3442,0)</x:f>
        <x:v>0.07142857142857142</x:v>
      </x:c>
      <x:c r="Z3442" s="24" t="n">
        <x:f>IFERROR(G3442/K3442,0)</x:f>
        <x:v>0.3333333333333333</x:v>
      </x:c>
      <x:c r="AA3442" s="24" t="n">
        <x:f>IFERROR(F3442/H3442,0)-IFERROR(G3442/I3442,0)</x:f>
        <x:v>0.08241758241758243</x:v>
      </x:c>
      <x:c r="AB3442" s="28" t="n">
        <x:f>J3442-K3442</x:f>
        <x:v>2</x:v>
      </x:c>
      <x:c r="AC3442" s="32" t="n">
        <x:f>F3442-G3442</x:f>
        <x:v>1</x:v>
      </x:c>
    </x:row>
    <x:row r="3443">
      <x:c r="A3443" s="4" t="str">
        <x:v>2025-26</x:v>
      </x:c>
      <x:c r="B3443" s="20" t="n">
        <x:v>46028</x:v>
      </x:c>
      <x:c r="C3443" s="4" t="str">
        <x:v>West Ham</x:v>
      </x:c>
      <x:c r="D3443" s="4" t="str">
        <x:v>Nott'm Forest</x:v>
      </x:c>
      <x:c r="E3443" s="4" t="str">
        <x:v>Home</x:v>
      </x:c>
      <x:c r="F3443" s="28" t="n">
        <x:v>1</x:v>
      </x:c>
      <x:c r="G3443" s="28" t="n">
        <x:v>2</x:v>
      </x:c>
      <x:c r="H3443" s="28" t="n">
        <x:v>14</x:v>
      </x:c>
      <x:c r="I3443" s="28" t="n">
        <x:v>13</x:v>
      </x:c>
      <x:c r="J3443" s="28" t="n">
        <x:v>3</x:v>
      </x:c>
      <x:c r="K3443" s="28" t="n">
        <x:v>5</x:v>
      </x:c>
      <x:c r="L3443" s="28" t="n">
        <x:v>6</x:v>
      </x:c>
      <x:c r="M3443" s="28" t="n">
        <x:v>5</x:v>
      </x:c>
      <x:c r="N3443" s="28" t="n">
        <x:v>3</x:v>
      </x:c>
      <x:c r="O3443" s="28" t="n">
        <x:v>0</x:v>
      </x:c>
      <x:c r="P3443" s="28" t="n">
        <x:v>0</x:v>
      </x:c>
      <x:c r="Q3443" s="24" t="n">
        <x:f>IFERROR(J3443/H3443,0)</x:f>
        <x:v>0.21428571428571427</x:v>
      </x:c>
      <x:c r="R3443" s="24" t="n">
        <x:f>IFERROR(F3443/H3443,0)</x:f>
        <x:v>0.07142857142857142</x:v>
      </x:c>
      <x:c r="S3443" s="24" t="n">
        <x:f>IFERROR(F3443/J3443,0)</x:f>
        <x:v>0.3333333333333333</x:v>
      </x:c>
      <x:c r="T3443" s="28" t="n">
        <x:f>H3443-I3443</x:f>
        <x:v>1</x:v>
      </x:c>
      <x:c r="U3443" s="24" t="n">
        <x:f>IFERROR(J3443/H3443,0)-IFERROR(K3443/I3443,0)</x:f>
        <x:v>-0.17032967032967036</x:v>
      </x:c>
      <x:c r="V3443" s="24" t="n">
        <x:f>IFERROR(F3443/J3443,0)-IFERROR(G3443/K3443,0)</x:f>
        <x:v>-0.06666666666666671</x:v>
      </x:c>
      <x:c r="W3443" s="28" t="n">
        <x:f>L3443-M3443</x:f>
        <x:v>1</x:v>
      </x:c>
      <x:c r="X3443" s="24" t="n">
        <x:f>IFERROR(K3443/I3443,0)</x:f>
        <x:v>0.38461538461538464</x:v>
      </x:c>
      <x:c r="Y3443" s="24" t="n">
        <x:f>IFERROR(G3443/I3443,0)</x:f>
        <x:v>0.15384615384615385</x:v>
      </x:c>
      <x:c r="Z3443" s="24" t="n">
        <x:f>IFERROR(G3443/K3443,0)</x:f>
        <x:v>0.4</x:v>
      </x:c>
      <x:c r="AA3443" s="24" t="n">
        <x:f>IFERROR(F3443/H3443,0)-IFERROR(G3443/I3443,0)</x:f>
        <x:v>-0.08241758241758243</x:v>
      </x:c>
      <x:c r="AB3443" s="28" t="n">
        <x:f>J3443-K3443</x:f>
        <x:v>-2</x:v>
      </x:c>
      <x:c r="AC3443" s="32" t="n">
        <x:f>F3443-G3443</x:f>
        <x:v>-1</x:v>
      </x:c>
    </x:row>
    <x:row r="3444">
      <x:c r="A3444" s="4" t="str">
        <x:v>2025-26</x:v>
      </x:c>
      <x:c r="B3444" s="20" t="n">
        <x:v>46029</x:v>
      </x:c>
      <x:c r="C3444" s="4" t="str">
        <x:v>Aston Villa</x:v>
      </x:c>
      <x:c r="D3444" s="4" t="str">
        <x:v>Crystal Palace</x:v>
      </x:c>
      <x:c r="E3444" s="4" t="str">
        <x:v>Away</x:v>
      </x:c>
      <x:c r="F3444" s="28" t="n">
        <x:v>0</x:v>
      </x:c>
      <x:c r="G3444" s="28" t="n">
        <x:v>0</x:v>
      </x:c>
      <x:c r="H3444" s="28" t="n">
        <x:v>15</x:v>
      </x:c>
      <x:c r="I3444" s="28" t="n">
        <x:v>11</x:v>
      </x:c>
      <x:c r="J3444" s="28" t="n">
        <x:v>3</x:v>
      </x:c>
      <x:c r="K3444" s="28" t="n">
        <x:v>5</x:v>
      </x:c>
      <x:c r="L3444" s="28" t="n">
        <x:v>5</x:v>
      </x:c>
      <x:c r="M3444" s="28" t="n">
        <x:v>3</x:v>
      </x:c>
      <x:c r="N3444" s="28" t="n">
        <x:v>0</x:v>
      </x:c>
      <x:c r="O3444" s="28" t="n">
        <x:v>0</x:v>
      </x:c>
      <x:c r="P3444" s="28" t="n">
        <x:v>1</x:v>
      </x:c>
      <x:c r="Q3444" s="24" t="n">
        <x:f>IFERROR(J3444/H3444,0)</x:f>
        <x:v>0.2</x:v>
      </x:c>
      <x:c r="R3444" s="24" t="n">
        <x:f>IFERROR(F3444/H3444,0)</x:f>
        <x:v>0</x:v>
      </x:c>
      <x:c r="S3444" s="24" t="n">
        <x:f>IFERROR(F3444/J3444,0)</x:f>
        <x:v>0</x:v>
      </x:c>
      <x:c r="T3444" s="28" t="n">
        <x:f>H3444-I3444</x:f>
        <x:v>4</x:v>
      </x:c>
      <x:c r="U3444" s="24" t="n">
        <x:f>IFERROR(J3444/H3444,0)-IFERROR(K3444/I3444,0)</x:f>
        <x:v>-0.2545454545454545</x:v>
      </x:c>
      <x:c r="V3444" s="24" t="n">
        <x:f>IFERROR(F3444/J3444,0)-IFERROR(G3444/K3444,0)</x:f>
        <x:v>0</x:v>
      </x:c>
      <x:c r="W3444" s="28" t="n">
        <x:f>L3444-M3444</x:f>
        <x:v>2</x:v>
      </x:c>
      <x:c r="X3444" s="24" t="n">
        <x:f>IFERROR(K3444/I3444,0)</x:f>
        <x:v>0.45454545454545453</x:v>
      </x:c>
      <x:c r="Y3444" s="24" t="n">
        <x:f>IFERROR(G3444/I3444,0)</x:f>
        <x:v>0</x:v>
      </x:c>
      <x:c r="Z3444" s="24" t="n">
        <x:f>IFERROR(G3444/K3444,0)</x:f>
        <x:v>0</x:v>
      </x:c>
      <x:c r="AA3444" s="24" t="n">
        <x:f>IFERROR(F3444/H3444,0)-IFERROR(G3444/I3444,0)</x:f>
        <x:v>0</x:v>
      </x:c>
      <x:c r="AB3444" s="28" t="n">
        <x:f>J3444-K3444</x:f>
        <x:v>-2</x:v>
      </x:c>
      <x:c r="AC3444" s="32" t="n">
        <x:f>F3444-G3444</x:f>
        <x:v>0</x:v>
      </x:c>
    </x:row>
    <x:row r="3445">
      <x:c r="A3445" s="4" t="str">
        <x:v>2025-26</x:v>
      </x:c>
      <x:c r="B3445" s="20" t="n">
        <x:v>46029</x:v>
      </x:c>
      <x:c r="C3445" s="4" t="str">
        <x:v>Bournemouth</x:v>
      </x:c>
      <x:c r="D3445" s="4" t="str">
        <x:v>Tottenham</x:v>
      </x:c>
      <x:c r="E3445" s="4" t="str">
        <x:v>Home</x:v>
      </x:c>
      <x:c r="F3445" s="28" t="n">
        <x:v>3</x:v>
      </x:c>
      <x:c r="G3445" s="28" t="n">
        <x:v>2</x:v>
      </x:c>
      <x:c r="H3445" s="28" t="n">
        <x:v>11</x:v>
      </x:c>
      <x:c r="I3445" s="28" t="n">
        <x:v>16</x:v>
      </x:c>
      <x:c r="J3445" s="28" t="n">
        <x:v>3</x:v>
      </x:c>
      <x:c r="K3445" s="28" t="n">
        <x:v>4</x:v>
      </x:c>
      <x:c r="L3445" s="28" t="n">
        <x:v>3</x:v>
      </x:c>
      <x:c r="M3445" s="28" t="n">
        <x:v>7</x:v>
      </x:c>
      <x:c r="N3445" s="28" t="n">
        <x:v>3</x:v>
      </x:c>
      <x:c r="O3445" s="28" t="n">
        <x:v>0</x:v>
      </x:c>
      <x:c r="P3445" s="28" t="n">
        <x:v>3</x:v>
      </x:c>
      <x:c r="Q3445" s="24" t="n">
        <x:f>IFERROR(J3445/H3445,0)</x:f>
        <x:v>0.2727272727272727</x:v>
      </x:c>
      <x:c r="R3445" s="24" t="n">
        <x:f>IFERROR(F3445/H3445,0)</x:f>
        <x:v>0.2727272727272727</x:v>
      </x:c>
      <x:c r="S3445" s="24" t="n">
        <x:f>IFERROR(F3445/J3445,0)</x:f>
        <x:v>1</x:v>
      </x:c>
      <x:c r="T3445" s="28" t="n">
        <x:f>H3445-I3445</x:f>
        <x:v>-5</x:v>
      </x:c>
      <x:c r="U3445" s="24" t="n">
        <x:f>IFERROR(J3445/H3445,0)-IFERROR(K3445/I3445,0)</x:f>
        <x:v>0.022727272727272707</x:v>
      </x:c>
      <x:c r="V3445" s="24" t="n">
        <x:f>IFERROR(F3445/J3445,0)-IFERROR(G3445/K3445,0)</x:f>
        <x:v>0.5</x:v>
      </x:c>
      <x:c r="W3445" s="28" t="n">
        <x:f>L3445-M3445</x:f>
        <x:v>-4</x:v>
      </x:c>
      <x:c r="X3445" s="24" t="n">
        <x:f>IFERROR(K3445/I3445,0)</x:f>
        <x:v>0.25</x:v>
      </x:c>
      <x:c r="Y3445" s="24" t="n">
        <x:f>IFERROR(G3445/I3445,0)</x:f>
        <x:v>0.125</x:v>
      </x:c>
      <x:c r="Z3445" s="24" t="n">
        <x:f>IFERROR(G3445/K3445,0)</x:f>
        <x:v>0.5</x:v>
      </x:c>
      <x:c r="AA3445" s="24" t="n">
        <x:f>IFERROR(F3445/H3445,0)-IFERROR(G3445/I3445,0)</x:f>
        <x:v>0.1477272727272727</x:v>
      </x:c>
      <x:c r="AB3445" s="28" t="n">
        <x:f>J3445-K3445</x:f>
        <x:v>-1</x:v>
      </x:c>
      <x:c r="AC3445" s="32" t="n">
        <x:f>F3445-G3445</x:f>
        <x:v>1</x:v>
      </x:c>
    </x:row>
    <x:row r="3446">
      <x:c r="A3446" s="4" t="str">
        <x:v>2025-26</x:v>
      </x:c>
      <x:c r="B3446" s="20" t="n">
        <x:v>46029</x:v>
      </x:c>
      <x:c r="C3446" s="4" t="str">
        <x:v>Brentford</x:v>
      </x:c>
      <x:c r="D3446" s="4" t="str">
        <x:v>Sunderland</x:v>
      </x:c>
      <x:c r="E3446" s="4" t="str">
        <x:v>Home</x:v>
      </x:c>
      <x:c r="F3446" s="28" t="n">
        <x:v>3</x:v>
      </x:c>
      <x:c r="G3446" s="28" t="n">
        <x:v>0</x:v>
      </x:c>
      <x:c r="H3446" s="28" t="n">
        <x:v>18</x:v>
      </x:c>
      <x:c r="I3446" s="28" t="n">
        <x:v>11</x:v>
      </x:c>
      <x:c r="J3446" s="28" t="n">
        <x:v>6</x:v>
      </x:c>
      <x:c r="K3446" s="28" t="n">
        <x:v>3</x:v>
      </x:c>
      <x:c r="L3446" s="28" t="n">
        <x:v>7</x:v>
      </x:c>
      <x:c r="M3446" s="28" t="n">
        <x:v>4</x:v>
      </x:c>
      <x:c r="N3446" s="28" t="n">
        <x:v>2</x:v>
      </x:c>
      <x:c r="O3446" s="28" t="n">
        <x:v>0</x:v>
      </x:c>
      <x:c r="P3446" s="28" t="n">
        <x:v>3</x:v>
      </x:c>
      <x:c r="Q3446" s="24" t="n">
        <x:f>IFERROR(J3446/H3446,0)</x:f>
        <x:v>0.3333333333333333</x:v>
      </x:c>
      <x:c r="R3446" s="24" t="n">
        <x:f>IFERROR(F3446/H3446,0)</x:f>
        <x:v>0.16666666666666666</x:v>
      </x:c>
      <x:c r="S3446" s="24" t="n">
        <x:f>IFERROR(F3446/J3446,0)</x:f>
        <x:v>0.5</x:v>
      </x:c>
      <x:c r="T3446" s="28" t="n">
        <x:f>H3446-I3446</x:f>
        <x:v>7</x:v>
      </x:c>
      <x:c r="U3446" s="24" t="n">
        <x:f>IFERROR(J3446/H3446,0)-IFERROR(K3446/I3446,0)</x:f>
        <x:v>0.06060606060606061</x:v>
      </x:c>
      <x:c r="V3446" s="24" t="n">
        <x:f>IFERROR(F3446/J3446,0)-IFERROR(G3446/K3446,0)</x:f>
        <x:v>0.5</x:v>
      </x:c>
      <x:c r="W3446" s="28" t="n">
        <x:f>L3446-M3446</x:f>
        <x:v>3</x:v>
      </x:c>
      <x:c r="X3446" s="24" t="n">
        <x:f>IFERROR(K3446/I3446,0)</x:f>
        <x:v>0.2727272727272727</x:v>
      </x:c>
      <x:c r="Y3446" s="24" t="n">
        <x:f>IFERROR(G3446/I3446,0)</x:f>
        <x:v>0</x:v>
      </x:c>
      <x:c r="Z3446" s="24" t="n">
        <x:f>IFERROR(G3446/K3446,0)</x:f>
        <x:v>0</x:v>
      </x:c>
      <x:c r="AA3446" s="24" t="n">
        <x:f>IFERROR(F3446/H3446,0)-IFERROR(G3446/I3446,0)</x:f>
        <x:v>0.16666666666666666</x:v>
      </x:c>
      <x:c r="AB3446" s="28" t="n">
        <x:f>J3446-K3446</x:f>
        <x:v>3</x:v>
      </x:c>
      <x:c r="AC3446" s="32" t="n">
        <x:f>F3446-G3446</x:f>
        <x:v>3</x:v>
      </x:c>
    </x:row>
    <x:row r="3447">
      <x:c r="A3447" s="4" t="str">
        <x:v>2025-26</x:v>
      </x:c>
      <x:c r="B3447" s="20" t="n">
        <x:v>46029</x:v>
      </x:c>
      <x:c r="C3447" s="4" t="str">
        <x:v>Brighton</x:v>
      </x:c>
      <x:c r="D3447" s="4" t="str">
        <x:v>Man City</x:v>
      </x:c>
      <x:c r="E3447" s="4" t="str">
        <x:v>Away</x:v>
      </x:c>
      <x:c r="F3447" s="28" t="n">
        <x:v>1</x:v>
      </x:c>
      <x:c r="G3447" s="28" t="n">
        <x:v>1</x:v>
      </x:c>
      <x:c r="H3447" s="28" t="n">
        <x:v>6</x:v>
      </x:c>
      <x:c r="I3447" s="28" t="n">
        <x:v>22</x:v>
      </x:c>
      <x:c r="J3447" s="28" t="n">
        <x:v>3</x:v>
      </x:c>
      <x:c r="K3447" s="28" t="n">
        <x:v>6</x:v>
      </x:c>
      <x:c r="L3447" s="28" t="n">
        <x:v>2</x:v>
      </x:c>
      <x:c r="M3447" s="28" t="n">
        <x:v>6</x:v>
      </x:c>
      <x:c r="N3447" s="28" t="n">
        <x:v>6</x:v>
      </x:c>
      <x:c r="O3447" s="28" t="n">
        <x:v>0</x:v>
      </x:c>
      <x:c r="P3447" s="28" t="n">
        <x:v>1</x:v>
      </x:c>
      <x:c r="Q3447" s="24" t="n">
        <x:f>IFERROR(J3447/H3447,0)</x:f>
        <x:v>0.5</x:v>
      </x:c>
      <x:c r="R3447" s="24" t="n">
        <x:f>IFERROR(F3447/H3447,0)</x:f>
        <x:v>0.16666666666666666</x:v>
      </x:c>
      <x:c r="S3447" s="24" t="n">
        <x:f>IFERROR(F3447/J3447,0)</x:f>
        <x:v>0.3333333333333333</x:v>
      </x:c>
      <x:c r="T3447" s="28" t="n">
        <x:f>H3447-I3447</x:f>
        <x:v>-16</x:v>
      </x:c>
      <x:c r="U3447" s="24" t="n">
        <x:f>IFERROR(J3447/H3447,0)-IFERROR(K3447/I3447,0)</x:f>
        <x:v>0.2272727272727273</x:v>
      </x:c>
      <x:c r="V3447" s="24" t="n">
        <x:f>IFERROR(F3447/J3447,0)-IFERROR(G3447/K3447,0)</x:f>
        <x:v>0.16666666666666666</x:v>
      </x:c>
      <x:c r="W3447" s="28" t="n">
        <x:f>L3447-M3447</x:f>
        <x:v>-4</x:v>
      </x:c>
      <x:c r="X3447" s="24" t="n">
        <x:f>IFERROR(K3447/I3447,0)</x:f>
        <x:v>0.2727272727272727</x:v>
      </x:c>
      <x:c r="Y3447" s="24" t="n">
        <x:f>IFERROR(G3447/I3447,0)</x:f>
        <x:v>0.045454545454545456</x:v>
      </x:c>
      <x:c r="Z3447" s="24" t="n">
        <x:f>IFERROR(G3447/K3447,0)</x:f>
        <x:v>0.16666666666666666</x:v>
      </x:c>
      <x:c r="AA3447" s="24" t="n">
        <x:f>IFERROR(F3447/H3447,0)-IFERROR(G3447/I3447,0)</x:f>
        <x:v>0.1212121212121212</x:v>
      </x:c>
      <x:c r="AB3447" s="28" t="n">
        <x:f>J3447-K3447</x:f>
        <x:v>-3</x:v>
      </x:c>
      <x:c r="AC3447" s="32" t="n">
        <x:f>F3447-G3447</x:f>
        <x:v>0</x:v>
      </x:c>
    </x:row>
    <x:row r="3448">
      <x:c r="A3448" s="4" t="str">
        <x:v>2025-26</x:v>
      </x:c>
      <x:c r="B3448" s="20" t="n">
        <x:v>46029</x:v>
      </x:c>
      <x:c r="C3448" s="4" t="str">
        <x:v>Burnley</x:v>
      </x:c>
      <x:c r="D3448" s="4" t="str">
        <x:v>Man United</x:v>
      </x:c>
      <x:c r="E3448" s="4" t="str">
        <x:v>Home</x:v>
      </x:c>
      <x:c r="F3448" s="28" t="n">
        <x:v>2</x:v>
      </x:c>
      <x:c r="G3448" s="28" t="n">
        <x:v>2</x:v>
      </x:c>
      <x:c r="H3448" s="28" t="n">
        <x:v>7</x:v>
      </x:c>
      <x:c r="I3448" s="28" t="n">
        <x:v>30</x:v>
      </x:c>
      <x:c r="J3448" s="28" t="n">
        <x:v>1</x:v>
      </x:c>
      <x:c r="K3448" s="28" t="n">
        <x:v>10</x:v>
      </x:c>
      <x:c r="L3448" s="28" t="n">
        <x:v>2</x:v>
      </x:c>
      <x:c r="M3448" s="28" t="n">
        <x:v>6</x:v>
      </x:c>
      <x:c r="N3448" s="28" t="n">
        <x:v>2</x:v>
      </x:c>
      <x:c r="O3448" s="28" t="n">
        <x:v>0</x:v>
      </x:c>
      <x:c r="P3448" s="28" t="n">
        <x:v>1</x:v>
      </x:c>
      <x:c r="Q3448" s="24" t="n">
        <x:f>IFERROR(J3448/H3448,0)</x:f>
        <x:v>0.14285714285714285</x:v>
      </x:c>
      <x:c r="R3448" s="24" t="n">
        <x:f>IFERROR(F3448/H3448,0)</x:f>
        <x:v>0.2857142857142857</x:v>
      </x:c>
      <x:c r="S3448" s="24" t="n">
        <x:f>IFERROR(F3448/J3448,0)</x:f>
        <x:v>2</x:v>
      </x:c>
      <x:c r="T3448" s="28" t="n">
        <x:f>H3448-I3448</x:f>
        <x:v>-23</x:v>
      </x:c>
      <x:c r="U3448" s="24" t="n">
        <x:f>IFERROR(J3448/H3448,0)-IFERROR(K3448/I3448,0)</x:f>
        <x:v>-0.19047619047619047</x:v>
      </x:c>
      <x:c r="V3448" s="24" t="n">
        <x:f>IFERROR(F3448/J3448,0)-IFERROR(G3448/K3448,0)</x:f>
        <x:v>1.8</x:v>
      </x:c>
      <x:c r="W3448" s="28" t="n">
        <x:f>L3448-M3448</x:f>
        <x:v>-4</x:v>
      </x:c>
      <x:c r="X3448" s="24" t="n">
        <x:f>IFERROR(K3448/I3448,0)</x:f>
        <x:v>0.3333333333333333</x:v>
      </x:c>
      <x:c r="Y3448" s="24" t="n">
        <x:f>IFERROR(G3448/I3448,0)</x:f>
        <x:v>0.06666666666666667</x:v>
      </x:c>
      <x:c r="Z3448" s="24" t="n">
        <x:f>IFERROR(G3448/K3448,0)</x:f>
        <x:v>0.2</x:v>
      </x:c>
      <x:c r="AA3448" s="24" t="n">
        <x:f>IFERROR(F3448/H3448,0)-IFERROR(G3448/I3448,0)</x:f>
        <x:v>0.21904761904761905</x:v>
      </x:c>
      <x:c r="AB3448" s="28" t="n">
        <x:f>J3448-K3448</x:f>
        <x:v>-9</x:v>
      </x:c>
      <x:c r="AC3448" s="32" t="n">
        <x:f>F3448-G3448</x:f>
        <x:v>0</x:v>
      </x:c>
    </x:row>
    <x:row r="3449">
      <x:c r="A3449" s="4" t="str">
        <x:v>2025-26</x:v>
      </x:c>
      <x:c r="B3449" s="20" t="n">
        <x:v>46029</x:v>
      </x:c>
      <x:c r="C3449" s="4" t="str">
        <x:v>Chelsea</x:v>
      </x:c>
      <x:c r="D3449" s="4" t="str">
        <x:v>Fulham</x:v>
      </x:c>
      <x:c r="E3449" s="4" t="str">
        <x:v>Away</x:v>
      </x:c>
      <x:c r="F3449" s="28" t="n">
        <x:v>1</x:v>
      </x:c>
      <x:c r="G3449" s="28" t="n">
        <x:v>2</x:v>
      </x:c>
      <x:c r="H3449" s="28" t="n">
        <x:v>14</x:v>
      </x:c>
      <x:c r="I3449" s="28" t="n">
        <x:v>16</x:v>
      </x:c>
      <x:c r="J3449" s="28" t="n">
        <x:v>6</x:v>
      </x:c>
      <x:c r="K3449" s="28" t="n">
        <x:v>5</x:v>
      </x:c>
      <x:c r="L3449" s="28" t="n">
        <x:v>11</x:v>
      </x:c>
      <x:c r="M3449" s="28" t="n">
        <x:v>2</x:v>
      </x:c>
      <x:c r="N3449" s="28" t="n">
        <x:v>3</x:v>
      </x:c>
      <x:c r="O3449" s="28" t="n">
        <x:v>1</x:v>
      </x:c>
      <x:c r="P3449" s="28" t="n">
        <x:v>0</x:v>
      </x:c>
      <x:c r="Q3449" s="24" t="n">
        <x:f>IFERROR(J3449/H3449,0)</x:f>
        <x:v>0.42857142857142855</x:v>
      </x:c>
      <x:c r="R3449" s="24" t="n">
        <x:f>IFERROR(F3449/H3449,0)</x:f>
        <x:v>0.07142857142857142</x:v>
      </x:c>
      <x:c r="S3449" s="24" t="n">
        <x:f>IFERROR(F3449/J3449,0)</x:f>
        <x:v>0.16666666666666666</x:v>
      </x:c>
      <x:c r="T3449" s="28" t="n">
        <x:f>H3449-I3449</x:f>
        <x:v>-2</x:v>
      </x:c>
      <x:c r="U3449" s="24" t="n">
        <x:f>IFERROR(J3449/H3449,0)-IFERROR(K3449/I3449,0)</x:f>
        <x:v>0.11607142857142855</x:v>
      </x:c>
      <x:c r="V3449" s="24" t="n">
        <x:f>IFERROR(F3449/J3449,0)-IFERROR(G3449/K3449,0)</x:f>
        <x:v>-0.23333333333333336</x:v>
      </x:c>
      <x:c r="W3449" s="28" t="n">
        <x:f>L3449-M3449</x:f>
        <x:v>9</x:v>
      </x:c>
      <x:c r="X3449" s="24" t="n">
        <x:f>IFERROR(K3449/I3449,0)</x:f>
        <x:v>0.3125</x:v>
      </x:c>
      <x:c r="Y3449" s="24" t="n">
        <x:f>IFERROR(G3449/I3449,0)</x:f>
        <x:v>0.125</x:v>
      </x:c>
      <x:c r="Z3449" s="24" t="n">
        <x:f>IFERROR(G3449/K3449,0)</x:f>
        <x:v>0.4</x:v>
      </x:c>
      <x:c r="AA3449" s="24" t="n">
        <x:f>IFERROR(F3449/H3449,0)-IFERROR(G3449/I3449,0)</x:f>
        <x:v>-0.053571428571428575</x:v>
      </x:c>
      <x:c r="AB3449" s="28" t="n">
        <x:f>J3449-K3449</x:f>
        <x:v>1</x:v>
      </x:c>
      <x:c r="AC3449" s="32" t="n">
        <x:f>F3449-G3449</x:f>
        <x:v>-1</x:v>
      </x:c>
    </x:row>
    <x:row r="3450">
      <x:c r="A3450" s="4" t="str">
        <x:v>2025-26</x:v>
      </x:c>
      <x:c r="B3450" s="20" t="n">
        <x:v>46029</x:v>
      </x:c>
      <x:c r="C3450" s="4" t="str">
        <x:v>Crystal Palace</x:v>
      </x:c>
      <x:c r="D3450" s="4" t="str">
        <x:v>Aston Villa</x:v>
      </x:c>
      <x:c r="E3450" s="4" t="str">
        <x:v>Home</x:v>
      </x:c>
      <x:c r="F3450" s="28" t="n">
        <x:v>0</x:v>
      </x:c>
      <x:c r="G3450" s="28" t="n">
        <x:v>0</x:v>
      </x:c>
      <x:c r="H3450" s="28" t="n">
        <x:v>11</x:v>
      </x:c>
      <x:c r="I3450" s="28" t="n">
        <x:v>15</x:v>
      </x:c>
      <x:c r="J3450" s="28" t="n">
        <x:v>5</x:v>
      </x:c>
      <x:c r="K3450" s="28" t="n">
        <x:v>3</x:v>
      </x:c>
      <x:c r="L3450" s="28" t="n">
        <x:v>3</x:v>
      </x:c>
      <x:c r="M3450" s="28" t="n">
        <x:v>5</x:v>
      </x:c>
      <x:c r="N3450" s="28" t="n">
        <x:v>2</x:v>
      </x:c>
      <x:c r="O3450" s="28" t="n">
        <x:v>0</x:v>
      </x:c>
      <x:c r="P3450" s="28" t="n">
        <x:v>1</x:v>
      </x:c>
      <x:c r="Q3450" s="24" t="n">
        <x:f>IFERROR(J3450/H3450,0)</x:f>
        <x:v>0.45454545454545453</x:v>
      </x:c>
      <x:c r="R3450" s="24" t="n">
        <x:f>IFERROR(F3450/H3450,0)</x:f>
        <x:v>0</x:v>
      </x:c>
      <x:c r="S3450" s="24" t="n">
        <x:f>IFERROR(F3450/J3450,0)</x:f>
        <x:v>0</x:v>
      </x:c>
      <x:c r="T3450" s="28" t="n">
        <x:f>H3450-I3450</x:f>
        <x:v>-4</x:v>
      </x:c>
      <x:c r="U3450" s="24" t="n">
        <x:f>IFERROR(J3450/H3450,0)-IFERROR(K3450/I3450,0)</x:f>
        <x:v>0.2545454545454545</x:v>
      </x:c>
      <x:c r="V3450" s="24" t="n">
        <x:f>IFERROR(F3450/J3450,0)-IFERROR(G3450/K3450,0)</x:f>
        <x:v>0</x:v>
      </x:c>
      <x:c r="W3450" s="28" t="n">
        <x:f>L3450-M3450</x:f>
        <x:v>-2</x:v>
      </x:c>
      <x:c r="X3450" s="24" t="n">
        <x:f>IFERROR(K3450/I3450,0)</x:f>
        <x:v>0.2</x:v>
      </x:c>
      <x:c r="Y3450" s="24" t="n">
        <x:f>IFERROR(G3450/I3450,0)</x:f>
        <x:v>0</x:v>
      </x:c>
      <x:c r="Z3450" s="24" t="n">
        <x:f>IFERROR(G3450/K3450,0)</x:f>
        <x:v>0</x:v>
      </x:c>
      <x:c r="AA3450" s="24" t="n">
        <x:f>IFERROR(F3450/H3450,0)-IFERROR(G3450/I3450,0)</x:f>
        <x:v>0</x:v>
      </x:c>
      <x:c r="AB3450" s="28" t="n">
        <x:f>J3450-K3450</x:f>
        <x:v>2</x:v>
      </x:c>
      <x:c r="AC3450" s="32" t="n">
        <x:f>F3450-G3450</x:f>
        <x:v>0</x:v>
      </x:c>
    </x:row>
    <x:row r="3451">
      <x:c r="A3451" s="4" t="str">
        <x:v>2025-26</x:v>
      </x:c>
      <x:c r="B3451" s="20" t="n">
        <x:v>46029</x:v>
      </x:c>
      <x:c r="C3451" s="4" t="str">
        <x:v>Everton</x:v>
      </x:c>
      <x:c r="D3451" s="4" t="str">
        <x:v>Wolves</x:v>
      </x:c>
      <x:c r="E3451" s="4" t="str">
        <x:v>Home</x:v>
      </x:c>
      <x:c r="F3451" s="28" t="n">
        <x:v>1</x:v>
      </x:c>
      <x:c r="G3451" s="28" t="n">
        <x:v>1</x:v>
      </x:c>
      <x:c r="H3451" s="28" t="n">
        <x:v>13</x:v>
      </x:c>
      <x:c r="I3451" s="28" t="n">
        <x:v>13</x:v>
      </x:c>
      <x:c r="J3451" s="28" t="n">
        <x:v>2</x:v>
      </x:c>
      <x:c r="K3451" s="28" t="n">
        <x:v>4</x:v>
      </x:c>
      <x:c r="L3451" s="28" t="n">
        <x:v>2</x:v>
      </x:c>
      <x:c r="M3451" s="28" t="n">
        <x:v>7</x:v>
      </x:c>
      <x:c r="N3451" s="28" t="n">
        <x:v>1</x:v>
      </x:c>
      <x:c r="O3451" s="28" t="n">
        <x:v>2</x:v>
      </x:c>
      <x:c r="P3451" s="28" t="n">
        <x:v>1</x:v>
      </x:c>
      <x:c r="Q3451" s="24" t="n">
        <x:f>IFERROR(J3451/H3451,0)</x:f>
        <x:v>0.15384615384615385</x:v>
      </x:c>
      <x:c r="R3451" s="24" t="n">
        <x:f>IFERROR(F3451/H3451,0)</x:f>
        <x:v>0.07692307692307693</x:v>
      </x:c>
      <x:c r="S3451" s="24" t="n">
        <x:f>IFERROR(F3451/J3451,0)</x:f>
        <x:v>0.5</x:v>
      </x:c>
      <x:c r="T3451" s="28" t="n">
        <x:f>H3451-I3451</x:f>
        <x:v>0</x:v>
      </x:c>
      <x:c r="U3451" s="24" t="n">
        <x:f>IFERROR(J3451/H3451,0)-IFERROR(K3451/I3451,0)</x:f>
        <x:v>-0.15384615384615385</x:v>
      </x:c>
      <x:c r="V3451" s="24" t="n">
        <x:f>IFERROR(F3451/J3451,0)-IFERROR(G3451/K3451,0)</x:f>
        <x:v>0.25</x:v>
      </x:c>
      <x:c r="W3451" s="28" t="n">
        <x:f>L3451-M3451</x:f>
        <x:v>-5</x:v>
      </x:c>
      <x:c r="X3451" s="24" t="n">
        <x:f>IFERROR(K3451/I3451,0)</x:f>
        <x:v>0.3076923076923077</x:v>
      </x:c>
      <x:c r="Y3451" s="24" t="n">
        <x:f>IFERROR(G3451/I3451,0)</x:f>
        <x:v>0.07692307692307693</x:v>
      </x:c>
      <x:c r="Z3451" s="24" t="n">
        <x:f>IFERROR(G3451/K3451,0)</x:f>
        <x:v>0.25</x:v>
      </x:c>
      <x:c r="AA3451" s="24" t="n">
        <x:f>IFERROR(F3451/H3451,0)-IFERROR(G3451/I3451,0)</x:f>
        <x:v>0</x:v>
      </x:c>
      <x:c r="AB3451" s="28" t="n">
        <x:f>J3451-K3451</x:f>
        <x:v>-2</x:v>
      </x:c>
      <x:c r="AC3451" s="32" t="n">
        <x:f>F3451-G3451</x:f>
        <x:v>0</x:v>
      </x:c>
    </x:row>
    <x:row r="3452">
      <x:c r="A3452" s="4" t="str">
        <x:v>2025-26</x:v>
      </x:c>
      <x:c r="B3452" s="20" t="n">
        <x:v>46029</x:v>
      </x:c>
      <x:c r="C3452" s="4" t="str">
        <x:v>Fulham</x:v>
      </x:c>
      <x:c r="D3452" s="4" t="str">
        <x:v>Chelsea</x:v>
      </x:c>
      <x:c r="E3452" s="4" t="str">
        <x:v>Home</x:v>
      </x:c>
      <x:c r="F3452" s="28" t="n">
        <x:v>2</x:v>
      </x:c>
      <x:c r="G3452" s="28" t="n">
        <x:v>1</x:v>
      </x:c>
      <x:c r="H3452" s="28" t="n">
        <x:v>16</x:v>
      </x:c>
      <x:c r="I3452" s="28" t="n">
        <x:v>14</x:v>
      </x:c>
      <x:c r="J3452" s="28" t="n">
        <x:v>5</x:v>
      </x:c>
      <x:c r="K3452" s="28" t="n">
        <x:v>6</x:v>
      </x:c>
      <x:c r="L3452" s="28" t="n">
        <x:v>2</x:v>
      </x:c>
      <x:c r="M3452" s="28" t="n">
        <x:v>11</x:v>
      </x:c>
      <x:c r="N3452" s="28" t="n">
        <x:v>3</x:v>
      </x:c>
      <x:c r="O3452" s="28" t="n">
        <x:v>0</x:v>
      </x:c>
      <x:c r="P3452" s="28" t="n">
        <x:v>3</x:v>
      </x:c>
      <x:c r="Q3452" s="24" t="n">
        <x:f>IFERROR(J3452/H3452,0)</x:f>
        <x:v>0.3125</x:v>
      </x:c>
      <x:c r="R3452" s="24" t="n">
        <x:f>IFERROR(F3452/H3452,0)</x:f>
        <x:v>0.125</x:v>
      </x:c>
      <x:c r="S3452" s="24" t="n">
        <x:f>IFERROR(F3452/J3452,0)</x:f>
        <x:v>0.4</x:v>
      </x:c>
      <x:c r="T3452" s="28" t="n">
        <x:f>H3452-I3452</x:f>
        <x:v>2</x:v>
      </x:c>
      <x:c r="U3452" s="24" t="n">
        <x:f>IFERROR(J3452/H3452,0)-IFERROR(K3452/I3452,0)</x:f>
        <x:v>-0.11607142857142855</x:v>
      </x:c>
      <x:c r="V3452" s="24" t="n">
        <x:f>IFERROR(F3452/J3452,0)-IFERROR(G3452/K3452,0)</x:f>
        <x:v>0.23333333333333336</x:v>
      </x:c>
      <x:c r="W3452" s="28" t="n">
        <x:f>L3452-M3452</x:f>
        <x:v>-9</x:v>
      </x:c>
      <x:c r="X3452" s="24" t="n">
        <x:f>IFERROR(K3452/I3452,0)</x:f>
        <x:v>0.42857142857142855</x:v>
      </x:c>
      <x:c r="Y3452" s="24" t="n">
        <x:f>IFERROR(G3452/I3452,0)</x:f>
        <x:v>0.07142857142857142</x:v>
      </x:c>
      <x:c r="Z3452" s="24" t="n">
        <x:f>IFERROR(G3452/K3452,0)</x:f>
        <x:v>0.16666666666666666</x:v>
      </x:c>
      <x:c r="AA3452" s="24" t="n">
        <x:f>IFERROR(F3452/H3452,0)-IFERROR(G3452/I3452,0)</x:f>
        <x:v>0.053571428571428575</x:v>
      </x:c>
      <x:c r="AB3452" s="28" t="n">
        <x:f>J3452-K3452</x:f>
        <x:v>-1</x:v>
      </x:c>
      <x:c r="AC3452" s="32" t="n">
        <x:f>F3452-G3452</x:f>
        <x:v>1</x:v>
      </x:c>
    </x:row>
    <x:row r="3453">
      <x:c r="A3453" s="4" t="str">
        <x:v>2025-26</x:v>
      </x:c>
      <x:c r="B3453" s="20" t="n">
        <x:v>46029</x:v>
      </x:c>
      <x:c r="C3453" s="4" t="str">
        <x:v>Leeds</x:v>
      </x:c>
      <x:c r="D3453" s="4" t="str">
        <x:v>Newcastle</x:v>
      </x:c>
      <x:c r="E3453" s="4" t="str">
        <x:v>Away</x:v>
      </x:c>
      <x:c r="F3453" s="28" t="n">
        <x:v>3</x:v>
      </x:c>
      <x:c r="G3453" s="28" t="n">
        <x:v>4</x:v>
      </x:c>
      <x:c r="H3453" s="28" t="n">
        <x:v>14</x:v>
      </x:c>
      <x:c r="I3453" s="28" t="n">
        <x:v>18</x:v>
      </x:c>
      <x:c r="J3453" s="28" t="n">
        <x:v>6</x:v>
      </x:c>
      <x:c r="K3453" s="28" t="n">
        <x:v>8</x:v>
      </x:c>
      <x:c r="L3453" s="28" t="n">
        <x:v>4</x:v>
      </x:c>
      <x:c r="M3453" s="28" t="n">
        <x:v>8</x:v>
      </x:c>
      <x:c r="N3453" s="28" t="n">
        <x:v>2</x:v>
      </x:c>
      <x:c r="O3453" s="28" t="n">
        <x:v>0</x:v>
      </x:c>
      <x:c r="P3453" s="28" t="n">
        <x:v>0</x:v>
      </x:c>
      <x:c r="Q3453" s="24" t="n">
        <x:f>IFERROR(J3453/H3453,0)</x:f>
        <x:v>0.42857142857142855</x:v>
      </x:c>
      <x:c r="R3453" s="24" t="n">
        <x:f>IFERROR(F3453/H3453,0)</x:f>
        <x:v>0.21428571428571427</x:v>
      </x:c>
      <x:c r="S3453" s="24" t="n">
        <x:f>IFERROR(F3453/J3453,0)</x:f>
        <x:v>0.5</x:v>
      </x:c>
      <x:c r="T3453" s="28" t="n">
        <x:f>H3453-I3453</x:f>
        <x:v>-4</x:v>
      </x:c>
      <x:c r="U3453" s="24" t="n">
        <x:f>IFERROR(J3453/H3453,0)-IFERROR(K3453/I3453,0)</x:f>
        <x:v>-0.015873015873015872</x:v>
      </x:c>
      <x:c r="V3453" s="24" t="n">
        <x:f>IFERROR(F3453/J3453,0)-IFERROR(G3453/K3453,0)</x:f>
        <x:v>0</x:v>
      </x:c>
      <x:c r="W3453" s="28" t="n">
        <x:f>L3453-M3453</x:f>
        <x:v>-4</x:v>
      </x:c>
      <x:c r="X3453" s="24" t="n">
        <x:f>IFERROR(K3453/I3453,0)</x:f>
        <x:v>0.4444444444444444</x:v>
      </x:c>
      <x:c r="Y3453" s="24" t="n">
        <x:f>IFERROR(G3453/I3453,0)</x:f>
        <x:v>0.2222222222222222</x:v>
      </x:c>
      <x:c r="Z3453" s="24" t="n">
        <x:f>IFERROR(G3453/K3453,0)</x:f>
        <x:v>0.5</x:v>
      </x:c>
      <x:c r="AA3453" s="24" t="n">
        <x:f>IFERROR(F3453/H3453,0)-IFERROR(G3453/I3453,0)</x:f>
        <x:v>-0.007936507936507936</x:v>
      </x:c>
      <x:c r="AB3453" s="28" t="n">
        <x:f>J3453-K3453</x:f>
        <x:v>-2</x:v>
      </x:c>
      <x:c r="AC3453" s="32" t="n">
        <x:f>F3453-G3453</x:f>
        <x:v>-1</x:v>
      </x:c>
    </x:row>
    <x:row r="3454">
      <x:c r="A3454" s="4" t="str">
        <x:v>2025-26</x:v>
      </x:c>
      <x:c r="B3454" s="20" t="n">
        <x:v>46029</x:v>
      </x:c>
      <x:c r="C3454" s="4" t="str">
        <x:v>Man City</x:v>
      </x:c>
      <x:c r="D3454" s="4" t="str">
        <x:v>Brighton</x:v>
      </x:c>
      <x:c r="E3454" s="4" t="str">
        <x:v>Home</x:v>
      </x:c>
      <x:c r="F3454" s="28" t="n">
        <x:v>1</x:v>
      </x:c>
      <x:c r="G3454" s="28" t="n">
        <x:v>1</x:v>
      </x:c>
      <x:c r="H3454" s="28" t="n">
        <x:v>22</x:v>
      </x:c>
      <x:c r="I3454" s="28" t="n">
        <x:v>6</x:v>
      </x:c>
      <x:c r="J3454" s="28" t="n">
        <x:v>6</x:v>
      </x:c>
      <x:c r="K3454" s="28" t="n">
        <x:v>3</x:v>
      </x:c>
      <x:c r="L3454" s="28" t="n">
        <x:v>6</x:v>
      </x:c>
      <x:c r="M3454" s="28" t="n">
        <x:v>2</x:v>
      </x:c>
      <x:c r="N3454" s="28" t="n">
        <x:v>1</x:v>
      </x:c>
      <x:c r="O3454" s="28" t="n">
        <x:v>0</x:v>
      </x:c>
      <x:c r="P3454" s="28" t="n">
        <x:v>1</x:v>
      </x:c>
      <x:c r="Q3454" s="24" t="n">
        <x:f>IFERROR(J3454/H3454,0)</x:f>
        <x:v>0.2727272727272727</x:v>
      </x:c>
      <x:c r="R3454" s="24" t="n">
        <x:f>IFERROR(F3454/H3454,0)</x:f>
        <x:v>0.045454545454545456</x:v>
      </x:c>
      <x:c r="S3454" s="24" t="n">
        <x:f>IFERROR(F3454/J3454,0)</x:f>
        <x:v>0.16666666666666666</x:v>
      </x:c>
      <x:c r="T3454" s="28" t="n">
        <x:f>H3454-I3454</x:f>
        <x:v>16</x:v>
      </x:c>
      <x:c r="U3454" s="24" t="n">
        <x:f>IFERROR(J3454/H3454,0)-IFERROR(K3454/I3454,0)</x:f>
        <x:v>-0.2272727272727273</x:v>
      </x:c>
      <x:c r="V3454" s="24" t="n">
        <x:f>IFERROR(F3454/J3454,0)-IFERROR(G3454/K3454,0)</x:f>
        <x:v>-0.16666666666666666</x:v>
      </x:c>
      <x:c r="W3454" s="28" t="n">
        <x:f>L3454-M3454</x:f>
        <x:v>4</x:v>
      </x:c>
      <x:c r="X3454" s="24" t="n">
        <x:f>IFERROR(K3454/I3454,0)</x:f>
        <x:v>0.5</x:v>
      </x:c>
      <x:c r="Y3454" s="24" t="n">
        <x:f>IFERROR(G3454/I3454,0)</x:f>
        <x:v>0.16666666666666666</x:v>
      </x:c>
      <x:c r="Z3454" s="24" t="n">
        <x:f>IFERROR(G3454/K3454,0)</x:f>
        <x:v>0.3333333333333333</x:v>
      </x:c>
      <x:c r="AA3454" s="24" t="n">
        <x:f>IFERROR(F3454/H3454,0)-IFERROR(G3454/I3454,0)</x:f>
        <x:v>-0.1212121212121212</x:v>
      </x:c>
      <x:c r="AB3454" s="28" t="n">
        <x:f>J3454-K3454</x:f>
        <x:v>3</x:v>
      </x:c>
      <x:c r="AC3454" s="32" t="n">
        <x:f>F3454-G3454</x:f>
        <x:v>0</x:v>
      </x:c>
    </x:row>
    <x:row r="3455">
      <x:c r="A3455" s="4" t="str">
        <x:v>2025-26</x:v>
      </x:c>
      <x:c r="B3455" s="20" t="n">
        <x:v>46029</x:v>
      </x:c>
      <x:c r="C3455" s="4" t="str">
        <x:v>Man United</x:v>
      </x:c>
      <x:c r="D3455" s="4" t="str">
        <x:v>Burnley</x:v>
      </x:c>
      <x:c r="E3455" s="4" t="str">
        <x:v>Away</x:v>
      </x:c>
      <x:c r="F3455" s="28" t="n">
        <x:v>2</x:v>
      </x:c>
      <x:c r="G3455" s="28" t="n">
        <x:v>2</x:v>
      </x:c>
      <x:c r="H3455" s="28" t="n">
        <x:v>30</x:v>
      </x:c>
      <x:c r="I3455" s="28" t="n">
        <x:v>7</x:v>
      </x:c>
      <x:c r="J3455" s="28" t="n">
        <x:v>10</x:v>
      </x:c>
      <x:c r="K3455" s="28" t="n">
        <x:v>1</x:v>
      </x:c>
      <x:c r="L3455" s="28" t="n">
        <x:v>6</x:v>
      </x:c>
      <x:c r="M3455" s="28" t="n">
        <x:v>2</x:v>
      </x:c>
      <x:c r="N3455" s="28" t="n">
        <x:v>0</x:v>
      </x:c>
      <x:c r="O3455" s="28" t="n">
        <x:v>0</x:v>
      </x:c>
      <x:c r="P3455" s="28" t="n">
        <x:v>1</x:v>
      </x:c>
      <x:c r="Q3455" s="24" t="n">
        <x:f>IFERROR(J3455/H3455,0)</x:f>
        <x:v>0.3333333333333333</x:v>
      </x:c>
      <x:c r="R3455" s="24" t="n">
        <x:f>IFERROR(F3455/H3455,0)</x:f>
        <x:v>0.06666666666666667</x:v>
      </x:c>
      <x:c r="S3455" s="24" t="n">
        <x:f>IFERROR(F3455/J3455,0)</x:f>
        <x:v>0.2</x:v>
      </x:c>
      <x:c r="T3455" s="28" t="n">
        <x:f>H3455-I3455</x:f>
        <x:v>23</x:v>
      </x:c>
      <x:c r="U3455" s="24" t="n">
        <x:f>IFERROR(J3455/H3455,0)-IFERROR(K3455/I3455,0)</x:f>
        <x:v>0.19047619047619047</x:v>
      </x:c>
      <x:c r="V3455" s="24" t="n">
        <x:f>IFERROR(F3455/J3455,0)-IFERROR(G3455/K3455,0)</x:f>
        <x:v>-1.8</x:v>
      </x:c>
      <x:c r="W3455" s="28" t="n">
        <x:f>L3455-M3455</x:f>
        <x:v>4</x:v>
      </x:c>
      <x:c r="X3455" s="24" t="n">
        <x:f>IFERROR(K3455/I3455,0)</x:f>
        <x:v>0.14285714285714285</x:v>
      </x:c>
      <x:c r="Y3455" s="24" t="n">
        <x:f>IFERROR(G3455/I3455,0)</x:f>
        <x:v>0.2857142857142857</x:v>
      </x:c>
      <x:c r="Z3455" s="24" t="n">
        <x:f>IFERROR(G3455/K3455,0)</x:f>
        <x:v>2</x:v>
      </x:c>
      <x:c r="AA3455" s="24" t="n">
        <x:f>IFERROR(F3455/H3455,0)-IFERROR(G3455/I3455,0)</x:f>
        <x:v>-0.21904761904761905</x:v>
      </x:c>
      <x:c r="AB3455" s="28" t="n">
        <x:f>J3455-K3455</x:f>
        <x:v>9</x:v>
      </x:c>
      <x:c r="AC3455" s="32" t="n">
        <x:f>F3455-G3455</x:f>
        <x:v>0</x:v>
      </x:c>
    </x:row>
    <x:row r="3456">
      <x:c r="A3456" s="4" t="str">
        <x:v>2025-26</x:v>
      </x:c>
      <x:c r="B3456" s="20" t="n">
        <x:v>46029</x:v>
      </x:c>
      <x:c r="C3456" s="4" t="str">
        <x:v>Newcastle</x:v>
      </x:c>
      <x:c r="D3456" s="4" t="str">
        <x:v>Leeds</x:v>
      </x:c>
      <x:c r="E3456" s="4" t="str">
        <x:v>Home</x:v>
      </x:c>
      <x:c r="F3456" s="28" t="n">
        <x:v>4</x:v>
      </x:c>
      <x:c r="G3456" s="28" t="n">
        <x:v>3</x:v>
      </x:c>
      <x:c r="H3456" s="28" t="n">
        <x:v>18</x:v>
      </x:c>
      <x:c r="I3456" s="28" t="n">
        <x:v>14</x:v>
      </x:c>
      <x:c r="J3456" s="28" t="n">
        <x:v>8</x:v>
      </x:c>
      <x:c r="K3456" s="28" t="n">
        <x:v>6</x:v>
      </x:c>
      <x:c r="L3456" s="28" t="n">
        <x:v>8</x:v>
      </x:c>
      <x:c r="M3456" s="28" t="n">
        <x:v>4</x:v>
      </x:c>
      <x:c r="N3456" s="28" t="n">
        <x:v>3</x:v>
      </x:c>
      <x:c r="O3456" s="28" t="n">
        <x:v>0</x:v>
      </x:c>
      <x:c r="P3456" s="28" t="n">
        <x:v>3</x:v>
      </x:c>
      <x:c r="Q3456" s="24" t="n">
        <x:f>IFERROR(J3456/H3456,0)</x:f>
        <x:v>0.4444444444444444</x:v>
      </x:c>
      <x:c r="R3456" s="24" t="n">
        <x:f>IFERROR(F3456/H3456,0)</x:f>
        <x:v>0.2222222222222222</x:v>
      </x:c>
      <x:c r="S3456" s="24" t="n">
        <x:f>IFERROR(F3456/J3456,0)</x:f>
        <x:v>0.5</x:v>
      </x:c>
      <x:c r="T3456" s="28" t="n">
        <x:f>H3456-I3456</x:f>
        <x:v>4</x:v>
      </x:c>
      <x:c r="U3456" s="24" t="n">
        <x:f>IFERROR(J3456/H3456,0)-IFERROR(K3456/I3456,0)</x:f>
        <x:v>0.015873015873015872</x:v>
      </x:c>
      <x:c r="V3456" s="24" t="n">
        <x:f>IFERROR(F3456/J3456,0)-IFERROR(G3456/K3456,0)</x:f>
        <x:v>0</x:v>
      </x:c>
      <x:c r="W3456" s="28" t="n">
        <x:f>L3456-M3456</x:f>
        <x:v>4</x:v>
      </x:c>
      <x:c r="X3456" s="24" t="n">
        <x:f>IFERROR(K3456/I3456,0)</x:f>
        <x:v>0.42857142857142855</x:v>
      </x:c>
      <x:c r="Y3456" s="24" t="n">
        <x:f>IFERROR(G3456/I3456,0)</x:f>
        <x:v>0.21428571428571427</x:v>
      </x:c>
      <x:c r="Z3456" s="24" t="n">
        <x:f>IFERROR(G3456/K3456,0)</x:f>
        <x:v>0.5</x:v>
      </x:c>
      <x:c r="AA3456" s="24" t="n">
        <x:f>IFERROR(F3456/H3456,0)-IFERROR(G3456/I3456,0)</x:f>
        <x:v>0.007936507936507936</x:v>
      </x:c>
      <x:c r="AB3456" s="28" t="n">
        <x:f>J3456-K3456</x:f>
        <x:v>2</x:v>
      </x:c>
      <x:c r="AC3456" s="32" t="n">
        <x:f>F3456-G3456</x:f>
        <x:v>1</x:v>
      </x:c>
    </x:row>
    <x:row r="3457">
      <x:c r="A3457" s="4" t="str">
        <x:v>2025-26</x:v>
      </x:c>
      <x:c r="B3457" s="20" t="n">
        <x:v>46029</x:v>
      </x:c>
      <x:c r="C3457" s="4" t="str">
        <x:v>Sunderland</x:v>
      </x:c>
      <x:c r="D3457" s="4" t="str">
        <x:v>Brentford</x:v>
      </x:c>
      <x:c r="E3457" s="4" t="str">
        <x:v>Away</x:v>
      </x:c>
      <x:c r="F3457" s="28" t="n">
        <x:v>0</x:v>
      </x:c>
      <x:c r="G3457" s="28" t="n">
        <x:v>3</x:v>
      </x:c>
      <x:c r="H3457" s="28" t="n">
        <x:v>11</x:v>
      </x:c>
      <x:c r="I3457" s="28" t="n">
        <x:v>18</x:v>
      </x:c>
      <x:c r="J3457" s="28" t="n">
        <x:v>3</x:v>
      </x:c>
      <x:c r="K3457" s="28" t="n">
        <x:v>6</x:v>
      </x:c>
      <x:c r="L3457" s="28" t="n">
        <x:v>4</x:v>
      </x:c>
      <x:c r="M3457" s="28" t="n">
        <x:v>7</x:v>
      </x:c>
      <x:c r="N3457" s="28" t="n">
        <x:v>1</x:v>
      </x:c>
      <x:c r="O3457" s="28" t="n">
        <x:v>0</x:v>
      </x:c>
      <x:c r="P3457" s="28" t="n">
        <x:v>0</x:v>
      </x:c>
      <x:c r="Q3457" s="24" t="n">
        <x:f>IFERROR(J3457/H3457,0)</x:f>
        <x:v>0.2727272727272727</x:v>
      </x:c>
      <x:c r="R3457" s="24" t="n">
        <x:f>IFERROR(F3457/H3457,0)</x:f>
        <x:v>0</x:v>
      </x:c>
      <x:c r="S3457" s="24" t="n">
        <x:f>IFERROR(F3457/J3457,0)</x:f>
        <x:v>0</x:v>
      </x:c>
      <x:c r="T3457" s="28" t="n">
        <x:f>H3457-I3457</x:f>
        <x:v>-7</x:v>
      </x:c>
      <x:c r="U3457" s="24" t="n">
        <x:f>IFERROR(J3457/H3457,0)-IFERROR(K3457/I3457,0)</x:f>
        <x:v>-0.06060606060606061</x:v>
      </x:c>
      <x:c r="V3457" s="24" t="n">
        <x:f>IFERROR(F3457/J3457,0)-IFERROR(G3457/K3457,0)</x:f>
        <x:v>-0.5</x:v>
      </x:c>
      <x:c r="W3457" s="28" t="n">
        <x:f>L3457-M3457</x:f>
        <x:v>-3</x:v>
      </x:c>
      <x:c r="X3457" s="24" t="n">
        <x:f>IFERROR(K3457/I3457,0)</x:f>
        <x:v>0.3333333333333333</x:v>
      </x:c>
      <x:c r="Y3457" s="24" t="n">
        <x:f>IFERROR(G3457/I3457,0)</x:f>
        <x:v>0.16666666666666666</x:v>
      </x:c>
      <x:c r="Z3457" s="24" t="n">
        <x:f>IFERROR(G3457/K3457,0)</x:f>
        <x:v>0.5</x:v>
      </x:c>
      <x:c r="AA3457" s="24" t="n">
        <x:f>IFERROR(F3457/H3457,0)-IFERROR(G3457/I3457,0)</x:f>
        <x:v>-0.16666666666666666</x:v>
      </x:c>
      <x:c r="AB3457" s="28" t="n">
        <x:f>J3457-K3457</x:f>
        <x:v>-3</x:v>
      </x:c>
      <x:c r="AC3457" s="32" t="n">
        <x:f>F3457-G3457</x:f>
        <x:v>-3</x:v>
      </x:c>
    </x:row>
    <x:row r="3458">
      <x:c r="A3458" s="4" t="str">
        <x:v>2025-26</x:v>
      </x:c>
      <x:c r="B3458" s="20" t="n">
        <x:v>46029</x:v>
      </x:c>
      <x:c r="C3458" s="4" t="str">
        <x:v>Tottenham</x:v>
      </x:c>
      <x:c r="D3458" s="4" t="str">
        <x:v>Bournemouth</x:v>
      </x:c>
      <x:c r="E3458" s="4" t="str">
        <x:v>Away</x:v>
      </x:c>
      <x:c r="F3458" s="28" t="n">
        <x:v>2</x:v>
      </x:c>
      <x:c r="G3458" s="28" t="n">
        <x:v>3</x:v>
      </x:c>
      <x:c r="H3458" s="28" t="n">
        <x:v>16</x:v>
      </x:c>
      <x:c r="I3458" s="28" t="n">
        <x:v>11</x:v>
      </x:c>
      <x:c r="J3458" s="28" t="n">
        <x:v>4</x:v>
      </x:c>
      <x:c r="K3458" s="28" t="n">
        <x:v>3</x:v>
      </x:c>
      <x:c r="L3458" s="28" t="n">
        <x:v>7</x:v>
      </x:c>
      <x:c r="M3458" s="28" t="n">
        <x:v>3</x:v>
      </x:c>
      <x:c r="N3458" s="28" t="n">
        <x:v>3</x:v>
      </x:c>
      <x:c r="O3458" s="28" t="n">
        <x:v>0</x:v>
      </x:c>
      <x:c r="P3458" s="28" t="n">
        <x:v>0</x:v>
      </x:c>
      <x:c r="Q3458" s="24" t="n">
        <x:f>IFERROR(J3458/H3458,0)</x:f>
        <x:v>0.25</x:v>
      </x:c>
      <x:c r="R3458" s="24" t="n">
        <x:f>IFERROR(F3458/H3458,0)</x:f>
        <x:v>0.125</x:v>
      </x:c>
      <x:c r="S3458" s="24" t="n">
        <x:f>IFERROR(F3458/J3458,0)</x:f>
        <x:v>0.5</x:v>
      </x:c>
      <x:c r="T3458" s="28" t="n">
        <x:f>H3458-I3458</x:f>
        <x:v>5</x:v>
      </x:c>
      <x:c r="U3458" s="24" t="n">
        <x:f>IFERROR(J3458/H3458,0)-IFERROR(K3458/I3458,0)</x:f>
        <x:v>-0.022727272727272707</x:v>
      </x:c>
      <x:c r="V3458" s="24" t="n">
        <x:f>IFERROR(F3458/J3458,0)-IFERROR(G3458/K3458,0)</x:f>
        <x:v>-0.5</x:v>
      </x:c>
      <x:c r="W3458" s="28" t="n">
        <x:f>L3458-M3458</x:f>
        <x:v>4</x:v>
      </x:c>
      <x:c r="X3458" s="24" t="n">
        <x:f>IFERROR(K3458/I3458,0)</x:f>
        <x:v>0.2727272727272727</x:v>
      </x:c>
      <x:c r="Y3458" s="24" t="n">
        <x:f>IFERROR(G3458/I3458,0)</x:f>
        <x:v>0.2727272727272727</x:v>
      </x:c>
      <x:c r="Z3458" s="24" t="n">
        <x:f>IFERROR(G3458/K3458,0)</x:f>
        <x:v>1</x:v>
      </x:c>
      <x:c r="AA3458" s="24" t="n">
        <x:f>IFERROR(F3458/H3458,0)-IFERROR(G3458/I3458,0)</x:f>
        <x:v>-0.1477272727272727</x:v>
      </x:c>
      <x:c r="AB3458" s="28" t="n">
        <x:f>J3458-K3458</x:f>
        <x:v>1</x:v>
      </x:c>
      <x:c r="AC3458" s="32" t="n">
        <x:f>F3458-G3458</x:f>
        <x:v>-1</x:v>
      </x:c>
    </x:row>
    <x:row r="3459">
      <x:c r="A3459" s="4" t="str">
        <x:v>2025-26</x:v>
      </x:c>
      <x:c r="B3459" s="20" t="n">
        <x:v>46029</x:v>
      </x:c>
      <x:c r="C3459" s="4" t="str">
        <x:v>Wolves</x:v>
      </x:c>
      <x:c r="D3459" s="4" t="str">
        <x:v>Everton</x:v>
      </x:c>
      <x:c r="E3459" s="4" t="str">
        <x:v>Away</x:v>
      </x:c>
      <x:c r="F3459" s="28" t="n">
        <x:v>1</x:v>
      </x:c>
      <x:c r="G3459" s="28" t="n">
        <x:v>1</x:v>
      </x:c>
      <x:c r="H3459" s="28" t="n">
        <x:v>13</x:v>
      </x:c>
      <x:c r="I3459" s="28" t="n">
        <x:v>13</x:v>
      </x:c>
      <x:c r="J3459" s="28" t="n">
        <x:v>4</x:v>
      </x:c>
      <x:c r="K3459" s="28" t="n">
        <x:v>2</x:v>
      </x:c>
      <x:c r="L3459" s="28" t="n">
        <x:v>7</x:v>
      </x:c>
      <x:c r="M3459" s="28" t="n">
        <x:v>2</x:v>
      </x:c>
      <x:c r="N3459" s="28" t="n">
        <x:v>3</x:v>
      </x:c>
      <x:c r="O3459" s="28" t="n">
        <x:v>0</x:v>
      </x:c>
      <x:c r="P3459" s="28" t="n">
        <x:v>1</x:v>
      </x:c>
      <x:c r="Q3459" s="24" t="n">
        <x:f>IFERROR(J3459/H3459,0)</x:f>
        <x:v>0.3076923076923077</x:v>
      </x:c>
      <x:c r="R3459" s="24" t="n">
        <x:f>IFERROR(F3459/H3459,0)</x:f>
        <x:v>0.07692307692307693</x:v>
      </x:c>
      <x:c r="S3459" s="24" t="n">
        <x:f>IFERROR(F3459/J3459,0)</x:f>
        <x:v>0.25</x:v>
      </x:c>
      <x:c r="T3459" s="28" t="n">
        <x:f>H3459-I3459</x:f>
        <x:v>0</x:v>
      </x:c>
      <x:c r="U3459" s="24" t="n">
        <x:f>IFERROR(J3459/H3459,0)-IFERROR(K3459/I3459,0)</x:f>
        <x:v>0.15384615384615385</x:v>
      </x:c>
      <x:c r="V3459" s="24" t="n">
        <x:f>IFERROR(F3459/J3459,0)-IFERROR(G3459/K3459,0)</x:f>
        <x:v>-0.25</x:v>
      </x:c>
      <x:c r="W3459" s="28" t="n">
        <x:f>L3459-M3459</x:f>
        <x:v>5</x:v>
      </x:c>
      <x:c r="X3459" s="24" t="n">
        <x:f>IFERROR(K3459/I3459,0)</x:f>
        <x:v>0.15384615384615385</x:v>
      </x:c>
      <x:c r="Y3459" s="24" t="n">
        <x:f>IFERROR(G3459/I3459,0)</x:f>
        <x:v>0.07692307692307693</x:v>
      </x:c>
      <x:c r="Z3459" s="24" t="n">
        <x:f>IFERROR(G3459/K3459,0)</x:f>
        <x:v>0.5</x:v>
      </x:c>
      <x:c r="AA3459" s="24" t="n">
        <x:f>IFERROR(F3459/H3459,0)-IFERROR(G3459/I3459,0)</x:f>
        <x:v>0</x:v>
      </x:c>
      <x:c r="AB3459" s="28" t="n">
        <x:f>J3459-K3459</x:f>
        <x:v>2</x:v>
      </x:c>
      <x:c r="AC3459" s="32" t="n">
        <x:f>F3459-G3459</x:f>
        <x:v>0</x:v>
      </x:c>
    </x:row>
    <x:row r="3460">
      <x:c r="A3460" s="4" t="str">
        <x:v>2025-26</x:v>
      </x:c>
      <x:c r="B3460" s="20" t="n">
        <x:v>46030</x:v>
      </x:c>
      <x:c r="C3460" s="4" t="str">
        <x:v>Arsenal</x:v>
      </x:c>
      <x:c r="D3460" s="4" t="str">
        <x:v>Liverpool</x:v>
      </x:c>
      <x:c r="E3460" s="4" t="str">
        <x:v>Home</x:v>
      </x:c>
      <x:c r="F3460" s="28" t="n">
        <x:v>0</x:v>
      </x:c>
      <x:c r="G3460" s="28" t="n">
        <x:v>0</x:v>
      </x:c>
      <x:c r="H3460" s="28" t="n">
        <x:v>9</x:v>
      </x:c>
      <x:c r="I3460" s="28" t="n">
        <x:v>8</x:v>
      </x:c>
      <x:c r="J3460" s="28" t="n">
        <x:v>4</x:v>
      </x:c>
      <x:c r="K3460" s="28" t="n">
        <x:v>0</x:v>
      </x:c>
      <x:c r="L3460" s="28" t="n">
        <x:v>3</x:v>
      </x:c>
      <x:c r="M3460" s="28" t="n">
        <x:v>0</x:v>
      </x:c>
      <x:c r="N3460" s="28" t="n">
        <x:v>2</x:v>
      </x:c>
      <x:c r="O3460" s="28" t="n">
        <x:v>0</x:v>
      </x:c>
      <x:c r="P3460" s="28" t="n">
        <x:v>1</x:v>
      </x:c>
      <x:c r="Q3460" s="24" t="n">
        <x:f>IFERROR(J3460/H3460,0)</x:f>
        <x:v>0.4444444444444444</x:v>
      </x:c>
      <x:c r="R3460" s="24" t="n">
        <x:f>IFERROR(F3460/H3460,0)</x:f>
        <x:v>0</x:v>
      </x:c>
      <x:c r="S3460" s="24" t="n">
        <x:f>IFERROR(F3460/J3460,0)</x:f>
        <x:v>0</x:v>
      </x:c>
      <x:c r="T3460" s="28" t="n">
        <x:f>H3460-I3460</x:f>
        <x:v>1</x:v>
      </x:c>
      <x:c r="U3460" s="24" t="n">
        <x:f>IFERROR(J3460/H3460,0)-IFERROR(K3460/I3460,0)</x:f>
        <x:v>0.4444444444444444</x:v>
      </x:c>
      <x:c r="V3460" s="24" t="n">
        <x:f>IFERROR(F3460/J3460,0)-IFERROR(G3460/K3460,0)</x:f>
        <x:v>0</x:v>
      </x:c>
      <x:c r="W3460" s="28" t="n">
        <x:f>L3460-M3460</x:f>
        <x:v>3</x:v>
      </x:c>
      <x:c r="X3460" s="24" t="n">
        <x:f>IFERROR(K3460/I3460,0)</x:f>
        <x:v>0</x:v>
      </x:c>
      <x:c r="Y3460" s="24" t="n">
        <x:f>IFERROR(G3460/I3460,0)</x:f>
        <x:v>0</x:v>
      </x:c>
      <x:c r="Z3460" s="24" t="n">
        <x:f>IFERROR(G3460/K3460,0)</x:f>
        <x:v>0</x:v>
      </x:c>
      <x:c r="AA3460" s="24" t="n">
        <x:f>IFERROR(F3460/H3460,0)-IFERROR(G3460/I3460,0)</x:f>
        <x:v>0</x:v>
      </x:c>
      <x:c r="AB3460" s="28" t="n">
        <x:f>J3460-K3460</x:f>
        <x:v>4</x:v>
      </x:c>
      <x:c r="AC3460" s="32" t="n">
        <x:f>F3460-G3460</x:f>
        <x:v>0</x:v>
      </x:c>
    </x:row>
    <x:row r="3461">
      <x:c r="A3461" s="4" t="str">
        <x:v>2025-26</x:v>
      </x:c>
      <x:c r="B3461" s="20" t="n">
        <x:v>46030</x:v>
      </x:c>
      <x:c r="C3461" s="4" t="str">
        <x:v>Liverpool</x:v>
      </x:c>
      <x:c r="D3461" s="4" t="str">
        <x:v>Arsenal</x:v>
      </x:c>
      <x:c r="E3461" s="4" t="str">
        <x:v>Away</x:v>
      </x:c>
      <x:c r="F3461" s="28" t="n">
        <x:v>0</x:v>
      </x:c>
      <x:c r="G3461" s="28" t="n">
        <x:v>0</x:v>
      </x:c>
      <x:c r="H3461" s="28" t="n">
        <x:v>8</x:v>
      </x:c>
      <x:c r="I3461" s="28" t="n">
        <x:v>9</x:v>
      </x:c>
      <x:c r="J3461" s="28" t="n">
        <x:v>0</x:v>
      </x:c>
      <x:c r="K3461" s="28" t="n">
        <x:v>4</x:v>
      </x:c>
      <x:c r="L3461" s="28" t="n">
        <x:v>0</x:v>
      </x:c>
      <x:c r="M3461" s="28" t="n">
        <x:v>3</x:v>
      </x:c>
      <x:c r="N3461" s="28" t="n">
        <x:v>2</x:v>
      </x:c>
      <x:c r="O3461" s="28" t="n">
        <x:v>0</x:v>
      </x:c>
      <x:c r="P3461" s="28" t="n">
        <x:v>1</x:v>
      </x:c>
      <x:c r="Q3461" s="24" t="n">
        <x:f>IFERROR(J3461/H3461,0)</x:f>
        <x:v>0</x:v>
      </x:c>
      <x:c r="R3461" s="24" t="n">
        <x:f>IFERROR(F3461/H3461,0)</x:f>
        <x:v>0</x:v>
      </x:c>
      <x:c r="S3461" s="24" t="n">
        <x:f>IFERROR(F3461/J3461,0)</x:f>
        <x:v>0</x:v>
      </x:c>
      <x:c r="T3461" s="28" t="n">
        <x:f>H3461-I3461</x:f>
        <x:v>-1</x:v>
      </x:c>
      <x:c r="U3461" s="24" t="n">
        <x:f>IFERROR(J3461/H3461,0)-IFERROR(K3461/I3461,0)</x:f>
        <x:v>-0.4444444444444444</x:v>
      </x:c>
      <x:c r="V3461" s="24" t="n">
        <x:f>IFERROR(F3461/J3461,0)-IFERROR(G3461/K3461,0)</x:f>
        <x:v>0</x:v>
      </x:c>
      <x:c r="W3461" s="28" t="n">
        <x:f>L3461-M3461</x:f>
        <x:v>-3</x:v>
      </x:c>
      <x:c r="X3461" s="24" t="n">
        <x:f>IFERROR(K3461/I3461,0)</x:f>
        <x:v>0.4444444444444444</x:v>
      </x:c>
      <x:c r="Y3461" s="24" t="n">
        <x:f>IFERROR(G3461/I3461,0)</x:f>
        <x:v>0</x:v>
      </x:c>
      <x:c r="Z3461" s="24" t="n">
        <x:f>IFERROR(G3461/K3461,0)</x:f>
        <x:v>0</x:v>
      </x:c>
      <x:c r="AA3461" s="24" t="n">
        <x:f>IFERROR(F3461/H3461,0)-IFERROR(G3461/I3461,0)</x:f>
        <x:v>0</x:v>
      </x:c>
      <x:c r="AB3461" s="28" t="n">
        <x:f>J3461-K3461</x:f>
        <x:v>-4</x:v>
      </x:c>
      <x:c r="AC3461" s="32" t="n">
        <x:f>F3461-G3461</x:f>
        <x:v>0</x:v>
      </x:c>
    </x:row>
    <x:row r="3462">
      <x:c r="A3462" s="4" t="str">
        <x:v>2025-26</x:v>
      </x:c>
      <x:c r="B3462" s="20" t="n">
        <x:v>46039</x:v>
      </x:c>
      <x:c r="C3462" s="4" t="str">
        <x:v>Arsenal</x:v>
      </x:c>
      <x:c r="D3462" s="4" t="str">
        <x:v>Nott'm Forest</x:v>
      </x:c>
      <x:c r="E3462" s="4" t="str">
        <x:v>Away</x:v>
      </x:c>
      <x:c r="F3462" s="28" t="n">
        <x:v>0</x:v>
      </x:c>
      <x:c r="G3462" s="28" t="n">
        <x:v>0</x:v>
      </x:c>
      <x:c r="H3462" s="28" t="n">
        <x:v>15</x:v>
      </x:c>
      <x:c r="I3462" s="28" t="n">
        <x:v>6</x:v>
      </x:c>
      <x:c r="J3462" s="28" t="n">
        <x:v>3</x:v>
      </x:c>
      <x:c r="K3462" s="28" t="n">
        <x:v>0</x:v>
      </x:c>
      <x:c r="L3462" s="28" t="n">
        <x:v>9</x:v>
      </x:c>
      <x:c r="M3462" s="28" t="n">
        <x:v>4</x:v>
      </x:c>
      <x:c r="N3462" s="28" t="n">
        <x:v>1</x:v>
      </x:c>
      <x:c r="O3462" s="28" t="n">
        <x:v>0</x:v>
      </x:c>
      <x:c r="P3462" s="28" t="n">
        <x:v>1</x:v>
      </x:c>
      <x:c r="Q3462" s="24" t="n">
        <x:f>IFERROR(J3462/H3462,0)</x:f>
        <x:v>0.2</x:v>
      </x:c>
      <x:c r="R3462" s="24" t="n">
        <x:f>IFERROR(F3462/H3462,0)</x:f>
        <x:v>0</x:v>
      </x:c>
      <x:c r="S3462" s="24" t="n">
        <x:f>IFERROR(F3462/J3462,0)</x:f>
        <x:v>0</x:v>
      </x:c>
      <x:c r="T3462" s="28" t="n">
        <x:f>H3462-I3462</x:f>
        <x:v>9</x:v>
      </x:c>
      <x:c r="U3462" s="24" t="n">
        <x:f>IFERROR(J3462/H3462,0)-IFERROR(K3462/I3462,0)</x:f>
        <x:v>0.2</x:v>
      </x:c>
      <x:c r="V3462" s="24" t="n">
        <x:f>IFERROR(F3462/J3462,0)-IFERROR(G3462/K3462,0)</x:f>
        <x:v>0</x:v>
      </x:c>
      <x:c r="W3462" s="28" t="n">
        <x:f>L3462-M3462</x:f>
        <x:v>5</x:v>
      </x:c>
      <x:c r="X3462" s="24" t="n">
        <x:f>IFERROR(K3462/I3462,0)</x:f>
        <x:v>0</x:v>
      </x:c>
      <x:c r="Y3462" s="24" t="n">
        <x:f>IFERROR(G3462/I3462,0)</x:f>
        <x:v>0</x:v>
      </x:c>
      <x:c r="Z3462" s="24" t="n">
        <x:f>IFERROR(G3462/K3462,0)</x:f>
        <x:v>0</x:v>
      </x:c>
      <x:c r="AA3462" s="24" t="n">
        <x:f>IFERROR(F3462/H3462,0)-IFERROR(G3462/I3462,0)</x:f>
        <x:v>0</x:v>
      </x:c>
      <x:c r="AB3462" s="28" t="n">
        <x:f>J3462-K3462</x:f>
        <x:v>3</x:v>
      </x:c>
      <x:c r="AC3462" s="32" t="n">
        <x:f>F3462-G3462</x:f>
        <x:v>0</x:v>
      </x:c>
    </x:row>
    <x:row r="3463">
      <x:c r="A3463" s="4" t="str">
        <x:v>2025-26</x:v>
      </x:c>
      <x:c r="B3463" s="20" t="n">
        <x:v>46039</x:v>
      </x:c>
      <x:c r="C3463" s="4" t="str">
        <x:v>Brentford</x:v>
      </x:c>
      <x:c r="D3463" s="4" t="str">
        <x:v>Chelsea</x:v>
      </x:c>
      <x:c r="E3463" s="4" t="str">
        <x:v>Away</x:v>
      </x:c>
      <x:c r="F3463" s="28" t="n">
        <x:v>0</x:v>
      </x:c>
      <x:c r="G3463" s="28" t="n">
        <x:v>2</x:v>
      </x:c>
      <x:c r="H3463" s="28" t="n">
        <x:v>15</x:v>
      </x:c>
      <x:c r="I3463" s="28" t="n">
        <x:v>6</x:v>
      </x:c>
      <x:c r="J3463" s="28" t="n">
        <x:v>5</x:v>
      </x:c>
      <x:c r="K3463" s="28" t="n">
        <x:v>2</x:v>
      </x:c>
      <x:c r="L3463" s="28" t="n">
        <x:v>9</x:v>
      </x:c>
      <x:c r="M3463" s="28" t="n">
        <x:v>3</x:v>
      </x:c>
      <x:c r="N3463" s="28" t="n">
        <x:v>2</x:v>
      </x:c>
      <x:c r="O3463" s="28" t="n">
        <x:v>0</x:v>
      </x:c>
      <x:c r="P3463" s="28" t="n">
        <x:v>0</x:v>
      </x:c>
      <x:c r="Q3463" s="24" t="n">
        <x:f>IFERROR(J3463/H3463,0)</x:f>
        <x:v>0.3333333333333333</x:v>
      </x:c>
      <x:c r="R3463" s="24" t="n">
        <x:f>IFERROR(F3463/H3463,0)</x:f>
        <x:v>0</x:v>
      </x:c>
      <x:c r="S3463" s="24" t="n">
        <x:f>IFERROR(F3463/J3463,0)</x:f>
        <x:v>0</x:v>
      </x:c>
      <x:c r="T3463" s="28" t="n">
        <x:f>H3463-I3463</x:f>
        <x:v>9</x:v>
      </x:c>
      <x:c r="U3463" s="24" t="n">
        <x:f>IFERROR(J3463/H3463,0)-IFERROR(K3463/I3463,0)</x:f>
        <x:v>0</x:v>
      </x:c>
      <x:c r="V3463" s="24" t="n">
        <x:f>IFERROR(F3463/J3463,0)-IFERROR(G3463/K3463,0)</x:f>
        <x:v>-1</x:v>
      </x:c>
      <x:c r="W3463" s="28" t="n">
        <x:f>L3463-M3463</x:f>
        <x:v>6</x:v>
      </x:c>
      <x:c r="X3463" s="24" t="n">
        <x:f>IFERROR(K3463/I3463,0)</x:f>
        <x:v>0.3333333333333333</x:v>
      </x:c>
      <x:c r="Y3463" s="24" t="n">
        <x:f>IFERROR(G3463/I3463,0)</x:f>
        <x:v>0.3333333333333333</x:v>
      </x:c>
      <x:c r="Z3463" s="24" t="n">
        <x:f>IFERROR(G3463/K3463,0)</x:f>
        <x:v>1</x:v>
      </x:c>
      <x:c r="AA3463" s="24" t="n">
        <x:f>IFERROR(F3463/H3463,0)-IFERROR(G3463/I3463,0)</x:f>
        <x:v>-0.3333333333333333</x:v>
      </x:c>
      <x:c r="AB3463" s="28" t="n">
        <x:f>J3463-K3463</x:f>
        <x:v>3</x:v>
      </x:c>
      <x:c r="AC3463" s="32" t="n">
        <x:f>F3463-G3463</x:f>
        <x:v>-2</x:v>
      </x:c>
    </x:row>
    <x:row r="3464">
      <x:c r="A3464" s="4" t="str">
        <x:v>2025-26</x:v>
      </x:c>
      <x:c r="B3464" s="20" t="n">
        <x:v>46039</x:v>
      </x:c>
      <x:c r="C3464" s="4" t="str">
        <x:v>Burnley</x:v>
      </x:c>
      <x:c r="D3464" s="4" t="str">
        <x:v>Liverpool</x:v>
      </x:c>
      <x:c r="E3464" s="4" t="str">
        <x:v>Away</x:v>
      </x:c>
      <x:c r="F3464" s="28" t="n">
        <x:v>1</x:v>
      </x:c>
      <x:c r="G3464" s="28" t="n">
        <x:v>1</x:v>
      </x:c>
      <x:c r="H3464" s="28" t="n">
        <x:v>7</x:v>
      </x:c>
      <x:c r="I3464" s="28" t="n">
        <x:v>32</x:v>
      </x:c>
      <x:c r="J3464" s="28" t="n">
        <x:v>1</x:v>
      </x:c>
      <x:c r="K3464" s="28" t="n">
        <x:v>11</x:v>
      </x:c>
      <x:c r="L3464" s="28" t="n">
        <x:v>1</x:v>
      </x:c>
      <x:c r="M3464" s="28" t="n">
        <x:v>9</x:v>
      </x:c>
      <x:c r="N3464" s="28" t="n">
        <x:v>2</x:v>
      </x:c>
      <x:c r="O3464" s="28" t="n">
        <x:v>0</x:v>
      </x:c>
      <x:c r="P3464" s="28" t="n">
        <x:v>1</x:v>
      </x:c>
      <x:c r="Q3464" s="24" t="n">
        <x:f>IFERROR(J3464/H3464,0)</x:f>
        <x:v>0.14285714285714285</x:v>
      </x:c>
      <x:c r="R3464" s="24" t="n">
        <x:f>IFERROR(F3464/H3464,0)</x:f>
        <x:v>0.14285714285714285</x:v>
      </x:c>
      <x:c r="S3464" s="24" t="n">
        <x:f>IFERROR(F3464/J3464,0)</x:f>
        <x:v>1</x:v>
      </x:c>
      <x:c r="T3464" s="28" t="n">
        <x:f>H3464-I3464</x:f>
        <x:v>-25</x:v>
      </x:c>
      <x:c r="U3464" s="24" t="n">
        <x:f>IFERROR(J3464/H3464,0)-IFERROR(K3464/I3464,0)</x:f>
        <x:v>-0.20089285714285715</x:v>
      </x:c>
      <x:c r="V3464" s="24" t="n">
        <x:f>IFERROR(F3464/J3464,0)-IFERROR(G3464/K3464,0)</x:f>
        <x:v>0.9090909090909091</x:v>
      </x:c>
      <x:c r="W3464" s="28" t="n">
        <x:f>L3464-M3464</x:f>
        <x:v>-8</x:v>
      </x:c>
      <x:c r="X3464" s="24" t="n">
        <x:f>IFERROR(K3464/I3464,0)</x:f>
        <x:v>0.34375</x:v>
      </x:c>
      <x:c r="Y3464" s="24" t="n">
        <x:f>IFERROR(G3464/I3464,0)</x:f>
        <x:v>0.03125</x:v>
      </x:c>
      <x:c r="Z3464" s="24" t="n">
        <x:f>IFERROR(G3464/K3464,0)</x:f>
        <x:v>0.09090909090909091</x:v>
      </x:c>
      <x:c r="AA3464" s="24" t="n">
        <x:f>IFERROR(F3464/H3464,0)-IFERROR(G3464/I3464,0)</x:f>
        <x:v>0.11160714285714285</x:v>
      </x:c>
      <x:c r="AB3464" s="28" t="n">
        <x:f>J3464-K3464</x:f>
        <x:v>-10</x:v>
      </x:c>
      <x:c r="AC3464" s="32" t="n">
        <x:f>F3464-G3464</x:f>
        <x:v>0</x:v>
      </x:c>
    </x:row>
    <x:row r="3465">
      <x:c r="A3465" s="4" t="str">
        <x:v>2025-26</x:v>
      </x:c>
      <x:c r="B3465" s="20" t="n">
        <x:v>46039</x:v>
      </x:c>
      <x:c r="C3465" s="4" t="str">
        <x:v>Chelsea</x:v>
      </x:c>
      <x:c r="D3465" s="4" t="str">
        <x:v>Brentford</x:v>
      </x:c>
      <x:c r="E3465" s="4" t="str">
        <x:v>Home</x:v>
      </x:c>
      <x:c r="F3465" s="28" t="n">
        <x:v>2</x:v>
      </x:c>
      <x:c r="G3465" s="28" t="n">
        <x:v>0</x:v>
      </x:c>
      <x:c r="H3465" s="28" t="n">
        <x:v>6</x:v>
      </x:c>
      <x:c r="I3465" s="28" t="n">
        <x:v>15</x:v>
      </x:c>
      <x:c r="J3465" s="28" t="n">
        <x:v>2</x:v>
      </x:c>
      <x:c r="K3465" s="28" t="n">
        <x:v>5</x:v>
      </x:c>
      <x:c r="L3465" s="28" t="n">
        <x:v>3</x:v>
      </x:c>
      <x:c r="M3465" s="28" t="n">
        <x:v>9</x:v>
      </x:c>
      <x:c r="N3465" s="28" t="n">
        <x:v>3</x:v>
      </x:c>
      <x:c r="O3465" s="28" t="n">
        <x:v>0</x:v>
      </x:c>
      <x:c r="P3465" s="28" t="n">
        <x:v>3</x:v>
      </x:c>
      <x:c r="Q3465" s="24" t="n">
        <x:f>IFERROR(J3465/H3465,0)</x:f>
        <x:v>0.3333333333333333</x:v>
      </x:c>
      <x:c r="R3465" s="24" t="n">
        <x:f>IFERROR(F3465/H3465,0)</x:f>
        <x:v>0.3333333333333333</x:v>
      </x:c>
      <x:c r="S3465" s="24" t="n">
        <x:f>IFERROR(F3465/J3465,0)</x:f>
        <x:v>1</x:v>
      </x:c>
      <x:c r="T3465" s="28" t="n">
        <x:f>H3465-I3465</x:f>
        <x:v>-9</x:v>
      </x:c>
      <x:c r="U3465" s="24" t="n">
        <x:f>IFERROR(J3465/H3465,0)-IFERROR(K3465/I3465,0)</x:f>
        <x:v>0</x:v>
      </x:c>
      <x:c r="V3465" s="24" t="n">
        <x:f>IFERROR(F3465/J3465,0)-IFERROR(G3465/K3465,0)</x:f>
        <x:v>1</x:v>
      </x:c>
      <x:c r="W3465" s="28" t="n">
        <x:f>L3465-M3465</x:f>
        <x:v>-6</x:v>
      </x:c>
      <x:c r="X3465" s="24" t="n">
        <x:f>IFERROR(K3465/I3465,0)</x:f>
        <x:v>0.3333333333333333</x:v>
      </x:c>
      <x:c r="Y3465" s="24" t="n">
        <x:f>IFERROR(G3465/I3465,0)</x:f>
        <x:v>0</x:v>
      </x:c>
      <x:c r="Z3465" s="24" t="n">
        <x:f>IFERROR(G3465/K3465,0)</x:f>
        <x:v>0</x:v>
      </x:c>
      <x:c r="AA3465" s="24" t="n">
        <x:f>IFERROR(F3465/H3465,0)-IFERROR(G3465/I3465,0)</x:f>
        <x:v>0.3333333333333333</x:v>
      </x:c>
      <x:c r="AB3465" s="28" t="n">
        <x:f>J3465-K3465</x:f>
        <x:v>-3</x:v>
      </x:c>
      <x:c r="AC3465" s="32" t="n">
        <x:f>F3465-G3465</x:f>
        <x:v>2</x:v>
      </x:c>
    </x:row>
    <x:row r="3466">
      <x:c r="A3466" s="4" t="str">
        <x:v>2025-26</x:v>
      </x:c>
      <x:c r="B3466" s="20" t="n">
        <x:v>46039</x:v>
      </x:c>
      <x:c r="C3466" s="4" t="str">
        <x:v>Crystal Palace</x:v>
      </x:c>
      <x:c r="D3466" s="4" t="str">
        <x:v>Sunderland</x:v>
      </x:c>
      <x:c r="E3466" s="4" t="str">
        <x:v>Away</x:v>
      </x:c>
      <x:c r="F3466" s="28" t="n">
        <x:v>1</x:v>
      </x:c>
      <x:c r="G3466" s="28" t="n">
        <x:v>2</x:v>
      </x:c>
      <x:c r="H3466" s="28" t="n">
        <x:v>6</x:v>
      </x:c>
      <x:c r="I3466" s="28" t="n">
        <x:v>13</x:v>
      </x:c>
      <x:c r="J3466" s="28" t="n">
        <x:v>2</x:v>
      </x:c>
      <x:c r="K3466" s="28" t="n">
        <x:v>7</x:v>
      </x:c>
      <x:c r="L3466" s="28" t="n">
        <x:v>4</x:v>
      </x:c>
      <x:c r="M3466" s="28" t="n">
        <x:v>3</x:v>
      </x:c>
      <x:c r="N3466" s="28" t="n">
        <x:v>3</x:v>
      </x:c>
      <x:c r="O3466" s="28" t="n">
        <x:v>0</x:v>
      </x:c>
      <x:c r="P3466" s="28" t="n">
        <x:v>0</x:v>
      </x:c>
      <x:c r="Q3466" s="24" t="n">
        <x:f>IFERROR(J3466/H3466,0)</x:f>
        <x:v>0.3333333333333333</x:v>
      </x:c>
      <x:c r="R3466" s="24" t="n">
        <x:f>IFERROR(F3466/H3466,0)</x:f>
        <x:v>0.16666666666666666</x:v>
      </x:c>
      <x:c r="S3466" s="24" t="n">
        <x:f>IFERROR(F3466/J3466,0)</x:f>
        <x:v>0.5</x:v>
      </x:c>
      <x:c r="T3466" s="28" t="n">
        <x:f>H3466-I3466</x:f>
        <x:v>-7</x:v>
      </x:c>
      <x:c r="U3466" s="24" t="n">
        <x:f>IFERROR(J3466/H3466,0)-IFERROR(K3466/I3466,0)</x:f>
        <x:v>-0.20512820512820512</x:v>
      </x:c>
      <x:c r="V3466" s="24" t="n">
        <x:f>IFERROR(F3466/J3466,0)-IFERROR(G3466/K3466,0)</x:f>
        <x:v>0.2142857142857143</x:v>
      </x:c>
      <x:c r="W3466" s="28" t="n">
        <x:f>L3466-M3466</x:f>
        <x:v>1</x:v>
      </x:c>
      <x:c r="X3466" s="24" t="n">
        <x:f>IFERROR(K3466/I3466,0)</x:f>
        <x:v>0.5384615384615384</x:v>
      </x:c>
      <x:c r="Y3466" s="24" t="n">
        <x:f>IFERROR(G3466/I3466,0)</x:f>
        <x:v>0.15384615384615385</x:v>
      </x:c>
      <x:c r="Z3466" s="24" t="n">
        <x:f>IFERROR(G3466/K3466,0)</x:f>
        <x:v>0.2857142857142857</x:v>
      </x:c>
      <x:c r="AA3466" s="24" t="n">
        <x:f>IFERROR(F3466/H3466,0)-IFERROR(G3466/I3466,0)</x:f>
        <x:v>0.012820512820512803</x:v>
      </x:c>
      <x:c r="AB3466" s="28" t="n">
        <x:f>J3466-K3466</x:f>
        <x:v>-5</x:v>
      </x:c>
      <x:c r="AC3466" s="32" t="n">
        <x:f>F3466-G3466</x:f>
        <x:v>-1</x:v>
      </x:c>
    </x:row>
    <x:row r="3467">
      <x:c r="A3467" s="4" t="str">
        <x:v>2025-26</x:v>
      </x:c>
      <x:c r="B3467" s="20" t="n">
        <x:v>46039</x:v>
      </x:c>
      <x:c r="C3467" s="4" t="str">
        <x:v>Fulham</x:v>
      </x:c>
      <x:c r="D3467" s="4" t="str">
        <x:v>Leeds</x:v>
      </x:c>
      <x:c r="E3467" s="4" t="str">
        <x:v>Away</x:v>
      </x:c>
      <x:c r="F3467" s="28" t="n">
        <x:v>0</x:v>
      </x:c>
      <x:c r="G3467" s="28" t="n">
        <x:v>1</x:v>
      </x:c>
      <x:c r="H3467" s="28" t="n">
        <x:v>8</x:v>
      </x:c>
      <x:c r="I3467" s="28" t="n">
        <x:v>14</x:v>
      </x:c>
      <x:c r="J3467" s="28" t="n">
        <x:v>1</x:v>
      </x:c>
      <x:c r="K3467" s="28" t="n">
        <x:v>5</x:v>
      </x:c>
      <x:c r="L3467" s="28" t="n">
        <x:v>3</x:v>
      </x:c>
      <x:c r="M3467" s="28" t="n">
        <x:v>7</x:v>
      </x:c>
      <x:c r="N3467" s="28" t="n">
        <x:v>5</x:v>
      </x:c>
      <x:c r="O3467" s="28" t="n">
        <x:v>0</x:v>
      </x:c>
      <x:c r="P3467" s="28" t="n">
        <x:v>0</x:v>
      </x:c>
      <x:c r="Q3467" s="24" t="n">
        <x:f>IFERROR(J3467/H3467,0)</x:f>
        <x:v>0.125</x:v>
      </x:c>
      <x:c r="R3467" s="24" t="n">
        <x:f>IFERROR(F3467/H3467,0)</x:f>
        <x:v>0</x:v>
      </x:c>
      <x:c r="S3467" s="24" t="n">
        <x:f>IFERROR(F3467/J3467,0)</x:f>
        <x:v>0</x:v>
      </x:c>
      <x:c r="T3467" s="28" t="n">
        <x:f>H3467-I3467</x:f>
        <x:v>-6</x:v>
      </x:c>
      <x:c r="U3467" s="24" t="n">
        <x:f>IFERROR(J3467/H3467,0)-IFERROR(K3467/I3467,0)</x:f>
        <x:v>-0.23214285714285715</x:v>
      </x:c>
      <x:c r="V3467" s="24" t="n">
        <x:f>IFERROR(F3467/J3467,0)-IFERROR(G3467/K3467,0)</x:f>
        <x:v>-0.2</x:v>
      </x:c>
      <x:c r="W3467" s="28" t="n">
        <x:f>L3467-M3467</x:f>
        <x:v>-4</x:v>
      </x:c>
      <x:c r="X3467" s="24" t="n">
        <x:f>IFERROR(K3467/I3467,0)</x:f>
        <x:v>0.35714285714285715</x:v>
      </x:c>
      <x:c r="Y3467" s="24" t="n">
        <x:f>IFERROR(G3467/I3467,0)</x:f>
        <x:v>0.07142857142857142</x:v>
      </x:c>
      <x:c r="Z3467" s="24" t="n">
        <x:f>IFERROR(G3467/K3467,0)</x:f>
        <x:v>0.2</x:v>
      </x:c>
      <x:c r="AA3467" s="24" t="n">
        <x:f>IFERROR(F3467/H3467,0)-IFERROR(G3467/I3467,0)</x:f>
        <x:v>-0.07142857142857142</x:v>
      </x:c>
      <x:c r="AB3467" s="28" t="n">
        <x:f>J3467-K3467</x:f>
        <x:v>-4</x:v>
      </x:c>
      <x:c r="AC3467" s="32" t="n">
        <x:f>F3467-G3467</x:f>
        <x:v>-1</x:v>
      </x:c>
    </x:row>
    <x:row r="3468">
      <x:c r="A3468" s="4" t="str">
        <x:v>2025-26</x:v>
      </x:c>
      <x:c r="B3468" s="20" t="n">
        <x:v>46039</x:v>
      </x:c>
      <x:c r="C3468" s="4" t="str">
        <x:v>Leeds</x:v>
      </x:c>
      <x:c r="D3468" s="4" t="str">
        <x:v>Fulham</x:v>
      </x:c>
      <x:c r="E3468" s="4" t="str">
        <x:v>Home</x:v>
      </x:c>
      <x:c r="F3468" s="28" t="n">
        <x:v>1</x:v>
      </x:c>
      <x:c r="G3468" s="28" t="n">
        <x:v>0</x:v>
      </x:c>
      <x:c r="H3468" s="28" t="n">
        <x:v>14</x:v>
      </x:c>
      <x:c r="I3468" s="28" t="n">
        <x:v>8</x:v>
      </x:c>
      <x:c r="J3468" s="28" t="n">
        <x:v>5</x:v>
      </x:c>
      <x:c r="K3468" s="28" t="n">
        <x:v>1</x:v>
      </x:c>
      <x:c r="L3468" s="28" t="n">
        <x:v>7</x:v>
      </x:c>
      <x:c r="M3468" s="28" t="n">
        <x:v>3</x:v>
      </x:c>
      <x:c r="N3468" s="28" t="n">
        <x:v>1</x:v>
      </x:c>
      <x:c r="O3468" s="28" t="n">
        <x:v>0</x:v>
      </x:c>
      <x:c r="P3468" s="28" t="n">
        <x:v>3</x:v>
      </x:c>
      <x:c r="Q3468" s="24" t="n">
        <x:f>IFERROR(J3468/H3468,0)</x:f>
        <x:v>0.35714285714285715</x:v>
      </x:c>
      <x:c r="R3468" s="24" t="n">
        <x:f>IFERROR(F3468/H3468,0)</x:f>
        <x:v>0.07142857142857142</x:v>
      </x:c>
      <x:c r="S3468" s="24" t="n">
        <x:f>IFERROR(F3468/J3468,0)</x:f>
        <x:v>0.2</x:v>
      </x:c>
      <x:c r="T3468" s="28" t="n">
        <x:f>H3468-I3468</x:f>
        <x:v>6</x:v>
      </x:c>
      <x:c r="U3468" s="24" t="n">
        <x:f>IFERROR(J3468/H3468,0)-IFERROR(K3468/I3468,0)</x:f>
        <x:v>0.23214285714285715</x:v>
      </x:c>
      <x:c r="V3468" s="24" t="n">
        <x:f>IFERROR(F3468/J3468,0)-IFERROR(G3468/K3468,0)</x:f>
        <x:v>0.2</x:v>
      </x:c>
      <x:c r="W3468" s="28" t="n">
        <x:f>L3468-M3468</x:f>
        <x:v>4</x:v>
      </x:c>
      <x:c r="X3468" s="24" t="n">
        <x:f>IFERROR(K3468/I3468,0)</x:f>
        <x:v>0.125</x:v>
      </x:c>
      <x:c r="Y3468" s="24" t="n">
        <x:f>IFERROR(G3468/I3468,0)</x:f>
        <x:v>0</x:v>
      </x:c>
      <x:c r="Z3468" s="24" t="n">
        <x:f>IFERROR(G3468/K3468,0)</x:f>
        <x:v>0</x:v>
      </x:c>
      <x:c r="AA3468" s="24" t="n">
        <x:f>IFERROR(F3468/H3468,0)-IFERROR(G3468/I3468,0)</x:f>
        <x:v>0.07142857142857142</x:v>
      </x:c>
      <x:c r="AB3468" s="28" t="n">
        <x:f>J3468-K3468</x:f>
        <x:v>4</x:v>
      </x:c>
      <x:c r="AC3468" s="32" t="n">
        <x:f>F3468-G3468</x:f>
        <x:v>1</x:v>
      </x:c>
    </x:row>
    <x:row r="3469">
      <x:c r="A3469" s="4" t="str">
        <x:v>2025-26</x:v>
      </x:c>
      <x:c r="B3469" s="20" t="n">
        <x:v>46039</x:v>
      </x:c>
      <x:c r="C3469" s="4" t="str">
        <x:v>Liverpool</x:v>
      </x:c>
      <x:c r="D3469" s="4" t="str">
        <x:v>Burnley</x:v>
      </x:c>
      <x:c r="E3469" s="4" t="str">
        <x:v>Home</x:v>
      </x:c>
      <x:c r="F3469" s="28" t="n">
        <x:v>1</x:v>
      </x:c>
      <x:c r="G3469" s="28" t="n">
        <x:v>1</x:v>
      </x:c>
      <x:c r="H3469" s="28" t="n">
        <x:v>32</x:v>
      </x:c>
      <x:c r="I3469" s="28" t="n">
        <x:v>7</x:v>
      </x:c>
      <x:c r="J3469" s="28" t="n">
        <x:v>11</x:v>
      </x:c>
      <x:c r="K3469" s="28" t="n">
        <x:v>1</x:v>
      </x:c>
      <x:c r="L3469" s="28" t="n">
        <x:v>9</x:v>
      </x:c>
      <x:c r="M3469" s="28" t="n">
        <x:v>1</x:v>
      </x:c>
      <x:c r="N3469" s="28" t="n">
        <x:v>1</x:v>
      </x:c>
      <x:c r="O3469" s="28" t="n">
        <x:v>0</x:v>
      </x:c>
      <x:c r="P3469" s="28" t="n">
        <x:v>1</x:v>
      </x:c>
      <x:c r="Q3469" s="24" t="n">
        <x:f>IFERROR(J3469/H3469,0)</x:f>
        <x:v>0.34375</x:v>
      </x:c>
      <x:c r="R3469" s="24" t="n">
        <x:f>IFERROR(F3469/H3469,0)</x:f>
        <x:v>0.03125</x:v>
      </x:c>
      <x:c r="S3469" s="24" t="n">
        <x:f>IFERROR(F3469/J3469,0)</x:f>
        <x:v>0.09090909090909091</x:v>
      </x:c>
      <x:c r="T3469" s="28" t="n">
        <x:f>H3469-I3469</x:f>
        <x:v>25</x:v>
      </x:c>
      <x:c r="U3469" s="24" t="n">
        <x:f>IFERROR(J3469/H3469,0)-IFERROR(K3469/I3469,0)</x:f>
        <x:v>0.20089285714285715</x:v>
      </x:c>
      <x:c r="V3469" s="24" t="n">
        <x:f>IFERROR(F3469/J3469,0)-IFERROR(G3469/K3469,0)</x:f>
        <x:v>-0.9090909090909091</x:v>
      </x:c>
      <x:c r="W3469" s="28" t="n">
        <x:f>L3469-M3469</x:f>
        <x:v>8</x:v>
      </x:c>
      <x:c r="X3469" s="24" t="n">
        <x:f>IFERROR(K3469/I3469,0)</x:f>
        <x:v>0.14285714285714285</x:v>
      </x:c>
      <x:c r="Y3469" s="24" t="n">
        <x:f>IFERROR(G3469/I3469,0)</x:f>
        <x:v>0.14285714285714285</x:v>
      </x:c>
      <x:c r="Z3469" s="24" t="n">
        <x:f>IFERROR(G3469/K3469,0)</x:f>
        <x:v>1</x:v>
      </x:c>
      <x:c r="AA3469" s="24" t="n">
        <x:f>IFERROR(F3469/H3469,0)-IFERROR(G3469/I3469,0)</x:f>
        <x:v>-0.11160714285714285</x:v>
      </x:c>
      <x:c r="AB3469" s="28" t="n">
        <x:f>J3469-K3469</x:f>
        <x:v>10</x:v>
      </x:c>
      <x:c r="AC3469" s="32" t="n">
        <x:f>F3469-G3469</x:f>
        <x:v>0</x:v>
      </x:c>
    </x:row>
    <x:row r="3470">
      <x:c r="A3470" s="4" t="str">
        <x:v>2025-26</x:v>
      </x:c>
      <x:c r="B3470" s="20" t="n">
        <x:v>46039</x:v>
      </x:c>
      <x:c r="C3470" s="4" t="str">
        <x:v>Man City</x:v>
      </x:c>
      <x:c r="D3470" s="4" t="str">
        <x:v>Man United</x:v>
      </x:c>
      <x:c r="E3470" s="4" t="str">
        <x:v>Away</x:v>
      </x:c>
      <x:c r="F3470" s="28" t="n">
        <x:v>0</x:v>
      </x:c>
      <x:c r="G3470" s="28" t="n">
        <x:v>2</x:v>
      </x:c>
      <x:c r="H3470" s="28" t="n">
        <x:v>7</x:v>
      </x:c>
      <x:c r="I3470" s="28" t="n">
        <x:v>11</x:v>
      </x:c>
      <x:c r="J3470" s="28" t="n">
        <x:v>1</x:v>
      </x:c>
      <x:c r="K3470" s="28" t="n">
        <x:v>7</x:v>
      </x:c>
      <x:c r="L3470" s="28" t="n">
        <x:v>6</x:v>
      </x:c>
      <x:c r="M3470" s="28" t="n">
        <x:v>1</x:v>
      </x:c>
      <x:c r="N3470" s="28" t="n">
        <x:v>3</x:v>
      </x:c>
      <x:c r="O3470" s="28" t="n">
        <x:v>0</x:v>
      </x:c>
      <x:c r="P3470" s="28" t="n">
        <x:v>0</x:v>
      </x:c>
      <x:c r="Q3470" s="24" t="n">
        <x:f>IFERROR(J3470/H3470,0)</x:f>
        <x:v>0.14285714285714285</x:v>
      </x:c>
      <x:c r="R3470" s="24" t="n">
        <x:f>IFERROR(F3470/H3470,0)</x:f>
        <x:v>0</x:v>
      </x:c>
      <x:c r="S3470" s="24" t="n">
        <x:f>IFERROR(F3470/J3470,0)</x:f>
        <x:v>0</x:v>
      </x:c>
      <x:c r="T3470" s="28" t="n">
        <x:f>H3470-I3470</x:f>
        <x:v>-4</x:v>
      </x:c>
      <x:c r="U3470" s="24" t="n">
        <x:f>IFERROR(J3470/H3470,0)-IFERROR(K3470/I3470,0)</x:f>
        <x:v>-0.4935064935064935</x:v>
      </x:c>
      <x:c r="V3470" s="24" t="n">
        <x:f>IFERROR(F3470/J3470,0)-IFERROR(G3470/K3470,0)</x:f>
        <x:v>-0.2857142857142857</x:v>
      </x:c>
      <x:c r="W3470" s="28" t="n">
        <x:f>L3470-M3470</x:f>
        <x:v>5</x:v>
      </x:c>
      <x:c r="X3470" s="24" t="n">
        <x:f>IFERROR(K3470/I3470,0)</x:f>
        <x:v>0.6363636363636364</x:v>
      </x:c>
      <x:c r="Y3470" s="24" t="n">
        <x:f>IFERROR(G3470/I3470,0)</x:f>
        <x:v>0.18181818181818182</x:v>
      </x:c>
      <x:c r="Z3470" s="24" t="n">
        <x:f>IFERROR(G3470/K3470,0)</x:f>
        <x:v>0.2857142857142857</x:v>
      </x:c>
      <x:c r="AA3470" s="24" t="n">
        <x:f>IFERROR(F3470/H3470,0)-IFERROR(G3470/I3470,0)</x:f>
        <x:v>-0.18181818181818182</x:v>
      </x:c>
      <x:c r="AB3470" s="28" t="n">
        <x:f>J3470-K3470</x:f>
        <x:v>-6</x:v>
      </x:c>
      <x:c r="AC3470" s="32" t="n">
        <x:f>F3470-G3470</x:f>
        <x:v>-2</x:v>
      </x:c>
    </x:row>
    <x:row r="3471">
      <x:c r="A3471" s="4" t="str">
        <x:v>2025-26</x:v>
      </x:c>
      <x:c r="B3471" s="20" t="n">
        <x:v>46039</x:v>
      </x:c>
      <x:c r="C3471" s="4" t="str">
        <x:v>Man United</x:v>
      </x:c>
      <x:c r="D3471" s="4" t="str">
        <x:v>Man City</x:v>
      </x:c>
      <x:c r="E3471" s="4" t="str">
        <x:v>Home</x:v>
      </x:c>
      <x:c r="F3471" s="28" t="n">
        <x:v>2</x:v>
      </x:c>
      <x:c r="G3471" s="28" t="n">
        <x:v>0</x:v>
      </x:c>
      <x:c r="H3471" s="28" t="n">
        <x:v>11</x:v>
      </x:c>
      <x:c r="I3471" s="28" t="n">
        <x:v>7</x:v>
      </x:c>
      <x:c r="J3471" s="28" t="n">
        <x:v>7</x:v>
      </x:c>
      <x:c r="K3471" s="28" t="n">
        <x:v>1</x:v>
      </x:c>
      <x:c r="L3471" s="28" t="n">
        <x:v>1</x:v>
      </x:c>
      <x:c r="M3471" s="28" t="n">
        <x:v>6</x:v>
      </x:c>
      <x:c r="N3471" s="28" t="n">
        <x:v>2</x:v>
      </x:c>
      <x:c r="O3471" s="28" t="n">
        <x:v>0</x:v>
      </x:c>
      <x:c r="P3471" s="28" t="n">
        <x:v>3</x:v>
      </x:c>
      <x:c r="Q3471" s="24" t="n">
        <x:f>IFERROR(J3471/H3471,0)</x:f>
        <x:v>0.6363636363636364</x:v>
      </x:c>
      <x:c r="R3471" s="24" t="n">
        <x:f>IFERROR(F3471/H3471,0)</x:f>
        <x:v>0.18181818181818182</x:v>
      </x:c>
      <x:c r="S3471" s="24" t="n">
        <x:f>IFERROR(F3471/J3471,0)</x:f>
        <x:v>0.2857142857142857</x:v>
      </x:c>
      <x:c r="T3471" s="28" t="n">
        <x:f>H3471-I3471</x:f>
        <x:v>4</x:v>
      </x:c>
      <x:c r="U3471" s="24" t="n">
        <x:f>IFERROR(J3471/H3471,0)-IFERROR(K3471/I3471,0)</x:f>
        <x:v>0.4935064935064935</x:v>
      </x:c>
      <x:c r="V3471" s="24" t="n">
        <x:f>IFERROR(F3471/J3471,0)-IFERROR(G3471/K3471,0)</x:f>
        <x:v>0.2857142857142857</x:v>
      </x:c>
      <x:c r="W3471" s="28" t="n">
        <x:f>L3471-M3471</x:f>
        <x:v>-5</x:v>
      </x:c>
      <x:c r="X3471" s="24" t="n">
        <x:f>IFERROR(K3471/I3471,0)</x:f>
        <x:v>0.14285714285714285</x:v>
      </x:c>
      <x:c r="Y3471" s="24" t="n">
        <x:f>IFERROR(G3471/I3471,0)</x:f>
        <x:v>0</x:v>
      </x:c>
      <x:c r="Z3471" s="24" t="n">
        <x:f>IFERROR(G3471/K3471,0)</x:f>
        <x:v>0</x:v>
      </x:c>
      <x:c r="AA3471" s="24" t="n">
        <x:f>IFERROR(F3471/H3471,0)-IFERROR(G3471/I3471,0)</x:f>
        <x:v>0.18181818181818182</x:v>
      </x:c>
      <x:c r="AB3471" s="28" t="n">
        <x:f>J3471-K3471</x:f>
        <x:v>6</x:v>
      </x:c>
      <x:c r="AC3471" s="32" t="n">
        <x:f>F3471-G3471</x:f>
        <x:v>2</x:v>
      </x:c>
    </x:row>
    <x:row r="3472">
      <x:c r="A3472" s="4" t="str">
        <x:v>2025-26</x:v>
      </x:c>
      <x:c r="B3472" s="20" t="n">
        <x:v>46039</x:v>
      </x:c>
      <x:c r="C3472" s="4" t="str">
        <x:v>Nott'm Forest</x:v>
      </x:c>
      <x:c r="D3472" s="4" t="str">
        <x:v>Arsenal</x:v>
      </x:c>
      <x:c r="E3472" s="4" t="str">
        <x:v>Home</x:v>
      </x:c>
      <x:c r="F3472" s="28" t="n">
        <x:v>0</x:v>
      </x:c>
      <x:c r="G3472" s="28" t="n">
        <x:v>0</x:v>
      </x:c>
      <x:c r="H3472" s="28" t="n">
        <x:v>6</x:v>
      </x:c>
      <x:c r="I3472" s="28" t="n">
        <x:v>15</x:v>
      </x:c>
      <x:c r="J3472" s="28" t="n">
        <x:v>0</x:v>
      </x:c>
      <x:c r="K3472" s="28" t="n">
        <x:v>3</x:v>
      </x:c>
      <x:c r="L3472" s="28" t="n">
        <x:v>4</x:v>
      </x:c>
      <x:c r="M3472" s="28" t="n">
        <x:v>9</x:v>
      </x:c>
      <x:c r="N3472" s="28" t="n">
        <x:v>1</x:v>
      </x:c>
      <x:c r="O3472" s="28" t="n">
        <x:v>0</x:v>
      </x:c>
      <x:c r="P3472" s="28" t="n">
        <x:v>1</x:v>
      </x:c>
      <x:c r="Q3472" s="24" t="n">
        <x:f>IFERROR(J3472/H3472,0)</x:f>
        <x:v>0</x:v>
      </x:c>
      <x:c r="R3472" s="24" t="n">
        <x:f>IFERROR(F3472/H3472,0)</x:f>
        <x:v>0</x:v>
      </x:c>
      <x:c r="S3472" s="24" t="n">
        <x:f>IFERROR(F3472/J3472,0)</x:f>
        <x:v>0</x:v>
      </x:c>
      <x:c r="T3472" s="28" t="n">
        <x:f>H3472-I3472</x:f>
        <x:v>-9</x:v>
      </x:c>
      <x:c r="U3472" s="24" t="n">
        <x:f>IFERROR(J3472/H3472,0)-IFERROR(K3472/I3472,0)</x:f>
        <x:v>-0.2</x:v>
      </x:c>
      <x:c r="V3472" s="24" t="n">
        <x:f>IFERROR(F3472/J3472,0)-IFERROR(G3472/K3472,0)</x:f>
        <x:v>0</x:v>
      </x:c>
      <x:c r="W3472" s="28" t="n">
        <x:f>L3472-M3472</x:f>
        <x:v>-5</x:v>
      </x:c>
      <x:c r="X3472" s="24" t="n">
        <x:f>IFERROR(K3472/I3472,0)</x:f>
        <x:v>0.2</x:v>
      </x:c>
      <x:c r="Y3472" s="24" t="n">
        <x:f>IFERROR(G3472/I3472,0)</x:f>
        <x:v>0</x:v>
      </x:c>
      <x:c r="Z3472" s="24" t="n">
        <x:f>IFERROR(G3472/K3472,0)</x:f>
        <x:v>0</x:v>
      </x:c>
      <x:c r="AA3472" s="24" t="n">
        <x:f>IFERROR(F3472/H3472,0)-IFERROR(G3472/I3472,0)</x:f>
        <x:v>0</x:v>
      </x:c>
      <x:c r="AB3472" s="28" t="n">
        <x:f>J3472-K3472</x:f>
        <x:v>-3</x:v>
      </x:c>
      <x:c r="AC3472" s="32" t="n">
        <x:f>F3472-G3472</x:f>
        <x:v>0</x:v>
      </x:c>
    </x:row>
    <x:row r="3473">
      <x:c r="A3473" s="4" t="str">
        <x:v>2025-26</x:v>
      </x:c>
      <x:c r="B3473" s="20" t="n">
        <x:v>46039</x:v>
      </x:c>
      <x:c r="C3473" s="4" t="str">
        <x:v>Sunderland</x:v>
      </x:c>
      <x:c r="D3473" s="4" t="str">
        <x:v>Crystal Palace</x:v>
      </x:c>
      <x:c r="E3473" s="4" t="str">
        <x:v>Home</x:v>
      </x:c>
      <x:c r="F3473" s="28" t="n">
        <x:v>2</x:v>
      </x:c>
      <x:c r="G3473" s="28" t="n">
        <x:v>1</x:v>
      </x:c>
      <x:c r="H3473" s="28" t="n">
        <x:v>13</x:v>
      </x:c>
      <x:c r="I3473" s="28" t="n">
        <x:v>6</x:v>
      </x:c>
      <x:c r="J3473" s="28" t="n">
        <x:v>7</x:v>
      </x:c>
      <x:c r="K3473" s="28" t="n">
        <x:v>2</x:v>
      </x:c>
      <x:c r="L3473" s="28" t="n">
        <x:v>3</x:v>
      </x:c>
      <x:c r="M3473" s="28" t="n">
        <x:v>4</x:v>
      </x:c>
      <x:c r="N3473" s="28" t="n">
        <x:v>3</x:v>
      </x:c>
      <x:c r="O3473" s="28" t="n">
        <x:v>0</x:v>
      </x:c>
      <x:c r="P3473" s="28" t="n">
        <x:v>3</x:v>
      </x:c>
      <x:c r="Q3473" s="24" t="n">
        <x:f>IFERROR(J3473/H3473,0)</x:f>
        <x:v>0.5384615384615384</x:v>
      </x:c>
      <x:c r="R3473" s="24" t="n">
        <x:f>IFERROR(F3473/H3473,0)</x:f>
        <x:v>0.15384615384615385</x:v>
      </x:c>
      <x:c r="S3473" s="24" t="n">
        <x:f>IFERROR(F3473/J3473,0)</x:f>
        <x:v>0.2857142857142857</x:v>
      </x:c>
      <x:c r="T3473" s="28" t="n">
        <x:f>H3473-I3473</x:f>
        <x:v>7</x:v>
      </x:c>
      <x:c r="U3473" s="24" t="n">
        <x:f>IFERROR(J3473/H3473,0)-IFERROR(K3473/I3473,0)</x:f>
        <x:v>0.20512820512820512</x:v>
      </x:c>
      <x:c r="V3473" s="24" t="n">
        <x:f>IFERROR(F3473/J3473,0)-IFERROR(G3473/K3473,0)</x:f>
        <x:v>-0.2142857142857143</x:v>
      </x:c>
      <x:c r="W3473" s="28" t="n">
        <x:f>L3473-M3473</x:f>
        <x:v>-1</x:v>
      </x:c>
      <x:c r="X3473" s="24" t="n">
        <x:f>IFERROR(K3473/I3473,0)</x:f>
        <x:v>0.3333333333333333</x:v>
      </x:c>
      <x:c r="Y3473" s="24" t="n">
        <x:f>IFERROR(G3473/I3473,0)</x:f>
        <x:v>0.16666666666666666</x:v>
      </x:c>
      <x:c r="Z3473" s="24" t="n">
        <x:f>IFERROR(G3473/K3473,0)</x:f>
        <x:v>0.5</x:v>
      </x:c>
      <x:c r="AA3473" s="24" t="n">
        <x:f>IFERROR(F3473/H3473,0)-IFERROR(G3473/I3473,0)</x:f>
        <x:v>-0.012820512820512803</x:v>
      </x:c>
      <x:c r="AB3473" s="28" t="n">
        <x:f>J3473-K3473</x:f>
        <x:v>5</x:v>
      </x:c>
      <x:c r="AC3473" s="32" t="n">
        <x:f>F3473-G3473</x:f>
        <x:v>1</x:v>
      </x:c>
    </x:row>
    <x:row r="3474">
      <x:c r="A3474" s="4" t="str">
        <x:v>2025-26</x:v>
      </x:c>
      <x:c r="B3474" s="20" t="n">
        <x:v>46039</x:v>
      </x:c>
      <x:c r="C3474" s="4" t="str">
        <x:v>Tottenham</x:v>
      </x:c>
      <x:c r="D3474" s="4" t="str">
        <x:v>West Ham</x:v>
      </x:c>
      <x:c r="E3474" s="4" t="str">
        <x:v>Home</x:v>
      </x:c>
      <x:c r="F3474" s="28" t="n">
        <x:v>1</x:v>
      </x:c>
      <x:c r="G3474" s="28" t="n">
        <x:v>2</x:v>
      </x:c>
      <x:c r="H3474" s="28" t="n">
        <x:v>21</x:v>
      </x:c>
      <x:c r="I3474" s="28" t="n">
        <x:v>17</x:v>
      </x:c>
      <x:c r="J3474" s="28" t="n">
        <x:v>6</x:v>
      </x:c>
      <x:c r="K3474" s="28" t="n">
        <x:v>4</x:v>
      </x:c>
      <x:c r="L3474" s="28" t="n">
        <x:v>11</x:v>
      </x:c>
      <x:c r="M3474" s="28" t="n">
        <x:v>5</x:v>
      </x:c>
      <x:c r="N3474" s="28" t="n">
        <x:v>5</x:v>
      </x:c>
      <x:c r="O3474" s="28" t="n">
        <x:v>0</x:v>
      </x:c>
      <x:c r="P3474" s="28" t="n">
        <x:v>0</x:v>
      </x:c>
      <x:c r="Q3474" s="24" t="n">
        <x:f>IFERROR(J3474/H3474,0)</x:f>
        <x:v>0.2857142857142857</x:v>
      </x:c>
      <x:c r="R3474" s="24" t="n">
        <x:f>IFERROR(F3474/H3474,0)</x:f>
        <x:v>0.047619047619047616</x:v>
      </x:c>
      <x:c r="S3474" s="24" t="n">
        <x:f>IFERROR(F3474/J3474,0)</x:f>
        <x:v>0.16666666666666666</x:v>
      </x:c>
      <x:c r="T3474" s="28" t="n">
        <x:f>H3474-I3474</x:f>
        <x:v>4</x:v>
      </x:c>
      <x:c r="U3474" s="24" t="n">
        <x:f>IFERROR(J3474/H3474,0)-IFERROR(K3474/I3474,0)</x:f>
        <x:v>0.05042016806722688</x:v>
      </x:c>
      <x:c r="V3474" s="24" t="n">
        <x:f>IFERROR(F3474/J3474,0)-IFERROR(G3474/K3474,0)</x:f>
        <x:v>-0.33333333333333337</x:v>
      </x:c>
      <x:c r="W3474" s="28" t="n">
        <x:f>L3474-M3474</x:f>
        <x:v>6</x:v>
      </x:c>
      <x:c r="X3474" s="24" t="n">
        <x:f>IFERROR(K3474/I3474,0)</x:f>
        <x:v>0.23529411764705882</x:v>
      </x:c>
      <x:c r="Y3474" s="24" t="n">
        <x:f>IFERROR(G3474/I3474,0)</x:f>
        <x:v>0.11764705882352941</x:v>
      </x:c>
      <x:c r="Z3474" s="24" t="n">
        <x:f>IFERROR(G3474/K3474,0)</x:f>
        <x:v>0.5</x:v>
      </x:c>
      <x:c r="AA3474" s="24" t="n">
        <x:f>IFERROR(F3474/H3474,0)-IFERROR(G3474/I3474,0)</x:f>
        <x:v>-0.0700280112044818</x:v>
      </x:c>
      <x:c r="AB3474" s="28" t="n">
        <x:f>J3474-K3474</x:f>
        <x:v>2</x:v>
      </x:c>
      <x:c r="AC3474" s="32" t="n">
        <x:f>F3474-G3474</x:f>
        <x:v>-1</x:v>
      </x:c>
    </x:row>
    <x:row r="3475">
      <x:c r="A3475" s="4" t="str">
        <x:v>2025-26</x:v>
      </x:c>
      <x:c r="B3475" s="20" t="n">
        <x:v>46039</x:v>
      </x:c>
      <x:c r="C3475" s="4" t="str">
        <x:v>West Ham</x:v>
      </x:c>
      <x:c r="D3475" s="4" t="str">
        <x:v>Tottenham</x:v>
      </x:c>
      <x:c r="E3475" s="4" t="str">
        <x:v>Away</x:v>
      </x:c>
      <x:c r="F3475" s="28" t="n">
        <x:v>2</x:v>
      </x:c>
      <x:c r="G3475" s="28" t="n">
        <x:v>1</x:v>
      </x:c>
      <x:c r="H3475" s="28" t="n">
        <x:v>17</x:v>
      </x:c>
      <x:c r="I3475" s="28" t="n">
        <x:v>21</x:v>
      </x:c>
      <x:c r="J3475" s="28" t="n">
        <x:v>4</x:v>
      </x:c>
      <x:c r="K3475" s="28" t="n">
        <x:v>6</x:v>
      </x:c>
      <x:c r="L3475" s="28" t="n">
        <x:v>5</x:v>
      </x:c>
      <x:c r="M3475" s="28" t="n">
        <x:v>11</x:v>
      </x:c>
      <x:c r="N3475" s="28" t="n">
        <x:v>3</x:v>
      </x:c>
      <x:c r="O3475" s="28" t="n">
        <x:v>0</x:v>
      </x:c>
      <x:c r="P3475" s="28" t="n">
        <x:v>3</x:v>
      </x:c>
      <x:c r="Q3475" s="24" t="n">
        <x:f>IFERROR(J3475/H3475,0)</x:f>
        <x:v>0.23529411764705882</x:v>
      </x:c>
      <x:c r="R3475" s="24" t="n">
        <x:f>IFERROR(F3475/H3475,0)</x:f>
        <x:v>0.11764705882352941</x:v>
      </x:c>
      <x:c r="S3475" s="24" t="n">
        <x:f>IFERROR(F3475/J3475,0)</x:f>
        <x:v>0.5</x:v>
      </x:c>
      <x:c r="T3475" s="28" t="n">
        <x:f>H3475-I3475</x:f>
        <x:v>-4</x:v>
      </x:c>
      <x:c r="U3475" s="24" t="n">
        <x:f>IFERROR(J3475/H3475,0)-IFERROR(K3475/I3475,0)</x:f>
        <x:v>-0.05042016806722688</x:v>
      </x:c>
      <x:c r="V3475" s="24" t="n">
        <x:f>IFERROR(F3475/J3475,0)-IFERROR(G3475/K3475,0)</x:f>
        <x:v>0.33333333333333337</x:v>
      </x:c>
      <x:c r="W3475" s="28" t="n">
        <x:f>L3475-M3475</x:f>
        <x:v>-6</x:v>
      </x:c>
      <x:c r="X3475" s="24" t="n">
        <x:f>IFERROR(K3475/I3475,0)</x:f>
        <x:v>0.2857142857142857</x:v>
      </x:c>
      <x:c r="Y3475" s="24" t="n">
        <x:f>IFERROR(G3475/I3475,0)</x:f>
        <x:v>0.047619047619047616</x:v>
      </x:c>
      <x:c r="Z3475" s="24" t="n">
        <x:f>IFERROR(G3475/K3475,0)</x:f>
        <x:v>0.16666666666666666</x:v>
      </x:c>
      <x:c r="AA3475" s="24" t="n">
        <x:f>IFERROR(F3475/H3475,0)-IFERROR(G3475/I3475,0)</x:f>
        <x:v>0.0700280112044818</x:v>
      </x:c>
      <x:c r="AB3475" s="28" t="n">
        <x:f>J3475-K3475</x:f>
        <x:v>-2</x:v>
      </x:c>
      <x:c r="AC3475" s="32" t="n">
        <x:f>F3475-G3475</x:f>
        <x:v>1</x:v>
      </x:c>
    </x:row>
    <x:row r="3476">
      <x:c r="A3476" s="4" t="str">
        <x:v>2025-26</x:v>
      </x:c>
      <x:c r="B3476" s="20" t="n">
        <x:v>46040</x:v>
      </x:c>
      <x:c r="C3476" s="4" t="str">
        <x:v>Aston Villa</x:v>
      </x:c>
      <x:c r="D3476" s="4" t="str">
        <x:v>Everton</x:v>
      </x:c>
      <x:c r="E3476" s="4" t="str">
        <x:v>Home</x:v>
      </x:c>
      <x:c r="F3476" s="28" t="n">
        <x:v>0</x:v>
      </x:c>
      <x:c r="G3476" s="28" t="n">
        <x:v>1</x:v>
      </x:c>
      <x:c r="H3476" s="28" t="n">
        <x:v>18</x:v>
      </x:c>
      <x:c r="I3476" s="28" t="n">
        <x:v>9</x:v>
      </x:c>
      <x:c r="J3476" s="28" t="n">
        <x:v>5</x:v>
      </x:c>
      <x:c r="K3476" s="28" t="n">
        <x:v>3</x:v>
      </x:c>
      <x:c r="L3476" s="28" t="n">
        <x:v>6</x:v>
      </x:c>
      <x:c r="M3476" s="28" t="n">
        <x:v>4</x:v>
      </x:c>
      <x:c r="N3476" s="28" t="n">
        <x:v>1</x:v>
      </x:c>
      <x:c r="O3476" s="28" t="n">
        <x:v>0</x:v>
      </x:c>
      <x:c r="P3476" s="28" t="n">
        <x:v>0</x:v>
      </x:c>
      <x:c r="Q3476" s="24" t="n">
        <x:f>IFERROR(J3476/H3476,0)</x:f>
        <x:v>0.2777777777777778</x:v>
      </x:c>
      <x:c r="R3476" s="24" t="n">
        <x:f>IFERROR(F3476/H3476,0)</x:f>
        <x:v>0</x:v>
      </x:c>
      <x:c r="S3476" s="24" t="n">
        <x:f>IFERROR(F3476/J3476,0)</x:f>
        <x:v>0</x:v>
      </x:c>
      <x:c r="T3476" s="28" t="n">
        <x:f>H3476-I3476</x:f>
        <x:v>9</x:v>
      </x:c>
      <x:c r="U3476" s="24" t="n">
        <x:f>IFERROR(J3476/H3476,0)-IFERROR(K3476/I3476,0)</x:f>
        <x:v>-0.055555555555555525</x:v>
      </x:c>
      <x:c r="V3476" s="24" t="n">
        <x:f>IFERROR(F3476/J3476,0)-IFERROR(G3476/K3476,0)</x:f>
        <x:v>-0.3333333333333333</x:v>
      </x:c>
      <x:c r="W3476" s="28" t="n">
        <x:f>L3476-M3476</x:f>
        <x:v>2</x:v>
      </x:c>
      <x:c r="X3476" s="24" t="n">
        <x:f>IFERROR(K3476/I3476,0)</x:f>
        <x:v>0.3333333333333333</x:v>
      </x:c>
      <x:c r="Y3476" s="24" t="n">
        <x:f>IFERROR(G3476/I3476,0)</x:f>
        <x:v>0.1111111111111111</x:v>
      </x:c>
      <x:c r="Z3476" s="24" t="n">
        <x:f>IFERROR(G3476/K3476,0)</x:f>
        <x:v>0.3333333333333333</x:v>
      </x:c>
      <x:c r="AA3476" s="24" t="n">
        <x:f>IFERROR(F3476/H3476,0)-IFERROR(G3476/I3476,0)</x:f>
        <x:v>-0.1111111111111111</x:v>
      </x:c>
      <x:c r="AB3476" s="28" t="n">
        <x:f>J3476-K3476</x:f>
        <x:v>2</x:v>
      </x:c>
      <x:c r="AC3476" s="32" t="n">
        <x:f>F3476-G3476</x:f>
        <x:v>-1</x:v>
      </x:c>
    </x:row>
    <x:row r="3477">
      <x:c r="A3477" s="4" t="str">
        <x:v>2025-26</x:v>
      </x:c>
      <x:c r="B3477" s="20" t="n">
        <x:v>46040</x:v>
      </x:c>
      <x:c r="C3477" s="4" t="str">
        <x:v>Everton</x:v>
      </x:c>
      <x:c r="D3477" s="4" t="str">
        <x:v>Aston Villa</x:v>
      </x:c>
      <x:c r="E3477" s="4" t="str">
        <x:v>Away</x:v>
      </x:c>
      <x:c r="F3477" s="28" t="n">
        <x:v>1</x:v>
      </x:c>
      <x:c r="G3477" s="28" t="n">
        <x:v>0</x:v>
      </x:c>
      <x:c r="H3477" s="28" t="n">
        <x:v>9</x:v>
      </x:c>
      <x:c r="I3477" s="28" t="n">
        <x:v>18</x:v>
      </x:c>
      <x:c r="J3477" s="28" t="n">
        <x:v>3</x:v>
      </x:c>
      <x:c r="K3477" s="28" t="n">
        <x:v>5</x:v>
      </x:c>
      <x:c r="L3477" s="28" t="n">
        <x:v>4</x:v>
      </x:c>
      <x:c r="M3477" s="28" t="n">
        <x:v>6</x:v>
      </x:c>
      <x:c r="N3477" s="28" t="n">
        <x:v>2</x:v>
      </x:c>
      <x:c r="O3477" s="28" t="n">
        <x:v>0</x:v>
      </x:c>
      <x:c r="P3477" s="28" t="n">
        <x:v>3</x:v>
      </x:c>
      <x:c r="Q3477" s="24" t="n">
        <x:f>IFERROR(J3477/H3477,0)</x:f>
        <x:v>0.3333333333333333</x:v>
      </x:c>
      <x:c r="R3477" s="24" t="n">
        <x:f>IFERROR(F3477/H3477,0)</x:f>
        <x:v>0.1111111111111111</x:v>
      </x:c>
      <x:c r="S3477" s="24" t="n">
        <x:f>IFERROR(F3477/J3477,0)</x:f>
        <x:v>0.3333333333333333</x:v>
      </x:c>
      <x:c r="T3477" s="28" t="n">
        <x:f>H3477-I3477</x:f>
        <x:v>-9</x:v>
      </x:c>
      <x:c r="U3477" s="24" t="n">
        <x:f>IFERROR(J3477/H3477,0)-IFERROR(K3477/I3477,0)</x:f>
        <x:v>0.055555555555555525</x:v>
      </x:c>
      <x:c r="V3477" s="24" t="n">
        <x:f>IFERROR(F3477/J3477,0)-IFERROR(G3477/K3477,0)</x:f>
        <x:v>0.3333333333333333</x:v>
      </x:c>
      <x:c r="W3477" s="28" t="n">
        <x:f>L3477-M3477</x:f>
        <x:v>-2</x:v>
      </x:c>
      <x:c r="X3477" s="24" t="n">
        <x:f>IFERROR(K3477/I3477,0)</x:f>
        <x:v>0.2777777777777778</x:v>
      </x:c>
      <x:c r="Y3477" s="24" t="n">
        <x:f>IFERROR(G3477/I3477,0)</x:f>
        <x:v>0</x:v>
      </x:c>
      <x:c r="Z3477" s="24" t="n">
        <x:f>IFERROR(G3477/K3477,0)</x:f>
        <x:v>0</x:v>
      </x:c>
      <x:c r="AA3477" s="24" t="n">
        <x:f>IFERROR(F3477/H3477,0)-IFERROR(G3477/I3477,0)</x:f>
        <x:v>0.1111111111111111</x:v>
      </x:c>
      <x:c r="AB3477" s="28" t="n">
        <x:f>J3477-K3477</x:f>
        <x:v>-2</x:v>
      </x:c>
      <x:c r="AC3477" s="32" t="n">
        <x:f>F3477-G3477</x:f>
        <x:v>1</x:v>
      </x:c>
    </x:row>
    <x:row r="3478">
      <x:c r="A3478" s="4" t="str">
        <x:v>2025-26</x:v>
      </x:c>
      <x:c r="B3478" s="20" t="n">
        <x:v>46040</x:v>
      </x:c>
      <x:c r="C3478" s="4" t="str">
        <x:v>Newcastle</x:v>
      </x:c>
      <x:c r="D3478" s="4" t="str">
        <x:v>Wolves</x:v>
      </x:c>
      <x:c r="E3478" s="4" t="str">
        <x:v>Away</x:v>
      </x:c>
      <x:c r="F3478" s="28" t="n">
        <x:v>0</x:v>
      </x:c>
      <x:c r="G3478" s="28" t="n">
        <x:v>0</x:v>
      </x:c>
      <x:c r="H3478" s="28" t="n">
        <x:v>12</x:v>
      </x:c>
      <x:c r="I3478" s="28" t="n">
        <x:v>6</x:v>
      </x:c>
      <x:c r="J3478" s="28" t="n">
        <x:v>2</x:v>
      </x:c>
      <x:c r="K3478" s="28" t="n">
        <x:v>2</x:v>
      </x:c>
      <x:c r="L3478" s="28" t="n">
        <x:v>7</x:v>
      </x:c>
      <x:c r="M3478" s="28" t="n">
        <x:v>4</x:v>
      </x:c>
      <x:c r="N3478" s="28" t="n">
        <x:v>2</x:v>
      </x:c>
      <x:c r="O3478" s="28" t="n">
        <x:v>0</x:v>
      </x:c>
      <x:c r="P3478" s="28" t="n">
        <x:v>1</x:v>
      </x:c>
      <x:c r="Q3478" s="24" t="n">
        <x:f>IFERROR(J3478/H3478,0)</x:f>
        <x:v>0.16666666666666666</x:v>
      </x:c>
      <x:c r="R3478" s="24" t="n">
        <x:f>IFERROR(F3478/H3478,0)</x:f>
        <x:v>0</x:v>
      </x:c>
      <x:c r="S3478" s="24" t="n">
        <x:f>IFERROR(F3478/J3478,0)</x:f>
        <x:v>0</x:v>
      </x:c>
      <x:c r="T3478" s="28" t="n">
        <x:f>H3478-I3478</x:f>
        <x:v>6</x:v>
      </x:c>
      <x:c r="U3478" s="24" t="n">
        <x:f>IFERROR(J3478/H3478,0)-IFERROR(K3478/I3478,0)</x:f>
        <x:v>-0.16666666666666666</x:v>
      </x:c>
      <x:c r="V3478" s="24" t="n">
        <x:f>IFERROR(F3478/J3478,0)-IFERROR(G3478/K3478,0)</x:f>
        <x:v>0</x:v>
      </x:c>
      <x:c r="W3478" s="28" t="n">
        <x:f>L3478-M3478</x:f>
        <x:v>3</x:v>
      </x:c>
      <x:c r="X3478" s="24" t="n">
        <x:f>IFERROR(K3478/I3478,0)</x:f>
        <x:v>0.3333333333333333</x:v>
      </x:c>
      <x:c r="Y3478" s="24" t="n">
        <x:f>IFERROR(G3478/I3478,0)</x:f>
        <x:v>0</x:v>
      </x:c>
      <x:c r="Z3478" s="24" t="n">
        <x:f>IFERROR(G3478/K3478,0)</x:f>
        <x:v>0</x:v>
      </x:c>
      <x:c r="AA3478" s="24" t="n">
        <x:f>IFERROR(F3478/H3478,0)-IFERROR(G3478/I3478,0)</x:f>
        <x:v>0</x:v>
      </x:c>
      <x:c r="AB3478" s="28" t="n">
        <x:f>J3478-K3478</x:f>
        <x:v>0</x:v>
      </x:c>
      <x:c r="AC3478" s="32" t="n">
        <x:f>F3478-G3478</x:f>
        <x:v>0</x:v>
      </x:c>
    </x:row>
    <x:row r="3479">
      <x:c r="A3479" s="4" t="str">
        <x:v>2025-26</x:v>
      </x:c>
      <x:c r="B3479" s="20" t="n">
        <x:v>46040</x:v>
      </x:c>
      <x:c r="C3479" s="4" t="str">
        <x:v>Wolves</x:v>
      </x:c>
      <x:c r="D3479" s="4" t="str">
        <x:v>Newcastle</x:v>
      </x:c>
      <x:c r="E3479" s="4" t="str">
        <x:v>Home</x:v>
      </x:c>
      <x:c r="F3479" s="28" t="n">
        <x:v>0</x:v>
      </x:c>
      <x:c r="G3479" s="28" t="n">
        <x:v>0</x:v>
      </x:c>
      <x:c r="H3479" s="28" t="n">
        <x:v>6</x:v>
      </x:c>
      <x:c r="I3479" s="28" t="n">
        <x:v>12</x:v>
      </x:c>
      <x:c r="J3479" s="28" t="n">
        <x:v>2</x:v>
      </x:c>
      <x:c r="K3479" s="28" t="n">
        <x:v>2</x:v>
      </x:c>
      <x:c r="L3479" s="28" t="n">
        <x:v>4</x:v>
      </x:c>
      <x:c r="M3479" s="28" t="n">
        <x:v>7</x:v>
      </x:c>
      <x:c r="N3479" s="28" t="n">
        <x:v>2</x:v>
      </x:c>
      <x:c r="O3479" s="28" t="n">
        <x:v>0</x:v>
      </x:c>
      <x:c r="P3479" s="28" t="n">
        <x:v>1</x:v>
      </x:c>
      <x:c r="Q3479" s="24" t="n">
        <x:f>IFERROR(J3479/H3479,0)</x:f>
        <x:v>0.3333333333333333</x:v>
      </x:c>
      <x:c r="R3479" s="24" t="n">
        <x:f>IFERROR(F3479/H3479,0)</x:f>
        <x:v>0</x:v>
      </x:c>
      <x:c r="S3479" s="24" t="n">
        <x:f>IFERROR(F3479/J3479,0)</x:f>
        <x:v>0</x:v>
      </x:c>
      <x:c r="T3479" s="28" t="n">
        <x:f>H3479-I3479</x:f>
        <x:v>-6</x:v>
      </x:c>
      <x:c r="U3479" s="24" t="n">
        <x:f>IFERROR(J3479/H3479,0)-IFERROR(K3479/I3479,0)</x:f>
        <x:v>0.16666666666666666</x:v>
      </x:c>
      <x:c r="V3479" s="24" t="n">
        <x:f>IFERROR(F3479/J3479,0)-IFERROR(G3479/K3479,0)</x:f>
        <x:v>0</x:v>
      </x:c>
      <x:c r="W3479" s="28" t="n">
        <x:f>L3479-M3479</x:f>
        <x:v>-3</x:v>
      </x:c>
      <x:c r="X3479" s="24" t="n">
        <x:f>IFERROR(K3479/I3479,0)</x:f>
        <x:v>0.16666666666666666</x:v>
      </x:c>
      <x:c r="Y3479" s="24" t="n">
        <x:f>IFERROR(G3479/I3479,0)</x:f>
        <x:v>0</x:v>
      </x:c>
      <x:c r="Z3479" s="24" t="n">
        <x:f>IFERROR(G3479/K3479,0)</x:f>
        <x:v>0</x:v>
      </x:c>
      <x:c r="AA3479" s="24" t="n">
        <x:f>IFERROR(F3479/H3479,0)-IFERROR(G3479/I3479,0)</x:f>
        <x:v>0</x:v>
      </x:c>
      <x:c r="AB3479" s="28" t="n">
        <x:f>J3479-K3479</x:f>
        <x:v>0</x:v>
      </x:c>
      <x:c r="AC3479" s="32" t="n">
        <x:f>F3479-G3479</x:f>
        <x:v>0</x:v>
      </x:c>
    </x:row>
    <x:row r="3480">
      <x:c r="A3480" s="4" t="str">
        <x:v>2025-26</x:v>
      </x:c>
      <x:c r="B3480" s="20" t="n">
        <x:v>46041</x:v>
      </x:c>
      <x:c r="C3480" s="4" t="str">
        <x:v>Bournemouth</x:v>
      </x:c>
      <x:c r="D3480" s="4" t="str">
        <x:v>Brighton</x:v>
      </x:c>
      <x:c r="E3480" s="4" t="str">
        <x:v>Away</x:v>
      </x:c>
      <x:c r="F3480" s="28" t="n">
        <x:v>1</x:v>
      </x:c>
      <x:c r="G3480" s="28" t="n">
        <x:v>1</x:v>
      </x:c>
      <x:c r="H3480" s="28" t="n">
        <x:v>11</x:v>
      </x:c>
      <x:c r="I3480" s="28" t="n">
        <x:v>17</x:v>
      </x:c>
      <x:c r="J3480" s="28" t="n">
        <x:v>2</x:v>
      </x:c>
      <x:c r="K3480" s="28" t="n">
        <x:v>5</x:v>
      </x:c>
      <x:c r="L3480" s="28" t="n">
        <x:v>6</x:v>
      </x:c>
      <x:c r="M3480" s="28" t="n">
        <x:v>11</x:v>
      </x:c>
      <x:c r="N3480" s="28" t="n">
        <x:v>3</x:v>
      </x:c>
      <x:c r="O3480" s="28" t="n">
        <x:v>0</x:v>
      </x:c>
      <x:c r="P3480" s="28" t="n">
        <x:v>1</x:v>
      </x:c>
      <x:c r="Q3480" s="24" t="n">
        <x:f>IFERROR(J3480/H3480,0)</x:f>
        <x:v>0.18181818181818182</x:v>
      </x:c>
      <x:c r="R3480" s="24" t="n">
        <x:f>IFERROR(F3480/H3480,0)</x:f>
        <x:v>0.09090909090909091</x:v>
      </x:c>
      <x:c r="S3480" s="24" t="n">
        <x:f>IFERROR(F3480/J3480,0)</x:f>
        <x:v>0.5</x:v>
      </x:c>
      <x:c r="T3480" s="28" t="n">
        <x:f>H3480-I3480</x:f>
        <x:v>-6</x:v>
      </x:c>
      <x:c r="U3480" s="24" t="n">
        <x:f>IFERROR(J3480/H3480,0)-IFERROR(K3480/I3480,0)</x:f>
        <x:v>-0.11229946524064172</x:v>
      </x:c>
      <x:c r="V3480" s="24" t="n">
        <x:f>IFERROR(F3480/J3480,0)-IFERROR(G3480/K3480,0)</x:f>
        <x:v>0.3</x:v>
      </x:c>
      <x:c r="W3480" s="28" t="n">
        <x:f>L3480-M3480</x:f>
        <x:v>-5</x:v>
      </x:c>
      <x:c r="X3480" s="24" t="n">
        <x:f>IFERROR(K3480/I3480,0)</x:f>
        <x:v>0.29411764705882354</x:v>
      </x:c>
      <x:c r="Y3480" s="24" t="n">
        <x:f>IFERROR(G3480/I3480,0)</x:f>
        <x:v>0.058823529411764705</x:v>
      </x:c>
      <x:c r="Z3480" s="24" t="n">
        <x:f>IFERROR(G3480/K3480,0)</x:f>
        <x:v>0.2</x:v>
      </x:c>
      <x:c r="AA3480" s="24" t="n">
        <x:f>IFERROR(F3480/H3480,0)-IFERROR(G3480/I3480,0)</x:f>
        <x:v>0.03208556149732621</x:v>
      </x:c>
      <x:c r="AB3480" s="28" t="n">
        <x:f>J3480-K3480</x:f>
        <x:v>-3</x:v>
      </x:c>
      <x:c r="AC3480" s="32" t="n">
        <x:f>F3480-G3480</x:f>
        <x:v>0</x:v>
      </x:c>
    </x:row>
    <x:row r="3481">
      <x:c r="A3481" s="4" t="str">
        <x:v>2025-26</x:v>
      </x:c>
      <x:c r="B3481" s="20" t="n">
        <x:v>46041</x:v>
      </x:c>
      <x:c r="C3481" s="4" t="str">
        <x:v>Brighton</x:v>
      </x:c>
      <x:c r="D3481" s="4" t="str">
        <x:v>Bournemouth</x:v>
      </x:c>
      <x:c r="E3481" s="4" t="str">
        <x:v>Home</x:v>
      </x:c>
      <x:c r="F3481" s="28" t="n">
        <x:v>1</x:v>
      </x:c>
      <x:c r="G3481" s="28" t="n">
        <x:v>1</x:v>
      </x:c>
      <x:c r="H3481" s="28" t="n">
        <x:v>17</x:v>
      </x:c>
      <x:c r="I3481" s="28" t="n">
        <x:v>11</x:v>
      </x:c>
      <x:c r="J3481" s="28" t="n">
        <x:v>5</x:v>
      </x:c>
      <x:c r="K3481" s="28" t="n">
        <x:v>2</x:v>
      </x:c>
      <x:c r="L3481" s="28" t="n">
        <x:v>11</x:v>
      </x:c>
      <x:c r="M3481" s="28" t="n">
        <x:v>6</x:v>
      </x:c>
      <x:c r="N3481" s="28" t="n">
        <x:v>2</x:v>
      </x:c>
      <x:c r="O3481" s="28" t="n">
        <x:v>0</x:v>
      </x:c>
      <x:c r="P3481" s="28" t="n">
        <x:v>1</x:v>
      </x:c>
      <x:c r="Q3481" s="24" t="n">
        <x:f>IFERROR(J3481/H3481,0)</x:f>
        <x:v>0.29411764705882354</x:v>
      </x:c>
      <x:c r="R3481" s="24" t="n">
        <x:f>IFERROR(F3481/H3481,0)</x:f>
        <x:v>0.058823529411764705</x:v>
      </x:c>
      <x:c r="S3481" s="24" t="n">
        <x:f>IFERROR(F3481/J3481,0)</x:f>
        <x:v>0.2</x:v>
      </x:c>
      <x:c r="T3481" s="28" t="n">
        <x:f>H3481-I3481</x:f>
        <x:v>6</x:v>
      </x:c>
      <x:c r="U3481" s="24" t="n">
        <x:f>IFERROR(J3481/H3481,0)-IFERROR(K3481/I3481,0)</x:f>
        <x:v>0.11229946524064172</x:v>
      </x:c>
      <x:c r="V3481" s="24" t="n">
        <x:f>IFERROR(F3481/J3481,0)-IFERROR(G3481/K3481,0)</x:f>
        <x:v>-0.3</x:v>
      </x:c>
      <x:c r="W3481" s="28" t="n">
        <x:f>L3481-M3481</x:f>
        <x:v>5</x:v>
      </x:c>
      <x:c r="X3481" s="24" t="n">
        <x:f>IFERROR(K3481/I3481,0)</x:f>
        <x:v>0.18181818181818182</x:v>
      </x:c>
      <x:c r="Y3481" s="24" t="n">
        <x:f>IFERROR(G3481/I3481,0)</x:f>
        <x:v>0.09090909090909091</x:v>
      </x:c>
      <x:c r="Z3481" s="24" t="n">
        <x:f>IFERROR(G3481/K3481,0)</x:f>
        <x:v>0.5</x:v>
      </x:c>
      <x:c r="AA3481" s="24" t="n">
        <x:f>IFERROR(F3481/H3481,0)-IFERROR(G3481/I3481,0)</x:f>
        <x:v>-0.03208556149732621</x:v>
      </x:c>
      <x:c r="AB3481" s="28" t="n">
        <x:f>J3481-K3481</x:f>
        <x:v>3</x:v>
      </x:c>
      <x:c r="AC3481" s="32" t="n">
        <x:f>F3481-G3481</x:f>
        <x:v>0</x:v>
      </x:c>
    </x:row>
    <x:row r="3482">
      <x:c r="A3482" s="4" t="str">
        <x:v>2025-26</x:v>
      </x:c>
      <x:c r="B3482" s="20" t="n">
        <x:v>46046</x:v>
      </x:c>
      <x:c r="C3482" s="4" t="str">
        <x:v>Bournemouth</x:v>
      </x:c>
      <x:c r="D3482" s="4" t="str">
        <x:v>Liverpool</x:v>
      </x:c>
      <x:c r="E3482" s="4" t="str">
        <x:v>Home</x:v>
      </x:c>
      <x:c r="F3482" s="28" t="n">
        <x:v>3</x:v>
      </x:c>
      <x:c r="G3482" s="28" t="n">
        <x:v>2</x:v>
      </x:c>
      <x:c r="H3482" s="28" t="n">
        <x:v>12</x:v>
      </x:c>
      <x:c r="I3482" s="28" t="n">
        <x:v>14</x:v>
      </x:c>
      <x:c r="J3482" s="28" t="n">
        <x:v>5</x:v>
      </x:c>
      <x:c r="K3482" s="28" t="n">
        <x:v>4</x:v>
      </x:c>
      <x:c r="L3482" s="28" t="n">
        <x:v>3</x:v>
      </x:c>
      <x:c r="M3482" s="28" t="n">
        <x:v>11</x:v>
      </x:c>
      <x:c r="N3482" s="28" t="n">
        <x:v>1</x:v>
      </x:c>
      <x:c r="O3482" s="28" t="n">
        <x:v>0</x:v>
      </x:c>
      <x:c r="P3482" s="28" t="n">
        <x:v>3</x:v>
      </x:c>
      <x:c r="Q3482" s="24" t="n">
        <x:f>IFERROR(J3482/H3482,0)</x:f>
        <x:v>0.4166666666666667</x:v>
      </x:c>
      <x:c r="R3482" s="24" t="n">
        <x:f>IFERROR(F3482/H3482,0)</x:f>
        <x:v>0.25</x:v>
      </x:c>
      <x:c r="S3482" s="24" t="n">
        <x:f>IFERROR(F3482/J3482,0)</x:f>
        <x:v>0.6</x:v>
      </x:c>
      <x:c r="T3482" s="28" t="n">
        <x:f>H3482-I3482</x:f>
        <x:v>-2</x:v>
      </x:c>
      <x:c r="U3482" s="24" t="n">
        <x:f>IFERROR(J3482/H3482,0)-IFERROR(K3482/I3482,0)</x:f>
        <x:v>0.130952380952381</x:v>
      </x:c>
      <x:c r="V3482" s="24" t="n">
        <x:f>IFERROR(F3482/J3482,0)-IFERROR(G3482/K3482,0)</x:f>
        <x:v>0.09999999999999998</x:v>
      </x:c>
      <x:c r="W3482" s="28" t="n">
        <x:f>L3482-M3482</x:f>
        <x:v>-8</x:v>
      </x:c>
      <x:c r="X3482" s="24" t="n">
        <x:f>IFERROR(K3482/I3482,0)</x:f>
        <x:v>0.2857142857142857</x:v>
      </x:c>
      <x:c r="Y3482" s="24" t="n">
        <x:f>IFERROR(G3482/I3482,0)</x:f>
        <x:v>0.14285714285714285</x:v>
      </x:c>
      <x:c r="Z3482" s="24" t="n">
        <x:f>IFERROR(G3482/K3482,0)</x:f>
        <x:v>0.5</x:v>
      </x:c>
      <x:c r="AA3482" s="24" t="n">
        <x:f>IFERROR(F3482/H3482,0)-IFERROR(G3482/I3482,0)</x:f>
        <x:v>0.10714285714285715</x:v>
      </x:c>
      <x:c r="AB3482" s="28" t="n">
        <x:f>J3482-K3482</x:f>
        <x:v>1</x:v>
      </x:c>
      <x:c r="AC3482" s="32" t="n">
        <x:f>F3482-G3482</x:f>
        <x:v>1</x:v>
      </x:c>
    </x:row>
    <x:row r="3483">
      <x:c r="A3483" s="4" t="str">
        <x:v>2025-26</x:v>
      </x:c>
      <x:c r="B3483" s="20" t="n">
        <x:v>46046</x:v>
      </x:c>
      <x:c r="C3483" s="4" t="str">
        <x:v>Brighton</x:v>
      </x:c>
      <x:c r="D3483" s="4" t="str">
        <x:v>Fulham</x:v>
      </x:c>
      <x:c r="E3483" s="4" t="str">
        <x:v>Away</x:v>
      </x:c>
      <x:c r="F3483" s="28" t="n">
        <x:v>1</x:v>
      </x:c>
      <x:c r="G3483" s="28" t="n">
        <x:v>2</x:v>
      </x:c>
      <x:c r="H3483" s="28" t="n">
        <x:v>13</x:v>
      </x:c>
      <x:c r="I3483" s="28" t="n">
        <x:v>12</x:v>
      </x:c>
      <x:c r="J3483" s="28" t="n">
        <x:v>5</x:v>
      </x:c>
      <x:c r="K3483" s="28" t="n">
        <x:v>4</x:v>
      </x:c>
      <x:c r="L3483" s="28" t="n">
        <x:v>6</x:v>
      </x:c>
      <x:c r="M3483" s="28" t="n">
        <x:v>6</x:v>
      </x:c>
      <x:c r="N3483" s="28" t="n">
        <x:v>1</x:v>
      </x:c>
      <x:c r="O3483" s="28" t="n">
        <x:v>0</x:v>
      </x:c>
      <x:c r="P3483" s="28" t="n">
        <x:v>0</x:v>
      </x:c>
      <x:c r="Q3483" s="24" t="n">
        <x:f>IFERROR(J3483/H3483,0)</x:f>
        <x:v>0.38461538461538464</x:v>
      </x:c>
      <x:c r="R3483" s="24" t="n">
        <x:f>IFERROR(F3483/H3483,0)</x:f>
        <x:v>0.07692307692307693</x:v>
      </x:c>
      <x:c r="S3483" s="24" t="n">
        <x:f>IFERROR(F3483/J3483,0)</x:f>
        <x:v>0.2</x:v>
      </x:c>
      <x:c r="T3483" s="28" t="n">
        <x:f>H3483-I3483</x:f>
        <x:v>1</x:v>
      </x:c>
      <x:c r="U3483" s="24" t="n">
        <x:f>IFERROR(J3483/H3483,0)-IFERROR(K3483/I3483,0)</x:f>
        <x:v>0.05128205128205132</x:v>
      </x:c>
      <x:c r="V3483" s="24" t="n">
        <x:f>IFERROR(F3483/J3483,0)-IFERROR(G3483/K3483,0)</x:f>
        <x:v>-0.3</x:v>
      </x:c>
      <x:c r="W3483" s="28" t="n">
        <x:f>L3483-M3483</x:f>
        <x:v>0</x:v>
      </x:c>
      <x:c r="X3483" s="24" t="n">
        <x:f>IFERROR(K3483/I3483,0)</x:f>
        <x:v>0.3333333333333333</x:v>
      </x:c>
      <x:c r="Y3483" s="24" t="n">
        <x:f>IFERROR(G3483/I3483,0)</x:f>
        <x:v>0.16666666666666666</x:v>
      </x:c>
      <x:c r="Z3483" s="24" t="n">
        <x:f>IFERROR(G3483/K3483,0)</x:f>
        <x:v>0.5</x:v>
      </x:c>
      <x:c r="AA3483" s="24" t="n">
        <x:f>IFERROR(F3483/H3483,0)-IFERROR(G3483/I3483,0)</x:f>
        <x:v>-0.08974358974358973</x:v>
      </x:c>
      <x:c r="AB3483" s="28" t="n">
        <x:f>J3483-K3483</x:f>
        <x:v>1</x:v>
      </x:c>
      <x:c r="AC3483" s="32" t="n">
        <x:f>F3483-G3483</x:f>
        <x:v>-1</x:v>
      </x:c>
    </x:row>
    <x:row r="3484">
      <x:c r="A3484" s="4" t="str">
        <x:v>2025-26</x:v>
      </x:c>
      <x:c r="B3484" s="20" t="n">
        <x:v>46046</x:v>
      </x:c>
      <x:c r="C3484" s="4" t="str">
        <x:v>Burnley</x:v>
      </x:c>
      <x:c r="D3484" s="4" t="str">
        <x:v>Tottenham</x:v>
      </x:c>
      <x:c r="E3484" s="4" t="str">
        <x:v>Home</x:v>
      </x:c>
      <x:c r="F3484" s="28" t="n">
        <x:v>2</x:v>
      </x:c>
      <x:c r="G3484" s="28" t="n">
        <x:v>2</x:v>
      </x:c>
      <x:c r="H3484" s="28" t="n">
        <x:v>9</x:v>
      </x:c>
      <x:c r="I3484" s="28" t="n">
        <x:v>18</x:v>
      </x:c>
      <x:c r="J3484" s="28" t="n">
        <x:v>4</x:v>
      </x:c>
      <x:c r="K3484" s="28" t="n">
        <x:v>11</x:v>
      </x:c>
      <x:c r="L3484" s="28" t="n">
        <x:v>1</x:v>
      </x:c>
      <x:c r="M3484" s="28" t="n">
        <x:v>3</x:v>
      </x:c>
      <x:c r="N3484" s="28" t="n">
        <x:v>1</x:v>
      </x:c>
      <x:c r="O3484" s="28" t="n">
        <x:v>0</x:v>
      </x:c>
      <x:c r="P3484" s="28" t="n">
        <x:v>1</x:v>
      </x:c>
      <x:c r="Q3484" s="24" t="n">
        <x:f>IFERROR(J3484/H3484,0)</x:f>
        <x:v>0.4444444444444444</x:v>
      </x:c>
      <x:c r="R3484" s="24" t="n">
        <x:f>IFERROR(F3484/H3484,0)</x:f>
        <x:v>0.2222222222222222</x:v>
      </x:c>
      <x:c r="S3484" s="24" t="n">
        <x:f>IFERROR(F3484/J3484,0)</x:f>
        <x:v>0.5</x:v>
      </x:c>
      <x:c r="T3484" s="28" t="n">
        <x:f>H3484-I3484</x:f>
        <x:v>-9</x:v>
      </x:c>
      <x:c r="U3484" s="24" t="n">
        <x:f>IFERROR(J3484/H3484,0)-IFERROR(K3484/I3484,0)</x:f>
        <x:v>-0.16666666666666674</x:v>
      </x:c>
      <x:c r="V3484" s="24" t="n">
        <x:f>IFERROR(F3484/J3484,0)-IFERROR(G3484/K3484,0)</x:f>
        <x:v>0.3181818181818182</x:v>
      </x:c>
      <x:c r="W3484" s="28" t="n">
        <x:f>L3484-M3484</x:f>
        <x:v>-2</x:v>
      </x:c>
      <x:c r="X3484" s="24" t="n">
        <x:f>IFERROR(K3484/I3484,0)</x:f>
        <x:v>0.6111111111111112</x:v>
      </x:c>
      <x:c r="Y3484" s="24" t="n">
        <x:f>IFERROR(G3484/I3484,0)</x:f>
        <x:v>0.1111111111111111</x:v>
      </x:c>
      <x:c r="Z3484" s="24" t="n">
        <x:f>IFERROR(G3484/K3484,0)</x:f>
        <x:v>0.18181818181818182</x:v>
      </x:c>
      <x:c r="AA3484" s="24" t="n">
        <x:f>IFERROR(F3484/H3484,0)-IFERROR(G3484/I3484,0)</x:f>
        <x:v>0.1111111111111111</x:v>
      </x:c>
      <x:c r="AB3484" s="28" t="n">
        <x:f>J3484-K3484</x:f>
        <x:v>-7</x:v>
      </x:c>
      <x:c r="AC3484" s="32" t="n">
        <x:f>F3484-G3484</x:f>
        <x:v>0</x:v>
      </x:c>
    </x:row>
    <x:row r="3485">
      <x:c r="A3485" s="4" t="str">
        <x:v>2025-26</x:v>
      </x:c>
      <x:c r="B3485" s="20" t="n">
        <x:v>46046</x:v>
      </x:c>
      <x:c r="C3485" s="4" t="str">
        <x:v>Fulham</x:v>
      </x:c>
      <x:c r="D3485" s="4" t="str">
        <x:v>Brighton</x:v>
      </x:c>
      <x:c r="E3485" s="4" t="str">
        <x:v>Home</x:v>
      </x:c>
      <x:c r="F3485" s="28" t="n">
        <x:v>2</x:v>
      </x:c>
      <x:c r="G3485" s="28" t="n">
        <x:v>1</x:v>
      </x:c>
      <x:c r="H3485" s="28" t="n">
        <x:v>12</x:v>
      </x:c>
      <x:c r="I3485" s="28" t="n">
        <x:v>13</x:v>
      </x:c>
      <x:c r="J3485" s="28" t="n">
        <x:v>4</x:v>
      </x:c>
      <x:c r="K3485" s="28" t="n">
        <x:v>5</x:v>
      </x:c>
      <x:c r="L3485" s="28" t="n">
        <x:v>6</x:v>
      </x:c>
      <x:c r="M3485" s="28" t="n">
        <x:v>6</x:v>
      </x:c>
      <x:c r="N3485" s="28" t="n">
        <x:v>1</x:v>
      </x:c>
      <x:c r="O3485" s="28" t="n">
        <x:v>0</x:v>
      </x:c>
      <x:c r="P3485" s="28" t="n">
        <x:v>3</x:v>
      </x:c>
      <x:c r="Q3485" s="24" t="n">
        <x:f>IFERROR(J3485/H3485,0)</x:f>
        <x:v>0.3333333333333333</x:v>
      </x:c>
      <x:c r="R3485" s="24" t="n">
        <x:f>IFERROR(F3485/H3485,0)</x:f>
        <x:v>0.16666666666666666</x:v>
      </x:c>
      <x:c r="S3485" s="24" t="n">
        <x:f>IFERROR(F3485/J3485,0)</x:f>
        <x:v>0.5</x:v>
      </x:c>
      <x:c r="T3485" s="28" t="n">
        <x:f>H3485-I3485</x:f>
        <x:v>-1</x:v>
      </x:c>
      <x:c r="U3485" s="24" t="n">
        <x:f>IFERROR(J3485/H3485,0)-IFERROR(K3485/I3485,0)</x:f>
        <x:v>-0.05128205128205132</x:v>
      </x:c>
      <x:c r="V3485" s="24" t="n">
        <x:f>IFERROR(F3485/J3485,0)-IFERROR(G3485/K3485,0)</x:f>
        <x:v>0.3</x:v>
      </x:c>
      <x:c r="W3485" s="28" t="n">
        <x:f>L3485-M3485</x:f>
        <x:v>0</x:v>
      </x:c>
      <x:c r="X3485" s="24" t="n">
        <x:f>IFERROR(K3485/I3485,0)</x:f>
        <x:v>0.38461538461538464</x:v>
      </x:c>
      <x:c r="Y3485" s="24" t="n">
        <x:f>IFERROR(G3485/I3485,0)</x:f>
        <x:v>0.07692307692307693</x:v>
      </x:c>
      <x:c r="Z3485" s="24" t="n">
        <x:f>IFERROR(G3485/K3485,0)</x:f>
        <x:v>0.2</x:v>
      </x:c>
      <x:c r="AA3485" s="24" t="n">
        <x:f>IFERROR(F3485/H3485,0)-IFERROR(G3485/I3485,0)</x:f>
        <x:v>0.08974358974358973</x:v>
      </x:c>
      <x:c r="AB3485" s="28" t="n">
        <x:f>J3485-K3485</x:f>
        <x:v>-1</x:v>
      </x:c>
      <x:c r="AC3485" s="32" t="n">
        <x:f>F3485-G3485</x:f>
        <x:v>1</x:v>
      </x:c>
    </x:row>
    <x:row r="3486">
      <x:c r="A3486" s="4" t="str">
        <x:v>2025-26</x:v>
      </x:c>
      <x:c r="B3486" s="20" t="n">
        <x:v>46046</x:v>
      </x:c>
      <x:c r="C3486" s="4" t="str">
        <x:v>Liverpool</x:v>
      </x:c>
      <x:c r="D3486" s="4" t="str">
        <x:v>Bournemouth</x:v>
      </x:c>
      <x:c r="E3486" s="4" t="str">
        <x:v>Away</x:v>
      </x:c>
      <x:c r="F3486" s="28" t="n">
        <x:v>2</x:v>
      </x:c>
      <x:c r="G3486" s="28" t="n">
        <x:v>3</x:v>
      </x:c>
      <x:c r="H3486" s="28" t="n">
        <x:v>14</x:v>
      </x:c>
      <x:c r="I3486" s="28" t="n">
        <x:v>12</x:v>
      </x:c>
      <x:c r="J3486" s="28" t="n">
        <x:v>4</x:v>
      </x:c>
      <x:c r="K3486" s="28" t="n">
        <x:v>5</x:v>
      </x:c>
      <x:c r="L3486" s="28" t="n">
        <x:v>11</x:v>
      </x:c>
      <x:c r="M3486" s="28" t="n">
        <x:v>3</x:v>
      </x:c>
      <x:c r="N3486" s="28" t="n">
        <x:v>1</x:v>
      </x:c>
      <x:c r="O3486" s="28" t="n">
        <x:v>0</x:v>
      </x:c>
      <x:c r="P3486" s="28" t="n">
        <x:v>0</x:v>
      </x:c>
      <x:c r="Q3486" s="24" t="n">
        <x:f>IFERROR(J3486/H3486,0)</x:f>
        <x:v>0.2857142857142857</x:v>
      </x:c>
      <x:c r="R3486" s="24" t="n">
        <x:f>IFERROR(F3486/H3486,0)</x:f>
        <x:v>0.14285714285714285</x:v>
      </x:c>
      <x:c r="S3486" s="24" t="n">
        <x:f>IFERROR(F3486/J3486,0)</x:f>
        <x:v>0.5</x:v>
      </x:c>
      <x:c r="T3486" s="28" t="n">
        <x:f>H3486-I3486</x:f>
        <x:v>2</x:v>
      </x:c>
      <x:c r="U3486" s="24" t="n">
        <x:f>IFERROR(J3486/H3486,0)-IFERROR(K3486/I3486,0)</x:f>
        <x:v>-0.130952380952381</x:v>
      </x:c>
      <x:c r="V3486" s="24" t="n">
        <x:f>IFERROR(F3486/J3486,0)-IFERROR(G3486/K3486,0)</x:f>
        <x:v>-0.09999999999999998</x:v>
      </x:c>
      <x:c r="W3486" s="28" t="n">
        <x:f>L3486-M3486</x:f>
        <x:v>8</x:v>
      </x:c>
      <x:c r="X3486" s="24" t="n">
        <x:f>IFERROR(K3486/I3486,0)</x:f>
        <x:v>0.4166666666666667</x:v>
      </x:c>
      <x:c r="Y3486" s="24" t="n">
        <x:f>IFERROR(G3486/I3486,0)</x:f>
        <x:v>0.25</x:v>
      </x:c>
      <x:c r="Z3486" s="24" t="n">
        <x:f>IFERROR(G3486/K3486,0)</x:f>
        <x:v>0.6</x:v>
      </x:c>
      <x:c r="AA3486" s="24" t="n">
        <x:f>IFERROR(F3486/H3486,0)-IFERROR(G3486/I3486,0)</x:f>
        <x:v>-0.10714285714285715</x:v>
      </x:c>
      <x:c r="AB3486" s="28" t="n">
        <x:f>J3486-K3486</x:f>
        <x:v>-1</x:v>
      </x:c>
      <x:c r="AC3486" s="32" t="n">
        <x:f>F3486-G3486</x:f>
        <x:v>-1</x:v>
      </x:c>
    </x:row>
    <x:row r="3487">
      <x:c r="A3487" s="4" t="str">
        <x:v>2025-26</x:v>
      </x:c>
      <x:c r="B3487" s="20" t="n">
        <x:v>46046</x:v>
      </x:c>
      <x:c r="C3487" s="4" t="str">
        <x:v>Man City</x:v>
      </x:c>
      <x:c r="D3487" s="4" t="str">
        <x:v>Wolves</x:v>
      </x:c>
      <x:c r="E3487" s="4" t="str">
        <x:v>Home</x:v>
      </x:c>
      <x:c r="F3487" s="28" t="n">
        <x:v>2</x:v>
      </x:c>
      <x:c r="G3487" s="28" t="n">
        <x:v>0</x:v>
      </x:c>
      <x:c r="H3487" s="28" t="n">
        <x:v>11</x:v>
      </x:c>
      <x:c r="I3487" s="28" t="n">
        <x:v>11</x:v>
      </x:c>
      <x:c r="J3487" s="28" t="n">
        <x:v>4</x:v>
      </x:c>
      <x:c r="K3487" s="28" t="n">
        <x:v>1</x:v>
      </x:c>
      <x:c r="L3487" s="28" t="n">
        <x:v>4</x:v>
      </x:c>
      <x:c r="M3487" s="28" t="n">
        <x:v>6</x:v>
      </x:c>
      <x:c r="N3487" s="28" t="n">
        <x:v>1</x:v>
      </x:c>
      <x:c r="O3487" s="28" t="n">
        <x:v>0</x:v>
      </x:c>
      <x:c r="P3487" s="28" t="n">
        <x:v>3</x:v>
      </x:c>
      <x:c r="Q3487" s="24" t="n">
        <x:f>IFERROR(J3487/H3487,0)</x:f>
        <x:v>0.36363636363636365</x:v>
      </x:c>
      <x:c r="R3487" s="24" t="n">
        <x:f>IFERROR(F3487/H3487,0)</x:f>
        <x:v>0.18181818181818182</x:v>
      </x:c>
      <x:c r="S3487" s="24" t="n">
        <x:f>IFERROR(F3487/J3487,0)</x:f>
        <x:v>0.5</x:v>
      </x:c>
      <x:c r="T3487" s="28" t="n">
        <x:f>H3487-I3487</x:f>
        <x:v>0</x:v>
      </x:c>
      <x:c r="U3487" s="24" t="n">
        <x:f>IFERROR(J3487/H3487,0)-IFERROR(K3487/I3487,0)</x:f>
        <x:v>0.2727272727272727</x:v>
      </x:c>
      <x:c r="V3487" s="24" t="n">
        <x:f>IFERROR(F3487/J3487,0)-IFERROR(G3487/K3487,0)</x:f>
        <x:v>0.5</x:v>
      </x:c>
      <x:c r="W3487" s="28" t="n">
        <x:f>L3487-M3487</x:f>
        <x:v>-2</x:v>
      </x:c>
      <x:c r="X3487" s="24" t="n">
        <x:f>IFERROR(K3487/I3487,0)</x:f>
        <x:v>0.09090909090909091</x:v>
      </x:c>
      <x:c r="Y3487" s="24" t="n">
        <x:f>IFERROR(G3487/I3487,0)</x:f>
        <x:v>0</x:v>
      </x:c>
      <x:c r="Z3487" s="24" t="n">
        <x:f>IFERROR(G3487/K3487,0)</x:f>
        <x:v>0</x:v>
      </x:c>
      <x:c r="AA3487" s="24" t="n">
        <x:f>IFERROR(F3487/H3487,0)-IFERROR(G3487/I3487,0)</x:f>
        <x:v>0.18181818181818182</x:v>
      </x:c>
      <x:c r="AB3487" s="28" t="n">
        <x:f>J3487-K3487</x:f>
        <x:v>3</x:v>
      </x:c>
      <x:c r="AC3487" s="32" t="n">
        <x:f>F3487-G3487</x:f>
        <x:v>2</x:v>
      </x:c>
    </x:row>
    <x:row r="3488">
      <x:c r="A3488" s="4" t="str">
        <x:v>2025-26</x:v>
      </x:c>
      <x:c r="B3488" s="20" t="n">
        <x:v>46046</x:v>
      </x:c>
      <x:c r="C3488" s="4" t="str">
        <x:v>Sunderland</x:v>
      </x:c>
      <x:c r="D3488" s="4" t="str">
        <x:v>West Ham</x:v>
      </x:c>
      <x:c r="E3488" s="4" t="str">
        <x:v>Away</x:v>
      </x:c>
      <x:c r="F3488" s="28" t="n">
        <x:v>1</x:v>
      </x:c>
      <x:c r="G3488" s="28" t="n">
        <x:v>3</x:v>
      </x:c>
      <x:c r="H3488" s="28" t="n">
        <x:v>7</x:v>
      </x:c>
      <x:c r="I3488" s="28" t="n">
        <x:v>13</x:v>
      </x:c>
      <x:c r="J3488" s="28" t="n">
        <x:v>2</x:v>
      </x:c>
      <x:c r="K3488" s="28" t="n">
        <x:v>5</x:v>
      </x:c>
      <x:c r="L3488" s="28" t="n">
        <x:v>3</x:v>
      </x:c>
      <x:c r="M3488" s="28" t="n">
        <x:v>3</x:v>
      </x:c>
      <x:c r="N3488" s="28" t="n">
        <x:v>4</x:v>
      </x:c>
      <x:c r="O3488" s="28" t="n">
        <x:v>0</x:v>
      </x:c>
      <x:c r="P3488" s="28" t="n">
        <x:v>0</x:v>
      </x:c>
      <x:c r="Q3488" s="24" t="n">
        <x:f>IFERROR(J3488/H3488,0)</x:f>
        <x:v>0.2857142857142857</x:v>
      </x:c>
      <x:c r="R3488" s="24" t="n">
        <x:f>IFERROR(F3488/H3488,0)</x:f>
        <x:v>0.14285714285714285</x:v>
      </x:c>
      <x:c r="S3488" s="24" t="n">
        <x:f>IFERROR(F3488/J3488,0)</x:f>
        <x:v>0.5</x:v>
      </x:c>
      <x:c r="T3488" s="28" t="n">
        <x:f>H3488-I3488</x:f>
        <x:v>-6</x:v>
      </x:c>
      <x:c r="U3488" s="24" t="n">
        <x:f>IFERROR(J3488/H3488,0)-IFERROR(K3488/I3488,0)</x:f>
        <x:v>-0.09890109890109894</x:v>
      </x:c>
      <x:c r="V3488" s="24" t="n">
        <x:f>IFERROR(F3488/J3488,0)-IFERROR(G3488/K3488,0)</x:f>
        <x:v>-0.09999999999999998</x:v>
      </x:c>
      <x:c r="W3488" s="28" t="n">
        <x:f>L3488-M3488</x:f>
        <x:v>0</x:v>
      </x:c>
      <x:c r="X3488" s="24" t="n">
        <x:f>IFERROR(K3488/I3488,0)</x:f>
        <x:v>0.38461538461538464</x:v>
      </x:c>
      <x:c r="Y3488" s="24" t="n">
        <x:f>IFERROR(G3488/I3488,0)</x:f>
        <x:v>0.23076923076923078</x:v>
      </x:c>
      <x:c r="Z3488" s="24" t="n">
        <x:f>IFERROR(G3488/K3488,0)</x:f>
        <x:v>0.6</x:v>
      </x:c>
      <x:c r="AA3488" s="24" t="n">
        <x:f>IFERROR(F3488/H3488,0)-IFERROR(G3488/I3488,0)</x:f>
        <x:v>-0.08791208791208793</x:v>
      </x:c>
      <x:c r="AB3488" s="28" t="n">
        <x:f>J3488-K3488</x:f>
        <x:v>-3</x:v>
      </x:c>
      <x:c r="AC3488" s="32" t="n">
        <x:f>F3488-G3488</x:f>
        <x:v>-2</x:v>
      </x:c>
    </x:row>
    <x:row r="3489">
      <x:c r="A3489" s="4" t="str">
        <x:v>2025-26</x:v>
      </x:c>
      <x:c r="B3489" s="20" t="n">
        <x:v>46046</x:v>
      </x:c>
      <x:c r="C3489" s="4" t="str">
        <x:v>Tottenham</x:v>
      </x:c>
      <x:c r="D3489" s="4" t="str">
        <x:v>Burnley</x:v>
      </x:c>
      <x:c r="E3489" s="4" t="str">
        <x:v>Away</x:v>
      </x:c>
      <x:c r="F3489" s="28" t="n">
        <x:v>2</x:v>
      </x:c>
      <x:c r="G3489" s="28" t="n">
        <x:v>2</x:v>
      </x:c>
      <x:c r="H3489" s="28" t="n">
        <x:v>18</x:v>
      </x:c>
      <x:c r="I3489" s="28" t="n">
        <x:v>9</x:v>
      </x:c>
      <x:c r="J3489" s="28" t="n">
        <x:v>11</x:v>
      </x:c>
      <x:c r="K3489" s="28" t="n">
        <x:v>4</x:v>
      </x:c>
      <x:c r="L3489" s="28" t="n">
        <x:v>3</x:v>
      </x:c>
      <x:c r="M3489" s="28" t="n">
        <x:v>1</x:v>
      </x:c>
      <x:c r="N3489" s="28" t="n">
        <x:v>0</x:v>
      </x:c>
      <x:c r="O3489" s="28" t="n">
        <x:v>0</x:v>
      </x:c>
      <x:c r="P3489" s="28" t="n">
        <x:v>1</x:v>
      </x:c>
      <x:c r="Q3489" s="24" t="n">
        <x:f>IFERROR(J3489/H3489,0)</x:f>
        <x:v>0.6111111111111112</x:v>
      </x:c>
      <x:c r="R3489" s="24" t="n">
        <x:f>IFERROR(F3489/H3489,0)</x:f>
        <x:v>0.1111111111111111</x:v>
      </x:c>
      <x:c r="S3489" s="24" t="n">
        <x:f>IFERROR(F3489/J3489,0)</x:f>
        <x:v>0.18181818181818182</x:v>
      </x:c>
      <x:c r="T3489" s="28" t="n">
        <x:f>H3489-I3489</x:f>
        <x:v>9</x:v>
      </x:c>
      <x:c r="U3489" s="24" t="n">
        <x:f>IFERROR(J3489/H3489,0)-IFERROR(K3489/I3489,0)</x:f>
        <x:v>0.16666666666666674</x:v>
      </x:c>
      <x:c r="V3489" s="24" t="n">
        <x:f>IFERROR(F3489/J3489,0)-IFERROR(G3489/K3489,0)</x:f>
        <x:v>-0.3181818181818182</x:v>
      </x:c>
      <x:c r="W3489" s="28" t="n">
        <x:f>L3489-M3489</x:f>
        <x:v>2</x:v>
      </x:c>
      <x:c r="X3489" s="24" t="n">
        <x:f>IFERROR(K3489/I3489,0)</x:f>
        <x:v>0.4444444444444444</x:v>
      </x:c>
      <x:c r="Y3489" s="24" t="n">
        <x:f>IFERROR(G3489/I3489,0)</x:f>
        <x:v>0.2222222222222222</x:v>
      </x:c>
      <x:c r="Z3489" s="24" t="n">
        <x:f>IFERROR(G3489/K3489,0)</x:f>
        <x:v>0.5</x:v>
      </x:c>
      <x:c r="AA3489" s="24" t="n">
        <x:f>IFERROR(F3489/H3489,0)-IFERROR(G3489/I3489,0)</x:f>
        <x:v>-0.1111111111111111</x:v>
      </x:c>
      <x:c r="AB3489" s="28" t="n">
        <x:f>J3489-K3489</x:f>
        <x:v>7</x:v>
      </x:c>
      <x:c r="AC3489" s="32" t="n">
        <x:f>F3489-G3489</x:f>
        <x:v>0</x:v>
      </x:c>
    </x:row>
    <x:row r="3490">
      <x:c r="A3490" s="4" t="str">
        <x:v>2025-26</x:v>
      </x:c>
      <x:c r="B3490" s="20" t="n">
        <x:v>46046</x:v>
      </x:c>
      <x:c r="C3490" s="4" t="str">
        <x:v>West Ham</x:v>
      </x:c>
      <x:c r="D3490" s="4" t="str">
        <x:v>Sunderland</x:v>
      </x:c>
      <x:c r="E3490" s="4" t="str">
        <x:v>Home</x:v>
      </x:c>
      <x:c r="F3490" s="28" t="n">
        <x:v>3</x:v>
      </x:c>
      <x:c r="G3490" s="28" t="n">
        <x:v>1</x:v>
      </x:c>
      <x:c r="H3490" s="28" t="n">
        <x:v>13</x:v>
      </x:c>
      <x:c r="I3490" s="28" t="n">
        <x:v>7</x:v>
      </x:c>
      <x:c r="J3490" s="28" t="n">
        <x:v>5</x:v>
      </x:c>
      <x:c r="K3490" s="28" t="n">
        <x:v>2</x:v>
      </x:c>
      <x:c r="L3490" s="28" t="n">
        <x:v>3</x:v>
      </x:c>
      <x:c r="M3490" s="28" t="n">
        <x:v>3</x:v>
      </x:c>
      <x:c r="N3490" s="28" t="n">
        <x:v>2</x:v>
      </x:c>
      <x:c r="O3490" s="28" t="n">
        <x:v>0</x:v>
      </x:c>
      <x:c r="P3490" s="28" t="n">
        <x:v>3</x:v>
      </x:c>
      <x:c r="Q3490" s="24" t="n">
        <x:f>IFERROR(J3490/H3490,0)</x:f>
        <x:v>0.38461538461538464</x:v>
      </x:c>
      <x:c r="R3490" s="24" t="n">
        <x:f>IFERROR(F3490/H3490,0)</x:f>
        <x:v>0.23076923076923078</x:v>
      </x:c>
      <x:c r="S3490" s="24" t="n">
        <x:f>IFERROR(F3490/J3490,0)</x:f>
        <x:v>0.6</x:v>
      </x:c>
      <x:c r="T3490" s="28" t="n">
        <x:f>H3490-I3490</x:f>
        <x:v>6</x:v>
      </x:c>
      <x:c r="U3490" s="24" t="n">
        <x:f>IFERROR(J3490/H3490,0)-IFERROR(K3490/I3490,0)</x:f>
        <x:v>0.09890109890109894</x:v>
      </x:c>
      <x:c r="V3490" s="24" t="n">
        <x:f>IFERROR(F3490/J3490,0)-IFERROR(G3490/K3490,0)</x:f>
        <x:v>0.09999999999999998</x:v>
      </x:c>
      <x:c r="W3490" s="28" t="n">
        <x:f>L3490-M3490</x:f>
        <x:v>0</x:v>
      </x:c>
      <x:c r="X3490" s="24" t="n">
        <x:f>IFERROR(K3490/I3490,0)</x:f>
        <x:v>0.2857142857142857</x:v>
      </x:c>
      <x:c r="Y3490" s="24" t="n">
        <x:f>IFERROR(G3490/I3490,0)</x:f>
        <x:v>0.14285714285714285</x:v>
      </x:c>
      <x:c r="Z3490" s="24" t="n">
        <x:f>IFERROR(G3490/K3490,0)</x:f>
        <x:v>0.5</x:v>
      </x:c>
      <x:c r="AA3490" s="24" t="n">
        <x:f>IFERROR(F3490/H3490,0)-IFERROR(G3490/I3490,0)</x:f>
        <x:v>0.08791208791208793</x:v>
      </x:c>
      <x:c r="AB3490" s="28" t="n">
        <x:f>J3490-K3490</x:f>
        <x:v>3</x:v>
      </x:c>
      <x:c r="AC3490" s="32" t="n">
        <x:f>F3490-G3490</x:f>
        <x:v>2</x:v>
      </x:c>
    </x:row>
    <x:row r="3491">
      <x:c r="A3491" s="4" t="str">
        <x:v>2025-26</x:v>
      </x:c>
      <x:c r="B3491" s="20" t="n">
        <x:v>46046</x:v>
      </x:c>
      <x:c r="C3491" s="4" t="str">
        <x:v>Wolves</x:v>
      </x:c>
      <x:c r="D3491" s="4" t="str">
        <x:v>Man City</x:v>
      </x:c>
      <x:c r="E3491" s="4" t="str">
        <x:v>Away</x:v>
      </x:c>
      <x:c r="F3491" s="28" t="n">
        <x:v>0</x:v>
      </x:c>
      <x:c r="G3491" s="28" t="n">
        <x:v>2</x:v>
      </x:c>
      <x:c r="H3491" s="28" t="n">
        <x:v>11</x:v>
      </x:c>
      <x:c r="I3491" s="28" t="n">
        <x:v>11</x:v>
      </x:c>
      <x:c r="J3491" s="28" t="n">
        <x:v>1</x:v>
      </x:c>
      <x:c r="K3491" s="28" t="n">
        <x:v>4</x:v>
      </x:c>
      <x:c r="L3491" s="28" t="n">
        <x:v>6</x:v>
      </x:c>
      <x:c r="M3491" s="28" t="n">
        <x:v>4</x:v>
      </x:c>
      <x:c r="N3491" s="28" t="n">
        <x:v>3</x:v>
      </x:c>
      <x:c r="O3491" s="28" t="n">
        <x:v>0</x:v>
      </x:c>
      <x:c r="P3491" s="28" t="n">
        <x:v>0</x:v>
      </x:c>
      <x:c r="Q3491" s="24" t="n">
        <x:f>IFERROR(J3491/H3491,0)</x:f>
        <x:v>0.09090909090909091</x:v>
      </x:c>
      <x:c r="R3491" s="24" t="n">
        <x:f>IFERROR(F3491/H3491,0)</x:f>
        <x:v>0</x:v>
      </x:c>
      <x:c r="S3491" s="24" t="n">
        <x:f>IFERROR(F3491/J3491,0)</x:f>
        <x:v>0</x:v>
      </x:c>
      <x:c r="T3491" s="28" t="n">
        <x:f>H3491-I3491</x:f>
        <x:v>0</x:v>
      </x:c>
      <x:c r="U3491" s="24" t="n">
        <x:f>IFERROR(J3491/H3491,0)-IFERROR(K3491/I3491,0)</x:f>
        <x:v>-0.2727272727272727</x:v>
      </x:c>
      <x:c r="V3491" s="24" t="n">
        <x:f>IFERROR(F3491/J3491,0)-IFERROR(G3491/K3491,0)</x:f>
        <x:v>-0.5</x:v>
      </x:c>
      <x:c r="W3491" s="28" t="n">
        <x:f>L3491-M3491</x:f>
        <x:v>2</x:v>
      </x:c>
      <x:c r="X3491" s="24" t="n">
        <x:f>IFERROR(K3491/I3491,0)</x:f>
        <x:v>0.36363636363636365</x:v>
      </x:c>
      <x:c r="Y3491" s="24" t="n">
        <x:f>IFERROR(G3491/I3491,0)</x:f>
        <x:v>0.18181818181818182</x:v>
      </x:c>
      <x:c r="Z3491" s="24" t="n">
        <x:f>IFERROR(G3491/K3491,0)</x:f>
        <x:v>0.5</x:v>
      </x:c>
      <x:c r="AA3491" s="24" t="n">
        <x:f>IFERROR(F3491/H3491,0)-IFERROR(G3491/I3491,0)</x:f>
        <x:v>-0.18181818181818182</x:v>
      </x:c>
      <x:c r="AB3491" s="28" t="n">
        <x:f>J3491-K3491</x:f>
        <x:v>-3</x:v>
      </x:c>
      <x:c r="AC3491" s="32" t="n">
        <x:f>F3491-G3491</x:f>
        <x:v>-2</x:v>
      </x:c>
    </x:row>
    <x:row r="3492">
      <x:c r="A3492" s="4" t="str">
        <x:v>2025-26</x:v>
      </x:c>
      <x:c r="B3492" s="20" t="n">
        <x:v>46047</x:v>
      </x:c>
      <x:c r="C3492" s="4" t="str">
        <x:v>Arsenal</x:v>
      </x:c>
      <x:c r="D3492" s="4" t="str">
        <x:v>Man United</x:v>
      </x:c>
      <x:c r="E3492" s="4" t="str">
        <x:v>Home</x:v>
      </x:c>
      <x:c r="F3492" s="28" t="n">
        <x:v>2</x:v>
      </x:c>
      <x:c r="G3492" s="28" t="n">
        <x:v>3</x:v>
      </x:c>
      <x:c r="H3492" s="28" t="n">
        <x:v>15</x:v>
      </x:c>
      <x:c r="I3492" s="28" t="n">
        <x:v>10</x:v>
      </x:c>
      <x:c r="J3492" s="28" t="n">
        <x:v>4</x:v>
      </x:c>
      <x:c r="K3492" s="28" t="n">
        <x:v>3</x:v>
      </x:c>
      <x:c r="L3492" s="28" t="n">
        <x:v>9</x:v>
      </x:c>
      <x:c r="M3492" s="28" t="n">
        <x:v>2</x:v>
      </x:c>
      <x:c r="N3492" s="28" t="n">
        <x:v>2</x:v>
      </x:c>
      <x:c r="O3492" s="28" t="n">
        <x:v>0</x:v>
      </x:c>
      <x:c r="P3492" s="28" t="n">
        <x:v>0</x:v>
      </x:c>
      <x:c r="Q3492" s="24" t="n">
        <x:f>IFERROR(J3492/H3492,0)</x:f>
        <x:v>0.26666666666666666</x:v>
      </x:c>
      <x:c r="R3492" s="24" t="n">
        <x:f>IFERROR(F3492/H3492,0)</x:f>
        <x:v>0.13333333333333333</x:v>
      </x:c>
      <x:c r="S3492" s="24" t="n">
        <x:f>IFERROR(F3492/J3492,0)</x:f>
        <x:v>0.5</x:v>
      </x:c>
      <x:c r="T3492" s="28" t="n">
        <x:f>H3492-I3492</x:f>
        <x:v>5</x:v>
      </x:c>
      <x:c r="U3492" s="24" t="n">
        <x:f>IFERROR(J3492/H3492,0)-IFERROR(K3492/I3492,0)</x:f>
        <x:v>-0.033333333333333326</x:v>
      </x:c>
      <x:c r="V3492" s="24" t="n">
        <x:f>IFERROR(F3492/J3492,0)-IFERROR(G3492/K3492,0)</x:f>
        <x:v>-0.5</x:v>
      </x:c>
      <x:c r="W3492" s="28" t="n">
        <x:f>L3492-M3492</x:f>
        <x:v>7</x:v>
      </x:c>
      <x:c r="X3492" s="24" t="n">
        <x:f>IFERROR(K3492/I3492,0)</x:f>
        <x:v>0.3</x:v>
      </x:c>
      <x:c r="Y3492" s="24" t="n">
        <x:f>IFERROR(G3492/I3492,0)</x:f>
        <x:v>0.3</x:v>
      </x:c>
      <x:c r="Z3492" s="24" t="n">
        <x:f>IFERROR(G3492/K3492,0)</x:f>
        <x:v>1</x:v>
      </x:c>
      <x:c r="AA3492" s="24" t="n">
        <x:f>IFERROR(F3492/H3492,0)-IFERROR(G3492/I3492,0)</x:f>
        <x:v>-0.16666666666666666</x:v>
      </x:c>
      <x:c r="AB3492" s="28" t="n">
        <x:f>J3492-K3492</x:f>
        <x:v>1</x:v>
      </x:c>
      <x:c r="AC3492" s="32" t="n">
        <x:f>F3492-G3492</x:f>
        <x:v>-1</x:v>
      </x:c>
    </x:row>
    <x:row r="3493">
      <x:c r="A3493" s="4" t="str">
        <x:v>2025-26</x:v>
      </x:c>
      <x:c r="B3493" s="20" t="n">
        <x:v>46047</x:v>
      </x:c>
      <x:c r="C3493" s="4" t="str">
        <x:v>Aston Villa</x:v>
      </x:c>
      <x:c r="D3493" s="4" t="str">
        <x:v>Newcastle</x:v>
      </x:c>
      <x:c r="E3493" s="4" t="str">
        <x:v>Away</x:v>
      </x:c>
      <x:c r="F3493" s="28" t="n">
        <x:v>2</x:v>
      </x:c>
      <x:c r="G3493" s="28" t="n">
        <x:v>0</x:v>
      </x:c>
      <x:c r="H3493" s="28" t="n">
        <x:v>14</x:v>
      </x:c>
      <x:c r="I3493" s="28" t="n">
        <x:v>15</x:v>
      </x:c>
      <x:c r="J3493" s="28" t="n">
        <x:v>8</x:v>
      </x:c>
      <x:c r="K3493" s="28" t="n">
        <x:v>4</x:v>
      </x:c>
      <x:c r="L3493" s="28" t="n">
        <x:v>5</x:v>
      </x:c>
      <x:c r="M3493" s="28" t="n">
        <x:v>6</x:v>
      </x:c>
      <x:c r="N3493" s="28" t="n">
        <x:v>2</x:v>
      </x:c>
      <x:c r="O3493" s="28" t="n">
        <x:v>0</x:v>
      </x:c>
      <x:c r="P3493" s="28" t="n">
        <x:v>3</x:v>
      </x:c>
      <x:c r="Q3493" s="24" t="n">
        <x:f>IFERROR(J3493/H3493,0)</x:f>
        <x:v>0.5714285714285714</x:v>
      </x:c>
      <x:c r="R3493" s="24" t="n">
        <x:f>IFERROR(F3493/H3493,0)</x:f>
        <x:v>0.14285714285714285</x:v>
      </x:c>
      <x:c r="S3493" s="24" t="n">
        <x:f>IFERROR(F3493/J3493,0)</x:f>
        <x:v>0.25</x:v>
      </x:c>
      <x:c r="T3493" s="28" t="n">
        <x:f>H3493-I3493</x:f>
        <x:v>-1</x:v>
      </x:c>
      <x:c r="U3493" s="24" t="n">
        <x:f>IFERROR(J3493/H3493,0)-IFERROR(K3493/I3493,0)</x:f>
        <x:v>0.30476190476190473</x:v>
      </x:c>
      <x:c r="V3493" s="24" t="n">
        <x:f>IFERROR(F3493/J3493,0)-IFERROR(G3493/K3493,0)</x:f>
        <x:v>0.25</x:v>
      </x:c>
      <x:c r="W3493" s="28" t="n">
        <x:f>L3493-M3493</x:f>
        <x:v>-1</x:v>
      </x:c>
      <x:c r="X3493" s="24" t="n">
        <x:f>IFERROR(K3493/I3493,0)</x:f>
        <x:v>0.26666666666666666</x:v>
      </x:c>
      <x:c r="Y3493" s="24" t="n">
        <x:f>IFERROR(G3493/I3493,0)</x:f>
        <x:v>0</x:v>
      </x:c>
      <x:c r="Z3493" s="24" t="n">
        <x:f>IFERROR(G3493/K3493,0)</x:f>
        <x:v>0</x:v>
      </x:c>
      <x:c r="AA3493" s="24" t="n">
        <x:f>IFERROR(F3493/H3493,0)-IFERROR(G3493/I3493,0)</x:f>
        <x:v>0.14285714285714285</x:v>
      </x:c>
      <x:c r="AB3493" s="28" t="n">
        <x:f>J3493-K3493</x:f>
        <x:v>4</x:v>
      </x:c>
      <x:c r="AC3493" s="32" t="n">
        <x:f>F3493-G3493</x:f>
        <x:v>2</x:v>
      </x:c>
    </x:row>
    <x:row r="3494">
      <x:c r="A3494" s="4" t="str">
        <x:v>2025-26</x:v>
      </x:c>
      <x:c r="B3494" s="20" t="n">
        <x:v>46047</x:v>
      </x:c>
      <x:c r="C3494" s="4" t="str">
        <x:v>Brentford</x:v>
      </x:c>
      <x:c r="D3494" s="4" t="str">
        <x:v>Nott'm Forest</x:v>
      </x:c>
      <x:c r="E3494" s="4" t="str">
        <x:v>Home</x:v>
      </x:c>
      <x:c r="F3494" s="28" t="n">
        <x:v>0</x:v>
      </x:c>
      <x:c r="G3494" s="28" t="n">
        <x:v>2</x:v>
      </x:c>
      <x:c r="H3494" s="28" t="n">
        <x:v>10</x:v>
      </x:c>
      <x:c r="I3494" s="28" t="n">
        <x:v>7</x:v>
      </x:c>
      <x:c r="J3494" s="28" t="n">
        <x:v>1</x:v>
      </x:c>
      <x:c r="K3494" s="28" t="n">
        <x:v>2</x:v>
      </x:c>
      <x:c r="L3494" s="28" t="n">
        <x:v>6</x:v>
      </x:c>
      <x:c r="M3494" s="28" t="n">
        <x:v>5</x:v>
      </x:c>
      <x:c r="N3494" s="28" t="n">
        <x:v>1</x:v>
      </x:c>
      <x:c r="O3494" s="28" t="n">
        <x:v>0</x:v>
      </x:c>
      <x:c r="P3494" s="28" t="n">
        <x:v>0</x:v>
      </x:c>
      <x:c r="Q3494" s="24" t="n">
        <x:f>IFERROR(J3494/H3494,0)</x:f>
        <x:v>0.1</x:v>
      </x:c>
      <x:c r="R3494" s="24" t="n">
        <x:f>IFERROR(F3494/H3494,0)</x:f>
        <x:v>0</x:v>
      </x:c>
      <x:c r="S3494" s="24" t="n">
        <x:f>IFERROR(F3494/J3494,0)</x:f>
        <x:v>0</x:v>
      </x:c>
      <x:c r="T3494" s="28" t="n">
        <x:f>H3494-I3494</x:f>
        <x:v>3</x:v>
      </x:c>
      <x:c r="U3494" s="24" t="n">
        <x:f>IFERROR(J3494/H3494,0)-IFERROR(K3494/I3494,0)</x:f>
        <x:v>-0.1857142857142857</x:v>
      </x:c>
      <x:c r="V3494" s="24" t="n">
        <x:f>IFERROR(F3494/J3494,0)-IFERROR(G3494/K3494,0)</x:f>
        <x:v>-1</x:v>
      </x:c>
      <x:c r="W3494" s="28" t="n">
        <x:f>L3494-M3494</x:f>
        <x:v>1</x:v>
      </x:c>
      <x:c r="X3494" s="24" t="n">
        <x:f>IFERROR(K3494/I3494,0)</x:f>
        <x:v>0.2857142857142857</x:v>
      </x:c>
      <x:c r="Y3494" s="24" t="n">
        <x:f>IFERROR(G3494/I3494,0)</x:f>
        <x:v>0.2857142857142857</x:v>
      </x:c>
      <x:c r="Z3494" s="24" t="n">
        <x:f>IFERROR(G3494/K3494,0)</x:f>
        <x:v>1</x:v>
      </x:c>
      <x:c r="AA3494" s="24" t="n">
        <x:f>IFERROR(F3494/H3494,0)-IFERROR(G3494/I3494,0)</x:f>
        <x:v>-0.2857142857142857</x:v>
      </x:c>
      <x:c r="AB3494" s="28" t="n">
        <x:f>J3494-K3494</x:f>
        <x:v>-1</x:v>
      </x:c>
      <x:c r="AC3494" s="32" t="n">
        <x:f>F3494-G3494</x:f>
        <x:v>-2</x:v>
      </x:c>
    </x:row>
    <x:row r="3495">
      <x:c r="A3495" s="4" t="str">
        <x:v>2025-26</x:v>
      </x:c>
      <x:c r="B3495" s="20" t="n">
        <x:v>46047</x:v>
      </x:c>
      <x:c r="C3495" s="4" t="str">
        <x:v>Chelsea</x:v>
      </x:c>
      <x:c r="D3495" s="4" t="str">
        <x:v>Crystal Palace</x:v>
      </x:c>
      <x:c r="E3495" s="4" t="str">
        <x:v>Away</x:v>
      </x:c>
      <x:c r="F3495" s="28" t="n">
        <x:v>3</x:v>
      </x:c>
      <x:c r="G3495" s="28" t="n">
        <x:v>1</x:v>
      </x:c>
      <x:c r="H3495" s="28" t="n">
        <x:v>10</x:v>
      </x:c>
      <x:c r="I3495" s="28" t="n">
        <x:v>13</x:v>
      </x:c>
      <x:c r="J3495" s="28" t="n">
        <x:v>6</x:v>
      </x:c>
      <x:c r="K3495" s="28" t="n">
        <x:v>7</x:v>
      </x:c>
      <x:c r="L3495" s="28" t="n">
        <x:v>5</x:v>
      </x:c>
      <x:c r="M3495" s="28" t="n">
        <x:v>4</x:v>
      </x:c>
      <x:c r="N3495" s="28" t="n">
        <x:v>2</x:v>
      </x:c>
      <x:c r="O3495" s="28" t="n">
        <x:v>0</x:v>
      </x:c>
      <x:c r="P3495" s="28" t="n">
        <x:v>3</x:v>
      </x:c>
      <x:c r="Q3495" s="24" t="n">
        <x:f>IFERROR(J3495/H3495,0)</x:f>
        <x:v>0.6</x:v>
      </x:c>
      <x:c r="R3495" s="24" t="n">
        <x:f>IFERROR(F3495/H3495,0)</x:f>
        <x:v>0.3</x:v>
      </x:c>
      <x:c r="S3495" s="24" t="n">
        <x:f>IFERROR(F3495/J3495,0)</x:f>
        <x:v>0.5</x:v>
      </x:c>
      <x:c r="T3495" s="28" t="n">
        <x:f>H3495-I3495</x:f>
        <x:v>-3</x:v>
      </x:c>
      <x:c r="U3495" s="24" t="n">
        <x:f>IFERROR(J3495/H3495,0)-IFERROR(K3495/I3495,0)</x:f>
        <x:v>0.06153846153846154</x:v>
      </x:c>
      <x:c r="V3495" s="24" t="n">
        <x:f>IFERROR(F3495/J3495,0)-IFERROR(G3495/K3495,0)</x:f>
        <x:v>0.35714285714285715</x:v>
      </x:c>
      <x:c r="W3495" s="28" t="n">
        <x:f>L3495-M3495</x:f>
        <x:v>1</x:v>
      </x:c>
      <x:c r="X3495" s="24" t="n">
        <x:f>IFERROR(K3495/I3495,0)</x:f>
        <x:v>0.5384615384615384</x:v>
      </x:c>
      <x:c r="Y3495" s="24" t="n">
        <x:f>IFERROR(G3495/I3495,0)</x:f>
        <x:v>0.07692307692307693</x:v>
      </x:c>
      <x:c r="Z3495" s="24" t="n">
        <x:f>IFERROR(G3495/K3495,0)</x:f>
        <x:v>0.14285714285714285</x:v>
      </x:c>
      <x:c r="AA3495" s="24" t="n">
        <x:f>IFERROR(F3495/H3495,0)-IFERROR(G3495/I3495,0)</x:f>
        <x:v>0.22307692307692306</x:v>
      </x:c>
      <x:c r="AB3495" s="28" t="n">
        <x:f>J3495-K3495</x:f>
        <x:v>-1</x:v>
      </x:c>
      <x:c r="AC3495" s="32" t="n">
        <x:f>F3495-G3495</x:f>
        <x:v>2</x:v>
      </x:c>
    </x:row>
    <x:row r="3496">
      <x:c r="A3496" s="4" t="str">
        <x:v>2025-26</x:v>
      </x:c>
      <x:c r="B3496" s="20" t="n">
        <x:v>46047</x:v>
      </x:c>
      <x:c r="C3496" s="4" t="str">
        <x:v>Crystal Palace</x:v>
      </x:c>
      <x:c r="D3496" s="4" t="str">
        <x:v>Chelsea</x:v>
      </x:c>
      <x:c r="E3496" s="4" t="str">
        <x:v>Home</x:v>
      </x:c>
      <x:c r="F3496" s="28" t="n">
        <x:v>1</x:v>
      </x:c>
      <x:c r="G3496" s="28" t="n">
        <x:v>3</x:v>
      </x:c>
      <x:c r="H3496" s="28" t="n">
        <x:v>13</x:v>
      </x:c>
      <x:c r="I3496" s="28" t="n">
        <x:v>10</x:v>
      </x:c>
      <x:c r="J3496" s="28" t="n">
        <x:v>7</x:v>
      </x:c>
      <x:c r="K3496" s="28" t="n">
        <x:v>6</x:v>
      </x:c>
      <x:c r="L3496" s="28" t="n">
        <x:v>4</x:v>
      </x:c>
      <x:c r="M3496" s="28" t="n">
        <x:v>5</x:v>
      </x:c>
      <x:c r="N3496" s="28" t="n">
        <x:v>2</x:v>
      </x:c>
      <x:c r="O3496" s="28" t="n">
        <x:v>1</x:v>
      </x:c>
      <x:c r="P3496" s="28" t="n">
        <x:v>0</x:v>
      </x:c>
      <x:c r="Q3496" s="24" t="n">
        <x:f>IFERROR(J3496/H3496,0)</x:f>
        <x:v>0.5384615384615384</x:v>
      </x:c>
      <x:c r="R3496" s="24" t="n">
        <x:f>IFERROR(F3496/H3496,0)</x:f>
        <x:v>0.07692307692307693</x:v>
      </x:c>
      <x:c r="S3496" s="24" t="n">
        <x:f>IFERROR(F3496/J3496,0)</x:f>
        <x:v>0.14285714285714285</x:v>
      </x:c>
      <x:c r="T3496" s="28" t="n">
        <x:f>H3496-I3496</x:f>
        <x:v>3</x:v>
      </x:c>
      <x:c r="U3496" s="24" t="n">
        <x:f>IFERROR(J3496/H3496,0)-IFERROR(K3496/I3496,0)</x:f>
        <x:v>-0.06153846153846154</x:v>
      </x:c>
      <x:c r="V3496" s="24" t="n">
        <x:f>IFERROR(F3496/J3496,0)-IFERROR(G3496/K3496,0)</x:f>
        <x:v>-0.35714285714285715</x:v>
      </x:c>
      <x:c r="W3496" s="28" t="n">
        <x:f>L3496-M3496</x:f>
        <x:v>-1</x:v>
      </x:c>
      <x:c r="X3496" s="24" t="n">
        <x:f>IFERROR(K3496/I3496,0)</x:f>
        <x:v>0.6</x:v>
      </x:c>
      <x:c r="Y3496" s="24" t="n">
        <x:f>IFERROR(G3496/I3496,0)</x:f>
        <x:v>0.3</x:v>
      </x:c>
      <x:c r="Z3496" s="24" t="n">
        <x:f>IFERROR(G3496/K3496,0)</x:f>
        <x:v>0.5</x:v>
      </x:c>
      <x:c r="AA3496" s="24" t="n">
        <x:f>IFERROR(F3496/H3496,0)-IFERROR(G3496/I3496,0)</x:f>
        <x:v>-0.22307692307692306</x:v>
      </x:c>
      <x:c r="AB3496" s="28" t="n">
        <x:f>J3496-K3496</x:f>
        <x:v>1</x:v>
      </x:c>
      <x:c r="AC3496" s="32" t="n">
        <x:f>F3496-G3496</x:f>
        <x:v>-2</x:v>
      </x:c>
    </x:row>
    <x:row r="3497">
      <x:c r="A3497" s="4" t="str">
        <x:v>2025-26</x:v>
      </x:c>
      <x:c r="B3497" s="20" t="n">
        <x:v>46047</x:v>
      </x:c>
      <x:c r="C3497" s="4" t="str">
        <x:v>Man United</x:v>
      </x:c>
      <x:c r="D3497" s="4" t="str">
        <x:v>Arsenal</x:v>
      </x:c>
      <x:c r="E3497" s="4" t="str">
        <x:v>Away</x:v>
      </x:c>
      <x:c r="F3497" s="28" t="n">
        <x:v>3</x:v>
      </x:c>
      <x:c r="G3497" s="28" t="n">
        <x:v>2</x:v>
      </x:c>
      <x:c r="H3497" s="28" t="n">
        <x:v>10</x:v>
      </x:c>
      <x:c r="I3497" s="28" t="n">
        <x:v>15</x:v>
      </x:c>
      <x:c r="J3497" s="28" t="n">
        <x:v>3</x:v>
      </x:c>
      <x:c r="K3497" s="28" t="n">
        <x:v>4</x:v>
      </x:c>
      <x:c r="L3497" s="28" t="n">
        <x:v>2</x:v>
      </x:c>
      <x:c r="M3497" s="28" t="n">
        <x:v>9</x:v>
      </x:c>
      <x:c r="N3497" s="28" t="n">
        <x:v>0</x:v>
      </x:c>
      <x:c r="O3497" s="28" t="n">
        <x:v>0</x:v>
      </x:c>
      <x:c r="P3497" s="28" t="n">
        <x:v>3</x:v>
      </x:c>
      <x:c r="Q3497" s="24" t="n">
        <x:f>IFERROR(J3497/H3497,0)</x:f>
        <x:v>0.3</x:v>
      </x:c>
      <x:c r="R3497" s="24" t="n">
        <x:f>IFERROR(F3497/H3497,0)</x:f>
        <x:v>0.3</x:v>
      </x:c>
      <x:c r="S3497" s="24" t="n">
        <x:f>IFERROR(F3497/J3497,0)</x:f>
        <x:v>1</x:v>
      </x:c>
      <x:c r="T3497" s="28" t="n">
        <x:f>H3497-I3497</x:f>
        <x:v>-5</x:v>
      </x:c>
      <x:c r="U3497" s="24" t="n">
        <x:f>IFERROR(J3497/H3497,0)-IFERROR(K3497/I3497,0)</x:f>
        <x:v>0.033333333333333326</x:v>
      </x:c>
      <x:c r="V3497" s="24" t="n">
        <x:f>IFERROR(F3497/J3497,0)-IFERROR(G3497/K3497,0)</x:f>
        <x:v>0.5</x:v>
      </x:c>
      <x:c r="W3497" s="28" t="n">
        <x:f>L3497-M3497</x:f>
        <x:v>-7</x:v>
      </x:c>
      <x:c r="X3497" s="24" t="n">
        <x:f>IFERROR(K3497/I3497,0)</x:f>
        <x:v>0.26666666666666666</x:v>
      </x:c>
      <x:c r="Y3497" s="24" t="n">
        <x:f>IFERROR(G3497/I3497,0)</x:f>
        <x:v>0.13333333333333333</x:v>
      </x:c>
      <x:c r="Z3497" s="24" t="n">
        <x:f>IFERROR(G3497/K3497,0)</x:f>
        <x:v>0.5</x:v>
      </x:c>
      <x:c r="AA3497" s="24" t="n">
        <x:f>IFERROR(F3497/H3497,0)-IFERROR(G3497/I3497,0)</x:f>
        <x:v>0.16666666666666666</x:v>
      </x:c>
      <x:c r="AB3497" s="28" t="n">
        <x:f>J3497-K3497</x:f>
        <x:v>-1</x:v>
      </x:c>
      <x:c r="AC3497" s="32" t="n">
        <x:f>F3497-G3497</x:f>
        <x:v>1</x:v>
      </x:c>
    </x:row>
    <x:row r="3498">
      <x:c r="A3498" s="4" t="str">
        <x:v>2025-26</x:v>
      </x:c>
      <x:c r="B3498" s="20" t="n">
        <x:v>46047</x:v>
      </x:c>
      <x:c r="C3498" s="4" t="str">
        <x:v>Newcastle</x:v>
      </x:c>
      <x:c r="D3498" s="4" t="str">
        <x:v>Aston Villa</x:v>
      </x:c>
      <x:c r="E3498" s="4" t="str">
        <x:v>Home</x:v>
      </x:c>
      <x:c r="F3498" s="28" t="n">
        <x:v>0</x:v>
      </x:c>
      <x:c r="G3498" s="28" t="n">
        <x:v>2</x:v>
      </x:c>
      <x:c r="H3498" s="28" t="n">
        <x:v>15</x:v>
      </x:c>
      <x:c r="I3498" s="28" t="n">
        <x:v>14</x:v>
      </x:c>
      <x:c r="J3498" s="28" t="n">
        <x:v>4</x:v>
      </x:c>
      <x:c r="K3498" s="28" t="n">
        <x:v>8</x:v>
      </x:c>
      <x:c r="L3498" s="28" t="n">
        <x:v>6</x:v>
      </x:c>
      <x:c r="M3498" s="28" t="n">
        <x:v>5</x:v>
      </x:c>
      <x:c r="N3498" s="28" t="n">
        <x:v>1</x:v>
      </x:c>
      <x:c r="O3498" s="28" t="n">
        <x:v>0</x:v>
      </x:c>
      <x:c r="P3498" s="28" t="n">
        <x:v>0</x:v>
      </x:c>
      <x:c r="Q3498" s="24" t="n">
        <x:f>IFERROR(J3498/H3498,0)</x:f>
        <x:v>0.26666666666666666</x:v>
      </x:c>
      <x:c r="R3498" s="24" t="n">
        <x:f>IFERROR(F3498/H3498,0)</x:f>
        <x:v>0</x:v>
      </x:c>
      <x:c r="S3498" s="24" t="n">
        <x:f>IFERROR(F3498/J3498,0)</x:f>
        <x:v>0</x:v>
      </x:c>
      <x:c r="T3498" s="28" t="n">
        <x:f>H3498-I3498</x:f>
        <x:v>1</x:v>
      </x:c>
      <x:c r="U3498" s="24" t="n">
        <x:f>IFERROR(J3498/H3498,0)-IFERROR(K3498/I3498,0)</x:f>
        <x:v>-0.30476190476190473</x:v>
      </x:c>
      <x:c r="V3498" s="24" t="n">
        <x:f>IFERROR(F3498/J3498,0)-IFERROR(G3498/K3498,0)</x:f>
        <x:v>-0.25</x:v>
      </x:c>
      <x:c r="W3498" s="28" t="n">
        <x:f>L3498-M3498</x:f>
        <x:v>1</x:v>
      </x:c>
      <x:c r="X3498" s="24" t="n">
        <x:f>IFERROR(K3498/I3498,0)</x:f>
        <x:v>0.5714285714285714</x:v>
      </x:c>
      <x:c r="Y3498" s="24" t="n">
        <x:f>IFERROR(G3498/I3498,0)</x:f>
        <x:v>0.14285714285714285</x:v>
      </x:c>
      <x:c r="Z3498" s="24" t="n">
        <x:f>IFERROR(G3498/K3498,0)</x:f>
        <x:v>0.25</x:v>
      </x:c>
      <x:c r="AA3498" s="24" t="n">
        <x:f>IFERROR(F3498/H3498,0)-IFERROR(G3498/I3498,0)</x:f>
        <x:v>-0.14285714285714285</x:v>
      </x:c>
      <x:c r="AB3498" s="28" t="n">
        <x:f>J3498-K3498</x:f>
        <x:v>-4</x:v>
      </x:c>
      <x:c r="AC3498" s="32" t="n">
        <x:f>F3498-G3498</x:f>
        <x:v>-2</x:v>
      </x:c>
    </x:row>
    <x:row r="3499">
      <x:c r="A3499" s="4" t="str">
        <x:v>2025-26</x:v>
      </x:c>
      <x:c r="B3499" s="20" t="n">
        <x:v>46047</x:v>
      </x:c>
      <x:c r="C3499" s="4" t="str">
        <x:v>Nott'm Forest</x:v>
      </x:c>
      <x:c r="D3499" s="4" t="str">
        <x:v>Brentford</x:v>
      </x:c>
      <x:c r="E3499" s="4" t="str">
        <x:v>Away</x:v>
      </x:c>
      <x:c r="F3499" s="28" t="n">
        <x:v>2</x:v>
      </x:c>
      <x:c r="G3499" s="28" t="n">
        <x:v>0</x:v>
      </x:c>
      <x:c r="H3499" s="28" t="n">
        <x:v>7</x:v>
      </x:c>
      <x:c r="I3499" s="28" t="n">
        <x:v>10</x:v>
      </x:c>
      <x:c r="J3499" s="28" t="n">
        <x:v>2</x:v>
      </x:c>
      <x:c r="K3499" s="28" t="n">
        <x:v>1</x:v>
      </x:c>
      <x:c r="L3499" s="28" t="n">
        <x:v>5</x:v>
      </x:c>
      <x:c r="M3499" s="28" t="n">
        <x:v>6</x:v>
      </x:c>
      <x:c r="N3499" s="28" t="n">
        <x:v>0</x:v>
      </x:c>
      <x:c r="O3499" s="28" t="n">
        <x:v>0</x:v>
      </x:c>
      <x:c r="P3499" s="28" t="n">
        <x:v>3</x:v>
      </x:c>
      <x:c r="Q3499" s="24" t="n">
        <x:f>IFERROR(J3499/H3499,0)</x:f>
        <x:v>0.2857142857142857</x:v>
      </x:c>
      <x:c r="R3499" s="24" t="n">
        <x:f>IFERROR(F3499/H3499,0)</x:f>
        <x:v>0.2857142857142857</x:v>
      </x:c>
      <x:c r="S3499" s="24" t="n">
        <x:f>IFERROR(F3499/J3499,0)</x:f>
        <x:v>1</x:v>
      </x:c>
      <x:c r="T3499" s="28" t="n">
        <x:f>H3499-I3499</x:f>
        <x:v>-3</x:v>
      </x:c>
      <x:c r="U3499" s="24" t="n">
        <x:f>IFERROR(J3499/H3499,0)-IFERROR(K3499/I3499,0)</x:f>
        <x:v>0.1857142857142857</x:v>
      </x:c>
      <x:c r="V3499" s="24" t="n">
        <x:f>IFERROR(F3499/J3499,0)-IFERROR(G3499/K3499,0)</x:f>
        <x:v>1</x:v>
      </x:c>
      <x:c r="W3499" s="28" t="n">
        <x:f>L3499-M3499</x:f>
        <x:v>-1</x:v>
      </x:c>
      <x:c r="X3499" s="24" t="n">
        <x:f>IFERROR(K3499/I3499,0)</x:f>
        <x:v>0.1</x:v>
      </x:c>
      <x:c r="Y3499" s="24" t="n">
        <x:f>IFERROR(G3499/I3499,0)</x:f>
        <x:v>0</x:v>
      </x:c>
      <x:c r="Z3499" s="24" t="n">
        <x:f>IFERROR(G3499/K3499,0)</x:f>
        <x:v>0</x:v>
      </x:c>
      <x:c r="AA3499" s="24" t="n">
        <x:f>IFERROR(F3499/H3499,0)-IFERROR(G3499/I3499,0)</x:f>
        <x:v>0.2857142857142857</x:v>
      </x:c>
      <x:c r="AB3499" s="28" t="n">
        <x:f>J3499-K3499</x:f>
        <x:v>1</x:v>
      </x:c>
      <x:c r="AC3499" s="32" t="n">
        <x:f>F3499-G3499</x:f>
        <x:v>2</x:v>
      </x:c>
    </x:row>
    <x:row r="3500">
      <x:c r="A3500" s="4" t="str">
        <x:v>2025-26</x:v>
      </x:c>
      <x:c r="B3500" s="20" t="n">
        <x:v>46048</x:v>
      </x:c>
      <x:c r="C3500" s="4" t="str">
        <x:v>Everton</x:v>
      </x:c>
      <x:c r="D3500" s="4" t="str">
        <x:v>Leeds</x:v>
      </x:c>
      <x:c r="E3500" s="4" t="str">
        <x:v>Home</x:v>
      </x:c>
      <x:c r="F3500" s="28" t="n">
        <x:v>1</x:v>
      </x:c>
      <x:c r="G3500" s="28" t="n">
        <x:v>1</x:v>
      </x:c>
      <x:c r="H3500" s="28" t="n">
        <x:v>10</x:v>
      </x:c>
      <x:c r="I3500" s="28" t="n">
        <x:v>14</x:v>
      </x:c>
      <x:c r="J3500" s="28" t="n">
        <x:v>3</x:v>
      </x:c>
      <x:c r="K3500" s="28" t="n">
        <x:v>4</x:v>
      </x:c>
      <x:c r="L3500" s="28" t="n">
        <x:v>4</x:v>
      </x:c>
      <x:c r="M3500" s="28" t="n">
        <x:v>4</x:v>
      </x:c>
      <x:c r="N3500" s="28" t="n">
        <x:v>0</x:v>
      </x:c>
      <x:c r="O3500" s="28" t="n">
        <x:v>0</x:v>
      </x:c>
      <x:c r="P3500" s="28" t="n">
        <x:v>1</x:v>
      </x:c>
      <x:c r="Q3500" s="24" t="n">
        <x:f>IFERROR(J3500/H3500,0)</x:f>
        <x:v>0.3</x:v>
      </x:c>
      <x:c r="R3500" s="24" t="n">
        <x:f>IFERROR(F3500/H3500,0)</x:f>
        <x:v>0.1</x:v>
      </x:c>
      <x:c r="S3500" s="24" t="n">
        <x:f>IFERROR(F3500/J3500,0)</x:f>
        <x:v>0.3333333333333333</x:v>
      </x:c>
      <x:c r="T3500" s="28" t="n">
        <x:f>H3500-I3500</x:f>
        <x:v>-4</x:v>
      </x:c>
      <x:c r="U3500" s="24" t="n">
        <x:f>IFERROR(J3500/H3500,0)-IFERROR(K3500/I3500,0)</x:f>
        <x:v>0.01428571428571429</x:v>
      </x:c>
      <x:c r="V3500" s="24" t="n">
        <x:f>IFERROR(F3500/J3500,0)-IFERROR(G3500/K3500,0)</x:f>
        <x:v>0.08333333333333331</x:v>
      </x:c>
      <x:c r="W3500" s="28" t="n">
        <x:f>L3500-M3500</x:f>
        <x:v>0</x:v>
      </x:c>
      <x:c r="X3500" s="24" t="n">
        <x:f>IFERROR(K3500/I3500,0)</x:f>
        <x:v>0.2857142857142857</x:v>
      </x:c>
      <x:c r="Y3500" s="24" t="n">
        <x:f>IFERROR(G3500/I3500,0)</x:f>
        <x:v>0.07142857142857142</x:v>
      </x:c>
      <x:c r="Z3500" s="24" t="n">
        <x:f>IFERROR(G3500/K3500,0)</x:f>
        <x:v>0.25</x:v>
      </x:c>
      <x:c r="AA3500" s="24" t="n">
        <x:f>IFERROR(F3500/H3500,0)-IFERROR(G3500/I3500,0)</x:f>
        <x:v>0.02857142857142858</x:v>
      </x:c>
      <x:c r="AB3500" s="28" t="n">
        <x:f>J3500-K3500</x:f>
        <x:v>-1</x:v>
      </x:c>
      <x:c r="AC3500" s="32" t="n">
        <x:f>F3500-G3500</x:f>
        <x:v>0</x:v>
      </x:c>
    </x:row>
    <x:row r="3501">
      <x:c r="A3501" s="4" t="str">
        <x:v>2025-26</x:v>
      </x:c>
      <x:c r="B3501" s="20" t="n">
        <x:v>46048</x:v>
      </x:c>
      <x:c r="C3501" s="4" t="str">
        <x:v>Leeds</x:v>
      </x:c>
      <x:c r="D3501" s="4" t="str">
        <x:v>Everton</x:v>
      </x:c>
      <x:c r="E3501" s="4" t="str">
        <x:v>Away</x:v>
      </x:c>
      <x:c r="F3501" s="28" t="n">
        <x:v>1</x:v>
      </x:c>
      <x:c r="G3501" s="28" t="n">
        <x:v>1</x:v>
      </x:c>
      <x:c r="H3501" s="28" t="n">
        <x:v>14</x:v>
      </x:c>
      <x:c r="I3501" s="28" t="n">
        <x:v>10</x:v>
      </x:c>
      <x:c r="J3501" s="28" t="n">
        <x:v>4</x:v>
      </x:c>
      <x:c r="K3501" s="28" t="n">
        <x:v>3</x:v>
      </x:c>
      <x:c r="L3501" s="28" t="n">
        <x:v>4</x:v>
      </x:c>
      <x:c r="M3501" s="28" t="n">
        <x:v>4</x:v>
      </x:c>
      <x:c r="N3501" s="28" t="n">
        <x:v>3</x:v>
      </x:c>
      <x:c r="O3501" s="28" t="n">
        <x:v>0</x:v>
      </x:c>
      <x:c r="P3501" s="28" t="n">
        <x:v>1</x:v>
      </x:c>
      <x:c r="Q3501" s="24" t="n">
        <x:f>IFERROR(J3501/H3501,0)</x:f>
        <x:v>0.2857142857142857</x:v>
      </x:c>
      <x:c r="R3501" s="24" t="n">
        <x:f>IFERROR(F3501/H3501,0)</x:f>
        <x:v>0.07142857142857142</x:v>
      </x:c>
      <x:c r="S3501" s="24" t="n">
        <x:f>IFERROR(F3501/J3501,0)</x:f>
        <x:v>0.25</x:v>
      </x:c>
      <x:c r="T3501" s="28" t="n">
        <x:f>H3501-I3501</x:f>
        <x:v>4</x:v>
      </x:c>
      <x:c r="U3501" s="24" t="n">
        <x:f>IFERROR(J3501/H3501,0)-IFERROR(K3501/I3501,0)</x:f>
        <x:v>-0.01428571428571429</x:v>
      </x:c>
      <x:c r="V3501" s="24" t="n">
        <x:f>IFERROR(F3501/J3501,0)-IFERROR(G3501/K3501,0)</x:f>
        <x:v>-0.08333333333333331</x:v>
      </x:c>
      <x:c r="W3501" s="28" t="n">
        <x:f>L3501-M3501</x:f>
        <x:v>0</x:v>
      </x:c>
      <x:c r="X3501" s="24" t="n">
        <x:f>IFERROR(K3501/I3501,0)</x:f>
        <x:v>0.3</x:v>
      </x:c>
      <x:c r="Y3501" s="24" t="n">
        <x:f>IFERROR(G3501/I3501,0)</x:f>
        <x:v>0.1</x:v>
      </x:c>
      <x:c r="Z3501" s="24" t="n">
        <x:f>IFERROR(G3501/K3501,0)</x:f>
        <x:v>0.3333333333333333</x:v>
      </x:c>
      <x:c r="AA3501" s="24" t="n">
        <x:f>IFERROR(F3501/H3501,0)-IFERROR(G3501/I3501,0)</x:f>
        <x:v>-0.02857142857142858</x:v>
      </x:c>
      <x:c r="AB3501" s="28" t="n">
        <x:f>J3501-K3501</x:f>
        <x:v>1</x:v>
      </x:c>
      <x:c r="AC3501" s="32" t="n">
        <x:f>F3501-G3501</x:f>
        <x:v>0</x:v>
      </x:c>
    </x:row>
    <x:row r="3502">
      <x:c r="A3502" s="4" t="str">
        <x:v>2025-26</x:v>
      </x:c>
      <x:c r="B3502" s="20" t="n">
        <x:v>46053</x:v>
      </x:c>
      <x:c r="C3502" s="4" t="str">
        <x:v>Arsenal</x:v>
      </x:c>
      <x:c r="D3502" s="4" t="str">
        <x:v>Leeds</x:v>
      </x:c>
      <x:c r="E3502" s="4" t="str">
        <x:v>Away</x:v>
      </x:c>
      <x:c r="F3502" s="28" t="n">
        <x:v>4</x:v>
      </x:c>
      <x:c r="G3502" s="28" t="n">
        <x:v>0</x:v>
      </x:c>
      <x:c r="H3502" s="28" t="n">
        <x:v>14</x:v>
      </x:c>
      <x:c r="I3502" s="28" t="n">
        <x:v>3</x:v>
      </x:c>
      <x:c r="J3502" s="28" t="n">
        <x:v>8</x:v>
      </x:c>
      <x:c r="K3502" s="28" t="n">
        <x:v>1</x:v>
      </x:c>
      <x:c r="L3502" s="28" t="n">
        <x:v>12</x:v>
      </x:c>
      <x:c r="M3502" s="28" t="n">
        <x:v>4</x:v>
      </x:c>
      <x:c r="N3502" s="28" t="n">
        <x:v>1</x:v>
      </x:c>
      <x:c r="O3502" s="28" t="n">
        <x:v>0</x:v>
      </x:c>
      <x:c r="P3502" s="28" t="n">
        <x:v>3</x:v>
      </x:c>
      <x:c r="Q3502" s="24" t="n">
        <x:f>IFERROR(J3502/H3502,0)</x:f>
        <x:v>0.5714285714285714</x:v>
      </x:c>
      <x:c r="R3502" s="24" t="n">
        <x:f>IFERROR(F3502/H3502,0)</x:f>
        <x:v>0.2857142857142857</x:v>
      </x:c>
      <x:c r="S3502" s="24" t="n">
        <x:f>IFERROR(F3502/J3502,0)</x:f>
        <x:v>0.5</x:v>
      </x:c>
      <x:c r="T3502" s="28" t="n">
        <x:f>H3502-I3502</x:f>
        <x:v>11</x:v>
      </x:c>
      <x:c r="U3502" s="24" t="n">
        <x:f>IFERROR(J3502/H3502,0)-IFERROR(K3502/I3502,0)</x:f>
        <x:v>0.23809523809523808</x:v>
      </x:c>
      <x:c r="V3502" s="24" t="n">
        <x:f>IFERROR(F3502/J3502,0)-IFERROR(G3502/K3502,0)</x:f>
        <x:v>0.5</x:v>
      </x:c>
      <x:c r="W3502" s="28" t="n">
        <x:f>L3502-M3502</x:f>
        <x:v>8</x:v>
      </x:c>
      <x:c r="X3502" s="24" t="n">
        <x:f>IFERROR(K3502/I3502,0)</x:f>
        <x:v>0.3333333333333333</x:v>
      </x:c>
      <x:c r="Y3502" s="24" t="n">
        <x:f>IFERROR(G3502/I3502,0)</x:f>
        <x:v>0</x:v>
      </x:c>
      <x:c r="Z3502" s="24" t="n">
        <x:f>IFERROR(G3502/K3502,0)</x:f>
        <x:v>0</x:v>
      </x:c>
      <x:c r="AA3502" s="24" t="n">
        <x:f>IFERROR(F3502/H3502,0)-IFERROR(G3502/I3502,0)</x:f>
        <x:v>0.2857142857142857</x:v>
      </x:c>
      <x:c r="AB3502" s="28" t="n">
        <x:f>J3502-K3502</x:f>
        <x:v>7</x:v>
      </x:c>
      <x:c r="AC3502" s="32" t="n">
        <x:f>F3502-G3502</x:f>
        <x:v>4</x:v>
      </x:c>
    </x:row>
    <x:row r="3503">
      <x:c r="A3503" s="4" t="str">
        <x:v>2025-26</x:v>
      </x:c>
      <x:c r="B3503" s="20" t="n">
        <x:v>46053</x:v>
      </x:c>
      <x:c r="C3503" s="4" t="str">
        <x:v>Bournemouth</x:v>
      </x:c>
      <x:c r="D3503" s="4" t="str">
        <x:v>Wolves</x:v>
      </x:c>
      <x:c r="E3503" s="4" t="str">
        <x:v>Away</x:v>
      </x:c>
      <x:c r="F3503" s="28" t="n">
        <x:v>2</x:v>
      </x:c>
      <x:c r="G3503" s="28" t="n">
        <x:v>0</x:v>
      </x:c>
      <x:c r="H3503" s="28" t="n">
        <x:v>9</x:v>
      </x:c>
      <x:c r="I3503" s="28" t="n">
        <x:v>17</x:v>
      </x:c>
      <x:c r="J3503" s="28" t="n">
        <x:v>4</x:v>
      </x:c>
      <x:c r="K3503" s="28" t="n">
        <x:v>7</x:v>
      </x:c>
      <x:c r="L3503" s="28" t="n">
        <x:v>6</x:v>
      </x:c>
      <x:c r="M3503" s="28" t="n">
        <x:v>5</x:v>
      </x:c>
      <x:c r="N3503" s="28" t="n">
        <x:v>3</x:v>
      </x:c>
      <x:c r="O3503" s="28" t="n">
        <x:v>0</x:v>
      </x:c>
      <x:c r="P3503" s="28" t="n">
        <x:v>3</x:v>
      </x:c>
      <x:c r="Q3503" s="24" t="n">
        <x:f>IFERROR(J3503/H3503,0)</x:f>
        <x:v>0.4444444444444444</x:v>
      </x:c>
      <x:c r="R3503" s="24" t="n">
        <x:f>IFERROR(F3503/H3503,0)</x:f>
        <x:v>0.2222222222222222</x:v>
      </x:c>
      <x:c r="S3503" s="24" t="n">
        <x:f>IFERROR(F3503/J3503,0)</x:f>
        <x:v>0.5</x:v>
      </x:c>
      <x:c r="T3503" s="28" t="n">
        <x:f>H3503-I3503</x:f>
        <x:v>-8</x:v>
      </x:c>
      <x:c r="U3503" s="24" t="n">
        <x:f>IFERROR(J3503/H3503,0)-IFERROR(K3503/I3503,0)</x:f>
        <x:v>0.0326797385620915</x:v>
      </x:c>
      <x:c r="V3503" s="24" t="n">
        <x:f>IFERROR(F3503/J3503,0)-IFERROR(G3503/K3503,0)</x:f>
        <x:v>0.5</x:v>
      </x:c>
      <x:c r="W3503" s="28" t="n">
        <x:f>L3503-M3503</x:f>
        <x:v>1</x:v>
      </x:c>
      <x:c r="X3503" s="24" t="n">
        <x:f>IFERROR(K3503/I3503,0)</x:f>
        <x:v>0.4117647058823529</x:v>
      </x:c>
      <x:c r="Y3503" s="24" t="n">
        <x:f>IFERROR(G3503/I3503,0)</x:f>
        <x:v>0</x:v>
      </x:c>
      <x:c r="Z3503" s="24" t="n">
        <x:f>IFERROR(G3503/K3503,0)</x:f>
        <x:v>0</x:v>
      </x:c>
      <x:c r="AA3503" s="24" t="n">
        <x:f>IFERROR(F3503/H3503,0)-IFERROR(G3503/I3503,0)</x:f>
        <x:v>0.2222222222222222</x:v>
      </x:c>
      <x:c r="AB3503" s="28" t="n">
        <x:f>J3503-K3503</x:f>
        <x:v>-3</x:v>
      </x:c>
      <x:c r="AC3503" s="32" t="n">
        <x:f>F3503-G3503</x:f>
        <x:v>2</x:v>
      </x:c>
    </x:row>
    <x:row r="3504">
      <x:c r="A3504" s="4" t="str">
        <x:v>2025-26</x:v>
      </x:c>
      <x:c r="B3504" s="20" t="n">
        <x:v>46053</x:v>
      </x:c>
      <x:c r="C3504" s="4" t="str">
        <x:v>Brighton</x:v>
      </x:c>
      <x:c r="D3504" s="4" t="str">
        <x:v>Everton</x:v>
      </x:c>
      <x:c r="E3504" s="4" t="str">
        <x:v>Home</x:v>
      </x:c>
      <x:c r="F3504" s="28" t="n">
        <x:v>1</x:v>
      </x:c>
      <x:c r="G3504" s="28" t="n">
        <x:v>1</x:v>
      </x:c>
      <x:c r="H3504" s="28" t="n">
        <x:v>11</x:v>
      </x:c>
      <x:c r="I3504" s="28" t="n">
        <x:v>7</x:v>
      </x:c>
      <x:c r="J3504" s="28" t="n">
        <x:v>2</x:v>
      </x:c>
      <x:c r="K3504" s="28" t="n">
        <x:v>4</x:v>
      </x:c>
      <x:c r="L3504" s="28" t="n">
        <x:v>5</x:v>
      </x:c>
      <x:c r="M3504" s="28" t="n">
        <x:v>2</x:v>
      </x:c>
      <x:c r="N3504" s="28" t="n">
        <x:v>1</x:v>
      </x:c>
      <x:c r="O3504" s="28" t="n">
        <x:v>0</x:v>
      </x:c>
      <x:c r="P3504" s="28" t="n">
        <x:v>1</x:v>
      </x:c>
      <x:c r="Q3504" s="24" t="n">
        <x:f>IFERROR(J3504/H3504,0)</x:f>
        <x:v>0.18181818181818182</x:v>
      </x:c>
      <x:c r="R3504" s="24" t="n">
        <x:f>IFERROR(F3504/H3504,0)</x:f>
        <x:v>0.09090909090909091</x:v>
      </x:c>
      <x:c r="S3504" s="24" t="n">
        <x:f>IFERROR(F3504/J3504,0)</x:f>
        <x:v>0.5</x:v>
      </x:c>
      <x:c r="T3504" s="28" t="n">
        <x:f>H3504-I3504</x:f>
        <x:v>4</x:v>
      </x:c>
      <x:c r="U3504" s="24" t="n">
        <x:f>IFERROR(J3504/H3504,0)-IFERROR(K3504/I3504,0)</x:f>
        <x:v>-0.3896103896103896</x:v>
      </x:c>
      <x:c r="V3504" s="24" t="n">
        <x:f>IFERROR(F3504/J3504,0)-IFERROR(G3504/K3504,0)</x:f>
        <x:v>0.25</x:v>
      </x:c>
      <x:c r="W3504" s="28" t="n">
        <x:f>L3504-M3504</x:f>
        <x:v>3</x:v>
      </x:c>
      <x:c r="X3504" s="24" t="n">
        <x:f>IFERROR(K3504/I3504,0)</x:f>
        <x:v>0.5714285714285714</x:v>
      </x:c>
      <x:c r="Y3504" s="24" t="n">
        <x:f>IFERROR(G3504/I3504,0)</x:f>
        <x:v>0.14285714285714285</x:v>
      </x:c>
      <x:c r="Z3504" s="24" t="n">
        <x:f>IFERROR(G3504/K3504,0)</x:f>
        <x:v>0.25</x:v>
      </x:c>
      <x:c r="AA3504" s="24" t="n">
        <x:f>IFERROR(F3504/H3504,0)-IFERROR(G3504/I3504,0)</x:f>
        <x:v>-0.05194805194805194</x:v>
      </x:c>
      <x:c r="AB3504" s="28" t="n">
        <x:f>J3504-K3504</x:f>
        <x:v>-2</x:v>
      </x:c>
      <x:c r="AC3504" s="32" t="n">
        <x:f>F3504-G3504</x:f>
        <x:v>0</x:v>
      </x:c>
    </x:row>
    <x:row r="3505">
      <x:c r="A3505" s="4" t="str">
        <x:v>2025-26</x:v>
      </x:c>
      <x:c r="B3505" s="20" t="n">
        <x:v>46053</x:v>
      </x:c>
      <x:c r="C3505" s="4" t="str">
        <x:v>Chelsea</x:v>
      </x:c>
      <x:c r="D3505" s="4" t="str">
        <x:v>West Ham</x:v>
      </x:c>
      <x:c r="E3505" s="4" t="str">
        <x:v>Home</x:v>
      </x:c>
      <x:c r="F3505" s="28" t="n">
        <x:v>3</x:v>
      </x:c>
      <x:c r="G3505" s="28" t="n">
        <x:v>2</x:v>
      </x:c>
      <x:c r="H3505" s="28" t="n">
        <x:v>14</x:v>
      </x:c>
      <x:c r="I3505" s="28" t="n">
        <x:v>11</x:v>
      </x:c>
      <x:c r="J3505" s="28" t="n">
        <x:v>6</x:v>
      </x:c>
      <x:c r="K3505" s="28" t="n">
        <x:v>6</x:v>
      </x:c>
      <x:c r="L3505" s="28" t="n">
        <x:v>9</x:v>
      </x:c>
      <x:c r="M3505" s="28" t="n">
        <x:v>3</x:v>
      </x:c>
      <x:c r="N3505" s="28" t="n">
        <x:v>3</x:v>
      </x:c>
      <x:c r="O3505" s="28" t="n">
        <x:v>0</x:v>
      </x:c>
      <x:c r="P3505" s="28" t="n">
        <x:v>3</x:v>
      </x:c>
      <x:c r="Q3505" s="24" t="n">
        <x:f>IFERROR(J3505/H3505,0)</x:f>
        <x:v>0.42857142857142855</x:v>
      </x:c>
      <x:c r="R3505" s="24" t="n">
        <x:f>IFERROR(F3505/H3505,0)</x:f>
        <x:v>0.21428571428571427</x:v>
      </x:c>
      <x:c r="S3505" s="24" t="n">
        <x:f>IFERROR(F3505/J3505,0)</x:f>
        <x:v>0.5</x:v>
      </x:c>
      <x:c r="T3505" s="28" t="n">
        <x:f>H3505-I3505</x:f>
        <x:v>3</x:v>
      </x:c>
      <x:c r="U3505" s="24" t="n">
        <x:f>IFERROR(J3505/H3505,0)-IFERROR(K3505/I3505,0)</x:f>
        <x:v>-0.11688311688311687</x:v>
      </x:c>
      <x:c r="V3505" s="24" t="n">
        <x:f>IFERROR(F3505/J3505,0)-IFERROR(G3505/K3505,0)</x:f>
        <x:v>0.16666666666666669</x:v>
      </x:c>
      <x:c r="W3505" s="28" t="n">
        <x:f>L3505-M3505</x:f>
        <x:v>6</x:v>
      </x:c>
      <x:c r="X3505" s="24" t="n">
        <x:f>IFERROR(K3505/I3505,0)</x:f>
        <x:v>0.5454545454545454</x:v>
      </x:c>
      <x:c r="Y3505" s="24" t="n">
        <x:f>IFERROR(G3505/I3505,0)</x:f>
        <x:v>0.18181818181818182</x:v>
      </x:c>
      <x:c r="Z3505" s="24" t="n">
        <x:f>IFERROR(G3505/K3505,0)</x:f>
        <x:v>0.3333333333333333</x:v>
      </x:c>
      <x:c r="AA3505" s="24" t="n">
        <x:f>IFERROR(F3505/H3505,0)-IFERROR(G3505/I3505,0)</x:f>
        <x:v>0.03246753246753245</x:v>
      </x:c>
      <x:c r="AB3505" s="28" t="n">
        <x:f>J3505-K3505</x:f>
        <x:v>0</x:v>
      </x:c>
      <x:c r="AC3505" s="32" t="n">
        <x:f>F3505-G3505</x:f>
        <x:v>1</x:v>
      </x:c>
    </x:row>
    <x:row r="3506">
      <x:c r="A3506" s="4" t="str">
        <x:v>2025-26</x:v>
      </x:c>
      <x:c r="B3506" s="20" t="n">
        <x:v>46053</x:v>
      </x:c>
      <x:c r="C3506" s="4" t="str">
        <x:v>Everton</x:v>
      </x:c>
      <x:c r="D3506" s="4" t="str">
        <x:v>Brighton</x:v>
      </x:c>
      <x:c r="E3506" s="4" t="str">
        <x:v>Away</x:v>
      </x:c>
      <x:c r="F3506" s="28" t="n">
        <x:v>1</x:v>
      </x:c>
      <x:c r="G3506" s="28" t="n">
        <x:v>1</x:v>
      </x:c>
      <x:c r="H3506" s="28" t="n">
        <x:v>7</x:v>
      </x:c>
      <x:c r="I3506" s="28" t="n">
        <x:v>11</x:v>
      </x:c>
      <x:c r="J3506" s="28" t="n">
        <x:v>4</x:v>
      </x:c>
      <x:c r="K3506" s="28" t="n">
        <x:v>2</x:v>
      </x:c>
      <x:c r="L3506" s="28" t="n">
        <x:v>2</x:v>
      </x:c>
      <x:c r="M3506" s="28" t="n">
        <x:v>5</x:v>
      </x:c>
      <x:c r="N3506" s="28" t="n">
        <x:v>2</x:v>
      </x:c>
      <x:c r="O3506" s="28" t="n">
        <x:v>0</x:v>
      </x:c>
      <x:c r="P3506" s="28" t="n">
        <x:v>1</x:v>
      </x:c>
      <x:c r="Q3506" s="24" t="n">
        <x:f>IFERROR(J3506/H3506,0)</x:f>
        <x:v>0.5714285714285714</x:v>
      </x:c>
      <x:c r="R3506" s="24" t="n">
        <x:f>IFERROR(F3506/H3506,0)</x:f>
        <x:v>0.14285714285714285</x:v>
      </x:c>
      <x:c r="S3506" s="24" t="n">
        <x:f>IFERROR(F3506/J3506,0)</x:f>
        <x:v>0.25</x:v>
      </x:c>
      <x:c r="T3506" s="28" t="n">
        <x:f>H3506-I3506</x:f>
        <x:v>-4</x:v>
      </x:c>
      <x:c r="U3506" s="24" t="n">
        <x:f>IFERROR(J3506/H3506,0)-IFERROR(K3506/I3506,0)</x:f>
        <x:v>0.3896103896103896</x:v>
      </x:c>
      <x:c r="V3506" s="24" t="n">
        <x:f>IFERROR(F3506/J3506,0)-IFERROR(G3506/K3506,0)</x:f>
        <x:v>-0.25</x:v>
      </x:c>
      <x:c r="W3506" s="28" t="n">
        <x:f>L3506-M3506</x:f>
        <x:v>-3</x:v>
      </x:c>
      <x:c r="X3506" s="24" t="n">
        <x:f>IFERROR(K3506/I3506,0)</x:f>
        <x:v>0.18181818181818182</x:v>
      </x:c>
      <x:c r="Y3506" s="24" t="n">
        <x:f>IFERROR(G3506/I3506,0)</x:f>
        <x:v>0.09090909090909091</x:v>
      </x:c>
      <x:c r="Z3506" s="24" t="n">
        <x:f>IFERROR(G3506/K3506,0)</x:f>
        <x:v>0.5</x:v>
      </x:c>
      <x:c r="AA3506" s="24" t="n">
        <x:f>IFERROR(F3506/H3506,0)-IFERROR(G3506/I3506,0)</x:f>
        <x:v>0.05194805194805194</x:v>
      </x:c>
      <x:c r="AB3506" s="28" t="n">
        <x:f>J3506-K3506</x:f>
        <x:v>2</x:v>
      </x:c>
      <x:c r="AC3506" s="32" t="n">
        <x:f>F3506-G3506</x:f>
        <x:v>0</x:v>
      </x:c>
    </x:row>
    <x:row r="3507">
      <x:c r="A3507" s="4" t="str">
        <x:v>2025-26</x:v>
      </x:c>
      <x:c r="B3507" s="20" t="n">
        <x:v>46053</x:v>
      </x:c>
      <x:c r="C3507" s="4" t="str">
        <x:v>Leeds</x:v>
      </x:c>
      <x:c r="D3507" s="4" t="str">
        <x:v>Arsenal</x:v>
      </x:c>
      <x:c r="E3507" s="4" t="str">
        <x:v>Home</x:v>
      </x:c>
      <x:c r="F3507" s="28" t="n">
        <x:v>0</x:v>
      </x:c>
      <x:c r="G3507" s="28" t="n">
        <x:v>4</x:v>
      </x:c>
      <x:c r="H3507" s="28" t="n">
        <x:v>3</x:v>
      </x:c>
      <x:c r="I3507" s="28" t="n">
        <x:v>14</x:v>
      </x:c>
      <x:c r="J3507" s="28" t="n">
        <x:v>1</x:v>
      </x:c>
      <x:c r="K3507" s="28" t="n">
        <x:v>8</x:v>
      </x:c>
      <x:c r="L3507" s="28" t="n">
        <x:v>4</x:v>
      </x:c>
      <x:c r="M3507" s="28" t="n">
        <x:v>12</x:v>
      </x:c>
      <x:c r="N3507" s="28" t="n">
        <x:v>1</x:v>
      </x:c>
      <x:c r="O3507" s="28" t="n">
        <x:v>0</x:v>
      </x:c>
      <x:c r="P3507" s="28" t="n">
        <x:v>0</x:v>
      </x:c>
      <x:c r="Q3507" s="24" t="n">
        <x:f>IFERROR(J3507/H3507,0)</x:f>
        <x:v>0.3333333333333333</x:v>
      </x:c>
      <x:c r="R3507" s="24" t="n">
        <x:f>IFERROR(F3507/H3507,0)</x:f>
        <x:v>0</x:v>
      </x:c>
      <x:c r="S3507" s="24" t="n">
        <x:f>IFERROR(F3507/J3507,0)</x:f>
        <x:v>0</x:v>
      </x:c>
      <x:c r="T3507" s="28" t="n">
        <x:f>H3507-I3507</x:f>
        <x:v>-11</x:v>
      </x:c>
      <x:c r="U3507" s="24" t="n">
        <x:f>IFERROR(J3507/H3507,0)-IFERROR(K3507/I3507,0)</x:f>
        <x:v>-0.23809523809523808</x:v>
      </x:c>
      <x:c r="V3507" s="24" t="n">
        <x:f>IFERROR(F3507/J3507,0)-IFERROR(G3507/K3507,0)</x:f>
        <x:v>-0.5</x:v>
      </x:c>
      <x:c r="W3507" s="28" t="n">
        <x:f>L3507-M3507</x:f>
        <x:v>-8</x:v>
      </x:c>
      <x:c r="X3507" s="24" t="n">
        <x:f>IFERROR(K3507/I3507,0)</x:f>
        <x:v>0.5714285714285714</x:v>
      </x:c>
      <x:c r="Y3507" s="24" t="n">
        <x:f>IFERROR(G3507/I3507,0)</x:f>
        <x:v>0.2857142857142857</x:v>
      </x:c>
      <x:c r="Z3507" s="24" t="n">
        <x:f>IFERROR(G3507/K3507,0)</x:f>
        <x:v>0.5</x:v>
      </x:c>
      <x:c r="AA3507" s="24" t="n">
        <x:f>IFERROR(F3507/H3507,0)-IFERROR(G3507/I3507,0)</x:f>
        <x:v>-0.2857142857142857</x:v>
      </x:c>
      <x:c r="AB3507" s="28" t="n">
        <x:f>J3507-K3507</x:f>
        <x:v>-7</x:v>
      </x:c>
      <x:c r="AC3507" s="32" t="n">
        <x:f>F3507-G3507</x:f>
        <x:v>-4</x:v>
      </x:c>
    </x:row>
    <x:row r="3508">
      <x:c r="A3508" s="4" t="str">
        <x:v>2025-26</x:v>
      </x:c>
      <x:c r="B3508" s="20" t="n">
        <x:v>46053</x:v>
      </x:c>
      <x:c r="C3508" s="4" t="str">
        <x:v>Liverpool</x:v>
      </x:c>
      <x:c r="D3508" s="4" t="str">
        <x:v>Newcastle</x:v>
      </x:c>
      <x:c r="E3508" s="4" t="str">
        <x:v>Home</x:v>
      </x:c>
      <x:c r="F3508" s="28" t="n">
        <x:v>4</x:v>
      </x:c>
      <x:c r="G3508" s="28" t="n">
        <x:v>1</x:v>
      </x:c>
      <x:c r="H3508" s="28" t="n">
        <x:v>17</x:v>
      </x:c>
      <x:c r="I3508" s="28" t="n">
        <x:v>8</x:v>
      </x:c>
      <x:c r="J3508" s="28" t="n">
        <x:v>7</x:v>
      </x:c>
      <x:c r="K3508" s="28" t="n">
        <x:v>2</x:v>
      </x:c>
      <x:c r="L3508" s="28" t="n">
        <x:v>7</x:v>
      </x:c>
      <x:c r="M3508" s="28" t="n">
        <x:v>11</x:v>
      </x:c>
      <x:c r="N3508" s="28" t="n">
        <x:v>1</x:v>
      </x:c>
      <x:c r="O3508" s="28" t="n">
        <x:v>0</x:v>
      </x:c>
      <x:c r="P3508" s="28" t="n">
        <x:v>3</x:v>
      </x:c>
      <x:c r="Q3508" s="24" t="n">
        <x:f>IFERROR(J3508/H3508,0)</x:f>
        <x:v>0.4117647058823529</x:v>
      </x:c>
      <x:c r="R3508" s="24" t="n">
        <x:f>IFERROR(F3508/H3508,0)</x:f>
        <x:v>0.23529411764705882</x:v>
      </x:c>
      <x:c r="S3508" s="24" t="n">
        <x:f>IFERROR(F3508/J3508,0)</x:f>
        <x:v>0.5714285714285714</x:v>
      </x:c>
      <x:c r="T3508" s="28" t="n">
        <x:f>H3508-I3508</x:f>
        <x:v>9</x:v>
      </x:c>
      <x:c r="U3508" s="24" t="n">
        <x:f>IFERROR(J3508/H3508,0)-IFERROR(K3508/I3508,0)</x:f>
        <x:v>0.16176470588235292</x:v>
      </x:c>
      <x:c r="V3508" s="24" t="n">
        <x:f>IFERROR(F3508/J3508,0)-IFERROR(G3508/K3508,0)</x:f>
        <x:v>0.0714285714285714</x:v>
      </x:c>
      <x:c r="W3508" s="28" t="n">
        <x:f>L3508-M3508</x:f>
        <x:v>-4</x:v>
      </x:c>
      <x:c r="X3508" s="24" t="n">
        <x:f>IFERROR(K3508/I3508,0)</x:f>
        <x:v>0.25</x:v>
      </x:c>
      <x:c r="Y3508" s="24" t="n">
        <x:f>IFERROR(G3508/I3508,0)</x:f>
        <x:v>0.125</x:v>
      </x:c>
      <x:c r="Z3508" s="24" t="n">
        <x:f>IFERROR(G3508/K3508,0)</x:f>
        <x:v>0.5</x:v>
      </x:c>
      <x:c r="AA3508" s="24" t="n">
        <x:f>IFERROR(F3508/H3508,0)-IFERROR(G3508/I3508,0)</x:f>
        <x:v>0.11029411764705882</x:v>
      </x:c>
      <x:c r="AB3508" s="28" t="n">
        <x:f>J3508-K3508</x:f>
        <x:v>5</x:v>
      </x:c>
      <x:c r="AC3508" s="32" t="n">
        <x:f>F3508-G3508</x:f>
        <x:v>3</x:v>
      </x:c>
    </x:row>
    <x:row r="3509">
      <x:c r="A3509" s="4" t="str">
        <x:v>2025-26</x:v>
      </x:c>
      <x:c r="B3509" s="20" t="n">
        <x:v>46053</x:v>
      </x:c>
      <x:c r="C3509" s="4" t="str">
        <x:v>Newcastle</x:v>
      </x:c>
      <x:c r="D3509" s="4" t="str">
        <x:v>Liverpool</x:v>
      </x:c>
      <x:c r="E3509" s="4" t="str">
        <x:v>Away</x:v>
      </x:c>
      <x:c r="F3509" s="28" t="n">
        <x:v>1</x:v>
      </x:c>
      <x:c r="G3509" s="28" t="n">
        <x:v>4</x:v>
      </x:c>
      <x:c r="H3509" s="28" t="n">
        <x:v>8</x:v>
      </x:c>
      <x:c r="I3509" s="28" t="n">
        <x:v>17</x:v>
      </x:c>
      <x:c r="J3509" s="28" t="n">
        <x:v>2</x:v>
      </x:c>
      <x:c r="K3509" s="28" t="n">
        <x:v>7</x:v>
      </x:c>
      <x:c r="L3509" s="28" t="n">
        <x:v>11</x:v>
      </x:c>
      <x:c r="M3509" s="28" t="n">
        <x:v>7</x:v>
      </x:c>
      <x:c r="N3509" s="28" t="n">
        <x:v>3</x:v>
      </x:c>
      <x:c r="O3509" s="28" t="n">
        <x:v>0</x:v>
      </x:c>
      <x:c r="P3509" s="28" t="n">
        <x:v>0</x:v>
      </x:c>
      <x:c r="Q3509" s="24" t="n">
        <x:f>IFERROR(J3509/H3509,0)</x:f>
        <x:v>0.25</x:v>
      </x:c>
      <x:c r="R3509" s="24" t="n">
        <x:f>IFERROR(F3509/H3509,0)</x:f>
        <x:v>0.125</x:v>
      </x:c>
      <x:c r="S3509" s="24" t="n">
        <x:f>IFERROR(F3509/J3509,0)</x:f>
        <x:v>0.5</x:v>
      </x:c>
      <x:c r="T3509" s="28" t="n">
        <x:f>H3509-I3509</x:f>
        <x:v>-9</x:v>
      </x:c>
      <x:c r="U3509" s="24" t="n">
        <x:f>IFERROR(J3509/H3509,0)-IFERROR(K3509/I3509,0)</x:f>
        <x:v>-0.16176470588235292</x:v>
      </x:c>
      <x:c r="V3509" s="24" t="n">
        <x:f>IFERROR(F3509/J3509,0)-IFERROR(G3509/K3509,0)</x:f>
        <x:v>-0.0714285714285714</x:v>
      </x:c>
      <x:c r="W3509" s="28" t="n">
        <x:f>L3509-M3509</x:f>
        <x:v>4</x:v>
      </x:c>
      <x:c r="X3509" s="24" t="n">
        <x:f>IFERROR(K3509/I3509,0)</x:f>
        <x:v>0.4117647058823529</x:v>
      </x:c>
      <x:c r="Y3509" s="24" t="n">
        <x:f>IFERROR(G3509/I3509,0)</x:f>
        <x:v>0.23529411764705882</x:v>
      </x:c>
      <x:c r="Z3509" s="24" t="n">
        <x:f>IFERROR(G3509/K3509,0)</x:f>
        <x:v>0.5714285714285714</x:v>
      </x:c>
      <x:c r="AA3509" s="24" t="n">
        <x:f>IFERROR(F3509/H3509,0)-IFERROR(G3509/I3509,0)</x:f>
        <x:v>-0.11029411764705882</x:v>
      </x:c>
      <x:c r="AB3509" s="28" t="n">
        <x:f>J3509-K3509</x:f>
        <x:v>-5</x:v>
      </x:c>
      <x:c r="AC3509" s="32" t="n">
        <x:f>F3509-G3509</x:f>
        <x:v>-3</x:v>
      </x:c>
    </x:row>
    <x:row r="3510">
      <x:c r="A3510" s="4" t="str">
        <x:v>2025-26</x:v>
      </x:c>
      <x:c r="B3510" s="20" t="n">
        <x:v>46053</x:v>
      </x:c>
      <x:c r="C3510" s="4" t="str">
        <x:v>West Ham</x:v>
      </x:c>
      <x:c r="D3510" s="4" t="str">
        <x:v>Chelsea</x:v>
      </x:c>
      <x:c r="E3510" s="4" t="str">
        <x:v>Away</x:v>
      </x:c>
      <x:c r="F3510" s="28" t="n">
        <x:v>2</x:v>
      </x:c>
      <x:c r="G3510" s="28" t="n">
        <x:v>3</x:v>
      </x:c>
      <x:c r="H3510" s="28" t="n">
        <x:v>11</x:v>
      </x:c>
      <x:c r="I3510" s="28" t="n">
        <x:v>14</x:v>
      </x:c>
      <x:c r="J3510" s="28" t="n">
        <x:v>6</x:v>
      </x:c>
      <x:c r="K3510" s="28" t="n">
        <x:v>6</x:v>
      </x:c>
      <x:c r="L3510" s="28" t="n">
        <x:v>3</x:v>
      </x:c>
      <x:c r="M3510" s="28" t="n">
        <x:v>9</x:v>
      </x:c>
      <x:c r="N3510" s="28" t="n">
        <x:v>2</x:v>
      </x:c>
      <x:c r="O3510" s="28" t="n">
        <x:v>1</x:v>
      </x:c>
      <x:c r="P3510" s="28" t="n">
        <x:v>0</x:v>
      </x:c>
      <x:c r="Q3510" s="24" t="n">
        <x:f>IFERROR(J3510/H3510,0)</x:f>
        <x:v>0.5454545454545454</x:v>
      </x:c>
      <x:c r="R3510" s="24" t="n">
        <x:f>IFERROR(F3510/H3510,0)</x:f>
        <x:v>0.18181818181818182</x:v>
      </x:c>
      <x:c r="S3510" s="24" t="n">
        <x:f>IFERROR(F3510/J3510,0)</x:f>
        <x:v>0.3333333333333333</x:v>
      </x:c>
      <x:c r="T3510" s="28" t="n">
        <x:f>H3510-I3510</x:f>
        <x:v>-3</x:v>
      </x:c>
      <x:c r="U3510" s="24" t="n">
        <x:f>IFERROR(J3510/H3510,0)-IFERROR(K3510/I3510,0)</x:f>
        <x:v>0.11688311688311687</x:v>
      </x:c>
      <x:c r="V3510" s="24" t="n">
        <x:f>IFERROR(F3510/J3510,0)-IFERROR(G3510/K3510,0)</x:f>
        <x:v>-0.16666666666666669</x:v>
      </x:c>
      <x:c r="W3510" s="28" t="n">
        <x:f>L3510-M3510</x:f>
        <x:v>-6</x:v>
      </x:c>
      <x:c r="X3510" s="24" t="n">
        <x:f>IFERROR(K3510/I3510,0)</x:f>
        <x:v>0.42857142857142855</x:v>
      </x:c>
      <x:c r="Y3510" s="24" t="n">
        <x:f>IFERROR(G3510/I3510,0)</x:f>
        <x:v>0.21428571428571427</x:v>
      </x:c>
      <x:c r="Z3510" s="24" t="n">
        <x:f>IFERROR(G3510/K3510,0)</x:f>
        <x:v>0.5</x:v>
      </x:c>
      <x:c r="AA3510" s="24" t="n">
        <x:f>IFERROR(F3510/H3510,0)-IFERROR(G3510/I3510,0)</x:f>
        <x:v>-0.03246753246753245</x:v>
      </x:c>
      <x:c r="AB3510" s="28" t="n">
        <x:f>J3510-K3510</x:f>
        <x:v>0</x:v>
      </x:c>
      <x:c r="AC3510" s="32" t="n">
        <x:f>F3510-G3510</x:f>
        <x:v>-1</x:v>
      </x:c>
    </x:row>
    <x:row r="3511">
      <x:c r="A3511" s="4" t="str">
        <x:v>2025-26</x:v>
      </x:c>
      <x:c r="B3511" s="20" t="n">
        <x:v>46053</x:v>
      </x:c>
      <x:c r="C3511" s="4" t="str">
        <x:v>Wolves</x:v>
      </x:c>
      <x:c r="D3511" s="4" t="str">
        <x:v>Bournemouth</x:v>
      </x:c>
      <x:c r="E3511" s="4" t="str">
        <x:v>Home</x:v>
      </x:c>
      <x:c r="F3511" s="28" t="n">
        <x:v>0</x:v>
      </x:c>
      <x:c r="G3511" s="28" t="n">
        <x:v>2</x:v>
      </x:c>
      <x:c r="H3511" s="28" t="n">
        <x:v>17</x:v>
      </x:c>
      <x:c r="I3511" s="28" t="n">
        <x:v>9</x:v>
      </x:c>
      <x:c r="J3511" s="28" t="n">
        <x:v>7</x:v>
      </x:c>
      <x:c r="K3511" s="28" t="n">
        <x:v>4</x:v>
      </x:c>
      <x:c r="L3511" s="28" t="n">
        <x:v>5</x:v>
      </x:c>
      <x:c r="M3511" s="28" t="n">
        <x:v>6</x:v>
      </x:c>
      <x:c r="N3511" s="28" t="n">
        <x:v>3</x:v>
      </x:c>
      <x:c r="O3511" s="28" t="n">
        <x:v>0</x:v>
      </x:c>
      <x:c r="P3511" s="28" t="n">
        <x:v>0</x:v>
      </x:c>
      <x:c r="Q3511" s="24" t="n">
        <x:f>IFERROR(J3511/H3511,0)</x:f>
        <x:v>0.4117647058823529</x:v>
      </x:c>
      <x:c r="R3511" s="24" t="n">
        <x:f>IFERROR(F3511/H3511,0)</x:f>
        <x:v>0</x:v>
      </x:c>
      <x:c r="S3511" s="24" t="n">
        <x:f>IFERROR(F3511/J3511,0)</x:f>
        <x:v>0</x:v>
      </x:c>
      <x:c r="T3511" s="28" t="n">
        <x:f>H3511-I3511</x:f>
        <x:v>8</x:v>
      </x:c>
      <x:c r="U3511" s="24" t="n">
        <x:f>IFERROR(J3511/H3511,0)-IFERROR(K3511/I3511,0)</x:f>
        <x:v>-0.0326797385620915</x:v>
      </x:c>
      <x:c r="V3511" s="24" t="n">
        <x:f>IFERROR(F3511/J3511,0)-IFERROR(G3511/K3511,0)</x:f>
        <x:v>-0.5</x:v>
      </x:c>
      <x:c r="W3511" s="28" t="n">
        <x:f>L3511-M3511</x:f>
        <x:v>-1</x:v>
      </x:c>
      <x:c r="X3511" s="24" t="n">
        <x:f>IFERROR(K3511/I3511,0)</x:f>
        <x:v>0.4444444444444444</x:v>
      </x:c>
      <x:c r="Y3511" s="24" t="n">
        <x:f>IFERROR(G3511/I3511,0)</x:f>
        <x:v>0.2222222222222222</x:v>
      </x:c>
      <x:c r="Z3511" s="24" t="n">
        <x:f>IFERROR(G3511/K3511,0)</x:f>
        <x:v>0.5</x:v>
      </x:c>
      <x:c r="AA3511" s="24" t="n">
        <x:f>IFERROR(F3511/H3511,0)-IFERROR(G3511/I3511,0)</x:f>
        <x:v>-0.2222222222222222</x:v>
      </x:c>
      <x:c r="AB3511" s="28" t="n">
        <x:f>J3511-K3511</x:f>
        <x:v>3</x:v>
      </x:c>
      <x:c r="AC3511" s="32" t="n">
        <x:f>F3511-G3511</x:f>
        <x:v>-2</x:v>
      </x:c>
    </x:row>
    <x:row r="3512">
      <x:c r="A3512" s="4" t="str">
        <x:v>2025-26</x:v>
      </x:c>
      <x:c r="B3512" s="20" t="n">
        <x:v>46054</x:v>
      </x:c>
      <x:c r="C3512" s="4" t="str">
        <x:v>Aston Villa</x:v>
      </x:c>
      <x:c r="D3512" s="4" t="str">
        <x:v>Brentford</x:v>
      </x:c>
      <x:c r="E3512" s="4" t="str">
        <x:v>Home</x:v>
      </x:c>
      <x:c r="F3512" s="28" t="n">
        <x:v>0</x:v>
      </x:c>
      <x:c r="G3512" s="28" t="n">
        <x:v>1</x:v>
      </x:c>
      <x:c r="H3512" s="28" t="n">
        <x:v>27</x:v>
      </x:c>
      <x:c r="I3512" s="28" t="n">
        <x:v>6</x:v>
      </x:c>
      <x:c r="J3512" s="28" t="n">
        <x:v>5</x:v>
      </x:c>
      <x:c r="K3512" s="28" t="n">
        <x:v>2</x:v>
      </x:c>
      <x:c r="L3512" s="28" t="n">
        <x:v>12</x:v>
      </x:c>
      <x:c r="M3512" s="28" t="n">
        <x:v>1</x:v>
      </x:c>
      <x:c r="N3512" s="28" t="n">
        <x:v>0</x:v>
      </x:c>
      <x:c r="O3512" s="28" t="n">
        <x:v>0</x:v>
      </x:c>
      <x:c r="P3512" s="28" t="n">
        <x:v>0</x:v>
      </x:c>
      <x:c r="Q3512" s="24" t="n">
        <x:f>IFERROR(J3512/H3512,0)</x:f>
        <x:v>0.18518518518518517</x:v>
      </x:c>
      <x:c r="R3512" s="24" t="n">
        <x:f>IFERROR(F3512/H3512,0)</x:f>
        <x:v>0</x:v>
      </x:c>
      <x:c r="S3512" s="24" t="n">
        <x:f>IFERROR(F3512/J3512,0)</x:f>
        <x:v>0</x:v>
      </x:c>
      <x:c r="T3512" s="28" t="n">
        <x:f>H3512-I3512</x:f>
        <x:v>21</x:v>
      </x:c>
      <x:c r="U3512" s="24" t="n">
        <x:f>IFERROR(J3512/H3512,0)-IFERROR(K3512/I3512,0)</x:f>
        <x:v>-0.14814814814814814</x:v>
      </x:c>
      <x:c r="V3512" s="24" t="n">
        <x:f>IFERROR(F3512/J3512,0)-IFERROR(G3512/K3512,0)</x:f>
        <x:v>-0.5</x:v>
      </x:c>
      <x:c r="W3512" s="28" t="n">
        <x:f>L3512-M3512</x:f>
        <x:v>11</x:v>
      </x:c>
      <x:c r="X3512" s="24" t="n">
        <x:f>IFERROR(K3512/I3512,0)</x:f>
        <x:v>0.3333333333333333</x:v>
      </x:c>
      <x:c r="Y3512" s="24" t="n">
        <x:f>IFERROR(G3512/I3512,0)</x:f>
        <x:v>0.16666666666666666</x:v>
      </x:c>
      <x:c r="Z3512" s="24" t="n">
        <x:f>IFERROR(G3512/K3512,0)</x:f>
        <x:v>0.5</x:v>
      </x:c>
      <x:c r="AA3512" s="24" t="n">
        <x:f>IFERROR(F3512/H3512,0)-IFERROR(G3512/I3512,0)</x:f>
        <x:v>-0.16666666666666666</x:v>
      </x:c>
      <x:c r="AB3512" s="28" t="n">
        <x:f>J3512-K3512</x:f>
        <x:v>3</x:v>
      </x:c>
      <x:c r="AC3512" s="32" t="n">
        <x:f>F3512-G3512</x:f>
        <x:v>-1</x:v>
      </x:c>
    </x:row>
    <x:row r="3513">
      <x:c r="A3513" s="4" t="str">
        <x:v>2025-26</x:v>
      </x:c>
      <x:c r="B3513" s="20" t="n">
        <x:v>46054</x:v>
      </x:c>
      <x:c r="C3513" s="4" t="str">
        <x:v>Brentford</x:v>
      </x:c>
      <x:c r="D3513" s="4" t="str">
        <x:v>Aston Villa</x:v>
      </x:c>
      <x:c r="E3513" s="4" t="str">
        <x:v>Away</x:v>
      </x:c>
      <x:c r="F3513" s="28" t="n">
        <x:v>1</x:v>
      </x:c>
      <x:c r="G3513" s="28" t="n">
        <x:v>0</x:v>
      </x:c>
      <x:c r="H3513" s="28" t="n">
        <x:v>6</x:v>
      </x:c>
      <x:c r="I3513" s="28" t="n">
        <x:v>27</x:v>
      </x:c>
      <x:c r="J3513" s="28" t="n">
        <x:v>2</x:v>
      </x:c>
      <x:c r="K3513" s="28" t="n">
        <x:v>5</x:v>
      </x:c>
      <x:c r="L3513" s="28" t="n">
        <x:v>1</x:v>
      </x:c>
      <x:c r="M3513" s="28" t="n">
        <x:v>12</x:v>
      </x:c>
      <x:c r="N3513" s="28" t="n">
        <x:v>3</x:v>
      </x:c>
      <x:c r="O3513" s="28" t="n">
        <x:v>0</x:v>
      </x:c>
      <x:c r="P3513" s="28" t="n">
        <x:v>3</x:v>
      </x:c>
      <x:c r="Q3513" s="24" t="n">
        <x:f>IFERROR(J3513/H3513,0)</x:f>
        <x:v>0.3333333333333333</x:v>
      </x:c>
      <x:c r="R3513" s="24" t="n">
        <x:f>IFERROR(F3513/H3513,0)</x:f>
        <x:v>0.16666666666666666</x:v>
      </x:c>
      <x:c r="S3513" s="24" t="n">
        <x:f>IFERROR(F3513/J3513,0)</x:f>
        <x:v>0.5</x:v>
      </x:c>
      <x:c r="T3513" s="28" t="n">
        <x:f>H3513-I3513</x:f>
        <x:v>-21</x:v>
      </x:c>
      <x:c r="U3513" s="24" t="n">
        <x:f>IFERROR(J3513/H3513,0)-IFERROR(K3513/I3513,0)</x:f>
        <x:v>0.14814814814814814</x:v>
      </x:c>
      <x:c r="V3513" s="24" t="n">
        <x:f>IFERROR(F3513/J3513,0)-IFERROR(G3513/K3513,0)</x:f>
        <x:v>0.5</x:v>
      </x:c>
      <x:c r="W3513" s="28" t="n">
        <x:f>L3513-M3513</x:f>
        <x:v>-11</x:v>
      </x:c>
      <x:c r="X3513" s="24" t="n">
        <x:f>IFERROR(K3513/I3513,0)</x:f>
        <x:v>0.18518518518518517</x:v>
      </x:c>
      <x:c r="Y3513" s="24" t="n">
        <x:f>IFERROR(G3513/I3513,0)</x:f>
        <x:v>0</x:v>
      </x:c>
      <x:c r="Z3513" s="24" t="n">
        <x:f>IFERROR(G3513/K3513,0)</x:f>
        <x:v>0</x:v>
      </x:c>
      <x:c r="AA3513" s="24" t="n">
        <x:f>IFERROR(F3513/H3513,0)-IFERROR(G3513/I3513,0)</x:f>
        <x:v>0.16666666666666666</x:v>
      </x:c>
      <x:c r="AB3513" s="28" t="n">
        <x:f>J3513-K3513</x:f>
        <x:v>-3</x:v>
      </x:c>
      <x:c r="AC3513" s="32" t="n">
        <x:f>F3513-G3513</x:f>
        <x:v>1</x:v>
      </x:c>
    </x:row>
    <x:row r="3514">
      <x:c r="A3514" s="4" t="str">
        <x:v>2025-26</x:v>
      </x:c>
      <x:c r="B3514" s="20" t="n">
        <x:v>46054</x:v>
      </x:c>
      <x:c r="C3514" s="4" t="str">
        <x:v>Crystal Palace</x:v>
      </x:c>
      <x:c r="D3514" s="4" t="str">
        <x:v>Nott'm Forest</x:v>
      </x:c>
      <x:c r="E3514" s="4" t="str">
        <x:v>Away</x:v>
      </x:c>
      <x:c r="F3514" s="28" t="n">
        <x:v>1</x:v>
      </x:c>
      <x:c r="G3514" s="28" t="n">
        <x:v>1</x:v>
      </x:c>
      <x:c r="H3514" s="28" t="n">
        <x:v>14</x:v>
      </x:c>
      <x:c r="I3514" s="28" t="n">
        <x:v>9</x:v>
      </x:c>
      <x:c r="J3514" s="28" t="n">
        <x:v>3</x:v>
      </x:c>
      <x:c r="K3514" s="28" t="n">
        <x:v>1</x:v>
      </x:c>
      <x:c r="L3514" s="28" t="n">
        <x:v>7</x:v>
      </x:c>
      <x:c r="M3514" s="28" t="n">
        <x:v>5</x:v>
      </x:c>
      <x:c r="N3514" s="28" t="n">
        <x:v>3</x:v>
      </x:c>
      <x:c r="O3514" s="28" t="n">
        <x:v>0</x:v>
      </x:c>
      <x:c r="P3514" s="28" t="n">
        <x:v>1</x:v>
      </x:c>
      <x:c r="Q3514" s="24" t="n">
        <x:f>IFERROR(J3514/H3514,0)</x:f>
        <x:v>0.21428571428571427</x:v>
      </x:c>
      <x:c r="R3514" s="24" t="n">
        <x:f>IFERROR(F3514/H3514,0)</x:f>
        <x:v>0.07142857142857142</x:v>
      </x:c>
      <x:c r="S3514" s="24" t="n">
        <x:f>IFERROR(F3514/J3514,0)</x:f>
        <x:v>0.3333333333333333</x:v>
      </x:c>
      <x:c r="T3514" s="28" t="n">
        <x:f>H3514-I3514</x:f>
        <x:v>5</x:v>
      </x:c>
      <x:c r="U3514" s="24" t="n">
        <x:f>IFERROR(J3514/H3514,0)-IFERROR(K3514/I3514,0)</x:f>
        <x:v>0.10317460317460317</x:v>
      </x:c>
      <x:c r="V3514" s="24" t="n">
        <x:f>IFERROR(F3514/J3514,0)-IFERROR(G3514/K3514,0)</x:f>
        <x:v>-0.6666666666666667</x:v>
      </x:c>
      <x:c r="W3514" s="28" t="n">
        <x:f>L3514-M3514</x:f>
        <x:v>2</x:v>
      </x:c>
      <x:c r="X3514" s="24" t="n">
        <x:f>IFERROR(K3514/I3514,0)</x:f>
        <x:v>0.1111111111111111</x:v>
      </x:c>
      <x:c r="Y3514" s="24" t="n">
        <x:f>IFERROR(G3514/I3514,0)</x:f>
        <x:v>0.1111111111111111</x:v>
      </x:c>
      <x:c r="Z3514" s="24" t="n">
        <x:f>IFERROR(G3514/K3514,0)</x:f>
        <x:v>1</x:v>
      </x:c>
      <x:c r="AA3514" s="24" t="n">
        <x:f>IFERROR(F3514/H3514,0)-IFERROR(G3514/I3514,0)</x:f>
        <x:v>-0.03968253968253968</x:v>
      </x:c>
      <x:c r="AB3514" s="28" t="n">
        <x:f>J3514-K3514</x:f>
        <x:v>2</x:v>
      </x:c>
      <x:c r="AC3514" s="32" t="n">
        <x:f>F3514-G3514</x:f>
        <x:v>0</x:v>
      </x:c>
    </x:row>
    <x:row r="3515">
      <x:c r="A3515" s="4" t="str">
        <x:v>2025-26</x:v>
      </x:c>
      <x:c r="B3515" s="20" t="n">
        <x:v>46054</x:v>
      </x:c>
      <x:c r="C3515" s="4" t="str">
        <x:v>Fulham</x:v>
      </x:c>
      <x:c r="D3515" s="4" t="str">
        <x:v>Man United</x:v>
      </x:c>
      <x:c r="E3515" s="4" t="str">
        <x:v>Away</x:v>
      </x:c>
      <x:c r="F3515" s="28" t="n">
        <x:v>2</x:v>
      </x:c>
      <x:c r="G3515" s="28" t="n">
        <x:v>3</x:v>
      </x:c>
      <x:c r="H3515" s="28" t="n">
        <x:v>14</x:v>
      </x:c>
      <x:c r="I3515" s="28" t="n">
        <x:v>13</x:v>
      </x:c>
      <x:c r="J3515" s="28" t="n">
        <x:v>6</x:v>
      </x:c>
      <x:c r="K3515" s="28" t="n">
        <x:v>6</x:v>
      </x:c>
      <x:c r="L3515" s="28" t="n">
        <x:v>7</x:v>
      </x:c>
      <x:c r="M3515" s="28" t="n">
        <x:v>3</x:v>
      </x:c>
      <x:c r="N3515" s="28" t="n">
        <x:v>1</x:v>
      </x:c>
      <x:c r="O3515" s="28" t="n">
        <x:v>0</x:v>
      </x:c>
      <x:c r="P3515" s="28" t="n">
        <x:v>0</x:v>
      </x:c>
      <x:c r="Q3515" s="24" t="n">
        <x:f>IFERROR(J3515/H3515,0)</x:f>
        <x:v>0.42857142857142855</x:v>
      </x:c>
      <x:c r="R3515" s="24" t="n">
        <x:f>IFERROR(F3515/H3515,0)</x:f>
        <x:v>0.14285714285714285</x:v>
      </x:c>
      <x:c r="S3515" s="24" t="n">
        <x:f>IFERROR(F3515/J3515,0)</x:f>
        <x:v>0.3333333333333333</x:v>
      </x:c>
      <x:c r="T3515" s="28" t="n">
        <x:f>H3515-I3515</x:f>
        <x:v>1</x:v>
      </x:c>
      <x:c r="U3515" s="24" t="n">
        <x:f>IFERROR(J3515/H3515,0)-IFERROR(K3515/I3515,0)</x:f>
        <x:v>-0.032967032967033016</x:v>
      </x:c>
      <x:c r="V3515" s="24" t="n">
        <x:f>IFERROR(F3515/J3515,0)-IFERROR(G3515/K3515,0)</x:f>
        <x:v>-0.16666666666666669</x:v>
      </x:c>
      <x:c r="W3515" s="28" t="n">
        <x:f>L3515-M3515</x:f>
        <x:v>4</x:v>
      </x:c>
      <x:c r="X3515" s="24" t="n">
        <x:f>IFERROR(K3515/I3515,0)</x:f>
        <x:v>0.46153846153846156</x:v>
      </x:c>
      <x:c r="Y3515" s="24" t="n">
        <x:f>IFERROR(G3515/I3515,0)</x:f>
        <x:v>0.23076923076923078</x:v>
      </x:c>
      <x:c r="Z3515" s="24" t="n">
        <x:f>IFERROR(G3515/K3515,0)</x:f>
        <x:v>0.5</x:v>
      </x:c>
      <x:c r="AA3515" s="24" t="n">
        <x:f>IFERROR(F3515/H3515,0)-IFERROR(G3515/I3515,0)</x:f>
        <x:v>-0.08791208791208793</x:v>
      </x:c>
      <x:c r="AB3515" s="28" t="n">
        <x:f>J3515-K3515</x:f>
        <x:v>0</x:v>
      </x:c>
      <x:c r="AC3515" s="32" t="n">
        <x:f>F3515-G3515</x:f>
        <x:v>-1</x:v>
      </x:c>
    </x:row>
    <x:row r="3516">
      <x:c r="A3516" s="4" t="str">
        <x:v>2025-26</x:v>
      </x:c>
      <x:c r="B3516" s="20" t="n">
        <x:v>46054</x:v>
      </x:c>
      <x:c r="C3516" s="4" t="str">
        <x:v>Man City</x:v>
      </x:c>
      <x:c r="D3516" s="4" t="str">
        <x:v>Tottenham</x:v>
      </x:c>
      <x:c r="E3516" s="4" t="str">
        <x:v>Away</x:v>
      </x:c>
      <x:c r="F3516" s="28" t="n">
        <x:v>2</x:v>
      </x:c>
      <x:c r="G3516" s="28" t="n">
        <x:v>2</x:v>
      </x:c>
      <x:c r="H3516" s="28" t="n">
        <x:v>15</x:v>
      </x:c>
      <x:c r="I3516" s="28" t="n">
        <x:v>12</x:v>
      </x:c>
      <x:c r="J3516" s="28" t="n">
        <x:v>3</x:v>
      </x:c>
      <x:c r="K3516" s="28" t="n">
        <x:v>6</x:v>
      </x:c>
      <x:c r="L3516" s="28" t="n">
        <x:v>4</x:v>
      </x:c>
      <x:c r="M3516" s="28" t="n">
        <x:v>3</x:v>
      </x:c>
      <x:c r="N3516" s="28" t="n">
        <x:v>3</x:v>
      </x:c>
      <x:c r="O3516" s="28" t="n">
        <x:v>0</x:v>
      </x:c>
      <x:c r="P3516" s="28" t="n">
        <x:v>1</x:v>
      </x:c>
      <x:c r="Q3516" s="24" t="n">
        <x:f>IFERROR(J3516/H3516,0)</x:f>
        <x:v>0.2</x:v>
      </x:c>
      <x:c r="R3516" s="24" t="n">
        <x:f>IFERROR(F3516/H3516,0)</x:f>
        <x:v>0.13333333333333333</x:v>
      </x:c>
      <x:c r="S3516" s="24" t="n">
        <x:f>IFERROR(F3516/J3516,0)</x:f>
        <x:v>0.6666666666666666</x:v>
      </x:c>
      <x:c r="T3516" s="28" t="n">
        <x:f>H3516-I3516</x:f>
        <x:v>3</x:v>
      </x:c>
      <x:c r="U3516" s="24" t="n">
        <x:f>IFERROR(J3516/H3516,0)-IFERROR(K3516/I3516,0)</x:f>
        <x:v>-0.3</x:v>
      </x:c>
      <x:c r="V3516" s="24" t="n">
        <x:f>IFERROR(F3516/J3516,0)-IFERROR(G3516/K3516,0)</x:f>
        <x:v>0.3333333333333333</x:v>
      </x:c>
      <x:c r="W3516" s="28" t="n">
        <x:f>L3516-M3516</x:f>
        <x:v>1</x:v>
      </x:c>
      <x:c r="X3516" s="24" t="n">
        <x:f>IFERROR(K3516/I3516,0)</x:f>
        <x:v>0.5</x:v>
      </x:c>
      <x:c r="Y3516" s="24" t="n">
        <x:f>IFERROR(G3516/I3516,0)</x:f>
        <x:v>0.16666666666666666</x:v>
      </x:c>
      <x:c r="Z3516" s="24" t="n">
        <x:f>IFERROR(G3516/K3516,0)</x:f>
        <x:v>0.3333333333333333</x:v>
      </x:c>
      <x:c r="AA3516" s="24" t="n">
        <x:f>IFERROR(F3516/H3516,0)-IFERROR(G3516/I3516,0)</x:f>
        <x:v>-0.033333333333333326</x:v>
      </x:c>
      <x:c r="AB3516" s="28" t="n">
        <x:f>J3516-K3516</x:f>
        <x:v>-3</x:v>
      </x:c>
      <x:c r="AC3516" s="32" t="n">
        <x:f>F3516-G3516</x:f>
        <x:v>0</x:v>
      </x:c>
    </x:row>
    <x:row r="3517">
      <x:c r="A3517" s="4" t="str">
        <x:v>2025-26</x:v>
      </x:c>
      <x:c r="B3517" s="20" t="n">
        <x:v>46054</x:v>
      </x:c>
      <x:c r="C3517" s="4" t="str">
        <x:v>Man United</x:v>
      </x:c>
      <x:c r="D3517" s="4" t="str">
        <x:v>Fulham</x:v>
      </x:c>
      <x:c r="E3517" s="4" t="str">
        <x:v>Home</x:v>
      </x:c>
      <x:c r="F3517" s="28" t="n">
        <x:v>3</x:v>
      </x:c>
      <x:c r="G3517" s="28" t="n">
        <x:v>2</x:v>
      </x:c>
      <x:c r="H3517" s="28" t="n">
        <x:v>13</x:v>
      </x:c>
      <x:c r="I3517" s="28" t="n">
        <x:v>14</x:v>
      </x:c>
      <x:c r="J3517" s="28" t="n">
        <x:v>6</x:v>
      </x:c>
      <x:c r="K3517" s="28" t="n">
        <x:v>6</x:v>
      </x:c>
      <x:c r="L3517" s="28" t="n">
        <x:v>3</x:v>
      </x:c>
      <x:c r="M3517" s="28" t="n">
        <x:v>7</x:v>
      </x:c>
      <x:c r="N3517" s="28" t="n">
        <x:v>2</x:v>
      </x:c>
      <x:c r="O3517" s="28" t="n">
        <x:v>0</x:v>
      </x:c>
      <x:c r="P3517" s="28" t="n">
        <x:v>3</x:v>
      </x:c>
      <x:c r="Q3517" s="24" t="n">
        <x:f>IFERROR(J3517/H3517,0)</x:f>
        <x:v>0.46153846153846156</x:v>
      </x:c>
      <x:c r="R3517" s="24" t="n">
        <x:f>IFERROR(F3517/H3517,0)</x:f>
        <x:v>0.23076923076923078</x:v>
      </x:c>
      <x:c r="S3517" s="24" t="n">
        <x:f>IFERROR(F3517/J3517,0)</x:f>
        <x:v>0.5</x:v>
      </x:c>
      <x:c r="T3517" s="28" t="n">
        <x:f>H3517-I3517</x:f>
        <x:v>-1</x:v>
      </x:c>
      <x:c r="U3517" s="24" t="n">
        <x:f>IFERROR(J3517/H3517,0)-IFERROR(K3517/I3517,0)</x:f>
        <x:v>0.032967032967033016</x:v>
      </x:c>
      <x:c r="V3517" s="24" t="n">
        <x:f>IFERROR(F3517/J3517,0)-IFERROR(G3517/K3517,0)</x:f>
        <x:v>0.16666666666666669</x:v>
      </x:c>
      <x:c r="W3517" s="28" t="n">
        <x:f>L3517-M3517</x:f>
        <x:v>-4</x:v>
      </x:c>
      <x:c r="X3517" s="24" t="n">
        <x:f>IFERROR(K3517/I3517,0)</x:f>
        <x:v>0.42857142857142855</x:v>
      </x:c>
      <x:c r="Y3517" s="24" t="n">
        <x:f>IFERROR(G3517/I3517,0)</x:f>
        <x:v>0.14285714285714285</x:v>
      </x:c>
      <x:c r="Z3517" s="24" t="n">
        <x:f>IFERROR(G3517/K3517,0)</x:f>
        <x:v>0.3333333333333333</x:v>
      </x:c>
      <x:c r="AA3517" s="24" t="n">
        <x:f>IFERROR(F3517/H3517,0)-IFERROR(G3517/I3517,0)</x:f>
        <x:v>0.08791208791208793</x:v>
      </x:c>
      <x:c r="AB3517" s="28" t="n">
        <x:f>J3517-K3517</x:f>
        <x:v>0</x:v>
      </x:c>
      <x:c r="AC3517" s="32" t="n">
        <x:f>F3517-G3517</x:f>
        <x:v>1</x:v>
      </x:c>
    </x:row>
    <x:row r="3518">
      <x:c r="A3518" s="4" t="str">
        <x:v>2025-26</x:v>
      </x:c>
      <x:c r="B3518" s="20" t="n">
        <x:v>46054</x:v>
      </x:c>
      <x:c r="C3518" s="4" t="str">
        <x:v>Nott'm Forest</x:v>
      </x:c>
      <x:c r="D3518" s="4" t="str">
        <x:v>Crystal Palace</x:v>
      </x:c>
      <x:c r="E3518" s="4" t="str">
        <x:v>Home</x:v>
      </x:c>
      <x:c r="F3518" s="28" t="n">
        <x:v>1</x:v>
      </x:c>
      <x:c r="G3518" s="28" t="n">
        <x:v>1</x:v>
      </x:c>
      <x:c r="H3518" s="28" t="n">
        <x:v>9</x:v>
      </x:c>
      <x:c r="I3518" s="28" t="n">
        <x:v>14</x:v>
      </x:c>
      <x:c r="J3518" s="28" t="n">
        <x:v>1</x:v>
      </x:c>
      <x:c r="K3518" s="28" t="n">
        <x:v>3</x:v>
      </x:c>
      <x:c r="L3518" s="28" t="n">
        <x:v>5</x:v>
      </x:c>
      <x:c r="M3518" s="28" t="n">
        <x:v>7</x:v>
      </x:c>
      <x:c r="N3518" s="28" t="n">
        <x:v>1</x:v>
      </x:c>
      <x:c r="O3518" s="28" t="n">
        <x:v>0</x:v>
      </x:c>
      <x:c r="P3518" s="28" t="n">
        <x:v>1</x:v>
      </x:c>
      <x:c r="Q3518" s="24" t="n">
        <x:f>IFERROR(J3518/H3518,0)</x:f>
        <x:v>0.1111111111111111</x:v>
      </x:c>
      <x:c r="R3518" s="24" t="n">
        <x:f>IFERROR(F3518/H3518,0)</x:f>
        <x:v>0.1111111111111111</x:v>
      </x:c>
      <x:c r="S3518" s="24" t="n">
        <x:f>IFERROR(F3518/J3518,0)</x:f>
        <x:v>1</x:v>
      </x:c>
      <x:c r="T3518" s="28" t="n">
        <x:f>H3518-I3518</x:f>
        <x:v>-5</x:v>
      </x:c>
      <x:c r="U3518" s="24" t="n">
        <x:f>IFERROR(J3518/H3518,0)-IFERROR(K3518/I3518,0)</x:f>
        <x:v>-0.10317460317460317</x:v>
      </x:c>
      <x:c r="V3518" s="24" t="n">
        <x:f>IFERROR(F3518/J3518,0)-IFERROR(G3518/K3518,0)</x:f>
        <x:v>0.6666666666666667</x:v>
      </x:c>
      <x:c r="W3518" s="28" t="n">
        <x:f>L3518-M3518</x:f>
        <x:v>-2</x:v>
      </x:c>
      <x:c r="X3518" s="24" t="n">
        <x:f>IFERROR(K3518/I3518,0)</x:f>
        <x:v>0.21428571428571427</x:v>
      </x:c>
      <x:c r="Y3518" s="24" t="n">
        <x:f>IFERROR(G3518/I3518,0)</x:f>
        <x:v>0.07142857142857142</x:v>
      </x:c>
      <x:c r="Z3518" s="24" t="n">
        <x:f>IFERROR(G3518/K3518,0)</x:f>
        <x:v>0.3333333333333333</x:v>
      </x:c>
      <x:c r="AA3518" s="24" t="n">
        <x:f>IFERROR(F3518/H3518,0)-IFERROR(G3518/I3518,0)</x:f>
        <x:v>0.03968253968253968</x:v>
      </x:c>
      <x:c r="AB3518" s="28" t="n">
        <x:f>J3518-K3518</x:f>
        <x:v>-2</x:v>
      </x:c>
      <x:c r="AC3518" s="32" t="n">
        <x:f>F3518-G3518</x:f>
        <x:v>0</x:v>
      </x:c>
    </x:row>
    <x:row r="3519">
      <x:c r="A3519" s="4" t="str">
        <x:v>2025-26</x:v>
      </x:c>
      <x:c r="B3519" s="20" t="n">
        <x:v>46054</x:v>
      </x:c>
      <x:c r="C3519" s="4" t="str">
        <x:v>Tottenham</x:v>
      </x:c>
      <x:c r="D3519" s="4" t="str">
        <x:v>Man City</x:v>
      </x:c>
      <x:c r="E3519" s="4" t="str">
        <x:v>Home</x:v>
      </x:c>
      <x:c r="F3519" s="28" t="n">
        <x:v>2</x:v>
      </x:c>
      <x:c r="G3519" s="28" t="n">
        <x:v>2</x:v>
      </x:c>
      <x:c r="H3519" s="28" t="n">
        <x:v>12</x:v>
      </x:c>
      <x:c r="I3519" s="28" t="n">
        <x:v>15</x:v>
      </x:c>
      <x:c r="J3519" s="28" t="n">
        <x:v>6</x:v>
      </x:c>
      <x:c r="K3519" s="28" t="n">
        <x:v>3</x:v>
      </x:c>
      <x:c r="L3519" s="28" t="n">
        <x:v>3</x:v>
      </x:c>
      <x:c r="M3519" s="28" t="n">
        <x:v>4</x:v>
      </x:c>
      <x:c r="N3519" s="28" t="n">
        <x:v>3</x:v>
      </x:c>
      <x:c r="O3519" s="28" t="n">
        <x:v>0</x:v>
      </x:c>
      <x:c r="P3519" s="28" t="n">
        <x:v>1</x:v>
      </x:c>
      <x:c r="Q3519" s="24" t="n">
        <x:f>IFERROR(J3519/H3519,0)</x:f>
        <x:v>0.5</x:v>
      </x:c>
      <x:c r="R3519" s="24" t="n">
        <x:f>IFERROR(F3519/H3519,0)</x:f>
        <x:v>0.16666666666666666</x:v>
      </x:c>
      <x:c r="S3519" s="24" t="n">
        <x:f>IFERROR(F3519/J3519,0)</x:f>
        <x:v>0.3333333333333333</x:v>
      </x:c>
      <x:c r="T3519" s="28" t="n">
        <x:f>H3519-I3519</x:f>
        <x:v>-3</x:v>
      </x:c>
      <x:c r="U3519" s="24" t="n">
        <x:f>IFERROR(J3519/H3519,0)-IFERROR(K3519/I3519,0)</x:f>
        <x:v>0.3</x:v>
      </x:c>
      <x:c r="V3519" s="24" t="n">
        <x:f>IFERROR(F3519/J3519,0)-IFERROR(G3519/K3519,0)</x:f>
        <x:v>-0.3333333333333333</x:v>
      </x:c>
      <x:c r="W3519" s="28" t="n">
        <x:f>L3519-M3519</x:f>
        <x:v>-1</x:v>
      </x:c>
      <x:c r="X3519" s="24" t="n">
        <x:f>IFERROR(K3519/I3519,0)</x:f>
        <x:v>0.2</x:v>
      </x:c>
      <x:c r="Y3519" s="24" t="n">
        <x:f>IFERROR(G3519/I3519,0)</x:f>
        <x:v>0.13333333333333333</x:v>
      </x:c>
      <x:c r="Z3519" s="24" t="n">
        <x:f>IFERROR(G3519/K3519,0)</x:f>
        <x:v>0.6666666666666666</x:v>
      </x:c>
      <x:c r="AA3519" s="24" t="n">
        <x:f>IFERROR(F3519/H3519,0)-IFERROR(G3519/I3519,0)</x:f>
        <x:v>0.033333333333333326</x:v>
      </x:c>
      <x:c r="AB3519" s="28" t="n">
        <x:f>J3519-K3519</x:f>
        <x:v>3</x:v>
      </x:c>
      <x:c r="AC3519" s="32" t="n">
        <x:f>F3519-G3519</x:f>
        <x:v>0</x:v>
      </x:c>
    </x:row>
    <x:row r="3520">
      <x:c r="A3520" s="4" t="str">
        <x:v>2025-26</x:v>
      </x:c>
      <x:c r="B3520" s="20" t="n">
        <x:v>46055</x:v>
      </x:c>
      <x:c r="C3520" s="4" t="str">
        <x:v>Burnley</x:v>
      </x:c>
      <x:c r="D3520" s="4" t="str">
        <x:v>Sunderland</x:v>
      </x:c>
      <x:c r="E3520" s="4" t="str">
        <x:v>Away</x:v>
      </x:c>
      <x:c r="F3520" s="28" t="n">
        <x:v>0</x:v>
      </x:c>
      <x:c r="G3520" s="28" t="n">
        <x:v>3</x:v>
      </x:c>
      <x:c r="H3520" s="28" t="n">
        <x:v>5</x:v>
      </x:c>
      <x:c r="I3520" s="28" t="n">
        <x:v>14</x:v>
      </x:c>
      <x:c r="J3520" s="28" t="n">
        <x:v>0</x:v>
      </x:c>
      <x:c r="K3520" s="28" t="n">
        <x:v>5</x:v>
      </x:c>
      <x:c r="L3520" s="28" t="n">
        <x:v>2</x:v>
      </x:c>
      <x:c r="M3520" s="28" t="n">
        <x:v>1</x:v>
      </x:c>
      <x:c r="N3520" s="28" t="n">
        <x:v>4</x:v>
      </x:c>
      <x:c r="O3520" s="28" t="n">
        <x:v>0</x:v>
      </x:c>
      <x:c r="P3520" s="28" t="n">
        <x:v>0</x:v>
      </x:c>
      <x:c r="Q3520" s="24" t="n">
        <x:f>IFERROR(J3520/H3520,0)</x:f>
        <x:v>0</x:v>
      </x:c>
      <x:c r="R3520" s="24" t="n">
        <x:f>IFERROR(F3520/H3520,0)</x:f>
        <x:v>0</x:v>
      </x:c>
      <x:c r="S3520" s="24" t="n">
        <x:f>IFERROR(F3520/J3520,0)</x:f>
        <x:v>0</x:v>
      </x:c>
      <x:c r="T3520" s="28" t="n">
        <x:f>H3520-I3520</x:f>
        <x:v>-9</x:v>
      </x:c>
      <x:c r="U3520" s="24" t="n">
        <x:f>IFERROR(J3520/H3520,0)-IFERROR(K3520/I3520,0)</x:f>
        <x:v>-0.35714285714285715</x:v>
      </x:c>
      <x:c r="V3520" s="24" t="n">
        <x:f>IFERROR(F3520/J3520,0)-IFERROR(G3520/K3520,0)</x:f>
        <x:v>-0.6</x:v>
      </x:c>
      <x:c r="W3520" s="28" t="n">
        <x:f>L3520-M3520</x:f>
        <x:v>1</x:v>
      </x:c>
      <x:c r="X3520" s="24" t="n">
        <x:f>IFERROR(K3520/I3520,0)</x:f>
        <x:v>0.35714285714285715</x:v>
      </x:c>
      <x:c r="Y3520" s="24" t="n">
        <x:f>IFERROR(G3520/I3520,0)</x:f>
        <x:v>0.21428571428571427</x:v>
      </x:c>
      <x:c r="Z3520" s="24" t="n">
        <x:f>IFERROR(G3520/K3520,0)</x:f>
        <x:v>0.6</x:v>
      </x:c>
      <x:c r="AA3520" s="24" t="n">
        <x:f>IFERROR(F3520/H3520,0)-IFERROR(G3520/I3520,0)</x:f>
        <x:v>-0.21428571428571427</x:v>
      </x:c>
      <x:c r="AB3520" s="28" t="n">
        <x:f>J3520-K3520</x:f>
        <x:v>-5</x:v>
      </x:c>
      <x:c r="AC3520" s="32" t="n">
        <x:f>F3520-G3520</x:f>
        <x:v>-3</x:v>
      </x:c>
    </x:row>
    <x:row r="3521">
      <x:c r="A3521" s="4" t="str">
        <x:v>2025-26</x:v>
      </x:c>
      <x:c r="B3521" s="20" t="n">
        <x:v>46055</x:v>
      </x:c>
      <x:c r="C3521" s="4" t="str">
        <x:v>Sunderland</x:v>
      </x:c>
      <x:c r="D3521" s="4" t="str">
        <x:v>Burnley</x:v>
      </x:c>
      <x:c r="E3521" s="4" t="str">
        <x:v>Home</x:v>
      </x:c>
      <x:c r="F3521" s="28" t="n">
        <x:v>3</x:v>
      </x:c>
      <x:c r="G3521" s="28" t="n">
        <x:v>0</x:v>
      </x:c>
      <x:c r="H3521" s="28" t="n">
        <x:v>14</x:v>
      </x:c>
      <x:c r="I3521" s="28" t="n">
        <x:v>5</x:v>
      </x:c>
      <x:c r="J3521" s="28" t="n">
        <x:v>5</x:v>
      </x:c>
      <x:c r="K3521" s="28" t="n">
        <x:v>0</x:v>
      </x:c>
      <x:c r="L3521" s="28" t="n">
        <x:v>1</x:v>
      </x:c>
      <x:c r="M3521" s="28" t="n">
        <x:v>2</x:v>
      </x:c>
      <x:c r="N3521" s="28" t="n">
        <x:v>1</x:v>
      </x:c>
      <x:c r="O3521" s="28" t="n">
        <x:v>0</x:v>
      </x:c>
      <x:c r="P3521" s="28" t="n">
        <x:v>3</x:v>
      </x:c>
      <x:c r="Q3521" s="24" t="n">
        <x:f>IFERROR(J3521/H3521,0)</x:f>
        <x:v>0.35714285714285715</x:v>
      </x:c>
      <x:c r="R3521" s="24" t="n">
        <x:f>IFERROR(F3521/H3521,0)</x:f>
        <x:v>0.21428571428571427</x:v>
      </x:c>
      <x:c r="S3521" s="24" t="n">
        <x:f>IFERROR(F3521/J3521,0)</x:f>
        <x:v>0.6</x:v>
      </x:c>
      <x:c r="T3521" s="28" t="n">
        <x:f>H3521-I3521</x:f>
        <x:v>9</x:v>
      </x:c>
      <x:c r="U3521" s="24" t="n">
        <x:f>IFERROR(J3521/H3521,0)-IFERROR(K3521/I3521,0)</x:f>
        <x:v>0.35714285714285715</x:v>
      </x:c>
      <x:c r="V3521" s="24" t="n">
        <x:f>IFERROR(F3521/J3521,0)-IFERROR(G3521/K3521,0)</x:f>
        <x:v>0.6</x:v>
      </x:c>
      <x:c r="W3521" s="28" t="n">
        <x:f>L3521-M3521</x:f>
        <x:v>-1</x:v>
      </x:c>
      <x:c r="X3521" s="24" t="n">
        <x:f>IFERROR(K3521/I3521,0)</x:f>
        <x:v>0</x:v>
      </x:c>
      <x:c r="Y3521" s="24" t="n">
        <x:f>IFERROR(G3521/I3521,0)</x:f>
        <x:v>0</x:v>
      </x:c>
      <x:c r="Z3521" s="24" t="n">
        <x:f>IFERROR(G3521/K3521,0)</x:f>
        <x:v>0</x:v>
      </x:c>
      <x:c r="AA3521" s="24" t="n">
        <x:f>IFERROR(F3521/H3521,0)-IFERROR(G3521/I3521,0)</x:f>
        <x:v>0.21428571428571427</x:v>
      </x:c>
      <x:c r="AB3521" s="28" t="n">
        <x:f>J3521-K3521</x:f>
        <x:v>5</x:v>
      </x:c>
      <x:c r="AC3521" s="32" t="n">
        <x:f>F3521-G3521</x:f>
        <x:v>3</x:v>
      </x:c>
    </x:row>
    <x:row r="3522">
      <x:c r="A3522" s="4" t="str">
        <x:v>2025-26</x:v>
      </x:c>
      <x:c r="B3522" s="20" t="n">
        <x:v>46059</x:v>
      </x:c>
      <x:c r="C3522" s="4" t="str">
        <x:v>Leeds</x:v>
      </x:c>
      <x:c r="D3522" s="4" t="str">
        <x:v>Nott'm Forest</x:v>
      </x:c>
      <x:c r="E3522" s="4" t="str">
        <x:v>Home</x:v>
      </x:c>
      <x:c r="F3522" s="28" t="n">
        <x:v>3</x:v>
      </x:c>
      <x:c r="G3522" s="28" t="n">
        <x:v>1</x:v>
      </x:c>
      <x:c r="H3522" s="28" t="n">
        <x:v>14</x:v>
      </x:c>
      <x:c r="I3522" s="28" t="n">
        <x:v>16</x:v>
      </x:c>
      <x:c r="J3522" s="28" t="n">
        <x:v>5</x:v>
      </x:c>
      <x:c r="K3522" s="28" t="n">
        <x:v>6</x:v>
      </x:c>
      <x:c r="L3522" s="28" t="n">
        <x:v>5</x:v>
      </x:c>
      <x:c r="M3522" s="28" t="n">
        <x:v>10</x:v>
      </x:c>
      <x:c r="N3522" s="28" t="n">
        <x:v>1</x:v>
      </x:c>
      <x:c r="O3522" s="28" t="n">
        <x:v>0</x:v>
      </x:c>
      <x:c r="P3522" s="28" t="n">
        <x:v>3</x:v>
      </x:c>
      <x:c r="Q3522" s="24" t="n">
        <x:f>IFERROR(J3522/H3522,0)</x:f>
        <x:v>0.35714285714285715</x:v>
      </x:c>
      <x:c r="R3522" s="24" t="n">
        <x:f>IFERROR(F3522/H3522,0)</x:f>
        <x:v>0.21428571428571427</x:v>
      </x:c>
      <x:c r="S3522" s="24" t="n">
        <x:f>IFERROR(F3522/J3522,0)</x:f>
        <x:v>0.6</x:v>
      </x:c>
      <x:c r="T3522" s="28" t="n">
        <x:f>H3522-I3522</x:f>
        <x:v>-2</x:v>
      </x:c>
      <x:c r="U3522" s="24" t="n">
        <x:f>IFERROR(J3522/H3522,0)-IFERROR(K3522/I3522,0)</x:f>
        <x:v>-0.01785714285714285</x:v>
      </x:c>
      <x:c r="V3522" s="24" t="n">
        <x:f>IFERROR(F3522/J3522,0)-IFERROR(G3522/K3522,0)</x:f>
        <x:v>0.43333333333333335</x:v>
      </x:c>
      <x:c r="W3522" s="28" t="n">
        <x:f>L3522-M3522</x:f>
        <x:v>-5</x:v>
      </x:c>
      <x:c r="X3522" s="24" t="n">
        <x:f>IFERROR(K3522/I3522,0)</x:f>
        <x:v>0.375</x:v>
      </x:c>
      <x:c r="Y3522" s="24" t="n">
        <x:f>IFERROR(G3522/I3522,0)</x:f>
        <x:v>0.0625</x:v>
      </x:c>
      <x:c r="Z3522" s="24" t="n">
        <x:f>IFERROR(G3522/K3522,0)</x:f>
        <x:v>0.16666666666666666</x:v>
      </x:c>
      <x:c r="AA3522" s="24" t="n">
        <x:f>IFERROR(F3522/H3522,0)-IFERROR(G3522/I3522,0)</x:f>
        <x:v>0.15178571428571427</x:v>
      </x:c>
      <x:c r="AB3522" s="28" t="n">
        <x:f>J3522-K3522</x:f>
        <x:v>-1</x:v>
      </x:c>
      <x:c r="AC3522" s="32" t="n">
        <x:f>F3522-G3522</x:f>
        <x:v>2</x:v>
      </x:c>
    </x:row>
    <x:row r="3523">
      <x:c r="A3523" s="4" t="str">
        <x:v>2025-26</x:v>
      </x:c>
      <x:c r="B3523" s="20" t="n">
        <x:v>46059</x:v>
      </x:c>
      <x:c r="C3523" s="4" t="str">
        <x:v>Nott'm Forest</x:v>
      </x:c>
      <x:c r="D3523" s="4" t="str">
        <x:v>Leeds</x:v>
      </x:c>
      <x:c r="E3523" s="4" t="str">
        <x:v>Away</x:v>
      </x:c>
      <x:c r="F3523" s="28" t="n">
        <x:v>1</x:v>
      </x:c>
      <x:c r="G3523" s="28" t="n">
        <x:v>3</x:v>
      </x:c>
      <x:c r="H3523" s="28" t="n">
        <x:v>16</x:v>
      </x:c>
      <x:c r="I3523" s="28" t="n">
        <x:v>14</x:v>
      </x:c>
      <x:c r="J3523" s="28" t="n">
        <x:v>6</x:v>
      </x:c>
      <x:c r="K3523" s="28" t="n">
        <x:v>5</x:v>
      </x:c>
      <x:c r="L3523" s="28" t="n">
        <x:v>10</x:v>
      </x:c>
      <x:c r="M3523" s="28" t="n">
        <x:v>5</x:v>
      </x:c>
      <x:c r="N3523" s="28" t="n">
        <x:v>1</x:v>
      </x:c>
      <x:c r="O3523" s="28" t="n">
        <x:v>0</x:v>
      </x:c>
      <x:c r="P3523" s="28" t="n">
        <x:v>0</x:v>
      </x:c>
      <x:c r="Q3523" s="24" t="n">
        <x:f>IFERROR(J3523/H3523,0)</x:f>
        <x:v>0.375</x:v>
      </x:c>
      <x:c r="R3523" s="24" t="n">
        <x:f>IFERROR(F3523/H3523,0)</x:f>
        <x:v>0.0625</x:v>
      </x:c>
      <x:c r="S3523" s="24" t="n">
        <x:f>IFERROR(F3523/J3523,0)</x:f>
        <x:v>0.16666666666666666</x:v>
      </x:c>
      <x:c r="T3523" s="28" t="n">
        <x:f>H3523-I3523</x:f>
        <x:v>2</x:v>
      </x:c>
      <x:c r="U3523" s="24" t="n">
        <x:f>IFERROR(J3523/H3523,0)-IFERROR(K3523/I3523,0)</x:f>
        <x:v>0.01785714285714285</x:v>
      </x:c>
      <x:c r="V3523" s="24" t="n">
        <x:f>IFERROR(F3523/J3523,0)-IFERROR(G3523/K3523,0)</x:f>
        <x:v>-0.43333333333333335</x:v>
      </x:c>
      <x:c r="W3523" s="28" t="n">
        <x:f>L3523-M3523</x:f>
        <x:v>5</x:v>
      </x:c>
      <x:c r="X3523" s="24" t="n">
        <x:f>IFERROR(K3523/I3523,0)</x:f>
        <x:v>0.35714285714285715</x:v>
      </x:c>
      <x:c r="Y3523" s="24" t="n">
        <x:f>IFERROR(G3523/I3523,0)</x:f>
        <x:v>0.21428571428571427</x:v>
      </x:c>
      <x:c r="Z3523" s="24" t="n">
        <x:f>IFERROR(G3523/K3523,0)</x:f>
        <x:v>0.6</x:v>
      </x:c>
      <x:c r="AA3523" s="24" t="n">
        <x:f>IFERROR(F3523/H3523,0)-IFERROR(G3523/I3523,0)</x:f>
        <x:v>-0.15178571428571427</x:v>
      </x:c>
      <x:c r="AB3523" s="28" t="n">
        <x:f>J3523-K3523</x:f>
        <x:v>1</x:v>
      </x:c>
      <x:c r="AC3523" s="32" t="n">
        <x:f>F3523-G3523</x:f>
        <x:v>-2</x:v>
      </x:c>
    </x:row>
    <x:row r="3524">
      <x:c r="A3524" s="4" t="str">
        <x:v>2025-26</x:v>
      </x:c>
      <x:c r="B3524" s="20" t="n">
        <x:v>46060</x:v>
      </x:c>
      <x:c r="C3524" s="4" t="str">
        <x:v>Arsenal</x:v>
      </x:c>
      <x:c r="D3524" s="4" t="str">
        <x:v>Sunderland</x:v>
      </x:c>
      <x:c r="E3524" s="4" t="str">
        <x:v>Home</x:v>
      </x:c>
      <x:c r="F3524" s="28" t="n">
        <x:v>3</x:v>
      </x:c>
      <x:c r="G3524" s="28" t="n">
        <x:v>0</x:v>
      </x:c>
      <x:c r="H3524" s="28" t="n">
        <x:v>16</x:v>
      </x:c>
      <x:c r="I3524" s="28" t="n">
        <x:v>5</x:v>
      </x:c>
      <x:c r="J3524" s="28" t="n">
        <x:v>5</x:v>
      </x:c>
      <x:c r="K3524" s="28" t="n">
        <x:v>3</x:v>
      </x:c>
      <x:c r="L3524" s="28" t="n">
        <x:v>5</x:v>
      </x:c>
      <x:c r="M3524" s="28" t="n">
        <x:v>2</x:v>
      </x:c>
      <x:c r="N3524" s="28" t="n">
        <x:v>1</x:v>
      </x:c>
      <x:c r="O3524" s="28" t="n">
        <x:v>0</x:v>
      </x:c>
      <x:c r="P3524" s="28" t="n">
        <x:v>3</x:v>
      </x:c>
      <x:c r="Q3524" s="24" t="n">
        <x:f>IFERROR(J3524/H3524,0)</x:f>
        <x:v>0.3125</x:v>
      </x:c>
      <x:c r="R3524" s="24" t="n">
        <x:f>IFERROR(F3524/H3524,0)</x:f>
        <x:v>0.1875</x:v>
      </x:c>
      <x:c r="S3524" s="24" t="n">
        <x:f>IFERROR(F3524/J3524,0)</x:f>
        <x:v>0.6</x:v>
      </x:c>
      <x:c r="T3524" s="28" t="n">
        <x:f>H3524-I3524</x:f>
        <x:v>11</x:v>
      </x:c>
      <x:c r="U3524" s="24" t="n">
        <x:f>IFERROR(J3524/H3524,0)-IFERROR(K3524/I3524,0)</x:f>
        <x:v>-0.2875</x:v>
      </x:c>
      <x:c r="V3524" s="24" t="n">
        <x:f>IFERROR(F3524/J3524,0)-IFERROR(G3524/K3524,0)</x:f>
        <x:v>0.6</x:v>
      </x:c>
      <x:c r="W3524" s="28" t="n">
        <x:f>L3524-M3524</x:f>
        <x:v>3</x:v>
      </x:c>
      <x:c r="X3524" s="24" t="n">
        <x:f>IFERROR(K3524/I3524,0)</x:f>
        <x:v>0.6</x:v>
      </x:c>
      <x:c r="Y3524" s="24" t="n">
        <x:f>IFERROR(G3524/I3524,0)</x:f>
        <x:v>0</x:v>
      </x:c>
      <x:c r="Z3524" s="24" t="n">
        <x:f>IFERROR(G3524/K3524,0)</x:f>
        <x:v>0</x:v>
      </x:c>
      <x:c r="AA3524" s="24" t="n">
        <x:f>IFERROR(F3524/H3524,0)-IFERROR(G3524/I3524,0)</x:f>
        <x:v>0.1875</x:v>
      </x:c>
      <x:c r="AB3524" s="28" t="n">
        <x:f>J3524-K3524</x:f>
        <x:v>2</x:v>
      </x:c>
      <x:c r="AC3524" s="32" t="n">
        <x:f>F3524-G3524</x:f>
        <x:v>3</x:v>
      </x:c>
    </x:row>
    <x:row r="3525">
      <x:c r="A3525" s="4" t="str">
        <x:v>2025-26</x:v>
      </x:c>
      <x:c r="B3525" s="20" t="n">
        <x:v>46060</x:v>
      </x:c>
      <x:c r="C3525" s="4" t="str">
        <x:v>Aston Villa</x:v>
      </x:c>
      <x:c r="D3525" s="4" t="str">
        <x:v>Bournemouth</x:v>
      </x:c>
      <x:c r="E3525" s="4" t="str">
        <x:v>Away</x:v>
      </x:c>
      <x:c r="F3525" s="28" t="n">
        <x:v>1</x:v>
      </x:c>
      <x:c r="G3525" s="28" t="n">
        <x:v>1</x:v>
      </x:c>
      <x:c r="H3525" s="28" t="n">
        <x:v>7</x:v>
      </x:c>
      <x:c r="I3525" s="28" t="n">
        <x:v>20</x:v>
      </x:c>
      <x:c r="J3525" s="28" t="n">
        <x:v>4</x:v>
      </x:c>
      <x:c r="K3525" s="28" t="n">
        <x:v>9</x:v>
      </x:c>
      <x:c r="L3525" s="28" t="n">
        <x:v>4</x:v>
      </x:c>
      <x:c r="M3525" s="28" t="n">
        <x:v>11</x:v>
      </x:c>
      <x:c r="N3525" s="28" t="n">
        <x:v>1</x:v>
      </x:c>
      <x:c r="O3525" s="28" t="n">
        <x:v>0</x:v>
      </x:c>
      <x:c r="P3525" s="28" t="n">
        <x:v>1</x:v>
      </x:c>
      <x:c r="Q3525" s="24" t="n">
        <x:f>IFERROR(J3525/H3525,0)</x:f>
        <x:v>0.5714285714285714</x:v>
      </x:c>
      <x:c r="R3525" s="24" t="n">
        <x:f>IFERROR(F3525/H3525,0)</x:f>
        <x:v>0.14285714285714285</x:v>
      </x:c>
      <x:c r="S3525" s="24" t="n">
        <x:f>IFERROR(F3525/J3525,0)</x:f>
        <x:v>0.25</x:v>
      </x:c>
      <x:c r="T3525" s="28" t="n">
        <x:f>H3525-I3525</x:f>
        <x:v>-13</x:v>
      </x:c>
      <x:c r="U3525" s="24" t="n">
        <x:f>IFERROR(J3525/H3525,0)-IFERROR(K3525/I3525,0)</x:f>
        <x:v>0.12142857142857139</x:v>
      </x:c>
      <x:c r="V3525" s="24" t="n">
        <x:f>IFERROR(F3525/J3525,0)-IFERROR(G3525/K3525,0)</x:f>
        <x:v>0.1388888888888889</x:v>
      </x:c>
      <x:c r="W3525" s="28" t="n">
        <x:f>L3525-M3525</x:f>
        <x:v>-7</x:v>
      </x:c>
      <x:c r="X3525" s="24" t="n">
        <x:f>IFERROR(K3525/I3525,0)</x:f>
        <x:v>0.45</x:v>
      </x:c>
      <x:c r="Y3525" s="24" t="n">
        <x:f>IFERROR(G3525/I3525,0)</x:f>
        <x:v>0.05</x:v>
      </x:c>
      <x:c r="Z3525" s="24" t="n">
        <x:f>IFERROR(G3525/K3525,0)</x:f>
        <x:v>0.1111111111111111</x:v>
      </x:c>
      <x:c r="AA3525" s="24" t="n">
        <x:f>IFERROR(F3525/H3525,0)-IFERROR(G3525/I3525,0)</x:f>
        <x:v>0.09285714285714285</x:v>
      </x:c>
      <x:c r="AB3525" s="28" t="n">
        <x:f>J3525-K3525</x:f>
        <x:v>-5</x:v>
      </x:c>
      <x:c r="AC3525" s="32" t="n">
        <x:f>F3525-G3525</x:f>
        <x:v>0</x:v>
      </x:c>
    </x:row>
    <x:row r="3526">
      <x:c r="A3526" s="4" t="str">
        <x:v>2025-26</x:v>
      </x:c>
      <x:c r="B3526" s="20" t="n">
        <x:v>46060</x:v>
      </x:c>
      <x:c r="C3526" s="4" t="str">
        <x:v>Bournemouth</x:v>
      </x:c>
      <x:c r="D3526" s="4" t="str">
        <x:v>Aston Villa</x:v>
      </x:c>
      <x:c r="E3526" s="4" t="str">
        <x:v>Home</x:v>
      </x:c>
      <x:c r="F3526" s="28" t="n">
        <x:v>1</x:v>
      </x:c>
      <x:c r="G3526" s="28" t="n">
        <x:v>1</x:v>
      </x:c>
      <x:c r="H3526" s="28" t="n">
        <x:v>20</x:v>
      </x:c>
      <x:c r="I3526" s="28" t="n">
        <x:v>7</x:v>
      </x:c>
      <x:c r="J3526" s="28" t="n">
        <x:v>9</x:v>
      </x:c>
      <x:c r="K3526" s="28" t="n">
        <x:v>4</x:v>
      </x:c>
      <x:c r="L3526" s="28" t="n">
        <x:v>11</x:v>
      </x:c>
      <x:c r="M3526" s="28" t="n">
        <x:v>4</x:v>
      </x:c>
      <x:c r="N3526" s="28" t="n">
        <x:v>1</x:v>
      </x:c>
      <x:c r="O3526" s="28" t="n">
        <x:v>0</x:v>
      </x:c>
      <x:c r="P3526" s="28" t="n">
        <x:v>1</x:v>
      </x:c>
      <x:c r="Q3526" s="24" t="n">
        <x:f>IFERROR(J3526/H3526,0)</x:f>
        <x:v>0.45</x:v>
      </x:c>
      <x:c r="R3526" s="24" t="n">
        <x:f>IFERROR(F3526/H3526,0)</x:f>
        <x:v>0.05</x:v>
      </x:c>
      <x:c r="S3526" s="24" t="n">
        <x:f>IFERROR(F3526/J3526,0)</x:f>
        <x:v>0.1111111111111111</x:v>
      </x:c>
      <x:c r="T3526" s="28" t="n">
        <x:f>H3526-I3526</x:f>
        <x:v>13</x:v>
      </x:c>
      <x:c r="U3526" s="24" t="n">
        <x:f>IFERROR(J3526/H3526,0)-IFERROR(K3526/I3526,0)</x:f>
        <x:v>-0.12142857142857139</x:v>
      </x:c>
      <x:c r="V3526" s="24" t="n">
        <x:f>IFERROR(F3526/J3526,0)-IFERROR(G3526/K3526,0)</x:f>
        <x:v>-0.1388888888888889</x:v>
      </x:c>
      <x:c r="W3526" s="28" t="n">
        <x:f>L3526-M3526</x:f>
        <x:v>7</x:v>
      </x:c>
      <x:c r="X3526" s="24" t="n">
        <x:f>IFERROR(K3526/I3526,0)</x:f>
        <x:v>0.5714285714285714</x:v>
      </x:c>
      <x:c r="Y3526" s="24" t="n">
        <x:f>IFERROR(G3526/I3526,0)</x:f>
        <x:v>0.14285714285714285</x:v>
      </x:c>
      <x:c r="Z3526" s="24" t="n">
        <x:f>IFERROR(G3526/K3526,0)</x:f>
        <x:v>0.25</x:v>
      </x:c>
      <x:c r="AA3526" s="24" t="n">
        <x:f>IFERROR(F3526/H3526,0)-IFERROR(G3526/I3526,0)</x:f>
        <x:v>-0.09285714285714285</x:v>
      </x:c>
      <x:c r="AB3526" s="28" t="n">
        <x:f>J3526-K3526</x:f>
        <x:v>5</x:v>
      </x:c>
      <x:c r="AC3526" s="32" t="n">
        <x:f>F3526-G3526</x:f>
        <x:v>0</x:v>
      </x:c>
    </x:row>
    <x:row r="3527">
      <x:c r="A3527" s="4" t="str">
        <x:v>2025-26</x:v>
      </x:c>
      <x:c r="B3527" s="20" t="n">
        <x:v>46060</x:v>
      </x:c>
      <x:c r="C3527" s="4" t="str">
        <x:v>Brentford</x:v>
      </x:c>
      <x:c r="D3527" s="4" t="str">
        <x:v>Newcastle</x:v>
      </x:c>
      <x:c r="E3527" s="4" t="str">
        <x:v>Away</x:v>
      </x:c>
      <x:c r="F3527" s="28" t="n">
        <x:v>3</x:v>
      </x:c>
      <x:c r="G3527" s="28" t="n">
        <x:v>2</x:v>
      </x:c>
      <x:c r="H3527" s="28" t="n">
        <x:v>11</x:v>
      </x:c>
      <x:c r="I3527" s="28" t="n">
        <x:v>16</x:v>
      </x:c>
      <x:c r="J3527" s="28" t="n">
        <x:v>5</x:v>
      </x:c>
      <x:c r="K3527" s="28" t="n">
        <x:v>4</x:v>
      </x:c>
      <x:c r="L3527" s="28" t="n">
        <x:v>3</x:v>
      </x:c>
      <x:c r="M3527" s="28" t="n">
        <x:v>9</x:v>
      </x:c>
      <x:c r="N3527" s="28" t="n">
        <x:v>2</x:v>
      </x:c>
      <x:c r="O3527" s="28" t="n">
        <x:v>0</x:v>
      </x:c>
      <x:c r="P3527" s="28" t="n">
        <x:v>3</x:v>
      </x:c>
      <x:c r="Q3527" s="24" t="n">
        <x:f>IFERROR(J3527/H3527,0)</x:f>
        <x:v>0.45454545454545453</x:v>
      </x:c>
      <x:c r="R3527" s="24" t="n">
        <x:f>IFERROR(F3527/H3527,0)</x:f>
        <x:v>0.2727272727272727</x:v>
      </x:c>
      <x:c r="S3527" s="24" t="n">
        <x:f>IFERROR(F3527/J3527,0)</x:f>
        <x:v>0.6</x:v>
      </x:c>
      <x:c r="T3527" s="28" t="n">
        <x:f>H3527-I3527</x:f>
        <x:v>-5</x:v>
      </x:c>
      <x:c r="U3527" s="24" t="n">
        <x:f>IFERROR(J3527/H3527,0)-IFERROR(K3527/I3527,0)</x:f>
        <x:v>0.20454545454545453</x:v>
      </x:c>
      <x:c r="V3527" s="24" t="n">
        <x:f>IFERROR(F3527/J3527,0)-IFERROR(G3527/K3527,0)</x:f>
        <x:v>0.09999999999999998</x:v>
      </x:c>
      <x:c r="W3527" s="28" t="n">
        <x:f>L3527-M3527</x:f>
        <x:v>-6</x:v>
      </x:c>
      <x:c r="X3527" s="24" t="n">
        <x:f>IFERROR(K3527/I3527,0)</x:f>
        <x:v>0.25</x:v>
      </x:c>
      <x:c r="Y3527" s="24" t="n">
        <x:f>IFERROR(G3527/I3527,0)</x:f>
        <x:v>0.125</x:v>
      </x:c>
      <x:c r="Z3527" s="24" t="n">
        <x:f>IFERROR(G3527/K3527,0)</x:f>
        <x:v>0.5</x:v>
      </x:c>
      <x:c r="AA3527" s="24" t="n">
        <x:f>IFERROR(F3527/H3527,0)-IFERROR(G3527/I3527,0)</x:f>
        <x:v>0.1477272727272727</x:v>
      </x:c>
      <x:c r="AB3527" s="28" t="n">
        <x:f>J3527-K3527</x:f>
        <x:v>1</x:v>
      </x:c>
      <x:c r="AC3527" s="32" t="n">
        <x:f>F3527-G3527</x:f>
        <x:v>1</x:v>
      </x:c>
    </x:row>
    <x:row r="3528">
      <x:c r="A3528" s="4" t="str">
        <x:v>2025-26</x:v>
      </x:c>
      <x:c r="B3528" s="20" t="n">
        <x:v>46060</x:v>
      </x:c>
      <x:c r="C3528" s="4" t="str">
        <x:v>Burnley</x:v>
      </x:c>
      <x:c r="D3528" s="4" t="str">
        <x:v>West Ham</x:v>
      </x:c>
      <x:c r="E3528" s="4" t="str">
        <x:v>Home</x:v>
      </x:c>
      <x:c r="F3528" s="28" t="n">
        <x:v>0</x:v>
      </x:c>
      <x:c r="G3528" s="28" t="n">
        <x:v>2</x:v>
      </x:c>
      <x:c r="H3528" s="28" t="n">
        <x:v>18</x:v>
      </x:c>
      <x:c r="I3528" s="28" t="n">
        <x:v>6</x:v>
      </x:c>
      <x:c r="J3528" s="28" t="n">
        <x:v>5</x:v>
      </x:c>
      <x:c r="K3528" s="28" t="n">
        <x:v>4</x:v>
      </x:c>
      <x:c r="L3528" s="28" t="n">
        <x:v>5</x:v>
      </x:c>
      <x:c r="M3528" s="28" t="n">
        <x:v>2</x:v>
      </x:c>
      <x:c r="N3528" s="28" t="n">
        <x:v>3</x:v>
      </x:c>
      <x:c r="O3528" s="28" t="n">
        <x:v>0</x:v>
      </x:c>
      <x:c r="P3528" s="28" t="n">
        <x:v>0</x:v>
      </x:c>
      <x:c r="Q3528" s="24" t="n">
        <x:f>IFERROR(J3528/H3528,0)</x:f>
        <x:v>0.2777777777777778</x:v>
      </x:c>
      <x:c r="R3528" s="24" t="n">
        <x:f>IFERROR(F3528/H3528,0)</x:f>
        <x:v>0</x:v>
      </x:c>
      <x:c r="S3528" s="24" t="n">
        <x:f>IFERROR(F3528/J3528,0)</x:f>
        <x:v>0</x:v>
      </x:c>
      <x:c r="T3528" s="28" t="n">
        <x:f>H3528-I3528</x:f>
        <x:v>12</x:v>
      </x:c>
      <x:c r="U3528" s="24" t="n">
        <x:f>IFERROR(J3528/H3528,0)-IFERROR(K3528/I3528,0)</x:f>
        <x:v>-0.38888888888888884</x:v>
      </x:c>
      <x:c r="V3528" s="24" t="n">
        <x:f>IFERROR(F3528/J3528,0)-IFERROR(G3528/K3528,0)</x:f>
        <x:v>-0.5</x:v>
      </x:c>
      <x:c r="W3528" s="28" t="n">
        <x:f>L3528-M3528</x:f>
        <x:v>3</x:v>
      </x:c>
      <x:c r="X3528" s="24" t="n">
        <x:f>IFERROR(K3528/I3528,0)</x:f>
        <x:v>0.6666666666666666</x:v>
      </x:c>
      <x:c r="Y3528" s="24" t="n">
        <x:f>IFERROR(G3528/I3528,0)</x:f>
        <x:v>0.3333333333333333</x:v>
      </x:c>
      <x:c r="Z3528" s="24" t="n">
        <x:f>IFERROR(G3528/K3528,0)</x:f>
        <x:v>0.5</x:v>
      </x:c>
      <x:c r="AA3528" s="24" t="n">
        <x:f>IFERROR(F3528/H3528,0)-IFERROR(G3528/I3528,0)</x:f>
        <x:v>-0.3333333333333333</x:v>
      </x:c>
      <x:c r="AB3528" s="28" t="n">
        <x:f>J3528-K3528</x:f>
        <x:v>1</x:v>
      </x:c>
      <x:c r="AC3528" s="32" t="n">
        <x:f>F3528-G3528</x:f>
        <x:v>-2</x:v>
      </x:c>
    </x:row>
    <x:row r="3529">
      <x:c r="A3529" s="4" t="str">
        <x:v>2025-26</x:v>
      </x:c>
      <x:c r="B3529" s="20" t="n">
        <x:v>46060</x:v>
      </x:c>
      <x:c r="C3529" s="4" t="str">
        <x:v>Chelsea</x:v>
      </x:c>
      <x:c r="D3529" s="4" t="str">
        <x:v>Wolves</x:v>
      </x:c>
      <x:c r="E3529" s="4" t="str">
        <x:v>Away</x:v>
      </x:c>
      <x:c r="F3529" s="28" t="n">
        <x:v>3</x:v>
      </x:c>
      <x:c r="G3529" s="28" t="n">
        <x:v>1</x:v>
      </x:c>
      <x:c r="H3529" s="28" t="n">
        <x:v>15</x:v>
      </x:c>
      <x:c r="I3529" s="28" t="n">
        <x:v>11</x:v>
      </x:c>
      <x:c r="J3529" s="28" t="n">
        <x:v>6</x:v>
      </x:c>
      <x:c r="K3529" s="28" t="n">
        <x:v>3</x:v>
      </x:c>
      <x:c r="L3529" s="28" t="n">
        <x:v>4</x:v>
      </x:c>
      <x:c r="M3529" s="28" t="n">
        <x:v>3</x:v>
      </x:c>
      <x:c r="N3529" s="28" t="n">
        <x:v>1</x:v>
      </x:c>
      <x:c r="O3529" s="28" t="n">
        <x:v>0</x:v>
      </x:c>
      <x:c r="P3529" s="28" t="n">
        <x:v>3</x:v>
      </x:c>
      <x:c r="Q3529" s="24" t="n">
        <x:f>IFERROR(J3529/H3529,0)</x:f>
        <x:v>0.4</x:v>
      </x:c>
      <x:c r="R3529" s="24" t="n">
        <x:f>IFERROR(F3529/H3529,0)</x:f>
        <x:v>0.2</x:v>
      </x:c>
      <x:c r="S3529" s="24" t="n">
        <x:f>IFERROR(F3529/J3529,0)</x:f>
        <x:v>0.5</x:v>
      </x:c>
      <x:c r="T3529" s="28" t="n">
        <x:f>H3529-I3529</x:f>
        <x:v>4</x:v>
      </x:c>
      <x:c r="U3529" s="24" t="n">
        <x:f>IFERROR(J3529/H3529,0)-IFERROR(K3529/I3529,0)</x:f>
        <x:v>0.12727272727272732</x:v>
      </x:c>
      <x:c r="V3529" s="24" t="n">
        <x:f>IFERROR(F3529/J3529,0)-IFERROR(G3529/K3529,0)</x:f>
        <x:v>0.16666666666666669</x:v>
      </x:c>
      <x:c r="W3529" s="28" t="n">
        <x:f>L3529-M3529</x:f>
        <x:v>1</x:v>
      </x:c>
      <x:c r="X3529" s="24" t="n">
        <x:f>IFERROR(K3529/I3529,0)</x:f>
        <x:v>0.2727272727272727</x:v>
      </x:c>
      <x:c r="Y3529" s="24" t="n">
        <x:f>IFERROR(G3529/I3529,0)</x:f>
        <x:v>0.09090909090909091</x:v>
      </x:c>
      <x:c r="Z3529" s="24" t="n">
        <x:f>IFERROR(G3529/K3529,0)</x:f>
        <x:v>0.3333333333333333</x:v>
      </x:c>
      <x:c r="AA3529" s="24" t="n">
        <x:f>IFERROR(F3529/H3529,0)-IFERROR(G3529/I3529,0)</x:f>
        <x:v>0.1090909090909091</x:v>
      </x:c>
      <x:c r="AB3529" s="28" t="n">
        <x:f>J3529-K3529</x:f>
        <x:v>3</x:v>
      </x:c>
      <x:c r="AC3529" s="32" t="n">
        <x:f>F3529-G3529</x:f>
        <x:v>2</x:v>
      </x:c>
    </x:row>
    <x:row r="3530">
      <x:c r="A3530" s="4" t="str">
        <x:v>2025-26</x:v>
      </x:c>
      <x:c r="B3530" s="20" t="n">
        <x:v>46060</x:v>
      </x:c>
      <x:c r="C3530" s="4" t="str">
        <x:v>Everton</x:v>
      </x:c>
      <x:c r="D3530" s="4" t="str">
        <x:v>Fulham</x:v>
      </x:c>
      <x:c r="E3530" s="4" t="str">
        <x:v>Away</x:v>
      </x:c>
      <x:c r="F3530" s="28" t="n">
        <x:v>2</x:v>
      </x:c>
      <x:c r="G3530" s="28" t="n">
        <x:v>1</x:v>
      </x:c>
      <x:c r="H3530" s="28" t="n">
        <x:v>16</x:v>
      </x:c>
      <x:c r="I3530" s="28" t="n">
        <x:v>13</x:v>
      </x:c>
      <x:c r="J3530" s="28" t="n">
        <x:v>3</x:v>
      </x:c>
      <x:c r="K3530" s="28" t="n">
        <x:v>3</x:v>
      </x:c>
      <x:c r="L3530" s="28" t="n">
        <x:v>6</x:v>
      </x:c>
      <x:c r="M3530" s="28" t="n">
        <x:v>6</x:v>
      </x:c>
      <x:c r="N3530" s="28" t="n">
        <x:v>5</x:v>
      </x:c>
      <x:c r="O3530" s="28" t="n">
        <x:v>0</x:v>
      </x:c>
      <x:c r="P3530" s="28" t="n">
        <x:v>3</x:v>
      </x:c>
      <x:c r="Q3530" s="24" t="n">
        <x:f>IFERROR(J3530/H3530,0)</x:f>
        <x:v>0.1875</x:v>
      </x:c>
      <x:c r="R3530" s="24" t="n">
        <x:f>IFERROR(F3530/H3530,0)</x:f>
        <x:v>0.125</x:v>
      </x:c>
      <x:c r="S3530" s="24" t="n">
        <x:f>IFERROR(F3530/J3530,0)</x:f>
        <x:v>0.6666666666666666</x:v>
      </x:c>
      <x:c r="T3530" s="28" t="n">
        <x:f>H3530-I3530</x:f>
        <x:v>3</x:v>
      </x:c>
      <x:c r="U3530" s="24" t="n">
        <x:f>IFERROR(J3530/H3530,0)-IFERROR(K3530/I3530,0)</x:f>
        <x:v>-0.04326923076923078</x:v>
      </x:c>
      <x:c r="V3530" s="24" t="n">
        <x:f>IFERROR(F3530/J3530,0)-IFERROR(G3530/K3530,0)</x:f>
        <x:v>0.3333333333333333</x:v>
      </x:c>
      <x:c r="W3530" s="28" t="n">
        <x:f>L3530-M3530</x:f>
        <x:v>0</x:v>
      </x:c>
      <x:c r="X3530" s="24" t="n">
        <x:f>IFERROR(K3530/I3530,0)</x:f>
        <x:v>0.23076923076923078</x:v>
      </x:c>
      <x:c r="Y3530" s="24" t="n">
        <x:f>IFERROR(G3530/I3530,0)</x:f>
        <x:v>0.07692307692307693</x:v>
      </x:c>
      <x:c r="Z3530" s="24" t="n">
        <x:f>IFERROR(G3530/K3530,0)</x:f>
        <x:v>0.3333333333333333</x:v>
      </x:c>
      <x:c r="AA3530" s="24" t="n">
        <x:f>IFERROR(F3530/H3530,0)-IFERROR(G3530/I3530,0)</x:f>
        <x:v>0.04807692307692307</x:v>
      </x:c>
      <x:c r="AB3530" s="28" t="n">
        <x:f>J3530-K3530</x:f>
        <x:v>0</x:v>
      </x:c>
      <x:c r="AC3530" s="32" t="n">
        <x:f>F3530-G3530</x:f>
        <x:v>1</x:v>
      </x:c>
    </x:row>
    <x:row r="3531">
      <x:c r="A3531" s="4" t="str">
        <x:v>2025-26</x:v>
      </x:c>
      <x:c r="B3531" s="20" t="n">
        <x:v>46060</x:v>
      </x:c>
      <x:c r="C3531" s="4" t="str">
        <x:v>Fulham</x:v>
      </x:c>
      <x:c r="D3531" s="4" t="str">
        <x:v>Everton</x:v>
      </x:c>
      <x:c r="E3531" s="4" t="str">
        <x:v>Home</x:v>
      </x:c>
      <x:c r="F3531" s="28" t="n">
        <x:v>1</x:v>
      </x:c>
      <x:c r="G3531" s="28" t="n">
        <x:v>2</x:v>
      </x:c>
      <x:c r="H3531" s="28" t="n">
        <x:v>13</x:v>
      </x:c>
      <x:c r="I3531" s="28" t="n">
        <x:v>16</x:v>
      </x:c>
      <x:c r="J3531" s="28" t="n">
        <x:v>3</x:v>
      </x:c>
      <x:c r="K3531" s="28" t="n">
        <x:v>3</x:v>
      </x:c>
      <x:c r="L3531" s="28" t="n">
        <x:v>6</x:v>
      </x:c>
      <x:c r="M3531" s="28" t="n">
        <x:v>6</x:v>
      </x:c>
      <x:c r="N3531" s="28" t="n">
        <x:v>1</x:v>
      </x:c>
      <x:c r="O3531" s="28" t="n">
        <x:v>0</x:v>
      </x:c>
      <x:c r="P3531" s="28" t="n">
        <x:v>0</x:v>
      </x:c>
      <x:c r="Q3531" s="24" t="n">
        <x:f>IFERROR(J3531/H3531,0)</x:f>
        <x:v>0.23076923076923078</x:v>
      </x:c>
      <x:c r="R3531" s="24" t="n">
        <x:f>IFERROR(F3531/H3531,0)</x:f>
        <x:v>0.07692307692307693</x:v>
      </x:c>
      <x:c r="S3531" s="24" t="n">
        <x:f>IFERROR(F3531/J3531,0)</x:f>
        <x:v>0.3333333333333333</x:v>
      </x:c>
      <x:c r="T3531" s="28" t="n">
        <x:f>H3531-I3531</x:f>
        <x:v>-3</x:v>
      </x:c>
      <x:c r="U3531" s="24" t="n">
        <x:f>IFERROR(J3531/H3531,0)-IFERROR(K3531/I3531,0)</x:f>
        <x:v>0.04326923076923078</x:v>
      </x:c>
      <x:c r="V3531" s="24" t="n">
        <x:f>IFERROR(F3531/J3531,0)-IFERROR(G3531/K3531,0)</x:f>
        <x:v>-0.3333333333333333</x:v>
      </x:c>
      <x:c r="W3531" s="28" t="n">
        <x:f>L3531-M3531</x:f>
        <x:v>0</x:v>
      </x:c>
      <x:c r="X3531" s="24" t="n">
        <x:f>IFERROR(K3531/I3531,0)</x:f>
        <x:v>0.1875</x:v>
      </x:c>
      <x:c r="Y3531" s="24" t="n">
        <x:f>IFERROR(G3531/I3531,0)</x:f>
        <x:v>0.125</x:v>
      </x:c>
      <x:c r="Z3531" s="24" t="n">
        <x:f>IFERROR(G3531/K3531,0)</x:f>
        <x:v>0.6666666666666666</x:v>
      </x:c>
      <x:c r="AA3531" s="24" t="n">
        <x:f>IFERROR(F3531/H3531,0)-IFERROR(G3531/I3531,0)</x:f>
        <x:v>-0.04807692307692307</x:v>
      </x:c>
      <x:c r="AB3531" s="28" t="n">
        <x:f>J3531-K3531</x:f>
        <x:v>0</x:v>
      </x:c>
      <x:c r="AC3531" s="32" t="n">
        <x:f>F3531-G3531</x:f>
        <x:v>-1</x:v>
      </x:c>
    </x:row>
    <x:row r="3532">
      <x:c r="A3532" s="4" t="str">
        <x:v>2025-26</x:v>
      </x:c>
      <x:c r="B3532" s="20" t="n">
        <x:v>46060</x:v>
      </x:c>
      <x:c r="C3532" s="4" t="str">
        <x:v>Man United</x:v>
      </x:c>
      <x:c r="D3532" s="4" t="str">
        <x:v>Tottenham</x:v>
      </x:c>
      <x:c r="E3532" s="4" t="str">
        <x:v>Home</x:v>
      </x:c>
      <x:c r="F3532" s="28" t="n">
        <x:v>2</x:v>
      </x:c>
      <x:c r="G3532" s="28" t="n">
        <x:v>0</x:v>
      </x:c>
      <x:c r="H3532" s="28" t="n">
        <x:v>23</x:v>
      </x:c>
      <x:c r="I3532" s="28" t="n">
        <x:v>7</x:v>
      </x:c>
      <x:c r="J3532" s="28" t="n">
        <x:v>10</x:v>
      </x:c>
      <x:c r="K3532" s="28" t="n">
        <x:v>1</x:v>
      </x:c>
      <x:c r="L3532" s="28" t="n">
        <x:v>7</x:v>
      </x:c>
      <x:c r="M3532" s="28" t="n">
        <x:v>0</x:v>
      </x:c>
      <x:c r="N3532" s="28" t="n">
        <x:v>1</x:v>
      </x:c>
      <x:c r="O3532" s="28" t="n">
        <x:v>0</x:v>
      </x:c>
      <x:c r="P3532" s="28" t="n">
        <x:v>3</x:v>
      </x:c>
      <x:c r="Q3532" s="24" t="n">
        <x:f>IFERROR(J3532/H3532,0)</x:f>
        <x:v>0.43478260869565216</x:v>
      </x:c>
      <x:c r="R3532" s="24" t="n">
        <x:f>IFERROR(F3532/H3532,0)</x:f>
        <x:v>0.08695652173913043</x:v>
      </x:c>
      <x:c r="S3532" s="24" t="n">
        <x:f>IFERROR(F3532/J3532,0)</x:f>
        <x:v>0.2</x:v>
      </x:c>
      <x:c r="T3532" s="28" t="n">
        <x:f>H3532-I3532</x:f>
        <x:v>16</x:v>
      </x:c>
      <x:c r="U3532" s="24" t="n">
        <x:f>IFERROR(J3532/H3532,0)-IFERROR(K3532/I3532,0)</x:f>
        <x:v>0.2919254658385093</x:v>
      </x:c>
      <x:c r="V3532" s="24" t="n">
        <x:f>IFERROR(F3532/J3532,0)-IFERROR(G3532/K3532,0)</x:f>
        <x:v>0.2</x:v>
      </x:c>
      <x:c r="W3532" s="28" t="n">
        <x:f>L3532-M3532</x:f>
        <x:v>7</x:v>
      </x:c>
      <x:c r="X3532" s="24" t="n">
        <x:f>IFERROR(K3532/I3532,0)</x:f>
        <x:v>0.14285714285714285</x:v>
      </x:c>
      <x:c r="Y3532" s="24" t="n">
        <x:f>IFERROR(G3532/I3532,0)</x:f>
        <x:v>0</x:v>
      </x:c>
      <x:c r="Z3532" s="24" t="n">
        <x:f>IFERROR(G3532/K3532,0)</x:f>
        <x:v>0</x:v>
      </x:c>
      <x:c r="AA3532" s="24" t="n">
        <x:f>IFERROR(F3532/H3532,0)-IFERROR(G3532/I3532,0)</x:f>
        <x:v>0.08695652173913043</x:v>
      </x:c>
      <x:c r="AB3532" s="28" t="n">
        <x:f>J3532-K3532</x:f>
        <x:v>9</x:v>
      </x:c>
      <x:c r="AC3532" s="32" t="n">
        <x:f>F3532-G3532</x:f>
        <x:v>2</x:v>
      </x:c>
    </x:row>
    <x:row r="3533">
      <x:c r="A3533" s="4" t="str">
        <x:v>2025-26</x:v>
      </x:c>
      <x:c r="B3533" s="20" t="n">
        <x:v>46060</x:v>
      </x:c>
      <x:c r="C3533" s="4" t="str">
        <x:v>Newcastle</x:v>
      </x:c>
      <x:c r="D3533" s="4" t="str">
        <x:v>Brentford</x:v>
      </x:c>
      <x:c r="E3533" s="4" t="str">
        <x:v>Home</x:v>
      </x:c>
      <x:c r="F3533" s="28" t="n">
        <x:v>2</x:v>
      </x:c>
      <x:c r="G3533" s="28" t="n">
        <x:v>3</x:v>
      </x:c>
      <x:c r="H3533" s="28" t="n">
        <x:v>16</x:v>
      </x:c>
      <x:c r="I3533" s="28" t="n">
        <x:v>11</x:v>
      </x:c>
      <x:c r="J3533" s="28" t="n">
        <x:v>4</x:v>
      </x:c>
      <x:c r="K3533" s="28" t="n">
        <x:v>5</x:v>
      </x:c>
      <x:c r="L3533" s="28" t="n">
        <x:v>9</x:v>
      </x:c>
      <x:c r="M3533" s="28" t="n">
        <x:v>3</x:v>
      </x:c>
      <x:c r="N3533" s="28" t="n">
        <x:v>2</x:v>
      </x:c>
      <x:c r="O3533" s="28" t="n">
        <x:v>0</x:v>
      </x:c>
      <x:c r="P3533" s="28" t="n">
        <x:v>0</x:v>
      </x:c>
      <x:c r="Q3533" s="24" t="n">
        <x:f>IFERROR(J3533/H3533,0)</x:f>
        <x:v>0.25</x:v>
      </x:c>
      <x:c r="R3533" s="24" t="n">
        <x:f>IFERROR(F3533/H3533,0)</x:f>
        <x:v>0.125</x:v>
      </x:c>
      <x:c r="S3533" s="24" t="n">
        <x:f>IFERROR(F3533/J3533,0)</x:f>
        <x:v>0.5</x:v>
      </x:c>
      <x:c r="T3533" s="28" t="n">
        <x:f>H3533-I3533</x:f>
        <x:v>5</x:v>
      </x:c>
      <x:c r="U3533" s="24" t="n">
        <x:f>IFERROR(J3533/H3533,0)-IFERROR(K3533/I3533,0)</x:f>
        <x:v>-0.20454545454545453</x:v>
      </x:c>
      <x:c r="V3533" s="24" t="n">
        <x:f>IFERROR(F3533/J3533,0)-IFERROR(G3533/K3533,0)</x:f>
        <x:v>-0.09999999999999998</x:v>
      </x:c>
      <x:c r="W3533" s="28" t="n">
        <x:f>L3533-M3533</x:f>
        <x:v>6</x:v>
      </x:c>
      <x:c r="X3533" s="24" t="n">
        <x:f>IFERROR(K3533/I3533,0)</x:f>
        <x:v>0.45454545454545453</x:v>
      </x:c>
      <x:c r="Y3533" s="24" t="n">
        <x:f>IFERROR(G3533/I3533,0)</x:f>
        <x:v>0.2727272727272727</x:v>
      </x:c>
      <x:c r="Z3533" s="24" t="n">
        <x:f>IFERROR(G3533/K3533,0)</x:f>
        <x:v>0.6</x:v>
      </x:c>
      <x:c r="AA3533" s="24" t="n">
        <x:f>IFERROR(F3533/H3533,0)-IFERROR(G3533/I3533,0)</x:f>
        <x:v>-0.1477272727272727</x:v>
      </x:c>
      <x:c r="AB3533" s="28" t="n">
        <x:f>J3533-K3533</x:f>
        <x:v>-1</x:v>
      </x:c>
      <x:c r="AC3533" s="32" t="n">
        <x:f>F3533-G3533</x:f>
        <x:v>-1</x:v>
      </x:c>
    </x:row>
    <x:row r="3534">
      <x:c r="A3534" s="4" t="str">
        <x:v>2025-26</x:v>
      </x:c>
      <x:c r="B3534" s="20" t="n">
        <x:v>46060</x:v>
      </x:c>
      <x:c r="C3534" s="4" t="str">
        <x:v>Sunderland</x:v>
      </x:c>
      <x:c r="D3534" s="4" t="str">
        <x:v>Arsenal</x:v>
      </x:c>
      <x:c r="E3534" s="4" t="str">
        <x:v>Away</x:v>
      </x:c>
      <x:c r="F3534" s="28" t="n">
        <x:v>0</x:v>
      </x:c>
      <x:c r="G3534" s="28" t="n">
        <x:v>3</x:v>
      </x:c>
      <x:c r="H3534" s="28" t="n">
        <x:v>5</x:v>
      </x:c>
      <x:c r="I3534" s="28" t="n">
        <x:v>16</x:v>
      </x:c>
      <x:c r="J3534" s="28" t="n">
        <x:v>3</x:v>
      </x:c>
      <x:c r="K3534" s="28" t="n">
        <x:v>5</x:v>
      </x:c>
      <x:c r="L3534" s="28" t="n">
        <x:v>2</x:v>
      </x:c>
      <x:c r="M3534" s="28" t="n">
        <x:v>5</x:v>
      </x:c>
      <x:c r="N3534" s="28" t="n">
        <x:v>2</x:v>
      </x:c>
      <x:c r="O3534" s="28" t="n">
        <x:v>0</x:v>
      </x:c>
      <x:c r="P3534" s="28" t="n">
        <x:v>0</x:v>
      </x:c>
      <x:c r="Q3534" s="24" t="n">
        <x:f>IFERROR(J3534/H3534,0)</x:f>
        <x:v>0.6</x:v>
      </x:c>
      <x:c r="R3534" s="24" t="n">
        <x:f>IFERROR(F3534/H3534,0)</x:f>
        <x:v>0</x:v>
      </x:c>
      <x:c r="S3534" s="24" t="n">
        <x:f>IFERROR(F3534/J3534,0)</x:f>
        <x:v>0</x:v>
      </x:c>
      <x:c r="T3534" s="28" t="n">
        <x:f>H3534-I3534</x:f>
        <x:v>-11</x:v>
      </x:c>
      <x:c r="U3534" s="24" t="n">
        <x:f>IFERROR(J3534/H3534,0)-IFERROR(K3534/I3534,0)</x:f>
        <x:v>0.2875</x:v>
      </x:c>
      <x:c r="V3534" s="24" t="n">
        <x:f>IFERROR(F3534/J3534,0)-IFERROR(G3534/K3534,0)</x:f>
        <x:v>-0.6</x:v>
      </x:c>
      <x:c r="W3534" s="28" t="n">
        <x:f>L3534-M3534</x:f>
        <x:v>-3</x:v>
      </x:c>
      <x:c r="X3534" s="24" t="n">
        <x:f>IFERROR(K3534/I3534,0)</x:f>
        <x:v>0.3125</x:v>
      </x:c>
      <x:c r="Y3534" s="24" t="n">
        <x:f>IFERROR(G3534/I3534,0)</x:f>
        <x:v>0.1875</x:v>
      </x:c>
      <x:c r="Z3534" s="24" t="n">
        <x:f>IFERROR(G3534/K3534,0)</x:f>
        <x:v>0.6</x:v>
      </x:c>
      <x:c r="AA3534" s="24" t="n">
        <x:f>IFERROR(F3534/H3534,0)-IFERROR(G3534/I3534,0)</x:f>
        <x:v>-0.1875</x:v>
      </x:c>
      <x:c r="AB3534" s="28" t="n">
        <x:f>J3534-K3534</x:f>
        <x:v>-2</x:v>
      </x:c>
      <x:c r="AC3534" s="32" t="n">
        <x:f>F3534-G3534</x:f>
        <x:v>-3</x:v>
      </x:c>
    </x:row>
    <x:row r="3535">
      <x:c r="A3535" s="4" t="str">
        <x:v>2025-26</x:v>
      </x:c>
      <x:c r="B3535" s="20" t="n">
        <x:v>46060</x:v>
      </x:c>
      <x:c r="C3535" s="4" t="str">
        <x:v>Tottenham</x:v>
      </x:c>
      <x:c r="D3535" s="4" t="str">
        <x:v>Man United</x:v>
      </x:c>
      <x:c r="E3535" s="4" t="str">
        <x:v>Away</x:v>
      </x:c>
      <x:c r="F3535" s="28" t="n">
        <x:v>0</x:v>
      </x:c>
      <x:c r="G3535" s="28" t="n">
        <x:v>2</x:v>
      </x:c>
      <x:c r="H3535" s="28" t="n">
        <x:v>7</x:v>
      </x:c>
      <x:c r="I3535" s="28" t="n">
        <x:v>23</x:v>
      </x:c>
      <x:c r="J3535" s="28" t="n">
        <x:v>1</x:v>
      </x:c>
      <x:c r="K3535" s="28" t="n">
        <x:v>10</x:v>
      </x:c>
      <x:c r="L3535" s="28" t="n">
        <x:v>0</x:v>
      </x:c>
      <x:c r="M3535" s="28" t="n">
        <x:v>7</x:v>
      </x:c>
      <x:c r="N3535" s="28" t="n">
        <x:v>2</x:v>
      </x:c>
      <x:c r="O3535" s="28" t="n">
        <x:v>1</x:v>
      </x:c>
      <x:c r="P3535" s="28" t="n">
        <x:v>0</x:v>
      </x:c>
      <x:c r="Q3535" s="24" t="n">
        <x:f>IFERROR(J3535/H3535,0)</x:f>
        <x:v>0.14285714285714285</x:v>
      </x:c>
      <x:c r="R3535" s="24" t="n">
        <x:f>IFERROR(F3535/H3535,0)</x:f>
        <x:v>0</x:v>
      </x:c>
      <x:c r="S3535" s="24" t="n">
        <x:f>IFERROR(F3535/J3535,0)</x:f>
        <x:v>0</x:v>
      </x:c>
      <x:c r="T3535" s="28" t="n">
        <x:f>H3535-I3535</x:f>
        <x:v>-16</x:v>
      </x:c>
      <x:c r="U3535" s="24" t="n">
        <x:f>IFERROR(J3535/H3535,0)-IFERROR(K3535/I3535,0)</x:f>
        <x:v>-0.2919254658385093</x:v>
      </x:c>
      <x:c r="V3535" s="24" t="n">
        <x:f>IFERROR(F3535/J3535,0)-IFERROR(G3535/K3535,0)</x:f>
        <x:v>-0.2</x:v>
      </x:c>
      <x:c r="W3535" s="28" t="n">
        <x:f>L3535-M3535</x:f>
        <x:v>-7</x:v>
      </x:c>
      <x:c r="X3535" s="24" t="n">
        <x:f>IFERROR(K3535/I3535,0)</x:f>
        <x:v>0.43478260869565216</x:v>
      </x:c>
      <x:c r="Y3535" s="24" t="n">
        <x:f>IFERROR(G3535/I3535,0)</x:f>
        <x:v>0.08695652173913043</x:v>
      </x:c>
      <x:c r="Z3535" s="24" t="n">
        <x:f>IFERROR(G3535/K3535,0)</x:f>
        <x:v>0.2</x:v>
      </x:c>
      <x:c r="AA3535" s="24" t="n">
        <x:f>IFERROR(F3535/H3535,0)-IFERROR(G3535/I3535,0)</x:f>
        <x:v>-0.08695652173913043</x:v>
      </x:c>
      <x:c r="AB3535" s="28" t="n">
        <x:f>J3535-K3535</x:f>
        <x:v>-9</x:v>
      </x:c>
      <x:c r="AC3535" s="32" t="n">
        <x:f>F3535-G3535</x:f>
        <x:v>-2</x:v>
      </x:c>
    </x:row>
    <x:row r="3536">
      <x:c r="A3536" s="4" t="str">
        <x:v>2025-26</x:v>
      </x:c>
      <x:c r="B3536" s="20" t="n">
        <x:v>46060</x:v>
      </x:c>
      <x:c r="C3536" s="4" t="str">
        <x:v>West Ham</x:v>
      </x:c>
      <x:c r="D3536" s="4" t="str">
        <x:v>Burnley</x:v>
      </x:c>
      <x:c r="E3536" s="4" t="str">
        <x:v>Away</x:v>
      </x:c>
      <x:c r="F3536" s="28" t="n">
        <x:v>2</x:v>
      </x:c>
      <x:c r="G3536" s="28" t="n">
        <x:v>0</x:v>
      </x:c>
      <x:c r="H3536" s="28" t="n">
        <x:v>6</x:v>
      </x:c>
      <x:c r="I3536" s="28" t="n">
        <x:v>18</x:v>
      </x:c>
      <x:c r="J3536" s="28" t="n">
        <x:v>4</x:v>
      </x:c>
      <x:c r="K3536" s="28" t="n">
        <x:v>5</x:v>
      </x:c>
      <x:c r="L3536" s="28" t="n">
        <x:v>2</x:v>
      </x:c>
      <x:c r="M3536" s="28" t="n">
        <x:v>5</x:v>
      </x:c>
      <x:c r="N3536" s="28" t="n">
        <x:v>1</x:v>
      </x:c>
      <x:c r="O3536" s="28" t="n">
        <x:v>0</x:v>
      </x:c>
      <x:c r="P3536" s="28" t="n">
        <x:v>3</x:v>
      </x:c>
      <x:c r="Q3536" s="24" t="n">
        <x:f>IFERROR(J3536/H3536,0)</x:f>
        <x:v>0.6666666666666666</x:v>
      </x:c>
      <x:c r="R3536" s="24" t="n">
        <x:f>IFERROR(F3536/H3536,0)</x:f>
        <x:v>0.3333333333333333</x:v>
      </x:c>
      <x:c r="S3536" s="24" t="n">
        <x:f>IFERROR(F3536/J3536,0)</x:f>
        <x:v>0.5</x:v>
      </x:c>
      <x:c r="T3536" s="28" t="n">
        <x:f>H3536-I3536</x:f>
        <x:v>-12</x:v>
      </x:c>
      <x:c r="U3536" s="24" t="n">
        <x:f>IFERROR(J3536/H3536,0)-IFERROR(K3536/I3536,0)</x:f>
        <x:v>0.38888888888888884</x:v>
      </x:c>
      <x:c r="V3536" s="24" t="n">
        <x:f>IFERROR(F3536/J3536,0)-IFERROR(G3536/K3536,0)</x:f>
        <x:v>0.5</x:v>
      </x:c>
      <x:c r="W3536" s="28" t="n">
        <x:f>L3536-M3536</x:f>
        <x:v>-3</x:v>
      </x:c>
      <x:c r="X3536" s="24" t="n">
        <x:f>IFERROR(K3536/I3536,0)</x:f>
        <x:v>0.2777777777777778</x:v>
      </x:c>
      <x:c r="Y3536" s="24" t="n">
        <x:f>IFERROR(G3536/I3536,0)</x:f>
        <x:v>0</x:v>
      </x:c>
      <x:c r="Z3536" s="24" t="n">
        <x:f>IFERROR(G3536/K3536,0)</x:f>
        <x:v>0</x:v>
      </x:c>
      <x:c r="AA3536" s="24" t="n">
        <x:f>IFERROR(F3536/H3536,0)-IFERROR(G3536/I3536,0)</x:f>
        <x:v>0.3333333333333333</x:v>
      </x:c>
      <x:c r="AB3536" s="28" t="n">
        <x:f>J3536-K3536</x:f>
        <x:v>-1</x:v>
      </x:c>
      <x:c r="AC3536" s="32" t="n">
        <x:f>F3536-G3536</x:f>
        <x:v>2</x:v>
      </x:c>
    </x:row>
    <x:row r="3537">
      <x:c r="A3537" s="4" t="str">
        <x:v>2025-26</x:v>
      </x:c>
      <x:c r="B3537" s="20" t="n">
        <x:v>46060</x:v>
      </x:c>
      <x:c r="C3537" s="4" t="str">
        <x:v>Wolves</x:v>
      </x:c>
      <x:c r="D3537" s="4" t="str">
        <x:v>Chelsea</x:v>
      </x:c>
      <x:c r="E3537" s="4" t="str">
        <x:v>Home</x:v>
      </x:c>
      <x:c r="F3537" s="28" t="n">
        <x:v>1</x:v>
      </x:c>
      <x:c r="G3537" s="28" t="n">
        <x:v>3</x:v>
      </x:c>
      <x:c r="H3537" s="28" t="n">
        <x:v>11</x:v>
      </x:c>
      <x:c r="I3537" s="28" t="n">
        <x:v>15</x:v>
      </x:c>
      <x:c r="J3537" s="28" t="n">
        <x:v>3</x:v>
      </x:c>
      <x:c r="K3537" s="28" t="n">
        <x:v>6</x:v>
      </x:c>
      <x:c r="L3537" s="28" t="n">
        <x:v>3</x:v>
      </x:c>
      <x:c r="M3537" s="28" t="n">
        <x:v>4</x:v>
      </x:c>
      <x:c r="N3537" s="28" t="n">
        <x:v>1</x:v>
      </x:c>
      <x:c r="O3537" s="28" t="n">
        <x:v>0</x:v>
      </x:c>
      <x:c r="P3537" s="28" t="n">
        <x:v>0</x:v>
      </x:c>
      <x:c r="Q3537" s="24" t="n">
        <x:f>IFERROR(J3537/H3537,0)</x:f>
        <x:v>0.2727272727272727</x:v>
      </x:c>
      <x:c r="R3537" s="24" t="n">
        <x:f>IFERROR(F3537/H3537,0)</x:f>
        <x:v>0.09090909090909091</x:v>
      </x:c>
      <x:c r="S3537" s="24" t="n">
        <x:f>IFERROR(F3537/J3537,0)</x:f>
        <x:v>0.3333333333333333</x:v>
      </x:c>
      <x:c r="T3537" s="28" t="n">
        <x:f>H3537-I3537</x:f>
        <x:v>-4</x:v>
      </x:c>
      <x:c r="U3537" s="24" t="n">
        <x:f>IFERROR(J3537/H3537,0)-IFERROR(K3537/I3537,0)</x:f>
        <x:v>-0.12727272727272732</x:v>
      </x:c>
      <x:c r="V3537" s="24" t="n">
        <x:f>IFERROR(F3537/J3537,0)-IFERROR(G3537/K3537,0)</x:f>
        <x:v>-0.16666666666666669</x:v>
      </x:c>
      <x:c r="W3537" s="28" t="n">
        <x:f>L3537-M3537</x:f>
        <x:v>-1</x:v>
      </x:c>
      <x:c r="X3537" s="24" t="n">
        <x:f>IFERROR(K3537/I3537,0)</x:f>
        <x:v>0.4</x:v>
      </x:c>
      <x:c r="Y3537" s="24" t="n">
        <x:f>IFERROR(G3537/I3537,0)</x:f>
        <x:v>0.2</x:v>
      </x:c>
      <x:c r="Z3537" s="24" t="n">
        <x:f>IFERROR(G3537/K3537,0)</x:f>
        <x:v>0.5</x:v>
      </x:c>
      <x:c r="AA3537" s="24" t="n">
        <x:f>IFERROR(F3537/H3537,0)-IFERROR(G3537/I3537,0)</x:f>
        <x:v>-0.1090909090909091</x:v>
      </x:c>
      <x:c r="AB3537" s="28" t="n">
        <x:f>J3537-K3537</x:f>
        <x:v>-3</x:v>
      </x:c>
      <x:c r="AC3537" s="32" t="n">
        <x:f>F3537-G3537</x:f>
        <x:v>-2</x:v>
      </x:c>
    </x:row>
    <x:row r="3538">
      <x:c r="A3538" s="4" t="str">
        <x:v>2025-26</x:v>
      </x:c>
      <x:c r="B3538" s="20" t="n">
        <x:v>46061</x:v>
      </x:c>
      <x:c r="C3538" s="4" t="str">
        <x:v>Brighton</x:v>
      </x:c>
      <x:c r="D3538" s="4" t="str">
        <x:v>Crystal Palace</x:v>
      </x:c>
      <x:c r="E3538" s="4" t="str">
        <x:v>Home</x:v>
      </x:c>
      <x:c r="F3538" s="28" t="n">
        <x:v>0</x:v>
      </x:c>
      <x:c r="G3538" s="28" t="n">
        <x:v>1</x:v>
      </x:c>
      <x:c r="H3538" s="28" t="n">
        <x:v>7</x:v>
      </x:c>
      <x:c r="I3538" s="28" t="n">
        <x:v>7</x:v>
      </x:c>
      <x:c r="J3538" s="28" t="n">
        <x:v>2</x:v>
      </x:c>
      <x:c r="K3538" s="28" t="n">
        <x:v>4</x:v>
      </x:c>
      <x:c r="L3538" s="28" t="n">
        <x:v>3</x:v>
      </x:c>
      <x:c r="M3538" s="28" t="n">
        <x:v>4</x:v>
      </x:c>
      <x:c r="N3538" s="28" t="n">
        <x:v>1</x:v>
      </x:c>
      <x:c r="O3538" s="28" t="n">
        <x:v>0</x:v>
      </x:c>
      <x:c r="P3538" s="28" t="n">
        <x:v>0</x:v>
      </x:c>
      <x:c r="Q3538" s="24" t="n">
        <x:f>IFERROR(J3538/H3538,0)</x:f>
        <x:v>0.2857142857142857</x:v>
      </x:c>
      <x:c r="R3538" s="24" t="n">
        <x:f>IFERROR(F3538/H3538,0)</x:f>
        <x:v>0</x:v>
      </x:c>
      <x:c r="S3538" s="24" t="n">
        <x:f>IFERROR(F3538/J3538,0)</x:f>
        <x:v>0</x:v>
      </x:c>
      <x:c r="T3538" s="28" t="n">
        <x:f>H3538-I3538</x:f>
        <x:v>0</x:v>
      </x:c>
      <x:c r="U3538" s="24" t="n">
        <x:f>IFERROR(J3538/H3538,0)-IFERROR(K3538/I3538,0)</x:f>
        <x:v>-0.2857142857142857</x:v>
      </x:c>
      <x:c r="V3538" s="24" t="n">
        <x:f>IFERROR(F3538/J3538,0)-IFERROR(G3538/K3538,0)</x:f>
        <x:v>-0.25</x:v>
      </x:c>
      <x:c r="W3538" s="28" t="n">
        <x:f>L3538-M3538</x:f>
        <x:v>-1</x:v>
      </x:c>
      <x:c r="X3538" s="24" t="n">
        <x:f>IFERROR(K3538/I3538,0)</x:f>
        <x:v>0.5714285714285714</x:v>
      </x:c>
      <x:c r="Y3538" s="24" t="n">
        <x:f>IFERROR(G3538/I3538,0)</x:f>
        <x:v>0.14285714285714285</x:v>
      </x:c>
      <x:c r="Z3538" s="24" t="n">
        <x:f>IFERROR(G3538/K3538,0)</x:f>
        <x:v>0.25</x:v>
      </x:c>
      <x:c r="AA3538" s="24" t="n">
        <x:f>IFERROR(F3538/H3538,0)-IFERROR(G3538/I3538,0)</x:f>
        <x:v>-0.14285714285714285</x:v>
      </x:c>
      <x:c r="AB3538" s="28" t="n">
        <x:f>J3538-K3538</x:f>
        <x:v>-2</x:v>
      </x:c>
      <x:c r="AC3538" s="32" t="n">
        <x:f>F3538-G3538</x:f>
        <x:v>-1</x:v>
      </x:c>
    </x:row>
    <x:row r="3539">
      <x:c r="A3539" s="4" t="str">
        <x:v>2025-26</x:v>
      </x:c>
      <x:c r="B3539" s="20" t="n">
        <x:v>46061</x:v>
      </x:c>
      <x:c r="C3539" s="4" t="str">
        <x:v>Crystal Palace</x:v>
      </x:c>
      <x:c r="D3539" s="4" t="str">
        <x:v>Brighton</x:v>
      </x:c>
      <x:c r="E3539" s="4" t="str">
        <x:v>Away</x:v>
      </x:c>
      <x:c r="F3539" s="28" t="n">
        <x:v>1</x:v>
      </x:c>
      <x:c r="G3539" s="28" t="n">
        <x:v>0</x:v>
      </x:c>
      <x:c r="H3539" s="28" t="n">
        <x:v>7</x:v>
      </x:c>
      <x:c r="I3539" s="28" t="n">
        <x:v>7</x:v>
      </x:c>
      <x:c r="J3539" s="28" t="n">
        <x:v>4</x:v>
      </x:c>
      <x:c r="K3539" s="28" t="n">
        <x:v>2</x:v>
      </x:c>
      <x:c r="L3539" s="28" t="n">
        <x:v>4</x:v>
      </x:c>
      <x:c r="M3539" s="28" t="n">
        <x:v>3</x:v>
      </x:c>
      <x:c r="N3539" s="28" t="n">
        <x:v>3</x:v>
      </x:c>
      <x:c r="O3539" s="28" t="n">
        <x:v>0</x:v>
      </x:c>
      <x:c r="P3539" s="28" t="n">
        <x:v>3</x:v>
      </x:c>
      <x:c r="Q3539" s="24" t="n">
        <x:f>IFERROR(J3539/H3539,0)</x:f>
        <x:v>0.5714285714285714</x:v>
      </x:c>
      <x:c r="R3539" s="24" t="n">
        <x:f>IFERROR(F3539/H3539,0)</x:f>
        <x:v>0.14285714285714285</x:v>
      </x:c>
      <x:c r="S3539" s="24" t="n">
        <x:f>IFERROR(F3539/J3539,0)</x:f>
        <x:v>0.25</x:v>
      </x:c>
      <x:c r="T3539" s="28" t="n">
        <x:f>H3539-I3539</x:f>
        <x:v>0</x:v>
      </x:c>
      <x:c r="U3539" s="24" t="n">
        <x:f>IFERROR(J3539/H3539,0)-IFERROR(K3539/I3539,0)</x:f>
        <x:v>0.2857142857142857</x:v>
      </x:c>
      <x:c r="V3539" s="24" t="n">
        <x:f>IFERROR(F3539/J3539,0)-IFERROR(G3539/K3539,0)</x:f>
        <x:v>0.25</x:v>
      </x:c>
      <x:c r="W3539" s="28" t="n">
        <x:f>L3539-M3539</x:f>
        <x:v>1</x:v>
      </x:c>
      <x:c r="X3539" s="24" t="n">
        <x:f>IFERROR(K3539/I3539,0)</x:f>
        <x:v>0.2857142857142857</x:v>
      </x:c>
      <x:c r="Y3539" s="24" t="n">
        <x:f>IFERROR(G3539/I3539,0)</x:f>
        <x:v>0</x:v>
      </x:c>
      <x:c r="Z3539" s="24" t="n">
        <x:f>IFERROR(G3539/K3539,0)</x:f>
        <x:v>0</x:v>
      </x:c>
      <x:c r="AA3539" s="24" t="n">
        <x:f>IFERROR(F3539/H3539,0)-IFERROR(G3539/I3539,0)</x:f>
        <x:v>0.14285714285714285</x:v>
      </x:c>
      <x:c r="AB3539" s="28" t="n">
        <x:f>J3539-K3539</x:f>
        <x:v>2</x:v>
      </x:c>
      <x:c r="AC3539" s="32" t="n">
        <x:f>F3539-G3539</x:f>
        <x:v>1</x:v>
      </x:c>
    </x:row>
    <x:row r="3540">
      <x:c r="A3540" s="4" t="str">
        <x:v>2025-26</x:v>
      </x:c>
      <x:c r="B3540" s="20" t="n">
        <x:v>46061</x:v>
      </x:c>
      <x:c r="C3540" s="4" t="str">
        <x:v>Liverpool</x:v>
      </x:c>
      <x:c r="D3540" s="4" t="str">
        <x:v>Man City</x:v>
      </x:c>
      <x:c r="E3540" s="4" t="str">
        <x:v>Home</x:v>
      </x:c>
      <x:c r="F3540" s="28" t="n">
        <x:v>1</x:v>
      </x:c>
      <x:c r="G3540" s="28" t="n">
        <x:v>2</x:v>
      </x:c>
      <x:c r="H3540" s="28" t="n">
        <x:v>15</x:v>
      </x:c>
      <x:c r="I3540" s="28" t="n">
        <x:v>17</x:v>
      </x:c>
      <x:c r="J3540" s="28" t="n">
        <x:v>4</x:v>
      </x:c>
      <x:c r="K3540" s="28" t="n">
        <x:v>7</x:v>
      </x:c>
      <x:c r="L3540" s="28" t="n">
        <x:v>5</x:v>
      </x:c>
      <x:c r="M3540" s="28" t="n">
        <x:v>4</x:v>
      </x:c>
      <x:c r="N3540" s="28" t="n">
        <x:v>2</x:v>
      </x:c>
      <x:c r="O3540" s="28" t="n">
        <x:v>1</x:v>
      </x:c>
      <x:c r="P3540" s="28" t="n">
        <x:v>0</x:v>
      </x:c>
      <x:c r="Q3540" s="24" t="n">
        <x:f>IFERROR(J3540/H3540,0)</x:f>
        <x:v>0.26666666666666666</x:v>
      </x:c>
      <x:c r="R3540" s="24" t="n">
        <x:f>IFERROR(F3540/H3540,0)</x:f>
        <x:v>0.06666666666666667</x:v>
      </x:c>
      <x:c r="S3540" s="24" t="n">
        <x:f>IFERROR(F3540/J3540,0)</x:f>
        <x:v>0.25</x:v>
      </x:c>
      <x:c r="T3540" s="28" t="n">
        <x:f>H3540-I3540</x:f>
        <x:v>-2</x:v>
      </x:c>
      <x:c r="U3540" s="24" t="n">
        <x:f>IFERROR(J3540/H3540,0)-IFERROR(K3540/I3540,0)</x:f>
        <x:v>-0.14509803921568626</x:v>
      </x:c>
      <x:c r="V3540" s="24" t="n">
        <x:f>IFERROR(F3540/J3540,0)-IFERROR(G3540/K3540,0)</x:f>
        <x:v>-0.0357142857142857</x:v>
      </x:c>
      <x:c r="W3540" s="28" t="n">
        <x:f>L3540-M3540</x:f>
        <x:v>1</x:v>
      </x:c>
      <x:c r="X3540" s="24" t="n">
        <x:f>IFERROR(K3540/I3540,0)</x:f>
        <x:v>0.4117647058823529</x:v>
      </x:c>
      <x:c r="Y3540" s="24" t="n">
        <x:f>IFERROR(G3540/I3540,0)</x:f>
        <x:v>0.11764705882352941</x:v>
      </x:c>
      <x:c r="Z3540" s="24" t="n">
        <x:f>IFERROR(G3540/K3540,0)</x:f>
        <x:v>0.2857142857142857</x:v>
      </x:c>
      <x:c r="AA3540" s="24" t="n">
        <x:f>IFERROR(F3540/H3540,0)-IFERROR(G3540/I3540,0)</x:f>
        <x:v>-0.050980392156862744</x:v>
      </x:c>
      <x:c r="AB3540" s="28" t="n">
        <x:f>J3540-K3540</x:f>
        <x:v>-3</x:v>
      </x:c>
      <x:c r="AC3540" s="32" t="n">
        <x:f>F3540-G3540</x:f>
        <x:v>-1</x:v>
      </x:c>
    </x:row>
    <x:row r="3541">
      <x:c r="A3541" s="4" t="str">
        <x:v>2025-26</x:v>
      </x:c>
      <x:c r="B3541" s="20" t="n">
        <x:v>46061</x:v>
      </x:c>
      <x:c r="C3541" s="4" t="str">
        <x:v>Man City</x:v>
      </x:c>
      <x:c r="D3541" s="4" t="str">
        <x:v>Liverpool</x:v>
      </x:c>
      <x:c r="E3541" s="4" t="str">
        <x:v>Away</x:v>
      </x:c>
      <x:c r="F3541" s="28" t="n">
        <x:v>2</x:v>
      </x:c>
      <x:c r="G3541" s="28" t="n">
        <x:v>1</x:v>
      </x:c>
      <x:c r="H3541" s="28" t="n">
        <x:v>17</x:v>
      </x:c>
      <x:c r="I3541" s="28" t="n">
        <x:v>15</x:v>
      </x:c>
      <x:c r="J3541" s="28" t="n">
        <x:v>7</x:v>
      </x:c>
      <x:c r="K3541" s="28" t="n">
        <x:v>4</x:v>
      </x:c>
      <x:c r="L3541" s="28" t="n">
        <x:v>4</x:v>
      </x:c>
      <x:c r="M3541" s="28" t="n">
        <x:v>5</x:v>
      </x:c>
      <x:c r="N3541" s="28" t="n">
        <x:v>4</x:v>
      </x:c>
      <x:c r="O3541" s="28" t="n">
        <x:v>0</x:v>
      </x:c>
      <x:c r="P3541" s="28" t="n">
        <x:v>3</x:v>
      </x:c>
      <x:c r="Q3541" s="24" t="n">
        <x:f>IFERROR(J3541/H3541,0)</x:f>
        <x:v>0.4117647058823529</x:v>
      </x:c>
      <x:c r="R3541" s="24" t="n">
        <x:f>IFERROR(F3541/H3541,0)</x:f>
        <x:v>0.11764705882352941</x:v>
      </x:c>
      <x:c r="S3541" s="24" t="n">
        <x:f>IFERROR(F3541/J3541,0)</x:f>
        <x:v>0.2857142857142857</x:v>
      </x:c>
      <x:c r="T3541" s="28" t="n">
        <x:f>H3541-I3541</x:f>
        <x:v>2</x:v>
      </x:c>
      <x:c r="U3541" s="24" t="n">
        <x:f>IFERROR(J3541/H3541,0)-IFERROR(K3541/I3541,0)</x:f>
        <x:v>0.14509803921568626</x:v>
      </x:c>
      <x:c r="V3541" s="24" t="n">
        <x:f>IFERROR(F3541/J3541,0)-IFERROR(G3541/K3541,0)</x:f>
        <x:v>0.0357142857142857</x:v>
      </x:c>
      <x:c r="W3541" s="28" t="n">
        <x:f>L3541-M3541</x:f>
        <x:v>-1</x:v>
      </x:c>
      <x:c r="X3541" s="24" t="n">
        <x:f>IFERROR(K3541/I3541,0)</x:f>
        <x:v>0.26666666666666666</x:v>
      </x:c>
      <x:c r="Y3541" s="24" t="n">
        <x:f>IFERROR(G3541/I3541,0)</x:f>
        <x:v>0.06666666666666667</x:v>
      </x:c>
      <x:c r="Z3541" s="24" t="n">
        <x:f>IFERROR(G3541/K3541,0)</x:f>
        <x:v>0.25</x:v>
      </x:c>
      <x:c r="AA3541" s="24" t="n">
        <x:f>IFERROR(F3541/H3541,0)-IFERROR(G3541/I3541,0)</x:f>
        <x:v>0.050980392156862744</x:v>
      </x:c>
      <x:c r="AB3541" s="28" t="n">
        <x:f>J3541-K3541</x:f>
        <x:v>3</x:v>
      </x:c>
      <x:c r="AC3541" s="32" t="n">
        <x:f>F3541-G3541</x:f>
        <x:v>1</x:v>
      </x:c>
    </x:row>
    <x:row r="3542">
      <x:c r="A3542" s="4" t="str">
        <x:v>2025-26</x:v>
      </x:c>
      <x:c r="B3542" s="20" t="n">
        <x:v>46063</x:v>
      </x:c>
      <x:c r="C3542" s="4" t="str">
        <x:v>Bournemouth</x:v>
      </x:c>
      <x:c r="D3542" s="4" t="str">
        <x:v>Everton</x:v>
      </x:c>
      <x:c r="E3542" s="4" t="str">
        <x:v>Away</x:v>
      </x:c>
      <x:c r="F3542" s="28" t="n">
        <x:v>2</x:v>
      </x:c>
      <x:c r="G3542" s="28" t="n">
        <x:v>1</x:v>
      </x:c>
      <x:c r="H3542" s="28" t="n">
        <x:v>11</x:v>
      </x:c>
      <x:c r="I3542" s="28" t="n">
        <x:v>16</x:v>
      </x:c>
      <x:c r="J3542" s="28" t="n">
        <x:v>4</x:v>
      </x:c>
      <x:c r="K3542" s="28" t="n">
        <x:v>6</x:v>
      </x:c>
      <x:c r="L3542" s="28" t="n">
        <x:v>2</x:v>
      </x:c>
      <x:c r="M3542" s="28" t="n">
        <x:v>7</x:v>
      </x:c>
      <x:c r="N3542" s="28" t="n">
        <x:v>3</x:v>
      </x:c>
      <x:c r="O3542" s="28" t="n">
        <x:v>0</x:v>
      </x:c>
      <x:c r="P3542" s="28" t="n">
        <x:v>3</x:v>
      </x:c>
      <x:c r="Q3542" s="24" t="n">
        <x:f>IFERROR(J3542/H3542,0)</x:f>
        <x:v>0.36363636363636365</x:v>
      </x:c>
      <x:c r="R3542" s="24" t="n">
        <x:f>IFERROR(F3542/H3542,0)</x:f>
        <x:v>0.18181818181818182</x:v>
      </x:c>
      <x:c r="S3542" s="24" t="n">
        <x:f>IFERROR(F3542/J3542,0)</x:f>
        <x:v>0.5</x:v>
      </x:c>
      <x:c r="T3542" s="28" t="n">
        <x:f>H3542-I3542</x:f>
        <x:v>-5</x:v>
      </x:c>
      <x:c r="U3542" s="24" t="n">
        <x:f>IFERROR(J3542/H3542,0)-IFERROR(K3542/I3542,0)</x:f>
        <x:v>-0.011363636363636354</x:v>
      </x:c>
      <x:c r="V3542" s="24" t="n">
        <x:f>IFERROR(F3542/J3542,0)-IFERROR(G3542/K3542,0)</x:f>
        <x:v>0.33333333333333337</x:v>
      </x:c>
      <x:c r="W3542" s="28" t="n">
        <x:f>L3542-M3542</x:f>
        <x:v>-5</x:v>
      </x:c>
      <x:c r="X3542" s="24" t="n">
        <x:f>IFERROR(K3542/I3542,0)</x:f>
        <x:v>0.375</x:v>
      </x:c>
      <x:c r="Y3542" s="24" t="n">
        <x:f>IFERROR(G3542/I3542,0)</x:f>
        <x:v>0.0625</x:v>
      </x:c>
      <x:c r="Z3542" s="24" t="n">
        <x:f>IFERROR(G3542/K3542,0)</x:f>
        <x:v>0.16666666666666666</x:v>
      </x:c>
      <x:c r="AA3542" s="24" t="n">
        <x:f>IFERROR(F3542/H3542,0)-IFERROR(G3542/I3542,0)</x:f>
        <x:v>0.11931818181818182</x:v>
      </x:c>
      <x:c r="AB3542" s="28" t="n">
        <x:f>J3542-K3542</x:f>
        <x:v>-2</x:v>
      </x:c>
      <x:c r="AC3542" s="32" t="n">
        <x:f>F3542-G3542</x:f>
        <x:v>1</x:v>
      </x:c>
    </x:row>
    <x:row r="3543">
      <x:c r="A3543" s="4" t="str">
        <x:v>2025-26</x:v>
      </x:c>
      <x:c r="B3543" s="20" t="n">
        <x:v>46063</x:v>
      </x:c>
      <x:c r="C3543" s="4" t="str">
        <x:v>Chelsea</x:v>
      </x:c>
      <x:c r="D3543" s="4" t="str">
        <x:v>Leeds</x:v>
      </x:c>
      <x:c r="E3543" s="4" t="str">
        <x:v>Home</x:v>
      </x:c>
      <x:c r="F3543" s="28" t="n">
        <x:v>2</x:v>
      </x:c>
      <x:c r="G3543" s="28" t="n">
        <x:v>2</x:v>
      </x:c>
      <x:c r="H3543" s="28" t="n">
        <x:v>19</x:v>
      </x:c>
      <x:c r="I3543" s="28" t="n">
        <x:v>4</x:v>
      </x:c>
      <x:c r="J3543" s="28" t="n">
        <x:v>4</x:v>
      </x:c>
      <x:c r="K3543" s="28" t="n">
        <x:v>2</x:v>
      </x:c>
      <x:c r="L3543" s="28" t="n">
        <x:v>4</x:v>
      </x:c>
      <x:c r="M3543" s="28" t="n">
        <x:v>1</x:v>
      </x:c>
      <x:c r="N3543" s="28" t="n">
        <x:v>4</x:v>
      </x:c>
      <x:c r="O3543" s="28" t="n">
        <x:v>0</x:v>
      </x:c>
      <x:c r="P3543" s="28" t="n">
        <x:v>1</x:v>
      </x:c>
      <x:c r="Q3543" s="24" t="n">
        <x:f>IFERROR(J3543/H3543,0)</x:f>
        <x:v>0.21052631578947367</x:v>
      </x:c>
      <x:c r="R3543" s="24" t="n">
        <x:f>IFERROR(F3543/H3543,0)</x:f>
        <x:v>0.10526315789473684</x:v>
      </x:c>
      <x:c r="S3543" s="24" t="n">
        <x:f>IFERROR(F3543/J3543,0)</x:f>
        <x:v>0.5</x:v>
      </x:c>
      <x:c r="T3543" s="28" t="n">
        <x:f>H3543-I3543</x:f>
        <x:v>15</x:v>
      </x:c>
      <x:c r="U3543" s="24" t="n">
        <x:f>IFERROR(J3543/H3543,0)-IFERROR(K3543/I3543,0)</x:f>
        <x:v>-0.2894736842105263</x:v>
      </x:c>
      <x:c r="V3543" s="24" t="n">
        <x:f>IFERROR(F3543/J3543,0)-IFERROR(G3543/K3543,0)</x:f>
        <x:v>-0.5</x:v>
      </x:c>
      <x:c r="W3543" s="28" t="n">
        <x:f>L3543-M3543</x:f>
        <x:v>3</x:v>
      </x:c>
      <x:c r="X3543" s="24" t="n">
        <x:f>IFERROR(K3543/I3543,0)</x:f>
        <x:v>0.5</x:v>
      </x:c>
      <x:c r="Y3543" s="24" t="n">
        <x:f>IFERROR(G3543/I3543,0)</x:f>
        <x:v>0.5</x:v>
      </x:c>
      <x:c r="Z3543" s="24" t="n">
        <x:f>IFERROR(G3543/K3543,0)</x:f>
        <x:v>1</x:v>
      </x:c>
      <x:c r="AA3543" s="24" t="n">
        <x:f>IFERROR(F3543/H3543,0)-IFERROR(G3543/I3543,0)</x:f>
        <x:v>-0.39473684210526316</x:v>
      </x:c>
      <x:c r="AB3543" s="28" t="n">
        <x:f>J3543-K3543</x:f>
        <x:v>2</x:v>
      </x:c>
      <x:c r="AC3543" s="32" t="n">
        <x:f>F3543-G3543</x:f>
        <x:v>0</x:v>
      </x:c>
    </x:row>
    <x:row r="3544">
      <x:c r="A3544" s="4" t="str">
        <x:v>2025-26</x:v>
      </x:c>
      <x:c r="B3544" s="20" t="n">
        <x:v>46063</x:v>
      </x:c>
      <x:c r="C3544" s="4" t="str">
        <x:v>Everton</x:v>
      </x:c>
      <x:c r="D3544" s="4" t="str">
        <x:v>Bournemouth</x:v>
      </x:c>
      <x:c r="E3544" s="4" t="str">
        <x:v>Home</x:v>
      </x:c>
      <x:c r="F3544" s="28" t="n">
        <x:v>1</x:v>
      </x:c>
      <x:c r="G3544" s="28" t="n">
        <x:v>2</x:v>
      </x:c>
      <x:c r="H3544" s="28" t="n">
        <x:v>16</x:v>
      </x:c>
      <x:c r="I3544" s="28" t="n">
        <x:v>11</x:v>
      </x:c>
      <x:c r="J3544" s="28" t="n">
        <x:v>6</x:v>
      </x:c>
      <x:c r="K3544" s="28" t="n">
        <x:v>4</x:v>
      </x:c>
      <x:c r="L3544" s="28" t="n">
        <x:v>7</x:v>
      </x:c>
      <x:c r="M3544" s="28" t="n">
        <x:v>2</x:v>
      </x:c>
      <x:c r="N3544" s="28" t="n">
        <x:v>1</x:v>
      </x:c>
      <x:c r="O3544" s="28" t="n">
        <x:v>1</x:v>
      </x:c>
      <x:c r="P3544" s="28" t="n">
        <x:v>0</x:v>
      </x:c>
      <x:c r="Q3544" s="24" t="n">
        <x:f>IFERROR(J3544/H3544,0)</x:f>
        <x:v>0.375</x:v>
      </x:c>
      <x:c r="R3544" s="24" t="n">
        <x:f>IFERROR(F3544/H3544,0)</x:f>
        <x:v>0.0625</x:v>
      </x:c>
      <x:c r="S3544" s="24" t="n">
        <x:f>IFERROR(F3544/J3544,0)</x:f>
        <x:v>0.16666666666666666</x:v>
      </x:c>
      <x:c r="T3544" s="28" t="n">
        <x:f>H3544-I3544</x:f>
        <x:v>5</x:v>
      </x:c>
      <x:c r="U3544" s="24" t="n">
        <x:f>IFERROR(J3544/H3544,0)-IFERROR(K3544/I3544,0)</x:f>
        <x:v>0.011363636363636354</x:v>
      </x:c>
      <x:c r="V3544" s="24" t="n">
        <x:f>IFERROR(F3544/J3544,0)-IFERROR(G3544/K3544,0)</x:f>
        <x:v>-0.33333333333333337</x:v>
      </x:c>
      <x:c r="W3544" s="28" t="n">
        <x:f>L3544-M3544</x:f>
        <x:v>5</x:v>
      </x:c>
      <x:c r="X3544" s="24" t="n">
        <x:f>IFERROR(K3544/I3544,0)</x:f>
        <x:v>0.36363636363636365</x:v>
      </x:c>
      <x:c r="Y3544" s="24" t="n">
        <x:f>IFERROR(G3544/I3544,0)</x:f>
        <x:v>0.18181818181818182</x:v>
      </x:c>
      <x:c r="Z3544" s="24" t="n">
        <x:f>IFERROR(G3544/K3544,0)</x:f>
        <x:v>0.5</x:v>
      </x:c>
      <x:c r="AA3544" s="24" t="n">
        <x:f>IFERROR(F3544/H3544,0)-IFERROR(G3544/I3544,0)</x:f>
        <x:v>-0.11931818181818182</x:v>
      </x:c>
      <x:c r="AB3544" s="28" t="n">
        <x:f>J3544-K3544</x:f>
        <x:v>2</x:v>
      </x:c>
      <x:c r="AC3544" s="32" t="n">
        <x:f>F3544-G3544</x:f>
        <x:v>-1</x:v>
      </x:c>
    </x:row>
    <x:row r="3545">
      <x:c r="A3545" s="4" t="str">
        <x:v>2025-26</x:v>
      </x:c>
      <x:c r="B3545" s="20" t="n">
        <x:v>46063</x:v>
      </x:c>
      <x:c r="C3545" s="4" t="str">
        <x:v>Leeds</x:v>
      </x:c>
      <x:c r="D3545" s="4" t="str">
        <x:v>Chelsea</x:v>
      </x:c>
      <x:c r="E3545" s="4" t="str">
        <x:v>Away</x:v>
      </x:c>
      <x:c r="F3545" s="28" t="n">
        <x:v>2</x:v>
      </x:c>
      <x:c r="G3545" s="28" t="n">
        <x:v>2</x:v>
      </x:c>
      <x:c r="H3545" s="28" t="n">
        <x:v>4</x:v>
      </x:c>
      <x:c r="I3545" s="28" t="n">
        <x:v>19</x:v>
      </x:c>
      <x:c r="J3545" s="28" t="n">
        <x:v>2</x:v>
      </x:c>
      <x:c r="K3545" s="28" t="n">
        <x:v>4</x:v>
      </x:c>
      <x:c r="L3545" s="28" t="n">
        <x:v>1</x:v>
      </x:c>
      <x:c r="M3545" s="28" t="n">
        <x:v>4</x:v>
      </x:c>
      <x:c r="N3545" s="28" t="n">
        <x:v>4</x:v>
      </x:c>
      <x:c r="O3545" s="28" t="n">
        <x:v>0</x:v>
      </x:c>
      <x:c r="P3545" s="28" t="n">
        <x:v>1</x:v>
      </x:c>
      <x:c r="Q3545" s="24" t="n">
        <x:f>IFERROR(J3545/H3545,0)</x:f>
        <x:v>0.5</x:v>
      </x:c>
      <x:c r="R3545" s="24" t="n">
        <x:f>IFERROR(F3545/H3545,0)</x:f>
        <x:v>0.5</x:v>
      </x:c>
      <x:c r="S3545" s="24" t="n">
        <x:f>IFERROR(F3545/J3545,0)</x:f>
        <x:v>1</x:v>
      </x:c>
      <x:c r="T3545" s="28" t="n">
        <x:f>H3545-I3545</x:f>
        <x:v>-15</x:v>
      </x:c>
      <x:c r="U3545" s="24" t="n">
        <x:f>IFERROR(J3545/H3545,0)-IFERROR(K3545/I3545,0)</x:f>
        <x:v>0.2894736842105263</x:v>
      </x:c>
      <x:c r="V3545" s="24" t="n">
        <x:f>IFERROR(F3545/J3545,0)-IFERROR(G3545/K3545,0)</x:f>
        <x:v>0.5</x:v>
      </x:c>
      <x:c r="W3545" s="28" t="n">
        <x:f>L3545-M3545</x:f>
        <x:v>-3</x:v>
      </x:c>
      <x:c r="X3545" s="24" t="n">
        <x:f>IFERROR(K3545/I3545,0)</x:f>
        <x:v>0.21052631578947367</x:v>
      </x:c>
      <x:c r="Y3545" s="24" t="n">
        <x:f>IFERROR(G3545/I3545,0)</x:f>
        <x:v>0.10526315789473684</x:v>
      </x:c>
      <x:c r="Z3545" s="24" t="n">
        <x:f>IFERROR(G3545/K3545,0)</x:f>
        <x:v>0.5</x:v>
      </x:c>
      <x:c r="AA3545" s="24" t="n">
        <x:f>IFERROR(F3545/H3545,0)-IFERROR(G3545/I3545,0)</x:f>
        <x:v>0.39473684210526316</x:v>
      </x:c>
      <x:c r="AB3545" s="28" t="n">
        <x:f>J3545-K3545</x:f>
        <x:v>-2</x:v>
      </x:c>
      <x:c r="AC3545" s="32" t="n">
        <x:f>F3545-G3545</x:f>
        <x:v>0</x:v>
      </x:c>
    </x:row>
    <x:row r="3546">
      <x:c r="A3546" s="4" t="str">
        <x:v>2025-26</x:v>
      </x:c>
      <x:c r="B3546" s="20" t="n">
        <x:v>46063</x:v>
      </x:c>
      <x:c r="C3546" s="4" t="str">
        <x:v>Man United</x:v>
      </x:c>
      <x:c r="D3546" s="4" t="str">
        <x:v>West Ham</x:v>
      </x:c>
      <x:c r="E3546" s="4" t="str">
        <x:v>Away</x:v>
      </x:c>
      <x:c r="F3546" s="28" t="n">
        <x:v>1</x:v>
      </x:c>
      <x:c r="G3546" s="28" t="n">
        <x:v>1</x:v>
      </x:c>
      <x:c r="H3546" s="28" t="n">
        <x:v>9</x:v>
      </x:c>
      <x:c r="I3546" s="28" t="n">
        <x:v>7</x:v>
      </x:c>
      <x:c r="J3546" s="28" t="n">
        <x:v>3</x:v>
      </x:c>
      <x:c r="K3546" s="28" t="n">
        <x:v>3</x:v>
      </x:c>
      <x:c r="L3546" s="28" t="n">
        <x:v>3</x:v>
      </x:c>
      <x:c r="M3546" s="28" t="n">
        <x:v>5</x:v>
      </x:c>
      <x:c r="N3546" s="28" t="n">
        <x:v>1</x:v>
      </x:c>
      <x:c r="O3546" s="28" t="n">
        <x:v>0</x:v>
      </x:c>
      <x:c r="P3546" s="28" t="n">
        <x:v>1</x:v>
      </x:c>
      <x:c r="Q3546" s="24" t="n">
        <x:f>IFERROR(J3546/H3546,0)</x:f>
        <x:v>0.3333333333333333</x:v>
      </x:c>
      <x:c r="R3546" s="24" t="n">
        <x:f>IFERROR(F3546/H3546,0)</x:f>
        <x:v>0.1111111111111111</x:v>
      </x:c>
      <x:c r="S3546" s="24" t="n">
        <x:f>IFERROR(F3546/J3546,0)</x:f>
        <x:v>0.3333333333333333</x:v>
      </x:c>
      <x:c r="T3546" s="28" t="n">
        <x:f>H3546-I3546</x:f>
        <x:v>2</x:v>
      </x:c>
      <x:c r="U3546" s="24" t="n">
        <x:f>IFERROR(J3546/H3546,0)-IFERROR(K3546/I3546,0)</x:f>
        <x:v>-0.09523809523809523</x:v>
      </x:c>
      <x:c r="V3546" s="24" t="n">
        <x:f>IFERROR(F3546/J3546,0)-IFERROR(G3546/K3546,0)</x:f>
        <x:v>0</x:v>
      </x:c>
      <x:c r="W3546" s="28" t="n">
        <x:f>L3546-M3546</x:f>
        <x:v>-2</x:v>
      </x:c>
      <x:c r="X3546" s="24" t="n">
        <x:f>IFERROR(K3546/I3546,0)</x:f>
        <x:v>0.42857142857142855</x:v>
      </x:c>
      <x:c r="Y3546" s="24" t="n">
        <x:f>IFERROR(G3546/I3546,0)</x:f>
        <x:v>0.14285714285714285</x:v>
      </x:c>
      <x:c r="Z3546" s="24" t="n">
        <x:f>IFERROR(G3546/K3546,0)</x:f>
        <x:v>0.3333333333333333</x:v>
      </x:c>
      <x:c r="AA3546" s="24" t="n">
        <x:f>IFERROR(F3546/H3546,0)-IFERROR(G3546/I3546,0)</x:f>
        <x:v>-0.031746031746031744</x:v>
      </x:c>
      <x:c r="AB3546" s="28" t="n">
        <x:f>J3546-K3546</x:f>
        <x:v>0</x:v>
      </x:c>
      <x:c r="AC3546" s="32" t="n">
        <x:f>F3546-G3546</x:f>
        <x:v>0</x:v>
      </x:c>
    </x:row>
    <x:row r="3547">
      <x:c r="A3547" s="4" t="str">
        <x:v>2025-26</x:v>
      </x:c>
      <x:c r="B3547" s="20" t="n">
        <x:v>46063</x:v>
      </x:c>
      <x:c r="C3547" s="4" t="str">
        <x:v>Newcastle</x:v>
      </x:c>
      <x:c r="D3547" s="4" t="str">
        <x:v>Tottenham</x:v>
      </x:c>
      <x:c r="E3547" s="4" t="str">
        <x:v>Away</x:v>
      </x:c>
      <x:c r="F3547" s="28" t="n">
        <x:v>2</x:v>
      </x:c>
      <x:c r="G3547" s="28" t="n">
        <x:v>1</x:v>
      </x:c>
      <x:c r="H3547" s="28" t="n">
        <x:v>21</x:v>
      </x:c>
      <x:c r="I3547" s="28" t="n">
        <x:v>16</x:v>
      </x:c>
      <x:c r="J3547" s="28" t="n">
        <x:v>5</x:v>
      </x:c>
      <x:c r="K3547" s="28" t="n">
        <x:v>2</x:v>
      </x:c>
      <x:c r="L3547" s="28" t="n">
        <x:v>12</x:v>
      </x:c>
      <x:c r="M3547" s="28" t="n">
        <x:v>2</x:v>
      </x:c>
      <x:c r="N3547" s="28" t="n">
        <x:v>2</x:v>
      </x:c>
      <x:c r="O3547" s="28" t="n">
        <x:v>0</x:v>
      </x:c>
      <x:c r="P3547" s="28" t="n">
        <x:v>3</x:v>
      </x:c>
      <x:c r="Q3547" s="24" t="n">
        <x:f>IFERROR(J3547/H3547,0)</x:f>
        <x:v>0.23809523809523808</x:v>
      </x:c>
      <x:c r="R3547" s="24" t="n">
        <x:f>IFERROR(F3547/H3547,0)</x:f>
        <x:v>0.09523809523809523</x:v>
      </x:c>
      <x:c r="S3547" s="24" t="n">
        <x:f>IFERROR(F3547/J3547,0)</x:f>
        <x:v>0.4</x:v>
      </x:c>
      <x:c r="T3547" s="28" t="n">
        <x:f>H3547-I3547</x:f>
        <x:v>5</x:v>
      </x:c>
      <x:c r="U3547" s="24" t="n">
        <x:f>IFERROR(J3547/H3547,0)-IFERROR(K3547/I3547,0)</x:f>
        <x:v>0.11309523809523808</x:v>
      </x:c>
      <x:c r="V3547" s="24" t="n">
        <x:f>IFERROR(F3547/J3547,0)-IFERROR(G3547/K3547,0)</x:f>
        <x:v>-0.09999999999999998</x:v>
      </x:c>
      <x:c r="W3547" s="28" t="n">
        <x:f>L3547-M3547</x:f>
        <x:v>10</x:v>
      </x:c>
      <x:c r="X3547" s="24" t="n">
        <x:f>IFERROR(K3547/I3547,0)</x:f>
        <x:v>0.125</x:v>
      </x:c>
      <x:c r="Y3547" s="24" t="n">
        <x:f>IFERROR(G3547/I3547,0)</x:f>
        <x:v>0.0625</x:v>
      </x:c>
      <x:c r="Z3547" s="24" t="n">
        <x:f>IFERROR(G3547/K3547,0)</x:f>
        <x:v>0.5</x:v>
      </x:c>
      <x:c r="AA3547" s="24" t="n">
        <x:f>IFERROR(F3547/H3547,0)-IFERROR(G3547/I3547,0)</x:f>
        <x:v>0.03273809523809523</x:v>
      </x:c>
      <x:c r="AB3547" s="28" t="n">
        <x:f>J3547-K3547</x:f>
        <x:v>3</x:v>
      </x:c>
      <x:c r="AC3547" s="32" t="n">
        <x:f>F3547-G3547</x:f>
        <x:v>1</x:v>
      </x:c>
    </x:row>
    <x:row r="3548">
      <x:c r="A3548" s="4" t="str">
        <x:v>2025-26</x:v>
      </x:c>
      <x:c r="B3548" s="20" t="n">
        <x:v>46063</x:v>
      </x:c>
      <x:c r="C3548" s="4" t="str">
        <x:v>Tottenham</x:v>
      </x:c>
      <x:c r="D3548" s="4" t="str">
        <x:v>Newcastle</x:v>
      </x:c>
      <x:c r="E3548" s="4" t="str">
        <x:v>Home</x:v>
      </x:c>
      <x:c r="F3548" s="28" t="n">
        <x:v>1</x:v>
      </x:c>
      <x:c r="G3548" s="28" t="n">
        <x:v>2</x:v>
      </x:c>
      <x:c r="H3548" s="28" t="n">
        <x:v>16</x:v>
      </x:c>
      <x:c r="I3548" s="28" t="n">
        <x:v>21</x:v>
      </x:c>
      <x:c r="J3548" s="28" t="n">
        <x:v>2</x:v>
      </x:c>
      <x:c r="K3548" s="28" t="n">
        <x:v>5</x:v>
      </x:c>
      <x:c r="L3548" s="28" t="n">
        <x:v>2</x:v>
      </x:c>
      <x:c r="M3548" s="28" t="n">
        <x:v>12</x:v>
      </x:c>
      <x:c r="N3548" s="28" t="n">
        <x:v>3</x:v>
      </x:c>
      <x:c r="O3548" s="28" t="n">
        <x:v>0</x:v>
      </x:c>
      <x:c r="P3548" s="28" t="n">
        <x:v>0</x:v>
      </x:c>
      <x:c r="Q3548" s="24" t="n">
        <x:f>IFERROR(J3548/H3548,0)</x:f>
        <x:v>0.125</x:v>
      </x:c>
      <x:c r="R3548" s="24" t="n">
        <x:f>IFERROR(F3548/H3548,0)</x:f>
        <x:v>0.0625</x:v>
      </x:c>
      <x:c r="S3548" s="24" t="n">
        <x:f>IFERROR(F3548/J3548,0)</x:f>
        <x:v>0.5</x:v>
      </x:c>
      <x:c r="T3548" s="28" t="n">
        <x:f>H3548-I3548</x:f>
        <x:v>-5</x:v>
      </x:c>
      <x:c r="U3548" s="24" t="n">
        <x:f>IFERROR(J3548/H3548,0)-IFERROR(K3548/I3548,0)</x:f>
        <x:v>-0.11309523809523808</x:v>
      </x:c>
      <x:c r="V3548" s="24" t="n">
        <x:f>IFERROR(F3548/J3548,0)-IFERROR(G3548/K3548,0)</x:f>
        <x:v>0.09999999999999998</x:v>
      </x:c>
      <x:c r="W3548" s="28" t="n">
        <x:f>L3548-M3548</x:f>
        <x:v>-10</x:v>
      </x:c>
      <x:c r="X3548" s="24" t="n">
        <x:f>IFERROR(K3548/I3548,0)</x:f>
        <x:v>0.23809523809523808</x:v>
      </x:c>
      <x:c r="Y3548" s="24" t="n">
        <x:f>IFERROR(G3548/I3548,0)</x:f>
        <x:v>0.09523809523809523</x:v>
      </x:c>
      <x:c r="Z3548" s="24" t="n">
        <x:f>IFERROR(G3548/K3548,0)</x:f>
        <x:v>0.4</x:v>
      </x:c>
      <x:c r="AA3548" s="24" t="n">
        <x:f>IFERROR(F3548/H3548,0)-IFERROR(G3548/I3548,0)</x:f>
        <x:v>-0.03273809523809523</x:v>
      </x:c>
      <x:c r="AB3548" s="28" t="n">
        <x:f>J3548-K3548</x:f>
        <x:v>-3</x:v>
      </x:c>
      <x:c r="AC3548" s="32" t="n">
        <x:f>F3548-G3548</x:f>
        <x:v>-1</x:v>
      </x:c>
    </x:row>
    <x:row r="3549">
      <x:c r="A3549" s="4" t="str">
        <x:v>2025-26</x:v>
      </x:c>
      <x:c r="B3549" s="20" t="n">
        <x:v>46063</x:v>
      </x:c>
      <x:c r="C3549" s="4" t="str">
        <x:v>West Ham</x:v>
      </x:c>
      <x:c r="D3549" s="4" t="str">
        <x:v>Man United</x:v>
      </x:c>
      <x:c r="E3549" s="4" t="str">
        <x:v>Home</x:v>
      </x:c>
      <x:c r="F3549" s="28" t="n">
        <x:v>1</x:v>
      </x:c>
      <x:c r="G3549" s="28" t="n">
        <x:v>1</x:v>
      </x:c>
      <x:c r="H3549" s="28" t="n">
        <x:v>7</x:v>
      </x:c>
      <x:c r="I3549" s="28" t="n">
        <x:v>9</x:v>
      </x:c>
      <x:c r="J3549" s="28" t="n">
        <x:v>3</x:v>
      </x:c>
      <x:c r="K3549" s="28" t="n">
        <x:v>3</x:v>
      </x:c>
      <x:c r="L3549" s="28" t="n">
        <x:v>5</x:v>
      </x:c>
      <x:c r="M3549" s="28" t="n">
        <x:v>3</x:v>
      </x:c>
      <x:c r="N3549" s="28" t="n">
        <x:v>1</x:v>
      </x:c>
      <x:c r="O3549" s="28" t="n">
        <x:v>0</x:v>
      </x:c>
      <x:c r="P3549" s="28" t="n">
        <x:v>1</x:v>
      </x:c>
      <x:c r="Q3549" s="24" t="n">
        <x:f>IFERROR(J3549/H3549,0)</x:f>
        <x:v>0.42857142857142855</x:v>
      </x:c>
      <x:c r="R3549" s="24" t="n">
        <x:f>IFERROR(F3549/H3549,0)</x:f>
        <x:v>0.14285714285714285</x:v>
      </x:c>
      <x:c r="S3549" s="24" t="n">
        <x:f>IFERROR(F3549/J3549,0)</x:f>
        <x:v>0.3333333333333333</x:v>
      </x:c>
      <x:c r="T3549" s="28" t="n">
        <x:f>H3549-I3549</x:f>
        <x:v>-2</x:v>
      </x:c>
      <x:c r="U3549" s="24" t="n">
        <x:f>IFERROR(J3549/H3549,0)-IFERROR(K3549/I3549,0)</x:f>
        <x:v>0.09523809523809523</x:v>
      </x:c>
      <x:c r="V3549" s="24" t="n">
        <x:f>IFERROR(F3549/J3549,0)-IFERROR(G3549/K3549,0)</x:f>
        <x:v>0</x:v>
      </x:c>
      <x:c r="W3549" s="28" t="n">
        <x:f>L3549-M3549</x:f>
        <x:v>2</x:v>
      </x:c>
      <x:c r="X3549" s="24" t="n">
        <x:f>IFERROR(K3549/I3549,0)</x:f>
        <x:v>0.3333333333333333</x:v>
      </x:c>
      <x:c r="Y3549" s="24" t="n">
        <x:f>IFERROR(G3549/I3549,0)</x:f>
        <x:v>0.1111111111111111</x:v>
      </x:c>
      <x:c r="Z3549" s="24" t="n">
        <x:f>IFERROR(G3549/K3549,0)</x:f>
        <x:v>0.3333333333333333</x:v>
      </x:c>
      <x:c r="AA3549" s="24" t="n">
        <x:f>IFERROR(F3549/H3549,0)-IFERROR(G3549/I3549,0)</x:f>
        <x:v>0.031746031746031744</x:v>
      </x:c>
      <x:c r="AB3549" s="28" t="n">
        <x:f>J3549-K3549</x:f>
        <x:v>0</x:v>
      </x:c>
      <x:c r="AC3549" s="32" t="n">
        <x:f>F3549-G3549</x:f>
        <x:v>0</x:v>
      </x:c>
    </x:row>
    <x:row r="3550">
      <x:c r="A3550" s="4" t="str">
        <x:v>2025-26</x:v>
      </x:c>
      <x:c r="B3550" s="20" t="n">
        <x:v>46064</x:v>
      </x:c>
      <x:c r="C3550" s="4" t="str">
        <x:v>Aston Villa</x:v>
      </x:c>
      <x:c r="D3550" s="4" t="str">
        <x:v>Brighton</x:v>
      </x:c>
      <x:c r="E3550" s="4" t="str">
        <x:v>Home</x:v>
      </x:c>
      <x:c r="F3550" s="28" t="n">
        <x:v>1</x:v>
      </x:c>
      <x:c r="G3550" s="28" t="n">
        <x:v>0</x:v>
      </x:c>
      <x:c r="H3550" s="28" t="n">
        <x:v>15</x:v>
      </x:c>
      <x:c r="I3550" s="28" t="n">
        <x:v>9</x:v>
      </x:c>
      <x:c r="J3550" s="28" t="n">
        <x:v>1</x:v>
      </x:c>
      <x:c r="K3550" s="28" t="n">
        <x:v>3</x:v>
      </x:c>
      <x:c r="L3550" s="28" t="n">
        <x:v>7</x:v>
      </x:c>
      <x:c r="M3550" s="28" t="n">
        <x:v>5</x:v>
      </x:c>
      <x:c r="N3550" s="28" t="n">
        <x:v>2</x:v>
      </x:c>
      <x:c r="O3550" s="28" t="n">
        <x:v>0</x:v>
      </x:c>
      <x:c r="P3550" s="28" t="n">
        <x:v>3</x:v>
      </x:c>
      <x:c r="Q3550" s="24" t="n">
        <x:f>IFERROR(J3550/H3550,0)</x:f>
        <x:v>0.06666666666666667</x:v>
      </x:c>
      <x:c r="R3550" s="24" t="n">
        <x:f>IFERROR(F3550/H3550,0)</x:f>
        <x:v>0.06666666666666667</x:v>
      </x:c>
      <x:c r="S3550" s="24" t="n">
        <x:f>IFERROR(F3550/J3550,0)</x:f>
        <x:v>1</x:v>
      </x:c>
      <x:c r="T3550" s="28" t="n">
        <x:f>H3550-I3550</x:f>
        <x:v>6</x:v>
      </x:c>
      <x:c r="U3550" s="24" t="n">
        <x:f>IFERROR(J3550/H3550,0)-IFERROR(K3550/I3550,0)</x:f>
        <x:v>-0.26666666666666666</x:v>
      </x:c>
      <x:c r="V3550" s="24" t="n">
        <x:f>IFERROR(F3550/J3550,0)-IFERROR(G3550/K3550,0)</x:f>
        <x:v>1</x:v>
      </x:c>
      <x:c r="W3550" s="28" t="n">
        <x:f>L3550-M3550</x:f>
        <x:v>2</x:v>
      </x:c>
      <x:c r="X3550" s="24" t="n">
        <x:f>IFERROR(K3550/I3550,0)</x:f>
        <x:v>0.3333333333333333</x:v>
      </x:c>
      <x:c r="Y3550" s="24" t="n">
        <x:f>IFERROR(G3550/I3550,0)</x:f>
        <x:v>0</x:v>
      </x:c>
      <x:c r="Z3550" s="24" t="n">
        <x:f>IFERROR(G3550/K3550,0)</x:f>
        <x:v>0</x:v>
      </x:c>
      <x:c r="AA3550" s="24" t="n">
        <x:f>IFERROR(F3550/H3550,0)-IFERROR(G3550/I3550,0)</x:f>
        <x:v>0.06666666666666667</x:v>
      </x:c>
      <x:c r="AB3550" s="28" t="n">
        <x:f>J3550-K3550</x:f>
        <x:v>-2</x:v>
      </x:c>
      <x:c r="AC3550" s="32" t="n">
        <x:f>F3550-G3550</x:f>
        <x:v>1</x:v>
      </x:c>
    </x:row>
    <x:row r="3551">
      <x:c r="A3551" s="4" t="str">
        <x:v>2025-26</x:v>
      </x:c>
      <x:c r="B3551" s="20" t="n">
        <x:v>46064</x:v>
      </x:c>
      <x:c r="C3551" s="4" t="str">
        <x:v>Brighton</x:v>
      </x:c>
      <x:c r="D3551" s="4" t="str">
        <x:v>Aston Villa</x:v>
      </x:c>
      <x:c r="E3551" s="4" t="str">
        <x:v>Away</x:v>
      </x:c>
      <x:c r="F3551" s="28" t="n">
        <x:v>0</x:v>
      </x:c>
      <x:c r="G3551" s="28" t="n">
        <x:v>1</x:v>
      </x:c>
      <x:c r="H3551" s="28" t="n">
        <x:v>9</x:v>
      </x:c>
      <x:c r="I3551" s="28" t="n">
        <x:v>15</x:v>
      </x:c>
      <x:c r="J3551" s="28" t="n">
        <x:v>3</x:v>
      </x:c>
      <x:c r="K3551" s="28" t="n">
        <x:v>1</x:v>
      </x:c>
      <x:c r="L3551" s="28" t="n">
        <x:v>5</x:v>
      </x:c>
      <x:c r="M3551" s="28" t="n">
        <x:v>7</x:v>
      </x:c>
      <x:c r="N3551" s="28" t="n">
        <x:v>3</x:v>
      </x:c>
      <x:c r="O3551" s="28" t="n">
        <x:v>0</x:v>
      </x:c>
      <x:c r="P3551" s="28" t="n">
        <x:v>0</x:v>
      </x:c>
      <x:c r="Q3551" s="24" t="n">
        <x:f>IFERROR(J3551/H3551,0)</x:f>
        <x:v>0.3333333333333333</x:v>
      </x:c>
      <x:c r="R3551" s="24" t="n">
        <x:f>IFERROR(F3551/H3551,0)</x:f>
        <x:v>0</x:v>
      </x:c>
      <x:c r="S3551" s="24" t="n">
        <x:f>IFERROR(F3551/J3551,0)</x:f>
        <x:v>0</x:v>
      </x:c>
      <x:c r="T3551" s="28" t="n">
        <x:f>H3551-I3551</x:f>
        <x:v>-6</x:v>
      </x:c>
      <x:c r="U3551" s="24" t="n">
        <x:f>IFERROR(J3551/H3551,0)-IFERROR(K3551/I3551,0)</x:f>
        <x:v>0.26666666666666666</x:v>
      </x:c>
      <x:c r="V3551" s="24" t="n">
        <x:f>IFERROR(F3551/J3551,0)-IFERROR(G3551/K3551,0)</x:f>
        <x:v>-1</x:v>
      </x:c>
      <x:c r="W3551" s="28" t="n">
        <x:f>L3551-M3551</x:f>
        <x:v>-2</x:v>
      </x:c>
      <x:c r="X3551" s="24" t="n">
        <x:f>IFERROR(K3551/I3551,0)</x:f>
        <x:v>0.06666666666666667</x:v>
      </x:c>
      <x:c r="Y3551" s="24" t="n">
        <x:f>IFERROR(G3551/I3551,0)</x:f>
        <x:v>0.06666666666666667</x:v>
      </x:c>
      <x:c r="Z3551" s="24" t="n">
        <x:f>IFERROR(G3551/K3551,0)</x:f>
        <x:v>1</x:v>
      </x:c>
      <x:c r="AA3551" s="24" t="n">
        <x:f>IFERROR(F3551/H3551,0)-IFERROR(G3551/I3551,0)</x:f>
        <x:v>-0.06666666666666667</x:v>
      </x:c>
      <x:c r="AB3551" s="28" t="n">
        <x:f>J3551-K3551</x:f>
        <x:v>2</x:v>
      </x:c>
      <x:c r="AC3551" s="32" t="n">
        <x:f>F3551-G3551</x:f>
        <x:v>-1</x:v>
      </x:c>
    </x:row>
    <x:row r="3552">
      <x:c r="A3552" s="4" t="str">
        <x:v>2025-26</x:v>
      </x:c>
      <x:c r="B3552" s="20" t="n">
        <x:v>46064</x:v>
      </x:c>
      <x:c r="C3552" s="4" t="str">
        <x:v>Burnley</x:v>
      </x:c>
      <x:c r="D3552" s="4" t="str">
        <x:v>Crystal Palace</x:v>
      </x:c>
      <x:c r="E3552" s="4" t="str">
        <x:v>Away</x:v>
      </x:c>
      <x:c r="F3552" s="28" t="n">
        <x:v>3</x:v>
      </x:c>
      <x:c r="G3552" s="28" t="n">
        <x:v>2</x:v>
      </x:c>
      <x:c r="H3552" s="28" t="n">
        <x:v>8</x:v>
      </x:c>
      <x:c r="I3552" s="28" t="n">
        <x:v>21</x:v>
      </x:c>
      <x:c r="J3552" s="28" t="n">
        <x:v>3</x:v>
      </x:c>
      <x:c r="K3552" s="28" t="n">
        <x:v>3</x:v>
      </x:c>
      <x:c r="L3552" s="28" t="n">
        <x:v>2</x:v>
      </x:c>
      <x:c r="M3552" s="28" t="n">
        <x:v>8</x:v>
      </x:c>
      <x:c r="N3552" s="28" t="n">
        <x:v>1</x:v>
      </x:c>
      <x:c r="O3552" s="28" t="n">
        <x:v>0</x:v>
      </x:c>
      <x:c r="P3552" s="28" t="n">
        <x:v>3</x:v>
      </x:c>
      <x:c r="Q3552" s="24" t="n">
        <x:f>IFERROR(J3552/H3552,0)</x:f>
        <x:v>0.375</x:v>
      </x:c>
      <x:c r="R3552" s="24" t="n">
        <x:f>IFERROR(F3552/H3552,0)</x:f>
        <x:v>0.375</x:v>
      </x:c>
      <x:c r="S3552" s="24" t="n">
        <x:f>IFERROR(F3552/J3552,0)</x:f>
        <x:v>1</x:v>
      </x:c>
      <x:c r="T3552" s="28" t="n">
        <x:f>H3552-I3552</x:f>
        <x:v>-13</x:v>
      </x:c>
      <x:c r="U3552" s="24" t="n">
        <x:f>IFERROR(J3552/H3552,0)-IFERROR(K3552/I3552,0)</x:f>
        <x:v>0.23214285714285715</x:v>
      </x:c>
      <x:c r="V3552" s="24" t="n">
        <x:f>IFERROR(F3552/J3552,0)-IFERROR(G3552/K3552,0)</x:f>
        <x:v>0.33333333333333337</x:v>
      </x:c>
      <x:c r="W3552" s="28" t="n">
        <x:f>L3552-M3552</x:f>
        <x:v>-6</x:v>
      </x:c>
      <x:c r="X3552" s="24" t="n">
        <x:f>IFERROR(K3552/I3552,0)</x:f>
        <x:v>0.14285714285714285</x:v>
      </x:c>
      <x:c r="Y3552" s="24" t="n">
        <x:f>IFERROR(G3552/I3552,0)</x:f>
        <x:v>0.09523809523809523</x:v>
      </x:c>
      <x:c r="Z3552" s="24" t="n">
        <x:f>IFERROR(G3552/K3552,0)</x:f>
        <x:v>0.6666666666666666</x:v>
      </x:c>
      <x:c r="AA3552" s="24" t="n">
        <x:f>IFERROR(F3552/H3552,0)-IFERROR(G3552/I3552,0)</x:f>
        <x:v>0.27976190476190477</x:v>
      </x:c>
      <x:c r="AB3552" s="28" t="n">
        <x:f>J3552-K3552</x:f>
        <x:v>0</x:v>
      </x:c>
      <x:c r="AC3552" s="32" t="n">
        <x:f>F3552-G3552</x:f>
        <x:v>1</x:v>
      </x:c>
    </x:row>
    <x:row r="3553">
      <x:c r="A3553" s="4" t="str">
        <x:v>2025-26</x:v>
      </x:c>
      <x:c r="B3553" s="20" t="n">
        <x:v>46064</x:v>
      </x:c>
      <x:c r="C3553" s="4" t="str">
        <x:v>Crystal Palace</x:v>
      </x:c>
      <x:c r="D3553" s="4" t="str">
        <x:v>Burnley</x:v>
      </x:c>
      <x:c r="E3553" s="4" t="str">
        <x:v>Home</x:v>
      </x:c>
      <x:c r="F3553" s="28" t="n">
        <x:v>2</x:v>
      </x:c>
      <x:c r="G3553" s="28" t="n">
        <x:v>3</x:v>
      </x:c>
      <x:c r="H3553" s="28" t="n">
        <x:v>21</x:v>
      </x:c>
      <x:c r="I3553" s="28" t="n">
        <x:v>8</x:v>
      </x:c>
      <x:c r="J3553" s="28" t="n">
        <x:v>3</x:v>
      </x:c>
      <x:c r="K3553" s="28" t="n">
        <x:v>3</x:v>
      </x:c>
      <x:c r="L3553" s="28" t="n">
        <x:v>8</x:v>
      </x:c>
      <x:c r="M3553" s="28" t="n">
        <x:v>2</x:v>
      </x:c>
      <x:c r="N3553" s="28" t="n">
        <x:v>2</x:v>
      </x:c>
      <x:c r="O3553" s="28" t="n">
        <x:v>0</x:v>
      </x:c>
      <x:c r="P3553" s="28" t="n">
        <x:v>0</x:v>
      </x:c>
      <x:c r="Q3553" s="24" t="n">
        <x:f>IFERROR(J3553/H3553,0)</x:f>
        <x:v>0.14285714285714285</x:v>
      </x:c>
      <x:c r="R3553" s="24" t="n">
        <x:f>IFERROR(F3553/H3553,0)</x:f>
        <x:v>0.09523809523809523</x:v>
      </x:c>
      <x:c r="S3553" s="24" t="n">
        <x:f>IFERROR(F3553/J3553,0)</x:f>
        <x:v>0.6666666666666666</x:v>
      </x:c>
      <x:c r="T3553" s="28" t="n">
        <x:f>H3553-I3553</x:f>
        <x:v>13</x:v>
      </x:c>
      <x:c r="U3553" s="24" t="n">
        <x:f>IFERROR(J3553/H3553,0)-IFERROR(K3553/I3553,0)</x:f>
        <x:v>-0.23214285714285715</x:v>
      </x:c>
      <x:c r="V3553" s="24" t="n">
        <x:f>IFERROR(F3553/J3553,0)-IFERROR(G3553/K3553,0)</x:f>
        <x:v>-0.33333333333333337</x:v>
      </x:c>
      <x:c r="W3553" s="28" t="n">
        <x:f>L3553-M3553</x:f>
        <x:v>6</x:v>
      </x:c>
      <x:c r="X3553" s="24" t="n">
        <x:f>IFERROR(K3553/I3553,0)</x:f>
        <x:v>0.375</x:v>
      </x:c>
      <x:c r="Y3553" s="24" t="n">
        <x:f>IFERROR(G3553/I3553,0)</x:f>
        <x:v>0.375</x:v>
      </x:c>
      <x:c r="Z3553" s="24" t="n">
        <x:f>IFERROR(G3553/K3553,0)</x:f>
        <x:v>1</x:v>
      </x:c>
      <x:c r="AA3553" s="24" t="n">
        <x:f>IFERROR(F3553/H3553,0)-IFERROR(G3553/I3553,0)</x:f>
        <x:v>-0.27976190476190477</x:v>
      </x:c>
      <x:c r="AB3553" s="28" t="n">
        <x:f>J3553-K3553</x:f>
        <x:v>0</x:v>
      </x:c>
      <x:c r="AC3553" s="32" t="n">
        <x:f>F3553-G3553</x:f>
        <x:v>-1</x:v>
      </x:c>
    </x:row>
    <x:row r="3554">
      <x:c r="A3554" s="4" t="str">
        <x:v>2025-26</x:v>
      </x:c>
      <x:c r="B3554" s="20" t="n">
        <x:v>46064</x:v>
      </x:c>
      <x:c r="C3554" s="4" t="str">
        <x:v>Fulham</x:v>
      </x:c>
      <x:c r="D3554" s="4" t="str">
        <x:v>Man City</x:v>
      </x:c>
      <x:c r="E3554" s="4" t="str">
        <x:v>Away</x:v>
      </x:c>
      <x:c r="F3554" s="28" t="n">
        <x:v>0</x:v>
      </x:c>
      <x:c r="G3554" s="28" t="n">
        <x:v>3</x:v>
      </x:c>
      <x:c r="H3554" s="28" t="n">
        <x:v>14</x:v>
      </x:c>
      <x:c r="I3554" s="28" t="n">
        <x:v>13</x:v>
      </x:c>
      <x:c r="J3554" s="28" t="n">
        <x:v>3</x:v>
      </x:c>
      <x:c r="K3554" s="28" t="n">
        <x:v>5</x:v>
      </x:c>
      <x:c r="L3554" s="28" t="n">
        <x:v>4</x:v>
      </x:c>
      <x:c r="M3554" s="28" t="n">
        <x:v>4</x:v>
      </x:c>
      <x:c r="N3554" s="28" t="n">
        <x:v>1</x:v>
      </x:c>
      <x:c r="O3554" s="28" t="n">
        <x:v>0</x:v>
      </x:c>
      <x:c r="P3554" s="28" t="n">
        <x:v>0</x:v>
      </x:c>
      <x:c r="Q3554" s="24" t="n">
        <x:f>IFERROR(J3554/H3554,0)</x:f>
        <x:v>0.21428571428571427</x:v>
      </x:c>
      <x:c r="R3554" s="24" t="n">
        <x:f>IFERROR(F3554/H3554,0)</x:f>
        <x:v>0</x:v>
      </x:c>
      <x:c r="S3554" s="24" t="n">
        <x:f>IFERROR(F3554/J3554,0)</x:f>
        <x:v>0</x:v>
      </x:c>
      <x:c r="T3554" s="28" t="n">
        <x:f>H3554-I3554</x:f>
        <x:v>1</x:v>
      </x:c>
      <x:c r="U3554" s="24" t="n">
        <x:f>IFERROR(J3554/H3554,0)-IFERROR(K3554/I3554,0)</x:f>
        <x:v>-0.17032967032967036</x:v>
      </x:c>
      <x:c r="V3554" s="24" t="n">
        <x:f>IFERROR(F3554/J3554,0)-IFERROR(G3554/K3554,0)</x:f>
        <x:v>-0.6</x:v>
      </x:c>
      <x:c r="W3554" s="28" t="n">
        <x:f>L3554-M3554</x:f>
        <x:v>0</x:v>
      </x:c>
      <x:c r="X3554" s="24" t="n">
        <x:f>IFERROR(K3554/I3554,0)</x:f>
        <x:v>0.38461538461538464</x:v>
      </x:c>
      <x:c r="Y3554" s="24" t="n">
        <x:f>IFERROR(G3554/I3554,0)</x:f>
        <x:v>0.23076923076923078</x:v>
      </x:c>
      <x:c r="Z3554" s="24" t="n">
        <x:f>IFERROR(G3554/K3554,0)</x:f>
        <x:v>0.6</x:v>
      </x:c>
      <x:c r="AA3554" s="24" t="n">
        <x:f>IFERROR(F3554/H3554,0)-IFERROR(G3554/I3554,0)</x:f>
        <x:v>-0.23076923076923078</x:v>
      </x:c>
      <x:c r="AB3554" s="28" t="n">
        <x:f>J3554-K3554</x:f>
        <x:v>-2</x:v>
      </x:c>
      <x:c r="AC3554" s="32" t="n">
        <x:f>F3554-G3554</x:f>
        <x:v>-3</x:v>
      </x:c>
    </x:row>
    <x:row r="3555">
      <x:c r="A3555" s="4" t="str">
        <x:v>2025-26</x:v>
      </x:c>
      <x:c r="B3555" s="20" t="n">
        <x:v>46064</x:v>
      </x:c>
      <x:c r="C3555" s="4" t="str">
        <x:v>Liverpool</x:v>
      </x:c>
      <x:c r="D3555" s="4" t="str">
        <x:v>Sunderland</x:v>
      </x:c>
      <x:c r="E3555" s="4" t="str">
        <x:v>Away</x:v>
      </x:c>
      <x:c r="F3555" s="28" t="n">
        <x:v>1</x:v>
      </x:c>
      <x:c r="G3555" s="28" t="n">
        <x:v>0</x:v>
      </x:c>
      <x:c r="H3555" s="28" t="n">
        <x:v>23</x:v>
      </x:c>
      <x:c r="I3555" s="28" t="n">
        <x:v>11</x:v>
      </x:c>
      <x:c r="J3555" s="28" t="n">
        <x:v>3</x:v>
      </x:c>
      <x:c r="K3555" s="28" t="n">
        <x:v>2</x:v>
      </x:c>
      <x:c r="L3555" s="28" t="n">
        <x:v>11</x:v>
      </x:c>
      <x:c r="M3555" s="28" t="n">
        <x:v>3</x:v>
      </x:c>
      <x:c r="N3555" s="28" t="n">
        <x:v>0</x:v>
      </x:c>
      <x:c r="O3555" s="28" t="n">
        <x:v>0</x:v>
      </x:c>
      <x:c r="P3555" s="28" t="n">
        <x:v>3</x:v>
      </x:c>
      <x:c r="Q3555" s="24" t="n">
        <x:f>IFERROR(J3555/H3555,0)</x:f>
        <x:v>0.13043478260869565</x:v>
      </x:c>
      <x:c r="R3555" s="24" t="n">
        <x:f>IFERROR(F3555/H3555,0)</x:f>
        <x:v>0.043478260869565216</x:v>
      </x:c>
      <x:c r="S3555" s="24" t="n">
        <x:f>IFERROR(F3555/J3555,0)</x:f>
        <x:v>0.3333333333333333</x:v>
      </x:c>
      <x:c r="T3555" s="28" t="n">
        <x:f>H3555-I3555</x:f>
        <x:v>12</x:v>
      </x:c>
      <x:c r="U3555" s="24" t="n">
        <x:f>IFERROR(J3555/H3555,0)-IFERROR(K3555/I3555,0)</x:f>
        <x:v>-0.051383399209486175</x:v>
      </x:c>
      <x:c r="V3555" s="24" t="n">
        <x:f>IFERROR(F3555/J3555,0)-IFERROR(G3555/K3555,0)</x:f>
        <x:v>0.3333333333333333</x:v>
      </x:c>
      <x:c r="W3555" s="28" t="n">
        <x:f>L3555-M3555</x:f>
        <x:v>8</x:v>
      </x:c>
      <x:c r="X3555" s="24" t="n">
        <x:f>IFERROR(K3555/I3555,0)</x:f>
        <x:v>0.18181818181818182</x:v>
      </x:c>
      <x:c r="Y3555" s="24" t="n">
        <x:f>IFERROR(G3555/I3555,0)</x:f>
        <x:v>0</x:v>
      </x:c>
      <x:c r="Z3555" s="24" t="n">
        <x:f>IFERROR(G3555/K3555,0)</x:f>
        <x:v>0</x:v>
      </x:c>
      <x:c r="AA3555" s="24" t="n">
        <x:f>IFERROR(F3555/H3555,0)-IFERROR(G3555/I3555,0)</x:f>
        <x:v>0.043478260869565216</x:v>
      </x:c>
      <x:c r="AB3555" s="28" t="n">
        <x:f>J3555-K3555</x:f>
        <x:v>1</x:v>
      </x:c>
      <x:c r="AC3555" s="32" t="n">
        <x:f>F3555-G3555</x:f>
        <x:v>1</x:v>
      </x:c>
    </x:row>
    <x:row r="3556">
      <x:c r="A3556" s="4" t="str">
        <x:v>2025-26</x:v>
      </x:c>
      <x:c r="B3556" s="20" t="n">
        <x:v>46064</x:v>
      </x:c>
      <x:c r="C3556" s="4" t="str">
        <x:v>Man City</x:v>
      </x:c>
      <x:c r="D3556" s="4" t="str">
        <x:v>Fulham</x:v>
      </x:c>
      <x:c r="E3556" s="4" t="str">
        <x:v>Home</x:v>
      </x:c>
      <x:c r="F3556" s="28" t="n">
        <x:v>3</x:v>
      </x:c>
      <x:c r="G3556" s="28" t="n">
        <x:v>0</x:v>
      </x:c>
      <x:c r="H3556" s="28" t="n">
        <x:v>13</x:v>
      </x:c>
      <x:c r="I3556" s="28" t="n">
        <x:v>14</x:v>
      </x:c>
      <x:c r="J3556" s="28" t="n">
        <x:v>5</x:v>
      </x:c>
      <x:c r="K3556" s="28" t="n">
        <x:v>3</x:v>
      </x:c>
      <x:c r="L3556" s="28" t="n">
        <x:v>4</x:v>
      </x:c>
      <x:c r="M3556" s="28" t="n">
        <x:v>4</x:v>
      </x:c>
      <x:c r="N3556" s="28" t="n">
        <x:v>3</x:v>
      </x:c>
      <x:c r="O3556" s="28" t="n">
        <x:v>0</x:v>
      </x:c>
      <x:c r="P3556" s="28" t="n">
        <x:v>3</x:v>
      </x:c>
      <x:c r="Q3556" s="24" t="n">
        <x:f>IFERROR(J3556/H3556,0)</x:f>
        <x:v>0.38461538461538464</x:v>
      </x:c>
      <x:c r="R3556" s="24" t="n">
        <x:f>IFERROR(F3556/H3556,0)</x:f>
        <x:v>0.23076923076923078</x:v>
      </x:c>
      <x:c r="S3556" s="24" t="n">
        <x:f>IFERROR(F3556/J3556,0)</x:f>
        <x:v>0.6</x:v>
      </x:c>
      <x:c r="T3556" s="28" t="n">
        <x:f>H3556-I3556</x:f>
        <x:v>-1</x:v>
      </x:c>
      <x:c r="U3556" s="24" t="n">
        <x:f>IFERROR(J3556/H3556,0)-IFERROR(K3556/I3556,0)</x:f>
        <x:v>0.17032967032967036</x:v>
      </x:c>
      <x:c r="V3556" s="24" t="n">
        <x:f>IFERROR(F3556/J3556,0)-IFERROR(G3556/K3556,0)</x:f>
        <x:v>0.6</x:v>
      </x:c>
      <x:c r="W3556" s="28" t="n">
        <x:f>L3556-M3556</x:f>
        <x:v>0</x:v>
      </x:c>
      <x:c r="X3556" s="24" t="n">
        <x:f>IFERROR(K3556/I3556,0)</x:f>
        <x:v>0.21428571428571427</x:v>
      </x:c>
      <x:c r="Y3556" s="24" t="n">
        <x:f>IFERROR(G3556/I3556,0)</x:f>
        <x:v>0</x:v>
      </x:c>
      <x:c r="Z3556" s="24" t="n">
        <x:f>IFERROR(G3556/K3556,0)</x:f>
        <x:v>0</x:v>
      </x:c>
      <x:c r="AA3556" s="24" t="n">
        <x:f>IFERROR(F3556/H3556,0)-IFERROR(G3556/I3556,0)</x:f>
        <x:v>0.23076923076923078</x:v>
      </x:c>
      <x:c r="AB3556" s="28" t="n">
        <x:f>J3556-K3556</x:f>
        <x:v>2</x:v>
      </x:c>
      <x:c r="AC3556" s="32" t="n">
        <x:f>F3556-G3556</x:f>
        <x:v>3</x:v>
      </x:c>
    </x:row>
    <x:row r="3557">
      <x:c r="A3557" s="4" t="str">
        <x:v>2025-26</x:v>
      </x:c>
      <x:c r="B3557" s="20" t="n">
        <x:v>46064</x:v>
      </x:c>
      <x:c r="C3557" s="4" t="str">
        <x:v>Nott'm Forest</x:v>
      </x:c>
      <x:c r="D3557" s="4" t="str">
        <x:v>Wolves</x:v>
      </x:c>
      <x:c r="E3557" s="4" t="str">
        <x:v>Home</x:v>
      </x:c>
      <x:c r="F3557" s="28" t="n">
        <x:v>0</x:v>
      </x:c>
      <x:c r="G3557" s="28" t="n">
        <x:v>0</x:v>
      </x:c>
      <x:c r="H3557" s="28" t="n">
        <x:v>35</x:v>
      </x:c>
      <x:c r="I3557" s="28" t="n">
        <x:v>7</x:v>
      </x:c>
      <x:c r="J3557" s="28" t="n">
        <x:v>10</x:v>
      </x:c>
      <x:c r="K3557" s="28" t="n">
        <x:v>3</x:v>
      </x:c>
      <x:c r="L3557" s="28" t="n">
        <x:v>8</x:v>
      </x:c>
      <x:c r="M3557" s="28" t="n">
        <x:v>2</x:v>
      </x:c>
      <x:c r="N3557" s="28" t="n">
        <x:v>0</x:v>
      </x:c>
      <x:c r="O3557" s="28" t="n">
        <x:v>0</x:v>
      </x:c>
      <x:c r="P3557" s="28" t="n">
        <x:v>1</x:v>
      </x:c>
      <x:c r="Q3557" s="24" t="n">
        <x:f>IFERROR(J3557/H3557,0)</x:f>
        <x:v>0.2857142857142857</x:v>
      </x:c>
      <x:c r="R3557" s="24" t="n">
        <x:f>IFERROR(F3557/H3557,0)</x:f>
        <x:v>0</x:v>
      </x:c>
      <x:c r="S3557" s="24" t="n">
        <x:f>IFERROR(F3557/J3557,0)</x:f>
        <x:v>0</x:v>
      </x:c>
      <x:c r="T3557" s="28" t="n">
        <x:f>H3557-I3557</x:f>
        <x:v>28</x:v>
      </x:c>
      <x:c r="U3557" s="24" t="n">
        <x:f>IFERROR(J3557/H3557,0)-IFERROR(K3557/I3557,0)</x:f>
        <x:v>-0.14285714285714285</x:v>
      </x:c>
      <x:c r="V3557" s="24" t="n">
        <x:f>IFERROR(F3557/J3557,0)-IFERROR(G3557/K3557,0)</x:f>
        <x:v>0</x:v>
      </x:c>
      <x:c r="W3557" s="28" t="n">
        <x:f>L3557-M3557</x:f>
        <x:v>6</x:v>
      </x:c>
      <x:c r="X3557" s="24" t="n">
        <x:f>IFERROR(K3557/I3557,0)</x:f>
        <x:v>0.42857142857142855</x:v>
      </x:c>
      <x:c r="Y3557" s="24" t="n">
        <x:f>IFERROR(G3557/I3557,0)</x:f>
        <x:v>0</x:v>
      </x:c>
      <x:c r="Z3557" s="24" t="n">
        <x:f>IFERROR(G3557/K3557,0)</x:f>
        <x:v>0</x:v>
      </x:c>
      <x:c r="AA3557" s="24" t="n">
        <x:f>IFERROR(F3557/H3557,0)-IFERROR(G3557/I3557,0)</x:f>
        <x:v>0</x:v>
      </x:c>
      <x:c r="AB3557" s="28" t="n">
        <x:f>J3557-K3557</x:f>
        <x:v>7</x:v>
      </x:c>
      <x:c r="AC3557" s="32" t="n">
        <x:f>F3557-G3557</x:f>
        <x:v>0</x:v>
      </x:c>
    </x:row>
    <x:row r="3558">
      <x:c r="A3558" s="4" t="str">
        <x:v>2025-26</x:v>
      </x:c>
      <x:c r="B3558" s="20" t="n">
        <x:v>46064</x:v>
      </x:c>
      <x:c r="C3558" s="4" t="str">
        <x:v>Sunderland</x:v>
      </x:c>
      <x:c r="D3558" s="4" t="str">
        <x:v>Liverpool</x:v>
      </x:c>
      <x:c r="E3558" s="4" t="str">
        <x:v>Home</x:v>
      </x:c>
      <x:c r="F3558" s="28" t="n">
        <x:v>0</x:v>
      </x:c>
      <x:c r="G3558" s="28" t="n">
        <x:v>1</x:v>
      </x:c>
      <x:c r="H3558" s="28" t="n">
        <x:v>11</x:v>
      </x:c>
      <x:c r="I3558" s="28" t="n">
        <x:v>23</x:v>
      </x:c>
      <x:c r="J3558" s="28" t="n">
        <x:v>2</x:v>
      </x:c>
      <x:c r="K3558" s="28" t="n">
        <x:v>3</x:v>
      </x:c>
      <x:c r="L3558" s="28" t="n">
        <x:v>3</x:v>
      </x:c>
      <x:c r="M3558" s="28" t="n">
        <x:v>11</x:v>
      </x:c>
      <x:c r="N3558" s="28" t="n">
        <x:v>1</x:v>
      </x:c>
      <x:c r="O3558" s="28" t="n">
        <x:v>0</x:v>
      </x:c>
      <x:c r="P3558" s="28" t="n">
        <x:v>0</x:v>
      </x:c>
      <x:c r="Q3558" s="24" t="n">
        <x:f>IFERROR(J3558/H3558,0)</x:f>
        <x:v>0.18181818181818182</x:v>
      </x:c>
      <x:c r="R3558" s="24" t="n">
        <x:f>IFERROR(F3558/H3558,0)</x:f>
        <x:v>0</x:v>
      </x:c>
      <x:c r="S3558" s="24" t="n">
        <x:f>IFERROR(F3558/J3558,0)</x:f>
        <x:v>0</x:v>
      </x:c>
      <x:c r="T3558" s="28" t="n">
        <x:f>H3558-I3558</x:f>
        <x:v>-12</x:v>
      </x:c>
      <x:c r="U3558" s="24" t="n">
        <x:f>IFERROR(J3558/H3558,0)-IFERROR(K3558/I3558,0)</x:f>
        <x:v>0.051383399209486175</x:v>
      </x:c>
      <x:c r="V3558" s="24" t="n">
        <x:f>IFERROR(F3558/J3558,0)-IFERROR(G3558/K3558,0)</x:f>
        <x:v>-0.3333333333333333</x:v>
      </x:c>
      <x:c r="W3558" s="28" t="n">
        <x:f>L3558-M3558</x:f>
        <x:v>-8</x:v>
      </x:c>
      <x:c r="X3558" s="24" t="n">
        <x:f>IFERROR(K3558/I3558,0)</x:f>
        <x:v>0.13043478260869565</x:v>
      </x:c>
      <x:c r="Y3558" s="24" t="n">
        <x:f>IFERROR(G3558/I3558,0)</x:f>
        <x:v>0.043478260869565216</x:v>
      </x:c>
      <x:c r="Z3558" s="24" t="n">
        <x:f>IFERROR(G3558/K3558,0)</x:f>
        <x:v>0.3333333333333333</x:v>
      </x:c>
      <x:c r="AA3558" s="24" t="n">
        <x:f>IFERROR(F3558/H3558,0)-IFERROR(G3558/I3558,0)</x:f>
        <x:v>-0.043478260869565216</x:v>
      </x:c>
      <x:c r="AB3558" s="28" t="n">
        <x:f>J3558-K3558</x:f>
        <x:v>-1</x:v>
      </x:c>
      <x:c r="AC3558" s="32" t="n">
        <x:f>F3558-G3558</x:f>
        <x:v>-1</x:v>
      </x:c>
    </x:row>
    <x:row r="3559">
      <x:c r="A3559" s="4" t="str">
        <x:v>2025-26</x:v>
      </x:c>
      <x:c r="B3559" s="20" t="n">
        <x:v>46064</x:v>
      </x:c>
      <x:c r="C3559" s="4" t="str">
        <x:v>Wolves</x:v>
      </x:c>
      <x:c r="D3559" s="4" t="str">
        <x:v>Nott'm Forest</x:v>
      </x:c>
      <x:c r="E3559" s="4" t="str">
        <x:v>Away</x:v>
      </x:c>
      <x:c r="F3559" s="28" t="n">
        <x:v>0</x:v>
      </x:c>
      <x:c r="G3559" s="28" t="n">
        <x:v>0</x:v>
      </x:c>
      <x:c r="H3559" s="28" t="n">
        <x:v>7</x:v>
      </x:c>
      <x:c r="I3559" s="28" t="n">
        <x:v>35</x:v>
      </x:c>
      <x:c r="J3559" s="28" t="n">
        <x:v>3</x:v>
      </x:c>
      <x:c r="K3559" s="28" t="n">
        <x:v>10</x:v>
      </x:c>
      <x:c r="L3559" s="28" t="n">
        <x:v>2</x:v>
      </x:c>
      <x:c r="M3559" s="28" t="n">
        <x:v>8</x:v>
      </x:c>
      <x:c r="N3559" s="28" t="n">
        <x:v>2</x:v>
      </x:c>
      <x:c r="O3559" s="28" t="n">
        <x:v>0</x:v>
      </x:c>
      <x:c r="P3559" s="28" t="n">
        <x:v>1</x:v>
      </x:c>
      <x:c r="Q3559" s="24" t="n">
        <x:f>IFERROR(J3559/H3559,0)</x:f>
        <x:v>0.42857142857142855</x:v>
      </x:c>
      <x:c r="R3559" s="24" t="n">
        <x:f>IFERROR(F3559/H3559,0)</x:f>
        <x:v>0</x:v>
      </x:c>
      <x:c r="S3559" s="24" t="n">
        <x:f>IFERROR(F3559/J3559,0)</x:f>
        <x:v>0</x:v>
      </x:c>
      <x:c r="T3559" s="28" t="n">
        <x:f>H3559-I3559</x:f>
        <x:v>-28</x:v>
      </x:c>
      <x:c r="U3559" s="24" t="n">
        <x:f>IFERROR(J3559/H3559,0)-IFERROR(K3559/I3559,0)</x:f>
        <x:v>0.14285714285714285</x:v>
      </x:c>
      <x:c r="V3559" s="24" t="n">
        <x:f>IFERROR(F3559/J3559,0)-IFERROR(G3559/K3559,0)</x:f>
        <x:v>0</x:v>
      </x:c>
      <x:c r="W3559" s="28" t="n">
        <x:f>L3559-M3559</x:f>
        <x:v>-6</x:v>
      </x:c>
      <x:c r="X3559" s="24" t="n">
        <x:f>IFERROR(K3559/I3559,0)</x:f>
        <x:v>0.2857142857142857</x:v>
      </x:c>
      <x:c r="Y3559" s="24" t="n">
        <x:f>IFERROR(G3559/I3559,0)</x:f>
        <x:v>0</x:v>
      </x:c>
      <x:c r="Z3559" s="24" t="n">
        <x:f>IFERROR(G3559/K3559,0)</x:f>
        <x:v>0</x:v>
      </x:c>
      <x:c r="AA3559" s="24" t="n">
        <x:f>IFERROR(F3559/H3559,0)-IFERROR(G3559/I3559,0)</x:f>
        <x:v>0</x:v>
      </x:c>
      <x:c r="AB3559" s="28" t="n">
        <x:f>J3559-K3559</x:f>
        <x:v>-7</x:v>
      </x:c>
      <x:c r="AC3559" s="32" t="n">
        <x:f>F3559-G3559</x:f>
        <x:v>0</x:v>
      </x:c>
    </x:row>
    <x:row r="3560">
      <x:c r="A3560" s="4" t="str">
        <x:v>2025-26</x:v>
      </x:c>
      <x:c r="B3560" s="20" t="n">
        <x:v>46065</x:v>
      </x:c>
      <x:c r="C3560" s="4" t="str">
        <x:v>Arsenal</x:v>
      </x:c>
      <x:c r="D3560" s="4" t="str">
        <x:v>Brentford</x:v>
      </x:c>
      <x:c r="E3560" s="4" t="str">
        <x:v>Away</x:v>
      </x:c>
      <x:c r="F3560" s="28" t="n">
        <x:v>1</x:v>
      </x:c>
      <x:c r="G3560" s="28" t="n">
        <x:v>1</x:v>
      </x:c>
      <x:c r="H3560" s="28" t="n">
        <x:v>7</x:v>
      </x:c>
      <x:c r="I3560" s="28" t="n">
        <x:v>12</x:v>
      </x:c>
      <x:c r="J3560" s="28" t="n">
        <x:v>2</x:v>
      </x:c>
      <x:c r="K3560" s="28" t="n">
        <x:v>3</x:v>
      </x:c>
      <x:c r="L3560" s="28" t="n">
        <x:v>4</x:v>
      </x:c>
      <x:c r="M3560" s="28" t="n">
        <x:v>6</x:v>
      </x:c>
      <x:c r="N3560" s="28" t="n">
        <x:v>2</x:v>
      </x:c>
      <x:c r="O3560" s="28" t="n">
        <x:v>0</x:v>
      </x:c>
      <x:c r="P3560" s="28" t="n">
        <x:v>1</x:v>
      </x:c>
      <x:c r="Q3560" s="24" t="n">
        <x:f>IFERROR(J3560/H3560,0)</x:f>
        <x:v>0.2857142857142857</x:v>
      </x:c>
      <x:c r="R3560" s="24" t="n">
        <x:f>IFERROR(F3560/H3560,0)</x:f>
        <x:v>0.14285714285714285</x:v>
      </x:c>
      <x:c r="S3560" s="24" t="n">
        <x:f>IFERROR(F3560/J3560,0)</x:f>
        <x:v>0.5</x:v>
      </x:c>
      <x:c r="T3560" s="28" t="n">
        <x:f>H3560-I3560</x:f>
        <x:v>-5</x:v>
      </x:c>
      <x:c r="U3560" s="24" t="n">
        <x:f>IFERROR(J3560/H3560,0)-IFERROR(K3560/I3560,0)</x:f>
        <x:v>0.0357142857142857</x:v>
      </x:c>
      <x:c r="V3560" s="24" t="n">
        <x:f>IFERROR(F3560/J3560,0)-IFERROR(G3560/K3560,0)</x:f>
        <x:v>0.16666666666666669</x:v>
      </x:c>
      <x:c r="W3560" s="28" t="n">
        <x:f>L3560-M3560</x:f>
        <x:v>-2</x:v>
      </x:c>
      <x:c r="X3560" s="24" t="n">
        <x:f>IFERROR(K3560/I3560,0)</x:f>
        <x:v>0.25</x:v>
      </x:c>
      <x:c r="Y3560" s="24" t="n">
        <x:f>IFERROR(G3560/I3560,0)</x:f>
        <x:v>0.08333333333333333</x:v>
      </x:c>
      <x:c r="Z3560" s="24" t="n">
        <x:f>IFERROR(G3560/K3560,0)</x:f>
        <x:v>0.3333333333333333</x:v>
      </x:c>
      <x:c r="AA3560" s="24" t="n">
        <x:f>IFERROR(F3560/H3560,0)-IFERROR(G3560/I3560,0)</x:f>
        <x:v>0.05952380952380952</x:v>
      </x:c>
      <x:c r="AB3560" s="28" t="n">
        <x:f>J3560-K3560</x:f>
        <x:v>-1</x:v>
      </x:c>
      <x:c r="AC3560" s="32" t="n">
        <x:f>F3560-G3560</x:f>
        <x:v>0</x:v>
      </x:c>
    </x:row>
    <x:row r="3561">
      <x:c r="A3561" s="4" t="str">
        <x:v>2025-26</x:v>
      </x:c>
      <x:c r="B3561" s="20" t="n">
        <x:v>46065</x:v>
      </x:c>
      <x:c r="C3561" s="4" t="str">
        <x:v>Brentford</x:v>
      </x:c>
      <x:c r="D3561" s="4" t="str">
        <x:v>Arsenal</x:v>
      </x:c>
      <x:c r="E3561" s="4" t="str">
        <x:v>Home</x:v>
      </x:c>
      <x:c r="F3561" s="28" t="n">
        <x:v>1</x:v>
      </x:c>
      <x:c r="G3561" s="28" t="n">
        <x:v>1</x:v>
      </x:c>
      <x:c r="H3561" s="28" t="n">
        <x:v>12</x:v>
      </x:c>
      <x:c r="I3561" s="28" t="n">
        <x:v>7</x:v>
      </x:c>
      <x:c r="J3561" s="28" t="n">
        <x:v>3</x:v>
      </x:c>
      <x:c r="K3561" s="28" t="n">
        <x:v>2</x:v>
      </x:c>
      <x:c r="L3561" s="28" t="n">
        <x:v>6</x:v>
      </x:c>
      <x:c r="M3561" s="28" t="n">
        <x:v>4</x:v>
      </x:c>
      <x:c r="N3561" s="28" t="n">
        <x:v>3</x:v>
      </x:c>
      <x:c r="O3561" s="28" t="n">
        <x:v>0</x:v>
      </x:c>
      <x:c r="P3561" s="28" t="n">
        <x:v>1</x:v>
      </x:c>
      <x:c r="Q3561" s="24" t="n">
        <x:f>IFERROR(J3561/H3561,0)</x:f>
        <x:v>0.25</x:v>
      </x:c>
      <x:c r="R3561" s="24" t="n">
        <x:f>IFERROR(F3561/H3561,0)</x:f>
        <x:v>0.08333333333333333</x:v>
      </x:c>
      <x:c r="S3561" s="24" t="n">
        <x:f>IFERROR(F3561/J3561,0)</x:f>
        <x:v>0.3333333333333333</x:v>
      </x:c>
      <x:c r="T3561" s="28" t="n">
        <x:f>H3561-I3561</x:f>
        <x:v>5</x:v>
      </x:c>
      <x:c r="U3561" s="24" t="n">
        <x:f>IFERROR(J3561/H3561,0)-IFERROR(K3561/I3561,0)</x:f>
        <x:v>-0.0357142857142857</x:v>
      </x:c>
      <x:c r="V3561" s="24" t="n">
        <x:f>IFERROR(F3561/J3561,0)-IFERROR(G3561/K3561,0)</x:f>
        <x:v>-0.16666666666666669</x:v>
      </x:c>
      <x:c r="W3561" s="28" t="n">
        <x:f>L3561-M3561</x:f>
        <x:v>2</x:v>
      </x:c>
      <x:c r="X3561" s="24" t="n">
        <x:f>IFERROR(K3561/I3561,0)</x:f>
        <x:v>0.2857142857142857</x:v>
      </x:c>
      <x:c r="Y3561" s="24" t="n">
        <x:f>IFERROR(G3561/I3561,0)</x:f>
        <x:v>0.14285714285714285</x:v>
      </x:c>
      <x:c r="Z3561" s="24" t="n">
        <x:f>IFERROR(G3561/K3561,0)</x:f>
        <x:v>0.5</x:v>
      </x:c>
      <x:c r="AA3561" s="24" t="n">
        <x:f>IFERROR(F3561/H3561,0)-IFERROR(G3561/I3561,0)</x:f>
        <x:v>-0.05952380952380952</x:v>
      </x:c>
      <x:c r="AB3561" s="28" t="n">
        <x:f>J3561-K3561</x:f>
        <x:v>1</x:v>
      </x:c>
      <x:c r="AC3561" s="32" t="n">
        <x:f>F3561-G3561</x:f>
        <x:v>0</x:v>
      </x:c>
    </x:row>
    <x:row r="3562">
      <x:c r="A3562" s="4" t="str">
        <x:v>2025-26</x:v>
      </x:c>
      <x:c r="B3562" s="20" t="n">
        <x:v>46071</x:v>
      </x:c>
      <x:c r="C3562" s="4" t="str">
        <x:v>Arsenal</x:v>
      </x:c>
      <x:c r="D3562" s="4" t="str">
        <x:v>Wolves</x:v>
      </x:c>
      <x:c r="E3562" s="4" t="str">
        <x:v>Away</x:v>
      </x:c>
      <x:c r="F3562" s="28" t="n">
        <x:v>2</x:v>
      </x:c>
      <x:c r="G3562" s="28" t="n">
        <x:v>2</x:v>
      </x:c>
      <x:c r="H3562" s="28" t="n">
        <x:v>10</x:v>
      </x:c>
      <x:c r="I3562" s="28" t="n">
        <x:v>5</x:v>
      </x:c>
      <x:c r="J3562" s="28" t="n">
        <x:v>4</x:v>
      </x:c>
      <x:c r="K3562" s="28" t="n">
        <x:v>2</x:v>
      </x:c>
      <x:c r="L3562" s="28" t="n">
        <x:v>3</x:v>
      </x:c>
      <x:c r="M3562" s="28" t="n">
        <x:v>1</x:v>
      </x:c>
      <x:c r="N3562" s="28" t="n">
        <x:v>1</x:v>
      </x:c>
      <x:c r="O3562" s="28" t="n">
        <x:v>0</x:v>
      </x:c>
      <x:c r="P3562" s="28" t="n">
        <x:v>1</x:v>
      </x:c>
      <x:c r="Q3562" s="24" t="n">
        <x:f>IFERROR(J3562/H3562,0)</x:f>
        <x:v>0.4</x:v>
      </x:c>
      <x:c r="R3562" s="24" t="n">
        <x:f>IFERROR(F3562/H3562,0)</x:f>
        <x:v>0.2</x:v>
      </x:c>
      <x:c r="S3562" s="24" t="n">
        <x:f>IFERROR(F3562/J3562,0)</x:f>
        <x:v>0.5</x:v>
      </x:c>
      <x:c r="T3562" s="28" t="n">
        <x:f>H3562-I3562</x:f>
        <x:v>5</x:v>
      </x:c>
      <x:c r="U3562" s="24" t="n">
        <x:f>IFERROR(J3562/H3562,0)-IFERROR(K3562/I3562,0)</x:f>
        <x:v>0</x:v>
      </x:c>
      <x:c r="V3562" s="24" t="n">
        <x:f>IFERROR(F3562/J3562,0)-IFERROR(G3562/K3562,0)</x:f>
        <x:v>-0.5</x:v>
      </x:c>
      <x:c r="W3562" s="28" t="n">
        <x:f>L3562-M3562</x:f>
        <x:v>2</x:v>
      </x:c>
      <x:c r="X3562" s="24" t="n">
        <x:f>IFERROR(K3562/I3562,0)</x:f>
        <x:v>0.4</x:v>
      </x:c>
      <x:c r="Y3562" s="24" t="n">
        <x:f>IFERROR(G3562/I3562,0)</x:f>
        <x:v>0.4</x:v>
      </x:c>
      <x:c r="Z3562" s="24" t="n">
        <x:f>IFERROR(G3562/K3562,0)</x:f>
        <x:v>1</x:v>
      </x:c>
      <x:c r="AA3562" s="24" t="n">
        <x:f>IFERROR(F3562/H3562,0)-IFERROR(G3562/I3562,0)</x:f>
        <x:v>-0.2</x:v>
      </x:c>
      <x:c r="AB3562" s="28" t="n">
        <x:f>J3562-K3562</x:f>
        <x:v>2</x:v>
      </x:c>
      <x:c r="AC3562" s="32" t="n">
        <x:f>F3562-G3562</x:f>
        <x:v>0</x:v>
      </x:c>
    </x:row>
    <x:row r="3563">
      <x:c r="A3563" s="4" t="str">
        <x:v>2025-26</x:v>
      </x:c>
      <x:c r="B3563" s="20" t="n">
        <x:v>46071</x:v>
      </x:c>
      <x:c r="C3563" s="4" t="str">
        <x:v>Wolves</x:v>
      </x:c>
      <x:c r="D3563" s="4" t="str">
        <x:v>Arsenal</x:v>
      </x:c>
      <x:c r="E3563" s="4" t="str">
        <x:v>Home</x:v>
      </x:c>
      <x:c r="F3563" s="28" t="n">
        <x:v>2</x:v>
      </x:c>
      <x:c r="G3563" s="28" t="n">
        <x:v>2</x:v>
      </x:c>
      <x:c r="H3563" s="28" t="n">
        <x:v>5</x:v>
      </x:c>
      <x:c r="I3563" s="28" t="n">
        <x:v>10</x:v>
      </x:c>
      <x:c r="J3563" s="28" t="n">
        <x:v>2</x:v>
      </x:c>
      <x:c r="K3563" s="28" t="n">
        <x:v>4</x:v>
      </x:c>
      <x:c r="L3563" s="28" t="n">
        <x:v>1</x:v>
      </x:c>
      <x:c r="M3563" s="28" t="n">
        <x:v>3</x:v>
      </x:c>
      <x:c r="N3563" s="28" t="n">
        <x:v>2</x:v>
      </x:c>
      <x:c r="O3563" s="28" t="n">
        <x:v>0</x:v>
      </x:c>
      <x:c r="P3563" s="28" t="n">
        <x:v>1</x:v>
      </x:c>
      <x:c r="Q3563" s="24" t="n">
        <x:f>IFERROR(J3563/H3563,0)</x:f>
        <x:v>0.4</x:v>
      </x:c>
      <x:c r="R3563" s="24" t="n">
        <x:f>IFERROR(F3563/H3563,0)</x:f>
        <x:v>0.4</x:v>
      </x:c>
      <x:c r="S3563" s="24" t="n">
        <x:f>IFERROR(F3563/J3563,0)</x:f>
        <x:v>1</x:v>
      </x:c>
      <x:c r="T3563" s="28" t="n">
        <x:f>H3563-I3563</x:f>
        <x:v>-5</x:v>
      </x:c>
      <x:c r="U3563" s="24" t="n">
        <x:f>IFERROR(J3563/H3563,0)-IFERROR(K3563/I3563,0)</x:f>
        <x:v>0</x:v>
      </x:c>
      <x:c r="V3563" s="24" t="n">
        <x:f>IFERROR(F3563/J3563,0)-IFERROR(G3563/K3563,0)</x:f>
        <x:v>0.5</x:v>
      </x:c>
      <x:c r="W3563" s="28" t="n">
        <x:f>L3563-M3563</x:f>
        <x:v>-2</x:v>
      </x:c>
      <x:c r="X3563" s="24" t="n">
        <x:f>IFERROR(K3563/I3563,0)</x:f>
        <x:v>0.4</x:v>
      </x:c>
      <x:c r="Y3563" s="24" t="n">
        <x:f>IFERROR(G3563/I3563,0)</x:f>
        <x:v>0.2</x:v>
      </x:c>
      <x:c r="Z3563" s="24" t="n">
        <x:f>IFERROR(G3563/K3563,0)</x:f>
        <x:v>0.5</x:v>
      </x:c>
      <x:c r="AA3563" s="24" t="n">
        <x:f>IFERROR(F3563/H3563,0)-IFERROR(G3563/I3563,0)</x:f>
        <x:v>0.2</x:v>
      </x:c>
      <x:c r="AB3563" s="28" t="n">
        <x:f>J3563-K3563</x:f>
        <x:v>-2</x:v>
      </x:c>
      <x:c r="AC3563" s="32" t="n">
        <x:f>F3563-G3563</x:f>
        <x:v>0</x:v>
      </x:c>
    </x:row>
    <x:row r="3564">
      <x:c r="A3564" s="4" t="str">
        <x:v>2025-26</x:v>
      </x:c>
      <x:c r="B3564" s="20" t="n">
        <x:v>46074</x:v>
      </x:c>
      <x:c r="C3564" s="4" t="str">
        <x:v>Aston Villa</x:v>
      </x:c>
      <x:c r="D3564" s="4" t="str">
        <x:v>Leeds</x:v>
      </x:c>
      <x:c r="E3564" s="4" t="str">
        <x:v>Home</x:v>
      </x:c>
      <x:c r="F3564" s="28" t="n">
        <x:v>1</x:v>
      </x:c>
      <x:c r="G3564" s="28" t="n">
        <x:v>1</x:v>
      </x:c>
      <x:c r="H3564" s="28" t="n">
        <x:v>16</x:v>
      </x:c>
      <x:c r="I3564" s="28" t="n">
        <x:v>14</x:v>
      </x:c>
      <x:c r="J3564" s="28" t="n">
        <x:v>4</x:v>
      </x:c>
      <x:c r="K3564" s="28" t="n">
        <x:v>4</x:v>
      </x:c>
      <x:c r="L3564" s="28" t="n">
        <x:v>7</x:v>
      </x:c>
      <x:c r="M3564" s="28" t="n">
        <x:v>2</x:v>
      </x:c>
      <x:c r="N3564" s="28" t="n">
        <x:v>1</x:v>
      </x:c>
      <x:c r="O3564" s="28" t="n">
        <x:v>0</x:v>
      </x:c>
      <x:c r="P3564" s="28" t="n">
        <x:v>1</x:v>
      </x:c>
      <x:c r="Q3564" s="24" t="n">
        <x:f>IFERROR(J3564/H3564,0)</x:f>
        <x:v>0.25</x:v>
      </x:c>
      <x:c r="R3564" s="24" t="n">
        <x:f>IFERROR(F3564/H3564,0)</x:f>
        <x:v>0.0625</x:v>
      </x:c>
      <x:c r="S3564" s="24" t="n">
        <x:f>IFERROR(F3564/J3564,0)</x:f>
        <x:v>0.25</x:v>
      </x:c>
      <x:c r="T3564" s="28" t="n">
        <x:f>H3564-I3564</x:f>
        <x:v>2</x:v>
      </x:c>
      <x:c r="U3564" s="24" t="n">
        <x:f>IFERROR(J3564/H3564,0)-IFERROR(K3564/I3564,0)</x:f>
        <x:v>-0.0357142857142857</x:v>
      </x:c>
      <x:c r="V3564" s="24" t="n">
        <x:f>IFERROR(F3564/J3564,0)-IFERROR(G3564/K3564,0)</x:f>
        <x:v>0</x:v>
      </x:c>
      <x:c r="W3564" s="28" t="n">
        <x:f>L3564-M3564</x:f>
        <x:v>5</x:v>
      </x:c>
      <x:c r="X3564" s="24" t="n">
        <x:f>IFERROR(K3564/I3564,0)</x:f>
        <x:v>0.2857142857142857</x:v>
      </x:c>
      <x:c r="Y3564" s="24" t="n">
        <x:f>IFERROR(G3564/I3564,0)</x:f>
        <x:v>0.07142857142857142</x:v>
      </x:c>
      <x:c r="Z3564" s="24" t="n">
        <x:f>IFERROR(G3564/K3564,0)</x:f>
        <x:v>0.25</x:v>
      </x:c>
      <x:c r="AA3564" s="24" t="n">
        <x:f>IFERROR(F3564/H3564,0)-IFERROR(G3564/I3564,0)</x:f>
        <x:v>-0.008928571428571425</x:v>
      </x:c>
      <x:c r="AB3564" s="28" t="n">
        <x:f>J3564-K3564</x:f>
        <x:v>0</x:v>
      </x:c>
      <x:c r="AC3564" s="32" t="n">
        <x:f>F3564-G3564</x:f>
        <x:v>0</x:v>
      </x:c>
    </x:row>
    <x:row r="3565">
      <x:c r="A3565" s="4" t="str">
        <x:v>2025-26</x:v>
      </x:c>
      <x:c r="B3565" s="20" t="n">
        <x:v>46074</x:v>
      </x:c>
      <x:c r="C3565" s="4" t="str">
        <x:v>Bournemouth</x:v>
      </x:c>
      <x:c r="D3565" s="4" t="str">
        <x:v>West Ham</x:v>
      </x:c>
      <x:c r="E3565" s="4" t="str">
        <x:v>Away</x:v>
      </x:c>
      <x:c r="F3565" s="28" t="n">
        <x:v>0</x:v>
      </x:c>
      <x:c r="G3565" s="28" t="n">
        <x:v>0</x:v>
      </x:c>
      <x:c r="H3565" s="28" t="n">
        <x:v>10</x:v>
      </x:c>
      <x:c r="I3565" s="28" t="n">
        <x:v>20</x:v>
      </x:c>
      <x:c r="J3565" s="28" t="n">
        <x:v>5</x:v>
      </x:c>
      <x:c r="K3565" s="28" t="n">
        <x:v>3</x:v>
      </x:c>
      <x:c r="L3565" s="28" t="n">
        <x:v>5</x:v>
      </x:c>
      <x:c r="M3565" s="28" t="n">
        <x:v>9</x:v>
      </x:c>
      <x:c r="N3565" s="28" t="n">
        <x:v>1</x:v>
      </x:c>
      <x:c r="O3565" s="28" t="n">
        <x:v>0</x:v>
      </x:c>
      <x:c r="P3565" s="28" t="n">
        <x:v>1</x:v>
      </x:c>
      <x:c r="Q3565" s="24" t="n">
        <x:f>IFERROR(J3565/H3565,0)</x:f>
        <x:v>0.5</x:v>
      </x:c>
      <x:c r="R3565" s="24" t="n">
        <x:f>IFERROR(F3565/H3565,0)</x:f>
        <x:v>0</x:v>
      </x:c>
      <x:c r="S3565" s="24" t="n">
        <x:f>IFERROR(F3565/J3565,0)</x:f>
        <x:v>0</x:v>
      </x:c>
      <x:c r="T3565" s="28" t="n">
        <x:f>H3565-I3565</x:f>
        <x:v>-10</x:v>
      </x:c>
      <x:c r="U3565" s="24" t="n">
        <x:f>IFERROR(J3565/H3565,0)-IFERROR(K3565/I3565,0)</x:f>
        <x:v>0.35</x:v>
      </x:c>
      <x:c r="V3565" s="24" t="n">
        <x:f>IFERROR(F3565/J3565,0)-IFERROR(G3565/K3565,0)</x:f>
        <x:v>0</x:v>
      </x:c>
      <x:c r="W3565" s="28" t="n">
        <x:f>L3565-M3565</x:f>
        <x:v>-4</x:v>
      </x:c>
      <x:c r="X3565" s="24" t="n">
        <x:f>IFERROR(K3565/I3565,0)</x:f>
        <x:v>0.15</x:v>
      </x:c>
      <x:c r="Y3565" s="24" t="n">
        <x:f>IFERROR(G3565/I3565,0)</x:f>
        <x:v>0</x:v>
      </x:c>
      <x:c r="Z3565" s="24" t="n">
        <x:f>IFERROR(G3565/K3565,0)</x:f>
        <x:v>0</x:v>
      </x:c>
      <x:c r="AA3565" s="24" t="n">
        <x:f>IFERROR(F3565/H3565,0)-IFERROR(G3565/I3565,0)</x:f>
        <x:v>0</x:v>
      </x:c>
      <x:c r="AB3565" s="28" t="n">
        <x:f>J3565-K3565</x:f>
        <x:v>2</x:v>
      </x:c>
      <x:c r="AC3565" s="32" t="n">
        <x:f>F3565-G3565</x:f>
        <x:v>0</x:v>
      </x:c>
    </x:row>
    <x:row r="3566">
      <x:c r="A3566" s="4" t="str">
        <x:v>2025-26</x:v>
      </x:c>
      <x:c r="B3566" s="20" t="n">
        <x:v>46074</x:v>
      </x:c>
      <x:c r="C3566" s="4" t="str">
        <x:v>Brentford</x:v>
      </x:c>
      <x:c r="D3566" s="4" t="str">
        <x:v>Brighton</x:v>
      </x:c>
      <x:c r="E3566" s="4" t="str">
        <x:v>Home</x:v>
      </x:c>
      <x:c r="F3566" s="28" t="n">
        <x:v>0</x:v>
      </x:c>
      <x:c r="G3566" s="28" t="n">
        <x:v>2</x:v>
      </x:c>
      <x:c r="H3566" s="28" t="n">
        <x:v>13</x:v>
      </x:c>
      <x:c r="I3566" s="28" t="n">
        <x:v>11</x:v>
      </x:c>
      <x:c r="J3566" s="28" t="n">
        <x:v>3</x:v>
      </x:c>
      <x:c r="K3566" s="28" t="n">
        <x:v>7</x:v>
      </x:c>
      <x:c r="L3566" s="28" t="n">
        <x:v>6</x:v>
      </x:c>
      <x:c r="M3566" s="28" t="n">
        <x:v>4</x:v>
      </x:c>
      <x:c r="N3566" s="28" t="n">
        <x:v>1</x:v>
      </x:c>
      <x:c r="O3566" s="28" t="n">
        <x:v>0</x:v>
      </x:c>
      <x:c r="P3566" s="28" t="n">
        <x:v>0</x:v>
      </x:c>
      <x:c r="Q3566" s="24" t="n">
        <x:f>IFERROR(J3566/H3566,0)</x:f>
        <x:v>0.23076923076923078</x:v>
      </x:c>
      <x:c r="R3566" s="24" t="n">
        <x:f>IFERROR(F3566/H3566,0)</x:f>
        <x:v>0</x:v>
      </x:c>
      <x:c r="S3566" s="24" t="n">
        <x:f>IFERROR(F3566/J3566,0)</x:f>
        <x:v>0</x:v>
      </x:c>
      <x:c r="T3566" s="28" t="n">
        <x:f>H3566-I3566</x:f>
        <x:v>2</x:v>
      </x:c>
      <x:c r="U3566" s="24" t="n">
        <x:f>IFERROR(J3566/H3566,0)-IFERROR(K3566/I3566,0)</x:f>
        <x:v>-0.40559440559440557</x:v>
      </x:c>
      <x:c r="V3566" s="24" t="n">
        <x:f>IFERROR(F3566/J3566,0)-IFERROR(G3566/K3566,0)</x:f>
        <x:v>-0.2857142857142857</x:v>
      </x:c>
      <x:c r="W3566" s="28" t="n">
        <x:f>L3566-M3566</x:f>
        <x:v>2</x:v>
      </x:c>
      <x:c r="X3566" s="24" t="n">
        <x:f>IFERROR(K3566/I3566,0)</x:f>
        <x:v>0.6363636363636364</x:v>
      </x:c>
      <x:c r="Y3566" s="24" t="n">
        <x:f>IFERROR(G3566/I3566,0)</x:f>
        <x:v>0.18181818181818182</x:v>
      </x:c>
      <x:c r="Z3566" s="24" t="n">
        <x:f>IFERROR(G3566/K3566,0)</x:f>
        <x:v>0.2857142857142857</x:v>
      </x:c>
      <x:c r="AA3566" s="24" t="n">
        <x:f>IFERROR(F3566/H3566,0)-IFERROR(G3566/I3566,0)</x:f>
        <x:v>-0.18181818181818182</x:v>
      </x:c>
      <x:c r="AB3566" s="28" t="n">
        <x:f>J3566-K3566</x:f>
        <x:v>-4</x:v>
      </x:c>
      <x:c r="AC3566" s="32" t="n">
        <x:f>F3566-G3566</x:f>
        <x:v>-2</x:v>
      </x:c>
    </x:row>
    <x:row r="3567">
      <x:c r="A3567" s="4" t="str">
        <x:v>2025-26</x:v>
      </x:c>
      <x:c r="B3567" s="20" t="n">
        <x:v>46074</x:v>
      </x:c>
      <x:c r="C3567" s="4" t="str">
        <x:v>Brighton</x:v>
      </x:c>
      <x:c r="D3567" s="4" t="str">
        <x:v>Brentford</x:v>
      </x:c>
      <x:c r="E3567" s="4" t="str">
        <x:v>Away</x:v>
      </x:c>
      <x:c r="F3567" s="28" t="n">
        <x:v>2</x:v>
      </x:c>
      <x:c r="G3567" s="28" t="n">
        <x:v>0</x:v>
      </x:c>
      <x:c r="H3567" s="28" t="n">
        <x:v>11</x:v>
      </x:c>
      <x:c r="I3567" s="28" t="n">
        <x:v>13</x:v>
      </x:c>
      <x:c r="J3567" s="28" t="n">
        <x:v>7</x:v>
      </x:c>
      <x:c r="K3567" s="28" t="n">
        <x:v>3</x:v>
      </x:c>
      <x:c r="L3567" s="28" t="n">
        <x:v>4</x:v>
      </x:c>
      <x:c r="M3567" s="28" t="n">
        <x:v>6</x:v>
      </x:c>
      <x:c r="N3567" s="28" t="n">
        <x:v>2</x:v>
      </x:c>
      <x:c r="O3567" s="28" t="n">
        <x:v>0</x:v>
      </x:c>
      <x:c r="P3567" s="28" t="n">
        <x:v>3</x:v>
      </x:c>
      <x:c r="Q3567" s="24" t="n">
        <x:f>IFERROR(J3567/H3567,0)</x:f>
        <x:v>0.6363636363636364</x:v>
      </x:c>
      <x:c r="R3567" s="24" t="n">
        <x:f>IFERROR(F3567/H3567,0)</x:f>
        <x:v>0.18181818181818182</x:v>
      </x:c>
      <x:c r="S3567" s="24" t="n">
        <x:f>IFERROR(F3567/J3567,0)</x:f>
        <x:v>0.2857142857142857</x:v>
      </x:c>
      <x:c r="T3567" s="28" t="n">
        <x:f>H3567-I3567</x:f>
        <x:v>-2</x:v>
      </x:c>
      <x:c r="U3567" s="24" t="n">
        <x:f>IFERROR(J3567/H3567,0)-IFERROR(K3567/I3567,0)</x:f>
        <x:v>0.40559440559440557</x:v>
      </x:c>
      <x:c r="V3567" s="24" t="n">
        <x:f>IFERROR(F3567/J3567,0)-IFERROR(G3567/K3567,0)</x:f>
        <x:v>0.2857142857142857</x:v>
      </x:c>
      <x:c r="W3567" s="28" t="n">
        <x:f>L3567-M3567</x:f>
        <x:v>-2</x:v>
      </x:c>
      <x:c r="X3567" s="24" t="n">
        <x:f>IFERROR(K3567/I3567,0)</x:f>
        <x:v>0.23076923076923078</x:v>
      </x:c>
      <x:c r="Y3567" s="24" t="n">
        <x:f>IFERROR(G3567/I3567,0)</x:f>
        <x:v>0</x:v>
      </x:c>
      <x:c r="Z3567" s="24" t="n">
        <x:f>IFERROR(G3567/K3567,0)</x:f>
        <x:v>0</x:v>
      </x:c>
      <x:c r="AA3567" s="24" t="n">
        <x:f>IFERROR(F3567/H3567,0)-IFERROR(G3567/I3567,0)</x:f>
        <x:v>0.18181818181818182</x:v>
      </x:c>
      <x:c r="AB3567" s="28" t="n">
        <x:f>J3567-K3567</x:f>
        <x:v>4</x:v>
      </x:c>
      <x:c r="AC3567" s="32" t="n">
        <x:f>F3567-G3567</x:f>
        <x:v>2</x:v>
      </x:c>
    </x:row>
    <x:row r="3568">
      <x:c r="A3568" s="4" t="str">
        <x:v>2025-26</x:v>
      </x:c>
      <x:c r="B3568" s="20" t="n">
        <x:v>46074</x:v>
      </x:c>
      <x:c r="C3568" s="4" t="str">
        <x:v>Burnley</x:v>
      </x:c>
      <x:c r="D3568" s="4" t="str">
        <x:v>Chelsea</x:v>
      </x:c>
      <x:c r="E3568" s="4" t="str">
        <x:v>Away</x:v>
      </x:c>
      <x:c r="F3568" s="28" t="n">
        <x:v>1</x:v>
      </x:c>
      <x:c r="G3568" s="28" t="n">
        <x:v>1</x:v>
      </x:c>
      <x:c r="H3568" s="28" t="n">
        <x:v>12</x:v>
      </x:c>
      <x:c r="I3568" s="28" t="n">
        <x:v>12</x:v>
      </x:c>
      <x:c r="J3568" s="28" t="n">
        <x:v>4</x:v>
      </x:c>
      <x:c r="K3568" s="28" t="n">
        <x:v>2</x:v>
      </x:c>
      <x:c r="L3568" s="28" t="n">
        <x:v>5</x:v>
      </x:c>
      <x:c r="M3568" s="28" t="n">
        <x:v>9</x:v>
      </x:c>
      <x:c r="N3568" s="28" t="n">
        <x:v>2</x:v>
      </x:c>
      <x:c r="O3568" s="28" t="n">
        <x:v>0</x:v>
      </x:c>
      <x:c r="P3568" s="28" t="n">
        <x:v>1</x:v>
      </x:c>
      <x:c r="Q3568" s="24" t="n">
        <x:f>IFERROR(J3568/H3568,0)</x:f>
        <x:v>0.3333333333333333</x:v>
      </x:c>
      <x:c r="R3568" s="24" t="n">
        <x:f>IFERROR(F3568/H3568,0)</x:f>
        <x:v>0.08333333333333333</x:v>
      </x:c>
      <x:c r="S3568" s="24" t="n">
        <x:f>IFERROR(F3568/J3568,0)</x:f>
        <x:v>0.25</x:v>
      </x:c>
      <x:c r="T3568" s="28" t="n">
        <x:f>H3568-I3568</x:f>
        <x:v>0</x:v>
      </x:c>
      <x:c r="U3568" s="24" t="n">
        <x:f>IFERROR(J3568/H3568,0)-IFERROR(K3568/I3568,0)</x:f>
        <x:v>0.16666666666666666</x:v>
      </x:c>
      <x:c r="V3568" s="24" t="n">
        <x:f>IFERROR(F3568/J3568,0)-IFERROR(G3568/K3568,0)</x:f>
        <x:v>-0.25</x:v>
      </x:c>
      <x:c r="W3568" s="28" t="n">
        <x:f>L3568-M3568</x:f>
        <x:v>-4</x:v>
      </x:c>
      <x:c r="X3568" s="24" t="n">
        <x:f>IFERROR(K3568/I3568,0)</x:f>
        <x:v>0.16666666666666666</x:v>
      </x:c>
      <x:c r="Y3568" s="24" t="n">
        <x:f>IFERROR(G3568/I3568,0)</x:f>
        <x:v>0.08333333333333333</x:v>
      </x:c>
      <x:c r="Z3568" s="24" t="n">
        <x:f>IFERROR(G3568/K3568,0)</x:f>
        <x:v>0.5</x:v>
      </x:c>
      <x:c r="AA3568" s="24" t="n">
        <x:f>IFERROR(F3568/H3568,0)-IFERROR(G3568/I3568,0)</x:f>
        <x:v>0</x:v>
      </x:c>
      <x:c r="AB3568" s="28" t="n">
        <x:f>J3568-K3568</x:f>
        <x:v>2</x:v>
      </x:c>
      <x:c r="AC3568" s="32" t="n">
        <x:f>F3568-G3568</x:f>
        <x:v>0</x:v>
      </x:c>
    </x:row>
    <x:row r="3569">
      <x:c r="A3569" s="4" t="str">
        <x:v>2025-26</x:v>
      </x:c>
      <x:c r="B3569" s="20" t="n">
        <x:v>46074</x:v>
      </x:c>
      <x:c r="C3569" s="4" t="str">
        <x:v>Chelsea</x:v>
      </x:c>
      <x:c r="D3569" s="4" t="str">
        <x:v>Burnley</x:v>
      </x:c>
      <x:c r="E3569" s="4" t="str">
        <x:v>Home</x:v>
      </x:c>
      <x:c r="F3569" s="28" t="n">
        <x:v>1</x:v>
      </x:c>
      <x:c r="G3569" s="28" t="n">
        <x:v>1</x:v>
      </x:c>
      <x:c r="H3569" s="28" t="n">
        <x:v>12</x:v>
      </x:c>
      <x:c r="I3569" s="28" t="n">
        <x:v>12</x:v>
      </x:c>
      <x:c r="J3569" s="28" t="n">
        <x:v>2</x:v>
      </x:c>
      <x:c r="K3569" s="28" t="n">
        <x:v>4</x:v>
      </x:c>
      <x:c r="L3569" s="28" t="n">
        <x:v>9</x:v>
      </x:c>
      <x:c r="M3569" s="28" t="n">
        <x:v>5</x:v>
      </x:c>
      <x:c r="N3569" s="28" t="n">
        <x:v>2</x:v>
      </x:c>
      <x:c r="O3569" s="28" t="n">
        <x:v>1</x:v>
      </x:c>
      <x:c r="P3569" s="28" t="n">
        <x:v>1</x:v>
      </x:c>
      <x:c r="Q3569" s="24" t="n">
        <x:f>IFERROR(J3569/H3569,0)</x:f>
        <x:v>0.16666666666666666</x:v>
      </x:c>
      <x:c r="R3569" s="24" t="n">
        <x:f>IFERROR(F3569/H3569,0)</x:f>
        <x:v>0.08333333333333333</x:v>
      </x:c>
      <x:c r="S3569" s="24" t="n">
        <x:f>IFERROR(F3569/J3569,0)</x:f>
        <x:v>0.5</x:v>
      </x:c>
      <x:c r="T3569" s="28" t="n">
        <x:f>H3569-I3569</x:f>
        <x:v>0</x:v>
      </x:c>
      <x:c r="U3569" s="24" t="n">
        <x:f>IFERROR(J3569/H3569,0)-IFERROR(K3569/I3569,0)</x:f>
        <x:v>-0.16666666666666666</x:v>
      </x:c>
      <x:c r="V3569" s="24" t="n">
        <x:f>IFERROR(F3569/J3569,0)-IFERROR(G3569/K3569,0)</x:f>
        <x:v>0.25</x:v>
      </x:c>
      <x:c r="W3569" s="28" t="n">
        <x:f>L3569-M3569</x:f>
        <x:v>4</x:v>
      </x:c>
      <x:c r="X3569" s="24" t="n">
        <x:f>IFERROR(K3569/I3569,0)</x:f>
        <x:v>0.3333333333333333</x:v>
      </x:c>
      <x:c r="Y3569" s="24" t="n">
        <x:f>IFERROR(G3569/I3569,0)</x:f>
        <x:v>0.08333333333333333</x:v>
      </x:c>
      <x:c r="Z3569" s="24" t="n">
        <x:f>IFERROR(G3569/K3569,0)</x:f>
        <x:v>0.25</x:v>
      </x:c>
      <x:c r="AA3569" s="24" t="n">
        <x:f>IFERROR(F3569/H3569,0)-IFERROR(G3569/I3569,0)</x:f>
        <x:v>0</x:v>
      </x:c>
      <x:c r="AB3569" s="28" t="n">
        <x:f>J3569-K3569</x:f>
        <x:v>-2</x:v>
      </x:c>
      <x:c r="AC3569" s="32" t="n">
        <x:f>F3569-G3569</x:f>
        <x:v>0</x:v>
      </x:c>
    </x:row>
    <x:row r="3570">
      <x:c r="A3570" s="4" t="str">
        <x:v>2025-26</x:v>
      </x:c>
      <x:c r="B3570" s="20" t="n">
        <x:v>46074</x:v>
      </x:c>
      <x:c r="C3570" s="4" t="str">
        <x:v>Leeds</x:v>
      </x:c>
      <x:c r="D3570" s="4" t="str">
        <x:v>Aston Villa</x:v>
      </x:c>
      <x:c r="E3570" s="4" t="str">
        <x:v>Away</x:v>
      </x:c>
      <x:c r="F3570" s="28" t="n">
        <x:v>1</x:v>
      </x:c>
      <x:c r="G3570" s="28" t="n">
        <x:v>1</x:v>
      </x:c>
      <x:c r="H3570" s="28" t="n">
        <x:v>14</x:v>
      </x:c>
      <x:c r="I3570" s="28" t="n">
        <x:v>16</x:v>
      </x:c>
      <x:c r="J3570" s="28" t="n">
        <x:v>4</x:v>
      </x:c>
      <x:c r="K3570" s="28" t="n">
        <x:v>4</x:v>
      </x:c>
      <x:c r="L3570" s="28" t="n">
        <x:v>2</x:v>
      </x:c>
      <x:c r="M3570" s="28" t="n">
        <x:v>7</x:v>
      </x:c>
      <x:c r="N3570" s="28" t="n">
        <x:v>4</x:v>
      </x:c>
      <x:c r="O3570" s="28" t="n">
        <x:v>0</x:v>
      </x:c>
      <x:c r="P3570" s="28" t="n">
        <x:v>1</x:v>
      </x:c>
      <x:c r="Q3570" s="24" t="n">
        <x:f>IFERROR(J3570/H3570,0)</x:f>
        <x:v>0.2857142857142857</x:v>
      </x:c>
      <x:c r="R3570" s="24" t="n">
        <x:f>IFERROR(F3570/H3570,0)</x:f>
        <x:v>0.07142857142857142</x:v>
      </x:c>
      <x:c r="S3570" s="24" t="n">
        <x:f>IFERROR(F3570/J3570,0)</x:f>
        <x:v>0.25</x:v>
      </x:c>
      <x:c r="T3570" s="28" t="n">
        <x:f>H3570-I3570</x:f>
        <x:v>-2</x:v>
      </x:c>
      <x:c r="U3570" s="24" t="n">
        <x:f>IFERROR(J3570/H3570,0)-IFERROR(K3570/I3570,0)</x:f>
        <x:v>0.0357142857142857</x:v>
      </x:c>
      <x:c r="V3570" s="24" t="n">
        <x:f>IFERROR(F3570/J3570,0)-IFERROR(G3570/K3570,0)</x:f>
        <x:v>0</x:v>
      </x:c>
      <x:c r="W3570" s="28" t="n">
        <x:f>L3570-M3570</x:f>
        <x:v>-5</x:v>
      </x:c>
      <x:c r="X3570" s="24" t="n">
        <x:f>IFERROR(K3570/I3570,0)</x:f>
        <x:v>0.25</x:v>
      </x:c>
      <x:c r="Y3570" s="24" t="n">
        <x:f>IFERROR(G3570/I3570,0)</x:f>
        <x:v>0.0625</x:v>
      </x:c>
      <x:c r="Z3570" s="24" t="n">
        <x:f>IFERROR(G3570/K3570,0)</x:f>
        <x:v>0.25</x:v>
      </x:c>
      <x:c r="AA3570" s="24" t="n">
        <x:f>IFERROR(F3570/H3570,0)-IFERROR(G3570/I3570,0)</x:f>
        <x:v>0.008928571428571425</x:v>
      </x:c>
      <x:c r="AB3570" s="28" t="n">
        <x:f>J3570-K3570</x:f>
        <x:v>0</x:v>
      </x:c>
      <x:c r="AC3570" s="32" t="n">
        <x:f>F3570-G3570</x:f>
        <x:v>0</x:v>
      </x:c>
    </x:row>
    <x:row r="3571">
      <x:c r="A3571" s="4" t="str">
        <x:v>2025-26</x:v>
      </x:c>
      <x:c r="B3571" s="20" t="n">
        <x:v>46074</x:v>
      </x:c>
      <x:c r="C3571" s="4" t="str">
        <x:v>Man City</x:v>
      </x:c>
      <x:c r="D3571" s="4" t="str">
        <x:v>Newcastle</x:v>
      </x:c>
      <x:c r="E3571" s="4" t="str">
        <x:v>Home</x:v>
      </x:c>
      <x:c r="F3571" s="28" t="n">
        <x:v>2</x:v>
      </x:c>
      <x:c r="G3571" s="28" t="n">
        <x:v>1</x:v>
      </x:c>
      <x:c r="H3571" s="28" t="n">
        <x:v>15</x:v>
      </x:c>
      <x:c r="I3571" s="28" t="n">
        <x:v>13</x:v>
      </x:c>
      <x:c r="J3571" s="28" t="n">
        <x:v>7</x:v>
      </x:c>
      <x:c r="K3571" s="28" t="n">
        <x:v>7</x:v>
      </x:c>
      <x:c r="L3571" s="28" t="n">
        <x:v>5</x:v>
      </x:c>
      <x:c r="M3571" s="28" t="n">
        <x:v>5</x:v>
      </x:c>
      <x:c r="N3571" s="28" t="n">
        <x:v>2</x:v>
      </x:c>
      <x:c r="O3571" s="28" t="n">
        <x:v>0</x:v>
      </x:c>
      <x:c r="P3571" s="28" t="n">
        <x:v>3</x:v>
      </x:c>
      <x:c r="Q3571" s="24" t="n">
        <x:f>IFERROR(J3571/H3571,0)</x:f>
        <x:v>0.4666666666666667</x:v>
      </x:c>
      <x:c r="R3571" s="24" t="n">
        <x:f>IFERROR(F3571/H3571,0)</x:f>
        <x:v>0.13333333333333333</x:v>
      </x:c>
      <x:c r="S3571" s="24" t="n">
        <x:f>IFERROR(F3571/J3571,0)</x:f>
        <x:v>0.2857142857142857</x:v>
      </x:c>
      <x:c r="T3571" s="28" t="n">
        <x:f>H3571-I3571</x:f>
        <x:v>2</x:v>
      </x:c>
      <x:c r="U3571" s="24" t="n">
        <x:f>IFERROR(J3571/H3571,0)-IFERROR(K3571/I3571,0)</x:f>
        <x:v>-0.07179487179487176</x:v>
      </x:c>
      <x:c r="V3571" s="24" t="n">
        <x:f>IFERROR(F3571/J3571,0)-IFERROR(G3571/K3571,0)</x:f>
        <x:v>0.14285714285714285</x:v>
      </x:c>
      <x:c r="W3571" s="28" t="n">
        <x:f>L3571-M3571</x:f>
        <x:v>0</x:v>
      </x:c>
      <x:c r="X3571" s="24" t="n">
        <x:f>IFERROR(K3571/I3571,0)</x:f>
        <x:v>0.5384615384615384</x:v>
      </x:c>
      <x:c r="Y3571" s="24" t="n">
        <x:f>IFERROR(G3571/I3571,0)</x:f>
        <x:v>0.07692307692307693</x:v>
      </x:c>
      <x:c r="Z3571" s="24" t="n">
        <x:f>IFERROR(G3571/K3571,0)</x:f>
        <x:v>0.14285714285714285</x:v>
      </x:c>
      <x:c r="AA3571" s="24" t="n">
        <x:f>IFERROR(F3571/H3571,0)-IFERROR(G3571/I3571,0)</x:f>
        <x:v>0.056410256410256404</x:v>
      </x:c>
      <x:c r="AB3571" s="28" t="n">
        <x:f>J3571-K3571</x:f>
        <x:v>0</x:v>
      </x:c>
      <x:c r="AC3571" s="32" t="n">
        <x:f>F3571-G3571</x:f>
        <x:v>1</x:v>
      </x:c>
    </x:row>
    <x:row r="3572">
      <x:c r="A3572" s="4" t="str">
        <x:v>2025-26</x:v>
      </x:c>
      <x:c r="B3572" s="20" t="n">
        <x:v>46074</x:v>
      </x:c>
      <x:c r="C3572" s="4" t="str">
        <x:v>Newcastle</x:v>
      </x:c>
      <x:c r="D3572" s="4" t="str">
        <x:v>Man City</x:v>
      </x:c>
      <x:c r="E3572" s="4" t="str">
        <x:v>Away</x:v>
      </x:c>
      <x:c r="F3572" s="28" t="n">
        <x:v>1</x:v>
      </x:c>
      <x:c r="G3572" s="28" t="n">
        <x:v>2</x:v>
      </x:c>
      <x:c r="H3572" s="28" t="n">
        <x:v>13</x:v>
      </x:c>
      <x:c r="I3572" s="28" t="n">
        <x:v>15</x:v>
      </x:c>
      <x:c r="J3572" s="28" t="n">
        <x:v>7</x:v>
      </x:c>
      <x:c r="K3572" s="28" t="n">
        <x:v>7</x:v>
      </x:c>
      <x:c r="L3572" s="28" t="n">
        <x:v>5</x:v>
      </x:c>
      <x:c r="M3572" s="28" t="n">
        <x:v>5</x:v>
      </x:c>
      <x:c r="N3572" s="28" t="n">
        <x:v>5</x:v>
      </x:c>
      <x:c r="O3572" s="28" t="n">
        <x:v>0</x:v>
      </x:c>
      <x:c r="P3572" s="28" t="n">
        <x:v>0</x:v>
      </x:c>
      <x:c r="Q3572" s="24" t="n">
        <x:f>IFERROR(J3572/H3572,0)</x:f>
        <x:v>0.5384615384615384</x:v>
      </x:c>
      <x:c r="R3572" s="24" t="n">
        <x:f>IFERROR(F3572/H3572,0)</x:f>
        <x:v>0.07692307692307693</x:v>
      </x:c>
      <x:c r="S3572" s="24" t="n">
        <x:f>IFERROR(F3572/J3572,0)</x:f>
        <x:v>0.14285714285714285</x:v>
      </x:c>
      <x:c r="T3572" s="28" t="n">
        <x:f>H3572-I3572</x:f>
        <x:v>-2</x:v>
      </x:c>
      <x:c r="U3572" s="24" t="n">
        <x:f>IFERROR(J3572/H3572,0)-IFERROR(K3572/I3572,0)</x:f>
        <x:v>0.07179487179487176</x:v>
      </x:c>
      <x:c r="V3572" s="24" t="n">
        <x:f>IFERROR(F3572/J3572,0)-IFERROR(G3572/K3572,0)</x:f>
        <x:v>-0.14285714285714285</x:v>
      </x:c>
      <x:c r="W3572" s="28" t="n">
        <x:f>L3572-M3572</x:f>
        <x:v>0</x:v>
      </x:c>
      <x:c r="X3572" s="24" t="n">
        <x:f>IFERROR(K3572/I3572,0)</x:f>
        <x:v>0.4666666666666667</x:v>
      </x:c>
      <x:c r="Y3572" s="24" t="n">
        <x:f>IFERROR(G3572/I3572,0)</x:f>
        <x:v>0.13333333333333333</x:v>
      </x:c>
      <x:c r="Z3572" s="24" t="n">
        <x:f>IFERROR(G3572/K3572,0)</x:f>
        <x:v>0.2857142857142857</x:v>
      </x:c>
      <x:c r="AA3572" s="24" t="n">
        <x:f>IFERROR(F3572/H3572,0)-IFERROR(G3572/I3572,0)</x:f>
        <x:v>-0.056410256410256404</x:v>
      </x:c>
      <x:c r="AB3572" s="28" t="n">
        <x:f>J3572-K3572</x:f>
        <x:v>0</x:v>
      </x:c>
      <x:c r="AC3572" s="32" t="n">
        <x:f>F3572-G3572</x:f>
        <x:v>-1</x:v>
      </x:c>
    </x:row>
    <x:row r="3573">
      <x:c r="A3573" s="4" t="str">
        <x:v>2025-26</x:v>
      </x:c>
      <x:c r="B3573" s="20" t="n">
        <x:v>46074</x:v>
      </x:c>
      <x:c r="C3573" s="4" t="str">
        <x:v>West Ham</x:v>
      </x:c>
      <x:c r="D3573" s="4" t="str">
        <x:v>Bournemouth</x:v>
      </x:c>
      <x:c r="E3573" s="4" t="str">
        <x:v>Home</x:v>
      </x:c>
      <x:c r="F3573" s="28" t="n">
        <x:v>0</x:v>
      </x:c>
      <x:c r="G3573" s="28" t="n">
        <x:v>0</x:v>
      </x:c>
      <x:c r="H3573" s="28" t="n">
        <x:v>20</x:v>
      </x:c>
      <x:c r="I3573" s="28" t="n">
        <x:v>10</x:v>
      </x:c>
      <x:c r="J3573" s="28" t="n">
        <x:v>3</x:v>
      </x:c>
      <x:c r="K3573" s="28" t="n">
        <x:v>5</x:v>
      </x:c>
      <x:c r="L3573" s="28" t="n">
        <x:v>9</x:v>
      </x:c>
      <x:c r="M3573" s="28" t="n">
        <x:v>5</x:v>
      </x:c>
      <x:c r="N3573" s="28" t="n">
        <x:v>1</x:v>
      </x:c>
      <x:c r="O3573" s="28" t="n">
        <x:v>0</x:v>
      </x:c>
      <x:c r="P3573" s="28" t="n">
        <x:v>1</x:v>
      </x:c>
      <x:c r="Q3573" s="24" t="n">
        <x:f>IFERROR(J3573/H3573,0)</x:f>
        <x:v>0.15</x:v>
      </x:c>
      <x:c r="R3573" s="24" t="n">
        <x:f>IFERROR(F3573/H3573,0)</x:f>
        <x:v>0</x:v>
      </x:c>
      <x:c r="S3573" s="24" t="n">
        <x:f>IFERROR(F3573/J3573,0)</x:f>
        <x:v>0</x:v>
      </x:c>
      <x:c r="T3573" s="28" t="n">
        <x:f>H3573-I3573</x:f>
        <x:v>10</x:v>
      </x:c>
      <x:c r="U3573" s="24" t="n">
        <x:f>IFERROR(J3573/H3573,0)-IFERROR(K3573/I3573,0)</x:f>
        <x:v>-0.35</x:v>
      </x:c>
      <x:c r="V3573" s="24" t="n">
        <x:f>IFERROR(F3573/J3573,0)-IFERROR(G3573/K3573,0)</x:f>
        <x:v>0</x:v>
      </x:c>
      <x:c r="W3573" s="28" t="n">
        <x:f>L3573-M3573</x:f>
        <x:v>4</x:v>
      </x:c>
      <x:c r="X3573" s="24" t="n">
        <x:f>IFERROR(K3573/I3573,0)</x:f>
        <x:v>0.5</x:v>
      </x:c>
      <x:c r="Y3573" s="24" t="n">
        <x:f>IFERROR(G3573/I3573,0)</x:f>
        <x:v>0</x:v>
      </x:c>
      <x:c r="Z3573" s="24" t="n">
        <x:f>IFERROR(G3573/K3573,0)</x:f>
        <x:v>0</x:v>
      </x:c>
      <x:c r="AA3573" s="24" t="n">
        <x:f>IFERROR(F3573/H3573,0)-IFERROR(G3573/I3573,0)</x:f>
        <x:v>0</x:v>
      </x:c>
      <x:c r="AB3573" s="28" t="n">
        <x:f>J3573-K3573</x:f>
        <x:v>-2</x:v>
      </x:c>
      <x:c r="AC3573" s="32" t="n">
        <x:f>F3573-G3573</x:f>
        <x:v>0</x:v>
      </x:c>
    </x:row>
    <x:row r="3574">
      <x:c r="A3574" s="4" t="str">
        <x:v>2025-26</x:v>
      </x:c>
      <x:c r="B3574" s="20" t="n">
        <x:v>46075</x:v>
      </x:c>
      <x:c r="C3574" s="4" t="str">
        <x:v>Arsenal</x:v>
      </x:c>
      <x:c r="D3574" s="4" t="str">
        <x:v>Tottenham</x:v>
      </x:c>
      <x:c r="E3574" s="4" t="str">
        <x:v>Away</x:v>
      </x:c>
      <x:c r="F3574" s="28" t="n">
        <x:v>4</x:v>
      </x:c>
      <x:c r="G3574" s="28" t="n">
        <x:v>1</x:v>
      </x:c>
      <x:c r="H3574" s="28" t="n">
        <x:v>20</x:v>
      </x:c>
      <x:c r="I3574" s="28" t="n">
        <x:v>6</x:v>
      </x:c>
      <x:c r="J3574" s="28" t="n">
        <x:v>7</x:v>
      </x:c>
      <x:c r="K3574" s="28" t="n">
        <x:v>5</x:v>
      </x:c>
      <x:c r="L3574" s="28" t="n">
        <x:v>5</x:v>
      </x:c>
      <x:c r="M3574" s="28" t="n">
        <x:v>2</x:v>
      </x:c>
      <x:c r="N3574" s="28" t="n">
        <x:v>1</x:v>
      </x:c>
      <x:c r="O3574" s="28" t="n">
        <x:v>0</x:v>
      </x:c>
      <x:c r="P3574" s="28" t="n">
        <x:v>3</x:v>
      </x:c>
      <x:c r="Q3574" s="24" t="n">
        <x:f>IFERROR(J3574/H3574,0)</x:f>
        <x:v>0.35</x:v>
      </x:c>
      <x:c r="R3574" s="24" t="n">
        <x:f>IFERROR(F3574/H3574,0)</x:f>
        <x:v>0.2</x:v>
      </x:c>
      <x:c r="S3574" s="24" t="n">
        <x:f>IFERROR(F3574/J3574,0)</x:f>
        <x:v>0.5714285714285714</x:v>
      </x:c>
      <x:c r="T3574" s="28" t="n">
        <x:f>H3574-I3574</x:f>
        <x:v>14</x:v>
      </x:c>
      <x:c r="U3574" s="24" t="n">
        <x:f>IFERROR(J3574/H3574,0)-IFERROR(K3574/I3574,0)</x:f>
        <x:v>-0.4833333333333334</x:v>
      </x:c>
      <x:c r="V3574" s="24" t="n">
        <x:f>IFERROR(F3574/J3574,0)-IFERROR(G3574/K3574,0)</x:f>
        <x:v>0.3714285714285714</x:v>
      </x:c>
      <x:c r="W3574" s="28" t="n">
        <x:f>L3574-M3574</x:f>
        <x:v>3</x:v>
      </x:c>
      <x:c r="X3574" s="24" t="n">
        <x:f>IFERROR(K3574/I3574,0)</x:f>
        <x:v>0.8333333333333334</x:v>
      </x:c>
      <x:c r="Y3574" s="24" t="n">
        <x:f>IFERROR(G3574/I3574,0)</x:f>
        <x:v>0.16666666666666666</x:v>
      </x:c>
      <x:c r="Z3574" s="24" t="n">
        <x:f>IFERROR(G3574/K3574,0)</x:f>
        <x:v>0.2</x:v>
      </x:c>
      <x:c r="AA3574" s="24" t="n">
        <x:f>IFERROR(F3574/H3574,0)-IFERROR(G3574/I3574,0)</x:f>
        <x:v>0.033333333333333354</x:v>
      </x:c>
      <x:c r="AB3574" s="28" t="n">
        <x:f>J3574-K3574</x:f>
        <x:v>2</x:v>
      </x:c>
      <x:c r="AC3574" s="32" t="n">
        <x:f>F3574-G3574</x:f>
        <x:v>3</x:v>
      </x:c>
    </x:row>
    <x:row r="3575">
      <x:c r="A3575" s="4" t="str">
        <x:v>2025-26</x:v>
      </x:c>
      <x:c r="B3575" s="20" t="n">
        <x:v>46075</x:v>
      </x:c>
      <x:c r="C3575" s="4" t="str">
        <x:v>Crystal Palace</x:v>
      </x:c>
      <x:c r="D3575" s="4" t="str">
        <x:v>Wolves</x:v>
      </x:c>
      <x:c r="E3575" s="4" t="str">
        <x:v>Home</x:v>
      </x:c>
      <x:c r="F3575" s="28" t="n">
        <x:v>1</x:v>
      </x:c>
      <x:c r="G3575" s="28" t="n">
        <x:v>0</x:v>
      </x:c>
      <x:c r="H3575" s="28" t="n">
        <x:v>14</x:v>
      </x:c>
      <x:c r="I3575" s="28" t="n">
        <x:v>12</x:v>
      </x:c>
      <x:c r="J3575" s="28" t="n">
        <x:v>3</x:v>
      </x:c>
      <x:c r="K3575" s="28" t="n">
        <x:v>7</x:v>
      </x:c>
      <x:c r="L3575" s="28" t="n">
        <x:v>7</x:v>
      </x:c>
      <x:c r="M3575" s="28" t="n">
        <x:v>3</x:v>
      </x:c>
      <x:c r="N3575" s="28" t="n">
        <x:v>5</x:v>
      </x:c>
      <x:c r="O3575" s="28" t="n">
        <x:v>0</x:v>
      </x:c>
      <x:c r="P3575" s="28" t="n">
        <x:v>3</x:v>
      </x:c>
      <x:c r="Q3575" s="24" t="n">
        <x:f>IFERROR(J3575/H3575,0)</x:f>
        <x:v>0.21428571428571427</x:v>
      </x:c>
      <x:c r="R3575" s="24" t="n">
        <x:f>IFERROR(F3575/H3575,0)</x:f>
        <x:v>0.07142857142857142</x:v>
      </x:c>
      <x:c r="S3575" s="24" t="n">
        <x:f>IFERROR(F3575/J3575,0)</x:f>
        <x:v>0.3333333333333333</x:v>
      </x:c>
      <x:c r="T3575" s="28" t="n">
        <x:f>H3575-I3575</x:f>
        <x:v>2</x:v>
      </x:c>
      <x:c r="U3575" s="24" t="n">
        <x:f>IFERROR(J3575/H3575,0)-IFERROR(K3575/I3575,0)</x:f>
        <x:v>-0.36904761904761907</x:v>
      </x:c>
      <x:c r="V3575" s="24" t="n">
        <x:f>IFERROR(F3575/J3575,0)-IFERROR(G3575/K3575,0)</x:f>
        <x:v>0.3333333333333333</x:v>
      </x:c>
      <x:c r="W3575" s="28" t="n">
        <x:f>L3575-M3575</x:f>
        <x:v>4</x:v>
      </x:c>
      <x:c r="X3575" s="24" t="n">
        <x:f>IFERROR(K3575/I3575,0)</x:f>
        <x:v>0.5833333333333334</x:v>
      </x:c>
      <x:c r="Y3575" s="24" t="n">
        <x:f>IFERROR(G3575/I3575,0)</x:f>
        <x:v>0</x:v>
      </x:c>
      <x:c r="Z3575" s="24" t="n">
        <x:f>IFERROR(G3575/K3575,0)</x:f>
        <x:v>0</x:v>
      </x:c>
      <x:c r="AA3575" s="24" t="n">
        <x:f>IFERROR(F3575/H3575,0)-IFERROR(G3575/I3575,0)</x:f>
        <x:v>0.07142857142857142</x:v>
      </x:c>
      <x:c r="AB3575" s="28" t="n">
        <x:f>J3575-K3575</x:f>
        <x:v>-4</x:v>
      </x:c>
      <x:c r="AC3575" s="32" t="n">
        <x:f>F3575-G3575</x:f>
        <x:v>1</x:v>
      </x:c>
    </x:row>
    <x:row r="3576">
      <x:c r="A3576" s="4" t="str">
        <x:v>2025-26</x:v>
      </x:c>
      <x:c r="B3576" s="20" t="n">
        <x:v>46075</x:v>
      </x:c>
      <x:c r="C3576" s="4" t="str">
        <x:v>Fulham</x:v>
      </x:c>
      <x:c r="D3576" s="4" t="str">
        <x:v>Sunderland</x:v>
      </x:c>
      <x:c r="E3576" s="4" t="str">
        <x:v>Away</x:v>
      </x:c>
      <x:c r="F3576" s="28" t="n">
        <x:v>3</x:v>
      </x:c>
      <x:c r="G3576" s="28" t="n">
        <x:v>1</x:v>
      </x:c>
      <x:c r="H3576" s="28" t="n">
        <x:v>12</x:v>
      </x:c>
      <x:c r="I3576" s="28" t="n">
        <x:v>12</x:v>
      </x:c>
      <x:c r="J3576" s="28" t="n">
        <x:v>4</x:v>
      </x:c>
      <x:c r="K3576" s="28" t="n">
        <x:v>2</x:v>
      </x:c>
      <x:c r="L3576" s="28" t="n">
        <x:v>4</x:v>
      </x:c>
      <x:c r="M3576" s="28" t="n">
        <x:v>6</x:v>
      </x:c>
      <x:c r="N3576" s="28" t="n">
        <x:v>1</x:v>
      </x:c>
      <x:c r="O3576" s="28" t="n">
        <x:v>0</x:v>
      </x:c>
      <x:c r="P3576" s="28" t="n">
        <x:v>3</x:v>
      </x:c>
      <x:c r="Q3576" s="24" t="n">
        <x:f>IFERROR(J3576/H3576,0)</x:f>
        <x:v>0.3333333333333333</x:v>
      </x:c>
      <x:c r="R3576" s="24" t="n">
        <x:f>IFERROR(F3576/H3576,0)</x:f>
        <x:v>0.25</x:v>
      </x:c>
      <x:c r="S3576" s="24" t="n">
        <x:f>IFERROR(F3576/J3576,0)</x:f>
        <x:v>0.75</x:v>
      </x:c>
      <x:c r="T3576" s="28" t="n">
        <x:f>H3576-I3576</x:f>
        <x:v>0</x:v>
      </x:c>
      <x:c r="U3576" s="24" t="n">
        <x:f>IFERROR(J3576/H3576,0)-IFERROR(K3576/I3576,0)</x:f>
        <x:v>0.16666666666666666</x:v>
      </x:c>
      <x:c r="V3576" s="24" t="n">
        <x:f>IFERROR(F3576/J3576,0)-IFERROR(G3576/K3576,0)</x:f>
        <x:v>0.25</x:v>
      </x:c>
      <x:c r="W3576" s="28" t="n">
        <x:f>L3576-M3576</x:f>
        <x:v>-2</x:v>
      </x:c>
      <x:c r="X3576" s="24" t="n">
        <x:f>IFERROR(K3576/I3576,0)</x:f>
        <x:v>0.16666666666666666</x:v>
      </x:c>
      <x:c r="Y3576" s="24" t="n">
        <x:f>IFERROR(G3576/I3576,0)</x:f>
        <x:v>0.08333333333333333</x:v>
      </x:c>
      <x:c r="Z3576" s="24" t="n">
        <x:f>IFERROR(G3576/K3576,0)</x:f>
        <x:v>0.5</x:v>
      </x:c>
      <x:c r="AA3576" s="24" t="n">
        <x:f>IFERROR(F3576/H3576,0)-IFERROR(G3576/I3576,0)</x:f>
        <x:v>0.16666666666666669</x:v>
      </x:c>
      <x:c r="AB3576" s="28" t="n">
        <x:f>J3576-K3576</x:f>
        <x:v>2</x:v>
      </x:c>
      <x:c r="AC3576" s="32" t="n">
        <x:f>F3576-G3576</x:f>
        <x:v>2</x:v>
      </x:c>
    </x:row>
    <x:row r="3577">
      <x:c r="A3577" s="4" t="str">
        <x:v>2025-26</x:v>
      </x:c>
      <x:c r="B3577" s="20" t="n">
        <x:v>46075</x:v>
      </x:c>
      <x:c r="C3577" s="4" t="str">
        <x:v>Liverpool</x:v>
      </x:c>
      <x:c r="D3577" s="4" t="str">
        <x:v>Nott'm Forest</x:v>
      </x:c>
      <x:c r="E3577" s="4" t="str">
        <x:v>Away</x:v>
      </x:c>
      <x:c r="F3577" s="28" t="n">
        <x:v>1</x:v>
      </x:c>
      <x:c r="G3577" s="28" t="n">
        <x:v>0</x:v>
      </x:c>
      <x:c r="H3577" s="28" t="n">
        <x:v>10</x:v>
      </x:c>
      <x:c r="I3577" s="28" t="n">
        <x:v>18</x:v>
      </x:c>
      <x:c r="J3577" s="28" t="n">
        <x:v>4</x:v>
      </x:c>
      <x:c r="K3577" s="28" t="n">
        <x:v>2</x:v>
      </x:c>
      <x:c r="L3577" s="28" t="n">
        <x:v>2</x:v>
      </x:c>
      <x:c r="M3577" s="28" t="n">
        <x:v>7</x:v>
      </x:c>
      <x:c r="N3577" s="28" t="n">
        <x:v>0</x:v>
      </x:c>
      <x:c r="O3577" s="28" t="n">
        <x:v>0</x:v>
      </x:c>
      <x:c r="P3577" s="28" t="n">
        <x:v>3</x:v>
      </x:c>
      <x:c r="Q3577" s="24" t="n">
        <x:f>IFERROR(J3577/H3577,0)</x:f>
        <x:v>0.4</x:v>
      </x:c>
      <x:c r="R3577" s="24" t="n">
        <x:f>IFERROR(F3577/H3577,0)</x:f>
        <x:v>0.1</x:v>
      </x:c>
      <x:c r="S3577" s="24" t="n">
        <x:f>IFERROR(F3577/J3577,0)</x:f>
        <x:v>0.25</x:v>
      </x:c>
      <x:c r="T3577" s="28" t="n">
        <x:f>H3577-I3577</x:f>
        <x:v>-8</x:v>
      </x:c>
      <x:c r="U3577" s="24" t="n">
        <x:f>IFERROR(J3577/H3577,0)-IFERROR(K3577/I3577,0)</x:f>
        <x:v>0.2888888888888889</x:v>
      </x:c>
      <x:c r="V3577" s="24" t="n">
        <x:f>IFERROR(F3577/J3577,0)-IFERROR(G3577/K3577,0)</x:f>
        <x:v>0.25</x:v>
      </x:c>
      <x:c r="W3577" s="28" t="n">
        <x:f>L3577-M3577</x:f>
        <x:v>-5</x:v>
      </x:c>
      <x:c r="X3577" s="24" t="n">
        <x:f>IFERROR(K3577/I3577,0)</x:f>
        <x:v>0.1111111111111111</x:v>
      </x:c>
      <x:c r="Y3577" s="24" t="n">
        <x:f>IFERROR(G3577/I3577,0)</x:f>
        <x:v>0</x:v>
      </x:c>
      <x:c r="Z3577" s="24" t="n">
        <x:f>IFERROR(G3577/K3577,0)</x:f>
        <x:v>0</x:v>
      </x:c>
      <x:c r="AA3577" s="24" t="n">
        <x:f>IFERROR(F3577/H3577,0)-IFERROR(G3577/I3577,0)</x:f>
        <x:v>0.1</x:v>
      </x:c>
      <x:c r="AB3577" s="28" t="n">
        <x:f>J3577-K3577</x:f>
        <x:v>2</x:v>
      </x:c>
      <x:c r="AC3577" s="32" t="n">
        <x:f>F3577-G3577</x:f>
        <x:v>1</x:v>
      </x:c>
    </x:row>
    <x:row r="3578">
      <x:c r="A3578" s="4" t="str">
        <x:v>2025-26</x:v>
      </x:c>
      <x:c r="B3578" s="20" t="n">
        <x:v>46075</x:v>
      </x:c>
      <x:c r="C3578" s="4" t="str">
        <x:v>Nott'm Forest</x:v>
      </x:c>
      <x:c r="D3578" s="4" t="str">
        <x:v>Liverpool</x:v>
      </x:c>
      <x:c r="E3578" s="4" t="str">
        <x:v>Home</x:v>
      </x:c>
      <x:c r="F3578" s="28" t="n">
        <x:v>0</x:v>
      </x:c>
      <x:c r="G3578" s="28" t="n">
        <x:v>1</x:v>
      </x:c>
      <x:c r="H3578" s="28" t="n">
        <x:v>18</x:v>
      </x:c>
      <x:c r="I3578" s="28" t="n">
        <x:v>10</x:v>
      </x:c>
      <x:c r="J3578" s="28" t="n">
        <x:v>2</x:v>
      </x:c>
      <x:c r="K3578" s="28" t="n">
        <x:v>4</x:v>
      </x:c>
      <x:c r="L3578" s="28" t="n">
        <x:v>7</x:v>
      </x:c>
      <x:c r="M3578" s="28" t="n">
        <x:v>2</x:v>
      </x:c>
      <x:c r="N3578" s="28" t="n">
        <x:v>2</x:v>
      </x:c>
      <x:c r="O3578" s="28" t="n">
        <x:v>0</x:v>
      </x:c>
      <x:c r="P3578" s="28" t="n">
        <x:v>0</x:v>
      </x:c>
      <x:c r="Q3578" s="24" t="n">
        <x:f>IFERROR(J3578/H3578,0)</x:f>
        <x:v>0.1111111111111111</x:v>
      </x:c>
      <x:c r="R3578" s="24" t="n">
        <x:f>IFERROR(F3578/H3578,0)</x:f>
        <x:v>0</x:v>
      </x:c>
      <x:c r="S3578" s="24" t="n">
        <x:f>IFERROR(F3578/J3578,0)</x:f>
        <x:v>0</x:v>
      </x:c>
      <x:c r="T3578" s="28" t="n">
        <x:f>H3578-I3578</x:f>
        <x:v>8</x:v>
      </x:c>
      <x:c r="U3578" s="24" t="n">
        <x:f>IFERROR(J3578/H3578,0)-IFERROR(K3578/I3578,0)</x:f>
        <x:v>-0.2888888888888889</x:v>
      </x:c>
      <x:c r="V3578" s="24" t="n">
        <x:f>IFERROR(F3578/J3578,0)-IFERROR(G3578/K3578,0)</x:f>
        <x:v>-0.25</x:v>
      </x:c>
      <x:c r="W3578" s="28" t="n">
        <x:f>L3578-M3578</x:f>
        <x:v>5</x:v>
      </x:c>
      <x:c r="X3578" s="24" t="n">
        <x:f>IFERROR(K3578/I3578,0)</x:f>
        <x:v>0.4</x:v>
      </x:c>
      <x:c r="Y3578" s="24" t="n">
        <x:f>IFERROR(G3578/I3578,0)</x:f>
        <x:v>0.1</x:v>
      </x:c>
      <x:c r="Z3578" s="24" t="n">
        <x:f>IFERROR(G3578/K3578,0)</x:f>
        <x:v>0.25</x:v>
      </x:c>
      <x:c r="AA3578" s="24" t="n">
        <x:f>IFERROR(F3578/H3578,0)-IFERROR(G3578/I3578,0)</x:f>
        <x:v>-0.1</x:v>
      </x:c>
      <x:c r="AB3578" s="28" t="n">
        <x:f>J3578-K3578</x:f>
        <x:v>-2</x:v>
      </x:c>
      <x:c r="AC3578" s="32" t="n">
        <x:f>F3578-G3578</x:f>
        <x:v>-1</x:v>
      </x:c>
    </x:row>
    <x:row r="3579">
      <x:c r="A3579" s="4" t="str">
        <x:v>2025-26</x:v>
      </x:c>
      <x:c r="B3579" s="20" t="n">
        <x:v>46075</x:v>
      </x:c>
      <x:c r="C3579" s="4" t="str">
        <x:v>Sunderland</x:v>
      </x:c>
      <x:c r="D3579" s="4" t="str">
        <x:v>Fulham</x:v>
      </x:c>
      <x:c r="E3579" s="4" t="str">
        <x:v>Home</x:v>
      </x:c>
      <x:c r="F3579" s="28" t="n">
        <x:v>1</x:v>
      </x:c>
      <x:c r="G3579" s="28" t="n">
        <x:v>3</x:v>
      </x:c>
      <x:c r="H3579" s="28" t="n">
        <x:v>12</x:v>
      </x:c>
      <x:c r="I3579" s="28" t="n">
        <x:v>12</x:v>
      </x:c>
      <x:c r="J3579" s="28" t="n">
        <x:v>2</x:v>
      </x:c>
      <x:c r="K3579" s="28" t="n">
        <x:v>4</x:v>
      </x:c>
      <x:c r="L3579" s="28" t="n">
        <x:v>6</x:v>
      </x:c>
      <x:c r="M3579" s="28" t="n">
        <x:v>4</x:v>
      </x:c>
      <x:c r="N3579" s="28" t="n">
        <x:v>1</x:v>
      </x:c>
      <x:c r="O3579" s="28" t="n">
        <x:v>0</x:v>
      </x:c>
      <x:c r="P3579" s="28" t="n">
        <x:v>0</x:v>
      </x:c>
      <x:c r="Q3579" s="24" t="n">
        <x:f>IFERROR(J3579/H3579,0)</x:f>
        <x:v>0.16666666666666666</x:v>
      </x:c>
      <x:c r="R3579" s="24" t="n">
        <x:f>IFERROR(F3579/H3579,0)</x:f>
        <x:v>0.08333333333333333</x:v>
      </x:c>
      <x:c r="S3579" s="24" t="n">
        <x:f>IFERROR(F3579/J3579,0)</x:f>
        <x:v>0.5</x:v>
      </x:c>
      <x:c r="T3579" s="28" t="n">
        <x:f>H3579-I3579</x:f>
        <x:v>0</x:v>
      </x:c>
      <x:c r="U3579" s="24" t="n">
        <x:f>IFERROR(J3579/H3579,0)-IFERROR(K3579/I3579,0)</x:f>
        <x:v>-0.16666666666666666</x:v>
      </x:c>
      <x:c r="V3579" s="24" t="n">
        <x:f>IFERROR(F3579/J3579,0)-IFERROR(G3579/K3579,0)</x:f>
        <x:v>-0.25</x:v>
      </x:c>
      <x:c r="W3579" s="28" t="n">
        <x:f>L3579-M3579</x:f>
        <x:v>2</x:v>
      </x:c>
      <x:c r="X3579" s="24" t="n">
        <x:f>IFERROR(K3579/I3579,0)</x:f>
        <x:v>0.3333333333333333</x:v>
      </x:c>
      <x:c r="Y3579" s="24" t="n">
        <x:f>IFERROR(G3579/I3579,0)</x:f>
        <x:v>0.25</x:v>
      </x:c>
      <x:c r="Z3579" s="24" t="n">
        <x:f>IFERROR(G3579/K3579,0)</x:f>
        <x:v>0.75</x:v>
      </x:c>
      <x:c r="AA3579" s="24" t="n">
        <x:f>IFERROR(F3579/H3579,0)-IFERROR(G3579/I3579,0)</x:f>
        <x:v>-0.16666666666666669</x:v>
      </x:c>
      <x:c r="AB3579" s="28" t="n">
        <x:f>J3579-K3579</x:f>
        <x:v>-2</x:v>
      </x:c>
      <x:c r="AC3579" s="32" t="n">
        <x:f>F3579-G3579</x:f>
        <x:v>-2</x:v>
      </x:c>
    </x:row>
    <x:row r="3580">
      <x:c r="A3580" s="4" t="str">
        <x:v>2025-26</x:v>
      </x:c>
      <x:c r="B3580" s="20" t="n">
        <x:v>46075</x:v>
      </x:c>
      <x:c r="C3580" s="4" t="str">
        <x:v>Tottenham</x:v>
      </x:c>
      <x:c r="D3580" s="4" t="str">
        <x:v>Arsenal</x:v>
      </x:c>
      <x:c r="E3580" s="4" t="str">
        <x:v>Home</x:v>
      </x:c>
      <x:c r="F3580" s="28" t="n">
        <x:v>1</x:v>
      </x:c>
      <x:c r="G3580" s="28" t="n">
        <x:v>4</x:v>
      </x:c>
      <x:c r="H3580" s="28" t="n">
        <x:v>6</x:v>
      </x:c>
      <x:c r="I3580" s="28" t="n">
        <x:v>20</x:v>
      </x:c>
      <x:c r="J3580" s="28" t="n">
        <x:v>5</x:v>
      </x:c>
      <x:c r="K3580" s="28" t="n">
        <x:v>7</x:v>
      </x:c>
      <x:c r="L3580" s="28" t="n">
        <x:v>2</x:v>
      </x:c>
      <x:c r="M3580" s="28" t="n">
        <x:v>5</x:v>
      </x:c>
      <x:c r="N3580" s="28" t="n">
        <x:v>2</x:v>
      </x:c>
      <x:c r="O3580" s="28" t="n">
        <x:v>0</x:v>
      </x:c>
      <x:c r="P3580" s="28" t="n">
        <x:v>0</x:v>
      </x:c>
      <x:c r="Q3580" s="24" t="n">
        <x:f>IFERROR(J3580/H3580,0)</x:f>
        <x:v>0.8333333333333334</x:v>
      </x:c>
      <x:c r="R3580" s="24" t="n">
        <x:f>IFERROR(F3580/H3580,0)</x:f>
        <x:v>0.16666666666666666</x:v>
      </x:c>
      <x:c r="S3580" s="24" t="n">
        <x:f>IFERROR(F3580/J3580,0)</x:f>
        <x:v>0.2</x:v>
      </x:c>
      <x:c r="T3580" s="28" t="n">
        <x:f>H3580-I3580</x:f>
        <x:v>-14</x:v>
      </x:c>
      <x:c r="U3580" s="24" t="n">
        <x:f>IFERROR(J3580/H3580,0)-IFERROR(K3580/I3580,0)</x:f>
        <x:v>0.4833333333333334</x:v>
      </x:c>
      <x:c r="V3580" s="24" t="n">
        <x:f>IFERROR(F3580/J3580,0)-IFERROR(G3580/K3580,0)</x:f>
        <x:v>-0.3714285714285714</x:v>
      </x:c>
      <x:c r="W3580" s="28" t="n">
        <x:f>L3580-M3580</x:f>
        <x:v>-3</x:v>
      </x:c>
      <x:c r="X3580" s="24" t="n">
        <x:f>IFERROR(K3580/I3580,0)</x:f>
        <x:v>0.35</x:v>
      </x:c>
      <x:c r="Y3580" s="24" t="n">
        <x:f>IFERROR(G3580/I3580,0)</x:f>
        <x:v>0.2</x:v>
      </x:c>
      <x:c r="Z3580" s="24" t="n">
        <x:f>IFERROR(G3580/K3580,0)</x:f>
        <x:v>0.5714285714285714</x:v>
      </x:c>
      <x:c r="AA3580" s="24" t="n">
        <x:f>IFERROR(F3580/H3580,0)-IFERROR(G3580/I3580,0)</x:f>
        <x:v>-0.033333333333333354</x:v>
      </x:c>
      <x:c r="AB3580" s="28" t="n">
        <x:f>J3580-K3580</x:f>
        <x:v>-2</x:v>
      </x:c>
      <x:c r="AC3580" s="32" t="n">
        <x:f>F3580-G3580</x:f>
        <x:v>-3</x:v>
      </x:c>
    </x:row>
    <x:row r="3581">
      <x:c r="A3581" s="4" t="str">
        <x:v>2025-26</x:v>
      </x:c>
      <x:c r="B3581" s="20" t="n">
        <x:v>46075</x:v>
      </x:c>
      <x:c r="C3581" s="4" t="str">
        <x:v>Wolves</x:v>
      </x:c>
      <x:c r="D3581" s="4" t="str">
        <x:v>Crystal Palace</x:v>
      </x:c>
      <x:c r="E3581" s="4" t="str">
        <x:v>Away</x:v>
      </x:c>
      <x:c r="F3581" s="28" t="n">
        <x:v>0</x:v>
      </x:c>
      <x:c r="G3581" s="28" t="n">
        <x:v>1</x:v>
      </x:c>
      <x:c r="H3581" s="28" t="n">
        <x:v>12</x:v>
      </x:c>
      <x:c r="I3581" s="28" t="n">
        <x:v>14</x:v>
      </x:c>
      <x:c r="J3581" s="28" t="n">
        <x:v>7</x:v>
      </x:c>
      <x:c r="K3581" s="28" t="n">
        <x:v>3</x:v>
      </x:c>
      <x:c r="L3581" s="28" t="n">
        <x:v>3</x:v>
      </x:c>
      <x:c r="M3581" s="28" t="n">
        <x:v>7</x:v>
      </x:c>
      <x:c r="N3581" s="28" t="n">
        <x:v>1</x:v>
      </x:c>
      <x:c r="O3581" s="28" t="n">
        <x:v>1</x:v>
      </x:c>
      <x:c r="P3581" s="28" t="n">
        <x:v>0</x:v>
      </x:c>
      <x:c r="Q3581" s="24" t="n">
        <x:f>IFERROR(J3581/H3581,0)</x:f>
        <x:v>0.5833333333333334</x:v>
      </x:c>
      <x:c r="R3581" s="24" t="n">
        <x:f>IFERROR(F3581/H3581,0)</x:f>
        <x:v>0</x:v>
      </x:c>
      <x:c r="S3581" s="24" t="n">
        <x:f>IFERROR(F3581/J3581,0)</x:f>
        <x:v>0</x:v>
      </x:c>
      <x:c r="T3581" s="28" t="n">
        <x:f>H3581-I3581</x:f>
        <x:v>-2</x:v>
      </x:c>
      <x:c r="U3581" s="24" t="n">
        <x:f>IFERROR(J3581/H3581,0)-IFERROR(K3581/I3581,0)</x:f>
        <x:v>0.36904761904761907</x:v>
      </x:c>
      <x:c r="V3581" s="24" t="n">
        <x:f>IFERROR(F3581/J3581,0)-IFERROR(G3581/K3581,0)</x:f>
        <x:v>-0.3333333333333333</x:v>
      </x:c>
      <x:c r="W3581" s="28" t="n">
        <x:f>L3581-M3581</x:f>
        <x:v>-4</x:v>
      </x:c>
      <x:c r="X3581" s="24" t="n">
        <x:f>IFERROR(K3581/I3581,0)</x:f>
        <x:v>0.21428571428571427</x:v>
      </x:c>
      <x:c r="Y3581" s="24" t="n">
        <x:f>IFERROR(G3581/I3581,0)</x:f>
        <x:v>0.07142857142857142</x:v>
      </x:c>
      <x:c r="Z3581" s="24" t="n">
        <x:f>IFERROR(G3581/K3581,0)</x:f>
        <x:v>0.3333333333333333</x:v>
      </x:c>
      <x:c r="AA3581" s="24" t="n">
        <x:f>IFERROR(F3581/H3581,0)-IFERROR(G3581/I3581,0)</x:f>
        <x:v>-0.07142857142857142</x:v>
      </x:c>
      <x:c r="AB3581" s="28" t="n">
        <x:f>J3581-K3581</x:f>
        <x:v>4</x:v>
      </x:c>
      <x:c r="AC3581" s="32" t="n">
        <x:f>F3581-G3581</x:f>
        <x:v>-1</x:v>
      </x:c>
    </x:row>
    <x:row r="3582">
      <x:c r="A3582" s="4" t="str">
        <x:v>2025-26</x:v>
      </x:c>
      <x:c r="B3582" s="20" t="n">
        <x:v>46076</x:v>
      </x:c>
      <x:c r="C3582" s="4" t="str">
        <x:v>Everton</x:v>
      </x:c>
      <x:c r="D3582" s="4" t="str">
        <x:v>Man United</x:v>
      </x:c>
      <x:c r="E3582" s="4" t="str">
        <x:v>Home</x:v>
      </x:c>
      <x:c r="F3582" s="28" t="n">
        <x:v>0</x:v>
      </x:c>
      <x:c r="G3582" s="28" t="n">
        <x:v>1</x:v>
      </x:c>
      <x:c r="H3582" s="28" t="n">
        <x:v>12</x:v>
      </x:c>
      <x:c r="I3582" s="28" t="n">
        <x:v>11</x:v>
      </x:c>
      <x:c r="J3582" s="28" t="n">
        <x:v>4</x:v>
      </x:c>
      <x:c r="K3582" s="28" t="n">
        <x:v>3</x:v>
      </x:c>
      <x:c r="L3582" s="28" t="n">
        <x:v>10</x:v>
      </x:c>
      <x:c r="M3582" s="28" t="n">
        <x:v>1</x:v>
      </x:c>
      <x:c r="N3582" s="28" t="n">
        <x:v>2</x:v>
      </x:c>
      <x:c r="O3582" s="28" t="n">
        <x:v>0</x:v>
      </x:c>
      <x:c r="P3582" s="28" t="n">
        <x:v>0</x:v>
      </x:c>
      <x:c r="Q3582" s="24" t="n">
        <x:f>IFERROR(J3582/H3582,0)</x:f>
        <x:v>0.3333333333333333</x:v>
      </x:c>
      <x:c r="R3582" s="24" t="n">
        <x:f>IFERROR(F3582/H3582,0)</x:f>
        <x:v>0</x:v>
      </x:c>
      <x:c r="S3582" s="24" t="n">
        <x:f>IFERROR(F3582/J3582,0)</x:f>
        <x:v>0</x:v>
      </x:c>
      <x:c r="T3582" s="28" t="n">
        <x:f>H3582-I3582</x:f>
        <x:v>1</x:v>
      </x:c>
      <x:c r="U3582" s="24" t="n">
        <x:f>IFERROR(J3582/H3582,0)-IFERROR(K3582/I3582,0)</x:f>
        <x:v>0.06060606060606061</x:v>
      </x:c>
      <x:c r="V3582" s="24" t="n">
        <x:f>IFERROR(F3582/J3582,0)-IFERROR(G3582/K3582,0)</x:f>
        <x:v>-0.3333333333333333</x:v>
      </x:c>
      <x:c r="W3582" s="28" t="n">
        <x:f>L3582-M3582</x:f>
        <x:v>9</x:v>
      </x:c>
      <x:c r="X3582" s="24" t="n">
        <x:f>IFERROR(K3582/I3582,0)</x:f>
        <x:v>0.2727272727272727</x:v>
      </x:c>
      <x:c r="Y3582" s="24" t="n">
        <x:f>IFERROR(G3582/I3582,0)</x:f>
        <x:v>0.09090909090909091</x:v>
      </x:c>
      <x:c r="Z3582" s="24" t="n">
        <x:f>IFERROR(G3582/K3582,0)</x:f>
        <x:v>0.3333333333333333</x:v>
      </x:c>
      <x:c r="AA3582" s="24" t="n">
        <x:f>IFERROR(F3582/H3582,0)-IFERROR(G3582/I3582,0)</x:f>
        <x:v>-0.09090909090909091</x:v>
      </x:c>
      <x:c r="AB3582" s="28" t="n">
        <x:f>J3582-K3582</x:f>
        <x:v>1</x:v>
      </x:c>
      <x:c r="AC3582" s="32" t="n">
        <x:f>F3582-G3582</x:f>
        <x:v>-1</x:v>
      </x:c>
    </x:row>
    <x:row r="3583">
      <x:c r="A3583" s="4" t="str">
        <x:v>2025-26</x:v>
      </x:c>
      <x:c r="B3583" s="20" t="n">
        <x:v>46076</x:v>
      </x:c>
      <x:c r="C3583" s="4" t="str">
        <x:v>Man United</x:v>
      </x:c>
      <x:c r="D3583" s="4" t="str">
        <x:v>Everton</x:v>
      </x:c>
      <x:c r="E3583" s="4" t="str">
        <x:v>Away</x:v>
      </x:c>
      <x:c r="F3583" s="28" t="n">
        <x:v>1</x:v>
      </x:c>
      <x:c r="G3583" s="28" t="n">
        <x:v>0</x:v>
      </x:c>
      <x:c r="H3583" s="28" t="n">
        <x:v>11</x:v>
      </x:c>
      <x:c r="I3583" s="28" t="n">
        <x:v>12</x:v>
      </x:c>
      <x:c r="J3583" s="28" t="n">
        <x:v>3</x:v>
      </x:c>
      <x:c r="K3583" s="28" t="n">
        <x:v>4</x:v>
      </x:c>
      <x:c r="L3583" s="28" t="n">
        <x:v>1</x:v>
      </x:c>
      <x:c r="M3583" s="28" t="n">
        <x:v>10</x:v>
      </x:c>
      <x:c r="N3583" s="28" t="n">
        <x:v>3</x:v>
      </x:c>
      <x:c r="O3583" s="28" t="n">
        <x:v>0</x:v>
      </x:c>
      <x:c r="P3583" s="28" t="n">
        <x:v>3</x:v>
      </x:c>
      <x:c r="Q3583" s="24" t="n">
        <x:f>IFERROR(J3583/H3583,0)</x:f>
        <x:v>0.2727272727272727</x:v>
      </x:c>
      <x:c r="R3583" s="24" t="n">
        <x:f>IFERROR(F3583/H3583,0)</x:f>
        <x:v>0.09090909090909091</x:v>
      </x:c>
      <x:c r="S3583" s="24" t="n">
        <x:f>IFERROR(F3583/J3583,0)</x:f>
        <x:v>0.3333333333333333</x:v>
      </x:c>
      <x:c r="T3583" s="28" t="n">
        <x:f>H3583-I3583</x:f>
        <x:v>-1</x:v>
      </x:c>
      <x:c r="U3583" s="24" t="n">
        <x:f>IFERROR(J3583/H3583,0)-IFERROR(K3583/I3583,0)</x:f>
        <x:v>-0.06060606060606061</x:v>
      </x:c>
      <x:c r="V3583" s="24" t="n">
        <x:f>IFERROR(F3583/J3583,0)-IFERROR(G3583/K3583,0)</x:f>
        <x:v>0.3333333333333333</x:v>
      </x:c>
      <x:c r="W3583" s="28" t="n">
        <x:f>L3583-M3583</x:f>
        <x:v>-9</x:v>
      </x:c>
      <x:c r="X3583" s="24" t="n">
        <x:f>IFERROR(K3583/I3583,0)</x:f>
        <x:v>0.3333333333333333</x:v>
      </x:c>
      <x:c r="Y3583" s="24" t="n">
        <x:f>IFERROR(G3583/I3583,0)</x:f>
        <x:v>0</x:v>
      </x:c>
      <x:c r="Z3583" s="24" t="n">
        <x:f>IFERROR(G3583/K3583,0)</x:f>
        <x:v>0</x:v>
      </x:c>
      <x:c r="AA3583" s="24" t="n">
        <x:f>IFERROR(F3583/H3583,0)-IFERROR(G3583/I3583,0)</x:f>
        <x:v>0.09090909090909091</x:v>
      </x:c>
      <x:c r="AB3583" s="28" t="n">
        <x:f>J3583-K3583</x:f>
        <x:v>-1</x:v>
      </x:c>
      <x:c r="AC3583" s="32" t="n">
        <x:f>F3583-G3583</x:f>
        <x:v>1</x:v>
      </x:c>
    </x:row>
    <x:row r="3584">
      <x:c r="A3584" s="4" t="str">
        <x:v>2025-26</x:v>
      </x:c>
      <x:c r="B3584" s="20" t="n">
        <x:v>46080</x:v>
      </x:c>
      <x:c r="C3584" s="4" t="str">
        <x:v>Aston Villa</x:v>
      </x:c>
      <x:c r="D3584" s="4" t="str">
        <x:v>Wolves</x:v>
      </x:c>
      <x:c r="E3584" s="4" t="str">
        <x:v>Away</x:v>
      </x:c>
      <x:c r="F3584" s="28" t="n">
        <x:v>0</x:v>
      </x:c>
      <x:c r="G3584" s="28" t="n">
        <x:v>2</x:v>
      </x:c>
      <x:c r="H3584" s="28" t="n">
        <x:v>14</x:v>
      </x:c>
      <x:c r="I3584" s="28" t="n">
        <x:v>9</x:v>
      </x:c>
      <x:c r="J3584" s="28" t="n">
        <x:v>5</x:v>
      </x:c>
      <x:c r="K3584" s="28" t="n">
        <x:v>2</x:v>
      </x:c>
      <x:c r="L3584" s="28" t="n">
        <x:v>5</x:v>
      </x:c>
      <x:c r="M3584" s="28" t="n">
        <x:v>0</x:v>
      </x:c>
      <x:c r="N3584" s="28" t="n">
        <x:v>3</x:v>
      </x:c>
      <x:c r="O3584" s="28" t="n">
        <x:v>0</x:v>
      </x:c>
      <x:c r="P3584" s="28" t="n">
        <x:v>0</x:v>
      </x:c>
      <x:c r="Q3584" s="24" t="n">
        <x:f>IFERROR(J3584/H3584,0)</x:f>
        <x:v>0.35714285714285715</x:v>
      </x:c>
      <x:c r="R3584" s="24" t="n">
        <x:f>IFERROR(F3584/H3584,0)</x:f>
        <x:v>0</x:v>
      </x:c>
      <x:c r="S3584" s="24" t="n">
        <x:f>IFERROR(F3584/J3584,0)</x:f>
        <x:v>0</x:v>
      </x:c>
      <x:c r="T3584" s="28" t="n">
        <x:f>H3584-I3584</x:f>
        <x:v>5</x:v>
      </x:c>
      <x:c r="U3584" s="24" t="n">
        <x:f>IFERROR(J3584/H3584,0)-IFERROR(K3584/I3584,0)</x:f>
        <x:v>0.13492063492063494</x:v>
      </x:c>
      <x:c r="V3584" s="24" t="n">
        <x:f>IFERROR(F3584/J3584,0)-IFERROR(G3584/K3584,0)</x:f>
        <x:v>-1</x:v>
      </x:c>
      <x:c r="W3584" s="28" t="n">
        <x:f>L3584-M3584</x:f>
        <x:v>5</x:v>
      </x:c>
      <x:c r="X3584" s="24" t="n">
        <x:f>IFERROR(K3584/I3584,0)</x:f>
        <x:v>0.2222222222222222</x:v>
      </x:c>
      <x:c r="Y3584" s="24" t="n">
        <x:f>IFERROR(G3584/I3584,0)</x:f>
        <x:v>0.2222222222222222</x:v>
      </x:c>
      <x:c r="Z3584" s="24" t="n">
        <x:f>IFERROR(G3584/K3584,0)</x:f>
        <x:v>1</x:v>
      </x:c>
      <x:c r="AA3584" s="24" t="n">
        <x:f>IFERROR(F3584/H3584,0)-IFERROR(G3584/I3584,0)</x:f>
        <x:v>-0.2222222222222222</x:v>
      </x:c>
      <x:c r="AB3584" s="28" t="n">
        <x:f>J3584-K3584</x:f>
        <x:v>3</x:v>
      </x:c>
      <x:c r="AC3584" s="32" t="n">
        <x:f>F3584-G3584</x:f>
        <x:v>-2</x:v>
      </x:c>
    </x:row>
    <x:row r="3585">
      <x:c r="A3585" s="4" t="str">
        <x:v>2025-26</x:v>
      </x:c>
      <x:c r="B3585" s="20" t="n">
        <x:v>46080</x:v>
      </x:c>
      <x:c r="C3585" s="4" t="str">
        <x:v>Wolves</x:v>
      </x:c>
      <x:c r="D3585" s="4" t="str">
        <x:v>Aston Villa</x:v>
      </x:c>
      <x:c r="E3585" s="4" t="str">
        <x:v>Home</x:v>
      </x:c>
      <x:c r="F3585" s="28" t="n">
        <x:v>2</x:v>
      </x:c>
      <x:c r="G3585" s="28" t="n">
        <x:v>0</x:v>
      </x:c>
      <x:c r="H3585" s="28" t="n">
        <x:v>9</x:v>
      </x:c>
      <x:c r="I3585" s="28" t="n">
        <x:v>14</x:v>
      </x:c>
      <x:c r="J3585" s="28" t="n">
        <x:v>2</x:v>
      </x:c>
      <x:c r="K3585" s="28" t="n">
        <x:v>5</x:v>
      </x:c>
      <x:c r="L3585" s="28" t="n">
        <x:v>0</x:v>
      </x:c>
      <x:c r="M3585" s="28" t="n">
        <x:v>5</x:v>
      </x:c>
      <x:c r="N3585" s="28" t="n">
        <x:v>3</x:v>
      </x:c>
      <x:c r="O3585" s="28" t="n">
        <x:v>0</x:v>
      </x:c>
      <x:c r="P3585" s="28" t="n">
        <x:v>3</x:v>
      </x:c>
      <x:c r="Q3585" s="24" t="n">
        <x:f>IFERROR(J3585/H3585,0)</x:f>
        <x:v>0.2222222222222222</x:v>
      </x:c>
      <x:c r="R3585" s="24" t="n">
        <x:f>IFERROR(F3585/H3585,0)</x:f>
        <x:v>0.2222222222222222</x:v>
      </x:c>
      <x:c r="S3585" s="24" t="n">
        <x:f>IFERROR(F3585/J3585,0)</x:f>
        <x:v>1</x:v>
      </x:c>
      <x:c r="T3585" s="28" t="n">
        <x:f>H3585-I3585</x:f>
        <x:v>-5</x:v>
      </x:c>
      <x:c r="U3585" s="24" t="n">
        <x:f>IFERROR(J3585/H3585,0)-IFERROR(K3585/I3585,0)</x:f>
        <x:v>-0.13492063492063494</x:v>
      </x:c>
      <x:c r="V3585" s="24" t="n">
        <x:f>IFERROR(F3585/J3585,0)-IFERROR(G3585/K3585,0)</x:f>
        <x:v>1</x:v>
      </x:c>
      <x:c r="W3585" s="28" t="n">
        <x:f>L3585-M3585</x:f>
        <x:v>-5</x:v>
      </x:c>
      <x:c r="X3585" s="24" t="n">
        <x:f>IFERROR(K3585/I3585,0)</x:f>
        <x:v>0.35714285714285715</x:v>
      </x:c>
      <x:c r="Y3585" s="24" t="n">
        <x:f>IFERROR(G3585/I3585,0)</x:f>
        <x:v>0</x:v>
      </x:c>
      <x:c r="Z3585" s="24" t="n">
        <x:f>IFERROR(G3585/K3585,0)</x:f>
        <x:v>0</x:v>
      </x:c>
      <x:c r="AA3585" s="24" t="n">
        <x:f>IFERROR(F3585/H3585,0)-IFERROR(G3585/I3585,0)</x:f>
        <x:v>0.2222222222222222</x:v>
      </x:c>
      <x:c r="AB3585" s="28" t="n">
        <x:f>J3585-K3585</x:f>
        <x:v>-3</x:v>
      </x:c>
      <x:c r="AC3585" s="32" t="n">
        <x:f>F3585-G3585</x:f>
        <x:v>2</x:v>
      </x:c>
    </x:row>
    <x:row r="3586">
      <x:c r="A3586" s="4" t="str">
        <x:v>2025-26</x:v>
      </x:c>
      <x:c r="B3586" s="20" t="n">
        <x:v>46081</x:v>
      </x:c>
      <x:c r="C3586" s="4" t="str">
        <x:v>Bournemouth</x:v>
      </x:c>
      <x:c r="D3586" s="4" t="str">
        <x:v>Sunderland</x:v>
      </x:c>
      <x:c r="E3586" s="4" t="str">
        <x:v>Home</x:v>
      </x:c>
      <x:c r="F3586" s="28" t="n">
        <x:v>1</x:v>
      </x:c>
      <x:c r="G3586" s="28" t="n">
        <x:v>1</x:v>
      </x:c>
      <x:c r="H3586" s="28" t="n">
        <x:v>21</x:v>
      </x:c>
      <x:c r="I3586" s="28" t="n">
        <x:v>8</x:v>
      </x:c>
      <x:c r="J3586" s="28" t="n">
        <x:v>5</x:v>
      </x:c>
      <x:c r="K3586" s="28" t="n">
        <x:v>4</x:v>
      </x:c>
      <x:c r="L3586" s="28" t="n">
        <x:v>7</x:v>
      </x:c>
      <x:c r="M3586" s="28" t="n">
        <x:v>3</x:v>
      </x:c>
      <x:c r="N3586" s="28" t="n">
        <x:v>4</x:v>
      </x:c>
      <x:c r="O3586" s="28" t="n">
        <x:v>0</x:v>
      </x:c>
      <x:c r="P3586" s="28" t="n">
        <x:v>1</x:v>
      </x:c>
      <x:c r="Q3586" s="24" t="n">
        <x:f>IFERROR(J3586/H3586,0)</x:f>
        <x:v>0.23809523809523808</x:v>
      </x:c>
      <x:c r="R3586" s="24" t="n">
        <x:f>IFERROR(F3586/H3586,0)</x:f>
        <x:v>0.047619047619047616</x:v>
      </x:c>
      <x:c r="S3586" s="24" t="n">
        <x:f>IFERROR(F3586/J3586,0)</x:f>
        <x:v>0.2</x:v>
      </x:c>
      <x:c r="T3586" s="28" t="n">
        <x:f>H3586-I3586</x:f>
        <x:v>13</x:v>
      </x:c>
      <x:c r="U3586" s="24" t="n">
        <x:f>IFERROR(J3586/H3586,0)-IFERROR(K3586/I3586,0)</x:f>
        <x:v>-0.2619047619047619</x:v>
      </x:c>
      <x:c r="V3586" s="24" t="n">
        <x:f>IFERROR(F3586/J3586,0)-IFERROR(G3586/K3586,0)</x:f>
        <x:v>-0.04999999999999999</x:v>
      </x:c>
      <x:c r="W3586" s="28" t="n">
        <x:f>L3586-M3586</x:f>
        <x:v>4</x:v>
      </x:c>
      <x:c r="X3586" s="24" t="n">
        <x:f>IFERROR(K3586/I3586,0)</x:f>
        <x:v>0.5</x:v>
      </x:c>
      <x:c r="Y3586" s="24" t="n">
        <x:f>IFERROR(G3586/I3586,0)</x:f>
        <x:v>0.125</x:v>
      </x:c>
      <x:c r="Z3586" s="24" t="n">
        <x:f>IFERROR(G3586/K3586,0)</x:f>
        <x:v>0.25</x:v>
      </x:c>
      <x:c r="AA3586" s="24" t="n">
        <x:f>IFERROR(F3586/H3586,0)-IFERROR(G3586/I3586,0)</x:f>
        <x:v>-0.07738095238095238</x:v>
      </x:c>
      <x:c r="AB3586" s="28" t="n">
        <x:f>J3586-K3586</x:f>
        <x:v>1</x:v>
      </x:c>
      <x:c r="AC3586" s="32" t="n">
        <x:f>F3586-G3586</x:f>
        <x:v>0</x:v>
      </x:c>
    </x:row>
    <x:row r="3587">
      <x:c r="A3587" s="4" t="str">
        <x:v>2025-26</x:v>
      </x:c>
      <x:c r="B3587" s="20" t="n">
        <x:v>46081</x:v>
      </x:c>
      <x:c r="C3587" s="4" t="str">
        <x:v>Brentford</x:v>
      </x:c>
      <x:c r="D3587" s="4" t="str">
        <x:v>Burnley</x:v>
      </x:c>
      <x:c r="E3587" s="4" t="str">
        <x:v>Away</x:v>
      </x:c>
      <x:c r="F3587" s="28" t="n">
        <x:v>4</x:v>
      </x:c>
      <x:c r="G3587" s="28" t="n">
        <x:v>3</x:v>
      </x:c>
      <x:c r="H3587" s="28" t="n">
        <x:v>16</x:v>
      </x:c>
      <x:c r="I3587" s="28" t="n">
        <x:v>12</x:v>
      </x:c>
      <x:c r="J3587" s="28" t="n">
        <x:v>7</x:v>
      </x:c>
      <x:c r="K3587" s="28" t="n">
        <x:v>3</x:v>
      </x:c>
      <x:c r="L3587" s="28" t="n">
        <x:v>8</x:v>
      </x:c>
      <x:c r="M3587" s="28" t="n">
        <x:v>4</x:v>
      </x:c>
      <x:c r="N3587" s="28" t="n">
        <x:v>2</x:v>
      </x:c>
      <x:c r="O3587" s="28" t="n">
        <x:v>0</x:v>
      </x:c>
      <x:c r="P3587" s="28" t="n">
        <x:v>3</x:v>
      </x:c>
      <x:c r="Q3587" s="24" t="n">
        <x:f>IFERROR(J3587/H3587,0)</x:f>
        <x:v>0.4375</x:v>
      </x:c>
      <x:c r="R3587" s="24" t="n">
        <x:f>IFERROR(F3587/H3587,0)</x:f>
        <x:v>0.25</x:v>
      </x:c>
      <x:c r="S3587" s="24" t="n">
        <x:f>IFERROR(F3587/J3587,0)</x:f>
        <x:v>0.5714285714285714</x:v>
      </x:c>
      <x:c r="T3587" s="28" t="n">
        <x:f>H3587-I3587</x:f>
        <x:v>4</x:v>
      </x:c>
      <x:c r="U3587" s="24" t="n">
        <x:f>IFERROR(J3587/H3587,0)-IFERROR(K3587/I3587,0)</x:f>
        <x:v>0.1875</x:v>
      </x:c>
      <x:c r="V3587" s="24" t="n">
        <x:f>IFERROR(F3587/J3587,0)-IFERROR(G3587/K3587,0)</x:f>
        <x:v>-0.4285714285714286</x:v>
      </x:c>
      <x:c r="W3587" s="28" t="n">
        <x:f>L3587-M3587</x:f>
        <x:v>4</x:v>
      </x:c>
      <x:c r="X3587" s="24" t="n">
        <x:f>IFERROR(K3587/I3587,0)</x:f>
        <x:v>0.25</x:v>
      </x:c>
      <x:c r="Y3587" s="24" t="n">
        <x:f>IFERROR(G3587/I3587,0)</x:f>
        <x:v>0.25</x:v>
      </x:c>
      <x:c r="Z3587" s="24" t="n">
        <x:f>IFERROR(G3587/K3587,0)</x:f>
        <x:v>1</x:v>
      </x:c>
      <x:c r="AA3587" s="24" t="n">
        <x:f>IFERROR(F3587/H3587,0)-IFERROR(G3587/I3587,0)</x:f>
        <x:v>0</x:v>
      </x:c>
      <x:c r="AB3587" s="28" t="n">
        <x:f>J3587-K3587</x:f>
        <x:v>4</x:v>
      </x:c>
      <x:c r="AC3587" s="32" t="n">
        <x:f>F3587-G3587</x:f>
        <x:v>1</x:v>
      </x:c>
    </x:row>
    <x:row r="3588">
      <x:c r="A3588" s="4" t="str">
        <x:v>2025-26</x:v>
      </x:c>
      <x:c r="B3588" s="20" t="n">
        <x:v>46081</x:v>
      </x:c>
      <x:c r="C3588" s="4" t="str">
        <x:v>Burnley</x:v>
      </x:c>
      <x:c r="D3588" s="4" t="str">
        <x:v>Brentford</x:v>
      </x:c>
      <x:c r="E3588" s="4" t="str">
        <x:v>Home</x:v>
      </x:c>
      <x:c r="F3588" s="28" t="n">
        <x:v>3</x:v>
      </x:c>
      <x:c r="G3588" s="28" t="n">
        <x:v>4</x:v>
      </x:c>
      <x:c r="H3588" s="28" t="n">
        <x:v>12</x:v>
      </x:c>
      <x:c r="I3588" s="28" t="n">
        <x:v>16</x:v>
      </x:c>
      <x:c r="J3588" s="28" t="n">
        <x:v>3</x:v>
      </x:c>
      <x:c r="K3588" s="28" t="n">
        <x:v>7</x:v>
      </x:c>
      <x:c r="L3588" s="28" t="n">
        <x:v>4</x:v>
      </x:c>
      <x:c r="M3588" s="28" t="n">
        <x:v>8</x:v>
      </x:c>
      <x:c r="N3588" s="28" t="n">
        <x:v>2</x:v>
      </x:c>
      <x:c r="O3588" s="28" t="n">
        <x:v>0</x:v>
      </x:c>
      <x:c r="P3588" s="28" t="n">
        <x:v>0</x:v>
      </x:c>
      <x:c r="Q3588" s="24" t="n">
        <x:f>IFERROR(J3588/H3588,0)</x:f>
        <x:v>0.25</x:v>
      </x:c>
      <x:c r="R3588" s="24" t="n">
        <x:f>IFERROR(F3588/H3588,0)</x:f>
        <x:v>0.25</x:v>
      </x:c>
      <x:c r="S3588" s="24" t="n">
        <x:f>IFERROR(F3588/J3588,0)</x:f>
        <x:v>1</x:v>
      </x:c>
      <x:c r="T3588" s="28" t="n">
        <x:f>H3588-I3588</x:f>
        <x:v>-4</x:v>
      </x:c>
      <x:c r="U3588" s="24" t="n">
        <x:f>IFERROR(J3588/H3588,0)-IFERROR(K3588/I3588,0)</x:f>
        <x:v>-0.1875</x:v>
      </x:c>
      <x:c r="V3588" s="24" t="n">
        <x:f>IFERROR(F3588/J3588,0)-IFERROR(G3588/K3588,0)</x:f>
        <x:v>0.4285714285714286</x:v>
      </x:c>
      <x:c r="W3588" s="28" t="n">
        <x:f>L3588-M3588</x:f>
        <x:v>-4</x:v>
      </x:c>
      <x:c r="X3588" s="24" t="n">
        <x:f>IFERROR(K3588/I3588,0)</x:f>
        <x:v>0.4375</x:v>
      </x:c>
      <x:c r="Y3588" s="24" t="n">
        <x:f>IFERROR(G3588/I3588,0)</x:f>
        <x:v>0.25</x:v>
      </x:c>
      <x:c r="Z3588" s="24" t="n">
        <x:f>IFERROR(G3588/K3588,0)</x:f>
        <x:v>0.5714285714285714</x:v>
      </x:c>
      <x:c r="AA3588" s="24" t="n">
        <x:f>IFERROR(F3588/H3588,0)-IFERROR(G3588/I3588,0)</x:f>
        <x:v>0</x:v>
      </x:c>
      <x:c r="AB3588" s="28" t="n">
        <x:f>J3588-K3588</x:f>
        <x:v>-4</x:v>
      </x:c>
      <x:c r="AC3588" s="32" t="n">
        <x:f>F3588-G3588</x:f>
        <x:v>-1</x:v>
      </x:c>
    </x:row>
    <x:row r="3589">
      <x:c r="A3589" s="4" t="str">
        <x:v>2025-26</x:v>
      </x:c>
      <x:c r="B3589" s="20" t="n">
        <x:v>46081</x:v>
      </x:c>
      <x:c r="C3589" s="4" t="str">
        <x:v>Everton</x:v>
      </x:c>
      <x:c r="D3589" s="4" t="str">
        <x:v>Newcastle</x:v>
      </x:c>
      <x:c r="E3589" s="4" t="str">
        <x:v>Away</x:v>
      </x:c>
      <x:c r="F3589" s="28" t="n">
        <x:v>3</x:v>
      </x:c>
      <x:c r="G3589" s="28" t="n">
        <x:v>2</x:v>
      </x:c>
      <x:c r="H3589" s="28" t="n">
        <x:v>9</x:v>
      </x:c>
      <x:c r="I3589" s="28" t="n">
        <x:v>17</x:v>
      </x:c>
      <x:c r="J3589" s="28" t="n">
        <x:v>5</x:v>
      </x:c>
      <x:c r="K3589" s="28" t="n">
        <x:v>7</x:v>
      </x:c>
      <x:c r="L3589" s="28" t="n">
        <x:v>2</x:v>
      </x:c>
      <x:c r="M3589" s="28" t="n">
        <x:v>7</x:v>
      </x:c>
      <x:c r="N3589" s="28" t="n">
        <x:v>3</x:v>
      </x:c>
      <x:c r="O3589" s="28" t="n">
        <x:v>0</x:v>
      </x:c>
      <x:c r="P3589" s="28" t="n">
        <x:v>3</x:v>
      </x:c>
      <x:c r="Q3589" s="24" t="n">
        <x:f>IFERROR(J3589/H3589,0)</x:f>
        <x:v>0.5555555555555556</x:v>
      </x:c>
      <x:c r="R3589" s="24" t="n">
        <x:f>IFERROR(F3589/H3589,0)</x:f>
        <x:v>0.3333333333333333</x:v>
      </x:c>
      <x:c r="S3589" s="24" t="n">
        <x:f>IFERROR(F3589/J3589,0)</x:f>
        <x:v>0.6</x:v>
      </x:c>
      <x:c r="T3589" s="28" t="n">
        <x:f>H3589-I3589</x:f>
        <x:v>-8</x:v>
      </x:c>
      <x:c r="U3589" s="24" t="n">
        <x:f>IFERROR(J3589/H3589,0)-IFERROR(K3589/I3589,0)</x:f>
        <x:v>0.14379084967320266</x:v>
      </x:c>
      <x:c r="V3589" s="24" t="n">
        <x:f>IFERROR(F3589/J3589,0)-IFERROR(G3589/K3589,0)</x:f>
        <x:v>0.3142857142857143</x:v>
      </x:c>
      <x:c r="W3589" s="28" t="n">
        <x:f>L3589-M3589</x:f>
        <x:v>-5</x:v>
      </x:c>
      <x:c r="X3589" s="24" t="n">
        <x:f>IFERROR(K3589/I3589,0)</x:f>
        <x:v>0.4117647058823529</x:v>
      </x:c>
      <x:c r="Y3589" s="24" t="n">
        <x:f>IFERROR(G3589/I3589,0)</x:f>
        <x:v>0.11764705882352941</x:v>
      </x:c>
      <x:c r="Z3589" s="24" t="n">
        <x:f>IFERROR(G3589/K3589,0)</x:f>
        <x:v>0.2857142857142857</x:v>
      </x:c>
      <x:c r="AA3589" s="24" t="n">
        <x:f>IFERROR(F3589/H3589,0)-IFERROR(G3589/I3589,0)</x:f>
        <x:v>0.2156862745098039</x:v>
      </x:c>
      <x:c r="AB3589" s="28" t="n">
        <x:f>J3589-K3589</x:f>
        <x:v>-2</x:v>
      </x:c>
      <x:c r="AC3589" s="32" t="n">
        <x:f>F3589-G3589</x:f>
        <x:v>1</x:v>
      </x:c>
    </x:row>
    <x:row r="3590">
      <x:c r="A3590" s="4" t="str">
        <x:v>2025-26</x:v>
      </x:c>
      <x:c r="B3590" s="20" t="n">
        <x:v>46081</x:v>
      </x:c>
      <x:c r="C3590" s="4" t="str">
        <x:v>Leeds</x:v>
      </x:c>
      <x:c r="D3590" s="4" t="str">
        <x:v>Man City</x:v>
      </x:c>
      <x:c r="E3590" s="4" t="str">
        <x:v>Home</x:v>
      </x:c>
      <x:c r="F3590" s="28" t="n">
        <x:v>0</x:v>
      </x:c>
      <x:c r="G3590" s="28" t="n">
        <x:v>1</x:v>
      </x:c>
      <x:c r="H3590" s="28" t="n">
        <x:v>14</x:v>
      </x:c>
      <x:c r="I3590" s="28" t="n">
        <x:v>14</x:v>
      </x:c>
      <x:c r="J3590" s="28" t="n">
        <x:v>2</x:v>
      </x:c>
      <x:c r="K3590" s="28" t="n">
        <x:v>5</x:v>
      </x:c>
      <x:c r="L3590" s="28" t="n">
        <x:v>5</x:v>
      </x:c>
      <x:c r="M3590" s="28" t="n">
        <x:v>3</x:v>
      </x:c>
      <x:c r="N3590" s="28" t="n">
        <x:v>0</x:v>
      </x:c>
      <x:c r="O3590" s="28" t="n">
        <x:v>0</x:v>
      </x:c>
      <x:c r="P3590" s="28" t="n">
        <x:v>0</x:v>
      </x:c>
      <x:c r="Q3590" s="24" t="n">
        <x:f>IFERROR(J3590/H3590,0)</x:f>
        <x:v>0.14285714285714285</x:v>
      </x:c>
      <x:c r="R3590" s="24" t="n">
        <x:f>IFERROR(F3590/H3590,0)</x:f>
        <x:v>0</x:v>
      </x:c>
      <x:c r="S3590" s="24" t="n">
        <x:f>IFERROR(F3590/J3590,0)</x:f>
        <x:v>0</x:v>
      </x:c>
      <x:c r="T3590" s="28" t="n">
        <x:f>H3590-I3590</x:f>
        <x:v>0</x:v>
      </x:c>
      <x:c r="U3590" s="24" t="n">
        <x:f>IFERROR(J3590/H3590,0)-IFERROR(K3590/I3590,0)</x:f>
        <x:v>-0.2142857142857143</x:v>
      </x:c>
      <x:c r="V3590" s="24" t="n">
        <x:f>IFERROR(F3590/J3590,0)-IFERROR(G3590/K3590,0)</x:f>
        <x:v>-0.2</x:v>
      </x:c>
      <x:c r="W3590" s="28" t="n">
        <x:f>L3590-M3590</x:f>
        <x:v>2</x:v>
      </x:c>
      <x:c r="X3590" s="24" t="n">
        <x:f>IFERROR(K3590/I3590,0)</x:f>
        <x:v>0.35714285714285715</x:v>
      </x:c>
      <x:c r="Y3590" s="24" t="n">
        <x:f>IFERROR(G3590/I3590,0)</x:f>
        <x:v>0.07142857142857142</x:v>
      </x:c>
      <x:c r="Z3590" s="24" t="n">
        <x:f>IFERROR(G3590/K3590,0)</x:f>
        <x:v>0.2</x:v>
      </x:c>
      <x:c r="AA3590" s="24" t="n">
        <x:f>IFERROR(F3590/H3590,0)-IFERROR(G3590/I3590,0)</x:f>
        <x:v>-0.07142857142857142</x:v>
      </x:c>
      <x:c r="AB3590" s="28" t="n">
        <x:f>J3590-K3590</x:f>
        <x:v>-3</x:v>
      </x:c>
      <x:c r="AC3590" s="32" t="n">
        <x:f>F3590-G3590</x:f>
        <x:v>-1</x:v>
      </x:c>
    </x:row>
    <x:row r="3591">
      <x:c r="A3591" s="4" t="str">
        <x:v>2025-26</x:v>
      </x:c>
      <x:c r="B3591" s="20" t="n">
        <x:v>46081</x:v>
      </x:c>
      <x:c r="C3591" s="4" t="str">
        <x:v>Liverpool</x:v>
      </x:c>
      <x:c r="D3591" s="4" t="str">
        <x:v>West Ham</x:v>
      </x:c>
      <x:c r="E3591" s="4" t="str">
        <x:v>Home</x:v>
      </x:c>
      <x:c r="F3591" s="28" t="n">
        <x:v>5</x:v>
      </x:c>
      <x:c r="G3591" s="28" t="n">
        <x:v>2</x:v>
      </x:c>
      <x:c r="H3591" s="28" t="n">
        <x:v>18</x:v>
      </x:c>
      <x:c r="I3591" s="28" t="n">
        <x:v>11</x:v>
      </x:c>
      <x:c r="J3591" s="28" t="n">
        <x:v>7</x:v>
      </x:c>
      <x:c r="K3591" s="28" t="n">
        <x:v>4</x:v>
      </x:c>
      <x:c r="L3591" s="28" t="n">
        <x:v>10</x:v>
      </x:c>
      <x:c r="M3591" s="28" t="n">
        <x:v>5</x:v>
      </x:c>
      <x:c r="N3591" s="28" t="n">
        <x:v>2</x:v>
      </x:c>
      <x:c r="O3591" s="28" t="n">
        <x:v>0</x:v>
      </x:c>
      <x:c r="P3591" s="28" t="n">
        <x:v>3</x:v>
      </x:c>
      <x:c r="Q3591" s="24" t="n">
        <x:f>IFERROR(J3591/H3591,0)</x:f>
        <x:v>0.3888888888888889</x:v>
      </x:c>
      <x:c r="R3591" s="24" t="n">
        <x:f>IFERROR(F3591/H3591,0)</x:f>
        <x:v>0.2777777777777778</x:v>
      </x:c>
      <x:c r="S3591" s="24" t="n">
        <x:f>IFERROR(F3591/J3591,0)</x:f>
        <x:v>0.7142857142857143</x:v>
      </x:c>
      <x:c r="T3591" s="28" t="n">
        <x:f>H3591-I3591</x:f>
        <x:v>7</x:v>
      </x:c>
      <x:c r="U3591" s="24" t="n">
        <x:f>IFERROR(J3591/H3591,0)-IFERROR(K3591/I3591,0)</x:f>
        <x:v>0.02525252525252525</x:v>
      </x:c>
      <x:c r="V3591" s="24" t="n">
        <x:f>IFERROR(F3591/J3591,0)-IFERROR(G3591/K3591,0)</x:f>
        <x:v>0.2142857142857143</x:v>
      </x:c>
      <x:c r="W3591" s="28" t="n">
        <x:f>L3591-M3591</x:f>
        <x:v>5</x:v>
      </x:c>
      <x:c r="X3591" s="24" t="n">
        <x:f>IFERROR(K3591/I3591,0)</x:f>
        <x:v>0.36363636363636365</x:v>
      </x:c>
      <x:c r="Y3591" s="24" t="n">
        <x:f>IFERROR(G3591/I3591,0)</x:f>
        <x:v>0.18181818181818182</x:v>
      </x:c>
      <x:c r="Z3591" s="24" t="n">
        <x:f>IFERROR(G3591/K3591,0)</x:f>
        <x:v>0.5</x:v>
      </x:c>
      <x:c r="AA3591" s="24" t="n">
        <x:f>IFERROR(F3591/H3591,0)-IFERROR(G3591/I3591,0)</x:f>
        <x:v>0.09595959595959597</x:v>
      </x:c>
      <x:c r="AB3591" s="28" t="n">
        <x:f>J3591-K3591</x:f>
        <x:v>3</x:v>
      </x:c>
      <x:c r="AC3591" s="32" t="n">
        <x:f>F3591-G3591</x:f>
        <x:v>3</x:v>
      </x:c>
    </x:row>
    <x:row r="3592">
      <x:c r="A3592" s="4" t="str">
        <x:v>2025-26</x:v>
      </x:c>
      <x:c r="B3592" s="20" t="n">
        <x:v>46081</x:v>
      </x:c>
      <x:c r="C3592" s="4" t="str">
        <x:v>Man City</x:v>
      </x:c>
      <x:c r="D3592" s="4" t="str">
        <x:v>Leeds</x:v>
      </x:c>
      <x:c r="E3592" s="4" t="str">
        <x:v>Away</x:v>
      </x:c>
      <x:c r="F3592" s="28" t="n">
        <x:v>1</x:v>
      </x:c>
      <x:c r="G3592" s="28" t="n">
        <x:v>0</x:v>
      </x:c>
      <x:c r="H3592" s="28" t="n">
        <x:v>14</x:v>
      </x:c>
      <x:c r="I3592" s="28" t="n">
        <x:v>14</x:v>
      </x:c>
      <x:c r="J3592" s="28" t="n">
        <x:v>5</x:v>
      </x:c>
      <x:c r="K3592" s="28" t="n">
        <x:v>2</x:v>
      </x:c>
      <x:c r="L3592" s="28" t="n">
        <x:v>3</x:v>
      </x:c>
      <x:c r="M3592" s="28" t="n">
        <x:v>5</x:v>
      </x:c>
      <x:c r="N3592" s="28" t="n">
        <x:v>3</x:v>
      </x:c>
      <x:c r="O3592" s="28" t="n">
        <x:v>0</x:v>
      </x:c>
      <x:c r="P3592" s="28" t="n">
        <x:v>3</x:v>
      </x:c>
      <x:c r="Q3592" s="24" t="n">
        <x:f>IFERROR(J3592/H3592,0)</x:f>
        <x:v>0.35714285714285715</x:v>
      </x:c>
      <x:c r="R3592" s="24" t="n">
        <x:f>IFERROR(F3592/H3592,0)</x:f>
        <x:v>0.07142857142857142</x:v>
      </x:c>
      <x:c r="S3592" s="24" t="n">
        <x:f>IFERROR(F3592/J3592,0)</x:f>
        <x:v>0.2</x:v>
      </x:c>
      <x:c r="T3592" s="28" t="n">
        <x:f>H3592-I3592</x:f>
        <x:v>0</x:v>
      </x:c>
      <x:c r="U3592" s="24" t="n">
        <x:f>IFERROR(J3592/H3592,0)-IFERROR(K3592/I3592,0)</x:f>
        <x:v>0.2142857142857143</x:v>
      </x:c>
      <x:c r="V3592" s="24" t="n">
        <x:f>IFERROR(F3592/J3592,0)-IFERROR(G3592/K3592,0)</x:f>
        <x:v>0.2</x:v>
      </x:c>
      <x:c r="W3592" s="28" t="n">
        <x:f>L3592-M3592</x:f>
        <x:v>-2</x:v>
      </x:c>
      <x:c r="X3592" s="24" t="n">
        <x:f>IFERROR(K3592/I3592,0)</x:f>
        <x:v>0.14285714285714285</x:v>
      </x:c>
      <x:c r="Y3592" s="24" t="n">
        <x:f>IFERROR(G3592/I3592,0)</x:f>
        <x:v>0</x:v>
      </x:c>
      <x:c r="Z3592" s="24" t="n">
        <x:f>IFERROR(G3592/K3592,0)</x:f>
        <x:v>0</x:v>
      </x:c>
      <x:c r="AA3592" s="24" t="n">
        <x:f>IFERROR(F3592/H3592,0)-IFERROR(G3592/I3592,0)</x:f>
        <x:v>0.07142857142857142</x:v>
      </x:c>
      <x:c r="AB3592" s="28" t="n">
        <x:f>J3592-K3592</x:f>
        <x:v>3</x:v>
      </x:c>
      <x:c r="AC3592" s="32" t="n">
        <x:f>F3592-G3592</x:f>
        <x:v>1</x:v>
      </x:c>
    </x:row>
    <x:row r="3593">
      <x:c r="A3593" s="4" t="str">
        <x:v>2025-26</x:v>
      </x:c>
      <x:c r="B3593" s="20" t="n">
        <x:v>46081</x:v>
      </x:c>
      <x:c r="C3593" s="4" t="str">
        <x:v>Newcastle</x:v>
      </x:c>
      <x:c r="D3593" s="4" t="str">
        <x:v>Everton</x:v>
      </x:c>
      <x:c r="E3593" s="4" t="str">
        <x:v>Home</x:v>
      </x:c>
      <x:c r="F3593" s="28" t="n">
        <x:v>2</x:v>
      </x:c>
      <x:c r="G3593" s="28" t="n">
        <x:v>3</x:v>
      </x:c>
      <x:c r="H3593" s="28" t="n">
        <x:v>17</x:v>
      </x:c>
      <x:c r="I3593" s="28" t="n">
        <x:v>9</x:v>
      </x:c>
      <x:c r="J3593" s="28" t="n">
        <x:v>7</x:v>
      </x:c>
      <x:c r="K3593" s="28" t="n">
        <x:v>5</x:v>
      </x:c>
      <x:c r="L3593" s="28" t="n">
        <x:v>7</x:v>
      </x:c>
      <x:c r="M3593" s="28" t="n">
        <x:v>2</x:v>
      </x:c>
      <x:c r="N3593" s="28" t="n">
        <x:v>2</x:v>
      </x:c>
      <x:c r="O3593" s="28" t="n">
        <x:v>0</x:v>
      </x:c>
      <x:c r="P3593" s="28" t="n">
        <x:v>0</x:v>
      </x:c>
      <x:c r="Q3593" s="24" t="n">
        <x:f>IFERROR(J3593/H3593,0)</x:f>
        <x:v>0.4117647058823529</x:v>
      </x:c>
      <x:c r="R3593" s="24" t="n">
        <x:f>IFERROR(F3593/H3593,0)</x:f>
        <x:v>0.11764705882352941</x:v>
      </x:c>
      <x:c r="S3593" s="24" t="n">
        <x:f>IFERROR(F3593/J3593,0)</x:f>
        <x:v>0.2857142857142857</x:v>
      </x:c>
      <x:c r="T3593" s="28" t="n">
        <x:f>H3593-I3593</x:f>
        <x:v>8</x:v>
      </x:c>
      <x:c r="U3593" s="24" t="n">
        <x:f>IFERROR(J3593/H3593,0)-IFERROR(K3593/I3593,0)</x:f>
        <x:v>-0.14379084967320266</x:v>
      </x:c>
      <x:c r="V3593" s="24" t="n">
        <x:f>IFERROR(F3593/J3593,0)-IFERROR(G3593/K3593,0)</x:f>
        <x:v>-0.3142857142857143</x:v>
      </x:c>
      <x:c r="W3593" s="28" t="n">
        <x:f>L3593-M3593</x:f>
        <x:v>5</x:v>
      </x:c>
      <x:c r="X3593" s="24" t="n">
        <x:f>IFERROR(K3593/I3593,0)</x:f>
        <x:v>0.5555555555555556</x:v>
      </x:c>
      <x:c r="Y3593" s="24" t="n">
        <x:f>IFERROR(G3593/I3593,0)</x:f>
        <x:v>0.3333333333333333</x:v>
      </x:c>
      <x:c r="Z3593" s="24" t="n">
        <x:f>IFERROR(G3593/K3593,0)</x:f>
        <x:v>0.6</x:v>
      </x:c>
      <x:c r="AA3593" s="24" t="n">
        <x:f>IFERROR(F3593/H3593,0)-IFERROR(G3593/I3593,0)</x:f>
        <x:v>-0.2156862745098039</x:v>
      </x:c>
      <x:c r="AB3593" s="28" t="n">
        <x:f>J3593-K3593</x:f>
        <x:v>2</x:v>
      </x:c>
      <x:c r="AC3593" s="32" t="n">
        <x:f>F3593-G3593</x:f>
        <x:v>-1</x:v>
      </x:c>
    </x:row>
    <x:row r="3594">
      <x:c r="A3594" s="4" t="str">
        <x:v>2025-26</x:v>
      </x:c>
      <x:c r="B3594" s="20" t="n">
        <x:v>46081</x:v>
      </x:c>
      <x:c r="C3594" s="4" t="str">
        <x:v>Sunderland</x:v>
      </x:c>
      <x:c r="D3594" s="4" t="str">
        <x:v>Bournemouth</x:v>
      </x:c>
      <x:c r="E3594" s="4" t="str">
        <x:v>Away</x:v>
      </x:c>
      <x:c r="F3594" s="28" t="n">
        <x:v>1</x:v>
      </x:c>
      <x:c r="G3594" s="28" t="n">
        <x:v>1</x:v>
      </x:c>
      <x:c r="H3594" s="28" t="n">
        <x:v>8</x:v>
      </x:c>
      <x:c r="I3594" s="28" t="n">
        <x:v>21</x:v>
      </x:c>
      <x:c r="J3594" s="28" t="n">
        <x:v>4</x:v>
      </x:c>
      <x:c r="K3594" s="28" t="n">
        <x:v>5</x:v>
      </x:c>
      <x:c r="L3594" s="28" t="n">
        <x:v>3</x:v>
      </x:c>
      <x:c r="M3594" s="28" t="n">
        <x:v>7</x:v>
      </x:c>
      <x:c r="N3594" s="28" t="n">
        <x:v>2</x:v>
      </x:c>
      <x:c r="O3594" s="28" t="n">
        <x:v>0</x:v>
      </x:c>
      <x:c r="P3594" s="28" t="n">
        <x:v>1</x:v>
      </x:c>
      <x:c r="Q3594" s="24" t="n">
        <x:f>IFERROR(J3594/H3594,0)</x:f>
        <x:v>0.5</x:v>
      </x:c>
      <x:c r="R3594" s="24" t="n">
        <x:f>IFERROR(F3594/H3594,0)</x:f>
        <x:v>0.125</x:v>
      </x:c>
      <x:c r="S3594" s="24" t="n">
        <x:f>IFERROR(F3594/J3594,0)</x:f>
        <x:v>0.25</x:v>
      </x:c>
      <x:c r="T3594" s="28" t="n">
        <x:f>H3594-I3594</x:f>
        <x:v>-13</x:v>
      </x:c>
      <x:c r="U3594" s="24" t="n">
        <x:f>IFERROR(J3594/H3594,0)-IFERROR(K3594/I3594,0)</x:f>
        <x:v>0.2619047619047619</x:v>
      </x:c>
      <x:c r="V3594" s="24" t="n">
        <x:f>IFERROR(F3594/J3594,0)-IFERROR(G3594/K3594,0)</x:f>
        <x:v>0.04999999999999999</x:v>
      </x:c>
      <x:c r="W3594" s="28" t="n">
        <x:f>L3594-M3594</x:f>
        <x:v>-4</x:v>
      </x:c>
      <x:c r="X3594" s="24" t="n">
        <x:f>IFERROR(K3594/I3594,0)</x:f>
        <x:v>0.23809523809523808</x:v>
      </x:c>
      <x:c r="Y3594" s="24" t="n">
        <x:f>IFERROR(G3594/I3594,0)</x:f>
        <x:v>0.047619047619047616</x:v>
      </x:c>
      <x:c r="Z3594" s="24" t="n">
        <x:f>IFERROR(G3594/K3594,0)</x:f>
        <x:v>0.2</x:v>
      </x:c>
      <x:c r="AA3594" s="24" t="n">
        <x:f>IFERROR(F3594/H3594,0)-IFERROR(G3594/I3594,0)</x:f>
        <x:v>0.07738095238095238</x:v>
      </x:c>
      <x:c r="AB3594" s="28" t="n">
        <x:f>J3594-K3594</x:f>
        <x:v>-1</x:v>
      </x:c>
      <x:c r="AC3594" s="32" t="n">
        <x:f>F3594-G3594</x:f>
        <x:v>0</x:v>
      </x:c>
    </x:row>
    <x:row r="3595">
      <x:c r="A3595" s="4" t="str">
        <x:v>2025-26</x:v>
      </x:c>
      <x:c r="B3595" s="20" t="n">
        <x:v>46081</x:v>
      </x:c>
      <x:c r="C3595" s="4" t="str">
        <x:v>West Ham</x:v>
      </x:c>
      <x:c r="D3595" s="4" t="str">
        <x:v>Liverpool</x:v>
      </x:c>
      <x:c r="E3595" s="4" t="str">
        <x:v>Away</x:v>
      </x:c>
      <x:c r="F3595" s="28" t="n">
        <x:v>2</x:v>
      </x:c>
      <x:c r="G3595" s="28" t="n">
        <x:v>5</x:v>
      </x:c>
      <x:c r="H3595" s="28" t="n">
        <x:v>11</x:v>
      </x:c>
      <x:c r="I3595" s="28" t="n">
        <x:v>18</x:v>
      </x:c>
      <x:c r="J3595" s="28" t="n">
        <x:v>4</x:v>
      </x:c>
      <x:c r="K3595" s="28" t="n">
        <x:v>7</x:v>
      </x:c>
      <x:c r="L3595" s="28" t="n">
        <x:v>5</x:v>
      </x:c>
      <x:c r="M3595" s="28" t="n">
        <x:v>10</x:v>
      </x:c>
      <x:c r="N3595" s="28" t="n">
        <x:v>2</x:v>
      </x:c>
      <x:c r="O3595" s="28" t="n">
        <x:v>0</x:v>
      </x:c>
      <x:c r="P3595" s="28" t="n">
        <x:v>0</x:v>
      </x:c>
      <x:c r="Q3595" s="24" t="n">
        <x:f>IFERROR(J3595/H3595,0)</x:f>
        <x:v>0.36363636363636365</x:v>
      </x:c>
      <x:c r="R3595" s="24" t="n">
        <x:f>IFERROR(F3595/H3595,0)</x:f>
        <x:v>0.18181818181818182</x:v>
      </x:c>
      <x:c r="S3595" s="24" t="n">
        <x:f>IFERROR(F3595/J3595,0)</x:f>
        <x:v>0.5</x:v>
      </x:c>
      <x:c r="T3595" s="28" t="n">
        <x:f>H3595-I3595</x:f>
        <x:v>-7</x:v>
      </x:c>
      <x:c r="U3595" s="24" t="n">
        <x:f>IFERROR(J3595/H3595,0)-IFERROR(K3595/I3595,0)</x:f>
        <x:v>-0.02525252525252525</x:v>
      </x:c>
      <x:c r="V3595" s="24" t="n">
        <x:f>IFERROR(F3595/J3595,0)-IFERROR(G3595/K3595,0)</x:f>
        <x:v>-0.2142857142857143</x:v>
      </x:c>
      <x:c r="W3595" s="28" t="n">
        <x:f>L3595-M3595</x:f>
        <x:v>-5</x:v>
      </x:c>
      <x:c r="X3595" s="24" t="n">
        <x:f>IFERROR(K3595/I3595,0)</x:f>
        <x:v>0.3888888888888889</x:v>
      </x:c>
      <x:c r="Y3595" s="24" t="n">
        <x:f>IFERROR(G3595/I3595,0)</x:f>
        <x:v>0.2777777777777778</x:v>
      </x:c>
      <x:c r="Z3595" s="24" t="n">
        <x:f>IFERROR(G3595/K3595,0)</x:f>
        <x:v>0.7142857142857143</x:v>
      </x:c>
      <x:c r="AA3595" s="24" t="n">
        <x:f>IFERROR(F3595/H3595,0)-IFERROR(G3595/I3595,0)</x:f>
        <x:v>-0.09595959595959597</x:v>
      </x:c>
      <x:c r="AB3595" s="28" t="n">
        <x:f>J3595-K3595</x:f>
        <x:v>-3</x:v>
      </x:c>
      <x:c r="AC3595" s="32" t="n">
        <x:f>F3595-G3595</x:f>
        <x:v>-3</x:v>
      </x:c>
    </x:row>
    <x:row r="3596">
      <x:c r="A3596" s="4" t="str">
        <x:v>2025-26</x:v>
      </x:c>
      <x:c r="B3596" s="20" t="n">
        <x:v>46082</x:v>
      </x:c>
      <x:c r="C3596" s="4" t="str">
        <x:v>Arsenal</x:v>
      </x:c>
      <x:c r="D3596" s="4" t="str">
        <x:v>Chelsea</x:v>
      </x:c>
      <x:c r="E3596" s="4" t="str">
        <x:v>Home</x:v>
      </x:c>
      <x:c r="F3596" s="28" t="n">
        <x:v>2</x:v>
      </x:c>
      <x:c r="G3596" s="28" t="n">
        <x:v>1</x:v>
      </x:c>
      <x:c r="H3596" s="28" t="n">
        <x:v>12</x:v>
      </x:c>
      <x:c r="I3596" s="28" t="n">
        <x:v>9</x:v>
      </x:c>
      <x:c r="J3596" s="28" t="n">
        <x:v>5</x:v>
      </x:c>
      <x:c r="K3596" s="28" t="n">
        <x:v>3</x:v>
      </x:c>
      <x:c r="L3596" s="28" t="n">
        <x:v>5</x:v>
      </x:c>
      <x:c r="M3596" s="28" t="n">
        <x:v>10</x:v>
      </x:c>
      <x:c r="N3596" s="28" t="n">
        <x:v>1</x:v>
      </x:c>
      <x:c r="O3596" s="28" t="n">
        <x:v>0</x:v>
      </x:c>
      <x:c r="P3596" s="28" t="n">
        <x:v>3</x:v>
      </x:c>
      <x:c r="Q3596" s="24" t="n">
        <x:f>IFERROR(J3596/H3596,0)</x:f>
        <x:v>0.4166666666666667</x:v>
      </x:c>
      <x:c r="R3596" s="24" t="n">
        <x:f>IFERROR(F3596/H3596,0)</x:f>
        <x:v>0.16666666666666666</x:v>
      </x:c>
      <x:c r="S3596" s="24" t="n">
        <x:f>IFERROR(F3596/J3596,0)</x:f>
        <x:v>0.4</x:v>
      </x:c>
      <x:c r="T3596" s="28" t="n">
        <x:f>H3596-I3596</x:f>
        <x:v>3</x:v>
      </x:c>
      <x:c r="U3596" s="24" t="n">
        <x:f>IFERROR(J3596/H3596,0)-IFERROR(K3596/I3596,0)</x:f>
        <x:v>0.08333333333333337</x:v>
      </x:c>
      <x:c r="V3596" s="24" t="n">
        <x:f>IFERROR(F3596/J3596,0)-IFERROR(G3596/K3596,0)</x:f>
        <x:v>0.06666666666666671</x:v>
      </x:c>
      <x:c r="W3596" s="28" t="n">
        <x:f>L3596-M3596</x:f>
        <x:v>-5</x:v>
      </x:c>
      <x:c r="X3596" s="24" t="n">
        <x:f>IFERROR(K3596/I3596,0)</x:f>
        <x:v>0.3333333333333333</x:v>
      </x:c>
      <x:c r="Y3596" s="24" t="n">
        <x:f>IFERROR(G3596/I3596,0)</x:f>
        <x:v>0.1111111111111111</x:v>
      </x:c>
      <x:c r="Z3596" s="24" t="n">
        <x:f>IFERROR(G3596/K3596,0)</x:f>
        <x:v>0.3333333333333333</x:v>
      </x:c>
      <x:c r="AA3596" s="24" t="n">
        <x:f>IFERROR(F3596/H3596,0)-IFERROR(G3596/I3596,0)</x:f>
        <x:v>0.05555555555555555</x:v>
      </x:c>
      <x:c r="AB3596" s="28" t="n">
        <x:f>J3596-K3596</x:f>
        <x:v>2</x:v>
      </x:c>
      <x:c r="AC3596" s="32" t="n">
        <x:f>F3596-G3596</x:f>
        <x:v>1</x:v>
      </x:c>
    </x:row>
    <x:row r="3597">
      <x:c r="A3597" s="4" t="str">
        <x:v>2025-26</x:v>
      </x:c>
      <x:c r="B3597" s="20" t="n">
        <x:v>46082</x:v>
      </x:c>
      <x:c r="C3597" s="4" t="str">
        <x:v>Brighton</x:v>
      </x:c>
      <x:c r="D3597" s="4" t="str">
        <x:v>Nott'm Forest</x:v>
      </x:c>
      <x:c r="E3597" s="4" t="str">
        <x:v>Home</x:v>
      </x:c>
      <x:c r="F3597" s="28" t="n">
        <x:v>2</x:v>
      </x:c>
      <x:c r="G3597" s="28" t="n">
        <x:v>1</x:v>
      </x:c>
      <x:c r="H3597" s="28" t="n">
        <x:v>14</x:v>
      </x:c>
      <x:c r="I3597" s="28" t="n">
        <x:v>13</x:v>
      </x:c>
      <x:c r="J3597" s="28" t="n">
        <x:v>7</x:v>
      </x:c>
      <x:c r="K3597" s="28" t="n">
        <x:v>4</x:v>
      </x:c>
      <x:c r="L3597" s="28" t="n">
        <x:v>4</x:v>
      </x:c>
      <x:c r="M3597" s="28" t="n">
        <x:v>4</x:v>
      </x:c>
      <x:c r="N3597" s="28" t="n">
        <x:v>3</x:v>
      </x:c>
      <x:c r="O3597" s="28" t="n">
        <x:v>0</x:v>
      </x:c>
      <x:c r="P3597" s="28" t="n">
        <x:v>3</x:v>
      </x:c>
      <x:c r="Q3597" s="24" t="n">
        <x:f>IFERROR(J3597/H3597,0)</x:f>
        <x:v>0.5</x:v>
      </x:c>
      <x:c r="R3597" s="24" t="n">
        <x:f>IFERROR(F3597/H3597,0)</x:f>
        <x:v>0.14285714285714285</x:v>
      </x:c>
      <x:c r="S3597" s="24" t="n">
        <x:f>IFERROR(F3597/J3597,0)</x:f>
        <x:v>0.2857142857142857</x:v>
      </x:c>
      <x:c r="T3597" s="28" t="n">
        <x:f>H3597-I3597</x:f>
        <x:v>1</x:v>
      </x:c>
      <x:c r="U3597" s="24" t="n">
        <x:f>IFERROR(J3597/H3597,0)-IFERROR(K3597/I3597,0)</x:f>
        <x:v>0.1923076923076923</x:v>
      </x:c>
      <x:c r="V3597" s="24" t="n">
        <x:f>IFERROR(F3597/J3597,0)-IFERROR(G3597/K3597,0)</x:f>
        <x:v>0.0357142857142857</x:v>
      </x:c>
      <x:c r="W3597" s="28" t="n">
        <x:f>L3597-M3597</x:f>
        <x:v>0</x:v>
      </x:c>
      <x:c r="X3597" s="24" t="n">
        <x:f>IFERROR(K3597/I3597,0)</x:f>
        <x:v>0.3076923076923077</x:v>
      </x:c>
      <x:c r="Y3597" s="24" t="n">
        <x:f>IFERROR(G3597/I3597,0)</x:f>
        <x:v>0.07692307692307693</x:v>
      </x:c>
      <x:c r="Z3597" s="24" t="n">
        <x:f>IFERROR(G3597/K3597,0)</x:f>
        <x:v>0.25</x:v>
      </x:c>
      <x:c r="AA3597" s="24" t="n">
        <x:f>IFERROR(F3597/H3597,0)-IFERROR(G3597/I3597,0)</x:f>
        <x:v>0.06593406593406592</x:v>
      </x:c>
      <x:c r="AB3597" s="28" t="n">
        <x:f>J3597-K3597</x:f>
        <x:v>3</x:v>
      </x:c>
      <x:c r="AC3597" s="32" t="n">
        <x:f>F3597-G3597</x:f>
        <x:v>1</x:v>
      </x:c>
    </x:row>
    <x:row r="3598">
      <x:c r="A3598" s="4" t="str">
        <x:v>2025-26</x:v>
      </x:c>
      <x:c r="B3598" s="20" t="n">
        <x:v>46082</x:v>
      </x:c>
      <x:c r="C3598" s="4" t="str">
        <x:v>Chelsea</x:v>
      </x:c>
      <x:c r="D3598" s="4" t="str">
        <x:v>Arsenal</x:v>
      </x:c>
      <x:c r="E3598" s="4" t="str">
        <x:v>Away</x:v>
      </x:c>
      <x:c r="F3598" s="28" t="n">
        <x:v>1</x:v>
      </x:c>
      <x:c r="G3598" s="28" t="n">
        <x:v>2</x:v>
      </x:c>
      <x:c r="H3598" s="28" t="n">
        <x:v>9</x:v>
      </x:c>
      <x:c r="I3598" s="28" t="n">
        <x:v>12</x:v>
      </x:c>
      <x:c r="J3598" s="28" t="n">
        <x:v>3</x:v>
      </x:c>
      <x:c r="K3598" s="28" t="n">
        <x:v>5</x:v>
      </x:c>
      <x:c r="L3598" s="28" t="n">
        <x:v>10</x:v>
      </x:c>
      <x:c r="M3598" s="28" t="n">
        <x:v>5</x:v>
      </x:c>
      <x:c r="N3598" s="28" t="n">
        <x:v>3</x:v>
      </x:c>
      <x:c r="O3598" s="28" t="n">
        <x:v>1</x:v>
      </x:c>
      <x:c r="P3598" s="28" t="n">
        <x:v>0</x:v>
      </x:c>
      <x:c r="Q3598" s="24" t="n">
        <x:f>IFERROR(J3598/H3598,0)</x:f>
        <x:v>0.3333333333333333</x:v>
      </x:c>
      <x:c r="R3598" s="24" t="n">
        <x:f>IFERROR(F3598/H3598,0)</x:f>
        <x:v>0.1111111111111111</x:v>
      </x:c>
      <x:c r="S3598" s="24" t="n">
        <x:f>IFERROR(F3598/J3598,0)</x:f>
        <x:v>0.3333333333333333</x:v>
      </x:c>
      <x:c r="T3598" s="28" t="n">
        <x:f>H3598-I3598</x:f>
        <x:v>-3</x:v>
      </x:c>
      <x:c r="U3598" s="24" t="n">
        <x:f>IFERROR(J3598/H3598,0)-IFERROR(K3598/I3598,0)</x:f>
        <x:v>-0.08333333333333337</x:v>
      </x:c>
      <x:c r="V3598" s="24" t="n">
        <x:f>IFERROR(F3598/J3598,0)-IFERROR(G3598/K3598,0)</x:f>
        <x:v>-0.06666666666666671</x:v>
      </x:c>
      <x:c r="W3598" s="28" t="n">
        <x:f>L3598-M3598</x:f>
        <x:v>5</x:v>
      </x:c>
      <x:c r="X3598" s="24" t="n">
        <x:f>IFERROR(K3598/I3598,0)</x:f>
        <x:v>0.4166666666666667</x:v>
      </x:c>
      <x:c r="Y3598" s="24" t="n">
        <x:f>IFERROR(G3598/I3598,0)</x:f>
        <x:v>0.16666666666666666</x:v>
      </x:c>
      <x:c r="Z3598" s="24" t="n">
        <x:f>IFERROR(G3598/K3598,0)</x:f>
        <x:v>0.4</x:v>
      </x:c>
      <x:c r="AA3598" s="24" t="n">
        <x:f>IFERROR(F3598/H3598,0)-IFERROR(G3598/I3598,0)</x:f>
        <x:v>-0.05555555555555555</x:v>
      </x:c>
      <x:c r="AB3598" s="28" t="n">
        <x:f>J3598-K3598</x:f>
        <x:v>-2</x:v>
      </x:c>
      <x:c r="AC3598" s="32" t="n">
        <x:f>F3598-G3598</x:f>
        <x:v>-1</x:v>
      </x:c>
    </x:row>
    <x:row r="3599">
      <x:c r="A3599" s="4" t="str">
        <x:v>2025-26</x:v>
      </x:c>
      <x:c r="B3599" s="20" t="n">
        <x:v>46082</x:v>
      </x:c>
      <x:c r="C3599" s="4" t="str">
        <x:v>Crystal Palace</x:v>
      </x:c>
      <x:c r="D3599" s="4" t="str">
        <x:v>Man United</x:v>
      </x:c>
      <x:c r="E3599" s="4" t="str">
        <x:v>Away</x:v>
      </x:c>
      <x:c r="F3599" s="28" t="n">
        <x:v>1</x:v>
      </x:c>
      <x:c r="G3599" s="28" t="n">
        <x:v>2</x:v>
      </x:c>
      <x:c r="H3599" s="28" t="n">
        <x:v>8</x:v>
      </x:c>
      <x:c r="I3599" s="28" t="n">
        <x:v>20</x:v>
      </x:c>
      <x:c r="J3599" s="28" t="n">
        <x:v>3</x:v>
      </x:c>
      <x:c r="K3599" s="28" t="n">
        <x:v>11</x:v>
      </x:c>
      <x:c r="L3599" s="28" t="n">
        <x:v>1</x:v>
      </x:c>
      <x:c r="M3599" s="28" t="n">
        <x:v>7</x:v>
      </x:c>
      <x:c r="N3599" s="28" t="n">
        <x:v>2</x:v>
      </x:c>
      <x:c r="O3599" s="28" t="n">
        <x:v>1</x:v>
      </x:c>
      <x:c r="P3599" s="28" t="n">
        <x:v>0</x:v>
      </x:c>
      <x:c r="Q3599" s="24" t="n">
        <x:f>IFERROR(J3599/H3599,0)</x:f>
        <x:v>0.375</x:v>
      </x:c>
      <x:c r="R3599" s="24" t="n">
        <x:f>IFERROR(F3599/H3599,0)</x:f>
        <x:v>0.125</x:v>
      </x:c>
      <x:c r="S3599" s="24" t="n">
        <x:f>IFERROR(F3599/J3599,0)</x:f>
        <x:v>0.3333333333333333</x:v>
      </x:c>
      <x:c r="T3599" s="28" t="n">
        <x:f>H3599-I3599</x:f>
        <x:v>-12</x:v>
      </x:c>
      <x:c r="U3599" s="24" t="n">
        <x:f>IFERROR(J3599/H3599,0)-IFERROR(K3599/I3599,0)</x:f>
        <x:v>-0.17500000000000004</x:v>
      </x:c>
      <x:c r="V3599" s="24" t="n">
        <x:f>IFERROR(F3599/J3599,0)-IFERROR(G3599/K3599,0)</x:f>
        <x:v>0.1515151515151515</x:v>
      </x:c>
      <x:c r="W3599" s="28" t="n">
        <x:f>L3599-M3599</x:f>
        <x:v>-6</x:v>
      </x:c>
      <x:c r="X3599" s="24" t="n">
        <x:f>IFERROR(K3599/I3599,0)</x:f>
        <x:v>0.55</x:v>
      </x:c>
      <x:c r="Y3599" s="24" t="n">
        <x:f>IFERROR(G3599/I3599,0)</x:f>
        <x:v>0.1</x:v>
      </x:c>
      <x:c r="Z3599" s="24" t="n">
        <x:f>IFERROR(G3599/K3599,0)</x:f>
        <x:v>0.18181818181818182</x:v>
      </x:c>
      <x:c r="AA3599" s="24" t="n">
        <x:f>IFERROR(F3599/H3599,0)-IFERROR(G3599/I3599,0)</x:f>
        <x:v>0.024999999999999994</x:v>
      </x:c>
      <x:c r="AB3599" s="28" t="n">
        <x:f>J3599-K3599</x:f>
        <x:v>-8</x:v>
      </x:c>
      <x:c r="AC3599" s="32" t="n">
        <x:f>F3599-G3599</x:f>
        <x:v>-1</x:v>
      </x:c>
    </x:row>
    <x:row r="3600">
      <x:c r="A3600" s="4" t="str">
        <x:v>2025-26</x:v>
      </x:c>
      <x:c r="B3600" s="20" t="n">
        <x:v>46082</x:v>
      </x:c>
      <x:c r="C3600" s="4" t="str">
        <x:v>Fulham</x:v>
      </x:c>
      <x:c r="D3600" s="4" t="str">
        <x:v>Tottenham</x:v>
      </x:c>
      <x:c r="E3600" s="4" t="str">
        <x:v>Home</x:v>
      </x:c>
      <x:c r="F3600" s="28" t="n">
        <x:v>2</x:v>
      </x:c>
      <x:c r="G3600" s="28" t="n">
        <x:v>1</x:v>
      </x:c>
      <x:c r="H3600" s="28" t="n">
        <x:v>18</x:v>
      </x:c>
      <x:c r="I3600" s="28" t="n">
        <x:v>13</x:v>
      </x:c>
      <x:c r="J3600" s="28" t="n">
        <x:v>4</x:v>
      </x:c>
      <x:c r="K3600" s="28" t="n">
        <x:v>1</x:v>
      </x:c>
      <x:c r="L3600" s="28" t="n">
        <x:v>5</x:v>
      </x:c>
      <x:c r="M3600" s="28" t="n">
        <x:v>8</x:v>
      </x:c>
      <x:c r="N3600" s="28" t="n">
        <x:v>3</x:v>
      </x:c>
      <x:c r="O3600" s="28" t="n">
        <x:v>0</x:v>
      </x:c>
      <x:c r="P3600" s="28" t="n">
        <x:v>3</x:v>
      </x:c>
      <x:c r="Q3600" s="24" t="n">
        <x:f>IFERROR(J3600/H3600,0)</x:f>
        <x:v>0.2222222222222222</x:v>
      </x:c>
      <x:c r="R3600" s="24" t="n">
        <x:f>IFERROR(F3600/H3600,0)</x:f>
        <x:v>0.1111111111111111</x:v>
      </x:c>
      <x:c r="S3600" s="24" t="n">
        <x:f>IFERROR(F3600/J3600,0)</x:f>
        <x:v>0.5</x:v>
      </x:c>
      <x:c r="T3600" s="28" t="n">
        <x:f>H3600-I3600</x:f>
        <x:v>5</x:v>
      </x:c>
      <x:c r="U3600" s="24" t="n">
        <x:f>IFERROR(J3600/H3600,0)-IFERROR(K3600/I3600,0)</x:f>
        <x:v>0.14529914529914528</x:v>
      </x:c>
      <x:c r="V3600" s="24" t="n">
        <x:f>IFERROR(F3600/J3600,0)-IFERROR(G3600/K3600,0)</x:f>
        <x:v>-0.5</x:v>
      </x:c>
      <x:c r="W3600" s="28" t="n">
        <x:f>L3600-M3600</x:f>
        <x:v>-3</x:v>
      </x:c>
      <x:c r="X3600" s="24" t="n">
        <x:f>IFERROR(K3600/I3600,0)</x:f>
        <x:v>0.07692307692307693</x:v>
      </x:c>
      <x:c r="Y3600" s="24" t="n">
        <x:f>IFERROR(G3600/I3600,0)</x:f>
        <x:v>0.07692307692307693</x:v>
      </x:c>
      <x:c r="Z3600" s="24" t="n">
        <x:f>IFERROR(G3600/K3600,0)</x:f>
        <x:v>1</x:v>
      </x:c>
      <x:c r="AA3600" s="24" t="n">
        <x:f>IFERROR(F3600/H3600,0)-IFERROR(G3600/I3600,0)</x:f>
        <x:v>0.03418803418803418</x:v>
      </x:c>
      <x:c r="AB3600" s="28" t="n">
        <x:f>J3600-K3600</x:f>
        <x:v>3</x:v>
      </x:c>
      <x:c r="AC3600" s="32" t="n">
        <x:f>F3600-G3600</x:f>
        <x:v>1</x:v>
      </x:c>
    </x:row>
    <x:row r="3601">
      <x:c r="A3601" s="4" t="str">
        <x:v>2025-26</x:v>
      </x:c>
      <x:c r="B3601" s="20" t="n">
        <x:v>46082</x:v>
      </x:c>
      <x:c r="C3601" s="4" t="str">
        <x:v>Man United</x:v>
      </x:c>
      <x:c r="D3601" s="4" t="str">
        <x:v>Crystal Palace</x:v>
      </x:c>
      <x:c r="E3601" s="4" t="str">
        <x:v>Home</x:v>
      </x:c>
      <x:c r="F3601" s="28" t="n">
        <x:v>2</x:v>
      </x:c>
      <x:c r="G3601" s="28" t="n">
        <x:v>1</x:v>
      </x:c>
      <x:c r="H3601" s="28" t="n">
        <x:v>20</x:v>
      </x:c>
      <x:c r="I3601" s="28" t="n">
        <x:v>8</x:v>
      </x:c>
      <x:c r="J3601" s="28" t="n">
        <x:v>11</x:v>
      </x:c>
      <x:c r="K3601" s="28" t="n">
        <x:v>3</x:v>
      </x:c>
      <x:c r="L3601" s="28" t="n">
        <x:v>7</x:v>
      </x:c>
      <x:c r="M3601" s="28" t="n">
        <x:v>1</x:v>
      </x:c>
      <x:c r="N3601" s="28" t="n">
        <x:v>2</x:v>
      </x:c>
      <x:c r="O3601" s="28" t="n">
        <x:v>0</x:v>
      </x:c>
      <x:c r="P3601" s="28" t="n">
        <x:v>3</x:v>
      </x:c>
      <x:c r="Q3601" s="24" t="n">
        <x:f>IFERROR(J3601/H3601,0)</x:f>
        <x:v>0.55</x:v>
      </x:c>
      <x:c r="R3601" s="24" t="n">
        <x:f>IFERROR(F3601/H3601,0)</x:f>
        <x:v>0.1</x:v>
      </x:c>
      <x:c r="S3601" s="24" t="n">
        <x:f>IFERROR(F3601/J3601,0)</x:f>
        <x:v>0.18181818181818182</x:v>
      </x:c>
      <x:c r="T3601" s="28" t="n">
        <x:f>H3601-I3601</x:f>
        <x:v>12</x:v>
      </x:c>
      <x:c r="U3601" s="24" t="n">
        <x:f>IFERROR(J3601/H3601,0)-IFERROR(K3601/I3601,0)</x:f>
        <x:v>0.17500000000000004</x:v>
      </x:c>
      <x:c r="V3601" s="24" t="n">
        <x:f>IFERROR(F3601/J3601,0)-IFERROR(G3601/K3601,0)</x:f>
        <x:v>-0.1515151515151515</x:v>
      </x:c>
      <x:c r="W3601" s="28" t="n">
        <x:f>L3601-M3601</x:f>
        <x:v>6</x:v>
      </x:c>
      <x:c r="X3601" s="24" t="n">
        <x:f>IFERROR(K3601/I3601,0)</x:f>
        <x:v>0.375</x:v>
      </x:c>
      <x:c r="Y3601" s="24" t="n">
        <x:f>IFERROR(G3601/I3601,0)</x:f>
        <x:v>0.125</x:v>
      </x:c>
      <x:c r="Z3601" s="24" t="n">
        <x:f>IFERROR(G3601/K3601,0)</x:f>
        <x:v>0.3333333333333333</x:v>
      </x:c>
      <x:c r="AA3601" s="24" t="n">
        <x:f>IFERROR(F3601/H3601,0)-IFERROR(G3601/I3601,0)</x:f>
        <x:v>-0.024999999999999994</x:v>
      </x:c>
      <x:c r="AB3601" s="28" t="n">
        <x:f>J3601-K3601</x:f>
        <x:v>8</x:v>
      </x:c>
      <x:c r="AC3601" s="32" t="n">
        <x:f>F3601-G3601</x:f>
        <x:v>1</x:v>
      </x:c>
    </x:row>
    <x:row r="3602">
      <x:c r="A3602" s="4" t="str">
        <x:v>2025-26</x:v>
      </x:c>
      <x:c r="B3602" s="20" t="n">
        <x:v>46082</x:v>
      </x:c>
      <x:c r="C3602" s="4" t="str">
        <x:v>Nott'm Forest</x:v>
      </x:c>
      <x:c r="D3602" s="4" t="str">
        <x:v>Brighton</x:v>
      </x:c>
      <x:c r="E3602" s="4" t="str">
        <x:v>Away</x:v>
      </x:c>
      <x:c r="F3602" s="28" t="n">
        <x:v>1</x:v>
      </x:c>
      <x:c r="G3602" s="28" t="n">
        <x:v>2</x:v>
      </x:c>
      <x:c r="H3602" s="28" t="n">
        <x:v>13</x:v>
      </x:c>
      <x:c r="I3602" s="28" t="n">
        <x:v>14</x:v>
      </x:c>
      <x:c r="J3602" s="28" t="n">
        <x:v>4</x:v>
      </x:c>
      <x:c r="K3602" s="28" t="n">
        <x:v>7</x:v>
      </x:c>
      <x:c r="L3602" s="28" t="n">
        <x:v>4</x:v>
      </x:c>
      <x:c r="M3602" s="28" t="n">
        <x:v>4</x:v>
      </x:c>
      <x:c r="N3602" s="28" t="n">
        <x:v>1</x:v>
      </x:c>
      <x:c r="O3602" s="28" t="n">
        <x:v>0</x:v>
      </x:c>
      <x:c r="P3602" s="28" t="n">
        <x:v>0</x:v>
      </x:c>
      <x:c r="Q3602" s="24" t="n">
        <x:f>IFERROR(J3602/H3602,0)</x:f>
        <x:v>0.3076923076923077</x:v>
      </x:c>
      <x:c r="R3602" s="24" t="n">
        <x:f>IFERROR(F3602/H3602,0)</x:f>
        <x:v>0.07692307692307693</x:v>
      </x:c>
      <x:c r="S3602" s="24" t="n">
        <x:f>IFERROR(F3602/J3602,0)</x:f>
        <x:v>0.25</x:v>
      </x:c>
      <x:c r="T3602" s="28" t="n">
        <x:f>H3602-I3602</x:f>
        <x:v>-1</x:v>
      </x:c>
      <x:c r="U3602" s="24" t="n">
        <x:f>IFERROR(J3602/H3602,0)-IFERROR(K3602/I3602,0)</x:f>
        <x:v>-0.1923076923076923</x:v>
      </x:c>
      <x:c r="V3602" s="24" t="n">
        <x:f>IFERROR(F3602/J3602,0)-IFERROR(G3602/K3602,0)</x:f>
        <x:v>-0.0357142857142857</x:v>
      </x:c>
      <x:c r="W3602" s="28" t="n">
        <x:f>L3602-M3602</x:f>
        <x:v>0</x:v>
      </x:c>
      <x:c r="X3602" s="24" t="n">
        <x:f>IFERROR(K3602/I3602,0)</x:f>
        <x:v>0.5</x:v>
      </x:c>
      <x:c r="Y3602" s="24" t="n">
        <x:f>IFERROR(G3602/I3602,0)</x:f>
        <x:v>0.14285714285714285</x:v>
      </x:c>
      <x:c r="Z3602" s="24" t="n">
        <x:f>IFERROR(G3602/K3602,0)</x:f>
        <x:v>0.2857142857142857</x:v>
      </x:c>
      <x:c r="AA3602" s="24" t="n">
        <x:f>IFERROR(F3602/H3602,0)-IFERROR(G3602/I3602,0)</x:f>
        <x:v>-0.06593406593406592</x:v>
      </x:c>
      <x:c r="AB3602" s="28" t="n">
        <x:f>J3602-K3602</x:f>
        <x:v>-3</x:v>
      </x:c>
      <x:c r="AC3602" s="32" t="n">
        <x:f>F3602-G3602</x:f>
        <x:v>-1</x:v>
      </x:c>
    </x:row>
    <x:row r="3603">
      <x:c r="A3603" s="4" t="str">
        <x:v>2025-26</x:v>
      </x:c>
      <x:c r="B3603" s="20" t="n">
        <x:v>46082</x:v>
      </x:c>
      <x:c r="C3603" s="4" t="str">
        <x:v>Tottenham</x:v>
      </x:c>
      <x:c r="D3603" s="4" t="str">
        <x:v>Fulham</x:v>
      </x:c>
      <x:c r="E3603" s="4" t="str">
        <x:v>Away</x:v>
      </x:c>
      <x:c r="F3603" s="28" t="n">
        <x:v>1</x:v>
      </x:c>
      <x:c r="G3603" s="28" t="n">
        <x:v>2</x:v>
      </x:c>
      <x:c r="H3603" s="28" t="n">
        <x:v>13</x:v>
      </x:c>
      <x:c r="I3603" s="28" t="n">
        <x:v>18</x:v>
      </x:c>
      <x:c r="J3603" s="28" t="n">
        <x:v>1</x:v>
      </x:c>
      <x:c r="K3603" s="28" t="n">
        <x:v>4</x:v>
      </x:c>
      <x:c r="L3603" s="28" t="n">
        <x:v>8</x:v>
      </x:c>
      <x:c r="M3603" s="28" t="n">
        <x:v>5</x:v>
      </x:c>
      <x:c r="N3603" s="28" t="n">
        <x:v>3</x:v>
      </x:c>
      <x:c r="O3603" s="28" t="n">
        <x:v>0</x:v>
      </x:c>
      <x:c r="P3603" s="28" t="n">
        <x:v>0</x:v>
      </x:c>
      <x:c r="Q3603" s="24" t="n">
        <x:f>IFERROR(J3603/H3603,0)</x:f>
        <x:v>0.07692307692307693</x:v>
      </x:c>
      <x:c r="R3603" s="24" t="n">
        <x:f>IFERROR(F3603/H3603,0)</x:f>
        <x:v>0.07692307692307693</x:v>
      </x:c>
      <x:c r="S3603" s="24" t="n">
        <x:f>IFERROR(F3603/J3603,0)</x:f>
        <x:v>1</x:v>
      </x:c>
      <x:c r="T3603" s="28" t="n">
        <x:f>H3603-I3603</x:f>
        <x:v>-5</x:v>
      </x:c>
      <x:c r="U3603" s="24" t="n">
        <x:f>IFERROR(J3603/H3603,0)-IFERROR(K3603/I3603,0)</x:f>
        <x:v>-0.14529914529914528</x:v>
      </x:c>
      <x:c r="V3603" s="24" t="n">
        <x:f>IFERROR(F3603/J3603,0)-IFERROR(G3603/K3603,0)</x:f>
        <x:v>0.5</x:v>
      </x:c>
      <x:c r="W3603" s="28" t="n">
        <x:f>L3603-M3603</x:f>
        <x:v>3</x:v>
      </x:c>
      <x:c r="X3603" s="24" t="n">
        <x:f>IFERROR(K3603/I3603,0)</x:f>
        <x:v>0.2222222222222222</x:v>
      </x:c>
      <x:c r="Y3603" s="24" t="n">
        <x:f>IFERROR(G3603/I3603,0)</x:f>
        <x:v>0.1111111111111111</x:v>
      </x:c>
      <x:c r="Z3603" s="24" t="n">
        <x:f>IFERROR(G3603/K3603,0)</x:f>
        <x:v>0.5</x:v>
      </x:c>
      <x:c r="AA3603" s="24" t="n">
        <x:f>IFERROR(F3603/H3603,0)-IFERROR(G3603/I3603,0)</x:f>
        <x:v>-0.03418803418803418</x:v>
      </x:c>
      <x:c r="AB3603" s="28" t="n">
        <x:f>J3603-K3603</x:f>
        <x:v>-3</x:v>
      </x:c>
      <x:c r="AC3603" s="32" t="n">
        <x:f>F3603-G3603</x:f>
        <x:v>-1</x:v>
      </x:c>
    </x:row>
    <x:row r="3604">
      <x:c r="A3604" s="4" t="str">
        <x:v>2025-26</x:v>
      </x:c>
      <x:c r="B3604" s="20" t="n">
        <x:v>46084</x:v>
      </x:c>
      <x:c r="C3604" s="4" t="str">
        <x:v>Bournemouth</x:v>
      </x:c>
      <x:c r="D3604" s="4" t="str">
        <x:v>Brentford</x:v>
      </x:c>
      <x:c r="E3604" s="4" t="str">
        <x:v>Home</x:v>
      </x:c>
      <x:c r="F3604" s="28" t="n">
        <x:v>0</x:v>
      </x:c>
      <x:c r="G3604" s="28" t="n">
        <x:v>0</x:v>
      </x:c>
      <x:c r="H3604" s="28" t="n">
        <x:v>13</x:v>
      </x:c>
      <x:c r="I3604" s="28" t="n">
        <x:v>5</x:v>
      </x:c>
      <x:c r="J3604" s="28" t="n">
        <x:v>2</x:v>
      </x:c>
      <x:c r="K3604" s="28" t="n">
        <x:v>2</x:v>
      </x:c>
      <x:c r="L3604" s="28" t="n">
        <x:v>4</x:v>
      </x:c>
      <x:c r="M3604" s="28" t="n">
        <x:v>3</x:v>
      </x:c>
      <x:c r="N3604" s="28" t="n">
        <x:v>2</x:v>
      </x:c>
      <x:c r="O3604" s="28" t="n">
        <x:v>0</x:v>
      </x:c>
      <x:c r="P3604" s="28" t="n">
        <x:v>1</x:v>
      </x:c>
      <x:c r="Q3604" s="24" t="n">
        <x:f>IFERROR(J3604/H3604,0)</x:f>
        <x:v>0.15384615384615385</x:v>
      </x:c>
      <x:c r="R3604" s="24" t="n">
        <x:f>IFERROR(F3604/H3604,0)</x:f>
        <x:v>0</x:v>
      </x:c>
      <x:c r="S3604" s="24" t="n">
        <x:f>IFERROR(F3604/J3604,0)</x:f>
        <x:v>0</x:v>
      </x:c>
      <x:c r="T3604" s="28" t="n">
        <x:f>H3604-I3604</x:f>
        <x:v>8</x:v>
      </x:c>
      <x:c r="U3604" s="24" t="n">
        <x:f>IFERROR(J3604/H3604,0)-IFERROR(K3604/I3604,0)</x:f>
        <x:v>-0.24615384615384617</x:v>
      </x:c>
      <x:c r="V3604" s="24" t="n">
        <x:f>IFERROR(F3604/J3604,0)-IFERROR(G3604/K3604,0)</x:f>
        <x:v>0</x:v>
      </x:c>
      <x:c r="W3604" s="28" t="n">
        <x:f>L3604-M3604</x:f>
        <x:v>1</x:v>
      </x:c>
      <x:c r="X3604" s="24" t="n">
        <x:f>IFERROR(K3604/I3604,0)</x:f>
        <x:v>0.4</x:v>
      </x:c>
      <x:c r="Y3604" s="24" t="n">
        <x:f>IFERROR(G3604/I3604,0)</x:f>
        <x:v>0</x:v>
      </x:c>
      <x:c r="Z3604" s="24" t="n">
        <x:f>IFERROR(G3604/K3604,0)</x:f>
        <x:v>0</x:v>
      </x:c>
      <x:c r="AA3604" s="24" t="n">
        <x:f>IFERROR(F3604/H3604,0)-IFERROR(G3604/I3604,0)</x:f>
        <x:v>0</x:v>
      </x:c>
      <x:c r="AB3604" s="28" t="n">
        <x:f>J3604-K3604</x:f>
        <x:v>0</x:v>
      </x:c>
      <x:c r="AC3604" s="32" t="n">
        <x:f>F3604-G3604</x:f>
        <x:v>0</x:v>
      </x:c>
    </x:row>
    <x:row r="3605">
      <x:c r="A3605" s="4" t="str">
        <x:v>2025-26</x:v>
      </x:c>
      <x:c r="B3605" s="20" t="n">
        <x:v>46084</x:v>
      </x:c>
      <x:c r="C3605" s="4" t="str">
        <x:v>Brentford</x:v>
      </x:c>
      <x:c r="D3605" s="4" t="str">
        <x:v>Bournemouth</x:v>
      </x:c>
      <x:c r="E3605" s="4" t="str">
        <x:v>Away</x:v>
      </x:c>
      <x:c r="F3605" s="28" t="n">
        <x:v>0</x:v>
      </x:c>
      <x:c r="G3605" s="28" t="n">
        <x:v>0</x:v>
      </x:c>
      <x:c r="H3605" s="28" t="n">
        <x:v>5</x:v>
      </x:c>
      <x:c r="I3605" s="28" t="n">
        <x:v>13</x:v>
      </x:c>
      <x:c r="J3605" s="28" t="n">
        <x:v>2</x:v>
      </x:c>
      <x:c r="K3605" s="28" t="n">
        <x:v>2</x:v>
      </x:c>
      <x:c r="L3605" s="28" t="n">
        <x:v>3</x:v>
      </x:c>
      <x:c r="M3605" s="28" t="n">
        <x:v>4</x:v>
      </x:c>
      <x:c r="N3605" s="28" t="n">
        <x:v>1</x:v>
      </x:c>
      <x:c r="O3605" s="28" t="n">
        <x:v>0</x:v>
      </x:c>
      <x:c r="P3605" s="28" t="n">
        <x:v>1</x:v>
      </x:c>
      <x:c r="Q3605" s="24" t="n">
        <x:f>IFERROR(J3605/H3605,0)</x:f>
        <x:v>0.4</x:v>
      </x:c>
      <x:c r="R3605" s="24" t="n">
        <x:f>IFERROR(F3605/H3605,0)</x:f>
        <x:v>0</x:v>
      </x:c>
      <x:c r="S3605" s="24" t="n">
        <x:f>IFERROR(F3605/J3605,0)</x:f>
        <x:v>0</x:v>
      </x:c>
      <x:c r="T3605" s="28" t="n">
        <x:f>H3605-I3605</x:f>
        <x:v>-8</x:v>
      </x:c>
      <x:c r="U3605" s="24" t="n">
        <x:f>IFERROR(J3605/H3605,0)-IFERROR(K3605/I3605,0)</x:f>
        <x:v>0.24615384615384617</x:v>
      </x:c>
      <x:c r="V3605" s="24" t="n">
        <x:f>IFERROR(F3605/J3605,0)-IFERROR(G3605/K3605,0)</x:f>
        <x:v>0</x:v>
      </x:c>
      <x:c r="W3605" s="28" t="n">
        <x:f>L3605-M3605</x:f>
        <x:v>-1</x:v>
      </x:c>
      <x:c r="X3605" s="24" t="n">
        <x:f>IFERROR(K3605/I3605,0)</x:f>
        <x:v>0.15384615384615385</x:v>
      </x:c>
      <x:c r="Y3605" s="24" t="n">
        <x:f>IFERROR(G3605/I3605,0)</x:f>
        <x:v>0</x:v>
      </x:c>
      <x:c r="Z3605" s="24" t="n">
        <x:f>IFERROR(G3605/K3605,0)</x:f>
        <x:v>0</x:v>
      </x:c>
      <x:c r="AA3605" s="24" t="n">
        <x:f>IFERROR(F3605/H3605,0)-IFERROR(G3605/I3605,0)</x:f>
        <x:v>0</x:v>
      </x:c>
      <x:c r="AB3605" s="28" t="n">
        <x:f>J3605-K3605</x:f>
        <x:v>0</x:v>
      </x:c>
      <x:c r="AC3605" s="32" t="n">
        <x:f>F3605-G3605</x:f>
        <x:v>0</x:v>
      </x:c>
    </x:row>
    <x:row r="3606">
      <x:c r="A3606" s="4" t="str">
        <x:v>2025-26</x:v>
      </x:c>
      <x:c r="B3606" s="20" t="n">
        <x:v>46084</x:v>
      </x:c>
      <x:c r="C3606" s="4" t="str">
        <x:v>Burnley</x:v>
      </x:c>
      <x:c r="D3606" s="4" t="str">
        <x:v>Everton</x:v>
      </x:c>
      <x:c r="E3606" s="4" t="str">
        <x:v>Away</x:v>
      </x:c>
      <x:c r="F3606" s="28" t="n">
        <x:v>0</x:v>
      </x:c>
      <x:c r="G3606" s="28" t="n">
        <x:v>2</x:v>
      </x:c>
      <x:c r="H3606" s="28" t="n">
        <x:v>5</x:v>
      </x:c>
      <x:c r="I3606" s="28" t="n">
        <x:v>14</x:v>
      </x:c>
      <x:c r="J3606" s="28" t="n">
        <x:v>2</x:v>
      </x:c>
      <x:c r="K3606" s="28" t="n">
        <x:v>5</x:v>
      </x:c>
      <x:c r="L3606" s="28" t="n">
        <x:v>3</x:v>
      </x:c>
      <x:c r="M3606" s="28" t="n">
        <x:v>6</x:v>
      </x:c>
      <x:c r="N3606" s="28" t="n">
        <x:v>1</x:v>
      </x:c>
      <x:c r="O3606" s="28" t="n">
        <x:v>0</x:v>
      </x:c>
      <x:c r="P3606" s="28" t="n">
        <x:v>0</x:v>
      </x:c>
      <x:c r="Q3606" s="24" t="n">
        <x:f>IFERROR(J3606/H3606,0)</x:f>
        <x:v>0.4</x:v>
      </x:c>
      <x:c r="R3606" s="24" t="n">
        <x:f>IFERROR(F3606/H3606,0)</x:f>
        <x:v>0</x:v>
      </x:c>
      <x:c r="S3606" s="24" t="n">
        <x:f>IFERROR(F3606/J3606,0)</x:f>
        <x:v>0</x:v>
      </x:c>
      <x:c r="T3606" s="28" t="n">
        <x:f>H3606-I3606</x:f>
        <x:v>-9</x:v>
      </x:c>
      <x:c r="U3606" s="24" t="n">
        <x:f>IFERROR(J3606/H3606,0)-IFERROR(K3606/I3606,0)</x:f>
        <x:v>0.04285714285714287</x:v>
      </x:c>
      <x:c r="V3606" s="24" t="n">
        <x:f>IFERROR(F3606/J3606,0)-IFERROR(G3606/K3606,0)</x:f>
        <x:v>-0.4</x:v>
      </x:c>
      <x:c r="W3606" s="28" t="n">
        <x:f>L3606-M3606</x:f>
        <x:v>-3</x:v>
      </x:c>
      <x:c r="X3606" s="24" t="n">
        <x:f>IFERROR(K3606/I3606,0)</x:f>
        <x:v>0.35714285714285715</x:v>
      </x:c>
      <x:c r="Y3606" s="24" t="n">
        <x:f>IFERROR(G3606/I3606,0)</x:f>
        <x:v>0.14285714285714285</x:v>
      </x:c>
      <x:c r="Z3606" s="24" t="n">
        <x:f>IFERROR(G3606/K3606,0)</x:f>
        <x:v>0.4</x:v>
      </x:c>
      <x:c r="AA3606" s="24" t="n">
        <x:f>IFERROR(F3606/H3606,0)-IFERROR(G3606/I3606,0)</x:f>
        <x:v>-0.14285714285714285</x:v>
      </x:c>
      <x:c r="AB3606" s="28" t="n">
        <x:f>J3606-K3606</x:f>
        <x:v>-3</x:v>
      </x:c>
      <x:c r="AC3606" s="32" t="n">
        <x:f>F3606-G3606</x:f>
        <x:v>-2</x:v>
      </x:c>
    </x:row>
    <x:row r="3607">
      <x:c r="A3607" s="4" t="str">
        <x:v>2025-26</x:v>
      </x:c>
      <x:c r="B3607" s="20" t="n">
        <x:v>46084</x:v>
      </x:c>
      <x:c r="C3607" s="4" t="str">
        <x:v>Everton</x:v>
      </x:c>
      <x:c r="D3607" s="4" t="str">
        <x:v>Burnley</x:v>
      </x:c>
      <x:c r="E3607" s="4" t="str">
        <x:v>Home</x:v>
      </x:c>
      <x:c r="F3607" s="28" t="n">
        <x:v>2</x:v>
      </x:c>
      <x:c r="G3607" s="28" t="n">
        <x:v>0</x:v>
      </x:c>
      <x:c r="H3607" s="28" t="n">
        <x:v>14</x:v>
      </x:c>
      <x:c r="I3607" s="28" t="n">
        <x:v>5</x:v>
      </x:c>
      <x:c r="J3607" s="28" t="n">
        <x:v>5</x:v>
      </x:c>
      <x:c r="K3607" s="28" t="n">
        <x:v>2</x:v>
      </x:c>
      <x:c r="L3607" s="28" t="n">
        <x:v>6</x:v>
      </x:c>
      <x:c r="M3607" s="28" t="n">
        <x:v>3</x:v>
      </x:c>
      <x:c r="N3607" s="28" t="n">
        <x:v>0</x:v>
      </x:c>
      <x:c r="O3607" s="28" t="n">
        <x:v>0</x:v>
      </x:c>
      <x:c r="P3607" s="28" t="n">
        <x:v>3</x:v>
      </x:c>
      <x:c r="Q3607" s="24" t="n">
        <x:f>IFERROR(J3607/H3607,0)</x:f>
        <x:v>0.35714285714285715</x:v>
      </x:c>
      <x:c r="R3607" s="24" t="n">
        <x:f>IFERROR(F3607/H3607,0)</x:f>
        <x:v>0.14285714285714285</x:v>
      </x:c>
      <x:c r="S3607" s="24" t="n">
        <x:f>IFERROR(F3607/J3607,0)</x:f>
        <x:v>0.4</x:v>
      </x:c>
      <x:c r="T3607" s="28" t="n">
        <x:f>H3607-I3607</x:f>
        <x:v>9</x:v>
      </x:c>
      <x:c r="U3607" s="24" t="n">
        <x:f>IFERROR(J3607/H3607,0)-IFERROR(K3607/I3607,0)</x:f>
        <x:v>-0.04285714285714287</x:v>
      </x:c>
      <x:c r="V3607" s="24" t="n">
        <x:f>IFERROR(F3607/J3607,0)-IFERROR(G3607/K3607,0)</x:f>
        <x:v>0.4</x:v>
      </x:c>
      <x:c r="W3607" s="28" t="n">
        <x:f>L3607-M3607</x:f>
        <x:v>3</x:v>
      </x:c>
      <x:c r="X3607" s="24" t="n">
        <x:f>IFERROR(K3607/I3607,0)</x:f>
        <x:v>0.4</x:v>
      </x:c>
      <x:c r="Y3607" s="24" t="n">
        <x:f>IFERROR(G3607/I3607,0)</x:f>
        <x:v>0</x:v>
      </x:c>
      <x:c r="Z3607" s="24" t="n">
        <x:f>IFERROR(G3607/K3607,0)</x:f>
        <x:v>0</x:v>
      </x:c>
      <x:c r="AA3607" s="24" t="n">
        <x:f>IFERROR(F3607/H3607,0)-IFERROR(G3607/I3607,0)</x:f>
        <x:v>0.14285714285714285</x:v>
      </x:c>
      <x:c r="AB3607" s="28" t="n">
        <x:f>J3607-K3607</x:f>
        <x:v>3</x:v>
      </x:c>
      <x:c r="AC3607" s="32" t="n">
        <x:f>F3607-G3607</x:f>
        <x:v>2</x:v>
      </x:c>
    </x:row>
    <x:row r="3608">
      <x:c r="A3608" s="4" t="str">
        <x:v>2025-26</x:v>
      </x:c>
      <x:c r="B3608" s="20" t="n">
        <x:v>46084</x:v>
      </x:c>
      <x:c r="C3608" s="4" t="str">
        <x:v>Leeds</x:v>
      </x:c>
      <x:c r="D3608" s="4" t="str">
        <x:v>Sunderland</x:v>
      </x:c>
      <x:c r="E3608" s="4" t="str">
        <x:v>Home</x:v>
      </x:c>
      <x:c r="F3608" s="28" t="n">
        <x:v>0</x:v>
      </x:c>
      <x:c r="G3608" s="28" t="n">
        <x:v>1</x:v>
      </x:c>
      <x:c r="H3608" s="28" t="n">
        <x:v>18</x:v>
      </x:c>
      <x:c r="I3608" s="28" t="n">
        <x:v>3</x:v>
      </x:c>
      <x:c r="J3608" s="28" t="n">
        <x:v>4</x:v>
      </x:c>
      <x:c r="K3608" s="28" t="n">
        <x:v>1</x:v>
      </x:c>
      <x:c r="L3608" s="28" t="n">
        <x:v>9</x:v>
      </x:c>
      <x:c r="M3608" s="28" t="n">
        <x:v>2</x:v>
      </x:c>
      <x:c r="N3608" s="28" t="n">
        <x:v>1</x:v>
      </x:c>
      <x:c r="O3608" s="28" t="n">
        <x:v>0</x:v>
      </x:c>
      <x:c r="P3608" s="28" t="n">
        <x:v>0</x:v>
      </x:c>
      <x:c r="Q3608" s="24" t="n">
        <x:f>IFERROR(J3608/H3608,0)</x:f>
        <x:v>0.2222222222222222</x:v>
      </x:c>
      <x:c r="R3608" s="24" t="n">
        <x:f>IFERROR(F3608/H3608,0)</x:f>
        <x:v>0</x:v>
      </x:c>
      <x:c r="S3608" s="24" t="n">
        <x:f>IFERROR(F3608/J3608,0)</x:f>
        <x:v>0</x:v>
      </x:c>
      <x:c r="T3608" s="28" t="n">
        <x:f>H3608-I3608</x:f>
        <x:v>15</x:v>
      </x:c>
      <x:c r="U3608" s="24" t="n">
        <x:f>IFERROR(J3608/H3608,0)-IFERROR(K3608/I3608,0)</x:f>
        <x:v>-0.1111111111111111</x:v>
      </x:c>
      <x:c r="V3608" s="24" t="n">
        <x:f>IFERROR(F3608/J3608,0)-IFERROR(G3608/K3608,0)</x:f>
        <x:v>-1</x:v>
      </x:c>
      <x:c r="W3608" s="28" t="n">
        <x:f>L3608-M3608</x:f>
        <x:v>7</x:v>
      </x:c>
      <x:c r="X3608" s="24" t="n">
        <x:f>IFERROR(K3608/I3608,0)</x:f>
        <x:v>0.3333333333333333</x:v>
      </x:c>
      <x:c r="Y3608" s="24" t="n">
        <x:f>IFERROR(G3608/I3608,0)</x:f>
        <x:v>0.3333333333333333</x:v>
      </x:c>
      <x:c r="Z3608" s="24" t="n">
        <x:f>IFERROR(G3608/K3608,0)</x:f>
        <x:v>1</x:v>
      </x:c>
      <x:c r="AA3608" s="24" t="n">
        <x:f>IFERROR(F3608/H3608,0)-IFERROR(G3608/I3608,0)</x:f>
        <x:v>-0.3333333333333333</x:v>
      </x:c>
      <x:c r="AB3608" s="28" t="n">
        <x:f>J3608-K3608</x:f>
        <x:v>3</x:v>
      </x:c>
      <x:c r="AC3608" s="32" t="n">
        <x:f>F3608-G3608</x:f>
        <x:v>-1</x:v>
      </x:c>
    </x:row>
    <x:row r="3609">
      <x:c r="A3609" s="4" t="str">
        <x:v>2025-26</x:v>
      </x:c>
      <x:c r="B3609" s="20" t="n">
        <x:v>46084</x:v>
      </x:c>
      <x:c r="C3609" s="4" t="str">
        <x:v>Liverpool</x:v>
      </x:c>
      <x:c r="D3609" s="4" t="str">
        <x:v>Wolves</x:v>
      </x:c>
      <x:c r="E3609" s="4" t="str">
        <x:v>Away</x:v>
      </x:c>
      <x:c r="F3609" s="28" t="n">
        <x:v>1</x:v>
      </x:c>
      <x:c r="G3609" s="28" t="n">
        <x:v>2</x:v>
      </x:c>
      <x:c r="H3609" s="28" t="n">
        <x:v>19</x:v>
      </x:c>
      <x:c r="I3609" s="28" t="n">
        <x:v>4</x:v>
      </x:c>
      <x:c r="J3609" s="28" t="n">
        <x:v>7</x:v>
      </x:c>
      <x:c r="K3609" s="28" t="n">
        <x:v>3</x:v>
      </x:c>
      <x:c r="L3609" s="28" t="n">
        <x:v>11</x:v>
      </x:c>
      <x:c r="M3609" s="28" t="n">
        <x:v>2</x:v>
      </x:c>
      <x:c r="N3609" s="28" t="n">
        <x:v>1</x:v>
      </x:c>
      <x:c r="O3609" s="28" t="n">
        <x:v>0</x:v>
      </x:c>
      <x:c r="P3609" s="28" t="n">
        <x:v>0</x:v>
      </x:c>
      <x:c r="Q3609" s="24" t="n">
        <x:f>IFERROR(J3609/H3609,0)</x:f>
        <x:v>0.3684210526315789</x:v>
      </x:c>
      <x:c r="R3609" s="24" t="n">
        <x:f>IFERROR(F3609/H3609,0)</x:f>
        <x:v>0.05263157894736842</x:v>
      </x:c>
      <x:c r="S3609" s="24" t="n">
        <x:f>IFERROR(F3609/J3609,0)</x:f>
        <x:v>0.14285714285714285</x:v>
      </x:c>
      <x:c r="T3609" s="28" t="n">
        <x:f>H3609-I3609</x:f>
        <x:v>15</x:v>
      </x:c>
      <x:c r="U3609" s="24" t="n">
        <x:f>IFERROR(J3609/H3609,0)-IFERROR(K3609/I3609,0)</x:f>
        <x:v>-0.3815789473684211</x:v>
      </x:c>
      <x:c r="V3609" s="24" t="n">
        <x:f>IFERROR(F3609/J3609,0)-IFERROR(G3609/K3609,0)</x:f>
        <x:v>-0.5238095238095237</x:v>
      </x:c>
      <x:c r="W3609" s="28" t="n">
        <x:f>L3609-M3609</x:f>
        <x:v>9</x:v>
      </x:c>
      <x:c r="X3609" s="24" t="n">
        <x:f>IFERROR(K3609/I3609,0)</x:f>
        <x:v>0.75</x:v>
      </x:c>
      <x:c r="Y3609" s="24" t="n">
        <x:f>IFERROR(G3609/I3609,0)</x:f>
        <x:v>0.5</x:v>
      </x:c>
      <x:c r="Z3609" s="24" t="n">
        <x:f>IFERROR(G3609/K3609,0)</x:f>
        <x:v>0.6666666666666666</x:v>
      </x:c>
      <x:c r="AA3609" s="24" t="n">
        <x:f>IFERROR(F3609/H3609,0)-IFERROR(G3609/I3609,0)</x:f>
        <x:v>-0.4473684210526316</x:v>
      </x:c>
      <x:c r="AB3609" s="28" t="n">
        <x:f>J3609-K3609</x:f>
        <x:v>4</x:v>
      </x:c>
      <x:c r="AC3609" s="32" t="n">
        <x:f>F3609-G3609</x:f>
        <x:v>-1</x:v>
      </x:c>
    </x:row>
    <x:row r="3610">
      <x:c r="A3610" s="4" t="str">
        <x:v>2025-26</x:v>
      </x:c>
      <x:c r="B3610" s="20" t="n">
        <x:v>46084</x:v>
      </x:c>
      <x:c r="C3610" s="4" t="str">
        <x:v>Sunderland</x:v>
      </x:c>
      <x:c r="D3610" s="4" t="str">
        <x:v>Leeds</x:v>
      </x:c>
      <x:c r="E3610" s="4" t="str">
        <x:v>Away</x:v>
      </x:c>
      <x:c r="F3610" s="28" t="n">
        <x:v>1</x:v>
      </x:c>
      <x:c r="G3610" s="28" t="n">
        <x:v>0</x:v>
      </x:c>
      <x:c r="H3610" s="28" t="n">
        <x:v>3</x:v>
      </x:c>
      <x:c r="I3610" s="28" t="n">
        <x:v>18</x:v>
      </x:c>
      <x:c r="J3610" s="28" t="n">
        <x:v>1</x:v>
      </x:c>
      <x:c r="K3610" s="28" t="n">
        <x:v>4</x:v>
      </x:c>
      <x:c r="L3610" s="28" t="n">
        <x:v>2</x:v>
      </x:c>
      <x:c r="M3610" s="28" t="n">
        <x:v>9</x:v>
      </x:c>
      <x:c r="N3610" s="28" t="n">
        <x:v>3</x:v>
      </x:c>
      <x:c r="O3610" s="28" t="n">
        <x:v>0</x:v>
      </x:c>
      <x:c r="P3610" s="28" t="n">
        <x:v>3</x:v>
      </x:c>
      <x:c r="Q3610" s="24" t="n">
        <x:f>IFERROR(J3610/H3610,0)</x:f>
        <x:v>0.3333333333333333</x:v>
      </x:c>
      <x:c r="R3610" s="24" t="n">
        <x:f>IFERROR(F3610/H3610,0)</x:f>
        <x:v>0.3333333333333333</x:v>
      </x:c>
      <x:c r="S3610" s="24" t="n">
        <x:f>IFERROR(F3610/J3610,0)</x:f>
        <x:v>1</x:v>
      </x:c>
      <x:c r="T3610" s="28" t="n">
        <x:f>H3610-I3610</x:f>
        <x:v>-15</x:v>
      </x:c>
      <x:c r="U3610" s="24" t="n">
        <x:f>IFERROR(J3610/H3610,0)-IFERROR(K3610/I3610,0)</x:f>
        <x:v>0.1111111111111111</x:v>
      </x:c>
      <x:c r="V3610" s="24" t="n">
        <x:f>IFERROR(F3610/J3610,0)-IFERROR(G3610/K3610,0)</x:f>
        <x:v>1</x:v>
      </x:c>
      <x:c r="W3610" s="28" t="n">
        <x:f>L3610-M3610</x:f>
        <x:v>-7</x:v>
      </x:c>
      <x:c r="X3610" s="24" t="n">
        <x:f>IFERROR(K3610/I3610,0)</x:f>
        <x:v>0.2222222222222222</x:v>
      </x:c>
      <x:c r="Y3610" s="24" t="n">
        <x:f>IFERROR(G3610/I3610,0)</x:f>
        <x:v>0</x:v>
      </x:c>
      <x:c r="Z3610" s="24" t="n">
        <x:f>IFERROR(G3610/K3610,0)</x:f>
        <x:v>0</x:v>
      </x:c>
      <x:c r="AA3610" s="24" t="n">
        <x:f>IFERROR(F3610/H3610,0)-IFERROR(G3610/I3610,0)</x:f>
        <x:v>0.3333333333333333</x:v>
      </x:c>
      <x:c r="AB3610" s="28" t="n">
        <x:f>J3610-K3610</x:f>
        <x:v>-3</x:v>
      </x:c>
      <x:c r="AC3610" s="32" t="n">
        <x:f>F3610-G3610</x:f>
        <x:v>1</x:v>
      </x:c>
    </x:row>
    <x:row r="3611">
      <x:c r="A3611" s="4" t="str">
        <x:v>2025-26</x:v>
      </x:c>
      <x:c r="B3611" s="20" t="n">
        <x:v>46084</x:v>
      </x:c>
      <x:c r="C3611" s="4" t="str">
        <x:v>Wolves</x:v>
      </x:c>
      <x:c r="D3611" s="4" t="str">
        <x:v>Liverpool</x:v>
      </x:c>
      <x:c r="E3611" s="4" t="str">
        <x:v>Home</x:v>
      </x:c>
      <x:c r="F3611" s="28" t="n">
        <x:v>2</x:v>
      </x:c>
      <x:c r="G3611" s="28" t="n">
        <x:v>1</x:v>
      </x:c>
      <x:c r="H3611" s="28" t="n">
        <x:v>4</x:v>
      </x:c>
      <x:c r="I3611" s="28" t="n">
        <x:v>19</x:v>
      </x:c>
      <x:c r="J3611" s="28" t="n">
        <x:v>3</x:v>
      </x:c>
      <x:c r="K3611" s="28" t="n">
        <x:v>7</x:v>
      </x:c>
      <x:c r="L3611" s="28" t="n">
        <x:v>2</x:v>
      </x:c>
      <x:c r="M3611" s="28" t="n">
        <x:v>11</x:v>
      </x:c>
      <x:c r="N3611" s="28" t="n">
        <x:v>2</x:v>
      </x:c>
      <x:c r="O3611" s="28" t="n">
        <x:v>0</x:v>
      </x:c>
      <x:c r="P3611" s="28" t="n">
        <x:v>3</x:v>
      </x:c>
      <x:c r="Q3611" s="24" t="n">
        <x:f>IFERROR(J3611/H3611,0)</x:f>
        <x:v>0.75</x:v>
      </x:c>
      <x:c r="R3611" s="24" t="n">
        <x:f>IFERROR(F3611/H3611,0)</x:f>
        <x:v>0.5</x:v>
      </x:c>
      <x:c r="S3611" s="24" t="n">
        <x:f>IFERROR(F3611/J3611,0)</x:f>
        <x:v>0.6666666666666666</x:v>
      </x:c>
      <x:c r="T3611" s="28" t="n">
        <x:f>H3611-I3611</x:f>
        <x:v>-15</x:v>
      </x:c>
      <x:c r="U3611" s="24" t="n">
        <x:f>IFERROR(J3611/H3611,0)-IFERROR(K3611/I3611,0)</x:f>
        <x:v>0.3815789473684211</x:v>
      </x:c>
      <x:c r="V3611" s="24" t="n">
        <x:f>IFERROR(F3611/J3611,0)-IFERROR(G3611/K3611,0)</x:f>
        <x:v>0.5238095238095237</x:v>
      </x:c>
      <x:c r="W3611" s="28" t="n">
        <x:f>L3611-M3611</x:f>
        <x:v>-9</x:v>
      </x:c>
      <x:c r="X3611" s="24" t="n">
        <x:f>IFERROR(K3611/I3611,0)</x:f>
        <x:v>0.3684210526315789</x:v>
      </x:c>
      <x:c r="Y3611" s="24" t="n">
        <x:f>IFERROR(G3611/I3611,0)</x:f>
        <x:v>0.05263157894736842</x:v>
      </x:c>
      <x:c r="Z3611" s="24" t="n">
        <x:f>IFERROR(G3611/K3611,0)</x:f>
        <x:v>0.14285714285714285</x:v>
      </x:c>
      <x:c r="AA3611" s="24" t="n">
        <x:f>IFERROR(F3611/H3611,0)-IFERROR(G3611/I3611,0)</x:f>
        <x:v>0.4473684210526316</x:v>
      </x:c>
      <x:c r="AB3611" s="28" t="n">
        <x:f>J3611-K3611</x:f>
        <x:v>-4</x:v>
      </x:c>
      <x:c r="AC3611" s="32" t="n">
        <x:f>F3611-G3611</x:f>
        <x:v>1</x:v>
      </x:c>
    </x:row>
    <x:row r="3612">
      <x:c r="A3612" s="4" t="str">
        <x:v>2025-26</x:v>
      </x:c>
      <x:c r="B3612" s="20" t="n">
        <x:v>46085</x:v>
      </x:c>
      <x:c r="C3612" s="4" t="str">
        <x:v>Arsenal</x:v>
      </x:c>
      <x:c r="D3612" s="4" t="str">
        <x:v>Brighton</x:v>
      </x:c>
      <x:c r="E3612" s="4" t="str">
        <x:v>Away</x:v>
      </x:c>
      <x:c r="F3612" s="28" t="n">
        <x:v>1</x:v>
      </x:c>
      <x:c r="G3612" s="28" t="n">
        <x:v>0</x:v>
      </x:c>
      <x:c r="H3612" s="28" t="n">
        <x:v>7</x:v>
      </x:c>
      <x:c r="I3612" s="28" t="n">
        <x:v>11</x:v>
      </x:c>
      <x:c r="J3612" s="28" t="n">
        <x:v>2</x:v>
      </x:c>
      <x:c r="K3612" s="28" t="n">
        <x:v>3</x:v>
      </x:c>
      <x:c r="L3612" s="28" t="n">
        <x:v>3</x:v>
      </x:c>
      <x:c r="M3612" s="28" t="n">
        <x:v>4</x:v>
      </x:c>
      <x:c r="N3612" s="28" t="n">
        <x:v>1</x:v>
      </x:c>
      <x:c r="O3612" s="28" t="n">
        <x:v>0</x:v>
      </x:c>
      <x:c r="P3612" s="28" t="n">
        <x:v>3</x:v>
      </x:c>
      <x:c r="Q3612" s="24" t="n">
        <x:f>IFERROR(J3612/H3612,0)</x:f>
        <x:v>0.2857142857142857</x:v>
      </x:c>
      <x:c r="R3612" s="24" t="n">
        <x:f>IFERROR(F3612/H3612,0)</x:f>
        <x:v>0.14285714285714285</x:v>
      </x:c>
      <x:c r="S3612" s="24" t="n">
        <x:f>IFERROR(F3612/J3612,0)</x:f>
        <x:v>0.5</x:v>
      </x:c>
      <x:c r="T3612" s="28" t="n">
        <x:f>H3612-I3612</x:f>
        <x:v>-4</x:v>
      </x:c>
      <x:c r="U3612" s="24" t="n">
        <x:f>IFERROR(J3612/H3612,0)-IFERROR(K3612/I3612,0)</x:f>
        <x:v>0.012987012987012991</x:v>
      </x:c>
      <x:c r="V3612" s="24" t="n">
        <x:f>IFERROR(F3612/J3612,0)-IFERROR(G3612/K3612,0)</x:f>
        <x:v>0.5</x:v>
      </x:c>
      <x:c r="W3612" s="28" t="n">
        <x:f>L3612-M3612</x:f>
        <x:v>-1</x:v>
      </x:c>
      <x:c r="X3612" s="24" t="n">
        <x:f>IFERROR(K3612/I3612,0)</x:f>
        <x:v>0.2727272727272727</x:v>
      </x:c>
      <x:c r="Y3612" s="24" t="n">
        <x:f>IFERROR(G3612/I3612,0)</x:f>
        <x:v>0</x:v>
      </x:c>
      <x:c r="Z3612" s="24" t="n">
        <x:f>IFERROR(G3612/K3612,0)</x:f>
        <x:v>0</x:v>
      </x:c>
      <x:c r="AA3612" s="24" t="n">
        <x:f>IFERROR(F3612/H3612,0)-IFERROR(G3612/I3612,0)</x:f>
        <x:v>0.14285714285714285</x:v>
      </x:c>
      <x:c r="AB3612" s="28" t="n">
        <x:f>J3612-K3612</x:f>
        <x:v>-1</x:v>
      </x:c>
      <x:c r="AC3612" s="32" t="n">
        <x:f>F3612-G3612</x:f>
        <x:v>1</x:v>
      </x:c>
    </x:row>
    <x:row r="3613">
      <x:c r="A3613" s="4" t="str">
        <x:v>2025-26</x:v>
      </x:c>
      <x:c r="B3613" s="20" t="n">
        <x:v>46085</x:v>
      </x:c>
      <x:c r="C3613" s="4" t="str">
        <x:v>Aston Villa</x:v>
      </x:c>
      <x:c r="D3613" s="4" t="str">
        <x:v>Chelsea</x:v>
      </x:c>
      <x:c r="E3613" s="4" t="str">
        <x:v>Home</x:v>
      </x:c>
      <x:c r="F3613" s="28" t="n">
        <x:v>1</x:v>
      </x:c>
      <x:c r="G3613" s="28" t="n">
        <x:v>4</x:v>
      </x:c>
      <x:c r="H3613" s="28" t="n">
        <x:v>9</x:v>
      </x:c>
      <x:c r="I3613" s="28" t="n">
        <x:v>15</x:v>
      </x:c>
      <x:c r="J3613" s="28" t="n">
        <x:v>4</x:v>
      </x:c>
      <x:c r="K3613" s="28" t="n">
        <x:v>8</x:v>
      </x:c>
      <x:c r="L3613" s="28" t="n">
        <x:v>3</x:v>
      </x:c>
      <x:c r="M3613" s="28" t="n">
        <x:v>8</x:v>
      </x:c>
      <x:c r="N3613" s="28" t="n">
        <x:v>3</x:v>
      </x:c>
      <x:c r="O3613" s="28" t="n">
        <x:v>0</x:v>
      </x:c>
      <x:c r="P3613" s="28" t="n">
        <x:v>0</x:v>
      </x:c>
      <x:c r="Q3613" s="24" t="n">
        <x:f>IFERROR(J3613/H3613,0)</x:f>
        <x:v>0.4444444444444444</x:v>
      </x:c>
      <x:c r="R3613" s="24" t="n">
        <x:f>IFERROR(F3613/H3613,0)</x:f>
        <x:v>0.1111111111111111</x:v>
      </x:c>
      <x:c r="S3613" s="24" t="n">
        <x:f>IFERROR(F3613/J3613,0)</x:f>
        <x:v>0.25</x:v>
      </x:c>
      <x:c r="T3613" s="28" t="n">
        <x:f>H3613-I3613</x:f>
        <x:v>-6</x:v>
      </x:c>
      <x:c r="U3613" s="24" t="n">
        <x:f>IFERROR(J3613/H3613,0)-IFERROR(K3613/I3613,0)</x:f>
        <x:v>-0.0888888888888889</x:v>
      </x:c>
      <x:c r="V3613" s="24" t="n">
        <x:f>IFERROR(F3613/J3613,0)-IFERROR(G3613/K3613,0)</x:f>
        <x:v>-0.25</x:v>
      </x:c>
      <x:c r="W3613" s="28" t="n">
        <x:f>L3613-M3613</x:f>
        <x:v>-5</x:v>
      </x:c>
      <x:c r="X3613" s="24" t="n">
        <x:f>IFERROR(K3613/I3613,0)</x:f>
        <x:v>0.5333333333333333</x:v>
      </x:c>
      <x:c r="Y3613" s="24" t="n">
        <x:f>IFERROR(G3613/I3613,0)</x:f>
        <x:v>0.26666666666666666</x:v>
      </x:c>
      <x:c r="Z3613" s="24" t="n">
        <x:f>IFERROR(G3613/K3613,0)</x:f>
        <x:v>0.5</x:v>
      </x:c>
      <x:c r="AA3613" s="24" t="n">
        <x:f>IFERROR(F3613/H3613,0)-IFERROR(G3613/I3613,0)</x:f>
        <x:v>-0.15555555555555556</x:v>
      </x:c>
      <x:c r="AB3613" s="28" t="n">
        <x:f>J3613-K3613</x:f>
        <x:v>-4</x:v>
      </x:c>
      <x:c r="AC3613" s="32" t="n">
        <x:f>F3613-G3613</x:f>
        <x:v>-3</x:v>
      </x:c>
    </x:row>
    <x:row r="3614">
      <x:c r="A3614" s="4" t="str">
        <x:v>2025-26</x:v>
      </x:c>
      <x:c r="B3614" s="20" t="n">
        <x:v>46085</x:v>
      </x:c>
      <x:c r="C3614" s="4" t="str">
        <x:v>Brighton</x:v>
      </x:c>
      <x:c r="D3614" s="4" t="str">
        <x:v>Arsenal</x:v>
      </x:c>
      <x:c r="E3614" s="4" t="str">
        <x:v>Home</x:v>
      </x:c>
      <x:c r="F3614" s="28" t="n">
        <x:v>0</x:v>
      </x:c>
      <x:c r="G3614" s="28" t="n">
        <x:v>1</x:v>
      </x:c>
      <x:c r="H3614" s="28" t="n">
        <x:v>11</x:v>
      </x:c>
      <x:c r="I3614" s="28" t="n">
        <x:v>7</x:v>
      </x:c>
      <x:c r="J3614" s="28" t="n">
        <x:v>3</x:v>
      </x:c>
      <x:c r="K3614" s="28" t="n">
        <x:v>2</x:v>
      </x:c>
      <x:c r="L3614" s="28" t="n">
        <x:v>4</x:v>
      </x:c>
      <x:c r="M3614" s="28" t="n">
        <x:v>3</x:v>
      </x:c>
      <x:c r="N3614" s="28" t="n">
        <x:v>4</x:v>
      </x:c>
      <x:c r="O3614" s="28" t="n">
        <x:v>0</x:v>
      </x:c>
      <x:c r="P3614" s="28" t="n">
        <x:v>0</x:v>
      </x:c>
      <x:c r="Q3614" s="24" t="n">
        <x:f>IFERROR(J3614/H3614,0)</x:f>
        <x:v>0.2727272727272727</x:v>
      </x:c>
      <x:c r="R3614" s="24" t="n">
        <x:f>IFERROR(F3614/H3614,0)</x:f>
        <x:v>0</x:v>
      </x:c>
      <x:c r="S3614" s="24" t="n">
        <x:f>IFERROR(F3614/J3614,0)</x:f>
        <x:v>0</x:v>
      </x:c>
      <x:c r="T3614" s="28" t="n">
        <x:f>H3614-I3614</x:f>
        <x:v>4</x:v>
      </x:c>
      <x:c r="U3614" s="24" t="n">
        <x:f>IFERROR(J3614/H3614,0)-IFERROR(K3614/I3614,0)</x:f>
        <x:v>-0.012987012987012991</x:v>
      </x:c>
      <x:c r="V3614" s="24" t="n">
        <x:f>IFERROR(F3614/J3614,0)-IFERROR(G3614/K3614,0)</x:f>
        <x:v>-0.5</x:v>
      </x:c>
      <x:c r="W3614" s="28" t="n">
        <x:f>L3614-M3614</x:f>
        <x:v>1</x:v>
      </x:c>
      <x:c r="X3614" s="24" t="n">
        <x:f>IFERROR(K3614/I3614,0)</x:f>
        <x:v>0.2857142857142857</x:v>
      </x:c>
      <x:c r="Y3614" s="24" t="n">
        <x:f>IFERROR(G3614/I3614,0)</x:f>
        <x:v>0.14285714285714285</x:v>
      </x:c>
      <x:c r="Z3614" s="24" t="n">
        <x:f>IFERROR(G3614/K3614,0)</x:f>
        <x:v>0.5</x:v>
      </x:c>
      <x:c r="AA3614" s="24" t="n">
        <x:f>IFERROR(F3614/H3614,0)-IFERROR(G3614/I3614,0)</x:f>
        <x:v>-0.14285714285714285</x:v>
      </x:c>
      <x:c r="AB3614" s="28" t="n">
        <x:f>J3614-K3614</x:f>
        <x:v>1</x:v>
      </x:c>
      <x:c r="AC3614" s="32" t="n">
        <x:f>F3614-G3614</x:f>
        <x:v>-1</x:v>
      </x:c>
    </x:row>
    <x:row r="3615">
      <x:c r="A3615" s="4" t="str">
        <x:v>2025-26</x:v>
      </x:c>
      <x:c r="B3615" s="20" t="n">
        <x:v>46085</x:v>
      </x:c>
      <x:c r="C3615" s="4" t="str">
        <x:v>Chelsea</x:v>
      </x:c>
      <x:c r="D3615" s="4" t="str">
        <x:v>Aston Villa</x:v>
      </x:c>
      <x:c r="E3615" s="4" t="str">
        <x:v>Away</x:v>
      </x:c>
      <x:c r="F3615" s="28" t="n">
        <x:v>4</x:v>
      </x:c>
      <x:c r="G3615" s="28" t="n">
        <x:v>1</x:v>
      </x:c>
      <x:c r="H3615" s="28" t="n">
        <x:v>15</x:v>
      </x:c>
      <x:c r="I3615" s="28" t="n">
        <x:v>9</x:v>
      </x:c>
      <x:c r="J3615" s="28" t="n">
        <x:v>8</x:v>
      </x:c>
      <x:c r="K3615" s="28" t="n">
        <x:v>4</x:v>
      </x:c>
      <x:c r="L3615" s="28" t="n">
        <x:v>8</x:v>
      </x:c>
      <x:c r="M3615" s="28" t="n">
        <x:v>3</x:v>
      </x:c>
      <x:c r="N3615" s="28" t="n">
        <x:v>2</x:v>
      </x:c>
      <x:c r="O3615" s="28" t="n">
        <x:v>0</x:v>
      </x:c>
      <x:c r="P3615" s="28" t="n">
        <x:v>3</x:v>
      </x:c>
      <x:c r="Q3615" s="24" t="n">
        <x:f>IFERROR(J3615/H3615,0)</x:f>
        <x:v>0.5333333333333333</x:v>
      </x:c>
      <x:c r="R3615" s="24" t="n">
        <x:f>IFERROR(F3615/H3615,0)</x:f>
        <x:v>0.26666666666666666</x:v>
      </x:c>
      <x:c r="S3615" s="24" t="n">
        <x:f>IFERROR(F3615/J3615,0)</x:f>
        <x:v>0.5</x:v>
      </x:c>
      <x:c r="T3615" s="28" t="n">
        <x:f>H3615-I3615</x:f>
        <x:v>6</x:v>
      </x:c>
      <x:c r="U3615" s="24" t="n">
        <x:f>IFERROR(J3615/H3615,0)-IFERROR(K3615/I3615,0)</x:f>
        <x:v>0.0888888888888889</x:v>
      </x:c>
      <x:c r="V3615" s="24" t="n">
        <x:f>IFERROR(F3615/J3615,0)-IFERROR(G3615/K3615,0)</x:f>
        <x:v>0.25</x:v>
      </x:c>
      <x:c r="W3615" s="28" t="n">
        <x:f>L3615-M3615</x:f>
        <x:v>5</x:v>
      </x:c>
      <x:c r="X3615" s="24" t="n">
        <x:f>IFERROR(K3615/I3615,0)</x:f>
        <x:v>0.4444444444444444</x:v>
      </x:c>
      <x:c r="Y3615" s="24" t="n">
        <x:f>IFERROR(G3615/I3615,0)</x:f>
        <x:v>0.1111111111111111</x:v>
      </x:c>
      <x:c r="Z3615" s="24" t="n">
        <x:f>IFERROR(G3615/K3615,0)</x:f>
        <x:v>0.25</x:v>
      </x:c>
      <x:c r="AA3615" s="24" t="n">
        <x:f>IFERROR(F3615/H3615,0)-IFERROR(G3615/I3615,0)</x:f>
        <x:v>0.15555555555555556</x:v>
      </x:c>
      <x:c r="AB3615" s="28" t="n">
        <x:f>J3615-K3615</x:f>
        <x:v>4</x:v>
      </x:c>
      <x:c r="AC3615" s="32" t="n">
        <x:f>F3615-G3615</x:f>
        <x:v>3</x:v>
      </x:c>
    </x:row>
    <x:row r="3616">
      <x:c r="A3616" s="4" t="str">
        <x:v>2025-26</x:v>
      </x:c>
      <x:c r="B3616" s="20" t="n">
        <x:v>46085</x:v>
      </x:c>
      <x:c r="C3616" s="4" t="str">
        <x:v>Fulham</x:v>
      </x:c>
      <x:c r="D3616" s="4" t="str">
        <x:v>West Ham</x:v>
      </x:c>
      <x:c r="E3616" s="4" t="str">
        <x:v>Home</x:v>
      </x:c>
      <x:c r="F3616" s="28" t="n">
        <x:v>0</x:v>
      </x:c>
      <x:c r="G3616" s="28" t="n">
        <x:v>1</x:v>
      </x:c>
      <x:c r="H3616" s="28" t="n">
        <x:v>13</x:v>
      </x:c>
      <x:c r="I3616" s="28" t="n">
        <x:v>9</x:v>
      </x:c>
      <x:c r="J3616" s="28" t="n">
        <x:v>5</x:v>
      </x:c>
      <x:c r="K3616" s="28" t="n">
        <x:v>3</x:v>
      </x:c>
      <x:c r="L3616" s="28" t="n">
        <x:v>7</x:v>
      </x:c>
      <x:c r="M3616" s="28" t="n">
        <x:v>5</x:v>
      </x:c>
      <x:c r="N3616" s="28" t="n">
        <x:v>2</x:v>
      </x:c>
      <x:c r="O3616" s="28" t="n">
        <x:v>0</x:v>
      </x:c>
      <x:c r="P3616" s="28" t="n">
        <x:v>0</x:v>
      </x:c>
      <x:c r="Q3616" s="24" t="n">
        <x:f>IFERROR(J3616/H3616,0)</x:f>
        <x:v>0.38461538461538464</x:v>
      </x:c>
      <x:c r="R3616" s="24" t="n">
        <x:f>IFERROR(F3616/H3616,0)</x:f>
        <x:v>0</x:v>
      </x:c>
      <x:c r="S3616" s="24" t="n">
        <x:f>IFERROR(F3616/J3616,0)</x:f>
        <x:v>0</x:v>
      </x:c>
      <x:c r="T3616" s="28" t="n">
        <x:f>H3616-I3616</x:f>
        <x:v>4</x:v>
      </x:c>
      <x:c r="U3616" s="24" t="n">
        <x:f>IFERROR(J3616/H3616,0)-IFERROR(K3616/I3616,0)</x:f>
        <x:v>0.05128205128205132</x:v>
      </x:c>
      <x:c r="V3616" s="24" t="n">
        <x:f>IFERROR(F3616/J3616,0)-IFERROR(G3616/K3616,0)</x:f>
        <x:v>-0.3333333333333333</x:v>
      </x:c>
      <x:c r="W3616" s="28" t="n">
        <x:f>L3616-M3616</x:f>
        <x:v>2</x:v>
      </x:c>
      <x:c r="X3616" s="24" t="n">
        <x:f>IFERROR(K3616/I3616,0)</x:f>
        <x:v>0.3333333333333333</x:v>
      </x:c>
      <x:c r="Y3616" s="24" t="n">
        <x:f>IFERROR(G3616/I3616,0)</x:f>
        <x:v>0.1111111111111111</x:v>
      </x:c>
      <x:c r="Z3616" s="24" t="n">
        <x:f>IFERROR(G3616/K3616,0)</x:f>
        <x:v>0.3333333333333333</x:v>
      </x:c>
      <x:c r="AA3616" s="24" t="n">
        <x:f>IFERROR(F3616/H3616,0)-IFERROR(G3616/I3616,0)</x:f>
        <x:v>-0.1111111111111111</x:v>
      </x:c>
      <x:c r="AB3616" s="28" t="n">
        <x:f>J3616-K3616</x:f>
        <x:v>2</x:v>
      </x:c>
      <x:c r="AC3616" s="32" t="n">
        <x:f>F3616-G3616</x:f>
        <x:v>-1</x:v>
      </x:c>
    </x:row>
    <x:row r="3617">
      <x:c r="A3617" s="4" t="str">
        <x:v>2025-26</x:v>
      </x:c>
      <x:c r="B3617" s="20" t="n">
        <x:v>46085</x:v>
      </x:c>
      <x:c r="C3617" s="4" t="str">
        <x:v>Man City</x:v>
      </x:c>
      <x:c r="D3617" s="4" t="str">
        <x:v>Nott'm Forest</x:v>
      </x:c>
      <x:c r="E3617" s="4" t="str">
        <x:v>Home</x:v>
      </x:c>
      <x:c r="F3617" s="28" t="n">
        <x:v>2</x:v>
      </x:c>
      <x:c r="G3617" s="28" t="n">
        <x:v>2</x:v>
      </x:c>
      <x:c r="H3617" s="28" t="n">
        <x:v>21</x:v>
      </x:c>
      <x:c r="I3617" s="28" t="n">
        <x:v>9</x:v>
      </x:c>
      <x:c r="J3617" s="28" t="n">
        <x:v>7</x:v>
      </x:c>
      <x:c r="K3617" s="28" t="n">
        <x:v>4</x:v>
      </x:c>
      <x:c r="L3617" s="28" t="n">
        <x:v>6</x:v>
      </x:c>
      <x:c r="M3617" s="28" t="n">
        <x:v>1</x:v>
      </x:c>
      <x:c r="N3617" s="28" t="n">
        <x:v>0</x:v>
      </x:c>
      <x:c r="O3617" s="28" t="n">
        <x:v>0</x:v>
      </x:c>
      <x:c r="P3617" s="28" t="n">
        <x:v>1</x:v>
      </x:c>
      <x:c r="Q3617" s="24" t="n">
        <x:f>IFERROR(J3617/H3617,0)</x:f>
        <x:v>0.3333333333333333</x:v>
      </x:c>
      <x:c r="R3617" s="24" t="n">
        <x:f>IFERROR(F3617/H3617,0)</x:f>
        <x:v>0.09523809523809523</x:v>
      </x:c>
      <x:c r="S3617" s="24" t="n">
        <x:f>IFERROR(F3617/J3617,0)</x:f>
        <x:v>0.2857142857142857</x:v>
      </x:c>
      <x:c r="T3617" s="28" t="n">
        <x:f>H3617-I3617</x:f>
        <x:v>12</x:v>
      </x:c>
      <x:c r="U3617" s="24" t="n">
        <x:f>IFERROR(J3617/H3617,0)-IFERROR(K3617/I3617,0)</x:f>
        <x:v>-0.1111111111111111</x:v>
      </x:c>
      <x:c r="V3617" s="24" t="n">
        <x:f>IFERROR(F3617/J3617,0)-IFERROR(G3617/K3617,0)</x:f>
        <x:v>-0.2142857142857143</x:v>
      </x:c>
      <x:c r="W3617" s="28" t="n">
        <x:f>L3617-M3617</x:f>
        <x:v>5</x:v>
      </x:c>
      <x:c r="X3617" s="24" t="n">
        <x:f>IFERROR(K3617/I3617,0)</x:f>
        <x:v>0.4444444444444444</x:v>
      </x:c>
      <x:c r="Y3617" s="24" t="n">
        <x:f>IFERROR(G3617/I3617,0)</x:f>
        <x:v>0.2222222222222222</x:v>
      </x:c>
      <x:c r="Z3617" s="24" t="n">
        <x:f>IFERROR(G3617/K3617,0)</x:f>
        <x:v>0.5</x:v>
      </x:c>
      <x:c r="AA3617" s="24" t="n">
        <x:f>IFERROR(F3617/H3617,0)-IFERROR(G3617/I3617,0)</x:f>
        <x:v>-0.12698412698412698</x:v>
      </x:c>
      <x:c r="AB3617" s="28" t="n">
        <x:f>J3617-K3617</x:f>
        <x:v>3</x:v>
      </x:c>
      <x:c r="AC3617" s="32" t="n">
        <x:f>F3617-G3617</x:f>
        <x:v>0</x:v>
      </x:c>
    </x:row>
    <x:row r="3618">
      <x:c r="A3618" s="4" t="str">
        <x:v>2025-26</x:v>
      </x:c>
      <x:c r="B3618" s="20" t="n">
        <x:v>46085</x:v>
      </x:c>
      <x:c r="C3618" s="4" t="str">
        <x:v>Man United</x:v>
      </x:c>
      <x:c r="D3618" s="4" t="str">
        <x:v>Newcastle</x:v>
      </x:c>
      <x:c r="E3618" s="4" t="str">
        <x:v>Away</x:v>
      </x:c>
      <x:c r="F3618" s="28" t="n">
        <x:v>1</x:v>
      </x:c>
      <x:c r="G3618" s="28" t="n">
        <x:v>2</x:v>
      </x:c>
      <x:c r="H3618" s="28" t="n">
        <x:v>14</x:v>
      </x:c>
      <x:c r="I3618" s="28" t="n">
        <x:v>12</x:v>
      </x:c>
      <x:c r="J3618" s="28" t="n">
        <x:v>5</x:v>
      </x:c>
      <x:c r="K3618" s="28" t="n">
        <x:v>5</x:v>
      </x:c>
      <x:c r="L3618" s="28" t="n">
        <x:v>4</x:v>
      </x:c>
      <x:c r="M3618" s="28" t="n">
        <x:v>2</x:v>
      </x:c>
      <x:c r="N3618" s="28" t="n">
        <x:v>3</x:v>
      </x:c>
      <x:c r="O3618" s="28" t="n">
        <x:v>0</x:v>
      </x:c>
      <x:c r="P3618" s="28" t="n">
        <x:v>0</x:v>
      </x:c>
      <x:c r="Q3618" s="24" t="n">
        <x:f>IFERROR(J3618/H3618,0)</x:f>
        <x:v>0.35714285714285715</x:v>
      </x:c>
      <x:c r="R3618" s="24" t="n">
        <x:f>IFERROR(F3618/H3618,0)</x:f>
        <x:v>0.07142857142857142</x:v>
      </x:c>
      <x:c r="S3618" s="24" t="n">
        <x:f>IFERROR(F3618/J3618,0)</x:f>
        <x:v>0.2</x:v>
      </x:c>
      <x:c r="T3618" s="28" t="n">
        <x:f>H3618-I3618</x:f>
        <x:v>2</x:v>
      </x:c>
      <x:c r="U3618" s="24" t="n">
        <x:f>IFERROR(J3618/H3618,0)-IFERROR(K3618/I3618,0)</x:f>
        <x:v>-0.059523809523809534</x:v>
      </x:c>
      <x:c r="V3618" s="24" t="n">
        <x:f>IFERROR(F3618/J3618,0)-IFERROR(G3618/K3618,0)</x:f>
        <x:v>-0.2</x:v>
      </x:c>
      <x:c r="W3618" s="28" t="n">
        <x:f>L3618-M3618</x:f>
        <x:v>2</x:v>
      </x:c>
      <x:c r="X3618" s="24" t="n">
        <x:f>IFERROR(K3618/I3618,0)</x:f>
        <x:v>0.4166666666666667</x:v>
      </x:c>
      <x:c r="Y3618" s="24" t="n">
        <x:f>IFERROR(G3618/I3618,0)</x:f>
        <x:v>0.16666666666666666</x:v>
      </x:c>
      <x:c r="Z3618" s="24" t="n">
        <x:f>IFERROR(G3618/K3618,0)</x:f>
        <x:v>0.4</x:v>
      </x:c>
      <x:c r="AA3618" s="24" t="n">
        <x:f>IFERROR(F3618/H3618,0)-IFERROR(G3618/I3618,0)</x:f>
        <x:v>-0.09523809523809523</x:v>
      </x:c>
      <x:c r="AB3618" s="28" t="n">
        <x:f>J3618-K3618</x:f>
        <x:v>0</x:v>
      </x:c>
      <x:c r="AC3618" s="32" t="n">
        <x:f>F3618-G3618</x:f>
        <x:v>-1</x:v>
      </x:c>
    </x:row>
    <x:row r="3619">
      <x:c r="A3619" s="4" t="str">
        <x:v>2025-26</x:v>
      </x:c>
      <x:c r="B3619" s="20" t="n">
        <x:v>46085</x:v>
      </x:c>
      <x:c r="C3619" s="4" t="str">
        <x:v>Newcastle</x:v>
      </x:c>
      <x:c r="D3619" s="4" t="str">
        <x:v>Man United</x:v>
      </x:c>
      <x:c r="E3619" s="4" t="str">
        <x:v>Home</x:v>
      </x:c>
      <x:c r="F3619" s="28" t="n">
        <x:v>2</x:v>
      </x:c>
      <x:c r="G3619" s="28" t="n">
        <x:v>1</x:v>
      </x:c>
      <x:c r="H3619" s="28" t="n">
        <x:v>12</x:v>
      </x:c>
      <x:c r="I3619" s="28" t="n">
        <x:v>14</x:v>
      </x:c>
      <x:c r="J3619" s="28" t="n">
        <x:v>5</x:v>
      </x:c>
      <x:c r="K3619" s="28" t="n">
        <x:v>5</x:v>
      </x:c>
      <x:c r="L3619" s="28" t="n">
        <x:v>2</x:v>
      </x:c>
      <x:c r="M3619" s="28" t="n">
        <x:v>4</x:v>
      </x:c>
      <x:c r="N3619" s="28" t="n">
        <x:v>2</x:v>
      </x:c>
      <x:c r="O3619" s="28" t="n">
        <x:v>1</x:v>
      </x:c>
      <x:c r="P3619" s="28" t="n">
        <x:v>3</x:v>
      </x:c>
      <x:c r="Q3619" s="24" t="n">
        <x:f>IFERROR(J3619/H3619,0)</x:f>
        <x:v>0.4166666666666667</x:v>
      </x:c>
      <x:c r="R3619" s="24" t="n">
        <x:f>IFERROR(F3619/H3619,0)</x:f>
        <x:v>0.16666666666666666</x:v>
      </x:c>
      <x:c r="S3619" s="24" t="n">
        <x:f>IFERROR(F3619/J3619,0)</x:f>
        <x:v>0.4</x:v>
      </x:c>
      <x:c r="T3619" s="28" t="n">
        <x:f>H3619-I3619</x:f>
        <x:v>-2</x:v>
      </x:c>
      <x:c r="U3619" s="24" t="n">
        <x:f>IFERROR(J3619/H3619,0)-IFERROR(K3619/I3619,0)</x:f>
        <x:v>0.059523809523809534</x:v>
      </x:c>
      <x:c r="V3619" s="24" t="n">
        <x:f>IFERROR(F3619/J3619,0)-IFERROR(G3619/K3619,0)</x:f>
        <x:v>0.2</x:v>
      </x:c>
      <x:c r="W3619" s="28" t="n">
        <x:f>L3619-M3619</x:f>
        <x:v>-2</x:v>
      </x:c>
      <x:c r="X3619" s="24" t="n">
        <x:f>IFERROR(K3619/I3619,0)</x:f>
        <x:v>0.35714285714285715</x:v>
      </x:c>
      <x:c r="Y3619" s="24" t="n">
        <x:f>IFERROR(G3619/I3619,0)</x:f>
        <x:v>0.07142857142857142</x:v>
      </x:c>
      <x:c r="Z3619" s="24" t="n">
        <x:f>IFERROR(G3619/K3619,0)</x:f>
        <x:v>0.2</x:v>
      </x:c>
      <x:c r="AA3619" s="24" t="n">
        <x:f>IFERROR(F3619/H3619,0)-IFERROR(G3619/I3619,0)</x:f>
        <x:v>0.09523809523809523</x:v>
      </x:c>
      <x:c r="AB3619" s="28" t="n">
        <x:f>J3619-K3619</x:f>
        <x:v>0</x:v>
      </x:c>
      <x:c r="AC3619" s="32" t="n">
        <x:f>F3619-G3619</x:f>
        <x:v>1</x:v>
      </x:c>
    </x:row>
    <x:row r="3620">
      <x:c r="A3620" s="4" t="str">
        <x:v>2025-26</x:v>
      </x:c>
      <x:c r="B3620" s="20" t="n">
        <x:v>46085</x:v>
      </x:c>
      <x:c r="C3620" s="4" t="str">
        <x:v>Nott'm Forest</x:v>
      </x:c>
      <x:c r="D3620" s="4" t="str">
        <x:v>Man City</x:v>
      </x:c>
      <x:c r="E3620" s="4" t="str">
        <x:v>Away</x:v>
      </x:c>
      <x:c r="F3620" s="28" t="n">
        <x:v>2</x:v>
      </x:c>
      <x:c r="G3620" s="28" t="n">
        <x:v>2</x:v>
      </x:c>
      <x:c r="H3620" s="28" t="n">
        <x:v>9</x:v>
      </x:c>
      <x:c r="I3620" s="28" t="n">
        <x:v>21</x:v>
      </x:c>
      <x:c r="J3620" s="28" t="n">
        <x:v>4</x:v>
      </x:c>
      <x:c r="K3620" s="28" t="n">
        <x:v>7</x:v>
      </x:c>
      <x:c r="L3620" s="28" t="n">
        <x:v>1</x:v>
      </x:c>
      <x:c r="M3620" s="28" t="n">
        <x:v>6</x:v>
      </x:c>
      <x:c r="N3620" s="28" t="n">
        <x:v>4</x:v>
      </x:c>
      <x:c r="O3620" s="28" t="n">
        <x:v>0</x:v>
      </x:c>
      <x:c r="P3620" s="28" t="n">
        <x:v>1</x:v>
      </x:c>
      <x:c r="Q3620" s="24" t="n">
        <x:f>IFERROR(J3620/H3620,0)</x:f>
        <x:v>0.4444444444444444</x:v>
      </x:c>
      <x:c r="R3620" s="24" t="n">
        <x:f>IFERROR(F3620/H3620,0)</x:f>
        <x:v>0.2222222222222222</x:v>
      </x:c>
      <x:c r="S3620" s="24" t="n">
        <x:f>IFERROR(F3620/J3620,0)</x:f>
        <x:v>0.5</x:v>
      </x:c>
      <x:c r="T3620" s="28" t="n">
        <x:f>H3620-I3620</x:f>
        <x:v>-12</x:v>
      </x:c>
      <x:c r="U3620" s="24" t="n">
        <x:f>IFERROR(J3620/H3620,0)-IFERROR(K3620/I3620,0)</x:f>
        <x:v>0.1111111111111111</x:v>
      </x:c>
      <x:c r="V3620" s="24" t="n">
        <x:f>IFERROR(F3620/J3620,0)-IFERROR(G3620/K3620,0)</x:f>
        <x:v>0.2142857142857143</x:v>
      </x:c>
      <x:c r="W3620" s="28" t="n">
        <x:f>L3620-M3620</x:f>
        <x:v>-5</x:v>
      </x:c>
      <x:c r="X3620" s="24" t="n">
        <x:f>IFERROR(K3620/I3620,0)</x:f>
        <x:v>0.3333333333333333</x:v>
      </x:c>
      <x:c r="Y3620" s="24" t="n">
        <x:f>IFERROR(G3620/I3620,0)</x:f>
        <x:v>0.09523809523809523</x:v>
      </x:c>
      <x:c r="Z3620" s="24" t="n">
        <x:f>IFERROR(G3620/K3620,0)</x:f>
        <x:v>0.2857142857142857</x:v>
      </x:c>
      <x:c r="AA3620" s="24" t="n">
        <x:f>IFERROR(F3620/H3620,0)-IFERROR(G3620/I3620,0)</x:f>
        <x:v>0.12698412698412698</x:v>
      </x:c>
      <x:c r="AB3620" s="28" t="n">
        <x:f>J3620-K3620</x:f>
        <x:v>-3</x:v>
      </x:c>
      <x:c r="AC3620" s="32" t="n">
        <x:f>F3620-G3620</x:f>
        <x:v>0</x:v>
      </x:c>
    </x:row>
    <x:row r="3621">
      <x:c r="A3621" s="4" t="str">
        <x:v>2025-26</x:v>
      </x:c>
      <x:c r="B3621" s="20" t="n">
        <x:v>46085</x:v>
      </x:c>
      <x:c r="C3621" s="4" t="str">
        <x:v>West Ham</x:v>
      </x:c>
      <x:c r="D3621" s="4" t="str">
        <x:v>Fulham</x:v>
      </x:c>
      <x:c r="E3621" s="4" t="str">
        <x:v>Away</x:v>
      </x:c>
      <x:c r="F3621" s="28" t="n">
        <x:v>1</x:v>
      </x:c>
      <x:c r="G3621" s="28" t="n">
        <x:v>0</x:v>
      </x:c>
      <x:c r="H3621" s="28" t="n">
        <x:v>9</x:v>
      </x:c>
      <x:c r="I3621" s="28" t="n">
        <x:v>13</x:v>
      </x:c>
      <x:c r="J3621" s="28" t="n">
        <x:v>3</x:v>
      </x:c>
      <x:c r="K3621" s="28" t="n">
        <x:v>5</x:v>
      </x:c>
      <x:c r="L3621" s="28" t="n">
        <x:v>5</x:v>
      </x:c>
      <x:c r="M3621" s="28" t="n">
        <x:v>7</x:v>
      </x:c>
      <x:c r="N3621" s="28" t="n">
        <x:v>4</x:v>
      </x:c>
      <x:c r="O3621" s="28" t="n">
        <x:v>0</x:v>
      </x:c>
      <x:c r="P3621" s="28" t="n">
        <x:v>3</x:v>
      </x:c>
      <x:c r="Q3621" s="24" t="n">
        <x:f>IFERROR(J3621/H3621,0)</x:f>
        <x:v>0.3333333333333333</x:v>
      </x:c>
      <x:c r="R3621" s="24" t="n">
        <x:f>IFERROR(F3621/H3621,0)</x:f>
        <x:v>0.1111111111111111</x:v>
      </x:c>
      <x:c r="S3621" s="24" t="n">
        <x:f>IFERROR(F3621/J3621,0)</x:f>
        <x:v>0.3333333333333333</x:v>
      </x:c>
      <x:c r="T3621" s="28" t="n">
        <x:f>H3621-I3621</x:f>
        <x:v>-4</x:v>
      </x:c>
      <x:c r="U3621" s="24" t="n">
        <x:f>IFERROR(J3621/H3621,0)-IFERROR(K3621/I3621,0)</x:f>
        <x:v>-0.05128205128205132</x:v>
      </x:c>
      <x:c r="V3621" s="24" t="n">
        <x:f>IFERROR(F3621/J3621,0)-IFERROR(G3621/K3621,0)</x:f>
        <x:v>0.3333333333333333</x:v>
      </x:c>
      <x:c r="W3621" s="28" t="n">
        <x:f>L3621-M3621</x:f>
        <x:v>-2</x:v>
      </x:c>
      <x:c r="X3621" s="24" t="n">
        <x:f>IFERROR(K3621/I3621,0)</x:f>
        <x:v>0.38461538461538464</x:v>
      </x:c>
      <x:c r="Y3621" s="24" t="n">
        <x:f>IFERROR(G3621/I3621,0)</x:f>
        <x:v>0</x:v>
      </x:c>
      <x:c r="Z3621" s="24" t="n">
        <x:f>IFERROR(G3621/K3621,0)</x:f>
        <x:v>0</x:v>
      </x:c>
      <x:c r="AA3621" s="24" t="n">
        <x:f>IFERROR(F3621/H3621,0)-IFERROR(G3621/I3621,0)</x:f>
        <x:v>0.1111111111111111</x:v>
      </x:c>
      <x:c r="AB3621" s="28" t="n">
        <x:f>J3621-K3621</x:f>
        <x:v>-2</x:v>
      </x:c>
      <x:c r="AC3621" s="32" t="n">
        <x:f>F3621-G3621</x:f>
        <x:v>1</x:v>
      </x:c>
    </x:row>
    <x:row r="3622">
      <x:c r="A3622" s="4" t="str">
        <x:v>2025-26</x:v>
      </x:c>
      <x:c r="B3622" s="20" t="n">
        <x:v>46086</x:v>
      </x:c>
      <x:c r="C3622" s="4" t="str">
        <x:v>Crystal Palace</x:v>
      </x:c>
      <x:c r="D3622" s="4" t="str">
        <x:v>Tottenham</x:v>
      </x:c>
      <x:c r="E3622" s="4" t="str">
        <x:v>Away</x:v>
      </x:c>
      <x:c r="F3622" s="28" t="n">
        <x:v>3</x:v>
      </x:c>
      <x:c r="G3622" s="28" t="n">
        <x:v>1</x:v>
      </x:c>
      <x:c r="H3622" s="28" t="n">
        <x:v>9</x:v>
      </x:c>
      <x:c r="I3622" s="28" t="n">
        <x:v>12</x:v>
      </x:c>
      <x:c r="J3622" s="28" t="n">
        <x:v>4</x:v>
      </x:c>
      <x:c r="K3622" s="28" t="n">
        <x:v>4</x:v>
      </x:c>
      <x:c r="L3622" s="28" t="n">
        <x:v>3</x:v>
      </x:c>
      <x:c r="M3622" s="28" t="n">
        <x:v>6</x:v>
      </x:c>
      <x:c r="N3622" s="28" t="n">
        <x:v>2</x:v>
      </x:c>
      <x:c r="O3622" s="28" t="n">
        <x:v>0</x:v>
      </x:c>
      <x:c r="P3622" s="28" t="n">
        <x:v>3</x:v>
      </x:c>
      <x:c r="Q3622" s="24" t="n">
        <x:f>IFERROR(J3622/H3622,0)</x:f>
        <x:v>0.4444444444444444</x:v>
      </x:c>
      <x:c r="R3622" s="24" t="n">
        <x:f>IFERROR(F3622/H3622,0)</x:f>
        <x:v>0.3333333333333333</x:v>
      </x:c>
      <x:c r="S3622" s="24" t="n">
        <x:f>IFERROR(F3622/J3622,0)</x:f>
        <x:v>0.75</x:v>
      </x:c>
      <x:c r="T3622" s="28" t="n">
        <x:f>H3622-I3622</x:f>
        <x:v>-3</x:v>
      </x:c>
      <x:c r="U3622" s="24" t="n">
        <x:f>IFERROR(J3622/H3622,0)-IFERROR(K3622/I3622,0)</x:f>
        <x:v>0.1111111111111111</x:v>
      </x:c>
      <x:c r="V3622" s="24" t="n">
        <x:f>IFERROR(F3622/J3622,0)-IFERROR(G3622/K3622,0)</x:f>
        <x:v>0.5</x:v>
      </x:c>
      <x:c r="W3622" s="28" t="n">
        <x:f>L3622-M3622</x:f>
        <x:v>-3</x:v>
      </x:c>
      <x:c r="X3622" s="24" t="n">
        <x:f>IFERROR(K3622/I3622,0)</x:f>
        <x:v>0.3333333333333333</x:v>
      </x:c>
      <x:c r="Y3622" s="24" t="n">
        <x:f>IFERROR(G3622/I3622,0)</x:f>
        <x:v>0.08333333333333333</x:v>
      </x:c>
      <x:c r="Z3622" s="24" t="n">
        <x:f>IFERROR(G3622/K3622,0)</x:f>
        <x:v>0.25</x:v>
      </x:c>
      <x:c r="AA3622" s="24" t="n">
        <x:f>IFERROR(F3622/H3622,0)-IFERROR(G3622/I3622,0)</x:f>
        <x:v>0.25</x:v>
      </x:c>
      <x:c r="AB3622" s="28" t="n">
        <x:f>J3622-K3622</x:f>
        <x:v>0</x:v>
      </x:c>
      <x:c r="AC3622" s="32" t="n">
        <x:f>F3622-G3622</x:f>
        <x:v>2</x:v>
      </x:c>
    </x:row>
    <x:row r="3623">
      <x:c r="A3623" s="4" t="str">
        <x:v>2025-26</x:v>
      </x:c>
      <x:c r="B3623" s="20" t="n">
        <x:v>46086</x:v>
      </x:c>
      <x:c r="C3623" s="4" t="str">
        <x:v>Tottenham</x:v>
      </x:c>
      <x:c r="D3623" s="4" t="str">
        <x:v>Crystal Palace</x:v>
      </x:c>
      <x:c r="E3623" s="4" t="str">
        <x:v>Home</x:v>
      </x:c>
      <x:c r="F3623" s="28" t="n">
        <x:v>1</x:v>
      </x:c>
      <x:c r="G3623" s="28" t="n">
        <x:v>3</x:v>
      </x:c>
      <x:c r="H3623" s="28" t="n">
        <x:v>12</x:v>
      </x:c>
      <x:c r="I3623" s="28" t="n">
        <x:v>9</x:v>
      </x:c>
      <x:c r="J3623" s="28" t="n">
        <x:v>4</x:v>
      </x:c>
      <x:c r="K3623" s="28" t="n">
        <x:v>4</x:v>
      </x:c>
      <x:c r="L3623" s="28" t="n">
        <x:v>6</x:v>
      </x:c>
      <x:c r="M3623" s="28" t="n">
        <x:v>3</x:v>
      </x:c>
      <x:c r="N3623" s="28" t="n">
        <x:v>3</x:v>
      </x:c>
      <x:c r="O3623" s="28" t="n">
        <x:v>0</x:v>
      </x:c>
      <x:c r="P3623" s="28" t="n">
        <x:v>0</x:v>
      </x:c>
      <x:c r="Q3623" s="24" t="n">
        <x:f>IFERROR(J3623/H3623,0)</x:f>
        <x:v>0.3333333333333333</x:v>
      </x:c>
      <x:c r="R3623" s="24" t="n">
        <x:f>IFERROR(F3623/H3623,0)</x:f>
        <x:v>0.08333333333333333</x:v>
      </x:c>
      <x:c r="S3623" s="24" t="n">
        <x:f>IFERROR(F3623/J3623,0)</x:f>
        <x:v>0.25</x:v>
      </x:c>
      <x:c r="T3623" s="28" t="n">
        <x:f>H3623-I3623</x:f>
        <x:v>3</x:v>
      </x:c>
      <x:c r="U3623" s="24" t="n">
        <x:f>IFERROR(J3623/H3623,0)-IFERROR(K3623/I3623,0)</x:f>
        <x:v>-0.1111111111111111</x:v>
      </x:c>
      <x:c r="V3623" s="24" t="n">
        <x:f>IFERROR(F3623/J3623,0)-IFERROR(G3623/K3623,0)</x:f>
        <x:v>-0.5</x:v>
      </x:c>
      <x:c r="W3623" s="28" t="n">
        <x:f>L3623-M3623</x:f>
        <x:v>3</x:v>
      </x:c>
      <x:c r="X3623" s="24" t="n">
        <x:f>IFERROR(K3623/I3623,0)</x:f>
        <x:v>0.4444444444444444</x:v>
      </x:c>
      <x:c r="Y3623" s="24" t="n">
        <x:f>IFERROR(G3623/I3623,0)</x:f>
        <x:v>0.3333333333333333</x:v>
      </x:c>
      <x:c r="Z3623" s="24" t="n">
        <x:f>IFERROR(G3623/K3623,0)</x:f>
        <x:v>0.75</x:v>
      </x:c>
      <x:c r="AA3623" s="24" t="n">
        <x:f>IFERROR(F3623/H3623,0)-IFERROR(G3623/I3623,0)</x:f>
        <x:v>-0.25</x:v>
      </x:c>
      <x:c r="AB3623" s="28" t="n">
        <x:f>J3623-K3623</x:f>
        <x:v>0</x:v>
      </x:c>
      <x:c r="AC3623" s="32" t="n">
        <x:f>F3623-G3623</x:f>
        <x:v>-2</x:v>
      </x:c>
    </x:row>
    <x:row r="3624">
      <x:c r="A3624" s="4" t="str">
        <x:v>2025-26</x:v>
      </x:c>
      <x:c r="B3624" s="20" t="n">
        <x:v>46095</x:v>
      </x:c>
      <x:c r="C3624" s="4" t="str">
        <x:v>Arsenal</x:v>
      </x:c>
      <x:c r="D3624" s="4" t="str">
        <x:v>Everton</x:v>
      </x:c>
      <x:c r="E3624" s="4" t="str">
        <x:v>Home</x:v>
      </x:c>
      <x:c r="F3624" s="28" t="n">
        <x:v>2</x:v>
      </x:c>
      <x:c r="G3624" s="28" t="n">
        <x:v>0</x:v>
      </x:c>
      <x:c r="H3624" s="28" t="n">
        <x:v>25</x:v>
      </x:c>
      <x:c r="I3624" s="28" t="n">
        <x:v>9</x:v>
      </x:c>
      <x:c r="J3624" s="28" t="n">
        <x:v>7</x:v>
      </x:c>
      <x:c r="K3624" s="28" t="n">
        <x:v>3</x:v>
      </x:c>
      <x:c r="L3624" s="28" t="n">
        <x:v>8</x:v>
      </x:c>
      <x:c r="M3624" s="28" t="n">
        <x:v>3</x:v>
      </x:c>
      <x:c r="N3624" s="28" t="n">
        <x:v>0</x:v>
      </x:c>
      <x:c r="O3624" s="28" t="n">
        <x:v>0</x:v>
      </x:c>
      <x:c r="P3624" s="28" t="n">
        <x:v>3</x:v>
      </x:c>
      <x:c r="Q3624" s="24" t="n">
        <x:f>IFERROR(J3624/H3624,0)</x:f>
        <x:v>0.28</x:v>
      </x:c>
      <x:c r="R3624" s="24" t="n">
        <x:f>IFERROR(F3624/H3624,0)</x:f>
        <x:v>0.08</x:v>
      </x:c>
      <x:c r="S3624" s="24" t="n">
        <x:f>IFERROR(F3624/J3624,0)</x:f>
        <x:v>0.2857142857142857</x:v>
      </x:c>
      <x:c r="T3624" s="28" t="n">
        <x:f>H3624-I3624</x:f>
        <x:v>16</x:v>
      </x:c>
      <x:c r="U3624" s="24" t="n">
        <x:f>IFERROR(J3624/H3624,0)-IFERROR(K3624/I3624,0)</x:f>
        <x:v>-0.05333333333333329</x:v>
      </x:c>
      <x:c r="V3624" s="24" t="n">
        <x:f>IFERROR(F3624/J3624,0)-IFERROR(G3624/K3624,0)</x:f>
        <x:v>0.2857142857142857</x:v>
      </x:c>
      <x:c r="W3624" s="28" t="n">
        <x:f>L3624-M3624</x:f>
        <x:v>5</x:v>
      </x:c>
      <x:c r="X3624" s="24" t="n">
        <x:f>IFERROR(K3624/I3624,0)</x:f>
        <x:v>0.3333333333333333</x:v>
      </x:c>
      <x:c r="Y3624" s="24" t="n">
        <x:f>IFERROR(G3624/I3624,0)</x:f>
        <x:v>0</x:v>
      </x:c>
      <x:c r="Z3624" s="24" t="n">
        <x:f>IFERROR(G3624/K3624,0)</x:f>
        <x:v>0</x:v>
      </x:c>
      <x:c r="AA3624" s="24" t="n">
        <x:f>IFERROR(F3624/H3624,0)-IFERROR(G3624/I3624,0)</x:f>
        <x:v>0.08</x:v>
      </x:c>
      <x:c r="AB3624" s="28" t="n">
        <x:f>J3624-K3624</x:f>
        <x:v>4</x:v>
      </x:c>
      <x:c r="AC3624" s="32" t="n">
        <x:f>F3624-G3624</x:f>
        <x:v>2</x:v>
      </x:c>
    </x:row>
    <x:row r="3625">
      <x:c r="A3625" s="4" t="str">
        <x:v>2025-26</x:v>
      </x:c>
      <x:c r="B3625" s="20" t="n">
        <x:v>46095</x:v>
      </x:c>
      <x:c r="C3625" s="4" t="str">
        <x:v>Bournemouth</x:v>
      </x:c>
      <x:c r="D3625" s="4" t="str">
        <x:v>Burnley</x:v>
      </x:c>
      <x:c r="E3625" s="4" t="str">
        <x:v>Away</x:v>
      </x:c>
      <x:c r="F3625" s="28" t="n">
        <x:v>0</x:v>
      </x:c>
      <x:c r="G3625" s="28" t="n">
        <x:v>0</x:v>
      </x:c>
      <x:c r="H3625" s="28" t="n">
        <x:v>22</x:v>
      </x:c>
      <x:c r="I3625" s="28" t="n">
        <x:v>15</x:v>
      </x:c>
      <x:c r="J3625" s="28" t="n">
        <x:v>3</x:v>
      </x:c>
      <x:c r="K3625" s="28" t="n">
        <x:v>2</x:v>
      </x:c>
      <x:c r="L3625" s="28" t="n">
        <x:v>8</x:v>
      </x:c>
      <x:c r="M3625" s="28" t="n">
        <x:v>5</x:v>
      </x:c>
      <x:c r="N3625" s="28" t="n">
        <x:v>0</x:v>
      </x:c>
      <x:c r="O3625" s="28" t="n">
        <x:v>0</x:v>
      </x:c>
      <x:c r="P3625" s="28" t="n">
        <x:v>1</x:v>
      </x:c>
      <x:c r="Q3625" s="24" t="n">
        <x:f>IFERROR(J3625/H3625,0)</x:f>
        <x:v>0.13636363636363635</x:v>
      </x:c>
      <x:c r="R3625" s="24" t="n">
        <x:f>IFERROR(F3625/H3625,0)</x:f>
        <x:v>0</x:v>
      </x:c>
      <x:c r="S3625" s="24" t="n">
        <x:f>IFERROR(F3625/J3625,0)</x:f>
        <x:v>0</x:v>
      </x:c>
      <x:c r="T3625" s="28" t="n">
        <x:f>H3625-I3625</x:f>
        <x:v>7</x:v>
      </x:c>
      <x:c r="U3625" s="24" t="n">
        <x:f>IFERROR(J3625/H3625,0)-IFERROR(K3625/I3625,0)</x:f>
        <x:v>0.003030303030303022</x:v>
      </x:c>
      <x:c r="V3625" s="24" t="n">
        <x:f>IFERROR(F3625/J3625,0)-IFERROR(G3625/K3625,0)</x:f>
        <x:v>0</x:v>
      </x:c>
      <x:c r="W3625" s="28" t="n">
        <x:f>L3625-M3625</x:f>
        <x:v>3</x:v>
      </x:c>
      <x:c r="X3625" s="24" t="n">
        <x:f>IFERROR(K3625/I3625,0)</x:f>
        <x:v>0.13333333333333333</x:v>
      </x:c>
      <x:c r="Y3625" s="24" t="n">
        <x:f>IFERROR(G3625/I3625,0)</x:f>
        <x:v>0</x:v>
      </x:c>
      <x:c r="Z3625" s="24" t="n">
        <x:f>IFERROR(G3625/K3625,0)</x:f>
        <x:v>0</x:v>
      </x:c>
      <x:c r="AA3625" s="24" t="n">
        <x:f>IFERROR(F3625/H3625,0)-IFERROR(G3625/I3625,0)</x:f>
        <x:v>0</x:v>
      </x:c>
      <x:c r="AB3625" s="28" t="n">
        <x:f>J3625-K3625</x:f>
        <x:v>1</x:v>
      </x:c>
      <x:c r="AC3625" s="32" t="n">
        <x:f>F3625-G3625</x:f>
        <x:v>0</x:v>
      </x:c>
    </x:row>
    <x:row r="3626">
      <x:c r="A3626" s="4" t="str">
        <x:v>2025-26</x:v>
      </x:c>
      <x:c r="B3626" s="20" t="n">
        <x:v>46095</x:v>
      </x:c>
      <x:c r="C3626" s="4" t="str">
        <x:v>Brighton</x:v>
      </x:c>
      <x:c r="D3626" s="4" t="str">
        <x:v>Sunderland</x:v>
      </x:c>
      <x:c r="E3626" s="4" t="str">
        <x:v>Away</x:v>
      </x:c>
      <x:c r="F3626" s="28" t="n">
        <x:v>1</x:v>
      </x:c>
      <x:c r="G3626" s="28" t="n">
        <x:v>0</x:v>
      </x:c>
      <x:c r="H3626" s="28" t="n">
        <x:v>12</x:v>
      </x:c>
      <x:c r="I3626" s="28" t="n">
        <x:v>14</x:v>
      </x:c>
      <x:c r="J3626" s="28" t="n">
        <x:v>4</x:v>
      </x:c>
      <x:c r="K3626" s="28" t="n">
        <x:v>4</x:v>
      </x:c>
      <x:c r="L3626" s="28" t="n">
        <x:v>3</x:v>
      </x:c>
      <x:c r="M3626" s="28" t="n">
        <x:v>7</x:v>
      </x:c>
      <x:c r="N3626" s="28" t="n">
        <x:v>2</x:v>
      </x:c>
      <x:c r="O3626" s="28" t="n">
        <x:v>0</x:v>
      </x:c>
      <x:c r="P3626" s="28" t="n">
        <x:v>3</x:v>
      </x:c>
      <x:c r="Q3626" s="24" t="n">
        <x:f>IFERROR(J3626/H3626,0)</x:f>
        <x:v>0.3333333333333333</x:v>
      </x:c>
      <x:c r="R3626" s="24" t="n">
        <x:f>IFERROR(F3626/H3626,0)</x:f>
        <x:v>0.08333333333333333</x:v>
      </x:c>
      <x:c r="S3626" s="24" t="n">
        <x:f>IFERROR(F3626/J3626,0)</x:f>
        <x:v>0.25</x:v>
      </x:c>
      <x:c r="T3626" s="28" t="n">
        <x:f>H3626-I3626</x:f>
        <x:v>-2</x:v>
      </x:c>
      <x:c r="U3626" s="24" t="n">
        <x:f>IFERROR(J3626/H3626,0)-IFERROR(K3626/I3626,0)</x:f>
        <x:v>0.047619047619047616</x:v>
      </x:c>
      <x:c r="V3626" s="24" t="n">
        <x:f>IFERROR(F3626/J3626,0)-IFERROR(G3626/K3626,0)</x:f>
        <x:v>0.25</x:v>
      </x:c>
      <x:c r="W3626" s="28" t="n">
        <x:f>L3626-M3626</x:f>
        <x:v>-4</x:v>
      </x:c>
      <x:c r="X3626" s="24" t="n">
        <x:f>IFERROR(K3626/I3626,0)</x:f>
        <x:v>0.2857142857142857</x:v>
      </x:c>
      <x:c r="Y3626" s="24" t="n">
        <x:f>IFERROR(G3626/I3626,0)</x:f>
        <x:v>0</x:v>
      </x:c>
      <x:c r="Z3626" s="24" t="n">
        <x:f>IFERROR(G3626/K3626,0)</x:f>
        <x:v>0</x:v>
      </x:c>
      <x:c r="AA3626" s="24" t="n">
        <x:f>IFERROR(F3626/H3626,0)-IFERROR(G3626/I3626,0)</x:f>
        <x:v>0.08333333333333333</x:v>
      </x:c>
      <x:c r="AB3626" s="28" t="n">
        <x:f>J3626-K3626</x:f>
        <x:v>0</x:v>
      </x:c>
      <x:c r="AC3626" s="32" t="n">
        <x:f>F3626-G3626</x:f>
        <x:v>1</x:v>
      </x:c>
    </x:row>
    <x:row r="3627">
      <x:c r="A3627" s="4" t="str">
        <x:v>2025-26</x:v>
      </x:c>
      <x:c r="B3627" s="20" t="n">
        <x:v>46095</x:v>
      </x:c>
      <x:c r="C3627" s="4" t="str">
        <x:v>Burnley</x:v>
      </x:c>
      <x:c r="D3627" s="4" t="str">
        <x:v>Bournemouth</x:v>
      </x:c>
      <x:c r="E3627" s="4" t="str">
        <x:v>Home</x:v>
      </x:c>
      <x:c r="F3627" s="28" t="n">
        <x:v>0</x:v>
      </x:c>
      <x:c r="G3627" s="28" t="n">
        <x:v>0</x:v>
      </x:c>
      <x:c r="H3627" s="28" t="n">
        <x:v>15</x:v>
      </x:c>
      <x:c r="I3627" s="28" t="n">
        <x:v>22</x:v>
      </x:c>
      <x:c r="J3627" s="28" t="n">
        <x:v>2</x:v>
      </x:c>
      <x:c r="K3627" s="28" t="n">
        <x:v>3</x:v>
      </x:c>
      <x:c r="L3627" s="28" t="n">
        <x:v>5</x:v>
      </x:c>
      <x:c r="M3627" s="28" t="n">
        <x:v>8</x:v>
      </x:c>
      <x:c r="N3627" s="28" t="n">
        <x:v>1</x:v>
      </x:c>
      <x:c r="O3627" s="28" t="n">
        <x:v>0</x:v>
      </x:c>
      <x:c r="P3627" s="28" t="n">
        <x:v>1</x:v>
      </x:c>
      <x:c r="Q3627" s="24" t="n">
        <x:f>IFERROR(J3627/H3627,0)</x:f>
        <x:v>0.13333333333333333</x:v>
      </x:c>
      <x:c r="R3627" s="24" t="n">
        <x:f>IFERROR(F3627/H3627,0)</x:f>
        <x:v>0</x:v>
      </x:c>
      <x:c r="S3627" s="24" t="n">
        <x:f>IFERROR(F3627/J3627,0)</x:f>
        <x:v>0</x:v>
      </x:c>
      <x:c r="T3627" s="28" t="n">
        <x:f>H3627-I3627</x:f>
        <x:v>-7</x:v>
      </x:c>
      <x:c r="U3627" s="24" t="n">
        <x:f>IFERROR(J3627/H3627,0)-IFERROR(K3627/I3627,0)</x:f>
        <x:v>-0.003030303030303022</x:v>
      </x:c>
      <x:c r="V3627" s="24" t="n">
        <x:f>IFERROR(F3627/J3627,0)-IFERROR(G3627/K3627,0)</x:f>
        <x:v>0</x:v>
      </x:c>
      <x:c r="W3627" s="28" t="n">
        <x:f>L3627-M3627</x:f>
        <x:v>-3</x:v>
      </x:c>
      <x:c r="X3627" s="24" t="n">
        <x:f>IFERROR(K3627/I3627,0)</x:f>
        <x:v>0.13636363636363635</x:v>
      </x:c>
      <x:c r="Y3627" s="24" t="n">
        <x:f>IFERROR(G3627/I3627,0)</x:f>
        <x:v>0</x:v>
      </x:c>
      <x:c r="Z3627" s="24" t="n">
        <x:f>IFERROR(G3627/K3627,0)</x:f>
        <x:v>0</x:v>
      </x:c>
      <x:c r="AA3627" s="24" t="n">
        <x:f>IFERROR(F3627/H3627,0)-IFERROR(G3627/I3627,0)</x:f>
        <x:v>0</x:v>
      </x:c>
      <x:c r="AB3627" s="28" t="n">
        <x:f>J3627-K3627</x:f>
        <x:v>-1</x:v>
      </x:c>
      <x:c r="AC3627" s="32" t="n">
        <x:f>F3627-G3627</x:f>
        <x:v>0</x:v>
      </x:c>
    </x:row>
    <x:row r="3628">
      <x:c r="A3628" s="4" t="str">
        <x:v>2025-26</x:v>
      </x:c>
      <x:c r="B3628" s="20" t="n">
        <x:v>46095</x:v>
      </x:c>
      <x:c r="C3628" s="4" t="str">
        <x:v>Chelsea</x:v>
      </x:c>
      <x:c r="D3628" s="4" t="str">
        <x:v>Newcastle</x:v>
      </x:c>
      <x:c r="E3628" s="4" t="str">
        <x:v>Home</x:v>
      </x:c>
      <x:c r="F3628" s="28" t="n">
        <x:v>0</x:v>
      </x:c>
      <x:c r="G3628" s="28" t="n">
        <x:v>1</x:v>
      </x:c>
      <x:c r="H3628" s="28" t="n">
        <x:v>22</x:v>
      </x:c>
      <x:c r="I3628" s="28" t="n">
        <x:v>7</x:v>
      </x:c>
      <x:c r="J3628" s="28" t="n">
        <x:v>3</x:v>
      </x:c>
      <x:c r="K3628" s="28" t="n">
        <x:v>5</x:v>
      </x:c>
      <x:c r="L3628" s="28" t="n">
        <x:v>8</x:v>
      </x:c>
      <x:c r="M3628" s="28" t="n">
        <x:v>1</x:v>
      </x:c>
      <x:c r="N3628" s="28" t="n">
        <x:v>2</x:v>
      </x:c>
      <x:c r="O3628" s="28" t="n">
        <x:v>0</x:v>
      </x:c>
      <x:c r="P3628" s="28" t="n">
        <x:v>0</x:v>
      </x:c>
      <x:c r="Q3628" s="24" t="n">
        <x:f>IFERROR(J3628/H3628,0)</x:f>
        <x:v>0.13636363636363635</x:v>
      </x:c>
      <x:c r="R3628" s="24" t="n">
        <x:f>IFERROR(F3628/H3628,0)</x:f>
        <x:v>0</x:v>
      </x:c>
      <x:c r="S3628" s="24" t="n">
        <x:f>IFERROR(F3628/J3628,0)</x:f>
        <x:v>0</x:v>
      </x:c>
      <x:c r="T3628" s="28" t="n">
        <x:f>H3628-I3628</x:f>
        <x:v>15</x:v>
      </x:c>
      <x:c r="U3628" s="24" t="n">
        <x:f>IFERROR(J3628/H3628,0)-IFERROR(K3628/I3628,0)</x:f>
        <x:v>-0.577922077922078</x:v>
      </x:c>
      <x:c r="V3628" s="24" t="n">
        <x:f>IFERROR(F3628/J3628,0)-IFERROR(G3628/K3628,0)</x:f>
        <x:v>-0.2</x:v>
      </x:c>
      <x:c r="W3628" s="28" t="n">
        <x:f>L3628-M3628</x:f>
        <x:v>7</x:v>
      </x:c>
      <x:c r="X3628" s="24" t="n">
        <x:f>IFERROR(K3628/I3628,0)</x:f>
        <x:v>0.7142857142857143</x:v>
      </x:c>
      <x:c r="Y3628" s="24" t="n">
        <x:f>IFERROR(G3628/I3628,0)</x:f>
        <x:v>0.14285714285714285</x:v>
      </x:c>
      <x:c r="Z3628" s="24" t="n">
        <x:f>IFERROR(G3628/K3628,0)</x:f>
        <x:v>0.2</x:v>
      </x:c>
      <x:c r="AA3628" s="24" t="n">
        <x:f>IFERROR(F3628/H3628,0)-IFERROR(G3628/I3628,0)</x:f>
        <x:v>-0.14285714285714285</x:v>
      </x:c>
      <x:c r="AB3628" s="28" t="n">
        <x:f>J3628-K3628</x:f>
        <x:v>-2</x:v>
      </x:c>
      <x:c r="AC3628" s="32" t="n">
        <x:f>F3628-G3628</x:f>
        <x:v>-1</x:v>
      </x:c>
    </x:row>
    <x:row r="3629">
      <x:c r="A3629" s="4" t="str">
        <x:v>2025-26</x:v>
      </x:c>
      <x:c r="B3629" s="20" t="n">
        <x:v>46095</x:v>
      </x:c>
      <x:c r="C3629" s="4" t="str">
        <x:v>Everton</x:v>
      </x:c>
      <x:c r="D3629" s="4" t="str">
        <x:v>Arsenal</x:v>
      </x:c>
      <x:c r="E3629" s="4" t="str">
        <x:v>Away</x:v>
      </x:c>
      <x:c r="F3629" s="28" t="n">
        <x:v>0</x:v>
      </x:c>
      <x:c r="G3629" s="28" t="n">
        <x:v>2</x:v>
      </x:c>
      <x:c r="H3629" s="28" t="n">
        <x:v>9</x:v>
      </x:c>
      <x:c r="I3629" s="28" t="n">
        <x:v>25</x:v>
      </x:c>
      <x:c r="J3629" s="28" t="n">
        <x:v>3</x:v>
      </x:c>
      <x:c r="K3629" s="28" t="n">
        <x:v>7</x:v>
      </x:c>
      <x:c r="L3629" s="28" t="n">
        <x:v>3</x:v>
      </x:c>
      <x:c r="M3629" s="28" t="n">
        <x:v>8</x:v>
      </x:c>
      <x:c r="N3629" s="28" t="n">
        <x:v>0</x:v>
      </x:c>
      <x:c r="O3629" s="28" t="n">
        <x:v>0</x:v>
      </x:c>
      <x:c r="P3629" s="28" t="n">
        <x:v>0</x:v>
      </x:c>
      <x:c r="Q3629" s="24" t="n">
        <x:f>IFERROR(J3629/H3629,0)</x:f>
        <x:v>0.3333333333333333</x:v>
      </x:c>
      <x:c r="R3629" s="24" t="n">
        <x:f>IFERROR(F3629/H3629,0)</x:f>
        <x:v>0</x:v>
      </x:c>
      <x:c r="S3629" s="24" t="n">
        <x:f>IFERROR(F3629/J3629,0)</x:f>
        <x:v>0</x:v>
      </x:c>
      <x:c r="T3629" s="28" t="n">
        <x:f>H3629-I3629</x:f>
        <x:v>-16</x:v>
      </x:c>
      <x:c r="U3629" s="24" t="n">
        <x:f>IFERROR(J3629/H3629,0)-IFERROR(K3629/I3629,0)</x:f>
        <x:v>0.05333333333333329</x:v>
      </x:c>
      <x:c r="V3629" s="24" t="n">
        <x:f>IFERROR(F3629/J3629,0)-IFERROR(G3629/K3629,0)</x:f>
        <x:v>-0.2857142857142857</x:v>
      </x:c>
      <x:c r="W3629" s="28" t="n">
        <x:f>L3629-M3629</x:f>
        <x:v>-5</x:v>
      </x:c>
      <x:c r="X3629" s="24" t="n">
        <x:f>IFERROR(K3629/I3629,0)</x:f>
        <x:v>0.28</x:v>
      </x:c>
      <x:c r="Y3629" s="24" t="n">
        <x:f>IFERROR(G3629/I3629,0)</x:f>
        <x:v>0.08</x:v>
      </x:c>
      <x:c r="Z3629" s="24" t="n">
        <x:f>IFERROR(G3629/K3629,0)</x:f>
        <x:v>0.2857142857142857</x:v>
      </x:c>
      <x:c r="AA3629" s="24" t="n">
        <x:f>IFERROR(F3629/H3629,0)-IFERROR(G3629/I3629,0)</x:f>
        <x:v>-0.08</x:v>
      </x:c>
      <x:c r="AB3629" s="28" t="n">
        <x:f>J3629-K3629</x:f>
        <x:v>-4</x:v>
      </x:c>
      <x:c r="AC3629" s="32" t="n">
        <x:f>F3629-G3629</x:f>
        <x:v>-2</x:v>
      </x:c>
    </x:row>
    <x:row r="3630">
      <x:c r="A3630" s="4" t="str">
        <x:v>2025-26</x:v>
      </x:c>
      <x:c r="B3630" s="20" t="n">
        <x:v>46095</x:v>
      </x:c>
      <x:c r="C3630" s="4" t="str">
        <x:v>Man City</x:v>
      </x:c>
      <x:c r="D3630" s="4" t="str">
        <x:v>West Ham</x:v>
      </x:c>
      <x:c r="E3630" s="4" t="str">
        <x:v>Away</x:v>
      </x:c>
      <x:c r="F3630" s="28" t="n">
        <x:v>1</x:v>
      </x:c>
      <x:c r="G3630" s="28" t="n">
        <x:v>1</x:v>
      </x:c>
      <x:c r="H3630" s="28" t="n">
        <x:v>24</x:v>
      </x:c>
      <x:c r="I3630" s="28" t="n">
        <x:v>1</x:v>
      </x:c>
      <x:c r="J3630" s="28" t="n">
        <x:v>6</x:v>
      </x:c>
      <x:c r="K3630" s="28" t="n">
        <x:v>1</x:v>
      </x:c>
      <x:c r="L3630" s="28" t="n">
        <x:v>15</x:v>
      </x:c>
      <x:c r="M3630" s="28" t="n">
        <x:v>1</x:v>
      </x:c>
      <x:c r="N3630" s="28" t="n">
        <x:v>2</x:v>
      </x:c>
      <x:c r="O3630" s="28" t="n">
        <x:v>0</x:v>
      </x:c>
      <x:c r="P3630" s="28" t="n">
        <x:v>1</x:v>
      </x:c>
      <x:c r="Q3630" s="24" t="n">
        <x:f>IFERROR(J3630/H3630,0)</x:f>
        <x:v>0.25</x:v>
      </x:c>
      <x:c r="R3630" s="24" t="n">
        <x:f>IFERROR(F3630/H3630,0)</x:f>
        <x:v>0.041666666666666664</x:v>
      </x:c>
      <x:c r="S3630" s="24" t="n">
        <x:f>IFERROR(F3630/J3630,0)</x:f>
        <x:v>0.16666666666666666</x:v>
      </x:c>
      <x:c r="T3630" s="28" t="n">
        <x:f>H3630-I3630</x:f>
        <x:v>23</x:v>
      </x:c>
      <x:c r="U3630" s="24" t="n">
        <x:f>IFERROR(J3630/H3630,0)-IFERROR(K3630/I3630,0)</x:f>
        <x:v>-0.75</x:v>
      </x:c>
      <x:c r="V3630" s="24" t="n">
        <x:f>IFERROR(F3630/J3630,0)-IFERROR(G3630/K3630,0)</x:f>
        <x:v>-0.8333333333333334</x:v>
      </x:c>
      <x:c r="W3630" s="28" t="n">
        <x:f>L3630-M3630</x:f>
        <x:v>14</x:v>
      </x:c>
      <x:c r="X3630" s="24" t="n">
        <x:f>IFERROR(K3630/I3630,0)</x:f>
        <x:v>1</x:v>
      </x:c>
      <x:c r="Y3630" s="24" t="n">
        <x:f>IFERROR(G3630/I3630,0)</x:f>
        <x:v>1</x:v>
      </x:c>
      <x:c r="Z3630" s="24" t="n">
        <x:f>IFERROR(G3630/K3630,0)</x:f>
        <x:v>1</x:v>
      </x:c>
      <x:c r="AA3630" s="24" t="n">
        <x:f>IFERROR(F3630/H3630,0)-IFERROR(G3630/I3630,0)</x:f>
        <x:v>-0.9583333333333334</x:v>
      </x:c>
      <x:c r="AB3630" s="28" t="n">
        <x:f>J3630-K3630</x:f>
        <x:v>5</x:v>
      </x:c>
      <x:c r="AC3630" s="32" t="n">
        <x:f>F3630-G3630</x:f>
        <x:v>0</x:v>
      </x:c>
    </x:row>
    <x:row r="3631">
      <x:c r="A3631" s="4" t="str">
        <x:v>2025-26</x:v>
      </x:c>
      <x:c r="B3631" s="20" t="n">
        <x:v>46095</x:v>
      </x:c>
      <x:c r="C3631" s="4" t="str">
        <x:v>Newcastle</x:v>
      </x:c>
      <x:c r="D3631" s="4" t="str">
        <x:v>Chelsea</x:v>
      </x:c>
      <x:c r="E3631" s="4" t="str">
        <x:v>Away</x:v>
      </x:c>
      <x:c r="F3631" s="28" t="n">
        <x:v>1</x:v>
      </x:c>
      <x:c r="G3631" s="28" t="n">
        <x:v>0</x:v>
      </x:c>
      <x:c r="H3631" s="28" t="n">
        <x:v>7</x:v>
      </x:c>
      <x:c r="I3631" s="28" t="n">
        <x:v>22</x:v>
      </x:c>
      <x:c r="J3631" s="28" t="n">
        <x:v>5</x:v>
      </x:c>
      <x:c r="K3631" s="28" t="n">
        <x:v>3</x:v>
      </x:c>
      <x:c r="L3631" s="28" t="n">
        <x:v>1</x:v>
      </x:c>
      <x:c r="M3631" s="28" t="n">
        <x:v>8</x:v>
      </x:c>
      <x:c r="N3631" s="28" t="n">
        <x:v>2</x:v>
      </x:c>
      <x:c r="O3631" s="28" t="n">
        <x:v>0</x:v>
      </x:c>
      <x:c r="P3631" s="28" t="n">
        <x:v>3</x:v>
      </x:c>
      <x:c r="Q3631" s="24" t="n">
        <x:f>IFERROR(J3631/H3631,0)</x:f>
        <x:v>0.7142857142857143</x:v>
      </x:c>
      <x:c r="R3631" s="24" t="n">
        <x:f>IFERROR(F3631/H3631,0)</x:f>
        <x:v>0.14285714285714285</x:v>
      </x:c>
      <x:c r="S3631" s="24" t="n">
        <x:f>IFERROR(F3631/J3631,0)</x:f>
        <x:v>0.2</x:v>
      </x:c>
      <x:c r="T3631" s="28" t="n">
        <x:f>H3631-I3631</x:f>
        <x:v>-15</x:v>
      </x:c>
      <x:c r="U3631" s="24" t="n">
        <x:f>IFERROR(J3631/H3631,0)-IFERROR(K3631/I3631,0)</x:f>
        <x:v>0.577922077922078</x:v>
      </x:c>
      <x:c r="V3631" s="24" t="n">
        <x:f>IFERROR(F3631/J3631,0)-IFERROR(G3631/K3631,0)</x:f>
        <x:v>0.2</x:v>
      </x:c>
      <x:c r="W3631" s="28" t="n">
        <x:f>L3631-M3631</x:f>
        <x:v>-7</x:v>
      </x:c>
      <x:c r="X3631" s="24" t="n">
        <x:f>IFERROR(K3631/I3631,0)</x:f>
        <x:v>0.13636363636363635</x:v>
      </x:c>
      <x:c r="Y3631" s="24" t="n">
        <x:f>IFERROR(G3631/I3631,0)</x:f>
        <x:v>0</x:v>
      </x:c>
      <x:c r="Z3631" s="24" t="n">
        <x:f>IFERROR(G3631/K3631,0)</x:f>
        <x:v>0</x:v>
      </x:c>
      <x:c r="AA3631" s="24" t="n">
        <x:f>IFERROR(F3631/H3631,0)-IFERROR(G3631/I3631,0)</x:f>
        <x:v>0.14285714285714285</x:v>
      </x:c>
      <x:c r="AB3631" s="28" t="n">
        <x:f>J3631-K3631</x:f>
        <x:v>2</x:v>
      </x:c>
      <x:c r="AC3631" s="32" t="n">
        <x:f>F3631-G3631</x:f>
        <x:v>1</x:v>
      </x:c>
    </x:row>
    <x:row r="3632">
      <x:c r="A3632" s="4" t="str">
        <x:v>2025-26</x:v>
      </x:c>
      <x:c r="B3632" s="20" t="n">
        <x:v>46095</x:v>
      </x:c>
      <x:c r="C3632" s="4" t="str">
        <x:v>Sunderland</x:v>
      </x:c>
      <x:c r="D3632" s="4" t="str">
        <x:v>Brighton</x:v>
      </x:c>
      <x:c r="E3632" s="4" t="str">
        <x:v>Home</x:v>
      </x:c>
      <x:c r="F3632" s="28" t="n">
        <x:v>0</x:v>
      </x:c>
      <x:c r="G3632" s="28" t="n">
        <x:v>1</x:v>
      </x:c>
      <x:c r="H3632" s="28" t="n">
        <x:v>14</x:v>
      </x:c>
      <x:c r="I3632" s="28" t="n">
        <x:v>12</x:v>
      </x:c>
      <x:c r="J3632" s="28" t="n">
        <x:v>4</x:v>
      </x:c>
      <x:c r="K3632" s="28" t="n">
        <x:v>4</x:v>
      </x:c>
      <x:c r="L3632" s="28" t="n">
        <x:v>7</x:v>
      </x:c>
      <x:c r="M3632" s="28" t="n">
        <x:v>3</x:v>
      </x:c>
      <x:c r="N3632" s="28" t="n">
        <x:v>1</x:v>
      </x:c>
      <x:c r="O3632" s="28" t="n">
        <x:v>0</x:v>
      </x:c>
      <x:c r="P3632" s="28" t="n">
        <x:v>0</x:v>
      </x:c>
      <x:c r="Q3632" s="24" t="n">
        <x:f>IFERROR(J3632/H3632,0)</x:f>
        <x:v>0.2857142857142857</x:v>
      </x:c>
      <x:c r="R3632" s="24" t="n">
        <x:f>IFERROR(F3632/H3632,0)</x:f>
        <x:v>0</x:v>
      </x:c>
      <x:c r="S3632" s="24" t="n">
        <x:f>IFERROR(F3632/J3632,0)</x:f>
        <x:v>0</x:v>
      </x:c>
      <x:c r="T3632" s="28" t="n">
        <x:f>H3632-I3632</x:f>
        <x:v>2</x:v>
      </x:c>
      <x:c r="U3632" s="24" t="n">
        <x:f>IFERROR(J3632/H3632,0)-IFERROR(K3632/I3632,0)</x:f>
        <x:v>-0.047619047619047616</x:v>
      </x:c>
      <x:c r="V3632" s="24" t="n">
        <x:f>IFERROR(F3632/J3632,0)-IFERROR(G3632/K3632,0)</x:f>
        <x:v>-0.25</x:v>
      </x:c>
      <x:c r="W3632" s="28" t="n">
        <x:f>L3632-M3632</x:f>
        <x:v>4</x:v>
      </x:c>
      <x:c r="X3632" s="24" t="n">
        <x:f>IFERROR(K3632/I3632,0)</x:f>
        <x:v>0.3333333333333333</x:v>
      </x:c>
      <x:c r="Y3632" s="24" t="n">
        <x:f>IFERROR(G3632/I3632,0)</x:f>
        <x:v>0.08333333333333333</x:v>
      </x:c>
      <x:c r="Z3632" s="24" t="n">
        <x:f>IFERROR(G3632/K3632,0)</x:f>
        <x:v>0.25</x:v>
      </x:c>
      <x:c r="AA3632" s="24" t="n">
        <x:f>IFERROR(F3632/H3632,0)-IFERROR(G3632/I3632,0)</x:f>
        <x:v>-0.08333333333333333</x:v>
      </x:c>
      <x:c r="AB3632" s="28" t="n">
        <x:f>J3632-K3632</x:f>
        <x:v>0</x:v>
      </x:c>
      <x:c r="AC3632" s="32" t="n">
        <x:f>F3632-G3632</x:f>
        <x:v>-1</x:v>
      </x:c>
    </x:row>
    <x:row r="3633">
      <x:c r="A3633" s="4" t="str">
        <x:v>2025-26</x:v>
      </x:c>
      <x:c r="B3633" s="20" t="n">
        <x:v>46095</x:v>
      </x:c>
      <x:c r="C3633" s="4" t="str">
        <x:v>West Ham</x:v>
      </x:c>
      <x:c r="D3633" s="4" t="str">
        <x:v>Man City</x:v>
      </x:c>
      <x:c r="E3633" s="4" t="str">
        <x:v>Home</x:v>
      </x:c>
      <x:c r="F3633" s="28" t="n">
        <x:v>1</x:v>
      </x:c>
      <x:c r="G3633" s="28" t="n">
        <x:v>1</x:v>
      </x:c>
      <x:c r="H3633" s="28" t="n">
        <x:v>1</x:v>
      </x:c>
      <x:c r="I3633" s="28" t="n">
        <x:v>24</x:v>
      </x:c>
      <x:c r="J3633" s="28" t="n">
        <x:v>1</x:v>
      </x:c>
      <x:c r="K3633" s="28" t="n">
        <x:v>6</x:v>
      </x:c>
      <x:c r="L3633" s="28" t="n">
        <x:v>1</x:v>
      </x:c>
      <x:c r="M3633" s="28" t="n">
        <x:v>15</x:v>
      </x:c>
      <x:c r="N3633" s="28" t="n">
        <x:v>2</x:v>
      </x:c>
      <x:c r="O3633" s="28" t="n">
        <x:v>0</x:v>
      </x:c>
      <x:c r="P3633" s="28" t="n">
        <x:v>1</x:v>
      </x:c>
      <x:c r="Q3633" s="24" t="n">
        <x:f>IFERROR(J3633/H3633,0)</x:f>
        <x:v>1</x:v>
      </x:c>
      <x:c r="R3633" s="24" t="n">
        <x:f>IFERROR(F3633/H3633,0)</x:f>
        <x:v>1</x:v>
      </x:c>
      <x:c r="S3633" s="24" t="n">
        <x:f>IFERROR(F3633/J3633,0)</x:f>
        <x:v>1</x:v>
      </x:c>
      <x:c r="T3633" s="28" t="n">
        <x:f>H3633-I3633</x:f>
        <x:v>-23</x:v>
      </x:c>
      <x:c r="U3633" s="24" t="n">
        <x:f>IFERROR(J3633/H3633,0)-IFERROR(K3633/I3633,0)</x:f>
        <x:v>0.75</x:v>
      </x:c>
      <x:c r="V3633" s="24" t="n">
        <x:f>IFERROR(F3633/J3633,0)-IFERROR(G3633/K3633,0)</x:f>
        <x:v>0.8333333333333334</x:v>
      </x:c>
      <x:c r="W3633" s="28" t="n">
        <x:f>L3633-M3633</x:f>
        <x:v>-14</x:v>
      </x:c>
      <x:c r="X3633" s="24" t="n">
        <x:f>IFERROR(K3633/I3633,0)</x:f>
        <x:v>0.25</x:v>
      </x:c>
      <x:c r="Y3633" s="24" t="n">
        <x:f>IFERROR(G3633/I3633,0)</x:f>
        <x:v>0.041666666666666664</x:v>
      </x:c>
      <x:c r="Z3633" s="24" t="n">
        <x:f>IFERROR(G3633/K3633,0)</x:f>
        <x:v>0.16666666666666666</x:v>
      </x:c>
      <x:c r="AA3633" s="24" t="n">
        <x:f>IFERROR(F3633/H3633,0)-IFERROR(G3633/I3633,0)</x:f>
        <x:v>0.9583333333333334</x:v>
      </x:c>
      <x:c r="AB3633" s="28" t="n">
        <x:f>J3633-K3633</x:f>
        <x:v>-5</x:v>
      </x:c>
      <x:c r="AC3633" s="32" t="n">
        <x:f>F3633-G3633</x:f>
        <x:v>0</x:v>
      </x:c>
    </x:row>
    <x:row r="3634">
      <x:c r="A3634" s="4" t="str">
        <x:v>2025-26</x:v>
      </x:c>
      <x:c r="B3634" s="20" t="n">
        <x:v>46096</x:v>
      </x:c>
      <x:c r="C3634" s="4" t="str">
        <x:v>Aston Villa</x:v>
      </x:c>
      <x:c r="D3634" s="4" t="str">
        <x:v>Man United</x:v>
      </x:c>
      <x:c r="E3634" s="4" t="str">
        <x:v>Away</x:v>
      </x:c>
      <x:c r="F3634" s="28" t="n">
        <x:v>1</x:v>
      </x:c>
      <x:c r="G3634" s="28" t="n">
        <x:v>3</x:v>
      </x:c>
      <x:c r="H3634" s="28" t="n">
        <x:v>9</x:v>
      </x:c>
      <x:c r="I3634" s="28" t="n">
        <x:v>16</x:v>
      </x:c>
      <x:c r="J3634" s="28" t="n">
        <x:v>2</x:v>
      </x:c>
      <x:c r="K3634" s="28" t="n">
        <x:v>6</x:v>
      </x:c>
      <x:c r="L3634" s="28" t="n">
        <x:v>6</x:v>
      </x:c>
      <x:c r="M3634" s="28" t="n">
        <x:v>6</x:v>
      </x:c>
      <x:c r="N3634" s="28" t="n">
        <x:v>2</x:v>
      </x:c>
      <x:c r="O3634" s="28" t="n">
        <x:v>0</x:v>
      </x:c>
      <x:c r="P3634" s="28" t="n">
        <x:v>0</x:v>
      </x:c>
      <x:c r="Q3634" s="24" t="n">
        <x:f>IFERROR(J3634/H3634,0)</x:f>
        <x:v>0.2222222222222222</x:v>
      </x:c>
      <x:c r="R3634" s="24" t="n">
        <x:f>IFERROR(F3634/H3634,0)</x:f>
        <x:v>0.1111111111111111</x:v>
      </x:c>
      <x:c r="S3634" s="24" t="n">
        <x:f>IFERROR(F3634/J3634,0)</x:f>
        <x:v>0.5</x:v>
      </x:c>
      <x:c r="T3634" s="28" t="n">
        <x:f>H3634-I3634</x:f>
        <x:v>-7</x:v>
      </x:c>
      <x:c r="U3634" s="24" t="n">
        <x:f>IFERROR(J3634/H3634,0)-IFERROR(K3634/I3634,0)</x:f>
        <x:v>-0.1527777777777778</x:v>
      </x:c>
      <x:c r="V3634" s="24" t="n">
        <x:f>IFERROR(F3634/J3634,0)-IFERROR(G3634/K3634,0)</x:f>
        <x:v>0</x:v>
      </x:c>
      <x:c r="W3634" s="28" t="n">
        <x:f>L3634-M3634</x:f>
        <x:v>0</x:v>
      </x:c>
      <x:c r="X3634" s="24" t="n">
        <x:f>IFERROR(K3634/I3634,0)</x:f>
        <x:v>0.375</x:v>
      </x:c>
      <x:c r="Y3634" s="24" t="n">
        <x:f>IFERROR(G3634/I3634,0)</x:f>
        <x:v>0.1875</x:v>
      </x:c>
      <x:c r="Z3634" s="24" t="n">
        <x:f>IFERROR(G3634/K3634,0)</x:f>
        <x:v>0.5</x:v>
      </x:c>
      <x:c r="AA3634" s="24" t="n">
        <x:f>IFERROR(F3634/H3634,0)-IFERROR(G3634/I3634,0)</x:f>
        <x:v>-0.0763888888888889</x:v>
      </x:c>
      <x:c r="AB3634" s="28" t="n">
        <x:f>J3634-K3634</x:f>
        <x:v>-4</x:v>
      </x:c>
      <x:c r="AC3634" s="32" t="n">
        <x:f>F3634-G3634</x:f>
        <x:v>-2</x:v>
      </x:c>
    </x:row>
    <x:row r="3635">
      <x:c r="A3635" s="4" t="str">
        <x:v>2025-26</x:v>
      </x:c>
      <x:c r="B3635" s="20" t="n">
        <x:v>46096</x:v>
      </x:c>
      <x:c r="C3635" s="4" t="str">
        <x:v>Crystal Palace</x:v>
      </x:c>
      <x:c r="D3635" s="4" t="str">
        <x:v>Leeds</x:v>
      </x:c>
      <x:c r="E3635" s="4" t="str">
        <x:v>Home</x:v>
      </x:c>
      <x:c r="F3635" s="28" t="n">
        <x:v>0</x:v>
      </x:c>
      <x:c r="G3635" s="28" t="n">
        <x:v>0</x:v>
      </x:c>
      <x:c r="H3635" s="28" t="n">
        <x:v>12</x:v>
      </x:c>
      <x:c r="I3635" s="28" t="n">
        <x:v>10</x:v>
      </x:c>
      <x:c r="J3635" s="28" t="n">
        <x:v>0</x:v>
      </x:c>
      <x:c r="K3635" s="28" t="n">
        <x:v>3</x:v>
      </x:c>
      <x:c r="L3635" s="28" t="n">
        <x:v>8</x:v>
      </x:c>
      <x:c r="M3635" s="28" t="n">
        <x:v>3</x:v>
      </x:c>
      <x:c r="N3635" s="28" t="n">
        <x:v>2</x:v>
      </x:c>
      <x:c r="O3635" s="28" t="n">
        <x:v>0</x:v>
      </x:c>
      <x:c r="P3635" s="28" t="n">
        <x:v>1</x:v>
      </x:c>
      <x:c r="Q3635" s="24" t="n">
        <x:f>IFERROR(J3635/H3635,0)</x:f>
        <x:v>0</x:v>
      </x:c>
      <x:c r="R3635" s="24" t="n">
        <x:f>IFERROR(F3635/H3635,0)</x:f>
        <x:v>0</x:v>
      </x:c>
      <x:c r="S3635" s="24" t="n">
        <x:f>IFERROR(F3635/J3635,0)</x:f>
        <x:v>0</x:v>
      </x:c>
      <x:c r="T3635" s="28" t="n">
        <x:f>H3635-I3635</x:f>
        <x:v>2</x:v>
      </x:c>
      <x:c r="U3635" s="24" t="n">
        <x:f>IFERROR(J3635/H3635,0)-IFERROR(K3635/I3635,0)</x:f>
        <x:v>-0.3</x:v>
      </x:c>
      <x:c r="V3635" s="24" t="n">
        <x:f>IFERROR(F3635/J3635,0)-IFERROR(G3635/K3635,0)</x:f>
        <x:v>0</x:v>
      </x:c>
      <x:c r="W3635" s="28" t="n">
        <x:f>L3635-M3635</x:f>
        <x:v>5</x:v>
      </x:c>
      <x:c r="X3635" s="24" t="n">
        <x:f>IFERROR(K3635/I3635,0)</x:f>
        <x:v>0.3</x:v>
      </x:c>
      <x:c r="Y3635" s="24" t="n">
        <x:f>IFERROR(G3635/I3635,0)</x:f>
        <x:v>0</x:v>
      </x:c>
      <x:c r="Z3635" s="24" t="n">
        <x:f>IFERROR(G3635/K3635,0)</x:f>
        <x:v>0</x:v>
      </x:c>
      <x:c r="AA3635" s="24" t="n">
        <x:f>IFERROR(F3635/H3635,0)-IFERROR(G3635/I3635,0)</x:f>
        <x:v>0</x:v>
      </x:c>
      <x:c r="AB3635" s="28" t="n">
        <x:f>J3635-K3635</x:f>
        <x:v>-3</x:v>
      </x:c>
      <x:c r="AC3635" s="32" t="n">
        <x:f>F3635-G3635</x:f>
        <x:v>0</x:v>
      </x:c>
    </x:row>
    <x:row r="3636">
      <x:c r="A3636" s="4" t="str">
        <x:v>2025-26</x:v>
      </x:c>
      <x:c r="B3636" s="20" t="n">
        <x:v>46096</x:v>
      </x:c>
      <x:c r="C3636" s="4" t="str">
        <x:v>Fulham</x:v>
      </x:c>
      <x:c r="D3636" s="4" t="str">
        <x:v>Nott'm Forest</x:v>
      </x:c>
      <x:c r="E3636" s="4" t="str">
        <x:v>Away</x:v>
      </x:c>
      <x:c r="F3636" s="28" t="n">
        <x:v>0</x:v>
      </x:c>
      <x:c r="G3636" s="28" t="n">
        <x:v>0</x:v>
      </x:c>
      <x:c r="H3636" s="28" t="n">
        <x:v>5</x:v>
      </x:c>
      <x:c r="I3636" s="28" t="n">
        <x:v>11</x:v>
      </x:c>
      <x:c r="J3636" s="28" t="n">
        <x:v>0</x:v>
      </x:c>
      <x:c r="K3636" s="28" t="n">
        <x:v>2</x:v>
      </x:c>
      <x:c r="L3636" s="28" t="n">
        <x:v>4</x:v>
      </x:c>
      <x:c r="M3636" s="28" t="n">
        <x:v>5</x:v>
      </x:c>
      <x:c r="N3636" s="28" t="n">
        <x:v>3</x:v>
      </x:c>
      <x:c r="O3636" s="28" t="n">
        <x:v>0</x:v>
      </x:c>
      <x:c r="P3636" s="28" t="n">
        <x:v>1</x:v>
      </x:c>
      <x:c r="Q3636" s="24" t="n">
        <x:f>IFERROR(J3636/H3636,0)</x:f>
        <x:v>0</x:v>
      </x:c>
      <x:c r="R3636" s="24" t="n">
        <x:f>IFERROR(F3636/H3636,0)</x:f>
        <x:v>0</x:v>
      </x:c>
      <x:c r="S3636" s="24" t="n">
        <x:f>IFERROR(F3636/J3636,0)</x:f>
        <x:v>0</x:v>
      </x:c>
      <x:c r="T3636" s="28" t="n">
        <x:f>H3636-I3636</x:f>
        <x:v>-6</x:v>
      </x:c>
      <x:c r="U3636" s="24" t="n">
        <x:f>IFERROR(J3636/H3636,0)-IFERROR(K3636/I3636,0)</x:f>
        <x:v>-0.18181818181818182</x:v>
      </x:c>
      <x:c r="V3636" s="24" t="n">
        <x:f>IFERROR(F3636/J3636,0)-IFERROR(G3636/K3636,0)</x:f>
        <x:v>0</x:v>
      </x:c>
      <x:c r="W3636" s="28" t="n">
        <x:f>L3636-M3636</x:f>
        <x:v>-1</x:v>
      </x:c>
      <x:c r="X3636" s="24" t="n">
        <x:f>IFERROR(K3636/I3636,0)</x:f>
        <x:v>0.18181818181818182</x:v>
      </x:c>
      <x:c r="Y3636" s="24" t="n">
        <x:f>IFERROR(G3636/I3636,0)</x:f>
        <x:v>0</x:v>
      </x:c>
      <x:c r="Z3636" s="24" t="n">
        <x:f>IFERROR(G3636/K3636,0)</x:f>
        <x:v>0</x:v>
      </x:c>
      <x:c r="AA3636" s="24" t="n">
        <x:f>IFERROR(F3636/H3636,0)-IFERROR(G3636/I3636,0)</x:f>
        <x:v>0</x:v>
      </x:c>
      <x:c r="AB3636" s="28" t="n">
        <x:f>J3636-K3636</x:f>
        <x:v>-2</x:v>
      </x:c>
      <x:c r="AC3636" s="32" t="n">
        <x:f>F3636-G3636</x:f>
        <x:v>0</x:v>
      </x:c>
    </x:row>
    <x:row r="3637">
      <x:c r="A3637" s="4" t="str">
        <x:v>2025-26</x:v>
      </x:c>
      <x:c r="B3637" s="20" t="n">
        <x:v>46096</x:v>
      </x:c>
      <x:c r="C3637" s="4" t="str">
        <x:v>Leeds</x:v>
      </x:c>
      <x:c r="D3637" s="4" t="str">
        <x:v>Crystal Palace</x:v>
      </x:c>
      <x:c r="E3637" s="4" t="str">
        <x:v>Away</x:v>
      </x:c>
      <x:c r="F3637" s="28" t="n">
        <x:v>0</x:v>
      </x:c>
      <x:c r="G3637" s="28" t="n">
        <x:v>0</x:v>
      </x:c>
      <x:c r="H3637" s="28" t="n">
        <x:v>10</x:v>
      </x:c>
      <x:c r="I3637" s="28" t="n">
        <x:v>12</x:v>
      </x:c>
      <x:c r="J3637" s="28" t="n">
        <x:v>3</x:v>
      </x:c>
      <x:c r="K3637" s="28" t="n">
        <x:v>0</x:v>
      </x:c>
      <x:c r="L3637" s="28" t="n">
        <x:v>3</x:v>
      </x:c>
      <x:c r="M3637" s="28" t="n">
        <x:v>8</x:v>
      </x:c>
      <x:c r="N3637" s="28" t="n">
        <x:v>1</x:v>
      </x:c>
      <x:c r="O3637" s="28" t="n">
        <x:v>1</x:v>
      </x:c>
      <x:c r="P3637" s="28" t="n">
        <x:v>1</x:v>
      </x:c>
      <x:c r="Q3637" s="24" t="n">
        <x:f>IFERROR(J3637/H3637,0)</x:f>
        <x:v>0.3</x:v>
      </x:c>
      <x:c r="R3637" s="24" t="n">
        <x:f>IFERROR(F3637/H3637,0)</x:f>
        <x:v>0</x:v>
      </x:c>
      <x:c r="S3637" s="24" t="n">
        <x:f>IFERROR(F3637/J3637,0)</x:f>
        <x:v>0</x:v>
      </x:c>
      <x:c r="T3637" s="28" t="n">
        <x:f>H3637-I3637</x:f>
        <x:v>-2</x:v>
      </x:c>
      <x:c r="U3637" s="24" t="n">
        <x:f>IFERROR(J3637/H3637,0)-IFERROR(K3637/I3637,0)</x:f>
        <x:v>0.3</x:v>
      </x:c>
      <x:c r="V3637" s="24" t="n">
        <x:f>IFERROR(F3637/J3637,0)-IFERROR(G3637/K3637,0)</x:f>
        <x:v>0</x:v>
      </x:c>
      <x:c r="W3637" s="28" t="n">
        <x:f>L3637-M3637</x:f>
        <x:v>-5</x:v>
      </x:c>
      <x:c r="X3637" s="24" t="n">
        <x:f>IFERROR(K3637/I3637,0)</x:f>
        <x:v>0</x:v>
      </x:c>
      <x:c r="Y3637" s="24" t="n">
        <x:f>IFERROR(G3637/I3637,0)</x:f>
        <x:v>0</x:v>
      </x:c>
      <x:c r="Z3637" s="24" t="n">
        <x:f>IFERROR(G3637/K3637,0)</x:f>
        <x:v>0</x:v>
      </x:c>
      <x:c r="AA3637" s="24" t="n">
        <x:f>IFERROR(F3637/H3637,0)-IFERROR(G3637/I3637,0)</x:f>
        <x:v>0</x:v>
      </x:c>
      <x:c r="AB3637" s="28" t="n">
        <x:f>J3637-K3637</x:f>
        <x:v>3</x:v>
      </x:c>
      <x:c r="AC3637" s="32" t="n">
        <x:f>F3637-G3637</x:f>
        <x:v>0</x:v>
      </x:c>
    </x:row>
    <x:row r="3638">
      <x:c r="A3638" s="4" t="str">
        <x:v>2025-26</x:v>
      </x:c>
      <x:c r="B3638" s="20" t="n">
        <x:v>46096</x:v>
      </x:c>
      <x:c r="C3638" s="4" t="str">
        <x:v>Liverpool</x:v>
      </x:c>
      <x:c r="D3638" s="4" t="str">
        <x:v>Tottenham</x:v>
      </x:c>
      <x:c r="E3638" s="4" t="str">
        <x:v>Home</x:v>
      </x:c>
      <x:c r="F3638" s="28" t="n">
        <x:v>1</x:v>
      </x:c>
      <x:c r="G3638" s="28" t="n">
        <x:v>1</x:v>
      </x:c>
      <x:c r="H3638" s="28" t="n">
        <x:v>17</x:v>
      </x:c>
      <x:c r="I3638" s="28" t="n">
        <x:v>13</x:v>
      </x:c>
      <x:c r="J3638" s="28" t="n">
        <x:v>4</x:v>
      </x:c>
      <x:c r="K3638" s="28" t="n">
        <x:v>7</x:v>
      </x:c>
      <x:c r="L3638" s="28" t="n">
        <x:v>3</x:v>
      </x:c>
      <x:c r="M3638" s="28" t="n">
        <x:v>4</x:v>
      </x:c>
      <x:c r="N3638" s="28" t="n">
        <x:v>0</x:v>
      </x:c>
      <x:c r="O3638" s="28" t="n">
        <x:v>0</x:v>
      </x:c>
      <x:c r="P3638" s="28" t="n">
        <x:v>1</x:v>
      </x:c>
      <x:c r="Q3638" s="24" t="n">
        <x:f>IFERROR(J3638/H3638,0)</x:f>
        <x:v>0.23529411764705882</x:v>
      </x:c>
      <x:c r="R3638" s="24" t="n">
        <x:f>IFERROR(F3638/H3638,0)</x:f>
        <x:v>0.058823529411764705</x:v>
      </x:c>
      <x:c r="S3638" s="24" t="n">
        <x:f>IFERROR(F3638/J3638,0)</x:f>
        <x:v>0.25</x:v>
      </x:c>
      <x:c r="T3638" s="28" t="n">
        <x:f>H3638-I3638</x:f>
        <x:v>4</x:v>
      </x:c>
      <x:c r="U3638" s="24" t="n">
        <x:f>IFERROR(J3638/H3638,0)-IFERROR(K3638/I3638,0)</x:f>
        <x:v>-0.3031674208144796</x:v>
      </x:c>
      <x:c r="V3638" s="24" t="n">
        <x:f>IFERROR(F3638/J3638,0)-IFERROR(G3638/K3638,0)</x:f>
        <x:v>0.10714285714285715</x:v>
      </x:c>
      <x:c r="W3638" s="28" t="n">
        <x:f>L3638-M3638</x:f>
        <x:v>-1</x:v>
      </x:c>
      <x:c r="X3638" s="24" t="n">
        <x:f>IFERROR(K3638/I3638,0)</x:f>
        <x:v>0.5384615384615384</x:v>
      </x:c>
      <x:c r="Y3638" s="24" t="n">
        <x:f>IFERROR(G3638/I3638,0)</x:f>
        <x:v>0.07692307692307693</x:v>
      </x:c>
      <x:c r="Z3638" s="24" t="n">
        <x:f>IFERROR(G3638/K3638,0)</x:f>
        <x:v>0.14285714285714285</x:v>
      </x:c>
      <x:c r="AA3638" s="24" t="n">
        <x:f>IFERROR(F3638/H3638,0)-IFERROR(G3638/I3638,0)</x:f>
        <x:v>-0.018099547511312222</x:v>
      </x:c>
      <x:c r="AB3638" s="28" t="n">
        <x:f>J3638-K3638</x:f>
        <x:v>-3</x:v>
      </x:c>
      <x:c r="AC3638" s="32" t="n">
        <x:f>F3638-G3638</x:f>
        <x:v>0</x:v>
      </x:c>
    </x:row>
    <x:row r="3639">
      <x:c r="A3639" s="4" t="str">
        <x:v>2025-26</x:v>
      </x:c>
      <x:c r="B3639" s="20" t="n">
        <x:v>46096</x:v>
      </x:c>
      <x:c r="C3639" s="4" t="str">
        <x:v>Man United</x:v>
      </x:c>
      <x:c r="D3639" s="4" t="str">
        <x:v>Aston Villa</x:v>
      </x:c>
      <x:c r="E3639" s="4" t="str">
        <x:v>Home</x:v>
      </x:c>
      <x:c r="F3639" s="28" t="n">
        <x:v>3</x:v>
      </x:c>
      <x:c r="G3639" s="28" t="n">
        <x:v>1</x:v>
      </x:c>
      <x:c r="H3639" s="28" t="n">
        <x:v>16</x:v>
      </x:c>
      <x:c r="I3639" s="28" t="n">
        <x:v>9</x:v>
      </x:c>
      <x:c r="J3639" s="28" t="n">
        <x:v>6</x:v>
      </x:c>
      <x:c r="K3639" s="28" t="n">
        <x:v>2</x:v>
      </x:c>
      <x:c r="L3639" s="28" t="n">
        <x:v>6</x:v>
      </x:c>
      <x:c r="M3639" s="28" t="n">
        <x:v>6</x:v>
      </x:c>
      <x:c r="N3639" s="28" t="n">
        <x:v>3</x:v>
      </x:c>
      <x:c r="O3639" s="28" t="n">
        <x:v>0</x:v>
      </x:c>
      <x:c r="P3639" s="28" t="n">
        <x:v>3</x:v>
      </x:c>
      <x:c r="Q3639" s="24" t="n">
        <x:f>IFERROR(J3639/H3639,0)</x:f>
        <x:v>0.375</x:v>
      </x:c>
      <x:c r="R3639" s="24" t="n">
        <x:f>IFERROR(F3639/H3639,0)</x:f>
        <x:v>0.1875</x:v>
      </x:c>
      <x:c r="S3639" s="24" t="n">
        <x:f>IFERROR(F3639/J3639,0)</x:f>
        <x:v>0.5</x:v>
      </x:c>
      <x:c r="T3639" s="28" t="n">
        <x:f>H3639-I3639</x:f>
        <x:v>7</x:v>
      </x:c>
      <x:c r="U3639" s="24" t="n">
        <x:f>IFERROR(J3639/H3639,0)-IFERROR(K3639/I3639,0)</x:f>
        <x:v>0.1527777777777778</x:v>
      </x:c>
      <x:c r="V3639" s="24" t="n">
        <x:f>IFERROR(F3639/J3639,0)-IFERROR(G3639/K3639,0)</x:f>
        <x:v>0</x:v>
      </x:c>
      <x:c r="W3639" s="28" t="n">
        <x:f>L3639-M3639</x:f>
        <x:v>0</x:v>
      </x:c>
      <x:c r="X3639" s="24" t="n">
        <x:f>IFERROR(K3639/I3639,0)</x:f>
        <x:v>0.2222222222222222</x:v>
      </x:c>
      <x:c r="Y3639" s="24" t="n">
        <x:f>IFERROR(G3639/I3639,0)</x:f>
        <x:v>0.1111111111111111</x:v>
      </x:c>
      <x:c r="Z3639" s="24" t="n">
        <x:f>IFERROR(G3639/K3639,0)</x:f>
        <x:v>0.5</x:v>
      </x:c>
      <x:c r="AA3639" s="24" t="n">
        <x:f>IFERROR(F3639/H3639,0)-IFERROR(G3639/I3639,0)</x:f>
        <x:v>0.0763888888888889</x:v>
      </x:c>
      <x:c r="AB3639" s="28" t="n">
        <x:f>J3639-K3639</x:f>
        <x:v>4</x:v>
      </x:c>
      <x:c r="AC3639" s="32" t="n">
        <x:f>F3639-G3639</x:f>
        <x:v>2</x:v>
      </x:c>
    </x:row>
    <x:row r="3640">
      <x:c r="A3640" s="4" t="str">
        <x:v>2025-26</x:v>
      </x:c>
      <x:c r="B3640" s="20" t="n">
        <x:v>46096</x:v>
      </x:c>
      <x:c r="C3640" s="4" t="str">
        <x:v>Nott'm Forest</x:v>
      </x:c>
      <x:c r="D3640" s="4" t="str">
        <x:v>Fulham</x:v>
      </x:c>
      <x:c r="E3640" s="4" t="str">
        <x:v>Home</x:v>
      </x:c>
      <x:c r="F3640" s="28" t="n">
        <x:v>0</x:v>
      </x:c>
      <x:c r="G3640" s="28" t="n">
        <x:v>0</x:v>
      </x:c>
      <x:c r="H3640" s="28" t="n">
        <x:v>11</x:v>
      </x:c>
      <x:c r="I3640" s="28" t="n">
        <x:v>5</x:v>
      </x:c>
      <x:c r="J3640" s="28" t="n">
        <x:v>2</x:v>
      </x:c>
      <x:c r="K3640" s="28" t="n">
        <x:v>0</x:v>
      </x:c>
      <x:c r="L3640" s="28" t="n">
        <x:v>5</x:v>
      </x:c>
      <x:c r="M3640" s="28" t="n">
        <x:v>4</x:v>
      </x:c>
      <x:c r="N3640" s="28" t="n">
        <x:v>2</x:v>
      </x:c>
      <x:c r="O3640" s="28" t="n">
        <x:v>0</x:v>
      </x:c>
      <x:c r="P3640" s="28" t="n">
        <x:v>1</x:v>
      </x:c>
      <x:c r="Q3640" s="24" t="n">
        <x:f>IFERROR(J3640/H3640,0)</x:f>
        <x:v>0.18181818181818182</x:v>
      </x:c>
      <x:c r="R3640" s="24" t="n">
        <x:f>IFERROR(F3640/H3640,0)</x:f>
        <x:v>0</x:v>
      </x:c>
      <x:c r="S3640" s="24" t="n">
        <x:f>IFERROR(F3640/J3640,0)</x:f>
        <x:v>0</x:v>
      </x:c>
      <x:c r="T3640" s="28" t="n">
        <x:f>H3640-I3640</x:f>
        <x:v>6</x:v>
      </x:c>
      <x:c r="U3640" s="24" t="n">
        <x:f>IFERROR(J3640/H3640,0)-IFERROR(K3640/I3640,0)</x:f>
        <x:v>0.18181818181818182</x:v>
      </x:c>
      <x:c r="V3640" s="24" t="n">
        <x:f>IFERROR(F3640/J3640,0)-IFERROR(G3640/K3640,0)</x:f>
        <x:v>0</x:v>
      </x:c>
      <x:c r="W3640" s="28" t="n">
        <x:f>L3640-M3640</x:f>
        <x:v>1</x:v>
      </x:c>
      <x:c r="X3640" s="24" t="n">
        <x:f>IFERROR(K3640/I3640,0)</x:f>
        <x:v>0</x:v>
      </x:c>
      <x:c r="Y3640" s="24" t="n">
        <x:f>IFERROR(G3640/I3640,0)</x:f>
        <x:v>0</x:v>
      </x:c>
      <x:c r="Z3640" s="24" t="n">
        <x:f>IFERROR(G3640/K3640,0)</x:f>
        <x:v>0</x:v>
      </x:c>
      <x:c r="AA3640" s="24" t="n">
        <x:f>IFERROR(F3640/H3640,0)-IFERROR(G3640/I3640,0)</x:f>
        <x:v>0</x:v>
      </x:c>
      <x:c r="AB3640" s="28" t="n">
        <x:f>J3640-K3640</x:f>
        <x:v>2</x:v>
      </x:c>
      <x:c r="AC3640" s="32" t="n">
        <x:f>F3640-G3640</x:f>
        <x:v>0</x:v>
      </x:c>
    </x:row>
    <x:row r="3641">
      <x:c r="A3641" s="4" t="str">
        <x:v>2025-26</x:v>
      </x:c>
      <x:c r="B3641" s="20" t="n">
        <x:v>46096</x:v>
      </x:c>
      <x:c r="C3641" s="4" t="str">
        <x:v>Tottenham</x:v>
      </x:c>
      <x:c r="D3641" s="4" t="str">
        <x:v>Liverpool</x:v>
      </x:c>
      <x:c r="E3641" s="4" t="str">
        <x:v>Away</x:v>
      </x:c>
      <x:c r="F3641" s="28" t="n">
        <x:v>1</x:v>
      </x:c>
      <x:c r="G3641" s="28" t="n">
        <x:v>1</x:v>
      </x:c>
      <x:c r="H3641" s="28" t="n">
        <x:v>13</x:v>
      </x:c>
      <x:c r="I3641" s="28" t="n">
        <x:v>17</x:v>
      </x:c>
      <x:c r="J3641" s="28" t="n">
        <x:v>7</x:v>
      </x:c>
      <x:c r="K3641" s="28" t="n">
        <x:v>4</x:v>
      </x:c>
      <x:c r="L3641" s="28" t="n">
        <x:v>4</x:v>
      </x:c>
      <x:c r="M3641" s="28" t="n">
        <x:v>3</x:v>
      </x:c>
      <x:c r="N3641" s="28" t="n">
        <x:v>0</x:v>
      </x:c>
      <x:c r="O3641" s="28" t="n">
        <x:v>0</x:v>
      </x:c>
      <x:c r="P3641" s="28" t="n">
        <x:v>1</x:v>
      </x:c>
      <x:c r="Q3641" s="24" t="n">
        <x:f>IFERROR(J3641/H3641,0)</x:f>
        <x:v>0.5384615384615384</x:v>
      </x:c>
      <x:c r="R3641" s="24" t="n">
        <x:f>IFERROR(F3641/H3641,0)</x:f>
        <x:v>0.07692307692307693</x:v>
      </x:c>
      <x:c r="S3641" s="24" t="n">
        <x:f>IFERROR(F3641/J3641,0)</x:f>
        <x:v>0.14285714285714285</x:v>
      </x:c>
      <x:c r="T3641" s="28" t="n">
        <x:f>H3641-I3641</x:f>
        <x:v>-4</x:v>
      </x:c>
      <x:c r="U3641" s="24" t="n">
        <x:f>IFERROR(J3641/H3641,0)-IFERROR(K3641/I3641,0)</x:f>
        <x:v>0.3031674208144796</x:v>
      </x:c>
      <x:c r="V3641" s="24" t="n">
        <x:f>IFERROR(F3641/J3641,0)-IFERROR(G3641/K3641,0)</x:f>
        <x:v>-0.10714285714285715</x:v>
      </x:c>
      <x:c r="W3641" s="28" t="n">
        <x:f>L3641-M3641</x:f>
        <x:v>1</x:v>
      </x:c>
      <x:c r="X3641" s="24" t="n">
        <x:f>IFERROR(K3641/I3641,0)</x:f>
        <x:v>0.23529411764705882</x:v>
      </x:c>
      <x:c r="Y3641" s="24" t="n">
        <x:f>IFERROR(G3641/I3641,0)</x:f>
        <x:v>0.058823529411764705</x:v>
      </x:c>
      <x:c r="Z3641" s="24" t="n">
        <x:f>IFERROR(G3641/K3641,0)</x:f>
        <x:v>0.25</x:v>
      </x:c>
      <x:c r="AA3641" s="24" t="n">
        <x:f>IFERROR(F3641/H3641,0)-IFERROR(G3641/I3641,0)</x:f>
        <x:v>0.018099547511312222</x:v>
      </x:c>
      <x:c r="AB3641" s="28" t="n">
        <x:f>J3641-K3641</x:f>
        <x:v>3</x:v>
      </x:c>
      <x:c r="AC3641" s="32" t="n">
        <x:f>F3641-G3641</x:f>
        <x:v>0</x:v>
      </x:c>
    </x:row>
    <x:row r="3642">
      <x:c r="A3642" s="4" t="str">
        <x:v>2025-26</x:v>
      </x:c>
      <x:c r="B3642" s="20" t="n">
        <x:v>46097</x:v>
      </x:c>
      <x:c r="C3642" s="4" t="str">
        <x:v>Brentford</x:v>
      </x:c>
      <x:c r="D3642" s="4" t="str">
        <x:v>Wolves</x:v>
      </x:c>
      <x:c r="E3642" s="4" t="str">
        <x:v>Home</x:v>
      </x:c>
      <x:c r="F3642" s="28" t="n">
        <x:v>2</x:v>
      </x:c>
      <x:c r="G3642" s="28" t="n">
        <x:v>2</x:v>
      </x:c>
      <x:c r="H3642" s="28" t="n">
        <x:v>10</x:v>
      </x:c>
      <x:c r="I3642" s="28" t="n">
        <x:v>13</x:v>
      </x:c>
      <x:c r="J3642" s="28" t="n">
        <x:v>3</x:v>
      </x:c>
      <x:c r="K3642" s="28" t="n">
        <x:v>4</x:v>
      </x:c>
      <x:c r="L3642" s="28" t="n">
        <x:v>1</x:v>
      </x:c>
      <x:c r="M3642" s="28" t="n">
        <x:v>5</x:v>
      </x:c>
      <x:c r="N3642" s="28" t="n">
        <x:v>2</x:v>
      </x:c>
      <x:c r="O3642" s="28" t="n">
        <x:v>0</x:v>
      </x:c>
      <x:c r="P3642" s="28" t="n">
        <x:v>1</x:v>
      </x:c>
      <x:c r="Q3642" s="24" t="n">
        <x:f>IFERROR(J3642/H3642,0)</x:f>
        <x:v>0.3</x:v>
      </x:c>
      <x:c r="R3642" s="24" t="n">
        <x:f>IFERROR(F3642/H3642,0)</x:f>
        <x:v>0.2</x:v>
      </x:c>
      <x:c r="S3642" s="24" t="n">
        <x:f>IFERROR(F3642/J3642,0)</x:f>
        <x:v>0.6666666666666666</x:v>
      </x:c>
      <x:c r="T3642" s="28" t="n">
        <x:f>H3642-I3642</x:f>
        <x:v>-3</x:v>
      </x:c>
      <x:c r="U3642" s="24" t="n">
        <x:f>IFERROR(J3642/H3642,0)-IFERROR(K3642/I3642,0)</x:f>
        <x:v>-0.0076923076923077205</x:v>
      </x:c>
      <x:c r="V3642" s="24" t="n">
        <x:f>IFERROR(F3642/J3642,0)-IFERROR(G3642/K3642,0)</x:f>
        <x:v>0.16666666666666663</x:v>
      </x:c>
      <x:c r="W3642" s="28" t="n">
        <x:f>L3642-M3642</x:f>
        <x:v>-4</x:v>
      </x:c>
      <x:c r="X3642" s="24" t="n">
        <x:f>IFERROR(K3642/I3642,0)</x:f>
        <x:v>0.3076923076923077</x:v>
      </x:c>
      <x:c r="Y3642" s="24" t="n">
        <x:f>IFERROR(G3642/I3642,0)</x:f>
        <x:v>0.15384615384615385</x:v>
      </x:c>
      <x:c r="Z3642" s="24" t="n">
        <x:f>IFERROR(G3642/K3642,0)</x:f>
        <x:v>0.5</x:v>
      </x:c>
      <x:c r="AA3642" s="24" t="n">
        <x:f>IFERROR(F3642/H3642,0)-IFERROR(G3642/I3642,0)</x:f>
        <x:v>0.046153846153846156</x:v>
      </x:c>
      <x:c r="AB3642" s="28" t="n">
        <x:f>J3642-K3642</x:f>
        <x:v>-1</x:v>
      </x:c>
      <x:c r="AC3642" s="32" t="n">
        <x:f>F3642-G3642</x:f>
        <x:v>0</x:v>
      </x:c>
    </x:row>
    <x:row r="3643">
      <x:c r="A3643" s="4" t="str">
        <x:v>2025-26</x:v>
      </x:c>
      <x:c r="B3643" s="20" t="n">
        <x:v>46097</x:v>
      </x:c>
      <x:c r="C3643" s="4" t="str">
        <x:v>Wolves</x:v>
      </x:c>
      <x:c r="D3643" s="4" t="str">
        <x:v>Brentford</x:v>
      </x:c>
      <x:c r="E3643" s="4" t="str">
        <x:v>Away</x:v>
      </x:c>
      <x:c r="F3643" s="28" t="n">
        <x:v>2</x:v>
      </x:c>
      <x:c r="G3643" s="28" t="n">
        <x:v>2</x:v>
      </x:c>
      <x:c r="H3643" s="28" t="n">
        <x:v>13</x:v>
      </x:c>
      <x:c r="I3643" s="28" t="n">
        <x:v>10</x:v>
      </x:c>
      <x:c r="J3643" s="28" t="n">
        <x:v>4</x:v>
      </x:c>
      <x:c r="K3643" s="28" t="n">
        <x:v>3</x:v>
      </x:c>
      <x:c r="L3643" s="28" t="n">
        <x:v>5</x:v>
      </x:c>
      <x:c r="M3643" s="28" t="n">
        <x:v>1</x:v>
      </x:c>
      <x:c r="N3643" s="28" t="n">
        <x:v>4</x:v>
      </x:c>
      <x:c r="O3643" s="28" t="n">
        <x:v>0</x:v>
      </x:c>
      <x:c r="P3643" s="28" t="n">
        <x:v>1</x:v>
      </x:c>
      <x:c r="Q3643" s="24" t="n">
        <x:f>IFERROR(J3643/H3643,0)</x:f>
        <x:v>0.3076923076923077</x:v>
      </x:c>
      <x:c r="R3643" s="24" t="n">
        <x:f>IFERROR(F3643/H3643,0)</x:f>
        <x:v>0.15384615384615385</x:v>
      </x:c>
      <x:c r="S3643" s="24" t="n">
        <x:f>IFERROR(F3643/J3643,0)</x:f>
        <x:v>0.5</x:v>
      </x:c>
      <x:c r="T3643" s="28" t="n">
        <x:f>H3643-I3643</x:f>
        <x:v>3</x:v>
      </x:c>
      <x:c r="U3643" s="24" t="n">
        <x:f>IFERROR(J3643/H3643,0)-IFERROR(K3643/I3643,0)</x:f>
        <x:v>0.0076923076923077205</x:v>
      </x:c>
      <x:c r="V3643" s="24" t="n">
        <x:f>IFERROR(F3643/J3643,0)-IFERROR(G3643/K3643,0)</x:f>
        <x:v>-0.16666666666666663</x:v>
      </x:c>
      <x:c r="W3643" s="28" t="n">
        <x:f>L3643-M3643</x:f>
        <x:v>4</x:v>
      </x:c>
      <x:c r="X3643" s="24" t="n">
        <x:f>IFERROR(K3643/I3643,0)</x:f>
        <x:v>0.3</x:v>
      </x:c>
      <x:c r="Y3643" s="24" t="n">
        <x:f>IFERROR(G3643/I3643,0)</x:f>
        <x:v>0.2</x:v>
      </x:c>
      <x:c r="Z3643" s="24" t="n">
        <x:f>IFERROR(G3643/K3643,0)</x:f>
        <x:v>0.6666666666666666</x:v>
      </x:c>
      <x:c r="AA3643" s="24" t="n">
        <x:f>IFERROR(F3643/H3643,0)-IFERROR(G3643/I3643,0)</x:f>
        <x:v>-0.046153846153846156</x:v>
      </x:c>
      <x:c r="AB3643" s="28" t="n">
        <x:f>J3643-K3643</x:f>
        <x:v>1</x:v>
      </x:c>
      <x:c r="AC3643" s="32" t="n">
        <x:f>F3643-G3643</x:f>
        <x:v>0</x:v>
      </x:c>
    </x:row>
    <x:row r="3644">
      <x:c r="A3644" s="4" t="str">
        <x:v>2025-26</x:v>
      </x:c>
      <x:c r="B3644" s="20" t="n">
        <x:v>46101</x:v>
      </x:c>
      <x:c r="C3644" s="4" t="str">
        <x:v>Bournemouth</x:v>
      </x:c>
      <x:c r="D3644" s="4" t="str">
        <x:v>Man United</x:v>
      </x:c>
      <x:c r="E3644" s="4" t="str">
        <x:v>Home</x:v>
      </x:c>
      <x:c r="F3644" s="28" t="n">
        <x:v>2</x:v>
      </x:c>
      <x:c r="G3644" s="28" t="n">
        <x:v>2</x:v>
      </x:c>
      <x:c r="H3644" s="28" t="n">
        <x:v>16</x:v>
      </x:c>
      <x:c r="I3644" s="28" t="n">
        <x:v>14</x:v>
      </x:c>
      <x:c r="J3644" s="28" t="n">
        <x:v>5</x:v>
      </x:c>
      <x:c r="K3644" s="28" t="n">
        <x:v>5</x:v>
      </x:c>
      <x:c r="L3644" s="28" t="n">
        <x:v>6</x:v>
      </x:c>
      <x:c r="M3644" s="28" t="n">
        <x:v>8</x:v>
      </x:c>
      <x:c r="N3644" s="28" t="n">
        <x:v>2</x:v>
      </x:c>
      <x:c r="O3644" s="28" t="n">
        <x:v>0</x:v>
      </x:c>
      <x:c r="P3644" s="28" t="n">
        <x:v>1</x:v>
      </x:c>
      <x:c r="Q3644" s="24" t="n">
        <x:f>IFERROR(J3644/H3644,0)</x:f>
        <x:v>0.3125</x:v>
      </x:c>
      <x:c r="R3644" s="24" t="n">
        <x:f>IFERROR(F3644/H3644,0)</x:f>
        <x:v>0.125</x:v>
      </x:c>
      <x:c r="S3644" s="24" t="n">
        <x:f>IFERROR(F3644/J3644,0)</x:f>
        <x:v>0.4</x:v>
      </x:c>
      <x:c r="T3644" s="28" t="n">
        <x:f>H3644-I3644</x:f>
        <x:v>2</x:v>
      </x:c>
      <x:c r="U3644" s="24" t="n">
        <x:f>IFERROR(J3644/H3644,0)-IFERROR(K3644/I3644,0)</x:f>
        <x:v>-0.04464285714285715</x:v>
      </x:c>
      <x:c r="V3644" s="24" t="n">
        <x:f>IFERROR(F3644/J3644,0)-IFERROR(G3644/K3644,0)</x:f>
        <x:v>0</x:v>
      </x:c>
      <x:c r="W3644" s="28" t="n">
        <x:f>L3644-M3644</x:f>
        <x:v>-2</x:v>
      </x:c>
      <x:c r="X3644" s="24" t="n">
        <x:f>IFERROR(K3644/I3644,0)</x:f>
        <x:v>0.35714285714285715</x:v>
      </x:c>
      <x:c r="Y3644" s="24" t="n">
        <x:f>IFERROR(G3644/I3644,0)</x:f>
        <x:v>0.14285714285714285</x:v>
      </x:c>
      <x:c r="Z3644" s="24" t="n">
        <x:f>IFERROR(G3644/K3644,0)</x:f>
        <x:v>0.4</x:v>
      </x:c>
      <x:c r="AA3644" s="24" t="n">
        <x:f>IFERROR(F3644/H3644,0)-IFERROR(G3644/I3644,0)</x:f>
        <x:v>-0.01785714285714285</x:v>
      </x:c>
      <x:c r="AB3644" s="28" t="n">
        <x:f>J3644-K3644</x:f>
        <x:v>0</x:v>
      </x:c>
      <x:c r="AC3644" s="32" t="n">
        <x:f>F3644-G3644</x:f>
        <x:v>0</x:v>
      </x:c>
    </x:row>
    <x:row r="3645">
      <x:c r="A3645" s="4" t="str">
        <x:v>2025-26</x:v>
      </x:c>
      <x:c r="B3645" s="20" t="n">
        <x:v>46101</x:v>
      </x:c>
      <x:c r="C3645" s="4" t="str">
        <x:v>Man United</x:v>
      </x:c>
      <x:c r="D3645" s="4" t="str">
        <x:v>Bournemouth</x:v>
      </x:c>
      <x:c r="E3645" s="4" t="str">
        <x:v>Away</x:v>
      </x:c>
      <x:c r="F3645" s="28" t="n">
        <x:v>2</x:v>
      </x:c>
      <x:c r="G3645" s="28" t="n">
        <x:v>2</x:v>
      </x:c>
      <x:c r="H3645" s="28" t="n">
        <x:v>14</x:v>
      </x:c>
      <x:c r="I3645" s="28" t="n">
        <x:v>16</x:v>
      </x:c>
      <x:c r="J3645" s="28" t="n">
        <x:v>5</x:v>
      </x:c>
      <x:c r="K3645" s="28" t="n">
        <x:v>5</x:v>
      </x:c>
      <x:c r="L3645" s="28" t="n">
        <x:v>8</x:v>
      </x:c>
      <x:c r="M3645" s="28" t="n">
        <x:v>6</x:v>
      </x:c>
      <x:c r="N3645" s="28" t="n">
        <x:v>2</x:v>
      </x:c>
      <x:c r="O3645" s="28" t="n">
        <x:v>1</x:v>
      </x:c>
      <x:c r="P3645" s="28" t="n">
        <x:v>1</x:v>
      </x:c>
      <x:c r="Q3645" s="24" t="n">
        <x:f>IFERROR(J3645/H3645,0)</x:f>
        <x:v>0.35714285714285715</x:v>
      </x:c>
      <x:c r="R3645" s="24" t="n">
        <x:f>IFERROR(F3645/H3645,0)</x:f>
        <x:v>0.14285714285714285</x:v>
      </x:c>
      <x:c r="S3645" s="24" t="n">
        <x:f>IFERROR(F3645/J3645,0)</x:f>
        <x:v>0.4</x:v>
      </x:c>
      <x:c r="T3645" s="28" t="n">
        <x:f>H3645-I3645</x:f>
        <x:v>-2</x:v>
      </x:c>
      <x:c r="U3645" s="24" t="n">
        <x:f>IFERROR(J3645/H3645,0)-IFERROR(K3645/I3645,0)</x:f>
        <x:v>0.04464285714285715</x:v>
      </x:c>
      <x:c r="V3645" s="24" t="n">
        <x:f>IFERROR(F3645/J3645,0)-IFERROR(G3645/K3645,0)</x:f>
        <x:v>0</x:v>
      </x:c>
      <x:c r="W3645" s="28" t="n">
        <x:f>L3645-M3645</x:f>
        <x:v>2</x:v>
      </x:c>
      <x:c r="X3645" s="24" t="n">
        <x:f>IFERROR(K3645/I3645,0)</x:f>
        <x:v>0.3125</x:v>
      </x:c>
      <x:c r="Y3645" s="24" t="n">
        <x:f>IFERROR(G3645/I3645,0)</x:f>
        <x:v>0.125</x:v>
      </x:c>
      <x:c r="Z3645" s="24" t="n">
        <x:f>IFERROR(G3645/K3645,0)</x:f>
        <x:v>0.4</x:v>
      </x:c>
      <x:c r="AA3645" s="24" t="n">
        <x:f>IFERROR(F3645/H3645,0)-IFERROR(G3645/I3645,0)</x:f>
        <x:v>0.01785714285714285</x:v>
      </x:c>
      <x:c r="AB3645" s="28" t="n">
        <x:f>J3645-K3645</x:f>
        <x:v>0</x:v>
      </x:c>
      <x:c r="AC3645" s="32" t="n">
        <x:f>F3645-G3645</x:f>
        <x:v>0</x:v>
      </x:c>
    </x:row>
    <x:row r="3646">
      <x:c r="A3646" s="4" t="str">
        <x:v>2025-26</x:v>
      </x:c>
      <x:c r="B3646" s="20" t="n">
        <x:v>46102</x:v>
      </x:c>
      <x:c r="C3646" s="4" t="str">
        <x:v>Brentford</x:v>
      </x:c>
      <x:c r="D3646" s="4" t="str">
        <x:v>Leeds</x:v>
      </x:c>
      <x:c r="E3646" s="4" t="str">
        <x:v>Away</x:v>
      </x:c>
      <x:c r="F3646" s="28" t="n">
        <x:v>0</x:v>
      </x:c>
      <x:c r="G3646" s="28" t="n">
        <x:v>0</x:v>
      </x:c>
      <x:c r="H3646" s="28" t="n">
        <x:v>6</x:v>
      </x:c>
      <x:c r="I3646" s="28" t="n">
        <x:v>14</x:v>
      </x:c>
      <x:c r="J3646" s="28" t="n">
        <x:v>2</x:v>
      </x:c>
      <x:c r="K3646" s="28" t="n">
        <x:v>4</x:v>
      </x:c>
      <x:c r="L3646" s="28" t="n">
        <x:v>2</x:v>
      </x:c>
      <x:c r="M3646" s="28" t="n">
        <x:v>6</x:v>
      </x:c>
      <x:c r="N3646" s="28" t="n">
        <x:v>0</x:v>
      </x:c>
      <x:c r="O3646" s="28" t="n">
        <x:v>0</x:v>
      </x:c>
      <x:c r="P3646" s="28" t="n">
        <x:v>1</x:v>
      </x:c>
      <x:c r="Q3646" s="24" t="n">
        <x:f>IFERROR(J3646/H3646,0)</x:f>
        <x:v>0.3333333333333333</x:v>
      </x:c>
      <x:c r="R3646" s="24" t="n">
        <x:f>IFERROR(F3646/H3646,0)</x:f>
        <x:v>0</x:v>
      </x:c>
      <x:c r="S3646" s="24" t="n">
        <x:f>IFERROR(F3646/J3646,0)</x:f>
        <x:v>0</x:v>
      </x:c>
      <x:c r="T3646" s="28" t="n">
        <x:f>H3646-I3646</x:f>
        <x:v>-8</x:v>
      </x:c>
      <x:c r="U3646" s="24" t="n">
        <x:f>IFERROR(J3646/H3646,0)-IFERROR(K3646/I3646,0)</x:f>
        <x:v>0.047619047619047616</x:v>
      </x:c>
      <x:c r="V3646" s="24" t="n">
        <x:f>IFERROR(F3646/J3646,0)-IFERROR(G3646/K3646,0)</x:f>
        <x:v>0</x:v>
      </x:c>
      <x:c r="W3646" s="28" t="n">
        <x:f>L3646-M3646</x:f>
        <x:v>-4</x:v>
      </x:c>
      <x:c r="X3646" s="24" t="n">
        <x:f>IFERROR(K3646/I3646,0)</x:f>
        <x:v>0.2857142857142857</x:v>
      </x:c>
      <x:c r="Y3646" s="24" t="n">
        <x:f>IFERROR(G3646/I3646,0)</x:f>
        <x:v>0</x:v>
      </x:c>
      <x:c r="Z3646" s="24" t="n">
        <x:f>IFERROR(G3646/K3646,0)</x:f>
        <x:v>0</x:v>
      </x:c>
      <x:c r="AA3646" s="24" t="n">
        <x:f>IFERROR(F3646/H3646,0)-IFERROR(G3646/I3646,0)</x:f>
        <x:v>0</x:v>
      </x:c>
      <x:c r="AB3646" s="28" t="n">
        <x:f>J3646-K3646</x:f>
        <x:v>-2</x:v>
      </x:c>
      <x:c r="AC3646" s="32" t="n">
        <x:f>F3646-G3646</x:f>
        <x:v>0</x:v>
      </x:c>
    </x:row>
    <x:row r="3647">
      <x:c r="A3647" s="4" t="str">
        <x:v>2025-26</x:v>
      </x:c>
      <x:c r="B3647" s="20" t="n">
        <x:v>46102</x:v>
      </x:c>
      <x:c r="C3647" s="4" t="str">
        <x:v>Brighton</x:v>
      </x:c>
      <x:c r="D3647" s="4" t="str">
        <x:v>Liverpool</x:v>
      </x:c>
      <x:c r="E3647" s="4" t="str">
        <x:v>Home</x:v>
      </x:c>
      <x:c r="F3647" s="28" t="n">
        <x:v>2</x:v>
      </x:c>
      <x:c r="G3647" s="28" t="n">
        <x:v>1</x:v>
      </x:c>
      <x:c r="H3647" s="28" t="n">
        <x:v>16</x:v>
      </x:c>
      <x:c r="I3647" s="28" t="n">
        <x:v>12</x:v>
      </x:c>
      <x:c r="J3647" s="28" t="n">
        <x:v>7</x:v>
      </x:c>
      <x:c r="K3647" s="28" t="n">
        <x:v>5</x:v>
      </x:c>
      <x:c r="L3647" s="28" t="n">
        <x:v>4</x:v>
      </x:c>
      <x:c r="M3647" s="28" t="n">
        <x:v>8</x:v>
      </x:c>
      <x:c r="N3647" s="28" t="n">
        <x:v>5</x:v>
      </x:c>
      <x:c r="O3647" s="28" t="n">
        <x:v>0</x:v>
      </x:c>
      <x:c r="P3647" s="28" t="n">
        <x:v>3</x:v>
      </x:c>
      <x:c r="Q3647" s="24" t="n">
        <x:f>IFERROR(J3647/H3647,0)</x:f>
        <x:v>0.4375</x:v>
      </x:c>
      <x:c r="R3647" s="24" t="n">
        <x:f>IFERROR(F3647/H3647,0)</x:f>
        <x:v>0.125</x:v>
      </x:c>
      <x:c r="S3647" s="24" t="n">
        <x:f>IFERROR(F3647/J3647,0)</x:f>
        <x:v>0.2857142857142857</x:v>
      </x:c>
      <x:c r="T3647" s="28" t="n">
        <x:f>H3647-I3647</x:f>
        <x:v>4</x:v>
      </x:c>
      <x:c r="U3647" s="24" t="n">
        <x:f>IFERROR(J3647/H3647,0)-IFERROR(K3647/I3647,0)</x:f>
        <x:v>0.020833333333333315</x:v>
      </x:c>
      <x:c r="V3647" s="24" t="n">
        <x:f>IFERROR(F3647/J3647,0)-IFERROR(G3647/K3647,0)</x:f>
        <x:v>0.08571428571428569</x:v>
      </x:c>
      <x:c r="W3647" s="28" t="n">
        <x:f>L3647-M3647</x:f>
        <x:v>-4</x:v>
      </x:c>
      <x:c r="X3647" s="24" t="n">
        <x:f>IFERROR(K3647/I3647,0)</x:f>
        <x:v>0.4166666666666667</x:v>
      </x:c>
      <x:c r="Y3647" s="24" t="n">
        <x:f>IFERROR(G3647/I3647,0)</x:f>
        <x:v>0.08333333333333333</x:v>
      </x:c>
      <x:c r="Z3647" s="24" t="n">
        <x:f>IFERROR(G3647/K3647,0)</x:f>
        <x:v>0.2</x:v>
      </x:c>
      <x:c r="AA3647" s="24" t="n">
        <x:f>IFERROR(F3647/H3647,0)-IFERROR(G3647/I3647,0)</x:f>
        <x:v>0.04166666666666667</x:v>
      </x:c>
      <x:c r="AB3647" s="28" t="n">
        <x:f>J3647-K3647</x:f>
        <x:v>2</x:v>
      </x:c>
      <x:c r="AC3647" s="32" t="n">
        <x:f>F3647-G3647</x:f>
        <x:v>1</x:v>
      </x:c>
    </x:row>
    <x:row r="3648">
      <x:c r="A3648" s="4" t="str">
        <x:v>2025-26</x:v>
      </x:c>
      <x:c r="B3648" s="20" t="n">
        <x:v>46102</x:v>
      </x:c>
      <x:c r="C3648" s="4" t="str">
        <x:v>Burnley</x:v>
      </x:c>
      <x:c r="D3648" s="4" t="str">
        <x:v>Fulham</x:v>
      </x:c>
      <x:c r="E3648" s="4" t="str">
        <x:v>Away</x:v>
      </x:c>
      <x:c r="F3648" s="28" t="n">
        <x:v>1</x:v>
      </x:c>
      <x:c r="G3648" s="28" t="n">
        <x:v>3</x:v>
      </x:c>
      <x:c r="H3648" s="28" t="n">
        <x:v>9</x:v>
      </x:c>
      <x:c r="I3648" s="28" t="n">
        <x:v>22</x:v>
      </x:c>
      <x:c r="J3648" s="28" t="n">
        <x:v>5</x:v>
      </x:c>
      <x:c r="K3648" s="28" t="n">
        <x:v>6</x:v>
      </x:c>
      <x:c r="L3648" s="28" t="n">
        <x:v>6</x:v>
      </x:c>
      <x:c r="M3648" s="28" t="n">
        <x:v>6</x:v>
      </x:c>
      <x:c r="N3648" s="28" t="n">
        <x:v>2</x:v>
      </x:c>
      <x:c r="O3648" s="28" t="n">
        <x:v>1</x:v>
      </x:c>
      <x:c r="P3648" s="28" t="n">
        <x:v>0</x:v>
      </x:c>
      <x:c r="Q3648" s="24" t="n">
        <x:f>IFERROR(J3648/H3648,0)</x:f>
        <x:v>0.5555555555555556</x:v>
      </x:c>
      <x:c r="R3648" s="24" t="n">
        <x:f>IFERROR(F3648/H3648,0)</x:f>
        <x:v>0.1111111111111111</x:v>
      </x:c>
      <x:c r="S3648" s="24" t="n">
        <x:f>IFERROR(F3648/J3648,0)</x:f>
        <x:v>0.2</x:v>
      </x:c>
      <x:c r="T3648" s="28" t="n">
        <x:f>H3648-I3648</x:f>
        <x:v>-13</x:v>
      </x:c>
      <x:c r="U3648" s="24" t="n">
        <x:f>IFERROR(J3648/H3648,0)-IFERROR(K3648/I3648,0)</x:f>
        <x:v>0.2828282828282829</x:v>
      </x:c>
      <x:c r="V3648" s="24" t="n">
        <x:f>IFERROR(F3648/J3648,0)-IFERROR(G3648/K3648,0)</x:f>
        <x:v>-0.3</x:v>
      </x:c>
      <x:c r="W3648" s="28" t="n">
        <x:f>L3648-M3648</x:f>
        <x:v>0</x:v>
      </x:c>
      <x:c r="X3648" s="24" t="n">
        <x:f>IFERROR(K3648/I3648,0)</x:f>
        <x:v>0.2727272727272727</x:v>
      </x:c>
      <x:c r="Y3648" s="24" t="n">
        <x:f>IFERROR(G3648/I3648,0)</x:f>
        <x:v>0.13636363636363635</x:v>
      </x:c>
      <x:c r="Z3648" s="24" t="n">
        <x:f>IFERROR(G3648/K3648,0)</x:f>
        <x:v>0.5</x:v>
      </x:c>
      <x:c r="AA3648" s="24" t="n">
        <x:f>IFERROR(F3648/H3648,0)-IFERROR(G3648/I3648,0)</x:f>
        <x:v>-0.02525252525252525</x:v>
      </x:c>
      <x:c r="AB3648" s="28" t="n">
        <x:f>J3648-K3648</x:f>
        <x:v>-1</x:v>
      </x:c>
      <x:c r="AC3648" s="32" t="n">
        <x:f>F3648-G3648</x:f>
        <x:v>-2</x:v>
      </x:c>
    </x:row>
    <x:row r="3649">
      <x:c r="A3649" s="4" t="str">
        <x:v>2025-26</x:v>
      </x:c>
      <x:c r="B3649" s="20" t="n">
        <x:v>46102</x:v>
      </x:c>
      <x:c r="C3649" s="4" t="str">
        <x:v>Chelsea</x:v>
      </x:c>
      <x:c r="D3649" s="4" t="str">
        <x:v>Everton</x:v>
      </x:c>
      <x:c r="E3649" s="4" t="str">
        <x:v>Away</x:v>
      </x:c>
      <x:c r="F3649" s="28" t="n">
        <x:v>0</x:v>
      </x:c>
      <x:c r="G3649" s="28" t="n">
        <x:v>3</x:v>
      </x:c>
      <x:c r="H3649" s="28" t="n">
        <x:v>12</x:v>
      </x:c>
      <x:c r="I3649" s="28" t="n">
        <x:v>10</x:v>
      </x:c>
      <x:c r="J3649" s="28" t="n">
        <x:v>4</x:v>
      </x:c>
      <x:c r="K3649" s="28" t="n">
        <x:v>9</x:v>
      </x:c>
      <x:c r="L3649" s="28" t="n">
        <x:v>9</x:v>
      </x:c>
      <x:c r="M3649" s="28" t="n">
        <x:v>3</x:v>
      </x:c>
      <x:c r="N3649" s="28" t="n">
        <x:v>2</x:v>
      </x:c>
      <x:c r="O3649" s="28" t="n">
        <x:v>0</x:v>
      </x:c>
      <x:c r="P3649" s="28" t="n">
        <x:v>0</x:v>
      </x:c>
      <x:c r="Q3649" s="24" t="n">
        <x:f>IFERROR(J3649/H3649,0)</x:f>
        <x:v>0.3333333333333333</x:v>
      </x:c>
      <x:c r="R3649" s="24" t="n">
        <x:f>IFERROR(F3649/H3649,0)</x:f>
        <x:v>0</x:v>
      </x:c>
      <x:c r="S3649" s="24" t="n">
        <x:f>IFERROR(F3649/J3649,0)</x:f>
        <x:v>0</x:v>
      </x:c>
      <x:c r="T3649" s="28" t="n">
        <x:f>H3649-I3649</x:f>
        <x:v>2</x:v>
      </x:c>
      <x:c r="U3649" s="24" t="n">
        <x:f>IFERROR(J3649/H3649,0)-IFERROR(K3649/I3649,0)</x:f>
        <x:v>-0.5666666666666667</x:v>
      </x:c>
      <x:c r="V3649" s="24" t="n">
        <x:f>IFERROR(F3649/J3649,0)-IFERROR(G3649/K3649,0)</x:f>
        <x:v>-0.3333333333333333</x:v>
      </x:c>
      <x:c r="W3649" s="28" t="n">
        <x:f>L3649-M3649</x:f>
        <x:v>6</x:v>
      </x:c>
      <x:c r="X3649" s="24" t="n">
        <x:f>IFERROR(K3649/I3649,0)</x:f>
        <x:v>0.9</x:v>
      </x:c>
      <x:c r="Y3649" s="24" t="n">
        <x:f>IFERROR(G3649/I3649,0)</x:f>
        <x:v>0.3</x:v>
      </x:c>
      <x:c r="Z3649" s="24" t="n">
        <x:f>IFERROR(G3649/K3649,0)</x:f>
        <x:v>0.3333333333333333</x:v>
      </x:c>
      <x:c r="AA3649" s="24" t="n">
        <x:f>IFERROR(F3649/H3649,0)-IFERROR(G3649/I3649,0)</x:f>
        <x:v>-0.3</x:v>
      </x:c>
      <x:c r="AB3649" s="28" t="n">
        <x:f>J3649-K3649</x:f>
        <x:v>-5</x:v>
      </x:c>
      <x:c r="AC3649" s="32" t="n">
        <x:f>F3649-G3649</x:f>
        <x:v>-3</x:v>
      </x:c>
    </x:row>
    <x:row r="3650">
      <x:c r="A3650" s="4" t="str">
        <x:v>2025-26</x:v>
      </x:c>
      <x:c r="B3650" s="20" t="n">
        <x:v>46102</x:v>
      </x:c>
      <x:c r="C3650" s="4" t="str">
        <x:v>Everton</x:v>
      </x:c>
      <x:c r="D3650" s="4" t="str">
        <x:v>Chelsea</x:v>
      </x:c>
      <x:c r="E3650" s="4" t="str">
        <x:v>Home</x:v>
      </x:c>
      <x:c r="F3650" s="28" t="n">
        <x:v>3</x:v>
      </x:c>
      <x:c r="G3650" s="28" t="n">
        <x:v>0</x:v>
      </x:c>
      <x:c r="H3650" s="28" t="n">
        <x:v>10</x:v>
      </x:c>
      <x:c r="I3650" s="28" t="n">
        <x:v>12</x:v>
      </x:c>
      <x:c r="J3650" s="28" t="n">
        <x:v>9</x:v>
      </x:c>
      <x:c r="K3650" s="28" t="n">
        <x:v>4</x:v>
      </x:c>
      <x:c r="L3650" s="28" t="n">
        <x:v>3</x:v>
      </x:c>
      <x:c r="M3650" s="28" t="n">
        <x:v>9</x:v>
      </x:c>
      <x:c r="N3650" s="28" t="n">
        <x:v>0</x:v>
      </x:c>
      <x:c r="O3650" s="28" t="n">
        <x:v>0</x:v>
      </x:c>
      <x:c r="P3650" s="28" t="n">
        <x:v>3</x:v>
      </x:c>
      <x:c r="Q3650" s="24" t="n">
        <x:f>IFERROR(J3650/H3650,0)</x:f>
        <x:v>0.9</x:v>
      </x:c>
      <x:c r="R3650" s="24" t="n">
        <x:f>IFERROR(F3650/H3650,0)</x:f>
        <x:v>0.3</x:v>
      </x:c>
      <x:c r="S3650" s="24" t="n">
        <x:f>IFERROR(F3650/J3650,0)</x:f>
        <x:v>0.3333333333333333</x:v>
      </x:c>
      <x:c r="T3650" s="28" t="n">
        <x:f>H3650-I3650</x:f>
        <x:v>-2</x:v>
      </x:c>
      <x:c r="U3650" s="24" t="n">
        <x:f>IFERROR(J3650/H3650,0)-IFERROR(K3650/I3650,0)</x:f>
        <x:v>0.5666666666666667</x:v>
      </x:c>
      <x:c r="V3650" s="24" t="n">
        <x:f>IFERROR(F3650/J3650,0)-IFERROR(G3650/K3650,0)</x:f>
        <x:v>0.3333333333333333</x:v>
      </x:c>
      <x:c r="W3650" s="28" t="n">
        <x:f>L3650-M3650</x:f>
        <x:v>-6</x:v>
      </x:c>
      <x:c r="X3650" s="24" t="n">
        <x:f>IFERROR(K3650/I3650,0)</x:f>
        <x:v>0.3333333333333333</x:v>
      </x:c>
      <x:c r="Y3650" s="24" t="n">
        <x:f>IFERROR(G3650/I3650,0)</x:f>
        <x:v>0</x:v>
      </x:c>
      <x:c r="Z3650" s="24" t="n">
        <x:f>IFERROR(G3650/K3650,0)</x:f>
        <x:v>0</x:v>
      </x:c>
      <x:c r="AA3650" s="24" t="n">
        <x:f>IFERROR(F3650/H3650,0)-IFERROR(G3650/I3650,0)</x:f>
        <x:v>0.3</x:v>
      </x:c>
      <x:c r="AB3650" s="28" t="n">
        <x:f>J3650-K3650</x:f>
        <x:v>5</x:v>
      </x:c>
      <x:c r="AC3650" s="32" t="n">
        <x:f>F3650-G3650</x:f>
        <x:v>3</x:v>
      </x:c>
    </x:row>
    <x:row r="3651">
      <x:c r="A3651" s="4" t="str">
        <x:v>2025-26</x:v>
      </x:c>
      <x:c r="B3651" s="20" t="n">
        <x:v>46102</x:v>
      </x:c>
      <x:c r="C3651" s="4" t="str">
        <x:v>Fulham</x:v>
      </x:c>
      <x:c r="D3651" s="4" t="str">
        <x:v>Burnley</x:v>
      </x:c>
      <x:c r="E3651" s="4" t="str">
        <x:v>Home</x:v>
      </x:c>
      <x:c r="F3651" s="28" t="n">
        <x:v>3</x:v>
      </x:c>
      <x:c r="G3651" s="28" t="n">
        <x:v>1</x:v>
      </x:c>
      <x:c r="H3651" s="28" t="n">
        <x:v>22</x:v>
      </x:c>
      <x:c r="I3651" s="28" t="n">
        <x:v>9</x:v>
      </x:c>
      <x:c r="J3651" s="28" t="n">
        <x:v>6</x:v>
      </x:c>
      <x:c r="K3651" s="28" t="n">
        <x:v>5</x:v>
      </x:c>
      <x:c r="L3651" s="28" t="n">
        <x:v>6</x:v>
      </x:c>
      <x:c r="M3651" s="28" t="n">
        <x:v>6</x:v>
      </x:c>
      <x:c r="N3651" s="28" t="n">
        <x:v>2</x:v>
      </x:c>
      <x:c r="O3651" s="28" t="n">
        <x:v>0</x:v>
      </x:c>
      <x:c r="P3651" s="28" t="n">
        <x:v>3</x:v>
      </x:c>
      <x:c r="Q3651" s="24" t="n">
        <x:f>IFERROR(J3651/H3651,0)</x:f>
        <x:v>0.2727272727272727</x:v>
      </x:c>
      <x:c r="R3651" s="24" t="n">
        <x:f>IFERROR(F3651/H3651,0)</x:f>
        <x:v>0.13636363636363635</x:v>
      </x:c>
      <x:c r="S3651" s="24" t="n">
        <x:f>IFERROR(F3651/J3651,0)</x:f>
        <x:v>0.5</x:v>
      </x:c>
      <x:c r="T3651" s="28" t="n">
        <x:f>H3651-I3651</x:f>
        <x:v>13</x:v>
      </x:c>
      <x:c r="U3651" s="24" t="n">
        <x:f>IFERROR(J3651/H3651,0)-IFERROR(K3651/I3651,0)</x:f>
        <x:v>-0.2828282828282829</x:v>
      </x:c>
      <x:c r="V3651" s="24" t="n">
        <x:f>IFERROR(F3651/J3651,0)-IFERROR(G3651/K3651,0)</x:f>
        <x:v>0.3</x:v>
      </x:c>
      <x:c r="W3651" s="28" t="n">
        <x:f>L3651-M3651</x:f>
        <x:v>0</x:v>
      </x:c>
      <x:c r="X3651" s="24" t="n">
        <x:f>IFERROR(K3651/I3651,0)</x:f>
        <x:v>0.5555555555555556</x:v>
      </x:c>
      <x:c r="Y3651" s="24" t="n">
        <x:f>IFERROR(G3651/I3651,0)</x:f>
        <x:v>0.1111111111111111</x:v>
      </x:c>
      <x:c r="Z3651" s="24" t="n">
        <x:f>IFERROR(G3651/K3651,0)</x:f>
        <x:v>0.2</x:v>
      </x:c>
      <x:c r="AA3651" s="24" t="n">
        <x:f>IFERROR(F3651/H3651,0)-IFERROR(G3651/I3651,0)</x:f>
        <x:v>0.02525252525252525</x:v>
      </x:c>
      <x:c r="AB3651" s="28" t="n">
        <x:f>J3651-K3651</x:f>
        <x:v>1</x:v>
      </x:c>
      <x:c r="AC3651" s="32" t="n">
        <x:f>F3651-G3651</x:f>
        <x:v>2</x:v>
      </x:c>
    </x:row>
    <x:row r="3652">
      <x:c r="A3652" s="4" t="str">
        <x:v>2025-26</x:v>
      </x:c>
      <x:c r="B3652" s="20" t="n">
        <x:v>46102</x:v>
      </x:c>
      <x:c r="C3652" s="4" t="str">
        <x:v>Leeds</x:v>
      </x:c>
      <x:c r="D3652" s="4" t="str">
        <x:v>Brentford</x:v>
      </x:c>
      <x:c r="E3652" s="4" t="str">
        <x:v>Home</x:v>
      </x:c>
      <x:c r="F3652" s="28" t="n">
        <x:v>0</x:v>
      </x:c>
      <x:c r="G3652" s="28" t="n">
        <x:v>0</x:v>
      </x:c>
      <x:c r="H3652" s="28" t="n">
        <x:v>14</x:v>
      </x:c>
      <x:c r="I3652" s="28" t="n">
        <x:v>6</x:v>
      </x:c>
      <x:c r="J3652" s="28" t="n">
        <x:v>4</x:v>
      </x:c>
      <x:c r="K3652" s="28" t="n">
        <x:v>2</x:v>
      </x:c>
      <x:c r="L3652" s="28" t="n">
        <x:v>6</x:v>
      </x:c>
      <x:c r="M3652" s="28" t="n">
        <x:v>2</x:v>
      </x:c>
      <x:c r="N3652" s="28" t="n">
        <x:v>2</x:v>
      </x:c>
      <x:c r="O3652" s="28" t="n">
        <x:v>0</x:v>
      </x:c>
      <x:c r="P3652" s="28" t="n">
        <x:v>1</x:v>
      </x:c>
      <x:c r="Q3652" s="24" t="n">
        <x:f>IFERROR(J3652/H3652,0)</x:f>
        <x:v>0.2857142857142857</x:v>
      </x:c>
      <x:c r="R3652" s="24" t="n">
        <x:f>IFERROR(F3652/H3652,0)</x:f>
        <x:v>0</x:v>
      </x:c>
      <x:c r="S3652" s="24" t="n">
        <x:f>IFERROR(F3652/J3652,0)</x:f>
        <x:v>0</x:v>
      </x:c>
      <x:c r="T3652" s="28" t="n">
        <x:f>H3652-I3652</x:f>
        <x:v>8</x:v>
      </x:c>
      <x:c r="U3652" s="24" t="n">
        <x:f>IFERROR(J3652/H3652,0)-IFERROR(K3652/I3652,0)</x:f>
        <x:v>-0.047619047619047616</x:v>
      </x:c>
      <x:c r="V3652" s="24" t="n">
        <x:f>IFERROR(F3652/J3652,0)-IFERROR(G3652/K3652,0)</x:f>
        <x:v>0</x:v>
      </x:c>
      <x:c r="W3652" s="28" t="n">
        <x:f>L3652-M3652</x:f>
        <x:v>4</x:v>
      </x:c>
      <x:c r="X3652" s="24" t="n">
        <x:f>IFERROR(K3652/I3652,0)</x:f>
        <x:v>0.3333333333333333</x:v>
      </x:c>
      <x:c r="Y3652" s="24" t="n">
        <x:f>IFERROR(G3652/I3652,0)</x:f>
        <x:v>0</x:v>
      </x:c>
      <x:c r="Z3652" s="24" t="n">
        <x:f>IFERROR(G3652/K3652,0)</x:f>
        <x:v>0</x:v>
      </x:c>
      <x:c r="AA3652" s="24" t="n">
        <x:f>IFERROR(F3652/H3652,0)-IFERROR(G3652/I3652,0)</x:f>
        <x:v>0</x:v>
      </x:c>
      <x:c r="AB3652" s="28" t="n">
        <x:f>J3652-K3652</x:f>
        <x:v>2</x:v>
      </x:c>
      <x:c r="AC3652" s="32" t="n">
        <x:f>F3652-G3652</x:f>
        <x:v>0</x:v>
      </x:c>
    </x:row>
    <x:row r="3653">
      <x:c r="A3653" s="4" t="str">
        <x:v>2025-26</x:v>
      </x:c>
      <x:c r="B3653" s="20" t="n">
        <x:v>46102</x:v>
      </x:c>
      <x:c r="C3653" s="4" t="str">
        <x:v>Liverpool</x:v>
      </x:c>
      <x:c r="D3653" s="4" t="str">
        <x:v>Brighton</x:v>
      </x:c>
      <x:c r="E3653" s="4" t="str">
        <x:v>Away</x:v>
      </x:c>
      <x:c r="F3653" s="28" t="n">
        <x:v>1</x:v>
      </x:c>
      <x:c r="G3653" s="28" t="n">
        <x:v>2</x:v>
      </x:c>
      <x:c r="H3653" s="28" t="n">
        <x:v>12</x:v>
      </x:c>
      <x:c r="I3653" s="28" t="n">
        <x:v>16</x:v>
      </x:c>
      <x:c r="J3653" s="28" t="n">
        <x:v>5</x:v>
      </x:c>
      <x:c r="K3653" s="28" t="n">
        <x:v>7</x:v>
      </x:c>
      <x:c r="L3653" s="28" t="n">
        <x:v>8</x:v>
      </x:c>
      <x:c r="M3653" s="28" t="n">
        <x:v>4</x:v>
      </x:c>
      <x:c r="N3653" s="28" t="n">
        <x:v>5</x:v>
      </x:c>
      <x:c r="O3653" s="28" t="n">
        <x:v>0</x:v>
      </x:c>
      <x:c r="P3653" s="28" t="n">
        <x:v>0</x:v>
      </x:c>
      <x:c r="Q3653" s="24" t="n">
        <x:f>IFERROR(J3653/H3653,0)</x:f>
        <x:v>0.4166666666666667</x:v>
      </x:c>
      <x:c r="R3653" s="24" t="n">
        <x:f>IFERROR(F3653/H3653,0)</x:f>
        <x:v>0.08333333333333333</x:v>
      </x:c>
      <x:c r="S3653" s="24" t="n">
        <x:f>IFERROR(F3653/J3653,0)</x:f>
        <x:v>0.2</x:v>
      </x:c>
      <x:c r="T3653" s="28" t="n">
        <x:f>H3653-I3653</x:f>
        <x:v>-4</x:v>
      </x:c>
      <x:c r="U3653" s="24" t="n">
        <x:f>IFERROR(J3653/H3653,0)-IFERROR(K3653/I3653,0)</x:f>
        <x:v>-0.020833333333333315</x:v>
      </x:c>
      <x:c r="V3653" s="24" t="n">
        <x:f>IFERROR(F3653/J3653,0)-IFERROR(G3653/K3653,0)</x:f>
        <x:v>-0.08571428571428569</x:v>
      </x:c>
      <x:c r="W3653" s="28" t="n">
        <x:f>L3653-M3653</x:f>
        <x:v>4</x:v>
      </x:c>
      <x:c r="X3653" s="24" t="n">
        <x:f>IFERROR(K3653/I3653,0)</x:f>
        <x:v>0.4375</x:v>
      </x:c>
      <x:c r="Y3653" s="24" t="n">
        <x:f>IFERROR(G3653/I3653,0)</x:f>
        <x:v>0.125</x:v>
      </x:c>
      <x:c r="Z3653" s="24" t="n">
        <x:f>IFERROR(G3653/K3653,0)</x:f>
        <x:v>0.2857142857142857</x:v>
      </x:c>
      <x:c r="AA3653" s="24" t="n">
        <x:f>IFERROR(F3653/H3653,0)-IFERROR(G3653/I3653,0)</x:f>
        <x:v>-0.04166666666666667</x:v>
      </x:c>
      <x:c r="AB3653" s="28" t="n">
        <x:f>J3653-K3653</x:f>
        <x:v>-2</x:v>
      </x:c>
      <x:c r="AC3653" s="32" t="n">
        <x:f>F3653-G3653</x:f>
        <x:v>-1</x:v>
      </x:c>
    </x:row>
    <x:row r="3654">
      <x:c r="A3654" s="4" t="str">
        <x:v>2025-26</x:v>
      </x:c>
      <x:c r="B3654" s="20" t="n">
        <x:v>46103</x:v>
      </x:c>
      <x:c r="C3654" s="4" t="str">
        <x:v>Aston Villa</x:v>
      </x:c>
      <x:c r="D3654" s="4" t="str">
        <x:v>West Ham</x:v>
      </x:c>
      <x:c r="E3654" s="4" t="str">
        <x:v>Home</x:v>
      </x:c>
      <x:c r="F3654" s="28" t="n">
        <x:v>2</x:v>
      </x:c>
      <x:c r="G3654" s="28" t="n">
        <x:v>0</x:v>
      </x:c>
      <x:c r="H3654" s="28" t="n">
        <x:v>23</x:v>
      </x:c>
      <x:c r="I3654" s="28" t="n">
        <x:v>9</x:v>
      </x:c>
      <x:c r="J3654" s="28" t="n">
        <x:v>7</x:v>
      </x:c>
      <x:c r="K3654" s="28" t="n">
        <x:v>1</x:v>
      </x:c>
      <x:c r="L3654" s="28" t="n">
        <x:v>6</x:v>
      </x:c>
      <x:c r="M3654" s="28" t="n">
        <x:v>6</x:v>
      </x:c>
      <x:c r="N3654" s="28" t="n">
        <x:v>0</x:v>
      </x:c>
      <x:c r="O3654" s="28" t="n">
        <x:v>0</x:v>
      </x:c>
      <x:c r="P3654" s="28" t="n">
        <x:v>3</x:v>
      </x:c>
      <x:c r="Q3654" s="24" t="n">
        <x:f>IFERROR(J3654/H3654,0)</x:f>
        <x:v>0.30434782608695654</x:v>
      </x:c>
      <x:c r="R3654" s="24" t="n">
        <x:f>IFERROR(F3654/H3654,0)</x:f>
        <x:v>0.08695652173913043</x:v>
      </x:c>
      <x:c r="S3654" s="24" t="n">
        <x:f>IFERROR(F3654/J3654,0)</x:f>
        <x:v>0.2857142857142857</x:v>
      </x:c>
      <x:c r="T3654" s="28" t="n">
        <x:f>H3654-I3654</x:f>
        <x:v>14</x:v>
      </x:c>
      <x:c r="U3654" s="24" t="n">
        <x:f>IFERROR(J3654/H3654,0)-IFERROR(K3654/I3654,0)</x:f>
        <x:v>0.19323671497584544</x:v>
      </x:c>
      <x:c r="V3654" s="24" t="n">
        <x:f>IFERROR(F3654/J3654,0)-IFERROR(G3654/K3654,0)</x:f>
        <x:v>0.2857142857142857</x:v>
      </x:c>
      <x:c r="W3654" s="28" t="n">
        <x:f>L3654-M3654</x:f>
        <x:v>0</x:v>
      </x:c>
      <x:c r="X3654" s="24" t="n">
        <x:f>IFERROR(K3654/I3654,0)</x:f>
        <x:v>0.1111111111111111</x:v>
      </x:c>
      <x:c r="Y3654" s="24" t="n">
        <x:f>IFERROR(G3654/I3654,0)</x:f>
        <x:v>0</x:v>
      </x:c>
      <x:c r="Z3654" s="24" t="n">
        <x:f>IFERROR(G3654/K3654,0)</x:f>
        <x:v>0</x:v>
      </x:c>
      <x:c r="AA3654" s="24" t="n">
        <x:f>IFERROR(F3654/H3654,0)-IFERROR(G3654/I3654,0)</x:f>
        <x:v>0.08695652173913043</x:v>
      </x:c>
      <x:c r="AB3654" s="28" t="n">
        <x:f>J3654-K3654</x:f>
        <x:v>6</x:v>
      </x:c>
      <x:c r="AC3654" s="32" t="n">
        <x:f>F3654-G3654</x:f>
        <x:v>2</x:v>
      </x:c>
    </x:row>
    <x:row r="3655">
      <x:c r="A3655" s="4" t="str">
        <x:v>2025-26</x:v>
      </x:c>
      <x:c r="B3655" s="20" t="n">
        <x:v>46103</x:v>
      </x:c>
      <x:c r="C3655" s="4" t="str">
        <x:v>Newcastle</x:v>
      </x:c>
      <x:c r="D3655" s="4" t="str">
        <x:v>Sunderland</x:v>
      </x:c>
      <x:c r="E3655" s="4" t="str">
        <x:v>Home</x:v>
      </x:c>
      <x:c r="F3655" s="28" t="n">
        <x:v>1</x:v>
      </x:c>
      <x:c r="G3655" s="28" t="n">
        <x:v>2</x:v>
      </x:c>
      <x:c r="H3655" s="28" t="n">
        <x:v>16</x:v>
      </x:c>
      <x:c r="I3655" s="28" t="n">
        <x:v>17</x:v>
      </x:c>
      <x:c r="J3655" s="28" t="n">
        <x:v>4</x:v>
      </x:c>
      <x:c r="K3655" s="28" t="n">
        <x:v>7</x:v>
      </x:c>
      <x:c r="L3655" s="28" t="n">
        <x:v>9</x:v>
      </x:c>
      <x:c r="M3655" s="28" t="n">
        <x:v>5</x:v>
      </x:c>
      <x:c r="N3655" s="28" t="n">
        <x:v>1</x:v>
      </x:c>
      <x:c r="O3655" s="28" t="n">
        <x:v>0</x:v>
      </x:c>
      <x:c r="P3655" s="28" t="n">
        <x:v>0</x:v>
      </x:c>
      <x:c r="Q3655" s="24" t="n">
        <x:f>IFERROR(J3655/H3655,0)</x:f>
        <x:v>0.25</x:v>
      </x:c>
      <x:c r="R3655" s="24" t="n">
        <x:f>IFERROR(F3655/H3655,0)</x:f>
        <x:v>0.0625</x:v>
      </x:c>
      <x:c r="S3655" s="24" t="n">
        <x:f>IFERROR(F3655/J3655,0)</x:f>
        <x:v>0.25</x:v>
      </x:c>
      <x:c r="T3655" s="28" t="n">
        <x:f>H3655-I3655</x:f>
        <x:v>-1</x:v>
      </x:c>
      <x:c r="U3655" s="24" t="n">
        <x:f>IFERROR(J3655/H3655,0)-IFERROR(K3655/I3655,0)</x:f>
        <x:v>-0.16176470588235292</x:v>
      </x:c>
      <x:c r="V3655" s="24" t="n">
        <x:f>IFERROR(F3655/J3655,0)-IFERROR(G3655/K3655,0)</x:f>
        <x:v>-0.0357142857142857</x:v>
      </x:c>
      <x:c r="W3655" s="28" t="n">
        <x:f>L3655-M3655</x:f>
        <x:v>4</x:v>
      </x:c>
      <x:c r="X3655" s="24" t="n">
        <x:f>IFERROR(K3655/I3655,0)</x:f>
        <x:v>0.4117647058823529</x:v>
      </x:c>
      <x:c r="Y3655" s="24" t="n">
        <x:f>IFERROR(G3655/I3655,0)</x:f>
        <x:v>0.11764705882352941</x:v>
      </x:c>
      <x:c r="Z3655" s="24" t="n">
        <x:f>IFERROR(G3655/K3655,0)</x:f>
        <x:v>0.2857142857142857</x:v>
      </x:c>
      <x:c r="AA3655" s="24" t="n">
        <x:f>IFERROR(F3655/H3655,0)-IFERROR(G3655/I3655,0)</x:f>
        <x:v>-0.05514705882352941</x:v>
      </x:c>
      <x:c r="AB3655" s="28" t="n">
        <x:f>J3655-K3655</x:f>
        <x:v>-3</x:v>
      </x:c>
      <x:c r="AC3655" s="32" t="n">
        <x:f>F3655-G3655</x:f>
        <x:v>-1</x:v>
      </x:c>
    </x:row>
    <x:row r="3656">
      <x:c r="A3656" s="4" t="str">
        <x:v>2025-26</x:v>
      </x:c>
      <x:c r="B3656" s="20" t="n">
        <x:v>46103</x:v>
      </x:c>
      <x:c r="C3656" s="4" t="str">
        <x:v>Nott'm Forest</x:v>
      </x:c>
      <x:c r="D3656" s="4" t="str">
        <x:v>Tottenham</x:v>
      </x:c>
      <x:c r="E3656" s="4" t="str">
        <x:v>Away</x:v>
      </x:c>
      <x:c r="F3656" s="28" t="n">
        <x:v>3</x:v>
      </x:c>
      <x:c r="G3656" s="28" t="n">
        <x:v>0</x:v>
      </x:c>
      <x:c r="H3656" s="28" t="n">
        <x:v>8</x:v>
      </x:c>
      <x:c r="I3656" s="28" t="n">
        <x:v>14</x:v>
      </x:c>
      <x:c r="J3656" s="28" t="n">
        <x:v>7</x:v>
      </x:c>
      <x:c r="K3656" s="28" t="n">
        <x:v>3</x:v>
      </x:c>
      <x:c r="L3656" s="28" t="n">
        <x:v>3</x:v>
      </x:c>
      <x:c r="M3656" s="28" t="n">
        <x:v>13</x:v>
      </x:c>
      <x:c r="N3656" s="28" t="n">
        <x:v>2</x:v>
      </x:c>
      <x:c r="O3656" s="28" t="n">
        <x:v>0</x:v>
      </x:c>
      <x:c r="P3656" s="28" t="n">
        <x:v>3</x:v>
      </x:c>
      <x:c r="Q3656" s="24" t="n">
        <x:f>IFERROR(J3656/H3656,0)</x:f>
        <x:v>0.875</x:v>
      </x:c>
      <x:c r="R3656" s="24" t="n">
        <x:f>IFERROR(F3656/H3656,0)</x:f>
        <x:v>0.375</x:v>
      </x:c>
      <x:c r="S3656" s="24" t="n">
        <x:f>IFERROR(F3656/J3656,0)</x:f>
        <x:v>0.42857142857142855</x:v>
      </x:c>
      <x:c r="T3656" s="28" t="n">
        <x:f>H3656-I3656</x:f>
        <x:v>-6</x:v>
      </x:c>
      <x:c r="U3656" s="24" t="n">
        <x:f>IFERROR(J3656/H3656,0)-IFERROR(K3656/I3656,0)</x:f>
        <x:v>0.6607142857142857</x:v>
      </x:c>
      <x:c r="V3656" s="24" t="n">
        <x:f>IFERROR(F3656/J3656,0)-IFERROR(G3656/K3656,0)</x:f>
        <x:v>0.42857142857142855</x:v>
      </x:c>
      <x:c r="W3656" s="28" t="n">
        <x:f>L3656-M3656</x:f>
        <x:v>-10</x:v>
      </x:c>
      <x:c r="X3656" s="24" t="n">
        <x:f>IFERROR(K3656/I3656,0)</x:f>
        <x:v>0.21428571428571427</x:v>
      </x:c>
      <x:c r="Y3656" s="24" t="n">
        <x:f>IFERROR(G3656/I3656,0)</x:f>
        <x:v>0</x:v>
      </x:c>
      <x:c r="Z3656" s="24" t="n">
        <x:f>IFERROR(G3656/K3656,0)</x:f>
        <x:v>0</x:v>
      </x:c>
      <x:c r="AA3656" s="24" t="n">
        <x:f>IFERROR(F3656/H3656,0)-IFERROR(G3656/I3656,0)</x:f>
        <x:v>0.375</x:v>
      </x:c>
      <x:c r="AB3656" s="28" t="n">
        <x:f>J3656-K3656</x:f>
        <x:v>4</x:v>
      </x:c>
      <x:c r="AC3656" s="32" t="n">
        <x:f>F3656-G3656</x:f>
        <x:v>3</x:v>
      </x:c>
    </x:row>
    <x:row r="3657">
      <x:c r="A3657" s="4" t="str">
        <x:v>2025-26</x:v>
      </x:c>
      <x:c r="B3657" s="20" t="n">
        <x:v>46103</x:v>
      </x:c>
      <x:c r="C3657" s="4" t="str">
        <x:v>Sunderland</x:v>
      </x:c>
      <x:c r="D3657" s="4" t="str">
        <x:v>Newcastle</x:v>
      </x:c>
      <x:c r="E3657" s="4" t="str">
        <x:v>Away</x:v>
      </x:c>
      <x:c r="F3657" s="28" t="n">
        <x:v>2</x:v>
      </x:c>
      <x:c r="G3657" s="28" t="n">
        <x:v>1</x:v>
      </x:c>
      <x:c r="H3657" s="28" t="n">
        <x:v>17</x:v>
      </x:c>
      <x:c r="I3657" s="28" t="n">
        <x:v>16</x:v>
      </x:c>
      <x:c r="J3657" s="28" t="n">
        <x:v>7</x:v>
      </x:c>
      <x:c r="K3657" s="28" t="n">
        <x:v>4</x:v>
      </x:c>
      <x:c r="L3657" s="28" t="n">
        <x:v>5</x:v>
      </x:c>
      <x:c r="M3657" s="28" t="n">
        <x:v>9</x:v>
      </x:c>
      <x:c r="N3657" s="28" t="n">
        <x:v>6</x:v>
      </x:c>
      <x:c r="O3657" s="28" t="n">
        <x:v>0</x:v>
      </x:c>
      <x:c r="P3657" s="28" t="n">
        <x:v>3</x:v>
      </x:c>
      <x:c r="Q3657" s="24" t="n">
        <x:f>IFERROR(J3657/H3657,0)</x:f>
        <x:v>0.4117647058823529</x:v>
      </x:c>
      <x:c r="R3657" s="24" t="n">
        <x:f>IFERROR(F3657/H3657,0)</x:f>
        <x:v>0.11764705882352941</x:v>
      </x:c>
      <x:c r="S3657" s="24" t="n">
        <x:f>IFERROR(F3657/J3657,0)</x:f>
        <x:v>0.2857142857142857</x:v>
      </x:c>
      <x:c r="T3657" s="28" t="n">
        <x:f>H3657-I3657</x:f>
        <x:v>1</x:v>
      </x:c>
      <x:c r="U3657" s="24" t="n">
        <x:f>IFERROR(J3657/H3657,0)-IFERROR(K3657/I3657,0)</x:f>
        <x:v>0.16176470588235292</x:v>
      </x:c>
      <x:c r="V3657" s="24" t="n">
        <x:f>IFERROR(F3657/J3657,0)-IFERROR(G3657/K3657,0)</x:f>
        <x:v>0.0357142857142857</x:v>
      </x:c>
      <x:c r="W3657" s="28" t="n">
        <x:f>L3657-M3657</x:f>
        <x:v>-4</x:v>
      </x:c>
      <x:c r="X3657" s="24" t="n">
        <x:f>IFERROR(K3657/I3657,0)</x:f>
        <x:v>0.25</x:v>
      </x:c>
      <x:c r="Y3657" s="24" t="n">
        <x:f>IFERROR(G3657/I3657,0)</x:f>
        <x:v>0.0625</x:v>
      </x:c>
      <x:c r="Z3657" s="24" t="n">
        <x:f>IFERROR(G3657/K3657,0)</x:f>
        <x:v>0.25</x:v>
      </x:c>
      <x:c r="AA3657" s="24" t="n">
        <x:f>IFERROR(F3657/H3657,0)-IFERROR(G3657/I3657,0)</x:f>
        <x:v>0.05514705882352941</x:v>
      </x:c>
      <x:c r="AB3657" s="28" t="n">
        <x:f>J3657-K3657</x:f>
        <x:v>3</x:v>
      </x:c>
      <x:c r="AC3657" s="32" t="n">
        <x:f>F3657-G3657</x:f>
        <x:v>1</x:v>
      </x:c>
    </x:row>
    <x:row r="3658">
      <x:c r="A3658" s="4" t="str">
        <x:v>2025-26</x:v>
      </x:c>
      <x:c r="B3658" s="20" t="n">
        <x:v>46103</x:v>
      </x:c>
      <x:c r="C3658" s="4" t="str">
        <x:v>Tottenham</x:v>
      </x:c>
      <x:c r="D3658" s="4" t="str">
        <x:v>Nott'm Forest</x:v>
      </x:c>
      <x:c r="E3658" s="4" t="str">
        <x:v>Home</x:v>
      </x:c>
      <x:c r="F3658" s="28" t="n">
        <x:v>0</x:v>
      </x:c>
      <x:c r="G3658" s="28" t="n">
        <x:v>3</x:v>
      </x:c>
      <x:c r="H3658" s="28" t="n">
        <x:v>14</x:v>
      </x:c>
      <x:c r="I3658" s="28" t="n">
        <x:v>8</x:v>
      </x:c>
      <x:c r="J3658" s="28" t="n">
        <x:v>3</x:v>
      </x:c>
      <x:c r="K3658" s="28" t="n">
        <x:v>7</x:v>
      </x:c>
      <x:c r="L3658" s="28" t="n">
        <x:v>13</x:v>
      </x:c>
      <x:c r="M3658" s="28" t="n">
        <x:v>3</x:v>
      </x:c>
      <x:c r="N3658" s="28" t="n">
        <x:v>1</x:v>
      </x:c>
      <x:c r="O3658" s="28" t="n">
        <x:v>0</x:v>
      </x:c>
      <x:c r="P3658" s="28" t="n">
        <x:v>0</x:v>
      </x:c>
      <x:c r="Q3658" s="24" t="n">
        <x:f>IFERROR(J3658/H3658,0)</x:f>
        <x:v>0.21428571428571427</x:v>
      </x:c>
      <x:c r="R3658" s="24" t="n">
        <x:f>IFERROR(F3658/H3658,0)</x:f>
        <x:v>0</x:v>
      </x:c>
      <x:c r="S3658" s="24" t="n">
        <x:f>IFERROR(F3658/J3658,0)</x:f>
        <x:v>0</x:v>
      </x:c>
      <x:c r="T3658" s="28" t="n">
        <x:f>H3658-I3658</x:f>
        <x:v>6</x:v>
      </x:c>
      <x:c r="U3658" s="24" t="n">
        <x:f>IFERROR(J3658/H3658,0)-IFERROR(K3658/I3658,0)</x:f>
        <x:v>-0.6607142857142857</x:v>
      </x:c>
      <x:c r="V3658" s="24" t="n">
        <x:f>IFERROR(F3658/J3658,0)-IFERROR(G3658/K3658,0)</x:f>
        <x:v>-0.42857142857142855</x:v>
      </x:c>
      <x:c r="W3658" s="28" t="n">
        <x:f>L3658-M3658</x:f>
        <x:v>10</x:v>
      </x:c>
      <x:c r="X3658" s="24" t="n">
        <x:f>IFERROR(K3658/I3658,0)</x:f>
        <x:v>0.875</x:v>
      </x:c>
      <x:c r="Y3658" s="24" t="n">
        <x:f>IFERROR(G3658/I3658,0)</x:f>
        <x:v>0.375</x:v>
      </x:c>
      <x:c r="Z3658" s="24" t="n">
        <x:f>IFERROR(G3658/K3658,0)</x:f>
        <x:v>0.42857142857142855</x:v>
      </x:c>
      <x:c r="AA3658" s="24" t="n">
        <x:f>IFERROR(F3658/H3658,0)-IFERROR(G3658/I3658,0)</x:f>
        <x:v>-0.375</x:v>
      </x:c>
      <x:c r="AB3658" s="28" t="n">
        <x:f>J3658-K3658</x:f>
        <x:v>-4</x:v>
      </x:c>
      <x:c r="AC3658" s="32" t="n">
        <x:f>F3658-G3658</x:f>
        <x:v>-3</x:v>
      </x:c>
    </x:row>
    <x:row r="3659">
      <x:c r="A3659" s="4" t="str">
        <x:v>2025-26</x:v>
      </x:c>
      <x:c r="B3659" s="20" t="n">
        <x:v>46103</x:v>
      </x:c>
      <x:c r="C3659" s="4" t="str">
        <x:v>West Ham</x:v>
      </x:c>
      <x:c r="D3659" s="4" t="str">
        <x:v>Aston Villa</x:v>
      </x:c>
      <x:c r="E3659" s="4" t="str">
        <x:v>Away</x:v>
      </x:c>
      <x:c r="F3659" s="28" t="n">
        <x:v>0</x:v>
      </x:c>
      <x:c r="G3659" s="28" t="n">
        <x:v>2</x:v>
      </x:c>
      <x:c r="H3659" s="28" t="n">
        <x:v>9</x:v>
      </x:c>
      <x:c r="I3659" s="28" t="n">
        <x:v>23</x:v>
      </x:c>
      <x:c r="J3659" s="28" t="n">
        <x:v>1</x:v>
      </x:c>
      <x:c r="K3659" s="28" t="n">
        <x:v>7</x:v>
      </x:c>
      <x:c r="L3659" s="28" t="n">
        <x:v>6</x:v>
      </x:c>
      <x:c r="M3659" s="28" t="n">
        <x:v>6</x:v>
      </x:c>
      <x:c r="N3659" s="28" t="n">
        <x:v>1</x:v>
      </x:c>
      <x:c r="O3659" s="28" t="n">
        <x:v>0</x:v>
      </x:c>
      <x:c r="P3659" s="28" t="n">
        <x:v>0</x:v>
      </x:c>
      <x:c r="Q3659" s="24" t="n">
        <x:f>IFERROR(J3659/H3659,0)</x:f>
        <x:v>0.1111111111111111</x:v>
      </x:c>
      <x:c r="R3659" s="24" t="n">
        <x:f>IFERROR(F3659/H3659,0)</x:f>
        <x:v>0</x:v>
      </x:c>
      <x:c r="S3659" s="24" t="n">
        <x:f>IFERROR(F3659/J3659,0)</x:f>
        <x:v>0</x:v>
      </x:c>
      <x:c r="T3659" s="28" t="n">
        <x:f>H3659-I3659</x:f>
        <x:v>-14</x:v>
      </x:c>
      <x:c r="U3659" s="24" t="n">
        <x:f>IFERROR(J3659/H3659,0)-IFERROR(K3659/I3659,0)</x:f>
        <x:v>-0.19323671497584544</x:v>
      </x:c>
      <x:c r="V3659" s="24" t="n">
        <x:f>IFERROR(F3659/J3659,0)-IFERROR(G3659/K3659,0)</x:f>
        <x:v>-0.2857142857142857</x:v>
      </x:c>
      <x:c r="W3659" s="28" t="n">
        <x:f>L3659-M3659</x:f>
        <x:v>0</x:v>
      </x:c>
      <x:c r="X3659" s="24" t="n">
        <x:f>IFERROR(K3659/I3659,0)</x:f>
        <x:v>0.30434782608695654</x:v>
      </x:c>
      <x:c r="Y3659" s="24" t="n">
        <x:f>IFERROR(G3659/I3659,0)</x:f>
        <x:v>0.08695652173913043</x:v>
      </x:c>
      <x:c r="Z3659" s="24" t="n">
        <x:f>IFERROR(G3659/K3659,0)</x:f>
        <x:v>0.2857142857142857</x:v>
      </x:c>
      <x:c r="AA3659" s="24" t="n">
        <x:f>IFERROR(F3659/H3659,0)-IFERROR(G3659/I3659,0)</x:f>
        <x:v>-0.08695652173913043</x:v>
      </x:c>
      <x:c r="AB3659" s="28" t="n">
        <x:f>J3659-K3659</x:f>
        <x:v>-6</x:v>
      </x:c>
      <x:c r="AC3659" s="32" t="n">
        <x:f>F3659-G3659</x:f>
        <x:v>-2</x:v>
      </x:c>
    </x:row>
    <x:row r="3660">
      <x:c r="A3660" s="4" t="str">
        <x:v>2025-26</x:v>
      </x:c>
      <x:c r="B3660" s="20" t="n">
        <x:v>46122</x:v>
      </x:c>
      <x:c r="C3660" s="4" t="str">
        <x:v>West Ham</x:v>
      </x:c>
      <x:c r="D3660" s="4" t="str">
        <x:v>Wolves</x:v>
      </x:c>
      <x:c r="E3660" s="4" t="str">
        <x:v>Home</x:v>
      </x:c>
      <x:c r="F3660" s="28" t="n">
        <x:v>4</x:v>
      </x:c>
      <x:c r="G3660" s="28" t="n">
        <x:v>0</x:v>
      </x:c>
      <x:c r="H3660" s="28" t="n">
        <x:v>18</x:v>
      </x:c>
      <x:c r="I3660" s="28" t="n">
        <x:v>14</x:v>
      </x:c>
      <x:c r="J3660" s="28" t="n">
        <x:v>7</x:v>
      </x:c>
      <x:c r="K3660" s="28" t="n">
        <x:v>3</x:v>
      </x:c>
      <x:c r="L3660" s="28" t="n">
        <x:v>5</x:v>
      </x:c>
      <x:c r="M3660" s="28" t="n">
        <x:v>2</x:v>
      </x:c>
      <x:c r="N3660" s="28" t="n">
        <x:v>2</x:v>
      </x:c>
      <x:c r="O3660" s="28" t="n">
        <x:v>0</x:v>
      </x:c>
      <x:c r="P3660" s="28" t="n">
        <x:v>3</x:v>
      </x:c>
      <x:c r="Q3660" s="24" t="n">
        <x:f>IFERROR(J3660/H3660,0)</x:f>
        <x:v>0.3888888888888889</x:v>
      </x:c>
      <x:c r="R3660" s="24" t="n">
        <x:f>IFERROR(F3660/H3660,0)</x:f>
        <x:v>0.2222222222222222</x:v>
      </x:c>
      <x:c r="S3660" s="24" t="n">
        <x:f>IFERROR(F3660/J3660,0)</x:f>
        <x:v>0.5714285714285714</x:v>
      </x:c>
      <x:c r="T3660" s="28" t="n">
        <x:f>H3660-I3660</x:f>
        <x:v>4</x:v>
      </x:c>
      <x:c r="U3660" s="24" t="n">
        <x:f>IFERROR(J3660/H3660,0)-IFERROR(K3660/I3660,0)</x:f>
        <x:v>0.17460317460317462</x:v>
      </x:c>
      <x:c r="V3660" s="24" t="n">
        <x:f>IFERROR(F3660/J3660,0)-IFERROR(G3660/K3660,0)</x:f>
        <x:v>0.5714285714285714</x:v>
      </x:c>
      <x:c r="W3660" s="28" t="n">
        <x:f>L3660-M3660</x:f>
        <x:v>3</x:v>
      </x:c>
      <x:c r="X3660" s="24" t="n">
        <x:f>IFERROR(K3660/I3660,0)</x:f>
        <x:v>0.21428571428571427</x:v>
      </x:c>
      <x:c r="Y3660" s="24" t="n">
        <x:f>IFERROR(G3660/I3660,0)</x:f>
        <x:v>0</x:v>
      </x:c>
      <x:c r="Z3660" s="24" t="n">
        <x:f>IFERROR(G3660/K3660,0)</x:f>
        <x:v>0</x:v>
      </x:c>
      <x:c r="AA3660" s="24" t="n">
        <x:f>IFERROR(F3660/H3660,0)-IFERROR(G3660/I3660,0)</x:f>
        <x:v>0.2222222222222222</x:v>
      </x:c>
      <x:c r="AB3660" s="28" t="n">
        <x:f>J3660-K3660</x:f>
        <x:v>4</x:v>
      </x:c>
      <x:c r="AC3660" s="32" t="n">
        <x:f>F3660-G3660</x:f>
        <x:v>4</x:v>
      </x:c>
    </x:row>
    <x:row r="3661">
      <x:c r="A3661" s="4" t="str">
        <x:v>2025-26</x:v>
      </x:c>
      <x:c r="B3661" s="20" t="n">
        <x:v>46122</x:v>
      </x:c>
      <x:c r="C3661" s="4" t="str">
        <x:v>Wolves</x:v>
      </x:c>
      <x:c r="D3661" s="4" t="str">
        <x:v>West Ham</x:v>
      </x:c>
      <x:c r="E3661" s="4" t="str">
        <x:v>Away</x:v>
      </x:c>
      <x:c r="F3661" s="28" t="n">
        <x:v>0</x:v>
      </x:c>
      <x:c r="G3661" s="28" t="n">
        <x:v>4</x:v>
      </x:c>
      <x:c r="H3661" s="28" t="n">
        <x:v>14</x:v>
      </x:c>
      <x:c r="I3661" s="28" t="n">
        <x:v>18</x:v>
      </x:c>
      <x:c r="J3661" s="28" t="n">
        <x:v>3</x:v>
      </x:c>
      <x:c r="K3661" s="28" t="n">
        <x:v>7</x:v>
      </x:c>
      <x:c r="L3661" s="28" t="n">
        <x:v>2</x:v>
      </x:c>
      <x:c r="M3661" s="28" t="n">
        <x:v>5</x:v>
      </x:c>
      <x:c r="N3661" s="28" t="n">
        <x:v>2</x:v>
      </x:c>
      <x:c r="O3661" s="28" t="n">
        <x:v>0</x:v>
      </x:c>
      <x:c r="P3661" s="28" t="n">
        <x:v>0</x:v>
      </x:c>
      <x:c r="Q3661" s="24" t="n">
        <x:f>IFERROR(J3661/H3661,0)</x:f>
        <x:v>0.21428571428571427</x:v>
      </x:c>
      <x:c r="R3661" s="24" t="n">
        <x:f>IFERROR(F3661/H3661,0)</x:f>
        <x:v>0</x:v>
      </x:c>
      <x:c r="S3661" s="24" t="n">
        <x:f>IFERROR(F3661/J3661,0)</x:f>
        <x:v>0</x:v>
      </x:c>
      <x:c r="T3661" s="28" t="n">
        <x:f>H3661-I3661</x:f>
        <x:v>-4</x:v>
      </x:c>
      <x:c r="U3661" s="24" t="n">
        <x:f>IFERROR(J3661/H3661,0)-IFERROR(K3661/I3661,0)</x:f>
        <x:v>-0.17460317460317462</x:v>
      </x:c>
      <x:c r="V3661" s="24" t="n">
        <x:f>IFERROR(F3661/J3661,0)-IFERROR(G3661/K3661,0)</x:f>
        <x:v>-0.5714285714285714</x:v>
      </x:c>
      <x:c r="W3661" s="28" t="n">
        <x:f>L3661-M3661</x:f>
        <x:v>-3</x:v>
      </x:c>
      <x:c r="X3661" s="24" t="n">
        <x:f>IFERROR(K3661/I3661,0)</x:f>
        <x:v>0.3888888888888889</x:v>
      </x:c>
      <x:c r="Y3661" s="24" t="n">
        <x:f>IFERROR(G3661/I3661,0)</x:f>
        <x:v>0.2222222222222222</x:v>
      </x:c>
      <x:c r="Z3661" s="24" t="n">
        <x:f>IFERROR(G3661/K3661,0)</x:f>
        <x:v>0.5714285714285714</x:v>
      </x:c>
      <x:c r="AA3661" s="24" t="n">
        <x:f>IFERROR(F3661/H3661,0)-IFERROR(G3661/I3661,0)</x:f>
        <x:v>-0.2222222222222222</x:v>
      </x:c>
      <x:c r="AB3661" s="28" t="n">
        <x:f>J3661-K3661</x:f>
        <x:v>-4</x:v>
      </x:c>
      <x:c r="AC3661" s="32" t="n">
        <x:f>F3661-G3661</x:f>
        <x:v>-4</x:v>
      </x:c>
    </x:row>
    <x:row r="3662">
      <x:c r="A3662" s="4" t="str">
        <x:v>2025-26</x:v>
      </x:c>
      <x:c r="B3662" s="20" t="n">
        <x:v>46123</x:v>
      </x:c>
      <x:c r="C3662" s="4" t="str">
        <x:v>Arsenal</x:v>
      </x:c>
      <x:c r="D3662" s="4" t="str">
        <x:v>Bournemouth</x:v>
      </x:c>
      <x:c r="E3662" s="4" t="str">
        <x:v>Home</x:v>
      </x:c>
      <x:c r="F3662" s="28" t="n">
        <x:v>1</x:v>
      </x:c>
      <x:c r="G3662" s="28" t="n">
        <x:v>2</x:v>
      </x:c>
      <x:c r="H3662" s="28" t="n">
        <x:v>15</x:v>
      </x:c>
      <x:c r="I3662" s="28" t="n">
        <x:v>8</x:v>
      </x:c>
      <x:c r="J3662" s="28" t="n">
        <x:v>3</x:v>
      </x:c>
      <x:c r="K3662" s="28" t="n">
        <x:v>3</x:v>
      </x:c>
      <x:c r="L3662" s="28" t="n">
        <x:v>10</x:v>
      </x:c>
      <x:c r="M3662" s="28" t="n">
        <x:v>1</x:v>
      </x:c>
      <x:c r="N3662" s="28" t="n">
        <x:v>1</x:v>
      </x:c>
      <x:c r="O3662" s="28" t="n">
        <x:v>0</x:v>
      </x:c>
      <x:c r="P3662" s="28" t="n">
        <x:v>0</x:v>
      </x:c>
      <x:c r="Q3662" s="24" t="n">
        <x:f>IFERROR(J3662/H3662,0)</x:f>
        <x:v>0.2</x:v>
      </x:c>
      <x:c r="R3662" s="24" t="n">
        <x:f>IFERROR(F3662/H3662,0)</x:f>
        <x:v>0.06666666666666667</x:v>
      </x:c>
      <x:c r="S3662" s="24" t="n">
        <x:f>IFERROR(F3662/J3662,0)</x:f>
        <x:v>0.3333333333333333</x:v>
      </x:c>
      <x:c r="T3662" s="28" t="n">
        <x:f>H3662-I3662</x:f>
        <x:v>7</x:v>
      </x:c>
      <x:c r="U3662" s="24" t="n">
        <x:f>IFERROR(J3662/H3662,0)-IFERROR(K3662/I3662,0)</x:f>
        <x:v>-0.175</x:v>
      </x:c>
      <x:c r="V3662" s="24" t="n">
        <x:f>IFERROR(F3662/J3662,0)-IFERROR(G3662/K3662,0)</x:f>
        <x:v>-0.3333333333333333</x:v>
      </x:c>
      <x:c r="W3662" s="28" t="n">
        <x:f>L3662-M3662</x:f>
        <x:v>9</x:v>
      </x:c>
      <x:c r="X3662" s="24" t="n">
        <x:f>IFERROR(K3662/I3662,0)</x:f>
        <x:v>0.375</x:v>
      </x:c>
      <x:c r="Y3662" s="24" t="n">
        <x:f>IFERROR(G3662/I3662,0)</x:f>
        <x:v>0.25</x:v>
      </x:c>
      <x:c r="Z3662" s="24" t="n">
        <x:f>IFERROR(G3662/K3662,0)</x:f>
        <x:v>0.6666666666666666</x:v>
      </x:c>
      <x:c r="AA3662" s="24" t="n">
        <x:f>IFERROR(F3662/H3662,0)-IFERROR(G3662/I3662,0)</x:f>
        <x:v>-0.18333333333333335</x:v>
      </x:c>
      <x:c r="AB3662" s="28" t="n">
        <x:f>J3662-K3662</x:f>
        <x:v>0</x:v>
      </x:c>
      <x:c r="AC3662" s="32" t="n">
        <x:f>F3662-G3662</x:f>
        <x:v>-1</x:v>
      </x:c>
    </x:row>
    <x:row r="3663">
      <x:c r="A3663" s="4" t="str">
        <x:v>2025-26</x:v>
      </x:c>
      <x:c r="B3663" s="20" t="n">
        <x:v>46123</x:v>
      </x:c>
      <x:c r="C3663" s="4" t="str">
        <x:v>Bournemouth</x:v>
      </x:c>
      <x:c r="D3663" s="4" t="str">
        <x:v>Arsenal</x:v>
      </x:c>
      <x:c r="E3663" s="4" t="str">
        <x:v>Away</x:v>
      </x:c>
      <x:c r="F3663" s="28" t="n">
        <x:v>2</x:v>
      </x:c>
      <x:c r="G3663" s="28" t="n">
        <x:v>1</x:v>
      </x:c>
      <x:c r="H3663" s="28" t="n">
        <x:v>8</x:v>
      </x:c>
      <x:c r="I3663" s="28" t="n">
        <x:v>15</x:v>
      </x:c>
      <x:c r="J3663" s="28" t="n">
        <x:v>3</x:v>
      </x:c>
      <x:c r="K3663" s="28" t="n">
        <x:v>3</x:v>
      </x:c>
      <x:c r="L3663" s="28" t="n">
        <x:v>1</x:v>
      </x:c>
      <x:c r="M3663" s="28" t="n">
        <x:v>10</x:v>
      </x:c>
      <x:c r="N3663" s="28" t="n">
        <x:v>3</x:v>
      </x:c>
      <x:c r="O3663" s="28" t="n">
        <x:v>0</x:v>
      </x:c>
      <x:c r="P3663" s="28" t="n">
        <x:v>3</x:v>
      </x:c>
      <x:c r="Q3663" s="24" t="n">
        <x:f>IFERROR(J3663/H3663,0)</x:f>
        <x:v>0.375</x:v>
      </x:c>
      <x:c r="R3663" s="24" t="n">
        <x:f>IFERROR(F3663/H3663,0)</x:f>
        <x:v>0.25</x:v>
      </x:c>
      <x:c r="S3663" s="24" t="n">
        <x:f>IFERROR(F3663/J3663,0)</x:f>
        <x:v>0.6666666666666666</x:v>
      </x:c>
      <x:c r="T3663" s="28" t="n">
        <x:f>H3663-I3663</x:f>
        <x:v>-7</x:v>
      </x:c>
      <x:c r="U3663" s="24" t="n">
        <x:f>IFERROR(J3663/H3663,0)-IFERROR(K3663/I3663,0)</x:f>
        <x:v>0.175</x:v>
      </x:c>
      <x:c r="V3663" s="24" t="n">
        <x:f>IFERROR(F3663/J3663,0)-IFERROR(G3663/K3663,0)</x:f>
        <x:v>0.3333333333333333</x:v>
      </x:c>
      <x:c r="W3663" s="28" t="n">
        <x:f>L3663-M3663</x:f>
        <x:v>-9</x:v>
      </x:c>
      <x:c r="X3663" s="24" t="n">
        <x:f>IFERROR(K3663/I3663,0)</x:f>
        <x:v>0.2</x:v>
      </x:c>
      <x:c r="Y3663" s="24" t="n">
        <x:f>IFERROR(G3663/I3663,0)</x:f>
        <x:v>0.06666666666666667</x:v>
      </x:c>
      <x:c r="Z3663" s="24" t="n">
        <x:f>IFERROR(G3663/K3663,0)</x:f>
        <x:v>0.3333333333333333</x:v>
      </x:c>
      <x:c r="AA3663" s="24" t="n">
        <x:f>IFERROR(F3663/H3663,0)-IFERROR(G3663/I3663,0)</x:f>
        <x:v>0.18333333333333335</x:v>
      </x:c>
      <x:c r="AB3663" s="28" t="n">
        <x:f>J3663-K3663</x:f>
        <x:v>0</x:v>
      </x:c>
      <x:c r="AC3663" s="32" t="n">
        <x:f>F3663-G3663</x:f>
        <x:v>1</x:v>
      </x:c>
    </x:row>
    <x:row r="3664">
      <x:c r="A3664" s="4" t="str">
        <x:v>2025-26</x:v>
      </x:c>
      <x:c r="B3664" s="20" t="n">
        <x:v>46123</x:v>
      </x:c>
      <x:c r="C3664" s="4" t="str">
        <x:v>Brentford</x:v>
      </x:c>
      <x:c r="D3664" s="4" t="str">
        <x:v>Everton</x:v>
      </x:c>
      <x:c r="E3664" s="4" t="str">
        <x:v>Home</x:v>
      </x:c>
      <x:c r="F3664" s="28" t="n">
        <x:v>2</x:v>
      </x:c>
      <x:c r="G3664" s="28" t="n">
        <x:v>2</x:v>
      </x:c>
      <x:c r="H3664" s="28" t="n">
        <x:v>17</x:v>
      </x:c>
      <x:c r="I3664" s="28" t="n">
        <x:v>14</x:v>
      </x:c>
      <x:c r="J3664" s="28" t="n">
        <x:v>4</x:v>
      </x:c>
      <x:c r="K3664" s="28" t="n">
        <x:v>7</x:v>
      </x:c>
      <x:c r="L3664" s="28" t="n">
        <x:v>2</x:v>
      </x:c>
      <x:c r="M3664" s="28" t="n">
        <x:v>3</x:v>
      </x:c>
      <x:c r="N3664" s="28" t="n">
        <x:v>0</x:v>
      </x:c>
      <x:c r="O3664" s="28" t="n">
        <x:v>0</x:v>
      </x:c>
      <x:c r="P3664" s="28" t="n">
        <x:v>1</x:v>
      </x:c>
      <x:c r="Q3664" s="24" t="n">
        <x:f>IFERROR(J3664/H3664,0)</x:f>
        <x:v>0.23529411764705882</x:v>
      </x:c>
      <x:c r="R3664" s="24" t="n">
        <x:f>IFERROR(F3664/H3664,0)</x:f>
        <x:v>0.11764705882352941</x:v>
      </x:c>
      <x:c r="S3664" s="24" t="n">
        <x:f>IFERROR(F3664/J3664,0)</x:f>
        <x:v>0.5</x:v>
      </x:c>
      <x:c r="T3664" s="28" t="n">
        <x:f>H3664-I3664</x:f>
        <x:v>3</x:v>
      </x:c>
      <x:c r="U3664" s="24" t="n">
        <x:f>IFERROR(J3664/H3664,0)-IFERROR(K3664/I3664,0)</x:f>
        <x:v>-0.2647058823529412</x:v>
      </x:c>
      <x:c r="V3664" s="24" t="n">
        <x:f>IFERROR(F3664/J3664,0)-IFERROR(G3664/K3664,0)</x:f>
        <x:v>0.2142857142857143</x:v>
      </x:c>
      <x:c r="W3664" s="28" t="n">
        <x:f>L3664-M3664</x:f>
        <x:v>-1</x:v>
      </x:c>
      <x:c r="X3664" s="24" t="n">
        <x:f>IFERROR(K3664/I3664,0)</x:f>
        <x:v>0.5</x:v>
      </x:c>
      <x:c r="Y3664" s="24" t="n">
        <x:f>IFERROR(G3664/I3664,0)</x:f>
        <x:v>0.14285714285714285</x:v>
      </x:c>
      <x:c r="Z3664" s="24" t="n">
        <x:f>IFERROR(G3664/K3664,0)</x:f>
        <x:v>0.2857142857142857</x:v>
      </x:c>
      <x:c r="AA3664" s="24" t="n">
        <x:f>IFERROR(F3664/H3664,0)-IFERROR(G3664/I3664,0)</x:f>
        <x:v>-0.02521008403361344</x:v>
      </x:c>
      <x:c r="AB3664" s="28" t="n">
        <x:f>J3664-K3664</x:f>
        <x:v>-3</x:v>
      </x:c>
      <x:c r="AC3664" s="32" t="n">
        <x:f>F3664-G3664</x:f>
        <x:v>0</x:v>
      </x:c>
    </x:row>
    <x:row r="3665">
      <x:c r="A3665" s="4" t="str">
        <x:v>2025-26</x:v>
      </x:c>
      <x:c r="B3665" s="20" t="n">
        <x:v>46123</x:v>
      </x:c>
      <x:c r="C3665" s="4" t="str">
        <x:v>Brighton</x:v>
      </x:c>
      <x:c r="D3665" s="4" t="str">
        <x:v>Burnley</x:v>
      </x:c>
      <x:c r="E3665" s="4" t="str">
        <x:v>Away</x:v>
      </x:c>
      <x:c r="F3665" s="28" t="n">
        <x:v>2</x:v>
      </x:c>
      <x:c r="G3665" s="28" t="n">
        <x:v>0</x:v>
      </x:c>
      <x:c r="H3665" s="28" t="n">
        <x:v>13</x:v>
      </x:c>
      <x:c r="I3665" s="28" t="n">
        <x:v>10</x:v>
      </x:c>
      <x:c r="J3665" s="28" t="n">
        <x:v>6</x:v>
      </x:c>
      <x:c r="K3665" s="28" t="n">
        <x:v>5</x:v>
      </x:c>
      <x:c r="L3665" s="28" t="n">
        <x:v>2</x:v>
      </x:c>
      <x:c r="M3665" s="28" t="n">
        <x:v>8</x:v>
      </x:c>
      <x:c r="N3665" s="28" t="n">
        <x:v>1</x:v>
      </x:c>
      <x:c r="O3665" s="28" t="n">
        <x:v>0</x:v>
      </x:c>
      <x:c r="P3665" s="28" t="n">
        <x:v>3</x:v>
      </x:c>
      <x:c r="Q3665" s="24" t="n">
        <x:f>IFERROR(J3665/H3665,0)</x:f>
        <x:v>0.46153846153846156</x:v>
      </x:c>
      <x:c r="R3665" s="24" t="n">
        <x:f>IFERROR(F3665/H3665,0)</x:f>
        <x:v>0.15384615384615385</x:v>
      </x:c>
      <x:c r="S3665" s="24" t="n">
        <x:f>IFERROR(F3665/J3665,0)</x:f>
        <x:v>0.3333333333333333</x:v>
      </x:c>
      <x:c r="T3665" s="28" t="n">
        <x:f>H3665-I3665</x:f>
        <x:v>3</x:v>
      </x:c>
      <x:c r="U3665" s="24" t="n">
        <x:f>IFERROR(J3665/H3665,0)-IFERROR(K3665/I3665,0)</x:f>
        <x:v>-0.038461538461538436</x:v>
      </x:c>
      <x:c r="V3665" s="24" t="n">
        <x:f>IFERROR(F3665/J3665,0)-IFERROR(G3665/K3665,0)</x:f>
        <x:v>0.3333333333333333</x:v>
      </x:c>
      <x:c r="W3665" s="28" t="n">
        <x:f>L3665-M3665</x:f>
        <x:v>-6</x:v>
      </x:c>
      <x:c r="X3665" s="24" t="n">
        <x:f>IFERROR(K3665/I3665,0)</x:f>
        <x:v>0.5</x:v>
      </x:c>
      <x:c r="Y3665" s="24" t="n">
        <x:f>IFERROR(G3665/I3665,0)</x:f>
        <x:v>0</x:v>
      </x:c>
      <x:c r="Z3665" s="24" t="n">
        <x:f>IFERROR(G3665/K3665,0)</x:f>
        <x:v>0</x:v>
      </x:c>
      <x:c r="AA3665" s="24" t="n">
        <x:f>IFERROR(F3665/H3665,0)-IFERROR(G3665/I3665,0)</x:f>
        <x:v>0.15384615384615385</x:v>
      </x:c>
      <x:c r="AB3665" s="28" t="n">
        <x:f>J3665-K3665</x:f>
        <x:v>1</x:v>
      </x:c>
      <x:c r="AC3665" s="32" t="n">
        <x:f>F3665-G3665</x:f>
        <x:v>2</x:v>
      </x:c>
    </x:row>
    <x:row r="3666">
      <x:c r="A3666" s="4" t="str">
        <x:v>2025-26</x:v>
      </x:c>
      <x:c r="B3666" s="20" t="n">
        <x:v>46123</x:v>
      </x:c>
      <x:c r="C3666" s="4" t="str">
        <x:v>Burnley</x:v>
      </x:c>
      <x:c r="D3666" s="4" t="str">
        <x:v>Brighton</x:v>
      </x:c>
      <x:c r="E3666" s="4" t="str">
        <x:v>Home</x:v>
      </x:c>
      <x:c r="F3666" s="28" t="n">
        <x:v>0</x:v>
      </x:c>
      <x:c r="G3666" s="28" t="n">
        <x:v>2</x:v>
      </x:c>
      <x:c r="H3666" s="28" t="n">
        <x:v>10</x:v>
      </x:c>
      <x:c r="I3666" s="28" t="n">
        <x:v>13</x:v>
      </x:c>
      <x:c r="J3666" s="28" t="n">
        <x:v>5</x:v>
      </x:c>
      <x:c r="K3666" s="28" t="n">
        <x:v>6</x:v>
      </x:c>
      <x:c r="L3666" s="28" t="n">
        <x:v>8</x:v>
      </x:c>
      <x:c r="M3666" s="28" t="n">
        <x:v>2</x:v>
      </x:c>
      <x:c r="N3666" s="28" t="n">
        <x:v>2</x:v>
      </x:c>
      <x:c r="O3666" s="28" t="n">
        <x:v>0</x:v>
      </x:c>
      <x:c r="P3666" s="28" t="n">
        <x:v>0</x:v>
      </x:c>
      <x:c r="Q3666" s="24" t="n">
        <x:f>IFERROR(J3666/H3666,0)</x:f>
        <x:v>0.5</x:v>
      </x:c>
      <x:c r="R3666" s="24" t="n">
        <x:f>IFERROR(F3666/H3666,0)</x:f>
        <x:v>0</x:v>
      </x:c>
      <x:c r="S3666" s="24" t="n">
        <x:f>IFERROR(F3666/J3666,0)</x:f>
        <x:v>0</x:v>
      </x:c>
      <x:c r="T3666" s="28" t="n">
        <x:f>H3666-I3666</x:f>
        <x:v>-3</x:v>
      </x:c>
      <x:c r="U3666" s="24" t="n">
        <x:f>IFERROR(J3666/H3666,0)-IFERROR(K3666/I3666,0)</x:f>
        <x:v>0.038461538461538436</x:v>
      </x:c>
      <x:c r="V3666" s="24" t="n">
        <x:f>IFERROR(F3666/J3666,0)-IFERROR(G3666/K3666,0)</x:f>
        <x:v>-0.3333333333333333</x:v>
      </x:c>
      <x:c r="W3666" s="28" t="n">
        <x:f>L3666-M3666</x:f>
        <x:v>6</x:v>
      </x:c>
      <x:c r="X3666" s="24" t="n">
        <x:f>IFERROR(K3666/I3666,0)</x:f>
        <x:v>0.46153846153846156</x:v>
      </x:c>
      <x:c r="Y3666" s="24" t="n">
        <x:f>IFERROR(G3666/I3666,0)</x:f>
        <x:v>0.15384615384615385</x:v>
      </x:c>
      <x:c r="Z3666" s="24" t="n">
        <x:f>IFERROR(G3666/K3666,0)</x:f>
        <x:v>0.3333333333333333</x:v>
      </x:c>
      <x:c r="AA3666" s="24" t="n">
        <x:f>IFERROR(F3666/H3666,0)-IFERROR(G3666/I3666,0)</x:f>
        <x:v>-0.15384615384615385</x:v>
      </x:c>
      <x:c r="AB3666" s="28" t="n">
        <x:f>J3666-K3666</x:f>
        <x:v>-1</x:v>
      </x:c>
      <x:c r="AC3666" s="32" t="n">
        <x:f>F3666-G3666</x:f>
        <x:v>-2</x:v>
      </x:c>
    </x:row>
    <x:row r="3667">
      <x:c r="A3667" s="4" t="str">
        <x:v>2025-26</x:v>
      </x:c>
      <x:c r="B3667" s="20" t="n">
        <x:v>46123</x:v>
      </x:c>
      <x:c r="C3667" s="4" t="str">
        <x:v>Everton</x:v>
      </x:c>
      <x:c r="D3667" s="4" t="str">
        <x:v>Brentford</x:v>
      </x:c>
      <x:c r="E3667" s="4" t="str">
        <x:v>Away</x:v>
      </x:c>
      <x:c r="F3667" s="28" t="n">
        <x:v>2</x:v>
      </x:c>
      <x:c r="G3667" s="28" t="n">
        <x:v>2</x:v>
      </x:c>
      <x:c r="H3667" s="28" t="n">
        <x:v>14</x:v>
      </x:c>
      <x:c r="I3667" s="28" t="n">
        <x:v>17</x:v>
      </x:c>
      <x:c r="J3667" s="28" t="n">
        <x:v>7</x:v>
      </x:c>
      <x:c r="K3667" s="28" t="n">
        <x:v>4</x:v>
      </x:c>
      <x:c r="L3667" s="28" t="n">
        <x:v>3</x:v>
      </x:c>
      <x:c r="M3667" s="28" t="n">
        <x:v>2</x:v>
      </x:c>
      <x:c r="N3667" s="28" t="n">
        <x:v>2</x:v>
      </x:c>
      <x:c r="O3667" s="28" t="n">
        <x:v>0</x:v>
      </x:c>
      <x:c r="P3667" s="28" t="n">
        <x:v>1</x:v>
      </x:c>
      <x:c r="Q3667" s="24" t="n">
        <x:f>IFERROR(J3667/H3667,0)</x:f>
        <x:v>0.5</x:v>
      </x:c>
      <x:c r="R3667" s="24" t="n">
        <x:f>IFERROR(F3667/H3667,0)</x:f>
        <x:v>0.14285714285714285</x:v>
      </x:c>
      <x:c r="S3667" s="24" t="n">
        <x:f>IFERROR(F3667/J3667,0)</x:f>
        <x:v>0.2857142857142857</x:v>
      </x:c>
      <x:c r="T3667" s="28" t="n">
        <x:f>H3667-I3667</x:f>
        <x:v>-3</x:v>
      </x:c>
      <x:c r="U3667" s="24" t="n">
        <x:f>IFERROR(J3667/H3667,0)-IFERROR(K3667/I3667,0)</x:f>
        <x:v>0.2647058823529412</x:v>
      </x:c>
      <x:c r="V3667" s="24" t="n">
        <x:f>IFERROR(F3667/J3667,0)-IFERROR(G3667/K3667,0)</x:f>
        <x:v>-0.2142857142857143</x:v>
      </x:c>
      <x:c r="W3667" s="28" t="n">
        <x:f>L3667-M3667</x:f>
        <x:v>1</x:v>
      </x:c>
      <x:c r="X3667" s="24" t="n">
        <x:f>IFERROR(K3667/I3667,0)</x:f>
        <x:v>0.23529411764705882</x:v>
      </x:c>
      <x:c r="Y3667" s="24" t="n">
        <x:f>IFERROR(G3667/I3667,0)</x:f>
        <x:v>0.11764705882352941</x:v>
      </x:c>
      <x:c r="Z3667" s="24" t="n">
        <x:f>IFERROR(G3667/K3667,0)</x:f>
        <x:v>0.5</x:v>
      </x:c>
      <x:c r="AA3667" s="24" t="n">
        <x:f>IFERROR(F3667/H3667,0)-IFERROR(G3667/I3667,0)</x:f>
        <x:v>0.02521008403361344</x:v>
      </x:c>
      <x:c r="AB3667" s="28" t="n">
        <x:f>J3667-K3667</x:f>
        <x:v>3</x:v>
      </x:c>
      <x:c r="AC3667" s="32" t="n">
        <x:f>F3667-G3667</x:f>
        <x:v>0</x:v>
      </x:c>
    </x:row>
    <x:row r="3668">
      <x:c r="A3668" s="4" t="str">
        <x:v>2025-26</x:v>
      </x:c>
      <x:c r="B3668" s="20" t="n">
        <x:v>46123</x:v>
      </x:c>
      <x:c r="C3668" s="4" t="str">
        <x:v>Fulham</x:v>
      </x:c>
      <x:c r="D3668" s="4" t="str">
        <x:v>Liverpool</x:v>
      </x:c>
      <x:c r="E3668" s="4" t="str">
        <x:v>Away</x:v>
      </x:c>
      <x:c r="F3668" s="28" t="n">
        <x:v>0</x:v>
      </x:c>
      <x:c r="G3668" s="28" t="n">
        <x:v>2</x:v>
      </x:c>
      <x:c r="H3668" s="28" t="n">
        <x:v>19</x:v>
      </x:c>
      <x:c r="I3668" s="28" t="n">
        <x:v>18</x:v>
      </x:c>
      <x:c r="J3668" s="28" t="n">
        <x:v>4</x:v>
      </x:c>
      <x:c r="K3668" s="28" t="n">
        <x:v>5</x:v>
      </x:c>
      <x:c r="L3668" s="28" t="n">
        <x:v>9</x:v>
      </x:c>
      <x:c r="M3668" s="28" t="n">
        <x:v>6</x:v>
      </x:c>
      <x:c r="N3668" s="28" t="n">
        <x:v>0</x:v>
      </x:c>
      <x:c r="O3668" s="28" t="n">
        <x:v>0</x:v>
      </x:c>
      <x:c r="P3668" s="28" t="n">
        <x:v>0</x:v>
      </x:c>
      <x:c r="Q3668" s="24" t="n">
        <x:f>IFERROR(J3668/H3668,0)</x:f>
        <x:v>0.21052631578947367</x:v>
      </x:c>
      <x:c r="R3668" s="24" t="n">
        <x:f>IFERROR(F3668/H3668,0)</x:f>
        <x:v>0</x:v>
      </x:c>
      <x:c r="S3668" s="24" t="n">
        <x:f>IFERROR(F3668/J3668,0)</x:f>
        <x:v>0</x:v>
      </x:c>
      <x:c r="T3668" s="28" t="n">
        <x:f>H3668-I3668</x:f>
        <x:v>1</x:v>
      </x:c>
      <x:c r="U3668" s="24" t="n">
        <x:f>IFERROR(J3668/H3668,0)-IFERROR(K3668/I3668,0)</x:f>
        <x:v>-0.06725146198830412</x:v>
      </x:c>
      <x:c r="V3668" s="24" t="n">
        <x:f>IFERROR(F3668/J3668,0)-IFERROR(G3668/K3668,0)</x:f>
        <x:v>-0.4</x:v>
      </x:c>
      <x:c r="W3668" s="28" t="n">
        <x:f>L3668-M3668</x:f>
        <x:v>3</x:v>
      </x:c>
      <x:c r="X3668" s="24" t="n">
        <x:f>IFERROR(K3668/I3668,0)</x:f>
        <x:v>0.2777777777777778</x:v>
      </x:c>
      <x:c r="Y3668" s="24" t="n">
        <x:f>IFERROR(G3668/I3668,0)</x:f>
        <x:v>0.1111111111111111</x:v>
      </x:c>
      <x:c r="Z3668" s="24" t="n">
        <x:f>IFERROR(G3668/K3668,0)</x:f>
        <x:v>0.4</x:v>
      </x:c>
      <x:c r="AA3668" s="24" t="n">
        <x:f>IFERROR(F3668/H3668,0)-IFERROR(G3668/I3668,0)</x:f>
        <x:v>-0.1111111111111111</x:v>
      </x:c>
      <x:c r="AB3668" s="28" t="n">
        <x:f>J3668-K3668</x:f>
        <x:v>-1</x:v>
      </x:c>
      <x:c r="AC3668" s="32" t="n">
        <x:f>F3668-G3668</x:f>
        <x:v>-2</x:v>
      </x:c>
    </x:row>
    <x:row r="3669">
      <x:c r="A3669" s="4" t="str">
        <x:v>2025-26</x:v>
      </x:c>
      <x:c r="B3669" s="20" t="n">
        <x:v>46123</x:v>
      </x:c>
      <x:c r="C3669" s="4" t="str">
        <x:v>Liverpool</x:v>
      </x:c>
      <x:c r="D3669" s="4" t="str">
        <x:v>Fulham</x:v>
      </x:c>
      <x:c r="E3669" s="4" t="str">
        <x:v>Home</x:v>
      </x:c>
      <x:c r="F3669" s="28" t="n">
        <x:v>2</x:v>
      </x:c>
      <x:c r="G3669" s="28" t="n">
        <x:v>0</x:v>
      </x:c>
      <x:c r="H3669" s="28" t="n">
        <x:v>18</x:v>
      </x:c>
      <x:c r="I3669" s="28" t="n">
        <x:v>19</x:v>
      </x:c>
      <x:c r="J3669" s="28" t="n">
        <x:v>5</x:v>
      </x:c>
      <x:c r="K3669" s="28" t="n">
        <x:v>4</x:v>
      </x:c>
      <x:c r="L3669" s="28" t="n">
        <x:v>6</x:v>
      </x:c>
      <x:c r="M3669" s="28" t="n">
        <x:v>9</x:v>
      </x:c>
      <x:c r="N3669" s="28" t="n">
        <x:v>0</x:v>
      </x:c>
      <x:c r="O3669" s="28" t="n">
        <x:v>0</x:v>
      </x:c>
      <x:c r="P3669" s="28" t="n">
        <x:v>3</x:v>
      </x:c>
      <x:c r="Q3669" s="24" t="n">
        <x:f>IFERROR(J3669/H3669,0)</x:f>
        <x:v>0.2777777777777778</x:v>
      </x:c>
      <x:c r="R3669" s="24" t="n">
        <x:f>IFERROR(F3669/H3669,0)</x:f>
        <x:v>0.1111111111111111</x:v>
      </x:c>
      <x:c r="S3669" s="24" t="n">
        <x:f>IFERROR(F3669/J3669,0)</x:f>
        <x:v>0.4</x:v>
      </x:c>
      <x:c r="T3669" s="28" t="n">
        <x:f>H3669-I3669</x:f>
        <x:v>-1</x:v>
      </x:c>
      <x:c r="U3669" s="24" t="n">
        <x:f>IFERROR(J3669/H3669,0)-IFERROR(K3669/I3669,0)</x:f>
        <x:v>0.06725146198830412</x:v>
      </x:c>
      <x:c r="V3669" s="24" t="n">
        <x:f>IFERROR(F3669/J3669,0)-IFERROR(G3669/K3669,0)</x:f>
        <x:v>0.4</x:v>
      </x:c>
      <x:c r="W3669" s="28" t="n">
        <x:f>L3669-M3669</x:f>
        <x:v>-3</x:v>
      </x:c>
      <x:c r="X3669" s="24" t="n">
        <x:f>IFERROR(K3669/I3669,0)</x:f>
        <x:v>0.21052631578947367</x:v>
      </x:c>
      <x:c r="Y3669" s="24" t="n">
        <x:f>IFERROR(G3669/I3669,0)</x:f>
        <x:v>0</x:v>
      </x:c>
      <x:c r="Z3669" s="24" t="n">
        <x:f>IFERROR(G3669/K3669,0)</x:f>
        <x:v>0</x:v>
      </x:c>
      <x:c r="AA3669" s="24" t="n">
        <x:f>IFERROR(F3669/H3669,0)-IFERROR(G3669/I3669,0)</x:f>
        <x:v>0.1111111111111111</x:v>
      </x:c>
      <x:c r="AB3669" s="28" t="n">
        <x:f>J3669-K3669</x:f>
        <x:v>1</x:v>
      </x:c>
      <x:c r="AC3669" s="32" t="n">
        <x:f>F3669-G3669</x:f>
        <x:v>2</x:v>
      </x:c>
    </x:row>
    <x:row r="3670">
      <x:c r="A3670" s="4" t="str">
        <x:v>2025-26</x:v>
      </x:c>
      <x:c r="B3670" s="20" t="n">
        <x:v>46124</x:v>
      </x:c>
      <x:c r="C3670" s="4" t="str">
        <x:v>Aston Villa</x:v>
      </x:c>
      <x:c r="D3670" s="4" t="str">
        <x:v>Nott'm Forest</x:v>
      </x:c>
      <x:c r="E3670" s="4" t="str">
        <x:v>Away</x:v>
      </x:c>
      <x:c r="F3670" s="28" t="n">
        <x:v>1</x:v>
      </x:c>
      <x:c r="G3670" s="28" t="n">
        <x:v>1</x:v>
      </x:c>
      <x:c r="H3670" s="28" t="n">
        <x:v>12</x:v>
      </x:c>
      <x:c r="I3670" s="28" t="n">
        <x:v>15</x:v>
      </x:c>
      <x:c r="J3670" s="28" t="n">
        <x:v>5</x:v>
      </x:c>
      <x:c r="K3670" s="28" t="n">
        <x:v>4</x:v>
      </x:c>
      <x:c r="L3670" s="28" t="n">
        <x:v>3</x:v>
      </x:c>
      <x:c r="M3670" s="28" t="n">
        <x:v>7</x:v>
      </x:c>
      <x:c r="N3670" s="28" t="n">
        <x:v>2</x:v>
      </x:c>
      <x:c r="O3670" s="28" t="n">
        <x:v>0</x:v>
      </x:c>
      <x:c r="P3670" s="28" t="n">
        <x:v>1</x:v>
      </x:c>
      <x:c r="Q3670" s="24" t="n">
        <x:f>IFERROR(J3670/H3670,0)</x:f>
        <x:v>0.4166666666666667</x:v>
      </x:c>
      <x:c r="R3670" s="24" t="n">
        <x:f>IFERROR(F3670/H3670,0)</x:f>
        <x:v>0.08333333333333333</x:v>
      </x:c>
      <x:c r="S3670" s="24" t="n">
        <x:f>IFERROR(F3670/J3670,0)</x:f>
        <x:v>0.2</x:v>
      </x:c>
      <x:c r="T3670" s="28" t="n">
        <x:f>H3670-I3670</x:f>
        <x:v>-3</x:v>
      </x:c>
      <x:c r="U3670" s="24" t="n">
        <x:f>IFERROR(J3670/H3670,0)-IFERROR(K3670/I3670,0)</x:f>
        <x:v>0.15000000000000002</x:v>
      </x:c>
      <x:c r="V3670" s="24" t="n">
        <x:f>IFERROR(F3670/J3670,0)-IFERROR(G3670/K3670,0)</x:f>
        <x:v>-0.04999999999999999</x:v>
      </x:c>
      <x:c r="W3670" s="28" t="n">
        <x:f>L3670-M3670</x:f>
        <x:v>-4</x:v>
      </x:c>
      <x:c r="X3670" s="24" t="n">
        <x:f>IFERROR(K3670/I3670,0)</x:f>
        <x:v>0.26666666666666666</x:v>
      </x:c>
      <x:c r="Y3670" s="24" t="n">
        <x:f>IFERROR(G3670/I3670,0)</x:f>
        <x:v>0.06666666666666667</x:v>
      </x:c>
      <x:c r="Z3670" s="24" t="n">
        <x:f>IFERROR(G3670/K3670,0)</x:f>
        <x:v>0.25</x:v>
      </x:c>
      <x:c r="AA3670" s="24" t="n">
        <x:f>IFERROR(F3670/H3670,0)-IFERROR(G3670/I3670,0)</x:f>
        <x:v>0.016666666666666663</x:v>
      </x:c>
      <x:c r="AB3670" s="28" t="n">
        <x:f>J3670-K3670</x:f>
        <x:v>1</x:v>
      </x:c>
      <x:c r="AC3670" s="32" t="n">
        <x:f>F3670-G3670</x:f>
        <x:v>0</x:v>
      </x:c>
    </x:row>
    <x:row r="3671">
      <x:c r="A3671" s="4" t="str">
        <x:v>2025-26</x:v>
      </x:c>
      <x:c r="B3671" s="20" t="n">
        <x:v>46124</x:v>
      </x:c>
      <x:c r="C3671" s="4" t="str">
        <x:v>Chelsea</x:v>
      </x:c>
      <x:c r="D3671" s="4" t="str">
        <x:v>Man City</x:v>
      </x:c>
      <x:c r="E3671" s="4" t="str">
        <x:v>Home</x:v>
      </x:c>
      <x:c r="F3671" s="28" t="n">
        <x:v>0</x:v>
      </x:c>
      <x:c r="G3671" s="28" t="n">
        <x:v>3</x:v>
      </x:c>
      <x:c r="H3671" s="28" t="n">
        <x:v>12</x:v>
      </x:c>
      <x:c r="I3671" s="28" t="n">
        <x:v>18</x:v>
      </x:c>
      <x:c r="J3671" s="28" t="n">
        <x:v>3</x:v>
      </x:c>
      <x:c r="K3671" s="28" t="n">
        <x:v>8</x:v>
      </x:c>
      <x:c r="L3671" s="28" t="n">
        <x:v>4</x:v>
      </x:c>
      <x:c r="M3671" s="28" t="n">
        <x:v>12</x:v>
      </x:c>
      <x:c r="N3671" s="28" t="n">
        <x:v>3</x:v>
      </x:c>
      <x:c r="O3671" s="28" t="n">
        <x:v>0</x:v>
      </x:c>
      <x:c r="P3671" s="28" t="n">
        <x:v>0</x:v>
      </x:c>
      <x:c r="Q3671" s="24" t="n">
        <x:f>IFERROR(J3671/H3671,0)</x:f>
        <x:v>0.25</x:v>
      </x:c>
      <x:c r="R3671" s="24" t="n">
        <x:f>IFERROR(F3671/H3671,0)</x:f>
        <x:v>0</x:v>
      </x:c>
      <x:c r="S3671" s="24" t="n">
        <x:f>IFERROR(F3671/J3671,0)</x:f>
        <x:v>0</x:v>
      </x:c>
      <x:c r="T3671" s="28" t="n">
        <x:f>H3671-I3671</x:f>
        <x:v>-6</x:v>
      </x:c>
      <x:c r="U3671" s="24" t="n">
        <x:f>IFERROR(J3671/H3671,0)-IFERROR(K3671/I3671,0)</x:f>
        <x:v>-0.19444444444444442</x:v>
      </x:c>
      <x:c r="V3671" s="24" t="n">
        <x:f>IFERROR(F3671/J3671,0)-IFERROR(G3671/K3671,0)</x:f>
        <x:v>-0.375</x:v>
      </x:c>
      <x:c r="W3671" s="28" t="n">
        <x:f>L3671-M3671</x:f>
        <x:v>-8</x:v>
      </x:c>
      <x:c r="X3671" s="24" t="n">
        <x:f>IFERROR(K3671/I3671,0)</x:f>
        <x:v>0.4444444444444444</x:v>
      </x:c>
      <x:c r="Y3671" s="24" t="n">
        <x:f>IFERROR(G3671/I3671,0)</x:f>
        <x:v>0.16666666666666666</x:v>
      </x:c>
      <x:c r="Z3671" s="24" t="n">
        <x:f>IFERROR(G3671/K3671,0)</x:f>
        <x:v>0.375</x:v>
      </x:c>
      <x:c r="AA3671" s="24" t="n">
        <x:f>IFERROR(F3671/H3671,0)-IFERROR(G3671/I3671,0)</x:f>
        <x:v>-0.16666666666666666</x:v>
      </x:c>
      <x:c r="AB3671" s="28" t="n">
        <x:f>J3671-K3671</x:f>
        <x:v>-5</x:v>
      </x:c>
      <x:c r="AC3671" s="32" t="n">
        <x:f>F3671-G3671</x:f>
        <x:v>-3</x:v>
      </x:c>
    </x:row>
    <x:row r="3672">
      <x:c r="A3672" s="4" t="str">
        <x:v>2025-26</x:v>
      </x:c>
      <x:c r="B3672" s="20" t="n">
        <x:v>46124</x:v>
      </x:c>
      <x:c r="C3672" s="4" t="str">
        <x:v>Crystal Palace</x:v>
      </x:c>
      <x:c r="D3672" s="4" t="str">
        <x:v>Newcastle</x:v>
      </x:c>
      <x:c r="E3672" s="4" t="str">
        <x:v>Home</x:v>
      </x:c>
      <x:c r="F3672" s="28" t="n">
        <x:v>2</x:v>
      </x:c>
      <x:c r="G3672" s="28" t="n">
        <x:v>1</x:v>
      </x:c>
      <x:c r="H3672" s="28" t="n">
        <x:v>11</x:v>
      </x:c>
      <x:c r="I3672" s="28" t="n">
        <x:v>7</x:v>
      </x:c>
      <x:c r="J3672" s="28" t="n">
        <x:v>5</x:v>
      </x:c>
      <x:c r="K3672" s="28" t="n">
        <x:v>3</x:v>
      </x:c>
      <x:c r="L3672" s="28" t="n">
        <x:v>2</x:v>
      </x:c>
      <x:c r="M3672" s="28" t="n">
        <x:v>4</x:v>
      </x:c>
      <x:c r="N3672" s="28" t="n">
        <x:v>0</x:v>
      </x:c>
      <x:c r="O3672" s="28" t="n">
        <x:v>0</x:v>
      </x:c>
      <x:c r="P3672" s="28" t="n">
        <x:v>3</x:v>
      </x:c>
      <x:c r="Q3672" s="24" t="n">
        <x:f>IFERROR(J3672/H3672,0)</x:f>
        <x:v>0.45454545454545453</x:v>
      </x:c>
      <x:c r="R3672" s="24" t="n">
        <x:f>IFERROR(F3672/H3672,0)</x:f>
        <x:v>0.18181818181818182</x:v>
      </x:c>
      <x:c r="S3672" s="24" t="n">
        <x:f>IFERROR(F3672/J3672,0)</x:f>
        <x:v>0.4</x:v>
      </x:c>
      <x:c r="T3672" s="28" t="n">
        <x:f>H3672-I3672</x:f>
        <x:v>4</x:v>
      </x:c>
      <x:c r="U3672" s="24" t="n">
        <x:f>IFERROR(J3672/H3672,0)-IFERROR(K3672/I3672,0)</x:f>
        <x:v>0.025974025974025983</x:v>
      </x:c>
      <x:c r="V3672" s="24" t="n">
        <x:f>IFERROR(F3672/J3672,0)-IFERROR(G3672/K3672,0)</x:f>
        <x:v>0.06666666666666671</x:v>
      </x:c>
      <x:c r="W3672" s="28" t="n">
        <x:f>L3672-M3672</x:f>
        <x:v>-2</x:v>
      </x:c>
      <x:c r="X3672" s="24" t="n">
        <x:f>IFERROR(K3672/I3672,0)</x:f>
        <x:v>0.42857142857142855</x:v>
      </x:c>
      <x:c r="Y3672" s="24" t="n">
        <x:f>IFERROR(G3672/I3672,0)</x:f>
        <x:v>0.14285714285714285</x:v>
      </x:c>
      <x:c r="Z3672" s="24" t="n">
        <x:f>IFERROR(G3672/K3672,0)</x:f>
        <x:v>0.3333333333333333</x:v>
      </x:c>
      <x:c r="AA3672" s="24" t="n">
        <x:f>IFERROR(F3672/H3672,0)-IFERROR(G3672/I3672,0)</x:f>
        <x:v>0.038961038961038974</x:v>
      </x:c>
      <x:c r="AB3672" s="28" t="n">
        <x:f>J3672-K3672</x:f>
        <x:v>2</x:v>
      </x:c>
      <x:c r="AC3672" s="32" t="n">
        <x:f>F3672-G3672</x:f>
        <x:v>1</x:v>
      </x:c>
    </x:row>
    <x:row r="3673">
      <x:c r="A3673" s="4" t="str">
        <x:v>2025-26</x:v>
      </x:c>
      <x:c r="B3673" s="20" t="n">
        <x:v>46124</x:v>
      </x:c>
      <x:c r="C3673" s="4" t="str">
        <x:v>Man City</x:v>
      </x:c>
      <x:c r="D3673" s="4" t="str">
        <x:v>Chelsea</x:v>
      </x:c>
      <x:c r="E3673" s="4" t="str">
        <x:v>Away</x:v>
      </x:c>
      <x:c r="F3673" s="28" t="n">
        <x:v>3</x:v>
      </x:c>
      <x:c r="G3673" s="28" t="n">
        <x:v>0</x:v>
      </x:c>
      <x:c r="H3673" s="28" t="n">
        <x:v>18</x:v>
      </x:c>
      <x:c r="I3673" s="28" t="n">
        <x:v>12</x:v>
      </x:c>
      <x:c r="J3673" s="28" t="n">
        <x:v>8</x:v>
      </x:c>
      <x:c r="K3673" s="28" t="n">
        <x:v>3</x:v>
      </x:c>
      <x:c r="L3673" s="28" t="n">
        <x:v>12</x:v>
      </x:c>
      <x:c r="M3673" s="28" t="n">
        <x:v>4</x:v>
      </x:c>
      <x:c r="N3673" s="28" t="n">
        <x:v>1</x:v>
      </x:c>
      <x:c r="O3673" s="28" t="n">
        <x:v>0</x:v>
      </x:c>
      <x:c r="P3673" s="28" t="n">
        <x:v>3</x:v>
      </x:c>
      <x:c r="Q3673" s="24" t="n">
        <x:f>IFERROR(J3673/H3673,0)</x:f>
        <x:v>0.4444444444444444</x:v>
      </x:c>
      <x:c r="R3673" s="24" t="n">
        <x:f>IFERROR(F3673/H3673,0)</x:f>
        <x:v>0.16666666666666666</x:v>
      </x:c>
      <x:c r="S3673" s="24" t="n">
        <x:f>IFERROR(F3673/J3673,0)</x:f>
        <x:v>0.375</x:v>
      </x:c>
      <x:c r="T3673" s="28" t="n">
        <x:f>H3673-I3673</x:f>
        <x:v>6</x:v>
      </x:c>
      <x:c r="U3673" s="24" t="n">
        <x:f>IFERROR(J3673/H3673,0)-IFERROR(K3673/I3673,0)</x:f>
        <x:v>0.19444444444444442</x:v>
      </x:c>
      <x:c r="V3673" s="24" t="n">
        <x:f>IFERROR(F3673/J3673,0)-IFERROR(G3673/K3673,0)</x:f>
        <x:v>0.375</x:v>
      </x:c>
      <x:c r="W3673" s="28" t="n">
        <x:f>L3673-M3673</x:f>
        <x:v>8</x:v>
      </x:c>
      <x:c r="X3673" s="24" t="n">
        <x:f>IFERROR(K3673/I3673,0)</x:f>
        <x:v>0.25</x:v>
      </x:c>
      <x:c r="Y3673" s="24" t="n">
        <x:f>IFERROR(G3673/I3673,0)</x:f>
        <x:v>0</x:v>
      </x:c>
      <x:c r="Z3673" s="24" t="n">
        <x:f>IFERROR(G3673/K3673,0)</x:f>
        <x:v>0</x:v>
      </x:c>
      <x:c r="AA3673" s="24" t="n">
        <x:f>IFERROR(F3673/H3673,0)-IFERROR(G3673/I3673,0)</x:f>
        <x:v>0.16666666666666666</x:v>
      </x:c>
      <x:c r="AB3673" s="28" t="n">
        <x:f>J3673-K3673</x:f>
        <x:v>5</x:v>
      </x:c>
      <x:c r="AC3673" s="32" t="n">
        <x:f>F3673-G3673</x:f>
        <x:v>3</x:v>
      </x:c>
    </x:row>
    <x:row r="3674">
      <x:c r="A3674" s="4" t="str">
        <x:v>2025-26</x:v>
      </x:c>
      <x:c r="B3674" s="20" t="n">
        <x:v>46124</x:v>
      </x:c>
      <x:c r="C3674" s="4" t="str">
        <x:v>Newcastle</x:v>
      </x:c>
      <x:c r="D3674" s="4" t="str">
        <x:v>Crystal Palace</x:v>
      </x:c>
      <x:c r="E3674" s="4" t="str">
        <x:v>Away</x:v>
      </x:c>
      <x:c r="F3674" s="28" t="n">
        <x:v>1</x:v>
      </x:c>
      <x:c r="G3674" s="28" t="n">
        <x:v>2</x:v>
      </x:c>
      <x:c r="H3674" s="28" t="n">
        <x:v>7</x:v>
      </x:c>
      <x:c r="I3674" s="28" t="n">
        <x:v>11</x:v>
      </x:c>
      <x:c r="J3674" s="28" t="n">
        <x:v>3</x:v>
      </x:c>
      <x:c r="K3674" s="28" t="n">
        <x:v>5</x:v>
      </x:c>
      <x:c r="L3674" s="28" t="n">
        <x:v>4</x:v>
      </x:c>
      <x:c r="M3674" s="28" t="n">
        <x:v>2</x:v>
      </x:c>
      <x:c r="N3674" s="28" t="n">
        <x:v>3</x:v>
      </x:c>
      <x:c r="O3674" s="28" t="n">
        <x:v>0</x:v>
      </x:c>
      <x:c r="P3674" s="28" t="n">
        <x:v>0</x:v>
      </x:c>
      <x:c r="Q3674" s="24" t="n">
        <x:f>IFERROR(J3674/H3674,0)</x:f>
        <x:v>0.42857142857142855</x:v>
      </x:c>
      <x:c r="R3674" s="24" t="n">
        <x:f>IFERROR(F3674/H3674,0)</x:f>
        <x:v>0.14285714285714285</x:v>
      </x:c>
      <x:c r="S3674" s="24" t="n">
        <x:f>IFERROR(F3674/J3674,0)</x:f>
        <x:v>0.3333333333333333</x:v>
      </x:c>
      <x:c r="T3674" s="28" t="n">
        <x:f>H3674-I3674</x:f>
        <x:v>-4</x:v>
      </x:c>
      <x:c r="U3674" s="24" t="n">
        <x:f>IFERROR(J3674/H3674,0)-IFERROR(K3674/I3674,0)</x:f>
        <x:v>-0.025974025974025983</x:v>
      </x:c>
      <x:c r="V3674" s="24" t="n">
        <x:f>IFERROR(F3674/J3674,0)-IFERROR(G3674/K3674,0)</x:f>
        <x:v>-0.06666666666666671</x:v>
      </x:c>
      <x:c r="W3674" s="28" t="n">
        <x:f>L3674-M3674</x:f>
        <x:v>2</x:v>
      </x:c>
      <x:c r="X3674" s="24" t="n">
        <x:f>IFERROR(K3674/I3674,0)</x:f>
        <x:v>0.45454545454545453</x:v>
      </x:c>
      <x:c r="Y3674" s="24" t="n">
        <x:f>IFERROR(G3674/I3674,0)</x:f>
        <x:v>0.18181818181818182</x:v>
      </x:c>
      <x:c r="Z3674" s="24" t="n">
        <x:f>IFERROR(G3674/K3674,0)</x:f>
        <x:v>0.4</x:v>
      </x:c>
      <x:c r="AA3674" s="24" t="n">
        <x:f>IFERROR(F3674/H3674,0)-IFERROR(G3674/I3674,0)</x:f>
        <x:v>-0.038961038961038974</x:v>
      </x:c>
      <x:c r="AB3674" s="28" t="n">
        <x:f>J3674-K3674</x:f>
        <x:v>-2</x:v>
      </x:c>
      <x:c r="AC3674" s="32" t="n">
        <x:f>F3674-G3674</x:f>
        <x:v>-1</x:v>
      </x:c>
    </x:row>
    <x:row r="3675">
      <x:c r="A3675" s="4" t="str">
        <x:v>2025-26</x:v>
      </x:c>
      <x:c r="B3675" s="20" t="n">
        <x:v>46124</x:v>
      </x:c>
      <x:c r="C3675" s="4" t="str">
        <x:v>Nott'm Forest</x:v>
      </x:c>
      <x:c r="D3675" s="4" t="str">
        <x:v>Aston Villa</x:v>
      </x:c>
      <x:c r="E3675" s="4" t="str">
        <x:v>Home</x:v>
      </x:c>
      <x:c r="F3675" s="28" t="n">
        <x:v>1</x:v>
      </x:c>
      <x:c r="G3675" s="28" t="n">
        <x:v>1</x:v>
      </x:c>
      <x:c r="H3675" s="28" t="n">
        <x:v>15</x:v>
      </x:c>
      <x:c r="I3675" s="28" t="n">
        <x:v>12</x:v>
      </x:c>
      <x:c r="J3675" s="28" t="n">
        <x:v>4</x:v>
      </x:c>
      <x:c r="K3675" s="28" t="n">
        <x:v>5</x:v>
      </x:c>
      <x:c r="L3675" s="28" t="n">
        <x:v>7</x:v>
      </x:c>
      <x:c r="M3675" s="28" t="n">
        <x:v>3</x:v>
      </x:c>
      <x:c r="N3675" s="28" t="n">
        <x:v>2</x:v>
      </x:c>
      <x:c r="O3675" s="28" t="n">
        <x:v>0</x:v>
      </x:c>
      <x:c r="P3675" s="28" t="n">
        <x:v>1</x:v>
      </x:c>
      <x:c r="Q3675" s="24" t="n">
        <x:f>IFERROR(J3675/H3675,0)</x:f>
        <x:v>0.26666666666666666</x:v>
      </x:c>
      <x:c r="R3675" s="24" t="n">
        <x:f>IFERROR(F3675/H3675,0)</x:f>
        <x:v>0.06666666666666667</x:v>
      </x:c>
      <x:c r="S3675" s="24" t="n">
        <x:f>IFERROR(F3675/J3675,0)</x:f>
        <x:v>0.25</x:v>
      </x:c>
      <x:c r="T3675" s="28" t="n">
        <x:f>H3675-I3675</x:f>
        <x:v>3</x:v>
      </x:c>
      <x:c r="U3675" s="24" t="n">
        <x:f>IFERROR(J3675/H3675,0)-IFERROR(K3675/I3675,0)</x:f>
        <x:v>-0.15000000000000002</x:v>
      </x:c>
      <x:c r="V3675" s="24" t="n">
        <x:f>IFERROR(F3675/J3675,0)-IFERROR(G3675/K3675,0)</x:f>
        <x:v>0.04999999999999999</x:v>
      </x:c>
      <x:c r="W3675" s="28" t="n">
        <x:f>L3675-M3675</x:f>
        <x:v>4</x:v>
      </x:c>
      <x:c r="X3675" s="24" t="n">
        <x:f>IFERROR(K3675/I3675,0)</x:f>
        <x:v>0.4166666666666667</x:v>
      </x:c>
      <x:c r="Y3675" s="24" t="n">
        <x:f>IFERROR(G3675/I3675,0)</x:f>
        <x:v>0.08333333333333333</x:v>
      </x:c>
      <x:c r="Z3675" s="24" t="n">
        <x:f>IFERROR(G3675/K3675,0)</x:f>
        <x:v>0.2</x:v>
      </x:c>
      <x:c r="AA3675" s="24" t="n">
        <x:f>IFERROR(F3675/H3675,0)-IFERROR(G3675/I3675,0)</x:f>
        <x:v>-0.016666666666666663</x:v>
      </x:c>
      <x:c r="AB3675" s="28" t="n">
        <x:f>J3675-K3675</x:f>
        <x:v>-1</x:v>
      </x:c>
      <x:c r="AC3675" s="32" t="n">
        <x:f>F3675-G3675</x:f>
        <x:v>0</x:v>
      </x:c>
    </x:row>
    <x:row r="3676">
      <x:c r="A3676" s="4" t="str">
        <x:v>2025-26</x:v>
      </x:c>
      <x:c r="B3676" s="20" t="n">
        <x:v>46124</x:v>
      </x:c>
      <x:c r="C3676" s="4" t="str">
        <x:v>Sunderland</x:v>
      </x:c>
      <x:c r="D3676" s="4" t="str">
        <x:v>Tottenham</x:v>
      </x:c>
      <x:c r="E3676" s="4" t="str">
        <x:v>Home</x:v>
      </x:c>
      <x:c r="F3676" s="28" t="n">
        <x:v>1</x:v>
      </x:c>
      <x:c r="G3676" s="28" t="n">
        <x:v>0</x:v>
      </x:c>
      <x:c r="H3676" s="28" t="n">
        <x:v>13</x:v>
      </x:c>
      <x:c r="I3676" s="28" t="n">
        <x:v>11</x:v>
      </x:c>
      <x:c r="J3676" s="28" t="n">
        <x:v>2</x:v>
      </x:c>
      <x:c r="K3676" s="28" t="n">
        <x:v>7</x:v>
      </x:c>
      <x:c r="L3676" s="28" t="n">
        <x:v>2</x:v>
      </x:c>
      <x:c r="M3676" s="28" t="n">
        <x:v>6</x:v>
      </x:c>
      <x:c r="N3676" s="28" t="n">
        <x:v>3</x:v>
      </x:c>
      <x:c r="O3676" s="28" t="n">
        <x:v>0</x:v>
      </x:c>
      <x:c r="P3676" s="28" t="n">
        <x:v>3</x:v>
      </x:c>
      <x:c r="Q3676" s="24" t="n">
        <x:f>IFERROR(J3676/H3676,0)</x:f>
        <x:v>0.15384615384615385</x:v>
      </x:c>
      <x:c r="R3676" s="24" t="n">
        <x:f>IFERROR(F3676/H3676,0)</x:f>
        <x:v>0.07692307692307693</x:v>
      </x:c>
      <x:c r="S3676" s="24" t="n">
        <x:f>IFERROR(F3676/J3676,0)</x:f>
        <x:v>0.5</x:v>
      </x:c>
      <x:c r="T3676" s="28" t="n">
        <x:f>H3676-I3676</x:f>
        <x:v>2</x:v>
      </x:c>
      <x:c r="U3676" s="24" t="n">
        <x:f>IFERROR(J3676/H3676,0)-IFERROR(K3676/I3676,0)</x:f>
        <x:v>-0.4825174825174825</x:v>
      </x:c>
      <x:c r="V3676" s="24" t="n">
        <x:f>IFERROR(F3676/J3676,0)-IFERROR(G3676/K3676,0)</x:f>
        <x:v>0.5</x:v>
      </x:c>
      <x:c r="W3676" s="28" t="n">
        <x:f>L3676-M3676</x:f>
        <x:v>-4</x:v>
      </x:c>
      <x:c r="X3676" s="24" t="n">
        <x:f>IFERROR(K3676/I3676,0)</x:f>
        <x:v>0.6363636363636364</x:v>
      </x:c>
      <x:c r="Y3676" s="24" t="n">
        <x:f>IFERROR(G3676/I3676,0)</x:f>
        <x:v>0</x:v>
      </x:c>
      <x:c r="Z3676" s="24" t="n">
        <x:f>IFERROR(G3676/K3676,0)</x:f>
        <x:v>0</x:v>
      </x:c>
      <x:c r="AA3676" s="24" t="n">
        <x:f>IFERROR(F3676/H3676,0)-IFERROR(G3676/I3676,0)</x:f>
        <x:v>0.07692307692307693</x:v>
      </x:c>
      <x:c r="AB3676" s="28" t="n">
        <x:f>J3676-K3676</x:f>
        <x:v>-5</x:v>
      </x:c>
      <x:c r="AC3676" s="32" t="n">
        <x:f>F3676-G3676</x:f>
        <x:v>1</x:v>
      </x:c>
    </x:row>
    <x:row r="3677">
      <x:c r="A3677" s="4" t="str">
        <x:v>2025-26</x:v>
      </x:c>
      <x:c r="B3677" s="20" t="n">
        <x:v>46124</x:v>
      </x:c>
      <x:c r="C3677" s="4" t="str">
        <x:v>Tottenham</x:v>
      </x:c>
      <x:c r="D3677" s="4" t="str">
        <x:v>Sunderland</x:v>
      </x:c>
      <x:c r="E3677" s="4" t="str">
        <x:v>Away</x:v>
      </x:c>
      <x:c r="F3677" s="28" t="n">
        <x:v>0</x:v>
      </x:c>
      <x:c r="G3677" s="28" t="n">
        <x:v>1</x:v>
      </x:c>
      <x:c r="H3677" s="28" t="n">
        <x:v>11</x:v>
      </x:c>
      <x:c r="I3677" s="28" t="n">
        <x:v>13</x:v>
      </x:c>
      <x:c r="J3677" s="28" t="n">
        <x:v>7</x:v>
      </x:c>
      <x:c r="K3677" s="28" t="n">
        <x:v>2</x:v>
      </x:c>
      <x:c r="L3677" s="28" t="n">
        <x:v>6</x:v>
      </x:c>
      <x:c r="M3677" s="28" t="n">
        <x:v>2</x:v>
      </x:c>
      <x:c r="N3677" s="28" t="n">
        <x:v>3</x:v>
      </x:c>
      <x:c r="O3677" s="28" t="n">
        <x:v>0</x:v>
      </x:c>
      <x:c r="P3677" s="28" t="n">
        <x:v>0</x:v>
      </x:c>
      <x:c r="Q3677" s="24" t="n">
        <x:f>IFERROR(J3677/H3677,0)</x:f>
        <x:v>0.6363636363636364</x:v>
      </x:c>
      <x:c r="R3677" s="24" t="n">
        <x:f>IFERROR(F3677/H3677,0)</x:f>
        <x:v>0</x:v>
      </x:c>
      <x:c r="S3677" s="24" t="n">
        <x:f>IFERROR(F3677/J3677,0)</x:f>
        <x:v>0</x:v>
      </x:c>
      <x:c r="T3677" s="28" t="n">
        <x:f>H3677-I3677</x:f>
        <x:v>-2</x:v>
      </x:c>
      <x:c r="U3677" s="24" t="n">
        <x:f>IFERROR(J3677/H3677,0)-IFERROR(K3677/I3677,0)</x:f>
        <x:v>0.4825174825174825</x:v>
      </x:c>
      <x:c r="V3677" s="24" t="n">
        <x:f>IFERROR(F3677/J3677,0)-IFERROR(G3677/K3677,0)</x:f>
        <x:v>-0.5</x:v>
      </x:c>
      <x:c r="W3677" s="28" t="n">
        <x:f>L3677-M3677</x:f>
        <x:v>4</x:v>
      </x:c>
      <x:c r="X3677" s="24" t="n">
        <x:f>IFERROR(K3677/I3677,0)</x:f>
        <x:v>0.15384615384615385</x:v>
      </x:c>
      <x:c r="Y3677" s="24" t="n">
        <x:f>IFERROR(G3677/I3677,0)</x:f>
        <x:v>0.07692307692307693</x:v>
      </x:c>
      <x:c r="Z3677" s="24" t="n">
        <x:f>IFERROR(G3677/K3677,0)</x:f>
        <x:v>0.5</x:v>
      </x:c>
      <x:c r="AA3677" s="24" t="n">
        <x:f>IFERROR(F3677/H3677,0)-IFERROR(G3677/I3677,0)</x:f>
        <x:v>-0.07692307692307693</x:v>
      </x:c>
      <x:c r="AB3677" s="28" t="n">
        <x:f>J3677-K3677</x:f>
        <x:v>5</x:v>
      </x:c>
      <x:c r="AC3677" s="32" t="n">
        <x:f>F3677-G3677</x:f>
        <x:v>-1</x:v>
      </x:c>
    </x:row>
    <x:row r="3678">
      <x:c r="A3678" s="4" t="str">
        <x:v>2025-26</x:v>
      </x:c>
      <x:c r="B3678" s="20" t="n">
        <x:v>46125</x:v>
      </x:c>
      <x:c r="C3678" s="4" t="str">
        <x:v>Leeds</x:v>
      </x:c>
      <x:c r="D3678" s="4" t="str">
        <x:v>Man United</x:v>
      </x:c>
      <x:c r="E3678" s="4" t="str">
        <x:v>Away</x:v>
      </x:c>
      <x:c r="F3678" s="28" t="n">
        <x:v>2</x:v>
      </x:c>
      <x:c r="G3678" s="28" t="n">
        <x:v>1</x:v>
      </x:c>
      <x:c r="H3678" s="28" t="n">
        <x:v>15</x:v>
      </x:c>
      <x:c r="I3678" s="28" t="n">
        <x:v>20</x:v>
      </x:c>
      <x:c r="J3678" s="28" t="n">
        <x:v>6</x:v>
      </x:c>
      <x:c r="K3678" s="28" t="n">
        <x:v>9</x:v>
      </x:c>
      <x:c r="L3678" s="28" t="n">
        <x:v>4</x:v>
      </x:c>
      <x:c r="M3678" s="28" t="n">
        <x:v>11</x:v>
      </x:c>
      <x:c r="N3678" s="28" t="n">
        <x:v>2</x:v>
      </x:c>
      <x:c r="O3678" s="28" t="n">
        <x:v>0</x:v>
      </x:c>
      <x:c r="P3678" s="28" t="n">
        <x:v>3</x:v>
      </x:c>
      <x:c r="Q3678" s="24" t="n">
        <x:f>IFERROR(J3678/H3678,0)</x:f>
        <x:v>0.4</x:v>
      </x:c>
      <x:c r="R3678" s="24" t="n">
        <x:f>IFERROR(F3678/H3678,0)</x:f>
        <x:v>0.13333333333333333</x:v>
      </x:c>
      <x:c r="S3678" s="24" t="n">
        <x:f>IFERROR(F3678/J3678,0)</x:f>
        <x:v>0.3333333333333333</x:v>
      </x:c>
      <x:c r="T3678" s="28" t="n">
        <x:f>H3678-I3678</x:f>
        <x:v>-5</x:v>
      </x:c>
      <x:c r="U3678" s="24" t="n">
        <x:f>IFERROR(J3678/H3678,0)-IFERROR(K3678/I3678,0)</x:f>
        <x:v>-0.04999999999999999</x:v>
      </x:c>
      <x:c r="V3678" s="24" t="n">
        <x:f>IFERROR(F3678/J3678,0)-IFERROR(G3678/K3678,0)</x:f>
        <x:v>0.2222222222222222</x:v>
      </x:c>
      <x:c r="W3678" s="28" t="n">
        <x:f>L3678-M3678</x:f>
        <x:v>-7</x:v>
      </x:c>
      <x:c r="X3678" s="24" t="n">
        <x:f>IFERROR(K3678/I3678,0)</x:f>
        <x:v>0.45</x:v>
      </x:c>
      <x:c r="Y3678" s="24" t="n">
        <x:f>IFERROR(G3678/I3678,0)</x:f>
        <x:v>0.05</x:v>
      </x:c>
      <x:c r="Z3678" s="24" t="n">
        <x:f>IFERROR(G3678/K3678,0)</x:f>
        <x:v>0.1111111111111111</x:v>
      </x:c>
      <x:c r="AA3678" s="24" t="n">
        <x:f>IFERROR(F3678/H3678,0)-IFERROR(G3678/I3678,0)</x:f>
        <x:v>0.08333333333333333</x:v>
      </x:c>
      <x:c r="AB3678" s="28" t="n">
        <x:f>J3678-K3678</x:f>
        <x:v>-3</x:v>
      </x:c>
      <x:c r="AC3678" s="32" t="n">
        <x:f>F3678-G3678</x:f>
        <x:v>1</x:v>
      </x:c>
    </x:row>
    <x:row r="3679">
      <x:c r="A3679" s="4" t="str">
        <x:v>2025-26</x:v>
      </x:c>
      <x:c r="B3679" s="20" t="n">
        <x:v>46125</x:v>
      </x:c>
      <x:c r="C3679" s="4" t="str">
        <x:v>Man United</x:v>
      </x:c>
      <x:c r="D3679" s="4" t="str">
        <x:v>Leeds</x:v>
      </x:c>
      <x:c r="E3679" s="4" t="str">
        <x:v>Home</x:v>
      </x:c>
      <x:c r="F3679" s="28" t="n">
        <x:v>1</x:v>
      </x:c>
      <x:c r="G3679" s="28" t="n">
        <x:v>2</x:v>
      </x:c>
      <x:c r="H3679" s="28" t="n">
        <x:v>20</x:v>
      </x:c>
      <x:c r="I3679" s="28" t="n">
        <x:v>15</x:v>
      </x:c>
      <x:c r="J3679" s="28" t="n">
        <x:v>9</x:v>
      </x:c>
      <x:c r="K3679" s="28" t="n">
        <x:v>6</x:v>
      </x:c>
      <x:c r="L3679" s="28" t="n">
        <x:v>11</x:v>
      </x:c>
      <x:c r="M3679" s="28" t="n">
        <x:v>4</x:v>
      </x:c>
      <x:c r="N3679" s="28" t="n">
        <x:v>3</x:v>
      </x:c>
      <x:c r="O3679" s="28" t="n">
        <x:v>1</x:v>
      </x:c>
      <x:c r="P3679" s="28" t="n">
        <x:v>0</x:v>
      </x:c>
      <x:c r="Q3679" s="24" t="n">
        <x:f>IFERROR(J3679/H3679,0)</x:f>
        <x:v>0.45</x:v>
      </x:c>
      <x:c r="R3679" s="24" t="n">
        <x:f>IFERROR(F3679/H3679,0)</x:f>
        <x:v>0.05</x:v>
      </x:c>
      <x:c r="S3679" s="24" t="n">
        <x:f>IFERROR(F3679/J3679,0)</x:f>
        <x:v>0.1111111111111111</x:v>
      </x:c>
      <x:c r="T3679" s="28" t="n">
        <x:f>H3679-I3679</x:f>
        <x:v>5</x:v>
      </x:c>
      <x:c r="U3679" s="24" t="n">
        <x:f>IFERROR(J3679/H3679,0)-IFERROR(K3679/I3679,0)</x:f>
        <x:v>0.04999999999999999</x:v>
      </x:c>
      <x:c r="V3679" s="24" t="n">
        <x:f>IFERROR(F3679/J3679,0)-IFERROR(G3679/K3679,0)</x:f>
        <x:v>-0.2222222222222222</x:v>
      </x:c>
      <x:c r="W3679" s="28" t="n">
        <x:f>L3679-M3679</x:f>
        <x:v>7</x:v>
      </x:c>
      <x:c r="X3679" s="24" t="n">
        <x:f>IFERROR(K3679/I3679,0)</x:f>
        <x:v>0.4</x:v>
      </x:c>
      <x:c r="Y3679" s="24" t="n">
        <x:f>IFERROR(G3679/I3679,0)</x:f>
        <x:v>0.13333333333333333</x:v>
      </x:c>
      <x:c r="Z3679" s="24" t="n">
        <x:f>IFERROR(G3679/K3679,0)</x:f>
        <x:v>0.3333333333333333</x:v>
      </x:c>
      <x:c r="AA3679" s="24" t="n">
        <x:f>IFERROR(F3679/H3679,0)-IFERROR(G3679/I3679,0)</x:f>
        <x:v>-0.08333333333333333</x:v>
      </x:c>
      <x:c r="AB3679" s="28" t="n">
        <x:f>J3679-K3679</x:f>
        <x:v>3</x:v>
      </x:c>
      <x:c r="AC3679" s="32" t="n">
        <x:f>F3679-G3679</x:f>
        <x:v>-1</x:v>
      </x:c>
    </x:row>
    <x:row r="3680">
      <x:c r="A3680" s="4" t="str">
        <x:v>2025-26</x:v>
      </x:c>
      <x:c r="B3680" s="20" t="n">
        <x:v>46130</x:v>
      </x:c>
      <x:c r="C3680" s="4" t="str">
        <x:v>Bournemouth</x:v>
      </x:c>
      <x:c r="D3680" s="4" t="str">
        <x:v>Newcastle</x:v>
      </x:c>
      <x:c r="E3680" s="4" t="str">
        <x:v>Away</x:v>
      </x:c>
      <x:c r="F3680" s="28" t="n">
        <x:v>2</x:v>
      </x:c>
      <x:c r="G3680" s="28" t="n">
        <x:v>1</x:v>
      </x:c>
      <x:c r="H3680" s="28" t="n">
        <x:v>12</x:v>
      </x:c>
      <x:c r="I3680" s="28" t="n">
        <x:v>12</x:v>
      </x:c>
      <x:c r="J3680" s="28" t="n">
        <x:v>3</x:v>
      </x:c>
      <x:c r="K3680" s="28" t="n">
        <x:v>3</x:v>
      </x:c>
      <x:c r="L3680" s="28" t="n">
        <x:v>3</x:v>
      </x:c>
      <x:c r="M3680" s="28" t="n">
        <x:v>2</x:v>
      </x:c>
      <x:c r="N3680" s="28" t="n">
        <x:v>4</x:v>
      </x:c>
      <x:c r="O3680" s="28" t="n">
        <x:v>0</x:v>
      </x:c>
      <x:c r="P3680" s="28" t="n">
        <x:v>3</x:v>
      </x:c>
      <x:c r="Q3680" s="24" t="n">
        <x:f>IFERROR(J3680/H3680,0)</x:f>
        <x:v>0.25</x:v>
      </x:c>
      <x:c r="R3680" s="24" t="n">
        <x:f>IFERROR(F3680/H3680,0)</x:f>
        <x:v>0.16666666666666666</x:v>
      </x:c>
      <x:c r="S3680" s="24" t="n">
        <x:f>IFERROR(F3680/J3680,0)</x:f>
        <x:v>0.6666666666666666</x:v>
      </x:c>
      <x:c r="T3680" s="28" t="n">
        <x:f>H3680-I3680</x:f>
        <x:v>0</x:v>
      </x:c>
      <x:c r="U3680" s="24" t="n">
        <x:f>IFERROR(J3680/H3680,0)-IFERROR(K3680/I3680,0)</x:f>
        <x:v>0</x:v>
      </x:c>
      <x:c r="V3680" s="24" t="n">
        <x:f>IFERROR(F3680/J3680,0)-IFERROR(G3680/K3680,0)</x:f>
        <x:v>0.3333333333333333</x:v>
      </x:c>
      <x:c r="W3680" s="28" t="n">
        <x:f>L3680-M3680</x:f>
        <x:v>1</x:v>
      </x:c>
      <x:c r="X3680" s="24" t="n">
        <x:f>IFERROR(K3680/I3680,0)</x:f>
        <x:v>0.25</x:v>
      </x:c>
      <x:c r="Y3680" s="24" t="n">
        <x:f>IFERROR(G3680/I3680,0)</x:f>
        <x:v>0.08333333333333333</x:v>
      </x:c>
      <x:c r="Z3680" s="24" t="n">
        <x:f>IFERROR(G3680/K3680,0)</x:f>
        <x:v>0.3333333333333333</x:v>
      </x:c>
      <x:c r="AA3680" s="24" t="n">
        <x:f>IFERROR(F3680/H3680,0)-IFERROR(G3680/I3680,0)</x:f>
        <x:v>0.08333333333333333</x:v>
      </x:c>
      <x:c r="AB3680" s="28" t="n">
        <x:f>J3680-K3680</x:f>
        <x:v>0</x:v>
      </x:c>
      <x:c r="AC3680" s="32" t="n">
        <x:f>F3680-G3680</x:f>
        <x:v>1</x:v>
      </x:c>
    </x:row>
    <x:row r="3681">
      <x:c r="A3681" s="4" t="str">
        <x:v>2025-26</x:v>
      </x:c>
      <x:c r="B3681" s="20" t="n">
        <x:v>46130</x:v>
      </x:c>
      <x:c r="C3681" s="4" t="str">
        <x:v>Brentford</x:v>
      </x:c>
      <x:c r="D3681" s="4" t="str">
        <x:v>Fulham</x:v>
      </x:c>
      <x:c r="E3681" s="4" t="str">
        <x:v>Home</x:v>
      </x:c>
      <x:c r="F3681" s="28" t="n">
        <x:v>0</x:v>
      </x:c>
      <x:c r="G3681" s="28" t="n">
        <x:v>0</x:v>
      </x:c>
      <x:c r="H3681" s="28" t="n">
        <x:v>13</x:v>
      </x:c>
      <x:c r="I3681" s="28" t="n">
        <x:v>11</x:v>
      </x:c>
      <x:c r="J3681" s="28" t="n">
        <x:v>4</x:v>
      </x:c>
      <x:c r="K3681" s="28" t="n">
        <x:v>0</x:v>
      </x:c>
      <x:c r="L3681" s="28" t="n">
        <x:v>9</x:v>
      </x:c>
      <x:c r="M3681" s="28" t="n">
        <x:v>3</x:v>
      </x:c>
      <x:c r="N3681" s="28" t="n">
        <x:v>0</x:v>
      </x:c>
      <x:c r="O3681" s="28" t="n">
        <x:v>0</x:v>
      </x:c>
      <x:c r="P3681" s="28" t="n">
        <x:v>1</x:v>
      </x:c>
      <x:c r="Q3681" s="24" t="n">
        <x:f>IFERROR(J3681/H3681,0)</x:f>
        <x:v>0.3076923076923077</x:v>
      </x:c>
      <x:c r="R3681" s="24" t="n">
        <x:f>IFERROR(F3681/H3681,0)</x:f>
        <x:v>0</x:v>
      </x:c>
      <x:c r="S3681" s="24" t="n">
        <x:f>IFERROR(F3681/J3681,0)</x:f>
        <x:v>0</x:v>
      </x:c>
      <x:c r="T3681" s="28" t="n">
        <x:f>H3681-I3681</x:f>
        <x:v>2</x:v>
      </x:c>
      <x:c r="U3681" s="24" t="n">
        <x:f>IFERROR(J3681/H3681,0)-IFERROR(K3681/I3681,0)</x:f>
        <x:v>0.3076923076923077</x:v>
      </x:c>
      <x:c r="V3681" s="24" t="n">
        <x:f>IFERROR(F3681/J3681,0)-IFERROR(G3681/K3681,0)</x:f>
        <x:v>0</x:v>
      </x:c>
      <x:c r="W3681" s="28" t="n">
        <x:f>L3681-M3681</x:f>
        <x:v>6</x:v>
      </x:c>
      <x:c r="X3681" s="24" t="n">
        <x:f>IFERROR(K3681/I3681,0)</x:f>
        <x:v>0</x:v>
      </x:c>
      <x:c r="Y3681" s="24" t="n">
        <x:f>IFERROR(G3681/I3681,0)</x:f>
        <x:v>0</x:v>
      </x:c>
      <x:c r="Z3681" s="24" t="n">
        <x:f>IFERROR(G3681/K3681,0)</x:f>
        <x:v>0</x:v>
      </x:c>
      <x:c r="AA3681" s="24" t="n">
        <x:f>IFERROR(F3681/H3681,0)-IFERROR(G3681/I3681,0)</x:f>
        <x:v>0</x:v>
      </x:c>
      <x:c r="AB3681" s="28" t="n">
        <x:f>J3681-K3681</x:f>
        <x:v>4</x:v>
      </x:c>
      <x:c r="AC3681" s="32" t="n">
        <x:f>F3681-G3681</x:f>
        <x:v>0</x:v>
      </x:c>
    </x:row>
    <x:row r="3682">
      <x:c r="A3682" s="4" t="str">
        <x:v>2025-26</x:v>
      </x:c>
      <x:c r="B3682" s="20" t="n">
        <x:v>46130</x:v>
      </x:c>
      <x:c r="C3682" s="4" t="str">
        <x:v>Brighton</x:v>
      </x:c>
      <x:c r="D3682" s="4" t="str">
        <x:v>Tottenham</x:v>
      </x:c>
      <x:c r="E3682" s="4" t="str">
        <x:v>Away</x:v>
      </x:c>
      <x:c r="F3682" s="28" t="n">
        <x:v>2</x:v>
      </x:c>
      <x:c r="G3682" s="28" t="n">
        <x:v>2</x:v>
      </x:c>
      <x:c r="H3682" s="28" t="n">
        <x:v>10</x:v>
      </x:c>
      <x:c r="I3682" s="28" t="n">
        <x:v>13</x:v>
      </x:c>
      <x:c r="J3682" s="28" t="n">
        <x:v>3</x:v>
      </x:c>
      <x:c r="K3682" s="28" t="n">
        <x:v>6</x:v>
      </x:c>
      <x:c r="L3682" s="28" t="n">
        <x:v>5</x:v>
      </x:c>
      <x:c r="M3682" s="28" t="n">
        <x:v>7</x:v>
      </x:c>
      <x:c r="N3682" s="28" t="n">
        <x:v>1</x:v>
      </x:c>
      <x:c r="O3682" s="28" t="n">
        <x:v>0</x:v>
      </x:c>
      <x:c r="P3682" s="28" t="n">
        <x:v>1</x:v>
      </x:c>
      <x:c r="Q3682" s="24" t="n">
        <x:f>IFERROR(J3682/H3682,0)</x:f>
        <x:v>0.3</x:v>
      </x:c>
      <x:c r="R3682" s="24" t="n">
        <x:f>IFERROR(F3682/H3682,0)</x:f>
        <x:v>0.2</x:v>
      </x:c>
      <x:c r="S3682" s="24" t="n">
        <x:f>IFERROR(F3682/J3682,0)</x:f>
        <x:v>0.6666666666666666</x:v>
      </x:c>
      <x:c r="T3682" s="28" t="n">
        <x:f>H3682-I3682</x:f>
        <x:v>-3</x:v>
      </x:c>
      <x:c r="U3682" s="24" t="n">
        <x:f>IFERROR(J3682/H3682,0)-IFERROR(K3682/I3682,0)</x:f>
        <x:v>-0.16153846153846158</x:v>
      </x:c>
      <x:c r="V3682" s="24" t="n">
        <x:f>IFERROR(F3682/J3682,0)-IFERROR(G3682/K3682,0)</x:f>
        <x:v>0.3333333333333333</x:v>
      </x:c>
      <x:c r="W3682" s="28" t="n">
        <x:f>L3682-M3682</x:f>
        <x:v>-2</x:v>
      </x:c>
      <x:c r="X3682" s="24" t="n">
        <x:f>IFERROR(K3682/I3682,0)</x:f>
        <x:v>0.46153846153846156</x:v>
      </x:c>
      <x:c r="Y3682" s="24" t="n">
        <x:f>IFERROR(G3682/I3682,0)</x:f>
        <x:v>0.15384615384615385</x:v>
      </x:c>
      <x:c r="Z3682" s="24" t="n">
        <x:f>IFERROR(G3682/K3682,0)</x:f>
        <x:v>0.3333333333333333</x:v>
      </x:c>
      <x:c r="AA3682" s="24" t="n">
        <x:f>IFERROR(F3682/H3682,0)-IFERROR(G3682/I3682,0)</x:f>
        <x:v>0.046153846153846156</x:v>
      </x:c>
      <x:c r="AB3682" s="28" t="n">
        <x:f>J3682-K3682</x:f>
        <x:v>-3</x:v>
      </x:c>
      <x:c r="AC3682" s="32" t="n">
        <x:f>F3682-G3682</x:f>
        <x:v>0</x:v>
      </x:c>
    </x:row>
    <x:row r="3683">
      <x:c r="A3683" s="4" t="str">
        <x:v>2025-26</x:v>
      </x:c>
      <x:c r="B3683" s="20" t="n">
        <x:v>46130</x:v>
      </x:c>
      <x:c r="C3683" s="4" t="str">
        <x:v>Chelsea</x:v>
      </x:c>
      <x:c r="D3683" s="4" t="str">
        <x:v>Man United</x:v>
      </x:c>
      <x:c r="E3683" s="4" t="str">
        <x:v>Home</x:v>
      </x:c>
      <x:c r="F3683" s="28" t="n">
        <x:v>0</x:v>
      </x:c>
      <x:c r="G3683" s="28" t="n">
        <x:v>1</x:v>
      </x:c>
      <x:c r="H3683" s="28" t="n">
        <x:v>21</x:v>
      </x:c>
      <x:c r="I3683" s="28" t="n">
        <x:v>4</x:v>
      </x:c>
      <x:c r="J3683" s="28" t="n">
        <x:v>3</x:v>
      </x:c>
      <x:c r="K3683" s="28" t="n">
        <x:v>1</x:v>
      </x:c>
      <x:c r="L3683" s="28" t="n">
        <x:v>7</x:v>
      </x:c>
      <x:c r="M3683" s="28" t="n">
        <x:v>1</x:v>
      </x:c>
      <x:c r="N3683" s="28" t="n">
        <x:v>1</x:v>
      </x:c>
      <x:c r="O3683" s="28" t="n">
        <x:v>0</x:v>
      </x:c>
      <x:c r="P3683" s="28" t="n">
        <x:v>0</x:v>
      </x:c>
      <x:c r="Q3683" s="24" t="n">
        <x:f>IFERROR(J3683/H3683,0)</x:f>
        <x:v>0.14285714285714285</x:v>
      </x:c>
      <x:c r="R3683" s="24" t="n">
        <x:f>IFERROR(F3683/H3683,0)</x:f>
        <x:v>0</x:v>
      </x:c>
      <x:c r="S3683" s="24" t="n">
        <x:f>IFERROR(F3683/J3683,0)</x:f>
        <x:v>0</x:v>
      </x:c>
      <x:c r="T3683" s="28" t="n">
        <x:f>H3683-I3683</x:f>
        <x:v>17</x:v>
      </x:c>
      <x:c r="U3683" s="24" t="n">
        <x:f>IFERROR(J3683/H3683,0)-IFERROR(K3683/I3683,0)</x:f>
        <x:v>-0.10714285714285715</x:v>
      </x:c>
      <x:c r="V3683" s="24" t="n">
        <x:f>IFERROR(F3683/J3683,0)-IFERROR(G3683/K3683,0)</x:f>
        <x:v>-1</x:v>
      </x:c>
      <x:c r="W3683" s="28" t="n">
        <x:f>L3683-M3683</x:f>
        <x:v>6</x:v>
      </x:c>
      <x:c r="X3683" s="24" t="n">
        <x:f>IFERROR(K3683/I3683,0)</x:f>
        <x:v>0.25</x:v>
      </x:c>
      <x:c r="Y3683" s="24" t="n">
        <x:f>IFERROR(G3683/I3683,0)</x:f>
        <x:v>0.25</x:v>
      </x:c>
      <x:c r="Z3683" s="24" t="n">
        <x:f>IFERROR(G3683/K3683,0)</x:f>
        <x:v>1</x:v>
      </x:c>
      <x:c r="AA3683" s="24" t="n">
        <x:f>IFERROR(F3683/H3683,0)-IFERROR(G3683/I3683,0)</x:f>
        <x:v>-0.25</x:v>
      </x:c>
      <x:c r="AB3683" s="28" t="n">
        <x:f>J3683-K3683</x:f>
        <x:v>2</x:v>
      </x:c>
      <x:c r="AC3683" s="32" t="n">
        <x:f>F3683-G3683</x:f>
        <x:v>-1</x:v>
      </x:c>
    </x:row>
    <x:row r="3684">
      <x:c r="A3684" s="4" t="str">
        <x:v>2025-26</x:v>
      </x:c>
      <x:c r="B3684" s="20" t="n">
        <x:v>46130</x:v>
      </x:c>
      <x:c r="C3684" s="4" t="str">
        <x:v>Fulham</x:v>
      </x:c>
      <x:c r="D3684" s="4" t="str">
        <x:v>Brentford</x:v>
      </x:c>
      <x:c r="E3684" s="4" t="str">
        <x:v>Away</x:v>
      </x:c>
      <x:c r="F3684" s="28" t="n">
        <x:v>0</x:v>
      </x:c>
      <x:c r="G3684" s="28" t="n">
        <x:v>0</x:v>
      </x:c>
      <x:c r="H3684" s="28" t="n">
        <x:v>11</x:v>
      </x:c>
      <x:c r="I3684" s="28" t="n">
        <x:v>13</x:v>
      </x:c>
      <x:c r="J3684" s="28" t="n">
        <x:v>0</x:v>
      </x:c>
      <x:c r="K3684" s="28" t="n">
        <x:v>4</x:v>
      </x:c>
      <x:c r="L3684" s="28" t="n">
        <x:v>3</x:v>
      </x:c>
      <x:c r="M3684" s="28" t="n">
        <x:v>9</x:v>
      </x:c>
      <x:c r="N3684" s="28" t="n">
        <x:v>1</x:v>
      </x:c>
      <x:c r="O3684" s="28" t="n">
        <x:v>0</x:v>
      </x:c>
      <x:c r="P3684" s="28" t="n">
        <x:v>1</x:v>
      </x:c>
      <x:c r="Q3684" s="24" t="n">
        <x:f>IFERROR(J3684/H3684,0)</x:f>
        <x:v>0</x:v>
      </x:c>
      <x:c r="R3684" s="24" t="n">
        <x:f>IFERROR(F3684/H3684,0)</x:f>
        <x:v>0</x:v>
      </x:c>
      <x:c r="S3684" s="24" t="n">
        <x:f>IFERROR(F3684/J3684,0)</x:f>
        <x:v>0</x:v>
      </x:c>
      <x:c r="T3684" s="28" t="n">
        <x:f>H3684-I3684</x:f>
        <x:v>-2</x:v>
      </x:c>
      <x:c r="U3684" s="24" t="n">
        <x:f>IFERROR(J3684/H3684,0)-IFERROR(K3684/I3684,0)</x:f>
        <x:v>-0.3076923076923077</x:v>
      </x:c>
      <x:c r="V3684" s="24" t="n">
        <x:f>IFERROR(F3684/J3684,0)-IFERROR(G3684/K3684,0)</x:f>
        <x:v>0</x:v>
      </x:c>
      <x:c r="W3684" s="28" t="n">
        <x:f>L3684-M3684</x:f>
        <x:v>-6</x:v>
      </x:c>
      <x:c r="X3684" s="24" t="n">
        <x:f>IFERROR(K3684/I3684,0)</x:f>
        <x:v>0.3076923076923077</x:v>
      </x:c>
      <x:c r="Y3684" s="24" t="n">
        <x:f>IFERROR(G3684/I3684,0)</x:f>
        <x:v>0</x:v>
      </x:c>
      <x:c r="Z3684" s="24" t="n">
        <x:f>IFERROR(G3684/K3684,0)</x:f>
        <x:v>0</x:v>
      </x:c>
      <x:c r="AA3684" s="24" t="n">
        <x:f>IFERROR(F3684/H3684,0)-IFERROR(G3684/I3684,0)</x:f>
        <x:v>0</x:v>
      </x:c>
      <x:c r="AB3684" s="28" t="n">
        <x:f>J3684-K3684</x:f>
        <x:v>-4</x:v>
      </x:c>
      <x:c r="AC3684" s="32" t="n">
        <x:f>F3684-G3684</x:f>
        <x:v>0</x:v>
      </x:c>
    </x:row>
    <x:row r="3685">
      <x:c r="A3685" s="4" t="str">
        <x:v>2025-26</x:v>
      </x:c>
      <x:c r="B3685" s="20" t="n">
        <x:v>46130</x:v>
      </x:c>
      <x:c r="C3685" s="4" t="str">
        <x:v>Leeds</x:v>
      </x:c>
      <x:c r="D3685" s="4" t="str">
        <x:v>Wolves</x:v>
      </x:c>
      <x:c r="E3685" s="4" t="str">
        <x:v>Home</x:v>
      </x:c>
      <x:c r="F3685" s="28" t="n">
        <x:v>3</x:v>
      </x:c>
      <x:c r="G3685" s="28" t="n">
        <x:v>0</x:v>
      </x:c>
      <x:c r="H3685" s="28" t="n">
        <x:v>17</x:v>
      </x:c>
      <x:c r="I3685" s="28" t="n">
        <x:v>7</x:v>
      </x:c>
      <x:c r="J3685" s="28" t="n">
        <x:v>6</x:v>
      </x:c>
      <x:c r="K3685" s="28" t="n">
        <x:v>2</x:v>
      </x:c>
      <x:c r="L3685" s="28" t="n">
        <x:v>5</x:v>
      </x:c>
      <x:c r="M3685" s="28" t="n">
        <x:v>6</x:v>
      </x:c>
      <x:c r="N3685" s="28" t="n">
        <x:v>2</x:v>
      </x:c>
      <x:c r="O3685" s="28" t="n">
        <x:v>0</x:v>
      </x:c>
      <x:c r="P3685" s="28" t="n">
        <x:v>3</x:v>
      </x:c>
      <x:c r="Q3685" s="24" t="n">
        <x:f>IFERROR(J3685/H3685,0)</x:f>
        <x:v>0.35294117647058826</x:v>
      </x:c>
      <x:c r="R3685" s="24" t="n">
        <x:f>IFERROR(F3685/H3685,0)</x:f>
        <x:v>0.17647058823529413</x:v>
      </x:c>
      <x:c r="S3685" s="24" t="n">
        <x:f>IFERROR(F3685/J3685,0)</x:f>
        <x:v>0.5</x:v>
      </x:c>
      <x:c r="T3685" s="28" t="n">
        <x:f>H3685-I3685</x:f>
        <x:v>10</x:v>
      </x:c>
      <x:c r="U3685" s="24" t="n">
        <x:f>IFERROR(J3685/H3685,0)-IFERROR(K3685/I3685,0)</x:f>
        <x:v>0.06722689075630256</x:v>
      </x:c>
      <x:c r="V3685" s="24" t="n">
        <x:f>IFERROR(F3685/J3685,0)-IFERROR(G3685/K3685,0)</x:f>
        <x:v>0.5</x:v>
      </x:c>
      <x:c r="W3685" s="28" t="n">
        <x:f>L3685-M3685</x:f>
        <x:v>-1</x:v>
      </x:c>
      <x:c r="X3685" s="24" t="n">
        <x:f>IFERROR(K3685/I3685,0)</x:f>
        <x:v>0.2857142857142857</x:v>
      </x:c>
      <x:c r="Y3685" s="24" t="n">
        <x:f>IFERROR(G3685/I3685,0)</x:f>
        <x:v>0</x:v>
      </x:c>
      <x:c r="Z3685" s="24" t="n">
        <x:f>IFERROR(G3685/K3685,0)</x:f>
        <x:v>0</x:v>
      </x:c>
      <x:c r="AA3685" s="24" t="n">
        <x:f>IFERROR(F3685/H3685,0)-IFERROR(G3685/I3685,0)</x:f>
        <x:v>0.17647058823529413</x:v>
      </x:c>
      <x:c r="AB3685" s="28" t="n">
        <x:f>J3685-K3685</x:f>
        <x:v>4</x:v>
      </x:c>
      <x:c r="AC3685" s="32" t="n">
        <x:f>F3685-G3685</x:f>
        <x:v>3</x:v>
      </x:c>
    </x:row>
    <x:row r="3686">
      <x:c r="A3686" s="4" t="str">
        <x:v>2025-26</x:v>
      </x:c>
      <x:c r="B3686" s="20" t="n">
        <x:v>46130</x:v>
      </x:c>
      <x:c r="C3686" s="4" t="str">
        <x:v>Man United</x:v>
      </x:c>
      <x:c r="D3686" s="4" t="str">
        <x:v>Chelsea</x:v>
      </x:c>
      <x:c r="E3686" s="4" t="str">
        <x:v>Away</x:v>
      </x:c>
      <x:c r="F3686" s="28" t="n">
        <x:v>1</x:v>
      </x:c>
      <x:c r="G3686" s="28" t="n">
        <x:v>0</x:v>
      </x:c>
      <x:c r="H3686" s="28" t="n">
        <x:v>4</x:v>
      </x:c>
      <x:c r="I3686" s="28" t="n">
        <x:v>21</x:v>
      </x:c>
      <x:c r="J3686" s="28" t="n">
        <x:v>1</x:v>
      </x:c>
      <x:c r="K3686" s="28" t="n">
        <x:v>3</x:v>
      </x:c>
      <x:c r="L3686" s="28" t="n">
        <x:v>1</x:v>
      </x:c>
      <x:c r="M3686" s="28" t="n">
        <x:v>7</x:v>
      </x:c>
      <x:c r="N3686" s="28" t="n">
        <x:v>3</x:v>
      </x:c>
      <x:c r="O3686" s="28" t="n">
        <x:v>0</x:v>
      </x:c>
      <x:c r="P3686" s="28" t="n">
        <x:v>3</x:v>
      </x:c>
      <x:c r="Q3686" s="24" t="n">
        <x:f>IFERROR(J3686/H3686,0)</x:f>
        <x:v>0.25</x:v>
      </x:c>
      <x:c r="R3686" s="24" t="n">
        <x:f>IFERROR(F3686/H3686,0)</x:f>
        <x:v>0.25</x:v>
      </x:c>
      <x:c r="S3686" s="24" t="n">
        <x:f>IFERROR(F3686/J3686,0)</x:f>
        <x:v>1</x:v>
      </x:c>
      <x:c r="T3686" s="28" t="n">
        <x:f>H3686-I3686</x:f>
        <x:v>-17</x:v>
      </x:c>
      <x:c r="U3686" s="24" t="n">
        <x:f>IFERROR(J3686/H3686,0)-IFERROR(K3686/I3686,0)</x:f>
        <x:v>0.10714285714285715</x:v>
      </x:c>
      <x:c r="V3686" s="24" t="n">
        <x:f>IFERROR(F3686/J3686,0)-IFERROR(G3686/K3686,0)</x:f>
        <x:v>1</x:v>
      </x:c>
      <x:c r="W3686" s="28" t="n">
        <x:f>L3686-M3686</x:f>
        <x:v>-6</x:v>
      </x:c>
      <x:c r="X3686" s="24" t="n">
        <x:f>IFERROR(K3686/I3686,0)</x:f>
        <x:v>0.14285714285714285</x:v>
      </x:c>
      <x:c r="Y3686" s="24" t="n">
        <x:f>IFERROR(G3686/I3686,0)</x:f>
        <x:v>0</x:v>
      </x:c>
      <x:c r="Z3686" s="24" t="n">
        <x:f>IFERROR(G3686/K3686,0)</x:f>
        <x:v>0</x:v>
      </x:c>
      <x:c r="AA3686" s="24" t="n">
        <x:f>IFERROR(F3686/H3686,0)-IFERROR(G3686/I3686,0)</x:f>
        <x:v>0.25</x:v>
      </x:c>
      <x:c r="AB3686" s="28" t="n">
        <x:f>J3686-K3686</x:f>
        <x:v>-2</x:v>
      </x:c>
      <x:c r="AC3686" s="32" t="n">
        <x:f>F3686-G3686</x:f>
        <x:v>1</x:v>
      </x:c>
    </x:row>
    <x:row r="3687">
      <x:c r="A3687" s="4" t="str">
        <x:v>2025-26</x:v>
      </x:c>
      <x:c r="B3687" s="20" t="n">
        <x:v>46130</x:v>
      </x:c>
      <x:c r="C3687" s="4" t="str">
        <x:v>Newcastle</x:v>
      </x:c>
      <x:c r="D3687" s="4" t="str">
        <x:v>Bournemouth</x:v>
      </x:c>
      <x:c r="E3687" s="4" t="str">
        <x:v>Home</x:v>
      </x:c>
      <x:c r="F3687" s="28" t="n">
        <x:v>1</x:v>
      </x:c>
      <x:c r="G3687" s="28" t="n">
        <x:v>2</x:v>
      </x:c>
      <x:c r="H3687" s="28" t="n">
        <x:v>12</x:v>
      </x:c>
      <x:c r="I3687" s="28" t="n">
        <x:v>12</x:v>
      </x:c>
      <x:c r="J3687" s="28" t="n">
        <x:v>3</x:v>
      </x:c>
      <x:c r="K3687" s="28" t="n">
        <x:v>3</x:v>
      </x:c>
      <x:c r="L3687" s="28" t="n">
        <x:v>2</x:v>
      </x:c>
      <x:c r="M3687" s="28" t="n">
        <x:v>3</x:v>
      </x:c>
      <x:c r="N3687" s="28" t="n">
        <x:v>2</x:v>
      </x:c>
      <x:c r="O3687" s="28" t="n">
        <x:v>0</x:v>
      </x:c>
      <x:c r="P3687" s="28" t="n">
        <x:v>0</x:v>
      </x:c>
      <x:c r="Q3687" s="24" t="n">
        <x:f>IFERROR(J3687/H3687,0)</x:f>
        <x:v>0.25</x:v>
      </x:c>
      <x:c r="R3687" s="24" t="n">
        <x:f>IFERROR(F3687/H3687,0)</x:f>
        <x:v>0.08333333333333333</x:v>
      </x:c>
      <x:c r="S3687" s="24" t="n">
        <x:f>IFERROR(F3687/J3687,0)</x:f>
        <x:v>0.3333333333333333</x:v>
      </x:c>
      <x:c r="T3687" s="28" t="n">
        <x:f>H3687-I3687</x:f>
        <x:v>0</x:v>
      </x:c>
      <x:c r="U3687" s="24" t="n">
        <x:f>IFERROR(J3687/H3687,0)-IFERROR(K3687/I3687,0)</x:f>
        <x:v>0</x:v>
      </x:c>
      <x:c r="V3687" s="24" t="n">
        <x:f>IFERROR(F3687/J3687,0)-IFERROR(G3687/K3687,0)</x:f>
        <x:v>-0.3333333333333333</x:v>
      </x:c>
      <x:c r="W3687" s="28" t="n">
        <x:f>L3687-M3687</x:f>
        <x:v>-1</x:v>
      </x:c>
      <x:c r="X3687" s="24" t="n">
        <x:f>IFERROR(K3687/I3687,0)</x:f>
        <x:v>0.25</x:v>
      </x:c>
      <x:c r="Y3687" s="24" t="n">
        <x:f>IFERROR(G3687/I3687,0)</x:f>
        <x:v>0.16666666666666666</x:v>
      </x:c>
      <x:c r="Z3687" s="24" t="n">
        <x:f>IFERROR(G3687/K3687,0)</x:f>
        <x:v>0.6666666666666666</x:v>
      </x:c>
      <x:c r="AA3687" s="24" t="n">
        <x:f>IFERROR(F3687/H3687,0)-IFERROR(G3687/I3687,0)</x:f>
        <x:v>-0.08333333333333333</x:v>
      </x:c>
      <x:c r="AB3687" s="28" t="n">
        <x:f>J3687-K3687</x:f>
        <x:v>0</x:v>
      </x:c>
      <x:c r="AC3687" s="32" t="n">
        <x:f>F3687-G3687</x:f>
        <x:v>-1</x:v>
      </x:c>
    </x:row>
    <x:row r="3688">
      <x:c r="A3688" s="4" t="str">
        <x:v>2025-26</x:v>
      </x:c>
      <x:c r="B3688" s="20" t="n">
        <x:v>46130</x:v>
      </x:c>
      <x:c r="C3688" s="4" t="str">
        <x:v>Tottenham</x:v>
      </x:c>
      <x:c r="D3688" s="4" t="str">
        <x:v>Brighton</x:v>
      </x:c>
      <x:c r="E3688" s="4" t="str">
        <x:v>Home</x:v>
      </x:c>
      <x:c r="F3688" s="28" t="n">
        <x:v>2</x:v>
      </x:c>
      <x:c r="G3688" s="28" t="n">
        <x:v>2</x:v>
      </x:c>
      <x:c r="H3688" s="28" t="n">
        <x:v>13</x:v>
      </x:c>
      <x:c r="I3688" s="28" t="n">
        <x:v>10</x:v>
      </x:c>
      <x:c r="J3688" s="28" t="n">
        <x:v>6</x:v>
      </x:c>
      <x:c r="K3688" s="28" t="n">
        <x:v>3</x:v>
      </x:c>
      <x:c r="L3688" s="28" t="n">
        <x:v>7</x:v>
      </x:c>
      <x:c r="M3688" s="28" t="n">
        <x:v>5</x:v>
      </x:c>
      <x:c r="N3688" s="28" t="n">
        <x:v>3</x:v>
      </x:c>
      <x:c r="O3688" s="28" t="n">
        <x:v>0</x:v>
      </x:c>
      <x:c r="P3688" s="28" t="n">
        <x:v>1</x:v>
      </x:c>
      <x:c r="Q3688" s="24" t="n">
        <x:f>IFERROR(J3688/H3688,0)</x:f>
        <x:v>0.46153846153846156</x:v>
      </x:c>
      <x:c r="R3688" s="24" t="n">
        <x:f>IFERROR(F3688/H3688,0)</x:f>
        <x:v>0.15384615384615385</x:v>
      </x:c>
      <x:c r="S3688" s="24" t="n">
        <x:f>IFERROR(F3688/J3688,0)</x:f>
        <x:v>0.3333333333333333</x:v>
      </x:c>
      <x:c r="T3688" s="28" t="n">
        <x:f>H3688-I3688</x:f>
        <x:v>3</x:v>
      </x:c>
      <x:c r="U3688" s="24" t="n">
        <x:f>IFERROR(J3688/H3688,0)-IFERROR(K3688/I3688,0)</x:f>
        <x:v>0.16153846153846158</x:v>
      </x:c>
      <x:c r="V3688" s="24" t="n">
        <x:f>IFERROR(F3688/J3688,0)-IFERROR(G3688/K3688,0)</x:f>
        <x:v>-0.3333333333333333</x:v>
      </x:c>
      <x:c r="W3688" s="28" t="n">
        <x:f>L3688-M3688</x:f>
        <x:v>2</x:v>
      </x:c>
      <x:c r="X3688" s="24" t="n">
        <x:f>IFERROR(K3688/I3688,0)</x:f>
        <x:v>0.3</x:v>
      </x:c>
      <x:c r="Y3688" s="24" t="n">
        <x:f>IFERROR(G3688/I3688,0)</x:f>
        <x:v>0.2</x:v>
      </x:c>
      <x:c r="Z3688" s="24" t="n">
        <x:f>IFERROR(G3688/K3688,0)</x:f>
        <x:v>0.6666666666666666</x:v>
      </x:c>
      <x:c r="AA3688" s="24" t="n">
        <x:f>IFERROR(F3688/H3688,0)-IFERROR(G3688/I3688,0)</x:f>
        <x:v>-0.046153846153846156</x:v>
      </x:c>
      <x:c r="AB3688" s="28" t="n">
        <x:f>J3688-K3688</x:f>
        <x:v>3</x:v>
      </x:c>
      <x:c r="AC3688" s="32" t="n">
        <x:f>F3688-G3688</x:f>
        <x:v>0</x:v>
      </x:c>
    </x:row>
    <x:row r="3689">
      <x:c r="A3689" s="4" t="str">
        <x:v>2025-26</x:v>
      </x:c>
      <x:c r="B3689" s="20" t="n">
        <x:v>46130</x:v>
      </x:c>
      <x:c r="C3689" s="4" t="str">
        <x:v>Wolves</x:v>
      </x:c>
      <x:c r="D3689" s="4" t="str">
        <x:v>Leeds</x:v>
      </x:c>
      <x:c r="E3689" s="4" t="str">
        <x:v>Away</x:v>
      </x:c>
      <x:c r="F3689" s="28" t="n">
        <x:v>0</x:v>
      </x:c>
      <x:c r="G3689" s="28" t="n">
        <x:v>3</x:v>
      </x:c>
      <x:c r="H3689" s="28" t="n">
        <x:v>7</x:v>
      </x:c>
      <x:c r="I3689" s="28" t="n">
        <x:v>17</x:v>
      </x:c>
      <x:c r="J3689" s="28" t="n">
        <x:v>2</x:v>
      </x:c>
      <x:c r="K3689" s="28" t="n">
        <x:v>6</x:v>
      </x:c>
      <x:c r="L3689" s="28" t="n">
        <x:v>6</x:v>
      </x:c>
      <x:c r="M3689" s="28" t="n">
        <x:v>5</x:v>
      </x:c>
      <x:c r="N3689" s="28" t="n">
        <x:v>1</x:v>
      </x:c>
      <x:c r="O3689" s="28" t="n">
        <x:v>0</x:v>
      </x:c>
      <x:c r="P3689" s="28" t="n">
        <x:v>0</x:v>
      </x:c>
      <x:c r="Q3689" s="24" t="n">
        <x:f>IFERROR(J3689/H3689,0)</x:f>
        <x:v>0.2857142857142857</x:v>
      </x:c>
      <x:c r="R3689" s="24" t="n">
        <x:f>IFERROR(F3689/H3689,0)</x:f>
        <x:v>0</x:v>
      </x:c>
      <x:c r="S3689" s="24" t="n">
        <x:f>IFERROR(F3689/J3689,0)</x:f>
        <x:v>0</x:v>
      </x:c>
      <x:c r="T3689" s="28" t="n">
        <x:f>H3689-I3689</x:f>
        <x:v>-10</x:v>
      </x:c>
      <x:c r="U3689" s="24" t="n">
        <x:f>IFERROR(J3689/H3689,0)-IFERROR(K3689/I3689,0)</x:f>
        <x:v>-0.06722689075630256</x:v>
      </x:c>
      <x:c r="V3689" s="24" t="n">
        <x:f>IFERROR(F3689/J3689,0)-IFERROR(G3689/K3689,0)</x:f>
        <x:v>-0.5</x:v>
      </x:c>
      <x:c r="W3689" s="28" t="n">
        <x:f>L3689-M3689</x:f>
        <x:v>1</x:v>
      </x:c>
      <x:c r="X3689" s="24" t="n">
        <x:f>IFERROR(K3689/I3689,0)</x:f>
        <x:v>0.35294117647058826</x:v>
      </x:c>
      <x:c r="Y3689" s="24" t="n">
        <x:f>IFERROR(G3689/I3689,0)</x:f>
        <x:v>0.17647058823529413</x:v>
      </x:c>
      <x:c r="Z3689" s="24" t="n">
        <x:f>IFERROR(G3689/K3689,0)</x:f>
        <x:v>0.5</x:v>
      </x:c>
      <x:c r="AA3689" s="24" t="n">
        <x:f>IFERROR(F3689/H3689,0)-IFERROR(G3689/I3689,0)</x:f>
        <x:v>-0.17647058823529413</x:v>
      </x:c>
      <x:c r="AB3689" s="28" t="n">
        <x:f>J3689-K3689</x:f>
        <x:v>-4</x:v>
      </x:c>
      <x:c r="AC3689" s="32" t="n">
        <x:f>F3689-G3689</x:f>
        <x:v>-3</x:v>
      </x:c>
    </x:row>
    <x:row r="3690">
      <x:c r="A3690" s="4" t="str">
        <x:v>2025-26</x:v>
      </x:c>
      <x:c r="B3690" s="20" t="n">
        <x:v>46131</x:v>
      </x:c>
      <x:c r="C3690" s="4" t="str">
        <x:v>Arsenal</x:v>
      </x:c>
      <x:c r="D3690" s="4" t="str">
        <x:v>Man City</x:v>
      </x:c>
      <x:c r="E3690" s="4" t="str">
        <x:v>Away</x:v>
      </x:c>
      <x:c r="F3690" s="28" t="n">
        <x:v>1</x:v>
      </x:c>
      <x:c r="G3690" s="28" t="n">
        <x:v>2</x:v>
      </x:c>
      <x:c r="H3690" s="28" t="n">
        <x:v>9</x:v>
      </x:c>
      <x:c r="I3690" s="28" t="n">
        <x:v>15</x:v>
      </x:c>
      <x:c r="J3690" s="28" t="n">
        <x:v>3</x:v>
      </x:c>
      <x:c r="K3690" s="28" t="n">
        <x:v>5</x:v>
      </x:c>
      <x:c r="L3690" s="28" t="n">
        <x:v>5</x:v>
      </x:c>
      <x:c r="M3690" s="28" t="n">
        <x:v>8</x:v>
      </x:c>
      <x:c r="N3690" s="28" t="n">
        <x:v>2</x:v>
      </x:c>
      <x:c r="O3690" s="28" t="n">
        <x:v>0</x:v>
      </x:c>
      <x:c r="P3690" s="28" t="n">
        <x:v>0</x:v>
      </x:c>
      <x:c r="Q3690" s="24" t="n">
        <x:f>IFERROR(J3690/H3690,0)</x:f>
        <x:v>0.3333333333333333</x:v>
      </x:c>
      <x:c r="R3690" s="24" t="n">
        <x:f>IFERROR(F3690/H3690,0)</x:f>
        <x:v>0.1111111111111111</x:v>
      </x:c>
      <x:c r="S3690" s="24" t="n">
        <x:f>IFERROR(F3690/J3690,0)</x:f>
        <x:v>0.3333333333333333</x:v>
      </x:c>
      <x:c r="T3690" s="28" t="n">
        <x:f>H3690-I3690</x:f>
        <x:v>-6</x:v>
      </x:c>
      <x:c r="U3690" s="24" t="n">
        <x:f>IFERROR(J3690/H3690,0)-IFERROR(K3690/I3690,0)</x:f>
        <x:v>0</x:v>
      </x:c>
      <x:c r="V3690" s="24" t="n">
        <x:f>IFERROR(F3690/J3690,0)-IFERROR(G3690/K3690,0)</x:f>
        <x:v>-0.06666666666666671</x:v>
      </x:c>
      <x:c r="W3690" s="28" t="n">
        <x:f>L3690-M3690</x:f>
        <x:v>-3</x:v>
      </x:c>
      <x:c r="X3690" s="24" t="n">
        <x:f>IFERROR(K3690/I3690,0)</x:f>
        <x:v>0.3333333333333333</x:v>
      </x:c>
      <x:c r="Y3690" s="24" t="n">
        <x:f>IFERROR(G3690/I3690,0)</x:f>
        <x:v>0.13333333333333333</x:v>
      </x:c>
      <x:c r="Z3690" s="24" t="n">
        <x:f>IFERROR(G3690/K3690,0)</x:f>
        <x:v>0.4</x:v>
      </x:c>
      <x:c r="AA3690" s="24" t="n">
        <x:f>IFERROR(F3690/H3690,0)-IFERROR(G3690/I3690,0)</x:f>
        <x:v>-0.022222222222222227</x:v>
      </x:c>
      <x:c r="AB3690" s="28" t="n">
        <x:f>J3690-K3690</x:f>
        <x:v>-2</x:v>
      </x:c>
      <x:c r="AC3690" s="32" t="n">
        <x:f>F3690-G3690</x:f>
        <x:v>-1</x:v>
      </x:c>
    </x:row>
    <x:row r="3691">
      <x:c r="A3691" s="4" t="str">
        <x:v>2025-26</x:v>
      </x:c>
      <x:c r="B3691" s="20" t="n">
        <x:v>46131</x:v>
      </x:c>
      <x:c r="C3691" s="4" t="str">
        <x:v>Aston Villa</x:v>
      </x:c>
      <x:c r="D3691" s="4" t="str">
        <x:v>Sunderland</x:v>
      </x:c>
      <x:c r="E3691" s="4" t="str">
        <x:v>Home</x:v>
      </x:c>
      <x:c r="F3691" s="28" t="n">
        <x:v>4</x:v>
      </x:c>
      <x:c r="G3691" s="28" t="n">
        <x:v>3</x:v>
      </x:c>
      <x:c r="H3691" s="28" t="n">
        <x:v>15</x:v>
      </x:c>
      <x:c r="I3691" s="28" t="n">
        <x:v>10</x:v>
      </x:c>
      <x:c r="J3691" s="28" t="n">
        <x:v>7</x:v>
      </x:c>
      <x:c r="K3691" s="28" t="n">
        <x:v>7</x:v>
      </x:c>
      <x:c r="L3691" s="28" t="n">
        <x:v>4</x:v>
      </x:c>
      <x:c r="M3691" s="28" t="n">
        <x:v>5</x:v>
      </x:c>
      <x:c r="N3691" s="28" t="n">
        <x:v>1</x:v>
      </x:c>
      <x:c r="O3691" s="28" t="n">
        <x:v>0</x:v>
      </x:c>
      <x:c r="P3691" s="28" t="n">
        <x:v>3</x:v>
      </x:c>
      <x:c r="Q3691" s="24" t="n">
        <x:f>IFERROR(J3691/H3691,0)</x:f>
        <x:v>0.4666666666666667</x:v>
      </x:c>
      <x:c r="R3691" s="24" t="n">
        <x:f>IFERROR(F3691/H3691,0)</x:f>
        <x:v>0.26666666666666666</x:v>
      </x:c>
      <x:c r="S3691" s="24" t="n">
        <x:f>IFERROR(F3691/J3691,0)</x:f>
        <x:v>0.5714285714285714</x:v>
      </x:c>
      <x:c r="T3691" s="28" t="n">
        <x:f>H3691-I3691</x:f>
        <x:v>5</x:v>
      </x:c>
      <x:c r="U3691" s="24" t="n">
        <x:f>IFERROR(J3691/H3691,0)-IFERROR(K3691/I3691,0)</x:f>
        <x:v>-0.23333333333333328</x:v>
      </x:c>
      <x:c r="V3691" s="24" t="n">
        <x:f>IFERROR(F3691/J3691,0)-IFERROR(G3691/K3691,0)</x:f>
        <x:v>0.14285714285714285</x:v>
      </x:c>
      <x:c r="W3691" s="28" t="n">
        <x:f>L3691-M3691</x:f>
        <x:v>-1</x:v>
      </x:c>
      <x:c r="X3691" s="24" t="n">
        <x:f>IFERROR(K3691/I3691,0)</x:f>
        <x:v>0.7</x:v>
      </x:c>
      <x:c r="Y3691" s="24" t="n">
        <x:f>IFERROR(G3691/I3691,0)</x:f>
        <x:v>0.3</x:v>
      </x:c>
      <x:c r="Z3691" s="24" t="n">
        <x:f>IFERROR(G3691/K3691,0)</x:f>
        <x:v>0.42857142857142855</x:v>
      </x:c>
      <x:c r="AA3691" s="24" t="n">
        <x:f>IFERROR(F3691/H3691,0)-IFERROR(G3691/I3691,0)</x:f>
        <x:v>-0.033333333333333326</x:v>
      </x:c>
      <x:c r="AB3691" s="28" t="n">
        <x:f>J3691-K3691</x:f>
        <x:v>0</x:v>
      </x:c>
      <x:c r="AC3691" s="32" t="n">
        <x:f>F3691-G3691</x:f>
        <x:v>1</x:v>
      </x:c>
    </x:row>
    <x:row r="3692">
      <x:c r="A3692" s="4" t="str">
        <x:v>2025-26</x:v>
      </x:c>
      <x:c r="B3692" s="20" t="n">
        <x:v>46131</x:v>
      </x:c>
      <x:c r="C3692" s="4" t="str">
        <x:v>Burnley</x:v>
      </x:c>
      <x:c r="D3692" s="4" t="str">
        <x:v>Nott'm Forest</x:v>
      </x:c>
      <x:c r="E3692" s="4" t="str">
        <x:v>Away</x:v>
      </x:c>
      <x:c r="F3692" s="28" t="n">
        <x:v>1</x:v>
      </x:c>
      <x:c r="G3692" s="28" t="n">
        <x:v>4</x:v>
      </x:c>
      <x:c r="H3692" s="28" t="n">
        <x:v>4</x:v>
      </x:c>
      <x:c r="I3692" s="28" t="n">
        <x:v>10</x:v>
      </x:c>
      <x:c r="J3692" s="28" t="n">
        <x:v>3</x:v>
      </x:c>
      <x:c r="K3692" s="28" t="n">
        <x:v>4</x:v>
      </x:c>
      <x:c r="L3692" s="28" t="n">
        <x:v>4</x:v>
      </x:c>
      <x:c r="M3692" s="28" t="n">
        <x:v>4</x:v>
      </x:c>
      <x:c r="N3692" s="28" t="n">
        <x:v>2</x:v>
      </x:c>
      <x:c r="O3692" s="28" t="n">
        <x:v>0</x:v>
      </x:c>
      <x:c r="P3692" s="28" t="n">
        <x:v>0</x:v>
      </x:c>
      <x:c r="Q3692" s="24" t="n">
        <x:f>IFERROR(J3692/H3692,0)</x:f>
        <x:v>0.75</x:v>
      </x:c>
      <x:c r="R3692" s="24" t="n">
        <x:f>IFERROR(F3692/H3692,0)</x:f>
        <x:v>0.25</x:v>
      </x:c>
      <x:c r="S3692" s="24" t="n">
        <x:f>IFERROR(F3692/J3692,0)</x:f>
        <x:v>0.3333333333333333</x:v>
      </x:c>
      <x:c r="T3692" s="28" t="n">
        <x:f>H3692-I3692</x:f>
        <x:v>-6</x:v>
      </x:c>
      <x:c r="U3692" s="24" t="n">
        <x:f>IFERROR(J3692/H3692,0)-IFERROR(K3692/I3692,0)</x:f>
        <x:v>0.35</x:v>
      </x:c>
      <x:c r="V3692" s="24" t="n">
        <x:f>IFERROR(F3692/J3692,0)-IFERROR(G3692/K3692,0)</x:f>
        <x:v>-0.6666666666666667</x:v>
      </x:c>
      <x:c r="W3692" s="28" t="n">
        <x:f>L3692-M3692</x:f>
        <x:v>0</x:v>
      </x:c>
      <x:c r="X3692" s="24" t="n">
        <x:f>IFERROR(K3692/I3692,0)</x:f>
        <x:v>0.4</x:v>
      </x:c>
      <x:c r="Y3692" s="24" t="n">
        <x:f>IFERROR(G3692/I3692,0)</x:f>
        <x:v>0.4</x:v>
      </x:c>
      <x:c r="Z3692" s="24" t="n">
        <x:f>IFERROR(G3692/K3692,0)</x:f>
        <x:v>1</x:v>
      </x:c>
      <x:c r="AA3692" s="24" t="n">
        <x:f>IFERROR(F3692/H3692,0)-IFERROR(G3692/I3692,0)</x:f>
        <x:v>-0.15000000000000002</x:v>
      </x:c>
      <x:c r="AB3692" s="28" t="n">
        <x:f>J3692-K3692</x:f>
        <x:v>-1</x:v>
      </x:c>
      <x:c r="AC3692" s="32" t="n">
        <x:f>F3692-G3692</x:f>
        <x:v>-3</x:v>
      </x:c>
    </x:row>
    <x:row r="3693">
      <x:c r="A3693" s="4" t="str">
        <x:v>2025-26</x:v>
      </x:c>
      <x:c r="B3693" s="20" t="n">
        <x:v>46131</x:v>
      </x:c>
      <x:c r="C3693" s="4" t="str">
        <x:v>Everton</x:v>
      </x:c>
      <x:c r="D3693" s="4" t="str">
        <x:v>Liverpool</x:v>
      </x:c>
      <x:c r="E3693" s="4" t="str">
        <x:v>Home</x:v>
      </x:c>
      <x:c r="F3693" s="28" t="n">
        <x:v>1</x:v>
      </x:c>
      <x:c r="G3693" s="28" t="n">
        <x:v>2</x:v>
      </x:c>
      <x:c r="H3693" s="28" t="n">
        <x:v>10</x:v>
      </x:c>
      <x:c r="I3693" s="28" t="n">
        <x:v>14</x:v>
      </x:c>
      <x:c r="J3693" s="28" t="n">
        <x:v>4</x:v>
      </x:c>
      <x:c r="K3693" s="28" t="n">
        <x:v>6</x:v>
      </x:c>
      <x:c r="L3693" s="28" t="n">
        <x:v>1</x:v>
      </x:c>
      <x:c r="M3693" s="28" t="n">
        <x:v>6</x:v>
      </x:c>
      <x:c r="N3693" s="28" t="n">
        <x:v>2</x:v>
      </x:c>
      <x:c r="O3693" s="28" t="n">
        <x:v>0</x:v>
      </x:c>
      <x:c r="P3693" s="28" t="n">
        <x:v>0</x:v>
      </x:c>
      <x:c r="Q3693" s="24" t="n">
        <x:f>IFERROR(J3693/H3693,0)</x:f>
        <x:v>0.4</x:v>
      </x:c>
      <x:c r="R3693" s="24" t="n">
        <x:f>IFERROR(F3693/H3693,0)</x:f>
        <x:v>0.1</x:v>
      </x:c>
      <x:c r="S3693" s="24" t="n">
        <x:f>IFERROR(F3693/J3693,0)</x:f>
        <x:v>0.25</x:v>
      </x:c>
      <x:c r="T3693" s="28" t="n">
        <x:f>H3693-I3693</x:f>
        <x:v>-4</x:v>
      </x:c>
      <x:c r="U3693" s="24" t="n">
        <x:f>IFERROR(J3693/H3693,0)-IFERROR(K3693/I3693,0)</x:f>
        <x:v>-0.028571428571428525</x:v>
      </x:c>
      <x:c r="V3693" s="24" t="n">
        <x:f>IFERROR(F3693/J3693,0)-IFERROR(G3693/K3693,0)</x:f>
        <x:v>-0.08333333333333331</x:v>
      </x:c>
      <x:c r="W3693" s="28" t="n">
        <x:f>L3693-M3693</x:f>
        <x:v>-5</x:v>
      </x:c>
      <x:c r="X3693" s="24" t="n">
        <x:f>IFERROR(K3693/I3693,0)</x:f>
        <x:v>0.42857142857142855</x:v>
      </x:c>
      <x:c r="Y3693" s="24" t="n">
        <x:f>IFERROR(G3693/I3693,0)</x:f>
        <x:v>0.14285714285714285</x:v>
      </x:c>
      <x:c r="Z3693" s="24" t="n">
        <x:f>IFERROR(G3693/K3693,0)</x:f>
        <x:v>0.3333333333333333</x:v>
      </x:c>
      <x:c r="AA3693" s="24" t="n">
        <x:f>IFERROR(F3693/H3693,0)-IFERROR(G3693/I3693,0)</x:f>
        <x:v>-0.042857142857142844</x:v>
      </x:c>
      <x:c r="AB3693" s="28" t="n">
        <x:f>J3693-K3693</x:f>
        <x:v>-2</x:v>
      </x:c>
      <x:c r="AC3693" s="32" t="n">
        <x:f>F3693-G3693</x:f>
        <x:v>-1</x:v>
      </x:c>
    </x:row>
    <x:row r="3694">
      <x:c r="A3694" s="4" t="str">
        <x:v>2025-26</x:v>
      </x:c>
      <x:c r="B3694" s="20" t="n">
        <x:v>46131</x:v>
      </x:c>
      <x:c r="C3694" s="4" t="str">
        <x:v>Liverpool</x:v>
      </x:c>
      <x:c r="D3694" s="4" t="str">
        <x:v>Everton</x:v>
      </x:c>
      <x:c r="E3694" s="4" t="str">
        <x:v>Away</x:v>
      </x:c>
      <x:c r="F3694" s="28" t="n">
        <x:v>2</x:v>
      </x:c>
      <x:c r="G3694" s="28" t="n">
        <x:v>1</x:v>
      </x:c>
      <x:c r="H3694" s="28" t="n">
        <x:v>14</x:v>
      </x:c>
      <x:c r="I3694" s="28" t="n">
        <x:v>10</x:v>
      </x:c>
      <x:c r="J3694" s="28" t="n">
        <x:v>6</x:v>
      </x:c>
      <x:c r="K3694" s="28" t="n">
        <x:v>4</x:v>
      </x:c>
      <x:c r="L3694" s="28" t="n">
        <x:v>6</x:v>
      </x:c>
      <x:c r="M3694" s="28" t="n">
        <x:v>1</x:v>
      </x:c>
      <x:c r="N3694" s="28" t="n">
        <x:v>0</x:v>
      </x:c>
      <x:c r="O3694" s="28" t="n">
        <x:v>0</x:v>
      </x:c>
      <x:c r="P3694" s="28" t="n">
        <x:v>3</x:v>
      </x:c>
      <x:c r="Q3694" s="24" t="n">
        <x:f>IFERROR(J3694/H3694,0)</x:f>
        <x:v>0.42857142857142855</x:v>
      </x:c>
      <x:c r="R3694" s="24" t="n">
        <x:f>IFERROR(F3694/H3694,0)</x:f>
        <x:v>0.14285714285714285</x:v>
      </x:c>
      <x:c r="S3694" s="24" t="n">
        <x:f>IFERROR(F3694/J3694,0)</x:f>
        <x:v>0.3333333333333333</x:v>
      </x:c>
      <x:c r="T3694" s="28" t="n">
        <x:f>H3694-I3694</x:f>
        <x:v>4</x:v>
      </x:c>
      <x:c r="U3694" s="24" t="n">
        <x:f>IFERROR(J3694/H3694,0)-IFERROR(K3694/I3694,0)</x:f>
        <x:v>0.028571428571428525</x:v>
      </x:c>
      <x:c r="V3694" s="24" t="n">
        <x:f>IFERROR(F3694/J3694,0)-IFERROR(G3694/K3694,0)</x:f>
        <x:v>0.08333333333333331</x:v>
      </x:c>
      <x:c r="W3694" s="28" t="n">
        <x:f>L3694-M3694</x:f>
        <x:v>5</x:v>
      </x:c>
      <x:c r="X3694" s="24" t="n">
        <x:f>IFERROR(K3694/I3694,0)</x:f>
        <x:v>0.4</x:v>
      </x:c>
      <x:c r="Y3694" s="24" t="n">
        <x:f>IFERROR(G3694/I3694,0)</x:f>
        <x:v>0.1</x:v>
      </x:c>
      <x:c r="Z3694" s="24" t="n">
        <x:f>IFERROR(G3694/K3694,0)</x:f>
        <x:v>0.25</x:v>
      </x:c>
      <x:c r="AA3694" s="24" t="n">
        <x:f>IFERROR(F3694/H3694,0)-IFERROR(G3694/I3694,0)</x:f>
        <x:v>0.042857142857142844</x:v>
      </x:c>
      <x:c r="AB3694" s="28" t="n">
        <x:f>J3694-K3694</x:f>
        <x:v>2</x:v>
      </x:c>
      <x:c r="AC3694" s="32" t="n">
        <x:f>F3694-G3694</x:f>
        <x:v>1</x:v>
      </x:c>
    </x:row>
    <x:row r="3695">
      <x:c r="A3695" s="4" t="str">
        <x:v>2025-26</x:v>
      </x:c>
      <x:c r="B3695" s="20" t="n">
        <x:v>46131</x:v>
      </x:c>
      <x:c r="C3695" s="4" t="str">
        <x:v>Man City</x:v>
      </x:c>
      <x:c r="D3695" s="4" t="str">
        <x:v>Arsenal</x:v>
      </x:c>
      <x:c r="E3695" s="4" t="str">
        <x:v>Home</x:v>
      </x:c>
      <x:c r="F3695" s="28" t="n">
        <x:v>2</x:v>
      </x:c>
      <x:c r="G3695" s="28" t="n">
        <x:v>1</x:v>
      </x:c>
      <x:c r="H3695" s="28" t="n">
        <x:v>15</x:v>
      </x:c>
      <x:c r="I3695" s="28" t="n">
        <x:v>9</x:v>
      </x:c>
      <x:c r="J3695" s="28" t="n">
        <x:v>5</x:v>
      </x:c>
      <x:c r="K3695" s="28" t="n">
        <x:v>3</x:v>
      </x:c>
      <x:c r="L3695" s="28" t="n">
        <x:v>8</x:v>
      </x:c>
      <x:c r="M3695" s="28" t="n">
        <x:v>5</x:v>
      </x:c>
      <x:c r="N3695" s="28" t="n">
        <x:v>2</x:v>
      </x:c>
      <x:c r="O3695" s="28" t="n">
        <x:v>0</x:v>
      </x:c>
      <x:c r="P3695" s="28" t="n">
        <x:v>3</x:v>
      </x:c>
      <x:c r="Q3695" s="24" t="n">
        <x:f>IFERROR(J3695/H3695,0)</x:f>
        <x:v>0.3333333333333333</x:v>
      </x:c>
      <x:c r="R3695" s="24" t="n">
        <x:f>IFERROR(F3695/H3695,0)</x:f>
        <x:v>0.13333333333333333</x:v>
      </x:c>
      <x:c r="S3695" s="24" t="n">
        <x:f>IFERROR(F3695/J3695,0)</x:f>
        <x:v>0.4</x:v>
      </x:c>
      <x:c r="T3695" s="28" t="n">
        <x:f>H3695-I3695</x:f>
        <x:v>6</x:v>
      </x:c>
      <x:c r="U3695" s="24" t="n">
        <x:f>IFERROR(J3695/H3695,0)-IFERROR(K3695/I3695,0)</x:f>
        <x:v>0</x:v>
      </x:c>
      <x:c r="V3695" s="24" t="n">
        <x:f>IFERROR(F3695/J3695,0)-IFERROR(G3695/K3695,0)</x:f>
        <x:v>0.06666666666666671</x:v>
      </x:c>
      <x:c r="W3695" s="28" t="n">
        <x:f>L3695-M3695</x:f>
        <x:v>3</x:v>
      </x:c>
      <x:c r="X3695" s="24" t="n">
        <x:f>IFERROR(K3695/I3695,0)</x:f>
        <x:v>0.3333333333333333</x:v>
      </x:c>
      <x:c r="Y3695" s="24" t="n">
        <x:f>IFERROR(G3695/I3695,0)</x:f>
        <x:v>0.1111111111111111</x:v>
      </x:c>
      <x:c r="Z3695" s="24" t="n">
        <x:f>IFERROR(G3695/K3695,0)</x:f>
        <x:v>0.3333333333333333</x:v>
      </x:c>
      <x:c r="AA3695" s="24" t="n">
        <x:f>IFERROR(F3695/H3695,0)-IFERROR(G3695/I3695,0)</x:f>
        <x:v>0.022222222222222227</x:v>
      </x:c>
      <x:c r="AB3695" s="28" t="n">
        <x:f>J3695-K3695</x:f>
        <x:v>2</x:v>
      </x:c>
      <x:c r="AC3695" s="32" t="n">
        <x:f>F3695-G3695</x:f>
        <x:v>1</x:v>
      </x:c>
    </x:row>
    <x:row r="3696">
      <x:c r="A3696" s="4" t="str">
        <x:v>2025-26</x:v>
      </x:c>
      <x:c r="B3696" s="20" t="n">
        <x:v>46131</x:v>
      </x:c>
      <x:c r="C3696" s="4" t="str">
        <x:v>Nott'm Forest</x:v>
      </x:c>
      <x:c r="D3696" s="4" t="str">
        <x:v>Burnley</x:v>
      </x:c>
      <x:c r="E3696" s="4" t="str">
        <x:v>Home</x:v>
      </x:c>
      <x:c r="F3696" s="28" t="n">
        <x:v>4</x:v>
      </x:c>
      <x:c r="G3696" s="28" t="n">
        <x:v>1</x:v>
      </x:c>
      <x:c r="H3696" s="28" t="n">
        <x:v>10</x:v>
      </x:c>
      <x:c r="I3696" s="28" t="n">
        <x:v>4</x:v>
      </x:c>
      <x:c r="J3696" s="28" t="n">
        <x:v>4</x:v>
      </x:c>
      <x:c r="K3696" s="28" t="n">
        <x:v>3</x:v>
      </x:c>
      <x:c r="L3696" s="28" t="n">
        <x:v>4</x:v>
      </x:c>
      <x:c r="M3696" s="28" t="n">
        <x:v>4</x:v>
      </x:c>
      <x:c r="N3696" s="28" t="n">
        <x:v>0</x:v>
      </x:c>
      <x:c r="O3696" s="28" t="n">
        <x:v>0</x:v>
      </x:c>
      <x:c r="P3696" s="28" t="n">
        <x:v>3</x:v>
      </x:c>
      <x:c r="Q3696" s="24" t="n">
        <x:f>IFERROR(J3696/H3696,0)</x:f>
        <x:v>0.4</x:v>
      </x:c>
      <x:c r="R3696" s="24" t="n">
        <x:f>IFERROR(F3696/H3696,0)</x:f>
        <x:v>0.4</x:v>
      </x:c>
      <x:c r="S3696" s="24" t="n">
        <x:f>IFERROR(F3696/J3696,0)</x:f>
        <x:v>1</x:v>
      </x:c>
      <x:c r="T3696" s="28" t="n">
        <x:f>H3696-I3696</x:f>
        <x:v>6</x:v>
      </x:c>
      <x:c r="U3696" s="24" t="n">
        <x:f>IFERROR(J3696/H3696,0)-IFERROR(K3696/I3696,0)</x:f>
        <x:v>-0.35</x:v>
      </x:c>
      <x:c r="V3696" s="24" t="n">
        <x:f>IFERROR(F3696/J3696,0)-IFERROR(G3696/K3696,0)</x:f>
        <x:v>0.6666666666666667</x:v>
      </x:c>
      <x:c r="W3696" s="28" t="n">
        <x:f>L3696-M3696</x:f>
        <x:v>0</x:v>
      </x:c>
      <x:c r="X3696" s="24" t="n">
        <x:f>IFERROR(K3696/I3696,0)</x:f>
        <x:v>0.75</x:v>
      </x:c>
      <x:c r="Y3696" s="24" t="n">
        <x:f>IFERROR(G3696/I3696,0)</x:f>
        <x:v>0.25</x:v>
      </x:c>
      <x:c r="Z3696" s="24" t="n">
        <x:f>IFERROR(G3696/K3696,0)</x:f>
        <x:v>0.3333333333333333</x:v>
      </x:c>
      <x:c r="AA3696" s="24" t="n">
        <x:f>IFERROR(F3696/H3696,0)-IFERROR(G3696/I3696,0)</x:f>
        <x:v>0.15000000000000002</x:v>
      </x:c>
      <x:c r="AB3696" s="28" t="n">
        <x:f>J3696-K3696</x:f>
        <x:v>1</x:v>
      </x:c>
      <x:c r="AC3696" s="32" t="n">
        <x:f>F3696-G3696</x:f>
        <x:v>3</x:v>
      </x:c>
    </x:row>
    <x:row r="3697">
      <x:c r="A3697" s="4" t="str">
        <x:v>2025-26</x:v>
      </x:c>
      <x:c r="B3697" s="20" t="n">
        <x:v>46131</x:v>
      </x:c>
      <x:c r="C3697" s="4" t="str">
        <x:v>Sunderland</x:v>
      </x:c>
      <x:c r="D3697" s="4" t="str">
        <x:v>Aston Villa</x:v>
      </x:c>
      <x:c r="E3697" s="4" t="str">
        <x:v>Away</x:v>
      </x:c>
      <x:c r="F3697" s="28" t="n">
        <x:v>3</x:v>
      </x:c>
      <x:c r="G3697" s="28" t="n">
        <x:v>4</x:v>
      </x:c>
      <x:c r="H3697" s="28" t="n">
        <x:v>10</x:v>
      </x:c>
      <x:c r="I3697" s="28" t="n">
        <x:v>15</x:v>
      </x:c>
      <x:c r="J3697" s="28" t="n">
        <x:v>7</x:v>
      </x:c>
      <x:c r="K3697" s="28" t="n">
        <x:v>7</x:v>
      </x:c>
      <x:c r="L3697" s="28" t="n">
        <x:v>5</x:v>
      </x:c>
      <x:c r="M3697" s="28" t="n">
        <x:v>4</x:v>
      </x:c>
      <x:c r="N3697" s="28" t="n">
        <x:v>3</x:v>
      </x:c>
      <x:c r="O3697" s="28" t="n">
        <x:v>0</x:v>
      </x:c>
      <x:c r="P3697" s="28" t="n">
        <x:v>0</x:v>
      </x:c>
      <x:c r="Q3697" s="24" t="n">
        <x:f>IFERROR(J3697/H3697,0)</x:f>
        <x:v>0.7</x:v>
      </x:c>
      <x:c r="R3697" s="24" t="n">
        <x:f>IFERROR(F3697/H3697,0)</x:f>
        <x:v>0.3</x:v>
      </x:c>
      <x:c r="S3697" s="24" t="n">
        <x:f>IFERROR(F3697/J3697,0)</x:f>
        <x:v>0.42857142857142855</x:v>
      </x:c>
      <x:c r="T3697" s="28" t="n">
        <x:f>H3697-I3697</x:f>
        <x:v>-5</x:v>
      </x:c>
      <x:c r="U3697" s="24" t="n">
        <x:f>IFERROR(J3697/H3697,0)-IFERROR(K3697/I3697,0)</x:f>
        <x:v>0.23333333333333328</x:v>
      </x:c>
      <x:c r="V3697" s="24" t="n">
        <x:f>IFERROR(F3697/J3697,0)-IFERROR(G3697/K3697,0)</x:f>
        <x:v>-0.14285714285714285</x:v>
      </x:c>
      <x:c r="W3697" s="28" t="n">
        <x:f>L3697-M3697</x:f>
        <x:v>1</x:v>
      </x:c>
      <x:c r="X3697" s="24" t="n">
        <x:f>IFERROR(K3697/I3697,0)</x:f>
        <x:v>0.4666666666666667</x:v>
      </x:c>
      <x:c r="Y3697" s="24" t="n">
        <x:f>IFERROR(G3697/I3697,0)</x:f>
        <x:v>0.26666666666666666</x:v>
      </x:c>
      <x:c r="Z3697" s="24" t="n">
        <x:f>IFERROR(G3697/K3697,0)</x:f>
        <x:v>0.5714285714285714</x:v>
      </x:c>
      <x:c r="AA3697" s="24" t="n">
        <x:f>IFERROR(F3697/H3697,0)-IFERROR(G3697/I3697,0)</x:f>
        <x:v>0.033333333333333326</x:v>
      </x:c>
      <x:c r="AB3697" s="28" t="n">
        <x:f>J3697-K3697</x:f>
        <x:v>0</x:v>
      </x:c>
      <x:c r="AC3697" s="32" t="n">
        <x:f>F3697-G3697</x:f>
        <x:v>-1</x:v>
      </x:c>
    </x:row>
    <x:row r="3698">
      <x:c r="A3698" s="4" t="str">
        <x:v>2025-26</x:v>
      </x:c>
      <x:c r="B3698" s="20" t="n">
        <x:v>46132</x:v>
      </x:c>
      <x:c r="C3698" s="4" t="str">
        <x:v>Crystal Palace</x:v>
      </x:c>
      <x:c r="D3698" s="4" t="str">
        <x:v>West Ham</x:v>
      </x:c>
      <x:c r="E3698" s="4" t="str">
        <x:v>Home</x:v>
      </x:c>
      <x:c r="F3698" s="28" t="n">
        <x:v>0</x:v>
      </x:c>
      <x:c r="G3698" s="28" t="n">
        <x:v>0</x:v>
      </x:c>
      <x:c r="H3698" s="28" t="n">
        <x:v>9</x:v>
      </x:c>
      <x:c r="I3698" s="28" t="n">
        <x:v>9</x:v>
      </x:c>
      <x:c r="J3698" s="28" t="n">
        <x:v>1</x:v>
      </x:c>
      <x:c r="K3698" s="28" t="n">
        <x:v>4</x:v>
      </x:c>
      <x:c r="L3698" s="28" t="n">
        <x:v>4</x:v>
      </x:c>
      <x:c r="M3698" s="28" t="n">
        <x:v>6</x:v>
      </x:c>
      <x:c r="N3698" s="28" t="n">
        <x:v>2</x:v>
      </x:c>
      <x:c r="O3698" s="28" t="n">
        <x:v>0</x:v>
      </x:c>
      <x:c r="P3698" s="28" t="n">
        <x:v>1</x:v>
      </x:c>
      <x:c r="Q3698" s="24" t="n">
        <x:f>IFERROR(J3698/H3698,0)</x:f>
        <x:v>0.1111111111111111</x:v>
      </x:c>
      <x:c r="R3698" s="24" t="n">
        <x:f>IFERROR(F3698/H3698,0)</x:f>
        <x:v>0</x:v>
      </x:c>
      <x:c r="S3698" s="24" t="n">
        <x:f>IFERROR(F3698/J3698,0)</x:f>
        <x:v>0</x:v>
      </x:c>
      <x:c r="T3698" s="28" t="n">
        <x:f>H3698-I3698</x:f>
        <x:v>0</x:v>
      </x:c>
      <x:c r="U3698" s="24" t="n">
        <x:f>IFERROR(J3698/H3698,0)-IFERROR(K3698/I3698,0)</x:f>
        <x:v>-0.3333333333333333</x:v>
      </x:c>
      <x:c r="V3698" s="24" t="n">
        <x:f>IFERROR(F3698/J3698,0)-IFERROR(G3698/K3698,0)</x:f>
        <x:v>0</x:v>
      </x:c>
      <x:c r="W3698" s="28" t="n">
        <x:f>L3698-M3698</x:f>
        <x:v>-2</x:v>
      </x:c>
      <x:c r="X3698" s="24" t="n">
        <x:f>IFERROR(K3698/I3698,0)</x:f>
        <x:v>0.4444444444444444</x:v>
      </x:c>
      <x:c r="Y3698" s="24" t="n">
        <x:f>IFERROR(G3698/I3698,0)</x:f>
        <x:v>0</x:v>
      </x:c>
      <x:c r="Z3698" s="24" t="n">
        <x:f>IFERROR(G3698/K3698,0)</x:f>
        <x:v>0</x:v>
      </x:c>
      <x:c r="AA3698" s="24" t="n">
        <x:f>IFERROR(F3698/H3698,0)-IFERROR(G3698/I3698,0)</x:f>
        <x:v>0</x:v>
      </x:c>
      <x:c r="AB3698" s="28" t="n">
        <x:f>J3698-K3698</x:f>
        <x:v>-3</x:v>
      </x:c>
      <x:c r="AC3698" s="32" t="n">
        <x:f>F3698-G3698</x:f>
        <x:v>0</x:v>
      </x:c>
    </x:row>
    <x:row r="3699">
      <x:c r="A3699" s="4" t="str">
        <x:v>2025-26</x:v>
      </x:c>
      <x:c r="B3699" s="20" t="n">
        <x:v>46132</x:v>
      </x:c>
      <x:c r="C3699" s="4" t="str">
        <x:v>West Ham</x:v>
      </x:c>
      <x:c r="D3699" s="4" t="str">
        <x:v>Crystal Palace</x:v>
      </x:c>
      <x:c r="E3699" s="4" t="str">
        <x:v>Away</x:v>
      </x:c>
      <x:c r="F3699" s="28" t="n">
        <x:v>0</x:v>
      </x:c>
      <x:c r="G3699" s="28" t="n">
        <x:v>0</x:v>
      </x:c>
      <x:c r="H3699" s="28" t="n">
        <x:v>9</x:v>
      </x:c>
      <x:c r="I3699" s="28" t="n">
        <x:v>9</x:v>
      </x:c>
      <x:c r="J3699" s="28" t="n">
        <x:v>4</x:v>
      </x:c>
      <x:c r="K3699" s="28" t="n">
        <x:v>1</x:v>
      </x:c>
      <x:c r="L3699" s="28" t="n">
        <x:v>6</x:v>
      </x:c>
      <x:c r="M3699" s="28" t="n">
        <x:v>4</x:v>
      </x:c>
      <x:c r="N3699" s="28" t="n">
        <x:v>1</x:v>
      </x:c>
      <x:c r="O3699" s="28" t="n">
        <x:v>0</x:v>
      </x:c>
      <x:c r="P3699" s="28" t="n">
        <x:v>1</x:v>
      </x:c>
      <x:c r="Q3699" s="24" t="n">
        <x:f>IFERROR(J3699/H3699,0)</x:f>
        <x:v>0.4444444444444444</x:v>
      </x:c>
      <x:c r="R3699" s="24" t="n">
        <x:f>IFERROR(F3699/H3699,0)</x:f>
        <x:v>0</x:v>
      </x:c>
      <x:c r="S3699" s="24" t="n">
        <x:f>IFERROR(F3699/J3699,0)</x:f>
        <x:v>0</x:v>
      </x:c>
      <x:c r="T3699" s="28" t="n">
        <x:f>H3699-I3699</x:f>
        <x:v>0</x:v>
      </x:c>
      <x:c r="U3699" s="24" t="n">
        <x:f>IFERROR(J3699/H3699,0)-IFERROR(K3699/I3699,0)</x:f>
        <x:v>0.3333333333333333</x:v>
      </x:c>
      <x:c r="V3699" s="24" t="n">
        <x:f>IFERROR(F3699/J3699,0)-IFERROR(G3699/K3699,0)</x:f>
        <x:v>0</x:v>
      </x:c>
      <x:c r="W3699" s="28" t="n">
        <x:f>L3699-M3699</x:f>
        <x:v>2</x:v>
      </x:c>
      <x:c r="X3699" s="24" t="n">
        <x:f>IFERROR(K3699/I3699,0)</x:f>
        <x:v>0.1111111111111111</x:v>
      </x:c>
      <x:c r="Y3699" s="24" t="n">
        <x:f>IFERROR(G3699/I3699,0)</x:f>
        <x:v>0</x:v>
      </x:c>
      <x:c r="Z3699" s="24" t="n">
        <x:f>IFERROR(G3699/K3699,0)</x:f>
        <x:v>0</x:v>
      </x:c>
      <x:c r="AA3699" s="24" t="n">
        <x:f>IFERROR(F3699/H3699,0)-IFERROR(G3699/I3699,0)</x:f>
        <x:v>0</x:v>
      </x:c>
      <x:c r="AB3699" s="28" t="n">
        <x:f>J3699-K3699</x:f>
        <x:v>3</x:v>
      </x:c>
      <x:c r="AC3699" s="32" t="n">
        <x:f>F3699-G3699</x:f>
        <x:v>0</x:v>
      </x:c>
    </x:row>
    <x:row r="3700">
      <x:c r="A3700" s="4" t="str">
        <x:v>2025-26</x:v>
      </x:c>
      <x:c r="B3700" s="20" t="n">
        <x:v>46133</x:v>
      </x:c>
      <x:c r="C3700" s="4" t="str">
        <x:v>Brighton</x:v>
      </x:c>
      <x:c r="D3700" s="4" t="str">
        <x:v>Chelsea</x:v>
      </x:c>
      <x:c r="E3700" s="4" t="str">
        <x:v>Home</x:v>
      </x:c>
      <x:c r="F3700" s="28" t="n">
        <x:v>3</x:v>
      </x:c>
      <x:c r="G3700" s="28" t="n">
        <x:v>0</x:v>
      </x:c>
      <x:c r="H3700" s="28" t="n">
        <x:v>15</x:v>
      </x:c>
      <x:c r="I3700" s="28" t="n">
        <x:v>6</x:v>
      </x:c>
      <x:c r="J3700" s="28" t="n">
        <x:v>9</x:v>
      </x:c>
      <x:c r="K3700" s="28" t="n">
        <x:v>0</x:v>
      </x:c>
      <x:c r="L3700" s="28" t="n">
        <x:v>6</x:v>
      </x:c>
      <x:c r="M3700" s="28" t="n">
        <x:v>5</x:v>
      </x:c>
      <x:c r="N3700" s="28" t="n">
        <x:v>1</x:v>
      </x:c>
      <x:c r="O3700" s="28" t="n">
        <x:v>0</x:v>
      </x:c>
      <x:c r="P3700" s="28" t="n">
        <x:v>3</x:v>
      </x:c>
      <x:c r="Q3700" s="24" t="n">
        <x:f>IFERROR(J3700/H3700,0)</x:f>
        <x:v>0.6</x:v>
      </x:c>
      <x:c r="R3700" s="24" t="n">
        <x:f>IFERROR(F3700/H3700,0)</x:f>
        <x:v>0.2</x:v>
      </x:c>
      <x:c r="S3700" s="24" t="n">
        <x:f>IFERROR(F3700/J3700,0)</x:f>
        <x:v>0.3333333333333333</x:v>
      </x:c>
      <x:c r="T3700" s="28" t="n">
        <x:f>H3700-I3700</x:f>
        <x:v>9</x:v>
      </x:c>
      <x:c r="U3700" s="24" t="n">
        <x:f>IFERROR(J3700/H3700,0)-IFERROR(K3700/I3700,0)</x:f>
        <x:v>0.6</x:v>
      </x:c>
      <x:c r="V3700" s="24" t="n">
        <x:f>IFERROR(F3700/J3700,0)-IFERROR(G3700/K3700,0)</x:f>
        <x:v>0.3333333333333333</x:v>
      </x:c>
      <x:c r="W3700" s="28" t="n">
        <x:f>L3700-M3700</x:f>
        <x:v>1</x:v>
      </x:c>
      <x:c r="X3700" s="24" t="n">
        <x:f>IFERROR(K3700/I3700,0)</x:f>
        <x:v>0</x:v>
      </x:c>
      <x:c r="Y3700" s="24" t="n">
        <x:f>IFERROR(G3700/I3700,0)</x:f>
        <x:v>0</x:v>
      </x:c>
      <x:c r="Z3700" s="24" t="n">
        <x:f>IFERROR(G3700/K3700,0)</x:f>
        <x:v>0</x:v>
      </x:c>
      <x:c r="AA3700" s="24" t="n">
        <x:f>IFERROR(F3700/H3700,0)-IFERROR(G3700/I3700,0)</x:f>
        <x:v>0.2</x:v>
      </x:c>
      <x:c r="AB3700" s="28" t="n">
        <x:f>J3700-K3700</x:f>
        <x:v>9</x:v>
      </x:c>
      <x:c r="AC3700" s="32" t="n">
        <x:f>F3700-G3700</x:f>
        <x:v>3</x:v>
      </x:c>
    </x:row>
    <x:row r="3701">
      <x:c r="A3701" s="4" t="str">
        <x:v>2025-26</x:v>
      </x:c>
      <x:c r="B3701" s="20" t="n">
        <x:v>46133</x:v>
      </x:c>
      <x:c r="C3701" s="4" t="str">
        <x:v>Chelsea</x:v>
      </x:c>
      <x:c r="D3701" s="4" t="str">
        <x:v>Brighton</x:v>
      </x:c>
      <x:c r="E3701" s="4" t="str">
        <x:v>Away</x:v>
      </x:c>
      <x:c r="F3701" s="28" t="n">
        <x:v>0</x:v>
      </x:c>
      <x:c r="G3701" s="28" t="n">
        <x:v>3</x:v>
      </x:c>
      <x:c r="H3701" s="28" t="n">
        <x:v>6</x:v>
      </x:c>
      <x:c r="I3701" s="28" t="n">
        <x:v>15</x:v>
      </x:c>
      <x:c r="J3701" s="28" t="n">
        <x:v>0</x:v>
      </x:c>
      <x:c r="K3701" s="28" t="n">
        <x:v>9</x:v>
      </x:c>
      <x:c r="L3701" s="28" t="n">
        <x:v>5</x:v>
      </x:c>
      <x:c r="M3701" s="28" t="n">
        <x:v>6</x:v>
      </x:c>
      <x:c r="N3701" s="28" t="n">
        <x:v>1</x:v>
      </x:c>
      <x:c r="O3701" s="28" t="n">
        <x:v>0</x:v>
      </x:c>
      <x:c r="P3701" s="28" t="n">
        <x:v>0</x:v>
      </x:c>
      <x:c r="Q3701" s="24" t="n">
        <x:f>IFERROR(J3701/H3701,0)</x:f>
        <x:v>0</x:v>
      </x:c>
      <x:c r="R3701" s="24" t="n">
        <x:f>IFERROR(F3701/H3701,0)</x:f>
        <x:v>0</x:v>
      </x:c>
      <x:c r="S3701" s="24" t="n">
        <x:f>IFERROR(F3701/J3701,0)</x:f>
        <x:v>0</x:v>
      </x:c>
      <x:c r="T3701" s="28" t="n">
        <x:f>H3701-I3701</x:f>
        <x:v>-9</x:v>
      </x:c>
      <x:c r="U3701" s="24" t="n">
        <x:f>IFERROR(J3701/H3701,0)-IFERROR(K3701/I3701,0)</x:f>
        <x:v>-0.6</x:v>
      </x:c>
      <x:c r="V3701" s="24" t="n">
        <x:f>IFERROR(F3701/J3701,0)-IFERROR(G3701/K3701,0)</x:f>
        <x:v>-0.3333333333333333</x:v>
      </x:c>
      <x:c r="W3701" s="28" t="n">
        <x:f>L3701-M3701</x:f>
        <x:v>-1</x:v>
      </x:c>
      <x:c r="X3701" s="24" t="n">
        <x:f>IFERROR(K3701/I3701,0)</x:f>
        <x:v>0.6</x:v>
      </x:c>
      <x:c r="Y3701" s="24" t="n">
        <x:f>IFERROR(G3701/I3701,0)</x:f>
        <x:v>0.2</x:v>
      </x:c>
      <x:c r="Z3701" s="24" t="n">
        <x:f>IFERROR(G3701/K3701,0)</x:f>
        <x:v>0.3333333333333333</x:v>
      </x:c>
      <x:c r="AA3701" s="24" t="n">
        <x:f>IFERROR(F3701/H3701,0)-IFERROR(G3701/I3701,0)</x:f>
        <x:v>-0.2</x:v>
      </x:c>
      <x:c r="AB3701" s="28" t="n">
        <x:f>J3701-K3701</x:f>
        <x:v>-9</x:v>
      </x:c>
      <x:c r="AC3701" s="32" t="n">
        <x:f>F3701-G3701</x:f>
        <x:v>-3</x:v>
      </x:c>
    </x:row>
    <x:row r="3702">
      <x:c r="A3702" s="4" t="str">
        <x:v>2025-26</x:v>
      </x:c>
      <x:c r="B3702" s="20" t="n">
        <x:v>46134</x:v>
      </x:c>
      <x:c r="C3702" s="4" t="str">
        <x:v>Bournemouth</x:v>
      </x:c>
      <x:c r="D3702" s="4" t="str">
        <x:v>Leeds</x:v>
      </x:c>
      <x:c r="E3702" s="4" t="str">
        <x:v>Home</x:v>
      </x:c>
      <x:c r="F3702" s="28" t="n">
        <x:v>2</x:v>
      </x:c>
      <x:c r="G3702" s="28" t="n">
        <x:v>2</x:v>
      </x:c>
      <x:c r="H3702" s="28" t="n">
        <x:v>17</x:v>
      </x:c>
      <x:c r="I3702" s="28" t="n">
        <x:v>10</x:v>
      </x:c>
      <x:c r="J3702" s="28" t="n">
        <x:v>7</x:v>
      </x:c>
      <x:c r="K3702" s="28" t="n">
        <x:v>3</x:v>
      </x:c>
      <x:c r="L3702" s="28" t="n">
        <x:v>12</x:v>
      </x:c>
      <x:c r="M3702" s="28" t="n">
        <x:v>1</x:v>
      </x:c>
      <x:c r="N3702" s="28" t="n">
        <x:v>3</x:v>
      </x:c>
      <x:c r="O3702" s="28" t="n">
        <x:v>0</x:v>
      </x:c>
      <x:c r="P3702" s="28" t="n">
        <x:v>1</x:v>
      </x:c>
      <x:c r="Q3702" s="24" t="n">
        <x:f>IFERROR(J3702/H3702,0)</x:f>
        <x:v>0.4117647058823529</x:v>
      </x:c>
      <x:c r="R3702" s="24" t="n">
        <x:f>IFERROR(F3702/H3702,0)</x:f>
        <x:v>0.11764705882352941</x:v>
      </x:c>
      <x:c r="S3702" s="24" t="n">
        <x:f>IFERROR(F3702/J3702,0)</x:f>
        <x:v>0.2857142857142857</x:v>
      </x:c>
      <x:c r="T3702" s="28" t="n">
        <x:f>H3702-I3702</x:f>
        <x:v>7</x:v>
      </x:c>
      <x:c r="U3702" s="24" t="n">
        <x:f>IFERROR(J3702/H3702,0)-IFERROR(K3702/I3702,0)</x:f>
        <x:v>0.11176470588235293</x:v>
      </x:c>
      <x:c r="V3702" s="24" t="n">
        <x:f>IFERROR(F3702/J3702,0)-IFERROR(G3702/K3702,0)</x:f>
        <x:v>-0.38095238095238093</x:v>
      </x:c>
      <x:c r="W3702" s="28" t="n">
        <x:f>L3702-M3702</x:f>
        <x:v>11</x:v>
      </x:c>
      <x:c r="X3702" s="24" t="n">
        <x:f>IFERROR(K3702/I3702,0)</x:f>
        <x:v>0.3</x:v>
      </x:c>
      <x:c r="Y3702" s="24" t="n">
        <x:f>IFERROR(G3702/I3702,0)</x:f>
        <x:v>0.2</x:v>
      </x:c>
      <x:c r="Z3702" s="24" t="n">
        <x:f>IFERROR(G3702/K3702,0)</x:f>
        <x:v>0.6666666666666666</x:v>
      </x:c>
      <x:c r="AA3702" s="24" t="n">
        <x:f>IFERROR(F3702/H3702,0)-IFERROR(G3702/I3702,0)</x:f>
        <x:v>-0.0823529411764706</x:v>
      </x:c>
      <x:c r="AB3702" s="28" t="n">
        <x:f>J3702-K3702</x:f>
        <x:v>4</x:v>
      </x:c>
      <x:c r="AC3702" s="32" t="n">
        <x:f>F3702-G3702</x:f>
        <x:v>0</x:v>
      </x:c>
    </x:row>
    <x:row r="3703">
      <x:c r="A3703" s="4" t="str">
        <x:v>2025-26</x:v>
      </x:c>
      <x:c r="B3703" s="20" t="n">
        <x:v>46134</x:v>
      </x:c>
      <x:c r="C3703" s="4" t="str">
        <x:v>Burnley</x:v>
      </x:c>
      <x:c r="D3703" s="4" t="str">
        <x:v>Man City</x:v>
      </x:c>
      <x:c r="E3703" s="4" t="str">
        <x:v>Home</x:v>
      </x:c>
      <x:c r="F3703" s="28" t="n">
        <x:v>0</x:v>
      </x:c>
      <x:c r="G3703" s="28" t="n">
        <x:v>1</x:v>
      </x:c>
      <x:c r="H3703" s="28" t="n">
        <x:v>9</x:v>
      </x:c>
      <x:c r="I3703" s="28" t="n">
        <x:v>28</x:v>
      </x:c>
      <x:c r="J3703" s="28" t="n">
        <x:v>1</x:v>
      </x:c>
      <x:c r="K3703" s="28" t="n">
        <x:v>9</x:v>
      </x:c>
      <x:c r="L3703" s="28" t="n">
        <x:v>3</x:v>
      </x:c>
      <x:c r="M3703" s="28" t="n">
        <x:v>11</x:v>
      </x:c>
      <x:c r="N3703" s="28" t="n">
        <x:v>0</x:v>
      </x:c>
      <x:c r="O3703" s="28" t="n">
        <x:v>0</x:v>
      </x:c>
      <x:c r="P3703" s="28" t="n">
        <x:v>0</x:v>
      </x:c>
      <x:c r="Q3703" s="24" t="n">
        <x:f>IFERROR(J3703/H3703,0)</x:f>
        <x:v>0.1111111111111111</x:v>
      </x:c>
      <x:c r="R3703" s="24" t="n">
        <x:f>IFERROR(F3703/H3703,0)</x:f>
        <x:v>0</x:v>
      </x:c>
      <x:c r="S3703" s="24" t="n">
        <x:f>IFERROR(F3703/J3703,0)</x:f>
        <x:v>0</x:v>
      </x:c>
      <x:c r="T3703" s="28" t="n">
        <x:f>H3703-I3703</x:f>
        <x:v>-19</x:v>
      </x:c>
      <x:c r="U3703" s="24" t="n">
        <x:f>IFERROR(J3703/H3703,0)-IFERROR(K3703/I3703,0)</x:f>
        <x:v>-0.21031746031746035</x:v>
      </x:c>
      <x:c r="V3703" s="24" t="n">
        <x:f>IFERROR(F3703/J3703,0)-IFERROR(G3703/K3703,0)</x:f>
        <x:v>-0.1111111111111111</x:v>
      </x:c>
      <x:c r="W3703" s="28" t="n">
        <x:f>L3703-M3703</x:f>
        <x:v>-8</x:v>
      </x:c>
      <x:c r="X3703" s="24" t="n">
        <x:f>IFERROR(K3703/I3703,0)</x:f>
        <x:v>0.32142857142857145</x:v>
      </x:c>
      <x:c r="Y3703" s="24" t="n">
        <x:f>IFERROR(G3703/I3703,0)</x:f>
        <x:v>0.03571428571428571</x:v>
      </x:c>
      <x:c r="Z3703" s="24" t="n">
        <x:f>IFERROR(G3703/K3703,0)</x:f>
        <x:v>0.1111111111111111</x:v>
      </x:c>
      <x:c r="AA3703" s="24" t="n">
        <x:f>IFERROR(F3703/H3703,0)-IFERROR(G3703/I3703,0)</x:f>
        <x:v>-0.03571428571428571</x:v>
      </x:c>
      <x:c r="AB3703" s="28" t="n">
        <x:f>J3703-K3703</x:f>
        <x:v>-8</x:v>
      </x:c>
      <x:c r="AC3703" s="32" t="n">
        <x:f>F3703-G3703</x:f>
        <x:v>-1</x:v>
      </x:c>
    </x:row>
    <x:row r="3704">
      <x:c r="A3704" s="4" t="str">
        <x:v>2025-26</x:v>
      </x:c>
      <x:c r="B3704" s="20" t="n">
        <x:v>46134</x:v>
      </x:c>
      <x:c r="C3704" s="4" t="str">
        <x:v>Leeds</x:v>
      </x:c>
      <x:c r="D3704" s="4" t="str">
        <x:v>Bournemouth</x:v>
      </x:c>
      <x:c r="E3704" s="4" t="str">
        <x:v>Away</x:v>
      </x:c>
      <x:c r="F3704" s="28" t="n">
        <x:v>2</x:v>
      </x:c>
      <x:c r="G3704" s="28" t="n">
        <x:v>2</x:v>
      </x:c>
      <x:c r="H3704" s="28" t="n">
        <x:v>10</x:v>
      </x:c>
      <x:c r="I3704" s="28" t="n">
        <x:v>17</x:v>
      </x:c>
      <x:c r="J3704" s="28" t="n">
        <x:v>3</x:v>
      </x:c>
      <x:c r="K3704" s="28" t="n">
        <x:v>7</x:v>
      </x:c>
      <x:c r="L3704" s="28" t="n">
        <x:v>1</x:v>
      </x:c>
      <x:c r="M3704" s="28" t="n">
        <x:v>12</x:v>
      </x:c>
      <x:c r="N3704" s="28" t="n">
        <x:v>0</x:v>
      </x:c>
      <x:c r="O3704" s="28" t="n">
        <x:v>0</x:v>
      </x:c>
      <x:c r="P3704" s="28" t="n">
        <x:v>1</x:v>
      </x:c>
      <x:c r="Q3704" s="24" t="n">
        <x:f>IFERROR(J3704/H3704,0)</x:f>
        <x:v>0.3</x:v>
      </x:c>
      <x:c r="R3704" s="24" t="n">
        <x:f>IFERROR(F3704/H3704,0)</x:f>
        <x:v>0.2</x:v>
      </x:c>
      <x:c r="S3704" s="24" t="n">
        <x:f>IFERROR(F3704/J3704,0)</x:f>
        <x:v>0.6666666666666666</x:v>
      </x:c>
      <x:c r="T3704" s="28" t="n">
        <x:f>H3704-I3704</x:f>
        <x:v>-7</x:v>
      </x:c>
      <x:c r="U3704" s="24" t="n">
        <x:f>IFERROR(J3704/H3704,0)-IFERROR(K3704/I3704,0)</x:f>
        <x:v>-0.11176470588235293</x:v>
      </x:c>
      <x:c r="V3704" s="24" t="n">
        <x:f>IFERROR(F3704/J3704,0)-IFERROR(G3704/K3704,0)</x:f>
        <x:v>0.38095238095238093</x:v>
      </x:c>
      <x:c r="W3704" s="28" t="n">
        <x:f>L3704-M3704</x:f>
        <x:v>-11</x:v>
      </x:c>
      <x:c r="X3704" s="24" t="n">
        <x:f>IFERROR(K3704/I3704,0)</x:f>
        <x:v>0.4117647058823529</x:v>
      </x:c>
      <x:c r="Y3704" s="24" t="n">
        <x:f>IFERROR(G3704/I3704,0)</x:f>
        <x:v>0.11764705882352941</x:v>
      </x:c>
      <x:c r="Z3704" s="24" t="n">
        <x:f>IFERROR(G3704/K3704,0)</x:f>
        <x:v>0.2857142857142857</x:v>
      </x:c>
      <x:c r="AA3704" s="24" t="n">
        <x:f>IFERROR(F3704/H3704,0)-IFERROR(G3704/I3704,0)</x:f>
        <x:v>0.0823529411764706</x:v>
      </x:c>
      <x:c r="AB3704" s="28" t="n">
        <x:f>J3704-K3704</x:f>
        <x:v>-4</x:v>
      </x:c>
      <x:c r="AC3704" s="32" t="n">
        <x:f>F3704-G3704</x:f>
        <x:v>0</x:v>
      </x:c>
    </x:row>
    <x:row r="3705">
      <x:c r="A3705" s="4" t="str">
        <x:v>2025-26</x:v>
      </x:c>
      <x:c r="B3705" s="20" t="n">
        <x:v>46134</x:v>
      </x:c>
      <x:c r="C3705" s="4" t="str">
        <x:v>Man City</x:v>
      </x:c>
      <x:c r="D3705" s="4" t="str">
        <x:v>Burnley</x:v>
      </x:c>
      <x:c r="E3705" s="4" t="str">
        <x:v>Away</x:v>
      </x:c>
      <x:c r="F3705" s="28" t="n">
        <x:v>1</x:v>
      </x:c>
      <x:c r="G3705" s="28" t="n">
        <x:v>0</x:v>
      </x:c>
      <x:c r="H3705" s="28" t="n">
        <x:v>28</x:v>
      </x:c>
      <x:c r="I3705" s="28" t="n">
        <x:v>9</x:v>
      </x:c>
      <x:c r="J3705" s="28" t="n">
        <x:v>9</x:v>
      </x:c>
      <x:c r="K3705" s="28" t="n">
        <x:v>1</x:v>
      </x:c>
      <x:c r="L3705" s="28" t="n">
        <x:v>11</x:v>
      </x:c>
      <x:c r="M3705" s="28" t="n">
        <x:v>3</x:v>
      </x:c>
      <x:c r="N3705" s="28" t="n">
        <x:v>0</x:v>
      </x:c>
      <x:c r="O3705" s="28" t="n">
        <x:v>0</x:v>
      </x:c>
      <x:c r="P3705" s="28" t="n">
        <x:v>3</x:v>
      </x:c>
      <x:c r="Q3705" s="24" t="n">
        <x:f>IFERROR(J3705/H3705,0)</x:f>
        <x:v>0.32142857142857145</x:v>
      </x:c>
      <x:c r="R3705" s="24" t="n">
        <x:f>IFERROR(F3705/H3705,0)</x:f>
        <x:v>0.03571428571428571</x:v>
      </x:c>
      <x:c r="S3705" s="24" t="n">
        <x:f>IFERROR(F3705/J3705,0)</x:f>
        <x:v>0.1111111111111111</x:v>
      </x:c>
      <x:c r="T3705" s="28" t="n">
        <x:f>H3705-I3705</x:f>
        <x:v>19</x:v>
      </x:c>
      <x:c r="U3705" s="24" t="n">
        <x:f>IFERROR(J3705/H3705,0)-IFERROR(K3705/I3705,0)</x:f>
        <x:v>0.21031746031746035</x:v>
      </x:c>
      <x:c r="V3705" s="24" t="n">
        <x:f>IFERROR(F3705/J3705,0)-IFERROR(G3705/K3705,0)</x:f>
        <x:v>0.1111111111111111</x:v>
      </x:c>
      <x:c r="W3705" s="28" t="n">
        <x:f>L3705-M3705</x:f>
        <x:v>8</x:v>
      </x:c>
      <x:c r="X3705" s="24" t="n">
        <x:f>IFERROR(K3705/I3705,0)</x:f>
        <x:v>0.1111111111111111</x:v>
      </x:c>
      <x:c r="Y3705" s="24" t="n">
        <x:f>IFERROR(G3705/I3705,0)</x:f>
        <x:v>0</x:v>
      </x:c>
      <x:c r="Z3705" s="24" t="n">
        <x:f>IFERROR(G3705/K3705,0)</x:f>
        <x:v>0</x:v>
      </x:c>
      <x:c r="AA3705" s="24" t="n">
        <x:f>IFERROR(F3705/H3705,0)-IFERROR(G3705/I3705,0)</x:f>
        <x:v>0.03571428571428571</x:v>
      </x:c>
      <x:c r="AB3705" s="28" t="n">
        <x:f>J3705-K3705</x:f>
        <x:v>8</x:v>
      </x:c>
      <x:c r="AC3705" s="32" t="n">
        <x:f>F3705-G3705</x:f>
        <x:v>1</x:v>
      </x:c>
    </x:row>
    <x:row r="3706">
      <x:c r="A3706" s="4" t="str">
        <x:v>2025-26</x:v>
      </x:c>
      <x:c r="B3706" s="20" t="n">
        <x:v>46136</x:v>
      </x:c>
      <x:c r="C3706" s="4" t="str">
        <x:v>Nott'm Forest</x:v>
      </x:c>
      <x:c r="D3706" s="4" t="str">
        <x:v>Sunderland</x:v>
      </x:c>
      <x:c r="E3706" s="4" t="str">
        <x:v>Away</x:v>
      </x:c>
      <x:c r="F3706" s="28" t="n">
        <x:v>5</x:v>
      </x:c>
      <x:c r="G3706" s="28" t="n">
        <x:v>0</x:v>
      </x:c>
      <x:c r="H3706" s="28" t="n">
        <x:v>10</x:v>
      </x:c>
      <x:c r="I3706" s="28" t="n">
        <x:v>14</x:v>
      </x:c>
      <x:c r="J3706" s="28" t="n">
        <x:v>6</x:v>
      </x:c>
      <x:c r="K3706" s="28" t="n">
        <x:v>4</x:v>
      </x:c>
      <x:c r="L3706" s="28" t="n">
        <x:v>6</x:v>
      </x:c>
      <x:c r="M3706" s="28" t="n">
        <x:v>3</x:v>
      </x:c>
      <x:c r="N3706" s="28" t="n">
        <x:v>5</x:v>
      </x:c>
      <x:c r="O3706" s="28" t="n">
        <x:v>0</x:v>
      </x:c>
      <x:c r="P3706" s="28" t="n">
        <x:v>3</x:v>
      </x:c>
      <x:c r="Q3706" s="24" t="n">
        <x:f>IFERROR(J3706/H3706,0)</x:f>
        <x:v>0.6</x:v>
      </x:c>
      <x:c r="R3706" s="24" t="n">
        <x:f>IFERROR(F3706/H3706,0)</x:f>
        <x:v>0.5</x:v>
      </x:c>
      <x:c r="S3706" s="24" t="n">
        <x:f>IFERROR(F3706/J3706,0)</x:f>
        <x:v>0.8333333333333334</x:v>
      </x:c>
      <x:c r="T3706" s="28" t="n">
        <x:f>H3706-I3706</x:f>
        <x:v>-4</x:v>
      </x:c>
      <x:c r="U3706" s="24" t="n">
        <x:f>IFERROR(J3706/H3706,0)-IFERROR(K3706/I3706,0)</x:f>
        <x:v>0.3142857142857143</x:v>
      </x:c>
      <x:c r="V3706" s="24" t="n">
        <x:f>IFERROR(F3706/J3706,0)-IFERROR(G3706/K3706,0)</x:f>
        <x:v>0.8333333333333334</x:v>
      </x:c>
      <x:c r="W3706" s="28" t="n">
        <x:f>L3706-M3706</x:f>
        <x:v>3</x:v>
      </x:c>
      <x:c r="X3706" s="24" t="n">
        <x:f>IFERROR(K3706/I3706,0)</x:f>
        <x:v>0.2857142857142857</x:v>
      </x:c>
      <x:c r="Y3706" s="24" t="n">
        <x:f>IFERROR(G3706/I3706,0)</x:f>
        <x:v>0</x:v>
      </x:c>
      <x:c r="Z3706" s="24" t="n">
        <x:f>IFERROR(G3706/K3706,0)</x:f>
        <x:v>0</x:v>
      </x:c>
      <x:c r="AA3706" s="24" t="n">
        <x:f>IFERROR(F3706/H3706,0)-IFERROR(G3706/I3706,0)</x:f>
        <x:v>0.5</x:v>
      </x:c>
      <x:c r="AB3706" s="28" t="n">
        <x:f>J3706-K3706</x:f>
        <x:v>2</x:v>
      </x:c>
      <x:c r="AC3706" s="32" t="n">
        <x:f>F3706-G3706</x:f>
        <x:v>5</x:v>
      </x:c>
    </x:row>
    <x:row r="3707">
      <x:c r="A3707" s="4" t="str">
        <x:v>2025-26</x:v>
      </x:c>
      <x:c r="B3707" s="20" t="n">
        <x:v>46136</x:v>
      </x:c>
      <x:c r="C3707" s="4" t="str">
        <x:v>Sunderland</x:v>
      </x:c>
      <x:c r="D3707" s="4" t="str">
        <x:v>Nott'm Forest</x:v>
      </x:c>
      <x:c r="E3707" s="4" t="str">
        <x:v>Home</x:v>
      </x:c>
      <x:c r="F3707" s="28" t="n">
        <x:v>0</x:v>
      </x:c>
      <x:c r="G3707" s="28" t="n">
        <x:v>5</x:v>
      </x:c>
      <x:c r="H3707" s="28" t="n">
        <x:v>14</x:v>
      </x:c>
      <x:c r="I3707" s="28" t="n">
        <x:v>10</x:v>
      </x:c>
      <x:c r="J3707" s="28" t="n">
        <x:v>4</x:v>
      </x:c>
      <x:c r="K3707" s="28" t="n">
        <x:v>6</x:v>
      </x:c>
      <x:c r="L3707" s="28" t="n">
        <x:v>3</x:v>
      </x:c>
      <x:c r="M3707" s="28" t="n">
        <x:v>6</x:v>
      </x:c>
      <x:c r="N3707" s="28" t="n">
        <x:v>2</x:v>
      </x:c>
      <x:c r="O3707" s="28" t="n">
        <x:v>0</x:v>
      </x:c>
      <x:c r="P3707" s="28" t="n">
        <x:v>0</x:v>
      </x:c>
      <x:c r="Q3707" s="24" t="n">
        <x:f>IFERROR(J3707/H3707,0)</x:f>
        <x:v>0.2857142857142857</x:v>
      </x:c>
      <x:c r="R3707" s="24" t="n">
        <x:f>IFERROR(F3707/H3707,0)</x:f>
        <x:v>0</x:v>
      </x:c>
      <x:c r="S3707" s="24" t="n">
        <x:f>IFERROR(F3707/J3707,0)</x:f>
        <x:v>0</x:v>
      </x:c>
      <x:c r="T3707" s="28" t="n">
        <x:f>H3707-I3707</x:f>
        <x:v>4</x:v>
      </x:c>
      <x:c r="U3707" s="24" t="n">
        <x:f>IFERROR(J3707/H3707,0)-IFERROR(K3707/I3707,0)</x:f>
        <x:v>-0.3142857142857143</x:v>
      </x:c>
      <x:c r="V3707" s="24" t="n">
        <x:f>IFERROR(F3707/J3707,0)-IFERROR(G3707/K3707,0)</x:f>
        <x:v>-0.8333333333333334</x:v>
      </x:c>
      <x:c r="W3707" s="28" t="n">
        <x:f>L3707-M3707</x:f>
        <x:v>-3</x:v>
      </x:c>
      <x:c r="X3707" s="24" t="n">
        <x:f>IFERROR(K3707/I3707,0)</x:f>
        <x:v>0.6</x:v>
      </x:c>
      <x:c r="Y3707" s="24" t="n">
        <x:f>IFERROR(G3707/I3707,0)</x:f>
        <x:v>0.5</x:v>
      </x:c>
      <x:c r="Z3707" s="24" t="n">
        <x:f>IFERROR(G3707/K3707,0)</x:f>
        <x:v>0.8333333333333334</x:v>
      </x:c>
      <x:c r="AA3707" s="24" t="n">
        <x:f>IFERROR(F3707/H3707,0)-IFERROR(G3707/I3707,0)</x:f>
        <x:v>-0.5</x:v>
      </x:c>
      <x:c r="AB3707" s="28" t="n">
        <x:f>J3707-K3707</x:f>
        <x:v>-2</x:v>
      </x:c>
      <x:c r="AC3707" s="32" t="n">
        <x:f>F3707-G3707</x:f>
        <x:v>-5</x:v>
      </x:c>
    </x:row>
    <x:row r="3708">
      <x:c r="A3708" s="4" t="str">
        <x:v>2025-26</x:v>
      </x:c>
      <x:c r="B3708" s="20" t="n">
        <x:v>46137</x:v>
      </x:c>
      <x:c r="C3708" s="4" t="str">
        <x:v>Arsenal</x:v>
      </x:c>
      <x:c r="D3708" s="4" t="str">
        <x:v>Newcastle</x:v>
      </x:c>
      <x:c r="E3708" s="4" t="str">
        <x:v>Home</x:v>
      </x:c>
      <x:c r="F3708" s="28" t="n">
        <x:v>1</x:v>
      </x:c>
      <x:c r="G3708" s="28" t="n">
        <x:v>0</x:v>
      </x:c>
      <x:c r="H3708" s="28" t="n">
        <x:v>11</x:v>
      </x:c>
      <x:c r="I3708" s="28" t="n">
        <x:v>13</x:v>
      </x:c>
      <x:c r="J3708" s="28" t="n">
        <x:v>4</x:v>
      </x:c>
      <x:c r="K3708" s="28" t="n">
        <x:v>3</x:v>
      </x:c>
      <x:c r="L3708" s="28" t="n">
        <x:v>7</x:v>
      </x:c>
      <x:c r="M3708" s="28" t="n">
        <x:v>2</x:v>
      </x:c>
      <x:c r="N3708" s="28" t="n">
        <x:v>2</x:v>
      </x:c>
      <x:c r="O3708" s="28" t="n">
        <x:v>0</x:v>
      </x:c>
      <x:c r="P3708" s="28" t="n">
        <x:v>3</x:v>
      </x:c>
      <x:c r="Q3708" s="24" t="n">
        <x:f>IFERROR(J3708/H3708,0)</x:f>
        <x:v>0.36363636363636365</x:v>
      </x:c>
      <x:c r="R3708" s="24" t="n">
        <x:f>IFERROR(F3708/H3708,0)</x:f>
        <x:v>0.09090909090909091</x:v>
      </x:c>
      <x:c r="S3708" s="24" t="n">
        <x:f>IFERROR(F3708/J3708,0)</x:f>
        <x:v>0.25</x:v>
      </x:c>
      <x:c r="T3708" s="28" t="n">
        <x:f>H3708-I3708</x:f>
        <x:v>-2</x:v>
      </x:c>
      <x:c r="U3708" s="24" t="n">
        <x:f>IFERROR(J3708/H3708,0)-IFERROR(K3708/I3708,0)</x:f>
        <x:v>0.13286713286713286</x:v>
      </x:c>
      <x:c r="V3708" s="24" t="n">
        <x:f>IFERROR(F3708/J3708,0)-IFERROR(G3708/K3708,0)</x:f>
        <x:v>0.25</x:v>
      </x:c>
      <x:c r="W3708" s="28" t="n">
        <x:f>L3708-M3708</x:f>
        <x:v>5</x:v>
      </x:c>
      <x:c r="X3708" s="24" t="n">
        <x:f>IFERROR(K3708/I3708,0)</x:f>
        <x:v>0.23076923076923078</x:v>
      </x:c>
      <x:c r="Y3708" s="24" t="n">
        <x:f>IFERROR(G3708/I3708,0)</x:f>
        <x:v>0</x:v>
      </x:c>
      <x:c r="Z3708" s="24" t="n">
        <x:f>IFERROR(G3708/K3708,0)</x:f>
        <x:v>0</x:v>
      </x:c>
      <x:c r="AA3708" s="24" t="n">
        <x:f>IFERROR(F3708/H3708,0)-IFERROR(G3708/I3708,0)</x:f>
        <x:v>0.09090909090909091</x:v>
      </x:c>
      <x:c r="AB3708" s="28" t="n">
        <x:f>J3708-K3708</x:f>
        <x:v>1</x:v>
      </x:c>
      <x:c r="AC3708" s="32" t="n">
        <x:f>F3708-G3708</x:f>
        <x:v>1</x:v>
      </x:c>
    </x:row>
    <x:row r="3709">
      <x:c r="A3709" s="4" t="str">
        <x:v>2025-26</x:v>
      </x:c>
      <x:c r="B3709" s="20" t="n">
        <x:v>46137</x:v>
      </x:c>
      <x:c r="C3709" s="4" t="str">
        <x:v>Aston Villa</x:v>
      </x:c>
      <x:c r="D3709" s="4" t="str">
        <x:v>Fulham</x:v>
      </x:c>
      <x:c r="E3709" s="4" t="str">
        <x:v>Away</x:v>
      </x:c>
      <x:c r="F3709" s="28" t="n">
        <x:v>0</x:v>
      </x:c>
      <x:c r="G3709" s="28" t="n">
        <x:v>1</x:v>
      </x:c>
      <x:c r="H3709" s="28" t="n">
        <x:v>10</x:v>
      </x:c>
      <x:c r="I3709" s="28" t="n">
        <x:v>13</x:v>
      </x:c>
      <x:c r="J3709" s="28" t="n">
        <x:v>1</x:v>
      </x:c>
      <x:c r="K3709" s="28" t="n">
        <x:v>6</x:v>
      </x:c>
      <x:c r="L3709" s="28" t="n">
        <x:v>5</x:v>
      </x:c>
      <x:c r="M3709" s="28" t="n">
        <x:v>2</x:v>
      </x:c>
      <x:c r="N3709" s="28" t="n">
        <x:v>2</x:v>
      </x:c>
      <x:c r="O3709" s="28" t="n">
        <x:v>0</x:v>
      </x:c>
      <x:c r="P3709" s="28" t="n">
        <x:v>0</x:v>
      </x:c>
      <x:c r="Q3709" s="24" t="n">
        <x:f>IFERROR(J3709/H3709,0)</x:f>
        <x:v>0.1</x:v>
      </x:c>
      <x:c r="R3709" s="24" t="n">
        <x:f>IFERROR(F3709/H3709,0)</x:f>
        <x:v>0</x:v>
      </x:c>
      <x:c r="S3709" s="24" t="n">
        <x:f>IFERROR(F3709/J3709,0)</x:f>
        <x:v>0</x:v>
      </x:c>
      <x:c r="T3709" s="28" t="n">
        <x:f>H3709-I3709</x:f>
        <x:v>-3</x:v>
      </x:c>
      <x:c r="U3709" s="24" t="n">
        <x:f>IFERROR(J3709/H3709,0)-IFERROR(K3709/I3709,0)</x:f>
        <x:v>-0.3615384615384616</x:v>
      </x:c>
      <x:c r="V3709" s="24" t="n">
        <x:f>IFERROR(F3709/J3709,0)-IFERROR(G3709/K3709,0)</x:f>
        <x:v>-0.16666666666666666</x:v>
      </x:c>
      <x:c r="W3709" s="28" t="n">
        <x:f>L3709-M3709</x:f>
        <x:v>3</x:v>
      </x:c>
      <x:c r="X3709" s="24" t="n">
        <x:f>IFERROR(K3709/I3709,0)</x:f>
        <x:v>0.46153846153846156</x:v>
      </x:c>
      <x:c r="Y3709" s="24" t="n">
        <x:f>IFERROR(G3709/I3709,0)</x:f>
        <x:v>0.07692307692307693</x:v>
      </x:c>
      <x:c r="Z3709" s="24" t="n">
        <x:f>IFERROR(G3709/K3709,0)</x:f>
        <x:v>0.16666666666666666</x:v>
      </x:c>
      <x:c r="AA3709" s="24" t="n">
        <x:f>IFERROR(F3709/H3709,0)-IFERROR(G3709/I3709,0)</x:f>
        <x:v>-0.07692307692307693</x:v>
      </x:c>
      <x:c r="AB3709" s="28" t="n">
        <x:f>J3709-K3709</x:f>
        <x:v>-5</x:v>
      </x:c>
      <x:c r="AC3709" s="32" t="n">
        <x:f>F3709-G3709</x:f>
        <x:v>-1</x:v>
      </x:c>
    </x:row>
    <x:row r="3710">
      <x:c r="A3710" s="4" t="str">
        <x:v>2025-26</x:v>
      </x:c>
      <x:c r="B3710" s="20" t="n">
        <x:v>46137</x:v>
      </x:c>
      <x:c r="C3710" s="4" t="str">
        <x:v>Crystal Palace</x:v>
      </x:c>
      <x:c r="D3710" s="4" t="str">
        <x:v>Liverpool</x:v>
      </x:c>
      <x:c r="E3710" s="4" t="str">
        <x:v>Away</x:v>
      </x:c>
      <x:c r="F3710" s="28" t="n">
        <x:v>1</x:v>
      </x:c>
      <x:c r="G3710" s="28" t="n">
        <x:v>3</x:v>
      </x:c>
      <x:c r="H3710" s="28" t="n">
        <x:v>14</x:v>
      </x:c>
      <x:c r="I3710" s="28" t="n">
        <x:v>9</x:v>
      </x:c>
      <x:c r="J3710" s="28" t="n">
        <x:v>7</x:v>
      </x:c>
      <x:c r="K3710" s="28" t="n">
        <x:v>3</x:v>
      </x:c>
      <x:c r="L3710" s="28" t="n">
        <x:v>8</x:v>
      </x:c>
      <x:c r="M3710" s="28" t="n">
        <x:v>5</x:v>
      </x:c>
      <x:c r="N3710" s="28" t="n">
        <x:v>3</x:v>
      </x:c>
      <x:c r="O3710" s="28" t="n">
        <x:v>0</x:v>
      </x:c>
      <x:c r="P3710" s="28" t="n">
        <x:v>0</x:v>
      </x:c>
      <x:c r="Q3710" s="24" t="n">
        <x:f>IFERROR(J3710/H3710,0)</x:f>
        <x:v>0.5</x:v>
      </x:c>
      <x:c r="R3710" s="24" t="n">
        <x:f>IFERROR(F3710/H3710,0)</x:f>
        <x:v>0.07142857142857142</x:v>
      </x:c>
      <x:c r="S3710" s="24" t="n">
        <x:f>IFERROR(F3710/J3710,0)</x:f>
        <x:v>0.14285714285714285</x:v>
      </x:c>
      <x:c r="T3710" s="28" t="n">
        <x:f>H3710-I3710</x:f>
        <x:v>5</x:v>
      </x:c>
      <x:c r="U3710" s="24" t="n">
        <x:f>IFERROR(J3710/H3710,0)-IFERROR(K3710/I3710,0)</x:f>
        <x:v>0.16666666666666669</x:v>
      </x:c>
      <x:c r="V3710" s="24" t="n">
        <x:f>IFERROR(F3710/J3710,0)-IFERROR(G3710/K3710,0)</x:f>
        <x:v>-0.8571428571428572</x:v>
      </x:c>
      <x:c r="W3710" s="28" t="n">
        <x:f>L3710-M3710</x:f>
        <x:v>3</x:v>
      </x:c>
      <x:c r="X3710" s="24" t="n">
        <x:f>IFERROR(K3710/I3710,0)</x:f>
        <x:v>0.3333333333333333</x:v>
      </x:c>
      <x:c r="Y3710" s="24" t="n">
        <x:f>IFERROR(G3710/I3710,0)</x:f>
        <x:v>0.3333333333333333</x:v>
      </x:c>
      <x:c r="Z3710" s="24" t="n">
        <x:f>IFERROR(G3710/K3710,0)</x:f>
        <x:v>1</x:v>
      </x:c>
      <x:c r="AA3710" s="24" t="n">
        <x:f>IFERROR(F3710/H3710,0)-IFERROR(G3710/I3710,0)</x:f>
        <x:v>-0.26190476190476186</x:v>
      </x:c>
      <x:c r="AB3710" s="28" t="n">
        <x:f>J3710-K3710</x:f>
        <x:v>4</x:v>
      </x:c>
      <x:c r="AC3710" s="32" t="n">
        <x:f>F3710-G3710</x:f>
        <x:v>-2</x:v>
      </x:c>
    </x:row>
    <x:row r="3711">
      <x:c r="A3711" s="4" t="str">
        <x:v>2025-26</x:v>
      </x:c>
      <x:c r="B3711" s="20" t="n">
        <x:v>46137</x:v>
      </x:c>
      <x:c r="C3711" s="4" t="str">
        <x:v>Everton</x:v>
      </x:c>
      <x:c r="D3711" s="4" t="str">
        <x:v>West Ham</x:v>
      </x:c>
      <x:c r="E3711" s="4" t="str">
        <x:v>Away</x:v>
      </x:c>
      <x:c r="F3711" s="28" t="n">
        <x:v>1</x:v>
      </x:c>
      <x:c r="G3711" s="28" t="n">
        <x:v>2</x:v>
      </x:c>
      <x:c r="H3711" s="28" t="n">
        <x:v>11</x:v>
      </x:c>
      <x:c r="I3711" s="28" t="n">
        <x:v>10</x:v>
      </x:c>
      <x:c r="J3711" s="28" t="n">
        <x:v>3</x:v>
      </x:c>
      <x:c r="K3711" s="28" t="n">
        <x:v>3</x:v>
      </x:c>
      <x:c r="L3711" s="28" t="n">
        <x:v>4</x:v>
      </x:c>
      <x:c r="M3711" s="28" t="n">
        <x:v>3</x:v>
      </x:c>
      <x:c r="N3711" s="28" t="n">
        <x:v>4</x:v>
      </x:c>
      <x:c r="O3711" s="28" t="n">
        <x:v>0</x:v>
      </x:c>
      <x:c r="P3711" s="28" t="n">
        <x:v>0</x:v>
      </x:c>
      <x:c r="Q3711" s="24" t="n">
        <x:f>IFERROR(J3711/H3711,0)</x:f>
        <x:v>0.2727272727272727</x:v>
      </x:c>
      <x:c r="R3711" s="24" t="n">
        <x:f>IFERROR(F3711/H3711,0)</x:f>
        <x:v>0.09090909090909091</x:v>
      </x:c>
      <x:c r="S3711" s="24" t="n">
        <x:f>IFERROR(F3711/J3711,0)</x:f>
        <x:v>0.3333333333333333</x:v>
      </x:c>
      <x:c r="T3711" s="28" t="n">
        <x:f>H3711-I3711</x:f>
        <x:v>1</x:v>
      </x:c>
      <x:c r="U3711" s="24" t="n">
        <x:f>IFERROR(J3711/H3711,0)-IFERROR(K3711/I3711,0)</x:f>
        <x:v>-0.027272727272727282</x:v>
      </x:c>
      <x:c r="V3711" s="24" t="n">
        <x:f>IFERROR(F3711/J3711,0)-IFERROR(G3711/K3711,0)</x:f>
        <x:v>-0.3333333333333333</x:v>
      </x:c>
      <x:c r="W3711" s="28" t="n">
        <x:f>L3711-M3711</x:f>
        <x:v>1</x:v>
      </x:c>
      <x:c r="X3711" s="24" t="n">
        <x:f>IFERROR(K3711/I3711,0)</x:f>
        <x:v>0.3</x:v>
      </x:c>
      <x:c r="Y3711" s="24" t="n">
        <x:f>IFERROR(G3711/I3711,0)</x:f>
        <x:v>0.2</x:v>
      </x:c>
      <x:c r="Z3711" s="24" t="n">
        <x:f>IFERROR(G3711/K3711,0)</x:f>
        <x:v>0.6666666666666666</x:v>
      </x:c>
      <x:c r="AA3711" s="24" t="n">
        <x:f>IFERROR(F3711/H3711,0)-IFERROR(G3711/I3711,0)</x:f>
        <x:v>-0.1090909090909091</x:v>
      </x:c>
      <x:c r="AB3711" s="28" t="n">
        <x:f>J3711-K3711</x:f>
        <x:v>0</x:v>
      </x:c>
      <x:c r="AC3711" s="32" t="n">
        <x:f>F3711-G3711</x:f>
        <x:v>-1</x:v>
      </x:c>
    </x:row>
    <x:row r="3712">
      <x:c r="A3712" s="4" t="str">
        <x:v>2025-26</x:v>
      </x:c>
      <x:c r="B3712" s="20" t="n">
        <x:v>46137</x:v>
      </x:c>
      <x:c r="C3712" s="4" t="str">
        <x:v>Fulham</x:v>
      </x:c>
      <x:c r="D3712" s="4" t="str">
        <x:v>Aston Villa</x:v>
      </x:c>
      <x:c r="E3712" s="4" t="str">
        <x:v>Home</x:v>
      </x:c>
      <x:c r="F3712" s="28" t="n">
        <x:v>1</x:v>
      </x:c>
      <x:c r="G3712" s="28" t="n">
        <x:v>0</x:v>
      </x:c>
      <x:c r="H3712" s="28" t="n">
        <x:v>13</x:v>
      </x:c>
      <x:c r="I3712" s="28" t="n">
        <x:v>10</x:v>
      </x:c>
      <x:c r="J3712" s="28" t="n">
        <x:v>6</x:v>
      </x:c>
      <x:c r="K3712" s="28" t="n">
        <x:v>1</x:v>
      </x:c>
      <x:c r="L3712" s="28" t="n">
        <x:v>2</x:v>
      </x:c>
      <x:c r="M3712" s="28" t="n">
        <x:v>5</x:v>
      </x:c>
      <x:c r="N3712" s="28" t="n">
        <x:v>2</x:v>
      </x:c>
      <x:c r="O3712" s="28" t="n">
        <x:v>0</x:v>
      </x:c>
      <x:c r="P3712" s="28" t="n">
        <x:v>3</x:v>
      </x:c>
      <x:c r="Q3712" s="24" t="n">
        <x:f>IFERROR(J3712/H3712,0)</x:f>
        <x:v>0.46153846153846156</x:v>
      </x:c>
      <x:c r="R3712" s="24" t="n">
        <x:f>IFERROR(F3712/H3712,0)</x:f>
        <x:v>0.07692307692307693</x:v>
      </x:c>
      <x:c r="S3712" s="24" t="n">
        <x:f>IFERROR(F3712/J3712,0)</x:f>
        <x:v>0.16666666666666666</x:v>
      </x:c>
      <x:c r="T3712" s="28" t="n">
        <x:f>H3712-I3712</x:f>
        <x:v>3</x:v>
      </x:c>
      <x:c r="U3712" s="24" t="n">
        <x:f>IFERROR(J3712/H3712,0)-IFERROR(K3712/I3712,0)</x:f>
        <x:v>0.3615384615384616</x:v>
      </x:c>
      <x:c r="V3712" s="24" t="n">
        <x:f>IFERROR(F3712/J3712,0)-IFERROR(G3712/K3712,0)</x:f>
        <x:v>0.16666666666666666</x:v>
      </x:c>
      <x:c r="W3712" s="28" t="n">
        <x:f>L3712-M3712</x:f>
        <x:v>-3</x:v>
      </x:c>
      <x:c r="X3712" s="24" t="n">
        <x:f>IFERROR(K3712/I3712,0)</x:f>
        <x:v>0.1</x:v>
      </x:c>
      <x:c r="Y3712" s="24" t="n">
        <x:f>IFERROR(G3712/I3712,0)</x:f>
        <x:v>0</x:v>
      </x:c>
      <x:c r="Z3712" s="24" t="n">
        <x:f>IFERROR(G3712/K3712,0)</x:f>
        <x:v>0</x:v>
      </x:c>
      <x:c r="AA3712" s="24" t="n">
        <x:f>IFERROR(F3712/H3712,0)-IFERROR(G3712/I3712,0)</x:f>
        <x:v>0.07692307692307693</x:v>
      </x:c>
      <x:c r="AB3712" s="28" t="n">
        <x:f>J3712-K3712</x:f>
        <x:v>5</x:v>
      </x:c>
      <x:c r="AC3712" s="32" t="n">
        <x:f>F3712-G3712</x:f>
        <x:v>1</x:v>
      </x:c>
    </x:row>
    <x:row r="3713">
      <x:c r="A3713" s="4" t="str">
        <x:v>2025-26</x:v>
      </x:c>
      <x:c r="B3713" s="20" t="n">
        <x:v>46137</x:v>
      </x:c>
      <x:c r="C3713" s="4" t="str">
        <x:v>Liverpool</x:v>
      </x:c>
      <x:c r="D3713" s="4" t="str">
        <x:v>Crystal Palace</x:v>
      </x:c>
      <x:c r="E3713" s="4" t="str">
        <x:v>Home</x:v>
      </x:c>
      <x:c r="F3713" s="28" t="n">
        <x:v>3</x:v>
      </x:c>
      <x:c r="G3713" s="28" t="n">
        <x:v>1</x:v>
      </x:c>
      <x:c r="H3713" s="28" t="n">
        <x:v>9</x:v>
      </x:c>
      <x:c r="I3713" s="28" t="n">
        <x:v>14</x:v>
      </x:c>
      <x:c r="J3713" s="28" t="n">
        <x:v>3</x:v>
      </x:c>
      <x:c r="K3713" s="28" t="n">
        <x:v>7</x:v>
      </x:c>
      <x:c r="L3713" s="28" t="n">
        <x:v>5</x:v>
      </x:c>
      <x:c r="M3713" s="28" t="n">
        <x:v>8</x:v>
      </x:c>
      <x:c r="N3713" s="28" t="n">
        <x:v>1</x:v>
      </x:c>
      <x:c r="O3713" s="28" t="n">
        <x:v>0</x:v>
      </x:c>
      <x:c r="P3713" s="28" t="n">
        <x:v>3</x:v>
      </x:c>
      <x:c r="Q3713" s="24" t="n">
        <x:f>IFERROR(J3713/H3713,0)</x:f>
        <x:v>0.3333333333333333</x:v>
      </x:c>
      <x:c r="R3713" s="24" t="n">
        <x:f>IFERROR(F3713/H3713,0)</x:f>
        <x:v>0.3333333333333333</x:v>
      </x:c>
      <x:c r="S3713" s="24" t="n">
        <x:f>IFERROR(F3713/J3713,0)</x:f>
        <x:v>1</x:v>
      </x:c>
      <x:c r="T3713" s="28" t="n">
        <x:f>H3713-I3713</x:f>
        <x:v>-5</x:v>
      </x:c>
      <x:c r="U3713" s="24" t="n">
        <x:f>IFERROR(J3713/H3713,0)-IFERROR(K3713/I3713,0)</x:f>
        <x:v>-0.16666666666666669</x:v>
      </x:c>
      <x:c r="V3713" s="24" t="n">
        <x:f>IFERROR(F3713/J3713,0)-IFERROR(G3713/K3713,0)</x:f>
        <x:v>0.8571428571428572</x:v>
      </x:c>
      <x:c r="W3713" s="28" t="n">
        <x:f>L3713-M3713</x:f>
        <x:v>-3</x:v>
      </x:c>
      <x:c r="X3713" s="24" t="n">
        <x:f>IFERROR(K3713/I3713,0)</x:f>
        <x:v>0.5</x:v>
      </x:c>
      <x:c r="Y3713" s="24" t="n">
        <x:f>IFERROR(G3713/I3713,0)</x:f>
        <x:v>0.07142857142857142</x:v>
      </x:c>
      <x:c r="Z3713" s="24" t="n">
        <x:f>IFERROR(G3713/K3713,0)</x:f>
        <x:v>0.14285714285714285</x:v>
      </x:c>
      <x:c r="AA3713" s="24" t="n">
        <x:f>IFERROR(F3713/H3713,0)-IFERROR(G3713/I3713,0)</x:f>
        <x:v>0.26190476190476186</x:v>
      </x:c>
      <x:c r="AB3713" s="28" t="n">
        <x:f>J3713-K3713</x:f>
        <x:v>-4</x:v>
      </x:c>
      <x:c r="AC3713" s="32" t="n">
        <x:f>F3713-G3713</x:f>
        <x:v>2</x:v>
      </x:c>
    </x:row>
    <x:row r="3714">
      <x:c r="A3714" s="4" t="str">
        <x:v>2025-26</x:v>
      </x:c>
      <x:c r="B3714" s="20" t="n">
        <x:v>46137</x:v>
      </x:c>
      <x:c r="C3714" s="4" t="str">
        <x:v>Newcastle</x:v>
      </x:c>
      <x:c r="D3714" s="4" t="str">
        <x:v>Arsenal</x:v>
      </x:c>
      <x:c r="E3714" s="4" t="str">
        <x:v>Away</x:v>
      </x:c>
      <x:c r="F3714" s="28" t="n">
        <x:v>0</x:v>
      </x:c>
      <x:c r="G3714" s="28" t="n">
        <x:v>1</x:v>
      </x:c>
      <x:c r="H3714" s="28" t="n">
        <x:v>13</x:v>
      </x:c>
      <x:c r="I3714" s="28" t="n">
        <x:v>11</x:v>
      </x:c>
      <x:c r="J3714" s="28" t="n">
        <x:v>3</x:v>
      </x:c>
      <x:c r="K3714" s="28" t="n">
        <x:v>4</x:v>
      </x:c>
      <x:c r="L3714" s="28" t="n">
        <x:v>2</x:v>
      </x:c>
      <x:c r="M3714" s="28" t="n">
        <x:v>7</x:v>
      </x:c>
      <x:c r="N3714" s="28" t="n">
        <x:v>2</x:v>
      </x:c>
      <x:c r="O3714" s="28" t="n">
        <x:v>0</x:v>
      </x:c>
      <x:c r="P3714" s="28" t="n">
        <x:v>0</x:v>
      </x:c>
      <x:c r="Q3714" s="24" t="n">
        <x:f>IFERROR(J3714/H3714,0)</x:f>
        <x:v>0.23076923076923078</x:v>
      </x:c>
      <x:c r="R3714" s="24" t="n">
        <x:f>IFERROR(F3714/H3714,0)</x:f>
        <x:v>0</x:v>
      </x:c>
      <x:c r="S3714" s="24" t="n">
        <x:f>IFERROR(F3714/J3714,0)</x:f>
        <x:v>0</x:v>
      </x:c>
      <x:c r="T3714" s="28" t="n">
        <x:f>H3714-I3714</x:f>
        <x:v>2</x:v>
      </x:c>
      <x:c r="U3714" s="24" t="n">
        <x:f>IFERROR(J3714/H3714,0)-IFERROR(K3714/I3714,0)</x:f>
        <x:v>-0.13286713286713286</x:v>
      </x:c>
      <x:c r="V3714" s="24" t="n">
        <x:f>IFERROR(F3714/J3714,0)-IFERROR(G3714/K3714,0)</x:f>
        <x:v>-0.25</x:v>
      </x:c>
      <x:c r="W3714" s="28" t="n">
        <x:f>L3714-M3714</x:f>
        <x:v>-5</x:v>
      </x:c>
      <x:c r="X3714" s="24" t="n">
        <x:f>IFERROR(K3714/I3714,0)</x:f>
        <x:v>0.36363636363636365</x:v>
      </x:c>
      <x:c r="Y3714" s="24" t="n">
        <x:f>IFERROR(G3714/I3714,0)</x:f>
        <x:v>0.09090909090909091</x:v>
      </x:c>
      <x:c r="Z3714" s="24" t="n">
        <x:f>IFERROR(G3714/K3714,0)</x:f>
        <x:v>0.25</x:v>
      </x:c>
      <x:c r="AA3714" s="24" t="n">
        <x:f>IFERROR(F3714/H3714,0)-IFERROR(G3714/I3714,0)</x:f>
        <x:v>-0.09090909090909091</x:v>
      </x:c>
      <x:c r="AB3714" s="28" t="n">
        <x:f>J3714-K3714</x:f>
        <x:v>-1</x:v>
      </x:c>
      <x:c r="AC3714" s="32" t="n">
        <x:f>F3714-G3714</x:f>
        <x:v>-1</x:v>
      </x:c>
    </x:row>
    <x:row r="3715">
      <x:c r="A3715" s="4" t="str">
        <x:v>2025-26</x:v>
      </x:c>
      <x:c r="B3715" s="20" t="n">
        <x:v>46137</x:v>
      </x:c>
      <x:c r="C3715" s="4" t="str">
        <x:v>Tottenham</x:v>
      </x:c>
      <x:c r="D3715" s="4" t="str">
        <x:v>Wolves</x:v>
      </x:c>
      <x:c r="E3715" s="4" t="str">
        <x:v>Away</x:v>
      </x:c>
      <x:c r="F3715" s="28" t="n">
        <x:v>1</x:v>
      </x:c>
      <x:c r="G3715" s="28" t="n">
        <x:v>0</x:v>
      </x:c>
      <x:c r="H3715" s="28" t="n">
        <x:v>11</x:v>
      </x:c>
      <x:c r="I3715" s="28" t="n">
        <x:v>11</x:v>
      </x:c>
      <x:c r="J3715" s="28" t="n">
        <x:v>2</x:v>
      </x:c>
      <x:c r="K3715" s="28" t="n">
        <x:v>2</x:v>
      </x:c>
      <x:c r="L3715" s="28" t="n">
        <x:v>5</x:v>
      </x:c>
      <x:c r="M3715" s="28" t="n">
        <x:v>5</x:v>
      </x:c>
      <x:c r="N3715" s="28" t="n">
        <x:v>4</x:v>
      </x:c>
      <x:c r="O3715" s="28" t="n">
        <x:v>0</x:v>
      </x:c>
      <x:c r="P3715" s="28" t="n">
        <x:v>3</x:v>
      </x:c>
      <x:c r="Q3715" s="24" t="n">
        <x:f>IFERROR(J3715/H3715,0)</x:f>
        <x:v>0.18181818181818182</x:v>
      </x:c>
      <x:c r="R3715" s="24" t="n">
        <x:f>IFERROR(F3715/H3715,0)</x:f>
        <x:v>0.09090909090909091</x:v>
      </x:c>
      <x:c r="S3715" s="24" t="n">
        <x:f>IFERROR(F3715/J3715,0)</x:f>
        <x:v>0.5</x:v>
      </x:c>
      <x:c r="T3715" s="28" t="n">
        <x:f>H3715-I3715</x:f>
        <x:v>0</x:v>
      </x:c>
      <x:c r="U3715" s="24" t="n">
        <x:f>IFERROR(J3715/H3715,0)-IFERROR(K3715/I3715,0)</x:f>
        <x:v>0</x:v>
      </x:c>
      <x:c r="V3715" s="24" t="n">
        <x:f>IFERROR(F3715/J3715,0)-IFERROR(G3715/K3715,0)</x:f>
        <x:v>0.5</x:v>
      </x:c>
      <x:c r="W3715" s="28" t="n">
        <x:f>L3715-M3715</x:f>
        <x:v>0</x:v>
      </x:c>
      <x:c r="X3715" s="24" t="n">
        <x:f>IFERROR(K3715/I3715,0)</x:f>
        <x:v>0.18181818181818182</x:v>
      </x:c>
      <x:c r="Y3715" s="24" t="n">
        <x:f>IFERROR(G3715/I3715,0)</x:f>
        <x:v>0</x:v>
      </x:c>
      <x:c r="Z3715" s="24" t="n">
        <x:f>IFERROR(G3715/K3715,0)</x:f>
        <x:v>0</x:v>
      </x:c>
      <x:c r="AA3715" s="24" t="n">
        <x:f>IFERROR(F3715/H3715,0)-IFERROR(G3715/I3715,0)</x:f>
        <x:v>0.09090909090909091</x:v>
      </x:c>
      <x:c r="AB3715" s="28" t="n">
        <x:f>J3715-K3715</x:f>
        <x:v>0</x:v>
      </x:c>
      <x:c r="AC3715" s="32" t="n">
        <x:f>F3715-G3715</x:f>
        <x:v>1</x:v>
      </x:c>
    </x:row>
    <x:row r="3716">
      <x:c r="A3716" s="4" t="str">
        <x:v>2025-26</x:v>
      </x:c>
      <x:c r="B3716" s="20" t="n">
        <x:v>46137</x:v>
      </x:c>
      <x:c r="C3716" s="4" t="str">
        <x:v>West Ham</x:v>
      </x:c>
      <x:c r="D3716" s="4" t="str">
        <x:v>Everton</x:v>
      </x:c>
      <x:c r="E3716" s="4" t="str">
        <x:v>Home</x:v>
      </x:c>
      <x:c r="F3716" s="28" t="n">
        <x:v>2</x:v>
      </x:c>
      <x:c r="G3716" s="28" t="n">
        <x:v>1</x:v>
      </x:c>
      <x:c r="H3716" s="28" t="n">
        <x:v>10</x:v>
      </x:c>
      <x:c r="I3716" s="28" t="n">
        <x:v>11</x:v>
      </x:c>
      <x:c r="J3716" s="28" t="n">
        <x:v>3</x:v>
      </x:c>
      <x:c r="K3716" s="28" t="n">
        <x:v>3</x:v>
      </x:c>
      <x:c r="L3716" s="28" t="n">
        <x:v>3</x:v>
      </x:c>
      <x:c r="M3716" s="28" t="n">
        <x:v>4</x:v>
      </x:c>
      <x:c r="N3716" s="28" t="n">
        <x:v>3</x:v>
      </x:c>
      <x:c r="O3716" s="28" t="n">
        <x:v>0</x:v>
      </x:c>
      <x:c r="P3716" s="28" t="n">
        <x:v>3</x:v>
      </x:c>
      <x:c r="Q3716" s="24" t="n">
        <x:f>IFERROR(J3716/H3716,0)</x:f>
        <x:v>0.3</x:v>
      </x:c>
      <x:c r="R3716" s="24" t="n">
        <x:f>IFERROR(F3716/H3716,0)</x:f>
        <x:v>0.2</x:v>
      </x:c>
      <x:c r="S3716" s="24" t="n">
        <x:f>IFERROR(F3716/J3716,0)</x:f>
        <x:v>0.6666666666666666</x:v>
      </x:c>
      <x:c r="T3716" s="28" t="n">
        <x:f>H3716-I3716</x:f>
        <x:v>-1</x:v>
      </x:c>
      <x:c r="U3716" s="24" t="n">
        <x:f>IFERROR(J3716/H3716,0)-IFERROR(K3716/I3716,0)</x:f>
        <x:v>0.027272727272727282</x:v>
      </x:c>
      <x:c r="V3716" s="24" t="n">
        <x:f>IFERROR(F3716/J3716,0)-IFERROR(G3716/K3716,0)</x:f>
        <x:v>0.3333333333333333</x:v>
      </x:c>
      <x:c r="W3716" s="28" t="n">
        <x:f>L3716-M3716</x:f>
        <x:v>-1</x:v>
      </x:c>
      <x:c r="X3716" s="24" t="n">
        <x:f>IFERROR(K3716/I3716,0)</x:f>
        <x:v>0.2727272727272727</x:v>
      </x:c>
      <x:c r="Y3716" s="24" t="n">
        <x:f>IFERROR(G3716/I3716,0)</x:f>
        <x:v>0.09090909090909091</x:v>
      </x:c>
      <x:c r="Z3716" s="24" t="n">
        <x:f>IFERROR(G3716/K3716,0)</x:f>
        <x:v>0.3333333333333333</x:v>
      </x:c>
      <x:c r="AA3716" s="24" t="n">
        <x:f>IFERROR(F3716/H3716,0)-IFERROR(G3716/I3716,0)</x:f>
        <x:v>0.1090909090909091</x:v>
      </x:c>
      <x:c r="AB3716" s="28" t="n">
        <x:f>J3716-K3716</x:f>
        <x:v>0</x:v>
      </x:c>
      <x:c r="AC3716" s="32" t="n">
        <x:f>F3716-G3716</x:f>
        <x:v>1</x:v>
      </x:c>
    </x:row>
    <x:row r="3717">
      <x:c r="A3717" s="4" t="str">
        <x:v>2025-26</x:v>
      </x:c>
      <x:c r="B3717" s="20" t="n">
        <x:v>46137</x:v>
      </x:c>
      <x:c r="C3717" s="4" t="str">
        <x:v>Wolves</x:v>
      </x:c>
      <x:c r="D3717" s="4" t="str">
        <x:v>Tottenham</x:v>
      </x:c>
      <x:c r="E3717" s="4" t="str">
        <x:v>Home</x:v>
      </x:c>
      <x:c r="F3717" s="28" t="n">
        <x:v>0</x:v>
      </x:c>
      <x:c r="G3717" s="28" t="n">
        <x:v>1</x:v>
      </x:c>
      <x:c r="H3717" s="28" t="n">
        <x:v>11</x:v>
      </x:c>
      <x:c r="I3717" s="28" t="n">
        <x:v>11</x:v>
      </x:c>
      <x:c r="J3717" s="28" t="n">
        <x:v>2</x:v>
      </x:c>
      <x:c r="K3717" s="28" t="n">
        <x:v>2</x:v>
      </x:c>
      <x:c r="L3717" s="28" t="n">
        <x:v>5</x:v>
      </x:c>
      <x:c r="M3717" s="28" t="n">
        <x:v>5</x:v>
      </x:c>
      <x:c r="N3717" s="28" t="n">
        <x:v>3</x:v>
      </x:c>
      <x:c r="O3717" s="28" t="n">
        <x:v>0</x:v>
      </x:c>
      <x:c r="P3717" s="28" t="n">
        <x:v>0</x:v>
      </x:c>
      <x:c r="Q3717" s="24" t="n">
        <x:f>IFERROR(J3717/H3717,0)</x:f>
        <x:v>0.18181818181818182</x:v>
      </x:c>
      <x:c r="R3717" s="24" t="n">
        <x:f>IFERROR(F3717/H3717,0)</x:f>
        <x:v>0</x:v>
      </x:c>
      <x:c r="S3717" s="24" t="n">
        <x:f>IFERROR(F3717/J3717,0)</x:f>
        <x:v>0</x:v>
      </x:c>
      <x:c r="T3717" s="28" t="n">
        <x:f>H3717-I3717</x:f>
        <x:v>0</x:v>
      </x:c>
      <x:c r="U3717" s="24" t="n">
        <x:f>IFERROR(J3717/H3717,0)-IFERROR(K3717/I3717,0)</x:f>
        <x:v>0</x:v>
      </x:c>
      <x:c r="V3717" s="24" t="n">
        <x:f>IFERROR(F3717/J3717,0)-IFERROR(G3717/K3717,0)</x:f>
        <x:v>-0.5</x:v>
      </x:c>
      <x:c r="W3717" s="28" t="n">
        <x:f>L3717-M3717</x:f>
        <x:v>0</x:v>
      </x:c>
      <x:c r="X3717" s="24" t="n">
        <x:f>IFERROR(K3717/I3717,0)</x:f>
        <x:v>0.18181818181818182</x:v>
      </x:c>
      <x:c r="Y3717" s="24" t="n">
        <x:f>IFERROR(G3717/I3717,0)</x:f>
        <x:v>0.09090909090909091</x:v>
      </x:c>
      <x:c r="Z3717" s="24" t="n">
        <x:f>IFERROR(G3717/K3717,0)</x:f>
        <x:v>0.5</x:v>
      </x:c>
      <x:c r="AA3717" s="24" t="n">
        <x:f>IFERROR(F3717/H3717,0)-IFERROR(G3717/I3717,0)</x:f>
        <x:v>-0.09090909090909091</x:v>
      </x:c>
      <x:c r="AB3717" s="28" t="n">
        <x:f>J3717-K3717</x:f>
        <x:v>0</x:v>
      </x:c>
      <x:c r="AC3717" s="32" t="n">
        <x:f>F3717-G3717</x:f>
        <x:v>-1</x:v>
      </x:c>
    </x:row>
    <x:row r="3718">
      <x:c r="A3718" s="4" t="str">
        <x:v>2025-26</x:v>
      </x:c>
      <x:c r="B3718" s="20" t="n">
        <x:v>46139</x:v>
      </x:c>
      <x:c r="C3718" s="4" t="str">
        <x:v>Brentford</x:v>
      </x:c>
      <x:c r="D3718" s="4" t="str">
        <x:v>Man United</x:v>
      </x:c>
      <x:c r="E3718" s="4" t="str">
        <x:v>Away</x:v>
      </x:c>
      <x:c r="F3718" s="28" t="n">
        <x:v>1</x:v>
      </x:c>
      <x:c r="G3718" s="28" t="n">
        <x:v>2</x:v>
      </x:c>
      <x:c r="H3718" s="28" t="n">
        <x:v>12</x:v>
      </x:c>
      <x:c r="I3718" s="28" t="n">
        <x:v>11</x:v>
      </x:c>
      <x:c r="J3718" s="28" t="n">
        <x:v>4</x:v>
      </x:c>
      <x:c r="K3718" s="28" t="n">
        <x:v>6</x:v>
      </x:c>
      <x:c r="L3718" s="28" t="n">
        <x:v>8</x:v>
      </x:c>
      <x:c r="M3718" s="28" t="n">
        <x:v>7</x:v>
      </x:c>
      <x:c r="N3718" s="28" t="n">
        <x:v>4</x:v>
      </x:c>
      <x:c r="O3718" s="28" t="n">
        <x:v>0</x:v>
      </x:c>
      <x:c r="P3718" s="28" t="n">
        <x:v>0</x:v>
      </x:c>
      <x:c r="Q3718" s="24" t="n">
        <x:f>IFERROR(J3718/H3718,0)</x:f>
        <x:v>0.3333333333333333</x:v>
      </x:c>
      <x:c r="R3718" s="24" t="n">
        <x:f>IFERROR(F3718/H3718,0)</x:f>
        <x:v>0.08333333333333333</x:v>
      </x:c>
      <x:c r="S3718" s="24" t="n">
        <x:f>IFERROR(F3718/J3718,0)</x:f>
        <x:v>0.25</x:v>
      </x:c>
      <x:c r="T3718" s="28" t="n">
        <x:f>H3718-I3718</x:f>
        <x:v>1</x:v>
      </x:c>
      <x:c r="U3718" s="24" t="n">
        <x:f>IFERROR(J3718/H3718,0)-IFERROR(K3718/I3718,0)</x:f>
        <x:v>-0.2121212121212121</x:v>
      </x:c>
      <x:c r="V3718" s="24" t="n">
        <x:f>IFERROR(F3718/J3718,0)-IFERROR(G3718/K3718,0)</x:f>
        <x:v>-0.08333333333333331</x:v>
      </x:c>
      <x:c r="W3718" s="28" t="n">
        <x:f>L3718-M3718</x:f>
        <x:v>1</x:v>
      </x:c>
      <x:c r="X3718" s="24" t="n">
        <x:f>IFERROR(K3718/I3718,0)</x:f>
        <x:v>0.5454545454545454</x:v>
      </x:c>
      <x:c r="Y3718" s="24" t="n">
        <x:f>IFERROR(G3718/I3718,0)</x:f>
        <x:v>0.18181818181818182</x:v>
      </x:c>
      <x:c r="Z3718" s="24" t="n">
        <x:f>IFERROR(G3718/K3718,0)</x:f>
        <x:v>0.3333333333333333</x:v>
      </x:c>
      <x:c r="AA3718" s="24" t="n">
        <x:f>IFERROR(F3718/H3718,0)-IFERROR(G3718/I3718,0)</x:f>
        <x:v>-0.0984848484848485</x:v>
      </x:c>
      <x:c r="AB3718" s="28" t="n">
        <x:f>J3718-K3718</x:f>
        <x:v>-2</x:v>
      </x:c>
      <x:c r="AC3718" s="32" t="n">
        <x:f>F3718-G3718</x:f>
        <x:v>-1</x:v>
      </x:c>
    </x:row>
    <x:row r="3719">
      <x:c r="A3719" s="4" t="str">
        <x:v>2025-26</x:v>
      </x:c>
      <x:c r="B3719" s="20" t="n">
        <x:v>46139</x:v>
      </x:c>
      <x:c r="C3719" s="4" t="str">
        <x:v>Man United</x:v>
      </x:c>
      <x:c r="D3719" s="4" t="str">
        <x:v>Brentford</x:v>
      </x:c>
      <x:c r="E3719" s="4" t="str">
        <x:v>Home</x:v>
      </x:c>
      <x:c r="F3719" s="28" t="n">
        <x:v>2</x:v>
      </x:c>
      <x:c r="G3719" s="28" t="n">
        <x:v>1</x:v>
      </x:c>
      <x:c r="H3719" s="28" t="n">
        <x:v>11</x:v>
      </x:c>
      <x:c r="I3719" s="28" t="n">
        <x:v>12</x:v>
      </x:c>
      <x:c r="J3719" s="28" t="n">
        <x:v>6</x:v>
      </x:c>
      <x:c r="K3719" s="28" t="n">
        <x:v>4</x:v>
      </x:c>
      <x:c r="L3719" s="28" t="n">
        <x:v>7</x:v>
      </x:c>
      <x:c r="M3719" s="28" t="n">
        <x:v>8</x:v>
      </x:c>
      <x:c r="N3719" s="28" t="n">
        <x:v>2</x:v>
      </x:c>
      <x:c r="O3719" s="28" t="n">
        <x:v>0</x:v>
      </x:c>
      <x:c r="P3719" s="28" t="n">
        <x:v>3</x:v>
      </x:c>
      <x:c r="Q3719" s="24" t="n">
        <x:f>IFERROR(J3719/H3719,0)</x:f>
        <x:v>0.5454545454545454</x:v>
      </x:c>
      <x:c r="R3719" s="24" t="n">
        <x:f>IFERROR(F3719/H3719,0)</x:f>
        <x:v>0.18181818181818182</x:v>
      </x:c>
      <x:c r="S3719" s="24" t="n">
        <x:f>IFERROR(F3719/J3719,0)</x:f>
        <x:v>0.3333333333333333</x:v>
      </x:c>
      <x:c r="T3719" s="28" t="n">
        <x:f>H3719-I3719</x:f>
        <x:v>-1</x:v>
      </x:c>
      <x:c r="U3719" s="24" t="n">
        <x:f>IFERROR(J3719/H3719,0)-IFERROR(K3719/I3719,0)</x:f>
        <x:v>0.2121212121212121</x:v>
      </x:c>
      <x:c r="V3719" s="24" t="n">
        <x:f>IFERROR(F3719/J3719,0)-IFERROR(G3719/K3719,0)</x:f>
        <x:v>0.08333333333333331</x:v>
      </x:c>
      <x:c r="W3719" s="28" t="n">
        <x:f>L3719-M3719</x:f>
        <x:v>-1</x:v>
      </x:c>
      <x:c r="X3719" s="24" t="n">
        <x:f>IFERROR(K3719/I3719,0)</x:f>
        <x:v>0.3333333333333333</x:v>
      </x:c>
      <x:c r="Y3719" s="24" t="n">
        <x:f>IFERROR(G3719/I3719,0)</x:f>
        <x:v>0.08333333333333333</x:v>
      </x:c>
      <x:c r="Z3719" s="24" t="n">
        <x:f>IFERROR(G3719/K3719,0)</x:f>
        <x:v>0.25</x:v>
      </x:c>
      <x:c r="AA3719" s="24" t="n">
        <x:f>IFERROR(F3719/H3719,0)-IFERROR(G3719/I3719,0)</x:f>
        <x:v>0.0984848484848485</x:v>
      </x:c>
      <x:c r="AB3719" s="28" t="n">
        <x:f>J3719-K3719</x:f>
        <x:v>2</x:v>
      </x:c>
      <x:c r="AC3719" s="32" t="n">
        <x:f>F3719-G3719</x:f>
        <x:v>1</x:v>
      </x:c>
    </x:row>
    <x:row r="3720">
      <x:c r="A3720" s="4" t="str">
        <x:v>2025-26</x:v>
      </x:c>
      <x:c r="B3720" s="20" t="n">
        <x:v>46143</x:v>
      </x:c>
      <x:c r="C3720" s="4" t="str">
        <x:v>Burnley</x:v>
      </x:c>
      <x:c r="D3720" s="4" t="str">
        <x:v>Leeds</x:v>
      </x:c>
      <x:c r="E3720" s="4" t="str">
        <x:v>Away</x:v>
      </x:c>
      <x:c r="F3720" s="28" t="n">
        <x:v>1</x:v>
      </x:c>
      <x:c r="G3720" s="28" t="n">
        <x:v>3</x:v>
      </x:c>
      <x:c r="H3720" s="28" t="n">
        <x:v>9</x:v>
      </x:c>
      <x:c r="I3720" s="28" t="n">
        <x:v>18</x:v>
      </x:c>
      <x:c r="J3720" s="28" t="n">
        <x:v>3</x:v>
      </x:c>
      <x:c r="K3720" s="28" t="n">
        <x:v>8</x:v>
      </x:c>
      <x:c r="L3720" s="28" t="n">
        <x:v>0</x:v>
      </x:c>
      <x:c r="M3720" s="28" t="n">
        <x:v>5</x:v>
      </x:c>
      <x:c r="N3720" s="28" t="n">
        <x:v>3</x:v>
      </x:c>
      <x:c r="O3720" s="28" t="n">
        <x:v>0</x:v>
      </x:c>
      <x:c r="P3720" s="28" t="n">
        <x:v>0</x:v>
      </x:c>
      <x:c r="Q3720" s="24" t="n">
        <x:f>IFERROR(J3720/H3720,0)</x:f>
        <x:v>0.3333333333333333</x:v>
      </x:c>
      <x:c r="R3720" s="24" t="n">
        <x:f>IFERROR(F3720/H3720,0)</x:f>
        <x:v>0.1111111111111111</x:v>
      </x:c>
      <x:c r="S3720" s="24" t="n">
        <x:f>IFERROR(F3720/J3720,0)</x:f>
        <x:v>0.3333333333333333</x:v>
      </x:c>
      <x:c r="T3720" s="28" t="n">
        <x:f>H3720-I3720</x:f>
        <x:v>-9</x:v>
      </x:c>
      <x:c r="U3720" s="24" t="n">
        <x:f>IFERROR(J3720/H3720,0)-IFERROR(K3720/I3720,0)</x:f>
        <x:v>-0.1111111111111111</x:v>
      </x:c>
      <x:c r="V3720" s="24" t="n">
        <x:f>IFERROR(F3720/J3720,0)-IFERROR(G3720/K3720,0)</x:f>
        <x:v>-0.041666666666666685</x:v>
      </x:c>
      <x:c r="W3720" s="28" t="n">
        <x:f>L3720-M3720</x:f>
        <x:v>-5</x:v>
      </x:c>
      <x:c r="X3720" s="24" t="n">
        <x:f>IFERROR(K3720/I3720,0)</x:f>
        <x:v>0.4444444444444444</x:v>
      </x:c>
      <x:c r="Y3720" s="24" t="n">
        <x:f>IFERROR(G3720/I3720,0)</x:f>
        <x:v>0.16666666666666666</x:v>
      </x:c>
      <x:c r="Z3720" s="24" t="n">
        <x:f>IFERROR(G3720/K3720,0)</x:f>
        <x:v>0.375</x:v>
      </x:c>
      <x:c r="AA3720" s="24" t="n">
        <x:f>IFERROR(F3720/H3720,0)-IFERROR(G3720/I3720,0)</x:f>
        <x:v>-0.05555555555555555</x:v>
      </x:c>
      <x:c r="AB3720" s="28" t="n">
        <x:f>J3720-K3720</x:f>
        <x:v>-5</x:v>
      </x:c>
      <x:c r="AC3720" s="32" t="n">
        <x:f>F3720-G3720</x:f>
        <x:v>-2</x:v>
      </x:c>
    </x:row>
    <x:row r="3721">
      <x:c r="A3721" s="4" t="str">
        <x:v>2025-26</x:v>
      </x:c>
      <x:c r="B3721" s="20" t="n">
        <x:v>46143</x:v>
      </x:c>
      <x:c r="C3721" s="4" t="str">
        <x:v>Leeds</x:v>
      </x:c>
      <x:c r="D3721" s="4" t="str">
        <x:v>Burnley</x:v>
      </x:c>
      <x:c r="E3721" s="4" t="str">
        <x:v>Home</x:v>
      </x:c>
      <x:c r="F3721" s="28" t="n">
        <x:v>3</x:v>
      </x:c>
      <x:c r="G3721" s="28" t="n">
        <x:v>1</x:v>
      </x:c>
      <x:c r="H3721" s="28" t="n">
        <x:v>18</x:v>
      </x:c>
      <x:c r="I3721" s="28" t="n">
        <x:v>9</x:v>
      </x:c>
      <x:c r="J3721" s="28" t="n">
        <x:v>8</x:v>
      </x:c>
      <x:c r="K3721" s="28" t="n">
        <x:v>3</x:v>
      </x:c>
      <x:c r="L3721" s="28" t="n">
        <x:v>5</x:v>
      </x:c>
      <x:c r="M3721" s="28" t="n">
        <x:v>0</x:v>
      </x:c>
      <x:c r="N3721" s="28" t="n">
        <x:v>4</x:v>
      </x:c>
      <x:c r="O3721" s="28" t="n">
        <x:v>0</x:v>
      </x:c>
      <x:c r="P3721" s="28" t="n">
        <x:v>3</x:v>
      </x:c>
      <x:c r="Q3721" s="24" t="n">
        <x:f>IFERROR(J3721/H3721,0)</x:f>
        <x:v>0.4444444444444444</x:v>
      </x:c>
      <x:c r="R3721" s="24" t="n">
        <x:f>IFERROR(F3721/H3721,0)</x:f>
        <x:v>0.16666666666666666</x:v>
      </x:c>
      <x:c r="S3721" s="24" t="n">
        <x:f>IFERROR(F3721/J3721,0)</x:f>
        <x:v>0.375</x:v>
      </x:c>
      <x:c r="T3721" s="28" t="n">
        <x:f>H3721-I3721</x:f>
        <x:v>9</x:v>
      </x:c>
      <x:c r="U3721" s="24" t="n">
        <x:f>IFERROR(J3721/H3721,0)-IFERROR(K3721/I3721,0)</x:f>
        <x:v>0.1111111111111111</x:v>
      </x:c>
      <x:c r="V3721" s="24" t="n">
        <x:f>IFERROR(F3721/J3721,0)-IFERROR(G3721/K3721,0)</x:f>
        <x:v>0.041666666666666685</x:v>
      </x:c>
      <x:c r="W3721" s="28" t="n">
        <x:f>L3721-M3721</x:f>
        <x:v>5</x:v>
      </x:c>
      <x:c r="X3721" s="24" t="n">
        <x:f>IFERROR(K3721/I3721,0)</x:f>
        <x:v>0.3333333333333333</x:v>
      </x:c>
      <x:c r="Y3721" s="24" t="n">
        <x:f>IFERROR(G3721/I3721,0)</x:f>
        <x:v>0.1111111111111111</x:v>
      </x:c>
      <x:c r="Z3721" s="24" t="n">
        <x:f>IFERROR(G3721/K3721,0)</x:f>
        <x:v>0.3333333333333333</x:v>
      </x:c>
      <x:c r="AA3721" s="24" t="n">
        <x:f>IFERROR(F3721/H3721,0)-IFERROR(G3721/I3721,0)</x:f>
        <x:v>0.05555555555555555</x:v>
      </x:c>
      <x:c r="AB3721" s="28" t="n">
        <x:f>J3721-K3721</x:f>
        <x:v>5</x:v>
      </x:c>
      <x:c r="AC3721" s="32" t="n">
        <x:f>F3721-G3721</x:f>
        <x:v>2</x:v>
      </x:c>
    </x:row>
    <x:row r="3722">
      <x:c r="A3722" s="4" t="str">
        <x:v>2025-26</x:v>
      </x:c>
      <x:c r="B3722" s="20" t="n">
        <x:v>46144</x:v>
      </x:c>
      <x:c r="C3722" s="4" t="str">
        <x:v>Arsenal</x:v>
      </x:c>
      <x:c r="D3722" s="4" t="str">
        <x:v>Fulham</x:v>
      </x:c>
      <x:c r="E3722" s="4" t="str">
        <x:v>Home</x:v>
      </x:c>
      <x:c r="F3722" s="28" t="n">
        <x:v>3</x:v>
      </x:c>
      <x:c r="G3722" s="28" t="n">
        <x:v>0</x:v>
      </x:c>
      <x:c r="H3722" s="28" t="n">
        <x:v>18</x:v>
      </x:c>
      <x:c r="I3722" s="28" t="n">
        <x:v>10</x:v>
      </x:c>
      <x:c r="J3722" s="28" t="n">
        <x:v>9</x:v>
      </x:c>
      <x:c r="K3722" s="28" t="n">
        <x:v>1</x:v>
      </x:c>
      <x:c r="L3722" s="28" t="n">
        <x:v>3</x:v>
      </x:c>
      <x:c r="M3722" s="28" t="n">
        <x:v>4</x:v>
      </x:c>
      <x:c r="N3722" s="28" t="n">
        <x:v>0</x:v>
      </x:c>
      <x:c r="O3722" s="28" t="n">
        <x:v>0</x:v>
      </x:c>
      <x:c r="P3722" s="28" t="n">
        <x:v>3</x:v>
      </x:c>
      <x:c r="Q3722" s="24" t="n">
        <x:f>IFERROR(J3722/H3722,0)</x:f>
        <x:v>0.5</x:v>
      </x:c>
      <x:c r="R3722" s="24" t="n">
        <x:f>IFERROR(F3722/H3722,0)</x:f>
        <x:v>0.16666666666666666</x:v>
      </x:c>
      <x:c r="S3722" s="24" t="n">
        <x:f>IFERROR(F3722/J3722,0)</x:f>
        <x:v>0.3333333333333333</x:v>
      </x:c>
      <x:c r="T3722" s="28" t="n">
        <x:f>H3722-I3722</x:f>
        <x:v>8</x:v>
      </x:c>
      <x:c r="U3722" s="24" t="n">
        <x:f>IFERROR(J3722/H3722,0)-IFERROR(K3722/I3722,0)</x:f>
        <x:v>0.4</x:v>
      </x:c>
      <x:c r="V3722" s="24" t="n">
        <x:f>IFERROR(F3722/J3722,0)-IFERROR(G3722/K3722,0)</x:f>
        <x:v>0.3333333333333333</x:v>
      </x:c>
      <x:c r="W3722" s="28" t="n">
        <x:f>L3722-M3722</x:f>
        <x:v>-1</x:v>
      </x:c>
      <x:c r="X3722" s="24" t="n">
        <x:f>IFERROR(K3722/I3722,0)</x:f>
        <x:v>0.1</x:v>
      </x:c>
      <x:c r="Y3722" s="24" t="n">
        <x:f>IFERROR(G3722/I3722,0)</x:f>
        <x:v>0</x:v>
      </x:c>
      <x:c r="Z3722" s="24" t="n">
        <x:f>IFERROR(G3722/K3722,0)</x:f>
        <x:v>0</x:v>
      </x:c>
      <x:c r="AA3722" s="24" t="n">
        <x:f>IFERROR(F3722/H3722,0)-IFERROR(G3722/I3722,0)</x:f>
        <x:v>0.16666666666666666</x:v>
      </x:c>
      <x:c r="AB3722" s="28" t="n">
        <x:f>J3722-K3722</x:f>
        <x:v>8</x:v>
      </x:c>
      <x:c r="AC3722" s="32" t="n">
        <x:f>F3722-G3722</x:f>
        <x:v>3</x:v>
      </x:c>
    </x:row>
    <x:row r="3723">
      <x:c r="A3723" s="4" t="str">
        <x:v>2025-26</x:v>
      </x:c>
      <x:c r="B3723" s="20" t="n">
        <x:v>46144</x:v>
      </x:c>
      <x:c r="C3723" s="4" t="str">
        <x:v>Brentford</x:v>
      </x:c>
      <x:c r="D3723" s="4" t="str">
        <x:v>West Ham</x:v>
      </x:c>
      <x:c r="E3723" s="4" t="str">
        <x:v>Home</x:v>
      </x:c>
      <x:c r="F3723" s="28" t="n">
        <x:v>3</x:v>
      </x:c>
      <x:c r="G3723" s="28" t="n">
        <x:v>0</x:v>
      </x:c>
      <x:c r="H3723" s="28" t="n">
        <x:v>14</x:v>
      </x:c>
      <x:c r="I3723" s="28" t="n">
        <x:v>13</x:v>
      </x:c>
      <x:c r="J3723" s="28" t="n">
        <x:v>6</x:v>
      </x:c>
      <x:c r="K3723" s="28" t="n">
        <x:v>4</x:v>
      </x:c>
      <x:c r="L3723" s="28" t="n">
        <x:v>2</x:v>
      </x:c>
      <x:c r="M3723" s="28" t="n">
        <x:v>6</x:v>
      </x:c>
      <x:c r="N3723" s="28" t="n">
        <x:v>1</x:v>
      </x:c>
      <x:c r="O3723" s="28" t="n">
        <x:v>0</x:v>
      </x:c>
      <x:c r="P3723" s="28" t="n">
        <x:v>3</x:v>
      </x:c>
      <x:c r="Q3723" s="24" t="n">
        <x:f>IFERROR(J3723/H3723,0)</x:f>
        <x:v>0.42857142857142855</x:v>
      </x:c>
      <x:c r="R3723" s="24" t="n">
        <x:f>IFERROR(F3723/H3723,0)</x:f>
        <x:v>0.21428571428571427</x:v>
      </x:c>
      <x:c r="S3723" s="24" t="n">
        <x:f>IFERROR(F3723/J3723,0)</x:f>
        <x:v>0.5</x:v>
      </x:c>
      <x:c r="T3723" s="28" t="n">
        <x:f>H3723-I3723</x:f>
        <x:v>1</x:v>
      </x:c>
      <x:c r="U3723" s="24" t="n">
        <x:f>IFERROR(J3723/H3723,0)-IFERROR(K3723/I3723,0)</x:f>
        <x:v>0.12087912087912084</x:v>
      </x:c>
      <x:c r="V3723" s="24" t="n">
        <x:f>IFERROR(F3723/J3723,0)-IFERROR(G3723/K3723,0)</x:f>
        <x:v>0.5</x:v>
      </x:c>
      <x:c r="W3723" s="28" t="n">
        <x:f>L3723-M3723</x:f>
        <x:v>-4</x:v>
      </x:c>
      <x:c r="X3723" s="24" t="n">
        <x:f>IFERROR(K3723/I3723,0)</x:f>
        <x:v>0.3076923076923077</x:v>
      </x:c>
      <x:c r="Y3723" s="24" t="n">
        <x:f>IFERROR(G3723/I3723,0)</x:f>
        <x:v>0</x:v>
      </x:c>
      <x:c r="Z3723" s="24" t="n">
        <x:f>IFERROR(G3723/K3723,0)</x:f>
        <x:v>0</x:v>
      </x:c>
      <x:c r="AA3723" s="24" t="n">
        <x:f>IFERROR(F3723/H3723,0)-IFERROR(G3723/I3723,0)</x:f>
        <x:v>0.21428571428571427</x:v>
      </x:c>
      <x:c r="AB3723" s="28" t="n">
        <x:f>J3723-K3723</x:f>
        <x:v>2</x:v>
      </x:c>
      <x:c r="AC3723" s="32" t="n">
        <x:f>F3723-G3723</x:f>
        <x:v>3</x:v>
      </x:c>
    </x:row>
    <x:row r="3724">
      <x:c r="A3724" s="4" t="str">
        <x:v>2025-26</x:v>
      </x:c>
      <x:c r="B3724" s="20" t="n">
        <x:v>46144</x:v>
      </x:c>
      <x:c r="C3724" s="4" t="str">
        <x:v>Brighton</x:v>
      </x:c>
      <x:c r="D3724" s="4" t="str">
        <x:v>Newcastle</x:v>
      </x:c>
      <x:c r="E3724" s="4" t="str">
        <x:v>Away</x:v>
      </x:c>
      <x:c r="F3724" s="28" t="n">
        <x:v>1</x:v>
      </x:c>
      <x:c r="G3724" s="28" t="n">
        <x:v>3</x:v>
      </x:c>
      <x:c r="H3724" s="28" t="n">
        <x:v>13</x:v>
      </x:c>
      <x:c r="I3724" s="28" t="n">
        <x:v>13</x:v>
      </x:c>
      <x:c r="J3724" s="28" t="n">
        <x:v>4</x:v>
      </x:c>
      <x:c r="K3724" s="28" t="n">
        <x:v>6</x:v>
      </x:c>
      <x:c r="L3724" s="28" t="n">
        <x:v>10</x:v>
      </x:c>
      <x:c r="M3724" s="28" t="n">
        <x:v>2</x:v>
      </x:c>
      <x:c r="N3724" s="28" t="n">
        <x:v>3</x:v>
      </x:c>
      <x:c r="O3724" s="28" t="n">
        <x:v>0</x:v>
      </x:c>
      <x:c r="P3724" s="28" t="n">
        <x:v>0</x:v>
      </x:c>
      <x:c r="Q3724" s="24" t="n">
        <x:f>IFERROR(J3724/H3724,0)</x:f>
        <x:v>0.3076923076923077</x:v>
      </x:c>
      <x:c r="R3724" s="24" t="n">
        <x:f>IFERROR(F3724/H3724,0)</x:f>
        <x:v>0.07692307692307693</x:v>
      </x:c>
      <x:c r="S3724" s="24" t="n">
        <x:f>IFERROR(F3724/J3724,0)</x:f>
        <x:v>0.25</x:v>
      </x:c>
      <x:c r="T3724" s="28" t="n">
        <x:f>H3724-I3724</x:f>
        <x:v>0</x:v>
      </x:c>
      <x:c r="U3724" s="24" t="n">
        <x:f>IFERROR(J3724/H3724,0)-IFERROR(K3724/I3724,0)</x:f>
        <x:v>-0.15384615384615385</x:v>
      </x:c>
      <x:c r="V3724" s="24" t="n">
        <x:f>IFERROR(F3724/J3724,0)-IFERROR(G3724/K3724,0)</x:f>
        <x:v>-0.25</x:v>
      </x:c>
      <x:c r="W3724" s="28" t="n">
        <x:f>L3724-M3724</x:f>
        <x:v>8</x:v>
      </x:c>
      <x:c r="X3724" s="24" t="n">
        <x:f>IFERROR(K3724/I3724,0)</x:f>
        <x:v>0.46153846153846156</x:v>
      </x:c>
      <x:c r="Y3724" s="24" t="n">
        <x:f>IFERROR(G3724/I3724,0)</x:f>
        <x:v>0.23076923076923078</x:v>
      </x:c>
      <x:c r="Z3724" s="24" t="n">
        <x:f>IFERROR(G3724/K3724,0)</x:f>
        <x:v>0.5</x:v>
      </x:c>
      <x:c r="AA3724" s="24" t="n">
        <x:f>IFERROR(F3724/H3724,0)-IFERROR(G3724/I3724,0)</x:f>
        <x:v>-0.15384615384615385</x:v>
      </x:c>
      <x:c r="AB3724" s="28" t="n">
        <x:f>J3724-K3724</x:f>
        <x:v>-2</x:v>
      </x:c>
      <x:c r="AC3724" s="32" t="n">
        <x:f>F3724-G3724</x:f>
        <x:v>-2</x:v>
      </x:c>
    </x:row>
    <x:row r="3725">
      <x:c r="A3725" s="4" t="str">
        <x:v>2025-26</x:v>
      </x:c>
      <x:c r="B3725" s="20" t="n">
        <x:v>46144</x:v>
      </x:c>
      <x:c r="C3725" s="4" t="str">
        <x:v>Fulham</x:v>
      </x:c>
      <x:c r="D3725" s="4" t="str">
        <x:v>Arsenal</x:v>
      </x:c>
      <x:c r="E3725" s="4" t="str">
        <x:v>Away</x:v>
      </x:c>
      <x:c r="F3725" s="28" t="n">
        <x:v>0</x:v>
      </x:c>
      <x:c r="G3725" s="28" t="n">
        <x:v>3</x:v>
      </x:c>
      <x:c r="H3725" s="28" t="n">
        <x:v>10</x:v>
      </x:c>
      <x:c r="I3725" s="28" t="n">
        <x:v>18</x:v>
      </x:c>
      <x:c r="J3725" s="28" t="n">
        <x:v>1</x:v>
      </x:c>
      <x:c r="K3725" s="28" t="n">
        <x:v>9</x:v>
      </x:c>
      <x:c r="L3725" s="28" t="n">
        <x:v>4</x:v>
      </x:c>
      <x:c r="M3725" s="28" t="n">
        <x:v>3</x:v>
      </x:c>
      <x:c r="N3725" s="28" t="n">
        <x:v>1</x:v>
      </x:c>
      <x:c r="O3725" s="28" t="n">
        <x:v>0</x:v>
      </x:c>
      <x:c r="P3725" s="28" t="n">
        <x:v>0</x:v>
      </x:c>
      <x:c r="Q3725" s="24" t="n">
        <x:f>IFERROR(J3725/H3725,0)</x:f>
        <x:v>0.1</x:v>
      </x:c>
      <x:c r="R3725" s="24" t="n">
        <x:f>IFERROR(F3725/H3725,0)</x:f>
        <x:v>0</x:v>
      </x:c>
      <x:c r="S3725" s="24" t="n">
        <x:f>IFERROR(F3725/J3725,0)</x:f>
        <x:v>0</x:v>
      </x:c>
      <x:c r="T3725" s="28" t="n">
        <x:f>H3725-I3725</x:f>
        <x:v>-8</x:v>
      </x:c>
      <x:c r="U3725" s="24" t="n">
        <x:f>IFERROR(J3725/H3725,0)-IFERROR(K3725/I3725,0)</x:f>
        <x:v>-0.4</x:v>
      </x:c>
      <x:c r="V3725" s="24" t="n">
        <x:f>IFERROR(F3725/J3725,0)-IFERROR(G3725/K3725,0)</x:f>
        <x:v>-0.3333333333333333</x:v>
      </x:c>
      <x:c r="W3725" s="28" t="n">
        <x:f>L3725-M3725</x:f>
        <x:v>1</x:v>
      </x:c>
      <x:c r="X3725" s="24" t="n">
        <x:f>IFERROR(K3725/I3725,0)</x:f>
        <x:v>0.5</x:v>
      </x:c>
      <x:c r="Y3725" s="24" t="n">
        <x:f>IFERROR(G3725/I3725,0)</x:f>
        <x:v>0.16666666666666666</x:v>
      </x:c>
      <x:c r="Z3725" s="24" t="n">
        <x:f>IFERROR(G3725/K3725,0)</x:f>
        <x:v>0.3333333333333333</x:v>
      </x:c>
      <x:c r="AA3725" s="24" t="n">
        <x:f>IFERROR(F3725/H3725,0)-IFERROR(G3725/I3725,0)</x:f>
        <x:v>-0.16666666666666666</x:v>
      </x:c>
      <x:c r="AB3725" s="28" t="n">
        <x:f>J3725-K3725</x:f>
        <x:v>-8</x:v>
      </x:c>
      <x:c r="AC3725" s="32" t="n">
        <x:f>F3725-G3725</x:f>
        <x:v>-3</x:v>
      </x:c>
    </x:row>
    <x:row r="3726">
      <x:c r="A3726" s="4" t="str">
        <x:v>2025-26</x:v>
      </x:c>
      <x:c r="B3726" s="20" t="n">
        <x:v>46144</x:v>
      </x:c>
      <x:c r="C3726" s="4" t="str">
        <x:v>Newcastle</x:v>
      </x:c>
      <x:c r="D3726" s="4" t="str">
        <x:v>Brighton</x:v>
      </x:c>
      <x:c r="E3726" s="4" t="str">
        <x:v>Home</x:v>
      </x:c>
      <x:c r="F3726" s="28" t="n">
        <x:v>3</x:v>
      </x:c>
      <x:c r="G3726" s="28" t="n">
        <x:v>1</x:v>
      </x:c>
      <x:c r="H3726" s="28" t="n">
        <x:v>13</x:v>
      </x:c>
      <x:c r="I3726" s="28" t="n">
        <x:v>13</x:v>
      </x:c>
      <x:c r="J3726" s="28" t="n">
        <x:v>6</x:v>
      </x:c>
      <x:c r="K3726" s="28" t="n">
        <x:v>4</x:v>
      </x:c>
      <x:c r="L3726" s="28" t="n">
        <x:v>2</x:v>
      </x:c>
      <x:c r="M3726" s="28" t="n">
        <x:v>10</x:v>
      </x:c>
      <x:c r="N3726" s="28" t="n">
        <x:v>3</x:v>
      </x:c>
      <x:c r="O3726" s="28" t="n">
        <x:v>0</x:v>
      </x:c>
      <x:c r="P3726" s="28" t="n">
        <x:v>3</x:v>
      </x:c>
      <x:c r="Q3726" s="24" t="n">
        <x:f>IFERROR(J3726/H3726,0)</x:f>
        <x:v>0.46153846153846156</x:v>
      </x:c>
      <x:c r="R3726" s="24" t="n">
        <x:f>IFERROR(F3726/H3726,0)</x:f>
        <x:v>0.23076923076923078</x:v>
      </x:c>
      <x:c r="S3726" s="24" t="n">
        <x:f>IFERROR(F3726/J3726,0)</x:f>
        <x:v>0.5</x:v>
      </x:c>
      <x:c r="T3726" s="28" t="n">
        <x:f>H3726-I3726</x:f>
        <x:v>0</x:v>
      </x:c>
      <x:c r="U3726" s="24" t="n">
        <x:f>IFERROR(J3726/H3726,0)-IFERROR(K3726/I3726,0)</x:f>
        <x:v>0.15384615384615385</x:v>
      </x:c>
      <x:c r="V3726" s="24" t="n">
        <x:f>IFERROR(F3726/J3726,0)-IFERROR(G3726/K3726,0)</x:f>
        <x:v>0.25</x:v>
      </x:c>
      <x:c r="W3726" s="28" t="n">
        <x:f>L3726-M3726</x:f>
        <x:v>-8</x:v>
      </x:c>
      <x:c r="X3726" s="24" t="n">
        <x:f>IFERROR(K3726/I3726,0)</x:f>
        <x:v>0.3076923076923077</x:v>
      </x:c>
      <x:c r="Y3726" s="24" t="n">
        <x:f>IFERROR(G3726/I3726,0)</x:f>
        <x:v>0.07692307692307693</x:v>
      </x:c>
      <x:c r="Z3726" s="24" t="n">
        <x:f>IFERROR(G3726/K3726,0)</x:f>
        <x:v>0.25</x:v>
      </x:c>
      <x:c r="AA3726" s="24" t="n">
        <x:f>IFERROR(F3726/H3726,0)-IFERROR(G3726/I3726,0)</x:f>
        <x:v>0.15384615384615385</x:v>
      </x:c>
      <x:c r="AB3726" s="28" t="n">
        <x:f>J3726-K3726</x:f>
        <x:v>2</x:v>
      </x:c>
      <x:c r="AC3726" s="32" t="n">
        <x:f>F3726-G3726</x:f>
        <x:v>2</x:v>
      </x:c>
    </x:row>
    <x:row r="3727">
      <x:c r="A3727" s="4" t="str">
        <x:v>2025-26</x:v>
      </x:c>
      <x:c r="B3727" s="20" t="n">
        <x:v>46144</x:v>
      </x:c>
      <x:c r="C3727" s="4" t="str">
        <x:v>Sunderland</x:v>
      </x:c>
      <x:c r="D3727" s="4" t="str">
        <x:v>Wolves</x:v>
      </x:c>
      <x:c r="E3727" s="4" t="str">
        <x:v>Away</x:v>
      </x:c>
      <x:c r="F3727" s="28" t="n">
        <x:v>1</x:v>
      </x:c>
      <x:c r="G3727" s="28" t="n">
        <x:v>1</x:v>
      </x:c>
      <x:c r="H3727" s="28" t="n">
        <x:v>10</x:v>
      </x:c>
      <x:c r="I3727" s="28" t="n">
        <x:v>20</x:v>
      </x:c>
      <x:c r="J3727" s="28" t="n">
        <x:v>2</x:v>
      </x:c>
      <x:c r="K3727" s="28" t="n">
        <x:v>7</x:v>
      </x:c>
      <x:c r="L3727" s="28" t="n">
        <x:v>3</x:v>
      </x:c>
      <x:c r="M3727" s="28" t="n">
        <x:v>6</x:v>
      </x:c>
      <x:c r="N3727" s="28" t="n">
        <x:v>4</x:v>
      </x:c>
      <x:c r="O3727" s="28" t="n">
        <x:v>1</x:v>
      </x:c>
      <x:c r="P3727" s="28" t="n">
        <x:v>1</x:v>
      </x:c>
      <x:c r="Q3727" s="24" t="n">
        <x:f>IFERROR(J3727/H3727,0)</x:f>
        <x:v>0.2</x:v>
      </x:c>
      <x:c r="R3727" s="24" t="n">
        <x:f>IFERROR(F3727/H3727,0)</x:f>
        <x:v>0.1</x:v>
      </x:c>
      <x:c r="S3727" s="24" t="n">
        <x:f>IFERROR(F3727/J3727,0)</x:f>
        <x:v>0.5</x:v>
      </x:c>
      <x:c r="T3727" s="28" t="n">
        <x:f>H3727-I3727</x:f>
        <x:v>-10</x:v>
      </x:c>
      <x:c r="U3727" s="24" t="n">
        <x:f>IFERROR(J3727/H3727,0)-IFERROR(K3727/I3727,0)</x:f>
        <x:v>-0.14999999999999997</x:v>
      </x:c>
      <x:c r="V3727" s="24" t="n">
        <x:f>IFERROR(F3727/J3727,0)-IFERROR(G3727/K3727,0)</x:f>
        <x:v>0.35714285714285715</x:v>
      </x:c>
      <x:c r="W3727" s="28" t="n">
        <x:f>L3727-M3727</x:f>
        <x:v>-3</x:v>
      </x:c>
      <x:c r="X3727" s="24" t="n">
        <x:f>IFERROR(K3727/I3727,0)</x:f>
        <x:v>0.35</x:v>
      </x:c>
      <x:c r="Y3727" s="24" t="n">
        <x:f>IFERROR(G3727/I3727,0)</x:f>
        <x:v>0.05</x:v>
      </x:c>
      <x:c r="Z3727" s="24" t="n">
        <x:f>IFERROR(G3727/K3727,0)</x:f>
        <x:v>0.14285714285714285</x:v>
      </x:c>
      <x:c r="AA3727" s="24" t="n">
        <x:f>IFERROR(F3727/H3727,0)-IFERROR(G3727/I3727,0)</x:f>
        <x:v>0.05</x:v>
      </x:c>
      <x:c r="AB3727" s="28" t="n">
        <x:f>J3727-K3727</x:f>
        <x:v>-5</x:v>
      </x:c>
      <x:c r="AC3727" s="32" t="n">
        <x:f>F3727-G3727</x:f>
        <x:v>0</x:v>
      </x:c>
    </x:row>
    <x:row r="3728">
      <x:c r="A3728" s="4" t="str">
        <x:v>2025-26</x:v>
      </x:c>
      <x:c r="B3728" s="20" t="n">
        <x:v>46144</x:v>
      </x:c>
      <x:c r="C3728" s="4" t="str">
        <x:v>West Ham</x:v>
      </x:c>
      <x:c r="D3728" s="4" t="str">
        <x:v>Brentford</x:v>
      </x:c>
      <x:c r="E3728" s="4" t="str">
        <x:v>Away</x:v>
      </x:c>
      <x:c r="F3728" s="28" t="n">
        <x:v>0</x:v>
      </x:c>
      <x:c r="G3728" s="28" t="n">
        <x:v>3</x:v>
      </x:c>
      <x:c r="H3728" s="28" t="n">
        <x:v>13</x:v>
      </x:c>
      <x:c r="I3728" s="28" t="n">
        <x:v>14</x:v>
      </x:c>
      <x:c r="J3728" s="28" t="n">
        <x:v>4</x:v>
      </x:c>
      <x:c r="K3728" s="28" t="n">
        <x:v>6</x:v>
      </x:c>
      <x:c r="L3728" s="28" t="n">
        <x:v>6</x:v>
      </x:c>
      <x:c r="M3728" s="28" t="n">
        <x:v>2</x:v>
      </x:c>
      <x:c r="N3728" s="28" t="n">
        <x:v>3</x:v>
      </x:c>
      <x:c r="O3728" s="28" t="n">
        <x:v>0</x:v>
      </x:c>
      <x:c r="P3728" s="28" t="n">
        <x:v>0</x:v>
      </x:c>
      <x:c r="Q3728" s="24" t="n">
        <x:f>IFERROR(J3728/H3728,0)</x:f>
        <x:v>0.3076923076923077</x:v>
      </x:c>
      <x:c r="R3728" s="24" t="n">
        <x:f>IFERROR(F3728/H3728,0)</x:f>
        <x:v>0</x:v>
      </x:c>
      <x:c r="S3728" s="24" t="n">
        <x:f>IFERROR(F3728/J3728,0)</x:f>
        <x:v>0</x:v>
      </x:c>
      <x:c r="T3728" s="28" t="n">
        <x:f>H3728-I3728</x:f>
        <x:v>-1</x:v>
      </x:c>
      <x:c r="U3728" s="24" t="n">
        <x:f>IFERROR(J3728/H3728,0)-IFERROR(K3728/I3728,0)</x:f>
        <x:v>-0.12087912087912084</x:v>
      </x:c>
      <x:c r="V3728" s="24" t="n">
        <x:f>IFERROR(F3728/J3728,0)-IFERROR(G3728/K3728,0)</x:f>
        <x:v>-0.5</x:v>
      </x:c>
      <x:c r="W3728" s="28" t="n">
        <x:f>L3728-M3728</x:f>
        <x:v>4</x:v>
      </x:c>
      <x:c r="X3728" s="24" t="n">
        <x:f>IFERROR(K3728/I3728,0)</x:f>
        <x:v>0.42857142857142855</x:v>
      </x:c>
      <x:c r="Y3728" s="24" t="n">
        <x:f>IFERROR(G3728/I3728,0)</x:f>
        <x:v>0.21428571428571427</x:v>
      </x:c>
      <x:c r="Z3728" s="24" t="n">
        <x:f>IFERROR(G3728/K3728,0)</x:f>
        <x:v>0.5</x:v>
      </x:c>
      <x:c r="AA3728" s="24" t="n">
        <x:f>IFERROR(F3728/H3728,0)-IFERROR(G3728/I3728,0)</x:f>
        <x:v>-0.21428571428571427</x:v>
      </x:c>
      <x:c r="AB3728" s="28" t="n">
        <x:f>J3728-K3728</x:f>
        <x:v>-2</x:v>
      </x:c>
      <x:c r="AC3728" s="32" t="n">
        <x:f>F3728-G3728</x:f>
        <x:v>-3</x:v>
      </x:c>
    </x:row>
    <x:row r="3729">
      <x:c r="A3729" s="4" t="str">
        <x:v>2025-26</x:v>
      </x:c>
      <x:c r="B3729" s="20" t="n">
        <x:v>46144</x:v>
      </x:c>
      <x:c r="C3729" s="4" t="str">
        <x:v>Wolves</x:v>
      </x:c>
      <x:c r="D3729" s="4" t="str">
        <x:v>Sunderland</x:v>
      </x:c>
      <x:c r="E3729" s="4" t="str">
        <x:v>Home</x:v>
      </x:c>
      <x:c r="F3729" s="28" t="n">
        <x:v>1</x:v>
      </x:c>
      <x:c r="G3729" s="28" t="n">
        <x:v>1</x:v>
      </x:c>
      <x:c r="H3729" s="28" t="n">
        <x:v>20</x:v>
      </x:c>
      <x:c r="I3729" s="28" t="n">
        <x:v>10</x:v>
      </x:c>
      <x:c r="J3729" s="28" t="n">
        <x:v>7</x:v>
      </x:c>
      <x:c r="K3729" s="28" t="n">
        <x:v>2</x:v>
      </x:c>
      <x:c r="L3729" s="28" t="n">
        <x:v>6</x:v>
      </x:c>
      <x:c r="M3729" s="28" t="n">
        <x:v>3</x:v>
      </x:c>
      <x:c r="N3729" s="28" t="n">
        <x:v>0</x:v>
      </x:c>
      <x:c r="O3729" s="28" t="n">
        <x:v>0</x:v>
      </x:c>
      <x:c r="P3729" s="28" t="n">
        <x:v>1</x:v>
      </x:c>
      <x:c r="Q3729" s="24" t="n">
        <x:f>IFERROR(J3729/H3729,0)</x:f>
        <x:v>0.35</x:v>
      </x:c>
      <x:c r="R3729" s="24" t="n">
        <x:f>IFERROR(F3729/H3729,0)</x:f>
        <x:v>0.05</x:v>
      </x:c>
      <x:c r="S3729" s="24" t="n">
        <x:f>IFERROR(F3729/J3729,0)</x:f>
        <x:v>0.14285714285714285</x:v>
      </x:c>
      <x:c r="T3729" s="28" t="n">
        <x:f>H3729-I3729</x:f>
        <x:v>10</x:v>
      </x:c>
      <x:c r="U3729" s="24" t="n">
        <x:f>IFERROR(J3729/H3729,0)-IFERROR(K3729/I3729,0)</x:f>
        <x:v>0.14999999999999997</x:v>
      </x:c>
      <x:c r="V3729" s="24" t="n">
        <x:f>IFERROR(F3729/J3729,0)-IFERROR(G3729/K3729,0)</x:f>
        <x:v>-0.35714285714285715</x:v>
      </x:c>
      <x:c r="W3729" s="28" t="n">
        <x:f>L3729-M3729</x:f>
        <x:v>3</x:v>
      </x:c>
      <x:c r="X3729" s="24" t="n">
        <x:f>IFERROR(K3729/I3729,0)</x:f>
        <x:v>0.2</x:v>
      </x:c>
      <x:c r="Y3729" s="24" t="n">
        <x:f>IFERROR(G3729/I3729,0)</x:f>
        <x:v>0.1</x:v>
      </x:c>
      <x:c r="Z3729" s="24" t="n">
        <x:f>IFERROR(G3729/K3729,0)</x:f>
        <x:v>0.5</x:v>
      </x:c>
      <x:c r="AA3729" s="24" t="n">
        <x:f>IFERROR(F3729/H3729,0)-IFERROR(G3729/I3729,0)</x:f>
        <x:v>-0.05</x:v>
      </x:c>
      <x:c r="AB3729" s="28" t="n">
        <x:f>J3729-K3729</x:f>
        <x:v>5</x:v>
      </x:c>
      <x:c r="AC3729" s="32" t="n">
        <x:f>F3729-G3729</x:f>
        <x:v>0</x:v>
      </x:c>
    </x:row>
    <x:row r="3730">
      <x:c r="A3730" s="4" t="str">
        <x:v>2025-26</x:v>
      </x:c>
      <x:c r="B3730" s="20" t="n">
        <x:v>46145</x:v>
      </x:c>
      <x:c r="C3730" s="4" t="str">
        <x:v>Aston Villa</x:v>
      </x:c>
      <x:c r="D3730" s="4" t="str">
        <x:v>Tottenham</x:v>
      </x:c>
      <x:c r="E3730" s="4" t="str">
        <x:v>Home</x:v>
      </x:c>
      <x:c r="F3730" s="28" t="n">
        <x:v>1</x:v>
      </x:c>
      <x:c r="G3730" s="28" t="n">
        <x:v>2</x:v>
      </x:c>
      <x:c r="H3730" s="28" t="n">
        <x:v>5</x:v>
      </x:c>
      <x:c r="I3730" s="28" t="n">
        <x:v>10</x:v>
      </x:c>
      <x:c r="J3730" s="28" t="n">
        <x:v>1</x:v>
      </x:c>
      <x:c r="K3730" s="28" t="n">
        <x:v>5</x:v>
      </x:c>
      <x:c r="L3730" s="28" t="n">
        <x:v>5</x:v>
      </x:c>
      <x:c r="M3730" s="28" t="n">
        <x:v>5</x:v>
      </x:c>
      <x:c r="N3730" s="28" t="n">
        <x:v>2</x:v>
      </x:c>
      <x:c r="O3730" s="28" t="n">
        <x:v>0</x:v>
      </x:c>
      <x:c r="P3730" s="28" t="n">
        <x:v>0</x:v>
      </x:c>
      <x:c r="Q3730" s="24" t="n">
        <x:f>IFERROR(J3730/H3730,0)</x:f>
        <x:v>0.2</x:v>
      </x:c>
      <x:c r="R3730" s="24" t="n">
        <x:f>IFERROR(F3730/H3730,0)</x:f>
        <x:v>0.2</x:v>
      </x:c>
      <x:c r="S3730" s="24" t="n">
        <x:f>IFERROR(F3730/J3730,0)</x:f>
        <x:v>1</x:v>
      </x:c>
      <x:c r="T3730" s="28" t="n">
        <x:f>H3730-I3730</x:f>
        <x:v>-5</x:v>
      </x:c>
      <x:c r="U3730" s="24" t="n">
        <x:f>IFERROR(J3730/H3730,0)-IFERROR(K3730/I3730,0)</x:f>
        <x:v>-0.3</x:v>
      </x:c>
      <x:c r="V3730" s="24" t="n">
        <x:f>IFERROR(F3730/J3730,0)-IFERROR(G3730/K3730,0)</x:f>
        <x:v>0.6</x:v>
      </x:c>
      <x:c r="W3730" s="28" t="n">
        <x:f>L3730-M3730</x:f>
        <x:v>0</x:v>
      </x:c>
      <x:c r="X3730" s="24" t="n">
        <x:f>IFERROR(K3730/I3730,0)</x:f>
        <x:v>0.5</x:v>
      </x:c>
      <x:c r="Y3730" s="24" t="n">
        <x:f>IFERROR(G3730/I3730,0)</x:f>
        <x:v>0.2</x:v>
      </x:c>
      <x:c r="Z3730" s="24" t="n">
        <x:f>IFERROR(G3730/K3730,0)</x:f>
        <x:v>0.4</x:v>
      </x:c>
      <x:c r="AA3730" s="24" t="n">
        <x:f>IFERROR(F3730/H3730,0)-IFERROR(G3730/I3730,0)</x:f>
        <x:v>0</x:v>
      </x:c>
      <x:c r="AB3730" s="28" t="n">
        <x:f>J3730-K3730</x:f>
        <x:v>-4</x:v>
      </x:c>
      <x:c r="AC3730" s="32" t="n">
        <x:f>F3730-G3730</x:f>
        <x:v>-1</x:v>
      </x:c>
    </x:row>
    <x:row r="3731">
      <x:c r="A3731" s="4" t="str">
        <x:v>2025-26</x:v>
      </x:c>
      <x:c r="B3731" s="20" t="n">
        <x:v>46145</x:v>
      </x:c>
      <x:c r="C3731" s="4" t="str">
        <x:v>Bournemouth</x:v>
      </x:c>
      <x:c r="D3731" s="4" t="str">
        <x:v>Crystal Palace</x:v>
      </x:c>
      <x:c r="E3731" s="4" t="str">
        <x:v>Home</x:v>
      </x:c>
      <x:c r="F3731" s="28" t="n">
        <x:v>3</x:v>
      </x:c>
      <x:c r="G3731" s="28" t="n">
        <x:v>0</x:v>
      </x:c>
      <x:c r="H3731" s="28" t="n">
        <x:v>16</x:v>
      </x:c>
      <x:c r="I3731" s="28" t="n">
        <x:v>7</x:v>
      </x:c>
      <x:c r="J3731" s="28" t="n">
        <x:v>5</x:v>
      </x:c>
      <x:c r="K3731" s="28" t="n">
        <x:v>1</x:v>
      </x:c>
      <x:c r="L3731" s="28" t="n">
        <x:v>7</x:v>
      </x:c>
      <x:c r="M3731" s="28" t="n">
        <x:v>1</x:v>
      </x:c>
      <x:c r="N3731" s="28" t="n">
        <x:v>0</x:v>
      </x:c>
      <x:c r="O3731" s="28" t="n">
        <x:v>0</x:v>
      </x:c>
      <x:c r="P3731" s="28" t="n">
        <x:v>3</x:v>
      </x:c>
      <x:c r="Q3731" s="24" t="n">
        <x:f>IFERROR(J3731/H3731,0)</x:f>
        <x:v>0.3125</x:v>
      </x:c>
      <x:c r="R3731" s="24" t="n">
        <x:f>IFERROR(F3731/H3731,0)</x:f>
        <x:v>0.1875</x:v>
      </x:c>
      <x:c r="S3731" s="24" t="n">
        <x:f>IFERROR(F3731/J3731,0)</x:f>
        <x:v>0.6</x:v>
      </x:c>
      <x:c r="T3731" s="28" t="n">
        <x:f>H3731-I3731</x:f>
        <x:v>9</x:v>
      </x:c>
      <x:c r="U3731" s="24" t="n">
        <x:f>IFERROR(J3731/H3731,0)-IFERROR(K3731/I3731,0)</x:f>
        <x:v>0.16964285714285715</x:v>
      </x:c>
      <x:c r="V3731" s="24" t="n">
        <x:f>IFERROR(F3731/J3731,0)-IFERROR(G3731/K3731,0)</x:f>
        <x:v>0.6</x:v>
      </x:c>
      <x:c r="W3731" s="28" t="n">
        <x:f>L3731-M3731</x:f>
        <x:v>6</x:v>
      </x:c>
      <x:c r="X3731" s="24" t="n">
        <x:f>IFERROR(K3731/I3731,0)</x:f>
        <x:v>0.14285714285714285</x:v>
      </x:c>
      <x:c r="Y3731" s="24" t="n">
        <x:f>IFERROR(G3731/I3731,0)</x:f>
        <x:v>0</x:v>
      </x:c>
      <x:c r="Z3731" s="24" t="n">
        <x:f>IFERROR(G3731/K3731,0)</x:f>
        <x:v>0</x:v>
      </x:c>
      <x:c r="AA3731" s="24" t="n">
        <x:f>IFERROR(F3731/H3731,0)-IFERROR(G3731/I3731,0)</x:f>
        <x:v>0.1875</x:v>
      </x:c>
      <x:c r="AB3731" s="28" t="n">
        <x:f>J3731-K3731</x:f>
        <x:v>4</x:v>
      </x:c>
      <x:c r="AC3731" s="32" t="n">
        <x:f>F3731-G3731</x:f>
        <x:v>3</x:v>
      </x:c>
    </x:row>
    <x:row r="3732">
      <x:c r="A3732" s="4" t="str">
        <x:v>2025-26</x:v>
      </x:c>
      <x:c r="B3732" s="20" t="n">
        <x:v>46145</x:v>
      </x:c>
      <x:c r="C3732" s="4" t="str">
        <x:v>Crystal Palace</x:v>
      </x:c>
      <x:c r="D3732" s="4" t="str">
        <x:v>Bournemouth</x:v>
      </x:c>
      <x:c r="E3732" s="4" t="str">
        <x:v>Away</x:v>
      </x:c>
      <x:c r="F3732" s="28" t="n">
        <x:v>0</x:v>
      </x:c>
      <x:c r="G3732" s="28" t="n">
        <x:v>3</x:v>
      </x:c>
      <x:c r="H3732" s="28" t="n">
        <x:v>7</x:v>
      </x:c>
      <x:c r="I3732" s="28" t="n">
        <x:v>16</x:v>
      </x:c>
      <x:c r="J3732" s="28" t="n">
        <x:v>1</x:v>
      </x:c>
      <x:c r="K3732" s="28" t="n">
        <x:v>5</x:v>
      </x:c>
      <x:c r="L3732" s="28" t="n">
        <x:v>1</x:v>
      </x:c>
      <x:c r="M3732" s="28" t="n">
        <x:v>7</x:v>
      </x:c>
      <x:c r="N3732" s="28" t="n">
        <x:v>2</x:v>
      </x:c>
      <x:c r="O3732" s="28" t="n">
        <x:v>0</x:v>
      </x:c>
      <x:c r="P3732" s="28" t="n">
        <x:v>0</x:v>
      </x:c>
      <x:c r="Q3732" s="24" t="n">
        <x:f>IFERROR(J3732/H3732,0)</x:f>
        <x:v>0.14285714285714285</x:v>
      </x:c>
      <x:c r="R3732" s="24" t="n">
        <x:f>IFERROR(F3732/H3732,0)</x:f>
        <x:v>0</x:v>
      </x:c>
      <x:c r="S3732" s="24" t="n">
        <x:f>IFERROR(F3732/J3732,0)</x:f>
        <x:v>0</x:v>
      </x:c>
      <x:c r="T3732" s="28" t="n">
        <x:f>H3732-I3732</x:f>
        <x:v>-9</x:v>
      </x:c>
      <x:c r="U3732" s="24" t="n">
        <x:f>IFERROR(J3732/H3732,0)-IFERROR(K3732/I3732,0)</x:f>
        <x:v>-0.16964285714285715</x:v>
      </x:c>
      <x:c r="V3732" s="24" t="n">
        <x:f>IFERROR(F3732/J3732,0)-IFERROR(G3732/K3732,0)</x:f>
        <x:v>-0.6</x:v>
      </x:c>
      <x:c r="W3732" s="28" t="n">
        <x:f>L3732-M3732</x:f>
        <x:v>-6</x:v>
      </x:c>
      <x:c r="X3732" s="24" t="n">
        <x:f>IFERROR(K3732/I3732,0)</x:f>
        <x:v>0.3125</x:v>
      </x:c>
      <x:c r="Y3732" s="24" t="n">
        <x:f>IFERROR(G3732/I3732,0)</x:f>
        <x:v>0.1875</x:v>
      </x:c>
      <x:c r="Z3732" s="24" t="n">
        <x:f>IFERROR(G3732/K3732,0)</x:f>
        <x:v>0.6</x:v>
      </x:c>
      <x:c r="AA3732" s="24" t="n">
        <x:f>IFERROR(F3732/H3732,0)-IFERROR(G3732/I3732,0)</x:f>
        <x:v>-0.1875</x:v>
      </x:c>
      <x:c r="AB3732" s="28" t="n">
        <x:f>J3732-K3732</x:f>
        <x:v>-4</x:v>
      </x:c>
      <x:c r="AC3732" s="32" t="n">
        <x:f>F3732-G3732</x:f>
        <x:v>-3</x:v>
      </x:c>
    </x:row>
    <x:row r="3733">
      <x:c r="A3733" s="4" t="str">
        <x:v>2025-26</x:v>
      </x:c>
      <x:c r="B3733" s="20" t="n">
        <x:v>46145</x:v>
      </x:c>
      <x:c r="C3733" s="4" t="str">
        <x:v>Liverpool</x:v>
      </x:c>
      <x:c r="D3733" s="4" t="str">
        <x:v>Man United</x:v>
      </x:c>
      <x:c r="E3733" s="4" t="str">
        <x:v>Away</x:v>
      </x:c>
      <x:c r="F3733" s="28" t="n">
        <x:v>2</x:v>
      </x:c>
      <x:c r="G3733" s="28" t="n">
        <x:v>3</x:v>
      </x:c>
      <x:c r="H3733" s="28" t="n">
        <x:v>13</x:v>
      </x:c>
      <x:c r="I3733" s="28" t="n">
        <x:v>18</x:v>
      </x:c>
      <x:c r="J3733" s="28" t="n">
        <x:v>5</x:v>
      </x:c>
      <x:c r="K3733" s="28" t="n">
        <x:v>6</x:v>
      </x:c>
      <x:c r="L3733" s="28" t="n">
        <x:v>2</x:v>
      </x:c>
      <x:c r="M3733" s="28" t="n">
        <x:v>3</x:v>
      </x:c>
      <x:c r="N3733" s="28" t="n">
        <x:v>2</x:v>
      </x:c>
      <x:c r="O3733" s="28" t="n">
        <x:v>0</x:v>
      </x:c>
      <x:c r="P3733" s="28" t="n">
        <x:v>0</x:v>
      </x:c>
      <x:c r="Q3733" s="24" t="n">
        <x:f>IFERROR(J3733/H3733,0)</x:f>
        <x:v>0.38461538461538464</x:v>
      </x:c>
      <x:c r="R3733" s="24" t="n">
        <x:f>IFERROR(F3733/H3733,0)</x:f>
        <x:v>0.15384615384615385</x:v>
      </x:c>
      <x:c r="S3733" s="24" t="n">
        <x:f>IFERROR(F3733/J3733,0)</x:f>
        <x:v>0.4</x:v>
      </x:c>
      <x:c r="T3733" s="28" t="n">
        <x:f>H3733-I3733</x:f>
        <x:v>-5</x:v>
      </x:c>
      <x:c r="U3733" s="24" t="n">
        <x:f>IFERROR(J3733/H3733,0)-IFERROR(K3733/I3733,0)</x:f>
        <x:v>0.05128205128205132</x:v>
      </x:c>
      <x:c r="V3733" s="24" t="n">
        <x:f>IFERROR(F3733/J3733,0)-IFERROR(G3733/K3733,0)</x:f>
        <x:v>-0.09999999999999998</x:v>
      </x:c>
      <x:c r="W3733" s="28" t="n">
        <x:f>L3733-M3733</x:f>
        <x:v>-1</x:v>
      </x:c>
      <x:c r="X3733" s="24" t="n">
        <x:f>IFERROR(K3733/I3733,0)</x:f>
        <x:v>0.3333333333333333</x:v>
      </x:c>
      <x:c r="Y3733" s="24" t="n">
        <x:f>IFERROR(G3733/I3733,0)</x:f>
        <x:v>0.16666666666666666</x:v>
      </x:c>
      <x:c r="Z3733" s="24" t="n">
        <x:f>IFERROR(G3733/K3733,0)</x:f>
        <x:v>0.5</x:v>
      </x:c>
      <x:c r="AA3733" s="24" t="n">
        <x:f>IFERROR(F3733/H3733,0)-IFERROR(G3733/I3733,0)</x:f>
        <x:v>-0.012820512820512803</x:v>
      </x:c>
      <x:c r="AB3733" s="28" t="n">
        <x:f>J3733-K3733</x:f>
        <x:v>-1</x:v>
      </x:c>
      <x:c r="AC3733" s="32" t="n">
        <x:f>F3733-G3733</x:f>
        <x:v>-1</x:v>
      </x:c>
    </x:row>
    <x:row r="3734">
      <x:c r="A3734" s="4" t="str">
        <x:v>2025-26</x:v>
      </x:c>
      <x:c r="B3734" s="20" t="n">
        <x:v>46145</x:v>
      </x:c>
      <x:c r="C3734" s="4" t="str">
        <x:v>Man United</x:v>
      </x:c>
      <x:c r="D3734" s="4" t="str">
        <x:v>Liverpool</x:v>
      </x:c>
      <x:c r="E3734" s="4" t="str">
        <x:v>Home</x:v>
      </x:c>
      <x:c r="F3734" s="28" t="n">
        <x:v>3</x:v>
      </x:c>
      <x:c r="G3734" s="28" t="n">
        <x:v>2</x:v>
      </x:c>
      <x:c r="H3734" s="28" t="n">
        <x:v>18</x:v>
      </x:c>
      <x:c r="I3734" s="28" t="n">
        <x:v>13</x:v>
      </x:c>
      <x:c r="J3734" s="28" t="n">
        <x:v>6</x:v>
      </x:c>
      <x:c r="K3734" s="28" t="n">
        <x:v>5</x:v>
      </x:c>
      <x:c r="L3734" s="28" t="n">
        <x:v>3</x:v>
      </x:c>
      <x:c r="M3734" s="28" t="n">
        <x:v>2</x:v>
      </x:c>
      <x:c r="N3734" s="28" t="n">
        <x:v>2</x:v>
      </x:c>
      <x:c r="O3734" s="28" t="n">
        <x:v>0</x:v>
      </x:c>
      <x:c r="P3734" s="28" t="n">
        <x:v>3</x:v>
      </x:c>
      <x:c r="Q3734" s="24" t="n">
        <x:f>IFERROR(J3734/H3734,0)</x:f>
        <x:v>0.3333333333333333</x:v>
      </x:c>
      <x:c r="R3734" s="24" t="n">
        <x:f>IFERROR(F3734/H3734,0)</x:f>
        <x:v>0.16666666666666666</x:v>
      </x:c>
      <x:c r="S3734" s="24" t="n">
        <x:f>IFERROR(F3734/J3734,0)</x:f>
        <x:v>0.5</x:v>
      </x:c>
      <x:c r="T3734" s="28" t="n">
        <x:f>H3734-I3734</x:f>
        <x:v>5</x:v>
      </x:c>
      <x:c r="U3734" s="24" t="n">
        <x:f>IFERROR(J3734/H3734,0)-IFERROR(K3734/I3734,0)</x:f>
        <x:v>-0.05128205128205132</x:v>
      </x:c>
      <x:c r="V3734" s="24" t="n">
        <x:f>IFERROR(F3734/J3734,0)-IFERROR(G3734/K3734,0)</x:f>
        <x:v>0.09999999999999998</x:v>
      </x:c>
      <x:c r="W3734" s="28" t="n">
        <x:f>L3734-M3734</x:f>
        <x:v>1</x:v>
      </x:c>
      <x:c r="X3734" s="24" t="n">
        <x:f>IFERROR(K3734/I3734,0)</x:f>
        <x:v>0.38461538461538464</x:v>
      </x:c>
      <x:c r="Y3734" s="24" t="n">
        <x:f>IFERROR(G3734/I3734,0)</x:f>
        <x:v>0.15384615384615385</x:v>
      </x:c>
      <x:c r="Z3734" s="24" t="n">
        <x:f>IFERROR(G3734/K3734,0)</x:f>
        <x:v>0.4</x:v>
      </x:c>
      <x:c r="AA3734" s="24" t="n">
        <x:f>IFERROR(F3734/H3734,0)-IFERROR(G3734/I3734,0)</x:f>
        <x:v>0.012820512820512803</x:v>
      </x:c>
      <x:c r="AB3734" s="28" t="n">
        <x:f>J3734-K3734</x:f>
        <x:v>1</x:v>
      </x:c>
      <x:c r="AC3734" s="32" t="n">
        <x:f>F3734-G3734</x:f>
        <x:v>1</x:v>
      </x:c>
    </x:row>
    <x:row r="3735">
      <x:c r="A3735" s="4" t="str">
        <x:v>2025-26</x:v>
      </x:c>
      <x:c r="B3735" s="20" t="n">
        <x:v>46145</x:v>
      </x:c>
      <x:c r="C3735" s="4" t="str">
        <x:v>Tottenham</x:v>
      </x:c>
      <x:c r="D3735" s="4" t="str">
        <x:v>Aston Villa</x:v>
      </x:c>
      <x:c r="E3735" s="4" t="str">
        <x:v>Away</x:v>
      </x:c>
      <x:c r="F3735" s="28" t="n">
        <x:v>2</x:v>
      </x:c>
      <x:c r="G3735" s="28" t="n">
        <x:v>1</x:v>
      </x:c>
      <x:c r="H3735" s="28" t="n">
        <x:v>10</x:v>
      </x:c>
      <x:c r="I3735" s="28" t="n">
        <x:v>5</x:v>
      </x:c>
      <x:c r="J3735" s="28" t="n">
        <x:v>5</x:v>
      </x:c>
      <x:c r="K3735" s="28" t="n">
        <x:v>1</x:v>
      </x:c>
      <x:c r="L3735" s="28" t="n">
        <x:v>5</x:v>
      </x:c>
      <x:c r="M3735" s="28" t="n">
        <x:v>5</x:v>
      </x:c>
      <x:c r="N3735" s="28" t="n">
        <x:v>5</x:v>
      </x:c>
      <x:c r="O3735" s="28" t="n">
        <x:v>0</x:v>
      </x:c>
      <x:c r="P3735" s="28" t="n">
        <x:v>3</x:v>
      </x:c>
      <x:c r="Q3735" s="24" t="n">
        <x:f>IFERROR(J3735/H3735,0)</x:f>
        <x:v>0.5</x:v>
      </x:c>
      <x:c r="R3735" s="24" t="n">
        <x:f>IFERROR(F3735/H3735,0)</x:f>
        <x:v>0.2</x:v>
      </x:c>
      <x:c r="S3735" s="24" t="n">
        <x:f>IFERROR(F3735/J3735,0)</x:f>
        <x:v>0.4</x:v>
      </x:c>
      <x:c r="T3735" s="28" t="n">
        <x:f>H3735-I3735</x:f>
        <x:v>5</x:v>
      </x:c>
      <x:c r="U3735" s="24" t="n">
        <x:f>IFERROR(J3735/H3735,0)-IFERROR(K3735/I3735,0)</x:f>
        <x:v>0.3</x:v>
      </x:c>
      <x:c r="V3735" s="24" t="n">
        <x:f>IFERROR(F3735/J3735,0)-IFERROR(G3735/K3735,0)</x:f>
        <x:v>-0.6</x:v>
      </x:c>
      <x:c r="W3735" s="28" t="n">
        <x:f>L3735-M3735</x:f>
        <x:v>0</x:v>
      </x:c>
      <x:c r="X3735" s="24" t="n">
        <x:f>IFERROR(K3735/I3735,0)</x:f>
        <x:v>0.2</x:v>
      </x:c>
      <x:c r="Y3735" s="24" t="n">
        <x:f>IFERROR(G3735/I3735,0)</x:f>
        <x:v>0.2</x:v>
      </x:c>
      <x:c r="Z3735" s="24" t="n">
        <x:f>IFERROR(G3735/K3735,0)</x:f>
        <x:v>1</x:v>
      </x:c>
      <x:c r="AA3735" s="24" t="n">
        <x:f>IFERROR(F3735/H3735,0)-IFERROR(G3735/I3735,0)</x:f>
        <x:v>0</x:v>
      </x:c>
      <x:c r="AB3735" s="28" t="n">
        <x:f>J3735-K3735</x:f>
        <x:v>4</x:v>
      </x:c>
      <x:c r="AC3735" s="32" t="n">
        <x:f>F3735-G3735</x:f>
        <x:v>1</x:v>
      </x:c>
    </x:row>
    <x:row r="3736">
      <x:c r="A3736" s="4" t="str">
        <x:v>2025-26</x:v>
      </x:c>
      <x:c r="B3736" s="20" t="n">
        <x:v>46146</x:v>
      </x:c>
      <x:c r="C3736" s="4" t="str">
        <x:v>Chelsea</x:v>
      </x:c>
      <x:c r="D3736" s="4" t="str">
        <x:v>Nott'm Forest</x:v>
      </x:c>
      <x:c r="E3736" s="4" t="str">
        <x:v>Home</x:v>
      </x:c>
      <x:c r="F3736" s="28" t="n">
        <x:v>1</x:v>
      </x:c>
      <x:c r="G3736" s="28" t="n">
        <x:v>3</x:v>
      </x:c>
      <x:c r="H3736" s="28" t="n">
        <x:v>21</x:v>
      </x:c>
      <x:c r="I3736" s="28" t="n">
        <x:v>6</x:v>
      </x:c>
      <x:c r="J3736" s="28" t="n">
        <x:v>5</x:v>
      </x:c>
      <x:c r="K3736" s="28" t="n">
        <x:v>4</x:v>
      </x:c>
      <x:c r="L3736" s="28" t="n">
        <x:v>10</x:v>
      </x:c>
      <x:c r="M3736" s="28" t="n">
        <x:v>1</x:v>
      </x:c>
      <x:c r="N3736" s="28" t="n">
        <x:v>3</x:v>
      </x:c>
      <x:c r="O3736" s="28" t="n">
        <x:v>0</x:v>
      </x:c>
      <x:c r="P3736" s="28" t="n">
        <x:v>0</x:v>
      </x:c>
      <x:c r="Q3736" s="24" t="n">
        <x:f>IFERROR(J3736/H3736,0)</x:f>
        <x:v>0.23809523809523808</x:v>
      </x:c>
      <x:c r="R3736" s="24" t="n">
        <x:f>IFERROR(F3736/H3736,0)</x:f>
        <x:v>0.047619047619047616</x:v>
      </x:c>
      <x:c r="S3736" s="24" t="n">
        <x:f>IFERROR(F3736/J3736,0)</x:f>
        <x:v>0.2</x:v>
      </x:c>
      <x:c r="T3736" s="28" t="n">
        <x:f>H3736-I3736</x:f>
        <x:v>15</x:v>
      </x:c>
      <x:c r="U3736" s="24" t="n">
        <x:f>IFERROR(J3736/H3736,0)-IFERROR(K3736/I3736,0)</x:f>
        <x:v>-0.42857142857142855</x:v>
      </x:c>
      <x:c r="V3736" s="24" t="n">
        <x:f>IFERROR(F3736/J3736,0)-IFERROR(G3736/K3736,0)</x:f>
        <x:v>-0.55</x:v>
      </x:c>
      <x:c r="W3736" s="28" t="n">
        <x:f>L3736-M3736</x:f>
        <x:v>9</x:v>
      </x:c>
      <x:c r="X3736" s="24" t="n">
        <x:f>IFERROR(K3736/I3736,0)</x:f>
        <x:v>0.6666666666666666</x:v>
      </x:c>
      <x:c r="Y3736" s="24" t="n">
        <x:f>IFERROR(G3736/I3736,0)</x:f>
        <x:v>0.5</x:v>
      </x:c>
      <x:c r="Z3736" s="24" t="n">
        <x:f>IFERROR(G3736/K3736,0)</x:f>
        <x:v>0.75</x:v>
      </x:c>
      <x:c r="AA3736" s="24" t="n">
        <x:f>IFERROR(F3736/H3736,0)-IFERROR(G3736/I3736,0)</x:f>
        <x:v>-0.4523809523809524</x:v>
      </x:c>
      <x:c r="AB3736" s="28" t="n">
        <x:f>J3736-K3736</x:f>
        <x:v>1</x:v>
      </x:c>
      <x:c r="AC3736" s="32" t="n">
        <x:f>F3736-G3736</x:f>
        <x:v>-2</x:v>
      </x:c>
    </x:row>
    <x:row r="3737">
      <x:c r="A3737" s="4" t="str">
        <x:v>2025-26</x:v>
      </x:c>
      <x:c r="B3737" s="20" t="n">
        <x:v>46146</x:v>
      </x:c>
      <x:c r="C3737" s="4" t="str">
        <x:v>Everton</x:v>
      </x:c>
      <x:c r="D3737" s="4" t="str">
        <x:v>Man City</x:v>
      </x:c>
      <x:c r="E3737" s="4" t="str">
        <x:v>Home</x:v>
      </x:c>
      <x:c r="F3737" s="28" t="n">
        <x:v>3</x:v>
      </x:c>
      <x:c r="G3737" s="28" t="n">
        <x:v>3</x:v>
      </x:c>
      <x:c r="H3737" s="28" t="n">
        <x:v>14</x:v>
      </x:c>
      <x:c r="I3737" s="28" t="n">
        <x:v>21</x:v>
      </x:c>
      <x:c r="J3737" s="28" t="n">
        <x:v>6</x:v>
      </x:c>
      <x:c r="K3737" s="28" t="n">
        <x:v>4</x:v>
      </x:c>
      <x:c r="L3737" s="28" t="n">
        <x:v>5</x:v>
      </x:c>
      <x:c r="M3737" s="28" t="n">
        <x:v>9</x:v>
      </x:c>
      <x:c r="N3737" s="28" t="n">
        <x:v>4</x:v>
      </x:c>
      <x:c r="O3737" s="28" t="n">
        <x:v>0</x:v>
      </x:c>
      <x:c r="P3737" s="28" t="n">
        <x:v>1</x:v>
      </x:c>
      <x:c r="Q3737" s="24" t="n">
        <x:f>IFERROR(J3737/H3737,0)</x:f>
        <x:v>0.42857142857142855</x:v>
      </x:c>
      <x:c r="R3737" s="24" t="n">
        <x:f>IFERROR(F3737/H3737,0)</x:f>
        <x:v>0.21428571428571427</x:v>
      </x:c>
      <x:c r="S3737" s="24" t="n">
        <x:f>IFERROR(F3737/J3737,0)</x:f>
        <x:v>0.5</x:v>
      </x:c>
      <x:c r="T3737" s="28" t="n">
        <x:f>H3737-I3737</x:f>
        <x:v>-7</x:v>
      </x:c>
      <x:c r="U3737" s="24" t="n">
        <x:f>IFERROR(J3737/H3737,0)-IFERROR(K3737/I3737,0)</x:f>
        <x:v>0.23809523809523808</x:v>
      </x:c>
      <x:c r="V3737" s="24" t="n">
        <x:f>IFERROR(F3737/J3737,0)-IFERROR(G3737/K3737,0)</x:f>
        <x:v>-0.25</x:v>
      </x:c>
      <x:c r="W3737" s="28" t="n">
        <x:f>L3737-M3737</x:f>
        <x:v>-4</x:v>
      </x:c>
      <x:c r="X3737" s="24" t="n">
        <x:f>IFERROR(K3737/I3737,0)</x:f>
        <x:v>0.19047619047619047</x:v>
      </x:c>
      <x:c r="Y3737" s="24" t="n">
        <x:f>IFERROR(G3737/I3737,0)</x:f>
        <x:v>0.14285714285714285</x:v>
      </x:c>
      <x:c r="Z3737" s="24" t="n">
        <x:f>IFERROR(G3737/K3737,0)</x:f>
        <x:v>0.75</x:v>
      </x:c>
      <x:c r="AA3737" s="24" t="n">
        <x:f>IFERROR(F3737/H3737,0)-IFERROR(G3737/I3737,0)</x:f>
        <x:v>0.07142857142857142</x:v>
      </x:c>
      <x:c r="AB3737" s="28" t="n">
        <x:f>J3737-K3737</x:f>
        <x:v>2</x:v>
      </x:c>
      <x:c r="AC3737" s="32" t="n">
        <x:f>F3737-G3737</x:f>
        <x:v>0</x:v>
      </x:c>
    </x:row>
    <x:row r="3738">
      <x:c r="A3738" s="4" t="str">
        <x:v>2025-26</x:v>
      </x:c>
      <x:c r="B3738" s="20" t="n">
        <x:v>46146</x:v>
      </x:c>
      <x:c r="C3738" s="4" t="str">
        <x:v>Man City</x:v>
      </x:c>
      <x:c r="D3738" s="4" t="str">
        <x:v>Everton</x:v>
      </x:c>
      <x:c r="E3738" s="4" t="str">
        <x:v>Away</x:v>
      </x:c>
      <x:c r="F3738" s="28" t="n">
        <x:v>3</x:v>
      </x:c>
      <x:c r="G3738" s="28" t="n">
        <x:v>3</x:v>
      </x:c>
      <x:c r="H3738" s="28" t="n">
        <x:v>21</x:v>
      </x:c>
      <x:c r="I3738" s="28" t="n">
        <x:v>14</x:v>
      </x:c>
      <x:c r="J3738" s="28" t="n">
        <x:v>4</x:v>
      </x:c>
      <x:c r="K3738" s="28" t="n">
        <x:v>6</x:v>
      </x:c>
      <x:c r="L3738" s="28" t="n">
        <x:v>9</x:v>
      </x:c>
      <x:c r="M3738" s="28" t="n">
        <x:v>5</x:v>
      </x:c>
      <x:c r="N3738" s="28" t="n">
        <x:v>1</x:v>
      </x:c>
      <x:c r="O3738" s="28" t="n">
        <x:v>0</x:v>
      </x:c>
      <x:c r="P3738" s="28" t="n">
        <x:v>1</x:v>
      </x:c>
      <x:c r="Q3738" s="24" t="n">
        <x:f>IFERROR(J3738/H3738,0)</x:f>
        <x:v>0.19047619047619047</x:v>
      </x:c>
      <x:c r="R3738" s="24" t="n">
        <x:f>IFERROR(F3738/H3738,0)</x:f>
        <x:v>0.14285714285714285</x:v>
      </x:c>
      <x:c r="S3738" s="24" t="n">
        <x:f>IFERROR(F3738/J3738,0)</x:f>
        <x:v>0.75</x:v>
      </x:c>
      <x:c r="T3738" s="28" t="n">
        <x:f>H3738-I3738</x:f>
        <x:v>7</x:v>
      </x:c>
      <x:c r="U3738" s="24" t="n">
        <x:f>IFERROR(J3738/H3738,0)-IFERROR(K3738/I3738,0)</x:f>
        <x:v>-0.23809523809523808</x:v>
      </x:c>
      <x:c r="V3738" s="24" t="n">
        <x:f>IFERROR(F3738/J3738,0)-IFERROR(G3738/K3738,0)</x:f>
        <x:v>0.25</x:v>
      </x:c>
      <x:c r="W3738" s="28" t="n">
        <x:f>L3738-M3738</x:f>
        <x:v>4</x:v>
      </x:c>
      <x:c r="X3738" s="24" t="n">
        <x:f>IFERROR(K3738/I3738,0)</x:f>
        <x:v>0.42857142857142855</x:v>
      </x:c>
      <x:c r="Y3738" s="24" t="n">
        <x:f>IFERROR(G3738/I3738,0)</x:f>
        <x:v>0.21428571428571427</x:v>
      </x:c>
      <x:c r="Z3738" s="24" t="n">
        <x:f>IFERROR(G3738/K3738,0)</x:f>
        <x:v>0.5</x:v>
      </x:c>
      <x:c r="AA3738" s="24" t="n">
        <x:f>IFERROR(F3738/H3738,0)-IFERROR(G3738/I3738,0)</x:f>
        <x:v>-0.07142857142857142</x:v>
      </x:c>
      <x:c r="AB3738" s="28" t="n">
        <x:f>J3738-K3738</x:f>
        <x:v>-2</x:v>
      </x:c>
      <x:c r="AC3738" s="32" t="n">
        <x:f>F3738-G3738</x:f>
        <x:v>0</x:v>
      </x:c>
    </x:row>
    <x:row r="3739">
      <x:c r="A3739" s="4" t="str">
        <x:v>2025-26</x:v>
      </x:c>
      <x:c r="B3739" s="20" t="n">
        <x:v>46146</x:v>
      </x:c>
      <x:c r="C3739" s="4" t="str">
        <x:v>Nott'm Forest</x:v>
      </x:c>
      <x:c r="D3739" s="4" t="str">
        <x:v>Chelsea</x:v>
      </x:c>
      <x:c r="E3739" s="4" t="str">
        <x:v>Away</x:v>
      </x:c>
      <x:c r="F3739" s="28" t="n">
        <x:v>3</x:v>
      </x:c>
      <x:c r="G3739" s="28" t="n">
        <x:v>1</x:v>
      </x:c>
      <x:c r="H3739" s="28" t="n">
        <x:v>6</x:v>
      </x:c>
      <x:c r="I3739" s="28" t="n">
        <x:v>21</x:v>
      </x:c>
      <x:c r="J3739" s="28" t="n">
        <x:v>4</x:v>
      </x:c>
      <x:c r="K3739" s="28" t="n">
        <x:v>5</x:v>
      </x:c>
      <x:c r="L3739" s="28" t="n">
        <x:v>1</x:v>
      </x:c>
      <x:c r="M3739" s="28" t="n">
        <x:v>10</x:v>
      </x:c>
      <x:c r="N3739" s="28" t="n">
        <x:v>1</x:v>
      </x:c>
      <x:c r="O3739" s="28" t="n">
        <x:v>0</x:v>
      </x:c>
      <x:c r="P3739" s="28" t="n">
        <x:v>3</x:v>
      </x:c>
      <x:c r="Q3739" s="24" t="n">
        <x:f>IFERROR(J3739/H3739,0)</x:f>
        <x:v>0.6666666666666666</x:v>
      </x:c>
      <x:c r="R3739" s="24" t="n">
        <x:f>IFERROR(F3739/H3739,0)</x:f>
        <x:v>0.5</x:v>
      </x:c>
      <x:c r="S3739" s="24" t="n">
        <x:f>IFERROR(F3739/J3739,0)</x:f>
        <x:v>0.75</x:v>
      </x:c>
      <x:c r="T3739" s="28" t="n">
        <x:f>H3739-I3739</x:f>
        <x:v>-15</x:v>
      </x:c>
      <x:c r="U3739" s="24" t="n">
        <x:f>IFERROR(J3739/H3739,0)-IFERROR(K3739/I3739,0)</x:f>
        <x:v>0.42857142857142855</x:v>
      </x:c>
      <x:c r="V3739" s="24" t="n">
        <x:f>IFERROR(F3739/J3739,0)-IFERROR(G3739/K3739,0)</x:f>
        <x:v>0.55</x:v>
      </x:c>
      <x:c r="W3739" s="28" t="n">
        <x:f>L3739-M3739</x:f>
        <x:v>-9</x:v>
      </x:c>
      <x:c r="X3739" s="24" t="n">
        <x:f>IFERROR(K3739/I3739,0)</x:f>
        <x:v>0.23809523809523808</x:v>
      </x:c>
      <x:c r="Y3739" s="24" t="n">
        <x:f>IFERROR(G3739/I3739,0)</x:f>
        <x:v>0.047619047619047616</x:v>
      </x:c>
      <x:c r="Z3739" s="24" t="n">
        <x:f>IFERROR(G3739/K3739,0)</x:f>
        <x:v>0.2</x:v>
      </x:c>
      <x:c r="AA3739" s="24" t="n">
        <x:f>IFERROR(F3739/H3739,0)-IFERROR(G3739/I3739,0)</x:f>
        <x:v>0.4523809523809524</x:v>
      </x:c>
      <x:c r="AB3739" s="28" t="n">
        <x:f>J3739-K3739</x:f>
        <x:v>-1</x:v>
      </x:c>
      <x:c r="AC3739" s="32" t="n">
        <x:f>F3739-G3739</x:f>
        <x:v>2</x:v>
      </x:c>
    </x:row>
    <x:row r="3740">
      <x:c r="A3740" s="4" t="str">
        <x:v>2025-26</x:v>
      </x:c>
      <x:c r="B3740" s="20" t="n">
        <x:v>46151</x:v>
      </x:c>
      <x:c r="C3740" s="4" t="str">
        <x:v>Bournemouth</x:v>
      </x:c>
      <x:c r="D3740" s="4" t="str">
        <x:v>Fulham</x:v>
      </x:c>
      <x:c r="E3740" s="4" t="str">
        <x:v>Away</x:v>
      </x:c>
      <x:c r="F3740" s="28" t="n">
        <x:v>1</x:v>
      </x:c>
      <x:c r="G3740" s="28" t="n">
        <x:v>0</x:v>
      </x:c>
      <x:c r="H3740" s="28" t="n">
        <x:v>10</x:v>
      </x:c>
      <x:c r="I3740" s="28" t="n">
        <x:v>14</x:v>
      </x:c>
      <x:c r="J3740" s="28" t="n">
        <x:v>5</x:v>
      </x:c>
      <x:c r="K3740" s="28" t="n">
        <x:v>2</x:v>
      </x:c>
      <x:c r="L3740" s="28" t="n">
        <x:v>2</x:v>
      </x:c>
      <x:c r="M3740" s="28" t="n">
        <x:v>11</x:v>
      </x:c>
      <x:c r="N3740" s="28" t="n">
        <x:v>2</x:v>
      </x:c>
      <x:c r="O3740" s="28" t="n">
        <x:v>1</x:v>
      </x:c>
      <x:c r="P3740" s="28" t="n">
        <x:v>3</x:v>
      </x:c>
      <x:c r="Q3740" s="24" t="n">
        <x:f>IFERROR(J3740/H3740,0)</x:f>
        <x:v>0.5</x:v>
      </x:c>
      <x:c r="R3740" s="24" t="n">
        <x:f>IFERROR(F3740/H3740,0)</x:f>
        <x:v>0.1</x:v>
      </x:c>
      <x:c r="S3740" s="24" t="n">
        <x:f>IFERROR(F3740/J3740,0)</x:f>
        <x:v>0.2</x:v>
      </x:c>
      <x:c r="T3740" s="28" t="n">
        <x:f>H3740-I3740</x:f>
        <x:v>-4</x:v>
      </x:c>
      <x:c r="U3740" s="24" t="n">
        <x:f>IFERROR(J3740/H3740,0)-IFERROR(K3740/I3740,0)</x:f>
        <x:v>0.35714285714285715</x:v>
      </x:c>
      <x:c r="V3740" s="24" t="n">
        <x:f>IFERROR(F3740/J3740,0)-IFERROR(G3740/K3740,0)</x:f>
        <x:v>0.2</x:v>
      </x:c>
      <x:c r="W3740" s="28" t="n">
        <x:f>L3740-M3740</x:f>
        <x:v>-9</x:v>
      </x:c>
      <x:c r="X3740" s="24" t="n">
        <x:f>IFERROR(K3740/I3740,0)</x:f>
        <x:v>0.14285714285714285</x:v>
      </x:c>
      <x:c r="Y3740" s="24" t="n">
        <x:f>IFERROR(G3740/I3740,0)</x:f>
        <x:v>0</x:v>
      </x:c>
      <x:c r="Z3740" s="24" t="n">
        <x:f>IFERROR(G3740/K3740,0)</x:f>
        <x:v>0</x:v>
      </x:c>
      <x:c r="AA3740" s="24" t="n">
        <x:f>IFERROR(F3740/H3740,0)-IFERROR(G3740/I3740,0)</x:f>
        <x:v>0.1</x:v>
      </x:c>
      <x:c r="AB3740" s="28" t="n">
        <x:f>J3740-K3740</x:f>
        <x:v>3</x:v>
      </x:c>
      <x:c r="AC3740" s="32" t="n">
        <x:f>F3740-G3740</x:f>
        <x:v>1</x:v>
      </x:c>
    </x:row>
    <x:row r="3741">
      <x:c r="A3741" s="4" t="str">
        <x:v>2025-26</x:v>
      </x:c>
      <x:c r="B3741" s="20" t="n">
        <x:v>46151</x:v>
      </x:c>
      <x:c r="C3741" s="4" t="str">
        <x:v>Brentford</x:v>
      </x:c>
      <x:c r="D3741" s="4" t="str">
        <x:v>Man City</x:v>
      </x:c>
      <x:c r="E3741" s="4" t="str">
        <x:v>Away</x:v>
      </x:c>
      <x:c r="F3741" s="28" t="n">
        <x:v>0</x:v>
      </x:c>
      <x:c r="G3741" s="28" t="n">
        <x:v>3</x:v>
      </x:c>
      <x:c r="H3741" s="28" t="n">
        <x:v>4</x:v>
      </x:c>
      <x:c r="I3741" s="28" t="n">
        <x:v>25</x:v>
      </x:c>
      <x:c r="J3741" s="28" t="n">
        <x:v>2</x:v>
      </x:c>
      <x:c r="K3741" s="28" t="n">
        <x:v>10</x:v>
      </x:c>
      <x:c r="L3741" s="28" t="n">
        <x:v>2</x:v>
      </x:c>
      <x:c r="M3741" s="28" t="n">
        <x:v>10</x:v>
      </x:c>
      <x:c r="N3741" s="28" t="n">
        <x:v>2</x:v>
      </x:c>
      <x:c r="O3741" s="28" t="n">
        <x:v>0</x:v>
      </x:c>
      <x:c r="P3741" s="28" t="n">
        <x:v>0</x:v>
      </x:c>
      <x:c r="Q3741" s="24" t="n">
        <x:f>IFERROR(J3741/H3741,0)</x:f>
        <x:v>0.5</x:v>
      </x:c>
      <x:c r="R3741" s="24" t="n">
        <x:f>IFERROR(F3741/H3741,0)</x:f>
        <x:v>0</x:v>
      </x:c>
      <x:c r="S3741" s="24" t="n">
        <x:f>IFERROR(F3741/J3741,0)</x:f>
        <x:v>0</x:v>
      </x:c>
      <x:c r="T3741" s="28" t="n">
        <x:f>H3741-I3741</x:f>
        <x:v>-21</x:v>
      </x:c>
      <x:c r="U3741" s="24" t="n">
        <x:f>IFERROR(J3741/H3741,0)-IFERROR(K3741/I3741,0)</x:f>
        <x:v>0.09999999999999998</x:v>
      </x:c>
      <x:c r="V3741" s="24" t="n">
        <x:f>IFERROR(F3741/J3741,0)-IFERROR(G3741/K3741,0)</x:f>
        <x:v>-0.3</x:v>
      </x:c>
      <x:c r="W3741" s="28" t="n">
        <x:f>L3741-M3741</x:f>
        <x:v>-8</x:v>
      </x:c>
      <x:c r="X3741" s="24" t="n">
        <x:f>IFERROR(K3741/I3741,0)</x:f>
        <x:v>0.4</x:v>
      </x:c>
      <x:c r="Y3741" s="24" t="n">
        <x:f>IFERROR(G3741/I3741,0)</x:f>
        <x:v>0.12</x:v>
      </x:c>
      <x:c r="Z3741" s="24" t="n">
        <x:f>IFERROR(G3741/K3741,0)</x:f>
        <x:v>0.3</x:v>
      </x:c>
      <x:c r="AA3741" s="24" t="n">
        <x:f>IFERROR(F3741/H3741,0)-IFERROR(G3741/I3741,0)</x:f>
        <x:v>-0.12</x:v>
      </x:c>
      <x:c r="AB3741" s="28" t="n">
        <x:f>J3741-K3741</x:f>
        <x:v>-8</x:v>
      </x:c>
      <x:c r="AC3741" s="32" t="n">
        <x:f>F3741-G3741</x:f>
        <x:v>-3</x:v>
      </x:c>
    </x:row>
    <x:row r="3742">
      <x:c r="A3742" s="4" t="str">
        <x:v>2025-26</x:v>
      </x:c>
      <x:c r="B3742" s="20" t="n">
        <x:v>46151</x:v>
      </x:c>
      <x:c r="C3742" s="4" t="str">
        <x:v>Brighton</x:v>
      </x:c>
      <x:c r="D3742" s="4" t="str">
        <x:v>Wolves</x:v>
      </x:c>
      <x:c r="E3742" s="4" t="str">
        <x:v>Home</x:v>
      </x:c>
      <x:c r="F3742" s="28" t="n">
        <x:v>3</x:v>
      </x:c>
      <x:c r="G3742" s="28" t="n">
        <x:v>0</x:v>
      </x:c>
      <x:c r="H3742" s="28" t="n">
        <x:v>14</x:v>
      </x:c>
      <x:c r="I3742" s="28" t="n">
        <x:v>5</x:v>
      </x:c>
      <x:c r="J3742" s="28" t="n">
        <x:v>6</x:v>
      </x:c>
      <x:c r="K3742" s="28" t="n">
        <x:v>1</x:v>
      </x:c>
      <x:c r="L3742" s="28" t="n">
        <x:v>7</x:v>
      </x:c>
      <x:c r="M3742" s="28" t="n">
        <x:v>1</x:v>
      </x:c>
      <x:c r="N3742" s="28" t="n">
        <x:v>1</x:v>
      </x:c>
      <x:c r="O3742" s="28" t="n">
        <x:v>0</x:v>
      </x:c>
      <x:c r="P3742" s="28" t="n">
        <x:v>3</x:v>
      </x:c>
      <x:c r="Q3742" s="24" t="n">
        <x:f>IFERROR(J3742/H3742,0)</x:f>
        <x:v>0.42857142857142855</x:v>
      </x:c>
      <x:c r="R3742" s="24" t="n">
        <x:f>IFERROR(F3742/H3742,0)</x:f>
        <x:v>0.21428571428571427</x:v>
      </x:c>
      <x:c r="S3742" s="24" t="n">
        <x:f>IFERROR(F3742/J3742,0)</x:f>
        <x:v>0.5</x:v>
      </x:c>
      <x:c r="T3742" s="28" t="n">
        <x:f>H3742-I3742</x:f>
        <x:v>9</x:v>
      </x:c>
      <x:c r="U3742" s="24" t="n">
        <x:f>IFERROR(J3742/H3742,0)-IFERROR(K3742/I3742,0)</x:f>
        <x:v>0.22857142857142854</x:v>
      </x:c>
      <x:c r="V3742" s="24" t="n">
        <x:f>IFERROR(F3742/J3742,0)-IFERROR(G3742/K3742,0)</x:f>
        <x:v>0.5</x:v>
      </x:c>
      <x:c r="W3742" s="28" t="n">
        <x:f>L3742-M3742</x:f>
        <x:v>6</x:v>
      </x:c>
      <x:c r="X3742" s="24" t="n">
        <x:f>IFERROR(K3742/I3742,0)</x:f>
        <x:v>0.2</x:v>
      </x:c>
      <x:c r="Y3742" s="24" t="n">
        <x:f>IFERROR(G3742/I3742,0)</x:f>
        <x:v>0</x:v>
      </x:c>
      <x:c r="Z3742" s="24" t="n">
        <x:f>IFERROR(G3742/K3742,0)</x:f>
        <x:v>0</x:v>
      </x:c>
      <x:c r="AA3742" s="24" t="n">
        <x:f>IFERROR(F3742/H3742,0)-IFERROR(G3742/I3742,0)</x:f>
        <x:v>0.21428571428571427</x:v>
      </x:c>
      <x:c r="AB3742" s="28" t="n">
        <x:f>J3742-K3742</x:f>
        <x:v>5</x:v>
      </x:c>
      <x:c r="AC3742" s="32" t="n">
        <x:f>F3742-G3742</x:f>
        <x:v>3</x:v>
      </x:c>
    </x:row>
    <x:row r="3743">
      <x:c r="A3743" s="4" t="str">
        <x:v>2025-26</x:v>
      </x:c>
      <x:c r="B3743" s="20" t="n">
        <x:v>46151</x:v>
      </x:c>
      <x:c r="C3743" s="4" t="str">
        <x:v>Chelsea</x:v>
      </x:c>
      <x:c r="D3743" s="4" t="str">
        <x:v>Liverpool</x:v>
      </x:c>
      <x:c r="E3743" s="4" t="str">
        <x:v>Away</x:v>
      </x:c>
      <x:c r="F3743" s="28" t="n">
        <x:v>1</x:v>
      </x:c>
      <x:c r="G3743" s="28" t="n">
        <x:v>1</x:v>
      </x:c>
      <x:c r="H3743" s="28" t="n">
        <x:v>6</x:v>
      </x:c>
      <x:c r="I3743" s="28" t="n">
        <x:v>8</x:v>
      </x:c>
      <x:c r="J3743" s="28" t="n">
        <x:v>3</x:v>
      </x:c>
      <x:c r="K3743" s="28" t="n">
        <x:v>3</x:v>
      </x:c>
      <x:c r="L3743" s="28" t="n">
        <x:v>2</x:v>
      </x:c>
      <x:c r="M3743" s="28" t="n">
        <x:v>5</x:v>
      </x:c>
      <x:c r="N3743" s="28" t="n">
        <x:v>4</x:v>
      </x:c>
      <x:c r="O3743" s="28" t="n">
        <x:v>0</x:v>
      </x:c>
      <x:c r="P3743" s="28" t="n">
        <x:v>1</x:v>
      </x:c>
      <x:c r="Q3743" s="24" t="n">
        <x:f>IFERROR(J3743/H3743,0)</x:f>
        <x:v>0.5</x:v>
      </x:c>
      <x:c r="R3743" s="24" t="n">
        <x:f>IFERROR(F3743/H3743,0)</x:f>
        <x:v>0.16666666666666666</x:v>
      </x:c>
      <x:c r="S3743" s="24" t="n">
        <x:f>IFERROR(F3743/J3743,0)</x:f>
        <x:v>0.3333333333333333</x:v>
      </x:c>
      <x:c r="T3743" s="28" t="n">
        <x:f>H3743-I3743</x:f>
        <x:v>-2</x:v>
      </x:c>
      <x:c r="U3743" s="24" t="n">
        <x:f>IFERROR(J3743/H3743,0)-IFERROR(K3743/I3743,0)</x:f>
        <x:v>0.125</x:v>
      </x:c>
      <x:c r="V3743" s="24" t="n">
        <x:f>IFERROR(F3743/J3743,0)-IFERROR(G3743/K3743,0)</x:f>
        <x:v>0</x:v>
      </x:c>
      <x:c r="W3743" s="28" t="n">
        <x:f>L3743-M3743</x:f>
        <x:v>-3</x:v>
      </x:c>
      <x:c r="X3743" s="24" t="n">
        <x:f>IFERROR(K3743/I3743,0)</x:f>
        <x:v>0.375</x:v>
      </x:c>
      <x:c r="Y3743" s="24" t="n">
        <x:f>IFERROR(G3743/I3743,0)</x:f>
        <x:v>0.125</x:v>
      </x:c>
      <x:c r="Z3743" s="24" t="n">
        <x:f>IFERROR(G3743/K3743,0)</x:f>
        <x:v>0.3333333333333333</x:v>
      </x:c>
      <x:c r="AA3743" s="24" t="n">
        <x:f>IFERROR(F3743/H3743,0)-IFERROR(G3743/I3743,0)</x:f>
        <x:v>0.04166666666666666</x:v>
      </x:c>
      <x:c r="AB3743" s="28" t="n">
        <x:f>J3743-K3743</x:f>
        <x:v>0</x:v>
      </x:c>
      <x:c r="AC3743" s="32" t="n">
        <x:f>F3743-G3743</x:f>
        <x:v>0</x:v>
      </x:c>
    </x:row>
    <x:row r="3744">
      <x:c r="A3744" s="4" t="str">
        <x:v>2025-26</x:v>
      </x:c>
      <x:c r="B3744" s="20" t="n">
        <x:v>46151</x:v>
      </x:c>
      <x:c r="C3744" s="4" t="str">
        <x:v>Fulham</x:v>
      </x:c>
      <x:c r="D3744" s="4" t="str">
        <x:v>Bournemouth</x:v>
      </x:c>
      <x:c r="E3744" s="4" t="str">
        <x:v>Home</x:v>
      </x:c>
      <x:c r="F3744" s="28" t="n">
        <x:v>0</x:v>
      </x:c>
      <x:c r="G3744" s="28" t="n">
        <x:v>1</x:v>
      </x:c>
      <x:c r="H3744" s="28" t="n">
        <x:v>14</x:v>
      </x:c>
      <x:c r="I3744" s="28" t="n">
        <x:v>10</x:v>
      </x:c>
      <x:c r="J3744" s="28" t="n">
        <x:v>2</x:v>
      </x:c>
      <x:c r="K3744" s="28" t="n">
        <x:v>5</x:v>
      </x:c>
      <x:c r="L3744" s="28" t="n">
        <x:v>11</x:v>
      </x:c>
      <x:c r="M3744" s="28" t="n">
        <x:v>2</x:v>
      </x:c>
      <x:c r="N3744" s="28" t="n">
        <x:v>4</x:v>
      </x:c>
      <x:c r="O3744" s="28" t="n">
        <x:v>1</x:v>
      </x:c>
      <x:c r="P3744" s="28" t="n">
        <x:v>0</x:v>
      </x:c>
      <x:c r="Q3744" s="24" t="n">
        <x:f>IFERROR(J3744/H3744,0)</x:f>
        <x:v>0.14285714285714285</x:v>
      </x:c>
      <x:c r="R3744" s="24" t="n">
        <x:f>IFERROR(F3744/H3744,0)</x:f>
        <x:v>0</x:v>
      </x:c>
      <x:c r="S3744" s="24" t="n">
        <x:f>IFERROR(F3744/J3744,0)</x:f>
        <x:v>0</x:v>
      </x:c>
      <x:c r="T3744" s="28" t="n">
        <x:f>H3744-I3744</x:f>
        <x:v>4</x:v>
      </x:c>
      <x:c r="U3744" s="24" t="n">
        <x:f>IFERROR(J3744/H3744,0)-IFERROR(K3744/I3744,0)</x:f>
        <x:v>-0.35714285714285715</x:v>
      </x:c>
      <x:c r="V3744" s="24" t="n">
        <x:f>IFERROR(F3744/J3744,0)-IFERROR(G3744/K3744,0)</x:f>
        <x:v>-0.2</x:v>
      </x:c>
      <x:c r="W3744" s="28" t="n">
        <x:f>L3744-M3744</x:f>
        <x:v>9</x:v>
      </x:c>
      <x:c r="X3744" s="24" t="n">
        <x:f>IFERROR(K3744/I3744,0)</x:f>
        <x:v>0.5</x:v>
      </x:c>
      <x:c r="Y3744" s="24" t="n">
        <x:f>IFERROR(G3744/I3744,0)</x:f>
        <x:v>0.1</x:v>
      </x:c>
      <x:c r="Z3744" s="24" t="n">
        <x:f>IFERROR(G3744/K3744,0)</x:f>
        <x:v>0.2</x:v>
      </x:c>
      <x:c r="AA3744" s="24" t="n">
        <x:f>IFERROR(F3744/H3744,0)-IFERROR(G3744/I3744,0)</x:f>
        <x:v>-0.1</x:v>
      </x:c>
      <x:c r="AB3744" s="28" t="n">
        <x:f>J3744-K3744</x:f>
        <x:v>-3</x:v>
      </x:c>
      <x:c r="AC3744" s="32" t="n">
        <x:f>F3744-G3744</x:f>
        <x:v>-1</x:v>
      </x:c>
    </x:row>
    <x:row r="3745">
      <x:c r="A3745" s="4" t="str">
        <x:v>2025-26</x:v>
      </x:c>
      <x:c r="B3745" s="20" t="n">
        <x:v>46151</x:v>
      </x:c>
      <x:c r="C3745" s="4" t="str">
        <x:v>Liverpool</x:v>
      </x:c>
      <x:c r="D3745" s="4" t="str">
        <x:v>Chelsea</x:v>
      </x:c>
      <x:c r="E3745" s="4" t="str">
        <x:v>Home</x:v>
      </x:c>
      <x:c r="F3745" s="28" t="n">
        <x:v>1</x:v>
      </x:c>
      <x:c r="G3745" s="28" t="n">
        <x:v>1</x:v>
      </x:c>
      <x:c r="H3745" s="28" t="n">
        <x:v>8</x:v>
      </x:c>
      <x:c r="I3745" s="28" t="n">
        <x:v>6</x:v>
      </x:c>
      <x:c r="J3745" s="28" t="n">
        <x:v>3</x:v>
      </x:c>
      <x:c r="K3745" s="28" t="n">
        <x:v>3</x:v>
      </x:c>
      <x:c r="L3745" s="28" t="n">
        <x:v>5</x:v>
      </x:c>
      <x:c r="M3745" s="28" t="n">
        <x:v>2</x:v>
      </x:c>
      <x:c r="N3745" s="28" t="n">
        <x:v>2</x:v>
      </x:c>
      <x:c r="O3745" s="28" t="n">
        <x:v>0</x:v>
      </x:c>
      <x:c r="P3745" s="28" t="n">
        <x:v>1</x:v>
      </x:c>
      <x:c r="Q3745" s="24" t="n">
        <x:f>IFERROR(J3745/H3745,0)</x:f>
        <x:v>0.375</x:v>
      </x:c>
      <x:c r="R3745" s="24" t="n">
        <x:f>IFERROR(F3745/H3745,0)</x:f>
        <x:v>0.125</x:v>
      </x:c>
      <x:c r="S3745" s="24" t="n">
        <x:f>IFERROR(F3745/J3745,0)</x:f>
        <x:v>0.3333333333333333</x:v>
      </x:c>
      <x:c r="T3745" s="28" t="n">
        <x:f>H3745-I3745</x:f>
        <x:v>2</x:v>
      </x:c>
      <x:c r="U3745" s="24" t="n">
        <x:f>IFERROR(J3745/H3745,0)-IFERROR(K3745/I3745,0)</x:f>
        <x:v>-0.125</x:v>
      </x:c>
      <x:c r="V3745" s="24" t="n">
        <x:f>IFERROR(F3745/J3745,0)-IFERROR(G3745/K3745,0)</x:f>
        <x:v>0</x:v>
      </x:c>
      <x:c r="W3745" s="28" t="n">
        <x:f>L3745-M3745</x:f>
        <x:v>3</x:v>
      </x:c>
      <x:c r="X3745" s="24" t="n">
        <x:f>IFERROR(K3745/I3745,0)</x:f>
        <x:v>0.5</x:v>
      </x:c>
      <x:c r="Y3745" s="24" t="n">
        <x:f>IFERROR(G3745/I3745,0)</x:f>
        <x:v>0.16666666666666666</x:v>
      </x:c>
      <x:c r="Z3745" s="24" t="n">
        <x:f>IFERROR(G3745/K3745,0)</x:f>
        <x:v>0.3333333333333333</x:v>
      </x:c>
      <x:c r="AA3745" s="24" t="n">
        <x:f>IFERROR(F3745/H3745,0)-IFERROR(G3745/I3745,0)</x:f>
        <x:v>-0.04166666666666666</x:v>
      </x:c>
      <x:c r="AB3745" s="28" t="n">
        <x:f>J3745-K3745</x:f>
        <x:v>0</x:v>
      </x:c>
      <x:c r="AC3745" s="32" t="n">
        <x:f>F3745-G3745</x:f>
        <x:v>0</x:v>
      </x:c>
    </x:row>
    <x:row r="3746">
      <x:c r="A3746" s="4" t="str">
        <x:v>2025-26</x:v>
      </x:c>
      <x:c r="B3746" s="20" t="n">
        <x:v>46151</x:v>
      </x:c>
      <x:c r="C3746" s="4" t="str">
        <x:v>Man City</x:v>
      </x:c>
      <x:c r="D3746" s="4" t="str">
        <x:v>Brentford</x:v>
      </x:c>
      <x:c r="E3746" s="4" t="str">
        <x:v>Home</x:v>
      </x:c>
      <x:c r="F3746" s="28" t="n">
        <x:v>3</x:v>
      </x:c>
      <x:c r="G3746" s="28" t="n">
        <x:v>0</x:v>
      </x:c>
      <x:c r="H3746" s="28" t="n">
        <x:v>25</x:v>
      </x:c>
      <x:c r="I3746" s="28" t="n">
        <x:v>4</x:v>
      </x:c>
      <x:c r="J3746" s="28" t="n">
        <x:v>10</x:v>
      </x:c>
      <x:c r="K3746" s="28" t="n">
        <x:v>2</x:v>
      </x:c>
      <x:c r="L3746" s="28" t="n">
        <x:v>10</x:v>
      </x:c>
      <x:c r="M3746" s="28" t="n">
        <x:v>2</x:v>
      </x:c>
      <x:c r="N3746" s="28" t="n">
        <x:v>4</x:v>
      </x:c>
      <x:c r="O3746" s="28" t="n">
        <x:v>0</x:v>
      </x:c>
      <x:c r="P3746" s="28" t="n">
        <x:v>3</x:v>
      </x:c>
      <x:c r="Q3746" s="24" t="n">
        <x:f>IFERROR(J3746/H3746,0)</x:f>
        <x:v>0.4</x:v>
      </x:c>
      <x:c r="R3746" s="24" t="n">
        <x:f>IFERROR(F3746/H3746,0)</x:f>
        <x:v>0.12</x:v>
      </x:c>
      <x:c r="S3746" s="24" t="n">
        <x:f>IFERROR(F3746/J3746,0)</x:f>
        <x:v>0.3</x:v>
      </x:c>
      <x:c r="T3746" s="28" t="n">
        <x:f>H3746-I3746</x:f>
        <x:v>21</x:v>
      </x:c>
      <x:c r="U3746" s="24" t="n">
        <x:f>IFERROR(J3746/H3746,0)-IFERROR(K3746/I3746,0)</x:f>
        <x:v>-0.09999999999999998</x:v>
      </x:c>
      <x:c r="V3746" s="24" t="n">
        <x:f>IFERROR(F3746/J3746,0)-IFERROR(G3746/K3746,0)</x:f>
        <x:v>0.3</x:v>
      </x:c>
      <x:c r="W3746" s="28" t="n">
        <x:f>L3746-M3746</x:f>
        <x:v>8</x:v>
      </x:c>
      <x:c r="X3746" s="24" t="n">
        <x:f>IFERROR(K3746/I3746,0)</x:f>
        <x:v>0.5</x:v>
      </x:c>
      <x:c r="Y3746" s="24" t="n">
        <x:f>IFERROR(G3746/I3746,0)</x:f>
        <x:v>0</x:v>
      </x:c>
      <x:c r="Z3746" s="24" t="n">
        <x:f>IFERROR(G3746/K3746,0)</x:f>
        <x:v>0</x:v>
      </x:c>
      <x:c r="AA3746" s="24" t="n">
        <x:f>IFERROR(F3746/H3746,0)-IFERROR(G3746/I3746,0)</x:f>
        <x:v>0.12</x:v>
      </x:c>
      <x:c r="AB3746" s="28" t="n">
        <x:f>J3746-K3746</x:f>
        <x:v>8</x:v>
      </x:c>
      <x:c r="AC3746" s="32" t="n">
        <x:f>F3746-G3746</x:f>
        <x:v>3</x:v>
      </x:c>
    </x:row>
    <x:row r="3747">
      <x:c r="A3747" s="4" t="str">
        <x:v>2025-26</x:v>
      </x:c>
      <x:c r="B3747" s="20" t="n">
        <x:v>46151</x:v>
      </x:c>
      <x:c r="C3747" s="4" t="str">
        <x:v>Man United</x:v>
      </x:c>
      <x:c r="D3747" s="4" t="str">
        <x:v>Sunderland</x:v>
      </x:c>
      <x:c r="E3747" s="4" t="str">
        <x:v>Away</x:v>
      </x:c>
      <x:c r="F3747" s="28" t="n">
        <x:v>0</x:v>
      </x:c>
      <x:c r="G3747" s="28" t="n">
        <x:v>0</x:v>
      </x:c>
      <x:c r="H3747" s="28" t="n">
        <x:v>11</x:v>
      </x:c>
      <x:c r="I3747" s="28" t="n">
        <x:v>15</x:v>
      </x:c>
      <x:c r="J3747" s="28" t="n">
        <x:v>1</x:v>
      </x:c>
      <x:c r="K3747" s="28" t="n">
        <x:v>4</x:v>
      </x:c>
      <x:c r="L3747" s="28" t="n">
        <x:v>8</x:v>
      </x:c>
      <x:c r="M3747" s="28" t="n">
        <x:v>7</x:v>
      </x:c>
      <x:c r="N3747" s="28" t="n">
        <x:v>3</x:v>
      </x:c>
      <x:c r="O3747" s="28" t="n">
        <x:v>0</x:v>
      </x:c>
      <x:c r="P3747" s="28" t="n">
        <x:v>1</x:v>
      </x:c>
      <x:c r="Q3747" s="24" t="n">
        <x:f>IFERROR(J3747/H3747,0)</x:f>
        <x:v>0.09090909090909091</x:v>
      </x:c>
      <x:c r="R3747" s="24" t="n">
        <x:f>IFERROR(F3747/H3747,0)</x:f>
        <x:v>0</x:v>
      </x:c>
      <x:c r="S3747" s="24" t="n">
        <x:f>IFERROR(F3747/J3747,0)</x:f>
        <x:v>0</x:v>
      </x:c>
      <x:c r="T3747" s="28" t="n">
        <x:f>H3747-I3747</x:f>
        <x:v>-4</x:v>
      </x:c>
      <x:c r="U3747" s="24" t="n">
        <x:f>IFERROR(J3747/H3747,0)-IFERROR(K3747/I3747,0)</x:f>
        <x:v>-0.17575757575757575</x:v>
      </x:c>
      <x:c r="V3747" s="24" t="n">
        <x:f>IFERROR(F3747/J3747,0)-IFERROR(G3747/K3747,0)</x:f>
        <x:v>0</x:v>
      </x:c>
      <x:c r="W3747" s="28" t="n">
        <x:f>L3747-M3747</x:f>
        <x:v>1</x:v>
      </x:c>
      <x:c r="X3747" s="24" t="n">
        <x:f>IFERROR(K3747/I3747,0)</x:f>
        <x:v>0.26666666666666666</x:v>
      </x:c>
      <x:c r="Y3747" s="24" t="n">
        <x:f>IFERROR(G3747/I3747,0)</x:f>
        <x:v>0</x:v>
      </x:c>
      <x:c r="Z3747" s="24" t="n">
        <x:f>IFERROR(G3747/K3747,0)</x:f>
        <x:v>0</x:v>
      </x:c>
      <x:c r="AA3747" s="24" t="n">
        <x:f>IFERROR(F3747/H3747,0)-IFERROR(G3747/I3747,0)</x:f>
        <x:v>0</x:v>
      </x:c>
      <x:c r="AB3747" s="28" t="n">
        <x:f>J3747-K3747</x:f>
        <x:v>-3</x:v>
      </x:c>
      <x:c r="AC3747" s="32" t="n">
        <x:f>F3747-G3747</x:f>
        <x:v>0</x:v>
      </x:c>
    </x:row>
    <x:row r="3748">
      <x:c r="A3748" s="4" t="str">
        <x:v>2025-26</x:v>
      </x:c>
      <x:c r="B3748" s="20" t="n">
        <x:v>46151</x:v>
      </x:c>
      <x:c r="C3748" s="4" t="str">
        <x:v>Sunderland</x:v>
      </x:c>
      <x:c r="D3748" s="4" t="str">
        <x:v>Man United</x:v>
      </x:c>
      <x:c r="E3748" s="4" t="str">
        <x:v>Home</x:v>
      </x:c>
      <x:c r="F3748" s="28" t="n">
        <x:v>0</x:v>
      </x:c>
      <x:c r="G3748" s="28" t="n">
        <x:v>0</x:v>
      </x:c>
      <x:c r="H3748" s="28" t="n">
        <x:v>15</x:v>
      </x:c>
      <x:c r="I3748" s="28" t="n">
        <x:v>11</x:v>
      </x:c>
      <x:c r="J3748" s="28" t="n">
        <x:v>4</x:v>
      </x:c>
      <x:c r="K3748" s="28" t="n">
        <x:v>1</x:v>
      </x:c>
      <x:c r="L3748" s="28" t="n">
        <x:v>7</x:v>
      </x:c>
      <x:c r="M3748" s="28" t="n">
        <x:v>8</x:v>
      </x:c>
      <x:c r="N3748" s="28" t="n">
        <x:v>0</x:v>
      </x:c>
      <x:c r="O3748" s="28" t="n">
        <x:v>0</x:v>
      </x:c>
      <x:c r="P3748" s="28" t="n">
        <x:v>1</x:v>
      </x:c>
      <x:c r="Q3748" s="24" t="n">
        <x:f>IFERROR(J3748/H3748,0)</x:f>
        <x:v>0.26666666666666666</x:v>
      </x:c>
      <x:c r="R3748" s="24" t="n">
        <x:f>IFERROR(F3748/H3748,0)</x:f>
        <x:v>0</x:v>
      </x:c>
      <x:c r="S3748" s="24" t="n">
        <x:f>IFERROR(F3748/J3748,0)</x:f>
        <x:v>0</x:v>
      </x:c>
      <x:c r="T3748" s="28" t="n">
        <x:f>H3748-I3748</x:f>
        <x:v>4</x:v>
      </x:c>
      <x:c r="U3748" s="24" t="n">
        <x:f>IFERROR(J3748/H3748,0)-IFERROR(K3748/I3748,0)</x:f>
        <x:v>0.17575757575757575</x:v>
      </x:c>
      <x:c r="V3748" s="24" t="n">
        <x:f>IFERROR(F3748/J3748,0)-IFERROR(G3748/K3748,0)</x:f>
        <x:v>0</x:v>
      </x:c>
      <x:c r="W3748" s="28" t="n">
        <x:f>L3748-M3748</x:f>
        <x:v>-1</x:v>
      </x:c>
      <x:c r="X3748" s="24" t="n">
        <x:f>IFERROR(K3748/I3748,0)</x:f>
        <x:v>0.09090909090909091</x:v>
      </x:c>
      <x:c r="Y3748" s="24" t="n">
        <x:f>IFERROR(G3748/I3748,0)</x:f>
        <x:v>0</x:v>
      </x:c>
      <x:c r="Z3748" s="24" t="n">
        <x:f>IFERROR(G3748/K3748,0)</x:f>
        <x:v>0</x:v>
      </x:c>
      <x:c r="AA3748" s="24" t="n">
        <x:f>IFERROR(F3748/H3748,0)-IFERROR(G3748/I3748,0)</x:f>
        <x:v>0</x:v>
      </x:c>
      <x:c r="AB3748" s="28" t="n">
        <x:f>J3748-K3748</x:f>
        <x:v>3</x:v>
      </x:c>
      <x:c r="AC3748" s="32" t="n">
        <x:f>F3748-G3748</x:f>
        <x:v>0</x:v>
      </x:c>
    </x:row>
    <x:row r="3749">
      <x:c r="A3749" s="4" t="str">
        <x:v>2025-26</x:v>
      </x:c>
      <x:c r="B3749" s="20" t="n">
        <x:v>46151</x:v>
      </x:c>
      <x:c r="C3749" s="4" t="str">
        <x:v>Wolves</x:v>
      </x:c>
      <x:c r="D3749" s="4" t="str">
        <x:v>Brighton</x:v>
      </x:c>
      <x:c r="E3749" s="4" t="str">
        <x:v>Away</x:v>
      </x:c>
      <x:c r="F3749" s="28" t="n">
        <x:v>0</x:v>
      </x:c>
      <x:c r="G3749" s="28" t="n">
        <x:v>3</x:v>
      </x:c>
      <x:c r="H3749" s="28" t="n">
        <x:v>5</x:v>
      </x:c>
      <x:c r="I3749" s="28" t="n">
        <x:v>14</x:v>
      </x:c>
      <x:c r="J3749" s="28" t="n">
        <x:v>1</x:v>
      </x:c>
      <x:c r="K3749" s="28" t="n">
        <x:v>6</x:v>
      </x:c>
      <x:c r="L3749" s="28" t="n">
        <x:v>1</x:v>
      </x:c>
      <x:c r="M3749" s="28" t="n">
        <x:v>7</x:v>
      </x:c>
      <x:c r="N3749" s="28" t="n">
        <x:v>2</x:v>
      </x:c>
      <x:c r="O3749" s="28" t="n">
        <x:v>0</x:v>
      </x:c>
      <x:c r="P3749" s="28" t="n">
        <x:v>0</x:v>
      </x:c>
      <x:c r="Q3749" s="24" t="n">
        <x:f>IFERROR(J3749/H3749,0)</x:f>
        <x:v>0.2</x:v>
      </x:c>
      <x:c r="R3749" s="24" t="n">
        <x:f>IFERROR(F3749/H3749,0)</x:f>
        <x:v>0</x:v>
      </x:c>
      <x:c r="S3749" s="24" t="n">
        <x:f>IFERROR(F3749/J3749,0)</x:f>
        <x:v>0</x:v>
      </x:c>
      <x:c r="T3749" s="28" t="n">
        <x:f>H3749-I3749</x:f>
        <x:v>-9</x:v>
      </x:c>
      <x:c r="U3749" s="24" t="n">
        <x:f>IFERROR(J3749/H3749,0)-IFERROR(K3749/I3749,0)</x:f>
        <x:v>-0.22857142857142854</x:v>
      </x:c>
      <x:c r="V3749" s="24" t="n">
        <x:f>IFERROR(F3749/J3749,0)-IFERROR(G3749/K3749,0)</x:f>
        <x:v>-0.5</x:v>
      </x:c>
      <x:c r="W3749" s="28" t="n">
        <x:f>L3749-M3749</x:f>
        <x:v>-6</x:v>
      </x:c>
      <x:c r="X3749" s="24" t="n">
        <x:f>IFERROR(K3749/I3749,0)</x:f>
        <x:v>0.42857142857142855</x:v>
      </x:c>
      <x:c r="Y3749" s="24" t="n">
        <x:f>IFERROR(G3749/I3749,0)</x:f>
        <x:v>0.21428571428571427</x:v>
      </x:c>
      <x:c r="Z3749" s="24" t="n">
        <x:f>IFERROR(G3749/K3749,0)</x:f>
        <x:v>0.5</x:v>
      </x:c>
      <x:c r="AA3749" s="24" t="n">
        <x:f>IFERROR(F3749/H3749,0)-IFERROR(G3749/I3749,0)</x:f>
        <x:v>-0.21428571428571427</x:v>
      </x:c>
      <x:c r="AB3749" s="28" t="n">
        <x:f>J3749-K3749</x:f>
        <x:v>-5</x:v>
      </x:c>
      <x:c r="AC3749" s="32" t="n">
        <x:f>F3749-G3749</x:f>
        <x:v>-3</x:v>
      </x:c>
    </x:row>
    <x:row r="3750">
      <x:c r="A3750" s="4" t="str">
        <x:v>2025-26</x:v>
      </x:c>
      <x:c r="B3750" s="20" t="n">
        <x:v>46152</x:v>
      </x:c>
      <x:c r="C3750" s="4" t="str">
        <x:v>Arsenal</x:v>
      </x:c>
      <x:c r="D3750" s="4" t="str">
        <x:v>West Ham</x:v>
      </x:c>
      <x:c r="E3750" s="4" t="str">
        <x:v>Away</x:v>
      </x:c>
      <x:c r="F3750" s="28" t="n">
        <x:v>1</x:v>
      </x:c>
      <x:c r="G3750" s="28" t="n">
        <x:v>0</x:v>
      </x:c>
      <x:c r="H3750" s="28" t="n">
        <x:v>15</x:v>
      </x:c>
      <x:c r="I3750" s="28" t="n">
        <x:v>9</x:v>
      </x:c>
      <x:c r="J3750" s="28" t="n">
        <x:v>4</x:v>
      </x:c>
      <x:c r="K3750" s="28" t="n">
        <x:v>3</x:v>
      </x:c>
      <x:c r="L3750" s="28" t="n">
        <x:v>3</x:v>
      </x:c>
      <x:c r="M3750" s="28" t="n">
        <x:v>4</x:v>
      </x:c>
      <x:c r="N3750" s="28" t="n">
        <x:v>4</x:v>
      </x:c>
      <x:c r="O3750" s="28" t="n">
        <x:v>0</x:v>
      </x:c>
      <x:c r="P3750" s="28" t="n">
        <x:v>3</x:v>
      </x:c>
      <x:c r="Q3750" s="24" t="n">
        <x:f>IFERROR(J3750/H3750,0)</x:f>
        <x:v>0.26666666666666666</x:v>
      </x:c>
      <x:c r="R3750" s="24" t="n">
        <x:f>IFERROR(F3750/H3750,0)</x:f>
        <x:v>0.06666666666666667</x:v>
      </x:c>
      <x:c r="S3750" s="24" t="n">
        <x:f>IFERROR(F3750/J3750,0)</x:f>
        <x:v>0.25</x:v>
      </x:c>
      <x:c r="T3750" s="28" t="n">
        <x:f>H3750-I3750</x:f>
        <x:v>6</x:v>
      </x:c>
      <x:c r="U3750" s="24" t="n">
        <x:f>IFERROR(J3750/H3750,0)-IFERROR(K3750/I3750,0)</x:f>
        <x:v>-0.06666666666666665</x:v>
      </x:c>
      <x:c r="V3750" s="24" t="n">
        <x:f>IFERROR(F3750/J3750,0)-IFERROR(G3750/K3750,0)</x:f>
        <x:v>0.25</x:v>
      </x:c>
      <x:c r="W3750" s="28" t="n">
        <x:f>L3750-M3750</x:f>
        <x:v>-1</x:v>
      </x:c>
      <x:c r="X3750" s="24" t="n">
        <x:f>IFERROR(K3750/I3750,0)</x:f>
        <x:v>0.3333333333333333</x:v>
      </x:c>
      <x:c r="Y3750" s="24" t="n">
        <x:f>IFERROR(G3750/I3750,0)</x:f>
        <x:v>0</x:v>
      </x:c>
      <x:c r="Z3750" s="24" t="n">
        <x:f>IFERROR(G3750/K3750,0)</x:f>
        <x:v>0</x:v>
      </x:c>
      <x:c r="AA3750" s="24" t="n">
        <x:f>IFERROR(F3750/H3750,0)-IFERROR(G3750/I3750,0)</x:f>
        <x:v>0.06666666666666667</x:v>
      </x:c>
      <x:c r="AB3750" s="28" t="n">
        <x:f>J3750-K3750</x:f>
        <x:v>1</x:v>
      </x:c>
      <x:c r="AC3750" s="32" t="n">
        <x:f>F3750-G3750</x:f>
        <x:v>1</x:v>
      </x:c>
    </x:row>
    <x:row r="3751">
      <x:c r="A3751" s="4" t="str">
        <x:v>2025-26</x:v>
      </x:c>
      <x:c r="B3751" s="20" t="n">
        <x:v>46152</x:v>
      </x:c>
      <x:c r="C3751" s="4" t="str">
        <x:v>Aston Villa</x:v>
      </x:c>
      <x:c r="D3751" s="4" t="str">
        <x:v>Burnley</x:v>
      </x:c>
      <x:c r="E3751" s="4" t="str">
        <x:v>Away</x:v>
      </x:c>
      <x:c r="F3751" s="28" t="n">
        <x:v>2</x:v>
      </x:c>
      <x:c r="G3751" s="28" t="n">
        <x:v>2</x:v>
      </x:c>
      <x:c r="H3751" s="28" t="n">
        <x:v>18</x:v>
      </x:c>
      <x:c r="I3751" s="28" t="n">
        <x:v>15</x:v>
      </x:c>
      <x:c r="J3751" s="28" t="n">
        <x:v>7</x:v>
      </x:c>
      <x:c r="K3751" s="28" t="n">
        <x:v>6</x:v>
      </x:c>
      <x:c r="L3751" s="28" t="n">
        <x:v>8</x:v>
      </x:c>
      <x:c r="M3751" s="28" t="n">
        <x:v>2</x:v>
      </x:c>
      <x:c r="N3751" s="28" t="n">
        <x:v>1</x:v>
      </x:c>
      <x:c r="O3751" s="28" t="n">
        <x:v>0</x:v>
      </x:c>
      <x:c r="P3751" s="28" t="n">
        <x:v>1</x:v>
      </x:c>
      <x:c r="Q3751" s="24" t="n">
        <x:f>IFERROR(J3751/H3751,0)</x:f>
        <x:v>0.3888888888888889</x:v>
      </x:c>
      <x:c r="R3751" s="24" t="n">
        <x:f>IFERROR(F3751/H3751,0)</x:f>
        <x:v>0.1111111111111111</x:v>
      </x:c>
      <x:c r="S3751" s="24" t="n">
        <x:f>IFERROR(F3751/J3751,0)</x:f>
        <x:v>0.2857142857142857</x:v>
      </x:c>
      <x:c r="T3751" s="28" t="n">
        <x:f>H3751-I3751</x:f>
        <x:v>3</x:v>
      </x:c>
      <x:c r="U3751" s="24" t="n">
        <x:f>IFERROR(J3751/H3751,0)-IFERROR(K3751/I3751,0)</x:f>
        <x:v>-0.011111111111111127</x:v>
      </x:c>
      <x:c r="V3751" s="24" t="n">
        <x:f>IFERROR(F3751/J3751,0)-IFERROR(G3751/K3751,0)</x:f>
        <x:v>-0.047619047619047616</x:v>
      </x:c>
      <x:c r="W3751" s="28" t="n">
        <x:f>L3751-M3751</x:f>
        <x:v>6</x:v>
      </x:c>
      <x:c r="X3751" s="24" t="n">
        <x:f>IFERROR(K3751/I3751,0)</x:f>
        <x:v>0.4</x:v>
      </x:c>
      <x:c r="Y3751" s="24" t="n">
        <x:f>IFERROR(G3751/I3751,0)</x:f>
        <x:v>0.13333333333333333</x:v>
      </x:c>
      <x:c r="Z3751" s="24" t="n">
        <x:f>IFERROR(G3751/K3751,0)</x:f>
        <x:v>0.3333333333333333</x:v>
      </x:c>
      <x:c r="AA3751" s="24" t="n">
        <x:f>IFERROR(F3751/H3751,0)-IFERROR(G3751/I3751,0)</x:f>
        <x:v>-0.022222222222222227</x:v>
      </x:c>
      <x:c r="AB3751" s="28" t="n">
        <x:f>J3751-K3751</x:f>
        <x:v>1</x:v>
      </x:c>
      <x:c r="AC3751" s="32" t="n">
        <x:f>F3751-G3751</x:f>
        <x:v>0</x:v>
      </x:c>
    </x:row>
    <x:row r="3752">
      <x:c r="A3752" s="4" t="str">
        <x:v>2025-26</x:v>
      </x:c>
      <x:c r="B3752" s="20" t="n">
        <x:v>46152</x:v>
      </x:c>
      <x:c r="C3752" s="4" t="str">
        <x:v>Burnley</x:v>
      </x:c>
      <x:c r="D3752" s="4" t="str">
        <x:v>Aston Villa</x:v>
      </x:c>
      <x:c r="E3752" s="4" t="str">
        <x:v>Home</x:v>
      </x:c>
      <x:c r="F3752" s="28" t="n">
        <x:v>2</x:v>
      </x:c>
      <x:c r="G3752" s="28" t="n">
        <x:v>2</x:v>
      </x:c>
      <x:c r="H3752" s="28" t="n">
        <x:v>15</x:v>
      </x:c>
      <x:c r="I3752" s="28" t="n">
        <x:v>18</x:v>
      </x:c>
      <x:c r="J3752" s="28" t="n">
        <x:v>6</x:v>
      </x:c>
      <x:c r="K3752" s="28" t="n">
        <x:v>7</x:v>
      </x:c>
      <x:c r="L3752" s="28" t="n">
        <x:v>2</x:v>
      </x:c>
      <x:c r="M3752" s="28" t="n">
        <x:v>8</x:v>
      </x:c>
      <x:c r="N3752" s="28" t="n">
        <x:v>1</x:v>
      </x:c>
      <x:c r="O3752" s="28" t="n">
        <x:v>0</x:v>
      </x:c>
      <x:c r="P3752" s="28" t="n">
        <x:v>1</x:v>
      </x:c>
      <x:c r="Q3752" s="24" t="n">
        <x:f>IFERROR(J3752/H3752,0)</x:f>
        <x:v>0.4</x:v>
      </x:c>
      <x:c r="R3752" s="24" t="n">
        <x:f>IFERROR(F3752/H3752,0)</x:f>
        <x:v>0.13333333333333333</x:v>
      </x:c>
      <x:c r="S3752" s="24" t="n">
        <x:f>IFERROR(F3752/J3752,0)</x:f>
        <x:v>0.3333333333333333</x:v>
      </x:c>
      <x:c r="T3752" s="28" t="n">
        <x:f>H3752-I3752</x:f>
        <x:v>-3</x:v>
      </x:c>
      <x:c r="U3752" s="24" t="n">
        <x:f>IFERROR(J3752/H3752,0)-IFERROR(K3752/I3752,0)</x:f>
        <x:v>0.011111111111111127</x:v>
      </x:c>
      <x:c r="V3752" s="24" t="n">
        <x:f>IFERROR(F3752/J3752,0)-IFERROR(G3752/K3752,0)</x:f>
        <x:v>0.047619047619047616</x:v>
      </x:c>
      <x:c r="W3752" s="28" t="n">
        <x:f>L3752-M3752</x:f>
        <x:v>-6</x:v>
      </x:c>
      <x:c r="X3752" s="24" t="n">
        <x:f>IFERROR(K3752/I3752,0)</x:f>
        <x:v>0.3888888888888889</x:v>
      </x:c>
      <x:c r="Y3752" s="24" t="n">
        <x:f>IFERROR(G3752/I3752,0)</x:f>
        <x:v>0.1111111111111111</x:v>
      </x:c>
      <x:c r="Z3752" s="24" t="n">
        <x:f>IFERROR(G3752/K3752,0)</x:f>
        <x:v>0.2857142857142857</x:v>
      </x:c>
      <x:c r="AA3752" s="24" t="n">
        <x:f>IFERROR(F3752/H3752,0)-IFERROR(G3752/I3752,0)</x:f>
        <x:v>0.022222222222222227</x:v>
      </x:c>
      <x:c r="AB3752" s="28" t="n">
        <x:f>J3752-K3752</x:f>
        <x:v>-1</x:v>
      </x:c>
      <x:c r="AC3752" s="32" t="n">
        <x:f>F3752-G3752</x:f>
        <x:v>0</x:v>
      </x:c>
    </x:row>
    <x:row r="3753">
      <x:c r="A3753" s="4" t="str">
        <x:v>2025-26</x:v>
      </x:c>
      <x:c r="B3753" s="20" t="n">
        <x:v>46152</x:v>
      </x:c>
      <x:c r="C3753" s="4" t="str">
        <x:v>Crystal Palace</x:v>
      </x:c>
      <x:c r="D3753" s="4" t="str">
        <x:v>Everton</x:v>
      </x:c>
      <x:c r="E3753" s="4" t="str">
        <x:v>Home</x:v>
      </x:c>
      <x:c r="F3753" s="28" t="n">
        <x:v>2</x:v>
      </x:c>
      <x:c r="G3753" s="28" t="n">
        <x:v>2</x:v>
      </x:c>
      <x:c r="H3753" s="28" t="n">
        <x:v>21</x:v>
      </x:c>
      <x:c r="I3753" s="28" t="n">
        <x:v>13</x:v>
      </x:c>
      <x:c r="J3753" s="28" t="n">
        <x:v>8</x:v>
      </x:c>
      <x:c r="K3753" s="28" t="n">
        <x:v>6</x:v>
      </x:c>
      <x:c r="L3753" s="28" t="n">
        <x:v>5</x:v>
      </x:c>
      <x:c r="M3753" s="28" t="n">
        <x:v>10</x:v>
      </x:c>
      <x:c r="N3753" s="28" t="n">
        <x:v>0</x:v>
      </x:c>
      <x:c r="O3753" s="28" t="n">
        <x:v>0</x:v>
      </x:c>
      <x:c r="P3753" s="28" t="n">
        <x:v>1</x:v>
      </x:c>
      <x:c r="Q3753" s="24" t="n">
        <x:f>IFERROR(J3753/H3753,0)</x:f>
        <x:v>0.38095238095238093</x:v>
      </x:c>
      <x:c r="R3753" s="24" t="n">
        <x:f>IFERROR(F3753/H3753,0)</x:f>
        <x:v>0.09523809523809523</x:v>
      </x:c>
      <x:c r="S3753" s="24" t="n">
        <x:f>IFERROR(F3753/J3753,0)</x:f>
        <x:v>0.25</x:v>
      </x:c>
      <x:c r="T3753" s="28" t="n">
        <x:f>H3753-I3753</x:f>
        <x:v>8</x:v>
      </x:c>
      <x:c r="U3753" s="24" t="n">
        <x:f>IFERROR(J3753/H3753,0)-IFERROR(K3753/I3753,0)</x:f>
        <x:v>-0.08058608058608063</x:v>
      </x:c>
      <x:c r="V3753" s="24" t="n">
        <x:f>IFERROR(F3753/J3753,0)-IFERROR(G3753/K3753,0)</x:f>
        <x:v>-0.08333333333333331</x:v>
      </x:c>
      <x:c r="W3753" s="28" t="n">
        <x:f>L3753-M3753</x:f>
        <x:v>-5</x:v>
      </x:c>
      <x:c r="X3753" s="24" t="n">
        <x:f>IFERROR(K3753/I3753,0)</x:f>
        <x:v>0.46153846153846156</x:v>
      </x:c>
      <x:c r="Y3753" s="24" t="n">
        <x:f>IFERROR(G3753/I3753,0)</x:f>
        <x:v>0.15384615384615385</x:v>
      </x:c>
      <x:c r="Z3753" s="24" t="n">
        <x:f>IFERROR(G3753/K3753,0)</x:f>
        <x:v>0.3333333333333333</x:v>
      </x:c>
      <x:c r="AA3753" s="24" t="n">
        <x:f>IFERROR(F3753/H3753,0)-IFERROR(G3753/I3753,0)</x:f>
        <x:v>-0.05860805860805862</x:v>
      </x:c>
      <x:c r="AB3753" s="28" t="n">
        <x:f>J3753-K3753</x:f>
        <x:v>2</x:v>
      </x:c>
      <x:c r="AC3753" s="32" t="n">
        <x:f>F3753-G3753</x:f>
        <x:v>0</x:v>
      </x:c>
    </x:row>
    <x:row r="3754">
      <x:c r="A3754" s="4" t="str">
        <x:v>2025-26</x:v>
      </x:c>
      <x:c r="B3754" s="20" t="n">
        <x:v>46152</x:v>
      </x:c>
      <x:c r="C3754" s="4" t="str">
        <x:v>Everton</x:v>
      </x:c>
      <x:c r="D3754" s="4" t="str">
        <x:v>Crystal Palace</x:v>
      </x:c>
      <x:c r="E3754" s="4" t="str">
        <x:v>Away</x:v>
      </x:c>
      <x:c r="F3754" s="28" t="n">
        <x:v>2</x:v>
      </x:c>
      <x:c r="G3754" s="28" t="n">
        <x:v>2</x:v>
      </x:c>
      <x:c r="H3754" s="28" t="n">
        <x:v>13</x:v>
      </x:c>
      <x:c r="I3754" s="28" t="n">
        <x:v>21</x:v>
      </x:c>
      <x:c r="J3754" s="28" t="n">
        <x:v>6</x:v>
      </x:c>
      <x:c r="K3754" s="28" t="n">
        <x:v>8</x:v>
      </x:c>
      <x:c r="L3754" s="28" t="n">
        <x:v>10</x:v>
      </x:c>
      <x:c r="M3754" s="28" t="n">
        <x:v>5</x:v>
      </x:c>
      <x:c r="N3754" s="28" t="n">
        <x:v>2</x:v>
      </x:c>
      <x:c r="O3754" s="28" t="n">
        <x:v>0</x:v>
      </x:c>
      <x:c r="P3754" s="28" t="n">
        <x:v>1</x:v>
      </x:c>
      <x:c r="Q3754" s="24" t="n">
        <x:f>IFERROR(J3754/H3754,0)</x:f>
        <x:v>0.46153846153846156</x:v>
      </x:c>
      <x:c r="R3754" s="24" t="n">
        <x:f>IFERROR(F3754/H3754,0)</x:f>
        <x:v>0.15384615384615385</x:v>
      </x:c>
      <x:c r="S3754" s="24" t="n">
        <x:f>IFERROR(F3754/J3754,0)</x:f>
        <x:v>0.3333333333333333</x:v>
      </x:c>
      <x:c r="T3754" s="28" t="n">
        <x:f>H3754-I3754</x:f>
        <x:v>-8</x:v>
      </x:c>
      <x:c r="U3754" s="24" t="n">
        <x:f>IFERROR(J3754/H3754,0)-IFERROR(K3754/I3754,0)</x:f>
        <x:v>0.08058608058608063</x:v>
      </x:c>
      <x:c r="V3754" s="24" t="n">
        <x:f>IFERROR(F3754/J3754,0)-IFERROR(G3754/K3754,0)</x:f>
        <x:v>0.08333333333333331</x:v>
      </x:c>
      <x:c r="W3754" s="28" t="n">
        <x:f>L3754-M3754</x:f>
        <x:v>5</x:v>
      </x:c>
      <x:c r="X3754" s="24" t="n">
        <x:f>IFERROR(K3754/I3754,0)</x:f>
        <x:v>0.38095238095238093</x:v>
      </x:c>
      <x:c r="Y3754" s="24" t="n">
        <x:f>IFERROR(G3754/I3754,0)</x:f>
        <x:v>0.09523809523809523</x:v>
      </x:c>
      <x:c r="Z3754" s="24" t="n">
        <x:f>IFERROR(G3754/K3754,0)</x:f>
        <x:v>0.25</x:v>
      </x:c>
      <x:c r="AA3754" s="24" t="n">
        <x:f>IFERROR(F3754/H3754,0)-IFERROR(G3754/I3754,0)</x:f>
        <x:v>0.05860805860805862</x:v>
      </x:c>
      <x:c r="AB3754" s="28" t="n">
        <x:f>J3754-K3754</x:f>
        <x:v>-2</x:v>
      </x:c>
      <x:c r="AC3754" s="32" t="n">
        <x:f>F3754-G3754</x:f>
        <x:v>0</x:v>
      </x:c>
    </x:row>
    <x:row r="3755">
      <x:c r="A3755" s="4" t="str">
        <x:v>2025-26</x:v>
      </x:c>
      <x:c r="B3755" s="20" t="n">
        <x:v>46152</x:v>
      </x:c>
      <x:c r="C3755" s="4" t="str">
        <x:v>Newcastle</x:v>
      </x:c>
      <x:c r="D3755" s="4" t="str">
        <x:v>Nott'm Forest</x:v>
      </x:c>
      <x:c r="E3755" s="4" t="str">
        <x:v>Away</x:v>
      </x:c>
      <x:c r="F3755" s="28" t="n">
        <x:v>1</x:v>
      </x:c>
      <x:c r="G3755" s="28" t="n">
        <x:v>1</x:v>
      </x:c>
      <x:c r="H3755" s="28" t="n">
        <x:v>16</x:v>
      </x:c>
      <x:c r="I3755" s="28" t="n">
        <x:v>17</x:v>
      </x:c>
      <x:c r="J3755" s="28" t="n">
        <x:v>6</x:v>
      </x:c>
      <x:c r="K3755" s="28" t="n">
        <x:v>6</x:v>
      </x:c>
      <x:c r="L3755" s="28" t="n">
        <x:v>1</x:v>
      </x:c>
      <x:c r="M3755" s="28" t="n">
        <x:v>2</x:v>
      </x:c>
      <x:c r="N3755" s="28" t="n">
        <x:v>0</x:v>
      </x:c>
      <x:c r="O3755" s="28" t="n">
        <x:v>0</x:v>
      </x:c>
      <x:c r="P3755" s="28" t="n">
        <x:v>1</x:v>
      </x:c>
      <x:c r="Q3755" s="24" t="n">
        <x:f>IFERROR(J3755/H3755,0)</x:f>
        <x:v>0.375</x:v>
      </x:c>
      <x:c r="R3755" s="24" t="n">
        <x:f>IFERROR(F3755/H3755,0)</x:f>
        <x:v>0.0625</x:v>
      </x:c>
      <x:c r="S3755" s="24" t="n">
        <x:f>IFERROR(F3755/J3755,0)</x:f>
        <x:v>0.16666666666666666</x:v>
      </x:c>
      <x:c r="T3755" s="28" t="n">
        <x:f>H3755-I3755</x:f>
        <x:v>-1</x:v>
      </x:c>
      <x:c r="U3755" s="24" t="n">
        <x:f>IFERROR(J3755/H3755,0)-IFERROR(K3755/I3755,0)</x:f>
        <x:v>0.022058823529411742</x:v>
      </x:c>
      <x:c r="V3755" s="24" t="n">
        <x:f>IFERROR(F3755/J3755,0)-IFERROR(G3755/K3755,0)</x:f>
        <x:v>0</x:v>
      </x:c>
      <x:c r="W3755" s="28" t="n">
        <x:f>L3755-M3755</x:f>
        <x:v>-1</x:v>
      </x:c>
      <x:c r="X3755" s="24" t="n">
        <x:f>IFERROR(K3755/I3755,0)</x:f>
        <x:v>0.35294117647058826</x:v>
      </x:c>
      <x:c r="Y3755" s="24" t="n">
        <x:f>IFERROR(G3755/I3755,0)</x:f>
        <x:v>0.058823529411764705</x:v>
      </x:c>
      <x:c r="Z3755" s="24" t="n">
        <x:f>IFERROR(G3755/K3755,0)</x:f>
        <x:v>0.16666666666666666</x:v>
      </x:c>
      <x:c r="AA3755" s="24" t="n">
        <x:f>IFERROR(F3755/H3755,0)-IFERROR(G3755/I3755,0)</x:f>
        <x:v>0.003676470588235295</x:v>
      </x:c>
      <x:c r="AB3755" s="28" t="n">
        <x:f>J3755-K3755</x:f>
        <x:v>0</x:v>
      </x:c>
      <x:c r="AC3755" s="32" t="n">
        <x:f>F3755-G3755</x:f>
        <x:v>0</x:v>
      </x:c>
    </x:row>
    <x:row r="3756">
      <x:c r="A3756" s="4" t="str">
        <x:v>2025-26</x:v>
      </x:c>
      <x:c r="B3756" s="20" t="n">
        <x:v>46152</x:v>
      </x:c>
      <x:c r="C3756" s="4" t="str">
        <x:v>Nott'm Forest</x:v>
      </x:c>
      <x:c r="D3756" s="4" t="str">
        <x:v>Newcastle</x:v>
      </x:c>
      <x:c r="E3756" s="4" t="str">
        <x:v>Home</x:v>
      </x:c>
      <x:c r="F3756" s="28" t="n">
        <x:v>1</x:v>
      </x:c>
      <x:c r="G3756" s="28" t="n">
        <x:v>1</x:v>
      </x:c>
      <x:c r="H3756" s="28" t="n">
        <x:v>17</x:v>
      </x:c>
      <x:c r="I3756" s="28" t="n">
        <x:v>16</x:v>
      </x:c>
      <x:c r="J3756" s="28" t="n">
        <x:v>6</x:v>
      </x:c>
      <x:c r="K3756" s="28" t="n">
        <x:v>6</x:v>
      </x:c>
      <x:c r="L3756" s="28" t="n">
        <x:v>2</x:v>
      </x:c>
      <x:c r="M3756" s="28" t="n">
        <x:v>1</x:v>
      </x:c>
      <x:c r="N3756" s="28" t="n">
        <x:v>2</x:v>
      </x:c>
      <x:c r="O3756" s="28" t="n">
        <x:v>0</x:v>
      </x:c>
      <x:c r="P3756" s="28" t="n">
        <x:v>1</x:v>
      </x:c>
      <x:c r="Q3756" s="24" t="n">
        <x:f>IFERROR(J3756/H3756,0)</x:f>
        <x:v>0.35294117647058826</x:v>
      </x:c>
      <x:c r="R3756" s="24" t="n">
        <x:f>IFERROR(F3756/H3756,0)</x:f>
        <x:v>0.058823529411764705</x:v>
      </x:c>
      <x:c r="S3756" s="24" t="n">
        <x:f>IFERROR(F3756/J3756,0)</x:f>
        <x:v>0.16666666666666666</x:v>
      </x:c>
      <x:c r="T3756" s="28" t="n">
        <x:f>H3756-I3756</x:f>
        <x:v>1</x:v>
      </x:c>
      <x:c r="U3756" s="24" t="n">
        <x:f>IFERROR(J3756/H3756,0)-IFERROR(K3756/I3756,0)</x:f>
        <x:v>-0.022058823529411742</x:v>
      </x:c>
      <x:c r="V3756" s="24" t="n">
        <x:f>IFERROR(F3756/J3756,0)-IFERROR(G3756/K3756,0)</x:f>
        <x:v>0</x:v>
      </x:c>
      <x:c r="W3756" s="28" t="n">
        <x:f>L3756-M3756</x:f>
        <x:v>1</x:v>
      </x:c>
      <x:c r="X3756" s="24" t="n">
        <x:f>IFERROR(K3756/I3756,0)</x:f>
        <x:v>0.375</x:v>
      </x:c>
      <x:c r="Y3756" s="24" t="n">
        <x:f>IFERROR(G3756/I3756,0)</x:f>
        <x:v>0.0625</x:v>
      </x:c>
      <x:c r="Z3756" s="24" t="n">
        <x:f>IFERROR(G3756/K3756,0)</x:f>
        <x:v>0.16666666666666666</x:v>
      </x:c>
      <x:c r="AA3756" s="24" t="n">
        <x:f>IFERROR(F3756/H3756,0)-IFERROR(G3756/I3756,0)</x:f>
        <x:v>-0.003676470588235295</x:v>
      </x:c>
      <x:c r="AB3756" s="28" t="n">
        <x:f>J3756-K3756</x:f>
        <x:v>0</x:v>
      </x:c>
      <x:c r="AC3756" s="32" t="n">
        <x:f>F3756-G3756</x:f>
        <x:v>0</x:v>
      </x:c>
    </x:row>
    <x:row r="3757">
      <x:c r="A3757" s="4" t="str">
        <x:v>2025-26</x:v>
      </x:c>
      <x:c r="B3757" s="20" t="n">
        <x:v>46152</x:v>
      </x:c>
      <x:c r="C3757" s="4" t="str">
        <x:v>West Ham</x:v>
      </x:c>
      <x:c r="D3757" s="4" t="str">
        <x:v>Arsenal</x:v>
      </x:c>
      <x:c r="E3757" s="4" t="str">
        <x:v>Home</x:v>
      </x:c>
      <x:c r="F3757" s="28" t="n">
        <x:v>0</x:v>
      </x:c>
      <x:c r="G3757" s="28" t="n">
        <x:v>1</x:v>
      </x:c>
      <x:c r="H3757" s="28" t="n">
        <x:v>9</x:v>
      </x:c>
      <x:c r="I3757" s="28" t="n">
        <x:v>15</x:v>
      </x:c>
      <x:c r="J3757" s="28" t="n">
        <x:v>3</x:v>
      </x:c>
      <x:c r="K3757" s="28" t="n">
        <x:v>4</x:v>
      </x:c>
      <x:c r="L3757" s="28" t="n">
        <x:v>4</x:v>
      </x:c>
      <x:c r="M3757" s="28" t="n">
        <x:v>3</x:v>
      </x:c>
      <x:c r="N3757" s="28" t="n">
        <x:v>3</x:v>
      </x:c>
      <x:c r="O3757" s="28" t="n">
        <x:v>0</x:v>
      </x:c>
      <x:c r="P3757" s="28" t="n">
        <x:v>0</x:v>
      </x:c>
      <x:c r="Q3757" s="24" t="n">
        <x:f>IFERROR(J3757/H3757,0)</x:f>
        <x:v>0.3333333333333333</x:v>
      </x:c>
      <x:c r="R3757" s="24" t="n">
        <x:f>IFERROR(F3757/H3757,0)</x:f>
        <x:v>0</x:v>
      </x:c>
      <x:c r="S3757" s="24" t="n">
        <x:f>IFERROR(F3757/J3757,0)</x:f>
        <x:v>0</x:v>
      </x:c>
      <x:c r="T3757" s="28" t="n">
        <x:f>H3757-I3757</x:f>
        <x:v>-6</x:v>
      </x:c>
      <x:c r="U3757" s="24" t="n">
        <x:f>IFERROR(J3757/H3757,0)-IFERROR(K3757/I3757,0)</x:f>
        <x:v>0.06666666666666665</x:v>
      </x:c>
      <x:c r="V3757" s="24" t="n">
        <x:f>IFERROR(F3757/J3757,0)-IFERROR(G3757/K3757,0)</x:f>
        <x:v>-0.25</x:v>
      </x:c>
      <x:c r="W3757" s="28" t="n">
        <x:f>L3757-M3757</x:f>
        <x:v>1</x:v>
      </x:c>
      <x:c r="X3757" s="24" t="n">
        <x:f>IFERROR(K3757/I3757,0)</x:f>
        <x:v>0.26666666666666666</x:v>
      </x:c>
      <x:c r="Y3757" s="24" t="n">
        <x:f>IFERROR(G3757/I3757,0)</x:f>
        <x:v>0.06666666666666667</x:v>
      </x:c>
      <x:c r="Z3757" s="24" t="n">
        <x:f>IFERROR(G3757/K3757,0)</x:f>
        <x:v>0.25</x:v>
      </x:c>
      <x:c r="AA3757" s="24" t="n">
        <x:f>IFERROR(F3757/H3757,0)-IFERROR(G3757/I3757,0)</x:f>
        <x:v>-0.06666666666666667</x:v>
      </x:c>
      <x:c r="AB3757" s="28" t="n">
        <x:f>J3757-K3757</x:f>
        <x:v>-1</x:v>
      </x:c>
      <x:c r="AC3757" s="32" t="n">
        <x:f>F3757-G3757</x:f>
        <x:v>-1</x:v>
      </x:c>
    </x:row>
    <x:row r="3758">
      <x:c r="A3758" s="4" t="str">
        <x:v>2025-26</x:v>
      </x:c>
      <x:c r="B3758" s="20" t="n">
        <x:v>46153</x:v>
      </x:c>
      <x:c r="C3758" s="4" t="str">
        <x:v>Leeds</x:v>
      </x:c>
      <x:c r="D3758" s="4" t="str">
        <x:v>Tottenham</x:v>
      </x:c>
      <x:c r="E3758" s="4" t="str">
        <x:v>Away</x:v>
      </x:c>
      <x:c r="F3758" s="28" t="n">
        <x:v>1</x:v>
      </x:c>
      <x:c r="G3758" s="28" t="n">
        <x:v>1</x:v>
      </x:c>
      <x:c r="H3758" s="28" t="n">
        <x:v>11</x:v>
      </x:c>
      <x:c r="I3758" s="28" t="n">
        <x:v>16</x:v>
      </x:c>
      <x:c r="J3758" s="28" t="n">
        <x:v>4</x:v>
      </x:c>
      <x:c r="K3758" s="28" t="n">
        <x:v>3</x:v>
      </x:c>
      <x:c r="L3758" s="28" t="n">
        <x:v>2</x:v>
      </x:c>
      <x:c r="M3758" s="28" t="n">
        <x:v>14</x:v>
      </x:c>
      <x:c r="N3758" s="28" t="n">
        <x:v>1</x:v>
      </x:c>
      <x:c r="O3758" s="28" t="n">
        <x:v>0</x:v>
      </x:c>
      <x:c r="P3758" s="28" t="n">
        <x:v>1</x:v>
      </x:c>
      <x:c r="Q3758" s="24" t="n">
        <x:f>IFERROR(J3758/H3758,0)</x:f>
        <x:v>0.36363636363636365</x:v>
      </x:c>
      <x:c r="R3758" s="24" t="n">
        <x:f>IFERROR(F3758/H3758,0)</x:f>
        <x:v>0.09090909090909091</x:v>
      </x:c>
      <x:c r="S3758" s="24" t="n">
        <x:f>IFERROR(F3758/J3758,0)</x:f>
        <x:v>0.25</x:v>
      </x:c>
      <x:c r="T3758" s="28" t="n">
        <x:f>H3758-I3758</x:f>
        <x:v>-5</x:v>
      </x:c>
      <x:c r="U3758" s="24" t="n">
        <x:f>IFERROR(J3758/H3758,0)-IFERROR(K3758/I3758,0)</x:f>
        <x:v>0.17613636363636365</x:v>
      </x:c>
      <x:c r="V3758" s="24" t="n">
        <x:f>IFERROR(F3758/J3758,0)-IFERROR(G3758/K3758,0)</x:f>
        <x:v>-0.08333333333333331</x:v>
      </x:c>
      <x:c r="W3758" s="28" t="n">
        <x:f>L3758-M3758</x:f>
        <x:v>-12</x:v>
      </x:c>
      <x:c r="X3758" s="24" t="n">
        <x:f>IFERROR(K3758/I3758,0)</x:f>
        <x:v>0.1875</x:v>
      </x:c>
      <x:c r="Y3758" s="24" t="n">
        <x:f>IFERROR(G3758/I3758,0)</x:f>
        <x:v>0.0625</x:v>
      </x:c>
      <x:c r="Z3758" s="24" t="n">
        <x:f>IFERROR(G3758/K3758,0)</x:f>
        <x:v>0.3333333333333333</x:v>
      </x:c>
      <x:c r="AA3758" s="24" t="n">
        <x:f>IFERROR(F3758/H3758,0)-IFERROR(G3758/I3758,0)</x:f>
        <x:v>0.02840909090909091</x:v>
      </x:c>
      <x:c r="AB3758" s="28" t="n">
        <x:f>J3758-K3758</x:f>
        <x:v>1</x:v>
      </x:c>
      <x:c r="AC3758" s="32" t="n">
        <x:f>F3758-G3758</x:f>
        <x:v>0</x:v>
      </x:c>
    </x:row>
    <x:row r="3759">
      <x:c r="A3759" s="4" t="str">
        <x:v>2025-26</x:v>
      </x:c>
      <x:c r="B3759" s="20" t="n">
        <x:v>46153</x:v>
      </x:c>
      <x:c r="C3759" s="4" t="str">
        <x:v>Tottenham</x:v>
      </x:c>
      <x:c r="D3759" s="4" t="str">
        <x:v>Leeds</x:v>
      </x:c>
      <x:c r="E3759" s="4" t="str">
        <x:v>Home</x:v>
      </x:c>
      <x:c r="F3759" s="28" t="n">
        <x:v>1</x:v>
      </x:c>
      <x:c r="G3759" s="28" t="n">
        <x:v>1</x:v>
      </x:c>
      <x:c r="H3759" s="28" t="n">
        <x:v>16</x:v>
      </x:c>
      <x:c r="I3759" s="28" t="n">
        <x:v>11</x:v>
      </x:c>
      <x:c r="J3759" s="28" t="n">
        <x:v>3</x:v>
      </x:c>
      <x:c r="K3759" s="28" t="n">
        <x:v>4</x:v>
      </x:c>
      <x:c r="L3759" s="28" t="n">
        <x:v>14</x:v>
      </x:c>
      <x:c r="M3759" s="28" t="n">
        <x:v>2</x:v>
      </x:c>
      <x:c r="N3759" s="28" t="n">
        <x:v>3</x:v>
      </x:c>
      <x:c r="O3759" s="28" t="n">
        <x:v>0</x:v>
      </x:c>
      <x:c r="P3759" s="28" t="n">
        <x:v>1</x:v>
      </x:c>
      <x:c r="Q3759" s="24" t="n">
        <x:f>IFERROR(J3759/H3759,0)</x:f>
        <x:v>0.1875</x:v>
      </x:c>
      <x:c r="R3759" s="24" t="n">
        <x:f>IFERROR(F3759/H3759,0)</x:f>
        <x:v>0.0625</x:v>
      </x:c>
      <x:c r="S3759" s="24" t="n">
        <x:f>IFERROR(F3759/J3759,0)</x:f>
        <x:v>0.3333333333333333</x:v>
      </x:c>
      <x:c r="T3759" s="28" t="n">
        <x:f>H3759-I3759</x:f>
        <x:v>5</x:v>
      </x:c>
      <x:c r="U3759" s="24" t="n">
        <x:f>IFERROR(J3759/H3759,0)-IFERROR(K3759/I3759,0)</x:f>
        <x:v>-0.17613636363636365</x:v>
      </x:c>
      <x:c r="V3759" s="24" t="n">
        <x:f>IFERROR(F3759/J3759,0)-IFERROR(G3759/K3759,0)</x:f>
        <x:v>0.08333333333333331</x:v>
      </x:c>
      <x:c r="W3759" s="28" t="n">
        <x:f>L3759-M3759</x:f>
        <x:v>12</x:v>
      </x:c>
      <x:c r="X3759" s="24" t="n">
        <x:f>IFERROR(K3759/I3759,0)</x:f>
        <x:v>0.36363636363636365</x:v>
      </x:c>
      <x:c r="Y3759" s="24" t="n">
        <x:f>IFERROR(G3759/I3759,0)</x:f>
        <x:v>0.09090909090909091</x:v>
      </x:c>
      <x:c r="Z3759" s="24" t="n">
        <x:f>IFERROR(G3759/K3759,0)</x:f>
        <x:v>0.25</x:v>
      </x:c>
      <x:c r="AA3759" s="24" t="n">
        <x:f>IFERROR(F3759/H3759,0)-IFERROR(G3759/I3759,0)</x:f>
        <x:v>-0.02840909090909091</x:v>
      </x:c>
      <x:c r="AB3759" s="28" t="n">
        <x:f>J3759-K3759</x:f>
        <x:v>-1</x:v>
      </x:c>
      <x:c r="AC3759" s="32" t="n">
        <x:f>F3759-G3759</x:f>
        <x:v>0</x:v>
      </x:c>
    </x:row>
    <x:row r="3760">
      <x:c r="A3760" s="4" t="str">
        <x:v>2025-26</x:v>
      </x:c>
      <x:c r="B3760" s="20" t="n">
        <x:v>46155</x:v>
      </x:c>
      <x:c r="C3760" s="4" t="str">
        <x:v>Crystal Palace</x:v>
      </x:c>
      <x:c r="D3760" s="4" t="str">
        <x:v>Man City</x:v>
      </x:c>
      <x:c r="E3760" s="4" t="str">
        <x:v>Away</x:v>
      </x:c>
      <x:c r="F3760" s="28" t="n">
        <x:v>0</x:v>
      </x:c>
      <x:c r="G3760" s="28" t="n">
        <x:v>3</x:v>
      </x:c>
      <x:c r="H3760" s="28" t="n">
        <x:v>6</x:v>
      </x:c>
      <x:c r="I3760" s="28" t="n">
        <x:v>15</x:v>
      </x:c>
      <x:c r="J3760" s="28" t="n">
        <x:v>2</x:v>
      </x:c>
      <x:c r="K3760" s="28" t="n">
        <x:v>4</x:v>
      </x:c>
      <x:c r="L3760" s="28" t="n">
        <x:v>4</x:v>
      </x:c>
      <x:c r="M3760" s="28" t="n">
        <x:v>9</x:v>
      </x:c>
      <x:c r="N3760" s="28" t="n">
        <x:v>2</x:v>
      </x:c>
      <x:c r="O3760" s="28" t="n">
        <x:v>0</x:v>
      </x:c>
      <x:c r="P3760" s="28" t="n">
        <x:v>0</x:v>
      </x:c>
      <x:c r="Q3760" s="24" t="n">
        <x:f>IFERROR(J3760/H3760,0)</x:f>
        <x:v>0.3333333333333333</x:v>
      </x:c>
      <x:c r="R3760" s="24" t="n">
        <x:f>IFERROR(F3760/H3760,0)</x:f>
        <x:v>0</x:v>
      </x:c>
      <x:c r="S3760" s="24" t="n">
        <x:f>IFERROR(F3760/J3760,0)</x:f>
        <x:v>0</x:v>
      </x:c>
      <x:c r="T3760" s="28" t="n">
        <x:f>H3760-I3760</x:f>
        <x:v>-9</x:v>
      </x:c>
      <x:c r="U3760" s="24" t="n">
        <x:f>IFERROR(J3760/H3760,0)-IFERROR(K3760/I3760,0)</x:f>
        <x:v>0.06666666666666665</x:v>
      </x:c>
      <x:c r="V3760" s="24" t="n">
        <x:f>IFERROR(F3760/J3760,0)-IFERROR(G3760/K3760,0)</x:f>
        <x:v>-0.75</x:v>
      </x:c>
      <x:c r="W3760" s="28" t="n">
        <x:f>L3760-M3760</x:f>
        <x:v>-5</x:v>
      </x:c>
      <x:c r="X3760" s="24" t="n">
        <x:f>IFERROR(K3760/I3760,0)</x:f>
        <x:v>0.26666666666666666</x:v>
      </x:c>
      <x:c r="Y3760" s="24" t="n">
        <x:f>IFERROR(G3760/I3760,0)</x:f>
        <x:v>0.2</x:v>
      </x:c>
      <x:c r="Z3760" s="24" t="n">
        <x:f>IFERROR(G3760/K3760,0)</x:f>
        <x:v>0.75</x:v>
      </x:c>
      <x:c r="AA3760" s="24" t="n">
        <x:f>IFERROR(F3760/H3760,0)-IFERROR(G3760/I3760,0)</x:f>
        <x:v>-0.2</x:v>
      </x:c>
      <x:c r="AB3760" s="28" t="n">
        <x:f>J3760-K3760</x:f>
        <x:v>-2</x:v>
      </x:c>
      <x:c r="AC3760" s="32" t="n">
        <x:f>F3760-G3760</x:f>
        <x:v>-3</x:v>
      </x:c>
    </x:row>
    <x:row r="3761">
      <x:c r="A3761" s="4" t="str">
        <x:v>2025-26</x:v>
      </x:c>
      <x:c r="B3761" s="20" t="n">
        <x:v>46155</x:v>
      </x:c>
      <x:c r="C3761" s="4" t="str">
        <x:v>Man City</x:v>
      </x:c>
      <x:c r="D3761" s="4" t="str">
        <x:v>Crystal Palace</x:v>
      </x:c>
      <x:c r="E3761" s="4" t="str">
        <x:v>Home</x:v>
      </x:c>
      <x:c r="F3761" s="28" t="n">
        <x:v>3</x:v>
      </x:c>
      <x:c r="G3761" s="28" t="n">
        <x:v>0</x:v>
      </x:c>
      <x:c r="H3761" s="28" t="n">
        <x:v>15</x:v>
      </x:c>
      <x:c r="I3761" s="28" t="n">
        <x:v>6</x:v>
      </x:c>
      <x:c r="J3761" s="28" t="n">
        <x:v>4</x:v>
      </x:c>
      <x:c r="K3761" s="28" t="n">
        <x:v>2</x:v>
      </x:c>
      <x:c r="L3761" s="28" t="n">
        <x:v>9</x:v>
      </x:c>
      <x:c r="M3761" s="28" t="n">
        <x:v>4</x:v>
      </x:c>
      <x:c r="N3761" s="28" t="n">
        <x:v>0</x:v>
      </x:c>
      <x:c r="O3761" s="28" t="n">
        <x:v>0</x:v>
      </x:c>
      <x:c r="P3761" s="28" t="n">
        <x:v>3</x:v>
      </x:c>
      <x:c r="Q3761" s="24" t="n">
        <x:f>IFERROR(J3761/H3761,0)</x:f>
        <x:v>0.26666666666666666</x:v>
      </x:c>
      <x:c r="R3761" s="24" t="n">
        <x:f>IFERROR(F3761/H3761,0)</x:f>
        <x:v>0.2</x:v>
      </x:c>
      <x:c r="S3761" s="24" t="n">
        <x:f>IFERROR(F3761/J3761,0)</x:f>
        <x:v>0.75</x:v>
      </x:c>
      <x:c r="T3761" s="28" t="n">
        <x:f>H3761-I3761</x:f>
        <x:v>9</x:v>
      </x:c>
      <x:c r="U3761" s="24" t="n">
        <x:f>IFERROR(J3761/H3761,0)-IFERROR(K3761/I3761,0)</x:f>
        <x:v>-0.06666666666666665</x:v>
      </x:c>
      <x:c r="V3761" s="24" t="n">
        <x:f>IFERROR(F3761/J3761,0)-IFERROR(G3761/K3761,0)</x:f>
        <x:v>0.75</x:v>
      </x:c>
      <x:c r="W3761" s="28" t="n">
        <x:f>L3761-M3761</x:f>
        <x:v>5</x:v>
      </x:c>
      <x:c r="X3761" s="24" t="n">
        <x:f>IFERROR(K3761/I3761,0)</x:f>
        <x:v>0.3333333333333333</x:v>
      </x:c>
      <x:c r="Y3761" s="24" t="n">
        <x:f>IFERROR(G3761/I3761,0)</x:f>
        <x:v>0</x:v>
      </x:c>
      <x:c r="Z3761" s="24" t="n">
        <x:f>IFERROR(G3761/K3761,0)</x:f>
        <x:v>0</x:v>
      </x:c>
      <x:c r="AA3761" s="24" t="n">
        <x:f>IFERROR(F3761/H3761,0)-IFERROR(G3761/I3761,0)</x:f>
        <x:v>0.2</x:v>
      </x:c>
      <x:c r="AB3761" s="28" t="n">
        <x:f>J3761-K3761</x:f>
        <x:v>2</x:v>
      </x:c>
      <x:c r="AC3761" s="32" t="n">
        <x:f>F3761-G3761</x:f>
        <x:v>3</x:v>
      </x:c>
    </x:row>
    <x:row r="3762">
      <x:c r="A3762" s="4" t="str">
        <x:v>2025-26</x:v>
      </x:c>
      <x:c r="B3762" s="20" t="n">
        <x:v>46157</x:v>
      </x:c>
      <x:c r="C3762" s="4" t="str">
        <x:v>Aston Villa</x:v>
      </x:c>
      <x:c r="D3762" s="4" t="str">
        <x:v>Liverpool</x:v>
      </x:c>
      <x:c r="E3762" s="4" t="str">
        <x:v>Home</x:v>
      </x:c>
      <x:c r="F3762" s="28" t="n">
        <x:v>4</x:v>
      </x:c>
      <x:c r="G3762" s="28" t="n">
        <x:v>2</x:v>
      </x:c>
      <x:c r="H3762" s="28" t="n">
        <x:v>14</x:v>
      </x:c>
      <x:c r="I3762" s="28" t="n">
        <x:v>16</x:v>
      </x:c>
      <x:c r="J3762" s="28" t="n">
        <x:v>9</x:v>
      </x:c>
      <x:c r="K3762" s="28" t="n">
        <x:v>5</x:v>
      </x:c>
      <x:c r="L3762" s="28" t="n">
        <x:v>4</x:v>
      </x:c>
      <x:c r="M3762" s="28" t="n">
        <x:v>9</x:v>
      </x:c>
      <x:c r="N3762" s="28" t="n">
        <x:v>3</x:v>
      </x:c>
      <x:c r="O3762" s="28" t="n">
        <x:v>0</x:v>
      </x:c>
      <x:c r="P3762" s="28" t="n">
        <x:v>3</x:v>
      </x:c>
      <x:c r="Q3762" s="24" t="n">
        <x:f>IFERROR(J3762/H3762,0)</x:f>
        <x:v>0.6428571428571429</x:v>
      </x:c>
      <x:c r="R3762" s="24" t="n">
        <x:f>IFERROR(F3762/H3762,0)</x:f>
        <x:v>0.2857142857142857</x:v>
      </x:c>
      <x:c r="S3762" s="24" t="n">
        <x:f>IFERROR(F3762/J3762,0)</x:f>
        <x:v>0.4444444444444444</x:v>
      </x:c>
      <x:c r="T3762" s="28" t="n">
        <x:f>H3762-I3762</x:f>
        <x:v>-2</x:v>
      </x:c>
      <x:c r="U3762" s="24" t="n">
        <x:f>IFERROR(J3762/H3762,0)-IFERROR(K3762/I3762,0)</x:f>
        <x:v>0.3303571428571429</x:v>
      </x:c>
      <x:c r="V3762" s="24" t="n">
        <x:f>IFERROR(F3762/J3762,0)-IFERROR(G3762/K3762,0)</x:f>
        <x:v>0.0444444444444444</x:v>
      </x:c>
      <x:c r="W3762" s="28" t="n">
        <x:f>L3762-M3762</x:f>
        <x:v>-5</x:v>
      </x:c>
      <x:c r="X3762" s="24" t="n">
        <x:f>IFERROR(K3762/I3762,0)</x:f>
        <x:v>0.3125</x:v>
      </x:c>
      <x:c r="Y3762" s="24" t="n">
        <x:f>IFERROR(G3762/I3762,0)</x:f>
        <x:v>0.125</x:v>
      </x:c>
      <x:c r="Z3762" s="24" t="n">
        <x:f>IFERROR(G3762/K3762,0)</x:f>
        <x:v>0.4</x:v>
      </x:c>
      <x:c r="AA3762" s="24" t="n">
        <x:f>IFERROR(F3762/H3762,0)-IFERROR(G3762/I3762,0)</x:f>
        <x:v>0.1607142857142857</x:v>
      </x:c>
      <x:c r="AB3762" s="28" t="n">
        <x:f>J3762-K3762</x:f>
        <x:v>4</x:v>
      </x:c>
      <x:c r="AC3762" s="32" t="n">
        <x:f>F3762-G3762</x:f>
        <x:v>2</x:v>
      </x:c>
    </x:row>
    <x:row r="3763">
      <x:c r="A3763" s="4" t="str">
        <x:v>2025-26</x:v>
      </x:c>
      <x:c r="B3763" s="20" t="n">
        <x:v>46157</x:v>
      </x:c>
      <x:c r="C3763" s="4" t="str">
        <x:v>Liverpool</x:v>
      </x:c>
      <x:c r="D3763" s="4" t="str">
        <x:v>Aston Villa</x:v>
      </x:c>
      <x:c r="E3763" s="4" t="str">
        <x:v>Away</x:v>
      </x:c>
      <x:c r="F3763" s="28" t="n">
        <x:v>2</x:v>
      </x:c>
      <x:c r="G3763" s="28" t="n">
        <x:v>4</x:v>
      </x:c>
      <x:c r="H3763" s="28" t="n">
        <x:v>16</x:v>
      </x:c>
      <x:c r="I3763" s="28" t="n">
        <x:v>14</x:v>
      </x:c>
      <x:c r="J3763" s="28" t="n">
        <x:v>5</x:v>
      </x:c>
      <x:c r="K3763" s="28" t="n">
        <x:v>9</x:v>
      </x:c>
      <x:c r="L3763" s="28" t="n">
        <x:v>9</x:v>
      </x:c>
      <x:c r="M3763" s="28" t="n">
        <x:v>4</x:v>
      </x:c>
      <x:c r="N3763" s="28" t="n">
        <x:v>1</x:v>
      </x:c>
      <x:c r="O3763" s="28" t="n">
        <x:v>0</x:v>
      </x:c>
      <x:c r="P3763" s="28" t="n">
        <x:v>0</x:v>
      </x:c>
      <x:c r="Q3763" s="24" t="n">
        <x:f>IFERROR(J3763/H3763,0)</x:f>
        <x:v>0.3125</x:v>
      </x:c>
      <x:c r="R3763" s="24" t="n">
        <x:f>IFERROR(F3763/H3763,0)</x:f>
        <x:v>0.125</x:v>
      </x:c>
      <x:c r="S3763" s="24" t="n">
        <x:f>IFERROR(F3763/J3763,0)</x:f>
        <x:v>0.4</x:v>
      </x:c>
      <x:c r="T3763" s="28" t="n">
        <x:f>H3763-I3763</x:f>
        <x:v>2</x:v>
      </x:c>
      <x:c r="U3763" s="24" t="n">
        <x:f>IFERROR(J3763/H3763,0)-IFERROR(K3763/I3763,0)</x:f>
        <x:v>-0.3303571428571429</x:v>
      </x:c>
      <x:c r="V3763" s="24" t="n">
        <x:f>IFERROR(F3763/J3763,0)-IFERROR(G3763/K3763,0)</x:f>
        <x:v>-0.0444444444444444</x:v>
      </x:c>
      <x:c r="W3763" s="28" t="n">
        <x:f>L3763-M3763</x:f>
        <x:v>5</x:v>
      </x:c>
      <x:c r="X3763" s="24" t="n">
        <x:f>IFERROR(K3763/I3763,0)</x:f>
        <x:v>0.6428571428571429</x:v>
      </x:c>
      <x:c r="Y3763" s="24" t="n">
        <x:f>IFERROR(G3763/I3763,0)</x:f>
        <x:v>0.2857142857142857</x:v>
      </x:c>
      <x:c r="Z3763" s="24" t="n">
        <x:f>IFERROR(G3763/K3763,0)</x:f>
        <x:v>0.4444444444444444</x:v>
      </x:c>
      <x:c r="AA3763" s="24" t="n">
        <x:f>IFERROR(F3763/H3763,0)-IFERROR(G3763/I3763,0)</x:f>
        <x:v>-0.1607142857142857</x:v>
      </x:c>
      <x:c r="AB3763" s="28" t="n">
        <x:f>J3763-K3763</x:f>
        <x:v>-4</x:v>
      </x:c>
      <x:c r="AC3763" s="32" t="n">
        <x:f>F3763-G3763</x:f>
        <x:v>-2</x:v>
      </x:c>
    </x:row>
    <x:row r="3764">
      <x:c r="A3764" s="4" t="str">
        <x:v>2025-26</x:v>
      </x:c>
      <x:c r="B3764" s="20" t="n">
        <x:v>46159</x:v>
      </x:c>
      <x:c r="C3764" s="4" t="str">
        <x:v>Brentford</x:v>
      </x:c>
      <x:c r="D3764" s="4" t="str">
        <x:v>Crystal Palace</x:v>
      </x:c>
      <x:c r="E3764" s="4" t="str">
        <x:v>Home</x:v>
      </x:c>
      <x:c r="F3764" s="28" t="n">
        <x:v>2</x:v>
      </x:c>
      <x:c r="G3764" s="28" t="n">
        <x:v>2</x:v>
      </x:c>
      <x:c r="H3764" s="28" t="n">
        <x:v>14</x:v>
      </x:c>
      <x:c r="I3764" s="28" t="n">
        <x:v>16</x:v>
      </x:c>
      <x:c r="J3764" s="28" t="n">
        <x:v>3</x:v>
      </x:c>
      <x:c r="K3764" s="28" t="n">
        <x:v>5</x:v>
      </x:c>
      <x:c r="L3764" s="28" t="n">
        <x:v>9</x:v>
      </x:c>
      <x:c r="M3764" s="28" t="n">
        <x:v>4</x:v>
      </x:c>
      <x:c r="N3764" s="28" t="n">
        <x:v>1</x:v>
      </x:c>
      <x:c r="O3764" s="28" t="n">
        <x:v>0</x:v>
      </x:c>
      <x:c r="P3764" s="28" t="n">
        <x:v>1</x:v>
      </x:c>
      <x:c r="Q3764" s="24" t="n">
        <x:f>IFERROR(J3764/H3764,0)</x:f>
        <x:v>0.21428571428571427</x:v>
      </x:c>
      <x:c r="R3764" s="24" t="n">
        <x:f>IFERROR(F3764/H3764,0)</x:f>
        <x:v>0.14285714285714285</x:v>
      </x:c>
      <x:c r="S3764" s="24" t="n">
        <x:f>IFERROR(F3764/J3764,0)</x:f>
        <x:v>0.6666666666666666</x:v>
      </x:c>
      <x:c r="T3764" s="28" t="n">
        <x:f>H3764-I3764</x:f>
        <x:v>-2</x:v>
      </x:c>
      <x:c r="U3764" s="24" t="n">
        <x:f>IFERROR(J3764/H3764,0)-IFERROR(K3764/I3764,0)</x:f>
        <x:v>-0.09821428571428573</x:v>
      </x:c>
      <x:c r="V3764" s="24" t="n">
        <x:f>IFERROR(F3764/J3764,0)-IFERROR(G3764/K3764,0)</x:f>
        <x:v>0.2666666666666666</x:v>
      </x:c>
      <x:c r="W3764" s="28" t="n">
        <x:f>L3764-M3764</x:f>
        <x:v>5</x:v>
      </x:c>
      <x:c r="X3764" s="24" t="n">
        <x:f>IFERROR(K3764/I3764,0)</x:f>
        <x:v>0.3125</x:v>
      </x:c>
      <x:c r="Y3764" s="24" t="n">
        <x:f>IFERROR(G3764/I3764,0)</x:f>
        <x:v>0.125</x:v>
      </x:c>
      <x:c r="Z3764" s="24" t="n">
        <x:f>IFERROR(G3764/K3764,0)</x:f>
        <x:v>0.4</x:v>
      </x:c>
      <x:c r="AA3764" s="24" t="n">
        <x:f>IFERROR(F3764/H3764,0)-IFERROR(G3764/I3764,0)</x:f>
        <x:v>0.01785714285714285</x:v>
      </x:c>
      <x:c r="AB3764" s="28" t="n">
        <x:f>J3764-K3764</x:f>
        <x:v>-2</x:v>
      </x:c>
      <x:c r="AC3764" s="32" t="n">
        <x:f>F3764-G3764</x:f>
        <x:v>0</x:v>
      </x:c>
    </x:row>
    <x:row r="3765">
      <x:c r="A3765" s="4" t="str">
        <x:v>2025-26</x:v>
      </x:c>
      <x:c r="B3765" s="20" t="n">
        <x:v>46159</x:v>
      </x:c>
      <x:c r="C3765" s="4" t="str">
        <x:v>Brighton</x:v>
      </x:c>
      <x:c r="D3765" s="4" t="str">
        <x:v>Leeds</x:v>
      </x:c>
      <x:c r="E3765" s="4" t="str">
        <x:v>Away</x:v>
      </x:c>
      <x:c r="F3765" s="28" t="n">
        <x:v>0</x:v>
      </x:c>
      <x:c r="G3765" s="28" t="n">
        <x:v>1</x:v>
      </x:c>
      <x:c r="H3765" s="28" t="n">
        <x:v>19</x:v>
      </x:c>
      <x:c r="I3765" s="28" t="n">
        <x:v>7</x:v>
      </x:c>
      <x:c r="J3765" s="28" t="n">
        <x:v>8</x:v>
      </x:c>
      <x:c r="K3765" s="28" t="n">
        <x:v>1</x:v>
      </x:c>
      <x:c r="L3765" s="28" t="n">
        <x:v>8</x:v>
      </x:c>
      <x:c r="M3765" s="28" t="n">
        <x:v>7</x:v>
      </x:c>
      <x:c r="N3765" s="28" t="n">
        <x:v>0</x:v>
      </x:c>
      <x:c r="O3765" s="28" t="n">
        <x:v>0</x:v>
      </x:c>
      <x:c r="P3765" s="28" t="n">
        <x:v>0</x:v>
      </x:c>
      <x:c r="Q3765" s="24" t="n">
        <x:f>IFERROR(J3765/H3765,0)</x:f>
        <x:v>0.42105263157894735</x:v>
      </x:c>
      <x:c r="R3765" s="24" t="n">
        <x:f>IFERROR(F3765/H3765,0)</x:f>
        <x:v>0</x:v>
      </x:c>
      <x:c r="S3765" s="24" t="n">
        <x:f>IFERROR(F3765/J3765,0)</x:f>
        <x:v>0</x:v>
      </x:c>
      <x:c r="T3765" s="28" t="n">
        <x:f>H3765-I3765</x:f>
        <x:v>12</x:v>
      </x:c>
      <x:c r="U3765" s="24" t="n">
        <x:f>IFERROR(J3765/H3765,0)-IFERROR(K3765/I3765,0)</x:f>
        <x:v>0.2781954887218045</x:v>
      </x:c>
      <x:c r="V3765" s="24" t="n">
        <x:f>IFERROR(F3765/J3765,0)-IFERROR(G3765/K3765,0)</x:f>
        <x:v>-1</x:v>
      </x:c>
      <x:c r="W3765" s="28" t="n">
        <x:f>L3765-M3765</x:f>
        <x:v>1</x:v>
      </x:c>
      <x:c r="X3765" s="24" t="n">
        <x:f>IFERROR(K3765/I3765,0)</x:f>
        <x:v>0.14285714285714285</x:v>
      </x:c>
      <x:c r="Y3765" s="24" t="n">
        <x:f>IFERROR(G3765/I3765,0)</x:f>
        <x:v>0.14285714285714285</x:v>
      </x:c>
      <x:c r="Z3765" s="24" t="n">
        <x:f>IFERROR(G3765/K3765,0)</x:f>
        <x:v>1</x:v>
      </x:c>
      <x:c r="AA3765" s="24" t="n">
        <x:f>IFERROR(F3765/H3765,0)-IFERROR(G3765/I3765,0)</x:f>
        <x:v>-0.14285714285714285</x:v>
      </x:c>
      <x:c r="AB3765" s="28" t="n">
        <x:f>J3765-K3765</x:f>
        <x:v>7</x:v>
      </x:c>
      <x:c r="AC3765" s="32" t="n">
        <x:f>F3765-G3765</x:f>
        <x:v>-1</x:v>
      </x:c>
    </x:row>
    <x:row r="3766">
      <x:c r="A3766" s="4" t="str">
        <x:v>2025-26</x:v>
      </x:c>
      <x:c r="B3766" s="20" t="n">
        <x:v>46159</x:v>
      </x:c>
      <x:c r="C3766" s="4" t="str">
        <x:v>Crystal Palace</x:v>
      </x:c>
      <x:c r="D3766" s="4" t="str">
        <x:v>Brentford</x:v>
      </x:c>
      <x:c r="E3766" s="4" t="str">
        <x:v>Away</x:v>
      </x:c>
      <x:c r="F3766" s="28" t="n">
        <x:v>2</x:v>
      </x:c>
      <x:c r="G3766" s="28" t="n">
        <x:v>2</x:v>
      </x:c>
      <x:c r="H3766" s="28" t="n">
        <x:v>16</x:v>
      </x:c>
      <x:c r="I3766" s="28" t="n">
        <x:v>14</x:v>
      </x:c>
      <x:c r="J3766" s="28" t="n">
        <x:v>5</x:v>
      </x:c>
      <x:c r="K3766" s="28" t="n">
        <x:v>3</x:v>
      </x:c>
      <x:c r="L3766" s="28" t="n">
        <x:v>4</x:v>
      </x:c>
      <x:c r="M3766" s="28" t="n">
        <x:v>9</x:v>
      </x:c>
      <x:c r="N3766" s="28" t="n">
        <x:v>3</x:v>
      </x:c>
      <x:c r="O3766" s="28" t="n">
        <x:v>0</x:v>
      </x:c>
      <x:c r="P3766" s="28" t="n">
        <x:v>1</x:v>
      </x:c>
      <x:c r="Q3766" s="24" t="n">
        <x:f>IFERROR(J3766/H3766,0)</x:f>
        <x:v>0.3125</x:v>
      </x:c>
      <x:c r="R3766" s="24" t="n">
        <x:f>IFERROR(F3766/H3766,0)</x:f>
        <x:v>0.125</x:v>
      </x:c>
      <x:c r="S3766" s="24" t="n">
        <x:f>IFERROR(F3766/J3766,0)</x:f>
        <x:v>0.4</x:v>
      </x:c>
      <x:c r="T3766" s="28" t="n">
        <x:f>H3766-I3766</x:f>
        <x:v>2</x:v>
      </x:c>
      <x:c r="U3766" s="24" t="n">
        <x:f>IFERROR(J3766/H3766,0)-IFERROR(K3766/I3766,0)</x:f>
        <x:v>0.09821428571428573</x:v>
      </x:c>
      <x:c r="V3766" s="24" t="n">
        <x:f>IFERROR(F3766/J3766,0)-IFERROR(G3766/K3766,0)</x:f>
        <x:v>-0.2666666666666666</x:v>
      </x:c>
      <x:c r="W3766" s="28" t="n">
        <x:f>L3766-M3766</x:f>
        <x:v>-5</x:v>
      </x:c>
      <x:c r="X3766" s="24" t="n">
        <x:f>IFERROR(K3766/I3766,0)</x:f>
        <x:v>0.21428571428571427</x:v>
      </x:c>
      <x:c r="Y3766" s="24" t="n">
        <x:f>IFERROR(G3766/I3766,0)</x:f>
        <x:v>0.14285714285714285</x:v>
      </x:c>
      <x:c r="Z3766" s="24" t="n">
        <x:f>IFERROR(G3766/K3766,0)</x:f>
        <x:v>0.6666666666666666</x:v>
      </x:c>
      <x:c r="AA3766" s="24" t="n">
        <x:f>IFERROR(F3766/H3766,0)-IFERROR(G3766/I3766,0)</x:f>
        <x:v>-0.01785714285714285</x:v>
      </x:c>
      <x:c r="AB3766" s="28" t="n">
        <x:f>J3766-K3766</x:f>
        <x:v>2</x:v>
      </x:c>
      <x:c r="AC3766" s="32" t="n">
        <x:f>F3766-G3766</x:f>
        <x:v>0</x:v>
      </x:c>
    </x:row>
    <x:row r="3767">
      <x:c r="A3767" s="4" t="str">
        <x:v>2025-26</x:v>
      </x:c>
      <x:c r="B3767" s="20" t="n">
        <x:v>46159</x:v>
      </x:c>
      <x:c r="C3767" s="4" t="str">
        <x:v>Everton</x:v>
      </x:c>
      <x:c r="D3767" s="4" t="str">
        <x:v>Sunderland</x:v>
      </x:c>
      <x:c r="E3767" s="4" t="str">
        <x:v>Home</x:v>
      </x:c>
      <x:c r="F3767" s="28" t="n">
        <x:v>1</x:v>
      </x:c>
      <x:c r="G3767" s="28" t="n">
        <x:v>3</x:v>
      </x:c>
      <x:c r="H3767" s="28" t="n">
        <x:v>10</x:v>
      </x:c>
      <x:c r="I3767" s="28" t="n">
        <x:v>7</x:v>
      </x:c>
      <x:c r="J3767" s="28" t="n">
        <x:v>4</x:v>
      </x:c>
      <x:c r="K3767" s="28" t="n">
        <x:v>3</x:v>
      </x:c>
      <x:c r="L3767" s="28" t="n">
        <x:v>3</x:v>
      </x:c>
      <x:c r="M3767" s="28" t="n">
        <x:v>2</x:v>
      </x:c>
      <x:c r="N3767" s="28" t="n">
        <x:v>3</x:v>
      </x:c>
      <x:c r="O3767" s="28" t="n">
        <x:v>0</x:v>
      </x:c>
      <x:c r="P3767" s="28" t="n">
        <x:v>0</x:v>
      </x:c>
      <x:c r="Q3767" s="24" t="n">
        <x:f>IFERROR(J3767/H3767,0)</x:f>
        <x:v>0.4</x:v>
      </x:c>
      <x:c r="R3767" s="24" t="n">
        <x:f>IFERROR(F3767/H3767,0)</x:f>
        <x:v>0.1</x:v>
      </x:c>
      <x:c r="S3767" s="24" t="n">
        <x:f>IFERROR(F3767/J3767,0)</x:f>
        <x:v>0.25</x:v>
      </x:c>
      <x:c r="T3767" s="28" t="n">
        <x:f>H3767-I3767</x:f>
        <x:v>3</x:v>
      </x:c>
      <x:c r="U3767" s="24" t="n">
        <x:f>IFERROR(J3767/H3767,0)-IFERROR(K3767/I3767,0)</x:f>
        <x:v>-0.028571428571428525</x:v>
      </x:c>
      <x:c r="V3767" s="24" t="n">
        <x:f>IFERROR(F3767/J3767,0)-IFERROR(G3767/K3767,0)</x:f>
        <x:v>-0.75</x:v>
      </x:c>
      <x:c r="W3767" s="28" t="n">
        <x:f>L3767-M3767</x:f>
        <x:v>1</x:v>
      </x:c>
      <x:c r="X3767" s="24" t="n">
        <x:f>IFERROR(K3767/I3767,0)</x:f>
        <x:v>0.42857142857142855</x:v>
      </x:c>
      <x:c r="Y3767" s="24" t="n">
        <x:f>IFERROR(G3767/I3767,0)</x:f>
        <x:v>0.42857142857142855</x:v>
      </x:c>
      <x:c r="Z3767" s="24" t="n">
        <x:f>IFERROR(G3767/K3767,0)</x:f>
        <x:v>1</x:v>
      </x:c>
      <x:c r="AA3767" s="24" t="n">
        <x:f>IFERROR(F3767/H3767,0)-IFERROR(G3767/I3767,0)</x:f>
        <x:v>-0.3285714285714285</x:v>
      </x:c>
      <x:c r="AB3767" s="28" t="n">
        <x:f>J3767-K3767</x:f>
        <x:v>1</x:v>
      </x:c>
      <x:c r="AC3767" s="32" t="n">
        <x:f>F3767-G3767</x:f>
        <x:v>-2</x:v>
      </x:c>
    </x:row>
    <x:row r="3768">
      <x:c r="A3768" s="4" t="str">
        <x:v>2025-26</x:v>
      </x:c>
      <x:c r="B3768" s="20" t="n">
        <x:v>46159</x:v>
      </x:c>
      <x:c r="C3768" s="4" t="str">
        <x:v>Fulham</x:v>
      </x:c>
      <x:c r="D3768" s="4" t="str">
        <x:v>Wolves</x:v>
      </x:c>
      <x:c r="E3768" s="4" t="str">
        <x:v>Away</x:v>
      </x:c>
      <x:c r="F3768" s="28" t="n">
        <x:v>1</x:v>
      </x:c>
      <x:c r="G3768" s="28" t="n">
        <x:v>1</x:v>
      </x:c>
      <x:c r="H3768" s="28" t="n">
        <x:v>13</x:v>
      </x:c>
      <x:c r="I3768" s="28" t="n">
        <x:v>11</x:v>
      </x:c>
      <x:c r="J3768" s="28" t="n">
        <x:v>5</x:v>
      </x:c>
      <x:c r="K3768" s="28" t="n">
        <x:v>3</x:v>
      </x:c>
      <x:c r="L3768" s="28" t="n">
        <x:v>6</x:v>
      </x:c>
      <x:c r="M3768" s="28" t="n">
        <x:v>3</x:v>
      </x:c>
      <x:c r="N3768" s="28" t="n">
        <x:v>0</x:v>
      </x:c>
      <x:c r="O3768" s="28" t="n">
        <x:v>0</x:v>
      </x:c>
      <x:c r="P3768" s="28" t="n">
        <x:v>1</x:v>
      </x:c>
      <x:c r="Q3768" s="24" t="n">
        <x:f>IFERROR(J3768/H3768,0)</x:f>
        <x:v>0.38461538461538464</x:v>
      </x:c>
      <x:c r="R3768" s="24" t="n">
        <x:f>IFERROR(F3768/H3768,0)</x:f>
        <x:v>0.07692307692307693</x:v>
      </x:c>
      <x:c r="S3768" s="24" t="n">
        <x:f>IFERROR(F3768/J3768,0)</x:f>
        <x:v>0.2</x:v>
      </x:c>
      <x:c r="T3768" s="28" t="n">
        <x:f>H3768-I3768</x:f>
        <x:v>2</x:v>
      </x:c>
      <x:c r="U3768" s="24" t="n">
        <x:f>IFERROR(J3768/H3768,0)-IFERROR(K3768/I3768,0)</x:f>
        <x:v>0.11188811188811193</x:v>
      </x:c>
      <x:c r="V3768" s="24" t="n">
        <x:f>IFERROR(F3768/J3768,0)-IFERROR(G3768/K3768,0)</x:f>
        <x:v>-0.1333333333333333</x:v>
      </x:c>
      <x:c r="W3768" s="28" t="n">
        <x:f>L3768-M3768</x:f>
        <x:v>3</x:v>
      </x:c>
      <x:c r="X3768" s="24" t="n">
        <x:f>IFERROR(K3768/I3768,0)</x:f>
        <x:v>0.2727272727272727</x:v>
      </x:c>
      <x:c r="Y3768" s="24" t="n">
        <x:f>IFERROR(G3768/I3768,0)</x:f>
        <x:v>0.09090909090909091</x:v>
      </x:c>
      <x:c r="Z3768" s="24" t="n">
        <x:f>IFERROR(G3768/K3768,0)</x:f>
        <x:v>0.3333333333333333</x:v>
      </x:c>
      <x:c r="AA3768" s="24" t="n">
        <x:f>IFERROR(F3768/H3768,0)-IFERROR(G3768/I3768,0)</x:f>
        <x:v>-0.013986013986013984</x:v>
      </x:c>
      <x:c r="AB3768" s="28" t="n">
        <x:f>J3768-K3768</x:f>
        <x:v>2</x:v>
      </x:c>
      <x:c r="AC3768" s="32" t="n">
        <x:f>F3768-G3768</x:f>
        <x:v>0</x:v>
      </x:c>
    </x:row>
    <x:row r="3769">
      <x:c r="A3769" s="4" t="str">
        <x:v>2025-26</x:v>
      </x:c>
      <x:c r="B3769" s="20" t="n">
        <x:v>46159</x:v>
      </x:c>
      <x:c r="C3769" s="4" t="str">
        <x:v>Leeds</x:v>
      </x:c>
      <x:c r="D3769" s="4" t="str">
        <x:v>Brighton</x:v>
      </x:c>
      <x:c r="E3769" s="4" t="str">
        <x:v>Home</x:v>
      </x:c>
      <x:c r="F3769" s="28" t="n">
        <x:v>1</x:v>
      </x:c>
      <x:c r="G3769" s="28" t="n">
        <x:v>0</x:v>
      </x:c>
      <x:c r="H3769" s="28" t="n">
        <x:v>7</x:v>
      </x:c>
      <x:c r="I3769" s="28" t="n">
        <x:v>19</x:v>
      </x:c>
      <x:c r="J3769" s="28" t="n">
        <x:v>1</x:v>
      </x:c>
      <x:c r="K3769" s="28" t="n">
        <x:v>8</x:v>
      </x:c>
      <x:c r="L3769" s="28" t="n">
        <x:v>7</x:v>
      </x:c>
      <x:c r="M3769" s="28" t="n">
        <x:v>8</x:v>
      </x:c>
      <x:c r="N3769" s="28" t="n">
        <x:v>1</x:v>
      </x:c>
      <x:c r="O3769" s="28" t="n">
        <x:v>0</x:v>
      </x:c>
      <x:c r="P3769" s="28" t="n">
        <x:v>3</x:v>
      </x:c>
      <x:c r="Q3769" s="24" t="n">
        <x:f>IFERROR(J3769/H3769,0)</x:f>
        <x:v>0.14285714285714285</x:v>
      </x:c>
      <x:c r="R3769" s="24" t="n">
        <x:f>IFERROR(F3769/H3769,0)</x:f>
        <x:v>0.14285714285714285</x:v>
      </x:c>
      <x:c r="S3769" s="24" t="n">
        <x:f>IFERROR(F3769/J3769,0)</x:f>
        <x:v>1</x:v>
      </x:c>
      <x:c r="T3769" s="28" t="n">
        <x:f>H3769-I3769</x:f>
        <x:v>-12</x:v>
      </x:c>
      <x:c r="U3769" s="24" t="n">
        <x:f>IFERROR(J3769/H3769,0)-IFERROR(K3769/I3769,0)</x:f>
        <x:v>-0.2781954887218045</x:v>
      </x:c>
      <x:c r="V3769" s="24" t="n">
        <x:f>IFERROR(F3769/J3769,0)-IFERROR(G3769/K3769,0)</x:f>
        <x:v>1</x:v>
      </x:c>
      <x:c r="W3769" s="28" t="n">
        <x:f>L3769-M3769</x:f>
        <x:v>-1</x:v>
      </x:c>
      <x:c r="X3769" s="24" t="n">
        <x:f>IFERROR(K3769/I3769,0)</x:f>
        <x:v>0.42105263157894735</x:v>
      </x:c>
      <x:c r="Y3769" s="24" t="n">
        <x:f>IFERROR(G3769/I3769,0)</x:f>
        <x:v>0</x:v>
      </x:c>
      <x:c r="Z3769" s="24" t="n">
        <x:f>IFERROR(G3769/K3769,0)</x:f>
        <x:v>0</x:v>
      </x:c>
      <x:c r="AA3769" s="24" t="n">
        <x:f>IFERROR(F3769/H3769,0)-IFERROR(G3769/I3769,0)</x:f>
        <x:v>0.14285714285714285</x:v>
      </x:c>
      <x:c r="AB3769" s="28" t="n">
        <x:f>J3769-K3769</x:f>
        <x:v>-7</x:v>
      </x:c>
      <x:c r="AC3769" s="32" t="n">
        <x:f>F3769-G3769</x:f>
        <x:v>1</x:v>
      </x:c>
    </x:row>
    <x:row r="3770">
      <x:c r="A3770" s="4" t="str">
        <x:v>2025-26</x:v>
      </x:c>
      <x:c r="B3770" s="20" t="n">
        <x:v>46159</x:v>
      </x:c>
      <x:c r="C3770" s="4" t="str">
        <x:v>Man United</x:v>
      </x:c>
      <x:c r="D3770" s="4" t="str">
        <x:v>Nott'm Forest</x:v>
      </x:c>
      <x:c r="E3770" s="4" t="str">
        <x:v>Home</x:v>
      </x:c>
      <x:c r="F3770" s="28" t="n">
        <x:v>3</x:v>
      </x:c>
      <x:c r="G3770" s="28" t="n">
        <x:v>2</x:v>
      </x:c>
      <x:c r="H3770" s="28" t="n">
        <x:v>29</x:v>
      </x:c>
      <x:c r="I3770" s="28" t="n">
        <x:v>11</x:v>
      </x:c>
      <x:c r="J3770" s="28" t="n">
        <x:v>8</x:v>
      </x:c>
      <x:c r="K3770" s="28" t="n">
        <x:v>4</x:v>
      </x:c>
      <x:c r="L3770" s="28" t="n">
        <x:v>7</x:v>
      </x:c>
      <x:c r="M3770" s="28" t="n">
        <x:v>6</x:v>
      </x:c>
      <x:c r="N3770" s="28" t="n">
        <x:v>2</x:v>
      </x:c>
      <x:c r="O3770" s="28" t="n">
        <x:v>0</x:v>
      </x:c>
      <x:c r="P3770" s="28" t="n">
        <x:v>3</x:v>
      </x:c>
      <x:c r="Q3770" s="24" t="n">
        <x:f>IFERROR(J3770/H3770,0)</x:f>
        <x:v>0.27586206896551724</x:v>
      </x:c>
      <x:c r="R3770" s="24" t="n">
        <x:f>IFERROR(F3770/H3770,0)</x:f>
        <x:v>0.10344827586206896</x:v>
      </x:c>
      <x:c r="S3770" s="24" t="n">
        <x:f>IFERROR(F3770/J3770,0)</x:f>
        <x:v>0.375</x:v>
      </x:c>
      <x:c r="T3770" s="28" t="n">
        <x:f>H3770-I3770</x:f>
        <x:v>18</x:v>
      </x:c>
      <x:c r="U3770" s="24" t="n">
        <x:f>IFERROR(J3770/H3770,0)-IFERROR(K3770/I3770,0)</x:f>
        <x:v>-0.08777429467084641</x:v>
      </x:c>
      <x:c r="V3770" s="24" t="n">
        <x:f>IFERROR(F3770/J3770,0)-IFERROR(G3770/K3770,0)</x:f>
        <x:v>-0.125</x:v>
      </x:c>
      <x:c r="W3770" s="28" t="n">
        <x:f>L3770-M3770</x:f>
        <x:v>1</x:v>
      </x:c>
      <x:c r="X3770" s="24" t="n">
        <x:f>IFERROR(K3770/I3770,0)</x:f>
        <x:v>0.36363636363636365</x:v>
      </x:c>
      <x:c r="Y3770" s="24" t="n">
        <x:f>IFERROR(G3770/I3770,0)</x:f>
        <x:v>0.18181818181818182</x:v>
      </x:c>
      <x:c r="Z3770" s="24" t="n">
        <x:f>IFERROR(G3770/K3770,0)</x:f>
        <x:v>0.5</x:v>
      </x:c>
      <x:c r="AA3770" s="24" t="n">
        <x:f>IFERROR(F3770/H3770,0)-IFERROR(G3770/I3770,0)</x:f>
        <x:v>-0.07836990595611286</x:v>
      </x:c>
      <x:c r="AB3770" s="28" t="n">
        <x:f>J3770-K3770</x:f>
        <x:v>4</x:v>
      </x:c>
      <x:c r="AC3770" s="32" t="n">
        <x:f>F3770-G3770</x:f>
        <x:v>1</x:v>
      </x:c>
    </x:row>
    <x:row r="3771">
      <x:c r="A3771" s="4" t="str">
        <x:v>2025-26</x:v>
      </x:c>
      <x:c r="B3771" s="20" t="n">
        <x:v>46159</x:v>
      </x:c>
      <x:c r="C3771" s="4" t="str">
        <x:v>Newcastle</x:v>
      </x:c>
      <x:c r="D3771" s="4" t="str">
        <x:v>West Ham</x:v>
      </x:c>
      <x:c r="E3771" s="4" t="str">
        <x:v>Home</x:v>
      </x:c>
      <x:c r="F3771" s="28" t="n">
        <x:v>3</x:v>
      </x:c>
      <x:c r="G3771" s="28" t="n">
        <x:v>1</x:v>
      </x:c>
      <x:c r="H3771" s="28" t="n">
        <x:v>15</x:v>
      </x:c>
      <x:c r="I3771" s="28" t="n">
        <x:v>15</x:v>
      </x:c>
      <x:c r="J3771" s="28" t="n">
        <x:v>7</x:v>
      </x:c>
      <x:c r="K3771" s="28" t="n">
        <x:v>8</x:v>
      </x:c>
      <x:c r="L3771" s="28" t="n">
        <x:v>9</x:v>
      </x:c>
      <x:c r="M3771" s="28" t="n">
        <x:v>1</x:v>
      </x:c>
      <x:c r="N3771" s="28" t="n">
        <x:v>1</x:v>
      </x:c>
      <x:c r="O3771" s="28" t="n">
        <x:v>0</x:v>
      </x:c>
      <x:c r="P3771" s="28" t="n">
        <x:v>3</x:v>
      </x:c>
      <x:c r="Q3771" s="24" t="n">
        <x:f>IFERROR(J3771/H3771,0)</x:f>
        <x:v>0.4666666666666667</x:v>
      </x:c>
      <x:c r="R3771" s="24" t="n">
        <x:f>IFERROR(F3771/H3771,0)</x:f>
        <x:v>0.2</x:v>
      </x:c>
      <x:c r="S3771" s="24" t="n">
        <x:f>IFERROR(F3771/J3771,0)</x:f>
        <x:v>0.42857142857142855</x:v>
      </x:c>
      <x:c r="T3771" s="28" t="n">
        <x:f>H3771-I3771</x:f>
        <x:v>0</x:v>
      </x:c>
      <x:c r="U3771" s="24" t="n">
        <x:f>IFERROR(J3771/H3771,0)-IFERROR(K3771/I3771,0)</x:f>
        <x:v>-0.06666666666666665</x:v>
      </x:c>
      <x:c r="V3771" s="24" t="n">
        <x:f>IFERROR(F3771/J3771,0)-IFERROR(G3771/K3771,0)</x:f>
        <x:v>0.30357142857142855</x:v>
      </x:c>
      <x:c r="W3771" s="28" t="n">
        <x:f>L3771-M3771</x:f>
        <x:v>8</x:v>
      </x:c>
      <x:c r="X3771" s="24" t="n">
        <x:f>IFERROR(K3771/I3771,0)</x:f>
        <x:v>0.5333333333333333</x:v>
      </x:c>
      <x:c r="Y3771" s="24" t="n">
        <x:f>IFERROR(G3771/I3771,0)</x:f>
        <x:v>0.06666666666666667</x:v>
      </x:c>
      <x:c r="Z3771" s="24" t="n">
        <x:f>IFERROR(G3771/K3771,0)</x:f>
        <x:v>0.125</x:v>
      </x:c>
      <x:c r="AA3771" s="24" t="n">
        <x:f>IFERROR(F3771/H3771,0)-IFERROR(G3771/I3771,0)</x:f>
        <x:v>0.13333333333333336</x:v>
      </x:c>
      <x:c r="AB3771" s="28" t="n">
        <x:f>J3771-K3771</x:f>
        <x:v>-1</x:v>
      </x:c>
      <x:c r="AC3771" s="32" t="n">
        <x:f>F3771-G3771</x:f>
        <x:v>2</x:v>
      </x:c>
    </x:row>
    <x:row r="3772">
      <x:c r="A3772" s="4" t="str">
        <x:v>2025-26</x:v>
      </x:c>
      <x:c r="B3772" s="20" t="n">
        <x:v>46159</x:v>
      </x:c>
      <x:c r="C3772" s="4" t="str">
        <x:v>Nott'm Forest</x:v>
      </x:c>
      <x:c r="D3772" s="4" t="str">
        <x:v>Man United</x:v>
      </x:c>
      <x:c r="E3772" s="4" t="str">
        <x:v>Away</x:v>
      </x:c>
      <x:c r="F3772" s="28" t="n">
        <x:v>2</x:v>
      </x:c>
      <x:c r="G3772" s="28" t="n">
        <x:v>3</x:v>
      </x:c>
      <x:c r="H3772" s="28" t="n">
        <x:v>11</x:v>
      </x:c>
      <x:c r="I3772" s="28" t="n">
        <x:v>29</x:v>
      </x:c>
      <x:c r="J3772" s="28" t="n">
        <x:v>4</x:v>
      </x:c>
      <x:c r="K3772" s="28" t="n">
        <x:v>8</x:v>
      </x:c>
      <x:c r="L3772" s="28" t="n">
        <x:v>6</x:v>
      </x:c>
      <x:c r="M3772" s="28" t="n">
        <x:v>7</x:v>
      </x:c>
      <x:c r="N3772" s="28" t="n">
        <x:v>1</x:v>
      </x:c>
      <x:c r="O3772" s="28" t="n">
        <x:v>0</x:v>
      </x:c>
      <x:c r="P3772" s="28" t="n">
        <x:v>0</x:v>
      </x:c>
      <x:c r="Q3772" s="24" t="n">
        <x:f>IFERROR(J3772/H3772,0)</x:f>
        <x:v>0.36363636363636365</x:v>
      </x:c>
      <x:c r="R3772" s="24" t="n">
        <x:f>IFERROR(F3772/H3772,0)</x:f>
        <x:v>0.18181818181818182</x:v>
      </x:c>
      <x:c r="S3772" s="24" t="n">
        <x:f>IFERROR(F3772/J3772,0)</x:f>
        <x:v>0.5</x:v>
      </x:c>
      <x:c r="T3772" s="28" t="n">
        <x:f>H3772-I3772</x:f>
        <x:v>-18</x:v>
      </x:c>
      <x:c r="U3772" s="24" t="n">
        <x:f>IFERROR(J3772/H3772,0)-IFERROR(K3772/I3772,0)</x:f>
        <x:v>0.08777429467084641</x:v>
      </x:c>
      <x:c r="V3772" s="24" t="n">
        <x:f>IFERROR(F3772/J3772,0)-IFERROR(G3772/K3772,0)</x:f>
        <x:v>0.125</x:v>
      </x:c>
      <x:c r="W3772" s="28" t="n">
        <x:f>L3772-M3772</x:f>
        <x:v>-1</x:v>
      </x:c>
      <x:c r="X3772" s="24" t="n">
        <x:f>IFERROR(K3772/I3772,0)</x:f>
        <x:v>0.27586206896551724</x:v>
      </x:c>
      <x:c r="Y3772" s="24" t="n">
        <x:f>IFERROR(G3772/I3772,0)</x:f>
        <x:v>0.10344827586206896</x:v>
      </x:c>
      <x:c r="Z3772" s="24" t="n">
        <x:f>IFERROR(G3772/K3772,0)</x:f>
        <x:v>0.375</x:v>
      </x:c>
      <x:c r="AA3772" s="24" t="n">
        <x:f>IFERROR(F3772/H3772,0)-IFERROR(G3772/I3772,0)</x:f>
        <x:v>0.07836990595611286</x:v>
      </x:c>
      <x:c r="AB3772" s="28" t="n">
        <x:f>J3772-K3772</x:f>
        <x:v>-4</x:v>
      </x:c>
      <x:c r="AC3772" s="32" t="n">
        <x:f>F3772-G3772</x:f>
        <x:v>-1</x:v>
      </x:c>
    </x:row>
    <x:row r="3773">
      <x:c r="A3773" s="4" t="str">
        <x:v>2025-26</x:v>
      </x:c>
      <x:c r="B3773" s="20" t="n">
        <x:v>46159</x:v>
      </x:c>
      <x:c r="C3773" s="4" t="str">
        <x:v>Sunderland</x:v>
      </x:c>
      <x:c r="D3773" s="4" t="str">
        <x:v>Everton</x:v>
      </x:c>
      <x:c r="E3773" s="4" t="str">
        <x:v>Away</x:v>
      </x:c>
      <x:c r="F3773" s="28" t="n">
        <x:v>3</x:v>
      </x:c>
      <x:c r="G3773" s="28" t="n">
        <x:v>1</x:v>
      </x:c>
      <x:c r="H3773" s="28" t="n">
        <x:v>7</x:v>
      </x:c>
      <x:c r="I3773" s="28" t="n">
        <x:v>10</x:v>
      </x:c>
      <x:c r="J3773" s="28" t="n">
        <x:v>3</x:v>
      </x:c>
      <x:c r="K3773" s="28" t="n">
        <x:v>4</x:v>
      </x:c>
      <x:c r="L3773" s="28" t="n">
        <x:v>2</x:v>
      </x:c>
      <x:c r="M3773" s="28" t="n">
        <x:v>3</x:v>
      </x:c>
      <x:c r="N3773" s="28" t="n">
        <x:v>0</x:v>
      </x:c>
      <x:c r="O3773" s="28" t="n">
        <x:v>0</x:v>
      </x:c>
      <x:c r="P3773" s="28" t="n">
        <x:v>3</x:v>
      </x:c>
      <x:c r="Q3773" s="24" t="n">
        <x:f>IFERROR(J3773/H3773,0)</x:f>
        <x:v>0.42857142857142855</x:v>
      </x:c>
      <x:c r="R3773" s="24" t="n">
        <x:f>IFERROR(F3773/H3773,0)</x:f>
        <x:v>0.42857142857142855</x:v>
      </x:c>
      <x:c r="S3773" s="24" t="n">
        <x:f>IFERROR(F3773/J3773,0)</x:f>
        <x:v>1</x:v>
      </x:c>
      <x:c r="T3773" s="28" t="n">
        <x:f>H3773-I3773</x:f>
        <x:v>-3</x:v>
      </x:c>
      <x:c r="U3773" s="24" t="n">
        <x:f>IFERROR(J3773/H3773,0)-IFERROR(K3773/I3773,0)</x:f>
        <x:v>0.028571428571428525</x:v>
      </x:c>
      <x:c r="V3773" s="24" t="n">
        <x:f>IFERROR(F3773/J3773,0)-IFERROR(G3773/K3773,0)</x:f>
        <x:v>0.75</x:v>
      </x:c>
      <x:c r="W3773" s="28" t="n">
        <x:f>L3773-M3773</x:f>
        <x:v>-1</x:v>
      </x:c>
      <x:c r="X3773" s="24" t="n">
        <x:f>IFERROR(K3773/I3773,0)</x:f>
        <x:v>0.4</x:v>
      </x:c>
      <x:c r="Y3773" s="24" t="n">
        <x:f>IFERROR(G3773/I3773,0)</x:f>
        <x:v>0.1</x:v>
      </x:c>
      <x:c r="Z3773" s="24" t="n">
        <x:f>IFERROR(G3773/K3773,0)</x:f>
        <x:v>0.25</x:v>
      </x:c>
      <x:c r="AA3773" s="24" t="n">
        <x:f>IFERROR(F3773/H3773,0)-IFERROR(G3773/I3773,0)</x:f>
        <x:v>0.3285714285714285</x:v>
      </x:c>
      <x:c r="AB3773" s="28" t="n">
        <x:f>J3773-K3773</x:f>
        <x:v>-1</x:v>
      </x:c>
      <x:c r="AC3773" s="32" t="n">
        <x:f>F3773-G3773</x:f>
        <x:v>2</x:v>
      </x:c>
    </x:row>
    <x:row r="3774">
      <x:c r="A3774" s="4" t="str">
        <x:v>2025-26</x:v>
      </x:c>
      <x:c r="B3774" s="20" t="n">
        <x:v>46159</x:v>
      </x:c>
      <x:c r="C3774" s="4" t="str">
        <x:v>West Ham</x:v>
      </x:c>
      <x:c r="D3774" s="4" t="str">
        <x:v>Newcastle</x:v>
      </x:c>
      <x:c r="E3774" s="4" t="str">
        <x:v>Away</x:v>
      </x:c>
      <x:c r="F3774" s="28" t="n">
        <x:v>1</x:v>
      </x:c>
      <x:c r="G3774" s="28" t="n">
        <x:v>3</x:v>
      </x:c>
      <x:c r="H3774" s="28" t="n">
        <x:v>15</x:v>
      </x:c>
      <x:c r="I3774" s="28" t="n">
        <x:v>15</x:v>
      </x:c>
      <x:c r="J3774" s="28" t="n">
        <x:v>8</x:v>
      </x:c>
      <x:c r="K3774" s="28" t="n">
        <x:v>7</x:v>
      </x:c>
      <x:c r="L3774" s="28" t="n">
        <x:v>1</x:v>
      </x:c>
      <x:c r="M3774" s="28" t="n">
        <x:v>9</x:v>
      </x:c>
      <x:c r="N3774" s="28" t="n">
        <x:v>3</x:v>
      </x:c>
      <x:c r="O3774" s="28" t="n">
        <x:v>0</x:v>
      </x:c>
      <x:c r="P3774" s="28" t="n">
        <x:v>0</x:v>
      </x:c>
      <x:c r="Q3774" s="24" t="n">
        <x:f>IFERROR(J3774/H3774,0)</x:f>
        <x:v>0.5333333333333333</x:v>
      </x:c>
      <x:c r="R3774" s="24" t="n">
        <x:f>IFERROR(F3774/H3774,0)</x:f>
        <x:v>0.06666666666666667</x:v>
      </x:c>
      <x:c r="S3774" s="24" t="n">
        <x:f>IFERROR(F3774/J3774,0)</x:f>
        <x:v>0.125</x:v>
      </x:c>
      <x:c r="T3774" s="28" t="n">
        <x:f>H3774-I3774</x:f>
        <x:v>0</x:v>
      </x:c>
      <x:c r="U3774" s="24" t="n">
        <x:f>IFERROR(J3774/H3774,0)-IFERROR(K3774/I3774,0)</x:f>
        <x:v>0.06666666666666665</x:v>
      </x:c>
      <x:c r="V3774" s="24" t="n">
        <x:f>IFERROR(F3774/J3774,0)-IFERROR(G3774/K3774,0)</x:f>
        <x:v>-0.30357142857142855</x:v>
      </x:c>
      <x:c r="W3774" s="28" t="n">
        <x:f>L3774-M3774</x:f>
        <x:v>-8</x:v>
      </x:c>
      <x:c r="X3774" s="24" t="n">
        <x:f>IFERROR(K3774/I3774,0)</x:f>
        <x:v>0.4666666666666667</x:v>
      </x:c>
      <x:c r="Y3774" s="24" t="n">
        <x:f>IFERROR(G3774/I3774,0)</x:f>
        <x:v>0.2</x:v>
      </x:c>
      <x:c r="Z3774" s="24" t="n">
        <x:f>IFERROR(G3774/K3774,0)</x:f>
        <x:v>0.42857142857142855</x:v>
      </x:c>
      <x:c r="AA3774" s="24" t="n">
        <x:f>IFERROR(F3774/H3774,0)-IFERROR(G3774/I3774,0)</x:f>
        <x:v>-0.13333333333333336</x:v>
      </x:c>
      <x:c r="AB3774" s="28" t="n">
        <x:f>J3774-K3774</x:f>
        <x:v>1</x:v>
      </x:c>
      <x:c r="AC3774" s="32" t="n">
        <x:f>F3774-G3774</x:f>
        <x:v>-2</x:v>
      </x:c>
    </x:row>
    <x:row r="3775">
      <x:c r="A3775" s="4" t="str">
        <x:v>2025-26</x:v>
      </x:c>
      <x:c r="B3775" s="20" t="n">
        <x:v>46159</x:v>
      </x:c>
      <x:c r="C3775" s="4" t="str">
        <x:v>Wolves</x:v>
      </x:c>
      <x:c r="D3775" s="4" t="str">
        <x:v>Fulham</x:v>
      </x:c>
      <x:c r="E3775" s="4" t="str">
        <x:v>Home</x:v>
      </x:c>
      <x:c r="F3775" s="28" t="n">
        <x:v>1</x:v>
      </x:c>
      <x:c r="G3775" s="28" t="n">
        <x:v>1</x:v>
      </x:c>
      <x:c r="H3775" s="28" t="n">
        <x:v>11</x:v>
      </x:c>
      <x:c r="I3775" s="28" t="n">
        <x:v>13</x:v>
      </x:c>
      <x:c r="J3775" s="28" t="n">
        <x:v>3</x:v>
      </x:c>
      <x:c r="K3775" s="28" t="n">
        <x:v>5</x:v>
      </x:c>
      <x:c r="L3775" s="28" t="n">
        <x:v>3</x:v>
      </x:c>
      <x:c r="M3775" s="28" t="n">
        <x:v>6</x:v>
      </x:c>
      <x:c r="N3775" s="28" t="n">
        <x:v>1</x:v>
      </x:c>
      <x:c r="O3775" s="28" t="n">
        <x:v>0</x:v>
      </x:c>
      <x:c r="P3775" s="28" t="n">
        <x:v>1</x:v>
      </x:c>
      <x:c r="Q3775" s="24" t="n">
        <x:f>IFERROR(J3775/H3775,0)</x:f>
        <x:v>0.2727272727272727</x:v>
      </x:c>
      <x:c r="R3775" s="24" t="n">
        <x:f>IFERROR(F3775/H3775,0)</x:f>
        <x:v>0.09090909090909091</x:v>
      </x:c>
      <x:c r="S3775" s="24" t="n">
        <x:f>IFERROR(F3775/J3775,0)</x:f>
        <x:v>0.3333333333333333</x:v>
      </x:c>
      <x:c r="T3775" s="28" t="n">
        <x:f>H3775-I3775</x:f>
        <x:v>-2</x:v>
      </x:c>
      <x:c r="U3775" s="24" t="n">
        <x:f>IFERROR(J3775/H3775,0)-IFERROR(K3775/I3775,0)</x:f>
        <x:v>-0.11188811188811193</x:v>
      </x:c>
      <x:c r="V3775" s="24" t="n">
        <x:f>IFERROR(F3775/J3775,0)-IFERROR(G3775/K3775,0)</x:f>
        <x:v>0.1333333333333333</x:v>
      </x:c>
      <x:c r="W3775" s="28" t="n">
        <x:f>L3775-M3775</x:f>
        <x:v>-3</x:v>
      </x:c>
      <x:c r="X3775" s="24" t="n">
        <x:f>IFERROR(K3775/I3775,0)</x:f>
        <x:v>0.38461538461538464</x:v>
      </x:c>
      <x:c r="Y3775" s="24" t="n">
        <x:f>IFERROR(G3775/I3775,0)</x:f>
        <x:v>0.07692307692307693</x:v>
      </x:c>
      <x:c r="Z3775" s="24" t="n">
        <x:f>IFERROR(G3775/K3775,0)</x:f>
        <x:v>0.2</x:v>
      </x:c>
      <x:c r="AA3775" s="24" t="n">
        <x:f>IFERROR(F3775/H3775,0)-IFERROR(G3775/I3775,0)</x:f>
        <x:v>0.013986013986013984</x:v>
      </x:c>
      <x:c r="AB3775" s="28" t="n">
        <x:f>J3775-K3775</x:f>
        <x:v>-2</x:v>
      </x:c>
      <x:c r="AC3775" s="32" t="n">
        <x:f>F3775-G3775</x:f>
        <x:v>0</x:v>
      </x:c>
    </x:row>
    <x:row r="3776">
      <x:c r="A3776" s="4" t="str">
        <x:v>2025-26</x:v>
      </x:c>
      <x:c r="B3776" s="20" t="n">
        <x:v>46160</x:v>
      </x:c>
      <x:c r="C3776" s="4" t="str">
        <x:v>Arsenal</x:v>
      </x:c>
      <x:c r="D3776" s="4" t="str">
        <x:v>Burnley</x:v>
      </x:c>
      <x:c r="E3776" s="4" t="str">
        <x:v>Home</x:v>
      </x:c>
      <x:c r="F3776" s="28" t="n">
        <x:v>1</x:v>
      </x:c>
      <x:c r="G3776" s="28" t="n">
        <x:v>0</x:v>
      </x:c>
      <x:c r="H3776" s="28" t="n">
        <x:v>13</x:v>
      </x:c>
      <x:c r="I3776" s="28" t="n">
        <x:v>5</x:v>
      </x:c>
      <x:c r="J3776" s="28" t="n">
        <x:v>3</x:v>
      </x:c>
      <x:c r="K3776" s="28" t="n">
        <x:v>0</x:v>
      </x:c>
      <x:c r="L3776" s="28" t="n">
        <x:v>3</x:v>
      </x:c>
      <x:c r="M3776" s="28" t="n">
        <x:v>3</x:v>
      </x:c>
      <x:c r="N3776" s="28" t="n">
        <x:v>1</x:v>
      </x:c>
      <x:c r="O3776" s="28" t="n">
        <x:v>0</x:v>
      </x:c>
      <x:c r="P3776" s="28" t="n">
        <x:v>3</x:v>
      </x:c>
      <x:c r="Q3776" s="24" t="n">
        <x:f>IFERROR(J3776/H3776,0)</x:f>
        <x:v>0.23076923076923078</x:v>
      </x:c>
      <x:c r="R3776" s="24" t="n">
        <x:f>IFERROR(F3776/H3776,0)</x:f>
        <x:v>0.07692307692307693</x:v>
      </x:c>
      <x:c r="S3776" s="24" t="n">
        <x:f>IFERROR(F3776/J3776,0)</x:f>
        <x:v>0.3333333333333333</x:v>
      </x:c>
      <x:c r="T3776" s="28" t="n">
        <x:f>H3776-I3776</x:f>
        <x:v>8</x:v>
      </x:c>
      <x:c r="U3776" s="24" t="n">
        <x:f>IFERROR(J3776/H3776,0)-IFERROR(K3776/I3776,0)</x:f>
        <x:v>0.23076923076923078</x:v>
      </x:c>
      <x:c r="V3776" s="24" t="n">
        <x:f>IFERROR(F3776/J3776,0)-IFERROR(G3776/K3776,0)</x:f>
        <x:v>0.3333333333333333</x:v>
      </x:c>
      <x:c r="W3776" s="28" t="n">
        <x:f>L3776-M3776</x:f>
        <x:v>0</x:v>
      </x:c>
      <x:c r="X3776" s="24" t="n">
        <x:f>IFERROR(K3776/I3776,0)</x:f>
        <x:v>0</x:v>
      </x:c>
      <x:c r="Y3776" s="24" t="n">
        <x:f>IFERROR(G3776/I3776,0)</x:f>
        <x:v>0</x:v>
      </x:c>
      <x:c r="Z3776" s="24" t="n">
        <x:f>IFERROR(G3776/K3776,0)</x:f>
        <x:v>0</x:v>
      </x:c>
      <x:c r="AA3776" s="24" t="n">
        <x:f>IFERROR(F3776/H3776,0)-IFERROR(G3776/I3776,0)</x:f>
        <x:v>0.07692307692307693</x:v>
      </x:c>
      <x:c r="AB3776" s="28" t="n">
        <x:f>J3776-K3776</x:f>
        <x:v>3</x:v>
      </x:c>
      <x:c r="AC3776" s="32" t="n">
        <x:f>F3776-G3776</x:f>
        <x:v>1</x:v>
      </x:c>
    </x:row>
    <x:row r="3777">
      <x:c r="A3777" s="4" t="str">
        <x:v>2025-26</x:v>
      </x:c>
      <x:c r="B3777" s="20" t="n">
        <x:v>46160</x:v>
      </x:c>
      <x:c r="C3777" s="4" t="str">
        <x:v>Burnley</x:v>
      </x:c>
      <x:c r="D3777" s="4" t="str">
        <x:v>Arsenal</x:v>
      </x:c>
      <x:c r="E3777" s="4" t="str">
        <x:v>Away</x:v>
      </x:c>
      <x:c r="F3777" s="28" t="n">
        <x:v>0</x:v>
      </x:c>
      <x:c r="G3777" s="28" t="n">
        <x:v>1</x:v>
      </x:c>
      <x:c r="H3777" s="28" t="n">
        <x:v>5</x:v>
      </x:c>
      <x:c r="I3777" s="28" t="n">
        <x:v>13</x:v>
      </x:c>
      <x:c r="J3777" s="28" t="n">
        <x:v>0</x:v>
      </x:c>
      <x:c r="K3777" s="28" t="n">
        <x:v>3</x:v>
      </x:c>
      <x:c r="L3777" s="28" t="n">
        <x:v>3</x:v>
      </x:c>
      <x:c r="M3777" s="28" t="n">
        <x:v>3</x:v>
      </x:c>
      <x:c r="N3777" s="28" t="n">
        <x:v>3</x:v>
      </x:c>
      <x:c r="O3777" s="28" t="n">
        <x:v>0</x:v>
      </x:c>
      <x:c r="P3777" s="28" t="n">
        <x:v>0</x:v>
      </x:c>
      <x:c r="Q3777" s="24" t="n">
        <x:f>IFERROR(J3777/H3777,0)</x:f>
        <x:v>0</x:v>
      </x:c>
      <x:c r="R3777" s="24" t="n">
        <x:f>IFERROR(F3777/H3777,0)</x:f>
        <x:v>0</x:v>
      </x:c>
      <x:c r="S3777" s="24" t="n">
        <x:f>IFERROR(F3777/J3777,0)</x:f>
        <x:v>0</x:v>
      </x:c>
      <x:c r="T3777" s="28" t="n">
        <x:f>H3777-I3777</x:f>
        <x:v>-8</x:v>
      </x:c>
      <x:c r="U3777" s="24" t="n">
        <x:f>IFERROR(J3777/H3777,0)-IFERROR(K3777/I3777,0)</x:f>
        <x:v>-0.23076923076923078</x:v>
      </x:c>
      <x:c r="V3777" s="24" t="n">
        <x:f>IFERROR(F3777/J3777,0)-IFERROR(G3777/K3777,0)</x:f>
        <x:v>-0.3333333333333333</x:v>
      </x:c>
      <x:c r="W3777" s="28" t="n">
        <x:f>L3777-M3777</x:f>
        <x:v>0</x:v>
      </x:c>
      <x:c r="X3777" s="24" t="n">
        <x:f>IFERROR(K3777/I3777,0)</x:f>
        <x:v>0.23076923076923078</x:v>
      </x:c>
      <x:c r="Y3777" s="24" t="n">
        <x:f>IFERROR(G3777/I3777,0)</x:f>
        <x:v>0.07692307692307693</x:v>
      </x:c>
      <x:c r="Z3777" s="24" t="n">
        <x:f>IFERROR(G3777/K3777,0)</x:f>
        <x:v>0.3333333333333333</x:v>
      </x:c>
      <x:c r="AA3777" s="24" t="n">
        <x:f>IFERROR(F3777/H3777,0)-IFERROR(G3777/I3777,0)</x:f>
        <x:v>-0.07692307692307693</x:v>
      </x:c>
      <x:c r="AB3777" s="28" t="n">
        <x:f>J3777-K3777</x:f>
        <x:v>-3</x:v>
      </x:c>
      <x:c r="AC3777" s="32" t="n">
        <x:f>F3777-G3777</x:f>
        <x:v>-1</x:v>
      </x:c>
    </x:row>
    <x:row r="3778">
      <x:c r="A3778" s="4" t="str">
        <x:v>2025-26</x:v>
      </x:c>
      <x:c r="B3778" s="20" t="n">
        <x:v>46161</x:v>
      </x:c>
      <x:c r="C3778" s="4" t="str">
        <x:v>Bournemouth</x:v>
      </x:c>
      <x:c r="D3778" s="4" t="str">
        <x:v>Man City</x:v>
      </x:c>
      <x:c r="E3778" s="4" t="str">
        <x:v>Home</x:v>
      </x:c>
      <x:c r="F3778" s="28" t="n">
        <x:v>1</x:v>
      </x:c>
      <x:c r="G3778" s="28" t="n">
        <x:v>1</x:v>
      </x:c>
      <x:c r="H3778" s="28" t="n">
        <x:v>10</x:v>
      </x:c>
      <x:c r="I3778" s="28" t="n">
        <x:v>14</x:v>
      </x:c>
      <x:c r="J3778" s="28" t="n">
        <x:v>2</x:v>
      </x:c>
      <x:c r="K3778" s="28" t="n">
        <x:v>5</x:v>
      </x:c>
      <x:c r="L3778" s="28" t="n">
        <x:v>7</x:v>
      </x:c>
      <x:c r="M3778" s="28" t="n">
        <x:v>6</x:v>
      </x:c>
      <x:c r="N3778" s="28" t="n">
        <x:v>4</x:v>
      </x:c>
      <x:c r="O3778" s="28" t="n">
        <x:v>0</x:v>
      </x:c>
      <x:c r="P3778" s="28" t="n">
        <x:v>1</x:v>
      </x:c>
      <x:c r="Q3778" s="24" t="n">
        <x:f>IFERROR(J3778/H3778,0)</x:f>
        <x:v>0.2</x:v>
      </x:c>
      <x:c r="R3778" s="24" t="n">
        <x:f>IFERROR(F3778/H3778,0)</x:f>
        <x:v>0.1</x:v>
      </x:c>
      <x:c r="S3778" s="24" t="n">
        <x:f>IFERROR(F3778/J3778,0)</x:f>
        <x:v>0.5</x:v>
      </x:c>
      <x:c r="T3778" s="28" t="n">
        <x:f>H3778-I3778</x:f>
        <x:v>-4</x:v>
      </x:c>
      <x:c r="U3778" s="24" t="n">
        <x:f>IFERROR(J3778/H3778,0)-IFERROR(K3778/I3778,0)</x:f>
        <x:v>-0.15714285714285714</x:v>
      </x:c>
      <x:c r="V3778" s="24" t="n">
        <x:f>IFERROR(F3778/J3778,0)-IFERROR(G3778/K3778,0)</x:f>
        <x:v>0.3</x:v>
      </x:c>
      <x:c r="W3778" s="28" t="n">
        <x:f>L3778-M3778</x:f>
        <x:v>1</x:v>
      </x:c>
      <x:c r="X3778" s="24" t="n">
        <x:f>IFERROR(K3778/I3778,0)</x:f>
        <x:v>0.35714285714285715</x:v>
      </x:c>
      <x:c r="Y3778" s="24" t="n">
        <x:f>IFERROR(G3778/I3778,0)</x:f>
        <x:v>0.07142857142857142</x:v>
      </x:c>
      <x:c r="Z3778" s="24" t="n">
        <x:f>IFERROR(G3778/K3778,0)</x:f>
        <x:v>0.2</x:v>
      </x:c>
      <x:c r="AA3778" s="24" t="n">
        <x:f>IFERROR(F3778/H3778,0)-IFERROR(G3778/I3778,0)</x:f>
        <x:v>0.02857142857142858</x:v>
      </x:c>
      <x:c r="AB3778" s="28" t="n">
        <x:f>J3778-K3778</x:f>
        <x:v>-3</x:v>
      </x:c>
      <x:c r="AC3778" s="32" t="n">
        <x:f>F3778-G3778</x:f>
        <x:v>0</x:v>
      </x:c>
    </x:row>
    <x:row r="3779">
      <x:c r="A3779" s="4" t="str">
        <x:v>2025-26</x:v>
      </x:c>
      <x:c r="B3779" s="20" t="n">
        <x:v>46161</x:v>
      </x:c>
      <x:c r="C3779" s="4" t="str">
        <x:v>Chelsea</x:v>
      </x:c>
      <x:c r="D3779" s="4" t="str">
        <x:v>Tottenham</x:v>
      </x:c>
      <x:c r="E3779" s="4" t="str">
        <x:v>Home</x:v>
      </x:c>
      <x:c r="F3779" s="28" t="n">
        <x:v>2</x:v>
      </x:c>
      <x:c r="G3779" s="28" t="n">
        <x:v>1</x:v>
      </x:c>
      <x:c r="H3779" s="28" t="n">
        <x:v>9</x:v>
      </x:c>
      <x:c r="I3779" s="28" t="n">
        <x:v>9</x:v>
      </x:c>
      <x:c r="J3779" s="28" t="n">
        <x:v>4</x:v>
      </x:c>
      <x:c r="K3779" s="28" t="n">
        <x:v>3</x:v>
      </x:c>
      <x:c r="L3779" s="28" t="n">
        <x:v>3</x:v>
      </x:c>
      <x:c r="M3779" s="28" t="n">
        <x:v>4</x:v>
      </x:c>
      <x:c r="N3779" s="28" t="n">
        <x:v>4</x:v>
      </x:c>
      <x:c r="O3779" s="28" t="n">
        <x:v>0</x:v>
      </x:c>
      <x:c r="P3779" s="28" t="n">
        <x:v>3</x:v>
      </x:c>
      <x:c r="Q3779" s="24" t="n">
        <x:f>IFERROR(J3779/H3779,0)</x:f>
        <x:v>0.4444444444444444</x:v>
      </x:c>
      <x:c r="R3779" s="24" t="n">
        <x:f>IFERROR(F3779/H3779,0)</x:f>
        <x:v>0.2222222222222222</x:v>
      </x:c>
      <x:c r="S3779" s="24" t="n">
        <x:f>IFERROR(F3779/J3779,0)</x:f>
        <x:v>0.5</x:v>
      </x:c>
      <x:c r="T3779" s="28" t="n">
        <x:f>H3779-I3779</x:f>
        <x:v>0</x:v>
      </x:c>
      <x:c r="U3779" s="24" t="n">
        <x:f>IFERROR(J3779/H3779,0)-IFERROR(K3779/I3779,0)</x:f>
        <x:v>0.1111111111111111</x:v>
      </x:c>
      <x:c r="V3779" s="24" t="n">
        <x:f>IFERROR(F3779/J3779,0)-IFERROR(G3779/K3779,0)</x:f>
        <x:v>0.16666666666666669</x:v>
      </x:c>
      <x:c r="W3779" s="28" t="n">
        <x:f>L3779-M3779</x:f>
        <x:v>-1</x:v>
      </x:c>
      <x:c r="X3779" s="24" t="n">
        <x:f>IFERROR(K3779/I3779,0)</x:f>
        <x:v>0.3333333333333333</x:v>
      </x:c>
      <x:c r="Y3779" s="24" t="n">
        <x:f>IFERROR(G3779/I3779,0)</x:f>
        <x:v>0.1111111111111111</x:v>
      </x:c>
      <x:c r="Z3779" s="24" t="n">
        <x:f>IFERROR(G3779/K3779,0)</x:f>
        <x:v>0.3333333333333333</x:v>
      </x:c>
      <x:c r="AA3779" s="24" t="n">
        <x:f>IFERROR(F3779/H3779,0)-IFERROR(G3779/I3779,0)</x:f>
        <x:v>0.1111111111111111</x:v>
      </x:c>
      <x:c r="AB3779" s="28" t="n">
        <x:f>J3779-K3779</x:f>
        <x:v>1</x:v>
      </x:c>
      <x:c r="AC3779" s="32" t="n">
        <x:f>F3779-G3779</x:f>
        <x:v>1</x:v>
      </x:c>
    </x:row>
    <x:row r="3780">
      <x:c r="A3780" s="4" t="str">
        <x:v>2025-26</x:v>
      </x:c>
      <x:c r="B3780" s="20" t="n">
        <x:v>46161</x:v>
      </x:c>
      <x:c r="C3780" s="4" t="str">
        <x:v>Man City</x:v>
      </x:c>
      <x:c r="D3780" s="4" t="str">
        <x:v>Bournemouth</x:v>
      </x:c>
      <x:c r="E3780" s="4" t="str">
        <x:v>Away</x:v>
      </x:c>
      <x:c r="F3780" s="28" t="n">
        <x:v>1</x:v>
      </x:c>
      <x:c r="G3780" s="28" t="n">
        <x:v>1</x:v>
      </x:c>
      <x:c r="H3780" s="28" t="n">
        <x:v>14</x:v>
      </x:c>
      <x:c r="I3780" s="28" t="n">
        <x:v>10</x:v>
      </x:c>
      <x:c r="J3780" s="28" t="n">
        <x:v>5</x:v>
      </x:c>
      <x:c r="K3780" s="28" t="n">
        <x:v>2</x:v>
      </x:c>
      <x:c r="L3780" s="28" t="n">
        <x:v>6</x:v>
      </x:c>
      <x:c r="M3780" s="28" t="n">
        <x:v>7</x:v>
      </x:c>
      <x:c r="N3780" s="28" t="n">
        <x:v>2</x:v>
      </x:c>
      <x:c r="O3780" s="28" t="n">
        <x:v>0</x:v>
      </x:c>
      <x:c r="P3780" s="28" t="n">
        <x:v>1</x:v>
      </x:c>
      <x:c r="Q3780" s="24" t="n">
        <x:f>IFERROR(J3780/H3780,0)</x:f>
        <x:v>0.35714285714285715</x:v>
      </x:c>
      <x:c r="R3780" s="24" t="n">
        <x:f>IFERROR(F3780/H3780,0)</x:f>
        <x:v>0.07142857142857142</x:v>
      </x:c>
      <x:c r="S3780" s="24" t="n">
        <x:f>IFERROR(F3780/J3780,0)</x:f>
        <x:v>0.2</x:v>
      </x:c>
      <x:c r="T3780" s="28" t="n">
        <x:f>H3780-I3780</x:f>
        <x:v>4</x:v>
      </x:c>
      <x:c r="U3780" s="24" t="n">
        <x:f>IFERROR(J3780/H3780,0)-IFERROR(K3780/I3780,0)</x:f>
        <x:v>0.15714285714285714</x:v>
      </x:c>
      <x:c r="V3780" s="24" t="n">
        <x:f>IFERROR(F3780/J3780,0)-IFERROR(G3780/K3780,0)</x:f>
        <x:v>-0.3</x:v>
      </x:c>
      <x:c r="W3780" s="28" t="n">
        <x:f>L3780-M3780</x:f>
        <x:v>-1</x:v>
      </x:c>
      <x:c r="X3780" s="24" t="n">
        <x:f>IFERROR(K3780/I3780,0)</x:f>
        <x:v>0.2</x:v>
      </x:c>
      <x:c r="Y3780" s="24" t="n">
        <x:f>IFERROR(G3780/I3780,0)</x:f>
        <x:v>0.1</x:v>
      </x:c>
      <x:c r="Z3780" s="24" t="n">
        <x:f>IFERROR(G3780/K3780,0)</x:f>
        <x:v>0.5</x:v>
      </x:c>
      <x:c r="AA3780" s="24" t="n">
        <x:f>IFERROR(F3780/H3780,0)-IFERROR(G3780/I3780,0)</x:f>
        <x:v>-0.02857142857142858</x:v>
      </x:c>
      <x:c r="AB3780" s="28" t="n">
        <x:f>J3780-K3780</x:f>
        <x:v>3</x:v>
      </x:c>
      <x:c r="AC3780" s="32" t="n">
        <x:f>F3780-G3780</x:f>
        <x:v>0</x:v>
      </x:c>
    </x:row>
    <x:row r="3781">
      <x:c r="A3781" s="4" t="str">
        <x:v>2025-26</x:v>
      </x:c>
      <x:c r="B3781" s="20" t="n">
        <x:v>46161</x:v>
      </x:c>
      <x:c r="C3781" s="4" t="str">
        <x:v>Tottenham</x:v>
      </x:c>
      <x:c r="D3781" s="4" t="str">
        <x:v>Chelsea</x:v>
      </x:c>
      <x:c r="E3781" s="4" t="str">
        <x:v>Away</x:v>
      </x:c>
      <x:c r="F3781" s="28" t="n">
        <x:v>1</x:v>
      </x:c>
      <x:c r="G3781" s="28" t="n">
        <x:v>2</x:v>
      </x:c>
      <x:c r="H3781" s="28" t="n">
        <x:v>9</x:v>
      </x:c>
      <x:c r="I3781" s="28" t="n">
        <x:v>9</x:v>
      </x:c>
      <x:c r="J3781" s="28" t="n">
        <x:v>3</x:v>
      </x:c>
      <x:c r="K3781" s="28" t="n">
        <x:v>4</x:v>
      </x:c>
      <x:c r="L3781" s="28" t="n">
        <x:v>4</x:v>
      </x:c>
      <x:c r="M3781" s="28" t="n">
        <x:v>3</x:v>
      </x:c>
      <x:c r="N3781" s="28" t="n">
        <x:v>3</x:v>
      </x:c>
      <x:c r="O3781" s="28" t="n">
        <x:v>0</x:v>
      </x:c>
      <x:c r="P3781" s="28" t="n">
        <x:v>0</x:v>
      </x:c>
      <x:c r="Q3781" s="24" t="n">
        <x:f>IFERROR(J3781/H3781,0)</x:f>
        <x:v>0.3333333333333333</x:v>
      </x:c>
      <x:c r="R3781" s="24" t="n">
        <x:f>IFERROR(F3781/H3781,0)</x:f>
        <x:v>0.1111111111111111</x:v>
      </x:c>
      <x:c r="S3781" s="24" t="n">
        <x:f>IFERROR(F3781/J3781,0)</x:f>
        <x:v>0.3333333333333333</x:v>
      </x:c>
      <x:c r="T3781" s="28" t="n">
        <x:f>H3781-I3781</x:f>
        <x:v>0</x:v>
      </x:c>
      <x:c r="U3781" s="24" t="n">
        <x:f>IFERROR(J3781/H3781,0)-IFERROR(K3781/I3781,0)</x:f>
        <x:v>-0.1111111111111111</x:v>
      </x:c>
      <x:c r="V3781" s="24" t="n">
        <x:f>IFERROR(F3781/J3781,0)-IFERROR(G3781/K3781,0)</x:f>
        <x:v>-0.16666666666666669</x:v>
      </x:c>
      <x:c r="W3781" s="28" t="n">
        <x:f>L3781-M3781</x:f>
        <x:v>1</x:v>
      </x:c>
      <x:c r="X3781" s="24" t="n">
        <x:f>IFERROR(K3781/I3781,0)</x:f>
        <x:v>0.4444444444444444</x:v>
      </x:c>
      <x:c r="Y3781" s="24" t="n">
        <x:f>IFERROR(G3781/I3781,0)</x:f>
        <x:v>0.2222222222222222</x:v>
      </x:c>
      <x:c r="Z3781" s="24" t="n">
        <x:f>IFERROR(G3781/K3781,0)</x:f>
        <x:v>0.5</x:v>
      </x:c>
      <x:c r="AA3781" s="24" t="n">
        <x:f>IFERROR(F3781/H3781,0)-IFERROR(G3781/I3781,0)</x:f>
        <x:v>-0.1111111111111111</x:v>
      </x:c>
      <x:c r="AB3781" s="28" t="n">
        <x:f>J3781-K3781</x:f>
        <x:v>-1</x:v>
      </x:c>
      <x:c r="AC3781" s="32" t="n">
        <x:f>F3781-G3781</x:f>
        <x:v>-1</x:v>
      </x:c>
    </x:row>
    <x:row r="3782">
      <x:c r="A3782" s="4" t="str">
        <x:v>2025-26</x:v>
      </x:c>
      <x:c r="B3782" s="20" t="n">
        <x:v>46166</x:v>
      </x:c>
      <x:c r="C3782" s="4" t="str">
        <x:v>Arsenal</x:v>
      </x:c>
      <x:c r="D3782" s="4" t="str">
        <x:v>Crystal Palace</x:v>
      </x:c>
      <x:c r="E3782" s="4" t="str">
        <x:v>Away</x:v>
      </x:c>
      <x:c r="F3782" s="28" t="n">
        <x:v>2</x:v>
      </x:c>
      <x:c r="G3782" s="28" t="n">
        <x:v>1</x:v>
      </x:c>
      <x:c r="H3782" s="28" t="n">
        <x:v>17</x:v>
      </x:c>
      <x:c r="I3782" s="28" t="n">
        <x:v>8</x:v>
      </x:c>
      <x:c r="J3782" s="28" t="n">
        <x:v>7</x:v>
      </x:c>
      <x:c r="K3782" s="28" t="n">
        <x:v>3</x:v>
      </x:c>
      <x:c r="L3782" s="28" t="n">
        <x:v>4</x:v>
      </x:c>
      <x:c r="M3782" s="28" t="n">
        <x:v>3</x:v>
      </x:c>
      <x:c r="N3782" s="28" t="n">
        <x:v>1</x:v>
      </x:c>
      <x:c r="O3782" s="28" t="n">
        <x:v>0</x:v>
      </x:c>
      <x:c r="P3782" s="28" t="n">
        <x:v>3</x:v>
      </x:c>
      <x:c r="Q3782" s="24" t="n">
        <x:f>IFERROR(J3782/H3782,0)</x:f>
        <x:v>0.4117647058823529</x:v>
      </x:c>
      <x:c r="R3782" s="24" t="n">
        <x:f>IFERROR(F3782/H3782,0)</x:f>
        <x:v>0.11764705882352941</x:v>
      </x:c>
      <x:c r="S3782" s="24" t="n">
        <x:f>IFERROR(F3782/J3782,0)</x:f>
        <x:v>0.2857142857142857</x:v>
      </x:c>
      <x:c r="T3782" s="28" t="n">
        <x:f>H3782-I3782</x:f>
        <x:v>9</x:v>
      </x:c>
      <x:c r="U3782" s="24" t="n">
        <x:f>IFERROR(J3782/H3782,0)-IFERROR(K3782/I3782,0)</x:f>
        <x:v>0.03676470588235292</x:v>
      </x:c>
      <x:c r="V3782" s="24" t="n">
        <x:f>IFERROR(F3782/J3782,0)-IFERROR(G3782/K3782,0)</x:f>
        <x:v>-0.047619047619047616</x:v>
      </x:c>
      <x:c r="W3782" s="28" t="n">
        <x:f>L3782-M3782</x:f>
        <x:v>1</x:v>
      </x:c>
      <x:c r="X3782" s="24" t="n">
        <x:f>IFERROR(K3782/I3782,0)</x:f>
        <x:v>0.375</x:v>
      </x:c>
      <x:c r="Y3782" s="24" t="n">
        <x:f>IFERROR(G3782/I3782,0)</x:f>
        <x:v>0.125</x:v>
      </x:c>
      <x:c r="Z3782" s="24" t="n">
        <x:f>IFERROR(G3782/K3782,0)</x:f>
        <x:v>0.3333333333333333</x:v>
      </x:c>
      <x:c r="AA3782" s="24" t="n">
        <x:f>IFERROR(F3782/H3782,0)-IFERROR(G3782/I3782,0)</x:f>
        <x:v>-0.00735294117647059</x:v>
      </x:c>
      <x:c r="AB3782" s="28" t="n">
        <x:f>J3782-K3782</x:f>
        <x:v>4</x:v>
      </x:c>
      <x:c r="AC3782" s="32" t="n">
        <x:f>F3782-G3782</x:f>
        <x:v>1</x:v>
      </x:c>
    </x:row>
    <x:row r="3783">
      <x:c r="A3783" s="4" t="str">
        <x:v>2025-26</x:v>
      </x:c>
      <x:c r="B3783" s="20" t="n">
        <x:v>46166</x:v>
      </x:c>
      <x:c r="C3783" s="4" t="str">
        <x:v>Aston Villa</x:v>
      </x:c>
      <x:c r="D3783" s="4" t="str">
        <x:v>Man City</x:v>
      </x:c>
      <x:c r="E3783" s="4" t="str">
        <x:v>Away</x:v>
      </x:c>
      <x:c r="F3783" s="28" t="n">
        <x:v>2</x:v>
      </x:c>
      <x:c r="G3783" s="28" t="n">
        <x:v>1</x:v>
      </x:c>
      <x:c r="H3783" s="28" t="n">
        <x:v>12</x:v>
      </x:c>
      <x:c r="I3783" s="28" t="n">
        <x:v>16</x:v>
      </x:c>
      <x:c r="J3783" s="28" t="n">
        <x:v>5</x:v>
      </x:c>
      <x:c r="K3783" s="28" t="n">
        <x:v>3</x:v>
      </x:c>
      <x:c r="L3783" s="28" t="n">
        <x:v>4</x:v>
      </x:c>
      <x:c r="M3783" s="28" t="n">
        <x:v>9</x:v>
      </x:c>
      <x:c r="N3783" s="28" t="n">
        <x:v>0</x:v>
      </x:c>
      <x:c r="O3783" s="28" t="n">
        <x:v>0</x:v>
      </x:c>
      <x:c r="P3783" s="28" t="n">
        <x:v>3</x:v>
      </x:c>
      <x:c r="Q3783" s="24" t="n">
        <x:f>IFERROR(J3783/H3783,0)</x:f>
        <x:v>0.4166666666666667</x:v>
      </x:c>
      <x:c r="R3783" s="24" t="n">
        <x:f>IFERROR(F3783/H3783,0)</x:f>
        <x:v>0.16666666666666666</x:v>
      </x:c>
      <x:c r="S3783" s="24" t="n">
        <x:f>IFERROR(F3783/J3783,0)</x:f>
        <x:v>0.4</x:v>
      </x:c>
      <x:c r="T3783" s="28" t="n">
        <x:f>H3783-I3783</x:f>
        <x:v>-4</x:v>
      </x:c>
      <x:c r="U3783" s="24" t="n">
        <x:f>IFERROR(J3783/H3783,0)-IFERROR(K3783/I3783,0)</x:f>
        <x:v>0.22916666666666669</x:v>
      </x:c>
      <x:c r="V3783" s="24" t="n">
        <x:f>IFERROR(F3783/J3783,0)-IFERROR(G3783/K3783,0)</x:f>
        <x:v>0.06666666666666671</x:v>
      </x:c>
      <x:c r="W3783" s="28" t="n">
        <x:f>L3783-M3783</x:f>
        <x:v>-5</x:v>
      </x:c>
      <x:c r="X3783" s="24" t="n">
        <x:f>IFERROR(K3783/I3783,0)</x:f>
        <x:v>0.1875</x:v>
      </x:c>
      <x:c r="Y3783" s="24" t="n">
        <x:f>IFERROR(G3783/I3783,0)</x:f>
        <x:v>0.0625</x:v>
      </x:c>
      <x:c r="Z3783" s="24" t="n">
        <x:f>IFERROR(G3783/K3783,0)</x:f>
        <x:v>0.3333333333333333</x:v>
      </x:c>
      <x:c r="AA3783" s="24" t="n">
        <x:f>IFERROR(F3783/H3783,0)-IFERROR(G3783/I3783,0)</x:f>
        <x:v>0.10416666666666666</x:v>
      </x:c>
      <x:c r="AB3783" s="28" t="n">
        <x:f>J3783-K3783</x:f>
        <x:v>2</x:v>
      </x:c>
      <x:c r="AC3783" s="32" t="n">
        <x:f>F3783-G3783</x:f>
        <x:v>1</x:v>
      </x:c>
    </x:row>
    <x:row r="3784">
      <x:c r="A3784" s="4" t="str">
        <x:v>2025-26</x:v>
      </x:c>
      <x:c r="B3784" s="20" t="n">
        <x:v>46166</x:v>
      </x:c>
      <x:c r="C3784" s="4" t="str">
        <x:v>Bournemouth</x:v>
      </x:c>
      <x:c r="D3784" s="4" t="str">
        <x:v>Nott'm Forest</x:v>
      </x:c>
      <x:c r="E3784" s="4" t="str">
        <x:v>Away</x:v>
      </x:c>
      <x:c r="F3784" s="28" t="n">
        <x:v>1</x:v>
      </x:c>
      <x:c r="G3784" s="28" t="n">
        <x:v>1</x:v>
      </x:c>
      <x:c r="H3784" s="28" t="n">
        <x:v>17</x:v>
      </x:c>
      <x:c r="I3784" s="28" t="n">
        <x:v>15</x:v>
      </x:c>
      <x:c r="J3784" s="28" t="n">
        <x:v>4</x:v>
      </x:c>
      <x:c r="K3784" s="28" t="n">
        <x:v>5</x:v>
      </x:c>
      <x:c r="L3784" s="28" t="n">
        <x:v>3</x:v>
      </x:c>
      <x:c r="M3784" s="28" t="n">
        <x:v>6</x:v>
      </x:c>
      <x:c r="N3784" s="28" t="n">
        <x:v>1</x:v>
      </x:c>
      <x:c r="O3784" s="28" t="n">
        <x:v>0</x:v>
      </x:c>
      <x:c r="P3784" s="28" t="n">
        <x:v>1</x:v>
      </x:c>
      <x:c r="Q3784" s="24" t="n">
        <x:f>IFERROR(J3784/H3784,0)</x:f>
        <x:v>0.23529411764705882</x:v>
      </x:c>
      <x:c r="R3784" s="24" t="n">
        <x:f>IFERROR(F3784/H3784,0)</x:f>
        <x:v>0.058823529411764705</x:v>
      </x:c>
      <x:c r="S3784" s="24" t="n">
        <x:f>IFERROR(F3784/J3784,0)</x:f>
        <x:v>0.25</x:v>
      </x:c>
      <x:c r="T3784" s="28" t="n">
        <x:f>H3784-I3784</x:f>
        <x:v>2</x:v>
      </x:c>
      <x:c r="U3784" s="24" t="n">
        <x:f>IFERROR(J3784/H3784,0)-IFERROR(K3784/I3784,0)</x:f>
        <x:v>-0.0980392156862745</x:v>
      </x:c>
      <x:c r="V3784" s="24" t="n">
        <x:f>IFERROR(F3784/J3784,0)-IFERROR(G3784/K3784,0)</x:f>
        <x:v>0.04999999999999999</x:v>
      </x:c>
      <x:c r="W3784" s="28" t="n">
        <x:f>L3784-M3784</x:f>
        <x:v>-3</x:v>
      </x:c>
      <x:c r="X3784" s="24" t="n">
        <x:f>IFERROR(K3784/I3784,0)</x:f>
        <x:v>0.3333333333333333</x:v>
      </x:c>
      <x:c r="Y3784" s="24" t="n">
        <x:f>IFERROR(G3784/I3784,0)</x:f>
        <x:v>0.06666666666666667</x:v>
      </x:c>
      <x:c r="Z3784" s="24" t="n">
        <x:f>IFERROR(G3784/K3784,0)</x:f>
        <x:v>0.2</x:v>
      </x:c>
      <x:c r="AA3784" s="24" t="n">
        <x:f>IFERROR(F3784/H3784,0)-IFERROR(G3784/I3784,0)</x:f>
        <x:v>-0.00784313725490196</x:v>
      </x:c>
      <x:c r="AB3784" s="28" t="n">
        <x:f>J3784-K3784</x:f>
        <x:v>-1</x:v>
      </x:c>
      <x:c r="AC3784" s="32" t="n">
        <x:f>F3784-G3784</x:f>
        <x:v>0</x:v>
      </x:c>
    </x:row>
    <x:row r="3785">
      <x:c r="A3785" s="4" t="str">
        <x:v>2025-26</x:v>
      </x:c>
      <x:c r="B3785" s="20" t="n">
        <x:v>46166</x:v>
      </x:c>
      <x:c r="C3785" s="4" t="str">
        <x:v>Brentford</x:v>
      </x:c>
      <x:c r="D3785" s="4" t="str">
        <x:v>Liverpool</x:v>
      </x:c>
      <x:c r="E3785" s="4" t="str">
        <x:v>Away</x:v>
      </x:c>
      <x:c r="F3785" s="28" t="n">
        <x:v>1</x:v>
      </x:c>
      <x:c r="G3785" s="28" t="n">
        <x:v>1</x:v>
      </x:c>
      <x:c r="H3785" s="28" t="n">
        <x:v>11</x:v>
      </x:c>
      <x:c r="I3785" s="28" t="n">
        <x:v>24</x:v>
      </x:c>
      <x:c r="J3785" s="28" t="n">
        <x:v>2</x:v>
      </x:c>
      <x:c r="K3785" s="28" t="n">
        <x:v>8</x:v>
      </x:c>
      <x:c r="L3785" s="28" t="n">
        <x:v>2</x:v>
      </x:c>
      <x:c r="M3785" s="28" t="n">
        <x:v>14</x:v>
      </x:c>
      <x:c r="N3785" s="28" t="n">
        <x:v>3</x:v>
      </x:c>
      <x:c r="O3785" s="28" t="n">
        <x:v>0</x:v>
      </x:c>
      <x:c r="P3785" s="28" t="n">
        <x:v>1</x:v>
      </x:c>
      <x:c r="Q3785" s="24" t="n">
        <x:f>IFERROR(J3785/H3785,0)</x:f>
        <x:v>0.18181818181818182</x:v>
      </x:c>
      <x:c r="R3785" s="24" t="n">
        <x:f>IFERROR(F3785/H3785,0)</x:f>
        <x:v>0.09090909090909091</x:v>
      </x:c>
      <x:c r="S3785" s="24" t="n">
        <x:f>IFERROR(F3785/J3785,0)</x:f>
        <x:v>0.5</x:v>
      </x:c>
      <x:c r="T3785" s="28" t="n">
        <x:f>H3785-I3785</x:f>
        <x:v>-13</x:v>
      </x:c>
      <x:c r="U3785" s="24" t="n">
        <x:f>IFERROR(J3785/H3785,0)-IFERROR(K3785/I3785,0)</x:f>
        <x:v>-0.1515151515151515</x:v>
      </x:c>
      <x:c r="V3785" s="24" t="n">
        <x:f>IFERROR(F3785/J3785,0)-IFERROR(G3785/K3785,0)</x:f>
        <x:v>0.375</x:v>
      </x:c>
      <x:c r="W3785" s="28" t="n">
        <x:f>L3785-M3785</x:f>
        <x:v>-12</x:v>
      </x:c>
      <x:c r="X3785" s="24" t="n">
        <x:f>IFERROR(K3785/I3785,0)</x:f>
        <x:v>0.3333333333333333</x:v>
      </x:c>
      <x:c r="Y3785" s="24" t="n">
        <x:f>IFERROR(G3785/I3785,0)</x:f>
        <x:v>0.041666666666666664</x:v>
      </x:c>
      <x:c r="Z3785" s="24" t="n">
        <x:f>IFERROR(G3785/K3785,0)</x:f>
        <x:v>0.125</x:v>
      </x:c>
      <x:c r="AA3785" s="24" t="n">
        <x:f>IFERROR(F3785/H3785,0)-IFERROR(G3785/I3785,0)</x:f>
        <x:v>0.04924242424242425</x:v>
      </x:c>
      <x:c r="AB3785" s="28" t="n">
        <x:f>J3785-K3785</x:f>
        <x:v>-6</x:v>
      </x:c>
      <x:c r="AC3785" s="32" t="n">
        <x:f>F3785-G3785</x:f>
        <x:v>0</x:v>
      </x:c>
    </x:row>
    <x:row r="3786">
      <x:c r="A3786" s="4" t="str">
        <x:v>2025-26</x:v>
      </x:c>
      <x:c r="B3786" s="20" t="n">
        <x:v>46166</x:v>
      </x:c>
      <x:c r="C3786" s="4" t="str">
        <x:v>Brighton</x:v>
      </x:c>
      <x:c r="D3786" s="4" t="str">
        <x:v>Man United</x:v>
      </x:c>
      <x:c r="E3786" s="4" t="str">
        <x:v>Home</x:v>
      </x:c>
      <x:c r="F3786" s="28" t="n">
        <x:v>0</x:v>
      </x:c>
      <x:c r="G3786" s="28" t="n">
        <x:v>3</x:v>
      </x:c>
      <x:c r="H3786" s="28" t="n">
        <x:v>13</x:v>
      </x:c>
      <x:c r="I3786" s="28" t="n">
        <x:v>11</x:v>
      </x:c>
      <x:c r="J3786" s="28" t="n">
        <x:v>2</x:v>
      </x:c>
      <x:c r="K3786" s="28" t="n">
        <x:v>7</x:v>
      </x:c>
      <x:c r="L3786" s="28" t="n">
        <x:v>0</x:v>
      </x:c>
      <x:c r="M3786" s="28" t="n">
        <x:v>3</x:v>
      </x:c>
      <x:c r="N3786" s="28" t="n">
        <x:v>0</x:v>
      </x:c>
      <x:c r="O3786" s="28" t="n">
        <x:v>0</x:v>
      </x:c>
      <x:c r="P3786" s="28" t="n">
        <x:v>0</x:v>
      </x:c>
      <x:c r="Q3786" s="24" t="n">
        <x:f>IFERROR(J3786/H3786,0)</x:f>
        <x:v>0.15384615384615385</x:v>
      </x:c>
      <x:c r="R3786" s="24" t="n">
        <x:f>IFERROR(F3786/H3786,0)</x:f>
        <x:v>0</x:v>
      </x:c>
      <x:c r="S3786" s="24" t="n">
        <x:f>IFERROR(F3786/J3786,0)</x:f>
        <x:v>0</x:v>
      </x:c>
      <x:c r="T3786" s="28" t="n">
        <x:f>H3786-I3786</x:f>
        <x:v>2</x:v>
      </x:c>
      <x:c r="U3786" s="24" t="n">
        <x:f>IFERROR(J3786/H3786,0)-IFERROR(K3786/I3786,0)</x:f>
        <x:v>-0.4825174825174825</x:v>
      </x:c>
      <x:c r="V3786" s="24" t="n">
        <x:f>IFERROR(F3786/J3786,0)-IFERROR(G3786/K3786,0)</x:f>
        <x:v>-0.42857142857142855</x:v>
      </x:c>
      <x:c r="W3786" s="28" t="n">
        <x:f>L3786-M3786</x:f>
        <x:v>-3</x:v>
      </x:c>
      <x:c r="X3786" s="24" t="n">
        <x:f>IFERROR(K3786/I3786,0)</x:f>
        <x:v>0.6363636363636364</x:v>
      </x:c>
      <x:c r="Y3786" s="24" t="n">
        <x:f>IFERROR(G3786/I3786,0)</x:f>
        <x:v>0.2727272727272727</x:v>
      </x:c>
      <x:c r="Z3786" s="24" t="n">
        <x:f>IFERROR(G3786/K3786,0)</x:f>
        <x:v>0.42857142857142855</x:v>
      </x:c>
      <x:c r="AA3786" s="24" t="n">
        <x:f>IFERROR(F3786/H3786,0)-IFERROR(G3786/I3786,0)</x:f>
        <x:v>-0.2727272727272727</x:v>
      </x:c>
      <x:c r="AB3786" s="28" t="n">
        <x:f>J3786-K3786</x:f>
        <x:v>-5</x:v>
      </x:c>
      <x:c r="AC3786" s="32" t="n">
        <x:f>F3786-G3786</x:f>
        <x:v>-3</x:v>
      </x:c>
    </x:row>
    <x:row r="3787">
      <x:c r="A3787" s="4" t="str">
        <x:v>2025-26</x:v>
      </x:c>
      <x:c r="B3787" s="20" t="n">
        <x:v>46166</x:v>
      </x:c>
      <x:c r="C3787" s="4" t="str">
        <x:v>Burnley</x:v>
      </x:c>
      <x:c r="D3787" s="4" t="str">
        <x:v>Wolves</x:v>
      </x:c>
      <x:c r="E3787" s="4" t="str">
        <x:v>Home</x:v>
      </x:c>
      <x:c r="F3787" s="28" t="n">
        <x:v>1</x:v>
      </x:c>
      <x:c r="G3787" s="28" t="n">
        <x:v>1</x:v>
      </x:c>
      <x:c r="H3787" s="28" t="n">
        <x:v>16</x:v>
      </x:c>
      <x:c r="I3787" s="28" t="n">
        <x:v>16</x:v>
      </x:c>
      <x:c r="J3787" s="28" t="n">
        <x:v>8</x:v>
      </x:c>
      <x:c r="K3787" s="28" t="n">
        <x:v>4</x:v>
      </x:c>
      <x:c r="L3787" s="28" t="n">
        <x:v>7</x:v>
      </x:c>
      <x:c r="M3787" s="28" t="n">
        <x:v>7</x:v>
      </x:c>
      <x:c r="N3787" s="28" t="n">
        <x:v>2</x:v>
      </x:c>
      <x:c r="O3787" s="28" t="n">
        <x:v>0</x:v>
      </x:c>
      <x:c r="P3787" s="28" t="n">
        <x:v>1</x:v>
      </x:c>
      <x:c r="Q3787" s="24" t="n">
        <x:f>IFERROR(J3787/H3787,0)</x:f>
        <x:v>0.5</x:v>
      </x:c>
      <x:c r="R3787" s="24" t="n">
        <x:f>IFERROR(F3787/H3787,0)</x:f>
        <x:v>0.0625</x:v>
      </x:c>
      <x:c r="S3787" s="24" t="n">
        <x:f>IFERROR(F3787/J3787,0)</x:f>
        <x:v>0.125</x:v>
      </x:c>
      <x:c r="T3787" s="28" t="n">
        <x:f>H3787-I3787</x:f>
        <x:v>0</x:v>
      </x:c>
      <x:c r="U3787" s="24" t="n">
        <x:f>IFERROR(J3787/H3787,0)-IFERROR(K3787/I3787,0)</x:f>
        <x:v>0.25</x:v>
      </x:c>
      <x:c r="V3787" s="24" t="n">
        <x:f>IFERROR(F3787/J3787,0)-IFERROR(G3787/K3787,0)</x:f>
        <x:v>-0.125</x:v>
      </x:c>
      <x:c r="W3787" s="28" t="n">
        <x:f>L3787-M3787</x:f>
        <x:v>0</x:v>
      </x:c>
      <x:c r="X3787" s="24" t="n">
        <x:f>IFERROR(K3787/I3787,0)</x:f>
        <x:v>0.25</x:v>
      </x:c>
      <x:c r="Y3787" s="24" t="n">
        <x:f>IFERROR(G3787/I3787,0)</x:f>
        <x:v>0.0625</x:v>
      </x:c>
      <x:c r="Z3787" s="24" t="n">
        <x:f>IFERROR(G3787/K3787,0)</x:f>
        <x:v>0.25</x:v>
      </x:c>
      <x:c r="AA3787" s="24" t="n">
        <x:f>IFERROR(F3787/H3787,0)-IFERROR(G3787/I3787,0)</x:f>
        <x:v>0</x:v>
      </x:c>
      <x:c r="AB3787" s="28" t="n">
        <x:f>J3787-K3787</x:f>
        <x:v>4</x:v>
      </x:c>
      <x:c r="AC3787" s="32" t="n">
        <x:f>F3787-G3787</x:f>
        <x:v>0</x:v>
      </x:c>
    </x:row>
    <x:row r="3788">
      <x:c r="A3788" s="4" t="str">
        <x:v>2025-26</x:v>
      </x:c>
      <x:c r="B3788" s="20" t="n">
        <x:v>46166</x:v>
      </x:c>
      <x:c r="C3788" s="4" t="str">
        <x:v>Chelsea</x:v>
      </x:c>
      <x:c r="D3788" s="4" t="str">
        <x:v>Sunderland</x:v>
      </x:c>
      <x:c r="E3788" s="4" t="str">
        <x:v>Away</x:v>
      </x:c>
      <x:c r="F3788" s="28" t="n">
        <x:v>1</x:v>
      </x:c>
      <x:c r="G3788" s="28" t="n">
        <x:v>2</x:v>
      </x:c>
      <x:c r="H3788" s="28" t="n">
        <x:v>10</x:v>
      </x:c>
      <x:c r="I3788" s="28" t="n">
        <x:v>20</x:v>
      </x:c>
      <x:c r="J3788" s="28" t="n">
        <x:v>1</x:v>
      </x:c>
      <x:c r="K3788" s="28" t="n">
        <x:v>2</x:v>
      </x:c>
      <x:c r="L3788" s="28" t="n">
        <x:v>7</x:v>
      </x:c>
      <x:c r="M3788" s="28" t="n">
        <x:v>7</x:v>
      </x:c>
      <x:c r="N3788" s="28" t="n">
        <x:v>2</x:v>
      </x:c>
      <x:c r="O3788" s="28" t="n">
        <x:v>0</x:v>
      </x:c>
      <x:c r="P3788" s="28" t="n">
        <x:v>0</x:v>
      </x:c>
      <x:c r="Q3788" s="24" t="n">
        <x:f>IFERROR(J3788/H3788,0)</x:f>
        <x:v>0.1</x:v>
      </x:c>
      <x:c r="R3788" s="24" t="n">
        <x:f>IFERROR(F3788/H3788,0)</x:f>
        <x:v>0.1</x:v>
      </x:c>
      <x:c r="S3788" s="24" t="n">
        <x:f>IFERROR(F3788/J3788,0)</x:f>
        <x:v>1</x:v>
      </x:c>
      <x:c r="T3788" s="28" t="n">
        <x:f>H3788-I3788</x:f>
        <x:v>-10</x:v>
      </x:c>
      <x:c r="U3788" s="24" t="n">
        <x:f>IFERROR(J3788/H3788,0)-IFERROR(K3788/I3788,0)</x:f>
        <x:v>0</x:v>
      </x:c>
      <x:c r="V3788" s="24" t="n">
        <x:f>IFERROR(F3788/J3788,0)-IFERROR(G3788/K3788,0)</x:f>
        <x:v>0</x:v>
      </x:c>
      <x:c r="W3788" s="28" t="n">
        <x:f>L3788-M3788</x:f>
        <x:v>0</x:v>
      </x:c>
      <x:c r="X3788" s="24" t="n">
        <x:f>IFERROR(K3788/I3788,0)</x:f>
        <x:v>0.1</x:v>
      </x:c>
      <x:c r="Y3788" s="24" t="n">
        <x:f>IFERROR(G3788/I3788,0)</x:f>
        <x:v>0.1</x:v>
      </x:c>
      <x:c r="Z3788" s="24" t="n">
        <x:f>IFERROR(G3788/K3788,0)</x:f>
        <x:v>1</x:v>
      </x:c>
      <x:c r="AA3788" s="24" t="n">
        <x:f>IFERROR(F3788/H3788,0)-IFERROR(G3788/I3788,0)</x:f>
        <x:v>0</x:v>
      </x:c>
      <x:c r="AB3788" s="28" t="n">
        <x:f>J3788-K3788</x:f>
        <x:v>-1</x:v>
      </x:c>
      <x:c r="AC3788" s="32" t="n">
        <x:f>F3788-G3788</x:f>
        <x:v>-1</x:v>
      </x:c>
    </x:row>
    <x:row r="3789">
      <x:c r="A3789" s="4" t="str">
        <x:v>2025-26</x:v>
      </x:c>
      <x:c r="B3789" s="20" t="n">
        <x:v>46166</x:v>
      </x:c>
      <x:c r="C3789" s="4" t="str">
        <x:v>Crystal Palace</x:v>
      </x:c>
      <x:c r="D3789" s="4" t="str">
        <x:v>Arsenal</x:v>
      </x:c>
      <x:c r="E3789" s="4" t="str">
        <x:v>Home</x:v>
      </x:c>
      <x:c r="F3789" s="28" t="n">
        <x:v>1</x:v>
      </x:c>
      <x:c r="G3789" s="28" t="n">
        <x:v>2</x:v>
      </x:c>
      <x:c r="H3789" s="28" t="n">
        <x:v>8</x:v>
      </x:c>
      <x:c r="I3789" s="28" t="n">
        <x:v>17</x:v>
      </x:c>
      <x:c r="J3789" s="28" t="n">
        <x:v>3</x:v>
      </x:c>
      <x:c r="K3789" s="28" t="n">
        <x:v>7</x:v>
      </x:c>
      <x:c r="L3789" s="28" t="n">
        <x:v>3</x:v>
      </x:c>
      <x:c r="M3789" s="28" t="n">
        <x:v>4</x:v>
      </x:c>
      <x:c r="N3789" s="28" t="n">
        <x:v>0</x:v>
      </x:c>
      <x:c r="O3789" s="28" t="n">
        <x:v>0</x:v>
      </x:c>
      <x:c r="P3789" s="28" t="n">
        <x:v>0</x:v>
      </x:c>
      <x:c r="Q3789" s="24" t="n">
        <x:f>IFERROR(J3789/H3789,0)</x:f>
        <x:v>0.375</x:v>
      </x:c>
      <x:c r="R3789" s="24" t="n">
        <x:f>IFERROR(F3789/H3789,0)</x:f>
        <x:v>0.125</x:v>
      </x:c>
      <x:c r="S3789" s="24" t="n">
        <x:f>IFERROR(F3789/J3789,0)</x:f>
        <x:v>0.3333333333333333</x:v>
      </x:c>
      <x:c r="T3789" s="28" t="n">
        <x:f>H3789-I3789</x:f>
        <x:v>-9</x:v>
      </x:c>
      <x:c r="U3789" s="24" t="n">
        <x:f>IFERROR(J3789/H3789,0)-IFERROR(K3789/I3789,0)</x:f>
        <x:v>-0.03676470588235292</x:v>
      </x:c>
      <x:c r="V3789" s="24" t="n">
        <x:f>IFERROR(F3789/J3789,0)-IFERROR(G3789/K3789,0)</x:f>
        <x:v>0.047619047619047616</x:v>
      </x:c>
      <x:c r="W3789" s="28" t="n">
        <x:f>L3789-M3789</x:f>
        <x:v>-1</x:v>
      </x:c>
      <x:c r="X3789" s="24" t="n">
        <x:f>IFERROR(K3789/I3789,0)</x:f>
        <x:v>0.4117647058823529</x:v>
      </x:c>
      <x:c r="Y3789" s="24" t="n">
        <x:f>IFERROR(G3789/I3789,0)</x:f>
        <x:v>0.11764705882352941</x:v>
      </x:c>
      <x:c r="Z3789" s="24" t="n">
        <x:f>IFERROR(G3789/K3789,0)</x:f>
        <x:v>0.2857142857142857</x:v>
      </x:c>
      <x:c r="AA3789" s="24" t="n">
        <x:f>IFERROR(F3789/H3789,0)-IFERROR(G3789/I3789,0)</x:f>
        <x:v>0.00735294117647059</x:v>
      </x:c>
      <x:c r="AB3789" s="28" t="n">
        <x:f>J3789-K3789</x:f>
        <x:v>-4</x:v>
      </x:c>
      <x:c r="AC3789" s="32" t="n">
        <x:f>F3789-G3789</x:f>
        <x:v>-1</x:v>
      </x:c>
    </x:row>
    <x:row r="3790">
      <x:c r="A3790" s="4" t="str">
        <x:v>2025-26</x:v>
      </x:c>
      <x:c r="B3790" s="20" t="n">
        <x:v>46166</x:v>
      </x:c>
      <x:c r="C3790" s="4" t="str">
        <x:v>Everton</x:v>
      </x:c>
      <x:c r="D3790" s="4" t="str">
        <x:v>Tottenham</x:v>
      </x:c>
      <x:c r="E3790" s="4" t="str">
        <x:v>Away</x:v>
      </x:c>
      <x:c r="F3790" s="28" t="n">
        <x:v>0</x:v>
      </x:c>
      <x:c r="G3790" s="28" t="n">
        <x:v>1</x:v>
      </x:c>
      <x:c r="H3790" s="28" t="n">
        <x:v>8</x:v>
      </x:c>
      <x:c r="I3790" s="28" t="n">
        <x:v>21</x:v>
      </x:c>
      <x:c r="J3790" s="28" t="n">
        <x:v>3</x:v>
      </x:c>
      <x:c r="K3790" s="28" t="n">
        <x:v>6</x:v>
      </x:c>
      <x:c r="L3790" s="28" t="n">
        <x:v>2</x:v>
      </x:c>
      <x:c r="M3790" s="28" t="n">
        <x:v>6</x:v>
      </x:c>
      <x:c r="N3790" s="28" t="n">
        <x:v>3</x:v>
      </x:c>
      <x:c r="O3790" s="28" t="n">
        <x:v>1</x:v>
      </x:c>
      <x:c r="P3790" s="28" t="n">
        <x:v>0</x:v>
      </x:c>
      <x:c r="Q3790" s="24" t="n">
        <x:f>IFERROR(J3790/H3790,0)</x:f>
        <x:v>0.375</x:v>
      </x:c>
      <x:c r="R3790" s="24" t="n">
        <x:f>IFERROR(F3790/H3790,0)</x:f>
        <x:v>0</x:v>
      </x:c>
      <x:c r="S3790" s="24" t="n">
        <x:f>IFERROR(F3790/J3790,0)</x:f>
        <x:v>0</x:v>
      </x:c>
      <x:c r="T3790" s="28" t="n">
        <x:f>H3790-I3790</x:f>
        <x:v>-13</x:v>
      </x:c>
      <x:c r="U3790" s="24" t="n">
        <x:f>IFERROR(J3790/H3790,0)-IFERROR(K3790/I3790,0)</x:f>
        <x:v>0.0892857142857143</x:v>
      </x:c>
      <x:c r="V3790" s="24" t="n">
        <x:f>IFERROR(F3790/J3790,0)-IFERROR(G3790/K3790,0)</x:f>
        <x:v>-0.16666666666666666</x:v>
      </x:c>
      <x:c r="W3790" s="28" t="n">
        <x:f>L3790-M3790</x:f>
        <x:v>-4</x:v>
      </x:c>
      <x:c r="X3790" s="24" t="n">
        <x:f>IFERROR(K3790/I3790,0)</x:f>
        <x:v>0.2857142857142857</x:v>
      </x:c>
      <x:c r="Y3790" s="24" t="n">
        <x:f>IFERROR(G3790/I3790,0)</x:f>
        <x:v>0.047619047619047616</x:v>
      </x:c>
      <x:c r="Z3790" s="24" t="n">
        <x:f>IFERROR(G3790/K3790,0)</x:f>
        <x:v>0.16666666666666666</x:v>
      </x:c>
      <x:c r="AA3790" s="24" t="n">
        <x:f>IFERROR(F3790/H3790,0)-IFERROR(G3790/I3790,0)</x:f>
        <x:v>-0.047619047619047616</x:v>
      </x:c>
      <x:c r="AB3790" s="28" t="n">
        <x:f>J3790-K3790</x:f>
        <x:v>-3</x:v>
      </x:c>
      <x:c r="AC3790" s="32" t="n">
        <x:f>F3790-G3790</x:f>
        <x:v>-1</x:v>
      </x:c>
    </x:row>
    <x:row r="3791">
      <x:c r="A3791" s="4" t="str">
        <x:v>2025-26</x:v>
      </x:c>
      <x:c r="B3791" s="20" t="n">
        <x:v>46166</x:v>
      </x:c>
      <x:c r="C3791" s="4" t="str">
        <x:v>Fulham</x:v>
      </x:c>
      <x:c r="D3791" s="4" t="str">
        <x:v>Newcastle</x:v>
      </x:c>
      <x:c r="E3791" s="4" t="str">
        <x:v>Home</x:v>
      </x:c>
      <x:c r="F3791" s="28" t="n">
        <x:v>2</x:v>
      </x:c>
      <x:c r="G3791" s="28" t="n">
        <x:v>0</x:v>
      </x:c>
      <x:c r="H3791" s="28" t="n">
        <x:v>21</x:v>
      </x:c>
      <x:c r="I3791" s="28" t="n">
        <x:v>7</x:v>
      </x:c>
      <x:c r="J3791" s="28" t="n">
        <x:v>6</x:v>
      </x:c>
      <x:c r="K3791" s="28" t="n">
        <x:v>2</x:v>
      </x:c>
      <x:c r="L3791" s="28" t="n">
        <x:v>6</x:v>
      </x:c>
      <x:c r="M3791" s="28" t="n">
        <x:v>6</x:v>
      </x:c>
      <x:c r="N3791" s="28" t="n">
        <x:v>2</x:v>
      </x:c>
      <x:c r="O3791" s="28" t="n">
        <x:v>0</x:v>
      </x:c>
      <x:c r="P3791" s="28" t="n">
        <x:v>3</x:v>
      </x:c>
      <x:c r="Q3791" s="24" t="n">
        <x:f>IFERROR(J3791/H3791,0)</x:f>
        <x:v>0.2857142857142857</x:v>
      </x:c>
      <x:c r="R3791" s="24" t="n">
        <x:f>IFERROR(F3791/H3791,0)</x:f>
        <x:v>0.09523809523809523</x:v>
      </x:c>
      <x:c r="S3791" s="24" t="n">
        <x:f>IFERROR(F3791/J3791,0)</x:f>
        <x:v>0.3333333333333333</x:v>
      </x:c>
      <x:c r="T3791" s="28" t="n">
        <x:f>H3791-I3791</x:f>
        <x:v>14</x:v>
      </x:c>
      <x:c r="U3791" s="24" t="n">
        <x:f>IFERROR(J3791/H3791,0)-IFERROR(K3791/I3791,0)</x:f>
        <x:v>0</x:v>
      </x:c>
      <x:c r="V3791" s="24" t="n">
        <x:f>IFERROR(F3791/J3791,0)-IFERROR(G3791/K3791,0)</x:f>
        <x:v>0.3333333333333333</x:v>
      </x:c>
      <x:c r="W3791" s="28" t="n">
        <x:f>L3791-M3791</x:f>
        <x:v>0</x:v>
      </x:c>
      <x:c r="X3791" s="24" t="n">
        <x:f>IFERROR(K3791/I3791,0)</x:f>
        <x:v>0.2857142857142857</x:v>
      </x:c>
      <x:c r="Y3791" s="24" t="n">
        <x:f>IFERROR(G3791/I3791,0)</x:f>
        <x:v>0</x:v>
      </x:c>
      <x:c r="Z3791" s="24" t="n">
        <x:f>IFERROR(G3791/K3791,0)</x:f>
        <x:v>0</x:v>
      </x:c>
      <x:c r="AA3791" s="24" t="n">
        <x:f>IFERROR(F3791/H3791,0)-IFERROR(G3791/I3791,0)</x:f>
        <x:v>0.09523809523809523</x:v>
      </x:c>
      <x:c r="AB3791" s="28" t="n">
        <x:f>J3791-K3791</x:f>
        <x:v>4</x:v>
      </x:c>
      <x:c r="AC3791" s="32" t="n">
        <x:f>F3791-G3791</x:f>
        <x:v>2</x:v>
      </x:c>
    </x:row>
    <x:row r="3792">
      <x:c r="A3792" s="4" t="str">
        <x:v>2025-26</x:v>
      </x:c>
      <x:c r="B3792" s="20" t="n">
        <x:v>46166</x:v>
      </x:c>
      <x:c r="C3792" s="4" t="str">
        <x:v>Leeds</x:v>
      </x:c>
      <x:c r="D3792" s="4" t="str">
        <x:v>West Ham</x:v>
      </x:c>
      <x:c r="E3792" s="4" t="str">
        <x:v>Away</x:v>
      </x:c>
      <x:c r="F3792" s="28" t="n">
        <x:v>0</x:v>
      </x:c>
      <x:c r="G3792" s="28" t="n">
        <x:v>3</x:v>
      </x:c>
      <x:c r="H3792" s="28" t="n">
        <x:v>13</x:v>
      </x:c>
      <x:c r="I3792" s="28" t="n">
        <x:v>16</x:v>
      </x:c>
      <x:c r="J3792" s="28" t="n">
        <x:v>3</x:v>
      </x:c>
      <x:c r="K3792" s="28" t="n">
        <x:v>9</x:v>
      </x:c>
      <x:c r="L3792" s="28" t="n">
        <x:v>4</x:v>
      </x:c>
      <x:c r="M3792" s="28" t="n">
        <x:v>6</x:v>
      </x:c>
      <x:c r="N3792" s="28" t="n">
        <x:v>3</x:v>
      </x:c>
      <x:c r="O3792" s="28" t="n">
        <x:v>0</x:v>
      </x:c>
      <x:c r="P3792" s="28" t="n">
        <x:v>0</x:v>
      </x:c>
      <x:c r="Q3792" s="24" t="n">
        <x:f>IFERROR(J3792/H3792,0)</x:f>
        <x:v>0.23076923076923078</x:v>
      </x:c>
      <x:c r="R3792" s="24" t="n">
        <x:f>IFERROR(F3792/H3792,0)</x:f>
        <x:v>0</x:v>
      </x:c>
      <x:c r="S3792" s="24" t="n">
        <x:f>IFERROR(F3792/J3792,0)</x:f>
        <x:v>0</x:v>
      </x:c>
      <x:c r="T3792" s="28" t="n">
        <x:f>H3792-I3792</x:f>
        <x:v>-3</x:v>
      </x:c>
      <x:c r="U3792" s="24" t="n">
        <x:f>IFERROR(J3792/H3792,0)-IFERROR(K3792/I3792,0)</x:f>
        <x:v>-0.3317307692307692</x:v>
      </x:c>
      <x:c r="V3792" s="24" t="n">
        <x:f>IFERROR(F3792/J3792,0)-IFERROR(G3792/K3792,0)</x:f>
        <x:v>-0.3333333333333333</x:v>
      </x:c>
      <x:c r="W3792" s="28" t="n">
        <x:f>L3792-M3792</x:f>
        <x:v>-2</x:v>
      </x:c>
      <x:c r="X3792" s="24" t="n">
        <x:f>IFERROR(K3792/I3792,0)</x:f>
        <x:v>0.5625</x:v>
      </x:c>
      <x:c r="Y3792" s="24" t="n">
        <x:f>IFERROR(G3792/I3792,0)</x:f>
        <x:v>0.1875</x:v>
      </x:c>
      <x:c r="Z3792" s="24" t="n">
        <x:f>IFERROR(G3792/K3792,0)</x:f>
        <x:v>0.3333333333333333</x:v>
      </x:c>
      <x:c r="AA3792" s="24" t="n">
        <x:f>IFERROR(F3792/H3792,0)-IFERROR(G3792/I3792,0)</x:f>
        <x:v>-0.1875</x:v>
      </x:c>
      <x:c r="AB3792" s="28" t="n">
        <x:f>J3792-K3792</x:f>
        <x:v>-6</x:v>
      </x:c>
      <x:c r="AC3792" s="32" t="n">
        <x:f>F3792-G3792</x:f>
        <x:v>-3</x:v>
      </x:c>
    </x:row>
    <x:row r="3793">
      <x:c r="A3793" s="4" t="str">
        <x:v>2025-26</x:v>
      </x:c>
      <x:c r="B3793" s="20" t="n">
        <x:v>46166</x:v>
      </x:c>
      <x:c r="C3793" s="4" t="str">
        <x:v>Liverpool</x:v>
      </x:c>
      <x:c r="D3793" s="4" t="str">
        <x:v>Brentford</x:v>
      </x:c>
      <x:c r="E3793" s="4" t="str">
        <x:v>Home</x:v>
      </x:c>
      <x:c r="F3793" s="28" t="n">
        <x:v>1</x:v>
      </x:c>
      <x:c r="G3793" s="28" t="n">
        <x:v>1</x:v>
      </x:c>
      <x:c r="H3793" s="28" t="n">
        <x:v>24</x:v>
      </x:c>
      <x:c r="I3793" s="28" t="n">
        <x:v>11</x:v>
      </x:c>
      <x:c r="J3793" s="28" t="n">
        <x:v>8</x:v>
      </x:c>
      <x:c r="K3793" s="28" t="n">
        <x:v>2</x:v>
      </x:c>
      <x:c r="L3793" s="28" t="n">
        <x:v>14</x:v>
      </x:c>
      <x:c r="M3793" s="28" t="n">
        <x:v>2</x:v>
      </x:c>
      <x:c r="N3793" s="28" t="n">
        <x:v>2</x:v>
      </x:c>
      <x:c r="O3793" s="28" t="n">
        <x:v>0</x:v>
      </x:c>
      <x:c r="P3793" s="28" t="n">
        <x:v>1</x:v>
      </x:c>
      <x:c r="Q3793" s="24" t="n">
        <x:f>IFERROR(J3793/H3793,0)</x:f>
        <x:v>0.3333333333333333</x:v>
      </x:c>
      <x:c r="R3793" s="24" t="n">
        <x:f>IFERROR(F3793/H3793,0)</x:f>
        <x:v>0.041666666666666664</x:v>
      </x:c>
      <x:c r="S3793" s="24" t="n">
        <x:f>IFERROR(F3793/J3793,0)</x:f>
        <x:v>0.125</x:v>
      </x:c>
      <x:c r="T3793" s="28" t="n">
        <x:f>H3793-I3793</x:f>
        <x:v>13</x:v>
      </x:c>
      <x:c r="U3793" s="24" t="n">
        <x:f>IFERROR(J3793/H3793,0)-IFERROR(K3793/I3793,0)</x:f>
        <x:v>0.1515151515151515</x:v>
      </x:c>
      <x:c r="V3793" s="24" t="n">
        <x:f>IFERROR(F3793/J3793,0)-IFERROR(G3793/K3793,0)</x:f>
        <x:v>-0.375</x:v>
      </x:c>
      <x:c r="W3793" s="28" t="n">
        <x:f>L3793-M3793</x:f>
        <x:v>12</x:v>
      </x:c>
      <x:c r="X3793" s="24" t="n">
        <x:f>IFERROR(K3793/I3793,0)</x:f>
        <x:v>0.18181818181818182</x:v>
      </x:c>
      <x:c r="Y3793" s="24" t="n">
        <x:f>IFERROR(G3793/I3793,0)</x:f>
        <x:v>0.09090909090909091</x:v>
      </x:c>
      <x:c r="Z3793" s="24" t="n">
        <x:f>IFERROR(G3793/K3793,0)</x:f>
        <x:v>0.5</x:v>
      </x:c>
      <x:c r="AA3793" s="24" t="n">
        <x:f>IFERROR(F3793/H3793,0)-IFERROR(G3793/I3793,0)</x:f>
        <x:v>-0.04924242424242425</x:v>
      </x:c>
      <x:c r="AB3793" s="28" t="n">
        <x:f>J3793-K3793</x:f>
        <x:v>6</x:v>
      </x:c>
      <x:c r="AC3793" s="32" t="n">
        <x:f>F3793-G3793</x:f>
        <x:v>0</x:v>
      </x:c>
    </x:row>
    <x:row r="3794">
      <x:c r="A3794" s="4" t="str">
        <x:v>2025-26</x:v>
      </x:c>
      <x:c r="B3794" s="20" t="n">
        <x:v>46166</x:v>
      </x:c>
      <x:c r="C3794" s="4" t="str">
        <x:v>Man City</x:v>
      </x:c>
      <x:c r="D3794" s="4" t="str">
        <x:v>Aston Villa</x:v>
      </x:c>
      <x:c r="E3794" s="4" t="str">
        <x:v>Home</x:v>
      </x:c>
      <x:c r="F3794" s="28" t="n">
        <x:v>1</x:v>
      </x:c>
      <x:c r="G3794" s="28" t="n">
        <x:v>2</x:v>
      </x:c>
      <x:c r="H3794" s="28" t="n">
        <x:v>16</x:v>
      </x:c>
      <x:c r="I3794" s="28" t="n">
        <x:v>12</x:v>
      </x:c>
      <x:c r="J3794" s="28" t="n">
        <x:v>3</x:v>
      </x:c>
      <x:c r="K3794" s="28" t="n">
        <x:v>5</x:v>
      </x:c>
      <x:c r="L3794" s="28" t="n">
        <x:v>9</x:v>
      </x:c>
      <x:c r="M3794" s="28" t="n">
        <x:v>4</x:v>
      </x:c>
      <x:c r="N3794" s="28" t="n">
        <x:v>1</x:v>
      </x:c>
      <x:c r="O3794" s="28" t="n">
        <x:v>0</x:v>
      </x:c>
      <x:c r="P3794" s="28" t="n">
        <x:v>0</x:v>
      </x:c>
      <x:c r="Q3794" s="24" t="n">
        <x:f>IFERROR(J3794/H3794,0)</x:f>
        <x:v>0.1875</x:v>
      </x:c>
      <x:c r="R3794" s="24" t="n">
        <x:f>IFERROR(F3794/H3794,0)</x:f>
        <x:v>0.0625</x:v>
      </x:c>
      <x:c r="S3794" s="24" t="n">
        <x:f>IFERROR(F3794/J3794,0)</x:f>
        <x:v>0.3333333333333333</x:v>
      </x:c>
      <x:c r="T3794" s="28" t="n">
        <x:f>H3794-I3794</x:f>
        <x:v>4</x:v>
      </x:c>
      <x:c r="U3794" s="24" t="n">
        <x:f>IFERROR(J3794/H3794,0)-IFERROR(K3794/I3794,0)</x:f>
        <x:v>-0.22916666666666669</x:v>
      </x:c>
      <x:c r="V3794" s="24" t="n">
        <x:f>IFERROR(F3794/J3794,0)-IFERROR(G3794/K3794,0)</x:f>
        <x:v>-0.06666666666666671</x:v>
      </x:c>
      <x:c r="W3794" s="28" t="n">
        <x:f>L3794-M3794</x:f>
        <x:v>5</x:v>
      </x:c>
      <x:c r="X3794" s="24" t="n">
        <x:f>IFERROR(K3794/I3794,0)</x:f>
        <x:v>0.4166666666666667</x:v>
      </x:c>
      <x:c r="Y3794" s="24" t="n">
        <x:f>IFERROR(G3794/I3794,0)</x:f>
        <x:v>0.16666666666666666</x:v>
      </x:c>
      <x:c r="Z3794" s="24" t="n">
        <x:f>IFERROR(G3794/K3794,0)</x:f>
        <x:v>0.4</x:v>
      </x:c>
      <x:c r="AA3794" s="24" t="n">
        <x:f>IFERROR(F3794/H3794,0)-IFERROR(G3794/I3794,0)</x:f>
        <x:v>-0.10416666666666666</x:v>
      </x:c>
      <x:c r="AB3794" s="28" t="n">
        <x:f>J3794-K3794</x:f>
        <x:v>-2</x:v>
      </x:c>
      <x:c r="AC3794" s="32" t="n">
        <x:f>F3794-G3794</x:f>
        <x:v>-1</x:v>
      </x:c>
    </x:row>
    <x:row r="3795">
      <x:c r="A3795" s="4" t="str">
        <x:v>2025-26</x:v>
      </x:c>
      <x:c r="B3795" s="20" t="n">
        <x:v>46166</x:v>
      </x:c>
      <x:c r="C3795" s="4" t="str">
        <x:v>Man United</x:v>
      </x:c>
      <x:c r="D3795" s="4" t="str">
        <x:v>Brighton</x:v>
      </x:c>
      <x:c r="E3795" s="4" t="str">
        <x:v>Away</x:v>
      </x:c>
      <x:c r="F3795" s="28" t="n">
        <x:v>3</x:v>
      </x:c>
      <x:c r="G3795" s="28" t="n">
        <x:v>0</x:v>
      </x:c>
      <x:c r="H3795" s="28" t="n">
        <x:v>11</x:v>
      </x:c>
      <x:c r="I3795" s="28" t="n">
        <x:v>13</x:v>
      </x:c>
      <x:c r="J3795" s="28" t="n">
        <x:v>7</x:v>
      </x:c>
      <x:c r="K3795" s="28" t="n">
        <x:v>2</x:v>
      </x:c>
      <x:c r="L3795" s="28" t="n">
        <x:v>3</x:v>
      </x:c>
      <x:c r="M3795" s="28" t="n">
        <x:v>0</x:v>
      </x:c>
      <x:c r="N3795" s="28" t="n">
        <x:v>1</x:v>
      </x:c>
      <x:c r="O3795" s="28" t="n">
        <x:v>0</x:v>
      </x:c>
      <x:c r="P3795" s="28" t="n">
        <x:v>3</x:v>
      </x:c>
      <x:c r="Q3795" s="24" t="n">
        <x:f>IFERROR(J3795/H3795,0)</x:f>
        <x:v>0.6363636363636364</x:v>
      </x:c>
      <x:c r="R3795" s="24" t="n">
        <x:f>IFERROR(F3795/H3795,0)</x:f>
        <x:v>0.2727272727272727</x:v>
      </x:c>
      <x:c r="S3795" s="24" t="n">
        <x:f>IFERROR(F3795/J3795,0)</x:f>
        <x:v>0.42857142857142855</x:v>
      </x:c>
      <x:c r="T3795" s="28" t="n">
        <x:f>H3795-I3795</x:f>
        <x:v>-2</x:v>
      </x:c>
      <x:c r="U3795" s="24" t="n">
        <x:f>IFERROR(J3795/H3795,0)-IFERROR(K3795/I3795,0)</x:f>
        <x:v>0.4825174825174825</x:v>
      </x:c>
      <x:c r="V3795" s="24" t="n">
        <x:f>IFERROR(F3795/J3795,0)-IFERROR(G3795/K3795,0)</x:f>
        <x:v>0.42857142857142855</x:v>
      </x:c>
      <x:c r="W3795" s="28" t="n">
        <x:f>L3795-M3795</x:f>
        <x:v>3</x:v>
      </x:c>
      <x:c r="X3795" s="24" t="n">
        <x:f>IFERROR(K3795/I3795,0)</x:f>
        <x:v>0.15384615384615385</x:v>
      </x:c>
      <x:c r="Y3795" s="24" t="n">
        <x:f>IFERROR(G3795/I3795,0)</x:f>
        <x:v>0</x:v>
      </x:c>
      <x:c r="Z3795" s="24" t="n">
        <x:f>IFERROR(G3795/K3795,0)</x:f>
        <x:v>0</x:v>
      </x:c>
      <x:c r="AA3795" s="24" t="n">
        <x:f>IFERROR(F3795/H3795,0)-IFERROR(G3795/I3795,0)</x:f>
        <x:v>0.2727272727272727</x:v>
      </x:c>
      <x:c r="AB3795" s="28" t="n">
        <x:f>J3795-K3795</x:f>
        <x:v>5</x:v>
      </x:c>
      <x:c r="AC3795" s="32" t="n">
        <x:f>F3795-G3795</x:f>
        <x:v>3</x:v>
      </x:c>
    </x:row>
    <x:row r="3796">
      <x:c r="A3796" s="4" t="str">
        <x:v>2025-26</x:v>
      </x:c>
      <x:c r="B3796" s="20" t="n">
        <x:v>46166</x:v>
      </x:c>
      <x:c r="C3796" s="4" t="str">
        <x:v>Newcastle</x:v>
      </x:c>
      <x:c r="D3796" s="4" t="str">
        <x:v>Fulham</x:v>
      </x:c>
      <x:c r="E3796" s="4" t="str">
        <x:v>Away</x:v>
      </x:c>
      <x:c r="F3796" s="28" t="n">
        <x:v>0</x:v>
      </x:c>
      <x:c r="G3796" s="28" t="n">
        <x:v>2</x:v>
      </x:c>
      <x:c r="H3796" s="28" t="n">
        <x:v>7</x:v>
      </x:c>
      <x:c r="I3796" s="28" t="n">
        <x:v>21</x:v>
      </x:c>
      <x:c r="J3796" s="28" t="n">
        <x:v>2</x:v>
      </x:c>
      <x:c r="K3796" s="28" t="n">
        <x:v>6</x:v>
      </x:c>
      <x:c r="L3796" s="28" t="n">
        <x:v>6</x:v>
      </x:c>
      <x:c r="M3796" s="28" t="n">
        <x:v>6</x:v>
      </x:c>
      <x:c r="N3796" s="28" t="n">
        <x:v>2</x:v>
      </x:c>
      <x:c r="O3796" s="28" t="n">
        <x:v>0</x:v>
      </x:c>
      <x:c r="P3796" s="28" t="n">
        <x:v>0</x:v>
      </x:c>
      <x:c r="Q3796" s="24" t="n">
        <x:f>IFERROR(J3796/H3796,0)</x:f>
        <x:v>0.2857142857142857</x:v>
      </x:c>
      <x:c r="R3796" s="24" t="n">
        <x:f>IFERROR(F3796/H3796,0)</x:f>
        <x:v>0</x:v>
      </x:c>
      <x:c r="S3796" s="24" t="n">
        <x:f>IFERROR(F3796/J3796,0)</x:f>
        <x:v>0</x:v>
      </x:c>
      <x:c r="T3796" s="28" t="n">
        <x:f>H3796-I3796</x:f>
        <x:v>-14</x:v>
      </x:c>
      <x:c r="U3796" s="24" t="n">
        <x:f>IFERROR(J3796/H3796,0)-IFERROR(K3796/I3796,0)</x:f>
        <x:v>0</x:v>
      </x:c>
      <x:c r="V3796" s="24" t="n">
        <x:f>IFERROR(F3796/J3796,0)-IFERROR(G3796/K3796,0)</x:f>
        <x:v>-0.3333333333333333</x:v>
      </x:c>
      <x:c r="W3796" s="28" t="n">
        <x:f>L3796-M3796</x:f>
        <x:v>0</x:v>
      </x:c>
      <x:c r="X3796" s="24" t="n">
        <x:f>IFERROR(K3796/I3796,0)</x:f>
        <x:v>0.2857142857142857</x:v>
      </x:c>
      <x:c r="Y3796" s="24" t="n">
        <x:f>IFERROR(G3796/I3796,0)</x:f>
        <x:v>0.09523809523809523</x:v>
      </x:c>
      <x:c r="Z3796" s="24" t="n">
        <x:f>IFERROR(G3796/K3796,0)</x:f>
        <x:v>0.3333333333333333</x:v>
      </x:c>
      <x:c r="AA3796" s="24" t="n">
        <x:f>IFERROR(F3796/H3796,0)-IFERROR(G3796/I3796,0)</x:f>
        <x:v>-0.09523809523809523</x:v>
      </x:c>
      <x:c r="AB3796" s="28" t="n">
        <x:f>J3796-K3796</x:f>
        <x:v>-4</x:v>
      </x:c>
      <x:c r="AC3796" s="32" t="n">
        <x:f>F3796-G3796</x:f>
        <x:v>-2</x:v>
      </x:c>
    </x:row>
    <x:row r="3797">
      <x:c r="A3797" s="4" t="str">
        <x:v>2025-26</x:v>
      </x:c>
      <x:c r="B3797" s="20" t="n">
        <x:v>46166</x:v>
      </x:c>
      <x:c r="C3797" s="4" t="str">
        <x:v>Nott'm Forest</x:v>
      </x:c>
      <x:c r="D3797" s="4" t="str">
        <x:v>Bournemouth</x:v>
      </x:c>
      <x:c r="E3797" s="4" t="str">
        <x:v>Home</x:v>
      </x:c>
      <x:c r="F3797" s="28" t="n">
        <x:v>1</x:v>
      </x:c>
      <x:c r="G3797" s="28" t="n">
        <x:v>1</x:v>
      </x:c>
      <x:c r="H3797" s="28" t="n">
        <x:v>15</x:v>
      </x:c>
      <x:c r="I3797" s="28" t="n">
        <x:v>17</x:v>
      </x:c>
      <x:c r="J3797" s="28" t="n">
        <x:v>5</x:v>
      </x:c>
      <x:c r="K3797" s="28" t="n">
        <x:v>4</x:v>
      </x:c>
      <x:c r="L3797" s="28" t="n">
        <x:v>6</x:v>
      </x:c>
      <x:c r="M3797" s="28" t="n">
        <x:v>3</x:v>
      </x:c>
      <x:c r="N3797" s="28" t="n">
        <x:v>1</x:v>
      </x:c>
      <x:c r="O3797" s="28" t="n">
        <x:v>0</x:v>
      </x:c>
      <x:c r="P3797" s="28" t="n">
        <x:v>1</x:v>
      </x:c>
      <x:c r="Q3797" s="24" t="n">
        <x:f>IFERROR(J3797/H3797,0)</x:f>
        <x:v>0.3333333333333333</x:v>
      </x:c>
      <x:c r="R3797" s="24" t="n">
        <x:f>IFERROR(F3797/H3797,0)</x:f>
        <x:v>0.06666666666666667</x:v>
      </x:c>
      <x:c r="S3797" s="24" t="n">
        <x:f>IFERROR(F3797/J3797,0)</x:f>
        <x:v>0.2</x:v>
      </x:c>
      <x:c r="T3797" s="28" t="n">
        <x:f>H3797-I3797</x:f>
        <x:v>-2</x:v>
      </x:c>
      <x:c r="U3797" s="24" t="n">
        <x:f>IFERROR(J3797/H3797,0)-IFERROR(K3797/I3797,0)</x:f>
        <x:v>0.0980392156862745</x:v>
      </x:c>
      <x:c r="V3797" s="24" t="n">
        <x:f>IFERROR(F3797/J3797,0)-IFERROR(G3797/K3797,0)</x:f>
        <x:v>-0.04999999999999999</x:v>
      </x:c>
      <x:c r="W3797" s="28" t="n">
        <x:f>L3797-M3797</x:f>
        <x:v>3</x:v>
      </x:c>
      <x:c r="X3797" s="24" t="n">
        <x:f>IFERROR(K3797/I3797,0)</x:f>
        <x:v>0.23529411764705882</x:v>
      </x:c>
      <x:c r="Y3797" s="24" t="n">
        <x:f>IFERROR(G3797/I3797,0)</x:f>
        <x:v>0.058823529411764705</x:v>
      </x:c>
      <x:c r="Z3797" s="24" t="n">
        <x:f>IFERROR(G3797/K3797,0)</x:f>
        <x:v>0.25</x:v>
      </x:c>
      <x:c r="AA3797" s="24" t="n">
        <x:f>IFERROR(F3797/H3797,0)-IFERROR(G3797/I3797,0)</x:f>
        <x:v>0.00784313725490196</x:v>
      </x:c>
      <x:c r="AB3797" s="28" t="n">
        <x:f>J3797-K3797</x:f>
        <x:v>1</x:v>
      </x:c>
      <x:c r="AC3797" s="32" t="n">
        <x:f>F3797-G3797</x:f>
        <x:v>0</x:v>
      </x:c>
    </x:row>
    <x:row r="3798">
      <x:c r="A3798" s="4" t="str">
        <x:v>2025-26</x:v>
      </x:c>
      <x:c r="B3798" s="20" t="n">
        <x:v>46166</x:v>
      </x:c>
      <x:c r="C3798" s="4" t="str">
        <x:v>Sunderland</x:v>
      </x:c>
      <x:c r="D3798" s="4" t="str">
        <x:v>Chelsea</x:v>
      </x:c>
      <x:c r="E3798" s="4" t="str">
        <x:v>Home</x:v>
      </x:c>
      <x:c r="F3798" s="28" t="n">
        <x:v>2</x:v>
      </x:c>
      <x:c r="G3798" s="28" t="n">
        <x:v>1</x:v>
      </x:c>
      <x:c r="H3798" s="28" t="n">
        <x:v>20</x:v>
      </x:c>
      <x:c r="I3798" s="28" t="n">
        <x:v>10</x:v>
      </x:c>
      <x:c r="J3798" s="28" t="n">
        <x:v>2</x:v>
      </x:c>
      <x:c r="K3798" s="28" t="n">
        <x:v>1</x:v>
      </x:c>
      <x:c r="L3798" s="28" t="n">
        <x:v>7</x:v>
      </x:c>
      <x:c r="M3798" s="28" t="n">
        <x:v>7</x:v>
      </x:c>
      <x:c r="N3798" s="28" t="n">
        <x:v>3</x:v>
      </x:c>
      <x:c r="O3798" s="28" t="n">
        <x:v>0</x:v>
      </x:c>
      <x:c r="P3798" s="28" t="n">
        <x:v>3</x:v>
      </x:c>
      <x:c r="Q3798" s="24" t="n">
        <x:f>IFERROR(J3798/H3798,0)</x:f>
        <x:v>0.1</x:v>
      </x:c>
      <x:c r="R3798" s="24" t="n">
        <x:f>IFERROR(F3798/H3798,0)</x:f>
        <x:v>0.1</x:v>
      </x:c>
      <x:c r="S3798" s="24" t="n">
        <x:f>IFERROR(F3798/J3798,0)</x:f>
        <x:v>1</x:v>
      </x:c>
      <x:c r="T3798" s="28" t="n">
        <x:f>H3798-I3798</x:f>
        <x:v>10</x:v>
      </x:c>
      <x:c r="U3798" s="24" t="n">
        <x:f>IFERROR(J3798/H3798,0)-IFERROR(K3798/I3798,0)</x:f>
        <x:v>0</x:v>
      </x:c>
      <x:c r="V3798" s="24" t="n">
        <x:f>IFERROR(F3798/J3798,0)-IFERROR(G3798/K3798,0)</x:f>
        <x:v>0</x:v>
      </x:c>
      <x:c r="W3798" s="28" t="n">
        <x:f>L3798-M3798</x:f>
        <x:v>0</x:v>
      </x:c>
      <x:c r="X3798" s="24" t="n">
        <x:f>IFERROR(K3798/I3798,0)</x:f>
        <x:v>0.1</x:v>
      </x:c>
      <x:c r="Y3798" s="24" t="n">
        <x:f>IFERROR(G3798/I3798,0)</x:f>
        <x:v>0.1</x:v>
      </x:c>
      <x:c r="Z3798" s="24" t="n">
        <x:f>IFERROR(G3798/K3798,0)</x:f>
        <x:v>1</x:v>
      </x:c>
      <x:c r="AA3798" s="24" t="n">
        <x:f>IFERROR(F3798/H3798,0)-IFERROR(G3798/I3798,0)</x:f>
        <x:v>0</x:v>
      </x:c>
      <x:c r="AB3798" s="28" t="n">
        <x:f>J3798-K3798</x:f>
        <x:v>1</x:v>
      </x:c>
      <x:c r="AC3798" s="32" t="n">
        <x:f>F3798-G3798</x:f>
        <x:v>1</x:v>
      </x:c>
    </x:row>
    <x:row r="3799">
      <x:c r="A3799" s="4" t="str">
        <x:v>2025-26</x:v>
      </x:c>
      <x:c r="B3799" s="20" t="n">
        <x:v>46166</x:v>
      </x:c>
      <x:c r="C3799" s="4" t="str">
        <x:v>Tottenham</x:v>
      </x:c>
      <x:c r="D3799" s="4" t="str">
        <x:v>Everton</x:v>
      </x:c>
      <x:c r="E3799" s="4" t="str">
        <x:v>Home</x:v>
      </x:c>
      <x:c r="F3799" s="28" t="n">
        <x:v>1</x:v>
      </x:c>
      <x:c r="G3799" s="28" t="n">
        <x:v>0</x:v>
      </x:c>
      <x:c r="H3799" s="28" t="n">
        <x:v>21</x:v>
      </x:c>
      <x:c r="I3799" s="28" t="n">
        <x:v>8</x:v>
      </x:c>
      <x:c r="J3799" s="28" t="n">
        <x:v>6</x:v>
      </x:c>
      <x:c r="K3799" s="28" t="n">
        <x:v>3</x:v>
      </x:c>
      <x:c r="L3799" s="28" t="n">
        <x:v>6</x:v>
      </x:c>
      <x:c r="M3799" s="28" t="n">
        <x:v>2</x:v>
      </x:c>
      <x:c r="N3799" s="28" t="n">
        <x:v>5</x:v>
      </x:c>
      <x:c r="O3799" s="28" t="n">
        <x:v>0</x:v>
      </x:c>
      <x:c r="P3799" s="28" t="n">
        <x:v>3</x:v>
      </x:c>
      <x:c r="Q3799" s="24" t="n">
        <x:f>IFERROR(J3799/H3799,0)</x:f>
        <x:v>0.2857142857142857</x:v>
      </x:c>
      <x:c r="R3799" s="24" t="n">
        <x:f>IFERROR(F3799/H3799,0)</x:f>
        <x:v>0.047619047619047616</x:v>
      </x:c>
      <x:c r="S3799" s="24" t="n">
        <x:f>IFERROR(F3799/J3799,0)</x:f>
        <x:v>0.16666666666666666</x:v>
      </x:c>
      <x:c r="T3799" s="28" t="n">
        <x:f>H3799-I3799</x:f>
        <x:v>13</x:v>
      </x:c>
      <x:c r="U3799" s="24" t="n">
        <x:f>IFERROR(J3799/H3799,0)-IFERROR(K3799/I3799,0)</x:f>
        <x:v>-0.0892857142857143</x:v>
      </x:c>
      <x:c r="V3799" s="24" t="n">
        <x:f>IFERROR(F3799/J3799,0)-IFERROR(G3799/K3799,0)</x:f>
        <x:v>0.16666666666666666</x:v>
      </x:c>
      <x:c r="W3799" s="28" t="n">
        <x:f>L3799-M3799</x:f>
        <x:v>4</x:v>
      </x:c>
      <x:c r="X3799" s="24" t="n">
        <x:f>IFERROR(K3799/I3799,0)</x:f>
        <x:v>0.375</x:v>
      </x:c>
      <x:c r="Y3799" s="24" t="n">
        <x:f>IFERROR(G3799/I3799,0)</x:f>
        <x:v>0</x:v>
      </x:c>
      <x:c r="Z3799" s="24" t="n">
        <x:f>IFERROR(G3799/K3799,0)</x:f>
        <x:v>0</x:v>
      </x:c>
      <x:c r="AA3799" s="24" t="n">
        <x:f>IFERROR(F3799/H3799,0)-IFERROR(G3799/I3799,0)</x:f>
        <x:v>0.047619047619047616</x:v>
      </x:c>
      <x:c r="AB3799" s="28" t="n">
        <x:f>J3799-K3799</x:f>
        <x:v>3</x:v>
      </x:c>
      <x:c r="AC3799" s="32" t="n">
        <x:f>F3799-G3799</x:f>
        <x:v>1</x:v>
      </x:c>
    </x:row>
    <x:row r="3800">
      <x:c r="A3800" s="4" t="str">
        <x:v>2025-26</x:v>
      </x:c>
      <x:c r="B3800" s="20" t="n">
        <x:v>46166</x:v>
      </x:c>
      <x:c r="C3800" s="4" t="str">
        <x:v>West Ham</x:v>
      </x:c>
      <x:c r="D3800" s="4" t="str">
        <x:v>Leeds</x:v>
      </x:c>
      <x:c r="E3800" s="4" t="str">
        <x:v>Home</x:v>
      </x:c>
      <x:c r="F3800" s="28" t="n">
        <x:v>3</x:v>
      </x:c>
      <x:c r="G3800" s="28" t="n">
        <x:v>0</x:v>
      </x:c>
      <x:c r="H3800" s="28" t="n">
        <x:v>16</x:v>
      </x:c>
      <x:c r="I3800" s="28" t="n">
        <x:v>13</x:v>
      </x:c>
      <x:c r="J3800" s="28" t="n">
        <x:v>9</x:v>
      </x:c>
      <x:c r="K3800" s="28" t="n">
        <x:v>3</x:v>
      </x:c>
      <x:c r="L3800" s="28" t="n">
        <x:v>6</x:v>
      </x:c>
      <x:c r="M3800" s="28" t="n">
        <x:v>4</x:v>
      </x:c>
      <x:c r="N3800" s="28" t="n">
        <x:v>0</x:v>
      </x:c>
      <x:c r="O3800" s="28" t="n">
        <x:v>0</x:v>
      </x:c>
      <x:c r="P3800" s="28" t="n">
        <x:v>3</x:v>
      </x:c>
      <x:c r="Q3800" s="24" t="n">
        <x:f>IFERROR(J3800/H3800,0)</x:f>
        <x:v>0.5625</x:v>
      </x:c>
      <x:c r="R3800" s="24" t="n">
        <x:f>IFERROR(F3800/H3800,0)</x:f>
        <x:v>0.1875</x:v>
      </x:c>
      <x:c r="S3800" s="24" t="n">
        <x:f>IFERROR(F3800/J3800,0)</x:f>
        <x:v>0.3333333333333333</x:v>
      </x:c>
      <x:c r="T3800" s="28" t="n">
        <x:f>H3800-I3800</x:f>
        <x:v>3</x:v>
      </x:c>
      <x:c r="U3800" s="24" t="n">
        <x:f>IFERROR(J3800/H3800,0)-IFERROR(K3800/I3800,0)</x:f>
        <x:v>0.3317307692307692</x:v>
      </x:c>
      <x:c r="V3800" s="24" t="n">
        <x:f>IFERROR(F3800/J3800,0)-IFERROR(G3800/K3800,0)</x:f>
        <x:v>0.3333333333333333</x:v>
      </x:c>
      <x:c r="W3800" s="28" t="n">
        <x:f>L3800-M3800</x:f>
        <x:v>2</x:v>
      </x:c>
      <x:c r="X3800" s="24" t="n">
        <x:f>IFERROR(K3800/I3800,0)</x:f>
        <x:v>0.23076923076923078</x:v>
      </x:c>
      <x:c r="Y3800" s="24" t="n">
        <x:f>IFERROR(G3800/I3800,0)</x:f>
        <x:v>0</x:v>
      </x:c>
      <x:c r="Z3800" s="24" t="n">
        <x:f>IFERROR(G3800/K3800,0)</x:f>
        <x:v>0</x:v>
      </x:c>
      <x:c r="AA3800" s="24" t="n">
        <x:f>IFERROR(F3800/H3800,0)-IFERROR(G3800/I3800,0)</x:f>
        <x:v>0.1875</x:v>
      </x:c>
      <x:c r="AB3800" s="28" t="n">
        <x:f>J3800-K3800</x:f>
        <x:v>6</x:v>
      </x:c>
      <x:c r="AC3800" s="32" t="n">
        <x:f>F3800-G3800</x:f>
        <x:v>3</x:v>
      </x:c>
    </x:row>
    <x:row r="3801">
      <x:c r="A3801" s="14" t="str">
        <x:v>2025-26</x:v>
      </x:c>
      <x:c r="B3801" s="21" t="n">
        <x:v>46166</x:v>
      </x:c>
      <x:c r="C3801" s="14" t="str">
        <x:v>Wolves</x:v>
      </x:c>
      <x:c r="D3801" s="14" t="str">
        <x:v>Burnley</x:v>
      </x:c>
      <x:c r="E3801" s="14" t="str">
        <x:v>Away</x:v>
      </x:c>
      <x:c r="F3801" s="29" t="n">
        <x:v>1</x:v>
      </x:c>
      <x:c r="G3801" s="29" t="n">
        <x:v>1</x:v>
      </x:c>
      <x:c r="H3801" s="29" t="n">
        <x:v>16</x:v>
      </x:c>
      <x:c r="I3801" s="29" t="n">
        <x:v>16</x:v>
      </x:c>
      <x:c r="J3801" s="29" t="n">
        <x:v>4</x:v>
      </x:c>
      <x:c r="K3801" s="29" t="n">
        <x:v>8</x:v>
      </x:c>
      <x:c r="L3801" s="29" t="n">
        <x:v>7</x:v>
      </x:c>
      <x:c r="M3801" s="29" t="n">
        <x:v>7</x:v>
      </x:c>
      <x:c r="N3801" s="29" t="n">
        <x:v>2</x:v>
      </x:c>
      <x:c r="O3801" s="29" t="n">
        <x:v>0</x:v>
      </x:c>
      <x:c r="P3801" s="29" t="n">
        <x:v>1</x:v>
      </x:c>
      <x:c r="Q3801" s="25" t="n">
        <x:f>IFERROR(J3801/H3801,0)</x:f>
        <x:v>0.25</x:v>
      </x:c>
      <x:c r="R3801" s="25" t="n">
        <x:f>IFERROR(F3801/H3801,0)</x:f>
        <x:v>0.0625</x:v>
      </x:c>
      <x:c r="S3801" s="25" t="n">
        <x:f>IFERROR(F3801/J3801,0)</x:f>
        <x:v>0.25</x:v>
      </x:c>
      <x:c r="T3801" s="29" t="n">
        <x:f>H3801-I3801</x:f>
        <x:v>0</x:v>
      </x:c>
      <x:c r="U3801" s="25" t="n">
        <x:f>IFERROR(J3801/H3801,0)-IFERROR(K3801/I3801,0)</x:f>
        <x:v>-0.25</x:v>
      </x:c>
      <x:c r="V3801" s="25" t="n">
        <x:f>IFERROR(F3801/J3801,0)-IFERROR(G3801/K3801,0)</x:f>
        <x:v>0.125</x:v>
      </x:c>
      <x:c r="W3801" s="29" t="n">
        <x:f>L3801-M3801</x:f>
        <x:v>0</x:v>
      </x:c>
      <x:c r="X3801" s="25" t="n">
        <x:f>IFERROR(K3801/I3801,0)</x:f>
        <x:v>0.5</x:v>
      </x:c>
      <x:c r="Y3801" s="25" t="n">
        <x:f>IFERROR(G3801/I3801,0)</x:f>
        <x:v>0.0625</x:v>
      </x:c>
      <x:c r="Z3801" s="25" t="n">
        <x:f>IFERROR(G3801/K3801,0)</x:f>
        <x:v>0.125</x:v>
      </x:c>
      <x:c r="AA3801" s="25" t="n">
        <x:f>IFERROR(F3801/H3801,0)-IFERROR(G3801/I3801,0)</x:f>
        <x:v>0</x:v>
      </x:c>
      <x:c r="AB3801" s="29" t="n">
        <x:f>J3801-K3801</x:f>
        <x:v>-4</x:v>
      </x:c>
      <x:c r="AC3801" s="33" t="n">
        <x:f>F3801-G3801</x:f>
        <x:v>0</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31" hidden="0" customWidth="1"/>
    <x:col min="3" max="3" width="52" hidden="0" customWidth="1"/>
    <x:col min="4" max="4" width="52" hidden="0" customWidth="1"/>
    <x:col min="5" max="5" width="52" hidden="0" customWidth="1"/>
  </x:cols>
  <x:sheetData>
    <x:row r="1" ht="26" customHeight="1">
      <x:c r="A1" s="58" t="str">
        <x:v>Variable</x:v>
      </x:c>
      <x:c r="B1" s="58" t="str">
        <x:v>Formula</x:v>
      </x:c>
      <x:c r="C1" s="58" t="str">
        <x:v>Football interpretation</x:v>
      </x:c>
      <x:c r="D1" s="58" t="str">
        <x:v>Why it is included</x:v>
      </x:c>
      <x:c r="E1" s="58" t="str">
        <x:v>Modeling caution</x:v>
      </x:c>
    </x:row>
    <x:row r="2" ht="58" customHeight="1">
      <x:c r="A2" s="38" t="str">
        <x:v>SOT_Rate</x:v>
      </x:c>
      <x:c r="B2" s="38" t="str">
        <x:v>SOT_For / Shots_For</x:v>
      </x:c>
      <x:c r="C2" s="38" t="str">
        <x:v>The proportion of attempts that are directed on target. It represents the transition from shot creation to accurate shooting.</x:v>
      </x:c>
      <x:c r="D2" s="38" t="str">
        <x:v>It separates shooting accuracy from shot volume. A team may create many attempts without consistently testing the goalkeeper.</x:v>
      </x:c>
      <x:c r="E2" s="40" t="str">
        <x:v>Single-match values are noisy. For prediction, use pre-match rolling or cumulative values.</x:v>
      </x:c>
    </x:row>
    <x:row r="3" ht="58" customHeight="1">
      <x:c r="A3" s="38" t="str">
        <x:v>Goal_per_Shot</x:v>
      </x:c>
      <x:c r="B3" s="38" t="str">
        <x:v>GF / Shots_For</x:v>
      </x:c>
      <x:c r="C3" s="38" t="str">
        <x:v>The overall probability that an attempted shot becomes a goal.</x:v>
      </x:c>
      <x:c r="D3" s="38" t="str">
        <x:v>It summarizes the complete conversion process from attempt creation to scoring.</x:v>
      </x:c>
      <x:c r="E3" s="40" t="str">
        <x:v>It is mathematically equal to SOT_Rate × Goal_per_SOT, so using all three together may introduce multicollinearity.</x:v>
      </x:c>
    </x:row>
    <x:row r="4" ht="58" customHeight="1">
      <x:c r="A4" s="38" t="str">
        <x:v>Goal_per_SOT</x:v>
      </x:c>
      <x:c r="B4" s="38" t="str">
        <x:v>GF / SOT_For</x:v>
      </x:c>
      <x:c r="C4" s="38" t="str">
        <x:v>The proportion of shots on target converted into goals. It approximates finishing efficiency after an attempt has already been placed on target.</x:v>
      </x:c>
      <x:c r="D4" s="38" t="str">
        <x:v>It distinguishes finishing from shooting accuracy. Two teams with similar on-target rates may still differ substantially in goal production.</x:v>
      </x:c>
      <x:c r="E4" s="40" t="str">
        <x:v>Highly volatile in small samples and influenced by shot quality, goalkeeper performance, and randomness.</x:v>
      </x:c>
    </x:row>
    <x:row r="5" ht="58" customHeight="1">
      <x:c r="A5" s="38" t="str">
        <x:v>SOT_Rate_Against</x:v>
      </x:c>
      <x:c r="B5" s="38" t="str">
        <x:v>SOT_Against / Shots_Against</x:v>
      </x:c>
      <x:c r="C5" s="38" t="str">
        <x:v>The proportion of the opponent's attempts that reach the target.</x:v>
      </x:c>
      <x:c r="D5" s="38" t="str">
        <x:v>It provides the defensive counterpart to SOT_Rate and reflects how effectively the team prevents opposing attempts from becoming dangerous on-target shots.</x:v>
      </x:c>
      <x:c r="E5" s="40" t="str">
        <x:v>Interpret jointly with Shots_Against; a low rate based on very few attempts may not be stable.</x:v>
      </x:c>
    </x:row>
    <x:row r="6" ht="58" customHeight="1">
      <x:c r="A6" s="38" t="str">
        <x:v>Goal_per_Shot_Against</x:v>
      </x:c>
      <x:c r="B6" s="38" t="str">
        <x:v>GA / Shots_Against</x:v>
      </x:c>
      <x:c r="C6" s="38" t="str">
        <x:v>Goals conceded per opponent attempt.</x:v>
      </x:c>
      <x:c r="D6" s="38" t="str">
        <x:v>It summarizes the full defensive conversion chain, including shot prevention, shot quality allowed, and goalkeeping outcomes.</x:v>
      </x:c>
      <x:c r="E6" s="40" t="str">
        <x:v>It mixes several mechanisms and should not be treated as a pure defensive skill measure.</x:v>
      </x:c>
    </x:row>
    <x:row r="7" ht="58" customHeight="1">
      <x:c r="A7" s="38" t="str">
        <x:v>Goal_per_SOT_Against</x:v>
      </x:c>
      <x:c r="B7" s="38" t="str">
        <x:v>GA / SOT_Against</x:v>
      </x:c>
      <x:c r="C7" s="38" t="str">
        <x:v>Goals conceded per opponent shot on target.</x:v>
      </x:c>
      <x:c r="D7" s="38" t="str">
        <x:v>It is the defensive and goal-prevention counterpart to Goal_per_SOT.</x:v>
      </x:c>
      <x:c r="E7" s="40" t="str">
        <x:v>It can be strongly affected by goalkeeper performance and the quality of shots conceded.</x:v>
      </x:c>
    </x:row>
    <x:row r="8" ht="58" customHeight="1">
      <x:c r="A8" s="38" t="str">
        <x:v>Shot_Diff</x:v>
      </x:c>
      <x:c r="B8" s="38" t="str">
        <x:v>Shots_For − Shots_Against</x:v>
      </x:c>
      <x:c r="C8" s="38" t="str">
        <x:v>The net difference in shot volume between the team and its opponent.</x:v>
      </x:c>
      <x:c r="D8" s="38" t="str">
        <x:v>It creates a direct within-match comparison of opportunity volume and provides a rough indicator of territorial or chance-generation dominance.</x:v>
      </x:c>
      <x:c r="E8" s="40" t="str">
        <x:v>Shot volume is not identical to possession or shot quality.</x:v>
      </x:c>
    </x:row>
    <x:row r="9" ht="58" customHeight="1">
      <x:c r="A9" s="38" t="str">
        <x:v>SOT_Diff</x:v>
      </x:c>
      <x:c r="B9" s="38" t="str">
        <x:v>SOT_For − SOT_Against</x:v>
      </x:c>
      <x:c r="C9" s="38" t="str">
        <x:v>The net difference in shots on target.</x:v>
      </x:c>
      <x:c r="D9" s="38" t="str">
        <x:v>It combines differences in shot volume and shooting accuracy and measures which side generated more direct goal threats.</x:v>
      </x:c>
      <x:c r="E9" s="40" t="str">
        <x:v>Because it combines multiple mechanisms, it should be interpreted alongside Shot_Diff and SOT_Rate_Diff.</x:v>
      </x:c>
    </x:row>
    <x:row r="10" ht="58" customHeight="1">
      <x:c r="A10" s="38" t="str">
        <x:v>SOT_Rate_Diff</x:v>
      </x:c>
      <x:c r="B10" s="38" t="str">
        <x:v>SOT_Rate − SOT_Rate_Against</x:v>
      </x:c>
      <x:c r="C10" s="38" t="str">
        <x:v>The difference between the team's on-target rate and the opponent's on-target rate.</x:v>
      </x:c>
      <x:c r="D10" s="38" t="str">
        <x:v>It controls for raw attempt volume and compares the efficiency with which each side converted attempts into shots on target.</x:v>
      </x:c>
      <x:c r="E10" s="40" t="str">
        <x:v>For forecasting, construct the difference from each team's pre-match historical rate rather than the current match.</x:v>
      </x:c>
    </x:row>
    <x:row r="11" ht="58" customHeight="1">
      <x:c r="A11" s="38" t="str">
        <x:v>Goal_per_Shot_Diff</x:v>
      </x:c>
      <x:c r="B11" s="38" t="str">
        <x:v>Goal_per_Shot − Goal_per_Shot_Against</x:v>
      </x:c>
      <x:c r="C11" s="38" t="str">
        <x:v>The difference in overall goal conversion per attempt.</x:v>
      </x:c>
      <x:c r="D11" s="38" t="str">
        <x:v>It compares the two teams' total conversion outcomes on the same scale, accounting for both shooting accuracy and finishing.</x:v>
      </x:c>
      <x:c r="E11" s="40" t="str">
        <x:v>It is partly redundant with SOT_Rate_Diff and Finishing_Diff.</x:v>
      </x:c>
    </x:row>
    <x:row r="12" ht="58" customHeight="1">
      <x:c r="A12" s="38" t="str">
        <x:v>Finishing_Diff</x:v>
      </x:c>
      <x:c r="B12" s="38" t="str">
        <x:v>Goal_per_SOT − Goal_per_SOT_Against</x:v>
      </x:c>
      <x:c r="C12" s="38" t="str">
        <x:v>The difference in conversion efficiency after shots have reached the target.</x:v>
      </x:c>
      <x:c r="D12" s="38" t="str">
        <x:v>It isolates the final stage of the scoring process and identifies whether one side converted its on-target opportunities more efficiently.</x:v>
      </x:c>
      <x:c r="E12" s="40" t="str">
        <x:v>When calculated from the same match, it contains the realized score and is descriptive rather than a valid same-match predictor.</x:v>
      </x:c>
    </x:row>
    <x:row r="13" ht="58" customHeight="1">
      <x:c r="A13" s="38" t="str">
        <x:v>Corners_Diff</x:v>
      </x:c>
      <x:c r="B13" s="38" t="str">
        <x:v>Corners_For − Corners_Against</x:v>
      </x:c>
      <x:c r="C13" s="38" t="str">
        <x:v>The net difference in corners.</x:v>
      </x:c>
      <x:c r="D13" s="38" t="str">
        <x:v>It adds a supplementary measure of attacking pressure and sustained presence near the opponent's goal.</x:v>
      </x:c>
      <x:c r="E13" s="40" t="str">
        <x:v>Corners are an indirect pressure indicator and should not be interpreted as direct scoring quality.</x:v>
      </x:c>
    </x:row>
    <x:row r="14" ht="58" customHeight="1">
      <x:c r="A14" s="41" t="str">
        <x:v>Goal_Diff</x:v>
      </x:c>
      <x:c r="B14" s="41" t="str">
        <x:v>GF − GA</x:v>
      </x:c>
      <x:c r="C14" s="41" t="str">
        <x:v>The observed match goal difference from the team's perspective.</x:v>
      </x:c>
      <x:c r="D14" s="41" t="str">
        <x:v>It provides a direct outcome variable for evaluating whether the process-based features align with match results.</x:v>
      </x:c>
      <x:c r="E14" s="42" t="str">
        <x:v>It is an outcome or validation target, not a same-match explanatory input for prediction.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ht="28" customHeight="1">
      <x:c r="A1" s="62" t="str">
        <x:v>Shot-Process Decomposition and Difference-Based Feature Design</x:v>
      </x:c>
    </x:row>
    <x:row r="3" ht="82" customHeight="1">
      <x:c r="A3" s="68" t="str">
        <x:v>The derived variables were constructed to decompose goal scoring into three distinct stages: shot generation, shot accuracy, and finishing efficiency. Algebraically, the number of goals can be written as Goals = Shots × (Shots on Target / Shots) × (Goals / Shots on Target). Although this identity is mechanically exact, its analytical value lies in separating mechanisms that are often combined when only goals or total shots are examined.</x:v>
      </x:c>
    </x:row>
    <x:row r="4" ht="82" customHeight="1">
      <x:c r="A4" s="68" t="str">
        <x:v>The first component, shot volume, measures how frequently a team creates shooting opportunities. It is treated as a partial indicator of territorial control, attacking pressure, and chance generation rather than as a complete measure of possession or chance quality. The second component, the shot-on-target rate, measures how efficiently a team converts attempts into accurate efforts that test the goalkeeper. The third component, goals per shot on target, measures the final conversion stage after an attempt has already reached the target and therefore provides an approximation of finishing efficiency.</x:v>
      </x:c>
    </x:row>
    <x:row r="5" ht="82" customHeight="1">
      <x:c r="A5" s="68" t="str">
        <x:v>This decomposition is important because teams can reach similar goal totals through very different processes. A high-volume team may dominate territory and take many shots but convert relatively few of them into shots on target or goals. A lower-volume team may create fewer attempts but generate more accurate or more efficiently finished opportunities. Treating shot volume, shooting accuracy, and finishing as separate dimensions therefore allows the exploratory analysis to distinguish control and opportunity creation from execution.</x:v>
      </x:c>
    </x:row>
    <x:row r="6" ht="82" customHeight="1">
      <x:c r="A6" s="68" t="str">
        <x:v>Difference variables were then calculated from the team-level perspective by subtracting the opponent's value from the focal team's value within the same match. For example, Shot_Diff equals Shots_For minus Shots_Against, while SOT_Rate_Diff equals the focal team's shot-on-target rate minus the opponent's shot-on-target rate. Finishing_Diff similarly compares goals per shot on target between the two sides. A positive difference indicates that the focal team held an advantage on that dimension, a negative difference indicates an opponent advantage, and zero indicates parity.</x:v>
      </x:c>
    </x:row>
    <x:row r="7" ht="82" customHeight="1">
      <x:c r="A7" s="68" t="str">
        <x:v>The use of differences is motivated by the relative nature of football performance. A team's raw number of shots does not fully describe the match unless it is evaluated against the opportunities generated by the opponent. Difference variables place both teams on a common scale, control for much of the shared match environment, and translate two separate team observations into a direct measure of within-match superiority. They are therefore well suited to exploratory correlation analysis with goal difference, points, and other match outcomes.</x:v>
      </x:c>
    </x:row>
    <x:row r="8" ht="82" customHeight="1">
      <x:c r="A8" s="68" t="str">
        <x:v>The current-match conversion and difference variables are descriptive features for exploratory data analysis. Variables containing GF or GA, including Goal_per_Shot, Goal_per_SOT, Goal_per_Shot_Diff, Finishing_Diff, and Goal_Diff, incorporate the realized match outcome and must not be used to predict that same match. In the predictive stage, the corresponding quantities should be reconstructed from information available before kickoff, such as rolling sums, rolling ratios, cumulative season values, or exponentially weighted historical averages. This lagged construction preserves the conceptual decomposition while preventing target leakage.</x:v>
      </x:c>
    </x:row>
    <x:row r="9" ht="82" customHeight="1">
      <x:c r="A9" s="68" t="str">
        <x:v>Finally, the three multiplicative components are mathematically dependent: Goal_per_Shot equals SOT_Rate multiplied by Goal_per_SOT. Consequently, all three should not automatically be entered together into a regression model without checking multicollinearity. The exploratory stage will evaluate their separate relationships with outcomes, after which feature selection, regularization, or dimensionality-reduction methods can determine which representation is most informative for the final model.</x:v>
      </x:c>
    </x:row>
  </x:sheetData>
  <x:mergeCells>
    <x:mergeCell ref="A1:F1"/>
    <x:mergeCell ref="A3:F3"/>
    <x:mergeCell ref="A4:F4"/>
    <x:mergeCell ref="A5:F5"/>
    <x:mergeCell ref="A6:F6"/>
    <x:mergeCell ref="A7:F7"/>
    <x:mergeCell ref="A8:F8"/>
    <x:mergeCell ref="A9:F9"/>
  </x:mergeCells>
  <x:pageMargins left="0.7" right="0.7" top="0.75" bottom="0.75" header="0.3" footer="0.3"/>
</x:worksheet>
</file>